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60" windowHeight="7920"/>
  </bookViews>
  <sheets>
    <sheet name="Issues" sheetId="1" r:id="rId1"/>
    <sheet name="Month" sheetId="2" r:id="rId2"/>
    <sheet name="Unpaid" sheetId="3" r:id="rId3"/>
    <sheet name="Sync" sheetId="4" r:id="rId4"/>
    <sheet name="Calc" sheetId="5" r:id="rId5"/>
    <sheet name="Help" sheetId="6" r:id="rId6"/>
  </sheets>
  <externalReferences>
    <externalReference r:id="rId7"/>
    <externalReference r:id="rId8"/>
  </externalReferences>
  <definedNames>
    <definedName name="AcctCodesF">Sync!$E$6:$E$565</definedName>
    <definedName name="AcctTblF">Sync!$E$6:$H$565</definedName>
    <definedName name="BClrChk">Calc!$M$6:$M$2005</definedName>
    <definedName name="BClrDate">Calc!$N$6:$N$2005</definedName>
    <definedName name="ChqAmt">Calc!$F$6:$F$505</definedName>
    <definedName name="ChqClr">Calc!$I$6:$I$505</definedName>
    <definedName name="ChqKey">Calc!$K$6:$K$505</definedName>
    <definedName name="ChqNo">Calc!$A$6:$A$505</definedName>
    <definedName name="ChqNorm">Calc!$E$6:$E$505</definedName>
    <definedName name="ChqNosF">OFFSET(Sync!$A$6,0,0,MAX(COUNTIF(Sync!$A$6:$A$505,"?*"),1),1)</definedName>
    <definedName name="ChqRankL">Month!$L$17:$L$516</definedName>
    <definedName name="ChqRankU">Unpaid!$L$17:$L$516</definedName>
    <definedName name="ChqStatus">Calc!$H$6:$H$505</definedName>
    <definedName name="ETxnChk">Sync!$P$6:$P$2005</definedName>
    <definedName name="ETxnType">Sync!$M$6:$M$2005</definedName>
    <definedName name="NChq">COUNTIF(Calc!$A$6:$A$505,"?*")</definedName>
    <definedName name="_xlnm.Print_Area" localSheetId="0">Issues!$A$1:$G$508</definedName>
    <definedName name="_xlnm.Print_Area" localSheetId="1">Month!$A$1:$F$516</definedName>
    <definedName name="_xlnm.Print_Area" localSheetId="2">Unpaid!$A$1:$F$516</definedName>
    <definedName name="_xlnm.Print_Titles" localSheetId="0">Issues!$7:$8</definedName>
    <definedName name="_xlnm.Print_Titles" localSheetId="1">Month!$13:$14</definedName>
    <definedName name="_xlnm.Print_Titles" localSheetId="2">Unpaid!$13:$14</definedName>
  </definedNames>
  <calcPr calcId="152511"/>
</workbook>
</file>

<file path=xl/calcChain.xml><?xml version="1.0" encoding="utf-8"?>
<calcChain xmlns="http://schemas.openxmlformats.org/spreadsheetml/2006/main">
  <c r="J505" i="5" l="1"/>
  <c r="H505" i="5"/>
  <c r="F505" i="5"/>
  <c r="B505" i="5"/>
  <c r="D505" i="5" s="1"/>
  <c r="A505" i="5"/>
  <c r="I505" i="5" s="1"/>
  <c r="A504" i="5"/>
  <c r="J504" i="5" s="1"/>
  <c r="J503" i="5"/>
  <c r="H503" i="5"/>
  <c r="F503" i="5"/>
  <c r="B503" i="5"/>
  <c r="D503" i="5" s="1"/>
  <c r="A503" i="5"/>
  <c r="I503" i="5" s="1"/>
  <c r="A502" i="5"/>
  <c r="J502" i="5" s="1"/>
  <c r="J501" i="5"/>
  <c r="H501" i="5"/>
  <c r="F501" i="5"/>
  <c r="B501" i="5"/>
  <c r="D501" i="5" s="1"/>
  <c r="A501" i="5"/>
  <c r="I501" i="5" s="1"/>
  <c r="A500" i="5"/>
  <c r="J500" i="5" s="1"/>
  <c r="J499" i="5"/>
  <c r="H499" i="5"/>
  <c r="F499" i="5"/>
  <c r="B499" i="5"/>
  <c r="D499" i="5" s="1"/>
  <c r="A499" i="5"/>
  <c r="I499" i="5" s="1"/>
  <c r="A498" i="5"/>
  <c r="J498" i="5" s="1"/>
  <c r="J497" i="5"/>
  <c r="H497" i="5"/>
  <c r="F497" i="5"/>
  <c r="B497" i="5"/>
  <c r="D497" i="5" s="1"/>
  <c r="A497" i="5"/>
  <c r="I497" i="5" s="1"/>
  <c r="A496" i="5"/>
  <c r="J496" i="5" s="1"/>
  <c r="J495" i="5"/>
  <c r="H495" i="5"/>
  <c r="F495" i="5"/>
  <c r="B495" i="5"/>
  <c r="D495" i="5" s="1"/>
  <c r="A495" i="5"/>
  <c r="I495" i="5" s="1"/>
  <c r="A494" i="5"/>
  <c r="J494" i="5" s="1"/>
  <c r="J493" i="5"/>
  <c r="H493" i="5"/>
  <c r="F493" i="5"/>
  <c r="B493" i="5"/>
  <c r="D493" i="5" s="1"/>
  <c r="A493" i="5"/>
  <c r="I493" i="5" s="1"/>
  <c r="A492" i="5"/>
  <c r="J492" i="5" s="1"/>
  <c r="J491" i="5"/>
  <c r="H491" i="5"/>
  <c r="F491" i="5"/>
  <c r="B491" i="5"/>
  <c r="D491" i="5" s="1"/>
  <c r="A491" i="5"/>
  <c r="I491" i="5" s="1"/>
  <c r="A490" i="5"/>
  <c r="J490" i="5" s="1"/>
  <c r="J489" i="5"/>
  <c r="H489" i="5"/>
  <c r="F489" i="5"/>
  <c r="B489" i="5"/>
  <c r="D489" i="5" s="1"/>
  <c r="A489" i="5"/>
  <c r="I489" i="5" s="1"/>
  <c r="A488" i="5"/>
  <c r="J488" i="5" s="1"/>
  <c r="J487" i="5"/>
  <c r="H487" i="5"/>
  <c r="F487" i="5"/>
  <c r="B487" i="5"/>
  <c r="D487" i="5" s="1"/>
  <c r="A487" i="5"/>
  <c r="I487" i="5" s="1"/>
  <c r="A486" i="5"/>
  <c r="J486" i="5" s="1"/>
  <c r="J485" i="5"/>
  <c r="H485" i="5"/>
  <c r="F485" i="5"/>
  <c r="B485" i="5"/>
  <c r="D485" i="5" s="1"/>
  <c r="A485" i="5"/>
  <c r="I485" i="5" s="1"/>
  <c r="A484" i="5"/>
  <c r="J484" i="5" s="1"/>
  <c r="J483" i="5"/>
  <c r="H483" i="5"/>
  <c r="F483" i="5"/>
  <c r="B483" i="5"/>
  <c r="D483" i="5" s="1"/>
  <c r="A483" i="5"/>
  <c r="I483" i="5" s="1"/>
  <c r="A482" i="5"/>
  <c r="J482" i="5" s="1"/>
  <c r="J481" i="5"/>
  <c r="H481" i="5"/>
  <c r="F481" i="5"/>
  <c r="B481" i="5"/>
  <c r="D481" i="5" s="1"/>
  <c r="A481" i="5"/>
  <c r="I481" i="5" s="1"/>
  <c r="A480" i="5"/>
  <c r="J480" i="5" s="1"/>
  <c r="J479" i="5"/>
  <c r="H479" i="5"/>
  <c r="F479" i="5"/>
  <c r="B479" i="5"/>
  <c r="D479" i="5" s="1"/>
  <c r="A479" i="5"/>
  <c r="I479" i="5" s="1"/>
  <c r="A478" i="5"/>
  <c r="J478" i="5" s="1"/>
  <c r="J477" i="5"/>
  <c r="H477" i="5"/>
  <c r="F477" i="5"/>
  <c r="B477" i="5"/>
  <c r="D477" i="5" s="1"/>
  <c r="A477" i="5"/>
  <c r="I477" i="5" s="1"/>
  <c r="A476" i="5"/>
  <c r="J476" i="5" s="1"/>
  <c r="J475" i="5"/>
  <c r="H475" i="5"/>
  <c r="F475" i="5"/>
  <c r="B475" i="5"/>
  <c r="D475" i="5" s="1"/>
  <c r="A475" i="5"/>
  <c r="I475" i="5" s="1"/>
  <c r="A474" i="5"/>
  <c r="J474" i="5" s="1"/>
  <c r="J473" i="5"/>
  <c r="H473" i="5"/>
  <c r="F473" i="5"/>
  <c r="B473" i="5"/>
  <c r="D473" i="5" s="1"/>
  <c r="A473" i="5"/>
  <c r="I473" i="5" s="1"/>
  <c r="A472" i="5"/>
  <c r="J472" i="5" s="1"/>
  <c r="J471" i="5"/>
  <c r="H471" i="5"/>
  <c r="F471" i="5"/>
  <c r="B471" i="5"/>
  <c r="D471" i="5" s="1"/>
  <c r="A471" i="5"/>
  <c r="I471" i="5" s="1"/>
  <c r="A470" i="5"/>
  <c r="J470" i="5" s="1"/>
  <c r="J469" i="5"/>
  <c r="H469" i="5"/>
  <c r="F469" i="5"/>
  <c r="B469" i="5"/>
  <c r="D469" i="5" s="1"/>
  <c r="A469" i="5"/>
  <c r="I469" i="5" s="1"/>
  <c r="A468" i="5"/>
  <c r="J468" i="5" s="1"/>
  <c r="J467" i="5"/>
  <c r="H467" i="5"/>
  <c r="F467" i="5"/>
  <c r="B467" i="5"/>
  <c r="D467" i="5" s="1"/>
  <c r="A467" i="5"/>
  <c r="I467" i="5" s="1"/>
  <c r="A466" i="5"/>
  <c r="J466" i="5" s="1"/>
  <c r="J465" i="5"/>
  <c r="H465" i="5"/>
  <c r="F465" i="5"/>
  <c r="B465" i="5"/>
  <c r="D465" i="5" s="1"/>
  <c r="A465" i="5"/>
  <c r="I465" i="5" s="1"/>
  <c r="A464" i="5"/>
  <c r="J464" i="5" s="1"/>
  <c r="J463" i="5"/>
  <c r="H463" i="5"/>
  <c r="F463" i="5"/>
  <c r="B463" i="5"/>
  <c r="D463" i="5" s="1"/>
  <c r="A463" i="5"/>
  <c r="I463" i="5" s="1"/>
  <c r="A462" i="5"/>
  <c r="J462" i="5" s="1"/>
  <c r="J461" i="5"/>
  <c r="H461" i="5"/>
  <c r="F461" i="5"/>
  <c r="B461" i="5"/>
  <c r="D461" i="5" s="1"/>
  <c r="A461" i="5"/>
  <c r="I461" i="5" s="1"/>
  <c r="A460" i="5"/>
  <c r="J460" i="5" s="1"/>
  <c r="J459" i="5"/>
  <c r="H459" i="5"/>
  <c r="F459" i="5"/>
  <c r="B459" i="5"/>
  <c r="D459" i="5" s="1"/>
  <c r="A459" i="5"/>
  <c r="I459" i="5" s="1"/>
  <c r="A458" i="5"/>
  <c r="J458" i="5" s="1"/>
  <c r="J457" i="5"/>
  <c r="H457" i="5"/>
  <c r="F457" i="5"/>
  <c r="B457" i="5"/>
  <c r="D457" i="5" s="1"/>
  <c r="A457" i="5"/>
  <c r="I457" i="5" s="1"/>
  <c r="A456" i="5"/>
  <c r="J456" i="5" s="1"/>
  <c r="J455" i="5"/>
  <c r="H455" i="5"/>
  <c r="F455" i="5"/>
  <c r="B455" i="5"/>
  <c r="D455" i="5" s="1"/>
  <c r="A455" i="5"/>
  <c r="I455" i="5" s="1"/>
  <c r="A454" i="5"/>
  <c r="J454" i="5" s="1"/>
  <c r="J453" i="5"/>
  <c r="H453" i="5"/>
  <c r="F453" i="5"/>
  <c r="B453" i="5"/>
  <c r="D453" i="5" s="1"/>
  <c r="A453" i="5"/>
  <c r="I453" i="5" s="1"/>
  <c r="A452" i="5"/>
  <c r="J452" i="5" s="1"/>
  <c r="J451" i="5"/>
  <c r="H451" i="5"/>
  <c r="F451" i="5"/>
  <c r="B451" i="5"/>
  <c r="D451" i="5" s="1"/>
  <c r="A451" i="5"/>
  <c r="I451" i="5" s="1"/>
  <c r="A450" i="5"/>
  <c r="J450" i="5" s="1"/>
  <c r="J449" i="5"/>
  <c r="H449" i="5"/>
  <c r="F449" i="5"/>
  <c r="B449" i="5"/>
  <c r="D449" i="5" s="1"/>
  <c r="A449" i="5"/>
  <c r="I449" i="5" s="1"/>
  <c r="A448" i="5"/>
  <c r="J448" i="5" s="1"/>
  <c r="J447" i="5"/>
  <c r="H447" i="5"/>
  <c r="F447" i="5"/>
  <c r="B447" i="5"/>
  <c r="D447" i="5" s="1"/>
  <c r="A447" i="5"/>
  <c r="I447" i="5" s="1"/>
  <c r="A446" i="5"/>
  <c r="J446" i="5" s="1"/>
  <c r="J445" i="5"/>
  <c r="H445" i="5"/>
  <c r="F445" i="5"/>
  <c r="B445" i="5"/>
  <c r="D445" i="5" s="1"/>
  <c r="A445" i="5"/>
  <c r="I445" i="5" s="1"/>
  <c r="A444" i="5"/>
  <c r="J444" i="5" s="1"/>
  <c r="J443" i="5"/>
  <c r="H443" i="5"/>
  <c r="F443" i="5"/>
  <c r="B443" i="5"/>
  <c r="D443" i="5" s="1"/>
  <c r="A443" i="5"/>
  <c r="I443" i="5" s="1"/>
  <c r="A442" i="5"/>
  <c r="J442" i="5" s="1"/>
  <c r="J441" i="5"/>
  <c r="H441" i="5"/>
  <c r="F441" i="5"/>
  <c r="B441" i="5"/>
  <c r="D441" i="5" s="1"/>
  <c r="A441" i="5"/>
  <c r="I441" i="5" s="1"/>
  <c r="A440" i="5"/>
  <c r="J440" i="5" s="1"/>
  <c r="J439" i="5"/>
  <c r="H439" i="5"/>
  <c r="F439" i="5"/>
  <c r="B439" i="5"/>
  <c r="D439" i="5" s="1"/>
  <c r="A439" i="5"/>
  <c r="I439" i="5" s="1"/>
  <c r="A438" i="5"/>
  <c r="J438" i="5" s="1"/>
  <c r="J437" i="5"/>
  <c r="H437" i="5"/>
  <c r="F437" i="5"/>
  <c r="B437" i="5"/>
  <c r="D437" i="5" s="1"/>
  <c r="A437" i="5"/>
  <c r="I437" i="5" s="1"/>
  <c r="A436" i="5"/>
  <c r="J436" i="5" s="1"/>
  <c r="J435" i="5"/>
  <c r="H435" i="5"/>
  <c r="F435" i="5"/>
  <c r="B435" i="5"/>
  <c r="D435" i="5" s="1"/>
  <c r="A435" i="5"/>
  <c r="I435" i="5" s="1"/>
  <c r="A434" i="5"/>
  <c r="J434" i="5" s="1"/>
  <c r="J433" i="5"/>
  <c r="H433" i="5"/>
  <c r="F433" i="5"/>
  <c r="B433" i="5"/>
  <c r="D433" i="5" s="1"/>
  <c r="A433" i="5"/>
  <c r="I433" i="5" s="1"/>
  <c r="A432" i="5"/>
  <c r="J432" i="5" s="1"/>
  <c r="J431" i="5"/>
  <c r="H431" i="5"/>
  <c r="F431" i="5"/>
  <c r="B431" i="5"/>
  <c r="D431" i="5" s="1"/>
  <c r="A431" i="5"/>
  <c r="I431" i="5" s="1"/>
  <c r="A430" i="5"/>
  <c r="J430" i="5" s="1"/>
  <c r="J429" i="5"/>
  <c r="H429" i="5"/>
  <c r="F429" i="5"/>
  <c r="B429" i="5"/>
  <c r="D429" i="5" s="1"/>
  <c r="A429" i="5"/>
  <c r="I429" i="5" s="1"/>
  <c r="A428" i="5"/>
  <c r="J428" i="5" s="1"/>
  <c r="J427" i="5"/>
  <c r="H427" i="5"/>
  <c r="F427" i="5"/>
  <c r="B427" i="5"/>
  <c r="D427" i="5" s="1"/>
  <c r="A427" i="5"/>
  <c r="I427" i="5" s="1"/>
  <c r="A426" i="5"/>
  <c r="J426" i="5" s="1"/>
  <c r="J425" i="5"/>
  <c r="H425" i="5"/>
  <c r="F425" i="5"/>
  <c r="B425" i="5"/>
  <c r="D425" i="5" s="1"/>
  <c r="A425" i="5"/>
  <c r="I425" i="5" s="1"/>
  <c r="A424" i="5"/>
  <c r="J424" i="5" s="1"/>
  <c r="J423" i="5"/>
  <c r="H423" i="5"/>
  <c r="F423" i="5"/>
  <c r="B423" i="5"/>
  <c r="D423" i="5" s="1"/>
  <c r="A423" i="5"/>
  <c r="I423" i="5" s="1"/>
  <c r="A422" i="5"/>
  <c r="J422" i="5" s="1"/>
  <c r="J421" i="5"/>
  <c r="H421" i="5"/>
  <c r="F421" i="5"/>
  <c r="B421" i="5"/>
  <c r="D421" i="5" s="1"/>
  <c r="A421" i="5"/>
  <c r="I421" i="5" s="1"/>
  <c r="A420" i="5"/>
  <c r="J420" i="5" s="1"/>
  <c r="J419" i="5"/>
  <c r="H419" i="5"/>
  <c r="F419" i="5"/>
  <c r="B419" i="5"/>
  <c r="D419" i="5" s="1"/>
  <c r="A419" i="5"/>
  <c r="I419" i="5" s="1"/>
  <c r="A418" i="5"/>
  <c r="J418" i="5" s="1"/>
  <c r="J417" i="5"/>
  <c r="H417" i="5"/>
  <c r="F417" i="5"/>
  <c r="B417" i="5"/>
  <c r="D417" i="5" s="1"/>
  <c r="A417" i="5"/>
  <c r="I417" i="5" s="1"/>
  <c r="A416" i="5"/>
  <c r="J416" i="5" s="1"/>
  <c r="J415" i="5"/>
  <c r="H415" i="5"/>
  <c r="F415" i="5"/>
  <c r="B415" i="5"/>
  <c r="D415" i="5" s="1"/>
  <c r="A415" i="5"/>
  <c r="I415" i="5" s="1"/>
  <c r="A414" i="5"/>
  <c r="J414" i="5" s="1"/>
  <c r="J413" i="5"/>
  <c r="H413" i="5"/>
  <c r="F413" i="5"/>
  <c r="B413" i="5"/>
  <c r="D413" i="5" s="1"/>
  <c r="A413" i="5"/>
  <c r="I413" i="5" s="1"/>
  <c r="A412" i="5"/>
  <c r="J412" i="5" s="1"/>
  <c r="J411" i="5"/>
  <c r="H411" i="5"/>
  <c r="F411" i="5"/>
  <c r="B411" i="5"/>
  <c r="D411" i="5" s="1"/>
  <c r="A411" i="5"/>
  <c r="I411" i="5" s="1"/>
  <c r="A410" i="5"/>
  <c r="J410" i="5" s="1"/>
  <c r="J409" i="5"/>
  <c r="H409" i="5"/>
  <c r="F409" i="5"/>
  <c r="B409" i="5"/>
  <c r="D409" i="5" s="1"/>
  <c r="A409" i="5"/>
  <c r="I409" i="5" s="1"/>
  <c r="A408" i="5"/>
  <c r="J408" i="5" s="1"/>
  <c r="J407" i="5"/>
  <c r="H407" i="5"/>
  <c r="F407" i="5"/>
  <c r="B407" i="5"/>
  <c r="D407" i="5" s="1"/>
  <c r="A407" i="5"/>
  <c r="I407" i="5" s="1"/>
  <c r="A406" i="5"/>
  <c r="J406" i="5" s="1"/>
  <c r="J405" i="5"/>
  <c r="H405" i="5"/>
  <c r="F405" i="5"/>
  <c r="B405" i="5"/>
  <c r="D405" i="5" s="1"/>
  <c r="A405" i="5"/>
  <c r="I405" i="5" s="1"/>
  <c r="A404" i="5"/>
  <c r="J404" i="5" s="1"/>
  <c r="J403" i="5"/>
  <c r="H403" i="5"/>
  <c r="F403" i="5"/>
  <c r="B403" i="5"/>
  <c r="D403" i="5" s="1"/>
  <c r="A403" i="5"/>
  <c r="I403" i="5" s="1"/>
  <c r="A402" i="5"/>
  <c r="J402" i="5" s="1"/>
  <c r="J401" i="5"/>
  <c r="H401" i="5"/>
  <c r="F401" i="5"/>
  <c r="B401" i="5"/>
  <c r="D401" i="5" s="1"/>
  <c r="A401" i="5"/>
  <c r="I401" i="5" s="1"/>
  <c r="A400" i="5"/>
  <c r="J400" i="5" s="1"/>
  <c r="J399" i="5"/>
  <c r="H399" i="5"/>
  <c r="F399" i="5"/>
  <c r="B399" i="5"/>
  <c r="D399" i="5" s="1"/>
  <c r="A399" i="5"/>
  <c r="I399" i="5" s="1"/>
  <c r="A398" i="5"/>
  <c r="J398" i="5" s="1"/>
  <c r="J397" i="5"/>
  <c r="H397" i="5"/>
  <c r="F397" i="5"/>
  <c r="B397" i="5"/>
  <c r="D397" i="5" s="1"/>
  <c r="A397" i="5"/>
  <c r="I397" i="5" s="1"/>
  <c r="A396" i="5"/>
  <c r="G396" i="5" s="1"/>
  <c r="J395" i="5"/>
  <c r="H395" i="5"/>
  <c r="F395" i="5"/>
  <c r="B395" i="5"/>
  <c r="D395" i="5" s="1"/>
  <c r="A395" i="5"/>
  <c r="I395" i="5" s="1"/>
  <c r="A394" i="5"/>
  <c r="G394" i="5" s="1"/>
  <c r="J393" i="5"/>
  <c r="H393" i="5"/>
  <c r="F393" i="5"/>
  <c r="B393" i="5"/>
  <c r="D393" i="5" s="1"/>
  <c r="A393" i="5"/>
  <c r="I393" i="5" s="1"/>
  <c r="A392" i="5"/>
  <c r="G392" i="5" s="1"/>
  <c r="J391" i="5"/>
  <c r="H391" i="5"/>
  <c r="F391" i="5"/>
  <c r="B391" i="5"/>
  <c r="D391" i="5" s="1"/>
  <c r="A391" i="5"/>
  <c r="I391" i="5" s="1"/>
  <c r="A390" i="5"/>
  <c r="G390" i="5" s="1"/>
  <c r="J389" i="5"/>
  <c r="H389" i="5"/>
  <c r="F389" i="5"/>
  <c r="B389" i="5"/>
  <c r="D389" i="5" s="1"/>
  <c r="A389" i="5"/>
  <c r="I389" i="5" s="1"/>
  <c r="A388" i="5"/>
  <c r="G388" i="5" s="1"/>
  <c r="J387" i="5"/>
  <c r="H387" i="5"/>
  <c r="F387" i="5"/>
  <c r="B387" i="5"/>
  <c r="D387" i="5" s="1"/>
  <c r="A387" i="5"/>
  <c r="I387" i="5" s="1"/>
  <c r="A386" i="5"/>
  <c r="G386" i="5" s="1"/>
  <c r="J385" i="5"/>
  <c r="H385" i="5"/>
  <c r="F385" i="5"/>
  <c r="B385" i="5"/>
  <c r="D385" i="5" s="1"/>
  <c r="A385" i="5"/>
  <c r="I385" i="5" s="1"/>
  <c r="A384" i="5"/>
  <c r="G384" i="5" s="1"/>
  <c r="J383" i="5"/>
  <c r="H383" i="5"/>
  <c r="F383" i="5"/>
  <c r="B383" i="5"/>
  <c r="D383" i="5" s="1"/>
  <c r="A383" i="5"/>
  <c r="I383" i="5" s="1"/>
  <c r="A382" i="5"/>
  <c r="G382" i="5" s="1"/>
  <c r="J381" i="5"/>
  <c r="H381" i="5"/>
  <c r="F381" i="5"/>
  <c r="B381" i="5"/>
  <c r="D381" i="5" s="1"/>
  <c r="A381" i="5"/>
  <c r="I381" i="5" s="1"/>
  <c r="A380" i="5"/>
  <c r="G380" i="5" s="1"/>
  <c r="J379" i="5"/>
  <c r="H379" i="5"/>
  <c r="F379" i="5"/>
  <c r="B379" i="5"/>
  <c r="D379" i="5" s="1"/>
  <c r="A379" i="5"/>
  <c r="I379" i="5" s="1"/>
  <c r="A378" i="5"/>
  <c r="G378" i="5" s="1"/>
  <c r="J377" i="5"/>
  <c r="H377" i="5"/>
  <c r="F377" i="5"/>
  <c r="B377" i="5"/>
  <c r="D377" i="5" s="1"/>
  <c r="A377" i="5"/>
  <c r="I377" i="5" s="1"/>
  <c r="A376" i="5"/>
  <c r="G376" i="5" s="1"/>
  <c r="J375" i="5"/>
  <c r="H375" i="5"/>
  <c r="F375" i="5"/>
  <c r="B375" i="5"/>
  <c r="D375" i="5" s="1"/>
  <c r="A375" i="5"/>
  <c r="I375" i="5" s="1"/>
  <c r="A374" i="5"/>
  <c r="G374" i="5" s="1"/>
  <c r="J373" i="5"/>
  <c r="H373" i="5"/>
  <c r="F373" i="5"/>
  <c r="B373" i="5"/>
  <c r="D373" i="5" s="1"/>
  <c r="A373" i="5"/>
  <c r="I373" i="5" s="1"/>
  <c r="A372" i="5"/>
  <c r="G372" i="5" s="1"/>
  <c r="J371" i="5"/>
  <c r="H371" i="5"/>
  <c r="F371" i="5"/>
  <c r="B371" i="5"/>
  <c r="D371" i="5" s="1"/>
  <c r="A371" i="5"/>
  <c r="I371" i="5" s="1"/>
  <c r="A370" i="5"/>
  <c r="G370" i="5" s="1"/>
  <c r="J369" i="5"/>
  <c r="H369" i="5"/>
  <c r="F369" i="5"/>
  <c r="B369" i="5"/>
  <c r="D369" i="5" s="1"/>
  <c r="A369" i="5"/>
  <c r="I369" i="5" s="1"/>
  <c r="A368" i="5"/>
  <c r="G368" i="5" s="1"/>
  <c r="J367" i="5"/>
  <c r="H367" i="5"/>
  <c r="F367" i="5"/>
  <c r="B367" i="5"/>
  <c r="D367" i="5" s="1"/>
  <c r="A367" i="5"/>
  <c r="I367" i="5" s="1"/>
  <c r="A366" i="5"/>
  <c r="G366" i="5" s="1"/>
  <c r="J365" i="5"/>
  <c r="H365" i="5"/>
  <c r="F365" i="5"/>
  <c r="B365" i="5"/>
  <c r="D365" i="5" s="1"/>
  <c r="A365" i="5"/>
  <c r="I365" i="5" s="1"/>
  <c r="A364" i="5"/>
  <c r="G364" i="5" s="1"/>
  <c r="J363" i="5"/>
  <c r="H363" i="5"/>
  <c r="F363" i="5"/>
  <c r="B363" i="5"/>
  <c r="D363" i="5" s="1"/>
  <c r="A363" i="5"/>
  <c r="I363" i="5" s="1"/>
  <c r="A362" i="5"/>
  <c r="G362" i="5" s="1"/>
  <c r="J361" i="5"/>
  <c r="H361" i="5"/>
  <c r="F361" i="5"/>
  <c r="B361" i="5"/>
  <c r="D361" i="5" s="1"/>
  <c r="A361" i="5"/>
  <c r="I361" i="5" s="1"/>
  <c r="A360" i="5"/>
  <c r="G360" i="5" s="1"/>
  <c r="J359" i="5"/>
  <c r="H359" i="5"/>
  <c r="F359" i="5"/>
  <c r="B359" i="5"/>
  <c r="D359" i="5" s="1"/>
  <c r="A359" i="5"/>
  <c r="I359" i="5" s="1"/>
  <c r="A358" i="5"/>
  <c r="G358" i="5" s="1"/>
  <c r="J357" i="5"/>
  <c r="H357" i="5"/>
  <c r="F357" i="5"/>
  <c r="B357" i="5"/>
  <c r="D357" i="5" s="1"/>
  <c r="A357" i="5"/>
  <c r="I357" i="5" s="1"/>
  <c r="A356" i="5"/>
  <c r="G356" i="5" s="1"/>
  <c r="J355" i="5"/>
  <c r="H355" i="5"/>
  <c r="F355" i="5"/>
  <c r="B355" i="5"/>
  <c r="D355" i="5" s="1"/>
  <c r="A355" i="5"/>
  <c r="I355" i="5" s="1"/>
  <c r="A354" i="5"/>
  <c r="G354" i="5" s="1"/>
  <c r="J353" i="5"/>
  <c r="H353" i="5"/>
  <c r="F353" i="5"/>
  <c r="B353" i="5"/>
  <c r="D353" i="5" s="1"/>
  <c r="A353" i="5"/>
  <c r="I353" i="5" s="1"/>
  <c r="A352" i="5"/>
  <c r="G352" i="5" s="1"/>
  <c r="J351" i="5"/>
  <c r="H351" i="5"/>
  <c r="F351" i="5"/>
  <c r="B351" i="5"/>
  <c r="D351" i="5" s="1"/>
  <c r="A351" i="5"/>
  <c r="I351" i="5" s="1"/>
  <c r="A350" i="5"/>
  <c r="G350" i="5" s="1"/>
  <c r="J349" i="5"/>
  <c r="H349" i="5"/>
  <c r="F349" i="5"/>
  <c r="B349" i="5"/>
  <c r="D349" i="5" s="1"/>
  <c r="A349" i="5"/>
  <c r="I349" i="5" s="1"/>
  <c r="A348" i="5"/>
  <c r="G348" i="5" s="1"/>
  <c r="J347" i="5"/>
  <c r="H347" i="5"/>
  <c r="F347" i="5"/>
  <c r="B347" i="5"/>
  <c r="D347" i="5" s="1"/>
  <c r="A347" i="5"/>
  <c r="I347" i="5" s="1"/>
  <c r="A346" i="5"/>
  <c r="G346" i="5" s="1"/>
  <c r="J345" i="5"/>
  <c r="H345" i="5"/>
  <c r="F345" i="5"/>
  <c r="B345" i="5"/>
  <c r="D345" i="5" s="1"/>
  <c r="A345" i="5"/>
  <c r="I345" i="5" s="1"/>
  <c r="A344" i="5"/>
  <c r="G344" i="5" s="1"/>
  <c r="J343" i="5"/>
  <c r="H343" i="5"/>
  <c r="F343" i="5"/>
  <c r="B343" i="5"/>
  <c r="D343" i="5" s="1"/>
  <c r="A343" i="5"/>
  <c r="I343" i="5" s="1"/>
  <c r="A342" i="5"/>
  <c r="G342" i="5" s="1"/>
  <c r="J341" i="5"/>
  <c r="H341" i="5"/>
  <c r="F341" i="5"/>
  <c r="B341" i="5"/>
  <c r="D341" i="5" s="1"/>
  <c r="A341" i="5"/>
  <c r="I341" i="5" s="1"/>
  <c r="A340" i="5"/>
  <c r="G340" i="5" s="1"/>
  <c r="J339" i="5"/>
  <c r="H339" i="5"/>
  <c r="F339" i="5"/>
  <c r="B339" i="5"/>
  <c r="D339" i="5" s="1"/>
  <c r="A339" i="5"/>
  <c r="I339" i="5" s="1"/>
  <c r="A338" i="5"/>
  <c r="G338" i="5" s="1"/>
  <c r="J337" i="5"/>
  <c r="H337" i="5"/>
  <c r="F337" i="5"/>
  <c r="B337" i="5"/>
  <c r="D337" i="5" s="1"/>
  <c r="A337" i="5"/>
  <c r="I337" i="5" s="1"/>
  <c r="A336" i="5"/>
  <c r="G336" i="5" s="1"/>
  <c r="J335" i="5"/>
  <c r="H335" i="5"/>
  <c r="F335" i="5"/>
  <c r="B335" i="5"/>
  <c r="D335" i="5" s="1"/>
  <c r="A335" i="5"/>
  <c r="I335" i="5" s="1"/>
  <c r="A334" i="5"/>
  <c r="G334" i="5" s="1"/>
  <c r="J333" i="5"/>
  <c r="H333" i="5"/>
  <c r="F333" i="5"/>
  <c r="B333" i="5"/>
  <c r="D333" i="5" s="1"/>
  <c r="A333" i="5"/>
  <c r="I333" i="5" s="1"/>
  <c r="A332" i="5"/>
  <c r="G332" i="5" s="1"/>
  <c r="J331" i="5"/>
  <c r="H331" i="5"/>
  <c r="F331" i="5"/>
  <c r="B331" i="5"/>
  <c r="D331" i="5" s="1"/>
  <c r="A331" i="5"/>
  <c r="I331" i="5" s="1"/>
  <c r="A330" i="5"/>
  <c r="J330" i="5" s="1"/>
  <c r="J329" i="5"/>
  <c r="H329" i="5"/>
  <c r="F329" i="5"/>
  <c r="B329" i="5"/>
  <c r="D329" i="5" s="1"/>
  <c r="A329" i="5"/>
  <c r="I329" i="5" s="1"/>
  <c r="A328" i="5"/>
  <c r="I328" i="5" s="1"/>
  <c r="J327" i="5"/>
  <c r="H327" i="5"/>
  <c r="F327" i="5"/>
  <c r="B327" i="5"/>
  <c r="D327" i="5" s="1"/>
  <c r="A327" i="5"/>
  <c r="I327" i="5" s="1"/>
  <c r="A326" i="5"/>
  <c r="I326" i="5" s="1"/>
  <c r="J325" i="5"/>
  <c r="H325" i="5"/>
  <c r="F325" i="5"/>
  <c r="B325" i="5"/>
  <c r="D325" i="5" s="1"/>
  <c r="A325" i="5"/>
  <c r="I325" i="5" s="1"/>
  <c r="A324" i="5"/>
  <c r="I324" i="5" s="1"/>
  <c r="J323" i="5"/>
  <c r="H323" i="5"/>
  <c r="F323" i="5"/>
  <c r="B323" i="5"/>
  <c r="D323" i="5" s="1"/>
  <c r="A323" i="5"/>
  <c r="I323" i="5" s="1"/>
  <c r="A322" i="5"/>
  <c r="I322" i="5" s="1"/>
  <c r="J321" i="5"/>
  <c r="H321" i="5"/>
  <c r="F321" i="5"/>
  <c r="B321" i="5"/>
  <c r="D321" i="5" s="1"/>
  <c r="A321" i="5"/>
  <c r="I321" i="5" s="1"/>
  <c r="A320" i="5"/>
  <c r="I320" i="5" s="1"/>
  <c r="J319" i="5"/>
  <c r="H319" i="5"/>
  <c r="F319" i="5"/>
  <c r="B319" i="5"/>
  <c r="D319" i="5" s="1"/>
  <c r="A319" i="5"/>
  <c r="I319" i="5" s="1"/>
  <c r="A318" i="5"/>
  <c r="I318" i="5" s="1"/>
  <c r="J317" i="5"/>
  <c r="H317" i="5"/>
  <c r="F317" i="5"/>
  <c r="B317" i="5"/>
  <c r="D317" i="5" s="1"/>
  <c r="A317" i="5"/>
  <c r="I317" i="5" s="1"/>
  <c r="A316" i="5"/>
  <c r="I316" i="5" s="1"/>
  <c r="J315" i="5"/>
  <c r="H315" i="5"/>
  <c r="F315" i="5"/>
  <c r="B315" i="5"/>
  <c r="D315" i="5" s="1"/>
  <c r="A315" i="5"/>
  <c r="I315" i="5" s="1"/>
  <c r="A314" i="5"/>
  <c r="I314" i="5" s="1"/>
  <c r="J313" i="5"/>
  <c r="H313" i="5"/>
  <c r="F313" i="5"/>
  <c r="B313" i="5"/>
  <c r="D313" i="5" s="1"/>
  <c r="A313" i="5"/>
  <c r="I313" i="5" s="1"/>
  <c r="A312" i="5"/>
  <c r="I312" i="5" s="1"/>
  <c r="A311" i="5"/>
  <c r="J311" i="5" s="1"/>
  <c r="J310" i="5"/>
  <c r="H310" i="5"/>
  <c r="F310" i="5"/>
  <c r="B310" i="5"/>
  <c r="D310" i="5" s="1"/>
  <c r="A310" i="5"/>
  <c r="I310" i="5" s="1"/>
  <c r="A309" i="5"/>
  <c r="J309" i="5" s="1"/>
  <c r="J308" i="5"/>
  <c r="H308" i="5"/>
  <c r="F308" i="5"/>
  <c r="B308" i="5"/>
  <c r="D308" i="5" s="1"/>
  <c r="A308" i="5"/>
  <c r="I308" i="5" s="1"/>
  <c r="A307" i="5"/>
  <c r="J307" i="5" s="1"/>
  <c r="J306" i="5"/>
  <c r="H306" i="5"/>
  <c r="F306" i="5"/>
  <c r="B306" i="5"/>
  <c r="D306" i="5" s="1"/>
  <c r="A306" i="5"/>
  <c r="I306" i="5" s="1"/>
  <c r="A305" i="5"/>
  <c r="J305" i="5" s="1"/>
  <c r="J304" i="5"/>
  <c r="H304" i="5"/>
  <c r="F304" i="5"/>
  <c r="B304" i="5"/>
  <c r="D304" i="5" s="1"/>
  <c r="A304" i="5"/>
  <c r="I304" i="5" s="1"/>
  <c r="A303" i="5"/>
  <c r="J303" i="5" s="1"/>
  <c r="J302" i="5"/>
  <c r="H302" i="5"/>
  <c r="F302" i="5"/>
  <c r="B302" i="5"/>
  <c r="D302" i="5" s="1"/>
  <c r="A302" i="5"/>
  <c r="I302" i="5" s="1"/>
  <c r="A301" i="5"/>
  <c r="J301" i="5" s="1"/>
  <c r="J300" i="5"/>
  <c r="H300" i="5"/>
  <c r="F300" i="5"/>
  <c r="B300" i="5"/>
  <c r="D300" i="5" s="1"/>
  <c r="A300" i="5"/>
  <c r="I300" i="5" s="1"/>
  <c r="A299" i="5"/>
  <c r="J299" i="5" s="1"/>
  <c r="J298" i="5"/>
  <c r="H298" i="5"/>
  <c r="F298" i="5"/>
  <c r="B298" i="5"/>
  <c r="D298" i="5" s="1"/>
  <c r="A298" i="5"/>
  <c r="I298" i="5" s="1"/>
  <c r="A297" i="5"/>
  <c r="J297" i="5" s="1"/>
  <c r="J296" i="5"/>
  <c r="H296" i="5"/>
  <c r="F296" i="5"/>
  <c r="B296" i="5"/>
  <c r="D296" i="5" s="1"/>
  <c r="A296" i="5"/>
  <c r="I296" i="5" s="1"/>
  <c r="A295" i="5"/>
  <c r="J295" i="5" s="1"/>
  <c r="J294" i="5"/>
  <c r="H294" i="5"/>
  <c r="F294" i="5"/>
  <c r="B294" i="5"/>
  <c r="D294" i="5" s="1"/>
  <c r="A294" i="5"/>
  <c r="I294" i="5" s="1"/>
  <c r="A293" i="5"/>
  <c r="J293" i="5" s="1"/>
  <c r="J292" i="5"/>
  <c r="H292" i="5"/>
  <c r="F292" i="5"/>
  <c r="B292" i="5"/>
  <c r="D292" i="5" s="1"/>
  <c r="A292" i="5"/>
  <c r="I292" i="5" s="1"/>
  <c r="A291" i="5"/>
  <c r="J291" i="5" s="1"/>
  <c r="J290" i="5"/>
  <c r="H290" i="5"/>
  <c r="F290" i="5"/>
  <c r="B290" i="5"/>
  <c r="D290" i="5" s="1"/>
  <c r="A290" i="5"/>
  <c r="I290" i="5" s="1"/>
  <c r="A289" i="5"/>
  <c r="J289" i="5" s="1"/>
  <c r="J288" i="5"/>
  <c r="H288" i="5"/>
  <c r="F288" i="5"/>
  <c r="B288" i="5"/>
  <c r="D288" i="5" s="1"/>
  <c r="A288" i="5"/>
  <c r="I288" i="5" s="1"/>
  <c r="A287" i="5"/>
  <c r="J287" i="5" s="1"/>
  <c r="J286" i="5"/>
  <c r="H286" i="5"/>
  <c r="F286" i="5"/>
  <c r="B286" i="5"/>
  <c r="D286" i="5" s="1"/>
  <c r="A286" i="5"/>
  <c r="I286" i="5" s="1"/>
  <c r="A285" i="5"/>
  <c r="J285" i="5" s="1"/>
  <c r="J284" i="5"/>
  <c r="H284" i="5"/>
  <c r="F284" i="5"/>
  <c r="B284" i="5"/>
  <c r="D284" i="5" s="1"/>
  <c r="A284" i="5"/>
  <c r="I284" i="5" s="1"/>
  <c r="A283" i="5"/>
  <c r="J283" i="5" s="1"/>
  <c r="J282" i="5"/>
  <c r="H282" i="5"/>
  <c r="F282" i="5"/>
  <c r="B282" i="5"/>
  <c r="D282" i="5" s="1"/>
  <c r="A282" i="5"/>
  <c r="I282" i="5" s="1"/>
  <c r="A281" i="5"/>
  <c r="J281" i="5" s="1"/>
  <c r="J280" i="5"/>
  <c r="H280" i="5"/>
  <c r="F280" i="5"/>
  <c r="B280" i="5"/>
  <c r="D280" i="5" s="1"/>
  <c r="A280" i="5"/>
  <c r="I280" i="5" s="1"/>
  <c r="A279" i="5"/>
  <c r="J279" i="5" s="1"/>
  <c r="J278" i="5"/>
  <c r="H278" i="5"/>
  <c r="F278" i="5"/>
  <c r="B278" i="5"/>
  <c r="D278" i="5" s="1"/>
  <c r="A278" i="5"/>
  <c r="I278" i="5" s="1"/>
  <c r="A277" i="5"/>
  <c r="J277" i="5" s="1"/>
  <c r="J276" i="5"/>
  <c r="H276" i="5"/>
  <c r="F276" i="5"/>
  <c r="B276" i="5"/>
  <c r="D276" i="5" s="1"/>
  <c r="A276" i="5"/>
  <c r="I276" i="5" s="1"/>
  <c r="A275" i="5"/>
  <c r="J275" i="5" s="1"/>
  <c r="J274" i="5"/>
  <c r="H274" i="5"/>
  <c r="F274" i="5"/>
  <c r="B274" i="5"/>
  <c r="D274" i="5" s="1"/>
  <c r="A274" i="5"/>
  <c r="I274" i="5" s="1"/>
  <c r="A273" i="5"/>
  <c r="J273" i="5" s="1"/>
  <c r="J272" i="5"/>
  <c r="H272" i="5"/>
  <c r="F272" i="5"/>
  <c r="B272" i="5"/>
  <c r="D272" i="5" s="1"/>
  <c r="A272" i="5"/>
  <c r="I272" i="5" s="1"/>
  <c r="A271" i="5"/>
  <c r="J271" i="5" s="1"/>
  <c r="J270" i="5"/>
  <c r="H270" i="5"/>
  <c r="F270" i="5"/>
  <c r="B270" i="5"/>
  <c r="D270" i="5" s="1"/>
  <c r="A270" i="5"/>
  <c r="I270" i="5" s="1"/>
  <c r="A269" i="5"/>
  <c r="J269" i="5" s="1"/>
  <c r="J268" i="5"/>
  <c r="H268" i="5"/>
  <c r="F268" i="5"/>
  <c r="B268" i="5"/>
  <c r="D268" i="5" s="1"/>
  <c r="A268" i="5"/>
  <c r="I268" i="5" s="1"/>
  <c r="A267" i="5"/>
  <c r="J267" i="5" s="1"/>
  <c r="J266" i="5"/>
  <c r="H266" i="5"/>
  <c r="F266" i="5"/>
  <c r="B266" i="5"/>
  <c r="D266" i="5" s="1"/>
  <c r="A266" i="5"/>
  <c r="I266" i="5" s="1"/>
  <c r="A265" i="5"/>
  <c r="J265" i="5" s="1"/>
  <c r="J264" i="5"/>
  <c r="H264" i="5"/>
  <c r="F264" i="5"/>
  <c r="B264" i="5"/>
  <c r="D264" i="5" s="1"/>
  <c r="A264" i="5"/>
  <c r="I264" i="5" s="1"/>
  <c r="A263" i="5"/>
  <c r="J263" i="5" s="1"/>
  <c r="J262" i="5"/>
  <c r="H262" i="5"/>
  <c r="F262" i="5"/>
  <c r="B262" i="5"/>
  <c r="D262" i="5" s="1"/>
  <c r="A262" i="5"/>
  <c r="I262" i="5" s="1"/>
  <c r="A261" i="5"/>
  <c r="J261" i="5" s="1"/>
  <c r="J260" i="5"/>
  <c r="H260" i="5"/>
  <c r="F260" i="5"/>
  <c r="B260" i="5"/>
  <c r="D260" i="5" s="1"/>
  <c r="A260" i="5"/>
  <c r="I260" i="5" s="1"/>
  <c r="A259" i="5"/>
  <c r="J259" i="5" s="1"/>
  <c r="J258" i="5"/>
  <c r="H258" i="5"/>
  <c r="F258" i="5"/>
  <c r="B258" i="5"/>
  <c r="D258" i="5" s="1"/>
  <c r="A258" i="5"/>
  <c r="I258" i="5" s="1"/>
  <c r="A257" i="5"/>
  <c r="J257" i="5" s="1"/>
  <c r="J256" i="5"/>
  <c r="H256" i="5"/>
  <c r="F256" i="5"/>
  <c r="B256" i="5"/>
  <c r="D256" i="5" s="1"/>
  <c r="A256" i="5"/>
  <c r="I256" i="5" s="1"/>
  <c r="A255" i="5"/>
  <c r="J255" i="5" s="1"/>
  <c r="J254" i="5"/>
  <c r="H254" i="5"/>
  <c r="F254" i="5"/>
  <c r="B254" i="5"/>
  <c r="D254" i="5" s="1"/>
  <c r="A254" i="5"/>
  <c r="I254" i="5" s="1"/>
  <c r="A253" i="5"/>
  <c r="J253" i="5" s="1"/>
  <c r="J252" i="5"/>
  <c r="H252" i="5"/>
  <c r="F252" i="5"/>
  <c r="B252" i="5"/>
  <c r="D252" i="5" s="1"/>
  <c r="A252" i="5"/>
  <c r="I252" i="5" s="1"/>
  <c r="A251" i="5"/>
  <c r="J251" i="5" s="1"/>
  <c r="J250" i="5"/>
  <c r="H250" i="5"/>
  <c r="F250" i="5"/>
  <c r="B250" i="5"/>
  <c r="D250" i="5" s="1"/>
  <c r="A250" i="5"/>
  <c r="I250" i="5" s="1"/>
  <c r="A249" i="5"/>
  <c r="J249" i="5" s="1"/>
  <c r="J248" i="5"/>
  <c r="H248" i="5"/>
  <c r="F248" i="5"/>
  <c r="B248" i="5"/>
  <c r="D248" i="5" s="1"/>
  <c r="A248" i="5"/>
  <c r="I248" i="5" s="1"/>
  <c r="A247" i="5"/>
  <c r="J247" i="5" s="1"/>
  <c r="J246" i="5"/>
  <c r="H246" i="5"/>
  <c r="F246" i="5"/>
  <c r="B246" i="5"/>
  <c r="D246" i="5" s="1"/>
  <c r="A246" i="5"/>
  <c r="I246" i="5" s="1"/>
  <c r="A245" i="5"/>
  <c r="J245" i="5" s="1"/>
  <c r="J244" i="5"/>
  <c r="H244" i="5"/>
  <c r="F244" i="5"/>
  <c r="B244" i="5"/>
  <c r="D244" i="5" s="1"/>
  <c r="A244" i="5"/>
  <c r="I244" i="5" s="1"/>
  <c r="A243" i="5"/>
  <c r="J243" i="5" s="1"/>
  <c r="J242" i="5"/>
  <c r="H242" i="5"/>
  <c r="F242" i="5"/>
  <c r="B242" i="5"/>
  <c r="D242" i="5" s="1"/>
  <c r="A242" i="5"/>
  <c r="I242" i="5" s="1"/>
  <c r="A241" i="5"/>
  <c r="J241" i="5" s="1"/>
  <c r="J240" i="5"/>
  <c r="H240" i="5"/>
  <c r="F240" i="5"/>
  <c r="B240" i="5"/>
  <c r="D240" i="5" s="1"/>
  <c r="A240" i="5"/>
  <c r="I240" i="5" s="1"/>
  <c r="A239" i="5"/>
  <c r="J239" i="5" s="1"/>
  <c r="J238" i="5"/>
  <c r="H238" i="5"/>
  <c r="F238" i="5"/>
  <c r="B238" i="5"/>
  <c r="D238" i="5" s="1"/>
  <c r="A238" i="5"/>
  <c r="I238" i="5" s="1"/>
  <c r="A237" i="5"/>
  <c r="J237" i="5" s="1"/>
  <c r="J236" i="5"/>
  <c r="H236" i="5"/>
  <c r="F236" i="5"/>
  <c r="B236" i="5"/>
  <c r="D236" i="5" s="1"/>
  <c r="A236" i="5"/>
  <c r="I236" i="5" s="1"/>
  <c r="A235" i="5"/>
  <c r="J235" i="5" s="1"/>
  <c r="J234" i="5"/>
  <c r="H234" i="5"/>
  <c r="F234" i="5"/>
  <c r="B234" i="5"/>
  <c r="D234" i="5" s="1"/>
  <c r="A234" i="5"/>
  <c r="I234" i="5" s="1"/>
  <c r="A233" i="5"/>
  <c r="J233" i="5" s="1"/>
  <c r="J232" i="5"/>
  <c r="H232" i="5"/>
  <c r="F232" i="5"/>
  <c r="B232" i="5"/>
  <c r="D232" i="5" s="1"/>
  <c r="A232" i="5"/>
  <c r="I232" i="5" s="1"/>
  <c r="A231" i="5"/>
  <c r="J231" i="5" s="1"/>
  <c r="J230" i="5"/>
  <c r="H230" i="5"/>
  <c r="F230" i="5"/>
  <c r="B230" i="5"/>
  <c r="D230" i="5" s="1"/>
  <c r="A230" i="5"/>
  <c r="I230" i="5" s="1"/>
  <c r="A229" i="5"/>
  <c r="J229" i="5" s="1"/>
  <c r="J228" i="5"/>
  <c r="H228" i="5"/>
  <c r="F228" i="5"/>
  <c r="B228" i="5"/>
  <c r="D228" i="5" s="1"/>
  <c r="A228" i="5"/>
  <c r="I228" i="5" s="1"/>
  <c r="A227" i="5"/>
  <c r="J227" i="5" s="1"/>
  <c r="J226" i="5"/>
  <c r="H226" i="5"/>
  <c r="F226" i="5"/>
  <c r="B226" i="5"/>
  <c r="D226" i="5" s="1"/>
  <c r="A226" i="5"/>
  <c r="I226" i="5" s="1"/>
  <c r="A225" i="5"/>
  <c r="J225" i="5" s="1"/>
  <c r="J224" i="5"/>
  <c r="H224" i="5"/>
  <c r="F224" i="5"/>
  <c r="B224" i="5"/>
  <c r="D224" i="5" s="1"/>
  <c r="A224" i="5"/>
  <c r="I224" i="5" s="1"/>
  <c r="A223" i="5"/>
  <c r="J223" i="5" s="1"/>
  <c r="J222" i="5"/>
  <c r="H222" i="5"/>
  <c r="F222" i="5"/>
  <c r="B222" i="5"/>
  <c r="D222" i="5" s="1"/>
  <c r="A222" i="5"/>
  <c r="I222" i="5" s="1"/>
  <c r="A221" i="5"/>
  <c r="J221" i="5" s="1"/>
  <c r="J220" i="5"/>
  <c r="H220" i="5"/>
  <c r="F220" i="5"/>
  <c r="B220" i="5"/>
  <c r="D220" i="5" s="1"/>
  <c r="A220" i="5"/>
  <c r="I220" i="5" s="1"/>
  <c r="A219" i="5"/>
  <c r="J219" i="5" s="1"/>
  <c r="J218" i="5"/>
  <c r="H218" i="5"/>
  <c r="F218" i="5"/>
  <c r="B218" i="5"/>
  <c r="D218" i="5" s="1"/>
  <c r="A218" i="5"/>
  <c r="I218" i="5" s="1"/>
  <c r="A217" i="5"/>
  <c r="J217" i="5" s="1"/>
  <c r="J216" i="5"/>
  <c r="H216" i="5"/>
  <c r="F216" i="5"/>
  <c r="B216" i="5"/>
  <c r="D216" i="5" s="1"/>
  <c r="A216" i="5"/>
  <c r="I216" i="5" s="1"/>
  <c r="A215" i="5"/>
  <c r="J215" i="5" s="1"/>
  <c r="J214" i="5"/>
  <c r="H214" i="5"/>
  <c r="F214" i="5"/>
  <c r="B214" i="5"/>
  <c r="D214" i="5" s="1"/>
  <c r="A214" i="5"/>
  <c r="I214" i="5" s="1"/>
  <c r="A213" i="5"/>
  <c r="J213" i="5" s="1"/>
  <c r="J212" i="5"/>
  <c r="H212" i="5"/>
  <c r="F212" i="5"/>
  <c r="B212" i="5"/>
  <c r="D212" i="5" s="1"/>
  <c r="A212" i="5"/>
  <c r="I212" i="5" s="1"/>
  <c r="A211" i="5"/>
  <c r="J211" i="5" s="1"/>
  <c r="J210" i="5"/>
  <c r="H210" i="5"/>
  <c r="F210" i="5"/>
  <c r="B210" i="5"/>
  <c r="D210" i="5" s="1"/>
  <c r="A210" i="5"/>
  <c r="I210" i="5" s="1"/>
  <c r="A209" i="5"/>
  <c r="J209" i="5" s="1"/>
  <c r="J208" i="5"/>
  <c r="H208" i="5"/>
  <c r="F208" i="5"/>
  <c r="B208" i="5"/>
  <c r="D208" i="5" s="1"/>
  <c r="A208" i="5"/>
  <c r="I208" i="5" s="1"/>
  <c r="A207" i="5"/>
  <c r="J207" i="5" s="1"/>
  <c r="J206" i="5"/>
  <c r="H206" i="5"/>
  <c r="F206" i="5"/>
  <c r="B206" i="5"/>
  <c r="D206" i="5" s="1"/>
  <c r="A206" i="5"/>
  <c r="I206" i="5" s="1"/>
  <c r="A205" i="5"/>
  <c r="J205" i="5" s="1"/>
  <c r="J204" i="5"/>
  <c r="H204" i="5"/>
  <c r="F204" i="5"/>
  <c r="B204" i="5"/>
  <c r="D204" i="5" s="1"/>
  <c r="A204" i="5"/>
  <c r="I204" i="5" s="1"/>
  <c r="A203" i="5"/>
  <c r="J203" i="5" s="1"/>
  <c r="J202" i="5"/>
  <c r="H202" i="5"/>
  <c r="F202" i="5"/>
  <c r="B202" i="5"/>
  <c r="D202" i="5" s="1"/>
  <c r="A202" i="5"/>
  <c r="I202" i="5" s="1"/>
  <c r="A201" i="5"/>
  <c r="J201" i="5" s="1"/>
  <c r="J200" i="5"/>
  <c r="H200" i="5"/>
  <c r="F200" i="5"/>
  <c r="B200" i="5"/>
  <c r="D200" i="5" s="1"/>
  <c r="A200" i="5"/>
  <c r="I200" i="5" s="1"/>
  <c r="A199" i="5"/>
  <c r="J199" i="5" s="1"/>
  <c r="J198" i="5"/>
  <c r="H198" i="5"/>
  <c r="F198" i="5"/>
  <c r="B198" i="5"/>
  <c r="D198" i="5" s="1"/>
  <c r="A198" i="5"/>
  <c r="I198" i="5" s="1"/>
  <c r="A197" i="5"/>
  <c r="J197" i="5" s="1"/>
  <c r="J196" i="5"/>
  <c r="H196" i="5"/>
  <c r="F196" i="5"/>
  <c r="B196" i="5"/>
  <c r="D196" i="5" s="1"/>
  <c r="A196" i="5"/>
  <c r="I196" i="5" s="1"/>
  <c r="A195" i="5"/>
  <c r="J195" i="5" s="1"/>
  <c r="J194" i="5"/>
  <c r="H194" i="5"/>
  <c r="F194" i="5"/>
  <c r="B194" i="5"/>
  <c r="D194" i="5" s="1"/>
  <c r="A194" i="5"/>
  <c r="I194" i="5" s="1"/>
  <c r="A193" i="5"/>
  <c r="J193" i="5" s="1"/>
  <c r="J192" i="5"/>
  <c r="H192" i="5"/>
  <c r="F192" i="5"/>
  <c r="B192" i="5"/>
  <c r="D192" i="5" s="1"/>
  <c r="A192" i="5"/>
  <c r="I192" i="5" s="1"/>
  <c r="A191" i="5"/>
  <c r="J191" i="5" s="1"/>
  <c r="J190" i="5"/>
  <c r="H190" i="5"/>
  <c r="F190" i="5"/>
  <c r="B190" i="5"/>
  <c r="D190" i="5" s="1"/>
  <c r="A190" i="5"/>
  <c r="I190" i="5" s="1"/>
  <c r="A189" i="5"/>
  <c r="J189" i="5" s="1"/>
  <c r="J188" i="5"/>
  <c r="H188" i="5"/>
  <c r="F188" i="5"/>
  <c r="B188" i="5"/>
  <c r="D188" i="5" s="1"/>
  <c r="A188" i="5"/>
  <c r="I188" i="5" s="1"/>
  <c r="A187" i="5"/>
  <c r="J187" i="5" s="1"/>
  <c r="J186" i="5"/>
  <c r="H186" i="5"/>
  <c r="F186" i="5"/>
  <c r="B186" i="5"/>
  <c r="D186" i="5" s="1"/>
  <c r="A186" i="5"/>
  <c r="I186" i="5" s="1"/>
  <c r="A185" i="5"/>
  <c r="J185" i="5" s="1"/>
  <c r="J184" i="5"/>
  <c r="H184" i="5"/>
  <c r="F184" i="5"/>
  <c r="B184" i="5"/>
  <c r="D184" i="5" s="1"/>
  <c r="A184" i="5"/>
  <c r="I184" i="5" s="1"/>
  <c r="A183" i="5"/>
  <c r="J183" i="5" s="1"/>
  <c r="J182" i="5"/>
  <c r="H182" i="5"/>
  <c r="F182" i="5"/>
  <c r="B182" i="5"/>
  <c r="D182" i="5" s="1"/>
  <c r="A182" i="5"/>
  <c r="I182" i="5" s="1"/>
  <c r="A181" i="5"/>
  <c r="J181" i="5" s="1"/>
  <c r="J180" i="5"/>
  <c r="H180" i="5"/>
  <c r="F180" i="5"/>
  <c r="B180" i="5"/>
  <c r="D180" i="5" s="1"/>
  <c r="A180" i="5"/>
  <c r="I180" i="5" s="1"/>
  <c r="A179" i="5"/>
  <c r="J179" i="5" s="1"/>
  <c r="J178" i="5"/>
  <c r="H178" i="5"/>
  <c r="F178" i="5"/>
  <c r="B178" i="5"/>
  <c r="D178" i="5" s="1"/>
  <c r="A178" i="5"/>
  <c r="I178" i="5" s="1"/>
  <c r="A177" i="5"/>
  <c r="J177" i="5" s="1"/>
  <c r="J176" i="5"/>
  <c r="H176" i="5"/>
  <c r="F176" i="5"/>
  <c r="B176" i="5"/>
  <c r="D176" i="5" s="1"/>
  <c r="A176" i="5"/>
  <c r="I176" i="5" s="1"/>
  <c r="A175" i="5"/>
  <c r="G175" i="5" s="1"/>
  <c r="J174" i="5"/>
  <c r="H174" i="5"/>
  <c r="F174" i="5"/>
  <c r="B174" i="5"/>
  <c r="D174" i="5" s="1"/>
  <c r="A174" i="5"/>
  <c r="I174" i="5" s="1"/>
  <c r="A173" i="5"/>
  <c r="G173" i="5" s="1"/>
  <c r="J172" i="5"/>
  <c r="H172" i="5"/>
  <c r="F172" i="5"/>
  <c r="B172" i="5"/>
  <c r="D172" i="5" s="1"/>
  <c r="A172" i="5"/>
  <c r="I172" i="5" s="1"/>
  <c r="A171" i="5"/>
  <c r="G171" i="5" s="1"/>
  <c r="J170" i="5"/>
  <c r="H170" i="5"/>
  <c r="F170" i="5"/>
  <c r="B170" i="5"/>
  <c r="D170" i="5" s="1"/>
  <c r="A170" i="5"/>
  <c r="I170" i="5" s="1"/>
  <c r="A169" i="5"/>
  <c r="G169" i="5" s="1"/>
  <c r="J168" i="5"/>
  <c r="H168" i="5"/>
  <c r="F168" i="5"/>
  <c r="B168" i="5"/>
  <c r="D168" i="5" s="1"/>
  <c r="A168" i="5"/>
  <c r="I168" i="5" s="1"/>
  <c r="A167" i="5"/>
  <c r="G167" i="5" s="1"/>
  <c r="J166" i="5"/>
  <c r="H166" i="5"/>
  <c r="F166" i="5"/>
  <c r="B166" i="5"/>
  <c r="D166" i="5" s="1"/>
  <c r="A166" i="5"/>
  <c r="I166" i="5" s="1"/>
  <c r="A165" i="5"/>
  <c r="G165" i="5" s="1"/>
  <c r="J164" i="5"/>
  <c r="H164" i="5"/>
  <c r="F164" i="5"/>
  <c r="B164" i="5"/>
  <c r="D164" i="5" s="1"/>
  <c r="A164" i="5"/>
  <c r="I164" i="5" s="1"/>
  <c r="A163" i="5"/>
  <c r="G163" i="5" s="1"/>
  <c r="J162" i="5"/>
  <c r="H162" i="5"/>
  <c r="F162" i="5"/>
  <c r="B162" i="5"/>
  <c r="D162" i="5" s="1"/>
  <c r="A162" i="5"/>
  <c r="I162" i="5" s="1"/>
  <c r="A161" i="5"/>
  <c r="G161" i="5" s="1"/>
  <c r="J160" i="5"/>
  <c r="H160" i="5"/>
  <c r="F160" i="5"/>
  <c r="B160" i="5"/>
  <c r="D160" i="5" s="1"/>
  <c r="A160" i="5"/>
  <c r="I160" i="5" s="1"/>
  <c r="A159" i="5"/>
  <c r="G159" i="5" s="1"/>
  <c r="J158" i="5"/>
  <c r="H158" i="5"/>
  <c r="F158" i="5"/>
  <c r="B158" i="5"/>
  <c r="D158" i="5" s="1"/>
  <c r="A158" i="5"/>
  <c r="I158" i="5" s="1"/>
  <c r="A157" i="5"/>
  <c r="G157" i="5" s="1"/>
  <c r="J156" i="5"/>
  <c r="H156" i="5"/>
  <c r="F156" i="5"/>
  <c r="B156" i="5"/>
  <c r="D156" i="5" s="1"/>
  <c r="A156" i="5"/>
  <c r="I156" i="5" s="1"/>
  <c r="A155" i="5"/>
  <c r="G155" i="5" s="1"/>
  <c r="J154" i="5"/>
  <c r="H154" i="5"/>
  <c r="F154" i="5"/>
  <c r="B154" i="5"/>
  <c r="D154" i="5" s="1"/>
  <c r="A154" i="5"/>
  <c r="I154" i="5" s="1"/>
  <c r="A153" i="5"/>
  <c r="G153" i="5" s="1"/>
  <c r="J152" i="5"/>
  <c r="H152" i="5"/>
  <c r="F152" i="5"/>
  <c r="B152" i="5"/>
  <c r="D152" i="5" s="1"/>
  <c r="A152" i="5"/>
  <c r="I152" i="5" s="1"/>
  <c r="A151" i="5"/>
  <c r="G151" i="5" s="1"/>
  <c r="J150" i="5"/>
  <c r="H150" i="5"/>
  <c r="F150" i="5"/>
  <c r="B150" i="5"/>
  <c r="D150" i="5" s="1"/>
  <c r="A150" i="5"/>
  <c r="I150" i="5" s="1"/>
  <c r="A149" i="5"/>
  <c r="G149" i="5" s="1"/>
  <c r="J148" i="5"/>
  <c r="H148" i="5"/>
  <c r="F148" i="5"/>
  <c r="B148" i="5"/>
  <c r="D148" i="5" s="1"/>
  <c r="A148" i="5"/>
  <c r="I148" i="5" s="1"/>
  <c r="A147" i="5"/>
  <c r="G147" i="5" s="1"/>
  <c r="J146" i="5"/>
  <c r="H146" i="5"/>
  <c r="F146" i="5"/>
  <c r="B146" i="5"/>
  <c r="D146" i="5" s="1"/>
  <c r="A146" i="5"/>
  <c r="I146" i="5" s="1"/>
  <c r="A145" i="5"/>
  <c r="G145" i="5" s="1"/>
  <c r="J144" i="5"/>
  <c r="H144" i="5"/>
  <c r="F144" i="5"/>
  <c r="B144" i="5"/>
  <c r="D144" i="5" s="1"/>
  <c r="A144" i="5"/>
  <c r="I144" i="5" s="1"/>
  <c r="A143" i="5"/>
  <c r="G143" i="5" s="1"/>
  <c r="J142" i="5"/>
  <c r="H142" i="5"/>
  <c r="F142" i="5"/>
  <c r="B142" i="5"/>
  <c r="D142" i="5" s="1"/>
  <c r="A142" i="5"/>
  <c r="I142" i="5" s="1"/>
  <c r="A141" i="5"/>
  <c r="G141" i="5" s="1"/>
  <c r="J140" i="5"/>
  <c r="H140" i="5"/>
  <c r="F140" i="5"/>
  <c r="B140" i="5"/>
  <c r="D140" i="5" s="1"/>
  <c r="A140" i="5"/>
  <c r="I140" i="5" s="1"/>
  <c r="A139" i="5"/>
  <c r="G139" i="5" s="1"/>
  <c r="J138" i="5"/>
  <c r="H138" i="5"/>
  <c r="F138" i="5"/>
  <c r="B138" i="5"/>
  <c r="D138" i="5" s="1"/>
  <c r="A138" i="5"/>
  <c r="I138" i="5" s="1"/>
  <c r="A137" i="5"/>
  <c r="G137" i="5" s="1"/>
  <c r="J136" i="5"/>
  <c r="H136" i="5"/>
  <c r="F136" i="5"/>
  <c r="B136" i="5"/>
  <c r="D136" i="5" s="1"/>
  <c r="A136" i="5"/>
  <c r="I136" i="5" s="1"/>
  <c r="A135" i="5"/>
  <c r="G135" i="5" s="1"/>
  <c r="J134" i="5"/>
  <c r="H134" i="5"/>
  <c r="F134" i="5"/>
  <c r="B134" i="5"/>
  <c r="D134" i="5" s="1"/>
  <c r="A134" i="5"/>
  <c r="I134" i="5" s="1"/>
  <c r="A133" i="5"/>
  <c r="G133" i="5" s="1"/>
  <c r="J132" i="5"/>
  <c r="H132" i="5"/>
  <c r="F132" i="5"/>
  <c r="B132" i="5"/>
  <c r="D132" i="5" s="1"/>
  <c r="A132" i="5"/>
  <c r="I132" i="5" s="1"/>
  <c r="A131" i="5"/>
  <c r="G131" i="5" s="1"/>
  <c r="J130" i="5"/>
  <c r="H130" i="5"/>
  <c r="F130" i="5"/>
  <c r="B130" i="5"/>
  <c r="D130" i="5" s="1"/>
  <c r="A130" i="5"/>
  <c r="I130" i="5" s="1"/>
  <c r="A129" i="5"/>
  <c r="G129" i="5" s="1"/>
  <c r="J128" i="5"/>
  <c r="H128" i="5"/>
  <c r="F128" i="5"/>
  <c r="B128" i="5"/>
  <c r="D128" i="5" s="1"/>
  <c r="A128" i="5"/>
  <c r="I128" i="5" s="1"/>
  <c r="A127" i="5"/>
  <c r="G127" i="5" s="1"/>
  <c r="J126" i="5"/>
  <c r="H126" i="5"/>
  <c r="F126" i="5"/>
  <c r="B126" i="5"/>
  <c r="D126" i="5" s="1"/>
  <c r="A126" i="5"/>
  <c r="I126" i="5" s="1"/>
  <c r="A125" i="5"/>
  <c r="G125" i="5" s="1"/>
  <c r="J124" i="5"/>
  <c r="H124" i="5"/>
  <c r="F124" i="5"/>
  <c r="B124" i="5"/>
  <c r="D124" i="5" s="1"/>
  <c r="A124" i="5"/>
  <c r="I124" i="5" s="1"/>
  <c r="A123" i="5"/>
  <c r="G123" i="5" s="1"/>
  <c r="J122" i="5"/>
  <c r="H122" i="5"/>
  <c r="F122" i="5"/>
  <c r="B122" i="5"/>
  <c r="D122" i="5" s="1"/>
  <c r="A122" i="5"/>
  <c r="I122" i="5" s="1"/>
  <c r="A121" i="5"/>
  <c r="G121" i="5" s="1"/>
  <c r="J120" i="5"/>
  <c r="H120" i="5"/>
  <c r="F120" i="5"/>
  <c r="B120" i="5"/>
  <c r="D120" i="5" s="1"/>
  <c r="A120" i="5"/>
  <c r="I120" i="5" s="1"/>
  <c r="A119" i="5"/>
  <c r="G119" i="5" s="1"/>
  <c r="J118" i="5"/>
  <c r="H118" i="5"/>
  <c r="F118" i="5"/>
  <c r="B118" i="5"/>
  <c r="D118" i="5" s="1"/>
  <c r="A118" i="5"/>
  <c r="I118" i="5" s="1"/>
  <c r="A117" i="5"/>
  <c r="G117" i="5" s="1"/>
  <c r="J116" i="5"/>
  <c r="H116" i="5"/>
  <c r="F116" i="5"/>
  <c r="B116" i="5"/>
  <c r="D116" i="5" s="1"/>
  <c r="A116" i="5"/>
  <c r="I116" i="5" s="1"/>
  <c r="I115" i="5"/>
  <c r="F115" i="5"/>
  <c r="B115" i="5"/>
  <c r="D115" i="5" s="1"/>
  <c r="A115" i="5"/>
  <c r="A114" i="5"/>
  <c r="I114" i="5" s="1"/>
  <c r="J113" i="5"/>
  <c r="H113" i="5"/>
  <c r="F113" i="5"/>
  <c r="B113" i="5"/>
  <c r="D113" i="5" s="1"/>
  <c r="A113" i="5"/>
  <c r="I113" i="5" s="1"/>
  <c r="A112" i="5"/>
  <c r="I112" i="5" s="1"/>
  <c r="J111" i="5"/>
  <c r="H111" i="5"/>
  <c r="F111" i="5"/>
  <c r="B111" i="5"/>
  <c r="D111" i="5" s="1"/>
  <c r="A111" i="5"/>
  <c r="I111" i="5" s="1"/>
  <c r="A110" i="5"/>
  <c r="I110" i="5" s="1"/>
  <c r="J109" i="5"/>
  <c r="H109" i="5"/>
  <c r="F109" i="5"/>
  <c r="B109" i="5"/>
  <c r="D109" i="5" s="1"/>
  <c r="A109" i="5"/>
  <c r="I109" i="5" s="1"/>
  <c r="A108" i="5"/>
  <c r="I108" i="5" s="1"/>
  <c r="J107" i="5"/>
  <c r="H107" i="5"/>
  <c r="F107" i="5"/>
  <c r="B107" i="5"/>
  <c r="D107" i="5" s="1"/>
  <c r="A107" i="5"/>
  <c r="I107" i="5" s="1"/>
  <c r="A106" i="5"/>
  <c r="I106" i="5" s="1"/>
  <c r="J105" i="5"/>
  <c r="H105" i="5"/>
  <c r="F105" i="5"/>
  <c r="B105" i="5"/>
  <c r="D105" i="5" s="1"/>
  <c r="A105" i="5"/>
  <c r="I105" i="5" s="1"/>
  <c r="A104" i="5"/>
  <c r="I104" i="5" s="1"/>
  <c r="J103" i="5"/>
  <c r="H103" i="5"/>
  <c r="F103" i="5"/>
  <c r="B103" i="5"/>
  <c r="D103" i="5" s="1"/>
  <c r="A103" i="5"/>
  <c r="I103" i="5" s="1"/>
  <c r="A102" i="5"/>
  <c r="I102" i="5" s="1"/>
  <c r="J101" i="5"/>
  <c r="H101" i="5"/>
  <c r="F101" i="5"/>
  <c r="B101" i="5"/>
  <c r="D101" i="5" s="1"/>
  <c r="A101" i="5"/>
  <c r="I101" i="5" s="1"/>
  <c r="A100" i="5"/>
  <c r="I100" i="5" s="1"/>
  <c r="J99" i="5"/>
  <c r="H99" i="5"/>
  <c r="F99" i="5"/>
  <c r="B99" i="5"/>
  <c r="D99" i="5" s="1"/>
  <c r="A99" i="5"/>
  <c r="I99" i="5" s="1"/>
  <c r="A98" i="5"/>
  <c r="I98" i="5" s="1"/>
  <c r="J97" i="5"/>
  <c r="H97" i="5"/>
  <c r="F97" i="5"/>
  <c r="B97" i="5"/>
  <c r="D97" i="5" s="1"/>
  <c r="A97" i="5"/>
  <c r="I97" i="5" s="1"/>
  <c r="A96" i="5"/>
  <c r="I96" i="5" s="1"/>
  <c r="J95" i="5"/>
  <c r="H95" i="5"/>
  <c r="F95" i="5"/>
  <c r="B95" i="5"/>
  <c r="D95" i="5" s="1"/>
  <c r="A95" i="5"/>
  <c r="I95" i="5" s="1"/>
  <c r="A94" i="5"/>
  <c r="I94" i="5" s="1"/>
  <c r="J93" i="5"/>
  <c r="H93" i="5"/>
  <c r="F93" i="5"/>
  <c r="B93" i="5"/>
  <c r="D93" i="5" s="1"/>
  <c r="A93" i="5"/>
  <c r="I93" i="5" s="1"/>
  <c r="A92" i="5"/>
  <c r="I92" i="5" s="1"/>
  <c r="J91" i="5"/>
  <c r="H91" i="5"/>
  <c r="F91" i="5"/>
  <c r="B91" i="5"/>
  <c r="D91" i="5" s="1"/>
  <c r="A91" i="5"/>
  <c r="I91" i="5" s="1"/>
  <c r="A90" i="5"/>
  <c r="I90" i="5" s="1"/>
  <c r="J89" i="5"/>
  <c r="H89" i="5"/>
  <c r="F89" i="5"/>
  <c r="B89" i="5"/>
  <c r="D89" i="5" s="1"/>
  <c r="A89" i="5"/>
  <c r="I89" i="5" s="1"/>
  <c r="A88" i="5"/>
  <c r="I88" i="5" s="1"/>
  <c r="J87" i="5"/>
  <c r="H87" i="5"/>
  <c r="F87" i="5"/>
  <c r="B87" i="5"/>
  <c r="D87" i="5" s="1"/>
  <c r="A87" i="5"/>
  <c r="I87" i="5" s="1"/>
  <c r="A86" i="5"/>
  <c r="I86" i="5" s="1"/>
  <c r="J85" i="5"/>
  <c r="H85" i="5"/>
  <c r="F85" i="5"/>
  <c r="B85" i="5"/>
  <c r="D85" i="5" s="1"/>
  <c r="A85" i="5"/>
  <c r="I85" i="5" s="1"/>
  <c r="A84" i="5"/>
  <c r="I84" i="5" s="1"/>
  <c r="J83" i="5"/>
  <c r="H83" i="5"/>
  <c r="F83" i="5"/>
  <c r="B83" i="5"/>
  <c r="D83" i="5" s="1"/>
  <c r="A83" i="5"/>
  <c r="I83" i="5" s="1"/>
  <c r="A82" i="5"/>
  <c r="I82" i="5" s="1"/>
  <c r="J81" i="5"/>
  <c r="H81" i="5"/>
  <c r="F81" i="5"/>
  <c r="B81" i="5"/>
  <c r="D81" i="5" s="1"/>
  <c r="A81" i="5"/>
  <c r="I81" i="5" s="1"/>
  <c r="A80" i="5"/>
  <c r="I80" i="5" s="1"/>
  <c r="J79" i="5"/>
  <c r="H79" i="5"/>
  <c r="F79" i="5"/>
  <c r="B79" i="5"/>
  <c r="D79" i="5" s="1"/>
  <c r="A79" i="5"/>
  <c r="I79" i="5" s="1"/>
  <c r="A78" i="5"/>
  <c r="I78" i="5" s="1"/>
  <c r="J77" i="5"/>
  <c r="H77" i="5"/>
  <c r="F77" i="5"/>
  <c r="B77" i="5"/>
  <c r="D77" i="5" s="1"/>
  <c r="A77" i="5"/>
  <c r="I77" i="5" s="1"/>
  <c r="A76" i="5"/>
  <c r="I76" i="5" s="1"/>
  <c r="J75" i="5"/>
  <c r="H75" i="5"/>
  <c r="F75" i="5"/>
  <c r="B75" i="5"/>
  <c r="D75" i="5" s="1"/>
  <c r="A75" i="5"/>
  <c r="I75" i="5" s="1"/>
  <c r="A74" i="5"/>
  <c r="I74" i="5" s="1"/>
  <c r="J73" i="5"/>
  <c r="H73" i="5"/>
  <c r="F73" i="5"/>
  <c r="B73" i="5"/>
  <c r="D73" i="5" s="1"/>
  <c r="A73" i="5"/>
  <c r="I73" i="5" s="1"/>
  <c r="A72" i="5"/>
  <c r="I72" i="5" s="1"/>
  <c r="J71" i="5"/>
  <c r="H71" i="5"/>
  <c r="F71" i="5"/>
  <c r="B71" i="5"/>
  <c r="D71" i="5" s="1"/>
  <c r="A71" i="5"/>
  <c r="I71" i="5" s="1"/>
  <c r="A70" i="5"/>
  <c r="I70" i="5" s="1"/>
  <c r="J69" i="5"/>
  <c r="H69" i="5"/>
  <c r="F69" i="5"/>
  <c r="B69" i="5"/>
  <c r="D69" i="5" s="1"/>
  <c r="A69" i="5"/>
  <c r="I69" i="5" s="1"/>
  <c r="A68" i="5"/>
  <c r="I68" i="5" s="1"/>
  <c r="J67" i="5"/>
  <c r="H67" i="5"/>
  <c r="F67" i="5"/>
  <c r="B67" i="5"/>
  <c r="D67" i="5" s="1"/>
  <c r="A67" i="5"/>
  <c r="I67" i="5" s="1"/>
  <c r="A66" i="5"/>
  <c r="I66" i="5" s="1"/>
  <c r="J65" i="5"/>
  <c r="H65" i="5"/>
  <c r="F65" i="5"/>
  <c r="B65" i="5"/>
  <c r="D65" i="5" s="1"/>
  <c r="A65" i="5"/>
  <c r="I65" i="5" s="1"/>
  <c r="A64" i="5"/>
  <c r="I64" i="5" s="1"/>
  <c r="J63" i="5"/>
  <c r="H63" i="5"/>
  <c r="F63" i="5"/>
  <c r="B63" i="5"/>
  <c r="D63" i="5" s="1"/>
  <c r="A63" i="5"/>
  <c r="I63" i="5" s="1"/>
  <c r="A62" i="5"/>
  <c r="I62" i="5" s="1"/>
  <c r="J61" i="5"/>
  <c r="H61" i="5"/>
  <c r="F61" i="5"/>
  <c r="B61" i="5"/>
  <c r="D61" i="5" s="1"/>
  <c r="A61" i="5"/>
  <c r="I61" i="5" s="1"/>
  <c r="A60" i="5"/>
  <c r="I60" i="5" s="1"/>
  <c r="J59" i="5"/>
  <c r="H59" i="5"/>
  <c r="F59" i="5"/>
  <c r="B59" i="5"/>
  <c r="D59" i="5" s="1"/>
  <c r="A59" i="5"/>
  <c r="I59" i="5" s="1"/>
  <c r="A58" i="5"/>
  <c r="I58" i="5" s="1"/>
  <c r="J57" i="5"/>
  <c r="H57" i="5"/>
  <c r="F57" i="5"/>
  <c r="B57" i="5"/>
  <c r="D57" i="5" s="1"/>
  <c r="A57" i="5"/>
  <c r="I57" i="5" s="1"/>
  <c r="A56" i="5"/>
  <c r="I56" i="5" s="1"/>
  <c r="J55" i="5"/>
  <c r="H55" i="5"/>
  <c r="F55" i="5"/>
  <c r="B55" i="5"/>
  <c r="D55" i="5" s="1"/>
  <c r="A55" i="5"/>
  <c r="I55" i="5" s="1"/>
  <c r="A54" i="5"/>
  <c r="I54" i="5" s="1"/>
  <c r="J53" i="5"/>
  <c r="H53" i="5"/>
  <c r="F53" i="5"/>
  <c r="B53" i="5"/>
  <c r="D53" i="5" s="1"/>
  <c r="A53" i="5"/>
  <c r="I53" i="5" s="1"/>
  <c r="A52" i="5"/>
  <c r="I52" i="5" s="1"/>
  <c r="J51" i="5"/>
  <c r="H51" i="5"/>
  <c r="F51" i="5"/>
  <c r="B51" i="5"/>
  <c r="D51" i="5" s="1"/>
  <c r="A51" i="5"/>
  <c r="I51" i="5" s="1"/>
  <c r="A50" i="5"/>
  <c r="I50" i="5" s="1"/>
  <c r="J49" i="5"/>
  <c r="H49" i="5"/>
  <c r="F49" i="5"/>
  <c r="B49" i="5"/>
  <c r="D49" i="5" s="1"/>
  <c r="A49" i="5"/>
  <c r="I49" i="5" s="1"/>
  <c r="A48" i="5"/>
  <c r="I48" i="5" s="1"/>
  <c r="J47" i="5"/>
  <c r="H47" i="5"/>
  <c r="F47" i="5"/>
  <c r="B47" i="5"/>
  <c r="D47" i="5" s="1"/>
  <c r="A47" i="5"/>
  <c r="I47" i="5" s="1"/>
  <c r="A46" i="5"/>
  <c r="I46" i="5" s="1"/>
  <c r="J45" i="5"/>
  <c r="H45" i="5"/>
  <c r="F45" i="5"/>
  <c r="B45" i="5"/>
  <c r="D45" i="5" s="1"/>
  <c r="A45" i="5"/>
  <c r="I45" i="5" s="1"/>
  <c r="A44" i="5"/>
  <c r="I44" i="5" s="1"/>
  <c r="J43" i="5"/>
  <c r="H43" i="5"/>
  <c r="F43" i="5"/>
  <c r="B43" i="5"/>
  <c r="D43" i="5" s="1"/>
  <c r="A43" i="5"/>
  <c r="I43" i="5" s="1"/>
  <c r="A42" i="5"/>
  <c r="I42" i="5" s="1"/>
  <c r="J41" i="5"/>
  <c r="H41" i="5"/>
  <c r="F41" i="5"/>
  <c r="B41" i="5"/>
  <c r="D41" i="5" s="1"/>
  <c r="A41" i="5"/>
  <c r="I41" i="5" s="1"/>
  <c r="A40" i="5"/>
  <c r="I40" i="5" s="1"/>
  <c r="J39" i="5"/>
  <c r="H39" i="5"/>
  <c r="F39" i="5"/>
  <c r="B39" i="5"/>
  <c r="D39" i="5" s="1"/>
  <c r="A39" i="5"/>
  <c r="I39" i="5" s="1"/>
  <c r="A38" i="5"/>
  <c r="I38" i="5" s="1"/>
  <c r="J37" i="5"/>
  <c r="H37" i="5"/>
  <c r="F37" i="5"/>
  <c r="B37" i="5"/>
  <c r="D37" i="5" s="1"/>
  <c r="A37" i="5"/>
  <c r="I37" i="5" s="1"/>
  <c r="A36" i="5"/>
  <c r="I36" i="5" s="1"/>
  <c r="J35" i="5"/>
  <c r="H35" i="5"/>
  <c r="F35" i="5"/>
  <c r="B35" i="5"/>
  <c r="D35" i="5" s="1"/>
  <c r="A35" i="5"/>
  <c r="I35" i="5" s="1"/>
  <c r="A34" i="5"/>
  <c r="I34" i="5" s="1"/>
  <c r="J33" i="5"/>
  <c r="H33" i="5"/>
  <c r="F33" i="5"/>
  <c r="B33" i="5"/>
  <c r="D33" i="5" s="1"/>
  <c r="A33" i="5"/>
  <c r="I33" i="5" s="1"/>
  <c r="A32" i="5"/>
  <c r="I32" i="5" s="1"/>
  <c r="J31" i="5"/>
  <c r="H31" i="5"/>
  <c r="F31" i="5"/>
  <c r="B31" i="5"/>
  <c r="D31" i="5" s="1"/>
  <c r="A31" i="5"/>
  <c r="I31" i="5" s="1"/>
  <c r="A30" i="5"/>
  <c r="I30" i="5" s="1"/>
  <c r="J29" i="5"/>
  <c r="H29" i="5"/>
  <c r="F29" i="5"/>
  <c r="B29" i="5"/>
  <c r="D29" i="5" s="1"/>
  <c r="A29" i="5"/>
  <c r="I29" i="5" s="1"/>
  <c r="A28" i="5"/>
  <c r="I28" i="5" s="1"/>
  <c r="J27" i="5"/>
  <c r="H27" i="5"/>
  <c r="F27" i="5"/>
  <c r="B27" i="5"/>
  <c r="D27" i="5" s="1"/>
  <c r="A27" i="5"/>
  <c r="I27" i="5" s="1"/>
  <c r="A26" i="5"/>
  <c r="I26" i="5" s="1"/>
  <c r="J25" i="5"/>
  <c r="H25" i="5"/>
  <c r="F25" i="5"/>
  <c r="B25" i="5"/>
  <c r="D25" i="5" s="1"/>
  <c r="A25" i="5"/>
  <c r="I25" i="5" s="1"/>
  <c r="A24" i="5"/>
  <c r="I24" i="5" s="1"/>
  <c r="J23" i="5"/>
  <c r="H23" i="5"/>
  <c r="F23" i="5"/>
  <c r="B23" i="5"/>
  <c r="D23" i="5" s="1"/>
  <c r="A23" i="5"/>
  <c r="I23" i="5" s="1"/>
  <c r="A22" i="5"/>
  <c r="I22" i="5" s="1"/>
  <c r="J21" i="5"/>
  <c r="H21" i="5"/>
  <c r="F21" i="5"/>
  <c r="B21" i="5"/>
  <c r="D21" i="5" s="1"/>
  <c r="A21" i="5"/>
  <c r="I21" i="5" s="1"/>
  <c r="A20" i="5"/>
  <c r="I20" i="5" s="1"/>
  <c r="J19" i="5"/>
  <c r="H19" i="5"/>
  <c r="F19" i="5"/>
  <c r="B19" i="5"/>
  <c r="D19" i="5" s="1"/>
  <c r="A19" i="5"/>
  <c r="I19" i="5" s="1"/>
  <c r="A18" i="5"/>
  <c r="I18" i="5" s="1"/>
  <c r="J17" i="5"/>
  <c r="H17" i="5"/>
  <c r="F17" i="5"/>
  <c r="B17" i="5"/>
  <c r="D17" i="5" s="1"/>
  <c r="A17" i="5"/>
  <c r="I17" i="5" s="1"/>
  <c r="A16" i="5"/>
  <c r="I16" i="5" s="1"/>
  <c r="J15" i="5"/>
  <c r="H15" i="5"/>
  <c r="F15" i="5"/>
  <c r="B15" i="5"/>
  <c r="D15" i="5" s="1"/>
  <c r="A15" i="5"/>
  <c r="I15" i="5" s="1"/>
  <c r="A14" i="5"/>
  <c r="I14" i="5" s="1"/>
  <c r="J13" i="5"/>
  <c r="H13" i="5"/>
  <c r="F13" i="5"/>
  <c r="B13" i="5"/>
  <c r="D13" i="5" s="1"/>
  <c r="A13" i="5"/>
  <c r="I13" i="5" s="1"/>
  <c r="A12" i="5"/>
  <c r="I12" i="5" s="1"/>
  <c r="J11" i="5"/>
  <c r="H11" i="5"/>
  <c r="F11" i="5"/>
  <c r="B11" i="5"/>
  <c r="D11" i="5" s="1"/>
  <c r="A11" i="5"/>
  <c r="I11" i="5" s="1"/>
  <c r="A10" i="5"/>
  <c r="I10" i="5" s="1"/>
  <c r="J9" i="5"/>
  <c r="F9" i="5"/>
  <c r="B9" i="5"/>
  <c r="D9" i="5" s="1"/>
  <c r="A9" i="5"/>
  <c r="A8" i="5"/>
  <c r="G8" i="5" s="1"/>
  <c r="J7" i="5"/>
  <c r="F7" i="5"/>
  <c r="B7" i="5"/>
  <c r="D7" i="5" s="1"/>
  <c r="A7" i="5"/>
  <c r="A6" i="5"/>
  <c r="G6" i="5" s="1"/>
  <c r="P2005" i="4"/>
  <c r="O2005" i="4"/>
  <c r="N2005" i="4"/>
  <c r="M2005" i="4"/>
  <c r="M2005" i="5" s="1"/>
  <c r="N2005" i="5" s="1"/>
  <c r="L2005" i="4"/>
  <c r="P2004" i="4"/>
  <c r="O2004" i="4"/>
  <c r="N2004" i="4"/>
  <c r="M2004" i="4"/>
  <c r="M2004" i="5" s="1"/>
  <c r="N2004" i="5" s="1"/>
  <c r="L2004" i="4"/>
  <c r="P2003" i="4"/>
  <c r="O2003" i="4"/>
  <c r="N2003" i="4"/>
  <c r="M2003" i="4"/>
  <c r="M2003" i="5" s="1"/>
  <c r="N2003" i="5" s="1"/>
  <c r="L2003" i="4"/>
  <c r="P2002" i="4"/>
  <c r="O2002" i="4"/>
  <c r="N2002" i="4"/>
  <c r="M2002" i="4"/>
  <c r="M2002" i="5" s="1"/>
  <c r="N2002" i="5" s="1"/>
  <c r="L2002" i="4"/>
  <c r="P2001" i="4"/>
  <c r="O2001" i="4"/>
  <c r="N2001" i="4"/>
  <c r="M2001" i="4"/>
  <c r="M2001" i="5" s="1"/>
  <c r="N2001" i="5" s="1"/>
  <c r="L2001" i="4"/>
  <c r="P2000" i="4"/>
  <c r="O2000" i="4"/>
  <c r="N2000" i="4"/>
  <c r="M2000" i="4"/>
  <c r="M2000" i="5" s="1"/>
  <c r="N2000" i="5" s="1"/>
  <c r="L2000" i="4"/>
  <c r="P1999" i="4"/>
  <c r="O1999" i="4"/>
  <c r="N1999" i="4"/>
  <c r="M1999" i="4"/>
  <c r="M1999" i="5" s="1"/>
  <c r="N1999" i="5" s="1"/>
  <c r="L1999" i="4"/>
  <c r="P1998" i="4"/>
  <c r="O1998" i="4"/>
  <c r="N1998" i="4"/>
  <c r="M1998" i="4"/>
  <c r="M1998" i="5" s="1"/>
  <c r="N1998" i="5" s="1"/>
  <c r="L1998" i="4"/>
  <c r="P1997" i="4"/>
  <c r="O1997" i="4"/>
  <c r="N1997" i="4"/>
  <c r="M1997" i="4"/>
  <c r="M1997" i="5" s="1"/>
  <c r="N1997" i="5" s="1"/>
  <c r="L1997" i="4"/>
  <c r="P1996" i="4"/>
  <c r="O1996" i="4"/>
  <c r="N1996" i="4"/>
  <c r="M1996" i="4"/>
  <c r="M1996" i="5" s="1"/>
  <c r="N1996" i="5" s="1"/>
  <c r="L1996" i="4"/>
  <c r="P1995" i="4"/>
  <c r="O1995" i="4"/>
  <c r="N1995" i="4"/>
  <c r="M1995" i="4"/>
  <c r="M1995" i="5" s="1"/>
  <c r="N1995" i="5" s="1"/>
  <c r="L1995" i="4"/>
  <c r="P1994" i="4"/>
  <c r="O1994" i="4"/>
  <c r="N1994" i="4"/>
  <c r="M1994" i="4"/>
  <c r="M1994" i="5" s="1"/>
  <c r="N1994" i="5" s="1"/>
  <c r="L1994" i="4"/>
  <c r="P1993" i="4"/>
  <c r="O1993" i="4"/>
  <c r="N1993" i="4"/>
  <c r="M1993" i="4"/>
  <c r="M1993" i="5" s="1"/>
  <c r="N1993" i="5" s="1"/>
  <c r="L1993" i="4"/>
  <c r="P1992" i="4"/>
  <c r="O1992" i="4"/>
  <c r="N1992" i="4"/>
  <c r="M1992" i="4"/>
  <c r="M1992" i="5" s="1"/>
  <c r="N1992" i="5" s="1"/>
  <c r="L1992" i="4"/>
  <c r="P1991" i="4"/>
  <c r="O1991" i="4"/>
  <c r="N1991" i="4"/>
  <c r="M1991" i="4"/>
  <c r="M1991" i="5" s="1"/>
  <c r="N1991" i="5" s="1"/>
  <c r="L1991" i="4"/>
  <c r="P1990" i="4"/>
  <c r="O1990" i="4"/>
  <c r="N1990" i="4"/>
  <c r="M1990" i="4"/>
  <c r="M1990" i="5" s="1"/>
  <c r="N1990" i="5" s="1"/>
  <c r="L1990" i="4"/>
  <c r="P1989" i="4"/>
  <c r="O1989" i="4"/>
  <c r="N1989" i="4"/>
  <c r="M1989" i="4"/>
  <c r="M1989" i="5" s="1"/>
  <c r="N1989" i="5" s="1"/>
  <c r="L1989" i="4"/>
  <c r="P1988" i="4"/>
  <c r="O1988" i="4"/>
  <c r="N1988" i="4"/>
  <c r="M1988" i="4"/>
  <c r="M1988" i="5" s="1"/>
  <c r="N1988" i="5" s="1"/>
  <c r="L1988" i="4"/>
  <c r="P1987" i="4"/>
  <c r="O1987" i="4"/>
  <c r="N1987" i="4"/>
  <c r="M1987" i="4"/>
  <c r="M1987" i="5" s="1"/>
  <c r="N1987" i="5" s="1"/>
  <c r="L1987" i="4"/>
  <c r="P1986" i="4"/>
  <c r="O1986" i="4"/>
  <c r="N1986" i="4"/>
  <c r="M1986" i="4"/>
  <c r="M1986" i="5" s="1"/>
  <c r="N1986" i="5" s="1"/>
  <c r="L1986" i="4"/>
  <c r="P1985" i="4"/>
  <c r="O1985" i="4"/>
  <c r="N1985" i="4"/>
  <c r="M1985" i="4"/>
  <c r="M1985" i="5" s="1"/>
  <c r="N1985" i="5" s="1"/>
  <c r="L1985" i="4"/>
  <c r="P1984" i="4"/>
  <c r="O1984" i="4"/>
  <c r="N1984" i="4"/>
  <c r="M1984" i="4"/>
  <c r="M1984" i="5" s="1"/>
  <c r="N1984" i="5" s="1"/>
  <c r="L1984" i="4"/>
  <c r="P1983" i="4"/>
  <c r="O1983" i="4"/>
  <c r="N1983" i="4"/>
  <c r="M1983" i="4"/>
  <c r="M1983" i="5" s="1"/>
  <c r="N1983" i="5" s="1"/>
  <c r="L1983" i="4"/>
  <c r="P1982" i="4"/>
  <c r="O1982" i="4"/>
  <c r="N1982" i="4"/>
  <c r="M1982" i="4"/>
  <c r="M1982" i="5" s="1"/>
  <c r="N1982" i="5" s="1"/>
  <c r="L1982" i="4"/>
  <c r="P1981" i="4"/>
  <c r="O1981" i="4"/>
  <c r="N1981" i="4"/>
  <c r="M1981" i="4"/>
  <c r="M1981" i="5" s="1"/>
  <c r="N1981" i="5" s="1"/>
  <c r="L1981" i="4"/>
  <c r="P1980" i="4"/>
  <c r="O1980" i="4"/>
  <c r="N1980" i="4"/>
  <c r="M1980" i="4"/>
  <c r="M1980" i="5" s="1"/>
  <c r="N1980" i="5" s="1"/>
  <c r="L1980" i="4"/>
  <c r="P1979" i="4"/>
  <c r="O1979" i="4"/>
  <c r="N1979" i="4"/>
  <c r="M1979" i="4"/>
  <c r="M1979" i="5" s="1"/>
  <c r="N1979" i="5" s="1"/>
  <c r="L1979" i="4"/>
  <c r="P1978" i="4"/>
  <c r="O1978" i="4"/>
  <c r="N1978" i="4"/>
  <c r="M1978" i="4"/>
  <c r="M1978" i="5" s="1"/>
  <c r="N1978" i="5" s="1"/>
  <c r="L1978" i="4"/>
  <c r="P1977" i="4"/>
  <c r="O1977" i="4"/>
  <c r="N1977" i="4"/>
  <c r="M1977" i="4"/>
  <c r="M1977" i="5" s="1"/>
  <c r="N1977" i="5" s="1"/>
  <c r="L1977" i="4"/>
  <c r="P1976" i="4"/>
  <c r="O1976" i="4"/>
  <c r="N1976" i="4"/>
  <c r="M1976" i="4"/>
  <c r="M1976" i="5" s="1"/>
  <c r="N1976" i="5" s="1"/>
  <c r="L1976" i="4"/>
  <c r="P1975" i="4"/>
  <c r="O1975" i="4"/>
  <c r="N1975" i="4"/>
  <c r="M1975" i="4"/>
  <c r="M1975" i="5" s="1"/>
  <c r="N1975" i="5" s="1"/>
  <c r="L1975" i="4"/>
  <c r="P1974" i="4"/>
  <c r="O1974" i="4"/>
  <c r="N1974" i="4"/>
  <c r="M1974" i="4"/>
  <c r="M1974" i="5" s="1"/>
  <c r="N1974" i="5" s="1"/>
  <c r="L1974" i="4"/>
  <c r="P1973" i="4"/>
  <c r="O1973" i="4"/>
  <c r="N1973" i="4"/>
  <c r="M1973" i="4"/>
  <c r="M1973" i="5" s="1"/>
  <c r="N1973" i="5" s="1"/>
  <c r="L1973" i="4"/>
  <c r="P1972" i="4"/>
  <c r="O1972" i="4"/>
  <c r="N1972" i="4"/>
  <c r="M1972" i="4"/>
  <c r="M1972" i="5" s="1"/>
  <c r="N1972" i="5" s="1"/>
  <c r="L1972" i="4"/>
  <c r="P1971" i="4"/>
  <c r="O1971" i="4"/>
  <c r="N1971" i="4"/>
  <c r="M1971" i="4"/>
  <c r="M1971" i="5" s="1"/>
  <c r="N1971" i="5" s="1"/>
  <c r="L1971" i="4"/>
  <c r="P1970" i="4"/>
  <c r="O1970" i="4"/>
  <c r="N1970" i="4"/>
  <c r="M1970" i="4"/>
  <c r="M1970" i="5" s="1"/>
  <c r="N1970" i="5" s="1"/>
  <c r="L1970" i="4"/>
  <c r="P1969" i="4"/>
  <c r="O1969" i="4"/>
  <c r="N1969" i="4"/>
  <c r="M1969" i="4"/>
  <c r="M1969" i="5" s="1"/>
  <c r="N1969" i="5" s="1"/>
  <c r="L1969" i="4"/>
  <c r="P1968" i="4"/>
  <c r="O1968" i="4"/>
  <c r="N1968" i="4"/>
  <c r="M1968" i="4"/>
  <c r="M1968" i="5" s="1"/>
  <c r="N1968" i="5" s="1"/>
  <c r="L1968" i="4"/>
  <c r="P1967" i="4"/>
  <c r="O1967" i="4"/>
  <c r="N1967" i="4"/>
  <c r="M1967" i="4"/>
  <c r="M1967" i="5" s="1"/>
  <c r="N1967" i="5" s="1"/>
  <c r="L1967" i="4"/>
  <c r="P1966" i="4"/>
  <c r="O1966" i="4"/>
  <c r="N1966" i="4"/>
  <c r="M1966" i="4"/>
  <c r="M1966" i="5" s="1"/>
  <c r="N1966" i="5" s="1"/>
  <c r="L1966" i="4"/>
  <c r="P1965" i="4"/>
  <c r="O1965" i="4"/>
  <c r="N1965" i="4"/>
  <c r="M1965" i="4"/>
  <c r="M1965" i="5" s="1"/>
  <c r="N1965" i="5" s="1"/>
  <c r="L1965" i="4"/>
  <c r="P1964" i="4"/>
  <c r="O1964" i="4"/>
  <c r="N1964" i="4"/>
  <c r="M1964" i="4"/>
  <c r="M1964" i="5" s="1"/>
  <c r="N1964" i="5" s="1"/>
  <c r="L1964" i="4"/>
  <c r="P1963" i="4"/>
  <c r="O1963" i="4"/>
  <c r="N1963" i="4"/>
  <c r="M1963" i="4"/>
  <c r="M1963" i="5" s="1"/>
  <c r="N1963" i="5" s="1"/>
  <c r="L1963" i="4"/>
  <c r="P1962" i="4"/>
  <c r="O1962" i="4"/>
  <c r="N1962" i="4"/>
  <c r="M1962" i="4"/>
  <c r="M1962" i="5" s="1"/>
  <c r="N1962" i="5" s="1"/>
  <c r="L1962" i="4"/>
  <c r="P1961" i="4"/>
  <c r="O1961" i="4"/>
  <c r="N1961" i="4"/>
  <c r="M1961" i="4"/>
  <c r="M1961" i="5" s="1"/>
  <c r="N1961" i="5" s="1"/>
  <c r="L1961" i="4"/>
  <c r="P1960" i="4"/>
  <c r="O1960" i="4"/>
  <c r="N1960" i="4"/>
  <c r="M1960" i="4"/>
  <c r="M1960" i="5" s="1"/>
  <c r="N1960" i="5" s="1"/>
  <c r="L1960" i="4"/>
  <c r="P1959" i="4"/>
  <c r="O1959" i="4"/>
  <c r="N1959" i="4"/>
  <c r="M1959" i="4"/>
  <c r="M1959" i="5" s="1"/>
  <c r="N1959" i="5" s="1"/>
  <c r="L1959" i="4"/>
  <c r="P1958" i="4"/>
  <c r="O1958" i="4"/>
  <c r="N1958" i="4"/>
  <c r="M1958" i="4"/>
  <c r="M1958" i="5" s="1"/>
  <c r="N1958" i="5" s="1"/>
  <c r="L1958" i="4"/>
  <c r="P1957" i="4"/>
  <c r="O1957" i="4"/>
  <c r="N1957" i="4"/>
  <c r="M1957" i="4"/>
  <c r="M1957" i="5" s="1"/>
  <c r="N1957" i="5" s="1"/>
  <c r="L1957" i="4"/>
  <c r="P1956" i="4"/>
  <c r="O1956" i="4"/>
  <c r="N1956" i="4"/>
  <c r="M1956" i="4"/>
  <c r="M1956" i="5" s="1"/>
  <c r="N1956" i="5" s="1"/>
  <c r="L1956" i="4"/>
  <c r="P1955" i="4"/>
  <c r="O1955" i="4"/>
  <c r="N1955" i="4"/>
  <c r="M1955" i="4"/>
  <c r="M1955" i="5" s="1"/>
  <c r="N1955" i="5" s="1"/>
  <c r="L1955" i="4"/>
  <c r="P1954" i="4"/>
  <c r="O1954" i="4"/>
  <c r="N1954" i="4"/>
  <c r="M1954" i="4"/>
  <c r="M1954" i="5" s="1"/>
  <c r="N1954" i="5" s="1"/>
  <c r="L1954" i="4"/>
  <c r="P1953" i="4"/>
  <c r="O1953" i="4"/>
  <c r="N1953" i="4"/>
  <c r="M1953" i="4"/>
  <c r="M1953" i="5" s="1"/>
  <c r="N1953" i="5" s="1"/>
  <c r="L1953" i="4"/>
  <c r="P1952" i="4"/>
  <c r="O1952" i="4"/>
  <c r="N1952" i="4"/>
  <c r="M1952" i="4"/>
  <c r="M1952" i="5" s="1"/>
  <c r="N1952" i="5" s="1"/>
  <c r="L1952" i="4"/>
  <c r="P1951" i="4"/>
  <c r="O1951" i="4"/>
  <c r="N1951" i="4"/>
  <c r="M1951" i="4"/>
  <c r="M1951" i="5" s="1"/>
  <c r="N1951" i="5" s="1"/>
  <c r="L1951" i="4"/>
  <c r="P1950" i="4"/>
  <c r="O1950" i="4"/>
  <c r="N1950" i="4"/>
  <c r="M1950" i="4"/>
  <c r="M1950" i="5" s="1"/>
  <c r="N1950" i="5" s="1"/>
  <c r="L1950" i="4"/>
  <c r="P1949" i="4"/>
  <c r="O1949" i="4"/>
  <c r="N1949" i="4"/>
  <c r="M1949" i="4"/>
  <c r="M1949" i="5" s="1"/>
  <c r="N1949" i="5" s="1"/>
  <c r="L1949" i="4"/>
  <c r="P1948" i="4"/>
  <c r="O1948" i="4"/>
  <c r="N1948" i="4"/>
  <c r="M1948" i="4"/>
  <c r="M1948" i="5" s="1"/>
  <c r="N1948" i="5" s="1"/>
  <c r="L1948" i="4"/>
  <c r="P1947" i="4"/>
  <c r="O1947" i="4"/>
  <c r="N1947" i="4"/>
  <c r="M1947" i="4"/>
  <c r="M1947" i="5" s="1"/>
  <c r="N1947" i="5" s="1"/>
  <c r="L1947" i="4"/>
  <c r="P1946" i="4"/>
  <c r="O1946" i="4"/>
  <c r="N1946" i="4"/>
  <c r="M1946" i="4"/>
  <c r="M1946" i="5" s="1"/>
  <c r="N1946" i="5" s="1"/>
  <c r="L1946" i="4"/>
  <c r="P1945" i="4"/>
  <c r="O1945" i="4"/>
  <c r="N1945" i="4"/>
  <c r="M1945" i="4"/>
  <c r="M1945" i="5" s="1"/>
  <c r="N1945" i="5" s="1"/>
  <c r="L1945" i="4"/>
  <c r="P1944" i="4"/>
  <c r="O1944" i="4"/>
  <c r="N1944" i="4"/>
  <c r="M1944" i="4"/>
  <c r="M1944" i="5" s="1"/>
  <c r="N1944" i="5" s="1"/>
  <c r="L1944" i="4"/>
  <c r="P1943" i="4"/>
  <c r="O1943" i="4"/>
  <c r="N1943" i="4"/>
  <c r="M1943" i="4"/>
  <c r="M1943" i="5" s="1"/>
  <c r="N1943" i="5" s="1"/>
  <c r="L1943" i="4"/>
  <c r="P1942" i="4"/>
  <c r="O1942" i="4"/>
  <c r="N1942" i="4"/>
  <c r="M1942" i="4"/>
  <c r="M1942" i="5" s="1"/>
  <c r="N1942" i="5" s="1"/>
  <c r="L1942" i="4"/>
  <c r="P1941" i="4"/>
  <c r="O1941" i="4"/>
  <c r="N1941" i="4"/>
  <c r="M1941" i="4"/>
  <c r="M1941" i="5" s="1"/>
  <c r="N1941" i="5" s="1"/>
  <c r="L1941" i="4"/>
  <c r="P1940" i="4"/>
  <c r="O1940" i="4"/>
  <c r="N1940" i="4"/>
  <c r="M1940" i="4"/>
  <c r="M1940" i="5" s="1"/>
  <c r="N1940" i="5" s="1"/>
  <c r="L1940" i="4"/>
  <c r="P1939" i="4"/>
  <c r="O1939" i="4"/>
  <c r="N1939" i="4"/>
  <c r="M1939" i="4"/>
  <c r="M1939" i="5" s="1"/>
  <c r="N1939" i="5" s="1"/>
  <c r="L1939" i="4"/>
  <c r="P1938" i="4"/>
  <c r="O1938" i="4"/>
  <c r="N1938" i="4"/>
  <c r="M1938" i="4"/>
  <c r="M1938" i="5" s="1"/>
  <c r="N1938" i="5" s="1"/>
  <c r="L1938" i="4"/>
  <c r="P1937" i="4"/>
  <c r="O1937" i="4"/>
  <c r="N1937" i="4"/>
  <c r="M1937" i="4"/>
  <c r="M1937" i="5" s="1"/>
  <c r="N1937" i="5" s="1"/>
  <c r="L1937" i="4"/>
  <c r="P1936" i="4"/>
  <c r="O1936" i="4"/>
  <c r="N1936" i="4"/>
  <c r="M1936" i="4"/>
  <c r="M1936" i="5" s="1"/>
  <c r="N1936" i="5" s="1"/>
  <c r="L1936" i="4"/>
  <c r="P1935" i="4"/>
  <c r="O1935" i="4"/>
  <c r="N1935" i="4"/>
  <c r="M1935" i="4"/>
  <c r="M1935" i="5" s="1"/>
  <c r="N1935" i="5" s="1"/>
  <c r="L1935" i="4"/>
  <c r="P1934" i="4"/>
  <c r="O1934" i="4"/>
  <c r="N1934" i="4"/>
  <c r="M1934" i="4"/>
  <c r="M1934" i="5" s="1"/>
  <c r="N1934" i="5" s="1"/>
  <c r="L1934" i="4"/>
  <c r="P1933" i="4"/>
  <c r="O1933" i="4"/>
  <c r="N1933" i="4"/>
  <c r="M1933" i="4"/>
  <c r="M1933" i="5" s="1"/>
  <c r="N1933" i="5" s="1"/>
  <c r="L1933" i="4"/>
  <c r="P1932" i="4"/>
  <c r="O1932" i="4"/>
  <c r="N1932" i="4"/>
  <c r="M1932" i="4"/>
  <c r="M1932" i="5" s="1"/>
  <c r="N1932" i="5" s="1"/>
  <c r="L1932" i="4"/>
  <c r="P1931" i="4"/>
  <c r="O1931" i="4"/>
  <c r="N1931" i="4"/>
  <c r="M1931" i="4"/>
  <c r="M1931" i="5" s="1"/>
  <c r="N1931" i="5" s="1"/>
  <c r="L1931" i="4"/>
  <c r="P1930" i="4"/>
  <c r="O1930" i="4"/>
  <c r="N1930" i="4"/>
  <c r="M1930" i="4"/>
  <c r="M1930" i="5" s="1"/>
  <c r="N1930" i="5" s="1"/>
  <c r="L1930" i="4"/>
  <c r="P1929" i="4"/>
  <c r="O1929" i="4"/>
  <c r="N1929" i="4"/>
  <c r="M1929" i="4"/>
  <c r="M1929" i="5" s="1"/>
  <c r="N1929" i="5" s="1"/>
  <c r="L1929" i="4"/>
  <c r="P1928" i="4"/>
  <c r="O1928" i="4"/>
  <c r="N1928" i="4"/>
  <c r="M1928" i="4"/>
  <c r="M1928" i="5" s="1"/>
  <c r="N1928" i="5" s="1"/>
  <c r="L1928" i="4"/>
  <c r="P1927" i="4"/>
  <c r="O1927" i="4"/>
  <c r="N1927" i="4"/>
  <c r="M1927" i="4"/>
  <c r="M1927" i="5" s="1"/>
  <c r="N1927" i="5" s="1"/>
  <c r="L1927" i="4"/>
  <c r="P1926" i="4"/>
  <c r="O1926" i="4"/>
  <c r="N1926" i="4"/>
  <c r="M1926" i="4"/>
  <c r="M1926" i="5" s="1"/>
  <c r="N1926" i="5" s="1"/>
  <c r="L1926" i="4"/>
  <c r="P1925" i="4"/>
  <c r="O1925" i="4"/>
  <c r="N1925" i="4"/>
  <c r="M1925" i="4"/>
  <c r="M1925" i="5" s="1"/>
  <c r="N1925" i="5" s="1"/>
  <c r="L1925" i="4"/>
  <c r="P1924" i="4"/>
  <c r="O1924" i="4"/>
  <c r="N1924" i="4"/>
  <c r="M1924" i="4"/>
  <c r="M1924" i="5" s="1"/>
  <c r="N1924" i="5" s="1"/>
  <c r="L1924" i="4"/>
  <c r="P1923" i="4"/>
  <c r="O1923" i="4"/>
  <c r="N1923" i="4"/>
  <c r="M1923" i="4"/>
  <c r="M1923" i="5" s="1"/>
  <c r="N1923" i="5" s="1"/>
  <c r="L1923" i="4"/>
  <c r="P1922" i="4"/>
  <c r="O1922" i="4"/>
  <c r="N1922" i="4"/>
  <c r="M1922" i="4"/>
  <c r="M1922" i="5" s="1"/>
  <c r="N1922" i="5" s="1"/>
  <c r="L1922" i="4"/>
  <c r="P1921" i="4"/>
  <c r="O1921" i="4"/>
  <c r="N1921" i="4"/>
  <c r="M1921" i="4"/>
  <c r="M1921" i="5" s="1"/>
  <c r="N1921" i="5" s="1"/>
  <c r="L1921" i="4"/>
  <c r="P1920" i="4"/>
  <c r="O1920" i="4"/>
  <c r="N1920" i="4"/>
  <c r="M1920" i="4"/>
  <c r="M1920" i="5" s="1"/>
  <c r="N1920" i="5" s="1"/>
  <c r="L1920" i="4"/>
  <c r="P1919" i="4"/>
  <c r="O1919" i="4"/>
  <c r="N1919" i="4"/>
  <c r="M1919" i="4"/>
  <c r="M1919" i="5" s="1"/>
  <c r="N1919" i="5" s="1"/>
  <c r="L1919" i="4"/>
  <c r="P1918" i="4"/>
  <c r="O1918" i="4"/>
  <c r="N1918" i="4"/>
  <c r="M1918" i="4"/>
  <c r="M1918" i="5" s="1"/>
  <c r="N1918" i="5" s="1"/>
  <c r="L1918" i="4"/>
  <c r="P1917" i="4"/>
  <c r="O1917" i="4"/>
  <c r="N1917" i="4"/>
  <c r="M1917" i="4"/>
  <c r="M1917" i="5" s="1"/>
  <c r="N1917" i="5" s="1"/>
  <c r="L1917" i="4"/>
  <c r="P1916" i="4"/>
  <c r="O1916" i="4"/>
  <c r="N1916" i="4"/>
  <c r="M1916" i="4"/>
  <c r="M1916" i="5" s="1"/>
  <c r="N1916" i="5" s="1"/>
  <c r="L1916" i="4"/>
  <c r="P1915" i="4"/>
  <c r="O1915" i="4"/>
  <c r="N1915" i="4"/>
  <c r="M1915" i="4"/>
  <c r="M1915" i="5" s="1"/>
  <c r="N1915" i="5" s="1"/>
  <c r="L1915" i="4"/>
  <c r="P1914" i="4"/>
  <c r="O1914" i="4"/>
  <c r="N1914" i="4"/>
  <c r="M1914" i="4"/>
  <c r="M1914" i="5" s="1"/>
  <c r="N1914" i="5" s="1"/>
  <c r="L1914" i="4"/>
  <c r="P1913" i="4"/>
  <c r="O1913" i="4"/>
  <c r="N1913" i="4"/>
  <c r="M1913" i="4"/>
  <c r="M1913" i="5" s="1"/>
  <c r="N1913" i="5" s="1"/>
  <c r="L1913" i="4"/>
  <c r="P1912" i="4"/>
  <c r="O1912" i="4"/>
  <c r="N1912" i="4"/>
  <c r="M1912" i="4"/>
  <c r="M1912" i="5" s="1"/>
  <c r="N1912" i="5" s="1"/>
  <c r="L1912" i="4"/>
  <c r="P1911" i="4"/>
  <c r="O1911" i="4"/>
  <c r="N1911" i="4"/>
  <c r="M1911" i="4"/>
  <c r="M1911" i="5" s="1"/>
  <c r="N1911" i="5" s="1"/>
  <c r="L1911" i="4"/>
  <c r="P1910" i="4"/>
  <c r="O1910" i="4"/>
  <c r="N1910" i="4"/>
  <c r="M1910" i="4"/>
  <c r="M1910" i="5" s="1"/>
  <c r="N1910" i="5" s="1"/>
  <c r="L1910" i="4"/>
  <c r="P1909" i="4"/>
  <c r="O1909" i="4"/>
  <c r="N1909" i="4"/>
  <c r="M1909" i="4"/>
  <c r="M1909" i="5" s="1"/>
  <c r="N1909" i="5" s="1"/>
  <c r="L1909" i="4"/>
  <c r="P1908" i="4"/>
  <c r="O1908" i="4"/>
  <c r="N1908" i="4"/>
  <c r="M1908" i="4"/>
  <c r="M1908" i="5" s="1"/>
  <c r="N1908" i="5" s="1"/>
  <c r="L1908" i="4"/>
  <c r="P1907" i="4"/>
  <c r="O1907" i="4"/>
  <c r="N1907" i="4"/>
  <c r="M1907" i="4"/>
  <c r="M1907" i="5" s="1"/>
  <c r="N1907" i="5" s="1"/>
  <c r="L1907" i="4"/>
  <c r="P1906" i="4"/>
  <c r="O1906" i="4"/>
  <c r="N1906" i="4"/>
  <c r="M1906" i="4"/>
  <c r="M1906" i="5" s="1"/>
  <c r="N1906" i="5" s="1"/>
  <c r="L1906" i="4"/>
  <c r="P1905" i="4"/>
  <c r="O1905" i="4"/>
  <c r="N1905" i="4"/>
  <c r="M1905" i="4"/>
  <c r="M1905" i="5" s="1"/>
  <c r="N1905" i="5" s="1"/>
  <c r="L1905" i="4"/>
  <c r="P1904" i="4"/>
  <c r="O1904" i="4"/>
  <c r="N1904" i="4"/>
  <c r="M1904" i="4"/>
  <c r="M1904" i="5" s="1"/>
  <c r="N1904" i="5" s="1"/>
  <c r="L1904" i="4"/>
  <c r="P1903" i="4"/>
  <c r="O1903" i="4"/>
  <c r="N1903" i="4"/>
  <c r="M1903" i="4"/>
  <c r="M1903" i="5" s="1"/>
  <c r="N1903" i="5" s="1"/>
  <c r="L1903" i="4"/>
  <c r="P1902" i="4"/>
  <c r="O1902" i="4"/>
  <c r="N1902" i="4"/>
  <c r="M1902" i="4"/>
  <c r="M1902" i="5" s="1"/>
  <c r="N1902" i="5" s="1"/>
  <c r="L1902" i="4"/>
  <c r="P1901" i="4"/>
  <c r="O1901" i="4"/>
  <c r="N1901" i="4"/>
  <c r="M1901" i="4"/>
  <c r="M1901" i="5" s="1"/>
  <c r="N1901" i="5" s="1"/>
  <c r="L1901" i="4"/>
  <c r="P1900" i="4"/>
  <c r="O1900" i="4"/>
  <c r="N1900" i="4"/>
  <c r="M1900" i="4"/>
  <c r="M1900" i="5" s="1"/>
  <c r="N1900" i="5" s="1"/>
  <c r="L1900" i="4"/>
  <c r="P1899" i="4"/>
  <c r="O1899" i="4"/>
  <c r="N1899" i="4"/>
  <c r="M1899" i="4"/>
  <c r="M1899" i="5" s="1"/>
  <c r="N1899" i="5" s="1"/>
  <c r="L1899" i="4"/>
  <c r="P1898" i="4"/>
  <c r="O1898" i="4"/>
  <c r="N1898" i="4"/>
  <c r="M1898" i="4"/>
  <c r="M1898" i="5" s="1"/>
  <c r="N1898" i="5" s="1"/>
  <c r="L1898" i="4"/>
  <c r="P1897" i="4"/>
  <c r="O1897" i="4"/>
  <c r="N1897" i="4"/>
  <c r="M1897" i="4"/>
  <c r="M1897" i="5" s="1"/>
  <c r="N1897" i="5" s="1"/>
  <c r="L1897" i="4"/>
  <c r="P1896" i="4"/>
  <c r="O1896" i="4"/>
  <c r="N1896" i="4"/>
  <c r="M1896" i="4"/>
  <c r="M1896" i="5" s="1"/>
  <c r="N1896" i="5" s="1"/>
  <c r="L1896" i="4"/>
  <c r="P1895" i="4"/>
  <c r="O1895" i="4"/>
  <c r="N1895" i="4"/>
  <c r="M1895" i="4"/>
  <c r="M1895" i="5" s="1"/>
  <c r="N1895" i="5" s="1"/>
  <c r="L1895" i="4"/>
  <c r="P1894" i="4"/>
  <c r="O1894" i="4"/>
  <c r="N1894" i="4"/>
  <c r="M1894" i="4"/>
  <c r="M1894" i="5" s="1"/>
  <c r="N1894" i="5" s="1"/>
  <c r="L1894" i="4"/>
  <c r="P1893" i="4"/>
  <c r="O1893" i="4"/>
  <c r="N1893" i="4"/>
  <c r="M1893" i="4"/>
  <c r="M1893" i="5" s="1"/>
  <c r="N1893" i="5" s="1"/>
  <c r="L1893" i="4"/>
  <c r="P1892" i="4"/>
  <c r="O1892" i="4"/>
  <c r="N1892" i="4"/>
  <c r="M1892" i="4"/>
  <c r="M1892" i="5" s="1"/>
  <c r="N1892" i="5" s="1"/>
  <c r="L1892" i="4"/>
  <c r="P1891" i="4"/>
  <c r="O1891" i="4"/>
  <c r="N1891" i="4"/>
  <c r="M1891" i="4"/>
  <c r="M1891" i="5" s="1"/>
  <c r="N1891" i="5" s="1"/>
  <c r="L1891" i="4"/>
  <c r="P1890" i="4"/>
  <c r="O1890" i="4"/>
  <c r="N1890" i="4"/>
  <c r="M1890" i="4"/>
  <c r="M1890" i="5" s="1"/>
  <c r="N1890" i="5" s="1"/>
  <c r="L1890" i="4"/>
  <c r="P1889" i="4"/>
  <c r="O1889" i="4"/>
  <c r="N1889" i="4"/>
  <c r="M1889" i="4"/>
  <c r="M1889" i="5" s="1"/>
  <c r="N1889" i="5" s="1"/>
  <c r="L1889" i="4"/>
  <c r="P1888" i="4"/>
  <c r="O1888" i="4"/>
  <c r="N1888" i="4"/>
  <c r="M1888" i="4"/>
  <c r="M1888" i="5" s="1"/>
  <c r="N1888" i="5" s="1"/>
  <c r="L1888" i="4"/>
  <c r="P1887" i="4"/>
  <c r="O1887" i="4"/>
  <c r="N1887" i="4"/>
  <c r="M1887" i="4"/>
  <c r="M1887" i="5" s="1"/>
  <c r="N1887" i="5" s="1"/>
  <c r="L1887" i="4"/>
  <c r="P1886" i="4"/>
  <c r="O1886" i="4"/>
  <c r="N1886" i="4"/>
  <c r="M1886" i="4"/>
  <c r="M1886" i="5" s="1"/>
  <c r="N1886" i="5" s="1"/>
  <c r="L1886" i="4"/>
  <c r="P1885" i="4"/>
  <c r="O1885" i="4"/>
  <c r="N1885" i="4"/>
  <c r="M1885" i="4"/>
  <c r="M1885" i="5" s="1"/>
  <c r="N1885" i="5" s="1"/>
  <c r="L1885" i="4"/>
  <c r="P1884" i="4"/>
  <c r="O1884" i="4"/>
  <c r="N1884" i="4"/>
  <c r="M1884" i="4"/>
  <c r="M1884" i="5" s="1"/>
  <c r="N1884" i="5" s="1"/>
  <c r="L1884" i="4"/>
  <c r="P1883" i="4"/>
  <c r="O1883" i="4"/>
  <c r="N1883" i="4"/>
  <c r="M1883" i="4"/>
  <c r="M1883" i="5" s="1"/>
  <c r="N1883" i="5" s="1"/>
  <c r="L1883" i="4"/>
  <c r="P1882" i="4"/>
  <c r="O1882" i="4"/>
  <c r="N1882" i="4"/>
  <c r="M1882" i="4"/>
  <c r="M1882" i="5" s="1"/>
  <c r="N1882" i="5" s="1"/>
  <c r="L1882" i="4"/>
  <c r="P1881" i="4"/>
  <c r="O1881" i="4"/>
  <c r="N1881" i="4"/>
  <c r="M1881" i="4"/>
  <c r="M1881" i="5" s="1"/>
  <c r="N1881" i="5" s="1"/>
  <c r="L1881" i="4"/>
  <c r="P1880" i="4"/>
  <c r="O1880" i="4"/>
  <c r="N1880" i="4"/>
  <c r="M1880" i="4"/>
  <c r="M1880" i="5" s="1"/>
  <c r="N1880" i="5" s="1"/>
  <c r="L1880" i="4"/>
  <c r="P1879" i="4"/>
  <c r="O1879" i="4"/>
  <c r="N1879" i="4"/>
  <c r="M1879" i="4"/>
  <c r="M1879" i="5" s="1"/>
  <c r="N1879" i="5" s="1"/>
  <c r="L1879" i="4"/>
  <c r="P1878" i="4"/>
  <c r="O1878" i="4"/>
  <c r="N1878" i="4"/>
  <c r="M1878" i="4"/>
  <c r="M1878" i="5" s="1"/>
  <c r="N1878" i="5" s="1"/>
  <c r="L1878" i="4"/>
  <c r="P1877" i="4"/>
  <c r="O1877" i="4"/>
  <c r="N1877" i="4"/>
  <c r="M1877" i="4"/>
  <c r="M1877" i="5" s="1"/>
  <c r="N1877" i="5" s="1"/>
  <c r="L1877" i="4"/>
  <c r="P1876" i="4"/>
  <c r="O1876" i="4"/>
  <c r="N1876" i="4"/>
  <c r="M1876" i="4"/>
  <c r="M1876" i="5" s="1"/>
  <c r="N1876" i="5" s="1"/>
  <c r="L1876" i="4"/>
  <c r="P1875" i="4"/>
  <c r="O1875" i="4"/>
  <c r="N1875" i="4"/>
  <c r="M1875" i="4"/>
  <c r="M1875" i="5" s="1"/>
  <c r="N1875" i="5" s="1"/>
  <c r="L1875" i="4"/>
  <c r="P1874" i="4"/>
  <c r="O1874" i="4"/>
  <c r="N1874" i="4"/>
  <c r="M1874" i="4"/>
  <c r="M1874" i="5" s="1"/>
  <c r="N1874" i="5" s="1"/>
  <c r="L1874" i="4"/>
  <c r="P1873" i="4"/>
  <c r="O1873" i="4"/>
  <c r="N1873" i="4"/>
  <c r="M1873" i="4"/>
  <c r="M1873" i="5" s="1"/>
  <c r="N1873" i="5" s="1"/>
  <c r="L1873" i="4"/>
  <c r="P1872" i="4"/>
  <c r="O1872" i="4"/>
  <c r="N1872" i="4"/>
  <c r="M1872" i="4"/>
  <c r="M1872" i="5" s="1"/>
  <c r="N1872" i="5" s="1"/>
  <c r="L1872" i="4"/>
  <c r="P1871" i="4"/>
  <c r="O1871" i="4"/>
  <c r="N1871" i="4"/>
  <c r="M1871" i="4"/>
  <c r="M1871" i="5" s="1"/>
  <c r="N1871" i="5" s="1"/>
  <c r="L1871" i="4"/>
  <c r="P1870" i="4"/>
  <c r="O1870" i="4"/>
  <c r="N1870" i="4"/>
  <c r="M1870" i="4"/>
  <c r="M1870" i="5" s="1"/>
  <c r="N1870" i="5" s="1"/>
  <c r="L1870" i="4"/>
  <c r="P1869" i="4"/>
  <c r="O1869" i="4"/>
  <c r="N1869" i="4"/>
  <c r="M1869" i="4"/>
  <c r="M1869" i="5" s="1"/>
  <c r="N1869" i="5" s="1"/>
  <c r="L1869" i="4"/>
  <c r="P1868" i="4"/>
  <c r="O1868" i="4"/>
  <c r="N1868" i="4"/>
  <c r="M1868" i="4"/>
  <c r="M1868" i="5" s="1"/>
  <c r="N1868" i="5" s="1"/>
  <c r="L1868" i="4"/>
  <c r="P1867" i="4"/>
  <c r="O1867" i="4"/>
  <c r="N1867" i="4"/>
  <c r="M1867" i="4"/>
  <c r="M1867" i="5" s="1"/>
  <c r="N1867" i="5" s="1"/>
  <c r="L1867" i="4"/>
  <c r="P1866" i="4"/>
  <c r="O1866" i="4"/>
  <c r="N1866" i="4"/>
  <c r="M1866" i="4"/>
  <c r="M1866" i="5" s="1"/>
  <c r="N1866" i="5" s="1"/>
  <c r="L1866" i="4"/>
  <c r="P1865" i="4"/>
  <c r="O1865" i="4"/>
  <c r="N1865" i="4"/>
  <c r="M1865" i="4"/>
  <c r="M1865" i="5" s="1"/>
  <c r="N1865" i="5" s="1"/>
  <c r="L1865" i="4"/>
  <c r="P1864" i="4"/>
  <c r="O1864" i="4"/>
  <c r="N1864" i="4"/>
  <c r="M1864" i="4"/>
  <c r="M1864" i="5" s="1"/>
  <c r="N1864" i="5" s="1"/>
  <c r="L1864" i="4"/>
  <c r="P1863" i="4"/>
  <c r="O1863" i="4"/>
  <c r="N1863" i="4"/>
  <c r="M1863" i="4"/>
  <c r="M1863" i="5" s="1"/>
  <c r="N1863" i="5" s="1"/>
  <c r="L1863" i="4"/>
  <c r="P1862" i="4"/>
  <c r="O1862" i="4"/>
  <c r="N1862" i="4"/>
  <c r="M1862" i="4"/>
  <c r="M1862" i="5" s="1"/>
  <c r="N1862" i="5" s="1"/>
  <c r="L1862" i="4"/>
  <c r="P1861" i="4"/>
  <c r="O1861" i="4"/>
  <c r="N1861" i="4"/>
  <c r="M1861" i="4"/>
  <c r="M1861" i="5" s="1"/>
  <c r="N1861" i="5" s="1"/>
  <c r="L1861" i="4"/>
  <c r="P1860" i="4"/>
  <c r="O1860" i="4"/>
  <c r="N1860" i="4"/>
  <c r="M1860" i="4"/>
  <c r="M1860" i="5" s="1"/>
  <c r="N1860" i="5" s="1"/>
  <c r="L1860" i="4"/>
  <c r="P1859" i="4"/>
  <c r="O1859" i="4"/>
  <c r="N1859" i="4"/>
  <c r="M1859" i="4"/>
  <c r="M1859" i="5" s="1"/>
  <c r="N1859" i="5" s="1"/>
  <c r="L1859" i="4"/>
  <c r="P1858" i="4"/>
  <c r="O1858" i="4"/>
  <c r="N1858" i="4"/>
  <c r="M1858" i="4"/>
  <c r="M1858" i="5" s="1"/>
  <c r="N1858" i="5" s="1"/>
  <c r="L1858" i="4"/>
  <c r="P1857" i="4"/>
  <c r="O1857" i="4"/>
  <c r="N1857" i="4"/>
  <c r="M1857" i="4"/>
  <c r="M1857" i="5" s="1"/>
  <c r="N1857" i="5" s="1"/>
  <c r="L1857" i="4"/>
  <c r="P1856" i="4"/>
  <c r="O1856" i="4"/>
  <c r="N1856" i="4"/>
  <c r="M1856" i="4"/>
  <c r="M1856" i="5" s="1"/>
  <c r="N1856" i="5" s="1"/>
  <c r="L1856" i="4"/>
  <c r="P1855" i="4"/>
  <c r="O1855" i="4"/>
  <c r="N1855" i="4"/>
  <c r="M1855" i="4"/>
  <c r="M1855" i="5" s="1"/>
  <c r="N1855" i="5" s="1"/>
  <c r="L1855" i="4"/>
  <c r="P1854" i="4"/>
  <c r="O1854" i="4"/>
  <c r="N1854" i="4"/>
  <c r="M1854" i="4"/>
  <c r="M1854" i="5" s="1"/>
  <c r="N1854" i="5" s="1"/>
  <c r="L1854" i="4"/>
  <c r="P1853" i="4"/>
  <c r="O1853" i="4"/>
  <c r="N1853" i="4"/>
  <c r="M1853" i="4"/>
  <c r="M1853" i="5" s="1"/>
  <c r="N1853" i="5" s="1"/>
  <c r="L1853" i="4"/>
  <c r="P1852" i="4"/>
  <c r="O1852" i="4"/>
  <c r="N1852" i="4"/>
  <c r="M1852" i="4"/>
  <c r="M1852" i="5" s="1"/>
  <c r="N1852" i="5" s="1"/>
  <c r="L1852" i="4"/>
  <c r="P1851" i="4"/>
  <c r="O1851" i="4"/>
  <c r="N1851" i="4"/>
  <c r="M1851" i="4"/>
  <c r="M1851" i="5" s="1"/>
  <c r="N1851" i="5" s="1"/>
  <c r="L1851" i="4"/>
  <c r="P1850" i="4"/>
  <c r="O1850" i="4"/>
  <c r="N1850" i="4"/>
  <c r="M1850" i="4"/>
  <c r="M1850" i="5" s="1"/>
  <c r="N1850" i="5" s="1"/>
  <c r="L1850" i="4"/>
  <c r="P1849" i="4"/>
  <c r="O1849" i="4"/>
  <c r="N1849" i="4"/>
  <c r="M1849" i="4"/>
  <c r="M1849" i="5" s="1"/>
  <c r="N1849" i="5" s="1"/>
  <c r="L1849" i="4"/>
  <c r="P1848" i="4"/>
  <c r="O1848" i="4"/>
  <c r="N1848" i="4"/>
  <c r="M1848" i="4"/>
  <c r="M1848" i="5" s="1"/>
  <c r="N1848" i="5" s="1"/>
  <c r="L1848" i="4"/>
  <c r="P1847" i="4"/>
  <c r="O1847" i="4"/>
  <c r="N1847" i="4"/>
  <c r="M1847" i="4"/>
  <c r="M1847" i="5" s="1"/>
  <c r="N1847" i="5" s="1"/>
  <c r="L1847" i="4"/>
  <c r="P1846" i="4"/>
  <c r="O1846" i="4"/>
  <c r="N1846" i="4"/>
  <c r="M1846" i="4"/>
  <c r="M1846" i="5" s="1"/>
  <c r="N1846" i="5" s="1"/>
  <c r="L1846" i="4"/>
  <c r="P1845" i="4"/>
  <c r="O1845" i="4"/>
  <c r="N1845" i="4"/>
  <c r="M1845" i="4"/>
  <c r="M1845" i="5" s="1"/>
  <c r="N1845" i="5" s="1"/>
  <c r="L1845" i="4"/>
  <c r="P1844" i="4"/>
  <c r="O1844" i="4"/>
  <c r="N1844" i="4"/>
  <c r="M1844" i="4"/>
  <c r="M1844" i="5" s="1"/>
  <c r="N1844" i="5" s="1"/>
  <c r="L1844" i="4"/>
  <c r="P1843" i="4"/>
  <c r="O1843" i="4"/>
  <c r="N1843" i="4"/>
  <c r="M1843" i="4"/>
  <c r="M1843" i="5" s="1"/>
  <c r="N1843" i="5" s="1"/>
  <c r="L1843" i="4"/>
  <c r="P1842" i="4"/>
  <c r="O1842" i="4"/>
  <c r="N1842" i="4"/>
  <c r="M1842" i="4"/>
  <c r="M1842" i="5" s="1"/>
  <c r="N1842" i="5" s="1"/>
  <c r="L1842" i="4"/>
  <c r="P1841" i="4"/>
  <c r="O1841" i="4"/>
  <c r="N1841" i="4"/>
  <c r="M1841" i="4"/>
  <c r="M1841" i="5" s="1"/>
  <c r="N1841" i="5" s="1"/>
  <c r="L1841" i="4"/>
  <c r="P1840" i="4"/>
  <c r="O1840" i="4"/>
  <c r="N1840" i="4"/>
  <c r="M1840" i="4"/>
  <c r="M1840" i="5" s="1"/>
  <c r="N1840" i="5" s="1"/>
  <c r="L1840" i="4"/>
  <c r="P1839" i="4"/>
  <c r="O1839" i="4"/>
  <c r="N1839" i="4"/>
  <c r="M1839" i="4"/>
  <c r="M1839" i="5" s="1"/>
  <c r="N1839" i="5" s="1"/>
  <c r="L1839" i="4"/>
  <c r="P1838" i="4"/>
  <c r="O1838" i="4"/>
  <c r="N1838" i="4"/>
  <c r="M1838" i="4"/>
  <c r="M1838" i="5" s="1"/>
  <c r="N1838" i="5" s="1"/>
  <c r="L1838" i="4"/>
  <c r="P1837" i="4"/>
  <c r="O1837" i="4"/>
  <c r="N1837" i="4"/>
  <c r="M1837" i="4"/>
  <c r="M1837" i="5" s="1"/>
  <c r="N1837" i="5" s="1"/>
  <c r="L1837" i="4"/>
  <c r="P1836" i="4"/>
  <c r="O1836" i="4"/>
  <c r="N1836" i="4"/>
  <c r="M1836" i="4"/>
  <c r="M1836" i="5" s="1"/>
  <c r="N1836" i="5" s="1"/>
  <c r="L1836" i="4"/>
  <c r="P1835" i="4"/>
  <c r="O1835" i="4"/>
  <c r="N1835" i="4"/>
  <c r="M1835" i="4"/>
  <c r="M1835" i="5" s="1"/>
  <c r="N1835" i="5" s="1"/>
  <c r="L1835" i="4"/>
  <c r="P1834" i="4"/>
  <c r="O1834" i="4"/>
  <c r="N1834" i="4"/>
  <c r="M1834" i="4"/>
  <c r="M1834" i="5" s="1"/>
  <c r="N1834" i="5" s="1"/>
  <c r="L1834" i="4"/>
  <c r="P1833" i="4"/>
  <c r="O1833" i="4"/>
  <c r="N1833" i="4"/>
  <c r="M1833" i="4"/>
  <c r="M1833" i="5" s="1"/>
  <c r="N1833" i="5" s="1"/>
  <c r="L1833" i="4"/>
  <c r="P1832" i="4"/>
  <c r="O1832" i="4"/>
  <c r="N1832" i="4"/>
  <c r="M1832" i="4"/>
  <c r="M1832" i="5" s="1"/>
  <c r="N1832" i="5" s="1"/>
  <c r="L1832" i="4"/>
  <c r="P1831" i="4"/>
  <c r="O1831" i="4"/>
  <c r="N1831" i="4"/>
  <c r="M1831" i="4"/>
  <c r="M1831" i="5" s="1"/>
  <c r="N1831" i="5" s="1"/>
  <c r="L1831" i="4"/>
  <c r="P1830" i="4"/>
  <c r="O1830" i="4"/>
  <c r="N1830" i="4"/>
  <c r="M1830" i="4"/>
  <c r="M1830" i="5" s="1"/>
  <c r="N1830" i="5" s="1"/>
  <c r="L1830" i="4"/>
  <c r="P1829" i="4"/>
  <c r="O1829" i="4"/>
  <c r="N1829" i="4"/>
  <c r="M1829" i="4"/>
  <c r="M1829" i="5" s="1"/>
  <c r="N1829" i="5" s="1"/>
  <c r="L1829" i="4"/>
  <c r="P1828" i="4"/>
  <c r="O1828" i="4"/>
  <c r="N1828" i="4"/>
  <c r="M1828" i="4"/>
  <c r="M1828" i="5" s="1"/>
  <c r="N1828" i="5" s="1"/>
  <c r="L1828" i="4"/>
  <c r="P1827" i="4"/>
  <c r="O1827" i="4"/>
  <c r="N1827" i="4"/>
  <c r="M1827" i="4"/>
  <c r="M1827" i="5" s="1"/>
  <c r="N1827" i="5" s="1"/>
  <c r="L1827" i="4"/>
  <c r="P1826" i="4"/>
  <c r="O1826" i="4"/>
  <c r="N1826" i="4"/>
  <c r="M1826" i="4"/>
  <c r="M1826" i="5" s="1"/>
  <c r="N1826" i="5" s="1"/>
  <c r="L1826" i="4"/>
  <c r="P1825" i="4"/>
  <c r="O1825" i="4"/>
  <c r="N1825" i="4"/>
  <c r="M1825" i="4"/>
  <c r="M1825" i="5" s="1"/>
  <c r="N1825" i="5" s="1"/>
  <c r="L1825" i="4"/>
  <c r="P1824" i="4"/>
  <c r="O1824" i="4"/>
  <c r="N1824" i="4"/>
  <c r="M1824" i="4"/>
  <c r="M1824" i="5" s="1"/>
  <c r="N1824" i="5" s="1"/>
  <c r="L1824" i="4"/>
  <c r="P1823" i="4"/>
  <c r="O1823" i="4"/>
  <c r="N1823" i="4"/>
  <c r="M1823" i="4"/>
  <c r="M1823" i="5" s="1"/>
  <c r="N1823" i="5" s="1"/>
  <c r="L1823" i="4"/>
  <c r="P1822" i="4"/>
  <c r="O1822" i="4"/>
  <c r="N1822" i="4"/>
  <c r="M1822" i="4"/>
  <c r="M1822" i="5" s="1"/>
  <c r="N1822" i="5" s="1"/>
  <c r="L1822" i="4"/>
  <c r="P1821" i="4"/>
  <c r="O1821" i="4"/>
  <c r="N1821" i="4"/>
  <c r="M1821" i="4"/>
  <c r="M1821" i="5" s="1"/>
  <c r="N1821" i="5" s="1"/>
  <c r="L1821" i="4"/>
  <c r="P1820" i="4"/>
  <c r="O1820" i="4"/>
  <c r="N1820" i="4"/>
  <c r="M1820" i="4"/>
  <c r="M1820" i="5" s="1"/>
  <c r="N1820" i="5" s="1"/>
  <c r="L1820" i="4"/>
  <c r="P1819" i="4"/>
  <c r="O1819" i="4"/>
  <c r="N1819" i="4"/>
  <c r="M1819" i="4"/>
  <c r="M1819" i="5" s="1"/>
  <c r="N1819" i="5" s="1"/>
  <c r="L1819" i="4"/>
  <c r="P1818" i="4"/>
  <c r="O1818" i="4"/>
  <c r="N1818" i="4"/>
  <c r="M1818" i="4"/>
  <c r="M1818" i="5" s="1"/>
  <c r="N1818" i="5" s="1"/>
  <c r="L1818" i="4"/>
  <c r="P1817" i="4"/>
  <c r="O1817" i="4"/>
  <c r="N1817" i="4"/>
  <c r="M1817" i="4"/>
  <c r="M1817" i="5" s="1"/>
  <c r="N1817" i="5" s="1"/>
  <c r="L1817" i="4"/>
  <c r="P1816" i="4"/>
  <c r="O1816" i="4"/>
  <c r="N1816" i="4"/>
  <c r="M1816" i="4"/>
  <c r="M1816" i="5" s="1"/>
  <c r="N1816" i="5" s="1"/>
  <c r="L1816" i="4"/>
  <c r="P1815" i="4"/>
  <c r="O1815" i="4"/>
  <c r="N1815" i="4"/>
  <c r="M1815" i="4"/>
  <c r="M1815" i="5" s="1"/>
  <c r="N1815" i="5" s="1"/>
  <c r="L1815" i="4"/>
  <c r="P1814" i="4"/>
  <c r="O1814" i="4"/>
  <c r="N1814" i="4"/>
  <c r="M1814" i="4"/>
  <c r="M1814" i="5" s="1"/>
  <c r="N1814" i="5" s="1"/>
  <c r="L1814" i="4"/>
  <c r="P1813" i="4"/>
  <c r="O1813" i="4"/>
  <c r="N1813" i="4"/>
  <c r="M1813" i="4"/>
  <c r="M1813" i="5" s="1"/>
  <c r="N1813" i="5" s="1"/>
  <c r="L1813" i="4"/>
  <c r="P1812" i="4"/>
  <c r="O1812" i="4"/>
  <c r="N1812" i="4"/>
  <c r="M1812" i="4"/>
  <c r="M1812" i="5" s="1"/>
  <c r="N1812" i="5" s="1"/>
  <c r="L1812" i="4"/>
  <c r="P1811" i="4"/>
  <c r="O1811" i="4"/>
  <c r="N1811" i="4"/>
  <c r="M1811" i="4"/>
  <c r="M1811" i="5" s="1"/>
  <c r="N1811" i="5" s="1"/>
  <c r="L1811" i="4"/>
  <c r="P1810" i="4"/>
  <c r="O1810" i="4"/>
  <c r="N1810" i="4"/>
  <c r="M1810" i="4"/>
  <c r="M1810" i="5" s="1"/>
  <c r="N1810" i="5" s="1"/>
  <c r="L1810" i="4"/>
  <c r="P1809" i="4"/>
  <c r="O1809" i="4"/>
  <c r="N1809" i="4"/>
  <c r="M1809" i="4"/>
  <c r="M1809" i="5" s="1"/>
  <c r="N1809" i="5" s="1"/>
  <c r="L1809" i="4"/>
  <c r="P1808" i="4"/>
  <c r="O1808" i="4"/>
  <c r="N1808" i="4"/>
  <c r="M1808" i="4"/>
  <c r="M1808" i="5" s="1"/>
  <c r="N1808" i="5" s="1"/>
  <c r="L1808" i="4"/>
  <c r="P1807" i="4"/>
  <c r="O1807" i="4"/>
  <c r="N1807" i="4"/>
  <c r="M1807" i="4"/>
  <c r="M1807" i="5" s="1"/>
  <c r="N1807" i="5" s="1"/>
  <c r="L1807" i="4"/>
  <c r="P1806" i="4"/>
  <c r="O1806" i="4"/>
  <c r="N1806" i="4"/>
  <c r="M1806" i="4"/>
  <c r="M1806" i="5" s="1"/>
  <c r="N1806" i="5" s="1"/>
  <c r="L1806" i="4"/>
  <c r="P1805" i="4"/>
  <c r="O1805" i="4"/>
  <c r="N1805" i="4"/>
  <c r="M1805" i="4"/>
  <c r="M1805" i="5" s="1"/>
  <c r="N1805" i="5" s="1"/>
  <c r="L1805" i="4"/>
  <c r="P1804" i="4"/>
  <c r="O1804" i="4"/>
  <c r="N1804" i="4"/>
  <c r="M1804" i="4"/>
  <c r="M1804" i="5" s="1"/>
  <c r="N1804" i="5" s="1"/>
  <c r="L1804" i="4"/>
  <c r="P1803" i="4"/>
  <c r="O1803" i="4"/>
  <c r="N1803" i="4"/>
  <c r="M1803" i="4"/>
  <c r="M1803" i="5" s="1"/>
  <c r="N1803" i="5" s="1"/>
  <c r="L1803" i="4"/>
  <c r="P1802" i="4"/>
  <c r="O1802" i="4"/>
  <c r="N1802" i="4"/>
  <c r="M1802" i="4"/>
  <c r="M1802" i="5" s="1"/>
  <c r="N1802" i="5" s="1"/>
  <c r="L1802" i="4"/>
  <c r="P1801" i="4"/>
  <c r="O1801" i="4"/>
  <c r="N1801" i="4"/>
  <c r="M1801" i="4"/>
  <c r="M1801" i="5" s="1"/>
  <c r="N1801" i="5" s="1"/>
  <c r="L1801" i="4"/>
  <c r="P1800" i="4"/>
  <c r="O1800" i="4"/>
  <c r="N1800" i="4"/>
  <c r="M1800" i="4"/>
  <c r="M1800" i="5" s="1"/>
  <c r="N1800" i="5" s="1"/>
  <c r="L1800" i="4"/>
  <c r="P1799" i="4"/>
  <c r="O1799" i="4"/>
  <c r="N1799" i="4"/>
  <c r="M1799" i="4"/>
  <c r="M1799" i="5" s="1"/>
  <c r="N1799" i="5" s="1"/>
  <c r="L1799" i="4"/>
  <c r="P1798" i="4"/>
  <c r="O1798" i="4"/>
  <c r="N1798" i="4"/>
  <c r="M1798" i="4"/>
  <c r="M1798" i="5" s="1"/>
  <c r="N1798" i="5" s="1"/>
  <c r="L1798" i="4"/>
  <c r="P1797" i="4"/>
  <c r="O1797" i="4"/>
  <c r="N1797" i="4"/>
  <c r="M1797" i="4"/>
  <c r="M1797" i="5" s="1"/>
  <c r="N1797" i="5" s="1"/>
  <c r="L1797" i="4"/>
  <c r="P1796" i="4"/>
  <c r="O1796" i="4"/>
  <c r="N1796" i="4"/>
  <c r="M1796" i="4"/>
  <c r="M1796" i="5" s="1"/>
  <c r="N1796" i="5" s="1"/>
  <c r="L1796" i="4"/>
  <c r="P1795" i="4"/>
  <c r="O1795" i="4"/>
  <c r="N1795" i="4"/>
  <c r="M1795" i="4"/>
  <c r="M1795" i="5" s="1"/>
  <c r="N1795" i="5" s="1"/>
  <c r="L1795" i="4"/>
  <c r="P1794" i="4"/>
  <c r="O1794" i="4"/>
  <c r="N1794" i="4"/>
  <c r="M1794" i="4"/>
  <c r="M1794" i="5" s="1"/>
  <c r="N1794" i="5" s="1"/>
  <c r="L1794" i="4"/>
  <c r="P1793" i="4"/>
  <c r="O1793" i="4"/>
  <c r="N1793" i="4"/>
  <c r="M1793" i="4"/>
  <c r="M1793" i="5" s="1"/>
  <c r="N1793" i="5" s="1"/>
  <c r="L1793" i="4"/>
  <c r="P1792" i="4"/>
  <c r="O1792" i="4"/>
  <c r="N1792" i="4"/>
  <c r="M1792" i="4"/>
  <c r="M1792" i="5" s="1"/>
  <c r="N1792" i="5" s="1"/>
  <c r="L1792" i="4"/>
  <c r="P1791" i="4"/>
  <c r="O1791" i="4"/>
  <c r="N1791" i="4"/>
  <c r="M1791" i="4"/>
  <c r="M1791" i="5" s="1"/>
  <c r="N1791" i="5" s="1"/>
  <c r="L1791" i="4"/>
  <c r="P1790" i="4"/>
  <c r="O1790" i="4"/>
  <c r="N1790" i="4"/>
  <c r="M1790" i="4"/>
  <c r="M1790" i="5" s="1"/>
  <c r="N1790" i="5" s="1"/>
  <c r="L1790" i="4"/>
  <c r="P1789" i="4"/>
  <c r="O1789" i="4"/>
  <c r="N1789" i="4"/>
  <c r="M1789" i="4"/>
  <c r="M1789" i="5" s="1"/>
  <c r="N1789" i="5" s="1"/>
  <c r="L1789" i="4"/>
  <c r="P1788" i="4"/>
  <c r="O1788" i="4"/>
  <c r="N1788" i="4"/>
  <c r="M1788" i="4"/>
  <c r="M1788" i="5" s="1"/>
  <c r="N1788" i="5" s="1"/>
  <c r="L1788" i="4"/>
  <c r="P1787" i="4"/>
  <c r="O1787" i="4"/>
  <c r="N1787" i="4"/>
  <c r="M1787" i="4"/>
  <c r="M1787" i="5" s="1"/>
  <c r="N1787" i="5" s="1"/>
  <c r="L1787" i="4"/>
  <c r="P1786" i="4"/>
  <c r="O1786" i="4"/>
  <c r="N1786" i="4"/>
  <c r="M1786" i="4"/>
  <c r="M1786" i="5" s="1"/>
  <c r="N1786" i="5" s="1"/>
  <c r="L1786" i="4"/>
  <c r="P1785" i="4"/>
  <c r="O1785" i="4"/>
  <c r="N1785" i="4"/>
  <c r="M1785" i="4"/>
  <c r="M1785" i="5" s="1"/>
  <c r="N1785" i="5" s="1"/>
  <c r="L1785" i="4"/>
  <c r="P1784" i="4"/>
  <c r="O1784" i="4"/>
  <c r="N1784" i="4"/>
  <c r="M1784" i="4"/>
  <c r="M1784" i="5" s="1"/>
  <c r="N1784" i="5" s="1"/>
  <c r="L1784" i="4"/>
  <c r="P1783" i="4"/>
  <c r="O1783" i="4"/>
  <c r="N1783" i="4"/>
  <c r="M1783" i="4"/>
  <c r="M1783" i="5" s="1"/>
  <c r="N1783" i="5" s="1"/>
  <c r="L1783" i="4"/>
  <c r="P1782" i="4"/>
  <c r="O1782" i="4"/>
  <c r="N1782" i="4"/>
  <c r="M1782" i="4"/>
  <c r="M1782" i="5" s="1"/>
  <c r="N1782" i="5" s="1"/>
  <c r="L1782" i="4"/>
  <c r="P1781" i="4"/>
  <c r="O1781" i="4"/>
  <c r="N1781" i="4"/>
  <c r="M1781" i="4"/>
  <c r="M1781" i="5" s="1"/>
  <c r="N1781" i="5" s="1"/>
  <c r="L1781" i="4"/>
  <c r="P1780" i="4"/>
  <c r="O1780" i="4"/>
  <c r="N1780" i="4"/>
  <c r="M1780" i="4"/>
  <c r="M1780" i="5" s="1"/>
  <c r="N1780" i="5" s="1"/>
  <c r="L1780" i="4"/>
  <c r="P1779" i="4"/>
  <c r="O1779" i="4"/>
  <c r="N1779" i="4"/>
  <c r="M1779" i="4"/>
  <c r="M1779" i="5" s="1"/>
  <c r="N1779" i="5" s="1"/>
  <c r="L1779" i="4"/>
  <c r="P1778" i="4"/>
  <c r="O1778" i="4"/>
  <c r="N1778" i="4"/>
  <c r="M1778" i="4"/>
  <c r="M1778" i="5" s="1"/>
  <c r="N1778" i="5" s="1"/>
  <c r="L1778" i="4"/>
  <c r="P1777" i="4"/>
  <c r="O1777" i="4"/>
  <c r="N1777" i="4"/>
  <c r="M1777" i="4"/>
  <c r="M1777" i="5" s="1"/>
  <c r="N1777" i="5" s="1"/>
  <c r="L1777" i="4"/>
  <c r="P1776" i="4"/>
  <c r="O1776" i="4"/>
  <c r="N1776" i="4"/>
  <c r="M1776" i="4"/>
  <c r="M1776" i="5" s="1"/>
  <c r="N1776" i="5" s="1"/>
  <c r="L1776" i="4"/>
  <c r="P1775" i="4"/>
  <c r="O1775" i="4"/>
  <c r="N1775" i="4"/>
  <c r="M1775" i="4"/>
  <c r="M1775" i="5" s="1"/>
  <c r="N1775" i="5" s="1"/>
  <c r="L1775" i="4"/>
  <c r="P1774" i="4"/>
  <c r="O1774" i="4"/>
  <c r="N1774" i="4"/>
  <c r="M1774" i="4"/>
  <c r="M1774" i="5" s="1"/>
  <c r="N1774" i="5" s="1"/>
  <c r="L1774" i="4"/>
  <c r="P1773" i="4"/>
  <c r="O1773" i="4"/>
  <c r="N1773" i="4"/>
  <c r="M1773" i="4"/>
  <c r="M1773" i="5" s="1"/>
  <c r="N1773" i="5" s="1"/>
  <c r="L1773" i="4"/>
  <c r="P1772" i="4"/>
  <c r="O1772" i="4"/>
  <c r="N1772" i="4"/>
  <c r="M1772" i="4"/>
  <c r="M1772" i="5" s="1"/>
  <c r="N1772" i="5" s="1"/>
  <c r="L1772" i="4"/>
  <c r="P1771" i="4"/>
  <c r="O1771" i="4"/>
  <c r="N1771" i="4"/>
  <c r="M1771" i="4"/>
  <c r="M1771" i="5" s="1"/>
  <c r="N1771" i="5" s="1"/>
  <c r="L1771" i="4"/>
  <c r="P1770" i="4"/>
  <c r="O1770" i="4"/>
  <c r="N1770" i="4"/>
  <c r="M1770" i="4"/>
  <c r="M1770" i="5" s="1"/>
  <c r="N1770" i="5" s="1"/>
  <c r="L1770" i="4"/>
  <c r="P1769" i="4"/>
  <c r="O1769" i="4"/>
  <c r="N1769" i="4"/>
  <c r="M1769" i="4"/>
  <c r="M1769" i="5" s="1"/>
  <c r="N1769" i="5" s="1"/>
  <c r="L1769" i="4"/>
  <c r="P1768" i="4"/>
  <c r="O1768" i="4"/>
  <c r="N1768" i="4"/>
  <c r="M1768" i="4"/>
  <c r="M1768" i="5" s="1"/>
  <c r="N1768" i="5" s="1"/>
  <c r="L1768" i="4"/>
  <c r="P1767" i="4"/>
  <c r="O1767" i="4"/>
  <c r="N1767" i="4"/>
  <c r="M1767" i="4"/>
  <c r="M1767" i="5" s="1"/>
  <c r="N1767" i="5" s="1"/>
  <c r="L1767" i="4"/>
  <c r="P1766" i="4"/>
  <c r="O1766" i="4"/>
  <c r="N1766" i="4"/>
  <c r="M1766" i="4"/>
  <c r="M1766" i="5" s="1"/>
  <c r="N1766" i="5" s="1"/>
  <c r="L1766" i="4"/>
  <c r="P1765" i="4"/>
  <c r="O1765" i="4"/>
  <c r="N1765" i="4"/>
  <c r="M1765" i="4"/>
  <c r="M1765" i="5" s="1"/>
  <c r="N1765" i="5" s="1"/>
  <c r="L1765" i="4"/>
  <c r="P1764" i="4"/>
  <c r="O1764" i="4"/>
  <c r="N1764" i="4"/>
  <c r="M1764" i="4"/>
  <c r="M1764" i="5" s="1"/>
  <c r="N1764" i="5" s="1"/>
  <c r="L1764" i="4"/>
  <c r="P1763" i="4"/>
  <c r="O1763" i="4"/>
  <c r="N1763" i="4"/>
  <c r="M1763" i="4"/>
  <c r="M1763" i="5" s="1"/>
  <c r="N1763" i="5" s="1"/>
  <c r="L1763" i="4"/>
  <c r="P1762" i="4"/>
  <c r="O1762" i="4"/>
  <c r="N1762" i="4"/>
  <c r="M1762" i="4"/>
  <c r="M1762" i="5" s="1"/>
  <c r="N1762" i="5" s="1"/>
  <c r="L1762" i="4"/>
  <c r="P1761" i="4"/>
  <c r="O1761" i="4"/>
  <c r="N1761" i="4"/>
  <c r="M1761" i="4"/>
  <c r="M1761" i="5" s="1"/>
  <c r="N1761" i="5" s="1"/>
  <c r="L1761" i="4"/>
  <c r="P1760" i="4"/>
  <c r="O1760" i="4"/>
  <c r="N1760" i="4"/>
  <c r="M1760" i="4"/>
  <c r="M1760" i="5" s="1"/>
  <c r="N1760" i="5" s="1"/>
  <c r="L1760" i="4"/>
  <c r="P1759" i="4"/>
  <c r="O1759" i="4"/>
  <c r="N1759" i="4"/>
  <c r="M1759" i="4"/>
  <c r="M1759" i="5" s="1"/>
  <c r="N1759" i="5" s="1"/>
  <c r="L1759" i="4"/>
  <c r="P1758" i="4"/>
  <c r="O1758" i="4"/>
  <c r="N1758" i="4"/>
  <c r="M1758" i="4"/>
  <c r="M1758" i="5" s="1"/>
  <c r="N1758" i="5" s="1"/>
  <c r="L1758" i="4"/>
  <c r="P1757" i="4"/>
  <c r="O1757" i="4"/>
  <c r="N1757" i="4"/>
  <c r="M1757" i="4"/>
  <c r="M1757" i="5" s="1"/>
  <c r="N1757" i="5" s="1"/>
  <c r="L1757" i="4"/>
  <c r="P1756" i="4"/>
  <c r="O1756" i="4"/>
  <c r="N1756" i="4"/>
  <c r="M1756" i="4"/>
  <c r="M1756" i="5" s="1"/>
  <c r="N1756" i="5" s="1"/>
  <c r="L1756" i="4"/>
  <c r="P1755" i="4"/>
  <c r="O1755" i="4"/>
  <c r="N1755" i="4"/>
  <c r="M1755" i="4"/>
  <c r="M1755" i="5" s="1"/>
  <c r="N1755" i="5" s="1"/>
  <c r="L1755" i="4"/>
  <c r="P1754" i="4"/>
  <c r="O1754" i="4"/>
  <c r="N1754" i="4"/>
  <c r="M1754" i="4"/>
  <c r="M1754" i="5" s="1"/>
  <c r="N1754" i="5" s="1"/>
  <c r="L1754" i="4"/>
  <c r="P1753" i="4"/>
  <c r="O1753" i="4"/>
  <c r="N1753" i="4"/>
  <c r="M1753" i="4"/>
  <c r="M1753" i="5" s="1"/>
  <c r="N1753" i="5" s="1"/>
  <c r="L1753" i="4"/>
  <c r="P1752" i="4"/>
  <c r="O1752" i="4"/>
  <c r="N1752" i="4"/>
  <c r="M1752" i="4"/>
  <c r="M1752" i="5" s="1"/>
  <c r="N1752" i="5" s="1"/>
  <c r="L1752" i="4"/>
  <c r="P1751" i="4"/>
  <c r="O1751" i="4"/>
  <c r="N1751" i="4"/>
  <c r="M1751" i="4"/>
  <c r="M1751" i="5" s="1"/>
  <c r="N1751" i="5" s="1"/>
  <c r="L1751" i="4"/>
  <c r="P1750" i="4"/>
  <c r="O1750" i="4"/>
  <c r="N1750" i="4"/>
  <c r="M1750" i="4"/>
  <c r="M1750" i="5" s="1"/>
  <c r="N1750" i="5" s="1"/>
  <c r="L1750" i="4"/>
  <c r="P1749" i="4"/>
  <c r="O1749" i="4"/>
  <c r="N1749" i="4"/>
  <c r="M1749" i="4"/>
  <c r="M1749" i="5" s="1"/>
  <c r="N1749" i="5" s="1"/>
  <c r="L1749" i="4"/>
  <c r="P1748" i="4"/>
  <c r="O1748" i="4"/>
  <c r="N1748" i="4"/>
  <c r="M1748" i="4"/>
  <c r="M1748" i="5" s="1"/>
  <c r="N1748" i="5" s="1"/>
  <c r="L1748" i="4"/>
  <c r="P1747" i="4"/>
  <c r="O1747" i="4"/>
  <c r="N1747" i="4"/>
  <c r="M1747" i="4"/>
  <c r="M1747" i="5" s="1"/>
  <c r="N1747" i="5" s="1"/>
  <c r="L1747" i="4"/>
  <c r="P1746" i="4"/>
  <c r="O1746" i="4"/>
  <c r="N1746" i="4"/>
  <c r="M1746" i="4"/>
  <c r="M1746" i="5" s="1"/>
  <c r="N1746" i="5" s="1"/>
  <c r="L1746" i="4"/>
  <c r="P1745" i="4"/>
  <c r="O1745" i="4"/>
  <c r="N1745" i="4"/>
  <c r="M1745" i="4"/>
  <c r="M1745" i="5" s="1"/>
  <c r="N1745" i="5" s="1"/>
  <c r="L1745" i="4"/>
  <c r="P1744" i="4"/>
  <c r="O1744" i="4"/>
  <c r="N1744" i="4"/>
  <c r="M1744" i="4"/>
  <c r="M1744" i="5" s="1"/>
  <c r="N1744" i="5" s="1"/>
  <c r="L1744" i="4"/>
  <c r="P1743" i="4"/>
  <c r="O1743" i="4"/>
  <c r="N1743" i="4"/>
  <c r="M1743" i="4"/>
  <c r="M1743" i="5" s="1"/>
  <c r="N1743" i="5" s="1"/>
  <c r="L1743" i="4"/>
  <c r="P1742" i="4"/>
  <c r="O1742" i="4"/>
  <c r="N1742" i="4"/>
  <c r="M1742" i="4"/>
  <c r="M1742" i="5" s="1"/>
  <c r="N1742" i="5" s="1"/>
  <c r="L1742" i="4"/>
  <c r="P1741" i="4"/>
  <c r="O1741" i="4"/>
  <c r="N1741" i="4"/>
  <c r="M1741" i="4"/>
  <c r="M1741" i="5" s="1"/>
  <c r="N1741" i="5" s="1"/>
  <c r="L1741" i="4"/>
  <c r="P1740" i="4"/>
  <c r="O1740" i="4"/>
  <c r="N1740" i="4"/>
  <c r="M1740" i="4"/>
  <c r="M1740" i="5" s="1"/>
  <c r="N1740" i="5" s="1"/>
  <c r="L1740" i="4"/>
  <c r="P1739" i="4"/>
  <c r="O1739" i="4"/>
  <c r="N1739" i="4"/>
  <c r="M1739" i="4"/>
  <c r="M1739" i="5" s="1"/>
  <c r="N1739" i="5" s="1"/>
  <c r="L1739" i="4"/>
  <c r="P1738" i="4"/>
  <c r="O1738" i="4"/>
  <c r="N1738" i="4"/>
  <c r="M1738" i="4"/>
  <c r="M1738" i="5" s="1"/>
  <c r="N1738" i="5" s="1"/>
  <c r="L1738" i="4"/>
  <c r="P1737" i="4"/>
  <c r="O1737" i="4"/>
  <c r="N1737" i="4"/>
  <c r="M1737" i="4"/>
  <c r="M1737" i="5" s="1"/>
  <c r="N1737" i="5" s="1"/>
  <c r="L1737" i="4"/>
  <c r="P1736" i="4"/>
  <c r="O1736" i="4"/>
  <c r="N1736" i="4"/>
  <c r="M1736" i="4"/>
  <c r="M1736" i="5" s="1"/>
  <c r="N1736" i="5" s="1"/>
  <c r="L1736" i="4"/>
  <c r="P1735" i="4"/>
  <c r="O1735" i="4"/>
  <c r="N1735" i="4"/>
  <c r="M1735" i="4"/>
  <c r="M1735" i="5" s="1"/>
  <c r="N1735" i="5" s="1"/>
  <c r="L1735" i="4"/>
  <c r="P1734" i="4"/>
  <c r="O1734" i="4"/>
  <c r="N1734" i="4"/>
  <c r="M1734" i="4"/>
  <c r="M1734" i="5" s="1"/>
  <c r="N1734" i="5" s="1"/>
  <c r="L1734" i="4"/>
  <c r="P1733" i="4"/>
  <c r="O1733" i="4"/>
  <c r="N1733" i="4"/>
  <c r="M1733" i="4"/>
  <c r="M1733" i="5" s="1"/>
  <c r="N1733" i="5" s="1"/>
  <c r="L1733" i="4"/>
  <c r="P1732" i="4"/>
  <c r="O1732" i="4"/>
  <c r="N1732" i="4"/>
  <c r="M1732" i="4"/>
  <c r="M1732" i="5" s="1"/>
  <c r="N1732" i="5" s="1"/>
  <c r="L1732" i="4"/>
  <c r="P1731" i="4"/>
  <c r="O1731" i="4"/>
  <c r="N1731" i="4"/>
  <c r="M1731" i="4"/>
  <c r="M1731" i="5" s="1"/>
  <c r="N1731" i="5" s="1"/>
  <c r="L1731" i="4"/>
  <c r="P1730" i="4"/>
  <c r="O1730" i="4"/>
  <c r="N1730" i="4"/>
  <c r="M1730" i="4"/>
  <c r="M1730" i="5" s="1"/>
  <c r="N1730" i="5" s="1"/>
  <c r="L1730" i="4"/>
  <c r="P1729" i="4"/>
  <c r="O1729" i="4"/>
  <c r="N1729" i="4"/>
  <c r="M1729" i="4"/>
  <c r="M1729" i="5" s="1"/>
  <c r="N1729" i="5" s="1"/>
  <c r="L1729" i="4"/>
  <c r="P1728" i="4"/>
  <c r="O1728" i="4"/>
  <c r="N1728" i="4"/>
  <c r="M1728" i="4"/>
  <c r="M1728" i="5" s="1"/>
  <c r="N1728" i="5" s="1"/>
  <c r="L1728" i="4"/>
  <c r="P1727" i="4"/>
  <c r="O1727" i="4"/>
  <c r="N1727" i="4"/>
  <c r="M1727" i="4"/>
  <c r="M1727" i="5" s="1"/>
  <c r="N1727" i="5" s="1"/>
  <c r="L1727" i="4"/>
  <c r="P1726" i="4"/>
  <c r="O1726" i="4"/>
  <c r="N1726" i="4"/>
  <c r="M1726" i="4"/>
  <c r="M1726" i="5" s="1"/>
  <c r="N1726" i="5" s="1"/>
  <c r="L1726" i="4"/>
  <c r="P1725" i="4"/>
  <c r="O1725" i="4"/>
  <c r="N1725" i="4"/>
  <c r="M1725" i="4"/>
  <c r="M1725" i="5" s="1"/>
  <c r="N1725" i="5" s="1"/>
  <c r="L1725" i="4"/>
  <c r="P1724" i="4"/>
  <c r="O1724" i="4"/>
  <c r="N1724" i="4"/>
  <c r="M1724" i="4"/>
  <c r="M1724" i="5" s="1"/>
  <c r="N1724" i="5" s="1"/>
  <c r="L1724" i="4"/>
  <c r="P1723" i="4"/>
  <c r="O1723" i="4"/>
  <c r="N1723" i="4"/>
  <c r="M1723" i="4"/>
  <c r="M1723" i="5" s="1"/>
  <c r="N1723" i="5" s="1"/>
  <c r="L1723" i="4"/>
  <c r="P1722" i="4"/>
  <c r="O1722" i="4"/>
  <c r="N1722" i="4"/>
  <c r="M1722" i="4"/>
  <c r="M1722" i="5" s="1"/>
  <c r="N1722" i="5" s="1"/>
  <c r="L1722" i="4"/>
  <c r="P1721" i="4"/>
  <c r="O1721" i="4"/>
  <c r="N1721" i="4"/>
  <c r="M1721" i="4"/>
  <c r="M1721" i="5" s="1"/>
  <c r="N1721" i="5" s="1"/>
  <c r="L1721" i="4"/>
  <c r="P1720" i="4"/>
  <c r="O1720" i="4"/>
  <c r="N1720" i="4"/>
  <c r="M1720" i="4"/>
  <c r="M1720" i="5" s="1"/>
  <c r="N1720" i="5" s="1"/>
  <c r="L1720" i="4"/>
  <c r="P1719" i="4"/>
  <c r="O1719" i="4"/>
  <c r="N1719" i="4"/>
  <c r="M1719" i="4"/>
  <c r="M1719" i="5" s="1"/>
  <c r="N1719" i="5" s="1"/>
  <c r="L1719" i="4"/>
  <c r="P1718" i="4"/>
  <c r="O1718" i="4"/>
  <c r="N1718" i="4"/>
  <c r="M1718" i="4"/>
  <c r="M1718" i="5" s="1"/>
  <c r="N1718" i="5" s="1"/>
  <c r="L1718" i="4"/>
  <c r="P1717" i="4"/>
  <c r="O1717" i="4"/>
  <c r="N1717" i="4"/>
  <c r="M1717" i="4"/>
  <c r="M1717" i="5" s="1"/>
  <c r="N1717" i="5" s="1"/>
  <c r="L1717" i="4"/>
  <c r="P1716" i="4"/>
  <c r="O1716" i="4"/>
  <c r="N1716" i="4"/>
  <c r="M1716" i="4"/>
  <c r="M1716" i="5" s="1"/>
  <c r="N1716" i="5" s="1"/>
  <c r="L1716" i="4"/>
  <c r="P1715" i="4"/>
  <c r="O1715" i="4"/>
  <c r="N1715" i="4"/>
  <c r="M1715" i="4"/>
  <c r="M1715" i="5" s="1"/>
  <c r="N1715" i="5" s="1"/>
  <c r="L1715" i="4"/>
  <c r="P1714" i="4"/>
  <c r="O1714" i="4"/>
  <c r="N1714" i="4"/>
  <c r="M1714" i="4"/>
  <c r="M1714" i="5" s="1"/>
  <c r="N1714" i="5" s="1"/>
  <c r="L1714" i="4"/>
  <c r="P1713" i="4"/>
  <c r="O1713" i="4"/>
  <c r="N1713" i="4"/>
  <c r="M1713" i="4"/>
  <c r="M1713" i="5" s="1"/>
  <c r="N1713" i="5" s="1"/>
  <c r="L1713" i="4"/>
  <c r="P1712" i="4"/>
  <c r="O1712" i="4"/>
  <c r="N1712" i="4"/>
  <c r="M1712" i="4"/>
  <c r="M1712" i="5" s="1"/>
  <c r="N1712" i="5" s="1"/>
  <c r="L1712" i="4"/>
  <c r="P1711" i="4"/>
  <c r="O1711" i="4"/>
  <c r="N1711" i="4"/>
  <c r="M1711" i="4"/>
  <c r="M1711" i="5" s="1"/>
  <c r="N1711" i="5" s="1"/>
  <c r="L1711" i="4"/>
  <c r="P1710" i="4"/>
  <c r="O1710" i="4"/>
  <c r="N1710" i="4"/>
  <c r="M1710" i="4"/>
  <c r="M1710" i="5" s="1"/>
  <c r="N1710" i="5" s="1"/>
  <c r="L1710" i="4"/>
  <c r="P1709" i="4"/>
  <c r="O1709" i="4"/>
  <c r="N1709" i="4"/>
  <c r="M1709" i="4"/>
  <c r="M1709" i="5" s="1"/>
  <c r="N1709" i="5" s="1"/>
  <c r="L1709" i="4"/>
  <c r="P1708" i="4"/>
  <c r="O1708" i="4"/>
  <c r="N1708" i="4"/>
  <c r="M1708" i="4"/>
  <c r="M1708" i="5" s="1"/>
  <c r="N1708" i="5" s="1"/>
  <c r="L1708" i="4"/>
  <c r="P1707" i="4"/>
  <c r="O1707" i="4"/>
  <c r="N1707" i="4"/>
  <c r="M1707" i="4"/>
  <c r="M1707" i="5" s="1"/>
  <c r="N1707" i="5" s="1"/>
  <c r="L1707" i="4"/>
  <c r="P1706" i="4"/>
  <c r="O1706" i="4"/>
  <c r="N1706" i="4"/>
  <c r="M1706" i="4"/>
  <c r="M1706" i="5" s="1"/>
  <c r="N1706" i="5" s="1"/>
  <c r="L1706" i="4"/>
  <c r="P1705" i="4"/>
  <c r="O1705" i="4"/>
  <c r="N1705" i="4"/>
  <c r="M1705" i="4"/>
  <c r="M1705" i="5" s="1"/>
  <c r="N1705" i="5" s="1"/>
  <c r="L1705" i="4"/>
  <c r="P1704" i="4"/>
  <c r="O1704" i="4"/>
  <c r="N1704" i="4"/>
  <c r="M1704" i="4"/>
  <c r="M1704" i="5" s="1"/>
  <c r="N1704" i="5" s="1"/>
  <c r="L1704" i="4"/>
  <c r="P1703" i="4"/>
  <c r="O1703" i="4"/>
  <c r="N1703" i="4"/>
  <c r="M1703" i="4"/>
  <c r="M1703" i="5" s="1"/>
  <c r="N1703" i="5" s="1"/>
  <c r="L1703" i="4"/>
  <c r="P1702" i="4"/>
  <c r="O1702" i="4"/>
  <c r="N1702" i="4"/>
  <c r="M1702" i="4"/>
  <c r="M1702" i="5" s="1"/>
  <c r="N1702" i="5" s="1"/>
  <c r="L1702" i="4"/>
  <c r="P1701" i="4"/>
  <c r="O1701" i="4"/>
  <c r="N1701" i="4"/>
  <c r="M1701" i="4"/>
  <c r="M1701" i="5" s="1"/>
  <c r="N1701" i="5" s="1"/>
  <c r="L1701" i="4"/>
  <c r="P1700" i="4"/>
  <c r="O1700" i="4"/>
  <c r="N1700" i="4"/>
  <c r="M1700" i="4"/>
  <c r="M1700" i="5" s="1"/>
  <c r="N1700" i="5" s="1"/>
  <c r="L1700" i="4"/>
  <c r="P1699" i="4"/>
  <c r="O1699" i="4"/>
  <c r="N1699" i="4"/>
  <c r="M1699" i="4"/>
  <c r="M1699" i="5" s="1"/>
  <c r="N1699" i="5" s="1"/>
  <c r="L1699" i="4"/>
  <c r="P1698" i="4"/>
  <c r="O1698" i="4"/>
  <c r="N1698" i="4"/>
  <c r="M1698" i="4"/>
  <c r="M1698" i="5" s="1"/>
  <c r="N1698" i="5" s="1"/>
  <c r="L1698" i="4"/>
  <c r="P1697" i="4"/>
  <c r="O1697" i="4"/>
  <c r="N1697" i="4"/>
  <c r="M1697" i="4"/>
  <c r="M1697" i="5" s="1"/>
  <c r="N1697" i="5" s="1"/>
  <c r="L1697" i="4"/>
  <c r="P1696" i="4"/>
  <c r="O1696" i="4"/>
  <c r="N1696" i="4"/>
  <c r="M1696" i="4"/>
  <c r="M1696" i="5" s="1"/>
  <c r="N1696" i="5" s="1"/>
  <c r="L1696" i="4"/>
  <c r="P1695" i="4"/>
  <c r="O1695" i="4"/>
  <c r="N1695" i="4"/>
  <c r="M1695" i="4"/>
  <c r="M1695" i="5" s="1"/>
  <c r="N1695" i="5" s="1"/>
  <c r="L1695" i="4"/>
  <c r="P1694" i="4"/>
  <c r="O1694" i="4"/>
  <c r="N1694" i="4"/>
  <c r="M1694" i="4"/>
  <c r="M1694" i="5" s="1"/>
  <c r="N1694" i="5" s="1"/>
  <c r="L1694" i="4"/>
  <c r="P1693" i="4"/>
  <c r="O1693" i="4"/>
  <c r="N1693" i="4"/>
  <c r="M1693" i="4"/>
  <c r="M1693" i="5" s="1"/>
  <c r="N1693" i="5" s="1"/>
  <c r="L1693" i="4"/>
  <c r="P1692" i="4"/>
  <c r="O1692" i="4"/>
  <c r="N1692" i="4"/>
  <c r="M1692" i="4"/>
  <c r="M1692" i="5" s="1"/>
  <c r="N1692" i="5" s="1"/>
  <c r="L1692" i="4"/>
  <c r="P1691" i="4"/>
  <c r="O1691" i="4"/>
  <c r="N1691" i="4"/>
  <c r="M1691" i="4"/>
  <c r="M1691" i="5" s="1"/>
  <c r="N1691" i="5" s="1"/>
  <c r="L1691" i="4"/>
  <c r="P1690" i="4"/>
  <c r="O1690" i="4"/>
  <c r="N1690" i="4"/>
  <c r="M1690" i="4"/>
  <c r="M1690" i="5" s="1"/>
  <c r="N1690" i="5" s="1"/>
  <c r="L1690" i="4"/>
  <c r="P1689" i="4"/>
  <c r="O1689" i="4"/>
  <c r="N1689" i="4"/>
  <c r="M1689" i="4"/>
  <c r="M1689" i="5" s="1"/>
  <c r="N1689" i="5" s="1"/>
  <c r="L1689" i="4"/>
  <c r="P1688" i="4"/>
  <c r="O1688" i="4"/>
  <c r="N1688" i="4"/>
  <c r="M1688" i="4"/>
  <c r="M1688" i="5" s="1"/>
  <c r="N1688" i="5" s="1"/>
  <c r="L1688" i="4"/>
  <c r="P1687" i="4"/>
  <c r="O1687" i="4"/>
  <c r="N1687" i="4"/>
  <c r="M1687" i="4"/>
  <c r="M1687" i="5" s="1"/>
  <c r="N1687" i="5" s="1"/>
  <c r="L1687" i="4"/>
  <c r="P1686" i="4"/>
  <c r="O1686" i="4"/>
  <c r="N1686" i="4"/>
  <c r="M1686" i="4"/>
  <c r="M1686" i="5" s="1"/>
  <c r="N1686" i="5" s="1"/>
  <c r="L1686" i="4"/>
  <c r="P1685" i="4"/>
  <c r="O1685" i="4"/>
  <c r="N1685" i="4"/>
  <c r="M1685" i="4"/>
  <c r="M1685" i="5" s="1"/>
  <c r="N1685" i="5" s="1"/>
  <c r="L1685" i="4"/>
  <c r="P1684" i="4"/>
  <c r="O1684" i="4"/>
  <c r="N1684" i="4"/>
  <c r="M1684" i="4"/>
  <c r="M1684" i="5" s="1"/>
  <c r="N1684" i="5" s="1"/>
  <c r="L1684" i="4"/>
  <c r="P1683" i="4"/>
  <c r="O1683" i="4"/>
  <c r="N1683" i="4"/>
  <c r="M1683" i="4"/>
  <c r="M1683" i="5" s="1"/>
  <c r="N1683" i="5" s="1"/>
  <c r="L1683" i="4"/>
  <c r="P1682" i="4"/>
  <c r="O1682" i="4"/>
  <c r="N1682" i="4"/>
  <c r="M1682" i="4"/>
  <c r="M1682" i="5" s="1"/>
  <c r="N1682" i="5" s="1"/>
  <c r="L1682" i="4"/>
  <c r="P1681" i="4"/>
  <c r="O1681" i="4"/>
  <c r="N1681" i="4"/>
  <c r="M1681" i="4"/>
  <c r="M1681" i="5" s="1"/>
  <c r="N1681" i="5" s="1"/>
  <c r="L1681" i="4"/>
  <c r="P1680" i="4"/>
  <c r="O1680" i="4"/>
  <c r="N1680" i="4"/>
  <c r="M1680" i="4"/>
  <c r="M1680" i="5" s="1"/>
  <c r="N1680" i="5" s="1"/>
  <c r="L1680" i="4"/>
  <c r="P1679" i="4"/>
  <c r="O1679" i="4"/>
  <c r="N1679" i="4"/>
  <c r="M1679" i="4"/>
  <c r="M1679" i="5" s="1"/>
  <c r="N1679" i="5" s="1"/>
  <c r="L1679" i="4"/>
  <c r="P1678" i="4"/>
  <c r="O1678" i="4"/>
  <c r="N1678" i="4"/>
  <c r="M1678" i="4"/>
  <c r="M1678" i="5" s="1"/>
  <c r="N1678" i="5" s="1"/>
  <c r="L1678" i="4"/>
  <c r="P1677" i="4"/>
  <c r="O1677" i="4"/>
  <c r="N1677" i="4"/>
  <c r="M1677" i="4"/>
  <c r="M1677" i="5" s="1"/>
  <c r="N1677" i="5" s="1"/>
  <c r="L1677" i="4"/>
  <c r="P1676" i="4"/>
  <c r="O1676" i="4"/>
  <c r="N1676" i="4"/>
  <c r="M1676" i="4"/>
  <c r="M1676" i="5" s="1"/>
  <c r="N1676" i="5" s="1"/>
  <c r="L1676" i="4"/>
  <c r="P1675" i="4"/>
  <c r="O1675" i="4"/>
  <c r="N1675" i="4"/>
  <c r="M1675" i="4"/>
  <c r="M1675" i="5" s="1"/>
  <c r="N1675" i="5" s="1"/>
  <c r="L1675" i="4"/>
  <c r="P1674" i="4"/>
  <c r="O1674" i="4"/>
  <c r="N1674" i="4"/>
  <c r="M1674" i="4"/>
  <c r="M1674" i="5" s="1"/>
  <c r="N1674" i="5" s="1"/>
  <c r="L1674" i="4"/>
  <c r="P1673" i="4"/>
  <c r="O1673" i="4"/>
  <c r="N1673" i="4"/>
  <c r="M1673" i="4"/>
  <c r="M1673" i="5" s="1"/>
  <c r="N1673" i="5" s="1"/>
  <c r="L1673" i="4"/>
  <c r="P1672" i="4"/>
  <c r="O1672" i="4"/>
  <c r="N1672" i="4"/>
  <c r="M1672" i="4"/>
  <c r="M1672" i="5" s="1"/>
  <c r="N1672" i="5" s="1"/>
  <c r="L1672" i="4"/>
  <c r="P1671" i="4"/>
  <c r="O1671" i="4"/>
  <c r="N1671" i="4"/>
  <c r="M1671" i="4"/>
  <c r="M1671" i="5" s="1"/>
  <c r="N1671" i="5" s="1"/>
  <c r="L1671" i="4"/>
  <c r="P1670" i="4"/>
  <c r="O1670" i="4"/>
  <c r="N1670" i="4"/>
  <c r="M1670" i="4"/>
  <c r="M1670" i="5" s="1"/>
  <c r="N1670" i="5" s="1"/>
  <c r="L1670" i="4"/>
  <c r="P1669" i="4"/>
  <c r="O1669" i="4"/>
  <c r="N1669" i="4"/>
  <c r="M1669" i="4"/>
  <c r="M1669" i="5" s="1"/>
  <c r="N1669" i="5" s="1"/>
  <c r="L1669" i="4"/>
  <c r="P1668" i="4"/>
  <c r="O1668" i="4"/>
  <c r="N1668" i="4"/>
  <c r="M1668" i="4"/>
  <c r="M1668" i="5" s="1"/>
  <c r="N1668" i="5" s="1"/>
  <c r="L1668" i="4"/>
  <c r="P1667" i="4"/>
  <c r="O1667" i="4"/>
  <c r="N1667" i="4"/>
  <c r="M1667" i="4"/>
  <c r="M1667" i="5" s="1"/>
  <c r="N1667" i="5" s="1"/>
  <c r="L1667" i="4"/>
  <c r="P1666" i="4"/>
  <c r="O1666" i="4"/>
  <c r="N1666" i="4"/>
  <c r="M1666" i="4"/>
  <c r="M1666" i="5" s="1"/>
  <c r="N1666" i="5" s="1"/>
  <c r="L1666" i="4"/>
  <c r="P1665" i="4"/>
  <c r="O1665" i="4"/>
  <c r="N1665" i="4"/>
  <c r="M1665" i="4"/>
  <c r="M1665" i="5" s="1"/>
  <c r="N1665" i="5" s="1"/>
  <c r="L1665" i="4"/>
  <c r="P1664" i="4"/>
  <c r="O1664" i="4"/>
  <c r="N1664" i="4"/>
  <c r="M1664" i="4"/>
  <c r="M1664" i="5" s="1"/>
  <c r="N1664" i="5" s="1"/>
  <c r="L1664" i="4"/>
  <c r="P1663" i="4"/>
  <c r="O1663" i="4"/>
  <c r="N1663" i="4"/>
  <c r="M1663" i="4"/>
  <c r="M1663" i="5" s="1"/>
  <c r="N1663" i="5" s="1"/>
  <c r="L1663" i="4"/>
  <c r="P1662" i="4"/>
  <c r="O1662" i="4"/>
  <c r="N1662" i="4"/>
  <c r="M1662" i="4"/>
  <c r="M1662" i="5" s="1"/>
  <c r="N1662" i="5" s="1"/>
  <c r="L1662" i="4"/>
  <c r="P1661" i="4"/>
  <c r="O1661" i="4"/>
  <c r="N1661" i="4"/>
  <c r="M1661" i="4"/>
  <c r="M1661" i="5" s="1"/>
  <c r="N1661" i="5" s="1"/>
  <c r="L1661" i="4"/>
  <c r="P1660" i="4"/>
  <c r="O1660" i="4"/>
  <c r="N1660" i="4"/>
  <c r="M1660" i="4"/>
  <c r="M1660" i="5" s="1"/>
  <c r="N1660" i="5" s="1"/>
  <c r="L1660" i="4"/>
  <c r="P1659" i="4"/>
  <c r="O1659" i="4"/>
  <c r="N1659" i="4"/>
  <c r="M1659" i="4"/>
  <c r="M1659" i="5" s="1"/>
  <c r="N1659" i="5" s="1"/>
  <c r="L1659" i="4"/>
  <c r="P1658" i="4"/>
  <c r="O1658" i="4"/>
  <c r="N1658" i="4"/>
  <c r="M1658" i="4"/>
  <c r="M1658" i="5" s="1"/>
  <c r="N1658" i="5" s="1"/>
  <c r="L1658" i="4"/>
  <c r="P1657" i="4"/>
  <c r="O1657" i="4"/>
  <c r="N1657" i="4"/>
  <c r="M1657" i="4"/>
  <c r="M1657" i="5" s="1"/>
  <c r="N1657" i="5" s="1"/>
  <c r="L1657" i="4"/>
  <c r="P1656" i="4"/>
  <c r="O1656" i="4"/>
  <c r="N1656" i="4"/>
  <c r="M1656" i="4"/>
  <c r="M1656" i="5" s="1"/>
  <c r="N1656" i="5" s="1"/>
  <c r="L1656" i="4"/>
  <c r="P1655" i="4"/>
  <c r="O1655" i="4"/>
  <c r="N1655" i="4"/>
  <c r="M1655" i="4"/>
  <c r="M1655" i="5" s="1"/>
  <c r="N1655" i="5" s="1"/>
  <c r="L1655" i="4"/>
  <c r="P1654" i="4"/>
  <c r="O1654" i="4"/>
  <c r="N1654" i="4"/>
  <c r="M1654" i="4"/>
  <c r="M1654" i="5" s="1"/>
  <c r="N1654" i="5" s="1"/>
  <c r="L1654" i="4"/>
  <c r="P1653" i="4"/>
  <c r="O1653" i="4"/>
  <c r="N1653" i="4"/>
  <c r="M1653" i="4"/>
  <c r="M1653" i="5" s="1"/>
  <c r="N1653" i="5" s="1"/>
  <c r="L1653" i="4"/>
  <c r="P1652" i="4"/>
  <c r="O1652" i="4"/>
  <c r="N1652" i="4"/>
  <c r="M1652" i="4"/>
  <c r="M1652" i="5" s="1"/>
  <c r="N1652" i="5" s="1"/>
  <c r="L1652" i="4"/>
  <c r="P1651" i="4"/>
  <c r="O1651" i="4"/>
  <c r="N1651" i="4"/>
  <c r="M1651" i="4"/>
  <c r="M1651" i="5" s="1"/>
  <c r="N1651" i="5" s="1"/>
  <c r="L1651" i="4"/>
  <c r="P1650" i="4"/>
  <c r="O1650" i="4"/>
  <c r="N1650" i="4"/>
  <c r="M1650" i="4"/>
  <c r="M1650" i="5" s="1"/>
  <c r="N1650" i="5" s="1"/>
  <c r="L1650" i="4"/>
  <c r="P1649" i="4"/>
  <c r="O1649" i="4"/>
  <c r="N1649" i="4"/>
  <c r="M1649" i="4"/>
  <c r="M1649" i="5" s="1"/>
  <c r="N1649" i="5" s="1"/>
  <c r="L1649" i="4"/>
  <c r="P1648" i="4"/>
  <c r="O1648" i="4"/>
  <c r="N1648" i="4"/>
  <c r="M1648" i="4"/>
  <c r="M1648" i="5" s="1"/>
  <c r="N1648" i="5" s="1"/>
  <c r="L1648" i="4"/>
  <c r="P1647" i="4"/>
  <c r="O1647" i="4"/>
  <c r="N1647" i="4"/>
  <c r="M1647" i="4"/>
  <c r="M1647" i="5" s="1"/>
  <c r="N1647" i="5" s="1"/>
  <c r="L1647" i="4"/>
  <c r="P1646" i="4"/>
  <c r="O1646" i="4"/>
  <c r="N1646" i="4"/>
  <c r="M1646" i="4"/>
  <c r="M1646" i="5" s="1"/>
  <c r="N1646" i="5" s="1"/>
  <c r="L1646" i="4"/>
  <c r="P1645" i="4"/>
  <c r="O1645" i="4"/>
  <c r="N1645" i="4"/>
  <c r="M1645" i="4"/>
  <c r="M1645" i="5" s="1"/>
  <c r="N1645" i="5" s="1"/>
  <c r="L1645" i="4"/>
  <c r="P1644" i="4"/>
  <c r="O1644" i="4"/>
  <c r="N1644" i="4"/>
  <c r="M1644" i="4"/>
  <c r="M1644" i="5" s="1"/>
  <c r="N1644" i="5" s="1"/>
  <c r="L1644" i="4"/>
  <c r="P1643" i="4"/>
  <c r="O1643" i="4"/>
  <c r="N1643" i="4"/>
  <c r="M1643" i="4"/>
  <c r="M1643" i="5" s="1"/>
  <c r="N1643" i="5" s="1"/>
  <c r="L1643" i="4"/>
  <c r="P1642" i="4"/>
  <c r="O1642" i="4"/>
  <c r="N1642" i="4"/>
  <c r="M1642" i="4"/>
  <c r="M1642" i="5" s="1"/>
  <c r="N1642" i="5" s="1"/>
  <c r="L1642" i="4"/>
  <c r="P1641" i="4"/>
  <c r="O1641" i="4"/>
  <c r="N1641" i="4"/>
  <c r="M1641" i="4"/>
  <c r="M1641" i="5" s="1"/>
  <c r="N1641" i="5" s="1"/>
  <c r="L1641" i="4"/>
  <c r="P1640" i="4"/>
  <c r="O1640" i="4"/>
  <c r="N1640" i="4"/>
  <c r="M1640" i="4"/>
  <c r="M1640" i="5" s="1"/>
  <c r="N1640" i="5" s="1"/>
  <c r="L1640" i="4"/>
  <c r="P1639" i="4"/>
  <c r="O1639" i="4"/>
  <c r="N1639" i="4"/>
  <c r="M1639" i="4"/>
  <c r="M1639" i="5" s="1"/>
  <c r="N1639" i="5" s="1"/>
  <c r="L1639" i="4"/>
  <c r="P1638" i="4"/>
  <c r="O1638" i="4"/>
  <c r="N1638" i="4"/>
  <c r="M1638" i="4"/>
  <c r="M1638" i="5" s="1"/>
  <c r="N1638" i="5" s="1"/>
  <c r="L1638" i="4"/>
  <c r="P1637" i="4"/>
  <c r="O1637" i="4"/>
  <c r="N1637" i="4"/>
  <c r="M1637" i="4"/>
  <c r="M1637" i="5" s="1"/>
  <c r="N1637" i="5" s="1"/>
  <c r="L1637" i="4"/>
  <c r="P1636" i="4"/>
  <c r="O1636" i="4"/>
  <c r="N1636" i="4"/>
  <c r="M1636" i="4"/>
  <c r="M1636" i="5" s="1"/>
  <c r="N1636" i="5" s="1"/>
  <c r="L1636" i="4"/>
  <c r="P1635" i="4"/>
  <c r="O1635" i="4"/>
  <c r="N1635" i="4"/>
  <c r="M1635" i="4"/>
  <c r="M1635" i="5" s="1"/>
  <c r="N1635" i="5" s="1"/>
  <c r="L1635" i="4"/>
  <c r="P1634" i="4"/>
  <c r="O1634" i="4"/>
  <c r="N1634" i="4"/>
  <c r="M1634" i="4"/>
  <c r="M1634" i="5" s="1"/>
  <c r="N1634" i="5" s="1"/>
  <c r="L1634" i="4"/>
  <c r="P1633" i="4"/>
  <c r="O1633" i="4"/>
  <c r="N1633" i="4"/>
  <c r="M1633" i="4"/>
  <c r="M1633" i="5" s="1"/>
  <c r="N1633" i="5" s="1"/>
  <c r="L1633" i="4"/>
  <c r="P1632" i="4"/>
  <c r="O1632" i="4"/>
  <c r="N1632" i="4"/>
  <c r="M1632" i="4"/>
  <c r="M1632" i="5" s="1"/>
  <c r="N1632" i="5" s="1"/>
  <c r="L1632" i="4"/>
  <c r="P1631" i="4"/>
  <c r="O1631" i="4"/>
  <c r="N1631" i="4"/>
  <c r="M1631" i="4"/>
  <c r="M1631" i="5" s="1"/>
  <c r="N1631" i="5" s="1"/>
  <c r="L1631" i="4"/>
  <c r="P1630" i="4"/>
  <c r="O1630" i="4"/>
  <c r="N1630" i="4"/>
  <c r="M1630" i="4"/>
  <c r="M1630" i="5" s="1"/>
  <c r="N1630" i="5" s="1"/>
  <c r="L1630" i="4"/>
  <c r="P1629" i="4"/>
  <c r="O1629" i="4"/>
  <c r="N1629" i="4"/>
  <c r="M1629" i="4"/>
  <c r="M1629" i="5" s="1"/>
  <c r="N1629" i="5" s="1"/>
  <c r="L1629" i="4"/>
  <c r="P1628" i="4"/>
  <c r="O1628" i="4"/>
  <c r="N1628" i="4"/>
  <c r="M1628" i="4"/>
  <c r="M1628" i="5" s="1"/>
  <c r="N1628" i="5" s="1"/>
  <c r="L1628" i="4"/>
  <c r="P1627" i="4"/>
  <c r="O1627" i="4"/>
  <c r="N1627" i="4"/>
  <c r="M1627" i="4"/>
  <c r="M1627" i="5" s="1"/>
  <c r="N1627" i="5" s="1"/>
  <c r="L1627" i="4"/>
  <c r="P1626" i="4"/>
  <c r="O1626" i="4"/>
  <c r="N1626" i="4"/>
  <c r="M1626" i="4"/>
  <c r="M1626" i="5" s="1"/>
  <c r="N1626" i="5" s="1"/>
  <c r="L1626" i="4"/>
  <c r="P1625" i="4"/>
  <c r="O1625" i="4"/>
  <c r="N1625" i="4"/>
  <c r="M1625" i="4"/>
  <c r="M1625" i="5" s="1"/>
  <c r="N1625" i="5" s="1"/>
  <c r="L1625" i="4"/>
  <c r="P1624" i="4"/>
  <c r="O1624" i="4"/>
  <c r="N1624" i="4"/>
  <c r="M1624" i="4"/>
  <c r="M1624" i="5" s="1"/>
  <c r="N1624" i="5" s="1"/>
  <c r="L1624" i="4"/>
  <c r="P1623" i="4"/>
  <c r="O1623" i="4"/>
  <c r="N1623" i="4"/>
  <c r="M1623" i="4"/>
  <c r="M1623" i="5" s="1"/>
  <c r="N1623" i="5" s="1"/>
  <c r="L1623" i="4"/>
  <c r="P1622" i="4"/>
  <c r="O1622" i="4"/>
  <c r="N1622" i="4"/>
  <c r="M1622" i="4"/>
  <c r="M1622" i="5" s="1"/>
  <c r="N1622" i="5" s="1"/>
  <c r="L1622" i="4"/>
  <c r="P1621" i="4"/>
  <c r="O1621" i="4"/>
  <c r="N1621" i="4"/>
  <c r="M1621" i="4"/>
  <c r="M1621" i="5" s="1"/>
  <c r="N1621" i="5" s="1"/>
  <c r="L1621" i="4"/>
  <c r="P1620" i="4"/>
  <c r="O1620" i="4"/>
  <c r="N1620" i="4"/>
  <c r="M1620" i="4"/>
  <c r="M1620" i="5" s="1"/>
  <c r="N1620" i="5" s="1"/>
  <c r="L1620" i="4"/>
  <c r="P1619" i="4"/>
  <c r="O1619" i="4"/>
  <c r="N1619" i="4"/>
  <c r="M1619" i="4"/>
  <c r="M1619" i="5" s="1"/>
  <c r="N1619" i="5" s="1"/>
  <c r="L1619" i="4"/>
  <c r="P1618" i="4"/>
  <c r="O1618" i="4"/>
  <c r="N1618" i="4"/>
  <c r="M1618" i="4"/>
  <c r="M1618" i="5" s="1"/>
  <c r="N1618" i="5" s="1"/>
  <c r="L1618" i="4"/>
  <c r="P1617" i="4"/>
  <c r="O1617" i="4"/>
  <c r="N1617" i="4"/>
  <c r="M1617" i="4"/>
  <c r="M1617" i="5" s="1"/>
  <c r="N1617" i="5" s="1"/>
  <c r="L1617" i="4"/>
  <c r="P1616" i="4"/>
  <c r="O1616" i="4"/>
  <c r="N1616" i="4"/>
  <c r="M1616" i="4"/>
  <c r="M1616" i="5" s="1"/>
  <c r="N1616" i="5" s="1"/>
  <c r="L1616" i="4"/>
  <c r="P1615" i="4"/>
  <c r="O1615" i="4"/>
  <c r="N1615" i="4"/>
  <c r="M1615" i="4"/>
  <c r="M1615" i="5" s="1"/>
  <c r="N1615" i="5" s="1"/>
  <c r="L1615" i="4"/>
  <c r="P1614" i="4"/>
  <c r="O1614" i="4"/>
  <c r="N1614" i="4"/>
  <c r="M1614" i="4"/>
  <c r="M1614" i="5" s="1"/>
  <c r="N1614" i="5" s="1"/>
  <c r="L1614" i="4"/>
  <c r="P1613" i="4"/>
  <c r="O1613" i="4"/>
  <c r="N1613" i="4"/>
  <c r="M1613" i="4"/>
  <c r="M1613" i="5" s="1"/>
  <c r="N1613" i="5" s="1"/>
  <c r="L1613" i="4"/>
  <c r="P1612" i="4"/>
  <c r="O1612" i="4"/>
  <c r="N1612" i="4"/>
  <c r="M1612" i="4"/>
  <c r="M1612" i="5" s="1"/>
  <c r="N1612" i="5" s="1"/>
  <c r="L1612" i="4"/>
  <c r="P1611" i="4"/>
  <c r="O1611" i="4"/>
  <c r="N1611" i="4"/>
  <c r="M1611" i="4"/>
  <c r="M1611" i="5" s="1"/>
  <c r="N1611" i="5" s="1"/>
  <c r="L1611" i="4"/>
  <c r="P1610" i="4"/>
  <c r="O1610" i="4"/>
  <c r="N1610" i="4"/>
  <c r="M1610" i="4"/>
  <c r="M1610" i="5" s="1"/>
  <c r="N1610" i="5" s="1"/>
  <c r="L1610" i="4"/>
  <c r="P1609" i="4"/>
  <c r="O1609" i="4"/>
  <c r="N1609" i="4"/>
  <c r="M1609" i="4"/>
  <c r="M1609" i="5" s="1"/>
  <c r="N1609" i="5" s="1"/>
  <c r="L1609" i="4"/>
  <c r="P1608" i="4"/>
  <c r="O1608" i="4"/>
  <c r="N1608" i="4"/>
  <c r="M1608" i="4"/>
  <c r="M1608" i="5" s="1"/>
  <c r="N1608" i="5" s="1"/>
  <c r="L1608" i="4"/>
  <c r="P1607" i="4"/>
  <c r="O1607" i="4"/>
  <c r="N1607" i="4"/>
  <c r="M1607" i="4"/>
  <c r="M1607" i="5" s="1"/>
  <c r="N1607" i="5" s="1"/>
  <c r="L1607" i="4"/>
  <c r="P1606" i="4"/>
  <c r="O1606" i="4"/>
  <c r="N1606" i="4"/>
  <c r="M1606" i="4"/>
  <c r="M1606" i="5" s="1"/>
  <c r="N1606" i="5" s="1"/>
  <c r="L1606" i="4"/>
  <c r="P1605" i="4"/>
  <c r="O1605" i="4"/>
  <c r="N1605" i="4"/>
  <c r="M1605" i="4"/>
  <c r="M1605" i="5" s="1"/>
  <c r="N1605" i="5" s="1"/>
  <c r="L1605" i="4"/>
  <c r="P1604" i="4"/>
  <c r="O1604" i="4"/>
  <c r="N1604" i="4"/>
  <c r="M1604" i="4"/>
  <c r="M1604" i="5" s="1"/>
  <c r="N1604" i="5" s="1"/>
  <c r="L1604" i="4"/>
  <c r="P1603" i="4"/>
  <c r="O1603" i="4"/>
  <c r="N1603" i="4"/>
  <c r="M1603" i="4"/>
  <c r="M1603" i="5" s="1"/>
  <c r="N1603" i="5" s="1"/>
  <c r="L1603" i="4"/>
  <c r="P1602" i="4"/>
  <c r="O1602" i="4"/>
  <c r="N1602" i="4"/>
  <c r="M1602" i="4"/>
  <c r="M1602" i="5" s="1"/>
  <c r="N1602" i="5" s="1"/>
  <c r="L1602" i="4"/>
  <c r="P1601" i="4"/>
  <c r="O1601" i="4"/>
  <c r="N1601" i="4"/>
  <c r="M1601" i="4"/>
  <c r="M1601" i="5" s="1"/>
  <c r="N1601" i="5" s="1"/>
  <c r="L1601" i="4"/>
  <c r="P1600" i="4"/>
  <c r="O1600" i="4"/>
  <c r="N1600" i="4"/>
  <c r="M1600" i="4"/>
  <c r="M1600" i="5" s="1"/>
  <c r="N1600" i="5" s="1"/>
  <c r="L1600" i="4"/>
  <c r="P1599" i="4"/>
  <c r="O1599" i="4"/>
  <c r="N1599" i="4"/>
  <c r="M1599" i="4"/>
  <c r="M1599" i="5" s="1"/>
  <c r="N1599" i="5" s="1"/>
  <c r="L1599" i="4"/>
  <c r="P1598" i="4"/>
  <c r="O1598" i="4"/>
  <c r="N1598" i="4"/>
  <c r="M1598" i="4"/>
  <c r="M1598" i="5" s="1"/>
  <c r="N1598" i="5" s="1"/>
  <c r="L1598" i="4"/>
  <c r="P1597" i="4"/>
  <c r="O1597" i="4"/>
  <c r="N1597" i="4"/>
  <c r="M1597" i="4"/>
  <c r="M1597" i="5" s="1"/>
  <c r="N1597" i="5" s="1"/>
  <c r="L1597" i="4"/>
  <c r="P1596" i="4"/>
  <c r="O1596" i="4"/>
  <c r="N1596" i="4"/>
  <c r="M1596" i="4"/>
  <c r="M1596" i="5" s="1"/>
  <c r="N1596" i="5" s="1"/>
  <c r="L1596" i="4"/>
  <c r="P1595" i="4"/>
  <c r="O1595" i="4"/>
  <c r="N1595" i="4"/>
  <c r="M1595" i="4"/>
  <c r="M1595" i="5" s="1"/>
  <c r="N1595" i="5" s="1"/>
  <c r="L1595" i="4"/>
  <c r="P1594" i="4"/>
  <c r="O1594" i="4"/>
  <c r="N1594" i="4"/>
  <c r="M1594" i="4"/>
  <c r="M1594" i="5" s="1"/>
  <c r="N1594" i="5" s="1"/>
  <c r="L1594" i="4"/>
  <c r="P1593" i="4"/>
  <c r="O1593" i="4"/>
  <c r="N1593" i="4"/>
  <c r="M1593" i="4"/>
  <c r="M1593" i="5" s="1"/>
  <c r="N1593" i="5" s="1"/>
  <c r="L1593" i="4"/>
  <c r="P1592" i="4"/>
  <c r="O1592" i="4"/>
  <c r="N1592" i="4"/>
  <c r="M1592" i="4"/>
  <c r="M1592" i="5" s="1"/>
  <c r="N1592" i="5" s="1"/>
  <c r="L1592" i="4"/>
  <c r="P1591" i="4"/>
  <c r="O1591" i="4"/>
  <c r="N1591" i="4"/>
  <c r="M1591" i="4"/>
  <c r="M1591" i="5" s="1"/>
  <c r="N1591" i="5" s="1"/>
  <c r="L1591" i="4"/>
  <c r="P1590" i="4"/>
  <c r="O1590" i="4"/>
  <c r="N1590" i="4"/>
  <c r="M1590" i="4"/>
  <c r="M1590" i="5" s="1"/>
  <c r="N1590" i="5" s="1"/>
  <c r="L1590" i="4"/>
  <c r="P1589" i="4"/>
  <c r="O1589" i="4"/>
  <c r="N1589" i="4"/>
  <c r="M1589" i="4"/>
  <c r="M1589" i="5" s="1"/>
  <c r="N1589" i="5" s="1"/>
  <c r="L1589" i="4"/>
  <c r="P1588" i="4"/>
  <c r="O1588" i="4"/>
  <c r="N1588" i="4"/>
  <c r="M1588" i="4"/>
  <c r="M1588" i="5" s="1"/>
  <c r="N1588" i="5" s="1"/>
  <c r="L1588" i="4"/>
  <c r="P1587" i="4"/>
  <c r="O1587" i="4"/>
  <c r="N1587" i="4"/>
  <c r="M1587" i="4"/>
  <c r="M1587" i="5" s="1"/>
  <c r="N1587" i="5" s="1"/>
  <c r="L1587" i="4"/>
  <c r="P1586" i="4"/>
  <c r="O1586" i="4"/>
  <c r="N1586" i="4"/>
  <c r="M1586" i="4"/>
  <c r="M1586" i="5" s="1"/>
  <c r="N1586" i="5" s="1"/>
  <c r="L1586" i="4"/>
  <c r="P1585" i="4"/>
  <c r="O1585" i="4"/>
  <c r="N1585" i="4"/>
  <c r="M1585" i="4"/>
  <c r="M1585" i="5" s="1"/>
  <c r="N1585" i="5" s="1"/>
  <c r="L1585" i="4"/>
  <c r="P1584" i="4"/>
  <c r="O1584" i="4"/>
  <c r="N1584" i="4"/>
  <c r="M1584" i="4"/>
  <c r="M1584" i="5" s="1"/>
  <c r="N1584" i="5" s="1"/>
  <c r="L1584" i="4"/>
  <c r="P1583" i="4"/>
  <c r="O1583" i="4"/>
  <c r="N1583" i="4"/>
  <c r="M1583" i="4"/>
  <c r="M1583" i="5" s="1"/>
  <c r="N1583" i="5" s="1"/>
  <c r="L1583" i="4"/>
  <c r="P1582" i="4"/>
  <c r="O1582" i="4"/>
  <c r="N1582" i="4"/>
  <c r="M1582" i="4"/>
  <c r="M1582" i="5" s="1"/>
  <c r="N1582" i="5" s="1"/>
  <c r="L1582" i="4"/>
  <c r="P1581" i="4"/>
  <c r="O1581" i="4"/>
  <c r="N1581" i="4"/>
  <c r="M1581" i="4"/>
  <c r="M1581" i="5" s="1"/>
  <c r="N1581" i="5" s="1"/>
  <c r="L1581" i="4"/>
  <c r="P1580" i="4"/>
  <c r="O1580" i="4"/>
  <c r="N1580" i="4"/>
  <c r="M1580" i="4"/>
  <c r="M1580" i="5" s="1"/>
  <c r="N1580" i="5" s="1"/>
  <c r="L1580" i="4"/>
  <c r="P1579" i="4"/>
  <c r="O1579" i="4"/>
  <c r="N1579" i="4"/>
  <c r="M1579" i="4"/>
  <c r="M1579" i="5" s="1"/>
  <c r="N1579" i="5" s="1"/>
  <c r="L1579" i="4"/>
  <c r="P1578" i="4"/>
  <c r="O1578" i="4"/>
  <c r="N1578" i="4"/>
  <c r="M1578" i="4"/>
  <c r="M1578" i="5" s="1"/>
  <c r="N1578" i="5" s="1"/>
  <c r="L1578" i="4"/>
  <c r="P1577" i="4"/>
  <c r="O1577" i="4"/>
  <c r="N1577" i="4"/>
  <c r="M1577" i="4"/>
  <c r="M1577" i="5" s="1"/>
  <c r="N1577" i="5" s="1"/>
  <c r="L1577" i="4"/>
  <c r="P1576" i="4"/>
  <c r="O1576" i="4"/>
  <c r="N1576" i="4"/>
  <c r="M1576" i="4"/>
  <c r="M1576" i="5" s="1"/>
  <c r="N1576" i="5" s="1"/>
  <c r="L1576" i="4"/>
  <c r="P1575" i="4"/>
  <c r="O1575" i="4"/>
  <c r="N1575" i="4"/>
  <c r="M1575" i="4"/>
  <c r="M1575" i="5" s="1"/>
  <c r="N1575" i="5" s="1"/>
  <c r="L1575" i="4"/>
  <c r="P1574" i="4"/>
  <c r="O1574" i="4"/>
  <c r="N1574" i="4"/>
  <c r="M1574" i="4"/>
  <c r="M1574" i="5" s="1"/>
  <c r="N1574" i="5" s="1"/>
  <c r="L1574" i="4"/>
  <c r="P1573" i="4"/>
  <c r="O1573" i="4"/>
  <c r="N1573" i="4"/>
  <c r="M1573" i="4"/>
  <c r="M1573" i="5" s="1"/>
  <c r="N1573" i="5" s="1"/>
  <c r="L1573" i="4"/>
  <c r="P1572" i="4"/>
  <c r="O1572" i="4"/>
  <c r="N1572" i="4"/>
  <c r="M1572" i="4"/>
  <c r="M1572" i="5" s="1"/>
  <c r="N1572" i="5" s="1"/>
  <c r="L1572" i="4"/>
  <c r="P1571" i="4"/>
  <c r="O1571" i="4"/>
  <c r="N1571" i="4"/>
  <c r="M1571" i="4"/>
  <c r="M1571" i="5" s="1"/>
  <c r="N1571" i="5" s="1"/>
  <c r="L1571" i="4"/>
  <c r="P1570" i="4"/>
  <c r="O1570" i="4"/>
  <c r="N1570" i="4"/>
  <c r="M1570" i="4"/>
  <c r="M1570" i="5" s="1"/>
  <c r="N1570" i="5" s="1"/>
  <c r="L1570" i="4"/>
  <c r="P1569" i="4"/>
  <c r="O1569" i="4"/>
  <c r="N1569" i="4"/>
  <c r="M1569" i="4"/>
  <c r="M1569" i="5" s="1"/>
  <c r="N1569" i="5" s="1"/>
  <c r="L1569" i="4"/>
  <c r="P1568" i="4"/>
  <c r="O1568" i="4"/>
  <c r="N1568" i="4"/>
  <c r="M1568" i="4"/>
  <c r="M1568" i="5" s="1"/>
  <c r="N1568" i="5" s="1"/>
  <c r="L1568" i="4"/>
  <c r="P1567" i="4"/>
  <c r="O1567" i="4"/>
  <c r="N1567" i="4"/>
  <c r="M1567" i="4"/>
  <c r="M1567" i="5" s="1"/>
  <c r="N1567" i="5" s="1"/>
  <c r="L1567" i="4"/>
  <c r="P1566" i="4"/>
  <c r="O1566" i="4"/>
  <c r="N1566" i="4"/>
  <c r="M1566" i="4"/>
  <c r="M1566" i="5" s="1"/>
  <c r="N1566" i="5" s="1"/>
  <c r="L1566" i="4"/>
  <c r="P1565" i="4"/>
  <c r="O1565" i="4"/>
  <c r="N1565" i="4"/>
  <c r="M1565" i="4"/>
  <c r="M1565" i="5" s="1"/>
  <c r="N1565" i="5" s="1"/>
  <c r="L1565" i="4"/>
  <c r="P1564" i="4"/>
  <c r="O1564" i="4"/>
  <c r="N1564" i="4"/>
  <c r="M1564" i="4"/>
  <c r="M1564" i="5" s="1"/>
  <c r="N1564" i="5" s="1"/>
  <c r="L1564" i="4"/>
  <c r="P1563" i="4"/>
  <c r="O1563" i="4"/>
  <c r="N1563" i="4"/>
  <c r="M1563" i="4"/>
  <c r="M1563" i="5" s="1"/>
  <c r="N1563" i="5" s="1"/>
  <c r="L1563" i="4"/>
  <c r="P1562" i="4"/>
  <c r="O1562" i="4"/>
  <c r="N1562" i="4"/>
  <c r="M1562" i="4"/>
  <c r="M1562" i="5" s="1"/>
  <c r="N1562" i="5" s="1"/>
  <c r="L1562" i="4"/>
  <c r="P1561" i="4"/>
  <c r="O1561" i="4"/>
  <c r="N1561" i="4"/>
  <c r="M1561" i="4"/>
  <c r="M1561" i="5" s="1"/>
  <c r="N1561" i="5" s="1"/>
  <c r="L1561" i="4"/>
  <c r="P1560" i="4"/>
  <c r="O1560" i="4"/>
  <c r="N1560" i="4"/>
  <c r="M1560" i="4"/>
  <c r="M1560" i="5" s="1"/>
  <c r="N1560" i="5" s="1"/>
  <c r="L1560" i="4"/>
  <c r="P1559" i="4"/>
  <c r="O1559" i="4"/>
  <c r="N1559" i="4"/>
  <c r="M1559" i="4"/>
  <c r="M1559" i="5" s="1"/>
  <c r="N1559" i="5" s="1"/>
  <c r="L1559" i="4"/>
  <c r="P1558" i="4"/>
  <c r="O1558" i="4"/>
  <c r="N1558" i="4"/>
  <c r="M1558" i="4"/>
  <c r="M1558" i="5" s="1"/>
  <c r="N1558" i="5" s="1"/>
  <c r="L1558" i="4"/>
  <c r="P1557" i="4"/>
  <c r="O1557" i="4"/>
  <c r="N1557" i="4"/>
  <c r="M1557" i="4"/>
  <c r="M1557" i="5" s="1"/>
  <c r="N1557" i="5" s="1"/>
  <c r="L1557" i="4"/>
  <c r="P1556" i="4"/>
  <c r="O1556" i="4"/>
  <c r="N1556" i="4"/>
  <c r="M1556" i="4"/>
  <c r="M1556" i="5" s="1"/>
  <c r="N1556" i="5" s="1"/>
  <c r="L1556" i="4"/>
  <c r="P1555" i="4"/>
  <c r="O1555" i="4"/>
  <c r="N1555" i="4"/>
  <c r="M1555" i="4"/>
  <c r="M1555" i="5" s="1"/>
  <c r="N1555" i="5" s="1"/>
  <c r="L1555" i="4"/>
  <c r="P1554" i="4"/>
  <c r="O1554" i="4"/>
  <c r="N1554" i="4"/>
  <c r="M1554" i="4"/>
  <c r="M1554" i="5" s="1"/>
  <c r="N1554" i="5" s="1"/>
  <c r="L1554" i="4"/>
  <c r="P1553" i="4"/>
  <c r="O1553" i="4"/>
  <c r="N1553" i="4"/>
  <c r="M1553" i="4"/>
  <c r="M1553" i="5" s="1"/>
  <c r="N1553" i="5" s="1"/>
  <c r="L1553" i="4"/>
  <c r="P1552" i="4"/>
  <c r="O1552" i="4"/>
  <c r="N1552" i="4"/>
  <c r="M1552" i="4"/>
  <c r="M1552" i="5" s="1"/>
  <c r="N1552" i="5" s="1"/>
  <c r="L1552" i="4"/>
  <c r="P1551" i="4"/>
  <c r="O1551" i="4"/>
  <c r="N1551" i="4"/>
  <c r="M1551" i="4"/>
  <c r="M1551" i="5" s="1"/>
  <c r="N1551" i="5" s="1"/>
  <c r="L1551" i="4"/>
  <c r="P1550" i="4"/>
  <c r="O1550" i="4"/>
  <c r="N1550" i="4"/>
  <c r="M1550" i="4"/>
  <c r="M1550" i="5" s="1"/>
  <c r="N1550" i="5" s="1"/>
  <c r="L1550" i="4"/>
  <c r="P1549" i="4"/>
  <c r="O1549" i="4"/>
  <c r="N1549" i="4"/>
  <c r="M1549" i="4"/>
  <c r="M1549" i="5" s="1"/>
  <c r="N1549" i="5" s="1"/>
  <c r="L1549" i="4"/>
  <c r="P1548" i="4"/>
  <c r="O1548" i="4"/>
  <c r="N1548" i="4"/>
  <c r="M1548" i="4"/>
  <c r="M1548" i="5" s="1"/>
  <c r="N1548" i="5" s="1"/>
  <c r="L1548" i="4"/>
  <c r="P1547" i="4"/>
  <c r="O1547" i="4"/>
  <c r="N1547" i="4"/>
  <c r="M1547" i="4"/>
  <c r="M1547" i="5" s="1"/>
  <c r="N1547" i="5" s="1"/>
  <c r="L1547" i="4"/>
  <c r="P1546" i="4"/>
  <c r="O1546" i="4"/>
  <c r="N1546" i="4"/>
  <c r="M1546" i="4"/>
  <c r="M1546" i="5" s="1"/>
  <c r="N1546" i="5" s="1"/>
  <c r="L1546" i="4"/>
  <c r="P1545" i="4"/>
  <c r="O1545" i="4"/>
  <c r="N1545" i="4"/>
  <c r="M1545" i="4"/>
  <c r="M1545" i="5" s="1"/>
  <c r="N1545" i="5" s="1"/>
  <c r="L1545" i="4"/>
  <c r="P1544" i="4"/>
  <c r="O1544" i="4"/>
  <c r="N1544" i="4"/>
  <c r="M1544" i="4"/>
  <c r="M1544" i="5" s="1"/>
  <c r="N1544" i="5" s="1"/>
  <c r="L1544" i="4"/>
  <c r="P1543" i="4"/>
  <c r="O1543" i="4"/>
  <c r="N1543" i="4"/>
  <c r="M1543" i="4"/>
  <c r="M1543" i="5" s="1"/>
  <c r="N1543" i="5" s="1"/>
  <c r="L1543" i="4"/>
  <c r="P1542" i="4"/>
  <c r="O1542" i="4"/>
  <c r="N1542" i="4"/>
  <c r="M1542" i="4"/>
  <c r="M1542" i="5" s="1"/>
  <c r="N1542" i="5" s="1"/>
  <c r="L1542" i="4"/>
  <c r="P1541" i="4"/>
  <c r="O1541" i="4"/>
  <c r="N1541" i="4"/>
  <c r="M1541" i="4"/>
  <c r="M1541" i="5" s="1"/>
  <c r="N1541" i="5" s="1"/>
  <c r="L1541" i="4"/>
  <c r="P1540" i="4"/>
  <c r="O1540" i="4"/>
  <c r="N1540" i="4"/>
  <c r="M1540" i="4"/>
  <c r="M1540" i="5" s="1"/>
  <c r="N1540" i="5" s="1"/>
  <c r="L1540" i="4"/>
  <c r="P1539" i="4"/>
  <c r="O1539" i="4"/>
  <c r="N1539" i="4"/>
  <c r="M1539" i="4"/>
  <c r="M1539" i="5" s="1"/>
  <c r="N1539" i="5" s="1"/>
  <c r="L1539" i="4"/>
  <c r="P1538" i="4"/>
  <c r="O1538" i="4"/>
  <c r="N1538" i="4"/>
  <c r="M1538" i="4"/>
  <c r="M1538" i="5" s="1"/>
  <c r="N1538" i="5" s="1"/>
  <c r="L1538" i="4"/>
  <c r="P1537" i="4"/>
  <c r="O1537" i="4"/>
  <c r="N1537" i="4"/>
  <c r="M1537" i="4"/>
  <c r="M1537" i="5" s="1"/>
  <c r="N1537" i="5" s="1"/>
  <c r="L1537" i="4"/>
  <c r="P1536" i="4"/>
  <c r="O1536" i="4"/>
  <c r="N1536" i="4"/>
  <c r="M1536" i="4"/>
  <c r="M1536" i="5" s="1"/>
  <c r="N1536" i="5" s="1"/>
  <c r="L1536" i="4"/>
  <c r="P1535" i="4"/>
  <c r="O1535" i="4"/>
  <c r="N1535" i="4"/>
  <c r="M1535" i="4"/>
  <c r="M1535" i="5" s="1"/>
  <c r="N1535" i="5" s="1"/>
  <c r="L1535" i="4"/>
  <c r="P1534" i="4"/>
  <c r="O1534" i="4"/>
  <c r="N1534" i="4"/>
  <c r="M1534" i="4"/>
  <c r="M1534" i="5" s="1"/>
  <c r="N1534" i="5" s="1"/>
  <c r="L1534" i="4"/>
  <c r="P1533" i="4"/>
  <c r="O1533" i="4"/>
  <c r="N1533" i="4"/>
  <c r="M1533" i="4"/>
  <c r="M1533" i="5" s="1"/>
  <c r="N1533" i="5" s="1"/>
  <c r="L1533" i="4"/>
  <c r="P1532" i="4"/>
  <c r="O1532" i="4"/>
  <c r="N1532" i="4"/>
  <c r="M1532" i="4"/>
  <c r="M1532" i="5" s="1"/>
  <c r="N1532" i="5" s="1"/>
  <c r="L1532" i="4"/>
  <c r="P1531" i="4"/>
  <c r="O1531" i="4"/>
  <c r="N1531" i="4"/>
  <c r="M1531" i="4"/>
  <c r="M1531" i="5" s="1"/>
  <c r="N1531" i="5" s="1"/>
  <c r="L1531" i="4"/>
  <c r="P1530" i="4"/>
  <c r="O1530" i="4"/>
  <c r="N1530" i="4"/>
  <c r="M1530" i="4"/>
  <c r="M1530" i="5" s="1"/>
  <c r="N1530" i="5" s="1"/>
  <c r="L1530" i="4"/>
  <c r="P1529" i="4"/>
  <c r="O1529" i="4"/>
  <c r="N1529" i="4"/>
  <c r="M1529" i="4"/>
  <c r="M1529" i="5" s="1"/>
  <c r="N1529" i="5" s="1"/>
  <c r="L1529" i="4"/>
  <c r="P1528" i="4"/>
  <c r="O1528" i="4"/>
  <c r="N1528" i="4"/>
  <c r="M1528" i="4"/>
  <c r="M1528" i="5" s="1"/>
  <c r="N1528" i="5" s="1"/>
  <c r="L1528" i="4"/>
  <c r="P1527" i="4"/>
  <c r="O1527" i="4"/>
  <c r="N1527" i="4"/>
  <c r="M1527" i="4"/>
  <c r="M1527" i="5" s="1"/>
  <c r="N1527" i="5" s="1"/>
  <c r="L1527" i="4"/>
  <c r="P1526" i="4"/>
  <c r="O1526" i="4"/>
  <c r="N1526" i="4"/>
  <c r="M1526" i="4"/>
  <c r="M1526" i="5" s="1"/>
  <c r="N1526" i="5" s="1"/>
  <c r="L1526" i="4"/>
  <c r="P1525" i="4"/>
  <c r="O1525" i="4"/>
  <c r="N1525" i="4"/>
  <c r="M1525" i="4"/>
  <c r="M1525" i="5" s="1"/>
  <c r="N1525" i="5" s="1"/>
  <c r="L1525" i="4"/>
  <c r="P1524" i="4"/>
  <c r="O1524" i="4"/>
  <c r="N1524" i="4"/>
  <c r="M1524" i="4"/>
  <c r="M1524" i="5" s="1"/>
  <c r="N1524" i="5" s="1"/>
  <c r="L1524" i="4"/>
  <c r="P1523" i="4"/>
  <c r="O1523" i="4"/>
  <c r="N1523" i="4"/>
  <c r="M1523" i="4"/>
  <c r="M1523" i="5" s="1"/>
  <c r="N1523" i="5" s="1"/>
  <c r="L1523" i="4"/>
  <c r="P1522" i="4"/>
  <c r="O1522" i="4"/>
  <c r="N1522" i="4"/>
  <c r="M1522" i="4"/>
  <c r="M1522" i="5" s="1"/>
  <c r="N1522" i="5" s="1"/>
  <c r="L1522" i="4"/>
  <c r="P1521" i="4"/>
  <c r="O1521" i="4"/>
  <c r="N1521" i="4"/>
  <c r="M1521" i="4"/>
  <c r="M1521" i="5" s="1"/>
  <c r="N1521" i="5" s="1"/>
  <c r="L1521" i="4"/>
  <c r="P1520" i="4"/>
  <c r="O1520" i="4"/>
  <c r="N1520" i="4"/>
  <c r="M1520" i="4"/>
  <c r="M1520" i="5" s="1"/>
  <c r="N1520" i="5" s="1"/>
  <c r="L1520" i="4"/>
  <c r="P1519" i="4"/>
  <c r="O1519" i="4"/>
  <c r="N1519" i="4"/>
  <c r="M1519" i="4"/>
  <c r="M1519" i="5" s="1"/>
  <c r="N1519" i="5" s="1"/>
  <c r="L1519" i="4"/>
  <c r="P1518" i="4"/>
  <c r="O1518" i="4"/>
  <c r="N1518" i="4"/>
  <c r="M1518" i="4"/>
  <c r="M1518" i="5" s="1"/>
  <c r="N1518" i="5" s="1"/>
  <c r="L1518" i="4"/>
  <c r="P1517" i="4"/>
  <c r="O1517" i="4"/>
  <c r="N1517" i="4"/>
  <c r="M1517" i="4"/>
  <c r="M1517" i="5" s="1"/>
  <c r="N1517" i="5" s="1"/>
  <c r="L1517" i="4"/>
  <c r="P1516" i="4"/>
  <c r="O1516" i="4"/>
  <c r="N1516" i="4"/>
  <c r="M1516" i="4"/>
  <c r="M1516" i="5" s="1"/>
  <c r="N1516" i="5" s="1"/>
  <c r="L1516" i="4"/>
  <c r="P1515" i="4"/>
  <c r="O1515" i="4"/>
  <c r="N1515" i="4"/>
  <c r="M1515" i="4"/>
  <c r="M1515" i="5" s="1"/>
  <c r="N1515" i="5" s="1"/>
  <c r="L1515" i="4"/>
  <c r="P1514" i="4"/>
  <c r="O1514" i="4"/>
  <c r="N1514" i="4"/>
  <c r="M1514" i="4"/>
  <c r="M1514" i="5" s="1"/>
  <c r="N1514" i="5" s="1"/>
  <c r="L1514" i="4"/>
  <c r="P1513" i="4"/>
  <c r="O1513" i="4"/>
  <c r="N1513" i="4"/>
  <c r="M1513" i="4"/>
  <c r="M1513" i="5" s="1"/>
  <c r="N1513" i="5" s="1"/>
  <c r="L1513" i="4"/>
  <c r="P1512" i="4"/>
  <c r="O1512" i="4"/>
  <c r="N1512" i="4"/>
  <c r="M1512" i="4"/>
  <c r="M1512" i="5" s="1"/>
  <c r="N1512" i="5" s="1"/>
  <c r="L1512" i="4"/>
  <c r="P1511" i="4"/>
  <c r="O1511" i="4"/>
  <c r="N1511" i="4"/>
  <c r="M1511" i="4"/>
  <c r="M1511" i="5" s="1"/>
  <c r="N1511" i="5" s="1"/>
  <c r="L1511" i="4"/>
  <c r="P1510" i="4"/>
  <c r="O1510" i="4"/>
  <c r="N1510" i="4"/>
  <c r="M1510" i="4"/>
  <c r="M1510" i="5" s="1"/>
  <c r="N1510" i="5" s="1"/>
  <c r="L1510" i="4"/>
  <c r="P1509" i="4"/>
  <c r="O1509" i="4"/>
  <c r="N1509" i="4"/>
  <c r="M1509" i="4"/>
  <c r="M1509" i="5" s="1"/>
  <c r="N1509" i="5" s="1"/>
  <c r="L1509" i="4"/>
  <c r="P1508" i="4"/>
  <c r="O1508" i="4"/>
  <c r="N1508" i="4"/>
  <c r="M1508" i="4"/>
  <c r="M1508" i="5" s="1"/>
  <c r="N1508" i="5" s="1"/>
  <c r="L1508" i="4"/>
  <c r="P1507" i="4"/>
  <c r="O1507" i="4"/>
  <c r="N1507" i="4"/>
  <c r="M1507" i="4"/>
  <c r="M1507" i="5" s="1"/>
  <c r="N1507" i="5" s="1"/>
  <c r="L1507" i="4"/>
  <c r="P1506" i="4"/>
  <c r="O1506" i="4"/>
  <c r="N1506" i="4"/>
  <c r="M1506" i="4"/>
  <c r="M1506" i="5" s="1"/>
  <c r="N1506" i="5" s="1"/>
  <c r="L1506" i="4"/>
  <c r="P1505" i="4"/>
  <c r="O1505" i="4"/>
  <c r="N1505" i="4"/>
  <c r="M1505" i="4"/>
  <c r="M1505" i="5" s="1"/>
  <c r="N1505" i="5" s="1"/>
  <c r="L1505" i="4"/>
  <c r="P1504" i="4"/>
  <c r="O1504" i="4"/>
  <c r="N1504" i="4"/>
  <c r="M1504" i="4"/>
  <c r="M1504" i="5" s="1"/>
  <c r="N1504" i="5" s="1"/>
  <c r="L1504" i="4"/>
  <c r="P1503" i="4"/>
  <c r="O1503" i="4"/>
  <c r="N1503" i="4"/>
  <c r="M1503" i="4"/>
  <c r="M1503" i="5" s="1"/>
  <c r="N1503" i="5" s="1"/>
  <c r="L1503" i="4"/>
  <c r="P1502" i="4"/>
  <c r="O1502" i="4"/>
  <c r="N1502" i="4"/>
  <c r="M1502" i="4"/>
  <c r="M1502" i="5" s="1"/>
  <c r="N1502" i="5" s="1"/>
  <c r="L1502" i="4"/>
  <c r="P1501" i="4"/>
  <c r="O1501" i="4"/>
  <c r="N1501" i="4"/>
  <c r="M1501" i="4"/>
  <c r="M1501" i="5" s="1"/>
  <c r="N1501" i="5" s="1"/>
  <c r="L1501" i="4"/>
  <c r="P1500" i="4"/>
  <c r="O1500" i="4"/>
  <c r="N1500" i="4"/>
  <c r="M1500" i="4"/>
  <c r="M1500" i="5" s="1"/>
  <c r="N1500" i="5" s="1"/>
  <c r="L1500" i="4"/>
  <c r="P1499" i="4"/>
  <c r="O1499" i="4"/>
  <c r="N1499" i="4"/>
  <c r="M1499" i="4"/>
  <c r="M1499" i="5" s="1"/>
  <c r="N1499" i="5" s="1"/>
  <c r="L1499" i="4"/>
  <c r="P1498" i="4"/>
  <c r="O1498" i="4"/>
  <c r="N1498" i="4"/>
  <c r="M1498" i="4"/>
  <c r="M1498" i="5" s="1"/>
  <c r="N1498" i="5" s="1"/>
  <c r="L1498" i="4"/>
  <c r="P1497" i="4"/>
  <c r="O1497" i="4"/>
  <c r="N1497" i="4"/>
  <c r="M1497" i="4"/>
  <c r="M1497" i="5" s="1"/>
  <c r="N1497" i="5" s="1"/>
  <c r="L1497" i="4"/>
  <c r="P1496" i="4"/>
  <c r="O1496" i="4"/>
  <c r="N1496" i="4"/>
  <c r="M1496" i="4"/>
  <c r="M1496" i="5" s="1"/>
  <c r="N1496" i="5" s="1"/>
  <c r="L1496" i="4"/>
  <c r="P1495" i="4"/>
  <c r="O1495" i="4"/>
  <c r="N1495" i="4"/>
  <c r="M1495" i="4"/>
  <c r="M1495" i="5" s="1"/>
  <c r="N1495" i="5" s="1"/>
  <c r="L1495" i="4"/>
  <c r="P1494" i="4"/>
  <c r="O1494" i="4"/>
  <c r="N1494" i="4"/>
  <c r="M1494" i="4"/>
  <c r="M1494" i="5" s="1"/>
  <c r="N1494" i="5" s="1"/>
  <c r="L1494" i="4"/>
  <c r="P1493" i="4"/>
  <c r="O1493" i="4"/>
  <c r="N1493" i="4"/>
  <c r="M1493" i="4"/>
  <c r="M1493" i="5" s="1"/>
  <c r="N1493" i="5" s="1"/>
  <c r="L1493" i="4"/>
  <c r="P1492" i="4"/>
  <c r="O1492" i="4"/>
  <c r="N1492" i="4"/>
  <c r="M1492" i="4"/>
  <c r="M1492" i="5" s="1"/>
  <c r="N1492" i="5" s="1"/>
  <c r="L1492" i="4"/>
  <c r="P1491" i="4"/>
  <c r="O1491" i="4"/>
  <c r="N1491" i="4"/>
  <c r="M1491" i="4"/>
  <c r="M1491" i="5" s="1"/>
  <c r="N1491" i="5" s="1"/>
  <c r="L1491" i="4"/>
  <c r="P1490" i="4"/>
  <c r="O1490" i="4"/>
  <c r="N1490" i="4"/>
  <c r="M1490" i="4"/>
  <c r="M1490" i="5" s="1"/>
  <c r="N1490" i="5" s="1"/>
  <c r="L1490" i="4"/>
  <c r="P1489" i="4"/>
  <c r="O1489" i="4"/>
  <c r="N1489" i="4"/>
  <c r="M1489" i="4"/>
  <c r="M1489" i="5" s="1"/>
  <c r="N1489" i="5" s="1"/>
  <c r="L1489" i="4"/>
  <c r="P1488" i="4"/>
  <c r="O1488" i="4"/>
  <c r="N1488" i="4"/>
  <c r="M1488" i="4"/>
  <c r="M1488" i="5" s="1"/>
  <c r="N1488" i="5" s="1"/>
  <c r="L1488" i="4"/>
  <c r="P1487" i="4"/>
  <c r="O1487" i="4"/>
  <c r="N1487" i="4"/>
  <c r="M1487" i="4"/>
  <c r="M1487" i="5" s="1"/>
  <c r="N1487" i="5" s="1"/>
  <c r="L1487" i="4"/>
  <c r="P1486" i="4"/>
  <c r="O1486" i="4"/>
  <c r="N1486" i="4"/>
  <c r="M1486" i="4"/>
  <c r="M1486" i="5" s="1"/>
  <c r="N1486" i="5" s="1"/>
  <c r="L1486" i="4"/>
  <c r="P1485" i="4"/>
  <c r="O1485" i="4"/>
  <c r="N1485" i="4"/>
  <c r="M1485" i="4"/>
  <c r="M1485" i="5" s="1"/>
  <c r="N1485" i="5" s="1"/>
  <c r="L1485" i="4"/>
  <c r="P1484" i="4"/>
  <c r="O1484" i="4"/>
  <c r="N1484" i="4"/>
  <c r="M1484" i="4"/>
  <c r="M1484" i="5" s="1"/>
  <c r="N1484" i="5" s="1"/>
  <c r="L1484" i="4"/>
  <c r="P1483" i="4"/>
  <c r="O1483" i="4"/>
  <c r="N1483" i="4"/>
  <c r="M1483" i="4"/>
  <c r="M1483" i="5" s="1"/>
  <c r="N1483" i="5" s="1"/>
  <c r="L1483" i="4"/>
  <c r="P1482" i="4"/>
  <c r="O1482" i="4"/>
  <c r="N1482" i="4"/>
  <c r="M1482" i="4"/>
  <c r="M1482" i="5" s="1"/>
  <c r="N1482" i="5" s="1"/>
  <c r="L1482" i="4"/>
  <c r="P1481" i="4"/>
  <c r="O1481" i="4"/>
  <c r="N1481" i="4"/>
  <c r="M1481" i="4"/>
  <c r="M1481" i="5" s="1"/>
  <c r="N1481" i="5" s="1"/>
  <c r="L1481" i="4"/>
  <c r="P1480" i="4"/>
  <c r="O1480" i="4"/>
  <c r="N1480" i="4"/>
  <c r="M1480" i="4"/>
  <c r="M1480" i="5" s="1"/>
  <c r="N1480" i="5" s="1"/>
  <c r="L1480" i="4"/>
  <c r="P1479" i="4"/>
  <c r="O1479" i="4"/>
  <c r="N1479" i="4"/>
  <c r="M1479" i="4"/>
  <c r="M1479" i="5" s="1"/>
  <c r="N1479" i="5" s="1"/>
  <c r="L1479" i="4"/>
  <c r="P1478" i="4"/>
  <c r="O1478" i="4"/>
  <c r="N1478" i="4"/>
  <c r="M1478" i="4"/>
  <c r="M1478" i="5" s="1"/>
  <c r="N1478" i="5" s="1"/>
  <c r="L1478" i="4"/>
  <c r="P1477" i="4"/>
  <c r="O1477" i="4"/>
  <c r="N1477" i="4"/>
  <c r="M1477" i="4"/>
  <c r="M1477" i="5" s="1"/>
  <c r="N1477" i="5" s="1"/>
  <c r="L1477" i="4"/>
  <c r="P1476" i="4"/>
  <c r="O1476" i="4"/>
  <c r="N1476" i="4"/>
  <c r="M1476" i="4"/>
  <c r="M1476" i="5" s="1"/>
  <c r="N1476" i="5" s="1"/>
  <c r="L1476" i="4"/>
  <c r="P1475" i="4"/>
  <c r="O1475" i="4"/>
  <c r="N1475" i="4"/>
  <c r="M1475" i="4"/>
  <c r="M1475" i="5" s="1"/>
  <c r="N1475" i="5" s="1"/>
  <c r="L1475" i="4"/>
  <c r="P1474" i="4"/>
  <c r="O1474" i="4"/>
  <c r="N1474" i="4"/>
  <c r="M1474" i="4"/>
  <c r="M1474" i="5" s="1"/>
  <c r="N1474" i="5" s="1"/>
  <c r="L1474" i="4"/>
  <c r="P1473" i="4"/>
  <c r="O1473" i="4"/>
  <c r="N1473" i="4"/>
  <c r="M1473" i="4"/>
  <c r="M1473" i="5" s="1"/>
  <c r="N1473" i="5" s="1"/>
  <c r="L1473" i="4"/>
  <c r="P1472" i="4"/>
  <c r="O1472" i="4"/>
  <c r="N1472" i="4"/>
  <c r="M1472" i="4"/>
  <c r="M1472" i="5" s="1"/>
  <c r="N1472" i="5" s="1"/>
  <c r="L1472" i="4"/>
  <c r="P1471" i="4"/>
  <c r="O1471" i="4"/>
  <c r="N1471" i="4"/>
  <c r="M1471" i="4"/>
  <c r="M1471" i="5" s="1"/>
  <c r="N1471" i="5" s="1"/>
  <c r="L1471" i="4"/>
  <c r="P1470" i="4"/>
  <c r="O1470" i="4"/>
  <c r="N1470" i="4"/>
  <c r="M1470" i="4"/>
  <c r="M1470" i="5" s="1"/>
  <c r="N1470" i="5" s="1"/>
  <c r="L1470" i="4"/>
  <c r="P1469" i="4"/>
  <c r="O1469" i="4"/>
  <c r="N1469" i="4"/>
  <c r="M1469" i="4"/>
  <c r="M1469" i="5" s="1"/>
  <c r="N1469" i="5" s="1"/>
  <c r="L1469" i="4"/>
  <c r="P1468" i="4"/>
  <c r="O1468" i="4"/>
  <c r="N1468" i="4"/>
  <c r="M1468" i="4"/>
  <c r="M1468" i="5" s="1"/>
  <c r="N1468" i="5" s="1"/>
  <c r="L1468" i="4"/>
  <c r="P1467" i="4"/>
  <c r="O1467" i="4"/>
  <c r="N1467" i="4"/>
  <c r="M1467" i="4"/>
  <c r="M1467" i="5" s="1"/>
  <c r="N1467" i="5" s="1"/>
  <c r="L1467" i="4"/>
  <c r="P1466" i="4"/>
  <c r="O1466" i="4"/>
  <c r="N1466" i="4"/>
  <c r="M1466" i="4"/>
  <c r="M1466" i="5" s="1"/>
  <c r="N1466" i="5" s="1"/>
  <c r="L1466" i="4"/>
  <c r="P1465" i="4"/>
  <c r="O1465" i="4"/>
  <c r="N1465" i="4"/>
  <c r="M1465" i="4"/>
  <c r="M1465" i="5" s="1"/>
  <c r="N1465" i="5" s="1"/>
  <c r="L1465" i="4"/>
  <c r="P1464" i="4"/>
  <c r="O1464" i="4"/>
  <c r="N1464" i="4"/>
  <c r="M1464" i="4"/>
  <c r="M1464" i="5" s="1"/>
  <c r="N1464" i="5" s="1"/>
  <c r="L1464" i="4"/>
  <c r="P1463" i="4"/>
  <c r="O1463" i="4"/>
  <c r="N1463" i="4"/>
  <c r="M1463" i="4"/>
  <c r="M1463" i="5" s="1"/>
  <c r="N1463" i="5" s="1"/>
  <c r="L1463" i="4"/>
  <c r="P1462" i="4"/>
  <c r="O1462" i="4"/>
  <c r="N1462" i="4"/>
  <c r="M1462" i="4"/>
  <c r="M1462" i="5" s="1"/>
  <c r="N1462" i="5" s="1"/>
  <c r="L1462" i="4"/>
  <c r="P1461" i="4"/>
  <c r="O1461" i="4"/>
  <c r="N1461" i="4"/>
  <c r="M1461" i="4"/>
  <c r="M1461" i="5" s="1"/>
  <c r="N1461" i="5" s="1"/>
  <c r="L1461" i="4"/>
  <c r="P1460" i="4"/>
  <c r="O1460" i="4"/>
  <c r="N1460" i="4"/>
  <c r="M1460" i="4"/>
  <c r="M1460" i="5" s="1"/>
  <c r="N1460" i="5" s="1"/>
  <c r="L1460" i="4"/>
  <c r="P1459" i="4"/>
  <c r="O1459" i="4"/>
  <c r="N1459" i="4"/>
  <c r="M1459" i="4"/>
  <c r="M1459" i="5" s="1"/>
  <c r="N1459" i="5" s="1"/>
  <c r="L1459" i="4"/>
  <c r="P1458" i="4"/>
  <c r="O1458" i="4"/>
  <c r="N1458" i="4"/>
  <c r="M1458" i="4"/>
  <c r="M1458" i="5" s="1"/>
  <c r="N1458" i="5" s="1"/>
  <c r="L1458" i="4"/>
  <c r="P1457" i="4"/>
  <c r="O1457" i="4"/>
  <c r="N1457" i="4"/>
  <c r="M1457" i="4"/>
  <c r="M1457" i="5" s="1"/>
  <c r="N1457" i="5" s="1"/>
  <c r="L1457" i="4"/>
  <c r="P1456" i="4"/>
  <c r="O1456" i="4"/>
  <c r="N1456" i="4"/>
  <c r="M1456" i="4"/>
  <c r="M1456" i="5" s="1"/>
  <c r="N1456" i="5" s="1"/>
  <c r="L1456" i="4"/>
  <c r="P1455" i="4"/>
  <c r="O1455" i="4"/>
  <c r="N1455" i="4"/>
  <c r="M1455" i="4"/>
  <c r="M1455" i="5" s="1"/>
  <c r="N1455" i="5" s="1"/>
  <c r="L1455" i="4"/>
  <c r="P1454" i="4"/>
  <c r="O1454" i="4"/>
  <c r="N1454" i="4"/>
  <c r="M1454" i="4"/>
  <c r="M1454" i="5" s="1"/>
  <c r="N1454" i="5" s="1"/>
  <c r="L1454" i="4"/>
  <c r="P1453" i="4"/>
  <c r="O1453" i="4"/>
  <c r="N1453" i="4"/>
  <c r="M1453" i="4"/>
  <c r="M1453" i="5" s="1"/>
  <c r="N1453" i="5" s="1"/>
  <c r="L1453" i="4"/>
  <c r="P1452" i="4"/>
  <c r="O1452" i="4"/>
  <c r="N1452" i="4"/>
  <c r="M1452" i="4"/>
  <c r="M1452" i="5" s="1"/>
  <c r="N1452" i="5" s="1"/>
  <c r="L1452" i="4"/>
  <c r="P1451" i="4"/>
  <c r="O1451" i="4"/>
  <c r="N1451" i="4"/>
  <c r="M1451" i="4"/>
  <c r="M1451" i="5" s="1"/>
  <c r="N1451" i="5" s="1"/>
  <c r="L1451" i="4"/>
  <c r="P1450" i="4"/>
  <c r="O1450" i="4"/>
  <c r="N1450" i="4"/>
  <c r="M1450" i="4"/>
  <c r="M1450" i="5" s="1"/>
  <c r="N1450" i="5" s="1"/>
  <c r="L1450" i="4"/>
  <c r="P1449" i="4"/>
  <c r="O1449" i="4"/>
  <c r="N1449" i="4"/>
  <c r="M1449" i="4"/>
  <c r="M1449" i="5" s="1"/>
  <c r="N1449" i="5" s="1"/>
  <c r="L1449" i="4"/>
  <c r="P1448" i="4"/>
  <c r="O1448" i="4"/>
  <c r="N1448" i="4"/>
  <c r="M1448" i="4"/>
  <c r="M1448" i="5" s="1"/>
  <c r="N1448" i="5" s="1"/>
  <c r="L1448" i="4"/>
  <c r="P1447" i="4"/>
  <c r="O1447" i="4"/>
  <c r="N1447" i="4"/>
  <c r="M1447" i="4"/>
  <c r="M1447" i="5" s="1"/>
  <c r="N1447" i="5" s="1"/>
  <c r="L1447" i="4"/>
  <c r="P1446" i="4"/>
  <c r="O1446" i="4"/>
  <c r="N1446" i="4"/>
  <c r="M1446" i="4"/>
  <c r="M1446" i="5" s="1"/>
  <c r="N1446" i="5" s="1"/>
  <c r="L1446" i="4"/>
  <c r="P1445" i="4"/>
  <c r="O1445" i="4"/>
  <c r="N1445" i="4"/>
  <c r="M1445" i="4"/>
  <c r="M1445" i="5" s="1"/>
  <c r="N1445" i="5" s="1"/>
  <c r="L1445" i="4"/>
  <c r="P1444" i="4"/>
  <c r="O1444" i="4"/>
  <c r="N1444" i="4"/>
  <c r="M1444" i="4"/>
  <c r="M1444" i="5" s="1"/>
  <c r="N1444" i="5" s="1"/>
  <c r="L1444" i="4"/>
  <c r="P1443" i="4"/>
  <c r="O1443" i="4"/>
  <c r="N1443" i="4"/>
  <c r="M1443" i="4"/>
  <c r="M1443" i="5" s="1"/>
  <c r="N1443" i="5" s="1"/>
  <c r="L1443" i="4"/>
  <c r="P1442" i="4"/>
  <c r="O1442" i="4"/>
  <c r="N1442" i="4"/>
  <c r="M1442" i="4"/>
  <c r="M1442" i="5" s="1"/>
  <c r="N1442" i="5" s="1"/>
  <c r="L1442" i="4"/>
  <c r="P1441" i="4"/>
  <c r="O1441" i="4"/>
  <c r="N1441" i="4"/>
  <c r="M1441" i="4"/>
  <c r="M1441" i="5" s="1"/>
  <c r="N1441" i="5" s="1"/>
  <c r="L1441" i="4"/>
  <c r="P1440" i="4"/>
  <c r="O1440" i="4"/>
  <c r="N1440" i="4"/>
  <c r="M1440" i="4"/>
  <c r="M1440" i="5" s="1"/>
  <c r="N1440" i="5" s="1"/>
  <c r="L1440" i="4"/>
  <c r="P1439" i="4"/>
  <c r="O1439" i="4"/>
  <c r="N1439" i="4"/>
  <c r="M1439" i="4"/>
  <c r="M1439" i="5" s="1"/>
  <c r="N1439" i="5" s="1"/>
  <c r="L1439" i="4"/>
  <c r="P1438" i="4"/>
  <c r="O1438" i="4"/>
  <c r="N1438" i="4"/>
  <c r="M1438" i="4"/>
  <c r="M1438" i="5" s="1"/>
  <c r="N1438" i="5" s="1"/>
  <c r="L1438" i="4"/>
  <c r="P1437" i="4"/>
  <c r="O1437" i="4"/>
  <c r="N1437" i="4"/>
  <c r="M1437" i="4"/>
  <c r="M1437" i="5" s="1"/>
  <c r="N1437" i="5" s="1"/>
  <c r="L1437" i="4"/>
  <c r="P1436" i="4"/>
  <c r="O1436" i="4"/>
  <c r="N1436" i="4"/>
  <c r="M1436" i="4"/>
  <c r="M1436" i="5" s="1"/>
  <c r="N1436" i="5" s="1"/>
  <c r="L1436" i="4"/>
  <c r="P1435" i="4"/>
  <c r="O1435" i="4"/>
  <c r="N1435" i="4"/>
  <c r="M1435" i="4"/>
  <c r="M1435" i="5" s="1"/>
  <c r="N1435" i="5" s="1"/>
  <c r="L1435" i="4"/>
  <c r="P1434" i="4"/>
  <c r="O1434" i="4"/>
  <c r="N1434" i="4"/>
  <c r="M1434" i="4"/>
  <c r="M1434" i="5" s="1"/>
  <c r="N1434" i="5" s="1"/>
  <c r="L1434" i="4"/>
  <c r="P1433" i="4"/>
  <c r="O1433" i="4"/>
  <c r="N1433" i="4"/>
  <c r="M1433" i="4"/>
  <c r="M1433" i="5" s="1"/>
  <c r="N1433" i="5" s="1"/>
  <c r="L1433" i="4"/>
  <c r="P1432" i="4"/>
  <c r="O1432" i="4"/>
  <c r="N1432" i="4"/>
  <c r="M1432" i="4"/>
  <c r="M1432" i="5" s="1"/>
  <c r="N1432" i="5" s="1"/>
  <c r="L1432" i="4"/>
  <c r="P1431" i="4"/>
  <c r="O1431" i="4"/>
  <c r="N1431" i="4"/>
  <c r="M1431" i="4"/>
  <c r="M1431" i="5" s="1"/>
  <c r="N1431" i="5" s="1"/>
  <c r="L1431" i="4"/>
  <c r="P1430" i="4"/>
  <c r="O1430" i="4"/>
  <c r="N1430" i="4"/>
  <c r="M1430" i="4"/>
  <c r="M1430" i="5" s="1"/>
  <c r="N1430" i="5" s="1"/>
  <c r="L1430" i="4"/>
  <c r="P1429" i="4"/>
  <c r="O1429" i="4"/>
  <c r="N1429" i="4"/>
  <c r="M1429" i="4"/>
  <c r="M1429" i="5" s="1"/>
  <c r="N1429" i="5" s="1"/>
  <c r="L1429" i="4"/>
  <c r="P1428" i="4"/>
  <c r="O1428" i="4"/>
  <c r="N1428" i="4"/>
  <c r="M1428" i="4"/>
  <c r="M1428" i="5" s="1"/>
  <c r="N1428" i="5" s="1"/>
  <c r="L1428" i="4"/>
  <c r="P1427" i="4"/>
  <c r="O1427" i="4"/>
  <c r="N1427" i="4"/>
  <c r="M1427" i="4"/>
  <c r="M1427" i="5" s="1"/>
  <c r="N1427" i="5" s="1"/>
  <c r="L1427" i="4"/>
  <c r="P1426" i="4"/>
  <c r="O1426" i="4"/>
  <c r="N1426" i="4"/>
  <c r="M1426" i="4"/>
  <c r="M1426" i="5" s="1"/>
  <c r="N1426" i="5" s="1"/>
  <c r="L1426" i="4"/>
  <c r="P1425" i="4"/>
  <c r="O1425" i="4"/>
  <c r="N1425" i="4"/>
  <c r="M1425" i="4"/>
  <c r="M1425" i="5" s="1"/>
  <c r="N1425" i="5" s="1"/>
  <c r="L1425" i="4"/>
  <c r="P1424" i="4"/>
  <c r="O1424" i="4"/>
  <c r="N1424" i="4"/>
  <c r="M1424" i="4"/>
  <c r="M1424" i="5" s="1"/>
  <c r="N1424" i="5" s="1"/>
  <c r="L1424" i="4"/>
  <c r="P1423" i="4"/>
  <c r="O1423" i="4"/>
  <c r="N1423" i="4"/>
  <c r="M1423" i="4"/>
  <c r="M1423" i="5" s="1"/>
  <c r="N1423" i="5" s="1"/>
  <c r="L1423" i="4"/>
  <c r="P1422" i="4"/>
  <c r="O1422" i="4"/>
  <c r="N1422" i="4"/>
  <c r="M1422" i="4"/>
  <c r="M1422" i="5" s="1"/>
  <c r="N1422" i="5" s="1"/>
  <c r="L1422" i="4"/>
  <c r="P1421" i="4"/>
  <c r="O1421" i="4"/>
  <c r="N1421" i="4"/>
  <c r="M1421" i="4"/>
  <c r="M1421" i="5" s="1"/>
  <c r="N1421" i="5" s="1"/>
  <c r="L1421" i="4"/>
  <c r="P1420" i="4"/>
  <c r="O1420" i="4"/>
  <c r="N1420" i="4"/>
  <c r="M1420" i="4"/>
  <c r="M1420" i="5" s="1"/>
  <c r="N1420" i="5" s="1"/>
  <c r="L1420" i="4"/>
  <c r="P1419" i="4"/>
  <c r="O1419" i="4"/>
  <c r="N1419" i="4"/>
  <c r="M1419" i="4"/>
  <c r="M1419" i="5" s="1"/>
  <c r="N1419" i="5" s="1"/>
  <c r="L1419" i="4"/>
  <c r="P1418" i="4"/>
  <c r="O1418" i="4"/>
  <c r="N1418" i="4"/>
  <c r="M1418" i="4"/>
  <c r="M1418" i="5" s="1"/>
  <c r="N1418" i="5" s="1"/>
  <c r="L1418" i="4"/>
  <c r="P1417" i="4"/>
  <c r="O1417" i="4"/>
  <c r="N1417" i="4"/>
  <c r="M1417" i="4"/>
  <c r="M1417" i="5" s="1"/>
  <c r="N1417" i="5" s="1"/>
  <c r="L1417" i="4"/>
  <c r="P1416" i="4"/>
  <c r="O1416" i="4"/>
  <c r="N1416" i="4"/>
  <c r="M1416" i="4"/>
  <c r="M1416" i="5" s="1"/>
  <c r="N1416" i="5" s="1"/>
  <c r="L1416" i="4"/>
  <c r="P1415" i="4"/>
  <c r="O1415" i="4"/>
  <c r="N1415" i="4"/>
  <c r="M1415" i="4"/>
  <c r="M1415" i="5" s="1"/>
  <c r="N1415" i="5" s="1"/>
  <c r="L1415" i="4"/>
  <c r="P1414" i="4"/>
  <c r="O1414" i="4"/>
  <c r="N1414" i="4"/>
  <c r="M1414" i="4"/>
  <c r="M1414" i="5" s="1"/>
  <c r="N1414" i="5" s="1"/>
  <c r="L1414" i="4"/>
  <c r="P1413" i="4"/>
  <c r="O1413" i="4"/>
  <c r="N1413" i="4"/>
  <c r="M1413" i="4"/>
  <c r="M1413" i="5" s="1"/>
  <c r="N1413" i="5" s="1"/>
  <c r="L1413" i="4"/>
  <c r="P1412" i="4"/>
  <c r="O1412" i="4"/>
  <c r="N1412" i="4"/>
  <c r="M1412" i="4"/>
  <c r="M1412" i="5" s="1"/>
  <c r="N1412" i="5" s="1"/>
  <c r="L1412" i="4"/>
  <c r="P1411" i="4"/>
  <c r="O1411" i="4"/>
  <c r="N1411" i="4"/>
  <c r="M1411" i="4"/>
  <c r="M1411" i="5" s="1"/>
  <c r="N1411" i="5" s="1"/>
  <c r="L1411" i="4"/>
  <c r="P1410" i="4"/>
  <c r="O1410" i="4"/>
  <c r="N1410" i="4"/>
  <c r="M1410" i="4"/>
  <c r="M1410" i="5" s="1"/>
  <c r="N1410" i="5" s="1"/>
  <c r="L1410" i="4"/>
  <c r="P1409" i="4"/>
  <c r="O1409" i="4"/>
  <c r="N1409" i="4"/>
  <c r="M1409" i="4"/>
  <c r="M1409" i="5" s="1"/>
  <c r="N1409" i="5" s="1"/>
  <c r="L1409" i="4"/>
  <c r="P1408" i="4"/>
  <c r="O1408" i="4"/>
  <c r="N1408" i="4"/>
  <c r="M1408" i="4"/>
  <c r="M1408" i="5" s="1"/>
  <c r="N1408" i="5" s="1"/>
  <c r="L1408" i="4"/>
  <c r="P1407" i="4"/>
  <c r="O1407" i="4"/>
  <c r="N1407" i="4"/>
  <c r="M1407" i="4"/>
  <c r="M1407" i="5" s="1"/>
  <c r="N1407" i="5" s="1"/>
  <c r="L1407" i="4"/>
  <c r="P1406" i="4"/>
  <c r="O1406" i="4"/>
  <c r="N1406" i="4"/>
  <c r="M1406" i="4"/>
  <c r="M1406" i="5" s="1"/>
  <c r="N1406" i="5" s="1"/>
  <c r="L1406" i="4"/>
  <c r="P1405" i="4"/>
  <c r="O1405" i="4"/>
  <c r="N1405" i="4"/>
  <c r="M1405" i="4"/>
  <c r="M1405" i="5" s="1"/>
  <c r="N1405" i="5" s="1"/>
  <c r="L1405" i="4"/>
  <c r="P1404" i="4"/>
  <c r="O1404" i="4"/>
  <c r="N1404" i="4"/>
  <c r="M1404" i="4"/>
  <c r="M1404" i="5" s="1"/>
  <c r="N1404" i="5" s="1"/>
  <c r="L1404" i="4"/>
  <c r="P1403" i="4"/>
  <c r="O1403" i="4"/>
  <c r="N1403" i="4"/>
  <c r="M1403" i="4"/>
  <c r="M1403" i="5" s="1"/>
  <c r="N1403" i="5" s="1"/>
  <c r="L1403" i="4"/>
  <c r="P1402" i="4"/>
  <c r="O1402" i="4"/>
  <c r="N1402" i="4"/>
  <c r="M1402" i="4"/>
  <c r="M1402" i="5" s="1"/>
  <c r="N1402" i="5" s="1"/>
  <c r="L1402" i="4"/>
  <c r="P1401" i="4"/>
  <c r="O1401" i="4"/>
  <c r="N1401" i="4"/>
  <c r="M1401" i="4"/>
  <c r="M1401" i="5" s="1"/>
  <c r="N1401" i="5" s="1"/>
  <c r="L1401" i="4"/>
  <c r="P1400" i="4"/>
  <c r="O1400" i="4"/>
  <c r="N1400" i="4"/>
  <c r="M1400" i="4"/>
  <c r="M1400" i="5" s="1"/>
  <c r="N1400" i="5" s="1"/>
  <c r="L1400" i="4"/>
  <c r="P1399" i="4"/>
  <c r="O1399" i="4"/>
  <c r="N1399" i="4"/>
  <c r="M1399" i="4"/>
  <c r="M1399" i="5" s="1"/>
  <c r="N1399" i="5" s="1"/>
  <c r="L1399" i="4"/>
  <c r="P1398" i="4"/>
  <c r="O1398" i="4"/>
  <c r="N1398" i="4"/>
  <c r="M1398" i="4"/>
  <c r="M1398" i="5" s="1"/>
  <c r="N1398" i="5" s="1"/>
  <c r="L1398" i="4"/>
  <c r="P1397" i="4"/>
  <c r="O1397" i="4"/>
  <c r="N1397" i="4"/>
  <c r="M1397" i="4"/>
  <c r="M1397" i="5" s="1"/>
  <c r="N1397" i="5" s="1"/>
  <c r="L1397" i="4"/>
  <c r="P1396" i="4"/>
  <c r="O1396" i="4"/>
  <c r="N1396" i="4"/>
  <c r="M1396" i="4"/>
  <c r="M1396" i="5" s="1"/>
  <c r="N1396" i="5" s="1"/>
  <c r="L1396" i="4"/>
  <c r="P1395" i="4"/>
  <c r="O1395" i="4"/>
  <c r="N1395" i="4"/>
  <c r="M1395" i="4"/>
  <c r="M1395" i="5" s="1"/>
  <c r="N1395" i="5" s="1"/>
  <c r="L1395" i="4"/>
  <c r="P1394" i="4"/>
  <c r="O1394" i="4"/>
  <c r="N1394" i="4"/>
  <c r="M1394" i="4"/>
  <c r="M1394" i="5" s="1"/>
  <c r="N1394" i="5" s="1"/>
  <c r="L1394" i="4"/>
  <c r="P1393" i="4"/>
  <c r="O1393" i="4"/>
  <c r="N1393" i="4"/>
  <c r="M1393" i="4"/>
  <c r="M1393" i="5" s="1"/>
  <c r="N1393" i="5" s="1"/>
  <c r="L1393" i="4"/>
  <c r="P1392" i="4"/>
  <c r="O1392" i="4"/>
  <c r="N1392" i="4"/>
  <c r="M1392" i="4"/>
  <c r="M1392" i="5" s="1"/>
  <c r="N1392" i="5" s="1"/>
  <c r="L1392" i="4"/>
  <c r="P1391" i="4"/>
  <c r="O1391" i="4"/>
  <c r="N1391" i="4"/>
  <c r="M1391" i="4"/>
  <c r="M1391" i="5" s="1"/>
  <c r="N1391" i="5" s="1"/>
  <c r="L1391" i="4"/>
  <c r="P1390" i="4"/>
  <c r="O1390" i="4"/>
  <c r="N1390" i="4"/>
  <c r="M1390" i="4"/>
  <c r="M1390" i="5" s="1"/>
  <c r="N1390" i="5" s="1"/>
  <c r="L1390" i="4"/>
  <c r="P1389" i="4"/>
  <c r="O1389" i="4"/>
  <c r="N1389" i="4"/>
  <c r="M1389" i="4"/>
  <c r="M1389" i="5" s="1"/>
  <c r="N1389" i="5" s="1"/>
  <c r="L1389" i="4"/>
  <c r="P1388" i="4"/>
  <c r="O1388" i="4"/>
  <c r="N1388" i="4"/>
  <c r="M1388" i="4"/>
  <c r="M1388" i="5" s="1"/>
  <c r="N1388" i="5" s="1"/>
  <c r="L1388" i="4"/>
  <c r="P1387" i="4"/>
  <c r="O1387" i="4"/>
  <c r="N1387" i="4"/>
  <c r="M1387" i="4"/>
  <c r="M1387" i="5" s="1"/>
  <c r="N1387" i="5" s="1"/>
  <c r="L1387" i="4"/>
  <c r="P1386" i="4"/>
  <c r="O1386" i="4"/>
  <c r="N1386" i="4"/>
  <c r="M1386" i="4"/>
  <c r="M1386" i="5" s="1"/>
  <c r="N1386" i="5" s="1"/>
  <c r="L1386" i="4"/>
  <c r="P1385" i="4"/>
  <c r="O1385" i="4"/>
  <c r="N1385" i="4"/>
  <c r="M1385" i="4"/>
  <c r="M1385" i="5" s="1"/>
  <c r="N1385" i="5" s="1"/>
  <c r="L1385" i="4"/>
  <c r="P1384" i="4"/>
  <c r="O1384" i="4"/>
  <c r="N1384" i="4"/>
  <c r="M1384" i="4"/>
  <c r="M1384" i="5" s="1"/>
  <c r="N1384" i="5" s="1"/>
  <c r="L1384" i="4"/>
  <c r="P1383" i="4"/>
  <c r="O1383" i="4"/>
  <c r="N1383" i="4"/>
  <c r="M1383" i="4"/>
  <c r="M1383" i="5" s="1"/>
  <c r="N1383" i="5" s="1"/>
  <c r="L1383" i="4"/>
  <c r="P1382" i="4"/>
  <c r="O1382" i="4"/>
  <c r="N1382" i="4"/>
  <c r="M1382" i="4"/>
  <c r="M1382" i="5" s="1"/>
  <c r="N1382" i="5" s="1"/>
  <c r="L1382" i="4"/>
  <c r="P1381" i="4"/>
  <c r="O1381" i="4"/>
  <c r="N1381" i="4"/>
  <c r="M1381" i="4"/>
  <c r="M1381" i="5" s="1"/>
  <c r="N1381" i="5" s="1"/>
  <c r="L1381" i="4"/>
  <c r="P1380" i="4"/>
  <c r="O1380" i="4"/>
  <c r="N1380" i="4"/>
  <c r="M1380" i="4"/>
  <c r="M1380" i="5" s="1"/>
  <c r="N1380" i="5" s="1"/>
  <c r="L1380" i="4"/>
  <c r="P1379" i="4"/>
  <c r="O1379" i="4"/>
  <c r="N1379" i="4"/>
  <c r="M1379" i="4"/>
  <c r="M1379" i="5" s="1"/>
  <c r="N1379" i="5" s="1"/>
  <c r="L1379" i="4"/>
  <c r="P1378" i="4"/>
  <c r="O1378" i="4"/>
  <c r="N1378" i="4"/>
  <c r="M1378" i="4"/>
  <c r="M1378" i="5" s="1"/>
  <c r="N1378" i="5" s="1"/>
  <c r="L1378" i="4"/>
  <c r="P1377" i="4"/>
  <c r="O1377" i="4"/>
  <c r="N1377" i="4"/>
  <c r="M1377" i="4"/>
  <c r="M1377" i="5" s="1"/>
  <c r="N1377" i="5" s="1"/>
  <c r="L1377" i="4"/>
  <c r="P1376" i="4"/>
  <c r="O1376" i="4"/>
  <c r="N1376" i="4"/>
  <c r="M1376" i="4"/>
  <c r="M1376" i="5" s="1"/>
  <c r="N1376" i="5" s="1"/>
  <c r="L1376" i="4"/>
  <c r="P1375" i="4"/>
  <c r="O1375" i="4"/>
  <c r="N1375" i="4"/>
  <c r="M1375" i="4"/>
  <c r="M1375" i="5" s="1"/>
  <c r="N1375" i="5" s="1"/>
  <c r="L1375" i="4"/>
  <c r="P1374" i="4"/>
  <c r="O1374" i="4"/>
  <c r="N1374" i="4"/>
  <c r="M1374" i="4"/>
  <c r="M1374" i="5" s="1"/>
  <c r="N1374" i="5" s="1"/>
  <c r="L1374" i="4"/>
  <c r="P1373" i="4"/>
  <c r="O1373" i="4"/>
  <c r="N1373" i="4"/>
  <c r="M1373" i="4"/>
  <c r="M1373" i="5" s="1"/>
  <c r="N1373" i="5" s="1"/>
  <c r="L1373" i="4"/>
  <c r="P1372" i="4"/>
  <c r="O1372" i="4"/>
  <c r="N1372" i="4"/>
  <c r="M1372" i="4"/>
  <c r="M1372" i="5" s="1"/>
  <c r="N1372" i="5" s="1"/>
  <c r="L1372" i="4"/>
  <c r="P1371" i="4"/>
  <c r="O1371" i="4"/>
  <c r="N1371" i="4"/>
  <c r="M1371" i="4"/>
  <c r="M1371" i="5" s="1"/>
  <c r="N1371" i="5" s="1"/>
  <c r="L1371" i="4"/>
  <c r="P1370" i="4"/>
  <c r="O1370" i="4"/>
  <c r="N1370" i="4"/>
  <c r="M1370" i="4"/>
  <c r="M1370" i="5" s="1"/>
  <c r="N1370" i="5" s="1"/>
  <c r="L1370" i="4"/>
  <c r="P1369" i="4"/>
  <c r="O1369" i="4"/>
  <c r="N1369" i="4"/>
  <c r="M1369" i="4"/>
  <c r="M1369" i="5" s="1"/>
  <c r="N1369" i="5" s="1"/>
  <c r="L1369" i="4"/>
  <c r="P1368" i="4"/>
  <c r="O1368" i="4"/>
  <c r="N1368" i="4"/>
  <c r="M1368" i="4"/>
  <c r="M1368" i="5" s="1"/>
  <c r="N1368" i="5" s="1"/>
  <c r="L1368" i="4"/>
  <c r="P1367" i="4"/>
  <c r="O1367" i="4"/>
  <c r="N1367" i="4"/>
  <c r="M1367" i="4"/>
  <c r="M1367" i="5" s="1"/>
  <c r="N1367" i="5" s="1"/>
  <c r="L1367" i="4"/>
  <c r="P1366" i="4"/>
  <c r="O1366" i="4"/>
  <c r="N1366" i="4"/>
  <c r="M1366" i="4"/>
  <c r="M1366" i="5" s="1"/>
  <c r="N1366" i="5" s="1"/>
  <c r="L1366" i="4"/>
  <c r="P1365" i="4"/>
  <c r="O1365" i="4"/>
  <c r="N1365" i="4"/>
  <c r="M1365" i="4"/>
  <c r="M1365" i="5" s="1"/>
  <c r="N1365" i="5" s="1"/>
  <c r="L1365" i="4"/>
  <c r="P1364" i="4"/>
  <c r="O1364" i="4"/>
  <c r="N1364" i="4"/>
  <c r="M1364" i="4"/>
  <c r="M1364" i="5" s="1"/>
  <c r="N1364" i="5" s="1"/>
  <c r="L1364" i="4"/>
  <c r="P1363" i="4"/>
  <c r="O1363" i="4"/>
  <c r="N1363" i="4"/>
  <c r="M1363" i="4"/>
  <c r="M1363" i="5" s="1"/>
  <c r="N1363" i="5" s="1"/>
  <c r="L1363" i="4"/>
  <c r="P1362" i="4"/>
  <c r="O1362" i="4"/>
  <c r="N1362" i="4"/>
  <c r="M1362" i="4"/>
  <c r="M1362" i="5" s="1"/>
  <c r="N1362" i="5" s="1"/>
  <c r="L1362" i="4"/>
  <c r="P1361" i="4"/>
  <c r="O1361" i="4"/>
  <c r="N1361" i="4"/>
  <c r="M1361" i="4"/>
  <c r="M1361" i="5" s="1"/>
  <c r="N1361" i="5" s="1"/>
  <c r="L1361" i="4"/>
  <c r="P1360" i="4"/>
  <c r="O1360" i="4"/>
  <c r="N1360" i="4"/>
  <c r="M1360" i="4"/>
  <c r="M1360" i="5" s="1"/>
  <c r="N1360" i="5" s="1"/>
  <c r="L1360" i="4"/>
  <c r="P1359" i="4"/>
  <c r="O1359" i="4"/>
  <c r="N1359" i="4"/>
  <c r="M1359" i="4"/>
  <c r="M1359" i="5" s="1"/>
  <c r="N1359" i="5" s="1"/>
  <c r="L1359" i="4"/>
  <c r="P1358" i="4"/>
  <c r="O1358" i="4"/>
  <c r="N1358" i="4"/>
  <c r="M1358" i="4"/>
  <c r="M1358" i="5" s="1"/>
  <c r="N1358" i="5" s="1"/>
  <c r="L1358" i="4"/>
  <c r="P1357" i="4"/>
  <c r="O1357" i="4"/>
  <c r="N1357" i="4"/>
  <c r="M1357" i="4"/>
  <c r="M1357" i="5" s="1"/>
  <c r="N1357" i="5" s="1"/>
  <c r="L1357" i="4"/>
  <c r="P1356" i="4"/>
  <c r="O1356" i="4"/>
  <c r="N1356" i="4"/>
  <c r="M1356" i="4"/>
  <c r="M1356" i="5" s="1"/>
  <c r="N1356" i="5" s="1"/>
  <c r="L1356" i="4"/>
  <c r="P1355" i="4"/>
  <c r="O1355" i="4"/>
  <c r="N1355" i="4"/>
  <c r="M1355" i="4"/>
  <c r="M1355" i="5" s="1"/>
  <c r="N1355" i="5" s="1"/>
  <c r="L1355" i="4"/>
  <c r="P1354" i="4"/>
  <c r="O1354" i="4"/>
  <c r="N1354" i="4"/>
  <c r="M1354" i="4"/>
  <c r="M1354" i="5" s="1"/>
  <c r="N1354" i="5" s="1"/>
  <c r="L1354" i="4"/>
  <c r="P1353" i="4"/>
  <c r="O1353" i="4"/>
  <c r="N1353" i="4"/>
  <c r="M1353" i="4"/>
  <c r="M1353" i="5" s="1"/>
  <c r="N1353" i="5" s="1"/>
  <c r="L1353" i="4"/>
  <c r="P1352" i="4"/>
  <c r="O1352" i="4"/>
  <c r="N1352" i="4"/>
  <c r="M1352" i="4"/>
  <c r="M1352" i="5" s="1"/>
  <c r="N1352" i="5" s="1"/>
  <c r="L1352" i="4"/>
  <c r="P1351" i="4"/>
  <c r="O1351" i="4"/>
  <c r="N1351" i="4"/>
  <c r="M1351" i="4"/>
  <c r="M1351" i="5" s="1"/>
  <c r="N1351" i="5" s="1"/>
  <c r="L1351" i="4"/>
  <c r="P1350" i="4"/>
  <c r="O1350" i="4"/>
  <c r="N1350" i="4"/>
  <c r="M1350" i="4"/>
  <c r="M1350" i="5" s="1"/>
  <c r="N1350" i="5" s="1"/>
  <c r="L1350" i="4"/>
  <c r="P1349" i="4"/>
  <c r="O1349" i="4"/>
  <c r="N1349" i="4"/>
  <c r="M1349" i="4"/>
  <c r="M1349" i="5" s="1"/>
  <c r="N1349" i="5" s="1"/>
  <c r="L1349" i="4"/>
  <c r="P1348" i="4"/>
  <c r="O1348" i="4"/>
  <c r="N1348" i="4"/>
  <c r="M1348" i="4"/>
  <c r="M1348" i="5" s="1"/>
  <c r="N1348" i="5" s="1"/>
  <c r="L1348" i="4"/>
  <c r="P1347" i="4"/>
  <c r="O1347" i="4"/>
  <c r="N1347" i="4"/>
  <c r="M1347" i="4"/>
  <c r="M1347" i="5" s="1"/>
  <c r="N1347" i="5" s="1"/>
  <c r="L1347" i="4"/>
  <c r="P1346" i="4"/>
  <c r="O1346" i="4"/>
  <c r="N1346" i="4"/>
  <c r="M1346" i="4"/>
  <c r="M1346" i="5" s="1"/>
  <c r="N1346" i="5" s="1"/>
  <c r="L1346" i="4"/>
  <c r="P1345" i="4"/>
  <c r="O1345" i="4"/>
  <c r="N1345" i="4"/>
  <c r="M1345" i="4"/>
  <c r="M1345" i="5" s="1"/>
  <c r="N1345" i="5" s="1"/>
  <c r="L1345" i="4"/>
  <c r="P1344" i="4"/>
  <c r="O1344" i="4"/>
  <c r="N1344" i="4"/>
  <c r="M1344" i="4"/>
  <c r="M1344" i="5" s="1"/>
  <c r="N1344" i="5" s="1"/>
  <c r="L1344" i="4"/>
  <c r="P1343" i="4"/>
  <c r="O1343" i="4"/>
  <c r="N1343" i="4"/>
  <c r="M1343" i="4"/>
  <c r="M1343" i="5" s="1"/>
  <c r="N1343" i="5" s="1"/>
  <c r="L1343" i="4"/>
  <c r="P1342" i="4"/>
  <c r="O1342" i="4"/>
  <c r="N1342" i="4"/>
  <c r="M1342" i="4"/>
  <c r="M1342" i="5" s="1"/>
  <c r="N1342" i="5" s="1"/>
  <c r="L1342" i="4"/>
  <c r="P1341" i="4"/>
  <c r="O1341" i="4"/>
  <c r="N1341" i="4"/>
  <c r="M1341" i="4"/>
  <c r="M1341" i="5" s="1"/>
  <c r="N1341" i="5" s="1"/>
  <c r="L1341" i="4"/>
  <c r="P1340" i="4"/>
  <c r="O1340" i="4"/>
  <c r="N1340" i="4"/>
  <c r="M1340" i="4"/>
  <c r="M1340" i="5" s="1"/>
  <c r="N1340" i="5" s="1"/>
  <c r="L1340" i="4"/>
  <c r="P1339" i="4"/>
  <c r="O1339" i="4"/>
  <c r="N1339" i="4"/>
  <c r="M1339" i="4"/>
  <c r="M1339" i="5" s="1"/>
  <c r="N1339" i="5" s="1"/>
  <c r="L1339" i="4"/>
  <c r="P1338" i="4"/>
  <c r="O1338" i="4"/>
  <c r="N1338" i="4"/>
  <c r="M1338" i="4"/>
  <c r="M1338" i="5" s="1"/>
  <c r="N1338" i="5" s="1"/>
  <c r="L1338" i="4"/>
  <c r="P1337" i="4"/>
  <c r="O1337" i="4"/>
  <c r="N1337" i="4"/>
  <c r="M1337" i="4"/>
  <c r="M1337" i="5" s="1"/>
  <c r="N1337" i="5" s="1"/>
  <c r="L1337" i="4"/>
  <c r="P1336" i="4"/>
  <c r="O1336" i="4"/>
  <c r="N1336" i="4"/>
  <c r="M1336" i="4"/>
  <c r="M1336" i="5" s="1"/>
  <c r="N1336" i="5" s="1"/>
  <c r="L1336" i="4"/>
  <c r="P1335" i="4"/>
  <c r="O1335" i="4"/>
  <c r="N1335" i="4"/>
  <c r="M1335" i="4"/>
  <c r="M1335" i="5" s="1"/>
  <c r="N1335" i="5" s="1"/>
  <c r="L1335" i="4"/>
  <c r="P1334" i="4"/>
  <c r="O1334" i="4"/>
  <c r="N1334" i="4"/>
  <c r="M1334" i="4"/>
  <c r="M1334" i="5" s="1"/>
  <c r="N1334" i="5" s="1"/>
  <c r="L1334" i="4"/>
  <c r="P1333" i="4"/>
  <c r="O1333" i="4"/>
  <c r="N1333" i="4"/>
  <c r="M1333" i="4"/>
  <c r="M1333" i="5" s="1"/>
  <c r="N1333" i="5" s="1"/>
  <c r="L1333" i="4"/>
  <c r="P1332" i="4"/>
  <c r="O1332" i="4"/>
  <c r="N1332" i="4"/>
  <c r="M1332" i="4"/>
  <c r="M1332" i="5" s="1"/>
  <c r="N1332" i="5" s="1"/>
  <c r="L1332" i="4"/>
  <c r="P1331" i="4"/>
  <c r="O1331" i="4"/>
  <c r="N1331" i="4"/>
  <c r="M1331" i="4"/>
  <c r="M1331" i="5" s="1"/>
  <c r="N1331" i="5" s="1"/>
  <c r="L1331" i="4"/>
  <c r="P1330" i="4"/>
  <c r="O1330" i="4"/>
  <c r="N1330" i="4"/>
  <c r="M1330" i="4"/>
  <c r="M1330" i="5" s="1"/>
  <c r="N1330" i="5" s="1"/>
  <c r="L1330" i="4"/>
  <c r="P1329" i="4"/>
  <c r="O1329" i="4"/>
  <c r="N1329" i="4"/>
  <c r="M1329" i="4"/>
  <c r="M1329" i="5" s="1"/>
  <c r="N1329" i="5" s="1"/>
  <c r="L1329" i="4"/>
  <c r="P1328" i="4"/>
  <c r="O1328" i="4"/>
  <c r="N1328" i="4"/>
  <c r="M1328" i="4"/>
  <c r="M1328" i="5" s="1"/>
  <c r="N1328" i="5" s="1"/>
  <c r="L1328" i="4"/>
  <c r="P1327" i="4"/>
  <c r="O1327" i="4"/>
  <c r="N1327" i="4"/>
  <c r="M1327" i="4"/>
  <c r="M1327" i="5" s="1"/>
  <c r="N1327" i="5" s="1"/>
  <c r="L1327" i="4"/>
  <c r="P1326" i="4"/>
  <c r="O1326" i="4"/>
  <c r="N1326" i="4"/>
  <c r="M1326" i="4"/>
  <c r="M1326" i="5" s="1"/>
  <c r="N1326" i="5" s="1"/>
  <c r="L1326" i="4"/>
  <c r="P1325" i="4"/>
  <c r="O1325" i="4"/>
  <c r="N1325" i="4"/>
  <c r="M1325" i="4"/>
  <c r="M1325" i="5" s="1"/>
  <c r="N1325" i="5" s="1"/>
  <c r="L1325" i="4"/>
  <c r="P1324" i="4"/>
  <c r="O1324" i="4"/>
  <c r="N1324" i="4"/>
  <c r="M1324" i="4"/>
  <c r="M1324" i="5" s="1"/>
  <c r="N1324" i="5" s="1"/>
  <c r="L1324" i="4"/>
  <c r="P1323" i="4"/>
  <c r="O1323" i="4"/>
  <c r="N1323" i="4"/>
  <c r="M1323" i="4"/>
  <c r="M1323" i="5" s="1"/>
  <c r="N1323" i="5" s="1"/>
  <c r="L1323" i="4"/>
  <c r="P1322" i="4"/>
  <c r="O1322" i="4"/>
  <c r="N1322" i="4"/>
  <c r="M1322" i="4"/>
  <c r="M1322" i="5" s="1"/>
  <c r="N1322" i="5" s="1"/>
  <c r="L1322" i="4"/>
  <c r="P1321" i="4"/>
  <c r="O1321" i="4"/>
  <c r="N1321" i="4"/>
  <c r="M1321" i="4"/>
  <c r="M1321" i="5" s="1"/>
  <c r="N1321" i="5" s="1"/>
  <c r="L1321" i="4"/>
  <c r="P1320" i="4"/>
  <c r="O1320" i="4"/>
  <c r="N1320" i="4"/>
  <c r="M1320" i="4"/>
  <c r="M1320" i="5" s="1"/>
  <c r="N1320" i="5" s="1"/>
  <c r="L1320" i="4"/>
  <c r="P1319" i="4"/>
  <c r="O1319" i="4"/>
  <c r="N1319" i="4"/>
  <c r="M1319" i="4"/>
  <c r="M1319" i="5" s="1"/>
  <c r="N1319" i="5" s="1"/>
  <c r="L1319" i="4"/>
  <c r="P1318" i="4"/>
  <c r="O1318" i="4"/>
  <c r="N1318" i="4"/>
  <c r="M1318" i="4"/>
  <c r="M1318" i="5" s="1"/>
  <c r="N1318" i="5" s="1"/>
  <c r="L1318" i="4"/>
  <c r="P1317" i="4"/>
  <c r="O1317" i="4"/>
  <c r="N1317" i="4"/>
  <c r="M1317" i="4"/>
  <c r="M1317" i="5" s="1"/>
  <c r="N1317" i="5" s="1"/>
  <c r="L1317" i="4"/>
  <c r="P1316" i="4"/>
  <c r="O1316" i="4"/>
  <c r="N1316" i="4"/>
  <c r="M1316" i="4"/>
  <c r="M1316" i="5" s="1"/>
  <c r="N1316" i="5" s="1"/>
  <c r="L1316" i="4"/>
  <c r="P1315" i="4"/>
  <c r="O1315" i="4"/>
  <c r="N1315" i="4"/>
  <c r="M1315" i="4"/>
  <c r="M1315" i="5" s="1"/>
  <c r="N1315" i="5" s="1"/>
  <c r="L1315" i="4"/>
  <c r="P1314" i="4"/>
  <c r="O1314" i="4"/>
  <c r="N1314" i="4"/>
  <c r="M1314" i="4"/>
  <c r="M1314" i="5" s="1"/>
  <c r="N1314" i="5" s="1"/>
  <c r="L1314" i="4"/>
  <c r="P1313" i="4"/>
  <c r="O1313" i="4"/>
  <c r="N1313" i="4"/>
  <c r="M1313" i="4"/>
  <c r="M1313" i="5" s="1"/>
  <c r="N1313" i="5" s="1"/>
  <c r="L1313" i="4"/>
  <c r="P1312" i="4"/>
  <c r="O1312" i="4"/>
  <c r="N1312" i="4"/>
  <c r="M1312" i="4"/>
  <c r="M1312" i="5" s="1"/>
  <c r="N1312" i="5" s="1"/>
  <c r="L1312" i="4"/>
  <c r="P1311" i="4"/>
  <c r="O1311" i="4"/>
  <c r="N1311" i="4"/>
  <c r="M1311" i="4"/>
  <c r="M1311" i="5" s="1"/>
  <c r="N1311" i="5" s="1"/>
  <c r="L1311" i="4"/>
  <c r="P1310" i="4"/>
  <c r="O1310" i="4"/>
  <c r="N1310" i="4"/>
  <c r="M1310" i="4"/>
  <c r="M1310" i="5" s="1"/>
  <c r="N1310" i="5" s="1"/>
  <c r="L1310" i="4"/>
  <c r="P1309" i="4"/>
  <c r="O1309" i="4"/>
  <c r="N1309" i="4"/>
  <c r="M1309" i="4"/>
  <c r="M1309" i="5" s="1"/>
  <c r="N1309" i="5" s="1"/>
  <c r="L1309" i="4"/>
  <c r="P1308" i="4"/>
  <c r="O1308" i="4"/>
  <c r="N1308" i="4"/>
  <c r="M1308" i="4"/>
  <c r="M1308" i="5" s="1"/>
  <c r="N1308" i="5" s="1"/>
  <c r="L1308" i="4"/>
  <c r="P1307" i="4"/>
  <c r="O1307" i="4"/>
  <c r="N1307" i="4"/>
  <c r="M1307" i="4"/>
  <c r="M1307" i="5" s="1"/>
  <c r="N1307" i="5" s="1"/>
  <c r="L1307" i="4"/>
  <c r="P1306" i="4"/>
  <c r="O1306" i="4"/>
  <c r="N1306" i="4"/>
  <c r="M1306" i="4"/>
  <c r="M1306" i="5" s="1"/>
  <c r="N1306" i="5" s="1"/>
  <c r="L1306" i="4"/>
  <c r="P1305" i="4"/>
  <c r="O1305" i="4"/>
  <c r="N1305" i="4"/>
  <c r="M1305" i="4"/>
  <c r="M1305" i="5" s="1"/>
  <c r="N1305" i="5" s="1"/>
  <c r="L1305" i="4"/>
  <c r="P1304" i="4"/>
  <c r="O1304" i="4"/>
  <c r="N1304" i="4"/>
  <c r="M1304" i="4"/>
  <c r="M1304" i="5" s="1"/>
  <c r="N1304" i="5" s="1"/>
  <c r="L1304" i="4"/>
  <c r="P1303" i="4"/>
  <c r="O1303" i="4"/>
  <c r="N1303" i="4"/>
  <c r="M1303" i="4"/>
  <c r="M1303" i="5" s="1"/>
  <c r="N1303" i="5" s="1"/>
  <c r="L1303" i="4"/>
  <c r="P1302" i="4"/>
  <c r="O1302" i="4"/>
  <c r="N1302" i="4"/>
  <c r="M1302" i="4"/>
  <c r="M1302" i="5" s="1"/>
  <c r="N1302" i="5" s="1"/>
  <c r="L1302" i="4"/>
  <c r="P1301" i="4"/>
  <c r="O1301" i="4"/>
  <c r="N1301" i="4"/>
  <c r="M1301" i="4"/>
  <c r="M1301" i="5" s="1"/>
  <c r="N1301" i="5" s="1"/>
  <c r="L1301" i="4"/>
  <c r="P1300" i="4"/>
  <c r="O1300" i="4"/>
  <c r="N1300" i="4"/>
  <c r="M1300" i="4"/>
  <c r="M1300" i="5" s="1"/>
  <c r="N1300" i="5" s="1"/>
  <c r="L1300" i="4"/>
  <c r="P1299" i="4"/>
  <c r="O1299" i="4"/>
  <c r="N1299" i="4"/>
  <c r="M1299" i="4"/>
  <c r="M1299" i="5" s="1"/>
  <c r="N1299" i="5" s="1"/>
  <c r="L1299" i="4"/>
  <c r="P1298" i="4"/>
  <c r="O1298" i="4"/>
  <c r="N1298" i="4"/>
  <c r="M1298" i="4"/>
  <c r="M1298" i="5" s="1"/>
  <c r="N1298" i="5" s="1"/>
  <c r="L1298" i="4"/>
  <c r="P1297" i="4"/>
  <c r="O1297" i="4"/>
  <c r="N1297" i="4"/>
  <c r="M1297" i="4"/>
  <c r="M1297" i="5" s="1"/>
  <c r="N1297" i="5" s="1"/>
  <c r="L1297" i="4"/>
  <c r="P1296" i="4"/>
  <c r="O1296" i="4"/>
  <c r="N1296" i="4"/>
  <c r="M1296" i="4"/>
  <c r="M1296" i="5" s="1"/>
  <c r="N1296" i="5" s="1"/>
  <c r="L1296" i="4"/>
  <c r="P1295" i="4"/>
  <c r="O1295" i="4"/>
  <c r="N1295" i="4"/>
  <c r="M1295" i="4"/>
  <c r="M1295" i="5" s="1"/>
  <c r="N1295" i="5" s="1"/>
  <c r="L1295" i="4"/>
  <c r="P1294" i="4"/>
  <c r="O1294" i="4"/>
  <c r="N1294" i="4"/>
  <c r="M1294" i="4"/>
  <c r="M1294" i="5" s="1"/>
  <c r="N1294" i="5" s="1"/>
  <c r="L1294" i="4"/>
  <c r="P1293" i="4"/>
  <c r="O1293" i="4"/>
  <c r="N1293" i="4"/>
  <c r="M1293" i="4"/>
  <c r="M1293" i="5" s="1"/>
  <c r="N1293" i="5" s="1"/>
  <c r="L1293" i="4"/>
  <c r="P1292" i="4"/>
  <c r="O1292" i="4"/>
  <c r="N1292" i="4"/>
  <c r="M1292" i="4"/>
  <c r="M1292" i="5" s="1"/>
  <c r="N1292" i="5" s="1"/>
  <c r="L1292" i="4"/>
  <c r="P1291" i="4"/>
  <c r="O1291" i="4"/>
  <c r="N1291" i="4"/>
  <c r="M1291" i="4"/>
  <c r="M1291" i="5" s="1"/>
  <c r="N1291" i="5" s="1"/>
  <c r="L1291" i="4"/>
  <c r="P1290" i="4"/>
  <c r="O1290" i="4"/>
  <c r="N1290" i="4"/>
  <c r="M1290" i="4"/>
  <c r="M1290" i="5" s="1"/>
  <c r="N1290" i="5" s="1"/>
  <c r="L1290" i="4"/>
  <c r="P1289" i="4"/>
  <c r="O1289" i="4"/>
  <c r="N1289" i="4"/>
  <c r="M1289" i="4"/>
  <c r="M1289" i="5" s="1"/>
  <c r="N1289" i="5" s="1"/>
  <c r="L1289" i="4"/>
  <c r="P1288" i="4"/>
  <c r="O1288" i="4"/>
  <c r="N1288" i="4"/>
  <c r="M1288" i="4"/>
  <c r="M1288" i="5" s="1"/>
  <c r="N1288" i="5" s="1"/>
  <c r="L1288" i="4"/>
  <c r="P1287" i="4"/>
  <c r="O1287" i="4"/>
  <c r="N1287" i="4"/>
  <c r="M1287" i="4"/>
  <c r="M1287" i="5" s="1"/>
  <c r="N1287" i="5" s="1"/>
  <c r="L1287" i="4"/>
  <c r="P1286" i="4"/>
  <c r="O1286" i="4"/>
  <c r="N1286" i="4"/>
  <c r="M1286" i="4"/>
  <c r="M1286" i="5" s="1"/>
  <c r="N1286" i="5" s="1"/>
  <c r="L1286" i="4"/>
  <c r="P1285" i="4"/>
  <c r="O1285" i="4"/>
  <c r="N1285" i="4"/>
  <c r="M1285" i="4"/>
  <c r="M1285" i="5" s="1"/>
  <c r="N1285" i="5" s="1"/>
  <c r="L1285" i="4"/>
  <c r="P1284" i="4"/>
  <c r="O1284" i="4"/>
  <c r="N1284" i="4"/>
  <c r="M1284" i="4"/>
  <c r="M1284" i="5" s="1"/>
  <c r="N1284" i="5" s="1"/>
  <c r="L1284" i="4"/>
  <c r="P1283" i="4"/>
  <c r="O1283" i="4"/>
  <c r="N1283" i="4"/>
  <c r="M1283" i="4"/>
  <c r="M1283" i="5" s="1"/>
  <c r="N1283" i="5" s="1"/>
  <c r="L1283" i="4"/>
  <c r="P1282" i="4"/>
  <c r="O1282" i="4"/>
  <c r="N1282" i="4"/>
  <c r="M1282" i="4"/>
  <c r="M1282" i="5" s="1"/>
  <c r="N1282" i="5" s="1"/>
  <c r="L1282" i="4"/>
  <c r="P1281" i="4"/>
  <c r="O1281" i="4"/>
  <c r="N1281" i="4"/>
  <c r="M1281" i="4"/>
  <c r="M1281" i="5" s="1"/>
  <c r="N1281" i="5" s="1"/>
  <c r="L1281" i="4"/>
  <c r="P1280" i="4"/>
  <c r="O1280" i="4"/>
  <c r="N1280" i="4"/>
  <c r="M1280" i="4"/>
  <c r="M1280" i="5" s="1"/>
  <c r="N1280" i="5" s="1"/>
  <c r="L1280" i="4"/>
  <c r="P1279" i="4"/>
  <c r="O1279" i="4"/>
  <c r="N1279" i="4"/>
  <c r="M1279" i="4"/>
  <c r="M1279" i="5" s="1"/>
  <c r="N1279" i="5" s="1"/>
  <c r="L1279" i="4"/>
  <c r="P1278" i="4"/>
  <c r="O1278" i="4"/>
  <c r="N1278" i="4"/>
  <c r="M1278" i="4"/>
  <c r="M1278" i="5" s="1"/>
  <c r="N1278" i="5" s="1"/>
  <c r="L1278" i="4"/>
  <c r="P1277" i="4"/>
  <c r="O1277" i="4"/>
  <c r="N1277" i="4"/>
  <c r="M1277" i="4"/>
  <c r="M1277" i="5" s="1"/>
  <c r="N1277" i="5" s="1"/>
  <c r="L1277" i="4"/>
  <c r="P1276" i="4"/>
  <c r="O1276" i="4"/>
  <c r="N1276" i="4"/>
  <c r="M1276" i="4"/>
  <c r="M1276" i="5" s="1"/>
  <c r="N1276" i="5" s="1"/>
  <c r="L1276" i="4"/>
  <c r="P1275" i="4"/>
  <c r="O1275" i="4"/>
  <c r="N1275" i="4"/>
  <c r="M1275" i="4"/>
  <c r="M1275" i="5" s="1"/>
  <c r="N1275" i="5" s="1"/>
  <c r="L1275" i="4"/>
  <c r="P1274" i="4"/>
  <c r="O1274" i="4"/>
  <c r="N1274" i="4"/>
  <c r="M1274" i="4"/>
  <c r="M1274" i="5" s="1"/>
  <c r="N1274" i="5" s="1"/>
  <c r="L1274" i="4"/>
  <c r="P1273" i="4"/>
  <c r="O1273" i="4"/>
  <c r="N1273" i="4"/>
  <c r="M1273" i="4"/>
  <c r="M1273" i="5" s="1"/>
  <c r="N1273" i="5" s="1"/>
  <c r="L1273" i="4"/>
  <c r="P1272" i="4"/>
  <c r="O1272" i="4"/>
  <c r="N1272" i="4"/>
  <c r="M1272" i="4"/>
  <c r="M1272" i="5" s="1"/>
  <c r="N1272" i="5" s="1"/>
  <c r="L1272" i="4"/>
  <c r="P1271" i="4"/>
  <c r="O1271" i="4"/>
  <c r="N1271" i="4"/>
  <c r="M1271" i="4"/>
  <c r="M1271" i="5" s="1"/>
  <c r="N1271" i="5" s="1"/>
  <c r="L1271" i="4"/>
  <c r="P1270" i="4"/>
  <c r="O1270" i="4"/>
  <c r="N1270" i="4"/>
  <c r="M1270" i="4"/>
  <c r="M1270" i="5" s="1"/>
  <c r="N1270" i="5" s="1"/>
  <c r="L1270" i="4"/>
  <c r="P1269" i="4"/>
  <c r="O1269" i="4"/>
  <c r="N1269" i="4"/>
  <c r="M1269" i="4"/>
  <c r="M1269" i="5" s="1"/>
  <c r="N1269" i="5" s="1"/>
  <c r="L1269" i="4"/>
  <c r="P1268" i="4"/>
  <c r="O1268" i="4"/>
  <c r="N1268" i="4"/>
  <c r="M1268" i="4"/>
  <c r="M1268" i="5" s="1"/>
  <c r="N1268" i="5" s="1"/>
  <c r="L1268" i="4"/>
  <c r="P1267" i="4"/>
  <c r="O1267" i="4"/>
  <c r="N1267" i="4"/>
  <c r="M1267" i="4"/>
  <c r="M1267" i="5" s="1"/>
  <c r="N1267" i="5" s="1"/>
  <c r="L1267" i="4"/>
  <c r="P1266" i="4"/>
  <c r="O1266" i="4"/>
  <c r="N1266" i="4"/>
  <c r="M1266" i="4"/>
  <c r="M1266" i="5" s="1"/>
  <c r="N1266" i="5" s="1"/>
  <c r="L1266" i="4"/>
  <c r="P1265" i="4"/>
  <c r="O1265" i="4"/>
  <c r="N1265" i="4"/>
  <c r="M1265" i="4"/>
  <c r="M1265" i="5" s="1"/>
  <c r="N1265" i="5" s="1"/>
  <c r="L1265" i="4"/>
  <c r="P1264" i="4"/>
  <c r="O1264" i="4"/>
  <c r="N1264" i="4"/>
  <c r="M1264" i="4"/>
  <c r="M1264" i="5" s="1"/>
  <c r="N1264" i="5" s="1"/>
  <c r="L1264" i="4"/>
  <c r="P1263" i="4"/>
  <c r="O1263" i="4"/>
  <c r="N1263" i="4"/>
  <c r="M1263" i="4"/>
  <c r="M1263" i="5" s="1"/>
  <c r="N1263" i="5" s="1"/>
  <c r="L1263" i="4"/>
  <c r="P1262" i="4"/>
  <c r="O1262" i="4"/>
  <c r="N1262" i="4"/>
  <c r="M1262" i="4"/>
  <c r="M1262" i="5" s="1"/>
  <c r="N1262" i="5" s="1"/>
  <c r="L1262" i="4"/>
  <c r="P1261" i="4"/>
  <c r="O1261" i="4"/>
  <c r="N1261" i="4"/>
  <c r="M1261" i="4"/>
  <c r="M1261" i="5" s="1"/>
  <c r="N1261" i="5" s="1"/>
  <c r="L1261" i="4"/>
  <c r="P1260" i="4"/>
  <c r="O1260" i="4"/>
  <c r="N1260" i="4"/>
  <c r="M1260" i="4"/>
  <c r="M1260" i="5" s="1"/>
  <c r="N1260" i="5" s="1"/>
  <c r="L1260" i="4"/>
  <c r="P1259" i="4"/>
  <c r="O1259" i="4"/>
  <c r="N1259" i="4"/>
  <c r="M1259" i="4"/>
  <c r="M1259" i="5" s="1"/>
  <c r="N1259" i="5" s="1"/>
  <c r="L1259" i="4"/>
  <c r="P1258" i="4"/>
  <c r="O1258" i="4"/>
  <c r="N1258" i="4"/>
  <c r="M1258" i="4"/>
  <c r="M1258" i="5" s="1"/>
  <c r="N1258" i="5" s="1"/>
  <c r="L1258" i="4"/>
  <c r="P1257" i="4"/>
  <c r="O1257" i="4"/>
  <c r="N1257" i="4"/>
  <c r="M1257" i="4"/>
  <c r="M1257" i="5" s="1"/>
  <c r="N1257" i="5" s="1"/>
  <c r="L1257" i="4"/>
  <c r="P1256" i="4"/>
  <c r="O1256" i="4"/>
  <c r="N1256" i="4"/>
  <c r="M1256" i="4"/>
  <c r="M1256" i="5" s="1"/>
  <c r="N1256" i="5" s="1"/>
  <c r="L1256" i="4"/>
  <c r="P1255" i="4"/>
  <c r="O1255" i="4"/>
  <c r="N1255" i="4"/>
  <c r="M1255" i="4"/>
  <c r="M1255" i="5" s="1"/>
  <c r="N1255" i="5" s="1"/>
  <c r="L1255" i="4"/>
  <c r="P1254" i="4"/>
  <c r="O1254" i="4"/>
  <c r="N1254" i="4"/>
  <c r="M1254" i="4"/>
  <c r="M1254" i="5" s="1"/>
  <c r="N1254" i="5" s="1"/>
  <c r="L1254" i="4"/>
  <c r="P1253" i="4"/>
  <c r="O1253" i="4"/>
  <c r="N1253" i="4"/>
  <c r="M1253" i="4"/>
  <c r="M1253" i="5" s="1"/>
  <c r="N1253" i="5" s="1"/>
  <c r="L1253" i="4"/>
  <c r="P1252" i="4"/>
  <c r="O1252" i="4"/>
  <c r="N1252" i="4"/>
  <c r="M1252" i="4"/>
  <c r="M1252" i="5" s="1"/>
  <c r="N1252" i="5" s="1"/>
  <c r="L1252" i="4"/>
  <c r="P1251" i="4"/>
  <c r="O1251" i="4"/>
  <c r="N1251" i="4"/>
  <c r="M1251" i="4"/>
  <c r="M1251" i="5" s="1"/>
  <c r="N1251" i="5" s="1"/>
  <c r="L1251" i="4"/>
  <c r="P1250" i="4"/>
  <c r="O1250" i="4"/>
  <c r="N1250" i="4"/>
  <c r="M1250" i="4"/>
  <c r="M1250" i="5" s="1"/>
  <c r="N1250" i="5" s="1"/>
  <c r="L1250" i="4"/>
  <c r="P1249" i="4"/>
  <c r="O1249" i="4"/>
  <c r="N1249" i="4"/>
  <c r="M1249" i="4"/>
  <c r="M1249" i="5" s="1"/>
  <c r="N1249" i="5" s="1"/>
  <c r="L1249" i="4"/>
  <c r="P1248" i="4"/>
  <c r="O1248" i="4"/>
  <c r="N1248" i="4"/>
  <c r="M1248" i="4"/>
  <c r="M1248" i="5" s="1"/>
  <c r="N1248" i="5" s="1"/>
  <c r="L1248" i="4"/>
  <c r="P1247" i="4"/>
  <c r="O1247" i="4"/>
  <c r="N1247" i="4"/>
  <c r="M1247" i="4"/>
  <c r="M1247" i="5" s="1"/>
  <c r="N1247" i="5" s="1"/>
  <c r="L1247" i="4"/>
  <c r="P1246" i="4"/>
  <c r="O1246" i="4"/>
  <c r="N1246" i="4"/>
  <c r="M1246" i="4"/>
  <c r="M1246" i="5" s="1"/>
  <c r="N1246" i="5" s="1"/>
  <c r="L1246" i="4"/>
  <c r="P1245" i="4"/>
  <c r="O1245" i="4"/>
  <c r="N1245" i="4"/>
  <c r="M1245" i="4"/>
  <c r="M1245" i="5" s="1"/>
  <c r="N1245" i="5" s="1"/>
  <c r="L1245" i="4"/>
  <c r="P1244" i="4"/>
  <c r="O1244" i="4"/>
  <c r="N1244" i="4"/>
  <c r="M1244" i="4"/>
  <c r="M1244" i="5" s="1"/>
  <c r="N1244" i="5" s="1"/>
  <c r="L1244" i="4"/>
  <c r="P1243" i="4"/>
  <c r="O1243" i="4"/>
  <c r="N1243" i="4"/>
  <c r="M1243" i="4"/>
  <c r="M1243" i="5" s="1"/>
  <c r="N1243" i="5" s="1"/>
  <c r="L1243" i="4"/>
  <c r="P1242" i="4"/>
  <c r="O1242" i="4"/>
  <c r="N1242" i="4"/>
  <c r="M1242" i="4"/>
  <c r="M1242" i="5" s="1"/>
  <c r="N1242" i="5" s="1"/>
  <c r="L1242" i="4"/>
  <c r="P1241" i="4"/>
  <c r="O1241" i="4"/>
  <c r="N1241" i="4"/>
  <c r="M1241" i="4"/>
  <c r="M1241" i="5" s="1"/>
  <c r="N1241" i="5" s="1"/>
  <c r="L1241" i="4"/>
  <c r="P1240" i="4"/>
  <c r="O1240" i="4"/>
  <c r="N1240" i="4"/>
  <c r="M1240" i="4"/>
  <c r="M1240" i="5" s="1"/>
  <c r="N1240" i="5" s="1"/>
  <c r="L1240" i="4"/>
  <c r="P1239" i="4"/>
  <c r="O1239" i="4"/>
  <c r="N1239" i="4"/>
  <c r="M1239" i="4"/>
  <c r="M1239" i="5" s="1"/>
  <c r="N1239" i="5" s="1"/>
  <c r="L1239" i="4"/>
  <c r="P1238" i="4"/>
  <c r="O1238" i="4"/>
  <c r="N1238" i="4"/>
  <c r="M1238" i="4"/>
  <c r="M1238" i="5" s="1"/>
  <c r="N1238" i="5" s="1"/>
  <c r="L1238" i="4"/>
  <c r="P1237" i="4"/>
  <c r="O1237" i="4"/>
  <c r="N1237" i="4"/>
  <c r="M1237" i="4"/>
  <c r="M1237" i="5" s="1"/>
  <c r="N1237" i="5" s="1"/>
  <c r="L1237" i="4"/>
  <c r="P1236" i="4"/>
  <c r="O1236" i="4"/>
  <c r="N1236" i="4"/>
  <c r="M1236" i="4"/>
  <c r="M1236" i="5" s="1"/>
  <c r="N1236" i="5" s="1"/>
  <c r="L1236" i="4"/>
  <c r="P1235" i="4"/>
  <c r="O1235" i="4"/>
  <c r="N1235" i="4"/>
  <c r="M1235" i="4"/>
  <c r="M1235" i="5" s="1"/>
  <c r="N1235" i="5" s="1"/>
  <c r="L1235" i="4"/>
  <c r="P1234" i="4"/>
  <c r="O1234" i="4"/>
  <c r="N1234" i="4"/>
  <c r="M1234" i="4"/>
  <c r="M1234" i="5" s="1"/>
  <c r="N1234" i="5" s="1"/>
  <c r="L1234" i="4"/>
  <c r="P1233" i="4"/>
  <c r="O1233" i="4"/>
  <c r="N1233" i="4"/>
  <c r="M1233" i="4"/>
  <c r="M1233" i="5" s="1"/>
  <c r="N1233" i="5" s="1"/>
  <c r="L1233" i="4"/>
  <c r="P1232" i="4"/>
  <c r="O1232" i="4"/>
  <c r="N1232" i="4"/>
  <c r="M1232" i="4"/>
  <c r="M1232" i="5" s="1"/>
  <c r="N1232" i="5" s="1"/>
  <c r="L1232" i="4"/>
  <c r="P1231" i="4"/>
  <c r="O1231" i="4"/>
  <c r="N1231" i="4"/>
  <c r="M1231" i="4"/>
  <c r="M1231" i="5" s="1"/>
  <c r="N1231" i="5" s="1"/>
  <c r="L1231" i="4"/>
  <c r="P1230" i="4"/>
  <c r="O1230" i="4"/>
  <c r="N1230" i="4"/>
  <c r="M1230" i="4"/>
  <c r="M1230" i="5" s="1"/>
  <c r="N1230" i="5" s="1"/>
  <c r="L1230" i="4"/>
  <c r="P1229" i="4"/>
  <c r="O1229" i="4"/>
  <c r="N1229" i="4"/>
  <c r="M1229" i="4"/>
  <c r="M1229" i="5" s="1"/>
  <c r="N1229" i="5" s="1"/>
  <c r="L1229" i="4"/>
  <c r="P1228" i="4"/>
  <c r="O1228" i="4"/>
  <c r="N1228" i="4"/>
  <c r="M1228" i="4"/>
  <c r="M1228" i="5" s="1"/>
  <c r="N1228" i="5" s="1"/>
  <c r="L1228" i="4"/>
  <c r="P1227" i="4"/>
  <c r="O1227" i="4"/>
  <c r="N1227" i="4"/>
  <c r="M1227" i="4"/>
  <c r="M1227" i="5" s="1"/>
  <c r="N1227" i="5" s="1"/>
  <c r="L1227" i="4"/>
  <c r="P1226" i="4"/>
  <c r="O1226" i="4"/>
  <c r="N1226" i="4"/>
  <c r="M1226" i="4"/>
  <c r="M1226" i="5" s="1"/>
  <c r="N1226" i="5" s="1"/>
  <c r="L1226" i="4"/>
  <c r="P1225" i="4"/>
  <c r="O1225" i="4"/>
  <c r="N1225" i="4"/>
  <c r="M1225" i="4"/>
  <c r="M1225" i="5" s="1"/>
  <c r="N1225" i="5" s="1"/>
  <c r="L1225" i="4"/>
  <c r="P1224" i="4"/>
  <c r="O1224" i="4"/>
  <c r="N1224" i="4"/>
  <c r="M1224" i="4"/>
  <c r="M1224" i="5" s="1"/>
  <c r="N1224" i="5" s="1"/>
  <c r="L1224" i="4"/>
  <c r="P1223" i="4"/>
  <c r="O1223" i="4"/>
  <c r="N1223" i="4"/>
  <c r="M1223" i="4"/>
  <c r="M1223" i="5" s="1"/>
  <c r="N1223" i="5" s="1"/>
  <c r="L1223" i="4"/>
  <c r="P1222" i="4"/>
  <c r="O1222" i="4"/>
  <c r="N1222" i="4"/>
  <c r="M1222" i="4"/>
  <c r="M1222" i="5" s="1"/>
  <c r="N1222" i="5" s="1"/>
  <c r="L1222" i="4"/>
  <c r="P1221" i="4"/>
  <c r="O1221" i="4"/>
  <c r="N1221" i="4"/>
  <c r="M1221" i="4"/>
  <c r="M1221" i="5" s="1"/>
  <c r="N1221" i="5" s="1"/>
  <c r="L1221" i="4"/>
  <c r="P1220" i="4"/>
  <c r="O1220" i="4"/>
  <c r="N1220" i="4"/>
  <c r="M1220" i="4"/>
  <c r="M1220" i="5" s="1"/>
  <c r="N1220" i="5" s="1"/>
  <c r="L1220" i="4"/>
  <c r="P1219" i="4"/>
  <c r="O1219" i="4"/>
  <c r="N1219" i="4"/>
  <c r="M1219" i="4"/>
  <c r="M1219" i="5" s="1"/>
  <c r="N1219" i="5" s="1"/>
  <c r="L1219" i="4"/>
  <c r="P1218" i="4"/>
  <c r="O1218" i="4"/>
  <c r="N1218" i="4"/>
  <c r="M1218" i="4"/>
  <c r="M1218" i="5" s="1"/>
  <c r="N1218" i="5" s="1"/>
  <c r="L1218" i="4"/>
  <c r="P1217" i="4"/>
  <c r="O1217" i="4"/>
  <c r="N1217" i="4"/>
  <c r="M1217" i="4"/>
  <c r="M1217" i="5" s="1"/>
  <c r="N1217" i="5" s="1"/>
  <c r="L1217" i="4"/>
  <c r="P1216" i="4"/>
  <c r="O1216" i="4"/>
  <c r="N1216" i="4"/>
  <c r="M1216" i="4"/>
  <c r="M1216" i="5" s="1"/>
  <c r="N1216" i="5" s="1"/>
  <c r="L1216" i="4"/>
  <c r="P1215" i="4"/>
  <c r="O1215" i="4"/>
  <c r="N1215" i="4"/>
  <c r="M1215" i="4"/>
  <c r="M1215" i="5" s="1"/>
  <c r="N1215" i="5" s="1"/>
  <c r="L1215" i="4"/>
  <c r="P1214" i="4"/>
  <c r="O1214" i="4"/>
  <c r="N1214" i="4"/>
  <c r="M1214" i="4"/>
  <c r="M1214" i="5" s="1"/>
  <c r="N1214" i="5" s="1"/>
  <c r="L1214" i="4"/>
  <c r="P1213" i="4"/>
  <c r="O1213" i="4"/>
  <c r="N1213" i="4"/>
  <c r="M1213" i="4"/>
  <c r="M1213" i="5" s="1"/>
  <c r="N1213" i="5" s="1"/>
  <c r="L1213" i="4"/>
  <c r="P1212" i="4"/>
  <c r="O1212" i="4"/>
  <c r="N1212" i="4"/>
  <c r="M1212" i="4"/>
  <c r="M1212" i="5" s="1"/>
  <c r="N1212" i="5" s="1"/>
  <c r="L1212" i="4"/>
  <c r="P1211" i="4"/>
  <c r="O1211" i="4"/>
  <c r="N1211" i="4"/>
  <c r="M1211" i="4"/>
  <c r="M1211" i="5" s="1"/>
  <c r="N1211" i="5" s="1"/>
  <c r="L1211" i="4"/>
  <c r="P1210" i="4"/>
  <c r="O1210" i="4"/>
  <c r="N1210" i="4"/>
  <c r="M1210" i="4"/>
  <c r="M1210" i="5" s="1"/>
  <c r="N1210" i="5" s="1"/>
  <c r="L1210" i="4"/>
  <c r="P1209" i="4"/>
  <c r="O1209" i="4"/>
  <c r="N1209" i="4"/>
  <c r="M1209" i="4"/>
  <c r="M1209" i="5" s="1"/>
  <c r="N1209" i="5" s="1"/>
  <c r="L1209" i="4"/>
  <c r="P1208" i="4"/>
  <c r="O1208" i="4"/>
  <c r="N1208" i="4"/>
  <c r="M1208" i="4"/>
  <c r="M1208" i="5" s="1"/>
  <c r="N1208" i="5" s="1"/>
  <c r="L1208" i="4"/>
  <c r="P1207" i="4"/>
  <c r="O1207" i="4"/>
  <c r="N1207" i="4"/>
  <c r="M1207" i="4"/>
  <c r="M1207" i="5" s="1"/>
  <c r="N1207" i="5" s="1"/>
  <c r="L1207" i="4"/>
  <c r="P1206" i="4"/>
  <c r="O1206" i="4"/>
  <c r="N1206" i="4"/>
  <c r="M1206" i="4"/>
  <c r="M1206" i="5" s="1"/>
  <c r="N1206" i="5" s="1"/>
  <c r="L1206" i="4"/>
  <c r="P1205" i="4"/>
  <c r="O1205" i="4"/>
  <c r="N1205" i="4"/>
  <c r="M1205" i="4"/>
  <c r="M1205" i="5" s="1"/>
  <c r="N1205" i="5" s="1"/>
  <c r="L1205" i="4"/>
  <c r="P1204" i="4"/>
  <c r="O1204" i="4"/>
  <c r="N1204" i="4"/>
  <c r="M1204" i="4"/>
  <c r="M1204" i="5" s="1"/>
  <c r="N1204" i="5" s="1"/>
  <c r="L1204" i="4"/>
  <c r="P1203" i="4"/>
  <c r="O1203" i="4"/>
  <c r="N1203" i="4"/>
  <c r="M1203" i="4"/>
  <c r="M1203" i="5" s="1"/>
  <c r="N1203" i="5" s="1"/>
  <c r="L1203" i="4"/>
  <c r="P1202" i="4"/>
  <c r="O1202" i="4"/>
  <c r="N1202" i="4"/>
  <c r="M1202" i="4"/>
  <c r="M1202" i="5" s="1"/>
  <c r="N1202" i="5" s="1"/>
  <c r="L1202" i="4"/>
  <c r="P1201" i="4"/>
  <c r="O1201" i="4"/>
  <c r="N1201" i="4"/>
  <c r="M1201" i="4"/>
  <c r="M1201" i="5" s="1"/>
  <c r="N1201" i="5" s="1"/>
  <c r="L1201" i="4"/>
  <c r="P1200" i="4"/>
  <c r="O1200" i="4"/>
  <c r="N1200" i="4"/>
  <c r="M1200" i="4"/>
  <c r="M1200" i="5" s="1"/>
  <c r="N1200" i="5" s="1"/>
  <c r="L1200" i="4"/>
  <c r="P1199" i="4"/>
  <c r="O1199" i="4"/>
  <c r="N1199" i="4"/>
  <c r="M1199" i="4"/>
  <c r="M1199" i="5" s="1"/>
  <c r="N1199" i="5" s="1"/>
  <c r="L1199" i="4"/>
  <c r="P1198" i="4"/>
  <c r="O1198" i="4"/>
  <c r="N1198" i="4"/>
  <c r="M1198" i="4"/>
  <c r="M1198" i="5" s="1"/>
  <c r="N1198" i="5" s="1"/>
  <c r="L1198" i="4"/>
  <c r="P1197" i="4"/>
  <c r="O1197" i="4"/>
  <c r="N1197" i="4"/>
  <c r="M1197" i="4"/>
  <c r="M1197" i="5" s="1"/>
  <c r="N1197" i="5" s="1"/>
  <c r="L1197" i="4"/>
  <c r="P1196" i="4"/>
  <c r="O1196" i="4"/>
  <c r="N1196" i="4"/>
  <c r="M1196" i="4"/>
  <c r="M1196" i="5" s="1"/>
  <c r="N1196" i="5" s="1"/>
  <c r="L1196" i="4"/>
  <c r="P1195" i="4"/>
  <c r="O1195" i="4"/>
  <c r="N1195" i="4"/>
  <c r="M1195" i="4"/>
  <c r="M1195" i="5" s="1"/>
  <c r="N1195" i="5" s="1"/>
  <c r="L1195" i="4"/>
  <c r="P1194" i="4"/>
  <c r="O1194" i="4"/>
  <c r="N1194" i="4"/>
  <c r="M1194" i="4"/>
  <c r="M1194" i="5" s="1"/>
  <c r="N1194" i="5" s="1"/>
  <c r="L1194" i="4"/>
  <c r="P1193" i="4"/>
  <c r="O1193" i="4"/>
  <c r="N1193" i="4"/>
  <c r="M1193" i="4"/>
  <c r="M1193" i="5" s="1"/>
  <c r="N1193" i="5" s="1"/>
  <c r="L1193" i="4"/>
  <c r="P1192" i="4"/>
  <c r="O1192" i="4"/>
  <c r="N1192" i="4"/>
  <c r="M1192" i="4"/>
  <c r="M1192" i="5" s="1"/>
  <c r="N1192" i="5" s="1"/>
  <c r="L1192" i="4"/>
  <c r="P1191" i="4"/>
  <c r="O1191" i="4"/>
  <c r="N1191" i="4"/>
  <c r="M1191" i="4"/>
  <c r="M1191" i="5" s="1"/>
  <c r="N1191" i="5" s="1"/>
  <c r="L1191" i="4"/>
  <c r="P1190" i="4"/>
  <c r="O1190" i="4"/>
  <c r="N1190" i="4"/>
  <c r="M1190" i="4"/>
  <c r="M1190" i="5" s="1"/>
  <c r="N1190" i="5" s="1"/>
  <c r="L1190" i="4"/>
  <c r="P1189" i="4"/>
  <c r="O1189" i="4"/>
  <c r="N1189" i="4"/>
  <c r="M1189" i="4"/>
  <c r="M1189" i="5" s="1"/>
  <c r="N1189" i="5" s="1"/>
  <c r="L1189" i="4"/>
  <c r="P1188" i="4"/>
  <c r="O1188" i="4"/>
  <c r="N1188" i="4"/>
  <c r="M1188" i="4"/>
  <c r="M1188" i="5" s="1"/>
  <c r="N1188" i="5" s="1"/>
  <c r="L1188" i="4"/>
  <c r="P1187" i="4"/>
  <c r="O1187" i="4"/>
  <c r="N1187" i="4"/>
  <c r="M1187" i="4"/>
  <c r="M1187" i="5" s="1"/>
  <c r="N1187" i="5" s="1"/>
  <c r="L1187" i="4"/>
  <c r="P1186" i="4"/>
  <c r="O1186" i="4"/>
  <c r="N1186" i="4"/>
  <c r="M1186" i="4"/>
  <c r="M1186" i="5" s="1"/>
  <c r="N1186" i="5" s="1"/>
  <c r="L1186" i="4"/>
  <c r="P1185" i="4"/>
  <c r="O1185" i="4"/>
  <c r="N1185" i="4"/>
  <c r="M1185" i="4"/>
  <c r="M1185" i="5" s="1"/>
  <c r="N1185" i="5" s="1"/>
  <c r="L1185" i="4"/>
  <c r="P1184" i="4"/>
  <c r="O1184" i="4"/>
  <c r="N1184" i="4"/>
  <c r="M1184" i="4"/>
  <c r="M1184" i="5" s="1"/>
  <c r="N1184" i="5" s="1"/>
  <c r="L1184" i="4"/>
  <c r="P1183" i="4"/>
  <c r="O1183" i="4"/>
  <c r="N1183" i="4"/>
  <c r="M1183" i="4"/>
  <c r="M1183" i="5" s="1"/>
  <c r="N1183" i="5" s="1"/>
  <c r="L1183" i="4"/>
  <c r="P1182" i="4"/>
  <c r="O1182" i="4"/>
  <c r="N1182" i="4"/>
  <c r="M1182" i="4"/>
  <c r="M1182" i="5" s="1"/>
  <c r="N1182" i="5" s="1"/>
  <c r="L1182" i="4"/>
  <c r="P1181" i="4"/>
  <c r="O1181" i="4"/>
  <c r="N1181" i="4"/>
  <c r="M1181" i="4"/>
  <c r="M1181" i="5" s="1"/>
  <c r="N1181" i="5" s="1"/>
  <c r="L1181" i="4"/>
  <c r="P1180" i="4"/>
  <c r="O1180" i="4"/>
  <c r="N1180" i="4"/>
  <c r="M1180" i="4"/>
  <c r="M1180" i="5" s="1"/>
  <c r="N1180" i="5" s="1"/>
  <c r="L1180" i="4"/>
  <c r="P1179" i="4"/>
  <c r="O1179" i="4"/>
  <c r="N1179" i="4"/>
  <c r="M1179" i="4"/>
  <c r="M1179" i="5" s="1"/>
  <c r="N1179" i="5" s="1"/>
  <c r="L1179" i="4"/>
  <c r="P1178" i="4"/>
  <c r="O1178" i="4"/>
  <c r="N1178" i="4"/>
  <c r="M1178" i="4"/>
  <c r="M1178" i="5" s="1"/>
  <c r="N1178" i="5" s="1"/>
  <c r="L1178" i="4"/>
  <c r="P1177" i="4"/>
  <c r="O1177" i="4"/>
  <c r="N1177" i="4"/>
  <c r="M1177" i="4"/>
  <c r="M1177" i="5" s="1"/>
  <c r="N1177" i="5" s="1"/>
  <c r="L1177" i="4"/>
  <c r="P1176" i="4"/>
  <c r="O1176" i="4"/>
  <c r="N1176" i="4"/>
  <c r="M1176" i="4"/>
  <c r="M1176" i="5" s="1"/>
  <c r="N1176" i="5" s="1"/>
  <c r="L1176" i="4"/>
  <c r="P1175" i="4"/>
  <c r="O1175" i="4"/>
  <c r="N1175" i="4"/>
  <c r="M1175" i="4"/>
  <c r="M1175" i="5" s="1"/>
  <c r="N1175" i="5" s="1"/>
  <c r="L1175" i="4"/>
  <c r="P1174" i="4"/>
  <c r="O1174" i="4"/>
  <c r="N1174" i="4"/>
  <c r="M1174" i="4"/>
  <c r="M1174" i="5" s="1"/>
  <c r="N1174" i="5" s="1"/>
  <c r="L1174" i="4"/>
  <c r="P1173" i="4"/>
  <c r="O1173" i="4"/>
  <c r="N1173" i="4"/>
  <c r="M1173" i="4"/>
  <c r="M1173" i="5" s="1"/>
  <c r="N1173" i="5" s="1"/>
  <c r="L1173" i="4"/>
  <c r="P1172" i="4"/>
  <c r="O1172" i="4"/>
  <c r="N1172" i="4"/>
  <c r="M1172" i="4"/>
  <c r="M1172" i="5" s="1"/>
  <c r="N1172" i="5" s="1"/>
  <c r="L1172" i="4"/>
  <c r="P1171" i="4"/>
  <c r="O1171" i="4"/>
  <c r="N1171" i="4"/>
  <c r="M1171" i="4"/>
  <c r="M1171" i="5" s="1"/>
  <c r="N1171" i="5" s="1"/>
  <c r="L1171" i="4"/>
  <c r="P1170" i="4"/>
  <c r="O1170" i="4"/>
  <c r="N1170" i="4"/>
  <c r="M1170" i="4"/>
  <c r="M1170" i="5" s="1"/>
  <c r="N1170" i="5" s="1"/>
  <c r="L1170" i="4"/>
  <c r="P1169" i="4"/>
  <c r="O1169" i="4"/>
  <c r="N1169" i="4"/>
  <c r="M1169" i="4"/>
  <c r="M1169" i="5" s="1"/>
  <c r="N1169" i="5" s="1"/>
  <c r="L1169" i="4"/>
  <c r="P1168" i="4"/>
  <c r="O1168" i="4"/>
  <c r="N1168" i="4"/>
  <c r="M1168" i="4"/>
  <c r="M1168" i="5" s="1"/>
  <c r="N1168" i="5" s="1"/>
  <c r="L1168" i="4"/>
  <c r="P1167" i="4"/>
  <c r="O1167" i="4"/>
  <c r="N1167" i="4"/>
  <c r="M1167" i="4"/>
  <c r="M1167" i="5" s="1"/>
  <c r="N1167" i="5" s="1"/>
  <c r="L1167" i="4"/>
  <c r="P1166" i="4"/>
  <c r="O1166" i="4"/>
  <c r="N1166" i="4"/>
  <c r="M1166" i="4"/>
  <c r="M1166" i="5" s="1"/>
  <c r="N1166" i="5" s="1"/>
  <c r="L1166" i="4"/>
  <c r="P1165" i="4"/>
  <c r="O1165" i="4"/>
  <c r="N1165" i="4"/>
  <c r="M1165" i="4"/>
  <c r="M1165" i="5" s="1"/>
  <c r="N1165" i="5" s="1"/>
  <c r="L1165" i="4"/>
  <c r="P1164" i="4"/>
  <c r="O1164" i="4"/>
  <c r="N1164" i="4"/>
  <c r="M1164" i="4"/>
  <c r="M1164" i="5" s="1"/>
  <c r="N1164" i="5" s="1"/>
  <c r="L1164" i="4"/>
  <c r="P1163" i="4"/>
  <c r="O1163" i="4"/>
  <c r="N1163" i="4"/>
  <c r="M1163" i="4"/>
  <c r="M1163" i="5" s="1"/>
  <c r="N1163" i="5" s="1"/>
  <c r="L1163" i="4"/>
  <c r="P1162" i="4"/>
  <c r="O1162" i="4"/>
  <c r="N1162" i="4"/>
  <c r="M1162" i="4"/>
  <c r="M1162" i="5" s="1"/>
  <c r="N1162" i="5" s="1"/>
  <c r="L1162" i="4"/>
  <c r="P1161" i="4"/>
  <c r="O1161" i="4"/>
  <c r="N1161" i="4"/>
  <c r="M1161" i="4"/>
  <c r="M1161" i="5" s="1"/>
  <c r="N1161" i="5" s="1"/>
  <c r="L1161" i="4"/>
  <c r="P1160" i="4"/>
  <c r="O1160" i="4"/>
  <c r="N1160" i="4"/>
  <c r="M1160" i="4"/>
  <c r="M1160" i="5" s="1"/>
  <c r="N1160" i="5" s="1"/>
  <c r="L1160" i="4"/>
  <c r="P1159" i="4"/>
  <c r="O1159" i="4"/>
  <c r="N1159" i="4"/>
  <c r="M1159" i="4"/>
  <c r="M1159" i="5" s="1"/>
  <c r="N1159" i="5" s="1"/>
  <c r="L1159" i="4"/>
  <c r="P1158" i="4"/>
  <c r="O1158" i="4"/>
  <c r="N1158" i="4"/>
  <c r="M1158" i="4"/>
  <c r="M1158" i="5" s="1"/>
  <c r="N1158" i="5" s="1"/>
  <c r="L1158" i="4"/>
  <c r="P1157" i="4"/>
  <c r="O1157" i="4"/>
  <c r="N1157" i="4"/>
  <c r="M1157" i="4"/>
  <c r="M1157" i="5" s="1"/>
  <c r="N1157" i="5" s="1"/>
  <c r="L1157" i="4"/>
  <c r="P1156" i="4"/>
  <c r="O1156" i="4"/>
  <c r="N1156" i="4"/>
  <c r="M1156" i="4"/>
  <c r="M1156" i="5" s="1"/>
  <c r="N1156" i="5" s="1"/>
  <c r="L1156" i="4"/>
  <c r="P1155" i="4"/>
  <c r="O1155" i="4"/>
  <c r="N1155" i="4"/>
  <c r="M1155" i="4"/>
  <c r="M1155" i="5" s="1"/>
  <c r="N1155" i="5" s="1"/>
  <c r="L1155" i="4"/>
  <c r="P1154" i="4"/>
  <c r="O1154" i="4"/>
  <c r="N1154" i="4"/>
  <c r="M1154" i="4"/>
  <c r="M1154" i="5" s="1"/>
  <c r="N1154" i="5" s="1"/>
  <c r="L1154" i="4"/>
  <c r="P1153" i="4"/>
  <c r="O1153" i="4"/>
  <c r="N1153" i="4"/>
  <c r="M1153" i="4"/>
  <c r="M1153" i="5" s="1"/>
  <c r="N1153" i="5" s="1"/>
  <c r="L1153" i="4"/>
  <c r="P1152" i="4"/>
  <c r="O1152" i="4"/>
  <c r="N1152" i="4"/>
  <c r="M1152" i="4"/>
  <c r="M1152" i="5" s="1"/>
  <c r="N1152" i="5" s="1"/>
  <c r="L1152" i="4"/>
  <c r="P1151" i="4"/>
  <c r="O1151" i="4"/>
  <c r="N1151" i="4"/>
  <c r="M1151" i="4"/>
  <c r="M1151" i="5" s="1"/>
  <c r="N1151" i="5" s="1"/>
  <c r="L1151" i="4"/>
  <c r="P1150" i="4"/>
  <c r="O1150" i="4"/>
  <c r="N1150" i="4"/>
  <c r="M1150" i="4"/>
  <c r="M1150" i="5" s="1"/>
  <c r="N1150" i="5" s="1"/>
  <c r="L1150" i="4"/>
  <c r="P1149" i="4"/>
  <c r="O1149" i="4"/>
  <c r="N1149" i="4"/>
  <c r="M1149" i="4"/>
  <c r="M1149" i="5" s="1"/>
  <c r="N1149" i="5" s="1"/>
  <c r="L1149" i="4"/>
  <c r="P1148" i="4"/>
  <c r="O1148" i="4"/>
  <c r="N1148" i="4"/>
  <c r="M1148" i="4"/>
  <c r="M1148" i="5" s="1"/>
  <c r="N1148" i="5" s="1"/>
  <c r="L1148" i="4"/>
  <c r="P1147" i="4"/>
  <c r="O1147" i="4"/>
  <c r="N1147" i="4"/>
  <c r="M1147" i="4"/>
  <c r="M1147" i="5" s="1"/>
  <c r="N1147" i="5" s="1"/>
  <c r="L1147" i="4"/>
  <c r="P1146" i="4"/>
  <c r="O1146" i="4"/>
  <c r="N1146" i="4"/>
  <c r="M1146" i="4"/>
  <c r="M1146" i="5" s="1"/>
  <c r="N1146" i="5" s="1"/>
  <c r="L1146" i="4"/>
  <c r="P1145" i="4"/>
  <c r="O1145" i="4"/>
  <c r="N1145" i="4"/>
  <c r="M1145" i="4"/>
  <c r="M1145" i="5" s="1"/>
  <c r="N1145" i="5" s="1"/>
  <c r="L1145" i="4"/>
  <c r="P1144" i="4"/>
  <c r="O1144" i="4"/>
  <c r="N1144" i="4"/>
  <c r="M1144" i="4"/>
  <c r="M1144" i="5" s="1"/>
  <c r="N1144" i="5" s="1"/>
  <c r="L1144" i="4"/>
  <c r="P1143" i="4"/>
  <c r="O1143" i="4"/>
  <c r="N1143" i="4"/>
  <c r="M1143" i="4"/>
  <c r="M1143" i="5" s="1"/>
  <c r="N1143" i="5" s="1"/>
  <c r="L1143" i="4"/>
  <c r="P1142" i="4"/>
  <c r="O1142" i="4"/>
  <c r="N1142" i="4"/>
  <c r="M1142" i="4"/>
  <c r="M1142" i="5" s="1"/>
  <c r="N1142" i="5" s="1"/>
  <c r="L1142" i="4"/>
  <c r="P1141" i="4"/>
  <c r="O1141" i="4"/>
  <c r="N1141" i="4"/>
  <c r="M1141" i="4"/>
  <c r="M1141" i="5" s="1"/>
  <c r="N1141" i="5" s="1"/>
  <c r="L1141" i="4"/>
  <c r="P1140" i="4"/>
  <c r="O1140" i="4"/>
  <c r="N1140" i="4"/>
  <c r="M1140" i="4"/>
  <c r="M1140" i="5" s="1"/>
  <c r="N1140" i="5" s="1"/>
  <c r="L1140" i="4"/>
  <c r="P1139" i="4"/>
  <c r="O1139" i="4"/>
  <c r="N1139" i="4"/>
  <c r="M1139" i="4"/>
  <c r="M1139" i="5" s="1"/>
  <c r="N1139" i="5" s="1"/>
  <c r="L1139" i="4"/>
  <c r="P1138" i="4"/>
  <c r="O1138" i="4"/>
  <c r="N1138" i="4"/>
  <c r="M1138" i="4"/>
  <c r="M1138" i="5" s="1"/>
  <c r="N1138" i="5" s="1"/>
  <c r="L1138" i="4"/>
  <c r="P1137" i="4"/>
  <c r="O1137" i="4"/>
  <c r="N1137" i="4"/>
  <c r="M1137" i="4"/>
  <c r="M1137" i="5" s="1"/>
  <c r="N1137" i="5" s="1"/>
  <c r="L1137" i="4"/>
  <c r="P1136" i="4"/>
  <c r="O1136" i="4"/>
  <c r="N1136" i="4"/>
  <c r="M1136" i="4"/>
  <c r="M1136" i="5" s="1"/>
  <c r="N1136" i="5" s="1"/>
  <c r="L1136" i="4"/>
  <c r="P1135" i="4"/>
  <c r="O1135" i="4"/>
  <c r="N1135" i="4"/>
  <c r="M1135" i="4"/>
  <c r="M1135" i="5" s="1"/>
  <c r="N1135" i="5" s="1"/>
  <c r="L1135" i="4"/>
  <c r="P1134" i="4"/>
  <c r="O1134" i="4"/>
  <c r="N1134" i="4"/>
  <c r="M1134" i="4"/>
  <c r="M1134" i="5" s="1"/>
  <c r="N1134" i="5" s="1"/>
  <c r="L1134" i="4"/>
  <c r="P1133" i="4"/>
  <c r="O1133" i="4"/>
  <c r="N1133" i="4"/>
  <c r="M1133" i="4"/>
  <c r="M1133" i="5" s="1"/>
  <c r="N1133" i="5" s="1"/>
  <c r="L1133" i="4"/>
  <c r="P1132" i="4"/>
  <c r="O1132" i="4"/>
  <c r="N1132" i="4"/>
  <c r="M1132" i="4"/>
  <c r="M1132" i="5" s="1"/>
  <c r="N1132" i="5" s="1"/>
  <c r="L1132" i="4"/>
  <c r="P1131" i="4"/>
  <c r="O1131" i="4"/>
  <c r="N1131" i="4"/>
  <c r="M1131" i="4"/>
  <c r="M1131" i="5" s="1"/>
  <c r="N1131" i="5" s="1"/>
  <c r="L1131" i="4"/>
  <c r="P1130" i="4"/>
  <c r="O1130" i="4"/>
  <c r="N1130" i="4"/>
  <c r="M1130" i="4"/>
  <c r="M1130" i="5" s="1"/>
  <c r="N1130" i="5" s="1"/>
  <c r="L1130" i="4"/>
  <c r="P1129" i="4"/>
  <c r="O1129" i="4"/>
  <c r="N1129" i="4"/>
  <c r="M1129" i="4"/>
  <c r="M1129" i="5" s="1"/>
  <c r="N1129" i="5" s="1"/>
  <c r="L1129" i="4"/>
  <c r="P1128" i="4"/>
  <c r="O1128" i="4"/>
  <c r="N1128" i="4"/>
  <c r="M1128" i="4"/>
  <c r="M1128" i="5" s="1"/>
  <c r="N1128" i="5" s="1"/>
  <c r="L1128" i="4"/>
  <c r="P1127" i="4"/>
  <c r="O1127" i="4"/>
  <c r="N1127" i="4"/>
  <c r="M1127" i="4"/>
  <c r="M1127" i="5" s="1"/>
  <c r="N1127" i="5" s="1"/>
  <c r="L1127" i="4"/>
  <c r="P1126" i="4"/>
  <c r="O1126" i="4"/>
  <c r="N1126" i="4"/>
  <c r="M1126" i="4"/>
  <c r="M1126" i="5" s="1"/>
  <c r="N1126" i="5" s="1"/>
  <c r="L1126" i="4"/>
  <c r="P1125" i="4"/>
  <c r="O1125" i="4"/>
  <c r="N1125" i="4"/>
  <c r="M1125" i="4"/>
  <c r="M1125" i="5" s="1"/>
  <c r="N1125" i="5" s="1"/>
  <c r="L1125" i="4"/>
  <c r="P1124" i="4"/>
  <c r="O1124" i="4"/>
  <c r="N1124" i="4"/>
  <c r="M1124" i="4"/>
  <c r="M1124" i="5" s="1"/>
  <c r="N1124" i="5" s="1"/>
  <c r="L1124" i="4"/>
  <c r="P1123" i="4"/>
  <c r="O1123" i="4"/>
  <c r="N1123" i="4"/>
  <c r="M1123" i="4"/>
  <c r="M1123" i="5" s="1"/>
  <c r="N1123" i="5" s="1"/>
  <c r="L1123" i="4"/>
  <c r="P1122" i="4"/>
  <c r="O1122" i="4"/>
  <c r="N1122" i="4"/>
  <c r="M1122" i="4"/>
  <c r="M1122" i="5" s="1"/>
  <c r="N1122" i="5" s="1"/>
  <c r="L1122" i="4"/>
  <c r="P1121" i="4"/>
  <c r="O1121" i="4"/>
  <c r="N1121" i="4"/>
  <c r="M1121" i="4"/>
  <c r="M1121" i="5" s="1"/>
  <c r="N1121" i="5" s="1"/>
  <c r="L1121" i="4"/>
  <c r="P1120" i="4"/>
  <c r="O1120" i="4"/>
  <c r="N1120" i="4"/>
  <c r="M1120" i="4"/>
  <c r="M1120" i="5" s="1"/>
  <c r="N1120" i="5" s="1"/>
  <c r="L1120" i="4"/>
  <c r="P1119" i="4"/>
  <c r="O1119" i="4"/>
  <c r="N1119" i="4"/>
  <c r="M1119" i="4"/>
  <c r="M1119" i="5" s="1"/>
  <c r="N1119" i="5" s="1"/>
  <c r="L1119" i="4"/>
  <c r="P1118" i="4"/>
  <c r="O1118" i="4"/>
  <c r="N1118" i="4"/>
  <c r="M1118" i="4"/>
  <c r="M1118" i="5" s="1"/>
  <c r="N1118" i="5" s="1"/>
  <c r="L1118" i="4"/>
  <c r="P1117" i="4"/>
  <c r="O1117" i="4"/>
  <c r="N1117" i="4"/>
  <c r="M1117" i="4"/>
  <c r="M1117" i="5" s="1"/>
  <c r="N1117" i="5" s="1"/>
  <c r="L1117" i="4"/>
  <c r="P1116" i="4"/>
  <c r="O1116" i="4"/>
  <c r="N1116" i="4"/>
  <c r="M1116" i="4"/>
  <c r="M1116" i="5" s="1"/>
  <c r="N1116" i="5" s="1"/>
  <c r="L1116" i="4"/>
  <c r="P1115" i="4"/>
  <c r="O1115" i="4"/>
  <c r="N1115" i="4"/>
  <c r="M1115" i="4"/>
  <c r="M1115" i="5" s="1"/>
  <c r="N1115" i="5" s="1"/>
  <c r="L1115" i="4"/>
  <c r="P1114" i="4"/>
  <c r="O1114" i="4"/>
  <c r="N1114" i="4"/>
  <c r="M1114" i="4"/>
  <c r="M1114" i="5" s="1"/>
  <c r="N1114" i="5" s="1"/>
  <c r="L1114" i="4"/>
  <c r="P1113" i="4"/>
  <c r="O1113" i="4"/>
  <c r="N1113" i="4"/>
  <c r="M1113" i="4"/>
  <c r="M1113" i="5" s="1"/>
  <c r="N1113" i="5" s="1"/>
  <c r="L1113" i="4"/>
  <c r="P1112" i="4"/>
  <c r="O1112" i="4"/>
  <c r="N1112" i="4"/>
  <c r="M1112" i="4"/>
  <c r="M1112" i="5" s="1"/>
  <c r="N1112" i="5" s="1"/>
  <c r="L1112" i="4"/>
  <c r="P1111" i="4"/>
  <c r="O1111" i="4"/>
  <c r="N1111" i="4"/>
  <c r="M1111" i="4"/>
  <c r="M1111" i="5" s="1"/>
  <c r="N1111" i="5" s="1"/>
  <c r="L1111" i="4"/>
  <c r="P1110" i="4"/>
  <c r="O1110" i="4"/>
  <c r="N1110" i="4"/>
  <c r="M1110" i="4"/>
  <c r="M1110" i="5" s="1"/>
  <c r="N1110" i="5" s="1"/>
  <c r="L1110" i="4"/>
  <c r="P1109" i="4"/>
  <c r="O1109" i="4"/>
  <c r="N1109" i="4"/>
  <c r="M1109" i="4"/>
  <c r="M1109" i="5" s="1"/>
  <c r="N1109" i="5" s="1"/>
  <c r="L1109" i="4"/>
  <c r="P1108" i="4"/>
  <c r="O1108" i="4"/>
  <c r="N1108" i="4"/>
  <c r="M1108" i="4"/>
  <c r="M1108" i="5" s="1"/>
  <c r="N1108" i="5" s="1"/>
  <c r="L1108" i="4"/>
  <c r="P1107" i="4"/>
  <c r="O1107" i="4"/>
  <c r="N1107" i="4"/>
  <c r="M1107" i="4"/>
  <c r="M1107" i="5" s="1"/>
  <c r="N1107" i="5" s="1"/>
  <c r="L1107" i="4"/>
  <c r="P1106" i="4"/>
  <c r="O1106" i="4"/>
  <c r="N1106" i="4"/>
  <c r="M1106" i="4"/>
  <c r="M1106" i="5" s="1"/>
  <c r="N1106" i="5" s="1"/>
  <c r="L1106" i="4"/>
  <c r="P1105" i="4"/>
  <c r="O1105" i="4"/>
  <c r="N1105" i="4"/>
  <c r="M1105" i="4"/>
  <c r="M1105" i="5" s="1"/>
  <c r="N1105" i="5" s="1"/>
  <c r="L1105" i="4"/>
  <c r="P1104" i="4"/>
  <c r="O1104" i="4"/>
  <c r="N1104" i="4"/>
  <c r="M1104" i="4"/>
  <c r="M1104" i="5" s="1"/>
  <c r="N1104" i="5" s="1"/>
  <c r="L1104" i="4"/>
  <c r="P1103" i="4"/>
  <c r="O1103" i="4"/>
  <c r="N1103" i="4"/>
  <c r="M1103" i="4"/>
  <c r="M1103" i="5" s="1"/>
  <c r="N1103" i="5" s="1"/>
  <c r="L1103" i="4"/>
  <c r="P1102" i="4"/>
  <c r="O1102" i="4"/>
  <c r="N1102" i="4"/>
  <c r="M1102" i="4"/>
  <c r="M1102" i="5" s="1"/>
  <c r="N1102" i="5" s="1"/>
  <c r="L1102" i="4"/>
  <c r="P1101" i="4"/>
  <c r="O1101" i="4"/>
  <c r="N1101" i="4"/>
  <c r="M1101" i="4"/>
  <c r="M1101" i="5" s="1"/>
  <c r="N1101" i="5" s="1"/>
  <c r="L1101" i="4"/>
  <c r="P1100" i="4"/>
  <c r="O1100" i="4"/>
  <c r="N1100" i="4"/>
  <c r="M1100" i="4"/>
  <c r="M1100" i="5" s="1"/>
  <c r="N1100" i="5" s="1"/>
  <c r="L1100" i="4"/>
  <c r="P1099" i="4"/>
  <c r="O1099" i="4"/>
  <c r="N1099" i="4"/>
  <c r="M1099" i="4"/>
  <c r="M1099" i="5" s="1"/>
  <c r="N1099" i="5" s="1"/>
  <c r="L1099" i="4"/>
  <c r="P1098" i="4"/>
  <c r="O1098" i="4"/>
  <c r="N1098" i="4"/>
  <c r="M1098" i="4"/>
  <c r="M1098" i="5" s="1"/>
  <c r="N1098" i="5" s="1"/>
  <c r="L1098" i="4"/>
  <c r="P1097" i="4"/>
  <c r="O1097" i="4"/>
  <c r="N1097" i="4"/>
  <c r="M1097" i="4"/>
  <c r="M1097" i="5" s="1"/>
  <c r="N1097" i="5" s="1"/>
  <c r="L1097" i="4"/>
  <c r="P1096" i="4"/>
  <c r="O1096" i="4"/>
  <c r="N1096" i="4"/>
  <c r="M1096" i="4"/>
  <c r="M1096" i="5" s="1"/>
  <c r="N1096" i="5" s="1"/>
  <c r="L1096" i="4"/>
  <c r="P1095" i="4"/>
  <c r="O1095" i="4"/>
  <c r="N1095" i="4"/>
  <c r="M1095" i="4"/>
  <c r="M1095" i="5" s="1"/>
  <c r="N1095" i="5" s="1"/>
  <c r="L1095" i="4"/>
  <c r="P1094" i="4"/>
  <c r="O1094" i="4"/>
  <c r="N1094" i="4"/>
  <c r="M1094" i="4"/>
  <c r="M1094" i="5" s="1"/>
  <c r="N1094" i="5" s="1"/>
  <c r="L1094" i="4"/>
  <c r="P1093" i="4"/>
  <c r="O1093" i="4"/>
  <c r="N1093" i="4"/>
  <c r="M1093" i="4"/>
  <c r="M1093" i="5" s="1"/>
  <c r="N1093" i="5" s="1"/>
  <c r="L1093" i="4"/>
  <c r="P1092" i="4"/>
  <c r="O1092" i="4"/>
  <c r="N1092" i="4"/>
  <c r="M1092" i="4"/>
  <c r="M1092" i="5" s="1"/>
  <c r="N1092" i="5" s="1"/>
  <c r="L1092" i="4"/>
  <c r="P1091" i="4"/>
  <c r="O1091" i="4"/>
  <c r="N1091" i="4"/>
  <c r="M1091" i="4"/>
  <c r="M1091" i="5" s="1"/>
  <c r="N1091" i="5" s="1"/>
  <c r="L1091" i="4"/>
  <c r="P1090" i="4"/>
  <c r="O1090" i="4"/>
  <c r="N1090" i="4"/>
  <c r="M1090" i="4"/>
  <c r="M1090" i="5" s="1"/>
  <c r="N1090" i="5" s="1"/>
  <c r="L1090" i="4"/>
  <c r="P1089" i="4"/>
  <c r="O1089" i="4"/>
  <c r="N1089" i="4"/>
  <c r="M1089" i="4"/>
  <c r="M1089" i="5" s="1"/>
  <c r="N1089" i="5" s="1"/>
  <c r="L1089" i="4"/>
  <c r="P1088" i="4"/>
  <c r="O1088" i="4"/>
  <c r="N1088" i="4"/>
  <c r="M1088" i="4"/>
  <c r="M1088" i="5" s="1"/>
  <c r="N1088" i="5" s="1"/>
  <c r="L1088" i="4"/>
  <c r="P1087" i="4"/>
  <c r="O1087" i="4"/>
  <c r="N1087" i="4"/>
  <c r="M1087" i="4"/>
  <c r="M1087" i="5" s="1"/>
  <c r="N1087" i="5" s="1"/>
  <c r="L1087" i="4"/>
  <c r="P1086" i="4"/>
  <c r="O1086" i="4"/>
  <c r="N1086" i="4"/>
  <c r="M1086" i="4"/>
  <c r="M1086" i="5" s="1"/>
  <c r="N1086" i="5" s="1"/>
  <c r="L1086" i="4"/>
  <c r="P1085" i="4"/>
  <c r="O1085" i="4"/>
  <c r="N1085" i="4"/>
  <c r="M1085" i="4"/>
  <c r="M1085" i="5" s="1"/>
  <c r="N1085" i="5" s="1"/>
  <c r="L1085" i="4"/>
  <c r="P1084" i="4"/>
  <c r="O1084" i="4"/>
  <c r="N1084" i="4"/>
  <c r="M1084" i="4"/>
  <c r="M1084" i="5" s="1"/>
  <c r="N1084" i="5" s="1"/>
  <c r="L1084" i="4"/>
  <c r="P1083" i="4"/>
  <c r="O1083" i="4"/>
  <c r="N1083" i="4"/>
  <c r="M1083" i="4"/>
  <c r="M1083" i="5" s="1"/>
  <c r="N1083" i="5" s="1"/>
  <c r="L1083" i="4"/>
  <c r="P1082" i="4"/>
  <c r="O1082" i="4"/>
  <c r="N1082" i="4"/>
  <c r="M1082" i="4"/>
  <c r="M1082" i="5" s="1"/>
  <c r="N1082" i="5" s="1"/>
  <c r="L1082" i="4"/>
  <c r="P1081" i="4"/>
  <c r="O1081" i="4"/>
  <c r="N1081" i="4"/>
  <c r="M1081" i="4"/>
  <c r="M1081" i="5" s="1"/>
  <c r="N1081" i="5" s="1"/>
  <c r="L1081" i="4"/>
  <c r="P1080" i="4"/>
  <c r="O1080" i="4"/>
  <c r="N1080" i="4"/>
  <c r="M1080" i="4"/>
  <c r="M1080" i="5" s="1"/>
  <c r="N1080" i="5" s="1"/>
  <c r="L1080" i="4"/>
  <c r="P1079" i="4"/>
  <c r="O1079" i="4"/>
  <c r="N1079" i="4"/>
  <c r="M1079" i="4"/>
  <c r="M1079" i="5" s="1"/>
  <c r="N1079" i="5" s="1"/>
  <c r="L1079" i="4"/>
  <c r="P1078" i="4"/>
  <c r="O1078" i="4"/>
  <c r="N1078" i="4"/>
  <c r="M1078" i="4"/>
  <c r="M1078" i="5" s="1"/>
  <c r="N1078" i="5" s="1"/>
  <c r="L1078" i="4"/>
  <c r="P1077" i="4"/>
  <c r="O1077" i="4"/>
  <c r="N1077" i="4"/>
  <c r="M1077" i="4"/>
  <c r="M1077" i="5" s="1"/>
  <c r="N1077" i="5" s="1"/>
  <c r="L1077" i="4"/>
  <c r="P1076" i="4"/>
  <c r="O1076" i="4"/>
  <c r="N1076" i="4"/>
  <c r="M1076" i="4"/>
  <c r="M1076" i="5" s="1"/>
  <c r="N1076" i="5" s="1"/>
  <c r="L1076" i="4"/>
  <c r="P1075" i="4"/>
  <c r="O1075" i="4"/>
  <c r="N1075" i="4"/>
  <c r="M1075" i="4"/>
  <c r="M1075" i="5" s="1"/>
  <c r="N1075" i="5" s="1"/>
  <c r="L1075" i="4"/>
  <c r="P1074" i="4"/>
  <c r="O1074" i="4"/>
  <c r="N1074" i="4"/>
  <c r="M1074" i="4"/>
  <c r="M1074" i="5" s="1"/>
  <c r="N1074" i="5" s="1"/>
  <c r="L1074" i="4"/>
  <c r="P1073" i="4"/>
  <c r="O1073" i="4"/>
  <c r="N1073" i="4"/>
  <c r="M1073" i="4"/>
  <c r="M1073" i="5" s="1"/>
  <c r="N1073" i="5" s="1"/>
  <c r="L1073" i="4"/>
  <c r="P1072" i="4"/>
  <c r="O1072" i="4"/>
  <c r="N1072" i="4"/>
  <c r="M1072" i="4"/>
  <c r="M1072" i="5" s="1"/>
  <c r="N1072" i="5" s="1"/>
  <c r="L1072" i="4"/>
  <c r="P1071" i="4"/>
  <c r="O1071" i="4"/>
  <c r="N1071" i="4"/>
  <c r="M1071" i="4"/>
  <c r="M1071" i="5" s="1"/>
  <c r="N1071" i="5" s="1"/>
  <c r="L1071" i="4"/>
  <c r="P1070" i="4"/>
  <c r="O1070" i="4"/>
  <c r="N1070" i="4"/>
  <c r="M1070" i="4"/>
  <c r="M1070" i="5" s="1"/>
  <c r="N1070" i="5" s="1"/>
  <c r="L1070" i="4"/>
  <c r="P1069" i="4"/>
  <c r="O1069" i="4"/>
  <c r="N1069" i="4"/>
  <c r="M1069" i="4"/>
  <c r="M1069" i="5" s="1"/>
  <c r="N1069" i="5" s="1"/>
  <c r="L1069" i="4"/>
  <c r="P1068" i="4"/>
  <c r="O1068" i="4"/>
  <c r="N1068" i="4"/>
  <c r="M1068" i="4"/>
  <c r="M1068" i="5" s="1"/>
  <c r="N1068" i="5" s="1"/>
  <c r="L1068" i="4"/>
  <c r="P1067" i="4"/>
  <c r="O1067" i="4"/>
  <c r="N1067" i="4"/>
  <c r="M1067" i="4"/>
  <c r="M1067" i="5" s="1"/>
  <c r="N1067" i="5" s="1"/>
  <c r="L1067" i="4"/>
  <c r="P1066" i="4"/>
  <c r="O1066" i="4"/>
  <c r="N1066" i="4"/>
  <c r="M1066" i="4"/>
  <c r="M1066" i="5" s="1"/>
  <c r="N1066" i="5" s="1"/>
  <c r="L1066" i="4"/>
  <c r="P1065" i="4"/>
  <c r="O1065" i="4"/>
  <c r="N1065" i="4"/>
  <c r="M1065" i="4"/>
  <c r="M1065" i="5" s="1"/>
  <c r="N1065" i="5" s="1"/>
  <c r="L1065" i="4"/>
  <c r="P1064" i="4"/>
  <c r="O1064" i="4"/>
  <c r="N1064" i="4"/>
  <c r="M1064" i="4"/>
  <c r="M1064" i="5" s="1"/>
  <c r="N1064" i="5" s="1"/>
  <c r="L1064" i="4"/>
  <c r="P1063" i="4"/>
  <c r="O1063" i="4"/>
  <c r="N1063" i="4"/>
  <c r="M1063" i="4"/>
  <c r="M1063" i="5" s="1"/>
  <c r="N1063" i="5" s="1"/>
  <c r="L1063" i="4"/>
  <c r="P1062" i="4"/>
  <c r="O1062" i="4"/>
  <c r="N1062" i="4"/>
  <c r="M1062" i="4"/>
  <c r="M1062" i="5" s="1"/>
  <c r="N1062" i="5" s="1"/>
  <c r="L1062" i="4"/>
  <c r="P1061" i="4"/>
  <c r="O1061" i="4"/>
  <c r="N1061" i="4"/>
  <c r="M1061" i="4"/>
  <c r="M1061" i="5" s="1"/>
  <c r="N1061" i="5" s="1"/>
  <c r="L1061" i="4"/>
  <c r="P1060" i="4"/>
  <c r="O1060" i="4"/>
  <c r="N1060" i="4"/>
  <c r="M1060" i="4"/>
  <c r="M1060" i="5" s="1"/>
  <c r="N1060" i="5" s="1"/>
  <c r="L1060" i="4"/>
  <c r="P1059" i="4"/>
  <c r="O1059" i="4"/>
  <c r="N1059" i="4"/>
  <c r="M1059" i="4"/>
  <c r="M1059" i="5" s="1"/>
  <c r="N1059" i="5" s="1"/>
  <c r="L1059" i="4"/>
  <c r="P1058" i="4"/>
  <c r="O1058" i="4"/>
  <c r="N1058" i="4"/>
  <c r="M1058" i="4"/>
  <c r="M1058" i="5" s="1"/>
  <c r="N1058" i="5" s="1"/>
  <c r="L1058" i="4"/>
  <c r="P1057" i="4"/>
  <c r="O1057" i="4"/>
  <c r="N1057" i="4"/>
  <c r="M1057" i="4"/>
  <c r="M1057" i="5" s="1"/>
  <c r="N1057" i="5" s="1"/>
  <c r="L1057" i="4"/>
  <c r="P1056" i="4"/>
  <c r="O1056" i="4"/>
  <c r="N1056" i="4"/>
  <c r="M1056" i="4"/>
  <c r="M1056" i="5" s="1"/>
  <c r="N1056" i="5" s="1"/>
  <c r="L1056" i="4"/>
  <c r="P1055" i="4"/>
  <c r="O1055" i="4"/>
  <c r="N1055" i="4"/>
  <c r="M1055" i="4"/>
  <c r="M1055" i="5" s="1"/>
  <c r="N1055" i="5" s="1"/>
  <c r="L1055" i="4"/>
  <c r="P1054" i="4"/>
  <c r="O1054" i="4"/>
  <c r="N1054" i="4"/>
  <c r="M1054" i="4"/>
  <c r="M1054" i="5" s="1"/>
  <c r="N1054" i="5" s="1"/>
  <c r="L1054" i="4"/>
  <c r="P1053" i="4"/>
  <c r="O1053" i="4"/>
  <c r="N1053" i="4"/>
  <c r="M1053" i="4"/>
  <c r="M1053" i="5" s="1"/>
  <c r="N1053" i="5" s="1"/>
  <c r="L1053" i="4"/>
  <c r="P1052" i="4"/>
  <c r="O1052" i="4"/>
  <c r="N1052" i="4"/>
  <c r="M1052" i="4"/>
  <c r="M1052" i="5" s="1"/>
  <c r="N1052" i="5" s="1"/>
  <c r="L1052" i="4"/>
  <c r="P1051" i="4"/>
  <c r="O1051" i="4"/>
  <c r="N1051" i="4"/>
  <c r="M1051" i="4"/>
  <c r="M1051" i="5" s="1"/>
  <c r="N1051" i="5" s="1"/>
  <c r="L1051" i="4"/>
  <c r="P1050" i="4"/>
  <c r="O1050" i="4"/>
  <c r="N1050" i="4"/>
  <c r="M1050" i="4"/>
  <c r="M1050" i="5" s="1"/>
  <c r="N1050" i="5" s="1"/>
  <c r="L1050" i="4"/>
  <c r="P1049" i="4"/>
  <c r="O1049" i="4"/>
  <c r="N1049" i="4"/>
  <c r="M1049" i="4"/>
  <c r="M1049" i="5" s="1"/>
  <c r="N1049" i="5" s="1"/>
  <c r="L1049" i="4"/>
  <c r="P1048" i="4"/>
  <c r="O1048" i="4"/>
  <c r="N1048" i="4"/>
  <c r="M1048" i="4"/>
  <c r="M1048" i="5" s="1"/>
  <c r="N1048" i="5" s="1"/>
  <c r="L1048" i="4"/>
  <c r="P1047" i="4"/>
  <c r="O1047" i="4"/>
  <c r="N1047" i="4"/>
  <c r="M1047" i="4"/>
  <c r="M1047" i="5" s="1"/>
  <c r="N1047" i="5" s="1"/>
  <c r="L1047" i="4"/>
  <c r="P1046" i="4"/>
  <c r="O1046" i="4"/>
  <c r="N1046" i="4"/>
  <c r="M1046" i="4"/>
  <c r="M1046" i="5" s="1"/>
  <c r="N1046" i="5" s="1"/>
  <c r="L1046" i="4"/>
  <c r="P1045" i="4"/>
  <c r="O1045" i="4"/>
  <c r="N1045" i="4"/>
  <c r="M1045" i="4"/>
  <c r="M1045" i="5" s="1"/>
  <c r="N1045" i="5" s="1"/>
  <c r="L1045" i="4"/>
  <c r="P1044" i="4"/>
  <c r="O1044" i="4"/>
  <c r="N1044" i="4"/>
  <c r="M1044" i="4"/>
  <c r="M1044" i="5" s="1"/>
  <c r="N1044" i="5" s="1"/>
  <c r="L1044" i="4"/>
  <c r="P1043" i="4"/>
  <c r="O1043" i="4"/>
  <c r="N1043" i="4"/>
  <c r="M1043" i="4"/>
  <c r="M1043" i="5" s="1"/>
  <c r="N1043" i="5" s="1"/>
  <c r="L1043" i="4"/>
  <c r="P1042" i="4"/>
  <c r="O1042" i="4"/>
  <c r="N1042" i="4"/>
  <c r="M1042" i="4"/>
  <c r="M1042" i="5" s="1"/>
  <c r="N1042" i="5" s="1"/>
  <c r="L1042" i="4"/>
  <c r="P1041" i="4"/>
  <c r="O1041" i="4"/>
  <c r="N1041" i="4"/>
  <c r="M1041" i="4"/>
  <c r="M1041" i="5" s="1"/>
  <c r="N1041" i="5" s="1"/>
  <c r="L1041" i="4"/>
  <c r="P1040" i="4"/>
  <c r="O1040" i="4"/>
  <c r="N1040" i="4"/>
  <c r="M1040" i="4"/>
  <c r="M1040" i="5" s="1"/>
  <c r="N1040" i="5" s="1"/>
  <c r="L1040" i="4"/>
  <c r="P1039" i="4"/>
  <c r="O1039" i="4"/>
  <c r="N1039" i="4"/>
  <c r="M1039" i="4"/>
  <c r="M1039" i="5" s="1"/>
  <c r="N1039" i="5" s="1"/>
  <c r="L1039" i="4"/>
  <c r="P1038" i="4"/>
  <c r="O1038" i="4"/>
  <c r="N1038" i="4"/>
  <c r="M1038" i="4"/>
  <c r="M1038" i="5" s="1"/>
  <c r="N1038" i="5" s="1"/>
  <c r="L1038" i="4"/>
  <c r="P1037" i="4"/>
  <c r="O1037" i="4"/>
  <c r="N1037" i="4"/>
  <c r="M1037" i="4"/>
  <c r="M1037" i="5" s="1"/>
  <c r="N1037" i="5" s="1"/>
  <c r="L1037" i="4"/>
  <c r="P1036" i="4"/>
  <c r="O1036" i="4"/>
  <c r="N1036" i="4"/>
  <c r="M1036" i="4"/>
  <c r="M1036" i="5" s="1"/>
  <c r="N1036" i="5" s="1"/>
  <c r="L1036" i="4"/>
  <c r="P1035" i="4"/>
  <c r="O1035" i="4"/>
  <c r="N1035" i="4"/>
  <c r="M1035" i="4"/>
  <c r="M1035" i="5" s="1"/>
  <c r="N1035" i="5" s="1"/>
  <c r="L1035" i="4"/>
  <c r="P1034" i="4"/>
  <c r="O1034" i="4"/>
  <c r="N1034" i="4"/>
  <c r="M1034" i="4"/>
  <c r="M1034" i="5" s="1"/>
  <c r="N1034" i="5" s="1"/>
  <c r="L1034" i="4"/>
  <c r="P1033" i="4"/>
  <c r="O1033" i="4"/>
  <c r="N1033" i="4"/>
  <c r="M1033" i="4"/>
  <c r="M1033" i="5" s="1"/>
  <c r="N1033" i="5" s="1"/>
  <c r="L1033" i="4"/>
  <c r="P1032" i="4"/>
  <c r="O1032" i="4"/>
  <c r="N1032" i="4"/>
  <c r="M1032" i="4"/>
  <c r="M1032" i="5" s="1"/>
  <c r="N1032" i="5" s="1"/>
  <c r="L1032" i="4"/>
  <c r="P1031" i="4"/>
  <c r="O1031" i="4"/>
  <c r="N1031" i="4"/>
  <c r="M1031" i="4"/>
  <c r="M1031" i="5" s="1"/>
  <c r="N1031" i="5" s="1"/>
  <c r="L1031" i="4"/>
  <c r="P1030" i="4"/>
  <c r="O1030" i="4"/>
  <c r="N1030" i="4"/>
  <c r="M1030" i="4"/>
  <c r="M1030" i="5" s="1"/>
  <c r="N1030" i="5" s="1"/>
  <c r="L1030" i="4"/>
  <c r="P1029" i="4"/>
  <c r="O1029" i="4"/>
  <c r="N1029" i="4"/>
  <c r="M1029" i="4"/>
  <c r="M1029" i="5" s="1"/>
  <c r="N1029" i="5" s="1"/>
  <c r="L1029" i="4"/>
  <c r="P1028" i="4"/>
  <c r="O1028" i="4"/>
  <c r="N1028" i="4"/>
  <c r="M1028" i="4"/>
  <c r="M1028" i="5" s="1"/>
  <c r="N1028" i="5" s="1"/>
  <c r="L1028" i="4"/>
  <c r="P1027" i="4"/>
  <c r="O1027" i="4"/>
  <c r="N1027" i="4"/>
  <c r="M1027" i="4"/>
  <c r="M1027" i="5" s="1"/>
  <c r="N1027" i="5" s="1"/>
  <c r="L1027" i="4"/>
  <c r="P1026" i="4"/>
  <c r="O1026" i="4"/>
  <c r="N1026" i="4"/>
  <c r="M1026" i="4"/>
  <c r="M1026" i="5" s="1"/>
  <c r="N1026" i="5" s="1"/>
  <c r="L1026" i="4"/>
  <c r="P1025" i="4"/>
  <c r="O1025" i="4"/>
  <c r="N1025" i="4"/>
  <c r="M1025" i="4"/>
  <c r="M1025" i="5" s="1"/>
  <c r="N1025" i="5" s="1"/>
  <c r="L1025" i="4"/>
  <c r="P1024" i="4"/>
  <c r="O1024" i="4"/>
  <c r="N1024" i="4"/>
  <c r="M1024" i="4"/>
  <c r="M1024" i="5" s="1"/>
  <c r="N1024" i="5" s="1"/>
  <c r="L1024" i="4"/>
  <c r="P1023" i="4"/>
  <c r="O1023" i="4"/>
  <c r="N1023" i="4"/>
  <c r="M1023" i="4"/>
  <c r="M1023" i="5" s="1"/>
  <c r="N1023" i="5" s="1"/>
  <c r="L1023" i="4"/>
  <c r="P1022" i="4"/>
  <c r="O1022" i="4"/>
  <c r="N1022" i="4"/>
  <c r="M1022" i="4"/>
  <c r="M1022" i="5" s="1"/>
  <c r="N1022" i="5" s="1"/>
  <c r="L1022" i="4"/>
  <c r="P1021" i="4"/>
  <c r="O1021" i="4"/>
  <c r="N1021" i="4"/>
  <c r="M1021" i="4"/>
  <c r="M1021" i="5" s="1"/>
  <c r="N1021" i="5" s="1"/>
  <c r="L1021" i="4"/>
  <c r="P1020" i="4"/>
  <c r="O1020" i="4"/>
  <c r="N1020" i="4"/>
  <c r="M1020" i="4"/>
  <c r="M1020" i="5" s="1"/>
  <c r="N1020" i="5" s="1"/>
  <c r="L1020" i="4"/>
  <c r="P1019" i="4"/>
  <c r="O1019" i="4"/>
  <c r="N1019" i="4"/>
  <c r="M1019" i="4"/>
  <c r="M1019" i="5" s="1"/>
  <c r="N1019" i="5" s="1"/>
  <c r="L1019" i="4"/>
  <c r="P1018" i="4"/>
  <c r="O1018" i="4"/>
  <c r="N1018" i="4"/>
  <c r="M1018" i="4"/>
  <c r="M1018" i="5" s="1"/>
  <c r="N1018" i="5" s="1"/>
  <c r="L1018" i="4"/>
  <c r="P1017" i="4"/>
  <c r="O1017" i="4"/>
  <c r="N1017" i="4"/>
  <c r="M1017" i="4"/>
  <c r="M1017" i="5" s="1"/>
  <c r="N1017" i="5" s="1"/>
  <c r="L1017" i="4"/>
  <c r="P1016" i="4"/>
  <c r="O1016" i="4"/>
  <c r="N1016" i="4"/>
  <c r="M1016" i="4"/>
  <c r="M1016" i="5" s="1"/>
  <c r="N1016" i="5" s="1"/>
  <c r="L1016" i="4"/>
  <c r="P1015" i="4"/>
  <c r="O1015" i="4"/>
  <c r="N1015" i="4"/>
  <c r="M1015" i="4"/>
  <c r="M1015" i="5" s="1"/>
  <c r="N1015" i="5" s="1"/>
  <c r="L1015" i="4"/>
  <c r="P1014" i="4"/>
  <c r="O1014" i="4"/>
  <c r="N1014" i="4"/>
  <c r="M1014" i="4"/>
  <c r="M1014" i="5" s="1"/>
  <c r="N1014" i="5" s="1"/>
  <c r="L1014" i="4"/>
  <c r="P1013" i="4"/>
  <c r="O1013" i="4"/>
  <c r="N1013" i="4"/>
  <c r="M1013" i="4"/>
  <c r="M1013" i="5" s="1"/>
  <c r="N1013" i="5" s="1"/>
  <c r="L1013" i="4"/>
  <c r="P1012" i="4"/>
  <c r="O1012" i="4"/>
  <c r="N1012" i="4"/>
  <c r="M1012" i="4"/>
  <c r="M1012" i="5" s="1"/>
  <c r="N1012" i="5" s="1"/>
  <c r="L1012" i="4"/>
  <c r="P1011" i="4"/>
  <c r="O1011" i="4"/>
  <c r="N1011" i="4"/>
  <c r="M1011" i="4"/>
  <c r="M1011" i="5" s="1"/>
  <c r="N1011" i="5" s="1"/>
  <c r="L1011" i="4"/>
  <c r="P1010" i="4"/>
  <c r="O1010" i="4"/>
  <c r="N1010" i="4"/>
  <c r="M1010" i="4"/>
  <c r="M1010" i="5" s="1"/>
  <c r="N1010" i="5" s="1"/>
  <c r="L1010" i="4"/>
  <c r="P1009" i="4"/>
  <c r="O1009" i="4"/>
  <c r="N1009" i="4"/>
  <c r="M1009" i="4"/>
  <c r="M1009" i="5" s="1"/>
  <c r="N1009" i="5" s="1"/>
  <c r="L1009" i="4"/>
  <c r="P1008" i="4"/>
  <c r="O1008" i="4"/>
  <c r="N1008" i="4"/>
  <c r="M1008" i="4"/>
  <c r="M1008" i="5" s="1"/>
  <c r="N1008" i="5" s="1"/>
  <c r="L1008" i="4"/>
  <c r="P1007" i="4"/>
  <c r="O1007" i="4"/>
  <c r="N1007" i="4"/>
  <c r="M1007" i="4"/>
  <c r="M1007" i="5" s="1"/>
  <c r="N1007" i="5" s="1"/>
  <c r="L1007" i="4"/>
  <c r="P1006" i="4"/>
  <c r="O1006" i="4"/>
  <c r="N1006" i="4"/>
  <c r="M1006" i="4"/>
  <c r="M1006" i="5" s="1"/>
  <c r="N1006" i="5" s="1"/>
  <c r="L1006" i="4"/>
  <c r="P1005" i="4"/>
  <c r="O1005" i="4"/>
  <c r="N1005" i="4"/>
  <c r="M1005" i="4"/>
  <c r="M1005" i="5" s="1"/>
  <c r="N1005" i="5" s="1"/>
  <c r="L1005" i="4"/>
  <c r="P1004" i="4"/>
  <c r="O1004" i="4"/>
  <c r="N1004" i="4"/>
  <c r="M1004" i="4"/>
  <c r="M1004" i="5" s="1"/>
  <c r="N1004" i="5" s="1"/>
  <c r="L1004" i="4"/>
  <c r="P1003" i="4"/>
  <c r="O1003" i="4"/>
  <c r="N1003" i="4"/>
  <c r="M1003" i="4"/>
  <c r="M1003" i="5" s="1"/>
  <c r="N1003" i="5" s="1"/>
  <c r="L1003" i="4"/>
  <c r="P1002" i="4"/>
  <c r="O1002" i="4"/>
  <c r="N1002" i="4"/>
  <c r="M1002" i="4"/>
  <c r="M1002" i="5" s="1"/>
  <c r="N1002" i="5" s="1"/>
  <c r="L1002" i="4"/>
  <c r="P1001" i="4"/>
  <c r="O1001" i="4"/>
  <c r="N1001" i="4"/>
  <c r="M1001" i="4"/>
  <c r="M1001" i="5" s="1"/>
  <c r="N1001" i="5" s="1"/>
  <c r="L1001" i="4"/>
  <c r="P1000" i="4"/>
  <c r="O1000" i="4"/>
  <c r="N1000" i="4"/>
  <c r="M1000" i="4"/>
  <c r="M1000" i="5" s="1"/>
  <c r="N1000" i="5" s="1"/>
  <c r="L1000" i="4"/>
  <c r="P999" i="4"/>
  <c r="O999" i="4"/>
  <c r="N999" i="4"/>
  <c r="M999" i="4"/>
  <c r="M999" i="5" s="1"/>
  <c r="N999" i="5" s="1"/>
  <c r="L999" i="4"/>
  <c r="P998" i="4"/>
  <c r="O998" i="4"/>
  <c r="N998" i="4"/>
  <c r="M998" i="4"/>
  <c r="M998" i="5" s="1"/>
  <c r="N998" i="5" s="1"/>
  <c r="L998" i="4"/>
  <c r="P997" i="4"/>
  <c r="O997" i="4"/>
  <c r="N997" i="4"/>
  <c r="M997" i="4"/>
  <c r="M997" i="5" s="1"/>
  <c r="N997" i="5" s="1"/>
  <c r="L997" i="4"/>
  <c r="P996" i="4"/>
  <c r="O996" i="4"/>
  <c r="N996" i="4"/>
  <c r="M996" i="4"/>
  <c r="M996" i="5" s="1"/>
  <c r="N996" i="5" s="1"/>
  <c r="L996" i="4"/>
  <c r="P995" i="4"/>
  <c r="O995" i="4"/>
  <c r="N995" i="4"/>
  <c r="M995" i="4"/>
  <c r="M995" i="5" s="1"/>
  <c r="N995" i="5" s="1"/>
  <c r="L995" i="4"/>
  <c r="P994" i="4"/>
  <c r="O994" i="4"/>
  <c r="N994" i="4"/>
  <c r="M994" i="4"/>
  <c r="M994" i="5" s="1"/>
  <c r="N994" i="5" s="1"/>
  <c r="L994" i="4"/>
  <c r="P993" i="4"/>
  <c r="O993" i="4"/>
  <c r="N993" i="4"/>
  <c r="M993" i="4"/>
  <c r="M993" i="5" s="1"/>
  <c r="N993" i="5" s="1"/>
  <c r="L993" i="4"/>
  <c r="P992" i="4"/>
  <c r="O992" i="4"/>
  <c r="N992" i="4"/>
  <c r="M992" i="4"/>
  <c r="M992" i="5" s="1"/>
  <c r="N992" i="5" s="1"/>
  <c r="L992" i="4"/>
  <c r="P991" i="4"/>
  <c r="O991" i="4"/>
  <c r="N991" i="4"/>
  <c r="M991" i="4"/>
  <c r="M991" i="5" s="1"/>
  <c r="N991" i="5" s="1"/>
  <c r="L991" i="4"/>
  <c r="P990" i="4"/>
  <c r="O990" i="4"/>
  <c r="N990" i="4"/>
  <c r="M990" i="4"/>
  <c r="M990" i="5" s="1"/>
  <c r="N990" i="5" s="1"/>
  <c r="L990" i="4"/>
  <c r="P989" i="4"/>
  <c r="O989" i="4"/>
  <c r="N989" i="4"/>
  <c r="M989" i="4"/>
  <c r="M989" i="5" s="1"/>
  <c r="N989" i="5" s="1"/>
  <c r="L989" i="4"/>
  <c r="P988" i="4"/>
  <c r="O988" i="4"/>
  <c r="N988" i="4"/>
  <c r="M988" i="4"/>
  <c r="M988" i="5" s="1"/>
  <c r="N988" i="5" s="1"/>
  <c r="L988" i="4"/>
  <c r="P987" i="4"/>
  <c r="O987" i="4"/>
  <c r="N987" i="4"/>
  <c r="M987" i="4"/>
  <c r="M987" i="5" s="1"/>
  <c r="N987" i="5" s="1"/>
  <c r="L987" i="4"/>
  <c r="P986" i="4"/>
  <c r="O986" i="4"/>
  <c r="N986" i="4"/>
  <c r="M986" i="4"/>
  <c r="M986" i="5" s="1"/>
  <c r="N986" i="5" s="1"/>
  <c r="L986" i="4"/>
  <c r="P985" i="4"/>
  <c r="O985" i="4"/>
  <c r="N985" i="4"/>
  <c r="M985" i="4"/>
  <c r="M985" i="5" s="1"/>
  <c r="N985" i="5" s="1"/>
  <c r="L985" i="4"/>
  <c r="P984" i="4"/>
  <c r="O984" i="4"/>
  <c r="N984" i="4"/>
  <c r="M984" i="4"/>
  <c r="M984" i="5" s="1"/>
  <c r="N984" i="5" s="1"/>
  <c r="L984" i="4"/>
  <c r="P983" i="4"/>
  <c r="O983" i="4"/>
  <c r="N983" i="4"/>
  <c r="M983" i="4"/>
  <c r="M983" i="5" s="1"/>
  <c r="N983" i="5" s="1"/>
  <c r="L983" i="4"/>
  <c r="P982" i="4"/>
  <c r="O982" i="4"/>
  <c r="N982" i="4"/>
  <c r="M982" i="4"/>
  <c r="M982" i="5" s="1"/>
  <c r="N982" i="5" s="1"/>
  <c r="L982" i="4"/>
  <c r="P981" i="4"/>
  <c r="O981" i="4"/>
  <c r="N981" i="4"/>
  <c r="M981" i="4"/>
  <c r="M981" i="5" s="1"/>
  <c r="N981" i="5" s="1"/>
  <c r="L981" i="4"/>
  <c r="P980" i="4"/>
  <c r="O980" i="4"/>
  <c r="N980" i="4"/>
  <c r="M980" i="4"/>
  <c r="M980" i="5" s="1"/>
  <c r="N980" i="5" s="1"/>
  <c r="L980" i="4"/>
  <c r="P979" i="4"/>
  <c r="O979" i="4"/>
  <c r="N979" i="4"/>
  <c r="M979" i="4"/>
  <c r="M979" i="5" s="1"/>
  <c r="N979" i="5" s="1"/>
  <c r="L979" i="4"/>
  <c r="P978" i="4"/>
  <c r="O978" i="4"/>
  <c r="N978" i="4"/>
  <c r="M978" i="4"/>
  <c r="M978" i="5" s="1"/>
  <c r="N978" i="5" s="1"/>
  <c r="L978" i="4"/>
  <c r="P977" i="4"/>
  <c r="O977" i="4"/>
  <c r="N977" i="4"/>
  <c r="M977" i="4"/>
  <c r="M977" i="5" s="1"/>
  <c r="N977" i="5" s="1"/>
  <c r="L977" i="4"/>
  <c r="P976" i="4"/>
  <c r="O976" i="4"/>
  <c r="N976" i="4"/>
  <c r="M976" i="4"/>
  <c r="M976" i="5" s="1"/>
  <c r="N976" i="5" s="1"/>
  <c r="L976" i="4"/>
  <c r="P975" i="4"/>
  <c r="O975" i="4"/>
  <c r="N975" i="4"/>
  <c r="M975" i="4"/>
  <c r="M975" i="5" s="1"/>
  <c r="N975" i="5" s="1"/>
  <c r="L975" i="4"/>
  <c r="P974" i="4"/>
  <c r="O974" i="4"/>
  <c r="N974" i="4"/>
  <c r="M974" i="4"/>
  <c r="M974" i="5" s="1"/>
  <c r="N974" i="5" s="1"/>
  <c r="L974" i="4"/>
  <c r="P973" i="4"/>
  <c r="O973" i="4"/>
  <c r="N973" i="4"/>
  <c r="M973" i="4"/>
  <c r="M973" i="5" s="1"/>
  <c r="N973" i="5" s="1"/>
  <c r="L973" i="4"/>
  <c r="P972" i="4"/>
  <c r="O972" i="4"/>
  <c r="N972" i="4"/>
  <c r="M972" i="4"/>
  <c r="M972" i="5" s="1"/>
  <c r="N972" i="5" s="1"/>
  <c r="L972" i="4"/>
  <c r="P971" i="4"/>
  <c r="O971" i="4"/>
  <c r="N971" i="4"/>
  <c r="M971" i="4"/>
  <c r="M971" i="5" s="1"/>
  <c r="N971" i="5" s="1"/>
  <c r="L971" i="4"/>
  <c r="P970" i="4"/>
  <c r="O970" i="4"/>
  <c r="N970" i="4"/>
  <c r="M970" i="4"/>
  <c r="M970" i="5" s="1"/>
  <c r="N970" i="5" s="1"/>
  <c r="L970" i="4"/>
  <c r="P969" i="4"/>
  <c r="O969" i="4"/>
  <c r="N969" i="4"/>
  <c r="M969" i="4"/>
  <c r="M969" i="5" s="1"/>
  <c r="N969" i="5" s="1"/>
  <c r="L969" i="4"/>
  <c r="P968" i="4"/>
  <c r="O968" i="4"/>
  <c r="N968" i="4"/>
  <c r="M968" i="4"/>
  <c r="M968" i="5" s="1"/>
  <c r="N968" i="5" s="1"/>
  <c r="L968" i="4"/>
  <c r="P967" i="4"/>
  <c r="O967" i="4"/>
  <c r="N967" i="4"/>
  <c r="M967" i="4"/>
  <c r="M967" i="5" s="1"/>
  <c r="N967" i="5" s="1"/>
  <c r="L967" i="4"/>
  <c r="P966" i="4"/>
  <c r="O966" i="4"/>
  <c r="N966" i="4"/>
  <c r="M966" i="4"/>
  <c r="M966" i="5" s="1"/>
  <c r="N966" i="5" s="1"/>
  <c r="L966" i="4"/>
  <c r="P965" i="4"/>
  <c r="O965" i="4"/>
  <c r="N965" i="4"/>
  <c r="M965" i="4"/>
  <c r="M965" i="5" s="1"/>
  <c r="N965" i="5" s="1"/>
  <c r="L965" i="4"/>
  <c r="P964" i="4"/>
  <c r="O964" i="4"/>
  <c r="N964" i="4"/>
  <c r="M964" i="4"/>
  <c r="M964" i="5" s="1"/>
  <c r="N964" i="5" s="1"/>
  <c r="L964" i="4"/>
  <c r="P963" i="4"/>
  <c r="O963" i="4"/>
  <c r="N963" i="4"/>
  <c r="M963" i="4"/>
  <c r="M963" i="5" s="1"/>
  <c r="N963" i="5" s="1"/>
  <c r="L963" i="4"/>
  <c r="P962" i="4"/>
  <c r="O962" i="4"/>
  <c r="N962" i="4"/>
  <c r="M962" i="4"/>
  <c r="M962" i="5" s="1"/>
  <c r="N962" i="5" s="1"/>
  <c r="L962" i="4"/>
  <c r="P961" i="4"/>
  <c r="O961" i="4"/>
  <c r="N961" i="4"/>
  <c r="M961" i="4"/>
  <c r="M961" i="5" s="1"/>
  <c r="N961" i="5" s="1"/>
  <c r="L961" i="4"/>
  <c r="P960" i="4"/>
  <c r="O960" i="4"/>
  <c r="N960" i="4"/>
  <c r="M960" i="4"/>
  <c r="M960" i="5" s="1"/>
  <c r="N960" i="5" s="1"/>
  <c r="L960" i="4"/>
  <c r="P959" i="4"/>
  <c r="O959" i="4"/>
  <c r="N959" i="4"/>
  <c r="M959" i="4"/>
  <c r="M959" i="5" s="1"/>
  <c r="N959" i="5" s="1"/>
  <c r="L959" i="4"/>
  <c r="P958" i="4"/>
  <c r="O958" i="4"/>
  <c r="N958" i="4"/>
  <c r="M958" i="4"/>
  <c r="M958" i="5" s="1"/>
  <c r="N958" i="5" s="1"/>
  <c r="L958" i="4"/>
  <c r="P957" i="4"/>
  <c r="O957" i="4"/>
  <c r="N957" i="4"/>
  <c r="M957" i="4"/>
  <c r="M957" i="5" s="1"/>
  <c r="N957" i="5" s="1"/>
  <c r="L957" i="4"/>
  <c r="P956" i="4"/>
  <c r="O956" i="4"/>
  <c r="N956" i="4"/>
  <c r="M956" i="4"/>
  <c r="M956" i="5" s="1"/>
  <c r="N956" i="5" s="1"/>
  <c r="L956" i="4"/>
  <c r="P955" i="4"/>
  <c r="O955" i="4"/>
  <c r="N955" i="4"/>
  <c r="M955" i="4"/>
  <c r="M955" i="5" s="1"/>
  <c r="N955" i="5" s="1"/>
  <c r="L955" i="4"/>
  <c r="P954" i="4"/>
  <c r="O954" i="4"/>
  <c r="N954" i="4"/>
  <c r="M954" i="4"/>
  <c r="M954" i="5" s="1"/>
  <c r="N954" i="5" s="1"/>
  <c r="L954" i="4"/>
  <c r="P953" i="4"/>
  <c r="O953" i="4"/>
  <c r="N953" i="4"/>
  <c r="M953" i="4"/>
  <c r="M953" i="5" s="1"/>
  <c r="N953" i="5" s="1"/>
  <c r="L953" i="4"/>
  <c r="P952" i="4"/>
  <c r="O952" i="4"/>
  <c r="N952" i="4"/>
  <c r="M952" i="4"/>
  <c r="M952" i="5" s="1"/>
  <c r="N952" i="5" s="1"/>
  <c r="L952" i="4"/>
  <c r="P951" i="4"/>
  <c r="O951" i="4"/>
  <c r="N951" i="4"/>
  <c r="M951" i="4"/>
  <c r="M951" i="5" s="1"/>
  <c r="N951" i="5" s="1"/>
  <c r="L951" i="4"/>
  <c r="P950" i="4"/>
  <c r="O950" i="4"/>
  <c r="N950" i="4"/>
  <c r="M950" i="4"/>
  <c r="M950" i="5" s="1"/>
  <c r="N950" i="5" s="1"/>
  <c r="L950" i="4"/>
  <c r="P949" i="4"/>
  <c r="O949" i="4"/>
  <c r="N949" i="4"/>
  <c r="M949" i="4"/>
  <c r="M949" i="5" s="1"/>
  <c r="N949" i="5" s="1"/>
  <c r="L949" i="4"/>
  <c r="P948" i="4"/>
  <c r="O948" i="4"/>
  <c r="N948" i="4"/>
  <c r="M948" i="4"/>
  <c r="M948" i="5" s="1"/>
  <c r="N948" i="5" s="1"/>
  <c r="L948" i="4"/>
  <c r="P947" i="4"/>
  <c r="O947" i="4"/>
  <c r="N947" i="4"/>
  <c r="M947" i="4"/>
  <c r="M947" i="5" s="1"/>
  <c r="N947" i="5" s="1"/>
  <c r="L947" i="4"/>
  <c r="P946" i="4"/>
  <c r="O946" i="4"/>
  <c r="N946" i="4"/>
  <c r="M946" i="4"/>
  <c r="M946" i="5" s="1"/>
  <c r="N946" i="5" s="1"/>
  <c r="L946" i="4"/>
  <c r="P945" i="4"/>
  <c r="O945" i="4"/>
  <c r="N945" i="4"/>
  <c r="M945" i="4"/>
  <c r="M945" i="5" s="1"/>
  <c r="N945" i="5" s="1"/>
  <c r="L945" i="4"/>
  <c r="P944" i="4"/>
  <c r="O944" i="4"/>
  <c r="N944" i="4"/>
  <c r="M944" i="4"/>
  <c r="M944" i="5" s="1"/>
  <c r="N944" i="5" s="1"/>
  <c r="L944" i="4"/>
  <c r="P943" i="4"/>
  <c r="O943" i="4"/>
  <c r="N943" i="4"/>
  <c r="M943" i="4"/>
  <c r="M943" i="5" s="1"/>
  <c r="N943" i="5" s="1"/>
  <c r="L943" i="4"/>
  <c r="P942" i="4"/>
  <c r="O942" i="4"/>
  <c r="N942" i="4"/>
  <c r="M942" i="4"/>
  <c r="M942" i="5" s="1"/>
  <c r="N942" i="5" s="1"/>
  <c r="L942" i="4"/>
  <c r="P941" i="4"/>
  <c r="O941" i="4"/>
  <c r="N941" i="4"/>
  <c r="M941" i="4"/>
  <c r="M941" i="5" s="1"/>
  <c r="N941" i="5" s="1"/>
  <c r="L941" i="4"/>
  <c r="P940" i="4"/>
  <c r="O940" i="4"/>
  <c r="N940" i="4"/>
  <c r="M940" i="4"/>
  <c r="M940" i="5" s="1"/>
  <c r="N940" i="5" s="1"/>
  <c r="L940" i="4"/>
  <c r="P939" i="4"/>
  <c r="O939" i="4"/>
  <c r="N939" i="4"/>
  <c r="M939" i="4"/>
  <c r="M939" i="5" s="1"/>
  <c r="N939" i="5" s="1"/>
  <c r="L939" i="4"/>
  <c r="P938" i="4"/>
  <c r="O938" i="4"/>
  <c r="N938" i="4"/>
  <c r="M938" i="4"/>
  <c r="M938" i="5" s="1"/>
  <c r="N938" i="5" s="1"/>
  <c r="L938" i="4"/>
  <c r="P937" i="4"/>
  <c r="O937" i="4"/>
  <c r="N937" i="4"/>
  <c r="M937" i="4"/>
  <c r="M937" i="5" s="1"/>
  <c r="N937" i="5" s="1"/>
  <c r="L937" i="4"/>
  <c r="P936" i="4"/>
  <c r="O936" i="4"/>
  <c r="N936" i="4"/>
  <c r="M936" i="4"/>
  <c r="M936" i="5" s="1"/>
  <c r="N936" i="5" s="1"/>
  <c r="L936" i="4"/>
  <c r="P935" i="4"/>
  <c r="O935" i="4"/>
  <c r="N935" i="4"/>
  <c r="M935" i="4"/>
  <c r="M935" i="5" s="1"/>
  <c r="N935" i="5" s="1"/>
  <c r="L935" i="4"/>
  <c r="P934" i="4"/>
  <c r="O934" i="4"/>
  <c r="N934" i="4"/>
  <c r="M934" i="4"/>
  <c r="M934" i="5" s="1"/>
  <c r="N934" i="5" s="1"/>
  <c r="L934" i="4"/>
  <c r="P933" i="4"/>
  <c r="O933" i="4"/>
  <c r="N933" i="4"/>
  <c r="M933" i="4"/>
  <c r="M933" i="5" s="1"/>
  <c r="N933" i="5" s="1"/>
  <c r="L933" i="4"/>
  <c r="P932" i="4"/>
  <c r="O932" i="4"/>
  <c r="N932" i="4"/>
  <c r="M932" i="4"/>
  <c r="M932" i="5" s="1"/>
  <c r="N932" i="5" s="1"/>
  <c r="L932" i="4"/>
  <c r="P931" i="4"/>
  <c r="O931" i="4"/>
  <c r="N931" i="4"/>
  <c r="M931" i="4"/>
  <c r="M931" i="5" s="1"/>
  <c r="N931" i="5" s="1"/>
  <c r="L931" i="4"/>
  <c r="P930" i="4"/>
  <c r="O930" i="4"/>
  <c r="N930" i="4"/>
  <c r="M930" i="4"/>
  <c r="M930" i="5" s="1"/>
  <c r="N930" i="5" s="1"/>
  <c r="L930" i="4"/>
  <c r="P929" i="4"/>
  <c r="O929" i="4"/>
  <c r="N929" i="4"/>
  <c r="M929" i="4"/>
  <c r="M929" i="5" s="1"/>
  <c r="N929" i="5" s="1"/>
  <c r="L929" i="4"/>
  <c r="P928" i="4"/>
  <c r="O928" i="4"/>
  <c r="N928" i="4"/>
  <c r="M928" i="4"/>
  <c r="M928" i="5" s="1"/>
  <c r="N928" i="5" s="1"/>
  <c r="L928" i="4"/>
  <c r="P927" i="4"/>
  <c r="O927" i="4"/>
  <c r="N927" i="4"/>
  <c r="M927" i="4"/>
  <c r="M927" i="5" s="1"/>
  <c r="N927" i="5" s="1"/>
  <c r="L927" i="4"/>
  <c r="P926" i="4"/>
  <c r="O926" i="4"/>
  <c r="N926" i="4"/>
  <c r="M926" i="4"/>
  <c r="M926" i="5" s="1"/>
  <c r="N926" i="5" s="1"/>
  <c r="L926" i="4"/>
  <c r="P925" i="4"/>
  <c r="O925" i="4"/>
  <c r="N925" i="4"/>
  <c r="M925" i="4"/>
  <c r="M925" i="5" s="1"/>
  <c r="N925" i="5" s="1"/>
  <c r="L925" i="4"/>
  <c r="P924" i="4"/>
  <c r="O924" i="4"/>
  <c r="N924" i="4"/>
  <c r="M924" i="4"/>
  <c r="M924" i="5" s="1"/>
  <c r="N924" i="5" s="1"/>
  <c r="L924" i="4"/>
  <c r="P923" i="4"/>
  <c r="O923" i="4"/>
  <c r="N923" i="4"/>
  <c r="M923" i="4"/>
  <c r="M923" i="5" s="1"/>
  <c r="N923" i="5" s="1"/>
  <c r="L923" i="4"/>
  <c r="P922" i="4"/>
  <c r="O922" i="4"/>
  <c r="N922" i="4"/>
  <c r="M922" i="4"/>
  <c r="M922" i="5" s="1"/>
  <c r="N922" i="5" s="1"/>
  <c r="L922" i="4"/>
  <c r="P921" i="4"/>
  <c r="O921" i="4"/>
  <c r="N921" i="4"/>
  <c r="M921" i="4"/>
  <c r="M921" i="5" s="1"/>
  <c r="N921" i="5" s="1"/>
  <c r="L921" i="4"/>
  <c r="P920" i="4"/>
  <c r="O920" i="4"/>
  <c r="N920" i="4"/>
  <c r="M920" i="4"/>
  <c r="M920" i="5" s="1"/>
  <c r="N920" i="5" s="1"/>
  <c r="L920" i="4"/>
  <c r="P919" i="4"/>
  <c r="O919" i="4"/>
  <c r="N919" i="4"/>
  <c r="M919" i="4"/>
  <c r="M919" i="5" s="1"/>
  <c r="N919" i="5" s="1"/>
  <c r="L919" i="4"/>
  <c r="P918" i="4"/>
  <c r="O918" i="4"/>
  <c r="N918" i="4"/>
  <c r="M918" i="4"/>
  <c r="M918" i="5" s="1"/>
  <c r="N918" i="5" s="1"/>
  <c r="L918" i="4"/>
  <c r="P917" i="4"/>
  <c r="O917" i="4"/>
  <c r="N917" i="4"/>
  <c r="M917" i="4"/>
  <c r="M917" i="5" s="1"/>
  <c r="N917" i="5" s="1"/>
  <c r="L917" i="4"/>
  <c r="P916" i="4"/>
  <c r="O916" i="4"/>
  <c r="N916" i="4"/>
  <c r="M916" i="4"/>
  <c r="M916" i="5" s="1"/>
  <c r="N916" i="5" s="1"/>
  <c r="L916" i="4"/>
  <c r="P915" i="4"/>
  <c r="O915" i="4"/>
  <c r="N915" i="4"/>
  <c r="M915" i="4"/>
  <c r="M915" i="5" s="1"/>
  <c r="N915" i="5" s="1"/>
  <c r="L915" i="4"/>
  <c r="P914" i="4"/>
  <c r="O914" i="4"/>
  <c r="N914" i="4"/>
  <c r="M914" i="4"/>
  <c r="M914" i="5" s="1"/>
  <c r="N914" i="5" s="1"/>
  <c r="L914" i="4"/>
  <c r="P913" i="4"/>
  <c r="O913" i="4"/>
  <c r="N913" i="4"/>
  <c r="M913" i="4"/>
  <c r="M913" i="5" s="1"/>
  <c r="N913" i="5" s="1"/>
  <c r="L913" i="4"/>
  <c r="P912" i="4"/>
  <c r="O912" i="4"/>
  <c r="N912" i="4"/>
  <c r="M912" i="4"/>
  <c r="M912" i="5" s="1"/>
  <c r="N912" i="5" s="1"/>
  <c r="L912" i="4"/>
  <c r="P911" i="4"/>
  <c r="O911" i="4"/>
  <c r="N911" i="4"/>
  <c r="M911" i="4"/>
  <c r="M911" i="5" s="1"/>
  <c r="N911" i="5" s="1"/>
  <c r="L911" i="4"/>
  <c r="P910" i="4"/>
  <c r="O910" i="4"/>
  <c r="N910" i="4"/>
  <c r="M910" i="4"/>
  <c r="M910" i="5" s="1"/>
  <c r="N910" i="5" s="1"/>
  <c r="L910" i="4"/>
  <c r="P909" i="4"/>
  <c r="O909" i="4"/>
  <c r="N909" i="4"/>
  <c r="M909" i="4"/>
  <c r="M909" i="5" s="1"/>
  <c r="N909" i="5" s="1"/>
  <c r="L909" i="4"/>
  <c r="P908" i="4"/>
  <c r="O908" i="4"/>
  <c r="N908" i="4"/>
  <c r="M908" i="4"/>
  <c r="M908" i="5" s="1"/>
  <c r="N908" i="5" s="1"/>
  <c r="L908" i="4"/>
  <c r="P907" i="4"/>
  <c r="O907" i="4"/>
  <c r="N907" i="4"/>
  <c r="M907" i="4"/>
  <c r="M907" i="5" s="1"/>
  <c r="N907" i="5" s="1"/>
  <c r="L907" i="4"/>
  <c r="P906" i="4"/>
  <c r="O906" i="4"/>
  <c r="N906" i="4"/>
  <c r="M906" i="4"/>
  <c r="M906" i="5" s="1"/>
  <c r="N906" i="5" s="1"/>
  <c r="L906" i="4"/>
  <c r="P905" i="4"/>
  <c r="O905" i="4"/>
  <c r="N905" i="4"/>
  <c r="M905" i="4"/>
  <c r="M905" i="5" s="1"/>
  <c r="N905" i="5" s="1"/>
  <c r="L905" i="4"/>
  <c r="P904" i="4"/>
  <c r="O904" i="4"/>
  <c r="N904" i="4"/>
  <c r="M904" i="4"/>
  <c r="M904" i="5" s="1"/>
  <c r="N904" i="5" s="1"/>
  <c r="L904" i="4"/>
  <c r="P903" i="4"/>
  <c r="O903" i="4"/>
  <c r="N903" i="4"/>
  <c r="M903" i="4"/>
  <c r="M903" i="5" s="1"/>
  <c r="N903" i="5" s="1"/>
  <c r="L903" i="4"/>
  <c r="P902" i="4"/>
  <c r="O902" i="4"/>
  <c r="N902" i="4"/>
  <c r="M902" i="4"/>
  <c r="M902" i="5" s="1"/>
  <c r="N902" i="5" s="1"/>
  <c r="L902" i="4"/>
  <c r="P901" i="4"/>
  <c r="O901" i="4"/>
  <c r="N901" i="4"/>
  <c r="M901" i="4"/>
  <c r="M901" i="5" s="1"/>
  <c r="N901" i="5" s="1"/>
  <c r="L901" i="4"/>
  <c r="P900" i="4"/>
  <c r="O900" i="4"/>
  <c r="N900" i="4"/>
  <c r="M900" i="4"/>
  <c r="M900" i="5" s="1"/>
  <c r="N900" i="5" s="1"/>
  <c r="L900" i="4"/>
  <c r="P899" i="4"/>
  <c r="O899" i="4"/>
  <c r="N899" i="4"/>
  <c r="M899" i="4"/>
  <c r="M899" i="5" s="1"/>
  <c r="N899" i="5" s="1"/>
  <c r="L899" i="4"/>
  <c r="P898" i="4"/>
  <c r="O898" i="4"/>
  <c r="N898" i="4"/>
  <c r="M898" i="4"/>
  <c r="M898" i="5" s="1"/>
  <c r="N898" i="5" s="1"/>
  <c r="L898" i="4"/>
  <c r="P897" i="4"/>
  <c r="O897" i="4"/>
  <c r="N897" i="4"/>
  <c r="M897" i="4"/>
  <c r="M897" i="5" s="1"/>
  <c r="N897" i="5" s="1"/>
  <c r="L897" i="4"/>
  <c r="P896" i="4"/>
  <c r="O896" i="4"/>
  <c r="N896" i="4"/>
  <c r="M896" i="4"/>
  <c r="M896" i="5" s="1"/>
  <c r="N896" i="5" s="1"/>
  <c r="L896" i="4"/>
  <c r="P895" i="4"/>
  <c r="O895" i="4"/>
  <c r="N895" i="4"/>
  <c r="M895" i="4"/>
  <c r="M895" i="5" s="1"/>
  <c r="N895" i="5" s="1"/>
  <c r="L895" i="4"/>
  <c r="P894" i="4"/>
  <c r="O894" i="4"/>
  <c r="N894" i="4"/>
  <c r="M894" i="4"/>
  <c r="M894" i="5" s="1"/>
  <c r="N894" i="5" s="1"/>
  <c r="L894" i="4"/>
  <c r="P893" i="4"/>
  <c r="O893" i="4"/>
  <c r="N893" i="4"/>
  <c r="M893" i="4"/>
  <c r="M893" i="5" s="1"/>
  <c r="N893" i="5" s="1"/>
  <c r="L893" i="4"/>
  <c r="P892" i="4"/>
  <c r="O892" i="4"/>
  <c r="N892" i="4"/>
  <c r="M892" i="4"/>
  <c r="M892" i="5" s="1"/>
  <c r="N892" i="5" s="1"/>
  <c r="L892" i="4"/>
  <c r="P891" i="4"/>
  <c r="O891" i="4"/>
  <c r="N891" i="4"/>
  <c r="M891" i="4"/>
  <c r="M891" i="5" s="1"/>
  <c r="N891" i="5" s="1"/>
  <c r="L891" i="4"/>
  <c r="P890" i="4"/>
  <c r="O890" i="4"/>
  <c r="N890" i="4"/>
  <c r="M890" i="4"/>
  <c r="M890" i="5" s="1"/>
  <c r="N890" i="5" s="1"/>
  <c r="L890" i="4"/>
  <c r="P889" i="4"/>
  <c r="O889" i="4"/>
  <c r="N889" i="4"/>
  <c r="M889" i="4"/>
  <c r="M889" i="5" s="1"/>
  <c r="N889" i="5" s="1"/>
  <c r="L889" i="4"/>
  <c r="P888" i="4"/>
  <c r="O888" i="4"/>
  <c r="N888" i="4"/>
  <c r="M888" i="4"/>
  <c r="M888" i="5" s="1"/>
  <c r="N888" i="5" s="1"/>
  <c r="L888" i="4"/>
  <c r="P887" i="4"/>
  <c r="O887" i="4"/>
  <c r="N887" i="4"/>
  <c r="M887" i="4"/>
  <c r="M887" i="5" s="1"/>
  <c r="N887" i="5" s="1"/>
  <c r="L887" i="4"/>
  <c r="P886" i="4"/>
  <c r="O886" i="4"/>
  <c r="N886" i="4"/>
  <c r="M886" i="4"/>
  <c r="M886" i="5" s="1"/>
  <c r="N886" i="5" s="1"/>
  <c r="L886" i="4"/>
  <c r="P885" i="4"/>
  <c r="O885" i="4"/>
  <c r="N885" i="4"/>
  <c r="M885" i="4"/>
  <c r="M885" i="5" s="1"/>
  <c r="N885" i="5" s="1"/>
  <c r="L885" i="4"/>
  <c r="P884" i="4"/>
  <c r="O884" i="4"/>
  <c r="N884" i="4"/>
  <c r="M884" i="4"/>
  <c r="M884" i="5" s="1"/>
  <c r="N884" i="5" s="1"/>
  <c r="L884" i="4"/>
  <c r="P883" i="4"/>
  <c r="O883" i="4"/>
  <c r="N883" i="4"/>
  <c r="M883" i="4"/>
  <c r="M883" i="5" s="1"/>
  <c r="N883" i="5" s="1"/>
  <c r="L883" i="4"/>
  <c r="P882" i="4"/>
  <c r="O882" i="4"/>
  <c r="N882" i="4"/>
  <c r="M882" i="4"/>
  <c r="M882" i="5" s="1"/>
  <c r="N882" i="5" s="1"/>
  <c r="L882" i="4"/>
  <c r="P881" i="4"/>
  <c r="O881" i="4"/>
  <c r="N881" i="4"/>
  <c r="M881" i="4"/>
  <c r="M881" i="5" s="1"/>
  <c r="N881" i="5" s="1"/>
  <c r="L881" i="4"/>
  <c r="P880" i="4"/>
  <c r="O880" i="4"/>
  <c r="N880" i="4"/>
  <c r="M880" i="4"/>
  <c r="M880" i="5" s="1"/>
  <c r="N880" i="5" s="1"/>
  <c r="L880" i="4"/>
  <c r="P879" i="4"/>
  <c r="O879" i="4"/>
  <c r="N879" i="4"/>
  <c r="M879" i="4"/>
  <c r="M879" i="5" s="1"/>
  <c r="N879" i="5" s="1"/>
  <c r="L879" i="4"/>
  <c r="P878" i="4"/>
  <c r="O878" i="4"/>
  <c r="N878" i="4"/>
  <c r="M878" i="4"/>
  <c r="M878" i="5" s="1"/>
  <c r="N878" i="5" s="1"/>
  <c r="L878" i="4"/>
  <c r="P877" i="4"/>
  <c r="O877" i="4"/>
  <c r="N877" i="4"/>
  <c r="M877" i="4"/>
  <c r="M877" i="5" s="1"/>
  <c r="N877" i="5" s="1"/>
  <c r="L877" i="4"/>
  <c r="P876" i="4"/>
  <c r="O876" i="4"/>
  <c r="N876" i="4"/>
  <c r="M876" i="4"/>
  <c r="M876" i="5" s="1"/>
  <c r="N876" i="5" s="1"/>
  <c r="L876" i="4"/>
  <c r="P875" i="4"/>
  <c r="O875" i="4"/>
  <c r="N875" i="4"/>
  <c r="M875" i="4"/>
  <c r="M875" i="5" s="1"/>
  <c r="N875" i="5" s="1"/>
  <c r="L875" i="4"/>
  <c r="P874" i="4"/>
  <c r="O874" i="4"/>
  <c r="N874" i="4"/>
  <c r="M874" i="4"/>
  <c r="M874" i="5" s="1"/>
  <c r="N874" i="5" s="1"/>
  <c r="L874" i="4"/>
  <c r="P873" i="4"/>
  <c r="O873" i="4"/>
  <c r="N873" i="4"/>
  <c r="M873" i="4"/>
  <c r="M873" i="5" s="1"/>
  <c r="N873" i="5" s="1"/>
  <c r="L873" i="4"/>
  <c r="P872" i="4"/>
  <c r="O872" i="4"/>
  <c r="N872" i="4"/>
  <c r="M872" i="4"/>
  <c r="M872" i="5" s="1"/>
  <c r="N872" i="5" s="1"/>
  <c r="L872" i="4"/>
  <c r="P871" i="4"/>
  <c r="O871" i="4"/>
  <c r="N871" i="4"/>
  <c r="M871" i="4"/>
  <c r="M871" i="5" s="1"/>
  <c r="N871" i="5" s="1"/>
  <c r="L871" i="4"/>
  <c r="P870" i="4"/>
  <c r="O870" i="4"/>
  <c r="N870" i="4"/>
  <c r="M870" i="4"/>
  <c r="M870" i="5" s="1"/>
  <c r="N870" i="5" s="1"/>
  <c r="L870" i="4"/>
  <c r="P869" i="4"/>
  <c r="O869" i="4"/>
  <c r="N869" i="4"/>
  <c r="M869" i="4"/>
  <c r="M869" i="5" s="1"/>
  <c r="N869" i="5" s="1"/>
  <c r="L869" i="4"/>
  <c r="P868" i="4"/>
  <c r="O868" i="4"/>
  <c r="N868" i="4"/>
  <c r="M868" i="4"/>
  <c r="M868" i="5" s="1"/>
  <c r="N868" i="5" s="1"/>
  <c r="L868" i="4"/>
  <c r="P867" i="4"/>
  <c r="O867" i="4"/>
  <c r="N867" i="4"/>
  <c r="M867" i="4"/>
  <c r="M867" i="5" s="1"/>
  <c r="N867" i="5" s="1"/>
  <c r="L867" i="4"/>
  <c r="P866" i="4"/>
  <c r="O866" i="4"/>
  <c r="N866" i="4"/>
  <c r="M866" i="4"/>
  <c r="M866" i="5" s="1"/>
  <c r="N866" i="5" s="1"/>
  <c r="L866" i="4"/>
  <c r="P865" i="4"/>
  <c r="O865" i="4"/>
  <c r="N865" i="4"/>
  <c r="M865" i="4"/>
  <c r="M865" i="5" s="1"/>
  <c r="N865" i="5" s="1"/>
  <c r="L865" i="4"/>
  <c r="P864" i="4"/>
  <c r="O864" i="4"/>
  <c r="N864" i="4"/>
  <c r="M864" i="4"/>
  <c r="M864" i="5" s="1"/>
  <c r="N864" i="5" s="1"/>
  <c r="L864" i="4"/>
  <c r="P863" i="4"/>
  <c r="O863" i="4"/>
  <c r="N863" i="4"/>
  <c r="M863" i="4"/>
  <c r="M863" i="5" s="1"/>
  <c r="N863" i="5" s="1"/>
  <c r="L863" i="4"/>
  <c r="P862" i="4"/>
  <c r="O862" i="4"/>
  <c r="N862" i="4"/>
  <c r="M862" i="4"/>
  <c r="M862" i="5" s="1"/>
  <c r="N862" i="5" s="1"/>
  <c r="L862" i="4"/>
  <c r="P861" i="4"/>
  <c r="O861" i="4"/>
  <c r="N861" i="4"/>
  <c r="M861" i="4"/>
  <c r="M861" i="5" s="1"/>
  <c r="N861" i="5" s="1"/>
  <c r="L861" i="4"/>
  <c r="P860" i="4"/>
  <c r="O860" i="4"/>
  <c r="N860" i="4"/>
  <c r="M860" i="4"/>
  <c r="M860" i="5" s="1"/>
  <c r="N860" i="5" s="1"/>
  <c r="L860" i="4"/>
  <c r="P859" i="4"/>
  <c r="O859" i="4"/>
  <c r="N859" i="4"/>
  <c r="M859" i="4"/>
  <c r="M859" i="5" s="1"/>
  <c r="N859" i="5" s="1"/>
  <c r="L859" i="4"/>
  <c r="P858" i="4"/>
  <c r="O858" i="4"/>
  <c r="N858" i="4"/>
  <c r="M858" i="4"/>
  <c r="M858" i="5" s="1"/>
  <c r="N858" i="5" s="1"/>
  <c r="L858" i="4"/>
  <c r="P857" i="4"/>
  <c r="O857" i="4"/>
  <c r="N857" i="4"/>
  <c r="M857" i="4"/>
  <c r="M857" i="5" s="1"/>
  <c r="N857" i="5" s="1"/>
  <c r="L857" i="4"/>
  <c r="P856" i="4"/>
  <c r="O856" i="4"/>
  <c r="N856" i="4"/>
  <c r="M856" i="4"/>
  <c r="M856" i="5" s="1"/>
  <c r="N856" i="5" s="1"/>
  <c r="L856" i="4"/>
  <c r="P855" i="4"/>
  <c r="O855" i="4"/>
  <c r="N855" i="4"/>
  <c r="M855" i="4"/>
  <c r="M855" i="5" s="1"/>
  <c r="N855" i="5" s="1"/>
  <c r="L855" i="4"/>
  <c r="P854" i="4"/>
  <c r="O854" i="4"/>
  <c r="N854" i="4"/>
  <c r="M854" i="4"/>
  <c r="M854" i="5" s="1"/>
  <c r="N854" i="5" s="1"/>
  <c r="L854" i="4"/>
  <c r="P853" i="4"/>
  <c r="O853" i="4"/>
  <c r="N853" i="4"/>
  <c r="M853" i="4"/>
  <c r="M853" i="5" s="1"/>
  <c r="N853" i="5" s="1"/>
  <c r="L853" i="4"/>
  <c r="P852" i="4"/>
  <c r="O852" i="4"/>
  <c r="N852" i="4"/>
  <c r="M852" i="4"/>
  <c r="M852" i="5" s="1"/>
  <c r="N852" i="5" s="1"/>
  <c r="L852" i="4"/>
  <c r="P851" i="4"/>
  <c r="O851" i="4"/>
  <c r="N851" i="4"/>
  <c r="M851" i="4"/>
  <c r="M851" i="5" s="1"/>
  <c r="N851" i="5" s="1"/>
  <c r="L851" i="4"/>
  <c r="P850" i="4"/>
  <c r="O850" i="4"/>
  <c r="N850" i="4"/>
  <c r="M850" i="4"/>
  <c r="M850" i="5" s="1"/>
  <c r="N850" i="5" s="1"/>
  <c r="L850" i="4"/>
  <c r="P849" i="4"/>
  <c r="O849" i="4"/>
  <c r="N849" i="4"/>
  <c r="M849" i="4"/>
  <c r="M849" i="5" s="1"/>
  <c r="N849" i="5" s="1"/>
  <c r="L849" i="4"/>
  <c r="P848" i="4"/>
  <c r="O848" i="4"/>
  <c r="N848" i="4"/>
  <c r="M848" i="4"/>
  <c r="M848" i="5" s="1"/>
  <c r="N848" i="5" s="1"/>
  <c r="L848" i="4"/>
  <c r="P847" i="4"/>
  <c r="O847" i="4"/>
  <c r="N847" i="4"/>
  <c r="M847" i="4"/>
  <c r="M847" i="5" s="1"/>
  <c r="N847" i="5" s="1"/>
  <c r="L847" i="4"/>
  <c r="P846" i="4"/>
  <c r="O846" i="4"/>
  <c r="N846" i="4"/>
  <c r="M846" i="4"/>
  <c r="M846" i="5" s="1"/>
  <c r="N846" i="5" s="1"/>
  <c r="L846" i="4"/>
  <c r="P845" i="4"/>
  <c r="O845" i="4"/>
  <c r="N845" i="4"/>
  <c r="M845" i="4"/>
  <c r="M845" i="5" s="1"/>
  <c r="N845" i="5" s="1"/>
  <c r="L845" i="4"/>
  <c r="P844" i="4"/>
  <c r="O844" i="4"/>
  <c r="N844" i="4"/>
  <c r="M844" i="4"/>
  <c r="M844" i="5" s="1"/>
  <c r="N844" i="5" s="1"/>
  <c r="L844" i="4"/>
  <c r="P843" i="4"/>
  <c r="O843" i="4"/>
  <c r="N843" i="4"/>
  <c r="M843" i="4"/>
  <c r="M843" i="5" s="1"/>
  <c r="N843" i="5" s="1"/>
  <c r="L843" i="4"/>
  <c r="P842" i="4"/>
  <c r="O842" i="4"/>
  <c r="N842" i="4"/>
  <c r="M842" i="4"/>
  <c r="M842" i="5" s="1"/>
  <c r="N842" i="5" s="1"/>
  <c r="L842" i="4"/>
  <c r="P841" i="4"/>
  <c r="O841" i="4"/>
  <c r="N841" i="4"/>
  <c r="M841" i="4"/>
  <c r="M841" i="5" s="1"/>
  <c r="N841" i="5" s="1"/>
  <c r="L841" i="4"/>
  <c r="P840" i="4"/>
  <c r="O840" i="4"/>
  <c r="N840" i="4"/>
  <c r="M840" i="4"/>
  <c r="M840" i="5" s="1"/>
  <c r="N840" i="5" s="1"/>
  <c r="L840" i="4"/>
  <c r="P839" i="4"/>
  <c r="O839" i="4"/>
  <c r="N839" i="4"/>
  <c r="M839" i="4"/>
  <c r="M839" i="5" s="1"/>
  <c r="N839" i="5" s="1"/>
  <c r="L839" i="4"/>
  <c r="P838" i="4"/>
  <c r="O838" i="4"/>
  <c r="N838" i="4"/>
  <c r="M838" i="4"/>
  <c r="M838" i="5" s="1"/>
  <c r="N838" i="5" s="1"/>
  <c r="L838" i="4"/>
  <c r="P837" i="4"/>
  <c r="O837" i="4"/>
  <c r="N837" i="4"/>
  <c r="M837" i="4"/>
  <c r="M837" i="5" s="1"/>
  <c r="N837" i="5" s="1"/>
  <c r="L837" i="4"/>
  <c r="P836" i="4"/>
  <c r="O836" i="4"/>
  <c r="N836" i="4"/>
  <c r="M836" i="4"/>
  <c r="M836" i="5" s="1"/>
  <c r="N836" i="5" s="1"/>
  <c r="L836" i="4"/>
  <c r="P835" i="4"/>
  <c r="O835" i="4"/>
  <c r="N835" i="4"/>
  <c r="M835" i="4"/>
  <c r="M835" i="5" s="1"/>
  <c r="N835" i="5" s="1"/>
  <c r="L835" i="4"/>
  <c r="P834" i="4"/>
  <c r="O834" i="4"/>
  <c r="N834" i="4"/>
  <c r="M834" i="4"/>
  <c r="M834" i="5" s="1"/>
  <c r="N834" i="5" s="1"/>
  <c r="L834" i="4"/>
  <c r="P833" i="4"/>
  <c r="O833" i="4"/>
  <c r="N833" i="4"/>
  <c r="M833" i="4"/>
  <c r="M833" i="5" s="1"/>
  <c r="N833" i="5" s="1"/>
  <c r="L833" i="4"/>
  <c r="P832" i="4"/>
  <c r="O832" i="4"/>
  <c r="N832" i="4"/>
  <c r="M832" i="4"/>
  <c r="M832" i="5" s="1"/>
  <c r="N832" i="5" s="1"/>
  <c r="L832" i="4"/>
  <c r="P831" i="4"/>
  <c r="O831" i="4"/>
  <c r="N831" i="4"/>
  <c r="M831" i="4"/>
  <c r="M831" i="5" s="1"/>
  <c r="N831" i="5" s="1"/>
  <c r="L831" i="4"/>
  <c r="P830" i="4"/>
  <c r="O830" i="4"/>
  <c r="N830" i="4"/>
  <c r="M830" i="4"/>
  <c r="M830" i="5" s="1"/>
  <c r="N830" i="5" s="1"/>
  <c r="L830" i="4"/>
  <c r="P829" i="4"/>
  <c r="O829" i="4"/>
  <c r="N829" i="4"/>
  <c r="M829" i="4"/>
  <c r="M829" i="5" s="1"/>
  <c r="N829" i="5" s="1"/>
  <c r="L829" i="4"/>
  <c r="P828" i="4"/>
  <c r="O828" i="4"/>
  <c r="N828" i="4"/>
  <c r="M828" i="4"/>
  <c r="M828" i="5" s="1"/>
  <c r="N828" i="5" s="1"/>
  <c r="L828" i="4"/>
  <c r="P827" i="4"/>
  <c r="O827" i="4"/>
  <c r="N827" i="4"/>
  <c r="M827" i="4"/>
  <c r="M827" i="5" s="1"/>
  <c r="N827" i="5" s="1"/>
  <c r="L827" i="4"/>
  <c r="P826" i="4"/>
  <c r="O826" i="4"/>
  <c r="N826" i="4"/>
  <c r="M826" i="4"/>
  <c r="M826" i="5" s="1"/>
  <c r="N826" i="5" s="1"/>
  <c r="L826" i="4"/>
  <c r="P825" i="4"/>
  <c r="O825" i="4"/>
  <c r="N825" i="4"/>
  <c r="M825" i="4"/>
  <c r="M825" i="5" s="1"/>
  <c r="N825" i="5" s="1"/>
  <c r="L825" i="4"/>
  <c r="P824" i="4"/>
  <c r="O824" i="4"/>
  <c r="N824" i="4"/>
  <c r="M824" i="4"/>
  <c r="M824" i="5" s="1"/>
  <c r="N824" i="5" s="1"/>
  <c r="L824" i="4"/>
  <c r="P823" i="4"/>
  <c r="O823" i="4"/>
  <c r="N823" i="4"/>
  <c r="M823" i="4"/>
  <c r="M823" i="5" s="1"/>
  <c r="N823" i="5" s="1"/>
  <c r="L823" i="4"/>
  <c r="P822" i="4"/>
  <c r="O822" i="4"/>
  <c r="N822" i="4"/>
  <c r="M822" i="4"/>
  <c r="M822" i="5" s="1"/>
  <c r="N822" i="5" s="1"/>
  <c r="L822" i="4"/>
  <c r="P821" i="4"/>
  <c r="O821" i="4"/>
  <c r="N821" i="4"/>
  <c r="M821" i="4"/>
  <c r="M821" i="5" s="1"/>
  <c r="N821" i="5" s="1"/>
  <c r="L821" i="4"/>
  <c r="P820" i="4"/>
  <c r="O820" i="4"/>
  <c r="N820" i="4"/>
  <c r="M820" i="4"/>
  <c r="M820" i="5" s="1"/>
  <c r="N820" i="5" s="1"/>
  <c r="L820" i="4"/>
  <c r="P819" i="4"/>
  <c r="O819" i="4"/>
  <c r="N819" i="4"/>
  <c r="M819" i="4"/>
  <c r="M819" i="5" s="1"/>
  <c r="N819" i="5" s="1"/>
  <c r="L819" i="4"/>
  <c r="P818" i="4"/>
  <c r="O818" i="4"/>
  <c r="N818" i="4"/>
  <c r="M818" i="4"/>
  <c r="M818" i="5" s="1"/>
  <c r="N818" i="5" s="1"/>
  <c r="L818" i="4"/>
  <c r="P817" i="4"/>
  <c r="O817" i="4"/>
  <c r="N817" i="4"/>
  <c r="M817" i="4"/>
  <c r="M817" i="5" s="1"/>
  <c r="N817" i="5" s="1"/>
  <c r="L817" i="4"/>
  <c r="P816" i="4"/>
  <c r="O816" i="4"/>
  <c r="N816" i="4"/>
  <c r="M816" i="4"/>
  <c r="M816" i="5" s="1"/>
  <c r="N816" i="5" s="1"/>
  <c r="L816" i="4"/>
  <c r="P815" i="4"/>
  <c r="O815" i="4"/>
  <c r="N815" i="4"/>
  <c r="M815" i="4"/>
  <c r="M815" i="5" s="1"/>
  <c r="N815" i="5" s="1"/>
  <c r="L815" i="4"/>
  <c r="P814" i="4"/>
  <c r="O814" i="4"/>
  <c r="N814" i="4"/>
  <c r="M814" i="4"/>
  <c r="M814" i="5" s="1"/>
  <c r="N814" i="5" s="1"/>
  <c r="L814" i="4"/>
  <c r="P813" i="4"/>
  <c r="O813" i="4"/>
  <c r="N813" i="4"/>
  <c r="M813" i="4"/>
  <c r="M813" i="5" s="1"/>
  <c r="N813" i="5" s="1"/>
  <c r="L813" i="4"/>
  <c r="P812" i="4"/>
  <c r="O812" i="4"/>
  <c r="N812" i="4"/>
  <c r="M812" i="4"/>
  <c r="M812" i="5" s="1"/>
  <c r="N812" i="5" s="1"/>
  <c r="L812" i="4"/>
  <c r="P811" i="4"/>
  <c r="O811" i="4"/>
  <c r="N811" i="4"/>
  <c r="M811" i="4"/>
  <c r="M811" i="5" s="1"/>
  <c r="N811" i="5" s="1"/>
  <c r="L811" i="4"/>
  <c r="P810" i="4"/>
  <c r="O810" i="4"/>
  <c r="N810" i="4"/>
  <c r="M810" i="4"/>
  <c r="M810" i="5" s="1"/>
  <c r="N810" i="5" s="1"/>
  <c r="L810" i="4"/>
  <c r="P809" i="4"/>
  <c r="O809" i="4"/>
  <c r="N809" i="4"/>
  <c r="M809" i="4"/>
  <c r="M809" i="5" s="1"/>
  <c r="N809" i="5" s="1"/>
  <c r="L809" i="4"/>
  <c r="P808" i="4"/>
  <c r="O808" i="4"/>
  <c r="N808" i="4"/>
  <c r="M808" i="4"/>
  <c r="M808" i="5" s="1"/>
  <c r="N808" i="5" s="1"/>
  <c r="L808" i="4"/>
  <c r="P807" i="4"/>
  <c r="O807" i="4"/>
  <c r="N807" i="4"/>
  <c r="M807" i="4"/>
  <c r="M807" i="5" s="1"/>
  <c r="N807" i="5" s="1"/>
  <c r="L807" i="4"/>
  <c r="P806" i="4"/>
  <c r="O806" i="4"/>
  <c r="N806" i="4"/>
  <c r="M806" i="4"/>
  <c r="M806" i="5" s="1"/>
  <c r="N806" i="5" s="1"/>
  <c r="L806" i="4"/>
  <c r="P805" i="4"/>
  <c r="O805" i="4"/>
  <c r="N805" i="4"/>
  <c r="M805" i="4"/>
  <c r="M805" i="5" s="1"/>
  <c r="N805" i="5" s="1"/>
  <c r="L805" i="4"/>
  <c r="P804" i="4"/>
  <c r="O804" i="4"/>
  <c r="N804" i="4"/>
  <c r="M804" i="4"/>
  <c r="M804" i="5" s="1"/>
  <c r="N804" i="5" s="1"/>
  <c r="L804" i="4"/>
  <c r="P803" i="4"/>
  <c r="O803" i="4"/>
  <c r="N803" i="4"/>
  <c r="M803" i="4"/>
  <c r="M803" i="5" s="1"/>
  <c r="N803" i="5" s="1"/>
  <c r="L803" i="4"/>
  <c r="P802" i="4"/>
  <c r="O802" i="4"/>
  <c r="N802" i="4"/>
  <c r="M802" i="4"/>
  <c r="M802" i="5" s="1"/>
  <c r="N802" i="5" s="1"/>
  <c r="L802" i="4"/>
  <c r="P801" i="4"/>
  <c r="O801" i="4"/>
  <c r="N801" i="4"/>
  <c r="M801" i="4"/>
  <c r="M801" i="5" s="1"/>
  <c r="N801" i="5" s="1"/>
  <c r="L801" i="4"/>
  <c r="P800" i="4"/>
  <c r="O800" i="4"/>
  <c r="N800" i="4"/>
  <c r="M800" i="4"/>
  <c r="M800" i="5" s="1"/>
  <c r="N800" i="5" s="1"/>
  <c r="L800" i="4"/>
  <c r="P799" i="4"/>
  <c r="O799" i="4"/>
  <c r="N799" i="4"/>
  <c r="M799" i="4"/>
  <c r="M799" i="5" s="1"/>
  <c r="N799" i="5" s="1"/>
  <c r="L799" i="4"/>
  <c r="P798" i="4"/>
  <c r="O798" i="4"/>
  <c r="N798" i="4"/>
  <c r="M798" i="4"/>
  <c r="M798" i="5" s="1"/>
  <c r="N798" i="5" s="1"/>
  <c r="L798" i="4"/>
  <c r="P797" i="4"/>
  <c r="O797" i="4"/>
  <c r="N797" i="4"/>
  <c r="M797" i="4"/>
  <c r="M797" i="5" s="1"/>
  <c r="N797" i="5" s="1"/>
  <c r="L797" i="4"/>
  <c r="P796" i="4"/>
  <c r="O796" i="4"/>
  <c r="N796" i="4"/>
  <c r="M796" i="4"/>
  <c r="M796" i="5" s="1"/>
  <c r="N796" i="5" s="1"/>
  <c r="L796" i="4"/>
  <c r="P795" i="4"/>
  <c r="O795" i="4"/>
  <c r="N795" i="4"/>
  <c r="M795" i="4"/>
  <c r="M795" i="5" s="1"/>
  <c r="N795" i="5" s="1"/>
  <c r="L795" i="4"/>
  <c r="P794" i="4"/>
  <c r="O794" i="4"/>
  <c r="N794" i="4"/>
  <c r="M794" i="4"/>
  <c r="M794" i="5" s="1"/>
  <c r="N794" i="5" s="1"/>
  <c r="L794" i="4"/>
  <c r="P793" i="4"/>
  <c r="O793" i="4"/>
  <c r="N793" i="4"/>
  <c r="M793" i="4"/>
  <c r="M793" i="5" s="1"/>
  <c r="N793" i="5" s="1"/>
  <c r="L793" i="4"/>
  <c r="P792" i="4"/>
  <c r="O792" i="4"/>
  <c r="N792" i="4"/>
  <c r="M792" i="4"/>
  <c r="M792" i="5" s="1"/>
  <c r="N792" i="5" s="1"/>
  <c r="L792" i="4"/>
  <c r="P791" i="4"/>
  <c r="O791" i="4"/>
  <c r="N791" i="4"/>
  <c r="M791" i="4"/>
  <c r="M791" i="5" s="1"/>
  <c r="N791" i="5" s="1"/>
  <c r="L791" i="4"/>
  <c r="P790" i="4"/>
  <c r="O790" i="4"/>
  <c r="N790" i="4"/>
  <c r="M790" i="4"/>
  <c r="M790" i="5" s="1"/>
  <c r="N790" i="5" s="1"/>
  <c r="L790" i="4"/>
  <c r="P789" i="4"/>
  <c r="O789" i="4"/>
  <c r="N789" i="4"/>
  <c r="M789" i="4"/>
  <c r="M789" i="5" s="1"/>
  <c r="N789" i="5" s="1"/>
  <c r="L789" i="4"/>
  <c r="P788" i="4"/>
  <c r="O788" i="4"/>
  <c r="N788" i="4"/>
  <c r="M788" i="4"/>
  <c r="M788" i="5" s="1"/>
  <c r="N788" i="5" s="1"/>
  <c r="L788" i="4"/>
  <c r="P787" i="4"/>
  <c r="O787" i="4"/>
  <c r="N787" i="4"/>
  <c r="M787" i="4"/>
  <c r="M787" i="5" s="1"/>
  <c r="N787" i="5" s="1"/>
  <c r="L787" i="4"/>
  <c r="P786" i="4"/>
  <c r="O786" i="4"/>
  <c r="N786" i="4"/>
  <c r="M786" i="4"/>
  <c r="M786" i="5" s="1"/>
  <c r="N786" i="5" s="1"/>
  <c r="L786" i="4"/>
  <c r="P785" i="4"/>
  <c r="O785" i="4"/>
  <c r="N785" i="4"/>
  <c r="M785" i="4"/>
  <c r="M785" i="5" s="1"/>
  <c r="N785" i="5" s="1"/>
  <c r="L785" i="4"/>
  <c r="P784" i="4"/>
  <c r="O784" i="4"/>
  <c r="N784" i="4"/>
  <c r="M784" i="4"/>
  <c r="M784" i="5" s="1"/>
  <c r="N784" i="5" s="1"/>
  <c r="L784" i="4"/>
  <c r="P783" i="4"/>
  <c r="O783" i="4"/>
  <c r="N783" i="4"/>
  <c r="M783" i="4"/>
  <c r="M783" i="5" s="1"/>
  <c r="N783" i="5" s="1"/>
  <c r="L783" i="4"/>
  <c r="P782" i="4"/>
  <c r="O782" i="4"/>
  <c r="N782" i="4"/>
  <c r="M782" i="4"/>
  <c r="M782" i="5" s="1"/>
  <c r="N782" i="5" s="1"/>
  <c r="L782" i="4"/>
  <c r="P781" i="4"/>
  <c r="O781" i="4"/>
  <c r="N781" i="4"/>
  <c r="M781" i="4"/>
  <c r="M781" i="5" s="1"/>
  <c r="N781" i="5" s="1"/>
  <c r="L781" i="4"/>
  <c r="P780" i="4"/>
  <c r="O780" i="4"/>
  <c r="N780" i="4"/>
  <c r="M780" i="4"/>
  <c r="M780" i="5" s="1"/>
  <c r="N780" i="5" s="1"/>
  <c r="L780" i="4"/>
  <c r="P779" i="4"/>
  <c r="O779" i="4"/>
  <c r="N779" i="4"/>
  <c r="M779" i="4"/>
  <c r="M779" i="5" s="1"/>
  <c r="N779" i="5" s="1"/>
  <c r="L779" i="4"/>
  <c r="P778" i="4"/>
  <c r="O778" i="4"/>
  <c r="N778" i="4"/>
  <c r="M778" i="4"/>
  <c r="M778" i="5" s="1"/>
  <c r="N778" i="5" s="1"/>
  <c r="L778" i="4"/>
  <c r="P777" i="4"/>
  <c r="O777" i="4"/>
  <c r="N777" i="4"/>
  <c r="M777" i="4"/>
  <c r="M777" i="5" s="1"/>
  <c r="N777" i="5" s="1"/>
  <c r="L777" i="4"/>
  <c r="P776" i="4"/>
  <c r="O776" i="4"/>
  <c r="N776" i="4"/>
  <c r="M776" i="4"/>
  <c r="M776" i="5" s="1"/>
  <c r="N776" i="5" s="1"/>
  <c r="L776" i="4"/>
  <c r="P775" i="4"/>
  <c r="O775" i="4"/>
  <c r="N775" i="4"/>
  <c r="M775" i="4"/>
  <c r="M775" i="5" s="1"/>
  <c r="N775" i="5" s="1"/>
  <c r="L775" i="4"/>
  <c r="P774" i="4"/>
  <c r="O774" i="4"/>
  <c r="N774" i="4"/>
  <c r="M774" i="4"/>
  <c r="M774" i="5" s="1"/>
  <c r="N774" i="5" s="1"/>
  <c r="L774" i="4"/>
  <c r="P773" i="4"/>
  <c r="O773" i="4"/>
  <c r="N773" i="4"/>
  <c r="M773" i="4"/>
  <c r="M773" i="5" s="1"/>
  <c r="N773" i="5" s="1"/>
  <c r="L773" i="4"/>
  <c r="P772" i="4"/>
  <c r="O772" i="4"/>
  <c r="N772" i="4"/>
  <c r="M772" i="4"/>
  <c r="M772" i="5" s="1"/>
  <c r="N772" i="5" s="1"/>
  <c r="L772" i="4"/>
  <c r="P771" i="4"/>
  <c r="O771" i="4"/>
  <c r="N771" i="4"/>
  <c r="M771" i="4"/>
  <c r="M771" i="5" s="1"/>
  <c r="N771" i="5" s="1"/>
  <c r="L771" i="4"/>
  <c r="P770" i="4"/>
  <c r="O770" i="4"/>
  <c r="N770" i="4"/>
  <c r="M770" i="4"/>
  <c r="M770" i="5" s="1"/>
  <c r="N770" i="5" s="1"/>
  <c r="L770" i="4"/>
  <c r="P769" i="4"/>
  <c r="O769" i="4"/>
  <c r="N769" i="4"/>
  <c r="M769" i="4"/>
  <c r="M769" i="5" s="1"/>
  <c r="N769" i="5" s="1"/>
  <c r="L769" i="4"/>
  <c r="P768" i="4"/>
  <c r="O768" i="4"/>
  <c r="N768" i="4"/>
  <c r="M768" i="4"/>
  <c r="M768" i="5" s="1"/>
  <c r="N768" i="5" s="1"/>
  <c r="L768" i="4"/>
  <c r="P767" i="4"/>
  <c r="O767" i="4"/>
  <c r="N767" i="4"/>
  <c r="M767" i="4"/>
  <c r="M767" i="5" s="1"/>
  <c r="N767" i="5" s="1"/>
  <c r="L767" i="4"/>
  <c r="P766" i="4"/>
  <c r="O766" i="4"/>
  <c r="N766" i="4"/>
  <c r="M766" i="4"/>
  <c r="M766" i="5" s="1"/>
  <c r="N766" i="5" s="1"/>
  <c r="L766" i="4"/>
  <c r="P765" i="4"/>
  <c r="O765" i="4"/>
  <c r="N765" i="4"/>
  <c r="M765" i="4"/>
  <c r="M765" i="5" s="1"/>
  <c r="N765" i="5" s="1"/>
  <c r="L765" i="4"/>
  <c r="P764" i="4"/>
  <c r="O764" i="4"/>
  <c r="N764" i="4"/>
  <c r="M764" i="4"/>
  <c r="M764" i="5" s="1"/>
  <c r="N764" i="5" s="1"/>
  <c r="L764" i="4"/>
  <c r="P763" i="4"/>
  <c r="O763" i="4"/>
  <c r="N763" i="4"/>
  <c r="M763" i="4"/>
  <c r="M763" i="5" s="1"/>
  <c r="N763" i="5" s="1"/>
  <c r="L763" i="4"/>
  <c r="P762" i="4"/>
  <c r="O762" i="4"/>
  <c r="N762" i="4"/>
  <c r="M762" i="4"/>
  <c r="M762" i="5" s="1"/>
  <c r="N762" i="5" s="1"/>
  <c r="L762" i="4"/>
  <c r="P761" i="4"/>
  <c r="O761" i="4"/>
  <c r="N761" i="4"/>
  <c r="M761" i="4"/>
  <c r="M761" i="5" s="1"/>
  <c r="N761" i="5" s="1"/>
  <c r="L761" i="4"/>
  <c r="P760" i="4"/>
  <c r="O760" i="4"/>
  <c r="N760" i="4"/>
  <c r="M760" i="4"/>
  <c r="M760" i="5" s="1"/>
  <c r="N760" i="5" s="1"/>
  <c r="L760" i="4"/>
  <c r="P759" i="4"/>
  <c r="O759" i="4"/>
  <c r="N759" i="4"/>
  <c r="M759" i="4"/>
  <c r="M759" i="5" s="1"/>
  <c r="N759" i="5" s="1"/>
  <c r="L759" i="4"/>
  <c r="P758" i="4"/>
  <c r="O758" i="4"/>
  <c r="N758" i="4"/>
  <c r="M758" i="4"/>
  <c r="M758" i="5" s="1"/>
  <c r="N758" i="5" s="1"/>
  <c r="L758" i="4"/>
  <c r="P757" i="4"/>
  <c r="O757" i="4"/>
  <c r="N757" i="4"/>
  <c r="M757" i="4"/>
  <c r="M757" i="5" s="1"/>
  <c r="N757" i="5" s="1"/>
  <c r="L757" i="4"/>
  <c r="P756" i="4"/>
  <c r="O756" i="4"/>
  <c r="N756" i="4"/>
  <c r="M756" i="4"/>
  <c r="M756" i="5" s="1"/>
  <c r="N756" i="5" s="1"/>
  <c r="L756" i="4"/>
  <c r="P755" i="4"/>
  <c r="O755" i="4"/>
  <c r="N755" i="4"/>
  <c r="M755" i="4"/>
  <c r="M755" i="5" s="1"/>
  <c r="N755" i="5" s="1"/>
  <c r="L755" i="4"/>
  <c r="P754" i="4"/>
  <c r="O754" i="4"/>
  <c r="N754" i="4"/>
  <c r="M754" i="4"/>
  <c r="M754" i="5" s="1"/>
  <c r="N754" i="5" s="1"/>
  <c r="L754" i="4"/>
  <c r="P753" i="4"/>
  <c r="O753" i="4"/>
  <c r="N753" i="4"/>
  <c r="M753" i="4"/>
  <c r="M753" i="5" s="1"/>
  <c r="N753" i="5" s="1"/>
  <c r="L753" i="4"/>
  <c r="P752" i="4"/>
  <c r="O752" i="4"/>
  <c r="N752" i="4"/>
  <c r="M752" i="4"/>
  <c r="M752" i="5" s="1"/>
  <c r="N752" i="5" s="1"/>
  <c r="L752" i="4"/>
  <c r="P751" i="4"/>
  <c r="O751" i="4"/>
  <c r="N751" i="4"/>
  <c r="M751" i="4"/>
  <c r="M751" i="5" s="1"/>
  <c r="N751" i="5" s="1"/>
  <c r="L751" i="4"/>
  <c r="P750" i="4"/>
  <c r="O750" i="4"/>
  <c r="N750" i="4"/>
  <c r="M750" i="4"/>
  <c r="M750" i="5" s="1"/>
  <c r="N750" i="5" s="1"/>
  <c r="L750" i="4"/>
  <c r="P749" i="4"/>
  <c r="O749" i="4"/>
  <c r="N749" i="4"/>
  <c r="M749" i="4"/>
  <c r="M749" i="5" s="1"/>
  <c r="N749" i="5" s="1"/>
  <c r="L749" i="4"/>
  <c r="P748" i="4"/>
  <c r="O748" i="4"/>
  <c r="N748" i="4"/>
  <c r="M748" i="4"/>
  <c r="M748" i="5" s="1"/>
  <c r="N748" i="5" s="1"/>
  <c r="L748" i="4"/>
  <c r="P747" i="4"/>
  <c r="O747" i="4"/>
  <c r="N747" i="4"/>
  <c r="M747" i="4"/>
  <c r="M747" i="5" s="1"/>
  <c r="N747" i="5" s="1"/>
  <c r="L747" i="4"/>
  <c r="P746" i="4"/>
  <c r="O746" i="4"/>
  <c r="N746" i="4"/>
  <c r="M746" i="4"/>
  <c r="M746" i="5" s="1"/>
  <c r="N746" i="5" s="1"/>
  <c r="L746" i="4"/>
  <c r="P745" i="4"/>
  <c r="O745" i="4"/>
  <c r="N745" i="4"/>
  <c r="M745" i="4"/>
  <c r="M745" i="5" s="1"/>
  <c r="N745" i="5" s="1"/>
  <c r="L745" i="4"/>
  <c r="P744" i="4"/>
  <c r="O744" i="4"/>
  <c r="N744" i="4"/>
  <c r="M744" i="4"/>
  <c r="M744" i="5" s="1"/>
  <c r="N744" i="5" s="1"/>
  <c r="L744" i="4"/>
  <c r="P743" i="4"/>
  <c r="O743" i="4"/>
  <c r="N743" i="4"/>
  <c r="M743" i="4"/>
  <c r="M743" i="5" s="1"/>
  <c r="N743" i="5" s="1"/>
  <c r="L743" i="4"/>
  <c r="P742" i="4"/>
  <c r="O742" i="4"/>
  <c r="N742" i="4"/>
  <c r="M742" i="4"/>
  <c r="M742" i="5" s="1"/>
  <c r="N742" i="5" s="1"/>
  <c r="L742" i="4"/>
  <c r="P741" i="4"/>
  <c r="O741" i="4"/>
  <c r="N741" i="4"/>
  <c r="M741" i="4"/>
  <c r="M741" i="5" s="1"/>
  <c r="N741" i="5" s="1"/>
  <c r="L741" i="4"/>
  <c r="P740" i="4"/>
  <c r="O740" i="4"/>
  <c r="N740" i="4"/>
  <c r="M740" i="4"/>
  <c r="M740" i="5" s="1"/>
  <c r="N740" i="5" s="1"/>
  <c r="L740" i="4"/>
  <c r="P739" i="4"/>
  <c r="O739" i="4"/>
  <c r="N739" i="4"/>
  <c r="M739" i="4"/>
  <c r="M739" i="5" s="1"/>
  <c r="N739" i="5" s="1"/>
  <c r="L739" i="4"/>
  <c r="P738" i="4"/>
  <c r="O738" i="4"/>
  <c r="N738" i="4"/>
  <c r="M738" i="4"/>
  <c r="M738" i="5" s="1"/>
  <c r="N738" i="5" s="1"/>
  <c r="L738" i="4"/>
  <c r="P737" i="4"/>
  <c r="O737" i="4"/>
  <c r="N737" i="4"/>
  <c r="M737" i="4"/>
  <c r="M737" i="5" s="1"/>
  <c r="N737" i="5" s="1"/>
  <c r="L737" i="4"/>
  <c r="P736" i="4"/>
  <c r="O736" i="4"/>
  <c r="N736" i="4"/>
  <c r="M736" i="4"/>
  <c r="M736" i="5" s="1"/>
  <c r="N736" i="5" s="1"/>
  <c r="L736" i="4"/>
  <c r="P735" i="4"/>
  <c r="O735" i="4"/>
  <c r="N735" i="4"/>
  <c r="M735" i="4"/>
  <c r="M735" i="5" s="1"/>
  <c r="N735" i="5" s="1"/>
  <c r="L735" i="4"/>
  <c r="P734" i="4"/>
  <c r="O734" i="4"/>
  <c r="N734" i="4"/>
  <c r="M734" i="4"/>
  <c r="M734" i="5" s="1"/>
  <c r="N734" i="5" s="1"/>
  <c r="L734" i="4"/>
  <c r="P733" i="4"/>
  <c r="O733" i="4"/>
  <c r="N733" i="4"/>
  <c r="M733" i="4"/>
  <c r="M733" i="5" s="1"/>
  <c r="N733" i="5" s="1"/>
  <c r="L733" i="4"/>
  <c r="P732" i="4"/>
  <c r="O732" i="4"/>
  <c r="N732" i="4"/>
  <c r="M732" i="4"/>
  <c r="M732" i="5" s="1"/>
  <c r="N732" i="5" s="1"/>
  <c r="L732" i="4"/>
  <c r="P731" i="4"/>
  <c r="O731" i="4"/>
  <c r="N731" i="4"/>
  <c r="M731" i="4"/>
  <c r="M731" i="5" s="1"/>
  <c r="N731" i="5" s="1"/>
  <c r="L731" i="4"/>
  <c r="P730" i="4"/>
  <c r="O730" i="4"/>
  <c r="N730" i="4"/>
  <c r="M730" i="4"/>
  <c r="M730" i="5" s="1"/>
  <c r="N730" i="5" s="1"/>
  <c r="L730" i="4"/>
  <c r="P729" i="4"/>
  <c r="O729" i="4"/>
  <c r="N729" i="4"/>
  <c r="M729" i="4"/>
  <c r="M729" i="5" s="1"/>
  <c r="N729" i="5" s="1"/>
  <c r="L729" i="4"/>
  <c r="P728" i="4"/>
  <c r="O728" i="4"/>
  <c r="N728" i="4"/>
  <c r="M728" i="4"/>
  <c r="M728" i="5" s="1"/>
  <c r="N728" i="5" s="1"/>
  <c r="L728" i="4"/>
  <c r="P727" i="4"/>
  <c r="O727" i="4"/>
  <c r="N727" i="4"/>
  <c r="M727" i="4"/>
  <c r="M727" i="5" s="1"/>
  <c r="N727" i="5" s="1"/>
  <c r="L727" i="4"/>
  <c r="P726" i="4"/>
  <c r="O726" i="4"/>
  <c r="N726" i="4"/>
  <c r="M726" i="4"/>
  <c r="M726" i="5" s="1"/>
  <c r="N726" i="5" s="1"/>
  <c r="L726" i="4"/>
  <c r="P725" i="4"/>
  <c r="O725" i="4"/>
  <c r="N725" i="4"/>
  <c r="M725" i="4"/>
  <c r="M725" i="5" s="1"/>
  <c r="N725" i="5" s="1"/>
  <c r="L725" i="4"/>
  <c r="P724" i="4"/>
  <c r="O724" i="4"/>
  <c r="N724" i="4"/>
  <c r="M724" i="4"/>
  <c r="M724" i="5" s="1"/>
  <c r="N724" i="5" s="1"/>
  <c r="L724" i="4"/>
  <c r="P723" i="4"/>
  <c r="O723" i="4"/>
  <c r="N723" i="4"/>
  <c r="M723" i="4"/>
  <c r="M723" i="5" s="1"/>
  <c r="N723" i="5" s="1"/>
  <c r="L723" i="4"/>
  <c r="P722" i="4"/>
  <c r="O722" i="4"/>
  <c r="N722" i="4"/>
  <c r="M722" i="4"/>
  <c r="M722" i="5" s="1"/>
  <c r="N722" i="5" s="1"/>
  <c r="L722" i="4"/>
  <c r="P721" i="4"/>
  <c r="O721" i="4"/>
  <c r="N721" i="4"/>
  <c r="M721" i="4"/>
  <c r="M721" i="5" s="1"/>
  <c r="N721" i="5" s="1"/>
  <c r="L721" i="4"/>
  <c r="P720" i="4"/>
  <c r="O720" i="4"/>
  <c r="N720" i="4"/>
  <c r="M720" i="4"/>
  <c r="M720" i="5" s="1"/>
  <c r="N720" i="5" s="1"/>
  <c r="L720" i="4"/>
  <c r="P719" i="4"/>
  <c r="O719" i="4"/>
  <c r="N719" i="4"/>
  <c r="M719" i="4"/>
  <c r="M719" i="5" s="1"/>
  <c r="N719" i="5" s="1"/>
  <c r="L719" i="4"/>
  <c r="P718" i="4"/>
  <c r="O718" i="4"/>
  <c r="N718" i="4"/>
  <c r="M718" i="4"/>
  <c r="M718" i="5" s="1"/>
  <c r="N718" i="5" s="1"/>
  <c r="L718" i="4"/>
  <c r="P717" i="4"/>
  <c r="O717" i="4"/>
  <c r="N717" i="4"/>
  <c r="M717" i="4"/>
  <c r="M717" i="5" s="1"/>
  <c r="N717" i="5" s="1"/>
  <c r="L717" i="4"/>
  <c r="P716" i="4"/>
  <c r="O716" i="4"/>
  <c r="N716" i="4"/>
  <c r="M716" i="4"/>
  <c r="M716" i="5" s="1"/>
  <c r="N716" i="5" s="1"/>
  <c r="L716" i="4"/>
  <c r="P715" i="4"/>
  <c r="O715" i="4"/>
  <c r="N715" i="4"/>
  <c r="M715" i="4"/>
  <c r="M715" i="5" s="1"/>
  <c r="N715" i="5" s="1"/>
  <c r="L715" i="4"/>
  <c r="P714" i="4"/>
  <c r="O714" i="4"/>
  <c r="N714" i="4"/>
  <c r="M714" i="4"/>
  <c r="M714" i="5" s="1"/>
  <c r="N714" i="5" s="1"/>
  <c r="L714" i="4"/>
  <c r="P713" i="4"/>
  <c r="O713" i="4"/>
  <c r="N713" i="4"/>
  <c r="M713" i="4"/>
  <c r="M713" i="5" s="1"/>
  <c r="N713" i="5" s="1"/>
  <c r="L713" i="4"/>
  <c r="P712" i="4"/>
  <c r="O712" i="4"/>
  <c r="N712" i="4"/>
  <c r="M712" i="4"/>
  <c r="M712" i="5" s="1"/>
  <c r="N712" i="5" s="1"/>
  <c r="L712" i="4"/>
  <c r="P711" i="4"/>
  <c r="O711" i="4"/>
  <c r="N711" i="4"/>
  <c r="M711" i="4"/>
  <c r="M711" i="5" s="1"/>
  <c r="N711" i="5" s="1"/>
  <c r="L711" i="4"/>
  <c r="P710" i="4"/>
  <c r="O710" i="4"/>
  <c r="N710" i="4"/>
  <c r="M710" i="4"/>
  <c r="M710" i="5" s="1"/>
  <c r="N710" i="5" s="1"/>
  <c r="L710" i="4"/>
  <c r="P709" i="4"/>
  <c r="O709" i="4"/>
  <c r="N709" i="4"/>
  <c r="M709" i="4"/>
  <c r="M709" i="5" s="1"/>
  <c r="N709" i="5" s="1"/>
  <c r="L709" i="4"/>
  <c r="P708" i="4"/>
  <c r="O708" i="4"/>
  <c r="N708" i="4"/>
  <c r="M708" i="4"/>
  <c r="M708" i="5" s="1"/>
  <c r="N708" i="5" s="1"/>
  <c r="L708" i="4"/>
  <c r="P707" i="4"/>
  <c r="O707" i="4"/>
  <c r="N707" i="4"/>
  <c r="M707" i="4"/>
  <c r="M707" i="5" s="1"/>
  <c r="N707" i="5" s="1"/>
  <c r="L707" i="4"/>
  <c r="P706" i="4"/>
  <c r="O706" i="4"/>
  <c r="N706" i="4"/>
  <c r="M706" i="4"/>
  <c r="M706" i="5" s="1"/>
  <c r="N706" i="5" s="1"/>
  <c r="L706" i="4"/>
  <c r="P705" i="4"/>
  <c r="O705" i="4"/>
  <c r="N705" i="4"/>
  <c r="M705" i="4"/>
  <c r="M705" i="5" s="1"/>
  <c r="N705" i="5" s="1"/>
  <c r="L705" i="4"/>
  <c r="P704" i="4"/>
  <c r="O704" i="4"/>
  <c r="N704" i="4"/>
  <c r="M704" i="4"/>
  <c r="M704" i="5" s="1"/>
  <c r="N704" i="5" s="1"/>
  <c r="L704" i="4"/>
  <c r="P703" i="4"/>
  <c r="O703" i="4"/>
  <c r="N703" i="4"/>
  <c r="M703" i="4"/>
  <c r="M703" i="5" s="1"/>
  <c r="N703" i="5" s="1"/>
  <c r="L703" i="4"/>
  <c r="P702" i="4"/>
  <c r="O702" i="4"/>
  <c r="N702" i="4"/>
  <c r="M702" i="4"/>
  <c r="M702" i="5" s="1"/>
  <c r="N702" i="5" s="1"/>
  <c r="L702" i="4"/>
  <c r="P701" i="4"/>
  <c r="O701" i="4"/>
  <c r="N701" i="4"/>
  <c r="M701" i="4"/>
  <c r="M701" i="5" s="1"/>
  <c r="N701" i="5" s="1"/>
  <c r="L701" i="4"/>
  <c r="P700" i="4"/>
  <c r="O700" i="4"/>
  <c r="N700" i="4"/>
  <c r="M700" i="4"/>
  <c r="M700" i="5" s="1"/>
  <c r="N700" i="5" s="1"/>
  <c r="L700" i="4"/>
  <c r="P699" i="4"/>
  <c r="O699" i="4"/>
  <c r="N699" i="4"/>
  <c r="M699" i="4"/>
  <c r="M699" i="5" s="1"/>
  <c r="N699" i="5" s="1"/>
  <c r="L699" i="4"/>
  <c r="P698" i="4"/>
  <c r="O698" i="4"/>
  <c r="N698" i="4"/>
  <c r="M698" i="4"/>
  <c r="M698" i="5" s="1"/>
  <c r="N698" i="5" s="1"/>
  <c r="L698" i="4"/>
  <c r="P697" i="4"/>
  <c r="O697" i="4"/>
  <c r="N697" i="4"/>
  <c r="M697" i="4"/>
  <c r="M697" i="5" s="1"/>
  <c r="N697" i="5" s="1"/>
  <c r="L697" i="4"/>
  <c r="P696" i="4"/>
  <c r="O696" i="4"/>
  <c r="N696" i="4"/>
  <c r="M696" i="4"/>
  <c r="M696" i="5" s="1"/>
  <c r="N696" i="5" s="1"/>
  <c r="L696" i="4"/>
  <c r="P695" i="4"/>
  <c r="O695" i="4"/>
  <c r="N695" i="4"/>
  <c r="M695" i="4"/>
  <c r="M695" i="5" s="1"/>
  <c r="N695" i="5" s="1"/>
  <c r="L695" i="4"/>
  <c r="P694" i="4"/>
  <c r="O694" i="4"/>
  <c r="N694" i="4"/>
  <c r="M694" i="4"/>
  <c r="M694" i="5" s="1"/>
  <c r="N694" i="5" s="1"/>
  <c r="L694" i="4"/>
  <c r="P693" i="4"/>
  <c r="O693" i="4"/>
  <c r="N693" i="4"/>
  <c r="M693" i="4"/>
  <c r="M693" i="5" s="1"/>
  <c r="N693" i="5" s="1"/>
  <c r="L693" i="4"/>
  <c r="P692" i="4"/>
  <c r="O692" i="4"/>
  <c r="N692" i="4"/>
  <c r="M692" i="4"/>
  <c r="M692" i="5" s="1"/>
  <c r="N692" i="5" s="1"/>
  <c r="L692" i="4"/>
  <c r="P691" i="4"/>
  <c r="O691" i="4"/>
  <c r="N691" i="4"/>
  <c r="M691" i="4"/>
  <c r="M691" i="5" s="1"/>
  <c r="N691" i="5" s="1"/>
  <c r="L691" i="4"/>
  <c r="P690" i="4"/>
  <c r="O690" i="4"/>
  <c r="N690" i="4"/>
  <c r="M690" i="4"/>
  <c r="M690" i="5" s="1"/>
  <c r="N690" i="5" s="1"/>
  <c r="L690" i="4"/>
  <c r="P689" i="4"/>
  <c r="O689" i="4"/>
  <c r="N689" i="4"/>
  <c r="M689" i="4"/>
  <c r="M689" i="5" s="1"/>
  <c r="N689" i="5" s="1"/>
  <c r="L689" i="4"/>
  <c r="P688" i="4"/>
  <c r="O688" i="4"/>
  <c r="N688" i="4"/>
  <c r="M688" i="4"/>
  <c r="M688" i="5" s="1"/>
  <c r="N688" i="5" s="1"/>
  <c r="L688" i="4"/>
  <c r="P687" i="4"/>
  <c r="O687" i="4"/>
  <c r="N687" i="4"/>
  <c r="M687" i="4"/>
  <c r="M687" i="5" s="1"/>
  <c r="N687" i="5" s="1"/>
  <c r="L687" i="4"/>
  <c r="P686" i="4"/>
  <c r="O686" i="4"/>
  <c r="N686" i="4"/>
  <c r="M686" i="4"/>
  <c r="M686" i="5" s="1"/>
  <c r="N686" i="5" s="1"/>
  <c r="L686" i="4"/>
  <c r="P685" i="4"/>
  <c r="O685" i="4"/>
  <c r="N685" i="4"/>
  <c r="M685" i="4"/>
  <c r="M685" i="5" s="1"/>
  <c r="N685" i="5" s="1"/>
  <c r="L685" i="4"/>
  <c r="P684" i="4"/>
  <c r="O684" i="4"/>
  <c r="N684" i="4"/>
  <c r="M684" i="4"/>
  <c r="M684" i="5" s="1"/>
  <c r="N684" i="5" s="1"/>
  <c r="L684" i="4"/>
  <c r="P683" i="4"/>
  <c r="O683" i="4"/>
  <c r="N683" i="4"/>
  <c r="M683" i="4"/>
  <c r="M683" i="5" s="1"/>
  <c r="N683" i="5" s="1"/>
  <c r="L683" i="4"/>
  <c r="P682" i="4"/>
  <c r="O682" i="4"/>
  <c r="N682" i="4"/>
  <c r="M682" i="4"/>
  <c r="M682" i="5" s="1"/>
  <c r="N682" i="5" s="1"/>
  <c r="L682" i="4"/>
  <c r="P681" i="4"/>
  <c r="O681" i="4"/>
  <c r="N681" i="4"/>
  <c r="M681" i="4"/>
  <c r="M681" i="5" s="1"/>
  <c r="N681" i="5" s="1"/>
  <c r="L681" i="4"/>
  <c r="P680" i="4"/>
  <c r="O680" i="4"/>
  <c r="N680" i="4"/>
  <c r="M680" i="4"/>
  <c r="M680" i="5" s="1"/>
  <c r="N680" i="5" s="1"/>
  <c r="L680" i="4"/>
  <c r="P679" i="4"/>
  <c r="O679" i="4"/>
  <c r="N679" i="4"/>
  <c r="M679" i="4"/>
  <c r="M679" i="5" s="1"/>
  <c r="N679" i="5" s="1"/>
  <c r="L679" i="4"/>
  <c r="P678" i="4"/>
  <c r="O678" i="4"/>
  <c r="N678" i="4"/>
  <c r="M678" i="4"/>
  <c r="M678" i="5" s="1"/>
  <c r="N678" i="5" s="1"/>
  <c r="L678" i="4"/>
  <c r="P677" i="4"/>
  <c r="O677" i="4"/>
  <c r="N677" i="4"/>
  <c r="M677" i="4"/>
  <c r="M677" i="5" s="1"/>
  <c r="N677" i="5" s="1"/>
  <c r="L677" i="4"/>
  <c r="P676" i="4"/>
  <c r="O676" i="4"/>
  <c r="N676" i="4"/>
  <c r="M676" i="4"/>
  <c r="M676" i="5" s="1"/>
  <c r="N676" i="5" s="1"/>
  <c r="L676" i="4"/>
  <c r="P675" i="4"/>
  <c r="O675" i="4"/>
  <c r="N675" i="4"/>
  <c r="M675" i="4"/>
  <c r="M675" i="5" s="1"/>
  <c r="N675" i="5" s="1"/>
  <c r="L675" i="4"/>
  <c r="P674" i="4"/>
  <c r="O674" i="4"/>
  <c r="N674" i="4"/>
  <c r="M674" i="4"/>
  <c r="M674" i="5" s="1"/>
  <c r="N674" i="5" s="1"/>
  <c r="L674" i="4"/>
  <c r="P673" i="4"/>
  <c r="O673" i="4"/>
  <c r="N673" i="4"/>
  <c r="M673" i="4"/>
  <c r="M673" i="5" s="1"/>
  <c r="N673" i="5" s="1"/>
  <c r="L673" i="4"/>
  <c r="P672" i="4"/>
  <c r="O672" i="4"/>
  <c r="N672" i="4"/>
  <c r="M672" i="4"/>
  <c r="M672" i="5" s="1"/>
  <c r="N672" i="5" s="1"/>
  <c r="L672" i="4"/>
  <c r="P671" i="4"/>
  <c r="O671" i="4"/>
  <c r="N671" i="4"/>
  <c r="M671" i="4"/>
  <c r="M671" i="5" s="1"/>
  <c r="N671" i="5" s="1"/>
  <c r="L671" i="4"/>
  <c r="P670" i="4"/>
  <c r="O670" i="4"/>
  <c r="N670" i="4"/>
  <c r="M670" i="4"/>
  <c r="M670" i="5" s="1"/>
  <c r="N670" i="5" s="1"/>
  <c r="L670" i="4"/>
  <c r="P669" i="4"/>
  <c r="O669" i="4"/>
  <c r="N669" i="4"/>
  <c r="M669" i="4"/>
  <c r="M669" i="5" s="1"/>
  <c r="N669" i="5" s="1"/>
  <c r="L669" i="4"/>
  <c r="P668" i="4"/>
  <c r="O668" i="4"/>
  <c r="N668" i="4"/>
  <c r="M668" i="4"/>
  <c r="M668" i="5" s="1"/>
  <c r="N668" i="5" s="1"/>
  <c r="L668" i="4"/>
  <c r="P667" i="4"/>
  <c r="O667" i="4"/>
  <c r="N667" i="4"/>
  <c r="M667" i="4"/>
  <c r="M667" i="5" s="1"/>
  <c r="N667" i="5" s="1"/>
  <c r="L667" i="4"/>
  <c r="P666" i="4"/>
  <c r="O666" i="4"/>
  <c r="N666" i="4"/>
  <c r="M666" i="4"/>
  <c r="M666" i="5" s="1"/>
  <c r="N666" i="5" s="1"/>
  <c r="L666" i="4"/>
  <c r="P665" i="4"/>
  <c r="O665" i="4"/>
  <c r="N665" i="4"/>
  <c r="M665" i="4"/>
  <c r="M665" i="5" s="1"/>
  <c r="N665" i="5" s="1"/>
  <c r="L665" i="4"/>
  <c r="P664" i="4"/>
  <c r="O664" i="4"/>
  <c r="N664" i="4"/>
  <c r="M664" i="4"/>
  <c r="M664" i="5" s="1"/>
  <c r="N664" i="5" s="1"/>
  <c r="L664" i="4"/>
  <c r="P663" i="4"/>
  <c r="O663" i="4"/>
  <c r="N663" i="4"/>
  <c r="M663" i="4"/>
  <c r="M663" i="5" s="1"/>
  <c r="N663" i="5" s="1"/>
  <c r="L663" i="4"/>
  <c r="P662" i="4"/>
  <c r="O662" i="4"/>
  <c r="N662" i="4"/>
  <c r="M662" i="4"/>
  <c r="M662" i="5" s="1"/>
  <c r="N662" i="5" s="1"/>
  <c r="L662" i="4"/>
  <c r="P661" i="4"/>
  <c r="O661" i="4"/>
  <c r="N661" i="4"/>
  <c r="M661" i="4"/>
  <c r="M661" i="5" s="1"/>
  <c r="N661" i="5" s="1"/>
  <c r="L661" i="4"/>
  <c r="P660" i="4"/>
  <c r="O660" i="4"/>
  <c r="N660" i="4"/>
  <c r="M660" i="4"/>
  <c r="M660" i="5" s="1"/>
  <c r="N660" i="5" s="1"/>
  <c r="L660" i="4"/>
  <c r="P659" i="4"/>
  <c r="O659" i="4"/>
  <c r="N659" i="4"/>
  <c r="M659" i="4"/>
  <c r="M659" i="5" s="1"/>
  <c r="N659" i="5" s="1"/>
  <c r="L659" i="4"/>
  <c r="P658" i="4"/>
  <c r="O658" i="4"/>
  <c r="N658" i="4"/>
  <c r="M658" i="4"/>
  <c r="M658" i="5" s="1"/>
  <c r="N658" i="5" s="1"/>
  <c r="L658" i="4"/>
  <c r="P657" i="4"/>
  <c r="O657" i="4"/>
  <c r="N657" i="4"/>
  <c r="M657" i="4"/>
  <c r="M657" i="5" s="1"/>
  <c r="N657" i="5" s="1"/>
  <c r="L657" i="4"/>
  <c r="P656" i="4"/>
  <c r="O656" i="4"/>
  <c r="N656" i="4"/>
  <c r="M656" i="4"/>
  <c r="M656" i="5" s="1"/>
  <c r="N656" i="5" s="1"/>
  <c r="L656" i="4"/>
  <c r="P655" i="4"/>
  <c r="O655" i="4"/>
  <c r="N655" i="4"/>
  <c r="M655" i="4"/>
  <c r="M655" i="5" s="1"/>
  <c r="N655" i="5" s="1"/>
  <c r="L655" i="4"/>
  <c r="P654" i="4"/>
  <c r="O654" i="4"/>
  <c r="N654" i="4"/>
  <c r="M654" i="4"/>
  <c r="M654" i="5" s="1"/>
  <c r="N654" i="5" s="1"/>
  <c r="L654" i="4"/>
  <c r="P653" i="4"/>
  <c r="O653" i="4"/>
  <c r="N653" i="4"/>
  <c r="M653" i="4"/>
  <c r="M653" i="5" s="1"/>
  <c r="N653" i="5" s="1"/>
  <c r="L653" i="4"/>
  <c r="P652" i="4"/>
  <c r="O652" i="4"/>
  <c r="N652" i="4"/>
  <c r="M652" i="4"/>
  <c r="M652" i="5" s="1"/>
  <c r="N652" i="5" s="1"/>
  <c r="L652" i="4"/>
  <c r="P651" i="4"/>
  <c r="O651" i="4"/>
  <c r="N651" i="4"/>
  <c r="M651" i="4"/>
  <c r="M651" i="5" s="1"/>
  <c r="N651" i="5" s="1"/>
  <c r="L651" i="4"/>
  <c r="P650" i="4"/>
  <c r="O650" i="4"/>
  <c r="N650" i="4"/>
  <c r="M650" i="4"/>
  <c r="M650" i="5" s="1"/>
  <c r="N650" i="5" s="1"/>
  <c r="L650" i="4"/>
  <c r="P649" i="4"/>
  <c r="O649" i="4"/>
  <c r="N649" i="4"/>
  <c r="M649" i="4"/>
  <c r="M649" i="5" s="1"/>
  <c r="N649" i="5" s="1"/>
  <c r="L649" i="4"/>
  <c r="P648" i="4"/>
  <c r="O648" i="4"/>
  <c r="N648" i="4"/>
  <c r="M648" i="4"/>
  <c r="M648" i="5" s="1"/>
  <c r="N648" i="5" s="1"/>
  <c r="L648" i="4"/>
  <c r="P647" i="4"/>
  <c r="O647" i="4"/>
  <c r="N647" i="4"/>
  <c r="M647" i="4"/>
  <c r="M647" i="5" s="1"/>
  <c r="N647" i="5" s="1"/>
  <c r="L647" i="4"/>
  <c r="P646" i="4"/>
  <c r="O646" i="4"/>
  <c r="N646" i="4"/>
  <c r="M646" i="4"/>
  <c r="M646" i="5" s="1"/>
  <c r="N646" i="5" s="1"/>
  <c r="L646" i="4"/>
  <c r="P645" i="4"/>
  <c r="O645" i="4"/>
  <c r="N645" i="4"/>
  <c r="M645" i="4"/>
  <c r="M645" i="5" s="1"/>
  <c r="N645" i="5" s="1"/>
  <c r="L645" i="4"/>
  <c r="P644" i="4"/>
  <c r="O644" i="4"/>
  <c r="N644" i="4"/>
  <c r="M644" i="4"/>
  <c r="M644" i="5" s="1"/>
  <c r="N644" i="5" s="1"/>
  <c r="L644" i="4"/>
  <c r="P643" i="4"/>
  <c r="O643" i="4"/>
  <c r="N643" i="4"/>
  <c r="M643" i="4"/>
  <c r="M643" i="5" s="1"/>
  <c r="N643" i="5" s="1"/>
  <c r="L643" i="4"/>
  <c r="P642" i="4"/>
  <c r="O642" i="4"/>
  <c r="N642" i="4"/>
  <c r="M642" i="4"/>
  <c r="M642" i="5" s="1"/>
  <c r="N642" i="5" s="1"/>
  <c r="L642" i="4"/>
  <c r="P641" i="4"/>
  <c r="O641" i="4"/>
  <c r="N641" i="4"/>
  <c r="M641" i="4"/>
  <c r="M641" i="5" s="1"/>
  <c r="N641" i="5" s="1"/>
  <c r="L641" i="4"/>
  <c r="P640" i="4"/>
  <c r="O640" i="4"/>
  <c r="N640" i="4"/>
  <c r="M640" i="4"/>
  <c r="M640" i="5" s="1"/>
  <c r="N640" i="5" s="1"/>
  <c r="L640" i="4"/>
  <c r="P639" i="4"/>
  <c r="O639" i="4"/>
  <c r="N639" i="4"/>
  <c r="M639" i="4"/>
  <c r="M639" i="5" s="1"/>
  <c r="N639" i="5" s="1"/>
  <c r="L639" i="4"/>
  <c r="P638" i="4"/>
  <c r="O638" i="4"/>
  <c r="N638" i="4"/>
  <c r="M638" i="4"/>
  <c r="M638" i="5" s="1"/>
  <c r="N638" i="5" s="1"/>
  <c r="L638" i="4"/>
  <c r="P637" i="4"/>
  <c r="O637" i="4"/>
  <c r="N637" i="4"/>
  <c r="M637" i="4"/>
  <c r="M637" i="5" s="1"/>
  <c r="N637" i="5" s="1"/>
  <c r="L637" i="4"/>
  <c r="P636" i="4"/>
  <c r="O636" i="4"/>
  <c r="N636" i="4"/>
  <c r="M636" i="4"/>
  <c r="M636" i="5" s="1"/>
  <c r="N636" i="5" s="1"/>
  <c r="L636" i="4"/>
  <c r="P635" i="4"/>
  <c r="O635" i="4"/>
  <c r="N635" i="4"/>
  <c r="M635" i="4"/>
  <c r="M635" i="5" s="1"/>
  <c r="N635" i="5" s="1"/>
  <c r="L635" i="4"/>
  <c r="P634" i="4"/>
  <c r="O634" i="4"/>
  <c r="N634" i="4"/>
  <c r="M634" i="4"/>
  <c r="M634" i="5" s="1"/>
  <c r="N634" i="5" s="1"/>
  <c r="L634" i="4"/>
  <c r="P633" i="4"/>
  <c r="O633" i="4"/>
  <c r="N633" i="4"/>
  <c r="M633" i="4"/>
  <c r="M633" i="5" s="1"/>
  <c r="N633" i="5" s="1"/>
  <c r="L633" i="4"/>
  <c r="P632" i="4"/>
  <c r="O632" i="4"/>
  <c r="N632" i="4"/>
  <c r="M632" i="4"/>
  <c r="M632" i="5" s="1"/>
  <c r="N632" i="5" s="1"/>
  <c r="L632" i="4"/>
  <c r="P631" i="4"/>
  <c r="O631" i="4"/>
  <c r="N631" i="4"/>
  <c r="M631" i="4"/>
  <c r="M631" i="5" s="1"/>
  <c r="N631" i="5" s="1"/>
  <c r="L631" i="4"/>
  <c r="P630" i="4"/>
  <c r="O630" i="4"/>
  <c r="N630" i="4"/>
  <c r="M630" i="4"/>
  <c r="M630" i="5" s="1"/>
  <c r="N630" i="5" s="1"/>
  <c r="L630" i="4"/>
  <c r="P629" i="4"/>
  <c r="O629" i="4"/>
  <c r="N629" i="4"/>
  <c r="M629" i="4"/>
  <c r="M629" i="5" s="1"/>
  <c r="N629" i="5" s="1"/>
  <c r="L629" i="4"/>
  <c r="P628" i="4"/>
  <c r="O628" i="4"/>
  <c r="N628" i="4"/>
  <c r="M628" i="4"/>
  <c r="M628" i="5" s="1"/>
  <c r="N628" i="5" s="1"/>
  <c r="L628" i="4"/>
  <c r="P627" i="4"/>
  <c r="O627" i="4"/>
  <c r="N627" i="4"/>
  <c r="M627" i="4"/>
  <c r="M627" i="5" s="1"/>
  <c r="N627" i="5" s="1"/>
  <c r="L627" i="4"/>
  <c r="P626" i="4"/>
  <c r="O626" i="4"/>
  <c r="N626" i="4"/>
  <c r="M626" i="4"/>
  <c r="M626" i="5" s="1"/>
  <c r="N626" i="5" s="1"/>
  <c r="L626" i="4"/>
  <c r="P625" i="4"/>
  <c r="O625" i="4"/>
  <c r="N625" i="4"/>
  <c r="M625" i="4"/>
  <c r="M625" i="5" s="1"/>
  <c r="N625" i="5" s="1"/>
  <c r="L625" i="4"/>
  <c r="P624" i="4"/>
  <c r="O624" i="4"/>
  <c r="N624" i="4"/>
  <c r="M624" i="4"/>
  <c r="M624" i="5" s="1"/>
  <c r="N624" i="5" s="1"/>
  <c r="L624" i="4"/>
  <c r="P623" i="4"/>
  <c r="O623" i="4"/>
  <c r="N623" i="4"/>
  <c r="M623" i="4"/>
  <c r="M623" i="5" s="1"/>
  <c r="N623" i="5" s="1"/>
  <c r="L623" i="4"/>
  <c r="P622" i="4"/>
  <c r="O622" i="4"/>
  <c r="N622" i="4"/>
  <c r="M622" i="4"/>
  <c r="M622" i="5" s="1"/>
  <c r="N622" i="5" s="1"/>
  <c r="L622" i="4"/>
  <c r="P621" i="4"/>
  <c r="O621" i="4"/>
  <c r="N621" i="4"/>
  <c r="M621" i="4"/>
  <c r="M621" i="5" s="1"/>
  <c r="N621" i="5" s="1"/>
  <c r="L621" i="4"/>
  <c r="P620" i="4"/>
  <c r="O620" i="4"/>
  <c r="N620" i="4"/>
  <c r="M620" i="4"/>
  <c r="M620" i="5" s="1"/>
  <c r="N620" i="5" s="1"/>
  <c r="L620" i="4"/>
  <c r="P619" i="4"/>
  <c r="O619" i="4"/>
  <c r="N619" i="4"/>
  <c r="M619" i="4"/>
  <c r="M619" i="5" s="1"/>
  <c r="N619" i="5" s="1"/>
  <c r="L619" i="4"/>
  <c r="P618" i="4"/>
  <c r="O618" i="4"/>
  <c r="N618" i="4"/>
  <c r="M618" i="4"/>
  <c r="M618" i="5" s="1"/>
  <c r="N618" i="5" s="1"/>
  <c r="L618" i="4"/>
  <c r="P617" i="4"/>
  <c r="O617" i="4"/>
  <c r="N617" i="4"/>
  <c r="M617" i="4"/>
  <c r="M617" i="5" s="1"/>
  <c r="N617" i="5" s="1"/>
  <c r="L617" i="4"/>
  <c r="P616" i="4"/>
  <c r="O616" i="4"/>
  <c r="N616" i="4"/>
  <c r="M616" i="4"/>
  <c r="M616" i="5" s="1"/>
  <c r="N616" i="5" s="1"/>
  <c r="L616" i="4"/>
  <c r="P615" i="4"/>
  <c r="O615" i="4"/>
  <c r="N615" i="4"/>
  <c r="M615" i="4"/>
  <c r="M615" i="5" s="1"/>
  <c r="N615" i="5" s="1"/>
  <c r="L615" i="4"/>
  <c r="P614" i="4"/>
  <c r="O614" i="4"/>
  <c r="N614" i="4"/>
  <c r="M614" i="4"/>
  <c r="M614" i="5" s="1"/>
  <c r="N614" i="5" s="1"/>
  <c r="L614" i="4"/>
  <c r="P613" i="4"/>
  <c r="O613" i="4"/>
  <c r="N613" i="4"/>
  <c r="M613" i="4"/>
  <c r="M613" i="5" s="1"/>
  <c r="N613" i="5" s="1"/>
  <c r="L613" i="4"/>
  <c r="P612" i="4"/>
  <c r="O612" i="4"/>
  <c r="N612" i="4"/>
  <c r="M612" i="4"/>
  <c r="M612" i="5" s="1"/>
  <c r="N612" i="5" s="1"/>
  <c r="L612" i="4"/>
  <c r="P611" i="4"/>
  <c r="O611" i="4"/>
  <c r="N611" i="4"/>
  <c r="M611" i="4"/>
  <c r="M611" i="5" s="1"/>
  <c r="N611" i="5" s="1"/>
  <c r="L611" i="4"/>
  <c r="P610" i="4"/>
  <c r="O610" i="4"/>
  <c r="N610" i="4"/>
  <c r="M610" i="4"/>
  <c r="M610" i="5" s="1"/>
  <c r="N610" i="5" s="1"/>
  <c r="L610" i="4"/>
  <c r="P609" i="4"/>
  <c r="O609" i="4"/>
  <c r="N609" i="4"/>
  <c r="M609" i="4"/>
  <c r="M609" i="5" s="1"/>
  <c r="N609" i="5" s="1"/>
  <c r="L609" i="4"/>
  <c r="P608" i="4"/>
  <c r="O608" i="4"/>
  <c r="N608" i="4"/>
  <c r="M608" i="4"/>
  <c r="M608" i="5" s="1"/>
  <c r="N608" i="5" s="1"/>
  <c r="L608" i="4"/>
  <c r="P607" i="4"/>
  <c r="O607" i="4"/>
  <c r="N607" i="4"/>
  <c r="M607" i="4"/>
  <c r="M607" i="5" s="1"/>
  <c r="N607" i="5" s="1"/>
  <c r="L607" i="4"/>
  <c r="P606" i="4"/>
  <c r="O606" i="4"/>
  <c r="N606" i="4"/>
  <c r="M606" i="4"/>
  <c r="M606" i="5" s="1"/>
  <c r="N606" i="5" s="1"/>
  <c r="L606" i="4"/>
  <c r="P605" i="4"/>
  <c r="O605" i="4"/>
  <c r="N605" i="4"/>
  <c r="M605" i="4"/>
  <c r="M605" i="5" s="1"/>
  <c r="N605" i="5" s="1"/>
  <c r="L605" i="4"/>
  <c r="P604" i="4"/>
  <c r="O604" i="4"/>
  <c r="N604" i="4"/>
  <c r="M604" i="4"/>
  <c r="M604" i="5" s="1"/>
  <c r="N604" i="5" s="1"/>
  <c r="L604" i="4"/>
  <c r="P603" i="4"/>
  <c r="O603" i="4"/>
  <c r="N603" i="4"/>
  <c r="M603" i="4"/>
  <c r="M603" i="5" s="1"/>
  <c r="N603" i="5" s="1"/>
  <c r="L603" i="4"/>
  <c r="P602" i="4"/>
  <c r="O602" i="4"/>
  <c r="N602" i="4"/>
  <c r="M602" i="4"/>
  <c r="M602" i="5" s="1"/>
  <c r="N602" i="5" s="1"/>
  <c r="L602" i="4"/>
  <c r="P601" i="4"/>
  <c r="O601" i="4"/>
  <c r="N601" i="4"/>
  <c r="M601" i="4"/>
  <c r="M601" i="5" s="1"/>
  <c r="N601" i="5" s="1"/>
  <c r="L601" i="4"/>
  <c r="P600" i="4"/>
  <c r="O600" i="4"/>
  <c r="N600" i="4"/>
  <c r="M600" i="4"/>
  <c r="M600" i="5" s="1"/>
  <c r="N600" i="5" s="1"/>
  <c r="L600" i="4"/>
  <c r="P599" i="4"/>
  <c r="O599" i="4"/>
  <c r="N599" i="4"/>
  <c r="M599" i="4"/>
  <c r="M599" i="5" s="1"/>
  <c r="N599" i="5" s="1"/>
  <c r="L599" i="4"/>
  <c r="P598" i="4"/>
  <c r="O598" i="4"/>
  <c r="N598" i="4"/>
  <c r="M598" i="4"/>
  <c r="M598" i="5" s="1"/>
  <c r="N598" i="5" s="1"/>
  <c r="L598" i="4"/>
  <c r="P597" i="4"/>
  <c r="O597" i="4"/>
  <c r="N597" i="4"/>
  <c r="M597" i="4"/>
  <c r="M597" i="5" s="1"/>
  <c r="N597" i="5" s="1"/>
  <c r="L597" i="4"/>
  <c r="P596" i="4"/>
  <c r="O596" i="4"/>
  <c r="N596" i="4"/>
  <c r="M596" i="4"/>
  <c r="M596" i="5" s="1"/>
  <c r="N596" i="5" s="1"/>
  <c r="L596" i="4"/>
  <c r="P595" i="4"/>
  <c r="O595" i="4"/>
  <c r="N595" i="4"/>
  <c r="M595" i="4"/>
  <c r="M595" i="5" s="1"/>
  <c r="N595" i="5" s="1"/>
  <c r="L595" i="4"/>
  <c r="P594" i="4"/>
  <c r="O594" i="4"/>
  <c r="N594" i="4"/>
  <c r="M594" i="4"/>
  <c r="M594" i="5" s="1"/>
  <c r="N594" i="5" s="1"/>
  <c r="L594" i="4"/>
  <c r="P593" i="4"/>
  <c r="O593" i="4"/>
  <c r="N593" i="4"/>
  <c r="M593" i="4"/>
  <c r="M593" i="5" s="1"/>
  <c r="N593" i="5" s="1"/>
  <c r="L593" i="4"/>
  <c r="P592" i="4"/>
  <c r="O592" i="4"/>
  <c r="N592" i="4"/>
  <c r="M592" i="4"/>
  <c r="M592" i="5" s="1"/>
  <c r="N592" i="5" s="1"/>
  <c r="L592" i="4"/>
  <c r="P591" i="4"/>
  <c r="O591" i="4"/>
  <c r="N591" i="4"/>
  <c r="M591" i="4"/>
  <c r="M591" i="5" s="1"/>
  <c r="N591" i="5" s="1"/>
  <c r="L591" i="4"/>
  <c r="P590" i="4"/>
  <c r="O590" i="4"/>
  <c r="N590" i="4"/>
  <c r="M590" i="4"/>
  <c r="M590" i="5" s="1"/>
  <c r="N590" i="5" s="1"/>
  <c r="L590" i="4"/>
  <c r="P589" i="4"/>
  <c r="O589" i="4"/>
  <c r="N589" i="4"/>
  <c r="M589" i="4"/>
  <c r="M589" i="5" s="1"/>
  <c r="N589" i="5" s="1"/>
  <c r="L589" i="4"/>
  <c r="P588" i="4"/>
  <c r="O588" i="4"/>
  <c r="N588" i="4"/>
  <c r="M588" i="4"/>
  <c r="M588" i="5" s="1"/>
  <c r="N588" i="5" s="1"/>
  <c r="L588" i="4"/>
  <c r="P587" i="4"/>
  <c r="O587" i="4"/>
  <c r="N587" i="4"/>
  <c r="M587" i="4"/>
  <c r="M587" i="5" s="1"/>
  <c r="N587" i="5" s="1"/>
  <c r="L587" i="4"/>
  <c r="P586" i="4"/>
  <c r="O586" i="4"/>
  <c r="N586" i="4"/>
  <c r="M586" i="4"/>
  <c r="M586" i="5" s="1"/>
  <c r="N586" i="5" s="1"/>
  <c r="L586" i="4"/>
  <c r="P585" i="4"/>
  <c r="O585" i="4"/>
  <c r="N585" i="4"/>
  <c r="M585" i="4"/>
  <c r="M585" i="5" s="1"/>
  <c r="N585" i="5" s="1"/>
  <c r="L585" i="4"/>
  <c r="P584" i="4"/>
  <c r="O584" i="4"/>
  <c r="N584" i="4"/>
  <c r="M584" i="4"/>
  <c r="M584" i="5" s="1"/>
  <c r="N584" i="5" s="1"/>
  <c r="L584" i="4"/>
  <c r="P583" i="4"/>
  <c r="O583" i="4"/>
  <c r="N583" i="4"/>
  <c r="M583" i="4"/>
  <c r="M583" i="5" s="1"/>
  <c r="N583" i="5" s="1"/>
  <c r="L583" i="4"/>
  <c r="P582" i="4"/>
  <c r="O582" i="4"/>
  <c r="N582" i="4"/>
  <c r="M582" i="4"/>
  <c r="M582" i="5" s="1"/>
  <c r="N582" i="5" s="1"/>
  <c r="L582" i="4"/>
  <c r="P581" i="4"/>
  <c r="O581" i="4"/>
  <c r="N581" i="4"/>
  <c r="M581" i="4"/>
  <c r="M581" i="5" s="1"/>
  <c r="N581" i="5" s="1"/>
  <c r="L581" i="4"/>
  <c r="P580" i="4"/>
  <c r="O580" i="4"/>
  <c r="N580" i="4"/>
  <c r="M580" i="4"/>
  <c r="M580" i="5" s="1"/>
  <c r="N580" i="5" s="1"/>
  <c r="L580" i="4"/>
  <c r="P579" i="4"/>
  <c r="O579" i="4"/>
  <c r="N579" i="4"/>
  <c r="M579" i="4"/>
  <c r="M579" i="5" s="1"/>
  <c r="N579" i="5" s="1"/>
  <c r="L579" i="4"/>
  <c r="P578" i="4"/>
  <c r="O578" i="4"/>
  <c r="N578" i="4"/>
  <c r="M578" i="4"/>
  <c r="M578" i="5" s="1"/>
  <c r="N578" i="5" s="1"/>
  <c r="L578" i="4"/>
  <c r="P577" i="4"/>
  <c r="O577" i="4"/>
  <c r="N577" i="4"/>
  <c r="M577" i="4"/>
  <c r="M577" i="5" s="1"/>
  <c r="N577" i="5" s="1"/>
  <c r="L577" i="4"/>
  <c r="P576" i="4"/>
  <c r="O576" i="4"/>
  <c r="N576" i="4"/>
  <c r="M576" i="4"/>
  <c r="M576" i="5" s="1"/>
  <c r="N576" i="5" s="1"/>
  <c r="L576" i="4"/>
  <c r="P575" i="4"/>
  <c r="O575" i="4"/>
  <c r="N575" i="4"/>
  <c r="M575" i="4"/>
  <c r="M575" i="5" s="1"/>
  <c r="N575" i="5" s="1"/>
  <c r="L575" i="4"/>
  <c r="P574" i="4"/>
  <c r="O574" i="4"/>
  <c r="N574" i="4"/>
  <c r="M574" i="4"/>
  <c r="M574" i="5" s="1"/>
  <c r="N574" i="5" s="1"/>
  <c r="L574" i="4"/>
  <c r="P573" i="4"/>
  <c r="O573" i="4"/>
  <c r="N573" i="4"/>
  <c r="M573" i="4"/>
  <c r="M573" i="5" s="1"/>
  <c r="N573" i="5" s="1"/>
  <c r="L573" i="4"/>
  <c r="P572" i="4"/>
  <c r="O572" i="4"/>
  <c r="N572" i="4"/>
  <c r="M572" i="4"/>
  <c r="M572" i="5" s="1"/>
  <c r="N572" i="5" s="1"/>
  <c r="L572" i="4"/>
  <c r="P571" i="4"/>
  <c r="O571" i="4"/>
  <c r="N571" i="4"/>
  <c r="M571" i="4"/>
  <c r="M571" i="5" s="1"/>
  <c r="N571" i="5" s="1"/>
  <c r="L571" i="4"/>
  <c r="P570" i="4"/>
  <c r="O570" i="4"/>
  <c r="N570" i="4"/>
  <c r="M570" i="4"/>
  <c r="M570" i="5" s="1"/>
  <c r="N570" i="5" s="1"/>
  <c r="L570" i="4"/>
  <c r="P569" i="4"/>
  <c r="O569" i="4"/>
  <c r="N569" i="4"/>
  <c r="M569" i="4"/>
  <c r="M569" i="5" s="1"/>
  <c r="N569" i="5" s="1"/>
  <c r="L569" i="4"/>
  <c r="P568" i="4"/>
  <c r="O568" i="4"/>
  <c r="N568" i="4"/>
  <c r="M568" i="4"/>
  <c r="M568" i="5" s="1"/>
  <c r="N568" i="5" s="1"/>
  <c r="L568" i="4"/>
  <c r="P567" i="4"/>
  <c r="O567" i="4"/>
  <c r="N567" i="4"/>
  <c r="M567" i="4"/>
  <c r="M567" i="5" s="1"/>
  <c r="N567" i="5" s="1"/>
  <c r="L567" i="4"/>
  <c r="P566" i="4"/>
  <c r="O566" i="4"/>
  <c r="N566" i="4"/>
  <c r="M566" i="4"/>
  <c r="M566" i="5" s="1"/>
  <c r="N566" i="5" s="1"/>
  <c r="L566" i="4"/>
  <c r="P565" i="4"/>
  <c r="O565" i="4"/>
  <c r="N565" i="4"/>
  <c r="M565" i="4"/>
  <c r="M565" i="5" s="1"/>
  <c r="N565" i="5" s="1"/>
  <c r="L565" i="4"/>
  <c r="H565" i="4"/>
  <c r="G565" i="4"/>
  <c r="F565" i="4"/>
  <c r="E565" i="4"/>
  <c r="P564" i="4"/>
  <c r="O564" i="4"/>
  <c r="N564" i="4"/>
  <c r="M564" i="4"/>
  <c r="M564" i="5" s="1"/>
  <c r="N564" i="5" s="1"/>
  <c r="L564" i="4"/>
  <c r="H564" i="4"/>
  <c r="G564" i="4"/>
  <c r="F564" i="4"/>
  <c r="E564" i="4"/>
  <c r="P563" i="4"/>
  <c r="O563" i="4"/>
  <c r="N563" i="4"/>
  <c r="M563" i="4"/>
  <c r="M563" i="5" s="1"/>
  <c r="N563" i="5" s="1"/>
  <c r="L563" i="4"/>
  <c r="H563" i="4"/>
  <c r="G563" i="4"/>
  <c r="F563" i="4"/>
  <c r="E563" i="4"/>
  <c r="P562" i="4"/>
  <c r="O562" i="4"/>
  <c r="N562" i="4"/>
  <c r="M562" i="4"/>
  <c r="M562" i="5" s="1"/>
  <c r="N562" i="5" s="1"/>
  <c r="L562" i="4"/>
  <c r="H562" i="4"/>
  <c r="G562" i="4"/>
  <c r="F562" i="4"/>
  <c r="E562" i="4"/>
  <c r="P561" i="4"/>
  <c r="O561" i="4"/>
  <c r="N561" i="4"/>
  <c r="M561" i="4"/>
  <c r="M561" i="5" s="1"/>
  <c r="N561" i="5" s="1"/>
  <c r="L561" i="4"/>
  <c r="H561" i="4"/>
  <c r="G561" i="4"/>
  <c r="F561" i="4"/>
  <c r="E561" i="4"/>
  <c r="P560" i="4"/>
  <c r="O560" i="4"/>
  <c r="N560" i="4"/>
  <c r="M560" i="4"/>
  <c r="M560" i="5" s="1"/>
  <c r="N560" i="5" s="1"/>
  <c r="L560" i="4"/>
  <c r="H560" i="4"/>
  <c r="G560" i="4"/>
  <c r="F560" i="4"/>
  <c r="E560" i="4"/>
  <c r="P559" i="4"/>
  <c r="O559" i="4"/>
  <c r="N559" i="4"/>
  <c r="M559" i="4"/>
  <c r="M559" i="5" s="1"/>
  <c r="N559" i="5" s="1"/>
  <c r="L559" i="4"/>
  <c r="H559" i="4"/>
  <c r="G559" i="4"/>
  <c r="F559" i="4"/>
  <c r="E559" i="4"/>
  <c r="P558" i="4"/>
  <c r="O558" i="4"/>
  <c r="N558" i="4"/>
  <c r="M558" i="4"/>
  <c r="M558" i="5" s="1"/>
  <c r="N558" i="5" s="1"/>
  <c r="L558" i="4"/>
  <c r="H558" i="4"/>
  <c r="G558" i="4"/>
  <c r="F558" i="4"/>
  <c r="E558" i="4"/>
  <c r="P557" i="4"/>
  <c r="O557" i="4"/>
  <c r="N557" i="4"/>
  <c r="M557" i="4"/>
  <c r="M557" i="5" s="1"/>
  <c r="N557" i="5" s="1"/>
  <c r="L557" i="4"/>
  <c r="H557" i="4"/>
  <c r="G557" i="4"/>
  <c r="F557" i="4"/>
  <c r="E557" i="4"/>
  <c r="P556" i="4"/>
  <c r="O556" i="4"/>
  <c r="N556" i="4"/>
  <c r="M556" i="4"/>
  <c r="M556" i="5" s="1"/>
  <c r="N556" i="5" s="1"/>
  <c r="L556" i="4"/>
  <c r="H556" i="4"/>
  <c r="G556" i="4"/>
  <c r="F556" i="4"/>
  <c r="E556" i="4"/>
  <c r="P555" i="4"/>
  <c r="O555" i="4"/>
  <c r="N555" i="4"/>
  <c r="M555" i="4"/>
  <c r="M555" i="5" s="1"/>
  <c r="N555" i="5" s="1"/>
  <c r="L555" i="4"/>
  <c r="H555" i="4"/>
  <c r="G555" i="4"/>
  <c r="F555" i="4"/>
  <c r="E555" i="4"/>
  <c r="P554" i="4"/>
  <c r="O554" i="4"/>
  <c r="N554" i="4"/>
  <c r="M554" i="4"/>
  <c r="M554" i="5" s="1"/>
  <c r="N554" i="5" s="1"/>
  <c r="L554" i="4"/>
  <c r="H554" i="4"/>
  <c r="G554" i="4"/>
  <c r="F554" i="4"/>
  <c r="E554" i="4"/>
  <c r="P553" i="4"/>
  <c r="O553" i="4"/>
  <c r="N553" i="4"/>
  <c r="M553" i="4"/>
  <c r="M553" i="5" s="1"/>
  <c r="N553" i="5" s="1"/>
  <c r="L553" i="4"/>
  <c r="H553" i="4"/>
  <c r="G553" i="4"/>
  <c r="F553" i="4"/>
  <c r="E553" i="4"/>
  <c r="P552" i="4"/>
  <c r="O552" i="4"/>
  <c r="N552" i="4"/>
  <c r="M552" i="4"/>
  <c r="M552" i="5" s="1"/>
  <c r="N552" i="5" s="1"/>
  <c r="L552" i="4"/>
  <c r="H552" i="4"/>
  <c r="G552" i="4"/>
  <c r="F552" i="4"/>
  <c r="E552" i="4"/>
  <c r="P551" i="4"/>
  <c r="O551" i="4"/>
  <c r="N551" i="4"/>
  <c r="M551" i="4"/>
  <c r="M551" i="5" s="1"/>
  <c r="N551" i="5" s="1"/>
  <c r="L551" i="4"/>
  <c r="H551" i="4"/>
  <c r="G551" i="4"/>
  <c r="F551" i="4"/>
  <c r="E551" i="4"/>
  <c r="P550" i="4"/>
  <c r="O550" i="4"/>
  <c r="N550" i="4"/>
  <c r="M550" i="4"/>
  <c r="M550" i="5" s="1"/>
  <c r="N550" i="5" s="1"/>
  <c r="L550" i="4"/>
  <c r="H550" i="4"/>
  <c r="G550" i="4"/>
  <c r="F550" i="4"/>
  <c r="E550" i="4"/>
  <c r="P549" i="4"/>
  <c r="O549" i="4"/>
  <c r="N549" i="4"/>
  <c r="M549" i="4"/>
  <c r="M549" i="5" s="1"/>
  <c r="N549" i="5" s="1"/>
  <c r="L549" i="4"/>
  <c r="H549" i="4"/>
  <c r="G549" i="4"/>
  <c r="F549" i="4"/>
  <c r="E549" i="4"/>
  <c r="P548" i="4"/>
  <c r="O548" i="4"/>
  <c r="N548" i="4"/>
  <c r="M548" i="4"/>
  <c r="M548" i="5" s="1"/>
  <c r="N548" i="5" s="1"/>
  <c r="L548" i="4"/>
  <c r="H548" i="4"/>
  <c r="G548" i="4"/>
  <c r="F548" i="4"/>
  <c r="E548" i="4"/>
  <c r="P547" i="4"/>
  <c r="O547" i="4"/>
  <c r="N547" i="4"/>
  <c r="M547" i="4"/>
  <c r="M547" i="5" s="1"/>
  <c r="N547" i="5" s="1"/>
  <c r="L547" i="4"/>
  <c r="H547" i="4"/>
  <c r="G547" i="4"/>
  <c r="F547" i="4"/>
  <c r="E547" i="4"/>
  <c r="P546" i="4"/>
  <c r="O546" i="4"/>
  <c r="N546" i="4"/>
  <c r="M546" i="4"/>
  <c r="M546" i="5" s="1"/>
  <c r="N546" i="5" s="1"/>
  <c r="L546" i="4"/>
  <c r="H546" i="4"/>
  <c r="G546" i="4"/>
  <c r="F546" i="4"/>
  <c r="E546" i="4"/>
  <c r="P545" i="4"/>
  <c r="O545" i="4"/>
  <c r="N545" i="4"/>
  <c r="M545" i="4"/>
  <c r="M545" i="5" s="1"/>
  <c r="N545" i="5" s="1"/>
  <c r="L545" i="4"/>
  <c r="H545" i="4"/>
  <c r="G545" i="4"/>
  <c r="F545" i="4"/>
  <c r="E545" i="4"/>
  <c r="P544" i="4"/>
  <c r="O544" i="4"/>
  <c r="N544" i="4"/>
  <c r="M544" i="4"/>
  <c r="M544" i="5" s="1"/>
  <c r="N544" i="5" s="1"/>
  <c r="L544" i="4"/>
  <c r="H544" i="4"/>
  <c r="G544" i="4"/>
  <c r="F544" i="4"/>
  <c r="E544" i="4"/>
  <c r="P543" i="4"/>
  <c r="O543" i="4"/>
  <c r="N543" i="4"/>
  <c r="M543" i="4"/>
  <c r="M543" i="5" s="1"/>
  <c r="N543" i="5" s="1"/>
  <c r="L543" i="4"/>
  <c r="H543" i="4"/>
  <c r="G543" i="4"/>
  <c r="F543" i="4"/>
  <c r="E543" i="4"/>
  <c r="P542" i="4"/>
  <c r="O542" i="4"/>
  <c r="N542" i="4"/>
  <c r="M542" i="4"/>
  <c r="M542" i="5" s="1"/>
  <c r="N542" i="5" s="1"/>
  <c r="L542" i="4"/>
  <c r="H542" i="4"/>
  <c r="G542" i="4"/>
  <c r="F542" i="4"/>
  <c r="E542" i="4"/>
  <c r="P541" i="4"/>
  <c r="O541" i="4"/>
  <c r="N541" i="4"/>
  <c r="M541" i="4"/>
  <c r="M541" i="5" s="1"/>
  <c r="N541" i="5" s="1"/>
  <c r="L541" i="4"/>
  <c r="H541" i="4"/>
  <c r="G541" i="4"/>
  <c r="F541" i="4"/>
  <c r="E541" i="4"/>
  <c r="P540" i="4"/>
  <c r="O540" i="4"/>
  <c r="N540" i="4"/>
  <c r="M540" i="4"/>
  <c r="M540" i="5" s="1"/>
  <c r="N540" i="5" s="1"/>
  <c r="L540" i="4"/>
  <c r="H540" i="4"/>
  <c r="G540" i="4"/>
  <c r="F540" i="4"/>
  <c r="E540" i="4"/>
  <c r="P539" i="4"/>
  <c r="O539" i="4"/>
  <c r="N539" i="4"/>
  <c r="M539" i="4"/>
  <c r="M539" i="5" s="1"/>
  <c r="N539" i="5" s="1"/>
  <c r="L539" i="4"/>
  <c r="H539" i="4"/>
  <c r="G539" i="4"/>
  <c r="F539" i="4"/>
  <c r="E539" i="4"/>
  <c r="P538" i="4"/>
  <c r="O538" i="4"/>
  <c r="N538" i="4"/>
  <c r="M538" i="4"/>
  <c r="M538" i="5" s="1"/>
  <c r="N538" i="5" s="1"/>
  <c r="L538" i="4"/>
  <c r="H538" i="4"/>
  <c r="G538" i="4"/>
  <c r="F538" i="4"/>
  <c r="E538" i="4"/>
  <c r="P537" i="4"/>
  <c r="O537" i="4"/>
  <c r="N537" i="4"/>
  <c r="M537" i="4"/>
  <c r="M537" i="5" s="1"/>
  <c r="N537" i="5" s="1"/>
  <c r="L537" i="4"/>
  <c r="H537" i="4"/>
  <c r="G537" i="4"/>
  <c r="F537" i="4"/>
  <c r="E537" i="4"/>
  <c r="P536" i="4"/>
  <c r="O536" i="4"/>
  <c r="N536" i="4"/>
  <c r="M536" i="4"/>
  <c r="M536" i="5" s="1"/>
  <c r="N536" i="5" s="1"/>
  <c r="L536" i="4"/>
  <c r="H536" i="4"/>
  <c r="G536" i="4"/>
  <c r="F536" i="4"/>
  <c r="E536" i="4"/>
  <c r="P535" i="4"/>
  <c r="O535" i="4"/>
  <c r="N535" i="4"/>
  <c r="M535" i="4"/>
  <c r="M535" i="5" s="1"/>
  <c r="N535" i="5" s="1"/>
  <c r="L535" i="4"/>
  <c r="H535" i="4"/>
  <c r="G535" i="4"/>
  <c r="F535" i="4"/>
  <c r="E535" i="4"/>
  <c r="P534" i="4"/>
  <c r="O534" i="4"/>
  <c r="N534" i="4"/>
  <c r="M534" i="4"/>
  <c r="M534" i="5" s="1"/>
  <c r="N534" i="5" s="1"/>
  <c r="L534" i="4"/>
  <c r="H534" i="4"/>
  <c r="G534" i="4"/>
  <c r="F534" i="4"/>
  <c r="E534" i="4"/>
  <c r="P533" i="4"/>
  <c r="O533" i="4"/>
  <c r="N533" i="4"/>
  <c r="M533" i="4"/>
  <c r="M533" i="5" s="1"/>
  <c r="N533" i="5" s="1"/>
  <c r="L533" i="4"/>
  <c r="H533" i="4"/>
  <c r="G533" i="4"/>
  <c r="F533" i="4"/>
  <c r="E533" i="4"/>
  <c r="P532" i="4"/>
  <c r="O532" i="4"/>
  <c r="N532" i="4"/>
  <c r="M532" i="4"/>
  <c r="M532" i="5" s="1"/>
  <c r="N532" i="5" s="1"/>
  <c r="L532" i="4"/>
  <c r="H532" i="4"/>
  <c r="G532" i="4"/>
  <c r="F532" i="4"/>
  <c r="E532" i="4"/>
  <c r="P531" i="4"/>
  <c r="O531" i="4"/>
  <c r="N531" i="4"/>
  <c r="M531" i="4"/>
  <c r="M531" i="5" s="1"/>
  <c r="N531" i="5" s="1"/>
  <c r="L531" i="4"/>
  <c r="H531" i="4"/>
  <c r="G531" i="4"/>
  <c r="F531" i="4"/>
  <c r="E531" i="4"/>
  <c r="P530" i="4"/>
  <c r="O530" i="4"/>
  <c r="N530" i="4"/>
  <c r="M530" i="4"/>
  <c r="M530" i="5" s="1"/>
  <c r="N530" i="5" s="1"/>
  <c r="L530" i="4"/>
  <c r="H530" i="4"/>
  <c r="G530" i="4"/>
  <c r="F530" i="4"/>
  <c r="E530" i="4"/>
  <c r="P529" i="4"/>
  <c r="O529" i="4"/>
  <c r="N529" i="4"/>
  <c r="M529" i="4"/>
  <c r="M529" i="5" s="1"/>
  <c r="N529" i="5" s="1"/>
  <c r="L529" i="4"/>
  <c r="H529" i="4"/>
  <c r="G529" i="4"/>
  <c r="F529" i="4"/>
  <c r="E529" i="4"/>
  <c r="P528" i="4"/>
  <c r="O528" i="4"/>
  <c r="N528" i="4"/>
  <c r="M528" i="4"/>
  <c r="M528" i="5" s="1"/>
  <c r="N528" i="5" s="1"/>
  <c r="L528" i="4"/>
  <c r="H528" i="4"/>
  <c r="G528" i="4"/>
  <c r="F528" i="4"/>
  <c r="E528" i="4"/>
  <c r="P527" i="4"/>
  <c r="O527" i="4"/>
  <c r="N527" i="4"/>
  <c r="M527" i="4"/>
  <c r="M527" i="5" s="1"/>
  <c r="N527" i="5" s="1"/>
  <c r="L527" i="4"/>
  <c r="H527" i="4"/>
  <c r="G527" i="4"/>
  <c r="F527" i="4"/>
  <c r="E527" i="4"/>
  <c r="P526" i="4"/>
  <c r="O526" i="4"/>
  <c r="N526" i="4"/>
  <c r="M526" i="4"/>
  <c r="M526" i="5" s="1"/>
  <c r="N526" i="5" s="1"/>
  <c r="L526" i="4"/>
  <c r="H526" i="4"/>
  <c r="G526" i="4"/>
  <c r="F526" i="4"/>
  <c r="E526" i="4"/>
  <c r="P525" i="4"/>
  <c r="O525" i="4"/>
  <c r="N525" i="4"/>
  <c r="M525" i="4"/>
  <c r="M525" i="5" s="1"/>
  <c r="N525" i="5" s="1"/>
  <c r="L525" i="4"/>
  <c r="H525" i="4"/>
  <c r="G525" i="4"/>
  <c r="F525" i="4"/>
  <c r="E525" i="4"/>
  <c r="P524" i="4"/>
  <c r="O524" i="4"/>
  <c r="N524" i="4"/>
  <c r="M524" i="4"/>
  <c r="M524" i="5" s="1"/>
  <c r="N524" i="5" s="1"/>
  <c r="L524" i="4"/>
  <c r="H524" i="4"/>
  <c r="G524" i="4"/>
  <c r="F524" i="4"/>
  <c r="E524" i="4"/>
  <c r="P523" i="4"/>
  <c r="O523" i="4"/>
  <c r="N523" i="4"/>
  <c r="M523" i="4"/>
  <c r="M523" i="5" s="1"/>
  <c r="N523" i="5" s="1"/>
  <c r="L523" i="4"/>
  <c r="H523" i="4"/>
  <c r="G523" i="4"/>
  <c r="F523" i="4"/>
  <c r="E523" i="4"/>
  <c r="P522" i="4"/>
  <c r="O522" i="4"/>
  <c r="N522" i="4"/>
  <c r="M522" i="4"/>
  <c r="M522" i="5" s="1"/>
  <c r="N522" i="5" s="1"/>
  <c r="L522" i="4"/>
  <c r="H522" i="4"/>
  <c r="G522" i="4"/>
  <c r="F522" i="4"/>
  <c r="E522" i="4"/>
  <c r="P521" i="4"/>
  <c r="O521" i="4"/>
  <c r="N521" i="4"/>
  <c r="M521" i="4"/>
  <c r="M521" i="5" s="1"/>
  <c r="N521" i="5" s="1"/>
  <c r="L521" i="4"/>
  <c r="H521" i="4"/>
  <c r="G521" i="4"/>
  <c r="F521" i="4"/>
  <c r="E521" i="4"/>
  <c r="P520" i="4"/>
  <c r="O520" i="4"/>
  <c r="N520" i="4"/>
  <c r="M520" i="4"/>
  <c r="M520" i="5" s="1"/>
  <c r="N520" i="5" s="1"/>
  <c r="L520" i="4"/>
  <c r="H520" i="4"/>
  <c r="G520" i="4"/>
  <c r="F520" i="4"/>
  <c r="E520" i="4"/>
  <c r="P519" i="4"/>
  <c r="O519" i="4"/>
  <c r="N519" i="4"/>
  <c r="M519" i="4"/>
  <c r="M519" i="5" s="1"/>
  <c r="N519" i="5" s="1"/>
  <c r="L519" i="4"/>
  <c r="H519" i="4"/>
  <c r="G519" i="4"/>
  <c r="F519" i="4"/>
  <c r="E519" i="4"/>
  <c r="P518" i="4"/>
  <c r="O518" i="4"/>
  <c r="N518" i="4"/>
  <c r="M518" i="4"/>
  <c r="M518" i="5" s="1"/>
  <c r="N518" i="5" s="1"/>
  <c r="L518" i="4"/>
  <c r="H518" i="4"/>
  <c r="G518" i="4"/>
  <c r="F518" i="4"/>
  <c r="E518" i="4"/>
  <c r="P517" i="4"/>
  <c r="O517" i="4"/>
  <c r="N517" i="4"/>
  <c r="M517" i="4"/>
  <c r="M517" i="5" s="1"/>
  <c r="N517" i="5" s="1"/>
  <c r="L517" i="4"/>
  <c r="H517" i="4"/>
  <c r="G517" i="4"/>
  <c r="F517" i="4"/>
  <c r="E517" i="4"/>
  <c r="P516" i="4"/>
  <c r="O516" i="4"/>
  <c r="N516" i="4"/>
  <c r="M516" i="4"/>
  <c r="M516" i="5" s="1"/>
  <c r="N516" i="5" s="1"/>
  <c r="L516" i="4"/>
  <c r="H516" i="4"/>
  <c r="G516" i="4"/>
  <c r="F516" i="4"/>
  <c r="E516" i="4"/>
  <c r="P515" i="4"/>
  <c r="O515" i="4"/>
  <c r="N515" i="4"/>
  <c r="M515" i="4"/>
  <c r="M515" i="5" s="1"/>
  <c r="N515" i="5" s="1"/>
  <c r="L515" i="4"/>
  <c r="H515" i="4"/>
  <c r="G515" i="4"/>
  <c r="F515" i="4"/>
  <c r="E515" i="4"/>
  <c r="P514" i="4"/>
  <c r="O514" i="4"/>
  <c r="N514" i="4"/>
  <c r="M514" i="4"/>
  <c r="M514" i="5" s="1"/>
  <c r="N514" i="5" s="1"/>
  <c r="L514" i="4"/>
  <c r="H514" i="4"/>
  <c r="G514" i="4"/>
  <c r="F514" i="4"/>
  <c r="E514" i="4"/>
  <c r="P513" i="4"/>
  <c r="O513" i="4"/>
  <c r="N513" i="4"/>
  <c r="M513" i="4"/>
  <c r="M513" i="5" s="1"/>
  <c r="N513" i="5" s="1"/>
  <c r="L513" i="4"/>
  <c r="H513" i="4"/>
  <c r="G513" i="4"/>
  <c r="F513" i="4"/>
  <c r="E513" i="4"/>
  <c r="P512" i="4"/>
  <c r="O512" i="4"/>
  <c r="N512" i="4"/>
  <c r="M512" i="4"/>
  <c r="M512" i="5" s="1"/>
  <c r="N512" i="5" s="1"/>
  <c r="L512" i="4"/>
  <c r="H512" i="4"/>
  <c r="G512" i="4"/>
  <c r="F512" i="4"/>
  <c r="E512" i="4"/>
  <c r="P511" i="4"/>
  <c r="O511" i="4"/>
  <c r="N511" i="4"/>
  <c r="M511" i="4"/>
  <c r="M511" i="5" s="1"/>
  <c r="N511" i="5" s="1"/>
  <c r="L511" i="4"/>
  <c r="H511" i="4"/>
  <c r="G511" i="4"/>
  <c r="F511" i="4"/>
  <c r="E511" i="4"/>
  <c r="P510" i="4"/>
  <c r="O510" i="4"/>
  <c r="N510" i="4"/>
  <c r="M510" i="4"/>
  <c r="M510" i="5" s="1"/>
  <c r="N510" i="5" s="1"/>
  <c r="L510" i="4"/>
  <c r="H510" i="4"/>
  <c r="G510" i="4"/>
  <c r="F510" i="4"/>
  <c r="E510" i="4"/>
  <c r="P509" i="4"/>
  <c r="O509" i="4"/>
  <c r="N509" i="4"/>
  <c r="M509" i="4"/>
  <c r="M509" i="5" s="1"/>
  <c r="N509" i="5" s="1"/>
  <c r="L509" i="4"/>
  <c r="H509" i="4"/>
  <c r="G509" i="4"/>
  <c r="F509" i="4"/>
  <c r="E509" i="4"/>
  <c r="P508" i="4"/>
  <c r="O508" i="4"/>
  <c r="N508" i="4"/>
  <c r="M508" i="4"/>
  <c r="M508" i="5" s="1"/>
  <c r="N508" i="5" s="1"/>
  <c r="L508" i="4"/>
  <c r="H508" i="4"/>
  <c r="G508" i="4"/>
  <c r="F508" i="4"/>
  <c r="E508" i="4"/>
  <c r="P507" i="4"/>
  <c r="O507" i="4"/>
  <c r="N507" i="4"/>
  <c r="M507" i="4"/>
  <c r="M507" i="5" s="1"/>
  <c r="N507" i="5" s="1"/>
  <c r="L507" i="4"/>
  <c r="H507" i="4"/>
  <c r="G507" i="4"/>
  <c r="F507" i="4"/>
  <c r="E507" i="4"/>
  <c r="P506" i="4"/>
  <c r="O506" i="4"/>
  <c r="N506" i="4"/>
  <c r="M506" i="4"/>
  <c r="M506" i="5" s="1"/>
  <c r="N506" i="5" s="1"/>
  <c r="L506" i="4"/>
  <c r="H506" i="4"/>
  <c r="G506" i="4"/>
  <c r="F506" i="4"/>
  <c r="E506" i="4"/>
  <c r="P505" i="4"/>
  <c r="O505" i="4"/>
  <c r="N505" i="4"/>
  <c r="M505" i="4"/>
  <c r="M505" i="5" s="1"/>
  <c r="N505" i="5" s="1"/>
  <c r="L505" i="4"/>
  <c r="H505" i="4"/>
  <c r="G505" i="4"/>
  <c r="F505" i="4"/>
  <c r="E505" i="4"/>
  <c r="A505" i="4"/>
  <c r="P504" i="4"/>
  <c r="O504" i="4"/>
  <c r="N504" i="4"/>
  <c r="M504" i="4"/>
  <c r="M504" i="5" s="1"/>
  <c r="N504" i="5" s="1"/>
  <c r="L504" i="4"/>
  <c r="H504" i="4"/>
  <c r="G504" i="4"/>
  <c r="F504" i="4"/>
  <c r="E504" i="4"/>
  <c r="A504" i="4"/>
  <c r="P503" i="4"/>
  <c r="O503" i="4"/>
  <c r="N503" i="4"/>
  <c r="M503" i="4"/>
  <c r="M503" i="5" s="1"/>
  <c r="N503" i="5" s="1"/>
  <c r="L503" i="4"/>
  <c r="H503" i="4"/>
  <c r="G503" i="4"/>
  <c r="F503" i="4"/>
  <c r="E503" i="4"/>
  <c r="A503" i="4"/>
  <c r="P502" i="4"/>
  <c r="O502" i="4"/>
  <c r="N502" i="4"/>
  <c r="M502" i="4"/>
  <c r="M502" i="5" s="1"/>
  <c r="N502" i="5" s="1"/>
  <c r="L502" i="4"/>
  <c r="H502" i="4"/>
  <c r="G502" i="4"/>
  <c r="F502" i="4"/>
  <c r="E502" i="4"/>
  <c r="A502" i="4"/>
  <c r="P501" i="4"/>
  <c r="O501" i="4"/>
  <c r="N501" i="4"/>
  <c r="M501" i="4"/>
  <c r="M501" i="5" s="1"/>
  <c r="N501" i="5" s="1"/>
  <c r="L501" i="4"/>
  <c r="H501" i="4"/>
  <c r="G501" i="4"/>
  <c r="F501" i="4"/>
  <c r="E501" i="4"/>
  <c r="A501" i="4"/>
  <c r="P500" i="4"/>
  <c r="O500" i="4"/>
  <c r="N500" i="4"/>
  <c r="M500" i="4"/>
  <c r="M500" i="5" s="1"/>
  <c r="N500" i="5" s="1"/>
  <c r="L500" i="4"/>
  <c r="H500" i="4"/>
  <c r="G500" i="4"/>
  <c r="F500" i="4"/>
  <c r="E500" i="4"/>
  <c r="A500" i="4"/>
  <c r="P499" i="4"/>
  <c r="O499" i="4"/>
  <c r="N499" i="4"/>
  <c r="M499" i="4"/>
  <c r="M499" i="5" s="1"/>
  <c r="N499" i="5" s="1"/>
  <c r="L499" i="4"/>
  <c r="H499" i="4"/>
  <c r="G499" i="4"/>
  <c r="F499" i="4"/>
  <c r="E499" i="4"/>
  <c r="A499" i="4"/>
  <c r="P498" i="4"/>
  <c r="O498" i="4"/>
  <c r="N498" i="4"/>
  <c r="M498" i="4"/>
  <c r="M498" i="5" s="1"/>
  <c r="N498" i="5" s="1"/>
  <c r="L498" i="4"/>
  <c r="H498" i="4"/>
  <c r="G498" i="4"/>
  <c r="F498" i="4"/>
  <c r="E498" i="4"/>
  <c r="A498" i="4"/>
  <c r="P497" i="4"/>
  <c r="O497" i="4"/>
  <c r="N497" i="4"/>
  <c r="M497" i="4"/>
  <c r="M497" i="5" s="1"/>
  <c r="N497" i="5" s="1"/>
  <c r="L497" i="4"/>
  <c r="H497" i="4"/>
  <c r="G497" i="4"/>
  <c r="F497" i="4"/>
  <c r="E497" i="4"/>
  <c r="A497" i="4"/>
  <c r="P496" i="4"/>
  <c r="O496" i="4"/>
  <c r="N496" i="4"/>
  <c r="M496" i="4"/>
  <c r="M496" i="5" s="1"/>
  <c r="N496" i="5" s="1"/>
  <c r="L496" i="4"/>
  <c r="H496" i="4"/>
  <c r="G496" i="4"/>
  <c r="F496" i="4"/>
  <c r="E496" i="4"/>
  <c r="A496" i="4"/>
  <c r="P495" i="4"/>
  <c r="O495" i="4"/>
  <c r="N495" i="4"/>
  <c r="M495" i="4"/>
  <c r="M495" i="5" s="1"/>
  <c r="N495" i="5" s="1"/>
  <c r="L495" i="4"/>
  <c r="H495" i="4"/>
  <c r="G495" i="4"/>
  <c r="F495" i="4"/>
  <c r="E495" i="4"/>
  <c r="A495" i="4"/>
  <c r="P494" i="4"/>
  <c r="O494" i="4"/>
  <c r="N494" i="4"/>
  <c r="M494" i="4"/>
  <c r="M494" i="5" s="1"/>
  <c r="N494" i="5" s="1"/>
  <c r="L494" i="4"/>
  <c r="H494" i="4"/>
  <c r="G494" i="4"/>
  <c r="F494" i="4"/>
  <c r="E494" i="4"/>
  <c r="A494" i="4"/>
  <c r="P493" i="4"/>
  <c r="O493" i="4"/>
  <c r="N493" i="4"/>
  <c r="M493" i="4"/>
  <c r="M493" i="5" s="1"/>
  <c r="N493" i="5" s="1"/>
  <c r="L493" i="4"/>
  <c r="H493" i="4"/>
  <c r="G493" i="4"/>
  <c r="F493" i="4"/>
  <c r="E493" i="4"/>
  <c r="A493" i="4"/>
  <c r="P492" i="4"/>
  <c r="O492" i="4"/>
  <c r="N492" i="4"/>
  <c r="M492" i="4"/>
  <c r="M492" i="5" s="1"/>
  <c r="N492" i="5" s="1"/>
  <c r="L492" i="4"/>
  <c r="H492" i="4"/>
  <c r="G492" i="4"/>
  <c r="F492" i="4"/>
  <c r="E492" i="4"/>
  <c r="A492" i="4"/>
  <c r="P491" i="4"/>
  <c r="O491" i="4"/>
  <c r="N491" i="4"/>
  <c r="M491" i="4"/>
  <c r="M491" i="5" s="1"/>
  <c r="N491" i="5" s="1"/>
  <c r="L491" i="4"/>
  <c r="H491" i="4"/>
  <c r="G491" i="4"/>
  <c r="F491" i="4"/>
  <c r="E491" i="4"/>
  <c r="A491" i="4"/>
  <c r="P490" i="4"/>
  <c r="O490" i="4"/>
  <c r="N490" i="4"/>
  <c r="M490" i="4"/>
  <c r="M490" i="5" s="1"/>
  <c r="N490" i="5" s="1"/>
  <c r="L490" i="4"/>
  <c r="H490" i="4"/>
  <c r="G490" i="4"/>
  <c r="F490" i="4"/>
  <c r="E490" i="4"/>
  <c r="A490" i="4"/>
  <c r="P489" i="4"/>
  <c r="O489" i="4"/>
  <c r="N489" i="4"/>
  <c r="M489" i="4"/>
  <c r="M489" i="5" s="1"/>
  <c r="N489" i="5" s="1"/>
  <c r="L489" i="4"/>
  <c r="H489" i="4"/>
  <c r="G489" i="4"/>
  <c r="F489" i="4"/>
  <c r="E489" i="4"/>
  <c r="A489" i="4"/>
  <c r="P488" i="4"/>
  <c r="O488" i="4"/>
  <c r="N488" i="4"/>
  <c r="M488" i="4"/>
  <c r="M488" i="5" s="1"/>
  <c r="N488" i="5" s="1"/>
  <c r="L488" i="4"/>
  <c r="H488" i="4"/>
  <c r="G488" i="4"/>
  <c r="F488" i="4"/>
  <c r="E488" i="4"/>
  <c r="A488" i="4"/>
  <c r="P487" i="4"/>
  <c r="O487" i="4"/>
  <c r="N487" i="4"/>
  <c r="M487" i="4"/>
  <c r="M487" i="5" s="1"/>
  <c r="N487" i="5" s="1"/>
  <c r="L487" i="4"/>
  <c r="H487" i="4"/>
  <c r="G487" i="4"/>
  <c r="F487" i="4"/>
  <c r="E487" i="4"/>
  <c r="A487" i="4"/>
  <c r="P486" i="4"/>
  <c r="O486" i="4"/>
  <c r="N486" i="4"/>
  <c r="M486" i="4"/>
  <c r="M486" i="5" s="1"/>
  <c r="N486" i="5" s="1"/>
  <c r="L486" i="4"/>
  <c r="H486" i="4"/>
  <c r="G486" i="4"/>
  <c r="F486" i="4"/>
  <c r="E486" i="4"/>
  <c r="A486" i="4"/>
  <c r="P485" i="4"/>
  <c r="O485" i="4"/>
  <c r="N485" i="4"/>
  <c r="M485" i="4"/>
  <c r="M485" i="5" s="1"/>
  <c r="N485" i="5" s="1"/>
  <c r="L485" i="4"/>
  <c r="H485" i="4"/>
  <c r="G485" i="4"/>
  <c r="F485" i="4"/>
  <c r="E485" i="4"/>
  <c r="A485" i="4"/>
  <c r="P484" i="4"/>
  <c r="O484" i="4"/>
  <c r="N484" i="4"/>
  <c r="M484" i="4"/>
  <c r="M484" i="5" s="1"/>
  <c r="N484" i="5" s="1"/>
  <c r="L484" i="4"/>
  <c r="H484" i="4"/>
  <c r="G484" i="4"/>
  <c r="F484" i="4"/>
  <c r="E484" i="4"/>
  <c r="A484" i="4"/>
  <c r="P483" i="4"/>
  <c r="O483" i="4"/>
  <c r="N483" i="4"/>
  <c r="M483" i="4"/>
  <c r="M483" i="5" s="1"/>
  <c r="N483" i="5" s="1"/>
  <c r="L483" i="4"/>
  <c r="H483" i="4"/>
  <c r="G483" i="4"/>
  <c r="F483" i="4"/>
  <c r="E483" i="4"/>
  <c r="A483" i="4"/>
  <c r="P482" i="4"/>
  <c r="O482" i="4"/>
  <c r="N482" i="4"/>
  <c r="M482" i="4"/>
  <c r="M482" i="5" s="1"/>
  <c r="N482" i="5" s="1"/>
  <c r="L482" i="4"/>
  <c r="H482" i="4"/>
  <c r="G482" i="4"/>
  <c r="F482" i="4"/>
  <c r="E482" i="4"/>
  <c r="A482" i="4"/>
  <c r="P481" i="4"/>
  <c r="O481" i="4"/>
  <c r="N481" i="4"/>
  <c r="M481" i="4"/>
  <c r="M481" i="5" s="1"/>
  <c r="N481" i="5" s="1"/>
  <c r="L481" i="4"/>
  <c r="H481" i="4"/>
  <c r="G481" i="4"/>
  <c r="F481" i="4"/>
  <c r="E481" i="4"/>
  <c r="A481" i="4"/>
  <c r="P480" i="4"/>
  <c r="O480" i="4"/>
  <c r="N480" i="4"/>
  <c r="M480" i="4"/>
  <c r="M480" i="5" s="1"/>
  <c r="N480" i="5" s="1"/>
  <c r="L480" i="4"/>
  <c r="H480" i="4"/>
  <c r="G480" i="4"/>
  <c r="F480" i="4"/>
  <c r="E480" i="4"/>
  <c r="A480" i="4"/>
  <c r="P479" i="4"/>
  <c r="O479" i="4"/>
  <c r="N479" i="4"/>
  <c r="M479" i="4"/>
  <c r="M479" i="5" s="1"/>
  <c r="N479" i="5" s="1"/>
  <c r="L479" i="4"/>
  <c r="H479" i="4"/>
  <c r="G479" i="4"/>
  <c r="F479" i="4"/>
  <c r="E479" i="4"/>
  <c r="A479" i="4"/>
  <c r="P478" i="4"/>
  <c r="O478" i="4"/>
  <c r="N478" i="4"/>
  <c r="M478" i="4"/>
  <c r="M478" i="5" s="1"/>
  <c r="N478" i="5" s="1"/>
  <c r="L478" i="4"/>
  <c r="H478" i="4"/>
  <c r="G478" i="4"/>
  <c r="F478" i="4"/>
  <c r="E478" i="4"/>
  <c r="A478" i="4"/>
  <c r="P477" i="4"/>
  <c r="O477" i="4"/>
  <c r="N477" i="4"/>
  <c r="M477" i="4"/>
  <c r="M477" i="5" s="1"/>
  <c r="N477" i="5" s="1"/>
  <c r="L477" i="4"/>
  <c r="H477" i="4"/>
  <c r="G477" i="4"/>
  <c r="F477" i="4"/>
  <c r="E477" i="4"/>
  <c r="A477" i="4"/>
  <c r="P476" i="4"/>
  <c r="O476" i="4"/>
  <c r="N476" i="4"/>
  <c r="M476" i="4"/>
  <c r="M476" i="5" s="1"/>
  <c r="N476" i="5" s="1"/>
  <c r="L476" i="4"/>
  <c r="H476" i="4"/>
  <c r="G476" i="4"/>
  <c r="F476" i="4"/>
  <c r="E476" i="4"/>
  <c r="A476" i="4"/>
  <c r="P475" i="4"/>
  <c r="O475" i="4"/>
  <c r="N475" i="4"/>
  <c r="M475" i="4"/>
  <c r="M475" i="5" s="1"/>
  <c r="N475" i="5" s="1"/>
  <c r="L475" i="4"/>
  <c r="H475" i="4"/>
  <c r="G475" i="4"/>
  <c r="F475" i="4"/>
  <c r="E475" i="4"/>
  <c r="A475" i="4"/>
  <c r="P474" i="4"/>
  <c r="O474" i="4"/>
  <c r="N474" i="4"/>
  <c r="M474" i="4"/>
  <c r="M474" i="5" s="1"/>
  <c r="N474" i="5" s="1"/>
  <c r="L474" i="4"/>
  <c r="H474" i="4"/>
  <c r="G474" i="4"/>
  <c r="F474" i="4"/>
  <c r="E474" i="4"/>
  <c r="A474" i="4"/>
  <c r="P473" i="4"/>
  <c r="O473" i="4"/>
  <c r="N473" i="4"/>
  <c r="M473" i="4"/>
  <c r="M473" i="5" s="1"/>
  <c r="N473" i="5" s="1"/>
  <c r="L473" i="4"/>
  <c r="H473" i="4"/>
  <c r="G473" i="4"/>
  <c r="F473" i="4"/>
  <c r="E473" i="4"/>
  <c r="A473" i="4"/>
  <c r="P472" i="4"/>
  <c r="O472" i="4"/>
  <c r="N472" i="4"/>
  <c r="M472" i="4"/>
  <c r="M472" i="5" s="1"/>
  <c r="N472" i="5" s="1"/>
  <c r="L472" i="4"/>
  <c r="H472" i="4"/>
  <c r="G472" i="4"/>
  <c r="F472" i="4"/>
  <c r="E472" i="4"/>
  <c r="A472" i="4"/>
  <c r="P471" i="4"/>
  <c r="O471" i="4"/>
  <c r="N471" i="4"/>
  <c r="M471" i="4"/>
  <c r="M471" i="5" s="1"/>
  <c r="N471" i="5" s="1"/>
  <c r="L471" i="4"/>
  <c r="H471" i="4"/>
  <c r="G471" i="4"/>
  <c r="F471" i="4"/>
  <c r="E471" i="4"/>
  <c r="A471" i="4"/>
  <c r="P470" i="4"/>
  <c r="O470" i="4"/>
  <c r="N470" i="4"/>
  <c r="M470" i="4"/>
  <c r="M470" i="5" s="1"/>
  <c r="N470" i="5" s="1"/>
  <c r="L470" i="4"/>
  <c r="H470" i="4"/>
  <c r="G470" i="4"/>
  <c r="F470" i="4"/>
  <c r="E470" i="4"/>
  <c r="A470" i="4"/>
  <c r="P469" i="4"/>
  <c r="O469" i="4"/>
  <c r="N469" i="4"/>
  <c r="M469" i="4"/>
  <c r="M469" i="5" s="1"/>
  <c r="N469" i="5" s="1"/>
  <c r="L469" i="4"/>
  <c r="H469" i="4"/>
  <c r="G469" i="4"/>
  <c r="F469" i="4"/>
  <c r="E469" i="4"/>
  <c r="A469" i="4"/>
  <c r="P468" i="4"/>
  <c r="O468" i="4"/>
  <c r="N468" i="4"/>
  <c r="M468" i="4"/>
  <c r="M468" i="5" s="1"/>
  <c r="N468" i="5" s="1"/>
  <c r="L468" i="4"/>
  <c r="H468" i="4"/>
  <c r="G468" i="4"/>
  <c r="F468" i="4"/>
  <c r="E468" i="4"/>
  <c r="A468" i="4"/>
  <c r="P467" i="4"/>
  <c r="O467" i="4"/>
  <c r="N467" i="4"/>
  <c r="M467" i="4"/>
  <c r="M467" i="5" s="1"/>
  <c r="N467" i="5" s="1"/>
  <c r="L467" i="4"/>
  <c r="H467" i="4"/>
  <c r="G467" i="4"/>
  <c r="F467" i="4"/>
  <c r="E467" i="4"/>
  <c r="A467" i="4"/>
  <c r="P466" i="4"/>
  <c r="O466" i="4"/>
  <c r="N466" i="4"/>
  <c r="M466" i="4"/>
  <c r="M466" i="5" s="1"/>
  <c r="N466" i="5" s="1"/>
  <c r="L466" i="4"/>
  <c r="H466" i="4"/>
  <c r="G466" i="4"/>
  <c r="F466" i="4"/>
  <c r="E466" i="4"/>
  <c r="A466" i="4"/>
  <c r="P465" i="4"/>
  <c r="O465" i="4"/>
  <c r="N465" i="4"/>
  <c r="M465" i="4"/>
  <c r="M465" i="5" s="1"/>
  <c r="N465" i="5" s="1"/>
  <c r="L465" i="4"/>
  <c r="H465" i="4"/>
  <c r="G465" i="4"/>
  <c r="F465" i="4"/>
  <c r="E465" i="4"/>
  <c r="A465" i="4"/>
  <c r="P464" i="4"/>
  <c r="O464" i="4"/>
  <c r="N464" i="4"/>
  <c r="M464" i="4"/>
  <c r="M464" i="5" s="1"/>
  <c r="N464" i="5" s="1"/>
  <c r="L464" i="4"/>
  <c r="H464" i="4"/>
  <c r="G464" i="4"/>
  <c r="F464" i="4"/>
  <c r="E464" i="4"/>
  <c r="A464" i="4"/>
  <c r="P463" i="4"/>
  <c r="O463" i="4"/>
  <c r="N463" i="4"/>
  <c r="M463" i="4"/>
  <c r="M463" i="5" s="1"/>
  <c r="N463" i="5" s="1"/>
  <c r="L463" i="4"/>
  <c r="H463" i="4"/>
  <c r="G463" i="4"/>
  <c r="F463" i="4"/>
  <c r="E463" i="4"/>
  <c r="A463" i="4"/>
  <c r="P462" i="4"/>
  <c r="O462" i="4"/>
  <c r="N462" i="4"/>
  <c r="M462" i="4"/>
  <c r="M462" i="5" s="1"/>
  <c r="N462" i="5" s="1"/>
  <c r="L462" i="4"/>
  <c r="H462" i="4"/>
  <c r="G462" i="4"/>
  <c r="F462" i="4"/>
  <c r="E462" i="4"/>
  <c r="A462" i="4"/>
  <c r="P461" i="4"/>
  <c r="O461" i="4"/>
  <c r="N461" i="4"/>
  <c r="M461" i="4"/>
  <c r="M461" i="5" s="1"/>
  <c r="N461" i="5" s="1"/>
  <c r="L461" i="4"/>
  <c r="H461" i="4"/>
  <c r="G461" i="4"/>
  <c r="F461" i="4"/>
  <c r="E461" i="4"/>
  <c r="A461" i="4"/>
  <c r="P460" i="4"/>
  <c r="O460" i="4"/>
  <c r="N460" i="4"/>
  <c r="M460" i="4"/>
  <c r="M460" i="5" s="1"/>
  <c r="N460" i="5" s="1"/>
  <c r="L460" i="4"/>
  <c r="H460" i="4"/>
  <c r="G460" i="4"/>
  <c r="F460" i="4"/>
  <c r="E460" i="4"/>
  <c r="A460" i="4"/>
  <c r="P459" i="4"/>
  <c r="O459" i="4"/>
  <c r="N459" i="4"/>
  <c r="M459" i="4"/>
  <c r="M459" i="5" s="1"/>
  <c r="N459" i="5" s="1"/>
  <c r="L459" i="4"/>
  <c r="H459" i="4"/>
  <c r="G459" i="4"/>
  <c r="F459" i="4"/>
  <c r="E459" i="4"/>
  <c r="A459" i="4"/>
  <c r="P458" i="4"/>
  <c r="O458" i="4"/>
  <c r="N458" i="4"/>
  <c r="M458" i="4"/>
  <c r="M458" i="5" s="1"/>
  <c r="N458" i="5" s="1"/>
  <c r="L458" i="4"/>
  <c r="H458" i="4"/>
  <c r="G458" i="4"/>
  <c r="F458" i="4"/>
  <c r="E458" i="4"/>
  <c r="A458" i="4"/>
  <c r="P457" i="4"/>
  <c r="O457" i="4"/>
  <c r="N457" i="4"/>
  <c r="M457" i="4"/>
  <c r="M457" i="5" s="1"/>
  <c r="N457" i="5" s="1"/>
  <c r="L457" i="4"/>
  <c r="H457" i="4"/>
  <c r="G457" i="4"/>
  <c r="F457" i="4"/>
  <c r="E457" i="4"/>
  <c r="A457" i="4"/>
  <c r="P456" i="4"/>
  <c r="O456" i="4"/>
  <c r="N456" i="4"/>
  <c r="M456" i="4"/>
  <c r="M456" i="5" s="1"/>
  <c r="N456" i="5" s="1"/>
  <c r="L456" i="4"/>
  <c r="H456" i="4"/>
  <c r="G456" i="4"/>
  <c r="F456" i="4"/>
  <c r="E456" i="4"/>
  <c r="A456" i="4"/>
  <c r="P455" i="4"/>
  <c r="O455" i="4"/>
  <c r="N455" i="4"/>
  <c r="M455" i="4"/>
  <c r="M455" i="5" s="1"/>
  <c r="N455" i="5" s="1"/>
  <c r="L455" i="4"/>
  <c r="H455" i="4"/>
  <c r="G455" i="4"/>
  <c r="F455" i="4"/>
  <c r="E455" i="4"/>
  <c r="A455" i="4"/>
  <c r="P454" i="4"/>
  <c r="O454" i="4"/>
  <c r="N454" i="4"/>
  <c r="M454" i="4"/>
  <c r="M454" i="5" s="1"/>
  <c r="N454" i="5" s="1"/>
  <c r="L454" i="4"/>
  <c r="H454" i="4"/>
  <c r="G454" i="4"/>
  <c r="F454" i="4"/>
  <c r="E454" i="4"/>
  <c r="A454" i="4"/>
  <c r="P453" i="4"/>
  <c r="O453" i="4"/>
  <c r="N453" i="4"/>
  <c r="M453" i="4"/>
  <c r="M453" i="5" s="1"/>
  <c r="N453" i="5" s="1"/>
  <c r="L453" i="4"/>
  <c r="H453" i="4"/>
  <c r="G453" i="4"/>
  <c r="F453" i="4"/>
  <c r="E453" i="4"/>
  <c r="A453" i="4"/>
  <c r="P452" i="4"/>
  <c r="O452" i="4"/>
  <c r="N452" i="4"/>
  <c r="M452" i="4"/>
  <c r="M452" i="5" s="1"/>
  <c r="N452" i="5" s="1"/>
  <c r="L452" i="4"/>
  <c r="H452" i="4"/>
  <c r="G452" i="4"/>
  <c r="F452" i="4"/>
  <c r="E452" i="4"/>
  <c r="A452" i="4"/>
  <c r="P451" i="4"/>
  <c r="O451" i="4"/>
  <c r="N451" i="4"/>
  <c r="M451" i="4"/>
  <c r="M451" i="5" s="1"/>
  <c r="N451" i="5" s="1"/>
  <c r="L451" i="4"/>
  <c r="H451" i="4"/>
  <c r="G451" i="4"/>
  <c r="F451" i="4"/>
  <c r="E451" i="4"/>
  <c r="A451" i="4"/>
  <c r="P450" i="4"/>
  <c r="O450" i="4"/>
  <c r="N450" i="4"/>
  <c r="M450" i="4"/>
  <c r="M450" i="5" s="1"/>
  <c r="N450" i="5" s="1"/>
  <c r="L450" i="4"/>
  <c r="H450" i="4"/>
  <c r="G450" i="4"/>
  <c r="F450" i="4"/>
  <c r="E450" i="4"/>
  <c r="A450" i="4"/>
  <c r="P449" i="4"/>
  <c r="O449" i="4"/>
  <c r="N449" i="4"/>
  <c r="M449" i="4"/>
  <c r="M449" i="5" s="1"/>
  <c r="N449" i="5" s="1"/>
  <c r="L449" i="4"/>
  <c r="H449" i="4"/>
  <c r="G449" i="4"/>
  <c r="F449" i="4"/>
  <c r="E449" i="4"/>
  <c r="A449" i="4"/>
  <c r="P448" i="4"/>
  <c r="O448" i="4"/>
  <c r="N448" i="4"/>
  <c r="M448" i="4"/>
  <c r="M448" i="5" s="1"/>
  <c r="N448" i="5" s="1"/>
  <c r="L448" i="4"/>
  <c r="H448" i="4"/>
  <c r="G448" i="4"/>
  <c r="F448" i="4"/>
  <c r="E448" i="4"/>
  <c r="A448" i="4"/>
  <c r="P447" i="4"/>
  <c r="O447" i="4"/>
  <c r="N447" i="4"/>
  <c r="M447" i="4"/>
  <c r="M447" i="5" s="1"/>
  <c r="N447" i="5" s="1"/>
  <c r="L447" i="4"/>
  <c r="H447" i="4"/>
  <c r="G447" i="4"/>
  <c r="F447" i="4"/>
  <c r="E447" i="4"/>
  <c r="A447" i="4"/>
  <c r="P446" i="4"/>
  <c r="O446" i="4"/>
  <c r="N446" i="4"/>
  <c r="M446" i="4"/>
  <c r="M446" i="5" s="1"/>
  <c r="N446" i="5" s="1"/>
  <c r="L446" i="4"/>
  <c r="H446" i="4"/>
  <c r="G446" i="4"/>
  <c r="F446" i="4"/>
  <c r="E446" i="4"/>
  <c r="A446" i="4"/>
  <c r="P445" i="4"/>
  <c r="O445" i="4"/>
  <c r="N445" i="4"/>
  <c r="M445" i="4"/>
  <c r="M445" i="5" s="1"/>
  <c r="N445" i="5" s="1"/>
  <c r="L445" i="4"/>
  <c r="H445" i="4"/>
  <c r="G445" i="4"/>
  <c r="F445" i="4"/>
  <c r="E445" i="4"/>
  <c r="A445" i="4"/>
  <c r="P444" i="4"/>
  <c r="O444" i="4"/>
  <c r="N444" i="4"/>
  <c r="M444" i="4"/>
  <c r="M444" i="5" s="1"/>
  <c r="N444" i="5" s="1"/>
  <c r="L444" i="4"/>
  <c r="H444" i="4"/>
  <c r="G444" i="4"/>
  <c r="F444" i="4"/>
  <c r="E444" i="4"/>
  <c r="A444" i="4"/>
  <c r="P443" i="4"/>
  <c r="O443" i="4"/>
  <c r="N443" i="4"/>
  <c r="M443" i="4"/>
  <c r="M443" i="5" s="1"/>
  <c r="N443" i="5" s="1"/>
  <c r="L443" i="4"/>
  <c r="H443" i="4"/>
  <c r="G443" i="4"/>
  <c r="F443" i="4"/>
  <c r="E443" i="4"/>
  <c r="A443" i="4"/>
  <c r="P442" i="4"/>
  <c r="O442" i="4"/>
  <c r="N442" i="4"/>
  <c r="M442" i="4"/>
  <c r="M442" i="5" s="1"/>
  <c r="N442" i="5" s="1"/>
  <c r="L442" i="4"/>
  <c r="H442" i="4"/>
  <c r="G442" i="4"/>
  <c r="F442" i="4"/>
  <c r="E442" i="4"/>
  <c r="A442" i="4"/>
  <c r="P441" i="4"/>
  <c r="O441" i="4"/>
  <c r="N441" i="4"/>
  <c r="M441" i="4"/>
  <c r="M441" i="5" s="1"/>
  <c r="N441" i="5" s="1"/>
  <c r="L441" i="4"/>
  <c r="H441" i="4"/>
  <c r="G441" i="4"/>
  <c r="F441" i="4"/>
  <c r="E441" i="4"/>
  <c r="A441" i="4"/>
  <c r="P440" i="4"/>
  <c r="O440" i="4"/>
  <c r="N440" i="4"/>
  <c r="M440" i="4"/>
  <c r="M440" i="5" s="1"/>
  <c r="N440" i="5" s="1"/>
  <c r="L440" i="4"/>
  <c r="H440" i="4"/>
  <c r="G440" i="4"/>
  <c r="F440" i="4"/>
  <c r="E440" i="4"/>
  <c r="A440" i="4"/>
  <c r="P439" i="4"/>
  <c r="O439" i="4"/>
  <c r="N439" i="4"/>
  <c r="M439" i="4"/>
  <c r="M439" i="5" s="1"/>
  <c r="N439" i="5" s="1"/>
  <c r="L439" i="4"/>
  <c r="H439" i="4"/>
  <c r="G439" i="4"/>
  <c r="F439" i="4"/>
  <c r="E439" i="4"/>
  <c r="A439" i="4"/>
  <c r="P438" i="4"/>
  <c r="O438" i="4"/>
  <c r="N438" i="4"/>
  <c r="M438" i="4"/>
  <c r="M438" i="5" s="1"/>
  <c r="N438" i="5" s="1"/>
  <c r="L438" i="4"/>
  <c r="H438" i="4"/>
  <c r="G438" i="4"/>
  <c r="F438" i="4"/>
  <c r="E438" i="4"/>
  <c r="A438" i="4"/>
  <c r="P437" i="4"/>
  <c r="O437" i="4"/>
  <c r="N437" i="4"/>
  <c r="M437" i="4"/>
  <c r="M437" i="5" s="1"/>
  <c r="N437" i="5" s="1"/>
  <c r="L437" i="4"/>
  <c r="H437" i="4"/>
  <c r="G437" i="4"/>
  <c r="F437" i="4"/>
  <c r="E437" i="4"/>
  <c r="A437" i="4"/>
  <c r="P436" i="4"/>
  <c r="O436" i="4"/>
  <c r="N436" i="4"/>
  <c r="M436" i="4"/>
  <c r="M436" i="5" s="1"/>
  <c r="N436" i="5" s="1"/>
  <c r="L436" i="4"/>
  <c r="H436" i="4"/>
  <c r="G436" i="4"/>
  <c r="F436" i="4"/>
  <c r="E436" i="4"/>
  <c r="A436" i="4"/>
  <c r="P435" i="4"/>
  <c r="O435" i="4"/>
  <c r="N435" i="4"/>
  <c r="M435" i="4"/>
  <c r="M435" i="5" s="1"/>
  <c r="N435" i="5" s="1"/>
  <c r="L435" i="4"/>
  <c r="H435" i="4"/>
  <c r="G435" i="4"/>
  <c r="F435" i="4"/>
  <c r="E435" i="4"/>
  <c r="A435" i="4"/>
  <c r="P434" i="4"/>
  <c r="O434" i="4"/>
  <c r="N434" i="4"/>
  <c r="M434" i="4"/>
  <c r="M434" i="5" s="1"/>
  <c r="N434" i="5" s="1"/>
  <c r="L434" i="4"/>
  <c r="H434" i="4"/>
  <c r="G434" i="4"/>
  <c r="F434" i="4"/>
  <c r="E434" i="4"/>
  <c r="A434" i="4"/>
  <c r="P433" i="4"/>
  <c r="O433" i="4"/>
  <c r="N433" i="4"/>
  <c r="M433" i="4"/>
  <c r="M433" i="5" s="1"/>
  <c r="N433" i="5" s="1"/>
  <c r="L433" i="4"/>
  <c r="H433" i="4"/>
  <c r="G433" i="4"/>
  <c r="F433" i="4"/>
  <c r="E433" i="4"/>
  <c r="A433" i="4"/>
  <c r="P432" i="4"/>
  <c r="O432" i="4"/>
  <c r="N432" i="4"/>
  <c r="M432" i="4"/>
  <c r="M432" i="5" s="1"/>
  <c r="N432" i="5" s="1"/>
  <c r="L432" i="4"/>
  <c r="H432" i="4"/>
  <c r="G432" i="4"/>
  <c r="F432" i="4"/>
  <c r="E432" i="4"/>
  <c r="A432" i="4"/>
  <c r="P431" i="4"/>
  <c r="O431" i="4"/>
  <c r="N431" i="4"/>
  <c r="M431" i="4"/>
  <c r="M431" i="5" s="1"/>
  <c r="N431" i="5" s="1"/>
  <c r="L431" i="4"/>
  <c r="H431" i="4"/>
  <c r="G431" i="4"/>
  <c r="F431" i="4"/>
  <c r="E431" i="4"/>
  <c r="A431" i="4"/>
  <c r="P430" i="4"/>
  <c r="O430" i="4"/>
  <c r="N430" i="4"/>
  <c r="M430" i="4"/>
  <c r="M430" i="5" s="1"/>
  <c r="N430" i="5" s="1"/>
  <c r="L430" i="4"/>
  <c r="H430" i="4"/>
  <c r="G430" i="4"/>
  <c r="F430" i="4"/>
  <c r="E430" i="4"/>
  <c r="A430" i="4"/>
  <c r="P429" i="4"/>
  <c r="O429" i="4"/>
  <c r="N429" i="4"/>
  <c r="M429" i="4"/>
  <c r="M429" i="5" s="1"/>
  <c r="N429" i="5" s="1"/>
  <c r="L429" i="4"/>
  <c r="H429" i="4"/>
  <c r="G429" i="4"/>
  <c r="F429" i="4"/>
  <c r="E429" i="4"/>
  <c r="A429" i="4"/>
  <c r="P428" i="4"/>
  <c r="O428" i="4"/>
  <c r="N428" i="4"/>
  <c r="M428" i="4"/>
  <c r="M428" i="5" s="1"/>
  <c r="N428" i="5" s="1"/>
  <c r="L428" i="4"/>
  <c r="H428" i="4"/>
  <c r="G428" i="4"/>
  <c r="F428" i="4"/>
  <c r="E428" i="4"/>
  <c r="A428" i="4"/>
  <c r="P427" i="4"/>
  <c r="O427" i="4"/>
  <c r="N427" i="4"/>
  <c r="M427" i="4"/>
  <c r="M427" i="5" s="1"/>
  <c r="N427" i="5" s="1"/>
  <c r="L427" i="4"/>
  <c r="H427" i="4"/>
  <c r="G427" i="4"/>
  <c r="F427" i="4"/>
  <c r="E427" i="4"/>
  <c r="A427" i="4"/>
  <c r="P426" i="4"/>
  <c r="O426" i="4"/>
  <c r="N426" i="4"/>
  <c r="M426" i="4"/>
  <c r="M426" i="5" s="1"/>
  <c r="N426" i="5" s="1"/>
  <c r="L426" i="4"/>
  <c r="H426" i="4"/>
  <c r="G426" i="4"/>
  <c r="F426" i="4"/>
  <c r="E426" i="4"/>
  <c r="A426" i="4"/>
  <c r="P425" i="4"/>
  <c r="O425" i="4"/>
  <c r="N425" i="4"/>
  <c r="M425" i="4"/>
  <c r="M425" i="5" s="1"/>
  <c r="N425" i="5" s="1"/>
  <c r="L425" i="4"/>
  <c r="H425" i="4"/>
  <c r="G425" i="4"/>
  <c r="F425" i="4"/>
  <c r="E425" i="4"/>
  <c r="A425" i="4"/>
  <c r="P424" i="4"/>
  <c r="O424" i="4"/>
  <c r="N424" i="4"/>
  <c r="M424" i="4"/>
  <c r="M424" i="5" s="1"/>
  <c r="N424" i="5" s="1"/>
  <c r="L424" i="4"/>
  <c r="H424" i="4"/>
  <c r="G424" i="4"/>
  <c r="F424" i="4"/>
  <c r="E424" i="4"/>
  <c r="A424" i="4"/>
  <c r="P423" i="4"/>
  <c r="O423" i="4"/>
  <c r="N423" i="4"/>
  <c r="M423" i="4"/>
  <c r="M423" i="5" s="1"/>
  <c r="N423" i="5" s="1"/>
  <c r="L423" i="4"/>
  <c r="H423" i="4"/>
  <c r="G423" i="4"/>
  <c r="F423" i="4"/>
  <c r="E423" i="4"/>
  <c r="A423" i="4"/>
  <c r="P422" i="4"/>
  <c r="O422" i="4"/>
  <c r="N422" i="4"/>
  <c r="M422" i="4"/>
  <c r="M422" i="5" s="1"/>
  <c r="N422" i="5" s="1"/>
  <c r="L422" i="4"/>
  <c r="H422" i="4"/>
  <c r="G422" i="4"/>
  <c r="F422" i="4"/>
  <c r="E422" i="4"/>
  <c r="A422" i="4"/>
  <c r="P421" i="4"/>
  <c r="O421" i="4"/>
  <c r="N421" i="4"/>
  <c r="M421" i="4"/>
  <c r="M421" i="5" s="1"/>
  <c r="N421" i="5" s="1"/>
  <c r="L421" i="4"/>
  <c r="H421" i="4"/>
  <c r="G421" i="4"/>
  <c r="F421" i="4"/>
  <c r="E421" i="4"/>
  <c r="A421" i="4"/>
  <c r="P420" i="4"/>
  <c r="O420" i="4"/>
  <c r="N420" i="4"/>
  <c r="M420" i="4"/>
  <c r="M420" i="5" s="1"/>
  <c r="N420" i="5" s="1"/>
  <c r="L420" i="4"/>
  <c r="H420" i="4"/>
  <c r="G420" i="4"/>
  <c r="F420" i="4"/>
  <c r="E420" i="4"/>
  <c r="A420" i="4"/>
  <c r="P419" i="4"/>
  <c r="O419" i="4"/>
  <c r="N419" i="4"/>
  <c r="M419" i="4"/>
  <c r="M419" i="5" s="1"/>
  <c r="N419" i="5" s="1"/>
  <c r="L419" i="4"/>
  <c r="H419" i="4"/>
  <c r="G419" i="4"/>
  <c r="F419" i="4"/>
  <c r="E419" i="4"/>
  <c r="A419" i="4"/>
  <c r="P418" i="4"/>
  <c r="O418" i="4"/>
  <c r="N418" i="4"/>
  <c r="M418" i="4"/>
  <c r="M418" i="5" s="1"/>
  <c r="N418" i="5" s="1"/>
  <c r="L418" i="4"/>
  <c r="H418" i="4"/>
  <c r="G418" i="4"/>
  <c r="F418" i="4"/>
  <c r="E418" i="4"/>
  <c r="A418" i="4"/>
  <c r="P417" i="4"/>
  <c r="O417" i="4"/>
  <c r="N417" i="4"/>
  <c r="M417" i="4"/>
  <c r="M417" i="5" s="1"/>
  <c r="N417" i="5" s="1"/>
  <c r="L417" i="4"/>
  <c r="H417" i="4"/>
  <c r="G417" i="4"/>
  <c r="F417" i="4"/>
  <c r="E417" i="4"/>
  <c r="A417" i="4"/>
  <c r="P416" i="4"/>
  <c r="O416" i="4"/>
  <c r="N416" i="4"/>
  <c r="M416" i="4"/>
  <c r="M416" i="5" s="1"/>
  <c r="N416" i="5" s="1"/>
  <c r="L416" i="4"/>
  <c r="H416" i="4"/>
  <c r="G416" i="4"/>
  <c r="F416" i="4"/>
  <c r="E416" i="4"/>
  <c r="A416" i="4"/>
  <c r="P415" i="4"/>
  <c r="O415" i="4"/>
  <c r="N415" i="4"/>
  <c r="M415" i="4"/>
  <c r="M415" i="5" s="1"/>
  <c r="N415" i="5" s="1"/>
  <c r="L415" i="4"/>
  <c r="H415" i="4"/>
  <c r="G415" i="4"/>
  <c r="F415" i="4"/>
  <c r="E415" i="4"/>
  <c r="A415" i="4"/>
  <c r="P414" i="4"/>
  <c r="O414" i="4"/>
  <c r="N414" i="4"/>
  <c r="M414" i="4"/>
  <c r="M414" i="5" s="1"/>
  <c r="N414" i="5" s="1"/>
  <c r="L414" i="4"/>
  <c r="H414" i="4"/>
  <c r="G414" i="4"/>
  <c r="F414" i="4"/>
  <c r="E414" i="4"/>
  <c r="A414" i="4"/>
  <c r="P413" i="4"/>
  <c r="O413" i="4"/>
  <c r="N413" i="4"/>
  <c r="M413" i="4"/>
  <c r="M413" i="5" s="1"/>
  <c r="N413" i="5" s="1"/>
  <c r="L413" i="4"/>
  <c r="H413" i="4"/>
  <c r="G413" i="4"/>
  <c r="F413" i="4"/>
  <c r="E413" i="4"/>
  <c r="A413" i="4"/>
  <c r="P412" i="4"/>
  <c r="O412" i="4"/>
  <c r="N412" i="4"/>
  <c r="M412" i="4"/>
  <c r="M412" i="5" s="1"/>
  <c r="N412" i="5" s="1"/>
  <c r="L412" i="4"/>
  <c r="H412" i="4"/>
  <c r="G412" i="4"/>
  <c r="F412" i="4"/>
  <c r="E412" i="4"/>
  <c r="A412" i="4"/>
  <c r="P411" i="4"/>
  <c r="O411" i="4"/>
  <c r="N411" i="4"/>
  <c r="M411" i="4"/>
  <c r="M411" i="5" s="1"/>
  <c r="N411" i="5" s="1"/>
  <c r="L411" i="4"/>
  <c r="H411" i="4"/>
  <c r="G411" i="4"/>
  <c r="F411" i="4"/>
  <c r="E411" i="4"/>
  <c r="A411" i="4"/>
  <c r="P410" i="4"/>
  <c r="O410" i="4"/>
  <c r="N410" i="4"/>
  <c r="M410" i="4"/>
  <c r="M410" i="5" s="1"/>
  <c r="N410" i="5" s="1"/>
  <c r="L410" i="4"/>
  <c r="H410" i="4"/>
  <c r="G410" i="4"/>
  <c r="F410" i="4"/>
  <c r="E410" i="4"/>
  <c r="A410" i="4"/>
  <c r="P409" i="4"/>
  <c r="O409" i="4"/>
  <c r="N409" i="4"/>
  <c r="M409" i="4"/>
  <c r="M409" i="5" s="1"/>
  <c r="N409" i="5" s="1"/>
  <c r="L409" i="4"/>
  <c r="H409" i="4"/>
  <c r="G409" i="4"/>
  <c r="F409" i="4"/>
  <c r="E409" i="4"/>
  <c r="A409" i="4"/>
  <c r="P408" i="4"/>
  <c r="O408" i="4"/>
  <c r="N408" i="4"/>
  <c r="M408" i="4"/>
  <c r="M408" i="5" s="1"/>
  <c r="N408" i="5" s="1"/>
  <c r="L408" i="4"/>
  <c r="H408" i="4"/>
  <c r="G408" i="4"/>
  <c r="F408" i="4"/>
  <c r="E408" i="4"/>
  <c r="A408" i="4"/>
  <c r="P407" i="4"/>
  <c r="O407" i="4"/>
  <c r="N407" i="4"/>
  <c r="M407" i="4"/>
  <c r="M407" i="5" s="1"/>
  <c r="N407" i="5" s="1"/>
  <c r="L407" i="4"/>
  <c r="H407" i="4"/>
  <c r="G407" i="4"/>
  <c r="F407" i="4"/>
  <c r="E407" i="4"/>
  <c r="A407" i="4"/>
  <c r="P406" i="4"/>
  <c r="O406" i="4"/>
  <c r="N406" i="4"/>
  <c r="M406" i="4"/>
  <c r="M406" i="5" s="1"/>
  <c r="N406" i="5" s="1"/>
  <c r="L406" i="4"/>
  <c r="H406" i="4"/>
  <c r="G406" i="4"/>
  <c r="F406" i="4"/>
  <c r="E406" i="4"/>
  <c r="A406" i="4"/>
  <c r="P405" i="4"/>
  <c r="O405" i="4"/>
  <c r="N405" i="4"/>
  <c r="M405" i="4"/>
  <c r="M405" i="5" s="1"/>
  <c r="N405" i="5" s="1"/>
  <c r="L405" i="4"/>
  <c r="H405" i="4"/>
  <c r="G405" i="4"/>
  <c r="F405" i="4"/>
  <c r="E405" i="4"/>
  <c r="A405" i="4"/>
  <c r="P404" i="4"/>
  <c r="O404" i="4"/>
  <c r="N404" i="4"/>
  <c r="M404" i="4"/>
  <c r="M404" i="5" s="1"/>
  <c r="N404" i="5" s="1"/>
  <c r="L404" i="4"/>
  <c r="H404" i="4"/>
  <c r="G404" i="4"/>
  <c r="F404" i="4"/>
  <c r="E404" i="4"/>
  <c r="A404" i="4"/>
  <c r="P403" i="4"/>
  <c r="O403" i="4"/>
  <c r="N403" i="4"/>
  <c r="M403" i="4"/>
  <c r="M403" i="5" s="1"/>
  <c r="N403" i="5" s="1"/>
  <c r="L403" i="4"/>
  <c r="H403" i="4"/>
  <c r="G403" i="4"/>
  <c r="F403" i="4"/>
  <c r="E403" i="4"/>
  <c r="A403" i="4"/>
  <c r="P402" i="4"/>
  <c r="O402" i="4"/>
  <c r="N402" i="4"/>
  <c r="M402" i="4"/>
  <c r="M402" i="5" s="1"/>
  <c r="N402" i="5" s="1"/>
  <c r="L402" i="4"/>
  <c r="H402" i="4"/>
  <c r="G402" i="4"/>
  <c r="F402" i="4"/>
  <c r="E402" i="4"/>
  <c r="A402" i="4"/>
  <c r="P401" i="4"/>
  <c r="O401" i="4"/>
  <c r="N401" i="4"/>
  <c r="M401" i="4"/>
  <c r="M401" i="5" s="1"/>
  <c r="N401" i="5" s="1"/>
  <c r="L401" i="4"/>
  <c r="H401" i="4"/>
  <c r="G401" i="4"/>
  <c r="F401" i="4"/>
  <c r="E401" i="4"/>
  <c r="A401" i="4"/>
  <c r="P400" i="4"/>
  <c r="O400" i="4"/>
  <c r="N400" i="4"/>
  <c r="M400" i="4"/>
  <c r="M400" i="5" s="1"/>
  <c r="N400" i="5" s="1"/>
  <c r="L400" i="4"/>
  <c r="H400" i="4"/>
  <c r="G400" i="4"/>
  <c r="F400" i="4"/>
  <c r="E400" i="4"/>
  <c r="A400" i="4"/>
  <c r="P399" i="4"/>
  <c r="O399" i="4"/>
  <c r="N399" i="4"/>
  <c r="M399" i="4"/>
  <c r="M399" i="5" s="1"/>
  <c r="N399" i="5" s="1"/>
  <c r="L399" i="4"/>
  <c r="H399" i="4"/>
  <c r="G399" i="4"/>
  <c r="F399" i="4"/>
  <c r="E399" i="4"/>
  <c r="A399" i="4"/>
  <c r="P398" i="4"/>
  <c r="O398" i="4"/>
  <c r="N398" i="4"/>
  <c r="M398" i="4"/>
  <c r="M398" i="5" s="1"/>
  <c r="N398" i="5" s="1"/>
  <c r="L398" i="4"/>
  <c r="H398" i="4"/>
  <c r="G398" i="4"/>
  <c r="F398" i="4"/>
  <c r="E398" i="4"/>
  <c r="A398" i="4"/>
  <c r="P397" i="4"/>
  <c r="O397" i="4"/>
  <c r="N397" i="4"/>
  <c r="M397" i="4"/>
  <c r="M397" i="5" s="1"/>
  <c r="N397" i="5" s="1"/>
  <c r="L397" i="4"/>
  <c r="H397" i="4"/>
  <c r="G397" i="4"/>
  <c r="F397" i="4"/>
  <c r="E397" i="4"/>
  <c r="A397" i="4"/>
  <c r="P396" i="4"/>
  <c r="O396" i="4"/>
  <c r="N396" i="4"/>
  <c r="M396" i="4"/>
  <c r="M396" i="5" s="1"/>
  <c r="N396" i="5" s="1"/>
  <c r="L396" i="4"/>
  <c r="H396" i="4"/>
  <c r="G396" i="4"/>
  <c r="F396" i="4"/>
  <c r="E396" i="4"/>
  <c r="A396" i="4"/>
  <c r="P395" i="4"/>
  <c r="O395" i="4"/>
  <c r="N395" i="4"/>
  <c r="M395" i="4"/>
  <c r="M395" i="5" s="1"/>
  <c r="N395" i="5" s="1"/>
  <c r="L395" i="4"/>
  <c r="H395" i="4"/>
  <c r="G395" i="4"/>
  <c r="F395" i="4"/>
  <c r="E395" i="4"/>
  <c r="A395" i="4"/>
  <c r="P394" i="4"/>
  <c r="O394" i="4"/>
  <c r="N394" i="4"/>
  <c r="M394" i="4"/>
  <c r="M394" i="5" s="1"/>
  <c r="N394" i="5" s="1"/>
  <c r="L394" i="4"/>
  <c r="H394" i="4"/>
  <c r="G394" i="4"/>
  <c r="F394" i="4"/>
  <c r="E394" i="4"/>
  <c r="A394" i="4"/>
  <c r="P393" i="4"/>
  <c r="O393" i="4"/>
  <c r="N393" i="4"/>
  <c r="M393" i="4"/>
  <c r="M393" i="5" s="1"/>
  <c r="N393" i="5" s="1"/>
  <c r="L393" i="4"/>
  <c r="H393" i="4"/>
  <c r="G393" i="4"/>
  <c r="F393" i="4"/>
  <c r="E393" i="4"/>
  <c r="A393" i="4"/>
  <c r="P392" i="4"/>
  <c r="O392" i="4"/>
  <c r="N392" i="4"/>
  <c r="M392" i="4"/>
  <c r="M392" i="5" s="1"/>
  <c r="N392" i="5" s="1"/>
  <c r="L392" i="4"/>
  <c r="H392" i="4"/>
  <c r="G392" i="4"/>
  <c r="F392" i="4"/>
  <c r="E392" i="4"/>
  <c r="A392" i="4"/>
  <c r="P391" i="4"/>
  <c r="O391" i="4"/>
  <c r="N391" i="4"/>
  <c r="M391" i="4"/>
  <c r="M391" i="5" s="1"/>
  <c r="N391" i="5" s="1"/>
  <c r="L391" i="4"/>
  <c r="H391" i="4"/>
  <c r="G391" i="4"/>
  <c r="F391" i="4"/>
  <c r="E391" i="4"/>
  <c r="A391" i="4"/>
  <c r="P390" i="4"/>
  <c r="O390" i="4"/>
  <c r="N390" i="4"/>
  <c r="M390" i="4"/>
  <c r="M390" i="5" s="1"/>
  <c r="N390" i="5" s="1"/>
  <c r="L390" i="4"/>
  <c r="H390" i="4"/>
  <c r="G390" i="4"/>
  <c r="F390" i="4"/>
  <c r="E390" i="4"/>
  <c r="A390" i="4"/>
  <c r="P389" i="4"/>
  <c r="O389" i="4"/>
  <c r="N389" i="4"/>
  <c r="M389" i="4"/>
  <c r="M389" i="5" s="1"/>
  <c r="N389" i="5" s="1"/>
  <c r="L389" i="4"/>
  <c r="H389" i="4"/>
  <c r="G389" i="4"/>
  <c r="F389" i="4"/>
  <c r="E389" i="4"/>
  <c r="A389" i="4"/>
  <c r="P388" i="4"/>
  <c r="O388" i="4"/>
  <c r="N388" i="4"/>
  <c r="M388" i="4"/>
  <c r="M388" i="5" s="1"/>
  <c r="N388" i="5" s="1"/>
  <c r="L388" i="4"/>
  <c r="H388" i="4"/>
  <c r="G388" i="4"/>
  <c r="F388" i="4"/>
  <c r="E388" i="4"/>
  <c r="A388" i="4"/>
  <c r="P387" i="4"/>
  <c r="O387" i="4"/>
  <c r="N387" i="4"/>
  <c r="M387" i="4"/>
  <c r="M387" i="5" s="1"/>
  <c r="N387" i="5" s="1"/>
  <c r="L387" i="4"/>
  <c r="H387" i="4"/>
  <c r="G387" i="4"/>
  <c r="F387" i="4"/>
  <c r="E387" i="4"/>
  <c r="A387" i="4"/>
  <c r="P386" i="4"/>
  <c r="O386" i="4"/>
  <c r="N386" i="4"/>
  <c r="M386" i="4"/>
  <c r="M386" i="5" s="1"/>
  <c r="N386" i="5" s="1"/>
  <c r="L386" i="4"/>
  <c r="H386" i="4"/>
  <c r="G386" i="4"/>
  <c r="F386" i="4"/>
  <c r="E386" i="4"/>
  <c r="A386" i="4"/>
  <c r="P385" i="4"/>
  <c r="O385" i="4"/>
  <c r="N385" i="4"/>
  <c r="M385" i="4"/>
  <c r="M385" i="5" s="1"/>
  <c r="N385" i="5" s="1"/>
  <c r="L385" i="4"/>
  <c r="H385" i="4"/>
  <c r="G385" i="4"/>
  <c r="F385" i="4"/>
  <c r="E385" i="4"/>
  <c r="A385" i="4"/>
  <c r="P384" i="4"/>
  <c r="O384" i="4"/>
  <c r="N384" i="4"/>
  <c r="M384" i="4"/>
  <c r="M384" i="5" s="1"/>
  <c r="N384" i="5" s="1"/>
  <c r="L384" i="4"/>
  <c r="H384" i="4"/>
  <c r="G384" i="4"/>
  <c r="F384" i="4"/>
  <c r="E384" i="4"/>
  <c r="A384" i="4"/>
  <c r="P383" i="4"/>
  <c r="O383" i="4"/>
  <c r="N383" i="4"/>
  <c r="M383" i="4"/>
  <c r="M383" i="5" s="1"/>
  <c r="N383" i="5" s="1"/>
  <c r="L383" i="4"/>
  <c r="H383" i="4"/>
  <c r="G383" i="4"/>
  <c r="F383" i="4"/>
  <c r="E383" i="4"/>
  <c r="A383" i="4"/>
  <c r="P382" i="4"/>
  <c r="O382" i="4"/>
  <c r="N382" i="4"/>
  <c r="M382" i="4"/>
  <c r="M382" i="5" s="1"/>
  <c r="N382" i="5" s="1"/>
  <c r="L382" i="4"/>
  <c r="H382" i="4"/>
  <c r="G382" i="4"/>
  <c r="F382" i="4"/>
  <c r="E382" i="4"/>
  <c r="A382" i="4"/>
  <c r="P381" i="4"/>
  <c r="O381" i="4"/>
  <c r="N381" i="4"/>
  <c r="M381" i="4"/>
  <c r="M381" i="5" s="1"/>
  <c r="N381" i="5" s="1"/>
  <c r="L381" i="4"/>
  <c r="H381" i="4"/>
  <c r="G381" i="4"/>
  <c r="F381" i="4"/>
  <c r="E381" i="4"/>
  <c r="A381" i="4"/>
  <c r="P380" i="4"/>
  <c r="O380" i="4"/>
  <c r="N380" i="4"/>
  <c r="M380" i="4"/>
  <c r="M380" i="5" s="1"/>
  <c r="N380" i="5" s="1"/>
  <c r="L380" i="4"/>
  <c r="H380" i="4"/>
  <c r="G380" i="4"/>
  <c r="F380" i="4"/>
  <c r="E380" i="4"/>
  <c r="A380" i="4"/>
  <c r="P379" i="4"/>
  <c r="O379" i="4"/>
  <c r="N379" i="4"/>
  <c r="M379" i="4"/>
  <c r="M379" i="5" s="1"/>
  <c r="N379" i="5" s="1"/>
  <c r="L379" i="4"/>
  <c r="H379" i="4"/>
  <c r="G379" i="4"/>
  <c r="F379" i="4"/>
  <c r="E379" i="4"/>
  <c r="A379" i="4"/>
  <c r="P378" i="4"/>
  <c r="O378" i="4"/>
  <c r="N378" i="4"/>
  <c r="M378" i="4"/>
  <c r="M378" i="5" s="1"/>
  <c r="N378" i="5" s="1"/>
  <c r="L378" i="4"/>
  <c r="H378" i="4"/>
  <c r="G378" i="4"/>
  <c r="F378" i="4"/>
  <c r="E378" i="4"/>
  <c r="A378" i="4"/>
  <c r="P377" i="4"/>
  <c r="O377" i="4"/>
  <c r="N377" i="4"/>
  <c r="M377" i="4"/>
  <c r="M377" i="5" s="1"/>
  <c r="N377" i="5" s="1"/>
  <c r="L377" i="4"/>
  <c r="H377" i="4"/>
  <c r="G377" i="4"/>
  <c r="F377" i="4"/>
  <c r="E377" i="4"/>
  <c r="A377" i="4"/>
  <c r="P376" i="4"/>
  <c r="O376" i="4"/>
  <c r="N376" i="4"/>
  <c r="M376" i="4"/>
  <c r="M376" i="5" s="1"/>
  <c r="N376" i="5" s="1"/>
  <c r="L376" i="4"/>
  <c r="H376" i="4"/>
  <c r="G376" i="4"/>
  <c r="F376" i="4"/>
  <c r="E376" i="4"/>
  <c r="A376" i="4"/>
  <c r="P375" i="4"/>
  <c r="O375" i="4"/>
  <c r="N375" i="4"/>
  <c r="M375" i="4"/>
  <c r="M375" i="5" s="1"/>
  <c r="N375" i="5" s="1"/>
  <c r="L375" i="4"/>
  <c r="H375" i="4"/>
  <c r="G375" i="4"/>
  <c r="F375" i="4"/>
  <c r="E375" i="4"/>
  <c r="A375" i="4"/>
  <c r="P374" i="4"/>
  <c r="O374" i="4"/>
  <c r="N374" i="4"/>
  <c r="M374" i="4"/>
  <c r="M374" i="5" s="1"/>
  <c r="N374" i="5" s="1"/>
  <c r="L374" i="4"/>
  <c r="H374" i="4"/>
  <c r="G374" i="4"/>
  <c r="F374" i="4"/>
  <c r="E374" i="4"/>
  <c r="A374" i="4"/>
  <c r="P373" i="4"/>
  <c r="O373" i="4"/>
  <c r="N373" i="4"/>
  <c r="M373" i="4"/>
  <c r="M373" i="5" s="1"/>
  <c r="N373" i="5" s="1"/>
  <c r="L373" i="4"/>
  <c r="H373" i="4"/>
  <c r="G373" i="4"/>
  <c r="F373" i="4"/>
  <c r="E373" i="4"/>
  <c r="A373" i="4"/>
  <c r="P372" i="4"/>
  <c r="O372" i="4"/>
  <c r="N372" i="4"/>
  <c r="M372" i="4"/>
  <c r="M372" i="5" s="1"/>
  <c r="N372" i="5" s="1"/>
  <c r="L372" i="4"/>
  <c r="H372" i="4"/>
  <c r="G372" i="4"/>
  <c r="F372" i="4"/>
  <c r="E372" i="4"/>
  <c r="A372" i="4"/>
  <c r="P371" i="4"/>
  <c r="O371" i="4"/>
  <c r="N371" i="4"/>
  <c r="M371" i="4"/>
  <c r="M371" i="5" s="1"/>
  <c r="N371" i="5" s="1"/>
  <c r="L371" i="4"/>
  <c r="H371" i="4"/>
  <c r="G371" i="4"/>
  <c r="F371" i="4"/>
  <c r="E371" i="4"/>
  <c r="A371" i="4"/>
  <c r="P370" i="4"/>
  <c r="O370" i="4"/>
  <c r="N370" i="4"/>
  <c r="M370" i="4"/>
  <c r="M370" i="5" s="1"/>
  <c r="N370" i="5" s="1"/>
  <c r="L370" i="4"/>
  <c r="H370" i="4"/>
  <c r="G370" i="4"/>
  <c r="F370" i="4"/>
  <c r="E370" i="4"/>
  <c r="A370" i="4"/>
  <c r="P369" i="4"/>
  <c r="O369" i="4"/>
  <c r="N369" i="4"/>
  <c r="M369" i="4"/>
  <c r="M369" i="5" s="1"/>
  <c r="N369" i="5" s="1"/>
  <c r="L369" i="4"/>
  <c r="H369" i="4"/>
  <c r="G369" i="4"/>
  <c r="F369" i="4"/>
  <c r="E369" i="4"/>
  <c r="A369" i="4"/>
  <c r="P368" i="4"/>
  <c r="O368" i="4"/>
  <c r="N368" i="4"/>
  <c r="M368" i="4"/>
  <c r="M368" i="5" s="1"/>
  <c r="N368" i="5" s="1"/>
  <c r="L368" i="4"/>
  <c r="H368" i="4"/>
  <c r="G368" i="4"/>
  <c r="F368" i="4"/>
  <c r="E368" i="4"/>
  <c r="A368" i="4"/>
  <c r="P367" i="4"/>
  <c r="O367" i="4"/>
  <c r="N367" i="4"/>
  <c r="M367" i="4"/>
  <c r="M367" i="5" s="1"/>
  <c r="N367" i="5" s="1"/>
  <c r="L367" i="4"/>
  <c r="H367" i="4"/>
  <c r="G367" i="4"/>
  <c r="F367" i="4"/>
  <c r="E367" i="4"/>
  <c r="A367" i="4"/>
  <c r="P366" i="4"/>
  <c r="O366" i="4"/>
  <c r="N366" i="4"/>
  <c r="M366" i="4"/>
  <c r="M366" i="5" s="1"/>
  <c r="N366" i="5" s="1"/>
  <c r="L366" i="4"/>
  <c r="H366" i="4"/>
  <c r="G366" i="4"/>
  <c r="F366" i="4"/>
  <c r="E366" i="4"/>
  <c r="A366" i="4"/>
  <c r="P365" i="4"/>
  <c r="O365" i="4"/>
  <c r="N365" i="4"/>
  <c r="M365" i="4"/>
  <c r="M365" i="5" s="1"/>
  <c r="N365" i="5" s="1"/>
  <c r="L365" i="4"/>
  <c r="H365" i="4"/>
  <c r="G365" i="4"/>
  <c r="F365" i="4"/>
  <c r="E365" i="4"/>
  <c r="A365" i="4"/>
  <c r="P364" i="4"/>
  <c r="O364" i="4"/>
  <c r="N364" i="4"/>
  <c r="M364" i="4"/>
  <c r="M364" i="5" s="1"/>
  <c r="N364" i="5" s="1"/>
  <c r="L364" i="4"/>
  <c r="H364" i="4"/>
  <c r="G364" i="4"/>
  <c r="F364" i="4"/>
  <c r="E364" i="4"/>
  <c r="A364" i="4"/>
  <c r="P363" i="4"/>
  <c r="O363" i="4"/>
  <c r="N363" i="4"/>
  <c r="M363" i="4"/>
  <c r="M363" i="5" s="1"/>
  <c r="N363" i="5" s="1"/>
  <c r="L363" i="4"/>
  <c r="H363" i="4"/>
  <c r="G363" i="4"/>
  <c r="F363" i="4"/>
  <c r="E363" i="4"/>
  <c r="A363" i="4"/>
  <c r="P362" i="4"/>
  <c r="O362" i="4"/>
  <c r="N362" i="4"/>
  <c r="M362" i="4"/>
  <c r="M362" i="5" s="1"/>
  <c r="N362" i="5" s="1"/>
  <c r="L362" i="4"/>
  <c r="H362" i="4"/>
  <c r="G362" i="4"/>
  <c r="F362" i="4"/>
  <c r="E362" i="4"/>
  <c r="A362" i="4"/>
  <c r="P361" i="4"/>
  <c r="O361" i="4"/>
  <c r="N361" i="4"/>
  <c r="M361" i="4"/>
  <c r="M361" i="5" s="1"/>
  <c r="N361" i="5" s="1"/>
  <c r="L361" i="4"/>
  <c r="H361" i="4"/>
  <c r="G361" i="4"/>
  <c r="F361" i="4"/>
  <c r="E361" i="4"/>
  <c r="A361" i="4"/>
  <c r="P360" i="4"/>
  <c r="O360" i="4"/>
  <c r="N360" i="4"/>
  <c r="M360" i="4"/>
  <c r="M360" i="5" s="1"/>
  <c r="N360" i="5" s="1"/>
  <c r="L360" i="4"/>
  <c r="H360" i="4"/>
  <c r="G360" i="4"/>
  <c r="F360" i="4"/>
  <c r="E360" i="4"/>
  <c r="A360" i="4"/>
  <c r="P359" i="4"/>
  <c r="O359" i="4"/>
  <c r="N359" i="4"/>
  <c r="M359" i="4"/>
  <c r="M359" i="5" s="1"/>
  <c r="N359" i="5" s="1"/>
  <c r="L359" i="4"/>
  <c r="H359" i="4"/>
  <c r="G359" i="4"/>
  <c r="F359" i="4"/>
  <c r="E359" i="4"/>
  <c r="A359" i="4"/>
  <c r="P358" i="4"/>
  <c r="O358" i="4"/>
  <c r="N358" i="4"/>
  <c r="M358" i="4"/>
  <c r="M358" i="5" s="1"/>
  <c r="N358" i="5" s="1"/>
  <c r="L358" i="4"/>
  <c r="H358" i="4"/>
  <c r="G358" i="4"/>
  <c r="F358" i="4"/>
  <c r="E358" i="4"/>
  <c r="A358" i="4"/>
  <c r="P357" i="4"/>
  <c r="O357" i="4"/>
  <c r="N357" i="4"/>
  <c r="M357" i="4"/>
  <c r="M357" i="5" s="1"/>
  <c r="N357" i="5" s="1"/>
  <c r="L357" i="4"/>
  <c r="H357" i="4"/>
  <c r="G357" i="4"/>
  <c r="F357" i="4"/>
  <c r="E357" i="4"/>
  <c r="A357" i="4"/>
  <c r="P356" i="4"/>
  <c r="O356" i="4"/>
  <c r="N356" i="4"/>
  <c r="M356" i="4"/>
  <c r="M356" i="5" s="1"/>
  <c r="N356" i="5" s="1"/>
  <c r="L356" i="4"/>
  <c r="H356" i="4"/>
  <c r="G356" i="4"/>
  <c r="F356" i="4"/>
  <c r="E356" i="4"/>
  <c r="A356" i="4"/>
  <c r="P355" i="4"/>
  <c r="O355" i="4"/>
  <c r="N355" i="4"/>
  <c r="M355" i="4"/>
  <c r="M355" i="5" s="1"/>
  <c r="N355" i="5" s="1"/>
  <c r="L355" i="4"/>
  <c r="H355" i="4"/>
  <c r="G355" i="4"/>
  <c r="F355" i="4"/>
  <c r="E355" i="4"/>
  <c r="A355" i="4"/>
  <c r="P354" i="4"/>
  <c r="O354" i="4"/>
  <c r="N354" i="4"/>
  <c r="M354" i="4"/>
  <c r="M354" i="5" s="1"/>
  <c r="N354" i="5" s="1"/>
  <c r="L354" i="4"/>
  <c r="H354" i="4"/>
  <c r="G354" i="4"/>
  <c r="F354" i="4"/>
  <c r="E354" i="4"/>
  <c r="A354" i="4"/>
  <c r="P353" i="4"/>
  <c r="O353" i="4"/>
  <c r="N353" i="4"/>
  <c r="M353" i="4"/>
  <c r="M353" i="5" s="1"/>
  <c r="N353" i="5" s="1"/>
  <c r="L353" i="4"/>
  <c r="H353" i="4"/>
  <c r="G353" i="4"/>
  <c r="F353" i="4"/>
  <c r="E353" i="4"/>
  <c r="A353" i="4"/>
  <c r="P352" i="4"/>
  <c r="O352" i="4"/>
  <c r="N352" i="4"/>
  <c r="M352" i="4"/>
  <c r="M352" i="5" s="1"/>
  <c r="N352" i="5" s="1"/>
  <c r="L352" i="4"/>
  <c r="H352" i="4"/>
  <c r="G352" i="4"/>
  <c r="F352" i="4"/>
  <c r="E352" i="4"/>
  <c r="A352" i="4"/>
  <c r="P351" i="4"/>
  <c r="O351" i="4"/>
  <c r="N351" i="4"/>
  <c r="M351" i="4"/>
  <c r="M351" i="5" s="1"/>
  <c r="N351" i="5" s="1"/>
  <c r="L351" i="4"/>
  <c r="H351" i="4"/>
  <c r="G351" i="4"/>
  <c r="F351" i="4"/>
  <c r="E351" i="4"/>
  <c r="A351" i="4"/>
  <c r="P350" i="4"/>
  <c r="O350" i="4"/>
  <c r="N350" i="4"/>
  <c r="M350" i="4"/>
  <c r="M350" i="5" s="1"/>
  <c r="N350" i="5" s="1"/>
  <c r="L350" i="4"/>
  <c r="H350" i="4"/>
  <c r="G350" i="4"/>
  <c r="F350" i="4"/>
  <c r="E350" i="4"/>
  <c r="A350" i="4"/>
  <c r="P349" i="4"/>
  <c r="O349" i="4"/>
  <c r="N349" i="4"/>
  <c r="M349" i="4"/>
  <c r="M349" i="5" s="1"/>
  <c r="N349" i="5" s="1"/>
  <c r="L349" i="4"/>
  <c r="H349" i="4"/>
  <c r="G349" i="4"/>
  <c r="F349" i="4"/>
  <c r="E349" i="4"/>
  <c r="A349" i="4"/>
  <c r="P348" i="4"/>
  <c r="O348" i="4"/>
  <c r="N348" i="4"/>
  <c r="M348" i="4"/>
  <c r="M348" i="5" s="1"/>
  <c r="N348" i="5" s="1"/>
  <c r="L348" i="4"/>
  <c r="H348" i="4"/>
  <c r="G348" i="4"/>
  <c r="F348" i="4"/>
  <c r="E348" i="4"/>
  <c r="A348" i="4"/>
  <c r="P347" i="4"/>
  <c r="O347" i="4"/>
  <c r="N347" i="4"/>
  <c r="M347" i="4"/>
  <c r="M347" i="5" s="1"/>
  <c r="N347" i="5" s="1"/>
  <c r="L347" i="4"/>
  <c r="H347" i="4"/>
  <c r="G347" i="4"/>
  <c r="F347" i="4"/>
  <c r="E347" i="4"/>
  <c r="A347" i="4"/>
  <c r="P346" i="4"/>
  <c r="O346" i="4"/>
  <c r="N346" i="4"/>
  <c r="M346" i="4"/>
  <c r="M346" i="5" s="1"/>
  <c r="N346" i="5" s="1"/>
  <c r="L346" i="4"/>
  <c r="H346" i="4"/>
  <c r="G346" i="4"/>
  <c r="F346" i="4"/>
  <c r="E346" i="4"/>
  <c r="A346" i="4"/>
  <c r="P345" i="4"/>
  <c r="O345" i="4"/>
  <c r="N345" i="4"/>
  <c r="M345" i="4"/>
  <c r="M345" i="5" s="1"/>
  <c r="N345" i="5" s="1"/>
  <c r="L345" i="4"/>
  <c r="H345" i="4"/>
  <c r="G345" i="4"/>
  <c r="F345" i="4"/>
  <c r="E345" i="4"/>
  <c r="A345" i="4"/>
  <c r="P344" i="4"/>
  <c r="O344" i="4"/>
  <c r="N344" i="4"/>
  <c r="M344" i="4"/>
  <c r="M344" i="5" s="1"/>
  <c r="N344" i="5" s="1"/>
  <c r="L344" i="4"/>
  <c r="H344" i="4"/>
  <c r="G344" i="4"/>
  <c r="F344" i="4"/>
  <c r="E344" i="4"/>
  <c r="A344" i="4"/>
  <c r="P343" i="4"/>
  <c r="O343" i="4"/>
  <c r="N343" i="4"/>
  <c r="M343" i="4"/>
  <c r="M343" i="5" s="1"/>
  <c r="N343" i="5" s="1"/>
  <c r="L343" i="4"/>
  <c r="H343" i="4"/>
  <c r="G343" i="4"/>
  <c r="F343" i="4"/>
  <c r="E343" i="4"/>
  <c r="A343" i="4"/>
  <c r="P342" i="4"/>
  <c r="O342" i="4"/>
  <c r="N342" i="4"/>
  <c r="M342" i="4"/>
  <c r="M342" i="5" s="1"/>
  <c r="N342" i="5" s="1"/>
  <c r="L342" i="4"/>
  <c r="H342" i="4"/>
  <c r="G342" i="4"/>
  <c r="F342" i="4"/>
  <c r="E342" i="4"/>
  <c r="A342" i="4"/>
  <c r="P341" i="4"/>
  <c r="O341" i="4"/>
  <c r="N341" i="4"/>
  <c r="M341" i="4"/>
  <c r="M341" i="5" s="1"/>
  <c r="N341" i="5" s="1"/>
  <c r="L341" i="4"/>
  <c r="H341" i="4"/>
  <c r="G341" i="4"/>
  <c r="F341" i="4"/>
  <c r="E341" i="4"/>
  <c r="A341" i="4"/>
  <c r="P340" i="4"/>
  <c r="O340" i="4"/>
  <c r="N340" i="4"/>
  <c r="M340" i="4"/>
  <c r="M340" i="5" s="1"/>
  <c r="N340" i="5" s="1"/>
  <c r="L340" i="4"/>
  <c r="H340" i="4"/>
  <c r="G340" i="4"/>
  <c r="F340" i="4"/>
  <c r="E340" i="4"/>
  <c r="A340" i="4"/>
  <c r="P339" i="4"/>
  <c r="O339" i="4"/>
  <c r="N339" i="4"/>
  <c r="M339" i="4"/>
  <c r="M339" i="5" s="1"/>
  <c r="N339" i="5" s="1"/>
  <c r="L339" i="4"/>
  <c r="H339" i="4"/>
  <c r="G339" i="4"/>
  <c r="F339" i="4"/>
  <c r="E339" i="4"/>
  <c r="A339" i="4"/>
  <c r="P338" i="4"/>
  <c r="O338" i="4"/>
  <c r="N338" i="4"/>
  <c r="M338" i="4"/>
  <c r="M338" i="5" s="1"/>
  <c r="N338" i="5" s="1"/>
  <c r="L338" i="4"/>
  <c r="H338" i="4"/>
  <c r="G338" i="4"/>
  <c r="F338" i="4"/>
  <c r="E338" i="4"/>
  <c r="A338" i="4"/>
  <c r="P337" i="4"/>
  <c r="O337" i="4"/>
  <c r="N337" i="4"/>
  <c r="M337" i="4"/>
  <c r="M337" i="5" s="1"/>
  <c r="N337" i="5" s="1"/>
  <c r="L337" i="4"/>
  <c r="H337" i="4"/>
  <c r="G337" i="4"/>
  <c r="F337" i="4"/>
  <c r="E337" i="4"/>
  <c r="A337" i="4"/>
  <c r="P336" i="4"/>
  <c r="O336" i="4"/>
  <c r="N336" i="4"/>
  <c r="M336" i="4"/>
  <c r="M336" i="5" s="1"/>
  <c r="N336" i="5" s="1"/>
  <c r="L336" i="4"/>
  <c r="H336" i="4"/>
  <c r="G336" i="4"/>
  <c r="F336" i="4"/>
  <c r="E336" i="4"/>
  <c r="A336" i="4"/>
  <c r="P335" i="4"/>
  <c r="O335" i="4"/>
  <c r="N335" i="4"/>
  <c r="M335" i="4"/>
  <c r="M335" i="5" s="1"/>
  <c r="N335" i="5" s="1"/>
  <c r="L335" i="4"/>
  <c r="H335" i="4"/>
  <c r="G335" i="4"/>
  <c r="F335" i="4"/>
  <c r="E335" i="4"/>
  <c r="A335" i="4"/>
  <c r="P334" i="4"/>
  <c r="O334" i="4"/>
  <c r="N334" i="4"/>
  <c r="M334" i="4"/>
  <c r="M334" i="5" s="1"/>
  <c r="N334" i="5" s="1"/>
  <c r="L334" i="4"/>
  <c r="H334" i="4"/>
  <c r="G334" i="4"/>
  <c r="F334" i="4"/>
  <c r="E334" i="4"/>
  <c r="A334" i="4"/>
  <c r="P333" i="4"/>
  <c r="O333" i="4"/>
  <c r="N333" i="4"/>
  <c r="M333" i="4"/>
  <c r="M333" i="5" s="1"/>
  <c r="N333" i="5" s="1"/>
  <c r="L333" i="4"/>
  <c r="H333" i="4"/>
  <c r="G333" i="4"/>
  <c r="F333" i="4"/>
  <c r="E333" i="4"/>
  <c r="A333" i="4"/>
  <c r="P332" i="4"/>
  <c r="O332" i="4"/>
  <c r="N332" i="4"/>
  <c r="M332" i="4"/>
  <c r="M332" i="5" s="1"/>
  <c r="N332" i="5" s="1"/>
  <c r="L332" i="4"/>
  <c r="H332" i="4"/>
  <c r="G332" i="4"/>
  <c r="F332" i="4"/>
  <c r="E332" i="4"/>
  <c r="A332" i="4"/>
  <c r="P331" i="4"/>
  <c r="O331" i="4"/>
  <c r="N331" i="4"/>
  <c r="M331" i="4"/>
  <c r="M331" i="5" s="1"/>
  <c r="N331" i="5" s="1"/>
  <c r="L331" i="4"/>
  <c r="H331" i="4"/>
  <c r="G331" i="4"/>
  <c r="F331" i="4"/>
  <c r="E331" i="4"/>
  <c r="A331" i="4"/>
  <c r="P330" i="4"/>
  <c r="O330" i="4"/>
  <c r="N330" i="4"/>
  <c r="M330" i="4"/>
  <c r="M330" i="5" s="1"/>
  <c r="N330" i="5" s="1"/>
  <c r="L330" i="4"/>
  <c r="H330" i="4"/>
  <c r="G330" i="4"/>
  <c r="F330" i="4"/>
  <c r="E330" i="4"/>
  <c r="A330" i="4"/>
  <c r="P329" i="4"/>
  <c r="O329" i="4"/>
  <c r="N329" i="4"/>
  <c r="M329" i="4"/>
  <c r="M329" i="5" s="1"/>
  <c r="N329" i="5" s="1"/>
  <c r="L329" i="4"/>
  <c r="H329" i="4"/>
  <c r="G329" i="4"/>
  <c r="F329" i="4"/>
  <c r="E329" i="4"/>
  <c r="A329" i="4"/>
  <c r="P328" i="4"/>
  <c r="O328" i="4"/>
  <c r="N328" i="4"/>
  <c r="M328" i="4"/>
  <c r="M328" i="5" s="1"/>
  <c r="N328" i="5" s="1"/>
  <c r="L328" i="4"/>
  <c r="H328" i="4"/>
  <c r="G328" i="4"/>
  <c r="F328" i="4"/>
  <c r="E328" i="4"/>
  <c r="A328" i="4"/>
  <c r="P327" i="4"/>
  <c r="O327" i="4"/>
  <c r="N327" i="4"/>
  <c r="M327" i="4"/>
  <c r="M327" i="5" s="1"/>
  <c r="N327" i="5" s="1"/>
  <c r="L327" i="4"/>
  <c r="H327" i="4"/>
  <c r="G327" i="4"/>
  <c r="F327" i="4"/>
  <c r="E327" i="4"/>
  <c r="A327" i="4"/>
  <c r="P326" i="4"/>
  <c r="O326" i="4"/>
  <c r="N326" i="4"/>
  <c r="M326" i="4"/>
  <c r="M326" i="5" s="1"/>
  <c r="N326" i="5" s="1"/>
  <c r="L326" i="4"/>
  <c r="H326" i="4"/>
  <c r="G326" i="4"/>
  <c r="F326" i="4"/>
  <c r="E326" i="4"/>
  <c r="A326" i="4"/>
  <c r="P325" i="4"/>
  <c r="O325" i="4"/>
  <c r="N325" i="4"/>
  <c r="M325" i="4"/>
  <c r="M325" i="5" s="1"/>
  <c r="N325" i="5" s="1"/>
  <c r="L325" i="4"/>
  <c r="H325" i="4"/>
  <c r="G325" i="4"/>
  <c r="F325" i="4"/>
  <c r="E325" i="4"/>
  <c r="A325" i="4"/>
  <c r="P324" i="4"/>
  <c r="O324" i="4"/>
  <c r="N324" i="4"/>
  <c r="M324" i="4"/>
  <c r="M324" i="5" s="1"/>
  <c r="N324" i="5" s="1"/>
  <c r="L324" i="4"/>
  <c r="H324" i="4"/>
  <c r="G324" i="4"/>
  <c r="F324" i="4"/>
  <c r="E324" i="4"/>
  <c r="A324" i="4"/>
  <c r="P323" i="4"/>
  <c r="O323" i="4"/>
  <c r="N323" i="4"/>
  <c r="M323" i="4"/>
  <c r="M323" i="5" s="1"/>
  <c r="N323" i="5" s="1"/>
  <c r="L323" i="4"/>
  <c r="H323" i="4"/>
  <c r="G323" i="4"/>
  <c r="F323" i="4"/>
  <c r="E323" i="4"/>
  <c r="A323" i="4"/>
  <c r="P322" i="4"/>
  <c r="O322" i="4"/>
  <c r="N322" i="4"/>
  <c r="M322" i="4"/>
  <c r="M322" i="5" s="1"/>
  <c r="N322" i="5" s="1"/>
  <c r="L322" i="4"/>
  <c r="H322" i="4"/>
  <c r="G322" i="4"/>
  <c r="F322" i="4"/>
  <c r="E322" i="4"/>
  <c r="A322" i="4"/>
  <c r="P321" i="4"/>
  <c r="O321" i="4"/>
  <c r="N321" i="4"/>
  <c r="M321" i="4"/>
  <c r="M321" i="5" s="1"/>
  <c r="N321" i="5" s="1"/>
  <c r="L321" i="4"/>
  <c r="H321" i="4"/>
  <c r="G321" i="4"/>
  <c r="F321" i="4"/>
  <c r="E321" i="4"/>
  <c r="A321" i="4"/>
  <c r="P320" i="4"/>
  <c r="O320" i="4"/>
  <c r="N320" i="4"/>
  <c r="M320" i="4"/>
  <c r="M320" i="5" s="1"/>
  <c r="N320" i="5" s="1"/>
  <c r="L320" i="4"/>
  <c r="H320" i="4"/>
  <c r="G320" i="4"/>
  <c r="F320" i="4"/>
  <c r="E320" i="4"/>
  <c r="A320" i="4"/>
  <c r="P319" i="4"/>
  <c r="O319" i="4"/>
  <c r="N319" i="4"/>
  <c r="M319" i="4"/>
  <c r="M319" i="5" s="1"/>
  <c r="N319" i="5" s="1"/>
  <c r="L319" i="4"/>
  <c r="H319" i="4"/>
  <c r="G319" i="4"/>
  <c r="F319" i="4"/>
  <c r="E319" i="4"/>
  <c r="A319" i="4"/>
  <c r="P318" i="4"/>
  <c r="O318" i="4"/>
  <c r="N318" i="4"/>
  <c r="M318" i="4"/>
  <c r="M318" i="5" s="1"/>
  <c r="N318" i="5" s="1"/>
  <c r="L318" i="4"/>
  <c r="H318" i="4"/>
  <c r="G318" i="4"/>
  <c r="F318" i="4"/>
  <c r="E318" i="4"/>
  <c r="A318" i="4"/>
  <c r="P317" i="4"/>
  <c r="O317" i="4"/>
  <c r="N317" i="4"/>
  <c r="M317" i="4"/>
  <c r="M317" i="5" s="1"/>
  <c r="N317" i="5" s="1"/>
  <c r="L317" i="4"/>
  <c r="H317" i="4"/>
  <c r="G317" i="4"/>
  <c r="F317" i="4"/>
  <c r="E317" i="4"/>
  <c r="A317" i="4"/>
  <c r="P316" i="4"/>
  <c r="O316" i="4"/>
  <c r="N316" i="4"/>
  <c r="M316" i="4"/>
  <c r="M316" i="5" s="1"/>
  <c r="N316" i="5" s="1"/>
  <c r="L316" i="4"/>
  <c r="H316" i="4"/>
  <c r="G316" i="4"/>
  <c r="F316" i="4"/>
  <c r="E316" i="4"/>
  <c r="A316" i="4"/>
  <c r="P315" i="4"/>
  <c r="O315" i="4"/>
  <c r="N315" i="4"/>
  <c r="M315" i="4"/>
  <c r="M315" i="5" s="1"/>
  <c r="N315" i="5" s="1"/>
  <c r="L315" i="4"/>
  <c r="H315" i="4"/>
  <c r="G315" i="4"/>
  <c r="F315" i="4"/>
  <c r="E315" i="4"/>
  <c r="A315" i="4"/>
  <c r="P314" i="4"/>
  <c r="O314" i="4"/>
  <c r="N314" i="4"/>
  <c r="M314" i="4"/>
  <c r="M314" i="5" s="1"/>
  <c r="N314" i="5" s="1"/>
  <c r="L314" i="4"/>
  <c r="H314" i="4"/>
  <c r="G314" i="4"/>
  <c r="F314" i="4"/>
  <c r="E314" i="4"/>
  <c r="A314" i="4"/>
  <c r="P313" i="4"/>
  <c r="O313" i="4"/>
  <c r="N313" i="4"/>
  <c r="M313" i="4"/>
  <c r="M313" i="5" s="1"/>
  <c r="N313" i="5" s="1"/>
  <c r="L313" i="4"/>
  <c r="H313" i="4"/>
  <c r="G313" i="4"/>
  <c r="F313" i="4"/>
  <c r="E313" i="4"/>
  <c r="A313" i="4"/>
  <c r="P312" i="4"/>
  <c r="O312" i="4"/>
  <c r="N312" i="4"/>
  <c r="M312" i="4"/>
  <c r="M312" i="5" s="1"/>
  <c r="N312" i="5" s="1"/>
  <c r="L312" i="4"/>
  <c r="H312" i="4"/>
  <c r="G312" i="4"/>
  <c r="F312" i="4"/>
  <c r="E312" i="4"/>
  <c r="A312" i="4"/>
  <c r="P311" i="4"/>
  <c r="O311" i="4"/>
  <c r="N311" i="4"/>
  <c r="M311" i="4"/>
  <c r="M311" i="5" s="1"/>
  <c r="N311" i="5" s="1"/>
  <c r="L311" i="4"/>
  <c r="H311" i="4"/>
  <c r="G311" i="4"/>
  <c r="F311" i="4"/>
  <c r="E311" i="4"/>
  <c r="A311" i="4"/>
  <c r="P310" i="4"/>
  <c r="O310" i="4"/>
  <c r="N310" i="4"/>
  <c r="M310" i="4"/>
  <c r="M310" i="5" s="1"/>
  <c r="N310" i="5" s="1"/>
  <c r="L310" i="4"/>
  <c r="H310" i="4"/>
  <c r="G310" i="4"/>
  <c r="F310" i="4"/>
  <c r="E310" i="4"/>
  <c r="A310" i="4"/>
  <c r="P309" i="4"/>
  <c r="O309" i="4"/>
  <c r="N309" i="4"/>
  <c r="M309" i="4"/>
  <c r="M309" i="5" s="1"/>
  <c r="N309" i="5" s="1"/>
  <c r="L309" i="4"/>
  <c r="H309" i="4"/>
  <c r="G309" i="4"/>
  <c r="F309" i="4"/>
  <c r="E309" i="4"/>
  <c r="A309" i="4"/>
  <c r="P308" i="4"/>
  <c r="O308" i="4"/>
  <c r="N308" i="4"/>
  <c r="M308" i="4"/>
  <c r="M308" i="5" s="1"/>
  <c r="N308" i="5" s="1"/>
  <c r="L308" i="4"/>
  <c r="H308" i="4"/>
  <c r="G308" i="4"/>
  <c r="F308" i="4"/>
  <c r="E308" i="4"/>
  <c r="A308" i="4"/>
  <c r="P307" i="4"/>
  <c r="O307" i="4"/>
  <c r="N307" i="4"/>
  <c r="M307" i="4"/>
  <c r="M307" i="5" s="1"/>
  <c r="N307" i="5" s="1"/>
  <c r="L307" i="4"/>
  <c r="H307" i="4"/>
  <c r="G307" i="4"/>
  <c r="F307" i="4"/>
  <c r="E307" i="4"/>
  <c r="A307" i="4"/>
  <c r="P306" i="4"/>
  <c r="O306" i="4"/>
  <c r="N306" i="4"/>
  <c r="M306" i="4"/>
  <c r="M306" i="5" s="1"/>
  <c r="N306" i="5" s="1"/>
  <c r="L306" i="4"/>
  <c r="H306" i="4"/>
  <c r="G306" i="4"/>
  <c r="F306" i="4"/>
  <c r="E306" i="4"/>
  <c r="A306" i="4"/>
  <c r="P305" i="4"/>
  <c r="O305" i="4"/>
  <c r="N305" i="4"/>
  <c r="M305" i="4"/>
  <c r="M305" i="5" s="1"/>
  <c r="N305" i="5" s="1"/>
  <c r="L305" i="4"/>
  <c r="H305" i="4"/>
  <c r="G305" i="4"/>
  <c r="F305" i="4"/>
  <c r="E305" i="4"/>
  <c r="A305" i="4"/>
  <c r="P304" i="4"/>
  <c r="O304" i="4"/>
  <c r="N304" i="4"/>
  <c r="M304" i="4"/>
  <c r="M304" i="5" s="1"/>
  <c r="N304" i="5" s="1"/>
  <c r="L304" i="4"/>
  <c r="H304" i="4"/>
  <c r="G304" i="4"/>
  <c r="F304" i="4"/>
  <c r="E304" i="4"/>
  <c r="A304" i="4"/>
  <c r="P303" i="4"/>
  <c r="O303" i="4"/>
  <c r="N303" i="4"/>
  <c r="M303" i="4"/>
  <c r="M303" i="5" s="1"/>
  <c r="N303" i="5" s="1"/>
  <c r="L303" i="4"/>
  <c r="H303" i="4"/>
  <c r="G303" i="4"/>
  <c r="F303" i="4"/>
  <c r="E303" i="4"/>
  <c r="A303" i="4"/>
  <c r="P302" i="4"/>
  <c r="O302" i="4"/>
  <c r="N302" i="4"/>
  <c r="M302" i="4"/>
  <c r="M302" i="5" s="1"/>
  <c r="N302" i="5" s="1"/>
  <c r="L302" i="4"/>
  <c r="H302" i="4"/>
  <c r="G302" i="4"/>
  <c r="F302" i="4"/>
  <c r="E302" i="4"/>
  <c r="A302" i="4"/>
  <c r="P301" i="4"/>
  <c r="O301" i="4"/>
  <c r="N301" i="4"/>
  <c r="M301" i="4"/>
  <c r="M301" i="5" s="1"/>
  <c r="N301" i="5" s="1"/>
  <c r="L301" i="4"/>
  <c r="H301" i="4"/>
  <c r="G301" i="4"/>
  <c r="F301" i="4"/>
  <c r="E301" i="4"/>
  <c r="A301" i="4"/>
  <c r="P300" i="4"/>
  <c r="O300" i="4"/>
  <c r="N300" i="4"/>
  <c r="M300" i="4"/>
  <c r="M300" i="5" s="1"/>
  <c r="N300" i="5" s="1"/>
  <c r="L300" i="4"/>
  <c r="H300" i="4"/>
  <c r="G300" i="4"/>
  <c r="F300" i="4"/>
  <c r="E300" i="4"/>
  <c r="A300" i="4"/>
  <c r="P299" i="4"/>
  <c r="O299" i="4"/>
  <c r="N299" i="4"/>
  <c r="M299" i="4"/>
  <c r="M299" i="5" s="1"/>
  <c r="N299" i="5" s="1"/>
  <c r="L299" i="4"/>
  <c r="H299" i="4"/>
  <c r="G299" i="4"/>
  <c r="F299" i="4"/>
  <c r="E299" i="4"/>
  <c r="A299" i="4"/>
  <c r="P298" i="4"/>
  <c r="O298" i="4"/>
  <c r="N298" i="4"/>
  <c r="M298" i="4"/>
  <c r="M298" i="5" s="1"/>
  <c r="N298" i="5" s="1"/>
  <c r="L298" i="4"/>
  <c r="H298" i="4"/>
  <c r="G298" i="4"/>
  <c r="F298" i="4"/>
  <c r="E298" i="4"/>
  <c r="A298" i="4"/>
  <c r="P297" i="4"/>
  <c r="O297" i="4"/>
  <c r="N297" i="4"/>
  <c r="M297" i="4"/>
  <c r="M297" i="5" s="1"/>
  <c r="N297" i="5" s="1"/>
  <c r="L297" i="4"/>
  <c r="H297" i="4"/>
  <c r="G297" i="4"/>
  <c r="F297" i="4"/>
  <c r="E297" i="4"/>
  <c r="A297" i="4"/>
  <c r="P296" i="4"/>
  <c r="O296" i="4"/>
  <c r="N296" i="4"/>
  <c r="M296" i="4"/>
  <c r="M296" i="5" s="1"/>
  <c r="N296" i="5" s="1"/>
  <c r="L296" i="4"/>
  <c r="H296" i="4"/>
  <c r="G296" i="4"/>
  <c r="F296" i="4"/>
  <c r="E296" i="4"/>
  <c r="A296" i="4"/>
  <c r="P295" i="4"/>
  <c r="O295" i="4"/>
  <c r="N295" i="4"/>
  <c r="M295" i="4"/>
  <c r="M295" i="5" s="1"/>
  <c r="N295" i="5" s="1"/>
  <c r="L295" i="4"/>
  <c r="H295" i="4"/>
  <c r="G295" i="4"/>
  <c r="F295" i="4"/>
  <c r="E295" i="4"/>
  <c r="A295" i="4"/>
  <c r="P294" i="4"/>
  <c r="O294" i="4"/>
  <c r="N294" i="4"/>
  <c r="M294" i="4"/>
  <c r="M294" i="5" s="1"/>
  <c r="N294" i="5" s="1"/>
  <c r="L294" i="4"/>
  <c r="H294" i="4"/>
  <c r="G294" i="4"/>
  <c r="F294" i="4"/>
  <c r="E294" i="4"/>
  <c r="A294" i="4"/>
  <c r="P293" i="4"/>
  <c r="O293" i="4"/>
  <c r="N293" i="4"/>
  <c r="M293" i="4"/>
  <c r="M293" i="5" s="1"/>
  <c r="N293" i="5" s="1"/>
  <c r="L293" i="4"/>
  <c r="H293" i="4"/>
  <c r="G293" i="4"/>
  <c r="F293" i="4"/>
  <c r="E293" i="4"/>
  <c r="A293" i="4"/>
  <c r="P292" i="4"/>
  <c r="O292" i="4"/>
  <c r="N292" i="4"/>
  <c r="M292" i="4"/>
  <c r="M292" i="5" s="1"/>
  <c r="N292" i="5" s="1"/>
  <c r="L292" i="4"/>
  <c r="H292" i="4"/>
  <c r="G292" i="4"/>
  <c r="F292" i="4"/>
  <c r="E292" i="4"/>
  <c r="A292" i="4"/>
  <c r="P291" i="4"/>
  <c r="O291" i="4"/>
  <c r="N291" i="4"/>
  <c r="M291" i="4"/>
  <c r="M291" i="5" s="1"/>
  <c r="N291" i="5" s="1"/>
  <c r="L291" i="4"/>
  <c r="H291" i="4"/>
  <c r="G291" i="4"/>
  <c r="F291" i="4"/>
  <c r="E291" i="4"/>
  <c r="A291" i="4"/>
  <c r="P290" i="4"/>
  <c r="O290" i="4"/>
  <c r="N290" i="4"/>
  <c r="M290" i="4"/>
  <c r="M290" i="5" s="1"/>
  <c r="N290" i="5" s="1"/>
  <c r="L290" i="4"/>
  <c r="H290" i="4"/>
  <c r="G290" i="4"/>
  <c r="F290" i="4"/>
  <c r="E290" i="4"/>
  <c r="A290" i="4"/>
  <c r="P289" i="4"/>
  <c r="O289" i="4"/>
  <c r="N289" i="4"/>
  <c r="M289" i="4"/>
  <c r="M289" i="5" s="1"/>
  <c r="N289" i="5" s="1"/>
  <c r="L289" i="4"/>
  <c r="H289" i="4"/>
  <c r="G289" i="4"/>
  <c r="F289" i="4"/>
  <c r="E289" i="4"/>
  <c r="A289" i="4"/>
  <c r="P288" i="4"/>
  <c r="O288" i="4"/>
  <c r="N288" i="4"/>
  <c r="M288" i="4"/>
  <c r="M288" i="5" s="1"/>
  <c r="N288" i="5" s="1"/>
  <c r="L288" i="4"/>
  <c r="H288" i="4"/>
  <c r="G288" i="4"/>
  <c r="F288" i="4"/>
  <c r="E288" i="4"/>
  <c r="A288" i="4"/>
  <c r="P287" i="4"/>
  <c r="O287" i="4"/>
  <c r="N287" i="4"/>
  <c r="M287" i="4"/>
  <c r="M287" i="5" s="1"/>
  <c r="N287" i="5" s="1"/>
  <c r="L287" i="4"/>
  <c r="H287" i="4"/>
  <c r="G287" i="4"/>
  <c r="F287" i="4"/>
  <c r="E287" i="4"/>
  <c r="A287" i="4"/>
  <c r="P286" i="4"/>
  <c r="O286" i="4"/>
  <c r="N286" i="4"/>
  <c r="M286" i="4"/>
  <c r="M286" i="5" s="1"/>
  <c r="N286" i="5" s="1"/>
  <c r="L286" i="4"/>
  <c r="H286" i="4"/>
  <c r="G286" i="4"/>
  <c r="F286" i="4"/>
  <c r="E286" i="4"/>
  <c r="A286" i="4"/>
  <c r="P285" i="4"/>
  <c r="O285" i="4"/>
  <c r="N285" i="4"/>
  <c r="M285" i="4"/>
  <c r="M285" i="5" s="1"/>
  <c r="N285" i="5" s="1"/>
  <c r="L285" i="4"/>
  <c r="H285" i="4"/>
  <c r="G285" i="4"/>
  <c r="F285" i="4"/>
  <c r="E285" i="4"/>
  <c r="A285" i="4"/>
  <c r="P284" i="4"/>
  <c r="O284" i="4"/>
  <c r="N284" i="4"/>
  <c r="M284" i="4"/>
  <c r="M284" i="5" s="1"/>
  <c r="N284" i="5" s="1"/>
  <c r="L284" i="4"/>
  <c r="H284" i="4"/>
  <c r="G284" i="4"/>
  <c r="F284" i="4"/>
  <c r="E284" i="4"/>
  <c r="A284" i="4"/>
  <c r="P283" i="4"/>
  <c r="O283" i="4"/>
  <c r="N283" i="4"/>
  <c r="M283" i="4"/>
  <c r="M283" i="5" s="1"/>
  <c r="N283" i="5" s="1"/>
  <c r="L283" i="4"/>
  <c r="H283" i="4"/>
  <c r="G283" i="4"/>
  <c r="F283" i="4"/>
  <c r="E283" i="4"/>
  <c r="A283" i="4"/>
  <c r="P282" i="4"/>
  <c r="O282" i="4"/>
  <c r="N282" i="4"/>
  <c r="M282" i="4"/>
  <c r="M282" i="5" s="1"/>
  <c r="N282" i="5" s="1"/>
  <c r="L282" i="4"/>
  <c r="H282" i="4"/>
  <c r="G282" i="4"/>
  <c r="F282" i="4"/>
  <c r="E282" i="4"/>
  <c r="A282" i="4"/>
  <c r="P281" i="4"/>
  <c r="O281" i="4"/>
  <c r="N281" i="4"/>
  <c r="M281" i="4"/>
  <c r="M281" i="5" s="1"/>
  <c r="N281" i="5" s="1"/>
  <c r="L281" i="4"/>
  <c r="H281" i="4"/>
  <c r="G281" i="4"/>
  <c r="F281" i="4"/>
  <c r="E281" i="4"/>
  <c r="A281" i="4"/>
  <c r="P280" i="4"/>
  <c r="O280" i="4"/>
  <c r="N280" i="4"/>
  <c r="M280" i="4"/>
  <c r="M280" i="5" s="1"/>
  <c r="N280" i="5" s="1"/>
  <c r="L280" i="4"/>
  <c r="H280" i="4"/>
  <c r="G280" i="4"/>
  <c r="F280" i="4"/>
  <c r="E280" i="4"/>
  <c r="A280" i="4"/>
  <c r="P279" i="4"/>
  <c r="O279" i="4"/>
  <c r="N279" i="4"/>
  <c r="M279" i="4"/>
  <c r="M279" i="5" s="1"/>
  <c r="N279" i="5" s="1"/>
  <c r="L279" i="4"/>
  <c r="H279" i="4"/>
  <c r="G279" i="4"/>
  <c r="F279" i="4"/>
  <c r="E279" i="4"/>
  <c r="A279" i="4"/>
  <c r="P278" i="4"/>
  <c r="O278" i="4"/>
  <c r="N278" i="4"/>
  <c r="M278" i="4"/>
  <c r="M278" i="5" s="1"/>
  <c r="N278" i="5" s="1"/>
  <c r="L278" i="4"/>
  <c r="H278" i="4"/>
  <c r="G278" i="4"/>
  <c r="F278" i="4"/>
  <c r="E278" i="4"/>
  <c r="A278" i="4"/>
  <c r="P277" i="4"/>
  <c r="O277" i="4"/>
  <c r="N277" i="4"/>
  <c r="M277" i="4"/>
  <c r="M277" i="5" s="1"/>
  <c r="N277" i="5" s="1"/>
  <c r="L277" i="4"/>
  <c r="H277" i="4"/>
  <c r="G277" i="4"/>
  <c r="F277" i="4"/>
  <c r="E277" i="4"/>
  <c r="A277" i="4"/>
  <c r="P276" i="4"/>
  <c r="O276" i="4"/>
  <c r="N276" i="4"/>
  <c r="M276" i="4"/>
  <c r="M276" i="5" s="1"/>
  <c r="N276" i="5" s="1"/>
  <c r="L276" i="4"/>
  <c r="H276" i="4"/>
  <c r="G276" i="4"/>
  <c r="F276" i="4"/>
  <c r="E276" i="4"/>
  <c r="A276" i="4"/>
  <c r="P275" i="4"/>
  <c r="O275" i="4"/>
  <c r="N275" i="4"/>
  <c r="M275" i="4"/>
  <c r="M275" i="5" s="1"/>
  <c r="N275" i="5" s="1"/>
  <c r="L275" i="4"/>
  <c r="H275" i="4"/>
  <c r="G275" i="4"/>
  <c r="F275" i="4"/>
  <c r="E275" i="4"/>
  <c r="A275" i="4"/>
  <c r="P274" i="4"/>
  <c r="O274" i="4"/>
  <c r="N274" i="4"/>
  <c r="M274" i="4"/>
  <c r="M274" i="5" s="1"/>
  <c r="N274" i="5" s="1"/>
  <c r="L274" i="4"/>
  <c r="H274" i="4"/>
  <c r="G274" i="4"/>
  <c r="F274" i="4"/>
  <c r="E274" i="4"/>
  <c r="A274" i="4"/>
  <c r="P273" i="4"/>
  <c r="O273" i="4"/>
  <c r="N273" i="4"/>
  <c r="M273" i="4"/>
  <c r="M273" i="5" s="1"/>
  <c r="N273" i="5" s="1"/>
  <c r="L273" i="4"/>
  <c r="H273" i="4"/>
  <c r="G273" i="4"/>
  <c r="F273" i="4"/>
  <c r="E273" i="4"/>
  <c r="A273" i="4"/>
  <c r="P272" i="4"/>
  <c r="O272" i="4"/>
  <c r="N272" i="4"/>
  <c r="M272" i="4"/>
  <c r="M272" i="5" s="1"/>
  <c r="N272" i="5" s="1"/>
  <c r="L272" i="4"/>
  <c r="H272" i="4"/>
  <c r="G272" i="4"/>
  <c r="F272" i="4"/>
  <c r="E272" i="4"/>
  <c r="A272" i="4"/>
  <c r="P271" i="4"/>
  <c r="O271" i="4"/>
  <c r="N271" i="4"/>
  <c r="M271" i="4"/>
  <c r="M271" i="5" s="1"/>
  <c r="N271" i="5" s="1"/>
  <c r="L271" i="4"/>
  <c r="H271" i="4"/>
  <c r="G271" i="4"/>
  <c r="F271" i="4"/>
  <c r="E271" i="4"/>
  <c r="A271" i="4"/>
  <c r="P270" i="4"/>
  <c r="O270" i="4"/>
  <c r="N270" i="4"/>
  <c r="M270" i="4"/>
  <c r="M270" i="5" s="1"/>
  <c r="N270" i="5" s="1"/>
  <c r="L270" i="4"/>
  <c r="H270" i="4"/>
  <c r="G270" i="4"/>
  <c r="F270" i="4"/>
  <c r="E270" i="4"/>
  <c r="A270" i="4"/>
  <c r="P269" i="4"/>
  <c r="O269" i="4"/>
  <c r="N269" i="4"/>
  <c r="M269" i="4"/>
  <c r="M269" i="5" s="1"/>
  <c r="N269" i="5" s="1"/>
  <c r="L269" i="4"/>
  <c r="H269" i="4"/>
  <c r="G269" i="4"/>
  <c r="F269" i="4"/>
  <c r="E269" i="4"/>
  <c r="A269" i="4"/>
  <c r="P268" i="4"/>
  <c r="O268" i="4"/>
  <c r="N268" i="4"/>
  <c r="M268" i="4"/>
  <c r="M268" i="5" s="1"/>
  <c r="N268" i="5" s="1"/>
  <c r="L268" i="4"/>
  <c r="H268" i="4"/>
  <c r="G268" i="4"/>
  <c r="F268" i="4"/>
  <c r="E268" i="4"/>
  <c r="A268" i="4"/>
  <c r="P267" i="4"/>
  <c r="O267" i="4"/>
  <c r="N267" i="4"/>
  <c r="M267" i="4"/>
  <c r="M267" i="5" s="1"/>
  <c r="N267" i="5" s="1"/>
  <c r="L267" i="4"/>
  <c r="H267" i="4"/>
  <c r="G267" i="4"/>
  <c r="F267" i="4"/>
  <c r="E267" i="4"/>
  <c r="A267" i="4"/>
  <c r="P266" i="4"/>
  <c r="O266" i="4"/>
  <c r="N266" i="4"/>
  <c r="M266" i="4"/>
  <c r="M266" i="5" s="1"/>
  <c r="N266" i="5" s="1"/>
  <c r="L266" i="4"/>
  <c r="H266" i="4"/>
  <c r="G266" i="4"/>
  <c r="F266" i="4"/>
  <c r="E266" i="4"/>
  <c r="A266" i="4"/>
  <c r="P265" i="4"/>
  <c r="O265" i="4"/>
  <c r="N265" i="4"/>
  <c r="M265" i="4"/>
  <c r="M265" i="5" s="1"/>
  <c r="N265" i="5" s="1"/>
  <c r="L265" i="4"/>
  <c r="H265" i="4"/>
  <c r="G265" i="4"/>
  <c r="F265" i="4"/>
  <c r="E265" i="4"/>
  <c r="A265" i="4"/>
  <c r="P264" i="4"/>
  <c r="O264" i="4"/>
  <c r="N264" i="4"/>
  <c r="M264" i="4"/>
  <c r="M264" i="5" s="1"/>
  <c r="N264" i="5" s="1"/>
  <c r="L264" i="4"/>
  <c r="H264" i="4"/>
  <c r="G264" i="4"/>
  <c r="F264" i="4"/>
  <c r="E264" i="4"/>
  <c r="A264" i="4"/>
  <c r="P263" i="4"/>
  <c r="O263" i="4"/>
  <c r="N263" i="4"/>
  <c r="M263" i="4"/>
  <c r="M263" i="5" s="1"/>
  <c r="N263" i="5" s="1"/>
  <c r="L263" i="4"/>
  <c r="H263" i="4"/>
  <c r="G263" i="4"/>
  <c r="F263" i="4"/>
  <c r="E263" i="4"/>
  <c r="A263" i="4"/>
  <c r="P262" i="4"/>
  <c r="O262" i="4"/>
  <c r="N262" i="4"/>
  <c r="M262" i="4"/>
  <c r="M262" i="5" s="1"/>
  <c r="N262" i="5" s="1"/>
  <c r="L262" i="4"/>
  <c r="H262" i="4"/>
  <c r="G262" i="4"/>
  <c r="F262" i="4"/>
  <c r="E262" i="4"/>
  <c r="A262" i="4"/>
  <c r="P261" i="4"/>
  <c r="O261" i="4"/>
  <c r="N261" i="4"/>
  <c r="M261" i="4"/>
  <c r="M261" i="5" s="1"/>
  <c r="N261" i="5" s="1"/>
  <c r="L261" i="4"/>
  <c r="H261" i="4"/>
  <c r="G261" i="4"/>
  <c r="F261" i="4"/>
  <c r="E261" i="4"/>
  <c r="A261" i="4"/>
  <c r="P260" i="4"/>
  <c r="O260" i="4"/>
  <c r="N260" i="4"/>
  <c r="M260" i="4"/>
  <c r="M260" i="5" s="1"/>
  <c r="N260" i="5" s="1"/>
  <c r="L260" i="4"/>
  <c r="H260" i="4"/>
  <c r="G260" i="4"/>
  <c r="F260" i="4"/>
  <c r="E260" i="4"/>
  <c r="A260" i="4"/>
  <c r="P259" i="4"/>
  <c r="O259" i="4"/>
  <c r="N259" i="4"/>
  <c r="M259" i="4"/>
  <c r="M259" i="5" s="1"/>
  <c r="N259" i="5" s="1"/>
  <c r="L259" i="4"/>
  <c r="H259" i="4"/>
  <c r="G259" i="4"/>
  <c r="F259" i="4"/>
  <c r="E259" i="4"/>
  <c r="A259" i="4"/>
  <c r="P258" i="4"/>
  <c r="O258" i="4"/>
  <c r="N258" i="4"/>
  <c r="M258" i="4"/>
  <c r="M258" i="5" s="1"/>
  <c r="N258" i="5" s="1"/>
  <c r="L258" i="4"/>
  <c r="H258" i="4"/>
  <c r="G258" i="4"/>
  <c r="F258" i="4"/>
  <c r="E258" i="4"/>
  <c r="A258" i="4"/>
  <c r="P257" i="4"/>
  <c r="O257" i="4"/>
  <c r="N257" i="4"/>
  <c r="M257" i="4"/>
  <c r="M257" i="5" s="1"/>
  <c r="N257" i="5" s="1"/>
  <c r="L257" i="4"/>
  <c r="H257" i="4"/>
  <c r="G257" i="4"/>
  <c r="F257" i="4"/>
  <c r="E257" i="4"/>
  <c r="A257" i="4"/>
  <c r="P256" i="4"/>
  <c r="O256" i="4"/>
  <c r="N256" i="4"/>
  <c r="M256" i="4"/>
  <c r="M256" i="5" s="1"/>
  <c r="N256" i="5" s="1"/>
  <c r="L256" i="4"/>
  <c r="H256" i="4"/>
  <c r="G256" i="4"/>
  <c r="F256" i="4"/>
  <c r="E256" i="4"/>
  <c r="A256" i="4"/>
  <c r="P255" i="4"/>
  <c r="O255" i="4"/>
  <c r="N255" i="4"/>
  <c r="M255" i="4"/>
  <c r="M255" i="5" s="1"/>
  <c r="N255" i="5" s="1"/>
  <c r="L255" i="4"/>
  <c r="H255" i="4"/>
  <c r="G255" i="4"/>
  <c r="F255" i="4"/>
  <c r="E255" i="4"/>
  <c r="A255" i="4"/>
  <c r="P254" i="4"/>
  <c r="O254" i="4"/>
  <c r="N254" i="4"/>
  <c r="M254" i="4"/>
  <c r="M254" i="5" s="1"/>
  <c r="N254" i="5" s="1"/>
  <c r="L254" i="4"/>
  <c r="H254" i="4"/>
  <c r="G254" i="4"/>
  <c r="F254" i="4"/>
  <c r="E254" i="4"/>
  <c r="A254" i="4"/>
  <c r="P253" i="4"/>
  <c r="O253" i="4"/>
  <c r="N253" i="4"/>
  <c r="M253" i="4"/>
  <c r="M253" i="5" s="1"/>
  <c r="N253" i="5" s="1"/>
  <c r="L253" i="4"/>
  <c r="H253" i="4"/>
  <c r="G253" i="4"/>
  <c r="F253" i="4"/>
  <c r="E253" i="4"/>
  <c r="A253" i="4"/>
  <c r="P252" i="4"/>
  <c r="O252" i="4"/>
  <c r="N252" i="4"/>
  <c r="M252" i="4"/>
  <c r="M252" i="5" s="1"/>
  <c r="N252" i="5" s="1"/>
  <c r="L252" i="4"/>
  <c r="H252" i="4"/>
  <c r="G252" i="4"/>
  <c r="F252" i="4"/>
  <c r="E252" i="4"/>
  <c r="A252" i="4"/>
  <c r="P251" i="4"/>
  <c r="O251" i="4"/>
  <c r="N251" i="4"/>
  <c r="M251" i="4"/>
  <c r="M251" i="5" s="1"/>
  <c r="N251" i="5" s="1"/>
  <c r="L251" i="4"/>
  <c r="H251" i="4"/>
  <c r="G251" i="4"/>
  <c r="F251" i="4"/>
  <c r="E251" i="4"/>
  <c r="A251" i="4"/>
  <c r="P250" i="4"/>
  <c r="O250" i="4"/>
  <c r="N250" i="4"/>
  <c r="M250" i="4"/>
  <c r="M250" i="5" s="1"/>
  <c r="N250" i="5" s="1"/>
  <c r="L250" i="4"/>
  <c r="H250" i="4"/>
  <c r="G250" i="4"/>
  <c r="F250" i="4"/>
  <c r="E250" i="4"/>
  <c r="A250" i="4"/>
  <c r="P249" i="4"/>
  <c r="O249" i="4"/>
  <c r="N249" i="4"/>
  <c r="M249" i="4"/>
  <c r="M249" i="5" s="1"/>
  <c r="N249" i="5" s="1"/>
  <c r="L249" i="4"/>
  <c r="H249" i="4"/>
  <c r="G249" i="4"/>
  <c r="F249" i="4"/>
  <c r="E249" i="4"/>
  <c r="A249" i="4"/>
  <c r="P248" i="4"/>
  <c r="O248" i="4"/>
  <c r="N248" i="4"/>
  <c r="M248" i="4"/>
  <c r="M248" i="5" s="1"/>
  <c r="N248" i="5" s="1"/>
  <c r="L248" i="4"/>
  <c r="H248" i="4"/>
  <c r="G248" i="4"/>
  <c r="F248" i="4"/>
  <c r="E248" i="4"/>
  <c r="A248" i="4"/>
  <c r="P247" i="4"/>
  <c r="O247" i="4"/>
  <c r="N247" i="4"/>
  <c r="M247" i="4"/>
  <c r="M247" i="5" s="1"/>
  <c r="N247" i="5" s="1"/>
  <c r="L247" i="4"/>
  <c r="H247" i="4"/>
  <c r="G247" i="4"/>
  <c r="F247" i="4"/>
  <c r="E247" i="4"/>
  <c r="A247" i="4"/>
  <c r="P246" i="4"/>
  <c r="O246" i="4"/>
  <c r="N246" i="4"/>
  <c r="M246" i="4"/>
  <c r="M246" i="5" s="1"/>
  <c r="N246" i="5" s="1"/>
  <c r="L246" i="4"/>
  <c r="H246" i="4"/>
  <c r="G246" i="4"/>
  <c r="F246" i="4"/>
  <c r="E246" i="4"/>
  <c r="A246" i="4"/>
  <c r="P245" i="4"/>
  <c r="O245" i="4"/>
  <c r="N245" i="4"/>
  <c r="M245" i="4"/>
  <c r="M245" i="5" s="1"/>
  <c r="N245" i="5" s="1"/>
  <c r="L245" i="4"/>
  <c r="H245" i="4"/>
  <c r="G245" i="4"/>
  <c r="F245" i="4"/>
  <c r="E245" i="4"/>
  <c r="A245" i="4"/>
  <c r="P244" i="4"/>
  <c r="O244" i="4"/>
  <c r="N244" i="4"/>
  <c r="M244" i="4"/>
  <c r="M244" i="5" s="1"/>
  <c r="N244" i="5" s="1"/>
  <c r="L244" i="4"/>
  <c r="H244" i="4"/>
  <c r="G244" i="4"/>
  <c r="F244" i="4"/>
  <c r="E244" i="4"/>
  <c r="A244" i="4"/>
  <c r="P243" i="4"/>
  <c r="O243" i="4"/>
  <c r="N243" i="4"/>
  <c r="M243" i="4"/>
  <c r="M243" i="5" s="1"/>
  <c r="N243" i="5" s="1"/>
  <c r="L243" i="4"/>
  <c r="H243" i="4"/>
  <c r="G243" i="4"/>
  <c r="F243" i="4"/>
  <c r="E243" i="4"/>
  <c r="A243" i="4"/>
  <c r="P242" i="4"/>
  <c r="O242" i="4"/>
  <c r="N242" i="4"/>
  <c r="M242" i="4"/>
  <c r="M242" i="5" s="1"/>
  <c r="N242" i="5" s="1"/>
  <c r="L242" i="4"/>
  <c r="H242" i="4"/>
  <c r="G242" i="4"/>
  <c r="F242" i="4"/>
  <c r="E242" i="4"/>
  <c r="A242" i="4"/>
  <c r="P241" i="4"/>
  <c r="O241" i="4"/>
  <c r="N241" i="4"/>
  <c r="M241" i="4"/>
  <c r="M241" i="5" s="1"/>
  <c r="N241" i="5" s="1"/>
  <c r="L241" i="4"/>
  <c r="H241" i="4"/>
  <c r="G241" i="4"/>
  <c r="F241" i="4"/>
  <c r="E241" i="4"/>
  <c r="A241" i="4"/>
  <c r="P240" i="4"/>
  <c r="O240" i="4"/>
  <c r="N240" i="4"/>
  <c r="M240" i="4"/>
  <c r="M240" i="5" s="1"/>
  <c r="N240" i="5" s="1"/>
  <c r="L240" i="4"/>
  <c r="H240" i="4"/>
  <c r="G240" i="4"/>
  <c r="F240" i="4"/>
  <c r="E240" i="4"/>
  <c r="A240" i="4"/>
  <c r="P239" i="4"/>
  <c r="O239" i="4"/>
  <c r="N239" i="4"/>
  <c r="M239" i="4"/>
  <c r="M239" i="5" s="1"/>
  <c r="N239" i="5" s="1"/>
  <c r="L239" i="4"/>
  <c r="H239" i="4"/>
  <c r="G239" i="4"/>
  <c r="F239" i="4"/>
  <c r="E239" i="4"/>
  <c r="A239" i="4"/>
  <c r="P238" i="4"/>
  <c r="O238" i="4"/>
  <c r="N238" i="4"/>
  <c r="M238" i="4"/>
  <c r="M238" i="5" s="1"/>
  <c r="N238" i="5" s="1"/>
  <c r="L238" i="4"/>
  <c r="H238" i="4"/>
  <c r="G238" i="4"/>
  <c r="F238" i="4"/>
  <c r="E238" i="4"/>
  <c r="A238" i="4"/>
  <c r="P237" i="4"/>
  <c r="O237" i="4"/>
  <c r="N237" i="4"/>
  <c r="M237" i="4"/>
  <c r="M237" i="5" s="1"/>
  <c r="N237" i="5" s="1"/>
  <c r="L237" i="4"/>
  <c r="H237" i="4"/>
  <c r="G237" i="4"/>
  <c r="F237" i="4"/>
  <c r="E237" i="4"/>
  <c r="A237" i="4"/>
  <c r="P236" i="4"/>
  <c r="O236" i="4"/>
  <c r="N236" i="4"/>
  <c r="M236" i="4"/>
  <c r="M236" i="5" s="1"/>
  <c r="N236" i="5" s="1"/>
  <c r="L236" i="4"/>
  <c r="H236" i="4"/>
  <c r="G236" i="4"/>
  <c r="F236" i="4"/>
  <c r="E236" i="4"/>
  <c r="A236" i="4"/>
  <c r="P235" i="4"/>
  <c r="O235" i="4"/>
  <c r="N235" i="4"/>
  <c r="M235" i="4"/>
  <c r="M235" i="5" s="1"/>
  <c r="N235" i="5" s="1"/>
  <c r="L235" i="4"/>
  <c r="H235" i="4"/>
  <c r="G235" i="4"/>
  <c r="F235" i="4"/>
  <c r="E235" i="4"/>
  <c r="A235" i="4"/>
  <c r="P234" i="4"/>
  <c r="O234" i="4"/>
  <c r="N234" i="4"/>
  <c r="M234" i="4"/>
  <c r="M234" i="5" s="1"/>
  <c r="N234" i="5" s="1"/>
  <c r="L234" i="4"/>
  <c r="H234" i="4"/>
  <c r="G234" i="4"/>
  <c r="F234" i="4"/>
  <c r="E234" i="4"/>
  <c r="A234" i="4"/>
  <c r="P233" i="4"/>
  <c r="O233" i="4"/>
  <c r="N233" i="4"/>
  <c r="M233" i="4"/>
  <c r="M233" i="5" s="1"/>
  <c r="N233" i="5" s="1"/>
  <c r="L233" i="4"/>
  <c r="H233" i="4"/>
  <c r="G233" i="4"/>
  <c r="F233" i="4"/>
  <c r="E233" i="4"/>
  <c r="A233" i="4"/>
  <c r="P232" i="4"/>
  <c r="O232" i="4"/>
  <c r="N232" i="4"/>
  <c r="M232" i="4"/>
  <c r="M232" i="5" s="1"/>
  <c r="N232" i="5" s="1"/>
  <c r="L232" i="4"/>
  <c r="H232" i="4"/>
  <c r="G232" i="4"/>
  <c r="F232" i="4"/>
  <c r="E232" i="4"/>
  <c r="A232" i="4"/>
  <c r="P231" i="4"/>
  <c r="O231" i="4"/>
  <c r="N231" i="4"/>
  <c r="M231" i="4"/>
  <c r="M231" i="5" s="1"/>
  <c r="N231" i="5" s="1"/>
  <c r="L231" i="4"/>
  <c r="H231" i="4"/>
  <c r="G231" i="4"/>
  <c r="F231" i="4"/>
  <c r="E231" i="4"/>
  <c r="A231" i="4"/>
  <c r="P230" i="4"/>
  <c r="O230" i="4"/>
  <c r="N230" i="4"/>
  <c r="M230" i="4"/>
  <c r="M230" i="5" s="1"/>
  <c r="N230" i="5" s="1"/>
  <c r="L230" i="4"/>
  <c r="H230" i="4"/>
  <c r="G230" i="4"/>
  <c r="F230" i="4"/>
  <c r="E230" i="4"/>
  <c r="A230" i="4"/>
  <c r="P229" i="4"/>
  <c r="O229" i="4"/>
  <c r="N229" i="4"/>
  <c r="M229" i="4"/>
  <c r="M229" i="5" s="1"/>
  <c r="N229" i="5" s="1"/>
  <c r="L229" i="4"/>
  <c r="H229" i="4"/>
  <c r="G229" i="4"/>
  <c r="F229" i="4"/>
  <c r="E229" i="4"/>
  <c r="A229" i="4"/>
  <c r="P228" i="4"/>
  <c r="O228" i="4"/>
  <c r="N228" i="4"/>
  <c r="M228" i="4"/>
  <c r="M228" i="5" s="1"/>
  <c r="N228" i="5" s="1"/>
  <c r="L228" i="4"/>
  <c r="H228" i="4"/>
  <c r="G228" i="4"/>
  <c r="F228" i="4"/>
  <c r="E228" i="4"/>
  <c r="A228" i="4"/>
  <c r="P227" i="4"/>
  <c r="O227" i="4"/>
  <c r="N227" i="4"/>
  <c r="M227" i="4"/>
  <c r="M227" i="5" s="1"/>
  <c r="N227" i="5" s="1"/>
  <c r="L227" i="4"/>
  <c r="H227" i="4"/>
  <c r="G227" i="4"/>
  <c r="F227" i="4"/>
  <c r="E227" i="4"/>
  <c r="A227" i="4"/>
  <c r="P226" i="4"/>
  <c r="O226" i="4"/>
  <c r="N226" i="4"/>
  <c r="M226" i="4"/>
  <c r="M226" i="5" s="1"/>
  <c r="N226" i="5" s="1"/>
  <c r="L226" i="4"/>
  <c r="H226" i="4"/>
  <c r="G226" i="4"/>
  <c r="F226" i="4"/>
  <c r="E226" i="4"/>
  <c r="A226" i="4"/>
  <c r="P225" i="4"/>
  <c r="O225" i="4"/>
  <c r="N225" i="4"/>
  <c r="M225" i="4"/>
  <c r="M225" i="5" s="1"/>
  <c r="N225" i="5" s="1"/>
  <c r="L225" i="4"/>
  <c r="H225" i="4"/>
  <c r="G225" i="4"/>
  <c r="F225" i="4"/>
  <c r="E225" i="4"/>
  <c r="A225" i="4"/>
  <c r="P224" i="4"/>
  <c r="O224" i="4"/>
  <c r="N224" i="4"/>
  <c r="M224" i="4"/>
  <c r="M224" i="5" s="1"/>
  <c r="N224" i="5" s="1"/>
  <c r="L224" i="4"/>
  <c r="H224" i="4"/>
  <c r="G224" i="4"/>
  <c r="F224" i="4"/>
  <c r="E224" i="4"/>
  <c r="A224" i="4"/>
  <c r="P223" i="4"/>
  <c r="O223" i="4"/>
  <c r="N223" i="4"/>
  <c r="M223" i="4"/>
  <c r="M223" i="5" s="1"/>
  <c r="N223" i="5" s="1"/>
  <c r="L223" i="4"/>
  <c r="H223" i="4"/>
  <c r="G223" i="4"/>
  <c r="F223" i="4"/>
  <c r="E223" i="4"/>
  <c r="A223" i="4"/>
  <c r="P222" i="4"/>
  <c r="O222" i="4"/>
  <c r="N222" i="4"/>
  <c r="M222" i="4"/>
  <c r="M222" i="5" s="1"/>
  <c r="N222" i="5" s="1"/>
  <c r="L222" i="4"/>
  <c r="H222" i="4"/>
  <c r="G222" i="4"/>
  <c r="F222" i="4"/>
  <c r="E222" i="4"/>
  <c r="A222" i="4"/>
  <c r="P221" i="4"/>
  <c r="O221" i="4"/>
  <c r="N221" i="4"/>
  <c r="M221" i="4"/>
  <c r="M221" i="5" s="1"/>
  <c r="N221" i="5" s="1"/>
  <c r="L221" i="4"/>
  <c r="H221" i="4"/>
  <c r="G221" i="4"/>
  <c r="F221" i="4"/>
  <c r="E221" i="4"/>
  <c r="A221" i="4"/>
  <c r="P220" i="4"/>
  <c r="O220" i="4"/>
  <c r="N220" i="4"/>
  <c r="M220" i="4"/>
  <c r="M220" i="5" s="1"/>
  <c r="N220" i="5" s="1"/>
  <c r="L220" i="4"/>
  <c r="H220" i="4"/>
  <c r="G220" i="4"/>
  <c r="F220" i="4"/>
  <c r="E220" i="4"/>
  <c r="A220" i="4"/>
  <c r="P219" i="4"/>
  <c r="O219" i="4"/>
  <c r="N219" i="4"/>
  <c r="M219" i="4"/>
  <c r="M219" i="5" s="1"/>
  <c r="N219" i="5" s="1"/>
  <c r="L219" i="4"/>
  <c r="H219" i="4"/>
  <c r="G219" i="4"/>
  <c r="F219" i="4"/>
  <c r="E219" i="4"/>
  <c r="A219" i="4"/>
  <c r="P218" i="4"/>
  <c r="O218" i="4"/>
  <c r="N218" i="4"/>
  <c r="M218" i="4"/>
  <c r="M218" i="5" s="1"/>
  <c r="N218" i="5" s="1"/>
  <c r="L218" i="4"/>
  <c r="H218" i="4"/>
  <c r="G218" i="4"/>
  <c r="F218" i="4"/>
  <c r="E218" i="4"/>
  <c r="A218" i="4"/>
  <c r="P217" i="4"/>
  <c r="O217" i="4"/>
  <c r="N217" i="4"/>
  <c r="M217" i="4"/>
  <c r="M217" i="5" s="1"/>
  <c r="N217" i="5" s="1"/>
  <c r="L217" i="4"/>
  <c r="H217" i="4"/>
  <c r="G217" i="4"/>
  <c r="F217" i="4"/>
  <c r="E217" i="4"/>
  <c r="A217" i="4"/>
  <c r="P216" i="4"/>
  <c r="O216" i="4"/>
  <c r="N216" i="4"/>
  <c r="M216" i="4"/>
  <c r="M216" i="5" s="1"/>
  <c r="N216" i="5" s="1"/>
  <c r="L216" i="4"/>
  <c r="H216" i="4"/>
  <c r="G216" i="4"/>
  <c r="F216" i="4"/>
  <c r="E216" i="4"/>
  <c r="A216" i="4"/>
  <c r="P215" i="4"/>
  <c r="O215" i="4"/>
  <c r="N215" i="4"/>
  <c r="M215" i="4"/>
  <c r="M215" i="5" s="1"/>
  <c r="N215" i="5" s="1"/>
  <c r="L215" i="4"/>
  <c r="H215" i="4"/>
  <c r="G215" i="4"/>
  <c r="F215" i="4"/>
  <c r="E215" i="4"/>
  <c r="A215" i="4"/>
  <c r="P214" i="4"/>
  <c r="O214" i="4"/>
  <c r="N214" i="4"/>
  <c r="M214" i="4"/>
  <c r="M214" i="5" s="1"/>
  <c r="N214" i="5" s="1"/>
  <c r="L214" i="4"/>
  <c r="H214" i="4"/>
  <c r="G214" i="4"/>
  <c r="F214" i="4"/>
  <c r="E214" i="4"/>
  <c r="A214" i="4"/>
  <c r="P213" i="4"/>
  <c r="O213" i="4"/>
  <c r="N213" i="4"/>
  <c r="M213" i="4"/>
  <c r="M213" i="5" s="1"/>
  <c r="N213" i="5" s="1"/>
  <c r="L213" i="4"/>
  <c r="H213" i="4"/>
  <c r="G213" i="4"/>
  <c r="F213" i="4"/>
  <c r="E213" i="4"/>
  <c r="A213" i="4"/>
  <c r="P212" i="4"/>
  <c r="O212" i="4"/>
  <c r="N212" i="4"/>
  <c r="M212" i="4"/>
  <c r="M212" i="5" s="1"/>
  <c r="N212" i="5" s="1"/>
  <c r="L212" i="4"/>
  <c r="H212" i="4"/>
  <c r="G212" i="4"/>
  <c r="F212" i="4"/>
  <c r="E212" i="4"/>
  <c r="A212" i="4"/>
  <c r="P211" i="4"/>
  <c r="O211" i="4"/>
  <c r="N211" i="4"/>
  <c r="M211" i="4"/>
  <c r="M211" i="5" s="1"/>
  <c r="N211" i="5" s="1"/>
  <c r="L211" i="4"/>
  <c r="H211" i="4"/>
  <c r="G211" i="4"/>
  <c r="F211" i="4"/>
  <c r="E211" i="4"/>
  <c r="A211" i="4"/>
  <c r="P210" i="4"/>
  <c r="O210" i="4"/>
  <c r="N210" i="4"/>
  <c r="M210" i="4"/>
  <c r="M210" i="5" s="1"/>
  <c r="N210" i="5" s="1"/>
  <c r="L210" i="4"/>
  <c r="H210" i="4"/>
  <c r="G210" i="4"/>
  <c r="F210" i="4"/>
  <c r="E210" i="4"/>
  <c r="A210" i="4"/>
  <c r="P209" i="4"/>
  <c r="O209" i="4"/>
  <c r="N209" i="4"/>
  <c r="M209" i="4"/>
  <c r="M209" i="5" s="1"/>
  <c r="N209" i="5" s="1"/>
  <c r="L209" i="4"/>
  <c r="H209" i="4"/>
  <c r="G209" i="4"/>
  <c r="F209" i="4"/>
  <c r="E209" i="4"/>
  <c r="A209" i="4"/>
  <c r="P208" i="4"/>
  <c r="O208" i="4"/>
  <c r="N208" i="4"/>
  <c r="M208" i="4"/>
  <c r="M208" i="5" s="1"/>
  <c r="N208" i="5" s="1"/>
  <c r="L208" i="4"/>
  <c r="H208" i="4"/>
  <c r="G208" i="4"/>
  <c r="F208" i="4"/>
  <c r="E208" i="4"/>
  <c r="A208" i="4"/>
  <c r="P207" i="4"/>
  <c r="O207" i="4"/>
  <c r="N207" i="4"/>
  <c r="M207" i="4"/>
  <c r="M207" i="5" s="1"/>
  <c r="N207" i="5" s="1"/>
  <c r="L207" i="4"/>
  <c r="H207" i="4"/>
  <c r="G207" i="4"/>
  <c r="F207" i="4"/>
  <c r="E207" i="4"/>
  <c r="A207" i="4"/>
  <c r="P206" i="4"/>
  <c r="O206" i="4"/>
  <c r="N206" i="4"/>
  <c r="M206" i="4"/>
  <c r="M206" i="5" s="1"/>
  <c r="N206" i="5" s="1"/>
  <c r="L206" i="4"/>
  <c r="H206" i="4"/>
  <c r="G206" i="4"/>
  <c r="F206" i="4"/>
  <c r="E206" i="4"/>
  <c r="A206" i="4"/>
  <c r="P205" i="4"/>
  <c r="O205" i="4"/>
  <c r="N205" i="4"/>
  <c r="M205" i="4"/>
  <c r="M205" i="5" s="1"/>
  <c r="N205" i="5" s="1"/>
  <c r="L205" i="4"/>
  <c r="H205" i="4"/>
  <c r="G205" i="4"/>
  <c r="F205" i="4"/>
  <c r="E205" i="4"/>
  <c r="A205" i="4"/>
  <c r="P204" i="4"/>
  <c r="O204" i="4"/>
  <c r="N204" i="4"/>
  <c r="M204" i="4"/>
  <c r="M204" i="5" s="1"/>
  <c r="N204" i="5" s="1"/>
  <c r="L204" i="4"/>
  <c r="H204" i="4"/>
  <c r="G204" i="4"/>
  <c r="F204" i="4"/>
  <c r="E204" i="4"/>
  <c r="A204" i="4"/>
  <c r="P203" i="4"/>
  <c r="O203" i="4"/>
  <c r="N203" i="4"/>
  <c r="M203" i="4"/>
  <c r="M203" i="5" s="1"/>
  <c r="N203" i="5" s="1"/>
  <c r="L203" i="4"/>
  <c r="H203" i="4"/>
  <c r="G203" i="4"/>
  <c r="F203" i="4"/>
  <c r="E203" i="4"/>
  <c r="A203" i="4"/>
  <c r="P202" i="4"/>
  <c r="O202" i="4"/>
  <c r="N202" i="4"/>
  <c r="M202" i="4"/>
  <c r="M202" i="5" s="1"/>
  <c r="N202" i="5" s="1"/>
  <c r="L202" i="4"/>
  <c r="H202" i="4"/>
  <c r="G202" i="4"/>
  <c r="F202" i="4"/>
  <c r="E202" i="4"/>
  <c r="A202" i="4"/>
  <c r="P201" i="4"/>
  <c r="O201" i="4"/>
  <c r="N201" i="4"/>
  <c r="M201" i="4"/>
  <c r="M201" i="5" s="1"/>
  <c r="N201" i="5" s="1"/>
  <c r="L201" i="4"/>
  <c r="H201" i="4"/>
  <c r="G201" i="4"/>
  <c r="F201" i="4"/>
  <c r="E201" i="4"/>
  <c r="A201" i="4"/>
  <c r="P200" i="4"/>
  <c r="O200" i="4"/>
  <c r="N200" i="4"/>
  <c r="M200" i="4"/>
  <c r="M200" i="5" s="1"/>
  <c r="N200" i="5" s="1"/>
  <c r="L200" i="4"/>
  <c r="H200" i="4"/>
  <c r="G200" i="4"/>
  <c r="F200" i="4"/>
  <c r="E200" i="4"/>
  <c r="A200" i="4"/>
  <c r="P199" i="4"/>
  <c r="O199" i="4"/>
  <c r="N199" i="4"/>
  <c r="M199" i="4"/>
  <c r="M199" i="5" s="1"/>
  <c r="N199" i="5" s="1"/>
  <c r="L199" i="4"/>
  <c r="H199" i="4"/>
  <c r="G199" i="4"/>
  <c r="F199" i="4"/>
  <c r="E199" i="4"/>
  <c r="A199" i="4"/>
  <c r="P198" i="4"/>
  <c r="O198" i="4"/>
  <c r="N198" i="4"/>
  <c r="M198" i="4"/>
  <c r="M198" i="5" s="1"/>
  <c r="N198" i="5" s="1"/>
  <c r="L198" i="4"/>
  <c r="H198" i="4"/>
  <c r="G198" i="4"/>
  <c r="F198" i="4"/>
  <c r="E198" i="4"/>
  <c r="A198" i="4"/>
  <c r="P197" i="4"/>
  <c r="O197" i="4"/>
  <c r="N197" i="4"/>
  <c r="M197" i="4"/>
  <c r="M197" i="5" s="1"/>
  <c r="N197" i="5" s="1"/>
  <c r="L197" i="4"/>
  <c r="H197" i="4"/>
  <c r="G197" i="4"/>
  <c r="F197" i="4"/>
  <c r="E197" i="4"/>
  <c r="A197" i="4"/>
  <c r="P196" i="4"/>
  <c r="O196" i="4"/>
  <c r="N196" i="4"/>
  <c r="M196" i="4"/>
  <c r="M196" i="5" s="1"/>
  <c r="N196" i="5" s="1"/>
  <c r="L196" i="4"/>
  <c r="H196" i="4"/>
  <c r="G196" i="4"/>
  <c r="F196" i="4"/>
  <c r="E196" i="4"/>
  <c r="A196" i="4"/>
  <c r="P195" i="4"/>
  <c r="O195" i="4"/>
  <c r="N195" i="4"/>
  <c r="M195" i="4"/>
  <c r="M195" i="5" s="1"/>
  <c r="N195" i="5" s="1"/>
  <c r="L195" i="4"/>
  <c r="H195" i="4"/>
  <c r="G195" i="4"/>
  <c r="F195" i="4"/>
  <c r="E195" i="4"/>
  <c r="A195" i="4"/>
  <c r="P194" i="4"/>
  <c r="O194" i="4"/>
  <c r="N194" i="4"/>
  <c r="M194" i="4"/>
  <c r="M194" i="5" s="1"/>
  <c r="N194" i="5" s="1"/>
  <c r="L194" i="4"/>
  <c r="H194" i="4"/>
  <c r="G194" i="4"/>
  <c r="F194" i="4"/>
  <c r="E194" i="4"/>
  <c r="A194" i="4"/>
  <c r="P193" i="4"/>
  <c r="O193" i="4"/>
  <c r="N193" i="4"/>
  <c r="M193" i="4"/>
  <c r="M193" i="5" s="1"/>
  <c r="N193" i="5" s="1"/>
  <c r="L193" i="4"/>
  <c r="H193" i="4"/>
  <c r="G193" i="4"/>
  <c r="F193" i="4"/>
  <c r="E193" i="4"/>
  <c r="A193" i="4"/>
  <c r="P192" i="4"/>
  <c r="O192" i="4"/>
  <c r="N192" i="4"/>
  <c r="M192" i="4"/>
  <c r="M192" i="5" s="1"/>
  <c r="N192" i="5" s="1"/>
  <c r="L192" i="4"/>
  <c r="H192" i="4"/>
  <c r="G192" i="4"/>
  <c r="F192" i="4"/>
  <c r="E192" i="4"/>
  <c r="A192" i="4"/>
  <c r="P191" i="4"/>
  <c r="O191" i="4"/>
  <c r="N191" i="4"/>
  <c r="M191" i="4"/>
  <c r="M191" i="5" s="1"/>
  <c r="N191" i="5" s="1"/>
  <c r="L191" i="4"/>
  <c r="H191" i="4"/>
  <c r="G191" i="4"/>
  <c r="F191" i="4"/>
  <c r="E191" i="4"/>
  <c r="A191" i="4"/>
  <c r="P190" i="4"/>
  <c r="O190" i="4"/>
  <c r="N190" i="4"/>
  <c r="M190" i="4"/>
  <c r="M190" i="5" s="1"/>
  <c r="N190" i="5" s="1"/>
  <c r="L190" i="4"/>
  <c r="H190" i="4"/>
  <c r="G190" i="4"/>
  <c r="F190" i="4"/>
  <c r="E190" i="4"/>
  <c r="A190" i="4"/>
  <c r="P189" i="4"/>
  <c r="O189" i="4"/>
  <c r="N189" i="4"/>
  <c r="M189" i="4"/>
  <c r="M189" i="5" s="1"/>
  <c r="N189" i="5" s="1"/>
  <c r="L189" i="4"/>
  <c r="H189" i="4"/>
  <c r="G189" i="4"/>
  <c r="F189" i="4"/>
  <c r="E189" i="4"/>
  <c r="A189" i="4"/>
  <c r="P188" i="4"/>
  <c r="O188" i="4"/>
  <c r="N188" i="4"/>
  <c r="M188" i="4"/>
  <c r="M188" i="5" s="1"/>
  <c r="N188" i="5" s="1"/>
  <c r="L188" i="4"/>
  <c r="H188" i="4"/>
  <c r="G188" i="4"/>
  <c r="F188" i="4"/>
  <c r="E188" i="4"/>
  <c r="A188" i="4"/>
  <c r="P187" i="4"/>
  <c r="O187" i="4"/>
  <c r="N187" i="4"/>
  <c r="M187" i="4"/>
  <c r="M187" i="5" s="1"/>
  <c r="N187" i="5" s="1"/>
  <c r="L187" i="4"/>
  <c r="H187" i="4"/>
  <c r="G187" i="4"/>
  <c r="F187" i="4"/>
  <c r="E187" i="4"/>
  <c r="A187" i="4"/>
  <c r="P186" i="4"/>
  <c r="O186" i="4"/>
  <c r="N186" i="4"/>
  <c r="M186" i="4"/>
  <c r="M186" i="5" s="1"/>
  <c r="N186" i="5" s="1"/>
  <c r="L186" i="4"/>
  <c r="H186" i="4"/>
  <c r="G186" i="4"/>
  <c r="F186" i="4"/>
  <c r="E186" i="4"/>
  <c r="A186" i="4"/>
  <c r="P185" i="4"/>
  <c r="O185" i="4"/>
  <c r="N185" i="4"/>
  <c r="M185" i="4"/>
  <c r="M185" i="5" s="1"/>
  <c r="N185" i="5" s="1"/>
  <c r="L185" i="4"/>
  <c r="H185" i="4"/>
  <c r="G185" i="4"/>
  <c r="F185" i="4"/>
  <c r="E185" i="4"/>
  <c r="A185" i="4"/>
  <c r="P184" i="4"/>
  <c r="O184" i="4"/>
  <c r="N184" i="4"/>
  <c r="M184" i="4"/>
  <c r="M184" i="5" s="1"/>
  <c r="N184" i="5" s="1"/>
  <c r="L184" i="4"/>
  <c r="H184" i="4"/>
  <c r="G184" i="4"/>
  <c r="F184" i="4"/>
  <c r="E184" i="4"/>
  <c r="A184" i="4"/>
  <c r="P183" i="4"/>
  <c r="O183" i="4"/>
  <c r="N183" i="4"/>
  <c r="M183" i="4"/>
  <c r="M183" i="5" s="1"/>
  <c r="N183" i="5" s="1"/>
  <c r="L183" i="4"/>
  <c r="H183" i="4"/>
  <c r="G183" i="4"/>
  <c r="F183" i="4"/>
  <c r="E183" i="4"/>
  <c r="A183" i="4"/>
  <c r="P182" i="4"/>
  <c r="O182" i="4"/>
  <c r="N182" i="4"/>
  <c r="M182" i="4"/>
  <c r="M182" i="5" s="1"/>
  <c r="N182" i="5" s="1"/>
  <c r="L182" i="4"/>
  <c r="H182" i="4"/>
  <c r="G182" i="4"/>
  <c r="F182" i="4"/>
  <c r="E182" i="4"/>
  <c r="A182" i="4"/>
  <c r="P181" i="4"/>
  <c r="O181" i="4"/>
  <c r="N181" i="4"/>
  <c r="M181" i="4"/>
  <c r="M181" i="5" s="1"/>
  <c r="N181" i="5" s="1"/>
  <c r="L181" i="4"/>
  <c r="H181" i="4"/>
  <c r="G181" i="4"/>
  <c r="F181" i="4"/>
  <c r="E181" i="4"/>
  <c r="A181" i="4"/>
  <c r="P180" i="4"/>
  <c r="O180" i="4"/>
  <c r="N180" i="4"/>
  <c r="M180" i="4"/>
  <c r="M180" i="5" s="1"/>
  <c r="N180" i="5" s="1"/>
  <c r="L180" i="4"/>
  <c r="H180" i="4"/>
  <c r="G180" i="4"/>
  <c r="F180" i="4"/>
  <c r="E180" i="4"/>
  <c r="A180" i="4"/>
  <c r="P179" i="4"/>
  <c r="O179" i="4"/>
  <c r="N179" i="4"/>
  <c r="M179" i="4"/>
  <c r="M179" i="5" s="1"/>
  <c r="N179" i="5" s="1"/>
  <c r="L179" i="4"/>
  <c r="H179" i="4"/>
  <c r="G179" i="4"/>
  <c r="F179" i="4"/>
  <c r="E179" i="4"/>
  <c r="A179" i="4"/>
  <c r="P178" i="4"/>
  <c r="O178" i="4"/>
  <c r="N178" i="4"/>
  <c r="M178" i="4"/>
  <c r="M178" i="5" s="1"/>
  <c r="N178" i="5" s="1"/>
  <c r="L178" i="4"/>
  <c r="H178" i="4"/>
  <c r="G178" i="4"/>
  <c r="F178" i="4"/>
  <c r="E178" i="4"/>
  <c r="A178" i="4"/>
  <c r="P177" i="4"/>
  <c r="O177" i="4"/>
  <c r="N177" i="4"/>
  <c r="M177" i="4"/>
  <c r="M177" i="5" s="1"/>
  <c r="N177" i="5" s="1"/>
  <c r="L177" i="4"/>
  <c r="H177" i="4"/>
  <c r="G177" i="4"/>
  <c r="F177" i="4"/>
  <c r="E177" i="4"/>
  <c r="A177" i="4"/>
  <c r="P176" i="4"/>
  <c r="O176" i="4"/>
  <c r="N176" i="4"/>
  <c r="M176" i="4"/>
  <c r="M176" i="5" s="1"/>
  <c r="N176" i="5" s="1"/>
  <c r="L176" i="4"/>
  <c r="H176" i="4"/>
  <c r="G176" i="4"/>
  <c r="F176" i="4"/>
  <c r="E176" i="4"/>
  <c r="A176" i="4"/>
  <c r="P175" i="4"/>
  <c r="O175" i="4"/>
  <c r="N175" i="4"/>
  <c r="M175" i="4"/>
  <c r="M175" i="5" s="1"/>
  <c r="N175" i="5" s="1"/>
  <c r="L175" i="4"/>
  <c r="H175" i="4"/>
  <c r="G175" i="4"/>
  <c r="F175" i="4"/>
  <c r="E175" i="4"/>
  <c r="A175" i="4"/>
  <c r="P174" i="4"/>
  <c r="O174" i="4"/>
  <c r="N174" i="4"/>
  <c r="M174" i="4"/>
  <c r="M174" i="5" s="1"/>
  <c r="N174" i="5" s="1"/>
  <c r="L174" i="4"/>
  <c r="H174" i="4"/>
  <c r="G174" i="4"/>
  <c r="F174" i="4"/>
  <c r="E174" i="4"/>
  <c r="A174" i="4"/>
  <c r="P173" i="4"/>
  <c r="O173" i="4"/>
  <c r="N173" i="4"/>
  <c r="M173" i="4"/>
  <c r="M173" i="5" s="1"/>
  <c r="N173" i="5" s="1"/>
  <c r="L173" i="4"/>
  <c r="H173" i="4"/>
  <c r="G173" i="4"/>
  <c r="F173" i="4"/>
  <c r="E173" i="4"/>
  <c r="A173" i="4"/>
  <c r="P172" i="4"/>
  <c r="O172" i="4"/>
  <c r="N172" i="4"/>
  <c r="M172" i="4"/>
  <c r="M172" i="5" s="1"/>
  <c r="N172" i="5" s="1"/>
  <c r="L172" i="4"/>
  <c r="H172" i="4"/>
  <c r="G172" i="4"/>
  <c r="F172" i="4"/>
  <c r="E172" i="4"/>
  <c r="A172" i="4"/>
  <c r="P171" i="4"/>
  <c r="O171" i="4"/>
  <c r="N171" i="4"/>
  <c r="M171" i="4"/>
  <c r="M171" i="5" s="1"/>
  <c r="N171" i="5" s="1"/>
  <c r="L171" i="4"/>
  <c r="H171" i="4"/>
  <c r="G171" i="4"/>
  <c r="F171" i="4"/>
  <c r="E171" i="4"/>
  <c r="A171" i="4"/>
  <c r="P170" i="4"/>
  <c r="O170" i="4"/>
  <c r="N170" i="4"/>
  <c r="M170" i="4"/>
  <c r="M170" i="5" s="1"/>
  <c r="N170" i="5" s="1"/>
  <c r="L170" i="4"/>
  <c r="H170" i="4"/>
  <c r="G170" i="4"/>
  <c r="F170" i="4"/>
  <c r="E170" i="4"/>
  <c r="A170" i="4"/>
  <c r="P169" i="4"/>
  <c r="O169" i="4"/>
  <c r="N169" i="4"/>
  <c r="M169" i="4"/>
  <c r="M169" i="5" s="1"/>
  <c r="N169" i="5" s="1"/>
  <c r="L169" i="4"/>
  <c r="H169" i="4"/>
  <c r="G169" i="4"/>
  <c r="F169" i="4"/>
  <c r="E169" i="4"/>
  <c r="A169" i="4"/>
  <c r="P168" i="4"/>
  <c r="O168" i="4"/>
  <c r="N168" i="4"/>
  <c r="M168" i="4"/>
  <c r="M168" i="5" s="1"/>
  <c r="N168" i="5" s="1"/>
  <c r="L168" i="4"/>
  <c r="H168" i="4"/>
  <c r="G168" i="4"/>
  <c r="F168" i="4"/>
  <c r="E168" i="4"/>
  <c r="A168" i="4"/>
  <c r="P167" i="4"/>
  <c r="O167" i="4"/>
  <c r="N167" i="4"/>
  <c r="M167" i="4"/>
  <c r="M167" i="5" s="1"/>
  <c r="N167" i="5" s="1"/>
  <c r="L167" i="4"/>
  <c r="H167" i="4"/>
  <c r="G167" i="4"/>
  <c r="F167" i="4"/>
  <c r="E167" i="4"/>
  <c r="A167" i="4"/>
  <c r="P166" i="4"/>
  <c r="O166" i="4"/>
  <c r="N166" i="4"/>
  <c r="M166" i="4"/>
  <c r="M166" i="5" s="1"/>
  <c r="N166" i="5" s="1"/>
  <c r="L166" i="4"/>
  <c r="H166" i="4"/>
  <c r="G166" i="4"/>
  <c r="F166" i="4"/>
  <c r="E166" i="4"/>
  <c r="A166" i="4"/>
  <c r="P165" i="4"/>
  <c r="O165" i="4"/>
  <c r="N165" i="4"/>
  <c r="M165" i="4"/>
  <c r="M165" i="5" s="1"/>
  <c r="N165" i="5" s="1"/>
  <c r="L165" i="4"/>
  <c r="H165" i="4"/>
  <c r="G165" i="4"/>
  <c r="F165" i="4"/>
  <c r="E165" i="4"/>
  <c r="A165" i="4"/>
  <c r="P164" i="4"/>
  <c r="O164" i="4"/>
  <c r="N164" i="4"/>
  <c r="M164" i="4"/>
  <c r="M164" i="5" s="1"/>
  <c r="N164" i="5" s="1"/>
  <c r="L164" i="4"/>
  <c r="H164" i="4"/>
  <c r="G164" i="4"/>
  <c r="F164" i="4"/>
  <c r="E164" i="4"/>
  <c r="A164" i="4"/>
  <c r="P163" i="4"/>
  <c r="O163" i="4"/>
  <c r="N163" i="4"/>
  <c r="M163" i="4"/>
  <c r="M163" i="5" s="1"/>
  <c r="N163" i="5" s="1"/>
  <c r="L163" i="4"/>
  <c r="H163" i="4"/>
  <c r="G163" i="4"/>
  <c r="F163" i="4"/>
  <c r="E163" i="4"/>
  <c r="A163" i="4"/>
  <c r="P162" i="4"/>
  <c r="O162" i="4"/>
  <c r="N162" i="4"/>
  <c r="M162" i="4"/>
  <c r="M162" i="5" s="1"/>
  <c r="N162" i="5" s="1"/>
  <c r="L162" i="4"/>
  <c r="H162" i="4"/>
  <c r="G162" i="4"/>
  <c r="F162" i="4"/>
  <c r="E162" i="4"/>
  <c r="A162" i="4"/>
  <c r="P161" i="4"/>
  <c r="O161" i="4"/>
  <c r="N161" i="4"/>
  <c r="M161" i="4"/>
  <c r="M161" i="5" s="1"/>
  <c r="N161" i="5" s="1"/>
  <c r="L161" i="4"/>
  <c r="H161" i="4"/>
  <c r="G161" i="4"/>
  <c r="F161" i="4"/>
  <c r="E161" i="4"/>
  <c r="A161" i="4"/>
  <c r="P160" i="4"/>
  <c r="O160" i="4"/>
  <c r="N160" i="4"/>
  <c r="M160" i="4"/>
  <c r="M160" i="5" s="1"/>
  <c r="N160" i="5" s="1"/>
  <c r="L160" i="4"/>
  <c r="H160" i="4"/>
  <c r="G160" i="4"/>
  <c r="F160" i="4"/>
  <c r="E160" i="4"/>
  <c r="A160" i="4"/>
  <c r="P159" i="4"/>
  <c r="O159" i="4"/>
  <c r="N159" i="4"/>
  <c r="M159" i="4"/>
  <c r="M159" i="5" s="1"/>
  <c r="N159" i="5" s="1"/>
  <c r="L159" i="4"/>
  <c r="H159" i="4"/>
  <c r="G159" i="4"/>
  <c r="F159" i="4"/>
  <c r="E159" i="4"/>
  <c r="A159" i="4"/>
  <c r="P158" i="4"/>
  <c r="O158" i="4"/>
  <c r="N158" i="4"/>
  <c r="M158" i="4"/>
  <c r="M158" i="5" s="1"/>
  <c r="N158" i="5" s="1"/>
  <c r="L158" i="4"/>
  <c r="H158" i="4"/>
  <c r="G158" i="4"/>
  <c r="F158" i="4"/>
  <c r="E158" i="4"/>
  <c r="A158" i="4"/>
  <c r="P157" i="4"/>
  <c r="O157" i="4"/>
  <c r="N157" i="4"/>
  <c r="M157" i="4"/>
  <c r="M157" i="5" s="1"/>
  <c r="N157" i="5" s="1"/>
  <c r="L157" i="4"/>
  <c r="H157" i="4"/>
  <c r="G157" i="4"/>
  <c r="F157" i="4"/>
  <c r="E157" i="4"/>
  <c r="A157" i="4"/>
  <c r="P156" i="4"/>
  <c r="O156" i="4"/>
  <c r="N156" i="4"/>
  <c r="M156" i="4"/>
  <c r="M156" i="5" s="1"/>
  <c r="N156" i="5" s="1"/>
  <c r="L156" i="4"/>
  <c r="H156" i="4"/>
  <c r="G156" i="4"/>
  <c r="F156" i="4"/>
  <c r="E156" i="4"/>
  <c r="A156" i="4"/>
  <c r="P155" i="4"/>
  <c r="O155" i="4"/>
  <c r="N155" i="4"/>
  <c r="M155" i="4"/>
  <c r="M155" i="5" s="1"/>
  <c r="N155" i="5" s="1"/>
  <c r="L155" i="4"/>
  <c r="H155" i="4"/>
  <c r="G155" i="4"/>
  <c r="F155" i="4"/>
  <c r="E155" i="4"/>
  <c r="A155" i="4"/>
  <c r="P154" i="4"/>
  <c r="O154" i="4"/>
  <c r="N154" i="4"/>
  <c r="M154" i="4"/>
  <c r="M154" i="5" s="1"/>
  <c r="N154" i="5" s="1"/>
  <c r="L154" i="4"/>
  <c r="H154" i="4"/>
  <c r="G154" i="4"/>
  <c r="F154" i="4"/>
  <c r="E154" i="4"/>
  <c r="A154" i="4"/>
  <c r="P153" i="4"/>
  <c r="O153" i="4"/>
  <c r="N153" i="4"/>
  <c r="M153" i="4"/>
  <c r="M153" i="5" s="1"/>
  <c r="N153" i="5" s="1"/>
  <c r="L153" i="4"/>
  <c r="H153" i="4"/>
  <c r="G153" i="4"/>
  <c r="F153" i="4"/>
  <c r="E153" i="4"/>
  <c r="A153" i="4"/>
  <c r="P152" i="4"/>
  <c r="O152" i="4"/>
  <c r="N152" i="4"/>
  <c r="M152" i="4"/>
  <c r="M152" i="5" s="1"/>
  <c r="N152" i="5" s="1"/>
  <c r="L152" i="4"/>
  <c r="H152" i="4"/>
  <c r="G152" i="4"/>
  <c r="F152" i="4"/>
  <c r="E152" i="4"/>
  <c r="A152" i="4"/>
  <c r="P151" i="4"/>
  <c r="O151" i="4"/>
  <c r="N151" i="4"/>
  <c r="M151" i="4"/>
  <c r="M151" i="5" s="1"/>
  <c r="N151" i="5" s="1"/>
  <c r="L151" i="4"/>
  <c r="H151" i="4"/>
  <c r="G151" i="4"/>
  <c r="F151" i="4"/>
  <c r="E151" i="4"/>
  <c r="A151" i="4"/>
  <c r="P150" i="4"/>
  <c r="O150" i="4"/>
  <c r="N150" i="4"/>
  <c r="M150" i="4"/>
  <c r="M150" i="5" s="1"/>
  <c r="N150" i="5" s="1"/>
  <c r="L150" i="4"/>
  <c r="H150" i="4"/>
  <c r="G150" i="4"/>
  <c r="F150" i="4"/>
  <c r="E150" i="4"/>
  <c r="A150" i="4"/>
  <c r="P149" i="4"/>
  <c r="O149" i="4"/>
  <c r="N149" i="4"/>
  <c r="M149" i="4"/>
  <c r="M149" i="5" s="1"/>
  <c r="N149" i="5" s="1"/>
  <c r="L149" i="4"/>
  <c r="H149" i="4"/>
  <c r="G149" i="4"/>
  <c r="F149" i="4"/>
  <c r="E149" i="4"/>
  <c r="A149" i="4"/>
  <c r="P148" i="4"/>
  <c r="O148" i="4"/>
  <c r="N148" i="4"/>
  <c r="M148" i="4"/>
  <c r="M148" i="5" s="1"/>
  <c r="N148" i="5" s="1"/>
  <c r="L148" i="4"/>
  <c r="H148" i="4"/>
  <c r="G148" i="4"/>
  <c r="F148" i="4"/>
  <c r="E148" i="4"/>
  <c r="A148" i="4"/>
  <c r="P147" i="4"/>
  <c r="O147" i="4"/>
  <c r="N147" i="4"/>
  <c r="M147" i="4"/>
  <c r="M147" i="5" s="1"/>
  <c r="N147" i="5" s="1"/>
  <c r="L147" i="4"/>
  <c r="H147" i="4"/>
  <c r="G147" i="4"/>
  <c r="F147" i="4"/>
  <c r="E147" i="4"/>
  <c r="A147" i="4"/>
  <c r="P146" i="4"/>
  <c r="O146" i="4"/>
  <c r="N146" i="4"/>
  <c r="M146" i="4"/>
  <c r="M146" i="5" s="1"/>
  <c r="N146" i="5" s="1"/>
  <c r="L146" i="4"/>
  <c r="H146" i="4"/>
  <c r="G146" i="4"/>
  <c r="F146" i="4"/>
  <c r="E146" i="4"/>
  <c r="A146" i="4"/>
  <c r="P145" i="4"/>
  <c r="O145" i="4"/>
  <c r="N145" i="4"/>
  <c r="M145" i="4"/>
  <c r="M145" i="5" s="1"/>
  <c r="N145" i="5" s="1"/>
  <c r="L145" i="4"/>
  <c r="H145" i="4"/>
  <c r="G145" i="4"/>
  <c r="F145" i="4"/>
  <c r="E145" i="4"/>
  <c r="A145" i="4"/>
  <c r="P144" i="4"/>
  <c r="O144" i="4"/>
  <c r="N144" i="4"/>
  <c r="M144" i="4"/>
  <c r="M144" i="5" s="1"/>
  <c r="N144" i="5" s="1"/>
  <c r="L144" i="4"/>
  <c r="H144" i="4"/>
  <c r="G144" i="4"/>
  <c r="F144" i="4"/>
  <c r="E144" i="4"/>
  <c r="A144" i="4"/>
  <c r="P143" i="4"/>
  <c r="O143" i="4"/>
  <c r="N143" i="4"/>
  <c r="M143" i="4"/>
  <c r="M143" i="5" s="1"/>
  <c r="N143" i="5" s="1"/>
  <c r="L143" i="4"/>
  <c r="H143" i="4"/>
  <c r="G143" i="4"/>
  <c r="F143" i="4"/>
  <c r="E143" i="4"/>
  <c r="A143" i="4"/>
  <c r="P142" i="4"/>
  <c r="O142" i="4"/>
  <c r="N142" i="4"/>
  <c r="M142" i="4"/>
  <c r="M142" i="5" s="1"/>
  <c r="N142" i="5" s="1"/>
  <c r="L142" i="4"/>
  <c r="H142" i="4"/>
  <c r="G142" i="4"/>
  <c r="F142" i="4"/>
  <c r="E142" i="4"/>
  <c r="A142" i="4"/>
  <c r="P141" i="4"/>
  <c r="O141" i="4"/>
  <c r="N141" i="4"/>
  <c r="M141" i="4"/>
  <c r="M141" i="5" s="1"/>
  <c r="N141" i="5" s="1"/>
  <c r="L141" i="4"/>
  <c r="H141" i="4"/>
  <c r="G141" i="4"/>
  <c r="F141" i="4"/>
  <c r="E141" i="4"/>
  <c r="A141" i="4"/>
  <c r="P140" i="4"/>
  <c r="O140" i="4"/>
  <c r="N140" i="4"/>
  <c r="M140" i="4"/>
  <c r="M140" i="5" s="1"/>
  <c r="N140" i="5" s="1"/>
  <c r="L140" i="4"/>
  <c r="H140" i="4"/>
  <c r="G140" i="4"/>
  <c r="F140" i="4"/>
  <c r="E140" i="4"/>
  <c r="A140" i="4"/>
  <c r="P139" i="4"/>
  <c r="O139" i="4"/>
  <c r="N139" i="4"/>
  <c r="M139" i="4"/>
  <c r="M139" i="5" s="1"/>
  <c r="N139" i="5" s="1"/>
  <c r="L139" i="4"/>
  <c r="H139" i="4"/>
  <c r="G139" i="4"/>
  <c r="F139" i="4"/>
  <c r="E139" i="4"/>
  <c r="A139" i="4"/>
  <c r="P138" i="4"/>
  <c r="O138" i="4"/>
  <c r="N138" i="4"/>
  <c r="M138" i="4"/>
  <c r="M138" i="5" s="1"/>
  <c r="N138" i="5" s="1"/>
  <c r="L138" i="4"/>
  <c r="H138" i="4"/>
  <c r="G138" i="4"/>
  <c r="F138" i="4"/>
  <c r="E138" i="4"/>
  <c r="A138" i="4"/>
  <c r="P137" i="4"/>
  <c r="O137" i="4"/>
  <c r="N137" i="4"/>
  <c r="M137" i="4"/>
  <c r="M137" i="5" s="1"/>
  <c r="N137" i="5" s="1"/>
  <c r="L137" i="4"/>
  <c r="H137" i="4"/>
  <c r="G137" i="4"/>
  <c r="F137" i="4"/>
  <c r="E137" i="4"/>
  <c r="A137" i="4"/>
  <c r="P136" i="4"/>
  <c r="O136" i="4"/>
  <c r="N136" i="4"/>
  <c r="M136" i="4"/>
  <c r="M136" i="5" s="1"/>
  <c r="N136" i="5" s="1"/>
  <c r="L136" i="4"/>
  <c r="H136" i="4"/>
  <c r="G136" i="4"/>
  <c r="F136" i="4"/>
  <c r="E136" i="4"/>
  <c r="A136" i="4"/>
  <c r="P135" i="4"/>
  <c r="O135" i="4"/>
  <c r="N135" i="4"/>
  <c r="M135" i="4"/>
  <c r="M135" i="5" s="1"/>
  <c r="N135" i="5" s="1"/>
  <c r="L135" i="4"/>
  <c r="H135" i="4"/>
  <c r="G135" i="4"/>
  <c r="F135" i="4"/>
  <c r="E135" i="4"/>
  <c r="A135" i="4"/>
  <c r="P134" i="4"/>
  <c r="O134" i="4"/>
  <c r="N134" i="4"/>
  <c r="M134" i="4"/>
  <c r="M134" i="5" s="1"/>
  <c r="N134" i="5" s="1"/>
  <c r="L134" i="4"/>
  <c r="H134" i="4"/>
  <c r="G134" i="4"/>
  <c r="F134" i="4"/>
  <c r="E134" i="4"/>
  <c r="A134" i="4"/>
  <c r="P133" i="4"/>
  <c r="O133" i="4"/>
  <c r="N133" i="4"/>
  <c r="M133" i="4"/>
  <c r="M133" i="5" s="1"/>
  <c r="N133" i="5" s="1"/>
  <c r="L133" i="4"/>
  <c r="H133" i="4"/>
  <c r="G133" i="4"/>
  <c r="F133" i="4"/>
  <c r="E133" i="4"/>
  <c r="A133" i="4"/>
  <c r="P132" i="4"/>
  <c r="O132" i="4"/>
  <c r="N132" i="4"/>
  <c r="M132" i="4"/>
  <c r="M132" i="5" s="1"/>
  <c r="N132" i="5" s="1"/>
  <c r="L132" i="4"/>
  <c r="H132" i="4"/>
  <c r="G132" i="4"/>
  <c r="F132" i="4"/>
  <c r="E132" i="4"/>
  <c r="A132" i="4"/>
  <c r="P131" i="4"/>
  <c r="O131" i="4"/>
  <c r="N131" i="4"/>
  <c r="M131" i="4"/>
  <c r="M131" i="5" s="1"/>
  <c r="N131" i="5" s="1"/>
  <c r="L131" i="4"/>
  <c r="H131" i="4"/>
  <c r="G131" i="4"/>
  <c r="F131" i="4"/>
  <c r="E131" i="4"/>
  <c r="A131" i="4"/>
  <c r="P130" i="4"/>
  <c r="O130" i="4"/>
  <c r="N130" i="4"/>
  <c r="M130" i="4"/>
  <c r="M130" i="5" s="1"/>
  <c r="N130" i="5" s="1"/>
  <c r="L130" i="4"/>
  <c r="H130" i="4"/>
  <c r="G130" i="4"/>
  <c r="F130" i="4"/>
  <c r="E130" i="4"/>
  <c r="A130" i="4"/>
  <c r="P129" i="4"/>
  <c r="O129" i="4"/>
  <c r="N129" i="4"/>
  <c r="M129" i="4"/>
  <c r="M129" i="5" s="1"/>
  <c r="N129" i="5" s="1"/>
  <c r="L129" i="4"/>
  <c r="H129" i="4"/>
  <c r="G129" i="4"/>
  <c r="F129" i="4"/>
  <c r="E129" i="4"/>
  <c r="A129" i="4"/>
  <c r="P128" i="4"/>
  <c r="O128" i="4"/>
  <c r="N128" i="4"/>
  <c r="M128" i="4"/>
  <c r="M128" i="5" s="1"/>
  <c r="N128" i="5" s="1"/>
  <c r="L128" i="4"/>
  <c r="H128" i="4"/>
  <c r="G128" i="4"/>
  <c r="F128" i="4"/>
  <c r="E128" i="4"/>
  <c r="A128" i="4"/>
  <c r="P127" i="4"/>
  <c r="O127" i="4"/>
  <c r="N127" i="4"/>
  <c r="M127" i="4"/>
  <c r="M127" i="5" s="1"/>
  <c r="N127" i="5" s="1"/>
  <c r="L127" i="4"/>
  <c r="H127" i="4"/>
  <c r="G127" i="4"/>
  <c r="F127" i="4"/>
  <c r="E127" i="4"/>
  <c r="A127" i="4"/>
  <c r="P126" i="4"/>
  <c r="O126" i="4"/>
  <c r="N126" i="4"/>
  <c r="M126" i="4"/>
  <c r="M126" i="5" s="1"/>
  <c r="N126" i="5" s="1"/>
  <c r="L126" i="4"/>
  <c r="H126" i="4"/>
  <c r="G126" i="4"/>
  <c r="F126" i="4"/>
  <c r="E126" i="4"/>
  <c r="A126" i="4"/>
  <c r="P125" i="4"/>
  <c r="O125" i="4"/>
  <c r="N125" i="4"/>
  <c r="M125" i="4"/>
  <c r="M125" i="5" s="1"/>
  <c r="N125" i="5" s="1"/>
  <c r="L125" i="4"/>
  <c r="H125" i="4"/>
  <c r="G125" i="4"/>
  <c r="F125" i="4"/>
  <c r="E125" i="4"/>
  <c r="A125" i="4"/>
  <c r="P124" i="4"/>
  <c r="O124" i="4"/>
  <c r="N124" i="4"/>
  <c r="M124" i="4"/>
  <c r="M124" i="5" s="1"/>
  <c r="N124" i="5" s="1"/>
  <c r="L124" i="4"/>
  <c r="H124" i="4"/>
  <c r="G124" i="4"/>
  <c r="F124" i="4"/>
  <c r="E124" i="4"/>
  <c r="A124" i="4"/>
  <c r="P123" i="4"/>
  <c r="O123" i="4"/>
  <c r="N123" i="4"/>
  <c r="M123" i="4"/>
  <c r="M123" i="5" s="1"/>
  <c r="N123" i="5" s="1"/>
  <c r="L123" i="4"/>
  <c r="H123" i="4"/>
  <c r="G123" i="4"/>
  <c r="F123" i="4"/>
  <c r="E123" i="4"/>
  <c r="A123" i="4"/>
  <c r="P122" i="4"/>
  <c r="O122" i="4"/>
  <c r="N122" i="4"/>
  <c r="M122" i="4"/>
  <c r="M122" i="5" s="1"/>
  <c r="N122" i="5" s="1"/>
  <c r="L122" i="4"/>
  <c r="H122" i="4"/>
  <c r="G122" i="4"/>
  <c r="F122" i="4"/>
  <c r="E122" i="4"/>
  <c r="A122" i="4"/>
  <c r="P121" i="4"/>
  <c r="O121" i="4"/>
  <c r="N121" i="4"/>
  <c r="M121" i="4"/>
  <c r="M121" i="5" s="1"/>
  <c r="N121" i="5" s="1"/>
  <c r="L121" i="4"/>
  <c r="H121" i="4"/>
  <c r="G121" i="4"/>
  <c r="F121" i="4"/>
  <c r="E121" i="4"/>
  <c r="A121" i="4"/>
  <c r="P120" i="4"/>
  <c r="O120" i="4"/>
  <c r="N120" i="4"/>
  <c r="M120" i="4"/>
  <c r="M120" i="5" s="1"/>
  <c r="N120" i="5" s="1"/>
  <c r="L120" i="4"/>
  <c r="H120" i="4"/>
  <c r="G120" i="4"/>
  <c r="F120" i="4"/>
  <c r="E120" i="4"/>
  <c r="A120" i="4"/>
  <c r="P119" i="4"/>
  <c r="O119" i="4"/>
  <c r="N119" i="4"/>
  <c r="M119" i="4"/>
  <c r="M119" i="5" s="1"/>
  <c r="N119" i="5" s="1"/>
  <c r="L119" i="4"/>
  <c r="H119" i="4"/>
  <c r="G119" i="4"/>
  <c r="F119" i="4"/>
  <c r="E119" i="4"/>
  <c r="A119" i="4"/>
  <c r="P118" i="4"/>
  <c r="O118" i="4"/>
  <c r="N118" i="4"/>
  <c r="M118" i="4"/>
  <c r="M118" i="5" s="1"/>
  <c r="N118" i="5" s="1"/>
  <c r="L118" i="4"/>
  <c r="H118" i="4"/>
  <c r="G118" i="4"/>
  <c r="F118" i="4"/>
  <c r="E118" i="4"/>
  <c r="A118" i="4"/>
  <c r="P117" i="4"/>
  <c r="O117" i="4"/>
  <c r="N117" i="4"/>
  <c r="M117" i="4"/>
  <c r="M117" i="5" s="1"/>
  <c r="N117" i="5" s="1"/>
  <c r="L117" i="4"/>
  <c r="H117" i="4"/>
  <c r="G117" i="4"/>
  <c r="F117" i="4"/>
  <c r="E117" i="4"/>
  <c r="A117" i="4"/>
  <c r="P116" i="4"/>
  <c r="O116" i="4"/>
  <c r="N116" i="4"/>
  <c r="M116" i="4"/>
  <c r="M116" i="5" s="1"/>
  <c r="N116" i="5" s="1"/>
  <c r="L116" i="4"/>
  <c r="H116" i="4"/>
  <c r="G116" i="4"/>
  <c r="F116" i="4"/>
  <c r="E116" i="4"/>
  <c r="A116" i="4"/>
  <c r="P115" i="4"/>
  <c r="O115" i="4"/>
  <c r="N115" i="4"/>
  <c r="M115" i="4"/>
  <c r="M115" i="5" s="1"/>
  <c r="N115" i="5" s="1"/>
  <c r="L115" i="4"/>
  <c r="H115" i="4"/>
  <c r="G115" i="4"/>
  <c r="F115" i="4"/>
  <c r="E115" i="4"/>
  <c r="A115" i="4"/>
  <c r="P114" i="4"/>
  <c r="O114" i="4"/>
  <c r="N114" i="4"/>
  <c r="M114" i="4"/>
  <c r="M114" i="5" s="1"/>
  <c r="N114" i="5" s="1"/>
  <c r="L114" i="4"/>
  <c r="H114" i="4"/>
  <c r="G114" i="4"/>
  <c r="F114" i="4"/>
  <c r="E114" i="4"/>
  <c r="A114" i="4"/>
  <c r="P113" i="4"/>
  <c r="O113" i="4"/>
  <c r="N113" i="4"/>
  <c r="M113" i="4"/>
  <c r="M113" i="5" s="1"/>
  <c r="N113" i="5" s="1"/>
  <c r="L113" i="4"/>
  <c r="H113" i="4"/>
  <c r="G113" i="4"/>
  <c r="F113" i="4"/>
  <c r="E113" i="4"/>
  <c r="A113" i="4"/>
  <c r="P112" i="4"/>
  <c r="O112" i="4"/>
  <c r="N112" i="4"/>
  <c r="M112" i="4"/>
  <c r="M112" i="5" s="1"/>
  <c r="N112" i="5" s="1"/>
  <c r="L112" i="4"/>
  <c r="H112" i="4"/>
  <c r="G112" i="4"/>
  <c r="F112" i="4"/>
  <c r="E112" i="4"/>
  <c r="A112" i="4"/>
  <c r="P111" i="4"/>
  <c r="O111" i="4"/>
  <c r="N111" i="4"/>
  <c r="M111" i="4"/>
  <c r="M111" i="5" s="1"/>
  <c r="N111" i="5" s="1"/>
  <c r="L111" i="4"/>
  <c r="H111" i="4"/>
  <c r="G111" i="4"/>
  <c r="F111" i="4"/>
  <c r="E111" i="4"/>
  <c r="A111" i="4"/>
  <c r="P110" i="4"/>
  <c r="O110" i="4"/>
  <c r="N110" i="4"/>
  <c r="M110" i="4"/>
  <c r="M110" i="5" s="1"/>
  <c r="N110" i="5" s="1"/>
  <c r="L110" i="4"/>
  <c r="H110" i="4"/>
  <c r="G110" i="4"/>
  <c r="F110" i="4"/>
  <c r="E110" i="4"/>
  <c r="A110" i="4"/>
  <c r="P109" i="4"/>
  <c r="O109" i="4"/>
  <c r="N109" i="4"/>
  <c r="M109" i="4"/>
  <c r="M109" i="5" s="1"/>
  <c r="N109" i="5" s="1"/>
  <c r="L109" i="4"/>
  <c r="H109" i="4"/>
  <c r="G109" i="4"/>
  <c r="F109" i="4"/>
  <c r="E109" i="4"/>
  <c r="A109" i="4"/>
  <c r="P108" i="4"/>
  <c r="O108" i="4"/>
  <c r="N108" i="4"/>
  <c r="M108" i="4"/>
  <c r="M108" i="5" s="1"/>
  <c r="N108" i="5" s="1"/>
  <c r="L108" i="4"/>
  <c r="H108" i="4"/>
  <c r="G108" i="4"/>
  <c r="F108" i="4"/>
  <c r="E108" i="4"/>
  <c r="A108" i="4"/>
  <c r="P107" i="4"/>
  <c r="O107" i="4"/>
  <c r="N107" i="4"/>
  <c r="M107" i="4"/>
  <c r="M107" i="5" s="1"/>
  <c r="N107" i="5" s="1"/>
  <c r="L107" i="4"/>
  <c r="H107" i="4"/>
  <c r="G107" i="4"/>
  <c r="F107" i="4"/>
  <c r="E107" i="4"/>
  <c r="A107" i="4"/>
  <c r="P106" i="4"/>
  <c r="O106" i="4"/>
  <c r="N106" i="4"/>
  <c r="M106" i="4"/>
  <c r="M106" i="5" s="1"/>
  <c r="N106" i="5" s="1"/>
  <c r="L106" i="4"/>
  <c r="H106" i="4"/>
  <c r="G106" i="4"/>
  <c r="F106" i="4"/>
  <c r="E106" i="4"/>
  <c r="A106" i="4"/>
  <c r="P105" i="4"/>
  <c r="O105" i="4"/>
  <c r="N105" i="4"/>
  <c r="M105" i="4"/>
  <c r="M105" i="5" s="1"/>
  <c r="N105" i="5" s="1"/>
  <c r="L105" i="4"/>
  <c r="H105" i="4"/>
  <c r="G105" i="4"/>
  <c r="F105" i="4"/>
  <c r="E105" i="4"/>
  <c r="A105" i="4"/>
  <c r="P104" i="4"/>
  <c r="O104" i="4"/>
  <c r="N104" i="4"/>
  <c r="M104" i="4"/>
  <c r="M104" i="5" s="1"/>
  <c r="N104" i="5" s="1"/>
  <c r="L104" i="4"/>
  <c r="H104" i="4"/>
  <c r="G104" i="4"/>
  <c r="F104" i="4"/>
  <c r="E104" i="4"/>
  <c r="A104" i="4"/>
  <c r="P103" i="4"/>
  <c r="O103" i="4"/>
  <c r="N103" i="4"/>
  <c r="M103" i="4"/>
  <c r="M103" i="5" s="1"/>
  <c r="N103" i="5" s="1"/>
  <c r="L103" i="4"/>
  <c r="H103" i="4"/>
  <c r="G103" i="4"/>
  <c r="F103" i="4"/>
  <c r="E103" i="4"/>
  <c r="A103" i="4"/>
  <c r="P102" i="4"/>
  <c r="O102" i="4"/>
  <c r="N102" i="4"/>
  <c r="M102" i="4"/>
  <c r="M102" i="5" s="1"/>
  <c r="N102" i="5" s="1"/>
  <c r="L102" i="4"/>
  <c r="H102" i="4"/>
  <c r="G102" i="4"/>
  <c r="F102" i="4"/>
  <c r="E102" i="4"/>
  <c r="A102" i="4"/>
  <c r="P101" i="4"/>
  <c r="O101" i="4"/>
  <c r="N101" i="4"/>
  <c r="M101" i="4"/>
  <c r="M101" i="5" s="1"/>
  <c r="N101" i="5" s="1"/>
  <c r="L101" i="4"/>
  <c r="H101" i="4"/>
  <c r="G101" i="4"/>
  <c r="F101" i="4"/>
  <c r="E101" i="4"/>
  <c r="A101" i="4"/>
  <c r="P100" i="4"/>
  <c r="O100" i="4"/>
  <c r="N100" i="4"/>
  <c r="M100" i="4"/>
  <c r="M100" i="5" s="1"/>
  <c r="N100" i="5" s="1"/>
  <c r="L100" i="4"/>
  <c r="H100" i="4"/>
  <c r="G100" i="4"/>
  <c r="F100" i="4"/>
  <c r="E100" i="4"/>
  <c r="A100" i="4"/>
  <c r="P99" i="4"/>
  <c r="O99" i="4"/>
  <c r="N99" i="4"/>
  <c r="M99" i="4"/>
  <c r="M99" i="5" s="1"/>
  <c r="N99" i="5" s="1"/>
  <c r="L99" i="4"/>
  <c r="H99" i="4"/>
  <c r="G99" i="4"/>
  <c r="F99" i="4"/>
  <c r="E99" i="4"/>
  <c r="A99" i="4"/>
  <c r="P98" i="4"/>
  <c r="O98" i="4"/>
  <c r="N98" i="4"/>
  <c r="M98" i="4"/>
  <c r="M98" i="5" s="1"/>
  <c r="N98" i="5" s="1"/>
  <c r="L98" i="4"/>
  <c r="H98" i="4"/>
  <c r="G98" i="4"/>
  <c r="F98" i="4"/>
  <c r="E98" i="4"/>
  <c r="A98" i="4"/>
  <c r="P97" i="4"/>
  <c r="O97" i="4"/>
  <c r="N97" i="4"/>
  <c r="M97" i="4"/>
  <c r="M97" i="5" s="1"/>
  <c r="N97" i="5" s="1"/>
  <c r="L97" i="4"/>
  <c r="H97" i="4"/>
  <c r="G97" i="4"/>
  <c r="F97" i="4"/>
  <c r="E97" i="4"/>
  <c r="A97" i="4"/>
  <c r="P96" i="4"/>
  <c r="O96" i="4"/>
  <c r="N96" i="4"/>
  <c r="M96" i="4"/>
  <c r="M96" i="5" s="1"/>
  <c r="N96" i="5" s="1"/>
  <c r="L96" i="4"/>
  <c r="H96" i="4"/>
  <c r="G96" i="4"/>
  <c r="F96" i="4"/>
  <c r="E96" i="4"/>
  <c r="A96" i="4"/>
  <c r="P95" i="4"/>
  <c r="O95" i="4"/>
  <c r="N95" i="4"/>
  <c r="M95" i="4"/>
  <c r="M95" i="5" s="1"/>
  <c r="N95" i="5" s="1"/>
  <c r="L95" i="4"/>
  <c r="H95" i="4"/>
  <c r="G95" i="4"/>
  <c r="F95" i="4"/>
  <c r="E95" i="4"/>
  <c r="A95" i="4"/>
  <c r="P94" i="4"/>
  <c r="O94" i="4"/>
  <c r="N94" i="4"/>
  <c r="M94" i="4"/>
  <c r="M94" i="5" s="1"/>
  <c r="N94" i="5" s="1"/>
  <c r="L94" i="4"/>
  <c r="H94" i="4"/>
  <c r="G94" i="4"/>
  <c r="F94" i="4"/>
  <c r="E94" i="4"/>
  <c r="A94" i="4"/>
  <c r="P93" i="4"/>
  <c r="O93" i="4"/>
  <c r="N93" i="4"/>
  <c r="M93" i="4"/>
  <c r="M93" i="5" s="1"/>
  <c r="N93" i="5" s="1"/>
  <c r="L93" i="4"/>
  <c r="H93" i="4"/>
  <c r="G93" i="4"/>
  <c r="F93" i="4"/>
  <c r="E93" i="4"/>
  <c r="A93" i="4"/>
  <c r="P92" i="4"/>
  <c r="O92" i="4"/>
  <c r="N92" i="4"/>
  <c r="M92" i="4"/>
  <c r="M92" i="5" s="1"/>
  <c r="N92" i="5" s="1"/>
  <c r="L92" i="4"/>
  <c r="H92" i="4"/>
  <c r="G92" i="4"/>
  <c r="F92" i="4"/>
  <c r="E92" i="4"/>
  <c r="A92" i="4"/>
  <c r="P91" i="4"/>
  <c r="O91" i="4"/>
  <c r="N91" i="4"/>
  <c r="M91" i="4"/>
  <c r="M91" i="5" s="1"/>
  <c r="N91" i="5" s="1"/>
  <c r="L91" i="4"/>
  <c r="H91" i="4"/>
  <c r="G91" i="4"/>
  <c r="F91" i="4"/>
  <c r="E91" i="4"/>
  <c r="A91" i="4"/>
  <c r="P90" i="4"/>
  <c r="O90" i="4"/>
  <c r="N90" i="4"/>
  <c r="M90" i="4"/>
  <c r="M90" i="5" s="1"/>
  <c r="N90" i="5" s="1"/>
  <c r="L90" i="4"/>
  <c r="H90" i="4"/>
  <c r="G90" i="4"/>
  <c r="F90" i="4"/>
  <c r="E90" i="4"/>
  <c r="A90" i="4"/>
  <c r="P89" i="4"/>
  <c r="O89" i="4"/>
  <c r="N89" i="4"/>
  <c r="M89" i="4"/>
  <c r="M89" i="5" s="1"/>
  <c r="N89" i="5" s="1"/>
  <c r="L89" i="4"/>
  <c r="H89" i="4"/>
  <c r="G89" i="4"/>
  <c r="F89" i="4"/>
  <c r="E89" i="4"/>
  <c r="A89" i="4"/>
  <c r="P88" i="4"/>
  <c r="O88" i="4"/>
  <c r="N88" i="4"/>
  <c r="M88" i="4"/>
  <c r="M88" i="5" s="1"/>
  <c r="N88" i="5" s="1"/>
  <c r="L88" i="4"/>
  <c r="H88" i="4"/>
  <c r="G88" i="4"/>
  <c r="F88" i="4"/>
  <c r="E88" i="4"/>
  <c r="A88" i="4"/>
  <c r="P87" i="4"/>
  <c r="O87" i="4"/>
  <c r="N87" i="4"/>
  <c r="M87" i="4"/>
  <c r="M87" i="5" s="1"/>
  <c r="N87" i="5" s="1"/>
  <c r="L87" i="4"/>
  <c r="H87" i="4"/>
  <c r="G87" i="4"/>
  <c r="F87" i="4"/>
  <c r="E87" i="4"/>
  <c r="A87" i="4"/>
  <c r="P86" i="4"/>
  <c r="O86" i="4"/>
  <c r="N86" i="4"/>
  <c r="M86" i="4"/>
  <c r="M86" i="5" s="1"/>
  <c r="N86" i="5" s="1"/>
  <c r="L86" i="4"/>
  <c r="H86" i="4"/>
  <c r="G86" i="4"/>
  <c r="F86" i="4"/>
  <c r="E86" i="4"/>
  <c r="A86" i="4"/>
  <c r="P85" i="4"/>
  <c r="O85" i="4"/>
  <c r="N85" i="4"/>
  <c r="M85" i="4"/>
  <c r="M85" i="5" s="1"/>
  <c r="N85" i="5" s="1"/>
  <c r="L85" i="4"/>
  <c r="H85" i="4"/>
  <c r="G85" i="4"/>
  <c r="F85" i="4"/>
  <c r="E85" i="4"/>
  <c r="A85" i="4"/>
  <c r="P84" i="4"/>
  <c r="O84" i="4"/>
  <c r="N84" i="4"/>
  <c r="M84" i="4"/>
  <c r="M84" i="5" s="1"/>
  <c r="N84" i="5" s="1"/>
  <c r="L84" i="4"/>
  <c r="H84" i="4"/>
  <c r="G84" i="4"/>
  <c r="F84" i="4"/>
  <c r="E84" i="4"/>
  <c r="A84" i="4"/>
  <c r="P83" i="4"/>
  <c r="O83" i="4"/>
  <c r="N83" i="4"/>
  <c r="M83" i="4"/>
  <c r="M83" i="5" s="1"/>
  <c r="N83" i="5" s="1"/>
  <c r="L83" i="4"/>
  <c r="H83" i="4"/>
  <c r="G83" i="4"/>
  <c r="F83" i="4"/>
  <c r="E83" i="4"/>
  <c r="A83" i="4"/>
  <c r="P82" i="4"/>
  <c r="O82" i="4"/>
  <c r="N82" i="4"/>
  <c r="M82" i="4"/>
  <c r="M82" i="5" s="1"/>
  <c r="N82" i="5" s="1"/>
  <c r="L82" i="4"/>
  <c r="H82" i="4"/>
  <c r="G82" i="4"/>
  <c r="F82" i="4"/>
  <c r="E82" i="4"/>
  <c r="A82" i="4"/>
  <c r="P81" i="4"/>
  <c r="O81" i="4"/>
  <c r="N81" i="4"/>
  <c r="M81" i="4"/>
  <c r="M81" i="5" s="1"/>
  <c r="N81" i="5" s="1"/>
  <c r="L81" i="4"/>
  <c r="H81" i="4"/>
  <c r="G81" i="4"/>
  <c r="F81" i="4"/>
  <c r="E81" i="4"/>
  <c r="A81" i="4"/>
  <c r="P80" i="4"/>
  <c r="O80" i="4"/>
  <c r="N80" i="4"/>
  <c r="M80" i="4"/>
  <c r="M80" i="5" s="1"/>
  <c r="N80" i="5" s="1"/>
  <c r="L80" i="4"/>
  <c r="H80" i="4"/>
  <c r="G80" i="4"/>
  <c r="F80" i="4"/>
  <c r="E80" i="4"/>
  <c r="A80" i="4"/>
  <c r="P79" i="4"/>
  <c r="O79" i="4"/>
  <c r="N79" i="4"/>
  <c r="M79" i="4"/>
  <c r="M79" i="5" s="1"/>
  <c r="N79" i="5" s="1"/>
  <c r="L79" i="4"/>
  <c r="H79" i="4"/>
  <c r="G79" i="4"/>
  <c r="F79" i="4"/>
  <c r="E79" i="4"/>
  <c r="A79" i="4"/>
  <c r="P78" i="4"/>
  <c r="O78" i="4"/>
  <c r="N78" i="4"/>
  <c r="M78" i="4"/>
  <c r="M78" i="5" s="1"/>
  <c r="N78" i="5" s="1"/>
  <c r="L78" i="4"/>
  <c r="H78" i="4"/>
  <c r="G78" i="4"/>
  <c r="F78" i="4"/>
  <c r="E78" i="4"/>
  <c r="A78" i="4"/>
  <c r="P77" i="4"/>
  <c r="O77" i="4"/>
  <c r="N77" i="4"/>
  <c r="M77" i="4"/>
  <c r="M77" i="5" s="1"/>
  <c r="N77" i="5" s="1"/>
  <c r="L77" i="4"/>
  <c r="H77" i="4"/>
  <c r="G77" i="4"/>
  <c r="F77" i="4"/>
  <c r="E77" i="4"/>
  <c r="A77" i="4"/>
  <c r="P76" i="4"/>
  <c r="O76" i="4"/>
  <c r="N76" i="4"/>
  <c r="M76" i="4"/>
  <c r="M76" i="5" s="1"/>
  <c r="N76" i="5" s="1"/>
  <c r="L76" i="4"/>
  <c r="H76" i="4"/>
  <c r="G76" i="4"/>
  <c r="F76" i="4"/>
  <c r="E76" i="4"/>
  <c r="A76" i="4"/>
  <c r="P75" i="4"/>
  <c r="O75" i="4"/>
  <c r="N75" i="4"/>
  <c r="M75" i="4"/>
  <c r="M75" i="5" s="1"/>
  <c r="N75" i="5" s="1"/>
  <c r="L75" i="4"/>
  <c r="H75" i="4"/>
  <c r="G75" i="4"/>
  <c r="F75" i="4"/>
  <c r="E75" i="4"/>
  <c r="A75" i="4"/>
  <c r="P74" i="4"/>
  <c r="O74" i="4"/>
  <c r="N74" i="4"/>
  <c r="M74" i="4"/>
  <c r="M74" i="5" s="1"/>
  <c r="N74" i="5" s="1"/>
  <c r="L74" i="4"/>
  <c r="H74" i="4"/>
  <c r="G74" i="4"/>
  <c r="F74" i="4"/>
  <c r="E74" i="4"/>
  <c r="A74" i="4"/>
  <c r="P73" i="4"/>
  <c r="O73" i="4"/>
  <c r="N73" i="4"/>
  <c r="M73" i="4"/>
  <c r="M73" i="5" s="1"/>
  <c r="N73" i="5" s="1"/>
  <c r="L73" i="4"/>
  <c r="H73" i="4"/>
  <c r="G73" i="4"/>
  <c r="F73" i="4"/>
  <c r="E73" i="4"/>
  <c r="A73" i="4"/>
  <c r="P72" i="4"/>
  <c r="O72" i="4"/>
  <c r="N72" i="4"/>
  <c r="M72" i="4"/>
  <c r="M72" i="5" s="1"/>
  <c r="N72" i="5" s="1"/>
  <c r="L72" i="4"/>
  <c r="H72" i="4"/>
  <c r="G72" i="4"/>
  <c r="F72" i="4"/>
  <c r="E72" i="4"/>
  <c r="A72" i="4"/>
  <c r="P71" i="4"/>
  <c r="O71" i="4"/>
  <c r="N71" i="4"/>
  <c r="M71" i="4"/>
  <c r="M71" i="5" s="1"/>
  <c r="N71" i="5" s="1"/>
  <c r="L71" i="4"/>
  <c r="H71" i="4"/>
  <c r="G71" i="4"/>
  <c r="F71" i="4"/>
  <c r="E71" i="4"/>
  <c r="A71" i="4"/>
  <c r="P70" i="4"/>
  <c r="O70" i="4"/>
  <c r="N70" i="4"/>
  <c r="M70" i="4"/>
  <c r="M70" i="5" s="1"/>
  <c r="N70" i="5" s="1"/>
  <c r="L70" i="4"/>
  <c r="H70" i="4"/>
  <c r="G70" i="4"/>
  <c r="F70" i="4"/>
  <c r="E70" i="4"/>
  <c r="A70" i="4"/>
  <c r="P69" i="4"/>
  <c r="O69" i="4"/>
  <c r="N69" i="4"/>
  <c r="M69" i="4"/>
  <c r="M69" i="5" s="1"/>
  <c r="N69" i="5" s="1"/>
  <c r="L69" i="4"/>
  <c r="H69" i="4"/>
  <c r="G69" i="4"/>
  <c r="F69" i="4"/>
  <c r="E69" i="4"/>
  <c r="A69" i="4"/>
  <c r="P68" i="4"/>
  <c r="O68" i="4"/>
  <c r="N68" i="4"/>
  <c r="M68" i="4"/>
  <c r="M68" i="5" s="1"/>
  <c r="N68" i="5" s="1"/>
  <c r="L68" i="4"/>
  <c r="H68" i="4"/>
  <c r="G68" i="4"/>
  <c r="F68" i="4"/>
  <c r="E68" i="4"/>
  <c r="A68" i="4"/>
  <c r="P67" i="4"/>
  <c r="O67" i="4"/>
  <c r="N67" i="4"/>
  <c r="M67" i="4"/>
  <c r="M67" i="5" s="1"/>
  <c r="N67" i="5" s="1"/>
  <c r="L67" i="4"/>
  <c r="H67" i="4"/>
  <c r="G67" i="4"/>
  <c r="F67" i="4"/>
  <c r="E67" i="4"/>
  <c r="A67" i="4"/>
  <c r="P66" i="4"/>
  <c r="O66" i="4"/>
  <c r="N66" i="4"/>
  <c r="M66" i="4"/>
  <c r="M66" i="5" s="1"/>
  <c r="N66" i="5" s="1"/>
  <c r="L66" i="4"/>
  <c r="H66" i="4"/>
  <c r="G66" i="4"/>
  <c r="F66" i="4"/>
  <c r="E66" i="4"/>
  <c r="A66" i="4"/>
  <c r="P65" i="4"/>
  <c r="O65" i="4"/>
  <c r="N65" i="4"/>
  <c r="M65" i="4"/>
  <c r="M65" i="5" s="1"/>
  <c r="N65" i="5" s="1"/>
  <c r="L65" i="4"/>
  <c r="H65" i="4"/>
  <c r="G65" i="4"/>
  <c r="F65" i="4"/>
  <c r="E65" i="4"/>
  <c r="A65" i="4"/>
  <c r="P64" i="4"/>
  <c r="O64" i="4"/>
  <c r="N64" i="4"/>
  <c r="M64" i="4"/>
  <c r="M64" i="5" s="1"/>
  <c r="N64" i="5" s="1"/>
  <c r="L64" i="4"/>
  <c r="H64" i="4"/>
  <c r="G64" i="4"/>
  <c r="F64" i="4"/>
  <c r="E64" i="4"/>
  <c r="A64" i="4"/>
  <c r="P63" i="4"/>
  <c r="O63" i="4"/>
  <c r="N63" i="4"/>
  <c r="M63" i="4"/>
  <c r="M63" i="5" s="1"/>
  <c r="N63" i="5" s="1"/>
  <c r="L63" i="4"/>
  <c r="H63" i="4"/>
  <c r="G63" i="4"/>
  <c r="F63" i="4"/>
  <c r="E63" i="4"/>
  <c r="A63" i="4"/>
  <c r="P62" i="4"/>
  <c r="O62" i="4"/>
  <c r="N62" i="4"/>
  <c r="M62" i="4"/>
  <c r="M62" i="5" s="1"/>
  <c r="N62" i="5" s="1"/>
  <c r="L62" i="4"/>
  <c r="H62" i="4"/>
  <c r="G62" i="4"/>
  <c r="F62" i="4"/>
  <c r="E62" i="4"/>
  <c r="A62" i="4"/>
  <c r="P61" i="4"/>
  <c r="O61" i="4"/>
  <c r="N61" i="4"/>
  <c r="M61" i="4"/>
  <c r="M61" i="5" s="1"/>
  <c r="N61" i="5" s="1"/>
  <c r="L61" i="4"/>
  <c r="H61" i="4"/>
  <c r="G61" i="4"/>
  <c r="F61" i="4"/>
  <c r="E61" i="4"/>
  <c r="A61" i="4"/>
  <c r="P60" i="4"/>
  <c r="O60" i="4"/>
  <c r="N60" i="4"/>
  <c r="M60" i="4"/>
  <c r="M60" i="5" s="1"/>
  <c r="N60" i="5" s="1"/>
  <c r="L60" i="4"/>
  <c r="H60" i="4"/>
  <c r="G60" i="4"/>
  <c r="F60" i="4"/>
  <c r="E60" i="4"/>
  <c r="A60" i="4"/>
  <c r="P59" i="4"/>
  <c r="O59" i="4"/>
  <c r="N59" i="4"/>
  <c r="M59" i="4"/>
  <c r="M59" i="5" s="1"/>
  <c r="N59" i="5" s="1"/>
  <c r="L59" i="4"/>
  <c r="H59" i="4"/>
  <c r="G59" i="4"/>
  <c r="F59" i="4"/>
  <c r="E59" i="4"/>
  <c r="A59" i="4"/>
  <c r="P58" i="4"/>
  <c r="O58" i="4"/>
  <c r="N58" i="4"/>
  <c r="M58" i="4"/>
  <c r="M58" i="5" s="1"/>
  <c r="N58" i="5" s="1"/>
  <c r="L58" i="4"/>
  <c r="H58" i="4"/>
  <c r="G58" i="4"/>
  <c r="F58" i="4"/>
  <c r="E58" i="4"/>
  <c r="A58" i="4"/>
  <c r="P57" i="4"/>
  <c r="O57" i="4"/>
  <c r="N57" i="4"/>
  <c r="M57" i="4"/>
  <c r="M57" i="5" s="1"/>
  <c r="N57" i="5" s="1"/>
  <c r="L57" i="4"/>
  <c r="H57" i="4"/>
  <c r="G57" i="4"/>
  <c r="F57" i="4"/>
  <c r="E57" i="4"/>
  <c r="A57" i="4"/>
  <c r="P56" i="4"/>
  <c r="O56" i="4"/>
  <c r="N56" i="4"/>
  <c r="M56" i="4"/>
  <c r="M56" i="5" s="1"/>
  <c r="N56" i="5" s="1"/>
  <c r="L56" i="4"/>
  <c r="H56" i="4"/>
  <c r="G56" i="4"/>
  <c r="F56" i="4"/>
  <c r="E56" i="4"/>
  <c r="A56" i="4"/>
  <c r="P55" i="4"/>
  <c r="O55" i="4"/>
  <c r="N55" i="4"/>
  <c r="M55" i="4"/>
  <c r="M55" i="5" s="1"/>
  <c r="N55" i="5" s="1"/>
  <c r="L55" i="4"/>
  <c r="H55" i="4"/>
  <c r="G55" i="4"/>
  <c r="F55" i="4"/>
  <c r="E55" i="4"/>
  <c r="A55" i="4"/>
  <c r="P54" i="4"/>
  <c r="O54" i="4"/>
  <c r="N54" i="4"/>
  <c r="M54" i="4"/>
  <c r="M54" i="5" s="1"/>
  <c r="N54" i="5" s="1"/>
  <c r="L54" i="4"/>
  <c r="H54" i="4"/>
  <c r="G54" i="4"/>
  <c r="F54" i="4"/>
  <c r="E54" i="4"/>
  <c r="A54" i="4"/>
  <c r="P53" i="4"/>
  <c r="O53" i="4"/>
  <c r="N53" i="4"/>
  <c r="M53" i="4"/>
  <c r="M53" i="5" s="1"/>
  <c r="N53" i="5" s="1"/>
  <c r="L53" i="4"/>
  <c r="H53" i="4"/>
  <c r="G53" i="4"/>
  <c r="F53" i="4"/>
  <c r="E53" i="4"/>
  <c r="A53" i="4"/>
  <c r="P52" i="4"/>
  <c r="O52" i="4"/>
  <c r="N52" i="4"/>
  <c r="M52" i="4"/>
  <c r="M52" i="5" s="1"/>
  <c r="N52" i="5" s="1"/>
  <c r="L52" i="4"/>
  <c r="H52" i="4"/>
  <c r="G52" i="4"/>
  <c r="F52" i="4"/>
  <c r="E52" i="4"/>
  <c r="A52" i="4"/>
  <c r="P51" i="4"/>
  <c r="O51" i="4"/>
  <c r="N51" i="4"/>
  <c r="M51" i="4"/>
  <c r="M51" i="5" s="1"/>
  <c r="N51" i="5" s="1"/>
  <c r="L51" i="4"/>
  <c r="H51" i="4"/>
  <c r="G51" i="4"/>
  <c r="F51" i="4"/>
  <c r="E51" i="4"/>
  <c r="A51" i="4"/>
  <c r="P50" i="4"/>
  <c r="O50" i="4"/>
  <c r="N50" i="4"/>
  <c r="M50" i="4"/>
  <c r="M50" i="5" s="1"/>
  <c r="N50" i="5" s="1"/>
  <c r="L50" i="4"/>
  <c r="H50" i="4"/>
  <c r="G50" i="4"/>
  <c r="F50" i="4"/>
  <c r="E50" i="4"/>
  <c r="A50" i="4"/>
  <c r="P49" i="4"/>
  <c r="O49" i="4"/>
  <c r="N49" i="4"/>
  <c r="M49" i="4"/>
  <c r="M49" i="5" s="1"/>
  <c r="N49" i="5" s="1"/>
  <c r="L49" i="4"/>
  <c r="H49" i="4"/>
  <c r="G49" i="4"/>
  <c r="F49" i="4"/>
  <c r="E49" i="4"/>
  <c r="A49" i="4"/>
  <c r="P48" i="4"/>
  <c r="O48" i="4"/>
  <c r="N48" i="4"/>
  <c r="M48" i="4"/>
  <c r="M48" i="5" s="1"/>
  <c r="N48" i="5" s="1"/>
  <c r="L48" i="4"/>
  <c r="H48" i="4"/>
  <c r="G48" i="4"/>
  <c r="F48" i="4"/>
  <c r="E48" i="4"/>
  <c r="A48" i="4"/>
  <c r="P47" i="4"/>
  <c r="O47" i="4"/>
  <c r="N47" i="4"/>
  <c r="M47" i="4"/>
  <c r="M47" i="5" s="1"/>
  <c r="N47" i="5" s="1"/>
  <c r="L47" i="4"/>
  <c r="H47" i="4"/>
  <c r="G47" i="4"/>
  <c r="F47" i="4"/>
  <c r="E47" i="4"/>
  <c r="A47" i="4"/>
  <c r="P46" i="4"/>
  <c r="O46" i="4"/>
  <c r="N46" i="4"/>
  <c r="M46" i="4"/>
  <c r="M46" i="5" s="1"/>
  <c r="N46" i="5" s="1"/>
  <c r="L46" i="4"/>
  <c r="H46" i="4"/>
  <c r="G46" i="4"/>
  <c r="F46" i="4"/>
  <c r="E46" i="4"/>
  <c r="A46" i="4"/>
  <c r="P45" i="4"/>
  <c r="O45" i="4"/>
  <c r="N45" i="4"/>
  <c r="M45" i="4"/>
  <c r="M45" i="5" s="1"/>
  <c r="N45" i="5" s="1"/>
  <c r="L45" i="4"/>
  <c r="H45" i="4"/>
  <c r="G45" i="4"/>
  <c r="F45" i="4"/>
  <c r="E45" i="4"/>
  <c r="A45" i="4"/>
  <c r="P44" i="4"/>
  <c r="O44" i="4"/>
  <c r="N44" i="4"/>
  <c r="M44" i="4"/>
  <c r="M44" i="5" s="1"/>
  <c r="N44" i="5" s="1"/>
  <c r="L44" i="4"/>
  <c r="H44" i="4"/>
  <c r="G44" i="4"/>
  <c r="F44" i="4"/>
  <c r="E44" i="4"/>
  <c r="A44" i="4"/>
  <c r="P43" i="4"/>
  <c r="O43" i="4"/>
  <c r="N43" i="4"/>
  <c r="M43" i="4"/>
  <c r="M43" i="5" s="1"/>
  <c r="N43" i="5" s="1"/>
  <c r="L43" i="4"/>
  <c r="H43" i="4"/>
  <c r="G43" i="4"/>
  <c r="F43" i="4"/>
  <c r="E43" i="4"/>
  <c r="A43" i="4"/>
  <c r="P42" i="4"/>
  <c r="O42" i="4"/>
  <c r="N42" i="4"/>
  <c r="M42" i="4"/>
  <c r="M42" i="5" s="1"/>
  <c r="N42" i="5" s="1"/>
  <c r="L42" i="4"/>
  <c r="H42" i="4"/>
  <c r="G42" i="4"/>
  <c r="F42" i="4"/>
  <c r="E42" i="4"/>
  <c r="A42" i="4"/>
  <c r="P41" i="4"/>
  <c r="O41" i="4"/>
  <c r="N41" i="4"/>
  <c r="M41" i="4"/>
  <c r="M41" i="5" s="1"/>
  <c r="N41" i="5" s="1"/>
  <c r="L41" i="4"/>
  <c r="H41" i="4"/>
  <c r="G41" i="4"/>
  <c r="F41" i="4"/>
  <c r="E41" i="4"/>
  <c r="A41" i="4"/>
  <c r="P40" i="4"/>
  <c r="O40" i="4"/>
  <c r="N40" i="4"/>
  <c r="M40" i="4"/>
  <c r="M40" i="5" s="1"/>
  <c r="N40" i="5" s="1"/>
  <c r="L40" i="4"/>
  <c r="H40" i="4"/>
  <c r="G40" i="4"/>
  <c r="F40" i="4"/>
  <c r="E40" i="4"/>
  <c r="A40" i="4"/>
  <c r="P39" i="4"/>
  <c r="O39" i="4"/>
  <c r="N39" i="4"/>
  <c r="M39" i="4"/>
  <c r="M39" i="5" s="1"/>
  <c r="N39" i="5" s="1"/>
  <c r="L39" i="4"/>
  <c r="H39" i="4"/>
  <c r="G39" i="4"/>
  <c r="F39" i="4"/>
  <c r="E39" i="4"/>
  <c r="A39" i="4"/>
  <c r="P38" i="4"/>
  <c r="O38" i="4"/>
  <c r="N38" i="4"/>
  <c r="M38" i="4"/>
  <c r="M38" i="5" s="1"/>
  <c r="N38" i="5" s="1"/>
  <c r="L38" i="4"/>
  <c r="H38" i="4"/>
  <c r="G38" i="4"/>
  <c r="F38" i="4"/>
  <c r="E38" i="4"/>
  <c r="A38" i="4"/>
  <c r="P37" i="4"/>
  <c r="O37" i="4"/>
  <c r="N37" i="4"/>
  <c r="M37" i="4"/>
  <c r="M37" i="5" s="1"/>
  <c r="N37" i="5" s="1"/>
  <c r="L37" i="4"/>
  <c r="H37" i="4"/>
  <c r="G37" i="4"/>
  <c r="F37" i="4"/>
  <c r="E37" i="4"/>
  <c r="A37" i="4"/>
  <c r="P36" i="4"/>
  <c r="O36" i="4"/>
  <c r="N36" i="4"/>
  <c r="M36" i="4"/>
  <c r="M36" i="5" s="1"/>
  <c r="N36" i="5" s="1"/>
  <c r="L36" i="4"/>
  <c r="H36" i="4"/>
  <c r="G36" i="4"/>
  <c r="F36" i="4"/>
  <c r="E36" i="4"/>
  <c r="A36" i="4"/>
  <c r="P35" i="4"/>
  <c r="O35" i="4"/>
  <c r="N35" i="4"/>
  <c r="M35" i="4"/>
  <c r="M35" i="5" s="1"/>
  <c r="N35" i="5" s="1"/>
  <c r="L35" i="4"/>
  <c r="H35" i="4"/>
  <c r="G35" i="4"/>
  <c r="F35" i="4"/>
  <c r="E35" i="4"/>
  <c r="A35" i="4"/>
  <c r="P34" i="4"/>
  <c r="O34" i="4"/>
  <c r="N34" i="4"/>
  <c r="M34" i="4"/>
  <c r="M34" i="5" s="1"/>
  <c r="N34" i="5" s="1"/>
  <c r="L34" i="4"/>
  <c r="H34" i="4"/>
  <c r="G34" i="4"/>
  <c r="F34" i="4"/>
  <c r="E34" i="4"/>
  <c r="A34" i="4"/>
  <c r="P33" i="4"/>
  <c r="O33" i="4"/>
  <c r="N33" i="4"/>
  <c r="M33" i="4"/>
  <c r="M33" i="5" s="1"/>
  <c r="N33" i="5" s="1"/>
  <c r="L33" i="4"/>
  <c r="H33" i="4"/>
  <c r="G33" i="4"/>
  <c r="F33" i="4"/>
  <c r="E33" i="4"/>
  <c r="A33" i="4"/>
  <c r="P32" i="4"/>
  <c r="O32" i="4"/>
  <c r="N32" i="4"/>
  <c r="M32" i="4"/>
  <c r="M32" i="5" s="1"/>
  <c r="N32" i="5" s="1"/>
  <c r="L32" i="4"/>
  <c r="H32" i="4"/>
  <c r="G32" i="4"/>
  <c r="F32" i="4"/>
  <c r="E32" i="4"/>
  <c r="A32" i="4"/>
  <c r="P31" i="4"/>
  <c r="O31" i="4"/>
  <c r="N31" i="4"/>
  <c r="M31" i="4"/>
  <c r="M31" i="5" s="1"/>
  <c r="N31" i="5" s="1"/>
  <c r="L31" i="4"/>
  <c r="H31" i="4"/>
  <c r="G31" i="4"/>
  <c r="F31" i="4"/>
  <c r="E31" i="4"/>
  <c r="A31" i="4"/>
  <c r="P30" i="4"/>
  <c r="O30" i="4"/>
  <c r="N30" i="4"/>
  <c r="M30" i="4"/>
  <c r="M30" i="5" s="1"/>
  <c r="N30" i="5" s="1"/>
  <c r="L30" i="4"/>
  <c r="H30" i="4"/>
  <c r="G30" i="4"/>
  <c r="F30" i="4"/>
  <c r="E30" i="4"/>
  <c r="A30" i="4"/>
  <c r="P29" i="4"/>
  <c r="O29" i="4"/>
  <c r="N29" i="4"/>
  <c r="M29" i="4"/>
  <c r="M29" i="5" s="1"/>
  <c r="N29" i="5" s="1"/>
  <c r="L29" i="4"/>
  <c r="H29" i="4"/>
  <c r="G29" i="4"/>
  <c r="F29" i="4"/>
  <c r="E29" i="4"/>
  <c r="A29" i="4"/>
  <c r="P28" i="4"/>
  <c r="O28" i="4"/>
  <c r="N28" i="4"/>
  <c r="M28" i="4"/>
  <c r="M28" i="5" s="1"/>
  <c r="N28" i="5" s="1"/>
  <c r="L28" i="4"/>
  <c r="H28" i="4"/>
  <c r="G28" i="4"/>
  <c r="F28" i="4"/>
  <c r="E28" i="4"/>
  <c r="A28" i="4"/>
  <c r="P27" i="4"/>
  <c r="O27" i="4"/>
  <c r="N27" i="4"/>
  <c r="M27" i="4"/>
  <c r="M27" i="5" s="1"/>
  <c r="N27" i="5" s="1"/>
  <c r="L27" i="4"/>
  <c r="H27" i="4"/>
  <c r="G27" i="4"/>
  <c r="F27" i="4"/>
  <c r="E27" i="4"/>
  <c r="A27" i="4"/>
  <c r="P26" i="4"/>
  <c r="O26" i="4"/>
  <c r="N26" i="4"/>
  <c r="M26" i="4"/>
  <c r="M26" i="5" s="1"/>
  <c r="N26" i="5" s="1"/>
  <c r="L26" i="4"/>
  <c r="H26" i="4"/>
  <c r="G26" i="4"/>
  <c r="F26" i="4"/>
  <c r="E26" i="4"/>
  <c r="A26" i="4"/>
  <c r="P25" i="4"/>
  <c r="O25" i="4"/>
  <c r="N25" i="4"/>
  <c r="M25" i="4"/>
  <c r="M25" i="5" s="1"/>
  <c r="N25" i="5" s="1"/>
  <c r="L25" i="4"/>
  <c r="H25" i="4"/>
  <c r="G25" i="4"/>
  <c r="F25" i="4"/>
  <c r="E25" i="4"/>
  <c r="A25" i="4"/>
  <c r="P24" i="4"/>
  <c r="O24" i="4"/>
  <c r="N24" i="4"/>
  <c r="M24" i="4"/>
  <c r="M24" i="5" s="1"/>
  <c r="N24" i="5" s="1"/>
  <c r="L24" i="4"/>
  <c r="H24" i="4"/>
  <c r="G24" i="4"/>
  <c r="F24" i="4"/>
  <c r="E24" i="4"/>
  <c r="A24" i="4"/>
  <c r="P23" i="4"/>
  <c r="O23" i="4"/>
  <c r="N23" i="4"/>
  <c r="M23" i="4"/>
  <c r="M23" i="5" s="1"/>
  <c r="N23" i="5" s="1"/>
  <c r="L23" i="4"/>
  <c r="H23" i="4"/>
  <c r="G23" i="4"/>
  <c r="F23" i="4"/>
  <c r="E23" i="4"/>
  <c r="A23" i="4"/>
  <c r="P22" i="4"/>
  <c r="O22" i="4"/>
  <c r="N22" i="4"/>
  <c r="M22" i="4"/>
  <c r="M22" i="5" s="1"/>
  <c r="N22" i="5" s="1"/>
  <c r="L22" i="4"/>
  <c r="H22" i="4"/>
  <c r="G22" i="4"/>
  <c r="F22" i="4"/>
  <c r="E22" i="4"/>
  <c r="A22" i="4"/>
  <c r="P21" i="4"/>
  <c r="O21" i="4"/>
  <c r="N21" i="4"/>
  <c r="M21" i="4"/>
  <c r="M21" i="5" s="1"/>
  <c r="N21" i="5" s="1"/>
  <c r="L21" i="4"/>
  <c r="H21" i="4"/>
  <c r="G21" i="4"/>
  <c r="F21" i="4"/>
  <c r="E21" i="4"/>
  <c r="A21" i="4"/>
  <c r="P20" i="4"/>
  <c r="O20" i="4"/>
  <c r="N20" i="4"/>
  <c r="M20" i="4"/>
  <c r="M20" i="5" s="1"/>
  <c r="N20" i="5" s="1"/>
  <c r="L20" i="4"/>
  <c r="H20" i="4"/>
  <c r="G20" i="4"/>
  <c r="F20" i="4"/>
  <c r="E20" i="4"/>
  <c r="A20" i="4"/>
  <c r="P19" i="4"/>
  <c r="O19" i="4"/>
  <c r="N19" i="4"/>
  <c r="M19" i="4"/>
  <c r="M19" i="5" s="1"/>
  <c r="N19" i="5" s="1"/>
  <c r="L19" i="4"/>
  <c r="H19" i="4"/>
  <c r="G19" i="4"/>
  <c r="F19" i="4"/>
  <c r="E19" i="4"/>
  <c r="A19" i="4"/>
  <c r="P18" i="4"/>
  <c r="O18" i="4"/>
  <c r="N18" i="4"/>
  <c r="M18" i="4"/>
  <c r="M18" i="5" s="1"/>
  <c r="N18" i="5" s="1"/>
  <c r="L18" i="4"/>
  <c r="H18" i="4"/>
  <c r="G18" i="4"/>
  <c r="F18" i="4"/>
  <c r="E18" i="4"/>
  <c r="A18" i="4"/>
  <c r="P17" i="4"/>
  <c r="O17" i="4"/>
  <c r="N17" i="4"/>
  <c r="M17" i="4"/>
  <c r="M17" i="5" s="1"/>
  <c r="N17" i="5" s="1"/>
  <c r="L17" i="4"/>
  <c r="H17" i="4"/>
  <c r="G17" i="4"/>
  <c r="F17" i="4"/>
  <c r="E17" i="4"/>
  <c r="A17" i="4"/>
  <c r="P16" i="4"/>
  <c r="O16" i="4"/>
  <c r="N16" i="4"/>
  <c r="M16" i="4"/>
  <c r="M16" i="5" s="1"/>
  <c r="N16" i="5" s="1"/>
  <c r="L16" i="4"/>
  <c r="H16" i="4"/>
  <c r="G16" i="4"/>
  <c r="F16" i="4"/>
  <c r="E16" i="4"/>
  <c r="A16" i="4"/>
  <c r="P15" i="4"/>
  <c r="O15" i="4"/>
  <c r="N15" i="4"/>
  <c r="M15" i="4"/>
  <c r="M15" i="5" s="1"/>
  <c r="N15" i="5" s="1"/>
  <c r="L15" i="4"/>
  <c r="H15" i="4"/>
  <c r="G15" i="4"/>
  <c r="F15" i="4"/>
  <c r="E15" i="4"/>
  <c r="A15" i="4"/>
  <c r="P14" i="4"/>
  <c r="O14" i="4"/>
  <c r="N14" i="4"/>
  <c r="M14" i="4"/>
  <c r="M14" i="5" s="1"/>
  <c r="N14" i="5" s="1"/>
  <c r="L14" i="4"/>
  <c r="H14" i="4"/>
  <c r="G14" i="4"/>
  <c r="F14" i="4"/>
  <c r="E14" i="4"/>
  <c r="A14" i="4"/>
  <c r="P13" i="4"/>
  <c r="O13" i="4"/>
  <c r="N13" i="4"/>
  <c r="M13" i="4"/>
  <c r="M13" i="5" s="1"/>
  <c r="N13" i="5" s="1"/>
  <c r="L13" i="4"/>
  <c r="H13" i="4"/>
  <c r="G13" i="4"/>
  <c r="F13" i="4"/>
  <c r="E13" i="4"/>
  <c r="A13" i="4"/>
  <c r="P12" i="4"/>
  <c r="O12" i="4"/>
  <c r="N12" i="4"/>
  <c r="M12" i="4"/>
  <c r="M12" i="5" s="1"/>
  <c r="N12" i="5" s="1"/>
  <c r="L12" i="4"/>
  <c r="H12" i="4"/>
  <c r="G12" i="4"/>
  <c r="F12" i="4"/>
  <c r="E12" i="4"/>
  <c r="A12" i="4"/>
  <c r="P11" i="4"/>
  <c r="O11" i="4"/>
  <c r="N11" i="4"/>
  <c r="M11" i="4"/>
  <c r="M11" i="5" s="1"/>
  <c r="N11" i="5" s="1"/>
  <c r="L11" i="4"/>
  <c r="H11" i="4"/>
  <c r="G11" i="4"/>
  <c r="F11" i="4"/>
  <c r="E11" i="4"/>
  <c r="A11" i="4"/>
  <c r="P10" i="4"/>
  <c r="O10" i="4"/>
  <c r="N10" i="4"/>
  <c r="M10" i="4"/>
  <c r="M10" i="5" s="1"/>
  <c r="N10" i="5" s="1"/>
  <c r="L10" i="4"/>
  <c r="H10" i="4"/>
  <c r="G10" i="4"/>
  <c r="F10" i="4"/>
  <c r="E10" i="4"/>
  <c r="A10" i="4"/>
  <c r="P9" i="4"/>
  <c r="O9" i="4"/>
  <c r="N9" i="4"/>
  <c r="M9" i="4"/>
  <c r="M9" i="5" s="1"/>
  <c r="N9" i="5" s="1"/>
  <c r="L9" i="4"/>
  <c r="J9" i="4"/>
  <c r="H9" i="4"/>
  <c r="G9" i="4"/>
  <c r="F9" i="4"/>
  <c r="E9" i="4"/>
  <c r="A9" i="4"/>
  <c r="P8" i="4"/>
  <c r="O8" i="4"/>
  <c r="N8" i="4"/>
  <c r="M8" i="4"/>
  <c r="M8" i="5" s="1"/>
  <c r="N8" i="5" s="1"/>
  <c r="L8" i="4"/>
  <c r="J8" i="4"/>
  <c r="H8" i="4"/>
  <c r="G8" i="4"/>
  <c r="F8" i="4"/>
  <c r="E8" i="4"/>
  <c r="A8" i="4"/>
  <c r="P7" i="4"/>
  <c r="O7" i="4"/>
  <c r="N7" i="4"/>
  <c r="M7" i="4"/>
  <c r="H9" i="5" s="1"/>
  <c r="L7" i="4"/>
  <c r="J7" i="4"/>
  <c r="H7" i="4"/>
  <c r="G7" i="4"/>
  <c r="F7" i="4"/>
  <c r="E7" i="4"/>
  <c r="A7" i="4"/>
  <c r="P6" i="4"/>
  <c r="O6" i="4"/>
  <c r="N6" i="4"/>
  <c r="M6" i="4"/>
  <c r="M6" i="5" s="1"/>
  <c r="N6" i="5" s="1"/>
  <c r="L6" i="4"/>
  <c r="J6" i="4"/>
  <c r="A1" i="1" s="1"/>
  <c r="H6" i="4"/>
  <c r="G6" i="4"/>
  <c r="F6" i="4"/>
  <c r="E6" i="4"/>
  <c r="A6" i="4"/>
  <c r="I516" i="3"/>
  <c r="J516" i="3" s="1"/>
  <c r="I515" i="3"/>
  <c r="J515" i="3" s="1"/>
  <c r="I514" i="3"/>
  <c r="J514" i="3" s="1"/>
  <c r="I513" i="3"/>
  <c r="J513" i="3" s="1"/>
  <c r="I512" i="3"/>
  <c r="J512" i="3" s="1"/>
  <c r="I511" i="3"/>
  <c r="J511" i="3" s="1"/>
  <c r="I510" i="3"/>
  <c r="J510" i="3" s="1"/>
  <c r="I509" i="3"/>
  <c r="J509" i="3" s="1"/>
  <c r="I508" i="3"/>
  <c r="J508" i="3" s="1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J502" i="3" s="1"/>
  <c r="I501" i="3"/>
  <c r="J501" i="3" s="1"/>
  <c r="I500" i="3"/>
  <c r="J500" i="3" s="1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J494" i="3" s="1"/>
  <c r="I493" i="3"/>
  <c r="J493" i="3" s="1"/>
  <c r="I492" i="3"/>
  <c r="J492" i="3" s="1"/>
  <c r="I491" i="3"/>
  <c r="J491" i="3" s="1"/>
  <c r="I490" i="3"/>
  <c r="J490" i="3" s="1"/>
  <c r="I489" i="3"/>
  <c r="J489" i="3" s="1"/>
  <c r="I488" i="3"/>
  <c r="J488" i="3" s="1"/>
  <c r="I487" i="3"/>
  <c r="J487" i="3" s="1"/>
  <c r="I486" i="3"/>
  <c r="J486" i="3" s="1"/>
  <c r="I485" i="3"/>
  <c r="J485" i="3" s="1"/>
  <c r="I484" i="3"/>
  <c r="J484" i="3" s="1"/>
  <c r="I483" i="3"/>
  <c r="J483" i="3" s="1"/>
  <c r="I482" i="3"/>
  <c r="J482" i="3" s="1"/>
  <c r="I481" i="3"/>
  <c r="J481" i="3" s="1"/>
  <c r="I480" i="3"/>
  <c r="J480" i="3" s="1"/>
  <c r="I479" i="3"/>
  <c r="J479" i="3" s="1"/>
  <c r="I478" i="3"/>
  <c r="J478" i="3" s="1"/>
  <c r="I477" i="3"/>
  <c r="J477" i="3" s="1"/>
  <c r="I476" i="3"/>
  <c r="J476" i="3" s="1"/>
  <c r="I475" i="3"/>
  <c r="J475" i="3" s="1"/>
  <c r="I474" i="3"/>
  <c r="J474" i="3" s="1"/>
  <c r="I473" i="3"/>
  <c r="J473" i="3" s="1"/>
  <c r="I472" i="3"/>
  <c r="J472" i="3" s="1"/>
  <c r="I471" i="3"/>
  <c r="J471" i="3" s="1"/>
  <c r="I470" i="3"/>
  <c r="J470" i="3" s="1"/>
  <c r="I469" i="3"/>
  <c r="J469" i="3" s="1"/>
  <c r="I468" i="3"/>
  <c r="J468" i="3" s="1"/>
  <c r="I467" i="3"/>
  <c r="J467" i="3" s="1"/>
  <c r="I466" i="3"/>
  <c r="J466" i="3" s="1"/>
  <c r="I465" i="3"/>
  <c r="J465" i="3" s="1"/>
  <c r="I464" i="3"/>
  <c r="J464" i="3" s="1"/>
  <c r="I463" i="3"/>
  <c r="J463" i="3" s="1"/>
  <c r="I462" i="3"/>
  <c r="J462" i="3" s="1"/>
  <c r="I461" i="3"/>
  <c r="J461" i="3" s="1"/>
  <c r="I460" i="3"/>
  <c r="J460" i="3" s="1"/>
  <c r="I459" i="3"/>
  <c r="J459" i="3" s="1"/>
  <c r="I458" i="3"/>
  <c r="J458" i="3" s="1"/>
  <c r="I457" i="3"/>
  <c r="J457" i="3" s="1"/>
  <c r="I456" i="3"/>
  <c r="J456" i="3" s="1"/>
  <c r="I455" i="3"/>
  <c r="J455" i="3" s="1"/>
  <c r="I454" i="3"/>
  <c r="J454" i="3" s="1"/>
  <c r="I453" i="3"/>
  <c r="J453" i="3" s="1"/>
  <c r="I452" i="3"/>
  <c r="J452" i="3" s="1"/>
  <c r="I451" i="3"/>
  <c r="J451" i="3" s="1"/>
  <c r="I450" i="3"/>
  <c r="J450" i="3" s="1"/>
  <c r="I449" i="3"/>
  <c r="J449" i="3" s="1"/>
  <c r="I448" i="3"/>
  <c r="J448" i="3" s="1"/>
  <c r="I447" i="3"/>
  <c r="J447" i="3" s="1"/>
  <c r="I446" i="3"/>
  <c r="J446" i="3" s="1"/>
  <c r="I445" i="3"/>
  <c r="J445" i="3" s="1"/>
  <c r="I444" i="3"/>
  <c r="J444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2" i="3"/>
  <c r="J432" i="3" s="1"/>
  <c r="I431" i="3"/>
  <c r="J431" i="3" s="1"/>
  <c r="I430" i="3"/>
  <c r="J430" i="3" s="1"/>
  <c r="I429" i="3"/>
  <c r="J429" i="3" s="1"/>
  <c r="I428" i="3"/>
  <c r="J428" i="3" s="1"/>
  <c r="I427" i="3"/>
  <c r="J427" i="3" s="1"/>
  <c r="I426" i="3"/>
  <c r="J426" i="3" s="1"/>
  <c r="I425" i="3"/>
  <c r="J425" i="3" s="1"/>
  <c r="I424" i="3"/>
  <c r="J424" i="3" s="1"/>
  <c r="I423" i="3"/>
  <c r="J423" i="3" s="1"/>
  <c r="I422" i="3"/>
  <c r="J422" i="3" s="1"/>
  <c r="I421" i="3"/>
  <c r="J421" i="3" s="1"/>
  <c r="I420" i="3"/>
  <c r="J420" i="3" s="1"/>
  <c r="I419" i="3"/>
  <c r="J419" i="3" s="1"/>
  <c r="I418" i="3"/>
  <c r="J418" i="3" s="1"/>
  <c r="I417" i="3"/>
  <c r="J417" i="3" s="1"/>
  <c r="I416" i="3"/>
  <c r="J416" i="3" s="1"/>
  <c r="I415" i="3"/>
  <c r="J415" i="3" s="1"/>
  <c r="I414" i="3"/>
  <c r="J414" i="3" s="1"/>
  <c r="I413" i="3"/>
  <c r="J413" i="3" s="1"/>
  <c r="I412" i="3"/>
  <c r="J412" i="3" s="1"/>
  <c r="I411" i="3"/>
  <c r="J411" i="3" s="1"/>
  <c r="I410" i="3"/>
  <c r="J410" i="3" s="1"/>
  <c r="I409" i="3"/>
  <c r="J409" i="3" s="1"/>
  <c r="I408" i="3"/>
  <c r="J408" i="3" s="1"/>
  <c r="I407" i="3"/>
  <c r="J407" i="3" s="1"/>
  <c r="I406" i="3"/>
  <c r="J406" i="3" s="1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H4" i="3"/>
  <c r="H3" i="3"/>
  <c r="A2" i="3"/>
  <c r="A1" i="3"/>
  <c r="I516" i="2"/>
  <c r="J516" i="2" s="1"/>
  <c r="I515" i="2"/>
  <c r="J515" i="2" s="1"/>
  <c r="I514" i="2"/>
  <c r="J514" i="2" s="1"/>
  <c r="I513" i="2"/>
  <c r="J513" i="2" s="1"/>
  <c r="I512" i="2"/>
  <c r="J512" i="2" s="1"/>
  <c r="I511" i="2"/>
  <c r="J511" i="2" s="1"/>
  <c r="I510" i="2"/>
  <c r="J510" i="2" s="1"/>
  <c r="I509" i="2"/>
  <c r="J509" i="2" s="1"/>
  <c r="I508" i="2"/>
  <c r="J508" i="2" s="1"/>
  <c r="I507" i="2"/>
  <c r="J507" i="2" s="1"/>
  <c r="I506" i="2"/>
  <c r="J506" i="2" s="1"/>
  <c r="I505" i="2"/>
  <c r="J505" i="2" s="1"/>
  <c r="I504" i="2"/>
  <c r="J504" i="2" s="1"/>
  <c r="I503" i="2"/>
  <c r="J503" i="2" s="1"/>
  <c r="I502" i="2"/>
  <c r="J502" i="2" s="1"/>
  <c r="I501" i="2"/>
  <c r="J501" i="2" s="1"/>
  <c r="I500" i="2"/>
  <c r="J500" i="2" s="1"/>
  <c r="I499" i="2"/>
  <c r="J499" i="2" s="1"/>
  <c r="I498" i="2"/>
  <c r="J498" i="2" s="1"/>
  <c r="I497" i="2"/>
  <c r="J497" i="2" s="1"/>
  <c r="I496" i="2"/>
  <c r="J496" i="2" s="1"/>
  <c r="I495" i="2"/>
  <c r="J495" i="2" s="1"/>
  <c r="I494" i="2"/>
  <c r="J494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4" i="2"/>
  <c r="J484" i="2" s="1"/>
  <c r="I483" i="2"/>
  <c r="J483" i="2" s="1"/>
  <c r="I482" i="2"/>
  <c r="J482" i="2" s="1"/>
  <c r="I481" i="2"/>
  <c r="J481" i="2" s="1"/>
  <c r="I480" i="2"/>
  <c r="J480" i="2" s="1"/>
  <c r="I479" i="2"/>
  <c r="J479" i="2" s="1"/>
  <c r="I478" i="2"/>
  <c r="J478" i="2" s="1"/>
  <c r="I477" i="2"/>
  <c r="J477" i="2" s="1"/>
  <c r="I476" i="2"/>
  <c r="J476" i="2" s="1"/>
  <c r="I475" i="2"/>
  <c r="J475" i="2" s="1"/>
  <c r="I474" i="2"/>
  <c r="J474" i="2" s="1"/>
  <c r="I473" i="2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H4" i="2"/>
  <c r="H3" i="2"/>
  <c r="A2" i="2"/>
  <c r="A1" i="2"/>
  <c r="F508" i="1"/>
  <c r="A508" i="1"/>
  <c r="F507" i="1"/>
  <c r="A507" i="1"/>
  <c r="F506" i="1"/>
  <c r="A506" i="1"/>
  <c r="F505" i="1"/>
  <c r="A505" i="1"/>
  <c r="F504" i="1"/>
  <c r="A504" i="1"/>
  <c r="F503" i="1"/>
  <c r="A503" i="1"/>
  <c r="F502" i="1"/>
  <c r="A502" i="1"/>
  <c r="F501" i="1"/>
  <c r="A501" i="1"/>
  <c r="F500" i="1"/>
  <c r="A500" i="1"/>
  <c r="F499" i="1"/>
  <c r="A499" i="1"/>
  <c r="F498" i="1"/>
  <c r="A498" i="1"/>
  <c r="F497" i="1"/>
  <c r="A497" i="1"/>
  <c r="F496" i="1"/>
  <c r="A496" i="1"/>
  <c r="F495" i="1"/>
  <c r="A495" i="1"/>
  <c r="F494" i="1"/>
  <c r="A494" i="1"/>
  <c r="F493" i="1"/>
  <c r="A493" i="1"/>
  <c r="F492" i="1"/>
  <c r="A492" i="1"/>
  <c r="F491" i="1"/>
  <c r="A491" i="1"/>
  <c r="F490" i="1"/>
  <c r="A490" i="1"/>
  <c r="F489" i="1"/>
  <c r="A489" i="1"/>
  <c r="F488" i="1"/>
  <c r="A488" i="1"/>
  <c r="F487" i="1"/>
  <c r="A487" i="1"/>
  <c r="F486" i="1"/>
  <c r="A486" i="1"/>
  <c r="F485" i="1"/>
  <c r="A485" i="1"/>
  <c r="F484" i="1"/>
  <c r="A484" i="1"/>
  <c r="F483" i="1"/>
  <c r="A483" i="1"/>
  <c r="F482" i="1"/>
  <c r="A482" i="1"/>
  <c r="F481" i="1"/>
  <c r="A481" i="1"/>
  <c r="F480" i="1"/>
  <c r="A480" i="1"/>
  <c r="F479" i="1"/>
  <c r="A479" i="1"/>
  <c r="F478" i="1"/>
  <c r="A478" i="1"/>
  <c r="F477" i="1"/>
  <c r="A477" i="1"/>
  <c r="F476" i="1"/>
  <c r="A476" i="1"/>
  <c r="F475" i="1"/>
  <c r="A475" i="1"/>
  <c r="F474" i="1"/>
  <c r="A474" i="1"/>
  <c r="F473" i="1"/>
  <c r="A473" i="1"/>
  <c r="F472" i="1"/>
  <c r="A472" i="1"/>
  <c r="F471" i="1"/>
  <c r="A471" i="1"/>
  <c r="F470" i="1"/>
  <c r="A470" i="1"/>
  <c r="F469" i="1"/>
  <c r="A469" i="1"/>
  <c r="F468" i="1"/>
  <c r="A468" i="1"/>
  <c r="F467" i="1"/>
  <c r="A467" i="1"/>
  <c r="F466" i="1"/>
  <c r="A466" i="1"/>
  <c r="F465" i="1"/>
  <c r="A465" i="1"/>
  <c r="F464" i="1"/>
  <c r="A464" i="1"/>
  <c r="F463" i="1"/>
  <c r="A463" i="1"/>
  <c r="F462" i="1"/>
  <c r="A462" i="1"/>
  <c r="F461" i="1"/>
  <c r="A461" i="1"/>
  <c r="F460" i="1"/>
  <c r="A460" i="1"/>
  <c r="F459" i="1"/>
  <c r="A459" i="1"/>
  <c r="F458" i="1"/>
  <c r="A458" i="1"/>
  <c r="F457" i="1"/>
  <c r="A457" i="1"/>
  <c r="F456" i="1"/>
  <c r="A456" i="1"/>
  <c r="F455" i="1"/>
  <c r="A455" i="1"/>
  <c r="F454" i="1"/>
  <c r="A454" i="1"/>
  <c r="F453" i="1"/>
  <c r="A453" i="1"/>
  <c r="F452" i="1"/>
  <c r="A452" i="1"/>
  <c r="F451" i="1"/>
  <c r="A451" i="1"/>
  <c r="F450" i="1"/>
  <c r="A450" i="1"/>
  <c r="F449" i="1"/>
  <c r="A449" i="1"/>
  <c r="F448" i="1"/>
  <c r="A448" i="1"/>
  <c r="F447" i="1"/>
  <c r="A447" i="1"/>
  <c r="F446" i="1"/>
  <c r="A446" i="1"/>
  <c r="F445" i="1"/>
  <c r="A445" i="1"/>
  <c r="F444" i="1"/>
  <c r="A444" i="1"/>
  <c r="F443" i="1"/>
  <c r="A443" i="1"/>
  <c r="F442" i="1"/>
  <c r="A442" i="1"/>
  <c r="F441" i="1"/>
  <c r="A441" i="1"/>
  <c r="F440" i="1"/>
  <c r="A440" i="1"/>
  <c r="F439" i="1"/>
  <c r="A439" i="1"/>
  <c r="F438" i="1"/>
  <c r="A438" i="1"/>
  <c r="F437" i="1"/>
  <c r="A437" i="1"/>
  <c r="F436" i="1"/>
  <c r="A436" i="1"/>
  <c r="F435" i="1"/>
  <c r="A435" i="1"/>
  <c r="F434" i="1"/>
  <c r="A434" i="1"/>
  <c r="F433" i="1"/>
  <c r="A433" i="1"/>
  <c r="F432" i="1"/>
  <c r="A432" i="1"/>
  <c r="F431" i="1"/>
  <c r="A431" i="1"/>
  <c r="F430" i="1"/>
  <c r="A430" i="1"/>
  <c r="F429" i="1"/>
  <c r="A429" i="1"/>
  <c r="F428" i="1"/>
  <c r="A428" i="1"/>
  <c r="F427" i="1"/>
  <c r="A427" i="1"/>
  <c r="F426" i="1"/>
  <c r="A426" i="1"/>
  <c r="F425" i="1"/>
  <c r="A425" i="1"/>
  <c r="F424" i="1"/>
  <c r="A424" i="1"/>
  <c r="F423" i="1"/>
  <c r="A423" i="1"/>
  <c r="F422" i="1"/>
  <c r="A422" i="1"/>
  <c r="F421" i="1"/>
  <c r="A421" i="1"/>
  <c r="F420" i="1"/>
  <c r="A420" i="1"/>
  <c r="F419" i="1"/>
  <c r="A419" i="1"/>
  <c r="F418" i="1"/>
  <c r="A418" i="1"/>
  <c r="F417" i="1"/>
  <c r="A417" i="1"/>
  <c r="F416" i="1"/>
  <c r="A416" i="1"/>
  <c r="F415" i="1"/>
  <c r="A415" i="1"/>
  <c r="F414" i="1"/>
  <c r="A414" i="1"/>
  <c r="F413" i="1"/>
  <c r="A413" i="1"/>
  <c r="F412" i="1"/>
  <c r="A412" i="1"/>
  <c r="F411" i="1"/>
  <c r="A411" i="1"/>
  <c r="F410" i="1"/>
  <c r="A410" i="1"/>
  <c r="F409" i="1"/>
  <c r="A409" i="1"/>
  <c r="F408" i="1"/>
  <c r="A408" i="1"/>
  <c r="F407" i="1"/>
  <c r="A407" i="1"/>
  <c r="F406" i="1"/>
  <c r="A406" i="1"/>
  <c r="F405" i="1"/>
  <c r="A405" i="1"/>
  <c r="F404" i="1"/>
  <c r="A404" i="1"/>
  <c r="F403" i="1"/>
  <c r="A403" i="1"/>
  <c r="F402" i="1"/>
  <c r="A402" i="1"/>
  <c r="F401" i="1"/>
  <c r="A401" i="1"/>
  <c r="F400" i="1"/>
  <c r="A400" i="1"/>
  <c r="F399" i="1"/>
  <c r="A399" i="1"/>
  <c r="F398" i="1"/>
  <c r="A398" i="1"/>
  <c r="F397" i="1"/>
  <c r="A397" i="1"/>
  <c r="F396" i="1"/>
  <c r="A396" i="1"/>
  <c r="F395" i="1"/>
  <c r="A395" i="1"/>
  <c r="F394" i="1"/>
  <c r="A394" i="1"/>
  <c r="F393" i="1"/>
  <c r="A393" i="1"/>
  <c r="F392" i="1"/>
  <c r="A392" i="1"/>
  <c r="F391" i="1"/>
  <c r="A391" i="1"/>
  <c r="F390" i="1"/>
  <c r="A390" i="1"/>
  <c r="F389" i="1"/>
  <c r="A389" i="1"/>
  <c r="F388" i="1"/>
  <c r="A388" i="1"/>
  <c r="F387" i="1"/>
  <c r="A387" i="1"/>
  <c r="F386" i="1"/>
  <c r="A386" i="1"/>
  <c r="F385" i="1"/>
  <c r="A385" i="1"/>
  <c r="F384" i="1"/>
  <c r="A384" i="1"/>
  <c r="F383" i="1"/>
  <c r="A383" i="1"/>
  <c r="F382" i="1"/>
  <c r="A382" i="1"/>
  <c r="F381" i="1"/>
  <c r="A381" i="1"/>
  <c r="F380" i="1"/>
  <c r="A380" i="1"/>
  <c r="F379" i="1"/>
  <c r="A379" i="1"/>
  <c r="F378" i="1"/>
  <c r="A378" i="1"/>
  <c r="F377" i="1"/>
  <c r="A377" i="1"/>
  <c r="F376" i="1"/>
  <c r="A376" i="1"/>
  <c r="F375" i="1"/>
  <c r="A375" i="1"/>
  <c r="F374" i="1"/>
  <c r="A374" i="1"/>
  <c r="F373" i="1"/>
  <c r="A373" i="1"/>
  <c r="F372" i="1"/>
  <c r="A372" i="1"/>
  <c r="F371" i="1"/>
  <c r="A371" i="1"/>
  <c r="F370" i="1"/>
  <c r="A370" i="1"/>
  <c r="F369" i="1"/>
  <c r="A369" i="1"/>
  <c r="F368" i="1"/>
  <c r="A368" i="1"/>
  <c r="F367" i="1"/>
  <c r="A367" i="1"/>
  <c r="F366" i="1"/>
  <c r="A366" i="1"/>
  <c r="F365" i="1"/>
  <c r="A365" i="1"/>
  <c r="F364" i="1"/>
  <c r="A364" i="1"/>
  <c r="F363" i="1"/>
  <c r="A363" i="1"/>
  <c r="F362" i="1"/>
  <c r="A362" i="1"/>
  <c r="F361" i="1"/>
  <c r="A361" i="1"/>
  <c r="F360" i="1"/>
  <c r="A360" i="1"/>
  <c r="F359" i="1"/>
  <c r="A359" i="1"/>
  <c r="F358" i="1"/>
  <c r="A358" i="1"/>
  <c r="F357" i="1"/>
  <c r="A357" i="1"/>
  <c r="F356" i="1"/>
  <c r="A356" i="1"/>
  <c r="F355" i="1"/>
  <c r="A355" i="1"/>
  <c r="F354" i="1"/>
  <c r="A354" i="1"/>
  <c r="F353" i="1"/>
  <c r="A353" i="1"/>
  <c r="F352" i="1"/>
  <c r="A352" i="1"/>
  <c r="F351" i="1"/>
  <c r="A351" i="1"/>
  <c r="F350" i="1"/>
  <c r="A350" i="1"/>
  <c r="F349" i="1"/>
  <c r="A349" i="1"/>
  <c r="F348" i="1"/>
  <c r="A348" i="1"/>
  <c r="F347" i="1"/>
  <c r="A347" i="1"/>
  <c r="F346" i="1"/>
  <c r="A346" i="1"/>
  <c r="F345" i="1"/>
  <c r="A345" i="1"/>
  <c r="F344" i="1"/>
  <c r="A344" i="1"/>
  <c r="F343" i="1"/>
  <c r="A343" i="1"/>
  <c r="F342" i="1"/>
  <c r="A342" i="1"/>
  <c r="F341" i="1"/>
  <c r="A341" i="1"/>
  <c r="F340" i="1"/>
  <c r="A340" i="1"/>
  <c r="F339" i="1"/>
  <c r="A339" i="1"/>
  <c r="F338" i="1"/>
  <c r="A338" i="1"/>
  <c r="F337" i="1"/>
  <c r="A337" i="1"/>
  <c r="F336" i="1"/>
  <c r="A336" i="1"/>
  <c r="F335" i="1"/>
  <c r="A335" i="1"/>
  <c r="F334" i="1"/>
  <c r="A334" i="1"/>
  <c r="F333" i="1"/>
  <c r="A333" i="1"/>
  <c r="F332" i="1"/>
  <c r="A332" i="1"/>
  <c r="F331" i="1"/>
  <c r="A331" i="1"/>
  <c r="F330" i="1"/>
  <c r="A330" i="1"/>
  <c r="F329" i="1"/>
  <c r="A329" i="1"/>
  <c r="F328" i="1"/>
  <c r="A328" i="1"/>
  <c r="F327" i="1"/>
  <c r="A327" i="1"/>
  <c r="F326" i="1"/>
  <c r="A326" i="1"/>
  <c r="F325" i="1"/>
  <c r="A325" i="1"/>
  <c r="F324" i="1"/>
  <c r="A324" i="1"/>
  <c r="F323" i="1"/>
  <c r="A323" i="1"/>
  <c r="F322" i="1"/>
  <c r="A322" i="1"/>
  <c r="F321" i="1"/>
  <c r="A321" i="1"/>
  <c r="F320" i="1"/>
  <c r="A320" i="1"/>
  <c r="F319" i="1"/>
  <c r="A319" i="1"/>
  <c r="F318" i="1"/>
  <c r="A318" i="1"/>
  <c r="F317" i="1"/>
  <c r="A317" i="1"/>
  <c r="F316" i="1"/>
  <c r="A316" i="1"/>
  <c r="F315" i="1"/>
  <c r="A315" i="1"/>
  <c r="F314" i="1"/>
  <c r="A314" i="1"/>
  <c r="F313" i="1"/>
  <c r="A313" i="1"/>
  <c r="F312" i="1"/>
  <c r="A312" i="1"/>
  <c r="F311" i="1"/>
  <c r="A311" i="1"/>
  <c r="F310" i="1"/>
  <c r="A310" i="1"/>
  <c r="F309" i="1"/>
  <c r="A309" i="1"/>
  <c r="F308" i="1"/>
  <c r="A308" i="1"/>
  <c r="F307" i="1"/>
  <c r="A307" i="1"/>
  <c r="F306" i="1"/>
  <c r="A306" i="1"/>
  <c r="F305" i="1"/>
  <c r="A305" i="1"/>
  <c r="F304" i="1"/>
  <c r="A304" i="1"/>
  <c r="F303" i="1"/>
  <c r="A303" i="1"/>
  <c r="F302" i="1"/>
  <c r="A302" i="1"/>
  <c r="F301" i="1"/>
  <c r="A301" i="1"/>
  <c r="F300" i="1"/>
  <c r="A300" i="1"/>
  <c r="F299" i="1"/>
  <c r="A299" i="1"/>
  <c r="F298" i="1"/>
  <c r="A298" i="1"/>
  <c r="F297" i="1"/>
  <c r="A297" i="1"/>
  <c r="F296" i="1"/>
  <c r="A296" i="1"/>
  <c r="F295" i="1"/>
  <c r="A295" i="1"/>
  <c r="F294" i="1"/>
  <c r="A294" i="1"/>
  <c r="F293" i="1"/>
  <c r="A293" i="1"/>
  <c r="F292" i="1"/>
  <c r="A292" i="1"/>
  <c r="F291" i="1"/>
  <c r="A291" i="1"/>
  <c r="F290" i="1"/>
  <c r="A290" i="1"/>
  <c r="F289" i="1"/>
  <c r="A289" i="1"/>
  <c r="F288" i="1"/>
  <c r="A288" i="1"/>
  <c r="F287" i="1"/>
  <c r="A287" i="1"/>
  <c r="F286" i="1"/>
  <c r="A286" i="1"/>
  <c r="F285" i="1"/>
  <c r="A285" i="1"/>
  <c r="F284" i="1"/>
  <c r="A284" i="1"/>
  <c r="F283" i="1"/>
  <c r="A283" i="1"/>
  <c r="F282" i="1"/>
  <c r="A282" i="1"/>
  <c r="F281" i="1"/>
  <c r="A281" i="1"/>
  <c r="F280" i="1"/>
  <c r="A280" i="1"/>
  <c r="F279" i="1"/>
  <c r="A279" i="1"/>
  <c r="F278" i="1"/>
  <c r="A278" i="1"/>
  <c r="F277" i="1"/>
  <c r="A277" i="1"/>
  <c r="F276" i="1"/>
  <c r="A276" i="1"/>
  <c r="F275" i="1"/>
  <c r="A275" i="1"/>
  <c r="F274" i="1"/>
  <c r="A274" i="1"/>
  <c r="F273" i="1"/>
  <c r="A273" i="1"/>
  <c r="F272" i="1"/>
  <c r="A272" i="1"/>
  <c r="F271" i="1"/>
  <c r="A271" i="1"/>
  <c r="F270" i="1"/>
  <c r="A270" i="1"/>
  <c r="F269" i="1"/>
  <c r="A269" i="1"/>
  <c r="F268" i="1"/>
  <c r="A268" i="1"/>
  <c r="F267" i="1"/>
  <c r="A267" i="1"/>
  <c r="F266" i="1"/>
  <c r="A266" i="1"/>
  <c r="F265" i="1"/>
  <c r="A265" i="1"/>
  <c r="F264" i="1"/>
  <c r="A264" i="1"/>
  <c r="F263" i="1"/>
  <c r="A263" i="1"/>
  <c r="F262" i="1"/>
  <c r="A262" i="1"/>
  <c r="F261" i="1"/>
  <c r="A261" i="1"/>
  <c r="F260" i="1"/>
  <c r="A260" i="1"/>
  <c r="F259" i="1"/>
  <c r="A259" i="1"/>
  <c r="F258" i="1"/>
  <c r="A258" i="1"/>
  <c r="F257" i="1"/>
  <c r="A257" i="1"/>
  <c r="F256" i="1"/>
  <c r="A256" i="1"/>
  <c r="F255" i="1"/>
  <c r="A255" i="1"/>
  <c r="F254" i="1"/>
  <c r="A254" i="1"/>
  <c r="F253" i="1"/>
  <c r="A253" i="1"/>
  <c r="F252" i="1"/>
  <c r="A252" i="1"/>
  <c r="F251" i="1"/>
  <c r="A251" i="1"/>
  <c r="F250" i="1"/>
  <c r="A250" i="1"/>
  <c r="F249" i="1"/>
  <c r="A249" i="1"/>
  <c r="F248" i="1"/>
  <c r="A248" i="1"/>
  <c r="F247" i="1"/>
  <c r="A247" i="1"/>
  <c r="F246" i="1"/>
  <c r="A246" i="1"/>
  <c r="F245" i="1"/>
  <c r="A245" i="1"/>
  <c r="F244" i="1"/>
  <c r="A244" i="1"/>
  <c r="F243" i="1"/>
  <c r="A243" i="1"/>
  <c r="F242" i="1"/>
  <c r="A242" i="1"/>
  <c r="F241" i="1"/>
  <c r="A241" i="1"/>
  <c r="F240" i="1"/>
  <c r="A240" i="1"/>
  <c r="F239" i="1"/>
  <c r="A239" i="1"/>
  <c r="F238" i="1"/>
  <c r="A238" i="1"/>
  <c r="F237" i="1"/>
  <c r="A237" i="1"/>
  <c r="F236" i="1"/>
  <c r="A236" i="1"/>
  <c r="F235" i="1"/>
  <c r="A235" i="1"/>
  <c r="F234" i="1"/>
  <c r="A234" i="1"/>
  <c r="F233" i="1"/>
  <c r="A233" i="1"/>
  <c r="F232" i="1"/>
  <c r="A232" i="1"/>
  <c r="F231" i="1"/>
  <c r="A231" i="1"/>
  <c r="F230" i="1"/>
  <c r="A230" i="1"/>
  <c r="F229" i="1"/>
  <c r="A229" i="1"/>
  <c r="F228" i="1"/>
  <c r="A228" i="1"/>
  <c r="F227" i="1"/>
  <c r="A227" i="1"/>
  <c r="F226" i="1"/>
  <c r="A226" i="1"/>
  <c r="F225" i="1"/>
  <c r="A225" i="1"/>
  <c r="F224" i="1"/>
  <c r="A224" i="1"/>
  <c r="F223" i="1"/>
  <c r="A223" i="1"/>
  <c r="F222" i="1"/>
  <c r="A222" i="1"/>
  <c r="F221" i="1"/>
  <c r="A221" i="1"/>
  <c r="F220" i="1"/>
  <c r="A220" i="1"/>
  <c r="F219" i="1"/>
  <c r="A219" i="1"/>
  <c r="F218" i="1"/>
  <c r="A218" i="1"/>
  <c r="F217" i="1"/>
  <c r="A217" i="1"/>
  <c r="F216" i="1"/>
  <c r="A216" i="1"/>
  <c r="F215" i="1"/>
  <c r="A215" i="1"/>
  <c r="F214" i="1"/>
  <c r="A214" i="1"/>
  <c r="F213" i="1"/>
  <c r="A213" i="1"/>
  <c r="F212" i="1"/>
  <c r="A212" i="1"/>
  <c r="F211" i="1"/>
  <c r="A211" i="1"/>
  <c r="F210" i="1"/>
  <c r="A210" i="1"/>
  <c r="F209" i="1"/>
  <c r="A209" i="1"/>
  <c r="F208" i="1"/>
  <c r="A208" i="1"/>
  <c r="F207" i="1"/>
  <c r="A207" i="1"/>
  <c r="F206" i="1"/>
  <c r="A206" i="1"/>
  <c r="F205" i="1"/>
  <c r="A205" i="1"/>
  <c r="F204" i="1"/>
  <c r="A204" i="1"/>
  <c r="F203" i="1"/>
  <c r="A203" i="1"/>
  <c r="F202" i="1"/>
  <c r="A202" i="1"/>
  <c r="F201" i="1"/>
  <c r="A201" i="1"/>
  <c r="F200" i="1"/>
  <c r="A200" i="1"/>
  <c r="F199" i="1"/>
  <c r="A199" i="1"/>
  <c r="F198" i="1"/>
  <c r="A198" i="1"/>
  <c r="F197" i="1"/>
  <c r="A197" i="1"/>
  <c r="F196" i="1"/>
  <c r="A196" i="1"/>
  <c r="F195" i="1"/>
  <c r="A195" i="1"/>
  <c r="F194" i="1"/>
  <c r="A194" i="1"/>
  <c r="F193" i="1"/>
  <c r="A193" i="1"/>
  <c r="F192" i="1"/>
  <c r="A192" i="1"/>
  <c r="F191" i="1"/>
  <c r="A191" i="1"/>
  <c r="F190" i="1"/>
  <c r="A190" i="1"/>
  <c r="F189" i="1"/>
  <c r="A189" i="1"/>
  <c r="F188" i="1"/>
  <c r="A188" i="1"/>
  <c r="F187" i="1"/>
  <c r="A187" i="1"/>
  <c r="F186" i="1"/>
  <c r="A186" i="1"/>
  <c r="F185" i="1"/>
  <c r="A185" i="1"/>
  <c r="F184" i="1"/>
  <c r="A184" i="1"/>
  <c r="F183" i="1"/>
  <c r="A183" i="1"/>
  <c r="F182" i="1"/>
  <c r="A182" i="1"/>
  <c r="F181" i="1"/>
  <c r="A181" i="1"/>
  <c r="F180" i="1"/>
  <c r="A180" i="1"/>
  <c r="F179" i="1"/>
  <c r="A179" i="1"/>
  <c r="F178" i="1"/>
  <c r="A178" i="1"/>
  <c r="F177" i="1"/>
  <c r="A177" i="1"/>
  <c r="F176" i="1"/>
  <c r="A176" i="1"/>
  <c r="F175" i="1"/>
  <c r="A175" i="1"/>
  <c r="F174" i="1"/>
  <c r="A174" i="1"/>
  <c r="F173" i="1"/>
  <c r="A173" i="1"/>
  <c r="F172" i="1"/>
  <c r="A172" i="1"/>
  <c r="F171" i="1"/>
  <c r="A171" i="1"/>
  <c r="F170" i="1"/>
  <c r="A170" i="1"/>
  <c r="F169" i="1"/>
  <c r="A169" i="1"/>
  <c r="F168" i="1"/>
  <c r="A168" i="1"/>
  <c r="F167" i="1"/>
  <c r="A167" i="1"/>
  <c r="F166" i="1"/>
  <c r="A166" i="1"/>
  <c r="F165" i="1"/>
  <c r="A165" i="1"/>
  <c r="F164" i="1"/>
  <c r="A164" i="1"/>
  <c r="F163" i="1"/>
  <c r="A163" i="1"/>
  <c r="F162" i="1"/>
  <c r="A162" i="1"/>
  <c r="F161" i="1"/>
  <c r="A161" i="1"/>
  <c r="F160" i="1"/>
  <c r="A160" i="1"/>
  <c r="F159" i="1"/>
  <c r="A159" i="1"/>
  <c r="F158" i="1"/>
  <c r="A158" i="1"/>
  <c r="F157" i="1"/>
  <c r="A157" i="1"/>
  <c r="F156" i="1"/>
  <c r="A156" i="1"/>
  <c r="F155" i="1"/>
  <c r="A155" i="1"/>
  <c r="F154" i="1"/>
  <c r="A154" i="1"/>
  <c r="F153" i="1"/>
  <c r="A153" i="1"/>
  <c r="F152" i="1"/>
  <c r="A152" i="1"/>
  <c r="F151" i="1"/>
  <c r="A151" i="1"/>
  <c r="F150" i="1"/>
  <c r="A150" i="1"/>
  <c r="F149" i="1"/>
  <c r="A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F136" i="1"/>
  <c r="A136" i="1"/>
  <c r="F135" i="1"/>
  <c r="A135" i="1"/>
  <c r="F134" i="1"/>
  <c r="A134" i="1"/>
  <c r="F133" i="1"/>
  <c r="A133" i="1"/>
  <c r="F132" i="1"/>
  <c r="A132" i="1"/>
  <c r="F131" i="1"/>
  <c r="A131" i="1"/>
  <c r="F130" i="1"/>
  <c r="A130" i="1"/>
  <c r="F129" i="1"/>
  <c r="A129" i="1"/>
  <c r="F128" i="1"/>
  <c r="A128" i="1"/>
  <c r="F127" i="1"/>
  <c r="A127" i="1"/>
  <c r="F126" i="1"/>
  <c r="A126" i="1"/>
  <c r="F125" i="1"/>
  <c r="A125" i="1"/>
  <c r="F124" i="1"/>
  <c r="A124" i="1"/>
  <c r="F123" i="1"/>
  <c r="A123" i="1"/>
  <c r="F122" i="1"/>
  <c r="A122" i="1"/>
  <c r="F121" i="1"/>
  <c r="A121" i="1"/>
  <c r="F120" i="1"/>
  <c r="A120" i="1"/>
  <c r="F119" i="1"/>
  <c r="A119" i="1"/>
  <c r="F118" i="1"/>
  <c r="A118" i="1"/>
  <c r="F117" i="1"/>
  <c r="A117" i="1"/>
  <c r="F116" i="1"/>
  <c r="A116" i="1"/>
  <c r="F115" i="1"/>
  <c r="A115" i="1"/>
  <c r="F114" i="1"/>
  <c r="A114" i="1"/>
  <c r="F113" i="1"/>
  <c r="A113" i="1"/>
  <c r="F112" i="1"/>
  <c r="A112" i="1"/>
  <c r="F111" i="1"/>
  <c r="A111" i="1"/>
  <c r="F110" i="1"/>
  <c r="A110" i="1"/>
  <c r="F109" i="1"/>
  <c r="A109" i="1"/>
  <c r="F108" i="1"/>
  <c r="A108" i="1"/>
  <c r="F107" i="1"/>
  <c r="A107" i="1"/>
  <c r="F106" i="1"/>
  <c r="A106" i="1"/>
  <c r="F105" i="1"/>
  <c r="A105" i="1"/>
  <c r="F104" i="1"/>
  <c r="A104" i="1"/>
  <c r="F103" i="1"/>
  <c r="A103" i="1"/>
  <c r="F102" i="1"/>
  <c r="A102" i="1"/>
  <c r="F101" i="1"/>
  <c r="A101" i="1"/>
  <c r="F100" i="1"/>
  <c r="A100" i="1"/>
  <c r="F99" i="1"/>
  <c r="A99" i="1"/>
  <c r="F98" i="1"/>
  <c r="A98" i="1"/>
  <c r="F97" i="1"/>
  <c r="A97" i="1"/>
  <c r="F96" i="1"/>
  <c r="A96" i="1"/>
  <c r="F95" i="1"/>
  <c r="A95" i="1"/>
  <c r="F94" i="1"/>
  <c r="A94" i="1"/>
  <c r="F93" i="1"/>
  <c r="A93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4" i="1"/>
  <c r="A64" i="1"/>
  <c r="F63" i="1"/>
  <c r="A63" i="1"/>
  <c r="F62" i="1"/>
  <c r="A62" i="1"/>
  <c r="F61" i="1"/>
  <c r="A61" i="1"/>
  <c r="F60" i="1"/>
  <c r="A60" i="1"/>
  <c r="F59" i="1"/>
  <c r="A59" i="1"/>
  <c r="F58" i="1"/>
  <c r="A58" i="1"/>
  <c r="F57" i="1"/>
  <c r="A57" i="1"/>
  <c r="F56" i="1"/>
  <c r="A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A45" i="1"/>
  <c r="F44" i="1"/>
  <c r="A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E6" i="1" s="1"/>
  <c r="A9" i="1"/>
  <c r="G6" i="1"/>
  <c r="C6" i="1"/>
  <c r="A6" i="1"/>
  <c r="A2" i="1"/>
  <c r="H7" i="5" l="1"/>
  <c r="M7" i="5"/>
  <c r="N7" i="5" s="1"/>
  <c r="I9" i="5"/>
  <c r="J6" i="5"/>
  <c r="H6" i="5"/>
  <c r="F6" i="5"/>
  <c r="D6" i="5"/>
  <c r="B6" i="5"/>
  <c r="C6" i="5" s="1"/>
  <c r="E6" i="5" s="1"/>
  <c r="I6" i="5"/>
  <c r="J8" i="5"/>
  <c r="H8" i="5"/>
  <c r="F8" i="5"/>
  <c r="D8" i="5"/>
  <c r="B8" i="5"/>
  <c r="C8" i="5" s="1"/>
  <c r="E8" i="5" s="1"/>
  <c r="I8" i="5"/>
  <c r="C7" i="5"/>
  <c r="E7" i="5"/>
  <c r="G7" i="5"/>
  <c r="C9" i="5"/>
  <c r="E9" i="5" s="1"/>
  <c r="G9" i="5"/>
  <c r="B10" i="5"/>
  <c r="D10" i="5"/>
  <c r="F10" i="5"/>
  <c r="H10" i="5"/>
  <c r="J10" i="5"/>
  <c r="C11" i="5"/>
  <c r="E11" i="5"/>
  <c r="K11" i="5" s="1"/>
  <c r="K22" i="3" s="1"/>
  <c r="L22" i="3" s="1"/>
  <c r="G11" i="5"/>
  <c r="B12" i="5"/>
  <c r="D12" i="5"/>
  <c r="F12" i="5"/>
  <c r="H12" i="5"/>
  <c r="J12" i="5"/>
  <c r="C13" i="5"/>
  <c r="E13" i="5"/>
  <c r="K13" i="5" s="1"/>
  <c r="K24" i="2" s="1"/>
  <c r="L24" i="2" s="1"/>
  <c r="G13" i="5"/>
  <c r="B14" i="5"/>
  <c r="D14" i="5"/>
  <c r="F14" i="5"/>
  <c r="H14" i="5"/>
  <c r="J14" i="5"/>
  <c r="C15" i="5"/>
  <c r="E15" i="5"/>
  <c r="K15" i="5" s="1"/>
  <c r="K26" i="3" s="1"/>
  <c r="L26" i="3" s="1"/>
  <c r="G15" i="5"/>
  <c r="B16" i="5"/>
  <c r="D16" i="5"/>
  <c r="F16" i="5"/>
  <c r="H16" i="5"/>
  <c r="J16" i="5"/>
  <c r="C17" i="5"/>
  <c r="E17" i="5"/>
  <c r="K17" i="5" s="1"/>
  <c r="K28" i="2" s="1"/>
  <c r="L28" i="2" s="1"/>
  <c r="G17" i="5"/>
  <c r="B18" i="5"/>
  <c r="D18" i="5"/>
  <c r="F18" i="5"/>
  <c r="H18" i="5"/>
  <c r="J18" i="5"/>
  <c r="C19" i="5"/>
  <c r="E19" i="5"/>
  <c r="K19" i="5" s="1"/>
  <c r="K30" i="3" s="1"/>
  <c r="L30" i="3" s="1"/>
  <c r="G19" i="5"/>
  <c r="B20" i="5"/>
  <c r="D20" i="5"/>
  <c r="F20" i="5"/>
  <c r="H20" i="5"/>
  <c r="J20" i="5"/>
  <c r="C21" i="5"/>
  <c r="E21" i="5"/>
  <c r="K21" i="5" s="1"/>
  <c r="K32" i="2" s="1"/>
  <c r="L32" i="2" s="1"/>
  <c r="G21" i="5"/>
  <c r="B22" i="5"/>
  <c r="D22" i="5"/>
  <c r="F22" i="5"/>
  <c r="H22" i="5"/>
  <c r="J22" i="5"/>
  <c r="C23" i="5"/>
  <c r="E23" i="5"/>
  <c r="K23" i="5" s="1"/>
  <c r="K34" i="3" s="1"/>
  <c r="L34" i="3" s="1"/>
  <c r="G23" i="5"/>
  <c r="B24" i="5"/>
  <c r="D24" i="5"/>
  <c r="F24" i="5"/>
  <c r="H24" i="5"/>
  <c r="J24" i="5"/>
  <c r="C25" i="5"/>
  <c r="E25" i="5"/>
  <c r="K25" i="5" s="1"/>
  <c r="K36" i="2" s="1"/>
  <c r="L36" i="2" s="1"/>
  <c r="G25" i="5"/>
  <c r="B26" i="5"/>
  <c r="D26" i="5"/>
  <c r="F26" i="5"/>
  <c r="H26" i="5"/>
  <c r="J26" i="5"/>
  <c r="C27" i="5"/>
  <c r="E27" i="5"/>
  <c r="K27" i="5" s="1"/>
  <c r="K38" i="3" s="1"/>
  <c r="L38" i="3" s="1"/>
  <c r="G27" i="5"/>
  <c r="B28" i="5"/>
  <c r="D28" i="5"/>
  <c r="F28" i="5"/>
  <c r="H28" i="5"/>
  <c r="J28" i="5"/>
  <c r="C29" i="5"/>
  <c r="E29" i="5"/>
  <c r="K29" i="5" s="1"/>
  <c r="K40" i="2" s="1"/>
  <c r="L40" i="2" s="1"/>
  <c r="G29" i="5"/>
  <c r="B30" i="5"/>
  <c r="D30" i="5"/>
  <c r="F30" i="5"/>
  <c r="H30" i="5"/>
  <c r="J30" i="5"/>
  <c r="C31" i="5"/>
  <c r="E31" i="5"/>
  <c r="K31" i="5" s="1"/>
  <c r="K42" i="3" s="1"/>
  <c r="L42" i="3" s="1"/>
  <c r="G31" i="5"/>
  <c r="B32" i="5"/>
  <c r="D32" i="5"/>
  <c r="F32" i="5"/>
  <c r="H32" i="5"/>
  <c r="J32" i="5"/>
  <c r="C33" i="5"/>
  <c r="E33" i="5"/>
  <c r="K33" i="5" s="1"/>
  <c r="K44" i="2" s="1"/>
  <c r="L44" i="2" s="1"/>
  <c r="G33" i="5"/>
  <c r="B34" i="5"/>
  <c r="D34" i="5"/>
  <c r="F34" i="5"/>
  <c r="H34" i="5"/>
  <c r="J34" i="5"/>
  <c r="C35" i="5"/>
  <c r="E35" i="5"/>
  <c r="K35" i="5" s="1"/>
  <c r="K46" i="3" s="1"/>
  <c r="L46" i="3" s="1"/>
  <c r="G35" i="5"/>
  <c r="B36" i="5"/>
  <c r="D36" i="5"/>
  <c r="F36" i="5"/>
  <c r="H36" i="5"/>
  <c r="J36" i="5"/>
  <c r="C37" i="5"/>
  <c r="E37" i="5"/>
  <c r="K37" i="5" s="1"/>
  <c r="K48" i="2" s="1"/>
  <c r="L48" i="2" s="1"/>
  <c r="G37" i="5"/>
  <c r="B38" i="5"/>
  <c r="D38" i="5"/>
  <c r="F38" i="5"/>
  <c r="H38" i="5"/>
  <c r="J38" i="5"/>
  <c r="C39" i="5"/>
  <c r="E39" i="5"/>
  <c r="K39" i="5" s="1"/>
  <c r="K50" i="3" s="1"/>
  <c r="L50" i="3" s="1"/>
  <c r="G39" i="5"/>
  <c r="B40" i="5"/>
  <c r="D40" i="5"/>
  <c r="F40" i="5"/>
  <c r="H40" i="5"/>
  <c r="J40" i="5"/>
  <c r="C41" i="5"/>
  <c r="E41" i="5"/>
  <c r="K41" i="5" s="1"/>
  <c r="K52" i="2" s="1"/>
  <c r="L52" i="2" s="1"/>
  <c r="G41" i="5"/>
  <c r="B42" i="5"/>
  <c r="D42" i="5"/>
  <c r="F42" i="5"/>
  <c r="H42" i="5"/>
  <c r="J42" i="5"/>
  <c r="C43" i="5"/>
  <c r="E43" i="5"/>
  <c r="K43" i="5" s="1"/>
  <c r="K54" i="3" s="1"/>
  <c r="L54" i="3" s="1"/>
  <c r="G43" i="5"/>
  <c r="B44" i="5"/>
  <c r="D44" i="5"/>
  <c r="F44" i="5"/>
  <c r="H44" i="5"/>
  <c r="J44" i="5"/>
  <c r="C45" i="5"/>
  <c r="E45" i="5"/>
  <c r="K45" i="5" s="1"/>
  <c r="K56" i="2" s="1"/>
  <c r="L56" i="2" s="1"/>
  <c r="G45" i="5"/>
  <c r="B46" i="5"/>
  <c r="D46" i="5"/>
  <c r="F46" i="5"/>
  <c r="H46" i="5"/>
  <c r="J46" i="5"/>
  <c r="C47" i="5"/>
  <c r="E47" i="5"/>
  <c r="K47" i="5" s="1"/>
  <c r="K58" i="3" s="1"/>
  <c r="L58" i="3" s="1"/>
  <c r="G47" i="5"/>
  <c r="B48" i="5"/>
  <c r="D48" i="5"/>
  <c r="F48" i="5"/>
  <c r="H48" i="5"/>
  <c r="J48" i="5"/>
  <c r="C49" i="5"/>
  <c r="E49" i="5"/>
  <c r="K49" i="5" s="1"/>
  <c r="K60" i="2" s="1"/>
  <c r="L60" i="2" s="1"/>
  <c r="G49" i="5"/>
  <c r="B50" i="5"/>
  <c r="D50" i="5"/>
  <c r="F50" i="5"/>
  <c r="H50" i="5"/>
  <c r="J50" i="5"/>
  <c r="C51" i="5"/>
  <c r="E51" i="5"/>
  <c r="K51" i="5" s="1"/>
  <c r="K62" i="3" s="1"/>
  <c r="L62" i="3" s="1"/>
  <c r="G51" i="5"/>
  <c r="B52" i="5"/>
  <c r="D52" i="5"/>
  <c r="F52" i="5"/>
  <c r="H52" i="5"/>
  <c r="J52" i="5"/>
  <c r="C53" i="5"/>
  <c r="E53" i="5"/>
  <c r="K53" i="5" s="1"/>
  <c r="K64" i="2" s="1"/>
  <c r="L64" i="2" s="1"/>
  <c r="G53" i="5"/>
  <c r="B54" i="5"/>
  <c r="D54" i="5"/>
  <c r="F54" i="5"/>
  <c r="H54" i="5"/>
  <c r="J54" i="5"/>
  <c r="C55" i="5"/>
  <c r="E55" i="5"/>
  <c r="K55" i="5" s="1"/>
  <c r="K66" i="3" s="1"/>
  <c r="L66" i="3" s="1"/>
  <c r="G55" i="5"/>
  <c r="B56" i="5"/>
  <c r="D56" i="5"/>
  <c r="F56" i="5"/>
  <c r="H56" i="5"/>
  <c r="J56" i="5"/>
  <c r="C57" i="5"/>
  <c r="E57" i="5"/>
  <c r="K57" i="5" s="1"/>
  <c r="K68" i="2" s="1"/>
  <c r="L68" i="2" s="1"/>
  <c r="G57" i="5"/>
  <c r="B58" i="5"/>
  <c r="D58" i="5"/>
  <c r="F58" i="5"/>
  <c r="H58" i="5"/>
  <c r="J58" i="5"/>
  <c r="C59" i="5"/>
  <c r="E59" i="5"/>
  <c r="K59" i="5" s="1"/>
  <c r="K70" i="3" s="1"/>
  <c r="L70" i="3" s="1"/>
  <c r="G59" i="5"/>
  <c r="B60" i="5"/>
  <c r="D60" i="5"/>
  <c r="F60" i="5"/>
  <c r="H60" i="5"/>
  <c r="J60" i="5"/>
  <c r="C61" i="5"/>
  <c r="E61" i="5"/>
  <c r="K61" i="5" s="1"/>
  <c r="K72" i="2" s="1"/>
  <c r="L72" i="2" s="1"/>
  <c r="G61" i="5"/>
  <c r="B62" i="5"/>
  <c r="D62" i="5"/>
  <c r="F62" i="5"/>
  <c r="H62" i="5"/>
  <c r="J62" i="5"/>
  <c r="C63" i="5"/>
  <c r="E63" i="5"/>
  <c r="K63" i="5" s="1"/>
  <c r="K74" i="3" s="1"/>
  <c r="L74" i="3" s="1"/>
  <c r="G63" i="5"/>
  <c r="B64" i="5"/>
  <c r="D64" i="5"/>
  <c r="F64" i="5"/>
  <c r="H64" i="5"/>
  <c r="J64" i="5"/>
  <c r="C65" i="5"/>
  <c r="E65" i="5"/>
  <c r="K65" i="5" s="1"/>
  <c r="K76" i="2" s="1"/>
  <c r="L76" i="2" s="1"/>
  <c r="G65" i="5"/>
  <c r="B66" i="5"/>
  <c r="D66" i="5"/>
  <c r="F66" i="5"/>
  <c r="H66" i="5"/>
  <c r="J66" i="5"/>
  <c r="C67" i="5"/>
  <c r="E67" i="5"/>
  <c r="K67" i="5" s="1"/>
  <c r="K78" i="3" s="1"/>
  <c r="L78" i="3" s="1"/>
  <c r="G67" i="5"/>
  <c r="B68" i="5"/>
  <c r="D68" i="5"/>
  <c r="F68" i="5"/>
  <c r="H68" i="5"/>
  <c r="J68" i="5"/>
  <c r="C69" i="5"/>
  <c r="E69" i="5"/>
  <c r="K69" i="5" s="1"/>
  <c r="K80" i="2" s="1"/>
  <c r="L80" i="2" s="1"/>
  <c r="G69" i="5"/>
  <c r="B70" i="5"/>
  <c r="D70" i="5"/>
  <c r="F70" i="5"/>
  <c r="H70" i="5"/>
  <c r="J70" i="5"/>
  <c r="C71" i="5"/>
  <c r="E71" i="5"/>
  <c r="K71" i="5" s="1"/>
  <c r="K82" i="3" s="1"/>
  <c r="L82" i="3" s="1"/>
  <c r="G71" i="5"/>
  <c r="B72" i="5"/>
  <c r="D72" i="5"/>
  <c r="F72" i="5"/>
  <c r="H72" i="5"/>
  <c r="J72" i="5"/>
  <c r="C73" i="5"/>
  <c r="E73" i="5"/>
  <c r="K73" i="5" s="1"/>
  <c r="K84" i="2" s="1"/>
  <c r="L84" i="2" s="1"/>
  <c r="G73" i="5"/>
  <c r="B74" i="5"/>
  <c r="D74" i="5"/>
  <c r="F74" i="5"/>
  <c r="H74" i="5"/>
  <c r="J74" i="5"/>
  <c r="C75" i="5"/>
  <c r="E75" i="5"/>
  <c r="K75" i="5" s="1"/>
  <c r="K86" i="3" s="1"/>
  <c r="L86" i="3" s="1"/>
  <c r="G75" i="5"/>
  <c r="B76" i="5"/>
  <c r="D76" i="5"/>
  <c r="F76" i="5"/>
  <c r="H76" i="5"/>
  <c r="J76" i="5"/>
  <c r="C77" i="5"/>
  <c r="E77" i="5"/>
  <c r="K77" i="5" s="1"/>
  <c r="K88" i="2" s="1"/>
  <c r="L88" i="2" s="1"/>
  <c r="G77" i="5"/>
  <c r="B78" i="5"/>
  <c r="D78" i="5"/>
  <c r="F78" i="5"/>
  <c r="H78" i="5"/>
  <c r="J78" i="5"/>
  <c r="C79" i="5"/>
  <c r="E79" i="5"/>
  <c r="K79" i="5" s="1"/>
  <c r="K90" i="3" s="1"/>
  <c r="L90" i="3" s="1"/>
  <c r="G79" i="5"/>
  <c r="B80" i="5"/>
  <c r="D80" i="5"/>
  <c r="F80" i="5"/>
  <c r="H80" i="5"/>
  <c r="J80" i="5"/>
  <c r="C81" i="5"/>
  <c r="E81" i="5"/>
  <c r="K81" i="5" s="1"/>
  <c r="K92" i="2" s="1"/>
  <c r="L92" i="2" s="1"/>
  <c r="G81" i="5"/>
  <c r="B82" i="5"/>
  <c r="D82" i="5"/>
  <c r="F82" i="5"/>
  <c r="H82" i="5"/>
  <c r="J82" i="5"/>
  <c r="C83" i="5"/>
  <c r="E83" i="5"/>
  <c r="K83" i="5" s="1"/>
  <c r="K94" i="3" s="1"/>
  <c r="L94" i="3" s="1"/>
  <c r="G83" i="5"/>
  <c r="B84" i="5"/>
  <c r="D84" i="5"/>
  <c r="F84" i="5"/>
  <c r="H84" i="5"/>
  <c r="J84" i="5"/>
  <c r="C85" i="5"/>
  <c r="E85" i="5"/>
  <c r="K85" i="5" s="1"/>
  <c r="K96" i="2" s="1"/>
  <c r="L96" i="2" s="1"/>
  <c r="G85" i="5"/>
  <c r="B86" i="5"/>
  <c r="D86" i="5"/>
  <c r="F86" i="5"/>
  <c r="H86" i="5"/>
  <c r="J86" i="5"/>
  <c r="C87" i="5"/>
  <c r="E87" i="5"/>
  <c r="K87" i="5" s="1"/>
  <c r="K98" i="3" s="1"/>
  <c r="L98" i="3" s="1"/>
  <c r="G87" i="5"/>
  <c r="B88" i="5"/>
  <c r="D88" i="5"/>
  <c r="F88" i="5"/>
  <c r="H88" i="5"/>
  <c r="J88" i="5"/>
  <c r="C89" i="5"/>
  <c r="E89" i="5"/>
  <c r="K89" i="5" s="1"/>
  <c r="K100" i="2" s="1"/>
  <c r="L100" i="2" s="1"/>
  <c r="G89" i="5"/>
  <c r="B90" i="5"/>
  <c r="D90" i="5"/>
  <c r="F90" i="5"/>
  <c r="H90" i="5"/>
  <c r="J90" i="5"/>
  <c r="C91" i="5"/>
  <c r="E91" i="5"/>
  <c r="K91" i="5" s="1"/>
  <c r="K102" i="3" s="1"/>
  <c r="L102" i="3" s="1"/>
  <c r="G91" i="5"/>
  <c r="B92" i="5"/>
  <c r="D92" i="5"/>
  <c r="F92" i="5"/>
  <c r="H92" i="5"/>
  <c r="J92" i="5"/>
  <c r="C93" i="5"/>
  <c r="E93" i="5"/>
  <c r="K93" i="5" s="1"/>
  <c r="K104" i="2" s="1"/>
  <c r="L104" i="2" s="1"/>
  <c r="G93" i="5"/>
  <c r="B94" i="5"/>
  <c r="D94" i="5"/>
  <c r="F94" i="5"/>
  <c r="H94" i="5"/>
  <c r="J94" i="5"/>
  <c r="C95" i="5"/>
  <c r="E95" i="5"/>
  <c r="K95" i="5" s="1"/>
  <c r="K106" i="3" s="1"/>
  <c r="L106" i="3" s="1"/>
  <c r="G95" i="5"/>
  <c r="B96" i="5"/>
  <c r="D96" i="5"/>
  <c r="F96" i="5"/>
  <c r="H96" i="5"/>
  <c r="J96" i="5"/>
  <c r="C97" i="5"/>
  <c r="E97" i="5"/>
  <c r="K97" i="5" s="1"/>
  <c r="K108" i="2" s="1"/>
  <c r="L108" i="2" s="1"/>
  <c r="G97" i="5"/>
  <c r="B98" i="5"/>
  <c r="D98" i="5"/>
  <c r="F98" i="5"/>
  <c r="H98" i="5"/>
  <c r="J98" i="5"/>
  <c r="C99" i="5"/>
  <c r="E99" i="5"/>
  <c r="K99" i="5" s="1"/>
  <c r="K110" i="3" s="1"/>
  <c r="L110" i="3" s="1"/>
  <c r="G99" i="5"/>
  <c r="B100" i="5"/>
  <c r="D100" i="5"/>
  <c r="F100" i="5"/>
  <c r="H100" i="5"/>
  <c r="J100" i="5"/>
  <c r="C101" i="5"/>
  <c r="E101" i="5"/>
  <c r="K101" i="5" s="1"/>
  <c r="K112" i="2" s="1"/>
  <c r="L112" i="2" s="1"/>
  <c r="G101" i="5"/>
  <c r="B102" i="5"/>
  <c r="D102" i="5"/>
  <c r="F102" i="5"/>
  <c r="H102" i="5"/>
  <c r="J102" i="5"/>
  <c r="C103" i="5"/>
  <c r="E103" i="5"/>
  <c r="K103" i="5" s="1"/>
  <c r="K114" i="3" s="1"/>
  <c r="L114" i="3" s="1"/>
  <c r="G103" i="5"/>
  <c r="B104" i="5"/>
  <c r="D104" i="5"/>
  <c r="F104" i="5"/>
  <c r="H104" i="5"/>
  <c r="J104" i="5"/>
  <c r="C105" i="5"/>
  <c r="E105" i="5"/>
  <c r="K105" i="5" s="1"/>
  <c r="K116" i="2" s="1"/>
  <c r="L116" i="2" s="1"/>
  <c r="G105" i="5"/>
  <c r="B106" i="5"/>
  <c r="D106" i="5"/>
  <c r="F106" i="5"/>
  <c r="H106" i="5"/>
  <c r="J106" i="5"/>
  <c r="C107" i="5"/>
  <c r="E107" i="5"/>
  <c r="K107" i="5" s="1"/>
  <c r="K118" i="3" s="1"/>
  <c r="L118" i="3" s="1"/>
  <c r="G107" i="5"/>
  <c r="B108" i="5"/>
  <c r="D108" i="5"/>
  <c r="F108" i="5"/>
  <c r="H108" i="5"/>
  <c r="J108" i="5"/>
  <c r="C109" i="5"/>
  <c r="E109" i="5"/>
  <c r="K109" i="5" s="1"/>
  <c r="K120" i="2" s="1"/>
  <c r="L120" i="2" s="1"/>
  <c r="G109" i="5"/>
  <c r="B110" i="5"/>
  <c r="D110" i="5"/>
  <c r="F110" i="5"/>
  <c r="H110" i="5"/>
  <c r="J110" i="5"/>
  <c r="C111" i="5"/>
  <c r="E111" i="5"/>
  <c r="K111" i="5" s="1"/>
  <c r="K122" i="3" s="1"/>
  <c r="L122" i="3" s="1"/>
  <c r="G111" i="5"/>
  <c r="B112" i="5"/>
  <c r="D112" i="5"/>
  <c r="F112" i="5"/>
  <c r="H112" i="5"/>
  <c r="J112" i="5"/>
  <c r="C113" i="5"/>
  <c r="E113" i="5"/>
  <c r="K113" i="5" s="1"/>
  <c r="K124" i="2" s="1"/>
  <c r="L124" i="2" s="1"/>
  <c r="G113" i="5"/>
  <c r="B114" i="5"/>
  <c r="D114" i="5"/>
  <c r="F114" i="5"/>
  <c r="H114" i="5"/>
  <c r="J114" i="5"/>
  <c r="J115" i="5"/>
  <c r="H115" i="5"/>
  <c r="C115" i="5"/>
  <c r="E115" i="5"/>
  <c r="K115" i="5" s="1"/>
  <c r="K126" i="3" s="1"/>
  <c r="L126" i="3" s="1"/>
  <c r="G115" i="5"/>
  <c r="C119" i="5"/>
  <c r="C123" i="5"/>
  <c r="C127" i="5"/>
  <c r="C131" i="5"/>
  <c r="C135" i="5"/>
  <c r="C139" i="5"/>
  <c r="C143" i="5"/>
  <c r="C147" i="5"/>
  <c r="C151" i="5"/>
  <c r="C155" i="5"/>
  <c r="C159" i="5"/>
  <c r="C163" i="5"/>
  <c r="C167" i="5"/>
  <c r="C171" i="5"/>
  <c r="C175" i="5"/>
  <c r="C10" i="5"/>
  <c r="E10" i="5"/>
  <c r="K10" i="5" s="1"/>
  <c r="K21" i="2" s="1"/>
  <c r="L21" i="2" s="1"/>
  <c r="G10" i="5"/>
  <c r="C12" i="5"/>
  <c r="E12" i="5"/>
  <c r="K12" i="5" s="1"/>
  <c r="K23" i="2" s="1"/>
  <c r="L23" i="2" s="1"/>
  <c r="G12" i="5"/>
  <c r="C14" i="5"/>
  <c r="E14" i="5"/>
  <c r="K14" i="5" s="1"/>
  <c r="K25" i="2" s="1"/>
  <c r="L25" i="2" s="1"/>
  <c r="G14" i="5"/>
  <c r="C16" i="5"/>
  <c r="E16" i="5"/>
  <c r="K16" i="5" s="1"/>
  <c r="K27" i="2" s="1"/>
  <c r="L27" i="2" s="1"/>
  <c r="G16" i="5"/>
  <c r="C18" i="5"/>
  <c r="E18" i="5"/>
  <c r="K18" i="5" s="1"/>
  <c r="K29" i="2" s="1"/>
  <c r="L29" i="2" s="1"/>
  <c r="G18" i="5"/>
  <c r="C20" i="5"/>
  <c r="E20" i="5"/>
  <c r="K20" i="5" s="1"/>
  <c r="K31" i="2" s="1"/>
  <c r="L31" i="2" s="1"/>
  <c r="G20" i="5"/>
  <c r="C22" i="5"/>
  <c r="E22" i="5"/>
  <c r="K22" i="5" s="1"/>
  <c r="K33" i="2" s="1"/>
  <c r="L33" i="2" s="1"/>
  <c r="G22" i="5"/>
  <c r="C24" i="5"/>
  <c r="E24" i="5"/>
  <c r="K24" i="5" s="1"/>
  <c r="K35" i="2" s="1"/>
  <c r="L35" i="2" s="1"/>
  <c r="G24" i="5"/>
  <c r="C26" i="5"/>
  <c r="E26" i="5"/>
  <c r="K26" i="5" s="1"/>
  <c r="K37" i="2" s="1"/>
  <c r="L37" i="2" s="1"/>
  <c r="G26" i="5"/>
  <c r="C28" i="5"/>
  <c r="E28" i="5"/>
  <c r="K28" i="5" s="1"/>
  <c r="K39" i="2" s="1"/>
  <c r="L39" i="2" s="1"/>
  <c r="G28" i="5"/>
  <c r="C30" i="5"/>
  <c r="E30" i="5"/>
  <c r="K30" i="5" s="1"/>
  <c r="K41" i="2" s="1"/>
  <c r="L41" i="2" s="1"/>
  <c r="G30" i="5"/>
  <c r="C32" i="5"/>
  <c r="E32" i="5"/>
  <c r="K32" i="5" s="1"/>
  <c r="K43" i="2" s="1"/>
  <c r="L43" i="2" s="1"/>
  <c r="G32" i="5"/>
  <c r="C34" i="5"/>
  <c r="E34" i="5"/>
  <c r="K34" i="5" s="1"/>
  <c r="K45" i="2" s="1"/>
  <c r="L45" i="2" s="1"/>
  <c r="G34" i="5"/>
  <c r="C36" i="5"/>
  <c r="E36" i="5"/>
  <c r="K36" i="5" s="1"/>
  <c r="K47" i="2" s="1"/>
  <c r="L47" i="2" s="1"/>
  <c r="G36" i="5"/>
  <c r="C38" i="5"/>
  <c r="E38" i="5"/>
  <c r="K38" i="5" s="1"/>
  <c r="K49" i="2" s="1"/>
  <c r="L49" i="2" s="1"/>
  <c r="G38" i="5"/>
  <c r="C40" i="5"/>
  <c r="E40" i="5"/>
  <c r="K40" i="5" s="1"/>
  <c r="K51" i="2" s="1"/>
  <c r="L51" i="2" s="1"/>
  <c r="G40" i="5"/>
  <c r="C42" i="5"/>
  <c r="E42" i="5"/>
  <c r="K42" i="5" s="1"/>
  <c r="K53" i="2" s="1"/>
  <c r="L53" i="2" s="1"/>
  <c r="G42" i="5"/>
  <c r="C44" i="5"/>
  <c r="E44" i="5"/>
  <c r="K44" i="5" s="1"/>
  <c r="K55" i="2" s="1"/>
  <c r="L55" i="2" s="1"/>
  <c r="G44" i="5"/>
  <c r="C46" i="5"/>
  <c r="E46" i="5"/>
  <c r="K46" i="5" s="1"/>
  <c r="K57" i="2" s="1"/>
  <c r="L57" i="2" s="1"/>
  <c r="G46" i="5"/>
  <c r="C48" i="5"/>
  <c r="E48" i="5"/>
  <c r="K48" i="5" s="1"/>
  <c r="K59" i="2" s="1"/>
  <c r="L59" i="2" s="1"/>
  <c r="G48" i="5"/>
  <c r="C50" i="5"/>
  <c r="E50" i="5"/>
  <c r="K50" i="5" s="1"/>
  <c r="K61" i="2" s="1"/>
  <c r="L61" i="2" s="1"/>
  <c r="G50" i="5"/>
  <c r="C52" i="5"/>
  <c r="E52" i="5"/>
  <c r="K52" i="5" s="1"/>
  <c r="K63" i="2" s="1"/>
  <c r="L63" i="2" s="1"/>
  <c r="G52" i="5"/>
  <c r="C54" i="5"/>
  <c r="E54" i="5"/>
  <c r="K54" i="5" s="1"/>
  <c r="K65" i="2" s="1"/>
  <c r="L65" i="2" s="1"/>
  <c r="G54" i="5"/>
  <c r="C56" i="5"/>
  <c r="E56" i="5"/>
  <c r="K56" i="5" s="1"/>
  <c r="K67" i="2" s="1"/>
  <c r="L67" i="2" s="1"/>
  <c r="G56" i="5"/>
  <c r="C58" i="5"/>
  <c r="E58" i="5"/>
  <c r="K58" i="5" s="1"/>
  <c r="K69" i="2" s="1"/>
  <c r="L69" i="2" s="1"/>
  <c r="G58" i="5"/>
  <c r="C60" i="5"/>
  <c r="E60" i="5"/>
  <c r="K60" i="5" s="1"/>
  <c r="K71" i="2" s="1"/>
  <c r="L71" i="2" s="1"/>
  <c r="G60" i="5"/>
  <c r="C62" i="5"/>
  <c r="E62" i="5"/>
  <c r="K62" i="5" s="1"/>
  <c r="K73" i="2" s="1"/>
  <c r="L73" i="2" s="1"/>
  <c r="G62" i="5"/>
  <c r="C64" i="5"/>
  <c r="E64" i="5"/>
  <c r="K64" i="5" s="1"/>
  <c r="K75" i="2" s="1"/>
  <c r="L75" i="2" s="1"/>
  <c r="G64" i="5"/>
  <c r="C66" i="5"/>
  <c r="E66" i="5"/>
  <c r="K66" i="5" s="1"/>
  <c r="K77" i="2" s="1"/>
  <c r="L77" i="2" s="1"/>
  <c r="G66" i="5"/>
  <c r="C68" i="5"/>
  <c r="E68" i="5"/>
  <c r="K68" i="5" s="1"/>
  <c r="K79" i="2" s="1"/>
  <c r="L79" i="2" s="1"/>
  <c r="G68" i="5"/>
  <c r="C70" i="5"/>
  <c r="E70" i="5"/>
  <c r="K70" i="5" s="1"/>
  <c r="K81" i="2" s="1"/>
  <c r="L81" i="2" s="1"/>
  <c r="G70" i="5"/>
  <c r="C72" i="5"/>
  <c r="E72" i="5"/>
  <c r="K72" i="5" s="1"/>
  <c r="K83" i="2" s="1"/>
  <c r="L83" i="2" s="1"/>
  <c r="G72" i="5"/>
  <c r="C74" i="5"/>
  <c r="E74" i="5"/>
  <c r="K74" i="5" s="1"/>
  <c r="K85" i="2" s="1"/>
  <c r="L85" i="2" s="1"/>
  <c r="G74" i="5"/>
  <c r="C76" i="5"/>
  <c r="E76" i="5"/>
  <c r="K76" i="5" s="1"/>
  <c r="K87" i="2" s="1"/>
  <c r="L87" i="2" s="1"/>
  <c r="G76" i="5"/>
  <c r="C78" i="5"/>
  <c r="E78" i="5"/>
  <c r="K78" i="5" s="1"/>
  <c r="K89" i="2" s="1"/>
  <c r="L89" i="2" s="1"/>
  <c r="G78" i="5"/>
  <c r="C80" i="5"/>
  <c r="E80" i="5"/>
  <c r="K80" i="5" s="1"/>
  <c r="K91" i="2" s="1"/>
  <c r="L91" i="2" s="1"/>
  <c r="G80" i="5"/>
  <c r="C82" i="5"/>
  <c r="E82" i="5"/>
  <c r="K82" i="5" s="1"/>
  <c r="K93" i="2" s="1"/>
  <c r="L93" i="2" s="1"/>
  <c r="G82" i="5"/>
  <c r="C84" i="5"/>
  <c r="E84" i="5"/>
  <c r="K84" i="5" s="1"/>
  <c r="K95" i="2" s="1"/>
  <c r="L95" i="2" s="1"/>
  <c r="G84" i="5"/>
  <c r="C86" i="5"/>
  <c r="E86" i="5"/>
  <c r="K86" i="5" s="1"/>
  <c r="K97" i="2" s="1"/>
  <c r="L97" i="2" s="1"/>
  <c r="G86" i="5"/>
  <c r="C88" i="5"/>
  <c r="E88" i="5"/>
  <c r="K88" i="5" s="1"/>
  <c r="K99" i="2" s="1"/>
  <c r="L99" i="2" s="1"/>
  <c r="G88" i="5"/>
  <c r="C90" i="5"/>
  <c r="E90" i="5"/>
  <c r="K90" i="5" s="1"/>
  <c r="K101" i="2" s="1"/>
  <c r="L101" i="2" s="1"/>
  <c r="G90" i="5"/>
  <c r="C92" i="5"/>
  <c r="E92" i="5"/>
  <c r="K92" i="5" s="1"/>
  <c r="K103" i="2" s="1"/>
  <c r="L103" i="2" s="1"/>
  <c r="G92" i="5"/>
  <c r="C94" i="5"/>
  <c r="E94" i="5"/>
  <c r="K94" i="5" s="1"/>
  <c r="K105" i="2" s="1"/>
  <c r="L105" i="2" s="1"/>
  <c r="G94" i="5"/>
  <c r="C96" i="5"/>
  <c r="E96" i="5"/>
  <c r="K96" i="5" s="1"/>
  <c r="K107" i="2" s="1"/>
  <c r="L107" i="2" s="1"/>
  <c r="G96" i="5"/>
  <c r="C98" i="5"/>
  <c r="E98" i="5"/>
  <c r="K98" i="5" s="1"/>
  <c r="K109" i="2" s="1"/>
  <c r="L109" i="2" s="1"/>
  <c r="G98" i="5"/>
  <c r="C100" i="5"/>
  <c r="E100" i="5"/>
  <c r="K100" i="5" s="1"/>
  <c r="K111" i="2" s="1"/>
  <c r="L111" i="2" s="1"/>
  <c r="G100" i="5"/>
  <c r="C102" i="5"/>
  <c r="E102" i="5"/>
  <c r="K102" i="5" s="1"/>
  <c r="K113" i="2" s="1"/>
  <c r="L113" i="2" s="1"/>
  <c r="G102" i="5"/>
  <c r="C104" i="5"/>
  <c r="E104" i="5"/>
  <c r="K104" i="5" s="1"/>
  <c r="K115" i="2" s="1"/>
  <c r="L115" i="2" s="1"/>
  <c r="G104" i="5"/>
  <c r="C106" i="5"/>
  <c r="E106" i="5"/>
  <c r="K106" i="5" s="1"/>
  <c r="K117" i="2" s="1"/>
  <c r="L117" i="2" s="1"/>
  <c r="G106" i="5"/>
  <c r="C108" i="5"/>
  <c r="E108" i="5"/>
  <c r="K108" i="5" s="1"/>
  <c r="K119" i="2" s="1"/>
  <c r="L119" i="2" s="1"/>
  <c r="G108" i="5"/>
  <c r="C110" i="5"/>
  <c r="E110" i="5"/>
  <c r="K110" i="5" s="1"/>
  <c r="K121" i="2" s="1"/>
  <c r="L121" i="2" s="1"/>
  <c r="G110" i="5"/>
  <c r="C112" i="5"/>
  <c r="E112" i="5"/>
  <c r="K112" i="5" s="1"/>
  <c r="K123" i="2" s="1"/>
  <c r="L123" i="2" s="1"/>
  <c r="G112" i="5"/>
  <c r="C114" i="5"/>
  <c r="E114" i="5"/>
  <c r="K114" i="5" s="1"/>
  <c r="K125" i="2" s="1"/>
  <c r="L125" i="2" s="1"/>
  <c r="G114" i="5"/>
  <c r="J117" i="5"/>
  <c r="H117" i="5"/>
  <c r="F117" i="5"/>
  <c r="B117" i="5"/>
  <c r="C117" i="5" s="1"/>
  <c r="E117" i="5"/>
  <c r="K117" i="5" s="1"/>
  <c r="K128" i="2" s="1"/>
  <c r="L128" i="2" s="1"/>
  <c r="I117" i="5"/>
  <c r="J119" i="5"/>
  <c r="H119" i="5"/>
  <c r="F119" i="5"/>
  <c r="D119" i="5"/>
  <c r="B119" i="5"/>
  <c r="E119" i="5"/>
  <c r="K119" i="5" s="1"/>
  <c r="K130" i="3" s="1"/>
  <c r="L130" i="3" s="1"/>
  <c r="I119" i="5"/>
  <c r="J121" i="5"/>
  <c r="H121" i="5"/>
  <c r="F121" i="5"/>
  <c r="B121" i="5"/>
  <c r="C121" i="5" s="1"/>
  <c r="E121" i="5"/>
  <c r="K121" i="5" s="1"/>
  <c r="K132" i="2" s="1"/>
  <c r="L132" i="2" s="1"/>
  <c r="I121" i="5"/>
  <c r="J123" i="5"/>
  <c r="H123" i="5"/>
  <c r="F123" i="5"/>
  <c r="D123" i="5"/>
  <c r="B123" i="5"/>
  <c r="E123" i="5"/>
  <c r="K123" i="5" s="1"/>
  <c r="K134" i="3" s="1"/>
  <c r="L134" i="3" s="1"/>
  <c r="I123" i="5"/>
  <c r="J125" i="5"/>
  <c r="H125" i="5"/>
  <c r="F125" i="5"/>
  <c r="B125" i="5"/>
  <c r="C125" i="5" s="1"/>
  <c r="E125" i="5"/>
  <c r="K125" i="5" s="1"/>
  <c r="K136" i="2" s="1"/>
  <c r="L136" i="2" s="1"/>
  <c r="I125" i="5"/>
  <c r="J127" i="5"/>
  <c r="H127" i="5"/>
  <c r="F127" i="5"/>
  <c r="D127" i="5"/>
  <c r="B127" i="5"/>
  <c r="E127" i="5"/>
  <c r="K127" i="5" s="1"/>
  <c r="K138" i="3" s="1"/>
  <c r="L138" i="3" s="1"/>
  <c r="I127" i="5"/>
  <c r="J129" i="5"/>
  <c r="H129" i="5"/>
  <c r="F129" i="5"/>
  <c r="B129" i="5"/>
  <c r="C129" i="5" s="1"/>
  <c r="E129" i="5"/>
  <c r="K129" i="5" s="1"/>
  <c r="K140" i="2" s="1"/>
  <c r="L140" i="2" s="1"/>
  <c r="I129" i="5"/>
  <c r="J131" i="5"/>
  <c r="H131" i="5"/>
  <c r="F131" i="5"/>
  <c r="D131" i="5"/>
  <c r="B131" i="5"/>
  <c r="E131" i="5"/>
  <c r="K131" i="5" s="1"/>
  <c r="K142" i="3" s="1"/>
  <c r="L142" i="3" s="1"/>
  <c r="I131" i="5"/>
  <c r="J133" i="5"/>
  <c r="H133" i="5"/>
  <c r="F133" i="5"/>
  <c r="B133" i="5"/>
  <c r="C133" i="5" s="1"/>
  <c r="E133" i="5"/>
  <c r="K133" i="5" s="1"/>
  <c r="K144" i="2" s="1"/>
  <c r="L144" i="2" s="1"/>
  <c r="I133" i="5"/>
  <c r="J135" i="5"/>
  <c r="H135" i="5"/>
  <c r="F135" i="5"/>
  <c r="D135" i="5"/>
  <c r="B135" i="5"/>
  <c r="E135" i="5"/>
  <c r="K135" i="5" s="1"/>
  <c r="K146" i="3" s="1"/>
  <c r="L146" i="3" s="1"/>
  <c r="I135" i="5"/>
  <c r="J137" i="5"/>
  <c r="H137" i="5"/>
  <c r="F137" i="5"/>
  <c r="B137" i="5"/>
  <c r="C137" i="5" s="1"/>
  <c r="E137" i="5"/>
  <c r="K137" i="5" s="1"/>
  <c r="K148" i="2" s="1"/>
  <c r="L148" i="2" s="1"/>
  <c r="I137" i="5"/>
  <c r="J139" i="5"/>
  <c r="H139" i="5"/>
  <c r="F139" i="5"/>
  <c r="D139" i="5"/>
  <c r="B139" i="5"/>
  <c r="E139" i="5"/>
  <c r="K139" i="5" s="1"/>
  <c r="K150" i="3" s="1"/>
  <c r="L150" i="3" s="1"/>
  <c r="I139" i="5"/>
  <c r="J141" i="5"/>
  <c r="H141" i="5"/>
  <c r="F141" i="5"/>
  <c r="B141" i="5"/>
  <c r="C141" i="5" s="1"/>
  <c r="E141" i="5"/>
  <c r="K141" i="5" s="1"/>
  <c r="K152" i="2" s="1"/>
  <c r="L152" i="2" s="1"/>
  <c r="I141" i="5"/>
  <c r="J143" i="5"/>
  <c r="H143" i="5"/>
  <c r="F143" i="5"/>
  <c r="D143" i="5"/>
  <c r="B143" i="5"/>
  <c r="E143" i="5"/>
  <c r="K143" i="5" s="1"/>
  <c r="K154" i="3" s="1"/>
  <c r="L154" i="3" s="1"/>
  <c r="I143" i="5"/>
  <c r="J145" i="5"/>
  <c r="H145" i="5"/>
  <c r="F145" i="5"/>
  <c r="B145" i="5"/>
  <c r="C145" i="5" s="1"/>
  <c r="E145" i="5"/>
  <c r="K145" i="5" s="1"/>
  <c r="K156" i="2" s="1"/>
  <c r="L156" i="2" s="1"/>
  <c r="I145" i="5"/>
  <c r="J147" i="5"/>
  <c r="H147" i="5"/>
  <c r="F147" i="5"/>
  <c r="D147" i="5"/>
  <c r="B147" i="5"/>
  <c r="E147" i="5"/>
  <c r="K147" i="5" s="1"/>
  <c r="K158" i="3" s="1"/>
  <c r="L158" i="3" s="1"/>
  <c r="I147" i="5"/>
  <c r="J149" i="5"/>
  <c r="H149" i="5"/>
  <c r="F149" i="5"/>
  <c r="B149" i="5"/>
  <c r="C149" i="5" s="1"/>
  <c r="E149" i="5"/>
  <c r="K149" i="5" s="1"/>
  <c r="K160" i="2" s="1"/>
  <c r="L160" i="2" s="1"/>
  <c r="I149" i="5"/>
  <c r="J151" i="5"/>
  <c r="H151" i="5"/>
  <c r="F151" i="5"/>
  <c r="D151" i="5"/>
  <c r="B151" i="5"/>
  <c r="E151" i="5"/>
  <c r="K151" i="5" s="1"/>
  <c r="K162" i="3" s="1"/>
  <c r="L162" i="3" s="1"/>
  <c r="I151" i="5"/>
  <c r="J153" i="5"/>
  <c r="H153" i="5"/>
  <c r="F153" i="5"/>
  <c r="B153" i="5"/>
  <c r="C153" i="5" s="1"/>
  <c r="E153" i="5"/>
  <c r="K153" i="5" s="1"/>
  <c r="K164" i="2" s="1"/>
  <c r="L164" i="2" s="1"/>
  <c r="I153" i="5"/>
  <c r="J155" i="5"/>
  <c r="H155" i="5"/>
  <c r="F155" i="5"/>
  <c r="D155" i="5"/>
  <c r="B155" i="5"/>
  <c r="E155" i="5"/>
  <c r="K155" i="5" s="1"/>
  <c r="K166" i="3" s="1"/>
  <c r="L166" i="3" s="1"/>
  <c r="I155" i="5"/>
  <c r="J157" i="5"/>
  <c r="H157" i="5"/>
  <c r="F157" i="5"/>
  <c r="B157" i="5"/>
  <c r="C157" i="5" s="1"/>
  <c r="E157" i="5"/>
  <c r="K157" i="5" s="1"/>
  <c r="K168" i="2" s="1"/>
  <c r="L168" i="2" s="1"/>
  <c r="I157" i="5"/>
  <c r="J159" i="5"/>
  <c r="H159" i="5"/>
  <c r="F159" i="5"/>
  <c r="D159" i="5"/>
  <c r="B159" i="5"/>
  <c r="E159" i="5"/>
  <c r="K159" i="5" s="1"/>
  <c r="K170" i="3" s="1"/>
  <c r="L170" i="3" s="1"/>
  <c r="I159" i="5"/>
  <c r="J161" i="5"/>
  <c r="H161" i="5"/>
  <c r="F161" i="5"/>
  <c r="B161" i="5"/>
  <c r="C161" i="5" s="1"/>
  <c r="E161" i="5"/>
  <c r="K161" i="5" s="1"/>
  <c r="K172" i="2" s="1"/>
  <c r="L172" i="2" s="1"/>
  <c r="I161" i="5"/>
  <c r="J163" i="5"/>
  <c r="H163" i="5"/>
  <c r="F163" i="5"/>
  <c r="D163" i="5"/>
  <c r="B163" i="5"/>
  <c r="E163" i="5"/>
  <c r="K163" i="5" s="1"/>
  <c r="K174" i="3" s="1"/>
  <c r="L174" i="3" s="1"/>
  <c r="I163" i="5"/>
  <c r="J165" i="5"/>
  <c r="H165" i="5"/>
  <c r="F165" i="5"/>
  <c r="B165" i="5"/>
  <c r="C165" i="5" s="1"/>
  <c r="E165" i="5"/>
  <c r="K165" i="5" s="1"/>
  <c r="K176" i="2" s="1"/>
  <c r="L176" i="2" s="1"/>
  <c r="I165" i="5"/>
  <c r="J167" i="5"/>
  <c r="H167" i="5"/>
  <c r="F167" i="5"/>
  <c r="D167" i="5"/>
  <c r="B167" i="5"/>
  <c r="E167" i="5"/>
  <c r="K167" i="5" s="1"/>
  <c r="K178" i="3" s="1"/>
  <c r="L178" i="3" s="1"/>
  <c r="I167" i="5"/>
  <c r="J169" i="5"/>
  <c r="H169" i="5"/>
  <c r="F169" i="5"/>
  <c r="B169" i="5"/>
  <c r="C169" i="5" s="1"/>
  <c r="E169" i="5"/>
  <c r="K169" i="5" s="1"/>
  <c r="K180" i="2" s="1"/>
  <c r="L180" i="2" s="1"/>
  <c r="I169" i="5"/>
  <c r="J171" i="5"/>
  <c r="H171" i="5"/>
  <c r="F171" i="5"/>
  <c r="D171" i="5"/>
  <c r="B171" i="5"/>
  <c r="E171" i="5"/>
  <c r="K171" i="5" s="1"/>
  <c r="K182" i="3" s="1"/>
  <c r="L182" i="3" s="1"/>
  <c r="I171" i="5"/>
  <c r="J173" i="5"/>
  <c r="H173" i="5"/>
  <c r="F173" i="5"/>
  <c r="B173" i="5"/>
  <c r="C173" i="5" s="1"/>
  <c r="E173" i="5"/>
  <c r="K173" i="5" s="1"/>
  <c r="K184" i="2" s="1"/>
  <c r="L184" i="2" s="1"/>
  <c r="I173" i="5"/>
  <c r="J175" i="5"/>
  <c r="H175" i="5"/>
  <c r="F175" i="5"/>
  <c r="D175" i="5"/>
  <c r="B175" i="5"/>
  <c r="E175" i="5"/>
  <c r="K175" i="5" s="1"/>
  <c r="K186" i="3" s="1"/>
  <c r="L186" i="3" s="1"/>
  <c r="I175" i="5"/>
  <c r="E177" i="5"/>
  <c r="K177" i="5" s="1"/>
  <c r="K188" i="2" s="1"/>
  <c r="L188" i="2" s="1"/>
  <c r="G177" i="5"/>
  <c r="I177" i="5"/>
  <c r="C179" i="5"/>
  <c r="E179" i="5"/>
  <c r="K179" i="5" s="1"/>
  <c r="K190" i="3" s="1"/>
  <c r="L190" i="3" s="1"/>
  <c r="G179" i="5"/>
  <c r="I179" i="5"/>
  <c r="E181" i="5"/>
  <c r="K181" i="5" s="1"/>
  <c r="K192" i="2" s="1"/>
  <c r="L192" i="2" s="1"/>
  <c r="G181" i="5"/>
  <c r="I181" i="5"/>
  <c r="C183" i="5"/>
  <c r="E183" i="5"/>
  <c r="K183" i="5" s="1"/>
  <c r="K194" i="3" s="1"/>
  <c r="L194" i="3" s="1"/>
  <c r="G183" i="5"/>
  <c r="I183" i="5"/>
  <c r="E185" i="5"/>
  <c r="K185" i="5" s="1"/>
  <c r="K196" i="2" s="1"/>
  <c r="L196" i="2" s="1"/>
  <c r="G185" i="5"/>
  <c r="I185" i="5"/>
  <c r="C187" i="5"/>
  <c r="E187" i="5"/>
  <c r="K187" i="5" s="1"/>
  <c r="K198" i="3" s="1"/>
  <c r="L198" i="3" s="1"/>
  <c r="G187" i="5"/>
  <c r="I187" i="5"/>
  <c r="E189" i="5"/>
  <c r="K189" i="5" s="1"/>
  <c r="K200" i="2" s="1"/>
  <c r="L200" i="2" s="1"/>
  <c r="G189" i="5"/>
  <c r="I189" i="5"/>
  <c r="C191" i="5"/>
  <c r="E191" i="5"/>
  <c r="K191" i="5" s="1"/>
  <c r="K202" i="3" s="1"/>
  <c r="L202" i="3" s="1"/>
  <c r="G191" i="5"/>
  <c r="I191" i="5"/>
  <c r="E193" i="5"/>
  <c r="K193" i="5" s="1"/>
  <c r="K204" i="2" s="1"/>
  <c r="L204" i="2" s="1"/>
  <c r="G193" i="5"/>
  <c r="I193" i="5"/>
  <c r="C195" i="5"/>
  <c r="E195" i="5"/>
  <c r="K195" i="5" s="1"/>
  <c r="K206" i="3" s="1"/>
  <c r="L206" i="3" s="1"/>
  <c r="G195" i="5"/>
  <c r="I195" i="5"/>
  <c r="E197" i="5"/>
  <c r="K197" i="5" s="1"/>
  <c r="K208" i="2" s="1"/>
  <c r="L208" i="2" s="1"/>
  <c r="G197" i="5"/>
  <c r="I197" i="5"/>
  <c r="C199" i="5"/>
  <c r="E199" i="5"/>
  <c r="K199" i="5" s="1"/>
  <c r="K210" i="3" s="1"/>
  <c r="L210" i="3" s="1"/>
  <c r="G199" i="5"/>
  <c r="I199" i="5"/>
  <c r="E201" i="5"/>
  <c r="K201" i="5" s="1"/>
  <c r="K212" i="2" s="1"/>
  <c r="L212" i="2" s="1"/>
  <c r="G201" i="5"/>
  <c r="I201" i="5"/>
  <c r="C203" i="5"/>
  <c r="E203" i="5"/>
  <c r="K203" i="5" s="1"/>
  <c r="K214" i="3" s="1"/>
  <c r="L214" i="3" s="1"/>
  <c r="G203" i="5"/>
  <c r="I203" i="5"/>
  <c r="E205" i="5"/>
  <c r="K205" i="5" s="1"/>
  <c r="K216" i="2" s="1"/>
  <c r="L216" i="2" s="1"/>
  <c r="G205" i="5"/>
  <c r="I205" i="5"/>
  <c r="C207" i="5"/>
  <c r="E207" i="5"/>
  <c r="K207" i="5" s="1"/>
  <c r="K218" i="3" s="1"/>
  <c r="L218" i="3" s="1"/>
  <c r="G207" i="5"/>
  <c r="I207" i="5"/>
  <c r="E209" i="5"/>
  <c r="K209" i="5" s="1"/>
  <c r="K220" i="2" s="1"/>
  <c r="L220" i="2" s="1"/>
  <c r="G209" i="5"/>
  <c r="I209" i="5"/>
  <c r="C211" i="5"/>
  <c r="E211" i="5"/>
  <c r="K211" i="5" s="1"/>
  <c r="K222" i="3" s="1"/>
  <c r="L222" i="3" s="1"/>
  <c r="G211" i="5"/>
  <c r="I211" i="5"/>
  <c r="E213" i="5"/>
  <c r="K213" i="5" s="1"/>
  <c r="K224" i="2" s="1"/>
  <c r="L224" i="2" s="1"/>
  <c r="G213" i="5"/>
  <c r="I213" i="5"/>
  <c r="C215" i="5"/>
  <c r="E215" i="5"/>
  <c r="K215" i="5" s="1"/>
  <c r="K226" i="3" s="1"/>
  <c r="L226" i="3" s="1"/>
  <c r="G215" i="5"/>
  <c r="I215" i="5"/>
  <c r="E217" i="5"/>
  <c r="K217" i="5" s="1"/>
  <c r="K228" i="2" s="1"/>
  <c r="L228" i="2" s="1"/>
  <c r="G217" i="5"/>
  <c r="I217" i="5"/>
  <c r="C219" i="5"/>
  <c r="E219" i="5"/>
  <c r="K219" i="5" s="1"/>
  <c r="K230" i="3" s="1"/>
  <c r="L230" i="3" s="1"/>
  <c r="G219" i="5"/>
  <c r="I219" i="5"/>
  <c r="E221" i="5"/>
  <c r="K221" i="5" s="1"/>
  <c r="K232" i="2" s="1"/>
  <c r="L232" i="2" s="1"/>
  <c r="G221" i="5"/>
  <c r="I221" i="5"/>
  <c r="C223" i="5"/>
  <c r="E223" i="5"/>
  <c r="K223" i="5" s="1"/>
  <c r="K234" i="3" s="1"/>
  <c r="L234" i="3" s="1"/>
  <c r="G223" i="5"/>
  <c r="I223" i="5"/>
  <c r="E225" i="5"/>
  <c r="K225" i="5" s="1"/>
  <c r="K236" i="2" s="1"/>
  <c r="L236" i="2" s="1"/>
  <c r="G225" i="5"/>
  <c r="I225" i="5"/>
  <c r="C227" i="5"/>
  <c r="E227" i="5"/>
  <c r="K227" i="5" s="1"/>
  <c r="K238" i="3" s="1"/>
  <c r="L238" i="3" s="1"/>
  <c r="G227" i="5"/>
  <c r="I227" i="5"/>
  <c r="E229" i="5"/>
  <c r="K229" i="5" s="1"/>
  <c r="K240" i="2" s="1"/>
  <c r="L240" i="2" s="1"/>
  <c r="G229" i="5"/>
  <c r="I229" i="5"/>
  <c r="C231" i="5"/>
  <c r="E231" i="5"/>
  <c r="K231" i="5" s="1"/>
  <c r="K242" i="3" s="1"/>
  <c r="L242" i="3" s="1"/>
  <c r="G231" i="5"/>
  <c r="I231" i="5"/>
  <c r="E233" i="5"/>
  <c r="K233" i="5" s="1"/>
  <c r="K244" i="2" s="1"/>
  <c r="L244" i="2" s="1"/>
  <c r="G233" i="5"/>
  <c r="I233" i="5"/>
  <c r="C235" i="5"/>
  <c r="E235" i="5"/>
  <c r="K235" i="5" s="1"/>
  <c r="K246" i="3" s="1"/>
  <c r="L246" i="3" s="1"/>
  <c r="G235" i="5"/>
  <c r="I235" i="5"/>
  <c r="E237" i="5"/>
  <c r="K237" i="5" s="1"/>
  <c r="K248" i="2" s="1"/>
  <c r="L248" i="2" s="1"/>
  <c r="G237" i="5"/>
  <c r="I237" i="5"/>
  <c r="C239" i="5"/>
  <c r="E239" i="5"/>
  <c r="K239" i="5" s="1"/>
  <c r="K250" i="3" s="1"/>
  <c r="L250" i="3" s="1"/>
  <c r="G239" i="5"/>
  <c r="I239" i="5"/>
  <c r="E241" i="5"/>
  <c r="K241" i="5" s="1"/>
  <c r="K252" i="2" s="1"/>
  <c r="L252" i="2" s="1"/>
  <c r="G241" i="5"/>
  <c r="I241" i="5"/>
  <c r="C243" i="5"/>
  <c r="E243" i="5"/>
  <c r="K243" i="5" s="1"/>
  <c r="K254" i="3" s="1"/>
  <c r="L254" i="3" s="1"/>
  <c r="G243" i="5"/>
  <c r="I243" i="5"/>
  <c r="E245" i="5"/>
  <c r="K245" i="5" s="1"/>
  <c r="K256" i="2" s="1"/>
  <c r="L256" i="2" s="1"/>
  <c r="G245" i="5"/>
  <c r="I245" i="5"/>
  <c r="C247" i="5"/>
  <c r="E247" i="5"/>
  <c r="K247" i="5" s="1"/>
  <c r="K258" i="3" s="1"/>
  <c r="L258" i="3" s="1"/>
  <c r="G247" i="5"/>
  <c r="I247" i="5"/>
  <c r="E249" i="5"/>
  <c r="K249" i="5" s="1"/>
  <c r="K260" i="2" s="1"/>
  <c r="L260" i="2" s="1"/>
  <c r="G249" i="5"/>
  <c r="I249" i="5"/>
  <c r="C251" i="5"/>
  <c r="E251" i="5"/>
  <c r="K251" i="5" s="1"/>
  <c r="K262" i="3" s="1"/>
  <c r="L262" i="3" s="1"/>
  <c r="G251" i="5"/>
  <c r="I251" i="5"/>
  <c r="E253" i="5"/>
  <c r="K253" i="5" s="1"/>
  <c r="K264" i="2" s="1"/>
  <c r="L264" i="2" s="1"/>
  <c r="G253" i="5"/>
  <c r="I253" i="5"/>
  <c r="C255" i="5"/>
  <c r="E255" i="5"/>
  <c r="K255" i="5" s="1"/>
  <c r="K266" i="3" s="1"/>
  <c r="L266" i="3" s="1"/>
  <c r="G255" i="5"/>
  <c r="I255" i="5"/>
  <c r="E257" i="5"/>
  <c r="K257" i="5" s="1"/>
  <c r="K268" i="2" s="1"/>
  <c r="L268" i="2" s="1"/>
  <c r="G257" i="5"/>
  <c r="I257" i="5"/>
  <c r="C259" i="5"/>
  <c r="E259" i="5"/>
  <c r="K259" i="5" s="1"/>
  <c r="K270" i="3" s="1"/>
  <c r="L270" i="3" s="1"/>
  <c r="G259" i="5"/>
  <c r="I259" i="5"/>
  <c r="E261" i="5"/>
  <c r="K261" i="5" s="1"/>
  <c r="K272" i="2" s="1"/>
  <c r="L272" i="2" s="1"/>
  <c r="G261" i="5"/>
  <c r="I261" i="5"/>
  <c r="C263" i="5"/>
  <c r="E263" i="5"/>
  <c r="K263" i="5" s="1"/>
  <c r="K274" i="3" s="1"/>
  <c r="L274" i="3" s="1"/>
  <c r="G263" i="5"/>
  <c r="I263" i="5"/>
  <c r="E265" i="5"/>
  <c r="K265" i="5" s="1"/>
  <c r="K276" i="2" s="1"/>
  <c r="L276" i="2" s="1"/>
  <c r="G265" i="5"/>
  <c r="I265" i="5"/>
  <c r="C267" i="5"/>
  <c r="E267" i="5"/>
  <c r="K267" i="5" s="1"/>
  <c r="K278" i="3" s="1"/>
  <c r="L278" i="3" s="1"/>
  <c r="G267" i="5"/>
  <c r="I267" i="5"/>
  <c r="E269" i="5"/>
  <c r="K269" i="5" s="1"/>
  <c r="K280" i="2" s="1"/>
  <c r="L280" i="2" s="1"/>
  <c r="G269" i="5"/>
  <c r="I269" i="5"/>
  <c r="C271" i="5"/>
  <c r="E271" i="5"/>
  <c r="K271" i="5" s="1"/>
  <c r="K282" i="3" s="1"/>
  <c r="L282" i="3" s="1"/>
  <c r="G271" i="5"/>
  <c r="I271" i="5"/>
  <c r="E273" i="5"/>
  <c r="K273" i="5" s="1"/>
  <c r="K284" i="2" s="1"/>
  <c r="L284" i="2" s="1"/>
  <c r="G273" i="5"/>
  <c r="I273" i="5"/>
  <c r="C275" i="5"/>
  <c r="E275" i="5"/>
  <c r="K275" i="5" s="1"/>
  <c r="K286" i="3" s="1"/>
  <c r="L286" i="3" s="1"/>
  <c r="G275" i="5"/>
  <c r="I275" i="5"/>
  <c r="E277" i="5"/>
  <c r="K277" i="5" s="1"/>
  <c r="K288" i="2" s="1"/>
  <c r="L288" i="2" s="1"/>
  <c r="G277" i="5"/>
  <c r="I277" i="5"/>
  <c r="C279" i="5"/>
  <c r="E279" i="5"/>
  <c r="K279" i="5" s="1"/>
  <c r="K290" i="3" s="1"/>
  <c r="L290" i="3" s="1"/>
  <c r="G279" i="5"/>
  <c r="I279" i="5"/>
  <c r="E281" i="5"/>
  <c r="K281" i="5" s="1"/>
  <c r="K292" i="2" s="1"/>
  <c r="L292" i="2" s="1"/>
  <c r="G281" i="5"/>
  <c r="I281" i="5"/>
  <c r="C283" i="5"/>
  <c r="E283" i="5"/>
  <c r="K283" i="5" s="1"/>
  <c r="K294" i="3" s="1"/>
  <c r="L294" i="3" s="1"/>
  <c r="G283" i="5"/>
  <c r="I283" i="5"/>
  <c r="E285" i="5"/>
  <c r="K285" i="5" s="1"/>
  <c r="K296" i="2" s="1"/>
  <c r="L296" i="2" s="1"/>
  <c r="G285" i="5"/>
  <c r="I285" i="5"/>
  <c r="C287" i="5"/>
  <c r="E287" i="5"/>
  <c r="K287" i="5" s="1"/>
  <c r="K298" i="3" s="1"/>
  <c r="L298" i="3" s="1"/>
  <c r="G287" i="5"/>
  <c r="I287" i="5"/>
  <c r="E289" i="5"/>
  <c r="K289" i="5" s="1"/>
  <c r="K300" i="2" s="1"/>
  <c r="L300" i="2" s="1"/>
  <c r="G289" i="5"/>
  <c r="I289" i="5"/>
  <c r="C291" i="5"/>
  <c r="E291" i="5"/>
  <c r="K291" i="5" s="1"/>
  <c r="K302" i="3" s="1"/>
  <c r="L302" i="3" s="1"/>
  <c r="G291" i="5"/>
  <c r="I291" i="5"/>
  <c r="E293" i="5"/>
  <c r="K293" i="5" s="1"/>
  <c r="K304" i="2" s="1"/>
  <c r="L304" i="2" s="1"/>
  <c r="G293" i="5"/>
  <c r="I293" i="5"/>
  <c r="C295" i="5"/>
  <c r="E295" i="5"/>
  <c r="K295" i="5" s="1"/>
  <c r="K306" i="3" s="1"/>
  <c r="L306" i="3" s="1"/>
  <c r="G295" i="5"/>
  <c r="I295" i="5"/>
  <c r="E297" i="5"/>
  <c r="K297" i="5" s="1"/>
  <c r="K308" i="2" s="1"/>
  <c r="L308" i="2" s="1"/>
  <c r="G297" i="5"/>
  <c r="I297" i="5"/>
  <c r="C299" i="5"/>
  <c r="E299" i="5"/>
  <c r="K299" i="5" s="1"/>
  <c r="K310" i="3" s="1"/>
  <c r="L310" i="3" s="1"/>
  <c r="G299" i="5"/>
  <c r="I299" i="5"/>
  <c r="E301" i="5"/>
  <c r="K301" i="5" s="1"/>
  <c r="K312" i="2" s="1"/>
  <c r="L312" i="2" s="1"/>
  <c r="G301" i="5"/>
  <c r="I301" i="5"/>
  <c r="C303" i="5"/>
  <c r="E303" i="5"/>
  <c r="K303" i="5" s="1"/>
  <c r="K314" i="3" s="1"/>
  <c r="L314" i="3" s="1"/>
  <c r="G303" i="5"/>
  <c r="I303" i="5"/>
  <c r="E305" i="5"/>
  <c r="K305" i="5" s="1"/>
  <c r="K316" i="2" s="1"/>
  <c r="L316" i="2" s="1"/>
  <c r="G305" i="5"/>
  <c r="I305" i="5"/>
  <c r="C307" i="5"/>
  <c r="E307" i="5"/>
  <c r="K307" i="5" s="1"/>
  <c r="K318" i="3" s="1"/>
  <c r="L318" i="3" s="1"/>
  <c r="G307" i="5"/>
  <c r="I307" i="5"/>
  <c r="E309" i="5"/>
  <c r="K309" i="5" s="1"/>
  <c r="K320" i="2" s="1"/>
  <c r="L320" i="2" s="1"/>
  <c r="G309" i="5"/>
  <c r="I309" i="5"/>
  <c r="E311" i="5"/>
  <c r="K311" i="5" s="1"/>
  <c r="K322" i="3" s="1"/>
  <c r="L322" i="3" s="1"/>
  <c r="G311" i="5"/>
  <c r="I311" i="5"/>
  <c r="B312" i="5"/>
  <c r="D312" i="5" s="1"/>
  <c r="F312" i="5"/>
  <c r="H312" i="5"/>
  <c r="J312" i="5"/>
  <c r="C313" i="5"/>
  <c r="E313" i="5"/>
  <c r="K313" i="5" s="1"/>
  <c r="K324" i="2" s="1"/>
  <c r="L324" i="2" s="1"/>
  <c r="G313" i="5"/>
  <c r="B314" i="5"/>
  <c r="D314" i="5" s="1"/>
  <c r="F314" i="5"/>
  <c r="H314" i="5"/>
  <c r="J314" i="5"/>
  <c r="C315" i="5"/>
  <c r="E315" i="5"/>
  <c r="K315" i="5" s="1"/>
  <c r="K326" i="3" s="1"/>
  <c r="L326" i="3" s="1"/>
  <c r="G315" i="5"/>
  <c r="B316" i="5"/>
  <c r="D316" i="5" s="1"/>
  <c r="F316" i="5"/>
  <c r="H316" i="5"/>
  <c r="J316" i="5"/>
  <c r="C317" i="5"/>
  <c r="E317" i="5"/>
  <c r="K317" i="5" s="1"/>
  <c r="K328" i="2" s="1"/>
  <c r="L328" i="2" s="1"/>
  <c r="G317" i="5"/>
  <c r="B318" i="5"/>
  <c r="D318" i="5" s="1"/>
  <c r="F318" i="5"/>
  <c r="H318" i="5"/>
  <c r="J318" i="5"/>
  <c r="C319" i="5"/>
  <c r="E319" i="5"/>
  <c r="K319" i="5" s="1"/>
  <c r="K330" i="3" s="1"/>
  <c r="L330" i="3" s="1"/>
  <c r="G319" i="5"/>
  <c r="B320" i="5"/>
  <c r="D320" i="5" s="1"/>
  <c r="F320" i="5"/>
  <c r="H320" i="5"/>
  <c r="J320" i="5"/>
  <c r="C321" i="5"/>
  <c r="E321" i="5"/>
  <c r="K321" i="5" s="1"/>
  <c r="K332" i="2" s="1"/>
  <c r="L332" i="2" s="1"/>
  <c r="G321" i="5"/>
  <c r="B322" i="5"/>
  <c r="D322" i="5" s="1"/>
  <c r="F322" i="5"/>
  <c r="H322" i="5"/>
  <c r="J322" i="5"/>
  <c r="C323" i="5"/>
  <c r="E323" i="5"/>
  <c r="K323" i="5" s="1"/>
  <c r="K334" i="3" s="1"/>
  <c r="L334" i="3" s="1"/>
  <c r="G323" i="5"/>
  <c r="B324" i="5"/>
  <c r="D324" i="5" s="1"/>
  <c r="F324" i="5"/>
  <c r="H324" i="5"/>
  <c r="J324" i="5"/>
  <c r="C325" i="5"/>
  <c r="E325" i="5"/>
  <c r="K325" i="5" s="1"/>
  <c r="K336" i="2" s="1"/>
  <c r="L336" i="2" s="1"/>
  <c r="G325" i="5"/>
  <c r="B326" i="5"/>
  <c r="D326" i="5" s="1"/>
  <c r="F326" i="5"/>
  <c r="H326" i="5"/>
  <c r="J326" i="5"/>
  <c r="C327" i="5"/>
  <c r="E327" i="5"/>
  <c r="K327" i="5" s="1"/>
  <c r="K338" i="3" s="1"/>
  <c r="L338" i="3" s="1"/>
  <c r="G327" i="5"/>
  <c r="B328" i="5"/>
  <c r="D328" i="5" s="1"/>
  <c r="F328" i="5"/>
  <c r="H328" i="5"/>
  <c r="J328" i="5"/>
  <c r="C329" i="5"/>
  <c r="E329" i="5"/>
  <c r="K329" i="5" s="1"/>
  <c r="K340" i="2" s="1"/>
  <c r="L340" i="2" s="1"/>
  <c r="G329" i="5"/>
  <c r="B330" i="5"/>
  <c r="D330" i="5" s="1"/>
  <c r="F330" i="5"/>
  <c r="H330" i="5"/>
  <c r="C116" i="5"/>
  <c r="E116" i="5"/>
  <c r="K116" i="5" s="1"/>
  <c r="K127" i="2" s="1"/>
  <c r="L127" i="2" s="1"/>
  <c r="G116" i="5"/>
  <c r="C118" i="5"/>
  <c r="E118" i="5"/>
  <c r="K118" i="5" s="1"/>
  <c r="K129" i="2" s="1"/>
  <c r="L129" i="2" s="1"/>
  <c r="G118" i="5"/>
  <c r="C120" i="5"/>
  <c r="E120" i="5"/>
  <c r="K120" i="5" s="1"/>
  <c r="K131" i="2" s="1"/>
  <c r="L131" i="2" s="1"/>
  <c r="G120" i="5"/>
  <c r="C122" i="5"/>
  <c r="E122" i="5"/>
  <c r="K122" i="5" s="1"/>
  <c r="K133" i="2" s="1"/>
  <c r="L133" i="2" s="1"/>
  <c r="G122" i="5"/>
  <c r="C124" i="5"/>
  <c r="E124" i="5"/>
  <c r="K124" i="5" s="1"/>
  <c r="K135" i="2" s="1"/>
  <c r="L135" i="2" s="1"/>
  <c r="G124" i="5"/>
  <c r="C126" i="5"/>
  <c r="E126" i="5"/>
  <c r="K126" i="5" s="1"/>
  <c r="K137" i="2" s="1"/>
  <c r="L137" i="2" s="1"/>
  <c r="G126" i="5"/>
  <c r="C128" i="5"/>
  <c r="E128" i="5"/>
  <c r="K128" i="5" s="1"/>
  <c r="K139" i="2" s="1"/>
  <c r="L139" i="2" s="1"/>
  <c r="G128" i="5"/>
  <c r="C130" i="5"/>
  <c r="E130" i="5"/>
  <c r="K130" i="5" s="1"/>
  <c r="K141" i="2" s="1"/>
  <c r="L141" i="2" s="1"/>
  <c r="G130" i="5"/>
  <c r="C132" i="5"/>
  <c r="E132" i="5"/>
  <c r="K132" i="5" s="1"/>
  <c r="K143" i="2" s="1"/>
  <c r="L143" i="2" s="1"/>
  <c r="G132" i="5"/>
  <c r="C134" i="5"/>
  <c r="E134" i="5"/>
  <c r="K134" i="5" s="1"/>
  <c r="K145" i="2" s="1"/>
  <c r="L145" i="2" s="1"/>
  <c r="G134" i="5"/>
  <c r="C136" i="5"/>
  <c r="E136" i="5"/>
  <c r="K136" i="5" s="1"/>
  <c r="K147" i="2" s="1"/>
  <c r="L147" i="2" s="1"/>
  <c r="G136" i="5"/>
  <c r="C138" i="5"/>
  <c r="E138" i="5"/>
  <c r="K138" i="5" s="1"/>
  <c r="K149" i="2" s="1"/>
  <c r="L149" i="2" s="1"/>
  <c r="G138" i="5"/>
  <c r="C140" i="5"/>
  <c r="E140" i="5"/>
  <c r="K140" i="5" s="1"/>
  <c r="K151" i="2" s="1"/>
  <c r="L151" i="2" s="1"/>
  <c r="G140" i="5"/>
  <c r="C142" i="5"/>
  <c r="E142" i="5"/>
  <c r="K142" i="5" s="1"/>
  <c r="K153" i="2" s="1"/>
  <c r="L153" i="2" s="1"/>
  <c r="G142" i="5"/>
  <c r="C144" i="5"/>
  <c r="E144" i="5"/>
  <c r="K144" i="5" s="1"/>
  <c r="K155" i="2" s="1"/>
  <c r="L155" i="2" s="1"/>
  <c r="G144" i="5"/>
  <c r="C146" i="5"/>
  <c r="E146" i="5"/>
  <c r="K146" i="5" s="1"/>
  <c r="K157" i="2" s="1"/>
  <c r="L157" i="2" s="1"/>
  <c r="G146" i="5"/>
  <c r="C148" i="5"/>
  <c r="E148" i="5"/>
  <c r="K148" i="5" s="1"/>
  <c r="K159" i="2" s="1"/>
  <c r="L159" i="2" s="1"/>
  <c r="G148" i="5"/>
  <c r="C150" i="5"/>
  <c r="E150" i="5"/>
  <c r="K150" i="5" s="1"/>
  <c r="K161" i="2" s="1"/>
  <c r="L161" i="2" s="1"/>
  <c r="G150" i="5"/>
  <c r="C152" i="5"/>
  <c r="E152" i="5"/>
  <c r="K152" i="5" s="1"/>
  <c r="K163" i="2" s="1"/>
  <c r="L163" i="2" s="1"/>
  <c r="G152" i="5"/>
  <c r="C154" i="5"/>
  <c r="E154" i="5"/>
  <c r="K154" i="5" s="1"/>
  <c r="K165" i="2" s="1"/>
  <c r="L165" i="2" s="1"/>
  <c r="G154" i="5"/>
  <c r="C156" i="5"/>
  <c r="E156" i="5"/>
  <c r="K156" i="5" s="1"/>
  <c r="K167" i="2" s="1"/>
  <c r="L167" i="2" s="1"/>
  <c r="G156" i="5"/>
  <c r="C158" i="5"/>
  <c r="E158" i="5"/>
  <c r="K158" i="5" s="1"/>
  <c r="K169" i="2" s="1"/>
  <c r="L169" i="2" s="1"/>
  <c r="G158" i="5"/>
  <c r="C160" i="5"/>
  <c r="E160" i="5"/>
  <c r="K160" i="5" s="1"/>
  <c r="K171" i="2" s="1"/>
  <c r="L171" i="2" s="1"/>
  <c r="G160" i="5"/>
  <c r="C162" i="5"/>
  <c r="E162" i="5"/>
  <c r="K162" i="5" s="1"/>
  <c r="K173" i="2" s="1"/>
  <c r="L173" i="2" s="1"/>
  <c r="G162" i="5"/>
  <c r="C164" i="5"/>
  <c r="E164" i="5"/>
  <c r="K164" i="5" s="1"/>
  <c r="K175" i="2" s="1"/>
  <c r="L175" i="2" s="1"/>
  <c r="G164" i="5"/>
  <c r="C166" i="5"/>
  <c r="E166" i="5"/>
  <c r="K166" i="5" s="1"/>
  <c r="K177" i="2" s="1"/>
  <c r="L177" i="2" s="1"/>
  <c r="G166" i="5"/>
  <c r="C168" i="5"/>
  <c r="E168" i="5"/>
  <c r="K168" i="5" s="1"/>
  <c r="K179" i="2" s="1"/>
  <c r="L179" i="2" s="1"/>
  <c r="G168" i="5"/>
  <c r="C170" i="5"/>
  <c r="E170" i="5"/>
  <c r="K170" i="5" s="1"/>
  <c r="K181" i="2" s="1"/>
  <c r="L181" i="2" s="1"/>
  <c r="G170" i="5"/>
  <c r="C172" i="5"/>
  <c r="E172" i="5"/>
  <c r="K172" i="5" s="1"/>
  <c r="K183" i="2" s="1"/>
  <c r="L183" i="2" s="1"/>
  <c r="G172" i="5"/>
  <c r="C174" i="5"/>
  <c r="E174" i="5"/>
  <c r="K174" i="5" s="1"/>
  <c r="K185" i="2" s="1"/>
  <c r="L185" i="2" s="1"/>
  <c r="G174" i="5"/>
  <c r="C176" i="5"/>
  <c r="E176" i="5"/>
  <c r="K176" i="5" s="1"/>
  <c r="K187" i="2" s="1"/>
  <c r="L187" i="2" s="1"/>
  <c r="G176" i="5"/>
  <c r="B177" i="5"/>
  <c r="D177" i="5" s="1"/>
  <c r="F177" i="5"/>
  <c r="H177" i="5"/>
  <c r="C178" i="5"/>
  <c r="E178" i="5"/>
  <c r="K178" i="5" s="1"/>
  <c r="K189" i="2" s="1"/>
  <c r="L189" i="2" s="1"/>
  <c r="G178" i="5"/>
  <c r="B179" i="5"/>
  <c r="D179" i="5"/>
  <c r="F179" i="5"/>
  <c r="H179" i="5"/>
  <c r="C180" i="5"/>
  <c r="E180" i="5"/>
  <c r="K180" i="5" s="1"/>
  <c r="K191" i="2" s="1"/>
  <c r="L191" i="2" s="1"/>
  <c r="G180" i="5"/>
  <c r="B181" i="5"/>
  <c r="D181" i="5" s="1"/>
  <c r="F181" i="5"/>
  <c r="H181" i="5"/>
  <c r="C182" i="5"/>
  <c r="E182" i="5"/>
  <c r="K182" i="5" s="1"/>
  <c r="K193" i="2" s="1"/>
  <c r="L193" i="2" s="1"/>
  <c r="G182" i="5"/>
  <c r="B183" i="5"/>
  <c r="D183" i="5"/>
  <c r="F183" i="5"/>
  <c r="H183" i="5"/>
  <c r="C184" i="5"/>
  <c r="E184" i="5"/>
  <c r="K184" i="5" s="1"/>
  <c r="K195" i="2" s="1"/>
  <c r="L195" i="2" s="1"/>
  <c r="G184" i="5"/>
  <c r="B185" i="5"/>
  <c r="D185" i="5" s="1"/>
  <c r="F185" i="5"/>
  <c r="H185" i="5"/>
  <c r="C186" i="5"/>
  <c r="E186" i="5"/>
  <c r="K186" i="5" s="1"/>
  <c r="K197" i="2" s="1"/>
  <c r="L197" i="2" s="1"/>
  <c r="G186" i="5"/>
  <c r="B187" i="5"/>
  <c r="D187" i="5"/>
  <c r="F187" i="5"/>
  <c r="H187" i="5"/>
  <c r="C188" i="5"/>
  <c r="E188" i="5"/>
  <c r="K188" i="5" s="1"/>
  <c r="K199" i="2" s="1"/>
  <c r="L199" i="2" s="1"/>
  <c r="G188" i="5"/>
  <c r="B189" i="5"/>
  <c r="D189" i="5" s="1"/>
  <c r="F189" i="5"/>
  <c r="H189" i="5"/>
  <c r="C190" i="5"/>
  <c r="E190" i="5"/>
  <c r="K190" i="5" s="1"/>
  <c r="K201" i="2" s="1"/>
  <c r="L201" i="2" s="1"/>
  <c r="G190" i="5"/>
  <c r="B191" i="5"/>
  <c r="D191" i="5"/>
  <c r="F191" i="5"/>
  <c r="H191" i="5"/>
  <c r="C192" i="5"/>
  <c r="E192" i="5"/>
  <c r="K192" i="5" s="1"/>
  <c r="K203" i="2" s="1"/>
  <c r="L203" i="2" s="1"/>
  <c r="G192" i="5"/>
  <c r="B193" i="5"/>
  <c r="D193" i="5" s="1"/>
  <c r="F193" i="5"/>
  <c r="H193" i="5"/>
  <c r="C194" i="5"/>
  <c r="E194" i="5"/>
  <c r="K194" i="5" s="1"/>
  <c r="K205" i="2" s="1"/>
  <c r="L205" i="2" s="1"/>
  <c r="G194" i="5"/>
  <c r="B195" i="5"/>
  <c r="D195" i="5"/>
  <c r="F195" i="5"/>
  <c r="H195" i="5"/>
  <c r="C196" i="5"/>
  <c r="E196" i="5"/>
  <c r="K196" i="5" s="1"/>
  <c r="K207" i="2" s="1"/>
  <c r="L207" i="2" s="1"/>
  <c r="G196" i="5"/>
  <c r="B197" i="5"/>
  <c r="D197" i="5" s="1"/>
  <c r="F197" i="5"/>
  <c r="H197" i="5"/>
  <c r="C198" i="5"/>
  <c r="E198" i="5"/>
  <c r="K198" i="5" s="1"/>
  <c r="K209" i="2" s="1"/>
  <c r="L209" i="2" s="1"/>
  <c r="G198" i="5"/>
  <c r="B199" i="5"/>
  <c r="D199" i="5"/>
  <c r="F199" i="5"/>
  <c r="H199" i="5"/>
  <c r="C200" i="5"/>
  <c r="E200" i="5"/>
  <c r="K200" i="5" s="1"/>
  <c r="K211" i="2" s="1"/>
  <c r="L211" i="2" s="1"/>
  <c r="G200" i="5"/>
  <c r="B201" i="5"/>
  <c r="D201" i="5" s="1"/>
  <c r="F201" i="5"/>
  <c r="H201" i="5"/>
  <c r="C202" i="5"/>
  <c r="E202" i="5"/>
  <c r="K202" i="5" s="1"/>
  <c r="K213" i="2" s="1"/>
  <c r="L213" i="2" s="1"/>
  <c r="G202" i="5"/>
  <c r="B203" i="5"/>
  <c r="D203" i="5"/>
  <c r="F203" i="5"/>
  <c r="H203" i="5"/>
  <c r="C204" i="5"/>
  <c r="E204" i="5"/>
  <c r="K204" i="5" s="1"/>
  <c r="K215" i="2" s="1"/>
  <c r="L215" i="2" s="1"/>
  <c r="G204" i="5"/>
  <c r="B205" i="5"/>
  <c r="D205" i="5" s="1"/>
  <c r="F205" i="5"/>
  <c r="H205" i="5"/>
  <c r="C206" i="5"/>
  <c r="E206" i="5"/>
  <c r="K206" i="5" s="1"/>
  <c r="K217" i="2" s="1"/>
  <c r="L217" i="2" s="1"/>
  <c r="G206" i="5"/>
  <c r="B207" i="5"/>
  <c r="D207" i="5"/>
  <c r="F207" i="5"/>
  <c r="H207" i="5"/>
  <c r="C208" i="5"/>
  <c r="E208" i="5"/>
  <c r="K208" i="5" s="1"/>
  <c r="K219" i="2" s="1"/>
  <c r="L219" i="2" s="1"/>
  <c r="G208" i="5"/>
  <c r="B209" i="5"/>
  <c r="D209" i="5" s="1"/>
  <c r="F209" i="5"/>
  <c r="H209" i="5"/>
  <c r="C210" i="5"/>
  <c r="E210" i="5"/>
  <c r="K210" i="5" s="1"/>
  <c r="K221" i="2" s="1"/>
  <c r="L221" i="2" s="1"/>
  <c r="G210" i="5"/>
  <c r="B211" i="5"/>
  <c r="D211" i="5"/>
  <c r="F211" i="5"/>
  <c r="H211" i="5"/>
  <c r="C212" i="5"/>
  <c r="E212" i="5"/>
  <c r="K212" i="5" s="1"/>
  <c r="K223" i="2" s="1"/>
  <c r="L223" i="2" s="1"/>
  <c r="G212" i="5"/>
  <c r="B213" i="5"/>
  <c r="D213" i="5" s="1"/>
  <c r="F213" i="5"/>
  <c r="H213" i="5"/>
  <c r="C214" i="5"/>
  <c r="E214" i="5"/>
  <c r="K214" i="5" s="1"/>
  <c r="K225" i="2" s="1"/>
  <c r="L225" i="2" s="1"/>
  <c r="G214" i="5"/>
  <c r="B215" i="5"/>
  <c r="D215" i="5"/>
  <c r="F215" i="5"/>
  <c r="H215" i="5"/>
  <c r="C216" i="5"/>
  <c r="E216" i="5"/>
  <c r="K216" i="5" s="1"/>
  <c r="K227" i="2" s="1"/>
  <c r="L227" i="2" s="1"/>
  <c r="G216" i="5"/>
  <c r="B217" i="5"/>
  <c r="D217" i="5" s="1"/>
  <c r="F217" i="5"/>
  <c r="H217" i="5"/>
  <c r="C218" i="5"/>
  <c r="E218" i="5"/>
  <c r="K218" i="5" s="1"/>
  <c r="K229" i="2" s="1"/>
  <c r="L229" i="2" s="1"/>
  <c r="G218" i="5"/>
  <c r="B219" i="5"/>
  <c r="D219" i="5"/>
  <c r="F219" i="5"/>
  <c r="H219" i="5"/>
  <c r="C220" i="5"/>
  <c r="E220" i="5"/>
  <c r="K220" i="5" s="1"/>
  <c r="K231" i="2" s="1"/>
  <c r="L231" i="2" s="1"/>
  <c r="G220" i="5"/>
  <c r="B221" i="5"/>
  <c r="D221" i="5" s="1"/>
  <c r="F221" i="5"/>
  <c r="H221" i="5"/>
  <c r="C222" i="5"/>
  <c r="E222" i="5"/>
  <c r="K222" i="5" s="1"/>
  <c r="K233" i="2" s="1"/>
  <c r="L233" i="2" s="1"/>
  <c r="G222" i="5"/>
  <c r="B223" i="5"/>
  <c r="D223" i="5"/>
  <c r="F223" i="5"/>
  <c r="H223" i="5"/>
  <c r="C224" i="5"/>
  <c r="E224" i="5"/>
  <c r="K224" i="5" s="1"/>
  <c r="K235" i="2" s="1"/>
  <c r="L235" i="2" s="1"/>
  <c r="G224" i="5"/>
  <c r="B225" i="5"/>
  <c r="D225" i="5" s="1"/>
  <c r="F225" i="5"/>
  <c r="H225" i="5"/>
  <c r="C226" i="5"/>
  <c r="E226" i="5"/>
  <c r="K226" i="5" s="1"/>
  <c r="K237" i="2" s="1"/>
  <c r="L237" i="2" s="1"/>
  <c r="G226" i="5"/>
  <c r="B227" i="5"/>
  <c r="D227" i="5"/>
  <c r="F227" i="5"/>
  <c r="H227" i="5"/>
  <c r="C228" i="5"/>
  <c r="E228" i="5"/>
  <c r="K228" i="5" s="1"/>
  <c r="K239" i="2" s="1"/>
  <c r="L239" i="2" s="1"/>
  <c r="G228" i="5"/>
  <c r="B229" i="5"/>
  <c r="D229" i="5" s="1"/>
  <c r="F229" i="5"/>
  <c r="H229" i="5"/>
  <c r="C230" i="5"/>
  <c r="E230" i="5"/>
  <c r="K230" i="5" s="1"/>
  <c r="K241" i="2" s="1"/>
  <c r="L241" i="2" s="1"/>
  <c r="G230" i="5"/>
  <c r="B231" i="5"/>
  <c r="D231" i="5"/>
  <c r="F231" i="5"/>
  <c r="H231" i="5"/>
  <c r="C232" i="5"/>
  <c r="E232" i="5"/>
  <c r="K232" i="5" s="1"/>
  <c r="K243" i="2" s="1"/>
  <c r="L243" i="2" s="1"/>
  <c r="G232" i="5"/>
  <c r="B233" i="5"/>
  <c r="D233" i="5" s="1"/>
  <c r="F233" i="5"/>
  <c r="H233" i="5"/>
  <c r="C234" i="5"/>
  <c r="E234" i="5"/>
  <c r="K234" i="5" s="1"/>
  <c r="K245" i="2" s="1"/>
  <c r="L245" i="2" s="1"/>
  <c r="G234" i="5"/>
  <c r="B235" i="5"/>
  <c r="D235" i="5"/>
  <c r="F235" i="5"/>
  <c r="H235" i="5"/>
  <c r="C236" i="5"/>
  <c r="E236" i="5"/>
  <c r="K236" i="5" s="1"/>
  <c r="K247" i="2" s="1"/>
  <c r="L247" i="2" s="1"/>
  <c r="G236" i="5"/>
  <c r="B237" i="5"/>
  <c r="D237" i="5" s="1"/>
  <c r="F237" i="5"/>
  <c r="H237" i="5"/>
  <c r="C238" i="5"/>
  <c r="E238" i="5"/>
  <c r="K238" i="5" s="1"/>
  <c r="K249" i="2" s="1"/>
  <c r="L249" i="2" s="1"/>
  <c r="G238" i="5"/>
  <c r="B239" i="5"/>
  <c r="D239" i="5"/>
  <c r="F239" i="5"/>
  <c r="H239" i="5"/>
  <c r="C240" i="5"/>
  <c r="E240" i="5"/>
  <c r="K240" i="5" s="1"/>
  <c r="K251" i="2" s="1"/>
  <c r="L251" i="2" s="1"/>
  <c r="G240" i="5"/>
  <c r="B241" i="5"/>
  <c r="D241" i="5" s="1"/>
  <c r="F241" i="5"/>
  <c r="H241" i="5"/>
  <c r="C242" i="5"/>
  <c r="E242" i="5"/>
  <c r="K242" i="5" s="1"/>
  <c r="K253" i="2" s="1"/>
  <c r="L253" i="2" s="1"/>
  <c r="G242" i="5"/>
  <c r="B243" i="5"/>
  <c r="D243" i="5"/>
  <c r="F243" i="5"/>
  <c r="H243" i="5"/>
  <c r="C244" i="5"/>
  <c r="E244" i="5"/>
  <c r="K244" i="5" s="1"/>
  <c r="K255" i="2" s="1"/>
  <c r="L255" i="2" s="1"/>
  <c r="G244" i="5"/>
  <c r="B245" i="5"/>
  <c r="D245" i="5" s="1"/>
  <c r="F245" i="5"/>
  <c r="H245" i="5"/>
  <c r="C246" i="5"/>
  <c r="E246" i="5"/>
  <c r="K246" i="5" s="1"/>
  <c r="K257" i="2" s="1"/>
  <c r="L257" i="2" s="1"/>
  <c r="G246" i="5"/>
  <c r="B247" i="5"/>
  <c r="D247" i="5"/>
  <c r="F247" i="5"/>
  <c r="H247" i="5"/>
  <c r="C248" i="5"/>
  <c r="E248" i="5"/>
  <c r="K248" i="5" s="1"/>
  <c r="K259" i="2" s="1"/>
  <c r="L259" i="2" s="1"/>
  <c r="G248" i="5"/>
  <c r="B249" i="5"/>
  <c r="D249" i="5" s="1"/>
  <c r="F249" i="5"/>
  <c r="H249" i="5"/>
  <c r="C250" i="5"/>
  <c r="E250" i="5"/>
  <c r="K250" i="5" s="1"/>
  <c r="K261" i="2" s="1"/>
  <c r="L261" i="2" s="1"/>
  <c r="G250" i="5"/>
  <c r="B251" i="5"/>
  <c r="D251" i="5"/>
  <c r="F251" i="5"/>
  <c r="H251" i="5"/>
  <c r="C252" i="5"/>
  <c r="E252" i="5"/>
  <c r="K252" i="5" s="1"/>
  <c r="K263" i="2" s="1"/>
  <c r="L263" i="2" s="1"/>
  <c r="G252" i="5"/>
  <c r="B253" i="5"/>
  <c r="D253" i="5" s="1"/>
  <c r="F253" i="5"/>
  <c r="H253" i="5"/>
  <c r="C254" i="5"/>
  <c r="E254" i="5"/>
  <c r="K254" i="5" s="1"/>
  <c r="K265" i="2" s="1"/>
  <c r="L265" i="2" s="1"/>
  <c r="G254" i="5"/>
  <c r="B255" i="5"/>
  <c r="D255" i="5"/>
  <c r="F255" i="5"/>
  <c r="H255" i="5"/>
  <c r="C256" i="5"/>
  <c r="E256" i="5"/>
  <c r="K256" i="5" s="1"/>
  <c r="K267" i="2" s="1"/>
  <c r="L267" i="2" s="1"/>
  <c r="G256" i="5"/>
  <c r="B257" i="5"/>
  <c r="D257" i="5" s="1"/>
  <c r="F257" i="5"/>
  <c r="H257" i="5"/>
  <c r="C258" i="5"/>
  <c r="E258" i="5"/>
  <c r="K258" i="5" s="1"/>
  <c r="K269" i="2" s="1"/>
  <c r="L269" i="2" s="1"/>
  <c r="G258" i="5"/>
  <c r="B259" i="5"/>
  <c r="D259" i="5"/>
  <c r="F259" i="5"/>
  <c r="H259" i="5"/>
  <c r="C260" i="5"/>
  <c r="E260" i="5"/>
  <c r="K260" i="5" s="1"/>
  <c r="K271" i="2" s="1"/>
  <c r="L271" i="2" s="1"/>
  <c r="G260" i="5"/>
  <c r="B261" i="5"/>
  <c r="D261" i="5" s="1"/>
  <c r="F261" i="5"/>
  <c r="H261" i="5"/>
  <c r="C262" i="5"/>
  <c r="E262" i="5"/>
  <c r="K262" i="5" s="1"/>
  <c r="K273" i="2" s="1"/>
  <c r="L273" i="2" s="1"/>
  <c r="G262" i="5"/>
  <c r="B263" i="5"/>
  <c r="D263" i="5"/>
  <c r="F263" i="5"/>
  <c r="H263" i="5"/>
  <c r="C264" i="5"/>
  <c r="E264" i="5"/>
  <c r="K264" i="5" s="1"/>
  <c r="K275" i="2" s="1"/>
  <c r="L275" i="2" s="1"/>
  <c r="G264" i="5"/>
  <c r="B265" i="5"/>
  <c r="D265" i="5" s="1"/>
  <c r="F265" i="5"/>
  <c r="H265" i="5"/>
  <c r="C266" i="5"/>
  <c r="E266" i="5"/>
  <c r="K266" i="5" s="1"/>
  <c r="K277" i="2" s="1"/>
  <c r="L277" i="2" s="1"/>
  <c r="G266" i="5"/>
  <c r="B267" i="5"/>
  <c r="D267" i="5"/>
  <c r="F267" i="5"/>
  <c r="H267" i="5"/>
  <c r="C268" i="5"/>
  <c r="E268" i="5"/>
  <c r="K268" i="5" s="1"/>
  <c r="K279" i="2" s="1"/>
  <c r="L279" i="2" s="1"/>
  <c r="G268" i="5"/>
  <c r="B269" i="5"/>
  <c r="D269" i="5" s="1"/>
  <c r="F269" i="5"/>
  <c r="H269" i="5"/>
  <c r="C270" i="5"/>
  <c r="E270" i="5"/>
  <c r="K270" i="5" s="1"/>
  <c r="K281" i="2" s="1"/>
  <c r="L281" i="2" s="1"/>
  <c r="G270" i="5"/>
  <c r="B271" i="5"/>
  <c r="D271" i="5"/>
  <c r="F271" i="5"/>
  <c r="H271" i="5"/>
  <c r="C272" i="5"/>
  <c r="E272" i="5"/>
  <c r="K272" i="5" s="1"/>
  <c r="K283" i="2" s="1"/>
  <c r="L283" i="2" s="1"/>
  <c r="G272" i="5"/>
  <c r="B273" i="5"/>
  <c r="D273" i="5" s="1"/>
  <c r="F273" i="5"/>
  <c r="H273" i="5"/>
  <c r="C274" i="5"/>
  <c r="E274" i="5"/>
  <c r="K274" i="5" s="1"/>
  <c r="K285" i="2" s="1"/>
  <c r="L285" i="2" s="1"/>
  <c r="G274" i="5"/>
  <c r="B275" i="5"/>
  <c r="D275" i="5"/>
  <c r="F275" i="5"/>
  <c r="H275" i="5"/>
  <c r="C276" i="5"/>
  <c r="E276" i="5"/>
  <c r="K276" i="5" s="1"/>
  <c r="K287" i="2" s="1"/>
  <c r="L287" i="2" s="1"/>
  <c r="G276" i="5"/>
  <c r="B277" i="5"/>
  <c r="D277" i="5" s="1"/>
  <c r="F277" i="5"/>
  <c r="H277" i="5"/>
  <c r="C278" i="5"/>
  <c r="E278" i="5"/>
  <c r="K278" i="5" s="1"/>
  <c r="K289" i="2" s="1"/>
  <c r="L289" i="2" s="1"/>
  <c r="G278" i="5"/>
  <c r="B279" i="5"/>
  <c r="D279" i="5"/>
  <c r="F279" i="5"/>
  <c r="H279" i="5"/>
  <c r="C280" i="5"/>
  <c r="E280" i="5"/>
  <c r="K280" i="5" s="1"/>
  <c r="K291" i="2" s="1"/>
  <c r="L291" i="2" s="1"/>
  <c r="G280" i="5"/>
  <c r="B281" i="5"/>
  <c r="D281" i="5" s="1"/>
  <c r="F281" i="5"/>
  <c r="H281" i="5"/>
  <c r="C282" i="5"/>
  <c r="E282" i="5"/>
  <c r="K282" i="5" s="1"/>
  <c r="K293" i="2" s="1"/>
  <c r="L293" i="2" s="1"/>
  <c r="G282" i="5"/>
  <c r="B283" i="5"/>
  <c r="D283" i="5"/>
  <c r="F283" i="5"/>
  <c r="H283" i="5"/>
  <c r="C284" i="5"/>
  <c r="E284" i="5"/>
  <c r="K284" i="5" s="1"/>
  <c r="K295" i="2" s="1"/>
  <c r="L295" i="2" s="1"/>
  <c r="G284" i="5"/>
  <c r="B285" i="5"/>
  <c r="D285" i="5" s="1"/>
  <c r="F285" i="5"/>
  <c r="H285" i="5"/>
  <c r="C286" i="5"/>
  <c r="E286" i="5"/>
  <c r="K286" i="5" s="1"/>
  <c r="K297" i="2" s="1"/>
  <c r="L297" i="2" s="1"/>
  <c r="G286" i="5"/>
  <c r="B287" i="5"/>
  <c r="D287" i="5"/>
  <c r="F287" i="5"/>
  <c r="H287" i="5"/>
  <c r="C288" i="5"/>
  <c r="E288" i="5"/>
  <c r="K288" i="5" s="1"/>
  <c r="K299" i="2" s="1"/>
  <c r="L299" i="2" s="1"/>
  <c r="G288" i="5"/>
  <c r="B289" i="5"/>
  <c r="D289" i="5" s="1"/>
  <c r="F289" i="5"/>
  <c r="H289" i="5"/>
  <c r="C290" i="5"/>
  <c r="E290" i="5"/>
  <c r="K290" i="5" s="1"/>
  <c r="K301" i="2" s="1"/>
  <c r="L301" i="2" s="1"/>
  <c r="G290" i="5"/>
  <c r="B291" i="5"/>
  <c r="D291" i="5"/>
  <c r="F291" i="5"/>
  <c r="H291" i="5"/>
  <c r="C292" i="5"/>
  <c r="E292" i="5"/>
  <c r="K292" i="5" s="1"/>
  <c r="K303" i="2" s="1"/>
  <c r="L303" i="2" s="1"/>
  <c r="G292" i="5"/>
  <c r="B293" i="5"/>
  <c r="D293" i="5" s="1"/>
  <c r="F293" i="5"/>
  <c r="H293" i="5"/>
  <c r="C294" i="5"/>
  <c r="E294" i="5"/>
  <c r="K294" i="5" s="1"/>
  <c r="K305" i="2" s="1"/>
  <c r="L305" i="2" s="1"/>
  <c r="G294" i="5"/>
  <c r="B295" i="5"/>
  <c r="D295" i="5"/>
  <c r="F295" i="5"/>
  <c r="H295" i="5"/>
  <c r="C296" i="5"/>
  <c r="E296" i="5"/>
  <c r="K296" i="5" s="1"/>
  <c r="K307" i="2" s="1"/>
  <c r="L307" i="2" s="1"/>
  <c r="G296" i="5"/>
  <c r="B297" i="5"/>
  <c r="D297" i="5" s="1"/>
  <c r="F297" i="5"/>
  <c r="H297" i="5"/>
  <c r="C298" i="5"/>
  <c r="E298" i="5"/>
  <c r="K298" i="5" s="1"/>
  <c r="K309" i="2" s="1"/>
  <c r="L309" i="2" s="1"/>
  <c r="G298" i="5"/>
  <c r="B299" i="5"/>
  <c r="D299" i="5"/>
  <c r="F299" i="5"/>
  <c r="H299" i="5"/>
  <c r="C300" i="5"/>
  <c r="E300" i="5"/>
  <c r="K300" i="5" s="1"/>
  <c r="K311" i="2" s="1"/>
  <c r="L311" i="2" s="1"/>
  <c r="G300" i="5"/>
  <c r="B301" i="5"/>
  <c r="D301" i="5" s="1"/>
  <c r="F301" i="5"/>
  <c r="H301" i="5"/>
  <c r="C302" i="5"/>
  <c r="E302" i="5"/>
  <c r="K302" i="5" s="1"/>
  <c r="K313" i="2" s="1"/>
  <c r="L313" i="2" s="1"/>
  <c r="G302" i="5"/>
  <c r="B303" i="5"/>
  <c r="D303" i="5"/>
  <c r="F303" i="5"/>
  <c r="H303" i="5"/>
  <c r="C304" i="5"/>
  <c r="E304" i="5"/>
  <c r="K304" i="5" s="1"/>
  <c r="K315" i="2" s="1"/>
  <c r="L315" i="2" s="1"/>
  <c r="G304" i="5"/>
  <c r="B305" i="5"/>
  <c r="D305" i="5" s="1"/>
  <c r="F305" i="5"/>
  <c r="H305" i="5"/>
  <c r="C306" i="5"/>
  <c r="E306" i="5"/>
  <c r="K306" i="5" s="1"/>
  <c r="K317" i="2" s="1"/>
  <c r="L317" i="2" s="1"/>
  <c r="G306" i="5"/>
  <c r="B307" i="5"/>
  <c r="D307" i="5"/>
  <c r="F307" i="5"/>
  <c r="H307" i="5"/>
  <c r="C308" i="5"/>
  <c r="E308" i="5"/>
  <c r="K308" i="5" s="1"/>
  <c r="K319" i="2" s="1"/>
  <c r="L319" i="2" s="1"/>
  <c r="G308" i="5"/>
  <c r="B309" i="5"/>
  <c r="D309" i="5" s="1"/>
  <c r="F309" i="5"/>
  <c r="H309" i="5"/>
  <c r="C310" i="5"/>
  <c r="E310" i="5"/>
  <c r="K310" i="5" s="1"/>
  <c r="K321" i="2" s="1"/>
  <c r="L321" i="2" s="1"/>
  <c r="G310" i="5"/>
  <c r="B311" i="5"/>
  <c r="C311" i="5" s="1"/>
  <c r="D311" i="5"/>
  <c r="F311" i="5"/>
  <c r="H311" i="5"/>
  <c r="C312" i="5"/>
  <c r="E312" i="5"/>
  <c r="K312" i="5" s="1"/>
  <c r="K323" i="2" s="1"/>
  <c r="L323" i="2" s="1"/>
  <c r="G312" i="5"/>
  <c r="C314" i="5"/>
  <c r="E314" i="5"/>
  <c r="K314" i="5" s="1"/>
  <c r="K325" i="2" s="1"/>
  <c r="L325" i="2" s="1"/>
  <c r="G314" i="5"/>
  <c r="E316" i="5"/>
  <c r="K316" i="5" s="1"/>
  <c r="K327" i="2" s="1"/>
  <c r="L327" i="2" s="1"/>
  <c r="G316" i="5"/>
  <c r="C318" i="5"/>
  <c r="E318" i="5"/>
  <c r="K318" i="5" s="1"/>
  <c r="K329" i="2" s="1"/>
  <c r="L329" i="2" s="1"/>
  <c r="G318" i="5"/>
  <c r="E320" i="5"/>
  <c r="K320" i="5" s="1"/>
  <c r="K331" i="2" s="1"/>
  <c r="L331" i="2" s="1"/>
  <c r="G320" i="5"/>
  <c r="C322" i="5"/>
  <c r="E322" i="5"/>
  <c r="K322" i="5" s="1"/>
  <c r="K333" i="2" s="1"/>
  <c r="L333" i="2" s="1"/>
  <c r="G322" i="5"/>
  <c r="E324" i="5"/>
  <c r="K324" i="5" s="1"/>
  <c r="K335" i="2" s="1"/>
  <c r="L335" i="2" s="1"/>
  <c r="G324" i="5"/>
  <c r="C326" i="5"/>
  <c r="E326" i="5"/>
  <c r="K326" i="5" s="1"/>
  <c r="K337" i="2" s="1"/>
  <c r="L337" i="2" s="1"/>
  <c r="G326" i="5"/>
  <c r="E328" i="5"/>
  <c r="K328" i="5" s="1"/>
  <c r="K339" i="2" s="1"/>
  <c r="L339" i="2" s="1"/>
  <c r="G328" i="5"/>
  <c r="C330" i="5"/>
  <c r="E330" i="5"/>
  <c r="K330" i="5" s="1"/>
  <c r="K341" i="2" s="1"/>
  <c r="L341" i="2" s="1"/>
  <c r="G330" i="5"/>
  <c r="I330" i="5"/>
  <c r="J332" i="5"/>
  <c r="H332" i="5"/>
  <c r="F332" i="5"/>
  <c r="B332" i="5"/>
  <c r="D332" i="5" s="1"/>
  <c r="E332" i="5"/>
  <c r="K332" i="5" s="1"/>
  <c r="K343" i="2" s="1"/>
  <c r="L343" i="2" s="1"/>
  <c r="I332" i="5"/>
  <c r="J334" i="5"/>
  <c r="H334" i="5"/>
  <c r="F334" i="5"/>
  <c r="D334" i="5"/>
  <c r="B334" i="5"/>
  <c r="C334" i="5" s="1"/>
  <c r="E334" i="5"/>
  <c r="K334" i="5" s="1"/>
  <c r="K345" i="2" s="1"/>
  <c r="L345" i="2" s="1"/>
  <c r="I334" i="5"/>
  <c r="J336" i="5"/>
  <c r="H336" i="5"/>
  <c r="F336" i="5"/>
  <c r="B336" i="5"/>
  <c r="D336" i="5" s="1"/>
  <c r="E336" i="5"/>
  <c r="K336" i="5" s="1"/>
  <c r="K347" i="2" s="1"/>
  <c r="L347" i="2" s="1"/>
  <c r="I336" i="5"/>
  <c r="J338" i="5"/>
  <c r="H338" i="5"/>
  <c r="F338" i="5"/>
  <c r="D338" i="5"/>
  <c r="B338" i="5"/>
  <c r="C338" i="5" s="1"/>
  <c r="E338" i="5"/>
  <c r="K338" i="5" s="1"/>
  <c r="K349" i="2" s="1"/>
  <c r="L349" i="2" s="1"/>
  <c r="I338" i="5"/>
  <c r="J340" i="5"/>
  <c r="H340" i="5"/>
  <c r="F340" i="5"/>
  <c r="B340" i="5"/>
  <c r="D340" i="5" s="1"/>
  <c r="E340" i="5"/>
  <c r="K340" i="5" s="1"/>
  <c r="K351" i="2" s="1"/>
  <c r="L351" i="2" s="1"/>
  <c r="I340" i="5"/>
  <c r="J342" i="5"/>
  <c r="H342" i="5"/>
  <c r="F342" i="5"/>
  <c r="D342" i="5"/>
  <c r="B342" i="5"/>
  <c r="C342" i="5" s="1"/>
  <c r="E342" i="5"/>
  <c r="K342" i="5" s="1"/>
  <c r="K353" i="2" s="1"/>
  <c r="L353" i="2" s="1"/>
  <c r="I342" i="5"/>
  <c r="J344" i="5"/>
  <c r="H344" i="5"/>
  <c r="F344" i="5"/>
  <c r="B344" i="5"/>
  <c r="D344" i="5" s="1"/>
  <c r="E344" i="5"/>
  <c r="K344" i="5" s="1"/>
  <c r="K355" i="2" s="1"/>
  <c r="L355" i="2" s="1"/>
  <c r="I344" i="5"/>
  <c r="J346" i="5"/>
  <c r="H346" i="5"/>
  <c r="F346" i="5"/>
  <c r="D346" i="5"/>
  <c r="B346" i="5"/>
  <c r="C346" i="5" s="1"/>
  <c r="E346" i="5"/>
  <c r="K346" i="5" s="1"/>
  <c r="K357" i="2" s="1"/>
  <c r="L357" i="2" s="1"/>
  <c r="I346" i="5"/>
  <c r="J348" i="5"/>
  <c r="H348" i="5"/>
  <c r="F348" i="5"/>
  <c r="B348" i="5"/>
  <c r="D348" i="5" s="1"/>
  <c r="E348" i="5"/>
  <c r="K348" i="5" s="1"/>
  <c r="K359" i="2" s="1"/>
  <c r="L359" i="2" s="1"/>
  <c r="I348" i="5"/>
  <c r="J350" i="5"/>
  <c r="H350" i="5"/>
  <c r="F350" i="5"/>
  <c r="D350" i="5"/>
  <c r="B350" i="5"/>
  <c r="C350" i="5" s="1"/>
  <c r="E350" i="5"/>
  <c r="K350" i="5" s="1"/>
  <c r="K361" i="2" s="1"/>
  <c r="L361" i="2" s="1"/>
  <c r="I350" i="5"/>
  <c r="J352" i="5"/>
  <c r="H352" i="5"/>
  <c r="F352" i="5"/>
  <c r="B352" i="5"/>
  <c r="D352" i="5" s="1"/>
  <c r="E352" i="5"/>
  <c r="K352" i="5" s="1"/>
  <c r="K363" i="2" s="1"/>
  <c r="L363" i="2" s="1"/>
  <c r="I352" i="5"/>
  <c r="J354" i="5"/>
  <c r="H354" i="5"/>
  <c r="F354" i="5"/>
  <c r="D354" i="5"/>
  <c r="B354" i="5"/>
  <c r="C354" i="5" s="1"/>
  <c r="E354" i="5"/>
  <c r="K354" i="5" s="1"/>
  <c r="K365" i="2" s="1"/>
  <c r="L365" i="2" s="1"/>
  <c r="I354" i="5"/>
  <c r="J356" i="5"/>
  <c r="H356" i="5"/>
  <c r="F356" i="5"/>
  <c r="B356" i="5"/>
  <c r="D356" i="5" s="1"/>
  <c r="E356" i="5"/>
  <c r="K356" i="5" s="1"/>
  <c r="K367" i="2" s="1"/>
  <c r="L367" i="2" s="1"/>
  <c r="I356" i="5"/>
  <c r="J358" i="5"/>
  <c r="H358" i="5"/>
  <c r="F358" i="5"/>
  <c r="D358" i="5"/>
  <c r="B358" i="5"/>
  <c r="C358" i="5" s="1"/>
  <c r="E358" i="5"/>
  <c r="K358" i="5" s="1"/>
  <c r="K369" i="2" s="1"/>
  <c r="L369" i="2" s="1"/>
  <c r="I358" i="5"/>
  <c r="J360" i="5"/>
  <c r="H360" i="5"/>
  <c r="F360" i="5"/>
  <c r="B360" i="5"/>
  <c r="D360" i="5" s="1"/>
  <c r="E360" i="5"/>
  <c r="K360" i="5" s="1"/>
  <c r="K371" i="2" s="1"/>
  <c r="L371" i="2" s="1"/>
  <c r="I360" i="5"/>
  <c r="J362" i="5"/>
  <c r="H362" i="5"/>
  <c r="F362" i="5"/>
  <c r="D362" i="5"/>
  <c r="B362" i="5"/>
  <c r="C362" i="5" s="1"/>
  <c r="E362" i="5"/>
  <c r="K362" i="5" s="1"/>
  <c r="K373" i="2" s="1"/>
  <c r="L373" i="2" s="1"/>
  <c r="I362" i="5"/>
  <c r="J364" i="5"/>
  <c r="H364" i="5"/>
  <c r="F364" i="5"/>
  <c r="B364" i="5"/>
  <c r="D364" i="5" s="1"/>
  <c r="E364" i="5"/>
  <c r="K364" i="5" s="1"/>
  <c r="K375" i="2" s="1"/>
  <c r="L375" i="2" s="1"/>
  <c r="I364" i="5"/>
  <c r="J366" i="5"/>
  <c r="H366" i="5"/>
  <c r="F366" i="5"/>
  <c r="D366" i="5"/>
  <c r="B366" i="5"/>
  <c r="C366" i="5" s="1"/>
  <c r="E366" i="5"/>
  <c r="K366" i="5" s="1"/>
  <c r="K377" i="2" s="1"/>
  <c r="L377" i="2" s="1"/>
  <c r="I366" i="5"/>
  <c r="J368" i="5"/>
  <c r="H368" i="5"/>
  <c r="F368" i="5"/>
  <c r="B368" i="5"/>
  <c r="D368" i="5" s="1"/>
  <c r="E368" i="5"/>
  <c r="K368" i="5" s="1"/>
  <c r="K379" i="2" s="1"/>
  <c r="L379" i="2" s="1"/>
  <c r="I368" i="5"/>
  <c r="J370" i="5"/>
  <c r="H370" i="5"/>
  <c r="F370" i="5"/>
  <c r="D370" i="5"/>
  <c r="B370" i="5"/>
  <c r="C370" i="5" s="1"/>
  <c r="E370" i="5"/>
  <c r="K370" i="5" s="1"/>
  <c r="K381" i="2" s="1"/>
  <c r="L381" i="2" s="1"/>
  <c r="I370" i="5"/>
  <c r="J372" i="5"/>
  <c r="H372" i="5"/>
  <c r="F372" i="5"/>
  <c r="B372" i="5"/>
  <c r="D372" i="5" s="1"/>
  <c r="E372" i="5"/>
  <c r="K372" i="5" s="1"/>
  <c r="K383" i="2" s="1"/>
  <c r="L383" i="2" s="1"/>
  <c r="I372" i="5"/>
  <c r="J374" i="5"/>
  <c r="H374" i="5"/>
  <c r="F374" i="5"/>
  <c r="D374" i="5"/>
  <c r="B374" i="5"/>
  <c r="C374" i="5" s="1"/>
  <c r="E374" i="5"/>
  <c r="K374" i="5" s="1"/>
  <c r="K385" i="2" s="1"/>
  <c r="L385" i="2" s="1"/>
  <c r="I374" i="5"/>
  <c r="J376" i="5"/>
  <c r="H376" i="5"/>
  <c r="F376" i="5"/>
  <c r="B376" i="5"/>
  <c r="D376" i="5" s="1"/>
  <c r="E376" i="5"/>
  <c r="K376" i="5" s="1"/>
  <c r="K387" i="2" s="1"/>
  <c r="L387" i="2" s="1"/>
  <c r="I376" i="5"/>
  <c r="J378" i="5"/>
  <c r="H378" i="5"/>
  <c r="F378" i="5"/>
  <c r="D378" i="5"/>
  <c r="B378" i="5"/>
  <c r="C378" i="5" s="1"/>
  <c r="E378" i="5"/>
  <c r="K378" i="5" s="1"/>
  <c r="K389" i="2" s="1"/>
  <c r="L389" i="2" s="1"/>
  <c r="I378" i="5"/>
  <c r="J380" i="5"/>
  <c r="H380" i="5"/>
  <c r="F380" i="5"/>
  <c r="B380" i="5"/>
  <c r="D380" i="5" s="1"/>
  <c r="E380" i="5"/>
  <c r="K380" i="5" s="1"/>
  <c r="K391" i="2" s="1"/>
  <c r="L391" i="2" s="1"/>
  <c r="I380" i="5"/>
  <c r="J382" i="5"/>
  <c r="H382" i="5"/>
  <c r="F382" i="5"/>
  <c r="D382" i="5"/>
  <c r="B382" i="5"/>
  <c r="C382" i="5" s="1"/>
  <c r="E382" i="5"/>
  <c r="K382" i="5" s="1"/>
  <c r="K393" i="2" s="1"/>
  <c r="L393" i="2" s="1"/>
  <c r="I382" i="5"/>
  <c r="J384" i="5"/>
  <c r="H384" i="5"/>
  <c r="F384" i="5"/>
  <c r="B384" i="5"/>
  <c r="D384" i="5" s="1"/>
  <c r="E384" i="5"/>
  <c r="K384" i="5" s="1"/>
  <c r="K395" i="2" s="1"/>
  <c r="L395" i="2" s="1"/>
  <c r="I384" i="5"/>
  <c r="J386" i="5"/>
  <c r="H386" i="5"/>
  <c r="F386" i="5"/>
  <c r="D386" i="5"/>
  <c r="B386" i="5"/>
  <c r="C386" i="5" s="1"/>
  <c r="E386" i="5"/>
  <c r="K386" i="5" s="1"/>
  <c r="K397" i="2" s="1"/>
  <c r="L397" i="2" s="1"/>
  <c r="I386" i="5"/>
  <c r="J388" i="5"/>
  <c r="H388" i="5"/>
  <c r="F388" i="5"/>
  <c r="B388" i="5"/>
  <c r="D388" i="5" s="1"/>
  <c r="E388" i="5"/>
  <c r="K388" i="5" s="1"/>
  <c r="K399" i="2" s="1"/>
  <c r="L399" i="2" s="1"/>
  <c r="I388" i="5"/>
  <c r="J390" i="5"/>
  <c r="H390" i="5"/>
  <c r="F390" i="5"/>
  <c r="D390" i="5"/>
  <c r="B390" i="5"/>
  <c r="C390" i="5" s="1"/>
  <c r="E390" i="5"/>
  <c r="K390" i="5" s="1"/>
  <c r="K401" i="2" s="1"/>
  <c r="L401" i="2" s="1"/>
  <c r="I390" i="5"/>
  <c r="J392" i="5"/>
  <c r="H392" i="5"/>
  <c r="F392" i="5"/>
  <c r="B392" i="5"/>
  <c r="D392" i="5" s="1"/>
  <c r="E392" i="5"/>
  <c r="K392" i="5" s="1"/>
  <c r="K403" i="2" s="1"/>
  <c r="L403" i="2" s="1"/>
  <c r="I392" i="5"/>
  <c r="J394" i="5"/>
  <c r="H394" i="5"/>
  <c r="F394" i="5"/>
  <c r="D394" i="5"/>
  <c r="B394" i="5"/>
  <c r="C394" i="5" s="1"/>
  <c r="E394" i="5"/>
  <c r="K394" i="5" s="1"/>
  <c r="K405" i="2" s="1"/>
  <c r="L405" i="2" s="1"/>
  <c r="I394" i="5"/>
  <c r="J396" i="5"/>
  <c r="H396" i="5"/>
  <c r="F396" i="5"/>
  <c r="B396" i="5"/>
  <c r="D396" i="5" s="1"/>
  <c r="E396" i="5"/>
  <c r="K396" i="5" s="1"/>
  <c r="I396" i="5"/>
  <c r="E398" i="5"/>
  <c r="K398" i="5" s="1"/>
  <c r="G398" i="5"/>
  <c r="I398" i="5"/>
  <c r="E400" i="5"/>
  <c r="K400" i="5" s="1"/>
  <c r="G400" i="5"/>
  <c r="I400" i="5"/>
  <c r="E402" i="5"/>
  <c r="K402" i="5" s="1"/>
  <c r="G402" i="5"/>
  <c r="I402" i="5"/>
  <c r="E404" i="5"/>
  <c r="K404" i="5" s="1"/>
  <c r="G404" i="5"/>
  <c r="I404" i="5"/>
  <c r="E406" i="5"/>
  <c r="K406" i="5" s="1"/>
  <c r="G406" i="5"/>
  <c r="I406" i="5"/>
  <c r="E408" i="5"/>
  <c r="K408" i="5" s="1"/>
  <c r="G408" i="5"/>
  <c r="I408" i="5"/>
  <c r="E410" i="5"/>
  <c r="K410" i="5" s="1"/>
  <c r="G410" i="5"/>
  <c r="I410" i="5"/>
  <c r="E412" i="5"/>
  <c r="K412" i="5" s="1"/>
  <c r="G412" i="5"/>
  <c r="I412" i="5"/>
  <c r="E414" i="5"/>
  <c r="K414" i="5" s="1"/>
  <c r="G414" i="5"/>
  <c r="I414" i="5"/>
  <c r="E416" i="5"/>
  <c r="K416" i="5" s="1"/>
  <c r="G416" i="5"/>
  <c r="I416" i="5"/>
  <c r="E418" i="5"/>
  <c r="K418" i="5" s="1"/>
  <c r="G418" i="5"/>
  <c r="I418" i="5"/>
  <c r="E420" i="5"/>
  <c r="K420" i="5" s="1"/>
  <c r="G420" i="5"/>
  <c r="I420" i="5"/>
  <c r="E422" i="5"/>
  <c r="K422" i="5" s="1"/>
  <c r="G422" i="5"/>
  <c r="I422" i="5"/>
  <c r="E424" i="5"/>
  <c r="K424" i="5" s="1"/>
  <c r="G424" i="5"/>
  <c r="I424" i="5"/>
  <c r="E426" i="5"/>
  <c r="K426" i="5" s="1"/>
  <c r="G426" i="5"/>
  <c r="I426" i="5"/>
  <c r="E428" i="5"/>
  <c r="K428" i="5" s="1"/>
  <c r="G428" i="5"/>
  <c r="I428" i="5"/>
  <c r="E430" i="5"/>
  <c r="K430" i="5" s="1"/>
  <c r="G430" i="5"/>
  <c r="I430" i="5"/>
  <c r="E432" i="5"/>
  <c r="K432" i="5" s="1"/>
  <c r="G432" i="5"/>
  <c r="I432" i="5"/>
  <c r="E434" i="5"/>
  <c r="K434" i="5" s="1"/>
  <c r="G434" i="5"/>
  <c r="I434" i="5"/>
  <c r="E436" i="5"/>
  <c r="K436" i="5" s="1"/>
  <c r="G436" i="5"/>
  <c r="I436" i="5"/>
  <c r="E438" i="5"/>
  <c r="K438" i="5" s="1"/>
  <c r="G438" i="5"/>
  <c r="I438" i="5"/>
  <c r="E440" i="5"/>
  <c r="K440" i="5" s="1"/>
  <c r="G440" i="5"/>
  <c r="I440" i="5"/>
  <c r="E442" i="5"/>
  <c r="K442" i="5" s="1"/>
  <c r="G442" i="5"/>
  <c r="I442" i="5"/>
  <c r="E444" i="5"/>
  <c r="K444" i="5" s="1"/>
  <c r="G444" i="5"/>
  <c r="I444" i="5"/>
  <c r="E446" i="5"/>
  <c r="K446" i="5" s="1"/>
  <c r="G446" i="5"/>
  <c r="I446" i="5"/>
  <c r="E448" i="5"/>
  <c r="K448" i="5" s="1"/>
  <c r="G448" i="5"/>
  <c r="I448" i="5"/>
  <c r="E450" i="5"/>
  <c r="K450" i="5" s="1"/>
  <c r="G450" i="5"/>
  <c r="I450" i="5"/>
  <c r="E452" i="5"/>
  <c r="K452" i="5" s="1"/>
  <c r="G452" i="5"/>
  <c r="I452" i="5"/>
  <c r="E454" i="5"/>
  <c r="K454" i="5" s="1"/>
  <c r="G454" i="5"/>
  <c r="I454" i="5"/>
  <c r="E456" i="5"/>
  <c r="K456" i="5" s="1"/>
  <c r="G456" i="5"/>
  <c r="I456" i="5"/>
  <c r="E458" i="5"/>
  <c r="K458" i="5" s="1"/>
  <c r="G458" i="5"/>
  <c r="I458" i="5"/>
  <c r="E460" i="5"/>
  <c r="K460" i="5" s="1"/>
  <c r="G460" i="5"/>
  <c r="I460" i="5"/>
  <c r="E462" i="5"/>
  <c r="K462" i="5" s="1"/>
  <c r="G462" i="5"/>
  <c r="I462" i="5"/>
  <c r="E464" i="5"/>
  <c r="K464" i="5" s="1"/>
  <c r="G464" i="5"/>
  <c r="I464" i="5"/>
  <c r="E466" i="5"/>
  <c r="K466" i="5" s="1"/>
  <c r="G466" i="5"/>
  <c r="I466" i="5"/>
  <c r="E468" i="5"/>
  <c r="K468" i="5" s="1"/>
  <c r="G468" i="5"/>
  <c r="I468" i="5"/>
  <c r="E470" i="5"/>
  <c r="K470" i="5" s="1"/>
  <c r="G470" i="5"/>
  <c r="I470" i="5"/>
  <c r="E472" i="5"/>
  <c r="K472" i="5" s="1"/>
  <c r="G472" i="5"/>
  <c r="I472" i="5"/>
  <c r="E474" i="5"/>
  <c r="K474" i="5" s="1"/>
  <c r="G474" i="5"/>
  <c r="I474" i="5"/>
  <c r="E476" i="5"/>
  <c r="K476" i="5" s="1"/>
  <c r="G476" i="5"/>
  <c r="I476" i="5"/>
  <c r="E478" i="5"/>
  <c r="K478" i="5" s="1"/>
  <c r="G478" i="5"/>
  <c r="I478" i="5"/>
  <c r="E480" i="5"/>
  <c r="K480" i="5" s="1"/>
  <c r="G480" i="5"/>
  <c r="I480" i="5"/>
  <c r="E482" i="5"/>
  <c r="K482" i="5" s="1"/>
  <c r="G482" i="5"/>
  <c r="I482" i="5"/>
  <c r="E484" i="5"/>
  <c r="K484" i="5" s="1"/>
  <c r="G484" i="5"/>
  <c r="I484" i="5"/>
  <c r="E486" i="5"/>
  <c r="K486" i="5" s="1"/>
  <c r="G486" i="5"/>
  <c r="I486" i="5"/>
  <c r="E488" i="5"/>
  <c r="K488" i="5" s="1"/>
  <c r="G488" i="5"/>
  <c r="I488" i="5"/>
  <c r="E490" i="5"/>
  <c r="K490" i="5" s="1"/>
  <c r="G490" i="5"/>
  <c r="I490" i="5"/>
  <c r="E492" i="5"/>
  <c r="K492" i="5" s="1"/>
  <c r="G492" i="5"/>
  <c r="I492" i="5"/>
  <c r="E494" i="5"/>
  <c r="K494" i="5" s="1"/>
  <c r="G494" i="5"/>
  <c r="I494" i="5"/>
  <c r="E496" i="5"/>
  <c r="K496" i="5" s="1"/>
  <c r="G496" i="5"/>
  <c r="I496" i="5"/>
  <c r="E498" i="5"/>
  <c r="K498" i="5" s="1"/>
  <c r="G498" i="5"/>
  <c r="I498" i="5"/>
  <c r="E500" i="5"/>
  <c r="K500" i="5" s="1"/>
  <c r="G500" i="5"/>
  <c r="I500" i="5"/>
  <c r="E502" i="5"/>
  <c r="K502" i="5" s="1"/>
  <c r="G502" i="5"/>
  <c r="I502" i="5"/>
  <c r="E504" i="5"/>
  <c r="K504" i="5" s="1"/>
  <c r="G504" i="5"/>
  <c r="I504" i="5"/>
  <c r="C331" i="5"/>
  <c r="E331" i="5"/>
  <c r="K331" i="5" s="1"/>
  <c r="K342" i="3" s="1"/>
  <c r="L342" i="3" s="1"/>
  <c r="G331" i="5"/>
  <c r="C333" i="5"/>
  <c r="E333" i="5"/>
  <c r="K333" i="5" s="1"/>
  <c r="K344" i="2" s="1"/>
  <c r="L344" i="2" s="1"/>
  <c r="G333" i="5"/>
  <c r="C335" i="5"/>
  <c r="E335" i="5"/>
  <c r="K335" i="5" s="1"/>
  <c r="K346" i="3" s="1"/>
  <c r="L346" i="3" s="1"/>
  <c r="G335" i="5"/>
  <c r="C337" i="5"/>
  <c r="E337" i="5"/>
  <c r="K337" i="5" s="1"/>
  <c r="K348" i="2" s="1"/>
  <c r="L348" i="2" s="1"/>
  <c r="G337" i="5"/>
  <c r="C339" i="5"/>
  <c r="E339" i="5"/>
  <c r="K339" i="5" s="1"/>
  <c r="K350" i="3" s="1"/>
  <c r="L350" i="3" s="1"/>
  <c r="G339" i="5"/>
  <c r="C341" i="5"/>
  <c r="E341" i="5"/>
  <c r="K341" i="5" s="1"/>
  <c r="K352" i="2" s="1"/>
  <c r="L352" i="2" s="1"/>
  <c r="G341" i="5"/>
  <c r="C343" i="5"/>
  <c r="E343" i="5"/>
  <c r="K343" i="5" s="1"/>
  <c r="K354" i="3" s="1"/>
  <c r="L354" i="3" s="1"/>
  <c r="G343" i="5"/>
  <c r="C345" i="5"/>
  <c r="E345" i="5"/>
  <c r="K345" i="5" s="1"/>
  <c r="K356" i="2" s="1"/>
  <c r="L356" i="2" s="1"/>
  <c r="G345" i="5"/>
  <c r="C347" i="5"/>
  <c r="E347" i="5"/>
  <c r="K347" i="5" s="1"/>
  <c r="K358" i="3" s="1"/>
  <c r="L358" i="3" s="1"/>
  <c r="G347" i="5"/>
  <c r="C349" i="5"/>
  <c r="E349" i="5"/>
  <c r="K349" i="5" s="1"/>
  <c r="K360" i="2" s="1"/>
  <c r="L360" i="2" s="1"/>
  <c r="G349" i="5"/>
  <c r="C351" i="5"/>
  <c r="E351" i="5"/>
  <c r="K351" i="5" s="1"/>
  <c r="K362" i="3" s="1"/>
  <c r="L362" i="3" s="1"/>
  <c r="G351" i="5"/>
  <c r="C353" i="5"/>
  <c r="E353" i="5"/>
  <c r="K353" i="5" s="1"/>
  <c r="K364" i="2" s="1"/>
  <c r="L364" i="2" s="1"/>
  <c r="G353" i="5"/>
  <c r="C355" i="5"/>
  <c r="E355" i="5"/>
  <c r="K355" i="5" s="1"/>
  <c r="K366" i="3" s="1"/>
  <c r="L366" i="3" s="1"/>
  <c r="G355" i="5"/>
  <c r="C357" i="5"/>
  <c r="E357" i="5"/>
  <c r="K357" i="5" s="1"/>
  <c r="K368" i="2" s="1"/>
  <c r="L368" i="2" s="1"/>
  <c r="G357" i="5"/>
  <c r="C359" i="5"/>
  <c r="E359" i="5"/>
  <c r="K359" i="5" s="1"/>
  <c r="K370" i="3" s="1"/>
  <c r="L370" i="3" s="1"/>
  <c r="G359" i="5"/>
  <c r="C361" i="5"/>
  <c r="E361" i="5"/>
  <c r="K361" i="5" s="1"/>
  <c r="K372" i="2" s="1"/>
  <c r="L372" i="2" s="1"/>
  <c r="G361" i="5"/>
  <c r="C363" i="5"/>
  <c r="E363" i="5"/>
  <c r="K363" i="5" s="1"/>
  <c r="K374" i="3" s="1"/>
  <c r="L374" i="3" s="1"/>
  <c r="G363" i="5"/>
  <c r="C365" i="5"/>
  <c r="E365" i="5"/>
  <c r="K365" i="5" s="1"/>
  <c r="K376" i="2" s="1"/>
  <c r="L376" i="2" s="1"/>
  <c r="G365" i="5"/>
  <c r="C367" i="5"/>
  <c r="E367" i="5"/>
  <c r="K367" i="5" s="1"/>
  <c r="K378" i="3" s="1"/>
  <c r="L378" i="3" s="1"/>
  <c r="G367" i="5"/>
  <c r="C369" i="5"/>
  <c r="E369" i="5"/>
  <c r="K369" i="5" s="1"/>
  <c r="K380" i="2" s="1"/>
  <c r="L380" i="2" s="1"/>
  <c r="G369" i="5"/>
  <c r="C371" i="5"/>
  <c r="E371" i="5"/>
  <c r="K371" i="5" s="1"/>
  <c r="K382" i="3" s="1"/>
  <c r="L382" i="3" s="1"/>
  <c r="G371" i="5"/>
  <c r="C373" i="5"/>
  <c r="E373" i="5"/>
  <c r="K373" i="5" s="1"/>
  <c r="K384" i="2" s="1"/>
  <c r="L384" i="2" s="1"/>
  <c r="G373" i="5"/>
  <c r="C375" i="5"/>
  <c r="E375" i="5"/>
  <c r="K375" i="5" s="1"/>
  <c r="K386" i="3" s="1"/>
  <c r="L386" i="3" s="1"/>
  <c r="G375" i="5"/>
  <c r="C377" i="5"/>
  <c r="E377" i="5"/>
  <c r="K377" i="5" s="1"/>
  <c r="K388" i="2" s="1"/>
  <c r="L388" i="2" s="1"/>
  <c r="G377" i="5"/>
  <c r="C379" i="5"/>
  <c r="E379" i="5"/>
  <c r="K379" i="5" s="1"/>
  <c r="K390" i="3" s="1"/>
  <c r="L390" i="3" s="1"/>
  <c r="G379" i="5"/>
  <c r="C381" i="5"/>
  <c r="E381" i="5"/>
  <c r="K381" i="5" s="1"/>
  <c r="K392" i="2" s="1"/>
  <c r="L392" i="2" s="1"/>
  <c r="G381" i="5"/>
  <c r="C383" i="5"/>
  <c r="E383" i="5"/>
  <c r="K383" i="5" s="1"/>
  <c r="K394" i="3" s="1"/>
  <c r="L394" i="3" s="1"/>
  <c r="G383" i="5"/>
  <c r="C385" i="5"/>
  <c r="E385" i="5"/>
  <c r="K385" i="5" s="1"/>
  <c r="K396" i="2" s="1"/>
  <c r="L396" i="2" s="1"/>
  <c r="G385" i="5"/>
  <c r="C387" i="5"/>
  <c r="E387" i="5"/>
  <c r="K387" i="5" s="1"/>
  <c r="K398" i="3" s="1"/>
  <c r="L398" i="3" s="1"/>
  <c r="G387" i="5"/>
  <c r="C389" i="5"/>
  <c r="E389" i="5"/>
  <c r="K389" i="5" s="1"/>
  <c r="K400" i="2" s="1"/>
  <c r="L400" i="2" s="1"/>
  <c r="G389" i="5"/>
  <c r="C391" i="5"/>
  <c r="E391" i="5"/>
  <c r="K391" i="5" s="1"/>
  <c r="K402" i="3" s="1"/>
  <c r="L402" i="3" s="1"/>
  <c r="G391" i="5"/>
  <c r="C393" i="5"/>
  <c r="E393" i="5"/>
  <c r="K393" i="5" s="1"/>
  <c r="K404" i="2" s="1"/>
  <c r="L404" i="2" s="1"/>
  <c r="G393" i="5"/>
  <c r="C395" i="5"/>
  <c r="E395" i="5"/>
  <c r="K395" i="5" s="1"/>
  <c r="K406" i="2" s="1"/>
  <c r="L406" i="2" s="1"/>
  <c r="G395" i="5"/>
  <c r="C397" i="5"/>
  <c r="E397" i="5"/>
  <c r="K397" i="5" s="1"/>
  <c r="K408" i="2" s="1"/>
  <c r="L408" i="2" s="1"/>
  <c r="G397" i="5"/>
  <c r="B398" i="5"/>
  <c r="C398" i="5" s="1"/>
  <c r="D398" i="5"/>
  <c r="F398" i="5"/>
  <c r="H398" i="5"/>
  <c r="C399" i="5"/>
  <c r="E399" i="5"/>
  <c r="K399" i="5" s="1"/>
  <c r="K410" i="2" s="1"/>
  <c r="L410" i="2" s="1"/>
  <c r="G399" i="5"/>
  <c r="B400" i="5"/>
  <c r="C400" i="5" s="1"/>
  <c r="F400" i="5"/>
  <c r="H400" i="5"/>
  <c r="C401" i="5"/>
  <c r="E401" i="5"/>
  <c r="K401" i="5" s="1"/>
  <c r="K412" i="2" s="1"/>
  <c r="L412" i="2" s="1"/>
  <c r="G401" i="5"/>
  <c r="B402" i="5"/>
  <c r="C402" i="5" s="1"/>
  <c r="D402" i="5"/>
  <c r="F402" i="5"/>
  <c r="H402" i="5"/>
  <c r="C403" i="5"/>
  <c r="E403" i="5"/>
  <c r="K403" i="5" s="1"/>
  <c r="K414" i="2" s="1"/>
  <c r="L414" i="2" s="1"/>
  <c r="G403" i="5"/>
  <c r="B404" i="5"/>
  <c r="C404" i="5" s="1"/>
  <c r="F404" i="5"/>
  <c r="H404" i="5"/>
  <c r="C405" i="5"/>
  <c r="E405" i="5"/>
  <c r="K405" i="5" s="1"/>
  <c r="K416" i="2" s="1"/>
  <c r="L416" i="2" s="1"/>
  <c r="G405" i="5"/>
  <c r="B406" i="5"/>
  <c r="C406" i="5" s="1"/>
  <c r="D406" i="5"/>
  <c r="F406" i="5"/>
  <c r="H406" i="5"/>
  <c r="C407" i="5"/>
  <c r="E407" i="5"/>
  <c r="K407" i="5" s="1"/>
  <c r="K418" i="2" s="1"/>
  <c r="L418" i="2" s="1"/>
  <c r="G407" i="5"/>
  <c r="B408" i="5"/>
  <c r="C408" i="5" s="1"/>
  <c r="F408" i="5"/>
  <c r="H408" i="5"/>
  <c r="C409" i="5"/>
  <c r="E409" i="5"/>
  <c r="K409" i="5" s="1"/>
  <c r="K420" i="2" s="1"/>
  <c r="L420" i="2" s="1"/>
  <c r="G409" i="5"/>
  <c r="B410" i="5"/>
  <c r="C410" i="5" s="1"/>
  <c r="D410" i="5"/>
  <c r="F410" i="5"/>
  <c r="H410" i="5"/>
  <c r="C411" i="5"/>
  <c r="E411" i="5"/>
  <c r="K411" i="5" s="1"/>
  <c r="K422" i="2" s="1"/>
  <c r="L422" i="2" s="1"/>
  <c r="G411" i="5"/>
  <c r="B412" i="5"/>
  <c r="C412" i="5" s="1"/>
  <c r="F412" i="5"/>
  <c r="H412" i="5"/>
  <c r="C413" i="5"/>
  <c r="E413" i="5"/>
  <c r="K413" i="5" s="1"/>
  <c r="K424" i="2" s="1"/>
  <c r="L424" i="2" s="1"/>
  <c r="G413" i="5"/>
  <c r="B414" i="5"/>
  <c r="C414" i="5" s="1"/>
  <c r="D414" i="5"/>
  <c r="F414" i="5"/>
  <c r="H414" i="5"/>
  <c r="C415" i="5"/>
  <c r="E415" i="5"/>
  <c r="K415" i="5" s="1"/>
  <c r="K426" i="2" s="1"/>
  <c r="L426" i="2" s="1"/>
  <c r="G415" i="5"/>
  <c r="B416" i="5"/>
  <c r="C416" i="5" s="1"/>
  <c r="F416" i="5"/>
  <c r="H416" i="5"/>
  <c r="C417" i="5"/>
  <c r="E417" i="5"/>
  <c r="K417" i="5" s="1"/>
  <c r="K428" i="2" s="1"/>
  <c r="L428" i="2" s="1"/>
  <c r="G417" i="5"/>
  <c r="B418" i="5"/>
  <c r="C418" i="5" s="1"/>
  <c r="D418" i="5"/>
  <c r="F418" i="5"/>
  <c r="H418" i="5"/>
  <c r="C419" i="5"/>
  <c r="E419" i="5"/>
  <c r="K419" i="5" s="1"/>
  <c r="K430" i="2" s="1"/>
  <c r="L430" i="2" s="1"/>
  <c r="G419" i="5"/>
  <c r="B420" i="5"/>
  <c r="C420" i="5" s="1"/>
  <c r="F420" i="5"/>
  <c r="H420" i="5"/>
  <c r="C421" i="5"/>
  <c r="E421" i="5"/>
  <c r="K421" i="5" s="1"/>
  <c r="K432" i="2" s="1"/>
  <c r="L432" i="2" s="1"/>
  <c r="G421" i="5"/>
  <c r="B422" i="5"/>
  <c r="C422" i="5" s="1"/>
  <c r="D422" i="5"/>
  <c r="F422" i="5"/>
  <c r="H422" i="5"/>
  <c r="C423" i="5"/>
  <c r="E423" i="5"/>
  <c r="K423" i="5" s="1"/>
  <c r="K434" i="2" s="1"/>
  <c r="L434" i="2" s="1"/>
  <c r="G423" i="5"/>
  <c r="B424" i="5"/>
  <c r="C424" i="5" s="1"/>
  <c r="F424" i="5"/>
  <c r="H424" i="5"/>
  <c r="C425" i="5"/>
  <c r="E425" i="5"/>
  <c r="K425" i="5" s="1"/>
  <c r="K436" i="2" s="1"/>
  <c r="L436" i="2" s="1"/>
  <c r="G425" i="5"/>
  <c r="B426" i="5"/>
  <c r="C426" i="5" s="1"/>
  <c r="D426" i="5"/>
  <c r="F426" i="5"/>
  <c r="H426" i="5"/>
  <c r="C427" i="5"/>
  <c r="E427" i="5"/>
  <c r="K427" i="5" s="1"/>
  <c r="K438" i="2" s="1"/>
  <c r="L438" i="2" s="1"/>
  <c r="G427" i="5"/>
  <c r="B428" i="5"/>
  <c r="C428" i="5" s="1"/>
  <c r="F428" i="5"/>
  <c r="H428" i="5"/>
  <c r="C429" i="5"/>
  <c r="E429" i="5"/>
  <c r="K429" i="5" s="1"/>
  <c r="K440" i="2" s="1"/>
  <c r="L440" i="2" s="1"/>
  <c r="G429" i="5"/>
  <c r="B430" i="5"/>
  <c r="C430" i="5" s="1"/>
  <c r="D430" i="5"/>
  <c r="F430" i="5"/>
  <c r="H430" i="5"/>
  <c r="C431" i="5"/>
  <c r="E431" i="5"/>
  <c r="K431" i="5" s="1"/>
  <c r="K442" i="2" s="1"/>
  <c r="L442" i="2" s="1"/>
  <c r="G431" i="5"/>
  <c r="B432" i="5"/>
  <c r="C432" i="5" s="1"/>
  <c r="F432" i="5"/>
  <c r="H432" i="5"/>
  <c r="C433" i="5"/>
  <c r="E433" i="5"/>
  <c r="K433" i="5" s="1"/>
  <c r="K444" i="2" s="1"/>
  <c r="L444" i="2" s="1"/>
  <c r="G433" i="5"/>
  <c r="B434" i="5"/>
  <c r="C434" i="5" s="1"/>
  <c r="D434" i="5"/>
  <c r="F434" i="5"/>
  <c r="H434" i="5"/>
  <c r="C435" i="5"/>
  <c r="E435" i="5"/>
  <c r="K435" i="5" s="1"/>
  <c r="K446" i="2" s="1"/>
  <c r="L446" i="2" s="1"/>
  <c r="G435" i="5"/>
  <c r="B436" i="5"/>
  <c r="C436" i="5" s="1"/>
  <c r="F436" i="5"/>
  <c r="H436" i="5"/>
  <c r="C437" i="5"/>
  <c r="E437" i="5"/>
  <c r="K437" i="5" s="1"/>
  <c r="K448" i="2" s="1"/>
  <c r="L448" i="2" s="1"/>
  <c r="G437" i="5"/>
  <c r="B438" i="5"/>
  <c r="C438" i="5" s="1"/>
  <c r="D438" i="5"/>
  <c r="F438" i="5"/>
  <c r="H438" i="5"/>
  <c r="C439" i="5"/>
  <c r="E439" i="5"/>
  <c r="K439" i="5" s="1"/>
  <c r="K450" i="2" s="1"/>
  <c r="L450" i="2" s="1"/>
  <c r="G439" i="5"/>
  <c r="B440" i="5"/>
  <c r="C440" i="5" s="1"/>
  <c r="F440" i="5"/>
  <c r="H440" i="5"/>
  <c r="C441" i="5"/>
  <c r="E441" i="5"/>
  <c r="K441" i="5" s="1"/>
  <c r="K452" i="2" s="1"/>
  <c r="L452" i="2" s="1"/>
  <c r="G441" i="5"/>
  <c r="B442" i="5"/>
  <c r="C442" i="5" s="1"/>
  <c r="D442" i="5"/>
  <c r="F442" i="5"/>
  <c r="H442" i="5"/>
  <c r="C443" i="5"/>
  <c r="E443" i="5"/>
  <c r="K443" i="5" s="1"/>
  <c r="K454" i="2" s="1"/>
  <c r="L454" i="2" s="1"/>
  <c r="G443" i="5"/>
  <c r="B444" i="5"/>
  <c r="C444" i="5" s="1"/>
  <c r="F444" i="5"/>
  <c r="H444" i="5"/>
  <c r="C445" i="5"/>
  <c r="E445" i="5"/>
  <c r="K445" i="5" s="1"/>
  <c r="K456" i="2" s="1"/>
  <c r="L456" i="2" s="1"/>
  <c r="G445" i="5"/>
  <c r="B446" i="5"/>
  <c r="C446" i="5" s="1"/>
  <c r="D446" i="5"/>
  <c r="F446" i="5"/>
  <c r="H446" i="5"/>
  <c r="C447" i="5"/>
  <c r="E447" i="5"/>
  <c r="K447" i="5" s="1"/>
  <c r="K458" i="2" s="1"/>
  <c r="L458" i="2" s="1"/>
  <c r="G447" i="5"/>
  <c r="B448" i="5"/>
  <c r="C448" i="5" s="1"/>
  <c r="F448" i="5"/>
  <c r="H448" i="5"/>
  <c r="C449" i="5"/>
  <c r="E449" i="5"/>
  <c r="K449" i="5" s="1"/>
  <c r="K460" i="2" s="1"/>
  <c r="L460" i="2" s="1"/>
  <c r="G449" i="5"/>
  <c r="B450" i="5"/>
  <c r="C450" i="5" s="1"/>
  <c r="D450" i="5"/>
  <c r="F450" i="5"/>
  <c r="H450" i="5"/>
  <c r="C451" i="5"/>
  <c r="E451" i="5"/>
  <c r="K451" i="5" s="1"/>
  <c r="K462" i="2" s="1"/>
  <c r="L462" i="2" s="1"/>
  <c r="G451" i="5"/>
  <c r="B452" i="5"/>
  <c r="C452" i="5" s="1"/>
  <c r="F452" i="5"/>
  <c r="H452" i="5"/>
  <c r="C453" i="5"/>
  <c r="E453" i="5"/>
  <c r="K453" i="5" s="1"/>
  <c r="K464" i="2" s="1"/>
  <c r="L464" i="2" s="1"/>
  <c r="G453" i="5"/>
  <c r="B454" i="5"/>
  <c r="C454" i="5" s="1"/>
  <c r="D454" i="5"/>
  <c r="F454" i="5"/>
  <c r="H454" i="5"/>
  <c r="C455" i="5"/>
  <c r="E455" i="5"/>
  <c r="K455" i="5" s="1"/>
  <c r="K466" i="2" s="1"/>
  <c r="L466" i="2" s="1"/>
  <c r="G455" i="5"/>
  <c r="B456" i="5"/>
  <c r="C456" i="5" s="1"/>
  <c r="F456" i="5"/>
  <c r="H456" i="5"/>
  <c r="C457" i="5"/>
  <c r="E457" i="5"/>
  <c r="K457" i="5" s="1"/>
  <c r="K468" i="2" s="1"/>
  <c r="L468" i="2" s="1"/>
  <c r="G457" i="5"/>
  <c r="B458" i="5"/>
  <c r="C458" i="5" s="1"/>
  <c r="D458" i="5"/>
  <c r="F458" i="5"/>
  <c r="H458" i="5"/>
  <c r="C459" i="5"/>
  <c r="E459" i="5"/>
  <c r="K459" i="5" s="1"/>
  <c r="K470" i="2" s="1"/>
  <c r="L470" i="2" s="1"/>
  <c r="G459" i="5"/>
  <c r="B460" i="5"/>
  <c r="C460" i="5" s="1"/>
  <c r="F460" i="5"/>
  <c r="H460" i="5"/>
  <c r="C461" i="5"/>
  <c r="E461" i="5"/>
  <c r="K461" i="5" s="1"/>
  <c r="K472" i="2" s="1"/>
  <c r="L472" i="2" s="1"/>
  <c r="G461" i="5"/>
  <c r="B462" i="5"/>
  <c r="C462" i="5" s="1"/>
  <c r="D462" i="5"/>
  <c r="F462" i="5"/>
  <c r="H462" i="5"/>
  <c r="C463" i="5"/>
  <c r="E463" i="5"/>
  <c r="K463" i="5" s="1"/>
  <c r="K474" i="2" s="1"/>
  <c r="L474" i="2" s="1"/>
  <c r="G463" i="5"/>
  <c r="B464" i="5"/>
  <c r="C464" i="5" s="1"/>
  <c r="F464" i="5"/>
  <c r="H464" i="5"/>
  <c r="C465" i="5"/>
  <c r="E465" i="5"/>
  <c r="K465" i="5" s="1"/>
  <c r="K476" i="2" s="1"/>
  <c r="L476" i="2" s="1"/>
  <c r="G465" i="5"/>
  <c r="B466" i="5"/>
  <c r="C466" i="5" s="1"/>
  <c r="D466" i="5"/>
  <c r="F466" i="5"/>
  <c r="H466" i="5"/>
  <c r="C467" i="5"/>
  <c r="E467" i="5"/>
  <c r="K467" i="5" s="1"/>
  <c r="K478" i="2" s="1"/>
  <c r="L478" i="2" s="1"/>
  <c r="G467" i="5"/>
  <c r="B468" i="5"/>
  <c r="C468" i="5" s="1"/>
  <c r="F468" i="5"/>
  <c r="H468" i="5"/>
  <c r="C469" i="5"/>
  <c r="E469" i="5"/>
  <c r="K469" i="5" s="1"/>
  <c r="K480" i="2" s="1"/>
  <c r="L480" i="2" s="1"/>
  <c r="G469" i="5"/>
  <c r="B470" i="5"/>
  <c r="C470" i="5" s="1"/>
  <c r="D470" i="5"/>
  <c r="F470" i="5"/>
  <c r="H470" i="5"/>
  <c r="C471" i="5"/>
  <c r="E471" i="5"/>
  <c r="K471" i="5" s="1"/>
  <c r="K482" i="2" s="1"/>
  <c r="L482" i="2" s="1"/>
  <c r="G471" i="5"/>
  <c r="B472" i="5"/>
  <c r="C472" i="5" s="1"/>
  <c r="F472" i="5"/>
  <c r="H472" i="5"/>
  <c r="C473" i="5"/>
  <c r="E473" i="5"/>
  <c r="K473" i="5" s="1"/>
  <c r="K484" i="2" s="1"/>
  <c r="L484" i="2" s="1"/>
  <c r="G473" i="5"/>
  <c r="B474" i="5"/>
  <c r="C474" i="5" s="1"/>
  <c r="D474" i="5"/>
  <c r="F474" i="5"/>
  <c r="H474" i="5"/>
  <c r="C475" i="5"/>
  <c r="E475" i="5"/>
  <c r="K475" i="5" s="1"/>
  <c r="K486" i="2" s="1"/>
  <c r="L486" i="2" s="1"/>
  <c r="G475" i="5"/>
  <c r="B476" i="5"/>
  <c r="C476" i="5" s="1"/>
  <c r="F476" i="5"/>
  <c r="H476" i="5"/>
  <c r="C477" i="5"/>
  <c r="E477" i="5"/>
  <c r="K477" i="5" s="1"/>
  <c r="K488" i="2" s="1"/>
  <c r="L488" i="2" s="1"/>
  <c r="G477" i="5"/>
  <c r="B478" i="5"/>
  <c r="C478" i="5" s="1"/>
  <c r="D478" i="5"/>
  <c r="F478" i="5"/>
  <c r="H478" i="5"/>
  <c r="C479" i="5"/>
  <c r="E479" i="5"/>
  <c r="K479" i="5" s="1"/>
  <c r="K490" i="2" s="1"/>
  <c r="L490" i="2" s="1"/>
  <c r="G479" i="5"/>
  <c r="B480" i="5"/>
  <c r="C480" i="5" s="1"/>
  <c r="F480" i="5"/>
  <c r="H480" i="5"/>
  <c r="C481" i="5"/>
  <c r="E481" i="5"/>
  <c r="K481" i="5" s="1"/>
  <c r="K492" i="2" s="1"/>
  <c r="L492" i="2" s="1"/>
  <c r="G481" i="5"/>
  <c r="B482" i="5"/>
  <c r="C482" i="5" s="1"/>
  <c r="D482" i="5"/>
  <c r="F482" i="5"/>
  <c r="H482" i="5"/>
  <c r="C483" i="5"/>
  <c r="E483" i="5"/>
  <c r="K483" i="5" s="1"/>
  <c r="K494" i="2" s="1"/>
  <c r="L494" i="2" s="1"/>
  <c r="G483" i="5"/>
  <c r="B484" i="5"/>
  <c r="C484" i="5" s="1"/>
  <c r="F484" i="5"/>
  <c r="H484" i="5"/>
  <c r="C485" i="5"/>
  <c r="E485" i="5"/>
  <c r="K485" i="5" s="1"/>
  <c r="K496" i="2" s="1"/>
  <c r="L496" i="2" s="1"/>
  <c r="G485" i="5"/>
  <c r="B486" i="5"/>
  <c r="C486" i="5" s="1"/>
  <c r="D486" i="5"/>
  <c r="F486" i="5"/>
  <c r="H486" i="5"/>
  <c r="C487" i="5"/>
  <c r="E487" i="5"/>
  <c r="K487" i="5" s="1"/>
  <c r="K498" i="2" s="1"/>
  <c r="L498" i="2" s="1"/>
  <c r="G487" i="5"/>
  <c r="B488" i="5"/>
  <c r="C488" i="5" s="1"/>
  <c r="F488" i="5"/>
  <c r="H488" i="5"/>
  <c r="C489" i="5"/>
  <c r="E489" i="5"/>
  <c r="K489" i="5" s="1"/>
  <c r="K500" i="2" s="1"/>
  <c r="L500" i="2" s="1"/>
  <c r="G489" i="5"/>
  <c r="B490" i="5"/>
  <c r="C490" i="5" s="1"/>
  <c r="D490" i="5"/>
  <c r="F490" i="5"/>
  <c r="H490" i="5"/>
  <c r="C491" i="5"/>
  <c r="E491" i="5"/>
  <c r="K491" i="5" s="1"/>
  <c r="K502" i="2" s="1"/>
  <c r="L502" i="2" s="1"/>
  <c r="G491" i="5"/>
  <c r="B492" i="5"/>
  <c r="C492" i="5" s="1"/>
  <c r="F492" i="5"/>
  <c r="H492" i="5"/>
  <c r="C493" i="5"/>
  <c r="E493" i="5"/>
  <c r="K493" i="5" s="1"/>
  <c r="K504" i="2" s="1"/>
  <c r="L504" i="2" s="1"/>
  <c r="G493" i="5"/>
  <c r="B494" i="5"/>
  <c r="C494" i="5" s="1"/>
  <c r="D494" i="5"/>
  <c r="F494" i="5"/>
  <c r="H494" i="5"/>
  <c r="C495" i="5"/>
  <c r="E495" i="5"/>
  <c r="K495" i="5" s="1"/>
  <c r="K506" i="2" s="1"/>
  <c r="L506" i="2" s="1"/>
  <c r="G495" i="5"/>
  <c r="B496" i="5"/>
  <c r="C496" i="5" s="1"/>
  <c r="F496" i="5"/>
  <c r="H496" i="5"/>
  <c r="C497" i="5"/>
  <c r="E497" i="5"/>
  <c r="K497" i="5" s="1"/>
  <c r="K508" i="2" s="1"/>
  <c r="L508" i="2" s="1"/>
  <c r="G497" i="5"/>
  <c r="B498" i="5"/>
  <c r="C498" i="5" s="1"/>
  <c r="D498" i="5"/>
  <c r="F498" i="5"/>
  <c r="H498" i="5"/>
  <c r="C499" i="5"/>
  <c r="E499" i="5"/>
  <c r="K499" i="5" s="1"/>
  <c r="K510" i="2" s="1"/>
  <c r="L510" i="2" s="1"/>
  <c r="G499" i="5"/>
  <c r="B500" i="5"/>
  <c r="C500" i="5" s="1"/>
  <c r="F500" i="5"/>
  <c r="H500" i="5"/>
  <c r="C501" i="5"/>
  <c r="E501" i="5"/>
  <c r="K501" i="5" s="1"/>
  <c r="K512" i="2" s="1"/>
  <c r="L512" i="2" s="1"/>
  <c r="G501" i="5"/>
  <c r="B502" i="5"/>
  <c r="C502" i="5" s="1"/>
  <c r="D502" i="5"/>
  <c r="F502" i="5"/>
  <c r="H502" i="5"/>
  <c r="C503" i="5"/>
  <c r="E503" i="5"/>
  <c r="K503" i="5" s="1"/>
  <c r="K514" i="2" s="1"/>
  <c r="L514" i="2" s="1"/>
  <c r="G503" i="5"/>
  <c r="B504" i="5"/>
  <c r="C504" i="5" s="1"/>
  <c r="F504" i="5"/>
  <c r="H504" i="5"/>
  <c r="C505" i="5"/>
  <c r="E505" i="5"/>
  <c r="K505" i="5" s="1"/>
  <c r="K516" i="2" s="1"/>
  <c r="L516" i="2" s="1"/>
  <c r="G505" i="5"/>
  <c r="K8" i="5" l="1"/>
  <c r="I19" i="3"/>
  <c r="J19" i="3" s="1"/>
  <c r="K19" i="3" s="1"/>
  <c r="L19" i="3" s="1"/>
  <c r="I19" i="2"/>
  <c r="J19" i="2" s="1"/>
  <c r="K19" i="2" s="1"/>
  <c r="L19" i="2" s="1"/>
  <c r="K6" i="5"/>
  <c r="I17" i="3"/>
  <c r="J17" i="3" s="1"/>
  <c r="K17" i="3" s="1"/>
  <c r="L17" i="3" s="1"/>
  <c r="I17" i="2"/>
  <c r="J17" i="2" s="1"/>
  <c r="K17" i="2" s="1"/>
  <c r="K9" i="5"/>
  <c r="I20" i="3"/>
  <c r="J20" i="3" s="1"/>
  <c r="K20" i="3" s="1"/>
  <c r="L20" i="3" s="1"/>
  <c r="I20" i="2"/>
  <c r="J20" i="2" s="1"/>
  <c r="K20" i="2" s="1"/>
  <c r="L20" i="2" s="1"/>
  <c r="K515" i="3"/>
  <c r="L515" i="3" s="1"/>
  <c r="K515" i="2"/>
  <c r="L515" i="2" s="1"/>
  <c r="K511" i="3"/>
  <c r="L511" i="3" s="1"/>
  <c r="K511" i="2"/>
  <c r="L511" i="2" s="1"/>
  <c r="K507" i="3"/>
  <c r="L507" i="3" s="1"/>
  <c r="K507" i="2"/>
  <c r="L507" i="2" s="1"/>
  <c r="K503" i="3"/>
  <c r="L503" i="3" s="1"/>
  <c r="K503" i="2"/>
  <c r="L503" i="2" s="1"/>
  <c r="K497" i="3"/>
  <c r="L497" i="3" s="1"/>
  <c r="K497" i="2"/>
  <c r="L497" i="2" s="1"/>
  <c r="K493" i="3"/>
  <c r="L493" i="3" s="1"/>
  <c r="K493" i="2"/>
  <c r="L493" i="2" s="1"/>
  <c r="K489" i="3"/>
  <c r="L489" i="3" s="1"/>
  <c r="K489" i="2"/>
  <c r="L489" i="2" s="1"/>
  <c r="K485" i="3"/>
  <c r="L485" i="3" s="1"/>
  <c r="K485" i="2"/>
  <c r="L485" i="2" s="1"/>
  <c r="K481" i="3"/>
  <c r="L481" i="3" s="1"/>
  <c r="K481" i="2"/>
  <c r="L481" i="2" s="1"/>
  <c r="K477" i="3"/>
  <c r="L477" i="3" s="1"/>
  <c r="K477" i="2"/>
  <c r="L477" i="2" s="1"/>
  <c r="K471" i="3"/>
  <c r="L471" i="3" s="1"/>
  <c r="K471" i="2"/>
  <c r="L471" i="2" s="1"/>
  <c r="K467" i="3"/>
  <c r="L467" i="3" s="1"/>
  <c r="K467" i="2"/>
  <c r="L467" i="2" s="1"/>
  <c r="K463" i="3"/>
  <c r="L463" i="3" s="1"/>
  <c r="K463" i="2"/>
  <c r="L463" i="2" s="1"/>
  <c r="K459" i="3"/>
  <c r="L459" i="3" s="1"/>
  <c r="K459" i="2"/>
  <c r="L459" i="2" s="1"/>
  <c r="K455" i="3"/>
  <c r="L455" i="3" s="1"/>
  <c r="K455" i="2"/>
  <c r="L455" i="2" s="1"/>
  <c r="K449" i="3"/>
  <c r="L449" i="3" s="1"/>
  <c r="K449" i="2"/>
  <c r="L449" i="2" s="1"/>
  <c r="K445" i="3"/>
  <c r="L445" i="3" s="1"/>
  <c r="K445" i="2"/>
  <c r="L445" i="2" s="1"/>
  <c r="K441" i="3"/>
  <c r="L441" i="3" s="1"/>
  <c r="K441" i="2"/>
  <c r="L441" i="2" s="1"/>
  <c r="K437" i="3"/>
  <c r="L437" i="3" s="1"/>
  <c r="K437" i="2"/>
  <c r="L437" i="2" s="1"/>
  <c r="K431" i="3"/>
  <c r="L431" i="3" s="1"/>
  <c r="K431" i="2"/>
  <c r="L431" i="2" s="1"/>
  <c r="K429" i="3"/>
  <c r="L429" i="3" s="1"/>
  <c r="K429" i="2"/>
  <c r="L429" i="2" s="1"/>
  <c r="K423" i="3"/>
  <c r="L423" i="3" s="1"/>
  <c r="K423" i="2"/>
  <c r="L423" i="2" s="1"/>
  <c r="K419" i="3"/>
  <c r="L419" i="3" s="1"/>
  <c r="K419" i="2"/>
  <c r="L419" i="2" s="1"/>
  <c r="K415" i="2"/>
  <c r="L415" i="2" s="1"/>
  <c r="K415" i="3"/>
  <c r="L415" i="3" s="1"/>
  <c r="K411" i="2"/>
  <c r="L411" i="2" s="1"/>
  <c r="K411" i="3"/>
  <c r="L411" i="3" s="1"/>
  <c r="C396" i="5"/>
  <c r="C392" i="5"/>
  <c r="C388" i="5"/>
  <c r="C384" i="5"/>
  <c r="C380" i="5"/>
  <c r="C376" i="5"/>
  <c r="C372" i="5"/>
  <c r="C368" i="5"/>
  <c r="C364" i="5"/>
  <c r="C360" i="5"/>
  <c r="C356" i="5"/>
  <c r="C352" i="5"/>
  <c r="C348" i="5"/>
  <c r="C344" i="5"/>
  <c r="C340" i="5"/>
  <c r="C336" i="5"/>
  <c r="C332" i="5"/>
  <c r="C309" i="5"/>
  <c r="C305" i="5"/>
  <c r="C301" i="5"/>
  <c r="C297" i="5"/>
  <c r="C293" i="5"/>
  <c r="C289" i="5"/>
  <c r="C285" i="5"/>
  <c r="C281" i="5"/>
  <c r="C277" i="5"/>
  <c r="C273" i="5"/>
  <c r="C269" i="5"/>
  <c r="C265" i="5"/>
  <c r="C261" i="5"/>
  <c r="C257" i="5"/>
  <c r="C253" i="5"/>
  <c r="C249" i="5"/>
  <c r="C245" i="5"/>
  <c r="C241" i="5"/>
  <c r="C237" i="5"/>
  <c r="C233" i="5"/>
  <c r="C229" i="5"/>
  <c r="C225" i="5"/>
  <c r="C221" i="5"/>
  <c r="C217" i="5"/>
  <c r="C213" i="5"/>
  <c r="C209" i="5"/>
  <c r="C205" i="5"/>
  <c r="C201" i="5"/>
  <c r="C197" i="5"/>
  <c r="C193" i="5"/>
  <c r="C189" i="5"/>
  <c r="C185" i="5"/>
  <c r="C181" i="5"/>
  <c r="C177" i="5"/>
  <c r="K7" i="5"/>
  <c r="I18" i="3"/>
  <c r="J18" i="3" s="1"/>
  <c r="K18" i="3" s="1"/>
  <c r="L18" i="3" s="1"/>
  <c r="I18" i="2"/>
  <c r="J18" i="2" s="1"/>
  <c r="K18" i="2" s="1"/>
  <c r="L18" i="2" s="1"/>
  <c r="I7" i="5"/>
  <c r="K405" i="3"/>
  <c r="L405" i="3" s="1"/>
  <c r="K403" i="3"/>
  <c r="L403" i="3" s="1"/>
  <c r="K401" i="3"/>
  <c r="L401" i="3" s="1"/>
  <c r="K399" i="3"/>
  <c r="L399" i="3" s="1"/>
  <c r="K397" i="3"/>
  <c r="L397" i="3" s="1"/>
  <c r="K395" i="3"/>
  <c r="L395" i="3" s="1"/>
  <c r="K393" i="3"/>
  <c r="L393" i="3" s="1"/>
  <c r="K391" i="3"/>
  <c r="L391" i="3" s="1"/>
  <c r="K389" i="3"/>
  <c r="L389" i="3" s="1"/>
  <c r="K387" i="3"/>
  <c r="L387" i="3" s="1"/>
  <c r="K385" i="3"/>
  <c r="L385" i="3" s="1"/>
  <c r="K383" i="3"/>
  <c r="L383" i="3" s="1"/>
  <c r="K381" i="3"/>
  <c r="L381" i="3" s="1"/>
  <c r="K379" i="3"/>
  <c r="L379" i="3" s="1"/>
  <c r="K377" i="3"/>
  <c r="L377" i="3" s="1"/>
  <c r="K375" i="3"/>
  <c r="L375" i="3" s="1"/>
  <c r="K373" i="3"/>
  <c r="L373" i="3" s="1"/>
  <c r="K371" i="3"/>
  <c r="L371" i="3" s="1"/>
  <c r="K369" i="3"/>
  <c r="L369" i="3" s="1"/>
  <c r="K367" i="3"/>
  <c r="L367" i="3" s="1"/>
  <c r="K365" i="3"/>
  <c r="L365" i="3" s="1"/>
  <c r="K363" i="3"/>
  <c r="L363" i="3" s="1"/>
  <c r="K361" i="3"/>
  <c r="L361" i="3" s="1"/>
  <c r="K359" i="3"/>
  <c r="L359" i="3" s="1"/>
  <c r="K357" i="3"/>
  <c r="L357" i="3" s="1"/>
  <c r="K355" i="3"/>
  <c r="L355" i="3" s="1"/>
  <c r="K353" i="3"/>
  <c r="L353" i="3" s="1"/>
  <c r="K351" i="3"/>
  <c r="L351" i="3" s="1"/>
  <c r="K349" i="3"/>
  <c r="L349" i="3" s="1"/>
  <c r="K347" i="3"/>
  <c r="L347" i="3" s="1"/>
  <c r="K345" i="3"/>
  <c r="L345" i="3" s="1"/>
  <c r="K343" i="3"/>
  <c r="L343" i="3" s="1"/>
  <c r="K341" i="3"/>
  <c r="L341" i="3" s="1"/>
  <c r="K339" i="3"/>
  <c r="L339" i="3" s="1"/>
  <c r="K337" i="3"/>
  <c r="L337" i="3" s="1"/>
  <c r="K335" i="3"/>
  <c r="L335" i="3" s="1"/>
  <c r="K333" i="3"/>
  <c r="L333" i="3" s="1"/>
  <c r="K331" i="3"/>
  <c r="L331" i="3" s="1"/>
  <c r="K329" i="3"/>
  <c r="L329" i="3" s="1"/>
  <c r="K327" i="3"/>
  <c r="L327" i="3" s="1"/>
  <c r="K325" i="3"/>
  <c r="L325" i="3" s="1"/>
  <c r="K323" i="3"/>
  <c r="L323" i="3" s="1"/>
  <c r="K321" i="3"/>
  <c r="L321" i="3" s="1"/>
  <c r="K319" i="3"/>
  <c r="L319" i="3" s="1"/>
  <c r="K317" i="3"/>
  <c r="L317" i="3" s="1"/>
  <c r="K315" i="3"/>
  <c r="L315" i="3" s="1"/>
  <c r="K313" i="3"/>
  <c r="L313" i="3" s="1"/>
  <c r="K311" i="3"/>
  <c r="L311" i="3" s="1"/>
  <c r="K309" i="3"/>
  <c r="L309" i="3" s="1"/>
  <c r="K307" i="3"/>
  <c r="L307" i="3" s="1"/>
  <c r="K305" i="3"/>
  <c r="L305" i="3" s="1"/>
  <c r="K303" i="3"/>
  <c r="L303" i="3" s="1"/>
  <c r="K301" i="3"/>
  <c r="L301" i="3" s="1"/>
  <c r="K299" i="3"/>
  <c r="L299" i="3" s="1"/>
  <c r="K297" i="3"/>
  <c r="L297" i="3" s="1"/>
  <c r="K295" i="3"/>
  <c r="L295" i="3" s="1"/>
  <c r="K293" i="3"/>
  <c r="L293" i="3" s="1"/>
  <c r="K291" i="3"/>
  <c r="L291" i="3" s="1"/>
  <c r="K289" i="3"/>
  <c r="L289" i="3" s="1"/>
  <c r="K287" i="3"/>
  <c r="L287" i="3" s="1"/>
  <c r="K285" i="3"/>
  <c r="L285" i="3" s="1"/>
  <c r="K283" i="3"/>
  <c r="L283" i="3" s="1"/>
  <c r="K281" i="3"/>
  <c r="L281" i="3" s="1"/>
  <c r="K279" i="3"/>
  <c r="L279" i="3" s="1"/>
  <c r="K277" i="3"/>
  <c r="L277" i="3" s="1"/>
  <c r="K275" i="3"/>
  <c r="L275" i="3" s="1"/>
  <c r="K273" i="3"/>
  <c r="L273" i="3" s="1"/>
  <c r="K271" i="3"/>
  <c r="L271" i="3" s="1"/>
  <c r="K269" i="3"/>
  <c r="L269" i="3" s="1"/>
  <c r="K267" i="3"/>
  <c r="L267" i="3" s="1"/>
  <c r="K265" i="3"/>
  <c r="L265" i="3" s="1"/>
  <c r="K263" i="3"/>
  <c r="L263" i="3" s="1"/>
  <c r="K261" i="3"/>
  <c r="L261" i="3" s="1"/>
  <c r="K259" i="3"/>
  <c r="L259" i="3" s="1"/>
  <c r="K257" i="3"/>
  <c r="L257" i="3" s="1"/>
  <c r="K255" i="3"/>
  <c r="L255" i="3" s="1"/>
  <c r="K253" i="3"/>
  <c r="L253" i="3" s="1"/>
  <c r="K251" i="3"/>
  <c r="L251" i="3" s="1"/>
  <c r="K249" i="3"/>
  <c r="L249" i="3" s="1"/>
  <c r="K247" i="3"/>
  <c r="L247" i="3" s="1"/>
  <c r="K245" i="3"/>
  <c r="L245" i="3" s="1"/>
  <c r="K243" i="3"/>
  <c r="L243" i="3" s="1"/>
  <c r="K241" i="3"/>
  <c r="L241" i="3" s="1"/>
  <c r="K239" i="3"/>
  <c r="L239" i="3" s="1"/>
  <c r="K237" i="3"/>
  <c r="L237" i="3" s="1"/>
  <c r="K235" i="3"/>
  <c r="L235" i="3" s="1"/>
  <c r="K233" i="3"/>
  <c r="L233" i="3" s="1"/>
  <c r="K231" i="3"/>
  <c r="L231" i="3" s="1"/>
  <c r="K229" i="3"/>
  <c r="L229" i="3" s="1"/>
  <c r="K227" i="3"/>
  <c r="L227" i="3" s="1"/>
  <c r="K225" i="3"/>
  <c r="L225" i="3" s="1"/>
  <c r="K223" i="3"/>
  <c r="L223" i="3" s="1"/>
  <c r="K221" i="3"/>
  <c r="L221" i="3" s="1"/>
  <c r="K219" i="3"/>
  <c r="L219" i="3" s="1"/>
  <c r="K217" i="3"/>
  <c r="L217" i="3" s="1"/>
  <c r="K215" i="3"/>
  <c r="L215" i="3" s="1"/>
  <c r="K213" i="3"/>
  <c r="L213" i="3" s="1"/>
  <c r="K211" i="3"/>
  <c r="L211" i="3" s="1"/>
  <c r="K209" i="3"/>
  <c r="L209" i="3" s="1"/>
  <c r="K207" i="3"/>
  <c r="L207" i="3" s="1"/>
  <c r="K205" i="3"/>
  <c r="L205" i="3" s="1"/>
  <c r="K203" i="3"/>
  <c r="L203" i="3" s="1"/>
  <c r="K201" i="3"/>
  <c r="L201" i="3" s="1"/>
  <c r="K199" i="3"/>
  <c r="L199" i="3" s="1"/>
  <c r="K197" i="3"/>
  <c r="L197" i="3" s="1"/>
  <c r="K195" i="3"/>
  <c r="L195" i="3" s="1"/>
  <c r="K193" i="3"/>
  <c r="L193" i="3" s="1"/>
  <c r="K191" i="3"/>
  <c r="L191" i="3" s="1"/>
  <c r="K189" i="3"/>
  <c r="L189" i="3" s="1"/>
  <c r="K187" i="3"/>
  <c r="L187" i="3" s="1"/>
  <c r="K185" i="3"/>
  <c r="L185" i="3" s="1"/>
  <c r="K183" i="3"/>
  <c r="L183" i="3" s="1"/>
  <c r="K181" i="3"/>
  <c r="L181" i="3" s="1"/>
  <c r="K179" i="3"/>
  <c r="L179" i="3" s="1"/>
  <c r="K177" i="3"/>
  <c r="L177" i="3" s="1"/>
  <c r="K175" i="3"/>
  <c r="L175" i="3" s="1"/>
  <c r="K173" i="3"/>
  <c r="L173" i="3" s="1"/>
  <c r="K171" i="3"/>
  <c r="L171" i="3" s="1"/>
  <c r="K169" i="3"/>
  <c r="L169" i="3" s="1"/>
  <c r="K167" i="3"/>
  <c r="L167" i="3" s="1"/>
  <c r="K165" i="3"/>
  <c r="L165" i="3" s="1"/>
  <c r="K163" i="3"/>
  <c r="L163" i="3" s="1"/>
  <c r="K161" i="3"/>
  <c r="L161" i="3" s="1"/>
  <c r="K159" i="3"/>
  <c r="L159" i="3" s="1"/>
  <c r="K157" i="3"/>
  <c r="L157" i="3" s="1"/>
  <c r="K155" i="3"/>
  <c r="L155" i="3" s="1"/>
  <c r="K153" i="3"/>
  <c r="L153" i="3" s="1"/>
  <c r="K151" i="3"/>
  <c r="L151" i="3" s="1"/>
  <c r="K149" i="3"/>
  <c r="L149" i="3" s="1"/>
  <c r="K147" i="3"/>
  <c r="L147" i="3" s="1"/>
  <c r="K145" i="3"/>
  <c r="L145" i="3" s="1"/>
  <c r="K143" i="3"/>
  <c r="L143" i="3" s="1"/>
  <c r="K141" i="3"/>
  <c r="L141" i="3" s="1"/>
  <c r="K139" i="3"/>
  <c r="L139" i="3" s="1"/>
  <c r="K137" i="3"/>
  <c r="L137" i="3" s="1"/>
  <c r="K135" i="3"/>
  <c r="L135" i="3" s="1"/>
  <c r="K133" i="3"/>
  <c r="L133" i="3" s="1"/>
  <c r="K131" i="3"/>
  <c r="L131" i="3" s="1"/>
  <c r="K129" i="3"/>
  <c r="L129" i="3" s="1"/>
  <c r="K127" i="3"/>
  <c r="L127" i="3" s="1"/>
  <c r="K125" i="3"/>
  <c r="L125" i="3" s="1"/>
  <c r="K123" i="3"/>
  <c r="L123" i="3" s="1"/>
  <c r="K121" i="3"/>
  <c r="L121" i="3" s="1"/>
  <c r="K119" i="3"/>
  <c r="L119" i="3" s="1"/>
  <c r="K117" i="3"/>
  <c r="L117" i="3" s="1"/>
  <c r="K115" i="3"/>
  <c r="L115" i="3" s="1"/>
  <c r="K113" i="3"/>
  <c r="L113" i="3" s="1"/>
  <c r="K111" i="3"/>
  <c r="L111" i="3" s="1"/>
  <c r="K109" i="3"/>
  <c r="L109" i="3" s="1"/>
  <c r="K107" i="3"/>
  <c r="L107" i="3" s="1"/>
  <c r="K105" i="3"/>
  <c r="L105" i="3" s="1"/>
  <c r="K103" i="3"/>
  <c r="L103" i="3" s="1"/>
  <c r="K101" i="3"/>
  <c r="L101" i="3" s="1"/>
  <c r="K99" i="3"/>
  <c r="L99" i="3" s="1"/>
  <c r="K97" i="3"/>
  <c r="L97" i="3" s="1"/>
  <c r="K95" i="3"/>
  <c r="L95" i="3" s="1"/>
  <c r="K93" i="3"/>
  <c r="L93" i="3" s="1"/>
  <c r="K91" i="3"/>
  <c r="L91" i="3" s="1"/>
  <c r="K89" i="3"/>
  <c r="L89" i="3" s="1"/>
  <c r="K87" i="3"/>
  <c r="L87" i="3" s="1"/>
  <c r="K85" i="3"/>
  <c r="L85" i="3" s="1"/>
  <c r="K83" i="3"/>
  <c r="L83" i="3" s="1"/>
  <c r="K81" i="3"/>
  <c r="L81" i="3" s="1"/>
  <c r="K79" i="3"/>
  <c r="L79" i="3" s="1"/>
  <c r="K77" i="3"/>
  <c r="L77" i="3" s="1"/>
  <c r="K75" i="3"/>
  <c r="L75" i="3" s="1"/>
  <c r="K73" i="3"/>
  <c r="L73" i="3" s="1"/>
  <c r="K71" i="3"/>
  <c r="L71" i="3" s="1"/>
  <c r="K69" i="3"/>
  <c r="L69" i="3" s="1"/>
  <c r="K67" i="3"/>
  <c r="L67" i="3" s="1"/>
  <c r="K65" i="3"/>
  <c r="L65" i="3" s="1"/>
  <c r="K63" i="3"/>
  <c r="L63" i="3" s="1"/>
  <c r="K61" i="3"/>
  <c r="L61" i="3" s="1"/>
  <c r="K59" i="3"/>
  <c r="L59" i="3" s="1"/>
  <c r="K57" i="3"/>
  <c r="L57" i="3" s="1"/>
  <c r="K55" i="3"/>
  <c r="L55" i="3" s="1"/>
  <c r="K53" i="3"/>
  <c r="L53" i="3" s="1"/>
  <c r="K51" i="3"/>
  <c r="L51" i="3" s="1"/>
  <c r="K49" i="3"/>
  <c r="L49" i="3" s="1"/>
  <c r="K47" i="3"/>
  <c r="L47" i="3" s="1"/>
  <c r="K45" i="3"/>
  <c r="L45" i="3" s="1"/>
  <c r="K43" i="3"/>
  <c r="L43" i="3" s="1"/>
  <c r="K41" i="3"/>
  <c r="L41" i="3" s="1"/>
  <c r="K39" i="3"/>
  <c r="L39" i="3" s="1"/>
  <c r="K37" i="3"/>
  <c r="L37" i="3" s="1"/>
  <c r="K35" i="3"/>
  <c r="L35" i="3" s="1"/>
  <c r="K33" i="3"/>
  <c r="L33" i="3" s="1"/>
  <c r="K31" i="3"/>
  <c r="L31" i="3" s="1"/>
  <c r="K29" i="3"/>
  <c r="L29" i="3" s="1"/>
  <c r="K27" i="3"/>
  <c r="L27" i="3" s="1"/>
  <c r="K25" i="3"/>
  <c r="L25" i="3" s="1"/>
  <c r="K23" i="3"/>
  <c r="L23" i="3" s="1"/>
  <c r="K21" i="3"/>
  <c r="L21" i="3" s="1"/>
  <c r="K514" i="3"/>
  <c r="L514" i="3" s="1"/>
  <c r="K510" i="3"/>
  <c r="L510" i="3" s="1"/>
  <c r="K506" i="3"/>
  <c r="L506" i="3" s="1"/>
  <c r="K502" i="3"/>
  <c r="L502" i="3" s="1"/>
  <c r="K498" i="3"/>
  <c r="L498" i="3" s="1"/>
  <c r="K494" i="3"/>
  <c r="L494" i="3" s="1"/>
  <c r="K490" i="3"/>
  <c r="L490" i="3" s="1"/>
  <c r="K486" i="3"/>
  <c r="L486" i="3" s="1"/>
  <c r="K482" i="3"/>
  <c r="L482" i="3" s="1"/>
  <c r="K478" i="3"/>
  <c r="L478" i="3" s="1"/>
  <c r="K474" i="3"/>
  <c r="L474" i="3" s="1"/>
  <c r="K470" i="3"/>
  <c r="L470" i="3" s="1"/>
  <c r="K466" i="3"/>
  <c r="L466" i="3" s="1"/>
  <c r="K462" i="3"/>
  <c r="L462" i="3" s="1"/>
  <c r="K458" i="3"/>
  <c r="L458" i="3" s="1"/>
  <c r="K454" i="3"/>
  <c r="L454" i="3" s="1"/>
  <c r="K450" i="3"/>
  <c r="L450" i="3" s="1"/>
  <c r="K446" i="3"/>
  <c r="L446" i="3" s="1"/>
  <c r="K442" i="3"/>
  <c r="L442" i="3" s="1"/>
  <c r="K438" i="3"/>
  <c r="L438" i="3" s="1"/>
  <c r="K434" i="3"/>
  <c r="L434" i="3" s="1"/>
  <c r="K430" i="3"/>
  <c r="L430" i="3" s="1"/>
  <c r="K426" i="3"/>
  <c r="L426" i="3" s="1"/>
  <c r="K422" i="3"/>
  <c r="L422" i="3" s="1"/>
  <c r="K418" i="3"/>
  <c r="L418" i="3" s="1"/>
  <c r="K414" i="3"/>
  <c r="L414" i="3" s="1"/>
  <c r="K410" i="3"/>
  <c r="L410" i="3" s="1"/>
  <c r="K406" i="3"/>
  <c r="L406" i="3" s="1"/>
  <c r="K402" i="2"/>
  <c r="L402" i="2" s="1"/>
  <c r="K398" i="2"/>
  <c r="L398" i="2" s="1"/>
  <c r="K394" i="2"/>
  <c r="L394" i="2" s="1"/>
  <c r="K390" i="2"/>
  <c r="L390" i="2" s="1"/>
  <c r="K386" i="2"/>
  <c r="L386" i="2" s="1"/>
  <c r="K382" i="2"/>
  <c r="L382" i="2" s="1"/>
  <c r="K378" i="2"/>
  <c r="L378" i="2" s="1"/>
  <c r="K374" i="2"/>
  <c r="L374" i="2" s="1"/>
  <c r="K370" i="2"/>
  <c r="L370" i="2" s="1"/>
  <c r="K366" i="2"/>
  <c r="L366" i="2" s="1"/>
  <c r="K362" i="2"/>
  <c r="L362" i="2" s="1"/>
  <c r="K358" i="2"/>
  <c r="L358" i="2" s="1"/>
  <c r="K354" i="2"/>
  <c r="L354" i="2" s="1"/>
  <c r="K350" i="2"/>
  <c r="L350" i="2" s="1"/>
  <c r="K346" i="2"/>
  <c r="L346" i="2" s="1"/>
  <c r="K342" i="2"/>
  <c r="L342" i="2" s="1"/>
  <c r="K338" i="2"/>
  <c r="L338" i="2" s="1"/>
  <c r="K334" i="2"/>
  <c r="L334" i="2" s="1"/>
  <c r="K330" i="2"/>
  <c r="L330" i="2" s="1"/>
  <c r="K326" i="2"/>
  <c r="L326" i="2" s="1"/>
  <c r="K322" i="2"/>
  <c r="L322" i="2" s="1"/>
  <c r="K318" i="2"/>
  <c r="L318" i="2" s="1"/>
  <c r="K314" i="2"/>
  <c r="L314" i="2" s="1"/>
  <c r="K310" i="2"/>
  <c r="L310" i="2" s="1"/>
  <c r="K306" i="2"/>
  <c r="L306" i="2" s="1"/>
  <c r="K302" i="2"/>
  <c r="L302" i="2" s="1"/>
  <c r="K298" i="2"/>
  <c r="L298" i="2" s="1"/>
  <c r="K294" i="2"/>
  <c r="L294" i="2" s="1"/>
  <c r="K290" i="2"/>
  <c r="L290" i="2" s="1"/>
  <c r="K286" i="2"/>
  <c r="L286" i="2" s="1"/>
  <c r="K282" i="2"/>
  <c r="L282" i="2" s="1"/>
  <c r="K278" i="2"/>
  <c r="L278" i="2" s="1"/>
  <c r="K274" i="2"/>
  <c r="L274" i="2" s="1"/>
  <c r="K270" i="2"/>
  <c r="L270" i="2" s="1"/>
  <c r="K266" i="2"/>
  <c r="L266" i="2" s="1"/>
  <c r="K262" i="2"/>
  <c r="L262" i="2" s="1"/>
  <c r="K258" i="2"/>
  <c r="L258" i="2" s="1"/>
  <c r="K254" i="2"/>
  <c r="L254" i="2" s="1"/>
  <c r="K250" i="2"/>
  <c r="L250" i="2" s="1"/>
  <c r="K246" i="2"/>
  <c r="L246" i="2" s="1"/>
  <c r="K242" i="2"/>
  <c r="L242" i="2" s="1"/>
  <c r="K238" i="2"/>
  <c r="L238" i="2" s="1"/>
  <c r="K234" i="2"/>
  <c r="L234" i="2" s="1"/>
  <c r="K230" i="2"/>
  <c r="L230" i="2" s="1"/>
  <c r="K226" i="2"/>
  <c r="L226" i="2" s="1"/>
  <c r="K222" i="2"/>
  <c r="L222" i="2" s="1"/>
  <c r="K218" i="2"/>
  <c r="L218" i="2" s="1"/>
  <c r="K214" i="2"/>
  <c r="L214" i="2" s="1"/>
  <c r="K210" i="2"/>
  <c r="L210" i="2" s="1"/>
  <c r="K206" i="2"/>
  <c r="L206" i="2" s="1"/>
  <c r="K202" i="2"/>
  <c r="L202" i="2" s="1"/>
  <c r="K198" i="2"/>
  <c r="L198" i="2" s="1"/>
  <c r="K194" i="2"/>
  <c r="L194" i="2" s="1"/>
  <c r="K190" i="2"/>
  <c r="L190" i="2" s="1"/>
  <c r="K186" i="2"/>
  <c r="L186" i="2" s="1"/>
  <c r="K182" i="2"/>
  <c r="L182" i="2" s="1"/>
  <c r="K178" i="2"/>
  <c r="L178" i="2" s="1"/>
  <c r="K174" i="2"/>
  <c r="L174" i="2" s="1"/>
  <c r="K170" i="2"/>
  <c r="L170" i="2" s="1"/>
  <c r="K166" i="2"/>
  <c r="L166" i="2" s="1"/>
  <c r="K162" i="2"/>
  <c r="L162" i="2" s="1"/>
  <c r="K158" i="2"/>
  <c r="L158" i="2" s="1"/>
  <c r="K154" i="2"/>
  <c r="L154" i="2" s="1"/>
  <c r="K150" i="2"/>
  <c r="L150" i="2" s="1"/>
  <c r="K146" i="2"/>
  <c r="L146" i="2" s="1"/>
  <c r="K142" i="2"/>
  <c r="L142" i="2" s="1"/>
  <c r="K138" i="2"/>
  <c r="L138" i="2" s="1"/>
  <c r="K134" i="2"/>
  <c r="L134" i="2" s="1"/>
  <c r="K130" i="2"/>
  <c r="L130" i="2" s="1"/>
  <c r="K126" i="2"/>
  <c r="L126" i="2" s="1"/>
  <c r="K122" i="2"/>
  <c r="L122" i="2" s="1"/>
  <c r="K118" i="2"/>
  <c r="L118" i="2" s="1"/>
  <c r="K114" i="2"/>
  <c r="L114" i="2" s="1"/>
  <c r="K110" i="2"/>
  <c r="L110" i="2" s="1"/>
  <c r="K106" i="2"/>
  <c r="L106" i="2" s="1"/>
  <c r="K102" i="2"/>
  <c r="L102" i="2" s="1"/>
  <c r="K98" i="2"/>
  <c r="L98" i="2" s="1"/>
  <c r="K94" i="2"/>
  <c r="L94" i="2" s="1"/>
  <c r="K90" i="2"/>
  <c r="L90" i="2" s="1"/>
  <c r="K86" i="2"/>
  <c r="L86" i="2" s="1"/>
  <c r="K82" i="2"/>
  <c r="L82" i="2" s="1"/>
  <c r="K78" i="2"/>
  <c r="L78" i="2" s="1"/>
  <c r="K74" i="2"/>
  <c r="L74" i="2" s="1"/>
  <c r="K70" i="2"/>
  <c r="L70" i="2" s="1"/>
  <c r="K66" i="2"/>
  <c r="L66" i="2" s="1"/>
  <c r="K62" i="2"/>
  <c r="L62" i="2" s="1"/>
  <c r="K58" i="2"/>
  <c r="L58" i="2" s="1"/>
  <c r="K54" i="2"/>
  <c r="L54" i="2" s="1"/>
  <c r="K50" i="2"/>
  <c r="L50" i="2" s="1"/>
  <c r="K46" i="2"/>
  <c r="L46" i="2" s="1"/>
  <c r="K42" i="2"/>
  <c r="L42" i="2" s="1"/>
  <c r="K38" i="2"/>
  <c r="L38" i="2" s="1"/>
  <c r="K34" i="2"/>
  <c r="L34" i="2" s="1"/>
  <c r="K30" i="2"/>
  <c r="L30" i="2" s="1"/>
  <c r="K26" i="2"/>
  <c r="L26" i="2" s="1"/>
  <c r="K22" i="2"/>
  <c r="L22" i="2" s="1"/>
  <c r="K513" i="3"/>
  <c r="L513" i="3" s="1"/>
  <c r="K513" i="2"/>
  <c r="L513" i="2" s="1"/>
  <c r="K509" i="3"/>
  <c r="L509" i="3" s="1"/>
  <c r="K509" i="2"/>
  <c r="L509" i="2" s="1"/>
  <c r="K505" i="3"/>
  <c r="L505" i="3" s="1"/>
  <c r="K505" i="2"/>
  <c r="L505" i="2" s="1"/>
  <c r="K501" i="3"/>
  <c r="L501" i="3" s="1"/>
  <c r="K501" i="2"/>
  <c r="L501" i="2" s="1"/>
  <c r="K499" i="3"/>
  <c r="L499" i="3" s="1"/>
  <c r="K499" i="2"/>
  <c r="L499" i="2" s="1"/>
  <c r="K495" i="3"/>
  <c r="L495" i="3" s="1"/>
  <c r="K495" i="2"/>
  <c r="L495" i="2" s="1"/>
  <c r="K491" i="3"/>
  <c r="L491" i="3" s="1"/>
  <c r="K491" i="2"/>
  <c r="L491" i="2" s="1"/>
  <c r="K487" i="3"/>
  <c r="L487" i="3" s="1"/>
  <c r="K487" i="2"/>
  <c r="L487" i="2" s="1"/>
  <c r="K483" i="3"/>
  <c r="L483" i="3" s="1"/>
  <c r="K483" i="2"/>
  <c r="L483" i="2" s="1"/>
  <c r="K479" i="3"/>
  <c r="L479" i="3" s="1"/>
  <c r="K479" i="2"/>
  <c r="L479" i="2" s="1"/>
  <c r="K475" i="3"/>
  <c r="L475" i="3" s="1"/>
  <c r="K475" i="2"/>
  <c r="L475" i="2" s="1"/>
  <c r="K473" i="3"/>
  <c r="L473" i="3" s="1"/>
  <c r="K473" i="2"/>
  <c r="L473" i="2" s="1"/>
  <c r="K469" i="3"/>
  <c r="L469" i="3" s="1"/>
  <c r="K469" i="2"/>
  <c r="L469" i="2" s="1"/>
  <c r="K465" i="3"/>
  <c r="L465" i="3" s="1"/>
  <c r="K465" i="2"/>
  <c r="L465" i="2" s="1"/>
  <c r="K461" i="3"/>
  <c r="L461" i="3" s="1"/>
  <c r="K461" i="2"/>
  <c r="L461" i="2" s="1"/>
  <c r="K457" i="3"/>
  <c r="L457" i="3" s="1"/>
  <c r="K457" i="2"/>
  <c r="L457" i="2" s="1"/>
  <c r="K453" i="3"/>
  <c r="L453" i="3" s="1"/>
  <c r="K453" i="2"/>
  <c r="L453" i="2" s="1"/>
  <c r="K451" i="3"/>
  <c r="L451" i="3" s="1"/>
  <c r="K451" i="2"/>
  <c r="L451" i="2" s="1"/>
  <c r="K447" i="3"/>
  <c r="L447" i="3" s="1"/>
  <c r="K447" i="2"/>
  <c r="L447" i="2" s="1"/>
  <c r="K443" i="3"/>
  <c r="L443" i="3" s="1"/>
  <c r="K443" i="2"/>
  <c r="L443" i="2" s="1"/>
  <c r="K439" i="3"/>
  <c r="L439" i="3" s="1"/>
  <c r="K439" i="2"/>
  <c r="L439" i="2" s="1"/>
  <c r="K435" i="3"/>
  <c r="L435" i="3" s="1"/>
  <c r="K435" i="2"/>
  <c r="L435" i="2" s="1"/>
  <c r="K433" i="3"/>
  <c r="L433" i="3" s="1"/>
  <c r="K433" i="2"/>
  <c r="L433" i="2" s="1"/>
  <c r="K427" i="3"/>
  <c r="L427" i="3" s="1"/>
  <c r="K427" i="2"/>
  <c r="L427" i="2" s="1"/>
  <c r="K425" i="3"/>
  <c r="L425" i="3" s="1"/>
  <c r="K425" i="2"/>
  <c r="L425" i="2" s="1"/>
  <c r="K421" i="3"/>
  <c r="L421" i="3" s="1"/>
  <c r="K421" i="2"/>
  <c r="L421" i="2" s="1"/>
  <c r="K417" i="3"/>
  <c r="L417" i="3" s="1"/>
  <c r="K417" i="2"/>
  <c r="L417" i="2" s="1"/>
  <c r="K413" i="2"/>
  <c r="L413" i="2" s="1"/>
  <c r="K413" i="3"/>
  <c r="L413" i="3" s="1"/>
  <c r="K409" i="2"/>
  <c r="L409" i="2" s="1"/>
  <c r="K409" i="3"/>
  <c r="L409" i="3" s="1"/>
  <c r="D504" i="5"/>
  <c r="D500" i="5"/>
  <c r="D496" i="5"/>
  <c r="D492" i="5"/>
  <c r="D488" i="5"/>
  <c r="D484" i="5"/>
  <c r="D480" i="5"/>
  <c r="D476" i="5"/>
  <c r="D472" i="5"/>
  <c r="D468" i="5"/>
  <c r="D464" i="5"/>
  <c r="D460" i="5"/>
  <c r="D456" i="5"/>
  <c r="D452" i="5"/>
  <c r="D448" i="5"/>
  <c r="D444" i="5"/>
  <c r="D440" i="5"/>
  <c r="D436" i="5"/>
  <c r="D432" i="5"/>
  <c r="D428" i="5"/>
  <c r="D424" i="5"/>
  <c r="D420" i="5"/>
  <c r="D416" i="5"/>
  <c r="D412" i="5"/>
  <c r="D408" i="5"/>
  <c r="D404" i="5"/>
  <c r="D400" i="5"/>
  <c r="K407" i="2"/>
  <c r="L407" i="2" s="1"/>
  <c r="K407" i="3"/>
  <c r="L407" i="3" s="1"/>
  <c r="C328" i="5"/>
  <c r="C324" i="5"/>
  <c r="C320" i="5"/>
  <c r="C316" i="5"/>
  <c r="D173" i="5"/>
  <c r="D169" i="5"/>
  <c r="D165" i="5"/>
  <c r="D161" i="5"/>
  <c r="D157" i="5"/>
  <c r="D153" i="5"/>
  <c r="D149" i="5"/>
  <c r="D145" i="5"/>
  <c r="D141" i="5"/>
  <c r="D137" i="5"/>
  <c r="D133" i="5"/>
  <c r="D129" i="5"/>
  <c r="D125" i="5"/>
  <c r="D121" i="5"/>
  <c r="D117" i="5"/>
  <c r="K404" i="3"/>
  <c r="L404" i="3" s="1"/>
  <c r="K400" i="3"/>
  <c r="L400" i="3" s="1"/>
  <c r="K396" i="3"/>
  <c r="L396" i="3" s="1"/>
  <c r="K392" i="3"/>
  <c r="L392" i="3" s="1"/>
  <c r="K388" i="3"/>
  <c r="L388" i="3" s="1"/>
  <c r="K384" i="3"/>
  <c r="L384" i="3" s="1"/>
  <c r="K380" i="3"/>
  <c r="L380" i="3" s="1"/>
  <c r="K376" i="3"/>
  <c r="L376" i="3" s="1"/>
  <c r="K372" i="3"/>
  <c r="L372" i="3" s="1"/>
  <c r="K368" i="3"/>
  <c r="L368" i="3" s="1"/>
  <c r="K364" i="3"/>
  <c r="L364" i="3" s="1"/>
  <c r="K360" i="3"/>
  <c r="L360" i="3" s="1"/>
  <c r="K356" i="3"/>
  <c r="L356" i="3" s="1"/>
  <c r="K352" i="3"/>
  <c r="L352" i="3" s="1"/>
  <c r="K348" i="3"/>
  <c r="L348" i="3" s="1"/>
  <c r="K344" i="3"/>
  <c r="L344" i="3" s="1"/>
  <c r="K340" i="3"/>
  <c r="L340" i="3" s="1"/>
  <c r="K336" i="3"/>
  <c r="L336" i="3" s="1"/>
  <c r="K332" i="3"/>
  <c r="L332" i="3" s="1"/>
  <c r="K328" i="3"/>
  <c r="L328" i="3" s="1"/>
  <c r="K324" i="3"/>
  <c r="L324" i="3" s="1"/>
  <c r="K320" i="3"/>
  <c r="L320" i="3" s="1"/>
  <c r="K316" i="3"/>
  <c r="L316" i="3" s="1"/>
  <c r="K312" i="3"/>
  <c r="L312" i="3" s="1"/>
  <c r="K308" i="3"/>
  <c r="L308" i="3" s="1"/>
  <c r="K304" i="3"/>
  <c r="L304" i="3" s="1"/>
  <c r="K300" i="3"/>
  <c r="L300" i="3" s="1"/>
  <c r="K296" i="3"/>
  <c r="L296" i="3" s="1"/>
  <c r="K292" i="3"/>
  <c r="L292" i="3" s="1"/>
  <c r="K288" i="3"/>
  <c r="L288" i="3" s="1"/>
  <c r="K284" i="3"/>
  <c r="L284" i="3" s="1"/>
  <c r="K280" i="3"/>
  <c r="L280" i="3" s="1"/>
  <c r="K276" i="3"/>
  <c r="L276" i="3" s="1"/>
  <c r="K272" i="3"/>
  <c r="L272" i="3" s="1"/>
  <c r="K268" i="3"/>
  <c r="L268" i="3" s="1"/>
  <c r="K264" i="3"/>
  <c r="L264" i="3" s="1"/>
  <c r="K260" i="3"/>
  <c r="L260" i="3" s="1"/>
  <c r="K256" i="3"/>
  <c r="L256" i="3" s="1"/>
  <c r="K252" i="3"/>
  <c r="L252" i="3" s="1"/>
  <c r="K248" i="3"/>
  <c r="L248" i="3" s="1"/>
  <c r="K244" i="3"/>
  <c r="L244" i="3" s="1"/>
  <c r="K240" i="3"/>
  <c r="L240" i="3" s="1"/>
  <c r="K236" i="3"/>
  <c r="L236" i="3" s="1"/>
  <c r="K232" i="3"/>
  <c r="L232" i="3" s="1"/>
  <c r="K228" i="3"/>
  <c r="L228" i="3" s="1"/>
  <c r="K224" i="3"/>
  <c r="L224" i="3" s="1"/>
  <c r="K220" i="3"/>
  <c r="L220" i="3" s="1"/>
  <c r="K216" i="3"/>
  <c r="L216" i="3" s="1"/>
  <c r="K212" i="3"/>
  <c r="L212" i="3" s="1"/>
  <c r="K208" i="3"/>
  <c r="L208" i="3" s="1"/>
  <c r="K204" i="3"/>
  <c r="L204" i="3" s="1"/>
  <c r="K200" i="3"/>
  <c r="L200" i="3" s="1"/>
  <c r="K196" i="3"/>
  <c r="L196" i="3" s="1"/>
  <c r="K192" i="3"/>
  <c r="L192" i="3" s="1"/>
  <c r="K188" i="3"/>
  <c r="L188" i="3" s="1"/>
  <c r="K184" i="3"/>
  <c r="L184" i="3" s="1"/>
  <c r="K180" i="3"/>
  <c r="L180" i="3" s="1"/>
  <c r="K176" i="3"/>
  <c r="L176" i="3" s="1"/>
  <c r="K172" i="3"/>
  <c r="L172" i="3" s="1"/>
  <c r="K168" i="3"/>
  <c r="L168" i="3" s="1"/>
  <c r="K164" i="3"/>
  <c r="L164" i="3" s="1"/>
  <c r="K160" i="3"/>
  <c r="L160" i="3" s="1"/>
  <c r="K156" i="3"/>
  <c r="L156" i="3" s="1"/>
  <c r="K152" i="3"/>
  <c r="L152" i="3" s="1"/>
  <c r="K148" i="3"/>
  <c r="L148" i="3" s="1"/>
  <c r="K144" i="3"/>
  <c r="L144" i="3" s="1"/>
  <c r="K140" i="3"/>
  <c r="L140" i="3" s="1"/>
  <c r="K136" i="3"/>
  <c r="L136" i="3" s="1"/>
  <c r="K132" i="3"/>
  <c r="L132" i="3" s="1"/>
  <c r="K128" i="3"/>
  <c r="L128" i="3" s="1"/>
  <c r="K124" i="3"/>
  <c r="L124" i="3" s="1"/>
  <c r="K120" i="3"/>
  <c r="L120" i="3" s="1"/>
  <c r="K116" i="3"/>
  <c r="L116" i="3" s="1"/>
  <c r="K112" i="3"/>
  <c r="L112" i="3" s="1"/>
  <c r="K108" i="3"/>
  <c r="L108" i="3" s="1"/>
  <c r="K104" i="3"/>
  <c r="L104" i="3" s="1"/>
  <c r="K100" i="3"/>
  <c r="L100" i="3" s="1"/>
  <c r="K96" i="3"/>
  <c r="L96" i="3" s="1"/>
  <c r="K92" i="3"/>
  <c r="L92" i="3" s="1"/>
  <c r="K88" i="3"/>
  <c r="L88" i="3" s="1"/>
  <c r="K84" i="3"/>
  <c r="L84" i="3" s="1"/>
  <c r="K80" i="3"/>
  <c r="L80" i="3" s="1"/>
  <c r="K76" i="3"/>
  <c r="L76" i="3" s="1"/>
  <c r="K72" i="3"/>
  <c r="L72" i="3" s="1"/>
  <c r="K68" i="3"/>
  <c r="L68" i="3" s="1"/>
  <c r="K64" i="3"/>
  <c r="L64" i="3" s="1"/>
  <c r="K60" i="3"/>
  <c r="L60" i="3" s="1"/>
  <c r="K56" i="3"/>
  <c r="L56" i="3" s="1"/>
  <c r="K52" i="3"/>
  <c r="L52" i="3" s="1"/>
  <c r="K48" i="3"/>
  <c r="L48" i="3" s="1"/>
  <c r="K44" i="3"/>
  <c r="L44" i="3" s="1"/>
  <c r="K40" i="3"/>
  <c r="L40" i="3" s="1"/>
  <c r="K36" i="3"/>
  <c r="L36" i="3" s="1"/>
  <c r="K32" i="3"/>
  <c r="L32" i="3" s="1"/>
  <c r="K28" i="3"/>
  <c r="L28" i="3" s="1"/>
  <c r="K24" i="3"/>
  <c r="L24" i="3" s="1"/>
  <c r="K516" i="3"/>
  <c r="L516" i="3" s="1"/>
  <c r="K512" i="3"/>
  <c r="L512" i="3" s="1"/>
  <c r="K508" i="3"/>
  <c r="L508" i="3" s="1"/>
  <c r="K504" i="3"/>
  <c r="L504" i="3" s="1"/>
  <c r="K500" i="3"/>
  <c r="L500" i="3" s="1"/>
  <c r="K496" i="3"/>
  <c r="L496" i="3" s="1"/>
  <c r="K492" i="3"/>
  <c r="L492" i="3" s="1"/>
  <c r="K488" i="3"/>
  <c r="L488" i="3" s="1"/>
  <c r="K484" i="3"/>
  <c r="L484" i="3" s="1"/>
  <c r="K480" i="3"/>
  <c r="L480" i="3" s="1"/>
  <c r="K476" i="3"/>
  <c r="L476" i="3" s="1"/>
  <c r="K472" i="3"/>
  <c r="L472" i="3" s="1"/>
  <c r="K468" i="3"/>
  <c r="L468" i="3" s="1"/>
  <c r="K464" i="3"/>
  <c r="L464" i="3" s="1"/>
  <c r="K460" i="3"/>
  <c r="L460" i="3" s="1"/>
  <c r="K456" i="3"/>
  <c r="L456" i="3" s="1"/>
  <c r="K452" i="3"/>
  <c r="L452" i="3" s="1"/>
  <c r="K448" i="3"/>
  <c r="L448" i="3" s="1"/>
  <c r="K444" i="3"/>
  <c r="L444" i="3" s="1"/>
  <c r="K440" i="3"/>
  <c r="L440" i="3" s="1"/>
  <c r="K436" i="3"/>
  <c r="L436" i="3" s="1"/>
  <c r="K432" i="3"/>
  <c r="L432" i="3" s="1"/>
  <c r="K428" i="3"/>
  <c r="L428" i="3" s="1"/>
  <c r="K424" i="3"/>
  <c r="L424" i="3" s="1"/>
  <c r="K420" i="3"/>
  <c r="L420" i="3" s="1"/>
  <c r="K416" i="3"/>
  <c r="L416" i="3" s="1"/>
  <c r="K412" i="3"/>
  <c r="L412" i="3" s="1"/>
  <c r="K408" i="3"/>
  <c r="L408" i="3" s="1"/>
  <c r="L17" i="2" l="1"/>
  <c r="F516" i="3"/>
  <c r="D516" i="3"/>
  <c r="B516" i="3"/>
  <c r="F515" i="3"/>
  <c r="D515" i="3"/>
  <c r="B515" i="3"/>
  <c r="F514" i="3"/>
  <c r="D514" i="3"/>
  <c r="B514" i="3"/>
  <c r="F513" i="3"/>
  <c r="D513" i="3"/>
  <c r="B513" i="3"/>
  <c r="F512" i="3"/>
  <c r="D512" i="3"/>
  <c r="B512" i="3"/>
  <c r="F511" i="3"/>
  <c r="D511" i="3"/>
  <c r="B511" i="3"/>
  <c r="F510" i="3"/>
  <c r="D510" i="3"/>
  <c r="B510" i="3"/>
  <c r="F509" i="3"/>
  <c r="D509" i="3"/>
  <c r="B509" i="3"/>
  <c r="F508" i="3"/>
  <c r="D508" i="3"/>
  <c r="B508" i="3"/>
  <c r="F507" i="3"/>
  <c r="D507" i="3"/>
  <c r="B507" i="3"/>
  <c r="F506" i="3"/>
  <c r="D506" i="3"/>
  <c r="B506" i="3"/>
  <c r="F505" i="3"/>
  <c r="D505" i="3"/>
  <c r="B505" i="3"/>
  <c r="F504" i="3"/>
  <c r="D504" i="3"/>
  <c r="B504" i="3"/>
  <c r="F503" i="3"/>
  <c r="D503" i="3"/>
  <c r="B503" i="3"/>
  <c r="F502" i="3"/>
  <c r="D502" i="3"/>
  <c r="B502" i="3"/>
  <c r="F501" i="3"/>
  <c r="D501" i="3"/>
  <c r="B501" i="3"/>
  <c r="F500" i="3"/>
  <c r="D500" i="3"/>
  <c r="B500" i="3"/>
  <c r="F499" i="3"/>
  <c r="D499" i="3"/>
  <c r="B499" i="3"/>
  <c r="F498" i="3"/>
  <c r="D498" i="3"/>
  <c r="B498" i="3"/>
  <c r="F497" i="3"/>
  <c r="D497" i="3"/>
  <c r="B497" i="3"/>
  <c r="F496" i="3"/>
  <c r="D496" i="3"/>
  <c r="B496" i="3"/>
  <c r="F495" i="3"/>
  <c r="D495" i="3"/>
  <c r="B495" i="3"/>
  <c r="F494" i="3"/>
  <c r="D494" i="3"/>
  <c r="B494" i="3"/>
  <c r="F493" i="3"/>
  <c r="D493" i="3"/>
  <c r="B493" i="3"/>
  <c r="F492" i="3"/>
  <c r="D492" i="3"/>
  <c r="B492" i="3"/>
  <c r="F491" i="3"/>
  <c r="D491" i="3"/>
  <c r="B491" i="3"/>
  <c r="F490" i="3"/>
  <c r="D490" i="3"/>
  <c r="B490" i="3"/>
  <c r="F489" i="3"/>
  <c r="D489" i="3"/>
  <c r="B489" i="3"/>
  <c r="F488" i="3"/>
  <c r="D488" i="3"/>
  <c r="B488" i="3"/>
  <c r="F487" i="3"/>
  <c r="D487" i="3"/>
  <c r="B487" i="3"/>
  <c r="F486" i="3"/>
  <c r="D486" i="3"/>
  <c r="B486" i="3"/>
  <c r="F485" i="3"/>
  <c r="D485" i="3"/>
  <c r="B485" i="3"/>
  <c r="F484" i="3"/>
  <c r="D484" i="3"/>
  <c r="B484" i="3"/>
  <c r="F483" i="3"/>
  <c r="D483" i="3"/>
  <c r="B483" i="3"/>
  <c r="F482" i="3"/>
  <c r="D482" i="3"/>
  <c r="B482" i="3"/>
  <c r="F481" i="3"/>
  <c r="D481" i="3"/>
  <c r="B481" i="3"/>
  <c r="F480" i="3"/>
  <c r="D480" i="3"/>
  <c r="B480" i="3"/>
  <c r="F479" i="3"/>
  <c r="D479" i="3"/>
  <c r="B479" i="3"/>
  <c r="F478" i="3"/>
  <c r="D478" i="3"/>
  <c r="B478" i="3"/>
  <c r="F477" i="3"/>
  <c r="D477" i="3"/>
  <c r="B477" i="3"/>
  <c r="F476" i="3"/>
  <c r="D476" i="3"/>
  <c r="B476" i="3"/>
  <c r="F475" i="3"/>
  <c r="D475" i="3"/>
  <c r="B475" i="3"/>
  <c r="F474" i="3"/>
  <c r="D474" i="3"/>
  <c r="B474" i="3"/>
  <c r="F473" i="3"/>
  <c r="D473" i="3"/>
  <c r="B473" i="3"/>
  <c r="F472" i="3"/>
  <c r="D472" i="3"/>
  <c r="B472" i="3"/>
  <c r="F471" i="3"/>
  <c r="D471" i="3"/>
  <c r="B471" i="3"/>
  <c r="F470" i="3"/>
  <c r="D470" i="3"/>
  <c r="B470" i="3"/>
  <c r="F469" i="3"/>
  <c r="D469" i="3"/>
  <c r="B469" i="3"/>
  <c r="F468" i="3"/>
  <c r="D468" i="3"/>
  <c r="B468" i="3"/>
  <c r="F467" i="3"/>
  <c r="D467" i="3"/>
  <c r="B467" i="3"/>
  <c r="F466" i="3"/>
  <c r="D466" i="3"/>
  <c r="B466" i="3"/>
  <c r="F465" i="3"/>
  <c r="D465" i="3"/>
  <c r="B465" i="3"/>
  <c r="F464" i="3"/>
  <c r="D464" i="3"/>
  <c r="B464" i="3"/>
  <c r="F463" i="3"/>
  <c r="D463" i="3"/>
  <c r="B463" i="3"/>
  <c r="F462" i="3"/>
  <c r="D462" i="3"/>
  <c r="B462" i="3"/>
  <c r="F461" i="3"/>
  <c r="D461" i="3"/>
  <c r="B461" i="3"/>
  <c r="F460" i="3"/>
  <c r="D460" i="3"/>
  <c r="B460" i="3"/>
  <c r="F459" i="3"/>
  <c r="D459" i="3"/>
  <c r="B459" i="3"/>
  <c r="F458" i="3"/>
  <c r="D458" i="3"/>
  <c r="B458" i="3"/>
  <c r="F457" i="3"/>
  <c r="D457" i="3"/>
  <c r="B457" i="3"/>
  <c r="F456" i="3"/>
  <c r="D456" i="3"/>
  <c r="B456" i="3"/>
  <c r="F455" i="3"/>
  <c r="D455" i="3"/>
  <c r="B455" i="3"/>
  <c r="F454" i="3"/>
  <c r="D454" i="3"/>
  <c r="B454" i="3"/>
  <c r="F453" i="3"/>
  <c r="D453" i="3"/>
  <c r="B453" i="3"/>
  <c r="F452" i="3"/>
  <c r="D452" i="3"/>
  <c r="B452" i="3"/>
  <c r="F451" i="3"/>
  <c r="D451" i="3"/>
  <c r="B451" i="3"/>
  <c r="F450" i="3"/>
  <c r="D450" i="3"/>
  <c r="B450" i="3"/>
  <c r="F449" i="3"/>
  <c r="D449" i="3"/>
  <c r="B449" i="3"/>
  <c r="F448" i="3"/>
  <c r="D448" i="3"/>
  <c r="B448" i="3"/>
  <c r="F447" i="3"/>
  <c r="D447" i="3"/>
  <c r="B447" i="3"/>
  <c r="F446" i="3"/>
  <c r="D446" i="3"/>
  <c r="B446" i="3"/>
  <c r="F445" i="3"/>
  <c r="D445" i="3"/>
  <c r="B445" i="3"/>
  <c r="F444" i="3"/>
  <c r="D444" i="3"/>
  <c r="B444" i="3"/>
  <c r="F443" i="3"/>
  <c r="D443" i="3"/>
  <c r="B443" i="3"/>
  <c r="F442" i="3"/>
  <c r="D442" i="3"/>
  <c r="B442" i="3"/>
  <c r="F441" i="3"/>
  <c r="D441" i="3"/>
  <c r="B441" i="3"/>
  <c r="F440" i="3"/>
  <c r="D440" i="3"/>
  <c r="B440" i="3"/>
  <c r="F439" i="3"/>
  <c r="D439" i="3"/>
  <c r="B439" i="3"/>
  <c r="F438" i="3"/>
  <c r="D438" i="3"/>
  <c r="B438" i="3"/>
  <c r="F437" i="3"/>
  <c r="D437" i="3"/>
  <c r="B437" i="3"/>
  <c r="F436" i="3"/>
  <c r="D436" i="3"/>
  <c r="B436" i="3"/>
  <c r="F435" i="3"/>
  <c r="D435" i="3"/>
  <c r="B435" i="3"/>
  <c r="F434" i="3"/>
  <c r="D434" i="3"/>
  <c r="B434" i="3"/>
  <c r="F433" i="3"/>
  <c r="D433" i="3"/>
  <c r="B433" i="3"/>
  <c r="F432" i="3"/>
  <c r="D432" i="3"/>
  <c r="B432" i="3"/>
  <c r="F431" i="3"/>
  <c r="D431" i="3"/>
  <c r="B431" i="3"/>
  <c r="F430" i="3"/>
  <c r="D430" i="3"/>
  <c r="B430" i="3"/>
  <c r="F429" i="3"/>
  <c r="D429" i="3"/>
  <c r="B429" i="3"/>
  <c r="F428" i="3"/>
  <c r="D428" i="3"/>
  <c r="B428" i="3"/>
  <c r="F427" i="3"/>
  <c r="D427" i="3"/>
  <c r="B427" i="3"/>
  <c r="F426" i="3"/>
  <c r="D426" i="3"/>
  <c r="B426" i="3"/>
  <c r="F425" i="3"/>
  <c r="D425" i="3"/>
  <c r="B425" i="3"/>
  <c r="F424" i="3"/>
  <c r="D424" i="3"/>
  <c r="B424" i="3"/>
  <c r="F423" i="3"/>
  <c r="D423" i="3"/>
  <c r="B423" i="3"/>
  <c r="F422" i="3"/>
  <c r="D422" i="3"/>
  <c r="B422" i="3"/>
  <c r="F421" i="3"/>
  <c r="D421" i="3"/>
  <c r="B421" i="3"/>
  <c r="F420" i="3"/>
  <c r="D420" i="3"/>
  <c r="B420" i="3"/>
  <c r="F419" i="3"/>
  <c r="D419" i="3"/>
  <c r="B419" i="3"/>
  <c r="F418" i="3"/>
  <c r="D418" i="3"/>
  <c r="B418" i="3"/>
  <c r="F417" i="3"/>
  <c r="D417" i="3"/>
  <c r="B417" i="3"/>
  <c r="F416" i="3"/>
  <c r="D416" i="3"/>
  <c r="B416" i="3"/>
  <c r="F415" i="3"/>
  <c r="D415" i="3"/>
  <c r="B415" i="3"/>
  <c r="F414" i="3"/>
  <c r="D414" i="3"/>
  <c r="B414" i="3"/>
  <c r="F413" i="3"/>
  <c r="D413" i="3"/>
  <c r="B413" i="3"/>
  <c r="F412" i="3"/>
  <c r="D412" i="3"/>
  <c r="B412" i="3"/>
  <c r="F411" i="3"/>
  <c r="D411" i="3"/>
  <c r="B411" i="3"/>
  <c r="F410" i="3"/>
  <c r="D410" i="3"/>
  <c r="B410" i="3"/>
  <c r="F409" i="3"/>
  <c r="D409" i="3"/>
  <c r="B409" i="3"/>
  <c r="F408" i="3"/>
  <c r="D408" i="3"/>
  <c r="B408" i="3"/>
  <c r="F407" i="3"/>
  <c r="D407" i="3"/>
  <c r="B407" i="3"/>
  <c r="F406" i="3"/>
  <c r="D406" i="3"/>
  <c r="B406" i="3"/>
  <c r="C516" i="3"/>
  <c r="E515" i="3"/>
  <c r="A515" i="3"/>
  <c r="C514" i="3"/>
  <c r="E513" i="3"/>
  <c r="A513" i="3"/>
  <c r="C512" i="3"/>
  <c r="E511" i="3"/>
  <c r="A511" i="3"/>
  <c r="C510" i="3"/>
  <c r="E509" i="3"/>
  <c r="A509" i="3"/>
  <c r="C508" i="3"/>
  <c r="E507" i="3"/>
  <c r="A507" i="3"/>
  <c r="C506" i="3"/>
  <c r="E505" i="3"/>
  <c r="A505" i="3"/>
  <c r="C504" i="3"/>
  <c r="E503" i="3"/>
  <c r="A503" i="3"/>
  <c r="C502" i="3"/>
  <c r="E501" i="3"/>
  <c r="A501" i="3"/>
  <c r="C500" i="3"/>
  <c r="E499" i="3"/>
  <c r="A499" i="3"/>
  <c r="C498" i="3"/>
  <c r="E497" i="3"/>
  <c r="A497" i="3"/>
  <c r="C496" i="3"/>
  <c r="E495" i="3"/>
  <c r="A495" i="3"/>
  <c r="C494" i="3"/>
  <c r="E493" i="3"/>
  <c r="A493" i="3"/>
  <c r="C492" i="3"/>
  <c r="E491" i="3"/>
  <c r="A491" i="3"/>
  <c r="C490" i="3"/>
  <c r="E489" i="3"/>
  <c r="A489" i="3"/>
  <c r="C488" i="3"/>
  <c r="E487" i="3"/>
  <c r="A487" i="3"/>
  <c r="C486" i="3"/>
  <c r="E485" i="3"/>
  <c r="A485" i="3"/>
  <c r="C484" i="3"/>
  <c r="E483" i="3"/>
  <c r="A483" i="3"/>
  <c r="C482" i="3"/>
  <c r="E481" i="3"/>
  <c r="A481" i="3"/>
  <c r="C480" i="3"/>
  <c r="E479" i="3"/>
  <c r="A479" i="3"/>
  <c r="C478" i="3"/>
  <c r="E477" i="3"/>
  <c r="A477" i="3"/>
  <c r="C476" i="3"/>
  <c r="E475" i="3"/>
  <c r="A475" i="3"/>
  <c r="C474" i="3"/>
  <c r="E473" i="3"/>
  <c r="A473" i="3"/>
  <c r="C472" i="3"/>
  <c r="E471" i="3"/>
  <c r="A471" i="3"/>
  <c r="C470" i="3"/>
  <c r="E469" i="3"/>
  <c r="A469" i="3"/>
  <c r="C468" i="3"/>
  <c r="E467" i="3"/>
  <c r="A467" i="3"/>
  <c r="C466" i="3"/>
  <c r="E465" i="3"/>
  <c r="A465" i="3"/>
  <c r="C464" i="3"/>
  <c r="E463" i="3"/>
  <c r="A463" i="3"/>
  <c r="C462" i="3"/>
  <c r="E461" i="3"/>
  <c r="A461" i="3"/>
  <c r="C460" i="3"/>
  <c r="E459" i="3"/>
  <c r="A459" i="3"/>
  <c r="C458" i="3"/>
  <c r="E457" i="3"/>
  <c r="A457" i="3"/>
  <c r="C456" i="3"/>
  <c r="E455" i="3"/>
  <c r="A455" i="3"/>
  <c r="C454" i="3"/>
  <c r="E453" i="3"/>
  <c r="A453" i="3"/>
  <c r="C452" i="3"/>
  <c r="E451" i="3"/>
  <c r="A451" i="3"/>
  <c r="C450" i="3"/>
  <c r="E449" i="3"/>
  <c r="A449" i="3"/>
  <c r="C448" i="3"/>
  <c r="E447" i="3"/>
  <c r="A447" i="3"/>
  <c r="C446" i="3"/>
  <c r="E445" i="3"/>
  <c r="A445" i="3"/>
  <c r="C444" i="3"/>
  <c r="E443" i="3"/>
  <c r="A443" i="3"/>
  <c r="C442" i="3"/>
  <c r="E441" i="3"/>
  <c r="A441" i="3"/>
  <c r="C440" i="3"/>
  <c r="E439" i="3"/>
  <c r="A439" i="3"/>
  <c r="C438" i="3"/>
  <c r="E437" i="3"/>
  <c r="A437" i="3"/>
  <c r="C436" i="3"/>
  <c r="E435" i="3"/>
  <c r="A435" i="3"/>
  <c r="C434" i="3"/>
  <c r="E433" i="3"/>
  <c r="A433" i="3"/>
  <c r="C432" i="3"/>
  <c r="E431" i="3"/>
  <c r="A431" i="3"/>
  <c r="C430" i="3"/>
  <c r="E429" i="3"/>
  <c r="A429" i="3"/>
  <c r="C428" i="3"/>
  <c r="E427" i="3"/>
  <c r="A427" i="3"/>
  <c r="C426" i="3"/>
  <c r="E425" i="3"/>
  <c r="A425" i="3"/>
  <c r="C424" i="3"/>
  <c r="E423" i="3"/>
  <c r="A423" i="3"/>
  <c r="C422" i="3"/>
  <c r="E421" i="3"/>
  <c r="A421" i="3"/>
  <c r="C420" i="3"/>
  <c r="E419" i="3"/>
  <c r="A419" i="3"/>
  <c r="C418" i="3"/>
  <c r="E417" i="3"/>
  <c r="A417" i="3"/>
  <c r="E516" i="3"/>
  <c r="A516" i="3"/>
  <c r="C515" i="3"/>
  <c r="E514" i="3"/>
  <c r="A514" i="3"/>
  <c r="C513" i="3"/>
  <c r="E512" i="3"/>
  <c r="A512" i="3"/>
  <c r="C511" i="3"/>
  <c r="E510" i="3"/>
  <c r="A510" i="3"/>
  <c r="C509" i="3"/>
  <c r="E508" i="3"/>
  <c r="A508" i="3"/>
  <c r="C507" i="3"/>
  <c r="E506" i="3"/>
  <c r="A506" i="3"/>
  <c r="C505" i="3"/>
  <c r="E504" i="3"/>
  <c r="A504" i="3"/>
  <c r="C503" i="3"/>
  <c r="E502" i="3"/>
  <c r="A502" i="3"/>
  <c r="C501" i="3"/>
  <c r="E500" i="3"/>
  <c r="A500" i="3"/>
  <c r="C499" i="3"/>
  <c r="E498" i="3"/>
  <c r="A498" i="3"/>
  <c r="C497" i="3"/>
  <c r="E496" i="3"/>
  <c r="A496" i="3"/>
  <c r="C495" i="3"/>
  <c r="E494" i="3"/>
  <c r="A494" i="3"/>
  <c r="C493" i="3"/>
  <c r="E492" i="3"/>
  <c r="A492" i="3"/>
  <c r="C491" i="3"/>
  <c r="E490" i="3"/>
  <c r="A490" i="3"/>
  <c r="C489" i="3"/>
  <c r="E488" i="3"/>
  <c r="A488" i="3"/>
  <c r="C487" i="3"/>
  <c r="E486" i="3"/>
  <c r="A486" i="3"/>
  <c r="C485" i="3"/>
  <c r="E484" i="3"/>
  <c r="A484" i="3"/>
  <c r="C483" i="3"/>
  <c r="E482" i="3"/>
  <c r="A482" i="3"/>
  <c r="C481" i="3"/>
  <c r="E480" i="3"/>
  <c r="A480" i="3"/>
  <c r="C479" i="3"/>
  <c r="E478" i="3"/>
  <c r="A478" i="3"/>
  <c r="C477" i="3"/>
  <c r="E476" i="3"/>
  <c r="A476" i="3"/>
  <c r="C475" i="3"/>
  <c r="E474" i="3"/>
  <c r="A474" i="3"/>
  <c r="C473" i="3"/>
  <c r="E472" i="3"/>
  <c r="A472" i="3"/>
  <c r="C471" i="3"/>
  <c r="E470" i="3"/>
  <c r="A470" i="3"/>
  <c r="C469" i="3"/>
  <c r="E468" i="3"/>
  <c r="A468" i="3"/>
  <c r="C467" i="3"/>
  <c r="E466" i="3"/>
  <c r="A466" i="3"/>
  <c r="C465" i="3"/>
  <c r="E464" i="3"/>
  <c r="A464" i="3"/>
  <c r="C463" i="3"/>
  <c r="E462" i="3"/>
  <c r="A462" i="3"/>
  <c r="C461" i="3"/>
  <c r="E460" i="3"/>
  <c r="A460" i="3"/>
  <c r="C459" i="3"/>
  <c r="E458" i="3"/>
  <c r="A458" i="3"/>
  <c r="C457" i="3"/>
  <c r="E456" i="3"/>
  <c r="A456" i="3"/>
  <c r="C455" i="3"/>
  <c r="E454" i="3"/>
  <c r="A454" i="3"/>
  <c r="C453" i="3"/>
  <c r="E452" i="3"/>
  <c r="A452" i="3"/>
  <c r="C451" i="3"/>
  <c r="E450" i="3"/>
  <c r="A450" i="3"/>
  <c r="C449" i="3"/>
  <c r="E448" i="3"/>
  <c r="A448" i="3"/>
  <c r="C447" i="3"/>
  <c r="E446" i="3"/>
  <c r="A446" i="3"/>
  <c r="C445" i="3"/>
  <c r="E444" i="3"/>
  <c r="A444" i="3"/>
  <c r="C443" i="3"/>
  <c r="E442" i="3"/>
  <c r="A442" i="3"/>
  <c r="C441" i="3"/>
  <c r="E440" i="3"/>
  <c r="A440" i="3"/>
  <c r="C439" i="3"/>
  <c r="E438" i="3"/>
  <c r="A438" i="3"/>
  <c r="C437" i="3"/>
  <c r="E436" i="3"/>
  <c r="A436" i="3"/>
  <c r="C435" i="3"/>
  <c r="E434" i="3"/>
  <c r="A434" i="3"/>
  <c r="C433" i="3"/>
  <c r="E432" i="3"/>
  <c r="A432" i="3"/>
  <c r="C431" i="3"/>
  <c r="E430" i="3"/>
  <c r="A430" i="3"/>
  <c r="C429" i="3"/>
  <c r="E428" i="3"/>
  <c r="A428" i="3"/>
  <c r="C427" i="3"/>
  <c r="E426" i="3"/>
  <c r="A426" i="3"/>
  <c r="C425" i="3"/>
  <c r="E424" i="3"/>
  <c r="A424" i="3"/>
  <c r="C423" i="3"/>
  <c r="E422" i="3"/>
  <c r="A422" i="3"/>
  <c r="C421" i="3"/>
  <c r="E420" i="3"/>
  <c r="A420" i="3"/>
  <c r="C419" i="3"/>
  <c r="E418" i="3"/>
  <c r="A418" i="3"/>
  <c r="C417" i="3"/>
  <c r="E416" i="3"/>
  <c r="A416" i="3"/>
  <c r="C415" i="3"/>
  <c r="E414" i="3"/>
  <c r="A414" i="3"/>
  <c r="C413" i="3"/>
  <c r="E412" i="3"/>
  <c r="A412" i="3"/>
  <c r="C411" i="3"/>
  <c r="E410" i="3"/>
  <c r="A410" i="3"/>
  <c r="C409" i="3"/>
  <c r="E408" i="3"/>
  <c r="A408" i="3"/>
  <c r="C407" i="3"/>
  <c r="E406" i="3"/>
  <c r="A406" i="3"/>
  <c r="E405" i="3"/>
  <c r="C405" i="3"/>
  <c r="A405" i="3"/>
  <c r="E404" i="3"/>
  <c r="C404" i="3"/>
  <c r="A404" i="3"/>
  <c r="E403" i="3"/>
  <c r="C403" i="3"/>
  <c r="A403" i="3"/>
  <c r="E402" i="3"/>
  <c r="C402" i="3"/>
  <c r="A402" i="3"/>
  <c r="E401" i="3"/>
  <c r="C401" i="3"/>
  <c r="A401" i="3"/>
  <c r="E400" i="3"/>
  <c r="C400" i="3"/>
  <c r="A400" i="3"/>
  <c r="E399" i="3"/>
  <c r="C399" i="3"/>
  <c r="A399" i="3"/>
  <c r="E398" i="3"/>
  <c r="C398" i="3"/>
  <c r="A398" i="3"/>
  <c r="E397" i="3"/>
  <c r="C397" i="3"/>
  <c r="A397" i="3"/>
  <c r="E396" i="3"/>
  <c r="C396" i="3"/>
  <c r="A396" i="3"/>
  <c r="E395" i="3"/>
  <c r="C395" i="3"/>
  <c r="A395" i="3"/>
  <c r="E394" i="3"/>
  <c r="C394" i="3"/>
  <c r="A394" i="3"/>
  <c r="E393" i="3"/>
  <c r="C393" i="3"/>
  <c r="A393" i="3"/>
  <c r="E392" i="3"/>
  <c r="C392" i="3"/>
  <c r="A392" i="3"/>
  <c r="E391" i="3"/>
  <c r="C391" i="3"/>
  <c r="A391" i="3"/>
  <c r="E390" i="3"/>
  <c r="C390" i="3"/>
  <c r="A390" i="3"/>
  <c r="E389" i="3"/>
  <c r="C389" i="3"/>
  <c r="A389" i="3"/>
  <c r="E388" i="3"/>
  <c r="C388" i="3"/>
  <c r="A388" i="3"/>
  <c r="E387" i="3"/>
  <c r="C387" i="3"/>
  <c r="A387" i="3"/>
  <c r="E386" i="3"/>
  <c r="C386" i="3"/>
  <c r="A386" i="3"/>
  <c r="E385" i="3"/>
  <c r="C385" i="3"/>
  <c r="A385" i="3"/>
  <c r="E384" i="3"/>
  <c r="C384" i="3"/>
  <c r="A384" i="3"/>
  <c r="E383" i="3"/>
  <c r="C383" i="3"/>
  <c r="A383" i="3"/>
  <c r="E382" i="3"/>
  <c r="C382" i="3"/>
  <c r="A382" i="3"/>
  <c r="E381" i="3"/>
  <c r="C381" i="3"/>
  <c r="A381" i="3"/>
  <c r="E380" i="3"/>
  <c r="C380" i="3"/>
  <c r="A380" i="3"/>
  <c r="E379" i="3"/>
  <c r="C379" i="3"/>
  <c r="A379" i="3"/>
  <c r="E378" i="3"/>
  <c r="C378" i="3"/>
  <c r="A378" i="3"/>
  <c r="E377" i="3"/>
  <c r="C377" i="3"/>
  <c r="A377" i="3"/>
  <c r="E376" i="3"/>
  <c r="C376" i="3"/>
  <c r="A376" i="3"/>
  <c r="E375" i="3"/>
  <c r="C375" i="3"/>
  <c r="A375" i="3"/>
  <c r="E374" i="3"/>
  <c r="C374" i="3"/>
  <c r="A374" i="3"/>
  <c r="E373" i="3"/>
  <c r="C373" i="3"/>
  <c r="A373" i="3"/>
  <c r="E372" i="3"/>
  <c r="C372" i="3"/>
  <c r="A372" i="3"/>
  <c r="E371" i="3"/>
  <c r="C371" i="3"/>
  <c r="A371" i="3"/>
  <c r="E370" i="3"/>
  <c r="C370" i="3"/>
  <c r="A370" i="3"/>
  <c r="E369" i="3"/>
  <c r="C369" i="3"/>
  <c r="A369" i="3"/>
  <c r="E368" i="3"/>
  <c r="C368" i="3"/>
  <c r="A368" i="3"/>
  <c r="E367" i="3"/>
  <c r="C367" i="3"/>
  <c r="A367" i="3"/>
  <c r="E366" i="3"/>
  <c r="C366" i="3"/>
  <c r="A366" i="3"/>
  <c r="E365" i="3"/>
  <c r="C365" i="3"/>
  <c r="A365" i="3"/>
  <c r="E364" i="3"/>
  <c r="C364" i="3"/>
  <c r="A364" i="3"/>
  <c r="E363" i="3"/>
  <c r="C363" i="3"/>
  <c r="A363" i="3"/>
  <c r="E362" i="3"/>
  <c r="C362" i="3"/>
  <c r="A362" i="3"/>
  <c r="E361" i="3"/>
  <c r="C361" i="3"/>
  <c r="A361" i="3"/>
  <c r="E360" i="3"/>
  <c r="C360" i="3"/>
  <c r="A360" i="3"/>
  <c r="E359" i="3"/>
  <c r="C359" i="3"/>
  <c r="A359" i="3"/>
  <c r="E358" i="3"/>
  <c r="C358" i="3"/>
  <c r="A358" i="3"/>
  <c r="E357" i="3"/>
  <c r="C357" i="3"/>
  <c r="A357" i="3"/>
  <c r="E356" i="3"/>
  <c r="C356" i="3"/>
  <c r="A356" i="3"/>
  <c r="E355" i="3"/>
  <c r="C355" i="3"/>
  <c r="A355" i="3"/>
  <c r="E354" i="3"/>
  <c r="C354" i="3"/>
  <c r="A354" i="3"/>
  <c r="E353" i="3"/>
  <c r="C353" i="3"/>
  <c r="A353" i="3"/>
  <c r="E352" i="3"/>
  <c r="C352" i="3"/>
  <c r="A352" i="3"/>
  <c r="E351" i="3"/>
  <c r="C351" i="3"/>
  <c r="A351" i="3"/>
  <c r="E350" i="3"/>
  <c r="C350" i="3"/>
  <c r="A350" i="3"/>
  <c r="E349" i="3"/>
  <c r="C349" i="3"/>
  <c r="A349" i="3"/>
  <c r="E348" i="3"/>
  <c r="C348" i="3"/>
  <c r="A348" i="3"/>
  <c r="E347" i="3"/>
  <c r="C347" i="3"/>
  <c r="A347" i="3"/>
  <c r="E346" i="3"/>
  <c r="C346" i="3"/>
  <c r="A346" i="3"/>
  <c r="E345" i="3"/>
  <c r="C345" i="3"/>
  <c r="A345" i="3"/>
  <c r="E344" i="3"/>
  <c r="C344" i="3"/>
  <c r="A344" i="3"/>
  <c r="E343" i="3"/>
  <c r="C343" i="3"/>
  <c r="A343" i="3"/>
  <c r="E342" i="3"/>
  <c r="C342" i="3"/>
  <c r="A342" i="3"/>
  <c r="E341" i="3"/>
  <c r="C341" i="3"/>
  <c r="A341" i="3"/>
  <c r="E340" i="3"/>
  <c r="C340" i="3"/>
  <c r="A340" i="3"/>
  <c r="E339" i="3"/>
  <c r="C339" i="3"/>
  <c r="A339" i="3"/>
  <c r="E338" i="3"/>
  <c r="C338" i="3"/>
  <c r="A338" i="3"/>
  <c r="E337" i="3"/>
  <c r="C337" i="3"/>
  <c r="A337" i="3"/>
  <c r="E336" i="3"/>
  <c r="C336" i="3"/>
  <c r="A336" i="3"/>
  <c r="E335" i="3"/>
  <c r="C335" i="3"/>
  <c r="A335" i="3"/>
  <c r="E334" i="3"/>
  <c r="C334" i="3"/>
  <c r="A334" i="3"/>
  <c r="E333" i="3"/>
  <c r="C333" i="3"/>
  <c r="A333" i="3"/>
  <c r="E332" i="3"/>
  <c r="C332" i="3"/>
  <c r="A332" i="3"/>
  <c r="E331" i="3"/>
  <c r="C331" i="3"/>
  <c r="A331" i="3"/>
  <c r="E330" i="3"/>
  <c r="C330" i="3"/>
  <c r="A330" i="3"/>
  <c r="E329" i="3"/>
  <c r="C329" i="3"/>
  <c r="A329" i="3"/>
  <c r="E328" i="3"/>
  <c r="C328" i="3"/>
  <c r="A328" i="3"/>
  <c r="E327" i="3"/>
  <c r="C327" i="3"/>
  <c r="A327" i="3"/>
  <c r="E326" i="3"/>
  <c r="C326" i="3"/>
  <c r="A326" i="3"/>
  <c r="E325" i="3"/>
  <c r="C325" i="3"/>
  <c r="A325" i="3"/>
  <c r="E324" i="3"/>
  <c r="C324" i="3"/>
  <c r="A324" i="3"/>
  <c r="E323" i="3"/>
  <c r="C323" i="3"/>
  <c r="A323" i="3"/>
  <c r="E322" i="3"/>
  <c r="C322" i="3"/>
  <c r="A322" i="3"/>
  <c r="E321" i="3"/>
  <c r="C321" i="3"/>
  <c r="A321" i="3"/>
  <c r="E320" i="3"/>
  <c r="C320" i="3"/>
  <c r="A320" i="3"/>
  <c r="E319" i="3"/>
  <c r="C319" i="3"/>
  <c r="A319" i="3"/>
  <c r="E318" i="3"/>
  <c r="C318" i="3"/>
  <c r="A318" i="3"/>
  <c r="E317" i="3"/>
  <c r="C317" i="3"/>
  <c r="A317" i="3"/>
  <c r="E316" i="3"/>
  <c r="C316" i="3"/>
  <c r="A316" i="3"/>
  <c r="E315" i="3"/>
  <c r="C315" i="3"/>
  <c r="A315" i="3"/>
  <c r="E314" i="3"/>
  <c r="C314" i="3"/>
  <c r="A314" i="3"/>
  <c r="E313" i="3"/>
  <c r="C313" i="3"/>
  <c r="A313" i="3"/>
  <c r="E312" i="3"/>
  <c r="C312" i="3"/>
  <c r="A312" i="3"/>
  <c r="E311" i="3"/>
  <c r="C311" i="3"/>
  <c r="A311" i="3"/>
  <c r="E310" i="3"/>
  <c r="C310" i="3"/>
  <c r="A310" i="3"/>
  <c r="E309" i="3"/>
  <c r="C309" i="3"/>
  <c r="A309" i="3"/>
  <c r="E308" i="3"/>
  <c r="C308" i="3"/>
  <c r="A308" i="3"/>
  <c r="E307" i="3"/>
  <c r="C307" i="3"/>
  <c r="A307" i="3"/>
  <c r="E306" i="3"/>
  <c r="C306" i="3"/>
  <c r="A306" i="3"/>
  <c r="E305" i="3"/>
  <c r="C305" i="3"/>
  <c r="A305" i="3"/>
  <c r="E304" i="3"/>
  <c r="C304" i="3"/>
  <c r="A304" i="3"/>
  <c r="E303" i="3"/>
  <c r="C303" i="3"/>
  <c r="A303" i="3"/>
  <c r="E302" i="3"/>
  <c r="C302" i="3"/>
  <c r="A302" i="3"/>
  <c r="E301" i="3"/>
  <c r="C301" i="3"/>
  <c r="A301" i="3"/>
  <c r="E300" i="3"/>
  <c r="C300" i="3"/>
  <c r="A300" i="3"/>
  <c r="E299" i="3"/>
  <c r="C299" i="3"/>
  <c r="A299" i="3"/>
  <c r="E298" i="3"/>
  <c r="C298" i="3"/>
  <c r="A298" i="3"/>
  <c r="E297" i="3"/>
  <c r="C297" i="3"/>
  <c r="A297" i="3"/>
  <c r="E296" i="3"/>
  <c r="C296" i="3"/>
  <c r="A296" i="3"/>
  <c r="E295" i="3"/>
  <c r="C295" i="3"/>
  <c r="A295" i="3"/>
  <c r="E294" i="3"/>
  <c r="C294" i="3"/>
  <c r="A294" i="3"/>
  <c r="E293" i="3"/>
  <c r="C293" i="3"/>
  <c r="A293" i="3"/>
  <c r="E292" i="3"/>
  <c r="C292" i="3"/>
  <c r="A292" i="3"/>
  <c r="E291" i="3"/>
  <c r="C291" i="3"/>
  <c r="A291" i="3"/>
  <c r="E290" i="3"/>
  <c r="C290" i="3"/>
  <c r="A290" i="3"/>
  <c r="E289" i="3"/>
  <c r="C289" i="3"/>
  <c r="A289" i="3"/>
  <c r="E288" i="3"/>
  <c r="C288" i="3"/>
  <c r="A288" i="3"/>
  <c r="E287" i="3"/>
  <c r="C287" i="3"/>
  <c r="A287" i="3"/>
  <c r="E286" i="3"/>
  <c r="C286" i="3"/>
  <c r="A286" i="3"/>
  <c r="E285" i="3"/>
  <c r="C285" i="3"/>
  <c r="A285" i="3"/>
  <c r="E284" i="3"/>
  <c r="C284" i="3"/>
  <c r="A284" i="3"/>
  <c r="E283" i="3"/>
  <c r="C283" i="3"/>
  <c r="A283" i="3"/>
  <c r="E282" i="3"/>
  <c r="C282" i="3"/>
  <c r="A282" i="3"/>
  <c r="E281" i="3"/>
  <c r="C281" i="3"/>
  <c r="A281" i="3"/>
  <c r="E280" i="3"/>
  <c r="C280" i="3"/>
  <c r="A280" i="3"/>
  <c r="E279" i="3"/>
  <c r="C279" i="3"/>
  <c r="A279" i="3"/>
  <c r="E278" i="3"/>
  <c r="C278" i="3"/>
  <c r="A278" i="3"/>
  <c r="E277" i="3"/>
  <c r="C277" i="3"/>
  <c r="A277" i="3"/>
  <c r="E276" i="3"/>
  <c r="C276" i="3"/>
  <c r="A276" i="3"/>
  <c r="E275" i="3"/>
  <c r="C275" i="3"/>
  <c r="A275" i="3"/>
  <c r="E274" i="3"/>
  <c r="C274" i="3"/>
  <c r="A274" i="3"/>
  <c r="E273" i="3"/>
  <c r="C273" i="3"/>
  <c r="A273" i="3"/>
  <c r="E272" i="3"/>
  <c r="C272" i="3"/>
  <c r="A272" i="3"/>
  <c r="E271" i="3"/>
  <c r="C271" i="3"/>
  <c r="A271" i="3"/>
  <c r="E270" i="3"/>
  <c r="C270" i="3"/>
  <c r="A270" i="3"/>
  <c r="E269" i="3"/>
  <c r="C269" i="3"/>
  <c r="A269" i="3"/>
  <c r="E268" i="3"/>
  <c r="C268" i="3"/>
  <c r="A268" i="3"/>
  <c r="E267" i="3"/>
  <c r="C267" i="3"/>
  <c r="A267" i="3"/>
  <c r="E266" i="3"/>
  <c r="C266" i="3"/>
  <c r="A266" i="3"/>
  <c r="E265" i="3"/>
  <c r="C265" i="3"/>
  <c r="A265" i="3"/>
  <c r="E264" i="3"/>
  <c r="C264" i="3"/>
  <c r="A264" i="3"/>
  <c r="E263" i="3"/>
  <c r="C263" i="3"/>
  <c r="A263" i="3"/>
  <c r="E262" i="3"/>
  <c r="C262" i="3"/>
  <c r="A262" i="3"/>
  <c r="E261" i="3"/>
  <c r="C261" i="3"/>
  <c r="A261" i="3"/>
  <c r="E260" i="3"/>
  <c r="C260" i="3"/>
  <c r="A260" i="3"/>
  <c r="E259" i="3"/>
  <c r="C259" i="3"/>
  <c r="A259" i="3"/>
  <c r="E258" i="3"/>
  <c r="C258" i="3"/>
  <c r="A258" i="3"/>
  <c r="E257" i="3"/>
  <c r="C257" i="3"/>
  <c r="A257" i="3"/>
  <c r="E256" i="3"/>
  <c r="C256" i="3"/>
  <c r="A256" i="3"/>
  <c r="E255" i="3"/>
  <c r="C255" i="3"/>
  <c r="A255" i="3"/>
  <c r="E254" i="3"/>
  <c r="C254" i="3"/>
  <c r="A254" i="3"/>
  <c r="E253" i="3"/>
  <c r="C253" i="3"/>
  <c r="A253" i="3"/>
  <c r="E252" i="3"/>
  <c r="C252" i="3"/>
  <c r="A252" i="3"/>
  <c r="E251" i="3"/>
  <c r="C251" i="3"/>
  <c r="A251" i="3"/>
  <c r="E250" i="3"/>
  <c r="C250" i="3"/>
  <c r="A250" i="3"/>
  <c r="E249" i="3"/>
  <c r="C249" i="3"/>
  <c r="A249" i="3"/>
  <c r="E248" i="3"/>
  <c r="C248" i="3"/>
  <c r="A248" i="3"/>
  <c r="E247" i="3"/>
  <c r="C247" i="3"/>
  <c r="A247" i="3"/>
  <c r="E246" i="3"/>
  <c r="C246" i="3"/>
  <c r="A246" i="3"/>
  <c r="E245" i="3"/>
  <c r="C245" i="3"/>
  <c r="A245" i="3"/>
  <c r="E244" i="3"/>
  <c r="C244" i="3"/>
  <c r="A244" i="3"/>
  <c r="E243" i="3"/>
  <c r="C243" i="3"/>
  <c r="A243" i="3"/>
  <c r="E242" i="3"/>
  <c r="C242" i="3"/>
  <c r="A242" i="3"/>
  <c r="E241" i="3"/>
  <c r="C241" i="3"/>
  <c r="A241" i="3"/>
  <c r="E240" i="3"/>
  <c r="C240" i="3"/>
  <c r="A240" i="3"/>
  <c r="E239" i="3"/>
  <c r="C239" i="3"/>
  <c r="A239" i="3"/>
  <c r="E238" i="3"/>
  <c r="C238" i="3"/>
  <c r="A238" i="3"/>
  <c r="E237" i="3"/>
  <c r="C237" i="3"/>
  <c r="A237" i="3"/>
  <c r="E236" i="3"/>
  <c r="C236" i="3"/>
  <c r="A236" i="3"/>
  <c r="E235" i="3"/>
  <c r="C235" i="3"/>
  <c r="A235" i="3"/>
  <c r="E234" i="3"/>
  <c r="C234" i="3"/>
  <c r="A234" i="3"/>
  <c r="E233" i="3"/>
  <c r="C233" i="3"/>
  <c r="A233" i="3"/>
  <c r="E232" i="3"/>
  <c r="C232" i="3"/>
  <c r="A232" i="3"/>
  <c r="E231" i="3"/>
  <c r="C231" i="3"/>
  <c r="A231" i="3"/>
  <c r="E230" i="3"/>
  <c r="C230" i="3"/>
  <c r="A230" i="3"/>
  <c r="E229" i="3"/>
  <c r="C229" i="3"/>
  <c r="A229" i="3"/>
  <c r="E228" i="3"/>
  <c r="C228" i="3"/>
  <c r="A228" i="3"/>
  <c r="E227" i="3"/>
  <c r="C227" i="3"/>
  <c r="A227" i="3"/>
  <c r="E226" i="3"/>
  <c r="C226" i="3"/>
  <c r="A226" i="3"/>
  <c r="E225" i="3"/>
  <c r="C225" i="3"/>
  <c r="A225" i="3"/>
  <c r="E224" i="3"/>
  <c r="C224" i="3"/>
  <c r="A224" i="3"/>
  <c r="E223" i="3"/>
  <c r="C223" i="3"/>
  <c r="A223" i="3"/>
  <c r="E222" i="3"/>
  <c r="C222" i="3"/>
  <c r="A222" i="3"/>
  <c r="E221" i="3"/>
  <c r="C221" i="3"/>
  <c r="A221" i="3"/>
  <c r="E220" i="3"/>
  <c r="C220" i="3"/>
  <c r="A220" i="3"/>
  <c r="E219" i="3"/>
  <c r="C219" i="3"/>
  <c r="A219" i="3"/>
  <c r="E218" i="3"/>
  <c r="C218" i="3"/>
  <c r="A218" i="3"/>
  <c r="E217" i="3"/>
  <c r="C217" i="3"/>
  <c r="A217" i="3"/>
  <c r="E216" i="3"/>
  <c r="C216" i="3"/>
  <c r="A216" i="3"/>
  <c r="E215" i="3"/>
  <c r="C215" i="3"/>
  <c r="A215" i="3"/>
  <c r="E214" i="3"/>
  <c r="C214" i="3"/>
  <c r="A214" i="3"/>
  <c r="E213" i="3"/>
  <c r="C213" i="3"/>
  <c r="A213" i="3"/>
  <c r="E212" i="3"/>
  <c r="C212" i="3"/>
  <c r="A212" i="3"/>
  <c r="E211" i="3"/>
  <c r="C211" i="3"/>
  <c r="A211" i="3"/>
  <c r="E210" i="3"/>
  <c r="C210" i="3"/>
  <c r="A210" i="3"/>
  <c r="E209" i="3"/>
  <c r="C209" i="3"/>
  <c r="A209" i="3"/>
  <c r="E208" i="3"/>
  <c r="C208" i="3"/>
  <c r="A208" i="3"/>
  <c r="E207" i="3"/>
  <c r="C207" i="3"/>
  <c r="A207" i="3"/>
  <c r="E206" i="3"/>
  <c r="C206" i="3"/>
  <c r="A206" i="3"/>
  <c r="E205" i="3"/>
  <c r="C205" i="3"/>
  <c r="A205" i="3"/>
  <c r="E204" i="3"/>
  <c r="C204" i="3"/>
  <c r="A204" i="3"/>
  <c r="E203" i="3"/>
  <c r="C203" i="3"/>
  <c r="A203" i="3"/>
  <c r="E202" i="3"/>
  <c r="C202" i="3"/>
  <c r="A202" i="3"/>
  <c r="E201" i="3"/>
  <c r="C201" i="3"/>
  <c r="A201" i="3"/>
  <c r="E200" i="3"/>
  <c r="C200" i="3"/>
  <c r="A200" i="3"/>
  <c r="E199" i="3"/>
  <c r="C199" i="3"/>
  <c r="A199" i="3"/>
  <c r="E198" i="3"/>
  <c r="C198" i="3"/>
  <c r="A198" i="3"/>
  <c r="E197" i="3"/>
  <c r="C197" i="3"/>
  <c r="A197" i="3"/>
  <c r="E196" i="3"/>
  <c r="C196" i="3"/>
  <c r="A196" i="3"/>
  <c r="E195" i="3"/>
  <c r="C195" i="3"/>
  <c r="A195" i="3"/>
  <c r="E194" i="3"/>
  <c r="C194" i="3"/>
  <c r="A194" i="3"/>
  <c r="E193" i="3"/>
  <c r="C193" i="3"/>
  <c r="A193" i="3"/>
  <c r="E192" i="3"/>
  <c r="C192" i="3"/>
  <c r="A192" i="3"/>
  <c r="E191" i="3"/>
  <c r="C191" i="3"/>
  <c r="A191" i="3"/>
  <c r="E190" i="3"/>
  <c r="C190" i="3"/>
  <c r="A190" i="3"/>
  <c r="E189" i="3"/>
  <c r="C189" i="3"/>
  <c r="A189" i="3"/>
  <c r="E188" i="3"/>
  <c r="C188" i="3"/>
  <c r="A188" i="3"/>
  <c r="E187" i="3"/>
  <c r="C187" i="3"/>
  <c r="A187" i="3"/>
  <c r="E186" i="3"/>
  <c r="C186" i="3"/>
  <c r="A186" i="3"/>
  <c r="E185" i="3"/>
  <c r="C185" i="3"/>
  <c r="A185" i="3"/>
  <c r="E184" i="3"/>
  <c r="C184" i="3"/>
  <c r="A184" i="3"/>
  <c r="E183" i="3"/>
  <c r="C183" i="3"/>
  <c r="A183" i="3"/>
  <c r="E182" i="3"/>
  <c r="C182" i="3"/>
  <c r="A182" i="3"/>
  <c r="E181" i="3"/>
  <c r="C181" i="3"/>
  <c r="A181" i="3"/>
  <c r="E180" i="3"/>
  <c r="C180" i="3"/>
  <c r="A180" i="3"/>
  <c r="E179" i="3"/>
  <c r="C179" i="3"/>
  <c r="A179" i="3"/>
  <c r="E178" i="3"/>
  <c r="C178" i="3"/>
  <c r="A178" i="3"/>
  <c r="E177" i="3"/>
  <c r="C177" i="3"/>
  <c r="A177" i="3"/>
  <c r="E176" i="3"/>
  <c r="C176" i="3"/>
  <c r="A176" i="3"/>
  <c r="E175" i="3"/>
  <c r="C175" i="3"/>
  <c r="A175" i="3"/>
  <c r="E174" i="3"/>
  <c r="C174" i="3"/>
  <c r="A174" i="3"/>
  <c r="E173" i="3"/>
  <c r="C173" i="3"/>
  <c r="A173" i="3"/>
  <c r="E172" i="3"/>
  <c r="C172" i="3"/>
  <c r="A172" i="3"/>
  <c r="E171" i="3"/>
  <c r="C171" i="3"/>
  <c r="A171" i="3"/>
  <c r="E170" i="3"/>
  <c r="C170" i="3"/>
  <c r="A170" i="3"/>
  <c r="E169" i="3"/>
  <c r="C169" i="3"/>
  <c r="A169" i="3"/>
  <c r="E168" i="3"/>
  <c r="C168" i="3"/>
  <c r="A168" i="3"/>
  <c r="E167" i="3"/>
  <c r="C167" i="3"/>
  <c r="A167" i="3"/>
  <c r="E166" i="3"/>
  <c r="C166" i="3"/>
  <c r="A166" i="3"/>
  <c r="E165" i="3"/>
  <c r="C165" i="3"/>
  <c r="A165" i="3"/>
  <c r="E164" i="3"/>
  <c r="C164" i="3"/>
  <c r="A164" i="3"/>
  <c r="E163" i="3"/>
  <c r="C163" i="3"/>
  <c r="A163" i="3"/>
  <c r="E162" i="3"/>
  <c r="C162" i="3"/>
  <c r="A162" i="3"/>
  <c r="E161" i="3"/>
  <c r="C161" i="3"/>
  <c r="A161" i="3"/>
  <c r="E160" i="3"/>
  <c r="C160" i="3"/>
  <c r="A160" i="3"/>
  <c r="E159" i="3"/>
  <c r="C159" i="3"/>
  <c r="A159" i="3"/>
  <c r="E158" i="3"/>
  <c r="C158" i="3"/>
  <c r="A158" i="3"/>
  <c r="E157" i="3"/>
  <c r="C157" i="3"/>
  <c r="A157" i="3"/>
  <c r="E156" i="3"/>
  <c r="C156" i="3"/>
  <c r="A156" i="3"/>
  <c r="E155" i="3"/>
  <c r="C155" i="3"/>
  <c r="A155" i="3"/>
  <c r="E154" i="3"/>
  <c r="C154" i="3"/>
  <c r="A154" i="3"/>
  <c r="E153" i="3"/>
  <c r="C153" i="3"/>
  <c r="A153" i="3"/>
  <c r="E152" i="3"/>
  <c r="C152" i="3"/>
  <c r="A152" i="3"/>
  <c r="E151" i="3"/>
  <c r="C151" i="3"/>
  <c r="A151" i="3"/>
  <c r="E150" i="3"/>
  <c r="C150" i="3"/>
  <c r="A150" i="3"/>
  <c r="E149" i="3"/>
  <c r="C149" i="3"/>
  <c r="A149" i="3"/>
  <c r="E148" i="3"/>
  <c r="C148" i="3"/>
  <c r="A148" i="3"/>
  <c r="E147" i="3"/>
  <c r="C147" i="3"/>
  <c r="A147" i="3"/>
  <c r="E146" i="3"/>
  <c r="C146" i="3"/>
  <c r="A146" i="3"/>
  <c r="E145" i="3"/>
  <c r="C145" i="3"/>
  <c r="A145" i="3"/>
  <c r="E144" i="3"/>
  <c r="C144" i="3"/>
  <c r="A144" i="3"/>
  <c r="E143" i="3"/>
  <c r="C143" i="3"/>
  <c r="A143" i="3"/>
  <c r="E142" i="3"/>
  <c r="C142" i="3"/>
  <c r="A142" i="3"/>
  <c r="E141" i="3"/>
  <c r="C141" i="3"/>
  <c r="A141" i="3"/>
  <c r="E140" i="3"/>
  <c r="C140" i="3"/>
  <c r="A140" i="3"/>
  <c r="E139" i="3"/>
  <c r="C139" i="3"/>
  <c r="A139" i="3"/>
  <c r="E138" i="3"/>
  <c r="C138" i="3"/>
  <c r="A138" i="3"/>
  <c r="E137" i="3"/>
  <c r="C137" i="3"/>
  <c r="A137" i="3"/>
  <c r="E136" i="3"/>
  <c r="C136" i="3"/>
  <c r="A136" i="3"/>
  <c r="E135" i="3"/>
  <c r="C135" i="3"/>
  <c r="A135" i="3"/>
  <c r="E134" i="3"/>
  <c r="C134" i="3"/>
  <c r="A134" i="3"/>
  <c r="E133" i="3"/>
  <c r="C133" i="3"/>
  <c r="A133" i="3"/>
  <c r="E132" i="3"/>
  <c r="C132" i="3"/>
  <c r="A132" i="3"/>
  <c r="E131" i="3"/>
  <c r="C131" i="3"/>
  <c r="A131" i="3"/>
  <c r="E130" i="3"/>
  <c r="C130" i="3"/>
  <c r="A130" i="3"/>
  <c r="E129" i="3"/>
  <c r="C129" i="3"/>
  <c r="A129" i="3"/>
  <c r="E128" i="3"/>
  <c r="C128" i="3"/>
  <c r="A128" i="3"/>
  <c r="E127" i="3"/>
  <c r="C127" i="3"/>
  <c r="A127" i="3"/>
  <c r="E126" i="3"/>
  <c r="C126" i="3"/>
  <c r="A126" i="3"/>
  <c r="E125" i="3"/>
  <c r="C125" i="3"/>
  <c r="A125" i="3"/>
  <c r="E124" i="3"/>
  <c r="C124" i="3"/>
  <c r="A124" i="3"/>
  <c r="E123" i="3"/>
  <c r="C123" i="3"/>
  <c r="A123" i="3"/>
  <c r="E122" i="3"/>
  <c r="C122" i="3"/>
  <c r="A122" i="3"/>
  <c r="E121" i="3"/>
  <c r="C121" i="3"/>
  <c r="A121" i="3"/>
  <c r="E120" i="3"/>
  <c r="C120" i="3"/>
  <c r="A120" i="3"/>
  <c r="E119" i="3"/>
  <c r="C119" i="3"/>
  <c r="A119" i="3"/>
  <c r="E118" i="3"/>
  <c r="C118" i="3"/>
  <c r="A118" i="3"/>
  <c r="E117" i="3"/>
  <c r="C117" i="3"/>
  <c r="A117" i="3"/>
  <c r="E116" i="3"/>
  <c r="C116" i="3"/>
  <c r="A116" i="3"/>
  <c r="E115" i="3"/>
  <c r="C115" i="3"/>
  <c r="A115" i="3"/>
  <c r="E114" i="3"/>
  <c r="C114" i="3"/>
  <c r="A114" i="3"/>
  <c r="E113" i="3"/>
  <c r="C113" i="3"/>
  <c r="A113" i="3"/>
  <c r="E112" i="3"/>
  <c r="C112" i="3"/>
  <c r="A112" i="3"/>
  <c r="E111" i="3"/>
  <c r="C111" i="3"/>
  <c r="A111" i="3"/>
  <c r="E110" i="3"/>
  <c r="C110" i="3"/>
  <c r="A110" i="3"/>
  <c r="E109" i="3"/>
  <c r="C109" i="3"/>
  <c r="A109" i="3"/>
  <c r="E108" i="3"/>
  <c r="C108" i="3"/>
  <c r="A108" i="3"/>
  <c r="E107" i="3"/>
  <c r="C107" i="3"/>
  <c r="A107" i="3"/>
  <c r="E106" i="3"/>
  <c r="C106" i="3"/>
  <c r="A106" i="3"/>
  <c r="E105" i="3"/>
  <c r="C105" i="3"/>
  <c r="A105" i="3"/>
  <c r="E104" i="3"/>
  <c r="C104" i="3"/>
  <c r="A104" i="3"/>
  <c r="E103" i="3"/>
  <c r="C103" i="3"/>
  <c r="A103" i="3"/>
  <c r="E102" i="3"/>
  <c r="C102" i="3"/>
  <c r="A102" i="3"/>
  <c r="E101" i="3"/>
  <c r="C101" i="3"/>
  <c r="A101" i="3"/>
  <c r="E100" i="3"/>
  <c r="C100" i="3"/>
  <c r="A100" i="3"/>
  <c r="E99" i="3"/>
  <c r="C99" i="3"/>
  <c r="A99" i="3"/>
  <c r="E98" i="3"/>
  <c r="C98" i="3"/>
  <c r="A98" i="3"/>
  <c r="E97" i="3"/>
  <c r="C97" i="3"/>
  <c r="A97" i="3"/>
  <c r="E96" i="3"/>
  <c r="C96" i="3"/>
  <c r="A96" i="3"/>
  <c r="E95" i="3"/>
  <c r="C95" i="3"/>
  <c r="A95" i="3"/>
  <c r="E94" i="3"/>
  <c r="C94" i="3"/>
  <c r="A94" i="3"/>
  <c r="E93" i="3"/>
  <c r="C93" i="3"/>
  <c r="A93" i="3"/>
  <c r="E92" i="3"/>
  <c r="C92" i="3"/>
  <c r="A92" i="3"/>
  <c r="E91" i="3"/>
  <c r="C91" i="3"/>
  <c r="A91" i="3"/>
  <c r="E90" i="3"/>
  <c r="C90" i="3"/>
  <c r="A90" i="3"/>
  <c r="E89" i="3"/>
  <c r="C89" i="3"/>
  <c r="A89" i="3"/>
  <c r="E88" i="3"/>
  <c r="C88" i="3"/>
  <c r="A88" i="3"/>
  <c r="E87" i="3"/>
  <c r="C87" i="3"/>
  <c r="A87" i="3"/>
  <c r="E86" i="3"/>
  <c r="C86" i="3"/>
  <c r="A86" i="3"/>
  <c r="E85" i="3"/>
  <c r="C85" i="3"/>
  <c r="A85" i="3"/>
  <c r="E84" i="3"/>
  <c r="C84" i="3"/>
  <c r="A84" i="3"/>
  <c r="E83" i="3"/>
  <c r="C83" i="3"/>
  <c r="A83" i="3"/>
  <c r="E82" i="3"/>
  <c r="C82" i="3"/>
  <c r="A82" i="3"/>
  <c r="E81" i="3"/>
  <c r="C81" i="3"/>
  <c r="A81" i="3"/>
  <c r="E80" i="3"/>
  <c r="C80" i="3"/>
  <c r="A80" i="3"/>
  <c r="E79" i="3"/>
  <c r="C79" i="3"/>
  <c r="A79" i="3"/>
  <c r="E78" i="3"/>
  <c r="C78" i="3"/>
  <c r="A78" i="3"/>
  <c r="E77" i="3"/>
  <c r="C77" i="3"/>
  <c r="A77" i="3"/>
  <c r="E76" i="3"/>
  <c r="C76" i="3"/>
  <c r="A76" i="3"/>
  <c r="E75" i="3"/>
  <c r="C75" i="3"/>
  <c r="A75" i="3"/>
  <c r="E74" i="3"/>
  <c r="C74" i="3"/>
  <c r="A74" i="3"/>
  <c r="E73" i="3"/>
  <c r="C73" i="3"/>
  <c r="A73" i="3"/>
  <c r="E72" i="3"/>
  <c r="C72" i="3"/>
  <c r="A72" i="3"/>
  <c r="E71" i="3"/>
  <c r="C71" i="3"/>
  <c r="A71" i="3"/>
  <c r="E70" i="3"/>
  <c r="C70" i="3"/>
  <c r="A70" i="3"/>
  <c r="E69" i="3"/>
  <c r="C69" i="3"/>
  <c r="A69" i="3"/>
  <c r="E68" i="3"/>
  <c r="C68" i="3"/>
  <c r="A68" i="3"/>
  <c r="E67" i="3"/>
  <c r="C67" i="3"/>
  <c r="A67" i="3"/>
  <c r="E66" i="3"/>
  <c r="C66" i="3"/>
  <c r="A66" i="3"/>
  <c r="E65" i="3"/>
  <c r="C65" i="3"/>
  <c r="A65" i="3"/>
  <c r="E64" i="3"/>
  <c r="C64" i="3"/>
  <c r="A64" i="3"/>
  <c r="E63" i="3"/>
  <c r="C63" i="3"/>
  <c r="A63" i="3"/>
  <c r="E62" i="3"/>
  <c r="C62" i="3"/>
  <c r="A62" i="3"/>
  <c r="E61" i="3"/>
  <c r="C61" i="3"/>
  <c r="A61" i="3"/>
  <c r="E60" i="3"/>
  <c r="C60" i="3"/>
  <c r="A60" i="3"/>
  <c r="E59" i="3"/>
  <c r="C59" i="3"/>
  <c r="A59" i="3"/>
  <c r="E58" i="3"/>
  <c r="C58" i="3"/>
  <c r="A58" i="3"/>
  <c r="E57" i="3"/>
  <c r="C57" i="3"/>
  <c r="A57" i="3"/>
  <c r="E56" i="3"/>
  <c r="C56" i="3"/>
  <c r="A56" i="3"/>
  <c r="E55" i="3"/>
  <c r="C55" i="3"/>
  <c r="A55" i="3"/>
  <c r="E54" i="3"/>
  <c r="C54" i="3"/>
  <c r="A54" i="3"/>
  <c r="E53" i="3"/>
  <c r="C53" i="3"/>
  <c r="A53" i="3"/>
  <c r="E52" i="3"/>
  <c r="C52" i="3"/>
  <c r="A52" i="3"/>
  <c r="E51" i="3"/>
  <c r="C51" i="3"/>
  <c r="A51" i="3"/>
  <c r="E50" i="3"/>
  <c r="C50" i="3"/>
  <c r="A50" i="3"/>
  <c r="E49" i="3"/>
  <c r="C49" i="3"/>
  <c r="A49" i="3"/>
  <c r="E48" i="3"/>
  <c r="C48" i="3"/>
  <c r="A48" i="3"/>
  <c r="E47" i="3"/>
  <c r="C47" i="3"/>
  <c r="A47" i="3"/>
  <c r="E46" i="3"/>
  <c r="C46" i="3"/>
  <c r="A46" i="3"/>
  <c r="E45" i="3"/>
  <c r="C45" i="3"/>
  <c r="A45" i="3"/>
  <c r="E44" i="3"/>
  <c r="C44" i="3"/>
  <c r="A44" i="3"/>
  <c r="E43" i="3"/>
  <c r="C43" i="3"/>
  <c r="A43" i="3"/>
  <c r="E42" i="3"/>
  <c r="C42" i="3"/>
  <c r="A42" i="3"/>
  <c r="E41" i="3"/>
  <c r="C41" i="3"/>
  <c r="A41" i="3"/>
  <c r="E40" i="3"/>
  <c r="C40" i="3"/>
  <c r="A40" i="3"/>
  <c r="E39" i="3"/>
  <c r="C39" i="3"/>
  <c r="A39" i="3"/>
  <c r="E38" i="3"/>
  <c r="C38" i="3"/>
  <c r="A38" i="3"/>
  <c r="E37" i="3"/>
  <c r="C37" i="3"/>
  <c r="A37" i="3"/>
  <c r="E36" i="3"/>
  <c r="C36" i="3"/>
  <c r="A36" i="3"/>
  <c r="E35" i="3"/>
  <c r="C35" i="3"/>
  <c r="A35" i="3"/>
  <c r="E34" i="3"/>
  <c r="C34" i="3"/>
  <c r="A34" i="3"/>
  <c r="E33" i="3"/>
  <c r="C33" i="3"/>
  <c r="A33" i="3"/>
  <c r="E32" i="3"/>
  <c r="C32" i="3"/>
  <c r="A32" i="3"/>
  <c r="E31" i="3"/>
  <c r="C31" i="3"/>
  <c r="A31" i="3"/>
  <c r="E30" i="3"/>
  <c r="C30" i="3"/>
  <c r="A30" i="3"/>
  <c r="E29" i="3"/>
  <c r="C29" i="3"/>
  <c r="A29" i="3"/>
  <c r="E28" i="3"/>
  <c r="C28" i="3"/>
  <c r="A28" i="3"/>
  <c r="E27" i="3"/>
  <c r="C27" i="3"/>
  <c r="A27" i="3"/>
  <c r="E26" i="3"/>
  <c r="C26" i="3"/>
  <c r="A26" i="3"/>
  <c r="E25" i="3"/>
  <c r="C25" i="3"/>
  <c r="A25" i="3"/>
  <c r="E24" i="3"/>
  <c r="C24" i="3"/>
  <c r="A24" i="3"/>
  <c r="E23" i="3"/>
  <c r="C23" i="3"/>
  <c r="A23" i="3"/>
  <c r="E22" i="3"/>
  <c r="C22" i="3"/>
  <c r="A22" i="3"/>
  <c r="E21" i="3"/>
  <c r="C21" i="3"/>
  <c r="A21" i="3"/>
  <c r="E20" i="3"/>
  <c r="C20" i="3"/>
  <c r="A20" i="3"/>
  <c r="E19" i="3"/>
  <c r="C19" i="3"/>
  <c r="A19" i="3"/>
  <c r="E18" i="3"/>
  <c r="C18" i="3"/>
  <c r="A18" i="3"/>
  <c r="E17" i="3"/>
  <c r="C17" i="3"/>
  <c r="A17" i="3"/>
  <c r="C416" i="3"/>
  <c r="A415" i="3"/>
  <c r="C414" i="3"/>
  <c r="A413" i="3"/>
  <c r="C412" i="3"/>
  <c r="A411" i="3"/>
  <c r="C410" i="3"/>
  <c r="A409" i="3"/>
  <c r="C408" i="3"/>
  <c r="A407" i="3"/>
  <c r="C406" i="3"/>
  <c r="F405" i="3"/>
  <c r="B405" i="3"/>
  <c r="F404" i="3"/>
  <c r="B404" i="3"/>
  <c r="F403" i="3"/>
  <c r="B403" i="3"/>
  <c r="F402" i="3"/>
  <c r="B402" i="3"/>
  <c r="F401" i="3"/>
  <c r="B401" i="3"/>
  <c r="F400" i="3"/>
  <c r="B400" i="3"/>
  <c r="F399" i="3"/>
  <c r="B399" i="3"/>
  <c r="F398" i="3"/>
  <c r="B398" i="3"/>
  <c r="F397" i="3"/>
  <c r="B397" i="3"/>
  <c r="F396" i="3"/>
  <c r="B396" i="3"/>
  <c r="F395" i="3"/>
  <c r="B395" i="3"/>
  <c r="F394" i="3"/>
  <c r="B394" i="3"/>
  <c r="F393" i="3"/>
  <c r="B393" i="3"/>
  <c r="F392" i="3"/>
  <c r="B392" i="3"/>
  <c r="F391" i="3"/>
  <c r="B391" i="3"/>
  <c r="F390" i="3"/>
  <c r="B390" i="3"/>
  <c r="F389" i="3"/>
  <c r="B389" i="3"/>
  <c r="F388" i="3"/>
  <c r="B388" i="3"/>
  <c r="F387" i="3"/>
  <c r="B387" i="3"/>
  <c r="F386" i="3"/>
  <c r="B386" i="3"/>
  <c r="F385" i="3"/>
  <c r="B385" i="3"/>
  <c r="F384" i="3"/>
  <c r="B384" i="3"/>
  <c r="F383" i="3"/>
  <c r="B383" i="3"/>
  <c r="F382" i="3"/>
  <c r="B382" i="3"/>
  <c r="F381" i="3"/>
  <c r="B381" i="3"/>
  <c r="F380" i="3"/>
  <c r="B380" i="3"/>
  <c r="F379" i="3"/>
  <c r="B379" i="3"/>
  <c r="F378" i="3"/>
  <c r="B378" i="3"/>
  <c r="F377" i="3"/>
  <c r="B377" i="3"/>
  <c r="F376" i="3"/>
  <c r="B376" i="3"/>
  <c r="F375" i="3"/>
  <c r="B375" i="3"/>
  <c r="F374" i="3"/>
  <c r="B374" i="3"/>
  <c r="F373" i="3"/>
  <c r="B373" i="3"/>
  <c r="F372" i="3"/>
  <c r="B372" i="3"/>
  <c r="F371" i="3"/>
  <c r="B371" i="3"/>
  <c r="F370" i="3"/>
  <c r="B370" i="3"/>
  <c r="F369" i="3"/>
  <c r="B369" i="3"/>
  <c r="F368" i="3"/>
  <c r="B368" i="3"/>
  <c r="F367" i="3"/>
  <c r="B367" i="3"/>
  <c r="F366" i="3"/>
  <c r="B366" i="3"/>
  <c r="F365" i="3"/>
  <c r="B365" i="3"/>
  <c r="F364" i="3"/>
  <c r="B364" i="3"/>
  <c r="F363" i="3"/>
  <c r="B363" i="3"/>
  <c r="F362" i="3"/>
  <c r="B362" i="3"/>
  <c r="F361" i="3"/>
  <c r="B361" i="3"/>
  <c r="F360" i="3"/>
  <c r="B360" i="3"/>
  <c r="F359" i="3"/>
  <c r="B359" i="3"/>
  <c r="F358" i="3"/>
  <c r="B358" i="3"/>
  <c r="F357" i="3"/>
  <c r="B357" i="3"/>
  <c r="F356" i="3"/>
  <c r="B356" i="3"/>
  <c r="F355" i="3"/>
  <c r="B355" i="3"/>
  <c r="F354" i="3"/>
  <c r="B354" i="3"/>
  <c r="F353" i="3"/>
  <c r="B353" i="3"/>
  <c r="F352" i="3"/>
  <c r="B352" i="3"/>
  <c r="F351" i="3"/>
  <c r="B351" i="3"/>
  <c r="F350" i="3"/>
  <c r="B350" i="3"/>
  <c r="F349" i="3"/>
  <c r="B349" i="3"/>
  <c r="F348" i="3"/>
  <c r="B348" i="3"/>
  <c r="F347" i="3"/>
  <c r="B347" i="3"/>
  <c r="F346" i="3"/>
  <c r="B346" i="3"/>
  <c r="F345" i="3"/>
  <c r="B345" i="3"/>
  <c r="F344" i="3"/>
  <c r="B344" i="3"/>
  <c r="F343" i="3"/>
  <c r="B343" i="3"/>
  <c r="F342" i="3"/>
  <c r="B342" i="3"/>
  <c r="F341" i="3"/>
  <c r="B341" i="3"/>
  <c r="F340" i="3"/>
  <c r="B340" i="3"/>
  <c r="F339" i="3"/>
  <c r="B339" i="3"/>
  <c r="F338" i="3"/>
  <c r="B338" i="3"/>
  <c r="F337" i="3"/>
  <c r="B337" i="3"/>
  <c r="F336" i="3"/>
  <c r="B336" i="3"/>
  <c r="F335" i="3"/>
  <c r="B335" i="3"/>
  <c r="F334" i="3"/>
  <c r="B334" i="3"/>
  <c r="F333" i="3"/>
  <c r="B333" i="3"/>
  <c r="F332" i="3"/>
  <c r="B332" i="3"/>
  <c r="F331" i="3"/>
  <c r="B331" i="3"/>
  <c r="F330" i="3"/>
  <c r="B330" i="3"/>
  <c r="F329" i="3"/>
  <c r="B329" i="3"/>
  <c r="F328" i="3"/>
  <c r="B328" i="3"/>
  <c r="F327" i="3"/>
  <c r="B327" i="3"/>
  <c r="F326" i="3"/>
  <c r="B326" i="3"/>
  <c r="F325" i="3"/>
  <c r="B325" i="3"/>
  <c r="F324" i="3"/>
  <c r="B324" i="3"/>
  <c r="F323" i="3"/>
  <c r="B323" i="3"/>
  <c r="F322" i="3"/>
  <c r="B322" i="3"/>
  <c r="F321" i="3"/>
  <c r="B321" i="3"/>
  <c r="F320" i="3"/>
  <c r="B320" i="3"/>
  <c r="F319" i="3"/>
  <c r="B319" i="3"/>
  <c r="F318" i="3"/>
  <c r="B318" i="3"/>
  <c r="F317" i="3"/>
  <c r="B317" i="3"/>
  <c r="F316" i="3"/>
  <c r="B316" i="3"/>
  <c r="F315" i="3"/>
  <c r="B315" i="3"/>
  <c r="F314" i="3"/>
  <c r="B314" i="3"/>
  <c r="F313" i="3"/>
  <c r="B313" i="3"/>
  <c r="F312" i="3"/>
  <c r="B312" i="3"/>
  <c r="F311" i="3"/>
  <c r="B311" i="3"/>
  <c r="F310" i="3"/>
  <c r="B310" i="3"/>
  <c r="F309" i="3"/>
  <c r="B309" i="3"/>
  <c r="F308" i="3"/>
  <c r="B308" i="3"/>
  <c r="F307" i="3"/>
  <c r="B307" i="3"/>
  <c r="F306" i="3"/>
  <c r="B306" i="3"/>
  <c r="F305" i="3"/>
  <c r="B305" i="3"/>
  <c r="F304" i="3"/>
  <c r="B304" i="3"/>
  <c r="F303" i="3"/>
  <c r="B303" i="3"/>
  <c r="F302" i="3"/>
  <c r="B302" i="3"/>
  <c r="F301" i="3"/>
  <c r="B301" i="3"/>
  <c r="F300" i="3"/>
  <c r="B300" i="3"/>
  <c r="F299" i="3"/>
  <c r="B299" i="3"/>
  <c r="F298" i="3"/>
  <c r="B298" i="3"/>
  <c r="F297" i="3"/>
  <c r="B297" i="3"/>
  <c r="F296" i="3"/>
  <c r="B296" i="3"/>
  <c r="F295" i="3"/>
  <c r="B295" i="3"/>
  <c r="F294" i="3"/>
  <c r="B294" i="3"/>
  <c r="F293" i="3"/>
  <c r="B293" i="3"/>
  <c r="F292" i="3"/>
  <c r="B292" i="3"/>
  <c r="F291" i="3"/>
  <c r="B291" i="3"/>
  <c r="F290" i="3"/>
  <c r="B290" i="3"/>
  <c r="F289" i="3"/>
  <c r="B289" i="3"/>
  <c r="F288" i="3"/>
  <c r="B288" i="3"/>
  <c r="F287" i="3"/>
  <c r="B287" i="3"/>
  <c r="F286" i="3"/>
  <c r="B286" i="3"/>
  <c r="F285" i="3"/>
  <c r="B285" i="3"/>
  <c r="F284" i="3"/>
  <c r="B284" i="3"/>
  <c r="F283" i="3"/>
  <c r="B283" i="3"/>
  <c r="F282" i="3"/>
  <c r="B282" i="3"/>
  <c r="F281" i="3"/>
  <c r="B281" i="3"/>
  <c r="F280" i="3"/>
  <c r="B280" i="3"/>
  <c r="F279" i="3"/>
  <c r="B279" i="3"/>
  <c r="F278" i="3"/>
  <c r="B278" i="3"/>
  <c r="F277" i="3"/>
  <c r="B277" i="3"/>
  <c r="F276" i="3"/>
  <c r="B276" i="3"/>
  <c r="F275" i="3"/>
  <c r="B275" i="3"/>
  <c r="F274" i="3"/>
  <c r="B274" i="3"/>
  <c r="F273" i="3"/>
  <c r="B273" i="3"/>
  <c r="F272" i="3"/>
  <c r="B272" i="3"/>
  <c r="F271" i="3"/>
  <c r="B271" i="3"/>
  <c r="F270" i="3"/>
  <c r="B270" i="3"/>
  <c r="F269" i="3"/>
  <c r="B269" i="3"/>
  <c r="F268" i="3"/>
  <c r="B268" i="3"/>
  <c r="F267" i="3"/>
  <c r="B267" i="3"/>
  <c r="F266" i="3"/>
  <c r="B266" i="3"/>
  <c r="F265" i="3"/>
  <c r="B265" i="3"/>
  <c r="F264" i="3"/>
  <c r="B264" i="3"/>
  <c r="F263" i="3"/>
  <c r="B263" i="3"/>
  <c r="F262" i="3"/>
  <c r="B262" i="3"/>
  <c r="F261" i="3"/>
  <c r="B261" i="3"/>
  <c r="F260" i="3"/>
  <c r="B260" i="3"/>
  <c r="F259" i="3"/>
  <c r="B259" i="3"/>
  <c r="F258" i="3"/>
  <c r="B258" i="3"/>
  <c r="F257" i="3"/>
  <c r="B257" i="3"/>
  <c r="F256" i="3"/>
  <c r="B256" i="3"/>
  <c r="F255" i="3"/>
  <c r="B255" i="3"/>
  <c r="F254" i="3"/>
  <c r="B254" i="3"/>
  <c r="F253" i="3"/>
  <c r="B253" i="3"/>
  <c r="F252" i="3"/>
  <c r="B252" i="3"/>
  <c r="F251" i="3"/>
  <c r="B251" i="3"/>
  <c r="F250" i="3"/>
  <c r="B250" i="3"/>
  <c r="F249" i="3"/>
  <c r="B249" i="3"/>
  <c r="F248" i="3"/>
  <c r="B248" i="3"/>
  <c r="F247" i="3"/>
  <c r="B247" i="3"/>
  <c r="F246" i="3"/>
  <c r="B246" i="3"/>
  <c r="F245" i="3"/>
  <c r="B245" i="3"/>
  <c r="F244" i="3"/>
  <c r="B244" i="3"/>
  <c r="F243" i="3"/>
  <c r="B243" i="3"/>
  <c r="F242" i="3"/>
  <c r="B242" i="3"/>
  <c r="F241" i="3"/>
  <c r="B241" i="3"/>
  <c r="F240" i="3"/>
  <c r="B240" i="3"/>
  <c r="F239" i="3"/>
  <c r="B239" i="3"/>
  <c r="F238" i="3"/>
  <c r="B238" i="3"/>
  <c r="F237" i="3"/>
  <c r="B237" i="3"/>
  <c r="F236" i="3"/>
  <c r="B236" i="3"/>
  <c r="F235" i="3"/>
  <c r="B235" i="3"/>
  <c r="F234" i="3"/>
  <c r="B234" i="3"/>
  <c r="F233" i="3"/>
  <c r="B233" i="3"/>
  <c r="F232" i="3"/>
  <c r="B232" i="3"/>
  <c r="F231" i="3"/>
  <c r="B231" i="3"/>
  <c r="F230" i="3"/>
  <c r="B230" i="3"/>
  <c r="F229" i="3"/>
  <c r="B229" i="3"/>
  <c r="F228" i="3"/>
  <c r="B228" i="3"/>
  <c r="F227" i="3"/>
  <c r="B227" i="3"/>
  <c r="F226" i="3"/>
  <c r="B226" i="3"/>
  <c r="F225" i="3"/>
  <c r="B225" i="3"/>
  <c r="F224" i="3"/>
  <c r="B224" i="3"/>
  <c r="F223" i="3"/>
  <c r="B223" i="3"/>
  <c r="F222" i="3"/>
  <c r="B222" i="3"/>
  <c r="F221" i="3"/>
  <c r="B221" i="3"/>
  <c r="F220" i="3"/>
  <c r="B220" i="3"/>
  <c r="F219" i="3"/>
  <c r="B219" i="3"/>
  <c r="F218" i="3"/>
  <c r="B218" i="3"/>
  <c r="F217" i="3"/>
  <c r="B217" i="3"/>
  <c r="F216" i="3"/>
  <c r="B216" i="3"/>
  <c r="F215" i="3"/>
  <c r="B215" i="3"/>
  <c r="F214" i="3"/>
  <c r="B214" i="3"/>
  <c r="F213" i="3"/>
  <c r="B213" i="3"/>
  <c r="F212" i="3"/>
  <c r="B212" i="3"/>
  <c r="F211" i="3"/>
  <c r="B211" i="3"/>
  <c r="F210" i="3"/>
  <c r="B210" i="3"/>
  <c r="F209" i="3"/>
  <c r="B209" i="3"/>
  <c r="F208" i="3"/>
  <c r="B208" i="3"/>
  <c r="F207" i="3"/>
  <c r="B207" i="3"/>
  <c r="F206" i="3"/>
  <c r="B206" i="3"/>
  <c r="F205" i="3"/>
  <c r="B205" i="3"/>
  <c r="F204" i="3"/>
  <c r="B204" i="3"/>
  <c r="F203" i="3"/>
  <c r="B203" i="3"/>
  <c r="F202" i="3"/>
  <c r="B202" i="3"/>
  <c r="F201" i="3"/>
  <c r="B201" i="3"/>
  <c r="F200" i="3"/>
  <c r="B200" i="3"/>
  <c r="F199" i="3"/>
  <c r="B199" i="3"/>
  <c r="F198" i="3"/>
  <c r="B198" i="3"/>
  <c r="F197" i="3"/>
  <c r="B197" i="3"/>
  <c r="F196" i="3"/>
  <c r="B196" i="3"/>
  <c r="F195" i="3"/>
  <c r="B195" i="3"/>
  <c r="F194" i="3"/>
  <c r="B194" i="3"/>
  <c r="F193" i="3"/>
  <c r="B193" i="3"/>
  <c r="F192" i="3"/>
  <c r="B192" i="3"/>
  <c r="F191" i="3"/>
  <c r="B191" i="3"/>
  <c r="F190" i="3"/>
  <c r="B190" i="3"/>
  <c r="F189" i="3"/>
  <c r="B189" i="3"/>
  <c r="F188" i="3"/>
  <c r="B188" i="3"/>
  <c r="F187" i="3"/>
  <c r="B187" i="3"/>
  <c r="F186" i="3"/>
  <c r="B186" i="3"/>
  <c r="F185" i="3"/>
  <c r="B185" i="3"/>
  <c r="F184" i="3"/>
  <c r="B184" i="3"/>
  <c r="F183" i="3"/>
  <c r="B183" i="3"/>
  <c r="F182" i="3"/>
  <c r="B182" i="3"/>
  <c r="F181" i="3"/>
  <c r="B181" i="3"/>
  <c r="F180" i="3"/>
  <c r="B180" i="3"/>
  <c r="F179" i="3"/>
  <c r="B179" i="3"/>
  <c r="F178" i="3"/>
  <c r="B178" i="3"/>
  <c r="F177" i="3"/>
  <c r="B177" i="3"/>
  <c r="F176" i="3"/>
  <c r="B176" i="3"/>
  <c r="F175" i="3"/>
  <c r="B175" i="3"/>
  <c r="F174" i="3"/>
  <c r="B174" i="3"/>
  <c r="F173" i="3"/>
  <c r="B173" i="3"/>
  <c r="F172" i="3"/>
  <c r="B172" i="3"/>
  <c r="F171" i="3"/>
  <c r="B171" i="3"/>
  <c r="F170" i="3"/>
  <c r="B170" i="3"/>
  <c r="F169" i="3"/>
  <c r="B169" i="3"/>
  <c r="F168" i="3"/>
  <c r="B168" i="3"/>
  <c r="F167" i="3"/>
  <c r="B167" i="3"/>
  <c r="F166" i="3"/>
  <c r="B166" i="3"/>
  <c r="F165" i="3"/>
  <c r="B165" i="3"/>
  <c r="F164" i="3"/>
  <c r="B164" i="3"/>
  <c r="F163" i="3"/>
  <c r="B163" i="3"/>
  <c r="F162" i="3"/>
  <c r="B162" i="3"/>
  <c r="F161" i="3"/>
  <c r="B161" i="3"/>
  <c r="F160" i="3"/>
  <c r="B160" i="3"/>
  <c r="F159" i="3"/>
  <c r="B159" i="3"/>
  <c r="F158" i="3"/>
  <c r="B158" i="3"/>
  <c r="F157" i="3"/>
  <c r="B157" i="3"/>
  <c r="F156" i="3"/>
  <c r="B156" i="3"/>
  <c r="F155" i="3"/>
  <c r="B155" i="3"/>
  <c r="F154" i="3"/>
  <c r="B154" i="3"/>
  <c r="F153" i="3"/>
  <c r="B153" i="3"/>
  <c r="F152" i="3"/>
  <c r="B152" i="3"/>
  <c r="F151" i="3"/>
  <c r="B151" i="3"/>
  <c r="F150" i="3"/>
  <c r="B150" i="3"/>
  <c r="F149" i="3"/>
  <c r="B149" i="3"/>
  <c r="F148" i="3"/>
  <c r="B148" i="3"/>
  <c r="F147" i="3"/>
  <c r="B147" i="3"/>
  <c r="F146" i="3"/>
  <c r="B146" i="3"/>
  <c r="F145" i="3"/>
  <c r="B145" i="3"/>
  <c r="F144" i="3"/>
  <c r="B144" i="3"/>
  <c r="F143" i="3"/>
  <c r="B143" i="3"/>
  <c r="F142" i="3"/>
  <c r="B142" i="3"/>
  <c r="F141" i="3"/>
  <c r="B141" i="3"/>
  <c r="F140" i="3"/>
  <c r="B140" i="3"/>
  <c r="F139" i="3"/>
  <c r="B139" i="3"/>
  <c r="F138" i="3"/>
  <c r="B138" i="3"/>
  <c r="F137" i="3"/>
  <c r="B137" i="3"/>
  <c r="F136" i="3"/>
  <c r="B136" i="3"/>
  <c r="F135" i="3"/>
  <c r="B135" i="3"/>
  <c r="F134" i="3"/>
  <c r="B134" i="3"/>
  <c r="F133" i="3"/>
  <c r="B133" i="3"/>
  <c r="F132" i="3"/>
  <c r="B132" i="3"/>
  <c r="F131" i="3"/>
  <c r="B131" i="3"/>
  <c r="F130" i="3"/>
  <c r="B130" i="3"/>
  <c r="F129" i="3"/>
  <c r="B129" i="3"/>
  <c r="F128" i="3"/>
  <c r="B128" i="3"/>
  <c r="F127" i="3"/>
  <c r="B127" i="3"/>
  <c r="F126" i="3"/>
  <c r="B126" i="3"/>
  <c r="F125" i="3"/>
  <c r="B125" i="3"/>
  <c r="F124" i="3"/>
  <c r="B124" i="3"/>
  <c r="F123" i="3"/>
  <c r="B123" i="3"/>
  <c r="F122" i="3"/>
  <c r="B122" i="3"/>
  <c r="F121" i="3"/>
  <c r="B121" i="3"/>
  <c r="F120" i="3"/>
  <c r="B120" i="3"/>
  <c r="F119" i="3"/>
  <c r="B119" i="3"/>
  <c r="F118" i="3"/>
  <c r="B118" i="3"/>
  <c r="F117" i="3"/>
  <c r="B117" i="3"/>
  <c r="F116" i="3"/>
  <c r="B116" i="3"/>
  <c r="F115" i="3"/>
  <c r="B115" i="3"/>
  <c r="F114" i="3"/>
  <c r="B114" i="3"/>
  <c r="F113" i="3"/>
  <c r="B113" i="3"/>
  <c r="F112" i="3"/>
  <c r="B112" i="3"/>
  <c r="F111" i="3"/>
  <c r="B111" i="3"/>
  <c r="F110" i="3"/>
  <c r="B110" i="3"/>
  <c r="F109" i="3"/>
  <c r="B109" i="3"/>
  <c r="F108" i="3"/>
  <c r="B108" i="3"/>
  <c r="F107" i="3"/>
  <c r="B107" i="3"/>
  <c r="F106" i="3"/>
  <c r="B106" i="3"/>
  <c r="F105" i="3"/>
  <c r="B105" i="3"/>
  <c r="F104" i="3"/>
  <c r="B104" i="3"/>
  <c r="F103" i="3"/>
  <c r="B103" i="3"/>
  <c r="F102" i="3"/>
  <c r="B102" i="3"/>
  <c r="F101" i="3"/>
  <c r="B101" i="3"/>
  <c r="F100" i="3"/>
  <c r="B100" i="3"/>
  <c r="F99" i="3"/>
  <c r="B99" i="3"/>
  <c r="F98" i="3"/>
  <c r="B98" i="3"/>
  <c r="F97" i="3"/>
  <c r="B97" i="3"/>
  <c r="F96" i="3"/>
  <c r="B96" i="3"/>
  <c r="F95" i="3"/>
  <c r="B95" i="3"/>
  <c r="F94" i="3"/>
  <c r="B94" i="3"/>
  <c r="F93" i="3"/>
  <c r="B93" i="3"/>
  <c r="F92" i="3"/>
  <c r="B92" i="3"/>
  <c r="F91" i="3"/>
  <c r="B91" i="3"/>
  <c r="F90" i="3"/>
  <c r="B90" i="3"/>
  <c r="F89" i="3"/>
  <c r="B89" i="3"/>
  <c r="F88" i="3"/>
  <c r="B88" i="3"/>
  <c r="F87" i="3"/>
  <c r="B87" i="3"/>
  <c r="F86" i="3"/>
  <c r="B86" i="3"/>
  <c r="F85" i="3"/>
  <c r="B85" i="3"/>
  <c r="F84" i="3"/>
  <c r="B84" i="3"/>
  <c r="F83" i="3"/>
  <c r="B83" i="3"/>
  <c r="F82" i="3"/>
  <c r="B82" i="3"/>
  <c r="F81" i="3"/>
  <c r="B81" i="3"/>
  <c r="F80" i="3"/>
  <c r="B80" i="3"/>
  <c r="F79" i="3"/>
  <c r="B79" i="3"/>
  <c r="F78" i="3"/>
  <c r="B78" i="3"/>
  <c r="F77" i="3"/>
  <c r="B77" i="3"/>
  <c r="F76" i="3"/>
  <c r="B76" i="3"/>
  <c r="F75" i="3"/>
  <c r="B75" i="3"/>
  <c r="F74" i="3"/>
  <c r="B74" i="3"/>
  <c r="F73" i="3"/>
  <c r="B73" i="3"/>
  <c r="F72" i="3"/>
  <c r="B72" i="3"/>
  <c r="F71" i="3"/>
  <c r="B71" i="3"/>
  <c r="F70" i="3"/>
  <c r="B70" i="3"/>
  <c r="F69" i="3"/>
  <c r="B69" i="3"/>
  <c r="F68" i="3"/>
  <c r="B68" i="3"/>
  <c r="F67" i="3"/>
  <c r="B67" i="3"/>
  <c r="F66" i="3"/>
  <c r="B66" i="3"/>
  <c r="F65" i="3"/>
  <c r="B65" i="3"/>
  <c r="F64" i="3"/>
  <c r="B64" i="3"/>
  <c r="F63" i="3"/>
  <c r="B63" i="3"/>
  <c r="F62" i="3"/>
  <c r="B62" i="3"/>
  <c r="F61" i="3"/>
  <c r="B61" i="3"/>
  <c r="F60" i="3"/>
  <c r="B60" i="3"/>
  <c r="F59" i="3"/>
  <c r="B59" i="3"/>
  <c r="F58" i="3"/>
  <c r="B58" i="3"/>
  <c r="F57" i="3"/>
  <c r="B57" i="3"/>
  <c r="F56" i="3"/>
  <c r="B56" i="3"/>
  <c r="F55" i="3"/>
  <c r="B55" i="3"/>
  <c r="F54" i="3"/>
  <c r="B54" i="3"/>
  <c r="F53" i="3"/>
  <c r="B53" i="3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D20" i="3"/>
  <c r="F19" i="3"/>
  <c r="B19" i="3"/>
  <c r="D18" i="3"/>
  <c r="F17" i="3"/>
  <c r="B17" i="3"/>
  <c r="E415" i="3"/>
  <c r="E413" i="3"/>
  <c r="E411" i="3"/>
  <c r="E409" i="3"/>
  <c r="E407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F20" i="3"/>
  <c r="B20" i="3"/>
  <c r="D19" i="3"/>
  <c r="F18" i="3"/>
  <c r="B18" i="3"/>
  <c r="D17" i="3"/>
  <c r="C12" i="3" l="1"/>
  <c r="A12" i="3"/>
  <c r="E12" i="3"/>
  <c r="F516" i="2"/>
  <c r="D516" i="2"/>
  <c r="B516" i="2"/>
  <c r="F515" i="2"/>
  <c r="D515" i="2"/>
  <c r="B515" i="2"/>
  <c r="F514" i="2"/>
  <c r="D514" i="2"/>
  <c r="B514" i="2"/>
  <c r="F513" i="2"/>
  <c r="D513" i="2"/>
  <c r="B513" i="2"/>
  <c r="F512" i="2"/>
  <c r="D512" i="2"/>
  <c r="B512" i="2"/>
  <c r="F511" i="2"/>
  <c r="D511" i="2"/>
  <c r="B511" i="2"/>
  <c r="F510" i="2"/>
  <c r="D510" i="2"/>
  <c r="B510" i="2"/>
  <c r="F509" i="2"/>
  <c r="D509" i="2"/>
  <c r="B509" i="2"/>
  <c r="F508" i="2"/>
  <c r="D508" i="2"/>
  <c r="B508" i="2"/>
  <c r="F507" i="2"/>
  <c r="D507" i="2"/>
  <c r="B507" i="2"/>
  <c r="F506" i="2"/>
  <c r="D506" i="2"/>
  <c r="B506" i="2"/>
  <c r="F505" i="2"/>
  <c r="D505" i="2"/>
  <c r="B505" i="2"/>
  <c r="F504" i="2"/>
  <c r="D504" i="2"/>
  <c r="B504" i="2"/>
  <c r="F503" i="2"/>
  <c r="D503" i="2"/>
  <c r="B503" i="2"/>
  <c r="F502" i="2"/>
  <c r="D502" i="2"/>
  <c r="B502" i="2"/>
  <c r="F501" i="2"/>
  <c r="D501" i="2"/>
  <c r="B501" i="2"/>
  <c r="F500" i="2"/>
  <c r="D500" i="2"/>
  <c r="B500" i="2"/>
  <c r="F499" i="2"/>
  <c r="D499" i="2"/>
  <c r="B499" i="2"/>
  <c r="F498" i="2"/>
  <c r="D498" i="2"/>
  <c r="B498" i="2"/>
  <c r="F497" i="2"/>
  <c r="D497" i="2"/>
  <c r="B497" i="2"/>
  <c r="F496" i="2"/>
  <c r="D496" i="2"/>
  <c r="B496" i="2"/>
  <c r="F495" i="2"/>
  <c r="D495" i="2"/>
  <c r="B495" i="2"/>
  <c r="F494" i="2"/>
  <c r="D494" i="2"/>
  <c r="B494" i="2"/>
  <c r="F493" i="2"/>
  <c r="D493" i="2"/>
  <c r="B493" i="2"/>
  <c r="F492" i="2"/>
  <c r="D492" i="2"/>
  <c r="B492" i="2"/>
  <c r="F491" i="2"/>
  <c r="D491" i="2"/>
  <c r="B491" i="2"/>
  <c r="F490" i="2"/>
  <c r="D490" i="2"/>
  <c r="B490" i="2"/>
  <c r="F489" i="2"/>
  <c r="D489" i="2"/>
  <c r="B489" i="2"/>
  <c r="F488" i="2"/>
  <c r="D488" i="2"/>
  <c r="B488" i="2"/>
  <c r="F487" i="2"/>
  <c r="D487" i="2"/>
  <c r="B487" i="2"/>
  <c r="F486" i="2"/>
  <c r="D486" i="2"/>
  <c r="B486" i="2"/>
  <c r="F485" i="2"/>
  <c r="D485" i="2"/>
  <c r="B485" i="2"/>
  <c r="F484" i="2"/>
  <c r="D484" i="2"/>
  <c r="B484" i="2"/>
  <c r="F483" i="2"/>
  <c r="D483" i="2"/>
  <c r="B483" i="2"/>
  <c r="F482" i="2"/>
  <c r="D482" i="2"/>
  <c r="B482" i="2"/>
  <c r="F481" i="2"/>
  <c r="D481" i="2"/>
  <c r="B481" i="2"/>
  <c r="F480" i="2"/>
  <c r="D480" i="2"/>
  <c r="B480" i="2"/>
  <c r="F479" i="2"/>
  <c r="D479" i="2"/>
  <c r="B479" i="2"/>
  <c r="F478" i="2"/>
  <c r="D478" i="2"/>
  <c r="B478" i="2"/>
  <c r="F477" i="2"/>
  <c r="D477" i="2"/>
  <c r="B477" i="2"/>
  <c r="F476" i="2"/>
  <c r="D476" i="2"/>
  <c r="B476" i="2"/>
  <c r="F475" i="2"/>
  <c r="D475" i="2"/>
  <c r="B475" i="2"/>
  <c r="F474" i="2"/>
  <c r="D474" i="2"/>
  <c r="B474" i="2"/>
  <c r="F473" i="2"/>
  <c r="D473" i="2"/>
  <c r="B473" i="2"/>
  <c r="F472" i="2"/>
  <c r="D472" i="2"/>
  <c r="B472" i="2"/>
  <c r="F471" i="2"/>
  <c r="D471" i="2"/>
  <c r="B471" i="2"/>
  <c r="F470" i="2"/>
  <c r="D470" i="2"/>
  <c r="B470" i="2"/>
  <c r="F469" i="2"/>
  <c r="D469" i="2"/>
  <c r="B469" i="2"/>
  <c r="F468" i="2"/>
  <c r="D468" i="2"/>
  <c r="B468" i="2"/>
  <c r="F467" i="2"/>
  <c r="D467" i="2"/>
  <c r="B467" i="2"/>
  <c r="F466" i="2"/>
  <c r="D466" i="2"/>
  <c r="B466" i="2"/>
  <c r="F465" i="2"/>
  <c r="D465" i="2"/>
  <c r="B465" i="2"/>
  <c r="F464" i="2"/>
  <c r="D464" i="2"/>
  <c r="B464" i="2"/>
  <c r="F463" i="2"/>
  <c r="D463" i="2"/>
  <c r="B463" i="2"/>
  <c r="F462" i="2"/>
  <c r="D462" i="2"/>
  <c r="B462" i="2"/>
  <c r="F461" i="2"/>
  <c r="D461" i="2"/>
  <c r="B461" i="2"/>
  <c r="F460" i="2"/>
  <c r="D460" i="2"/>
  <c r="B460" i="2"/>
  <c r="F459" i="2"/>
  <c r="D459" i="2"/>
  <c r="B459" i="2"/>
  <c r="F458" i="2"/>
  <c r="D458" i="2"/>
  <c r="B458" i="2"/>
  <c r="F457" i="2"/>
  <c r="D457" i="2"/>
  <c r="B457" i="2"/>
  <c r="F456" i="2"/>
  <c r="D456" i="2"/>
  <c r="B456" i="2"/>
  <c r="F455" i="2"/>
  <c r="D455" i="2"/>
  <c r="B455" i="2"/>
  <c r="F454" i="2"/>
  <c r="D454" i="2"/>
  <c r="B454" i="2"/>
  <c r="F453" i="2"/>
  <c r="D453" i="2"/>
  <c r="B453" i="2"/>
  <c r="F452" i="2"/>
  <c r="D452" i="2"/>
  <c r="B452" i="2"/>
  <c r="F451" i="2"/>
  <c r="D451" i="2"/>
  <c r="B451" i="2"/>
  <c r="F450" i="2"/>
  <c r="D450" i="2"/>
  <c r="B450" i="2"/>
  <c r="F449" i="2"/>
  <c r="D449" i="2"/>
  <c r="B449" i="2"/>
  <c r="F448" i="2"/>
  <c r="D448" i="2"/>
  <c r="B448" i="2"/>
  <c r="F447" i="2"/>
  <c r="D447" i="2"/>
  <c r="B447" i="2"/>
  <c r="F446" i="2"/>
  <c r="D446" i="2"/>
  <c r="B446" i="2"/>
  <c r="F445" i="2"/>
  <c r="D445" i="2"/>
  <c r="B445" i="2"/>
  <c r="F444" i="2"/>
  <c r="D444" i="2"/>
  <c r="B444" i="2"/>
  <c r="F443" i="2"/>
  <c r="D443" i="2"/>
  <c r="B443" i="2"/>
  <c r="F442" i="2"/>
  <c r="D442" i="2"/>
  <c r="B442" i="2"/>
  <c r="F441" i="2"/>
  <c r="D441" i="2"/>
  <c r="B441" i="2"/>
  <c r="F440" i="2"/>
  <c r="D440" i="2"/>
  <c r="B440" i="2"/>
  <c r="F439" i="2"/>
  <c r="D439" i="2"/>
  <c r="B439" i="2"/>
  <c r="F438" i="2"/>
  <c r="D438" i="2"/>
  <c r="B438" i="2"/>
  <c r="F437" i="2"/>
  <c r="D437" i="2"/>
  <c r="B437" i="2"/>
  <c r="F436" i="2"/>
  <c r="D436" i="2"/>
  <c r="B436" i="2"/>
  <c r="F435" i="2"/>
  <c r="D435" i="2"/>
  <c r="B435" i="2"/>
  <c r="F434" i="2"/>
  <c r="D434" i="2"/>
  <c r="B434" i="2"/>
  <c r="F433" i="2"/>
  <c r="D433" i="2"/>
  <c r="B433" i="2"/>
  <c r="F432" i="2"/>
  <c r="D432" i="2"/>
  <c r="B432" i="2"/>
  <c r="F431" i="2"/>
  <c r="D431" i="2"/>
  <c r="B431" i="2"/>
  <c r="F430" i="2"/>
  <c r="D430" i="2"/>
  <c r="B430" i="2"/>
  <c r="F429" i="2"/>
  <c r="D429" i="2"/>
  <c r="B429" i="2"/>
  <c r="F428" i="2"/>
  <c r="D428" i="2"/>
  <c r="B428" i="2"/>
  <c r="F427" i="2"/>
  <c r="D427" i="2"/>
  <c r="B427" i="2"/>
  <c r="F426" i="2"/>
  <c r="D426" i="2"/>
  <c r="B426" i="2"/>
  <c r="F425" i="2"/>
  <c r="D425" i="2"/>
  <c r="B425" i="2"/>
  <c r="F424" i="2"/>
  <c r="D424" i="2"/>
  <c r="B424" i="2"/>
  <c r="F423" i="2"/>
  <c r="D423" i="2"/>
  <c r="B423" i="2"/>
  <c r="F422" i="2"/>
  <c r="D422" i="2"/>
  <c r="B422" i="2"/>
  <c r="F421" i="2"/>
  <c r="D421" i="2"/>
  <c r="B421" i="2"/>
  <c r="F420" i="2"/>
  <c r="D420" i="2"/>
  <c r="B420" i="2"/>
  <c r="F419" i="2"/>
  <c r="D419" i="2"/>
  <c r="B419" i="2"/>
  <c r="F418" i="2"/>
  <c r="D418" i="2"/>
  <c r="B418" i="2"/>
  <c r="F417" i="2"/>
  <c r="D417" i="2"/>
  <c r="B417" i="2"/>
  <c r="F416" i="2"/>
  <c r="D416" i="2"/>
  <c r="B416" i="2"/>
  <c r="F415" i="2"/>
  <c r="D415" i="2"/>
  <c r="B415" i="2"/>
  <c r="F414" i="2"/>
  <c r="D414" i="2"/>
  <c r="B414" i="2"/>
  <c r="F413" i="2"/>
  <c r="D413" i="2"/>
  <c r="B413" i="2"/>
  <c r="F412" i="2"/>
  <c r="D412" i="2"/>
  <c r="B412" i="2"/>
  <c r="F411" i="2"/>
  <c r="D411" i="2"/>
  <c r="B411" i="2"/>
  <c r="F410" i="2"/>
  <c r="D410" i="2"/>
  <c r="B410" i="2"/>
  <c r="F409" i="2"/>
  <c r="D409" i="2"/>
  <c r="B409" i="2"/>
  <c r="F408" i="2"/>
  <c r="D408" i="2"/>
  <c r="B408" i="2"/>
  <c r="F407" i="2"/>
  <c r="D407" i="2"/>
  <c r="B407" i="2"/>
  <c r="F406" i="2"/>
  <c r="D406" i="2"/>
  <c r="B406" i="2"/>
  <c r="F405" i="2"/>
  <c r="D405" i="2"/>
  <c r="B405" i="2"/>
  <c r="F404" i="2"/>
  <c r="D404" i="2"/>
  <c r="B404" i="2"/>
  <c r="F403" i="2"/>
  <c r="D403" i="2"/>
  <c r="B403" i="2"/>
  <c r="F402" i="2"/>
  <c r="D402" i="2"/>
  <c r="B402" i="2"/>
  <c r="F401" i="2"/>
  <c r="D401" i="2"/>
  <c r="B401" i="2"/>
  <c r="F400" i="2"/>
  <c r="D400" i="2"/>
  <c r="B400" i="2"/>
  <c r="F399" i="2"/>
  <c r="D399" i="2"/>
  <c r="B399" i="2"/>
  <c r="F398" i="2"/>
  <c r="D398" i="2"/>
  <c r="B398" i="2"/>
  <c r="F397" i="2"/>
  <c r="D397" i="2"/>
  <c r="B397" i="2"/>
  <c r="F396" i="2"/>
  <c r="D396" i="2"/>
  <c r="B396" i="2"/>
  <c r="F395" i="2"/>
  <c r="D395" i="2"/>
  <c r="B395" i="2"/>
  <c r="F394" i="2"/>
  <c r="D394" i="2"/>
  <c r="B394" i="2"/>
  <c r="F393" i="2"/>
  <c r="D393" i="2"/>
  <c r="B393" i="2"/>
  <c r="F392" i="2"/>
  <c r="D392" i="2"/>
  <c r="B392" i="2"/>
  <c r="F391" i="2"/>
  <c r="D391" i="2"/>
  <c r="B391" i="2"/>
  <c r="F390" i="2"/>
  <c r="D390" i="2"/>
  <c r="B390" i="2"/>
  <c r="F389" i="2"/>
  <c r="D389" i="2"/>
  <c r="B389" i="2"/>
  <c r="F388" i="2"/>
  <c r="D388" i="2"/>
  <c r="B388" i="2"/>
  <c r="F387" i="2"/>
  <c r="D387" i="2"/>
  <c r="B387" i="2"/>
  <c r="F386" i="2"/>
  <c r="D386" i="2"/>
  <c r="B386" i="2"/>
  <c r="F385" i="2"/>
  <c r="D385" i="2"/>
  <c r="B385" i="2"/>
  <c r="F384" i="2"/>
  <c r="D384" i="2"/>
  <c r="B384" i="2"/>
  <c r="F383" i="2"/>
  <c r="D383" i="2"/>
  <c r="B383" i="2"/>
  <c r="F382" i="2"/>
  <c r="D382" i="2"/>
  <c r="B382" i="2"/>
  <c r="F381" i="2"/>
  <c r="D381" i="2"/>
  <c r="B381" i="2"/>
  <c r="F380" i="2"/>
  <c r="D380" i="2"/>
  <c r="B380" i="2"/>
  <c r="F379" i="2"/>
  <c r="D379" i="2"/>
  <c r="B379" i="2"/>
  <c r="F378" i="2"/>
  <c r="D378" i="2"/>
  <c r="B378" i="2"/>
  <c r="F377" i="2"/>
  <c r="D377" i="2"/>
  <c r="B377" i="2"/>
  <c r="F376" i="2"/>
  <c r="D376" i="2"/>
  <c r="B376" i="2"/>
  <c r="F375" i="2"/>
  <c r="D375" i="2"/>
  <c r="B375" i="2"/>
  <c r="F374" i="2"/>
  <c r="D374" i="2"/>
  <c r="B374" i="2"/>
  <c r="F373" i="2"/>
  <c r="D373" i="2"/>
  <c r="B373" i="2"/>
  <c r="F372" i="2"/>
  <c r="D372" i="2"/>
  <c r="B372" i="2"/>
  <c r="F371" i="2"/>
  <c r="D371" i="2"/>
  <c r="B371" i="2"/>
  <c r="F370" i="2"/>
  <c r="D370" i="2"/>
  <c r="B370" i="2"/>
  <c r="F369" i="2"/>
  <c r="D369" i="2"/>
  <c r="B369" i="2"/>
  <c r="F368" i="2"/>
  <c r="D368" i="2"/>
  <c r="B368" i="2"/>
  <c r="F367" i="2"/>
  <c r="D367" i="2"/>
  <c r="B367" i="2"/>
  <c r="F366" i="2"/>
  <c r="D366" i="2"/>
  <c r="B366" i="2"/>
  <c r="F365" i="2"/>
  <c r="D365" i="2"/>
  <c r="B365" i="2"/>
  <c r="F364" i="2"/>
  <c r="D364" i="2"/>
  <c r="B364" i="2"/>
  <c r="F363" i="2"/>
  <c r="D363" i="2"/>
  <c r="B363" i="2"/>
  <c r="F362" i="2"/>
  <c r="D362" i="2"/>
  <c r="B362" i="2"/>
  <c r="F361" i="2"/>
  <c r="D361" i="2"/>
  <c r="B361" i="2"/>
  <c r="F360" i="2"/>
  <c r="D360" i="2"/>
  <c r="B360" i="2"/>
  <c r="F359" i="2"/>
  <c r="D359" i="2"/>
  <c r="B359" i="2"/>
  <c r="F358" i="2"/>
  <c r="D358" i="2"/>
  <c r="B358" i="2"/>
  <c r="F357" i="2"/>
  <c r="D357" i="2"/>
  <c r="B357" i="2"/>
  <c r="F356" i="2"/>
  <c r="D356" i="2"/>
  <c r="B356" i="2"/>
  <c r="F355" i="2"/>
  <c r="D355" i="2"/>
  <c r="B355" i="2"/>
  <c r="F354" i="2"/>
  <c r="D354" i="2"/>
  <c r="B354" i="2"/>
  <c r="F353" i="2"/>
  <c r="D353" i="2"/>
  <c r="B353" i="2"/>
  <c r="F352" i="2"/>
  <c r="D352" i="2"/>
  <c r="B352" i="2"/>
  <c r="F351" i="2"/>
  <c r="D351" i="2"/>
  <c r="B351" i="2"/>
  <c r="F350" i="2"/>
  <c r="D350" i="2"/>
  <c r="B350" i="2"/>
  <c r="F349" i="2"/>
  <c r="D349" i="2"/>
  <c r="B349" i="2"/>
  <c r="F348" i="2"/>
  <c r="D348" i="2"/>
  <c r="B348" i="2"/>
  <c r="F347" i="2"/>
  <c r="D347" i="2"/>
  <c r="B347" i="2"/>
  <c r="F346" i="2"/>
  <c r="D346" i="2"/>
  <c r="B346" i="2"/>
  <c r="F345" i="2"/>
  <c r="D345" i="2"/>
  <c r="B345" i="2"/>
  <c r="F344" i="2"/>
  <c r="D344" i="2"/>
  <c r="B344" i="2"/>
  <c r="F343" i="2"/>
  <c r="D343" i="2"/>
  <c r="B343" i="2"/>
  <c r="F342" i="2"/>
  <c r="D342" i="2"/>
  <c r="B342" i="2"/>
  <c r="F341" i="2"/>
  <c r="D341" i="2"/>
  <c r="B341" i="2"/>
  <c r="F340" i="2"/>
  <c r="D340" i="2"/>
  <c r="B340" i="2"/>
  <c r="F339" i="2"/>
  <c r="D339" i="2"/>
  <c r="B339" i="2"/>
  <c r="F338" i="2"/>
  <c r="D338" i="2"/>
  <c r="B338" i="2"/>
  <c r="F337" i="2"/>
  <c r="D337" i="2"/>
  <c r="B337" i="2"/>
  <c r="F336" i="2"/>
  <c r="D336" i="2"/>
  <c r="B336" i="2"/>
  <c r="F335" i="2"/>
  <c r="D335" i="2"/>
  <c r="B335" i="2"/>
  <c r="F334" i="2"/>
  <c r="D334" i="2"/>
  <c r="B334" i="2"/>
  <c r="F333" i="2"/>
  <c r="D333" i="2"/>
  <c r="B333" i="2"/>
  <c r="F332" i="2"/>
  <c r="D332" i="2"/>
  <c r="B332" i="2"/>
  <c r="F331" i="2"/>
  <c r="D331" i="2"/>
  <c r="B331" i="2"/>
  <c r="F330" i="2"/>
  <c r="D330" i="2"/>
  <c r="C516" i="2"/>
  <c r="E515" i="2"/>
  <c r="A515" i="2"/>
  <c r="C514" i="2"/>
  <c r="E513" i="2"/>
  <c r="A513" i="2"/>
  <c r="C512" i="2"/>
  <c r="E511" i="2"/>
  <c r="A511" i="2"/>
  <c r="C510" i="2"/>
  <c r="E509" i="2"/>
  <c r="A509" i="2"/>
  <c r="C508" i="2"/>
  <c r="E507" i="2"/>
  <c r="A507" i="2"/>
  <c r="C506" i="2"/>
  <c r="E505" i="2"/>
  <c r="A505" i="2"/>
  <c r="C504" i="2"/>
  <c r="E503" i="2"/>
  <c r="A503" i="2"/>
  <c r="C502" i="2"/>
  <c r="E501" i="2"/>
  <c r="A501" i="2"/>
  <c r="C500" i="2"/>
  <c r="E499" i="2"/>
  <c r="A499" i="2"/>
  <c r="C498" i="2"/>
  <c r="E497" i="2"/>
  <c r="A497" i="2"/>
  <c r="C496" i="2"/>
  <c r="E495" i="2"/>
  <c r="A495" i="2"/>
  <c r="C494" i="2"/>
  <c r="E493" i="2"/>
  <c r="A493" i="2"/>
  <c r="C492" i="2"/>
  <c r="E491" i="2"/>
  <c r="A491" i="2"/>
  <c r="C490" i="2"/>
  <c r="E489" i="2"/>
  <c r="A489" i="2"/>
  <c r="C488" i="2"/>
  <c r="E487" i="2"/>
  <c r="A487" i="2"/>
  <c r="C486" i="2"/>
  <c r="E485" i="2"/>
  <c r="A485" i="2"/>
  <c r="C484" i="2"/>
  <c r="E483" i="2"/>
  <c r="A483" i="2"/>
  <c r="C482" i="2"/>
  <c r="E481" i="2"/>
  <c r="A481" i="2"/>
  <c r="C480" i="2"/>
  <c r="E479" i="2"/>
  <c r="A479" i="2"/>
  <c r="C478" i="2"/>
  <c r="E477" i="2"/>
  <c r="A477" i="2"/>
  <c r="C476" i="2"/>
  <c r="E475" i="2"/>
  <c r="A475" i="2"/>
  <c r="C474" i="2"/>
  <c r="E473" i="2"/>
  <c r="A473" i="2"/>
  <c r="C472" i="2"/>
  <c r="E471" i="2"/>
  <c r="A471" i="2"/>
  <c r="C470" i="2"/>
  <c r="E469" i="2"/>
  <c r="A469" i="2"/>
  <c r="C468" i="2"/>
  <c r="E467" i="2"/>
  <c r="A467" i="2"/>
  <c r="C466" i="2"/>
  <c r="E465" i="2"/>
  <c r="A465" i="2"/>
  <c r="C464" i="2"/>
  <c r="E463" i="2"/>
  <c r="A463" i="2"/>
  <c r="C462" i="2"/>
  <c r="E461" i="2"/>
  <c r="A461" i="2"/>
  <c r="C460" i="2"/>
  <c r="E459" i="2"/>
  <c r="A459" i="2"/>
  <c r="C458" i="2"/>
  <c r="E457" i="2"/>
  <c r="A457" i="2"/>
  <c r="C456" i="2"/>
  <c r="E455" i="2"/>
  <c r="A455" i="2"/>
  <c r="C454" i="2"/>
  <c r="E453" i="2"/>
  <c r="A453" i="2"/>
  <c r="C452" i="2"/>
  <c r="E451" i="2"/>
  <c r="A451" i="2"/>
  <c r="C450" i="2"/>
  <c r="E449" i="2"/>
  <c r="A449" i="2"/>
  <c r="C448" i="2"/>
  <c r="E447" i="2"/>
  <c r="A447" i="2"/>
  <c r="C446" i="2"/>
  <c r="E445" i="2"/>
  <c r="A445" i="2"/>
  <c r="C444" i="2"/>
  <c r="E443" i="2"/>
  <c r="A443" i="2"/>
  <c r="C442" i="2"/>
  <c r="E441" i="2"/>
  <c r="A441" i="2"/>
  <c r="C440" i="2"/>
  <c r="E439" i="2"/>
  <c r="A439" i="2"/>
  <c r="C438" i="2"/>
  <c r="E437" i="2"/>
  <c r="A437" i="2"/>
  <c r="C436" i="2"/>
  <c r="E435" i="2"/>
  <c r="A435" i="2"/>
  <c r="C434" i="2"/>
  <c r="E433" i="2"/>
  <c r="A433" i="2"/>
  <c r="C432" i="2"/>
  <c r="E431" i="2"/>
  <c r="A431" i="2"/>
  <c r="C430" i="2"/>
  <c r="E429" i="2"/>
  <c r="A429" i="2"/>
  <c r="C428" i="2"/>
  <c r="E427" i="2"/>
  <c r="A427" i="2"/>
  <c r="C426" i="2"/>
  <c r="E425" i="2"/>
  <c r="A425" i="2"/>
  <c r="C424" i="2"/>
  <c r="E423" i="2"/>
  <c r="A423" i="2"/>
  <c r="C422" i="2"/>
  <c r="E421" i="2"/>
  <c r="A421" i="2"/>
  <c r="C420" i="2"/>
  <c r="E419" i="2"/>
  <c r="A419" i="2"/>
  <c r="C418" i="2"/>
  <c r="E417" i="2"/>
  <c r="A417" i="2"/>
  <c r="C416" i="2"/>
  <c r="E415" i="2"/>
  <c r="A415" i="2"/>
  <c r="C414" i="2"/>
  <c r="E413" i="2"/>
  <c r="A413" i="2"/>
  <c r="C412" i="2"/>
  <c r="E411" i="2"/>
  <c r="A411" i="2"/>
  <c r="C410" i="2"/>
  <c r="E409" i="2"/>
  <c r="A409" i="2"/>
  <c r="C408" i="2"/>
  <c r="E407" i="2"/>
  <c r="A407" i="2"/>
  <c r="C406" i="2"/>
  <c r="E405" i="2"/>
  <c r="A405" i="2"/>
  <c r="C404" i="2"/>
  <c r="E403" i="2"/>
  <c r="A403" i="2"/>
  <c r="C402" i="2"/>
  <c r="E401" i="2"/>
  <c r="A401" i="2"/>
  <c r="C400" i="2"/>
  <c r="E399" i="2"/>
  <c r="A399" i="2"/>
  <c r="C398" i="2"/>
  <c r="E397" i="2"/>
  <c r="A397" i="2"/>
  <c r="C396" i="2"/>
  <c r="E395" i="2"/>
  <c r="A395" i="2"/>
  <c r="C394" i="2"/>
  <c r="E393" i="2"/>
  <c r="A393" i="2"/>
  <c r="C392" i="2"/>
  <c r="E391" i="2"/>
  <c r="A391" i="2"/>
  <c r="C390" i="2"/>
  <c r="E389" i="2"/>
  <c r="A389" i="2"/>
  <c r="C388" i="2"/>
  <c r="E387" i="2"/>
  <c r="A387" i="2"/>
  <c r="C386" i="2"/>
  <c r="E385" i="2"/>
  <c r="A385" i="2"/>
  <c r="C384" i="2"/>
  <c r="E383" i="2"/>
  <c r="A383" i="2"/>
  <c r="C382" i="2"/>
  <c r="E381" i="2"/>
  <c r="A381" i="2"/>
  <c r="C380" i="2"/>
  <c r="E379" i="2"/>
  <c r="A379" i="2"/>
  <c r="C378" i="2"/>
  <c r="E377" i="2"/>
  <c r="A377" i="2"/>
  <c r="C376" i="2"/>
  <c r="E375" i="2"/>
  <c r="A375" i="2"/>
  <c r="C374" i="2"/>
  <c r="E373" i="2"/>
  <c r="A373" i="2"/>
  <c r="C372" i="2"/>
  <c r="E371" i="2"/>
  <c r="A371" i="2"/>
  <c r="C370" i="2"/>
  <c r="E369" i="2"/>
  <c r="A369" i="2"/>
  <c r="C368" i="2"/>
  <c r="E367" i="2"/>
  <c r="A367" i="2"/>
  <c r="C366" i="2"/>
  <c r="E365" i="2"/>
  <c r="A365" i="2"/>
  <c r="C364" i="2"/>
  <c r="E363" i="2"/>
  <c r="A363" i="2"/>
  <c r="C362" i="2"/>
  <c r="E361" i="2"/>
  <c r="A361" i="2"/>
  <c r="C360" i="2"/>
  <c r="E359" i="2"/>
  <c r="A359" i="2"/>
  <c r="C358" i="2"/>
  <c r="E357" i="2"/>
  <c r="A357" i="2"/>
  <c r="C356" i="2"/>
  <c r="E355" i="2"/>
  <c r="A355" i="2"/>
  <c r="C354" i="2"/>
  <c r="E353" i="2"/>
  <c r="A353" i="2"/>
  <c r="C352" i="2"/>
  <c r="E351" i="2"/>
  <c r="A351" i="2"/>
  <c r="C350" i="2"/>
  <c r="E349" i="2"/>
  <c r="A349" i="2"/>
  <c r="C348" i="2"/>
  <c r="E347" i="2"/>
  <c r="A347" i="2"/>
  <c r="C346" i="2"/>
  <c r="E345" i="2"/>
  <c r="A345" i="2"/>
  <c r="C344" i="2"/>
  <c r="E343" i="2"/>
  <c r="A343" i="2"/>
  <c r="C342" i="2"/>
  <c r="E341" i="2"/>
  <c r="A341" i="2"/>
  <c r="C340" i="2"/>
  <c r="E339" i="2"/>
  <c r="A339" i="2"/>
  <c r="C338" i="2"/>
  <c r="E337" i="2"/>
  <c r="A337" i="2"/>
  <c r="C336" i="2"/>
  <c r="E335" i="2"/>
  <c r="A335" i="2"/>
  <c r="C334" i="2"/>
  <c r="E333" i="2"/>
  <c r="A333" i="2"/>
  <c r="C332" i="2"/>
  <c r="E331" i="2"/>
  <c r="A331" i="2"/>
  <c r="C330" i="2"/>
  <c r="A330" i="2"/>
  <c r="C329" i="2"/>
  <c r="A329" i="2"/>
  <c r="E327" i="2"/>
  <c r="C327" i="2"/>
  <c r="A327" i="2"/>
  <c r="E325" i="2"/>
  <c r="C325" i="2"/>
  <c r="A325" i="2"/>
  <c r="E323" i="2"/>
  <c r="C323" i="2"/>
  <c r="A323" i="2"/>
  <c r="E321" i="2"/>
  <c r="C321" i="2"/>
  <c r="A321" i="2"/>
  <c r="E319" i="2"/>
  <c r="C319" i="2"/>
  <c r="A319" i="2"/>
  <c r="E317" i="2"/>
  <c r="C317" i="2"/>
  <c r="A317" i="2"/>
  <c r="E315" i="2"/>
  <c r="C315" i="2"/>
  <c r="A315" i="2"/>
  <c r="E313" i="2"/>
  <c r="C313" i="2"/>
  <c r="A313" i="2"/>
  <c r="E311" i="2"/>
  <c r="C311" i="2"/>
  <c r="A311" i="2"/>
  <c r="E309" i="2"/>
  <c r="C309" i="2"/>
  <c r="A309" i="2"/>
  <c r="E307" i="2"/>
  <c r="C307" i="2"/>
  <c r="A307" i="2"/>
  <c r="E305" i="2"/>
  <c r="C305" i="2"/>
  <c r="A305" i="2"/>
  <c r="E303" i="2"/>
  <c r="C303" i="2"/>
  <c r="A303" i="2"/>
  <c r="E301" i="2"/>
  <c r="C301" i="2"/>
  <c r="A301" i="2"/>
  <c r="E299" i="2"/>
  <c r="C299" i="2"/>
  <c r="A299" i="2"/>
  <c r="E297" i="2"/>
  <c r="C297" i="2"/>
  <c r="A297" i="2"/>
  <c r="E295" i="2"/>
  <c r="C295" i="2"/>
  <c r="A295" i="2"/>
  <c r="E293" i="2"/>
  <c r="C293" i="2"/>
  <c r="A293" i="2"/>
  <c r="E291" i="2"/>
  <c r="C291" i="2"/>
  <c r="A291" i="2"/>
  <c r="E289" i="2"/>
  <c r="C289" i="2"/>
  <c r="A289" i="2"/>
  <c r="E287" i="2"/>
  <c r="C287" i="2"/>
  <c r="A287" i="2"/>
  <c r="E285" i="2"/>
  <c r="C285" i="2"/>
  <c r="A285" i="2"/>
  <c r="E283" i="2"/>
  <c r="C283" i="2"/>
  <c r="A283" i="2"/>
  <c r="E281" i="2"/>
  <c r="C281" i="2"/>
  <c r="A281" i="2"/>
  <c r="E279" i="2"/>
  <c r="C279" i="2"/>
  <c r="A279" i="2"/>
  <c r="E277" i="2"/>
  <c r="C277" i="2"/>
  <c r="A277" i="2"/>
  <c r="E275" i="2"/>
  <c r="C275" i="2"/>
  <c r="A275" i="2"/>
  <c r="E273" i="2"/>
  <c r="C273" i="2"/>
  <c r="A273" i="2"/>
  <c r="E271" i="2"/>
  <c r="C271" i="2"/>
  <c r="A271" i="2"/>
  <c r="E269" i="2"/>
  <c r="C269" i="2"/>
  <c r="A269" i="2"/>
  <c r="E267" i="2"/>
  <c r="C267" i="2"/>
  <c r="A267" i="2"/>
  <c r="E265" i="2"/>
  <c r="C265" i="2"/>
  <c r="A265" i="2"/>
  <c r="E263" i="2"/>
  <c r="C263" i="2"/>
  <c r="A263" i="2"/>
  <c r="E261" i="2"/>
  <c r="C261" i="2"/>
  <c r="A261" i="2"/>
  <c r="E259" i="2"/>
  <c r="C259" i="2"/>
  <c r="A259" i="2"/>
  <c r="E257" i="2"/>
  <c r="C257" i="2"/>
  <c r="A257" i="2"/>
  <c r="E255" i="2"/>
  <c r="C255" i="2"/>
  <c r="A255" i="2"/>
  <c r="E253" i="2"/>
  <c r="C253" i="2"/>
  <c r="A253" i="2"/>
  <c r="E251" i="2"/>
  <c r="C251" i="2"/>
  <c r="A251" i="2"/>
  <c r="E249" i="2"/>
  <c r="C249" i="2"/>
  <c r="A249" i="2"/>
  <c r="E247" i="2"/>
  <c r="C247" i="2"/>
  <c r="A247" i="2"/>
  <c r="E245" i="2"/>
  <c r="C245" i="2"/>
  <c r="A245" i="2"/>
  <c r="E243" i="2"/>
  <c r="C243" i="2"/>
  <c r="A243" i="2"/>
  <c r="E241" i="2"/>
  <c r="C241" i="2"/>
  <c r="A241" i="2"/>
  <c r="E239" i="2"/>
  <c r="C239" i="2"/>
  <c r="A239" i="2"/>
  <c r="E237" i="2"/>
  <c r="C237" i="2"/>
  <c r="A237" i="2"/>
  <c r="E235" i="2"/>
  <c r="C235" i="2"/>
  <c r="A235" i="2"/>
  <c r="E233" i="2"/>
  <c r="C233" i="2"/>
  <c r="A233" i="2"/>
  <c r="E231" i="2"/>
  <c r="C231" i="2"/>
  <c r="A231" i="2"/>
  <c r="E229" i="2"/>
  <c r="C229" i="2"/>
  <c r="A229" i="2"/>
  <c r="E227" i="2"/>
  <c r="C227" i="2"/>
  <c r="A227" i="2"/>
  <c r="E225" i="2"/>
  <c r="C225" i="2"/>
  <c r="A225" i="2"/>
  <c r="E223" i="2"/>
  <c r="C223" i="2"/>
  <c r="A223" i="2"/>
  <c r="E221" i="2"/>
  <c r="C221" i="2"/>
  <c r="A221" i="2"/>
  <c r="E219" i="2"/>
  <c r="C219" i="2"/>
  <c r="A219" i="2"/>
  <c r="E217" i="2"/>
  <c r="C217" i="2"/>
  <c r="A217" i="2"/>
  <c r="E215" i="2"/>
  <c r="C215" i="2"/>
  <c r="A215" i="2"/>
  <c r="E213" i="2"/>
  <c r="C213" i="2"/>
  <c r="A213" i="2"/>
  <c r="E211" i="2"/>
  <c r="C211" i="2"/>
  <c r="A211" i="2"/>
  <c r="E209" i="2"/>
  <c r="C209" i="2"/>
  <c r="A209" i="2"/>
  <c r="E207" i="2"/>
  <c r="C207" i="2"/>
  <c r="A207" i="2"/>
  <c r="E205" i="2"/>
  <c r="C205" i="2"/>
  <c r="A205" i="2"/>
  <c r="E203" i="2"/>
  <c r="C203" i="2"/>
  <c r="A203" i="2"/>
  <c r="E201" i="2"/>
  <c r="C201" i="2"/>
  <c r="A201" i="2"/>
  <c r="E199" i="2"/>
  <c r="C199" i="2"/>
  <c r="A199" i="2"/>
  <c r="E197" i="2"/>
  <c r="C197" i="2"/>
  <c r="A197" i="2"/>
  <c r="E195" i="2"/>
  <c r="C195" i="2"/>
  <c r="A195" i="2"/>
  <c r="E193" i="2"/>
  <c r="C193" i="2"/>
  <c r="A193" i="2"/>
  <c r="E191" i="2"/>
  <c r="C191" i="2"/>
  <c r="A191" i="2"/>
  <c r="E189" i="2"/>
  <c r="C189" i="2"/>
  <c r="A189" i="2"/>
  <c r="E187" i="2"/>
  <c r="C187" i="2"/>
  <c r="A187" i="2"/>
  <c r="E185" i="2"/>
  <c r="C185" i="2"/>
  <c r="A185" i="2"/>
  <c r="E183" i="2"/>
  <c r="C183" i="2"/>
  <c r="A183" i="2"/>
  <c r="E181" i="2"/>
  <c r="C181" i="2"/>
  <c r="A181" i="2"/>
  <c r="E179" i="2"/>
  <c r="C179" i="2"/>
  <c r="A179" i="2"/>
  <c r="E177" i="2"/>
  <c r="C177" i="2"/>
  <c r="A177" i="2"/>
  <c r="E175" i="2"/>
  <c r="C175" i="2"/>
  <c r="A175" i="2"/>
  <c r="E173" i="2"/>
  <c r="C173" i="2"/>
  <c r="A173" i="2"/>
  <c r="E171" i="2"/>
  <c r="C171" i="2"/>
  <c r="A171" i="2"/>
  <c r="E169" i="2"/>
  <c r="C169" i="2"/>
  <c r="A169" i="2"/>
  <c r="E167" i="2"/>
  <c r="C167" i="2"/>
  <c r="A167" i="2"/>
  <c r="E165" i="2"/>
  <c r="C165" i="2"/>
  <c r="A165" i="2"/>
  <c r="E163" i="2"/>
  <c r="C163" i="2"/>
  <c r="A163" i="2"/>
  <c r="E161" i="2"/>
  <c r="C161" i="2"/>
  <c r="A161" i="2"/>
  <c r="E159" i="2"/>
  <c r="C159" i="2"/>
  <c r="A159" i="2"/>
  <c r="E157" i="2"/>
  <c r="C157" i="2"/>
  <c r="A157" i="2"/>
  <c r="E155" i="2"/>
  <c r="C155" i="2"/>
  <c r="A155" i="2"/>
  <c r="E153" i="2"/>
  <c r="C153" i="2"/>
  <c r="A153" i="2"/>
  <c r="E151" i="2"/>
  <c r="C151" i="2"/>
  <c r="A151" i="2"/>
  <c r="E149" i="2"/>
  <c r="C149" i="2"/>
  <c r="A149" i="2"/>
  <c r="E147" i="2"/>
  <c r="C147" i="2"/>
  <c r="A147" i="2"/>
  <c r="E145" i="2"/>
  <c r="C145" i="2"/>
  <c r="A145" i="2"/>
  <c r="E143" i="2"/>
  <c r="C143" i="2"/>
  <c r="A143" i="2"/>
  <c r="E141" i="2"/>
  <c r="C141" i="2"/>
  <c r="A141" i="2"/>
  <c r="E139" i="2"/>
  <c r="C139" i="2"/>
  <c r="A139" i="2"/>
  <c r="E137" i="2"/>
  <c r="C137" i="2"/>
  <c r="A137" i="2"/>
  <c r="E135" i="2"/>
  <c r="C135" i="2"/>
  <c r="A135" i="2"/>
  <c r="E133" i="2"/>
  <c r="C133" i="2"/>
  <c r="A133" i="2"/>
  <c r="E131" i="2"/>
  <c r="C131" i="2"/>
  <c r="A131" i="2"/>
  <c r="E129" i="2"/>
  <c r="C129" i="2"/>
  <c r="A129" i="2"/>
  <c r="E127" i="2"/>
  <c r="C127" i="2"/>
  <c r="A127" i="2"/>
  <c r="E125" i="2"/>
  <c r="C125" i="2"/>
  <c r="A125" i="2"/>
  <c r="E123" i="2"/>
  <c r="C123" i="2"/>
  <c r="A123" i="2"/>
  <c r="E121" i="2"/>
  <c r="C121" i="2"/>
  <c r="A121" i="2"/>
  <c r="E119" i="2"/>
  <c r="C119" i="2"/>
  <c r="A119" i="2"/>
  <c r="E115" i="2"/>
  <c r="C115" i="2"/>
  <c r="A115" i="2"/>
  <c r="E113" i="2"/>
  <c r="C113" i="2"/>
  <c r="A113" i="2"/>
  <c r="E111" i="2"/>
  <c r="C111" i="2"/>
  <c r="A111" i="2"/>
  <c r="E108" i="2"/>
  <c r="C108" i="2"/>
  <c r="A108" i="2"/>
  <c r="E106" i="2"/>
  <c r="C106" i="2"/>
  <c r="A106" i="2"/>
  <c r="E104" i="2"/>
  <c r="C104" i="2"/>
  <c r="A104" i="2"/>
  <c r="C102" i="2"/>
  <c r="E101" i="2"/>
  <c r="C101" i="2"/>
  <c r="A101" i="2"/>
  <c r="E99" i="2"/>
  <c r="C99" i="2"/>
  <c r="A99" i="2"/>
  <c r="E97" i="2"/>
  <c r="C97" i="2"/>
  <c r="A97" i="2"/>
  <c r="E95" i="2"/>
  <c r="C95" i="2"/>
  <c r="A95" i="2"/>
  <c r="E92" i="2"/>
  <c r="C92" i="2"/>
  <c r="A92" i="2"/>
  <c r="E90" i="2"/>
  <c r="C90" i="2"/>
  <c r="A90" i="2"/>
  <c r="E88" i="2"/>
  <c r="C88" i="2"/>
  <c r="A88" i="2"/>
  <c r="E86" i="2"/>
  <c r="C86" i="2"/>
  <c r="A86" i="2"/>
  <c r="E84" i="2"/>
  <c r="C84" i="2"/>
  <c r="A84" i="2"/>
  <c r="E82" i="2"/>
  <c r="C82" i="2"/>
  <c r="A82" i="2"/>
  <c r="E80" i="2"/>
  <c r="C80" i="2"/>
  <c r="A80" i="2"/>
  <c r="E78" i="2"/>
  <c r="C78" i="2"/>
  <c r="A78" i="2"/>
  <c r="E76" i="2"/>
  <c r="C76" i="2"/>
  <c r="A76" i="2"/>
  <c r="E74" i="2"/>
  <c r="C74" i="2"/>
  <c r="A74" i="2"/>
  <c r="E72" i="2"/>
  <c r="C72" i="2"/>
  <c r="A72" i="2"/>
  <c r="E70" i="2"/>
  <c r="C70" i="2"/>
  <c r="A70" i="2"/>
  <c r="E68" i="2"/>
  <c r="C68" i="2"/>
  <c r="A68" i="2"/>
  <c r="E66" i="2"/>
  <c r="C66" i="2"/>
  <c r="A66" i="2"/>
  <c r="E64" i="2"/>
  <c r="C64" i="2"/>
  <c r="A64" i="2"/>
  <c r="E62" i="2"/>
  <c r="C62" i="2"/>
  <c r="A62" i="2"/>
  <c r="E60" i="2"/>
  <c r="C60" i="2"/>
  <c r="A60" i="2"/>
  <c r="E58" i="2"/>
  <c r="C58" i="2"/>
  <c r="A58" i="2"/>
  <c r="E56" i="2"/>
  <c r="C56" i="2"/>
  <c r="A56" i="2"/>
  <c r="E54" i="2"/>
  <c r="C54" i="2"/>
  <c r="A54" i="2"/>
  <c r="E52" i="2"/>
  <c r="C52" i="2"/>
  <c r="A52" i="2"/>
  <c r="E50" i="2"/>
  <c r="A50" i="2"/>
  <c r="E48" i="2"/>
  <c r="E46" i="2"/>
  <c r="A46" i="2"/>
  <c r="E44" i="2"/>
  <c r="C44" i="2"/>
  <c r="A44" i="2"/>
  <c r="E42" i="2"/>
  <c r="C42" i="2"/>
  <c r="A42" i="2"/>
  <c r="E41" i="2"/>
  <c r="C41" i="2"/>
  <c r="A41" i="2"/>
  <c r="E39" i="2"/>
  <c r="C39" i="2"/>
  <c r="A39" i="2"/>
  <c r="E37" i="2"/>
  <c r="C37" i="2"/>
  <c r="A37" i="2"/>
  <c r="E35" i="2"/>
  <c r="C35" i="2"/>
  <c r="A35" i="2"/>
  <c r="E33" i="2"/>
  <c r="C33" i="2"/>
  <c r="A33" i="2"/>
  <c r="E31" i="2"/>
  <c r="C31" i="2"/>
  <c r="A31" i="2"/>
  <c r="E28" i="2"/>
  <c r="C28" i="2"/>
  <c r="A28" i="2"/>
  <c r="E27" i="2"/>
  <c r="C27" i="2"/>
  <c r="A27" i="2"/>
  <c r="E25" i="2"/>
  <c r="C25" i="2"/>
  <c r="A25" i="2"/>
  <c r="E23" i="2"/>
  <c r="C23" i="2"/>
  <c r="A23" i="2"/>
  <c r="E21" i="2"/>
  <c r="C21" i="2"/>
  <c r="A21" i="2"/>
  <c r="E19" i="2"/>
  <c r="C19" i="2"/>
  <c r="A19" i="2"/>
  <c r="E516" i="2"/>
  <c r="A516" i="2"/>
  <c r="C515" i="2"/>
  <c r="E514" i="2"/>
  <c r="A514" i="2"/>
  <c r="C513" i="2"/>
  <c r="E512" i="2"/>
  <c r="A512" i="2"/>
  <c r="C511" i="2"/>
  <c r="E510" i="2"/>
  <c r="A510" i="2"/>
  <c r="C509" i="2"/>
  <c r="E508" i="2"/>
  <c r="A508" i="2"/>
  <c r="C507" i="2"/>
  <c r="E506" i="2"/>
  <c r="A506" i="2"/>
  <c r="C505" i="2"/>
  <c r="E504" i="2"/>
  <c r="A504" i="2"/>
  <c r="C503" i="2"/>
  <c r="E502" i="2"/>
  <c r="A502" i="2"/>
  <c r="C501" i="2"/>
  <c r="E500" i="2"/>
  <c r="A500" i="2"/>
  <c r="C499" i="2"/>
  <c r="E498" i="2"/>
  <c r="A498" i="2"/>
  <c r="C497" i="2"/>
  <c r="E496" i="2"/>
  <c r="A496" i="2"/>
  <c r="C495" i="2"/>
  <c r="E494" i="2"/>
  <c r="A494" i="2"/>
  <c r="C493" i="2"/>
  <c r="E492" i="2"/>
  <c r="A492" i="2"/>
  <c r="C491" i="2"/>
  <c r="E490" i="2"/>
  <c r="A490" i="2"/>
  <c r="C489" i="2"/>
  <c r="E488" i="2"/>
  <c r="A488" i="2"/>
  <c r="C487" i="2"/>
  <c r="E486" i="2"/>
  <c r="A486" i="2"/>
  <c r="C485" i="2"/>
  <c r="E484" i="2"/>
  <c r="A484" i="2"/>
  <c r="C483" i="2"/>
  <c r="E482" i="2"/>
  <c r="A482" i="2"/>
  <c r="C481" i="2"/>
  <c r="E480" i="2"/>
  <c r="A480" i="2"/>
  <c r="C479" i="2"/>
  <c r="E478" i="2"/>
  <c r="A478" i="2"/>
  <c r="C477" i="2"/>
  <c r="E476" i="2"/>
  <c r="A476" i="2"/>
  <c r="C475" i="2"/>
  <c r="E474" i="2"/>
  <c r="A474" i="2"/>
  <c r="C473" i="2"/>
  <c r="E472" i="2"/>
  <c r="A472" i="2"/>
  <c r="C471" i="2"/>
  <c r="E470" i="2"/>
  <c r="A470" i="2"/>
  <c r="C469" i="2"/>
  <c r="E468" i="2"/>
  <c r="A468" i="2"/>
  <c r="C467" i="2"/>
  <c r="E466" i="2"/>
  <c r="A466" i="2"/>
  <c r="C465" i="2"/>
  <c r="E464" i="2"/>
  <c r="A464" i="2"/>
  <c r="C463" i="2"/>
  <c r="E462" i="2"/>
  <c r="A462" i="2"/>
  <c r="C461" i="2"/>
  <c r="E460" i="2"/>
  <c r="A460" i="2"/>
  <c r="C459" i="2"/>
  <c r="E458" i="2"/>
  <c r="A458" i="2"/>
  <c r="C457" i="2"/>
  <c r="E456" i="2"/>
  <c r="A456" i="2"/>
  <c r="C455" i="2"/>
  <c r="E454" i="2"/>
  <c r="A454" i="2"/>
  <c r="C453" i="2"/>
  <c r="E452" i="2"/>
  <c r="A452" i="2"/>
  <c r="C451" i="2"/>
  <c r="E450" i="2"/>
  <c r="A450" i="2"/>
  <c r="C449" i="2"/>
  <c r="E448" i="2"/>
  <c r="A448" i="2"/>
  <c r="C447" i="2"/>
  <c r="E446" i="2"/>
  <c r="A446" i="2"/>
  <c r="C445" i="2"/>
  <c r="E444" i="2"/>
  <c r="A444" i="2"/>
  <c r="C443" i="2"/>
  <c r="E442" i="2"/>
  <c r="A442" i="2"/>
  <c r="C441" i="2"/>
  <c r="E440" i="2"/>
  <c r="A440" i="2"/>
  <c r="C439" i="2"/>
  <c r="E438" i="2"/>
  <c r="A438" i="2"/>
  <c r="C437" i="2"/>
  <c r="E436" i="2"/>
  <c r="A436" i="2"/>
  <c r="C435" i="2"/>
  <c r="E434" i="2"/>
  <c r="A434" i="2"/>
  <c r="C433" i="2"/>
  <c r="E432" i="2"/>
  <c r="A432" i="2"/>
  <c r="C431" i="2"/>
  <c r="E430" i="2"/>
  <c r="A430" i="2"/>
  <c r="C429" i="2"/>
  <c r="E428" i="2"/>
  <c r="A428" i="2"/>
  <c r="C427" i="2"/>
  <c r="E426" i="2"/>
  <c r="A426" i="2"/>
  <c r="C425" i="2"/>
  <c r="E424" i="2"/>
  <c r="A424" i="2"/>
  <c r="C423" i="2"/>
  <c r="E422" i="2"/>
  <c r="A422" i="2"/>
  <c r="C421" i="2"/>
  <c r="E420" i="2"/>
  <c r="A420" i="2"/>
  <c r="C419" i="2"/>
  <c r="E418" i="2"/>
  <c r="A418" i="2"/>
  <c r="C417" i="2"/>
  <c r="E416" i="2"/>
  <c r="A416" i="2"/>
  <c r="C415" i="2"/>
  <c r="E414" i="2"/>
  <c r="A414" i="2"/>
  <c r="C413" i="2"/>
  <c r="E412" i="2"/>
  <c r="A412" i="2"/>
  <c r="C411" i="2"/>
  <c r="E410" i="2"/>
  <c r="A410" i="2"/>
  <c r="C409" i="2"/>
  <c r="E408" i="2"/>
  <c r="A408" i="2"/>
  <c r="C407" i="2"/>
  <c r="E406" i="2"/>
  <c r="A406" i="2"/>
  <c r="C405" i="2"/>
  <c r="E404" i="2"/>
  <c r="A404" i="2"/>
  <c r="C403" i="2"/>
  <c r="E402" i="2"/>
  <c r="A402" i="2"/>
  <c r="C401" i="2"/>
  <c r="E400" i="2"/>
  <c r="A400" i="2"/>
  <c r="C399" i="2"/>
  <c r="E398" i="2"/>
  <c r="A398" i="2"/>
  <c r="C397" i="2"/>
  <c r="E396" i="2"/>
  <c r="A396" i="2"/>
  <c r="C395" i="2"/>
  <c r="E394" i="2"/>
  <c r="A394" i="2"/>
  <c r="C393" i="2"/>
  <c r="E392" i="2"/>
  <c r="A392" i="2"/>
  <c r="C391" i="2"/>
  <c r="E390" i="2"/>
  <c r="A390" i="2"/>
  <c r="C389" i="2"/>
  <c r="E388" i="2"/>
  <c r="A388" i="2"/>
  <c r="C387" i="2"/>
  <c r="E386" i="2"/>
  <c r="A386" i="2"/>
  <c r="C385" i="2"/>
  <c r="E384" i="2"/>
  <c r="A384" i="2"/>
  <c r="C383" i="2"/>
  <c r="E382" i="2"/>
  <c r="A382" i="2"/>
  <c r="C381" i="2"/>
  <c r="E380" i="2"/>
  <c r="A380" i="2"/>
  <c r="C379" i="2"/>
  <c r="E378" i="2"/>
  <c r="A378" i="2"/>
  <c r="C377" i="2"/>
  <c r="E376" i="2"/>
  <c r="A376" i="2"/>
  <c r="C375" i="2"/>
  <c r="E374" i="2"/>
  <c r="A374" i="2"/>
  <c r="C373" i="2"/>
  <c r="E372" i="2"/>
  <c r="A372" i="2"/>
  <c r="C371" i="2"/>
  <c r="E370" i="2"/>
  <c r="A370" i="2"/>
  <c r="C369" i="2"/>
  <c r="E368" i="2"/>
  <c r="A368" i="2"/>
  <c r="C367" i="2"/>
  <c r="E366" i="2"/>
  <c r="A366" i="2"/>
  <c r="C365" i="2"/>
  <c r="E364" i="2"/>
  <c r="A364" i="2"/>
  <c r="C363" i="2"/>
  <c r="E362" i="2"/>
  <c r="A362" i="2"/>
  <c r="C361" i="2"/>
  <c r="E360" i="2"/>
  <c r="A360" i="2"/>
  <c r="C359" i="2"/>
  <c r="E358" i="2"/>
  <c r="A358" i="2"/>
  <c r="C357" i="2"/>
  <c r="E356" i="2"/>
  <c r="A356" i="2"/>
  <c r="C355" i="2"/>
  <c r="E354" i="2"/>
  <c r="A354" i="2"/>
  <c r="C353" i="2"/>
  <c r="E352" i="2"/>
  <c r="A352" i="2"/>
  <c r="C351" i="2"/>
  <c r="E350" i="2"/>
  <c r="A350" i="2"/>
  <c r="C349" i="2"/>
  <c r="E348" i="2"/>
  <c r="A348" i="2"/>
  <c r="C347" i="2"/>
  <c r="E346" i="2"/>
  <c r="A346" i="2"/>
  <c r="C345" i="2"/>
  <c r="E344" i="2"/>
  <c r="A344" i="2"/>
  <c r="C343" i="2"/>
  <c r="E342" i="2"/>
  <c r="A342" i="2"/>
  <c r="C341" i="2"/>
  <c r="E340" i="2"/>
  <c r="A340" i="2"/>
  <c r="C339" i="2"/>
  <c r="E338" i="2"/>
  <c r="A338" i="2"/>
  <c r="C337" i="2"/>
  <c r="E336" i="2"/>
  <c r="A336" i="2"/>
  <c r="C335" i="2"/>
  <c r="E334" i="2"/>
  <c r="A334" i="2"/>
  <c r="C333" i="2"/>
  <c r="E332" i="2"/>
  <c r="A332" i="2"/>
  <c r="C331" i="2"/>
  <c r="E330" i="2"/>
  <c r="B330" i="2"/>
  <c r="F329" i="2"/>
  <c r="D329" i="2"/>
  <c r="B329" i="2"/>
  <c r="F328" i="2"/>
  <c r="D328" i="2"/>
  <c r="B328" i="2"/>
  <c r="F327" i="2"/>
  <c r="D327" i="2"/>
  <c r="B327" i="2"/>
  <c r="F326" i="2"/>
  <c r="D326" i="2"/>
  <c r="B326" i="2"/>
  <c r="F325" i="2"/>
  <c r="D325" i="2"/>
  <c r="B325" i="2"/>
  <c r="F324" i="2"/>
  <c r="D324" i="2"/>
  <c r="B324" i="2"/>
  <c r="F323" i="2"/>
  <c r="D323" i="2"/>
  <c r="B323" i="2"/>
  <c r="F322" i="2"/>
  <c r="D322" i="2"/>
  <c r="B322" i="2"/>
  <c r="F321" i="2"/>
  <c r="D321" i="2"/>
  <c r="B321" i="2"/>
  <c r="F320" i="2"/>
  <c r="D320" i="2"/>
  <c r="B320" i="2"/>
  <c r="F319" i="2"/>
  <c r="D319" i="2"/>
  <c r="B319" i="2"/>
  <c r="F318" i="2"/>
  <c r="D318" i="2"/>
  <c r="B318" i="2"/>
  <c r="F317" i="2"/>
  <c r="D317" i="2"/>
  <c r="B317" i="2"/>
  <c r="F316" i="2"/>
  <c r="D316" i="2"/>
  <c r="B316" i="2"/>
  <c r="F315" i="2"/>
  <c r="D315" i="2"/>
  <c r="B315" i="2"/>
  <c r="F314" i="2"/>
  <c r="D314" i="2"/>
  <c r="B314" i="2"/>
  <c r="F313" i="2"/>
  <c r="D313" i="2"/>
  <c r="B313" i="2"/>
  <c r="F312" i="2"/>
  <c r="D312" i="2"/>
  <c r="B312" i="2"/>
  <c r="F311" i="2"/>
  <c r="D311" i="2"/>
  <c r="B311" i="2"/>
  <c r="F310" i="2"/>
  <c r="D310" i="2"/>
  <c r="B310" i="2"/>
  <c r="F309" i="2"/>
  <c r="D309" i="2"/>
  <c r="B309" i="2"/>
  <c r="F308" i="2"/>
  <c r="D308" i="2"/>
  <c r="B308" i="2"/>
  <c r="F307" i="2"/>
  <c r="D307" i="2"/>
  <c r="B307" i="2"/>
  <c r="F306" i="2"/>
  <c r="D306" i="2"/>
  <c r="B306" i="2"/>
  <c r="F305" i="2"/>
  <c r="D305" i="2"/>
  <c r="B305" i="2"/>
  <c r="F304" i="2"/>
  <c r="D304" i="2"/>
  <c r="B304" i="2"/>
  <c r="F303" i="2"/>
  <c r="D303" i="2"/>
  <c r="B303" i="2"/>
  <c r="F302" i="2"/>
  <c r="D302" i="2"/>
  <c r="B302" i="2"/>
  <c r="F301" i="2"/>
  <c r="D301" i="2"/>
  <c r="B301" i="2"/>
  <c r="F300" i="2"/>
  <c r="D300" i="2"/>
  <c r="B300" i="2"/>
  <c r="F299" i="2"/>
  <c r="D299" i="2"/>
  <c r="B299" i="2"/>
  <c r="F298" i="2"/>
  <c r="D298" i="2"/>
  <c r="B298" i="2"/>
  <c r="F297" i="2"/>
  <c r="D297" i="2"/>
  <c r="B297" i="2"/>
  <c r="F296" i="2"/>
  <c r="D296" i="2"/>
  <c r="B296" i="2"/>
  <c r="F295" i="2"/>
  <c r="D295" i="2"/>
  <c r="B295" i="2"/>
  <c r="F294" i="2"/>
  <c r="D294" i="2"/>
  <c r="B294" i="2"/>
  <c r="F293" i="2"/>
  <c r="D293" i="2"/>
  <c r="B293" i="2"/>
  <c r="F292" i="2"/>
  <c r="D292" i="2"/>
  <c r="B292" i="2"/>
  <c r="F291" i="2"/>
  <c r="D291" i="2"/>
  <c r="B291" i="2"/>
  <c r="F290" i="2"/>
  <c r="D290" i="2"/>
  <c r="B290" i="2"/>
  <c r="F289" i="2"/>
  <c r="D289" i="2"/>
  <c r="B289" i="2"/>
  <c r="F288" i="2"/>
  <c r="D288" i="2"/>
  <c r="B288" i="2"/>
  <c r="F287" i="2"/>
  <c r="D287" i="2"/>
  <c r="B287" i="2"/>
  <c r="F286" i="2"/>
  <c r="D286" i="2"/>
  <c r="B286" i="2"/>
  <c r="F285" i="2"/>
  <c r="D285" i="2"/>
  <c r="B285" i="2"/>
  <c r="F284" i="2"/>
  <c r="D284" i="2"/>
  <c r="B284" i="2"/>
  <c r="F283" i="2"/>
  <c r="D283" i="2"/>
  <c r="B283" i="2"/>
  <c r="F282" i="2"/>
  <c r="D282" i="2"/>
  <c r="B282" i="2"/>
  <c r="F281" i="2"/>
  <c r="D281" i="2"/>
  <c r="B281" i="2"/>
  <c r="F280" i="2"/>
  <c r="D280" i="2"/>
  <c r="B280" i="2"/>
  <c r="F279" i="2"/>
  <c r="D279" i="2"/>
  <c r="B279" i="2"/>
  <c r="F278" i="2"/>
  <c r="D278" i="2"/>
  <c r="B278" i="2"/>
  <c r="F277" i="2"/>
  <c r="D277" i="2"/>
  <c r="B277" i="2"/>
  <c r="F276" i="2"/>
  <c r="D276" i="2"/>
  <c r="B276" i="2"/>
  <c r="F275" i="2"/>
  <c r="D275" i="2"/>
  <c r="B275" i="2"/>
  <c r="F274" i="2"/>
  <c r="D274" i="2"/>
  <c r="B274" i="2"/>
  <c r="F273" i="2"/>
  <c r="D273" i="2"/>
  <c r="B273" i="2"/>
  <c r="F272" i="2"/>
  <c r="D272" i="2"/>
  <c r="B272" i="2"/>
  <c r="F271" i="2"/>
  <c r="D271" i="2"/>
  <c r="B271" i="2"/>
  <c r="F270" i="2"/>
  <c r="D270" i="2"/>
  <c r="B270" i="2"/>
  <c r="F269" i="2"/>
  <c r="D269" i="2"/>
  <c r="B269" i="2"/>
  <c r="F268" i="2"/>
  <c r="D268" i="2"/>
  <c r="B268" i="2"/>
  <c r="F267" i="2"/>
  <c r="D267" i="2"/>
  <c r="B267" i="2"/>
  <c r="F266" i="2"/>
  <c r="D266" i="2"/>
  <c r="B266" i="2"/>
  <c r="F265" i="2"/>
  <c r="D265" i="2"/>
  <c r="B265" i="2"/>
  <c r="F264" i="2"/>
  <c r="D264" i="2"/>
  <c r="B264" i="2"/>
  <c r="F263" i="2"/>
  <c r="D263" i="2"/>
  <c r="B263" i="2"/>
  <c r="F262" i="2"/>
  <c r="D262" i="2"/>
  <c r="B262" i="2"/>
  <c r="F261" i="2"/>
  <c r="D261" i="2"/>
  <c r="B261" i="2"/>
  <c r="F260" i="2"/>
  <c r="D260" i="2"/>
  <c r="B260" i="2"/>
  <c r="F259" i="2"/>
  <c r="D259" i="2"/>
  <c r="B259" i="2"/>
  <c r="F258" i="2"/>
  <c r="D258" i="2"/>
  <c r="B258" i="2"/>
  <c r="F257" i="2"/>
  <c r="D257" i="2"/>
  <c r="B257" i="2"/>
  <c r="F256" i="2"/>
  <c r="D256" i="2"/>
  <c r="B256" i="2"/>
  <c r="F255" i="2"/>
  <c r="D255" i="2"/>
  <c r="B255" i="2"/>
  <c r="F254" i="2"/>
  <c r="D254" i="2"/>
  <c r="B254" i="2"/>
  <c r="F253" i="2"/>
  <c r="D253" i="2"/>
  <c r="B253" i="2"/>
  <c r="F252" i="2"/>
  <c r="D252" i="2"/>
  <c r="B252" i="2"/>
  <c r="F251" i="2"/>
  <c r="D251" i="2"/>
  <c r="B251" i="2"/>
  <c r="F250" i="2"/>
  <c r="D250" i="2"/>
  <c r="B250" i="2"/>
  <c r="F249" i="2"/>
  <c r="D249" i="2"/>
  <c r="B249" i="2"/>
  <c r="F248" i="2"/>
  <c r="D248" i="2"/>
  <c r="B248" i="2"/>
  <c r="F247" i="2"/>
  <c r="D247" i="2"/>
  <c r="B247" i="2"/>
  <c r="F246" i="2"/>
  <c r="D246" i="2"/>
  <c r="B246" i="2"/>
  <c r="F245" i="2"/>
  <c r="D245" i="2"/>
  <c r="B245" i="2"/>
  <c r="F244" i="2"/>
  <c r="D244" i="2"/>
  <c r="B244" i="2"/>
  <c r="F243" i="2"/>
  <c r="D243" i="2"/>
  <c r="B243" i="2"/>
  <c r="F242" i="2"/>
  <c r="D242" i="2"/>
  <c r="B242" i="2"/>
  <c r="F241" i="2"/>
  <c r="D241" i="2"/>
  <c r="B241" i="2"/>
  <c r="F240" i="2"/>
  <c r="D240" i="2"/>
  <c r="B240" i="2"/>
  <c r="F239" i="2"/>
  <c r="D239" i="2"/>
  <c r="B239" i="2"/>
  <c r="F238" i="2"/>
  <c r="D238" i="2"/>
  <c r="B238" i="2"/>
  <c r="F237" i="2"/>
  <c r="D237" i="2"/>
  <c r="B237" i="2"/>
  <c r="F236" i="2"/>
  <c r="D236" i="2"/>
  <c r="B236" i="2"/>
  <c r="F235" i="2"/>
  <c r="D235" i="2"/>
  <c r="B235" i="2"/>
  <c r="F234" i="2"/>
  <c r="D234" i="2"/>
  <c r="B234" i="2"/>
  <c r="F233" i="2"/>
  <c r="D233" i="2"/>
  <c r="B233" i="2"/>
  <c r="F232" i="2"/>
  <c r="D232" i="2"/>
  <c r="B232" i="2"/>
  <c r="F231" i="2"/>
  <c r="D231" i="2"/>
  <c r="B231" i="2"/>
  <c r="F230" i="2"/>
  <c r="D230" i="2"/>
  <c r="B230" i="2"/>
  <c r="F229" i="2"/>
  <c r="D229" i="2"/>
  <c r="B229" i="2"/>
  <c r="F228" i="2"/>
  <c r="D228" i="2"/>
  <c r="B228" i="2"/>
  <c r="F227" i="2"/>
  <c r="D227" i="2"/>
  <c r="B227" i="2"/>
  <c r="F226" i="2"/>
  <c r="D226" i="2"/>
  <c r="B226" i="2"/>
  <c r="F225" i="2"/>
  <c r="D225" i="2"/>
  <c r="B225" i="2"/>
  <c r="F224" i="2"/>
  <c r="D224" i="2"/>
  <c r="B224" i="2"/>
  <c r="F223" i="2"/>
  <c r="D223" i="2"/>
  <c r="B223" i="2"/>
  <c r="F222" i="2"/>
  <c r="D222" i="2"/>
  <c r="B222" i="2"/>
  <c r="F221" i="2"/>
  <c r="D221" i="2"/>
  <c r="B221" i="2"/>
  <c r="F220" i="2"/>
  <c r="D220" i="2"/>
  <c r="B220" i="2"/>
  <c r="F219" i="2"/>
  <c r="D219" i="2"/>
  <c r="B219" i="2"/>
  <c r="F218" i="2"/>
  <c r="D218" i="2"/>
  <c r="B218" i="2"/>
  <c r="F217" i="2"/>
  <c r="D217" i="2"/>
  <c r="B217" i="2"/>
  <c r="F216" i="2"/>
  <c r="D216" i="2"/>
  <c r="B216" i="2"/>
  <c r="F215" i="2"/>
  <c r="D215" i="2"/>
  <c r="B215" i="2"/>
  <c r="F214" i="2"/>
  <c r="D214" i="2"/>
  <c r="B214" i="2"/>
  <c r="F213" i="2"/>
  <c r="D213" i="2"/>
  <c r="B213" i="2"/>
  <c r="F212" i="2"/>
  <c r="D212" i="2"/>
  <c r="B212" i="2"/>
  <c r="F211" i="2"/>
  <c r="D211" i="2"/>
  <c r="B211" i="2"/>
  <c r="F210" i="2"/>
  <c r="D210" i="2"/>
  <c r="B210" i="2"/>
  <c r="F209" i="2"/>
  <c r="D209" i="2"/>
  <c r="B209" i="2"/>
  <c r="F208" i="2"/>
  <c r="D208" i="2"/>
  <c r="B208" i="2"/>
  <c r="F207" i="2"/>
  <c r="D207" i="2"/>
  <c r="B207" i="2"/>
  <c r="F206" i="2"/>
  <c r="D206" i="2"/>
  <c r="B206" i="2"/>
  <c r="F205" i="2"/>
  <c r="D205" i="2"/>
  <c r="B205" i="2"/>
  <c r="F204" i="2"/>
  <c r="D204" i="2"/>
  <c r="B204" i="2"/>
  <c r="F203" i="2"/>
  <c r="D203" i="2"/>
  <c r="B203" i="2"/>
  <c r="F202" i="2"/>
  <c r="D202" i="2"/>
  <c r="B202" i="2"/>
  <c r="F201" i="2"/>
  <c r="D201" i="2"/>
  <c r="B201" i="2"/>
  <c r="F200" i="2"/>
  <c r="D200" i="2"/>
  <c r="B200" i="2"/>
  <c r="F199" i="2"/>
  <c r="D199" i="2"/>
  <c r="B199" i="2"/>
  <c r="F198" i="2"/>
  <c r="D198" i="2"/>
  <c r="B198" i="2"/>
  <c r="F197" i="2"/>
  <c r="D197" i="2"/>
  <c r="B197" i="2"/>
  <c r="F196" i="2"/>
  <c r="D196" i="2"/>
  <c r="B196" i="2"/>
  <c r="F195" i="2"/>
  <c r="D195" i="2"/>
  <c r="B195" i="2"/>
  <c r="F194" i="2"/>
  <c r="D194" i="2"/>
  <c r="B194" i="2"/>
  <c r="F193" i="2"/>
  <c r="D193" i="2"/>
  <c r="B193" i="2"/>
  <c r="F192" i="2"/>
  <c r="D192" i="2"/>
  <c r="B192" i="2"/>
  <c r="F191" i="2"/>
  <c r="D191" i="2"/>
  <c r="B191" i="2"/>
  <c r="F190" i="2"/>
  <c r="D190" i="2"/>
  <c r="B190" i="2"/>
  <c r="F189" i="2"/>
  <c r="D189" i="2"/>
  <c r="B189" i="2"/>
  <c r="F188" i="2"/>
  <c r="D188" i="2"/>
  <c r="B188" i="2"/>
  <c r="F187" i="2"/>
  <c r="D187" i="2"/>
  <c r="B187" i="2"/>
  <c r="F186" i="2"/>
  <c r="D186" i="2"/>
  <c r="B186" i="2"/>
  <c r="F185" i="2"/>
  <c r="D185" i="2"/>
  <c r="B185" i="2"/>
  <c r="F184" i="2"/>
  <c r="D184" i="2"/>
  <c r="B184" i="2"/>
  <c r="F183" i="2"/>
  <c r="D183" i="2"/>
  <c r="B183" i="2"/>
  <c r="F182" i="2"/>
  <c r="D182" i="2"/>
  <c r="B182" i="2"/>
  <c r="F181" i="2"/>
  <c r="D181" i="2"/>
  <c r="B181" i="2"/>
  <c r="F180" i="2"/>
  <c r="D180" i="2"/>
  <c r="B180" i="2"/>
  <c r="F179" i="2"/>
  <c r="D179" i="2"/>
  <c r="B179" i="2"/>
  <c r="F178" i="2"/>
  <c r="D178" i="2"/>
  <c r="B178" i="2"/>
  <c r="F177" i="2"/>
  <c r="D177" i="2"/>
  <c r="B177" i="2"/>
  <c r="F176" i="2"/>
  <c r="D176" i="2"/>
  <c r="B176" i="2"/>
  <c r="F175" i="2"/>
  <c r="D175" i="2"/>
  <c r="B175" i="2"/>
  <c r="F174" i="2"/>
  <c r="D174" i="2"/>
  <c r="B174" i="2"/>
  <c r="F173" i="2"/>
  <c r="D173" i="2"/>
  <c r="B173" i="2"/>
  <c r="F172" i="2"/>
  <c r="D172" i="2"/>
  <c r="B172" i="2"/>
  <c r="F171" i="2"/>
  <c r="D171" i="2"/>
  <c r="B171" i="2"/>
  <c r="F170" i="2"/>
  <c r="D170" i="2"/>
  <c r="B170" i="2"/>
  <c r="F169" i="2"/>
  <c r="D169" i="2"/>
  <c r="B169" i="2"/>
  <c r="F168" i="2"/>
  <c r="D168" i="2"/>
  <c r="B168" i="2"/>
  <c r="F167" i="2"/>
  <c r="D167" i="2"/>
  <c r="B167" i="2"/>
  <c r="F166" i="2"/>
  <c r="D166" i="2"/>
  <c r="B166" i="2"/>
  <c r="F165" i="2"/>
  <c r="D165" i="2"/>
  <c r="B165" i="2"/>
  <c r="F164" i="2"/>
  <c r="D164" i="2"/>
  <c r="B164" i="2"/>
  <c r="F163" i="2"/>
  <c r="D163" i="2"/>
  <c r="B163" i="2"/>
  <c r="F162" i="2"/>
  <c r="D162" i="2"/>
  <c r="B162" i="2"/>
  <c r="F161" i="2"/>
  <c r="D161" i="2"/>
  <c r="B161" i="2"/>
  <c r="F160" i="2"/>
  <c r="D160" i="2"/>
  <c r="B160" i="2"/>
  <c r="F159" i="2"/>
  <c r="D159" i="2"/>
  <c r="B159" i="2"/>
  <c r="F158" i="2"/>
  <c r="D158" i="2"/>
  <c r="B158" i="2"/>
  <c r="F157" i="2"/>
  <c r="D157" i="2"/>
  <c r="B157" i="2"/>
  <c r="F156" i="2"/>
  <c r="D156" i="2"/>
  <c r="B156" i="2"/>
  <c r="F155" i="2"/>
  <c r="D155" i="2"/>
  <c r="B155" i="2"/>
  <c r="F154" i="2"/>
  <c r="D154" i="2"/>
  <c r="B154" i="2"/>
  <c r="F153" i="2"/>
  <c r="D153" i="2"/>
  <c r="B153" i="2"/>
  <c r="F152" i="2"/>
  <c r="D152" i="2"/>
  <c r="B152" i="2"/>
  <c r="F151" i="2"/>
  <c r="D151" i="2"/>
  <c r="B151" i="2"/>
  <c r="F150" i="2"/>
  <c r="D150" i="2"/>
  <c r="B150" i="2"/>
  <c r="F149" i="2"/>
  <c r="D149" i="2"/>
  <c r="B149" i="2"/>
  <c r="F148" i="2"/>
  <c r="D148" i="2"/>
  <c r="B148" i="2"/>
  <c r="F147" i="2"/>
  <c r="D147" i="2"/>
  <c r="B147" i="2"/>
  <c r="F146" i="2"/>
  <c r="D146" i="2"/>
  <c r="B146" i="2"/>
  <c r="F145" i="2"/>
  <c r="D145" i="2"/>
  <c r="B145" i="2"/>
  <c r="F144" i="2"/>
  <c r="D144" i="2"/>
  <c r="B144" i="2"/>
  <c r="F143" i="2"/>
  <c r="D143" i="2"/>
  <c r="B143" i="2"/>
  <c r="F142" i="2"/>
  <c r="D142" i="2"/>
  <c r="B142" i="2"/>
  <c r="F141" i="2"/>
  <c r="D141" i="2"/>
  <c r="B141" i="2"/>
  <c r="F140" i="2"/>
  <c r="D140" i="2"/>
  <c r="B140" i="2"/>
  <c r="F139" i="2"/>
  <c r="D139" i="2"/>
  <c r="B139" i="2"/>
  <c r="F138" i="2"/>
  <c r="D138" i="2"/>
  <c r="B138" i="2"/>
  <c r="F137" i="2"/>
  <c r="D137" i="2"/>
  <c r="B137" i="2"/>
  <c r="F136" i="2"/>
  <c r="D136" i="2"/>
  <c r="B136" i="2"/>
  <c r="F135" i="2"/>
  <c r="D135" i="2"/>
  <c r="B135" i="2"/>
  <c r="F134" i="2"/>
  <c r="D134" i="2"/>
  <c r="B134" i="2"/>
  <c r="F133" i="2"/>
  <c r="D133" i="2"/>
  <c r="B133" i="2"/>
  <c r="F132" i="2"/>
  <c r="D132" i="2"/>
  <c r="B132" i="2"/>
  <c r="F131" i="2"/>
  <c r="D131" i="2"/>
  <c r="B131" i="2"/>
  <c r="F130" i="2"/>
  <c r="D130" i="2"/>
  <c r="B130" i="2"/>
  <c r="F129" i="2"/>
  <c r="D129" i="2"/>
  <c r="B129" i="2"/>
  <c r="F128" i="2"/>
  <c r="D128" i="2"/>
  <c r="B128" i="2"/>
  <c r="F127" i="2"/>
  <c r="D127" i="2"/>
  <c r="B127" i="2"/>
  <c r="F126" i="2"/>
  <c r="D126" i="2"/>
  <c r="B126" i="2"/>
  <c r="F125" i="2"/>
  <c r="D125" i="2"/>
  <c r="B125" i="2"/>
  <c r="F124" i="2"/>
  <c r="D124" i="2"/>
  <c r="B124" i="2"/>
  <c r="F123" i="2"/>
  <c r="D123" i="2"/>
  <c r="B123" i="2"/>
  <c r="F122" i="2"/>
  <c r="D122" i="2"/>
  <c r="B122" i="2"/>
  <c r="F121" i="2"/>
  <c r="D121" i="2"/>
  <c r="B121" i="2"/>
  <c r="F120" i="2"/>
  <c r="D120" i="2"/>
  <c r="B120" i="2"/>
  <c r="F119" i="2"/>
  <c r="D119" i="2"/>
  <c r="B119" i="2"/>
  <c r="F118" i="2"/>
  <c r="D118" i="2"/>
  <c r="B118" i="2"/>
  <c r="F117" i="2"/>
  <c r="D117" i="2"/>
  <c r="B117" i="2"/>
  <c r="F116" i="2"/>
  <c r="D116" i="2"/>
  <c r="B116" i="2"/>
  <c r="F115" i="2"/>
  <c r="D115" i="2"/>
  <c r="B115" i="2"/>
  <c r="F114" i="2"/>
  <c r="D114" i="2"/>
  <c r="B114" i="2"/>
  <c r="F113" i="2"/>
  <c r="D113" i="2"/>
  <c r="B113" i="2"/>
  <c r="F112" i="2"/>
  <c r="D112" i="2"/>
  <c r="B112" i="2"/>
  <c r="F111" i="2"/>
  <c r="D111" i="2"/>
  <c r="B111" i="2"/>
  <c r="F110" i="2"/>
  <c r="D110" i="2"/>
  <c r="B110" i="2"/>
  <c r="F109" i="2"/>
  <c r="D109" i="2"/>
  <c r="B109" i="2"/>
  <c r="F108" i="2"/>
  <c r="D108" i="2"/>
  <c r="B108" i="2"/>
  <c r="F107" i="2"/>
  <c r="D107" i="2"/>
  <c r="B107" i="2"/>
  <c r="F106" i="2"/>
  <c r="D106" i="2"/>
  <c r="B106" i="2"/>
  <c r="F105" i="2"/>
  <c r="D105" i="2"/>
  <c r="B105" i="2"/>
  <c r="F104" i="2"/>
  <c r="D104" i="2"/>
  <c r="B104" i="2"/>
  <c r="F103" i="2"/>
  <c r="D103" i="2"/>
  <c r="B103" i="2"/>
  <c r="F102" i="2"/>
  <c r="D102" i="2"/>
  <c r="B102" i="2"/>
  <c r="F101" i="2"/>
  <c r="D101" i="2"/>
  <c r="B101" i="2"/>
  <c r="F100" i="2"/>
  <c r="D100" i="2"/>
  <c r="B100" i="2"/>
  <c r="F99" i="2"/>
  <c r="D99" i="2"/>
  <c r="B99" i="2"/>
  <c r="F98" i="2"/>
  <c r="D98" i="2"/>
  <c r="B98" i="2"/>
  <c r="F97" i="2"/>
  <c r="D97" i="2"/>
  <c r="B97" i="2"/>
  <c r="F96" i="2"/>
  <c r="D96" i="2"/>
  <c r="B96" i="2"/>
  <c r="F95" i="2"/>
  <c r="D95" i="2"/>
  <c r="B95" i="2"/>
  <c r="F94" i="2"/>
  <c r="D94" i="2"/>
  <c r="B94" i="2"/>
  <c r="F93" i="2"/>
  <c r="D93" i="2"/>
  <c r="B93" i="2"/>
  <c r="F92" i="2"/>
  <c r="D92" i="2"/>
  <c r="B92" i="2"/>
  <c r="F91" i="2"/>
  <c r="D91" i="2"/>
  <c r="B91" i="2"/>
  <c r="F90" i="2"/>
  <c r="D90" i="2"/>
  <c r="B90" i="2"/>
  <c r="F89" i="2"/>
  <c r="D89" i="2"/>
  <c r="B89" i="2"/>
  <c r="F88" i="2"/>
  <c r="D88" i="2"/>
  <c r="B88" i="2"/>
  <c r="F87" i="2"/>
  <c r="D87" i="2"/>
  <c r="B87" i="2"/>
  <c r="F86" i="2"/>
  <c r="D86" i="2"/>
  <c r="B86" i="2"/>
  <c r="F85" i="2"/>
  <c r="D85" i="2"/>
  <c r="B85" i="2"/>
  <c r="F84" i="2"/>
  <c r="D84" i="2"/>
  <c r="B84" i="2"/>
  <c r="F83" i="2"/>
  <c r="D83" i="2"/>
  <c r="B83" i="2"/>
  <c r="F82" i="2"/>
  <c r="D82" i="2"/>
  <c r="B82" i="2"/>
  <c r="F81" i="2"/>
  <c r="D81" i="2"/>
  <c r="B81" i="2"/>
  <c r="F80" i="2"/>
  <c r="D80" i="2"/>
  <c r="B80" i="2"/>
  <c r="F79" i="2"/>
  <c r="D79" i="2"/>
  <c r="B79" i="2"/>
  <c r="F78" i="2"/>
  <c r="D78" i="2"/>
  <c r="B78" i="2"/>
  <c r="F77" i="2"/>
  <c r="D77" i="2"/>
  <c r="B77" i="2"/>
  <c r="F76" i="2"/>
  <c r="D76" i="2"/>
  <c r="B76" i="2"/>
  <c r="F75" i="2"/>
  <c r="D75" i="2"/>
  <c r="B75" i="2"/>
  <c r="F74" i="2"/>
  <c r="D74" i="2"/>
  <c r="B74" i="2"/>
  <c r="F73" i="2"/>
  <c r="D73" i="2"/>
  <c r="B73" i="2"/>
  <c r="F72" i="2"/>
  <c r="D72" i="2"/>
  <c r="B72" i="2"/>
  <c r="F71" i="2"/>
  <c r="D71" i="2"/>
  <c r="B71" i="2"/>
  <c r="F70" i="2"/>
  <c r="D70" i="2"/>
  <c r="B70" i="2"/>
  <c r="F69" i="2"/>
  <c r="D69" i="2"/>
  <c r="B69" i="2"/>
  <c r="F68" i="2"/>
  <c r="D68" i="2"/>
  <c r="B68" i="2"/>
  <c r="F67" i="2"/>
  <c r="D67" i="2"/>
  <c r="B67" i="2"/>
  <c r="F66" i="2"/>
  <c r="D66" i="2"/>
  <c r="B66" i="2"/>
  <c r="F65" i="2"/>
  <c r="D65" i="2"/>
  <c r="B65" i="2"/>
  <c r="F64" i="2"/>
  <c r="D64" i="2"/>
  <c r="B64" i="2"/>
  <c r="F63" i="2"/>
  <c r="D63" i="2"/>
  <c r="B63" i="2"/>
  <c r="F62" i="2"/>
  <c r="D62" i="2"/>
  <c r="B62" i="2"/>
  <c r="F61" i="2"/>
  <c r="D61" i="2"/>
  <c r="B61" i="2"/>
  <c r="F60" i="2"/>
  <c r="D60" i="2"/>
  <c r="B60" i="2"/>
  <c r="F59" i="2"/>
  <c r="D59" i="2"/>
  <c r="B59" i="2"/>
  <c r="F58" i="2"/>
  <c r="D58" i="2"/>
  <c r="B58" i="2"/>
  <c r="F57" i="2"/>
  <c r="D57" i="2"/>
  <c r="B57" i="2"/>
  <c r="F56" i="2"/>
  <c r="D56" i="2"/>
  <c r="B56" i="2"/>
  <c r="F55" i="2"/>
  <c r="D55" i="2"/>
  <c r="B55" i="2"/>
  <c r="F54" i="2"/>
  <c r="D54" i="2"/>
  <c r="B54" i="2"/>
  <c r="F53" i="2"/>
  <c r="D53" i="2"/>
  <c r="B53" i="2"/>
  <c r="F52" i="2"/>
  <c r="D52" i="2"/>
  <c r="B52" i="2"/>
  <c r="F51" i="2"/>
  <c r="D51" i="2"/>
  <c r="B51" i="2"/>
  <c r="F50" i="2"/>
  <c r="D50" i="2"/>
  <c r="B50" i="2"/>
  <c r="F49" i="2"/>
  <c r="D49" i="2"/>
  <c r="B49" i="2"/>
  <c r="F48" i="2"/>
  <c r="D48" i="2"/>
  <c r="B48" i="2"/>
  <c r="F47" i="2"/>
  <c r="D47" i="2"/>
  <c r="B47" i="2"/>
  <c r="F46" i="2"/>
  <c r="D46" i="2"/>
  <c r="B46" i="2"/>
  <c r="F45" i="2"/>
  <c r="D45" i="2"/>
  <c r="B45" i="2"/>
  <c r="F44" i="2"/>
  <c r="D44" i="2"/>
  <c r="B44" i="2"/>
  <c r="F43" i="2"/>
  <c r="D43" i="2"/>
  <c r="B43" i="2"/>
  <c r="F42" i="2"/>
  <c r="D42" i="2"/>
  <c r="B42" i="2"/>
  <c r="F41" i="2"/>
  <c r="D41" i="2"/>
  <c r="B41" i="2"/>
  <c r="F40" i="2"/>
  <c r="D40" i="2"/>
  <c r="B40" i="2"/>
  <c r="F39" i="2"/>
  <c r="D39" i="2"/>
  <c r="B39" i="2"/>
  <c r="F38" i="2"/>
  <c r="D38" i="2"/>
  <c r="B38" i="2"/>
  <c r="F37" i="2"/>
  <c r="D37" i="2"/>
  <c r="B37" i="2"/>
  <c r="F36" i="2"/>
  <c r="D36" i="2"/>
  <c r="B36" i="2"/>
  <c r="F35" i="2"/>
  <c r="D35" i="2"/>
  <c r="B35" i="2"/>
  <c r="F34" i="2"/>
  <c r="D34" i="2"/>
  <c r="B34" i="2"/>
  <c r="F33" i="2"/>
  <c r="D33" i="2"/>
  <c r="B33" i="2"/>
  <c r="F32" i="2"/>
  <c r="D32" i="2"/>
  <c r="B32" i="2"/>
  <c r="F31" i="2"/>
  <c r="D31" i="2"/>
  <c r="B31" i="2"/>
  <c r="F30" i="2"/>
  <c r="D30" i="2"/>
  <c r="B30" i="2"/>
  <c r="F29" i="2"/>
  <c r="D29" i="2"/>
  <c r="B29" i="2"/>
  <c r="F28" i="2"/>
  <c r="D28" i="2"/>
  <c r="B28" i="2"/>
  <c r="F27" i="2"/>
  <c r="D27" i="2"/>
  <c r="B27" i="2"/>
  <c r="F26" i="2"/>
  <c r="D26" i="2"/>
  <c r="B26" i="2"/>
  <c r="F25" i="2"/>
  <c r="D25" i="2"/>
  <c r="B25" i="2"/>
  <c r="F24" i="2"/>
  <c r="D24" i="2"/>
  <c r="B24" i="2"/>
  <c r="F23" i="2"/>
  <c r="D23" i="2"/>
  <c r="B23" i="2"/>
  <c r="F22" i="2"/>
  <c r="D22" i="2"/>
  <c r="B22" i="2"/>
  <c r="F21" i="2"/>
  <c r="D21" i="2"/>
  <c r="B21" i="2"/>
  <c r="F20" i="2"/>
  <c r="D20" i="2"/>
  <c r="B20" i="2"/>
  <c r="F19" i="2"/>
  <c r="D19" i="2"/>
  <c r="B19" i="2"/>
  <c r="F18" i="2"/>
  <c r="D18" i="2"/>
  <c r="B18" i="2"/>
  <c r="F17" i="2"/>
  <c r="D17" i="2"/>
  <c r="B17" i="2"/>
  <c r="E329" i="2"/>
  <c r="E328" i="2"/>
  <c r="C328" i="2"/>
  <c r="A328" i="2"/>
  <c r="E326" i="2"/>
  <c r="C326" i="2"/>
  <c r="A326" i="2"/>
  <c r="E324" i="2"/>
  <c r="C324" i="2"/>
  <c r="A324" i="2"/>
  <c r="E322" i="2"/>
  <c r="C322" i="2"/>
  <c r="A322" i="2"/>
  <c r="E320" i="2"/>
  <c r="C320" i="2"/>
  <c r="A320" i="2"/>
  <c r="E318" i="2"/>
  <c r="C318" i="2"/>
  <c r="A318" i="2"/>
  <c r="E316" i="2"/>
  <c r="C316" i="2"/>
  <c r="A316" i="2"/>
  <c r="E314" i="2"/>
  <c r="C314" i="2"/>
  <c r="A314" i="2"/>
  <c r="E312" i="2"/>
  <c r="C312" i="2"/>
  <c r="A312" i="2"/>
  <c r="E310" i="2"/>
  <c r="C310" i="2"/>
  <c r="A310" i="2"/>
  <c r="E308" i="2"/>
  <c r="C308" i="2"/>
  <c r="A308" i="2"/>
  <c r="E306" i="2"/>
  <c r="C306" i="2"/>
  <c r="A306" i="2"/>
  <c r="E304" i="2"/>
  <c r="C304" i="2"/>
  <c r="A304" i="2"/>
  <c r="E302" i="2"/>
  <c r="C302" i="2"/>
  <c r="A302" i="2"/>
  <c r="E300" i="2"/>
  <c r="C300" i="2"/>
  <c r="A300" i="2"/>
  <c r="E298" i="2"/>
  <c r="C298" i="2"/>
  <c r="A298" i="2"/>
  <c r="E296" i="2"/>
  <c r="C296" i="2"/>
  <c r="A296" i="2"/>
  <c r="E294" i="2"/>
  <c r="C294" i="2"/>
  <c r="A294" i="2"/>
  <c r="E292" i="2"/>
  <c r="C292" i="2"/>
  <c r="A292" i="2"/>
  <c r="E290" i="2"/>
  <c r="C290" i="2"/>
  <c r="A290" i="2"/>
  <c r="E288" i="2"/>
  <c r="C288" i="2"/>
  <c r="A288" i="2"/>
  <c r="E286" i="2"/>
  <c r="C286" i="2"/>
  <c r="A286" i="2"/>
  <c r="E284" i="2"/>
  <c r="C284" i="2"/>
  <c r="A284" i="2"/>
  <c r="E282" i="2"/>
  <c r="C282" i="2"/>
  <c r="A282" i="2"/>
  <c r="E280" i="2"/>
  <c r="C280" i="2"/>
  <c r="A280" i="2"/>
  <c r="E278" i="2"/>
  <c r="C278" i="2"/>
  <c r="A278" i="2"/>
  <c r="E276" i="2"/>
  <c r="C276" i="2"/>
  <c r="A276" i="2"/>
  <c r="E274" i="2"/>
  <c r="C274" i="2"/>
  <c r="A274" i="2"/>
  <c r="E272" i="2"/>
  <c r="C272" i="2"/>
  <c r="A272" i="2"/>
  <c r="E270" i="2"/>
  <c r="C270" i="2"/>
  <c r="A270" i="2"/>
  <c r="E268" i="2"/>
  <c r="C268" i="2"/>
  <c r="A268" i="2"/>
  <c r="E266" i="2"/>
  <c r="C266" i="2"/>
  <c r="A266" i="2"/>
  <c r="E264" i="2"/>
  <c r="C264" i="2"/>
  <c r="A264" i="2"/>
  <c r="E262" i="2"/>
  <c r="C262" i="2"/>
  <c r="A262" i="2"/>
  <c r="E260" i="2"/>
  <c r="C260" i="2"/>
  <c r="A260" i="2"/>
  <c r="E258" i="2"/>
  <c r="C258" i="2"/>
  <c r="A258" i="2"/>
  <c r="E256" i="2"/>
  <c r="C256" i="2"/>
  <c r="A256" i="2"/>
  <c r="E254" i="2"/>
  <c r="C254" i="2"/>
  <c r="A254" i="2"/>
  <c r="E252" i="2"/>
  <c r="C252" i="2"/>
  <c r="A252" i="2"/>
  <c r="E250" i="2"/>
  <c r="C250" i="2"/>
  <c r="A250" i="2"/>
  <c r="E248" i="2"/>
  <c r="C248" i="2"/>
  <c r="A248" i="2"/>
  <c r="E246" i="2"/>
  <c r="C246" i="2"/>
  <c r="A246" i="2"/>
  <c r="E244" i="2"/>
  <c r="C244" i="2"/>
  <c r="A244" i="2"/>
  <c r="E242" i="2"/>
  <c r="C242" i="2"/>
  <c r="A242" i="2"/>
  <c r="E240" i="2"/>
  <c r="C240" i="2"/>
  <c r="A240" i="2"/>
  <c r="E238" i="2"/>
  <c r="C238" i="2"/>
  <c r="A238" i="2"/>
  <c r="E236" i="2"/>
  <c r="C236" i="2"/>
  <c r="A236" i="2"/>
  <c r="E234" i="2"/>
  <c r="C234" i="2"/>
  <c r="A234" i="2"/>
  <c r="E232" i="2"/>
  <c r="C232" i="2"/>
  <c r="A232" i="2"/>
  <c r="E230" i="2"/>
  <c r="C230" i="2"/>
  <c r="A230" i="2"/>
  <c r="E228" i="2"/>
  <c r="C228" i="2"/>
  <c r="A228" i="2"/>
  <c r="E226" i="2"/>
  <c r="C226" i="2"/>
  <c r="A226" i="2"/>
  <c r="E224" i="2"/>
  <c r="C224" i="2"/>
  <c r="A224" i="2"/>
  <c r="E222" i="2"/>
  <c r="C222" i="2"/>
  <c r="A222" i="2"/>
  <c r="E220" i="2"/>
  <c r="C220" i="2"/>
  <c r="A220" i="2"/>
  <c r="E218" i="2"/>
  <c r="C218" i="2"/>
  <c r="A218" i="2"/>
  <c r="E216" i="2"/>
  <c r="C216" i="2"/>
  <c r="A216" i="2"/>
  <c r="E214" i="2"/>
  <c r="C214" i="2"/>
  <c r="A214" i="2"/>
  <c r="E212" i="2"/>
  <c r="C212" i="2"/>
  <c r="A212" i="2"/>
  <c r="E210" i="2"/>
  <c r="C210" i="2"/>
  <c r="A210" i="2"/>
  <c r="E208" i="2"/>
  <c r="C208" i="2"/>
  <c r="A208" i="2"/>
  <c r="E206" i="2"/>
  <c r="C206" i="2"/>
  <c r="A206" i="2"/>
  <c r="E204" i="2"/>
  <c r="C204" i="2"/>
  <c r="A204" i="2"/>
  <c r="E202" i="2"/>
  <c r="C202" i="2"/>
  <c r="A202" i="2"/>
  <c r="E200" i="2"/>
  <c r="C200" i="2"/>
  <c r="A200" i="2"/>
  <c r="E198" i="2"/>
  <c r="C198" i="2"/>
  <c r="A198" i="2"/>
  <c r="E196" i="2"/>
  <c r="C196" i="2"/>
  <c r="A196" i="2"/>
  <c r="E194" i="2"/>
  <c r="C194" i="2"/>
  <c r="A194" i="2"/>
  <c r="E192" i="2"/>
  <c r="C192" i="2"/>
  <c r="A192" i="2"/>
  <c r="E190" i="2"/>
  <c r="C190" i="2"/>
  <c r="A190" i="2"/>
  <c r="E188" i="2"/>
  <c r="C188" i="2"/>
  <c r="A188" i="2"/>
  <c r="E186" i="2"/>
  <c r="C186" i="2"/>
  <c r="A186" i="2"/>
  <c r="E184" i="2"/>
  <c r="C184" i="2"/>
  <c r="A184" i="2"/>
  <c r="E182" i="2"/>
  <c r="C182" i="2"/>
  <c r="A182" i="2"/>
  <c r="E180" i="2"/>
  <c r="C180" i="2"/>
  <c r="A180" i="2"/>
  <c r="E178" i="2"/>
  <c r="C178" i="2"/>
  <c r="A178" i="2"/>
  <c r="E176" i="2"/>
  <c r="C176" i="2"/>
  <c r="A176" i="2"/>
  <c r="E174" i="2"/>
  <c r="C174" i="2"/>
  <c r="A174" i="2"/>
  <c r="E172" i="2"/>
  <c r="C172" i="2"/>
  <c r="A172" i="2"/>
  <c r="E170" i="2"/>
  <c r="C170" i="2"/>
  <c r="A170" i="2"/>
  <c r="E168" i="2"/>
  <c r="C168" i="2"/>
  <c r="A168" i="2"/>
  <c r="E166" i="2"/>
  <c r="C166" i="2"/>
  <c r="A166" i="2"/>
  <c r="E164" i="2"/>
  <c r="C164" i="2"/>
  <c r="A164" i="2"/>
  <c r="E162" i="2"/>
  <c r="C162" i="2"/>
  <c r="A162" i="2"/>
  <c r="E160" i="2"/>
  <c r="C160" i="2"/>
  <c r="A160" i="2"/>
  <c r="E158" i="2"/>
  <c r="C158" i="2"/>
  <c r="A158" i="2"/>
  <c r="E156" i="2"/>
  <c r="C156" i="2"/>
  <c r="A156" i="2"/>
  <c r="E154" i="2"/>
  <c r="C154" i="2"/>
  <c r="A154" i="2"/>
  <c r="E152" i="2"/>
  <c r="C152" i="2"/>
  <c r="A152" i="2"/>
  <c r="E150" i="2"/>
  <c r="C150" i="2"/>
  <c r="A150" i="2"/>
  <c r="E148" i="2"/>
  <c r="C148" i="2"/>
  <c r="A148" i="2"/>
  <c r="E146" i="2"/>
  <c r="C146" i="2"/>
  <c r="A146" i="2"/>
  <c r="E144" i="2"/>
  <c r="C144" i="2"/>
  <c r="A144" i="2"/>
  <c r="E142" i="2"/>
  <c r="C142" i="2"/>
  <c r="A142" i="2"/>
  <c r="E140" i="2"/>
  <c r="C140" i="2"/>
  <c r="A140" i="2"/>
  <c r="E138" i="2"/>
  <c r="C138" i="2"/>
  <c r="A138" i="2"/>
  <c r="E136" i="2"/>
  <c r="C136" i="2"/>
  <c r="A136" i="2"/>
  <c r="E134" i="2"/>
  <c r="C134" i="2"/>
  <c r="A134" i="2"/>
  <c r="E132" i="2"/>
  <c r="C132" i="2"/>
  <c r="A132" i="2"/>
  <c r="E130" i="2"/>
  <c r="C130" i="2"/>
  <c r="A130" i="2"/>
  <c r="E128" i="2"/>
  <c r="C128" i="2"/>
  <c r="A128" i="2"/>
  <c r="E126" i="2"/>
  <c r="C126" i="2"/>
  <c r="A126" i="2"/>
  <c r="E124" i="2"/>
  <c r="C124" i="2"/>
  <c r="A124" i="2"/>
  <c r="E122" i="2"/>
  <c r="C122" i="2"/>
  <c r="A122" i="2"/>
  <c r="E120" i="2"/>
  <c r="C120" i="2"/>
  <c r="A120" i="2"/>
  <c r="E118" i="2"/>
  <c r="C118" i="2"/>
  <c r="A118" i="2"/>
  <c r="E117" i="2"/>
  <c r="C117" i="2"/>
  <c r="A117" i="2"/>
  <c r="E116" i="2"/>
  <c r="C116" i="2"/>
  <c r="A116" i="2"/>
  <c r="E114" i="2"/>
  <c r="C114" i="2"/>
  <c r="A114" i="2"/>
  <c r="E112" i="2"/>
  <c r="C112" i="2"/>
  <c r="A112" i="2"/>
  <c r="E110" i="2"/>
  <c r="C110" i="2"/>
  <c r="A110" i="2"/>
  <c r="E109" i="2"/>
  <c r="C109" i="2"/>
  <c r="A109" i="2"/>
  <c r="E107" i="2"/>
  <c r="C107" i="2"/>
  <c r="A107" i="2"/>
  <c r="E105" i="2"/>
  <c r="C105" i="2"/>
  <c r="A105" i="2"/>
  <c r="E103" i="2"/>
  <c r="C103" i="2"/>
  <c r="A103" i="2"/>
  <c r="E102" i="2"/>
  <c r="A102" i="2"/>
  <c r="E100" i="2"/>
  <c r="C100" i="2"/>
  <c r="A100" i="2"/>
  <c r="E98" i="2"/>
  <c r="C98" i="2"/>
  <c r="A98" i="2"/>
  <c r="E96" i="2"/>
  <c r="C96" i="2"/>
  <c r="A96" i="2"/>
  <c r="E94" i="2"/>
  <c r="C94" i="2"/>
  <c r="A94" i="2"/>
  <c r="E93" i="2"/>
  <c r="C93" i="2"/>
  <c r="A93" i="2"/>
  <c r="E91" i="2"/>
  <c r="C91" i="2"/>
  <c r="A91" i="2"/>
  <c r="E89" i="2"/>
  <c r="C89" i="2"/>
  <c r="A89" i="2"/>
  <c r="E87" i="2"/>
  <c r="C87" i="2"/>
  <c r="A87" i="2"/>
  <c r="E85" i="2"/>
  <c r="C85" i="2"/>
  <c r="A85" i="2"/>
  <c r="E83" i="2"/>
  <c r="C83" i="2"/>
  <c r="A83" i="2"/>
  <c r="E81" i="2"/>
  <c r="C81" i="2"/>
  <c r="A81" i="2"/>
  <c r="E79" i="2"/>
  <c r="C79" i="2"/>
  <c r="A79" i="2"/>
  <c r="E77" i="2"/>
  <c r="C77" i="2"/>
  <c r="A77" i="2"/>
  <c r="E75" i="2"/>
  <c r="C75" i="2"/>
  <c r="A75" i="2"/>
  <c r="E73" i="2"/>
  <c r="C73" i="2"/>
  <c r="A73" i="2"/>
  <c r="E71" i="2"/>
  <c r="C71" i="2"/>
  <c r="A71" i="2"/>
  <c r="E69" i="2"/>
  <c r="C69" i="2"/>
  <c r="A69" i="2"/>
  <c r="E67" i="2"/>
  <c r="C67" i="2"/>
  <c r="A67" i="2"/>
  <c r="E65" i="2"/>
  <c r="C65" i="2"/>
  <c r="A65" i="2"/>
  <c r="E63" i="2"/>
  <c r="C63" i="2"/>
  <c r="A63" i="2"/>
  <c r="E61" i="2"/>
  <c r="C61" i="2"/>
  <c r="A61" i="2"/>
  <c r="E59" i="2"/>
  <c r="C59" i="2"/>
  <c r="A59" i="2"/>
  <c r="E57" i="2"/>
  <c r="C57" i="2"/>
  <c r="A57" i="2"/>
  <c r="E55" i="2"/>
  <c r="C55" i="2"/>
  <c r="A55" i="2"/>
  <c r="E53" i="2"/>
  <c r="C53" i="2"/>
  <c r="A53" i="2"/>
  <c r="E51" i="2"/>
  <c r="C51" i="2"/>
  <c r="A51" i="2"/>
  <c r="C50" i="2"/>
  <c r="E49" i="2"/>
  <c r="C49" i="2"/>
  <c r="A49" i="2"/>
  <c r="C48" i="2"/>
  <c r="A48" i="2"/>
  <c r="E47" i="2"/>
  <c r="C47" i="2"/>
  <c r="A47" i="2"/>
  <c r="C46" i="2"/>
  <c r="E45" i="2"/>
  <c r="C45" i="2"/>
  <c r="A45" i="2"/>
  <c r="E43" i="2"/>
  <c r="C43" i="2"/>
  <c r="A43" i="2"/>
  <c r="E40" i="2"/>
  <c r="C40" i="2"/>
  <c r="A40" i="2"/>
  <c r="E38" i="2"/>
  <c r="C38" i="2"/>
  <c r="A38" i="2"/>
  <c r="E36" i="2"/>
  <c r="C36" i="2"/>
  <c r="A36" i="2"/>
  <c r="E34" i="2"/>
  <c r="C34" i="2"/>
  <c r="A34" i="2"/>
  <c r="E32" i="2"/>
  <c r="C32" i="2"/>
  <c r="A32" i="2"/>
  <c r="E30" i="2"/>
  <c r="C30" i="2"/>
  <c r="A30" i="2"/>
  <c r="E29" i="2"/>
  <c r="C29" i="2"/>
  <c r="A29" i="2"/>
  <c r="E26" i="2"/>
  <c r="C26" i="2"/>
  <c r="A26" i="2"/>
  <c r="E24" i="2"/>
  <c r="C24" i="2"/>
  <c r="A24" i="2"/>
  <c r="E22" i="2"/>
  <c r="C22" i="2"/>
  <c r="A22" i="2"/>
  <c r="E20" i="2"/>
  <c r="C20" i="2"/>
  <c r="A20" i="2"/>
  <c r="E18" i="2"/>
  <c r="C18" i="2"/>
  <c r="A18" i="2"/>
  <c r="E17" i="2"/>
  <c r="C17" i="2"/>
  <c r="A17" i="2"/>
  <c r="E12" i="2" l="1"/>
  <c r="C12" i="2"/>
  <c r="A12" i="2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r>
          <rPr>
            <sz val="11"/>
            <color theme="1"/>
            <rFont val="Arial"/>
            <family val="2"/>
            <scheme val="minor"/>
          </rPr>
          <t>شماره چک باید اول در INFO ← Cheques تعریف شده باشد.</t>
        </r>
      </text>
    </comment>
    <comment ref="C7" authorId="0" shapeId="0">
      <text>
        <r>
          <rPr>
            <sz val="11"/>
            <color theme="1"/>
            <rFont val="Arial"/>
            <family val="2"/>
            <scheme val="minor"/>
          </rPr>
          <t>تاریخ سررسید چک — گزارش چک‌های پاس‌نشده بر اساس همین تاریخ مرتب می‌شود.</t>
        </r>
      </text>
    </comment>
    <comment ref="D7" authorId="0" shapeId="0">
      <text>
        <r>
          <rPr>
            <sz val="11"/>
            <color theme="1"/>
            <rFont val="Arial"/>
            <family val="2"/>
            <scheme val="minor"/>
          </rPr>
          <t>مبلغ چک به ریال.</t>
        </r>
      </text>
    </comment>
    <comment ref="E7" authorId="0" shapeId="0">
      <text>
        <r>
          <rPr>
            <sz val="11"/>
            <color theme="1"/>
            <rFont val="Arial"/>
            <family val="2"/>
            <scheme val="minor"/>
          </rPr>
          <t>کد ذی‌نفع از INFO ← Accounts — این حساب در ترازنامه بدهکار می‌شود.</t>
        </r>
      </text>
    </comment>
  </commentList>
</comments>
</file>

<file path=xl/sharedStrings.xml><?xml version="1.0" encoding="utf-8"?>
<sst xmlns="http://schemas.openxmlformats.org/spreadsheetml/2006/main" count="128" uniqueCount="98">
  <si>
    <t>صدور چک پرداختی — ثبت تاریخ، مبلغ و ذی‌نفع هر چک</t>
  </si>
  <si>
    <t>شماره چک باید قبلاً در INFO ← شیت Cheques تعریف شده باشد (کشویی از همان‌جا). در تاریخ «پاس شدن» چیزی ننویسید — وقتی چک پاس شود، در Transactions یک ردیف با نوع «پاس چک» و همین شماره چک ثبت کنید؛ وضعیت خودکار عوض می‌شود. در گزارش‌ها فقط شماره چک، تاریخ و مبلغ استفاده می‌شود.</t>
  </si>
  <si>
    <t>تعداد چک صادرشده</t>
  </si>
  <si>
    <t>جمع مبلغ چک‌ها (ریال)</t>
  </si>
  <si>
    <t>جمع پاس‌شده (ریال)</t>
  </si>
  <si>
    <t>ظرفیت باقی‌مانده</t>
  </si>
  <si>
    <t>ردیف</t>
  </si>
  <si>
    <t>شماره چک</t>
  </si>
  <si>
    <t>تاریخ چک</t>
  </si>
  <si>
    <t>مبلغ (ریال)</t>
  </si>
  <si>
    <t>ذی‌نفع</t>
  </si>
  <si>
    <t>وضعیت (خودکار)</t>
  </si>
  <si>
    <t>توضیحات</t>
  </si>
  <si>
    <t>No.</t>
  </si>
  <si>
    <t>Cheque No.</t>
  </si>
  <si>
    <t>Cheque Date</t>
  </si>
  <si>
    <t>Amount</t>
  </si>
  <si>
    <t>Beneficiary</t>
  </si>
  <si>
    <t>Status (auto)</t>
  </si>
  <si>
    <t>Notes</t>
  </si>
  <si>
    <t>24012345</t>
  </si>
  <si>
    <t>1405/07/10</t>
  </si>
  <si>
    <t>S001</t>
  </si>
  <si>
    <t>بابت خرید باغ — چک سررسید ۱۰ مهر (نمونه)</t>
  </si>
  <si>
    <t>24012346</t>
  </si>
  <si>
    <t>1405/07/20</t>
  </si>
  <si>
    <t>X002</t>
  </si>
  <si>
    <t>مالیات — چک سررسید ۲۰ مهر (نمونه)</t>
  </si>
  <si>
    <t>24012347</t>
  </si>
  <si>
    <t>1405/08/02</t>
  </si>
  <si>
    <t>S002</t>
  </si>
  <si>
    <t>خرید میدان بار — چک سررسید ۲ آبان (نمونه)</t>
  </si>
  <si>
    <t>24012348</t>
  </si>
  <si>
    <t>1405/08/05</t>
  </si>
  <si>
    <t>F001</t>
  </si>
  <si>
    <t>خرید زمین باغدشت با چک — دارایی ثابت (نمونه)</t>
  </si>
  <si>
    <t>گردش چک‌های پرداختی در بازه — همه چک‌ها (سبز = پاس شده، قرمز = پاس نشده)</t>
  </si>
  <si>
    <t>از تاریخ:</t>
  </si>
  <si>
    <t>1405/07/01</t>
  </si>
  <si>
    <t>تا تاریخ:</t>
  </si>
  <si>
    <t>1405/07/31</t>
  </si>
  <si>
    <t>بازه را با قالب 1405/07/01 وارد کنید — برای هر ماه، همین شیت را کپی کنید و بازه را عوض کنید.</t>
  </si>
  <si>
    <t>جمع کل چک‌های بازه (ریال)</t>
  </si>
  <si>
    <t>جمع پاس‌نشده (ریال)</t>
  </si>
  <si>
    <t>وضعیت</t>
  </si>
  <si>
    <t>تاریخ پاس</t>
  </si>
  <si>
    <t>Status</t>
  </si>
  <si>
    <t>Cleared On</t>
  </si>
  <si>
    <t>چک‌های پاس‌نشده در بازه — به ترتیب تاریخ</t>
  </si>
  <si>
    <t>جمع چک‌های پاس‌نشده (ریال)</t>
  </si>
  <si>
    <t>تعداد</t>
  </si>
  <si>
    <t>نزدیک‌ترین سررسید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</si>
  <si>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</si>
  <si>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</si>
  <si>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دفتر چک مادر (INFO) و فایل واریز/برداشت (Transactions) برای وضعیت چک‌ها. فرمول‌ها را تغییر ندهید. اگر همه سلول‌ها خالی شدند یعنی لینک به‌روز نشده: Data ← Edit Links ← Update Values.</t>
  </si>
  <si>
    <t>Cheques · No.</t>
  </si>
  <si>
    <t>Acct · Code</t>
  </si>
  <si>
    <t>· Nature</t>
  </si>
  <si>
    <t>· Sub</t>
  </si>
  <si>
    <t>· Name</t>
  </si>
  <si>
    <t>Company</t>
  </si>
  <si>
    <t>Entry · C</t>
  </si>
  <si>
    <t>Entry · J</t>
  </si>
  <si>
    <t>Entry · M</t>
  </si>
  <si>
    <t>Entry · N</t>
  </si>
  <si>
    <t>Entry · S</t>
  </si>
  <si>
    <t>برگه فنی — موتور چک‌ها (نرمال‌سازی تاریخ، وضعیت پاس/پاس‌نشده و کلید مرتب‌سازی). فرمول‌ها را تغییر ندهید.</t>
  </si>
  <si>
    <t>A·چک</t>
  </si>
  <si>
    <t>A·Y</t>
  </si>
  <si>
    <t>A·M</t>
  </si>
  <si>
    <t>A·D</t>
  </si>
  <si>
    <t>A·تاریخ</t>
  </si>
  <si>
    <t>A·مبلغ</t>
  </si>
  <si>
    <t>A·ذی‌نفع</t>
  </si>
  <si>
    <t>A·وضعیت</t>
  </si>
  <si>
    <t>A·تاریخ‌پاس</t>
  </si>
  <si>
    <t>A·توضیح</t>
  </si>
  <si>
    <t>A·کلید</t>
  </si>
  <si>
    <t>B·چک‌پاس</t>
  </si>
  <si>
    <t>B·تاریخ‌پاس</t>
  </si>
  <si>
    <t>راهنمای فایل چک‌های پرداختی (Cheques.xlsx)</t>
  </si>
  <si>
    <t>۱) این فایل چیست؟</t>
  </si>
  <si>
    <t>• دفتر چک‌های پرداختی شرکت: ثبت صدور هر چک + مشاهده وضعیت پاس‌شده/پاس‌نشده در هر بازه زمانی.</t>
  </si>
  <si>
    <t>• شماره چک‌ها اول در INFO ← شیت Cheques تعریف می‌شوند (بانک/شعبه/دفترچه/سری/صیاد اطلاعاتی‌اند).</t>
  </si>
  <si>
    <t>• در همه گزارش‌ها فقط شماره چک، تاریخ چک و مبلغ استفاده می‌شود.</t>
  </si>
  <si>
    <t>۲) شیت Issues — ثبت صدور</t>
  </si>
  <si>
    <t>• هر چکی که می‌دهید یک ردیف: شماره چک (کشویی از INFO) | تاریخ چک | مبلغ | ذی‌نفع (کد از INFO).</t>
  </si>
  <si>
    <t>• وضعیت خودکار است: تا وقتی پاس نشده «پاس نشده» می‌ماند.</t>
  </si>
  <si>
    <t>۳) پاس شدن چک — جریان کار</t>
  </si>
  <si>
    <t>• وقتی چک از حساب بانک گذشت: در Transactions.xlsx یک ردیف با نوع «پاس چک» ثبت کنید — بانک، تاریخ، مبلغ برداشت و در ستون «شماره چک» همان شماره.</t>
  </si>
  <si>
    <t>• مانده بانک در Transactions خودکار کم می‌شود و وضعیت چک در همین فایل «پاس شده» می‌شود (تاریخ پاس از همان ردیف).</t>
  </si>
  <si>
    <t>۴) شیت‌های گزارشی (هر دو کپی‌کردنی برای هر ماه)</t>
  </si>
  <si>
    <t>• Month — گردش کل بازه: «از تاریخ / تا تاریخ» را وارد کنید؛ همه چک‌های تاریخ‌درآن‌بازه به ترتیب تاریخ، با رنگ سبز (پاس شده) و قرمز (پاس نشده) + جمع‌ها.</t>
  </si>
  <si>
    <t>• Unpaid — فقط چک‌های پاس‌نشده همان بازه، به ترتیب تاریخ + جمع.</t>
  </si>
  <si>
    <t>• برای ماه دیگر، شیت را کپی کنید و فقط بازه را عوض کنید.</t>
  </si>
  <si>
    <t>۵) اتصال‌ها</t>
  </si>
  <si>
    <t>• این فایل، Transactions.xlsx و INFO.xlsx همیشه در یک پوشه باشند.</t>
  </si>
  <si>
    <t>• پس از تغییر منابع: Data ← Edit Links ← Update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</si>
</sst>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Arial"/>
      <family val="2"/>
      <scheme val="minor"/>
    </font>
    <font>
      <b/>
      <sz val="15"/>
      <color rgb="FFFFFFFF"/>
      <name val="Tahoma"/>
    </font>
    <font>
      <sz val="8"/>
      <color rgb="FFC8E6C9"/>
      <name val="Tahoma"/>
    </font>
    <font>
      <b/>
      <sz val="8"/>
      <color rgb="FFC62828"/>
      <name val="Tahoma"/>
    </font>
    <font>
      <b/>
      <sz val="8"/>
      <color rgb="FFFFFFFF"/>
      <name val="Tahoma"/>
    </font>
    <font>
      <b/>
      <sz val="13"/>
      <color rgb="FFE65100"/>
      <name val="Tahoma"/>
    </font>
    <font>
      <i/>
      <sz val="8"/>
      <color rgb="FF607D8B"/>
      <name val="Tahoma"/>
    </font>
    <font>
      <b/>
      <sz val="7.5"/>
      <color rgb="FF607D8B"/>
      <name val="Tahoma"/>
    </font>
    <font>
      <b/>
      <sz val="11"/>
      <color rgb="FF263238"/>
      <name val="Tahoma"/>
    </font>
    <font>
      <b/>
      <sz val="9.5"/>
      <color rgb="FFFFFFFF"/>
      <name val="Tahoma"/>
    </font>
    <font>
      <sz val="6.5"/>
      <color rgb="FF546E7A"/>
      <name val="Tahoma"/>
    </font>
    <font>
      <sz val="9"/>
      <color rgb="FF607D8B"/>
      <name val="Tahoma"/>
    </font>
    <font>
      <sz val="9"/>
      <color rgb="FF263238"/>
      <name val="Tahoma"/>
    </font>
    <font>
      <b/>
      <sz val="9"/>
      <color rgb="FF1B5E20"/>
      <name val="Tahoma"/>
    </font>
    <font>
      <b/>
      <sz val="9"/>
      <color rgb="FF263238"/>
      <name val="Tahoma"/>
    </font>
    <font>
      <b/>
      <sz val="9"/>
      <color rgb="FF607D8B"/>
      <name val="Tahoma"/>
    </font>
    <font>
      <b/>
      <sz val="11"/>
      <color rgb="FFE65100"/>
      <name val="Tahoma"/>
    </font>
    <font>
      <i/>
      <sz val="7.5"/>
      <color rgb="FF607D8B"/>
      <name val="Tahoma"/>
    </font>
    <font>
      <sz val="7"/>
      <color rgb="FF607D8B"/>
      <name val="Tahoma"/>
    </font>
    <font>
      <b/>
      <sz val="12"/>
      <color rgb="FFE65100"/>
      <name val="Tahoma"/>
    </font>
    <font>
      <b/>
      <sz val="10.5"/>
      <color rgb="FFFFFFFF"/>
      <name val="Tahoma"/>
    </font>
  </fonts>
  <fills count="11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F1F8F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3F8F3"/>
      </patternFill>
    </fill>
    <fill>
      <patternFill patternType="solid">
        <fgColor rgb="FF607D8B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center" vertical="center"/>
    </xf>
    <xf numFmtId="3" fontId="12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8" fillId="0" borderId="0" xfId="0" applyFont="1"/>
    <xf numFmtId="49" fontId="16" fillId="8" borderId="4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2" fillId="9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9" fillId="5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6"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0" refreshError="1"/>
      <sheetData sheetId="1">
        <row r="5">
          <cell r="C5" t="str">
            <v>سورتینگ و بسته‌بندی مرکبات 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011-42116449</v>
          </cell>
        </row>
      </sheetData>
      <sheetData sheetId="2">
        <row r="7">
          <cell r="A7" t="str">
            <v>P01</v>
          </cell>
        </row>
      </sheetData>
      <sheetData sheetId="3" refreshError="1"/>
      <sheetData sheetId="4">
        <row r="7">
          <cell r="A7" t="str">
            <v>G01</v>
          </cell>
        </row>
      </sheetData>
      <sheetData sheetId="5">
        <row r="7">
          <cell r="A7" t="str">
            <v>SG001</v>
          </cell>
        </row>
      </sheetData>
      <sheetData sheetId="6" refreshError="1"/>
      <sheetData sheetId="7" refreshError="1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</row>
        <row r="10">
          <cell r="A10" t="str">
            <v>C004</v>
          </cell>
          <cell r="B10" t="str">
            <v>فروشنده</v>
          </cell>
          <cell r="D10" t="str">
            <v>امید زاهدی</v>
          </cell>
        </row>
        <row r="11">
          <cell r="A11" t="str">
            <v>C005</v>
          </cell>
          <cell r="B11" t="str">
            <v>فروشنده</v>
          </cell>
          <cell r="D11" t="str">
            <v>محمدرضا زاهدی (پسر)</v>
          </cell>
        </row>
        <row r="12">
          <cell r="A12" t="str">
            <v>C006</v>
          </cell>
          <cell r="B12" t="str">
            <v>فروشنده</v>
          </cell>
          <cell r="D12" t="str">
            <v>هوشنگ عیسی پور</v>
          </cell>
        </row>
        <row r="13">
          <cell r="A13" t="str">
            <v>C007</v>
          </cell>
          <cell r="B13" t="str">
            <v>فروشنده</v>
          </cell>
          <cell r="D13" t="str">
            <v>علی آهنگر</v>
          </cell>
        </row>
        <row r="14">
          <cell r="A14" t="str">
            <v>C008</v>
          </cell>
          <cell r="B14" t="str">
            <v>فروشنده</v>
          </cell>
          <cell r="D14" t="str">
            <v>صفدر مسلمی</v>
          </cell>
        </row>
        <row r="15">
          <cell r="A15" t="str">
            <v>C009</v>
          </cell>
          <cell r="B15" t="str">
            <v>فروشنده</v>
          </cell>
          <cell r="D15" t="str">
            <v>همایون بابایی</v>
          </cell>
        </row>
        <row r="16">
          <cell r="A16" t="str">
            <v>C010</v>
          </cell>
          <cell r="B16" t="str">
            <v>فروشنده</v>
          </cell>
          <cell r="D16" t="str">
            <v>دبیر فرجی</v>
          </cell>
        </row>
        <row r="17">
          <cell r="A17" t="str">
            <v>C011</v>
          </cell>
          <cell r="B17" t="str">
            <v>فروشنده</v>
          </cell>
          <cell r="D17" t="str">
            <v>محمود علیجانی</v>
          </cell>
        </row>
        <row r="18">
          <cell r="A18" t="str">
            <v>C012</v>
          </cell>
          <cell r="B18" t="str">
            <v>فروشنده</v>
          </cell>
          <cell r="D18" t="str">
            <v>افشین بشتکار</v>
          </cell>
        </row>
        <row r="19">
          <cell r="A19" t="str">
            <v>C013</v>
          </cell>
          <cell r="B19" t="str">
            <v>فروشنده</v>
          </cell>
          <cell r="D19" t="str">
            <v>میرقربان موسویان</v>
          </cell>
        </row>
        <row r="20">
          <cell r="A20" t="str">
            <v>C014</v>
          </cell>
          <cell r="B20" t="str">
            <v>فروشنده</v>
          </cell>
          <cell r="D20" t="str">
            <v>باباجانی (تراجیکلا)</v>
          </cell>
        </row>
        <row r="21">
          <cell r="A21" t="str">
            <v>C015</v>
          </cell>
          <cell r="B21" t="str">
            <v>فروشنده</v>
          </cell>
          <cell r="D21" t="str">
            <v>کاظم میرزازاده</v>
          </cell>
        </row>
        <row r="22">
          <cell r="A22" t="str">
            <v>C016</v>
          </cell>
          <cell r="B22" t="str">
            <v>فروشنده</v>
          </cell>
          <cell r="D22" t="str">
            <v>علی جانبرارپور</v>
          </cell>
        </row>
        <row r="23">
          <cell r="A23" t="str">
            <v>C017</v>
          </cell>
          <cell r="B23" t="str">
            <v>فروشنده</v>
          </cell>
          <cell r="D23" t="str">
            <v>لیلا محمودنیا</v>
          </cell>
        </row>
        <row r="24">
          <cell r="A24" t="str">
            <v>C018</v>
          </cell>
          <cell r="B24" t="str">
            <v>فروشنده</v>
          </cell>
          <cell r="D24" t="str">
            <v>اسماعیل خانیا</v>
          </cell>
        </row>
        <row r="25">
          <cell r="A25" t="str">
            <v>C019</v>
          </cell>
          <cell r="B25" t="str">
            <v>فروشنده</v>
          </cell>
          <cell r="D25" t="str">
            <v>یوسف یوسف نژاد</v>
          </cell>
        </row>
        <row r="26">
          <cell r="A26" t="str">
            <v>C020</v>
          </cell>
          <cell r="B26" t="str">
            <v>فروشنده</v>
          </cell>
          <cell r="D26" t="str">
            <v>علی نوایی</v>
          </cell>
        </row>
        <row r="27">
          <cell r="A27" t="str">
            <v>C021</v>
          </cell>
          <cell r="B27" t="str">
            <v>فروشنده</v>
          </cell>
          <cell r="D27" t="str">
            <v>دومیری</v>
          </cell>
        </row>
        <row r="28">
          <cell r="A28" t="str">
            <v>C022</v>
          </cell>
          <cell r="B28" t="str">
            <v>فروشنده</v>
          </cell>
          <cell r="D28" t="str">
            <v>شمسعلی علیجانی</v>
          </cell>
        </row>
        <row r="29">
          <cell r="A29" t="str">
            <v>C023</v>
          </cell>
          <cell r="B29" t="str">
            <v>فروشنده</v>
          </cell>
          <cell r="D29" t="str">
            <v>یوسف نیا(موزیج)</v>
          </cell>
        </row>
        <row r="30">
          <cell r="A30" t="str">
            <v>C024</v>
          </cell>
          <cell r="B30" t="str">
            <v>فروشنده</v>
          </cell>
          <cell r="D30" t="str">
            <v>کاظم ذبیح پور</v>
          </cell>
        </row>
        <row r="31">
          <cell r="A31" t="str">
            <v>C025</v>
          </cell>
          <cell r="B31" t="str">
            <v>فروشنده</v>
          </cell>
          <cell r="D31" t="str">
            <v>علی غلام رضاپور</v>
          </cell>
        </row>
        <row r="32">
          <cell r="A32" t="str">
            <v>C026</v>
          </cell>
          <cell r="B32" t="str">
            <v>فروشنده</v>
          </cell>
          <cell r="D32" t="str">
            <v>حسین شکرالله پور</v>
          </cell>
        </row>
        <row r="33">
          <cell r="A33" t="str">
            <v>C027</v>
          </cell>
          <cell r="B33" t="str">
            <v>فروشنده</v>
          </cell>
          <cell r="D33" t="str">
            <v>سید مهدی حسینی</v>
          </cell>
        </row>
        <row r="34">
          <cell r="A34" t="str">
            <v>C028</v>
          </cell>
          <cell r="B34" t="str">
            <v>فروشنده</v>
          </cell>
          <cell r="D34" t="str">
            <v>آقای عزیزی</v>
          </cell>
        </row>
        <row r="35">
          <cell r="A35" t="str">
            <v>C029</v>
          </cell>
          <cell r="B35" t="str">
            <v>فروشنده</v>
          </cell>
          <cell r="D35" t="str">
            <v>آقای حبیبی(بانک صادرات)</v>
          </cell>
        </row>
        <row r="36">
          <cell r="A36" t="str">
            <v>C030</v>
          </cell>
          <cell r="B36" t="str">
            <v>فروشنده</v>
          </cell>
          <cell r="D36" t="str">
            <v>محمد علی اصغرزاده</v>
          </cell>
        </row>
        <row r="37">
          <cell r="A37" t="str">
            <v>C031</v>
          </cell>
          <cell r="B37" t="str">
            <v>فروشنده</v>
          </cell>
          <cell r="D37" t="str">
            <v>فغان پور</v>
          </cell>
        </row>
        <row r="38">
          <cell r="A38" t="str">
            <v>C032</v>
          </cell>
          <cell r="B38" t="str">
            <v>فروشنده</v>
          </cell>
        </row>
        <row r="39">
          <cell r="A39" t="str">
            <v>C033</v>
          </cell>
          <cell r="B39" t="str">
            <v>فروشنده</v>
          </cell>
        </row>
        <row r="40">
          <cell r="A40" t="str">
            <v>C034</v>
          </cell>
          <cell r="B40" t="str">
            <v>فروشنده</v>
          </cell>
        </row>
        <row r="41">
          <cell r="A41" t="str">
            <v>C035</v>
          </cell>
          <cell r="B41" t="str">
            <v>فروشنده</v>
          </cell>
        </row>
        <row r="42">
          <cell r="A42" t="str">
            <v>C036</v>
          </cell>
          <cell r="B42" t="str">
            <v>فروشنده</v>
          </cell>
        </row>
        <row r="43">
          <cell r="A43" t="str">
            <v>C037</v>
          </cell>
          <cell r="B43" t="str">
            <v>فروشنده</v>
          </cell>
        </row>
        <row r="44">
          <cell r="A44" t="str">
            <v>C038</v>
          </cell>
          <cell r="B44" t="str">
            <v>فروشنده</v>
          </cell>
        </row>
        <row r="45">
          <cell r="A45" t="str">
            <v>C039</v>
          </cell>
          <cell r="B45" t="str">
            <v>فروشنده</v>
          </cell>
        </row>
        <row r="46">
          <cell r="A46" t="str">
            <v>C040</v>
          </cell>
          <cell r="B46" t="str">
            <v>فروشنده</v>
          </cell>
        </row>
        <row r="47">
          <cell r="A47" t="str">
            <v>C041</v>
          </cell>
          <cell r="B47" t="str">
            <v>فروشنده</v>
          </cell>
        </row>
        <row r="48">
          <cell r="A48" t="str">
            <v>C042</v>
          </cell>
          <cell r="B48" t="str">
            <v>فروشنده</v>
          </cell>
        </row>
        <row r="49">
          <cell r="A49" t="str">
            <v>C043</v>
          </cell>
          <cell r="B49" t="str">
            <v>فروشنده</v>
          </cell>
        </row>
        <row r="50">
          <cell r="A50" t="str">
            <v>C044</v>
          </cell>
          <cell r="B50" t="str">
            <v>فروشنده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D207" t="str">
            <v>قم-سید حسین حسینی</v>
          </cell>
        </row>
        <row r="208">
          <cell r="A208" t="str">
            <v>SL002</v>
          </cell>
          <cell r="B208" t="str">
            <v>فروشنده</v>
          </cell>
          <cell r="D208" t="str">
            <v>مشهد-محمد توکلی</v>
          </cell>
        </row>
        <row r="209">
          <cell r="A209" t="str">
            <v>SL003</v>
          </cell>
          <cell r="B209" t="str">
            <v>فروشنده</v>
          </cell>
          <cell r="D209" t="str">
            <v>اراک-پوریا خوشنمکیان</v>
          </cell>
        </row>
        <row r="210">
          <cell r="A210" t="str">
            <v>SL004</v>
          </cell>
          <cell r="B210" t="str">
            <v>فروشنده</v>
          </cell>
          <cell r="D210" t="str">
            <v>نورزاده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D457" t="str">
            <v>انعام مصطفی</v>
          </cell>
        </row>
        <row r="458">
          <cell r="A458" t="str">
            <v>X002</v>
          </cell>
          <cell r="D458" t="str">
            <v>درامد باسکول(احمد زاهدی)</v>
          </cell>
        </row>
        <row r="459">
          <cell r="A459" t="str">
            <v>X003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</row>
      </sheetData>
      <sheetData sheetId="10"/>
      <sheetData sheetId="11">
        <row r="7">
          <cell r="A7" t="str">
            <v>T01</v>
          </cell>
        </row>
      </sheetData>
      <sheetData sheetId="12">
        <row r="7">
          <cell r="A7" t="str">
            <v>OP01</v>
          </cell>
        </row>
      </sheetData>
      <sheetData sheetId="13">
        <row r="7">
          <cell r="A7" t="str">
            <v>PB01</v>
          </cell>
        </row>
      </sheetData>
      <sheetData sheetId="14">
        <row r="7">
          <cell r="A7" t="str">
            <v>PS01</v>
          </cell>
        </row>
      </sheetData>
      <sheetData sheetId="15">
        <row r="7">
          <cell r="A7" t="str">
            <v>BK01</v>
          </cell>
        </row>
      </sheetData>
      <sheetData sheetId="16">
        <row r="7">
          <cell r="A7" t="str">
            <v>W01</v>
          </cell>
        </row>
      </sheetData>
      <sheetData sheetId="17">
        <row r="7">
          <cell r="C7" t="str">
            <v>پرتقال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J9" t="str">
            <v>واریز</v>
          </cell>
          <cell r="M9">
            <v>250000000</v>
          </cell>
        </row>
        <row r="10">
          <cell r="C10" t="str">
            <v>1405/07/01</v>
          </cell>
          <cell r="J10" t="str">
            <v>برداشت</v>
          </cell>
          <cell r="N10">
            <v>1200000</v>
          </cell>
        </row>
        <row r="11">
          <cell r="C11" t="str">
            <v>1405/07/02</v>
          </cell>
          <cell r="J11" t="str">
            <v>برداشت</v>
          </cell>
          <cell r="N11">
            <v>80000000</v>
          </cell>
        </row>
        <row r="12">
          <cell r="C12" t="str">
            <v>1405/07/02</v>
          </cell>
          <cell r="J12" t="str">
            <v>واریز</v>
          </cell>
          <cell r="M12">
            <v>90000000</v>
          </cell>
        </row>
        <row r="13">
          <cell r="C13" t="str">
            <v>1405/07/03</v>
          </cell>
          <cell r="J13" t="str">
            <v>برداشت</v>
          </cell>
          <cell r="N13">
            <v>15000000</v>
          </cell>
        </row>
        <row r="14">
          <cell r="C14" t="str">
            <v>1405/07/01</v>
          </cell>
          <cell r="J14" t="str">
            <v>واریز</v>
          </cell>
          <cell r="M14">
            <v>250000000</v>
          </cell>
        </row>
        <row r="15">
          <cell r="C15" t="str">
            <v>1405/07/04</v>
          </cell>
          <cell r="J15" t="str">
            <v>واریز</v>
          </cell>
          <cell r="M15">
            <v>300000000</v>
          </cell>
        </row>
        <row r="16">
          <cell r="C16" t="str">
            <v>1405/07/09</v>
          </cell>
          <cell r="J16" t="str">
            <v>واریز</v>
          </cell>
          <cell r="M16">
            <v>1600000000</v>
          </cell>
        </row>
        <row r="17">
          <cell r="C17" t="str">
            <v>1405/07/05</v>
          </cell>
          <cell r="J17" t="str">
            <v>برداشت</v>
          </cell>
          <cell r="N17">
            <v>25000000</v>
          </cell>
        </row>
        <row r="18">
          <cell r="C18" t="str">
            <v>1405/07/06</v>
          </cell>
          <cell r="J18" t="str">
            <v>برداشت</v>
          </cell>
          <cell r="N18">
            <v>4500000</v>
          </cell>
        </row>
        <row r="19">
          <cell r="C19" t="str">
            <v>1405/07/07</v>
          </cell>
          <cell r="J19" t="str">
            <v>برداشت</v>
          </cell>
          <cell r="N19">
            <v>8000000</v>
          </cell>
        </row>
        <row r="20">
          <cell r="C20" t="str">
            <v>1405/07/08</v>
          </cell>
          <cell r="J20" t="str">
            <v>برداشت</v>
          </cell>
          <cell r="N20">
            <v>20000000</v>
          </cell>
        </row>
        <row r="21">
          <cell r="C21" t="str">
            <v>1405/07/07</v>
          </cell>
          <cell r="J21" t="str">
            <v>برداشت</v>
          </cell>
          <cell r="N21">
            <v>15000000</v>
          </cell>
        </row>
        <row r="22">
          <cell r="C22" t="str">
            <v>1405/07/15</v>
          </cell>
          <cell r="J22" t="str">
            <v>پاس چک</v>
          </cell>
          <cell r="N22">
            <v>80000000</v>
          </cell>
          <cell r="S22" t="str">
            <v>24012345</v>
          </cell>
        </row>
        <row r="23">
          <cell r="C23" t="str">
            <v>1405/07/11</v>
          </cell>
          <cell r="J23" t="str">
            <v>واریز</v>
          </cell>
          <cell r="M23">
            <v>400000000</v>
          </cell>
        </row>
        <row r="24">
          <cell r="C24" t="str">
            <v>1405/07/12</v>
          </cell>
          <cell r="J24" t="str">
            <v>واریز</v>
          </cell>
          <cell r="M24">
            <v>200000000</v>
          </cell>
        </row>
        <row r="25">
          <cell r="C25" t="str">
            <v>1405/07/16</v>
          </cell>
          <cell r="J25" t="str">
            <v>برداشت</v>
          </cell>
          <cell r="N25">
            <v>20000000</v>
          </cell>
        </row>
        <row r="26">
          <cell r="C26" t="str">
            <v>1405/07/16</v>
          </cell>
          <cell r="J26" t="str">
            <v>برداشت</v>
          </cell>
          <cell r="N26">
            <v>2000000</v>
          </cell>
        </row>
        <row r="27">
          <cell r="C27" t="str">
            <v>1405/07/18</v>
          </cell>
          <cell r="J27" t="str">
            <v>برداشت</v>
          </cell>
          <cell r="N27">
            <v>150000000</v>
          </cell>
        </row>
        <row r="28">
          <cell r="C28" t="str">
            <v>1405/07/15</v>
          </cell>
          <cell r="J28" t="str">
            <v>برداشت</v>
          </cell>
          <cell r="N28">
            <v>25000000</v>
          </cell>
        </row>
        <row r="29">
          <cell r="C29" t="str">
            <v>1405/07/20</v>
          </cell>
          <cell r="J29" t="str">
            <v>واریز</v>
          </cell>
          <cell r="M29">
            <v>5000000</v>
          </cell>
        </row>
        <row r="30">
          <cell r="C30" t="str">
            <v>1405/07/21</v>
          </cell>
          <cell r="J30" t="str">
            <v>برداشت</v>
          </cell>
          <cell r="N30">
            <v>3000000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65100"/>
    <pageSetUpPr fitToPage="1"/>
  </sheetPr>
  <dimension ref="A1:G508"/>
  <sheetViews>
    <sheetView showGridLines="0" rightToLeft="1" tabSelected="1" topLeftCell="B1" zoomScale="95" workbookViewId="0">
      <pane ySplit="8" topLeftCell="A9" activePane="bottomLeft" state="frozen"/>
      <selection pane="bottomLeft" activeCell="C9" sqref="C9"/>
    </sheetView>
  </sheetViews>
  <sheetFormatPr defaultRowHeight="14.25" x14ac:dyDescent="0.2"/>
  <cols>
    <col min="1" max="1" width="5.5" customWidth="1"/>
    <col min="2" max="2" width="13" customWidth="1"/>
    <col min="3" max="3" width="12" customWidth="1"/>
    <col min="4" max="4" width="15" customWidth="1"/>
    <col min="5" max="5" width="11" customWidth="1"/>
    <col min="6" max="6" width="12" customWidth="1"/>
    <col min="7" max="7" width="34" customWidth="1"/>
  </cols>
  <sheetData>
    <row r="1" spans="1:7" ht="26.1" customHeight="1" x14ac:dyDescent="0.2">
      <c r="A1" s="21" t="str">
        <f>IF(Sync!$J$6="","مازندشت",Sync!$J$6)&amp;" — "&amp;IF(Sync!$J$9="","سورتینگ و بسته‌بندی مرکبات",Sync!$J$9)</f>
        <v>سورتینگ و بسته‌بندی مرکبات مازندشت — سورتینگ، بسته‌بندی و بازرگانی مرکبات</v>
      </c>
      <c r="B1" s="21"/>
      <c r="C1" s="21"/>
      <c r="D1" s="21"/>
      <c r="E1" s="21"/>
      <c r="F1" s="21"/>
      <c r="G1" s="21"/>
    </row>
    <row r="2" spans="1:7" ht="14.1" customHeight="1" x14ac:dyDescent="0.2">
      <c r="A2" s="25" t="str">
        <f>IF(Sync!$J$7="","باغدشت، بخش مرکزی، شهرستان قائم‌شهر، استان مازندران، ایران",Sync!$J$7)&amp;"     |     MAZANDASHT · CITRUS SORTING &amp; PACKING"</f>
        <v>باغدشت، بخش مرکزی، شهرستان قائم‌شهر، استان مازندران، ایران     |     MAZANDASHT · CITRUS SORTING &amp; PACKING</v>
      </c>
      <c r="B2" s="25"/>
      <c r="C2" s="25"/>
      <c r="D2" s="25"/>
      <c r="E2" s="25"/>
      <c r="F2" s="25"/>
      <c r="G2" s="25"/>
    </row>
    <row r="3" spans="1:7" ht="24" customHeight="1" x14ac:dyDescent="0.2">
      <c r="A3" s="22" t="s">
        <v>0</v>
      </c>
      <c r="B3" s="22"/>
      <c r="C3" s="22"/>
      <c r="D3" s="22"/>
      <c r="E3" s="22"/>
      <c r="F3" s="22"/>
      <c r="G3" s="22"/>
    </row>
    <row r="4" spans="1:7" ht="30" customHeight="1" x14ac:dyDescent="0.2">
      <c r="A4" s="24" t="s">
        <v>1</v>
      </c>
      <c r="B4" s="24"/>
      <c r="C4" s="24"/>
      <c r="D4" s="24"/>
      <c r="E4" s="24"/>
      <c r="F4" s="24"/>
      <c r="G4" s="24"/>
    </row>
    <row r="5" spans="1:7" ht="12.95" customHeight="1" x14ac:dyDescent="0.2">
      <c r="A5" s="23" t="s">
        <v>2</v>
      </c>
      <c r="B5" s="23"/>
      <c r="C5" s="23" t="s">
        <v>3</v>
      </c>
      <c r="D5" s="23"/>
      <c r="E5" s="23" t="s">
        <v>4</v>
      </c>
      <c r="F5" s="23"/>
      <c r="G5" s="23" t="s">
        <v>5</v>
      </c>
    </row>
    <row r="6" spans="1:7" ht="20.100000000000001" customHeight="1" x14ac:dyDescent="0.2">
      <c r="A6" s="26">
        <f>COUNTA($B$9:$B$508)</f>
        <v>4</v>
      </c>
      <c r="B6" s="26"/>
      <c r="C6" s="20">
        <f>SUM($D$9:$D$508)</f>
        <v>335000000</v>
      </c>
      <c r="D6" s="20"/>
      <c r="E6" s="20">
        <f>SUMIF($F$9:$F$508,"پاس شده",$D$9:$D$508)</f>
        <v>80000000</v>
      </c>
      <c r="F6" s="20"/>
      <c r="G6" s="26">
        <f>500-COUNTA($B$9:$B$508)</f>
        <v>496</v>
      </c>
    </row>
    <row r="7" spans="1:7" ht="30" customHeight="1" x14ac:dyDescent="0.2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</row>
    <row r="8" spans="1:7" ht="12.95" customHeight="1" x14ac:dyDescent="0.2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</row>
    <row r="9" spans="1:7" x14ac:dyDescent="0.2">
      <c r="A9" s="3">
        <f>IF($B9="","",COUNTA($B$9:$B9))</f>
        <v>1</v>
      </c>
      <c r="B9" s="4"/>
      <c r="C9" s="4"/>
      <c r="D9" s="5"/>
      <c r="E9" s="6"/>
      <c r="F9" s="7" t="str">
        <f t="shared" ref="F9:F72" si="0">IF($B9="","",IF(COUNTIFS(ETxnType,"پاس چک",ETxnChk,$B9)&gt;0,"پاس شده","پاس نشده"))</f>
        <v>پاس شده</v>
      </c>
      <c r="G9" s="8"/>
    </row>
    <row r="10" spans="1:7" x14ac:dyDescent="0.2">
      <c r="A10" s="9">
        <f>IF($B10="","",COUNTA($B$9:$B10))</f>
        <v>2</v>
      </c>
      <c r="B10" s="4"/>
      <c r="C10" s="4"/>
      <c r="D10" s="5"/>
      <c r="E10" s="6"/>
      <c r="F10" s="10" t="str">
        <f t="shared" si="0"/>
        <v>پاس نشده</v>
      </c>
      <c r="G10" s="8"/>
    </row>
    <row r="11" spans="1:7" x14ac:dyDescent="0.2">
      <c r="A11" s="3">
        <f>IF($B11="","",COUNTA($B$9:$B11))</f>
        <v>3</v>
      </c>
      <c r="B11" s="4"/>
      <c r="C11" s="4"/>
      <c r="D11" s="5"/>
      <c r="E11" s="6"/>
      <c r="F11" s="7" t="str">
        <f t="shared" si="0"/>
        <v>پاس نشده</v>
      </c>
      <c r="G11" s="8"/>
    </row>
    <row r="12" spans="1:7" x14ac:dyDescent="0.2">
      <c r="A12" s="9">
        <f>IF($B12="","",COUNTA($B$9:$B12))</f>
        <v>4</v>
      </c>
      <c r="B12" s="4"/>
      <c r="C12" s="4"/>
      <c r="D12" s="5"/>
      <c r="E12" s="6"/>
      <c r="F12" s="10" t="str">
        <f t="shared" si="0"/>
        <v>پاس نشده</v>
      </c>
      <c r="G12" s="8"/>
    </row>
    <row r="13" spans="1:7" x14ac:dyDescent="0.2">
      <c r="A13" s="3" t="str">
        <f>IF($B13="","",COUNTA($B$9:$B13))</f>
        <v/>
      </c>
      <c r="B13" s="4"/>
      <c r="C13" s="4"/>
      <c r="D13" s="5"/>
      <c r="E13" s="6"/>
      <c r="F13" s="7" t="str">
        <f t="shared" si="0"/>
        <v/>
      </c>
      <c r="G13" s="8"/>
    </row>
    <row r="14" spans="1:7" x14ac:dyDescent="0.2">
      <c r="A14" s="9" t="str">
        <f>IF($B14="","",COUNTA($B$9:$B14))</f>
        <v/>
      </c>
      <c r="B14" s="4"/>
      <c r="C14" s="4"/>
      <c r="D14" s="5"/>
      <c r="E14" s="6"/>
      <c r="F14" s="10" t="str">
        <f t="shared" si="0"/>
        <v/>
      </c>
      <c r="G14" s="8"/>
    </row>
    <row r="15" spans="1:7" x14ac:dyDescent="0.2">
      <c r="A15" s="3" t="str">
        <f>IF($B15="","",COUNTA($B$9:$B15))</f>
        <v/>
      </c>
      <c r="B15" s="4"/>
      <c r="C15" s="4"/>
      <c r="D15" s="5"/>
      <c r="E15" s="6"/>
      <c r="F15" s="7" t="str">
        <f t="shared" si="0"/>
        <v/>
      </c>
      <c r="G15" s="8"/>
    </row>
    <row r="16" spans="1:7" x14ac:dyDescent="0.2">
      <c r="A16" s="9" t="str">
        <f>IF($B16="","",COUNTA($B$9:$B16))</f>
        <v/>
      </c>
      <c r="B16" s="4"/>
      <c r="C16" s="4"/>
      <c r="D16" s="5"/>
      <c r="E16" s="6"/>
      <c r="F16" s="10" t="str">
        <f t="shared" si="0"/>
        <v/>
      </c>
      <c r="G16" s="8"/>
    </row>
    <row r="17" spans="1:7" x14ac:dyDescent="0.2">
      <c r="A17" s="3" t="str">
        <f>IF($B17="","",COUNTA($B$9:$B17))</f>
        <v/>
      </c>
      <c r="B17" s="4"/>
      <c r="C17" s="4"/>
      <c r="D17" s="5"/>
      <c r="E17" s="6"/>
      <c r="F17" s="7" t="str">
        <f t="shared" si="0"/>
        <v/>
      </c>
      <c r="G17" s="8"/>
    </row>
    <row r="18" spans="1:7" x14ac:dyDescent="0.2">
      <c r="A18" s="9" t="str">
        <f>IF($B18="","",COUNTA($B$9:$B18))</f>
        <v/>
      </c>
      <c r="B18" s="4"/>
      <c r="C18" s="4"/>
      <c r="D18" s="5"/>
      <c r="E18" s="6"/>
      <c r="F18" s="10" t="str">
        <f t="shared" si="0"/>
        <v/>
      </c>
      <c r="G18" s="8"/>
    </row>
    <row r="19" spans="1:7" x14ac:dyDescent="0.2">
      <c r="A19" s="3" t="str">
        <f>IF($B19="","",COUNTA($B$9:$B19))</f>
        <v/>
      </c>
      <c r="B19" s="4"/>
      <c r="C19" s="4"/>
      <c r="D19" s="5"/>
      <c r="E19" s="6"/>
      <c r="F19" s="7" t="str">
        <f t="shared" si="0"/>
        <v/>
      </c>
      <c r="G19" s="8"/>
    </row>
    <row r="20" spans="1:7" x14ac:dyDescent="0.2">
      <c r="A20" s="9" t="str">
        <f>IF($B20="","",COUNTA($B$9:$B20))</f>
        <v/>
      </c>
      <c r="B20" s="4"/>
      <c r="C20" s="4"/>
      <c r="D20" s="5"/>
      <c r="E20" s="6"/>
      <c r="F20" s="10" t="str">
        <f t="shared" si="0"/>
        <v/>
      </c>
      <c r="G20" s="8"/>
    </row>
    <row r="21" spans="1:7" x14ac:dyDescent="0.2">
      <c r="A21" s="3" t="str">
        <f>IF($B21="","",COUNTA($B$9:$B21))</f>
        <v/>
      </c>
      <c r="B21" s="4"/>
      <c r="C21" s="4"/>
      <c r="D21" s="5"/>
      <c r="E21" s="6"/>
      <c r="F21" s="7" t="str">
        <f t="shared" si="0"/>
        <v/>
      </c>
      <c r="G21" s="8"/>
    </row>
    <row r="22" spans="1:7" x14ac:dyDescent="0.2">
      <c r="A22" s="9" t="str">
        <f>IF($B22="","",COUNTA($B$9:$B22))</f>
        <v/>
      </c>
      <c r="B22" s="4"/>
      <c r="C22" s="4"/>
      <c r="D22" s="5"/>
      <c r="E22" s="6"/>
      <c r="F22" s="10" t="str">
        <f t="shared" si="0"/>
        <v/>
      </c>
      <c r="G22" s="8"/>
    </row>
    <row r="23" spans="1:7" x14ac:dyDescent="0.2">
      <c r="A23" s="3" t="str">
        <f>IF($B23="","",COUNTA($B$9:$B23))</f>
        <v/>
      </c>
      <c r="B23" s="4"/>
      <c r="C23" s="4"/>
      <c r="D23" s="5"/>
      <c r="E23" s="6"/>
      <c r="F23" s="7" t="str">
        <f t="shared" si="0"/>
        <v/>
      </c>
      <c r="G23" s="8"/>
    </row>
    <row r="24" spans="1:7" x14ac:dyDescent="0.2">
      <c r="A24" s="9" t="str">
        <f>IF($B24="","",COUNTA($B$9:$B24))</f>
        <v/>
      </c>
      <c r="B24" s="4"/>
      <c r="C24" s="4"/>
      <c r="D24" s="5"/>
      <c r="E24" s="6"/>
      <c r="F24" s="10" t="str">
        <f t="shared" si="0"/>
        <v/>
      </c>
      <c r="G24" s="8"/>
    </row>
    <row r="25" spans="1:7" x14ac:dyDescent="0.2">
      <c r="A25" s="3" t="str">
        <f>IF($B25="","",COUNTA($B$9:$B25))</f>
        <v/>
      </c>
      <c r="B25" s="4"/>
      <c r="C25" s="4"/>
      <c r="D25" s="5"/>
      <c r="E25" s="6"/>
      <c r="F25" s="7" t="str">
        <f t="shared" si="0"/>
        <v/>
      </c>
      <c r="G25" s="8"/>
    </row>
    <row r="26" spans="1:7" x14ac:dyDescent="0.2">
      <c r="A26" s="9" t="str">
        <f>IF($B26="","",COUNTA($B$9:$B26))</f>
        <v/>
      </c>
      <c r="B26" s="4"/>
      <c r="C26" s="4"/>
      <c r="D26" s="5"/>
      <c r="E26" s="6"/>
      <c r="F26" s="10" t="str">
        <f t="shared" si="0"/>
        <v/>
      </c>
      <c r="G26" s="8"/>
    </row>
    <row r="27" spans="1:7" x14ac:dyDescent="0.2">
      <c r="A27" s="3" t="str">
        <f>IF($B27="","",COUNTA($B$9:$B27))</f>
        <v/>
      </c>
      <c r="B27" s="4"/>
      <c r="C27" s="4"/>
      <c r="D27" s="5"/>
      <c r="E27" s="6"/>
      <c r="F27" s="7" t="str">
        <f t="shared" si="0"/>
        <v/>
      </c>
      <c r="G27" s="8"/>
    </row>
    <row r="28" spans="1:7" x14ac:dyDescent="0.2">
      <c r="A28" s="9" t="str">
        <f>IF($B28="","",COUNTA($B$9:$B28))</f>
        <v/>
      </c>
      <c r="B28" s="4"/>
      <c r="C28" s="4"/>
      <c r="D28" s="5"/>
      <c r="E28" s="6"/>
      <c r="F28" s="10" t="str">
        <f t="shared" si="0"/>
        <v/>
      </c>
      <c r="G28" s="8"/>
    </row>
    <row r="29" spans="1:7" x14ac:dyDescent="0.2">
      <c r="A29" s="3" t="str">
        <f>IF($B29="","",COUNTA($B$9:$B29))</f>
        <v/>
      </c>
      <c r="B29" s="4"/>
      <c r="C29" s="4"/>
      <c r="D29" s="5"/>
      <c r="E29" s="6"/>
      <c r="F29" s="7" t="str">
        <f t="shared" si="0"/>
        <v/>
      </c>
      <c r="G29" s="8"/>
    </row>
    <row r="30" spans="1:7" x14ac:dyDescent="0.2">
      <c r="A30" s="9" t="str">
        <f>IF($B30="","",COUNTA($B$9:$B30))</f>
        <v/>
      </c>
      <c r="B30" s="4"/>
      <c r="C30" s="4"/>
      <c r="D30" s="5"/>
      <c r="E30" s="6"/>
      <c r="F30" s="10" t="str">
        <f t="shared" si="0"/>
        <v/>
      </c>
      <c r="G30" s="8"/>
    </row>
    <row r="31" spans="1:7" x14ac:dyDescent="0.2">
      <c r="A31" s="3" t="str">
        <f>IF($B31="","",COUNTA($B$9:$B31))</f>
        <v/>
      </c>
      <c r="B31" s="4"/>
      <c r="C31" s="4"/>
      <c r="D31" s="5"/>
      <c r="E31" s="6"/>
      <c r="F31" s="7" t="str">
        <f t="shared" si="0"/>
        <v/>
      </c>
      <c r="G31" s="8"/>
    </row>
    <row r="32" spans="1:7" x14ac:dyDescent="0.2">
      <c r="A32" s="9" t="str">
        <f>IF($B32="","",COUNTA($B$9:$B32))</f>
        <v/>
      </c>
      <c r="B32" s="4"/>
      <c r="C32" s="4"/>
      <c r="D32" s="5"/>
      <c r="E32" s="6"/>
      <c r="F32" s="10" t="str">
        <f t="shared" si="0"/>
        <v/>
      </c>
      <c r="G32" s="8"/>
    </row>
    <row r="33" spans="1:7" x14ac:dyDescent="0.2">
      <c r="A33" s="3" t="str">
        <f>IF($B33="","",COUNTA($B$9:$B33))</f>
        <v/>
      </c>
      <c r="B33" s="4"/>
      <c r="C33" s="4"/>
      <c r="D33" s="5"/>
      <c r="E33" s="6"/>
      <c r="F33" s="7" t="str">
        <f t="shared" si="0"/>
        <v/>
      </c>
      <c r="G33" s="8"/>
    </row>
    <row r="34" spans="1:7" x14ac:dyDescent="0.2">
      <c r="A34" s="9" t="str">
        <f>IF($B34="","",COUNTA($B$9:$B34))</f>
        <v/>
      </c>
      <c r="B34" s="4"/>
      <c r="C34" s="4"/>
      <c r="D34" s="5"/>
      <c r="E34" s="6"/>
      <c r="F34" s="10" t="str">
        <f t="shared" si="0"/>
        <v/>
      </c>
      <c r="G34" s="8"/>
    </row>
    <row r="35" spans="1:7" x14ac:dyDescent="0.2">
      <c r="A35" s="3" t="str">
        <f>IF($B35="","",COUNTA($B$9:$B35))</f>
        <v/>
      </c>
      <c r="B35" s="4"/>
      <c r="C35" s="4"/>
      <c r="D35" s="5"/>
      <c r="E35" s="6"/>
      <c r="F35" s="7" t="str">
        <f t="shared" si="0"/>
        <v/>
      </c>
      <c r="G35" s="8"/>
    </row>
    <row r="36" spans="1:7" x14ac:dyDescent="0.2">
      <c r="A36" s="9" t="str">
        <f>IF($B36="","",COUNTA($B$9:$B36))</f>
        <v/>
      </c>
      <c r="B36" s="4"/>
      <c r="C36" s="4"/>
      <c r="D36" s="5"/>
      <c r="E36" s="6"/>
      <c r="F36" s="10" t="str">
        <f t="shared" si="0"/>
        <v/>
      </c>
      <c r="G36" s="8"/>
    </row>
    <row r="37" spans="1:7" x14ac:dyDescent="0.2">
      <c r="A37" s="3" t="str">
        <f>IF($B37="","",COUNTA($B$9:$B37))</f>
        <v/>
      </c>
      <c r="B37" s="4"/>
      <c r="C37" s="4"/>
      <c r="D37" s="5"/>
      <c r="E37" s="6"/>
      <c r="F37" s="7" t="str">
        <f t="shared" si="0"/>
        <v/>
      </c>
      <c r="G37" s="8"/>
    </row>
    <row r="38" spans="1:7" x14ac:dyDescent="0.2">
      <c r="A38" s="9" t="str">
        <f>IF($B38="","",COUNTA($B$9:$B38))</f>
        <v/>
      </c>
      <c r="B38" s="4"/>
      <c r="C38" s="4"/>
      <c r="D38" s="5"/>
      <c r="E38" s="6"/>
      <c r="F38" s="10" t="str">
        <f t="shared" si="0"/>
        <v/>
      </c>
      <c r="G38" s="8"/>
    </row>
    <row r="39" spans="1:7" x14ac:dyDescent="0.2">
      <c r="A39" s="3" t="str">
        <f>IF($B39="","",COUNTA($B$9:$B39))</f>
        <v/>
      </c>
      <c r="B39" s="4"/>
      <c r="C39" s="4"/>
      <c r="D39" s="5"/>
      <c r="E39" s="6"/>
      <c r="F39" s="7" t="str">
        <f t="shared" si="0"/>
        <v/>
      </c>
      <c r="G39" s="8"/>
    </row>
    <row r="40" spans="1:7" x14ac:dyDescent="0.2">
      <c r="A40" s="9" t="str">
        <f>IF($B40="","",COUNTA($B$9:$B40))</f>
        <v/>
      </c>
      <c r="B40" s="4"/>
      <c r="C40" s="4"/>
      <c r="D40" s="5"/>
      <c r="E40" s="6"/>
      <c r="F40" s="10" t="str">
        <f t="shared" si="0"/>
        <v/>
      </c>
      <c r="G40" s="8"/>
    </row>
    <row r="41" spans="1:7" x14ac:dyDescent="0.2">
      <c r="A41" s="3" t="str">
        <f>IF($B41="","",COUNTA($B$9:$B41))</f>
        <v/>
      </c>
      <c r="B41" s="4"/>
      <c r="C41" s="4"/>
      <c r="D41" s="5"/>
      <c r="E41" s="6"/>
      <c r="F41" s="7" t="str">
        <f t="shared" si="0"/>
        <v/>
      </c>
      <c r="G41" s="8"/>
    </row>
    <row r="42" spans="1:7" x14ac:dyDescent="0.2">
      <c r="A42" s="9" t="str">
        <f>IF($B42="","",COUNTA($B$9:$B42))</f>
        <v/>
      </c>
      <c r="B42" s="4"/>
      <c r="C42" s="4"/>
      <c r="D42" s="5"/>
      <c r="E42" s="6"/>
      <c r="F42" s="10" t="str">
        <f t="shared" si="0"/>
        <v/>
      </c>
      <c r="G42" s="8"/>
    </row>
    <row r="43" spans="1:7" x14ac:dyDescent="0.2">
      <c r="A43" s="3" t="str">
        <f>IF($B43="","",COUNTA($B$9:$B43))</f>
        <v/>
      </c>
      <c r="B43" s="4"/>
      <c r="C43" s="4"/>
      <c r="D43" s="5"/>
      <c r="E43" s="6"/>
      <c r="F43" s="7" t="str">
        <f t="shared" si="0"/>
        <v/>
      </c>
      <c r="G43" s="8"/>
    </row>
    <row r="44" spans="1:7" x14ac:dyDescent="0.2">
      <c r="A44" s="9" t="str">
        <f>IF($B44="","",COUNTA($B$9:$B44))</f>
        <v/>
      </c>
      <c r="B44" s="4"/>
      <c r="C44" s="4"/>
      <c r="D44" s="5"/>
      <c r="E44" s="6"/>
      <c r="F44" s="10" t="str">
        <f t="shared" si="0"/>
        <v/>
      </c>
      <c r="G44" s="8"/>
    </row>
    <row r="45" spans="1:7" x14ac:dyDescent="0.2">
      <c r="A45" s="3" t="str">
        <f>IF($B45="","",COUNTA($B$9:$B45))</f>
        <v/>
      </c>
      <c r="B45" s="4"/>
      <c r="C45" s="4"/>
      <c r="D45" s="5"/>
      <c r="E45" s="6"/>
      <c r="F45" s="7" t="str">
        <f t="shared" si="0"/>
        <v/>
      </c>
      <c r="G45" s="8"/>
    </row>
    <row r="46" spans="1:7" x14ac:dyDescent="0.2">
      <c r="A46" s="9" t="str">
        <f>IF($B46="","",COUNTA($B$9:$B46))</f>
        <v/>
      </c>
      <c r="B46" s="4"/>
      <c r="C46" s="4"/>
      <c r="D46" s="5"/>
      <c r="E46" s="6"/>
      <c r="F46" s="10" t="str">
        <f t="shared" si="0"/>
        <v/>
      </c>
      <c r="G46" s="8"/>
    </row>
    <row r="47" spans="1:7" x14ac:dyDescent="0.2">
      <c r="A47" s="3" t="str">
        <f>IF($B47="","",COUNTA($B$9:$B47))</f>
        <v/>
      </c>
      <c r="B47" s="4"/>
      <c r="C47" s="4"/>
      <c r="D47" s="5"/>
      <c r="E47" s="6"/>
      <c r="F47" s="7" t="str">
        <f t="shared" si="0"/>
        <v/>
      </c>
      <c r="G47" s="8"/>
    </row>
    <row r="48" spans="1:7" x14ac:dyDescent="0.2">
      <c r="A48" s="9" t="str">
        <f>IF($B48="","",COUNTA($B$9:$B48))</f>
        <v/>
      </c>
      <c r="B48" s="4"/>
      <c r="C48" s="4"/>
      <c r="D48" s="5"/>
      <c r="E48" s="6"/>
      <c r="F48" s="10" t="str">
        <f t="shared" si="0"/>
        <v/>
      </c>
      <c r="G48" s="8"/>
    </row>
    <row r="49" spans="1:7" x14ac:dyDescent="0.2">
      <c r="A49" s="3" t="str">
        <f>IF($B49="","",COUNTA($B$9:$B49))</f>
        <v/>
      </c>
      <c r="B49" s="4"/>
      <c r="C49" s="4"/>
      <c r="D49" s="5"/>
      <c r="E49" s="6"/>
      <c r="F49" s="7" t="str">
        <f t="shared" si="0"/>
        <v/>
      </c>
      <c r="G49" s="8"/>
    </row>
    <row r="50" spans="1:7" x14ac:dyDescent="0.2">
      <c r="A50" s="9" t="str">
        <f>IF($B50="","",COUNTA($B$9:$B50))</f>
        <v/>
      </c>
      <c r="B50" s="4"/>
      <c r="C50" s="4"/>
      <c r="D50" s="5"/>
      <c r="E50" s="6"/>
      <c r="F50" s="10" t="str">
        <f t="shared" si="0"/>
        <v/>
      </c>
      <c r="G50" s="8"/>
    </row>
    <row r="51" spans="1:7" x14ac:dyDescent="0.2">
      <c r="A51" s="3" t="str">
        <f>IF($B51="","",COUNTA($B$9:$B51))</f>
        <v/>
      </c>
      <c r="B51" s="4"/>
      <c r="C51" s="4"/>
      <c r="D51" s="5"/>
      <c r="E51" s="6"/>
      <c r="F51" s="7" t="str">
        <f t="shared" si="0"/>
        <v/>
      </c>
      <c r="G51" s="8"/>
    </row>
    <row r="52" spans="1:7" x14ac:dyDescent="0.2">
      <c r="A52" s="9" t="str">
        <f>IF($B52="","",COUNTA($B$9:$B52))</f>
        <v/>
      </c>
      <c r="B52" s="4"/>
      <c r="C52" s="4"/>
      <c r="D52" s="5"/>
      <c r="E52" s="6"/>
      <c r="F52" s="10" t="str">
        <f t="shared" si="0"/>
        <v/>
      </c>
      <c r="G52" s="8"/>
    </row>
    <row r="53" spans="1:7" x14ac:dyDescent="0.2">
      <c r="A53" s="3" t="str">
        <f>IF($B53="","",COUNTA($B$9:$B53))</f>
        <v/>
      </c>
      <c r="B53" s="4"/>
      <c r="C53" s="4"/>
      <c r="D53" s="5"/>
      <c r="E53" s="6"/>
      <c r="F53" s="7" t="str">
        <f t="shared" si="0"/>
        <v/>
      </c>
      <c r="G53" s="8"/>
    </row>
    <row r="54" spans="1:7" x14ac:dyDescent="0.2">
      <c r="A54" s="9" t="str">
        <f>IF($B54="","",COUNTA($B$9:$B54))</f>
        <v/>
      </c>
      <c r="B54" s="4"/>
      <c r="C54" s="4"/>
      <c r="D54" s="5"/>
      <c r="E54" s="6"/>
      <c r="F54" s="10" t="str">
        <f t="shared" si="0"/>
        <v/>
      </c>
      <c r="G54" s="8"/>
    </row>
    <row r="55" spans="1:7" x14ac:dyDescent="0.2">
      <c r="A55" s="3" t="str">
        <f>IF($B55="","",COUNTA($B$9:$B55))</f>
        <v/>
      </c>
      <c r="B55" s="4"/>
      <c r="C55" s="4"/>
      <c r="D55" s="5"/>
      <c r="E55" s="6"/>
      <c r="F55" s="7" t="str">
        <f t="shared" si="0"/>
        <v/>
      </c>
      <c r="G55" s="8"/>
    </row>
    <row r="56" spans="1:7" x14ac:dyDescent="0.2">
      <c r="A56" s="9" t="str">
        <f>IF($B56="","",COUNTA($B$9:$B56))</f>
        <v/>
      </c>
      <c r="B56" s="4"/>
      <c r="C56" s="4"/>
      <c r="D56" s="5"/>
      <c r="E56" s="6"/>
      <c r="F56" s="10" t="str">
        <f t="shared" si="0"/>
        <v/>
      </c>
      <c r="G56" s="8"/>
    </row>
    <row r="57" spans="1:7" x14ac:dyDescent="0.2">
      <c r="A57" s="3" t="str">
        <f>IF($B57="","",COUNTA($B$9:$B57))</f>
        <v/>
      </c>
      <c r="B57" s="4"/>
      <c r="C57" s="4"/>
      <c r="D57" s="5"/>
      <c r="E57" s="6"/>
      <c r="F57" s="7" t="str">
        <f t="shared" si="0"/>
        <v/>
      </c>
      <c r="G57" s="8"/>
    </row>
    <row r="58" spans="1:7" x14ac:dyDescent="0.2">
      <c r="A58" s="9" t="str">
        <f>IF($B58="","",COUNTA($B$9:$B58))</f>
        <v/>
      </c>
      <c r="B58" s="4"/>
      <c r="C58" s="4"/>
      <c r="D58" s="5"/>
      <c r="E58" s="6"/>
      <c r="F58" s="10" t="str">
        <f t="shared" si="0"/>
        <v/>
      </c>
      <c r="G58" s="8"/>
    </row>
    <row r="59" spans="1:7" x14ac:dyDescent="0.2">
      <c r="A59" s="3" t="str">
        <f>IF($B59="","",COUNTA($B$9:$B59))</f>
        <v/>
      </c>
      <c r="B59" s="4"/>
      <c r="C59" s="4"/>
      <c r="D59" s="5"/>
      <c r="E59" s="6"/>
      <c r="F59" s="7" t="str">
        <f t="shared" si="0"/>
        <v/>
      </c>
      <c r="G59" s="8"/>
    </row>
    <row r="60" spans="1:7" x14ac:dyDescent="0.2">
      <c r="A60" s="9" t="str">
        <f>IF($B60="","",COUNTA($B$9:$B60))</f>
        <v/>
      </c>
      <c r="B60" s="4"/>
      <c r="C60" s="4"/>
      <c r="D60" s="5"/>
      <c r="E60" s="6"/>
      <c r="F60" s="10" t="str">
        <f t="shared" si="0"/>
        <v/>
      </c>
      <c r="G60" s="8"/>
    </row>
    <row r="61" spans="1:7" x14ac:dyDescent="0.2">
      <c r="A61" s="3" t="str">
        <f>IF($B61="","",COUNTA($B$9:$B61))</f>
        <v/>
      </c>
      <c r="B61" s="4"/>
      <c r="C61" s="4"/>
      <c r="D61" s="5"/>
      <c r="E61" s="6"/>
      <c r="F61" s="7" t="str">
        <f t="shared" si="0"/>
        <v/>
      </c>
      <c r="G61" s="8"/>
    </row>
    <row r="62" spans="1:7" x14ac:dyDescent="0.2">
      <c r="A62" s="9" t="str">
        <f>IF($B62="","",COUNTA($B$9:$B62))</f>
        <v/>
      </c>
      <c r="B62" s="4"/>
      <c r="C62" s="4"/>
      <c r="D62" s="5"/>
      <c r="E62" s="6"/>
      <c r="F62" s="10" t="str">
        <f t="shared" si="0"/>
        <v/>
      </c>
      <c r="G62" s="8"/>
    </row>
    <row r="63" spans="1:7" x14ac:dyDescent="0.2">
      <c r="A63" s="3" t="str">
        <f>IF($B63="","",COUNTA($B$9:$B63))</f>
        <v/>
      </c>
      <c r="B63" s="4"/>
      <c r="C63" s="4"/>
      <c r="D63" s="5"/>
      <c r="E63" s="6"/>
      <c r="F63" s="7" t="str">
        <f t="shared" si="0"/>
        <v/>
      </c>
      <c r="G63" s="8"/>
    </row>
    <row r="64" spans="1:7" x14ac:dyDescent="0.2">
      <c r="A64" s="9" t="str">
        <f>IF($B64="","",COUNTA($B$9:$B64))</f>
        <v/>
      </c>
      <c r="B64" s="4"/>
      <c r="C64" s="4"/>
      <c r="D64" s="5"/>
      <c r="E64" s="6"/>
      <c r="F64" s="10" t="str">
        <f t="shared" si="0"/>
        <v/>
      </c>
      <c r="G64" s="8"/>
    </row>
    <row r="65" spans="1:7" x14ac:dyDescent="0.2">
      <c r="A65" s="3" t="str">
        <f>IF($B65="","",COUNTA($B$9:$B65))</f>
        <v/>
      </c>
      <c r="B65" s="4"/>
      <c r="C65" s="4"/>
      <c r="D65" s="5"/>
      <c r="E65" s="6"/>
      <c r="F65" s="7" t="str">
        <f t="shared" si="0"/>
        <v/>
      </c>
      <c r="G65" s="8"/>
    </row>
    <row r="66" spans="1:7" x14ac:dyDescent="0.2">
      <c r="A66" s="9" t="str">
        <f>IF($B66="","",COUNTA($B$9:$B66))</f>
        <v/>
      </c>
      <c r="B66" s="4"/>
      <c r="C66" s="4"/>
      <c r="D66" s="5"/>
      <c r="E66" s="6"/>
      <c r="F66" s="10" t="str">
        <f t="shared" si="0"/>
        <v/>
      </c>
      <c r="G66" s="8"/>
    </row>
    <row r="67" spans="1:7" x14ac:dyDescent="0.2">
      <c r="A67" s="3" t="str">
        <f>IF($B67="","",COUNTA($B$9:$B67))</f>
        <v/>
      </c>
      <c r="B67" s="4"/>
      <c r="C67" s="4"/>
      <c r="D67" s="5"/>
      <c r="E67" s="6"/>
      <c r="F67" s="7" t="str">
        <f t="shared" si="0"/>
        <v/>
      </c>
      <c r="G67" s="8"/>
    </row>
    <row r="68" spans="1:7" x14ac:dyDescent="0.2">
      <c r="A68" s="9" t="str">
        <f>IF($B68="","",COUNTA($B$9:$B68))</f>
        <v/>
      </c>
      <c r="B68" s="4"/>
      <c r="C68" s="4"/>
      <c r="D68" s="5"/>
      <c r="E68" s="6"/>
      <c r="F68" s="10" t="str">
        <f t="shared" si="0"/>
        <v/>
      </c>
      <c r="G68" s="8"/>
    </row>
    <row r="69" spans="1:7" x14ac:dyDescent="0.2">
      <c r="A69" s="3" t="str">
        <f>IF($B69="","",COUNTA($B$9:$B69))</f>
        <v/>
      </c>
      <c r="B69" s="4"/>
      <c r="C69" s="4"/>
      <c r="D69" s="5"/>
      <c r="E69" s="6"/>
      <c r="F69" s="7" t="str">
        <f t="shared" si="0"/>
        <v/>
      </c>
      <c r="G69" s="8"/>
    </row>
    <row r="70" spans="1:7" x14ac:dyDescent="0.2">
      <c r="A70" s="9" t="str">
        <f>IF($B70="","",COUNTA($B$9:$B70))</f>
        <v/>
      </c>
      <c r="B70" s="4"/>
      <c r="C70" s="4"/>
      <c r="D70" s="5"/>
      <c r="E70" s="6"/>
      <c r="F70" s="10" t="str">
        <f t="shared" si="0"/>
        <v/>
      </c>
      <c r="G70" s="8"/>
    </row>
    <row r="71" spans="1:7" x14ac:dyDescent="0.2">
      <c r="A71" s="3" t="str">
        <f>IF($B71="","",COUNTA($B$9:$B71))</f>
        <v/>
      </c>
      <c r="B71" s="4"/>
      <c r="C71" s="4"/>
      <c r="D71" s="5"/>
      <c r="E71" s="6"/>
      <c r="F71" s="7" t="str">
        <f t="shared" si="0"/>
        <v/>
      </c>
      <c r="G71" s="8"/>
    </row>
    <row r="72" spans="1:7" x14ac:dyDescent="0.2">
      <c r="A72" s="9" t="str">
        <f>IF($B72="","",COUNTA($B$9:$B72))</f>
        <v/>
      </c>
      <c r="B72" s="4"/>
      <c r="C72" s="4"/>
      <c r="D72" s="5"/>
      <c r="E72" s="6"/>
      <c r="F72" s="10" t="str">
        <f t="shared" si="0"/>
        <v/>
      </c>
      <c r="G72" s="8"/>
    </row>
    <row r="73" spans="1:7" x14ac:dyDescent="0.2">
      <c r="A73" s="3" t="str">
        <f>IF($B73="","",COUNTA($B$9:$B73))</f>
        <v/>
      </c>
      <c r="B73" s="4"/>
      <c r="C73" s="4"/>
      <c r="D73" s="5"/>
      <c r="E73" s="6"/>
      <c r="F73" s="7" t="str">
        <f t="shared" ref="F73:F136" si="1">IF($B73="","",IF(COUNTIFS(ETxnType,"پاس چک",ETxnChk,$B73)&gt;0,"پاس شده","پاس نشده"))</f>
        <v/>
      </c>
      <c r="G73" s="8"/>
    </row>
    <row r="74" spans="1:7" x14ac:dyDescent="0.2">
      <c r="A74" s="9" t="str">
        <f>IF($B74="","",COUNTA($B$9:$B74))</f>
        <v/>
      </c>
      <c r="B74" s="4"/>
      <c r="C74" s="4"/>
      <c r="D74" s="5"/>
      <c r="E74" s="6"/>
      <c r="F74" s="10" t="str">
        <f t="shared" si="1"/>
        <v/>
      </c>
      <c r="G74" s="8"/>
    </row>
    <row r="75" spans="1:7" x14ac:dyDescent="0.2">
      <c r="A75" s="3" t="str">
        <f>IF($B75="","",COUNTA($B$9:$B75))</f>
        <v/>
      </c>
      <c r="B75" s="4"/>
      <c r="C75" s="4"/>
      <c r="D75" s="5"/>
      <c r="E75" s="6"/>
      <c r="F75" s="7" t="str">
        <f t="shared" si="1"/>
        <v/>
      </c>
      <c r="G75" s="8"/>
    </row>
    <row r="76" spans="1:7" x14ac:dyDescent="0.2">
      <c r="A76" s="9" t="str">
        <f>IF($B76="","",COUNTA($B$9:$B76))</f>
        <v/>
      </c>
      <c r="B76" s="4"/>
      <c r="C76" s="4"/>
      <c r="D76" s="5"/>
      <c r="E76" s="6"/>
      <c r="F76" s="10" t="str">
        <f t="shared" si="1"/>
        <v/>
      </c>
      <c r="G76" s="8"/>
    </row>
    <row r="77" spans="1:7" x14ac:dyDescent="0.2">
      <c r="A77" s="3" t="str">
        <f>IF($B77="","",COUNTA($B$9:$B77))</f>
        <v/>
      </c>
      <c r="B77" s="4"/>
      <c r="C77" s="4"/>
      <c r="D77" s="5"/>
      <c r="E77" s="6"/>
      <c r="F77" s="7" t="str">
        <f t="shared" si="1"/>
        <v/>
      </c>
      <c r="G77" s="8"/>
    </row>
    <row r="78" spans="1:7" x14ac:dyDescent="0.2">
      <c r="A78" s="9" t="str">
        <f>IF($B78="","",COUNTA($B$9:$B78))</f>
        <v/>
      </c>
      <c r="B78" s="4"/>
      <c r="C78" s="4"/>
      <c r="D78" s="5"/>
      <c r="E78" s="6"/>
      <c r="F78" s="10" t="str">
        <f t="shared" si="1"/>
        <v/>
      </c>
      <c r="G78" s="8"/>
    </row>
    <row r="79" spans="1:7" x14ac:dyDescent="0.2">
      <c r="A79" s="3" t="str">
        <f>IF($B79="","",COUNTA($B$9:$B79))</f>
        <v/>
      </c>
      <c r="B79" s="4"/>
      <c r="C79" s="4"/>
      <c r="D79" s="5"/>
      <c r="E79" s="6"/>
      <c r="F79" s="7" t="str">
        <f t="shared" si="1"/>
        <v/>
      </c>
      <c r="G79" s="8"/>
    </row>
    <row r="80" spans="1:7" x14ac:dyDescent="0.2">
      <c r="A80" s="9" t="str">
        <f>IF($B80="","",COUNTA($B$9:$B80))</f>
        <v/>
      </c>
      <c r="B80" s="4"/>
      <c r="C80" s="4"/>
      <c r="D80" s="5"/>
      <c r="E80" s="6"/>
      <c r="F80" s="10" t="str">
        <f t="shared" si="1"/>
        <v/>
      </c>
      <c r="G80" s="8"/>
    </row>
    <row r="81" spans="1:7" x14ac:dyDescent="0.2">
      <c r="A81" s="3" t="str">
        <f>IF($B81="","",COUNTA($B$9:$B81))</f>
        <v/>
      </c>
      <c r="B81" s="4"/>
      <c r="C81" s="4"/>
      <c r="D81" s="5"/>
      <c r="E81" s="6"/>
      <c r="F81" s="7" t="str">
        <f t="shared" si="1"/>
        <v/>
      </c>
      <c r="G81" s="8"/>
    </row>
    <row r="82" spans="1:7" x14ac:dyDescent="0.2">
      <c r="A82" s="9" t="str">
        <f>IF($B82="","",COUNTA($B$9:$B82))</f>
        <v/>
      </c>
      <c r="B82" s="4"/>
      <c r="C82" s="4"/>
      <c r="D82" s="5"/>
      <c r="E82" s="6"/>
      <c r="F82" s="10" t="str">
        <f t="shared" si="1"/>
        <v/>
      </c>
      <c r="G82" s="8"/>
    </row>
    <row r="83" spans="1:7" x14ac:dyDescent="0.2">
      <c r="A83" s="3" t="str">
        <f>IF($B83="","",COUNTA($B$9:$B83))</f>
        <v/>
      </c>
      <c r="B83" s="4"/>
      <c r="C83" s="4"/>
      <c r="D83" s="5"/>
      <c r="E83" s="6"/>
      <c r="F83" s="7" t="str">
        <f t="shared" si="1"/>
        <v/>
      </c>
      <c r="G83" s="8"/>
    </row>
    <row r="84" spans="1:7" x14ac:dyDescent="0.2">
      <c r="A84" s="9" t="str">
        <f>IF($B84="","",COUNTA($B$9:$B84))</f>
        <v/>
      </c>
      <c r="B84" s="4"/>
      <c r="C84" s="4"/>
      <c r="D84" s="5"/>
      <c r="E84" s="6"/>
      <c r="F84" s="10" t="str">
        <f t="shared" si="1"/>
        <v/>
      </c>
      <c r="G84" s="8"/>
    </row>
    <row r="85" spans="1:7" x14ac:dyDescent="0.2">
      <c r="A85" s="3" t="str">
        <f>IF($B85="","",COUNTA($B$9:$B85))</f>
        <v/>
      </c>
      <c r="B85" s="4"/>
      <c r="C85" s="4"/>
      <c r="D85" s="5"/>
      <c r="E85" s="6"/>
      <c r="F85" s="7" t="str">
        <f t="shared" si="1"/>
        <v/>
      </c>
      <c r="G85" s="8"/>
    </row>
    <row r="86" spans="1:7" x14ac:dyDescent="0.2">
      <c r="A86" s="9" t="str">
        <f>IF($B86="","",COUNTA($B$9:$B86))</f>
        <v/>
      </c>
      <c r="B86" s="4"/>
      <c r="C86" s="4"/>
      <c r="D86" s="5"/>
      <c r="E86" s="6"/>
      <c r="F86" s="10" t="str">
        <f t="shared" si="1"/>
        <v/>
      </c>
      <c r="G86" s="8"/>
    </row>
    <row r="87" spans="1:7" x14ac:dyDescent="0.2">
      <c r="A87" s="3" t="str">
        <f>IF($B87="","",COUNTA($B$9:$B87))</f>
        <v/>
      </c>
      <c r="B87" s="4"/>
      <c r="C87" s="4"/>
      <c r="D87" s="5"/>
      <c r="E87" s="6"/>
      <c r="F87" s="7" t="str">
        <f t="shared" si="1"/>
        <v/>
      </c>
      <c r="G87" s="8"/>
    </row>
    <row r="88" spans="1:7" x14ac:dyDescent="0.2">
      <c r="A88" s="9" t="str">
        <f>IF($B88="","",COUNTA($B$9:$B88))</f>
        <v/>
      </c>
      <c r="B88" s="4"/>
      <c r="C88" s="4"/>
      <c r="D88" s="5"/>
      <c r="E88" s="6"/>
      <c r="F88" s="10" t="str">
        <f t="shared" si="1"/>
        <v/>
      </c>
      <c r="G88" s="8"/>
    </row>
    <row r="89" spans="1:7" x14ac:dyDescent="0.2">
      <c r="A89" s="3" t="str">
        <f>IF($B89="","",COUNTA($B$9:$B89))</f>
        <v/>
      </c>
      <c r="B89" s="4"/>
      <c r="C89" s="4"/>
      <c r="D89" s="5"/>
      <c r="E89" s="6"/>
      <c r="F89" s="7" t="str">
        <f t="shared" si="1"/>
        <v/>
      </c>
      <c r="G89" s="8"/>
    </row>
    <row r="90" spans="1:7" x14ac:dyDescent="0.2">
      <c r="A90" s="9" t="str">
        <f>IF($B90="","",COUNTA($B$9:$B90))</f>
        <v/>
      </c>
      <c r="B90" s="4"/>
      <c r="C90" s="4"/>
      <c r="D90" s="5"/>
      <c r="E90" s="6"/>
      <c r="F90" s="10" t="str">
        <f t="shared" si="1"/>
        <v/>
      </c>
      <c r="G90" s="8"/>
    </row>
    <row r="91" spans="1:7" x14ac:dyDescent="0.2">
      <c r="A91" s="3" t="str">
        <f>IF($B91="","",COUNTA($B$9:$B91))</f>
        <v/>
      </c>
      <c r="B91" s="4"/>
      <c r="C91" s="4"/>
      <c r="D91" s="5"/>
      <c r="E91" s="6"/>
      <c r="F91" s="7" t="str">
        <f t="shared" si="1"/>
        <v/>
      </c>
      <c r="G91" s="8"/>
    </row>
    <row r="92" spans="1:7" x14ac:dyDescent="0.2">
      <c r="A92" s="9" t="str">
        <f>IF($B92="","",COUNTA($B$9:$B92))</f>
        <v/>
      </c>
      <c r="B92" s="4"/>
      <c r="C92" s="4"/>
      <c r="D92" s="5"/>
      <c r="E92" s="6"/>
      <c r="F92" s="10" t="str">
        <f t="shared" si="1"/>
        <v/>
      </c>
      <c r="G92" s="8"/>
    </row>
    <row r="93" spans="1:7" x14ac:dyDescent="0.2">
      <c r="A93" s="3" t="str">
        <f>IF($B93="","",COUNTA($B$9:$B93))</f>
        <v/>
      </c>
      <c r="B93" s="4"/>
      <c r="C93" s="4"/>
      <c r="D93" s="5"/>
      <c r="E93" s="6"/>
      <c r="F93" s="7" t="str">
        <f t="shared" si="1"/>
        <v/>
      </c>
      <c r="G93" s="8"/>
    </row>
    <row r="94" spans="1:7" x14ac:dyDescent="0.2">
      <c r="A94" s="9" t="str">
        <f>IF($B94="","",COUNTA($B$9:$B94))</f>
        <v/>
      </c>
      <c r="B94" s="4"/>
      <c r="C94" s="4"/>
      <c r="D94" s="5"/>
      <c r="E94" s="6"/>
      <c r="F94" s="10" t="str">
        <f t="shared" si="1"/>
        <v/>
      </c>
      <c r="G94" s="8"/>
    </row>
    <row r="95" spans="1:7" x14ac:dyDescent="0.2">
      <c r="A95" s="3" t="str">
        <f>IF($B95="","",COUNTA($B$9:$B95))</f>
        <v/>
      </c>
      <c r="B95" s="4"/>
      <c r="C95" s="4"/>
      <c r="D95" s="5"/>
      <c r="E95" s="6"/>
      <c r="F95" s="7" t="str">
        <f t="shared" si="1"/>
        <v/>
      </c>
      <c r="G95" s="8"/>
    </row>
    <row r="96" spans="1:7" x14ac:dyDescent="0.2">
      <c r="A96" s="9" t="str">
        <f>IF($B96="","",COUNTA($B$9:$B96))</f>
        <v/>
      </c>
      <c r="B96" s="4"/>
      <c r="C96" s="4"/>
      <c r="D96" s="5"/>
      <c r="E96" s="6"/>
      <c r="F96" s="10" t="str">
        <f t="shared" si="1"/>
        <v/>
      </c>
      <c r="G96" s="8"/>
    </row>
    <row r="97" spans="1:7" x14ac:dyDescent="0.2">
      <c r="A97" s="3" t="str">
        <f>IF($B97="","",COUNTA($B$9:$B97))</f>
        <v/>
      </c>
      <c r="B97" s="4"/>
      <c r="C97" s="4"/>
      <c r="D97" s="5"/>
      <c r="E97" s="6"/>
      <c r="F97" s="7" t="str">
        <f t="shared" si="1"/>
        <v/>
      </c>
      <c r="G97" s="8"/>
    </row>
    <row r="98" spans="1:7" x14ac:dyDescent="0.2">
      <c r="A98" s="9" t="str">
        <f>IF($B98="","",COUNTA($B$9:$B98))</f>
        <v/>
      </c>
      <c r="B98" s="4"/>
      <c r="C98" s="4"/>
      <c r="D98" s="5"/>
      <c r="E98" s="6"/>
      <c r="F98" s="10" t="str">
        <f t="shared" si="1"/>
        <v/>
      </c>
      <c r="G98" s="8"/>
    </row>
    <row r="99" spans="1:7" x14ac:dyDescent="0.2">
      <c r="A99" s="3" t="str">
        <f>IF($B99="","",COUNTA($B$9:$B99))</f>
        <v/>
      </c>
      <c r="B99" s="4"/>
      <c r="C99" s="4"/>
      <c r="D99" s="5"/>
      <c r="E99" s="6"/>
      <c r="F99" s="7" t="str">
        <f t="shared" si="1"/>
        <v/>
      </c>
      <c r="G99" s="8"/>
    </row>
    <row r="100" spans="1:7" x14ac:dyDescent="0.2">
      <c r="A100" s="9" t="str">
        <f>IF($B100="","",COUNTA($B$9:$B100))</f>
        <v/>
      </c>
      <c r="B100" s="4"/>
      <c r="C100" s="4"/>
      <c r="D100" s="5"/>
      <c r="E100" s="6"/>
      <c r="F100" s="10" t="str">
        <f t="shared" si="1"/>
        <v/>
      </c>
      <c r="G100" s="8"/>
    </row>
    <row r="101" spans="1:7" x14ac:dyDescent="0.2">
      <c r="A101" s="3" t="str">
        <f>IF($B101="","",COUNTA($B$9:$B101))</f>
        <v/>
      </c>
      <c r="B101" s="4"/>
      <c r="C101" s="4"/>
      <c r="D101" s="5"/>
      <c r="E101" s="6"/>
      <c r="F101" s="7" t="str">
        <f t="shared" si="1"/>
        <v/>
      </c>
      <c r="G101" s="8"/>
    </row>
    <row r="102" spans="1:7" x14ac:dyDescent="0.2">
      <c r="A102" s="9" t="str">
        <f>IF($B102="","",COUNTA($B$9:$B102))</f>
        <v/>
      </c>
      <c r="B102" s="4"/>
      <c r="C102" s="4"/>
      <c r="D102" s="5"/>
      <c r="E102" s="6"/>
      <c r="F102" s="10" t="str">
        <f t="shared" si="1"/>
        <v/>
      </c>
      <c r="G102" s="8"/>
    </row>
    <row r="103" spans="1:7" x14ac:dyDescent="0.2">
      <c r="A103" s="3" t="str">
        <f>IF($B103="","",COUNTA($B$9:$B103))</f>
        <v/>
      </c>
      <c r="B103" s="4"/>
      <c r="C103" s="4"/>
      <c r="D103" s="5"/>
      <c r="E103" s="6"/>
      <c r="F103" s="7" t="str">
        <f t="shared" si="1"/>
        <v/>
      </c>
      <c r="G103" s="8"/>
    </row>
    <row r="104" spans="1:7" x14ac:dyDescent="0.2">
      <c r="A104" s="9" t="str">
        <f>IF($B104="","",COUNTA($B$9:$B104))</f>
        <v/>
      </c>
      <c r="B104" s="4"/>
      <c r="C104" s="4"/>
      <c r="D104" s="5"/>
      <c r="E104" s="6"/>
      <c r="F104" s="10" t="str">
        <f t="shared" si="1"/>
        <v/>
      </c>
      <c r="G104" s="8"/>
    </row>
    <row r="105" spans="1:7" x14ac:dyDescent="0.2">
      <c r="A105" s="3" t="str">
        <f>IF($B105="","",COUNTA($B$9:$B105))</f>
        <v/>
      </c>
      <c r="B105" s="4"/>
      <c r="C105" s="4"/>
      <c r="D105" s="5"/>
      <c r="E105" s="6"/>
      <c r="F105" s="7" t="str">
        <f t="shared" si="1"/>
        <v/>
      </c>
      <c r="G105" s="8"/>
    </row>
    <row r="106" spans="1:7" x14ac:dyDescent="0.2">
      <c r="A106" s="9" t="str">
        <f>IF($B106="","",COUNTA($B$9:$B106))</f>
        <v/>
      </c>
      <c r="B106" s="4"/>
      <c r="C106" s="4"/>
      <c r="D106" s="5"/>
      <c r="E106" s="6"/>
      <c r="F106" s="10" t="str">
        <f t="shared" si="1"/>
        <v/>
      </c>
      <c r="G106" s="8"/>
    </row>
    <row r="107" spans="1:7" x14ac:dyDescent="0.2">
      <c r="A107" s="3" t="str">
        <f>IF($B107="","",COUNTA($B$9:$B107))</f>
        <v/>
      </c>
      <c r="B107" s="4"/>
      <c r="C107" s="4"/>
      <c r="D107" s="5"/>
      <c r="E107" s="6"/>
      <c r="F107" s="7" t="str">
        <f t="shared" si="1"/>
        <v/>
      </c>
      <c r="G107" s="8"/>
    </row>
    <row r="108" spans="1:7" x14ac:dyDescent="0.2">
      <c r="A108" s="9" t="str">
        <f>IF($B108="","",COUNTA($B$9:$B108))</f>
        <v/>
      </c>
      <c r="B108" s="4"/>
      <c r="C108" s="4"/>
      <c r="D108" s="5"/>
      <c r="E108" s="6"/>
      <c r="F108" s="10" t="str">
        <f t="shared" si="1"/>
        <v/>
      </c>
      <c r="G108" s="8"/>
    </row>
    <row r="109" spans="1:7" x14ac:dyDescent="0.2">
      <c r="A109" s="3" t="str">
        <f>IF($B109="","",COUNTA($B$9:$B109))</f>
        <v/>
      </c>
      <c r="B109" s="4"/>
      <c r="C109" s="4"/>
      <c r="D109" s="5"/>
      <c r="E109" s="6"/>
      <c r="F109" s="7" t="str">
        <f t="shared" si="1"/>
        <v/>
      </c>
      <c r="G109" s="8"/>
    </row>
    <row r="110" spans="1:7" x14ac:dyDescent="0.2">
      <c r="A110" s="9" t="str">
        <f>IF($B110="","",COUNTA($B$9:$B110))</f>
        <v/>
      </c>
      <c r="B110" s="4"/>
      <c r="C110" s="4"/>
      <c r="D110" s="5"/>
      <c r="E110" s="6"/>
      <c r="F110" s="10" t="str">
        <f t="shared" si="1"/>
        <v/>
      </c>
      <c r="G110" s="8"/>
    </row>
    <row r="111" spans="1:7" x14ac:dyDescent="0.2">
      <c r="A111" s="3" t="str">
        <f>IF($B111="","",COUNTA($B$9:$B111))</f>
        <v/>
      </c>
      <c r="B111" s="4"/>
      <c r="C111" s="4"/>
      <c r="D111" s="5"/>
      <c r="E111" s="6"/>
      <c r="F111" s="7" t="str">
        <f t="shared" si="1"/>
        <v/>
      </c>
      <c r="G111" s="8"/>
    </row>
    <row r="112" spans="1:7" x14ac:dyDescent="0.2">
      <c r="A112" s="9" t="str">
        <f>IF($B112="","",COUNTA($B$9:$B112))</f>
        <v/>
      </c>
      <c r="B112" s="4"/>
      <c r="C112" s="4"/>
      <c r="D112" s="5"/>
      <c r="E112" s="6"/>
      <c r="F112" s="10" t="str">
        <f t="shared" si="1"/>
        <v/>
      </c>
      <c r="G112" s="8"/>
    </row>
    <row r="113" spans="1:7" x14ac:dyDescent="0.2">
      <c r="A113" s="3" t="str">
        <f>IF($B113="","",COUNTA($B$9:$B113))</f>
        <v/>
      </c>
      <c r="B113" s="4"/>
      <c r="C113" s="4"/>
      <c r="D113" s="5"/>
      <c r="E113" s="6"/>
      <c r="F113" s="7" t="str">
        <f t="shared" si="1"/>
        <v/>
      </c>
      <c r="G113" s="8"/>
    </row>
    <row r="114" spans="1:7" x14ac:dyDescent="0.2">
      <c r="A114" s="9" t="str">
        <f>IF($B114="","",COUNTA($B$9:$B114))</f>
        <v/>
      </c>
      <c r="B114" s="4"/>
      <c r="C114" s="4"/>
      <c r="D114" s="5"/>
      <c r="E114" s="6"/>
      <c r="F114" s="10" t="str">
        <f t="shared" si="1"/>
        <v/>
      </c>
      <c r="G114" s="8"/>
    </row>
    <row r="115" spans="1:7" x14ac:dyDescent="0.2">
      <c r="A115" s="3" t="str">
        <f>IF($B115="","",COUNTA($B$9:$B115))</f>
        <v/>
      </c>
      <c r="B115" s="4"/>
      <c r="C115" s="4"/>
      <c r="D115" s="5"/>
      <c r="E115" s="6"/>
      <c r="F115" s="7" t="str">
        <f t="shared" si="1"/>
        <v/>
      </c>
      <c r="G115" s="8"/>
    </row>
    <row r="116" spans="1:7" x14ac:dyDescent="0.2">
      <c r="A116" s="9" t="str">
        <f>IF($B116="","",COUNTA($B$9:$B116))</f>
        <v/>
      </c>
      <c r="B116" s="4"/>
      <c r="C116" s="4"/>
      <c r="D116" s="5"/>
      <c r="E116" s="6"/>
      <c r="F116" s="10" t="str">
        <f t="shared" si="1"/>
        <v/>
      </c>
      <c r="G116" s="8"/>
    </row>
    <row r="117" spans="1:7" x14ac:dyDescent="0.2">
      <c r="A117" s="3" t="str">
        <f>IF($B117="","",COUNTA($B$9:$B117))</f>
        <v/>
      </c>
      <c r="B117" s="4"/>
      <c r="C117" s="4"/>
      <c r="D117" s="5"/>
      <c r="E117" s="6"/>
      <c r="F117" s="7" t="str">
        <f t="shared" si="1"/>
        <v/>
      </c>
      <c r="G117" s="8"/>
    </row>
    <row r="118" spans="1:7" x14ac:dyDescent="0.2">
      <c r="A118" s="9" t="str">
        <f>IF($B118="","",COUNTA($B$9:$B118))</f>
        <v/>
      </c>
      <c r="B118" s="4"/>
      <c r="C118" s="4"/>
      <c r="D118" s="5"/>
      <c r="E118" s="6"/>
      <c r="F118" s="10" t="str">
        <f t="shared" si="1"/>
        <v/>
      </c>
      <c r="G118" s="8"/>
    </row>
    <row r="119" spans="1:7" x14ac:dyDescent="0.2">
      <c r="A119" s="3" t="str">
        <f>IF($B119="","",COUNTA($B$9:$B119))</f>
        <v/>
      </c>
      <c r="B119" s="4"/>
      <c r="C119" s="4"/>
      <c r="D119" s="5"/>
      <c r="E119" s="6"/>
      <c r="F119" s="7" t="str">
        <f t="shared" si="1"/>
        <v/>
      </c>
      <c r="G119" s="8"/>
    </row>
    <row r="120" spans="1:7" x14ac:dyDescent="0.2">
      <c r="A120" s="9" t="str">
        <f>IF($B120="","",COUNTA($B$9:$B120))</f>
        <v/>
      </c>
      <c r="B120" s="4"/>
      <c r="C120" s="4"/>
      <c r="D120" s="5"/>
      <c r="E120" s="6"/>
      <c r="F120" s="10" t="str">
        <f t="shared" si="1"/>
        <v/>
      </c>
      <c r="G120" s="8"/>
    </row>
    <row r="121" spans="1:7" x14ac:dyDescent="0.2">
      <c r="A121" s="3" t="str">
        <f>IF($B121="","",COUNTA($B$9:$B121))</f>
        <v/>
      </c>
      <c r="B121" s="4"/>
      <c r="C121" s="4"/>
      <c r="D121" s="5"/>
      <c r="E121" s="6"/>
      <c r="F121" s="7" t="str">
        <f t="shared" si="1"/>
        <v/>
      </c>
      <c r="G121" s="8"/>
    </row>
    <row r="122" spans="1:7" x14ac:dyDescent="0.2">
      <c r="A122" s="9" t="str">
        <f>IF($B122="","",COUNTA($B$9:$B122))</f>
        <v/>
      </c>
      <c r="B122" s="4"/>
      <c r="C122" s="4"/>
      <c r="D122" s="5"/>
      <c r="E122" s="6"/>
      <c r="F122" s="10" t="str">
        <f t="shared" si="1"/>
        <v/>
      </c>
      <c r="G122" s="8"/>
    </row>
    <row r="123" spans="1:7" x14ac:dyDescent="0.2">
      <c r="A123" s="3" t="str">
        <f>IF($B123="","",COUNTA($B$9:$B123))</f>
        <v/>
      </c>
      <c r="B123" s="4"/>
      <c r="C123" s="4"/>
      <c r="D123" s="5"/>
      <c r="E123" s="6"/>
      <c r="F123" s="7" t="str">
        <f t="shared" si="1"/>
        <v/>
      </c>
      <c r="G123" s="8"/>
    </row>
    <row r="124" spans="1:7" x14ac:dyDescent="0.2">
      <c r="A124" s="9" t="str">
        <f>IF($B124="","",COUNTA($B$9:$B124))</f>
        <v/>
      </c>
      <c r="B124" s="4"/>
      <c r="C124" s="4"/>
      <c r="D124" s="5"/>
      <c r="E124" s="6"/>
      <c r="F124" s="10" t="str">
        <f t="shared" si="1"/>
        <v/>
      </c>
      <c r="G124" s="8"/>
    </row>
    <row r="125" spans="1:7" x14ac:dyDescent="0.2">
      <c r="A125" s="3" t="str">
        <f>IF($B125="","",COUNTA($B$9:$B125))</f>
        <v/>
      </c>
      <c r="B125" s="4"/>
      <c r="C125" s="4"/>
      <c r="D125" s="5"/>
      <c r="E125" s="6"/>
      <c r="F125" s="7" t="str">
        <f t="shared" si="1"/>
        <v/>
      </c>
      <c r="G125" s="8"/>
    </row>
    <row r="126" spans="1:7" x14ac:dyDescent="0.2">
      <c r="A126" s="9" t="str">
        <f>IF($B126="","",COUNTA($B$9:$B126))</f>
        <v/>
      </c>
      <c r="B126" s="4"/>
      <c r="C126" s="4"/>
      <c r="D126" s="5"/>
      <c r="E126" s="6"/>
      <c r="F126" s="10" t="str">
        <f t="shared" si="1"/>
        <v/>
      </c>
      <c r="G126" s="8"/>
    </row>
    <row r="127" spans="1:7" x14ac:dyDescent="0.2">
      <c r="A127" s="3" t="str">
        <f>IF($B127="","",COUNTA($B$9:$B127))</f>
        <v/>
      </c>
      <c r="B127" s="4"/>
      <c r="C127" s="4"/>
      <c r="D127" s="5"/>
      <c r="E127" s="6"/>
      <c r="F127" s="7" t="str">
        <f t="shared" si="1"/>
        <v/>
      </c>
      <c r="G127" s="8"/>
    </row>
    <row r="128" spans="1:7" x14ac:dyDescent="0.2">
      <c r="A128" s="9" t="str">
        <f>IF($B128="","",COUNTA($B$9:$B128))</f>
        <v/>
      </c>
      <c r="B128" s="4"/>
      <c r="C128" s="4"/>
      <c r="D128" s="5"/>
      <c r="E128" s="6"/>
      <c r="F128" s="10" t="str">
        <f t="shared" si="1"/>
        <v/>
      </c>
      <c r="G128" s="8"/>
    </row>
    <row r="129" spans="1:7" x14ac:dyDescent="0.2">
      <c r="A129" s="3" t="str">
        <f>IF($B129="","",COUNTA($B$9:$B129))</f>
        <v/>
      </c>
      <c r="B129" s="4"/>
      <c r="C129" s="4"/>
      <c r="D129" s="5"/>
      <c r="E129" s="6"/>
      <c r="F129" s="7" t="str">
        <f t="shared" si="1"/>
        <v/>
      </c>
      <c r="G129" s="8"/>
    </row>
    <row r="130" spans="1:7" x14ac:dyDescent="0.2">
      <c r="A130" s="9" t="str">
        <f>IF($B130="","",COUNTA($B$9:$B130))</f>
        <v/>
      </c>
      <c r="B130" s="4"/>
      <c r="C130" s="4"/>
      <c r="D130" s="5"/>
      <c r="E130" s="6"/>
      <c r="F130" s="10" t="str">
        <f t="shared" si="1"/>
        <v/>
      </c>
      <c r="G130" s="8"/>
    </row>
    <row r="131" spans="1:7" x14ac:dyDescent="0.2">
      <c r="A131" s="3" t="str">
        <f>IF($B131="","",COUNTA($B$9:$B131))</f>
        <v/>
      </c>
      <c r="B131" s="4"/>
      <c r="C131" s="4"/>
      <c r="D131" s="5"/>
      <c r="E131" s="6"/>
      <c r="F131" s="7" t="str">
        <f t="shared" si="1"/>
        <v/>
      </c>
      <c r="G131" s="8"/>
    </row>
    <row r="132" spans="1:7" x14ac:dyDescent="0.2">
      <c r="A132" s="9" t="str">
        <f>IF($B132="","",COUNTA($B$9:$B132))</f>
        <v/>
      </c>
      <c r="B132" s="4"/>
      <c r="C132" s="4"/>
      <c r="D132" s="5"/>
      <c r="E132" s="6"/>
      <c r="F132" s="10" t="str">
        <f t="shared" si="1"/>
        <v/>
      </c>
      <c r="G132" s="8"/>
    </row>
    <row r="133" spans="1:7" x14ac:dyDescent="0.2">
      <c r="A133" s="3" t="str">
        <f>IF($B133="","",COUNTA($B$9:$B133))</f>
        <v/>
      </c>
      <c r="B133" s="4"/>
      <c r="C133" s="4"/>
      <c r="D133" s="5"/>
      <c r="E133" s="6"/>
      <c r="F133" s="7" t="str">
        <f t="shared" si="1"/>
        <v/>
      </c>
      <c r="G133" s="8"/>
    </row>
    <row r="134" spans="1:7" x14ac:dyDescent="0.2">
      <c r="A134" s="9" t="str">
        <f>IF($B134="","",COUNTA($B$9:$B134))</f>
        <v/>
      </c>
      <c r="B134" s="4"/>
      <c r="C134" s="4"/>
      <c r="D134" s="5"/>
      <c r="E134" s="6"/>
      <c r="F134" s="10" t="str">
        <f t="shared" si="1"/>
        <v/>
      </c>
      <c r="G134" s="8"/>
    </row>
    <row r="135" spans="1:7" x14ac:dyDescent="0.2">
      <c r="A135" s="3" t="str">
        <f>IF($B135="","",COUNTA($B$9:$B135))</f>
        <v/>
      </c>
      <c r="B135" s="4"/>
      <c r="C135" s="4"/>
      <c r="D135" s="5"/>
      <c r="E135" s="6"/>
      <c r="F135" s="7" t="str">
        <f t="shared" si="1"/>
        <v/>
      </c>
      <c r="G135" s="8"/>
    </row>
    <row r="136" spans="1:7" x14ac:dyDescent="0.2">
      <c r="A136" s="9" t="str">
        <f>IF($B136="","",COUNTA($B$9:$B136))</f>
        <v/>
      </c>
      <c r="B136" s="4"/>
      <c r="C136" s="4"/>
      <c r="D136" s="5"/>
      <c r="E136" s="6"/>
      <c r="F136" s="10" t="str">
        <f t="shared" si="1"/>
        <v/>
      </c>
      <c r="G136" s="8"/>
    </row>
    <row r="137" spans="1:7" x14ac:dyDescent="0.2">
      <c r="A137" s="3" t="str">
        <f>IF($B137="","",COUNTA($B$9:$B137))</f>
        <v/>
      </c>
      <c r="B137" s="4"/>
      <c r="C137" s="4"/>
      <c r="D137" s="5"/>
      <c r="E137" s="6"/>
      <c r="F137" s="7" t="str">
        <f t="shared" ref="F137:F200" si="2">IF($B137="","",IF(COUNTIFS(ETxnType,"پاس چک",ETxnChk,$B137)&gt;0,"پاس شده","پاس نشده"))</f>
        <v/>
      </c>
      <c r="G137" s="8"/>
    </row>
    <row r="138" spans="1:7" x14ac:dyDescent="0.2">
      <c r="A138" s="9" t="str">
        <f>IF($B138="","",COUNTA($B$9:$B138))</f>
        <v/>
      </c>
      <c r="B138" s="4"/>
      <c r="C138" s="4"/>
      <c r="D138" s="5"/>
      <c r="E138" s="6"/>
      <c r="F138" s="10" t="str">
        <f t="shared" si="2"/>
        <v/>
      </c>
      <c r="G138" s="8"/>
    </row>
    <row r="139" spans="1:7" x14ac:dyDescent="0.2">
      <c r="A139" s="3" t="str">
        <f>IF($B139="","",COUNTA($B$9:$B139))</f>
        <v/>
      </c>
      <c r="B139" s="4"/>
      <c r="C139" s="4"/>
      <c r="D139" s="5"/>
      <c r="E139" s="6"/>
      <c r="F139" s="7" t="str">
        <f t="shared" si="2"/>
        <v/>
      </c>
      <c r="G139" s="8"/>
    </row>
    <row r="140" spans="1:7" x14ac:dyDescent="0.2">
      <c r="A140" s="9" t="str">
        <f>IF($B140="","",COUNTA($B$9:$B140))</f>
        <v/>
      </c>
      <c r="B140" s="4"/>
      <c r="C140" s="4"/>
      <c r="D140" s="5"/>
      <c r="E140" s="6"/>
      <c r="F140" s="10" t="str">
        <f t="shared" si="2"/>
        <v/>
      </c>
      <c r="G140" s="8"/>
    </row>
    <row r="141" spans="1:7" x14ac:dyDescent="0.2">
      <c r="A141" s="3" t="str">
        <f>IF($B141="","",COUNTA($B$9:$B141))</f>
        <v/>
      </c>
      <c r="B141" s="4"/>
      <c r="C141" s="4"/>
      <c r="D141" s="5"/>
      <c r="E141" s="6"/>
      <c r="F141" s="7" t="str">
        <f t="shared" si="2"/>
        <v/>
      </c>
      <c r="G141" s="8"/>
    </row>
    <row r="142" spans="1:7" x14ac:dyDescent="0.2">
      <c r="A142" s="9" t="str">
        <f>IF($B142="","",COUNTA($B$9:$B142))</f>
        <v/>
      </c>
      <c r="B142" s="4"/>
      <c r="C142" s="4"/>
      <c r="D142" s="5"/>
      <c r="E142" s="6"/>
      <c r="F142" s="10" t="str">
        <f t="shared" si="2"/>
        <v/>
      </c>
      <c r="G142" s="8"/>
    </row>
    <row r="143" spans="1:7" x14ac:dyDescent="0.2">
      <c r="A143" s="3" t="str">
        <f>IF($B143="","",COUNTA($B$9:$B143))</f>
        <v/>
      </c>
      <c r="B143" s="4"/>
      <c r="C143" s="4"/>
      <c r="D143" s="5"/>
      <c r="E143" s="6"/>
      <c r="F143" s="7" t="str">
        <f t="shared" si="2"/>
        <v/>
      </c>
      <c r="G143" s="8"/>
    </row>
    <row r="144" spans="1:7" x14ac:dyDescent="0.2">
      <c r="A144" s="9" t="str">
        <f>IF($B144="","",COUNTA($B$9:$B144))</f>
        <v/>
      </c>
      <c r="B144" s="4"/>
      <c r="C144" s="4"/>
      <c r="D144" s="5"/>
      <c r="E144" s="6"/>
      <c r="F144" s="10" t="str">
        <f t="shared" si="2"/>
        <v/>
      </c>
      <c r="G144" s="8"/>
    </row>
    <row r="145" spans="1:7" x14ac:dyDescent="0.2">
      <c r="A145" s="3" t="str">
        <f>IF($B145="","",COUNTA($B$9:$B145))</f>
        <v/>
      </c>
      <c r="B145" s="4"/>
      <c r="C145" s="4"/>
      <c r="D145" s="5"/>
      <c r="E145" s="6"/>
      <c r="F145" s="7" t="str">
        <f t="shared" si="2"/>
        <v/>
      </c>
      <c r="G145" s="8"/>
    </row>
    <row r="146" spans="1:7" x14ac:dyDescent="0.2">
      <c r="A146" s="9" t="str">
        <f>IF($B146="","",COUNTA($B$9:$B146))</f>
        <v/>
      </c>
      <c r="B146" s="4"/>
      <c r="C146" s="4"/>
      <c r="D146" s="5"/>
      <c r="E146" s="6"/>
      <c r="F146" s="10" t="str">
        <f t="shared" si="2"/>
        <v/>
      </c>
      <c r="G146" s="8"/>
    </row>
    <row r="147" spans="1:7" x14ac:dyDescent="0.2">
      <c r="A147" s="3" t="str">
        <f>IF($B147="","",COUNTA($B$9:$B147))</f>
        <v/>
      </c>
      <c r="B147" s="4"/>
      <c r="C147" s="4"/>
      <c r="D147" s="5"/>
      <c r="E147" s="6"/>
      <c r="F147" s="7" t="str">
        <f t="shared" si="2"/>
        <v/>
      </c>
      <c r="G147" s="8"/>
    </row>
    <row r="148" spans="1:7" x14ac:dyDescent="0.2">
      <c r="A148" s="9" t="str">
        <f>IF($B148="","",COUNTA($B$9:$B148))</f>
        <v/>
      </c>
      <c r="B148" s="4"/>
      <c r="C148" s="4"/>
      <c r="D148" s="5"/>
      <c r="E148" s="6"/>
      <c r="F148" s="10" t="str">
        <f t="shared" si="2"/>
        <v/>
      </c>
      <c r="G148" s="8"/>
    </row>
    <row r="149" spans="1:7" x14ac:dyDescent="0.2">
      <c r="A149" s="3" t="str">
        <f>IF($B149="","",COUNTA($B$9:$B149))</f>
        <v/>
      </c>
      <c r="B149" s="4"/>
      <c r="C149" s="4"/>
      <c r="D149" s="5"/>
      <c r="E149" s="6"/>
      <c r="F149" s="7" t="str">
        <f t="shared" si="2"/>
        <v/>
      </c>
      <c r="G149" s="8"/>
    </row>
    <row r="150" spans="1:7" x14ac:dyDescent="0.2">
      <c r="A150" s="9" t="str">
        <f>IF($B150="","",COUNTA($B$9:$B150))</f>
        <v/>
      </c>
      <c r="B150" s="4"/>
      <c r="C150" s="4"/>
      <c r="D150" s="5"/>
      <c r="E150" s="6"/>
      <c r="F150" s="10" t="str">
        <f t="shared" si="2"/>
        <v/>
      </c>
      <c r="G150" s="8"/>
    </row>
    <row r="151" spans="1:7" x14ac:dyDescent="0.2">
      <c r="A151" s="3" t="str">
        <f>IF($B151="","",COUNTA($B$9:$B151))</f>
        <v/>
      </c>
      <c r="B151" s="4"/>
      <c r="C151" s="4"/>
      <c r="D151" s="5"/>
      <c r="E151" s="6"/>
      <c r="F151" s="7" t="str">
        <f t="shared" si="2"/>
        <v/>
      </c>
      <c r="G151" s="8"/>
    </row>
    <row r="152" spans="1:7" x14ac:dyDescent="0.2">
      <c r="A152" s="9" t="str">
        <f>IF($B152="","",COUNTA($B$9:$B152))</f>
        <v/>
      </c>
      <c r="B152" s="4"/>
      <c r="C152" s="4"/>
      <c r="D152" s="5"/>
      <c r="E152" s="6"/>
      <c r="F152" s="10" t="str">
        <f t="shared" si="2"/>
        <v/>
      </c>
      <c r="G152" s="8"/>
    </row>
    <row r="153" spans="1:7" x14ac:dyDescent="0.2">
      <c r="A153" s="3" t="str">
        <f>IF($B153="","",COUNTA($B$9:$B153))</f>
        <v/>
      </c>
      <c r="B153" s="4"/>
      <c r="C153" s="4"/>
      <c r="D153" s="5"/>
      <c r="E153" s="6"/>
      <c r="F153" s="7" t="str">
        <f t="shared" si="2"/>
        <v/>
      </c>
      <c r="G153" s="8"/>
    </row>
    <row r="154" spans="1:7" x14ac:dyDescent="0.2">
      <c r="A154" s="9" t="str">
        <f>IF($B154="","",COUNTA($B$9:$B154))</f>
        <v/>
      </c>
      <c r="B154" s="4"/>
      <c r="C154" s="4"/>
      <c r="D154" s="5"/>
      <c r="E154" s="6"/>
      <c r="F154" s="10" t="str">
        <f t="shared" si="2"/>
        <v/>
      </c>
      <c r="G154" s="8"/>
    </row>
    <row r="155" spans="1:7" x14ac:dyDescent="0.2">
      <c r="A155" s="3" t="str">
        <f>IF($B155="","",COUNTA($B$9:$B155))</f>
        <v/>
      </c>
      <c r="B155" s="4"/>
      <c r="C155" s="4"/>
      <c r="D155" s="5"/>
      <c r="E155" s="6"/>
      <c r="F155" s="7" t="str">
        <f t="shared" si="2"/>
        <v/>
      </c>
      <c r="G155" s="8"/>
    </row>
    <row r="156" spans="1:7" x14ac:dyDescent="0.2">
      <c r="A156" s="9" t="str">
        <f>IF($B156="","",COUNTA($B$9:$B156))</f>
        <v/>
      </c>
      <c r="B156" s="4"/>
      <c r="C156" s="4"/>
      <c r="D156" s="5"/>
      <c r="E156" s="6"/>
      <c r="F156" s="10" t="str">
        <f t="shared" si="2"/>
        <v/>
      </c>
      <c r="G156" s="8"/>
    </row>
    <row r="157" spans="1:7" x14ac:dyDescent="0.2">
      <c r="A157" s="3" t="str">
        <f>IF($B157="","",COUNTA($B$9:$B157))</f>
        <v/>
      </c>
      <c r="B157" s="4"/>
      <c r="C157" s="4"/>
      <c r="D157" s="5"/>
      <c r="E157" s="6"/>
      <c r="F157" s="7" t="str">
        <f t="shared" si="2"/>
        <v/>
      </c>
      <c r="G157" s="8"/>
    </row>
    <row r="158" spans="1:7" x14ac:dyDescent="0.2">
      <c r="A158" s="9" t="str">
        <f>IF($B158="","",COUNTA($B$9:$B158))</f>
        <v/>
      </c>
      <c r="B158" s="4"/>
      <c r="C158" s="4"/>
      <c r="D158" s="5"/>
      <c r="E158" s="6"/>
      <c r="F158" s="10" t="str">
        <f t="shared" si="2"/>
        <v/>
      </c>
      <c r="G158" s="8"/>
    </row>
    <row r="159" spans="1:7" x14ac:dyDescent="0.2">
      <c r="A159" s="3" t="str">
        <f>IF($B159="","",COUNTA($B$9:$B159))</f>
        <v/>
      </c>
      <c r="B159" s="4"/>
      <c r="C159" s="4"/>
      <c r="D159" s="5"/>
      <c r="E159" s="6"/>
      <c r="F159" s="7" t="str">
        <f t="shared" si="2"/>
        <v/>
      </c>
      <c r="G159" s="8"/>
    </row>
    <row r="160" spans="1:7" x14ac:dyDescent="0.2">
      <c r="A160" s="9" t="str">
        <f>IF($B160="","",COUNTA($B$9:$B160))</f>
        <v/>
      </c>
      <c r="B160" s="4"/>
      <c r="C160" s="4"/>
      <c r="D160" s="5"/>
      <c r="E160" s="6"/>
      <c r="F160" s="10" t="str">
        <f t="shared" si="2"/>
        <v/>
      </c>
      <c r="G160" s="8"/>
    </row>
    <row r="161" spans="1:7" x14ac:dyDescent="0.2">
      <c r="A161" s="3" t="str">
        <f>IF($B161="","",COUNTA($B$9:$B161))</f>
        <v/>
      </c>
      <c r="B161" s="4"/>
      <c r="C161" s="4"/>
      <c r="D161" s="5"/>
      <c r="E161" s="6"/>
      <c r="F161" s="7" t="str">
        <f t="shared" si="2"/>
        <v/>
      </c>
      <c r="G161" s="8"/>
    </row>
    <row r="162" spans="1:7" x14ac:dyDescent="0.2">
      <c r="A162" s="9" t="str">
        <f>IF($B162="","",COUNTA($B$9:$B162))</f>
        <v/>
      </c>
      <c r="B162" s="4"/>
      <c r="C162" s="4"/>
      <c r="D162" s="5"/>
      <c r="E162" s="6"/>
      <c r="F162" s="10" t="str">
        <f t="shared" si="2"/>
        <v/>
      </c>
      <c r="G162" s="8"/>
    </row>
    <row r="163" spans="1:7" x14ac:dyDescent="0.2">
      <c r="A163" s="3" t="str">
        <f>IF($B163="","",COUNTA($B$9:$B163))</f>
        <v/>
      </c>
      <c r="B163" s="4"/>
      <c r="C163" s="4"/>
      <c r="D163" s="5"/>
      <c r="E163" s="6"/>
      <c r="F163" s="7" t="str">
        <f t="shared" si="2"/>
        <v/>
      </c>
      <c r="G163" s="8"/>
    </row>
    <row r="164" spans="1:7" x14ac:dyDescent="0.2">
      <c r="A164" s="9" t="str">
        <f>IF($B164="","",COUNTA($B$9:$B164))</f>
        <v/>
      </c>
      <c r="B164" s="4"/>
      <c r="C164" s="4"/>
      <c r="D164" s="5"/>
      <c r="E164" s="6"/>
      <c r="F164" s="10" t="str">
        <f t="shared" si="2"/>
        <v/>
      </c>
      <c r="G164" s="8"/>
    </row>
    <row r="165" spans="1:7" x14ac:dyDescent="0.2">
      <c r="A165" s="3" t="str">
        <f>IF($B165="","",COUNTA($B$9:$B165))</f>
        <v/>
      </c>
      <c r="B165" s="4"/>
      <c r="C165" s="4"/>
      <c r="D165" s="5"/>
      <c r="E165" s="6"/>
      <c r="F165" s="7" t="str">
        <f t="shared" si="2"/>
        <v/>
      </c>
      <c r="G165" s="8"/>
    </row>
    <row r="166" spans="1:7" x14ac:dyDescent="0.2">
      <c r="A166" s="9" t="str">
        <f>IF($B166="","",COUNTA($B$9:$B166))</f>
        <v/>
      </c>
      <c r="B166" s="4"/>
      <c r="C166" s="4"/>
      <c r="D166" s="5"/>
      <c r="E166" s="6"/>
      <c r="F166" s="10" t="str">
        <f t="shared" si="2"/>
        <v/>
      </c>
      <c r="G166" s="8"/>
    </row>
    <row r="167" spans="1:7" x14ac:dyDescent="0.2">
      <c r="A167" s="3" t="str">
        <f>IF($B167="","",COUNTA($B$9:$B167))</f>
        <v/>
      </c>
      <c r="B167" s="4"/>
      <c r="C167" s="4"/>
      <c r="D167" s="5"/>
      <c r="E167" s="6"/>
      <c r="F167" s="7" t="str">
        <f t="shared" si="2"/>
        <v/>
      </c>
      <c r="G167" s="8"/>
    </row>
    <row r="168" spans="1:7" x14ac:dyDescent="0.2">
      <c r="A168" s="9" t="str">
        <f>IF($B168="","",COUNTA($B$9:$B168))</f>
        <v/>
      </c>
      <c r="B168" s="4"/>
      <c r="C168" s="4"/>
      <c r="D168" s="5"/>
      <c r="E168" s="6"/>
      <c r="F168" s="10" t="str">
        <f t="shared" si="2"/>
        <v/>
      </c>
      <c r="G168" s="8"/>
    </row>
    <row r="169" spans="1:7" x14ac:dyDescent="0.2">
      <c r="A169" s="3" t="str">
        <f>IF($B169="","",COUNTA($B$9:$B169))</f>
        <v/>
      </c>
      <c r="B169" s="4"/>
      <c r="C169" s="4"/>
      <c r="D169" s="5"/>
      <c r="E169" s="6"/>
      <c r="F169" s="7" t="str">
        <f t="shared" si="2"/>
        <v/>
      </c>
      <c r="G169" s="8"/>
    </row>
    <row r="170" spans="1:7" x14ac:dyDescent="0.2">
      <c r="A170" s="9" t="str">
        <f>IF($B170="","",COUNTA($B$9:$B170))</f>
        <v/>
      </c>
      <c r="B170" s="4"/>
      <c r="C170" s="4"/>
      <c r="D170" s="5"/>
      <c r="E170" s="6"/>
      <c r="F170" s="10" t="str">
        <f t="shared" si="2"/>
        <v/>
      </c>
      <c r="G170" s="8"/>
    </row>
    <row r="171" spans="1:7" x14ac:dyDescent="0.2">
      <c r="A171" s="3" t="str">
        <f>IF($B171="","",COUNTA($B$9:$B171))</f>
        <v/>
      </c>
      <c r="B171" s="4"/>
      <c r="C171" s="4"/>
      <c r="D171" s="5"/>
      <c r="E171" s="6"/>
      <c r="F171" s="7" t="str">
        <f t="shared" si="2"/>
        <v/>
      </c>
      <c r="G171" s="8"/>
    </row>
    <row r="172" spans="1:7" x14ac:dyDescent="0.2">
      <c r="A172" s="9" t="str">
        <f>IF($B172="","",COUNTA($B$9:$B172))</f>
        <v/>
      </c>
      <c r="B172" s="4"/>
      <c r="C172" s="4"/>
      <c r="D172" s="5"/>
      <c r="E172" s="6"/>
      <c r="F172" s="10" t="str">
        <f t="shared" si="2"/>
        <v/>
      </c>
      <c r="G172" s="8"/>
    </row>
    <row r="173" spans="1:7" x14ac:dyDescent="0.2">
      <c r="A173" s="3" t="str">
        <f>IF($B173="","",COUNTA($B$9:$B173))</f>
        <v/>
      </c>
      <c r="B173" s="4"/>
      <c r="C173" s="4"/>
      <c r="D173" s="5"/>
      <c r="E173" s="6"/>
      <c r="F173" s="7" t="str">
        <f t="shared" si="2"/>
        <v/>
      </c>
      <c r="G173" s="8"/>
    </row>
    <row r="174" spans="1:7" x14ac:dyDescent="0.2">
      <c r="A174" s="9" t="str">
        <f>IF($B174="","",COUNTA($B$9:$B174))</f>
        <v/>
      </c>
      <c r="B174" s="4"/>
      <c r="C174" s="4"/>
      <c r="D174" s="5"/>
      <c r="E174" s="6"/>
      <c r="F174" s="10" t="str">
        <f t="shared" si="2"/>
        <v/>
      </c>
      <c r="G174" s="8"/>
    </row>
    <row r="175" spans="1:7" x14ac:dyDescent="0.2">
      <c r="A175" s="3" t="str">
        <f>IF($B175="","",COUNTA($B$9:$B175))</f>
        <v/>
      </c>
      <c r="B175" s="4"/>
      <c r="C175" s="4"/>
      <c r="D175" s="5"/>
      <c r="E175" s="6"/>
      <c r="F175" s="7" t="str">
        <f t="shared" si="2"/>
        <v/>
      </c>
      <c r="G175" s="8"/>
    </row>
    <row r="176" spans="1:7" x14ac:dyDescent="0.2">
      <c r="A176" s="9" t="str">
        <f>IF($B176="","",COUNTA($B$9:$B176))</f>
        <v/>
      </c>
      <c r="B176" s="4"/>
      <c r="C176" s="4"/>
      <c r="D176" s="5"/>
      <c r="E176" s="6"/>
      <c r="F176" s="10" t="str">
        <f t="shared" si="2"/>
        <v/>
      </c>
      <c r="G176" s="8"/>
    </row>
    <row r="177" spans="1:7" x14ac:dyDescent="0.2">
      <c r="A177" s="3" t="str">
        <f>IF($B177="","",COUNTA($B$9:$B177))</f>
        <v/>
      </c>
      <c r="B177" s="4"/>
      <c r="C177" s="4"/>
      <c r="D177" s="5"/>
      <c r="E177" s="6"/>
      <c r="F177" s="7" t="str">
        <f t="shared" si="2"/>
        <v/>
      </c>
      <c r="G177" s="8"/>
    </row>
    <row r="178" spans="1:7" x14ac:dyDescent="0.2">
      <c r="A178" s="9" t="str">
        <f>IF($B178="","",COUNTA($B$9:$B178))</f>
        <v/>
      </c>
      <c r="B178" s="4"/>
      <c r="C178" s="4"/>
      <c r="D178" s="5"/>
      <c r="E178" s="6"/>
      <c r="F178" s="10" t="str">
        <f t="shared" si="2"/>
        <v/>
      </c>
      <c r="G178" s="8"/>
    </row>
    <row r="179" spans="1:7" x14ac:dyDescent="0.2">
      <c r="A179" s="3" t="str">
        <f>IF($B179="","",COUNTA($B$9:$B179))</f>
        <v/>
      </c>
      <c r="B179" s="4"/>
      <c r="C179" s="4"/>
      <c r="D179" s="5"/>
      <c r="E179" s="6"/>
      <c r="F179" s="7" t="str">
        <f t="shared" si="2"/>
        <v/>
      </c>
      <c r="G179" s="8"/>
    </row>
    <row r="180" spans="1:7" x14ac:dyDescent="0.2">
      <c r="A180" s="9" t="str">
        <f>IF($B180="","",COUNTA($B$9:$B180))</f>
        <v/>
      </c>
      <c r="B180" s="4"/>
      <c r="C180" s="4"/>
      <c r="D180" s="5"/>
      <c r="E180" s="6"/>
      <c r="F180" s="10" t="str">
        <f t="shared" si="2"/>
        <v/>
      </c>
      <c r="G180" s="8"/>
    </row>
    <row r="181" spans="1:7" x14ac:dyDescent="0.2">
      <c r="A181" s="3" t="str">
        <f>IF($B181="","",COUNTA($B$9:$B181))</f>
        <v/>
      </c>
      <c r="B181" s="4"/>
      <c r="C181" s="4"/>
      <c r="D181" s="5"/>
      <c r="E181" s="6"/>
      <c r="F181" s="7" t="str">
        <f t="shared" si="2"/>
        <v/>
      </c>
      <c r="G181" s="8"/>
    </row>
    <row r="182" spans="1:7" x14ac:dyDescent="0.2">
      <c r="A182" s="9" t="str">
        <f>IF($B182="","",COUNTA($B$9:$B182))</f>
        <v/>
      </c>
      <c r="B182" s="4"/>
      <c r="C182" s="4"/>
      <c r="D182" s="5"/>
      <c r="E182" s="6"/>
      <c r="F182" s="10" t="str">
        <f t="shared" si="2"/>
        <v/>
      </c>
      <c r="G182" s="8"/>
    </row>
    <row r="183" spans="1:7" x14ac:dyDescent="0.2">
      <c r="A183" s="3" t="str">
        <f>IF($B183="","",COUNTA($B$9:$B183))</f>
        <v/>
      </c>
      <c r="B183" s="4"/>
      <c r="C183" s="4"/>
      <c r="D183" s="5"/>
      <c r="E183" s="6"/>
      <c r="F183" s="7" t="str">
        <f t="shared" si="2"/>
        <v/>
      </c>
      <c r="G183" s="8"/>
    </row>
    <row r="184" spans="1:7" x14ac:dyDescent="0.2">
      <c r="A184" s="9" t="str">
        <f>IF($B184="","",COUNTA($B$9:$B184))</f>
        <v/>
      </c>
      <c r="B184" s="4"/>
      <c r="C184" s="4"/>
      <c r="D184" s="5"/>
      <c r="E184" s="6"/>
      <c r="F184" s="10" t="str">
        <f t="shared" si="2"/>
        <v/>
      </c>
      <c r="G184" s="8"/>
    </row>
    <row r="185" spans="1:7" x14ac:dyDescent="0.2">
      <c r="A185" s="3" t="str">
        <f>IF($B185="","",COUNTA($B$9:$B185))</f>
        <v/>
      </c>
      <c r="B185" s="4"/>
      <c r="C185" s="4"/>
      <c r="D185" s="5"/>
      <c r="E185" s="6"/>
      <c r="F185" s="7" t="str">
        <f t="shared" si="2"/>
        <v/>
      </c>
      <c r="G185" s="8"/>
    </row>
    <row r="186" spans="1:7" x14ac:dyDescent="0.2">
      <c r="A186" s="9" t="str">
        <f>IF($B186="","",COUNTA($B$9:$B186))</f>
        <v/>
      </c>
      <c r="B186" s="4"/>
      <c r="C186" s="4"/>
      <c r="D186" s="5"/>
      <c r="E186" s="6"/>
      <c r="F186" s="10" t="str">
        <f t="shared" si="2"/>
        <v/>
      </c>
      <c r="G186" s="8"/>
    </row>
    <row r="187" spans="1:7" x14ac:dyDescent="0.2">
      <c r="A187" s="3" t="str">
        <f>IF($B187="","",COUNTA($B$9:$B187))</f>
        <v/>
      </c>
      <c r="B187" s="4"/>
      <c r="C187" s="4"/>
      <c r="D187" s="5"/>
      <c r="E187" s="6"/>
      <c r="F187" s="7" t="str">
        <f t="shared" si="2"/>
        <v/>
      </c>
      <c r="G187" s="8"/>
    </row>
    <row r="188" spans="1:7" x14ac:dyDescent="0.2">
      <c r="A188" s="9" t="str">
        <f>IF($B188="","",COUNTA($B$9:$B188))</f>
        <v/>
      </c>
      <c r="B188" s="4"/>
      <c r="C188" s="4"/>
      <c r="D188" s="5"/>
      <c r="E188" s="6"/>
      <c r="F188" s="10" t="str">
        <f t="shared" si="2"/>
        <v/>
      </c>
      <c r="G188" s="8"/>
    </row>
    <row r="189" spans="1:7" x14ac:dyDescent="0.2">
      <c r="A189" s="3" t="str">
        <f>IF($B189="","",COUNTA($B$9:$B189))</f>
        <v/>
      </c>
      <c r="B189" s="4"/>
      <c r="C189" s="4"/>
      <c r="D189" s="5"/>
      <c r="E189" s="6"/>
      <c r="F189" s="7" t="str">
        <f t="shared" si="2"/>
        <v/>
      </c>
      <c r="G189" s="8"/>
    </row>
    <row r="190" spans="1:7" x14ac:dyDescent="0.2">
      <c r="A190" s="9" t="str">
        <f>IF($B190="","",COUNTA($B$9:$B190))</f>
        <v/>
      </c>
      <c r="B190" s="4"/>
      <c r="C190" s="4"/>
      <c r="D190" s="5"/>
      <c r="E190" s="6"/>
      <c r="F190" s="10" t="str">
        <f t="shared" si="2"/>
        <v/>
      </c>
      <c r="G190" s="8"/>
    </row>
    <row r="191" spans="1:7" x14ac:dyDescent="0.2">
      <c r="A191" s="3" t="str">
        <f>IF($B191="","",COUNTA($B$9:$B191))</f>
        <v/>
      </c>
      <c r="B191" s="4"/>
      <c r="C191" s="4"/>
      <c r="D191" s="5"/>
      <c r="E191" s="6"/>
      <c r="F191" s="7" t="str">
        <f t="shared" si="2"/>
        <v/>
      </c>
      <c r="G191" s="8"/>
    </row>
    <row r="192" spans="1:7" x14ac:dyDescent="0.2">
      <c r="A192" s="9" t="str">
        <f>IF($B192="","",COUNTA($B$9:$B192))</f>
        <v/>
      </c>
      <c r="B192" s="4"/>
      <c r="C192" s="4"/>
      <c r="D192" s="5"/>
      <c r="E192" s="6"/>
      <c r="F192" s="10" t="str">
        <f t="shared" si="2"/>
        <v/>
      </c>
      <c r="G192" s="8"/>
    </row>
    <row r="193" spans="1:7" x14ac:dyDescent="0.2">
      <c r="A193" s="3" t="str">
        <f>IF($B193="","",COUNTA($B$9:$B193))</f>
        <v/>
      </c>
      <c r="B193" s="4"/>
      <c r="C193" s="4"/>
      <c r="D193" s="5"/>
      <c r="E193" s="6"/>
      <c r="F193" s="7" t="str">
        <f t="shared" si="2"/>
        <v/>
      </c>
      <c r="G193" s="8"/>
    </row>
    <row r="194" spans="1:7" x14ac:dyDescent="0.2">
      <c r="A194" s="9" t="str">
        <f>IF($B194="","",COUNTA($B$9:$B194))</f>
        <v/>
      </c>
      <c r="B194" s="4"/>
      <c r="C194" s="4"/>
      <c r="D194" s="5"/>
      <c r="E194" s="6"/>
      <c r="F194" s="10" t="str">
        <f t="shared" si="2"/>
        <v/>
      </c>
      <c r="G194" s="8"/>
    </row>
    <row r="195" spans="1:7" x14ac:dyDescent="0.2">
      <c r="A195" s="3" t="str">
        <f>IF($B195="","",COUNTA($B$9:$B195))</f>
        <v/>
      </c>
      <c r="B195" s="4"/>
      <c r="C195" s="4"/>
      <c r="D195" s="5"/>
      <c r="E195" s="6"/>
      <c r="F195" s="7" t="str">
        <f t="shared" si="2"/>
        <v/>
      </c>
      <c r="G195" s="8"/>
    </row>
    <row r="196" spans="1:7" x14ac:dyDescent="0.2">
      <c r="A196" s="9" t="str">
        <f>IF($B196="","",COUNTA($B$9:$B196))</f>
        <v/>
      </c>
      <c r="B196" s="4"/>
      <c r="C196" s="4"/>
      <c r="D196" s="5"/>
      <c r="E196" s="6"/>
      <c r="F196" s="10" t="str">
        <f t="shared" si="2"/>
        <v/>
      </c>
      <c r="G196" s="8"/>
    </row>
    <row r="197" spans="1:7" x14ac:dyDescent="0.2">
      <c r="A197" s="3" t="str">
        <f>IF($B197="","",COUNTA($B$9:$B197))</f>
        <v/>
      </c>
      <c r="B197" s="4"/>
      <c r="C197" s="4"/>
      <c r="D197" s="5"/>
      <c r="E197" s="6"/>
      <c r="F197" s="7" t="str">
        <f t="shared" si="2"/>
        <v/>
      </c>
      <c r="G197" s="8"/>
    </row>
    <row r="198" spans="1:7" x14ac:dyDescent="0.2">
      <c r="A198" s="9" t="str">
        <f>IF($B198="","",COUNTA($B$9:$B198))</f>
        <v/>
      </c>
      <c r="B198" s="4"/>
      <c r="C198" s="4"/>
      <c r="D198" s="5"/>
      <c r="E198" s="6"/>
      <c r="F198" s="10" t="str">
        <f t="shared" si="2"/>
        <v/>
      </c>
      <c r="G198" s="8"/>
    </row>
    <row r="199" spans="1:7" x14ac:dyDescent="0.2">
      <c r="A199" s="3" t="str">
        <f>IF($B199="","",COUNTA($B$9:$B199))</f>
        <v/>
      </c>
      <c r="B199" s="4"/>
      <c r="C199" s="4"/>
      <c r="D199" s="5"/>
      <c r="E199" s="6"/>
      <c r="F199" s="7" t="str">
        <f t="shared" si="2"/>
        <v/>
      </c>
      <c r="G199" s="8"/>
    </row>
    <row r="200" spans="1:7" x14ac:dyDescent="0.2">
      <c r="A200" s="9" t="str">
        <f>IF($B200="","",COUNTA($B$9:$B200))</f>
        <v/>
      </c>
      <c r="B200" s="4"/>
      <c r="C200" s="4"/>
      <c r="D200" s="5"/>
      <c r="E200" s="6"/>
      <c r="F200" s="10" t="str">
        <f t="shared" si="2"/>
        <v/>
      </c>
      <c r="G200" s="8"/>
    </row>
    <row r="201" spans="1:7" x14ac:dyDescent="0.2">
      <c r="A201" s="3" t="str">
        <f>IF($B201="","",COUNTA($B$9:$B201))</f>
        <v/>
      </c>
      <c r="B201" s="4"/>
      <c r="C201" s="4"/>
      <c r="D201" s="5"/>
      <c r="E201" s="6"/>
      <c r="F201" s="7" t="str">
        <f t="shared" ref="F201:F264" si="3">IF($B201="","",IF(COUNTIFS(ETxnType,"پاس چک",ETxnChk,$B201)&gt;0,"پاس شده","پاس نشده"))</f>
        <v/>
      </c>
      <c r="G201" s="8"/>
    </row>
    <row r="202" spans="1:7" x14ac:dyDescent="0.2">
      <c r="A202" s="9" t="str">
        <f>IF($B202="","",COUNTA($B$9:$B202))</f>
        <v/>
      </c>
      <c r="B202" s="4"/>
      <c r="C202" s="4"/>
      <c r="D202" s="5"/>
      <c r="E202" s="6"/>
      <c r="F202" s="10" t="str">
        <f t="shared" si="3"/>
        <v/>
      </c>
      <c r="G202" s="8"/>
    </row>
    <row r="203" spans="1:7" x14ac:dyDescent="0.2">
      <c r="A203" s="3" t="str">
        <f>IF($B203="","",COUNTA($B$9:$B203))</f>
        <v/>
      </c>
      <c r="B203" s="4"/>
      <c r="C203" s="4"/>
      <c r="D203" s="5"/>
      <c r="E203" s="6"/>
      <c r="F203" s="7" t="str">
        <f t="shared" si="3"/>
        <v/>
      </c>
      <c r="G203" s="8"/>
    </row>
    <row r="204" spans="1:7" x14ac:dyDescent="0.2">
      <c r="A204" s="9" t="str">
        <f>IF($B204="","",COUNTA($B$9:$B204))</f>
        <v/>
      </c>
      <c r="B204" s="4"/>
      <c r="C204" s="4"/>
      <c r="D204" s="5"/>
      <c r="E204" s="6"/>
      <c r="F204" s="10" t="str">
        <f t="shared" si="3"/>
        <v/>
      </c>
      <c r="G204" s="8"/>
    </row>
    <row r="205" spans="1:7" x14ac:dyDescent="0.2">
      <c r="A205" s="3" t="str">
        <f>IF($B205="","",COUNTA($B$9:$B205))</f>
        <v/>
      </c>
      <c r="B205" s="4"/>
      <c r="C205" s="4"/>
      <c r="D205" s="5"/>
      <c r="E205" s="6"/>
      <c r="F205" s="7" t="str">
        <f t="shared" si="3"/>
        <v/>
      </c>
      <c r="G205" s="8"/>
    </row>
    <row r="206" spans="1:7" x14ac:dyDescent="0.2">
      <c r="A206" s="9" t="str">
        <f>IF($B206="","",COUNTA($B$9:$B206))</f>
        <v/>
      </c>
      <c r="B206" s="4"/>
      <c r="C206" s="4"/>
      <c r="D206" s="5"/>
      <c r="E206" s="6"/>
      <c r="F206" s="10" t="str">
        <f t="shared" si="3"/>
        <v/>
      </c>
      <c r="G206" s="8"/>
    </row>
    <row r="207" spans="1:7" x14ac:dyDescent="0.2">
      <c r="A207" s="3" t="str">
        <f>IF($B207="","",COUNTA($B$9:$B207))</f>
        <v/>
      </c>
      <c r="B207" s="4"/>
      <c r="C207" s="4"/>
      <c r="D207" s="5"/>
      <c r="E207" s="6"/>
      <c r="F207" s="7" t="str">
        <f t="shared" si="3"/>
        <v/>
      </c>
      <c r="G207" s="8"/>
    </row>
    <row r="208" spans="1:7" x14ac:dyDescent="0.2">
      <c r="A208" s="9" t="str">
        <f>IF($B208="","",COUNTA($B$9:$B208))</f>
        <v/>
      </c>
      <c r="B208" s="4"/>
      <c r="C208" s="4"/>
      <c r="D208" s="5"/>
      <c r="E208" s="6"/>
      <c r="F208" s="10" t="str">
        <f t="shared" si="3"/>
        <v/>
      </c>
      <c r="G208" s="8"/>
    </row>
    <row r="209" spans="1:7" x14ac:dyDescent="0.2">
      <c r="A209" s="3" t="str">
        <f>IF($B209="","",COUNTA($B$9:$B209))</f>
        <v/>
      </c>
      <c r="B209" s="4"/>
      <c r="C209" s="4"/>
      <c r="D209" s="5"/>
      <c r="E209" s="6"/>
      <c r="F209" s="7" t="str">
        <f t="shared" si="3"/>
        <v/>
      </c>
      <c r="G209" s="8"/>
    </row>
    <row r="210" spans="1:7" x14ac:dyDescent="0.2">
      <c r="A210" s="9" t="str">
        <f>IF($B210="","",COUNTA($B$9:$B210))</f>
        <v/>
      </c>
      <c r="B210" s="4"/>
      <c r="C210" s="4"/>
      <c r="D210" s="5"/>
      <c r="E210" s="6"/>
      <c r="F210" s="10" t="str">
        <f t="shared" si="3"/>
        <v/>
      </c>
      <c r="G210" s="8"/>
    </row>
    <row r="211" spans="1:7" x14ac:dyDescent="0.2">
      <c r="A211" s="3" t="str">
        <f>IF($B211="","",COUNTA($B$9:$B211))</f>
        <v/>
      </c>
      <c r="B211" s="4"/>
      <c r="C211" s="4"/>
      <c r="D211" s="5"/>
      <c r="E211" s="6"/>
      <c r="F211" s="7" t="str">
        <f t="shared" si="3"/>
        <v/>
      </c>
      <c r="G211" s="8"/>
    </row>
    <row r="212" spans="1:7" x14ac:dyDescent="0.2">
      <c r="A212" s="9" t="str">
        <f>IF($B212="","",COUNTA($B$9:$B212))</f>
        <v/>
      </c>
      <c r="B212" s="4"/>
      <c r="C212" s="4"/>
      <c r="D212" s="5"/>
      <c r="E212" s="6"/>
      <c r="F212" s="10" t="str">
        <f t="shared" si="3"/>
        <v/>
      </c>
      <c r="G212" s="8"/>
    </row>
    <row r="213" spans="1:7" x14ac:dyDescent="0.2">
      <c r="A213" s="3" t="str">
        <f>IF($B213="","",COUNTA($B$9:$B213))</f>
        <v/>
      </c>
      <c r="B213" s="4"/>
      <c r="C213" s="4"/>
      <c r="D213" s="5"/>
      <c r="E213" s="6"/>
      <c r="F213" s="7" t="str">
        <f t="shared" si="3"/>
        <v/>
      </c>
      <c r="G213" s="8"/>
    </row>
    <row r="214" spans="1:7" x14ac:dyDescent="0.2">
      <c r="A214" s="9" t="str">
        <f>IF($B214="","",COUNTA($B$9:$B214))</f>
        <v/>
      </c>
      <c r="B214" s="4"/>
      <c r="C214" s="4"/>
      <c r="D214" s="5"/>
      <c r="E214" s="6"/>
      <c r="F214" s="10" t="str">
        <f t="shared" si="3"/>
        <v/>
      </c>
      <c r="G214" s="8"/>
    </row>
    <row r="215" spans="1:7" x14ac:dyDescent="0.2">
      <c r="A215" s="3" t="str">
        <f>IF($B215="","",COUNTA($B$9:$B215))</f>
        <v/>
      </c>
      <c r="B215" s="4"/>
      <c r="C215" s="4"/>
      <c r="D215" s="5"/>
      <c r="E215" s="6"/>
      <c r="F215" s="7" t="str">
        <f t="shared" si="3"/>
        <v/>
      </c>
      <c r="G215" s="8"/>
    </row>
    <row r="216" spans="1:7" x14ac:dyDescent="0.2">
      <c r="A216" s="9" t="str">
        <f>IF($B216="","",COUNTA($B$9:$B216))</f>
        <v/>
      </c>
      <c r="B216" s="4"/>
      <c r="C216" s="4"/>
      <c r="D216" s="5"/>
      <c r="E216" s="6"/>
      <c r="F216" s="10" t="str">
        <f t="shared" si="3"/>
        <v/>
      </c>
      <c r="G216" s="8"/>
    </row>
    <row r="217" spans="1:7" x14ac:dyDescent="0.2">
      <c r="A217" s="3" t="str">
        <f>IF($B217="","",COUNTA($B$9:$B217))</f>
        <v/>
      </c>
      <c r="B217" s="4"/>
      <c r="C217" s="4"/>
      <c r="D217" s="5"/>
      <c r="E217" s="6"/>
      <c r="F217" s="7" t="str">
        <f t="shared" si="3"/>
        <v/>
      </c>
      <c r="G217" s="8"/>
    </row>
    <row r="218" spans="1:7" x14ac:dyDescent="0.2">
      <c r="A218" s="9" t="str">
        <f>IF($B218="","",COUNTA($B$9:$B218))</f>
        <v/>
      </c>
      <c r="B218" s="4"/>
      <c r="C218" s="4"/>
      <c r="D218" s="5"/>
      <c r="E218" s="6"/>
      <c r="F218" s="10" t="str">
        <f t="shared" si="3"/>
        <v/>
      </c>
      <c r="G218" s="8"/>
    </row>
    <row r="219" spans="1:7" x14ac:dyDescent="0.2">
      <c r="A219" s="3" t="str">
        <f>IF($B219="","",COUNTA($B$9:$B219))</f>
        <v/>
      </c>
      <c r="B219" s="4"/>
      <c r="C219" s="4"/>
      <c r="D219" s="5"/>
      <c r="E219" s="6"/>
      <c r="F219" s="7" t="str">
        <f t="shared" si="3"/>
        <v/>
      </c>
      <c r="G219" s="8"/>
    </row>
    <row r="220" spans="1:7" x14ac:dyDescent="0.2">
      <c r="A220" s="9" t="str">
        <f>IF($B220="","",COUNTA($B$9:$B220))</f>
        <v/>
      </c>
      <c r="B220" s="4"/>
      <c r="C220" s="4"/>
      <c r="D220" s="5"/>
      <c r="E220" s="6"/>
      <c r="F220" s="10" t="str">
        <f t="shared" si="3"/>
        <v/>
      </c>
      <c r="G220" s="8"/>
    </row>
    <row r="221" spans="1:7" x14ac:dyDescent="0.2">
      <c r="A221" s="3" t="str">
        <f>IF($B221="","",COUNTA($B$9:$B221))</f>
        <v/>
      </c>
      <c r="B221" s="4"/>
      <c r="C221" s="4"/>
      <c r="D221" s="5"/>
      <c r="E221" s="6"/>
      <c r="F221" s="7" t="str">
        <f t="shared" si="3"/>
        <v/>
      </c>
      <c r="G221" s="8"/>
    </row>
    <row r="222" spans="1:7" x14ac:dyDescent="0.2">
      <c r="A222" s="9" t="str">
        <f>IF($B222="","",COUNTA($B$9:$B222))</f>
        <v/>
      </c>
      <c r="B222" s="4"/>
      <c r="C222" s="4"/>
      <c r="D222" s="5"/>
      <c r="E222" s="6"/>
      <c r="F222" s="10" t="str">
        <f t="shared" si="3"/>
        <v/>
      </c>
      <c r="G222" s="8"/>
    </row>
    <row r="223" spans="1:7" x14ac:dyDescent="0.2">
      <c r="A223" s="3" t="str">
        <f>IF($B223="","",COUNTA($B$9:$B223))</f>
        <v/>
      </c>
      <c r="B223" s="4"/>
      <c r="C223" s="4"/>
      <c r="D223" s="5"/>
      <c r="E223" s="6"/>
      <c r="F223" s="7" t="str">
        <f t="shared" si="3"/>
        <v/>
      </c>
      <c r="G223" s="8"/>
    </row>
    <row r="224" spans="1:7" x14ac:dyDescent="0.2">
      <c r="A224" s="9" t="str">
        <f>IF($B224="","",COUNTA($B$9:$B224))</f>
        <v/>
      </c>
      <c r="B224" s="4"/>
      <c r="C224" s="4"/>
      <c r="D224" s="5"/>
      <c r="E224" s="6"/>
      <c r="F224" s="10" t="str">
        <f t="shared" si="3"/>
        <v/>
      </c>
      <c r="G224" s="8"/>
    </row>
    <row r="225" spans="1:7" x14ac:dyDescent="0.2">
      <c r="A225" s="3" t="str">
        <f>IF($B225="","",COUNTA($B$9:$B225))</f>
        <v/>
      </c>
      <c r="B225" s="4"/>
      <c r="C225" s="4"/>
      <c r="D225" s="5"/>
      <c r="E225" s="6"/>
      <c r="F225" s="7" t="str">
        <f t="shared" si="3"/>
        <v/>
      </c>
      <c r="G225" s="8"/>
    </row>
    <row r="226" spans="1:7" x14ac:dyDescent="0.2">
      <c r="A226" s="9" t="str">
        <f>IF($B226="","",COUNTA($B$9:$B226))</f>
        <v/>
      </c>
      <c r="B226" s="4"/>
      <c r="C226" s="4"/>
      <c r="D226" s="5"/>
      <c r="E226" s="6"/>
      <c r="F226" s="10" t="str">
        <f t="shared" si="3"/>
        <v/>
      </c>
      <c r="G226" s="8"/>
    </row>
    <row r="227" spans="1:7" x14ac:dyDescent="0.2">
      <c r="A227" s="3" t="str">
        <f>IF($B227="","",COUNTA($B$9:$B227))</f>
        <v/>
      </c>
      <c r="B227" s="4"/>
      <c r="C227" s="4"/>
      <c r="D227" s="5"/>
      <c r="E227" s="6"/>
      <c r="F227" s="7" t="str">
        <f t="shared" si="3"/>
        <v/>
      </c>
      <c r="G227" s="8"/>
    </row>
    <row r="228" spans="1:7" x14ac:dyDescent="0.2">
      <c r="A228" s="9" t="str">
        <f>IF($B228="","",COUNTA($B$9:$B228))</f>
        <v/>
      </c>
      <c r="B228" s="4"/>
      <c r="C228" s="4"/>
      <c r="D228" s="5"/>
      <c r="E228" s="6"/>
      <c r="F228" s="10" t="str">
        <f t="shared" si="3"/>
        <v/>
      </c>
      <c r="G228" s="8"/>
    </row>
    <row r="229" spans="1:7" x14ac:dyDescent="0.2">
      <c r="A229" s="3" t="str">
        <f>IF($B229="","",COUNTA($B$9:$B229))</f>
        <v/>
      </c>
      <c r="B229" s="4"/>
      <c r="C229" s="4"/>
      <c r="D229" s="5"/>
      <c r="E229" s="6"/>
      <c r="F229" s="7" t="str">
        <f t="shared" si="3"/>
        <v/>
      </c>
      <c r="G229" s="8"/>
    </row>
    <row r="230" spans="1:7" x14ac:dyDescent="0.2">
      <c r="A230" s="9" t="str">
        <f>IF($B230="","",COUNTA($B$9:$B230))</f>
        <v/>
      </c>
      <c r="B230" s="4"/>
      <c r="C230" s="4"/>
      <c r="D230" s="5"/>
      <c r="E230" s="6"/>
      <c r="F230" s="10" t="str">
        <f t="shared" si="3"/>
        <v/>
      </c>
      <c r="G230" s="8"/>
    </row>
    <row r="231" spans="1:7" x14ac:dyDescent="0.2">
      <c r="A231" s="3" t="str">
        <f>IF($B231="","",COUNTA($B$9:$B231))</f>
        <v/>
      </c>
      <c r="B231" s="4"/>
      <c r="C231" s="4"/>
      <c r="D231" s="5"/>
      <c r="E231" s="6"/>
      <c r="F231" s="7" t="str">
        <f t="shared" si="3"/>
        <v/>
      </c>
      <c r="G231" s="8"/>
    </row>
    <row r="232" spans="1:7" x14ac:dyDescent="0.2">
      <c r="A232" s="9" t="str">
        <f>IF($B232="","",COUNTA($B$9:$B232))</f>
        <v/>
      </c>
      <c r="B232" s="4"/>
      <c r="C232" s="4"/>
      <c r="D232" s="5"/>
      <c r="E232" s="6"/>
      <c r="F232" s="10" t="str">
        <f t="shared" si="3"/>
        <v/>
      </c>
      <c r="G232" s="8"/>
    </row>
    <row r="233" spans="1:7" x14ac:dyDescent="0.2">
      <c r="A233" s="3" t="str">
        <f>IF($B233="","",COUNTA($B$9:$B233))</f>
        <v/>
      </c>
      <c r="B233" s="4"/>
      <c r="C233" s="4"/>
      <c r="D233" s="5"/>
      <c r="E233" s="6"/>
      <c r="F233" s="7" t="str">
        <f t="shared" si="3"/>
        <v/>
      </c>
      <c r="G233" s="8"/>
    </row>
    <row r="234" spans="1:7" x14ac:dyDescent="0.2">
      <c r="A234" s="9" t="str">
        <f>IF($B234="","",COUNTA($B$9:$B234))</f>
        <v/>
      </c>
      <c r="B234" s="4"/>
      <c r="C234" s="4"/>
      <c r="D234" s="5"/>
      <c r="E234" s="6"/>
      <c r="F234" s="10" t="str">
        <f t="shared" si="3"/>
        <v/>
      </c>
      <c r="G234" s="8"/>
    </row>
    <row r="235" spans="1:7" x14ac:dyDescent="0.2">
      <c r="A235" s="3" t="str">
        <f>IF($B235="","",COUNTA($B$9:$B235))</f>
        <v/>
      </c>
      <c r="B235" s="4"/>
      <c r="C235" s="4"/>
      <c r="D235" s="5"/>
      <c r="E235" s="6"/>
      <c r="F235" s="7" t="str">
        <f t="shared" si="3"/>
        <v/>
      </c>
      <c r="G235" s="8"/>
    </row>
    <row r="236" spans="1:7" x14ac:dyDescent="0.2">
      <c r="A236" s="9" t="str">
        <f>IF($B236="","",COUNTA($B$9:$B236))</f>
        <v/>
      </c>
      <c r="B236" s="4"/>
      <c r="C236" s="4"/>
      <c r="D236" s="5"/>
      <c r="E236" s="6"/>
      <c r="F236" s="10" t="str">
        <f t="shared" si="3"/>
        <v/>
      </c>
      <c r="G236" s="8"/>
    </row>
    <row r="237" spans="1:7" x14ac:dyDescent="0.2">
      <c r="A237" s="3" t="str">
        <f>IF($B237="","",COUNTA($B$9:$B237))</f>
        <v/>
      </c>
      <c r="B237" s="4"/>
      <c r="C237" s="4"/>
      <c r="D237" s="5"/>
      <c r="E237" s="6"/>
      <c r="F237" s="7" t="str">
        <f t="shared" si="3"/>
        <v/>
      </c>
      <c r="G237" s="8"/>
    </row>
    <row r="238" spans="1:7" x14ac:dyDescent="0.2">
      <c r="A238" s="9" t="str">
        <f>IF($B238="","",COUNTA($B$9:$B238))</f>
        <v/>
      </c>
      <c r="B238" s="4"/>
      <c r="C238" s="4"/>
      <c r="D238" s="5"/>
      <c r="E238" s="6"/>
      <c r="F238" s="10" t="str">
        <f t="shared" si="3"/>
        <v/>
      </c>
      <c r="G238" s="8"/>
    </row>
    <row r="239" spans="1:7" x14ac:dyDescent="0.2">
      <c r="A239" s="3" t="str">
        <f>IF($B239="","",COUNTA($B$9:$B239))</f>
        <v/>
      </c>
      <c r="B239" s="4"/>
      <c r="C239" s="4"/>
      <c r="D239" s="5"/>
      <c r="E239" s="6"/>
      <c r="F239" s="7" t="str">
        <f t="shared" si="3"/>
        <v/>
      </c>
      <c r="G239" s="8"/>
    </row>
    <row r="240" spans="1:7" x14ac:dyDescent="0.2">
      <c r="A240" s="9" t="str">
        <f>IF($B240="","",COUNTA($B$9:$B240))</f>
        <v/>
      </c>
      <c r="B240" s="4"/>
      <c r="C240" s="4"/>
      <c r="D240" s="5"/>
      <c r="E240" s="6"/>
      <c r="F240" s="10" t="str">
        <f t="shared" si="3"/>
        <v/>
      </c>
      <c r="G240" s="8"/>
    </row>
    <row r="241" spans="1:7" x14ac:dyDescent="0.2">
      <c r="A241" s="3" t="str">
        <f>IF($B241="","",COUNTA($B$9:$B241))</f>
        <v/>
      </c>
      <c r="B241" s="4"/>
      <c r="C241" s="4"/>
      <c r="D241" s="5"/>
      <c r="E241" s="6"/>
      <c r="F241" s="7" t="str">
        <f t="shared" si="3"/>
        <v/>
      </c>
      <c r="G241" s="8"/>
    </row>
    <row r="242" spans="1:7" x14ac:dyDescent="0.2">
      <c r="A242" s="9" t="str">
        <f>IF($B242="","",COUNTA($B$9:$B242))</f>
        <v/>
      </c>
      <c r="B242" s="4"/>
      <c r="C242" s="4"/>
      <c r="D242" s="5"/>
      <c r="E242" s="6"/>
      <c r="F242" s="10" t="str">
        <f t="shared" si="3"/>
        <v/>
      </c>
      <c r="G242" s="8"/>
    </row>
    <row r="243" spans="1:7" x14ac:dyDescent="0.2">
      <c r="A243" s="3" t="str">
        <f>IF($B243="","",COUNTA($B$9:$B243))</f>
        <v/>
      </c>
      <c r="B243" s="4"/>
      <c r="C243" s="4"/>
      <c r="D243" s="5"/>
      <c r="E243" s="6"/>
      <c r="F243" s="7" t="str">
        <f t="shared" si="3"/>
        <v/>
      </c>
      <c r="G243" s="8"/>
    </row>
    <row r="244" spans="1:7" x14ac:dyDescent="0.2">
      <c r="A244" s="9" t="str">
        <f>IF($B244="","",COUNTA($B$9:$B244))</f>
        <v/>
      </c>
      <c r="B244" s="4"/>
      <c r="C244" s="4"/>
      <c r="D244" s="5"/>
      <c r="E244" s="6"/>
      <c r="F244" s="10" t="str">
        <f t="shared" si="3"/>
        <v/>
      </c>
      <c r="G244" s="8"/>
    </row>
    <row r="245" spans="1:7" x14ac:dyDescent="0.2">
      <c r="A245" s="3" t="str">
        <f>IF($B245="","",COUNTA($B$9:$B245))</f>
        <v/>
      </c>
      <c r="B245" s="4"/>
      <c r="C245" s="4"/>
      <c r="D245" s="5"/>
      <c r="E245" s="6"/>
      <c r="F245" s="7" t="str">
        <f t="shared" si="3"/>
        <v/>
      </c>
      <c r="G245" s="8"/>
    </row>
    <row r="246" spans="1:7" x14ac:dyDescent="0.2">
      <c r="A246" s="9" t="str">
        <f>IF($B246="","",COUNTA($B$9:$B246))</f>
        <v/>
      </c>
      <c r="B246" s="4"/>
      <c r="C246" s="4"/>
      <c r="D246" s="5"/>
      <c r="E246" s="6"/>
      <c r="F246" s="10" t="str">
        <f t="shared" si="3"/>
        <v/>
      </c>
      <c r="G246" s="8"/>
    </row>
    <row r="247" spans="1:7" x14ac:dyDescent="0.2">
      <c r="A247" s="3" t="str">
        <f>IF($B247="","",COUNTA($B$9:$B247))</f>
        <v/>
      </c>
      <c r="B247" s="4"/>
      <c r="C247" s="4"/>
      <c r="D247" s="5"/>
      <c r="E247" s="6"/>
      <c r="F247" s="7" t="str">
        <f t="shared" si="3"/>
        <v/>
      </c>
      <c r="G247" s="8"/>
    </row>
    <row r="248" spans="1:7" x14ac:dyDescent="0.2">
      <c r="A248" s="9" t="str">
        <f>IF($B248="","",COUNTA($B$9:$B248))</f>
        <v/>
      </c>
      <c r="B248" s="4"/>
      <c r="C248" s="4"/>
      <c r="D248" s="5"/>
      <c r="E248" s="6"/>
      <c r="F248" s="10" t="str">
        <f t="shared" si="3"/>
        <v/>
      </c>
      <c r="G248" s="8"/>
    </row>
    <row r="249" spans="1:7" x14ac:dyDescent="0.2">
      <c r="A249" s="3" t="str">
        <f>IF($B249="","",COUNTA($B$9:$B249))</f>
        <v/>
      </c>
      <c r="B249" s="4"/>
      <c r="C249" s="4"/>
      <c r="D249" s="5"/>
      <c r="E249" s="6"/>
      <c r="F249" s="7" t="str">
        <f t="shared" si="3"/>
        <v/>
      </c>
      <c r="G249" s="8"/>
    </row>
    <row r="250" spans="1:7" x14ac:dyDescent="0.2">
      <c r="A250" s="9" t="str">
        <f>IF($B250="","",COUNTA($B$9:$B250))</f>
        <v/>
      </c>
      <c r="B250" s="4"/>
      <c r="C250" s="4"/>
      <c r="D250" s="5"/>
      <c r="E250" s="6"/>
      <c r="F250" s="10" t="str">
        <f t="shared" si="3"/>
        <v/>
      </c>
      <c r="G250" s="8"/>
    </row>
    <row r="251" spans="1:7" x14ac:dyDescent="0.2">
      <c r="A251" s="3" t="str">
        <f>IF($B251="","",COUNTA($B$9:$B251))</f>
        <v/>
      </c>
      <c r="B251" s="4"/>
      <c r="C251" s="4"/>
      <c r="D251" s="5"/>
      <c r="E251" s="6"/>
      <c r="F251" s="7" t="str">
        <f t="shared" si="3"/>
        <v/>
      </c>
      <c r="G251" s="8"/>
    </row>
    <row r="252" spans="1:7" x14ac:dyDescent="0.2">
      <c r="A252" s="9" t="str">
        <f>IF($B252="","",COUNTA($B$9:$B252))</f>
        <v/>
      </c>
      <c r="B252" s="4"/>
      <c r="C252" s="4"/>
      <c r="D252" s="5"/>
      <c r="E252" s="6"/>
      <c r="F252" s="10" t="str">
        <f t="shared" si="3"/>
        <v/>
      </c>
      <c r="G252" s="8"/>
    </row>
    <row r="253" spans="1:7" x14ac:dyDescent="0.2">
      <c r="A253" s="3" t="str">
        <f>IF($B253="","",COUNTA($B$9:$B253))</f>
        <v/>
      </c>
      <c r="B253" s="4"/>
      <c r="C253" s="4"/>
      <c r="D253" s="5"/>
      <c r="E253" s="6"/>
      <c r="F253" s="7" t="str">
        <f t="shared" si="3"/>
        <v/>
      </c>
      <c r="G253" s="8"/>
    </row>
    <row r="254" spans="1:7" x14ac:dyDescent="0.2">
      <c r="A254" s="9" t="str">
        <f>IF($B254="","",COUNTA($B$9:$B254))</f>
        <v/>
      </c>
      <c r="B254" s="4"/>
      <c r="C254" s="4"/>
      <c r="D254" s="5"/>
      <c r="E254" s="6"/>
      <c r="F254" s="10" t="str">
        <f t="shared" si="3"/>
        <v/>
      </c>
      <c r="G254" s="8"/>
    </row>
    <row r="255" spans="1:7" x14ac:dyDescent="0.2">
      <c r="A255" s="3" t="str">
        <f>IF($B255="","",COUNTA($B$9:$B255))</f>
        <v/>
      </c>
      <c r="B255" s="4"/>
      <c r="C255" s="4"/>
      <c r="D255" s="5"/>
      <c r="E255" s="6"/>
      <c r="F255" s="7" t="str">
        <f t="shared" si="3"/>
        <v/>
      </c>
      <c r="G255" s="8"/>
    </row>
    <row r="256" spans="1:7" x14ac:dyDescent="0.2">
      <c r="A256" s="9" t="str">
        <f>IF($B256="","",COUNTA($B$9:$B256))</f>
        <v/>
      </c>
      <c r="B256" s="4"/>
      <c r="C256" s="4"/>
      <c r="D256" s="5"/>
      <c r="E256" s="6"/>
      <c r="F256" s="10" t="str">
        <f t="shared" si="3"/>
        <v/>
      </c>
      <c r="G256" s="8"/>
    </row>
    <row r="257" spans="1:7" x14ac:dyDescent="0.2">
      <c r="A257" s="3" t="str">
        <f>IF($B257="","",COUNTA($B$9:$B257))</f>
        <v/>
      </c>
      <c r="B257" s="4"/>
      <c r="C257" s="4"/>
      <c r="D257" s="5"/>
      <c r="E257" s="6"/>
      <c r="F257" s="7" t="str">
        <f t="shared" si="3"/>
        <v/>
      </c>
      <c r="G257" s="8"/>
    </row>
    <row r="258" spans="1:7" x14ac:dyDescent="0.2">
      <c r="A258" s="9" t="str">
        <f>IF($B258="","",COUNTA($B$9:$B258))</f>
        <v/>
      </c>
      <c r="B258" s="4"/>
      <c r="C258" s="4"/>
      <c r="D258" s="5"/>
      <c r="E258" s="6"/>
      <c r="F258" s="10" t="str">
        <f t="shared" si="3"/>
        <v/>
      </c>
      <c r="G258" s="8"/>
    </row>
    <row r="259" spans="1:7" x14ac:dyDescent="0.2">
      <c r="A259" s="3" t="str">
        <f>IF($B259="","",COUNTA($B$9:$B259))</f>
        <v/>
      </c>
      <c r="B259" s="4"/>
      <c r="C259" s="4"/>
      <c r="D259" s="5"/>
      <c r="E259" s="6"/>
      <c r="F259" s="7" t="str">
        <f t="shared" si="3"/>
        <v/>
      </c>
      <c r="G259" s="8"/>
    </row>
    <row r="260" spans="1:7" x14ac:dyDescent="0.2">
      <c r="A260" s="9" t="str">
        <f>IF($B260="","",COUNTA($B$9:$B260))</f>
        <v/>
      </c>
      <c r="B260" s="4"/>
      <c r="C260" s="4"/>
      <c r="D260" s="5"/>
      <c r="E260" s="6"/>
      <c r="F260" s="10" t="str">
        <f t="shared" si="3"/>
        <v/>
      </c>
      <c r="G260" s="8"/>
    </row>
    <row r="261" spans="1:7" x14ac:dyDescent="0.2">
      <c r="A261" s="3" t="str">
        <f>IF($B261="","",COUNTA($B$9:$B261))</f>
        <v/>
      </c>
      <c r="B261" s="4"/>
      <c r="C261" s="4"/>
      <c r="D261" s="5"/>
      <c r="E261" s="6"/>
      <c r="F261" s="7" t="str">
        <f t="shared" si="3"/>
        <v/>
      </c>
      <c r="G261" s="8"/>
    </row>
    <row r="262" spans="1:7" x14ac:dyDescent="0.2">
      <c r="A262" s="9" t="str">
        <f>IF($B262="","",COUNTA($B$9:$B262))</f>
        <v/>
      </c>
      <c r="B262" s="4"/>
      <c r="C262" s="4"/>
      <c r="D262" s="5"/>
      <c r="E262" s="6"/>
      <c r="F262" s="10" t="str">
        <f t="shared" si="3"/>
        <v/>
      </c>
      <c r="G262" s="8"/>
    </row>
    <row r="263" spans="1:7" x14ac:dyDescent="0.2">
      <c r="A263" s="3" t="str">
        <f>IF($B263="","",COUNTA($B$9:$B263))</f>
        <v/>
      </c>
      <c r="B263" s="4"/>
      <c r="C263" s="4"/>
      <c r="D263" s="5"/>
      <c r="E263" s="6"/>
      <c r="F263" s="7" t="str">
        <f t="shared" si="3"/>
        <v/>
      </c>
      <c r="G263" s="8"/>
    </row>
    <row r="264" spans="1:7" x14ac:dyDescent="0.2">
      <c r="A264" s="9" t="str">
        <f>IF($B264="","",COUNTA($B$9:$B264))</f>
        <v/>
      </c>
      <c r="B264" s="4"/>
      <c r="C264" s="4"/>
      <c r="D264" s="5"/>
      <c r="E264" s="6"/>
      <c r="F264" s="10" t="str">
        <f t="shared" si="3"/>
        <v/>
      </c>
      <c r="G264" s="8"/>
    </row>
    <row r="265" spans="1:7" x14ac:dyDescent="0.2">
      <c r="A265" s="3" t="str">
        <f>IF($B265="","",COUNTA($B$9:$B265))</f>
        <v/>
      </c>
      <c r="B265" s="4"/>
      <c r="C265" s="4"/>
      <c r="D265" s="5"/>
      <c r="E265" s="6"/>
      <c r="F265" s="7" t="str">
        <f t="shared" ref="F265:F328" si="4">IF($B265="","",IF(COUNTIFS(ETxnType,"پاس چک",ETxnChk,$B265)&gt;0,"پاس شده","پاس نشده"))</f>
        <v/>
      </c>
      <c r="G265" s="8"/>
    </row>
    <row r="266" spans="1:7" x14ac:dyDescent="0.2">
      <c r="A266" s="9" t="str">
        <f>IF($B266="","",COUNTA($B$9:$B266))</f>
        <v/>
      </c>
      <c r="B266" s="4"/>
      <c r="C266" s="4"/>
      <c r="D266" s="5"/>
      <c r="E266" s="6"/>
      <c r="F266" s="10" t="str">
        <f t="shared" si="4"/>
        <v/>
      </c>
      <c r="G266" s="8"/>
    </row>
    <row r="267" spans="1:7" x14ac:dyDescent="0.2">
      <c r="A267" s="3" t="str">
        <f>IF($B267="","",COUNTA($B$9:$B267))</f>
        <v/>
      </c>
      <c r="B267" s="4"/>
      <c r="C267" s="4"/>
      <c r="D267" s="5"/>
      <c r="E267" s="6"/>
      <c r="F267" s="7" t="str">
        <f t="shared" si="4"/>
        <v/>
      </c>
      <c r="G267" s="8"/>
    </row>
    <row r="268" spans="1:7" x14ac:dyDescent="0.2">
      <c r="A268" s="9" t="str">
        <f>IF($B268="","",COUNTA($B$9:$B268))</f>
        <v/>
      </c>
      <c r="B268" s="4"/>
      <c r="C268" s="4"/>
      <c r="D268" s="5"/>
      <c r="E268" s="6"/>
      <c r="F268" s="10" t="str">
        <f t="shared" si="4"/>
        <v/>
      </c>
      <c r="G268" s="8"/>
    </row>
    <row r="269" spans="1:7" x14ac:dyDescent="0.2">
      <c r="A269" s="3" t="str">
        <f>IF($B269="","",COUNTA($B$9:$B269))</f>
        <v/>
      </c>
      <c r="B269" s="4"/>
      <c r="C269" s="4"/>
      <c r="D269" s="5"/>
      <c r="E269" s="6"/>
      <c r="F269" s="7" t="str">
        <f t="shared" si="4"/>
        <v/>
      </c>
      <c r="G269" s="8"/>
    </row>
    <row r="270" spans="1:7" x14ac:dyDescent="0.2">
      <c r="A270" s="9" t="str">
        <f>IF($B270="","",COUNTA($B$9:$B270))</f>
        <v/>
      </c>
      <c r="B270" s="4"/>
      <c r="C270" s="4"/>
      <c r="D270" s="5"/>
      <c r="E270" s="6"/>
      <c r="F270" s="10" t="str">
        <f t="shared" si="4"/>
        <v/>
      </c>
      <c r="G270" s="8"/>
    </row>
    <row r="271" spans="1:7" x14ac:dyDescent="0.2">
      <c r="A271" s="3" t="str">
        <f>IF($B271="","",COUNTA($B$9:$B271))</f>
        <v/>
      </c>
      <c r="B271" s="4"/>
      <c r="C271" s="4"/>
      <c r="D271" s="5"/>
      <c r="E271" s="6"/>
      <c r="F271" s="7" t="str">
        <f t="shared" si="4"/>
        <v/>
      </c>
      <c r="G271" s="8"/>
    </row>
    <row r="272" spans="1:7" x14ac:dyDescent="0.2">
      <c r="A272" s="9" t="str">
        <f>IF($B272="","",COUNTA($B$9:$B272))</f>
        <v/>
      </c>
      <c r="B272" s="4"/>
      <c r="C272" s="4"/>
      <c r="D272" s="5"/>
      <c r="E272" s="6"/>
      <c r="F272" s="10" t="str">
        <f t="shared" si="4"/>
        <v/>
      </c>
      <c r="G272" s="8"/>
    </row>
    <row r="273" spans="1:7" x14ac:dyDescent="0.2">
      <c r="A273" s="3" t="str">
        <f>IF($B273="","",COUNTA($B$9:$B273))</f>
        <v/>
      </c>
      <c r="B273" s="4"/>
      <c r="C273" s="4"/>
      <c r="D273" s="5"/>
      <c r="E273" s="6"/>
      <c r="F273" s="7" t="str">
        <f t="shared" si="4"/>
        <v/>
      </c>
      <c r="G273" s="8"/>
    </row>
    <row r="274" spans="1:7" x14ac:dyDescent="0.2">
      <c r="A274" s="9" t="str">
        <f>IF($B274="","",COUNTA($B$9:$B274))</f>
        <v/>
      </c>
      <c r="B274" s="4"/>
      <c r="C274" s="4"/>
      <c r="D274" s="5"/>
      <c r="E274" s="6"/>
      <c r="F274" s="10" t="str">
        <f t="shared" si="4"/>
        <v/>
      </c>
      <c r="G274" s="8"/>
    </row>
    <row r="275" spans="1:7" x14ac:dyDescent="0.2">
      <c r="A275" s="3" t="str">
        <f>IF($B275="","",COUNTA($B$9:$B275))</f>
        <v/>
      </c>
      <c r="B275" s="4"/>
      <c r="C275" s="4"/>
      <c r="D275" s="5"/>
      <c r="E275" s="6"/>
      <c r="F275" s="7" t="str">
        <f t="shared" si="4"/>
        <v/>
      </c>
      <c r="G275" s="8"/>
    </row>
    <row r="276" spans="1:7" x14ac:dyDescent="0.2">
      <c r="A276" s="9" t="str">
        <f>IF($B276="","",COUNTA($B$9:$B276))</f>
        <v/>
      </c>
      <c r="B276" s="4"/>
      <c r="C276" s="4"/>
      <c r="D276" s="5"/>
      <c r="E276" s="6"/>
      <c r="F276" s="10" t="str">
        <f t="shared" si="4"/>
        <v/>
      </c>
      <c r="G276" s="8"/>
    </row>
    <row r="277" spans="1:7" x14ac:dyDescent="0.2">
      <c r="A277" s="3" t="str">
        <f>IF($B277="","",COUNTA($B$9:$B277))</f>
        <v/>
      </c>
      <c r="B277" s="4"/>
      <c r="C277" s="4"/>
      <c r="D277" s="5"/>
      <c r="E277" s="6"/>
      <c r="F277" s="7" t="str">
        <f t="shared" si="4"/>
        <v/>
      </c>
      <c r="G277" s="8"/>
    </row>
    <row r="278" spans="1:7" x14ac:dyDescent="0.2">
      <c r="A278" s="9" t="str">
        <f>IF($B278="","",COUNTA($B$9:$B278))</f>
        <v/>
      </c>
      <c r="B278" s="4"/>
      <c r="C278" s="4"/>
      <c r="D278" s="5"/>
      <c r="E278" s="6"/>
      <c r="F278" s="10" t="str">
        <f t="shared" si="4"/>
        <v/>
      </c>
      <c r="G278" s="8"/>
    </row>
    <row r="279" spans="1:7" x14ac:dyDescent="0.2">
      <c r="A279" s="3" t="str">
        <f>IF($B279="","",COUNTA($B$9:$B279))</f>
        <v/>
      </c>
      <c r="B279" s="4"/>
      <c r="C279" s="4"/>
      <c r="D279" s="5"/>
      <c r="E279" s="6"/>
      <c r="F279" s="7" t="str">
        <f t="shared" si="4"/>
        <v/>
      </c>
      <c r="G279" s="8"/>
    </row>
    <row r="280" spans="1:7" x14ac:dyDescent="0.2">
      <c r="A280" s="9" t="str">
        <f>IF($B280="","",COUNTA($B$9:$B280))</f>
        <v/>
      </c>
      <c r="B280" s="4"/>
      <c r="C280" s="4"/>
      <c r="D280" s="5"/>
      <c r="E280" s="6"/>
      <c r="F280" s="10" t="str">
        <f t="shared" si="4"/>
        <v/>
      </c>
      <c r="G280" s="8"/>
    </row>
    <row r="281" spans="1:7" x14ac:dyDescent="0.2">
      <c r="A281" s="3" t="str">
        <f>IF($B281="","",COUNTA($B$9:$B281))</f>
        <v/>
      </c>
      <c r="B281" s="4"/>
      <c r="C281" s="4"/>
      <c r="D281" s="5"/>
      <c r="E281" s="6"/>
      <c r="F281" s="7" t="str">
        <f t="shared" si="4"/>
        <v/>
      </c>
      <c r="G281" s="8"/>
    </row>
    <row r="282" spans="1:7" x14ac:dyDescent="0.2">
      <c r="A282" s="9" t="str">
        <f>IF($B282="","",COUNTA($B$9:$B282))</f>
        <v/>
      </c>
      <c r="B282" s="4"/>
      <c r="C282" s="4"/>
      <c r="D282" s="5"/>
      <c r="E282" s="6"/>
      <c r="F282" s="10" t="str">
        <f t="shared" si="4"/>
        <v/>
      </c>
      <c r="G282" s="8"/>
    </row>
    <row r="283" spans="1:7" x14ac:dyDescent="0.2">
      <c r="A283" s="3" t="str">
        <f>IF($B283="","",COUNTA($B$9:$B283))</f>
        <v/>
      </c>
      <c r="B283" s="4"/>
      <c r="C283" s="4"/>
      <c r="D283" s="5"/>
      <c r="E283" s="6"/>
      <c r="F283" s="7" t="str">
        <f t="shared" si="4"/>
        <v/>
      </c>
      <c r="G283" s="8"/>
    </row>
    <row r="284" spans="1:7" x14ac:dyDescent="0.2">
      <c r="A284" s="9" t="str">
        <f>IF($B284="","",COUNTA($B$9:$B284))</f>
        <v/>
      </c>
      <c r="B284" s="4"/>
      <c r="C284" s="4"/>
      <c r="D284" s="5"/>
      <c r="E284" s="6"/>
      <c r="F284" s="10" t="str">
        <f t="shared" si="4"/>
        <v/>
      </c>
      <c r="G284" s="8"/>
    </row>
    <row r="285" spans="1:7" x14ac:dyDescent="0.2">
      <c r="A285" s="3" t="str">
        <f>IF($B285="","",COUNTA($B$9:$B285))</f>
        <v/>
      </c>
      <c r="B285" s="4"/>
      <c r="C285" s="4"/>
      <c r="D285" s="5"/>
      <c r="E285" s="6"/>
      <c r="F285" s="7" t="str">
        <f t="shared" si="4"/>
        <v/>
      </c>
      <c r="G285" s="8"/>
    </row>
    <row r="286" spans="1:7" x14ac:dyDescent="0.2">
      <c r="A286" s="9" t="str">
        <f>IF($B286="","",COUNTA($B$9:$B286))</f>
        <v/>
      </c>
      <c r="B286" s="4"/>
      <c r="C286" s="4"/>
      <c r="D286" s="5"/>
      <c r="E286" s="6"/>
      <c r="F286" s="10" t="str">
        <f t="shared" si="4"/>
        <v/>
      </c>
      <c r="G286" s="8"/>
    </row>
    <row r="287" spans="1:7" x14ac:dyDescent="0.2">
      <c r="A287" s="3" t="str">
        <f>IF($B287="","",COUNTA($B$9:$B287))</f>
        <v/>
      </c>
      <c r="B287" s="4"/>
      <c r="C287" s="4"/>
      <c r="D287" s="5"/>
      <c r="E287" s="6"/>
      <c r="F287" s="7" t="str">
        <f t="shared" si="4"/>
        <v/>
      </c>
      <c r="G287" s="8"/>
    </row>
    <row r="288" spans="1:7" x14ac:dyDescent="0.2">
      <c r="A288" s="9" t="str">
        <f>IF($B288="","",COUNTA($B$9:$B288))</f>
        <v/>
      </c>
      <c r="B288" s="4"/>
      <c r="C288" s="4"/>
      <c r="D288" s="5"/>
      <c r="E288" s="6"/>
      <c r="F288" s="10" t="str">
        <f t="shared" si="4"/>
        <v/>
      </c>
      <c r="G288" s="8"/>
    </row>
    <row r="289" spans="1:7" x14ac:dyDescent="0.2">
      <c r="A289" s="3" t="str">
        <f>IF($B289="","",COUNTA($B$9:$B289))</f>
        <v/>
      </c>
      <c r="B289" s="4"/>
      <c r="C289" s="4"/>
      <c r="D289" s="5"/>
      <c r="E289" s="6"/>
      <c r="F289" s="7" t="str">
        <f t="shared" si="4"/>
        <v/>
      </c>
      <c r="G289" s="8"/>
    </row>
    <row r="290" spans="1:7" x14ac:dyDescent="0.2">
      <c r="A290" s="9" t="str">
        <f>IF($B290="","",COUNTA($B$9:$B290))</f>
        <v/>
      </c>
      <c r="B290" s="4"/>
      <c r="C290" s="4"/>
      <c r="D290" s="5"/>
      <c r="E290" s="6"/>
      <c r="F290" s="10" t="str">
        <f t="shared" si="4"/>
        <v/>
      </c>
      <c r="G290" s="8"/>
    </row>
    <row r="291" spans="1:7" x14ac:dyDescent="0.2">
      <c r="A291" s="3" t="str">
        <f>IF($B291="","",COUNTA($B$9:$B291))</f>
        <v/>
      </c>
      <c r="B291" s="4"/>
      <c r="C291" s="4"/>
      <c r="D291" s="5"/>
      <c r="E291" s="6"/>
      <c r="F291" s="7" t="str">
        <f t="shared" si="4"/>
        <v/>
      </c>
      <c r="G291" s="8"/>
    </row>
    <row r="292" spans="1:7" x14ac:dyDescent="0.2">
      <c r="A292" s="9" t="str">
        <f>IF($B292="","",COUNTA($B$9:$B292))</f>
        <v/>
      </c>
      <c r="B292" s="4"/>
      <c r="C292" s="4"/>
      <c r="D292" s="5"/>
      <c r="E292" s="6"/>
      <c r="F292" s="10" t="str">
        <f t="shared" si="4"/>
        <v/>
      </c>
      <c r="G292" s="8"/>
    </row>
    <row r="293" spans="1:7" x14ac:dyDescent="0.2">
      <c r="A293" s="3" t="str">
        <f>IF($B293="","",COUNTA($B$9:$B293))</f>
        <v/>
      </c>
      <c r="B293" s="4"/>
      <c r="C293" s="4"/>
      <c r="D293" s="5"/>
      <c r="E293" s="6"/>
      <c r="F293" s="7" t="str">
        <f t="shared" si="4"/>
        <v/>
      </c>
      <c r="G293" s="8"/>
    </row>
    <row r="294" spans="1:7" x14ac:dyDescent="0.2">
      <c r="A294" s="9" t="str">
        <f>IF($B294="","",COUNTA($B$9:$B294))</f>
        <v/>
      </c>
      <c r="B294" s="4"/>
      <c r="C294" s="4"/>
      <c r="D294" s="5"/>
      <c r="E294" s="6"/>
      <c r="F294" s="10" t="str">
        <f t="shared" si="4"/>
        <v/>
      </c>
      <c r="G294" s="8"/>
    </row>
    <row r="295" spans="1:7" x14ac:dyDescent="0.2">
      <c r="A295" s="3" t="str">
        <f>IF($B295="","",COUNTA($B$9:$B295))</f>
        <v/>
      </c>
      <c r="B295" s="4"/>
      <c r="C295" s="4"/>
      <c r="D295" s="5"/>
      <c r="E295" s="6"/>
      <c r="F295" s="7" t="str">
        <f t="shared" si="4"/>
        <v/>
      </c>
      <c r="G295" s="8"/>
    </row>
    <row r="296" spans="1:7" x14ac:dyDescent="0.2">
      <c r="A296" s="9" t="str">
        <f>IF($B296="","",COUNTA($B$9:$B296))</f>
        <v/>
      </c>
      <c r="B296" s="4"/>
      <c r="C296" s="4"/>
      <c r="D296" s="5"/>
      <c r="E296" s="6"/>
      <c r="F296" s="10" t="str">
        <f t="shared" si="4"/>
        <v/>
      </c>
      <c r="G296" s="8"/>
    </row>
    <row r="297" spans="1:7" x14ac:dyDescent="0.2">
      <c r="A297" s="3" t="str">
        <f>IF($B297="","",COUNTA($B$9:$B297))</f>
        <v/>
      </c>
      <c r="B297" s="4"/>
      <c r="C297" s="4"/>
      <c r="D297" s="5"/>
      <c r="E297" s="6"/>
      <c r="F297" s="7" t="str">
        <f t="shared" si="4"/>
        <v/>
      </c>
      <c r="G297" s="8"/>
    </row>
    <row r="298" spans="1:7" x14ac:dyDescent="0.2">
      <c r="A298" s="9" t="str">
        <f>IF($B298="","",COUNTA($B$9:$B298))</f>
        <v/>
      </c>
      <c r="B298" s="4"/>
      <c r="C298" s="4"/>
      <c r="D298" s="5"/>
      <c r="E298" s="6"/>
      <c r="F298" s="10" t="str">
        <f t="shared" si="4"/>
        <v/>
      </c>
      <c r="G298" s="8"/>
    </row>
    <row r="299" spans="1:7" x14ac:dyDescent="0.2">
      <c r="A299" s="3" t="str">
        <f>IF($B299="","",COUNTA($B$9:$B299))</f>
        <v/>
      </c>
      <c r="B299" s="4"/>
      <c r="C299" s="4"/>
      <c r="D299" s="5"/>
      <c r="E299" s="6"/>
      <c r="F299" s="7" t="str">
        <f t="shared" si="4"/>
        <v/>
      </c>
      <c r="G299" s="8"/>
    </row>
    <row r="300" spans="1:7" x14ac:dyDescent="0.2">
      <c r="A300" s="9" t="str">
        <f>IF($B300="","",COUNTA($B$9:$B300))</f>
        <v/>
      </c>
      <c r="B300" s="4"/>
      <c r="C300" s="4"/>
      <c r="D300" s="5"/>
      <c r="E300" s="6"/>
      <c r="F300" s="10" t="str">
        <f t="shared" si="4"/>
        <v/>
      </c>
      <c r="G300" s="8"/>
    </row>
    <row r="301" spans="1:7" x14ac:dyDescent="0.2">
      <c r="A301" s="3" t="str">
        <f>IF($B301="","",COUNTA($B$9:$B301))</f>
        <v/>
      </c>
      <c r="B301" s="4"/>
      <c r="C301" s="4"/>
      <c r="D301" s="5"/>
      <c r="E301" s="6"/>
      <c r="F301" s="7" t="str">
        <f t="shared" si="4"/>
        <v/>
      </c>
      <c r="G301" s="8"/>
    </row>
    <row r="302" spans="1:7" x14ac:dyDescent="0.2">
      <c r="A302" s="9" t="str">
        <f>IF($B302="","",COUNTA($B$9:$B302))</f>
        <v/>
      </c>
      <c r="B302" s="4"/>
      <c r="C302" s="4"/>
      <c r="D302" s="5"/>
      <c r="E302" s="6"/>
      <c r="F302" s="10" t="str">
        <f t="shared" si="4"/>
        <v/>
      </c>
      <c r="G302" s="8"/>
    </row>
    <row r="303" spans="1:7" x14ac:dyDescent="0.2">
      <c r="A303" s="3" t="str">
        <f>IF($B303="","",COUNTA($B$9:$B303))</f>
        <v/>
      </c>
      <c r="B303" s="4"/>
      <c r="C303" s="4"/>
      <c r="D303" s="5"/>
      <c r="E303" s="6"/>
      <c r="F303" s="7" t="str">
        <f t="shared" si="4"/>
        <v/>
      </c>
      <c r="G303" s="8"/>
    </row>
    <row r="304" spans="1:7" x14ac:dyDescent="0.2">
      <c r="A304" s="9" t="str">
        <f>IF($B304="","",COUNTA($B$9:$B304))</f>
        <v/>
      </c>
      <c r="B304" s="4"/>
      <c r="C304" s="4"/>
      <c r="D304" s="5"/>
      <c r="E304" s="6"/>
      <c r="F304" s="10" t="str">
        <f t="shared" si="4"/>
        <v/>
      </c>
      <c r="G304" s="8"/>
    </row>
    <row r="305" spans="1:7" x14ac:dyDescent="0.2">
      <c r="A305" s="3" t="str">
        <f>IF($B305="","",COUNTA($B$9:$B305))</f>
        <v/>
      </c>
      <c r="B305" s="4"/>
      <c r="C305" s="4"/>
      <c r="D305" s="5"/>
      <c r="E305" s="6"/>
      <c r="F305" s="7" t="str">
        <f t="shared" si="4"/>
        <v/>
      </c>
      <c r="G305" s="8"/>
    </row>
    <row r="306" spans="1:7" x14ac:dyDescent="0.2">
      <c r="A306" s="9" t="str">
        <f>IF($B306="","",COUNTA($B$9:$B306))</f>
        <v/>
      </c>
      <c r="B306" s="4"/>
      <c r="C306" s="4"/>
      <c r="D306" s="5"/>
      <c r="E306" s="6"/>
      <c r="F306" s="10" t="str">
        <f t="shared" si="4"/>
        <v/>
      </c>
      <c r="G306" s="8"/>
    </row>
    <row r="307" spans="1:7" x14ac:dyDescent="0.2">
      <c r="A307" s="3" t="str">
        <f>IF($B307="","",COUNTA($B$9:$B307))</f>
        <v/>
      </c>
      <c r="B307" s="4"/>
      <c r="C307" s="4"/>
      <c r="D307" s="5"/>
      <c r="E307" s="6"/>
      <c r="F307" s="7" t="str">
        <f t="shared" si="4"/>
        <v/>
      </c>
      <c r="G307" s="8"/>
    </row>
    <row r="308" spans="1:7" x14ac:dyDescent="0.2">
      <c r="A308" s="9" t="str">
        <f>IF($B308="","",COUNTA($B$9:$B308))</f>
        <v/>
      </c>
      <c r="B308" s="4"/>
      <c r="C308" s="4"/>
      <c r="D308" s="5"/>
      <c r="E308" s="6"/>
      <c r="F308" s="10" t="str">
        <f t="shared" si="4"/>
        <v/>
      </c>
      <c r="G308" s="8"/>
    </row>
    <row r="309" spans="1:7" x14ac:dyDescent="0.2">
      <c r="A309" s="3" t="str">
        <f>IF($B309="","",COUNTA($B$9:$B309))</f>
        <v/>
      </c>
      <c r="B309" s="4"/>
      <c r="C309" s="4"/>
      <c r="D309" s="5"/>
      <c r="E309" s="6"/>
      <c r="F309" s="7" t="str">
        <f t="shared" si="4"/>
        <v/>
      </c>
      <c r="G309" s="8"/>
    </row>
    <row r="310" spans="1:7" x14ac:dyDescent="0.2">
      <c r="A310" s="9" t="str">
        <f>IF($B310="","",COUNTA($B$9:$B310))</f>
        <v/>
      </c>
      <c r="B310" s="4"/>
      <c r="C310" s="4"/>
      <c r="D310" s="5"/>
      <c r="E310" s="6"/>
      <c r="F310" s="10" t="str">
        <f t="shared" si="4"/>
        <v/>
      </c>
      <c r="G310" s="8"/>
    </row>
    <row r="311" spans="1:7" x14ac:dyDescent="0.2">
      <c r="A311" s="3" t="str">
        <f>IF($B311="","",COUNTA($B$9:$B311))</f>
        <v/>
      </c>
      <c r="B311" s="4"/>
      <c r="C311" s="4"/>
      <c r="D311" s="5"/>
      <c r="E311" s="6"/>
      <c r="F311" s="7" t="str">
        <f t="shared" si="4"/>
        <v/>
      </c>
      <c r="G311" s="8"/>
    </row>
    <row r="312" spans="1:7" x14ac:dyDescent="0.2">
      <c r="A312" s="9" t="str">
        <f>IF($B312="","",COUNTA($B$9:$B312))</f>
        <v/>
      </c>
      <c r="B312" s="4"/>
      <c r="C312" s="4"/>
      <c r="D312" s="5"/>
      <c r="E312" s="6"/>
      <c r="F312" s="10" t="str">
        <f t="shared" si="4"/>
        <v/>
      </c>
      <c r="G312" s="8"/>
    </row>
    <row r="313" spans="1:7" x14ac:dyDescent="0.2">
      <c r="A313" s="3" t="str">
        <f>IF($B313="","",COUNTA($B$9:$B313))</f>
        <v/>
      </c>
      <c r="B313" s="4"/>
      <c r="C313" s="4"/>
      <c r="D313" s="5"/>
      <c r="E313" s="6"/>
      <c r="F313" s="7" t="str">
        <f t="shared" si="4"/>
        <v/>
      </c>
      <c r="G313" s="8"/>
    </row>
    <row r="314" spans="1:7" x14ac:dyDescent="0.2">
      <c r="A314" s="9" t="str">
        <f>IF($B314="","",COUNTA($B$9:$B314))</f>
        <v/>
      </c>
      <c r="B314" s="4"/>
      <c r="C314" s="4"/>
      <c r="D314" s="5"/>
      <c r="E314" s="6"/>
      <c r="F314" s="10" t="str">
        <f t="shared" si="4"/>
        <v/>
      </c>
      <c r="G314" s="8"/>
    </row>
    <row r="315" spans="1:7" x14ac:dyDescent="0.2">
      <c r="A315" s="3" t="str">
        <f>IF($B315="","",COUNTA($B$9:$B315))</f>
        <v/>
      </c>
      <c r="B315" s="4"/>
      <c r="C315" s="4"/>
      <c r="D315" s="5"/>
      <c r="E315" s="6"/>
      <c r="F315" s="7" t="str">
        <f t="shared" si="4"/>
        <v/>
      </c>
      <c r="G315" s="8"/>
    </row>
    <row r="316" spans="1:7" x14ac:dyDescent="0.2">
      <c r="A316" s="9" t="str">
        <f>IF($B316="","",COUNTA($B$9:$B316))</f>
        <v/>
      </c>
      <c r="B316" s="4"/>
      <c r="C316" s="4"/>
      <c r="D316" s="5"/>
      <c r="E316" s="6"/>
      <c r="F316" s="10" t="str">
        <f t="shared" si="4"/>
        <v/>
      </c>
      <c r="G316" s="8"/>
    </row>
    <row r="317" spans="1:7" x14ac:dyDescent="0.2">
      <c r="A317" s="3" t="str">
        <f>IF($B317="","",COUNTA($B$9:$B317))</f>
        <v/>
      </c>
      <c r="B317" s="4"/>
      <c r="C317" s="4"/>
      <c r="D317" s="5"/>
      <c r="E317" s="6"/>
      <c r="F317" s="7" t="str">
        <f t="shared" si="4"/>
        <v/>
      </c>
      <c r="G317" s="8"/>
    </row>
    <row r="318" spans="1:7" x14ac:dyDescent="0.2">
      <c r="A318" s="9" t="str">
        <f>IF($B318="","",COUNTA($B$9:$B318))</f>
        <v/>
      </c>
      <c r="B318" s="4"/>
      <c r="C318" s="4"/>
      <c r="D318" s="5"/>
      <c r="E318" s="6"/>
      <c r="F318" s="10" t="str">
        <f t="shared" si="4"/>
        <v/>
      </c>
      <c r="G318" s="8"/>
    </row>
    <row r="319" spans="1:7" x14ac:dyDescent="0.2">
      <c r="A319" s="3" t="str">
        <f>IF($B319="","",COUNTA($B$9:$B319))</f>
        <v/>
      </c>
      <c r="B319" s="4"/>
      <c r="C319" s="4"/>
      <c r="D319" s="5"/>
      <c r="E319" s="6"/>
      <c r="F319" s="7" t="str">
        <f t="shared" si="4"/>
        <v/>
      </c>
      <c r="G319" s="8"/>
    </row>
    <row r="320" spans="1:7" x14ac:dyDescent="0.2">
      <c r="A320" s="9" t="str">
        <f>IF($B320="","",COUNTA($B$9:$B320))</f>
        <v/>
      </c>
      <c r="B320" s="4"/>
      <c r="C320" s="4"/>
      <c r="D320" s="5"/>
      <c r="E320" s="6"/>
      <c r="F320" s="10" t="str">
        <f t="shared" si="4"/>
        <v/>
      </c>
      <c r="G320" s="8"/>
    </row>
    <row r="321" spans="1:7" x14ac:dyDescent="0.2">
      <c r="A321" s="3" t="str">
        <f>IF($B321="","",COUNTA($B$9:$B321))</f>
        <v/>
      </c>
      <c r="B321" s="4"/>
      <c r="C321" s="4"/>
      <c r="D321" s="5"/>
      <c r="E321" s="6"/>
      <c r="F321" s="7" t="str">
        <f t="shared" si="4"/>
        <v/>
      </c>
      <c r="G321" s="8"/>
    </row>
    <row r="322" spans="1:7" x14ac:dyDescent="0.2">
      <c r="A322" s="9" t="str">
        <f>IF($B322="","",COUNTA($B$9:$B322))</f>
        <v/>
      </c>
      <c r="B322" s="4"/>
      <c r="C322" s="4"/>
      <c r="D322" s="5"/>
      <c r="E322" s="6"/>
      <c r="F322" s="10" t="str">
        <f t="shared" si="4"/>
        <v/>
      </c>
      <c r="G322" s="8"/>
    </row>
    <row r="323" spans="1:7" x14ac:dyDescent="0.2">
      <c r="A323" s="3" t="str">
        <f>IF($B323="","",COUNTA($B$9:$B323))</f>
        <v/>
      </c>
      <c r="B323" s="4"/>
      <c r="C323" s="4"/>
      <c r="D323" s="5"/>
      <c r="E323" s="6"/>
      <c r="F323" s="7" t="str">
        <f t="shared" si="4"/>
        <v/>
      </c>
      <c r="G323" s="8"/>
    </row>
    <row r="324" spans="1:7" x14ac:dyDescent="0.2">
      <c r="A324" s="9" t="str">
        <f>IF($B324="","",COUNTA($B$9:$B324))</f>
        <v/>
      </c>
      <c r="B324" s="4"/>
      <c r="C324" s="4"/>
      <c r="D324" s="5"/>
      <c r="E324" s="6"/>
      <c r="F324" s="10" t="str">
        <f t="shared" si="4"/>
        <v/>
      </c>
      <c r="G324" s="8"/>
    </row>
    <row r="325" spans="1:7" x14ac:dyDescent="0.2">
      <c r="A325" s="3" t="str">
        <f>IF($B325="","",COUNTA($B$9:$B325))</f>
        <v/>
      </c>
      <c r="B325" s="4"/>
      <c r="C325" s="4"/>
      <c r="D325" s="5"/>
      <c r="E325" s="6"/>
      <c r="F325" s="7" t="str">
        <f t="shared" si="4"/>
        <v/>
      </c>
      <c r="G325" s="8"/>
    </row>
    <row r="326" spans="1:7" x14ac:dyDescent="0.2">
      <c r="A326" s="9" t="str">
        <f>IF($B326="","",COUNTA($B$9:$B326))</f>
        <v/>
      </c>
      <c r="B326" s="4"/>
      <c r="C326" s="4"/>
      <c r="D326" s="5"/>
      <c r="E326" s="6"/>
      <c r="F326" s="10" t="str">
        <f t="shared" si="4"/>
        <v/>
      </c>
      <c r="G326" s="8"/>
    </row>
    <row r="327" spans="1:7" x14ac:dyDescent="0.2">
      <c r="A327" s="3" t="str">
        <f>IF($B327="","",COUNTA($B$9:$B327))</f>
        <v/>
      </c>
      <c r="B327" s="4"/>
      <c r="C327" s="4"/>
      <c r="D327" s="5"/>
      <c r="E327" s="6"/>
      <c r="F327" s="7" t="str">
        <f t="shared" si="4"/>
        <v/>
      </c>
      <c r="G327" s="8"/>
    </row>
    <row r="328" spans="1:7" x14ac:dyDescent="0.2">
      <c r="A328" s="9" t="str">
        <f>IF($B328="","",COUNTA($B$9:$B328))</f>
        <v/>
      </c>
      <c r="B328" s="4"/>
      <c r="C328" s="4"/>
      <c r="D328" s="5"/>
      <c r="E328" s="6"/>
      <c r="F328" s="10" t="str">
        <f t="shared" si="4"/>
        <v/>
      </c>
      <c r="G328" s="8"/>
    </row>
    <row r="329" spans="1:7" x14ac:dyDescent="0.2">
      <c r="A329" s="3" t="str">
        <f>IF($B329="","",COUNTA($B$9:$B329))</f>
        <v/>
      </c>
      <c r="B329" s="4"/>
      <c r="C329" s="4"/>
      <c r="D329" s="5"/>
      <c r="E329" s="6"/>
      <c r="F329" s="7" t="str">
        <f t="shared" ref="F329:F392" si="5">IF($B329="","",IF(COUNTIFS(ETxnType,"پاس چک",ETxnChk,$B329)&gt;0,"پاس شده","پاس نشده"))</f>
        <v/>
      </c>
      <c r="G329" s="8"/>
    </row>
    <row r="330" spans="1:7" x14ac:dyDescent="0.2">
      <c r="A330" s="9" t="str">
        <f>IF($B330="","",COUNTA($B$9:$B330))</f>
        <v/>
      </c>
      <c r="B330" s="4"/>
      <c r="C330" s="4"/>
      <c r="D330" s="5"/>
      <c r="E330" s="6"/>
      <c r="F330" s="10" t="str">
        <f t="shared" si="5"/>
        <v/>
      </c>
      <c r="G330" s="8"/>
    </row>
    <row r="331" spans="1:7" x14ac:dyDescent="0.2">
      <c r="A331" s="3" t="str">
        <f>IF($B331="","",COUNTA($B$9:$B331))</f>
        <v/>
      </c>
      <c r="B331" s="4"/>
      <c r="C331" s="4"/>
      <c r="D331" s="5"/>
      <c r="E331" s="6"/>
      <c r="F331" s="7" t="str">
        <f t="shared" si="5"/>
        <v/>
      </c>
      <c r="G331" s="8"/>
    </row>
    <row r="332" spans="1:7" x14ac:dyDescent="0.2">
      <c r="A332" s="9" t="str">
        <f>IF($B332="","",COUNTA($B$9:$B332))</f>
        <v/>
      </c>
      <c r="B332" s="4"/>
      <c r="C332" s="4"/>
      <c r="D332" s="5"/>
      <c r="E332" s="6"/>
      <c r="F332" s="10" t="str">
        <f t="shared" si="5"/>
        <v/>
      </c>
      <c r="G332" s="8"/>
    </row>
    <row r="333" spans="1:7" x14ac:dyDescent="0.2">
      <c r="A333" s="3" t="str">
        <f>IF($B333="","",COUNTA($B$9:$B333))</f>
        <v/>
      </c>
      <c r="B333" s="4"/>
      <c r="C333" s="4"/>
      <c r="D333" s="5"/>
      <c r="E333" s="6"/>
      <c r="F333" s="7" t="str">
        <f t="shared" si="5"/>
        <v/>
      </c>
      <c r="G333" s="8"/>
    </row>
    <row r="334" spans="1:7" x14ac:dyDescent="0.2">
      <c r="A334" s="9" t="str">
        <f>IF($B334="","",COUNTA($B$9:$B334))</f>
        <v/>
      </c>
      <c r="B334" s="4"/>
      <c r="C334" s="4"/>
      <c r="D334" s="5"/>
      <c r="E334" s="6"/>
      <c r="F334" s="10" t="str">
        <f t="shared" si="5"/>
        <v/>
      </c>
      <c r="G334" s="8"/>
    </row>
    <row r="335" spans="1:7" x14ac:dyDescent="0.2">
      <c r="A335" s="3" t="str">
        <f>IF($B335="","",COUNTA($B$9:$B335))</f>
        <v/>
      </c>
      <c r="B335" s="4"/>
      <c r="C335" s="4"/>
      <c r="D335" s="5"/>
      <c r="E335" s="6"/>
      <c r="F335" s="7" t="str">
        <f t="shared" si="5"/>
        <v/>
      </c>
      <c r="G335" s="8"/>
    </row>
    <row r="336" spans="1:7" x14ac:dyDescent="0.2">
      <c r="A336" s="9" t="str">
        <f>IF($B336="","",COUNTA($B$9:$B336))</f>
        <v/>
      </c>
      <c r="B336" s="4"/>
      <c r="C336" s="4"/>
      <c r="D336" s="5"/>
      <c r="E336" s="6"/>
      <c r="F336" s="10" t="str">
        <f t="shared" si="5"/>
        <v/>
      </c>
      <c r="G336" s="8"/>
    </row>
    <row r="337" spans="1:7" x14ac:dyDescent="0.2">
      <c r="A337" s="3" t="str">
        <f>IF($B337="","",COUNTA($B$9:$B337))</f>
        <v/>
      </c>
      <c r="B337" s="4"/>
      <c r="C337" s="4"/>
      <c r="D337" s="5"/>
      <c r="E337" s="6"/>
      <c r="F337" s="7" t="str">
        <f t="shared" si="5"/>
        <v/>
      </c>
      <c r="G337" s="8"/>
    </row>
    <row r="338" spans="1:7" x14ac:dyDescent="0.2">
      <c r="A338" s="9" t="str">
        <f>IF($B338="","",COUNTA($B$9:$B338))</f>
        <v/>
      </c>
      <c r="B338" s="4"/>
      <c r="C338" s="4"/>
      <c r="D338" s="5"/>
      <c r="E338" s="6"/>
      <c r="F338" s="10" t="str">
        <f t="shared" si="5"/>
        <v/>
      </c>
      <c r="G338" s="8"/>
    </row>
    <row r="339" spans="1:7" x14ac:dyDescent="0.2">
      <c r="A339" s="3" t="str">
        <f>IF($B339="","",COUNTA($B$9:$B339))</f>
        <v/>
      </c>
      <c r="B339" s="4"/>
      <c r="C339" s="4"/>
      <c r="D339" s="5"/>
      <c r="E339" s="6"/>
      <c r="F339" s="7" t="str">
        <f t="shared" si="5"/>
        <v/>
      </c>
      <c r="G339" s="8"/>
    </row>
    <row r="340" spans="1:7" x14ac:dyDescent="0.2">
      <c r="A340" s="9" t="str">
        <f>IF($B340="","",COUNTA($B$9:$B340))</f>
        <v/>
      </c>
      <c r="B340" s="4"/>
      <c r="C340" s="4"/>
      <c r="D340" s="5"/>
      <c r="E340" s="6"/>
      <c r="F340" s="10" t="str">
        <f t="shared" si="5"/>
        <v/>
      </c>
      <c r="G340" s="8"/>
    </row>
    <row r="341" spans="1:7" x14ac:dyDescent="0.2">
      <c r="A341" s="3" t="str">
        <f>IF($B341="","",COUNTA($B$9:$B341))</f>
        <v/>
      </c>
      <c r="B341" s="4"/>
      <c r="C341" s="4"/>
      <c r="D341" s="5"/>
      <c r="E341" s="6"/>
      <c r="F341" s="7" t="str">
        <f t="shared" si="5"/>
        <v/>
      </c>
      <c r="G341" s="8"/>
    </row>
    <row r="342" spans="1:7" x14ac:dyDescent="0.2">
      <c r="A342" s="9" t="str">
        <f>IF($B342="","",COUNTA($B$9:$B342))</f>
        <v/>
      </c>
      <c r="B342" s="4"/>
      <c r="C342" s="4"/>
      <c r="D342" s="5"/>
      <c r="E342" s="6"/>
      <c r="F342" s="10" t="str">
        <f t="shared" si="5"/>
        <v/>
      </c>
      <c r="G342" s="8"/>
    </row>
    <row r="343" spans="1:7" x14ac:dyDescent="0.2">
      <c r="A343" s="3" t="str">
        <f>IF($B343="","",COUNTA($B$9:$B343))</f>
        <v/>
      </c>
      <c r="B343" s="4"/>
      <c r="C343" s="4"/>
      <c r="D343" s="5"/>
      <c r="E343" s="6"/>
      <c r="F343" s="7" t="str">
        <f t="shared" si="5"/>
        <v/>
      </c>
      <c r="G343" s="8"/>
    </row>
    <row r="344" spans="1:7" x14ac:dyDescent="0.2">
      <c r="A344" s="9" t="str">
        <f>IF($B344="","",COUNTA($B$9:$B344))</f>
        <v/>
      </c>
      <c r="B344" s="4"/>
      <c r="C344" s="4"/>
      <c r="D344" s="5"/>
      <c r="E344" s="6"/>
      <c r="F344" s="10" t="str">
        <f t="shared" si="5"/>
        <v/>
      </c>
      <c r="G344" s="8"/>
    </row>
    <row r="345" spans="1:7" x14ac:dyDescent="0.2">
      <c r="A345" s="3" t="str">
        <f>IF($B345="","",COUNTA($B$9:$B345))</f>
        <v/>
      </c>
      <c r="B345" s="4"/>
      <c r="C345" s="4"/>
      <c r="D345" s="5"/>
      <c r="E345" s="6"/>
      <c r="F345" s="7" t="str">
        <f t="shared" si="5"/>
        <v/>
      </c>
      <c r="G345" s="8"/>
    </row>
    <row r="346" spans="1:7" x14ac:dyDescent="0.2">
      <c r="A346" s="9" t="str">
        <f>IF($B346="","",COUNTA($B$9:$B346))</f>
        <v/>
      </c>
      <c r="B346" s="4"/>
      <c r="C346" s="4"/>
      <c r="D346" s="5"/>
      <c r="E346" s="6"/>
      <c r="F346" s="10" t="str">
        <f t="shared" si="5"/>
        <v/>
      </c>
      <c r="G346" s="8"/>
    </row>
    <row r="347" spans="1:7" x14ac:dyDescent="0.2">
      <c r="A347" s="3" t="str">
        <f>IF($B347="","",COUNTA($B$9:$B347))</f>
        <v/>
      </c>
      <c r="B347" s="4"/>
      <c r="C347" s="4"/>
      <c r="D347" s="5"/>
      <c r="E347" s="6"/>
      <c r="F347" s="7" t="str">
        <f t="shared" si="5"/>
        <v/>
      </c>
      <c r="G347" s="8"/>
    </row>
    <row r="348" spans="1:7" x14ac:dyDescent="0.2">
      <c r="A348" s="9" t="str">
        <f>IF($B348="","",COUNTA($B$9:$B348))</f>
        <v/>
      </c>
      <c r="B348" s="4"/>
      <c r="C348" s="4"/>
      <c r="D348" s="5"/>
      <c r="E348" s="6"/>
      <c r="F348" s="10" t="str">
        <f t="shared" si="5"/>
        <v/>
      </c>
      <c r="G348" s="8"/>
    </row>
    <row r="349" spans="1:7" x14ac:dyDescent="0.2">
      <c r="A349" s="3" t="str">
        <f>IF($B349="","",COUNTA($B$9:$B349))</f>
        <v/>
      </c>
      <c r="B349" s="4"/>
      <c r="C349" s="4"/>
      <c r="D349" s="5"/>
      <c r="E349" s="6"/>
      <c r="F349" s="7" t="str">
        <f t="shared" si="5"/>
        <v/>
      </c>
      <c r="G349" s="8"/>
    </row>
    <row r="350" spans="1:7" x14ac:dyDescent="0.2">
      <c r="A350" s="9" t="str">
        <f>IF($B350="","",COUNTA($B$9:$B350))</f>
        <v/>
      </c>
      <c r="B350" s="4"/>
      <c r="C350" s="4"/>
      <c r="D350" s="5"/>
      <c r="E350" s="6"/>
      <c r="F350" s="10" t="str">
        <f t="shared" si="5"/>
        <v/>
      </c>
      <c r="G350" s="8"/>
    </row>
    <row r="351" spans="1:7" x14ac:dyDescent="0.2">
      <c r="A351" s="3" t="str">
        <f>IF($B351="","",COUNTA($B$9:$B351))</f>
        <v/>
      </c>
      <c r="B351" s="4"/>
      <c r="C351" s="4"/>
      <c r="D351" s="5"/>
      <c r="E351" s="6"/>
      <c r="F351" s="7" t="str">
        <f t="shared" si="5"/>
        <v/>
      </c>
      <c r="G351" s="8"/>
    </row>
    <row r="352" spans="1:7" x14ac:dyDescent="0.2">
      <c r="A352" s="9" t="str">
        <f>IF($B352="","",COUNTA($B$9:$B352))</f>
        <v/>
      </c>
      <c r="B352" s="4"/>
      <c r="C352" s="4"/>
      <c r="D352" s="5"/>
      <c r="E352" s="6"/>
      <c r="F352" s="10" t="str">
        <f t="shared" si="5"/>
        <v/>
      </c>
      <c r="G352" s="8"/>
    </row>
    <row r="353" spans="1:7" x14ac:dyDescent="0.2">
      <c r="A353" s="3" t="str">
        <f>IF($B353="","",COUNTA($B$9:$B353))</f>
        <v/>
      </c>
      <c r="B353" s="4"/>
      <c r="C353" s="4"/>
      <c r="D353" s="5"/>
      <c r="E353" s="6"/>
      <c r="F353" s="7" t="str">
        <f t="shared" si="5"/>
        <v/>
      </c>
      <c r="G353" s="8"/>
    </row>
    <row r="354" spans="1:7" x14ac:dyDescent="0.2">
      <c r="A354" s="9" t="str">
        <f>IF($B354="","",COUNTA($B$9:$B354))</f>
        <v/>
      </c>
      <c r="B354" s="4"/>
      <c r="C354" s="4"/>
      <c r="D354" s="5"/>
      <c r="E354" s="6"/>
      <c r="F354" s="10" t="str">
        <f t="shared" si="5"/>
        <v/>
      </c>
      <c r="G354" s="8"/>
    </row>
    <row r="355" spans="1:7" x14ac:dyDescent="0.2">
      <c r="A355" s="3" t="str">
        <f>IF($B355="","",COUNTA($B$9:$B355))</f>
        <v/>
      </c>
      <c r="B355" s="4"/>
      <c r="C355" s="4"/>
      <c r="D355" s="5"/>
      <c r="E355" s="6"/>
      <c r="F355" s="7" t="str">
        <f t="shared" si="5"/>
        <v/>
      </c>
      <c r="G355" s="8"/>
    </row>
    <row r="356" spans="1:7" x14ac:dyDescent="0.2">
      <c r="A356" s="9" t="str">
        <f>IF($B356="","",COUNTA($B$9:$B356))</f>
        <v/>
      </c>
      <c r="B356" s="4"/>
      <c r="C356" s="4"/>
      <c r="D356" s="5"/>
      <c r="E356" s="6"/>
      <c r="F356" s="10" t="str">
        <f t="shared" si="5"/>
        <v/>
      </c>
      <c r="G356" s="8"/>
    </row>
    <row r="357" spans="1:7" x14ac:dyDescent="0.2">
      <c r="A357" s="3" t="str">
        <f>IF($B357="","",COUNTA($B$9:$B357))</f>
        <v/>
      </c>
      <c r="B357" s="4"/>
      <c r="C357" s="4"/>
      <c r="D357" s="5"/>
      <c r="E357" s="6"/>
      <c r="F357" s="7" t="str">
        <f t="shared" si="5"/>
        <v/>
      </c>
      <c r="G357" s="8"/>
    </row>
    <row r="358" spans="1:7" x14ac:dyDescent="0.2">
      <c r="A358" s="9" t="str">
        <f>IF($B358="","",COUNTA($B$9:$B358))</f>
        <v/>
      </c>
      <c r="B358" s="4"/>
      <c r="C358" s="4"/>
      <c r="D358" s="5"/>
      <c r="E358" s="6"/>
      <c r="F358" s="10" t="str">
        <f t="shared" si="5"/>
        <v/>
      </c>
      <c r="G358" s="8"/>
    </row>
    <row r="359" spans="1:7" x14ac:dyDescent="0.2">
      <c r="A359" s="3" t="str">
        <f>IF($B359="","",COUNTA($B$9:$B359))</f>
        <v/>
      </c>
      <c r="B359" s="4"/>
      <c r="C359" s="4"/>
      <c r="D359" s="5"/>
      <c r="E359" s="6"/>
      <c r="F359" s="7" t="str">
        <f t="shared" si="5"/>
        <v/>
      </c>
      <c r="G359" s="8"/>
    </row>
    <row r="360" spans="1:7" x14ac:dyDescent="0.2">
      <c r="A360" s="9" t="str">
        <f>IF($B360="","",COUNTA($B$9:$B360))</f>
        <v/>
      </c>
      <c r="B360" s="4"/>
      <c r="C360" s="4"/>
      <c r="D360" s="5"/>
      <c r="E360" s="6"/>
      <c r="F360" s="10" t="str">
        <f t="shared" si="5"/>
        <v/>
      </c>
      <c r="G360" s="8"/>
    </row>
    <row r="361" spans="1:7" x14ac:dyDescent="0.2">
      <c r="A361" s="3" t="str">
        <f>IF($B361="","",COUNTA($B$9:$B361))</f>
        <v/>
      </c>
      <c r="B361" s="4"/>
      <c r="C361" s="4"/>
      <c r="D361" s="5"/>
      <c r="E361" s="6"/>
      <c r="F361" s="7" t="str">
        <f t="shared" si="5"/>
        <v/>
      </c>
      <c r="G361" s="8"/>
    </row>
    <row r="362" spans="1:7" x14ac:dyDescent="0.2">
      <c r="A362" s="9" t="str">
        <f>IF($B362="","",COUNTA($B$9:$B362))</f>
        <v/>
      </c>
      <c r="B362" s="4"/>
      <c r="C362" s="4"/>
      <c r="D362" s="5"/>
      <c r="E362" s="6"/>
      <c r="F362" s="10" t="str">
        <f t="shared" si="5"/>
        <v/>
      </c>
      <c r="G362" s="8"/>
    </row>
    <row r="363" spans="1:7" x14ac:dyDescent="0.2">
      <c r="A363" s="3" t="str">
        <f>IF($B363="","",COUNTA($B$9:$B363))</f>
        <v/>
      </c>
      <c r="B363" s="4"/>
      <c r="C363" s="4"/>
      <c r="D363" s="5"/>
      <c r="E363" s="6"/>
      <c r="F363" s="7" t="str">
        <f t="shared" si="5"/>
        <v/>
      </c>
      <c r="G363" s="8"/>
    </row>
    <row r="364" spans="1:7" x14ac:dyDescent="0.2">
      <c r="A364" s="9" t="str">
        <f>IF($B364="","",COUNTA($B$9:$B364))</f>
        <v/>
      </c>
      <c r="B364" s="4"/>
      <c r="C364" s="4"/>
      <c r="D364" s="5"/>
      <c r="E364" s="6"/>
      <c r="F364" s="10" t="str">
        <f t="shared" si="5"/>
        <v/>
      </c>
      <c r="G364" s="8"/>
    </row>
    <row r="365" spans="1:7" x14ac:dyDescent="0.2">
      <c r="A365" s="3" t="str">
        <f>IF($B365="","",COUNTA($B$9:$B365))</f>
        <v/>
      </c>
      <c r="B365" s="4"/>
      <c r="C365" s="4"/>
      <c r="D365" s="5"/>
      <c r="E365" s="6"/>
      <c r="F365" s="7" t="str">
        <f t="shared" si="5"/>
        <v/>
      </c>
      <c r="G365" s="8"/>
    </row>
    <row r="366" spans="1:7" x14ac:dyDescent="0.2">
      <c r="A366" s="9" t="str">
        <f>IF($B366="","",COUNTA($B$9:$B366))</f>
        <v/>
      </c>
      <c r="B366" s="4"/>
      <c r="C366" s="4"/>
      <c r="D366" s="5"/>
      <c r="E366" s="6"/>
      <c r="F366" s="10" t="str">
        <f t="shared" si="5"/>
        <v/>
      </c>
      <c r="G366" s="8"/>
    </row>
    <row r="367" spans="1:7" x14ac:dyDescent="0.2">
      <c r="A367" s="3" t="str">
        <f>IF($B367="","",COUNTA($B$9:$B367))</f>
        <v/>
      </c>
      <c r="B367" s="4"/>
      <c r="C367" s="4"/>
      <c r="D367" s="5"/>
      <c r="E367" s="6"/>
      <c r="F367" s="7" t="str">
        <f t="shared" si="5"/>
        <v/>
      </c>
      <c r="G367" s="8"/>
    </row>
    <row r="368" spans="1:7" x14ac:dyDescent="0.2">
      <c r="A368" s="9" t="str">
        <f>IF($B368="","",COUNTA($B$9:$B368))</f>
        <v/>
      </c>
      <c r="B368" s="4"/>
      <c r="C368" s="4"/>
      <c r="D368" s="5"/>
      <c r="E368" s="6"/>
      <c r="F368" s="10" t="str">
        <f t="shared" si="5"/>
        <v/>
      </c>
      <c r="G368" s="8"/>
    </row>
    <row r="369" spans="1:7" x14ac:dyDescent="0.2">
      <c r="A369" s="3" t="str">
        <f>IF($B369="","",COUNTA($B$9:$B369))</f>
        <v/>
      </c>
      <c r="B369" s="4"/>
      <c r="C369" s="4"/>
      <c r="D369" s="5"/>
      <c r="E369" s="6"/>
      <c r="F369" s="7" t="str">
        <f t="shared" si="5"/>
        <v/>
      </c>
      <c r="G369" s="8"/>
    </row>
    <row r="370" spans="1:7" x14ac:dyDescent="0.2">
      <c r="A370" s="9" t="str">
        <f>IF($B370="","",COUNTA($B$9:$B370))</f>
        <v/>
      </c>
      <c r="B370" s="4"/>
      <c r="C370" s="4"/>
      <c r="D370" s="5"/>
      <c r="E370" s="6"/>
      <c r="F370" s="10" t="str">
        <f t="shared" si="5"/>
        <v/>
      </c>
      <c r="G370" s="8"/>
    </row>
    <row r="371" spans="1:7" x14ac:dyDescent="0.2">
      <c r="A371" s="3" t="str">
        <f>IF($B371="","",COUNTA($B$9:$B371))</f>
        <v/>
      </c>
      <c r="B371" s="4"/>
      <c r="C371" s="4"/>
      <c r="D371" s="5"/>
      <c r="E371" s="6"/>
      <c r="F371" s="7" t="str">
        <f t="shared" si="5"/>
        <v/>
      </c>
      <c r="G371" s="8"/>
    </row>
    <row r="372" spans="1:7" x14ac:dyDescent="0.2">
      <c r="A372" s="9" t="str">
        <f>IF($B372="","",COUNTA($B$9:$B372))</f>
        <v/>
      </c>
      <c r="B372" s="4"/>
      <c r="C372" s="4"/>
      <c r="D372" s="5"/>
      <c r="E372" s="6"/>
      <c r="F372" s="10" t="str">
        <f t="shared" si="5"/>
        <v/>
      </c>
      <c r="G372" s="8"/>
    </row>
    <row r="373" spans="1:7" x14ac:dyDescent="0.2">
      <c r="A373" s="3" t="str">
        <f>IF($B373="","",COUNTA($B$9:$B373))</f>
        <v/>
      </c>
      <c r="B373" s="4"/>
      <c r="C373" s="4"/>
      <c r="D373" s="5"/>
      <c r="E373" s="6"/>
      <c r="F373" s="7" t="str">
        <f t="shared" si="5"/>
        <v/>
      </c>
      <c r="G373" s="8"/>
    </row>
    <row r="374" spans="1:7" x14ac:dyDescent="0.2">
      <c r="A374" s="9" t="str">
        <f>IF($B374="","",COUNTA($B$9:$B374))</f>
        <v/>
      </c>
      <c r="B374" s="4"/>
      <c r="C374" s="4"/>
      <c r="D374" s="5"/>
      <c r="E374" s="6"/>
      <c r="F374" s="10" t="str">
        <f t="shared" si="5"/>
        <v/>
      </c>
      <c r="G374" s="8"/>
    </row>
    <row r="375" spans="1:7" x14ac:dyDescent="0.2">
      <c r="A375" s="3" t="str">
        <f>IF($B375="","",COUNTA($B$9:$B375))</f>
        <v/>
      </c>
      <c r="B375" s="4"/>
      <c r="C375" s="4"/>
      <c r="D375" s="5"/>
      <c r="E375" s="6"/>
      <c r="F375" s="7" t="str">
        <f t="shared" si="5"/>
        <v/>
      </c>
      <c r="G375" s="8"/>
    </row>
    <row r="376" spans="1:7" x14ac:dyDescent="0.2">
      <c r="A376" s="9" t="str">
        <f>IF($B376="","",COUNTA($B$9:$B376))</f>
        <v/>
      </c>
      <c r="B376" s="4"/>
      <c r="C376" s="4"/>
      <c r="D376" s="5"/>
      <c r="E376" s="6"/>
      <c r="F376" s="10" t="str">
        <f t="shared" si="5"/>
        <v/>
      </c>
      <c r="G376" s="8"/>
    </row>
    <row r="377" spans="1:7" x14ac:dyDescent="0.2">
      <c r="A377" s="3" t="str">
        <f>IF($B377="","",COUNTA($B$9:$B377))</f>
        <v/>
      </c>
      <c r="B377" s="4"/>
      <c r="C377" s="4"/>
      <c r="D377" s="5"/>
      <c r="E377" s="6"/>
      <c r="F377" s="7" t="str">
        <f t="shared" si="5"/>
        <v/>
      </c>
      <c r="G377" s="8"/>
    </row>
    <row r="378" spans="1:7" x14ac:dyDescent="0.2">
      <c r="A378" s="9" t="str">
        <f>IF($B378="","",COUNTA($B$9:$B378))</f>
        <v/>
      </c>
      <c r="B378" s="4"/>
      <c r="C378" s="4"/>
      <c r="D378" s="5"/>
      <c r="E378" s="6"/>
      <c r="F378" s="10" t="str">
        <f t="shared" si="5"/>
        <v/>
      </c>
      <c r="G378" s="8"/>
    </row>
    <row r="379" spans="1:7" x14ac:dyDescent="0.2">
      <c r="A379" s="3" t="str">
        <f>IF($B379="","",COUNTA($B$9:$B379))</f>
        <v/>
      </c>
      <c r="B379" s="4"/>
      <c r="C379" s="4"/>
      <c r="D379" s="5"/>
      <c r="E379" s="6"/>
      <c r="F379" s="7" t="str">
        <f t="shared" si="5"/>
        <v/>
      </c>
      <c r="G379" s="8"/>
    </row>
    <row r="380" spans="1:7" x14ac:dyDescent="0.2">
      <c r="A380" s="9" t="str">
        <f>IF($B380="","",COUNTA($B$9:$B380))</f>
        <v/>
      </c>
      <c r="B380" s="4"/>
      <c r="C380" s="4"/>
      <c r="D380" s="5"/>
      <c r="E380" s="6"/>
      <c r="F380" s="10" t="str">
        <f t="shared" si="5"/>
        <v/>
      </c>
      <c r="G380" s="8"/>
    </row>
    <row r="381" spans="1:7" x14ac:dyDescent="0.2">
      <c r="A381" s="3" t="str">
        <f>IF($B381="","",COUNTA($B$9:$B381))</f>
        <v/>
      </c>
      <c r="B381" s="4"/>
      <c r="C381" s="4"/>
      <c r="D381" s="5"/>
      <c r="E381" s="6"/>
      <c r="F381" s="7" t="str">
        <f t="shared" si="5"/>
        <v/>
      </c>
      <c r="G381" s="8"/>
    </row>
    <row r="382" spans="1:7" x14ac:dyDescent="0.2">
      <c r="A382" s="9" t="str">
        <f>IF($B382="","",COUNTA($B$9:$B382))</f>
        <v/>
      </c>
      <c r="B382" s="4"/>
      <c r="C382" s="4"/>
      <c r="D382" s="5"/>
      <c r="E382" s="6"/>
      <c r="F382" s="10" t="str">
        <f t="shared" si="5"/>
        <v/>
      </c>
      <c r="G382" s="8"/>
    </row>
    <row r="383" spans="1:7" x14ac:dyDescent="0.2">
      <c r="A383" s="3" t="str">
        <f>IF($B383="","",COUNTA($B$9:$B383))</f>
        <v/>
      </c>
      <c r="B383" s="4"/>
      <c r="C383" s="4"/>
      <c r="D383" s="5"/>
      <c r="E383" s="6"/>
      <c r="F383" s="7" t="str">
        <f t="shared" si="5"/>
        <v/>
      </c>
      <c r="G383" s="8"/>
    </row>
    <row r="384" spans="1:7" x14ac:dyDescent="0.2">
      <c r="A384" s="9" t="str">
        <f>IF($B384="","",COUNTA($B$9:$B384))</f>
        <v/>
      </c>
      <c r="B384" s="4"/>
      <c r="C384" s="4"/>
      <c r="D384" s="5"/>
      <c r="E384" s="6"/>
      <c r="F384" s="10" t="str">
        <f t="shared" si="5"/>
        <v/>
      </c>
      <c r="G384" s="8"/>
    </row>
    <row r="385" spans="1:7" x14ac:dyDescent="0.2">
      <c r="A385" s="3" t="str">
        <f>IF($B385="","",COUNTA($B$9:$B385))</f>
        <v/>
      </c>
      <c r="B385" s="4"/>
      <c r="C385" s="4"/>
      <c r="D385" s="5"/>
      <c r="E385" s="6"/>
      <c r="F385" s="7" t="str">
        <f t="shared" si="5"/>
        <v/>
      </c>
      <c r="G385" s="8"/>
    </row>
    <row r="386" spans="1:7" x14ac:dyDescent="0.2">
      <c r="A386" s="9" t="str">
        <f>IF($B386="","",COUNTA($B$9:$B386))</f>
        <v/>
      </c>
      <c r="B386" s="4"/>
      <c r="C386" s="4"/>
      <c r="D386" s="5"/>
      <c r="E386" s="6"/>
      <c r="F386" s="10" t="str">
        <f t="shared" si="5"/>
        <v/>
      </c>
      <c r="G386" s="8"/>
    </row>
    <row r="387" spans="1:7" x14ac:dyDescent="0.2">
      <c r="A387" s="3" t="str">
        <f>IF($B387="","",COUNTA($B$9:$B387))</f>
        <v/>
      </c>
      <c r="B387" s="4"/>
      <c r="C387" s="4"/>
      <c r="D387" s="5"/>
      <c r="E387" s="6"/>
      <c r="F387" s="7" t="str">
        <f t="shared" si="5"/>
        <v/>
      </c>
      <c r="G387" s="8"/>
    </row>
    <row r="388" spans="1:7" x14ac:dyDescent="0.2">
      <c r="A388" s="9" t="str">
        <f>IF($B388="","",COUNTA($B$9:$B388))</f>
        <v/>
      </c>
      <c r="B388" s="4"/>
      <c r="C388" s="4"/>
      <c r="D388" s="5"/>
      <c r="E388" s="6"/>
      <c r="F388" s="10" t="str">
        <f t="shared" si="5"/>
        <v/>
      </c>
      <c r="G388" s="8"/>
    </row>
    <row r="389" spans="1:7" x14ac:dyDescent="0.2">
      <c r="A389" s="3" t="str">
        <f>IF($B389="","",COUNTA($B$9:$B389))</f>
        <v/>
      </c>
      <c r="B389" s="4"/>
      <c r="C389" s="4"/>
      <c r="D389" s="5"/>
      <c r="E389" s="6"/>
      <c r="F389" s="7" t="str">
        <f t="shared" si="5"/>
        <v/>
      </c>
      <c r="G389" s="8"/>
    </row>
    <row r="390" spans="1:7" x14ac:dyDescent="0.2">
      <c r="A390" s="9" t="str">
        <f>IF($B390="","",COUNTA($B$9:$B390))</f>
        <v/>
      </c>
      <c r="B390" s="4"/>
      <c r="C390" s="4"/>
      <c r="D390" s="5"/>
      <c r="E390" s="6"/>
      <c r="F390" s="10" t="str">
        <f t="shared" si="5"/>
        <v/>
      </c>
      <c r="G390" s="8"/>
    </row>
    <row r="391" spans="1:7" x14ac:dyDescent="0.2">
      <c r="A391" s="3" t="str">
        <f>IF($B391="","",COUNTA($B$9:$B391))</f>
        <v/>
      </c>
      <c r="B391" s="4"/>
      <c r="C391" s="4"/>
      <c r="D391" s="5"/>
      <c r="E391" s="6"/>
      <c r="F391" s="7" t="str">
        <f t="shared" si="5"/>
        <v/>
      </c>
      <c r="G391" s="8"/>
    </row>
    <row r="392" spans="1:7" x14ac:dyDescent="0.2">
      <c r="A392" s="9" t="str">
        <f>IF($B392="","",COUNTA($B$9:$B392))</f>
        <v/>
      </c>
      <c r="B392" s="4"/>
      <c r="C392" s="4"/>
      <c r="D392" s="5"/>
      <c r="E392" s="6"/>
      <c r="F392" s="10" t="str">
        <f t="shared" si="5"/>
        <v/>
      </c>
      <c r="G392" s="8"/>
    </row>
    <row r="393" spans="1:7" x14ac:dyDescent="0.2">
      <c r="A393" s="3" t="str">
        <f>IF($B393="","",COUNTA($B$9:$B393))</f>
        <v/>
      </c>
      <c r="B393" s="4"/>
      <c r="C393" s="4"/>
      <c r="D393" s="5"/>
      <c r="E393" s="6"/>
      <c r="F393" s="7" t="str">
        <f t="shared" ref="F393:F456" si="6">IF($B393="","",IF(COUNTIFS(ETxnType,"پاس چک",ETxnChk,$B393)&gt;0,"پاس شده","پاس نشده"))</f>
        <v/>
      </c>
      <c r="G393" s="8"/>
    </row>
    <row r="394" spans="1:7" x14ac:dyDescent="0.2">
      <c r="A394" s="9" t="str">
        <f>IF($B394="","",COUNTA($B$9:$B394))</f>
        <v/>
      </c>
      <c r="B394" s="4"/>
      <c r="C394" s="4"/>
      <c r="D394" s="5"/>
      <c r="E394" s="6"/>
      <c r="F394" s="10" t="str">
        <f t="shared" si="6"/>
        <v/>
      </c>
      <c r="G394" s="8"/>
    </row>
    <row r="395" spans="1:7" x14ac:dyDescent="0.2">
      <c r="A395" s="3" t="str">
        <f>IF($B395="","",COUNTA($B$9:$B395))</f>
        <v/>
      </c>
      <c r="B395" s="4"/>
      <c r="C395" s="4"/>
      <c r="D395" s="5"/>
      <c r="E395" s="6"/>
      <c r="F395" s="7" t="str">
        <f t="shared" si="6"/>
        <v/>
      </c>
      <c r="G395" s="8"/>
    </row>
    <row r="396" spans="1:7" x14ac:dyDescent="0.2">
      <c r="A396" s="9" t="str">
        <f>IF($B396="","",COUNTA($B$9:$B396))</f>
        <v/>
      </c>
      <c r="B396" s="4"/>
      <c r="C396" s="4"/>
      <c r="D396" s="5"/>
      <c r="E396" s="6"/>
      <c r="F396" s="10" t="str">
        <f t="shared" si="6"/>
        <v/>
      </c>
      <c r="G396" s="8"/>
    </row>
    <row r="397" spans="1:7" x14ac:dyDescent="0.2">
      <c r="A397" s="3" t="str">
        <f>IF($B397="","",COUNTA($B$9:$B397))</f>
        <v/>
      </c>
      <c r="B397" s="4"/>
      <c r="C397" s="4"/>
      <c r="D397" s="5"/>
      <c r="E397" s="6"/>
      <c r="F397" s="7" t="str">
        <f t="shared" si="6"/>
        <v/>
      </c>
      <c r="G397" s="8"/>
    </row>
    <row r="398" spans="1:7" x14ac:dyDescent="0.2">
      <c r="A398" s="9" t="str">
        <f>IF($B398="","",COUNTA($B$9:$B398))</f>
        <v/>
      </c>
      <c r="B398" s="4"/>
      <c r="C398" s="4"/>
      <c r="D398" s="5"/>
      <c r="E398" s="6"/>
      <c r="F398" s="10" t="str">
        <f t="shared" si="6"/>
        <v/>
      </c>
      <c r="G398" s="8"/>
    </row>
    <row r="399" spans="1:7" x14ac:dyDescent="0.2">
      <c r="A399" s="3" t="str">
        <f>IF($B399="","",COUNTA($B$9:$B399))</f>
        <v/>
      </c>
      <c r="B399" s="4"/>
      <c r="C399" s="4"/>
      <c r="D399" s="5"/>
      <c r="E399" s="6"/>
      <c r="F399" s="7" t="str">
        <f t="shared" si="6"/>
        <v/>
      </c>
      <c r="G399" s="8"/>
    </row>
    <row r="400" spans="1:7" x14ac:dyDescent="0.2">
      <c r="A400" s="9" t="str">
        <f>IF($B400="","",COUNTA($B$9:$B400))</f>
        <v/>
      </c>
      <c r="B400" s="4"/>
      <c r="C400" s="4"/>
      <c r="D400" s="5"/>
      <c r="E400" s="6"/>
      <c r="F400" s="10" t="str">
        <f t="shared" si="6"/>
        <v/>
      </c>
      <c r="G400" s="8"/>
    </row>
    <row r="401" spans="1:7" x14ac:dyDescent="0.2">
      <c r="A401" s="3" t="str">
        <f>IF($B401="","",COUNTA($B$9:$B401))</f>
        <v/>
      </c>
      <c r="B401" s="4"/>
      <c r="C401" s="4"/>
      <c r="D401" s="5"/>
      <c r="E401" s="6"/>
      <c r="F401" s="7" t="str">
        <f t="shared" si="6"/>
        <v/>
      </c>
      <c r="G401" s="8"/>
    </row>
    <row r="402" spans="1:7" x14ac:dyDescent="0.2">
      <c r="A402" s="9" t="str">
        <f>IF($B402="","",COUNTA($B$9:$B402))</f>
        <v/>
      </c>
      <c r="B402" s="4"/>
      <c r="C402" s="4"/>
      <c r="D402" s="5"/>
      <c r="E402" s="6"/>
      <c r="F402" s="10" t="str">
        <f t="shared" si="6"/>
        <v/>
      </c>
      <c r="G402" s="8"/>
    </row>
    <row r="403" spans="1:7" x14ac:dyDescent="0.2">
      <c r="A403" s="3" t="str">
        <f>IF($B403="","",COUNTA($B$9:$B403))</f>
        <v/>
      </c>
      <c r="B403" s="4"/>
      <c r="C403" s="4"/>
      <c r="D403" s="5"/>
      <c r="E403" s="6"/>
      <c r="F403" s="7" t="str">
        <f t="shared" si="6"/>
        <v/>
      </c>
      <c r="G403" s="8"/>
    </row>
    <row r="404" spans="1:7" x14ac:dyDescent="0.2">
      <c r="A404" s="9" t="str">
        <f>IF($B404="","",COUNTA($B$9:$B404))</f>
        <v/>
      </c>
      <c r="B404" s="4"/>
      <c r="C404" s="4"/>
      <c r="D404" s="5"/>
      <c r="E404" s="6"/>
      <c r="F404" s="10" t="str">
        <f t="shared" si="6"/>
        <v/>
      </c>
      <c r="G404" s="8"/>
    </row>
    <row r="405" spans="1:7" x14ac:dyDescent="0.2">
      <c r="A405" s="3" t="str">
        <f>IF($B405="","",COUNTA($B$9:$B405))</f>
        <v/>
      </c>
      <c r="B405" s="4"/>
      <c r="C405" s="4"/>
      <c r="D405" s="5"/>
      <c r="E405" s="6"/>
      <c r="F405" s="7" t="str">
        <f t="shared" si="6"/>
        <v/>
      </c>
      <c r="G405" s="8"/>
    </row>
    <row r="406" spans="1:7" x14ac:dyDescent="0.2">
      <c r="A406" s="9" t="str">
        <f>IF($B406="","",COUNTA($B$9:$B406))</f>
        <v/>
      </c>
      <c r="B406" s="4"/>
      <c r="C406" s="4"/>
      <c r="D406" s="5"/>
      <c r="E406" s="6"/>
      <c r="F406" s="10" t="str">
        <f t="shared" si="6"/>
        <v/>
      </c>
      <c r="G406" s="8"/>
    </row>
    <row r="407" spans="1:7" x14ac:dyDescent="0.2">
      <c r="A407" s="3" t="str">
        <f>IF($B407="","",COUNTA($B$9:$B407))</f>
        <v/>
      </c>
      <c r="B407" s="4"/>
      <c r="C407" s="4"/>
      <c r="D407" s="5"/>
      <c r="E407" s="6"/>
      <c r="F407" s="7" t="str">
        <f t="shared" si="6"/>
        <v/>
      </c>
      <c r="G407" s="8"/>
    </row>
    <row r="408" spans="1:7" x14ac:dyDescent="0.2">
      <c r="A408" s="9" t="str">
        <f>IF($B408="","",COUNTA($B$9:$B408))</f>
        <v/>
      </c>
      <c r="B408" s="4"/>
      <c r="C408" s="4"/>
      <c r="D408" s="5"/>
      <c r="E408" s="6"/>
      <c r="F408" s="10" t="str">
        <f t="shared" si="6"/>
        <v/>
      </c>
      <c r="G408" s="8"/>
    </row>
    <row r="409" spans="1:7" x14ac:dyDescent="0.2">
      <c r="A409" s="3" t="str">
        <f>IF($B409="","",COUNTA($B$9:$B409))</f>
        <v/>
      </c>
      <c r="B409" s="4"/>
      <c r="C409" s="4"/>
      <c r="D409" s="5"/>
      <c r="E409" s="6"/>
      <c r="F409" s="7" t="str">
        <f t="shared" si="6"/>
        <v/>
      </c>
      <c r="G409" s="8"/>
    </row>
    <row r="410" spans="1:7" x14ac:dyDescent="0.2">
      <c r="A410" s="9" t="str">
        <f>IF($B410="","",COUNTA($B$9:$B410))</f>
        <v/>
      </c>
      <c r="B410" s="4"/>
      <c r="C410" s="4"/>
      <c r="D410" s="5"/>
      <c r="E410" s="6"/>
      <c r="F410" s="10" t="str">
        <f t="shared" si="6"/>
        <v/>
      </c>
      <c r="G410" s="8"/>
    </row>
    <row r="411" spans="1:7" x14ac:dyDescent="0.2">
      <c r="A411" s="3" t="str">
        <f>IF($B411="","",COUNTA($B$9:$B411))</f>
        <v/>
      </c>
      <c r="B411" s="4"/>
      <c r="C411" s="4"/>
      <c r="D411" s="5"/>
      <c r="E411" s="6"/>
      <c r="F411" s="7" t="str">
        <f t="shared" si="6"/>
        <v/>
      </c>
      <c r="G411" s="8"/>
    </row>
    <row r="412" spans="1:7" x14ac:dyDescent="0.2">
      <c r="A412" s="9" t="str">
        <f>IF($B412="","",COUNTA($B$9:$B412))</f>
        <v/>
      </c>
      <c r="B412" s="4"/>
      <c r="C412" s="4"/>
      <c r="D412" s="5"/>
      <c r="E412" s="6"/>
      <c r="F412" s="10" t="str">
        <f t="shared" si="6"/>
        <v/>
      </c>
      <c r="G412" s="8"/>
    </row>
    <row r="413" spans="1:7" x14ac:dyDescent="0.2">
      <c r="A413" s="3" t="str">
        <f>IF($B413="","",COUNTA($B$9:$B413))</f>
        <v/>
      </c>
      <c r="B413" s="4"/>
      <c r="C413" s="4"/>
      <c r="D413" s="5"/>
      <c r="E413" s="6"/>
      <c r="F413" s="7" t="str">
        <f t="shared" si="6"/>
        <v/>
      </c>
      <c r="G413" s="8"/>
    </row>
    <row r="414" spans="1:7" x14ac:dyDescent="0.2">
      <c r="A414" s="9" t="str">
        <f>IF($B414="","",COUNTA($B$9:$B414))</f>
        <v/>
      </c>
      <c r="B414" s="4"/>
      <c r="C414" s="4"/>
      <c r="D414" s="5"/>
      <c r="E414" s="6"/>
      <c r="F414" s="10" t="str">
        <f t="shared" si="6"/>
        <v/>
      </c>
      <c r="G414" s="8"/>
    </row>
    <row r="415" spans="1:7" x14ac:dyDescent="0.2">
      <c r="A415" s="3" t="str">
        <f>IF($B415="","",COUNTA($B$9:$B415))</f>
        <v/>
      </c>
      <c r="B415" s="4"/>
      <c r="C415" s="4"/>
      <c r="D415" s="5"/>
      <c r="E415" s="6"/>
      <c r="F415" s="7" t="str">
        <f t="shared" si="6"/>
        <v/>
      </c>
      <c r="G415" s="8"/>
    </row>
    <row r="416" spans="1:7" x14ac:dyDescent="0.2">
      <c r="A416" s="9" t="str">
        <f>IF($B416="","",COUNTA($B$9:$B416))</f>
        <v/>
      </c>
      <c r="B416" s="4"/>
      <c r="C416" s="4"/>
      <c r="D416" s="5"/>
      <c r="E416" s="6"/>
      <c r="F416" s="10" t="str">
        <f t="shared" si="6"/>
        <v/>
      </c>
      <c r="G416" s="8"/>
    </row>
    <row r="417" spans="1:7" x14ac:dyDescent="0.2">
      <c r="A417" s="3" t="str">
        <f>IF($B417="","",COUNTA($B$9:$B417))</f>
        <v/>
      </c>
      <c r="B417" s="4"/>
      <c r="C417" s="4"/>
      <c r="D417" s="5"/>
      <c r="E417" s="6"/>
      <c r="F417" s="7" t="str">
        <f t="shared" si="6"/>
        <v/>
      </c>
      <c r="G417" s="8"/>
    </row>
    <row r="418" spans="1:7" x14ac:dyDescent="0.2">
      <c r="A418" s="9" t="str">
        <f>IF($B418="","",COUNTA($B$9:$B418))</f>
        <v/>
      </c>
      <c r="B418" s="4"/>
      <c r="C418" s="4"/>
      <c r="D418" s="5"/>
      <c r="E418" s="6"/>
      <c r="F418" s="10" t="str">
        <f t="shared" si="6"/>
        <v/>
      </c>
      <c r="G418" s="8"/>
    </row>
    <row r="419" spans="1:7" x14ac:dyDescent="0.2">
      <c r="A419" s="3" t="str">
        <f>IF($B419="","",COUNTA($B$9:$B419))</f>
        <v/>
      </c>
      <c r="B419" s="4"/>
      <c r="C419" s="4"/>
      <c r="D419" s="5"/>
      <c r="E419" s="6"/>
      <c r="F419" s="7" t="str">
        <f t="shared" si="6"/>
        <v/>
      </c>
      <c r="G419" s="8"/>
    </row>
    <row r="420" spans="1:7" x14ac:dyDescent="0.2">
      <c r="A420" s="9" t="str">
        <f>IF($B420="","",COUNTA($B$9:$B420))</f>
        <v/>
      </c>
      <c r="B420" s="4"/>
      <c r="C420" s="4"/>
      <c r="D420" s="5"/>
      <c r="E420" s="6"/>
      <c r="F420" s="10" t="str">
        <f t="shared" si="6"/>
        <v/>
      </c>
      <c r="G420" s="8"/>
    </row>
    <row r="421" spans="1:7" x14ac:dyDescent="0.2">
      <c r="A421" s="3" t="str">
        <f>IF($B421="","",COUNTA($B$9:$B421))</f>
        <v/>
      </c>
      <c r="B421" s="4"/>
      <c r="C421" s="4"/>
      <c r="D421" s="5"/>
      <c r="E421" s="6"/>
      <c r="F421" s="7" t="str">
        <f t="shared" si="6"/>
        <v/>
      </c>
      <c r="G421" s="8"/>
    </row>
    <row r="422" spans="1:7" x14ac:dyDescent="0.2">
      <c r="A422" s="9" t="str">
        <f>IF($B422="","",COUNTA($B$9:$B422))</f>
        <v/>
      </c>
      <c r="B422" s="4"/>
      <c r="C422" s="4"/>
      <c r="D422" s="5"/>
      <c r="E422" s="6"/>
      <c r="F422" s="10" t="str">
        <f t="shared" si="6"/>
        <v/>
      </c>
      <c r="G422" s="8"/>
    </row>
    <row r="423" spans="1:7" x14ac:dyDescent="0.2">
      <c r="A423" s="3" t="str">
        <f>IF($B423="","",COUNTA($B$9:$B423))</f>
        <v/>
      </c>
      <c r="B423" s="4"/>
      <c r="C423" s="4"/>
      <c r="D423" s="5"/>
      <c r="E423" s="6"/>
      <c r="F423" s="7" t="str">
        <f t="shared" si="6"/>
        <v/>
      </c>
      <c r="G423" s="8"/>
    </row>
    <row r="424" spans="1:7" x14ac:dyDescent="0.2">
      <c r="A424" s="9" t="str">
        <f>IF($B424="","",COUNTA($B$9:$B424))</f>
        <v/>
      </c>
      <c r="B424" s="4"/>
      <c r="C424" s="4"/>
      <c r="D424" s="5"/>
      <c r="E424" s="6"/>
      <c r="F424" s="10" t="str">
        <f t="shared" si="6"/>
        <v/>
      </c>
      <c r="G424" s="8"/>
    </row>
    <row r="425" spans="1:7" x14ac:dyDescent="0.2">
      <c r="A425" s="3" t="str">
        <f>IF($B425="","",COUNTA($B$9:$B425))</f>
        <v/>
      </c>
      <c r="B425" s="4"/>
      <c r="C425" s="4"/>
      <c r="D425" s="5"/>
      <c r="E425" s="6"/>
      <c r="F425" s="7" t="str">
        <f t="shared" si="6"/>
        <v/>
      </c>
      <c r="G425" s="8"/>
    </row>
    <row r="426" spans="1:7" x14ac:dyDescent="0.2">
      <c r="A426" s="9" t="str">
        <f>IF($B426="","",COUNTA($B$9:$B426))</f>
        <v/>
      </c>
      <c r="B426" s="4"/>
      <c r="C426" s="4"/>
      <c r="D426" s="5"/>
      <c r="E426" s="6"/>
      <c r="F426" s="10" t="str">
        <f t="shared" si="6"/>
        <v/>
      </c>
      <c r="G426" s="8"/>
    </row>
    <row r="427" spans="1:7" x14ac:dyDescent="0.2">
      <c r="A427" s="3" t="str">
        <f>IF($B427="","",COUNTA($B$9:$B427))</f>
        <v/>
      </c>
      <c r="B427" s="4"/>
      <c r="C427" s="4"/>
      <c r="D427" s="5"/>
      <c r="E427" s="6"/>
      <c r="F427" s="7" t="str">
        <f t="shared" si="6"/>
        <v/>
      </c>
      <c r="G427" s="8"/>
    </row>
    <row r="428" spans="1:7" x14ac:dyDescent="0.2">
      <c r="A428" s="9" t="str">
        <f>IF($B428="","",COUNTA($B$9:$B428))</f>
        <v/>
      </c>
      <c r="B428" s="4"/>
      <c r="C428" s="4"/>
      <c r="D428" s="5"/>
      <c r="E428" s="6"/>
      <c r="F428" s="10" t="str">
        <f t="shared" si="6"/>
        <v/>
      </c>
      <c r="G428" s="8"/>
    </row>
    <row r="429" spans="1:7" x14ac:dyDescent="0.2">
      <c r="A429" s="3" t="str">
        <f>IF($B429="","",COUNTA($B$9:$B429))</f>
        <v/>
      </c>
      <c r="B429" s="4"/>
      <c r="C429" s="4"/>
      <c r="D429" s="5"/>
      <c r="E429" s="6"/>
      <c r="F429" s="7" t="str">
        <f t="shared" si="6"/>
        <v/>
      </c>
      <c r="G429" s="8"/>
    </row>
    <row r="430" spans="1:7" x14ac:dyDescent="0.2">
      <c r="A430" s="9" t="str">
        <f>IF($B430="","",COUNTA($B$9:$B430))</f>
        <v/>
      </c>
      <c r="B430" s="4"/>
      <c r="C430" s="4"/>
      <c r="D430" s="5"/>
      <c r="E430" s="6"/>
      <c r="F430" s="10" t="str">
        <f t="shared" si="6"/>
        <v/>
      </c>
      <c r="G430" s="8"/>
    </row>
    <row r="431" spans="1:7" x14ac:dyDescent="0.2">
      <c r="A431" s="3" t="str">
        <f>IF($B431="","",COUNTA($B$9:$B431))</f>
        <v/>
      </c>
      <c r="B431" s="4"/>
      <c r="C431" s="4"/>
      <c r="D431" s="5"/>
      <c r="E431" s="6"/>
      <c r="F431" s="7" t="str">
        <f t="shared" si="6"/>
        <v/>
      </c>
      <c r="G431" s="8"/>
    </row>
    <row r="432" spans="1:7" x14ac:dyDescent="0.2">
      <c r="A432" s="9" t="str">
        <f>IF($B432="","",COUNTA($B$9:$B432))</f>
        <v/>
      </c>
      <c r="B432" s="4"/>
      <c r="C432" s="4"/>
      <c r="D432" s="5"/>
      <c r="E432" s="6"/>
      <c r="F432" s="10" t="str">
        <f t="shared" si="6"/>
        <v/>
      </c>
      <c r="G432" s="8"/>
    </row>
    <row r="433" spans="1:7" x14ac:dyDescent="0.2">
      <c r="A433" s="3" t="str">
        <f>IF($B433="","",COUNTA($B$9:$B433))</f>
        <v/>
      </c>
      <c r="B433" s="4"/>
      <c r="C433" s="4"/>
      <c r="D433" s="5"/>
      <c r="E433" s="6"/>
      <c r="F433" s="7" t="str">
        <f t="shared" si="6"/>
        <v/>
      </c>
      <c r="G433" s="8"/>
    </row>
    <row r="434" spans="1:7" x14ac:dyDescent="0.2">
      <c r="A434" s="9" t="str">
        <f>IF($B434="","",COUNTA($B$9:$B434))</f>
        <v/>
      </c>
      <c r="B434" s="4"/>
      <c r="C434" s="4"/>
      <c r="D434" s="5"/>
      <c r="E434" s="6"/>
      <c r="F434" s="10" t="str">
        <f t="shared" si="6"/>
        <v/>
      </c>
      <c r="G434" s="8"/>
    </row>
    <row r="435" spans="1:7" x14ac:dyDescent="0.2">
      <c r="A435" s="3" t="str">
        <f>IF($B435="","",COUNTA($B$9:$B435))</f>
        <v/>
      </c>
      <c r="B435" s="4"/>
      <c r="C435" s="4"/>
      <c r="D435" s="5"/>
      <c r="E435" s="6"/>
      <c r="F435" s="7" t="str">
        <f t="shared" si="6"/>
        <v/>
      </c>
      <c r="G435" s="8"/>
    </row>
    <row r="436" spans="1:7" x14ac:dyDescent="0.2">
      <c r="A436" s="9" t="str">
        <f>IF($B436="","",COUNTA($B$9:$B436))</f>
        <v/>
      </c>
      <c r="B436" s="4"/>
      <c r="C436" s="4"/>
      <c r="D436" s="5"/>
      <c r="E436" s="6"/>
      <c r="F436" s="10" t="str">
        <f t="shared" si="6"/>
        <v/>
      </c>
      <c r="G436" s="8"/>
    </row>
    <row r="437" spans="1:7" x14ac:dyDescent="0.2">
      <c r="A437" s="3" t="str">
        <f>IF($B437="","",COUNTA($B$9:$B437))</f>
        <v/>
      </c>
      <c r="B437" s="4"/>
      <c r="C437" s="4"/>
      <c r="D437" s="5"/>
      <c r="E437" s="6"/>
      <c r="F437" s="7" t="str">
        <f t="shared" si="6"/>
        <v/>
      </c>
      <c r="G437" s="8"/>
    </row>
    <row r="438" spans="1:7" x14ac:dyDescent="0.2">
      <c r="A438" s="9" t="str">
        <f>IF($B438="","",COUNTA($B$9:$B438))</f>
        <v/>
      </c>
      <c r="B438" s="4"/>
      <c r="C438" s="4"/>
      <c r="D438" s="5"/>
      <c r="E438" s="6"/>
      <c r="F438" s="10" t="str">
        <f t="shared" si="6"/>
        <v/>
      </c>
      <c r="G438" s="8"/>
    </row>
    <row r="439" spans="1:7" x14ac:dyDescent="0.2">
      <c r="A439" s="3" t="str">
        <f>IF($B439="","",COUNTA($B$9:$B439))</f>
        <v/>
      </c>
      <c r="B439" s="4"/>
      <c r="C439" s="4"/>
      <c r="D439" s="5"/>
      <c r="E439" s="6"/>
      <c r="F439" s="7" t="str">
        <f t="shared" si="6"/>
        <v/>
      </c>
      <c r="G439" s="8"/>
    </row>
    <row r="440" spans="1:7" x14ac:dyDescent="0.2">
      <c r="A440" s="9" t="str">
        <f>IF($B440="","",COUNTA($B$9:$B440))</f>
        <v/>
      </c>
      <c r="B440" s="4"/>
      <c r="C440" s="4"/>
      <c r="D440" s="5"/>
      <c r="E440" s="6"/>
      <c r="F440" s="10" t="str">
        <f t="shared" si="6"/>
        <v/>
      </c>
      <c r="G440" s="8"/>
    </row>
    <row r="441" spans="1:7" x14ac:dyDescent="0.2">
      <c r="A441" s="3" t="str">
        <f>IF($B441="","",COUNTA($B$9:$B441))</f>
        <v/>
      </c>
      <c r="B441" s="4"/>
      <c r="C441" s="4"/>
      <c r="D441" s="5"/>
      <c r="E441" s="6"/>
      <c r="F441" s="7" t="str">
        <f t="shared" si="6"/>
        <v/>
      </c>
      <c r="G441" s="8"/>
    </row>
    <row r="442" spans="1:7" x14ac:dyDescent="0.2">
      <c r="A442" s="9" t="str">
        <f>IF($B442="","",COUNTA($B$9:$B442))</f>
        <v/>
      </c>
      <c r="B442" s="4"/>
      <c r="C442" s="4"/>
      <c r="D442" s="5"/>
      <c r="E442" s="6"/>
      <c r="F442" s="10" t="str">
        <f t="shared" si="6"/>
        <v/>
      </c>
      <c r="G442" s="8"/>
    </row>
    <row r="443" spans="1:7" x14ac:dyDescent="0.2">
      <c r="A443" s="3" t="str">
        <f>IF($B443="","",COUNTA($B$9:$B443))</f>
        <v/>
      </c>
      <c r="B443" s="4"/>
      <c r="C443" s="4"/>
      <c r="D443" s="5"/>
      <c r="E443" s="6"/>
      <c r="F443" s="7" t="str">
        <f t="shared" si="6"/>
        <v/>
      </c>
      <c r="G443" s="8"/>
    </row>
    <row r="444" spans="1:7" x14ac:dyDescent="0.2">
      <c r="A444" s="9" t="str">
        <f>IF($B444="","",COUNTA($B$9:$B444))</f>
        <v/>
      </c>
      <c r="B444" s="4"/>
      <c r="C444" s="4"/>
      <c r="D444" s="5"/>
      <c r="E444" s="6"/>
      <c r="F444" s="10" t="str">
        <f t="shared" si="6"/>
        <v/>
      </c>
      <c r="G444" s="8"/>
    </row>
    <row r="445" spans="1:7" x14ac:dyDescent="0.2">
      <c r="A445" s="3" t="str">
        <f>IF($B445="","",COUNTA($B$9:$B445))</f>
        <v/>
      </c>
      <c r="B445" s="4"/>
      <c r="C445" s="4"/>
      <c r="D445" s="5"/>
      <c r="E445" s="6"/>
      <c r="F445" s="7" t="str">
        <f t="shared" si="6"/>
        <v/>
      </c>
      <c r="G445" s="8"/>
    </row>
    <row r="446" spans="1:7" x14ac:dyDescent="0.2">
      <c r="A446" s="9" t="str">
        <f>IF($B446="","",COUNTA($B$9:$B446))</f>
        <v/>
      </c>
      <c r="B446" s="4"/>
      <c r="C446" s="4"/>
      <c r="D446" s="5"/>
      <c r="E446" s="6"/>
      <c r="F446" s="10" t="str">
        <f t="shared" si="6"/>
        <v/>
      </c>
      <c r="G446" s="8"/>
    </row>
    <row r="447" spans="1:7" x14ac:dyDescent="0.2">
      <c r="A447" s="3" t="str">
        <f>IF($B447="","",COUNTA($B$9:$B447))</f>
        <v/>
      </c>
      <c r="B447" s="4"/>
      <c r="C447" s="4"/>
      <c r="D447" s="5"/>
      <c r="E447" s="6"/>
      <c r="F447" s="7" t="str">
        <f t="shared" si="6"/>
        <v/>
      </c>
      <c r="G447" s="8"/>
    </row>
    <row r="448" spans="1:7" x14ac:dyDescent="0.2">
      <c r="A448" s="9" t="str">
        <f>IF($B448="","",COUNTA($B$9:$B448))</f>
        <v/>
      </c>
      <c r="B448" s="4"/>
      <c r="C448" s="4"/>
      <c r="D448" s="5"/>
      <c r="E448" s="6"/>
      <c r="F448" s="10" t="str">
        <f t="shared" si="6"/>
        <v/>
      </c>
      <c r="G448" s="8"/>
    </row>
    <row r="449" spans="1:7" x14ac:dyDescent="0.2">
      <c r="A449" s="3" t="str">
        <f>IF($B449="","",COUNTA($B$9:$B449))</f>
        <v/>
      </c>
      <c r="B449" s="4"/>
      <c r="C449" s="4"/>
      <c r="D449" s="5"/>
      <c r="E449" s="6"/>
      <c r="F449" s="7" t="str">
        <f t="shared" si="6"/>
        <v/>
      </c>
      <c r="G449" s="8"/>
    </row>
    <row r="450" spans="1:7" x14ac:dyDescent="0.2">
      <c r="A450" s="9" t="str">
        <f>IF($B450="","",COUNTA($B$9:$B450))</f>
        <v/>
      </c>
      <c r="B450" s="4"/>
      <c r="C450" s="4"/>
      <c r="D450" s="5"/>
      <c r="E450" s="6"/>
      <c r="F450" s="10" t="str">
        <f t="shared" si="6"/>
        <v/>
      </c>
      <c r="G450" s="8"/>
    </row>
    <row r="451" spans="1:7" x14ac:dyDescent="0.2">
      <c r="A451" s="3" t="str">
        <f>IF($B451="","",COUNTA($B$9:$B451))</f>
        <v/>
      </c>
      <c r="B451" s="4"/>
      <c r="C451" s="4"/>
      <c r="D451" s="5"/>
      <c r="E451" s="6"/>
      <c r="F451" s="7" t="str">
        <f t="shared" si="6"/>
        <v/>
      </c>
      <c r="G451" s="8"/>
    </row>
    <row r="452" spans="1:7" x14ac:dyDescent="0.2">
      <c r="A452" s="9" t="str">
        <f>IF($B452="","",COUNTA($B$9:$B452))</f>
        <v/>
      </c>
      <c r="B452" s="4"/>
      <c r="C452" s="4"/>
      <c r="D452" s="5"/>
      <c r="E452" s="6"/>
      <c r="F452" s="10" t="str">
        <f t="shared" si="6"/>
        <v/>
      </c>
      <c r="G452" s="8"/>
    </row>
    <row r="453" spans="1:7" x14ac:dyDescent="0.2">
      <c r="A453" s="3" t="str">
        <f>IF($B453="","",COUNTA($B$9:$B453))</f>
        <v/>
      </c>
      <c r="B453" s="4"/>
      <c r="C453" s="4"/>
      <c r="D453" s="5"/>
      <c r="E453" s="6"/>
      <c r="F453" s="7" t="str">
        <f t="shared" si="6"/>
        <v/>
      </c>
      <c r="G453" s="8"/>
    </row>
    <row r="454" spans="1:7" x14ac:dyDescent="0.2">
      <c r="A454" s="9" t="str">
        <f>IF($B454="","",COUNTA($B$9:$B454))</f>
        <v/>
      </c>
      <c r="B454" s="4"/>
      <c r="C454" s="4"/>
      <c r="D454" s="5"/>
      <c r="E454" s="6"/>
      <c r="F454" s="10" t="str">
        <f t="shared" si="6"/>
        <v/>
      </c>
      <c r="G454" s="8"/>
    </row>
    <row r="455" spans="1:7" x14ac:dyDescent="0.2">
      <c r="A455" s="3" t="str">
        <f>IF($B455="","",COUNTA($B$9:$B455))</f>
        <v/>
      </c>
      <c r="B455" s="4"/>
      <c r="C455" s="4"/>
      <c r="D455" s="5"/>
      <c r="E455" s="6"/>
      <c r="F455" s="7" t="str">
        <f t="shared" si="6"/>
        <v/>
      </c>
      <c r="G455" s="8"/>
    </row>
    <row r="456" spans="1:7" x14ac:dyDescent="0.2">
      <c r="A456" s="9" t="str">
        <f>IF($B456="","",COUNTA($B$9:$B456))</f>
        <v/>
      </c>
      <c r="B456" s="4"/>
      <c r="C456" s="4"/>
      <c r="D456" s="5"/>
      <c r="E456" s="6"/>
      <c r="F456" s="10" t="str">
        <f t="shared" si="6"/>
        <v/>
      </c>
      <c r="G456" s="8"/>
    </row>
    <row r="457" spans="1:7" x14ac:dyDescent="0.2">
      <c r="A457" s="3" t="str">
        <f>IF($B457="","",COUNTA($B$9:$B457))</f>
        <v/>
      </c>
      <c r="B457" s="4"/>
      <c r="C457" s="4"/>
      <c r="D457" s="5"/>
      <c r="E457" s="6"/>
      <c r="F457" s="7" t="str">
        <f t="shared" ref="F457:F508" si="7">IF($B457="","",IF(COUNTIFS(ETxnType,"پاس چک",ETxnChk,$B457)&gt;0,"پاس شده","پاس نشده"))</f>
        <v/>
      </c>
      <c r="G457" s="8"/>
    </row>
    <row r="458" spans="1:7" x14ac:dyDescent="0.2">
      <c r="A458" s="9" t="str">
        <f>IF($B458="","",COUNTA($B$9:$B458))</f>
        <v/>
      </c>
      <c r="B458" s="4"/>
      <c r="C458" s="4"/>
      <c r="D458" s="5"/>
      <c r="E458" s="6"/>
      <c r="F458" s="10" t="str">
        <f t="shared" si="7"/>
        <v/>
      </c>
      <c r="G458" s="8"/>
    </row>
    <row r="459" spans="1:7" x14ac:dyDescent="0.2">
      <c r="A459" s="3" t="str">
        <f>IF($B459="","",COUNTA($B$9:$B459))</f>
        <v/>
      </c>
      <c r="B459" s="4"/>
      <c r="C459" s="4"/>
      <c r="D459" s="5"/>
      <c r="E459" s="6"/>
      <c r="F459" s="7" t="str">
        <f t="shared" si="7"/>
        <v/>
      </c>
      <c r="G459" s="8"/>
    </row>
    <row r="460" spans="1:7" x14ac:dyDescent="0.2">
      <c r="A460" s="9" t="str">
        <f>IF($B460="","",COUNTA($B$9:$B460))</f>
        <v/>
      </c>
      <c r="B460" s="4"/>
      <c r="C460" s="4"/>
      <c r="D460" s="5"/>
      <c r="E460" s="6"/>
      <c r="F460" s="10" t="str">
        <f t="shared" si="7"/>
        <v/>
      </c>
      <c r="G460" s="8"/>
    </row>
    <row r="461" spans="1:7" x14ac:dyDescent="0.2">
      <c r="A461" s="3" t="str">
        <f>IF($B461="","",COUNTA($B$9:$B461))</f>
        <v/>
      </c>
      <c r="B461" s="4"/>
      <c r="C461" s="4"/>
      <c r="D461" s="5"/>
      <c r="E461" s="6"/>
      <c r="F461" s="7" t="str">
        <f t="shared" si="7"/>
        <v/>
      </c>
      <c r="G461" s="8"/>
    </row>
    <row r="462" spans="1:7" x14ac:dyDescent="0.2">
      <c r="A462" s="9" t="str">
        <f>IF($B462="","",COUNTA($B$9:$B462))</f>
        <v/>
      </c>
      <c r="B462" s="4"/>
      <c r="C462" s="4"/>
      <c r="D462" s="5"/>
      <c r="E462" s="6"/>
      <c r="F462" s="10" t="str">
        <f t="shared" si="7"/>
        <v/>
      </c>
      <c r="G462" s="8"/>
    </row>
    <row r="463" spans="1:7" x14ac:dyDescent="0.2">
      <c r="A463" s="3" t="str">
        <f>IF($B463="","",COUNTA($B$9:$B463))</f>
        <v/>
      </c>
      <c r="B463" s="4"/>
      <c r="C463" s="4"/>
      <c r="D463" s="5"/>
      <c r="E463" s="6"/>
      <c r="F463" s="7" t="str">
        <f t="shared" si="7"/>
        <v/>
      </c>
      <c r="G463" s="8"/>
    </row>
    <row r="464" spans="1:7" x14ac:dyDescent="0.2">
      <c r="A464" s="9" t="str">
        <f>IF($B464="","",COUNTA($B$9:$B464))</f>
        <v/>
      </c>
      <c r="B464" s="4"/>
      <c r="C464" s="4"/>
      <c r="D464" s="5"/>
      <c r="E464" s="6"/>
      <c r="F464" s="10" t="str">
        <f t="shared" si="7"/>
        <v/>
      </c>
      <c r="G464" s="8"/>
    </row>
    <row r="465" spans="1:7" x14ac:dyDescent="0.2">
      <c r="A465" s="3" t="str">
        <f>IF($B465="","",COUNTA($B$9:$B465))</f>
        <v/>
      </c>
      <c r="B465" s="4"/>
      <c r="C465" s="4"/>
      <c r="D465" s="5"/>
      <c r="E465" s="6"/>
      <c r="F465" s="7" t="str">
        <f t="shared" si="7"/>
        <v/>
      </c>
      <c r="G465" s="8"/>
    </row>
    <row r="466" spans="1:7" x14ac:dyDescent="0.2">
      <c r="A466" s="9" t="str">
        <f>IF($B466="","",COUNTA($B$9:$B466))</f>
        <v/>
      </c>
      <c r="B466" s="4"/>
      <c r="C466" s="4"/>
      <c r="D466" s="5"/>
      <c r="E466" s="6"/>
      <c r="F466" s="10" t="str">
        <f t="shared" si="7"/>
        <v/>
      </c>
      <c r="G466" s="8"/>
    </row>
    <row r="467" spans="1:7" x14ac:dyDescent="0.2">
      <c r="A467" s="3" t="str">
        <f>IF($B467="","",COUNTA($B$9:$B467))</f>
        <v/>
      </c>
      <c r="B467" s="4"/>
      <c r="C467" s="4"/>
      <c r="D467" s="5"/>
      <c r="E467" s="6"/>
      <c r="F467" s="7" t="str">
        <f t="shared" si="7"/>
        <v/>
      </c>
      <c r="G467" s="8"/>
    </row>
    <row r="468" spans="1:7" x14ac:dyDescent="0.2">
      <c r="A468" s="9" t="str">
        <f>IF($B468="","",COUNTA($B$9:$B468))</f>
        <v/>
      </c>
      <c r="B468" s="4"/>
      <c r="C468" s="4"/>
      <c r="D468" s="5"/>
      <c r="E468" s="6"/>
      <c r="F468" s="10" t="str">
        <f t="shared" si="7"/>
        <v/>
      </c>
      <c r="G468" s="8"/>
    </row>
    <row r="469" spans="1:7" x14ac:dyDescent="0.2">
      <c r="A469" s="3" t="str">
        <f>IF($B469="","",COUNTA($B$9:$B469))</f>
        <v/>
      </c>
      <c r="B469" s="4"/>
      <c r="C469" s="4"/>
      <c r="D469" s="5"/>
      <c r="E469" s="6"/>
      <c r="F469" s="7" t="str">
        <f t="shared" si="7"/>
        <v/>
      </c>
      <c r="G469" s="8"/>
    </row>
    <row r="470" spans="1:7" x14ac:dyDescent="0.2">
      <c r="A470" s="9" t="str">
        <f>IF($B470="","",COUNTA($B$9:$B470))</f>
        <v/>
      </c>
      <c r="B470" s="4"/>
      <c r="C470" s="4"/>
      <c r="D470" s="5"/>
      <c r="E470" s="6"/>
      <c r="F470" s="10" t="str">
        <f t="shared" si="7"/>
        <v/>
      </c>
      <c r="G470" s="8"/>
    </row>
    <row r="471" spans="1:7" x14ac:dyDescent="0.2">
      <c r="A471" s="3" t="str">
        <f>IF($B471="","",COUNTA($B$9:$B471))</f>
        <v/>
      </c>
      <c r="B471" s="4"/>
      <c r="C471" s="4"/>
      <c r="D471" s="5"/>
      <c r="E471" s="6"/>
      <c r="F471" s="7" t="str">
        <f t="shared" si="7"/>
        <v/>
      </c>
      <c r="G471" s="8"/>
    </row>
    <row r="472" spans="1:7" x14ac:dyDescent="0.2">
      <c r="A472" s="9" t="str">
        <f>IF($B472="","",COUNTA($B$9:$B472))</f>
        <v/>
      </c>
      <c r="B472" s="4"/>
      <c r="C472" s="4"/>
      <c r="D472" s="5"/>
      <c r="E472" s="6"/>
      <c r="F472" s="10" t="str">
        <f t="shared" si="7"/>
        <v/>
      </c>
      <c r="G472" s="8"/>
    </row>
    <row r="473" spans="1:7" x14ac:dyDescent="0.2">
      <c r="A473" s="3" t="str">
        <f>IF($B473="","",COUNTA($B$9:$B473))</f>
        <v/>
      </c>
      <c r="B473" s="4"/>
      <c r="C473" s="4"/>
      <c r="D473" s="5"/>
      <c r="E473" s="6"/>
      <c r="F473" s="7" t="str">
        <f t="shared" si="7"/>
        <v/>
      </c>
      <c r="G473" s="8"/>
    </row>
    <row r="474" spans="1:7" x14ac:dyDescent="0.2">
      <c r="A474" s="9" t="str">
        <f>IF($B474="","",COUNTA($B$9:$B474))</f>
        <v/>
      </c>
      <c r="B474" s="4"/>
      <c r="C474" s="4"/>
      <c r="D474" s="5"/>
      <c r="E474" s="6"/>
      <c r="F474" s="10" t="str">
        <f t="shared" si="7"/>
        <v/>
      </c>
      <c r="G474" s="8"/>
    </row>
    <row r="475" spans="1:7" x14ac:dyDescent="0.2">
      <c r="A475" s="3" t="str">
        <f>IF($B475="","",COUNTA($B$9:$B475))</f>
        <v/>
      </c>
      <c r="B475" s="4"/>
      <c r="C475" s="4"/>
      <c r="D475" s="5"/>
      <c r="E475" s="6"/>
      <c r="F475" s="7" t="str">
        <f t="shared" si="7"/>
        <v/>
      </c>
      <c r="G475" s="8"/>
    </row>
    <row r="476" spans="1:7" x14ac:dyDescent="0.2">
      <c r="A476" s="9" t="str">
        <f>IF($B476="","",COUNTA($B$9:$B476))</f>
        <v/>
      </c>
      <c r="B476" s="4"/>
      <c r="C476" s="4"/>
      <c r="D476" s="5"/>
      <c r="E476" s="6"/>
      <c r="F476" s="10" t="str">
        <f t="shared" si="7"/>
        <v/>
      </c>
      <c r="G476" s="8"/>
    </row>
    <row r="477" spans="1:7" x14ac:dyDescent="0.2">
      <c r="A477" s="3" t="str">
        <f>IF($B477="","",COUNTA($B$9:$B477))</f>
        <v/>
      </c>
      <c r="B477" s="4"/>
      <c r="C477" s="4"/>
      <c r="D477" s="5"/>
      <c r="E477" s="6"/>
      <c r="F477" s="7" t="str">
        <f t="shared" si="7"/>
        <v/>
      </c>
      <c r="G477" s="8"/>
    </row>
    <row r="478" spans="1:7" x14ac:dyDescent="0.2">
      <c r="A478" s="9" t="str">
        <f>IF($B478="","",COUNTA($B$9:$B478))</f>
        <v/>
      </c>
      <c r="B478" s="4"/>
      <c r="C478" s="4"/>
      <c r="D478" s="5"/>
      <c r="E478" s="6"/>
      <c r="F478" s="10" t="str">
        <f t="shared" si="7"/>
        <v/>
      </c>
      <c r="G478" s="8"/>
    </row>
    <row r="479" spans="1:7" x14ac:dyDescent="0.2">
      <c r="A479" s="3" t="str">
        <f>IF($B479="","",COUNTA($B$9:$B479))</f>
        <v/>
      </c>
      <c r="B479" s="4"/>
      <c r="C479" s="4"/>
      <c r="D479" s="5"/>
      <c r="E479" s="6"/>
      <c r="F479" s="7" t="str">
        <f t="shared" si="7"/>
        <v/>
      </c>
      <c r="G479" s="8"/>
    </row>
    <row r="480" spans="1:7" x14ac:dyDescent="0.2">
      <c r="A480" s="9" t="str">
        <f>IF($B480="","",COUNTA($B$9:$B480))</f>
        <v/>
      </c>
      <c r="B480" s="4"/>
      <c r="C480" s="4"/>
      <c r="D480" s="5"/>
      <c r="E480" s="6"/>
      <c r="F480" s="10" t="str">
        <f t="shared" si="7"/>
        <v/>
      </c>
      <c r="G480" s="8"/>
    </row>
    <row r="481" spans="1:7" x14ac:dyDescent="0.2">
      <c r="A481" s="3" t="str">
        <f>IF($B481="","",COUNTA($B$9:$B481))</f>
        <v/>
      </c>
      <c r="B481" s="4"/>
      <c r="C481" s="4"/>
      <c r="D481" s="5"/>
      <c r="E481" s="6"/>
      <c r="F481" s="7" t="str">
        <f t="shared" si="7"/>
        <v/>
      </c>
      <c r="G481" s="8"/>
    </row>
    <row r="482" spans="1:7" x14ac:dyDescent="0.2">
      <c r="A482" s="9" t="str">
        <f>IF($B482="","",COUNTA($B$9:$B482))</f>
        <v/>
      </c>
      <c r="B482" s="4"/>
      <c r="C482" s="4"/>
      <c r="D482" s="5"/>
      <c r="E482" s="6"/>
      <c r="F482" s="10" t="str">
        <f t="shared" si="7"/>
        <v/>
      </c>
      <c r="G482" s="8"/>
    </row>
    <row r="483" spans="1:7" x14ac:dyDescent="0.2">
      <c r="A483" s="3" t="str">
        <f>IF($B483="","",COUNTA($B$9:$B483))</f>
        <v/>
      </c>
      <c r="B483" s="4"/>
      <c r="C483" s="4"/>
      <c r="D483" s="5"/>
      <c r="E483" s="6"/>
      <c r="F483" s="7" t="str">
        <f t="shared" si="7"/>
        <v/>
      </c>
      <c r="G483" s="8"/>
    </row>
    <row r="484" spans="1:7" x14ac:dyDescent="0.2">
      <c r="A484" s="9" t="str">
        <f>IF($B484="","",COUNTA($B$9:$B484))</f>
        <v/>
      </c>
      <c r="B484" s="4"/>
      <c r="C484" s="4"/>
      <c r="D484" s="5"/>
      <c r="E484" s="6"/>
      <c r="F484" s="10" t="str">
        <f t="shared" si="7"/>
        <v/>
      </c>
      <c r="G484" s="8"/>
    </row>
    <row r="485" spans="1:7" x14ac:dyDescent="0.2">
      <c r="A485" s="3" t="str">
        <f>IF($B485="","",COUNTA($B$9:$B485))</f>
        <v/>
      </c>
      <c r="B485" s="4"/>
      <c r="C485" s="4"/>
      <c r="D485" s="5"/>
      <c r="E485" s="6"/>
      <c r="F485" s="7" t="str">
        <f t="shared" si="7"/>
        <v/>
      </c>
      <c r="G485" s="8"/>
    </row>
    <row r="486" spans="1:7" x14ac:dyDescent="0.2">
      <c r="A486" s="9" t="str">
        <f>IF($B486="","",COUNTA($B$9:$B486))</f>
        <v/>
      </c>
      <c r="B486" s="4"/>
      <c r="C486" s="4"/>
      <c r="D486" s="5"/>
      <c r="E486" s="6"/>
      <c r="F486" s="10" t="str">
        <f t="shared" si="7"/>
        <v/>
      </c>
      <c r="G486" s="8"/>
    </row>
    <row r="487" spans="1:7" x14ac:dyDescent="0.2">
      <c r="A487" s="3" t="str">
        <f>IF($B487="","",COUNTA($B$9:$B487))</f>
        <v/>
      </c>
      <c r="B487" s="4"/>
      <c r="C487" s="4"/>
      <c r="D487" s="5"/>
      <c r="E487" s="6"/>
      <c r="F487" s="7" t="str">
        <f t="shared" si="7"/>
        <v/>
      </c>
      <c r="G487" s="8"/>
    </row>
    <row r="488" spans="1:7" x14ac:dyDescent="0.2">
      <c r="A488" s="9" t="str">
        <f>IF($B488="","",COUNTA($B$9:$B488))</f>
        <v/>
      </c>
      <c r="B488" s="4"/>
      <c r="C488" s="4"/>
      <c r="D488" s="5"/>
      <c r="E488" s="6"/>
      <c r="F488" s="10" t="str">
        <f t="shared" si="7"/>
        <v/>
      </c>
      <c r="G488" s="8"/>
    </row>
    <row r="489" spans="1:7" x14ac:dyDescent="0.2">
      <c r="A489" s="3" t="str">
        <f>IF($B489="","",COUNTA($B$9:$B489))</f>
        <v/>
      </c>
      <c r="B489" s="4"/>
      <c r="C489" s="4"/>
      <c r="D489" s="5"/>
      <c r="E489" s="6"/>
      <c r="F489" s="7" t="str">
        <f t="shared" si="7"/>
        <v/>
      </c>
      <c r="G489" s="8"/>
    </row>
    <row r="490" spans="1:7" x14ac:dyDescent="0.2">
      <c r="A490" s="9" t="str">
        <f>IF($B490="","",COUNTA($B$9:$B490))</f>
        <v/>
      </c>
      <c r="B490" s="4"/>
      <c r="C490" s="4"/>
      <c r="D490" s="5"/>
      <c r="E490" s="6"/>
      <c r="F490" s="10" t="str">
        <f t="shared" si="7"/>
        <v/>
      </c>
      <c r="G490" s="8"/>
    </row>
    <row r="491" spans="1:7" x14ac:dyDescent="0.2">
      <c r="A491" s="3" t="str">
        <f>IF($B491="","",COUNTA($B$9:$B491))</f>
        <v/>
      </c>
      <c r="B491" s="4"/>
      <c r="C491" s="4"/>
      <c r="D491" s="5"/>
      <c r="E491" s="6"/>
      <c r="F491" s="7" t="str">
        <f t="shared" si="7"/>
        <v/>
      </c>
      <c r="G491" s="8"/>
    </row>
    <row r="492" spans="1:7" x14ac:dyDescent="0.2">
      <c r="A492" s="9" t="str">
        <f>IF($B492="","",COUNTA($B$9:$B492))</f>
        <v/>
      </c>
      <c r="B492" s="4"/>
      <c r="C492" s="4"/>
      <c r="D492" s="5"/>
      <c r="E492" s="6"/>
      <c r="F492" s="10" t="str">
        <f t="shared" si="7"/>
        <v/>
      </c>
      <c r="G492" s="8"/>
    </row>
    <row r="493" spans="1:7" x14ac:dyDescent="0.2">
      <c r="A493" s="3" t="str">
        <f>IF($B493="","",COUNTA($B$9:$B493))</f>
        <v/>
      </c>
      <c r="B493" s="4"/>
      <c r="C493" s="4"/>
      <c r="D493" s="5"/>
      <c r="E493" s="6"/>
      <c r="F493" s="7" t="str">
        <f t="shared" si="7"/>
        <v/>
      </c>
      <c r="G493" s="8"/>
    </row>
    <row r="494" spans="1:7" x14ac:dyDescent="0.2">
      <c r="A494" s="9" t="str">
        <f>IF($B494="","",COUNTA($B$9:$B494))</f>
        <v/>
      </c>
      <c r="B494" s="4"/>
      <c r="C494" s="4"/>
      <c r="D494" s="5"/>
      <c r="E494" s="6"/>
      <c r="F494" s="10" t="str">
        <f t="shared" si="7"/>
        <v/>
      </c>
      <c r="G494" s="8"/>
    </row>
    <row r="495" spans="1:7" x14ac:dyDescent="0.2">
      <c r="A495" s="3" t="str">
        <f>IF($B495="","",COUNTA($B$9:$B495))</f>
        <v/>
      </c>
      <c r="B495" s="4"/>
      <c r="C495" s="4"/>
      <c r="D495" s="5"/>
      <c r="E495" s="6"/>
      <c r="F495" s="7" t="str">
        <f t="shared" si="7"/>
        <v/>
      </c>
      <c r="G495" s="8"/>
    </row>
    <row r="496" spans="1:7" x14ac:dyDescent="0.2">
      <c r="A496" s="9" t="str">
        <f>IF($B496="","",COUNTA($B$9:$B496))</f>
        <v/>
      </c>
      <c r="B496" s="4"/>
      <c r="C496" s="4"/>
      <c r="D496" s="5"/>
      <c r="E496" s="6"/>
      <c r="F496" s="10" t="str">
        <f t="shared" si="7"/>
        <v/>
      </c>
      <c r="G496" s="8"/>
    </row>
    <row r="497" spans="1:7" x14ac:dyDescent="0.2">
      <c r="A497" s="3" t="str">
        <f>IF($B497="","",COUNTA($B$9:$B497))</f>
        <v/>
      </c>
      <c r="B497" s="4"/>
      <c r="C497" s="4"/>
      <c r="D497" s="5"/>
      <c r="E497" s="6"/>
      <c r="F497" s="7" t="str">
        <f t="shared" si="7"/>
        <v/>
      </c>
      <c r="G497" s="8"/>
    </row>
    <row r="498" spans="1:7" x14ac:dyDescent="0.2">
      <c r="A498" s="9" t="str">
        <f>IF($B498="","",COUNTA($B$9:$B498))</f>
        <v/>
      </c>
      <c r="B498" s="4"/>
      <c r="C498" s="4"/>
      <c r="D498" s="5"/>
      <c r="E498" s="6"/>
      <c r="F498" s="10" t="str">
        <f t="shared" si="7"/>
        <v/>
      </c>
      <c r="G498" s="8"/>
    </row>
    <row r="499" spans="1:7" x14ac:dyDescent="0.2">
      <c r="A499" s="3" t="str">
        <f>IF($B499="","",COUNTA($B$9:$B499))</f>
        <v/>
      </c>
      <c r="B499" s="4"/>
      <c r="C499" s="4"/>
      <c r="D499" s="5"/>
      <c r="E499" s="6"/>
      <c r="F499" s="7" t="str">
        <f t="shared" si="7"/>
        <v/>
      </c>
      <c r="G499" s="8"/>
    </row>
    <row r="500" spans="1:7" x14ac:dyDescent="0.2">
      <c r="A500" s="9" t="str">
        <f>IF($B500="","",COUNTA($B$9:$B500))</f>
        <v/>
      </c>
      <c r="B500" s="4"/>
      <c r="C500" s="4"/>
      <c r="D500" s="5"/>
      <c r="E500" s="6"/>
      <c r="F500" s="10" t="str">
        <f t="shared" si="7"/>
        <v/>
      </c>
      <c r="G500" s="8"/>
    </row>
    <row r="501" spans="1:7" x14ac:dyDescent="0.2">
      <c r="A501" s="3" t="str">
        <f>IF($B501="","",COUNTA($B$9:$B501))</f>
        <v/>
      </c>
      <c r="B501" s="4"/>
      <c r="C501" s="4"/>
      <c r="D501" s="5"/>
      <c r="E501" s="6"/>
      <c r="F501" s="7" t="str">
        <f t="shared" si="7"/>
        <v/>
      </c>
      <c r="G501" s="8"/>
    </row>
    <row r="502" spans="1:7" x14ac:dyDescent="0.2">
      <c r="A502" s="9" t="str">
        <f>IF($B502="","",COUNTA($B$9:$B502))</f>
        <v/>
      </c>
      <c r="B502" s="4"/>
      <c r="C502" s="4"/>
      <c r="D502" s="5"/>
      <c r="E502" s="6"/>
      <c r="F502" s="10" t="str">
        <f t="shared" si="7"/>
        <v/>
      </c>
      <c r="G502" s="8"/>
    </row>
    <row r="503" spans="1:7" x14ac:dyDescent="0.2">
      <c r="A503" s="3" t="str">
        <f>IF($B503="","",COUNTA($B$9:$B503))</f>
        <v/>
      </c>
      <c r="B503" s="4"/>
      <c r="C503" s="4"/>
      <c r="D503" s="5"/>
      <c r="E503" s="6"/>
      <c r="F503" s="7" t="str">
        <f t="shared" si="7"/>
        <v/>
      </c>
      <c r="G503" s="8"/>
    </row>
    <row r="504" spans="1:7" x14ac:dyDescent="0.2">
      <c r="A504" s="9" t="str">
        <f>IF($B504="","",COUNTA($B$9:$B504))</f>
        <v/>
      </c>
      <c r="B504" s="4"/>
      <c r="C504" s="4"/>
      <c r="D504" s="5"/>
      <c r="E504" s="6"/>
      <c r="F504" s="10" t="str">
        <f t="shared" si="7"/>
        <v/>
      </c>
      <c r="G504" s="8"/>
    </row>
    <row r="505" spans="1:7" x14ac:dyDescent="0.2">
      <c r="A505" s="3" t="str">
        <f>IF($B505="","",COUNTA($B$9:$B505))</f>
        <v/>
      </c>
      <c r="B505" s="4"/>
      <c r="C505" s="4"/>
      <c r="D505" s="5"/>
      <c r="E505" s="6"/>
      <c r="F505" s="7" t="str">
        <f t="shared" si="7"/>
        <v/>
      </c>
      <c r="G505" s="8"/>
    </row>
    <row r="506" spans="1:7" x14ac:dyDescent="0.2">
      <c r="A506" s="9" t="str">
        <f>IF($B506="","",COUNTA($B$9:$B506))</f>
        <v/>
      </c>
      <c r="B506" s="4"/>
      <c r="C506" s="4"/>
      <c r="D506" s="5"/>
      <c r="E506" s="6"/>
      <c r="F506" s="10" t="str">
        <f t="shared" si="7"/>
        <v/>
      </c>
      <c r="G506" s="8"/>
    </row>
    <row r="507" spans="1:7" x14ac:dyDescent="0.2">
      <c r="A507" s="3" t="str">
        <f>IF($B507="","",COUNTA($B$9:$B507))</f>
        <v/>
      </c>
      <c r="B507" s="4"/>
      <c r="C507" s="4"/>
      <c r="D507" s="5"/>
      <c r="E507" s="6"/>
      <c r="F507" s="7" t="str">
        <f t="shared" si="7"/>
        <v/>
      </c>
      <c r="G507" s="8"/>
    </row>
    <row r="508" spans="1:7" x14ac:dyDescent="0.2">
      <c r="A508" s="9" t="str">
        <f>IF($B508="","",COUNTA($B$9:$B508))</f>
        <v/>
      </c>
      <c r="B508" s="4"/>
      <c r="C508" s="4"/>
      <c r="D508" s="5"/>
      <c r="E508" s="6"/>
      <c r="F508" s="10" t="str">
        <f t="shared" si="7"/>
        <v/>
      </c>
      <c r="G508" s="8"/>
    </row>
  </sheetData>
  <mergeCells count="12">
    <mergeCell ref="E6:F6"/>
    <mergeCell ref="A1:G1"/>
    <mergeCell ref="C6:D6"/>
    <mergeCell ref="A3:G3"/>
    <mergeCell ref="C5:D5"/>
    <mergeCell ref="A5:B5"/>
    <mergeCell ref="A4:G4"/>
    <mergeCell ref="E5:F5"/>
    <mergeCell ref="A2:G2"/>
    <mergeCell ref="A6:B6"/>
    <mergeCell ref="G6"/>
    <mergeCell ref="G5"/>
  </mergeCells>
  <conditionalFormatting sqref="F9:F508">
    <cfRule type="cellIs" dxfId="5" priority="1" operator="equal">
      <formula>"پاس شده"</formula>
    </cfRule>
    <cfRule type="cellIs" dxfId="4" priority="2" operator="equal">
      <formula>"پاس نشده"</formula>
    </cfRule>
  </conditionalFormatting>
  <dataValidations count="4">
    <dataValidation type="list" allowBlank="1" showInputMessage="1" errorTitle="شماره چک تعریف‌نشده" error="شماره چک در INFO ← شیت Cheques تعریف نشده است." promptTitle="شماره چک" prompt="از کشویی انتخاب کنید (منبع: INFO ← Cheques)." sqref="B9:B508">
      <formula1>ChqNosF</formula1>
    </dataValidation>
    <dataValidation type="custom" errorStyle="warning" allowBlank="1" errorTitle="قالب تاریخ" error="تاریخ چک با قالب 1405/07/10 وارد کنید (ارقام لاتین)." sqref="C9:C508">
      <formula1>OR($C9="",AND(LEN($C9)=10,MID($C9,5,1)="/",MID($C9,8,1)="/",ISNUMBER(VALUE(LEFT($C9,4))),ISNUMBER(VALUE(MID($C9,6,2))),ISNUMBER(VALUE(MID($C9,9,2)))))</formula1>
    </dataValidation>
    <dataValidation type="custom" errorStyle="warning" allowBlank="1" errorTitle="کد ناشناخته" error="کد از INFO (شیت Accounts) — C…، SL…، S…، E…، X…" sqref="E9:E508">
      <formula1>OR($E9="",COUNTIF(AcctCodesF,$E9)&gt;0)</formula1>
    </dataValidation>
    <dataValidation type="decimal" errorStyle="warning" operator="greaterThan" allowBlank="1" errorTitle="مبلغ" error="مبلغ چک باید عدد مثبت باشد" sqref="D9:D508">
      <formula1>0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صدور چک‌های پرداختی — ثبت&amp;R&amp;"Tahoma"&amp;8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pageSetUpPr fitToPage="1"/>
  </sheetPr>
  <dimension ref="A1:L516"/>
  <sheetViews>
    <sheetView showGridLines="0" rightToLeft="1" zoomScale="90" workbookViewId="0">
      <pane ySplit="14" topLeftCell="A15" activePane="bottomLeft" state="frozen"/>
      <selection pane="bottomLeft" sqref="A1:F1"/>
    </sheetView>
  </sheetViews>
  <sheetFormatPr defaultRowHeight="14.25" x14ac:dyDescent="0.2"/>
  <cols>
    <col min="1" max="1" width="5.5" customWidth="1"/>
    <col min="2" max="2" width="12" customWidth="1"/>
    <col min="3" max="3" width="14" customWidth="1"/>
    <col min="4" max="4" width="16" customWidth="1"/>
    <col min="5" max="6" width="12" customWidth="1"/>
    <col min="8" max="9" width="6" customWidth="1"/>
    <col min="10" max="10" width="5" customWidth="1"/>
    <col min="11" max="12" width="6" customWidth="1"/>
  </cols>
  <sheetData>
    <row r="1" spans="1:8" ht="26.1" customHeight="1" x14ac:dyDescent="0.2">
      <c r="A1" s="21" t="str">
        <f>IF(Sync!$J$6="","مازندشت",Sync!$J$6)&amp;" — "&amp;IF(Sync!$J$9="","سورتینگ و بسته‌بندی مرکبات",Sync!$J$9)</f>
        <v>سورتینگ و بسته‌بندی مرکبات مازندشت — سورتینگ، بسته‌بندی و بازرگانی مرکبات</v>
      </c>
      <c r="B1" s="21"/>
      <c r="C1" s="21"/>
      <c r="D1" s="21"/>
      <c r="E1" s="21"/>
      <c r="F1" s="21"/>
    </row>
    <row r="2" spans="1:8" ht="14.1" customHeight="1" x14ac:dyDescent="0.2">
      <c r="A2" s="25" t="str">
        <f>IF(Sync!$J$7="","باغدشت، بخش مرکزی، شهرستان قائم‌شهر، استان مازندران، ایران",Sync!$J$7)&amp;"     |     MAZANDASHT · CITRUS SORTING &amp; PACKING"</f>
        <v>باغدشت، بخش مرکزی، شهرستان قائم‌شهر، استان مازندران، ایران     |     MAZANDASHT · CITRUS SORTING &amp; PACKING</v>
      </c>
      <c r="B2" s="25"/>
      <c r="C2" s="25"/>
      <c r="D2" s="25"/>
      <c r="E2" s="25"/>
      <c r="F2" s="25"/>
    </row>
    <row r="3" spans="1:8" ht="24" customHeight="1" x14ac:dyDescent="0.2">
      <c r="A3" s="22" t="s">
        <v>36</v>
      </c>
      <c r="B3" s="22"/>
      <c r="C3" s="22"/>
      <c r="D3" s="22"/>
      <c r="E3" s="22"/>
      <c r="F3" s="22"/>
      <c r="H3" s="11" t="str">
        <f>IF(OR($B$5="",LEN($B$5)&lt;&gt;10),"",$B$5)</f>
        <v>1405/07/01</v>
      </c>
    </row>
    <row r="4" spans="1:8" x14ac:dyDescent="0.2">
      <c r="H4" s="11" t="str">
        <f>IF(OR($D$5="",LEN($D$5)&lt;&gt;10),"",$D$5)</f>
        <v>1405/07/31</v>
      </c>
    </row>
    <row r="5" spans="1:8" ht="20.100000000000001" customHeight="1" x14ac:dyDescent="0.2">
      <c r="A5" s="28" t="s">
        <v>37</v>
      </c>
      <c r="B5" s="12" t="s">
        <v>38</v>
      </c>
      <c r="C5" s="28" t="s">
        <v>39</v>
      </c>
      <c r="D5" s="12" t="s">
        <v>40</v>
      </c>
      <c r="E5" s="27" t="s">
        <v>41</v>
      </c>
      <c r="F5" s="27"/>
    </row>
    <row r="11" spans="1:8" ht="12.95" customHeight="1" x14ac:dyDescent="0.2">
      <c r="A11" s="23" t="s">
        <v>42</v>
      </c>
      <c r="B11" s="23"/>
      <c r="C11" s="23" t="s">
        <v>4</v>
      </c>
      <c r="D11" s="23"/>
      <c r="E11" s="23" t="s">
        <v>43</v>
      </c>
      <c r="F11" s="23"/>
    </row>
    <row r="12" spans="1:8" ht="21.95" customHeight="1" x14ac:dyDescent="0.2">
      <c r="A12" s="20">
        <f>SUM($D$17:$D$516)</f>
        <v>125000000</v>
      </c>
      <c r="B12" s="20"/>
      <c r="C12" s="20">
        <f>SUMIF($E$17:$E$516,"پاس شده",$D$17:$D$516)</f>
        <v>80000000</v>
      </c>
      <c r="D12" s="20"/>
      <c r="E12" s="20">
        <f>SUMIF($E$17:$E$516,"پاس نشده",$D$17:$D$516)</f>
        <v>45000000</v>
      </c>
      <c r="F12" s="20"/>
    </row>
    <row r="13" spans="1:8" ht="30" customHeight="1" x14ac:dyDescent="0.2">
      <c r="A13" s="1" t="s">
        <v>6</v>
      </c>
      <c r="B13" s="1" t="s">
        <v>8</v>
      </c>
      <c r="C13" s="1" t="s">
        <v>7</v>
      </c>
      <c r="D13" s="1" t="s">
        <v>9</v>
      </c>
      <c r="E13" s="1" t="s">
        <v>44</v>
      </c>
      <c r="F13" s="1" t="s">
        <v>45</v>
      </c>
    </row>
    <row r="14" spans="1:8" ht="12.95" customHeight="1" x14ac:dyDescent="0.2">
      <c r="A14" s="2" t="s">
        <v>13</v>
      </c>
      <c r="B14" s="2" t="s">
        <v>15</v>
      </c>
      <c r="C14" s="2" t="s">
        <v>14</v>
      </c>
      <c r="D14" s="2" t="s">
        <v>16</v>
      </c>
      <c r="E14" s="2" t="s">
        <v>46</v>
      </c>
      <c r="F14" s="2" t="s">
        <v>47</v>
      </c>
    </row>
    <row r="17" spans="1:12" x14ac:dyDescent="0.2">
      <c r="A17" s="3">
        <f>IF(IFERROR(MATCH(1,ChqRankL,0),0)=0,"",1)</f>
        <v>1</v>
      </c>
      <c r="B17" s="13" t="str">
        <f>IF(IFERROR(MATCH(1,ChqRankL,0),0)=0,"",INDEX(ChqNorm,IFERROR(MATCH(1,ChqRankL,0),0)))</f>
        <v>1405/07/10</v>
      </c>
      <c r="C17" s="13" t="str">
        <f>IF(IFERROR(MATCH(1,ChqRankL,0),0)=0,"",INDEX(ChqNo,IFERROR(MATCH(1,ChqRankL,0),0)))</f>
        <v>24012345</v>
      </c>
      <c r="D17" s="14">
        <f>IF(IFERROR(MATCH(1,ChqRankL,0),0)=0,"",IF(INDEX(ChqAmt,IFERROR(MATCH(1,ChqRankL,0),0))=0,"",INDEX(ChqAmt,IFERROR(MATCH(1,ChqRankL,0),0))))</f>
        <v>80000000</v>
      </c>
      <c r="E17" s="7" t="str">
        <f>IF(IFERROR(MATCH(1,ChqRankL,0),0)=0,"",INDEX(ChqStatus,IFERROR(MATCH(1,ChqRankL,0),0)))</f>
        <v>پاس شده</v>
      </c>
      <c r="F17" s="13" t="str">
        <f>IF(IFERROR(MATCH(1,ChqRankL,0),0)=0,"",IF(INDEX(ChqStatus,IFERROR(MATCH(1,ChqRankL,0),0))="پاس نشده","—",IF(INDEX(ChqClr,IFERROR(MATCH(1,ChqRankL,0),0))="","—",INDEX(ChqClr,IFERROR(MATCH(1,ChqRankL,0),0)))))</f>
        <v>1405/07/15</v>
      </c>
      <c r="I17" t="str">
        <f>IF(1&gt;NChq,"",INDEX(ChqNorm,1))</f>
        <v>1405/07/10</v>
      </c>
      <c r="J17">
        <f t="shared" ref="J17:J80" si="0">IF($I17="","",IF(AND($I17&gt;=$H$3,$I17&lt;=$H$4),1,0))</f>
        <v>1</v>
      </c>
      <c r="K17" t="str">
        <f>IF($J17=0,"",INDEX(ChqKey,1))</f>
        <v>14050710|00001</v>
      </c>
      <c r="L17">
        <f t="shared" ref="L17:L80" si="1">IF($K17="","",COUNTIFS($J$17:$J$516,1,$K$17:$K$516,"&lt;"&amp;$K17)+1)</f>
        <v>1</v>
      </c>
    </row>
    <row r="18" spans="1:12" x14ac:dyDescent="0.2">
      <c r="A18" s="9">
        <f>IF(IFERROR(MATCH(2,ChqRankL,0),0)=0,"",2)</f>
        <v>2</v>
      </c>
      <c r="B18" s="15" t="str">
        <f>IF(IFERROR(MATCH(2,ChqRankL,0),0)=0,"",INDEX(ChqNorm,IFERROR(MATCH(2,ChqRankL,0),0)))</f>
        <v>1405/07/20</v>
      </c>
      <c r="C18" s="15" t="str">
        <f>IF(IFERROR(MATCH(2,ChqRankL,0),0)=0,"",INDEX(ChqNo,IFERROR(MATCH(2,ChqRankL,0),0)))</f>
        <v>24012346</v>
      </c>
      <c r="D18" s="16">
        <f>IF(IFERROR(MATCH(2,ChqRankL,0),0)=0,"",IF(INDEX(ChqAmt,IFERROR(MATCH(2,ChqRankL,0),0))=0,"",INDEX(ChqAmt,IFERROR(MATCH(2,ChqRankL,0),0))))</f>
        <v>45000000</v>
      </c>
      <c r="E18" s="10" t="str">
        <f>IF(IFERROR(MATCH(2,ChqRankL,0),0)=0,"",INDEX(ChqStatus,IFERROR(MATCH(2,ChqRankL,0),0)))</f>
        <v>پاس نشده</v>
      </c>
      <c r="F18" s="15" t="str">
        <f>IF(IFERROR(MATCH(2,ChqRankL,0),0)=0,"",IF(INDEX(ChqStatus,IFERROR(MATCH(2,ChqRankL,0),0))="پاس نشده","—",IF(INDEX(ChqClr,IFERROR(MATCH(2,ChqRankL,0),0))="","—",INDEX(ChqClr,IFERROR(MATCH(2,ChqRankL,0),0)))))</f>
        <v>—</v>
      </c>
      <c r="I18" t="str">
        <f>IF(2&gt;NChq,"",INDEX(ChqNorm,2))</f>
        <v>1405/07/20</v>
      </c>
      <c r="J18">
        <f t="shared" si="0"/>
        <v>1</v>
      </c>
      <c r="K18" t="str">
        <f>IF($J18=0,"",INDEX(ChqKey,2))</f>
        <v>14050720|00002</v>
      </c>
      <c r="L18">
        <f t="shared" si="1"/>
        <v>2</v>
      </c>
    </row>
    <row r="19" spans="1:12" x14ac:dyDescent="0.2">
      <c r="A19" s="3" t="str">
        <f>IF(IFERROR(MATCH(3,ChqRankL,0),0)=0,"",3)</f>
        <v/>
      </c>
      <c r="B19" s="13" t="str">
        <f>IF(IFERROR(MATCH(3,ChqRankL,0),0)=0,"",INDEX(ChqNorm,IFERROR(MATCH(3,ChqRankL,0),0)))</f>
        <v/>
      </c>
      <c r="C19" s="13" t="str">
        <f>IF(IFERROR(MATCH(3,ChqRankL,0),0)=0,"",INDEX(ChqNo,IFERROR(MATCH(3,ChqRankL,0),0)))</f>
        <v/>
      </c>
      <c r="D19" s="14" t="str">
        <f>IF(IFERROR(MATCH(3,ChqRankL,0),0)=0,"",IF(INDEX(ChqAmt,IFERROR(MATCH(3,ChqRankL,0),0))=0,"",INDEX(ChqAmt,IFERROR(MATCH(3,ChqRankL,0),0))))</f>
        <v/>
      </c>
      <c r="E19" s="7" t="str">
        <f>IF(IFERROR(MATCH(3,ChqRankL,0),0)=0,"",INDEX(ChqStatus,IFERROR(MATCH(3,ChqRankL,0),0)))</f>
        <v/>
      </c>
      <c r="F19" s="13" t="str">
        <f>IF(IFERROR(MATCH(3,ChqRankL,0),0)=0,"",IF(INDEX(ChqStatus,IFERROR(MATCH(3,ChqRankL,0),0))="پاس نشده","—",IF(INDEX(ChqClr,IFERROR(MATCH(3,ChqRankL,0),0))="","—",INDEX(ChqClr,IFERROR(MATCH(3,ChqRankL,0),0)))))</f>
        <v/>
      </c>
      <c r="I19" t="str">
        <f>IF(3&gt;NChq,"",INDEX(ChqNorm,3))</f>
        <v>1405/08/02</v>
      </c>
      <c r="J19">
        <f t="shared" si="0"/>
        <v>0</v>
      </c>
      <c r="K19" t="str">
        <f>IF($J19=0,"",INDEX(ChqKey,3))</f>
        <v/>
      </c>
      <c r="L19" t="str">
        <f t="shared" si="1"/>
        <v/>
      </c>
    </row>
    <row r="20" spans="1:12" x14ac:dyDescent="0.2">
      <c r="A20" s="9" t="str">
        <f>IF(IFERROR(MATCH(4,ChqRankL,0),0)=0,"",4)</f>
        <v/>
      </c>
      <c r="B20" s="15" t="str">
        <f>IF(IFERROR(MATCH(4,ChqRankL,0),0)=0,"",INDEX(ChqNorm,IFERROR(MATCH(4,ChqRankL,0),0)))</f>
        <v/>
      </c>
      <c r="C20" s="15" t="str">
        <f>IF(IFERROR(MATCH(4,ChqRankL,0),0)=0,"",INDEX(ChqNo,IFERROR(MATCH(4,ChqRankL,0),0)))</f>
        <v/>
      </c>
      <c r="D20" s="16" t="str">
        <f>IF(IFERROR(MATCH(4,ChqRankL,0),0)=0,"",IF(INDEX(ChqAmt,IFERROR(MATCH(4,ChqRankL,0),0))=0,"",INDEX(ChqAmt,IFERROR(MATCH(4,ChqRankL,0),0))))</f>
        <v/>
      </c>
      <c r="E20" s="10" t="str">
        <f>IF(IFERROR(MATCH(4,ChqRankL,0),0)=0,"",INDEX(ChqStatus,IFERROR(MATCH(4,ChqRankL,0),0)))</f>
        <v/>
      </c>
      <c r="F20" s="15" t="str">
        <f>IF(IFERROR(MATCH(4,ChqRankL,0),0)=0,"",IF(INDEX(ChqStatus,IFERROR(MATCH(4,ChqRankL,0),0))="پاس نشده","—",IF(INDEX(ChqClr,IFERROR(MATCH(4,ChqRankL,0),0))="","—",INDEX(ChqClr,IFERROR(MATCH(4,ChqRankL,0),0)))))</f>
        <v/>
      </c>
      <c r="I20" t="str">
        <f>IF(4&gt;NChq,"",INDEX(ChqNorm,4))</f>
        <v>1405/08/05</v>
      </c>
      <c r="J20">
        <f t="shared" si="0"/>
        <v>0</v>
      </c>
      <c r="K20" t="str">
        <f>IF($J20=0,"",INDEX(ChqKey,4))</f>
        <v/>
      </c>
      <c r="L20" t="str">
        <f t="shared" si="1"/>
        <v/>
      </c>
    </row>
    <row r="21" spans="1:12" x14ac:dyDescent="0.2">
      <c r="A21" s="3" t="str">
        <f>IF(IFERROR(MATCH(5,ChqRankL,0),0)=0,"",5)</f>
        <v/>
      </c>
      <c r="B21" s="13" t="str">
        <f>IF(IFERROR(MATCH(5,ChqRankL,0),0)=0,"",INDEX(ChqNorm,IFERROR(MATCH(5,ChqRankL,0),0)))</f>
        <v/>
      </c>
      <c r="C21" s="13" t="str">
        <f>IF(IFERROR(MATCH(5,ChqRankL,0),0)=0,"",INDEX(ChqNo,IFERROR(MATCH(5,ChqRankL,0),0)))</f>
        <v/>
      </c>
      <c r="D21" s="14" t="str">
        <f>IF(IFERROR(MATCH(5,ChqRankL,0),0)=0,"",IF(INDEX(ChqAmt,IFERROR(MATCH(5,ChqRankL,0),0))=0,"",INDEX(ChqAmt,IFERROR(MATCH(5,ChqRankL,0),0))))</f>
        <v/>
      </c>
      <c r="E21" s="7" t="str">
        <f>IF(IFERROR(MATCH(5,ChqRankL,0),0)=0,"",INDEX(ChqStatus,IFERROR(MATCH(5,ChqRankL,0),0)))</f>
        <v/>
      </c>
      <c r="F21" s="13" t="str">
        <f>IF(IFERROR(MATCH(5,ChqRankL,0),0)=0,"",IF(INDEX(ChqStatus,IFERROR(MATCH(5,ChqRankL,0),0))="پاس نشده","—",IF(INDEX(ChqClr,IFERROR(MATCH(5,ChqRankL,0),0))="","—",INDEX(ChqClr,IFERROR(MATCH(5,ChqRankL,0),0)))))</f>
        <v/>
      </c>
      <c r="I21" t="str">
        <f>IF(5&gt;NChq,"",INDEX(ChqNorm,5))</f>
        <v/>
      </c>
      <c r="J21" t="str">
        <f t="shared" si="0"/>
        <v/>
      </c>
      <c r="K21" t="str">
        <f>IF($J21=0,"",INDEX(ChqKey,5))</f>
        <v/>
      </c>
      <c r="L21" t="str">
        <f t="shared" si="1"/>
        <v/>
      </c>
    </row>
    <row r="22" spans="1:12" x14ac:dyDescent="0.2">
      <c r="A22" s="9" t="str">
        <f>IF(IFERROR(MATCH(6,ChqRankL,0),0)=0,"",6)</f>
        <v/>
      </c>
      <c r="B22" s="15" t="str">
        <f>IF(IFERROR(MATCH(6,ChqRankL,0),0)=0,"",INDEX(ChqNorm,IFERROR(MATCH(6,ChqRankL,0),0)))</f>
        <v/>
      </c>
      <c r="C22" s="15" t="str">
        <f>IF(IFERROR(MATCH(6,ChqRankL,0),0)=0,"",INDEX(ChqNo,IFERROR(MATCH(6,ChqRankL,0),0)))</f>
        <v/>
      </c>
      <c r="D22" s="16" t="str">
        <f>IF(IFERROR(MATCH(6,ChqRankL,0),0)=0,"",IF(INDEX(ChqAmt,IFERROR(MATCH(6,ChqRankL,0),0))=0,"",INDEX(ChqAmt,IFERROR(MATCH(6,ChqRankL,0),0))))</f>
        <v/>
      </c>
      <c r="E22" s="10" t="str">
        <f>IF(IFERROR(MATCH(6,ChqRankL,0),0)=0,"",INDEX(ChqStatus,IFERROR(MATCH(6,ChqRankL,0),0)))</f>
        <v/>
      </c>
      <c r="F22" s="15" t="str">
        <f>IF(IFERROR(MATCH(6,ChqRankL,0),0)=0,"",IF(INDEX(ChqStatus,IFERROR(MATCH(6,ChqRankL,0),0))="پاس نشده","—",IF(INDEX(ChqClr,IFERROR(MATCH(6,ChqRankL,0),0))="","—",INDEX(ChqClr,IFERROR(MATCH(6,ChqRankL,0),0)))))</f>
        <v/>
      </c>
      <c r="I22" t="str">
        <f>IF(6&gt;NChq,"",INDEX(ChqNorm,6))</f>
        <v/>
      </c>
      <c r="J22" t="str">
        <f t="shared" si="0"/>
        <v/>
      </c>
      <c r="K22" t="str">
        <f>IF($J22=0,"",INDEX(ChqKey,6))</f>
        <v/>
      </c>
      <c r="L22" t="str">
        <f t="shared" si="1"/>
        <v/>
      </c>
    </row>
    <row r="23" spans="1:12" x14ac:dyDescent="0.2">
      <c r="A23" s="3" t="str">
        <f>IF(IFERROR(MATCH(7,ChqRankL,0),0)=0,"",7)</f>
        <v/>
      </c>
      <c r="B23" s="13" t="str">
        <f>IF(IFERROR(MATCH(7,ChqRankL,0),0)=0,"",INDEX(ChqNorm,IFERROR(MATCH(7,ChqRankL,0),0)))</f>
        <v/>
      </c>
      <c r="C23" s="13" t="str">
        <f>IF(IFERROR(MATCH(7,ChqRankL,0),0)=0,"",INDEX(ChqNo,IFERROR(MATCH(7,ChqRankL,0),0)))</f>
        <v/>
      </c>
      <c r="D23" s="14" t="str">
        <f>IF(IFERROR(MATCH(7,ChqRankL,0),0)=0,"",IF(INDEX(ChqAmt,IFERROR(MATCH(7,ChqRankL,0),0))=0,"",INDEX(ChqAmt,IFERROR(MATCH(7,ChqRankL,0),0))))</f>
        <v/>
      </c>
      <c r="E23" s="7" t="str">
        <f>IF(IFERROR(MATCH(7,ChqRankL,0),0)=0,"",INDEX(ChqStatus,IFERROR(MATCH(7,ChqRankL,0),0)))</f>
        <v/>
      </c>
      <c r="F23" s="13" t="str">
        <f>IF(IFERROR(MATCH(7,ChqRankL,0),0)=0,"",IF(INDEX(ChqStatus,IFERROR(MATCH(7,ChqRankL,0),0))="پاس نشده","—",IF(INDEX(ChqClr,IFERROR(MATCH(7,ChqRankL,0),0))="","—",INDEX(ChqClr,IFERROR(MATCH(7,ChqRankL,0),0)))))</f>
        <v/>
      </c>
      <c r="I23" t="str">
        <f>IF(7&gt;NChq,"",INDEX(ChqNorm,7))</f>
        <v/>
      </c>
      <c r="J23" t="str">
        <f t="shared" si="0"/>
        <v/>
      </c>
      <c r="K23" t="str">
        <f>IF($J23=0,"",INDEX(ChqKey,7))</f>
        <v/>
      </c>
      <c r="L23" t="str">
        <f t="shared" si="1"/>
        <v/>
      </c>
    </row>
    <row r="24" spans="1:12" x14ac:dyDescent="0.2">
      <c r="A24" s="9" t="str">
        <f>IF(IFERROR(MATCH(8,ChqRankL,0),0)=0,"",8)</f>
        <v/>
      </c>
      <c r="B24" s="15" t="str">
        <f>IF(IFERROR(MATCH(8,ChqRankL,0),0)=0,"",INDEX(ChqNorm,IFERROR(MATCH(8,ChqRankL,0),0)))</f>
        <v/>
      </c>
      <c r="C24" s="15" t="str">
        <f>IF(IFERROR(MATCH(8,ChqRankL,0),0)=0,"",INDEX(ChqNo,IFERROR(MATCH(8,ChqRankL,0),0)))</f>
        <v/>
      </c>
      <c r="D24" s="16" t="str">
        <f>IF(IFERROR(MATCH(8,ChqRankL,0),0)=0,"",IF(INDEX(ChqAmt,IFERROR(MATCH(8,ChqRankL,0),0))=0,"",INDEX(ChqAmt,IFERROR(MATCH(8,ChqRankL,0),0))))</f>
        <v/>
      </c>
      <c r="E24" s="10" t="str">
        <f>IF(IFERROR(MATCH(8,ChqRankL,0),0)=0,"",INDEX(ChqStatus,IFERROR(MATCH(8,ChqRankL,0),0)))</f>
        <v/>
      </c>
      <c r="F24" s="15" t="str">
        <f>IF(IFERROR(MATCH(8,ChqRankL,0),0)=0,"",IF(INDEX(ChqStatus,IFERROR(MATCH(8,ChqRankL,0),0))="پاس نشده","—",IF(INDEX(ChqClr,IFERROR(MATCH(8,ChqRankL,0),0))="","—",INDEX(ChqClr,IFERROR(MATCH(8,ChqRankL,0),0)))))</f>
        <v/>
      </c>
      <c r="I24" t="str">
        <f>IF(8&gt;NChq,"",INDEX(ChqNorm,8))</f>
        <v/>
      </c>
      <c r="J24" t="str">
        <f t="shared" si="0"/>
        <v/>
      </c>
      <c r="K24" t="str">
        <f>IF($J24=0,"",INDEX(ChqKey,8))</f>
        <v/>
      </c>
      <c r="L24" t="str">
        <f t="shared" si="1"/>
        <v/>
      </c>
    </row>
    <row r="25" spans="1:12" x14ac:dyDescent="0.2">
      <c r="A25" s="3" t="str">
        <f>IF(IFERROR(MATCH(9,ChqRankL,0),0)=0,"",9)</f>
        <v/>
      </c>
      <c r="B25" s="13" t="str">
        <f>IF(IFERROR(MATCH(9,ChqRankL,0),0)=0,"",INDEX(ChqNorm,IFERROR(MATCH(9,ChqRankL,0),0)))</f>
        <v/>
      </c>
      <c r="C25" s="13" t="str">
        <f>IF(IFERROR(MATCH(9,ChqRankL,0),0)=0,"",INDEX(ChqNo,IFERROR(MATCH(9,ChqRankL,0),0)))</f>
        <v/>
      </c>
      <c r="D25" s="14" t="str">
        <f>IF(IFERROR(MATCH(9,ChqRankL,0),0)=0,"",IF(INDEX(ChqAmt,IFERROR(MATCH(9,ChqRankL,0),0))=0,"",INDEX(ChqAmt,IFERROR(MATCH(9,ChqRankL,0),0))))</f>
        <v/>
      </c>
      <c r="E25" s="7" t="str">
        <f>IF(IFERROR(MATCH(9,ChqRankL,0),0)=0,"",INDEX(ChqStatus,IFERROR(MATCH(9,ChqRankL,0),0)))</f>
        <v/>
      </c>
      <c r="F25" s="13" t="str">
        <f>IF(IFERROR(MATCH(9,ChqRankL,0),0)=0,"",IF(INDEX(ChqStatus,IFERROR(MATCH(9,ChqRankL,0),0))="پاس نشده","—",IF(INDEX(ChqClr,IFERROR(MATCH(9,ChqRankL,0),0))="","—",INDEX(ChqClr,IFERROR(MATCH(9,ChqRankL,0),0)))))</f>
        <v/>
      </c>
      <c r="I25" t="str">
        <f>IF(9&gt;NChq,"",INDEX(ChqNorm,9))</f>
        <v/>
      </c>
      <c r="J25" t="str">
        <f t="shared" si="0"/>
        <v/>
      </c>
      <c r="K25" t="str">
        <f>IF($J25=0,"",INDEX(ChqKey,9))</f>
        <v/>
      </c>
      <c r="L25" t="str">
        <f t="shared" si="1"/>
        <v/>
      </c>
    </row>
    <row r="26" spans="1:12" x14ac:dyDescent="0.2">
      <c r="A26" s="9" t="str">
        <f>IF(IFERROR(MATCH(10,ChqRankL,0),0)=0,"",10)</f>
        <v/>
      </c>
      <c r="B26" s="15" t="str">
        <f>IF(IFERROR(MATCH(10,ChqRankL,0),0)=0,"",INDEX(ChqNorm,IFERROR(MATCH(10,ChqRankL,0),0)))</f>
        <v/>
      </c>
      <c r="C26" s="15" t="str">
        <f>IF(IFERROR(MATCH(10,ChqRankL,0),0)=0,"",INDEX(ChqNo,IFERROR(MATCH(10,ChqRankL,0),0)))</f>
        <v/>
      </c>
      <c r="D26" s="16" t="str">
        <f>IF(IFERROR(MATCH(10,ChqRankL,0),0)=0,"",IF(INDEX(ChqAmt,IFERROR(MATCH(10,ChqRankL,0),0))=0,"",INDEX(ChqAmt,IFERROR(MATCH(10,ChqRankL,0),0))))</f>
        <v/>
      </c>
      <c r="E26" s="10" t="str">
        <f>IF(IFERROR(MATCH(10,ChqRankL,0),0)=0,"",INDEX(ChqStatus,IFERROR(MATCH(10,ChqRankL,0),0)))</f>
        <v/>
      </c>
      <c r="F26" s="15" t="str">
        <f>IF(IFERROR(MATCH(10,ChqRankL,0),0)=0,"",IF(INDEX(ChqStatus,IFERROR(MATCH(10,ChqRankL,0),0))="پاس نشده","—",IF(INDEX(ChqClr,IFERROR(MATCH(10,ChqRankL,0),0))="","—",INDEX(ChqClr,IFERROR(MATCH(10,ChqRankL,0),0)))))</f>
        <v/>
      </c>
      <c r="I26" t="str">
        <f>IF(10&gt;NChq,"",INDEX(ChqNorm,10))</f>
        <v/>
      </c>
      <c r="J26" t="str">
        <f t="shared" si="0"/>
        <v/>
      </c>
      <c r="K26" t="str">
        <f>IF($J26=0,"",INDEX(ChqKey,10))</f>
        <v/>
      </c>
      <c r="L26" t="str">
        <f t="shared" si="1"/>
        <v/>
      </c>
    </row>
    <row r="27" spans="1:12" x14ac:dyDescent="0.2">
      <c r="A27" s="3" t="str">
        <f>IF(IFERROR(MATCH(11,ChqRankL,0),0)=0,"",11)</f>
        <v/>
      </c>
      <c r="B27" s="13" t="str">
        <f>IF(IFERROR(MATCH(11,ChqRankL,0),0)=0,"",INDEX(ChqNorm,IFERROR(MATCH(11,ChqRankL,0),0)))</f>
        <v/>
      </c>
      <c r="C27" s="13" t="str">
        <f>IF(IFERROR(MATCH(11,ChqRankL,0),0)=0,"",INDEX(ChqNo,IFERROR(MATCH(11,ChqRankL,0),0)))</f>
        <v/>
      </c>
      <c r="D27" s="14" t="str">
        <f>IF(IFERROR(MATCH(11,ChqRankL,0),0)=0,"",IF(INDEX(ChqAmt,IFERROR(MATCH(11,ChqRankL,0),0))=0,"",INDEX(ChqAmt,IFERROR(MATCH(11,ChqRankL,0),0))))</f>
        <v/>
      </c>
      <c r="E27" s="7" t="str">
        <f>IF(IFERROR(MATCH(11,ChqRankL,0),0)=0,"",INDEX(ChqStatus,IFERROR(MATCH(11,ChqRankL,0),0)))</f>
        <v/>
      </c>
      <c r="F27" s="13" t="str">
        <f>IF(IFERROR(MATCH(11,ChqRankL,0),0)=0,"",IF(INDEX(ChqStatus,IFERROR(MATCH(11,ChqRankL,0),0))="پاس نشده","—",IF(INDEX(ChqClr,IFERROR(MATCH(11,ChqRankL,0),0))="","—",INDEX(ChqClr,IFERROR(MATCH(11,ChqRankL,0),0)))))</f>
        <v/>
      </c>
      <c r="I27" t="str">
        <f>IF(11&gt;NChq,"",INDEX(ChqNorm,11))</f>
        <v/>
      </c>
      <c r="J27" t="str">
        <f t="shared" si="0"/>
        <v/>
      </c>
      <c r="K27" t="str">
        <f>IF($J27=0,"",INDEX(ChqKey,11))</f>
        <v/>
      </c>
      <c r="L27" t="str">
        <f t="shared" si="1"/>
        <v/>
      </c>
    </row>
    <row r="28" spans="1:12" x14ac:dyDescent="0.2">
      <c r="A28" s="9" t="str">
        <f>IF(IFERROR(MATCH(12,ChqRankL,0),0)=0,"",12)</f>
        <v/>
      </c>
      <c r="B28" s="15" t="str">
        <f>IF(IFERROR(MATCH(12,ChqRankL,0),0)=0,"",INDEX(ChqNorm,IFERROR(MATCH(12,ChqRankL,0),0)))</f>
        <v/>
      </c>
      <c r="C28" s="15" t="str">
        <f>IF(IFERROR(MATCH(12,ChqRankL,0),0)=0,"",INDEX(ChqNo,IFERROR(MATCH(12,ChqRankL,0),0)))</f>
        <v/>
      </c>
      <c r="D28" s="16" t="str">
        <f>IF(IFERROR(MATCH(12,ChqRankL,0),0)=0,"",IF(INDEX(ChqAmt,IFERROR(MATCH(12,ChqRankL,0),0))=0,"",INDEX(ChqAmt,IFERROR(MATCH(12,ChqRankL,0),0))))</f>
        <v/>
      </c>
      <c r="E28" s="10" t="str">
        <f>IF(IFERROR(MATCH(12,ChqRankL,0),0)=0,"",INDEX(ChqStatus,IFERROR(MATCH(12,ChqRankL,0),0)))</f>
        <v/>
      </c>
      <c r="F28" s="15" t="str">
        <f>IF(IFERROR(MATCH(12,ChqRankL,0),0)=0,"",IF(INDEX(ChqStatus,IFERROR(MATCH(12,ChqRankL,0),0))="پاس نشده","—",IF(INDEX(ChqClr,IFERROR(MATCH(12,ChqRankL,0),0))="","—",INDEX(ChqClr,IFERROR(MATCH(12,ChqRankL,0),0)))))</f>
        <v/>
      </c>
      <c r="I28" t="str">
        <f>IF(12&gt;NChq,"",INDEX(ChqNorm,12))</f>
        <v/>
      </c>
      <c r="J28" t="str">
        <f t="shared" si="0"/>
        <v/>
      </c>
      <c r="K28" t="str">
        <f>IF($J28=0,"",INDEX(ChqKey,12))</f>
        <v/>
      </c>
      <c r="L28" t="str">
        <f t="shared" si="1"/>
        <v/>
      </c>
    </row>
    <row r="29" spans="1:12" x14ac:dyDescent="0.2">
      <c r="A29" s="3" t="str">
        <f>IF(IFERROR(MATCH(13,ChqRankL,0),0)=0,"",13)</f>
        <v/>
      </c>
      <c r="B29" s="13" t="str">
        <f>IF(IFERROR(MATCH(13,ChqRankL,0),0)=0,"",INDEX(ChqNorm,IFERROR(MATCH(13,ChqRankL,0),0)))</f>
        <v/>
      </c>
      <c r="C29" s="13" t="str">
        <f>IF(IFERROR(MATCH(13,ChqRankL,0),0)=0,"",INDEX(ChqNo,IFERROR(MATCH(13,ChqRankL,0),0)))</f>
        <v/>
      </c>
      <c r="D29" s="14" t="str">
        <f>IF(IFERROR(MATCH(13,ChqRankL,0),0)=0,"",IF(INDEX(ChqAmt,IFERROR(MATCH(13,ChqRankL,0),0))=0,"",INDEX(ChqAmt,IFERROR(MATCH(13,ChqRankL,0),0))))</f>
        <v/>
      </c>
      <c r="E29" s="7" t="str">
        <f>IF(IFERROR(MATCH(13,ChqRankL,0),0)=0,"",INDEX(ChqStatus,IFERROR(MATCH(13,ChqRankL,0),0)))</f>
        <v/>
      </c>
      <c r="F29" s="13" t="str">
        <f>IF(IFERROR(MATCH(13,ChqRankL,0),0)=0,"",IF(INDEX(ChqStatus,IFERROR(MATCH(13,ChqRankL,0),0))="پاس نشده","—",IF(INDEX(ChqClr,IFERROR(MATCH(13,ChqRankL,0),0))="","—",INDEX(ChqClr,IFERROR(MATCH(13,ChqRankL,0),0)))))</f>
        <v/>
      </c>
      <c r="I29" t="str">
        <f>IF(13&gt;NChq,"",INDEX(ChqNorm,13))</f>
        <v/>
      </c>
      <c r="J29" t="str">
        <f t="shared" si="0"/>
        <v/>
      </c>
      <c r="K29" t="str">
        <f>IF($J29=0,"",INDEX(ChqKey,13))</f>
        <v/>
      </c>
      <c r="L29" t="str">
        <f t="shared" si="1"/>
        <v/>
      </c>
    </row>
    <row r="30" spans="1:12" x14ac:dyDescent="0.2">
      <c r="A30" s="9" t="str">
        <f>IF(IFERROR(MATCH(14,ChqRankL,0),0)=0,"",14)</f>
        <v/>
      </c>
      <c r="B30" s="15" t="str">
        <f>IF(IFERROR(MATCH(14,ChqRankL,0),0)=0,"",INDEX(ChqNorm,IFERROR(MATCH(14,ChqRankL,0),0)))</f>
        <v/>
      </c>
      <c r="C30" s="15" t="str">
        <f>IF(IFERROR(MATCH(14,ChqRankL,0),0)=0,"",INDEX(ChqNo,IFERROR(MATCH(14,ChqRankL,0),0)))</f>
        <v/>
      </c>
      <c r="D30" s="16" t="str">
        <f>IF(IFERROR(MATCH(14,ChqRankL,0),0)=0,"",IF(INDEX(ChqAmt,IFERROR(MATCH(14,ChqRankL,0),0))=0,"",INDEX(ChqAmt,IFERROR(MATCH(14,ChqRankL,0),0))))</f>
        <v/>
      </c>
      <c r="E30" s="10" t="str">
        <f>IF(IFERROR(MATCH(14,ChqRankL,0),0)=0,"",INDEX(ChqStatus,IFERROR(MATCH(14,ChqRankL,0),0)))</f>
        <v/>
      </c>
      <c r="F30" s="15" t="str">
        <f>IF(IFERROR(MATCH(14,ChqRankL,0),0)=0,"",IF(INDEX(ChqStatus,IFERROR(MATCH(14,ChqRankL,0),0))="پاس نشده","—",IF(INDEX(ChqClr,IFERROR(MATCH(14,ChqRankL,0),0))="","—",INDEX(ChqClr,IFERROR(MATCH(14,ChqRankL,0),0)))))</f>
        <v/>
      </c>
      <c r="I30" t="str">
        <f>IF(14&gt;NChq,"",INDEX(ChqNorm,14))</f>
        <v/>
      </c>
      <c r="J30" t="str">
        <f t="shared" si="0"/>
        <v/>
      </c>
      <c r="K30" t="str">
        <f>IF($J30=0,"",INDEX(ChqKey,14))</f>
        <v/>
      </c>
      <c r="L30" t="str">
        <f t="shared" si="1"/>
        <v/>
      </c>
    </row>
    <row r="31" spans="1:12" x14ac:dyDescent="0.2">
      <c r="A31" s="3" t="str">
        <f>IF(IFERROR(MATCH(15,ChqRankL,0),0)=0,"",15)</f>
        <v/>
      </c>
      <c r="B31" s="13" t="str">
        <f>IF(IFERROR(MATCH(15,ChqRankL,0),0)=0,"",INDEX(ChqNorm,IFERROR(MATCH(15,ChqRankL,0),0)))</f>
        <v/>
      </c>
      <c r="C31" s="13" t="str">
        <f>IF(IFERROR(MATCH(15,ChqRankL,0),0)=0,"",INDEX(ChqNo,IFERROR(MATCH(15,ChqRankL,0),0)))</f>
        <v/>
      </c>
      <c r="D31" s="14" t="str">
        <f>IF(IFERROR(MATCH(15,ChqRankL,0),0)=0,"",IF(INDEX(ChqAmt,IFERROR(MATCH(15,ChqRankL,0),0))=0,"",INDEX(ChqAmt,IFERROR(MATCH(15,ChqRankL,0),0))))</f>
        <v/>
      </c>
      <c r="E31" s="7" t="str">
        <f>IF(IFERROR(MATCH(15,ChqRankL,0),0)=0,"",INDEX(ChqStatus,IFERROR(MATCH(15,ChqRankL,0),0)))</f>
        <v/>
      </c>
      <c r="F31" s="13" t="str">
        <f>IF(IFERROR(MATCH(15,ChqRankL,0),0)=0,"",IF(INDEX(ChqStatus,IFERROR(MATCH(15,ChqRankL,0),0))="پاس نشده","—",IF(INDEX(ChqClr,IFERROR(MATCH(15,ChqRankL,0),0))="","—",INDEX(ChqClr,IFERROR(MATCH(15,ChqRankL,0),0)))))</f>
        <v/>
      </c>
      <c r="I31" t="str">
        <f>IF(15&gt;NChq,"",INDEX(ChqNorm,15))</f>
        <v/>
      </c>
      <c r="J31" t="str">
        <f t="shared" si="0"/>
        <v/>
      </c>
      <c r="K31" t="str">
        <f>IF($J31=0,"",INDEX(ChqKey,15))</f>
        <v/>
      </c>
      <c r="L31" t="str">
        <f t="shared" si="1"/>
        <v/>
      </c>
    </row>
    <row r="32" spans="1:12" x14ac:dyDescent="0.2">
      <c r="A32" s="9" t="str">
        <f>IF(IFERROR(MATCH(16,ChqRankL,0),0)=0,"",16)</f>
        <v/>
      </c>
      <c r="B32" s="15" t="str">
        <f>IF(IFERROR(MATCH(16,ChqRankL,0),0)=0,"",INDEX(ChqNorm,IFERROR(MATCH(16,ChqRankL,0),0)))</f>
        <v/>
      </c>
      <c r="C32" s="15" t="str">
        <f>IF(IFERROR(MATCH(16,ChqRankL,0),0)=0,"",INDEX(ChqNo,IFERROR(MATCH(16,ChqRankL,0),0)))</f>
        <v/>
      </c>
      <c r="D32" s="16" t="str">
        <f>IF(IFERROR(MATCH(16,ChqRankL,0),0)=0,"",IF(INDEX(ChqAmt,IFERROR(MATCH(16,ChqRankL,0),0))=0,"",INDEX(ChqAmt,IFERROR(MATCH(16,ChqRankL,0),0))))</f>
        <v/>
      </c>
      <c r="E32" s="10" t="str">
        <f>IF(IFERROR(MATCH(16,ChqRankL,0),0)=0,"",INDEX(ChqStatus,IFERROR(MATCH(16,ChqRankL,0),0)))</f>
        <v/>
      </c>
      <c r="F32" s="15" t="str">
        <f>IF(IFERROR(MATCH(16,ChqRankL,0),0)=0,"",IF(INDEX(ChqStatus,IFERROR(MATCH(16,ChqRankL,0),0))="پاس نشده","—",IF(INDEX(ChqClr,IFERROR(MATCH(16,ChqRankL,0),0))="","—",INDEX(ChqClr,IFERROR(MATCH(16,ChqRankL,0),0)))))</f>
        <v/>
      </c>
      <c r="I32" t="str">
        <f>IF(16&gt;NChq,"",INDEX(ChqNorm,16))</f>
        <v/>
      </c>
      <c r="J32" t="str">
        <f t="shared" si="0"/>
        <v/>
      </c>
      <c r="K32" t="str">
        <f>IF($J32=0,"",INDEX(ChqKey,16))</f>
        <v/>
      </c>
      <c r="L32" t="str">
        <f t="shared" si="1"/>
        <v/>
      </c>
    </row>
    <row r="33" spans="1:12" x14ac:dyDescent="0.2">
      <c r="A33" s="3" t="str">
        <f>IF(IFERROR(MATCH(17,ChqRankL,0),0)=0,"",17)</f>
        <v/>
      </c>
      <c r="B33" s="13" t="str">
        <f>IF(IFERROR(MATCH(17,ChqRankL,0),0)=0,"",INDEX(ChqNorm,IFERROR(MATCH(17,ChqRankL,0),0)))</f>
        <v/>
      </c>
      <c r="C33" s="13" t="str">
        <f>IF(IFERROR(MATCH(17,ChqRankL,0),0)=0,"",INDEX(ChqNo,IFERROR(MATCH(17,ChqRankL,0),0)))</f>
        <v/>
      </c>
      <c r="D33" s="14" t="str">
        <f>IF(IFERROR(MATCH(17,ChqRankL,0),0)=0,"",IF(INDEX(ChqAmt,IFERROR(MATCH(17,ChqRankL,0),0))=0,"",INDEX(ChqAmt,IFERROR(MATCH(17,ChqRankL,0),0))))</f>
        <v/>
      </c>
      <c r="E33" s="7" t="str">
        <f>IF(IFERROR(MATCH(17,ChqRankL,0),0)=0,"",INDEX(ChqStatus,IFERROR(MATCH(17,ChqRankL,0),0)))</f>
        <v/>
      </c>
      <c r="F33" s="13" t="str">
        <f>IF(IFERROR(MATCH(17,ChqRankL,0),0)=0,"",IF(INDEX(ChqStatus,IFERROR(MATCH(17,ChqRankL,0),0))="پاس نشده","—",IF(INDEX(ChqClr,IFERROR(MATCH(17,ChqRankL,0),0))="","—",INDEX(ChqClr,IFERROR(MATCH(17,ChqRankL,0),0)))))</f>
        <v/>
      </c>
      <c r="I33" t="str">
        <f>IF(17&gt;NChq,"",INDEX(ChqNorm,17))</f>
        <v/>
      </c>
      <c r="J33" t="str">
        <f t="shared" si="0"/>
        <v/>
      </c>
      <c r="K33" t="str">
        <f>IF($J33=0,"",INDEX(ChqKey,17))</f>
        <v/>
      </c>
      <c r="L33" t="str">
        <f t="shared" si="1"/>
        <v/>
      </c>
    </row>
    <row r="34" spans="1:12" x14ac:dyDescent="0.2">
      <c r="A34" s="9" t="str">
        <f>IF(IFERROR(MATCH(18,ChqRankL,0),0)=0,"",18)</f>
        <v/>
      </c>
      <c r="B34" s="15" t="str">
        <f>IF(IFERROR(MATCH(18,ChqRankL,0),0)=0,"",INDEX(ChqNorm,IFERROR(MATCH(18,ChqRankL,0),0)))</f>
        <v/>
      </c>
      <c r="C34" s="15" t="str">
        <f>IF(IFERROR(MATCH(18,ChqRankL,0),0)=0,"",INDEX(ChqNo,IFERROR(MATCH(18,ChqRankL,0),0)))</f>
        <v/>
      </c>
      <c r="D34" s="16" t="str">
        <f>IF(IFERROR(MATCH(18,ChqRankL,0),0)=0,"",IF(INDEX(ChqAmt,IFERROR(MATCH(18,ChqRankL,0),0))=0,"",INDEX(ChqAmt,IFERROR(MATCH(18,ChqRankL,0),0))))</f>
        <v/>
      </c>
      <c r="E34" s="10" t="str">
        <f>IF(IFERROR(MATCH(18,ChqRankL,0),0)=0,"",INDEX(ChqStatus,IFERROR(MATCH(18,ChqRankL,0),0)))</f>
        <v/>
      </c>
      <c r="F34" s="15" t="str">
        <f>IF(IFERROR(MATCH(18,ChqRankL,0),0)=0,"",IF(INDEX(ChqStatus,IFERROR(MATCH(18,ChqRankL,0),0))="پاس نشده","—",IF(INDEX(ChqClr,IFERROR(MATCH(18,ChqRankL,0),0))="","—",INDEX(ChqClr,IFERROR(MATCH(18,ChqRankL,0),0)))))</f>
        <v/>
      </c>
      <c r="I34" t="str">
        <f>IF(18&gt;NChq,"",INDEX(ChqNorm,18))</f>
        <v/>
      </c>
      <c r="J34" t="str">
        <f t="shared" si="0"/>
        <v/>
      </c>
      <c r="K34" t="str">
        <f>IF($J34=0,"",INDEX(ChqKey,18))</f>
        <v/>
      </c>
      <c r="L34" t="str">
        <f t="shared" si="1"/>
        <v/>
      </c>
    </row>
    <row r="35" spans="1:12" x14ac:dyDescent="0.2">
      <c r="A35" s="3" t="str">
        <f>IF(IFERROR(MATCH(19,ChqRankL,0),0)=0,"",19)</f>
        <v/>
      </c>
      <c r="B35" s="13" t="str">
        <f>IF(IFERROR(MATCH(19,ChqRankL,0),0)=0,"",INDEX(ChqNorm,IFERROR(MATCH(19,ChqRankL,0),0)))</f>
        <v/>
      </c>
      <c r="C35" s="13" t="str">
        <f>IF(IFERROR(MATCH(19,ChqRankL,0),0)=0,"",INDEX(ChqNo,IFERROR(MATCH(19,ChqRankL,0),0)))</f>
        <v/>
      </c>
      <c r="D35" s="14" t="str">
        <f>IF(IFERROR(MATCH(19,ChqRankL,0),0)=0,"",IF(INDEX(ChqAmt,IFERROR(MATCH(19,ChqRankL,0),0))=0,"",INDEX(ChqAmt,IFERROR(MATCH(19,ChqRankL,0),0))))</f>
        <v/>
      </c>
      <c r="E35" s="7" t="str">
        <f>IF(IFERROR(MATCH(19,ChqRankL,0),0)=0,"",INDEX(ChqStatus,IFERROR(MATCH(19,ChqRankL,0),0)))</f>
        <v/>
      </c>
      <c r="F35" s="13" t="str">
        <f>IF(IFERROR(MATCH(19,ChqRankL,0),0)=0,"",IF(INDEX(ChqStatus,IFERROR(MATCH(19,ChqRankL,0),0))="پاس نشده","—",IF(INDEX(ChqClr,IFERROR(MATCH(19,ChqRankL,0),0))="","—",INDEX(ChqClr,IFERROR(MATCH(19,ChqRankL,0),0)))))</f>
        <v/>
      </c>
      <c r="I35" t="str">
        <f>IF(19&gt;NChq,"",INDEX(ChqNorm,19))</f>
        <v/>
      </c>
      <c r="J35" t="str">
        <f t="shared" si="0"/>
        <v/>
      </c>
      <c r="K35" t="str">
        <f>IF($J35=0,"",INDEX(ChqKey,19))</f>
        <v/>
      </c>
      <c r="L35" t="str">
        <f t="shared" si="1"/>
        <v/>
      </c>
    </row>
    <row r="36" spans="1:12" x14ac:dyDescent="0.2">
      <c r="A36" s="9" t="str">
        <f>IF(IFERROR(MATCH(20,ChqRankL,0),0)=0,"",20)</f>
        <v/>
      </c>
      <c r="B36" s="15" t="str">
        <f>IF(IFERROR(MATCH(20,ChqRankL,0),0)=0,"",INDEX(ChqNorm,IFERROR(MATCH(20,ChqRankL,0),0)))</f>
        <v/>
      </c>
      <c r="C36" s="15" t="str">
        <f>IF(IFERROR(MATCH(20,ChqRankL,0),0)=0,"",INDEX(ChqNo,IFERROR(MATCH(20,ChqRankL,0),0)))</f>
        <v/>
      </c>
      <c r="D36" s="16" t="str">
        <f>IF(IFERROR(MATCH(20,ChqRankL,0),0)=0,"",IF(INDEX(ChqAmt,IFERROR(MATCH(20,ChqRankL,0),0))=0,"",INDEX(ChqAmt,IFERROR(MATCH(20,ChqRankL,0),0))))</f>
        <v/>
      </c>
      <c r="E36" s="10" t="str">
        <f>IF(IFERROR(MATCH(20,ChqRankL,0),0)=0,"",INDEX(ChqStatus,IFERROR(MATCH(20,ChqRankL,0),0)))</f>
        <v/>
      </c>
      <c r="F36" s="15" t="str">
        <f>IF(IFERROR(MATCH(20,ChqRankL,0),0)=0,"",IF(INDEX(ChqStatus,IFERROR(MATCH(20,ChqRankL,0),0))="پاس نشده","—",IF(INDEX(ChqClr,IFERROR(MATCH(20,ChqRankL,0),0))="","—",INDEX(ChqClr,IFERROR(MATCH(20,ChqRankL,0),0)))))</f>
        <v/>
      </c>
      <c r="I36" t="str">
        <f>IF(20&gt;NChq,"",INDEX(ChqNorm,20))</f>
        <v/>
      </c>
      <c r="J36" t="str">
        <f t="shared" si="0"/>
        <v/>
      </c>
      <c r="K36" t="str">
        <f>IF($J36=0,"",INDEX(ChqKey,20))</f>
        <v/>
      </c>
      <c r="L36" t="str">
        <f t="shared" si="1"/>
        <v/>
      </c>
    </row>
    <row r="37" spans="1:12" x14ac:dyDescent="0.2">
      <c r="A37" s="3" t="str">
        <f>IF(IFERROR(MATCH(21,ChqRankL,0),0)=0,"",21)</f>
        <v/>
      </c>
      <c r="B37" s="13" t="str">
        <f>IF(IFERROR(MATCH(21,ChqRankL,0),0)=0,"",INDEX(ChqNorm,IFERROR(MATCH(21,ChqRankL,0),0)))</f>
        <v/>
      </c>
      <c r="C37" s="13" t="str">
        <f>IF(IFERROR(MATCH(21,ChqRankL,0),0)=0,"",INDEX(ChqNo,IFERROR(MATCH(21,ChqRankL,0),0)))</f>
        <v/>
      </c>
      <c r="D37" s="14" t="str">
        <f>IF(IFERROR(MATCH(21,ChqRankL,0),0)=0,"",IF(INDEX(ChqAmt,IFERROR(MATCH(21,ChqRankL,0),0))=0,"",INDEX(ChqAmt,IFERROR(MATCH(21,ChqRankL,0),0))))</f>
        <v/>
      </c>
      <c r="E37" s="7" t="str">
        <f>IF(IFERROR(MATCH(21,ChqRankL,0),0)=0,"",INDEX(ChqStatus,IFERROR(MATCH(21,ChqRankL,0),0)))</f>
        <v/>
      </c>
      <c r="F37" s="13" t="str">
        <f>IF(IFERROR(MATCH(21,ChqRankL,0),0)=0,"",IF(INDEX(ChqStatus,IFERROR(MATCH(21,ChqRankL,0),0))="پاس نشده","—",IF(INDEX(ChqClr,IFERROR(MATCH(21,ChqRankL,0),0))="","—",INDEX(ChqClr,IFERROR(MATCH(21,ChqRankL,0),0)))))</f>
        <v/>
      </c>
      <c r="I37" t="str">
        <f>IF(21&gt;NChq,"",INDEX(ChqNorm,21))</f>
        <v/>
      </c>
      <c r="J37" t="str">
        <f t="shared" si="0"/>
        <v/>
      </c>
      <c r="K37" t="str">
        <f>IF($J37=0,"",INDEX(ChqKey,21))</f>
        <v/>
      </c>
      <c r="L37" t="str">
        <f t="shared" si="1"/>
        <v/>
      </c>
    </row>
    <row r="38" spans="1:12" x14ac:dyDescent="0.2">
      <c r="A38" s="9" t="str">
        <f>IF(IFERROR(MATCH(22,ChqRankL,0),0)=0,"",22)</f>
        <v/>
      </c>
      <c r="B38" s="15" t="str">
        <f>IF(IFERROR(MATCH(22,ChqRankL,0),0)=0,"",INDEX(ChqNorm,IFERROR(MATCH(22,ChqRankL,0),0)))</f>
        <v/>
      </c>
      <c r="C38" s="15" t="str">
        <f>IF(IFERROR(MATCH(22,ChqRankL,0),0)=0,"",INDEX(ChqNo,IFERROR(MATCH(22,ChqRankL,0),0)))</f>
        <v/>
      </c>
      <c r="D38" s="16" t="str">
        <f>IF(IFERROR(MATCH(22,ChqRankL,0),0)=0,"",IF(INDEX(ChqAmt,IFERROR(MATCH(22,ChqRankL,0),0))=0,"",INDEX(ChqAmt,IFERROR(MATCH(22,ChqRankL,0),0))))</f>
        <v/>
      </c>
      <c r="E38" s="10" t="str">
        <f>IF(IFERROR(MATCH(22,ChqRankL,0),0)=0,"",INDEX(ChqStatus,IFERROR(MATCH(22,ChqRankL,0),0)))</f>
        <v/>
      </c>
      <c r="F38" s="15" t="str">
        <f>IF(IFERROR(MATCH(22,ChqRankL,0),0)=0,"",IF(INDEX(ChqStatus,IFERROR(MATCH(22,ChqRankL,0),0))="پاس نشده","—",IF(INDEX(ChqClr,IFERROR(MATCH(22,ChqRankL,0),0))="","—",INDEX(ChqClr,IFERROR(MATCH(22,ChqRankL,0),0)))))</f>
        <v/>
      </c>
      <c r="I38" t="str">
        <f>IF(22&gt;NChq,"",INDEX(ChqNorm,22))</f>
        <v/>
      </c>
      <c r="J38" t="str">
        <f t="shared" si="0"/>
        <v/>
      </c>
      <c r="K38" t="str">
        <f>IF($J38=0,"",INDEX(ChqKey,22))</f>
        <v/>
      </c>
      <c r="L38" t="str">
        <f t="shared" si="1"/>
        <v/>
      </c>
    </row>
    <row r="39" spans="1:12" x14ac:dyDescent="0.2">
      <c r="A39" s="3" t="str">
        <f>IF(IFERROR(MATCH(23,ChqRankL,0),0)=0,"",23)</f>
        <v/>
      </c>
      <c r="B39" s="13" t="str">
        <f>IF(IFERROR(MATCH(23,ChqRankL,0),0)=0,"",INDEX(ChqNorm,IFERROR(MATCH(23,ChqRankL,0),0)))</f>
        <v/>
      </c>
      <c r="C39" s="13" t="str">
        <f>IF(IFERROR(MATCH(23,ChqRankL,0),0)=0,"",INDEX(ChqNo,IFERROR(MATCH(23,ChqRankL,0),0)))</f>
        <v/>
      </c>
      <c r="D39" s="14" t="str">
        <f>IF(IFERROR(MATCH(23,ChqRankL,0),0)=0,"",IF(INDEX(ChqAmt,IFERROR(MATCH(23,ChqRankL,0),0))=0,"",INDEX(ChqAmt,IFERROR(MATCH(23,ChqRankL,0),0))))</f>
        <v/>
      </c>
      <c r="E39" s="7" t="str">
        <f>IF(IFERROR(MATCH(23,ChqRankL,0),0)=0,"",INDEX(ChqStatus,IFERROR(MATCH(23,ChqRankL,0),0)))</f>
        <v/>
      </c>
      <c r="F39" s="13" t="str">
        <f>IF(IFERROR(MATCH(23,ChqRankL,0),0)=0,"",IF(INDEX(ChqStatus,IFERROR(MATCH(23,ChqRankL,0),0))="پاس نشده","—",IF(INDEX(ChqClr,IFERROR(MATCH(23,ChqRankL,0),0))="","—",INDEX(ChqClr,IFERROR(MATCH(23,ChqRankL,0),0)))))</f>
        <v/>
      </c>
      <c r="I39" t="str">
        <f>IF(23&gt;NChq,"",INDEX(ChqNorm,23))</f>
        <v/>
      </c>
      <c r="J39" t="str">
        <f t="shared" si="0"/>
        <v/>
      </c>
      <c r="K39" t="str">
        <f>IF($J39=0,"",INDEX(ChqKey,23))</f>
        <v/>
      </c>
      <c r="L39" t="str">
        <f t="shared" si="1"/>
        <v/>
      </c>
    </row>
    <row r="40" spans="1:12" x14ac:dyDescent="0.2">
      <c r="A40" s="9" t="str">
        <f>IF(IFERROR(MATCH(24,ChqRankL,0),0)=0,"",24)</f>
        <v/>
      </c>
      <c r="B40" s="15" t="str">
        <f>IF(IFERROR(MATCH(24,ChqRankL,0),0)=0,"",INDEX(ChqNorm,IFERROR(MATCH(24,ChqRankL,0),0)))</f>
        <v/>
      </c>
      <c r="C40" s="15" t="str">
        <f>IF(IFERROR(MATCH(24,ChqRankL,0),0)=0,"",INDEX(ChqNo,IFERROR(MATCH(24,ChqRankL,0),0)))</f>
        <v/>
      </c>
      <c r="D40" s="16" t="str">
        <f>IF(IFERROR(MATCH(24,ChqRankL,0),0)=0,"",IF(INDEX(ChqAmt,IFERROR(MATCH(24,ChqRankL,0),0))=0,"",INDEX(ChqAmt,IFERROR(MATCH(24,ChqRankL,0),0))))</f>
        <v/>
      </c>
      <c r="E40" s="10" t="str">
        <f>IF(IFERROR(MATCH(24,ChqRankL,0),0)=0,"",INDEX(ChqStatus,IFERROR(MATCH(24,ChqRankL,0),0)))</f>
        <v/>
      </c>
      <c r="F40" s="15" t="str">
        <f>IF(IFERROR(MATCH(24,ChqRankL,0),0)=0,"",IF(INDEX(ChqStatus,IFERROR(MATCH(24,ChqRankL,0),0))="پاس نشده","—",IF(INDEX(ChqClr,IFERROR(MATCH(24,ChqRankL,0),0))="","—",INDEX(ChqClr,IFERROR(MATCH(24,ChqRankL,0),0)))))</f>
        <v/>
      </c>
      <c r="I40" t="str">
        <f>IF(24&gt;NChq,"",INDEX(ChqNorm,24))</f>
        <v/>
      </c>
      <c r="J40" t="str">
        <f t="shared" si="0"/>
        <v/>
      </c>
      <c r="K40" t="str">
        <f>IF($J40=0,"",INDEX(ChqKey,24))</f>
        <v/>
      </c>
      <c r="L40" t="str">
        <f t="shared" si="1"/>
        <v/>
      </c>
    </row>
    <row r="41" spans="1:12" x14ac:dyDescent="0.2">
      <c r="A41" s="3" t="str">
        <f>IF(IFERROR(MATCH(25,ChqRankL,0),0)=0,"",25)</f>
        <v/>
      </c>
      <c r="B41" s="13" t="str">
        <f>IF(IFERROR(MATCH(25,ChqRankL,0),0)=0,"",INDEX(ChqNorm,IFERROR(MATCH(25,ChqRankL,0),0)))</f>
        <v/>
      </c>
      <c r="C41" s="13" t="str">
        <f>IF(IFERROR(MATCH(25,ChqRankL,0),0)=0,"",INDEX(ChqNo,IFERROR(MATCH(25,ChqRankL,0),0)))</f>
        <v/>
      </c>
      <c r="D41" s="14" t="str">
        <f>IF(IFERROR(MATCH(25,ChqRankL,0),0)=0,"",IF(INDEX(ChqAmt,IFERROR(MATCH(25,ChqRankL,0),0))=0,"",INDEX(ChqAmt,IFERROR(MATCH(25,ChqRankL,0),0))))</f>
        <v/>
      </c>
      <c r="E41" s="7" t="str">
        <f>IF(IFERROR(MATCH(25,ChqRankL,0),0)=0,"",INDEX(ChqStatus,IFERROR(MATCH(25,ChqRankL,0),0)))</f>
        <v/>
      </c>
      <c r="F41" s="13" t="str">
        <f>IF(IFERROR(MATCH(25,ChqRankL,0),0)=0,"",IF(INDEX(ChqStatus,IFERROR(MATCH(25,ChqRankL,0),0))="پاس نشده","—",IF(INDEX(ChqClr,IFERROR(MATCH(25,ChqRankL,0),0))="","—",INDEX(ChqClr,IFERROR(MATCH(25,ChqRankL,0),0)))))</f>
        <v/>
      </c>
      <c r="I41" t="str">
        <f>IF(25&gt;NChq,"",INDEX(ChqNorm,25))</f>
        <v/>
      </c>
      <c r="J41" t="str">
        <f t="shared" si="0"/>
        <v/>
      </c>
      <c r="K41" t="str">
        <f>IF($J41=0,"",INDEX(ChqKey,25))</f>
        <v/>
      </c>
      <c r="L41" t="str">
        <f t="shared" si="1"/>
        <v/>
      </c>
    </row>
    <row r="42" spans="1:12" x14ac:dyDescent="0.2">
      <c r="A42" s="9" t="str">
        <f>IF(IFERROR(MATCH(26,ChqRankL,0),0)=0,"",26)</f>
        <v/>
      </c>
      <c r="B42" s="15" t="str">
        <f>IF(IFERROR(MATCH(26,ChqRankL,0),0)=0,"",INDEX(ChqNorm,IFERROR(MATCH(26,ChqRankL,0),0)))</f>
        <v/>
      </c>
      <c r="C42" s="15" t="str">
        <f>IF(IFERROR(MATCH(26,ChqRankL,0),0)=0,"",INDEX(ChqNo,IFERROR(MATCH(26,ChqRankL,0),0)))</f>
        <v/>
      </c>
      <c r="D42" s="16" t="str">
        <f>IF(IFERROR(MATCH(26,ChqRankL,0),0)=0,"",IF(INDEX(ChqAmt,IFERROR(MATCH(26,ChqRankL,0),0))=0,"",INDEX(ChqAmt,IFERROR(MATCH(26,ChqRankL,0),0))))</f>
        <v/>
      </c>
      <c r="E42" s="10" t="str">
        <f>IF(IFERROR(MATCH(26,ChqRankL,0),0)=0,"",INDEX(ChqStatus,IFERROR(MATCH(26,ChqRankL,0),0)))</f>
        <v/>
      </c>
      <c r="F42" s="15" t="str">
        <f>IF(IFERROR(MATCH(26,ChqRankL,0),0)=0,"",IF(INDEX(ChqStatus,IFERROR(MATCH(26,ChqRankL,0),0))="پاس نشده","—",IF(INDEX(ChqClr,IFERROR(MATCH(26,ChqRankL,0),0))="","—",INDEX(ChqClr,IFERROR(MATCH(26,ChqRankL,0),0)))))</f>
        <v/>
      </c>
      <c r="I42" t="str">
        <f>IF(26&gt;NChq,"",INDEX(ChqNorm,26))</f>
        <v/>
      </c>
      <c r="J42" t="str">
        <f t="shared" si="0"/>
        <v/>
      </c>
      <c r="K42" t="str">
        <f>IF($J42=0,"",INDEX(ChqKey,26))</f>
        <v/>
      </c>
      <c r="L42" t="str">
        <f t="shared" si="1"/>
        <v/>
      </c>
    </row>
    <row r="43" spans="1:12" x14ac:dyDescent="0.2">
      <c r="A43" s="3" t="str">
        <f>IF(IFERROR(MATCH(27,ChqRankL,0),0)=0,"",27)</f>
        <v/>
      </c>
      <c r="B43" s="13" t="str">
        <f>IF(IFERROR(MATCH(27,ChqRankL,0),0)=0,"",INDEX(ChqNorm,IFERROR(MATCH(27,ChqRankL,0),0)))</f>
        <v/>
      </c>
      <c r="C43" s="13" t="str">
        <f>IF(IFERROR(MATCH(27,ChqRankL,0),0)=0,"",INDEX(ChqNo,IFERROR(MATCH(27,ChqRankL,0),0)))</f>
        <v/>
      </c>
      <c r="D43" s="14" t="str">
        <f>IF(IFERROR(MATCH(27,ChqRankL,0),0)=0,"",IF(INDEX(ChqAmt,IFERROR(MATCH(27,ChqRankL,0),0))=0,"",INDEX(ChqAmt,IFERROR(MATCH(27,ChqRankL,0),0))))</f>
        <v/>
      </c>
      <c r="E43" s="7" t="str">
        <f>IF(IFERROR(MATCH(27,ChqRankL,0),0)=0,"",INDEX(ChqStatus,IFERROR(MATCH(27,ChqRankL,0),0)))</f>
        <v/>
      </c>
      <c r="F43" s="13" t="str">
        <f>IF(IFERROR(MATCH(27,ChqRankL,0),0)=0,"",IF(INDEX(ChqStatus,IFERROR(MATCH(27,ChqRankL,0),0))="پاس نشده","—",IF(INDEX(ChqClr,IFERROR(MATCH(27,ChqRankL,0),0))="","—",INDEX(ChqClr,IFERROR(MATCH(27,ChqRankL,0),0)))))</f>
        <v/>
      </c>
      <c r="I43" t="str">
        <f>IF(27&gt;NChq,"",INDEX(ChqNorm,27))</f>
        <v/>
      </c>
      <c r="J43" t="str">
        <f t="shared" si="0"/>
        <v/>
      </c>
      <c r="K43" t="str">
        <f>IF($J43=0,"",INDEX(ChqKey,27))</f>
        <v/>
      </c>
      <c r="L43" t="str">
        <f t="shared" si="1"/>
        <v/>
      </c>
    </row>
    <row r="44" spans="1:12" x14ac:dyDescent="0.2">
      <c r="A44" s="9" t="str">
        <f>IF(IFERROR(MATCH(28,ChqRankL,0),0)=0,"",28)</f>
        <v/>
      </c>
      <c r="B44" s="15" t="str">
        <f>IF(IFERROR(MATCH(28,ChqRankL,0),0)=0,"",INDEX(ChqNorm,IFERROR(MATCH(28,ChqRankL,0),0)))</f>
        <v/>
      </c>
      <c r="C44" s="15" t="str">
        <f>IF(IFERROR(MATCH(28,ChqRankL,0),0)=0,"",INDEX(ChqNo,IFERROR(MATCH(28,ChqRankL,0),0)))</f>
        <v/>
      </c>
      <c r="D44" s="16" t="str">
        <f>IF(IFERROR(MATCH(28,ChqRankL,0),0)=0,"",IF(INDEX(ChqAmt,IFERROR(MATCH(28,ChqRankL,0),0))=0,"",INDEX(ChqAmt,IFERROR(MATCH(28,ChqRankL,0),0))))</f>
        <v/>
      </c>
      <c r="E44" s="10" t="str">
        <f>IF(IFERROR(MATCH(28,ChqRankL,0),0)=0,"",INDEX(ChqStatus,IFERROR(MATCH(28,ChqRankL,0),0)))</f>
        <v/>
      </c>
      <c r="F44" s="15" t="str">
        <f>IF(IFERROR(MATCH(28,ChqRankL,0),0)=0,"",IF(INDEX(ChqStatus,IFERROR(MATCH(28,ChqRankL,0),0))="پاس نشده","—",IF(INDEX(ChqClr,IFERROR(MATCH(28,ChqRankL,0),0))="","—",INDEX(ChqClr,IFERROR(MATCH(28,ChqRankL,0),0)))))</f>
        <v/>
      </c>
      <c r="I44" t="str">
        <f>IF(28&gt;NChq,"",INDEX(ChqNorm,28))</f>
        <v/>
      </c>
      <c r="J44" t="str">
        <f t="shared" si="0"/>
        <v/>
      </c>
      <c r="K44" t="str">
        <f>IF($J44=0,"",INDEX(ChqKey,28))</f>
        <v/>
      </c>
      <c r="L44" t="str">
        <f t="shared" si="1"/>
        <v/>
      </c>
    </row>
    <row r="45" spans="1:12" x14ac:dyDescent="0.2">
      <c r="A45" s="3" t="str">
        <f>IF(IFERROR(MATCH(29,ChqRankL,0),0)=0,"",29)</f>
        <v/>
      </c>
      <c r="B45" s="13" t="str">
        <f>IF(IFERROR(MATCH(29,ChqRankL,0),0)=0,"",INDEX(ChqNorm,IFERROR(MATCH(29,ChqRankL,0),0)))</f>
        <v/>
      </c>
      <c r="C45" s="13" t="str">
        <f>IF(IFERROR(MATCH(29,ChqRankL,0),0)=0,"",INDEX(ChqNo,IFERROR(MATCH(29,ChqRankL,0),0)))</f>
        <v/>
      </c>
      <c r="D45" s="14" t="str">
        <f>IF(IFERROR(MATCH(29,ChqRankL,0),0)=0,"",IF(INDEX(ChqAmt,IFERROR(MATCH(29,ChqRankL,0),0))=0,"",INDEX(ChqAmt,IFERROR(MATCH(29,ChqRankL,0),0))))</f>
        <v/>
      </c>
      <c r="E45" s="7" t="str">
        <f>IF(IFERROR(MATCH(29,ChqRankL,0),0)=0,"",INDEX(ChqStatus,IFERROR(MATCH(29,ChqRankL,0),0)))</f>
        <v/>
      </c>
      <c r="F45" s="13" t="str">
        <f>IF(IFERROR(MATCH(29,ChqRankL,0),0)=0,"",IF(INDEX(ChqStatus,IFERROR(MATCH(29,ChqRankL,0),0))="پاس نشده","—",IF(INDEX(ChqClr,IFERROR(MATCH(29,ChqRankL,0),0))="","—",INDEX(ChqClr,IFERROR(MATCH(29,ChqRankL,0),0)))))</f>
        <v/>
      </c>
      <c r="I45" t="str">
        <f>IF(29&gt;NChq,"",INDEX(ChqNorm,29))</f>
        <v/>
      </c>
      <c r="J45" t="str">
        <f t="shared" si="0"/>
        <v/>
      </c>
      <c r="K45" t="str">
        <f>IF($J45=0,"",INDEX(ChqKey,29))</f>
        <v/>
      </c>
      <c r="L45" t="str">
        <f t="shared" si="1"/>
        <v/>
      </c>
    </row>
    <row r="46" spans="1:12" x14ac:dyDescent="0.2">
      <c r="A46" s="9" t="str">
        <f>IF(IFERROR(MATCH(30,ChqRankL,0),0)=0,"",30)</f>
        <v/>
      </c>
      <c r="B46" s="15" t="str">
        <f>IF(IFERROR(MATCH(30,ChqRankL,0),0)=0,"",INDEX(ChqNorm,IFERROR(MATCH(30,ChqRankL,0),0)))</f>
        <v/>
      </c>
      <c r="C46" s="15" t="str">
        <f>IF(IFERROR(MATCH(30,ChqRankL,0),0)=0,"",INDEX(ChqNo,IFERROR(MATCH(30,ChqRankL,0),0)))</f>
        <v/>
      </c>
      <c r="D46" s="16" t="str">
        <f>IF(IFERROR(MATCH(30,ChqRankL,0),0)=0,"",IF(INDEX(ChqAmt,IFERROR(MATCH(30,ChqRankL,0),0))=0,"",INDEX(ChqAmt,IFERROR(MATCH(30,ChqRankL,0),0))))</f>
        <v/>
      </c>
      <c r="E46" s="10" t="str">
        <f>IF(IFERROR(MATCH(30,ChqRankL,0),0)=0,"",INDEX(ChqStatus,IFERROR(MATCH(30,ChqRankL,0),0)))</f>
        <v/>
      </c>
      <c r="F46" s="15" t="str">
        <f>IF(IFERROR(MATCH(30,ChqRankL,0),0)=0,"",IF(INDEX(ChqStatus,IFERROR(MATCH(30,ChqRankL,0),0))="پاس نشده","—",IF(INDEX(ChqClr,IFERROR(MATCH(30,ChqRankL,0),0))="","—",INDEX(ChqClr,IFERROR(MATCH(30,ChqRankL,0),0)))))</f>
        <v/>
      </c>
      <c r="I46" t="str">
        <f>IF(30&gt;NChq,"",INDEX(ChqNorm,30))</f>
        <v/>
      </c>
      <c r="J46" t="str">
        <f t="shared" si="0"/>
        <v/>
      </c>
      <c r="K46" t="str">
        <f>IF($J46=0,"",INDEX(ChqKey,30))</f>
        <v/>
      </c>
      <c r="L46" t="str">
        <f t="shared" si="1"/>
        <v/>
      </c>
    </row>
    <row r="47" spans="1:12" x14ac:dyDescent="0.2">
      <c r="A47" s="3" t="str">
        <f>IF(IFERROR(MATCH(31,ChqRankL,0),0)=0,"",31)</f>
        <v/>
      </c>
      <c r="B47" s="13" t="str">
        <f>IF(IFERROR(MATCH(31,ChqRankL,0),0)=0,"",INDEX(ChqNorm,IFERROR(MATCH(31,ChqRankL,0),0)))</f>
        <v/>
      </c>
      <c r="C47" s="13" t="str">
        <f>IF(IFERROR(MATCH(31,ChqRankL,0),0)=0,"",INDEX(ChqNo,IFERROR(MATCH(31,ChqRankL,0),0)))</f>
        <v/>
      </c>
      <c r="D47" s="14" t="str">
        <f>IF(IFERROR(MATCH(31,ChqRankL,0),0)=0,"",IF(INDEX(ChqAmt,IFERROR(MATCH(31,ChqRankL,0),0))=0,"",INDEX(ChqAmt,IFERROR(MATCH(31,ChqRankL,0),0))))</f>
        <v/>
      </c>
      <c r="E47" s="7" t="str">
        <f>IF(IFERROR(MATCH(31,ChqRankL,0),0)=0,"",INDEX(ChqStatus,IFERROR(MATCH(31,ChqRankL,0),0)))</f>
        <v/>
      </c>
      <c r="F47" s="13" t="str">
        <f>IF(IFERROR(MATCH(31,ChqRankL,0),0)=0,"",IF(INDEX(ChqStatus,IFERROR(MATCH(31,ChqRankL,0),0))="پاس نشده","—",IF(INDEX(ChqClr,IFERROR(MATCH(31,ChqRankL,0),0))="","—",INDEX(ChqClr,IFERROR(MATCH(31,ChqRankL,0),0)))))</f>
        <v/>
      </c>
      <c r="I47" t="str">
        <f>IF(31&gt;NChq,"",INDEX(ChqNorm,31))</f>
        <v/>
      </c>
      <c r="J47" t="str">
        <f t="shared" si="0"/>
        <v/>
      </c>
      <c r="K47" t="str">
        <f>IF($J47=0,"",INDEX(ChqKey,31))</f>
        <v/>
      </c>
      <c r="L47" t="str">
        <f t="shared" si="1"/>
        <v/>
      </c>
    </row>
    <row r="48" spans="1:12" x14ac:dyDescent="0.2">
      <c r="A48" s="9" t="str">
        <f>IF(IFERROR(MATCH(32,ChqRankL,0),0)=0,"",32)</f>
        <v/>
      </c>
      <c r="B48" s="15" t="str">
        <f>IF(IFERROR(MATCH(32,ChqRankL,0),0)=0,"",INDEX(ChqNorm,IFERROR(MATCH(32,ChqRankL,0),0)))</f>
        <v/>
      </c>
      <c r="C48" s="15" t="str">
        <f>IF(IFERROR(MATCH(32,ChqRankL,0),0)=0,"",INDEX(ChqNo,IFERROR(MATCH(32,ChqRankL,0),0)))</f>
        <v/>
      </c>
      <c r="D48" s="16" t="str">
        <f>IF(IFERROR(MATCH(32,ChqRankL,0),0)=0,"",IF(INDEX(ChqAmt,IFERROR(MATCH(32,ChqRankL,0),0))=0,"",INDEX(ChqAmt,IFERROR(MATCH(32,ChqRankL,0),0))))</f>
        <v/>
      </c>
      <c r="E48" s="10" t="str">
        <f>IF(IFERROR(MATCH(32,ChqRankL,0),0)=0,"",INDEX(ChqStatus,IFERROR(MATCH(32,ChqRankL,0),0)))</f>
        <v/>
      </c>
      <c r="F48" s="15" t="str">
        <f>IF(IFERROR(MATCH(32,ChqRankL,0),0)=0,"",IF(INDEX(ChqStatus,IFERROR(MATCH(32,ChqRankL,0),0))="پاس نشده","—",IF(INDEX(ChqClr,IFERROR(MATCH(32,ChqRankL,0),0))="","—",INDEX(ChqClr,IFERROR(MATCH(32,ChqRankL,0),0)))))</f>
        <v/>
      </c>
      <c r="I48" t="str">
        <f>IF(32&gt;NChq,"",INDEX(ChqNorm,32))</f>
        <v/>
      </c>
      <c r="J48" t="str">
        <f t="shared" si="0"/>
        <v/>
      </c>
      <c r="K48" t="str">
        <f>IF($J48=0,"",INDEX(ChqKey,32))</f>
        <v/>
      </c>
      <c r="L48" t="str">
        <f t="shared" si="1"/>
        <v/>
      </c>
    </row>
    <row r="49" spans="1:12" x14ac:dyDescent="0.2">
      <c r="A49" s="3" t="str">
        <f>IF(IFERROR(MATCH(33,ChqRankL,0),0)=0,"",33)</f>
        <v/>
      </c>
      <c r="B49" s="13" t="str">
        <f>IF(IFERROR(MATCH(33,ChqRankL,0),0)=0,"",INDEX(ChqNorm,IFERROR(MATCH(33,ChqRankL,0),0)))</f>
        <v/>
      </c>
      <c r="C49" s="13" t="str">
        <f>IF(IFERROR(MATCH(33,ChqRankL,0),0)=0,"",INDEX(ChqNo,IFERROR(MATCH(33,ChqRankL,0),0)))</f>
        <v/>
      </c>
      <c r="D49" s="14" t="str">
        <f>IF(IFERROR(MATCH(33,ChqRankL,0),0)=0,"",IF(INDEX(ChqAmt,IFERROR(MATCH(33,ChqRankL,0),0))=0,"",INDEX(ChqAmt,IFERROR(MATCH(33,ChqRankL,0),0))))</f>
        <v/>
      </c>
      <c r="E49" s="7" t="str">
        <f>IF(IFERROR(MATCH(33,ChqRankL,0),0)=0,"",INDEX(ChqStatus,IFERROR(MATCH(33,ChqRankL,0),0)))</f>
        <v/>
      </c>
      <c r="F49" s="13" t="str">
        <f>IF(IFERROR(MATCH(33,ChqRankL,0),0)=0,"",IF(INDEX(ChqStatus,IFERROR(MATCH(33,ChqRankL,0),0))="پاس نشده","—",IF(INDEX(ChqClr,IFERROR(MATCH(33,ChqRankL,0),0))="","—",INDEX(ChqClr,IFERROR(MATCH(33,ChqRankL,0),0)))))</f>
        <v/>
      </c>
      <c r="I49" t="str">
        <f>IF(33&gt;NChq,"",INDEX(ChqNorm,33))</f>
        <v/>
      </c>
      <c r="J49" t="str">
        <f t="shared" si="0"/>
        <v/>
      </c>
      <c r="K49" t="str">
        <f>IF($J49=0,"",INDEX(ChqKey,33))</f>
        <v/>
      </c>
      <c r="L49" t="str">
        <f t="shared" si="1"/>
        <v/>
      </c>
    </row>
    <row r="50" spans="1:12" x14ac:dyDescent="0.2">
      <c r="A50" s="9" t="str">
        <f>IF(IFERROR(MATCH(34,ChqRankL,0),0)=0,"",34)</f>
        <v/>
      </c>
      <c r="B50" s="15" t="str">
        <f>IF(IFERROR(MATCH(34,ChqRankL,0),0)=0,"",INDEX(ChqNorm,IFERROR(MATCH(34,ChqRankL,0),0)))</f>
        <v/>
      </c>
      <c r="C50" s="15" t="str">
        <f>IF(IFERROR(MATCH(34,ChqRankL,0),0)=0,"",INDEX(ChqNo,IFERROR(MATCH(34,ChqRankL,0),0)))</f>
        <v/>
      </c>
      <c r="D50" s="16" t="str">
        <f>IF(IFERROR(MATCH(34,ChqRankL,0),0)=0,"",IF(INDEX(ChqAmt,IFERROR(MATCH(34,ChqRankL,0),0))=0,"",INDEX(ChqAmt,IFERROR(MATCH(34,ChqRankL,0),0))))</f>
        <v/>
      </c>
      <c r="E50" s="10" t="str">
        <f>IF(IFERROR(MATCH(34,ChqRankL,0),0)=0,"",INDEX(ChqStatus,IFERROR(MATCH(34,ChqRankL,0),0)))</f>
        <v/>
      </c>
      <c r="F50" s="15" t="str">
        <f>IF(IFERROR(MATCH(34,ChqRankL,0),0)=0,"",IF(INDEX(ChqStatus,IFERROR(MATCH(34,ChqRankL,0),0))="پاس نشده","—",IF(INDEX(ChqClr,IFERROR(MATCH(34,ChqRankL,0),0))="","—",INDEX(ChqClr,IFERROR(MATCH(34,ChqRankL,0),0)))))</f>
        <v/>
      </c>
      <c r="I50" t="str">
        <f>IF(34&gt;NChq,"",INDEX(ChqNorm,34))</f>
        <v/>
      </c>
      <c r="J50" t="str">
        <f t="shared" si="0"/>
        <v/>
      </c>
      <c r="K50" t="str">
        <f>IF($J50=0,"",INDEX(ChqKey,34))</f>
        <v/>
      </c>
      <c r="L50" t="str">
        <f t="shared" si="1"/>
        <v/>
      </c>
    </row>
    <row r="51" spans="1:12" x14ac:dyDescent="0.2">
      <c r="A51" s="3" t="str">
        <f>IF(IFERROR(MATCH(35,ChqRankL,0),0)=0,"",35)</f>
        <v/>
      </c>
      <c r="B51" s="13" t="str">
        <f>IF(IFERROR(MATCH(35,ChqRankL,0),0)=0,"",INDEX(ChqNorm,IFERROR(MATCH(35,ChqRankL,0),0)))</f>
        <v/>
      </c>
      <c r="C51" s="13" t="str">
        <f>IF(IFERROR(MATCH(35,ChqRankL,0),0)=0,"",INDEX(ChqNo,IFERROR(MATCH(35,ChqRankL,0),0)))</f>
        <v/>
      </c>
      <c r="D51" s="14" t="str">
        <f>IF(IFERROR(MATCH(35,ChqRankL,0),0)=0,"",IF(INDEX(ChqAmt,IFERROR(MATCH(35,ChqRankL,0),0))=0,"",INDEX(ChqAmt,IFERROR(MATCH(35,ChqRankL,0),0))))</f>
        <v/>
      </c>
      <c r="E51" s="7" t="str">
        <f>IF(IFERROR(MATCH(35,ChqRankL,0),0)=0,"",INDEX(ChqStatus,IFERROR(MATCH(35,ChqRankL,0),0)))</f>
        <v/>
      </c>
      <c r="F51" s="13" t="str">
        <f>IF(IFERROR(MATCH(35,ChqRankL,0),0)=0,"",IF(INDEX(ChqStatus,IFERROR(MATCH(35,ChqRankL,0),0))="پاس نشده","—",IF(INDEX(ChqClr,IFERROR(MATCH(35,ChqRankL,0),0))="","—",INDEX(ChqClr,IFERROR(MATCH(35,ChqRankL,0),0)))))</f>
        <v/>
      </c>
      <c r="I51" t="str">
        <f>IF(35&gt;NChq,"",INDEX(ChqNorm,35))</f>
        <v/>
      </c>
      <c r="J51" t="str">
        <f t="shared" si="0"/>
        <v/>
      </c>
      <c r="K51" t="str">
        <f>IF($J51=0,"",INDEX(ChqKey,35))</f>
        <v/>
      </c>
      <c r="L51" t="str">
        <f t="shared" si="1"/>
        <v/>
      </c>
    </row>
    <row r="52" spans="1:12" x14ac:dyDescent="0.2">
      <c r="A52" s="9" t="str">
        <f>IF(IFERROR(MATCH(36,ChqRankL,0),0)=0,"",36)</f>
        <v/>
      </c>
      <c r="B52" s="15" t="str">
        <f>IF(IFERROR(MATCH(36,ChqRankL,0),0)=0,"",INDEX(ChqNorm,IFERROR(MATCH(36,ChqRankL,0),0)))</f>
        <v/>
      </c>
      <c r="C52" s="15" t="str">
        <f>IF(IFERROR(MATCH(36,ChqRankL,0),0)=0,"",INDEX(ChqNo,IFERROR(MATCH(36,ChqRankL,0),0)))</f>
        <v/>
      </c>
      <c r="D52" s="16" t="str">
        <f>IF(IFERROR(MATCH(36,ChqRankL,0),0)=0,"",IF(INDEX(ChqAmt,IFERROR(MATCH(36,ChqRankL,0),0))=0,"",INDEX(ChqAmt,IFERROR(MATCH(36,ChqRankL,0),0))))</f>
        <v/>
      </c>
      <c r="E52" s="10" t="str">
        <f>IF(IFERROR(MATCH(36,ChqRankL,0),0)=0,"",INDEX(ChqStatus,IFERROR(MATCH(36,ChqRankL,0),0)))</f>
        <v/>
      </c>
      <c r="F52" s="15" t="str">
        <f>IF(IFERROR(MATCH(36,ChqRankL,0),0)=0,"",IF(INDEX(ChqStatus,IFERROR(MATCH(36,ChqRankL,0),0))="پاس نشده","—",IF(INDEX(ChqClr,IFERROR(MATCH(36,ChqRankL,0),0))="","—",INDEX(ChqClr,IFERROR(MATCH(36,ChqRankL,0),0)))))</f>
        <v/>
      </c>
      <c r="I52" t="str">
        <f>IF(36&gt;NChq,"",INDEX(ChqNorm,36))</f>
        <v/>
      </c>
      <c r="J52" t="str">
        <f t="shared" si="0"/>
        <v/>
      </c>
      <c r="K52" t="str">
        <f>IF($J52=0,"",INDEX(ChqKey,36))</f>
        <v/>
      </c>
      <c r="L52" t="str">
        <f t="shared" si="1"/>
        <v/>
      </c>
    </row>
    <row r="53" spans="1:12" x14ac:dyDescent="0.2">
      <c r="A53" s="3" t="str">
        <f>IF(IFERROR(MATCH(37,ChqRankL,0),0)=0,"",37)</f>
        <v/>
      </c>
      <c r="B53" s="13" t="str">
        <f>IF(IFERROR(MATCH(37,ChqRankL,0),0)=0,"",INDEX(ChqNorm,IFERROR(MATCH(37,ChqRankL,0),0)))</f>
        <v/>
      </c>
      <c r="C53" s="13" t="str">
        <f>IF(IFERROR(MATCH(37,ChqRankL,0),0)=0,"",INDEX(ChqNo,IFERROR(MATCH(37,ChqRankL,0),0)))</f>
        <v/>
      </c>
      <c r="D53" s="14" t="str">
        <f>IF(IFERROR(MATCH(37,ChqRankL,0),0)=0,"",IF(INDEX(ChqAmt,IFERROR(MATCH(37,ChqRankL,0),0))=0,"",INDEX(ChqAmt,IFERROR(MATCH(37,ChqRankL,0),0))))</f>
        <v/>
      </c>
      <c r="E53" s="7" t="str">
        <f>IF(IFERROR(MATCH(37,ChqRankL,0),0)=0,"",INDEX(ChqStatus,IFERROR(MATCH(37,ChqRankL,0),0)))</f>
        <v/>
      </c>
      <c r="F53" s="13" t="str">
        <f>IF(IFERROR(MATCH(37,ChqRankL,0),0)=0,"",IF(INDEX(ChqStatus,IFERROR(MATCH(37,ChqRankL,0),0))="پاس نشده","—",IF(INDEX(ChqClr,IFERROR(MATCH(37,ChqRankL,0),0))="","—",INDEX(ChqClr,IFERROR(MATCH(37,ChqRankL,0),0)))))</f>
        <v/>
      </c>
      <c r="I53" t="str">
        <f>IF(37&gt;NChq,"",INDEX(ChqNorm,37))</f>
        <v/>
      </c>
      <c r="J53" t="str">
        <f t="shared" si="0"/>
        <v/>
      </c>
      <c r="K53" t="str">
        <f>IF($J53=0,"",INDEX(ChqKey,37))</f>
        <v/>
      </c>
      <c r="L53" t="str">
        <f t="shared" si="1"/>
        <v/>
      </c>
    </row>
    <row r="54" spans="1:12" x14ac:dyDescent="0.2">
      <c r="A54" s="9" t="str">
        <f>IF(IFERROR(MATCH(38,ChqRankL,0),0)=0,"",38)</f>
        <v/>
      </c>
      <c r="B54" s="15" t="str">
        <f>IF(IFERROR(MATCH(38,ChqRankL,0),0)=0,"",INDEX(ChqNorm,IFERROR(MATCH(38,ChqRankL,0),0)))</f>
        <v/>
      </c>
      <c r="C54" s="15" t="str">
        <f>IF(IFERROR(MATCH(38,ChqRankL,0),0)=0,"",INDEX(ChqNo,IFERROR(MATCH(38,ChqRankL,0),0)))</f>
        <v/>
      </c>
      <c r="D54" s="16" t="str">
        <f>IF(IFERROR(MATCH(38,ChqRankL,0),0)=0,"",IF(INDEX(ChqAmt,IFERROR(MATCH(38,ChqRankL,0),0))=0,"",INDEX(ChqAmt,IFERROR(MATCH(38,ChqRankL,0),0))))</f>
        <v/>
      </c>
      <c r="E54" s="10" t="str">
        <f>IF(IFERROR(MATCH(38,ChqRankL,0),0)=0,"",INDEX(ChqStatus,IFERROR(MATCH(38,ChqRankL,0),0)))</f>
        <v/>
      </c>
      <c r="F54" s="15" t="str">
        <f>IF(IFERROR(MATCH(38,ChqRankL,0),0)=0,"",IF(INDEX(ChqStatus,IFERROR(MATCH(38,ChqRankL,0),0))="پاس نشده","—",IF(INDEX(ChqClr,IFERROR(MATCH(38,ChqRankL,0),0))="","—",INDEX(ChqClr,IFERROR(MATCH(38,ChqRankL,0),0)))))</f>
        <v/>
      </c>
      <c r="I54" t="str">
        <f>IF(38&gt;NChq,"",INDEX(ChqNorm,38))</f>
        <v/>
      </c>
      <c r="J54" t="str">
        <f t="shared" si="0"/>
        <v/>
      </c>
      <c r="K54" t="str">
        <f>IF($J54=0,"",INDEX(ChqKey,38))</f>
        <v/>
      </c>
      <c r="L54" t="str">
        <f t="shared" si="1"/>
        <v/>
      </c>
    </row>
    <row r="55" spans="1:12" x14ac:dyDescent="0.2">
      <c r="A55" s="3" t="str">
        <f>IF(IFERROR(MATCH(39,ChqRankL,0),0)=0,"",39)</f>
        <v/>
      </c>
      <c r="B55" s="13" t="str">
        <f>IF(IFERROR(MATCH(39,ChqRankL,0),0)=0,"",INDEX(ChqNorm,IFERROR(MATCH(39,ChqRankL,0),0)))</f>
        <v/>
      </c>
      <c r="C55" s="13" t="str">
        <f>IF(IFERROR(MATCH(39,ChqRankL,0),0)=0,"",INDEX(ChqNo,IFERROR(MATCH(39,ChqRankL,0),0)))</f>
        <v/>
      </c>
      <c r="D55" s="14" t="str">
        <f>IF(IFERROR(MATCH(39,ChqRankL,0),0)=0,"",IF(INDEX(ChqAmt,IFERROR(MATCH(39,ChqRankL,0),0))=0,"",INDEX(ChqAmt,IFERROR(MATCH(39,ChqRankL,0),0))))</f>
        <v/>
      </c>
      <c r="E55" s="7" t="str">
        <f>IF(IFERROR(MATCH(39,ChqRankL,0),0)=0,"",INDEX(ChqStatus,IFERROR(MATCH(39,ChqRankL,0),0)))</f>
        <v/>
      </c>
      <c r="F55" s="13" t="str">
        <f>IF(IFERROR(MATCH(39,ChqRankL,0),0)=0,"",IF(INDEX(ChqStatus,IFERROR(MATCH(39,ChqRankL,0),0))="پاس نشده","—",IF(INDEX(ChqClr,IFERROR(MATCH(39,ChqRankL,0),0))="","—",INDEX(ChqClr,IFERROR(MATCH(39,ChqRankL,0),0)))))</f>
        <v/>
      </c>
      <c r="I55" t="str">
        <f>IF(39&gt;NChq,"",INDEX(ChqNorm,39))</f>
        <v/>
      </c>
      <c r="J55" t="str">
        <f t="shared" si="0"/>
        <v/>
      </c>
      <c r="K55" t="str">
        <f>IF($J55=0,"",INDEX(ChqKey,39))</f>
        <v/>
      </c>
      <c r="L55" t="str">
        <f t="shared" si="1"/>
        <v/>
      </c>
    </row>
    <row r="56" spans="1:12" x14ac:dyDescent="0.2">
      <c r="A56" s="9" t="str">
        <f>IF(IFERROR(MATCH(40,ChqRankL,0),0)=0,"",40)</f>
        <v/>
      </c>
      <c r="B56" s="15" t="str">
        <f>IF(IFERROR(MATCH(40,ChqRankL,0),0)=0,"",INDEX(ChqNorm,IFERROR(MATCH(40,ChqRankL,0),0)))</f>
        <v/>
      </c>
      <c r="C56" s="15" t="str">
        <f>IF(IFERROR(MATCH(40,ChqRankL,0),0)=0,"",INDEX(ChqNo,IFERROR(MATCH(40,ChqRankL,0),0)))</f>
        <v/>
      </c>
      <c r="D56" s="16" t="str">
        <f>IF(IFERROR(MATCH(40,ChqRankL,0),0)=0,"",IF(INDEX(ChqAmt,IFERROR(MATCH(40,ChqRankL,0),0))=0,"",INDEX(ChqAmt,IFERROR(MATCH(40,ChqRankL,0),0))))</f>
        <v/>
      </c>
      <c r="E56" s="10" t="str">
        <f>IF(IFERROR(MATCH(40,ChqRankL,0),0)=0,"",INDEX(ChqStatus,IFERROR(MATCH(40,ChqRankL,0),0)))</f>
        <v/>
      </c>
      <c r="F56" s="15" t="str">
        <f>IF(IFERROR(MATCH(40,ChqRankL,0),0)=0,"",IF(INDEX(ChqStatus,IFERROR(MATCH(40,ChqRankL,0),0))="پاس نشده","—",IF(INDEX(ChqClr,IFERROR(MATCH(40,ChqRankL,0),0))="","—",INDEX(ChqClr,IFERROR(MATCH(40,ChqRankL,0),0)))))</f>
        <v/>
      </c>
      <c r="I56" t="str">
        <f>IF(40&gt;NChq,"",INDEX(ChqNorm,40))</f>
        <v/>
      </c>
      <c r="J56" t="str">
        <f t="shared" si="0"/>
        <v/>
      </c>
      <c r="K56" t="str">
        <f>IF($J56=0,"",INDEX(ChqKey,40))</f>
        <v/>
      </c>
      <c r="L56" t="str">
        <f t="shared" si="1"/>
        <v/>
      </c>
    </row>
    <row r="57" spans="1:12" x14ac:dyDescent="0.2">
      <c r="A57" s="3" t="str">
        <f>IF(IFERROR(MATCH(41,ChqRankL,0),0)=0,"",41)</f>
        <v/>
      </c>
      <c r="B57" s="13" t="str">
        <f>IF(IFERROR(MATCH(41,ChqRankL,0),0)=0,"",INDEX(ChqNorm,IFERROR(MATCH(41,ChqRankL,0),0)))</f>
        <v/>
      </c>
      <c r="C57" s="13" t="str">
        <f>IF(IFERROR(MATCH(41,ChqRankL,0),0)=0,"",INDEX(ChqNo,IFERROR(MATCH(41,ChqRankL,0),0)))</f>
        <v/>
      </c>
      <c r="D57" s="14" t="str">
        <f>IF(IFERROR(MATCH(41,ChqRankL,0),0)=0,"",IF(INDEX(ChqAmt,IFERROR(MATCH(41,ChqRankL,0),0))=0,"",INDEX(ChqAmt,IFERROR(MATCH(41,ChqRankL,0),0))))</f>
        <v/>
      </c>
      <c r="E57" s="7" t="str">
        <f>IF(IFERROR(MATCH(41,ChqRankL,0),0)=0,"",INDEX(ChqStatus,IFERROR(MATCH(41,ChqRankL,0),0)))</f>
        <v/>
      </c>
      <c r="F57" s="13" t="str">
        <f>IF(IFERROR(MATCH(41,ChqRankL,0),0)=0,"",IF(INDEX(ChqStatus,IFERROR(MATCH(41,ChqRankL,0),0))="پاس نشده","—",IF(INDEX(ChqClr,IFERROR(MATCH(41,ChqRankL,0),0))="","—",INDEX(ChqClr,IFERROR(MATCH(41,ChqRankL,0),0)))))</f>
        <v/>
      </c>
      <c r="I57" t="str">
        <f>IF(41&gt;NChq,"",INDEX(ChqNorm,41))</f>
        <v/>
      </c>
      <c r="J57" t="str">
        <f t="shared" si="0"/>
        <v/>
      </c>
      <c r="K57" t="str">
        <f>IF($J57=0,"",INDEX(ChqKey,41))</f>
        <v/>
      </c>
      <c r="L57" t="str">
        <f t="shared" si="1"/>
        <v/>
      </c>
    </row>
    <row r="58" spans="1:12" x14ac:dyDescent="0.2">
      <c r="A58" s="9" t="str">
        <f>IF(IFERROR(MATCH(42,ChqRankL,0),0)=0,"",42)</f>
        <v/>
      </c>
      <c r="B58" s="15" t="str">
        <f>IF(IFERROR(MATCH(42,ChqRankL,0),0)=0,"",INDEX(ChqNorm,IFERROR(MATCH(42,ChqRankL,0),0)))</f>
        <v/>
      </c>
      <c r="C58" s="15" t="str">
        <f>IF(IFERROR(MATCH(42,ChqRankL,0),0)=0,"",INDEX(ChqNo,IFERROR(MATCH(42,ChqRankL,0),0)))</f>
        <v/>
      </c>
      <c r="D58" s="16" t="str">
        <f>IF(IFERROR(MATCH(42,ChqRankL,0),0)=0,"",IF(INDEX(ChqAmt,IFERROR(MATCH(42,ChqRankL,0),0))=0,"",INDEX(ChqAmt,IFERROR(MATCH(42,ChqRankL,0),0))))</f>
        <v/>
      </c>
      <c r="E58" s="10" t="str">
        <f>IF(IFERROR(MATCH(42,ChqRankL,0),0)=0,"",INDEX(ChqStatus,IFERROR(MATCH(42,ChqRankL,0),0)))</f>
        <v/>
      </c>
      <c r="F58" s="15" t="str">
        <f>IF(IFERROR(MATCH(42,ChqRankL,0),0)=0,"",IF(INDEX(ChqStatus,IFERROR(MATCH(42,ChqRankL,0),0))="پاس نشده","—",IF(INDEX(ChqClr,IFERROR(MATCH(42,ChqRankL,0),0))="","—",INDEX(ChqClr,IFERROR(MATCH(42,ChqRankL,0),0)))))</f>
        <v/>
      </c>
      <c r="I58" t="str">
        <f>IF(42&gt;NChq,"",INDEX(ChqNorm,42))</f>
        <v/>
      </c>
      <c r="J58" t="str">
        <f t="shared" si="0"/>
        <v/>
      </c>
      <c r="K58" t="str">
        <f>IF($J58=0,"",INDEX(ChqKey,42))</f>
        <v/>
      </c>
      <c r="L58" t="str">
        <f t="shared" si="1"/>
        <v/>
      </c>
    </row>
    <row r="59" spans="1:12" x14ac:dyDescent="0.2">
      <c r="A59" s="3" t="str">
        <f>IF(IFERROR(MATCH(43,ChqRankL,0),0)=0,"",43)</f>
        <v/>
      </c>
      <c r="B59" s="13" t="str">
        <f>IF(IFERROR(MATCH(43,ChqRankL,0),0)=0,"",INDEX(ChqNorm,IFERROR(MATCH(43,ChqRankL,0),0)))</f>
        <v/>
      </c>
      <c r="C59" s="13" t="str">
        <f>IF(IFERROR(MATCH(43,ChqRankL,0),0)=0,"",INDEX(ChqNo,IFERROR(MATCH(43,ChqRankL,0),0)))</f>
        <v/>
      </c>
      <c r="D59" s="14" t="str">
        <f>IF(IFERROR(MATCH(43,ChqRankL,0),0)=0,"",IF(INDEX(ChqAmt,IFERROR(MATCH(43,ChqRankL,0),0))=0,"",INDEX(ChqAmt,IFERROR(MATCH(43,ChqRankL,0),0))))</f>
        <v/>
      </c>
      <c r="E59" s="7" t="str">
        <f>IF(IFERROR(MATCH(43,ChqRankL,0),0)=0,"",INDEX(ChqStatus,IFERROR(MATCH(43,ChqRankL,0),0)))</f>
        <v/>
      </c>
      <c r="F59" s="13" t="str">
        <f>IF(IFERROR(MATCH(43,ChqRankL,0),0)=0,"",IF(INDEX(ChqStatus,IFERROR(MATCH(43,ChqRankL,0),0))="پاس نشده","—",IF(INDEX(ChqClr,IFERROR(MATCH(43,ChqRankL,0),0))="","—",INDEX(ChqClr,IFERROR(MATCH(43,ChqRankL,0),0)))))</f>
        <v/>
      </c>
      <c r="I59" t="str">
        <f>IF(43&gt;NChq,"",INDEX(ChqNorm,43))</f>
        <v/>
      </c>
      <c r="J59" t="str">
        <f t="shared" si="0"/>
        <v/>
      </c>
      <c r="K59" t="str">
        <f>IF($J59=0,"",INDEX(ChqKey,43))</f>
        <v/>
      </c>
      <c r="L59" t="str">
        <f t="shared" si="1"/>
        <v/>
      </c>
    </row>
    <row r="60" spans="1:12" x14ac:dyDescent="0.2">
      <c r="A60" s="9" t="str">
        <f>IF(IFERROR(MATCH(44,ChqRankL,0),0)=0,"",44)</f>
        <v/>
      </c>
      <c r="B60" s="15" t="str">
        <f>IF(IFERROR(MATCH(44,ChqRankL,0),0)=0,"",INDEX(ChqNorm,IFERROR(MATCH(44,ChqRankL,0),0)))</f>
        <v/>
      </c>
      <c r="C60" s="15" t="str">
        <f>IF(IFERROR(MATCH(44,ChqRankL,0),0)=0,"",INDEX(ChqNo,IFERROR(MATCH(44,ChqRankL,0),0)))</f>
        <v/>
      </c>
      <c r="D60" s="16" t="str">
        <f>IF(IFERROR(MATCH(44,ChqRankL,0),0)=0,"",IF(INDEX(ChqAmt,IFERROR(MATCH(44,ChqRankL,0),0))=0,"",INDEX(ChqAmt,IFERROR(MATCH(44,ChqRankL,0),0))))</f>
        <v/>
      </c>
      <c r="E60" s="10" t="str">
        <f>IF(IFERROR(MATCH(44,ChqRankL,0),0)=0,"",INDEX(ChqStatus,IFERROR(MATCH(44,ChqRankL,0),0)))</f>
        <v/>
      </c>
      <c r="F60" s="15" t="str">
        <f>IF(IFERROR(MATCH(44,ChqRankL,0),0)=0,"",IF(INDEX(ChqStatus,IFERROR(MATCH(44,ChqRankL,0),0))="پاس نشده","—",IF(INDEX(ChqClr,IFERROR(MATCH(44,ChqRankL,0),0))="","—",INDEX(ChqClr,IFERROR(MATCH(44,ChqRankL,0),0)))))</f>
        <v/>
      </c>
      <c r="I60" t="str">
        <f>IF(44&gt;NChq,"",INDEX(ChqNorm,44))</f>
        <v/>
      </c>
      <c r="J60" t="str">
        <f t="shared" si="0"/>
        <v/>
      </c>
      <c r="K60" t="str">
        <f>IF($J60=0,"",INDEX(ChqKey,44))</f>
        <v/>
      </c>
      <c r="L60" t="str">
        <f t="shared" si="1"/>
        <v/>
      </c>
    </row>
    <row r="61" spans="1:12" x14ac:dyDescent="0.2">
      <c r="A61" s="3" t="str">
        <f>IF(IFERROR(MATCH(45,ChqRankL,0),0)=0,"",45)</f>
        <v/>
      </c>
      <c r="B61" s="13" t="str">
        <f>IF(IFERROR(MATCH(45,ChqRankL,0),0)=0,"",INDEX(ChqNorm,IFERROR(MATCH(45,ChqRankL,0),0)))</f>
        <v/>
      </c>
      <c r="C61" s="13" t="str">
        <f>IF(IFERROR(MATCH(45,ChqRankL,0),0)=0,"",INDEX(ChqNo,IFERROR(MATCH(45,ChqRankL,0),0)))</f>
        <v/>
      </c>
      <c r="D61" s="14" t="str">
        <f>IF(IFERROR(MATCH(45,ChqRankL,0),0)=0,"",IF(INDEX(ChqAmt,IFERROR(MATCH(45,ChqRankL,0),0))=0,"",INDEX(ChqAmt,IFERROR(MATCH(45,ChqRankL,0),0))))</f>
        <v/>
      </c>
      <c r="E61" s="7" t="str">
        <f>IF(IFERROR(MATCH(45,ChqRankL,0),0)=0,"",INDEX(ChqStatus,IFERROR(MATCH(45,ChqRankL,0),0)))</f>
        <v/>
      </c>
      <c r="F61" s="13" t="str">
        <f>IF(IFERROR(MATCH(45,ChqRankL,0),0)=0,"",IF(INDEX(ChqStatus,IFERROR(MATCH(45,ChqRankL,0),0))="پاس نشده","—",IF(INDEX(ChqClr,IFERROR(MATCH(45,ChqRankL,0),0))="","—",INDEX(ChqClr,IFERROR(MATCH(45,ChqRankL,0),0)))))</f>
        <v/>
      </c>
      <c r="I61" t="str">
        <f>IF(45&gt;NChq,"",INDEX(ChqNorm,45))</f>
        <v/>
      </c>
      <c r="J61" t="str">
        <f t="shared" si="0"/>
        <v/>
      </c>
      <c r="K61" t="str">
        <f>IF($J61=0,"",INDEX(ChqKey,45))</f>
        <v/>
      </c>
      <c r="L61" t="str">
        <f t="shared" si="1"/>
        <v/>
      </c>
    </row>
    <row r="62" spans="1:12" x14ac:dyDescent="0.2">
      <c r="A62" s="9" t="str">
        <f>IF(IFERROR(MATCH(46,ChqRankL,0),0)=0,"",46)</f>
        <v/>
      </c>
      <c r="B62" s="15" t="str">
        <f>IF(IFERROR(MATCH(46,ChqRankL,0),0)=0,"",INDEX(ChqNorm,IFERROR(MATCH(46,ChqRankL,0),0)))</f>
        <v/>
      </c>
      <c r="C62" s="15" t="str">
        <f>IF(IFERROR(MATCH(46,ChqRankL,0),0)=0,"",INDEX(ChqNo,IFERROR(MATCH(46,ChqRankL,0),0)))</f>
        <v/>
      </c>
      <c r="D62" s="16" t="str">
        <f>IF(IFERROR(MATCH(46,ChqRankL,0),0)=0,"",IF(INDEX(ChqAmt,IFERROR(MATCH(46,ChqRankL,0),0))=0,"",INDEX(ChqAmt,IFERROR(MATCH(46,ChqRankL,0),0))))</f>
        <v/>
      </c>
      <c r="E62" s="10" t="str">
        <f>IF(IFERROR(MATCH(46,ChqRankL,0),0)=0,"",INDEX(ChqStatus,IFERROR(MATCH(46,ChqRankL,0),0)))</f>
        <v/>
      </c>
      <c r="F62" s="15" t="str">
        <f>IF(IFERROR(MATCH(46,ChqRankL,0),0)=0,"",IF(INDEX(ChqStatus,IFERROR(MATCH(46,ChqRankL,0),0))="پاس نشده","—",IF(INDEX(ChqClr,IFERROR(MATCH(46,ChqRankL,0),0))="","—",INDEX(ChqClr,IFERROR(MATCH(46,ChqRankL,0),0)))))</f>
        <v/>
      </c>
      <c r="I62" t="str">
        <f>IF(46&gt;NChq,"",INDEX(ChqNorm,46))</f>
        <v/>
      </c>
      <c r="J62" t="str">
        <f t="shared" si="0"/>
        <v/>
      </c>
      <c r="K62" t="str">
        <f>IF($J62=0,"",INDEX(ChqKey,46))</f>
        <v/>
      </c>
      <c r="L62" t="str">
        <f t="shared" si="1"/>
        <v/>
      </c>
    </row>
    <row r="63" spans="1:12" x14ac:dyDescent="0.2">
      <c r="A63" s="3" t="str">
        <f>IF(IFERROR(MATCH(47,ChqRankL,0),0)=0,"",47)</f>
        <v/>
      </c>
      <c r="B63" s="13" t="str">
        <f>IF(IFERROR(MATCH(47,ChqRankL,0),0)=0,"",INDEX(ChqNorm,IFERROR(MATCH(47,ChqRankL,0),0)))</f>
        <v/>
      </c>
      <c r="C63" s="13" t="str">
        <f>IF(IFERROR(MATCH(47,ChqRankL,0),0)=0,"",INDEX(ChqNo,IFERROR(MATCH(47,ChqRankL,0),0)))</f>
        <v/>
      </c>
      <c r="D63" s="14" t="str">
        <f>IF(IFERROR(MATCH(47,ChqRankL,0),0)=0,"",IF(INDEX(ChqAmt,IFERROR(MATCH(47,ChqRankL,0),0))=0,"",INDEX(ChqAmt,IFERROR(MATCH(47,ChqRankL,0),0))))</f>
        <v/>
      </c>
      <c r="E63" s="7" t="str">
        <f>IF(IFERROR(MATCH(47,ChqRankL,0),0)=0,"",INDEX(ChqStatus,IFERROR(MATCH(47,ChqRankL,0),0)))</f>
        <v/>
      </c>
      <c r="F63" s="13" t="str">
        <f>IF(IFERROR(MATCH(47,ChqRankL,0),0)=0,"",IF(INDEX(ChqStatus,IFERROR(MATCH(47,ChqRankL,0),0))="پاس نشده","—",IF(INDEX(ChqClr,IFERROR(MATCH(47,ChqRankL,0),0))="","—",INDEX(ChqClr,IFERROR(MATCH(47,ChqRankL,0),0)))))</f>
        <v/>
      </c>
      <c r="I63" t="str">
        <f>IF(47&gt;NChq,"",INDEX(ChqNorm,47))</f>
        <v/>
      </c>
      <c r="J63" t="str">
        <f t="shared" si="0"/>
        <v/>
      </c>
      <c r="K63" t="str">
        <f>IF($J63=0,"",INDEX(ChqKey,47))</f>
        <v/>
      </c>
      <c r="L63" t="str">
        <f t="shared" si="1"/>
        <v/>
      </c>
    </row>
    <row r="64" spans="1:12" x14ac:dyDescent="0.2">
      <c r="A64" s="9" t="str">
        <f>IF(IFERROR(MATCH(48,ChqRankL,0),0)=0,"",48)</f>
        <v/>
      </c>
      <c r="B64" s="15" t="str">
        <f>IF(IFERROR(MATCH(48,ChqRankL,0),0)=0,"",INDEX(ChqNorm,IFERROR(MATCH(48,ChqRankL,0),0)))</f>
        <v/>
      </c>
      <c r="C64" s="15" t="str">
        <f>IF(IFERROR(MATCH(48,ChqRankL,0),0)=0,"",INDEX(ChqNo,IFERROR(MATCH(48,ChqRankL,0),0)))</f>
        <v/>
      </c>
      <c r="D64" s="16" t="str">
        <f>IF(IFERROR(MATCH(48,ChqRankL,0),0)=0,"",IF(INDEX(ChqAmt,IFERROR(MATCH(48,ChqRankL,0),0))=0,"",INDEX(ChqAmt,IFERROR(MATCH(48,ChqRankL,0),0))))</f>
        <v/>
      </c>
      <c r="E64" s="10" t="str">
        <f>IF(IFERROR(MATCH(48,ChqRankL,0),0)=0,"",INDEX(ChqStatus,IFERROR(MATCH(48,ChqRankL,0),0)))</f>
        <v/>
      </c>
      <c r="F64" s="15" t="str">
        <f>IF(IFERROR(MATCH(48,ChqRankL,0),0)=0,"",IF(INDEX(ChqStatus,IFERROR(MATCH(48,ChqRankL,0),0))="پاس نشده","—",IF(INDEX(ChqClr,IFERROR(MATCH(48,ChqRankL,0),0))="","—",INDEX(ChqClr,IFERROR(MATCH(48,ChqRankL,0),0)))))</f>
        <v/>
      </c>
      <c r="I64" t="str">
        <f>IF(48&gt;NChq,"",INDEX(ChqNorm,48))</f>
        <v/>
      </c>
      <c r="J64" t="str">
        <f t="shared" si="0"/>
        <v/>
      </c>
      <c r="K64" t="str">
        <f>IF($J64=0,"",INDEX(ChqKey,48))</f>
        <v/>
      </c>
      <c r="L64" t="str">
        <f t="shared" si="1"/>
        <v/>
      </c>
    </row>
    <row r="65" spans="1:12" x14ac:dyDescent="0.2">
      <c r="A65" s="3" t="str">
        <f>IF(IFERROR(MATCH(49,ChqRankL,0),0)=0,"",49)</f>
        <v/>
      </c>
      <c r="B65" s="13" t="str">
        <f>IF(IFERROR(MATCH(49,ChqRankL,0),0)=0,"",INDEX(ChqNorm,IFERROR(MATCH(49,ChqRankL,0),0)))</f>
        <v/>
      </c>
      <c r="C65" s="13" t="str">
        <f>IF(IFERROR(MATCH(49,ChqRankL,0),0)=0,"",INDEX(ChqNo,IFERROR(MATCH(49,ChqRankL,0),0)))</f>
        <v/>
      </c>
      <c r="D65" s="14" t="str">
        <f>IF(IFERROR(MATCH(49,ChqRankL,0),0)=0,"",IF(INDEX(ChqAmt,IFERROR(MATCH(49,ChqRankL,0),0))=0,"",INDEX(ChqAmt,IFERROR(MATCH(49,ChqRankL,0),0))))</f>
        <v/>
      </c>
      <c r="E65" s="7" t="str">
        <f>IF(IFERROR(MATCH(49,ChqRankL,0),0)=0,"",INDEX(ChqStatus,IFERROR(MATCH(49,ChqRankL,0),0)))</f>
        <v/>
      </c>
      <c r="F65" s="13" t="str">
        <f>IF(IFERROR(MATCH(49,ChqRankL,0),0)=0,"",IF(INDEX(ChqStatus,IFERROR(MATCH(49,ChqRankL,0),0))="پاس نشده","—",IF(INDEX(ChqClr,IFERROR(MATCH(49,ChqRankL,0),0))="","—",INDEX(ChqClr,IFERROR(MATCH(49,ChqRankL,0),0)))))</f>
        <v/>
      </c>
      <c r="I65" t="str">
        <f>IF(49&gt;NChq,"",INDEX(ChqNorm,49))</f>
        <v/>
      </c>
      <c r="J65" t="str">
        <f t="shared" si="0"/>
        <v/>
      </c>
      <c r="K65" t="str">
        <f>IF($J65=0,"",INDEX(ChqKey,49))</f>
        <v/>
      </c>
      <c r="L65" t="str">
        <f t="shared" si="1"/>
        <v/>
      </c>
    </row>
    <row r="66" spans="1:12" x14ac:dyDescent="0.2">
      <c r="A66" s="9" t="str">
        <f>IF(IFERROR(MATCH(50,ChqRankL,0),0)=0,"",50)</f>
        <v/>
      </c>
      <c r="B66" s="15" t="str">
        <f>IF(IFERROR(MATCH(50,ChqRankL,0),0)=0,"",INDEX(ChqNorm,IFERROR(MATCH(50,ChqRankL,0),0)))</f>
        <v/>
      </c>
      <c r="C66" s="15" t="str">
        <f>IF(IFERROR(MATCH(50,ChqRankL,0),0)=0,"",INDEX(ChqNo,IFERROR(MATCH(50,ChqRankL,0),0)))</f>
        <v/>
      </c>
      <c r="D66" s="16" t="str">
        <f>IF(IFERROR(MATCH(50,ChqRankL,0),0)=0,"",IF(INDEX(ChqAmt,IFERROR(MATCH(50,ChqRankL,0),0))=0,"",INDEX(ChqAmt,IFERROR(MATCH(50,ChqRankL,0),0))))</f>
        <v/>
      </c>
      <c r="E66" s="10" t="str">
        <f>IF(IFERROR(MATCH(50,ChqRankL,0),0)=0,"",INDEX(ChqStatus,IFERROR(MATCH(50,ChqRankL,0),0)))</f>
        <v/>
      </c>
      <c r="F66" s="15" t="str">
        <f>IF(IFERROR(MATCH(50,ChqRankL,0),0)=0,"",IF(INDEX(ChqStatus,IFERROR(MATCH(50,ChqRankL,0),0))="پاس نشده","—",IF(INDEX(ChqClr,IFERROR(MATCH(50,ChqRankL,0),0))="","—",INDEX(ChqClr,IFERROR(MATCH(50,ChqRankL,0),0)))))</f>
        <v/>
      </c>
      <c r="I66" t="str">
        <f>IF(50&gt;NChq,"",INDEX(ChqNorm,50))</f>
        <v/>
      </c>
      <c r="J66" t="str">
        <f t="shared" si="0"/>
        <v/>
      </c>
      <c r="K66" t="str">
        <f>IF($J66=0,"",INDEX(ChqKey,50))</f>
        <v/>
      </c>
      <c r="L66" t="str">
        <f t="shared" si="1"/>
        <v/>
      </c>
    </row>
    <row r="67" spans="1:12" x14ac:dyDescent="0.2">
      <c r="A67" s="3" t="str">
        <f>IF(IFERROR(MATCH(51,ChqRankL,0),0)=0,"",51)</f>
        <v/>
      </c>
      <c r="B67" s="13" t="str">
        <f>IF(IFERROR(MATCH(51,ChqRankL,0),0)=0,"",INDEX(ChqNorm,IFERROR(MATCH(51,ChqRankL,0),0)))</f>
        <v/>
      </c>
      <c r="C67" s="13" t="str">
        <f>IF(IFERROR(MATCH(51,ChqRankL,0),0)=0,"",INDEX(ChqNo,IFERROR(MATCH(51,ChqRankL,0),0)))</f>
        <v/>
      </c>
      <c r="D67" s="14" t="str">
        <f>IF(IFERROR(MATCH(51,ChqRankL,0),0)=0,"",IF(INDEX(ChqAmt,IFERROR(MATCH(51,ChqRankL,0),0))=0,"",INDEX(ChqAmt,IFERROR(MATCH(51,ChqRankL,0),0))))</f>
        <v/>
      </c>
      <c r="E67" s="7" t="str">
        <f>IF(IFERROR(MATCH(51,ChqRankL,0),0)=0,"",INDEX(ChqStatus,IFERROR(MATCH(51,ChqRankL,0),0)))</f>
        <v/>
      </c>
      <c r="F67" s="13" t="str">
        <f>IF(IFERROR(MATCH(51,ChqRankL,0),0)=0,"",IF(INDEX(ChqStatus,IFERROR(MATCH(51,ChqRankL,0),0))="پاس نشده","—",IF(INDEX(ChqClr,IFERROR(MATCH(51,ChqRankL,0),0))="","—",INDEX(ChqClr,IFERROR(MATCH(51,ChqRankL,0),0)))))</f>
        <v/>
      </c>
      <c r="I67" t="str">
        <f>IF(51&gt;NChq,"",INDEX(ChqNorm,51))</f>
        <v/>
      </c>
      <c r="J67" t="str">
        <f t="shared" si="0"/>
        <v/>
      </c>
      <c r="K67" t="str">
        <f>IF($J67=0,"",INDEX(ChqKey,51))</f>
        <v/>
      </c>
      <c r="L67" t="str">
        <f t="shared" si="1"/>
        <v/>
      </c>
    </row>
    <row r="68" spans="1:12" x14ac:dyDescent="0.2">
      <c r="A68" s="9" t="str">
        <f>IF(IFERROR(MATCH(52,ChqRankL,0),0)=0,"",52)</f>
        <v/>
      </c>
      <c r="B68" s="15" t="str">
        <f>IF(IFERROR(MATCH(52,ChqRankL,0),0)=0,"",INDEX(ChqNorm,IFERROR(MATCH(52,ChqRankL,0),0)))</f>
        <v/>
      </c>
      <c r="C68" s="15" t="str">
        <f>IF(IFERROR(MATCH(52,ChqRankL,0),0)=0,"",INDEX(ChqNo,IFERROR(MATCH(52,ChqRankL,0),0)))</f>
        <v/>
      </c>
      <c r="D68" s="16" t="str">
        <f>IF(IFERROR(MATCH(52,ChqRankL,0),0)=0,"",IF(INDEX(ChqAmt,IFERROR(MATCH(52,ChqRankL,0),0))=0,"",INDEX(ChqAmt,IFERROR(MATCH(52,ChqRankL,0),0))))</f>
        <v/>
      </c>
      <c r="E68" s="10" t="str">
        <f>IF(IFERROR(MATCH(52,ChqRankL,0),0)=0,"",INDEX(ChqStatus,IFERROR(MATCH(52,ChqRankL,0),0)))</f>
        <v/>
      </c>
      <c r="F68" s="15" t="str">
        <f>IF(IFERROR(MATCH(52,ChqRankL,0),0)=0,"",IF(INDEX(ChqStatus,IFERROR(MATCH(52,ChqRankL,0),0))="پاس نشده","—",IF(INDEX(ChqClr,IFERROR(MATCH(52,ChqRankL,0),0))="","—",INDEX(ChqClr,IFERROR(MATCH(52,ChqRankL,0),0)))))</f>
        <v/>
      </c>
      <c r="I68" t="str">
        <f>IF(52&gt;NChq,"",INDEX(ChqNorm,52))</f>
        <v/>
      </c>
      <c r="J68" t="str">
        <f t="shared" si="0"/>
        <v/>
      </c>
      <c r="K68" t="str">
        <f>IF($J68=0,"",INDEX(ChqKey,52))</f>
        <v/>
      </c>
      <c r="L68" t="str">
        <f t="shared" si="1"/>
        <v/>
      </c>
    </row>
    <row r="69" spans="1:12" x14ac:dyDescent="0.2">
      <c r="A69" s="3" t="str">
        <f>IF(IFERROR(MATCH(53,ChqRankL,0),0)=0,"",53)</f>
        <v/>
      </c>
      <c r="B69" s="13" t="str">
        <f>IF(IFERROR(MATCH(53,ChqRankL,0),0)=0,"",INDEX(ChqNorm,IFERROR(MATCH(53,ChqRankL,0),0)))</f>
        <v/>
      </c>
      <c r="C69" s="13" t="str">
        <f>IF(IFERROR(MATCH(53,ChqRankL,0),0)=0,"",INDEX(ChqNo,IFERROR(MATCH(53,ChqRankL,0),0)))</f>
        <v/>
      </c>
      <c r="D69" s="14" t="str">
        <f>IF(IFERROR(MATCH(53,ChqRankL,0),0)=0,"",IF(INDEX(ChqAmt,IFERROR(MATCH(53,ChqRankL,0),0))=0,"",INDEX(ChqAmt,IFERROR(MATCH(53,ChqRankL,0),0))))</f>
        <v/>
      </c>
      <c r="E69" s="7" t="str">
        <f>IF(IFERROR(MATCH(53,ChqRankL,0),0)=0,"",INDEX(ChqStatus,IFERROR(MATCH(53,ChqRankL,0),0)))</f>
        <v/>
      </c>
      <c r="F69" s="13" t="str">
        <f>IF(IFERROR(MATCH(53,ChqRankL,0),0)=0,"",IF(INDEX(ChqStatus,IFERROR(MATCH(53,ChqRankL,0),0))="پاس نشده","—",IF(INDEX(ChqClr,IFERROR(MATCH(53,ChqRankL,0),0))="","—",INDEX(ChqClr,IFERROR(MATCH(53,ChqRankL,0),0)))))</f>
        <v/>
      </c>
      <c r="I69" t="str">
        <f>IF(53&gt;NChq,"",INDEX(ChqNorm,53))</f>
        <v/>
      </c>
      <c r="J69" t="str">
        <f t="shared" si="0"/>
        <v/>
      </c>
      <c r="K69" t="str">
        <f>IF($J69=0,"",INDEX(ChqKey,53))</f>
        <v/>
      </c>
      <c r="L69" t="str">
        <f t="shared" si="1"/>
        <v/>
      </c>
    </row>
    <row r="70" spans="1:12" x14ac:dyDescent="0.2">
      <c r="A70" s="9" t="str">
        <f>IF(IFERROR(MATCH(54,ChqRankL,0),0)=0,"",54)</f>
        <v/>
      </c>
      <c r="B70" s="15" t="str">
        <f>IF(IFERROR(MATCH(54,ChqRankL,0),0)=0,"",INDEX(ChqNorm,IFERROR(MATCH(54,ChqRankL,0),0)))</f>
        <v/>
      </c>
      <c r="C70" s="15" t="str">
        <f>IF(IFERROR(MATCH(54,ChqRankL,0),0)=0,"",INDEX(ChqNo,IFERROR(MATCH(54,ChqRankL,0),0)))</f>
        <v/>
      </c>
      <c r="D70" s="16" t="str">
        <f>IF(IFERROR(MATCH(54,ChqRankL,0),0)=0,"",IF(INDEX(ChqAmt,IFERROR(MATCH(54,ChqRankL,0),0))=0,"",INDEX(ChqAmt,IFERROR(MATCH(54,ChqRankL,0),0))))</f>
        <v/>
      </c>
      <c r="E70" s="10" t="str">
        <f>IF(IFERROR(MATCH(54,ChqRankL,0),0)=0,"",INDEX(ChqStatus,IFERROR(MATCH(54,ChqRankL,0),0)))</f>
        <v/>
      </c>
      <c r="F70" s="15" t="str">
        <f>IF(IFERROR(MATCH(54,ChqRankL,0),0)=0,"",IF(INDEX(ChqStatus,IFERROR(MATCH(54,ChqRankL,0),0))="پاس نشده","—",IF(INDEX(ChqClr,IFERROR(MATCH(54,ChqRankL,0),0))="","—",INDEX(ChqClr,IFERROR(MATCH(54,ChqRankL,0),0)))))</f>
        <v/>
      </c>
      <c r="I70" t="str">
        <f>IF(54&gt;NChq,"",INDEX(ChqNorm,54))</f>
        <v/>
      </c>
      <c r="J70" t="str">
        <f t="shared" si="0"/>
        <v/>
      </c>
      <c r="K70" t="str">
        <f>IF($J70=0,"",INDEX(ChqKey,54))</f>
        <v/>
      </c>
      <c r="L70" t="str">
        <f t="shared" si="1"/>
        <v/>
      </c>
    </row>
    <row r="71" spans="1:12" x14ac:dyDescent="0.2">
      <c r="A71" s="3" t="str">
        <f>IF(IFERROR(MATCH(55,ChqRankL,0),0)=0,"",55)</f>
        <v/>
      </c>
      <c r="B71" s="13" t="str">
        <f>IF(IFERROR(MATCH(55,ChqRankL,0),0)=0,"",INDEX(ChqNorm,IFERROR(MATCH(55,ChqRankL,0),0)))</f>
        <v/>
      </c>
      <c r="C71" s="13" t="str">
        <f>IF(IFERROR(MATCH(55,ChqRankL,0),0)=0,"",INDEX(ChqNo,IFERROR(MATCH(55,ChqRankL,0),0)))</f>
        <v/>
      </c>
      <c r="D71" s="14" t="str">
        <f>IF(IFERROR(MATCH(55,ChqRankL,0),0)=0,"",IF(INDEX(ChqAmt,IFERROR(MATCH(55,ChqRankL,0),0))=0,"",INDEX(ChqAmt,IFERROR(MATCH(55,ChqRankL,0),0))))</f>
        <v/>
      </c>
      <c r="E71" s="7" t="str">
        <f>IF(IFERROR(MATCH(55,ChqRankL,0),0)=0,"",INDEX(ChqStatus,IFERROR(MATCH(55,ChqRankL,0),0)))</f>
        <v/>
      </c>
      <c r="F71" s="13" t="str">
        <f>IF(IFERROR(MATCH(55,ChqRankL,0),0)=0,"",IF(INDEX(ChqStatus,IFERROR(MATCH(55,ChqRankL,0),0))="پاس نشده","—",IF(INDEX(ChqClr,IFERROR(MATCH(55,ChqRankL,0),0))="","—",INDEX(ChqClr,IFERROR(MATCH(55,ChqRankL,0),0)))))</f>
        <v/>
      </c>
      <c r="I71" t="str">
        <f>IF(55&gt;NChq,"",INDEX(ChqNorm,55))</f>
        <v/>
      </c>
      <c r="J71" t="str">
        <f t="shared" si="0"/>
        <v/>
      </c>
      <c r="K71" t="str">
        <f>IF($J71=0,"",INDEX(ChqKey,55))</f>
        <v/>
      </c>
      <c r="L71" t="str">
        <f t="shared" si="1"/>
        <v/>
      </c>
    </row>
    <row r="72" spans="1:12" x14ac:dyDescent="0.2">
      <c r="A72" s="9" t="str">
        <f>IF(IFERROR(MATCH(56,ChqRankL,0),0)=0,"",56)</f>
        <v/>
      </c>
      <c r="B72" s="15" t="str">
        <f>IF(IFERROR(MATCH(56,ChqRankL,0),0)=0,"",INDEX(ChqNorm,IFERROR(MATCH(56,ChqRankL,0),0)))</f>
        <v/>
      </c>
      <c r="C72" s="15" t="str">
        <f>IF(IFERROR(MATCH(56,ChqRankL,0),0)=0,"",INDEX(ChqNo,IFERROR(MATCH(56,ChqRankL,0),0)))</f>
        <v/>
      </c>
      <c r="D72" s="16" t="str">
        <f>IF(IFERROR(MATCH(56,ChqRankL,0),0)=0,"",IF(INDEX(ChqAmt,IFERROR(MATCH(56,ChqRankL,0),0))=0,"",INDEX(ChqAmt,IFERROR(MATCH(56,ChqRankL,0),0))))</f>
        <v/>
      </c>
      <c r="E72" s="10" t="str">
        <f>IF(IFERROR(MATCH(56,ChqRankL,0),0)=0,"",INDEX(ChqStatus,IFERROR(MATCH(56,ChqRankL,0),0)))</f>
        <v/>
      </c>
      <c r="F72" s="15" t="str">
        <f>IF(IFERROR(MATCH(56,ChqRankL,0),0)=0,"",IF(INDEX(ChqStatus,IFERROR(MATCH(56,ChqRankL,0),0))="پاس نشده","—",IF(INDEX(ChqClr,IFERROR(MATCH(56,ChqRankL,0),0))="","—",INDEX(ChqClr,IFERROR(MATCH(56,ChqRankL,0),0)))))</f>
        <v/>
      </c>
      <c r="I72" t="str">
        <f>IF(56&gt;NChq,"",INDEX(ChqNorm,56))</f>
        <v/>
      </c>
      <c r="J72" t="str">
        <f t="shared" si="0"/>
        <v/>
      </c>
      <c r="K72" t="str">
        <f>IF($J72=0,"",INDEX(ChqKey,56))</f>
        <v/>
      </c>
      <c r="L72" t="str">
        <f t="shared" si="1"/>
        <v/>
      </c>
    </row>
    <row r="73" spans="1:12" x14ac:dyDescent="0.2">
      <c r="A73" s="3" t="str">
        <f>IF(IFERROR(MATCH(57,ChqRankL,0),0)=0,"",57)</f>
        <v/>
      </c>
      <c r="B73" s="13" t="str">
        <f>IF(IFERROR(MATCH(57,ChqRankL,0),0)=0,"",INDEX(ChqNorm,IFERROR(MATCH(57,ChqRankL,0),0)))</f>
        <v/>
      </c>
      <c r="C73" s="13" t="str">
        <f>IF(IFERROR(MATCH(57,ChqRankL,0),0)=0,"",INDEX(ChqNo,IFERROR(MATCH(57,ChqRankL,0),0)))</f>
        <v/>
      </c>
      <c r="D73" s="14" t="str">
        <f>IF(IFERROR(MATCH(57,ChqRankL,0),0)=0,"",IF(INDEX(ChqAmt,IFERROR(MATCH(57,ChqRankL,0),0))=0,"",INDEX(ChqAmt,IFERROR(MATCH(57,ChqRankL,0),0))))</f>
        <v/>
      </c>
      <c r="E73" s="7" t="str">
        <f>IF(IFERROR(MATCH(57,ChqRankL,0),0)=0,"",INDEX(ChqStatus,IFERROR(MATCH(57,ChqRankL,0),0)))</f>
        <v/>
      </c>
      <c r="F73" s="13" t="str">
        <f>IF(IFERROR(MATCH(57,ChqRankL,0),0)=0,"",IF(INDEX(ChqStatus,IFERROR(MATCH(57,ChqRankL,0),0))="پاس نشده","—",IF(INDEX(ChqClr,IFERROR(MATCH(57,ChqRankL,0),0))="","—",INDEX(ChqClr,IFERROR(MATCH(57,ChqRankL,0),0)))))</f>
        <v/>
      </c>
      <c r="I73" t="str">
        <f>IF(57&gt;NChq,"",INDEX(ChqNorm,57))</f>
        <v/>
      </c>
      <c r="J73" t="str">
        <f t="shared" si="0"/>
        <v/>
      </c>
      <c r="K73" t="str">
        <f>IF($J73=0,"",INDEX(ChqKey,57))</f>
        <v/>
      </c>
      <c r="L73" t="str">
        <f t="shared" si="1"/>
        <v/>
      </c>
    </row>
    <row r="74" spans="1:12" x14ac:dyDescent="0.2">
      <c r="A74" s="9" t="str">
        <f>IF(IFERROR(MATCH(58,ChqRankL,0),0)=0,"",58)</f>
        <v/>
      </c>
      <c r="B74" s="15" t="str">
        <f>IF(IFERROR(MATCH(58,ChqRankL,0),0)=0,"",INDEX(ChqNorm,IFERROR(MATCH(58,ChqRankL,0),0)))</f>
        <v/>
      </c>
      <c r="C74" s="15" t="str">
        <f>IF(IFERROR(MATCH(58,ChqRankL,0),0)=0,"",INDEX(ChqNo,IFERROR(MATCH(58,ChqRankL,0),0)))</f>
        <v/>
      </c>
      <c r="D74" s="16" t="str">
        <f>IF(IFERROR(MATCH(58,ChqRankL,0),0)=0,"",IF(INDEX(ChqAmt,IFERROR(MATCH(58,ChqRankL,0),0))=0,"",INDEX(ChqAmt,IFERROR(MATCH(58,ChqRankL,0),0))))</f>
        <v/>
      </c>
      <c r="E74" s="10" t="str">
        <f>IF(IFERROR(MATCH(58,ChqRankL,0),0)=0,"",INDEX(ChqStatus,IFERROR(MATCH(58,ChqRankL,0),0)))</f>
        <v/>
      </c>
      <c r="F74" s="15" t="str">
        <f>IF(IFERROR(MATCH(58,ChqRankL,0),0)=0,"",IF(INDEX(ChqStatus,IFERROR(MATCH(58,ChqRankL,0),0))="پاس نشده","—",IF(INDEX(ChqClr,IFERROR(MATCH(58,ChqRankL,0),0))="","—",INDEX(ChqClr,IFERROR(MATCH(58,ChqRankL,0),0)))))</f>
        <v/>
      </c>
      <c r="I74" t="str">
        <f>IF(58&gt;NChq,"",INDEX(ChqNorm,58))</f>
        <v/>
      </c>
      <c r="J74" t="str">
        <f t="shared" si="0"/>
        <v/>
      </c>
      <c r="K74" t="str">
        <f>IF($J74=0,"",INDEX(ChqKey,58))</f>
        <v/>
      </c>
      <c r="L74" t="str">
        <f t="shared" si="1"/>
        <v/>
      </c>
    </row>
    <row r="75" spans="1:12" x14ac:dyDescent="0.2">
      <c r="A75" s="3" t="str">
        <f>IF(IFERROR(MATCH(59,ChqRankL,0),0)=0,"",59)</f>
        <v/>
      </c>
      <c r="B75" s="13" t="str">
        <f>IF(IFERROR(MATCH(59,ChqRankL,0),0)=0,"",INDEX(ChqNorm,IFERROR(MATCH(59,ChqRankL,0),0)))</f>
        <v/>
      </c>
      <c r="C75" s="13" t="str">
        <f>IF(IFERROR(MATCH(59,ChqRankL,0),0)=0,"",INDEX(ChqNo,IFERROR(MATCH(59,ChqRankL,0),0)))</f>
        <v/>
      </c>
      <c r="D75" s="14" t="str">
        <f>IF(IFERROR(MATCH(59,ChqRankL,0),0)=0,"",IF(INDEX(ChqAmt,IFERROR(MATCH(59,ChqRankL,0),0))=0,"",INDEX(ChqAmt,IFERROR(MATCH(59,ChqRankL,0),0))))</f>
        <v/>
      </c>
      <c r="E75" s="7" t="str">
        <f>IF(IFERROR(MATCH(59,ChqRankL,0),0)=0,"",INDEX(ChqStatus,IFERROR(MATCH(59,ChqRankL,0),0)))</f>
        <v/>
      </c>
      <c r="F75" s="13" t="str">
        <f>IF(IFERROR(MATCH(59,ChqRankL,0),0)=0,"",IF(INDEX(ChqStatus,IFERROR(MATCH(59,ChqRankL,0),0))="پاس نشده","—",IF(INDEX(ChqClr,IFERROR(MATCH(59,ChqRankL,0),0))="","—",INDEX(ChqClr,IFERROR(MATCH(59,ChqRankL,0),0)))))</f>
        <v/>
      </c>
      <c r="I75" t="str">
        <f>IF(59&gt;NChq,"",INDEX(ChqNorm,59))</f>
        <v/>
      </c>
      <c r="J75" t="str">
        <f t="shared" si="0"/>
        <v/>
      </c>
      <c r="K75" t="str">
        <f>IF($J75=0,"",INDEX(ChqKey,59))</f>
        <v/>
      </c>
      <c r="L75" t="str">
        <f t="shared" si="1"/>
        <v/>
      </c>
    </row>
    <row r="76" spans="1:12" x14ac:dyDescent="0.2">
      <c r="A76" s="9" t="str">
        <f>IF(IFERROR(MATCH(60,ChqRankL,0),0)=0,"",60)</f>
        <v/>
      </c>
      <c r="B76" s="15" t="str">
        <f>IF(IFERROR(MATCH(60,ChqRankL,0),0)=0,"",INDEX(ChqNorm,IFERROR(MATCH(60,ChqRankL,0),0)))</f>
        <v/>
      </c>
      <c r="C76" s="15" t="str">
        <f>IF(IFERROR(MATCH(60,ChqRankL,0),0)=0,"",INDEX(ChqNo,IFERROR(MATCH(60,ChqRankL,0),0)))</f>
        <v/>
      </c>
      <c r="D76" s="16" t="str">
        <f>IF(IFERROR(MATCH(60,ChqRankL,0),0)=0,"",IF(INDEX(ChqAmt,IFERROR(MATCH(60,ChqRankL,0),0))=0,"",INDEX(ChqAmt,IFERROR(MATCH(60,ChqRankL,0),0))))</f>
        <v/>
      </c>
      <c r="E76" s="10" t="str">
        <f>IF(IFERROR(MATCH(60,ChqRankL,0),0)=0,"",INDEX(ChqStatus,IFERROR(MATCH(60,ChqRankL,0),0)))</f>
        <v/>
      </c>
      <c r="F76" s="15" t="str">
        <f>IF(IFERROR(MATCH(60,ChqRankL,0),0)=0,"",IF(INDEX(ChqStatus,IFERROR(MATCH(60,ChqRankL,0),0))="پاس نشده","—",IF(INDEX(ChqClr,IFERROR(MATCH(60,ChqRankL,0),0))="","—",INDEX(ChqClr,IFERROR(MATCH(60,ChqRankL,0),0)))))</f>
        <v/>
      </c>
      <c r="I76" t="str">
        <f>IF(60&gt;NChq,"",INDEX(ChqNorm,60))</f>
        <v/>
      </c>
      <c r="J76" t="str">
        <f t="shared" si="0"/>
        <v/>
      </c>
      <c r="K76" t="str">
        <f>IF($J76=0,"",INDEX(ChqKey,60))</f>
        <v/>
      </c>
      <c r="L76" t="str">
        <f t="shared" si="1"/>
        <v/>
      </c>
    </row>
    <row r="77" spans="1:12" x14ac:dyDescent="0.2">
      <c r="A77" s="3" t="str">
        <f>IF(IFERROR(MATCH(61,ChqRankL,0),0)=0,"",61)</f>
        <v/>
      </c>
      <c r="B77" s="13" t="str">
        <f>IF(IFERROR(MATCH(61,ChqRankL,0),0)=0,"",INDEX(ChqNorm,IFERROR(MATCH(61,ChqRankL,0),0)))</f>
        <v/>
      </c>
      <c r="C77" s="13" t="str">
        <f>IF(IFERROR(MATCH(61,ChqRankL,0),0)=0,"",INDEX(ChqNo,IFERROR(MATCH(61,ChqRankL,0),0)))</f>
        <v/>
      </c>
      <c r="D77" s="14" t="str">
        <f>IF(IFERROR(MATCH(61,ChqRankL,0),0)=0,"",IF(INDEX(ChqAmt,IFERROR(MATCH(61,ChqRankL,0),0))=0,"",INDEX(ChqAmt,IFERROR(MATCH(61,ChqRankL,0),0))))</f>
        <v/>
      </c>
      <c r="E77" s="7" t="str">
        <f>IF(IFERROR(MATCH(61,ChqRankL,0),0)=0,"",INDEX(ChqStatus,IFERROR(MATCH(61,ChqRankL,0),0)))</f>
        <v/>
      </c>
      <c r="F77" s="13" t="str">
        <f>IF(IFERROR(MATCH(61,ChqRankL,0),0)=0,"",IF(INDEX(ChqStatus,IFERROR(MATCH(61,ChqRankL,0),0))="پاس نشده","—",IF(INDEX(ChqClr,IFERROR(MATCH(61,ChqRankL,0),0))="","—",INDEX(ChqClr,IFERROR(MATCH(61,ChqRankL,0),0)))))</f>
        <v/>
      </c>
      <c r="I77" t="str">
        <f>IF(61&gt;NChq,"",INDEX(ChqNorm,61))</f>
        <v/>
      </c>
      <c r="J77" t="str">
        <f t="shared" si="0"/>
        <v/>
      </c>
      <c r="K77" t="str">
        <f>IF($J77=0,"",INDEX(ChqKey,61))</f>
        <v/>
      </c>
      <c r="L77" t="str">
        <f t="shared" si="1"/>
        <v/>
      </c>
    </row>
    <row r="78" spans="1:12" x14ac:dyDescent="0.2">
      <c r="A78" s="9" t="str">
        <f>IF(IFERROR(MATCH(62,ChqRankL,0),0)=0,"",62)</f>
        <v/>
      </c>
      <c r="B78" s="15" t="str">
        <f>IF(IFERROR(MATCH(62,ChqRankL,0),0)=0,"",INDEX(ChqNorm,IFERROR(MATCH(62,ChqRankL,0),0)))</f>
        <v/>
      </c>
      <c r="C78" s="15" t="str">
        <f>IF(IFERROR(MATCH(62,ChqRankL,0),0)=0,"",INDEX(ChqNo,IFERROR(MATCH(62,ChqRankL,0),0)))</f>
        <v/>
      </c>
      <c r="D78" s="16" t="str">
        <f>IF(IFERROR(MATCH(62,ChqRankL,0),0)=0,"",IF(INDEX(ChqAmt,IFERROR(MATCH(62,ChqRankL,0),0))=0,"",INDEX(ChqAmt,IFERROR(MATCH(62,ChqRankL,0),0))))</f>
        <v/>
      </c>
      <c r="E78" s="10" t="str">
        <f>IF(IFERROR(MATCH(62,ChqRankL,0),0)=0,"",INDEX(ChqStatus,IFERROR(MATCH(62,ChqRankL,0),0)))</f>
        <v/>
      </c>
      <c r="F78" s="15" t="str">
        <f>IF(IFERROR(MATCH(62,ChqRankL,0),0)=0,"",IF(INDEX(ChqStatus,IFERROR(MATCH(62,ChqRankL,0),0))="پاس نشده","—",IF(INDEX(ChqClr,IFERROR(MATCH(62,ChqRankL,0),0))="","—",INDEX(ChqClr,IFERROR(MATCH(62,ChqRankL,0),0)))))</f>
        <v/>
      </c>
      <c r="I78" t="str">
        <f>IF(62&gt;NChq,"",INDEX(ChqNorm,62))</f>
        <v/>
      </c>
      <c r="J78" t="str">
        <f t="shared" si="0"/>
        <v/>
      </c>
      <c r="K78" t="str">
        <f>IF($J78=0,"",INDEX(ChqKey,62))</f>
        <v/>
      </c>
      <c r="L78" t="str">
        <f t="shared" si="1"/>
        <v/>
      </c>
    </row>
    <row r="79" spans="1:12" x14ac:dyDescent="0.2">
      <c r="A79" s="3" t="str">
        <f>IF(IFERROR(MATCH(63,ChqRankL,0),0)=0,"",63)</f>
        <v/>
      </c>
      <c r="B79" s="13" t="str">
        <f>IF(IFERROR(MATCH(63,ChqRankL,0),0)=0,"",INDEX(ChqNorm,IFERROR(MATCH(63,ChqRankL,0),0)))</f>
        <v/>
      </c>
      <c r="C79" s="13" t="str">
        <f>IF(IFERROR(MATCH(63,ChqRankL,0),0)=0,"",INDEX(ChqNo,IFERROR(MATCH(63,ChqRankL,0),0)))</f>
        <v/>
      </c>
      <c r="D79" s="14" t="str">
        <f>IF(IFERROR(MATCH(63,ChqRankL,0),0)=0,"",IF(INDEX(ChqAmt,IFERROR(MATCH(63,ChqRankL,0),0))=0,"",INDEX(ChqAmt,IFERROR(MATCH(63,ChqRankL,0),0))))</f>
        <v/>
      </c>
      <c r="E79" s="7" t="str">
        <f>IF(IFERROR(MATCH(63,ChqRankL,0),0)=0,"",INDEX(ChqStatus,IFERROR(MATCH(63,ChqRankL,0),0)))</f>
        <v/>
      </c>
      <c r="F79" s="13" t="str">
        <f>IF(IFERROR(MATCH(63,ChqRankL,0),0)=0,"",IF(INDEX(ChqStatus,IFERROR(MATCH(63,ChqRankL,0),0))="پاس نشده","—",IF(INDEX(ChqClr,IFERROR(MATCH(63,ChqRankL,0),0))="","—",INDEX(ChqClr,IFERROR(MATCH(63,ChqRankL,0),0)))))</f>
        <v/>
      </c>
      <c r="I79" t="str">
        <f>IF(63&gt;NChq,"",INDEX(ChqNorm,63))</f>
        <v/>
      </c>
      <c r="J79" t="str">
        <f t="shared" si="0"/>
        <v/>
      </c>
      <c r="K79" t="str">
        <f>IF($J79=0,"",INDEX(ChqKey,63))</f>
        <v/>
      </c>
      <c r="L79" t="str">
        <f t="shared" si="1"/>
        <v/>
      </c>
    </row>
    <row r="80" spans="1:12" x14ac:dyDescent="0.2">
      <c r="A80" s="9" t="str">
        <f>IF(IFERROR(MATCH(64,ChqRankL,0),0)=0,"",64)</f>
        <v/>
      </c>
      <c r="B80" s="15" t="str">
        <f>IF(IFERROR(MATCH(64,ChqRankL,0),0)=0,"",INDEX(ChqNorm,IFERROR(MATCH(64,ChqRankL,0),0)))</f>
        <v/>
      </c>
      <c r="C80" s="15" t="str">
        <f>IF(IFERROR(MATCH(64,ChqRankL,0),0)=0,"",INDEX(ChqNo,IFERROR(MATCH(64,ChqRankL,0),0)))</f>
        <v/>
      </c>
      <c r="D80" s="16" t="str">
        <f>IF(IFERROR(MATCH(64,ChqRankL,0),0)=0,"",IF(INDEX(ChqAmt,IFERROR(MATCH(64,ChqRankL,0),0))=0,"",INDEX(ChqAmt,IFERROR(MATCH(64,ChqRankL,0),0))))</f>
        <v/>
      </c>
      <c r="E80" s="10" t="str">
        <f>IF(IFERROR(MATCH(64,ChqRankL,0),0)=0,"",INDEX(ChqStatus,IFERROR(MATCH(64,ChqRankL,0),0)))</f>
        <v/>
      </c>
      <c r="F80" s="15" t="str">
        <f>IF(IFERROR(MATCH(64,ChqRankL,0),0)=0,"",IF(INDEX(ChqStatus,IFERROR(MATCH(64,ChqRankL,0),0))="پاس نشده","—",IF(INDEX(ChqClr,IFERROR(MATCH(64,ChqRankL,0),0))="","—",INDEX(ChqClr,IFERROR(MATCH(64,ChqRankL,0),0)))))</f>
        <v/>
      </c>
      <c r="I80" t="str">
        <f>IF(64&gt;NChq,"",INDEX(ChqNorm,64))</f>
        <v/>
      </c>
      <c r="J80" t="str">
        <f t="shared" si="0"/>
        <v/>
      </c>
      <c r="K80" t="str">
        <f>IF($J80=0,"",INDEX(ChqKey,64))</f>
        <v/>
      </c>
      <c r="L80" t="str">
        <f t="shared" si="1"/>
        <v/>
      </c>
    </row>
    <row r="81" spans="1:12" x14ac:dyDescent="0.2">
      <c r="A81" s="3" t="str">
        <f>IF(IFERROR(MATCH(65,ChqRankL,0),0)=0,"",65)</f>
        <v/>
      </c>
      <c r="B81" s="13" t="str">
        <f>IF(IFERROR(MATCH(65,ChqRankL,0),0)=0,"",INDEX(ChqNorm,IFERROR(MATCH(65,ChqRankL,0),0)))</f>
        <v/>
      </c>
      <c r="C81" s="13" t="str">
        <f>IF(IFERROR(MATCH(65,ChqRankL,0),0)=0,"",INDEX(ChqNo,IFERROR(MATCH(65,ChqRankL,0),0)))</f>
        <v/>
      </c>
      <c r="D81" s="14" t="str">
        <f>IF(IFERROR(MATCH(65,ChqRankL,0),0)=0,"",IF(INDEX(ChqAmt,IFERROR(MATCH(65,ChqRankL,0),0))=0,"",INDEX(ChqAmt,IFERROR(MATCH(65,ChqRankL,0),0))))</f>
        <v/>
      </c>
      <c r="E81" s="7" t="str">
        <f>IF(IFERROR(MATCH(65,ChqRankL,0),0)=0,"",INDEX(ChqStatus,IFERROR(MATCH(65,ChqRankL,0),0)))</f>
        <v/>
      </c>
      <c r="F81" s="13" t="str">
        <f>IF(IFERROR(MATCH(65,ChqRankL,0),0)=0,"",IF(INDEX(ChqStatus,IFERROR(MATCH(65,ChqRankL,0),0))="پاس نشده","—",IF(INDEX(ChqClr,IFERROR(MATCH(65,ChqRankL,0),0))="","—",INDEX(ChqClr,IFERROR(MATCH(65,ChqRankL,0),0)))))</f>
        <v/>
      </c>
      <c r="I81" t="str">
        <f>IF(65&gt;NChq,"",INDEX(ChqNorm,65))</f>
        <v/>
      </c>
      <c r="J81" t="str">
        <f t="shared" ref="J81:J144" si="2">IF($I81="","",IF(AND($I81&gt;=$H$3,$I81&lt;=$H$4),1,0))</f>
        <v/>
      </c>
      <c r="K81" t="str">
        <f>IF($J81=0,"",INDEX(ChqKey,65))</f>
        <v/>
      </c>
      <c r="L81" t="str">
        <f t="shared" ref="L81:L144" si="3">IF($K81="","",COUNTIFS($J$17:$J$516,1,$K$17:$K$516,"&lt;"&amp;$K81)+1)</f>
        <v/>
      </c>
    </row>
    <row r="82" spans="1:12" x14ac:dyDescent="0.2">
      <c r="A82" s="9" t="str">
        <f>IF(IFERROR(MATCH(66,ChqRankL,0),0)=0,"",66)</f>
        <v/>
      </c>
      <c r="B82" s="15" t="str">
        <f>IF(IFERROR(MATCH(66,ChqRankL,0),0)=0,"",INDEX(ChqNorm,IFERROR(MATCH(66,ChqRankL,0),0)))</f>
        <v/>
      </c>
      <c r="C82" s="15" t="str">
        <f>IF(IFERROR(MATCH(66,ChqRankL,0),0)=0,"",INDEX(ChqNo,IFERROR(MATCH(66,ChqRankL,0),0)))</f>
        <v/>
      </c>
      <c r="D82" s="16" t="str">
        <f>IF(IFERROR(MATCH(66,ChqRankL,0),0)=0,"",IF(INDEX(ChqAmt,IFERROR(MATCH(66,ChqRankL,0),0))=0,"",INDEX(ChqAmt,IFERROR(MATCH(66,ChqRankL,0),0))))</f>
        <v/>
      </c>
      <c r="E82" s="10" t="str">
        <f>IF(IFERROR(MATCH(66,ChqRankL,0),0)=0,"",INDEX(ChqStatus,IFERROR(MATCH(66,ChqRankL,0),0)))</f>
        <v/>
      </c>
      <c r="F82" s="15" t="str">
        <f>IF(IFERROR(MATCH(66,ChqRankL,0),0)=0,"",IF(INDEX(ChqStatus,IFERROR(MATCH(66,ChqRankL,0),0))="پاس نشده","—",IF(INDEX(ChqClr,IFERROR(MATCH(66,ChqRankL,0),0))="","—",INDEX(ChqClr,IFERROR(MATCH(66,ChqRankL,0),0)))))</f>
        <v/>
      </c>
      <c r="I82" t="str">
        <f>IF(66&gt;NChq,"",INDEX(ChqNorm,66))</f>
        <v/>
      </c>
      <c r="J82" t="str">
        <f t="shared" si="2"/>
        <v/>
      </c>
      <c r="K82" t="str">
        <f>IF($J82=0,"",INDEX(ChqKey,66))</f>
        <v/>
      </c>
      <c r="L82" t="str">
        <f t="shared" si="3"/>
        <v/>
      </c>
    </row>
    <row r="83" spans="1:12" x14ac:dyDescent="0.2">
      <c r="A83" s="3" t="str">
        <f>IF(IFERROR(MATCH(67,ChqRankL,0),0)=0,"",67)</f>
        <v/>
      </c>
      <c r="B83" s="13" t="str">
        <f>IF(IFERROR(MATCH(67,ChqRankL,0),0)=0,"",INDEX(ChqNorm,IFERROR(MATCH(67,ChqRankL,0),0)))</f>
        <v/>
      </c>
      <c r="C83" s="13" t="str">
        <f>IF(IFERROR(MATCH(67,ChqRankL,0),0)=0,"",INDEX(ChqNo,IFERROR(MATCH(67,ChqRankL,0),0)))</f>
        <v/>
      </c>
      <c r="D83" s="14" t="str">
        <f>IF(IFERROR(MATCH(67,ChqRankL,0),0)=0,"",IF(INDEX(ChqAmt,IFERROR(MATCH(67,ChqRankL,0),0))=0,"",INDEX(ChqAmt,IFERROR(MATCH(67,ChqRankL,0),0))))</f>
        <v/>
      </c>
      <c r="E83" s="7" t="str">
        <f>IF(IFERROR(MATCH(67,ChqRankL,0),0)=0,"",INDEX(ChqStatus,IFERROR(MATCH(67,ChqRankL,0),0)))</f>
        <v/>
      </c>
      <c r="F83" s="13" t="str">
        <f>IF(IFERROR(MATCH(67,ChqRankL,0),0)=0,"",IF(INDEX(ChqStatus,IFERROR(MATCH(67,ChqRankL,0),0))="پاس نشده","—",IF(INDEX(ChqClr,IFERROR(MATCH(67,ChqRankL,0),0))="","—",INDEX(ChqClr,IFERROR(MATCH(67,ChqRankL,0),0)))))</f>
        <v/>
      </c>
      <c r="I83" t="str">
        <f>IF(67&gt;NChq,"",INDEX(ChqNorm,67))</f>
        <v/>
      </c>
      <c r="J83" t="str">
        <f t="shared" si="2"/>
        <v/>
      </c>
      <c r="K83" t="str">
        <f>IF($J83=0,"",INDEX(ChqKey,67))</f>
        <v/>
      </c>
      <c r="L83" t="str">
        <f t="shared" si="3"/>
        <v/>
      </c>
    </row>
    <row r="84" spans="1:12" x14ac:dyDescent="0.2">
      <c r="A84" s="9" t="str">
        <f>IF(IFERROR(MATCH(68,ChqRankL,0),0)=0,"",68)</f>
        <v/>
      </c>
      <c r="B84" s="15" t="str">
        <f>IF(IFERROR(MATCH(68,ChqRankL,0),0)=0,"",INDEX(ChqNorm,IFERROR(MATCH(68,ChqRankL,0),0)))</f>
        <v/>
      </c>
      <c r="C84" s="15" t="str">
        <f>IF(IFERROR(MATCH(68,ChqRankL,0),0)=0,"",INDEX(ChqNo,IFERROR(MATCH(68,ChqRankL,0),0)))</f>
        <v/>
      </c>
      <c r="D84" s="16" t="str">
        <f>IF(IFERROR(MATCH(68,ChqRankL,0),0)=0,"",IF(INDEX(ChqAmt,IFERROR(MATCH(68,ChqRankL,0),0))=0,"",INDEX(ChqAmt,IFERROR(MATCH(68,ChqRankL,0),0))))</f>
        <v/>
      </c>
      <c r="E84" s="10" t="str">
        <f>IF(IFERROR(MATCH(68,ChqRankL,0),0)=0,"",INDEX(ChqStatus,IFERROR(MATCH(68,ChqRankL,0),0)))</f>
        <v/>
      </c>
      <c r="F84" s="15" t="str">
        <f>IF(IFERROR(MATCH(68,ChqRankL,0),0)=0,"",IF(INDEX(ChqStatus,IFERROR(MATCH(68,ChqRankL,0),0))="پاس نشده","—",IF(INDEX(ChqClr,IFERROR(MATCH(68,ChqRankL,0),0))="","—",INDEX(ChqClr,IFERROR(MATCH(68,ChqRankL,0),0)))))</f>
        <v/>
      </c>
      <c r="I84" t="str">
        <f>IF(68&gt;NChq,"",INDEX(ChqNorm,68))</f>
        <v/>
      </c>
      <c r="J84" t="str">
        <f t="shared" si="2"/>
        <v/>
      </c>
      <c r="K84" t="str">
        <f>IF($J84=0,"",INDEX(ChqKey,68))</f>
        <v/>
      </c>
      <c r="L84" t="str">
        <f t="shared" si="3"/>
        <v/>
      </c>
    </row>
    <row r="85" spans="1:12" x14ac:dyDescent="0.2">
      <c r="A85" s="3" t="str">
        <f>IF(IFERROR(MATCH(69,ChqRankL,0),0)=0,"",69)</f>
        <v/>
      </c>
      <c r="B85" s="13" t="str">
        <f>IF(IFERROR(MATCH(69,ChqRankL,0),0)=0,"",INDEX(ChqNorm,IFERROR(MATCH(69,ChqRankL,0),0)))</f>
        <v/>
      </c>
      <c r="C85" s="13" t="str">
        <f>IF(IFERROR(MATCH(69,ChqRankL,0),0)=0,"",INDEX(ChqNo,IFERROR(MATCH(69,ChqRankL,0),0)))</f>
        <v/>
      </c>
      <c r="D85" s="14" t="str">
        <f>IF(IFERROR(MATCH(69,ChqRankL,0),0)=0,"",IF(INDEX(ChqAmt,IFERROR(MATCH(69,ChqRankL,0),0))=0,"",INDEX(ChqAmt,IFERROR(MATCH(69,ChqRankL,0),0))))</f>
        <v/>
      </c>
      <c r="E85" s="7" t="str">
        <f>IF(IFERROR(MATCH(69,ChqRankL,0),0)=0,"",INDEX(ChqStatus,IFERROR(MATCH(69,ChqRankL,0),0)))</f>
        <v/>
      </c>
      <c r="F85" s="13" t="str">
        <f>IF(IFERROR(MATCH(69,ChqRankL,0),0)=0,"",IF(INDEX(ChqStatus,IFERROR(MATCH(69,ChqRankL,0),0))="پاس نشده","—",IF(INDEX(ChqClr,IFERROR(MATCH(69,ChqRankL,0),0))="","—",INDEX(ChqClr,IFERROR(MATCH(69,ChqRankL,0),0)))))</f>
        <v/>
      </c>
      <c r="I85" t="str">
        <f>IF(69&gt;NChq,"",INDEX(ChqNorm,69))</f>
        <v/>
      </c>
      <c r="J85" t="str">
        <f t="shared" si="2"/>
        <v/>
      </c>
      <c r="K85" t="str">
        <f>IF($J85=0,"",INDEX(ChqKey,69))</f>
        <v/>
      </c>
      <c r="L85" t="str">
        <f t="shared" si="3"/>
        <v/>
      </c>
    </row>
    <row r="86" spans="1:12" x14ac:dyDescent="0.2">
      <c r="A86" s="9" t="str">
        <f>IF(IFERROR(MATCH(70,ChqRankL,0),0)=0,"",70)</f>
        <v/>
      </c>
      <c r="B86" s="15" t="str">
        <f>IF(IFERROR(MATCH(70,ChqRankL,0),0)=0,"",INDEX(ChqNorm,IFERROR(MATCH(70,ChqRankL,0),0)))</f>
        <v/>
      </c>
      <c r="C86" s="15" t="str">
        <f>IF(IFERROR(MATCH(70,ChqRankL,0),0)=0,"",INDEX(ChqNo,IFERROR(MATCH(70,ChqRankL,0),0)))</f>
        <v/>
      </c>
      <c r="D86" s="16" t="str">
        <f>IF(IFERROR(MATCH(70,ChqRankL,0),0)=0,"",IF(INDEX(ChqAmt,IFERROR(MATCH(70,ChqRankL,0),0))=0,"",INDEX(ChqAmt,IFERROR(MATCH(70,ChqRankL,0),0))))</f>
        <v/>
      </c>
      <c r="E86" s="10" t="str">
        <f>IF(IFERROR(MATCH(70,ChqRankL,0),0)=0,"",INDEX(ChqStatus,IFERROR(MATCH(70,ChqRankL,0),0)))</f>
        <v/>
      </c>
      <c r="F86" s="15" t="str">
        <f>IF(IFERROR(MATCH(70,ChqRankL,0),0)=0,"",IF(INDEX(ChqStatus,IFERROR(MATCH(70,ChqRankL,0),0))="پاس نشده","—",IF(INDEX(ChqClr,IFERROR(MATCH(70,ChqRankL,0),0))="","—",INDEX(ChqClr,IFERROR(MATCH(70,ChqRankL,0),0)))))</f>
        <v/>
      </c>
      <c r="I86" t="str">
        <f>IF(70&gt;NChq,"",INDEX(ChqNorm,70))</f>
        <v/>
      </c>
      <c r="J86" t="str">
        <f t="shared" si="2"/>
        <v/>
      </c>
      <c r="K86" t="str">
        <f>IF($J86=0,"",INDEX(ChqKey,70))</f>
        <v/>
      </c>
      <c r="L86" t="str">
        <f t="shared" si="3"/>
        <v/>
      </c>
    </row>
    <row r="87" spans="1:12" x14ac:dyDescent="0.2">
      <c r="A87" s="3" t="str">
        <f>IF(IFERROR(MATCH(71,ChqRankL,0),0)=0,"",71)</f>
        <v/>
      </c>
      <c r="B87" s="13" t="str">
        <f>IF(IFERROR(MATCH(71,ChqRankL,0),0)=0,"",INDEX(ChqNorm,IFERROR(MATCH(71,ChqRankL,0),0)))</f>
        <v/>
      </c>
      <c r="C87" s="13" t="str">
        <f>IF(IFERROR(MATCH(71,ChqRankL,0),0)=0,"",INDEX(ChqNo,IFERROR(MATCH(71,ChqRankL,0),0)))</f>
        <v/>
      </c>
      <c r="D87" s="14" t="str">
        <f>IF(IFERROR(MATCH(71,ChqRankL,0),0)=0,"",IF(INDEX(ChqAmt,IFERROR(MATCH(71,ChqRankL,0),0))=0,"",INDEX(ChqAmt,IFERROR(MATCH(71,ChqRankL,0),0))))</f>
        <v/>
      </c>
      <c r="E87" s="7" t="str">
        <f>IF(IFERROR(MATCH(71,ChqRankL,0),0)=0,"",INDEX(ChqStatus,IFERROR(MATCH(71,ChqRankL,0),0)))</f>
        <v/>
      </c>
      <c r="F87" s="13" t="str">
        <f>IF(IFERROR(MATCH(71,ChqRankL,0),0)=0,"",IF(INDEX(ChqStatus,IFERROR(MATCH(71,ChqRankL,0),0))="پاس نشده","—",IF(INDEX(ChqClr,IFERROR(MATCH(71,ChqRankL,0),0))="","—",INDEX(ChqClr,IFERROR(MATCH(71,ChqRankL,0),0)))))</f>
        <v/>
      </c>
      <c r="I87" t="str">
        <f>IF(71&gt;NChq,"",INDEX(ChqNorm,71))</f>
        <v/>
      </c>
      <c r="J87" t="str">
        <f t="shared" si="2"/>
        <v/>
      </c>
      <c r="K87" t="str">
        <f>IF($J87=0,"",INDEX(ChqKey,71))</f>
        <v/>
      </c>
      <c r="L87" t="str">
        <f t="shared" si="3"/>
        <v/>
      </c>
    </row>
    <row r="88" spans="1:12" x14ac:dyDescent="0.2">
      <c r="A88" s="9" t="str">
        <f>IF(IFERROR(MATCH(72,ChqRankL,0),0)=0,"",72)</f>
        <v/>
      </c>
      <c r="B88" s="15" t="str">
        <f>IF(IFERROR(MATCH(72,ChqRankL,0),0)=0,"",INDEX(ChqNorm,IFERROR(MATCH(72,ChqRankL,0),0)))</f>
        <v/>
      </c>
      <c r="C88" s="15" t="str">
        <f>IF(IFERROR(MATCH(72,ChqRankL,0),0)=0,"",INDEX(ChqNo,IFERROR(MATCH(72,ChqRankL,0),0)))</f>
        <v/>
      </c>
      <c r="D88" s="16" t="str">
        <f>IF(IFERROR(MATCH(72,ChqRankL,0),0)=0,"",IF(INDEX(ChqAmt,IFERROR(MATCH(72,ChqRankL,0),0))=0,"",INDEX(ChqAmt,IFERROR(MATCH(72,ChqRankL,0),0))))</f>
        <v/>
      </c>
      <c r="E88" s="10" t="str">
        <f>IF(IFERROR(MATCH(72,ChqRankL,0),0)=0,"",INDEX(ChqStatus,IFERROR(MATCH(72,ChqRankL,0),0)))</f>
        <v/>
      </c>
      <c r="F88" s="15" t="str">
        <f>IF(IFERROR(MATCH(72,ChqRankL,0),0)=0,"",IF(INDEX(ChqStatus,IFERROR(MATCH(72,ChqRankL,0),0))="پاس نشده","—",IF(INDEX(ChqClr,IFERROR(MATCH(72,ChqRankL,0),0))="","—",INDEX(ChqClr,IFERROR(MATCH(72,ChqRankL,0),0)))))</f>
        <v/>
      </c>
      <c r="I88" t="str">
        <f>IF(72&gt;NChq,"",INDEX(ChqNorm,72))</f>
        <v/>
      </c>
      <c r="J88" t="str">
        <f t="shared" si="2"/>
        <v/>
      </c>
      <c r="K88" t="str">
        <f>IF($J88=0,"",INDEX(ChqKey,72))</f>
        <v/>
      </c>
      <c r="L88" t="str">
        <f t="shared" si="3"/>
        <v/>
      </c>
    </row>
    <row r="89" spans="1:12" x14ac:dyDescent="0.2">
      <c r="A89" s="3" t="str">
        <f>IF(IFERROR(MATCH(73,ChqRankL,0),0)=0,"",73)</f>
        <v/>
      </c>
      <c r="B89" s="13" t="str">
        <f>IF(IFERROR(MATCH(73,ChqRankL,0),0)=0,"",INDEX(ChqNorm,IFERROR(MATCH(73,ChqRankL,0),0)))</f>
        <v/>
      </c>
      <c r="C89" s="13" t="str">
        <f>IF(IFERROR(MATCH(73,ChqRankL,0),0)=0,"",INDEX(ChqNo,IFERROR(MATCH(73,ChqRankL,0),0)))</f>
        <v/>
      </c>
      <c r="D89" s="14" t="str">
        <f>IF(IFERROR(MATCH(73,ChqRankL,0),0)=0,"",IF(INDEX(ChqAmt,IFERROR(MATCH(73,ChqRankL,0),0))=0,"",INDEX(ChqAmt,IFERROR(MATCH(73,ChqRankL,0),0))))</f>
        <v/>
      </c>
      <c r="E89" s="7" t="str">
        <f>IF(IFERROR(MATCH(73,ChqRankL,0),0)=0,"",INDEX(ChqStatus,IFERROR(MATCH(73,ChqRankL,0),0)))</f>
        <v/>
      </c>
      <c r="F89" s="13" t="str">
        <f>IF(IFERROR(MATCH(73,ChqRankL,0),0)=0,"",IF(INDEX(ChqStatus,IFERROR(MATCH(73,ChqRankL,0),0))="پاس نشده","—",IF(INDEX(ChqClr,IFERROR(MATCH(73,ChqRankL,0),0))="","—",INDEX(ChqClr,IFERROR(MATCH(73,ChqRankL,0),0)))))</f>
        <v/>
      </c>
      <c r="I89" t="str">
        <f>IF(73&gt;NChq,"",INDEX(ChqNorm,73))</f>
        <v/>
      </c>
      <c r="J89" t="str">
        <f t="shared" si="2"/>
        <v/>
      </c>
      <c r="K89" t="str">
        <f>IF($J89=0,"",INDEX(ChqKey,73))</f>
        <v/>
      </c>
      <c r="L89" t="str">
        <f t="shared" si="3"/>
        <v/>
      </c>
    </row>
    <row r="90" spans="1:12" x14ac:dyDescent="0.2">
      <c r="A90" s="9" t="str">
        <f>IF(IFERROR(MATCH(74,ChqRankL,0),0)=0,"",74)</f>
        <v/>
      </c>
      <c r="B90" s="15" t="str">
        <f>IF(IFERROR(MATCH(74,ChqRankL,0),0)=0,"",INDEX(ChqNorm,IFERROR(MATCH(74,ChqRankL,0),0)))</f>
        <v/>
      </c>
      <c r="C90" s="15" t="str">
        <f>IF(IFERROR(MATCH(74,ChqRankL,0),0)=0,"",INDEX(ChqNo,IFERROR(MATCH(74,ChqRankL,0),0)))</f>
        <v/>
      </c>
      <c r="D90" s="16" t="str">
        <f>IF(IFERROR(MATCH(74,ChqRankL,0),0)=0,"",IF(INDEX(ChqAmt,IFERROR(MATCH(74,ChqRankL,0),0))=0,"",INDEX(ChqAmt,IFERROR(MATCH(74,ChqRankL,0),0))))</f>
        <v/>
      </c>
      <c r="E90" s="10" t="str">
        <f>IF(IFERROR(MATCH(74,ChqRankL,0),0)=0,"",INDEX(ChqStatus,IFERROR(MATCH(74,ChqRankL,0),0)))</f>
        <v/>
      </c>
      <c r="F90" s="15" t="str">
        <f>IF(IFERROR(MATCH(74,ChqRankL,0),0)=0,"",IF(INDEX(ChqStatus,IFERROR(MATCH(74,ChqRankL,0),0))="پاس نشده","—",IF(INDEX(ChqClr,IFERROR(MATCH(74,ChqRankL,0),0))="","—",INDEX(ChqClr,IFERROR(MATCH(74,ChqRankL,0),0)))))</f>
        <v/>
      </c>
      <c r="I90" t="str">
        <f>IF(74&gt;NChq,"",INDEX(ChqNorm,74))</f>
        <v/>
      </c>
      <c r="J90" t="str">
        <f t="shared" si="2"/>
        <v/>
      </c>
      <c r="K90" t="str">
        <f>IF($J90=0,"",INDEX(ChqKey,74))</f>
        <v/>
      </c>
      <c r="L90" t="str">
        <f t="shared" si="3"/>
        <v/>
      </c>
    </row>
    <row r="91" spans="1:12" x14ac:dyDescent="0.2">
      <c r="A91" s="3" t="str">
        <f>IF(IFERROR(MATCH(75,ChqRankL,0),0)=0,"",75)</f>
        <v/>
      </c>
      <c r="B91" s="13" t="str">
        <f>IF(IFERROR(MATCH(75,ChqRankL,0),0)=0,"",INDEX(ChqNorm,IFERROR(MATCH(75,ChqRankL,0),0)))</f>
        <v/>
      </c>
      <c r="C91" s="13" t="str">
        <f>IF(IFERROR(MATCH(75,ChqRankL,0),0)=0,"",INDEX(ChqNo,IFERROR(MATCH(75,ChqRankL,0),0)))</f>
        <v/>
      </c>
      <c r="D91" s="14" t="str">
        <f>IF(IFERROR(MATCH(75,ChqRankL,0),0)=0,"",IF(INDEX(ChqAmt,IFERROR(MATCH(75,ChqRankL,0),0))=0,"",INDEX(ChqAmt,IFERROR(MATCH(75,ChqRankL,0),0))))</f>
        <v/>
      </c>
      <c r="E91" s="7" t="str">
        <f>IF(IFERROR(MATCH(75,ChqRankL,0),0)=0,"",INDEX(ChqStatus,IFERROR(MATCH(75,ChqRankL,0),0)))</f>
        <v/>
      </c>
      <c r="F91" s="13" t="str">
        <f>IF(IFERROR(MATCH(75,ChqRankL,0),0)=0,"",IF(INDEX(ChqStatus,IFERROR(MATCH(75,ChqRankL,0),0))="پاس نشده","—",IF(INDEX(ChqClr,IFERROR(MATCH(75,ChqRankL,0),0))="","—",INDEX(ChqClr,IFERROR(MATCH(75,ChqRankL,0),0)))))</f>
        <v/>
      </c>
      <c r="I91" t="str">
        <f>IF(75&gt;NChq,"",INDEX(ChqNorm,75))</f>
        <v/>
      </c>
      <c r="J91" t="str">
        <f t="shared" si="2"/>
        <v/>
      </c>
      <c r="K91" t="str">
        <f>IF($J91=0,"",INDEX(ChqKey,75))</f>
        <v/>
      </c>
      <c r="L91" t="str">
        <f t="shared" si="3"/>
        <v/>
      </c>
    </row>
    <row r="92" spans="1:12" x14ac:dyDescent="0.2">
      <c r="A92" s="9" t="str">
        <f>IF(IFERROR(MATCH(76,ChqRankL,0),0)=0,"",76)</f>
        <v/>
      </c>
      <c r="B92" s="15" t="str">
        <f>IF(IFERROR(MATCH(76,ChqRankL,0),0)=0,"",INDEX(ChqNorm,IFERROR(MATCH(76,ChqRankL,0),0)))</f>
        <v/>
      </c>
      <c r="C92" s="15" t="str">
        <f>IF(IFERROR(MATCH(76,ChqRankL,0),0)=0,"",INDEX(ChqNo,IFERROR(MATCH(76,ChqRankL,0),0)))</f>
        <v/>
      </c>
      <c r="D92" s="16" t="str">
        <f>IF(IFERROR(MATCH(76,ChqRankL,0),0)=0,"",IF(INDEX(ChqAmt,IFERROR(MATCH(76,ChqRankL,0),0))=0,"",INDEX(ChqAmt,IFERROR(MATCH(76,ChqRankL,0),0))))</f>
        <v/>
      </c>
      <c r="E92" s="10" t="str">
        <f>IF(IFERROR(MATCH(76,ChqRankL,0),0)=0,"",INDEX(ChqStatus,IFERROR(MATCH(76,ChqRankL,0),0)))</f>
        <v/>
      </c>
      <c r="F92" s="15" t="str">
        <f>IF(IFERROR(MATCH(76,ChqRankL,0),0)=0,"",IF(INDEX(ChqStatus,IFERROR(MATCH(76,ChqRankL,0),0))="پاس نشده","—",IF(INDEX(ChqClr,IFERROR(MATCH(76,ChqRankL,0),0))="","—",INDEX(ChqClr,IFERROR(MATCH(76,ChqRankL,0),0)))))</f>
        <v/>
      </c>
      <c r="I92" t="str">
        <f>IF(76&gt;NChq,"",INDEX(ChqNorm,76))</f>
        <v/>
      </c>
      <c r="J92" t="str">
        <f t="shared" si="2"/>
        <v/>
      </c>
      <c r="K92" t="str">
        <f>IF($J92=0,"",INDEX(ChqKey,76))</f>
        <v/>
      </c>
      <c r="L92" t="str">
        <f t="shared" si="3"/>
        <v/>
      </c>
    </row>
    <row r="93" spans="1:12" x14ac:dyDescent="0.2">
      <c r="A93" s="3" t="str">
        <f>IF(IFERROR(MATCH(77,ChqRankL,0),0)=0,"",77)</f>
        <v/>
      </c>
      <c r="B93" s="13" t="str">
        <f>IF(IFERROR(MATCH(77,ChqRankL,0),0)=0,"",INDEX(ChqNorm,IFERROR(MATCH(77,ChqRankL,0),0)))</f>
        <v/>
      </c>
      <c r="C93" s="13" t="str">
        <f>IF(IFERROR(MATCH(77,ChqRankL,0),0)=0,"",INDEX(ChqNo,IFERROR(MATCH(77,ChqRankL,0),0)))</f>
        <v/>
      </c>
      <c r="D93" s="14" t="str">
        <f>IF(IFERROR(MATCH(77,ChqRankL,0),0)=0,"",IF(INDEX(ChqAmt,IFERROR(MATCH(77,ChqRankL,0),0))=0,"",INDEX(ChqAmt,IFERROR(MATCH(77,ChqRankL,0),0))))</f>
        <v/>
      </c>
      <c r="E93" s="7" t="str">
        <f>IF(IFERROR(MATCH(77,ChqRankL,0),0)=0,"",INDEX(ChqStatus,IFERROR(MATCH(77,ChqRankL,0),0)))</f>
        <v/>
      </c>
      <c r="F93" s="13" t="str">
        <f>IF(IFERROR(MATCH(77,ChqRankL,0),0)=0,"",IF(INDEX(ChqStatus,IFERROR(MATCH(77,ChqRankL,0),0))="پاس نشده","—",IF(INDEX(ChqClr,IFERROR(MATCH(77,ChqRankL,0),0))="","—",INDEX(ChqClr,IFERROR(MATCH(77,ChqRankL,0),0)))))</f>
        <v/>
      </c>
      <c r="I93" t="str">
        <f>IF(77&gt;NChq,"",INDEX(ChqNorm,77))</f>
        <v/>
      </c>
      <c r="J93" t="str">
        <f t="shared" si="2"/>
        <v/>
      </c>
      <c r="K93" t="str">
        <f>IF($J93=0,"",INDEX(ChqKey,77))</f>
        <v/>
      </c>
      <c r="L93" t="str">
        <f t="shared" si="3"/>
        <v/>
      </c>
    </row>
    <row r="94" spans="1:12" x14ac:dyDescent="0.2">
      <c r="A94" s="9" t="str">
        <f>IF(IFERROR(MATCH(78,ChqRankL,0),0)=0,"",78)</f>
        <v/>
      </c>
      <c r="B94" s="15" t="str">
        <f>IF(IFERROR(MATCH(78,ChqRankL,0),0)=0,"",INDEX(ChqNorm,IFERROR(MATCH(78,ChqRankL,0),0)))</f>
        <v/>
      </c>
      <c r="C94" s="15" t="str">
        <f>IF(IFERROR(MATCH(78,ChqRankL,0),0)=0,"",INDEX(ChqNo,IFERROR(MATCH(78,ChqRankL,0),0)))</f>
        <v/>
      </c>
      <c r="D94" s="16" t="str">
        <f>IF(IFERROR(MATCH(78,ChqRankL,0),0)=0,"",IF(INDEX(ChqAmt,IFERROR(MATCH(78,ChqRankL,0),0))=0,"",INDEX(ChqAmt,IFERROR(MATCH(78,ChqRankL,0),0))))</f>
        <v/>
      </c>
      <c r="E94" s="10" t="str">
        <f>IF(IFERROR(MATCH(78,ChqRankL,0),0)=0,"",INDEX(ChqStatus,IFERROR(MATCH(78,ChqRankL,0),0)))</f>
        <v/>
      </c>
      <c r="F94" s="15" t="str">
        <f>IF(IFERROR(MATCH(78,ChqRankL,0),0)=0,"",IF(INDEX(ChqStatus,IFERROR(MATCH(78,ChqRankL,0),0))="پاس نشده","—",IF(INDEX(ChqClr,IFERROR(MATCH(78,ChqRankL,0),0))="","—",INDEX(ChqClr,IFERROR(MATCH(78,ChqRankL,0),0)))))</f>
        <v/>
      </c>
      <c r="I94" t="str">
        <f>IF(78&gt;NChq,"",INDEX(ChqNorm,78))</f>
        <v/>
      </c>
      <c r="J94" t="str">
        <f t="shared" si="2"/>
        <v/>
      </c>
      <c r="K94" t="str">
        <f>IF($J94=0,"",INDEX(ChqKey,78))</f>
        <v/>
      </c>
      <c r="L94" t="str">
        <f t="shared" si="3"/>
        <v/>
      </c>
    </row>
    <row r="95" spans="1:12" x14ac:dyDescent="0.2">
      <c r="A95" s="3" t="str">
        <f>IF(IFERROR(MATCH(79,ChqRankL,0),0)=0,"",79)</f>
        <v/>
      </c>
      <c r="B95" s="13" t="str">
        <f>IF(IFERROR(MATCH(79,ChqRankL,0),0)=0,"",INDEX(ChqNorm,IFERROR(MATCH(79,ChqRankL,0),0)))</f>
        <v/>
      </c>
      <c r="C95" s="13" t="str">
        <f>IF(IFERROR(MATCH(79,ChqRankL,0),0)=0,"",INDEX(ChqNo,IFERROR(MATCH(79,ChqRankL,0),0)))</f>
        <v/>
      </c>
      <c r="D95" s="14" t="str">
        <f>IF(IFERROR(MATCH(79,ChqRankL,0),0)=0,"",IF(INDEX(ChqAmt,IFERROR(MATCH(79,ChqRankL,0),0))=0,"",INDEX(ChqAmt,IFERROR(MATCH(79,ChqRankL,0),0))))</f>
        <v/>
      </c>
      <c r="E95" s="7" t="str">
        <f>IF(IFERROR(MATCH(79,ChqRankL,0),0)=0,"",INDEX(ChqStatus,IFERROR(MATCH(79,ChqRankL,0),0)))</f>
        <v/>
      </c>
      <c r="F95" s="13" t="str">
        <f>IF(IFERROR(MATCH(79,ChqRankL,0),0)=0,"",IF(INDEX(ChqStatus,IFERROR(MATCH(79,ChqRankL,0),0))="پاس نشده","—",IF(INDEX(ChqClr,IFERROR(MATCH(79,ChqRankL,0),0))="","—",INDEX(ChqClr,IFERROR(MATCH(79,ChqRankL,0),0)))))</f>
        <v/>
      </c>
      <c r="I95" t="str">
        <f>IF(79&gt;NChq,"",INDEX(ChqNorm,79))</f>
        <v/>
      </c>
      <c r="J95" t="str">
        <f t="shared" si="2"/>
        <v/>
      </c>
      <c r="K95" t="str">
        <f>IF($J95=0,"",INDEX(ChqKey,79))</f>
        <v/>
      </c>
      <c r="L95" t="str">
        <f t="shared" si="3"/>
        <v/>
      </c>
    </row>
    <row r="96" spans="1:12" x14ac:dyDescent="0.2">
      <c r="A96" s="9" t="str">
        <f>IF(IFERROR(MATCH(80,ChqRankL,0),0)=0,"",80)</f>
        <v/>
      </c>
      <c r="B96" s="15" t="str">
        <f>IF(IFERROR(MATCH(80,ChqRankL,0),0)=0,"",INDEX(ChqNorm,IFERROR(MATCH(80,ChqRankL,0),0)))</f>
        <v/>
      </c>
      <c r="C96" s="15" t="str">
        <f>IF(IFERROR(MATCH(80,ChqRankL,0),0)=0,"",INDEX(ChqNo,IFERROR(MATCH(80,ChqRankL,0),0)))</f>
        <v/>
      </c>
      <c r="D96" s="16" t="str">
        <f>IF(IFERROR(MATCH(80,ChqRankL,0),0)=0,"",IF(INDEX(ChqAmt,IFERROR(MATCH(80,ChqRankL,0),0))=0,"",INDEX(ChqAmt,IFERROR(MATCH(80,ChqRankL,0),0))))</f>
        <v/>
      </c>
      <c r="E96" s="10" t="str">
        <f>IF(IFERROR(MATCH(80,ChqRankL,0),0)=0,"",INDEX(ChqStatus,IFERROR(MATCH(80,ChqRankL,0),0)))</f>
        <v/>
      </c>
      <c r="F96" s="15" t="str">
        <f>IF(IFERROR(MATCH(80,ChqRankL,0),0)=0,"",IF(INDEX(ChqStatus,IFERROR(MATCH(80,ChqRankL,0),0))="پاس نشده","—",IF(INDEX(ChqClr,IFERROR(MATCH(80,ChqRankL,0),0))="","—",INDEX(ChqClr,IFERROR(MATCH(80,ChqRankL,0),0)))))</f>
        <v/>
      </c>
      <c r="I96" t="str">
        <f>IF(80&gt;NChq,"",INDEX(ChqNorm,80))</f>
        <v/>
      </c>
      <c r="J96" t="str">
        <f t="shared" si="2"/>
        <v/>
      </c>
      <c r="K96" t="str">
        <f>IF($J96=0,"",INDEX(ChqKey,80))</f>
        <v/>
      </c>
      <c r="L96" t="str">
        <f t="shared" si="3"/>
        <v/>
      </c>
    </row>
    <row r="97" spans="1:12" x14ac:dyDescent="0.2">
      <c r="A97" s="3" t="str">
        <f>IF(IFERROR(MATCH(81,ChqRankL,0),0)=0,"",81)</f>
        <v/>
      </c>
      <c r="B97" s="13" t="str">
        <f>IF(IFERROR(MATCH(81,ChqRankL,0),0)=0,"",INDEX(ChqNorm,IFERROR(MATCH(81,ChqRankL,0),0)))</f>
        <v/>
      </c>
      <c r="C97" s="13" t="str">
        <f>IF(IFERROR(MATCH(81,ChqRankL,0),0)=0,"",INDEX(ChqNo,IFERROR(MATCH(81,ChqRankL,0),0)))</f>
        <v/>
      </c>
      <c r="D97" s="14" t="str">
        <f>IF(IFERROR(MATCH(81,ChqRankL,0),0)=0,"",IF(INDEX(ChqAmt,IFERROR(MATCH(81,ChqRankL,0),0))=0,"",INDEX(ChqAmt,IFERROR(MATCH(81,ChqRankL,0),0))))</f>
        <v/>
      </c>
      <c r="E97" s="7" t="str">
        <f>IF(IFERROR(MATCH(81,ChqRankL,0),0)=0,"",INDEX(ChqStatus,IFERROR(MATCH(81,ChqRankL,0),0)))</f>
        <v/>
      </c>
      <c r="F97" s="13" t="str">
        <f>IF(IFERROR(MATCH(81,ChqRankL,0),0)=0,"",IF(INDEX(ChqStatus,IFERROR(MATCH(81,ChqRankL,0),0))="پاس نشده","—",IF(INDEX(ChqClr,IFERROR(MATCH(81,ChqRankL,0),0))="","—",INDEX(ChqClr,IFERROR(MATCH(81,ChqRankL,0),0)))))</f>
        <v/>
      </c>
      <c r="I97" t="str">
        <f>IF(81&gt;NChq,"",INDEX(ChqNorm,81))</f>
        <v/>
      </c>
      <c r="J97" t="str">
        <f t="shared" si="2"/>
        <v/>
      </c>
      <c r="K97" t="str">
        <f>IF($J97=0,"",INDEX(ChqKey,81))</f>
        <v/>
      </c>
      <c r="L97" t="str">
        <f t="shared" si="3"/>
        <v/>
      </c>
    </row>
    <row r="98" spans="1:12" x14ac:dyDescent="0.2">
      <c r="A98" s="9" t="str">
        <f>IF(IFERROR(MATCH(82,ChqRankL,0),0)=0,"",82)</f>
        <v/>
      </c>
      <c r="B98" s="15" t="str">
        <f>IF(IFERROR(MATCH(82,ChqRankL,0),0)=0,"",INDEX(ChqNorm,IFERROR(MATCH(82,ChqRankL,0),0)))</f>
        <v/>
      </c>
      <c r="C98" s="15" t="str">
        <f>IF(IFERROR(MATCH(82,ChqRankL,0),0)=0,"",INDEX(ChqNo,IFERROR(MATCH(82,ChqRankL,0),0)))</f>
        <v/>
      </c>
      <c r="D98" s="16" t="str">
        <f>IF(IFERROR(MATCH(82,ChqRankL,0),0)=0,"",IF(INDEX(ChqAmt,IFERROR(MATCH(82,ChqRankL,0),0))=0,"",INDEX(ChqAmt,IFERROR(MATCH(82,ChqRankL,0),0))))</f>
        <v/>
      </c>
      <c r="E98" s="10" t="str">
        <f>IF(IFERROR(MATCH(82,ChqRankL,0),0)=0,"",INDEX(ChqStatus,IFERROR(MATCH(82,ChqRankL,0),0)))</f>
        <v/>
      </c>
      <c r="F98" s="15" t="str">
        <f>IF(IFERROR(MATCH(82,ChqRankL,0),0)=0,"",IF(INDEX(ChqStatus,IFERROR(MATCH(82,ChqRankL,0),0))="پاس نشده","—",IF(INDEX(ChqClr,IFERROR(MATCH(82,ChqRankL,0),0))="","—",INDEX(ChqClr,IFERROR(MATCH(82,ChqRankL,0),0)))))</f>
        <v/>
      </c>
      <c r="I98" t="str">
        <f>IF(82&gt;NChq,"",INDEX(ChqNorm,82))</f>
        <v/>
      </c>
      <c r="J98" t="str">
        <f t="shared" si="2"/>
        <v/>
      </c>
      <c r="K98" t="str">
        <f>IF($J98=0,"",INDEX(ChqKey,82))</f>
        <v/>
      </c>
      <c r="L98" t="str">
        <f t="shared" si="3"/>
        <v/>
      </c>
    </row>
    <row r="99" spans="1:12" x14ac:dyDescent="0.2">
      <c r="A99" s="3" t="str">
        <f>IF(IFERROR(MATCH(83,ChqRankL,0),0)=0,"",83)</f>
        <v/>
      </c>
      <c r="B99" s="13" t="str">
        <f>IF(IFERROR(MATCH(83,ChqRankL,0),0)=0,"",INDEX(ChqNorm,IFERROR(MATCH(83,ChqRankL,0),0)))</f>
        <v/>
      </c>
      <c r="C99" s="13" t="str">
        <f>IF(IFERROR(MATCH(83,ChqRankL,0),0)=0,"",INDEX(ChqNo,IFERROR(MATCH(83,ChqRankL,0),0)))</f>
        <v/>
      </c>
      <c r="D99" s="14" t="str">
        <f>IF(IFERROR(MATCH(83,ChqRankL,0),0)=0,"",IF(INDEX(ChqAmt,IFERROR(MATCH(83,ChqRankL,0),0))=0,"",INDEX(ChqAmt,IFERROR(MATCH(83,ChqRankL,0),0))))</f>
        <v/>
      </c>
      <c r="E99" s="7" t="str">
        <f>IF(IFERROR(MATCH(83,ChqRankL,0),0)=0,"",INDEX(ChqStatus,IFERROR(MATCH(83,ChqRankL,0),0)))</f>
        <v/>
      </c>
      <c r="F99" s="13" t="str">
        <f>IF(IFERROR(MATCH(83,ChqRankL,0),0)=0,"",IF(INDEX(ChqStatus,IFERROR(MATCH(83,ChqRankL,0),0))="پاس نشده","—",IF(INDEX(ChqClr,IFERROR(MATCH(83,ChqRankL,0),0))="","—",INDEX(ChqClr,IFERROR(MATCH(83,ChqRankL,0),0)))))</f>
        <v/>
      </c>
      <c r="I99" t="str">
        <f>IF(83&gt;NChq,"",INDEX(ChqNorm,83))</f>
        <v/>
      </c>
      <c r="J99" t="str">
        <f t="shared" si="2"/>
        <v/>
      </c>
      <c r="K99" t="str">
        <f>IF($J99=0,"",INDEX(ChqKey,83))</f>
        <v/>
      </c>
      <c r="L99" t="str">
        <f t="shared" si="3"/>
        <v/>
      </c>
    </row>
    <row r="100" spans="1:12" x14ac:dyDescent="0.2">
      <c r="A100" s="9" t="str">
        <f>IF(IFERROR(MATCH(84,ChqRankL,0),0)=0,"",84)</f>
        <v/>
      </c>
      <c r="B100" s="15" t="str">
        <f>IF(IFERROR(MATCH(84,ChqRankL,0),0)=0,"",INDEX(ChqNorm,IFERROR(MATCH(84,ChqRankL,0),0)))</f>
        <v/>
      </c>
      <c r="C100" s="15" t="str">
        <f>IF(IFERROR(MATCH(84,ChqRankL,0),0)=0,"",INDEX(ChqNo,IFERROR(MATCH(84,ChqRankL,0),0)))</f>
        <v/>
      </c>
      <c r="D100" s="16" t="str">
        <f>IF(IFERROR(MATCH(84,ChqRankL,0),0)=0,"",IF(INDEX(ChqAmt,IFERROR(MATCH(84,ChqRankL,0),0))=0,"",INDEX(ChqAmt,IFERROR(MATCH(84,ChqRankL,0),0))))</f>
        <v/>
      </c>
      <c r="E100" s="10" t="str">
        <f>IF(IFERROR(MATCH(84,ChqRankL,0),0)=0,"",INDEX(ChqStatus,IFERROR(MATCH(84,ChqRankL,0),0)))</f>
        <v/>
      </c>
      <c r="F100" s="15" t="str">
        <f>IF(IFERROR(MATCH(84,ChqRankL,0),0)=0,"",IF(INDEX(ChqStatus,IFERROR(MATCH(84,ChqRankL,0),0))="پاس نشده","—",IF(INDEX(ChqClr,IFERROR(MATCH(84,ChqRankL,0),0))="","—",INDEX(ChqClr,IFERROR(MATCH(84,ChqRankL,0),0)))))</f>
        <v/>
      </c>
      <c r="I100" t="str">
        <f>IF(84&gt;NChq,"",INDEX(ChqNorm,84))</f>
        <v/>
      </c>
      <c r="J100" t="str">
        <f t="shared" si="2"/>
        <v/>
      </c>
      <c r="K100" t="str">
        <f>IF($J100=0,"",INDEX(ChqKey,84))</f>
        <v/>
      </c>
      <c r="L100" t="str">
        <f t="shared" si="3"/>
        <v/>
      </c>
    </row>
    <row r="101" spans="1:12" x14ac:dyDescent="0.2">
      <c r="A101" s="3" t="str">
        <f>IF(IFERROR(MATCH(85,ChqRankL,0),0)=0,"",85)</f>
        <v/>
      </c>
      <c r="B101" s="13" t="str">
        <f>IF(IFERROR(MATCH(85,ChqRankL,0),0)=0,"",INDEX(ChqNorm,IFERROR(MATCH(85,ChqRankL,0),0)))</f>
        <v/>
      </c>
      <c r="C101" s="13" t="str">
        <f>IF(IFERROR(MATCH(85,ChqRankL,0),0)=0,"",INDEX(ChqNo,IFERROR(MATCH(85,ChqRankL,0),0)))</f>
        <v/>
      </c>
      <c r="D101" s="14" t="str">
        <f>IF(IFERROR(MATCH(85,ChqRankL,0),0)=0,"",IF(INDEX(ChqAmt,IFERROR(MATCH(85,ChqRankL,0),0))=0,"",INDEX(ChqAmt,IFERROR(MATCH(85,ChqRankL,0),0))))</f>
        <v/>
      </c>
      <c r="E101" s="7" t="str">
        <f>IF(IFERROR(MATCH(85,ChqRankL,0),0)=0,"",INDEX(ChqStatus,IFERROR(MATCH(85,ChqRankL,0),0)))</f>
        <v/>
      </c>
      <c r="F101" s="13" t="str">
        <f>IF(IFERROR(MATCH(85,ChqRankL,0),0)=0,"",IF(INDEX(ChqStatus,IFERROR(MATCH(85,ChqRankL,0),0))="پاس نشده","—",IF(INDEX(ChqClr,IFERROR(MATCH(85,ChqRankL,0),0))="","—",INDEX(ChqClr,IFERROR(MATCH(85,ChqRankL,0),0)))))</f>
        <v/>
      </c>
      <c r="I101" t="str">
        <f>IF(85&gt;NChq,"",INDEX(ChqNorm,85))</f>
        <v/>
      </c>
      <c r="J101" t="str">
        <f t="shared" si="2"/>
        <v/>
      </c>
      <c r="K101" t="str">
        <f>IF($J101=0,"",INDEX(ChqKey,85))</f>
        <v/>
      </c>
      <c r="L101" t="str">
        <f t="shared" si="3"/>
        <v/>
      </c>
    </row>
    <row r="102" spans="1:12" x14ac:dyDescent="0.2">
      <c r="A102" s="9" t="str">
        <f>IF(IFERROR(MATCH(86,ChqRankL,0),0)=0,"",86)</f>
        <v/>
      </c>
      <c r="B102" s="15" t="str">
        <f>IF(IFERROR(MATCH(86,ChqRankL,0),0)=0,"",INDEX(ChqNorm,IFERROR(MATCH(86,ChqRankL,0),0)))</f>
        <v/>
      </c>
      <c r="C102" s="15" t="str">
        <f>IF(IFERROR(MATCH(86,ChqRankL,0),0)=0,"",INDEX(ChqNo,IFERROR(MATCH(86,ChqRankL,0),0)))</f>
        <v/>
      </c>
      <c r="D102" s="16" t="str">
        <f>IF(IFERROR(MATCH(86,ChqRankL,0),0)=0,"",IF(INDEX(ChqAmt,IFERROR(MATCH(86,ChqRankL,0),0))=0,"",INDEX(ChqAmt,IFERROR(MATCH(86,ChqRankL,0),0))))</f>
        <v/>
      </c>
      <c r="E102" s="10" t="str">
        <f>IF(IFERROR(MATCH(86,ChqRankL,0),0)=0,"",INDEX(ChqStatus,IFERROR(MATCH(86,ChqRankL,0),0)))</f>
        <v/>
      </c>
      <c r="F102" s="15" t="str">
        <f>IF(IFERROR(MATCH(86,ChqRankL,0),0)=0,"",IF(INDEX(ChqStatus,IFERROR(MATCH(86,ChqRankL,0),0))="پاس نشده","—",IF(INDEX(ChqClr,IFERROR(MATCH(86,ChqRankL,0),0))="","—",INDEX(ChqClr,IFERROR(MATCH(86,ChqRankL,0),0)))))</f>
        <v/>
      </c>
      <c r="I102" t="str">
        <f>IF(86&gt;NChq,"",INDEX(ChqNorm,86))</f>
        <v/>
      </c>
      <c r="J102" t="str">
        <f t="shared" si="2"/>
        <v/>
      </c>
      <c r="K102" t="str">
        <f>IF($J102=0,"",INDEX(ChqKey,86))</f>
        <v/>
      </c>
      <c r="L102" t="str">
        <f t="shared" si="3"/>
        <v/>
      </c>
    </row>
    <row r="103" spans="1:12" x14ac:dyDescent="0.2">
      <c r="A103" s="3" t="str">
        <f>IF(IFERROR(MATCH(87,ChqRankL,0),0)=0,"",87)</f>
        <v/>
      </c>
      <c r="B103" s="13" t="str">
        <f>IF(IFERROR(MATCH(87,ChqRankL,0),0)=0,"",INDEX(ChqNorm,IFERROR(MATCH(87,ChqRankL,0),0)))</f>
        <v/>
      </c>
      <c r="C103" s="13" t="str">
        <f>IF(IFERROR(MATCH(87,ChqRankL,0),0)=0,"",INDEX(ChqNo,IFERROR(MATCH(87,ChqRankL,0),0)))</f>
        <v/>
      </c>
      <c r="D103" s="14" t="str">
        <f>IF(IFERROR(MATCH(87,ChqRankL,0),0)=0,"",IF(INDEX(ChqAmt,IFERROR(MATCH(87,ChqRankL,0),0))=0,"",INDEX(ChqAmt,IFERROR(MATCH(87,ChqRankL,0),0))))</f>
        <v/>
      </c>
      <c r="E103" s="7" t="str">
        <f>IF(IFERROR(MATCH(87,ChqRankL,0),0)=0,"",INDEX(ChqStatus,IFERROR(MATCH(87,ChqRankL,0),0)))</f>
        <v/>
      </c>
      <c r="F103" s="13" t="str">
        <f>IF(IFERROR(MATCH(87,ChqRankL,0),0)=0,"",IF(INDEX(ChqStatus,IFERROR(MATCH(87,ChqRankL,0),0))="پاس نشده","—",IF(INDEX(ChqClr,IFERROR(MATCH(87,ChqRankL,0),0))="","—",INDEX(ChqClr,IFERROR(MATCH(87,ChqRankL,0),0)))))</f>
        <v/>
      </c>
      <c r="I103" t="str">
        <f>IF(87&gt;NChq,"",INDEX(ChqNorm,87))</f>
        <v/>
      </c>
      <c r="J103" t="str">
        <f t="shared" si="2"/>
        <v/>
      </c>
      <c r="K103" t="str">
        <f>IF($J103=0,"",INDEX(ChqKey,87))</f>
        <v/>
      </c>
      <c r="L103" t="str">
        <f t="shared" si="3"/>
        <v/>
      </c>
    </row>
    <row r="104" spans="1:12" x14ac:dyDescent="0.2">
      <c r="A104" s="9" t="str">
        <f>IF(IFERROR(MATCH(88,ChqRankL,0),0)=0,"",88)</f>
        <v/>
      </c>
      <c r="B104" s="15" t="str">
        <f>IF(IFERROR(MATCH(88,ChqRankL,0),0)=0,"",INDEX(ChqNorm,IFERROR(MATCH(88,ChqRankL,0),0)))</f>
        <v/>
      </c>
      <c r="C104" s="15" t="str">
        <f>IF(IFERROR(MATCH(88,ChqRankL,0),0)=0,"",INDEX(ChqNo,IFERROR(MATCH(88,ChqRankL,0),0)))</f>
        <v/>
      </c>
      <c r="D104" s="16" t="str">
        <f>IF(IFERROR(MATCH(88,ChqRankL,0),0)=0,"",IF(INDEX(ChqAmt,IFERROR(MATCH(88,ChqRankL,0),0))=0,"",INDEX(ChqAmt,IFERROR(MATCH(88,ChqRankL,0),0))))</f>
        <v/>
      </c>
      <c r="E104" s="10" t="str">
        <f>IF(IFERROR(MATCH(88,ChqRankL,0),0)=0,"",INDEX(ChqStatus,IFERROR(MATCH(88,ChqRankL,0),0)))</f>
        <v/>
      </c>
      <c r="F104" s="15" t="str">
        <f>IF(IFERROR(MATCH(88,ChqRankL,0),0)=0,"",IF(INDEX(ChqStatus,IFERROR(MATCH(88,ChqRankL,0),0))="پاس نشده","—",IF(INDEX(ChqClr,IFERROR(MATCH(88,ChqRankL,0),0))="","—",INDEX(ChqClr,IFERROR(MATCH(88,ChqRankL,0),0)))))</f>
        <v/>
      </c>
      <c r="I104" t="str">
        <f>IF(88&gt;NChq,"",INDEX(ChqNorm,88))</f>
        <v/>
      </c>
      <c r="J104" t="str">
        <f t="shared" si="2"/>
        <v/>
      </c>
      <c r="K104" t="str">
        <f>IF($J104=0,"",INDEX(ChqKey,88))</f>
        <v/>
      </c>
      <c r="L104" t="str">
        <f t="shared" si="3"/>
        <v/>
      </c>
    </row>
    <row r="105" spans="1:12" x14ac:dyDescent="0.2">
      <c r="A105" s="3" t="str">
        <f>IF(IFERROR(MATCH(89,ChqRankL,0),0)=0,"",89)</f>
        <v/>
      </c>
      <c r="B105" s="13" t="str">
        <f>IF(IFERROR(MATCH(89,ChqRankL,0),0)=0,"",INDEX(ChqNorm,IFERROR(MATCH(89,ChqRankL,0),0)))</f>
        <v/>
      </c>
      <c r="C105" s="13" t="str">
        <f>IF(IFERROR(MATCH(89,ChqRankL,0),0)=0,"",INDEX(ChqNo,IFERROR(MATCH(89,ChqRankL,0),0)))</f>
        <v/>
      </c>
      <c r="D105" s="14" t="str">
        <f>IF(IFERROR(MATCH(89,ChqRankL,0),0)=0,"",IF(INDEX(ChqAmt,IFERROR(MATCH(89,ChqRankL,0),0))=0,"",INDEX(ChqAmt,IFERROR(MATCH(89,ChqRankL,0),0))))</f>
        <v/>
      </c>
      <c r="E105" s="7" t="str">
        <f>IF(IFERROR(MATCH(89,ChqRankL,0),0)=0,"",INDEX(ChqStatus,IFERROR(MATCH(89,ChqRankL,0),0)))</f>
        <v/>
      </c>
      <c r="F105" s="13" t="str">
        <f>IF(IFERROR(MATCH(89,ChqRankL,0),0)=0,"",IF(INDEX(ChqStatus,IFERROR(MATCH(89,ChqRankL,0),0))="پاس نشده","—",IF(INDEX(ChqClr,IFERROR(MATCH(89,ChqRankL,0),0))="","—",INDEX(ChqClr,IFERROR(MATCH(89,ChqRankL,0),0)))))</f>
        <v/>
      </c>
      <c r="I105" t="str">
        <f>IF(89&gt;NChq,"",INDEX(ChqNorm,89))</f>
        <v/>
      </c>
      <c r="J105" t="str">
        <f t="shared" si="2"/>
        <v/>
      </c>
      <c r="K105" t="str">
        <f>IF($J105=0,"",INDEX(ChqKey,89))</f>
        <v/>
      </c>
      <c r="L105" t="str">
        <f t="shared" si="3"/>
        <v/>
      </c>
    </row>
    <row r="106" spans="1:12" x14ac:dyDescent="0.2">
      <c r="A106" s="9" t="str">
        <f>IF(IFERROR(MATCH(90,ChqRankL,0),0)=0,"",90)</f>
        <v/>
      </c>
      <c r="B106" s="15" t="str">
        <f>IF(IFERROR(MATCH(90,ChqRankL,0),0)=0,"",INDEX(ChqNorm,IFERROR(MATCH(90,ChqRankL,0),0)))</f>
        <v/>
      </c>
      <c r="C106" s="15" t="str">
        <f>IF(IFERROR(MATCH(90,ChqRankL,0),0)=0,"",INDEX(ChqNo,IFERROR(MATCH(90,ChqRankL,0),0)))</f>
        <v/>
      </c>
      <c r="D106" s="16" t="str">
        <f>IF(IFERROR(MATCH(90,ChqRankL,0),0)=0,"",IF(INDEX(ChqAmt,IFERROR(MATCH(90,ChqRankL,0),0))=0,"",INDEX(ChqAmt,IFERROR(MATCH(90,ChqRankL,0),0))))</f>
        <v/>
      </c>
      <c r="E106" s="10" t="str">
        <f>IF(IFERROR(MATCH(90,ChqRankL,0),0)=0,"",INDEX(ChqStatus,IFERROR(MATCH(90,ChqRankL,0),0)))</f>
        <v/>
      </c>
      <c r="F106" s="15" t="str">
        <f>IF(IFERROR(MATCH(90,ChqRankL,0),0)=0,"",IF(INDEX(ChqStatus,IFERROR(MATCH(90,ChqRankL,0),0))="پاس نشده","—",IF(INDEX(ChqClr,IFERROR(MATCH(90,ChqRankL,0),0))="","—",INDEX(ChqClr,IFERROR(MATCH(90,ChqRankL,0),0)))))</f>
        <v/>
      </c>
      <c r="I106" t="str">
        <f>IF(90&gt;NChq,"",INDEX(ChqNorm,90))</f>
        <v/>
      </c>
      <c r="J106" t="str">
        <f t="shared" si="2"/>
        <v/>
      </c>
      <c r="K106" t="str">
        <f>IF($J106=0,"",INDEX(ChqKey,90))</f>
        <v/>
      </c>
      <c r="L106" t="str">
        <f t="shared" si="3"/>
        <v/>
      </c>
    </row>
    <row r="107" spans="1:12" x14ac:dyDescent="0.2">
      <c r="A107" s="3" t="str">
        <f>IF(IFERROR(MATCH(91,ChqRankL,0),0)=0,"",91)</f>
        <v/>
      </c>
      <c r="B107" s="13" t="str">
        <f>IF(IFERROR(MATCH(91,ChqRankL,0),0)=0,"",INDEX(ChqNorm,IFERROR(MATCH(91,ChqRankL,0),0)))</f>
        <v/>
      </c>
      <c r="C107" s="13" t="str">
        <f>IF(IFERROR(MATCH(91,ChqRankL,0),0)=0,"",INDEX(ChqNo,IFERROR(MATCH(91,ChqRankL,0),0)))</f>
        <v/>
      </c>
      <c r="D107" s="14" t="str">
        <f>IF(IFERROR(MATCH(91,ChqRankL,0),0)=0,"",IF(INDEX(ChqAmt,IFERROR(MATCH(91,ChqRankL,0),0))=0,"",INDEX(ChqAmt,IFERROR(MATCH(91,ChqRankL,0),0))))</f>
        <v/>
      </c>
      <c r="E107" s="7" t="str">
        <f>IF(IFERROR(MATCH(91,ChqRankL,0),0)=0,"",INDEX(ChqStatus,IFERROR(MATCH(91,ChqRankL,0),0)))</f>
        <v/>
      </c>
      <c r="F107" s="13" t="str">
        <f>IF(IFERROR(MATCH(91,ChqRankL,0),0)=0,"",IF(INDEX(ChqStatus,IFERROR(MATCH(91,ChqRankL,0),0))="پاس نشده","—",IF(INDEX(ChqClr,IFERROR(MATCH(91,ChqRankL,0),0))="","—",INDEX(ChqClr,IFERROR(MATCH(91,ChqRankL,0),0)))))</f>
        <v/>
      </c>
      <c r="I107" t="str">
        <f>IF(91&gt;NChq,"",INDEX(ChqNorm,91))</f>
        <v/>
      </c>
      <c r="J107" t="str">
        <f t="shared" si="2"/>
        <v/>
      </c>
      <c r="K107" t="str">
        <f>IF($J107=0,"",INDEX(ChqKey,91))</f>
        <v/>
      </c>
      <c r="L107" t="str">
        <f t="shared" si="3"/>
        <v/>
      </c>
    </row>
    <row r="108" spans="1:12" x14ac:dyDescent="0.2">
      <c r="A108" s="9" t="str">
        <f>IF(IFERROR(MATCH(92,ChqRankL,0),0)=0,"",92)</f>
        <v/>
      </c>
      <c r="B108" s="15" t="str">
        <f>IF(IFERROR(MATCH(92,ChqRankL,0),0)=0,"",INDEX(ChqNorm,IFERROR(MATCH(92,ChqRankL,0),0)))</f>
        <v/>
      </c>
      <c r="C108" s="15" t="str">
        <f>IF(IFERROR(MATCH(92,ChqRankL,0),0)=0,"",INDEX(ChqNo,IFERROR(MATCH(92,ChqRankL,0),0)))</f>
        <v/>
      </c>
      <c r="D108" s="16" t="str">
        <f>IF(IFERROR(MATCH(92,ChqRankL,0),0)=0,"",IF(INDEX(ChqAmt,IFERROR(MATCH(92,ChqRankL,0),0))=0,"",INDEX(ChqAmt,IFERROR(MATCH(92,ChqRankL,0),0))))</f>
        <v/>
      </c>
      <c r="E108" s="10" t="str">
        <f>IF(IFERROR(MATCH(92,ChqRankL,0),0)=0,"",INDEX(ChqStatus,IFERROR(MATCH(92,ChqRankL,0),0)))</f>
        <v/>
      </c>
      <c r="F108" s="15" t="str">
        <f>IF(IFERROR(MATCH(92,ChqRankL,0),0)=0,"",IF(INDEX(ChqStatus,IFERROR(MATCH(92,ChqRankL,0),0))="پاس نشده","—",IF(INDEX(ChqClr,IFERROR(MATCH(92,ChqRankL,0),0))="","—",INDEX(ChqClr,IFERROR(MATCH(92,ChqRankL,0),0)))))</f>
        <v/>
      </c>
      <c r="I108" t="str">
        <f>IF(92&gt;NChq,"",INDEX(ChqNorm,92))</f>
        <v/>
      </c>
      <c r="J108" t="str">
        <f t="shared" si="2"/>
        <v/>
      </c>
      <c r="K108" t="str">
        <f>IF($J108=0,"",INDEX(ChqKey,92))</f>
        <v/>
      </c>
      <c r="L108" t="str">
        <f t="shared" si="3"/>
        <v/>
      </c>
    </row>
    <row r="109" spans="1:12" x14ac:dyDescent="0.2">
      <c r="A109" s="3" t="str">
        <f>IF(IFERROR(MATCH(93,ChqRankL,0),0)=0,"",93)</f>
        <v/>
      </c>
      <c r="B109" s="13" t="str">
        <f>IF(IFERROR(MATCH(93,ChqRankL,0),0)=0,"",INDEX(ChqNorm,IFERROR(MATCH(93,ChqRankL,0),0)))</f>
        <v/>
      </c>
      <c r="C109" s="13" t="str">
        <f>IF(IFERROR(MATCH(93,ChqRankL,0),0)=0,"",INDEX(ChqNo,IFERROR(MATCH(93,ChqRankL,0),0)))</f>
        <v/>
      </c>
      <c r="D109" s="14" t="str">
        <f>IF(IFERROR(MATCH(93,ChqRankL,0),0)=0,"",IF(INDEX(ChqAmt,IFERROR(MATCH(93,ChqRankL,0),0))=0,"",INDEX(ChqAmt,IFERROR(MATCH(93,ChqRankL,0),0))))</f>
        <v/>
      </c>
      <c r="E109" s="7" t="str">
        <f>IF(IFERROR(MATCH(93,ChqRankL,0),0)=0,"",INDEX(ChqStatus,IFERROR(MATCH(93,ChqRankL,0),0)))</f>
        <v/>
      </c>
      <c r="F109" s="13" t="str">
        <f>IF(IFERROR(MATCH(93,ChqRankL,0),0)=0,"",IF(INDEX(ChqStatus,IFERROR(MATCH(93,ChqRankL,0),0))="پاس نشده","—",IF(INDEX(ChqClr,IFERROR(MATCH(93,ChqRankL,0),0))="","—",INDEX(ChqClr,IFERROR(MATCH(93,ChqRankL,0),0)))))</f>
        <v/>
      </c>
      <c r="I109" t="str">
        <f>IF(93&gt;NChq,"",INDEX(ChqNorm,93))</f>
        <v/>
      </c>
      <c r="J109" t="str">
        <f t="shared" si="2"/>
        <v/>
      </c>
      <c r="K109" t="str">
        <f>IF($J109=0,"",INDEX(ChqKey,93))</f>
        <v/>
      </c>
      <c r="L109" t="str">
        <f t="shared" si="3"/>
        <v/>
      </c>
    </row>
    <row r="110" spans="1:12" x14ac:dyDescent="0.2">
      <c r="A110" s="9" t="str">
        <f>IF(IFERROR(MATCH(94,ChqRankL,0),0)=0,"",94)</f>
        <v/>
      </c>
      <c r="B110" s="15" t="str">
        <f>IF(IFERROR(MATCH(94,ChqRankL,0),0)=0,"",INDEX(ChqNorm,IFERROR(MATCH(94,ChqRankL,0),0)))</f>
        <v/>
      </c>
      <c r="C110" s="15" t="str">
        <f>IF(IFERROR(MATCH(94,ChqRankL,0),0)=0,"",INDEX(ChqNo,IFERROR(MATCH(94,ChqRankL,0),0)))</f>
        <v/>
      </c>
      <c r="D110" s="16" t="str">
        <f>IF(IFERROR(MATCH(94,ChqRankL,0),0)=0,"",IF(INDEX(ChqAmt,IFERROR(MATCH(94,ChqRankL,0),0))=0,"",INDEX(ChqAmt,IFERROR(MATCH(94,ChqRankL,0),0))))</f>
        <v/>
      </c>
      <c r="E110" s="10" t="str">
        <f>IF(IFERROR(MATCH(94,ChqRankL,0),0)=0,"",INDEX(ChqStatus,IFERROR(MATCH(94,ChqRankL,0),0)))</f>
        <v/>
      </c>
      <c r="F110" s="15" t="str">
        <f>IF(IFERROR(MATCH(94,ChqRankL,0),0)=0,"",IF(INDEX(ChqStatus,IFERROR(MATCH(94,ChqRankL,0),0))="پاس نشده","—",IF(INDEX(ChqClr,IFERROR(MATCH(94,ChqRankL,0),0))="","—",INDEX(ChqClr,IFERROR(MATCH(94,ChqRankL,0),0)))))</f>
        <v/>
      </c>
      <c r="I110" t="str">
        <f>IF(94&gt;NChq,"",INDEX(ChqNorm,94))</f>
        <v/>
      </c>
      <c r="J110" t="str">
        <f t="shared" si="2"/>
        <v/>
      </c>
      <c r="K110" t="str">
        <f>IF($J110=0,"",INDEX(ChqKey,94))</f>
        <v/>
      </c>
      <c r="L110" t="str">
        <f t="shared" si="3"/>
        <v/>
      </c>
    </row>
    <row r="111" spans="1:12" x14ac:dyDescent="0.2">
      <c r="A111" s="3" t="str">
        <f>IF(IFERROR(MATCH(95,ChqRankL,0),0)=0,"",95)</f>
        <v/>
      </c>
      <c r="B111" s="13" t="str">
        <f>IF(IFERROR(MATCH(95,ChqRankL,0),0)=0,"",INDEX(ChqNorm,IFERROR(MATCH(95,ChqRankL,0),0)))</f>
        <v/>
      </c>
      <c r="C111" s="13" t="str">
        <f>IF(IFERROR(MATCH(95,ChqRankL,0),0)=0,"",INDEX(ChqNo,IFERROR(MATCH(95,ChqRankL,0),0)))</f>
        <v/>
      </c>
      <c r="D111" s="14" t="str">
        <f>IF(IFERROR(MATCH(95,ChqRankL,0),0)=0,"",IF(INDEX(ChqAmt,IFERROR(MATCH(95,ChqRankL,0),0))=0,"",INDEX(ChqAmt,IFERROR(MATCH(95,ChqRankL,0),0))))</f>
        <v/>
      </c>
      <c r="E111" s="7" t="str">
        <f>IF(IFERROR(MATCH(95,ChqRankL,0),0)=0,"",INDEX(ChqStatus,IFERROR(MATCH(95,ChqRankL,0),0)))</f>
        <v/>
      </c>
      <c r="F111" s="13" t="str">
        <f>IF(IFERROR(MATCH(95,ChqRankL,0),0)=0,"",IF(INDEX(ChqStatus,IFERROR(MATCH(95,ChqRankL,0),0))="پاس نشده","—",IF(INDEX(ChqClr,IFERROR(MATCH(95,ChqRankL,0),0))="","—",INDEX(ChqClr,IFERROR(MATCH(95,ChqRankL,0),0)))))</f>
        <v/>
      </c>
      <c r="I111" t="str">
        <f>IF(95&gt;NChq,"",INDEX(ChqNorm,95))</f>
        <v/>
      </c>
      <c r="J111" t="str">
        <f t="shared" si="2"/>
        <v/>
      </c>
      <c r="K111" t="str">
        <f>IF($J111=0,"",INDEX(ChqKey,95))</f>
        <v/>
      </c>
      <c r="L111" t="str">
        <f t="shared" si="3"/>
        <v/>
      </c>
    </row>
    <row r="112" spans="1:12" x14ac:dyDescent="0.2">
      <c r="A112" s="9" t="str">
        <f>IF(IFERROR(MATCH(96,ChqRankL,0),0)=0,"",96)</f>
        <v/>
      </c>
      <c r="B112" s="15" t="str">
        <f>IF(IFERROR(MATCH(96,ChqRankL,0),0)=0,"",INDEX(ChqNorm,IFERROR(MATCH(96,ChqRankL,0),0)))</f>
        <v/>
      </c>
      <c r="C112" s="15" t="str">
        <f>IF(IFERROR(MATCH(96,ChqRankL,0),0)=0,"",INDEX(ChqNo,IFERROR(MATCH(96,ChqRankL,0),0)))</f>
        <v/>
      </c>
      <c r="D112" s="16" t="str">
        <f>IF(IFERROR(MATCH(96,ChqRankL,0),0)=0,"",IF(INDEX(ChqAmt,IFERROR(MATCH(96,ChqRankL,0),0))=0,"",INDEX(ChqAmt,IFERROR(MATCH(96,ChqRankL,0),0))))</f>
        <v/>
      </c>
      <c r="E112" s="10" t="str">
        <f>IF(IFERROR(MATCH(96,ChqRankL,0),0)=0,"",INDEX(ChqStatus,IFERROR(MATCH(96,ChqRankL,0),0)))</f>
        <v/>
      </c>
      <c r="F112" s="15" t="str">
        <f>IF(IFERROR(MATCH(96,ChqRankL,0),0)=0,"",IF(INDEX(ChqStatus,IFERROR(MATCH(96,ChqRankL,0),0))="پاس نشده","—",IF(INDEX(ChqClr,IFERROR(MATCH(96,ChqRankL,0),0))="","—",INDEX(ChqClr,IFERROR(MATCH(96,ChqRankL,0),0)))))</f>
        <v/>
      </c>
      <c r="I112" t="str">
        <f>IF(96&gt;NChq,"",INDEX(ChqNorm,96))</f>
        <v/>
      </c>
      <c r="J112" t="str">
        <f t="shared" si="2"/>
        <v/>
      </c>
      <c r="K112" t="str">
        <f>IF($J112=0,"",INDEX(ChqKey,96))</f>
        <v/>
      </c>
      <c r="L112" t="str">
        <f t="shared" si="3"/>
        <v/>
      </c>
    </row>
    <row r="113" spans="1:12" x14ac:dyDescent="0.2">
      <c r="A113" s="3" t="str">
        <f>IF(IFERROR(MATCH(97,ChqRankL,0),0)=0,"",97)</f>
        <v/>
      </c>
      <c r="B113" s="13" t="str">
        <f>IF(IFERROR(MATCH(97,ChqRankL,0),0)=0,"",INDEX(ChqNorm,IFERROR(MATCH(97,ChqRankL,0),0)))</f>
        <v/>
      </c>
      <c r="C113" s="13" t="str">
        <f>IF(IFERROR(MATCH(97,ChqRankL,0),0)=0,"",INDEX(ChqNo,IFERROR(MATCH(97,ChqRankL,0),0)))</f>
        <v/>
      </c>
      <c r="D113" s="14" t="str">
        <f>IF(IFERROR(MATCH(97,ChqRankL,0),0)=0,"",IF(INDEX(ChqAmt,IFERROR(MATCH(97,ChqRankL,0),0))=0,"",INDEX(ChqAmt,IFERROR(MATCH(97,ChqRankL,0),0))))</f>
        <v/>
      </c>
      <c r="E113" s="7" t="str">
        <f>IF(IFERROR(MATCH(97,ChqRankL,0),0)=0,"",INDEX(ChqStatus,IFERROR(MATCH(97,ChqRankL,0),0)))</f>
        <v/>
      </c>
      <c r="F113" s="13" t="str">
        <f>IF(IFERROR(MATCH(97,ChqRankL,0),0)=0,"",IF(INDEX(ChqStatus,IFERROR(MATCH(97,ChqRankL,0),0))="پاس نشده","—",IF(INDEX(ChqClr,IFERROR(MATCH(97,ChqRankL,0),0))="","—",INDEX(ChqClr,IFERROR(MATCH(97,ChqRankL,0),0)))))</f>
        <v/>
      </c>
      <c r="I113" t="str">
        <f>IF(97&gt;NChq,"",INDEX(ChqNorm,97))</f>
        <v/>
      </c>
      <c r="J113" t="str">
        <f t="shared" si="2"/>
        <v/>
      </c>
      <c r="K113" t="str">
        <f>IF($J113=0,"",INDEX(ChqKey,97))</f>
        <v/>
      </c>
      <c r="L113" t="str">
        <f t="shared" si="3"/>
        <v/>
      </c>
    </row>
    <row r="114" spans="1:12" x14ac:dyDescent="0.2">
      <c r="A114" s="9" t="str">
        <f>IF(IFERROR(MATCH(98,ChqRankL,0),0)=0,"",98)</f>
        <v/>
      </c>
      <c r="B114" s="15" t="str">
        <f>IF(IFERROR(MATCH(98,ChqRankL,0),0)=0,"",INDEX(ChqNorm,IFERROR(MATCH(98,ChqRankL,0),0)))</f>
        <v/>
      </c>
      <c r="C114" s="15" t="str">
        <f>IF(IFERROR(MATCH(98,ChqRankL,0),0)=0,"",INDEX(ChqNo,IFERROR(MATCH(98,ChqRankL,0),0)))</f>
        <v/>
      </c>
      <c r="D114" s="16" t="str">
        <f>IF(IFERROR(MATCH(98,ChqRankL,0),0)=0,"",IF(INDEX(ChqAmt,IFERROR(MATCH(98,ChqRankL,0),0))=0,"",INDEX(ChqAmt,IFERROR(MATCH(98,ChqRankL,0),0))))</f>
        <v/>
      </c>
      <c r="E114" s="10" t="str">
        <f>IF(IFERROR(MATCH(98,ChqRankL,0),0)=0,"",INDEX(ChqStatus,IFERROR(MATCH(98,ChqRankL,0),0)))</f>
        <v/>
      </c>
      <c r="F114" s="15" t="str">
        <f>IF(IFERROR(MATCH(98,ChqRankL,0),0)=0,"",IF(INDEX(ChqStatus,IFERROR(MATCH(98,ChqRankL,0),0))="پاس نشده","—",IF(INDEX(ChqClr,IFERROR(MATCH(98,ChqRankL,0),0))="","—",INDEX(ChqClr,IFERROR(MATCH(98,ChqRankL,0),0)))))</f>
        <v/>
      </c>
      <c r="I114" t="str">
        <f>IF(98&gt;NChq,"",INDEX(ChqNorm,98))</f>
        <v/>
      </c>
      <c r="J114" t="str">
        <f t="shared" si="2"/>
        <v/>
      </c>
      <c r="K114" t="str">
        <f>IF($J114=0,"",INDEX(ChqKey,98))</f>
        <v/>
      </c>
      <c r="L114" t="str">
        <f t="shared" si="3"/>
        <v/>
      </c>
    </row>
    <row r="115" spans="1:12" x14ac:dyDescent="0.2">
      <c r="A115" s="3" t="str">
        <f>IF(IFERROR(MATCH(99,ChqRankL,0),0)=0,"",99)</f>
        <v/>
      </c>
      <c r="B115" s="13" t="str">
        <f>IF(IFERROR(MATCH(99,ChqRankL,0),0)=0,"",INDEX(ChqNorm,IFERROR(MATCH(99,ChqRankL,0),0)))</f>
        <v/>
      </c>
      <c r="C115" s="13" t="str">
        <f>IF(IFERROR(MATCH(99,ChqRankL,0),0)=0,"",INDEX(ChqNo,IFERROR(MATCH(99,ChqRankL,0),0)))</f>
        <v/>
      </c>
      <c r="D115" s="14" t="str">
        <f>IF(IFERROR(MATCH(99,ChqRankL,0),0)=0,"",IF(INDEX(ChqAmt,IFERROR(MATCH(99,ChqRankL,0),0))=0,"",INDEX(ChqAmt,IFERROR(MATCH(99,ChqRankL,0),0))))</f>
        <v/>
      </c>
      <c r="E115" s="7" t="str">
        <f>IF(IFERROR(MATCH(99,ChqRankL,0),0)=0,"",INDEX(ChqStatus,IFERROR(MATCH(99,ChqRankL,0),0)))</f>
        <v/>
      </c>
      <c r="F115" s="13" t="str">
        <f>IF(IFERROR(MATCH(99,ChqRankL,0),0)=0,"",IF(INDEX(ChqStatus,IFERROR(MATCH(99,ChqRankL,0),0))="پاس نشده","—",IF(INDEX(ChqClr,IFERROR(MATCH(99,ChqRankL,0),0))="","—",INDEX(ChqClr,IFERROR(MATCH(99,ChqRankL,0),0)))))</f>
        <v/>
      </c>
      <c r="I115" t="str">
        <f>IF(99&gt;NChq,"",INDEX(ChqNorm,99))</f>
        <v/>
      </c>
      <c r="J115" t="str">
        <f t="shared" si="2"/>
        <v/>
      </c>
      <c r="K115" t="str">
        <f>IF($J115=0,"",INDEX(ChqKey,99))</f>
        <v/>
      </c>
      <c r="L115" t="str">
        <f t="shared" si="3"/>
        <v/>
      </c>
    </row>
    <row r="116" spans="1:12" x14ac:dyDescent="0.2">
      <c r="A116" s="9" t="str">
        <f>IF(IFERROR(MATCH(100,ChqRankL,0),0)=0,"",100)</f>
        <v/>
      </c>
      <c r="B116" s="15" t="str">
        <f>IF(IFERROR(MATCH(100,ChqRankL,0),0)=0,"",INDEX(ChqNorm,IFERROR(MATCH(100,ChqRankL,0),0)))</f>
        <v/>
      </c>
      <c r="C116" s="15" t="str">
        <f>IF(IFERROR(MATCH(100,ChqRankL,0),0)=0,"",INDEX(ChqNo,IFERROR(MATCH(100,ChqRankL,0),0)))</f>
        <v/>
      </c>
      <c r="D116" s="16" t="str">
        <f>IF(IFERROR(MATCH(100,ChqRankL,0),0)=0,"",IF(INDEX(ChqAmt,IFERROR(MATCH(100,ChqRankL,0),0))=0,"",INDEX(ChqAmt,IFERROR(MATCH(100,ChqRankL,0),0))))</f>
        <v/>
      </c>
      <c r="E116" s="10" t="str">
        <f>IF(IFERROR(MATCH(100,ChqRankL,0),0)=0,"",INDEX(ChqStatus,IFERROR(MATCH(100,ChqRankL,0),0)))</f>
        <v/>
      </c>
      <c r="F116" s="15" t="str">
        <f>IF(IFERROR(MATCH(100,ChqRankL,0),0)=0,"",IF(INDEX(ChqStatus,IFERROR(MATCH(100,ChqRankL,0),0))="پاس نشده","—",IF(INDEX(ChqClr,IFERROR(MATCH(100,ChqRankL,0),0))="","—",INDEX(ChqClr,IFERROR(MATCH(100,ChqRankL,0),0)))))</f>
        <v/>
      </c>
      <c r="I116" t="str">
        <f>IF(100&gt;NChq,"",INDEX(ChqNorm,100))</f>
        <v/>
      </c>
      <c r="J116" t="str">
        <f t="shared" si="2"/>
        <v/>
      </c>
      <c r="K116" t="str">
        <f>IF($J116=0,"",INDEX(ChqKey,100))</f>
        <v/>
      </c>
      <c r="L116" t="str">
        <f t="shared" si="3"/>
        <v/>
      </c>
    </row>
    <row r="117" spans="1:12" x14ac:dyDescent="0.2">
      <c r="A117" s="3" t="str">
        <f>IF(IFERROR(MATCH(101,ChqRankL,0),0)=0,"",101)</f>
        <v/>
      </c>
      <c r="B117" s="13" t="str">
        <f>IF(IFERROR(MATCH(101,ChqRankL,0),0)=0,"",INDEX(ChqNorm,IFERROR(MATCH(101,ChqRankL,0),0)))</f>
        <v/>
      </c>
      <c r="C117" s="13" t="str">
        <f>IF(IFERROR(MATCH(101,ChqRankL,0),0)=0,"",INDEX(ChqNo,IFERROR(MATCH(101,ChqRankL,0),0)))</f>
        <v/>
      </c>
      <c r="D117" s="14" t="str">
        <f>IF(IFERROR(MATCH(101,ChqRankL,0),0)=0,"",IF(INDEX(ChqAmt,IFERROR(MATCH(101,ChqRankL,0),0))=0,"",INDEX(ChqAmt,IFERROR(MATCH(101,ChqRankL,0),0))))</f>
        <v/>
      </c>
      <c r="E117" s="7" t="str">
        <f>IF(IFERROR(MATCH(101,ChqRankL,0),0)=0,"",INDEX(ChqStatus,IFERROR(MATCH(101,ChqRankL,0),0)))</f>
        <v/>
      </c>
      <c r="F117" s="13" t="str">
        <f>IF(IFERROR(MATCH(101,ChqRankL,0),0)=0,"",IF(INDEX(ChqStatus,IFERROR(MATCH(101,ChqRankL,0),0))="پاس نشده","—",IF(INDEX(ChqClr,IFERROR(MATCH(101,ChqRankL,0),0))="","—",INDEX(ChqClr,IFERROR(MATCH(101,ChqRankL,0),0)))))</f>
        <v/>
      </c>
      <c r="I117" t="str">
        <f>IF(101&gt;NChq,"",INDEX(ChqNorm,101))</f>
        <v/>
      </c>
      <c r="J117" t="str">
        <f t="shared" si="2"/>
        <v/>
      </c>
      <c r="K117" t="str">
        <f>IF($J117=0,"",INDEX(ChqKey,101))</f>
        <v/>
      </c>
      <c r="L117" t="str">
        <f t="shared" si="3"/>
        <v/>
      </c>
    </row>
    <row r="118" spans="1:12" x14ac:dyDescent="0.2">
      <c r="A118" s="9" t="str">
        <f>IF(IFERROR(MATCH(102,ChqRankL,0),0)=0,"",102)</f>
        <v/>
      </c>
      <c r="B118" s="15" t="str">
        <f>IF(IFERROR(MATCH(102,ChqRankL,0),0)=0,"",INDEX(ChqNorm,IFERROR(MATCH(102,ChqRankL,0),0)))</f>
        <v/>
      </c>
      <c r="C118" s="15" t="str">
        <f>IF(IFERROR(MATCH(102,ChqRankL,0),0)=0,"",INDEX(ChqNo,IFERROR(MATCH(102,ChqRankL,0),0)))</f>
        <v/>
      </c>
      <c r="D118" s="16" t="str">
        <f>IF(IFERROR(MATCH(102,ChqRankL,0),0)=0,"",IF(INDEX(ChqAmt,IFERROR(MATCH(102,ChqRankL,0),0))=0,"",INDEX(ChqAmt,IFERROR(MATCH(102,ChqRankL,0),0))))</f>
        <v/>
      </c>
      <c r="E118" s="10" t="str">
        <f>IF(IFERROR(MATCH(102,ChqRankL,0),0)=0,"",INDEX(ChqStatus,IFERROR(MATCH(102,ChqRankL,0),0)))</f>
        <v/>
      </c>
      <c r="F118" s="15" t="str">
        <f>IF(IFERROR(MATCH(102,ChqRankL,0),0)=0,"",IF(INDEX(ChqStatus,IFERROR(MATCH(102,ChqRankL,0),0))="پاس نشده","—",IF(INDEX(ChqClr,IFERROR(MATCH(102,ChqRankL,0),0))="","—",INDEX(ChqClr,IFERROR(MATCH(102,ChqRankL,0),0)))))</f>
        <v/>
      </c>
      <c r="I118" t="str">
        <f>IF(102&gt;NChq,"",INDEX(ChqNorm,102))</f>
        <v/>
      </c>
      <c r="J118" t="str">
        <f t="shared" si="2"/>
        <v/>
      </c>
      <c r="K118" t="str">
        <f>IF($J118=0,"",INDEX(ChqKey,102))</f>
        <v/>
      </c>
      <c r="L118" t="str">
        <f t="shared" si="3"/>
        <v/>
      </c>
    </row>
    <row r="119" spans="1:12" x14ac:dyDescent="0.2">
      <c r="A119" s="3" t="str">
        <f>IF(IFERROR(MATCH(103,ChqRankL,0),0)=0,"",103)</f>
        <v/>
      </c>
      <c r="B119" s="13" t="str">
        <f>IF(IFERROR(MATCH(103,ChqRankL,0),0)=0,"",INDEX(ChqNorm,IFERROR(MATCH(103,ChqRankL,0),0)))</f>
        <v/>
      </c>
      <c r="C119" s="13" t="str">
        <f>IF(IFERROR(MATCH(103,ChqRankL,0),0)=0,"",INDEX(ChqNo,IFERROR(MATCH(103,ChqRankL,0),0)))</f>
        <v/>
      </c>
      <c r="D119" s="14" t="str">
        <f>IF(IFERROR(MATCH(103,ChqRankL,0),0)=0,"",IF(INDEX(ChqAmt,IFERROR(MATCH(103,ChqRankL,0),0))=0,"",INDEX(ChqAmt,IFERROR(MATCH(103,ChqRankL,0),0))))</f>
        <v/>
      </c>
      <c r="E119" s="7" t="str">
        <f>IF(IFERROR(MATCH(103,ChqRankL,0),0)=0,"",INDEX(ChqStatus,IFERROR(MATCH(103,ChqRankL,0),0)))</f>
        <v/>
      </c>
      <c r="F119" s="13" t="str">
        <f>IF(IFERROR(MATCH(103,ChqRankL,0),0)=0,"",IF(INDEX(ChqStatus,IFERROR(MATCH(103,ChqRankL,0),0))="پاس نشده","—",IF(INDEX(ChqClr,IFERROR(MATCH(103,ChqRankL,0),0))="","—",INDEX(ChqClr,IFERROR(MATCH(103,ChqRankL,0),0)))))</f>
        <v/>
      </c>
      <c r="I119" t="str">
        <f>IF(103&gt;NChq,"",INDEX(ChqNorm,103))</f>
        <v/>
      </c>
      <c r="J119" t="str">
        <f t="shared" si="2"/>
        <v/>
      </c>
      <c r="K119" t="str">
        <f>IF($J119=0,"",INDEX(ChqKey,103))</f>
        <v/>
      </c>
      <c r="L119" t="str">
        <f t="shared" si="3"/>
        <v/>
      </c>
    </row>
    <row r="120" spans="1:12" x14ac:dyDescent="0.2">
      <c r="A120" s="9" t="str">
        <f>IF(IFERROR(MATCH(104,ChqRankL,0),0)=0,"",104)</f>
        <v/>
      </c>
      <c r="B120" s="15" t="str">
        <f>IF(IFERROR(MATCH(104,ChqRankL,0),0)=0,"",INDEX(ChqNorm,IFERROR(MATCH(104,ChqRankL,0),0)))</f>
        <v/>
      </c>
      <c r="C120" s="15" t="str">
        <f>IF(IFERROR(MATCH(104,ChqRankL,0),0)=0,"",INDEX(ChqNo,IFERROR(MATCH(104,ChqRankL,0),0)))</f>
        <v/>
      </c>
      <c r="D120" s="16" t="str">
        <f>IF(IFERROR(MATCH(104,ChqRankL,0),0)=0,"",IF(INDEX(ChqAmt,IFERROR(MATCH(104,ChqRankL,0),0))=0,"",INDEX(ChqAmt,IFERROR(MATCH(104,ChqRankL,0),0))))</f>
        <v/>
      </c>
      <c r="E120" s="10" t="str">
        <f>IF(IFERROR(MATCH(104,ChqRankL,0),0)=0,"",INDEX(ChqStatus,IFERROR(MATCH(104,ChqRankL,0),0)))</f>
        <v/>
      </c>
      <c r="F120" s="15" t="str">
        <f>IF(IFERROR(MATCH(104,ChqRankL,0),0)=0,"",IF(INDEX(ChqStatus,IFERROR(MATCH(104,ChqRankL,0),0))="پاس نشده","—",IF(INDEX(ChqClr,IFERROR(MATCH(104,ChqRankL,0),0))="","—",INDEX(ChqClr,IFERROR(MATCH(104,ChqRankL,0),0)))))</f>
        <v/>
      </c>
      <c r="I120" t="str">
        <f>IF(104&gt;NChq,"",INDEX(ChqNorm,104))</f>
        <v/>
      </c>
      <c r="J120" t="str">
        <f t="shared" si="2"/>
        <v/>
      </c>
      <c r="K120" t="str">
        <f>IF($J120=0,"",INDEX(ChqKey,104))</f>
        <v/>
      </c>
      <c r="L120" t="str">
        <f t="shared" si="3"/>
        <v/>
      </c>
    </row>
    <row r="121" spans="1:12" x14ac:dyDescent="0.2">
      <c r="A121" s="3" t="str">
        <f>IF(IFERROR(MATCH(105,ChqRankL,0),0)=0,"",105)</f>
        <v/>
      </c>
      <c r="B121" s="13" t="str">
        <f>IF(IFERROR(MATCH(105,ChqRankL,0),0)=0,"",INDEX(ChqNorm,IFERROR(MATCH(105,ChqRankL,0),0)))</f>
        <v/>
      </c>
      <c r="C121" s="13" t="str">
        <f>IF(IFERROR(MATCH(105,ChqRankL,0),0)=0,"",INDEX(ChqNo,IFERROR(MATCH(105,ChqRankL,0),0)))</f>
        <v/>
      </c>
      <c r="D121" s="14" t="str">
        <f>IF(IFERROR(MATCH(105,ChqRankL,0),0)=0,"",IF(INDEX(ChqAmt,IFERROR(MATCH(105,ChqRankL,0),0))=0,"",INDEX(ChqAmt,IFERROR(MATCH(105,ChqRankL,0),0))))</f>
        <v/>
      </c>
      <c r="E121" s="7" t="str">
        <f>IF(IFERROR(MATCH(105,ChqRankL,0),0)=0,"",INDEX(ChqStatus,IFERROR(MATCH(105,ChqRankL,0),0)))</f>
        <v/>
      </c>
      <c r="F121" s="13" t="str">
        <f>IF(IFERROR(MATCH(105,ChqRankL,0),0)=0,"",IF(INDEX(ChqStatus,IFERROR(MATCH(105,ChqRankL,0),0))="پاس نشده","—",IF(INDEX(ChqClr,IFERROR(MATCH(105,ChqRankL,0),0))="","—",INDEX(ChqClr,IFERROR(MATCH(105,ChqRankL,0),0)))))</f>
        <v/>
      </c>
      <c r="I121" t="str">
        <f>IF(105&gt;NChq,"",INDEX(ChqNorm,105))</f>
        <v/>
      </c>
      <c r="J121" t="str">
        <f t="shared" si="2"/>
        <v/>
      </c>
      <c r="K121" t="str">
        <f>IF($J121=0,"",INDEX(ChqKey,105))</f>
        <v/>
      </c>
      <c r="L121" t="str">
        <f t="shared" si="3"/>
        <v/>
      </c>
    </row>
    <row r="122" spans="1:12" x14ac:dyDescent="0.2">
      <c r="A122" s="9" t="str">
        <f>IF(IFERROR(MATCH(106,ChqRankL,0),0)=0,"",106)</f>
        <v/>
      </c>
      <c r="B122" s="15" t="str">
        <f>IF(IFERROR(MATCH(106,ChqRankL,0),0)=0,"",INDEX(ChqNorm,IFERROR(MATCH(106,ChqRankL,0),0)))</f>
        <v/>
      </c>
      <c r="C122" s="15" t="str">
        <f>IF(IFERROR(MATCH(106,ChqRankL,0),0)=0,"",INDEX(ChqNo,IFERROR(MATCH(106,ChqRankL,0),0)))</f>
        <v/>
      </c>
      <c r="D122" s="16" t="str">
        <f>IF(IFERROR(MATCH(106,ChqRankL,0),0)=0,"",IF(INDEX(ChqAmt,IFERROR(MATCH(106,ChqRankL,0),0))=0,"",INDEX(ChqAmt,IFERROR(MATCH(106,ChqRankL,0),0))))</f>
        <v/>
      </c>
      <c r="E122" s="10" t="str">
        <f>IF(IFERROR(MATCH(106,ChqRankL,0),0)=0,"",INDEX(ChqStatus,IFERROR(MATCH(106,ChqRankL,0),0)))</f>
        <v/>
      </c>
      <c r="F122" s="15" t="str">
        <f>IF(IFERROR(MATCH(106,ChqRankL,0),0)=0,"",IF(INDEX(ChqStatus,IFERROR(MATCH(106,ChqRankL,0),0))="پاس نشده","—",IF(INDEX(ChqClr,IFERROR(MATCH(106,ChqRankL,0),0))="","—",INDEX(ChqClr,IFERROR(MATCH(106,ChqRankL,0),0)))))</f>
        <v/>
      </c>
      <c r="I122" t="str">
        <f>IF(106&gt;NChq,"",INDEX(ChqNorm,106))</f>
        <v/>
      </c>
      <c r="J122" t="str">
        <f t="shared" si="2"/>
        <v/>
      </c>
      <c r="K122" t="str">
        <f>IF($J122=0,"",INDEX(ChqKey,106))</f>
        <v/>
      </c>
      <c r="L122" t="str">
        <f t="shared" si="3"/>
        <v/>
      </c>
    </row>
    <row r="123" spans="1:12" x14ac:dyDescent="0.2">
      <c r="A123" s="3" t="str">
        <f>IF(IFERROR(MATCH(107,ChqRankL,0),0)=0,"",107)</f>
        <v/>
      </c>
      <c r="B123" s="13" t="str">
        <f>IF(IFERROR(MATCH(107,ChqRankL,0),0)=0,"",INDEX(ChqNorm,IFERROR(MATCH(107,ChqRankL,0),0)))</f>
        <v/>
      </c>
      <c r="C123" s="13" t="str">
        <f>IF(IFERROR(MATCH(107,ChqRankL,0),0)=0,"",INDEX(ChqNo,IFERROR(MATCH(107,ChqRankL,0),0)))</f>
        <v/>
      </c>
      <c r="D123" s="14" t="str">
        <f>IF(IFERROR(MATCH(107,ChqRankL,0),0)=0,"",IF(INDEX(ChqAmt,IFERROR(MATCH(107,ChqRankL,0),0))=0,"",INDEX(ChqAmt,IFERROR(MATCH(107,ChqRankL,0),0))))</f>
        <v/>
      </c>
      <c r="E123" s="7" t="str">
        <f>IF(IFERROR(MATCH(107,ChqRankL,0),0)=0,"",INDEX(ChqStatus,IFERROR(MATCH(107,ChqRankL,0),0)))</f>
        <v/>
      </c>
      <c r="F123" s="13" t="str">
        <f>IF(IFERROR(MATCH(107,ChqRankL,0),0)=0,"",IF(INDEX(ChqStatus,IFERROR(MATCH(107,ChqRankL,0),0))="پاس نشده","—",IF(INDEX(ChqClr,IFERROR(MATCH(107,ChqRankL,0),0))="","—",INDEX(ChqClr,IFERROR(MATCH(107,ChqRankL,0),0)))))</f>
        <v/>
      </c>
      <c r="I123" t="str">
        <f>IF(107&gt;NChq,"",INDEX(ChqNorm,107))</f>
        <v/>
      </c>
      <c r="J123" t="str">
        <f t="shared" si="2"/>
        <v/>
      </c>
      <c r="K123" t="str">
        <f>IF($J123=0,"",INDEX(ChqKey,107))</f>
        <v/>
      </c>
      <c r="L123" t="str">
        <f t="shared" si="3"/>
        <v/>
      </c>
    </row>
    <row r="124" spans="1:12" x14ac:dyDescent="0.2">
      <c r="A124" s="9" t="str">
        <f>IF(IFERROR(MATCH(108,ChqRankL,0),0)=0,"",108)</f>
        <v/>
      </c>
      <c r="B124" s="15" t="str">
        <f>IF(IFERROR(MATCH(108,ChqRankL,0),0)=0,"",INDEX(ChqNorm,IFERROR(MATCH(108,ChqRankL,0),0)))</f>
        <v/>
      </c>
      <c r="C124" s="15" t="str">
        <f>IF(IFERROR(MATCH(108,ChqRankL,0),0)=0,"",INDEX(ChqNo,IFERROR(MATCH(108,ChqRankL,0),0)))</f>
        <v/>
      </c>
      <c r="D124" s="16" t="str">
        <f>IF(IFERROR(MATCH(108,ChqRankL,0),0)=0,"",IF(INDEX(ChqAmt,IFERROR(MATCH(108,ChqRankL,0),0))=0,"",INDEX(ChqAmt,IFERROR(MATCH(108,ChqRankL,0),0))))</f>
        <v/>
      </c>
      <c r="E124" s="10" t="str">
        <f>IF(IFERROR(MATCH(108,ChqRankL,0),0)=0,"",INDEX(ChqStatus,IFERROR(MATCH(108,ChqRankL,0),0)))</f>
        <v/>
      </c>
      <c r="F124" s="15" t="str">
        <f>IF(IFERROR(MATCH(108,ChqRankL,0),0)=0,"",IF(INDEX(ChqStatus,IFERROR(MATCH(108,ChqRankL,0),0))="پاس نشده","—",IF(INDEX(ChqClr,IFERROR(MATCH(108,ChqRankL,0),0))="","—",INDEX(ChqClr,IFERROR(MATCH(108,ChqRankL,0),0)))))</f>
        <v/>
      </c>
      <c r="I124" t="str">
        <f>IF(108&gt;NChq,"",INDEX(ChqNorm,108))</f>
        <v/>
      </c>
      <c r="J124" t="str">
        <f t="shared" si="2"/>
        <v/>
      </c>
      <c r="K124" t="str">
        <f>IF($J124=0,"",INDEX(ChqKey,108))</f>
        <v/>
      </c>
      <c r="L124" t="str">
        <f t="shared" si="3"/>
        <v/>
      </c>
    </row>
    <row r="125" spans="1:12" x14ac:dyDescent="0.2">
      <c r="A125" s="3" t="str">
        <f>IF(IFERROR(MATCH(109,ChqRankL,0),0)=0,"",109)</f>
        <v/>
      </c>
      <c r="B125" s="13" t="str">
        <f>IF(IFERROR(MATCH(109,ChqRankL,0),0)=0,"",INDEX(ChqNorm,IFERROR(MATCH(109,ChqRankL,0),0)))</f>
        <v/>
      </c>
      <c r="C125" s="13" t="str">
        <f>IF(IFERROR(MATCH(109,ChqRankL,0),0)=0,"",INDEX(ChqNo,IFERROR(MATCH(109,ChqRankL,0),0)))</f>
        <v/>
      </c>
      <c r="D125" s="14" t="str">
        <f>IF(IFERROR(MATCH(109,ChqRankL,0),0)=0,"",IF(INDEX(ChqAmt,IFERROR(MATCH(109,ChqRankL,0),0))=0,"",INDEX(ChqAmt,IFERROR(MATCH(109,ChqRankL,0),0))))</f>
        <v/>
      </c>
      <c r="E125" s="7" t="str">
        <f>IF(IFERROR(MATCH(109,ChqRankL,0),0)=0,"",INDEX(ChqStatus,IFERROR(MATCH(109,ChqRankL,0),0)))</f>
        <v/>
      </c>
      <c r="F125" s="13" t="str">
        <f>IF(IFERROR(MATCH(109,ChqRankL,0),0)=0,"",IF(INDEX(ChqStatus,IFERROR(MATCH(109,ChqRankL,0),0))="پاس نشده","—",IF(INDEX(ChqClr,IFERROR(MATCH(109,ChqRankL,0),0))="","—",INDEX(ChqClr,IFERROR(MATCH(109,ChqRankL,0),0)))))</f>
        <v/>
      </c>
      <c r="I125" t="str">
        <f>IF(109&gt;NChq,"",INDEX(ChqNorm,109))</f>
        <v/>
      </c>
      <c r="J125" t="str">
        <f t="shared" si="2"/>
        <v/>
      </c>
      <c r="K125" t="str">
        <f>IF($J125=0,"",INDEX(ChqKey,109))</f>
        <v/>
      </c>
      <c r="L125" t="str">
        <f t="shared" si="3"/>
        <v/>
      </c>
    </row>
    <row r="126" spans="1:12" x14ac:dyDescent="0.2">
      <c r="A126" s="9" t="str">
        <f>IF(IFERROR(MATCH(110,ChqRankL,0),0)=0,"",110)</f>
        <v/>
      </c>
      <c r="B126" s="15" t="str">
        <f>IF(IFERROR(MATCH(110,ChqRankL,0),0)=0,"",INDEX(ChqNorm,IFERROR(MATCH(110,ChqRankL,0),0)))</f>
        <v/>
      </c>
      <c r="C126" s="15" t="str">
        <f>IF(IFERROR(MATCH(110,ChqRankL,0),0)=0,"",INDEX(ChqNo,IFERROR(MATCH(110,ChqRankL,0),0)))</f>
        <v/>
      </c>
      <c r="D126" s="16" t="str">
        <f>IF(IFERROR(MATCH(110,ChqRankL,0),0)=0,"",IF(INDEX(ChqAmt,IFERROR(MATCH(110,ChqRankL,0),0))=0,"",INDEX(ChqAmt,IFERROR(MATCH(110,ChqRankL,0),0))))</f>
        <v/>
      </c>
      <c r="E126" s="10" t="str">
        <f>IF(IFERROR(MATCH(110,ChqRankL,0),0)=0,"",INDEX(ChqStatus,IFERROR(MATCH(110,ChqRankL,0),0)))</f>
        <v/>
      </c>
      <c r="F126" s="15" t="str">
        <f>IF(IFERROR(MATCH(110,ChqRankL,0),0)=0,"",IF(INDEX(ChqStatus,IFERROR(MATCH(110,ChqRankL,0),0))="پاس نشده","—",IF(INDEX(ChqClr,IFERROR(MATCH(110,ChqRankL,0),0))="","—",INDEX(ChqClr,IFERROR(MATCH(110,ChqRankL,0),0)))))</f>
        <v/>
      </c>
      <c r="I126" t="str">
        <f>IF(110&gt;NChq,"",INDEX(ChqNorm,110))</f>
        <v/>
      </c>
      <c r="J126" t="str">
        <f t="shared" si="2"/>
        <v/>
      </c>
      <c r="K126" t="str">
        <f>IF($J126=0,"",INDEX(ChqKey,110))</f>
        <v/>
      </c>
      <c r="L126" t="str">
        <f t="shared" si="3"/>
        <v/>
      </c>
    </row>
    <row r="127" spans="1:12" x14ac:dyDescent="0.2">
      <c r="A127" s="3" t="str">
        <f>IF(IFERROR(MATCH(111,ChqRankL,0),0)=0,"",111)</f>
        <v/>
      </c>
      <c r="B127" s="13" t="str">
        <f>IF(IFERROR(MATCH(111,ChqRankL,0),0)=0,"",INDEX(ChqNorm,IFERROR(MATCH(111,ChqRankL,0),0)))</f>
        <v/>
      </c>
      <c r="C127" s="13" t="str">
        <f>IF(IFERROR(MATCH(111,ChqRankL,0),0)=0,"",INDEX(ChqNo,IFERROR(MATCH(111,ChqRankL,0),0)))</f>
        <v/>
      </c>
      <c r="D127" s="14" t="str">
        <f>IF(IFERROR(MATCH(111,ChqRankL,0),0)=0,"",IF(INDEX(ChqAmt,IFERROR(MATCH(111,ChqRankL,0),0))=0,"",INDEX(ChqAmt,IFERROR(MATCH(111,ChqRankL,0),0))))</f>
        <v/>
      </c>
      <c r="E127" s="7" t="str">
        <f>IF(IFERROR(MATCH(111,ChqRankL,0),0)=0,"",INDEX(ChqStatus,IFERROR(MATCH(111,ChqRankL,0),0)))</f>
        <v/>
      </c>
      <c r="F127" s="13" t="str">
        <f>IF(IFERROR(MATCH(111,ChqRankL,0),0)=0,"",IF(INDEX(ChqStatus,IFERROR(MATCH(111,ChqRankL,0),0))="پاس نشده","—",IF(INDEX(ChqClr,IFERROR(MATCH(111,ChqRankL,0),0))="","—",INDEX(ChqClr,IFERROR(MATCH(111,ChqRankL,0),0)))))</f>
        <v/>
      </c>
      <c r="I127" t="str">
        <f>IF(111&gt;NChq,"",INDEX(ChqNorm,111))</f>
        <v/>
      </c>
      <c r="J127" t="str">
        <f t="shared" si="2"/>
        <v/>
      </c>
      <c r="K127" t="str">
        <f>IF($J127=0,"",INDEX(ChqKey,111))</f>
        <v/>
      </c>
      <c r="L127" t="str">
        <f t="shared" si="3"/>
        <v/>
      </c>
    </row>
    <row r="128" spans="1:12" x14ac:dyDescent="0.2">
      <c r="A128" s="9" t="str">
        <f>IF(IFERROR(MATCH(112,ChqRankL,0),0)=0,"",112)</f>
        <v/>
      </c>
      <c r="B128" s="15" t="str">
        <f>IF(IFERROR(MATCH(112,ChqRankL,0),0)=0,"",INDEX(ChqNorm,IFERROR(MATCH(112,ChqRankL,0),0)))</f>
        <v/>
      </c>
      <c r="C128" s="15" t="str">
        <f>IF(IFERROR(MATCH(112,ChqRankL,0),0)=0,"",INDEX(ChqNo,IFERROR(MATCH(112,ChqRankL,0),0)))</f>
        <v/>
      </c>
      <c r="D128" s="16" t="str">
        <f>IF(IFERROR(MATCH(112,ChqRankL,0),0)=0,"",IF(INDEX(ChqAmt,IFERROR(MATCH(112,ChqRankL,0),0))=0,"",INDEX(ChqAmt,IFERROR(MATCH(112,ChqRankL,0),0))))</f>
        <v/>
      </c>
      <c r="E128" s="10" t="str">
        <f>IF(IFERROR(MATCH(112,ChqRankL,0),0)=0,"",INDEX(ChqStatus,IFERROR(MATCH(112,ChqRankL,0),0)))</f>
        <v/>
      </c>
      <c r="F128" s="15" t="str">
        <f>IF(IFERROR(MATCH(112,ChqRankL,0),0)=0,"",IF(INDEX(ChqStatus,IFERROR(MATCH(112,ChqRankL,0),0))="پاس نشده","—",IF(INDEX(ChqClr,IFERROR(MATCH(112,ChqRankL,0),0))="","—",INDEX(ChqClr,IFERROR(MATCH(112,ChqRankL,0),0)))))</f>
        <v/>
      </c>
      <c r="I128" t="str">
        <f>IF(112&gt;NChq,"",INDEX(ChqNorm,112))</f>
        <v/>
      </c>
      <c r="J128" t="str">
        <f t="shared" si="2"/>
        <v/>
      </c>
      <c r="K128" t="str">
        <f>IF($J128=0,"",INDEX(ChqKey,112))</f>
        <v/>
      </c>
      <c r="L128" t="str">
        <f t="shared" si="3"/>
        <v/>
      </c>
    </row>
    <row r="129" spans="1:12" x14ac:dyDescent="0.2">
      <c r="A129" s="3" t="str">
        <f>IF(IFERROR(MATCH(113,ChqRankL,0),0)=0,"",113)</f>
        <v/>
      </c>
      <c r="B129" s="13" t="str">
        <f>IF(IFERROR(MATCH(113,ChqRankL,0),0)=0,"",INDEX(ChqNorm,IFERROR(MATCH(113,ChqRankL,0),0)))</f>
        <v/>
      </c>
      <c r="C129" s="13" t="str">
        <f>IF(IFERROR(MATCH(113,ChqRankL,0),0)=0,"",INDEX(ChqNo,IFERROR(MATCH(113,ChqRankL,0),0)))</f>
        <v/>
      </c>
      <c r="D129" s="14" t="str">
        <f>IF(IFERROR(MATCH(113,ChqRankL,0),0)=0,"",IF(INDEX(ChqAmt,IFERROR(MATCH(113,ChqRankL,0),0))=0,"",INDEX(ChqAmt,IFERROR(MATCH(113,ChqRankL,0),0))))</f>
        <v/>
      </c>
      <c r="E129" s="7" t="str">
        <f>IF(IFERROR(MATCH(113,ChqRankL,0),0)=0,"",INDEX(ChqStatus,IFERROR(MATCH(113,ChqRankL,0),0)))</f>
        <v/>
      </c>
      <c r="F129" s="13" t="str">
        <f>IF(IFERROR(MATCH(113,ChqRankL,0),0)=0,"",IF(INDEX(ChqStatus,IFERROR(MATCH(113,ChqRankL,0),0))="پاس نشده","—",IF(INDEX(ChqClr,IFERROR(MATCH(113,ChqRankL,0),0))="","—",INDEX(ChqClr,IFERROR(MATCH(113,ChqRankL,0),0)))))</f>
        <v/>
      </c>
      <c r="I129" t="str">
        <f>IF(113&gt;NChq,"",INDEX(ChqNorm,113))</f>
        <v/>
      </c>
      <c r="J129" t="str">
        <f t="shared" si="2"/>
        <v/>
      </c>
      <c r="K129" t="str">
        <f>IF($J129=0,"",INDEX(ChqKey,113))</f>
        <v/>
      </c>
      <c r="L129" t="str">
        <f t="shared" si="3"/>
        <v/>
      </c>
    </row>
    <row r="130" spans="1:12" x14ac:dyDescent="0.2">
      <c r="A130" s="9" t="str">
        <f>IF(IFERROR(MATCH(114,ChqRankL,0),0)=0,"",114)</f>
        <v/>
      </c>
      <c r="B130" s="15" t="str">
        <f>IF(IFERROR(MATCH(114,ChqRankL,0),0)=0,"",INDEX(ChqNorm,IFERROR(MATCH(114,ChqRankL,0),0)))</f>
        <v/>
      </c>
      <c r="C130" s="15" t="str">
        <f>IF(IFERROR(MATCH(114,ChqRankL,0),0)=0,"",INDEX(ChqNo,IFERROR(MATCH(114,ChqRankL,0),0)))</f>
        <v/>
      </c>
      <c r="D130" s="16" t="str">
        <f>IF(IFERROR(MATCH(114,ChqRankL,0),0)=0,"",IF(INDEX(ChqAmt,IFERROR(MATCH(114,ChqRankL,0),0))=0,"",INDEX(ChqAmt,IFERROR(MATCH(114,ChqRankL,0),0))))</f>
        <v/>
      </c>
      <c r="E130" s="10" t="str">
        <f>IF(IFERROR(MATCH(114,ChqRankL,0),0)=0,"",INDEX(ChqStatus,IFERROR(MATCH(114,ChqRankL,0),0)))</f>
        <v/>
      </c>
      <c r="F130" s="15" t="str">
        <f>IF(IFERROR(MATCH(114,ChqRankL,0),0)=0,"",IF(INDEX(ChqStatus,IFERROR(MATCH(114,ChqRankL,0),0))="پاس نشده","—",IF(INDEX(ChqClr,IFERROR(MATCH(114,ChqRankL,0),0))="","—",INDEX(ChqClr,IFERROR(MATCH(114,ChqRankL,0),0)))))</f>
        <v/>
      </c>
      <c r="I130" t="str">
        <f>IF(114&gt;NChq,"",INDEX(ChqNorm,114))</f>
        <v/>
      </c>
      <c r="J130" t="str">
        <f t="shared" si="2"/>
        <v/>
      </c>
      <c r="K130" t="str">
        <f>IF($J130=0,"",INDEX(ChqKey,114))</f>
        <v/>
      </c>
      <c r="L130" t="str">
        <f t="shared" si="3"/>
        <v/>
      </c>
    </row>
    <row r="131" spans="1:12" x14ac:dyDescent="0.2">
      <c r="A131" s="3" t="str">
        <f>IF(IFERROR(MATCH(115,ChqRankL,0),0)=0,"",115)</f>
        <v/>
      </c>
      <c r="B131" s="13" t="str">
        <f>IF(IFERROR(MATCH(115,ChqRankL,0),0)=0,"",INDEX(ChqNorm,IFERROR(MATCH(115,ChqRankL,0),0)))</f>
        <v/>
      </c>
      <c r="C131" s="13" t="str">
        <f>IF(IFERROR(MATCH(115,ChqRankL,0),0)=0,"",INDEX(ChqNo,IFERROR(MATCH(115,ChqRankL,0),0)))</f>
        <v/>
      </c>
      <c r="D131" s="14" t="str">
        <f>IF(IFERROR(MATCH(115,ChqRankL,0),0)=0,"",IF(INDEX(ChqAmt,IFERROR(MATCH(115,ChqRankL,0),0))=0,"",INDEX(ChqAmt,IFERROR(MATCH(115,ChqRankL,0),0))))</f>
        <v/>
      </c>
      <c r="E131" s="7" t="str">
        <f>IF(IFERROR(MATCH(115,ChqRankL,0),0)=0,"",INDEX(ChqStatus,IFERROR(MATCH(115,ChqRankL,0),0)))</f>
        <v/>
      </c>
      <c r="F131" s="13" t="str">
        <f>IF(IFERROR(MATCH(115,ChqRankL,0),0)=0,"",IF(INDEX(ChqStatus,IFERROR(MATCH(115,ChqRankL,0),0))="پاس نشده","—",IF(INDEX(ChqClr,IFERROR(MATCH(115,ChqRankL,0),0))="","—",INDEX(ChqClr,IFERROR(MATCH(115,ChqRankL,0),0)))))</f>
        <v/>
      </c>
      <c r="I131" t="str">
        <f>IF(115&gt;NChq,"",INDEX(ChqNorm,115))</f>
        <v/>
      </c>
      <c r="J131" t="str">
        <f t="shared" si="2"/>
        <v/>
      </c>
      <c r="K131" t="str">
        <f>IF($J131=0,"",INDEX(ChqKey,115))</f>
        <v/>
      </c>
      <c r="L131" t="str">
        <f t="shared" si="3"/>
        <v/>
      </c>
    </row>
    <row r="132" spans="1:12" x14ac:dyDescent="0.2">
      <c r="A132" s="9" t="str">
        <f>IF(IFERROR(MATCH(116,ChqRankL,0),0)=0,"",116)</f>
        <v/>
      </c>
      <c r="B132" s="15" t="str">
        <f>IF(IFERROR(MATCH(116,ChqRankL,0),0)=0,"",INDEX(ChqNorm,IFERROR(MATCH(116,ChqRankL,0),0)))</f>
        <v/>
      </c>
      <c r="C132" s="15" t="str">
        <f>IF(IFERROR(MATCH(116,ChqRankL,0),0)=0,"",INDEX(ChqNo,IFERROR(MATCH(116,ChqRankL,0),0)))</f>
        <v/>
      </c>
      <c r="D132" s="16" t="str">
        <f>IF(IFERROR(MATCH(116,ChqRankL,0),0)=0,"",IF(INDEX(ChqAmt,IFERROR(MATCH(116,ChqRankL,0),0))=0,"",INDEX(ChqAmt,IFERROR(MATCH(116,ChqRankL,0),0))))</f>
        <v/>
      </c>
      <c r="E132" s="10" t="str">
        <f>IF(IFERROR(MATCH(116,ChqRankL,0),0)=0,"",INDEX(ChqStatus,IFERROR(MATCH(116,ChqRankL,0),0)))</f>
        <v/>
      </c>
      <c r="F132" s="15" t="str">
        <f>IF(IFERROR(MATCH(116,ChqRankL,0),0)=0,"",IF(INDEX(ChqStatus,IFERROR(MATCH(116,ChqRankL,0),0))="پاس نشده","—",IF(INDEX(ChqClr,IFERROR(MATCH(116,ChqRankL,0),0))="","—",INDEX(ChqClr,IFERROR(MATCH(116,ChqRankL,0),0)))))</f>
        <v/>
      </c>
      <c r="I132" t="str">
        <f>IF(116&gt;NChq,"",INDEX(ChqNorm,116))</f>
        <v/>
      </c>
      <c r="J132" t="str">
        <f t="shared" si="2"/>
        <v/>
      </c>
      <c r="K132" t="str">
        <f>IF($J132=0,"",INDEX(ChqKey,116))</f>
        <v/>
      </c>
      <c r="L132" t="str">
        <f t="shared" si="3"/>
        <v/>
      </c>
    </row>
    <row r="133" spans="1:12" x14ac:dyDescent="0.2">
      <c r="A133" s="3" t="str">
        <f>IF(IFERROR(MATCH(117,ChqRankL,0),0)=0,"",117)</f>
        <v/>
      </c>
      <c r="B133" s="13" t="str">
        <f>IF(IFERROR(MATCH(117,ChqRankL,0),0)=0,"",INDEX(ChqNorm,IFERROR(MATCH(117,ChqRankL,0),0)))</f>
        <v/>
      </c>
      <c r="C133" s="13" t="str">
        <f>IF(IFERROR(MATCH(117,ChqRankL,0),0)=0,"",INDEX(ChqNo,IFERROR(MATCH(117,ChqRankL,0),0)))</f>
        <v/>
      </c>
      <c r="D133" s="14" t="str">
        <f>IF(IFERROR(MATCH(117,ChqRankL,0),0)=0,"",IF(INDEX(ChqAmt,IFERROR(MATCH(117,ChqRankL,0),0))=0,"",INDEX(ChqAmt,IFERROR(MATCH(117,ChqRankL,0),0))))</f>
        <v/>
      </c>
      <c r="E133" s="7" t="str">
        <f>IF(IFERROR(MATCH(117,ChqRankL,0),0)=0,"",INDEX(ChqStatus,IFERROR(MATCH(117,ChqRankL,0),0)))</f>
        <v/>
      </c>
      <c r="F133" s="13" t="str">
        <f>IF(IFERROR(MATCH(117,ChqRankL,0),0)=0,"",IF(INDEX(ChqStatus,IFERROR(MATCH(117,ChqRankL,0),0))="پاس نشده","—",IF(INDEX(ChqClr,IFERROR(MATCH(117,ChqRankL,0),0))="","—",INDEX(ChqClr,IFERROR(MATCH(117,ChqRankL,0),0)))))</f>
        <v/>
      </c>
      <c r="I133" t="str">
        <f>IF(117&gt;NChq,"",INDEX(ChqNorm,117))</f>
        <v/>
      </c>
      <c r="J133" t="str">
        <f t="shared" si="2"/>
        <v/>
      </c>
      <c r="K133" t="str">
        <f>IF($J133=0,"",INDEX(ChqKey,117))</f>
        <v/>
      </c>
      <c r="L133" t="str">
        <f t="shared" si="3"/>
        <v/>
      </c>
    </row>
    <row r="134" spans="1:12" x14ac:dyDescent="0.2">
      <c r="A134" s="9" t="str">
        <f>IF(IFERROR(MATCH(118,ChqRankL,0),0)=0,"",118)</f>
        <v/>
      </c>
      <c r="B134" s="15" t="str">
        <f>IF(IFERROR(MATCH(118,ChqRankL,0),0)=0,"",INDEX(ChqNorm,IFERROR(MATCH(118,ChqRankL,0),0)))</f>
        <v/>
      </c>
      <c r="C134" s="15" t="str">
        <f>IF(IFERROR(MATCH(118,ChqRankL,0),0)=0,"",INDEX(ChqNo,IFERROR(MATCH(118,ChqRankL,0),0)))</f>
        <v/>
      </c>
      <c r="D134" s="16" t="str">
        <f>IF(IFERROR(MATCH(118,ChqRankL,0),0)=0,"",IF(INDEX(ChqAmt,IFERROR(MATCH(118,ChqRankL,0),0))=0,"",INDEX(ChqAmt,IFERROR(MATCH(118,ChqRankL,0),0))))</f>
        <v/>
      </c>
      <c r="E134" s="10" t="str">
        <f>IF(IFERROR(MATCH(118,ChqRankL,0),0)=0,"",INDEX(ChqStatus,IFERROR(MATCH(118,ChqRankL,0),0)))</f>
        <v/>
      </c>
      <c r="F134" s="15" t="str">
        <f>IF(IFERROR(MATCH(118,ChqRankL,0),0)=0,"",IF(INDEX(ChqStatus,IFERROR(MATCH(118,ChqRankL,0),0))="پاس نشده","—",IF(INDEX(ChqClr,IFERROR(MATCH(118,ChqRankL,0),0))="","—",INDEX(ChqClr,IFERROR(MATCH(118,ChqRankL,0),0)))))</f>
        <v/>
      </c>
      <c r="I134" t="str">
        <f>IF(118&gt;NChq,"",INDEX(ChqNorm,118))</f>
        <v/>
      </c>
      <c r="J134" t="str">
        <f t="shared" si="2"/>
        <v/>
      </c>
      <c r="K134" t="str">
        <f>IF($J134=0,"",INDEX(ChqKey,118))</f>
        <v/>
      </c>
      <c r="L134" t="str">
        <f t="shared" si="3"/>
        <v/>
      </c>
    </row>
    <row r="135" spans="1:12" x14ac:dyDescent="0.2">
      <c r="A135" s="3" t="str">
        <f>IF(IFERROR(MATCH(119,ChqRankL,0),0)=0,"",119)</f>
        <v/>
      </c>
      <c r="B135" s="13" t="str">
        <f>IF(IFERROR(MATCH(119,ChqRankL,0),0)=0,"",INDEX(ChqNorm,IFERROR(MATCH(119,ChqRankL,0),0)))</f>
        <v/>
      </c>
      <c r="C135" s="13" t="str">
        <f>IF(IFERROR(MATCH(119,ChqRankL,0),0)=0,"",INDEX(ChqNo,IFERROR(MATCH(119,ChqRankL,0),0)))</f>
        <v/>
      </c>
      <c r="D135" s="14" t="str">
        <f>IF(IFERROR(MATCH(119,ChqRankL,0),0)=0,"",IF(INDEX(ChqAmt,IFERROR(MATCH(119,ChqRankL,0),0))=0,"",INDEX(ChqAmt,IFERROR(MATCH(119,ChqRankL,0),0))))</f>
        <v/>
      </c>
      <c r="E135" s="7" t="str">
        <f>IF(IFERROR(MATCH(119,ChqRankL,0),0)=0,"",INDEX(ChqStatus,IFERROR(MATCH(119,ChqRankL,0),0)))</f>
        <v/>
      </c>
      <c r="F135" s="13" t="str">
        <f>IF(IFERROR(MATCH(119,ChqRankL,0),0)=0,"",IF(INDEX(ChqStatus,IFERROR(MATCH(119,ChqRankL,0),0))="پاس نشده","—",IF(INDEX(ChqClr,IFERROR(MATCH(119,ChqRankL,0),0))="","—",INDEX(ChqClr,IFERROR(MATCH(119,ChqRankL,0),0)))))</f>
        <v/>
      </c>
      <c r="I135" t="str">
        <f>IF(119&gt;NChq,"",INDEX(ChqNorm,119))</f>
        <v/>
      </c>
      <c r="J135" t="str">
        <f t="shared" si="2"/>
        <v/>
      </c>
      <c r="K135" t="str">
        <f>IF($J135=0,"",INDEX(ChqKey,119))</f>
        <v/>
      </c>
      <c r="L135" t="str">
        <f t="shared" si="3"/>
        <v/>
      </c>
    </row>
    <row r="136" spans="1:12" x14ac:dyDescent="0.2">
      <c r="A136" s="9" t="str">
        <f>IF(IFERROR(MATCH(120,ChqRankL,0),0)=0,"",120)</f>
        <v/>
      </c>
      <c r="B136" s="15" t="str">
        <f>IF(IFERROR(MATCH(120,ChqRankL,0),0)=0,"",INDEX(ChqNorm,IFERROR(MATCH(120,ChqRankL,0),0)))</f>
        <v/>
      </c>
      <c r="C136" s="15" t="str">
        <f>IF(IFERROR(MATCH(120,ChqRankL,0),0)=0,"",INDEX(ChqNo,IFERROR(MATCH(120,ChqRankL,0),0)))</f>
        <v/>
      </c>
      <c r="D136" s="16" t="str">
        <f>IF(IFERROR(MATCH(120,ChqRankL,0),0)=0,"",IF(INDEX(ChqAmt,IFERROR(MATCH(120,ChqRankL,0),0))=0,"",INDEX(ChqAmt,IFERROR(MATCH(120,ChqRankL,0),0))))</f>
        <v/>
      </c>
      <c r="E136" s="10" t="str">
        <f>IF(IFERROR(MATCH(120,ChqRankL,0),0)=0,"",INDEX(ChqStatus,IFERROR(MATCH(120,ChqRankL,0),0)))</f>
        <v/>
      </c>
      <c r="F136" s="15" t="str">
        <f>IF(IFERROR(MATCH(120,ChqRankL,0),0)=0,"",IF(INDEX(ChqStatus,IFERROR(MATCH(120,ChqRankL,0),0))="پاس نشده","—",IF(INDEX(ChqClr,IFERROR(MATCH(120,ChqRankL,0),0))="","—",INDEX(ChqClr,IFERROR(MATCH(120,ChqRankL,0),0)))))</f>
        <v/>
      </c>
      <c r="I136" t="str">
        <f>IF(120&gt;NChq,"",INDEX(ChqNorm,120))</f>
        <v/>
      </c>
      <c r="J136" t="str">
        <f t="shared" si="2"/>
        <v/>
      </c>
      <c r="K136" t="str">
        <f>IF($J136=0,"",INDEX(ChqKey,120))</f>
        <v/>
      </c>
      <c r="L136" t="str">
        <f t="shared" si="3"/>
        <v/>
      </c>
    </row>
    <row r="137" spans="1:12" x14ac:dyDescent="0.2">
      <c r="A137" s="3" t="str">
        <f>IF(IFERROR(MATCH(121,ChqRankL,0),0)=0,"",121)</f>
        <v/>
      </c>
      <c r="B137" s="13" t="str">
        <f>IF(IFERROR(MATCH(121,ChqRankL,0),0)=0,"",INDEX(ChqNorm,IFERROR(MATCH(121,ChqRankL,0),0)))</f>
        <v/>
      </c>
      <c r="C137" s="13" t="str">
        <f>IF(IFERROR(MATCH(121,ChqRankL,0),0)=0,"",INDEX(ChqNo,IFERROR(MATCH(121,ChqRankL,0),0)))</f>
        <v/>
      </c>
      <c r="D137" s="14" t="str">
        <f>IF(IFERROR(MATCH(121,ChqRankL,0),0)=0,"",IF(INDEX(ChqAmt,IFERROR(MATCH(121,ChqRankL,0),0))=0,"",INDEX(ChqAmt,IFERROR(MATCH(121,ChqRankL,0),0))))</f>
        <v/>
      </c>
      <c r="E137" s="7" t="str">
        <f>IF(IFERROR(MATCH(121,ChqRankL,0),0)=0,"",INDEX(ChqStatus,IFERROR(MATCH(121,ChqRankL,0),0)))</f>
        <v/>
      </c>
      <c r="F137" s="13" t="str">
        <f>IF(IFERROR(MATCH(121,ChqRankL,0),0)=0,"",IF(INDEX(ChqStatus,IFERROR(MATCH(121,ChqRankL,0),0))="پاس نشده","—",IF(INDEX(ChqClr,IFERROR(MATCH(121,ChqRankL,0),0))="","—",INDEX(ChqClr,IFERROR(MATCH(121,ChqRankL,0),0)))))</f>
        <v/>
      </c>
      <c r="I137" t="str">
        <f>IF(121&gt;NChq,"",INDEX(ChqNorm,121))</f>
        <v/>
      </c>
      <c r="J137" t="str">
        <f t="shared" si="2"/>
        <v/>
      </c>
      <c r="K137" t="str">
        <f>IF($J137=0,"",INDEX(ChqKey,121))</f>
        <v/>
      </c>
      <c r="L137" t="str">
        <f t="shared" si="3"/>
        <v/>
      </c>
    </row>
    <row r="138" spans="1:12" x14ac:dyDescent="0.2">
      <c r="A138" s="9" t="str">
        <f>IF(IFERROR(MATCH(122,ChqRankL,0),0)=0,"",122)</f>
        <v/>
      </c>
      <c r="B138" s="15" t="str">
        <f>IF(IFERROR(MATCH(122,ChqRankL,0),0)=0,"",INDEX(ChqNorm,IFERROR(MATCH(122,ChqRankL,0),0)))</f>
        <v/>
      </c>
      <c r="C138" s="15" t="str">
        <f>IF(IFERROR(MATCH(122,ChqRankL,0),0)=0,"",INDEX(ChqNo,IFERROR(MATCH(122,ChqRankL,0),0)))</f>
        <v/>
      </c>
      <c r="D138" s="16" t="str">
        <f>IF(IFERROR(MATCH(122,ChqRankL,0),0)=0,"",IF(INDEX(ChqAmt,IFERROR(MATCH(122,ChqRankL,0),0))=0,"",INDEX(ChqAmt,IFERROR(MATCH(122,ChqRankL,0),0))))</f>
        <v/>
      </c>
      <c r="E138" s="10" t="str">
        <f>IF(IFERROR(MATCH(122,ChqRankL,0),0)=0,"",INDEX(ChqStatus,IFERROR(MATCH(122,ChqRankL,0),0)))</f>
        <v/>
      </c>
      <c r="F138" s="15" t="str">
        <f>IF(IFERROR(MATCH(122,ChqRankL,0),0)=0,"",IF(INDEX(ChqStatus,IFERROR(MATCH(122,ChqRankL,0),0))="پاس نشده","—",IF(INDEX(ChqClr,IFERROR(MATCH(122,ChqRankL,0),0))="","—",INDEX(ChqClr,IFERROR(MATCH(122,ChqRankL,0),0)))))</f>
        <v/>
      </c>
      <c r="I138" t="str">
        <f>IF(122&gt;NChq,"",INDEX(ChqNorm,122))</f>
        <v/>
      </c>
      <c r="J138" t="str">
        <f t="shared" si="2"/>
        <v/>
      </c>
      <c r="K138" t="str">
        <f>IF($J138=0,"",INDEX(ChqKey,122))</f>
        <v/>
      </c>
      <c r="L138" t="str">
        <f t="shared" si="3"/>
        <v/>
      </c>
    </row>
    <row r="139" spans="1:12" x14ac:dyDescent="0.2">
      <c r="A139" s="3" t="str">
        <f>IF(IFERROR(MATCH(123,ChqRankL,0),0)=0,"",123)</f>
        <v/>
      </c>
      <c r="B139" s="13" t="str">
        <f>IF(IFERROR(MATCH(123,ChqRankL,0),0)=0,"",INDEX(ChqNorm,IFERROR(MATCH(123,ChqRankL,0),0)))</f>
        <v/>
      </c>
      <c r="C139" s="13" t="str">
        <f>IF(IFERROR(MATCH(123,ChqRankL,0),0)=0,"",INDEX(ChqNo,IFERROR(MATCH(123,ChqRankL,0),0)))</f>
        <v/>
      </c>
      <c r="D139" s="14" t="str">
        <f>IF(IFERROR(MATCH(123,ChqRankL,0),0)=0,"",IF(INDEX(ChqAmt,IFERROR(MATCH(123,ChqRankL,0),0))=0,"",INDEX(ChqAmt,IFERROR(MATCH(123,ChqRankL,0),0))))</f>
        <v/>
      </c>
      <c r="E139" s="7" t="str">
        <f>IF(IFERROR(MATCH(123,ChqRankL,0),0)=0,"",INDEX(ChqStatus,IFERROR(MATCH(123,ChqRankL,0),0)))</f>
        <v/>
      </c>
      <c r="F139" s="13" t="str">
        <f>IF(IFERROR(MATCH(123,ChqRankL,0),0)=0,"",IF(INDEX(ChqStatus,IFERROR(MATCH(123,ChqRankL,0),0))="پاس نشده","—",IF(INDEX(ChqClr,IFERROR(MATCH(123,ChqRankL,0),0))="","—",INDEX(ChqClr,IFERROR(MATCH(123,ChqRankL,0),0)))))</f>
        <v/>
      </c>
      <c r="I139" t="str">
        <f>IF(123&gt;NChq,"",INDEX(ChqNorm,123))</f>
        <v/>
      </c>
      <c r="J139" t="str">
        <f t="shared" si="2"/>
        <v/>
      </c>
      <c r="K139" t="str">
        <f>IF($J139=0,"",INDEX(ChqKey,123))</f>
        <v/>
      </c>
      <c r="L139" t="str">
        <f t="shared" si="3"/>
        <v/>
      </c>
    </row>
    <row r="140" spans="1:12" x14ac:dyDescent="0.2">
      <c r="A140" s="9" t="str">
        <f>IF(IFERROR(MATCH(124,ChqRankL,0),0)=0,"",124)</f>
        <v/>
      </c>
      <c r="B140" s="15" t="str">
        <f>IF(IFERROR(MATCH(124,ChqRankL,0),0)=0,"",INDEX(ChqNorm,IFERROR(MATCH(124,ChqRankL,0),0)))</f>
        <v/>
      </c>
      <c r="C140" s="15" t="str">
        <f>IF(IFERROR(MATCH(124,ChqRankL,0),0)=0,"",INDEX(ChqNo,IFERROR(MATCH(124,ChqRankL,0),0)))</f>
        <v/>
      </c>
      <c r="D140" s="16" t="str">
        <f>IF(IFERROR(MATCH(124,ChqRankL,0),0)=0,"",IF(INDEX(ChqAmt,IFERROR(MATCH(124,ChqRankL,0),0))=0,"",INDEX(ChqAmt,IFERROR(MATCH(124,ChqRankL,0),0))))</f>
        <v/>
      </c>
      <c r="E140" s="10" t="str">
        <f>IF(IFERROR(MATCH(124,ChqRankL,0),0)=0,"",INDEX(ChqStatus,IFERROR(MATCH(124,ChqRankL,0),0)))</f>
        <v/>
      </c>
      <c r="F140" s="15" t="str">
        <f>IF(IFERROR(MATCH(124,ChqRankL,0),0)=0,"",IF(INDEX(ChqStatus,IFERROR(MATCH(124,ChqRankL,0),0))="پاس نشده","—",IF(INDEX(ChqClr,IFERROR(MATCH(124,ChqRankL,0),0))="","—",INDEX(ChqClr,IFERROR(MATCH(124,ChqRankL,0),0)))))</f>
        <v/>
      </c>
      <c r="I140" t="str">
        <f>IF(124&gt;NChq,"",INDEX(ChqNorm,124))</f>
        <v/>
      </c>
      <c r="J140" t="str">
        <f t="shared" si="2"/>
        <v/>
      </c>
      <c r="K140" t="str">
        <f>IF($J140=0,"",INDEX(ChqKey,124))</f>
        <v/>
      </c>
      <c r="L140" t="str">
        <f t="shared" si="3"/>
        <v/>
      </c>
    </row>
    <row r="141" spans="1:12" x14ac:dyDescent="0.2">
      <c r="A141" s="3" t="str">
        <f>IF(IFERROR(MATCH(125,ChqRankL,0),0)=0,"",125)</f>
        <v/>
      </c>
      <c r="B141" s="13" t="str">
        <f>IF(IFERROR(MATCH(125,ChqRankL,0),0)=0,"",INDEX(ChqNorm,IFERROR(MATCH(125,ChqRankL,0),0)))</f>
        <v/>
      </c>
      <c r="C141" s="13" t="str">
        <f>IF(IFERROR(MATCH(125,ChqRankL,0),0)=0,"",INDEX(ChqNo,IFERROR(MATCH(125,ChqRankL,0),0)))</f>
        <v/>
      </c>
      <c r="D141" s="14" t="str">
        <f>IF(IFERROR(MATCH(125,ChqRankL,0),0)=0,"",IF(INDEX(ChqAmt,IFERROR(MATCH(125,ChqRankL,0),0))=0,"",INDEX(ChqAmt,IFERROR(MATCH(125,ChqRankL,0),0))))</f>
        <v/>
      </c>
      <c r="E141" s="7" t="str">
        <f>IF(IFERROR(MATCH(125,ChqRankL,0),0)=0,"",INDEX(ChqStatus,IFERROR(MATCH(125,ChqRankL,0),0)))</f>
        <v/>
      </c>
      <c r="F141" s="13" t="str">
        <f>IF(IFERROR(MATCH(125,ChqRankL,0),0)=0,"",IF(INDEX(ChqStatus,IFERROR(MATCH(125,ChqRankL,0),0))="پاس نشده","—",IF(INDEX(ChqClr,IFERROR(MATCH(125,ChqRankL,0),0))="","—",INDEX(ChqClr,IFERROR(MATCH(125,ChqRankL,0),0)))))</f>
        <v/>
      </c>
      <c r="I141" t="str">
        <f>IF(125&gt;NChq,"",INDEX(ChqNorm,125))</f>
        <v/>
      </c>
      <c r="J141" t="str">
        <f t="shared" si="2"/>
        <v/>
      </c>
      <c r="K141" t="str">
        <f>IF($J141=0,"",INDEX(ChqKey,125))</f>
        <v/>
      </c>
      <c r="L141" t="str">
        <f t="shared" si="3"/>
        <v/>
      </c>
    </row>
    <row r="142" spans="1:12" x14ac:dyDescent="0.2">
      <c r="A142" s="9" t="str">
        <f>IF(IFERROR(MATCH(126,ChqRankL,0),0)=0,"",126)</f>
        <v/>
      </c>
      <c r="B142" s="15" t="str">
        <f>IF(IFERROR(MATCH(126,ChqRankL,0),0)=0,"",INDEX(ChqNorm,IFERROR(MATCH(126,ChqRankL,0),0)))</f>
        <v/>
      </c>
      <c r="C142" s="15" t="str">
        <f>IF(IFERROR(MATCH(126,ChqRankL,0),0)=0,"",INDEX(ChqNo,IFERROR(MATCH(126,ChqRankL,0),0)))</f>
        <v/>
      </c>
      <c r="D142" s="16" t="str">
        <f>IF(IFERROR(MATCH(126,ChqRankL,0),0)=0,"",IF(INDEX(ChqAmt,IFERROR(MATCH(126,ChqRankL,0),0))=0,"",INDEX(ChqAmt,IFERROR(MATCH(126,ChqRankL,0),0))))</f>
        <v/>
      </c>
      <c r="E142" s="10" t="str">
        <f>IF(IFERROR(MATCH(126,ChqRankL,0),0)=0,"",INDEX(ChqStatus,IFERROR(MATCH(126,ChqRankL,0),0)))</f>
        <v/>
      </c>
      <c r="F142" s="15" t="str">
        <f>IF(IFERROR(MATCH(126,ChqRankL,0),0)=0,"",IF(INDEX(ChqStatus,IFERROR(MATCH(126,ChqRankL,0),0))="پاس نشده","—",IF(INDEX(ChqClr,IFERROR(MATCH(126,ChqRankL,0),0))="","—",INDEX(ChqClr,IFERROR(MATCH(126,ChqRankL,0),0)))))</f>
        <v/>
      </c>
      <c r="I142" t="str">
        <f>IF(126&gt;NChq,"",INDEX(ChqNorm,126))</f>
        <v/>
      </c>
      <c r="J142" t="str">
        <f t="shared" si="2"/>
        <v/>
      </c>
      <c r="K142" t="str">
        <f>IF($J142=0,"",INDEX(ChqKey,126))</f>
        <v/>
      </c>
      <c r="L142" t="str">
        <f t="shared" si="3"/>
        <v/>
      </c>
    </row>
    <row r="143" spans="1:12" x14ac:dyDescent="0.2">
      <c r="A143" s="3" t="str">
        <f>IF(IFERROR(MATCH(127,ChqRankL,0),0)=0,"",127)</f>
        <v/>
      </c>
      <c r="B143" s="13" t="str">
        <f>IF(IFERROR(MATCH(127,ChqRankL,0),0)=0,"",INDEX(ChqNorm,IFERROR(MATCH(127,ChqRankL,0),0)))</f>
        <v/>
      </c>
      <c r="C143" s="13" t="str">
        <f>IF(IFERROR(MATCH(127,ChqRankL,0),0)=0,"",INDEX(ChqNo,IFERROR(MATCH(127,ChqRankL,0),0)))</f>
        <v/>
      </c>
      <c r="D143" s="14" t="str">
        <f>IF(IFERROR(MATCH(127,ChqRankL,0),0)=0,"",IF(INDEX(ChqAmt,IFERROR(MATCH(127,ChqRankL,0),0))=0,"",INDEX(ChqAmt,IFERROR(MATCH(127,ChqRankL,0),0))))</f>
        <v/>
      </c>
      <c r="E143" s="7" t="str">
        <f>IF(IFERROR(MATCH(127,ChqRankL,0),0)=0,"",INDEX(ChqStatus,IFERROR(MATCH(127,ChqRankL,0),0)))</f>
        <v/>
      </c>
      <c r="F143" s="13" t="str">
        <f>IF(IFERROR(MATCH(127,ChqRankL,0),0)=0,"",IF(INDEX(ChqStatus,IFERROR(MATCH(127,ChqRankL,0),0))="پاس نشده","—",IF(INDEX(ChqClr,IFERROR(MATCH(127,ChqRankL,0),0))="","—",INDEX(ChqClr,IFERROR(MATCH(127,ChqRankL,0),0)))))</f>
        <v/>
      </c>
      <c r="I143" t="str">
        <f>IF(127&gt;NChq,"",INDEX(ChqNorm,127))</f>
        <v/>
      </c>
      <c r="J143" t="str">
        <f t="shared" si="2"/>
        <v/>
      </c>
      <c r="K143" t="str">
        <f>IF($J143=0,"",INDEX(ChqKey,127))</f>
        <v/>
      </c>
      <c r="L143" t="str">
        <f t="shared" si="3"/>
        <v/>
      </c>
    </row>
    <row r="144" spans="1:12" x14ac:dyDescent="0.2">
      <c r="A144" s="9" t="str">
        <f>IF(IFERROR(MATCH(128,ChqRankL,0),0)=0,"",128)</f>
        <v/>
      </c>
      <c r="B144" s="15" t="str">
        <f>IF(IFERROR(MATCH(128,ChqRankL,0),0)=0,"",INDEX(ChqNorm,IFERROR(MATCH(128,ChqRankL,0),0)))</f>
        <v/>
      </c>
      <c r="C144" s="15" t="str">
        <f>IF(IFERROR(MATCH(128,ChqRankL,0),0)=0,"",INDEX(ChqNo,IFERROR(MATCH(128,ChqRankL,0),0)))</f>
        <v/>
      </c>
      <c r="D144" s="16" t="str">
        <f>IF(IFERROR(MATCH(128,ChqRankL,0),0)=0,"",IF(INDEX(ChqAmt,IFERROR(MATCH(128,ChqRankL,0),0))=0,"",INDEX(ChqAmt,IFERROR(MATCH(128,ChqRankL,0),0))))</f>
        <v/>
      </c>
      <c r="E144" s="10" t="str">
        <f>IF(IFERROR(MATCH(128,ChqRankL,0),0)=0,"",INDEX(ChqStatus,IFERROR(MATCH(128,ChqRankL,0),0)))</f>
        <v/>
      </c>
      <c r="F144" s="15" t="str">
        <f>IF(IFERROR(MATCH(128,ChqRankL,0),0)=0,"",IF(INDEX(ChqStatus,IFERROR(MATCH(128,ChqRankL,0),0))="پاس نشده","—",IF(INDEX(ChqClr,IFERROR(MATCH(128,ChqRankL,0),0))="","—",INDEX(ChqClr,IFERROR(MATCH(128,ChqRankL,0),0)))))</f>
        <v/>
      </c>
      <c r="I144" t="str">
        <f>IF(128&gt;NChq,"",INDEX(ChqNorm,128))</f>
        <v/>
      </c>
      <c r="J144" t="str">
        <f t="shared" si="2"/>
        <v/>
      </c>
      <c r="K144" t="str">
        <f>IF($J144=0,"",INDEX(ChqKey,128))</f>
        <v/>
      </c>
      <c r="L144" t="str">
        <f t="shared" si="3"/>
        <v/>
      </c>
    </row>
    <row r="145" spans="1:12" x14ac:dyDescent="0.2">
      <c r="A145" s="3" t="str">
        <f>IF(IFERROR(MATCH(129,ChqRankL,0),0)=0,"",129)</f>
        <v/>
      </c>
      <c r="B145" s="13" t="str">
        <f>IF(IFERROR(MATCH(129,ChqRankL,0),0)=0,"",INDEX(ChqNorm,IFERROR(MATCH(129,ChqRankL,0),0)))</f>
        <v/>
      </c>
      <c r="C145" s="13" t="str">
        <f>IF(IFERROR(MATCH(129,ChqRankL,0),0)=0,"",INDEX(ChqNo,IFERROR(MATCH(129,ChqRankL,0),0)))</f>
        <v/>
      </c>
      <c r="D145" s="14" t="str">
        <f>IF(IFERROR(MATCH(129,ChqRankL,0),0)=0,"",IF(INDEX(ChqAmt,IFERROR(MATCH(129,ChqRankL,0),0))=0,"",INDEX(ChqAmt,IFERROR(MATCH(129,ChqRankL,0),0))))</f>
        <v/>
      </c>
      <c r="E145" s="7" t="str">
        <f>IF(IFERROR(MATCH(129,ChqRankL,0),0)=0,"",INDEX(ChqStatus,IFERROR(MATCH(129,ChqRankL,0),0)))</f>
        <v/>
      </c>
      <c r="F145" s="13" t="str">
        <f>IF(IFERROR(MATCH(129,ChqRankL,0),0)=0,"",IF(INDEX(ChqStatus,IFERROR(MATCH(129,ChqRankL,0),0))="پاس نشده","—",IF(INDEX(ChqClr,IFERROR(MATCH(129,ChqRankL,0),0))="","—",INDEX(ChqClr,IFERROR(MATCH(129,ChqRankL,0),0)))))</f>
        <v/>
      </c>
      <c r="I145" t="str">
        <f>IF(129&gt;NChq,"",INDEX(ChqNorm,129))</f>
        <v/>
      </c>
      <c r="J145" t="str">
        <f t="shared" ref="J145:J208" si="4">IF($I145="","",IF(AND($I145&gt;=$H$3,$I145&lt;=$H$4),1,0))</f>
        <v/>
      </c>
      <c r="K145" t="str">
        <f>IF($J145=0,"",INDEX(ChqKey,129))</f>
        <v/>
      </c>
      <c r="L145" t="str">
        <f t="shared" ref="L145:L208" si="5">IF($K145="","",COUNTIFS($J$17:$J$516,1,$K$17:$K$516,"&lt;"&amp;$K145)+1)</f>
        <v/>
      </c>
    </row>
    <row r="146" spans="1:12" x14ac:dyDescent="0.2">
      <c r="A146" s="9" t="str">
        <f>IF(IFERROR(MATCH(130,ChqRankL,0),0)=0,"",130)</f>
        <v/>
      </c>
      <c r="B146" s="15" t="str">
        <f>IF(IFERROR(MATCH(130,ChqRankL,0),0)=0,"",INDEX(ChqNorm,IFERROR(MATCH(130,ChqRankL,0),0)))</f>
        <v/>
      </c>
      <c r="C146" s="15" t="str">
        <f>IF(IFERROR(MATCH(130,ChqRankL,0),0)=0,"",INDEX(ChqNo,IFERROR(MATCH(130,ChqRankL,0),0)))</f>
        <v/>
      </c>
      <c r="D146" s="16" t="str">
        <f>IF(IFERROR(MATCH(130,ChqRankL,0),0)=0,"",IF(INDEX(ChqAmt,IFERROR(MATCH(130,ChqRankL,0),0))=0,"",INDEX(ChqAmt,IFERROR(MATCH(130,ChqRankL,0),0))))</f>
        <v/>
      </c>
      <c r="E146" s="10" t="str">
        <f>IF(IFERROR(MATCH(130,ChqRankL,0),0)=0,"",INDEX(ChqStatus,IFERROR(MATCH(130,ChqRankL,0),0)))</f>
        <v/>
      </c>
      <c r="F146" s="15" t="str">
        <f>IF(IFERROR(MATCH(130,ChqRankL,0),0)=0,"",IF(INDEX(ChqStatus,IFERROR(MATCH(130,ChqRankL,0),0))="پاس نشده","—",IF(INDEX(ChqClr,IFERROR(MATCH(130,ChqRankL,0),0))="","—",INDEX(ChqClr,IFERROR(MATCH(130,ChqRankL,0),0)))))</f>
        <v/>
      </c>
      <c r="I146" t="str">
        <f>IF(130&gt;NChq,"",INDEX(ChqNorm,130))</f>
        <v/>
      </c>
      <c r="J146" t="str">
        <f t="shared" si="4"/>
        <v/>
      </c>
      <c r="K146" t="str">
        <f>IF($J146=0,"",INDEX(ChqKey,130))</f>
        <v/>
      </c>
      <c r="L146" t="str">
        <f t="shared" si="5"/>
        <v/>
      </c>
    </row>
    <row r="147" spans="1:12" x14ac:dyDescent="0.2">
      <c r="A147" s="3" t="str">
        <f>IF(IFERROR(MATCH(131,ChqRankL,0),0)=0,"",131)</f>
        <v/>
      </c>
      <c r="B147" s="13" t="str">
        <f>IF(IFERROR(MATCH(131,ChqRankL,0),0)=0,"",INDEX(ChqNorm,IFERROR(MATCH(131,ChqRankL,0),0)))</f>
        <v/>
      </c>
      <c r="C147" s="13" t="str">
        <f>IF(IFERROR(MATCH(131,ChqRankL,0),0)=0,"",INDEX(ChqNo,IFERROR(MATCH(131,ChqRankL,0),0)))</f>
        <v/>
      </c>
      <c r="D147" s="14" t="str">
        <f>IF(IFERROR(MATCH(131,ChqRankL,0),0)=0,"",IF(INDEX(ChqAmt,IFERROR(MATCH(131,ChqRankL,0),0))=0,"",INDEX(ChqAmt,IFERROR(MATCH(131,ChqRankL,0),0))))</f>
        <v/>
      </c>
      <c r="E147" s="7" t="str">
        <f>IF(IFERROR(MATCH(131,ChqRankL,0),0)=0,"",INDEX(ChqStatus,IFERROR(MATCH(131,ChqRankL,0),0)))</f>
        <v/>
      </c>
      <c r="F147" s="13" t="str">
        <f>IF(IFERROR(MATCH(131,ChqRankL,0),0)=0,"",IF(INDEX(ChqStatus,IFERROR(MATCH(131,ChqRankL,0),0))="پاس نشده","—",IF(INDEX(ChqClr,IFERROR(MATCH(131,ChqRankL,0),0))="","—",INDEX(ChqClr,IFERROR(MATCH(131,ChqRankL,0),0)))))</f>
        <v/>
      </c>
      <c r="I147" t="str">
        <f>IF(131&gt;NChq,"",INDEX(ChqNorm,131))</f>
        <v/>
      </c>
      <c r="J147" t="str">
        <f t="shared" si="4"/>
        <v/>
      </c>
      <c r="K147" t="str">
        <f>IF($J147=0,"",INDEX(ChqKey,131))</f>
        <v/>
      </c>
      <c r="L147" t="str">
        <f t="shared" si="5"/>
        <v/>
      </c>
    </row>
    <row r="148" spans="1:12" x14ac:dyDescent="0.2">
      <c r="A148" s="9" t="str">
        <f>IF(IFERROR(MATCH(132,ChqRankL,0),0)=0,"",132)</f>
        <v/>
      </c>
      <c r="B148" s="15" t="str">
        <f>IF(IFERROR(MATCH(132,ChqRankL,0),0)=0,"",INDEX(ChqNorm,IFERROR(MATCH(132,ChqRankL,0),0)))</f>
        <v/>
      </c>
      <c r="C148" s="15" t="str">
        <f>IF(IFERROR(MATCH(132,ChqRankL,0),0)=0,"",INDEX(ChqNo,IFERROR(MATCH(132,ChqRankL,0),0)))</f>
        <v/>
      </c>
      <c r="D148" s="16" t="str">
        <f>IF(IFERROR(MATCH(132,ChqRankL,0),0)=0,"",IF(INDEX(ChqAmt,IFERROR(MATCH(132,ChqRankL,0),0))=0,"",INDEX(ChqAmt,IFERROR(MATCH(132,ChqRankL,0),0))))</f>
        <v/>
      </c>
      <c r="E148" s="10" t="str">
        <f>IF(IFERROR(MATCH(132,ChqRankL,0),0)=0,"",INDEX(ChqStatus,IFERROR(MATCH(132,ChqRankL,0),0)))</f>
        <v/>
      </c>
      <c r="F148" s="15" t="str">
        <f>IF(IFERROR(MATCH(132,ChqRankL,0),0)=0,"",IF(INDEX(ChqStatus,IFERROR(MATCH(132,ChqRankL,0),0))="پاس نشده","—",IF(INDEX(ChqClr,IFERROR(MATCH(132,ChqRankL,0),0))="","—",INDEX(ChqClr,IFERROR(MATCH(132,ChqRankL,0),0)))))</f>
        <v/>
      </c>
      <c r="I148" t="str">
        <f>IF(132&gt;NChq,"",INDEX(ChqNorm,132))</f>
        <v/>
      </c>
      <c r="J148" t="str">
        <f t="shared" si="4"/>
        <v/>
      </c>
      <c r="K148" t="str">
        <f>IF($J148=0,"",INDEX(ChqKey,132))</f>
        <v/>
      </c>
      <c r="L148" t="str">
        <f t="shared" si="5"/>
        <v/>
      </c>
    </row>
    <row r="149" spans="1:12" x14ac:dyDescent="0.2">
      <c r="A149" s="3" t="str">
        <f>IF(IFERROR(MATCH(133,ChqRankL,0),0)=0,"",133)</f>
        <v/>
      </c>
      <c r="B149" s="13" t="str">
        <f>IF(IFERROR(MATCH(133,ChqRankL,0),0)=0,"",INDEX(ChqNorm,IFERROR(MATCH(133,ChqRankL,0),0)))</f>
        <v/>
      </c>
      <c r="C149" s="13" t="str">
        <f>IF(IFERROR(MATCH(133,ChqRankL,0),0)=0,"",INDEX(ChqNo,IFERROR(MATCH(133,ChqRankL,0),0)))</f>
        <v/>
      </c>
      <c r="D149" s="14" t="str">
        <f>IF(IFERROR(MATCH(133,ChqRankL,0),0)=0,"",IF(INDEX(ChqAmt,IFERROR(MATCH(133,ChqRankL,0),0))=0,"",INDEX(ChqAmt,IFERROR(MATCH(133,ChqRankL,0),0))))</f>
        <v/>
      </c>
      <c r="E149" s="7" t="str">
        <f>IF(IFERROR(MATCH(133,ChqRankL,0),0)=0,"",INDEX(ChqStatus,IFERROR(MATCH(133,ChqRankL,0),0)))</f>
        <v/>
      </c>
      <c r="F149" s="13" t="str">
        <f>IF(IFERROR(MATCH(133,ChqRankL,0),0)=0,"",IF(INDEX(ChqStatus,IFERROR(MATCH(133,ChqRankL,0),0))="پاس نشده","—",IF(INDEX(ChqClr,IFERROR(MATCH(133,ChqRankL,0),0))="","—",INDEX(ChqClr,IFERROR(MATCH(133,ChqRankL,0),0)))))</f>
        <v/>
      </c>
      <c r="I149" t="str">
        <f>IF(133&gt;NChq,"",INDEX(ChqNorm,133))</f>
        <v/>
      </c>
      <c r="J149" t="str">
        <f t="shared" si="4"/>
        <v/>
      </c>
      <c r="K149" t="str">
        <f>IF($J149=0,"",INDEX(ChqKey,133))</f>
        <v/>
      </c>
      <c r="L149" t="str">
        <f t="shared" si="5"/>
        <v/>
      </c>
    </row>
    <row r="150" spans="1:12" x14ac:dyDescent="0.2">
      <c r="A150" s="9" t="str">
        <f>IF(IFERROR(MATCH(134,ChqRankL,0),0)=0,"",134)</f>
        <v/>
      </c>
      <c r="B150" s="15" t="str">
        <f>IF(IFERROR(MATCH(134,ChqRankL,0),0)=0,"",INDEX(ChqNorm,IFERROR(MATCH(134,ChqRankL,0),0)))</f>
        <v/>
      </c>
      <c r="C150" s="15" t="str">
        <f>IF(IFERROR(MATCH(134,ChqRankL,0),0)=0,"",INDEX(ChqNo,IFERROR(MATCH(134,ChqRankL,0),0)))</f>
        <v/>
      </c>
      <c r="D150" s="16" t="str">
        <f>IF(IFERROR(MATCH(134,ChqRankL,0),0)=0,"",IF(INDEX(ChqAmt,IFERROR(MATCH(134,ChqRankL,0),0))=0,"",INDEX(ChqAmt,IFERROR(MATCH(134,ChqRankL,0),0))))</f>
        <v/>
      </c>
      <c r="E150" s="10" t="str">
        <f>IF(IFERROR(MATCH(134,ChqRankL,0),0)=0,"",INDEX(ChqStatus,IFERROR(MATCH(134,ChqRankL,0),0)))</f>
        <v/>
      </c>
      <c r="F150" s="15" t="str">
        <f>IF(IFERROR(MATCH(134,ChqRankL,0),0)=0,"",IF(INDEX(ChqStatus,IFERROR(MATCH(134,ChqRankL,0),0))="پاس نشده","—",IF(INDEX(ChqClr,IFERROR(MATCH(134,ChqRankL,0),0))="","—",INDEX(ChqClr,IFERROR(MATCH(134,ChqRankL,0),0)))))</f>
        <v/>
      </c>
      <c r="I150" t="str">
        <f>IF(134&gt;NChq,"",INDEX(ChqNorm,134))</f>
        <v/>
      </c>
      <c r="J150" t="str">
        <f t="shared" si="4"/>
        <v/>
      </c>
      <c r="K150" t="str">
        <f>IF($J150=0,"",INDEX(ChqKey,134))</f>
        <v/>
      </c>
      <c r="L150" t="str">
        <f t="shared" si="5"/>
        <v/>
      </c>
    </row>
    <row r="151" spans="1:12" x14ac:dyDescent="0.2">
      <c r="A151" s="3" t="str">
        <f>IF(IFERROR(MATCH(135,ChqRankL,0),0)=0,"",135)</f>
        <v/>
      </c>
      <c r="B151" s="13" t="str">
        <f>IF(IFERROR(MATCH(135,ChqRankL,0),0)=0,"",INDEX(ChqNorm,IFERROR(MATCH(135,ChqRankL,0),0)))</f>
        <v/>
      </c>
      <c r="C151" s="13" t="str">
        <f>IF(IFERROR(MATCH(135,ChqRankL,0),0)=0,"",INDEX(ChqNo,IFERROR(MATCH(135,ChqRankL,0),0)))</f>
        <v/>
      </c>
      <c r="D151" s="14" t="str">
        <f>IF(IFERROR(MATCH(135,ChqRankL,0),0)=0,"",IF(INDEX(ChqAmt,IFERROR(MATCH(135,ChqRankL,0),0))=0,"",INDEX(ChqAmt,IFERROR(MATCH(135,ChqRankL,0),0))))</f>
        <v/>
      </c>
      <c r="E151" s="7" t="str">
        <f>IF(IFERROR(MATCH(135,ChqRankL,0),0)=0,"",INDEX(ChqStatus,IFERROR(MATCH(135,ChqRankL,0),0)))</f>
        <v/>
      </c>
      <c r="F151" s="13" t="str">
        <f>IF(IFERROR(MATCH(135,ChqRankL,0),0)=0,"",IF(INDEX(ChqStatus,IFERROR(MATCH(135,ChqRankL,0),0))="پاس نشده","—",IF(INDEX(ChqClr,IFERROR(MATCH(135,ChqRankL,0),0))="","—",INDEX(ChqClr,IFERROR(MATCH(135,ChqRankL,0),0)))))</f>
        <v/>
      </c>
      <c r="I151" t="str">
        <f>IF(135&gt;NChq,"",INDEX(ChqNorm,135))</f>
        <v/>
      </c>
      <c r="J151" t="str">
        <f t="shared" si="4"/>
        <v/>
      </c>
      <c r="K151" t="str">
        <f>IF($J151=0,"",INDEX(ChqKey,135))</f>
        <v/>
      </c>
      <c r="L151" t="str">
        <f t="shared" si="5"/>
        <v/>
      </c>
    </row>
    <row r="152" spans="1:12" x14ac:dyDescent="0.2">
      <c r="A152" s="9" t="str">
        <f>IF(IFERROR(MATCH(136,ChqRankL,0),0)=0,"",136)</f>
        <v/>
      </c>
      <c r="B152" s="15" t="str">
        <f>IF(IFERROR(MATCH(136,ChqRankL,0),0)=0,"",INDEX(ChqNorm,IFERROR(MATCH(136,ChqRankL,0),0)))</f>
        <v/>
      </c>
      <c r="C152" s="15" t="str">
        <f>IF(IFERROR(MATCH(136,ChqRankL,0),0)=0,"",INDEX(ChqNo,IFERROR(MATCH(136,ChqRankL,0),0)))</f>
        <v/>
      </c>
      <c r="D152" s="16" t="str">
        <f>IF(IFERROR(MATCH(136,ChqRankL,0),0)=0,"",IF(INDEX(ChqAmt,IFERROR(MATCH(136,ChqRankL,0),0))=0,"",INDEX(ChqAmt,IFERROR(MATCH(136,ChqRankL,0),0))))</f>
        <v/>
      </c>
      <c r="E152" s="10" t="str">
        <f>IF(IFERROR(MATCH(136,ChqRankL,0),0)=0,"",INDEX(ChqStatus,IFERROR(MATCH(136,ChqRankL,0),0)))</f>
        <v/>
      </c>
      <c r="F152" s="15" t="str">
        <f>IF(IFERROR(MATCH(136,ChqRankL,0),0)=0,"",IF(INDEX(ChqStatus,IFERROR(MATCH(136,ChqRankL,0),0))="پاس نشده","—",IF(INDEX(ChqClr,IFERROR(MATCH(136,ChqRankL,0),0))="","—",INDEX(ChqClr,IFERROR(MATCH(136,ChqRankL,0),0)))))</f>
        <v/>
      </c>
      <c r="I152" t="str">
        <f>IF(136&gt;NChq,"",INDEX(ChqNorm,136))</f>
        <v/>
      </c>
      <c r="J152" t="str">
        <f t="shared" si="4"/>
        <v/>
      </c>
      <c r="K152" t="str">
        <f>IF($J152=0,"",INDEX(ChqKey,136))</f>
        <v/>
      </c>
      <c r="L152" t="str">
        <f t="shared" si="5"/>
        <v/>
      </c>
    </row>
    <row r="153" spans="1:12" x14ac:dyDescent="0.2">
      <c r="A153" s="3" t="str">
        <f>IF(IFERROR(MATCH(137,ChqRankL,0),0)=0,"",137)</f>
        <v/>
      </c>
      <c r="B153" s="13" t="str">
        <f>IF(IFERROR(MATCH(137,ChqRankL,0),0)=0,"",INDEX(ChqNorm,IFERROR(MATCH(137,ChqRankL,0),0)))</f>
        <v/>
      </c>
      <c r="C153" s="13" t="str">
        <f>IF(IFERROR(MATCH(137,ChqRankL,0),0)=0,"",INDEX(ChqNo,IFERROR(MATCH(137,ChqRankL,0),0)))</f>
        <v/>
      </c>
      <c r="D153" s="14" t="str">
        <f>IF(IFERROR(MATCH(137,ChqRankL,0),0)=0,"",IF(INDEX(ChqAmt,IFERROR(MATCH(137,ChqRankL,0),0))=0,"",INDEX(ChqAmt,IFERROR(MATCH(137,ChqRankL,0),0))))</f>
        <v/>
      </c>
      <c r="E153" s="7" t="str">
        <f>IF(IFERROR(MATCH(137,ChqRankL,0),0)=0,"",INDEX(ChqStatus,IFERROR(MATCH(137,ChqRankL,0),0)))</f>
        <v/>
      </c>
      <c r="F153" s="13" t="str">
        <f>IF(IFERROR(MATCH(137,ChqRankL,0),0)=0,"",IF(INDEX(ChqStatus,IFERROR(MATCH(137,ChqRankL,0),0))="پاس نشده","—",IF(INDEX(ChqClr,IFERROR(MATCH(137,ChqRankL,0),0))="","—",INDEX(ChqClr,IFERROR(MATCH(137,ChqRankL,0),0)))))</f>
        <v/>
      </c>
      <c r="I153" t="str">
        <f>IF(137&gt;NChq,"",INDEX(ChqNorm,137))</f>
        <v/>
      </c>
      <c r="J153" t="str">
        <f t="shared" si="4"/>
        <v/>
      </c>
      <c r="K153" t="str">
        <f>IF($J153=0,"",INDEX(ChqKey,137))</f>
        <v/>
      </c>
      <c r="L153" t="str">
        <f t="shared" si="5"/>
        <v/>
      </c>
    </row>
    <row r="154" spans="1:12" x14ac:dyDescent="0.2">
      <c r="A154" s="9" t="str">
        <f>IF(IFERROR(MATCH(138,ChqRankL,0),0)=0,"",138)</f>
        <v/>
      </c>
      <c r="B154" s="15" t="str">
        <f>IF(IFERROR(MATCH(138,ChqRankL,0),0)=0,"",INDEX(ChqNorm,IFERROR(MATCH(138,ChqRankL,0),0)))</f>
        <v/>
      </c>
      <c r="C154" s="15" t="str">
        <f>IF(IFERROR(MATCH(138,ChqRankL,0),0)=0,"",INDEX(ChqNo,IFERROR(MATCH(138,ChqRankL,0),0)))</f>
        <v/>
      </c>
      <c r="D154" s="16" t="str">
        <f>IF(IFERROR(MATCH(138,ChqRankL,0),0)=0,"",IF(INDEX(ChqAmt,IFERROR(MATCH(138,ChqRankL,0),0))=0,"",INDEX(ChqAmt,IFERROR(MATCH(138,ChqRankL,0),0))))</f>
        <v/>
      </c>
      <c r="E154" s="10" t="str">
        <f>IF(IFERROR(MATCH(138,ChqRankL,0),0)=0,"",INDEX(ChqStatus,IFERROR(MATCH(138,ChqRankL,0),0)))</f>
        <v/>
      </c>
      <c r="F154" s="15" t="str">
        <f>IF(IFERROR(MATCH(138,ChqRankL,0),0)=0,"",IF(INDEX(ChqStatus,IFERROR(MATCH(138,ChqRankL,0),0))="پاس نشده","—",IF(INDEX(ChqClr,IFERROR(MATCH(138,ChqRankL,0),0))="","—",INDEX(ChqClr,IFERROR(MATCH(138,ChqRankL,0),0)))))</f>
        <v/>
      </c>
      <c r="I154" t="str">
        <f>IF(138&gt;NChq,"",INDEX(ChqNorm,138))</f>
        <v/>
      </c>
      <c r="J154" t="str">
        <f t="shared" si="4"/>
        <v/>
      </c>
      <c r="K154" t="str">
        <f>IF($J154=0,"",INDEX(ChqKey,138))</f>
        <v/>
      </c>
      <c r="L154" t="str">
        <f t="shared" si="5"/>
        <v/>
      </c>
    </row>
    <row r="155" spans="1:12" x14ac:dyDescent="0.2">
      <c r="A155" s="3" t="str">
        <f>IF(IFERROR(MATCH(139,ChqRankL,0),0)=0,"",139)</f>
        <v/>
      </c>
      <c r="B155" s="13" t="str">
        <f>IF(IFERROR(MATCH(139,ChqRankL,0),0)=0,"",INDEX(ChqNorm,IFERROR(MATCH(139,ChqRankL,0),0)))</f>
        <v/>
      </c>
      <c r="C155" s="13" t="str">
        <f>IF(IFERROR(MATCH(139,ChqRankL,0),0)=0,"",INDEX(ChqNo,IFERROR(MATCH(139,ChqRankL,0),0)))</f>
        <v/>
      </c>
      <c r="D155" s="14" t="str">
        <f>IF(IFERROR(MATCH(139,ChqRankL,0),0)=0,"",IF(INDEX(ChqAmt,IFERROR(MATCH(139,ChqRankL,0),0))=0,"",INDEX(ChqAmt,IFERROR(MATCH(139,ChqRankL,0),0))))</f>
        <v/>
      </c>
      <c r="E155" s="7" t="str">
        <f>IF(IFERROR(MATCH(139,ChqRankL,0),0)=0,"",INDEX(ChqStatus,IFERROR(MATCH(139,ChqRankL,0),0)))</f>
        <v/>
      </c>
      <c r="F155" s="13" t="str">
        <f>IF(IFERROR(MATCH(139,ChqRankL,0),0)=0,"",IF(INDEX(ChqStatus,IFERROR(MATCH(139,ChqRankL,0),0))="پاس نشده","—",IF(INDEX(ChqClr,IFERROR(MATCH(139,ChqRankL,0),0))="","—",INDEX(ChqClr,IFERROR(MATCH(139,ChqRankL,0),0)))))</f>
        <v/>
      </c>
      <c r="I155" t="str">
        <f>IF(139&gt;NChq,"",INDEX(ChqNorm,139))</f>
        <v/>
      </c>
      <c r="J155" t="str">
        <f t="shared" si="4"/>
        <v/>
      </c>
      <c r="K155" t="str">
        <f>IF($J155=0,"",INDEX(ChqKey,139))</f>
        <v/>
      </c>
      <c r="L155" t="str">
        <f t="shared" si="5"/>
        <v/>
      </c>
    </row>
    <row r="156" spans="1:12" x14ac:dyDescent="0.2">
      <c r="A156" s="9" t="str">
        <f>IF(IFERROR(MATCH(140,ChqRankL,0),0)=0,"",140)</f>
        <v/>
      </c>
      <c r="B156" s="15" t="str">
        <f>IF(IFERROR(MATCH(140,ChqRankL,0),0)=0,"",INDEX(ChqNorm,IFERROR(MATCH(140,ChqRankL,0),0)))</f>
        <v/>
      </c>
      <c r="C156" s="15" t="str">
        <f>IF(IFERROR(MATCH(140,ChqRankL,0),0)=0,"",INDEX(ChqNo,IFERROR(MATCH(140,ChqRankL,0),0)))</f>
        <v/>
      </c>
      <c r="D156" s="16" t="str">
        <f>IF(IFERROR(MATCH(140,ChqRankL,0),0)=0,"",IF(INDEX(ChqAmt,IFERROR(MATCH(140,ChqRankL,0),0))=0,"",INDEX(ChqAmt,IFERROR(MATCH(140,ChqRankL,0),0))))</f>
        <v/>
      </c>
      <c r="E156" s="10" t="str">
        <f>IF(IFERROR(MATCH(140,ChqRankL,0),0)=0,"",INDEX(ChqStatus,IFERROR(MATCH(140,ChqRankL,0),0)))</f>
        <v/>
      </c>
      <c r="F156" s="15" t="str">
        <f>IF(IFERROR(MATCH(140,ChqRankL,0),0)=0,"",IF(INDEX(ChqStatus,IFERROR(MATCH(140,ChqRankL,0),0))="پاس نشده","—",IF(INDEX(ChqClr,IFERROR(MATCH(140,ChqRankL,0),0))="","—",INDEX(ChqClr,IFERROR(MATCH(140,ChqRankL,0),0)))))</f>
        <v/>
      </c>
      <c r="I156" t="str">
        <f>IF(140&gt;NChq,"",INDEX(ChqNorm,140))</f>
        <v/>
      </c>
      <c r="J156" t="str">
        <f t="shared" si="4"/>
        <v/>
      </c>
      <c r="K156" t="str">
        <f>IF($J156=0,"",INDEX(ChqKey,140))</f>
        <v/>
      </c>
      <c r="L156" t="str">
        <f t="shared" si="5"/>
        <v/>
      </c>
    </row>
    <row r="157" spans="1:12" x14ac:dyDescent="0.2">
      <c r="A157" s="3" t="str">
        <f>IF(IFERROR(MATCH(141,ChqRankL,0),0)=0,"",141)</f>
        <v/>
      </c>
      <c r="B157" s="13" t="str">
        <f>IF(IFERROR(MATCH(141,ChqRankL,0),0)=0,"",INDEX(ChqNorm,IFERROR(MATCH(141,ChqRankL,0),0)))</f>
        <v/>
      </c>
      <c r="C157" s="13" t="str">
        <f>IF(IFERROR(MATCH(141,ChqRankL,0),0)=0,"",INDEX(ChqNo,IFERROR(MATCH(141,ChqRankL,0),0)))</f>
        <v/>
      </c>
      <c r="D157" s="14" t="str">
        <f>IF(IFERROR(MATCH(141,ChqRankL,0),0)=0,"",IF(INDEX(ChqAmt,IFERROR(MATCH(141,ChqRankL,0),0))=0,"",INDEX(ChqAmt,IFERROR(MATCH(141,ChqRankL,0),0))))</f>
        <v/>
      </c>
      <c r="E157" s="7" t="str">
        <f>IF(IFERROR(MATCH(141,ChqRankL,0),0)=0,"",INDEX(ChqStatus,IFERROR(MATCH(141,ChqRankL,0),0)))</f>
        <v/>
      </c>
      <c r="F157" s="13" t="str">
        <f>IF(IFERROR(MATCH(141,ChqRankL,0),0)=0,"",IF(INDEX(ChqStatus,IFERROR(MATCH(141,ChqRankL,0),0))="پاس نشده","—",IF(INDEX(ChqClr,IFERROR(MATCH(141,ChqRankL,0),0))="","—",INDEX(ChqClr,IFERROR(MATCH(141,ChqRankL,0),0)))))</f>
        <v/>
      </c>
      <c r="I157" t="str">
        <f>IF(141&gt;NChq,"",INDEX(ChqNorm,141))</f>
        <v/>
      </c>
      <c r="J157" t="str">
        <f t="shared" si="4"/>
        <v/>
      </c>
      <c r="K157" t="str">
        <f>IF($J157=0,"",INDEX(ChqKey,141))</f>
        <v/>
      </c>
      <c r="L157" t="str">
        <f t="shared" si="5"/>
        <v/>
      </c>
    </row>
    <row r="158" spans="1:12" x14ac:dyDescent="0.2">
      <c r="A158" s="9" t="str">
        <f>IF(IFERROR(MATCH(142,ChqRankL,0),0)=0,"",142)</f>
        <v/>
      </c>
      <c r="B158" s="15" t="str">
        <f>IF(IFERROR(MATCH(142,ChqRankL,0),0)=0,"",INDEX(ChqNorm,IFERROR(MATCH(142,ChqRankL,0),0)))</f>
        <v/>
      </c>
      <c r="C158" s="15" t="str">
        <f>IF(IFERROR(MATCH(142,ChqRankL,0),0)=0,"",INDEX(ChqNo,IFERROR(MATCH(142,ChqRankL,0),0)))</f>
        <v/>
      </c>
      <c r="D158" s="16" t="str">
        <f>IF(IFERROR(MATCH(142,ChqRankL,0),0)=0,"",IF(INDEX(ChqAmt,IFERROR(MATCH(142,ChqRankL,0),0))=0,"",INDEX(ChqAmt,IFERROR(MATCH(142,ChqRankL,0),0))))</f>
        <v/>
      </c>
      <c r="E158" s="10" t="str">
        <f>IF(IFERROR(MATCH(142,ChqRankL,0),0)=0,"",INDEX(ChqStatus,IFERROR(MATCH(142,ChqRankL,0),0)))</f>
        <v/>
      </c>
      <c r="F158" s="15" t="str">
        <f>IF(IFERROR(MATCH(142,ChqRankL,0),0)=0,"",IF(INDEX(ChqStatus,IFERROR(MATCH(142,ChqRankL,0),0))="پاس نشده","—",IF(INDEX(ChqClr,IFERROR(MATCH(142,ChqRankL,0),0))="","—",INDEX(ChqClr,IFERROR(MATCH(142,ChqRankL,0),0)))))</f>
        <v/>
      </c>
      <c r="I158" t="str">
        <f>IF(142&gt;NChq,"",INDEX(ChqNorm,142))</f>
        <v/>
      </c>
      <c r="J158" t="str">
        <f t="shared" si="4"/>
        <v/>
      </c>
      <c r="K158" t="str">
        <f>IF($J158=0,"",INDEX(ChqKey,142))</f>
        <v/>
      </c>
      <c r="L158" t="str">
        <f t="shared" si="5"/>
        <v/>
      </c>
    </row>
    <row r="159" spans="1:12" x14ac:dyDescent="0.2">
      <c r="A159" s="3" t="str">
        <f>IF(IFERROR(MATCH(143,ChqRankL,0),0)=0,"",143)</f>
        <v/>
      </c>
      <c r="B159" s="13" t="str">
        <f>IF(IFERROR(MATCH(143,ChqRankL,0),0)=0,"",INDEX(ChqNorm,IFERROR(MATCH(143,ChqRankL,0),0)))</f>
        <v/>
      </c>
      <c r="C159" s="13" t="str">
        <f>IF(IFERROR(MATCH(143,ChqRankL,0),0)=0,"",INDEX(ChqNo,IFERROR(MATCH(143,ChqRankL,0),0)))</f>
        <v/>
      </c>
      <c r="D159" s="14" t="str">
        <f>IF(IFERROR(MATCH(143,ChqRankL,0),0)=0,"",IF(INDEX(ChqAmt,IFERROR(MATCH(143,ChqRankL,0),0))=0,"",INDEX(ChqAmt,IFERROR(MATCH(143,ChqRankL,0),0))))</f>
        <v/>
      </c>
      <c r="E159" s="7" t="str">
        <f>IF(IFERROR(MATCH(143,ChqRankL,0),0)=0,"",INDEX(ChqStatus,IFERROR(MATCH(143,ChqRankL,0),0)))</f>
        <v/>
      </c>
      <c r="F159" s="13" t="str">
        <f>IF(IFERROR(MATCH(143,ChqRankL,0),0)=0,"",IF(INDEX(ChqStatus,IFERROR(MATCH(143,ChqRankL,0),0))="پاس نشده","—",IF(INDEX(ChqClr,IFERROR(MATCH(143,ChqRankL,0),0))="","—",INDEX(ChqClr,IFERROR(MATCH(143,ChqRankL,0),0)))))</f>
        <v/>
      </c>
      <c r="I159" t="str">
        <f>IF(143&gt;NChq,"",INDEX(ChqNorm,143))</f>
        <v/>
      </c>
      <c r="J159" t="str">
        <f t="shared" si="4"/>
        <v/>
      </c>
      <c r="K159" t="str">
        <f>IF($J159=0,"",INDEX(ChqKey,143))</f>
        <v/>
      </c>
      <c r="L159" t="str">
        <f t="shared" si="5"/>
        <v/>
      </c>
    </row>
    <row r="160" spans="1:12" x14ac:dyDescent="0.2">
      <c r="A160" s="9" t="str">
        <f>IF(IFERROR(MATCH(144,ChqRankL,0),0)=0,"",144)</f>
        <v/>
      </c>
      <c r="B160" s="15" t="str">
        <f>IF(IFERROR(MATCH(144,ChqRankL,0),0)=0,"",INDEX(ChqNorm,IFERROR(MATCH(144,ChqRankL,0),0)))</f>
        <v/>
      </c>
      <c r="C160" s="15" t="str">
        <f>IF(IFERROR(MATCH(144,ChqRankL,0),0)=0,"",INDEX(ChqNo,IFERROR(MATCH(144,ChqRankL,0),0)))</f>
        <v/>
      </c>
      <c r="D160" s="16" t="str">
        <f>IF(IFERROR(MATCH(144,ChqRankL,0),0)=0,"",IF(INDEX(ChqAmt,IFERROR(MATCH(144,ChqRankL,0),0))=0,"",INDEX(ChqAmt,IFERROR(MATCH(144,ChqRankL,0),0))))</f>
        <v/>
      </c>
      <c r="E160" s="10" t="str">
        <f>IF(IFERROR(MATCH(144,ChqRankL,0),0)=0,"",INDEX(ChqStatus,IFERROR(MATCH(144,ChqRankL,0),0)))</f>
        <v/>
      </c>
      <c r="F160" s="15" t="str">
        <f>IF(IFERROR(MATCH(144,ChqRankL,0),0)=0,"",IF(INDEX(ChqStatus,IFERROR(MATCH(144,ChqRankL,0),0))="پاس نشده","—",IF(INDEX(ChqClr,IFERROR(MATCH(144,ChqRankL,0),0))="","—",INDEX(ChqClr,IFERROR(MATCH(144,ChqRankL,0),0)))))</f>
        <v/>
      </c>
      <c r="I160" t="str">
        <f>IF(144&gt;NChq,"",INDEX(ChqNorm,144))</f>
        <v/>
      </c>
      <c r="J160" t="str">
        <f t="shared" si="4"/>
        <v/>
      </c>
      <c r="K160" t="str">
        <f>IF($J160=0,"",INDEX(ChqKey,144))</f>
        <v/>
      </c>
      <c r="L160" t="str">
        <f t="shared" si="5"/>
        <v/>
      </c>
    </row>
    <row r="161" spans="1:12" x14ac:dyDescent="0.2">
      <c r="A161" s="3" t="str">
        <f>IF(IFERROR(MATCH(145,ChqRankL,0),0)=0,"",145)</f>
        <v/>
      </c>
      <c r="B161" s="13" t="str">
        <f>IF(IFERROR(MATCH(145,ChqRankL,0),0)=0,"",INDEX(ChqNorm,IFERROR(MATCH(145,ChqRankL,0),0)))</f>
        <v/>
      </c>
      <c r="C161" s="13" t="str">
        <f>IF(IFERROR(MATCH(145,ChqRankL,0),0)=0,"",INDEX(ChqNo,IFERROR(MATCH(145,ChqRankL,0),0)))</f>
        <v/>
      </c>
      <c r="D161" s="14" t="str">
        <f>IF(IFERROR(MATCH(145,ChqRankL,0),0)=0,"",IF(INDEX(ChqAmt,IFERROR(MATCH(145,ChqRankL,0),0))=0,"",INDEX(ChqAmt,IFERROR(MATCH(145,ChqRankL,0),0))))</f>
        <v/>
      </c>
      <c r="E161" s="7" t="str">
        <f>IF(IFERROR(MATCH(145,ChqRankL,0),0)=0,"",INDEX(ChqStatus,IFERROR(MATCH(145,ChqRankL,0),0)))</f>
        <v/>
      </c>
      <c r="F161" s="13" t="str">
        <f>IF(IFERROR(MATCH(145,ChqRankL,0),0)=0,"",IF(INDEX(ChqStatus,IFERROR(MATCH(145,ChqRankL,0),0))="پاس نشده","—",IF(INDEX(ChqClr,IFERROR(MATCH(145,ChqRankL,0),0))="","—",INDEX(ChqClr,IFERROR(MATCH(145,ChqRankL,0),0)))))</f>
        <v/>
      </c>
      <c r="I161" t="str">
        <f>IF(145&gt;NChq,"",INDEX(ChqNorm,145))</f>
        <v/>
      </c>
      <c r="J161" t="str">
        <f t="shared" si="4"/>
        <v/>
      </c>
      <c r="K161" t="str">
        <f>IF($J161=0,"",INDEX(ChqKey,145))</f>
        <v/>
      </c>
      <c r="L161" t="str">
        <f t="shared" si="5"/>
        <v/>
      </c>
    </row>
    <row r="162" spans="1:12" x14ac:dyDescent="0.2">
      <c r="A162" s="9" t="str">
        <f>IF(IFERROR(MATCH(146,ChqRankL,0),0)=0,"",146)</f>
        <v/>
      </c>
      <c r="B162" s="15" t="str">
        <f>IF(IFERROR(MATCH(146,ChqRankL,0),0)=0,"",INDEX(ChqNorm,IFERROR(MATCH(146,ChqRankL,0),0)))</f>
        <v/>
      </c>
      <c r="C162" s="15" t="str">
        <f>IF(IFERROR(MATCH(146,ChqRankL,0),0)=0,"",INDEX(ChqNo,IFERROR(MATCH(146,ChqRankL,0),0)))</f>
        <v/>
      </c>
      <c r="D162" s="16" t="str">
        <f>IF(IFERROR(MATCH(146,ChqRankL,0),0)=0,"",IF(INDEX(ChqAmt,IFERROR(MATCH(146,ChqRankL,0),0))=0,"",INDEX(ChqAmt,IFERROR(MATCH(146,ChqRankL,0),0))))</f>
        <v/>
      </c>
      <c r="E162" s="10" t="str">
        <f>IF(IFERROR(MATCH(146,ChqRankL,0),0)=0,"",INDEX(ChqStatus,IFERROR(MATCH(146,ChqRankL,0),0)))</f>
        <v/>
      </c>
      <c r="F162" s="15" t="str">
        <f>IF(IFERROR(MATCH(146,ChqRankL,0),0)=0,"",IF(INDEX(ChqStatus,IFERROR(MATCH(146,ChqRankL,0),0))="پاس نشده","—",IF(INDEX(ChqClr,IFERROR(MATCH(146,ChqRankL,0),0))="","—",INDEX(ChqClr,IFERROR(MATCH(146,ChqRankL,0),0)))))</f>
        <v/>
      </c>
      <c r="I162" t="str">
        <f>IF(146&gt;NChq,"",INDEX(ChqNorm,146))</f>
        <v/>
      </c>
      <c r="J162" t="str">
        <f t="shared" si="4"/>
        <v/>
      </c>
      <c r="K162" t="str">
        <f>IF($J162=0,"",INDEX(ChqKey,146))</f>
        <v/>
      </c>
      <c r="L162" t="str">
        <f t="shared" si="5"/>
        <v/>
      </c>
    </row>
    <row r="163" spans="1:12" x14ac:dyDescent="0.2">
      <c r="A163" s="3" t="str">
        <f>IF(IFERROR(MATCH(147,ChqRankL,0),0)=0,"",147)</f>
        <v/>
      </c>
      <c r="B163" s="13" t="str">
        <f>IF(IFERROR(MATCH(147,ChqRankL,0),0)=0,"",INDEX(ChqNorm,IFERROR(MATCH(147,ChqRankL,0),0)))</f>
        <v/>
      </c>
      <c r="C163" s="13" t="str">
        <f>IF(IFERROR(MATCH(147,ChqRankL,0),0)=0,"",INDEX(ChqNo,IFERROR(MATCH(147,ChqRankL,0),0)))</f>
        <v/>
      </c>
      <c r="D163" s="14" t="str">
        <f>IF(IFERROR(MATCH(147,ChqRankL,0),0)=0,"",IF(INDEX(ChqAmt,IFERROR(MATCH(147,ChqRankL,0),0))=0,"",INDEX(ChqAmt,IFERROR(MATCH(147,ChqRankL,0),0))))</f>
        <v/>
      </c>
      <c r="E163" s="7" t="str">
        <f>IF(IFERROR(MATCH(147,ChqRankL,0),0)=0,"",INDEX(ChqStatus,IFERROR(MATCH(147,ChqRankL,0),0)))</f>
        <v/>
      </c>
      <c r="F163" s="13" t="str">
        <f>IF(IFERROR(MATCH(147,ChqRankL,0),0)=0,"",IF(INDEX(ChqStatus,IFERROR(MATCH(147,ChqRankL,0),0))="پاس نشده","—",IF(INDEX(ChqClr,IFERROR(MATCH(147,ChqRankL,0),0))="","—",INDEX(ChqClr,IFERROR(MATCH(147,ChqRankL,0),0)))))</f>
        <v/>
      </c>
      <c r="I163" t="str">
        <f>IF(147&gt;NChq,"",INDEX(ChqNorm,147))</f>
        <v/>
      </c>
      <c r="J163" t="str">
        <f t="shared" si="4"/>
        <v/>
      </c>
      <c r="K163" t="str">
        <f>IF($J163=0,"",INDEX(ChqKey,147))</f>
        <v/>
      </c>
      <c r="L163" t="str">
        <f t="shared" si="5"/>
        <v/>
      </c>
    </row>
    <row r="164" spans="1:12" x14ac:dyDescent="0.2">
      <c r="A164" s="9" t="str">
        <f>IF(IFERROR(MATCH(148,ChqRankL,0),0)=0,"",148)</f>
        <v/>
      </c>
      <c r="B164" s="15" t="str">
        <f>IF(IFERROR(MATCH(148,ChqRankL,0),0)=0,"",INDEX(ChqNorm,IFERROR(MATCH(148,ChqRankL,0),0)))</f>
        <v/>
      </c>
      <c r="C164" s="15" t="str">
        <f>IF(IFERROR(MATCH(148,ChqRankL,0),0)=0,"",INDEX(ChqNo,IFERROR(MATCH(148,ChqRankL,0),0)))</f>
        <v/>
      </c>
      <c r="D164" s="16" t="str">
        <f>IF(IFERROR(MATCH(148,ChqRankL,0),0)=0,"",IF(INDEX(ChqAmt,IFERROR(MATCH(148,ChqRankL,0),0))=0,"",INDEX(ChqAmt,IFERROR(MATCH(148,ChqRankL,0),0))))</f>
        <v/>
      </c>
      <c r="E164" s="10" t="str">
        <f>IF(IFERROR(MATCH(148,ChqRankL,0),0)=0,"",INDEX(ChqStatus,IFERROR(MATCH(148,ChqRankL,0),0)))</f>
        <v/>
      </c>
      <c r="F164" s="15" t="str">
        <f>IF(IFERROR(MATCH(148,ChqRankL,0),0)=0,"",IF(INDEX(ChqStatus,IFERROR(MATCH(148,ChqRankL,0),0))="پاس نشده","—",IF(INDEX(ChqClr,IFERROR(MATCH(148,ChqRankL,0),0))="","—",INDEX(ChqClr,IFERROR(MATCH(148,ChqRankL,0),0)))))</f>
        <v/>
      </c>
      <c r="I164" t="str">
        <f>IF(148&gt;NChq,"",INDEX(ChqNorm,148))</f>
        <v/>
      </c>
      <c r="J164" t="str">
        <f t="shared" si="4"/>
        <v/>
      </c>
      <c r="K164" t="str">
        <f>IF($J164=0,"",INDEX(ChqKey,148))</f>
        <v/>
      </c>
      <c r="L164" t="str">
        <f t="shared" si="5"/>
        <v/>
      </c>
    </row>
    <row r="165" spans="1:12" x14ac:dyDescent="0.2">
      <c r="A165" s="3" t="str">
        <f>IF(IFERROR(MATCH(149,ChqRankL,0),0)=0,"",149)</f>
        <v/>
      </c>
      <c r="B165" s="13" t="str">
        <f>IF(IFERROR(MATCH(149,ChqRankL,0),0)=0,"",INDEX(ChqNorm,IFERROR(MATCH(149,ChqRankL,0),0)))</f>
        <v/>
      </c>
      <c r="C165" s="13" t="str">
        <f>IF(IFERROR(MATCH(149,ChqRankL,0),0)=0,"",INDEX(ChqNo,IFERROR(MATCH(149,ChqRankL,0),0)))</f>
        <v/>
      </c>
      <c r="D165" s="14" t="str">
        <f>IF(IFERROR(MATCH(149,ChqRankL,0),0)=0,"",IF(INDEX(ChqAmt,IFERROR(MATCH(149,ChqRankL,0),0))=0,"",INDEX(ChqAmt,IFERROR(MATCH(149,ChqRankL,0),0))))</f>
        <v/>
      </c>
      <c r="E165" s="7" t="str">
        <f>IF(IFERROR(MATCH(149,ChqRankL,0),0)=0,"",INDEX(ChqStatus,IFERROR(MATCH(149,ChqRankL,0),0)))</f>
        <v/>
      </c>
      <c r="F165" s="13" t="str">
        <f>IF(IFERROR(MATCH(149,ChqRankL,0),0)=0,"",IF(INDEX(ChqStatus,IFERROR(MATCH(149,ChqRankL,0),0))="پاس نشده","—",IF(INDEX(ChqClr,IFERROR(MATCH(149,ChqRankL,0),0))="","—",INDEX(ChqClr,IFERROR(MATCH(149,ChqRankL,0),0)))))</f>
        <v/>
      </c>
      <c r="I165" t="str">
        <f>IF(149&gt;NChq,"",INDEX(ChqNorm,149))</f>
        <v/>
      </c>
      <c r="J165" t="str">
        <f t="shared" si="4"/>
        <v/>
      </c>
      <c r="K165" t="str">
        <f>IF($J165=0,"",INDEX(ChqKey,149))</f>
        <v/>
      </c>
      <c r="L165" t="str">
        <f t="shared" si="5"/>
        <v/>
      </c>
    </row>
    <row r="166" spans="1:12" x14ac:dyDescent="0.2">
      <c r="A166" s="9" t="str">
        <f>IF(IFERROR(MATCH(150,ChqRankL,0),0)=0,"",150)</f>
        <v/>
      </c>
      <c r="B166" s="15" t="str">
        <f>IF(IFERROR(MATCH(150,ChqRankL,0),0)=0,"",INDEX(ChqNorm,IFERROR(MATCH(150,ChqRankL,0),0)))</f>
        <v/>
      </c>
      <c r="C166" s="15" t="str">
        <f>IF(IFERROR(MATCH(150,ChqRankL,0),0)=0,"",INDEX(ChqNo,IFERROR(MATCH(150,ChqRankL,0),0)))</f>
        <v/>
      </c>
      <c r="D166" s="16" t="str">
        <f>IF(IFERROR(MATCH(150,ChqRankL,0),0)=0,"",IF(INDEX(ChqAmt,IFERROR(MATCH(150,ChqRankL,0),0))=0,"",INDEX(ChqAmt,IFERROR(MATCH(150,ChqRankL,0),0))))</f>
        <v/>
      </c>
      <c r="E166" s="10" t="str">
        <f>IF(IFERROR(MATCH(150,ChqRankL,0),0)=0,"",INDEX(ChqStatus,IFERROR(MATCH(150,ChqRankL,0),0)))</f>
        <v/>
      </c>
      <c r="F166" s="15" t="str">
        <f>IF(IFERROR(MATCH(150,ChqRankL,0),0)=0,"",IF(INDEX(ChqStatus,IFERROR(MATCH(150,ChqRankL,0),0))="پاس نشده","—",IF(INDEX(ChqClr,IFERROR(MATCH(150,ChqRankL,0),0))="","—",INDEX(ChqClr,IFERROR(MATCH(150,ChqRankL,0),0)))))</f>
        <v/>
      </c>
      <c r="I166" t="str">
        <f>IF(150&gt;NChq,"",INDEX(ChqNorm,150))</f>
        <v/>
      </c>
      <c r="J166" t="str">
        <f t="shared" si="4"/>
        <v/>
      </c>
      <c r="K166" t="str">
        <f>IF($J166=0,"",INDEX(ChqKey,150))</f>
        <v/>
      </c>
      <c r="L166" t="str">
        <f t="shared" si="5"/>
        <v/>
      </c>
    </row>
    <row r="167" spans="1:12" x14ac:dyDescent="0.2">
      <c r="A167" s="3" t="str">
        <f>IF(IFERROR(MATCH(151,ChqRankL,0),0)=0,"",151)</f>
        <v/>
      </c>
      <c r="B167" s="13" t="str">
        <f>IF(IFERROR(MATCH(151,ChqRankL,0),0)=0,"",INDEX(ChqNorm,IFERROR(MATCH(151,ChqRankL,0),0)))</f>
        <v/>
      </c>
      <c r="C167" s="13" t="str">
        <f>IF(IFERROR(MATCH(151,ChqRankL,0),0)=0,"",INDEX(ChqNo,IFERROR(MATCH(151,ChqRankL,0),0)))</f>
        <v/>
      </c>
      <c r="D167" s="14" t="str">
        <f>IF(IFERROR(MATCH(151,ChqRankL,0),0)=0,"",IF(INDEX(ChqAmt,IFERROR(MATCH(151,ChqRankL,0),0))=0,"",INDEX(ChqAmt,IFERROR(MATCH(151,ChqRankL,0),0))))</f>
        <v/>
      </c>
      <c r="E167" s="7" t="str">
        <f>IF(IFERROR(MATCH(151,ChqRankL,0),0)=0,"",INDEX(ChqStatus,IFERROR(MATCH(151,ChqRankL,0),0)))</f>
        <v/>
      </c>
      <c r="F167" s="13" t="str">
        <f>IF(IFERROR(MATCH(151,ChqRankL,0),0)=0,"",IF(INDEX(ChqStatus,IFERROR(MATCH(151,ChqRankL,0),0))="پاس نشده","—",IF(INDEX(ChqClr,IFERROR(MATCH(151,ChqRankL,0),0))="","—",INDEX(ChqClr,IFERROR(MATCH(151,ChqRankL,0),0)))))</f>
        <v/>
      </c>
      <c r="I167" t="str">
        <f>IF(151&gt;NChq,"",INDEX(ChqNorm,151))</f>
        <v/>
      </c>
      <c r="J167" t="str">
        <f t="shared" si="4"/>
        <v/>
      </c>
      <c r="K167" t="str">
        <f>IF($J167=0,"",INDEX(ChqKey,151))</f>
        <v/>
      </c>
      <c r="L167" t="str">
        <f t="shared" si="5"/>
        <v/>
      </c>
    </row>
    <row r="168" spans="1:12" x14ac:dyDescent="0.2">
      <c r="A168" s="9" t="str">
        <f>IF(IFERROR(MATCH(152,ChqRankL,0),0)=0,"",152)</f>
        <v/>
      </c>
      <c r="B168" s="15" t="str">
        <f>IF(IFERROR(MATCH(152,ChqRankL,0),0)=0,"",INDEX(ChqNorm,IFERROR(MATCH(152,ChqRankL,0),0)))</f>
        <v/>
      </c>
      <c r="C168" s="15" t="str">
        <f>IF(IFERROR(MATCH(152,ChqRankL,0),0)=0,"",INDEX(ChqNo,IFERROR(MATCH(152,ChqRankL,0),0)))</f>
        <v/>
      </c>
      <c r="D168" s="16" t="str">
        <f>IF(IFERROR(MATCH(152,ChqRankL,0),0)=0,"",IF(INDEX(ChqAmt,IFERROR(MATCH(152,ChqRankL,0),0))=0,"",INDEX(ChqAmt,IFERROR(MATCH(152,ChqRankL,0),0))))</f>
        <v/>
      </c>
      <c r="E168" s="10" t="str">
        <f>IF(IFERROR(MATCH(152,ChqRankL,0),0)=0,"",INDEX(ChqStatus,IFERROR(MATCH(152,ChqRankL,0),0)))</f>
        <v/>
      </c>
      <c r="F168" s="15" t="str">
        <f>IF(IFERROR(MATCH(152,ChqRankL,0),0)=0,"",IF(INDEX(ChqStatus,IFERROR(MATCH(152,ChqRankL,0),0))="پاس نشده","—",IF(INDEX(ChqClr,IFERROR(MATCH(152,ChqRankL,0),0))="","—",INDEX(ChqClr,IFERROR(MATCH(152,ChqRankL,0),0)))))</f>
        <v/>
      </c>
      <c r="I168" t="str">
        <f>IF(152&gt;NChq,"",INDEX(ChqNorm,152))</f>
        <v/>
      </c>
      <c r="J168" t="str">
        <f t="shared" si="4"/>
        <v/>
      </c>
      <c r="K168" t="str">
        <f>IF($J168=0,"",INDEX(ChqKey,152))</f>
        <v/>
      </c>
      <c r="L168" t="str">
        <f t="shared" si="5"/>
        <v/>
      </c>
    </row>
    <row r="169" spans="1:12" x14ac:dyDescent="0.2">
      <c r="A169" s="3" t="str">
        <f>IF(IFERROR(MATCH(153,ChqRankL,0),0)=0,"",153)</f>
        <v/>
      </c>
      <c r="B169" s="13" t="str">
        <f>IF(IFERROR(MATCH(153,ChqRankL,0),0)=0,"",INDEX(ChqNorm,IFERROR(MATCH(153,ChqRankL,0),0)))</f>
        <v/>
      </c>
      <c r="C169" s="13" t="str">
        <f>IF(IFERROR(MATCH(153,ChqRankL,0),0)=0,"",INDEX(ChqNo,IFERROR(MATCH(153,ChqRankL,0),0)))</f>
        <v/>
      </c>
      <c r="D169" s="14" t="str">
        <f>IF(IFERROR(MATCH(153,ChqRankL,0),0)=0,"",IF(INDEX(ChqAmt,IFERROR(MATCH(153,ChqRankL,0),0))=0,"",INDEX(ChqAmt,IFERROR(MATCH(153,ChqRankL,0),0))))</f>
        <v/>
      </c>
      <c r="E169" s="7" t="str">
        <f>IF(IFERROR(MATCH(153,ChqRankL,0),0)=0,"",INDEX(ChqStatus,IFERROR(MATCH(153,ChqRankL,0),0)))</f>
        <v/>
      </c>
      <c r="F169" s="13" t="str">
        <f>IF(IFERROR(MATCH(153,ChqRankL,0),0)=0,"",IF(INDEX(ChqStatus,IFERROR(MATCH(153,ChqRankL,0),0))="پاس نشده","—",IF(INDEX(ChqClr,IFERROR(MATCH(153,ChqRankL,0),0))="","—",INDEX(ChqClr,IFERROR(MATCH(153,ChqRankL,0),0)))))</f>
        <v/>
      </c>
      <c r="I169" t="str">
        <f>IF(153&gt;NChq,"",INDEX(ChqNorm,153))</f>
        <v/>
      </c>
      <c r="J169" t="str">
        <f t="shared" si="4"/>
        <v/>
      </c>
      <c r="K169" t="str">
        <f>IF($J169=0,"",INDEX(ChqKey,153))</f>
        <v/>
      </c>
      <c r="L169" t="str">
        <f t="shared" si="5"/>
        <v/>
      </c>
    </row>
    <row r="170" spans="1:12" x14ac:dyDescent="0.2">
      <c r="A170" s="9" t="str">
        <f>IF(IFERROR(MATCH(154,ChqRankL,0),0)=0,"",154)</f>
        <v/>
      </c>
      <c r="B170" s="15" t="str">
        <f>IF(IFERROR(MATCH(154,ChqRankL,0),0)=0,"",INDEX(ChqNorm,IFERROR(MATCH(154,ChqRankL,0),0)))</f>
        <v/>
      </c>
      <c r="C170" s="15" t="str">
        <f>IF(IFERROR(MATCH(154,ChqRankL,0),0)=0,"",INDEX(ChqNo,IFERROR(MATCH(154,ChqRankL,0),0)))</f>
        <v/>
      </c>
      <c r="D170" s="16" t="str">
        <f>IF(IFERROR(MATCH(154,ChqRankL,0),0)=0,"",IF(INDEX(ChqAmt,IFERROR(MATCH(154,ChqRankL,0),0))=0,"",INDEX(ChqAmt,IFERROR(MATCH(154,ChqRankL,0),0))))</f>
        <v/>
      </c>
      <c r="E170" s="10" t="str">
        <f>IF(IFERROR(MATCH(154,ChqRankL,0),0)=0,"",INDEX(ChqStatus,IFERROR(MATCH(154,ChqRankL,0),0)))</f>
        <v/>
      </c>
      <c r="F170" s="15" t="str">
        <f>IF(IFERROR(MATCH(154,ChqRankL,0),0)=0,"",IF(INDEX(ChqStatus,IFERROR(MATCH(154,ChqRankL,0),0))="پاس نشده","—",IF(INDEX(ChqClr,IFERROR(MATCH(154,ChqRankL,0),0))="","—",INDEX(ChqClr,IFERROR(MATCH(154,ChqRankL,0),0)))))</f>
        <v/>
      </c>
      <c r="I170" t="str">
        <f>IF(154&gt;NChq,"",INDEX(ChqNorm,154))</f>
        <v/>
      </c>
      <c r="J170" t="str">
        <f t="shared" si="4"/>
        <v/>
      </c>
      <c r="K170" t="str">
        <f>IF($J170=0,"",INDEX(ChqKey,154))</f>
        <v/>
      </c>
      <c r="L170" t="str">
        <f t="shared" si="5"/>
        <v/>
      </c>
    </row>
    <row r="171" spans="1:12" x14ac:dyDescent="0.2">
      <c r="A171" s="3" t="str">
        <f>IF(IFERROR(MATCH(155,ChqRankL,0),0)=0,"",155)</f>
        <v/>
      </c>
      <c r="B171" s="13" t="str">
        <f>IF(IFERROR(MATCH(155,ChqRankL,0),0)=0,"",INDEX(ChqNorm,IFERROR(MATCH(155,ChqRankL,0),0)))</f>
        <v/>
      </c>
      <c r="C171" s="13" t="str">
        <f>IF(IFERROR(MATCH(155,ChqRankL,0),0)=0,"",INDEX(ChqNo,IFERROR(MATCH(155,ChqRankL,0),0)))</f>
        <v/>
      </c>
      <c r="D171" s="14" t="str">
        <f>IF(IFERROR(MATCH(155,ChqRankL,0),0)=0,"",IF(INDEX(ChqAmt,IFERROR(MATCH(155,ChqRankL,0),0))=0,"",INDEX(ChqAmt,IFERROR(MATCH(155,ChqRankL,0),0))))</f>
        <v/>
      </c>
      <c r="E171" s="7" t="str">
        <f>IF(IFERROR(MATCH(155,ChqRankL,0),0)=0,"",INDEX(ChqStatus,IFERROR(MATCH(155,ChqRankL,0),0)))</f>
        <v/>
      </c>
      <c r="F171" s="13" t="str">
        <f>IF(IFERROR(MATCH(155,ChqRankL,0),0)=0,"",IF(INDEX(ChqStatus,IFERROR(MATCH(155,ChqRankL,0),0))="پاس نشده","—",IF(INDEX(ChqClr,IFERROR(MATCH(155,ChqRankL,0),0))="","—",INDEX(ChqClr,IFERROR(MATCH(155,ChqRankL,0),0)))))</f>
        <v/>
      </c>
      <c r="I171" t="str">
        <f>IF(155&gt;NChq,"",INDEX(ChqNorm,155))</f>
        <v/>
      </c>
      <c r="J171" t="str">
        <f t="shared" si="4"/>
        <v/>
      </c>
      <c r="K171" t="str">
        <f>IF($J171=0,"",INDEX(ChqKey,155))</f>
        <v/>
      </c>
      <c r="L171" t="str">
        <f t="shared" si="5"/>
        <v/>
      </c>
    </row>
    <row r="172" spans="1:12" x14ac:dyDescent="0.2">
      <c r="A172" s="9" t="str">
        <f>IF(IFERROR(MATCH(156,ChqRankL,0),0)=0,"",156)</f>
        <v/>
      </c>
      <c r="B172" s="15" t="str">
        <f>IF(IFERROR(MATCH(156,ChqRankL,0),0)=0,"",INDEX(ChqNorm,IFERROR(MATCH(156,ChqRankL,0),0)))</f>
        <v/>
      </c>
      <c r="C172" s="15" t="str">
        <f>IF(IFERROR(MATCH(156,ChqRankL,0),0)=0,"",INDEX(ChqNo,IFERROR(MATCH(156,ChqRankL,0),0)))</f>
        <v/>
      </c>
      <c r="D172" s="16" t="str">
        <f>IF(IFERROR(MATCH(156,ChqRankL,0),0)=0,"",IF(INDEX(ChqAmt,IFERROR(MATCH(156,ChqRankL,0),0))=0,"",INDEX(ChqAmt,IFERROR(MATCH(156,ChqRankL,0),0))))</f>
        <v/>
      </c>
      <c r="E172" s="10" t="str">
        <f>IF(IFERROR(MATCH(156,ChqRankL,0),0)=0,"",INDEX(ChqStatus,IFERROR(MATCH(156,ChqRankL,0),0)))</f>
        <v/>
      </c>
      <c r="F172" s="15" t="str">
        <f>IF(IFERROR(MATCH(156,ChqRankL,0),0)=0,"",IF(INDEX(ChqStatus,IFERROR(MATCH(156,ChqRankL,0),0))="پاس نشده","—",IF(INDEX(ChqClr,IFERROR(MATCH(156,ChqRankL,0),0))="","—",INDEX(ChqClr,IFERROR(MATCH(156,ChqRankL,0),0)))))</f>
        <v/>
      </c>
      <c r="I172" t="str">
        <f>IF(156&gt;NChq,"",INDEX(ChqNorm,156))</f>
        <v/>
      </c>
      <c r="J172" t="str">
        <f t="shared" si="4"/>
        <v/>
      </c>
      <c r="K172" t="str">
        <f>IF($J172=0,"",INDEX(ChqKey,156))</f>
        <v/>
      </c>
      <c r="L172" t="str">
        <f t="shared" si="5"/>
        <v/>
      </c>
    </row>
    <row r="173" spans="1:12" x14ac:dyDescent="0.2">
      <c r="A173" s="3" t="str">
        <f>IF(IFERROR(MATCH(157,ChqRankL,0),0)=0,"",157)</f>
        <v/>
      </c>
      <c r="B173" s="13" t="str">
        <f>IF(IFERROR(MATCH(157,ChqRankL,0),0)=0,"",INDEX(ChqNorm,IFERROR(MATCH(157,ChqRankL,0),0)))</f>
        <v/>
      </c>
      <c r="C173" s="13" t="str">
        <f>IF(IFERROR(MATCH(157,ChqRankL,0),0)=0,"",INDEX(ChqNo,IFERROR(MATCH(157,ChqRankL,0),0)))</f>
        <v/>
      </c>
      <c r="D173" s="14" t="str">
        <f>IF(IFERROR(MATCH(157,ChqRankL,0),0)=0,"",IF(INDEX(ChqAmt,IFERROR(MATCH(157,ChqRankL,0),0))=0,"",INDEX(ChqAmt,IFERROR(MATCH(157,ChqRankL,0),0))))</f>
        <v/>
      </c>
      <c r="E173" s="7" t="str">
        <f>IF(IFERROR(MATCH(157,ChqRankL,0),0)=0,"",INDEX(ChqStatus,IFERROR(MATCH(157,ChqRankL,0),0)))</f>
        <v/>
      </c>
      <c r="F173" s="13" t="str">
        <f>IF(IFERROR(MATCH(157,ChqRankL,0),0)=0,"",IF(INDEX(ChqStatus,IFERROR(MATCH(157,ChqRankL,0),0))="پاس نشده","—",IF(INDEX(ChqClr,IFERROR(MATCH(157,ChqRankL,0),0))="","—",INDEX(ChqClr,IFERROR(MATCH(157,ChqRankL,0),0)))))</f>
        <v/>
      </c>
      <c r="I173" t="str">
        <f>IF(157&gt;NChq,"",INDEX(ChqNorm,157))</f>
        <v/>
      </c>
      <c r="J173" t="str">
        <f t="shared" si="4"/>
        <v/>
      </c>
      <c r="K173" t="str">
        <f>IF($J173=0,"",INDEX(ChqKey,157))</f>
        <v/>
      </c>
      <c r="L173" t="str">
        <f t="shared" si="5"/>
        <v/>
      </c>
    </row>
    <row r="174" spans="1:12" x14ac:dyDescent="0.2">
      <c r="A174" s="9" t="str">
        <f>IF(IFERROR(MATCH(158,ChqRankL,0),0)=0,"",158)</f>
        <v/>
      </c>
      <c r="B174" s="15" t="str">
        <f>IF(IFERROR(MATCH(158,ChqRankL,0),0)=0,"",INDEX(ChqNorm,IFERROR(MATCH(158,ChqRankL,0),0)))</f>
        <v/>
      </c>
      <c r="C174" s="15" t="str">
        <f>IF(IFERROR(MATCH(158,ChqRankL,0),0)=0,"",INDEX(ChqNo,IFERROR(MATCH(158,ChqRankL,0),0)))</f>
        <v/>
      </c>
      <c r="D174" s="16" t="str">
        <f>IF(IFERROR(MATCH(158,ChqRankL,0),0)=0,"",IF(INDEX(ChqAmt,IFERROR(MATCH(158,ChqRankL,0),0))=0,"",INDEX(ChqAmt,IFERROR(MATCH(158,ChqRankL,0),0))))</f>
        <v/>
      </c>
      <c r="E174" s="10" t="str">
        <f>IF(IFERROR(MATCH(158,ChqRankL,0),0)=0,"",INDEX(ChqStatus,IFERROR(MATCH(158,ChqRankL,0),0)))</f>
        <v/>
      </c>
      <c r="F174" s="15" t="str">
        <f>IF(IFERROR(MATCH(158,ChqRankL,0),0)=0,"",IF(INDEX(ChqStatus,IFERROR(MATCH(158,ChqRankL,0),0))="پاس نشده","—",IF(INDEX(ChqClr,IFERROR(MATCH(158,ChqRankL,0),0))="","—",INDEX(ChqClr,IFERROR(MATCH(158,ChqRankL,0),0)))))</f>
        <v/>
      </c>
      <c r="I174" t="str">
        <f>IF(158&gt;NChq,"",INDEX(ChqNorm,158))</f>
        <v/>
      </c>
      <c r="J174" t="str">
        <f t="shared" si="4"/>
        <v/>
      </c>
      <c r="K174" t="str">
        <f>IF($J174=0,"",INDEX(ChqKey,158))</f>
        <v/>
      </c>
      <c r="L174" t="str">
        <f t="shared" si="5"/>
        <v/>
      </c>
    </row>
    <row r="175" spans="1:12" x14ac:dyDescent="0.2">
      <c r="A175" s="3" t="str">
        <f>IF(IFERROR(MATCH(159,ChqRankL,0),0)=0,"",159)</f>
        <v/>
      </c>
      <c r="B175" s="13" t="str">
        <f>IF(IFERROR(MATCH(159,ChqRankL,0),0)=0,"",INDEX(ChqNorm,IFERROR(MATCH(159,ChqRankL,0),0)))</f>
        <v/>
      </c>
      <c r="C175" s="13" t="str">
        <f>IF(IFERROR(MATCH(159,ChqRankL,0),0)=0,"",INDEX(ChqNo,IFERROR(MATCH(159,ChqRankL,0),0)))</f>
        <v/>
      </c>
      <c r="D175" s="14" t="str">
        <f>IF(IFERROR(MATCH(159,ChqRankL,0),0)=0,"",IF(INDEX(ChqAmt,IFERROR(MATCH(159,ChqRankL,0),0))=0,"",INDEX(ChqAmt,IFERROR(MATCH(159,ChqRankL,0),0))))</f>
        <v/>
      </c>
      <c r="E175" s="7" t="str">
        <f>IF(IFERROR(MATCH(159,ChqRankL,0),0)=0,"",INDEX(ChqStatus,IFERROR(MATCH(159,ChqRankL,0),0)))</f>
        <v/>
      </c>
      <c r="F175" s="13" t="str">
        <f>IF(IFERROR(MATCH(159,ChqRankL,0),0)=0,"",IF(INDEX(ChqStatus,IFERROR(MATCH(159,ChqRankL,0),0))="پاس نشده","—",IF(INDEX(ChqClr,IFERROR(MATCH(159,ChqRankL,0),0))="","—",INDEX(ChqClr,IFERROR(MATCH(159,ChqRankL,0),0)))))</f>
        <v/>
      </c>
      <c r="I175" t="str">
        <f>IF(159&gt;NChq,"",INDEX(ChqNorm,159))</f>
        <v/>
      </c>
      <c r="J175" t="str">
        <f t="shared" si="4"/>
        <v/>
      </c>
      <c r="K175" t="str">
        <f>IF($J175=0,"",INDEX(ChqKey,159))</f>
        <v/>
      </c>
      <c r="L175" t="str">
        <f t="shared" si="5"/>
        <v/>
      </c>
    </row>
    <row r="176" spans="1:12" x14ac:dyDescent="0.2">
      <c r="A176" s="9" t="str">
        <f>IF(IFERROR(MATCH(160,ChqRankL,0),0)=0,"",160)</f>
        <v/>
      </c>
      <c r="B176" s="15" t="str">
        <f>IF(IFERROR(MATCH(160,ChqRankL,0),0)=0,"",INDEX(ChqNorm,IFERROR(MATCH(160,ChqRankL,0),0)))</f>
        <v/>
      </c>
      <c r="C176" s="15" t="str">
        <f>IF(IFERROR(MATCH(160,ChqRankL,0),0)=0,"",INDEX(ChqNo,IFERROR(MATCH(160,ChqRankL,0),0)))</f>
        <v/>
      </c>
      <c r="D176" s="16" t="str">
        <f>IF(IFERROR(MATCH(160,ChqRankL,0),0)=0,"",IF(INDEX(ChqAmt,IFERROR(MATCH(160,ChqRankL,0),0))=0,"",INDEX(ChqAmt,IFERROR(MATCH(160,ChqRankL,0),0))))</f>
        <v/>
      </c>
      <c r="E176" s="10" t="str">
        <f>IF(IFERROR(MATCH(160,ChqRankL,0),0)=0,"",INDEX(ChqStatus,IFERROR(MATCH(160,ChqRankL,0),0)))</f>
        <v/>
      </c>
      <c r="F176" s="15" t="str">
        <f>IF(IFERROR(MATCH(160,ChqRankL,0),0)=0,"",IF(INDEX(ChqStatus,IFERROR(MATCH(160,ChqRankL,0),0))="پاس نشده","—",IF(INDEX(ChqClr,IFERROR(MATCH(160,ChqRankL,0),0))="","—",INDEX(ChqClr,IFERROR(MATCH(160,ChqRankL,0),0)))))</f>
        <v/>
      </c>
      <c r="I176" t="str">
        <f>IF(160&gt;NChq,"",INDEX(ChqNorm,160))</f>
        <v/>
      </c>
      <c r="J176" t="str">
        <f t="shared" si="4"/>
        <v/>
      </c>
      <c r="K176" t="str">
        <f>IF($J176=0,"",INDEX(ChqKey,160))</f>
        <v/>
      </c>
      <c r="L176" t="str">
        <f t="shared" si="5"/>
        <v/>
      </c>
    </row>
    <row r="177" spans="1:12" x14ac:dyDescent="0.2">
      <c r="A177" s="3" t="str">
        <f>IF(IFERROR(MATCH(161,ChqRankL,0),0)=0,"",161)</f>
        <v/>
      </c>
      <c r="B177" s="13" t="str">
        <f>IF(IFERROR(MATCH(161,ChqRankL,0),0)=0,"",INDEX(ChqNorm,IFERROR(MATCH(161,ChqRankL,0),0)))</f>
        <v/>
      </c>
      <c r="C177" s="13" t="str">
        <f>IF(IFERROR(MATCH(161,ChqRankL,0),0)=0,"",INDEX(ChqNo,IFERROR(MATCH(161,ChqRankL,0),0)))</f>
        <v/>
      </c>
      <c r="D177" s="14" t="str">
        <f>IF(IFERROR(MATCH(161,ChqRankL,0),0)=0,"",IF(INDEX(ChqAmt,IFERROR(MATCH(161,ChqRankL,0),0))=0,"",INDEX(ChqAmt,IFERROR(MATCH(161,ChqRankL,0),0))))</f>
        <v/>
      </c>
      <c r="E177" s="7" t="str">
        <f>IF(IFERROR(MATCH(161,ChqRankL,0),0)=0,"",INDEX(ChqStatus,IFERROR(MATCH(161,ChqRankL,0),0)))</f>
        <v/>
      </c>
      <c r="F177" s="13" t="str">
        <f>IF(IFERROR(MATCH(161,ChqRankL,0),0)=0,"",IF(INDEX(ChqStatus,IFERROR(MATCH(161,ChqRankL,0),0))="پاس نشده","—",IF(INDEX(ChqClr,IFERROR(MATCH(161,ChqRankL,0),0))="","—",INDEX(ChqClr,IFERROR(MATCH(161,ChqRankL,0),0)))))</f>
        <v/>
      </c>
      <c r="I177" t="str">
        <f>IF(161&gt;NChq,"",INDEX(ChqNorm,161))</f>
        <v/>
      </c>
      <c r="J177" t="str">
        <f t="shared" si="4"/>
        <v/>
      </c>
      <c r="K177" t="str">
        <f>IF($J177=0,"",INDEX(ChqKey,161))</f>
        <v/>
      </c>
      <c r="L177" t="str">
        <f t="shared" si="5"/>
        <v/>
      </c>
    </row>
    <row r="178" spans="1:12" x14ac:dyDescent="0.2">
      <c r="A178" s="9" t="str">
        <f>IF(IFERROR(MATCH(162,ChqRankL,0),0)=0,"",162)</f>
        <v/>
      </c>
      <c r="B178" s="15" t="str">
        <f>IF(IFERROR(MATCH(162,ChqRankL,0),0)=0,"",INDEX(ChqNorm,IFERROR(MATCH(162,ChqRankL,0),0)))</f>
        <v/>
      </c>
      <c r="C178" s="15" t="str">
        <f>IF(IFERROR(MATCH(162,ChqRankL,0),0)=0,"",INDEX(ChqNo,IFERROR(MATCH(162,ChqRankL,0),0)))</f>
        <v/>
      </c>
      <c r="D178" s="16" t="str">
        <f>IF(IFERROR(MATCH(162,ChqRankL,0),0)=0,"",IF(INDEX(ChqAmt,IFERROR(MATCH(162,ChqRankL,0),0))=0,"",INDEX(ChqAmt,IFERROR(MATCH(162,ChqRankL,0),0))))</f>
        <v/>
      </c>
      <c r="E178" s="10" t="str">
        <f>IF(IFERROR(MATCH(162,ChqRankL,0),0)=0,"",INDEX(ChqStatus,IFERROR(MATCH(162,ChqRankL,0),0)))</f>
        <v/>
      </c>
      <c r="F178" s="15" t="str">
        <f>IF(IFERROR(MATCH(162,ChqRankL,0),0)=0,"",IF(INDEX(ChqStatus,IFERROR(MATCH(162,ChqRankL,0),0))="پاس نشده","—",IF(INDEX(ChqClr,IFERROR(MATCH(162,ChqRankL,0),0))="","—",INDEX(ChqClr,IFERROR(MATCH(162,ChqRankL,0),0)))))</f>
        <v/>
      </c>
      <c r="I178" t="str">
        <f>IF(162&gt;NChq,"",INDEX(ChqNorm,162))</f>
        <v/>
      </c>
      <c r="J178" t="str">
        <f t="shared" si="4"/>
        <v/>
      </c>
      <c r="K178" t="str">
        <f>IF($J178=0,"",INDEX(ChqKey,162))</f>
        <v/>
      </c>
      <c r="L178" t="str">
        <f t="shared" si="5"/>
        <v/>
      </c>
    </row>
    <row r="179" spans="1:12" x14ac:dyDescent="0.2">
      <c r="A179" s="3" t="str">
        <f>IF(IFERROR(MATCH(163,ChqRankL,0),0)=0,"",163)</f>
        <v/>
      </c>
      <c r="B179" s="13" t="str">
        <f>IF(IFERROR(MATCH(163,ChqRankL,0),0)=0,"",INDEX(ChqNorm,IFERROR(MATCH(163,ChqRankL,0),0)))</f>
        <v/>
      </c>
      <c r="C179" s="13" t="str">
        <f>IF(IFERROR(MATCH(163,ChqRankL,0),0)=0,"",INDEX(ChqNo,IFERROR(MATCH(163,ChqRankL,0),0)))</f>
        <v/>
      </c>
      <c r="D179" s="14" t="str">
        <f>IF(IFERROR(MATCH(163,ChqRankL,0),0)=0,"",IF(INDEX(ChqAmt,IFERROR(MATCH(163,ChqRankL,0),0))=0,"",INDEX(ChqAmt,IFERROR(MATCH(163,ChqRankL,0),0))))</f>
        <v/>
      </c>
      <c r="E179" s="7" t="str">
        <f>IF(IFERROR(MATCH(163,ChqRankL,0),0)=0,"",INDEX(ChqStatus,IFERROR(MATCH(163,ChqRankL,0),0)))</f>
        <v/>
      </c>
      <c r="F179" s="13" t="str">
        <f>IF(IFERROR(MATCH(163,ChqRankL,0),0)=0,"",IF(INDEX(ChqStatus,IFERROR(MATCH(163,ChqRankL,0),0))="پاس نشده","—",IF(INDEX(ChqClr,IFERROR(MATCH(163,ChqRankL,0),0))="","—",INDEX(ChqClr,IFERROR(MATCH(163,ChqRankL,0),0)))))</f>
        <v/>
      </c>
      <c r="I179" t="str">
        <f>IF(163&gt;NChq,"",INDEX(ChqNorm,163))</f>
        <v/>
      </c>
      <c r="J179" t="str">
        <f t="shared" si="4"/>
        <v/>
      </c>
      <c r="K179" t="str">
        <f>IF($J179=0,"",INDEX(ChqKey,163))</f>
        <v/>
      </c>
      <c r="L179" t="str">
        <f t="shared" si="5"/>
        <v/>
      </c>
    </row>
    <row r="180" spans="1:12" x14ac:dyDescent="0.2">
      <c r="A180" s="9" t="str">
        <f>IF(IFERROR(MATCH(164,ChqRankL,0),0)=0,"",164)</f>
        <v/>
      </c>
      <c r="B180" s="15" t="str">
        <f>IF(IFERROR(MATCH(164,ChqRankL,0),0)=0,"",INDEX(ChqNorm,IFERROR(MATCH(164,ChqRankL,0),0)))</f>
        <v/>
      </c>
      <c r="C180" s="15" t="str">
        <f>IF(IFERROR(MATCH(164,ChqRankL,0),0)=0,"",INDEX(ChqNo,IFERROR(MATCH(164,ChqRankL,0),0)))</f>
        <v/>
      </c>
      <c r="D180" s="16" t="str">
        <f>IF(IFERROR(MATCH(164,ChqRankL,0),0)=0,"",IF(INDEX(ChqAmt,IFERROR(MATCH(164,ChqRankL,0),0))=0,"",INDEX(ChqAmt,IFERROR(MATCH(164,ChqRankL,0),0))))</f>
        <v/>
      </c>
      <c r="E180" s="10" t="str">
        <f>IF(IFERROR(MATCH(164,ChqRankL,0),0)=0,"",INDEX(ChqStatus,IFERROR(MATCH(164,ChqRankL,0),0)))</f>
        <v/>
      </c>
      <c r="F180" s="15" t="str">
        <f>IF(IFERROR(MATCH(164,ChqRankL,0),0)=0,"",IF(INDEX(ChqStatus,IFERROR(MATCH(164,ChqRankL,0),0))="پاس نشده","—",IF(INDEX(ChqClr,IFERROR(MATCH(164,ChqRankL,0),0))="","—",INDEX(ChqClr,IFERROR(MATCH(164,ChqRankL,0),0)))))</f>
        <v/>
      </c>
      <c r="I180" t="str">
        <f>IF(164&gt;NChq,"",INDEX(ChqNorm,164))</f>
        <v/>
      </c>
      <c r="J180" t="str">
        <f t="shared" si="4"/>
        <v/>
      </c>
      <c r="K180" t="str">
        <f>IF($J180=0,"",INDEX(ChqKey,164))</f>
        <v/>
      </c>
      <c r="L180" t="str">
        <f t="shared" si="5"/>
        <v/>
      </c>
    </row>
    <row r="181" spans="1:12" x14ac:dyDescent="0.2">
      <c r="A181" s="3" t="str">
        <f>IF(IFERROR(MATCH(165,ChqRankL,0),0)=0,"",165)</f>
        <v/>
      </c>
      <c r="B181" s="13" t="str">
        <f>IF(IFERROR(MATCH(165,ChqRankL,0),0)=0,"",INDEX(ChqNorm,IFERROR(MATCH(165,ChqRankL,0),0)))</f>
        <v/>
      </c>
      <c r="C181" s="13" t="str">
        <f>IF(IFERROR(MATCH(165,ChqRankL,0),0)=0,"",INDEX(ChqNo,IFERROR(MATCH(165,ChqRankL,0),0)))</f>
        <v/>
      </c>
      <c r="D181" s="14" t="str">
        <f>IF(IFERROR(MATCH(165,ChqRankL,0),0)=0,"",IF(INDEX(ChqAmt,IFERROR(MATCH(165,ChqRankL,0),0))=0,"",INDEX(ChqAmt,IFERROR(MATCH(165,ChqRankL,0),0))))</f>
        <v/>
      </c>
      <c r="E181" s="7" t="str">
        <f>IF(IFERROR(MATCH(165,ChqRankL,0),0)=0,"",INDEX(ChqStatus,IFERROR(MATCH(165,ChqRankL,0),0)))</f>
        <v/>
      </c>
      <c r="F181" s="13" t="str">
        <f>IF(IFERROR(MATCH(165,ChqRankL,0),0)=0,"",IF(INDEX(ChqStatus,IFERROR(MATCH(165,ChqRankL,0),0))="پاس نشده","—",IF(INDEX(ChqClr,IFERROR(MATCH(165,ChqRankL,0),0))="","—",INDEX(ChqClr,IFERROR(MATCH(165,ChqRankL,0),0)))))</f>
        <v/>
      </c>
      <c r="I181" t="str">
        <f>IF(165&gt;NChq,"",INDEX(ChqNorm,165))</f>
        <v/>
      </c>
      <c r="J181" t="str">
        <f t="shared" si="4"/>
        <v/>
      </c>
      <c r="K181" t="str">
        <f>IF($J181=0,"",INDEX(ChqKey,165))</f>
        <v/>
      </c>
      <c r="L181" t="str">
        <f t="shared" si="5"/>
        <v/>
      </c>
    </row>
    <row r="182" spans="1:12" x14ac:dyDescent="0.2">
      <c r="A182" s="9" t="str">
        <f>IF(IFERROR(MATCH(166,ChqRankL,0),0)=0,"",166)</f>
        <v/>
      </c>
      <c r="B182" s="15" t="str">
        <f>IF(IFERROR(MATCH(166,ChqRankL,0),0)=0,"",INDEX(ChqNorm,IFERROR(MATCH(166,ChqRankL,0),0)))</f>
        <v/>
      </c>
      <c r="C182" s="15" t="str">
        <f>IF(IFERROR(MATCH(166,ChqRankL,0),0)=0,"",INDEX(ChqNo,IFERROR(MATCH(166,ChqRankL,0),0)))</f>
        <v/>
      </c>
      <c r="D182" s="16" t="str">
        <f>IF(IFERROR(MATCH(166,ChqRankL,0),0)=0,"",IF(INDEX(ChqAmt,IFERROR(MATCH(166,ChqRankL,0),0))=0,"",INDEX(ChqAmt,IFERROR(MATCH(166,ChqRankL,0),0))))</f>
        <v/>
      </c>
      <c r="E182" s="10" t="str">
        <f>IF(IFERROR(MATCH(166,ChqRankL,0),0)=0,"",INDEX(ChqStatus,IFERROR(MATCH(166,ChqRankL,0),0)))</f>
        <v/>
      </c>
      <c r="F182" s="15" t="str">
        <f>IF(IFERROR(MATCH(166,ChqRankL,0),0)=0,"",IF(INDEX(ChqStatus,IFERROR(MATCH(166,ChqRankL,0),0))="پاس نشده","—",IF(INDEX(ChqClr,IFERROR(MATCH(166,ChqRankL,0),0))="","—",INDEX(ChqClr,IFERROR(MATCH(166,ChqRankL,0),0)))))</f>
        <v/>
      </c>
      <c r="I182" t="str">
        <f>IF(166&gt;NChq,"",INDEX(ChqNorm,166))</f>
        <v/>
      </c>
      <c r="J182" t="str">
        <f t="shared" si="4"/>
        <v/>
      </c>
      <c r="K182" t="str">
        <f>IF($J182=0,"",INDEX(ChqKey,166))</f>
        <v/>
      </c>
      <c r="L182" t="str">
        <f t="shared" si="5"/>
        <v/>
      </c>
    </row>
    <row r="183" spans="1:12" x14ac:dyDescent="0.2">
      <c r="A183" s="3" t="str">
        <f>IF(IFERROR(MATCH(167,ChqRankL,0),0)=0,"",167)</f>
        <v/>
      </c>
      <c r="B183" s="13" t="str">
        <f>IF(IFERROR(MATCH(167,ChqRankL,0),0)=0,"",INDEX(ChqNorm,IFERROR(MATCH(167,ChqRankL,0),0)))</f>
        <v/>
      </c>
      <c r="C183" s="13" t="str">
        <f>IF(IFERROR(MATCH(167,ChqRankL,0),0)=0,"",INDEX(ChqNo,IFERROR(MATCH(167,ChqRankL,0),0)))</f>
        <v/>
      </c>
      <c r="D183" s="14" t="str">
        <f>IF(IFERROR(MATCH(167,ChqRankL,0),0)=0,"",IF(INDEX(ChqAmt,IFERROR(MATCH(167,ChqRankL,0),0))=0,"",INDEX(ChqAmt,IFERROR(MATCH(167,ChqRankL,0),0))))</f>
        <v/>
      </c>
      <c r="E183" s="7" t="str">
        <f>IF(IFERROR(MATCH(167,ChqRankL,0),0)=0,"",INDEX(ChqStatus,IFERROR(MATCH(167,ChqRankL,0),0)))</f>
        <v/>
      </c>
      <c r="F183" s="13" t="str">
        <f>IF(IFERROR(MATCH(167,ChqRankL,0),0)=0,"",IF(INDEX(ChqStatus,IFERROR(MATCH(167,ChqRankL,0),0))="پاس نشده","—",IF(INDEX(ChqClr,IFERROR(MATCH(167,ChqRankL,0),0))="","—",INDEX(ChqClr,IFERROR(MATCH(167,ChqRankL,0),0)))))</f>
        <v/>
      </c>
      <c r="I183" t="str">
        <f>IF(167&gt;NChq,"",INDEX(ChqNorm,167))</f>
        <v/>
      </c>
      <c r="J183" t="str">
        <f t="shared" si="4"/>
        <v/>
      </c>
      <c r="K183" t="str">
        <f>IF($J183=0,"",INDEX(ChqKey,167))</f>
        <v/>
      </c>
      <c r="L183" t="str">
        <f t="shared" si="5"/>
        <v/>
      </c>
    </row>
    <row r="184" spans="1:12" x14ac:dyDescent="0.2">
      <c r="A184" s="9" t="str">
        <f>IF(IFERROR(MATCH(168,ChqRankL,0),0)=0,"",168)</f>
        <v/>
      </c>
      <c r="B184" s="15" t="str">
        <f>IF(IFERROR(MATCH(168,ChqRankL,0),0)=0,"",INDEX(ChqNorm,IFERROR(MATCH(168,ChqRankL,0),0)))</f>
        <v/>
      </c>
      <c r="C184" s="15" t="str">
        <f>IF(IFERROR(MATCH(168,ChqRankL,0),0)=0,"",INDEX(ChqNo,IFERROR(MATCH(168,ChqRankL,0),0)))</f>
        <v/>
      </c>
      <c r="D184" s="16" t="str">
        <f>IF(IFERROR(MATCH(168,ChqRankL,0),0)=0,"",IF(INDEX(ChqAmt,IFERROR(MATCH(168,ChqRankL,0),0))=0,"",INDEX(ChqAmt,IFERROR(MATCH(168,ChqRankL,0),0))))</f>
        <v/>
      </c>
      <c r="E184" s="10" t="str">
        <f>IF(IFERROR(MATCH(168,ChqRankL,0),0)=0,"",INDEX(ChqStatus,IFERROR(MATCH(168,ChqRankL,0),0)))</f>
        <v/>
      </c>
      <c r="F184" s="15" t="str">
        <f>IF(IFERROR(MATCH(168,ChqRankL,0),0)=0,"",IF(INDEX(ChqStatus,IFERROR(MATCH(168,ChqRankL,0),0))="پاس نشده","—",IF(INDEX(ChqClr,IFERROR(MATCH(168,ChqRankL,0),0))="","—",INDEX(ChqClr,IFERROR(MATCH(168,ChqRankL,0),0)))))</f>
        <v/>
      </c>
      <c r="I184" t="str">
        <f>IF(168&gt;NChq,"",INDEX(ChqNorm,168))</f>
        <v/>
      </c>
      <c r="J184" t="str">
        <f t="shared" si="4"/>
        <v/>
      </c>
      <c r="K184" t="str">
        <f>IF($J184=0,"",INDEX(ChqKey,168))</f>
        <v/>
      </c>
      <c r="L184" t="str">
        <f t="shared" si="5"/>
        <v/>
      </c>
    </row>
    <row r="185" spans="1:12" x14ac:dyDescent="0.2">
      <c r="A185" s="3" t="str">
        <f>IF(IFERROR(MATCH(169,ChqRankL,0),0)=0,"",169)</f>
        <v/>
      </c>
      <c r="B185" s="13" t="str">
        <f>IF(IFERROR(MATCH(169,ChqRankL,0),0)=0,"",INDEX(ChqNorm,IFERROR(MATCH(169,ChqRankL,0),0)))</f>
        <v/>
      </c>
      <c r="C185" s="13" t="str">
        <f>IF(IFERROR(MATCH(169,ChqRankL,0),0)=0,"",INDEX(ChqNo,IFERROR(MATCH(169,ChqRankL,0),0)))</f>
        <v/>
      </c>
      <c r="D185" s="14" t="str">
        <f>IF(IFERROR(MATCH(169,ChqRankL,0),0)=0,"",IF(INDEX(ChqAmt,IFERROR(MATCH(169,ChqRankL,0),0))=0,"",INDEX(ChqAmt,IFERROR(MATCH(169,ChqRankL,0),0))))</f>
        <v/>
      </c>
      <c r="E185" s="7" t="str">
        <f>IF(IFERROR(MATCH(169,ChqRankL,0),0)=0,"",INDEX(ChqStatus,IFERROR(MATCH(169,ChqRankL,0),0)))</f>
        <v/>
      </c>
      <c r="F185" s="13" t="str">
        <f>IF(IFERROR(MATCH(169,ChqRankL,0),0)=0,"",IF(INDEX(ChqStatus,IFERROR(MATCH(169,ChqRankL,0),0))="پاس نشده","—",IF(INDEX(ChqClr,IFERROR(MATCH(169,ChqRankL,0),0))="","—",INDEX(ChqClr,IFERROR(MATCH(169,ChqRankL,0),0)))))</f>
        <v/>
      </c>
      <c r="I185" t="str">
        <f>IF(169&gt;NChq,"",INDEX(ChqNorm,169))</f>
        <v/>
      </c>
      <c r="J185" t="str">
        <f t="shared" si="4"/>
        <v/>
      </c>
      <c r="K185" t="str">
        <f>IF($J185=0,"",INDEX(ChqKey,169))</f>
        <v/>
      </c>
      <c r="L185" t="str">
        <f t="shared" si="5"/>
        <v/>
      </c>
    </row>
    <row r="186" spans="1:12" x14ac:dyDescent="0.2">
      <c r="A186" s="9" t="str">
        <f>IF(IFERROR(MATCH(170,ChqRankL,0),0)=0,"",170)</f>
        <v/>
      </c>
      <c r="B186" s="15" t="str">
        <f>IF(IFERROR(MATCH(170,ChqRankL,0),0)=0,"",INDEX(ChqNorm,IFERROR(MATCH(170,ChqRankL,0),0)))</f>
        <v/>
      </c>
      <c r="C186" s="15" t="str">
        <f>IF(IFERROR(MATCH(170,ChqRankL,0),0)=0,"",INDEX(ChqNo,IFERROR(MATCH(170,ChqRankL,0),0)))</f>
        <v/>
      </c>
      <c r="D186" s="16" t="str">
        <f>IF(IFERROR(MATCH(170,ChqRankL,0),0)=0,"",IF(INDEX(ChqAmt,IFERROR(MATCH(170,ChqRankL,0),0))=0,"",INDEX(ChqAmt,IFERROR(MATCH(170,ChqRankL,0),0))))</f>
        <v/>
      </c>
      <c r="E186" s="10" t="str">
        <f>IF(IFERROR(MATCH(170,ChqRankL,0),0)=0,"",INDEX(ChqStatus,IFERROR(MATCH(170,ChqRankL,0),0)))</f>
        <v/>
      </c>
      <c r="F186" s="15" t="str">
        <f>IF(IFERROR(MATCH(170,ChqRankL,0),0)=0,"",IF(INDEX(ChqStatus,IFERROR(MATCH(170,ChqRankL,0),0))="پاس نشده","—",IF(INDEX(ChqClr,IFERROR(MATCH(170,ChqRankL,0),0))="","—",INDEX(ChqClr,IFERROR(MATCH(170,ChqRankL,0),0)))))</f>
        <v/>
      </c>
      <c r="I186" t="str">
        <f>IF(170&gt;NChq,"",INDEX(ChqNorm,170))</f>
        <v/>
      </c>
      <c r="J186" t="str">
        <f t="shared" si="4"/>
        <v/>
      </c>
      <c r="K186" t="str">
        <f>IF($J186=0,"",INDEX(ChqKey,170))</f>
        <v/>
      </c>
      <c r="L186" t="str">
        <f t="shared" si="5"/>
        <v/>
      </c>
    </row>
    <row r="187" spans="1:12" x14ac:dyDescent="0.2">
      <c r="A187" s="3" t="str">
        <f>IF(IFERROR(MATCH(171,ChqRankL,0),0)=0,"",171)</f>
        <v/>
      </c>
      <c r="B187" s="13" t="str">
        <f>IF(IFERROR(MATCH(171,ChqRankL,0),0)=0,"",INDEX(ChqNorm,IFERROR(MATCH(171,ChqRankL,0),0)))</f>
        <v/>
      </c>
      <c r="C187" s="13" t="str">
        <f>IF(IFERROR(MATCH(171,ChqRankL,0),0)=0,"",INDEX(ChqNo,IFERROR(MATCH(171,ChqRankL,0),0)))</f>
        <v/>
      </c>
      <c r="D187" s="14" t="str">
        <f>IF(IFERROR(MATCH(171,ChqRankL,0),0)=0,"",IF(INDEX(ChqAmt,IFERROR(MATCH(171,ChqRankL,0),0))=0,"",INDEX(ChqAmt,IFERROR(MATCH(171,ChqRankL,0),0))))</f>
        <v/>
      </c>
      <c r="E187" s="7" t="str">
        <f>IF(IFERROR(MATCH(171,ChqRankL,0),0)=0,"",INDEX(ChqStatus,IFERROR(MATCH(171,ChqRankL,0),0)))</f>
        <v/>
      </c>
      <c r="F187" s="13" t="str">
        <f>IF(IFERROR(MATCH(171,ChqRankL,0),0)=0,"",IF(INDEX(ChqStatus,IFERROR(MATCH(171,ChqRankL,0),0))="پاس نشده","—",IF(INDEX(ChqClr,IFERROR(MATCH(171,ChqRankL,0),0))="","—",INDEX(ChqClr,IFERROR(MATCH(171,ChqRankL,0),0)))))</f>
        <v/>
      </c>
      <c r="I187" t="str">
        <f>IF(171&gt;NChq,"",INDEX(ChqNorm,171))</f>
        <v/>
      </c>
      <c r="J187" t="str">
        <f t="shared" si="4"/>
        <v/>
      </c>
      <c r="K187" t="str">
        <f>IF($J187=0,"",INDEX(ChqKey,171))</f>
        <v/>
      </c>
      <c r="L187" t="str">
        <f t="shared" si="5"/>
        <v/>
      </c>
    </row>
    <row r="188" spans="1:12" x14ac:dyDescent="0.2">
      <c r="A188" s="9" t="str">
        <f>IF(IFERROR(MATCH(172,ChqRankL,0),0)=0,"",172)</f>
        <v/>
      </c>
      <c r="B188" s="15" t="str">
        <f>IF(IFERROR(MATCH(172,ChqRankL,0),0)=0,"",INDEX(ChqNorm,IFERROR(MATCH(172,ChqRankL,0),0)))</f>
        <v/>
      </c>
      <c r="C188" s="15" t="str">
        <f>IF(IFERROR(MATCH(172,ChqRankL,0),0)=0,"",INDEX(ChqNo,IFERROR(MATCH(172,ChqRankL,0),0)))</f>
        <v/>
      </c>
      <c r="D188" s="16" t="str">
        <f>IF(IFERROR(MATCH(172,ChqRankL,0),0)=0,"",IF(INDEX(ChqAmt,IFERROR(MATCH(172,ChqRankL,0),0))=0,"",INDEX(ChqAmt,IFERROR(MATCH(172,ChqRankL,0),0))))</f>
        <v/>
      </c>
      <c r="E188" s="10" t="str">
        <f>IF(IFERROR(MATCH(172,ChqRankL,0),0)=0,"",INDEX(ChqStatus,IFERROR(MATCH(172,ChqRankL,0),0)))</f>
        <v/>
      </c>
      <c r="F188" s="15" t="str">
        <f>IF(IFERROR(MATCH(172,ChqRankL,0),0)=0,"",IF(INDEX(ChqStatus,IFERROR(MATCH(172,ChqRankL,0),0))="پاس نشده","—",IF(INDEX(ChqClr,IFERROR(MATCH(172,ChqRankL,0),0))="","—",INDEX(ChqClr,IFERROR(MATCH(172,ChqRankL,0),0)))))</f>
        <v/>
      </c>
      <c r="I188" t="str">
        <f>IF(172&gt;NChq,"",INDEX(ChqNorm,172))</f>
        <v/>
      </c>
      <c r="J188" t="str">
        <f t="shared" si="4"/>
        <v/>
      </c>
      <c r="K188" t="str">
        <f>IF($J188=0,"",INDEX(ChqKey,172))</f>
        <v/>
      </c>
      <c r="L188" t="str">
        <f t="shared" si="5"/>
        <v/>
      </c>
    </row>
    <row r="189" spans="1:12" x14ac:dyDescent="0.2">
      <c r="A189" s="3" t="str">
        <f>IF(IFERROR(MATCH(173,ChqRankL,0),0)=0,"",173)</f>
        <v/>
      </c>
      <c r="B189" s="13" t="str">
        <f>IF(IFERROR(MATCH(173,ChqRankL,0),0)=0,"",INDEX(ChqNorm,IFERROR(MATCH(173,ChqRankL,0),0)))</f>
        <v/>
      </c>
      <c r="C189" s="13" t="str">
        <f>IF(IFERROR(MATCH(173,ChqRankL,0),0)=0,"",INDEX(ChqNo,IFERROR(MATCH(173,ChqRankL,0),0)))</f>
        <v/>
      </c>
      <c r="D189" s="14" t="str">
        <f>IF(IFERROR(MATCH(173,ChqRankL,0),0)=0,"",IF(INDEX(ChqAmt,IFERROR(MATCH(173,ChqRankL,0),0))=0,"",INDEX(ChqAmt,IFERROR(MATCH(173,ChqRankL,0),0))))</f>
        <v/>
      </c>
      <c r="E189" s="7" t="str">
        <f>IF(IFERROR(MATCH(173,ChqRankL,0),0)=0,"",INDEX(ChqStatus,IFERROR(MATCH(173,ChqRankL,0),0)))</f>
        <v/>
      </c>
      <c r="F189" s="13" t="str">
        <f>IF(IFERROR(MATCH(173,ChqRankL,0),0)=0,"",IF(INDEX(ChqStatus,IFERROR(MATCH(173,ChqRankL,0),0))="پاس نشده","—",IF(INDEX(ChqClr,IFERROR(MATCH(173,ChqRankL,0),0))="","—",INDEX(ChqClr,IFERROR(MATCH(173,ChqRankL,0),0)))))</f>
        <v/>
      </c>
      <c r="I189" t="str">
        <f>IF(173&gt;NChq,"",INDEX(ChqNorm,173))</f>
        <v/>
      </c>
      <c r="J189" t="str">
        <f t="shared" si="4"/>
        <v/>
      </c>
      <c r="K189" t="str">
        <f>IF($J189=0,"",INDEX(ChqKey,173))</f>
        <v/>
      </c>
      <c r="L189" t="str">
        <f t="shared" si="5"/>
        <v/>
      </c>
    </row>
    <row r="190" spans="1:12" x14ac:dyDescent="0.2">
      <c r="A190" s="9" t="str">
        <f>IF(IFERROR(MATCH(174,ChqRankL,0),0)=0,"",174)</f>
        <v/>
      </c>
      <c r="B190" s="15" t="str">
        <f>IF(IFERROR(MATCH(174,ChqRankL,0),0)=0,"",INDEX(ChqNorm,IFERROR(MATCH(174,ChqRankL,0),0)))</f>
        <v/>
      </c>
      <c r="C190" s="15" t="str">
        <f>IF(IFERROR(MATCH(174,ChqRankL,0),0)=0,"",INDEX(ChqNo,IFERROR(MATCH(174,ChqRankL,0),0)))</f>
        <v/>
      </c>
      <c r="D190" s="16" t="str">
        <f>IF(IFERROR(MATCH(174,ChqRankL,0),0)=0,"",IF(INDEX(ChqAmt,IFERROR(MATCH(174,ChqRankL,0),0))=0,"",INDEX(ChqAmt,IFERROR(MATCH(174,ChqRankL,0),0))))</f>
        <v/>
      </c>
      <c r="E190" s="10" t="str">
        <f>IF(IFERROR(MATCH(174,ChqRankL,0),0)=0,"",INDEX(ChqStatus,IFERROR(MATCH(174,ChqRankL,0),0)))</f>
        <v/>
      </c>
      <c r="F190" s="15" t="str">
        <f>IF(IFERROR(MATCH(174,ChqRankL,0),0)=0,"",IF(INDEX(ChqStatus,IFERROR(MATCH(174,ChqRankL,0),0))="پاس نشده","—",IF(INDEX(ChqClr,IFERROR(MATCH(174,ChqRankL,0),0))="","—",INDEX(ChqClr,IFERROR(MATCH(174,ChqRankL,0),0)))))</f>
        <v/>
      </c>
      <c r="I190" t="str">
        <f>IF(174&gt;NChq,"",INDEX(ChqNorm,174))</f>
        <v/>
      </c>
      <c r="J190" t="str">
        <f t="shared" si="4"/>
        <v/>
      </c>
      <c r="K190" t="str">
        <f>IF($J190=0,"",INDEX(ChqKey,174))</f>
        <v/>
      </c>
      <c r="L190" t="str">
        <f t="shared" si="5"/>
        <v/>
      </c>
    </row>
    <row r="191" spans="1:12" x14ac:dyDescent="0.2">
      <c r="A191" s="3" t="str">
        <f>IF(IFERROR(MATCH(175,ChqRankL,0),0)=0,"",175)</f>
        <v/>
      </c>
      <c r="B191" s="13" t="str">
        <f>IF(IFERROR(MATCH(175,ChqRankL,0),0)=0,"",INDEX(ChqNorm,IFERROR(MATCH(175,ChqRankL,0),0)))</f>
        <v/>
      </c>
      <c r="C191" s="13" t="str">
        <f>IF(IFERROR(MATCH(175,ChqRankL,0),0)=0,"",INDEX(ChqNo,IFERROR(MATCH(175,ChqRankL,0),0)))</f>
        <v/>
      </c>
      <c r="D191" s="14" t="str">
        <f>IF(IFERROR(MATCH(175,ChqRankL,0),0)=0,"",IF(INDEX(ChqAmt,IFERROR(MATCH(175,ChqRankL,0),0))=0,"",INDEX(ChqAmt,IFERROR(MATCH(175,ChqRankL,0),0))))</f>
        <v/>
      </c>
      <c r="E191" s="7" t="str">
        <f>IF(IFERROR(MATCH(175,ChqRankL,0),0)=0,"",INDEX(ChqStatus,IFERROR(MATCH(175,ChqRankL,0),0)))</f>
        <v/>
      </c>
      <c r="F191" s="13" t="str">
        <f>IF(IFERROR(MATCH(175,ChqRankL,0),0)=0,"",IF(INDEX(ChqStatus,IFERROR(MATCH(175,ChqRankL,0),0))="پاس نشده","—",IF(INDEX(ChqClr,IFERROR(MATCH(175,ChqRankL,0),0))="","—",INDEX(ChqClr,IFERROR(MATCH(175,ChqRankL,0),0)))))</f>
        <v/>
      </c>
      <c r="I191" t="str">
        <f>IF(175&gt;NChq,"",INDEX(ChqNorm,175))</f>
        <v/>
      </c>
      <c r="J191" t="str">
        <f t="shared" si="4"/>
        <v/>
      </c>
      <c r="K191" t="str">
        <f>IF($J191=0,"",INDEX(ChqKey,175))</f>
        <v/>
      </c>
      <c r="L191" t="str">
        <f t="shared" si="5"/>
        <v/>
      </c>
    </row>
    <row r="192" spans="1:12" x14ac:dyDescent="0.2">
      <c r="A192" s="9" t="str">
        <f>IF(IFERROR(MATCH(176,ChqRankL,0),0)=0,"",176)</f>
        <v/>
      </c>
      <c r="B192" s="15" t="str">
        <f>IF(IFERROR(MATCH(176,ChqRankL,0),0)=0,"",INDEX(ChqNorm,IFERROR(MATCH(176,ChqRankL,0),0)))</f>
        <v/>
      </c>
      <c r="C192" s="15" t="str">
        <f>IF(IFERROR(MATCH(176,ChqRankL,0),0)=0,"",INDEX(ChqNo,IFERROR(MATCH(176,ChqRankL,0),0)))</f>
        <v/>
      </c>
      <c r="D192" s="16" t="str">
        <f>IF(IFERROR(MATCH(176,ChqRankL,0),0)=0,"",IF(INDEX(ChqAmt,IFERROR(MATCH(176,ChqRankL,0),0))=0,"",INDEX(ChqAmt,IFERROR(MATCH(176,ChqRankL,0),0))))</f>
        <v/>
      </c>
      <c r="E192" s="10" t="str">
        <f>IF(IFERROR(MATCH(176,ChqRankL,0),0)=0,"",INDEX(ChqStatus,IFERROR(MATCH(176,ChqRankL,0),0)))</f>
        <v/>
      </c>
      <c r="F192" s="15" t="str">
        <f>IF(IFERROR(MATCH(176,ChqRankL,0),0)=0,"",IF(INDEX(ChqStatus,IFERROR(MATCH(176,ChqRankL,0),0))="پاس نشده","—",IF(INDEX(ChqClr,IFERROR(MATCH(176,ChqRankL,0),0))="","—",INDEX(ChqClr,IFERROR(MATCH(176,ChqRankL,0),0)))))</f>
        <v/>
      </c>
      <c r="I192" t="str">
        <f>IF(176&gt;NChq,"",INDEX(ChqNorm,176))</f>
        <v/>
      </c>
      <c r="J192" t="str">
        <f t="shared" si="4"/>
        <v/>
      </c>
      <c r="K192" t="str">
        <f>IF($J192=0,"",INDEX(ChqKey,176))</f>
        <v/>
      </c>
      <c r="L192" t="str">
        <f t="shared" si="5"/>
        <v/>
      </c>
    </row>
    <row r="193" spans="1:12" x14ac:dyDescent="0.2">
      <c r="A193" s="3" t="str">
        <f>IF(IFERROR(MATCH(177,ChqRankL,0),0)=0,"",177)</f>
        <v/>
      </c>
      <c r="B193" s="13" t="str">
        <f>IF(IFERROR(MATCH(177,ChqRankL,0),0)=0,"",INDEX(ChqNorm,IFERROR(MATCH(177,ChqRankL,0),0)))</f>
        <v/>
      </c>
      <c r="C193" s="13" t="str">
        <f>IF(IFERROR(MATCH(177,ChqRankL,0),0)=0,"",INDEX(ChqNo,IFERROR(MATCH(177,ChqRankL,0),0)))</f>
        <v/>
      </c>
      <c r="D193" s="14" t="str">
        <f>IF(IFERROR(MATCH(177,ChqRankL,0),0)=0,"",IF(INDEX(ChqAmt,IFERROR(MATCH(177,ChqRankL,0),0))=0,"",INDEX(ChqAmt,IFERROR(MATCH(177,ChqRankL,0),0))))</f>
        <v/>
      </c>
      <c r="E193" s="7" t="str">
        <f>IF(IFERROR(MATCH(177,ChqRankL,0),0)=0,"",INDEX(ChqStatus,IFERROR(MATCH(177,ChqRankL,0),0)))</f>
        <v/>
      </c>
      <c r="F193" s="13" t="str">
        <f>IF(IFERROR(MATCH(177,ChqRankL,0),0)=0,"",IF(INDEX(ChqStatus,IFERROR(MATCH(177,ChqRankL,0),0))="پاس نشده","—",IF(INDEX(ChqClr,IFERROR(MATCH(177,ChqRankL,0),0))="","—",INDEX(ChqClr,IFERROR(MATCH(177,ChqRankL,0),0)))))</f>
        <v/>
      </c>
      <c r="I193" t="str">
        <f>IF(177&gt;NChq,"",INDEX(ChqNorm,177))</f>
        <v/>
      </c>
      <c r="J193" t="str">
        <f t="shared" si="4"/>
        <v/>
      </c>
      <c r="K193" t="str">
        <f>IF($J193=0,"",INDEX(ChqKey,177))</f>
        <v/>
      </c>
      <c r="L193" t="str">
        <f t="shared" si="5"/>
        <v/>
      </c>
    </row>
    <row r="194" spans="1:12" x14ac:dyDescent="0.2">
      <c r="A194" s="9" t="str">
        <f>IF(IFERROR(MATCH(178,ChqRankL,0),0)=0,"",178)</f>
        <v/>
      </c>
      <c r="B194" s="15" t="str">
        <f>IF(IFERROR(MATCH(178,ChqRankL,0),0)=0,"",INDEX(ChqNorm,IFERROR(MATCH(178,ChqRankL,0),0)))</f>
        <v/>
      </c>
      <c r="C194" s="15" t="str">
        <f>IF(IFERROR(MATCH(178,ChqRankL,0),0)=0,"",INDEX(ChqNo,IFERROR(MATCH(178,ChqRankL,0),0)))</f>
        <v/>
      </c>
      <c r="D194" s="16" t="str">
        <f>IF(IFERROR(MATCH(178,ChqRankL,0),0)=0,"",IF(INDEX(ChqAmt,IFERROR(MATCH(178,ChqRankL,0),0))=0,"",INDEX(ChqAmt,IFERROR(MATCH(178,ChqRankL,0),0))))</f>
        <v/>
      </c>
      <c r="E194" s="10" t="str">
        <f>IF(IFERROR(MATCH(178,ChqRankL,0),0)=0,"",INDEX(ChqStatus,IFERROR(MATCH(178,ChqRankL,0),0)))</f>
        <v/>
      </c>
      <c r="F194" s="15" t="str">
        <f>IF(IFERROR(MATCH(178,ChqRankL,0),0)=0,"",IF(INDEX(ChqStatus,IFERROR(MATCH(178,ChqRankL,0),0))="پاس نشده","—",IF(INDEX(ChqClr,IFERROR(MATCH(178,ChqRankL,0),0))="","—",INDEX(ChqClr,IFERROR(MATCH(178,ChqRankL,0),0)))))</f>
        <v/>
      </c>
      <c r="I194" t="str">
        <f>IF(178&gt;NChq,"",INDEX(ChqNorm,178))</f>
        <v/>
      </c>
      <c r="J194" t="str">
        <f t="shared" si="4"/>
        <v/>
      </c>
      <c r="K194" t="str">
        <f>IF($J194=0,"",INDEX(ChqKey,178))</f>
        <v/>
      </c>
      <c r="L194" t="str">
        <f t="shared" si="5"/>
        <v/>
      </c>
    </row>
    <row r="195" spans="1:12" x14ac:dyDescent="0.2">
      <c r="A195" s="3" t="str">
        <f>IF(IFERROR(MATCH(179,ChqRankL,0),0)=0,"",179)</f>
        <v/>
      </c>
      <c r="B195" s="13" t="str">
        <f>IF(IFERROR(MATCH(179,ChqRankL,0),0)=0,"",INDEX(ChqNorm,IFERROR(MATCH(179,ChqRankL,0),0)))</f>
        <v/>
      </c>
      <c r="C195" s="13" t="str">
        <f>IF(IFERROR(MATCH(179,ChqRankL,0),0)=0,"",INDEX(ChqNo,IFERROR(MATCH(179,ChqRankL,0),0)))</f>
        <v/>
      </c>
      <c r="D195" s="14" t="str">
        <f>IF(IFERROR(MATCH(179,ChqRankL,0),0)=0,"",IF(INDEX(ChqAmt,IFERROR(MATCH(179,ChqRankL,0),0))=0,"",INDEX(ChqAmt,IFERROR(MATCH(179,ChqRankL,0),0))))</f>
        <v/>
      </c>
      <c r="E195" s="7" t="str">
        <f>IF(IFERROR(MATCH(179,ChqRankL,0),0)=0,"",INDEX(ChqStatus,IFERROR(MATCH(179,ChqRankL,0),0)))</f>
        <v/>
      </c>
      <c r="F195" s="13" t="str">
        <f>IF(IFERROR(MATCH(179,ChqRankL,0),0)=0,"",IF(INDEX(ChqStatus,IFERROR(MATCH(179,ChqRankL,0),0))="پاس نشده","—",IF(INDEX(ChqClr,IFERROR(MATCH(179,ChqRankL,0),0))="","—",INDEX(ChqClr,IFERROR(MATCH(179,ChqRankL,0),0)))))</f>
        <v/>
      </c>
      <c r="I195" t="str">
        <f>IF(179&gt;NChq,"",INDEX(ChqNorm,179))</f>
        <v/>
      </c>
      <c r="J195" t="str">
        <f t="shared" si="4"/>
        <v/>
      </c>
      <c r="K195" t="str">
        <f>IF($J195=0,"",INDEX(ChqKey,179))</f>
        <v/>
      </c>
      <c r="L195" t="str">
        <f t="shared" si="5"/>
        <v/>
      </c>
    </row>
    <row r="196" spans="1:12" x14ac:dyDescent="0.2">
      <c r="A196" s="9" t="str">
        <f>IF(IFERROR(MATCH(180,ChqRankL,0),0)=0,"",180)</f>
        <v/>
      </c>
      <c r="B196" s="15" t="str">
        <f>IF(IFERROR(MATCH(180,ChqRankL,0),0)=0,"",INDEX(ChqNorm,IFERROR(MATCH(180,ChqRankL,0),0)))</f>
        <v/>
      </c>
      <c r="C196" s="15" t="str">
        <f>IF(IFERROR(MATCH(180,ChqRankL,0),0)=0,"",INDEX(ChqNo,IFERROR(MATCH(180,ChqRankL,0),0)))</f>
        <v/>
      </c>
      <c r="D196" s="16" t="str">
        <f>IF(IFERROR(MATCH(180,ChqRankL,0),0)=0,"",IF(INDEX(ChqAmt,IFERROR(MATCH(180,ChqRankL,0),0))=0,"",INDEX(ChqAmt,IFERROR(MATCH(180,ChqRankL,0),0))))</f>
        <v/>
      </c>
      <c r="E196" s="10" t="str">
        <f>IF(IFERROR(MATCH(180,ChqRankL,0),0)=0,"",INDEX(ChqStatus,IFERROR(MATCH(180,ChqRankL,0),0)))</f>
        <v/>
      </c>
      <c r="F196" s="15" t="str">
        <f>IF(IFERROR(MATCH(180,ChqRankL,0),0)=0,"",IF(INDEX(ChqStatus,IFERROR(MATCH(180,ChqRankL,0),0))="پاس نشده","—",IF(INDEX(ChqClr,IFERROR(MATCH(180,ChqRankL,0),0))="","—",INDEX(ChqClr,IFERROR(MATCH(180,ChqRankL,0),0)))))</f>
        <v/>
      </c>
      <c r="I196" t="str">
        <f>IF(180&gt;NChq,"",INDEX(ChqNorm,180))</f>
        <v/>
      </c>
      <c r="J196" t="str">
        <f t="shared" si="4"/>
        <v/>
      </c>
      <c r="K196" t="str">
        <f>IF($J196=0,"",INDEX(ChqKey,180))</f>
        <v/>
      </c>
      <c r="L196" t="str">
        <f t="shared" si="5"/>
        <v/>
      </c>
    </row>
    <row r="197" spans="1:12" x14ac:dyDescent="0.2">
      <c r="A197" s="3" t="str">
        <f>IF(IFERROR(MATCH(181,ChqRankL,0),0)=0,"",181)</f>
        <v/>
      </c>
      <c r="B197" s="13" t="str">
        <f>IF(IFERROR(MATCH(181,ChqRankL,0),0)=0,"",INDEX(ChqNorm,IFERROR(MATCH(181,ChqRankL,0),0)))</f>
        <v/>
      </c>
      <c r="C197" s="13" t="str">
        <f>IF(IFERROR(MATCH(181,ChqRankL,0),0)=0,"",INDEX(ChqNo,IFERROR(MATCH(181,ChqRankL,0),0)))</f>
        <v/>
      </c>
      <c r="D197" s="14" t="str">
        <f>IF(IFERROR(MATCH(181,ChqRankL,0),0)=0,"",IF(INDEX(ChqAmt,IFERROR(MATCH(181,ChqRankL,0),0))=0,"",INDEX(ChqAmt,IFERROR(MATCH(181,ChqRankL,0),0))))</f>
        <v/>
      </c>
      <c r="E197" s="7" t="str">
        <f>IF(IFERROR(MATCH(181,ChqRankL,0),0)=0,"",INDEX(ChqStatus,IFERROR(MATCH(181,ChqRankL,0),0)))</f>
        <v/>
      </c>
      <c r="F197" s="13" t="str">
        <f>IF(IFERROR(MATCH(181,ChqRankL,0),0)=0,"",IF(INDEX(ChqStatus,IFERROR(MATCH(181,ChqRankL,0),0))="پاس نشده","—",IF(INDEX(ChqClr,IFERROR(MATCH(181,ChqRankL,0),0))="","—",INDEX(ChqClr,IFERROR(MATCH(181,ChqRankL,0),0)))))</f>
        <v/>
      </c>
      <c r="I197" t="str">
        <f>IF(181&gt;NChq,"",INDEX(ChqNorm,181))</f>
        <v/>
      </c>
      <c r="J197" t="str">
        <f t="shared" si="4"/>
        <v/>
      </c>
      <c r="K197" t="str">
        <f>IF($J197=0,"",INDEX(ChqKey,181))</f>
        <v/>
      </c>
      <c r="L197" t="str">
        <f t="shared" si="5"/>
        <v/>
      </c>
    </row>
    <row r="198" spans="1:12" x14ac:dyDescent="0.2">
      <c r="A198" s="9" t="str">
        <f>IF(IFERROR(MATCH(182,ChqRankL,0),0)=0,"",182)</f>
        <v/>
      </c>
      <c r="B198" s="15" t="str">
        <f>IF(IFERROR(MATCH(182,ChqRankL,0),0)=0,"",INDEX(ChqNorm,IFERROR(MATCH(182,ChqRankL,0),0)))</f>
        <v/>
      </c>
      <c r="C198" s="15" t="str">
        <f>IF(IFERROR(MATCH(182,ChqRankL,0),0)=0,"",INDEX(ChqNo,IFERROR(MATCH(182,ChqRankL,0),0)))</f>
        <v/>
      </c>
      <c r="D198" s="16" t="str">
        <f>IF(IFERROR(MATCH(182,ChqRankL,0),0)=0,"",IF(INDEX(ChqAmt,IFERROR(MATCH(182,ChqRankL,0),0))=0,"",INDEX(ChqAmt,IFERROR(MATCH(182,ChqRankL,0),0))))</f>
        <v/>
      </c>
      <c r="E198" s="10" t="str">
        <f>IF(IFERROR(MATCH(182,ChqRankL,0),0)=0,"",INDEX(ChqStatus,IFERROR(MATCH(182,ChqRankL,0),0)))</f>
        <v/>
      </c>
      <c r="F198" s="15" t="str">
        <f>IF(IFERROR(MATCH(182,ChqRankL,0),0)=0,"",IF(INDEX(ChqStatus,IFERROR(MATCH(182,ChqRankL,0),0))="پاس نشده","—",IF(INDEX(ChqClr,IFERROR(MATCH(182,ChqRankL,0),0))="","—",INDEX(ChqClr,IFERROR(MATCH(182,ChqRankL,0),0)))))</f>
        <v/>
      </c>
      <c r="I198" t="str">
        <f>IF(182&gt;NChq,"",INDEX(ChqNorm,182))</f>
        <v/>
      </c>
      <c r="J198" t="str">
        <f t="shared" si="4"/>
        <v/>
      </c>
      <c r="K198" t="str">
        <f>IF($J198=0,"",INDEX(ChqKey,182))</f>
        <v/>
      </c>
      <c r="L198" t="str">
        <f t="shared" si="5"/>
        <v/>
      </c>
    </row>
    <row r="199" spans="1:12" x14ac:dyDescent="0.2">
      <c r="A199" s="3" t="str">
        <f>IF(IFERROR(MATCH(183,ChqRankL,0),0)=0,"",183)</f>
        <v/>
      </c>
      <c r="B199" s="13" t="str">
        <f>IF(IFERROR(MATCH(183,ChqRankL,0),0)=0,"",INDEX(ChqNorm,IFERROR(MATCH(183,ChqRankL,0),0)))</f>
        <v/>
      </c>
      <c r="C199" s="13" t="str">
        <f>IF(IFERROR(MATCH(183,ChqRankL,0),0)=0,"",INDEX(ChqNo,IFERROR(MATCH(183,ChqRankL,0),0)))</f>
        <v/>
      </c>
      <c r="D199" s="14" t="str">
        <f>IF(IFERROR(MATCH(183,ChqRankL,0),0)=0,"",IF(INDEX(ChqAmt,IFERROR(MATCH(183,ChqRankL,0),0))=0,"",INDEX(ChqAmt,IFERROR(MATCH(183,ChqRankL,0),0))))</f>
        <v/>
      </c>
      <c r="E199" s="7" t="str">
        <f>IF(IFERROR(MATCH(183,ChqRankL,0),0)=0,"",INDEX(ChqStatus,IFERROR(MATCH(183,ChqRankL,0),0)))</f>
        <v/>
      </c>
      <c r="F199" s="13" t="str">
        <f>IF(IFERROR(MATCH(183,ChqRankL,0),0)=0,"",IF(INDEX(ChqStatus,IFERROR(MATCH(183,ChqRankL,0),0))="پاس نشده","—",IF(INDEX(ChqClr,IFERROR(MATCH(183,ChqRankL,0),0))="","—",INDEX(ChqClr,IFERROR(MATCH(183,ChqRankL,0),0)))))</f>
        <v/>
      </c>
      <c r="I199" t="str">
        <f>IF(183&gt;NChq,"",INDEX(ChqNorm,183))</f>
        <v/>
      </c>
      <c r="J199" t="str">
        <f t="shared" si="4"/>
        <v/>
      </c>
      <c r="K199" t="str">
        <f>IF($J199=0,"",INDEX(ChqKey,183))</f>
        <v/>
      </c>
      <c r="L199" t="str">
        <f t="shared" si="5"/>
        <v/>
      </c>
    </row>
    <row r="200" spans="1:12" x14ac:dyDescent="0.2">
      <c r="A200" s="9" t="str">
        <f>IF(IFERROR(MATCH(184,ChqRankL,0),0)=0,"",184)</f>
        <v/>
      </c>
      <c r="B200" s="15" t="str">
        <f>IF(IFERROR(MATCH(184,ChqRankL,0),0)=0,"",INDEX(ChqNorm,IFERROR(MATCH(184,ChqRankL,0),0)))</f>
        <v/>
      </c>
      <c r="C200" s="15" t="str">
        <f>IF(IFERROR(MATCH(184,ChqRankL,0),0)=0,"",INDEX(ChqNo,IFERROR(MATCH(184,ChqRankL,0),0)))</f>
        <v/>
      </c>
      <c r="D200" s="16" t="str">
        <f>IF(IFERROR(MATCH(184,ChqRankL,0),0)=0,"",IF(INDEX(ChqAmt,IFERROR(MATCH(184,ChqRankL,0),0))=0,"",INDEX(ChqAmt,IFERROR(MATCH(184,ChqRankL,0),0))))</f>
        <v/>
      </c>
      <c r="E200" s="10" t="str">
        <f>IF(IFERROR(MATCH(184,ChqRankL,0),0)=0,"",INDEX(ChqStatus,IFERROR(MATCH(184,ChqRankL,0),0)))</f>
        <v/>
      </c>
      <c r="F200" s="15" t="str">
        <f>IF(IFERROR(MATCH(184,ChqRankL,0),0)=0,"",IF(INDEX(ChqStatus,IFERROR(MATCH(184,ChqRankL,0),0))="پاس نشده","—",IF(INDEX(ChqClr,IFERROR(MATCH(184,ChqRankL,0),0))="","—",INDEX(ChqClr,IFERROR(MATCH(184,ChqRankL,0),0)))))</f>
        <v/>
      </c>
      <c r="I200" t="str">
        <f>IF(184&gt;NChq,"",INDEX(ChqNorm,184))</f>
        <v/>
      </c>
      <c r="J200" t="str">
        <f t="shared" si="4"/>
        <v/>
      </c>
      <c r="K200" t="str">
        <f>IF($J200=0,"",INDEX(ChqKey,184))</f>
        <v/>
      </c>
      <c r="L200" t="str">
        <f t="shared" si="5"/>
        <v/>
      </c>
    </row>
    <row r="201" spans="1:12" x14ac:dyDescent="0.2">
      <c r="A201" s="3" t="str">
        <f>IF(IFERROR(MATCH(185,ChqRankL,0),0)=0,"",185)</f>
        <v/>
      </c>
      <c r="B201" s="13" t="str">
        <f>IF(IFERROR(MATCH(185,ChqRankL,0),0)=0,"",INDEX(ChqNorm,IFERROR(MATCH(185,ChqRankL,0),0)))</f>
        <v/>
      </c>
      <c r="C201" s="13" t="str">
        <f>IF(IFERROR(MATCH(185,ChqRankL,0),0)=0,"",INDEX(ChqNo,IFERROR(MATCH(185,ChqRankL,0),0)))</f>
        <v/>
      </c>
      <c r="D201" s="14" t="str">
        <f>IF(IFERROR(MATCH(185,ChqRankL,0),0)=0,"",IF(INDEX(ChqAmt,IFERROR(MATCH(185,ChqRankL,0),0))=0,"",INDEX(ChqAmt,IFERROR(MATCH(185,ChqRankL,0),0))))</f>
        <v/>
      </c>
      <c r="E201" s="7" t="str">
        <f>IF(IFERROR(MATCH(185,ChqRankL,0),0)=0,"",INDEX(ChqStatus,IFERROR(MATCH(185,ChqRankL,0),0)))</f>
        <v/>
      </c>
      <c r="F201" s="13" t="str">
        <f>IF(IFERROR(MATCH(185,ChqRankL,0),0)=0,"",IF(INDEX(ChqStatus,IFERROR(MATCH(185,ChqRankL,0),0))="پاس نشده","—",IF(INDEX(ChqClr,IFERROR(MATCH(185,ChqRankL,0),0))="","—",INDEX(ChqClr,IFERROR(MATCH(185,ChqRankL,0),0)))))</f>
        <v/>
      </c>
      <c r="I201" t="str">
        <f>IF(185&gt;NChq,"",INDEX(ChqNorm,185))</f>
        <v/>
      </c>
      <c r="J201" t="str">
        <f t="shared" si="4"/>
        <v/>
      </c>
      <c r="K201" t="str">
        <f>IF($J201=0,"",INDEX(ChqKey,185))</f>
        <v/>
      </c>
      <c r="L201" t="str">
        <f t="shared" si="5"/>
        <v/>
      </c>
    </row>
    <row r="202" spans="1:12" x14ac:dyDescent="0.2">
      <c r="A202" s="9" t="str">
        <f>IF(IFERROR(MATCH(186,ChqRankL,0),0)=0,"",186)</f>
        <v/>
      </c>
      <c r="B202" s="15" t="str">
        <f>IF(IFERROR(MATCH(186,ChqRankL,0),0)=0,"",INDEX(ChqNorm,IFERROR(MATCH(186,ChqRankL,0),0)))</f>
        <v/>
      </c>
      <c r="C202" s="15" t="str">
        <f>IF(IFERROR(MATCH(186,ChqRankL,0),0)=0,"",INDEX(ChqNo,IFERROR(MATCH(186,ChqRankL,0),0)))</f>
        <v/>
      </c>
      <c r="D202" s="16" t="str">
        <f>IF(IFERROR(MATCH(186,ChqRankL,0),0)=0,"",IF(INDEX(ChqAmt,IFERROR(MATCH(186,ChqRankL,0),0))=0,"",INDEX(ChqAmt,IFERROR(MATCH(186,ChqRankL,0),0))))</f>
        <v/>
      </c>
      <c r="E202" s="10" t="str">
        <f>IF(IFERROR(MATCH(186,ChqRankL,0),0)=0,"",INDEX(ChqStatus,IFERROR(MATCH(186,ChqRankL,0),0)))</f>
        <v/>
      </c>
      <c r="F202" s="15" t="str">
        <f>IF(IFERROR(MATCH(186,ChqRankL,0),0)=0,"",IF(INDEX(ChqStatus,IFERROR(MATCH(186,ChqRankL,0),0))="پاس نشده","—",IF(INDEX(ChqClr,IFERROR(MATCH(186,ChqRankL,0),0))="","—",INDEX(ChqClr,IFERROR(MATCH(186,ChqRankL,0),0)))))</f>
        <v/>
      </c>
      <c r="I202" t="str">
        <f>IF(186&gt;NChq,"",INDEX(ChqNorm,186))</f>
        <v/>
      </c>
      <c r="J202" t="str">
        <f t="shared" si="4"/>
        <v/>
      </c>
      <c r="K202" t="str">
        <f>IF($J202=0,"",INDEX(ChqKey,186))</f>
        <v/>
      </c>
      <c r="L202" t="str">
        <f t="shared" si="5"/>
        <v/>
      </c>
    </row>
    <row r="203" spans="1:12" x14ac:dyDescent="0.2">
      <c r="A203" s="3" t="str">
        <f>IF(IFERROR(MATCH(187,ChqRankL,0),0)=0,"",187)</f>
        <v/>
      </c>
      <c r="B203" s="13" t="str">
        <f>IF(IFERROR(MATCH(187,ChqRankL,0),0)=0,"",INDEX(ChqNorm,IFERROR(MATCH(187,ChqRankL,0),0)))</f>
        <v/>
      </c>
      <c r="C203" s="13" t="str">
        <f>IF(IFERROR(MATCH(187,ChqRankL,0),0)=0,"",INDEX(ChqNo,IFERROR(MATCH(187,ChqRankL,0),0)))</f>
        <v/>
      </c>
      <c r="D203" s="14" t="str">
        <f>IF(IFERROR(MATCH(187,ChqRankL,0),0)=0,"",IF(INDEX(ChqAmt,IFERROR(MATCH(187,ChqRankL,0),0))=0,"",INDEX(ChqAmt,IFERROR(MATCH(187,ChqRankL,0),0))))</f>
        <v/>
      </c>
      <c r="E203" s="7" t="str">
        <f>IF(IFERROR(MATCH(187,ChqRankL,0),0)=0,"",INDEX(ChqStatus,IFERROR(MATCH(187,ChqRankL,0),0)))</f>
        <v/>
      </c>
      <c r="F203" s="13" t="str">
        <f>IF(IFERROR(MATCH(187,ChqRankL,0),0)=0,"",IF(INDEX(ChqStatus,IFERROR(MATCH(187,ChqRankL,0),0))="پاس نشده","—",IF(INDEX(ChqClr,IFERROR(MATCH(187,ChqRankL,0),0))="","—",INDEX(ChqClr,IFERROR(MATCH(187,ChqRankL,0),0)))))</f>
        <v/>
      </c>
      <c r="I203" t="str">
        <f>IF(187&gt;NChq,"",INDEX(ChqNorm,187))</f>
        <v/>
      </c>
      <c r="J203" t="str">
        <f t="shared" si="4"/>
        <v/>
      </c>
      <c r="K203" t="str">
        <f>IF($J203=0,"",INDEX(ChqKey,187))</f>
        <v/>
      </c>
      <c r="L203" t="str">
        <f t="shared" si="5"/>
        <v/>
      </c>
    </row>
    <row r="204" spans="1:12" x14ac:dyDescent="0.2">
      <c r="A204" s="9" t="str">
        <f>IF(IFERROR(MATCH(188,ChqRankL,0),0)=0,"",188)</f>
        <v/>
      </c>
      <c r="B204" s="15" t="str">
        <f>IF(IFERROR(MATCH(188,ChqRankL,0),0)=0,"",INDEX(ChqNorm,IFERROR(MATCH(188,ChqRankL,0),0)))</f>
        <v/>
      </c>
      <c r="C204" s="15" t="str">
        <f>IF(IFERROR(MATCH(188,ChqRankL,0),0)=0,"",INDEX(ChqNo,IFERROR(MATCH(188,ChqRankL,0),0)))</f>
        <v/>
      </c>
      <c r="D204" s="16" t="str">
        <f>IF(IFERROR(MATCH(188,ChqRankL,0),0)=0,"",IF(INDEX(ChqAmt,IFERROR(MATCH(188,ChqRankL,0),0))=0,"",INDEX(ChqAmt,IFERROR(MATCH(188,ChqRankL,0),0))))</f>
        <v/>
      </c>
      <c r="E204" s="10" t="str">
        <f>IF(IFERROR(MATCH(188,ChqRankL,0),0)=0,"",INDEX(ChqStatus,IFERROR(MATCH(188,ChqRankL,0),0)))</f>
        <v/>
      </c>
      <c r="F204" s="15" t="str">
        <f>IF(IFERROR(MATCH(188,ChqRankL,0),0)=0,"",IF(INDEX(ChqStatus,IFERROR(MATCH(188,ChqRankL,0),0))="پاس نشده","—",IF(INDEX(ChqClr,IFERROR(MATCH(188,ChqRankL,0),0))="","—",INDEX(ChqClr,IFERROR(MATCH(188,ChqRankL,0),0)))))</f>
        <v/>
      </c>
      <c r="I204" t="str">
        <f>IF(188&gt;NChq,"",INDEX(ChqNorm,188))</f>
        <v/>
      </c>
      <c r="J204" t="str">
        <f t="shared" si="4"/>
        <v/>
      </c>
      <c r="K204" t="str">
        <f>IF($J204=0,"",INDEX(ChqKey,188))</f>
        <v/>
      </c>
      <c r="L204" t="str">
        <f t="shared" si="5"/>
        <v/>
      </c>
    </row>
    <row r="205" spans="1:12" x14ac:dyDescent="0.2">
      <c r="A205" s="3" t="str">
        <f>IF(IFERROR(MATCH(189,ChqRankL,0),0)=0,"",189)</f>
        <v/>
      </c>
      <c r="B205" s="13" t="str">
        <f>IF(IFERROR(MATCH(189,ChqRankL,0),0)=0,"",INDEX(ChqNorm,IFERROR(MATCH(189,ChqRankL,0),0)))</f>
        <v/>
      </c>
      <c r="C205" s="13" t="str">
        <f>IF(IFERROR(MATCH(189,ChqRankL,0),0)=0,"",INDEX(ChqNo,IFERROR(MATCH(189,ChqRankL,0),0)))</f>
        <v/>
      </c>
      <c r="D205" s="14" t="str">
        <f>IF(IFERROR(MATCH(189,ChqRankL,0),0)=0,"",IF(INDEX(ChqAmt,IFERROR(MATCH(189,ChqRankL,0),0))=0,"",INDEX(ChqAmt,IFERROR(MATCH(189,ChqRankL,0),0))))</f>
        <v/>
      </c>
      <c r="E205" s="7" t="str">
        <f>IF(IFERROR(MATCH(189,ChqRankL,0),0)=0,"",INDEX(ChqStatus,IFERROR(MATCH(189,ChqRankL,0),0)))</f>
        <v/>
      </c>
      <c r="F205" s="13" t="str">
        <f>IF(IFERROR(MATCH(189,ChqRankL,0),0)=0,"",IF(INDEX(ChqStatus,IFERROR(MATCH(189,ChqRankL,0),0))="پاس نشده","—",IF(INDEX(ChqClr,IFERROR(MATCH(189,ChqRankL,0),0))="","—",INDEX(ChqClr,IFERROR(MATCH(189,ChqRankL,0),0)))))</f>
        <v/>
      </c>
      <c r="I205" t="str">
        <f>IF(189&gt;NChq,"",INDEX(ChqNorm,189))</f>
        <v/>
      </c>
      <c r="J205" t="str">
        <f t="shared" si="4"/>
        <v/>
      </c>
      <c r="K205" t="str">
        <f>IF($J205=0,"",INDEX(ChqKey,189))</f>
        <v/>
      </c>
      <c r="L205" t="str">
        <f t="shared" si="5"/>
        <v/>
      </c>
    </row>
    <row r="206" spans="1:12" x14ac:dyDescent="0.2">
      <c r="A206" s="9" t="str">
        <f>IF(IFERROR(MATCH(190,ChqRankL,0),0)=0,"",190)</f>
        <v/>
      </c>
      <c r="B206" s="15" t="str">
        <f>IF(IFERROR(MATCH(190,ChqRankL,0),0)=0,"",INDEX(ChqNorm,IFERROR(MATCH(190,ChqRankL,0),0)))</f>
        <v/>
      </c>
      <c r="C206" s="15" t="str">
        <f>IF(IFERROR(MATCH(190,ChqRankL,0),0)=0,"",INDEX(ChqNo,IFERROR(MATCH(190,ChqRankL,0),0)))</f>
        <v/>
      </c>
      <c r="D206" s="16" t="str">
        <f>IF(IFERROR(MATCH(190,ChqRankL,0),0)=0,"",IF(INDEX(ChqAmt,IFERROR(MATCH(190,ChqRankL,0),0))=0,"",INDEX(ChqAmt,IFERROR(MATCH(190,ChqRankL,0),0))))</f>
        <v/>
      </c>
      <c r="E206" s="10" t="str">
        <f>IF(IFERROR(MATCH(190,ChqRankL,0),0)=0,"",INDEX(ChqStatus,IFERROR(MATCH(190,ChqRankL,0),0)))</f>
        <v/>
      </c>
      <c r="F206" s="15" t="str">
        <f>IF(IFERROR(MATCH(190,ChqRankL,0),0)=0,"",IF(INDEX(ChqStatus,IFERROR(MATCH(190,ChqRankL,0),0))="پاس نشده","—",IF(INDEX(ChqClr,IFERROR(MATCH(190,ChqRankL,0),0))="","—",INDEX(ChqClr,IFERROR(MATCH(190,ChqRankL,0),0)))))</f>
        <v/>
      </c>
      <c r="I206" t="str">
        <f>IF(190&gt;NChq,"",INDEX(ChqNorm,190))</f>
        <v/>
      </c>
      <c r="J206" t="str">
        <f t="shared" si="4"/>
        <v/>
      </c>
      <c r="K206" t="str">
        <f>IF($J206=0,"",INDEX(ChqKey,190))</f>
        <v/>
      </c>
      <c r="L206" t="str">
        <f t="shared" si="5"/>
        <v/>
      </c>
    </row>
    <row r="207" spans="1:12" x14ac:dyDescent="0.2">
      <c r="A207" s="3" t="str">
        <f>IF(IFERROR(MATCH(191,ChqRankL,0),0)=0,"",191)</f>
        <v/>
      </c>
      <c r="B207" s="13" t="str">
        <f>IF(IFERROR(MATCH(191,ChqRankL,0),0)=0,"",INDEX(ChqNorm,IFERROR(MATCH(191,ChqRankL,0),0)))</f>
        <v/>
      </c>
      <c r="C207" s="13" t="str">
        <f>IF(IFERROR(MATCH(191,ChqRankL,0),0)=0,"",INDEX(ChqNo,IFERROR(MATCH(191,ChqRankL,0),0)))</f>
        <v/>
      </c>
      <c r="D207" s="14" t="str">
        <f>IF(IFERROR(MATCH(191,ChqRankL,0),0)=0,"",IF(INDEX(ChqAmt,IFERROR(MATCH(191,ChqRankL,0),0))=0,"",INDEX(ChqAmt,IFERROR(MATCH(191,ChqRankL,0),0))))</f>
        <v/>
      </c>
      <c r="E207" s="7" t="str">
        <f>IF(IFERROR(MATCH(191,ChqRankL,0),0)=0,"",INDEX(ChqStatus,IFERROR(MATCH(191,ChqRankL,0),0)))</f>
        <v/>
      </c>
      <c r="F207" s="13" t="str">
        <f>IF(IFERROR(MATCH(191,ChqRankL,0),0)=0,"",IF(INDEX(ChqStatus,IFERROR(MATCH(191,ChqRankL,0),0))="پاس نشده","—",IF(INDEX(ChqClr,IFERROR(MATCH(191,ChqRankL,0),0))="","—",INDEX(ChqClr,IFERROR(MATCH(191,ChqRankL,0),0)))))</f>
        <v/>
      </c>
      <c r="I207" t="str">
        <f>IF(191&gt;NChq,"",INDEX(ChqNorm,191))</f>
        <v/>
      </c>
      <c r="J207" t="str">
        <f t="shared" si="4"/>
        <v/>
      </c>
      <c r="K207" t="str">
        <f>IF($J207=0,"",INDEX(ChqKey,191))</f>
        <v/>
      </c>
      <c r="L207" t="str">
        <f t="shared" si="5"/>
        <v/>
      </c>
    </row>
    <row r="208" spans="1:12" x14ac:dyDescent="0.2">
      <c r="A208" s="9" t="str">
        <f>IF(IFERROR(MATCH(192,ChqRankL,0),0)=0,"",192)</f>
        <v/>
      </c>
      <c r="B208" s="15" t="str">
        <f>IF(IFERROR(MATCH(192,ChqRankL,0),0)=0,"",INDEX(ChqNorm,IFERROR(MATCH(192,ChqRankL,0),0)))</f>
        <v/>
      </c>
      <c r="C208" s="15" t="str">
        <f>IF(IFERROR(MATCH(192,ChqRankL,0),0)=0,"",INDEX(ChqNo,IFERROR(MATCH(192,ChqRankL,0),0)))</f>
        <v/>
      </c>
      <c r="D208" s="16" t="str">
        <f>IF(IFERROR(MATCH(192,ChqRankL,0),0)=0,"",IF(INDEX(ChqAmt,IFERROR(MATCH(192,ChqRankL,0),0))=0,"",INDEX(ChqAmt,IFERROR(MATCH(192,ChqRankL,0),0))))</f>
        <v/>
      </c>
      <c r="E208" s="10" t="str">
        <f>IF(IFERROR(MATCH(192,ChqRankL,0),0)=0,"",INDEX(ChqStatus,IFERROR(MATCH(192,ChqRankL,0),0)))</f>
        <v/>
      </c>
      <c r="F208" s="15" t="str">
        <f>IF(IFERROR(MATCH(192,ChqRankL,0),0)=0,"",IF(INDEX(ChqStatus,IFERROR(MATCH(192,ChqRankL,0),0))="پاس نشده","—",IF(INDEX(ChqClr,IFERROR(MATCH(192,ChqRankL,0),0))="","—",INDEX(ChqClr,IFERROR(MATCH(192,ChqRankL,0),0)))))</f>
        <v/>
      </c>
      <c r="I208" t="str">
        <f>IF(192&gt;NChq,"",INDEX(ChqNorm,192))</f>
        <v/>
      </c>
      <c r="J208" t="str">
        <f t="shared" si="4"/>
        <v/>
      </c>
      <c r="K208" t="str">
        <f>IF($J208=0,"",INDEX(ChqKey,192))</f>
        <v/>
      </c>
      <c r="L208" t="str">
        <f t="shared" si="5"/>
        <v/>
      </c>
    </row>
    <row r="209" spans="1:12" x14ac:dyDescent="0.2">
      <c r="A209" s="3" t="str">
        <f>IF(IFERROR(MATCH(193,ChqRankL,0),0)=0,"",193)</f>
        <v/>
      </c>
      <c r="B209" s="13" t="str">
        <f>IF(IFERROR(MATCH(193,ChqRankL,0),0)=0,"",INDEX(ChqNorm,IFERROR(MATCH(193,ChqRankL,0),0)))</f>
        <v/>
      </c>
      <c r="C209" s="13" t="str">
        <f>IF(IFERROR(MATCH(193,ChqRankL,0),0)=0,"",INDEX(ChqNo,IFERROR(MATCH(193,ChqRankL,0),0)))</f>
        <v/>
      </c>
      <c r="D209" s="14" t="str">
        <f>IF(IFERROR(MATCH(193,ChqRankL,0),0)=0,"",IF(INDEX(ChqAmt,IFERROR(MATCH(193,ChqRankL,0),0))=0,"",INDEX(ChqAmt,IFERROR(MATCH(193,ChqRankL,0),0))))</f>
        <v/>
      </c>
      <c r="E209" s="7" t="str">
        <f>IF(IFERROR(MATCH(193,ChqRankL,0),0)=0,"",INDEX(ChqStatus,IFERROR(MATCH(193,ChqRankL,0),0)))</f>
        <v/>
      </c>
      <c r="F209" s="13" t="str">
        <f>IF(IFERROR(MATCH(193,ChqRankL,0),0)=0,"",IF(INDEX(ChqStatus,IFERROR(MATCH(193,ChqRankL,0),0))="پاس نشده","—",IF(INDEX(ChqClr,IFERROR(MATCH(193,ChqRankL,0),0))="","—",INDEX(ChqClr,IFERROR(MATCH(193,ChqRankL,0),0)))))</f>
        <v/>
      </c>
      <c r="I209" t="str">
        <f>IF(193&gt;NChq,"",INDEX(ChqNorm,193))</f>
        <v/>
      </c>
      <c r="J209" t="str">
        <f t="shared" ref="J209:J272" si="6">IF($I209="","",IF(AND($I209&gt;=$H$3,$I209&lt;=$H$4),1,0))</f>
        <v/>
      </c>
      <c r="K209" t="str">
        <f>IF($J209=0,"",INDEX(ChqKey,193))</f>
        <v/>
      </c>
      <c r="L209" t="str">
        <f t="shared" ref="L209:L272" si="7">IF($K209="","",COUNTIFS($J$17:$J$516,1,$K$17:$K$516,"&lt;"&amp;$K209)+1)</f>
        <v/>
      </c>
    </row>
    <row r="210" spans="1:12" x14ac:dyDescent="0.2">
      <c r="A210" s="9" t="str">
        <f>IF(IFERROR(MATCH(194,ChqRankL,0),0)=0,"",194)</f>
        <v/>
      </c>
      <c r="B210" s="15" t="str">
        <f>IF(IFERROR(MATCH(194,ChqRankL,0),0)=0,"",INDEX(ChqNorm,IFERROR(MATCH(194,ChqRankL,0),0)))</f>
        <v/>
      </c>
      <c r="C210" s="15" t="str">
        <f>IF(IFERROR(MATCH(194,ChqRankL,0),0)=0,"",INDEX(ChqNo,IFERROR(MATCH(194,ChqRankL,0),0)))</f>
        <v/>
      </c>
      <c r="D210" s="16" t="str">
        <f>IF(IFERROR(MATCH(194,ChqRankL,0),0)=0,"",IF(INDEX(ChqAmt,IFERROR(MATCH(194,ChqRankL,0),0))=0,"",INDEX(ChqAmt,IFERROR(MATCH(194,ChqRankL,0),0))))</f>
        <v/>
      </c>
      <c r="E210" s="10" t="str">
        <f>IF(IFERROR(MATCH(194,ChqRankL,0),0)=0,"",INDEX(ChqStatus,IFERROR(MATCH(194,ChqRankL,0),0)))</f>
        <v/>
      </c>
      <c r="F210" s="15" t="str">
        <f>IF(IFERROR(MATCH(194,ChqRankL,0),0)=0,"",IF(INDEX(ChqStatus,IFERROR(MATCH(194,ChqRankL,0),0))="پاس نشده","—",IF(INDEX(ChqClr,IFERROR(MATCH(194,ChqRankL,0),0))="","—",INDEX(ChqClr,IFERROR(MATCH(194,ChqRankL,0),0)))))</f>
        <v/>
      </c>
      <c r="I210" t="str">
        <f>IF(194&gt;NChq,"",INDEX(ChqNorm,194))</f>
        <v/>
      </c>
      <c r="J210" t="str">
        <f t="shared" si="6"/>
        <v/>
      </c>
      <c r="K210" t="str">
        <f>IF($J210=0,"",INDEX(ChqKey,194))</f>
        <v/>
      </c>
      <c r="L210" t="str">
        <f t="shared" si="7"/>
        <v/>
      </c>
    </row>
    <row r="211" spans="1:12" x14ac:dyDescent="0.2">
      <c r="A211" s="3" t="str">
        <f>IF(IFERROR(MATCH(195,ChqRankL,0),0)=0,"",195)</f>
        <v/>
      </c>
      <c r="B211" s="13" t="str">
        <f>IF(IFERROR(MATCH(195,ChqRankL,0),0)=0,"",INDEX(ChqNorm,IFERROR(MATCH(195,ChqRankL,0),0)))</f>
        <v/>
      </c>
      <c r="C211" s="13" t="str">
        <f>IF(IFERROR(MATCH(195,ChqRankL,0),0)=0,"",INDEX(ChqNo,IFERROR(MATCH(195,ChqRankL,0),0)))</f>
        <v/>
      </c>
      <c r="D211" s="14" t="str">
        <f>IF(IFERROR(MATCH(195,ChqRankL,0),0)=0,"",IF(INDEX(ChqAmt,IFERROR(MATCH(195,ChqRankL,0),0))=0,"",INDEX(ChqAmt,IFERROR(MATCH(195,ChqRankL,0),0))))</f>
        <v/>
      </c>
      <c r="E211" s="7" t="str">
        <f>IF(IFERROR(MATCH(195,ChqRankL,0),0)=0,"",INDEX(ChqStatus,IFERROR(MATCH(195,ChqRankL,0),0)))</f>
        <v/>
      </c>
      <c r="F211" s="13" t="str">
        <f>IF(IFERROR(MATCH(195,ChqRankL,0),0)=0,"",IF(INDEX(ChqStatus,IFERROR(MATCH(195,ChqRankL,0),0))="پاس نشده","—",IF(INDEX(ChqClr,IFERROR(MATCH(195,ChqRankL,0),0))="","—",INDEX(ChqClr,IFERROR(MATCH(195,ChqRankL,0),0)))))</f>
        <v/>
      </c>
      <c r="I211" t="str">
        <f>IF(195&gt;NChq,"",INDEX(ChqNorm,195))</f>
        <v/>
      </c>
      <c r="J211" t="str">
        <f t="shared" si="6"/>
        <v/>
      </c>
      <c r="K211" t="str">
        <f>IF($J211=0,"",INDEX(ChqKey,195))</f>
        <v/>
      </c>
      <c r="L211" t="str">
        <f t="shared" si="7"/>
        <v/>
      </c>
    </row>
    <row r="212" spans="1:12" x14ac:dyDescent="0.2">
      <c r="A212" s="9" t="str">
        <f>IF(IFERROR(MATCH(196,ChqRankL,0),0)=0,"",196)</f>
        <v/>
      </c>
      <c r="B212" s="15" t="str">
        <f>IF(IFERROR(MATCH(196,ChqRankL,0),0)=0,"",INDEX(ChqNorm,IFERROR(MATCH(196,ChqRankL,0),0)))</f>
        <v/>
      </c>
      <c r="C212" s="15" t="str">
        <f>IF(IFERROR(MATCH(196,ChqRankL,0),0)=0,"",INDEX(ChqNo,IFERROR(MATCH(196,ChqRankL,0),0)))</f>
        <v/>
      </c>
      <c r="D212" s="16" t="str">
        <f>IF(IFERROR(MATCH(196,ChqRankL,0),0)=0,"",IF(INDEX(ChqAmt,IFERROR(MATCH(196,ChqRankL,0),0))=0,"",INDEX(ChqAmt,IFERROR(MATCH(196,ChqRankL,0),0))))</f>
        <v/>
      </c>
      <c r="E212" s="10" t="str">
        <f>IF(IFERROR(MATCH(196,ChqRankL,0),0)=0,"",INDEX(ChqStatus,IFERROR(MATCH(196,ChqRankL,0),0)))</f>
        <v/>
      </c>
      <c r="F212" s="15" t="str">
        <f>IF(IFERROR(MATCH(196,ChqRankL,0),0)=0,"",IF(INDEX(ChqStatus,IFERROR(MATCH(196,ChqRankL,0),0))="پاس نشده","—",IF(INDEX(ChqClr,IFERROR(MATCH(196,ChqRankL,0),0))="","—",INDEX(ChqClr,IFERROR(MATCH(196,ChqRankL,0),0)))))</f>
        <v/>
      </c>
      <c r="I212" t="str">
        <f>IF(196&gt;NChq,"",INDEX(ChqNorm,196))</f>
        <v/>
      </c>
      <c r="J212" t="str">
        <f t="shared" si="6"/>
        <v/>
      </c>
      <c r="K212" t="str">
        <f>IF($J212=0,"",INDEX(ChqKey,196))</f>
        <v/>
      </c>
      <c r="L212" t="str">
        <f t="shared" si="7"/>
        <v/>
      </c>
    </row>
    <row r="213" spans="1:12" x14ac:dyDescent="0.2">
      <c r="A213" s="3" t="str">
        <f>IF(IFERROR(MATCH(197,ChqRankL,0),0)=0,"",197)</f>
        <v/>
      </c>
      <c r="B213" s="13" t="str">
        <f>IF(IFERROR(MATCH(197,ChqRankL,0),0)=0,"",INDEX(ChqNorm,IFERROR(MATCH(197,ChqRankL,0),0)))</f>
        <v/>
      </c>
      <c r="C213" s="13" t="str">
        <f>IF(IFERROR(MATCH(197,ChqRankL,0),0)=0,"",INDEX(ChqNo,IFERROR(MATCH(197,ChqRankL,0),0)))</f>
        <v/>
      </c>
      <c r="D213" s="14" t="str">
        <f>IF(IFERROR(MATCH(197,ChqRankL,0),0)=0,"",IF(INDEX(ChqAmt,IFERROR(MATCH(197,ChqRankL,0),0))=0,"",INDEX(ChqAmt,IFERROR(MATCH(197,ChqRankL,0),0))))</f>
        <v/>
      </c>
      <c r="E213" s="7" t="str">
        <f>IF(IFERROR(MATCH(197,ChqRankL,0),0)=0,"",INDEX(ChqStatus,IFERROR(MATCH(197,ChqRankL,0),0)))</f>
        <v/>
      </c>
      <c r="F213" s="13" t="str">
        <f>IF(IFERROR(MATCH(197,ChqRankL,0),0)=0,"",IF(INDEX(ChqStatus,IFERROR(MATCH(197,ChqRankL,0),0))="پاس نشده","—",IF(INDEX(ChqClr,IFERROR(MATCH(197,ChqRankL,0),0))="","—",INDEX(ChqClr,IFERROR(MATCH(197,ChqRankL,0),0)))))</f>
        <v/>
      </c>
      <c r="I213" t="str">
        <f>IF(197&gt;NChq,"",INDEX(ChqNorm,197))</f>
        <v/>
      </c>
      <c r="J213" t="str">
        <f t="shared" si="6"/>
        <v/>
      </c>
      <c r="K213" t="str">
        <f>IF($J213=0,"",INDEX(ChqKey,197))</f>
        <v/>
      </c>
      <c r="L213" t="str">
        <f t="shared" si="7"/>
        <v/>
      </c>
    </row>
    <row r="214" spans="1:12" x14ac:dyDescent="0.2">
      <c r="A214" s="9" t="str">
        <f>IF(IFERROR(MATCH(198,ChqRankL,0),0)=0,"",198)</f>
        <v/>
      </c>
      <c r="B214" s="15" t="str">
        <f>IF(IFERROR(MATCH(198,ChqRankL,0),0)=0,"",INDEX(ChqNorm,IFERROR(MATCH(198,ChqRankL,0),0)))</f>
        <v/>
      </c>
      <c r="C214" s="15" t="str">
        <f>IF(IFERROR(MATCH(198,ChqRankL,0),0)=0,"",INDEX(ChqNo,IFERROR(MATCH(198,ChqRankL,0),0)))</f>
        <v/>
      </c>
      <c r="D214" s="16" t="str">
        <f>IF(IFERROR(MATCH(198,ChqRankL,0),0)=0,"",IF(INDEX(ChqAmt,IFERROR(MATCH(198,ChqRankL,0),0))=0,"",INDEX(ChqAmt,IFERROR(MATCH(198,ChqRankL,0),0))))</f>
        <v/>
      </c>
      <c r="E214" s="10" t="str">
        <f>IF(IFERROR(MATCH(198,ChqRankL,0),0)=0,"",INDEX(ChqStatus,IFERROR(MATCH(198,ChqRankL,0),0)))</f>
        <v/>
      </c>
      <c r="F214" s="15" t="str">
        <f>IF(IFERROR(MATCH(198,ChqRankL,0),0)=0,"",IF(INDEX(ChqStatus,IFERROR(MATCH(198,ChqRankL,0),0))="پاس نشده","—",IF(INDEX(ChqClr,IFERROR(MATCH(198,ChqRankL,0),0))="","—",INDEX(ChqClr,IFERROR(MATCH(198,ChqRankL,0),0)))))</f>
        <v/>
      </c>
      <c r="I214" t="str">
        <f>IF(198&gt;NChq,"",INDEX(ChqNorm,198))</f>
        <v/>
      </c>
      <c r="J214" t="str">
        <f t="shared" si="6"/>
        <v/>
      </c>
      <c r="K214" t="str">
        <f>IF($J214=0,"",INDEX(ChqKey,198))</f>
        <v/>
      </c>
      <c r="L214" t="str">
        <f t="shared" si="7"/>
        <v/>
      </c>
    </row>
    <row r="215" spans="1:12" x14ac:dyDescent="0.2">
      <c r="A215" s="3" t="str">
        <f>IF(IFERROR(MATCH(199,ChqRankL,0),0)=0,"",199)</f>
        <v/>
      </c>
      <c r="B215" s="13" t="str">
        <f>IF(IFERROR(MATCH(199,ChqRankL,0),0)=0,"",INDEX(ChqNorm,IFERROR(MATCH(199,ChqRankL,0),0)))</f>
        <v/>
      </c>
      <c r="C215" s="13" t="str">
        <f>IF(IFERROR(MATCH(199,ChqRankL,0),0)=0,"",INDEX(ChqNo,IFERROR(MATCH(199,ChqRankL,0),0)))</f>
        <v/>
      </c>
      <c r="D215" s="14" t="str">
        <f>IF(IFERROR(MATCH(199,ChqRankL,0),0)=0,"",IF(INDEX(ChqAmt,IFERROR(MATCH(199,ChqRankL,0),0))=0,"",INDEX(ChqAmt,IFERROR(MATCH(199,ChqRankL,0),0))))</f>
        <v/>
      </c>
      <c r="E215" s="7" t="str">
        <f>IF(IFERROR(MATCH(199,ChqRankL,0),0)=0,"",INDEX(ChqStatus,IFERROR(MATCH(199,ChqRankL,0),0)))</f>
        <v/>
      </c>
      <c r="F215" s="13" t="str">
        <f>IF(IFERROR(MATCH(199,ChqRankL,0),0)=0,"",IF(INDEX(ChqStatus,IFERROR(MATCH(199,ChqRankL,0),0))="پاس نشده","—",IF(INDEX(ChqClr,IFERROR(MATCH(199,ChqRankL,0),0))="","—",INDEX(ChqClr,IFERROR(MATCH(199,ChqRankL,0),0)))))</f>
        <v/>
      </c>
      <c r="I215" t="str">
        <f>IF(199&gt;NChq,"",INDEX(ChqNorm,199))</f>
        <v/>
      </c>
      <c r="J215" t="str">
        <f t="shared" si="6"/>
        <v/>
      </c>
      <c r="K215" t="str">
        <f>IF($J215=0,"",INDEX(ChqKey,199))</f>
        <v/>
      </c>
      <c r="L215" t="str">
        <f t="shared" si="7"/>
        <v/>
      </c>
    </row>
    <row r="216" spans="1:12" x14ac:dyDescent="0.2">
      <c r="A216" s="9" t="str">
        <f>IF(IFERROR(MATCH(200,ChqRankL,0),0)=0,"",200)</f>
        <v/>
      </c>
      <c r="B216" s="15" t="str">
        <f>IF(IFERROR(MATCH(200,ChqRankL,0),0)=0,"",INDEX(ChqNorm,IFERROR(MATCH(200,ChqRankL,0),0)))</f>
        <v/>
      </c>
      <c r="C216" s="15" t="str">
        <f>IF(IFERROR(MATCH(200,ChqRankL,0),0)=0,"",INDEX(ChqNo,IFERROR(MATCH(200,ChqRankL,0),0)))</f>
        <v/>
      </c>
      <c r="D216" s="16" t="str">
        <f>IF(IFERROR(MATCH(200,ChqRankL,0),0)=0,"",IF(INDEX(ChqAmt,IFERROR(MATCH(200,ChqRankL,0),0))=0,"",INDEX(ChqAmt,IFERROR(MATCH(200,ChqRankL,0),0))))</f>
        <v/>
      </c>
      <c r="E216" s="10" t="str">
        <f>IF(IFERROR(MATCH(200,ChqRankL,0),0)=0,"",INDEX(ChqStatus,IFERROR(MATCH(200,ChqRankL,0),0)))</f>
        <v/>
      </c>
      <c r="F216" s="15" t="str">
        <f>IF(IFERROR(MATCH(200,ChqRankL,0),0)=0,"",IF(INDEX(ChqStatus,IFERROR(MATCH(200,ChqRankL,0),0))="پاس نشده","—",IF(INDEX(ChqClr,IFERROR(MATCH(200,ChqRankL,0),0))="","—",INDEX(ChqClr,IFERROR(MATCH(200,ChqRankL,0),0)))))</f>
        <v/>
      </c>
      <c r="I216" t="str">
        <f>IF(200&gt;NChq,"",INDEX(ChqNorm,200))</f>
        <v/>
      </c>
      <c r="J216" t="str">
        <f t="shared" si="6"/>
        <v/>
      </c>
      <c r="K216" t="str">
        <f>IF($J216=0,"",INDEX(ChqKey,200))</f>
        <v/>
      </c>
      <c r="L216" t="str">
        <f t="shared" si="7"/>
        <v/>
      </c>
    </row>
    <row r="217" spans="1:12" x14ac:dyDescent="0.2">
      <c r="A217" s="3" t="str">
        <f>IF(IFERROR(MATCH(201,ChqRankL,0),0)=0,"",201)</f>
        <v/>
      </c>
      <c r="B217" s="13" t="str">
        <f>IF(IFERROR(MATCH(201,ChqRankL,0),0)=0,"",INDEX(ChqNorm,IFERROR(MATCH(201,ChqRankL,0),0)))</f>
        <v/>
      </c>
      <c r="C217" s="13" t="str">
        <f>IF(IFERROR(MATCH(201,ChqRankL,0),0)=0,"",INDEX(ChqNo,IFERROR(MATCH(201,ChqRankL,0),0)))</f>
        <v/>
      </c>
      <c r="D217" s="14" t="str">
        <f>IF(IFERROR(MATCH(201,ChqRankL,0),0)=0,"",IF(INDEX(ChqAmt,IFERROR(MATCH(201,ChqRankL,0),0))=0,"",INDEX(ChqAmt,IFERROR(MATCH(201,ChqRankL,0),0))))</f>
        <v/>
      </c>
      <c r="E217" s="7" t="str">
        <f>IF(IFERROR(MATCH(201,ChqRankL,0),0)=0,"",INDEX(ChqStatus,IFERROR(MATCH(201,ChqRankL,0),0)))</f>
        <v/>
      </c>
      <c r="F217" s="13" t="str">
        <f>IF(IFERROR(MATCH(201,ChqRankL,0),0)=0,"",IF(INDEX(ChqStatus,IFERROR(MATCH(201,ChqRankL,0),0))="پاس نشده","—",IF(INDEX(ChqClr,IFERROR(MATCH(201,ChqRankL,0),0))="","—",INDEX(ChqClr,IFERROR(MATCH(201,ChqRankL,0),0)))))</f>
        <v/>
      </c>
      <c r="I217" t="str">
        <f>IF(201&gt;NChq,"",INDEX(ChqNorm,201))</f>
        <v/>
      </c>
      <c r="J217" t="str">
        <f t="shared" si="6"/>
        <v/>
      </c>
      <c r="K217" t="str">
        <f>IF($J217=0,"",INDEX(ChqKey,201))</f>
        <v/>
      </c>
      <c r="L217" t="str">
        <f t="shared" si="7"/>
        <v/>
      </c>
    </row>
    <row r="218" spans="1:12" x14ac:dyDescent="0.2">
      <c r="A218" s="9" t="str">
        <f>IF(IFERROR(MATCH(202,ChqRankL,0),0)=0,"",202)</f>
        <v/>
      </c>
      <c r="B218" s="15" t="str">
        <f>IF(IFERROR(MATCH(202,ChqRankL,0),0)=0,"",INDEX(ChqNorm,IFERROR(MATCH(202,ChqRankL,0),0)))</f>
        <v/>
      </c>
      <c r="C218" s="15" t="str">
        <f>IF(IFERROR(MATCH(202,ChqRankL,0),0)=0,"",INDEX(ChqNo,IFERROR(MATCH(202,ChqRankL,0),0)))</f>
        <v/>
      </c>
      <c r="D218" s="16" t="str">
        <f>IF(IFERROR(MATCH(202,ChqRankL,0),0)=0,"",IF(INDEX(ChqAmt,IFERROR(MATCH(202,ChqRankL,0),0))=0,"",INDEX(ChqAmt,IFERROR(MATCH(202,ChqRankL,0),0))))</f>
        <v/>
      </c>
      <c r="E218" s="10" t="str">
        <f>IF(IFERROR(MATCH(202,ChqRankL,0),0)=0,"",INDEX(ChqStatus,IFERROR(MATCH(202,ChqRankL,0),0)))</f>
        <v/>
      </c>
      <c r="F218" s="15" t="str">
        <f>IF(IFERROR(MATCH(202,ChqRankL,0),0)=0,"",IF(INDEX(ChqStatus,IFERROR(MATCH(202,ChqRankL,0),0))="پاس نشده","—",IF(INDEX(ChqClr,IFERROR(MATCH(202,ChqRankL,0),0))="","—",INDEX(ChqClr,IFERROR(MATCH(202,ChqRankL,0),0)))))</f>
        <v/>
      </c>
      <c r="I218" t="str">
        <f>IF(202&gt;NChq,"",INDEX(ChqNorm,202))</f>
        <v/>
      </c>
      <c r="J218" t="str">
        <f t="shared" si="6"/>
        <v/>
      </c>
      <c r="K218" t="str">
        <f>IF($J218=0,"",INDEX(ChqKey,202))</f>
        <v/>
      </c>
      <c r="L218" t="str">
        <f t="shared" si="7"/>
        <v/>
      </c>
    </row>
    <row r="219" spans="1:12" x14ac:dyDescent="0.2">
      <c r="A219" s="3" t="str">
        <f>IF(IFERROR(MATCH(203,ChqRankL,0),0)=0,"",203)</f>
        <v/>
      </c>
      <c r="B219" s="13" t="str">
        <f>IF(IFERROR(MATCH(203,ChqRankL,0),0)=0,"",INDEX(ChqNorm,IFERROR(MATCH(203,ChqRankL,0),0)))</f>
        <v/>
      </c>
      <c r="C219" s="13" t="str">
        <f>IF(IFERROR(MATCH(203,ChqRankL,0),0)=0,"",INDEX(ChqNo,IFERROR(MATCH(203,ChqRankL,0),0)))</f>
        <v/>
      </c>
      <c r="D219" s="14" t="str">
        <f>IF(IFERROR(MATCH(203,ChqRankL,0),0)=0,"",IF(INDEX(ChqAmt,IFERROR(MATCH(203,ChqRankL,0),0))=0,"",INDEX(ChqAmt,IFERROR(MATCH(203,ChqRankL,0),0))))</f>
        <v/>
      </c>
      <c r="E219" s="7" t="str">
        <f>IF(IFERROR(MATCH(203,ChqRankL,0),0)=0,"",INDEX(ChqStatus,IFERROR(MATCH(203,ChqRankL,0),0)))</f>
        <v/>
      </c>
      <c r="F219" s="13" t="str">
        <f>IF(IFERROR(MATCH(203,ChqRankL,0),0)=0,"",IF(INDEX(ChqStatus,IFERROR(MATCH(203,ChqRankL,0),0))="پاس نشده","—",IF(INDEX(ChqClr,IFERROR(MATCH(203,ChqRankL,0),0))="","—",INDEX(ChqClr,IFERROR(MATCH(203,ChqRankL,0),0)))))</f>
        <v/>
      </c>
      <c r="I219" t="str">
        <f>IF(203&gt;NChq,"",INDEX(ChqNorm,203))</f>
        <v/>
      </c>
      <c r="J219" t="str">
        <f t="shared" si="6"/>
        <v/>
      </c>
      <c r="K219" t="str">
        <f>IF($J219=0,"",INDEX(ChqKey,203))</f>
        <v/>
      </c>
      <c r="L219" t="str">
        <f t="shared" si="7"/>
        <v/>
      </c>
    </row>
    <row r="220" spans="1:12" x14ac:dyDescent="0.2">
      <c r="A220" s="9" t="str">
        <f>IF(IFERROR(MATCH(204,ChqRankL,0),0)=0,"",204)</f>
        <v/>
      </c>
      <c r="B220" s="15" t="str">
        <f>IF(IFERROR(MATCH(204,ChqRankL,0),0)=0,"",INDEX(ChqNorm,IFERROR(MATCH(204,ChqRankL,0),0)))</f>
        <v/>
      </c>
      <c r="C220" s="15" t="str">
        <f>IF(IFERROR(MATCH(204,ChqRankL,0),0)=0,"",INDEX(ChqNo,IFERROR(MATCH(204,ChqRankL,0),0)))</f>
        <v/>
      </c>
      <c r="D220" s="16" t="str">
        <f>IF(IFERROR(MATCH(204,ChqRankL,0),0)=0,"",IF(INDEX(ChqAmt,IFERROR(MATCH(204,ChqRankL,0),0))=0,"",INDEX(ChqAmt,IFERROR(MATCH(204,ChqRankL,0),0))))</f>
        <v/>
      </c>
      <c r="E220" s="10" t="str">
        <f>IF(IFERROR(MATCH(204,ChqRankL,0),0)=0,"",INDEX(ChqStatus,IFERROR(MATCH(204,ChqRankL,0),0)))</f>
        <v/>
      </c>
      <c r="F220" s="15" t="str">
        <f>IF(IFERROR(MATCH(204,ChqRankL,0),0)=0,"",IF(INDEX(ChqStatus,IFERROR(MATCH(204,ChqRankL,0),0))="پاس نشده","—",IF(INDEX(ChqClr,IFERROR(MATCH(204,ChqRankL,0),0))="","—",INDEX(ChqClr,IFERROR(MATCH(204,ChqRankL,0),0)))))</f>
        <v/>
      </c>
      <c r="I220" t="str">
        <f>IF(204&gt;NChq,"",INDEX(ChqNorm,204))</f>
        <v/>
      </c>
      <c r="J220" t="str">
        <f t="shared" si="6"/>
        <v/>
      </c>
      <c r="K220" t="str">
        <f>IF($J220=0,"",INDEX(ChqKey,204))</f>
        <v/>
      </c>
      <c r="L220" t="str">
        <f t="shared" si="7"/>
        <v/>
      </c>
    </row>
    <row r="221" spans="1:12" x14ac:dyDescent="0.2">
      <c r="A221" s="3" t="str">
        <f>IF(IFERROR(MATCH(205,ChqRankL,0),0)=0,"",205)</f>
        <v/>
      </c>
      <c r="B221" s="13" t="str">
        <f>IF(IFERROR(MATCH(205,ChqRankL,0),0)=0,"",INDEX(ChqNorm,IFERROR(MATCH(205,ChqRankL,0),0)))</f>
        <v/>
      </c>
      <c r="C221" s="13" t="str">
        <f>IF(IFERROR(MATCH(205,ChqRankL,0),0)=0,"",INDEX(ChqNo,IFERROR(MATCH(205,ChqRankL,0),0)))</f>
        <v/>
      </c>
      <c r="D221" s="14" t="str">
        <f>IF(IFERROR(MATCH(205,ChqRankL,0),0)=0,"",IF(INDEX(ChqAmt,IFERROR(MATCH(205,ChqRankL,0),0))=0,"",INDEX(ChqAmt,IFERROR(MATCH(205,ChqRankL,0),0))))</f>
        <v/>
      </c>
      <c r="E221" s="7" t="str">
        <f>IF(IFERROR(MATCH(205,ChqRankL,0),0)=0,"",INDEX(ChqStatus,IFERROR(MATCH(205,ChqRankL,0),0)))</f>
        <v/>
      </c>
      <c r="F221" s="13" t="str">
        <f>IF(IFERROR(MATCH(205,ChqRankL,0),0)=0,"",IF(INDEX(ChqStatus,IFERROR(MATCH(205,ChqRankL,0),0))="پاس نشده","—",IF(INDEX(ChqClr,IFERROR(MATCH(205,ChqRankL,0),0))="","—",INDEX(ChqClr,IFERROR(MATCH(205,ChqRankL,0),0)))))</f>
        <v/>
      </c>
      <c r="I221" t="str">
        <f>IF(205&gt;NChq,"",INDEX(ChqNorm,205))</f>
        <v/>
      </c>
      <c r="J221" t="str">
        <f t="shared" si="6"/>
        <v/>
      </c>
      <c r="K221" t="str">
        <f>IF($J221=0,"",INDEX(ChqKey,205))</f>
        <v/>
      </c>
      <c r="L221" t="str">
        <f t="shared" si="7"/>
        <v/>
      </c>
    </row>
    <row r="222" spans="1:12" x14ac:dyDescent="0.2">
      <c r="A222" s="9" t="str">
        <f>IF(IFERROR(MATCH(206,ChqRankL,0),0)=0,"",206)</f>
        <v/>
      </c>
      <c r="B222" s="15" t="str">
        <f>IF(IFERROR(MATCH(206,ChqRankL,0),0)=0,"",INDEX(ChqNorm,IFERROR(MATCH(206,ChqRankL,0),0)))</f>
        <v/>
      </c>
      <c r="C222" s="15" t="str">
        <f>IF(IFERROR(MATCH(206,ChqRankL,0),0)=0,"",INDEX(ChqNo,IFERROR(MATCH(206,ChqRankL,0),0)))</f>
        <v/>
      </c>
      <c r="D222" s="16" t="str">
        <f>IF(IFERROR(MATCH(206,ChqRankL,0),0)=0,"",IF(INDEX(ChqAmt,IFERROR(MATCH(206,ChqRankL,0),0))=0,"",INDEX(ChqAmt,IFERROR(MATCH(206,ChqRankL,0),0))))</f>
        <v/>
      </c>
      <c r="E222" s="10" t="str">
        <f>IF(IFERROR(MATCH(206,ChqRankL,0),0)=0,"",INDEX(ChqStatus,IFERROR(MATCH(206,ChqRankL,0),0)))</f>
        <v/>
      </c>
      <c r="F222" s="15" t="str">
        <f>IF(IFERROR(MATCH(206,ChqRankL,0),0)=0,"",IF(INDEX(ChqStatus,IFERROR(MATCH(206,ChqRankL,0),0))="پاس نشده","—",IF(INDEX(ChqClr,IFERROR(MATCH(206,ChqRankL,0),0))="","—",INDEX(ChqClr,IFERROR(MATCH(206,ChqRankL,0),0)))))</f>
        <v/>
      </c>
      <c r="I222" t="str">
        <f>IF(206&gt;NChq,"",INDEX(ChqNorm,206))</f>
        <v/>
      </c>
      <c r="J222" t="str">
        <f t="shared" si="6"/>
        <v/>
      </c>
      <c r="K222" t="str">
        <f>IF($J222=0,"",INDEX(ChqKey,206))</f>
        <v/>
      </c>
      <c r="L222" t="str">
        <f t="shared" si="7"/>
        <v/>
      </c>
    </row>
    <row r="223" spans="1:12" x14ac:dyDescent="0.2">
      <c r="A223" s="3" t="str">
        <f>IF(IFERROR(MATCH(207,ChqRankL,0),0)=0,"",207)</f>
        <v/>
      </c>
      <c r="B223" s="13" t="str">
        <f>IF(IFERROR(MATCH(207,ChqRankL,0),0)=0,"",INDEX(ChqNorm,IFERROR(MATCH(207,ChqRankL,0),0)))</f>
        <v/>
      </c>
      <c r="C223" s="13" t="str">
        <f>IF(IFERROR(MATCH(207,ChqRankL,0),0)=0,"",INDEX(ChqNo,IFERROR(MATCH(207,ChqRankL,0),0)))</f>
        <v/>
      </c>
      <c r="D223" s="14" t="str">
        <f>IF(IFERROR(MATCH(207,ChqRankL,0),0)=0,"",IF(INDEX(ChqAmt,IFERROR(MATCH(207,ChqRankL,0),0))=0,"",INDEX(ChqAmt,IFERROR(MATCH(207,ChqRankL,0),0))))</f>
        <v/>
      </c>
      <c r="E223" s="7" t="str">
        <f>IF(IFERROR(MATCH(207,ChqRankL,0),0)=0,"",INDEX(ChqStatus,IFERROR(MATCH(207,ChqRankL,0),0)))</f>
        <v/>
      </c>
      <c r="F223" s="13" t="str">
        <f>IF(IFERROR(MATCH(207,ChqRankL,0),0)=0,"",IF(INDEX(ChqStatus,IFERROR(MATCH(207,ChqRankL,0),0))="پاس نشده","—",IF(INDEX(ChqClr,IFERROR(MATCH(207,ChqRankL,0),0))="","—",INDEX(ChqClr,IFERROR(MATCH(207,ChqRankL,0),0)))))</f>
        <v/>
      </c>
      <c r="I223" t="str">
        <f>IF(207&gt;NChq,"",INDEX(ChqNorm,207))</f>
        <v/>
      </c>
      <c r="J223" t="str">
        <f t="shared" si="6"/>
        <v/>
      </c>
      <c r="K223" t="str">
        <f>IF($J223=0,"",INDEX(ChqKey,207))</f>
        <v/>
      </c>
      <c r="L223" t="str">
        <f t="shared" si="7"/>
        <v/>
      </c>
    </row>
    <row r="224" spans="1:12" x14ac:dyDescent="0.2">
      <c r="A224" s="9" t="str">
        <f>IF(IFERROR(MATCH(208,ChqRankL,0),0)=0,"",208)</f>
        <v/>
      </c>
      <c r="B224" s="15" t="str">
        <f>IF(IFERROR(MATCH(208,ChqRankL,0),0)=0,"",INDEX(ChqNorm,IFERROR(MATCH(208,ChqRankL,0),0)))</f>
        <v/>
      </c>
      <c r="C224" s="15" t="str">
        <f>IF(IFERROR(MATCH(208,ChqRankL,0),0)=0,"",INDEX(ChqNo,IFERROR(MATCH(208,ChqRankL,0),0)))</f>
        <v/>
      </c>
      <c r="D224" s="16" t="str">
        <f>IF(IFERROR(MATCH(208,ChqRankL,0),0)=0,"",IF(INDEX(ChqAmt,IFERROR(MATCH(208,ChqRankL,0),0))=0,"",INDEX(ChqAmt,IFERROR(MATCH(208,ChqRankL,0),0))))</f>
        <v/>
      </c>
      <c r="E224" s="10" t="str">
        <f>IF(IFERROR(MATCH(208,ChqRankL,0),0)=0,"",INDEX(ChqStatus,IFERROR(MATCH(208,ChqRankL,0),0)))</f>
        <v/>
      </c>
      <c r="F224" s="15" t="str">
        <f>IF(IFERROR(MATCH(208,ChqRankL,0),0)=0,"",IF(INDEX(ChqStatus,IFERROR(MATCH(208,ChqRankL,0),0))="پاس نشده","—",IF(INDEX(ChqClr,IFERROR(MATCH(208,ChqRankL,0),0))="","—",INDEX(ChqClr,IFERROR(MATCH(208,ChqRankL,0),0)))))</f>
        <v/>
      </c>
      <c r="I224" t="str">
        <f>IF(208&gt;NChq,"",INDEX(ChqNorm,208))</f>
        <v/>
      </c>
      <c r="J224" t="str">
        <f t="shared" si="6"/>
        <v/>
      </c>
      <c r="K224" t="str">
        <f>IF($J224=0,"",INDEX(ChqKey,208))</f>
        <v/>
      </c>
      <c r="L224" t="str">
        <f t="shared" si="7"/>
        <v/>
      </c>
    </row>
    <row r="225" spans="1:12" x14ac:dyDescent="0.2">
      <c r="A225" s="3" t="str">
        <f>IF(IFERROR(MATCH(209,ChqRankL,0),0)=0,"",209)</f>
        <v/>
      </c>
      <c r="B225" s="13" t="str">
        <f>IF(IFERROR(MATCH(209,ChqRankL,0),0)=0,"",INDEX(ChqNorm,IFERROR(MATCH(209,ChqRankL,0),0)))</f>
        <v/>
      </c>
      <c r="C225" s="13" t="str">
        <f>IF(IFERROR(MATCH(209,ChqRankL,0),0)=0,"",INDEX(ChqNo,IFERROR(MATCH(209,ChqRankL,0),0)))</f>
        <v/>
      </c>
      <c r="D225" s="14" t="str">
        <f>IF(IFERROR(MATCH(209,ChqRankL,0),0)=0,"",IF(INDEX(ChqAmt,IFERROR(MATCH(209,ChqRankL,0),0))=0,"",INDEX(ChqAmt,IFERROR(MATCH(209,ChqRankL,0),0))))</f>
        <v/>
      </c>
      <c r="E225" s="7" t="str">
        <f>IF(IFERROR(MATCH(209,ChqRankL,0),0)=0,"",INDEX(ChqStatus,IFERROR(MATCH(209,ChqRankL,0),0)))</f>
        <v/>
      </c>
      <c r="F225" s="13" t="str">
        <f>IF(IFERROR(MATCH(209,ChqRankL,0),0)=0,"",IF(INDEX(ChqStatus,IFERROR(MATCH(209,ChqRankL,0),0))="پاس نشده","—",IF(INDEX(ChqClr,IFERROR(MATCH(209,ChqRankL,0),0))="","—",INDEX(ChqClr,IFERROR(MATCH(209,ChqRankL,0),0)))))</f>
        <v/>
      </c>
      <c r="I225" t="str">
        <f>IF(209&gt;NChq,"",INDEX(ChqNorm,209))</f>
        <v/>
      </c>
      <c r="J225" t="str">
        <f t="shared" si="6"/>
        <v/>
      </c>
      <c r="K225" t="str">
        <f>IF($J225=0,"",INDEX(ChqKey,209))</f>
        <v/>
      </c>
      <c r="L225" t="str">
        <f t="shared" si="7"/>
        <v/>
      </c>
    </row>
    <row r="226" spans="1:12" x14ac:dyDescent="0.2">
      <c r="A226" s="9" t="str">
        <f>IF(IFERROR(MATCH(210,ChqRankL,0),0)=0,"",210)</f>
        <v/>
      </c>
      <c r="B226" s="15" t="str">
        <f>IF(IFERROR(MATCH(210,ChqRankL,0),0)=0,"",INDEX(ChqNorm,IFERROR(MATCH(210,ChqRankL,0),0)))</f>
        <v/>
      </c>
      <c r="C226" s="15" t="str">
        <f>IF(IFERROR(MATCH(210,ChqRankL,0),0)=0,"",INDEX(ChqNo,IFERROR(MATCH(210,ChqRankL,0),0)))</f>
        <v/>
      </c>
      <c r="D226" s="16" t="str">
        <f>IF(IFERROR(MATCH(210,ChqRankL,0),0)=0,"",IF(INDEX(ChqAmt,IFERROR(MATCH(210,ChqRankL,0),0))=0,"",INDEX(ChqAmt,IFERROR(MATCH(210,ChqRankL,0),0))))</f>
        <v/>
      </c>
      <c r="E226" s="10" t="str">
        <f>IF(IFERROR(MATCH(210,ChqRankL,0),0)=0,"",INDEX(ChqStatus,IFERROR(MATCH(210,ChqRankL,0),0)))</f>
        <v/>
      </c>
      <c r="F226" s="15" t="str">
        <f>IF(IFERROR(MATCH(210,ChqRankL,0),0)=0,"",IF(INDEX(ChqStatus,IFERROR(MATCH(210,ChqRankL,0),0))="پاس نشده","—",IF(INDEX(ChqClr,IFERROR(MATCH(210,ChqRankL,0),0))="","—",INDEX(ChqClr,IFERROR(MATCH(210,ChqRankL,0),0)))))</f>
        <v/>
      </c>
      <c r="I226" t="str">
        <f>IF(210&gt;NChq,"",INDEX(ChqNorm,210))</f>
        <v/>
      </c>
      <c r="J226" t="str">
        <f t="shared" si="6"/>
        <v/>
      </c>
      <c r="K226" t="str">
        <f>IF($J226=0,"",INDEX(ChqKey,210))</f>
        <v/>
      </c>
      <c r="L226" t="str">
        <f t="shared" si="7"/>
        <v/>
      </c>
    </row>
    <row r="227" spans="1:12" x14ac:dyDescent="0.2">
      <c r="A227" s="3" t="str">
        <f>IF(IFERROR(MATCH(211,ChqRankL,0),0)=0,"",211)</f>
        <v/>
      </c>
      <c r="B227" s="13" t="str">
        <f>IF(IFERROR(MATCH(211,ChqRankL,0),0)=0,"",INDEX(ChqNorm,IFERROR(MATCH(211,ChqRankL,0),0)))</f>
        <v/>
      </c>
      <c r="C227" s="13" t="str">
        <f>IF(IFERROR(MATCH(211,ChqRankL,0),0)=0,"",INDEX(ChqNo,IFERROR(MATCH(211,ChqRankL,0),0)))</f>
        <v/>
      </c>
      <c r="D227" s="14" t="str">
        <f>IF(IFERROR(MATCH(211,ChqRankL,0),0)=0,"",IF(INDEX(ChqAmt,IFERROR(MATCH(211,ChqRankL,0),0))=0,"",INDEX(ChqAmt,IFERROR(MATCH(211,ChqRankL,0),0))))</f>
        <v/>
      </c>
      <c r="E227" s="7" t="str">
        <f>IF(IFERROR(MATCH(211,ChqRankL,0),0)=0,"",INDEX(ChqStatus,IFERROR(MATCH(211,ChqRankL,0),0)))</f>
        <v/>
      </c>
      <c r="F227" s="13" t="str">
        <f>IF(IFERROR(MATCH(211,ChqRankL,0),0)=0,"",IF(INDEX(ChqStatus,IFERROR(MATCH(211,ChqRankL,0),0))="پاس نشده","—",IF(INDEX(ChqClr,IFERROR(MATCH(211,ChqRankL,0),0))="","—",INDEX(ChqClr,IFERROR(MATCH(211,ChqRankL,0),0)))))</f>
        <v/>
      </c>
      <c r="I227" t="str">
        <f>IF(211&gt;NChq,"",INDEX(ChqNorm,211))</f>
        <v/>
      </c>
      <c r="J227" t="str">
        <f t="shared" si="6"/>
        <v/>
      </c>
      <c r="K227" t="str">
        <f>IF($J227=0,"",INDEX(ChqKey,211))</f>
        <v/>
      </c>
      <c r="L227" t="str">
        <f t="shared" si="7"/>
        <v/>
      </c>
    </row>
    <row r="228" spans="1:12" x14ac:dyDescent="0.2">
      <c r="A228" s="9" t="str">
        <f>IF(IFERROR(MATCH(212,ChqRankL,0),0)=0,"",212)</f>
        <v/>
      </c>
      <c r="B228" s="15" t="str">
        <f>IF(IFERROR(MATCH(212,ChqRankL,0),0)=0,"",INDEX(ChqNorm,IFERROR(MATCH(212,ChqRankL,0),0)))</f>
        <v/>
      </c>
      <c r="C228" s="15" t="str">
        <f>IF(IFERROR(MATCH(212,ChqRankL,0),0)=0,"",INDEX(ChqNo,IFERROR(MATCH(212,ChqRankL,0),0)))</f>
        <v/>
      </c>
      <c r="D228" s="16" t="str">
        <f>IF(IFERROR(MATCH(212,ChqRankL,0),0)=0,"",IF(INDEX(ChqAmt,IFERROR(MATCH(212,ChqRankL,0),0))=0,"",INDEX(ChqAmt,IFERROR(MATCH(212,ChqRankL,0),0))))</f>
        <v/>
      </c>
      <c r="E228" s="10" t="str">
        <f>IF(IFERROR(MATCH(212,ChqRankL,0),0)=0,"",INDEX(ChqStatus,IFERROR(MATCH(212,ChqRankL,0),0)))</f>
        <v/>
      </c>
      <c r="F228" s="15" t="str">
        <f>IF(IFERROR(MATCH(212,ChqRankL,0),0)=0,"",IF(INDEX(ChqStatus,IFERROR(MATCH(212,ChqRankL,0),0))="پاس نشده","—",IF(INDEX(ChqClr,IFERROR(MATCH(212,ChqRankL,0),0))="","—",INDEX(ChqClr,IFERROR(MATCH(212,ChqRankL,0),0)))))</f>
        <v/>
      </c>
      <c r="I228" t="str">
        <f>IF(212&gt;NChq,"",INDEX(ChqNorm,212))</f>
        <v/>
      </c>
      <c r="J228" t="str">
        <f t="shared" si="6"/>
        <v/>
      </c>
      <c r="K228" t="str">
        <f>IF($J228=0,"",INDEX(ChqKey,212))</f>
        <v/>
      </c>
      <c r="L228" t="str">
        <f t="shared" si="7"/>
        <v/>
      </c>
    </row>
    <row r="229" spans="1:12" x14ac:dyDescent="0.2">
      <c r="A229" s="3" t="str">
        <f>IF(IFERROR(MATCH(213,ChqRankL,0),0)=0,"",213)</f>
        <v/>
      </c>
      <c r="B229" s="13" t="str">
        <f>IF(IFERROR(MATCH(213,ChqRankL,0),0)=0,"",INDEX(ChqNorm,IFERROR(MATCH(213,ChqRankL,0),0)))</f>
        <v/>
      </c>
      <c r="C229" s="13" t="str">
        <f>IF(IFERROR(MATCH(213,ChqRankL,0),0)=0,"",INDEX(ChqNo,IFERROR(MATCH(213,ChqRankL,0),0)))</f>
        <v/>
      </c>
      <c r="D229" s="14" t="str">
        <f>IF(IFERROR(MATCH(213,ChqRankL,0),0)=0,"",IF(INDEX(ChqAmt,IFERROR(MATCH(213,ChqRankL,0),0))=0,"",INDEX(ChqAmt,IFERROR(MATCH(213,ChqRankL,0),0))))</f>
        <v/>
      </c>
      <c r="E229" s="7" t="str">
        <f>IF(IFERROR(MATCH(213,ChqRankL,0),0)=0,"",INDEX(ChqStatus,IFERROR(MATCH(213,ChqRankL,0),0)))</f>
        <v/>
      </c>
      <c r="F229" s="13" t="str">
        <f>IF(IFERROR(MATCH(213,ChqRankL,0),0)=0,"",IF(INDEX(ChqStatus,IFERROR(MATCH(213,ChqRankL,0),0))="پاس نشده","—",IF(INDEX(ChqClr,IFERROR(MATCH(213,ChqRankL,0),0))="","—",INDEX(ChqClr,IFERROR(MATCH(213,ChqRankL,0),0)))))</f>
        <v/>
      </c>
      <c r="I229" t="str">
        <f>IF(213&gt;NChq,"",INDEX(ChqNorm,213))</f>
        <v/>
      </c>
      <c r="J229" t="str">
        <f t="shared" si="6"/>
        <v/>
      </c>
      <c r="K229" t="str">
        <f>IF($J229=0,"",INDEX(ChqKey,213))</f>
        <v/>
      </c>
      <c r="L229" t="str">
        <f t="shared" si="7"/>
        <v/>
      </c>
    </row>
    <row r="230" spans="1:12" x14ac:dyDescent="0.2">
      <c r="A230" s="9" t="str">
        <f>IF(IFERROR(MATCH(214,ChqRankL,0),0)=0,"",214)</f>
        <v/>
      </c>
      <c r="B230" s="15" t="str">
        <f>IF(IFERROR(MATCH(214,ChqRankL,0),0)=0,"",INDEX(ChqNorm,IFERROR(MATCH(214,ChqRankL,0),0)))</f>
        <v/>
      </c>
      <c r="C230" s="15" t="str">
        <f>IF(IFERROR(MATCH(214,ChqRankL,0),0)=0,"",INDEX(ChqNo,IFERROR(MATCH(214,ChqRankL,0),0)))</f>
        <v/>
      </c>
      <c r="D230" s="16" t="str">
        <f>IF(IFERROR(MATCH(214,ChqRankL,0),0)=0,"",IF(INDEX(ChqAmt,IFERROR(MATCH(214,ChqRankL,0),0))=0,"",INDEX(ChqAmt,IFERROR(MATCH(214,ChqRankL,0),0))))</f>
        <v/>
      </c>
      <c r="E230" s="10" t="str">
        <f>IF(IFERROR(MATCH(214,ChqRankL,0),0)=0,"",INDEX(ChqStatus,IFERROR(MATCH(214,ChqRankL,0),0)))</f>
        <v/>
      </c>
      <c r="F230" s="15" t="str">
        <f>IF(IFERROR(MATCH(214,ChqRankL,0),0)=0,"",IF(INDEX(ChqStatus,IFERROR(MATCH(214,ChqRankL,0),0))="پاس نشده","—",IF(INDEX(ChqClr,IFERROR(MATCH(214,ChqRankL,0),0))="","—",INDEX(ChqClr,IFERROR(MATCH(214,ChqRankL,0),0)))))</f>
        <v/>
      </c>
      <c r="I230" t="str">
        <f>IF(214&gt;NChq,"",INDEX(ChqNorm,214))</f>
        <v/>
      </c>
      <c r="J230" t="str">
        <f t="shared" si="6"/>
        <v/>
      </c>
      <c r="K230" t="str">
        <f>IF($J230=0,"",INDEX(ChqKey,214))</f>
        <v/>
      </c>
      <c r="L230" t="str">
        <f t="shared" si="7"/>
        <v/>
      </c>
    </row>
    <row r="231" spans="1:12" x14ac:dyDescent="0.2">
      <c r="A231" s="3" t="str">
        <f>IF(IFERROR(MATCH(215,ChqRankL,0),0)=0,"",215)</f>
        <v/>
      </c>
      <c r="B231" s="13" t="str">
        <f>IF(IFERROR(MATCH(215,ChqRankL,0),0)=0,"",INDEX(ChqNorm,IFERROR(MATCH(215,ChqRankL,0),0)))</f>
        <v/>
      </c>
      <c r="C231" s="13" t="str">
        <f>IF(IFERROR(MATCH(215,ChqRankL,0),0)=0,"",INDEX(ChqNo,IFERROR(MATCH(215,ChqRankL,0),0)))</f>
        <v/>
      </c>
      <c r="D231" s="14" t="str">
        <f>IF(IFERROR(MATCH(215,ChqRankL,0),0)=0,"",IF(INDEX(ChqAmt,IFERROR(MATCH(215,ChqRankL,0),0))=0,"",INDEX(ChqAmt,IFERROR(MATCH(215,ChqRankL,0),0))))</f>
        <v/>
      </c>
      <c r="E231" s="7" t="str">
        <f>IF(IFERROR(MATCH(215,ChqRankL,0),0)=0,"",INDEX(ChqStatus,IFERROR(MATCH(215,ChqRankL,0),0)))</f>
        <v/>
      </c>
      <c r="F231" s="13" t="str">
        <f>IF(IFERROR(MATCH(215,ChqRankL,0),0)=0,"",IF(INDEX(ChqStatus,IFERROR(MATCH(215,ChqRankL,0),0))="پاس نشده","—",IF(INDEX(ChqClr,IFERROR(MATCH(215,ChqRankL,0),0))="","—",INDEX(ChqClr,IFERROR(MATCH(215,ChqRankL,0),0)))))</f>
        <v/>
      </c>
      <c r="I231" t="str">
        <f>IF(215&gt;NChq,"",INDEX(ChqNorm,215))</f>
        <v/>
      </c>
      <c r="J231" t="str">
        <f t="shared" si="6"/>
        <v/>
      </c>
      <c r="K231" t="str">
        <f>IF($J231=0,"",INDEX(ChqKey,215))</f>
        <v/>
      </c>
      <c r="L231" t="str">
        <f t="shared" si="7"/>
        <v/>
      </c>
    </row>
    <row r="232" spans="1:12" x14ac:dyDescent="0.2">
      <c r="A232" s="9" t="str">
        <f>IF(IFERROR(MATCH(216,ChqRankL,0),0)=0,"",216)</f>
        <v/>
      </c>
      <c r="B232" s="15" t="str">
        <f>IF(IFERROR(MATCH(216,ChqRankL,0),0)=0,"",INDEX(ChqNorm,IFERROR(MATCH(216,ChqRankL,0),0)))</f>
        <v/>
      </c>
      <c r="C232" s="15" t="str">
        <f>IF(IFERROR(MATCH(216,ChqRankL,0),0)=0,"",INDEX(ChqNo,IFERROR(MATCH(216,ChqRankL,0),0)))</f>
        <v/>
      </c>
      <c r="D232" s="16" t="str">
        <f>IF(IFERROR(MATCH(216,ChqRankL,0),0)=0,"",IF(INDEX(ChqAmt,IFERROR(MATCH(216,ChqRankL,0),0))=0,"",INDEX(ChqAmt,IFERROR(MATCH(216,ChqRankL,0),0))))</f>
        <v/>
      </c>
      <c r="E232" s="10" t="str">
        <f>IF(IFERROR(MATCH(216,ChqRankL,0),0)=0,"",INDEX(ChqStatus,IFERROR(MATCH(216,ChqRankL,0),0)))</f>
        <v/>
      </c>
      <c r="F232" s="15" t="str">
        <f>IF(IFERROR(MATCH(216,ChqRankL,0),0)=0,"",IF(INDEX(ChqStatus,IFERROR(MATCH(216,ChqRankL,0),0))="پاس نشده","—",IF(INDEX(ChqClr,IFERROR(MATCH(216,ChqRankL,0),0))="","—",INDEX(ChqClr,IFERROR(MATCH(216,ChqRankL,0),0)))))</f>
        <v/>
      </c>
      <c r="I232" t="str">
        <f>IF(216&gt;NChq,"",INDEX(ChqNorm,216))</f>
        <v/>
      </c>
      <c r="J232" t="str">
        <f t="shared" si="6"/>
        <v/>
      </c>
      <c r="K232" t="str">
        <f>IF($J232=0,"",INDEX(ChqKey,216))</f>
        <v/>
      </c>
      <c r="L232" t="str">
        <f t="shared" si="7"/>
        <v/>
      </c>
    </row>
    <row r="233" spans="1:12" x14ac:dyDescent="0.2">
      <c r="A233" s="3" t="str">
        <f>IF(IFERROR(MATCH(217,ChqRankL,0),0)=0,"",217)</f>
        <v/>
      </c>
      <c r="B233" s="13" t="str">
        <f>IF(IFERROR(MATCH(217,ChqRankL,0),0)=0,"",INDEX(ChqNorm,IFERROR(MATCH(217,ChqRankL,0),0)))</f>
        <v/>
      </c>
      <c r="C233" s="13" t="str">
        <f>IF(IFERROR(MATCH(217,ChqRankL,0),0)=0,"",INDEX(ChqNo,IFERROR(MATCH(217,ChqRankL,0),0)))</f>
        <v/>
      </c>
      <c r="D233" s="14" t="str">
        <f>IF(IFERROR(MATCH(217,ChqRankL,0),0)=0,"",IF(INDEX(ChqAmt,IFERROR(MATCH(217,ChqRankL,0),0))=0,"",INDEX(ChqAmt,IFERROR(MATCH(217,ChqRankL,0),0))))</f>
        <v/>
      </c>
      <c r="E233" s="7" t="str">
        <f>IF(IFERROR(MATCH(217,ChqRankL,0),0)=0,"",INDEX(ChqStatus,IFERROR(MATCH(217,ChqRankL,0),0)))</f>
        <v/>
      </c>
      <c r="F233" s="13" t="str">
        <f>IF(IFERROR(MATCH(217,ChqRankL,0),0)=0,"",IF(INDEX(ChqStatus,IFERROR(MATCH(217,ChqRankL,0),0))="پاس نشده","—",IF(INDEX(ChqClr,IFERROR(MATCH(217,ChqRankL,0),0))="","—",INDEX(ChqClr,IFERROR(MATCH(217,ChqRankL,0),0)))))</f>
        <v/>
      </c>
      <c r="I233" t="str">
        <f>IF(217&gt;NChq,"",INDEX(ChqNorm,217))</f>
        <v/>
      </c>
      <c r="J233" t="str">
        <f t="shared" si="6"/>
        <v/>
      </c>
      <c r="K233" t="str">
        <f>IF($J233=0,"",INDEX(ChqKey,217))</f>
        <v/>
      </c>
      <c r="L233" t="str">
        <f t="shared" si="7"/>
        <v/>
      </c>
    </row>
    <row r="234" spans="1:12" x14ac:dyDescent="0.2">
      <c r="A234" s="9" t="str">
        <f>IF(IFERROR(MATCH(218,ChqRankL,0),0)=0,"",218)</f>
        <v/>
      </c>
      <c r="B234" s="15" t="str">
        <f>IF(IFERROR(MATCH(218,ChqRankL,0),0)=0,"",INDEX(ChqNorm,IFERROR(MATCH(218,ChqRankL,0),0)))</f>
        <v/>
      </c>
      <c r="C234" s="15" t="str">
        <f>IF(IFERROR(MATCH(218,ChqRankL,0),0)=0,"",INDEX(ChqNo,IFERROR(MATCH(218,ChqRankL,0),0)))</f>
        <v/>
      </c>
      <c r="D234" s="16" t="str">
        <f>IF(IFERROR(MATCH(218,ChqRankL,0),0)=0,"",IF(INDEX(ChqAmt,IFERROR(MATCH(218,ChqRankL,0),0))=0,"",INDEX(ChqAmt,IFERROR(MATCH(218,ChqRankL,0),0))))</f>
        <v/>
      </c>
      <c r="E234" s="10" t="str">
        <f>IF(IFERROR(MATCH(218,ChqRankL,0),0)=0,"",INDEX(ChqStatus,IFERROR(MATCH(218,ChqRankL,0),0)))</f>
        <v/>
      </c>
      <c r="F234" s="15" t="str">
        <f>IF(IFERROR(MATCH(218,ChqRankL,0),0)=0,"",IF(INDEX(ChqStatus,IFERROR(MATCH(218,ChqRankL,0),0))="پاس نشده","—",IF(INDEX(ChqClr,IFERROR(MATCH(218,ChqRankL,0),0))="","—",INDEX(ChqClr,IFERROR(MATCH(218,ChqRankL,0),0)))))</f>
        <v/>
      </c>
      <c r="I234" t="str">
        <f>IF(218&gt;NChq,"",INDEX(ChqNorm,218))</f>
        <v/>
      </c>
      <c r="J234" t="str">
        <f t="shared" si="6"/>
        <v/>
      </c>
      <c r="K234" t="str">
        <f>IF($J234=0,"",INDEX(ChqKey,218))</f>
        <v/>
      </c>
      <c r="L234" t="str">
        <f t="shared" si="7"/>
        <v/>
      </c>
    </row>
    <row r="235" spans="1:12" x14ac:dyDescent="0.2">
      <c r="A235" s="3" t="str">
        <f>IF(IFERROR(MATCH(219,ChqRankL,0),0)=0,"",219)</f>
        <v/>
      </c>
      <c r="B235" s="13" t="str">
        <f>IF(IFERROR(MATCH(219,ChqRankL,0),0)=0,"",INDEX(ChqNorm,IFERROR(MATCH(219,ChqRankL,0),0)))</f>
        <v/>
      </c>
      <c r="C235" s="13" t="str">
        <f>IF(IFERROR(MATCH(219,ChqRankL,0),0)=0,"",INDEX(ChqNo,IFERROR(MATCH(219,ChqRankL,0),0)))</f>
        <v/>
      </c>
      <c r="D235" s="14" t="str">
        <f>IF(IFERROR(MATCH(219,ChqRankL,0),0)=0,"",IF(INDEX(ChqAmt,IFERROR(MATCH(219,ChqRankL,0),0))=0,"",INDEX(ChqAmt,IFERROR(MATCH(219,ChqRankL,0),0))))</f>
        <v/>
      </c>
      <c r="E235" s="7" t="str">
        <f>IF(IFERROR(MATCH(219,ChqRankL,0),0)=0,"",INDEX(ChqStatus,IFERROR(MATCH(219,ChqRankL,0),0)))</f>
        <v/>
      </c>
      <c r="F235" s="13" t="str">
        <f>IF(IFERROR(MATCH(219,ChqRankL,0),0)=0,"",IF(INDEX(ChqStatus,IFERROR(MATCH(219,ChqRankL,0),0))="پاس نشده","—",IF(INDEX(ChqClr,IFERROR(MATCH(219,ChqRankL,0),0))="","—",INDEX(ChqClr,IFERROR(MATCH(219,ChqRankL,0),0)))))</f>
        <v/>
      </c>
      <c r="I235" t="str">
        <f>IF(219&gt;NChq,"",INDEX(ChqNorm,219))</f>
        <v/>
      </c>
      <c r="J235" t="str">
        <f t="shared" si="6"/>
        <v/>
      </c>
      <c r="K235" t="str">
        <f>IF($J235=0,"",INDEX(ChqKey,219))</f>
        <v/>
      </c>
      <c r="L235" t="str">
        <f t="shared" si="7"/>
        <v/>
      </c>
    </row>
    <row r="236" spans="1:12" x14ac:dyDescent="0.2">
      <c r="A236" s="9" t="str">
        <f>IF(IFERROR(MATCH(220,ChqRankL,0),0)=0,"",220)</f>
        <v/>
      </c>
      <c r="B236" s="15" t="str">
        <f>IF(IFERROR(MATCH(220,ChqRankL,0),0)=0,"",INDEX(ChqNorm,IFERROR(MATCH(220,ChqRankL,0),0)))</f>
        <v/>
      </c>
      <c r="C236" s="15" t="str">
        <f>IF(IFERROR(MATCH(220,ChqRankL,0),0)=0,"",INDEX(ChqNo,IFERROR(MATCH(220,ChqRankL,0),0)))</f>
        <v/>
      </c>
      <c r="D236" s="16" t="str">
        <f>IF(IFERROR(MATCH(220,ChqRankL,0),0)=0,"",IF(INDEX(ChqAmt,IFERROR(MATCH(220,ChqRankL,0),0))=0,"",INDEX(ChqAmt,IFERROR(MATCH(220,ChqRankL,0),0))))</f>
        <v/>
      </c>
      <c r="E236" s="10" t="str">
        <f>IF(IFERROR(MATCH(220,ChqRankL,0),0)=0,"",INDEX(ChqStatus,IFERROR(MATCH(220,ChqRankL,0),0)))</f>
        <v/>
      </c>
      <c r="F236" s="15" t="str">
        <f>IF(IFERROR(MATCH(220,ChqRankL,0),0)=0,"",IF(INDEX(ChqStatus,IFERROR(MATCH(220,ChqRankL,0),0))="پاس نشده","—",IF(INDEX(ChqClr,IFERROR(MATCH(220,ChqRankL,0),0))="","—",INDEX(ChqClr,IFERROR(MATCH(220,ChqRankL,0),0)))))</f>
        <v/>
      </c>
      <c r="I236" t="str">
        <f>IF(220&gt;NChq,"",INDEX(ChqNorm,220))</f>
        <v/>
      </c>
      <c r="J236" t="str">
        <f t="shared" si="6"/>
        <v/>
      </c>
      <c r="K236" t="str">
        <f>IF($J236=0,"",INDEX(ChqKey,220))</f>
        <v/>
      </c>
      <c r="L236" t="str">
        <f t="shared" si="7"/>
        <v/>
      </c>
    </row>
    <row r="237" spans="1:12" x14ac:dyDescent="0.2">
      <c r="A237" s="3" t="str">
        <f>IF(IFERROR(MATCH(221,ChqRankL,0),0)=0,"",221)</f>
        <v/>
      </c>
      <c r="B237" s="13" t="str">
        <f>IF(IFERROR(MATCH(221,ChqRankL,0),0)=0,"",INDEX(ChqNorm,IFERROR(MATCH(221,ChqRankL,0),0)))</f>
        <v/>
      </c>
      <c r="C237" s="13" t="str">
        <f>IF(IFERROR(MATCH(221,ChqRankL,0),0)=0,"",INDEX(ChqNo,IFERROR(MATCH(221,ChqRankL,0),0)))</f>
        <v/>
      </c>
      <c r="D237" s="14" t="str">
        <f>IF(IFERROR(MATCH(221,ChqRankL,0),0)=0,"",IF(INDEX(ChqAmt,IFERROR(MATCH(221,ChqRankL,0),0))=0,"",INDEX(ChqAmt,IFERROR(MATCH(221,ChqRankL,0),0))))</f>
        <v/>
      </c>
      <c r="E237" s="7" t="str">
        <f>IF(IFERROR(MATCH(221,ChqRankL,0),0)=0,"",INDEX(ChqStatus,IFERROR(MATCH(221,ChqRankL,0),0)))</f>
        <v/>
      </c>
      <c r="F237" s="13" t="str">
        <f>IF(IFERROR(MATCH(221,ChqRankL,0),0)=0,"",IF(INDEX(ChqStatus,IFERROR(MATCH(221,ChqRankL,0),0))="پاس نشده","—",IF(INDEX(ChqClr,IFERROR(MATCH(221,ChqRankL,0),0))="","—",INDEX(ChqClr,IFERROR(MATCH(221,ChqRankL,0),0)))))</f>
        <v/>
      </c>
      <c r="I237" t="str">
        <f>IF(221&gt;NChq,"",INDEX(ChqNorm,221))</f>
        <v/>
      </c>
      <c r="J237" t="str">
        <f t="shared" si="6"/>
        <v/>
      </c>
      <c r="K237" t="str">
        <f>IF($J237=0,"",INDEX(ChqKey,221))</f>
        <v/>
      </c>
      <c r="L237" t="str">
        <f t="shared" si="7"/>
        <v/>
      </c>
    </row>
    <row r="238" spans="1:12" x14ac:dyDescent="0.2">
      <c r="A238" s="9" t="str">
        <f>IF(IFERROR(MATCH(222,ChqRankL,0),0)=0,"",222)</f>
        <v/>
      </c>
      <c r="B238" s="15" t="str">
        <f>IF(IFERROR(MATCH(222,ChqRankL,0),0)=0,"",INDEX(ChqNorm,IFERROR(MATCH(222,ChqRankL,0),0)))</f>
        <v/>
      </c>
      <c r="C238" s="15" t="str">
        <f>IF(IFERROR(MATCH(222,ChqRankL,0),0)=0,"",INDEX(ChqNo,IFERROR(MATCH(222,ChqRankL,0),0)))</f>
        <v/>
      </c>
      <c r="D238" s="16" t="str">
        <f>IF(IFERROR(MATCH(222,ChqRankL,0),0)=0,"",IF(INDEX(ChqAmt,IFERROR(MATCH(222,ChqRankL,0),0))=0,"",INDEX(ChqAmt,IFERROR(MATCH(222,ChqRankL,0),0))))</f>
        <v/>
      </c>
      <c r="E238" s="10" t="str">
        <f>IF(IFERROR(MATCH(222,ChqRankL,0),0)=0,"",INDEX(ChqStatus,IFERROR(MATCH(222,ChqRankL,0),0)))</f>
        <v/>
      </c>
      <c r="F238" s="15" t="str">
        <f>IF(IFERROR(MATCH(222,ChqRankL,0),0)=0,"",IF(INDEX(ChqStatus,IFERROR(MATCH(222,ChqRankL,0),0))="پاس نشده","—",IF(INDEX(ChqClr,IFERROR(MATCH(222,ChqRankL,0),0))="","—",INDEX(ChqClr,IFERROR(MATCH(222,ChqRankL,0),0)))))</f>
        <v/>
      </c>
      <c r="I238" t="str">
        <f>IF(222&gt;NChq,"",INDEX(ChqNorm,222))</f>
        <v/>
      </c>
      <c r="J238" t="str">
        <f t="shared" si="6"/>
        <v/>
      </c>
      <c r="K238" t="str">
        <f>IF($J238=0,"",INDEX(ChqKey,222))</f>
        <v/>
      </c>
      <c r="L238" t="str">
        <f t="shared" si="7"/>
        <v/>
      </c>
    </row>
    <row r="239" spans="1:12" x14ac:dyDescent="0.2">
      <c r="A239" s="3" t="str">
        <f>IF(IFERROR(MATCH(223,ChqRankL,0),0)=0,"",223)</f>
        <v/>
      </c>
      <c r="B239" s="13" t="str">
        <f>IF(IFERROR(MATCH(223,ChqRankL,0),0)=0,"",INDEX(ChqNorm,IFERROR(MATCH(223,ChqRankL,0),0)))</f>
        <v/>
      </c>
      <c r="C239" s="13" t="str">
        <f>IF(IFERROR(MATCH(223,ChqRankL,0),0)=0,"",INDEX(ChqNo,IFERROR(MATCH(223,ChqRankL,0),0)))</f>
        <v/>
      </c>
      <c r="D239" s="14" t="str">
        <f>IF(IFERROR(MATCH(223,ChqRankL,0),0)=0,"",IF(INDEX(ChqAmt,IFERROR(MATCH(223,ChqRankL,0),0))=0,"",INDEX(ChqAmt,IFERROR(MATCH(223,ChqRankL,0),0))))</f>
        <v/>
      </c>
      <c r="E239" s="7" t="str">
        <f>IF(IFERROR(MATCH(223,ChqRankL,0),0)=0,"",INDEX(ChqStatus,IFERROR(MATCH(223,ChqRankL,0),0)))</f>
        <v/>
      </c>
      <c r="F239" s="13" t="str">
        <f>IF(IFERROR(MATCH(223,ChqRankL,0),0)=0,"",IF(INDEX(ChqStatus,IFERROR(MATCH(223,ChqRankL,0),0))="پاس نشده","—",IF(INDEX(ChqClr,IFERROR(MATCH(223,ChqRankL,0),0))="","—",INDEX(ChqClr,IFERROR(MATCH(223,ChqRankL,0),0)))))</f>
        <v/>
      </c>
      <c r="I239" t="str">
        <f>IF(223&gt;NChq,"",INDEX(ChqNorm,223))</f>
        <v/>
      </c>
      <c r="J239" t="str">
        <f t="shared" si="6"/>
        <v/>
      </c>
      <c r="K239" t="str">
        <f>IF($J239=0,"",INDEX(ChqKey,223))</f>
        <v/>
      </c>
      <c r="L239" t="str">
        <f t="shared" si="7"/>
        <v/>
      </c>
    </row>
    <row r="240" spans="1:12" x14ac:dyDescent="0.2">
      <c r="A240" s="9" t="str">
        <f>IF(IFERROR(MATCH(224,ChqRankL,0),0)=0,"",224)</f>
        <v/>
      </c>
      <c r="B240" s="15" t="str">
        <f>IF(IFERROR(MATCH(224,ChqRankL,0),0)=0,"",INDEX(ChqNorm,IFERROR(MATCH(224,ChqRankL,0),0)))</f>
        <v/>
      </c>
      <c r="C240" s="15" t="str">
        <f>IF(IFERROR(MATCH(224,ChqRankL,0),0)=0,"",INDEX(ChqNo,IFERROR(MATCH(224,ChqRankL,0),0)))</f>
        <v/>
      </c>
      <c r="D240" s="16" t="str">
        <f>IF(IFERROR(MATCH(224,ChqRankL,0),0)=0,"",IF(INDEX(ChqAmt,IFERROR(MATCH(224,ChqRankL,0),0))=0,"",INDEX(ChqAmt,IFERROR(MATCH(224,ChqRankL,0),0))))</f>
        <v/>
      </c>
      <c r="E240" s="10" t="str">
        <f>IF(IFERROR(MATCH(224,ChqRankL,0),0)=0,"",INDEX(ChqStatus,IFERROR(MATCH(224,ChqRankL,0),0)))</f>
        <v/>
      </c>
      <c r="F240" s="15" t="str">
        <f>IF(IFERROR(MATCH(224,ChqRankL,0),0)=0,"",IF(INDEX(ChqStatus,IFERROR(MATCH(224,ChqRankL,0),0))="پاس نشده","—",IF(INDEX(ChqClr,IFERROR(MATCH(224,ChqRankL,0),0))="","—",INDEX(ChqClr,IFERROR(MATCH(224,ChqRankL,0),0)))))</f>
        <v/>
      </c>
      <c r="I240" t="str">
        <f>IF(224&gt;NChq,"",INDEX(ChqNorm,224))</f>
        <v/>
      </c>
      <c r="J240" t="str">
        <f t="shared" si="6"/>
        <v/>
      </c>
      <c r="K240" t="str">
        <f>IF($J240=0,"",INDEX(ChqKey,224))</f>
        <v/>
      </c>
      <c r="L240" t="str">
        <f t="shared" si="7"/>
        <v/>
      </c>
    </row>
    <row r="241" spans="1:12" x14ac:dyDescent="0.2">
      <c r="A241" s="3" t="str">
        <f>IF(IFERROR(MATCH(225,ChqRankL,0),0)=0,"",225)</f>
        <v/>
      </c>
      <c r="B241" s="13" t="str">
        <f>IF(IFERROR(MATCH(225,ChqRankL,0),0)=0,"",INDEX(ChqNorm,IFERROR(MATCH(225,ChqRankL,0),0)))</f>
        <v/>
      </c>
      <c r="C241" s="13" t="str">
        <f>IF(IFERROR(MATCH(225,ChqRankL,0),0)=0,"",INDEX(ChqNo,IFERROR(MATCH(225,ChqRankL,0),0)))</f>
        <v/>
      </c>
      <c r="D241" s="14" t="str">
        <f>IF(IFERROR(MATCH(225,ChqRankL,0),0)=0,"",IF(INDEX(ChqAmt,IFERROR(MATCH(225,ChqRankL,0),0))=0,"",INDEX(ChqAmt,IFERROR(MATCH(225,ChqRankL,0),0))))</f>
        <v/>
      </c>
      <c r="E241" s="7" t="str">
        <f>IF(IFERROR(MATCH(225,ChqRankL,0),0)=0,"",INDEX(ChqStatus,IFERROR(MATCH(225,ChqRankL,0),0)))</f>
        <v/>
      </c>
      <c r="F241" s="13" t="str">
        <f>IF(IFERROR(MATCH(225,ChqRankL,0),0)=0,"",IF(INDEX(ChqStatus,IFERROR(MATCH(225,ChqRankL,0),0))="پاس نشده","—",IF(INDEX(ChqClr,IFERROR(MATCH(225,ChqRankL,0),0))="","—",INDEX(ChqClr,IFERROR(MATCH(225,ChqRankL,0),0)))))</f>
        <v/>
      </c>
      <c r="I241" t="str">
        <f>IF(225&gt;NChq,"",INDEX(ChqNorm,225))</f>
        <v/>
      </c>
      <c r="J241" t="str">
        <f t="shared" si="6"/>
        <v/>
      </c>
      <c r="K241" t="str">
        <f>IF($J241=0,"",INDEX(ChqKey,225))</f>
        <v/>
      </c>
      <c r="L241" t="str">
        <f t="shared" si="7"/>
        <v/>
      </c>
    </row>
    <row r="242" spans="1:12" x14ac:dyDescent="0.2">
      <c r="A242" s="9" t="str">
        <f>IF(IFERROR(MATCH(226,ChqRankL,0),0)=0,"",226)</f>
        <v/>
      </c>
      <c r="B242" s="15" t="str">
        <f>IF(IFERROR(MATCH(226,ChqRankL,0),0)=0,"",INDEX(ChqNorm,IFERROR(MATCH(226,ChqRankL,0),0)))</f>
        <v/>
      </c>
      <c r="C242" s="15" t="str">
        <f>IF(IFERROR(MATCH(226,ChqRankL,0),0)=0,"",INDEX(ChqNo,IFERROR(MATCH(226,ChqRankL,0),0)))</f>
        <v/>
      </c>
      <c r="D242" s="16" t="str">
        <f>IF(IFERROR(MATCH(226,ChqRankL,0),0)=0,"",IF(INDEX(ChqAmt,IFERROR(MATCH(226,ChqRankL,0),0))=0,"",INDEX(ChqAmt,IFERROR(MATCH(226,ChqRankL,0),0))))</f>
        <v/>
      </c>
      <c r="E242" s="10" t="str">
        <f>IF(IFERROR(MATCH(226,ChqRankL,0),0)=0,"",INDEX(ChqStatus,IFERROR(MATCH(226,ChqRankL,0),0)))</f>
        <v/>
      </c>
      <c r="F242" s="15" t="str">
        <f>IF(IFERROR(MATCH(226,ChqRankL,0),0)=0,"",IF(INDEX(ChqStatus,IFERROR(MATCH(226,ChqRankL,0),0))="پاس نشده","—",IF(INDEX(ChqClr,IFERROR(MATCH(226,ChqRankL,0),0))="","—",INDEX(ChqClr,IFERROR(MATCH(226,ChqRankL,0),0)))))</f>
        <v/>
      </c>
      <c r="I242" t="str">
        <f>IF(226&gt;NChq,"",INDEX(ChqNorm,226))</f>
        <v/>
      </c>
      <c r="J242" t="str">
        <f t="shared" si="6"/>
        <v/>
      </c>
      <c r="K242" t="str">
        <f>IF($J242=0,"",INDEX(ChqKey,226))</f>
        <v/>
      </c>
      <c r="L242" t="str">
        <f t="shared" si="7"/>
        <v/>
      </c>
    </row>
    <row r="243" spans="1:12" x14ac:dyDescent="0.2">
      <c r="A243" s="3" t="str">
        <f>IF(IFERROR(MATCH(227,ChqRankL,0),0)=0,"",227)</f>
        <v/>
      </c>
      <c r="B243" s="13" t="str">
        <f>IF(IFERROR(MATCH(227,ChqRankL,0),0)=0,"",INDEX(ChqNorm,IFERROR(MATCH(227,ChqRankL,0),0)))</f>
        <v/>
      </c>
      <c r="C243" s="13" t="str">
        <f>IF(IFERROR(MATCH(227,ChqRankL,0),0)=0,"",INDEX(ChqNo,IFERROR(MATCH(227,ChqRankL,0),0)))</f>
        <v/>
      </c>
      <c r="D243" s="14" t="str">
        <f>IF(IFERROR(MATCH(227,ChqRankL,0),0)=0,"",IF(INDEX(ChqAmt,IFERROR(MATCH(227,ChqRankL,0),0))=0,"",INDEX(ChqAmt,IFERROR(MATCH(227,ChqRankL,0),0))))</f>
        <v/>
      </c>
      <c r="E243" s="7" t="str">
        <f>IF(IFERROR(MATCH(227,ChqRankL,0),0)=0,"",INDEX(ChqStatus,IFERROR(MATCH(227,ChqRankL,0),0)))</f>
        <v/>
      </c>
      <c r="F243" s="13" t="str">
        <f>IF(IFERROR(MATCH(227,ChqRankL,0),0)=0,"",IF(INDEX(ChqStatus,IFERROR(MATCH(227,ChqRankL,0),0))="پاس نشده","—",IF(INDEX(ChqClr,IFERROR(MATCH(227,ChqRankL,0),0))="","—",INDEX(ChqClr,IFERROR(MATCH(227,ChqRankL,0),0)))))</f>
        <v/>
      </c>
      <c r="I243" t="str">
        <f>IF(227&gt;NChq,"",INDEX(ChqNorm,227))</f>
        <v/>
      </c>
      <c r="J243" t="str">
        <f t="shared" si="6"/>
        <v/>
      </c>
      <c r="K243" t="str">
        <f>IF($J243=0,"",INDEX(ChqKey,227))</f>
        <v/>
      </c>
      <c r="L243" t="str">
        <f t="shared" si="7"/>
        <v/>
      </c>
    </row>
    <row r="244" spans="1:12" x14ac:dyDescent="0.2">
      <c r="A244" s="9" t="str">
        <f>IF(IFERROR(MATCH(228,ChqRankL,0),0)=0,"",228)</f>
        <v/>
      </c>
      <c r="B244" s="15" t="str">
        <f>IF(IFERROR(MATCH(228,ChqRankL,0),0)=0,"",INDEX(ChqNorm,IFERROR(MATCH(228,ChqRankL,0),0)))</f>
        <v/>
      </c>
      <c r="C244" s="15" t="str">
        <f>IF(IFERROR(MATCH(228,ChqRankL,0),0)=0,"",INDEX(ChqNo,IFERROR(MATCH(228,ChqRankL,0),0)))</f>
        <v/>
      </c>
      <c r="D244" s="16" t="str">
        <f>IF(IFERROR(MATCH(228,ChqRankL,0),0)=0,"",IF(INDEX(ChqAmt,IFERROR(MATCH(228,ChqRankL,0),0))=0,"",INDEX(ChqAmt,IFERROR(MATCH(228,ChqRankL,0),0))))</f>
        <v/>
      </c>
      <c r="E244" s="10" t="str">
        <f>IF(IFERROR(MATCH(228,ChqRankL,0),0)=0,"",INDEX(ChqStatus,IFERROR(MATCH(228,ChqRankL,0),0)))</f>
        <v/>
      </c>
      <c r="F244" s="15" t="str">
        <f>IF(IFERROR(MATCH(228,ChqRankL,0),0)=0,"",IF(INDEX(ChqStatus,IFERROR(MATCH(228,ChqRankL,0),0))="پاس نشده","—",IF(INDEX(ChqClr,IFERROR(MATCH(228,ChqRankL,0),0))="","—",INDEX(ChqClr,IFERROR(MATCH(228,ChqRankL,0),0)))))</f>
        <v/>
      </c>
      <c r="I244" t="str">
        <f>IF(228&gt;NChq,"",INDEX(ChqNorm,228))</f>
        <v/>
      </c>
      <c r="J244" t="str">
        <f t="shared" si="6"/>
        <v/>
      </c>
      <c r="K244" t="str">
        <f>IF($J244=0,"",INDEX(ChqKey,228))</f>
        <v/>
      </c>
      <c r="L244" t="str">
        <f t="shared" si="7"/>
        <v/>
      </c>
    </row>
    <row r="245" spans="1:12" x14ac:dyDescent="0.2">
      <c r="A245" s="3" t="str">
        <f>IF(IFERROR(MATCH(229,ChqRankL,0),0)=0,"",229)</f>
        <v/>
      </c>
      <c r="B245" s="13" t="str">
        <f>IF(IFERROR(MATCH(229,ChqRankL,0),0)=0,"",INDEX(ChqNorm,IFERROR(MATCH(229,ChqRankL,0),0)))</f>
        <v/>
      </c>
      <c r="C245" s="13" t="str">
        <f>IF(IFERROR(MATCH(229,ChqRankL,0),0)=0,"",INDEX(ChqNo,IFERROR(MATCH(229,ChqRankL,0),0)))</f>
        <v/>
      </c>
      <c r="D245" s="14" t="str">
        <f>IF(IFERROR(MATCH(229,ChqRankL,0),0)=0,"",IF(INDEX(ChqAmt,IFERROR(MATCH(229,ChqRankL,0),0))=0,"",INDEX(ChqAmt,IFERROR(MATCH(229,ChqRankL,0),0))))</f>
        <v/>
      </c>
      <c r="E245" s="7" t="str">
        <f>IF(IFERROR(MATCH(229,ChqRankL,0),0)=0,"",INDEX(ChqStatus,IFERROR(MATCH(229,ChqRankL,0),0)))</f>
        <v/>
      </c>
      <c r="F245" s="13" t="str">
        <f>IF(IFERROR(MATCH(229,ChqRankL,0),0)=0,"",IF(INDEX(ChqStatus,IFERROR(MATCH(229,ChqRankL,0),0))="پاس نشده","—",IF(INDEX(ChqClr,IFERROR(MATCH(229,ChqRankL,0),0))="","—",INDEX(ChqClr,IFERROR(MATCH(229,ChqRankL,0),0)))))</f>
        <v/>
      </c>
      <c r="I245" t="str">
        <f>IF(229&gt;NChq,"",INDEX(ChqNorm,229))</f>
        <v/>
      </c>
      <c r="J245" t="str">
        <f t="shared" si="6"/>
        <v/>
      </c>
      <c r="K245" t="str">
        <f>IF($J245=0,"",INDEX(ChqKey,229))</f>
        <v/>
      </c>
      <c r="L245" t="str">
        <f t="shared" si="7"/>
        <v/>
      </c>
    </row>
    <row r="246" spans="1:12" x14ac:dyDescent="0.2">
      <c r="A246" s="9" t="str">
        <f>IF(IFERROR(MATCH(230,ChqRankL,0),0)=0,"",230)</f>
        <v/>
      </c>
      <c r="B246" s="15" t="str">
        <f>IF(IFERROR(MATCH(230,ChqRankL,0),0)=0,"",INDEX(ChqNorm,IFERROR(MATCH(230,ChqRankL,0),0)))</f>
        <v/>
      </c>
      <c r="C246" s="15" t="str">
        <f>IF(IFERROR(MATCH(230,ChqRankL,0),0)=0,"",INDEX(ChqNo,IFERROR(MATCH(230,ChqRankL,0),0)))</f>
        <v/>
      </c>
      <c r="D246" s="16" t="str">
        <f>IF(IFERROR(MATCH(230,ChqRankL,0),0)=0,"",IF(INDEX(ChqAmt,IFERROR(MATCH(230,ChqRankL,0),0))=0,"",INDEX(ChqAmt,IFERROR(MATCH(230,ChqRankL,0),0))))</f>
        <v/>
      </c>
      <c r="E246" s="10" t="str">
        <f>IF(IFERROR(MATCH(230,ChqRankL,0),0)=0,"",INDEX(ChqStatus,IFERROR(MATCH(230,ChqRankL,0),0)))</f>
        <v/>
      </c>
      <c r="F246" s="15" t="str">
        <f>IF(IFERROR(MATCH(230,ChqRankL,0),0)=0,"",IF(INDEX(ChqStatus,IFERROR(MATCH(230,ChqRankL,0),0))="پاس نشده","—",IF(INDEX(ChqClr,IFERROR(MATCH(230,ChqRankL,0),0))="","—",INDEX(ChqClr,IFERROR(MATCH(230,ChqRankL,0),0)))))</f>
        <v/>
      </c>
      <c r="I246" t="str">
        <f>IF(230&gt;NChq,"",INDEX(ChqNorm,230))</f>
        <v/>
      </c>
      <c r="J246" t="str">
        <f t="shared" si="6"/>
        <v/>
      </c>
      <c r="K246" t="str">
        <f>IF($J246=0,"",INDEX(ChqKey,230))</f>
        <v/>
      </c>
      <c r="L246" t="str">
        <f t="shared" si="7"/>
        <v/>
      </c>
    </row>
    <row r="247" spans="1:12" x14ac:dyDescent="0.2">
      <c r="A247" s="3" t="str">
        <f>IF(IFERROR(MATCH(231,ChqRankL,0),0)=0,"",231)</f>
        <v/>
      </c>
      <c r="B247" s="13" t="str">
        <f>IF(IFERROR(MATCH(231,ChqRankL,0),0)=0,"",INDEX(ChqNorm,IFERROR(MATCH(231,ChqRankL,0),0)))</f>
        <v/>
      </c>
      <c r="C247" s="13" t="str">
        <f>IF(IFERROR(MATCH(231,ChqRankL,0),0)=0,"",INDEX(ChqNo,IFERROR(MATCH(231,ChqRankL,0),0)))</f>
        <v/>
      </c>
      <c r="D247" s="14" t="str">
        <f>IF(IFERROR(MATCH(231,ChqRankL,0),0)=0,"",IF(INDEX(ChqAmt,IFERROR(MATCH(231,ChqRankL,0),0))=0,"",INDEX(ChqAmt,IFERROR(MATCH(231,ChqRankL,0),0))))</f>
        <v/>
      </c>
      <c r="E247" s="7" t="str">
        <f>IF(IFERROR(MATCH(231,ChqRankL,0),0)=0,"",INDEX(ChqStatus,IFERROR(MATCH(231,ChqRankL,0),0)))</f>
        <v/>
      </c>
      <c r="F247" s="13" t="str">
        <f>IF(IFERROR(MATCH(231,ChqRankL,0),0)=0,"",IF(INDEX(ChqStatus,IFERROR(MATCH(231,ChqRankL,0),0))="پاس نشده","—",IF(INDEX(ChqClr,IFERROR(MATCH(231,ChqRankL,0),0))="","—",INDEX(ChqClr,IFERROR(MATCH(231,ChqRankL,0),0)))))</f>
        <v/>
      </c>
      <c r="I247" t="str">
        <f>IF(231&gt;NChq,"",INDEX(ChqNorm,231))</f>
        <v/>
      </c>
      <c r="J247" t="str">
        <f t="shared" si="6"/>
        <v/>
      </c>
      <c r="K247" t="str">
        <f>IF($J247=0,"",INDEX(ChqKey,231))</f>
        <v/>
      </c>
      <c r="L247" t="str">
        <f t="shared" si="7"/>
        <v/>
      </c>
    </row>
    <row r="248" spans="1:12" x14ac:dyDescent="0.2">
      <c r="A248" s="9" t="str">
        <f>IF(IFERROR(MATCH(232,ChqRankL,0),0)=0,"",232)</f>
        <v/>
      </c>
      <c r="B248" s="15" t="str">
        <f>IF(IFERROR(MATCH(232,ChqRankL,0),0)=0,"",INDEX(ChqNorm,IFERROR(MATCH(232,ChqRankL,0),0)))</f>
        <v/>
      </c>
      <c r="C248" s="15" t="str">
        <f>IF(IFERROR(MATCH(232,ChqRankL,0),0)=0,"",INDEX(ChqNo,IFERROR(MATCH(232,ChqRankL,0),0)))</f>
        <v/>
      </c>
      <c r="D248" s="16" t="str">
        <f>IF(IFERROR(MATCH(232,ChqRankL,0),0)=0,"",IF(INDEX(ChqAmt,IFERROR(MATCH(232,ChqRankL,0),0))=0,"",INDEX(ChqAmt,IFERROR(MATCH(232,ChqRankL,0),0))))</f>
        <v/>
      </c>
      <c r="E248" s="10" t="str">
        <f>IF(IFERROR(MATCH(232,ChqRankL,0),0)=0,"",INDEX(ChqStatus,IFERROR(MATCH(232,ChqRankL,0),0)))</f>
        <v/>
      </c>
      <c r="F248" s="15" t="str">
        <f>IF(IFERROR(MATCH(232,ChqRankL,0),0)=0,"",IF(INDEX(ChqStatus,IFERROR(MATCH(232,ChqRankL,0),0))="پاس نشده","—",IF(INDEX(ChqClr,IFERROR(MATCH(232,ChqRankL,0),0))="","—",INDEX(ChqClr,IFERROR(MATCH(232,ChqRankL,0),0)))))</f>
        <v/>
      </c>
      <c r="I248" t="str">
        <f>IF(232&gt;NChq,"",INDEX(ChqNorm,232))</f>
        <v/>
      </c>
      <c r="J248" t="str">
        <f t="shared" si="6"/>
        <v/>
      </c>
      <c r="K248" t="str">
        <f>IF($J248=0,"",INDEX(ChqKey,232))</f>
        <v/>
      </c>
      <c r="L248" t="str">
        <f t="shared" si="7"/>
        <v/>
      </c>
    </row>
    <row r="249" spans="1:12" x14ac:dyDescent="0.2">
      <c r="A249" s="3" t="str">
        <f>IF(IFERROR(MATCH(233,ChqRankL,0),0)=0,"",233)</f>
        <v/>
      </c>
      <c r="B249" s="13" t="str">
        <f>IF(IFERROR(MATCH(233,ChqRankL,0),0)=0,"",INDEX(ChqNorm,IFERROR(MATCH(233,ChqRankL,0),0)))</f>
        <v/>
      </c>
      <c r="C249" s="13" t="str">
        <f>IF(IFERROR(MATCH(233,ChqRankL,0),0)=0,"",INDEX(ChqNo,IFERROR(MATCH(233,ChqRankL,0),0)))</f>
        <v/>
      </c>
      <c r="D249" s="14" t="str">
        <f>IF(IFERROR(MATCH(233,ChqRankL,0),0)=0,"",IF(INDEX(ChqAmt,IFERROR(MATCH(233,ChqRankL,0),0))=0,"",INDEX(ChqAmt,IFERROR(MATCH(233,ChqRankL,0),0))))</f>
        <v/>
      </c>
      <c r="E249" s="7" t="str">
        <f>IF(IFERROR(MATCH(233,ChqRankL,0),0)=0,"",INDEX(ChqStatus,IFERROR(MATCH(233,ChqRankL,0),0)))</f>
        <v/>
      </c>
      <c r="F249" s="13" t="str">
        <f>IF(IFERROR(MATCH(233,ChqRankL,0),0)=0,"",IF(INDEX(ChqStatus,IFERROR(MATCH(233,ChqRankL,0),0))="پاس نشده","—",IF(INDEX(ChqClr,IFERROR(MATCH(233,ChqRankL,0),0))="","—",INDEX(ChqClr,IFERROR(MATCH(233,ChqRankL,0),0)))))</f>
        <v/>
      </c>
      <c r="I249" t="str">
        <f>IF(233&gt;NChq,"",INDEX(ChqNorm,233))</f>
        <v/>
      </c>
      <c r="J249" t="str">
        <f t="shared" si="6"/>
        <v/>
      </c>
      <c r="K249" t="str">
        <f>IF($J249=0,"",INDEX(ChqKey,233))</f>
        <v/>
      </c>
      <c r="L249" t="str">
        <f t="shared" si="7"/>
        <v/>
      </c>
    </row>
    <row r="250" spans="1:12" x14ac:dyDescent="0.2">
      <c r="A250" s="9" t="str">
        <f>IF(IFERROR(MATCH(234,ChqRankL,0),0)=0,"",234)</f>
        <v/>
      </c>
      <c r="B250" s="15" t="str">
        <f>IF(IFERROR(MATCH(234,ChqRankL,0),0)=0,"",INDEX(ChqNorm,IFERROR(MATCH(234,ChqRankL,0),0)))</f>
        <v/>
      </c>
      <c r="C250" s="15" t="str">
        <f>IF(IFERROR(MATCH(234,ChqRankL,0),0)=0,"",INDEX(ChqNo,IFERROR(MATCH(234,ChqRankL,0),0)))</f>
        <v/>
      </c>
      <c r="D250" s="16" t="str">
        <f>IF(IFERROR(MATCH(234,ChqRankL,0),0)=0,"",IF(INDEX(ChqAmt,IFERROR(MATCH(234,ChqRankL,0),0))=0,"",INDEX(ChqAmt,IFERROR(MATCH(234,ChqRankL,0),0))))</f>
        <v/>
      </c>
      <c r="E250" s="10" t="str">
        <f>IF(IFERROR(MATCH(234,ChqRankL,0),0)=0,"",INDEX(ChqStatus,IFERROR(MATCH(234,ChqRankL,0),0)))</f>
        <v/>
      </c>
      <c r="F250" s="15" t="str">
        <f>IF(IFERROR(MATCH(234,ChqRankL,0),0)=0,"",IF(INDEX(ChqStatus,IFERROR(MATCH(234,ChqRankL,0),0))="پاس نشده","—",IF(INDEX(ChqClr,IFERROR(MATCH(234,ChqRankL,0),0))="","—",INDEX(ChqClr,IFERROR(MATCH(234,ChqRankL,0),0)))))</f>
        <v/>
      </c>
      <c r="I250" t="str">
        <f>IF(234&gt;NChq,"",INDEX(ChqNorm,234))</f>
        <v/>
      </c>
      <c r="J250" t="str">
        <f t="shared" si="6"/>
        <v/>
      </c>
      <c r="K250" t="str">
        <f>IF($J250=0,"",INDEX(ChqKey,234))</f>
        <v/>
      </c>
      <c r="L250" t="str">
        <f t="shared" si="7"/>
        <v/>
      </c>
    </row>
    <row r="251" spans="1:12" x14ac:dyDescent="0.2">
      <c r="A251" s="3" t="str">
        <f>IF(IFERROR(MATCH(235,ChqRankL,0),0)=0,"",235)</f>
        <v/>
      </c>
      <c r="B251" s="13" t="str">
        <f>IF(IFERROR(MATCH(235,ChqRankL,0),0)=0,"",INDEX(ChqNorm,IFERROR(MATCH(235,ChqRankL,0),0)))</f>
        <v/>
      </c>
      <c r="C251" s="13" t="str">
        <f>IF(IFERROR(MATCH(235,ChqRankL,0),0)=0,"",INDEX(ChqNo,IFERROR(MATCH(235,ChqRankL,0),0)))</f>
        <v/>
      </c>
      <c r="D251" s="14" t="str">
        <f>IF(IFERROR(MATCH(235,ChqRankL,0),0)=0,"",IF(INDEX(ChqAmt,IFERROR(MATCH(235,ChqRankL,0),0))=0,"",INDEX(ChqAmt,IFERROR(MATCH(235,ChqRankL,0),0))))</f>
        <v/>
      </c>
      <c r="E251" s="7" t="str">
        <f>IF(IFERROR(MATCH(235,ChqRankL,0),0)=0,"",INDEX(ChqStatus,IFERROR(MATCH(235,ChqRankL,0),0)))</f>
        <v/>
      </c>
      <c r="F251" s="13" t="str">
        <f>IF(IFERROR(MATCH(235,ChqRankL,0),0)=0,"",IF(INDEX(ChqStatus,IFERROR(MATCH(235,ChqRankL,0),0))="پاس نشده","—",IF(INDEX(ChqClr,IFERROR(MATCH(235,ChqRankL,0),0))="","—",INDEX(ChqClr,IFERROR(MATCH(235,ChqRankL,0),0)))))</f>
        <v/>
      </c>
      <c r="I251" t="str">
        <f>IF(235&gt;NChq,"",INDEX(ChqNorm,235))</f>
        <v/>
      </c>
      <c r="J251" t="str">
        <f t="shared" si="6"/>
        <v/>
      </c>
      <c r="K251" t="str">
        <f>IF($J251=0,"",INDEX(ChqKey,235))</f>
        <v/>
      </c>
      <c r="L251" t="str">
        <f t="shared" si="7"/>
        <v/>
      </c>
    </row>
    <row r="252" spans="1:12" x14ac:dyDescent="0.2">
      <c r="A252" s="9" t="str">
        <f>IF(IFERROR(MATCH(236,ChqRankL,0),0)=0,"",236)</f>
        <v/>
      </c>
      <c r="B252" s="15" t="str">
        <f>IF(IFERROR(MATCH(236,ChqRankL,0),0)=0,"",INDEX(ChqNorm,IFERROR(MATCH(236,ChqRankL,0),0)))</f>
        <v/>
      </c>
      <c r="C252" s="15" t="str">
        <f>IF(IFERROR(MATCH(236,ChqRankL,0),0)=0,"",INDEX(ChqNo,IFERROR(MATCH(236,ChqRankL,0),0)))</f>
        <v/>
      </c>
      <c r="D252" s="16" t="str">
        <f>IF(IFERROR(MATCH(236,ChqRankL,0),0)=0,"",IF(INDEX(ChqAmt,IFERROR(MATCH(236,ChqRankL,0),0))=0,"",INDEX(ChqAmt,IFERROR(MATCH(236,ChqRankL,0),0))))</f>
        <v/>
      </c>
      <c r="E252" s="10" t="str">
        <f>IF(IFERROR(MATCH(236,ChqRankL,0),0)=0,"",INDEX(ChqStatus,IFERROR(MATCH(236,ChqRankL,0),0)))</f>
        <v/>
      </c>
      <c r="F252" s="15" t="str">
        <f>IF(IFERROR(MATCH(236,ChqRankL,0),0)=0,"",IF(INDEX(ChqStatus,IFERROR(MATCH(236,ChqRankL,0),0))="پاس نشده","—",IF(INDEX(ChqClr,IFERROR(MATCH(236,ChqRankL,0),0))="","—",INDEX(ChqClr,IFERROR(MATCH(236,ChqRankL,0),0)))))</f>
        <v/>
      </c>
      <c r="I252" t="str">
        <f>IF(236&gt;NChq,"",INDEX(ChqNorm,236))</f>
        <v/>
      </c>
      <c r="J252" t="str">
        <f t="shared" si="6"/>
        <v/>
      </c>
      <c r="K252" t="str">
        <f>IF($J252=0,"",INDEX(ChqKey,236))</f>
        <v/>
      </c>
      <c r="L252" t="str">
        <f t="shared" si="7"/>
        <v/>
      </c>
    </row>
    <row r="253" spans="1:12" x14ac:dyDescent="0.2">
      <c r="A253" s="3" t="str">
        <f>IF(IFERROR(MATCH(237,ChqRankL,0),0)=0,"",237)</f>
        <v/>
      </c>
      <c r="B253" s="13" t="str">
        <f>IF(IFERROR(MATCH(237,ChqRankL,0),0)=0,"",INDEX(ChqNorm,IFERROR(MATCH(237,ChqRankL,0),0)))</f>
        <v/>
      </c>
      <c r="C253" s="13" t="str">
        <f>IF(IFERROR(MATCH(237,ChqRankL,0),0)=0,"",INDEX(ChqNo,IFERROR(MATCH(237,ChqRankL,0),0)))</f>
        <v/>
      </c>
      <c r="D253" s="14" t="str">
        <f>IF(IFERROR(MATCH(237,ChqRankL,0),0)=0,"",IF(INDEX(ChqAmt,IFERROR(MATCH(237,ChqRankL,0),0))=0,"",INDEX(ChqAmt,IFERROR(MATCH(237,ChqRankL,0),0))))</f>
        <v/>
      </c>
      <c r="E253" s="7" t="str">
        <f>IF(IFERROR(MATCH(237,ChqRankL,0),0)=0,"",INDEX(ChqStatus,IFERROR(MATCH(237,ChqRankL,0),0)))</f>
        <v/>
      </c>
      <c r="F253" s="13" t="str">
        <f>IF(IFERROR(MATCH(237,ChqRankL,0),0)=0,"",IF(INDEX(ChqStatus,IFERROR(MATCH(237,ChqRankL,0),0))="پاس نشده","—",IF(INDEX(ChqClr,IFERROR(MATCH(237,ChqRankL,0),0))="","—",INDEX(ChqClr,IFERROR(MATCH(237,ChqRankL,0),0)))))</f>
        <v/>
      </c>
      <c r="I253" t="str">
        <f>IF(237&gt;NChq,"",INDEX(ChqNorm,237))</f>
        <v/>
      </c>
      <c r="J253" t="str">
        <f t="shared" si="6"/>
        <v/>
      </c>
      <c r="K253" t="str">
        <f>IF($J253=0,"",INDEX(ChqKey,237))</f>
        <v/>
      </c>
      <c r="L253" t="str">
        <f t="shared" si="7"/>
        <v/>
      </c>
    </row>
    <row r="254" spans="1:12" x14ac:dyDescent="0.2">
      <c r="A254" s="9" t="str">
        <f>IF(IFERROR(MATCH(238,ChqRankL,0),0)=0,"",238)</f>
        <v/>
      </c>
      <c r="B254" s="15" t="str">
        <f>IF(IFERROR(MATCH(238,ChqRankL,0),0)=0,"",INDEX(ChqNorm,IFERROR(MATCH(238,ChqRankL,0),0)))</f>
        <v/>
      </c>
      <c r="C254" s="15" t="str">
        <f>IF(IFERROR(MATCH(238,ChqRankL,0),0)=0,"",INDEX(ChqNo,IFERROR(MATCH(238,ChqRankL,0),0)))</f>
        <v/>
      </c>
      <c r="D254" s="16" t="str">
        <f>IF(IFERROR(MATCH(238,ChqRankL,0),0)=0,"",IF(INDEX(ChqAmt,IFERROR(MATCH(238,ChqRankL,0),0))=0,"",INDEX(ChqAmt,IFERROR(MATCH(238,ChqRankL,0),0))))</f>
        <v/>
      </c>
      <c r="E254" s="10" t="str">
        <f>IF(IFERROR(MATCH(238,ChqRankL,0),0)=0,"",INDEX(ChqStatus,IFERROR(MATCH(238,ChqRankL,0),0)))</f>
        <v/>
      </c>
      <c r="F254" s="15" t="str">
        <f>IF(IFERROR(MATCH(238,ChqRankL,0),0)=0,"",IF(INDEX(ChqStatus,IFERROR(MATCH(238,ChqRankL,0),0))="پاس نشده","—",IF(INDEX(ChqClr,IFERROR(MATCH(238,ChqRankL,0),0))="","—",INDEX(ChqClr,IFERROR(MATCH(238,ChqRankL,0),0)))))</f>
        <v/>
      </c>
      <c r="I254" t="str">
        <f>IF(238&gt;NChq,"",INDEX(ChqNorm,238))</f>
        <v/>
      </c>
      <c r="J254" t="str">
        <f t="shared" si="6"/>
        <v/>
      </c>
      <c r="K254" t="str">
        <f>IF($J254=0,"",INDEX(ChqKey,238))</f>
        <v/>
      </c>
      <c r="L254" t="str">
        <f t="shared" si="7"/>
        <v/>
      </c>
    </row>
    <row r="255" spans="1:12" x14ac:dyDescent="0.2">
      <c r="A255" s="3" t="str">
        <f>IF(IFERROR(MATCH(239,ChqRankL,0),0)=0,"",239)</f>
        <v/>
      </c>
      <c r="B255" s="13" t="str">
        <f>IF(IFERROR(MATCH(239,ChqRankL,0),0)=0,"",INDEX(ChqNorm,IFERROR(MATCH(239,ChqRankL,0),0)))</f>
        <v/>
      </c>
      <c r="C255" s="13" t="str">
        <f>IF(IFERROR(MATCH(239,ChqRankL,0),0)=0,"",INDEX(ChqNo,IFERROR(MATCH(239,ChqRankL,0),0)))</f>
        <v/>
      </c>
      <c r="D255" s="14" t="str">
        <f>IF(IFERROR(MATCH(239,ChqRankL,0),0)=0,"",IF(INDEX(ChqAmt,IFERROR(MATCH(239,ChqRankL,0),0))=0,"",INDEX(ChqAmt,IFERROR(MATCH(239,ChqRankL,0),0))))</f>
        <v/>
      </c>
      <c r="E255" s="7" t="str">
        <f>IF(IFERROR(MATCH(239,ChqRankL,0),0)=0,"",INDEX(ChqStatus,IFERROR(MATCH(239,ChqRankL,0),0)))</f>
        <v/>
      </c>
      <c r="F255" s="13" t="str">
        <f>IF(IFERROR(MATCH(239,ChqRankL,0),0)=0,"",IF(INDEX(ChqStatus,IFERROR(MATCH(239,ChqRankL,0),0))="پاس نشده","—",IF(INDEX(ChqClr,IFERROR(MATCH(239,ChqRankL,0),0))="","—",INDEX(ChqClr,IFERROR(MATCH(239,ChqRankL,0),0)))))</f>
        <v/>
      </c>
      <c r="I255" t="str">
        <f>IF(239&gt;NChq,"",INDEX(ChqNorm,239))</f>
        <v/>
      </c>
      <c r="J255" t="str">
        <f t="shared" si="6"/>
        <v/>
      </c>
      <c r="K255" t="str">
        <f>IF($J255=0,"",INDEX(ChqKey,239))</f>
        <v/>
      </c>
      <c r="L255" t="str">
        <f t="shared" si="7"/>
        <v/>
      </c>
    </row>
    <row r="256" spans="1:12" x14ac:dyDescent="0.2">
      <c r="A256" s="9" t="str">
        <f>IF(IFERROR(MATCH(240,ChqRankL,0),0)=0,"",240)</f>
        <v/>
      </c>
      <c r="B256" s="15" t="str">
        <f>IF(IFERROR(MATCH(240,ChqRankL,0),0)=0,"",INDEX(ChqNorm,IFERROR(MATCH(240,ChqRankL,0),0)))</f>
        <v/>
      </c>
      <c r="C256" s="15" t="str">
        <f>IF(IFERROR(MATCH(240,ChqRankL,0),0)=0,"",INDEX(ChqNo,IFERROR(MATCH(240,ChqRankL,0),0)))</f>
        <v/>
      </c>
      <c r="D256" s="16" t="str">
        <f>IF(IFERROR(MATCH(240,ChqRankL,0),0)=0,"",IF(INDEX(ChqAmt,IFERROR(MATCH(240,ChqRankL,0),0))=0,"",INDEX(ChqAmt,IFERROR(MATCH(240,ChqRankL,0),0))))</f>
        <v/>
      </c>
      <c r="E256" s="10" t="str">
        <f>IF(IFERROR(MATCH(240,ChqRankL,0),0)=0,"",INDEX(ChqStatus,IFERROR(MATCH(240,ChqRankL,0),0)))</f>
        <v/>
      </c>
      <c r="F256" s="15" t="str">
        <f>IF(IFERROR(MATCH(240,ChqRankL,0),0)=0,"",IF(INDEX(ChqStatus,IFERROR(MATCH(240,ChqRankL,0),0))="پاس نشده","—",IF(INDEX(ChqClr,IFERROR(MATCH(240,ChqRankL,0),0))="","—",INDEX(ChqClr,IFERROR(MATCH(240,ChqRankL,0),0)))))</f>
        <v/>
      </c>
      <c r="I256" t="str">
        <f>IF(240&gt;NChq,"",INDEX(ChqNorm,240))</f>
        <v/>
      </c>
      <c r="J256" t="str">
        <f t="shared" si="6"/>
        <v/>
      </c>
      <c r="K256" t="str">
        <f>IF($J256=0,"",INDEX(ChqKey,240))</f>
        <v/>
      </c>
      <c r="L256" t="str">
        <f t="shared" si="7"/>
        <v/>
      </c>
    </row>
    <row r="257" spans="1:12" x14ac:dyDescent="0.2">
      <c r="A257" s="3" t="str">
        <f>IF(IFERROR(MATCH(241,ChqRankL,0),0)=0,"",241)</f>
        <v/>
      </c>
      <c r="B257" s="13" t="str">
        <f>IF(IFERROR(MATCH(241,ChqRankL,0),0)=0,"",INDEX(ChqNorm,IFERROR(MATCH(241,ChqRankL,0),0)))</f>
        <v/>
      </c>
      <c r="C257" s="13" t="str">
        <f>IF(IFERROR(MATCH(241,ChqRankL,0),0)=0,"",INDEX(ChqNo,IFERROR(MATCH(241,ChqRankL,0),0)))</f>
        <v/>
      </c>
      <c r="D257" s="14" t="str">
        <f>IF(IFERROR(MATCH(241,ChqRankL,0),0)=0,"",IF(INDEX(ChqAmt,IFERROR(MATCH(241,ChqRankL,0),0))=0,"",INDEX(ChqAmt,IFERROR(MATCH(241,ChqRankL,0),0))))</f>
        <v/>
      </c>
      <c r="E257" s="7" t="str">
        <f>IF(IFERROR(MATCH(241,ChqRankL,0),0)=0,"",INDEX(ChqStatus,IFERROR(MATCH(241,ChqRankL,0),0)))</f>
        <v/>
      </c>
      <c r="F257" s="13" t="str">
        <f>IF(IFERROR(MATCH(241,ChqRankL,0),0)=0,"",IF(INDEX(ChqStatus,IFERROR(MATCH(241,ChqRankL,0),0))="پاس نشده","—",IF(INDEX(ChqClr,IFERROR(MATCH(241,ChqRankL,0),0))="","—",INDEX(ChqClr,IFERROR(MATCH(241,ChqRankL,0),0)))))</f>
        <v/>
      </c>
      <c r="I257" t="str">
        <f>IF(241&gt;NChq,"",INDEX(ChqNorm,241))</f>
        <v/>
      </c>
      <c r="J257" t="str">
        <f t="shared" si="6"/>
        <v/>
      </c>
      <c r="K257" t="str">
        <f>IF($J257=0,"",INDEX(ChqKey,241))</f>
        <v/>
      </c>
      <c r="L257" t="str">
        <f t="shared" si="7"/>
        <v/>
      </c>
    </row>
    <row r="258" spans="1:12" x14ac:dyDescent="0.2">
      <c r="A258" s="9" t="str">
        <f>IF(IFERROR(MATCH(242,ChqRankL,0),0)=0,"",242)</f>
        <v/>
      </c>
      <c r="B258" s="15" t="str">
        <f>IF(IFERROR(MATCH(242,ChqRankL,0),0)=0,"",INDEX(ChqNorm,IFERROR(MATCH(242,ChqRankL,0),0)))</f>
        <v/>
      </c>
      <c r="C258" s="15" t="str">
        <f>IF(IFERROR(MATCH(242,ChqRankL,0),0)=0,"",INDEX(ChqNo,IFERROR(MATCH(242,ChqRankL,0),0)))</f>
        <v/>
      </c>
      <c r="D258" s="16" t="str">
        <f>IF(IFERROR(MATCH(242,ChqRankL,0),0)=0,"",IF(INDEX(ChqAmt,IFERROR(MATCH(242,ChqRankL,0),0))=0,"",INDEX(ChqAmt,IFERROR(MATCH(242,ChqRankL,0),0))))</f>
        <v/>
      </c>
      <c r="E258" s="10" t="str">
        <f>IF(IFERROR(MATCH(242,ChqRankL,0),0)=0,"",INDEX(ChqStatus,IFERROR(MATCH(242,ChqRankL,0),0)))</f>
        <v/>
      </c>
      <c r="F258" s="15" t="str">
        <f>IF(IFERROR(MATCH(242,ChqRankL,0),0)=0,"",IF(INDEX(ChqStatus,IFERROR(MATCH(242,ChqRankL,0),0))="پاس نشده","—",IF(INDEX(ChqClr,IFERROR(MATCH(242,ChqRankL,0),0))="","—",INDEX(ChqClr,IFERROR(MATCH(242,ChqRankL,0),0)))))</f>
        <v/>
      </c>
      <c r="I258" t="str">
        <f>IF(242&gt;NChq,"",INDEX(ChqNorm,242))</f>
        <v/>
      </c>
      <c r="J258" t="str">
        <f t="shared" si="6"/>
        <v/>
      </c>
      <c r="K258" t="str">
        <f>IF($J258=0,"",INDEX(ChqKey,242))</f>
        <v/>
      </c>
      <c r="L258" t="str">
        <f t="shared" si="7"/>
        <v/>
      </c>
    </row>
    <row r="259" spans="1:12" x14ac:dyDescent="0.2">
      <c r="A259" s="3" t="str">
        <f>IF(IFERROR(MATCH(243,ChqRankL,0),0)=0,"",243)</f>
        <v/>
      </c>
      <c r="B259" s="13" t="str">
        <f>IF(IFERROR(MATCH(243,ChqRankL,0),0)=0,"",INDEX(ChqNorm,IFERROR(MATCH(243,ChqRankL,0),0)))</f>
        <v/>
      </c>
      <c r="C259" s="13" t="str">
        <f>IF(IFERROR(MATCH(243,ChqRankL,0),0)=0,"",INDEX(ChqNo,IFERROR(MATCH(243,ChqRankL,0),0)))</f>
        <v/>
      </c>
      <c r="D259" s="14" t="str">
        <f>IF(IFERROR(MATCH(243,ChqRankL,0),0)=0,"",IF(INDEX(ChqAmt,IFERROR(MATCH(243,ChqRankL,0),0))=0,"",INDEX(ChqAmt,IFERROR(MATCH(243,ChqRankL,0),0))))</f>
        <v/>
      </c>
      <c r="E259" s="7" t="str">
        <f>IF(IFERROR(MATCH(243,ChqRankL,0),0)=0,"",INDEX(ChqStatus,IFERROR(MATCH(243,ChqRankL,0),0)))</f>
        <v/>
      </c>
      <c r="F259" s="13" t="str">
        <f>IF(IFERROR(MATCH(243,ChqRankL,0),0)=0,"",IF(INDEX(ChqStatus,IFERROR(MATCH(243,ChqRankL,0),0))="پاس نشده","—",IF(INDEX(ChqClr,IFERROR(MATCH(243,ChqRankL,0),0))="","—",INDEX(ChqClr,IFERROR(MATCH(243,ChqRankL,0),0)))))</f>
        <v/>
      </c>
      <c r="I259" t="str">
        <f>IF(243&gt;NChq,"",INDEX(ChqNorm,243))</f>
        <v/>
      </c>
      <c r="J259" t="str">
        <f t="shared" si="6"/>
        <v/>
      </c>
      <c r="K259" t="str">
        <f>IF($J259=0,"",INDEX(ChqKey,243))</f>
        <v/>
      </c>
      <c r="L259" t="str">
        <f t="shared" si="7"/>
        <v/>
      </c>
    </row>
    <row r="260" spans="1:12" x14ac:dyDescent="0.2">
      <c r="A260" s="9" t="str">
        <f>IF(IFERROR(MATCH(244,ChqRankL,0),0)=0,"",244)</f>
        <v/>
      </c>
      <c r="B260" s="15" t="str">
        <f>IF(IFERROR(MATCH(244,ChqRankL,0),0)=0,"",INDEX(ChqNorm,IFERROR(MATCH(244,ChqRankL,0),0)))</f>
        <v/>
      </c>
      <c r="C260" s="15" t="str">
        <f>IF(IFERROR(MATCH(244,ChqRankL,0),0)=0,"",INDEX(ChqNo,IFERROR(MATCH(244,ChqRankL,0),0)))</f>
        <v/>
      </c>
      <c r="D260" s="16" t="str">
        <f>IF(IFERROR(MATCH(244,ChqRankL,0),0)=0,"",IF(INDEX(ChqAmt,IFERROR(MATCH(244,ChqRankL,0),0))=0,"",INDEX(ChqAmt,IFERROR(MATCH(244,ChqRankL,0),0))))</f>
        <v/>
      </c>
      <c r="E260" s="10" t="str">
        <f>IF(IFERROR(MATCH(244,ChqRankL,0),0)=0,"",INDEX(ChqStatus,IFERROR(MATCH(244,ChqRankL,0),0)))</f>
        <v/>
      </c>
      <c r="F260" s="15" t="str">
        <f>IF(IFERROR(MATCH(244,ChqRankL,0),0)=0,"",IF(INDEX(ChqStatus,IFERROR(MATCH(244,ChqRankL,0),0))="پاس نشده","—",IF(INDEX(ChqClr,IFERROR(MATCH(244,ChqRankL,0),0))="","—",INDEX(ChqClr,IFERROR(MATCH(244,ChqRankL,0),0)))))</f>
        <v/>
      </c>
      <c r="I260" t="str">
        <f>IF(244&gt;NChq,"",INDEX(ChqNorm,244))</f>
        <v/>
      </c>
      <c r="J260" t="str">
        <f t="shared" si="6"/>
        <v/>
      </c>
      <c r="K260" t="str">
        <f>IF($J260=0,"",INDEX(ChqKey,244))</f>
        <v/>
      </c>
      <c r="L260" t="str">
        <f t="shared" si="7"/>
        <v/>
      </c>
    </row>
    <row r="261" spans="1:12" x14ac:dyDescent="0.2">
      <c r="A261" s="3" t="str">
        <f>IF(IFERROR(MATCH(245,ChqRankL,0),0)=0,"",245)</f>
        <v/>
      </c>
      <c r="B261" s="13" t="str">
        <f>IF(IFERROR(MATCH(245,ChqRankL,0),0)=0,"",INDEX(ChqNorm,IFERROR(MATCH(245,ChqRankL,0),0)))</f>
        <v/>
      </c>
      <c r="C261" s="13" t="str">
        <f>IF(IFERROR(MATCH(245,ChqRankL,0),0)=0,"",INDEX(ChqNo,IFERROR(MATCH(245,ChqRankL,0),0)))</f>
        <v/>
      </c>
      <c r="D261" s="14" t="str">
        <f>IF(IFERROR(MATCH(245,ChqRankL,0),0)=0,"",IF(INDEX(ChqAmt,IFERROR(MATCH(245,ChqRankL,0),0))=0,"",INDEX(ChqAmt,IFERROR(MATCH(245,ChqRankL,0),0))))</f>
        <v/>
      </c>
      <c r="E261" s="7" t="str">
        <f>IF(IFERROR(MATCH(245,ChqRankL,0),0)=0,"",INDEX(ChqStatus,IFERROR(MATCH(245,ChqRankL,0),0)))</f>
        <v/>
      </c>
      <c r="F261" s="13" t="str">
        <f>IF(IFERROR(MATCH(245,ChqRankL,0),0)=0,"",IF(INDEX(ChqStatus,IFERROR(MATCH(245,ChqRankL,0),0))="پاس نشده","—",IF(INDEX(ChqClr,IFERROR(MATCH(245,ChqRankL,0),0))="","—",INDEX(ChqClr,IFERROR(MATCH(245,ChqRankL,0),0)))))</f>
        <v/>
      </c>
      <c r="I261" t="str">
        <f>IF(245&gt;NChq,"",INDEX(ChqNorm,245))</f>
        <v/>
      </c>
      <c r="J261" t="str">
        <f t="shared" si="6"/>
        <v/>
      </c>
      <c r="K261" t="str">
        <f>IF($J261=0,"",INDEX(ChqKey,245))</f>
        <v/>
      </c>
      <c r="L261" t="str">
        <f t="shared" si="7"/>
        <v/>
      </c>
    </row>
    <row r="262" spans="1:12" x14ac:dyDescent="0.2">
      <c r="A262" s="9" t="str">
        <f>IF(IFERROR(MATCH(246,ChqRankL,0),0)=0,"",246)</f>
        <v/>
      </c>
      <c r="B262" s="15" t="str">
        <f>IF(IFERROR(MATCH(246,ChqRankL,0),0)=0,"",INDEX(ChqNorm,IFERROR(MATCH(246,ChqRankL,0),0)))</f>
        <v/>
      </c>
      <c r="C262" s="15" t="str">
        <f>IF(IFERROR(MATCH(246,ChqRankL,0),0)=0,"",INDEX(ChqNo,IFERROR(MATCH(246,ChqRankL,0),0)))</f>
        <v/>
      </c>
      <c r="D262" s="16" t="str">
        <f>IF(IFERROR(MATCH(246,ChqRankL,0),0)=0,"",IF(INDEX(ChqAmt,IFERROR(MATCH(246,ChqRankL,0),0))=0,"",INDEX(ChqAmt,IFERROR(MATCH(246,ChqRankL,0),0))))</f>
        <v/>
      </c>
      <c r="E262" s="10" t="str">
        <f>IF(IFERROR(MATCH(246,ChqRankL,0),0)=0,"",INDEX(ChqStatus,IFERROR(MATCH(246,ChqRankL,0),0)))</f>
        <v/>
      </c>
      <c r="F262" s="15" t="str">
        <f>IF(IFERROR(MATCH(246,ChqRankL,0),0)=0,"",IF(INDEX(ChqStatus,IFERROR(MATCH(246,ChqRankL,0),0))="پاس نشده","—",IF(INDEX(ChqClr,IFERROR(MATCH(246,ChqRankL,0),0))="","—",INDEX(ChqClr,IFERROR(MATCH(246,ChqRankL,0),0)))))</f>
        <v/>
      </c>
      <c r="I262" t="str">
        <f>IF(246&gt;NChq,"",INDEX(ChqNorm,246))</f>
        <v/>
      </c>
      <c r="J262" t="str">
        <f t="shared" si="6"/>
        <v/>
      </c>
      <c r="K262" t="str">
        <f>IF($J262=0,"",INDEX(ChqKey,246))</f>
        <v/>
      </c>
      <c r="L262" t="str">
        <f t="shared" si="7"/>
        <v/>
      </c>
    </row>
    <row r="263" spans="1:12" x14ac:dyDescent="0.2">
      <c r="A263" s="3" t="str">
        <f>IF(IFERROR(MATCH(247,ChqRankL,0),0)=0,"",247)</f>
        <v/>
      </c>
      <c r="B263" s="13" t="str">
        <f>IF(IFERROR(MATCH(247,ChqRankL,0),0)=0,"",INDEX(ChqNorm,IFERROR(MATCH(247,ChqRankL,0),0)))</f>
        <v/>
      </c>
      <c r="C263" s="13" t="str">
        <f>IF(IFERROR(MATCH(247,ChqRankL,0),0)=0,"",INDEX(ChqNo,IFERROR(MATCH(247,ChqRankL,0),0)))</f>
        <v/>
      </c>
      <c r="D263" s="14" t="str">
        <f>IF(IFERROR(MATCH(247,ChqRankL,0),0)=0,"",IF(INDEX(ChqAmt,IFERROR(MATCH(247,ChqRankL,0),0))=0,"",INDEX(ChqAmt,IFERROR(MATCH(247,ChqRankL,0),0))))</f>
        <v/>
      </c>
      <c r="E263" s="7" t="str">
        <f>IF(IFERROR(MATCH(247,ChqRankL,0),0)=0,"",INDEX(ChqStatus,IFERROR(MATCH(247,ChqRankL,0),0)))</f>
        <v/>
      </c>
      <c r="F263" s="13" t="str">
        <f>IF(IFERROR(MATCH(247,ChqRankL,0),0)=0,"",IF(INDEX(ChqStatus,IFERROR(MATCH(247,ChqRankL,0),0))="پاس نشده","—",IF(INDEX(ChqClr,IFERROR(MATCH(247,ChqRankL,0),0))="","—",INDEX(ChqClr,IFERROR(MATCH(247,ChqRankL,0),0)))))</f>
        <v/>
      </c>
      <c r="I263" t="str">
        <f>IF(247&gt;NChq,"",INDEX(ChqNorm,247))</f>
        <v/>
      </c>
      <c r="J263" t="str">
        <f t="shared" si="6"/>
        <v/>
      </c>
      <c r="K263" t="str">
        <f>IF($J263=0,"",INDEX(ChqKey,247))</f>
        <v/>
      </c>
      <c r="L263" t="str">
        <f t="shared" si="7"/>
        <v/>
      </c>
    </row>
    <row r="264" spans="1:12" x14ac:dyDescent="0.2">
      <c r="A264" s="9" t="str">
        <f>IF(IFERROR(MATCH(248,ChqRankL,0),0)=0,"",248)</f>
        <v/>
      </c>
      <c r="B264" s="15" t="str">
        <f>IF(IFERROR(MATCH(248,ChqRankL,0),0)=0,"",INDEX(ChqNorm,IFERROR(MATCH(248,ChqRankL,0),0)))</f>
        <v/>
      </c>
      <c r="C264" s="15" t="str">
        <f>IF(IFERROR(MATCH(248,ChqRankL,0),0)=0,"",INDEX(ChqNo,IFERROR(MATCH(248,ChqRankL,0),0)))</f>
        <v/>
      </c>
      <c r="D264" s="16" t="str">
        <f>IF(IFERROR(MATCH(248,ChqRankL,0),0)=0,"",IF(INDEX(ChqAmt,IFERROR(MATCH(248,ChqRankL,0),0))=0,"",INDEX(ChqAmt,IFERROR(MATCH(248,ChqRankL,0),0))))</f>
        <v/>
      </c>
      <c r="E264" s="10" t="str">
        <f>IF(IFERROR(MATCH(248,ChqRankL,0),0)=0,"",INDEX(ChqStatus,IFERROR(MATCH(248,ChqRankL,0),0)))</f>
        <v/>
      </c>
      <c r="F264" s="15" t="str">
        <f>IF(IFERROR(MATCH(248,ChqRankL,0),0)=0,"",IF(INDEX(ChqStatus,IFERROR(MATCH(248,ChqRankL,0),0))="پاس نشده","—",IF(INDEX(ChqClr,IFERROR(MATCH(248,ChqRankL,0),0))="","—",INDEX(ChqClr,IFERROR(MATCH(248,ChqRankL,0),0)))))</f>
        <v/>
      </c>
      <c r="I264" t="str">
        <f>IF(248&gt;NChq,"",INDEX(ChqNorm,248))</f>
        <v/>
      </c>
      <c r="J264" t="str">
        <f t="shared" si="6"/>
        <v/>
      </c>
      <c r="K264" t="str">
        <f>IF($J264=0,"",INDEX(ChqKey,248))</f>
        <v/>
      </c>
      <c r="L264" t="str">
        <f t="shared" si="7"/>
        <v/>
      </c>
    </row>
    <row r="265" spans="1:12" x14ac:dyDescent="0.2">
      <c r="A265" s="3" t="str">
        <f>IF(IFERROR(MATCH(249,ChqRankL,0),0)=0,"",249)</f>
        <v/>
      </c>
      <c r="B265" s="13" t="str">
        <f>IF(IFERROR(MATCH(249,ChqRankL,0),0)=0,"",INDEX(ChqNorm,IFERROR(MATCH(249,ChqRankL,0),0)))</f>
        <v/>
      </c>
      <c r="C265" s="13" t="str">
        <f>IF(IFERROR(MATCH(249,ChqRankL,0),0)=0,"",INDEX(ChqNo,IFERROR(MATCH(249,ChqRankL,0),0)))</f>
        <v/>
      </c>
      <c r="D265" s="14" t="str">
        <f>IF(IFERROR(MATCH(249,ChqRankL,0),0)=0,"",IF(INDEX(ChqAmt,IFERROR(MATCH(249,ChqRankL,0),0))=0,"",INDEX(ChqAmt,IFERROR(MATCH(249,ChqRankL,0),0))))</f>
        <v/>
      </c>
      <c r="E265" s="7" t="str">
        <f>IF(IFERROR(MATCH(249,ChqRankL,0),0)=0,"",INDEX(ChqStatus,IFERROR(MATCH(249,ChqRankL,0),0)))</f>
        <v/>
      </c>
      <c r="F265" s="13" t="str">
        <f>IF(IFERROR(MATCH(249,ChqRankL,0),0)=0,"",IF(INDEX(ChqStatus,IFERROR(MATCH(249,ChqRankL,0),0))="پاس نشده","—",IF(INDEX(ChqClr,IFERROR(MATCH(249,ChqRankL,0),0))="","—",INDEX(ChqClr,IFERROR(MATCH(249,ChqRankL,0),0)))))</f>
        <v/>
      </c>
      <c r="I265" t="str">
        <f>IF(249&gt;NChq,"",INDEX(ChqNorm,249))</f>
        <v/>
      </c>
      <c r="J265" t="str">
        <f t="shared" si="6"/>
        <v/>
      </c>
      <c r="K265" t="str">
        <f>IF($J265=0,"",INDEX(ChqKey,249))</f>
        <v/>
      </c>
      <c r="L265" t="str">
        <f t="shared" si="7"/>
        <v/>
      </c>
    </row>
    <row r="266" spans="1:12" x14ac:dyDescent="0.2">
      <c r="A266" s="9" t="str">
        <f>IF(IFERROR(MATCH(250,ChqRankL,0),0)=0,"",250)</f>
        <v/>
      </c>
      <c r="B266" s="15" t="str">
        <f>IF(IFERROR(MATCH(250,ChqRankL,0),0)=0,"",INDEX(ChqNorm,IFERROR(MATCH(250,ChqRankL,0),0)))</f>
        <v/>
      </c>
      <c r="C266" s="15" t="str">
        <f>IF(IFERROR(MATCH(250,ChqRankL,0),0)=0,"",INDEX(ChqNo,IFERROR(MATCH(250,ChqRankL,0),0)))</f>
        <v/>
      </c>
      <c r="D266" s="16" t="str">
        <f>IF(IFERROR(MATCH(250,ChqRankL,0),0)=0,"",IF(INDEX(ChqAmt,IFERROR(MATCH(250,ChqRankL,0),0))=0,"",INDEX(ChqAmt,IFERROR(MATCH(250,ChqRankL,0),0))))</f>
        <v/>
      </c>
      <c r="E266" s="10" t="str">
        <f>IF(IFERROR(MATCH(250,ChqRankL,0),0)=0,"",INDEX(ChqStatus,IFERROR(MATCH(250,ChqRankL,0),0)))</f>
        <v/>
      </c>
      <c r="F266" s="15" t="str">
        <f>IF(IFERROR(MATCH(250,ChqRankL,0),0)=0,"",IF(INDEX(ChqStatus,IFERROR(MATCH(250,ChqRankL,0),0))="پاس نشده","—",IF(INDEX(ChqClr,IFERROR(MATCH(250,ChqRankL,0),0))="","—",INDEX(ChqClr,IFERROR(MATCH(250,ChqRankL,0),0)))))</f>
        <v/>
      </c>
      <c r="I266" t="str">
        <f>IF(250&gt;NChq,"",INDEX(ChqNorm,250))</f>
        <v/>
      </c>
      <c r="J266" t="str">
        <f t="shared" si="6"/>
        <v/>
      </c>
      <c r="K266" t="str">
        <f>IF($J266=0,"",INDEX(ChqKey,250))</f>
        <v/>
      </c>
      <c r="L266" t="str">
        <f t="shared" si="7"/>
        <v/>
      </c>
    </row>
    <row r="267" spans="1:12" x14ac:dyDescent="0.2">
      <c r="A267" s="3" t="str">
        <f>IF(IFERROR(MATCH(251,ChqRankL,0),0)=0,"",251)</f>
        <v/>
      </c>
      <c r="B267" s="13" t="str">
        <f>IF(IFERROR(MATCH(251,ChqRankL,0),0)=0,"",INDEX(ChqNorm,IFERROR(MATCH(251,ChqRankL,0),0)))</f>
        <v/>
      </c>
      <c r="C267" s="13" t="str">
        <f>IF(IFERROR(MATCH(251,ChqRankL,0),0)=0,"",INDEX(ChqNo,IFERROR(MATCH(251,ChqRankL,0),0)))</f>
        <v/>
      </c>
      <c r="D267" s="14" t="str">
        <f>IF(IFERROR(MATCH(251,ChqRankL,0),0)=0,"",IF(INDEX(ChqAmt,IFERROR(MATCH(251,ChqRankL,0),0))=0,"",INDEX(ChqAmt,IFERROR(MATCH(251,ChqRankL,0),0))))</f>
        <v/>
      </c>
      <c r="E267" s="7" t="str">
        <f>IF(IFERROR(MATCH(251,ChqRankL,0),0)=0,"",INDEX(ChqStatus,IFERROR(MATCH(251,ChqRankL,0),0)))</f>
        <v/>
      </c>
      <c r="F267" s="13" t="str">
        <f>IF(IFERROR(MATCH(251,ChqRankL,0),0)=0,"",IF(INDEX(ChqStatus,IFERROR(MATCH(251,ChqRankL,0),0))="پاس نشده","—",IF(INDEX(ChqClr,IFERROR(MATCH(251,ChqRankL,0),0))="","—",INDEX(ChqClr,IFERROR(MATCH(251,ChqRankL,0),0)))))</f>
        <v/>
      </c>
      <c r="I267" t="str">
        <f>IF(251&gt;NChq,"",INDEX(ChqNorm,251))</f>
        <v/>
      </c>
      <c r="J267" t="str">
        <f t="shared" si="6"/>
        <v/>
      </c>
      <c r="K267" t="str">
        <f>IF($J267=0,"",INDEX(ChqKey,251))</f>
        <v/>
      </c>
      <c r="L267" t="str">
        <f t="shared" si="7"/>
        <v/>
      </c>
    </row>
    <row r="268" spans="1:12" x14ac:dyDescent="0.2">
      <c r="A268" s="9" t="str">
        <f>IF(IFERROR(MATCH(252,ChqRankL,0),0)=0,"",252)</f>
        <v/>
      </c>
      <c r="B268" s="15" t="str">
        <f>IF(IFERROR(MATCH(252,ChqRankL,0),0)=0,"",INDEX(ChqNorm,IFERROR(MATCH(252,ChqRankL,0),0)))</f>
        <v/>
      </c>
      <c r="C268" s="15" t="str">
        <f>IF(IFERROR(MATCH(252,ChqRankL,0),0)=0,"",INDEX(ChqNo,IFERROR(MATCH(252,ChqRankL,0),0)))</f>
        <v/>
      </c>
      <c r="D268" s="16" t="str">
        <f>IF(IFERROR(MATCH(252,ChqRankL,0),0)=0,"",IF(INDEX(ChqAmt,IFERROR(MATCH(252,ChqRankL,0),0))=0,"",INDEX(ChqAmt,IFERROR(MATCH(252,ChqRankL,0),0))))</f>
        <v/>
      </c>
      <c r="E268" s="10" t="str">
        <f>IF(IFERROR(MATCH(252,ChqRankL,0),0)=0,"",INDEX(ChqStatus,IFERROR(MATCH(252,ChqRankL,0),0)))</f>
        <v/>
      </c>
      <c r="F268" s="15" t="str">
        <f>IF(IFERROR(MATCH(252,ChqRankL,0),0)=0,"",IF(INDEX(ChqStatus,IFERROR(MATCH(252,ChqRankL,0),0))="پاس نشده","—",IF(INDEX(ChqClr,IFERROR(MATCH(252,ChqRankL,0),0))="","—",INDEX(ChqClr,IFERROR(MATCH(252,ChqRankL,0),0)))))</f>
        <v/>
      </c>
      <c r="I268" t="str">
        <f>IF(252&gt;NChq,"",INDEX(ChqNorm,252))</f>
        <v/>
      </c>
      <c r="J268" t="str">
        <f t="shared" si="6"/>
        <v/>
      </c>
      <c r="K268" t="str">
        <f>IF($J268=0,"",INDEX(ChqKey,252))</f>
        <v/>
      </c>
      <c r="L268" t="str">
        <f t="shared" si="7"/>
        <v/>
      </c>
    </row>
    <row r="269" spans="1:12" x14ac:dyDescent="0.2">
      <c r="A269" s="3" t="str">
        <f>IF(IFERROR(MATCH(253,ChqRankL,0),0)=0,"",253)</f>
        <v/>
      </c>
      <c r="B269" s="13" t="str">
        <f>IF(IFERROR(MATCH(253,ChqRankL,0),0)=0,"",INDEX(ChqNorm,IFERROR(MATCH(253,ChqRankL,0),0)))</f>
        <v/>
      </c>
      <c r="C269" s="13" t="str">
        <f>IF(IFERROR(MATCH(253,ChqRankL,0),0)=0,"",INDEX(ChqNo,IFERROR(MATCH(253,ChqRankL,0),0)))</f>
        <v/>
      </c>
      <c r="D269" s="14" t="str">
        <f>IF(IFERROR(MATCH(253,ChqRankL,0),0)=0,"",IF(INDEX(ChqAmt,IFERROR(MATCH(253,ChqRankL,0),0))=0,"",INDEX(ChqAmt,IFERROR(MATCH(253,ChqRankL,0),0))))</f>
        <v/>
      </c>
      <c r="E269" s="7" t="str">
        <f>IF(IFERROR(MATCH(253,ChqRankL,0),0)=0,"",INDEX(ChqStatus,IFERROR(MATCH(253,ChqRankL,0),0)))</f>
        <v/>
      </c>
      <c r="F269" s="13" t="str">
        <f>IF(IFERROR(MATCH(253,ChqRankL,0),0)=0,"",IF(INDEX(ChqStatus,IFERROR(MATCH(253,ChqRankL,0),0))="پاس نشده","—",IF(INDEX(ChqClr,IFERROR(MATCH(253,ChqRankL,0),0))="","—",INDEX(ChqClr,IFERROR(MATCH(253,ChqRankL,0),0)))))</f>
        <v/>
      </c>
      <c r="I269" t="str">
        <f>IF(253&gt;NChq,"",INDEX(ChqNorm,253))</f>
        <v/>
      </c>
      <c r="J269" t="str">
        <f t="shared" si="6"/>
        <v/>
      </c>
      <c r="K269" t="str">
        <f>IF($J269=0,"",INDEX(ChqKey,253))</f>
        <v/>
      </c>
      <c r="L269" t="str">
        <f t="shared" si="7"/>
        <v/>
      </c>
    </row>
    <row r="270" spans="1:12" x14ac:dyDescent="0.2">
      <c r="A270" s="9" t="str">
        <f>IF(IFERROR(MATCH(254,ChqRankL,0),0)=0,"",254)</f>
        <v/>
      </c>
      <c r="B270" s="15" t="str">
        <f>IF(IFERROR(MATCH(254,ChqRankL,0),0)=0,"",INDEX(ChqNorm,IFERROR(MATCH(254,ChqRankL,0),0)))</f>
        <v/>
      </c>
      <c r="C270" s="15" t="str">
        <f>IF(IFERROR(MATCH(254,ChqRankL,0),0)=0,"",INDEX(ChqNo,IFERROR(MATCH(254,ChqRankL,0),0)))</f>
        <v/>
      </c>
      <c r="D270" s="16" t="str">
        <f>IF(IFERROR(MATCH(254,ChqRankL,0),0)=0,"",IF(INDEX(ChqAmt,IFERROR(MATCH(254,ChqRankL,0),0))=0,"",INDEX(ChqAmt,IFERROR(MATCH(254,ChqRankL,0),0))))</f>
        <v/>
      </c>
      <c r="E270" s="10" t="str">
        <f>IF(IFERROR(MATCH(254,ChqRankL,0),0)=0,"",INDEX(ChqStatus,IFERROR(MATCH(254,ChqRankL,0),0)))</f>
        <v/>
      </c>
      <c r="F270" s="15" t="str">
        <f>IF(IFERROR(MATCH(254,ChqRankL,0),0)=0,"",IF(INDEX(ChqStatus,IFERROR(MATCH(254,ChqRankL,0),0))="پاس نشده","—",IF(INDEX(ChqClr,IFERROR(MATCH(254,ChqRankL,0),0))="","—",INDEX(ChqClr,IFERROR(MATCH(254,ChqRankL,0),0)))))</f>
        <v/>
      </c>
      <c r="I270" t="str">
        <f>IF(254&gt;NChq,"",INDEX(ChqNorm,254))</f>
        <v/>
      </c>
      <c r="J270" t="str">
        <f t="shared" si="6"/>
        <v/>
      </c>
      <c r="K270" t="str">
        <f>IF($J270=0,"",INDEX(ChqKey,254))</f>
        <v/>
      </c>
      <c r="L270" t="str">
        <f t="shared" si="7"/>
        <v/>
      </c>
    </row>
    <row r="271" spans="1:12" x14ac:dyDescent="0.2">
      <c r="A271" s="3" t="str">
        <f>IF(IFERROR(MATCH(255,ChqRankL,0),0)=0,"",255)</f>
        <v/>
      </c>
      <c r="B271" s="13" t="str">
        <f>IF(IFERROR(MATCH(255,ChqRankL,0),0)=0,"",INDEX(ChqNorm,IFERROR(MATCH(255,ChqRankL,0),0)))</f>
        <v/>
      </c>
      <c r="C271" s="13" t="str">
        <f>IF(IFERROR(MATCH(255,ChqRankL,0),0)=0,"",INDEX(ChqNo,IFERROR(MATCH(255,ChqRankL,0),0)))</f>
        <v/>
      </c>
      <c r="D271" s="14" t="str">
        <f>IF(IFERROR(MATCH(255,ChqRankL,0),0)=0,"",IF(INDEX(ChqAmt,IFERROR(MATCH(255,ChqRankL,0),0))=0,"",INDEX(ChqAmt,IFERROR(MATCH(255,ChqRankL,0),0))))</f>
        <v/>
      </c>
      <c r="E271" s="7" t="str">
        <f>IF(IFERROR(MATCH(255,ChqRankL,0),0)=0,"",INDEX(ChqStatus,IFERROR(MATCH(255,ChqRankL,0),0)))</f>
        <v/>
      </c>
      <c r="F271" s="13" t="str">
        <f>IF(IFERROR(MATCH(255,ChqRankL,0),0)=0,"",IF(INDEX(ChqStatus,IFERROR(MATCH(255,ChqRankL,0),0))="پاس نشده","—",IF(INDEX(ChqClr,IFERROR(MATCH(255,ChqRankL,0),0))="","—",INDEX(ChqClr,IFERROR(MATCH(255,ChqRankL,0),0)))))</f>
        <v/>
      </c>
      <c r="I271" t="str">
        <f>IF(255&gt;NChq,"",INDEX(ChqNorm,255))</f>
        <v/>
      </c>
      <c r="J271" t="str">
        <f t="shared" si="6"/>
        <v/>
      </c>
      <c r="K271" t="str">
        <f>IF($J271=0,"",INDEX(ChqKey,255))</f>
        <v/>
      </c>
      <c r="L271" t="str">
        <f t="shared" si="7"/>
        <v/>
      </c>
    </row>
    <row r="272" spans="1:12" x14ac:dyDescent="0.2">
      <c r="A272" s="9" t="str">
        <f>IF(IFERROR(MATCH(256,ChqRankL,0),0)=0,"",256)</f>
        <v/>
      </c>
      <c r="B272" s="15" t="str">
        <f>IF(IFERROR(MATCH(256,ChqRankL,0),0)=0,"",INDEX(ChqNorm,IFERROR(MATCH(256,ChqRankL,0),0)))</f>
        <v/>
      </c>
      <c r="C272" s="15" t="str">
        <f>IF(IFERROR(MATCH(256,ChqRankL,0),0)=0,"",INDEX(ChqNo,IFERROR(MATCH(256,ChqRankL,0),0)))</f>
        <v/>
      </c>
      <c r="D272" s="16" t="str">
        <f>IF(IFERROR(MATCH(256,ChqRankL,0),0)=0,"",IF(INDEX(ChqAmt,IFERROR(MATCH(256,ChqRankL,0),0))=0,"",INDEX(ChqAmt,IFERROR(MATCH(256,ChqRankL,0),0))))</f>
        <v/>
      </c>
      <c r="E272" s="10" t="str">
        <f>IF(IFERROR(MATCH(256,ChqRankL,0),0)=0,"",INDEX(ChqStatus,IFERROR(MATCH(256,ChqRankL,0),0)))</f>
        <v/>
      </c>
      <c r="F272" s="15" t="str">
        <f>IF(IFERROR(MATCH(256,ChqRankL,0),0)=0,"",IF(INDEX(ChqStatus,IFERROR(MATCH(256,ChqRankL,0),0))="پاس نشده","—",IF(INDEX(ChqClr,IFERROR(MATCH(256,ChqRankL,0),0))="","—",INDEX(ChqClr,IFERROR(MATCH(256,ChqRankL,0),0)))))</f>
        <v/>
      </c>
      <c r="I272" t="str">
        <f>IF(256&gt;NChq,"",INDEX(ChqNorm,256))</f>
        <v/>
      </c>
      <c r="J272" t="str">
        <f t="shared" si="6"/>
        <v/>
      </c>
      <c r="K272" t="str">
        <f>IF($J272=0,"",INDEX(ChqKey,256))</f>
        <v/>
      </c>
      <c r="L272" t="str">
        <f t="shared" si="7"/>
        <v/>
      </c>
    </row>
    <row r="273" spans="1:12" x14ac:dyDescent="0.2">
      <c r="A273" s="3" t="str">
        <f>IF(IFERROR(MATCH(257,ChqRankL,0),0)=0,"",257)</f>
        <v/>
      </c>
      <c r="B273" s="13" t="str">
        <f>IF(IFERROR(MATCH(257,ChqRankL,0),0)=0,"",INDEX(ChqNorm,IFERROR(MATCH(257,ChqRankL,0),0)))</f>
        <v/>
      </c>
      <c r="C273" s="13" t="str">
        <f>IF(IFERROR(MATCH(257,ChqRankL,0),0)=0,"",INDEX(ChqNo,IFERROR(MATCH(257,ChqRankL,0),0)))</f>
        <v/>
      </c>
      <c r="D273" s="14" t="str">
        <f>IF(IFERROR(MATCH(257,ChqRankL,0),0)=0,"",IF(INDEX(ChqAmt,IFERROR(MATCH(257,ChqRankL,0),0))=0,"",INDEX(ChqAmt,IFERROR(MATCH(257,ChqRankL,0),0))))</f>
        <v/>
      </c>
      <c r="E273" s="7" t="str">
        <f>IF(IFERROR(MATCH(257,ChqRankL,0),0)=0,"",INDEX(ChqStatus,IFERROR(MATCH(257,ChqRankL,0),0)))</f>
        <v/>
      </c>
      <c r="F273" s="13" t="str">
        <f>IF(IFERROR(MATCH(257,ChqRankL,0),0)=0,"",IF(INDEX(ChqStatus,IFERROR(MATCH(257,ChqRankL,0),0))="پاس نشده","—",IF(INDEX(ChqClr,IFERROR(MATCH(257,ChqRankL,0),0))="","—",INDEX(ChqClr,IFERROR(MATCH(257,ChqRankL,0),0)))))</f>
        <v/>
      </c>
      <c r="I273" t="str">
        <f>IF(257&gt;NChq,"",INDEX(ChqNorm,257))</f>
        <v/>
      </c>
      <c r="J273" t="str">
        <f t="shared" ref="J273:J336" si="8">IF($I273="","",IF(AND($I273&gt;=$H$3,$I273&lt;=$H$4),1,0))</f>
        <v/>
      </c>
      <c r="K273" t="str">
        <f>IF($J273=0,"",INDEX(ChqKey,257))</f>
        <v/>
      </c>
      <c r="L273" t="str">
        <f t="shared" ref="L273:L336" si="9">IF($K273="","",COUNTIFS($J$17:$J$516,1,$K$17:$K$516,"&lt;"&amp;$K273)+1)</f>
        <v/>
      </c>
    </row>
    <row r="274" spans="1:12" x14ac:dyDescent="0.2">
      <c r="A274" s="9" t="str">
        <f>IF(IFERROR(MATCH(258,ChqRankL,0),0)=0,"",258)</f>
        <v/>
      </c>
      <c r="B274" s="15" t="str">
        <f>IF(IFERROR(MATCH(258,ChqRankL,0),0)=0,"",INDEX(ChqNorm,IFERROR(MATCH(258,ChqRankL,0),0)))</f>
        <v/>
      </c>
      <c r="C274" s="15" t="str">
        <f>IF(IFERROR(MATCH(258,ChqRankL,0),0)=0,"",INDEX(ChqNo,IFERROR(MATCH(258,ChqRankL,0),0)))</f>
        <v/>
      </c>
      <c r="D274" s="16" t="str">
        <f>IF(IFERROR(MATCH(258,ChqRankL,0),0)=0,"",IF(INDEX(ChqAmt,IFERROR(MATCH(258,ChqRankL,0),0))=0,"",INDEX(ChqAmt,IFERROR(MATCH(258,ChqRankL,0),0))))</f>
        <v/>
      </c>
      <c r="E274" s="10" t="str">
        <f>IF(IFERROR(MATCH(258,ChqRankL,0),0)=0,"",INDEX(ChqStatus,IFERROR(MATCH(258,ChqRankL,0),0)))</f>
        <v/>
      </c>
      <c r="F274" s="15" t="str">
        <f>IF(IFERROR(MATCH(258,ChqRankL,0),0)=0,"",IF(INDEX(ChqStatus,IFERROR(MATCH(258,ChqRankL,0),0))="پاس نشده","—",IF(INDEX(ChqClr,IFERROR(MATCH(258,ChqRankL,0),0))="","—",INDEX(ChqClr,IFERROR(MATCH(258,ChqRankL,0),0)))))</f>
        <v/>
      </c>
      <c r="I274" t="str">
        <f>IF(258&gt;NChq,"",INDEX(ChqNorm,258))</f>
        <v/>
      </c>
      <c r="J274" t="str">
        <f t="shared" si="8"/>
        <v/>
      </c>
      <c r="K274" t="str">
        <f>IF($J274=0,"",INDEX(ChqKey,258))</f>
        <v/>
      </c>
      <c r="L274" t="str">
        <f t="shared" si="9"/>
        <v/>
      </c>
    </row>
    <row r="275" spans="1:12" x14ac:dyDescent="0.2">
      <c r="A275" s="3" t="str">
        <f>IF(IFERROR(MATCH(259,ChqRankL,0),0)=0,"",259)</f>
        <v/>
      </c>
      <c r="B275" s="13" t="str">
        <f>IF(IFERROR(MATCH(259,ChqRankL,0),0)=0,"",INDEX(ChqNorm,IFERROR(MATCH(259,ChqRankL,0),0)))</f>
        <v/>
      </c>
      <c r="C275" s="13" t="str">
        <f>IF(IFERROR(MATCH(259,ChqRankL,0),0)=0,"",INDEX(ChqNo,IFERROR(MATCH(259,ChqRankL,0),0)))</f>
        <v/>
      </c>
      <c r="D275" s="14" t="str">
        <f>IF(IFERROR(MATCH(259,ChqRankL,0),0)=0,"",IF(INDEX(ChqAmt,IFERROR(MATCH(259,ChqRankL,0),0))=0,"",INDEX(ChqAmt,IFERROR(MATCH(259,ChqRankL,0),0))))</f>
        <v/>
      </c>
      <c r="E275" s="7" t="str">
        <f>IF(IFERROR(MATCH(259,ChqRankL,0),0)=0,"",INDEX(ChqStatus,IFERROR(MATCH(259,ChqRankL,0),0)))</f>
        <v/>
      </c>
      <c r="F275" s="13" t="str">
        <f>IF(IFERROR(MATCH(259,ChqRankL,0),0)=0,"",IF(INDEX(ChqStatus,IFERROR(MATCH(259,ChqRankL,0),0))="پاس نشده","—",IF(INDEX(ChqClr,IFERROR(MATCH(259,ChqRankL,0),0))="","—",INDEX(ChqClr,IFERROR(MATCH(259,ChqRankL,0),0)))))</f>
        <v/>
      </c>
      <c r="I275" t="str">
        <f>IF(259&gt;NChq,"",INDEX(ChqNorm,259))</f>
        <v/>
      </c>
      <c r="J275" t="str">
        <f t="shared" si="8"/>
        <v/>
      </c>
      <c r="K275" t="str">
        <f>IF($J275=0,"",INDEX(ChqKey,259))</f>
        <v/>
      </c>
      <c r="L275" t="str">
        <f t="shared" si="9"/>
        <v/>
      </c>
    </row>
    <row r="276" spans="1:12" x14ac:dyDescent="0.2">
      <c r="A276" s="9" t="str">
        <f>IF(IFERROR(MATCH(260,ChqRankL,0),0)=0,"",260)</f>
        <v/>
      </c>
      <c r="B276" s="15" t="str">
        <f>IF(IFERROR(MATCH(260,ChqRankL,0),0)=0,"",INDEX(ChqNorm,IFERROR(MATCH(260,ChqRankL,0),0)))</f>
        <v/>
      </c>
      <c r="C276" s="15" t="str">
        <f>IF(IFERROR(MATCH(260,ChqRankL,0),0)=0,"",INDEX(ChqNo,IFERROR(MATCH(260,ChqRankL,0),0)))</f>
        <v/>
      </c>
      <c r="D276" s="16" t="str">
        <f>IF(IFERROR(MATCH(260,ChqRankL,0),0)=0,"",IF(INDEX(ChqAmt,IFERROR(MATCH(260,ChqRankL,0),0))=0,"",INDEX(ChqAmt,IFERROR(MATCH(260,ChqRankL,0),0))))</f>
        <v/>
      </c>
      <c r="E276" s="10" t="str">
        <f>IF(IFERROR(MATCH(260,ChqRankL,0),0)=0,"",INDEX(ChqStatus,IFERROR(MATCH(260,ChqRankL,0),0)))</f>
        <v/>
      </c>
      <c r="F276" s="15" t="str">
        <f>IF(IFERROR(MATCH(260,ChqRankL,0),0)=0,"",IF(INDEX(ChqStatus,IFERROR(MATCH(260,ChqRankL,0),0))="پاس نشده","—",IF(INDEX(ChqClr,IFERROR(MATCH(260,ChqRankL,0),0))="","—",INDEX(ChqClr,IFERROR(MATCH(260,ChqRankL,0),0)))))</f>
        <v/>
      </c>
      <c r="I276" t="str">
        <f>IF(260&gt;NChq,"",INDEX(ChqNorm,260))</f>
        <v/>
      </c>
      <c r="J276" t="str">
        <f t="shared" si="8"/>
        <v/>
      </c>
      <c r="K276" t="str">
        <f>IF($J276=0,"",INDEX(ChqKey,260))</f>
        <v/>
      </c>
      <c r="L276" t="str">
        <f t="shared" si="9"/>
        <v/>
      </c>
    </row>
    <row r="277" spans="1:12" x14ac:dyDescent="0.2">
      <c r="A277" s="3" t="str">
        <f>IF(IFERROR(MATCH(261,ChqRankL,0),0)=0,"",261)</f>
        <v/>
      </c>
      <c r="B277" s="13" t="str">
        <f>IF(IFERROR(MATCH(261,ChqRankL,0),0)=0,"",INDEX(ChqNorm,IFERROR(MATCH(261,ChqRankL,0),0)))</f>
        <v/>
      </c>
      <c r="C277" s="13" t="str">
        <f>IF(IFERROR(MATCH(261,ChqRankL,0),0)=0,"",INDEX(ChqNo,IFERROR(MATCH(261,ChqRankL,0),0)))</f>
        <v/>
      </c>
      <c r="D277" s="14" t="str">
        <f>IF(IFERROR(MATCH(261,ChqRankL,0),0)=0,"",IF(INDEX(ChqAmt,IFERROR(MATCH(261,ChqRankL,0),0))=0,"",INDEX(ChqAmt,IFERROR(MATCH(261,ChqRankL,0),0))))</f>
        <v/>
      </c>
      <c r="E277" s="7" t="str">
        <f>IF(IFERROR(MATCH(261,ChqRankL,0),0)=0,"",INDEX(ChqStatus,IFERROR(MATCH(261,ChqRankL,0),0)))</f>
        <v/>
      </c>
      <c r="F277" s="13" t="str">
        <f>IF(IFERROR(MATCH(261,ChqRankL,0),0)=0,"",IF(INDEX(ChqStatus,IFERROR(MATCH(261,ChqRankL,0),0))="پاس نشده","—",IF(INDEX(ChqClr,IFERROR(MATCH(261,ChqRankL,0),0))="","—",INDEX(ChqClr,IFERROR(MATCH(261,ChqRankL,0),0)))))</f>
        <v/>
      </c>
      <c r="I277" t="str">
        <f>IF(261&gt;NChq,"",INDEX(ChqNorm,261))</f>
        <v/>
      </c>
      <c r="J277" t="str">
        <f t="shared" si="8"/>
        <v/>
      </c>
      <c r="K277" t="str">
        <f>IF($J277=0,"",INDEX(ChqKey,261))</f>
        <v/>
      </c>
      <c r="L277" t="str">
        <f t="shared" si="9"/>
        <v/>
      </c>
    </row>
    <row r="278" spans="1:12" x14ac:dyDescent="0.2">
      <c r="A278" s="9" t="str">
        <f>IF(IFERROR(MATCH(262,ChqRankL,0),0)=0,"",262)</f>
        <v/>
      </c>
      <c r="B278" s="15" t="str">
        <f>IF(IFERROR(MATCH(262,ChqRankL,0),0)=0,"",INDEX(ChqNorm,IFERROR(MATCH(262,ChqRankL,0),0)))</f>
        <v/>
      </c>
      <c r="C278" s="15" t="str">
        <f>IF(IFERROR(MATCH(262,ChqRankL,0),0)=0,"",INDEX(ChqNo,IFERROR(MATCH(262,ChqRankL,0),0)))</f>
        <v/>
      </c>
      <c r="D278" s="16" t="str">
        <f>IF(IFERROR(MATCH(262,ChqRankL,0),0)=0,"",IF(INDEX(ChqAmt,IFERROR(MATCH(262,ChqRankL,0),0))=0,"",INDEX(ChqAmt,IFERROR(MATCH(262,ChqRankL,0),0))))</f>
        <v/>
      </c>
      <c r="E278" s="10" t="str">
        <f>IF(IFERROR(MATCH(262,ChqRankL,0),0)=0,"",INDEX(ChqStatus,IFERROR(MATCH(262,ChqRankL,0),0)))</f>
        <v/>
      </c>
      <c r="F278" s="15" t="str">
        <f>IF(IFERROR(MATCH(262,ChqRankL,0),0)=0,"",IF(INDEX(ChqStatus,IFERROR(MATCH(262,ChqRankL,0),0))="پاس نشده","—",IF(INDEX(ChqClr,IFERROR(MATCH(262,ChqRankL,0),0))="","—",INDEX(ChqClr,IFERROR(MATCH(262,ChqRankL,0),0)))))</f>
        <v/>
      </c>
      <c r="I278" t="str">
        <f>IF(262&gt;NChq,"",INDEX(ChqNorm,262))</f>
        <v/>
      </c>
      <c r="J278" t="str">
        <f t="shared" si="8"/>
        <v/>
      </c>
      <c r="K278" t="str">
        <f>IF($J278=0,"",INDEX(ChqKey,262))</f>
        <v/>
      </c>
      <c r="L278" t="str">
        <f t="shared" si="9"/>
        <v/>
      </c>
    </row>
    <row r="279" spans="1:12" x14ac:dyDescent="0.2">
      <c r="A279" s="3" t="str">
        <f>IF(IFERROR(MATCH(263,ChqRankL,0),0)=0,"",263)</f>
        <v/>
      </c>
      <c r="B279" s="13" t="str">
        <f>IF(IFERROR(MATCH(263,ChqRankL,0),0)=0,"",INDEX(ChqNorm,IFERROR(MATCH(263,ChqRankL,0),0)))</f>
        <v/>
      </c>
      <c r="C279" s="13" t="str">
        <f>IF(IFERROR(MATCH(263,ChqRankL,0),0)=0,"",INDEX(ChqNo,IFERROR(MATCH(263,ChqRankL,0),0)))</f>
        <v/>
      </c>
      <c r="D279" s="14" t="str">
        <f>IF(IFERROR(MATCH(263,ChqRankL,0),0)=0,"",IF(INDEX(ChqAmt,IFERROR(MATCH(263,ChqRankL,0),0))=0,"",INDEX(ChqAmt,IFERROR(MATCH(263,ChqRankL,0),0))))</f>
        <v/>
      </c>
      <c r="E279" s="7" t="str">
        <f>IF(IFERROR(MATCH(263,ChqRankL,0),0)=0,"",INDEX(ChqStatus,IFERROR(MATCH(263,ChqRankL,0),0)))</f>
        <v/>
      </c>
      <c r="F279" s="13" t="str">
        <f>IF(IFERROR(MATCH(263,ChqRankL,0),0)=0,"",IF(INDEX(ChqStatus,IFERROR(MATCH(263,ChqRankL,0),0))="پاس نشده","—",IF(INDEX(ChqClr,IFERROR(MATCH(263,ChqRankL,0),0))="","—",INDEX(ChqClr,IFERROR(MATCH(263,ChqRankL,0),0)))))</f>
        <v/>
      </c>
      <c r="I279" t="str">
        <f>IF(263&gt;NChq,"",INDEX(ChqNorm,263))</f>
        <v/>
      </c>
      <c r="J279" t="str">
        <f t="shared" si="8"/>
        <v/>
      </c>
      <c r="K279" t="str">
        <f>IF($J279=0,"",INDEX(ChqKey,263))</f>
        <v/>
      </c>
      <c r="L279" t="str">
        <f t="shared" si="9"/>
        <v/>
      </c>
    </row>
    <row r="280" spans="1:12" x14ac:dyDescent="0.2">
      <c r="A280" s="9" t="str">
        <f>IF(IFERROR(MATCH(264,ChqRankL,0),0)=0,"",264)</f>
        <v/>
      </c>
      <c r="B280" s="15" t="str">
        <f>IF(IFERROR(MATCH(264,ChqRankL,0),0)=0,"",INDEX(ChqNorm,IFERROR(MATCH(264,ChqRankL,0),0)))</f>
        <v/>
      </c>
      <c r="C280" s="15" t="str">
        <f>IF(IFERROR(MATCH(264,ChqRankL,0),0)=0,"",INDEX(ChqNo,IFERROR(MATCH(264,ChqRankL,0),0)))</f>
        <v/>
      </c>
      <c r="D280" s="16" t="str">
        <f>IF(IFERROR(MATCH(264,ChqRankL,0),0)=0,"",IF(INDEX(ChqAmt,IFERROR(MATCH(264,ChqRankL,0),0))=0,"",INDEX(ChqAmt,IFERROR(MATCH(264,ChqRankL,0),0))))</f>
        <v/>
      </c>
      <c r="E280" s="10" t="str">
        <f>IF(IFERROR(MATCH(264,ChqRankL,0),0)=0,"",INDEX(ChqStatus,IFERROR(MATCH(264,ChqRankL,0),0)))</f>
        <v/>
      </c>
      <c r="F280" s="15" t="str">
        <f>IF(IFERROR(MATCH(264,ChqRankL,0),0)=0,"",IF(INDEX(ChqStatus,IFERROR(MATCH(264,ChqRankL,0),0))="پاس نشده","—",IF(INDEX(ChqClr,IFERROR(MATCH(264,ChqRankL,0),0))="","—",INDEX(ChqClr,IFERROR(MATCH(264,ChqRankL,0),0)))))</f>
        <v/>
      </c>
      <c r="I280" t="str">
        <f>IF(264&gt;NChq,"",INDEX(ChqNorm,264))</f>
        <v/>
      </c>
      <c r="J280" t="str">
        <f t="shared" si="8"/>
        <v/>
      </c>
      <c r="K280" t="str">
        <f>IF($J280=0,"",INDEX(ChqKey,264))</f>
        <v/>
      </c>
      <c r="L280" t="str">
        <f t="shared" si="9"/>
        <v/>
      </c>
    </row>
    <row r="281" spans="1:12" x14ac:dyDescent="0.2">
      <c r="A281" s="3" t="str">
        <f>IF(IFERROR(MATCH(265,ChqRankL,0),0)=0,"",265)</f>
        <v/>
      </c>
      <c r="B281" s="13" t="str">
        <f>IF(IFERROR(MATCH(265,ChqRankL,0),0)=0,"",INDEX(ChqNorm,IFERROR(MATCH(265,ChqRankL,0),0)))</f>
        <v/>
      </c>
      <c r="C281" s="13" t="str">
        <f>IF(IFERROR(MATCH(265,ChqRankL,0),0)=0,"",INDEX(ChqNo,IFERROR(MATCH(265,ChqRankL,0),0)))</f>
        <v/>
      </c>
      <c r="D281" s="14" t="str">
        <f>IF(IFERROR(MATCH(265,ChqRankL,0),0)=0,"",IF(INDEX(ChqAmt,IFERROR(MATCH(265,ChqRankL,0),0))=0,"",INDEX(ChqAmt,IFERROR(MATCH(265,ChqRankL,0),0))))</f>
        <v/>
      </c>
      <c r="E281" s="7" t="str">
        <f>IF(IFERROR(MATCH(265,ChqRankL,0),0)=0,"",INDEX(ChqStatus,IFERROR(MATCH(265,ChqRankL,0),0)))</f>
        <v/>
      </c>
      <c r="F281" s="13" t="str">
        <f>IF(IFERROR(MATCH(265,ChqRankL,0),0)=0,"",IF(INDEX(ChqStatus,IFERROR(MATCH(265,ChqRankL,0),0))="پاس نشده","—",IF(INDEX(ChqClr,IFERROR(MATCH(265,ChqRankL,0),0))="","—",INDEX(ChqClr,IFERROR(MATCH(265,ChqRankL,0),0)))))</f>
        <v/>
      </c>
      <c r="I281" t="str">
        <f>IF(265&gt;NChq,"",INDEX(ChqNorm,265))</f>
        <v/>
      </c>
      <c r="J281" t="str">
        <f t="shared" si="8"/>
        <v/>
      </c>
      <c r="K281" t="str">
        <f>IF($J281=0,"",INDEX(ChqKey,265))</f>
        <v/>
      </c>
      <c r="L281" t="str">
        <f t="shared" si="9"/>
        <v/>
      </c>
    </row>
    <row r="282" spans="1:12" x14ac:dyDescent="0.2">
      <c r="A282" s="9" t="str">
        <f>IF(IFERROR(MATCH(266,ChqRankL,0),0)=0,"",266)</f>
        <v/>
      </c>
      <c r="B282" s="15" t="str">
        <f>IF(IFERROR(MATCH(266,ChqRankL,0),0)=0,"",INDEX(ChqNorm,IFERROR(MATCH(266,ChqRankL,0),0)))</f>
        <v/>
      </c>
      <c r="C282" s="15" t="str">
        <f>IF(IFERROR(MATCH(266,ChqRankL,0),0)=0,"",INDEX(ChqNo,IFERROR(MATCH(266,ChqRankL,0),0)))</f>
        <v/>
      </c>
      <c r="D282" s="16" t="str">
        <f>IF(IFERROR(MATCH(266,ChqRankL,0),0)=0,"",IF(INDEX(ChqAmt,IFERROR(MATCH(266,ChqRankL,0),0))=0,"",INDEX(ChqAmt,IFERROR(MATCH(266,ChqRankL,0),0))))</f>
        <v/>
      </c>
      <c r="E282" s="10" t="str">
        <f>IF(IFERROR(MATCH(266,ChqRankL,0),0)=0,"",INDEX(ChqStatus,IFERROR(MATCH(266,ChqRankL,0),0)))</f>
        <v/>
      </c>
      <c r="F282" s="15" t="str">
        <f>IF(IFERROR(MATCH(266,ChqRankL,0),0)=0,"",IF(INDEX(ChqStatus,IFERROR(MATCH(266,ChqRankL,0),0))="پاس نشده","—",IF(INDEX(ChqClr,IFERROR(MATCH(266,ChqRankL,0),0))="","—",INDEX(ChqClr,IFERROR(MATCH(266,ChqRankL,0),0)))))</f>
        <v/>
      </c>
      <c r="I282" t="str">
        <f>IF(266&gt;NChq,"",INDEX(ChqNorm,266))</f>
        <v/>
      </c>
      <c r="J282" t="str">
        <f t="shared" si="8"/>
        <v/>
      </c>
      <c r="K282" t="str">
        <f>IF($J282=0,"",INDEX(ChqKey,266))</f>
        <v/>
      </c>
      <c r="L282" t="str">
        <f t="shared" si="9"/>
        <v/>
      </c>
    </row>
    <row r="283" spans="1:12" x14ac:dyDescent="0.2">
      <c r="A283" s="3" t="str">
        <f>IF(IFERROR(MATCH(267,ChqRankL,0),0)=0,"",267)</f>
        <v/>
      </c>
      <c r="B283" s="13" t="str">
        <f>IF(IFERROR(MATCH(267,ChqRankL,0),0)=0,"",INDEX(ChqNorm,IFERROR(MATCH(267,ChqRankL,0),0)))</f>
        <v/>
      </c>
      <c r="C283" s="13" t="str">
        <f>IF(IFERROR(MATCH(267,ChqRankL,0),0)=0,"",INDEX(ChqNo,IFERROR(MATCH(267,ChqRankL,0),0)))</f>
        <v/>
      </c>
      <c r="D283" s="14" t="str">
        <f>IF(IFERROR(MATCH(267,ChqRankL,0),0)=0,"",IF(INDEX(ChqAmt,IFERROR(MATCH(267,ChqRankL,0),0))=0,"",INDEX(ChqAmt,IFERROR(MATCH(267,ChqRankL,0),0))))</f>
        <v/>
      </c>
      <c r="E283" s="7" t="str">
        <f>IF(IFERROR(MATCH(267,ChqRankL,0),0)=0,"",INDEX(ChqStatus,IFERROR(MATCH(267,ChqRankL,0),0)))</f>
        <v/>
      </c>
      <c r="F283" s="13" t="str">
        <f>IF(IFERROR(MATCH(267,ChqRankL,0),0)=0,"",IF(INDEX(ChqStatus,IFERROR(MATCH(267,ChqRankL,0),0))="پاس نشده","—",IF(INDEX(ChqClr,IFERROR(MATCH(267,ChqRankL,0),0))="","—",INDEX(ChqClr,IFERROR(MATCH(267,ChqRankL,0),0)))))</f>
        <v/>
      </c>
      <c r="I283" t="str">
        <f>IF(267&gt;NChq,"",INDEX(ChqNorm,267))</f>
        <v/>
      </c>
      <c r="J283" t="str">
        <f t="shared" si="8"/>
        <v/>
      </c>
      <c r="K283" t="str">
        <f>IF($J283=0,"",INDEX(ChqKey,267))</f>
        <v/>
      </c>
      <c r="L283" t="str">
        <f t="shared" si="9"/>
        <v/>
      </c>
    </row>
    <row r="284" spans="1:12" x14ac:dyDescent="0.2">
      <c r="A284" s="9" t="str">
        <f>IF(IFERROR(MATCH(268,ChqRankL,0),0)=0,"",268)</f>
        <v/>
      </c>
      <c r="B284" s="15" t="str">
        <f>IF(IFERROR(MATCH(268,ChqRankL,0),0)=0,"",INDEX(ChqNorm,IFERROR(MATCH(268,ChqRankL,0),0)))</f>
        <v/>
      </c>
      <c r="C284" s="15" t="str">
        <f>IF(IFERROR(MATCH(268,ChqRankL,0),0)=0,"",INDEX(ChqNo,IFERROR(MATCH(268,ChqRankL,0),0)))</f>
        <v/>
      </c>
      <c r="D284" s="16" t="str">
        <f>IF(IFERROR(MATCH(268,ChqRankL,0),0)=0,"",IF(INDEX(ChqAmt,IFERROR(MATCH(268,ChqRankL,0),0))=0,"",INDEX(ChqAmt,IFERROR(MATCH(268,ChqRankL,0),0))))</f>
        <v/>
      </c>
      <c r="E284" s="10" t="str">
        <f>IF(IFERROR(MATCH(268,ChqRankL,0),0)=0,"",INDEX(ChqStatus,IFERROR(MATCH(268,ChqRankL,0),0)))</f>
        <v/>
      </c>
      <c r="F284" s="15" t="str">
        <f>IF(IFERROR(MATCH(268,ChqRankL,0),0)=0,"",IF(INDEX(ChqStatus,IFERROR(MATCH(268,ChqRankL,0),0))="پاس نشده","—",IF(INDEX(ChqClr,IFERROR(MATCH(268,ChqRankL,0),0))="","—",INDEX(ChqClr,IFERROR(MATCH(268,ChqRankL,0),0)))))</f>
        <v/>
      </c>
      <c r="I284" t="str">
        <f>IF(268&gt;NChq,"",INDEX(ChqNorm,268))</f>
        <v/>
      </c>
      <c r="J284" t="str">
        <f t="shared" si="8"/>
        <v/>
      </c>
      <c r="K284" t="str">
        <f>IF($J284=0,"",INDEX(ChqKey,268))</f>
        <v/>
      </c>
      <c r="L284" t="str">
        <f t="shared" si="9"/>
        <v/>
      </c>
    </row>
    <row r="285" spans="1:12" x14ac:dyDescent="0.2">
      <c r="A285" s="3" t="str">
        <f>IF(IFERROR(MATCH(269,ChqRankL,0),0)=0,"",269)</f>
        <v/>
      </c>
      <c r="B285" s="13" t="str">
        <f>IF(IFERROR(MATCH(269,ChqRankL,0),0)=0,"",INDEX(ChqNorm,IFERROR(MATCH(269,ChqRankL,0),0)))</f>
        <v/>
      </c>
      <c r="C285" s="13" t="str">
        <f>IF(IFERROR(MATCH(269,ChqRankL,0),0)=0,"",INDEX(ChqNo,IFERROR(MATCH(269,ChqRankL,0),0)))</f>
        <v/>
      </c>
      <c r="D285" s="14" t="str">
        <f>IF(IFERROR(MATCH(269,ChqRankL,0),0)=0,"",IF(INDEX(ChqAmt,IFERROR(MATCH(269,ChqRankL,0),0))=0,"",INDEX(ChqAmt,IFERROR(MATCH(269,ChqRankL,0),0))))</f>
        <v/>
      </c>
      <c r="E285" s="7" t="str">
        <f>IF(IFERROR(MATCH(269,ChqRankL,0),0)=0,"",INDEX(ChqStatus,IFERROR(MATCH(269,ChqRankL,0),0)))</f>
        <v/>
      </c>
      <c r="F285" s="13" t="str">
        <f>IF(IFERROR(MATCH(269,ChqRankL,0),0)=0,"",IF(INDEX(ChqStatus,IFERROR(MATCH(269,ChqRankL,0),0))="پاس نشده","—",IF(INDEX(ChqClr,IFERROR(MATCH(269,ChqRankL,0),0))="","—",INDEX(ChqClr,IFERROR(MATCH(269,ChqRankL,0),0)))))</f>
        <v/>
      </c>
      <c r="I285" t="str">
        <f>IF(269&gt;NChq,"",INDEX(ChqNorm,269))</f>
        <v/>
      </c>
      <c r="J285" t="str">
        <f t="shared" si="8"/>
        <v/>
      </c>
      <c r="K285" t="str">
        <f>IF($J285=0,"",INDEX(ChqKey,269))</f>
        <v/>
      </c>
      <c r="L285" t="str">
        <f t="shared" si="9"/>
        <v/>
      </c>
    </row>
    <row r="286" spans="1:12" x14ac:dyDescent="0.2">
      <c r="A286" s="9" t="str">
        <f>IF(IFERROR(MATCH(270,ChqRankL,0),0)=0,"",270)</f>
        <v/>
      </c>
      <c r="B286" s="15" t="str">
        <f>IF(IFERROR(MATCH(270,ChqRankL,0),0)=0,"",INDEX(ChqNorm,IFERROR(MATCH(270,ChqRankL,0),0)))</f>
        <v/>
      </c>
      <c r="C286" s="15" t="str">
        <f>IF(IFERROR(MATCH(270,ChqRankL,0),0)=0,"",INDEX(ChqNo,IFERROR(MATCH(270,ChqRankL,0),0)))</f>
        <v/>
      </c>
      <c r="D286" s="16" t="str">
        <f>IF(IFERROR(MATCH(270,ChqRankL,0),0)=0,"",IF(INDEX(ChqAmt,IFERROR(MATCH(270,ChqRankL,0),0))=0,"",INDEX(ChqAmt,IFERROR(MATCH(270,ChqRankL,0),0))))</f>
        <v/>
      </c>
      <c r="E286" s="10" t="str">
        <f>IF(IFERROR(MATCH(270,ChqRankL,0),0)=0,"",INDEX(ChqStatus,IFERROR(MATCH(270,ChqRankL,0),0)))</f>
        <v/>
      </c>
      <c r="F286" s="15" t="str">
        <f>IF(IFERROR(MATCH(270,ChqRankL,0),0)=0,"",IF(INDEX(ChqStatus,IFERROR(MATCH(270,ChqRankL,0),0))="پاس نشده","—",IF(INDEX(ChqClr,IFERROR(MATCH(270,ChqRankL,0),0))="","—",INDEX(ChqClr,IFERROR(MATCH(270,ChqRankL,0),0)))))</f>
        <v/>
      </c>
      <c r="I286" t="str">
        <f>IF(270&gt;NChq,"",INDEX(ChqNorm,270))</f>
        <v/>
      </c>
      <c r="J286" t="str">
        <f t="shared" si="8"/>
        <v/>
      </c>
      <c r="K286" t="str">
        <f>IF($J286=0,"",INDEX(ChqKey,270))</f>
        <v/>
      </c>
      <c r="L286" t="str">
        <f t="shared" si="9"/>
        <v/>
      </c>
    </row>
    <row r="287" spans="1:12" x14ac:dyDescent="0.2">
      <c r="A287" s="3" t="str">
        <f>IF(IFERROR(MATCH(271,ChqRankL,0),0)=0,"",271)</f>
        <v/>
      </c>
      <c r="B287" s="13" t="str">
        <f>IF(IFERROR(MATCH(271,ChqRankL,0),0)=0,"",INDEX(ChqNorm,IFERROR(MATCH(271,ChqRankL,0),0)))</f>
        <v/>
      </c>
      <c r="C287" s="13" t="str">
        <f>IF(IFERROR(MATCH(271,ChqRankL,0),0)=0,"",INDEX(ChqNo,IFERROR(MATCH(271,ChqRankL,0),0)))</f>
        <v/>
      </c>
      <c r="D287" s="14" t="str">
        <f>IF(IFERROR(MATCH(271,ChqRankL,0),0)=0,"",IF(INDEX(ChqAmt,IFERROR(MATCH(271,ChqRankL,0),0))=0,"",INDEX(ChqAmt,IFERROR(MATCH(271,ChqRankL,0),0))))</f>
        <v/>
      </c>
      <c r="E287" s="7" t="str">
        <f>IF(IFERROR(MATCH(271,ChqRankL,0),0)=0,"",INDEX(ChqStatus,IFERROR(MATCH(271,ChqRankL,0),0)))</f>
        <v/>
      </c>
      <c r="F287" s="13" t="str">
        <f>IF(IFERROR(MATCH(271,ChqRankL,0),0)=0,"",IF(INDEX(ChqStatus,IFERROR(MATCH(271,ChqRankL,0),0))="پاس نشده","—",IF(INDEX(ChqClr,IFERROR(MATCH(271,ChqRankL,0),0))="","—",INDEX(ChqClr,IFERROR(MATCH(271,ChqRankL,0),0)))))</f>
        <v/>
      </c>
      <c r="I287" t="str">
        <f>IF(271&gt;NChq,"",INDEX(ChqNorm,271))</f>
        <v/>
      </c>
      <c r="J287" t="str">
        <f t="shared" si="8"/>
        <v/>
      </c>
      <c r="K287" t="str">
        <f>IF($J287=0,"",INDEX(ChqKey,271))</f>
        <v/>
      </c>
      <c r="L287" t="str">
        <f t="shared" si="9"/>
        <v/>
      </c>
    </row>
    <row r="288" spans="1:12" x14ac:dyDescent="0.2">
      <c r="A288" s="9" t="str">
        <f>IF(IFERROR(MATCH(272,ChqRankL,0),0)=0,"",272)</f>
        <v/>
      </c>
      <c r="B288" s="15" t="str">
        <f>IF(IFERROR(MATCH(272,ChqRankL,0),0)=0,"",INDEX(ChqNorm,IFERROR(MATCH(272,ChqRankL,0),0)))</f>
        <v/>
      </c>
      <c r="C288" s="15" t="str">
        <f>IF(IFERROR(MATCH(272,ChqRankL,0),0)=0,"",INDEX(ChqNo,IFERROR(MATCH(272,ChqRankL,0),0)))</f>
        <v/>
      </c>
      <c r="D288" s="16" t="str">
        <f>IF(IFERROR(MATCH(272,ChqRankL,0),0)=0,"",IF(INDEX(ChqAmt,IFERROR(MATCH(272,ChqRankL,0),0))=0,"",INDEX(ChqAmt,IFERROR(MATCH(272,ChqRankL,0),0))))</f>
        <v/>
      </c>
      <c r="E288" s="10" t="str">
        <f>IF(IFERROR(MATCH(272,ChqRankL,0),0)=0,"",INDEX(ChqStatus,IFERROR(MATCH(272,ChqRankL,0),0)))</f>
        <v/>
      </c>
      <c r="F288" s="15" t="str">
        <f>IF(IFERROR(MATCH(272,ChqRankL,0),0)=0,"",IF(INDEX(ChqStatus,IFERROR(MATCH(272,ChqRankL,0),0))="پاس نشده","—",IF(INDEX(ChqClr,IFERROR(MATCH(272,ChqRankL,0),0))="","—",INDEX(ChqClr,IFERROR(MATCH(272,ChqRankL,0),0)))))</f>
        <v/>
      </c>
      <c r="I288" t="str">
        <f>IF(272&gt;NChq,"",INDEX(ChqNorm,272))</f>
        <v/>
      </c>
      <c r="J288" t="str">
        <f t="shared" si="8"/>
        <v/>
      </c>
      <c r="K288" t="str">
        <f>IF($J288=0,"",INDEX(ChqKey,272))</f>
        <v/>
      </c>
      <c r="L288" t="str">
        <f t="shared" si="9"/>
        <v/>
      </c>
    </row>
    <row r="289" spans="1:12" x14ac:dyDescent="0.2">
      <c r="A289" s="3" t="str">
        <f>IF(IFERROR(MATCH(273,ChqRankL,0),0)=0,"",273)</f>
        <v/>
      </c>
      <c r="B289" s="13" t="str">
        <f>IF(IFERROR(MATCH(273,ChqRankL,0),0)=0,"",INDEX(ChqNorm,IFERROR(MATCH(273,ChqRankL,0),0)))</f>
        <v/>
      </c>
      <c r="C289" s="13" t="str">
        <f>IF(IFERROR(MATCH(273,ChqRankL,0),0)=0,"",INDEX(ChqNo,IFERROR(MATCH(273,ChqRankL,0),0)))</f>
        <v/>
      </c>
      <c r="D289" s="14" t="str">
        <f>IF(IFERROR(MATCH(273,ChqRankL,0),0)=0,"",IF(INDEX(ChqAmt,IFERROR(MATCH(273,ChqRankL,0),0))=0,"",INDEX(ChqAmt,IFERROR(MATCH(273,ChqRankL,0),0))))</f>
        <v/>
      </c>
      <c r="E289" s="7" t="str">
        <f>IF(IFERROR(MATCH(273,ChqRankL,0),0)=0,"",INDEX(ChqStatus,IFERROR(MATCH(273,ChqRankL,0),0)))</f>
        <v/>
      </c>
      <c r="F289" s="13" t="str">
        <f>IF(IFERROR(MATCH(273,ChqRankL,0),0)=0,"",IF(INDEX(ChqStatus,IFERROR(MATCH(273,ChqRankL,0),0))="پاس نشده","—",IF(INDEX(ChqClr,IFERROR(MATCH(273,ChqRankL,0),0))="","—",INDEX(ChqClr,IFERROR(MATCH(273,ChqRankL,0),0)))))</f>
        <v/>
      </c>
      <c r="I289" t="str">
        <f>IF(273&gt;NChq,"",INDEX(ChqNorm,273))</f>
        <v/>
      </c>
      <c r="J289" t="str">
        <f t="shared" si="8"/>
        <v/>
      </c>
      <c r="K289" t="str">
        <f>IF($J289=0,"",INDEX(ChqKey,273))</f>
        <v/>
      </c>
      <c r="L289" t="str">
        <f t="shared" si="9"/>
        <v/>
      </c>
    </row>
    <row r="290" spans="1:12" x14ac:dyDescent="0.2">
      <c r="A290" s="9" t="str">
        <f>IF(IFERROR(MATCH(274,ChqRankL,0),0)=0,"",274)</f>
        <v/>
      </c>
      <c r="B290" s="15" t="str">
        <f>IF(IFERROR(MATCH(274,ChqRankL,0),0)=0,"",INDEX(ChqNorm,IFERROR(MATCH(274,ChqRankL,0),0)))</f>
        <v/>
      </c>
      <c r="C290" s="15" t="str">
        <f>IF(IFERROR(MATCH(274,ChqRankL,0),0)=0,"",INDEX(ChqNo,IFERROR(MATCH(274,ChqRankL,0),0)))</f>
        <v/>
      </c>
      <c r="D290" s="16" t="str">
        <f>IF(IFERROR(MATCH(274,ChqRankL,0),0)=0,"",IF(INDEX(ChqAmt,IFERROR(MATCH(274,ChqRankL,0),0))=0,"",INDEX(ChqAmt,IFERROR(MATCH(274,ChqRankL,0),0))))</f>
        <v/>
      </c>
      <c r="E290" s="10" t="str">
        <f>IF(IFERROR(MATCH(274,ChqRankL,0),0)=0,"",INDEX(ChqStatus,IFERROR(MATCH(274,ChqRankL,0),0)))</f>
        <v/>
      </c>
      <c r="F290" s="15" t="str">
        <f>IF(IFERROR(MATCH(274,ChqRankL,0),0)=0,"",IF(INDEX(ChqStatus,IFERROR(MATCH(274,ChqRankL,0),0))="پاس نشده","—",IF(INDEX(ChqClr,IFERROR(MATCH(274,ChqRankL,0),0))="","—",INDEX(ChqClr,IFERROR(MATCH(274,ChqRankL,0),0)))))</f>
        <v/>
      </c>
      <c r="I290" t="str">
        <f>IF(274&gt;NChq,"",INDEX(ChqNorm,274))</f>
        <v/>
      </c>
      <c r="J290" t="str">
        <f t="shared" si="8"/>
        <v/>
      </c>
      <c r="K290" t="str">
        <f>IF($J290=0,"",INDEX(ChqKey,274))</f>
        <v/>
      </c>
      <c r="L290" t="str">
        <f t="shared" si="9"/>
        <v/>
      </c>
    </row>
    <row r="291" spans="1:12" x14ac:dyDescent="0.2">
      <c r="A291" s="3" t="str">
        <f>IF(IFERROR(MATCH(275,ChqRankL,0),0)=0,"",275)</f>
        <v/>
      </c>
      <c r="B291" s="13" t="str">
        <f>IF(IFERROR(MATCH(275,ChqRankL,0),0)=0,"",INDEX(ChqNorm,IFERROR(MATCH(275,ChqRankL,0),0)))</f>
        <v/>
      </c>
      <c r="C291" s="13" t="str">
        <f>IF(IFERROR(MATCH(275,ChqRankL,0),0)=0,"",INDEX(ChqNo,IFERROR(MATCH(275,ChqRankL,0),0)))</f>
        <v/>
      </c>
      <c r="D291" s="14" t="str">
        <f>IF(IFERROR(MATCH(275,ChqRankL,0),0)=0,"",IF(INDEX(ChqAmt,IFERROR(MATCH(275,ChqRankL,0),0))=0,"",INDEX(ChqAmt,IFERROR(MATCH(275,ChqRankL,0),0))))</f>
        <v/>
      </c>
      <c r="E291" s="7" t="str">
        <f>IF(IFERROR(MATCH(275,ChqRankL,0),0)=0,"",INDEX(ChqStatus,IFERROR(MATCH(275,ChqRankL,0),0)))</f>
        <v/>
      </c>
      <c r="F291" s="13" t="str">
        <f>IF(IFERROR(MATCH(275,ChqRankL,0),0)=0,"",IF(INDEX(ChqStatus,IFERROR(MATCH(275,ChqRankL,0),0))="پاس نشده","—",IF(INDEX(ChqClr,IFERROR(MATCH(275,ChqRankL,0),0))="","—",INDEX(ChqClr,IFERROR(MATCH(275,ChqRankL,0),0)))))</f>
        <v/>
      </c>
      <c r="I291" t="str">
        <f>IF(275&gt;NChq,"",INDEX(ChqNorm,275))</f>
        <v/>
      </c>
      <c r="J291" t="str">
        <f t="shared" si="8"/>
        <v/>
      </c>
      <c r="K291" t="str">
        <f>IF($J291=0,"",INDEX(ChqKey,275))</f>
        <v/>
      </c>
      <c r="L291" t="str">
        <f t="shared" si="9"/>
        <v/>
      </c>
    </row>
    <row r="292" spans="1:12" x14ac:dyDescent="0.2">
      <c r="A292" s="9" t="str">
        <f>IF(IFERROR(MATCH(276,ChqRankL,0),0)=0,"",276)</f>
        <v/>
      </c>
      <c r="B292" s="15" t="str">
        <f>IF(IFERROR(MATCH(276,ChqRankL,0),0)=0,"",INDEX(ChqNorm,IFERROR(MATCH(276,ChqRankL,0),0)))</f>
        <v/>
      </c>
      <c r="C292" s="15" t="str">
        <f>IF(IFERROR(MATCH(276,ChqRankL,0),0)=0,"",INDEX(ChqNo,IFERROR(MATCH(276,ChqRankL,0),0)))</f>
        <v/>
      </c>
      <c r="D292" s="16" t="str">
        <f>IF(IFERROR(MATCH(276,ChqRankL,0),0)=0,"",IF(INDEX(ChqAmt,IFERROR(MATCH(276,ChqRankL,0),0))=0,"",INDEX(ChqAmt,IFERROR(MATCH(276,ChqRankL,0),0))))</f>
        <v/>
      </c>
      <c r="E292" s="10" t="str">
        <f>IF(IFERROR(MATCH(276,ChqRankL,0),0)=0,"",INDEX(ChqStatus,IFERROR(MATCH(276,ChqRankL,0),0)))</f>
        <v/>
      </c>
      <c r="F292" s="15" t="str">
        <f>IF(IFERROR(MATCH(276,ChqRankL,0),0)=0,"",IF(INDEX(ChqStatus,IFERROR(MATCH(276,ChqRankL,0),0))="پاس نشده","—",IF(INDEX(ChqClr,IFERROR(MATCH(276,ChqRankL,0),0))="","—",INDEX(ChqClr,IFERROR(MATCH(276,ChqRankL,0),0)))))</f>
        <v/>
      </c>
      <c r="I292" t="str">
        <f>IF(276&gt;NChq,"",INDEX(ChqNorm,276))</f>
        <v/>
      </c>
      <c r="J292" t="str">
        <f t="shared" si="8"/>
        <v/>
      </c>
      <c r="K292" t="str">
        <f>IF($J292=0,"",INDEX(ChqKey,276))</f>
        <v/>
      </c>
      <c r="L292" t="str">
        <f t="shared" si="9"/>
        <v/>
      </c>
    </row>
    <row r="293" spans="1:12" x14ac:dyDescent="0.2">
      <c r="A293" s="3" t="str">
        <f>IF(IFERROR(MATCH(277,ChqRankL,0),0)=0,"",277)</f>
        <v/>
      </c>
      <c r="B293" s="13" t="str">
        <f>IF(IFERROR(MATCH(277,ChqRankL,0),0)=0,"",INDEX(ChqNorm,IFERROR(MATCH(277,ChqRankL,0),0)))</f>
        <v/>
      </c>
      <c r="C293" s="13" t="str">
        <f>IF(IFERROR(MATCH(277,ChqRankL,0),0)=0,"",INDEX(ChqNo,IFERROR(MATCH(277,ChqRankL,0),0)))</f>
        <v/>
      </c>
      <c r="D293" s="14" t="str">
        <f>IF(IFERROR(MATCH(277,ChqRankL,0),0)=0,"",IF(INDEX(ChqAmt,IFERROR(MATCH(277,ChqRankL,0),0))=0,"",INDEX(ChqAmt,IFERROR(MATCH(277,ChqRankL,0),0))))</f>
        <v/>
      </c>
      <c r="E293" s="7" t="str">
        <f>IF(IFERROR(MATCH(277,ChqRankL,0),0)=0,"",INDEX(ChqStatus,IFERROR(MATCH(277,ChqRankL,0),0)))</f>
        <v/>
      </c>
      <c r="F293" s="13" t="str">
        <f>IF(IFERROR(MATCH(277,ChqRankL,0),0)=0,"",IF(INDEX(ChqStatus,IFERROR(MATCH(277,ChqRankL,0),0))="پاس نشده","—",IF(INDEX(ChqClr,IFERROR(MATCH(277,ChqRankL,0),0))="","—",INDEX(ChqClr,IFERROR(MATCH(277,ChqRankL,0),0)))))</f>
        <v/>
      </c>
      <c r="I293" t="str">
        <f>IF(277&gt;NChq,"",INDEX(ChqNorm,277))</f>
        <v/>
      </c>
      <c r="J293" t="str">
        <f t="shared" si="8"/>
        <v/>
      </c>
      <c r="K293" t="str">
        <f>IF($J293=0,"",INDEX(ChqKey,277))</f>
        <v/>
      </c>
      <c r="L293" t="str">
        <f t="shared" si="9"/>
        <v/>
      </c>
    </row>
    <row r="294" spans="1:12" x14ac:dyDescent="0.2">
      <c r="A294" s="9" t="str">
        <f>IF(IFERROR(MATCH(278,ChqRankL,0),0)=0,"",278)</f>
        <v/>
      </c>
      <c r="B294" s="15" t="str">
        <f>IF(IFERROR(MATCH(278,ChqRankL,0),0)=0,"",INDEX(ChqNorm,IFERROR(MATCH(278,ChqRankL,0),0)))</f>
        <v/>
      </c>
      <c r="C294" s="15" t="str">
        <f>IF(IFERROR(MATCH(278,ChqRankL,0),0)=0,"",INDEX(ChqNo,IFERROR(MATCH(278,ChqRankL,0),0)))</f>
        <v/>
      </c>
      <c r="D294" s="16" t="str">
        <f>IF(IFERROR(MATCH(278,ChqRankL,0),0)=0,"",IF(INDEX(ChqAmt,IFERROR(MATCH(278,ChqRankL,0),0))=0,"",INDEX(ChqAmt,IFERROR(MATCH(278,ChqRankL,0),0))))</f>
        <v/>
      </c>
      <c r="E294" s="10" t="str">
        <f>IF(IFERROR(MATCH(278,ChqRankL,0),0)=0,"",INDEX(ChqStatus,IFERROR(MATCH(278,ChqRankL,0),0)))</f>
        <v/>
      </c>
      <c r="F294" s="15" t="str">
        <f>IF(IFERROR(MATCH(278,ChqRankL,0),0)=0,"",IF(INDEX(ChqStatus,IFERROR(MATCH(278,ChqRankL,0),0))="پاس نشده","—",IF(INDEX(ChqClr,IFERROR(MATCH(278,ChqRankL,0),0))="","—",INDEX(ChqClr,IFERROR(MATCH(278,ChqRankL,0),0)))))</f>
        <v/>
      </c>
      <c r="I294" t="str">
        <f>IF(278&gt;NChq,"",INDEX(ChqNorm,278))</f>
        <v/>
      </c>
      <c r="J294" t="str">
        <f t="shared" si="8"/>
        <v/>
      </c>
      <c r="K294" t="str">
        <f>IF($J294=0,"",INDEX(ChqKey,278))</f>
        <v/>
      </c>
      <c r="L294" t="str">
        <f t="shared" si="9"/>
        <v/>
      </c>
    </row>
    <row r="295" spans="1:12" x14ac:dyDescent="0.2">
      <c r="A295" s="3" t="str">
        <f>IF(IFERROR(MATCH(279,ChqRankL,0),0)=0,"",279)</f>
        <v/>
      </c>
      <c r="B295" s="13" t="str">
        <f>IF(IFERROR(MATCH(279,ChqRankL,0),0)=0,"",INDEX(ChqNorm,IFERROR(MATCH(279,ChqRankL,0),0)))</f>
        <v/>
      </c>
      <c r="C295" s="13" t="str">
        <f>IF(IFERROR(MATCH(279,ChqRankL,0),0)=0,"",INDEX(ChqNo,IFERROR(MATCH(279,ChqRankL,0),0)))</f>
        <v/>
      </c>
      <c r="D295" s="14" t="str">
        <f>IF(IFERROR(MATCH(279,ChqRankL,0),0)=0,"",IF(INDEX(ChqAmt,IFERROR(MATCH(279,ChqRankL,0),0))=0,"",INDEX(ChqAmt,IFERROR(MATCH(279,ChqRankL,0),0))))</f>
        <v/>
      </c>
      <c r="E295" s="7" t="str">
        <f>IF(IFERROR(MATCH(279,ChqRankL,0),0)=0,"",INDEX(ChqStatus,IFERROR(MATCH(279,ChqRankL,0),0)))</f>
        <v/>
      </c>
      <c r="F295" s="13" t="str">
        <f>IF(IFERROR(MATCH(279,ChqRankL,0),0)=0,"",IF(INDEX(ChqStatus,IFERROR(MATCH(279,ChqRankL,0),0))="پاس نشده","—",IF(INDEX(ChqClr,IFERROR(MATCH(279,ChqRankL,0),0))="","—",INDEX(ChqClr,IFERROR(MATCH(279,ChqRankL,0),0)))))</f>
        <v/>
      </c>
      <c r="I295" t="str">
        <f>IF(279&gt;NChq,"",INDEX(ChqNorm,279))</f>
        <v/>
      </c>
      <c r="J295" t="str">
        <f t="shared" si="8"/>
        <v/>
      </c>
      <c r="K295" t="str">
        <f>IF($J295=0,"",INDEX(ChqKey,279))</f>
        <v/>
      </c>
      <c r="L295" t="str">
        <f t="shared" si="9"/>
        <v/>
      </c>
    </row>
    <row r="296" spans="1:12" x14ac:dyDescent="0.2">
      <c r="A296" s="9" t="str">
        <f>IF(IFERROR(MATCH(280,ChqRankL,0),0)=0,"",280)</f>
        <v/>
      </c>
      <c r="B296" s="15" t="str">
        <f>IF(IFERROR(MATCH(280,ChqRankL,0),0)=0,"",INDEX(ChqNorm,IFERROR(MATCH(280,ChqRankL,0),0)))</f>
        <v/>
      </c>
      <c r="C296" s="15" t="str">
        <f>IF(IFERROR(MATCH(280,ChqRankL,0),0)=0,"",INDEX(ChqNo,IFERROR(MATCH(280,ChqRankL,0),0)))</f>
        <v/>
      </c>
      <c r="D296" s="16" t="str">
        <f>IF(IFERROR(MATCH(280,ChqRankL,0),0)=0,"",IF(INDEX(ChqAmt,IFERROR(MATCH(280,ChqRankL,0),0))=0,"",INDEX(ChqAmt,IFERROR(MATCH(280,ChqRankL,0),0))))</f>
        <v/>
      </c>
      <c r="E296" s="10" t="str">
        <f>IF(IFERROR(MATCH(280,ChqRankL,0),0)=0,"",INDEX(ChqStatus,IFERROR(MATCH(280,ChqRankL,0),0)))</f>
        <v/>
      </c>
      <c r="F296" s="15" t="str">
        <f>IF(IFERROR(MATCH(280,ChqRankL,0),0)=0,"",IF(INDEX(ChqStatus,IFERROR(MATCH(280,ChqRankL,0),0))="پاس نشده","—",IF(INDEX(ChqClr,IFERROR(MATCH(280,ChqRankL,0),0))="","—",INDEX(ChqClr,IFERROR(MATCH(280,ChqRankL,0),0)))))</f>
        <v/>
      </c>
      <c r="I296" t="str">
        <f>IF(280&gt;NChq,"",INDEX(ChqNorm,280))</f>
        <v/>
      </c>
      <c r="J296" t="str">
        <f t="shared" si="8"/>
        <v/>
      </c>
      <c r="K296" t="str">
        <f>IF($J296=0,"",INDEX(ChqKey,280))</f>
        <v/>
      </c>
      <c r="L296" t="str">
        <f t="shared" si="9"/>
        <v/>
      </c>
    </row>
    <row r="297" spans="1:12" x14ac:dyDescent="0.2">
      <c r="A297" s="3" t="str">
        <f>IF(IFERROR(MATCH(281,ChqRankL,0),0)=0,"",281)</f>
        <v/>
      </c>
      <c r="B297" s="13" t="str">
        <f>IF(IFERROR(MATCH(281,ChqRankL,0),0)=0,"",INDEX(ChqNorm,IFERROR(MATCH(281,ChqRankL,0),0)))</f>
        <v/>
      </c>
      <c r="C297" s="13" t="str">
        <f>IF(IFERROR(MATCH(281,ChqRankL,0),0)=0,"",INDEX(ChqNo,IFERROR(MATCH(281,ChqRankL,0),0)))</f>
        <v/>
      </c>
      <c r="D297" s="14" t="str">
        <f>IF(IFERROR(MATCH(281,ChqRankL,0),0)=0,"",IF(INDEX(ChqAmt,IFERROR(MATCH(281,ChqRankL,0),0))=0,"",INDEX(ChqAmt,IFERROR(MATCH(281,ChqRankL,0),0))))</f>
        <v/>
      </c>
      <c r="E297" s="7" t="str">
        <f>IF(IFERROR(MATCH(281,ChqRankL,0),0)=0,"",INDEX(ChqStatus,IFERROR(MATCH(281,ChqRankL,0),0)))</f>
        <v/>
      </c>
      <c r="F297" s="13" t="str">
        <f>IF(IFERROR(MATCH(281,ChqRankL,0),0)=0,"",IF(INDEX(ChqStatus,IFERROR(MATCH(281,ChqRankL,0),0))="پاس نشده","—",IF(INDEX(ChqClr,IFERROR(MATCH(281,ChqRankL,0),0))="","—",INDEX(ChqClr,IFERROR(MATCH(281,ChqRankL,0),0)))))</f>
        <v/>
      </c>
      <c r="I297" t="str">
        <f>IF(281&gt;NChq,"",INDEX(ChqNorm,281))</f>
        <v/>
      </c>
      <c r="J297" t="str">
        <f t="shared" si="8"/>
        <v/>
      </c>
      <c r="K297" t="str">
        <f>IF($J297=0,"",INDEX(ChqKey,281))</f>
        <v/>
      </c>
      <c r="L297" t="str">
        <f t="shared" si="9"/>
        <v/>
      </c>
    </row>
    <row r="298" spans="1:12" x14ac:dyDescent="0.2">
      <c r="A298" s="9" t="str">
        <f>IF(IFERROR(MATCH(282,ChqRankL,0),0)=0,"",282)</f>
        <v/>
      </c>
      <c r="B298" s="15" t="str">
        <f>IF(IFERROR(MATCH(282,ChqRankL,0),0)=0,"",INDEX(ChqNorm,IFERROR(MATCH(282,ChqRankL,0),0)))</f>
        <v/>
      </c>
      <c r="C298" s="15" t="str">
        <f>IF(IFERROR(MATCH(282,ChqRankL,0),0)=0,"",INDEX(ChqNo,IFERROR(MATCH(282,ChqRankL,0),0)))</f>
        <v/>
      </c>
      <c r="D298" s="16" t="str">
        <f>IF(IFERROR(MATCH(282,ChqRankL,0),0)=0,"",IF(INDEX(ChqAmt,IFERROR(MATCH(282,ChqRankL,0),0))=0,"",INDEX(ChqAmt,IFERROR(MATCH(282,ChqRankL,0),0))))</f>
        <v/>
      </c>
      <c r="E298" s="10" t="str">
        <f>IF(IFERROR(MATCH(282,ChqRankL,0),0)=0,"",INDEX(ChqStatus,IFERROR(MATCH(282,ChqRankL,0),0)))</f>
        <v/>
      </c>
      <c r="F298" s="15" t="str">
        <f>IF(IFERROR(MATCH(282,ChqRankL,0),0)=0,"",IF(INDEX(ChqStatus,IFERROR(MATCH(282,ChqRankL,0),0))="پاس نشده","—",IF(INDEX(ChqClr,IFERROR(MATCH(282,ChqRankL,0),0))="","—",INDEX(ChqClr,IFERROR(MATCH(282,ChqRankL,0),0)))))</f>
        <v/>
      </c>
      <c r="I298" t="str">
        <f>IF(282&gt;NChq,"",INDEX(ChqNorm,282))</f>
        <v/>
      </c>
      <c r="J298" t="str">
        <f t="shared" si="8"/>
        <v/>
      </c>
      <c r="K298" t="str">
        <f>IF($J298=0,"",INDEX(ChqKey,282))</f>
        <v/>
      </c>
      <c r="L298" t="str">
        <f t="shared" si="9"/>
        <v/>
      </c>
    </row>
    <row r="299" spans="1:12" x14ac:dyDescent="0.2">
      <c r="A299" s="3" t="str">
        <f>IF(IFERROR(MATCH(283,ChqRankL,0),0)=0,"",283)</f>
        <v/>
      </c>
      <c r="B299" s="13" t="str">
        <f>IF(IFERROR(MATCH(283,ChqRankL,0),0)=0,"",INDEX(ChqNorm,IFERROR(MATCH(283,ChqRankL,0),0)))</f>
        <v/>
      </c>
      <c r="C299" s="13" t="str">
        <f>IF(IFERROR(MATCH(283,ChqRankL,0),0)=0,"",INDEX(ChqNo,IFERROR(MATCH(283,ChqRankL,0),0)))</f>
        <v/>
      </c>
      <c r="D299" s="14" t="str">
        <f>IF(IFERROR(MATCH(283,ChqRankL,0),0)=0,"",IF(INDEX(ChqAmt,IFERROR(MATCH(283,ChqRankL,0),0))=0,"",INDEX(ChqAmt,IFERROR(MATCH(283,ChqRankL,0),0))))</f>
        <v/>
      </c>
      <c r="E299" s="7" t="str">
        <f>IF(IFERROR(MATCH(283,ChqRankL,0),0)=0,"",INDEX(ChqStatus,IFERROR(MATCH(283,ChqRankL,0),0)))</f>
        <v/>
      </c>
      <c r="F299" s="13" t="str">
        <f>IF(IFERROR(MATCH(283,ChqRankL,0),0)=0,"",IF(INDEX(ChqStatus,IFERROR(MATCH(283,ChqRankL,0),0))="پاس نشده","—",IF(INDEX(ChqClr,IFERROR(MATCH(283,ChqRankL,0),0))="","—",INDEX(ChqClr,IFERROR(MATCH(283,ChqRankL,0),0)))))</f>
        <v/>
      </c>
      <c r="I299" t="str">
        <f>IF(283&gt;NChq,"",INDEX(ChqNorm,283))</f>
        <v/>
      </c>
      <c r="J299" t="str">
        <f t="shared" si="8"/>
        <v/>
      </c>
      <c r="K299" t="str">
        <f>IF($J299=0,"",INDEX(ChqKey,283))</f>
        <v/>
      </c>
      <c r="L299" t="str">
        <f t="shared" si="9"/>
        <v/>
      </c>
    </row>
    <row r="300" spans="1:12" x14ac:dyDescent="0.2">
      <c r="A300" s="9" t="str">
        <f>IF(IFERROR(MATCH(284,ChqRankL,0),0)=0,"",284)</f>
        <v/>
      </c>
      <c r="B300" s="15" t="str">
        <f>IF(IFERROR(MATCH(284,ChqRankL,0),0)=0,"",INDEX(ChqNorm,IFERROR(MATCH(284,ChqRankL,0),0)))</f>
        <v/>
      </c>
      <c r="C300" s="15" t="str">
        <f>IF(IFERROR(MATCH(284,ChqRankL,0),0)=0,"",INDEX(ChqNo,IFERROR(MATCH(284,ChqRankL,0),0)))</f>
        <v/>
      </c>
      <c r="D300" s="16" t="str">
        <f>IF(IFERROR(MATCH(284,ChqRankL,0),0)=0,"",IF(INDEX(ChqAmt,IFERROR(MATCH(284,ChqRankL,0),0))=0,"",INDEX(ChqAmt,IFERROR(MATCH(284,ChqRankL,0),0))))</f>
        <v/>
      </c>
      <c r="E300" s="10" t="str">
        <f>IF(IFERROR(MATCH(284,ChqRankL,0),0)=0,"",INDEX(ChqStatus,IFERROR(MATCH(284,ChqRankL,0),0)))</f>
        <v/>
      </c>
      <c r="F300" s="15" t="str">
        <f>IF(IFERROR(MATCH(284,ChqRankL,0),0)=0,"",IF(INDEX(ChqStatus,IFERROR(MATCH(284,ChqRankL,0),0))="پاس نشده","—",IF(INDEX(ChqClr,IFERROR(MATCH(284,ChqRankL,0),0))="","—",INDEX(ChqClr,IFERROR(MATCH(284,ChqRankL,0),0)))))</f>
        <v/>
      </c>
      <c r="I300" t="str">
        <f>IF(284&gt;NChq,"",INDEX(ChqNorm,284))</f>
        <v/>
      </c>
      <c r="J300" t="str">
        <f t="shared" si="8"/>
        <v/>
      </c>
      <c r="K300" t="str">
        <f>IF($J300=0,"",INDEX(ChqKey,284))</f>
        <v/>
      </c>
      <c r="L300" t="str">
        <f t="shared" si="9"/>
        <v/>
      </c>
    </row>
    <row r="301" spans="1:12" x14ac:dyDescent="0.2">
      <c r="A301" s="3" t="str">
        <f>IF(IFERROR(MATCH(285,ChqRankL,0),0)=0,"",285)</f>
        <v/>
      </c>
      <c r="B301" s="13" t="str">
        <f>IF(IFERROR(MATCH(285,ChqRankL,0),0)=0,"",INDEX(ChqNorm,IFERROR(MATCH(285,ChqRankL,0),0)))</f>
        <v/>
      </c>
      <c r="C301" s="13" t="str">
        <f>IF(IFERROR(MATCH(285,ChqRankL,0),0)=0,"",INDEX(ChqNo,IFERROR(MATCH(285,ChqRankL,0),0)))</f>
        <v/>
      </c>
      <c r="D301" s="14" t="str">
        <f>IF(IFERROR(MATCH(285,ChqRankL,0),0)=0,"",IF(INDEX(ChqAmt,IFERROR(MATCH(285,ChqRankL,0),0))=0,"",INDEX(ChqAmt,IFERROR(MATCH(285,ChqRankL,0),0))))</f>
        <v/>
      </c>
      <c r="E301" s="7" t="str">
        <f>IF(IFERROR(MATCH(285,ChqRankL,0),0)=0,"",INDEX(ChqStatus,IFERROR(MATCH(285,ChqRankL,0),0)))</f>
        <v/>
      </c>
      <c r="F301" s="13" t="str">
        <f>IF(IFERROR(MATCH(285,ChqRankL,0),0)=0,"",IF(INDEX(ChqStatus,IFERROR(MATCH(285,ChqRankL,0),0))="پاس نشده","—",IF(INDEX(ChqClr,IFERROR(MATCH(285,ChqRankL,0),0))="","—",INDEX(ChqClr,IFERROR(MATCH(285,ChqRankL,0),0)))))</f>
        <v/>
      </c>
      <c r="I301" t="str">
        <f>IF(285&gt;NChq,"",INDEX(ChqNorm,285))</f>
        <v/>
      </c>
      <c r="J301" t="str">
        <f t="shared" si="8"/>
        <v/>
      </c>
      <c r="K301" t="str">
        <f>IF($J301=0,"",INDEX(ChqKey,285))</f>
        <v/>
      </c>
      <c r="L301" t="str">
        <f t="shared" si="9"/>
        <v/>
      </c>
    </row>
    <row r="302" spans="1:12" x14ac:dyDescent="0.2">
      <c r="A302" s="9" t="str">
        <f>IF(IFERROR(MATCH(286,ChqRankL,0),0)=0,"",286)</f>
        <v/>
      </c>
      <c r="B302" s="15" t="str">
        <f>IF(IFERROR(MATCH(286,ChqRankL,0),0)=0,"",INDEX(ChqNorm,IFERROR(MATCH(286,ChqRankL,0),0)))</f>
        <v/>
      </c>
      <c r="C302" s="15" t="str">
        <f>IF(IFERROR(MATCH(286,ChqRankL,0),0)=0,"",INDEX(ChqNo,IFERROR(MATCH(286,ChqRankL,0),0)))</f>
        <v/>
      </c>
      <c r="D302" s="16" t="str">
        <f>IF(IFERROR(MATCH(286,ChqRankL,0),0)=0,"",IF(INDEX(ChqAmt,IFERROR(MATCH(286,ChqRankL,0),0))=0,"",INDEX(ChqAmt,IFERROR(MATCH(286,ChqRankL,0),0))))</f>
        <v/>
      </c>
      <c r="E302" s="10" t="str">
        <f>IF(IFERROR(MATCH(286,ChqRankL,0),0)=0,"",INDEX(ChqStatus,IFERROR(MATCH(286,ChqRankL,0),0)))</f>
        <v/>
      </c>
      <c r="F302" s="15" t="str">
        <f>IF(IFERROR(MATCH(286,ChqRankL,0),0)=0,"",IF(INDEX(ChqStatus,IFERROR(MATCH(286,ChqRankL,0),0))="پاس نشده","—",IF(INDEX(ChqClr,IFERROR(MATCH(286,ChqRankL,0),0))="","—",INDEX(ChqClr,IFERROR(MATCH(286,ChqRankL,0),0)))))</f>
        <v/>
      </c>
      <c r="I302" t="str">
        <f>IF(286&gt;NChq,"",INDEX(ChqNorm,286))</f>
        <v/>
      </c>
      <c r="J302" t="str">
        <f t="shared" si="8"/>
        <v/>
      </c>
      <c r="K302" t="str">
        <f>IF($J302=0,"",INDEX(ChqKey,286))</f>
        <v/>
      </c>
      <c r="L302" t="str">
        <f t="shared" si="9"/>
        <v/>
      </c>
    </row>
    <row r="303" spans="1:12" x14ac:dyDescent="0.2">
      <c r="A303" s="3" t="str">
        <f>IF(IFERROR(MATCH(287,ChqRankL,0),0)=0,"",287)</f>
        <v/>
      </c>
      <c r="B303" s="13" t="str">
        <f>IF(IFERROR(MATCH(287,ChqRankL,0),0)=0,"",INDEX(ChqNorm,IFERROR(MATCH(287,ChqRankL,0),0)))</f>
        <v/>
      </c>
      <c r="C303" s="13" t="str">
        <f>IF(IFERROR(MATCH(287,ChqRankL,0),0)=0,"",INDEX(ChqNo,IFERROR(MATCH(287,ChqRankL,0),0)))</f>
        <v/>
      </c>
      <c r="D303" s="14" t="str">
        <f>IF(IFERROR(MATCH(287,ChqRankL,0),0)=0,"",IF(INDEX(ChqAmt,IFERROR(MATCH(287,ChqRankL,0),0))=0,"",INDEX(ChqAmt,IFERROR(MATCH(287,ChqRankL,0),0))))</f>
        <v/>
      </c>
      <c r="E303" s="7" t="str">
        <f>IF(IFERROR(MATCH(287,ChqRankL,0),0)=0,"",INDEX(ChqStatus,IFERROR(MATCH(287,ChqRankL,0),0)))</f>
        <v/>
      </c>
      <c r="F303" s="13" t="str">
        <f>IF(IFERROR(MATCH(287,ChqRankL,0),0)=0,"",IF(INDEX(ChqStatus,IFERROR(MATCH(287,ChqRankL,0),0))="پاس نشده","—",IF(INDEX(ChqClr,IFERROR(MATCH(287,ChqRankL,0),0))="","—",INDEX(ChqClr,IFERROR(MATCH(287,ChqRankL,0),0)))))</f>
        <v/>
      </c>
      <c r="I303" t="str">
        <f>IF(287&gt;NChq,"",INDEX(ChqNorm,287))</f>
        <v/>
      </c>
      <c r="J303" t="str">
        <f t="shared" si="8"/>
        <v/>
      </c>
      <c r="K303" t="str">
        <f>IF($J303=0,"",INDEX(ChqKey,287))</f>
        <v/>
      </c>
      <c r="L303" t="str">
        <f t="shared" si="9"/>
        <v/>
      </c>
    </row>
    <row r="304" spans="1:12" x14ac:dyDescent="0.2">
      <c r="A304" s="9" t="str">
        <f>IF(IFERROR(MATCH(288,ChqRankL,0),0)=0,"",288)</f>
        <v/>
      </c>
      <c r="B304" s="15" t="str">
        <f>IF(IFERROR(MATCH(288,ChqRankL,0),0)=0,"",INDEX(ChqNorm,IFERROR(MATCH(288,ChqRankL,0),0)))</f>
        <v/>
      </c>
      <c r="C304" s="15" t="str">
        <f>IF(IFERROR(MATCH(288,ChqRankL,0),0)=0,"",INDEX(ChqNo,IFERROR(MATCH(288,ChqRankL,0),0)))</f>
        <v/>
      </c>
      <c r="D304" s="16" t="str">
        <f>IF(IFERROR(MATCH(288,ChqRankL,0),0)=0,"",IF(INDEX(ChqAmt,IFERROR(MATCH(288,ChqRankL,0),0))=0,"",INDEX(ChqAmt,IFERROR(MATCH(288,ChqRankL,0),0))))</f>
        <v/>
      </c>
      <c r="E304" s="10" t="str">
        <f>IF(IFERROR(MATCH(288,ChqRankL,0),0)=0,"",INDEX(ChqStatus,IFERROR(MATCH(288,ChqRankL,0),0)))</f>
        <v/>
      </c>
      <c r="F304" s="15" t="str">
        <f>IF(IFERROR(MATCH(288,ChqRankL,0),0)=0,"",IF(INDEX(ChqStatus,IFERROR(MATCH(288,ChqRankL,0),0))="پاس نشده","—",IF(INDEX(ChqClr,IFERROR(MATCH(288,ChqRankL,0),0))="","—",INDEX(ChqClr,IFERROR(MATCH(288,ChqRankL,0),0)))))</f>
        <v/>
      </c>
      <c r="I304" t="str">
        <f>IF(288&gt;NChq,"",INDEX(ChqNorm,288))</f>
        <v/>
      </c>
      <c r="J304" t="str">
        <f t="shared" si="8"/>
        <v/>
      </c>
      <c r="K304" t="str">
        <f>IF($J304=0,"",INDEX(ChqKey,288))</f>
        <v/>
      </c>
      <c r="L304" t="str">
        <f t="shared" si="9"/>
        <v/>
      </c>
    </row>
    <row r="305" spans="1:12" x14ac:dyDescent="0.2">
      <c r="A305" s="3" t="str">
        <f>IF(IFERROR(MATCH(289,ChqRankL,0),0)=0,"",289)</f>
        <v/>
      </c>
      <c r="B305" s="13" t="str">
        <f>IF(IFERROR(MATCH(289,ChqRankL,0),0)=0,"",INDEX(ChqNorm,IFERROR(MATCH(289,ChqRankL,0),0)))</f>
        <v/>
      </c>
      <c r="C305" s="13" t="str">
        <f>IF(IFERROR(MATCH(289,ChqRankL,0),0)=0,"",INDEX(ChqNo,IFERROR(MATCH(289,ChqRankL,0),0)))</f>
        <v/>
      </c>
      <c r="D305" s="14" t="str">
        <f>IF(IFERROR(MATCH(289,ChqRankL,0),0)=0,"",IF(INDEX(ChqAmt,IFERROR(MATCH(289,ChqRankL,0),0))=0,"",INDEX(ChqAmt,IFERROR(MATCH(289,ChqRankL,0),0))))</f>
        <v/>
      </c>
      <c r="E305" s="7" t="str">
        <f>IF(IFERROR(MATCH(289,ChqRankL,0),0)=0,"",INDEX(ChqStatus,IFERROR(MATCH(289,ChqRankL,0),0)))</f>
        <v/>
      </c>
      <c r="F305" s="13" t="str">
        <f>IF(IFERROR(MATCH(289,ChqRankL,0),0)=0,"",IF(INDEX(ChqStatus,IFERROR(MATCH(289,ChqRankL,0),0))="پاس نشده","—",IF(INDEX(ChqClr,IFERROR(MATCH(289,ChqRankL,0),0))="","—",INDEX(ChqClr,IFERROR(MATCH(289,ChqRankL,0),0)))))</f>
        <v/>
      </c>
      <c r="I305" t="str">
        <f>IF(289&gt;NChq,"",INDEX(ChqNorm,289))</f>
        <v/>
      </c>
      <c r="J305" t="str">
        <f t="shared" si="8"/>
        <v/>
      </c>
      <c r="K305" t="str">
        <f>IF($J305=0,"",INDEX(ChqKey,289))</f>
        <v/>
      </c>
      <c r="L305" t="str">
        <f t="shared" si="9"/>
        <v/>
      </c>
    </row>
    <row r="306" spans="1:12" x14ac:dyDescent="0.2">
      <c r="A306" s="9" t="str">
        <f>IF(IFERROR(MATCH(290,ChqRankL,0),0)=0,"",290)</f>
        <v/>
      </c>
      <c r="B306" s="15" t="str">
        <f>IF(IFERROR(MATCH(290,ChqRankL,0),0)=0,"",INDEX(ChqNorm,IFERROR(MATCH(290,ChqRankL,0),0)))</f>
        <v/>
      </c>
      <c r="C306" s="15" t="str">
        <f>IF(IFERROR(MATCH(290,ChqRankL,0),0)=0,"",INDEX(ChqNo,IFERROR(MATCH(290,ChqRankL,0),0)))</f>
        <v/>
      </c>
      <c r="D306" s="16" t="str">
        <f>IF(IFERROR(MATCH(290,ChqRankL,0),0)=0,"",IF(INDEX(ChqAmt,IFERROR(MATCH(290,ChqRankL,0),0))=0,"",INDEX(ChqAmt,IFERROR(MATCH(290,ChqRankL,0),0))))</f>
        <v/>
      </c>
      <c r="E306" s="10" t="str">
        <f>IF(IFERROR(MATCH(290,ChqRankL,0),0)=0,"",INDEX(ChqStatus,IFERROR(MATCH(290,ChqRankL,0),0)))</f>
        <v/>
      </c>
      <c r="F306" s="15" t="str">
        <f>IF(IFERROR(MATCH(290,ChqRankL,0),0)=0,"",IF(INDEX(ChqStatus,IFERROR(MATCH(290,ChqRankL,0),0))="پاس نشده","—",IF(INDEX(ChqClr,IFERROR(MATCH(290,ChqRankL,0),0))="","—",INDEX(ChqClr,IFERROR(MATCH(290,ChqRankL,0),0)))))</f>
        <v/>
      </c>
      <c r="I306" t="str">
        <f>IF(290&gt;NChq,"",INDEX(ChqNorm,290))</f>
        <v/>
      </c>
      <c r="J306" t="str">
        <f t="shared" si="8"/>
        <v/>
      </c>
      <c r="K306" t="str">
        <f>IF($J306=0,"",INDEX(ChqKey,290))</f>
        <v/>
      </c>
      <c r="L306" t="str">
        <f t="shared" si="9"/>
        <v/>
      </c>
    </row>
    <row r="307" spans="1:12" x14ac:dyDescent="0.2">
      <c r="A307" s="3" t="str">
        <f>IF(IFERROR(MATCH(291,ChqRankL,0),0)=0,"",291)</f>
        <v/>
      </c>
      <c r="B307" s="13" t="str">
        <f>IF(IFERROR(MATCH(291,ChqRankL,0),0)=0,"",INDEX(ChqNorm,IFERROR(MATCH(291,ChqRankL,0),0)))</f>
        <v/>
      </c>
      <c r="C307" s="13" t="str">
        <f>IF(IFERROR(MATCH(291,ChqRankL,0),0)=0,"",INDEX(ChqNo,IFERROR(MATCH(291,ChqRankL,0),0)))</f>
        <v/>
      </c>
      <c r="D307" s="14" t="str">
        <f>IF(IFERROR(MATCH(291,ChqRankL,0),0)=0,"",IF(INDEX(ChqAmt,IFERROR(MATCH(291,ChqRankL,0),0))=0,"",INDEX(ChqAmt,IFERROR(MATCH(291,ChqRankL,0),0))))</f>
        <v/>
      </c>
      <c r="E307" s="7" t="str">
        <f>IF(IFERROR(MATCH(291,ChqRankL,0),0)=0,"",INDEX(ChqStatus,IFERROR(MATCH(291,ChqRankL,0),0)))</f>
        <v/>
      </c>
      <c r="F307" s="13" t="str">
        <f>IF(IFERROR(MATCH(291,ChqRankL,0),0)=0,"",IF(INDEX(ChqStatus,IFERROR(MATCH(291,ChqRankL,0),0))="پاس نشده","—",IF(INDEX(ChqClr,IFERROR(MATCH(291,ChqRankL,0),0))="","—",INDEX(ChqClr,IFERROR(MATCH(291,ChqRankL,0),0)))))</f>
        <v/>
      </c>
      <c r="I307" t="str">
        <f>IF(291&gt;NChq,"",INDEX(ChqNorm,291))</f>
        <v/>
      </c>
      <c r="J307" t="str">
        <f t="shared" si="8"/>
        <v/>
      </c>
      <c r="K307" t="str">
        <f>IF($J307=0,"",INDEX(ChqKey,291))</f>
        <v/>
      </c>
      <c r="L307" t="str">
        <f t="shared" si="9"/>
        <v/>
      </c>
    </row>
    <row r="308" spans="1:12" x14ac:dyDescent="0.2">
      <c r="A308" s="9" t="str">
        <f>IF(IFERROR(MATCH(292,ChqRankL,0),0)=0,"",292)</f>
        <v/>
      </c>
      <c r="B308" s="15" t="str">
        <f>IF(IFERROR(MATCH(292,ChqRankL,0),0)=0,"",INDEX(ChqNorm,IFERROR(MATCH(292,ChqRankL,0),0)))</f>
        <v/>
      </c>
      <c r="C308" s="15" t="str">
        <f>IF(IFERROR(MATCH(292,ChqRankL,0),0)=0,"",INDEX(ChqNo,IFERROR(MATCH(292,ChqRankL,0),0)))</f>
        <v/>
      </c>
      <c r="D308" s="16" t="str">
        <f>IF(IFERROR(MATCH(292,ChqRankL,0),0)=0,"",IF(INDEX(ChqAmt,IFERROR(MATCH(292,ChqRankL,0),0))=0,"",INDEX(ChqAmt,IFERROR(MATCH(292,ChqRankL,0),0))))</f>
        <v/>
      </c>
      <c r="E308" s="10" t="str">
        <f>IF(IFERROR(MATCH(292,ChqRankL,0),0)=0,"",INDEX(ChqStatus,IFERROR(MATCH(292,ChqRankL,0),0)))</f>
        <v/>
      </c>
      <c r="F308" s="15" t="str">
        <f>IF(IFERROR(MATCH(292,ChqRankL,0),0)=0,"",IF(INDEX(ChqStatus,IFERROR(MATCH(292,ChqRankL,0),0))="پاس نشده","—",IF(INDEX(ChqClr,IFERROR(MATCH(292,ChqRankL,0),0))="","—",INDEX(ChqClr,IFERROR(MATCH(292,ChqRankL,0),0)))))</f>
        <v/>
      </c>
      <c r="I308" t="str">
        <f>IF(292&gt;NChq,"",INDEX(ChqNorm,292))</f>
        <v/>
      </c>
      <c r="J308" t="str">
        <f t="shared" si="8"/>
        <v/>
      </c>
      <c r="K308" t="str">
        <f>IF($J308=0,"",INDEX(ChqKey,292))</f>
        <v/>
      </c>
      <c r="L308" t="str">
        <f t="shared" si="9"/>
        <v/>
      </c>
    </row>
    <row r="309" spans="1:12" x14ac:dyDescent="0.2">
      <c r="A309" s="3" t="str">
        <f>IF(IFERROR(MATCH(293,ChqRankL,0),0)=0,"",293)</f>
        <v/>
      </c>
      <c r="B309" s="13" t="str">
        <f>IF(IFERROR(MATCH(293,ChqRankL,0),0)=0,"",INDEX(ChqNorm,IFERROR(MATCH(293,ChqRankL,0),0)))</f>
        <v/>
      </c>
      <c r="C309" s="13" t="str">
        <f>IF(IFERROR(MATCH(293,ChqRankL,0),0)=0,"",INDEX(ChqNo,IFERROR(MATCH(293,ChqRankL,0),0)))</f>
        <v/>
      </c>
      <c r="D309" s="14" t="str">
        <f>IF(IFERROR(MATCH(293,ChqRankL,0),0)=0,"",IF(INDEX(ChqAmt,IFERROR(MATCH(293,ChqRankL,0),0))=0,"",INDEX(ChqAmt,IFERROR(MATCH(293,ChqRankL,0),0))))</f>
        <v/>
      </c>
      <c r="E309" s="7" t="str">
        <f>IF(IFERROR(MATCH(293,ChqRankL,0),0)=0,"",INDEX(ChqStatus,IFERROR(MATCH(293,ChqRankL,0),0)))</f>
        <v/>
      </c>
      <c r="F309" s="13" t="str">
        <f>IF(IFERROR(MATCH(293,ChqRankL,0),0)=0,"",IF(INDEX(ChqStatus,IFERROR(MATCH(293,ChqRankL,0),0))="پاس نشده","—",IF(INDEX(ChqClr,IFERROR(MATCH(293,ChqRankL,0),0))="","—",INDEX(ChqClr,IFERROR(MATCH(293,ChqRankL,0),0)))))</f>
        <v/>
      </c>
      <c r="I309" t="str">
        <f>IF(293&gt;NChq,"",INDEX(ChqNorm,293))</f>
        <v/>
      </c>
      <c r="J309" t="str">
        <f t="shared" si="8"/>
        <v/>
      </c>
      <c r="K309" t="str">
        <f>IF($J309=0,"",INDEX(ChqKey,293))</f>
        <v/>
      </c>
      <c r="L309" t="str">
        <f t="shared" si="9"/>
        <v/>
      </c>
    </row>
    <row r="310" spans="1:12" x14ac:dyDescent="0.2">
      <c r="A310" s="9" t="str">
        <f>IF(IFERROR(MATCH(294,ChqRankL,0),0)=0,"",294)</f>
        <v/>
      </c>
      <c r="B310" s="15" t="str">
        <f>IF(IFERROR(MATCH(294,ChqRankL,0),0)=0,"",INDEX(ChqNorm,IFERROR(MATCH(294,ChqRankL,0),0)))</f>
        <v/>
      </c>
      <c r="C310" s="15" t="str">
        <f>IF(IFERROR(MATCH(294,ChqRankL,0),0)=0,"",INDEX(ChqNo,IFERROR(MATCH(294,ChqRankL,0),0)))</f>
        <v/>
      </c>
      <c r="D310" s="16" t="str">
        <f>IF(IFERROR(MATCH(294,ChqRankL,0),0)=0,"",IF(INDEX(ChqAmt,IFERROR(MATCH(294,ChqRankL,0),0))=0,"",INDEX(ChqAmt,IFERROR(MATCH(294,ChqRankL,0),0))))</f>
        <v/>
      </c>
      <c r="E310" s="10" t="str">
        <f>IF(IFERROR(MATCH(294,ChqRankL,0),0)=0,"",INDEX(ChqStatus,IFERROR(MATCH(294,ChqRankL,0),0)))</f>
        <v/>
      </c>
      <c r="F310" s="15" t="str">
        <f>IF(IFERROR(MATCH(294,ChqRankL,0),0)=0,"",IF(INDEX(ChqStatus,IFERROR(MATCH(294,ChqRankL,0),0))="پاس نشده","—",IF(INDEX(ChqClr,IFERROR(MATCH(294,ChqRankL,0),0))="","—",INDEX(ChqClr,IFERROR(MATCH(294,ChqRankL,0),0)))))</f>
        <v/>
      </c>
      <c r="I310" t="str">
        <f>IF(294&gt;NChq,"",INDEX(ChqNorm,294))</f>
        <v/>
      </c>
      <c r="J310" t="str">
        <f t="shared" si="8"/>
        <v/>
      </c>
      <c r="K310" t="str">
        <f>IF($J310=0,"",INDEX(ChqKey,294))</f>
        <v/>
      </c>
      <c r="L310" t="str">
        <f t="shared" si="9"/>
        <v/>
      </c>
    </row>
    <row r="311" spans="1:12" x14ac:dyDescent="0.2">
      <c r="A311" s="3" t="str">
        <f>IF(IFERROR(MATCH(295,ChqRankL,0),0)=0,"",295)</f>
        <v/>
      </c>
      <c r="B311" s="13" t="str">
        <f>IF(IFERROR(MATCH(295,ChqRankL,0),0)=0,"",INDEX(ChqNorm,IFERROR(MATCH(295,ChqRankL,0),0)))</f>
        <v/>
      </c>
      <c r="C311" s="13" t="str">
        <f>IF(IFERROR(MATCH(295,ChqRankL,0),0)=0,"",INDEX(ChqNo,IFERROR(MATCH(295,ChqRankL,0),0)))</f>
        <v/>
      </c>
      <c r="D311" s="14" t="str">
        <f>IF(IFERROR(MATCH(295,ChqRankL,0),0)=0,"",IF(INDEX(ChqAmt,IFERROR(MATCH(295,ChqRankL,0),0))=0,"",INDEX(ChqAmt,IFERROR(MATCH(295,ChqRankL,0),0))))</f>
        <v/>
      </c>
      <c r="E311" s="7" t="str">
        <f>IF(IFERROR(MATCH(295,ChqRankL,0),0)=0,"",INDEX(ChqStatus,IFERROR(MATCH(295,ChqRankL,0),0)))</f>
        <v/>
      </c>
      <c r="F311" s="13" t="str">
        <f>IF(IFERROR(MATCH(295,ChqRankL,0),0)=0,"",IF(INDEX(ChqStatus,IFERROR(MATCH(295,ChqRankL,0),0))="پاس نشده","—",IF(INDEX(ChqClr,IFERROR(MATCH(295,ChqRankL,0),0))="","—",INDEX(ChqClr,IFERROR(MATCH(295,ChqRankL,0),0)))))</f>
        <v/>
      </c>
      <c r="I311" t="str">
        <f>IF(295&gt;NChq,"",INDEX(ChqNorm,295))</f>
        <v/>
      </c>
      <c r="J311" t="str">
        <f t="shared" si="8"/>
        <v/>
      </c>
      <c r="K311" t="str">
        <f>IF($J311=0,"",INDEX(ChqKey,295))</f>
        <v/>
      </c>
      <c r="L311" t="str">
        <f t="shared" si="9"/>
        <v/>
      </c>
    </row>
    <row r="312" spans="1:12" x14ac:dyDescent="0.2">
      <c r="A312" s="9" t="str">
        <f>IF(IFERROR(MATCH(296,ChqRankL,0),0)=0,"",296)</f>
        <v/>
      </c>
      <c r="B312" s="15" t="str">
        <f>IF(IFERROR(MATCH(296,ChqRankL,0),0)=0,"",INDEX(ChqNorm,IFERROR(MATCH(296,ChqRankL,0),0)))</f>
        <v/>
      </c>
      <c r="C312" s="15" t="str">
        <f>IF(IFERROR(MATCH(296,ChqRankL,0),0)=0,"",INDEX(ChqNo,IFERROR(MATCH(296,ChqRankL,0),0)))</f>
        <v/>
      </c>
      <c r="D312" s="16" t="str">
        <f>IF(IFERROR(MATCH(296,ChqRankL,0),0)=0,"",IF(INDEX(ChqAmt,IFERROR(MATCH(296,ChqRankL,0),0))=0,"",INDEX(ChqAmt,IFERROR(MATCH(296,ChqRankL,0),0))))</f>
        <v/>
      </c>
      <c r="E312" s="10" t="str">
        <f>IF(IFERROR(MATCH(296,ChqRankL,0),0)=0,"",INDEX(ChqStatus,IFERROR(MATCH(296,ChqRankL,0),0)))</f>
        <v/>
      </c>
      <c r="F312" s="15" t="str">
        <f>IF(IFERROR(MATCH(296,ChqRankL,0),0)=0,"",IF(INDEX(ChqStatus,IFERROR(MATCH(296,ChqRankL,0),0))="پاس نشده","—",IF(INDEX(ChqClr,IFERROR(MATCH(296,ChqRankL,0),0))="","—",INDEX(ChqClr,IFERROR(MATCH(296,ChqRankL,0),0)))))</f>
        <v/>
      </c>
      <c r="I312" t="str">
        <f>IF(296&gt;NChq,"",INDEX(ChqNorm,296))</f>
        <v/>
      </c>
      <c r="J312" t="str">
        <f t="shared" si="8"/>
        <v/>
      </c>
      <c r="K312" t="str">
        <f>IF($J312=0,"",INDEX(ChqKey,296))</f>
        <v/>
      </c>
      <c r="L312" t="str">
        <f t="shared" si="9"/>
        <v/>
      </c>
    </row>
    <row r="313" spans="1:12" x14ac:dyDescent="0.2">
      <c r="A313" s="3" t="str">
        <f>IF(IFERROR(MATCH(297,ChqRankL,0),0)=0,"",297)</f>
        <v/>
      </c>
      <c r="B313" s="13" t="str">
        <f>IF(IFERROR(MATCH(297,ChqRankL,0),0)=0,"",INDEX(ChqNorm,IFERROR(MATCH(297,ChqRankL,0),0)))</f>
        <v/>
      </c>
      <c r="C313" s="13" t="str">
        <f>IF(IFERROR(MATCH(297,ChqRankL,0),0)=0,"",INDEX(ChqNo,IFERROR(MATCH(297,ChqRankL,0),0)))</f>
        <v/>
      </c>
      <c r="D313" s="14" t="str">
        <f>IF(IFERROR(MATCH(297,ChqRankL,0),0)=0,"",IF(INDEX(ChqAmt,IFERROR(MATCH(297,ChqRankL,0),0))=0,"",INDEX(ChqAmt,IFERROR(MATCH(297,ChqRankL,0),0))))</f>
        <v/>
      </c>
      <c r="E313" s="7" t="str">
        <f>IF(IFERROR(MATCH(297,ChqRankL,0),0)=0,"",INDEX(ChqStatus,IFERROR(MATCH(297,ChqRankL,0),0)))</f>
        <v/>
      </c>
      <c r="F313" s="13" t="str">
        <f>IF(IFERROR(MATCH(297,ChqRankL,0),0)=0,"",IF(INDEX(ChqStatus,IFERROR(MATCH(297,ChqRankL,0),0))="پاس نشده","—",IF(INDEX(ChqClr,IFERROR(MATCH(297,ChqRankL,0),0))="","—",INDEX(ChqClr,IFERROR(MATCH(297,ChqRankL,0),0)))))</f>
        <v/>
      </c>
      <c r="I313" t="str">
        <f>IF(297&gt;NChq,"",INDEX(ChqNorm,297))</f>
        <v/>
      </c>
      <c r="J313" t="str">
        <f t="shared" si="8"/>
        <v/>
      </c>
      <c r="K313" t="str">
        <f>IF($J313=0,"",INDEX(ChqKey,297))</f>
        <v/>
      </c>
      <c r="L313" t="str">
        <f t="shared" si="9"/>
        <v/>
      </c>
    </row>
    <row r="314" spans="1:12" x14ac:dyDescent="0.2">
      <c r="A314" s="9" t="str">
        <f>IF(IFERROR(MATCH(298,ChqRankL,0),0)=0,"",298)</f>
        <v/>
      </c>
      <c r="B314" s="15" t="str">
        <f>IF(IFERROR(MATCH(298,ChqRankL,0),0)=0,"",INDEX(ChqNorm,IFERROR(MATCH(298,ChqRankL,0),0)))</f>
        <v/>
      </c>
      <c r="C314" s="15" t="str">
        <f>IF(IFERROR(MATCH(298,ChqRankL,0),0)=0,"",INDEX(ChqNo,IFERROR(MATCH(298,ChqRankL,0),0)))</f>
        <v/>
      </c>
      <c r="D314" s="16" t="str">
        <f>IF(IFERROR(MATCH(298,ChqRankL,0),0)=0,"",IF(INDEX(ChqAmt,IFERROR(MATCH(298,ChqRankL,0),0))=0,"",INDEX(ChqAmt,IFERROR(MATCH(298,ChqRankL,0),0))))</f>
        <v/>
      </c>
      <c r="E314" s="10" t="str">
        <f>IF(IFERROR(MATCH(298,ChqRankL,0),0)=0,"",INDEX(ChqStatus,IFERROR(MATCH(298,ChqRankL,0),0)))</f>
        <v/>
      </c>
      <c r="F314" s="15" t="str">
        <f>IF(IFERROR(MATCH(298,ChqRankL,0),0)=0,"",IF(INDEX(ChqStatus,IFERROR(MATCH(298,ChqRankL,0),0))="پاس نشده","—",IF(INDEX(ChqClr,IFERROR(MATCH(298,ChqRankL,0),0))="","—",INDEX(ChqClr,IFERROR(MATCH(298,ChqRankL,0),0)))))</f>
        <v/>
      </c>
      <c r="I314" t="str">
        <f>IF(298&gt;NChq,"",INDEX(ChqNorm,298))</f>
        <v/>
      </c>
      <c r="J314" t="str">
        <f t="shared" si="8"/>
        <v/>
      </c>
      <c r="K314" t="str">
        <f>IF($J314=0,"",INDEX(ChqKey,298))</f>
        <v/>
      </c>
      <c r="L314" t="str">
        <f t="shared" si="9"/>
        <v/>
      </c>
    </row>
    <row r="315" spans="1:12" x14ac:dyDescent="0.2">
      <c r="A315" s="3" t="str">
        <f>IF(IFERROR(MATCH(299,ChqRankL,0),0)=0,"",299)</f>
        <v/>
      </c>
      <c r="B315" s="13" t="str">
        <f>IF(IFERROR(MATCH(299,ChqRankL,0),0)=0,"",INDEX(ChqNorm,IFERROR(MATCH(299,ChqRankL,0),0)))</f>
        <v/>
      </c>
      <c r="C315" s="13" t="str">
        <f>IF(IFERROR(MATCH(299,ChqRankL,0),0)=0,"",INDEX(ChqNo,IFERROR(MATCH(299,ChqRankL,0),0)))</f>
        <v/>
      </c>
      <c r="D315" s="14" t="str">
        <f>IF(IFERROR(MATCH(299,ChqRankL,0),0)=0,"",IF(INDEX(ChqAmt,IFERROR(MATCH(299,ChqRankL,0),0))=0,"",INDEX(ChqAmt,IFERROR(MATCH(299,ChqRankL,0),0))))</f>
        <v/>
      </c>
      <c r="E315" s="7" t="str">
        <f>IF(IFERROR(MATCH(299,ChqRankL,0),0)=0,"",INDEX(ChqStatus,IFERROR(MATCH(299,ChqRankL,0),0)))</f>
        <v/>
      </c>
      <c r="F315" s="13" t="str">
        <f>IF(IFERROR(MATCH(299,ChqRankL,0),0)=0,"",IF(INDEX(ChqStatus,IFERROR(MATCH(299,ChqRankL,0),0))="پاس نشده","—",IF(INDEX(ChqClr,IFERROR(MATCH(299,ChqRankL,0),0))="","—",INDEX(ChqClr,IFERROR(MATCH(299,ChqRankL,0),0)))))</f>
        <v/>
      </c>
      <c r="I315" t="str">
        <f>IF(299&gt;NChq,"",INDEX(ChqNorm,299))</f>
        <v/>
      </c>
      <c r="J315" t="str">
        <f t="shared" si="8"/>
        <v/>
      </c>
      <c r="K315" t="str">
        <f>IF($J315=0,"",INDEX(ChqKey,299))</f>
        <v/>
      </c>
      <c r="L315" t="str">
        <f t="shared" si="9"/>
        <v/>
      </c>
    </row>
    <row r="316" spans="1:12" x14ac:dyDescent="0.2">
      <c r="A316" s="9" t="str">
        <f>IF(IFERROR(MATCH(300,ChqRankL,0),0)=0,"",300)</f>
        <v/>
      </c>
      <c r="B316" s="15" t="str">
        <f>IF(IFERROR(MATCH(300,ChqRankL,0),0)=0,"",INDEX(ChqNorm,IFERROR(MATCH(300,ChqRankL,0),0)))</f>
        <v/>
      </c>
      <c r="C316" s="15" t="str">
        <f>IF(IFERROR(MATCH(300,ChqRankL,0),0)=0,"",INDEX(ChqNo,IFERROR(MATCH(300,ChqRankL,0),0)))</f>
        <v/>
      </c>
      <c r="D316" s="16" t="str">
        <f>IF(IFERROR(MATCH(300,ChqRankL,0),0)=0,"",IF(INDEX(ChqAmt,IFERROR(MATCH(300,ChqRankL,0),0))=0,"",INDEX(ChqAmt,IFERROR(MATCH(300,ChqRankL,0),0))))</f>
        <v/>
      </c>
      <c r="E316" s="10" t="str">
        <f>IF(IFERROR(MATCH(300,ChqRankL,0),0)=0,"",INDEX(ChqStatus,IFERROR(MATCH(300,ChqRankL,0),0)))</f>
        <v/>
      </c>
      <c r="F316" s="15" t="str">
        <f>IF(IFERROR(MATCH(300,ChqRankL,0),0)=0,"",IF(INDEX(ChqStatus,IFERROR(MATCH(300,ChqRankL,0),0))="پاس نشده","—",IF(INDEX(ChqClr,IFERROR(MATCH(300,ChqRankL,0),0))="","—",INDEX(ChqClr,IFERROR(MATCH(300,ChqRankL,0),0)))))</f>
        <v/>
      </c>
      <c r="I316" t="str">
        <f>IF(300&gt;NChq,"",INDEX(ChqNorm,300))</f>
        <v/>
      </c>
      <c r="J316" t="str">
        <f t="shared" si="8"/>
        <v/>
      </c>
      <c r="K316" t="str">
        <f>IF($J316=0,"",INDEX(ChqKey,300))</f>
        <v/>
      </c>
      <c r="L316" t="str">
        <f t="shared" si="9"/>
        <v/>
      </c>
    </row>
    <row r="317" spans="1:12" x14ac:dyDescent="0.2">
      <c r="A317" s="3" t="str">
        <f>IF(IFERROR(MATCH(301,ChqRankL,0),0)=0,"",301)</f>
        <v/>
      </c>
      <c r="B317" s="13" t="str">
        <f>IF(IFERROR(MATCH(301,ChqRankL,0),0)=0,"",INDEX(ChqNorm,IFERROR(MATCH(301,ChqRankL,0),0)))</f>
        <v/>
      </c>
      <c r="C317" s="13" t="str">
        <f>IF(IFERROR(MATCH(301,ChqRankL,0),0)=0,"",INDEX(ChqNo,IFERROR(MATCH(301,ChqRankL,0),0)))</f>
        <v/>
      </c>
      <c r="D317" s="14" t="str">
        <f>IF(IFERROR(MATCH(301,ChqRankL,0),0)=0,"",IF(INDEX(ChqAmt,IFERROR(MATCH(301,ChqRankL,0),0))=0,"",INDEX(ChqAmt,IFERROR(MATCH(301,ChqRankL,0),0))))</f>
        <v/>
      </c>
      <c r="E317" s="7" t="str">
        <f>IF(IFERROR(MATCH(301,ChqRankL,0),0)=0,"",INDEX(ChqStatus,IFERROR(MATCH(301,ChqRankL,0),0)))</f>
        <v/>
      </c>
      <c r="F317" s="13" t="str">
        <f>IF(IFERROR(MATCH(301,ChqRankL,0),0)=0,"",IF(INDEX(ChqStatus,IFERROR(MATCH(301,ChqRankL,0),0))="پاس نشده","—",IF(INDEX(ChqClr,IFERROR(MATCH(301,ChqRankL,0),0))="","—",INDEX(ChqClr,IFERROR(MATCH(301,ChqRankL,0),0)))))</f>
        <v/>
      </c>
      <c r="I317" t="str">
        <f>IF(301&gt;NChq,"",INDEX(ChqNorm,301))</f>
        <v/>
      </c>
      <c r="J317" t="str">
        <f t="shared" si="8"/>
        <v/>
      </c>
      <c r="K317" t="str">
        <f>IF($J317=0,"",INDEX(ChqKey,301))</f>
        <v/>
      </c>
      <c r="L317" t="str">
        <f t="shared" si="9"/>
        <v/>
      </c>
    </row>
    <row r="318" spans="1:12" x14ac:dyDescent="0.2">
      <c r="A318" s="9" t="str">
        <f>IF(IFERROR(MATCH(302,ChqRankL,0),0)=0,"",302)</f>
        <v/>
      </c>
      <c r="B318" s="15" t="str">
        <f>IF(IFERROR(MATCH(302,ChqRankL,0),0)=0,"",INDEX(ChqNorm,IFERROR(MATCH(302,ChqRankL,0),0)))</f>
        <v/>
      </c>
      <c r="C318" s="15" t="str">
        <f>IF(IFERROR(MATCH(302,ChqRankL,0),0)=0,"",INDEX(ChqNo,IFERROR(MATCH(302,ChqRankL,0),0)))</f>
        <v/>
      </c>
      <c r="D318" s="16" t="str">
        <f>IF(IFERROR(MATCH(302,ChqRankL,0),0)=0,"",IF(INDEX(ChqAmt,IFERROR(MATCH(302,ChqRankL,0),0))=0,"",INDEX(ChqAmt,IFERROR(MATCH(302,ChqRankL,0),0))))</f>
        <v/>
      </c>
      <c r="E318" s="10" t="str">
        <f>IF(IFERROR(MATCH(302,ChqRankL,0),0)=0,"",INDEX(ChqStatus,IFERROR(MATCH(302,ChqRankL,0),0)))</f>
        <v/>
      </c>
      <c r="F318" s="15" t="str">
        <f>IF(IFERROR(MATCH(302,ChqRankL,0),0)=0,"",IF(INDEX(ChqStatus,IFERROR(MATCH(302,ChqRankL,0),0))="پاس نشده","—",IF(INDEX(ChqClr,IFERROR(MATCH(302,ChqRankL,0),0))="","—",INDEX(ChqClr,IFERROR(MATCH(302,ChqRankL,0),0)))))</f>
        <v/>
      </c>
      <c r="I318" t="str">
        <f>IF(302&gt;NChq,"",INDEX(ChqNorm,302))</f>
        <v/>
      </c>
      <c r="J318" t="str">
        <f t="shared" si="8"/>
        <v/>
      </c>
      <c r="K318" t="str">
        <f>IF($J318=0,"",INDEX(ChqKey,302))</f>
        <v/>
      </c>
      <c r="L318" t="str">
        <f t="shared" si="9"/>
        <v/>
      </c>
    </row>
    <row r="319" spans="1:12" x14ac:dyDescent="0.2">
      <c r="A319" s="3" t="str">
        <f>IF(IFERROR(MATCH(303,ChqRankL,0),0)=0,"",303)</f>
        <v/>
      </c>
      <c r="B319" s="13" t="str">
        <f>IF(IFERROR(MATCH(303,ChqRankL,0),0)=0,"",INDEX(ChqNorm,IFERROR(MATCH(303,ChqRankL,0),0)))</f>
        <v/>
      </c>
      <c r="C319" s="13" t="str">
        <f>IF(IFERROR(MATCH(303,ChqRankL,0),0)=0,"",INDEX(ChqNo,IFERROR(MATCH(303,ChqRankL,0),0)))</f>
        <v/>
      </c>
      <c r="D319" s="14" t="str">
        <f>IF(IFERROR(MATCH(303,ChqRankL,0),0)=0,"",IF(INDEX(ChqAmt,IFERROR(MATCH(303,ChqRankL,0),0))=0,"",INDEX(ChqAmt,IFERROR(MATCH(303,ChqRankL,0),0))))</f>
        <v/>
      </c>
      <c r="E319" s="7" t="str">
        <f>IF(IFERROR(MATCH(303,ChqRankL,0),0)=0,"",INDEX(ChqStatus,IFERROR(MATCH(303,ChqRankL,0),0)))</f>
        <v/>
      </c>
      <c r="F319" s="13" t="str">
        <f>IF(IFERROR(MATCH(303,ChqRankL,0),0)=0,"",IF(INDEX(ChqStatus,IFERROR(MATCH(303,ChqRankL,0),0))="پاس نشده","—",IF(INDEX(ChqClr,IFERROR(MATCH(303,ChqRankL,0),0))="","—",INDEX(ChqClr,IFERROR(MATCH(303,ChqRankL,0),0)))))</f>
        <v/>
      </c>
      <c r="I319" t="str">
        <f>IF(303&gt;NChq,"",INDEX(ChqNorm,303))</f>
        <v/>
      </c>
      <c r="J319" t="str">
        <f t="shared" si="8"/>
        <v/>
      </c>
      <c r="K319" t="str">
        <f>IF($J319=0,"",INDEX(ChqKey,303))</f>
        <v/>
      </c>
      <c r="L319" t="str">
        <f t="shared" si="9"/>
        <v/>
      </c>
    </row>
    <row r="320" spans="1:12" x14ac:dyDescent="0.2">
      <c r="A320" s="9" t="str">
        <f>IF(IFERROR(MATCH(304,ChqRankL,0),0)=0,"",304)</f>
        <v/>
      </c>
      <c r="B320" s="15" t="str">
        <f>IF(IFERROR(MATCH(304,ChqRankL,0),0)=0,"",INDEX(ChqNorm,IFERROR(MATCH(304,ChqRankL,0),0)))</f>
        <v/>
      </c>
      <c r="C320" s="15" t="str">
        <f>IF(IFERROR(MATCH(304,ChqRankL,0),0)=0,"",INDEX(ChqNo,IFERROR(MATCH(304,ChqRankL,0),0)))</f>
        <v/>
      </c>
      <c r="D320" s="16" t="str">
        <f>IF(IFERROR(MATCH(304,ChqRankL,0),0)=0,"",IF(INDEX(ChqAmt,IFERROR(MATCH(304,ChqRankL,0),0))=0,"",INDEX(ChqAmt,IFERROR(MATCH(304,ChqRankL,0),0))))</f>
        <v/>
      </c>
      <c r="E320" s="10" t="str">
        <f>IF(IFERROR(MATCH(304,ChqRankL,0),0)=0,"",INDEX(ChqStatus,IFERROR(MATCH(304,ChqRankL,0),0)))</f>
        <v/>
      </c>
      <c r="F320" s="15" t="str">
        <f>IF(IFERROR(MATCH(304,ChqRankL,0),0)=0,"",IF(INDEX(ChqStatus,IFERROR(MATCH(304,ChqRankL,0),0))="پاس نشده","—",IF(INDEX(ChqClr,IFERROR(MATCH(304,ChqRankL,0),0))="","—",INDEX(ChqClr,IFERROR(MATCH(304,ChqRankL,0),0)))))</f>
        <v/>
      </c>
      <c r="I320" t="str">
        <f>IF(304&gt;NChq,"",INDEX(ChqNorm,304))</f>
        <v/>
      </c>
      <c r="J320" t="str">
        <f t="shared" si="8"/>
        <v/>
      </c>
      <c r="K320" t="str">
        <f>IF($J320=0,"",INDEX(ChqKey,304))</f>
        <v/>
      </c>
      <c r="L320" t="str">
        <f t="shared" si="9"/>
        <v/>
      </c>
    </row>
    <row r="321" spans="1:12" x14ac:dyDescent="0.2">
      <c r="A321" s="3" t="str">
        <f>IF(IFERROR(MATCH(305,ChqRankL,0),0)=0,"",305)</f>
        <v/>
      </c>
      <c r="B321" s="13" t="str">
        <f>IF(IFERROR(MATCH(305,ChqRankL,0),0)=0,"",INDEX(ChqNorm,IFERROR(MATCH(305,ChqRankL,0),0)))</f>
        <v/>
      </c>
      <c r="C321" s="13" t="str">
        <f>IF(IFERROR(MATCH(305,ChqRankL,0),0)=0,"",INDEX(ChqNo,IFERROR(MATCH(305,ChqRankL,0),0)))</f>
        <v/>
      </c>
      <c r="D321" s="14" t="str">
        <f>IF(IFERROR(MATCH(305,ChqRankL,0),0)=0,"",IF(INDEX(ChqAmt,IFERROR(MATCH(305,ChqRankL,0),0))=0,"",INDEX(ChqAmt,IFERROR(MATCH(305,ChqRankL,0),0))))</f>
        <v/>
      </c>
      <c r="E321" s="7" t="str">
        <f>IF(IFERROR(MATCH(305,ChqRankL,0),0)=0,"",INDEX(ChqStatus,IFERROR(MATCH(305,ChqRankL,0),0)))</f>
        <v/>
      </c>
      <c r="F321" s="13" t="str">
        <f>IF(IFERROR(MATCH(305,ChqRankL,0),0)=0,"",IF(INDEX(ChqStatus,IFERROR(MATCH(305,ChqRankL,0),0))="پاس نشده","—",IF(INDEX(ChqClr,IFERROR(MATCH(305,ChqRankL,0),0))="","—",INDEX(ChqClr,IFERROR(MATCH(305,ChqRankL,0),0)))))</f>
        <v/>
      </c>
      <c r="I321" t="str">
        <f>IF(305&gt;NChq,"",INDEX(ChqNorm,305))</f>
        <v/>
      </c>
      <c r="J321" t="str">
        <f t="shared" si="8"/>
        <v/>
      </c>
      <c r="K321" t="str">
        <f>IF($J321=0,"",INDEX(ChqKey,305))</f>
        <v/>
      </c>
      <c r="L321" t="str">
        <f t="shared" si="9"/>
        <v/>
      </c>
    </row>
    <row r="322" spans="1:12" x14ac:dyDescent="0.2">
      <c r="A322" s="9" t="str">
        <f>IF(IFERROR(MATCH(306,ChqRankL,0),0)=0,"",306)</f>
        <v/>
      </c>
      <c r="B322" s="15" t="str">
        <f>IF(IFERROR(MATCH(306,ChqRankL,0),0)=0,"",INDEX(ChqNorm,IFERROR(MATCH(306,ChqRankL,0),0)))</f>
        <v/>
      </c>
      <c r="C322" s="15" t="str">
        <f>IF(IFERROR(MATCH(306,ChqRankL,0),0)=0,"",INDEX(ChqNo,IFERROR(MATCH(306,ChqRankL,0),0)))</f>
        <v/>
      </c>
      <c r="D322" s="16" t="str">
        <f>IF(IFERROR(MATCH(306,ChqRankL,0),0)=0,"",IF(INDEX(ChqAmt,IFERROR(MATCH(306,ChqRankL,0),0))=0,"",INDEX(ChqAmt,IFERROR(MATCH(306,ChqRankL,0),0))))</f>
        <v/>
      </c>
      <c r="E322" s="10" t="str">
        <f>IF(IFERROR(MATCH(306,ChqRankL,0),0)=0,"",INDEX(ChqStatus,IFERROR(MATCH(306,ChqRankL,0),0)))</f>
        <v/>
      </c>
      <c r="F322" s="15" t="str">
        <f>IF(IFERROR(MATCH(306,ChqRankL,0),0)=0,"",IF(INDEX(ChqStatus,IFERROR(MATCH(306,ChqRankL,0),0))="پاس نشده","—",IF(INDEX(ChqClr,IFERROR(MATCH(306,ChqRankL,0),0))="","—",INDEX(ChqClr,IFERROR(MATCH(306,ChqRankL,0),0)))))</f>
        <v/>
      </c>
      <c r="I322" t="str">
        <f>IF(306&gt;NChq,"",INDEX(ChqNorm,306))</f>
        <v/>
      </c>
      <c r="J322" t="str">
        <f t="shared" si="8"/>
        <v/>
      </c>
      <c r="K322" t="str">
        <f>IF($J322=0,"",INDEX(ChqKey,306))</f>
        <v/>
      </c>
      <c r="L322" t="str">
        <f t="shared" si="9"/>
        <v/>
      </c>
    </row>
    <row r="323" spans="1:12" x14ac:dyDescent="0.2">
      <c r="A323" s="3" t="str">
        <f>IF(IFERROR(MATCH(307,ChqRankL,0),0)=0,"",307)</f>
        <v/>
      </c>
      <c r="B323" s="13" t="str">
        <f>IF(IFERROR(MATCH(307,ChqRankL,0),0)=0,"",INDEX(ChqNorm,IFERROR(MATCH(307,ChqRankL,0),0)))</f>
        <v/>
      </c>
      <c r="C323" s="13" t="str">
        <f>IF(IFERROR(MATCH(307,ChqRankL,0),0)=0,"",INDEX(ChqNo,IFERROR(MATCH(307,ChqRankL,0),0)))</f>
        <v/>
      </c>
      <c r="D323" s="14" t="str">
        <f>IF(IFERROR(MATCH(307,ChqRankL,0),0)=0,"",IF(INDEX(ChqAmt,IFERROR(MATCH(307,ChqRankL,0),0))=0,"",INDEX(ChqAmt,IFERROR(MATCH(307,ChqRankL,0),0))))</f>
        <v/>
      </c>
      <c r="E323" s="7" t="str">
        <f>IF(IFERROR(MATCH(307,ChqRankL,0),0)=0,"",INDEX(ChqStatus,IFERROR(MATCH(307,ChqRankL,0),0)))</f>
        <v/>
      </c>
      <c r="F323" s="13" t="str">
        <f>IF(IFERROR(MATCH(307,ChqRankL,0),0)=0,"",IF(INDEX(ChqStatus,IFERROR(MATCH(307,ChqRankL,0),0))="پاس نشده","—",IF(INDEX(ChqClr,IFERROR(MATCH(307,ChqRankL,0),0))="","—",INDEX(ChqClr,IFERROR(MATCH(307,ChqRankL,0),0)))))</f>
        <v/>
      </c>
      <c r="I323" t="str">
        <f>IF(307&gt;NChq,"",INDEX(ChqNorm,307))</f>
        <v/>
      </c>
      <c r="J323" t="str">
        <f t="shared" si="8"/>
        <v/>
      </c>
      <c r="K323" t="str">
        <f>IF($J323=0,"",INDEX(ChqKey,307))</f>
        <v/>
      </c>
      <c r="L323" t="str">
        <f t="shared" si="9"/>
        <v/>
      </c>
    </row>
    <row r="324" spans="1:12" x14ac:dyDescent="0.2">
      <c r="A324" s="9" t="str">
        <f>IF(IFERROR(MATCH(308,ChqRankL,0),0)=0,"",308)</f>
        <v/>
      </c>
      <c r="B324" s="15" t="str">
        <f>IF(IFERROR(MATCH(308,ChqRankL,0),0)=0,"",INDEX(ChqNorm,IFERROR(MATCH(308,ChqRankL,0),0)))</f>
        <v/>
      </c>
      <c r="C324" s="15" t="str">
        <f>IF(IFERROR(MATCH(308,ChqRankL,0),0)=0,"",INDEX(ChqNo,IFERROR(MATCH(308,ChqRankL,0),0)))</f>
        <v/>
      </c>
      <c r="D324" s="16" t="str">
        <f>IF(IFERROR(MATCH(308,ChqRankL,0),0)=0,"",IF(INDEX(ChqAmt,IFERROR(MATCH(308,ChqRankL,0),0))=0,"",INDEX(ChqAmt,IFERROR(MATCH(308,ChqRankL,0),0))))</f>
        <v/>
      </c>
      <c r="E324" s="10" t="str">
        <f>IF(IFERROR(MATCH(308,ChqRankL,0),0)=0,"",INDEX(ChqStatus,IFERROR(MATCH(308,ChqRankL,0),0)))</f>
        <v/>
      </c>
      <c r="F324" s="15" t="str">
        <f>IF(IFERROR(MATCH(308,ChqRankL,0),0)=0,"",IF(INDEX(ChqStatus,IFERROR(MATCH(308,ChqRankL,0),0))="پاس نشده","—",IF(INDEX(ChqClr,IFERROR(MATCH(308,ChqRankL,0),0))="","—",INDEX(ChqClr,IFERROR(MATCH(308,ChqRankL,0),0)))))</f>
        <v/>
      </c>
      <c r="I324" t="str">
        <f>IF(308&gt;NChq,"",INDEX(ChqNorm,308))</f>
        <v/>
      </c>
      <c r="J324" t="str">
        <f t="shared" si="8"/>
        <v/>
      </c>
      <c r="K324" t="str">
        <f>IF($J324=0,"",INDEX(ChqKey,308))</f>
        <v/>
      </c>
      <c r="L324" t="str">
        <f t="shared" si="9"/>
        <v/>
      </c>
    </row>
    <row r="325" spans="1:12" x14ac:dyDescent="0.2">
      <c r="A325" s="3" t="str">
        <f>IF(IFERROR(MATCH(309,ChqRankL,0),0)=0,"",309)</f>
        <v/>
      </c>
      <c r="B325" s="13" t="str">
        <f>IF(IFERROR(MATCH(309,ChqRankL,0),0)=0,"",INDEX(ChqNorm,IFERROR(MATCH(309,ChqRankL,0),0)))</f>
        <v/>
      </c>
      <c r="C325" s="13" t="str">
        <f>IF(IFERROR(MATCH(309,ChqRankL,0),0)=0,"",INDEX(ChqNo,IFERROR(MATCH(309,ChqRankL,0),0)))</f>
        <v/>
      </c>
      <c r="D325" s="14" t="str">
        <f>IF(IFERROR(MATCH(309,ChqRankL,0),0)=0,"",IF(INDEX(ChqAmt,IFERROR(MATCH(309,ChqRankL,0),0))=0,"",INDEX(ChqAmt,IFERROR(MATCH(309,ChqRankL,0),0))))</f>
        <v/>
      </c>
      <c r="E325" s="7" t="str">
        <f>IF(IFERROR(MATCH(309,ChqRankL,0),0)=0,"",INDEX(ChqStatus,IFERROR(MATCH(309,ChqRankL,0),0)))</f>
        <v/>
      </c>
      <c r="F325" s="13" t="str">
        <f>IF(IFERROR(MATCH(309,ChqRankL,0),0)=0,"",IF(INDEX(ChqStatus,IFERROR(MATCH(309,ChqRankL,0),0))="پاس نشده","—",IF(INDEX(ChqClr,IFERROR(MATCH(309,ChqRankL,0),0))="","—",INDEX(ChqClr,IFERROR(MATCH(309,ChqRankL,0),0)))))</f>
        <v/>
      </c>
      <c r="I325" t="str">
        <f>IF(309&gt;NChq,"",INDEX(ChqNorm,309))</f>
        <v/>
      </c>
      <c r="J325" t="str">
        <f t="shared" si="8"/>
        <v/>
      </c>
      <c r="K325" t="str">
        <f>IF($J325=0,"",INDEX(ChqKey,309))</f>
        <v/>
      </c>
      <c r="L325" t="str">
        <f t="shared" si="9"/>
        <v/>
      </c>
    </row>
    <row r="326" spans="1:12" x14ac:dyDescent="0.2">
      <c r="A326" s="9" t="str">
        <f>IF(IFERROR(MATCH(310,ChqRankL,0),0)=0,"",310)</f>
        <v/>
      </c>
      <c r="B326" s="15" t="str">
        <f>IF(IFERROR(MATCH(310,ChqRankL,0),0)=0,"",INDEX(ChqNorm,IFERROR(MATCH(310,ChqRankL,0),0)))</f>
        <v/>
      </c>
      <c r="C326" s="15" t="str">
        <f>IF(IFERROR(MATCH(310,ChqRankL,0),0)=0,"",INDEX(ChqNo,IFERROR(MATCH(310,ChqRankL,0),0)))</f>
        <v/>
      </c>
      <c r="D326" s="16" t="str">
        <f>IF(IFERROR(MATCH(310,ChqRankL,0),0)=0,"",IF(INDEX(ChqAmt,IFERROR(MATCH(310,ChqRankL,0),0))=0,"",INDEX(ChqAmt,IFERROR(MATCH(310,ChqRankL,0),0))))</f>
        <v/>
      </c>
      <c r="E326" s="10" t="str">
        <f>IF(IFERROR(MATCH(310,ChqRankL,0),0)=0,"",INDEX(ChqStatus,IFERROR(MATCH(310,ChqRankL,0),0)))</f>
        <v/>
      </c>
      <c r="F326" s="15" t="str">
        <f>IF(IFERROR(MATCH(310,ChqRankL,0),0)=0,"",IF(INDEX(ChqStatus,IFERROR(MATCH(310,ChqRankL,0),0))="پاس نشده","—",IF(INDEX(ChqClr,IFERROR(MATCH(310,ChqRankL,0),0))="","—",INDEX(ChqClr,IFERROR(MATCH(310,ChqRankL,0),0)))))</f>
        <v/>
      </c>
      <c r="I326" t="str">
        <f>IF(310&gt;NChq,"",INDEX(ChqNorm,310))</f>
        <v/>
      </c>
      <c r="J326" t="str">
        <f t="shared" si="8"/>
        <v/>
      </c>
      <c r="K326" t="str">
        <f>IF($J326=0,"",INDEX(ChqKey,310))</f>
        <v/>
      </c>
      <c r="L326" t="str">
        <f t="shared" si="9"/>
        <v/>
      </c>
    </row>
    <row r="327" spans="1:12" x14ac:dyDescent="0.2">
      <c r="A327" s="3" t="str">
        <f>IF(IFERROR(MATCH(311,ChqRankL,0),0)=0,"",311)</f>
        <v/>
      </c>
      <c r="B327" s="13" t="str">
        <f>IF(IFERROR(MATCH(311,ChqRankL,0),0)=0,"",INDEX(ChqNorm,IFERROR(MATCH(311,ChqRankL,0),0)))</f>
        <v/>
      </c>
      <c r="C327" s="13" t="str">
        <f>IF(IFERROR(MATCH(311,ChqRankL,0),0)=0,"",INDEX(ChqNo,IFERROR(MATCH(311,ChqRankL,0),0)))</f>
        <v/>
      </c>
      <c r="D327" s="14" t="str">
        <f>IF(IFERROR(MATCH(311,ChqRankL,0),0)=0,"",IF(INDEX(ChqAmt,IFERROR(MATCH(311,ChqRankL,0),0))=0,"",INDEX(ChqAmt,IFERROR(MATCH(311,ChqRankL,0),0))))</f>
        <v/>
      </c>
      <c r="E327" s="7" t="str">
        <f>IF(IFERROR(MATCH(311,ChqRankL,0),0)=0,"",INDEX(ChqStatus,IFERROR(MATCH(311,ChqRankL,0),0)))</f>
        <v/>
      </c>
      <c r="F327" s="13" t="str">
        <f>IF(IFERROR(MATCH(311,ChqRankL,0),0)=0,"",IF(INDEX(ChqStatus,IFERROR(MATCH(311,ChqRankL,0),0))="پاس نشده","—",IF(INDEX(ChqClr,IFERROR(MATCH(311,ChqRankL,0),0))="","—",INDEX(ChqClr,IFERROR(MATCH(311,ChqRankL,0),0)))))</f>
        <v/>
      </c>
      <c r="I327" t="str">
        <f>IF(311&gt;NChq,"",INDEX(ChqNorm,311))</f>
        <v/>
      </c>
      <c r="J327" t="str">
        <f t="shared" si="8"/>
        <v/>
      </c>
      <c r="K327" t="str">
        <f>IF($J327=0,"",INDEX(ChqKey,311))</f>
        <v/>
      </c>
      <c r="L327" t="str">
        <f t="shared" si="9"/>
        <v/>
      </c>
    </row>
    <row r="328" spans="1:12" x14ac:dyDescent="0.2">
      <c r="A328" s="9" t="str">
        <f>IF(IFERROR(MATCH(312,ChqRankL,0),0)=0,"",312)</f>
        <v/>
      </c>
      <c r="B328" s="15" t="str">
        <f>IF(IFERROR(MATCH(312,ChqRankL,0),0)=0,"",INDEX(ChqNorm,IFERROR(MATCH(312,ChqRankL,0),0)))</f>
        <v/>
      </c>
      <c r="C328" s="15" t="str">
        <f>IF(IFERROR(MATCH(312,ChqRankL,0),0)=0,"",INDEX(ChqNo,IFERROR(MATCH(312,ChqRankL,0),0)))</f>
        <v/>
      </c>
      <c r="D328" s="16" t="str">
        <f>IF(IFERROR(MATCH(312,ChqRankL,0),0)=0,"",IF(INDEX(ChqAmt,IFERROR(MATCH(312,ChqRankL,0),0))=0,"",INDEX(ChqAmt,IFERROR(MATCH(312,ChqRankL,0),0))))</f>
        <v/>
      </c>
      <c r="E328" s="10" t="str">
        <f>IF(IFERROR(MATCH(312,ChqRankL,0),0)=0,"",INDEX(ChqStatus,IFERROR(MATCH(312,ChqRankL,0),0)))</f>
        <v/>
      </c>
      <c r="F328" s="15" t="str">
        <f>IF(IFERROR(MATCH(312,ChqRankL,0),0)=0,"",IF(INDEX(ChqStatus,IFERROR(MATCH(312,ChqRankL,0),0))="پاس نشده","—",IF(INDEX(ChqClr,IFERROR(MATCH(312,ChqRankL,0),0))="","—",INDEX(ChqClr,IFERROR(MATCH(312,ChqRankL,0),0)))))</f>
        <v/>
      </c>
      <c r="I328" t="str">
        <f>IF(312&gt;NChq,"",INDEX(ChqNorm,312))</f>
        <v/>
      </c>
      <c r="J328" t="str">
        <f t="shared" si="8"/>
        <v/>
      </c>
      <c r="K328" t="str">
        <f>IF($J328=0,"",INDEX(ChqKey,312))</f>
        <v/>
      </c>
      <c r="L328" t="str">
        <f t="shared" si="9"/>
        <v/>
      </c>
    </row>
    <row r="329" spans="1:12" x14ac:dyDescent="0.2">
      <c r="A329" s="3" t="str">
        <f>IF(IFERROR(MATCH(313,ChqRankL,0),0)=0,"",313)</f>
        <v/>
      </c>
      <c r="B329" s="13" t="str">
        <f>IF(IFERROR(MATCH(313,ChqRankL,0),0)=0,"",INDEX(ChqNorm,IFERROR(MATCH(313,ChqRankL,0),0)))</f>
        <v/>
      </c>
      <c r="C329" s="13" t="str">
        <f>IF(IFERROR(MATCH(313,ChqRankL,0),0)=0,"",INDEX(ChqNo,IFERROR(MATCH(313,ChqRankL,0),0)))</f>
        <v/>
      </c>
      <c r="D329" s="14" t="str">
        <f>IF(IFERROR(MATCH(313,ChqRankL,0),0)=0,"",IF(INDEX(ChqAmt,IFERROR(MATCH(313,ChqRankL,0),0))=0,"",INDEX(ChqAmt,IFERROR(MATCH(313,ChqRankL,0),0))))</f>
        <v/>
      </c>
      <c r="E329" s="7" t="str">
        <f>IF(IFERROR(MATCH(313,ChqRankL,0),0)=0,"",INDEX(ChqStatus,IFERROR(MATCH(313,ChqRankL,0),0)))</f>
        <v/>
      </c>
      <c r="F329" s="13" t="str">
        <f>IF(IFERROR(MATCH(313,ChqRankL,0),0)=0,"",IF(INDEX(ChqStatus,IFERROR(MATCH(313,ChqRankL,0),0))="پاس نشده","—",IF(INDEX(ChqClr,IFERROR(MATCH(313,ChqRankL,0),0))="","—",INDEX(ChqClr,IFERROR(MATCH(313,ChqRankL,0),0)))))</f>
        <v/>
      </c>
      <c r="I329" t="str">
        <f>IF(313&gt;NChq,"",INDEX(ChqNorm,313))</f>
        <v/>
      </c>
      <c r="J329" t="str">
        <f t="shared" si="8"/>
        <v/>
      </c>
      <c r="K329" t="str">
        <f>IF($J329=0,"",INDEX(ChqKey,313))</f>
        <v/>
      </c>
      <c r="L329" t="str">
        <f t="shared" si="9"/>
        <v/>
      </c>
    </row>
    <row r="330" spans="1:12" x14ac:dyDescent="0.2">
      <c r="A330" s="9" t="str">
        <f>IF(IFERROR(MATCH(314,ChqRankL,0),0)=0,"",314)</f>
        <v/>
      </c>
      <c r="B330" s="15" t="str">
        <f>IF(IFERROR(MATCH(314,ChqRankL,0),0)=0,"",INDEX(ChqNorm,IFERROR(MATCH(314,ChqRankL,0),0)))</f>
        <v/>
      </c>
      <c r="C330" s="15" t="str">
        <f>IF(IFERROR(MATCH(314,ChqRankL,0),0)=0,"",INDEX(ChqNo,IFERROR(MATCH(314,ChqRankL,0),0)))</f>
        <v/>
      </c>
      <c r="D330" s="16" t="str">
        <f>IF(IFERROR(MATCH(314,ChqRankL,0),0)=0,"",IF(INDEX(ChqAmt,IFERROR(MATCH(314,ChqRankL,0),0))=0,"",INDEX(ChqAmt,IFERROR(MATCH(314,ChqRankL,0),0))))</f>
        <v/>
      </c>
      <c r="E330" s="10" t="str">
        <f>IF(IFERROR(MATCH(314,ChqRankL,0),0)=0,"",INDEX(ChqStatus,IFERROR(MATCH(314,ChqRankL,0),0)))</f>
        <v/>
      </c>
      <c r="F330" s="15" t="str">
        <f>IF(IFERROR(MATCH(314,ChqRankL,0),0)=0,"",IF(INDEX(ChqStatus,IFERROR(MATCH(314,ChqRankL,0),0))="پاس نشده","—",IF(INDEX(ChqClr,IFERROR(MATCH(314,ChqRankL,0),0))="","—",INDEX(ChqClr,IFERROR(MATCH(314,ChqRankL,0),0)))))</f>
        <v/>
      </c>
      <c r="I330" t="str">
        <f>IF(314&gt;NChq,"",INDEX(ChqNorm,314))</f>
        <v/>
      </c>
      <c r="J330" t="str">
        <f t="shared" si="8"/>
        <v/>
      </c>
      <c r="K330" t="str">
        <f>IF($J330=0,"",INDEX(ChqKey,314))</f>
        <v/>
      </c>
      <c r="L330" t="str">
        <f t="shared" si="9"/>
        <v/>
      </c>
    </row>
    <row r="331" spans="1:12" x14ac:dyDescent="0.2">
      <c r="A331" s="3" t="str">
        <f>IF(IFERROR(MATCH(315,ChqRankL,0),0)=0,"",315)</f>
        <v/>
      </c>
      <c r="B331" s="13" t="str">
        <f>IF(IFERROR(MATCH(315,ChqRankL,0),0)=0,"",INDEX(ChqNorm,IFERROR(MATCH(315,ChqRankL,0),0)))</f>
        <v/>
      </c>
      <c r="C331" s="13" t="str">
        <f>IF(IFERROR(MATCH(315,ChqRankL,0),0)=0,"",INDEX(ChqNo,IFERROR(MATCH(315,ChqRankL,0),0)))</f>
        <v/>
      </c>
      <c r="D331" s="14" t="str">
        <f>IF(IFERROR(MATCH(315,ChqRankL,0),0)=0,"",IF(INDEX(ChqAmt,IFERROR(MATCH(315,ChqRankL,0),0))=0,"",INDEX(ChqAmt,IFERROR(MATCH(315,ChqRankL,0),0))))</f>
        <v/>
      </c>
      <c r="E331" s="7" t="str">
        <f>IF(IFERROR(MATCH(315,ChqRankL,0),0)=0,"",INDEX(ChqStatus,IFERROR(MATCH(315,ChqRankL,0),0)))</f>
        <v/>
      </c>
      <c r="F331" s="13" t="str">
        <f>IF(IFERROR(MATCH(315,ChqRankL,0),0)=0,"",IF(INDEX(ChqStatus,IFERROR(MATCH(315,ChqRankL,0),0))="پاس نشده","—",IF(INDEX(ChqClr,IFERROR(MATCH(315,ChqRankL,0),0))="","—",INDEX(ChqClr,IFERROR(MATCH(315,ChqRankL,0),0)))))</f>
        <v/>
      </c>
      <c r="I331" t="str">
        <f>IF(315&gt;NChq,"",INDEX(ChqNorm,315))</f>
        <v/>
      </c>
      <c r="J331" t="str">
        <f t="shared" si="8"/>
        <v/>
      </c>
      <c r="K331" t="str">
        <f>IF($J331=0,"",INDEX(ChqKey,315))</f>
        <v/>
      </c>
      <c r="L331" t="str">
        <f t="shared" si="9"/>
        <v/>
      </c>
    </row>
    <row r="332" spans="1:12" x14ac:dyDescent="0.2">
      <c r="A332" s="9" t="str">
        <f>IF(IFERROR(MATCH(316,ChqRankL,0),0)=0,"",316)</f>
        <v/>
      </c>
      <c r="B332" s="15" t="str">
        <f>IF(IFERROR(MATCH(316,ChqRankL,0),0)=0,"",INDEX(ChqNorm,IFERROR(MATCH(316,ChqRankL,0),0)))</f>
        <v/>
      </c>
      <c r="C332" s="15" t="str">
        <f>IF(IFERROR(MATCH(316,ChqRankL,0),0)=0,"",INDEX(ChqNo,IFERROR(MATCH(316,ChqRankL,0),0)))</f>
        <v/>
      </c>
      <c r="D332" s="16" t="str">
        <f>IF(IFERROR(MATCH(316,ChqRankL,0),0)=0,"",IF(INDEX(ChqAmt,IFERROR(MATCH(316,ChqRankL,0),0))=0,"",INDEX(ChqAmt,IFERROR(MATCH(316,ChqRankL,0),0))))</f>
        <v/>
      </c>
      <c r="E332" s="10" t="str">
        <f>IF(IFERROR(MATCH(316,ChqRankL,0),0)=0,"",INDEX(ChqStatus,IFERROR(MATCH(316,ChqRankL,0),0)))</f>
        <v/>
      </c>
      <c r="F332" s="15" t="str">
        <f>IF(IFERROR(MATCH(316,ChqRankL,0),0)=0,"",IF(INDEX(ChqStatus,IFERROR(MATCH(316,ChqRankL,0),0))="پاس نشده","—",IF(INDEX(ChqClr,IFERROR(MATCH(316,ChqRankL,0),0))="","—",INDEX(ChqClr,IFERROR(MATCH(316,ChqRankL,0),0)))))</f>
        <v/>
      </c>
      <c r="I332" t="str">
        <f>IF(316&gt;NChq,"",INDEX(ChqNorm,316))</f>
        <v/>
      </c>
      <c r="J332" t="str">
        <f t="shared" si="8"/>
        <v/>
      </c>
      <c r="K332" t="str">
        <f>IF($J332=0,"",INDEX(ChqKey,316))</f>
        <v/>
      </c>
      <c r="L332" t="str">
        <f t="shared" si="9"/>
        <v/>
      </c>
    </row>
    <row r="333" spans="1:12" x14ac:dyDescent="0.2">
      <c r="A333" s="3" t="str">
        <f>IF(IFERROR(MATCH(317,ChqRankL,0),0)=0,"",317)</f>
        <v/>
      </c>
      <c r="B333" s="13" t="str">
        <f>IF(IFERROR(MATCH(317,ChqRankL,0),0)=0,"",INDEX(ChqNorm,IFERROR(MATCH(317,ChqRankL,0),0)))</f>
        <v/>
      </c>
      <c r="C333" s="13" t="str">
        <f>IF(IFERROR(MATCH(317,ChqRankL,0),0)=0,"",INDEX(ChqNo,IFERROR(MATCH(317,ChqRankL,0),0)))</f>
        <v/>
      </c>
      <c r="D333" s="14" t="str">
        <f>IF(IFERROR(MATCH(317,ChqRankL,0),0)=0,"",IF(INDEX(ChqAmt,IFERROR(MATCH(317,ChqRankL,0),0))=0,"",INDEX(ChqAmt,IFERROR(MATCH(317,ChqRankL,0),0))))</f>
        <v/>
      </c>
      <c r="E333" s="7" t="str">
        <f>IF(IFERROR(MATCH(317,ChqRankL,0),0)=0,"",INDEX(ChqStatus,IFERROR(MATCH(317,ChqRankL,0),0)))</f>
        <v/>
      </c>
      <c r="F333" s="13" t="str">
        <f>IF(IFERROR(MATCH(317,ChqRankL,0),0)=0,"",IF(INDEX(ChqStatus,IFERROR(MATCH(317,ChqRankL,0),0))="پاس نشده","—",IF(INDEX(ChqClr,IFERROR(MATCH(317,ChqRankL,0),0))="","—",INDEX(ChqClr,IFERROR(MATCH(317,ChqRankL,0),0)))))</f>
        <v/>
      </c>
      <c r="I333" t="str">
        <f>IF(317&gt;NChq,"",INDEX(ChqNorm,317))</f>
        <v/>
      </c>
      <c r="J333" t="str">
        <f t="shared" si="8"/>
        <v/>
      </c>
      <c r="K333" t="str">
        <f>IF($J333=0,"",INDEX(ChqKey,317))</f>
        <v/>
      </c>
      <c r="L333" t="str">
        <f t="shared" si="9"/>
        <v/>
      </c>
    </row>
    <row r="334" spans="1:12" x14ac:dyDescent="0.2">
      <c r="A334" s="9" t="str">
        <f>IF(IFERROR(MATCH(318,ChqRankL,0),0)=0,"",318)</f>
        <v/>
      </c>
      <c r="B334" s="15" t="str">
        <f>IF(IFERROR(MATCH(318,ChqRankL,0),0)=0,"",INDEX(ChqNorm,IFERROR(MATCH(318,ChqRankL,0),0)))</f>
        <v/>
      </c>
      <c r="C334" s="15" t="str">
        <f>IF(IFERROR(MATCH(318,ChqRankL,0),0)=0,"",INDEX(ChqNo,IFERROR(MATCH(318,ChqRankL,0),0)))</f>
        <v/>
      </c>
      <c r="D334" s="16" t="str">
        <f>IF(IFERROR(MATCH(318,ChqRankL,0),0)=0,"",IF(INDEX(ChqAmt,IFERROR(MATCH(318,ChqRankL,0),0))=0,"",INDEX(ChqAmt,IFERROR(MATCH(318,ChqRankL,0),0))))</f>
        <v/>
      </c>
      <c r="E334" s="10" t="str">
        <f>IF(IFERROR(MATCH(318,ChqRankL,0),0)=0,"",INDEX(ChqStatus,IFERROR(MATCH(318,ChqRankL,0),0)))</f>
        <v/>
      </c>
      <c r="F334" s="15" t="str">
        <f>IF(IFERROR(MATCH(318,ChqRankL,0),0)=0,"",IF(INDEX(ChqStatus,IFERROR(MATCH(318,ChqRankL,0),0))="پاس نشده","—",IF(INDEX(ChqClr,IFERROR(MATCH(318,ChqRankL,0),0))="","—",INDEX(ChqClr,IFERROR(MATCH(318,ChqRankL,0),0)))))</f>
        <v/>
      </c>
      <c r="I334" t="str">
        <f>IF(318&gt;NChq,"",INDEX(ChqNorm,318))</f>
        <v/>
      </c>
      <c r="J334" t="str">
        <f t="shared" si="8"/>
        <v/>
      </c>
      <c r="K334" t="str">
        <f>IF($J334=0,"",INDEX(ChqKey,318))</f>
        <v/>
      </c>
      <c r="L334" t="str">
        <f t="shared" si="9"/>
        <v/>
      </c>
    </row>
    <row r="335" spans="1:12" x14ac:dyDescent="0.2">
      <c r="A335" s="3" t="str">
        <f>IF(IFERROR(MATCH(319,ChqRankL,0),0)=0,"",319)</f>
        <v/>
      </c>
      <c r="B335" s="13" t="str">
        <f>IF(IFERROR(MATCH(319,ChqRankL,0),0)=0,"",INDEX(ChqNorm,IFERROR(MATCH(319,ChqRankL,0),0)))</f>
        <v/>
      </c>
      <c r="C335" s="13" t="str">
        <f>IF(IFERROR(MATCH(319,ChqRankL,0),0)=0,"",INDEX(ChqNo,IFERROR(MATCH(319,ChqRankL,0),0)))</f>
        <v/>
      </c>
      <c r="D335" s="14" t="str">
        <f>IF(IFERROR(MATCH(319,ChqRankL,0),0)=0,"",IF(INDEX(ChqAmt,IFERROR(MATCH(319,ChqRankL,0),0))=0,"",INDEX(ChqAmt,IFERROR(MATCH(319,ChqRankL,0),0))))</f>
        <v/>
      </c>
      <c r="E335" s="7" t="str">
        <f>IF(IFERROR(MATCH(319,ChqRankL,0),0)=0,"",INDEX(ChqStatus,IFERROR(MATCH(319,ChqRankL,0),0)))</f>
        <v/>
      </c>
      <c r="F335" s="13" t="str">
        <f>IF(IFERROR(MATCH(319,ChqRankL,0),0)=0,"",IF(INDEX(ChqStatus,IFERROR(MATCH(319,ChqRankL,0),0))="پاس نشده","—",IF(INDEX(ChqClr,IFERROR(MATCH(319,ChqRankL,0),0))="","—",INDEX(ChqClr,IFERROR(MATCH(319,ChqRankL,0),0)))))</f>
        <v/>
      </c>
      <c r="I335" t="str">
        <f>IF(319&gt;NChq,"",INDEX(ChqNorm,319))</f>
        <v/>
      </c>
      <c r="J335" t="str">
        <f t="shared" si="8"/>
        <v/>
      </c>
      <c r="K335" t="str">
        <f>IF($J335=0,"",INDEX(ChqKey,319))</f>
        <v/>
      </c>
      <c r="L335" t="str">
        <f t="shared" si="9"/>
        <v/>
      </c>
    </row>
    <row r="336" spans="1:12" x14ac:dyDescent="0.2">
      <c r="A336" s="9" t="str">
        <f>IF(IFERROR(MATCH(320,ChqRankL,0),0)=0,"",320)</f>
        <v/>
      </c>
      <c r="B336" s="15" t="str">
        <f>IF(IFERROR(MATCH(320,ChqRankL,0),0)=0,"",INDEX(ChqNorm,IFERROR(MATCH(320,ChqRankL,0),0)))</f>
        <v/>
      </c>
      <c r="C336" s="15" t="str">
        <f>IF(IFERROR(MATCH(320,ChqRankL,0),0)=0,"",INDEX(ChqNo,IFERROR(MATCH(320,ChqRankL,0),0)))</f>
        <v/>
      </c>
      <c r="D336" s="16" t="str">
        <f>IF(IFERROR(MATCH(320,ChqRankL,0),0)=0,"",IF(INDEX(ChqAmt,IFERROR(MATCH(320,ChqRankL,0),0))=0,"",INDEX(ChqAmt,IFERROR(MATCH(320,ChqRankL,0),0))))</f>
        <v/>
      </c>
      <c r="E336" s="10" t="str">
        <f>IF(IFERROR(MATCH(320,ChqRankL,0),0)=0,"",INDEX(ChqStatus,IFERROR(MATCH(320,ChqRankL,0),0)))</f>
        <v/>
      </c>
      <c r="F336" s="15" t="str">
        <f>IF(IFERROR(MATCH(320,ChqRankL,0),0)=0,"",IF(INDEX(ChqStatus,IFERROR(MATCH(320,ChqRankL,0),0))="پاس نشده","—",IF(INDEX(ChqClr,IFERROR(MATCH(320,ChqRankL,0),0))="","—",INDEX(ChqClr,IFERROR(MATCH(320,ChqRankL,0),0)))))</f>
        <v/>
      </c>
      <c r="I336" t="str">
        <f>IF(320&gt;NChq,"",INDEX(ChqNorm,320))</f>
        <v/>
      </c>
      <c r="J336" t="str">
        <f t="shared" si="8"/>
        <v/>
      </c>
      <c r="K336" t="str">
        <f>IF($J336=0,"",INDEX(ChqKey,320))</f>
        <v/>
      </c>
      <c r="L336" t="str">
        <f t="shared" si="9"/>
        <v/>
      </c>
    </row>
    <row r="337" spans="1:12" x14ac:dyDescent="0.2">
      <c r="A337" s="3" t="str">
        <f>IF(IFERROR(MATCH(321,ChqRankL,0),0)=0,"",321)</f>
        <v/>
      </c>
      <c r="B337" s="13" t="str">
        <f>IF(IFERROR(MATCH(321,ChqRankL,0),0)=0,"",INDEX(ChqNorm,IFERROR(MATCH(321,ChqRankL,0),0)))</f>
        <v/>
      </c>
      <c r="C337" s="13" t="str">
        <f>IF(IFERROR(MATCH(321,ChqRankL,0),0)=0,"",INDEX(ChqNo,IFERROR(MATCH(321,ChqRankL,0),0)))</f>
        <v/>
      </c>
      <c r="D337" s="14" t="str">
        <f>IF(IFERROR(MATCH(321,ChqRankL,0),0)=0,"",IF(INDEX(ChqAmt,IFERROR(MATCH(321,ChqRankL,0),0))=0,"",INDEX(ChqAmt,IFERROR(MATCH(321,ChqRankL,0),0))))</f>
        <v/>
      </c>
      <c r="E337" s="7" t="str">
        <f>IF(IFERROR(MATCH(321,ChqRankL,0),0)=0,"",INDEX(ChqStatus,IFERROR(MATCH(321,ChqRankL,0),0)))</f>
        <v/>
      </c>
      <c r="F337" s="13" t="str">
        <f>IF(IFERROR(MATCH(321,ChqRankL,0),0)=0,"",IF(INDEX(ChqStatus,IFERROR(MATCH(321,ChqRankL,0),0))="پاس نشده","—",IF(INDEX(ChqClr,IFERROR(MATCH(321,ChqRankL,0),0))="","—",INDEX(ChqClr,IFERROR(MATCH(321,ChqRankL,0),0)))))</f>
        <v/>
      </c>
      <c r="I337" t="str">
        <f>IF(321&gt;NChq,"",INDEX(ChqNorm,321))</f>
        <v/>
      </c>
      <c r="J337" t="str">
        <f t="shared" ref="J337:J400" si="10">IF($I337="","",IF(AND($I337&gt;=$H$3,$I337&lt;=$H$4),1,0))</f>
        <v/>
      </c>
      <c r="K337" t="str">
        <f>IF($J337=0,"",INDEX(ChqKey,321))</f>
        <v/>
      </c>
      <c r="L337" t="str">
        <f t="shared" ref="L337:L400" si="11">IF($K337="","",COUNTIFS($J$17:$J$516,1,$K$17:$K$516,"&lt;"&amp;$K337)+1)</f>
        <v/>
      </c>
    </row>
    <row r="338" spans="1:12" x14ac:dyDescent="0.2">
      <c r="A338" s="9" t="str">
        <f>IF(IFERROR(MATCH(322,ChqRankL,0),0)=0,"",322)</f>
        <v/>
      </c>
      <c r="B338" s="15" t="str">
        <f>IF(IFERROR(MATCH(322,ChqRankL,0),0)=0,"",INDEX(ChqNorm,IFERROR(MATCH(322,ChqRankL,0),0)))</f>
        <v/>
      </c>
      <c r="C338" s="15" t="str">
        <f>IF(IFERROR(MATCH(322,ChqRankL,0),0)=0,"",INDEX(ChqNo,IFERROR(MATCH(322,ChqRankL,0),0)))</f>
        <v/>
      </c>
      <c r="D338" s="16" t="str">
        <f>IF(IFERROR(MATCH(322,ChqRankL,0),0)=0,"",IF(INDEX(ChqAmt,IFERROR(MATCH(322,ChqRankL,0),0))=0,"",INDEX(ChqAmt,IFERROR(MATCH(322,ChqRankL,0),0))))</f>
        <v/>
      </c>
      <c r="E338" s="10" t="str">
        <f>IF(IFERROR(MATCH(322,ChqRankL,0),0)=0,"",INDEX(ChqStatus,IFERROR(MATCH(322,ChqRankL,0),0)))</f>
        <v/>
      </c>
      <c r="F338" s="15" t="str">
        <f>IF(IFERROR(MATCH(322,ChqRankL,0),0)=0,"",IF(INDEX(ChqStatus,IFERROR(MATCH(322,ChqRankL,0),0))="پاس نشده","—",IF(INDEX(ChqClr,IFERROR(MATCH(322,ChqRankL,0),0))="","—",INDEX(ChqClr,IFERROR(MATCH(322,ChqRankL,0),0)))))</f>
        <v/>
      </c>
      <c r="I338" t="str">
        <f>IF(322&gt;NChq,"",INDEX(ChqNorm,322))</f>
        <v/>
      </c>
      <c r="J338" t="str">
        <f t="shared" si="10"/>
        <v/>
      </c>
      <c r="K338" t="str">
        <f>IF($J338=0,"",INDEX(ChqKey,322))</f>
        <v/>
      </c>
      <c r="L338" t="str">
        <f t="shared" si="11"/>
        <v/>
      </c>
    </row>
    <row r="339" spans="1:12" x14ac:dyDescent="0.2">
      <c r="A339" s="3" t="str">
        <f>IF(IFERROR(MATCH(323,ChqRankL,0),0)=0,"",323)</f>
        <v/>
      </c>
      <c r="B339" s="13" t="str">
        <f>IF(IFERROR(MATCH(323,ChqRankL,0),0)=0,"",INDEX(ChqNorm,IFERROR(MATCH(323,ChqRankL,0),0)))</f>
        <v/>
      </c>
      <c r="C339" s="13" t="str">
        <f>IF(IFERROR(MATCH(323,ChqRankL,0),0)=0,"",INDEX(ChqNo,IFERROR(MATCH(323,ChqRankL,0),0)))</f>
        <v/>
      </c>
      <c r="D339" s="14" t="str">
        <f>IF(IFERROR(MATCH(323,ChqRankL,0),0)=0,"",IF(INDEX(ChqAmt,IFERROR(MATCH(323,ChqRankL,0),0))=0,"",INDEX(ChqAmt,IFERROR(MATCH(323,ChqRankL,0),0))))</f>
        <v/>
      </c>
      <c r="E339" s="7" t="str">
        <f>IF(IFERROR(MATCH(323,ChqRankL,0),0)=0,"",INDEX(ChqStatus,IFERROR(MATCH(323,ChqRankL,0),0)))</f>
        <v/>
      </c>
      <c r="F339" s="13" t="str">
        <f>IF(IFERROR(MATCH(323,ChqRankL,0),0)=0,"",IF(INDEX(ChqStatus,IFERROR(MATCH(323,ChqRankL,0),0))="پاس نشده","—",IF(INDEX(ChqClr,IFERROR(MATCH(323,ChqRankL,0),0))="","—",INDEX(ChqClr,IFERROR(MATCH(323,ChqRankL,0),0)))))</f>
        <v/>
      </c>
      <c r="I339" t="str">
        <f>IF(323&gt;NChq,"",INDEX(ChqNorm,323))</f>
        <v/>
      </c>
      <c r="J339" t="str">
        <f t="shared" si="10"/>
        <v/>
      </c>
      <c r="K339" t="str">
        <f>IF($J339=0,"",INDEX(ChqKey,323))</f>
        <v/>
      </c>
      <c r="L339" t="str">
        <f t="shared" si="11"/>
        <v/>
      </c>
    </row>
    <row r="340" spans="1:12" x14ac:dyDescent="0.2">
      <c r="A340" s="9" t="str">
        <f>IF(IFERROR(MATCH(324,ChqRankL,0),0)=0,"",324)</f>
        <v/>
      </c>
      <c r="B340" s="15" t="str">
        <f>IF(IFERROR(MATCH(324,ChqRankL,0),0)=0,"",INDEX(ChqNorm,IFERROR(MATCH(324,ChqRankL,0),0)))</f>
        <v/>
      </c>
      <c r="C340" s="15" t="str">
        <f>IF(IFERROR(MATCH(324,ChqRankL,0),0)=0,"",INDEX(ChqNo,IFERROR(MATCH(324,ChqRankL,0),0)))</f>
        <v/>
      </c>
      <c r="D340" s="16" t="str">
        <f>IF(IFERROR(MATCH(324,ChqRankL,0),0)=0,"",IF(INDEX(ChqAmt,IFERROR(MATCH(324,ChqRankL,0),0))=0,"",INDEX(ChqAmt,IFERROR(MATCH(324,ChqRankL,0),0))))</f>
        <v/>
      </c>
      <c r="E340" s="10" t="str">
        <f>IF(IFERROR(MATCH(324,ChqRankL,0),0)=0,"",INDEX(ChqStatus,IFERROR(MATCH(324,ChqRankL,0),0)))</f>
        <v/>
      </c>
      <c r="F340" s="15" t="str">
        <f>IF(IFERROR(MATCH(324,ChqRankL,0),0)=0,"",IF(INDEX(ChqStatus,IFERROR(MATCH(324,ChqRankL,0),0))="پاس نشده","—",IF(INDEX(ChqClr,IFERROR(MATCH(324,ChqRankL,0),0))="","—",INDEX(ChqClr,IFERROR(MATCH(324,ChqRankL,0),0)))))</f>
        <v/>
      </c>
      <c r="I340" t="str">
        <f>IF(324&gt;NChq,"",INDEX(ChqNorm,324))</f>
        <v/>
      </c>
      <c r="J340" t="str">
        <f t="shared" si="10"/>
        <v/>
      </c>
      <c r="K340" t="str">
        <f>IF($J340=0,"",INDEX(ChqKey,324))</f>
        <v/>
      </c>
      <c r="L340" t="str">
        <f t="shared" si="11"/>
        <v/>
      </c>
    </row>
    <row r="341" spans="1:12" x14ac:dyDescent="0.2">
      <c r="A341" s="3" t="str">
        <f>IF(IFERROR(MATCH(325,ChqRankL,0),0)=0,"",325)</f>
        <v/>
      </c>
      <c r="B341" s="13" t="str">
        <f>IF(IFERROR(MATCH(325,ChqRankL,0),0)=0,"",INDEX(ChqNorm,IFERROR(MATCH(325,ChqRankL,0),0)))</f>
        <v/>
      </c>
      <c r="C341" s="13" t="str">
        <f>IF(IFERROR(MATCH(325,ChqRankL,0),0)=0,"",INDEX(ChqNo,IFERROR(MATCH(325,ChqRankL,0),0)))</f>
        <v/>
      </c>
      <c r="D341" s="14" t="str">
        <f>IF(IFERROR(MATCH(325,ChqRankL,0),0)=0,"",IF(INDEX(ChqAmt,IFERROR(MATCH(325,ChqRankL,0),0))=0,"",INDEX(ChqAmt,IFERROR(MATCH(325,ChqRankL,0),0))))</f>
        <v/>
      </c>
      <c r="E341" s="7" t="str">
        <f>IF(IFERROR(MATCH(325,ChqRankL,0),0)=0,"",INDEX(ChqStatus,IFERROR(MATCH(325,ChqRankL,0),0)))</f>
        <v/>
      </c>
      <c r="F341" s="13" t="str">
        <f>IF(IFERROR(MATCH(325,ChqRankL,0),0)=0,"",IF(INDEX(ChqStatus,IFERROR(MATCH(325,ChqRankL,0),0))="پاس نشده","—",IF(INDEX(ChqClr,IFERROR(MATCH(325,ChqRankL,0),0))="","—",INDEX(ChqClr,IFERROR(MATCH(325,ChqRankL,0),0)))))</f>
        <v/>
      </c>
      <c r="I341" t="str">
        <f>IF(325&gt;NChq,"",INDEX(ChqNorm,325))</f>
        <v/>
      </c>
      <c r="J341" t="str">
        <f t="shared" si="10"/>
        <v/>
      </c>
      <c r="K341" t="str">
        <f>IF($J341=0,"",INDEX(ChqKey,325))</f>
        <v/>
      </c>
      <c r="L341" t="str">
        <f t="shared" si="11"/>
        <v/>
      </c>
    </row>
    <row r="342" spans="1:12" x14ac:dyDescent="0.2">
      <c r="A342" s="9" t="str">
        <f>IF(IFERROR(MATCH(326,ChqRankL,0),0)=0,"",326)</f>
        <v/>
      </c>
      <c r="B342" s="15" t="str">
        <f>IF(IFERROR(MATCH(326,ChqRankL,0),0)=0,"",INDEX(ChqNorm,IFERROR(MATCH(326,ChqRankL,0),0)))</f>
        <v/>
      </c>
      <c r="C342" s="15" t="str">
        <f>IF(IFERROR(MATCH(326,ChqRankL,0),0)=0,"",INDEX(ChqNo,IFERROR(MATCH(326,ChqRankL,0),0)))</f>
        <v/>
      </c>
      <c r="D342" s="16" t="str">
        <f>IF(IFERROR(MATCH(326,ChqRankL,0),0)=0,"",IF(INDEX(ChqAmt,IFERROR(MATCH(326,ChqRankL,0),0))=0,"",INDEX(ChqAmt,IFERROR(MATCH(326,ChqRankL,0),0))))</f>
        <v/>
      </c>
      <c r="E342" s="10" t="str">
        <f>IF(IFERROR(MATCH(326,ChqRankL,0),0)=0,"",INDEX(ChqStatus,IFERROR(MATCH(326,ChqRankL,0),0)))</f>
        <v/>
      </c>
      <c r="F342" s="15" t="str">
        <f>IF(IFERROR(MATCH(326,ChqRankL,0),0)=0,"",IF(INDEX(ChqStatus,IFERROR(MATCH(326,ChqRankL,0),0))="پاس نشده","—",IF(INDEX(ChqClr,IFERROR(MATCH(326,ChqRankL,0),0))="","—",INDEX(ChqClr,IFERROR(MATCH(326,ChqRankL,0),0)))))</f>
        <v/>
      </c>
      <c r="I342" t="str">
        <f>IF(326&gt;NChq,"",INDEX(ChqNorm,326))</f>
        <v/>
      </c>
      <c r="J342" t="str">
        <f t="shared" si="10"/>
        <v/>
      </c>
      <c r="K342" t="str">
        <f>IF($J342=0,"",INDEX(ChqKey,326))</f>
        <v/>
      </c>
      <c r="L342" t="str">
        <f t="shared" si="11"/>
        <v/>
      </c>
    </row>
    <row r="343" spans="1:12" x14ac:dyDescent="0.2">
      <c r="A343" s="3" t="str">
        <f>IF(IFERROR(MATCH(327,ChqRankL,0),0)=0,"",327)</f>
        <v/>
      </c>
      <c r="B343" s="13" t="str">
        <f>IF(IFERROR(MATCH(327,ChqRankL,0),0)=0,"",INDEX(ChqNorm,IFERROR(MATCH(327,ChqRankL,0),0)))</f>
        <v/>
      </c>
      <c r="C343" s="13" t="str">
        <f>IF(IFERROR(MATCH(327,ChqRankL,0),0)=0,"",INDEX(ChqNo,IFERROR(MATCH(327,ChqRankL,0),0)))</f>
        <v/>
      </c>
      <c r="D343" s="14" t="str">
        <f>IF(IFERROR(MATCH(327,ChqRankL,0),0)=0,"",IF(INDEX(ChqAmt,IFERROR(MATCH(327,ChqRankL,0),0))=0,"",INDEX(ChqAmt,IFERROR(MATCH(327,ChqRankL,0),0))))</f>
        <v/>
      </c>
      <c r="E343" s="7" t="str">
        <f>IF(IFERROR(MATCH(327,ChqRankL,0),0)=0,"",INDEX(ChqStatus,IFERROR(MATCH(327,ChqRankL,0),0)))</f>
        <v/>
      </c>
      <c r="F343" s="13" t="str">
        <f>IF(IFERROR(MATCH(327,ChqRankL,0),0)=0,"",IF(INDEX(ChqStatus,IFERROR(MATCH(327,ChqRankL,0),0))="پاس نشده","—",IF(INDEX(ChqClr,IFERROR(MATCH(327,ChqRankL,0),0))="","—",INDEX(ChqClr,IFERROR(MATCH(327,ChqRankL,0),0)))))</f>
        <v/>
      </c>
      <c r="I343" t="str">
        <f>IF(327&gt;NChq,"",INDEX(ChqNorm,327))</f>
        <v/>
      </c>
      <c r="J343" t="str">
        <f t="shared" si="10"/>
        <v/>
      </c>
      <c r="K343" t="str">
        <f>IF($J343=0,"",INDEX(ChqKey,327))</f>
        <v/>
      </c>
      <c r="L343" t="str">
        <f t="shared" si="11"/>
        <v/>
      </c>
    </row>
    <row r="344" spans="1:12" x14ac:dyDescent="0.2">
      <c r="A344" s="9" t="str">
        <f>IF(IFERROR(MATCH(328,ChqRankL,0),0)=0,"",328)</f>
        <v/>
      </c>
      <c r="B344" s="15" t="str">
        <f>IF(IFERROR(MATCH(328,ChqRankL,0),0)=0,"",INDEX(ChqNorm,IFERROR(MATCH(328,ChqRankL,0),0)))</f>
        <v/>
      </c>
      <c r="C344" s="15" t="str">
        <f>IF(IFERROR(MATCH(328,ChqRankL,0),0)=0,"",INDEX(ChqNo,IFERROR(MATCH(328,ChqRankL,0),0)))</f>
        <v/>
      </c>
      <c r="D344" s="16" t="str">
        <f>IF(IFERROR(MATCH(328,ChqRankL,0),0)=0,"",IF(INDEX(ChqAmt,IFERROR(MATCH(328,ChqRankL,0),0))=0,"",INDEX(ChqAmt,IFERROR(MATCH(328,ChqRankL,0),0))))</f>
        <v/>
      </c>
      <c r="E344" s="10" t="str">
        <f>IF(IFERROR(MATCH(328,ChqRankL,0),0)=0,"",INDEX(ChqStatus,IFERROR(MATCH(328,ChqRankL,0),0)))</f>
        <v/>
      </c>
      <c r="F344" s="15" t="str">
        <f>IF(IFERROR(MATCH(328,ChqRankL,0),0)=0,"",IF(INDEX(ChqStatus,IFERROR(MATCH(328,ChqRankL,0),0))="پاس نشده","—",IF(INDEX(ChqClr,IFERROR(MATCH(328,ChqRankL,0),0))="","—",INDEX(ChqClr,IFERROR(MATCH(328,ChqRankL,0),0)))))</f>
        <v/>
      </c>
      <c r="I344" t="str">
        <f>IF(328&gt;NChq,"",INDEX(ChqNorm,328))</f>
        <v/>
      </c>
      <c r="J344" t="str">
        <f t="shared" si="10"/>
        <v/>
      </c>
      <c r="K344" t="str">
        <f>IF($J344=0,"",INDEX(ChqKey,328))</f>
        <v/>
      </c>
      <c r="L344" t="str">
        <f t="shared" si="11"/>
        <v/>
      </c>
    </row>
    <row r="345" spans="1:12" x14ac:dyDescent="0.2">
      <c r="A345" s="3" t="str">
        <f>IF(IFERROR(MATCH(329,ChqRankL,0),0)=0,"",329)</f>
        <v/>
      </c>
      <c r="B345" s="13" t="str">
        <f>IF(IFERROR(MATCH(329,ChqRankL,0),0)=0,"",INDEX(ChqNorm,IFERROR(MATCH(329,ChqRankL,0),0)))</f>
        <v/>
      </c>
      <c r="C345" s="13" t="str">
        <f>IF(IFERROR(MATCH(329,ChqRankL,0),0)=0,"",INDEX(ChqNo,IFERROR(MATCH(329,ChqRankL,0),0)))</f>
        <v/>
      </c>
      <c r="D345" s="14" t="str">
        <f>IF(IFERROR(MATCH(329,ChqRankL,0),0)=0,"",IF(INDEX(ChqAmt,IFERROR(MATCH(329,ChqRankL,0),0))=0,"",INDEX(ChqAmt,IFERROR(MATCH(329,ChqRankL,0),0))))</f>
        <v/>
      </c>
      <c r="E345" s="7" t="str">
        <f>IF(IFERROR(MATCH(329,ChqRankL,0),0)=0,"",INDEX(ChqStatus,IFERROR(MATCH(329,ChqRankL,0),0)))</f>
        <v/>
      </c>
      <c r="F345" s="13" t="str">
        <f>IF(IFERROR(MATCH(329,ChqRankL,0),0)=0,"",IF(INDEX(ChqStatus,IFERROR(MATCH(329,ChqRankL,0),0))="پاس نشده","—",IF(INDEX(ChqClr,IFERROR(MATCH(329,ChqRankL,0),0))="","—",INDEX(ChqClr,IFERROR(MATCH(329,ChqRankL,0),0)))))</f>
        <v/>
      </c>
      <c r="I345" t="str">
        <f>IF(329&gt;NChq,"",INDEX(ChqNorm,329))</f>
        <v/>
      </c>
      <c r="J345" t="str">
        <f t="shared" si="10"/>
        <v/>
      </c>
      <c r="K345" t="str">
        <f>IF($J345=0,"",INDEX(ChqKey,329))</f>
        <v/>
      </c>
      <c r="L345" t="str">
        <f t="shared" si="11"/>
        <v/>
      </c>
    </row>
    <row r="346" spans="1:12" x14ac:dyDescent="0.2">
      <c r="A346" s="9" t="str">
        <f>IF(IFERROR(MATCH(330,ChqRankL,0),0)=0,"",330)</f>
        <v/>
      </c>
      <c r="B346" s="15" t="str">
        <f>IF(IFERROR(MATCH(330,ChqRankL,0),0)=0,"",INDEX(ChqNorm,IFERROR(MATCH(330,ChqRankL,0),0)))</f>
        <v/>
      </c>
      <c r="C346" s="15" t="str">
        <f>IF(IFERROR(MATCH(330,ChqRankL,0),0)=0,"",INDEX(ChqNo,IFERROR(MATCH(330,ChqRankL,0),0)))</f>
        <v/>
      </c>
      <c r="D346" s="16" t="str">
        <f>IF(IFERROR(MATCH(330,ChqRankL,0),0)=0,"",IF(INDEX(ChqAmt,IFERROR(MATCH(330,ChqRankL,0),0))=0,"",INDEX(ChqAmt,IFERROR(MATCH(330,ChqRankL,0),0))))</f>
        <v/>
      </c>
      <c r="E346" s="10" t="str">
        <f>IF(IFERROR(MATCH(330,ChqRankL,0),0)=0,"",INDEX(ChqStatus,IFERROR(MATCH(330,ChqRankL,0),0)))</f>
        <v/>
      </c>
      <c r="F346" s="15" t="str">
        <f>IF(IFERROR(MATCH(330,ChqRankL,0),0)=0,"",IF(INDEX(ChqStatus,IFERROR(MATCH(330,ChqRankL,0),0))="پاس نشده","—",IF(INDEX(ChqClr,IFERROR(MATCH(330,ChqRankL,0),0))="","—",INDEX(ChqClr,IFERROR(MATCH(330,ChqRankL,0),0)))))</f>
        <v/>
      </c>
      <c r="I346" t="str">
        <f>IF(330&gt;NChq,"",INDEX(ChqNorm,330))</f>
        <v/>
      </c>
      <c r="J346" t="str">
        <f t="shared" si="10"/>
        <v/>
      </c>
      <c r="K346" t="str">
        <f>IF($J346=0,"",INDEX(ChqKey,330))</f>
        <v/>
      </c>
      <c r="L346" t="str">
        <f t="shared" si="11"/>
        <v/>
      </c>
    </row>
    <row r="347" spans="1:12" x14ac:dyDescent="0.2">
      <c r="A347" s="3" t="str">
        <f>IF(IFERROR(MATCH(331,ChqRankL,0),0)=0,"",331)</f>
        <v/>
      </c>
      <c r="B347" s="13" t="str">
        <f>IF(IFERROR(MATCH(331,ChqRankL,0),0)=0,"",INDEX(ChqNorm,IFERROR(MATCH(331,ChqRankL,0),0)))</f>
        <v/>
      </c>
      <c r="C347" s="13" t="str">
        <f>IF(IFERROR(MATCH(331,ChqRankL,0),0)=0,"",INDEX(ChqNo,IFERROR(MATCH(331,ChqRankL,0),0)))</f>
        <v/>
      </c>
      <c r="D347" s="14" t="str">
        <f>IF(IFERROR(MATCH(331,ChqRankL,0),0)=0,"",IF(INDEX(ChqAmt,IFERROR(MATCH(331,ChqRankL,0),0))=0,"",INDEX(ChqAmt,IFERROR(MATCH(331,ChqRankL,0),0))))</f>
        <v/>
      </c>
      <c r="E347" s="7" t="str">
        <f>IF(IFERROR(MATCH(331,ChqRankL,0),0)=0,"",INDEX(ChqStatus,IFERROR(MATCH(331,ChqRankL,0),0)))</f>
        <v/>
      </c>
      <c r="F347" s="13" t="str">
        <f>IF(IFERROR(MATCH(331,ChqRankL,0),0)=0,"",IF(INDEX(ChqStatus,IFERROR(MATCH(331,ChqRankL,0),0))="پاس نشده","—",IF(INDEX(ChqClr,IFERROR(MATCH(331,ChqRankL,0),0))="","—",INDEX(ChqClr,IFERROR(MATCH(331,ChqRankL,0),0)))))</f>
        <v/>
      </c>
      <c r="I347" t="str">
        <f>IF(331&gt;NChq,"",INDEX(ChqNorm,331))</f>
        <v/>
      </c>
      <c r="J347" t="str">
        <f t="shared" si="10"/>
        <v/>
      </c>
      <c r="K347" t="str">
        <f>IF($J347=0,"",INDEX(ChqKey,331))</f>
        <v/>
      </c>
      <c r="L347" t="str">
        <f t="shared" si="11"/>
        <v/>
      </c>
    </row>
    <row r="348" spans="1:12" x14ac:dyDescent="0.2">
      <c r="A348" s="9" t="str">
        <f>IF(IFERROR(MATCH(332,ChqRankL,0),0)=0,"",332)</f>
        <v/>
      </c>
      <c r="B348" s="15" t="str">
        <f>IF(IFERROR(MATCH(332,ChqRankL,0),0)=0,"",INDEX(ChqNorm,IFERROR(MATCH(332,ChqRankL,0),0)))</f>
        <v/>
      </c>
      <c r="C348" s="15" t="str">
        <f>IF(IFERROR(MATCH(332,ChqRankL,0),0)=0,"",INDEX(ChqNo,IFERROR(MATCH(332,ChqRankL,0),0)))</f>
        <v/>
      </c>
      <c r="D348" s="16" t="str">
        <f>IF(IFERROR(MATCH(332,ChqRankL,0),0)=0,"",IF(INDEX(ChqAmt,IFERROR(MATCH(332,ChqRankL,0),0))=0,"",INDEX(ChqAmt,IFERROR(MATCH(332,ChqRankL,0),0))))</f>
        <v/>
      </c>
      <c r="E348" s="10" t="str">
        <f>IF(IFERROR(MATCH(332,ChqRankL,0),0)=0,"",INDEX(ChqStatus,IFERROR(MATCH(332,ChqRankL,0),0)))</f>
        <v/>
      </c>
      <c r="F348" s="15" t="str">
        <f>IF(IFERROR(MATCH(332,ChqRankL,0),0)=0,"",IF(INDEX(ChqStatus,IFERROR(MATCH(332,ChqRankL,0),0))="پاس نشده","—",IF(INDEX(ChqClr,IFERROR(MATCH(332,ChqRankL,0),0))="","—",INDEX(ChqClr,IFERROR(MATCH(332,ChqRankL,0),0)))))</f>
        <v/>
      </c>
      <c r="I348" t="str">
        <f>IF(332&gt;NChq,"",INDEX(ChqNorm,332))</f>
        <v/>
      </c>
      <c r="J348" t="str">
        <f t="shared" si="10"/>
        <v/>
      </c>
      <c r="K348" t="str">
        <f>IF($J348=0,"",INDEX(ChqKey,332))</f>
        <v/>
      </c>
      <c r="L348" t="str">
        <f t="shared" si="11"/>
        <v/>
      </c>
    </row>
    <row r="349" spans="1:12" x14ac:dyDescent="0.2">
      <c r="A349" s="3" t="str">
        <f>IF(IFERROR(MATCH(333,ChqRankL,0),0)=0,"",333)</f>
        <v/>
      </c>
      <c r="B349" s="13" t="str">
        <f>IF(IFERROR(MATCH(333,ChqRankL,0),0)=0,"",INDEX(ChqNorm,IFERROR(MATCH(333,ChqRankL,0),0)))</f>
        <v/>
      </c>
      <c r="C349" s="13" t="str">
        <f>IF(IFERROR(MATCH(333,ChqRankL,0),0)=0,"",INDEX(ChqNo,IFERROR(MATCH(333,ChqRankL,0),0)))</f>
        <v/>
      </c>
      <c r="D349" s="14" t="str">
        <f>IF(IFERROR(MATCH(333,ChqRankL,0),0)=0,"",IF(INDEX(ChqAmt,IFERROR(MATCH(333,ChqRankL,0),0))=0,"",INDEX(ChqAmt,IFERROR(MATCH(333,ChqRankL,0),0))))</f>
        <v/>
      </c>
      <c r="E349" s="7" t="str">
        <f>IF(IFERROR(MATCH(333,ChqRankL,0),0)=0,"",INDEX(ChqStatus,IFERROR(MATCH(333,ChqRankL,0),0)))</f>
        <v/>
      </c>
      <c r="F349" s="13" t="str">
        <f>IF(IFERROR(MATCH(333,ChqRankL,0),0)=0,"",IF(INDEX(ChqStatus,IFERROR(MATCH(333,ChqRankL,0),0))="پاس نشده","—",IF(INDEX(ChqClr,IFERROR(MATCH(333,ChqRankL,0),0))="","—",INDEX(ChqClr,IFERROR(MATCH(333,ChqRankL,0),0)))))</f>
        <v/>
      </c>
      <c r="I349" t="str">
        <f>IF(333&gt;NChq,"",INDEX(ChqNorm,333))</f>
        <v/>
      </c>
      <c r="J349" t="str">
        <f t="shared" si="10"/>
        <v/>
      </c>
      <c r="K349" t="str">
        <f>IF($J349=0,"",INDEX(ChqKey,333))</f>
        <v/>
      </c>
      <c r="L349" t="str">
        <f t="shared" si="11"/>
        <v/>
      </c>
    </row>
    <row r="350" spans="1:12" x14ac:dyDescent="0.2">
      <c r="A350" s="9" t="str">
        <f>IF(IFERROR(MATCH(334,ChqRankL,0),0)=0,"",334)</f>
        <v/>
      </c>
      <c r="B350" s="15" t="str">
        <f>IF(IFERROR(MATCH(334,ChqRankL,0),0)=0,"",INDEX(ChqNorm,IFERROR(MATCH(334,ChqRankL,0),0)))</f>
        <v/>
      </c>
      <c r="C350" s="15" t="str">
        <f>IF(IFERROR(MATCH(334,ChqRankL,0),0)=0,"",INDEX(ChqNo,IFERROR(MATCH(334,ChqRankL,0),0)))</f>
        <v/>
      </c>
      <c r="D350" s="16" t="str">
        <f>IF(IFERROR(MATCH(334,ChqRankL,0),0)=0,"",IF(INDEX(ChqAmt,IFERROR(MATCH(334,ChqRankL,0),0))=0,"",INDEX(ChqAmt,IFERROR(MATCH(334,ChqRankL,0),0))))</f>
        <v/>
      </c>
      <c r="E350" s="10" t="str">
        <f>IF(IFERROR(MATCH(334,ChqRankL,0),0)=0,"",INDEX(ChqStatus,IFERROR(MATCH(334,ChqRankL,0),0)))</f>
        <v/>
      </c>
      <c r="F350" s="15" t="str">
        <f>IF(IFERROR(MATCH(334,ChqRankL,0),0)=0,"",IF(INDEX(ChqStatus,IFERROR(MATCH(334,ChqRankL,0),0))="پاس نشده","—",IF(INDEX(ChqClr,IFERROR(MATCH(334,ChqRankL,0),0))="","—",INDEX(ChqClr,IFERROR(MATCH(334,ChqRankL,0),0)))))</f>
        <v/>
      </c>
      <c r="I350" t="str">
        <f>IF(334&gt;NChq,"",INDEX(ChqNorm,334))</f>
        <v/>
      </c>
      <c r="J350" t="str">
        <f t="shared" si="10"/>
        <v/>
      </c>
      <c r="K350" t="str">
        <f>IF($J350=0,"",INDEX(ChqKey,334))</f>
        <v/>
      </c>
      <c r="L350" t="str">
        <f t="shared" si="11"/>
        <v/>
      </c>
    </row>
    <row r="351" spans="1:12" x14ac:dyDescent="0.2">
      <c r="A351" s="3" t="str">
        <f>IF(IFERROR(MATCH(335,ChqRankL,0),0)=0,"",335)</f>
        <v/>
      </c>
      <c r="B351" s="13" t="str">
        <f>IF(IFERROR(MATCH(335,ChqRankL,0),0)=0,"",INDEX(ChqNorm,IFERROR(MATCH(335,ChqRankL,0),0)))</f>
        <v/>
      </c>
      <c r="C351" s="13" t="str">
        <f>IF(IFERROR(MATCH(335,ChqRankL,0),0)=0,"",INDEX(ChqNo,IFERROR(MATCH(335,ChqRankL,0),0)))</f>
        <v/>
      </c>
      <c r="D351" s="14" t="str">
        <f>IF(IFERROR(MATCH(335,ChqRankL,0),0)=0,"",IF(INDEX(ChqAmt,IFERROR(MATCH(335,ChqRankL,0),0))=0,"",INDEX(ChqAmt,IFERROR(MATCH(335,ChqRankL,0),0))))</f>
        <v/>
      </c>
      <c r="E351" s="7" t="str">
        <f>IF(IFERROR(MATCH(335,ChqRankL,0),0)=0,"",INDEX(ChqStatus,IFERROR(MATCH(335,ChqRankL,0),0)))</f>
        <v/>
      </c>
      <c r="F351" s="13" t="str">
        <f>IF(IFERROR(MATCH(335,ChqRankL,0),0)=0,"",IF(INDEX(ChqStatus,IFERROR(MATCH(335,ChqRankL,0),0))="پاس نشده","—",IF(INDEX(ChqClr,IFERROR(MATCH(335,ChqRankL,0),0))="","—",INDEX(ChqClr,IFERROR(MATCH(335,ChqRankL,0),0)))))</f>
        <v/>
      </c>
      <c r="I351" t="str">
        <f>IF(335&gt;NChq,"",INDEX(ChqNorm,335))</f>
        <v/>
      </c>
      <c r="J351" t="str">
        <f t="shared" si="10"/>
        <v/>
      </c>
      <c r="K351" t="str">
        <f>IF($J351=0,"",INDEX(ChqKey,335))</f>
        <v/>
      </c>
      <c r="L351" t="str">
        <f t="shared" si="11"/>
        <v/>
      </c>
    </row>
    <row r="352" spans="1:12" x14ac:dyDescent="0.2">
      <c r="A352" s="9" t="str">
        <f>IF(IFERROR(MATCH(336,ChqRankL,0),0)=0,"",336)</f>
        <v/>
      </c>
      <c r="B352" s="15" t="str">
        <f>IF(IFERROR(MATCH(336,ChqRankL,0),0)=0,"",INDEX(ChqNorm,IFERROR(MATCH(336,ChqRankL,0),0)))</f>
        <v/>
      </c>
      <c r="C352" s="15" t="str">
        <f>IF(IFERROR(MATCH(336,ChqRankL,0),0)=0,"",INDEX(ChqNo,IFERROR(MATCH(336,ChqRankL,0),0)))</f>
        <v/>
      </c>
      <c r="D352" s="16" t="str">
        <f>IF(IFERROR(MATCH(336,ChqRankL,0),0)=0,"",IF(INDEX(ChqAmt,IFERROR(MATCH(336,ChqRankL,0),0))=0,"",INDEX(ChqAmt,IFERROR(MATCH(336,ChqRankL,0),0))))</f>
        <v/>
      </c>
      <c r="E352" s="10" t="str">
        <f>IF(IFERROR(MATCH(336,ChqRankL,0),0)=0,"",INDEX(ChqStatus,IFERROR(MATCH(336,ChqRankL,0),0)))</f>
        <v/>
      </c>
      <c r="F352" s="15" t="str">
        <f>IF(IFERROR(MATCH(336,ChqRankL,0),0)=0,"",IF(INDEX(ChqStatus,IFERROR(MATCH(336,ChqRankL,0),0))="پاس نشده","—",IF(INDEX(ChqClr,IFERROR(MATCH(336,ChqRankL,0),0))="","—",INDEX(ChqClr,IFERROR(MATCH(336,ChqRankL,0),0)))))</f>
        <v/>
      </c>
      <c r="I352" t="str">
        <f>IF(336&gt;NChq,"",INDEX(ChqNorm,336))</f>
        <v/>
      </c>
      <c r="J352" t="str">
        <f t="shared" si="10"/>
        <v/>
      </c>
      <c r="K352" t="str">
        <f>IF($J352=0,"",INDEX(ChqKey,336))</f>
        <v/>
      </c>
      <c r="L352" t="str">
        <f t="shared" si="11"/>
        <v/>
      </c>
    </row>
    <row r="353" spans="1:12" x14ac:dyDescent="0.2">
      <c r="A353" s="3" t="str">
        <f>IF(IFERROR(MATCH(337,ChqRankL,0),0)=0,"",337)</f>
        <v/>
      </c>
      <c r="B353" s="13" t="str">
        <f>IF(IFERROR(MATCH(337,ChqRankL,0),0)=0,"",INDEX(ChqNorm,IFERROR(MATCH(337,ChqRankL,0),0)))</f>
        <v/>
      </c>
      <c r="C353" s="13" t="str">
        <f>IF(IFERROR(MATCH(337,ChqRankL,0),0)=0,"",INDEX(ChqNo,IFERROR(MATCH(337,ChqRankL,0),0)))</f>
        <v/>
      </c>
      <c r="D353" s="14" t="str">
        <f>IF(IFERROR(MATCH(337,ChqRankL,0),0)=0,"",IF(INDEX(ChqAmt,IFERROR(MATCH(337,ChqRankL,0),0))=0,"",INDEX(ChqAmt,IFERROR(MATCH(337,ChqRankL,0),0))))</f>
        <v/>
      </c>
      <c r="E353" s="7" t="str">
        <f>IF(IFERROR(MATCH(337,ChqRankL,0),0)=0,"",INDEX(ChqStatus,IFERROR(MATCH(337,ChqRankL,0),0)))</f>
        <v/>
      </c>
      <c r="F353" s="13" t="str">
        <f>IF(IFERROR(MATCH(337,ChqRankL,0),0)=0,"",IF(INDEX(ChqStatus,IFERROR(MATCH(337,ChqRankL,0),0))="پاس نشده","—",IF(INDEX(ChqClr,IFERROR(MATCH(337,ChqRankL,0),0))="","—",INDEX(ChqClr,IFERROR(MATCH(337,ChqRankL,0),0)))))</f>
        <v/>
      </c>
      <c r="I353" t="str">
        <f>IF(337&gt;NChq,"",INDEX(ChqNorm,337))</f>
        <v/>
      </c>
      <c r="J353" t="str">
        <f t="shared" si="10"/>
        <v/>
      </c>
      <c r="K353" t="str">
        <f>IF($J353=0,"",INDEX(ChqKey,337))</f>
        <v/>
      </c>
      <c r="L353" t="str">
        <f t="shared" si="11"/>
        <v/>
      </c>
    </row>
    <row r="354" spans="1:12" x14ac:dyDescent="0.2">
      <c r="A354" s="9" t="str">
        <f>IF(IFERROR(MATCH(338,ChqRankL,0),0)=0,"",338)</f>
        <v/>
      </c>
      <c r="B354" s="15" t="str">
        <f>IF(IFERROR(MATCH(338,ChqRankL,0),0)=0,"",INDEX(ChqNorm,IFERROR(MATCH(338,ChqRankL,0),0)))</f>
        <v/>
      </c>
      <c r="C354" s="15" t="str">
        <f>IF(IFERROR(MATCH(338,ChqRankL,0),0)=0,"",INDEX(ChqNo,IFERROR(MATCH(338,ChqRankL,0),0)))</f>
        <v/>
      </c>
      <c r="D354" s="16" t="str">
        <f>IF(IFERROR(MATCH(338,ChqRankL,0),0)=0,"",IF(INDEX(ChqAmt,IFERROR(MATCH(338,ChqRankL,0),0))=0,"",INDEX(ChqAmt,IFERROR(MATCH(338,ChqRankL,0),0))))</f>
        <v/>
      </c>
      <c r="E354" s="10" t="str">
        <f>IF(IFERROR(MATCH(338,ChqRankL,0),0)=0,"",INDEX(ChqStatus,IFERROR(MATCH(338,ChqRankL,0),0)))</f>
        <v/>
      </c>
      <c r="F354" s="15" t="str">
        <f>IF(IFERROR(MATCH(338,ChqRankL,0),0)=0,"",IF(INDEX(ChqStatus,IFERROR(MATCH(338,ChqRankL,0),0))="پاس نشده","—",IF(INDEX(ChqClr,IFERROR(MATCH(338,ChqRankL,0),0))="","—",INDEX(ChqClr,IFERROR(MATCH(338,ChqRankL,0),0)))))</f>
        <v/>
      </c>
      <c r="I354" t="str">
        <f>IF(338&gt;NChq,"",INDEX(ChqNorm,338))</f>
        <v/>
      </c>
      <c r="J354" t="str">
        <f t="shared" si="10"/>
        <v/>
      </c>
      <c r="K354" t="str">
        <f>IF($J354=0,"",INDEX(ChqKey,338))</f>
        <v/>
      </c>
      <c r="L354" t="str">
        <f t="shared" si="11"/>
        <v/>
      </c>
    </row>
    <row r="355" spans="1:12" x14ac:dyDescent="0.2">
      <c r="A355" s="3" t="str">
        <f>IF(IFERROR(MATCH(339,ChqRankL,0),0)=0,"",339)</f>
        <v/>
      </c>
      <c r="B355" s="13" t="str">
        <f>IF(IFERROR(MATCH(339,ChqRankL,0),0)=0,"",INDEX(ChqNorm,IFERROR(MATCH(339,ChqRankL,0),0)))</f>
        <v/>
      </c>
      <c r="C355" s="13" t="str">
        <f>IF(IFERROR(MATCH(339,ChqRankL,0),0)=0,"",INDEX(ChqNo,IFERROR(MATCH(339,ChqRankL,0),0)))</f>
        <v/>
      </c>
      <c r="D355" s="14" t="str">
        <f>IF(IFERROR(MATCH(339,ChqRankL,0),0)=0,"",IF(INDEX(ChqAmt,IFERROR(MATCH(339,ChqRankL,0),0))=0,"",INDEX(ChqAmt,IFERROR(MATCH(339,ChqRankL,0),0))))</f>
        <v/>
      </c>
      <c r="E355" s="7" t="str">
        <f>IF(IFERROR(MATCH(339,ChqRankL,0),0)=0,"",INDEX(ChqStatus,IFERROR(MATCH(339,ChqRankL,0),0)))</f>
        <v/>
      </c>
      <c r="F355" s="13" t="str">
        <f>IF(IFERROR(MATCH(339,ChqRankL,0),0)=0,"",IF(INDEX(ChqStatus,IFERROR(MATCH(339,ChqRankL,0),0))="پاس نشده","—",IF(INDEX(ChqClr,IFERROR(MATCH(339,ChqRankL,0),0))="","—",INDEX(ChqClr,IFERROR(MATCH(339,ChqRankL,0),0)))))</f>
        <v/>
      </c>
      <c r="I355" t="str">
        <f>IF(339&gt;NChq,"",INDEX(ChqNorm,339))</f>
        <v/>
      </c>
      <c r="J355" t="str">
        <f t="shared" si="10"/>
        <v/>
      </c>
      <c r="K355" t="str">
        <f>IF($J355=0,"",INDEX(ChqKey,339))</f>
        <v/>
      </c>
      <c r="L355" t="str">
        <f t="shared" si="11"/>
        <v/>
      </c>
    </row>
    <row r="356" spans="1:12" x14ac:dyDescent="0.2">
      <c r="A356" s="9" t="str">
        <f>IF(IFERROR(MATCH(340,ChqRankL,0),0)=0,"",340)</f>
        <v/>
      </c>
      <c r="B356" s="15" t="str">
        <f>IF(IFERROR(MATCH(340,ChqRankL,0),0)=0,"",INDEX(ChqNorm,IFERROR(MATCH(340,ChqRankL,0),0)))</f>
        <v/>
      </c>
      <c r="C356" s="15" t="str">
        <f>IF(IFERROR(MATCH(340,ChqRankL,0),0)=0,"",INDEX(ChqNo,IFERROR(MATCH(340,ChqRankL,0),0)))</f>
        <v/>
      </c>
      <c r="D356" s="16" t="str">
        <f>IF(IFERROR(MATCH(340,ChqRankL,0),0)=0,"",IF(INDEX(ChqAmt,IFERROR(MATCH(340,ChqRankL,0),0))=0,"",INDEX(ChqAmt,IFERROR(MATCH(340,ChqRankL,0),0))))</f>
        <v/>
      </c>
      <c r="E356" s="10" t="str">
        <f>IF(IFERROR(MATCH(340,ChqRankL,0),0)=0,"",INDEX(ChqStatus,IFERROR(MATCH(340,ChqRankL,0),0)))</f>
        <v/>
      </c>
      <c r="F356" s="15" t="str">
        <f>IF(IFERROR(MATCH(340,ChqRankL,0),0)=0,"",IF(INDEX(ChqStatus,IFERROR(MATCH(340,ChqRankL,0),0))="پاس نشده","—",IF(INDEX(ChqClr,IFERROR(MATCH(340,ChqRankL,0),0))="","—",INDEX(ChqClr,IFERROR(MATCH(340,ChqRankL,0),0)))))</f>
        <v/>
      </c>
      <c r="I356" t="str">
        <f>IF(340&gt;NChq,"",INDEX(ChqNorm,340))</f>
        <v/>
      </c>
      <c r="J356" t="str">
        <f t="shared" si="10"/>
        <v/>
      </c>
      <c r="K356" t="str">
        <f>IF($J356=0,"",INDEX(ChqKey,340))</f>
        <v/>
      </c>
      <c r="L356" t="str">
        <f t="shared" si="11"/>
        <v/>
      </c>
    </row>
    <row r="357" spans="1:12" x14ac:dyDescent="0.2">
      <c r="A357" s="3" t="str">
        <f>IF(IFERROR(MATCH(341,ChqRankL,0),0)=0,"",341)</f>
        <v/>
      </c>
      <c r="B357" s="13" t="str">
        <f>IF(IFERROR(MATCH(341,ChqRankL,0),0)=0,"",INDEX(ChqNorm,IFERROR(MATCH(341,ChqRankL,0),0)))</f>
        <v/>
      </c>
      <c r="C357" s="13" t="str">
        <f>IF(IFERROR(MATCH(341,ChqRankL,0),0)=0,"",INDEX(ChqNo,IFERROR(MATCH(341,ChqRankL,0),0)))</f>
        <v/>
      </c>
      <c r="D357" s="14" t="str">
        <f>IF(IFERROR(MATCH(341,ChqRankL,0),0)=0,"",IF(INDEX(ChqAmt,IFERROR(MATCH(341,ChqRankL,0),0))=0,"",INDEX(ChqAmt,IFERROR(MATCH(341,ChqRankL,0),0))))</f>
        <v/>
      </c>
      <c r="E357" s="7" t="str">
        <f>IF(IFERROR(MATCH(341,ChqRankL,0),0)=0,"",INDEX(ChqStatus,IFERROR(MATCH(341,ChqRankL,0),0)))</f>
        <v/>
      </c>
      <c r="F357" s="13" t="str">
        <f>IF(IFERROR(MATCH(341,ChqRankL,0),0)=0,"",IF(INDEX(ChqStatus,IFERROR(MATCH(341,ChqRankL,0),0))="پاس نشده","—",IF(INDEX(ChqClr,IFERROR(MATCH(341,ChqRankL,0),0))="","—",INDEX(ChqClr,IFERROR(MATCH(341,ChqRankL,0),0)))))</f>
        <v/>
      </c>
      <c r="I357" t="str">
        <f>IF(341&gt;NChq,"",INDEX(ChqNorm,341))</f>
        <v/>
      </c>
      <c r="J357" t="str">
        <f t="shared" si="10"/>
        <v/>
      </c>
      <c r="K357" t="str">
        <f>IF($J357=0,"",INDEX(ChqKey,341))</f>
        <v/>
      </c>
      <c r="L357" t="str">
        <f t="shared" si="11"/>
        <v/>
      </c>
    </row>
    <row r="358" spans="1:12" x14ac:dyDescent="0.2">
      <c r="A358" s="9" t="str">
        <f>IF(IFERROR(MATCH(342,ChqRankL,0),0)=0,"",342)</f>
        <v/>
      </c>
      <c r="B358" s="15" t="str">
        <f>IF(IFERROR(MATCH(342,ChqRankL,0),0)=0,"",INDEX(ChqNorm,IFERROR(MATCH(342,ChqRankL,0),0)))</f>
        <v/>
      </c>
      <c r="C358" s="15" t="str">
        <f>IF(IFERROR(MATCH(342,ChqRankL,0),0)=0,"",INDEX(ChqNo,IFERROR(MATCH(342,ChqRankL,0),0)))</f>
        <v/>
      </c>
      <c r="D358" s="16" t="str">
        <f>IF(IFERROR(MATCH(342,ChqRankL,0),0)=0,"",IF(INDEX(ChqAmt,IFERROR(MATCH(342,ChqRankL,0),0))=0,"",INDEX(ChqAmt,IFERROR(MATCH(342,ChqRankL,0),0))))</f>
        <v/>
      </c>
      <c r="E358" s="10" t="str">
        <f>IF(IFERROR(MATCH(342,ChqRankL,0),0)=0,"",INDEX(ChqStatus,IFERROR(MATCH(342,ChqRankL,0),0)))</f>
        <v/>
      </c>
      <c r="F358" s="15" t="str">
        <f>IF(IFERROR(MATCH(342,ChqRankL,0),0)=0,"",IF(INDEX(ChqStatus,IFERROR(MATCH(342,ChqRankL,0),0))="پاس نشده","—",IF(INDEX(ChqClr,IFERROR(MATCH(342,ChqRankL,0),0))="","—",INDEX(ChqClr,IFERROR(MATCH(342,ChqRankL,0),0)))))</f>
        <v/>
      </c>
      <c r="I358" t="str">
        <f>IF(342&gt;NChq,"",INDEX(ChqNorm,342))</f>
        <v/>
      </c>
      <c r="J358" t="str">
        <f t="shared" si="10"/>
        <v/>
      </c>
      <c r="K358" t="str">
        <f>IF($J358=0,"",INDEX(ChqKey,342))</f>
        <v/>
      </c>
      <c r="L358" t="str">
        <f t="shared" si="11"/>
        <v/>
      </c>
    </row>
    <row r="359" spans="1:12" x14ac:dyDescent="0.2">
      <c r="A359" s="3" t="str">
        <f>IF(IFERROR(MATCH(343,ChqRankL,0),0)=0,"",343)</f>
        <v/>
      </c>
      <c r="B359" s="13" t="str">
        <f>IF(IFERROR(MATCH(343,ChqRankL,0),0)=0,"",INDEX(ChqNorm,IFERROR(MATCH(343,ChqRankL,0),0)))</f>
        <v/>
      </c>
      <c r="C359" s="13" t="str">
        <f>IF(IFERROR(MATCH(343,ChqRankL,0),0)=0,"",INDEX(ChqNo,IFERROR(MATCH(343,ChqRankL,0),0)))</f>
        <v/>
      </c>
      <c r="D359" s="14" t="str">
        <f>IF(IFERROR(MATCH(343,ChqRankL,0),0)=0,"",IF(INDEX(ChqAmt,IFERROR(MATCH(343,ChqRankL,0),0))=0,"",INDEX(ChqAmt,IFERROR(MATCH(343,ChqRankL,0),0))))</f>
        <v/>
      </c>
      <c r="E359" s="7" t="str">
        <f>IF(IFERROR(MATCH(343,ChqRankL,0),0)=0,"",INDEX(ChqStatus,IFERROR(MATCH(343,ChqRankL,0),0)))</f>
        <v/>
      </c>
      <c r="F359" s="13" t="str">
        <f>IF(IFERROR(MATCH(343,ChqRankL,0),0)=0,"",IF(INDEX(ChqStatus,IFERROR(MATCH(343,ChqRankL,0),0))="پاس نشده","—",IF(INDEX(ChqClr,IFERROR(MATCH(343,ChqRankL,0),0))="","—",INDEX(ChqClr,IFERROR(MATCH(343,ChqRankL,0),0)))))</f>
        <v/>
      </c>
      <c r="I359" t="str">
        <f>IF(343&gt;NChq,"",INDEX(ChqNorm,343))</f>
        <v/>
      </c>
      <c r="J359" t="str">
        <f t="shared" si="10"/>
        <v/>
      </c>
      <c r="K359" t="str">
        <f>IF($J359=0,"",INDEX(ChqKey,343))</f>
        <v/>
      </c>
      <c r="L359" t="str">
        <f t="shared" si="11"/>
        <v/>
      </c>
    </row>
    <row r="360" spans="1:12" x14ac:dyDescent="0.2">
      <c r="A360" s="9" t="str">
        <f>IF(IFERROR(MATCH(344,ChqRankL,0),0)=0,"",344)</f>
        <v/>
      </c>
      <c r="B360" s="15" t="str">
        <f>IF(IFERROR(MATCH(344,ChqRankL,0),0)=0,"",INDEX(ChqNorm,IFERROR(MATCH(344,ChqRankL,0),0)))</f>
        <v/>
      </c>
      <c r="C360" s="15" t="str">
        <f>IF(IFERROR(MATCH(344,ChqRankL,0),0)=0,"",INDEX(ChqNo,IFERROR(MATCH(344,ChqRankL,0),0)))</f>
        <v/>
      </c>
      <c r="D360" s="16" t="str">
        <f>IF(IFERROR(MATCH(344,ChqRankL,0),0)=0,"",IF(INDEX(ChqAmt,IFERROR(MATCH(344,ChqRankL,0),0))=0,"",INDEX(ChqAmt,IFERROR(MATCH(344,ChqRankL,0),0))))</f>
        <v/>
      </c>
      <c r="E360" s="10" t="str">
        <f>IF(IFERROR(MATCH(344,ChqRankL,0),0)=0,"",INDEX(ChqStatus,IFERROR(MATCH(344,ChqRankL,0),0)))</f>
        <v/>
      </c>
      <c r="F360" s="15" t="str">
        <f>IF(IFERROR(MATCH(344,ChqRankL,0),0)=0,"",IF(INDEX(ChqStatus,IFERROR(MATCH(344,ChqRankL,0),0))="پاس نشده","—",IF(INDEX(ChqClr,IFERROR(MATCH(344,ChqRankL,0),0))="","—",INDEX(ChqClr,IFERROR(MATCH(344,ChqRankL,0),0)))))</f>
        <v/>
      </c>
      <c r="I360" t="str">
        <f>IF(344&gt;NChq,"",INDEX(ChqNorm,344))</f>
        <v/>
      </c>
      <c r="J360" t="str">
        <f t="shared" si="10"/>
        <v/>
      </c>
      <c r="K360" t="str">
        <f>IF($J360=0,"",INDEX(ChqKey,344))</f>
        <v/>
      </c>
      <c r="L360" t="str">
        <f t="shared" si="11"/>
        <v/>
      </c>
    </row>
    <row r="361" spans="1:12" x14ac:dyDescent="0.2">
      <c r="A361" s="3" t="str">
        <f>IF(IFERROR(MATCH(345,ChqRankL,0),0)=0,"",345)</f>
        <v/>
      </c>
      <c r="B361" s="13" t="str">
        <f>IF(IFERROR(MATCH(345,ChqRankL,0),0)=0,"",INDEX(ChqNorm,IFERROR(MATCH(345,ChqRankL,0),0)))</f>
        <v/>
      </c>
      <c r="C361" s="13" t="str">
        <f>IF(IFERROR(MATCH(345,ChqRankL,0),0)=0,"",INDEX(ChqNo,IFERROR(MATCH(345,ChqRankL,0),0)))</f>
        <v/>
      </c>
      <c r="D361" s="14" t="str">
        <f>IF(IFERROR(MATCH(345,ChqRankL,0),0)=0,"",IF(INDEX(ChqAmt,IFERROR(MATCH(345,ChqRankL,0),0))=0,"",INDEX(ChqAmt,IFERROR(MATCH(345,ChqRankL,0),0))))</f>
        <v/>
      </c>
      <c r="E361" s="7" t="str">
        <f>IF(IFERROR(MATCH(345,ChqRankL,0),0)=0,"",INDEX(ChqStatus,IFERROR(MATCH(345,ChqRankL,0),0)))</f>
        <v/>
      </c>
      <c r="F361" s="13" t="str">
        <f>IF(IFERROR(MATCH(345,ChqRankL,0),0)=0,"",IF(INDEX(ChqStatus,IFERROR(MATCH(345,ChqRankL,0),0))="پاس نشده","—",IF(INDEX(ChqClr,IFERROR(MATCH(345,ChqRankL,0),0))="","—",INDEX(ChqClr,IFERROR(MATCH(345,ChqRankL,0),0)))))</f>
        <v/>
      </c>
      <c r="I361" t="str">
        <f>IF(345&gt;NChq,"",INDEX(ChqNorm,345))</f>
        <v/>
      </c>
      <c r="J361" t="str">
        <f t="shared" si="10"/>
        <v/>
      </c>
      <c r="K361" t="str">
        <f>IF($J361=0,"",INDEX(ChqKey,345))</f>
        <v/>
      </c>
      <c r="L361" t="str">
        <f t="shared" si="11"/>
        <v/>
      </c>
    </row>
    <row r="362" spans="1:12" x14ac:dyDescent="0.2">
      <c r="A362" s="9" t="str">
        <f>IF(IFERROR(MATCH(346,ChqRankL,0),0)=0,"",346)</f>
        <v/>
      </c>
      <c r="B362" s="15" t="str">
        <f>IF(IFERROR(MATCH(346,ChqRankL,0),0)=0,"",INDEX(ChqNorm,IFERROR(MATCH(346,ChqRankL,0),0)))</f>
        <v/>
      </c>
      <c r="C362" s="15" t="str">
        <f>IF(IFERROR(MATCH(346,ChqRankL,0),0)=0,"",INDEX(ChqNo,IFERROR(MATCH(346,ChqRankL,0),0)))</f>
        <v/>
      </c>
      <c r="D362" s="16" t="str">
        <f>IF(IFERROR(MATCH(346,ChqRankL,0),0)=0,"",IF(INDEX(ChqAmt,IFERROR(MATCH(346,ChqRankL,0),0))=0,"",INDEX(ChqAmt,IFERROR(MATCH(346,ChqRankL,0),0))))</f>
        <v/>
      </c>
      <c r="E362" s="10" t="str">
        <f>IF(IFERROR(MATCH(346,ChqRankL,0),0)=0,"",INDEX(ChqStatus,IFERROR(MATCH(346,ChqRankL,0),0)))</f>
        <v/>
      </c>
      <c r="F362" s="15" t="str">
        <f>IF(IFERROR(MATCH(346,ChqRankL,0),0)=0,"",IF(INDEX(ChqStatus,IFERROR(MATCH(346,ChqRankL,0),0))="پاس نشده","—",IF(INDEX(ChqClr,IFERROR(MATCH(346,ChqRankL,0),0))="","—",INDEX(ChqClr,IFERROR(MATCH(346,ChqRankL,0),0)))))</f>
        <v/>
      </c>
      <c r="I362" t="str">
        <f>IF(346&gt;NChq,"",INDEX(ChqNorm,346))</f>
        <v/>
      </c>
      <c r="J362" t="str">
        <f t="shared" si="10"/>
        <v/>
      </c>
      <c r="K362" t="str">
        <f>IF($J362=0,"",INDEX(ChqKey,346))</f>
        <v/>
      </c>
      <c r="L362" t="str">
        <f t="shared" si="11"/>
        <v/>
      </c>
    </row>
    <row r="363" spans="1:12" x14ac:dyDescent="0.2">
      <c r="A363" s="3" t="str">
        <f>IF(IFERROR(MATCH(347,ChqRankL,0),0)=0,"",347)</f>
        <v/>
      </c>
      <c r="B363" s="13" t="str">
        <f>IF(IFERROR(MATCH(347,ChqRankL,0),0)=0,"",INDEX(ChqNorm,IFERROR(MATCH(347,ChqRankL,0),0)))</f>
        <v/>
      </c>
      <c r="C363" s="13" t="str">
        <f>IF(IFERROR(MATCH(347,ChqRankL,0),0)=0,"",INDEX(ChqNo,IFERROR(MATCH(347,ChqRankL,0),0)))</f>
        <v/>
      </c>
      <c r="D363" s="14" t="str">
        <f>IF(IFERROR(MATCH(347,ChqRankL,0),0)=0,"",IF(INDEX(ChqAmt,IFERROR(MATCH(347,ChqRankL,0),0))=0,"",INDEX(ChqAmt,IFERROR(MATCH(347,ChqRankL,0),0))))</f>
        <v/>
      </c>
      <c r="E363" s="7" t="str">
        <f>IF(IFERROR(MATCH(347,ChqRankL,0),0)=0,"",INDEX(ChqStatus,IFERROR(MATCH(347,ChqRankL,0),0)))</f>
        <v/>
      </c>
      <c r="F363" s="13" t="str">
        <f>IF(IFERROR(MATCH(347,ChqRankL,0),0)=0,"",IF(INDEX(ChqStatus,IFERROR(MATCH(347,ChqRankL,0),0))="پاس نشده","—",IF(INDEX(ChqClr,IFERROR(MATCH(347,ChqRankL,0),0))="","—",INDEX(ChqClr,IFERROR(MATCH(347,ChqRankL,0),0)))))</f>
        <v/>
      </c>
      <c r="I363" t="str">
        <f>IF(347&gt;NChq,"",INDEX(ChqNorm,347))</f>
        <v/>
      </c>
      <c r="J363" t="str">
        <f t="shared" si="10"/>
        <v/>
      </c>
      <c r="K363" t="str">
        <f>IF($J363=0,"",INDEX(ChqKey,347))</f>
        <v/>
      </c>
      <c r="L363" t="str">
        <f t="shared" si="11"/>
        <v/>
      </c>
    </row>
    <row r="364" spans="1:12" x14ac:dyDescent="0.2">
      <c r="A364" s="9" t="str">
        <f>IF(IFERROR(MATCH(348,ChqRankL,0),0)=0,"",348)</f>
        <v/>
      </c>
      <c r="B364" s="15" t="str">
        <f>IF(IFERROR(MATCH(348,ChqRankL,0),0)=0,"",INDEX(ChqNorm,IFERROR(MATCH(348,ChqRankL,0),0)))</f>
        <v/>
      </c>
      <c r="C364" s="15" t="str">
        <f>IF(IFERROR(MATCH(348,ChqRankL,0),0)=0,"",INDEX(ChqNo,IFERROR(MATCH(348,ChqRankL,0),0)))</f>
        <v/>
      </c>
      <c r="D364" s="16" t="str">
        <f>IF(IFERROR(MATCH(348,ChqRankL,0),0)=0,"",IF(INDEX(ChqAmt,IFERROR(MATCH(348,ChqRankL,0),0))=0,"",INDEX(ChqAmt,IFERROR(MATCH(348,ChqRankL,0),0))))</f>
        <v/>
      </c>
      <c r="E364" s="10" t="str">
        <f>IF(IFERROR(MATCH(348,ChqRankL,0),0)=0,"",INDEX(ChqStatus,IFERROR(MATCH(348,ChqRankL,0),0)))</f>
        <v/>
      </c>
      <c r="F364" s="15" t="str">
        <f>IF(IFERROR(MATCH(348,ChqRankL,0),0)=0,"",IF(INDEX(ChqStatus,IFERROR(MATCH(348,ChqRankL,0),0))="پاس نشده","—",IF(INDEX(ChqClr,IFERROR(MATCH(348,ChqRankL,0),0))="","—",INDEX(ChqClr,IFERROR(MATCH(348,ChqRankL,0),0)))))</f>
        <v/>
      </c>
      <c r="I364" t="str">
        <f>IF(348&gt;NChq,"",INDEX(ChqNorm,348))</f>
        <v/>
      </c>
      <c r="J364" t="str">
        <f t="shared" si="10"/>
        <v/>
      </c>
      <c r="K364" t="str">
        <f>IF($J364=0,"",INDEX(ChqKey,348))</f>
        <v/>
      </c>
      <c r="L364" t="str">
        <f t="shared" si="11"/>
        <v/>
      </c>
    </row>
    <row r="365" spans="1:12" x14ac:dyDescent="0.2">
      <c r="A365" s="3" t="str">
        <f>IF(IFERROR(MATCH(349,ChqRankL,0),0)=0,"",349)</f>
        <v/>
      </c>
      <c r="B365" s="13" t="str">
        <f>IF(IFERROR(MATCH(349,ChqRankL,0),0)=0,"",INDEX(ChqNorm,IFERROR(MATCH(349,ChqRankL,0),0)))</f>
        <v/>
      </c>
      <c r="C365" s="13" t="str">
        <f>IF(IFERROR(MATCH(349,ChqRankL,0),0)=0,"",INDEX(ChqNo,IFERROR(MATCH(349,ChqRankL,0),0)))</f>
        <v/>
      </c>
      <c r="D365" s="14" t="str">
        <f>IF(IFERROR(MATCH(349,ChqRankL,0),0)=0,"",IF(INDEX(ChqAmt,IFERROR(MATCH(349,ChqRankL,0),0))=0,"",INDEX(ChqAmt,IFERROR(MATCH(349,ChqRankL,0),0))))</f>
        <v/>
      </c>
      <c r="E365" s="7" t="str">
        <f>IF(IFERROR(MATCH(349,ChqRankL,0),0)=0,"",INDEX(ChqStatus,IFERROR(MATCH(349,ChqRankL,0),0)))</f>
        <v/>
      </c>
      <c r="F365" s="13" t="str">
        <f>IF(IFERROR(MATCH(349,ChqRankL,0),0)=0,"",IF(INDEX(ChqStatus,IFERROR(MATCH(349,ChqRankL,0),0))="پاس نشده","—",IF(INDEX(ChqClr,IFERROR(MATCH(349,ChqRankL,0),0))="","—",INDEX(ChqClr,IFERROR(MATCH(349,ChqRankL,0),0)))))</f>
        <v/>
      </c>
      <c r="I365" t="str">
        <f>IF(349&gt;NChq,"",INDEX(ChqNorm,349))</f>
        <v/>
      </c>
      <c r="J365" t="str">
        <f t="shared" si="10"/>
        <v/>
      </c>
      <c r="K365" t="str">
        <f>IF($J365=0,"",INDEX(ChqKey,349))</f>
        <v/>
      </c>
      <c r="L365" t="str">
        <f t="shared" si="11"/>
        <v/>
      </c>
    </row>
    <row r="366" spans="1:12" x14ac:dyDescent="0.2">
      <c r="A366" s="9" t="str">
        <f>IF(IFERROR(MATCH(350,ChqRankL,0),0)=0,"",350)</f>
        <v/>
      </c>
      <c r="B366" s="15" t="str">
        <f>IF(IFERROR(MATCH(350,ChqRankL,0),0)=0,"",INDEX(ChqNorm,IFERROR(MATCH(350,ChqRankL,0),0)))</f>
        <v/>
      </c>
      <c r="C366" s="15" t="str">
        <f>IF(IFERROR(MATCH(350,ChqRankL,0),0)=0,"",INDEX(ChqNo,IFERROR(MATCH(350,ChqRankL,0),0)))</f>
        <v/>
      </c>
      <c r="D366" s="16" t="str">
        <f>IF(IFERROR(MATCH(350,ChqRankL,0),0)=0,"",IF(INDEX(ChqAmt,IFERROR(MATCH(350,ChqRankL,0),0))=0,"",INDEX(ChqAmt,IFERROR(MATCH(350,ChqRankL,0),0))))</f>
        <v/>
      </c>
      <c r="E366" s="10" t="str">
        <f>IF(IFERROR(MATCH(350,ChqRankL,0),0)=0,"",INDEX(ChqStatus,IFERROR(MATCH(350,ChqRankL,0),0)))</f>
        <v/>
      </c>
      <c r="F366" s="15" t="str">
        <f>IF(IFERROR(MATCH(350,ChqRankL,0),0)=0,"",IF(INDEX(ChqStatus,IFERROR(MATCH(350,ChqRankL,0),0))="پاس نشده","—",IF(INDEX(ChqClr,IFERROR(MATCH(350,ChqRankL,0),0))="","—",INDEX(ChqClr,IFERROR(MATCH(350,ChqRankL,0),0)))))</f>
        <v/>
      </c>
      <c r="I366" t="str">
        <f>IF(350&gt;NChq,"",INDEX(ChqNorm,350))</f>
        <v/>
      </c>
      <c r="J366" t="str">
        <f t="shared" si="10"/>
        <v/>
      </c>
      <c r="K366" t="str">
        <f>IF($J366=0,"",INDEX(ChqKey,350))</f>
        <v/>
      </c>
      <c r="L366" t="str">
        <f t="shared" si="11"/>
        <v/>
      </c>
    </row>
    <row r="367" spans="1:12" x14ac:dyDescent="0.2">
      <c r="A367" s="3" t="str">
        <f>IF(IFERROR(MATCH(351,ChqRankL,0),0)=0,"",351)</f>
        <v/>
      </c>
      <c r="B367" s="13" t="str">
        <f>IF(IFERROR(MATCH(351,ChqRankL,0),0)=0,"",INDEX(ChqNorm,IFERROR(MATCH(351,ChqRankL,0),0)))</f>
        <v/>
      </c>
      <c r="C367" s="13" t="str">
        <f>IF(IFERROR(MATCH(351,ChqRankL,0),0)=0,"",INDEX(ChqNo,IFERROR(MATCH(351,ChqRankL,0),0)))</f>
        <v/>
      </c>
      <c r="D367" s="14" t="str">
        <f>IF(IFERROR(MATCH(351,ChqRankL,0),0)=0,"",IF(INDEX(ChqAmt,IFERROR(MATCH(351,ChqRankL,0),0))=0,"",INDEX(ChqAmt,IFERROR(MATCH(351,ChqRankL,0),0))))</f>
        <v/>
      </c>
      <c r="E367" s="7" t="str">
        <f>IF(IFERROR(MATCH(351,ChqRankL,0),0)=0,"",INDEX(ChqStatus,IFERROR(MATCH(351,ChqRankL,0),0)))</f>
        <v/>
      </c>
      <c r="F367" s="13" t="str">
        <f>IF(IFERROR(MATCH(351,ChqRankL,0),0)=0,"",IF(INDEX(ChqStatus,IFERROR(MATCH(351,ChqRankL,0),0))="پاس نشده","—",IF(INDEX(ChqClr,IFERROR(MATCH(351,ChqRankL,0),0))="","—",INDEX(ChqClr,IFERROR(MATCH(351,ChqRankL,0),0)))))</f>
        <v/>
      </c>
      <c r="I367" t="str">
        <f>IF(351&gt;NChq,"",INDEX(ChqNorm,351))</f>
        <v/>
      </c>
      <c r="J367" t="str">
        <f t="shared" si="10"/>
        <v/>
      </c>
      <c r="K367" t="str">
        <f>IF($J367=0,"",INDEX(ChqKey,351))</f>
        <v/>
      </c>
      <c r="L367" t="str">
        <f t="shared" si="11"/>
        <v/>
      </c>
    </row>
    <row r="368" spans="1:12" x14ac:dyDescent="0.2">
      <c r="A368" s="9" t="str">
        <f>IF(IFERROR(MATCH(352,ChqRankL,0),0)=0,"",352)</f>
        <v/>
      </c>
      <c r="B368" s="15" t="str">
        <f>IF(IFERROR(MATCH(352,ChqRankL,0),0)=0,"",INDEX(ChqNorm,IFERROR(MATCH(352,ChqRankL,0),0)))</f>
        <v/>
      </c>
      <c r="C368" s="15" t="str">
        <f>IF(IFERROR(MATCH(352,ChqRankL,0),0)=0,"",INDEX(ChqNo,IFERROR(MATCH(352,ChqRankL,0),0)))</f>
        <v/>
      </c>
      <c r="D368" s="16" t="str">
        <f>IF(IFERROR(MATCH(352,ChqRankL,0),0)=0,"",IF(INDEX(ChqAmt,IFERROR(MATCH(352,ChqRankL,0),0))=0,"",INDEX(ChqAmt,IFERROR(MATCH(352,ChqRankL,0),0))))</f>
        <v/>
      </c>
      <c r="E368" s="10" t="str">
        <f>IF(IFERROR(MATCH(352,ChqRankL,0),0)=0,"",INDEX(ChqStatus,IFERROR(MATCH(352,ChqRankL,0),0)))</f>
        <v/>
      </c>
      <c r="F368" s="15" t="str">
        <f>IF(IFERROR(MATCH(352,ChqRankL,0),0)=0,"",IF(INDEX(ChqStatus,IFERROR(MATCH(352,ChqRankL,0),0))="پاس نشده","—",IF(INDEX(ChqClr,IFERROR(MATCH(352,ChqRankL,0),0))="","—",INDEX(ChqClr,IFERROR(MATCH(352,ChqRankL,0),0)))))</f>
        <v/>
      </c>
      <c r="I368" t="str">
        <f>IF(352&gt;NChq,"",INDEX(ChqNorm,352))</f>
        <v/>
      </c>
      <c r="J368" t="str">
        <f t="shared" si="10"/>
        <v/>
      </c>
      <c r="K368" t="str">
        <f>IF($J368=0,"",INDEX(ChqKey,352))</f>
        <v/>
      </c>
      <c r="L368" t="str">
        <f t="shared" si="11"/>
        <v/>
      </c>
    </row>
    <row r="369" spans="1:12" x14ac:dyDescent="0.2">
      <c r="A369" s="3" t="str">
        <f>IF(IFERROR(MATCH(353,ChqRankL,0),0)=0,"",353)</f>
        <v/>
      </c>
      <c r="B369" s="13" t="str">
        <f>IF(IFERROR(MATCH(353,ChqRankL,0),0)=0,"",INDEX(ChqNorm,IFERROR(MATCH(353,ChqRankL,0),0)))</f>
        <v/>
      </c>
      <c r="C369" s="13" t="str">
        <f>IF(IFERROR(MATCH(353,ChqRankL,0),0)=0,"",INDEX(ChqNo,IFERROR(MATCH(353,ChqRankL,0),0)))</f>
        <v/>
      </c>
      <c r="D369" s="14" t="str">
        <f>IF(IFERROR(MATCH(353,ChqRankL,0),0)=0,"",IF(INDEX(ChqAmt,IFERROR(MATCH(353,ChqRankL,0),0))=0,"",INDEX(ChqAmt,IFERROR(MATCH(353,ChqRankL,0),0))))</f>
        <v/>
      </c>
      <c r="E369" s="7" t="str">
        <f>IF(IFERROR(MATCH(353,ChqRankL,0),0)=0,"",INDEX(ChqStatus,IFERROR(MATCH(353,ChqRankL,0),0)))</f>
        <v/>
      </c>
      <c r="F369" s="13" t="str">
        <f>IF(IFERROR(MATCH(353,ChqRankL,0),0)=0,"",IF(INDEX(ChqStatus,IFERROR(MATCH(353,ChqRankL,0),0))="پاس نشده","—",IF(INDEX(ChqClr,IFERROR(MATCH(353,ChqRankL,0),0))="","—",INDEX(ChqClr,IFERROR(MATCH(353,ChqRankL,0),0)))))</f>
        <v/>
      </c>
      <c r="I369" t="str">
        <f>IF(353&gt;NChq,"",INDEX(ChqNorm,353))</f>
        <v/>
      </c>
      <c r="J369" t="str">
        <f t="shared" si="10"/>
        <v/>
      </c>
      <c r="K369" t="str">
        <f>IF($J369=0,"",INDEX(ChqKey,353))</f>
        <v/>
      </c>
      <c r="L369" t="str">
        <f t="shared" si="11"/>
        <v/>
      </c>
    </row>
    <row r="370" spans="1:12" x14ac:dyDescent="0.2">
      <c r="A370" s="9" t="str">
        <f>IF(IFERROR(MATCH(354,ChqRankL,0),0)=0,"",354)</f>
        <v/>
      </c>
      <c r="B370" s="15" t="str">
        <f>IF(IFERROR(MATCH(354,ChqRankL,0),0)=0,"",INDEX(ChqNorm,IFERROR(MATCH(354,ChqRankL,0),0)))</f>
        <v/>
      </c>
      <c r="C370" s="15" t="str">
        <f>IF(IFERROR(MATCH(354,ChqRankL,0),0)=0,"",INDEX(ChqNo,IFERROR(MATCH(354,ChqRankL,0),0)))</f>
        <v/>
      </c>
      <c r="D370" s="16" t="str">
        <f>IF(IFERROR(MATCH(354,ChqRankL,0),0)=0,"",IF(INDEX(ChqAmt,IFERROR(MATCH(354,ChqRankL,0),0))=0,"",INDEX(ChqAmt,IFERROR(MATCH(354,ChqRankL,0),0))))</f>
        <v/>
      </c>
      <c r="E370" s="10" t="str">
        <f>IF(IFERROR(MATCH(354,ChqRankL,0),0)=0,"",INDEX(ChqStatus,IFERROR(MATCH(354,ChqRankL,0),0)))</f>
        <v/>
      </c>
      <c r="F370" s="15" t="str">
        <f>IF(IFERROR(MATCH(354,ChqRankL,0),0)=0,"",IF(INDEX(ChqStatus,IFERROR(MATCH(354,ChqRankL,0),0))="پاس نشده","—",IF(INDEX(ChqClr,IFERROR(MATCH(354,ChqRankL,0),0))="","—",INDEX(ChqClr,IFERROR(MATCH(354,ChqRankL,0),0)))))</f>
        <v/>
      </c>
      <c r="I370" t="str">
        <f>IF(354&gt;NChq,"",INDEX(ChqNorm,354))</f>
        <v/>
      </c>
      <c r="J370" t="str">
        <f t="shared" si="10"/>
        <v/>
      </c>
      <c r="K370" t="str">
        <f>IF($J370=0,"",INDEX(ChqKey,354))</f>
        <v/>
      </c>
      <c r="L370" t="str">
        <f t="shared" si="11"/>
        <v/>
      </c>
    </row>
    <row r="371" spans="1:12" x14ac:dyDescent="0.2">
      <c r="A371" s="3" t="str">
        <f>IF(IFERROR(MATCH(355,ChqRankL,0),0)=0,"",355)</f>
        <v/>
      </c>
      <c r="B371" s="13" t="str">
        <f>IF(IFERROR(MATCH(355,ChqRankL,0),0)=0,"",INDEX(ChqNorm,IFERROR(MATCH(355,ChqRankL,0),0)))</f>
        <v/>
      </c>
      <c r="C371" s="13" t="str">
        <f>IF(IFERROR(MATCH(355,ChqRankL,0),0)=0,"",INDEX(ChqNo,IFERROR(MATCH(355,ChqRankL,0),0)))</f>
        <v/>
      </c>
      <c r="D371" s="14" t="str">
        <f>IF(IFERROR(MATCH(355,ChqRankL,0),0)=0,"",IF(INDEX(ChqAmt,IFERROR(MATCH(355,ChqRankL,0),0))=0,"",INDEX(ChqAmt,IFERROR(MATCH(355,ChqRankL,0),0))))</f>
        <v/>
      </c>
      <c r="E371" s="7" t="str">
        <f>IF(IFERROR(MATCH(355,ChqRankL,0),0)=0,"",INDEX(ChqStatus,IFERROR(MATCH(355,ChqRankL,0),0)))</f>
        <v/>
      </c>
      <c r="F371" s="13" t="str">
        <f>IF(IFERROR(MATCH(355,ChqRankL,0),0)=0,"",IF(INDEX(ChqStatus,IFERROR(MATCH(355,ChqRankL,0),0))="پاس نشده","—",IF(INDEX(ChqClr,IFERROR(MATCH(355,ChqRankL,0),0))="","—",INDEX(ChqClr,IFERROR(MATCH(355,ChqRankL,0),0)))))</f>
        <v/>
      </c>
      <c r="I371" t="str">
        <f>IF(355&gt;NChq,"",INDEX(ChqNorm,355))</f>
        <v/>
      </c>
      <c r="J371" t="str">
        <f t="shared" si="10"/>
        <v/>
      </c>
      <c r="K371" t="str">
        <f>IF($J371=0,"",INDEX(ChqKey,355))</f>
        <v/>
      </c>
      <c r="L371" t="str">
        <f t="shared" si="11"/>
        <v/>
      </c>
    </row>
    <row r="372" spans="1:12" x14ac:dyDescent="0.2">
      <c r="A372" s="9" t="str">
        <f>IF(IFERROR(MATCH(356,ChqRankL,0),0)=0,"",356)</f>
        <v/>
      </c>
      <c r="B372" s="15" t="str">
        <f>IF(IFERROR(MATCH(356,ChqRankL,0),0)=0,"",INDEX(ChqNorm,IFERROR(MATCH(356,ChqRankL,0),0)))</f>
        <v/>
      </c>
      <c r="C372" s="15" t="str">
        <f>IF(IFERROR(MATCH(356,ChqRankL,0),0)=0,"",INDEX(ChqNo,IFERROR(MATCH(356,ChqRankL,0),0)))</f>
        <v/>
      </c>
      <c r="D372" s="16" t="str">
        <f>IF(IFERROR(MATCH(356,ChqRankL,0),0)=0,"",IF(INDEX(ChqAmt,IFERROR(MATCH(356,ChqRankL,0),0))=0,"",INDEX(ChqAmt,IFERROR(MATCH(356,ChqRankL,0),0))))</f>
        <v/>
      </c>
      <c r="E372" s="10" t="str">
        <f>IF(IFERROR(MATCH(356,ChqRankL,0),0)=0,"",INDEX(ChqStatus,IFERROR(MATCH(356,ChqRankL,0),0)))</f>
        <v/>
      </c>
      <c r="F372" s="15" t="str">
        <f>IF(IFERROR(MATCH(356,ChqRankL,0),0)=0,"",IF(INDEX(ChqStatus,IFERROR(MATCH(356,ChqRankL,0),0))="پاس نشده","—",IF(INDEX(ChqClr,IFERROR(MATCH(356,ChqRankL,0),0))="","—",INDEX(ChqClr,IFERROR(MATCH(356,ChqRankL,0),0)))))</f>
        <v/>
      </c>
      <c r="I372" t="str">
        <f>IF(356&gt;NChq,"",INDEX(ChqNorm,356))</f>
        <v/>
      </c>
      <c r="J372" t="str">
        <f t="shared" si="10"/>
        <v/>
      </c>
      <c r="K372" t="str">
        <f>IF($J372=0,"",INDEX(ChqKey,356))</f>
        <v/>
      </c>
      <c r="L372" t="str">
        <f t="shared" si="11"/>
        <v/>
      </c>
    </row>
    <row r="373" spans="1:12" x14ac:dyDescent="0.2">
      <c r="A373" s="3" t="str">
        <f>IF(IFERROR(MATCH(357,ChqRankL,0),0)=0,"",357)</f>
        <v/>
      </c>
      <c r="B373" s="13" t="str">
        <f>IF(IFERROR(MATCH(357,ChqRankL,0),0)=0,"",INDEX(ChqNorm,IFERROR(MATCH(357,ChqRankL,0),0)))</f>
        <v/>
      </c>
      <c r="C373" s="13" t="str">
        <f>IF(IFERROR(MATCH(357,ChqRankL,0),0)=0,"",INDEX(ChqNo,IFERROR(MATCH(357,ChqRankL,0),0)))</f>
        <v/>
      </c>
      <c r="D373" s="14" t="str">
        <f>IF(IFERROR(MATCH(357,ChqRankL,0),0)=0,"",IF(INDEX(ChqAmt,IFERROR(MATCH(357,ChqRankL,0),0))=0,"",INDEX(ChqAmt,IFERROR(MATCH(357,ChqRankL,0),0))))</f>
        <v/>
      </c>
      <c r="E373" s="7" t="str">
        <f>IF(IFERROR(MATCH(357,ChqRankL,0),0)=0,"",INDEX(ChqStatus,IFERROR(MATCH(357,ChqRankL,0),0)))</f>
        <v/>
      </c>
      <c r="F373" s="13" t="str">
        <f>IF(IFERROR(MATCH(357,ChqRankL,0),0)=0,"",IF(INDEX(ChqStatus,IFERROR(MATCH(357,ChqRankL,0),0))="پاس نشده","—",IF(INDEX(ChqClr,IFERROR(MATCH(357,ChqRankL,0),0))="","—",INDEX(ChqClr,IFERROR(MATCH(357,ChqRankL,0),0)))))</f>
        <v/>
      </c>
      <c r="I373" t="str">
        <f>IF(357&gt;NChq,"",INDEX(ChqNorm,357))</f>
        <v/>
      </c>
      <c r="J373" t="str">
        <f t="shared" si="10"/>
        <v/>
      </c>
      <c r="K373" t="str">
        <f>IF($J373=0,"",INDEX(ChqKey,357))</f>
        <v/>
      </c>
      <c r="L373" t="str">
        <f t="shared" si="11"/>
        <v/>
      </c>
    </row>
    <row r="374" spans="1:12" x14ac:dyDescent="0.2">
      <c r="A374" s="9" t="str">
        <f>IF(IFERROR(MATCH(358,ChqRankL,0),0)=0,"",358)</f>
        <v/>
      </c>
      <c r="B374" s="15" t="str">
        <f>IF(IFERROR(MATCH(358,ChqRankL,0),0)=0,"",INDEX(ChqNorm,IFERROR(MATCH(358,ChqRankL,0),0)))</f>
        <v/>
      </c>
      <c r="C374" s="15" t="str">
        <f>IF(IFERROR(MATCH(358,ChqRankL,0),0)=0,"",INDEX(ChqNo,IFERROR(MATCH(358,ChqRankL,0),0)))</f>
        <v/>
      </c>
      <c r="D374" s="16" t="str">
        <f>IF(IFERROR(MATCH(358,ChqRankL,0),0)=0,"",IF(INDEX(ChqAmt,IFERROR(MATCH(358,ChqRankL,0),0))=0,"",INDEX(ChqAmt,IFERROR(MATCH(358,ChqRankL,0),0))))</f>
        <v/>
      </c>
      <c r="E374" s="10" t="str">
        <f>IF(IFERROR(MATCH(358,ChqRankL,0),0)=0,"",INDEX(ChqStatus,IFERROR(MATCH(358,ChqRankL,0),0)))</f>
        <v/>
      </c>
      <c r="F374" s="15" t="str">
        <f>IF(IFERROR(MATCH(358,ChqRankL,0),0)=0,"",IF(INDEX(ChqStatus,IFERROR(MATCH(358,ChqRankL,0),0))="پاس نشده","—",IF(INDEX(ChqClr,IFERROR(MATCH(358,ChqRankL,0),0))="","—",INDEX(ChqClr,IFERROR(MATCH(358,ChqRankL,0),0)))))</f>
        <v/>
      </c>
      <c r="I374" t="str">
        <f>IF(358&gt;NChq,"",INDEX(ChqNorm,358))</f>
        <v/>
      </c>
      <c r="J374" t="str">
        <f t="shared" si="10"/>
        <v/>
      </c>
      <c r="K374" t="str">
        <f>IF($J374=0,"",INDEX(ChqKey,358))</f>
        <v/>
      </c>
      <c r="L374" t="str">
        <f t="shared" si="11"/>
        <v/>
      </c>
    </row>
    <row r="375" spans="1:12" x14ac:dyDescent="0.2">
      <c r="A375" s="3" t="str">
        <f>IF(IFERROR(MATCH(359,ChqRankL,0),0)=0,"",359)</f>
        <v/>
      </c>
      <c r="B375" s="13" t="str">
        <f>IF(IFERROR(MATCH(359,ChqRankL,0),0)=0,"",INDEX(ChqNorm,IFERROR(MATCH(359,ChqRankL,0),0)))</f>
        <v/>
      </c>
      <c r="C375" s="13" t="str">
        <f>IF(IFERROR(MATCH(359,ChqRankL,0),0)=0,"",INDEX(ChqNo,IFERROR(MATCH(359,ChqRankL,0),0)))</f>
        <v/>
      </c>
      <c r="D375" s="14" t="str">
        <f>IF(IFERROR(MATCH(359,ChqRankL,0),0)=0,"",IF(INDEX(ChqAmt,IFERROR(MATCH(359,ChqRankL,0),0))=0,"",INDEX(ChqAmt,IFERROR(MATCH(359,ChqRankL,0),0))))</f>
        <v/>
      </c>
      <c r="E375" s="7" t="str">
        <f>IF(IFERROR(MATCH(359,ChqRankL,0),0)=0,"",INDEX(ChqStatus,IFERROR(MATCH(359,ChqRankL,0),0)))</f>
        <v/>
      </c>
      <c r="F375" s="13" t="str">
        <f>IF(IFERROR(MATCH(359,ChqRankL,0),0)=0,"",IF(INDEX(ChqStatus,IFERROR(MATCH(359,ChqRankL,0),0))="پاس نشده","—",IF(INDEX(ChqClr,IFERROR(MATCH(359,ChqRankL,0),0))="","—",INDEX(ChqClr,IFERROR(MATCH(359,ChqRankL,0),0)))))</f>
        <v/>
      </c>
      <c r="I375" t="str">
        <f>IF(359&gt;NChq,"",INDEX(ChqNorm,359))</f>
        <v/>
      </c>
      <c r="J375" t="str">
        <f t="shared" si="10"/>
        <v/>
      </c>
      <c r="K375" t="str">
        <f>IF($J375=0,"",INDEX(ChqKey,359))</f>
        <v/>
      </c>
      <c r="L375" t="str">
        <f t="shared" si="11"/>
        <v/>
      </c>
    </row>
    <row r="376" spans="1:12" x14ac:dyDescent="0.2">
      <c r="A376" s="9" t="str">
        <f>IF(IFERROR(MATCH(360,ChqRankL,0),0)=0,"",360)</f>
        <v/>
      </c>
      <c r="B376" s="15" t="str">
        <f>IF(IFERROR(MATCH(360,ChqRankL,0),0)=0,"",INDEX(ChqNorm,IFERROR(MATCH(360,ChqRankL,0),0)))</f>
        <v/>
      </c>
      <c r="C376" s="15" t="str">
        <f>IF(IFERROR(MATCH(360,ChqRankL,0),0)=0,"",INDEX(ChqNo,IFERROR(MATCH(360,ChqRankL,0),0)))</f>
        <v/>
      </c>
      <c r="D376" s="16" t="str">
        <f>IF(IFERROR(MATCH(360,ChqRankL,0),0)=0,"",IF(INDEX(ChqAmt,IFERROR(MATCH(360,ChqRankL,0),0))=0,"",INDEX(ChqAmt,IFERROR(MATCH(360,ChqRankL,0),0))))</f>
        <v/>
      </c>
      <c r="E376" s="10" t="str">
        <f>IF(IFERROR(MATCH(360,ChqRankL,0),0)=0,"",INDEX(ChqStatus,IFERROR(MATCH(360,ChqRankL,0),0)))</f>
        <v/>
      </c>
      <c r="F376" s="15" t="str">
        <f>IF(IFERROR(MATCH(360,ChqRankL,0),0)=0,"",IF(INDEX(ChqStatus,IFERROR(MATCH(360,ChqRankL,0),0))="پاس نشده","—",IF(INDEX(ChqClr,IFERROR(MATCH(360,ChqRankL,0),0))="","—",INDEX(ChqClr,IFERROR(MATCH(360,ChqRankL,0),0)))))</f>
        <v/>
      </c>
      <c r="I376" t="str">
        <f>IF(360&gt;NChq,"",INDEX(ChqNorm,360))</f>
        <v/>
      </c>
      <c r="J376" t="str">
        <f t="shared" si="10"/>
        <v/>
      </c>
      <c r="K376" t="str">
        <f>IF($J376=0,"",INDEX(ChqKey,360))</f>
        <v/>
      </c>
      <c r="L376" t="str">
        <f t="shared" si="11"/>
        <v/>
      </c>
    </row>
    <row r="377" spans="1:12" x14ac:dyDescent="0.2">
      <c r="A377" s="3" t="str">
        <f>IF(IFERROR(MATCH(361,ChqRankL,0),0)=0,"",361)</f>
        <v/>
      </c>
      <c r="B377" s="13" t="str">
        <f>IF(IFERROR(MATCH(361,ChqRankL,0),0)=0,"",INDEX(ChqNorm,IFERROR(MATCH(361,ChqRankL,0),0)))</f>
        <v/>
      </c>
      <c r="C377" s="13" t="str">
        <f>IF(IFERROR(MATCH(361,ChqRankL,0),0)=0,"",INDEX(ChqNo,IFERROR(MATCH(361,ChqRankL,0),0)))</f>
        <v/>
      </c>
      <c r="D377" s="14" t="str">
        <f>IF(IFERROR(MATCH(361,ChqRankL,0),0)=0,"",IF(INDEX(ChqAmt,IFERROR(MATCH(361,ChqRankL,0),0))=0,"",INDEX(ChqAmt,IFERROR(MATCH(361,ChqRankL,0),0))))</f>
        <v/>
      </c>
      <c r="E377" s="7" t="str">
        <f>IF(IFERROR(MATCH(361,ChqRankL,0),0)=0,"",INDEX(ChqStatus,IFERROR(MATCH(361,ChqRankL,0),0)))</f>
        <v/>
      </c>
      <c r="F377" s="13" t="str">
        <f>IF(IFERROR(MATCH(361,ChqRankL,0),0)=0,"",IF(INDEX(ChqStatus,IFERROR(MATCH(361,ChqRankL,0),0))="پاس نشده","—",IF(INDEX(ChqClr,IFERROR(MATCH(361,ChqRankL,0),0))="","—",INDEX(ChqClr,IFERROR(MATCH(361,ChqRankL,0),0)))))</f>
        <v/>
      </c>
      <c r="I377" t="str">
        <f>IF(361&gt;NChq,"",INDEX(ChqNorm,361))</f>
        <v/>
      </c>
      <c r="J377" t="str">
        <f t="shared" si="10"/>
        <v/>
      </c>
      <c r="K377" t="str">
        <f>IF($J377=0,"",INDEX(ChqKey,361))</f>
        <v/>
      </c>
      <c r="L377" t="str">
        <f t="shared" si="11"/>
        <v/>
      </c>
    </row>
    <row r="378" spans="1:12" x14ac:dyDescent="0.2">
      <c r="A378" s="9" t="str">
        <f>IF(IFERROR(MATCH(362,ChqRankL,0),0)=0,"",362)</f>
        <v/>
      </c>
      <c r="B378" s="15" t="str">
        <f>IF(IFERROR(MATCH(362,ChqRankL,0),0)=0,"",INDEX(ChqNorm,IFERROR(MATCH(362,ChqRankL,0),0)))</f>
        <v/>
      </c>
      <c r="C378" s="15" t="str">
        <f>IF(IFERROR(MATCH(362,ChqRankL,0),0)=0,"",INDEX(ChqNo,IFERROR(MATCH(362,ChqRankL,0),0)))</f>
        <v/>
      </c>
      <c r="D378" s="16" t="str">
        <f>IF(IFERROR(MATCH(362,ChqRankL,0),0)=0,"",IF(INDEX(ChqAmt,IFERROR(MATCH(362,ChqRankL,0),0))=0,"",INDEX(ChqAmt,IFERROR(MATCH(362,ChqRankL,0),0))))</f>
        <v/>
      </c>
      <c r="E378" s="10" t="str">
        <f>IF(IFERROR(MATCH(362,ChqRankL,0),0)=0,"",INDEX(ChqStatus,IFERROR(MATCH(362,ChqRankL,0),0)))</f>
        <v/>
      </c>
      <c r="F378" s="15" t="str">
        <f>IF(IFERROR(MATCH(362,ChqRankL,0),0)=0,"",IF(INDEX(ChqStatus,IFERROR(MATCH(362,ChqRankL,0),0))="پاس نشده","—",IF(INDEX(ChqClr,IFERROR(MATCH(362,ChqRankL,0),0))="","—",INDEX(ChqClr,IFERROR(MATCH(362,ChqRankL,0),0)))))</f>
        <v/>
      </c>
      <c r="I378" t="str">
        <f>IF(362&gt;NChq,"",INDEX(ChqNorm,362))</f>
        <v/>
      </c>
      <c r="J378" t="str">
        <f t="shared" si="10"/>
        <v/>
      </c>
      <c r="K378" t="str">
        <f>IF($J378=0,"",INDEX(ChqKey,362))</f>
        <v/>
      </c>
      <c r="L378" t="str">
        <f t="shared" si="11"/>
        <v/>
      </c>
    </row>
    <row r="379" spans="1:12" x14ac:dyDescent="0.2">
      <c r="A379" s="3" t="str">
        <f>IF(IFERROR(MATCH(363,ChqRankL,0),0)=0,"",363)</f>
        <v/>
      </c>
      <c r="B379" s="13" t="str">
        <f>IF(IFERROR(MATCH(363,ChqRankL,0),0)=0,"",INDEX(ChqNorm,IFERROR(MATCH(363,ChqRankL,0),0)))</f>
        <v/>
      </c>
      <c r="C379" s="13" t="str">
        <f>IF(IFERROR(MATCH(363,ChqRankL,0),0)=0,"",INDEX(ChqNo,IFERROR(MATCH(363,ChqRankL,0),0)))</f>
        <v/>
      </c>
      <c r="D379" s="14" t="str">
        <f>IF(IFERROR(MATCH(363,ChqRankL,0),0)=0,"",IF(INDEX(ChqAmt,IFERROR(MATCH(363,ChqRankL,0),0))=0,"",INDEX(ChqAmt,IFERROR(MATCH(363,ChqRankL,0),0))))</f>
        <v/>
      </c>
      <c r="E379" s="7" t="str">
        <f>IF(IFERROR(MATCH(363,ChqRankL,0),0)=0,"",INDEX(ChqStatus,IFERROR(MATCH(363,ChqRankL,0),0)))</f>
        <v/>
      </c>
      <c r="F379" s="13" t="str">
        <f>IF(IFERROR(MATCH(363,ChqRankL,0),0)=0,"",IF(INDEX(ChqStatus,IFERROR(MATCH(363,ChqRankL,0),0))="پاس نشده","—",IF(INDEX(ChqClr,IFERROR(MATCH(363,ChqRankL,0),0))="","—",INDEX(ChqClr,IFERROR(MATCH(363,ChqRankL,0),0)))))</f>
        <v/>
      </c>
      <c r="I379" t="str">
        <f>IF(363&gt;NChq,"",INDEX(ChqNorm,363))</f>
        <v/>
      </c>
      <c r="J379" t="str">
        <f t="shared" si="10"/>
        <v/>
      </c>
      <c r="K379" t="str">
        <f>IF($J379=0,"",INDEX(ChqKey,363))</f>
        <v/>
      </c>
      <c r="L379" t="str">
        <f t="shared" si="11"/>
        <v/>
      </c>
    </row>
    <row r="380" spans="1:12" x14ac:dyDescent="0.2">
      <c r="A380" s="9" t="str">
        <f>IF(IFERROR(MATCH(364,ChqRankL,0),0)=0,"",364)</f>
        <v/>
      </c>
      <c r="B380" s="15" t="str">
        <f>IF(IFERROR(MATCH(364,ChqRankL,0),0)=0,"",INDEX(ChqNorm,IFERROR(MATCH(364,ChqRankL,0),0)))</f>
        <v/>
      </c>
      <c r="C380" s="15" t="str">
        <f>IF(IFERROR(MATCH(364,ChqRankL,0),0)=0,"",INDEX(ChqNo,IFERROR(MATCH(364,ChqRankL,0),0)))</f>
        <v/>
      </c>
      <c r="D380" s="16" t="str">
        <f>IF(IFERROR(MATCH(364,ChqRankL,0),0)=0,"",IF(INDEX(ChqAmt,IFERROR(MATCH(364,ChqRankL,0),0))=0,"",INDEX(ChqAmt,IFERROR(MATCH(364,ChqRankL,0),0))))</f>
        <v/>
      </c>
      <c r="E380" s="10" t="str">
        <f>IF(IFERROR(MATCH(364,ChqRankL,0),0)=0,"",INDEX(ChqStatus,IFERROR(MATCH(364,ChqRankL,0),0)))</f>
        <v/>
      </c>
      <c r="F380" s="15" t="str">
        <f>IF(IFERROR(MATCH(364,ChqRankL,0),0)=0,"",IF(INDEX(ChqStatus,IFERROR(MATCH(364,ChqRankL,0),0))="پاس نشده","—",IF(INDEX(ChqClr,IFERROR(MATCH(364,ChqRankL,0),0))="","—",INDEX(ChqClr,IFERROR(MATCH(364,ChqRankL,0),0)))))</f>
        <v/>
      </c>
      <c r="I380" t="str">
        <f>IF(364&gt;NChq,"",INDEX(ChqNorm,364))</f>
        <v/>
      </c>
      <c r="J380" t="str">
        <f t="shared" si="10"/>
        <v/>
      </c>
      <c r="K380" t="str">
        <f>IF($J380=0,"",INDEX(ChqKey,364))</f>
        <v/>
      </c>
      <c r="L380" t="str">
        <f t="shared" si="11"/>
        <v/>
      </c>
    </row>
    <row r="381" spans="1:12" x14ac:dyDescent="0.2">
      <c r="A381" s="3" t="str">
        <f>IF(IFERROR(MATCH(365,ChqRankL,0),0)=0,"",365)</f>
        <v/>
      </c>
      <c r="B381" s="13" t="str">
        <f>IF(IFERROR(MATCH(365,ChqRankL,0),0)=0,"",INDEX(ChqNorm,IFERROR(MATCH(365,ChqRankL,0),0)))</f>
        <v/>
      </c>
      <c r="C381" s="13" t="str">
        <f>IF(IFERROR(MATCH(365,ChqRankL,0),0)=0,"",INDEX(ChqNo,IFERROR(MATCH(365,ChqRankL,0),0)))</f>
        <v/>
      </c>
      <c r="D381" s="14" t="str">
        <f>IF(IFERROR(MATCH(365,ChqRankL,0),0)=0,"",IF(INDEX(ChqAmt,IFERROR(MATCH(365,ChqRankL,0),0))=0,"",INDEX(ChqAmt,IFERROR(MATCH(365,ChqRankL,0),0))))</f>
        <v/>
      </c>
      <c r="E381" s="7" t="str">
        <f>IF(IFERROR(MATCH(365,ChqRankL,0),0)=0,"",INDEX(ChqStatus,IFERROR(MATCH(365,ChqRankL,0),0)))</f>
        <v/>
      </c>
      <c r="F381" s="13" t="str">
        <f>IF(IFERROR(MATCH(365,ChqRankL,0),0)=0,"",IF(INDEX(ChqStatus,IFERROR(MATCH(365,ChqRankL,0),0))="پاس نشده","—",IF(INDEX(ChqClr,IFERROR(MATCH(365,ChqRankL,0),0))="","—",INDEX(ChqClr,IFERROR(MATCH(365,ChqRankL,0),0)))))</f>
        <v/>
      </c>
      <c r="I381" t="str">
        <f>IF(365&gt;NChq,"",INDEX(ChqNorm,365))</f>
        <v/>
      </c>
      <c r="J381" t="str">
        <f t="shared" si="10"/>
        <v/>
      </c>
      <c r="K381" t="str">
        <f>IF($J381=0,"",INDEX(ChqKey,365))</f>
        <v/>
      </c>
      <c r="L381" t="str">
        <f t="shared" si="11"/>
        <v/>
      </c>
    </row>
    <row r="382" spans="1:12" x14ac:dyDescent="0.2">
      <c r="A382" s="9" t="str">
        <f>IF(IFERROR(MATCH(366,ChqRankL,0),0)=0,"",366)</f>
        <v/>
      </c>
      <c r="B382" s="15" t="str">
        <f>IF(IFERROR(MATCH(366,ChqRankL,0),0)=0,"",INDEX(ChqNorm,IFERROR(MATCH(366,ChqRankL,0),0)))</f>
        <v/>
      </c>
      <c r="C382" s="15" t="str">
        <f>IF(IFERROR(MATCH(366,ChqRankL,0),0)=0,"",INDEX(ChqNo,IFERROR(MATCH(366,ChqRankL,0),0)))</f>
        <v/>
      </c>
      <c r="D382" s="16" t="str">
        <f>IF(IFERROR(MATCH(366,ChqRankL,0),0)=0,"",IF(INDEX(ChqAmt,IFERROR(MATCH(366,ChqRankL,0),0))=0,"",INDEX(ChqAmt,IFERROR(MATCH(366,ChqRankL,0),0))))</f>
        <v/>
      </c>
      <c r="E382" s="10" t="str">
        <f>IF(IFERROR(MATCH(366,ChqRankL,0),0)=0,"",INDEX(ChqStatus,IFERROR(MATCH(366,ChqRankL,0),0)))</f>
        <v/>
      </c>
      <c r="F382" s="15" t="str">
        <f>IF(IFERROR(MATCH(366,ChqRankL,0),0)=0,"",IF(INDEX(ChqStatus,IFERROR(MATCH(366,ChqRankL,0),0))="پاس نشده","—",IF(INDEX(ChqClr,IFERROR(MATCH(366,ChqRankL,0),0))="","—",INDEX(ChqClr,IFERROR(MATCH(366,ChqRankL,0),0)))))</f>
        <v/>
      </c>
      <c r="I382" t="str">
        <f>IF(366&gt;NChq,"",INDEX(ChqNorm,366))</f>
        <v/>
      </c>
      <c r="J382" t="str">
        <f t="shared" si="10"/>
        <v/>
      </c>
      <c r="K382" t="str">
        <f>IF($J382=0,"",INDEX(ChqKey,366))</f>
        <v/>
      </c>
      <c r="L382" t="str">
        <f t="shared" si="11"/>
        <v/>
      </c>
    </row>
    <row r="383" spans="1:12" x14ac:dyDescent="0.2">
      <c r="A383" s="3" t="str">
        <f>IF(IFERROR(MATCH(367,ChqRankL,0),0)=0,"",367)</f>
        <v/>
      </c>
      <c r="B383" s="13" t="str">
        <f>IF(IFERROR(MATCH(367,ChqRankL,0),0)=0,"",INDEX(ChqNorm,IFERROR(MATCH(367,ChqRankL,0),0)))</f>
        <v/>
      </c>
      <c r="C383" s="13" t="str">
        <f>IF(IFERROR(MATCH(367,ChqRankL,0),0)=0,"",INDEX(ChqNo,IFERROR(MATCH(367,ChqRankL,0),0)))</f>
        <v/>
      </c>
      <c r="D383" s="14" t="str">
        <f>IF(IFERROR(MATCH(367,ChqRankL,0),0)=0,"",IF(INDEX(ChqAmt,IFERROR(MATCH(367,ChqRankL,0),0))=0,"",INDEX(ChqAmt,IFERROR(MATCH(367,ChqRankL,0),0))))</f>
        <v/>
      </c>
      <c r="E383" s="7" t="str">
        <f>IF(IFERROR(MATCH(367,ChqRankL,0),0)=0,"",INDEX(ChqStatus,IFERROR(MATCH(367,ChqRankL,0),0)))</f>
        <v/>
      </c>
      <c r="F383" s="13" t="str">
        <f>IF(IFERROR(MATCH(367,ChqRankL,0),0)=0,"",IF(INDEX(ChqStatus,IFERROR(MATCH(367,ChqRankL,0),0))="پاس نشده","—",IF(INDEX(ChqClr,IFERROR(MATCH(367,ChqRankL,0),0))="","—",INDEX(ChqClr,IFERROR(MATCH(367,ChqRankL,0),0)))))</f>
        <v/>
      </c>
      <c r="I383" t="str">
        <f>IF(367&gt;NChq,"",INDEX(ChqNorm,367))</f>
        <v/>
      </c>
      <c r="J383" t="str">
        <f t="shared" si="10"/>
        <v/>
      </c>
      <c r="K383" t="str">
        <f>IF($J383=0,"",INDEX(ChqKey,367))</f>
        <v/>
      </c>
      <c r="L383" t="str">
        <f t="shared" si="11"/>
        <v/>
      </c>
    </row>
    <row r="384" spans="1:12" x14ac:dyDescent="0.2">
      <c r="A384" s="9" t="str">
        <f>IF(IFERROR(MATCH(368,ChqRankL,0),0)=0,"",368)</f>
        <v/>
      </c>
      <c r="B384" s="15" t="str">
        <f>IF(IFERROR(MATCH(368,ChqRankL,0),0)=0,"",INDEX(ChqNorm,IFERROR(MATCH(368,ChqRankL,0),0)))</f>
        <v/>
      </c>
      <c r="C384" s="15" t="str">
        <f>IF(IFERROR(MATCH(368,ChqRankL,0),0)=0,"",INDEX(ChqNo,IFERROR(MATCH(368,ChqRankL,0),0)))</f>
        <v/>
      </c>
      <c r="D384" s="16" t="str">
        <f>IF(IFERROR(MATCH(368,ChqRankL,0),0)=0,"",IF(INDEX(ChqAmt,IFERROR(MATCH(368,ChqRankL,0),0))=0,"",INDEX(ChqAmt,IFERROR(MATCH(368,ChqRankL,0),0))))</f>
        <v/>
      </c>
      <c r="E384" s="10" t="str">
        <f>IF(IFERROR(MATCH(368,ChqRankL,0),0)=0,"",INDEX(ChqStatus,IFERROR(MATCH(368,ChqRankL,0),0)))</f>
        <v/>
      </c>
      <c r="F384" s="15" t="str">
        <f>IF(IFERROR(MATCH(368,ChqRankL,0),0)=0,"",IF(INDEX(ChqStatus,IFERROR(MATCH(368,ChqRankL,0),0))="پاس نشده","—",IF(INDEX(ChqClr,IFERROR(MATCH(368,ChqRankL,0),0))="","—",INDEX(ChqClr,IFERROR(MATCH(368,ChqRankL,0),0)))))</f>
        <v/>
      </c>
      <c r="I384" t="str">
        <f>IF(368&gt;NChq,"",INDEX(ChqNorm,368))</f>
        <v/>
      </c>
      <c r="J384" t="str">
        <f t="shared" si="10"/>
        <v/>
      </c>
      <c r="K384" t="str">
        <f>IF($J384=0,"",INDEX(ChqKey,368))</f>
        <v/>
      </c>
      <c r="L384" t="str">
        <f t="shared" si="11"/>
        <v/>
      </c>
    </row>
    <row r="385" spans="1:12" x14ac:dyDescent="0.2">
      <c r="A385" s="3" t="str">
        <f>IF(IFERROR(MATCH(369,ChqRankL,0),0)=0,"",369)</f>
        <v/>
      </c>
      <c r="B385" s="13" t="str">
        <f>IF(IFERROR(MATCH(369,ChqRankL,0),0)=0,"",INDEX(ChqNorm,IFERROR(MATCH(369,ChqRankL,0),0)))</f>
        <v/>
      </c>
      <c r="C385" s="13" t="str">
        <f>IF(IFERROR(MATCH(369,ChqRankL,0),0)=0,"",INDEX(ChqNo,IFERROR(MATCH(369,ChqRankL,0),0)))</f>
        <v/>
      </c>
      <c r="D385" s="14" t="str">
        <f>IF(IFERROR(MATCH(369,ChqRankL,0),0)=0,"",IF(INDEX(ChqAmt,IFERROR(MATCH(369,ChqRankL,0),0))=0,"",INDEX(ChqAmt,IFERROR(MATCH(369,ChqRankL,0),0))))</f>
        <v/>
      </c>
      <c r="E385" s="7" t="str">
        <f>IF(IFERROR(MATCH(369,ChqRankL,0),0)=0,"",INDEX(ChqStatus,IFERROR(MATCH(369,ChqRankL,0),0)))</f>
        <v/>
      </c>
      <c r="F385" s="13" t="str">
        <f>IF(IFERROR(MATCH(369,ChqRankL,0),0)=0,"",IF(INDEX(ChqStatus,IFERROR(MATCH(369,ChqRankL,0),0))="پاس نشده","—",IF(INDEX(ChqClr,IFERROR(MATCH(369,ChqRankL,0),0))="","—",INDEX(ChqClr,IFERROR(MATCH(369,ChqRankL,0),0)))))</f>
        <v/>
      </c>
      <c r="I385" t="str">
        <f>IF(369&gt;NChq,"",INDEX(ChqNorm,369))</f>
        <v/>
      </c>
      <c r="J385" t="str">
        <f t="shared" si="10"/>
        <v/>
      </c>
      <c r="K385" t="str">
        <f>IF($J385=0,"",INDEX(ChqKey,369))</f>
        <v/>
      </c>
      <c r="L385" t="str">
        <f t="shared" si="11"/>
        <v/>
      </c>
    </row>
    <row r="386" spans="1:12" x14ac:dyDescent="0.2">
      <c r="A386" s="9" t="str">
        <f>IF(IFERROR(MATCH(370,ChqRankL,0),0)=0,"",370)</f>
        <v/>
      </c>
      <c r="B386" s="15" t="str">
        <f>IF(IFERROR(MATCH(370,ChqRankL,0),0)=0,"",INDEX(ChqNorm,IFERROR(MATCH(370,ChqRankL,0),0)))</f>
        <v/>
      </c>
      <c r="C386" s="15" t="str">
        <f>IF(IFERROR(MATCH(370,ChqRankL,0),0)=0,"",INDEX(ChqNo,IFERROR(MATCH(370,ChqRankL,0),0)))</f>
        <v/>
      </c>
      <c r="D386" s="16" t="str">
        <f>IF(IFERROR(MATCH(370,ChqRankL,0),0)=0,"",IF(INDEX(ChqAmt,IFERROR(MATCH(370,ChqRankL,0),0))=0,"",INDEX(ChqAmt,IFERROR(MATCH(370,ChqRankL,0),0))))</f>
        <v/>
      </c>
      <c r="E386" s="10" t="str">
        <f>IF(IFERROR(MATCH(370,ChqRankL,0),0)=0,"",INDEX(ChqStatus,IFERROR(MATCH(370,ChqRankL,0),0)))</f>
        <v/>
      </c>
      <c r="F386" s="15" t="str">
        <f>IF(IFERROR(MATCH(370,ChqRankL,0),0)=0,"",IF(INDEX(ChqStatus,IFERROR(MATCH(370,ChqRankL,0),0))="پاس نشده","—",IF(INDEX(ChqClr,IFERROR(MATCH(370,ChqRankL,0),0))="","—",INDEX(ChqClr,IFERROR(MATCH(370,ChqRankL,0),0)))))</f>
        <v/>
      </c>
      <c r="I386" t="str">
        <f>IF(370&gt;NChq,"",INDEX(ChqNorm,370))</f>
        <v/>
      </c>
      <c r="J386" t="str">
        <f t="shared" si="10"/>
        <v/>
      </c>
      <c r="K386" t="str">
        <f>IF($J386=0,"",INDEX(ChqKey,370))</f>
        <v/>
      </c>
      <c r="L386" t="str">
        <f t="shared" si="11"/>
        <v/>
      </c>
    </row>
    <row r="387" spans="1:12" x14ac:dyDescent="0.2">
      <c r="A387" s="3" t="str">
        <f>IF(IFERROR(MATCH(371,ChqRankL,0),0)=0,"",371)</f>
        <v/>
      </c>
      <c r="B387" s="13" t="str">
        <f>IF(IFERROR(MATCH(371,ChqRankL,0),0)=0,"",INDEX(ChqNorm,IFERROR(MATCH(371,ChqRankL,0),0)))</f>
        <v/>
      </c>
      <c r="C387" s="13" t="str">
        <f>IF(IFERROR(MATCH(371,ChqRankL,0),0)=0,"",INDEX(ChqNo,IFERROR(MATCH(371,ChqRankL,0),0)))</f>
        <v/>
      </c>
      <c r="D387" s="14" t="str">
        <f>IF(IFERROR(MATCH(371,ChqRankL,0),0)=0,"",IF(INDEX(ChqAmt,IFERROR(MATCH(371,ChqRankL,0),0))=0,"",INDEX(ChqAmt,IFERROR(MATCH(371,ChqRankL,0),0))))</f>
        <v/>
      </c>
      <c r="E387" s="7" t="str">
        <f>IF(IFERROR(MATCH(371,ChqRankL,0),0)=0,"",INDEX(ChqStatus,IFERROR(MATCH(371,ChqRankL,0),0)))</f>
        <v/>
      </c>
      <c r="F387" s="13" t="str">
        <f>IF(IFERROR(MATCH(371,ChqRankL,0),0)=0,"",IF(INDEX(ChqStatus,IFERROR(MATCH(371,ChqRankL,0),0))="پاس نشده","—",IF(INDEX(ChqClr,IFERROR(MATCH(371,ChqRankL,0),0))="","—",INDEX(ChqClr,IFERROR(MATCH(371,ChqRankL,0),0)))))</f>
        <v/>
      </c>
      <c r="I387" t="str">
        <f>IF(371&gt;NChq,"",INDEX(ChqNorm,371))</f>
        <v/>
      </c>
      <c r="J387" t="str">
        <f t="shared" si="10"/>
        <v/>
      </c>
      <c r="K387" t="str">
        <f>IF($J387=0,"",INDEX(ChqKey,371))</f>
        <v/>
      </c>
      <c r="L387" t="str">
        <f t="shared" si="11"/>
        <v/>
      </c>
    </row>
    <row r="388" spans="1:12" x14ac:dyDescent="0.2">
      <c r="A388" s="9" t="str">
        <f>IF(IFERROR(MATCH(372,ChqRankL,0),0)=0,"",372)</f>
        <v/>
      </c>
      <c r="B388" s="15" t="str">
        <f>IF(IFERROR(MATCH(372,ChqRankL,0),0)=0,"",INDEX(ChqNorm,IFERROR(MATCH(372,ChqRankL,0),0)))</f>
        <v/>
      </c>
      <c r="C388" s="15" t="str">
        <f>IF(IFERROR(MATCH(372,ChqRankL,0),0)=0,"",INDEX(ChqNo,IFERROR(MATCH(372,ChqRankL,0),0)))</f>
        <v/>
      </c>
      <c r="D388" s="16" t="str">
        <f>IF(IFERROR(MATCH(372,ChqRankL,0),0)=0,"",IF(INDEX(ChqAmt,IFERROR(MATCH(372,ChqRankL,0),0))=0,"",INDEX(ChqAmt,IFERROR(MATCH(372,ChqRankL,0),0))))</f>
        <v/>
      </c>
      <c r="E388" s="10" t="str">
        <f>IF(IFERROR(MATCH(372,ChqRankL,0),0)=0,"",INDEX(ChqStatus,IFERROR(MATCH(372,ChqRankL,0),0)))</f>
        <v/>
      </c>
      <c r="F388" s="15" t="str">
        <f>IF(IFERROR(MATCH(372,ChqRankL,0),0)=0,"",IF(INDEX(ChqStatus,IFERROR(MATCH(372,ChqRankL,0),0))="پاس نشده","—",IF(INDEX(ChqClr,IFERROR(MATCH(372,ChqRankL,0),0))="","—",INDEX(ChqClr,IFERROR(MATCH(372,ChqRankL,0),0)))))</f>
        <v/>
      </c>
      <c r="I388" t="str">
        <f>IF(372&gt;NChq,"",INDEX(ChqNorm,372))</f>
        <v/>
      </c>
      <c r="J388" t="str">
        <f t="shared" si="10"/>
        <v/>
      </c>
      <c r="K388" t="str">
        <f>IF($J388=0,"",INDEX(ChqKey,372))</f>
        <v/>
      </c>
      <c r="L388" t="str">
        <f t="shared" si="11"/>
        <v/>
      </c>
    </row>
    <row r="389" spans="1:12" x14ac:dyDescent="0.2">
      <c r="A389" s="3" t="str">
        <f>IF(IFERROR(MATCH(373,ChqRankL,0),0)=0,"",373)</f>
        <v/>
      </c>
      <c r="B389" s="13" t="str">
        <f>IF(IFERROR(MATCH(373,ChqRankL,0),0)=0,"",INDEX(ChqNorm,IFERROR(MATCH(373,ChqRankL,0),0)))</f>
        <v/>
      </c>
      <c r="C389" s="13" t="str">
        <f>IF(IFERROR(MATCH(373,ChqRankL,0),0)=0,"",INDEX(ChqNo,IFERROR(MATCH(373,ChqRankL,0),0)))</f>
        <v/>
      </c>
      <c r="D389" s="14" t="str">
        <f>IF(IFERROR(MATCH(373,ChqRankL,0),0)=0,"",IF(INDEX(ChqAmt,IFERROR(MATCH(373,ChqRankL,0),0))=0,"",INDEX(ChqAmt,IFERROR(MATCH(373,ChqRankL,0),0))))</f>
        <v/>
      </c>
      <c r="E389" s="7" t="str">
        <f>IF(IFERROR(MATCH(373,ChqRankL,0),0)=0,"",INDEX(ChqStatus,IFERROR(MATCH(373,ChqRankL,0),0)))</f>
        <v/>
      </c>
      <c r="F389" s="13" t="str">
        <f>IF(IFERROR(MATCH(373,ChqRankL,0),0)=0,"",IF(INDEX(ChqStatus,IFERROR(MATCH(373,ChqRankL,0),0))="پاس نشده","—",IF(INDEX(ChqClr,IFERROR(MATCH(373,ChqRankL,0),0))="","—",INDEX(ChqClr,IFERROR(MATCH(373,ChqRankL,0),0)))))</f>
        <v/>
      </c>
      <c r="I389" t="str">
        <f>IF(373&gt;NChq,"",INDEX(ChqNorm,373))</f>
        <v/>
      </c>
      <c r="J389" t="str">
        <f t="shared" si="10"/>
        <v/>
      </c>
      <c r="K389" t="str">
        <f>IF($J389=0,"",INDEX(ChqKey,373))</f>
        <v/>
      </c>
      <c r="L389" t="str">
        <f t="shared" si="11"/>
        <v/>
      </c>
    </row>
    <row r="390" spans="1:12" x14ac:dyDescent="0.2">
      <c r="A390" s="9" t="str">
        <f>IF(IFERROR(MATCH(374,ChqRankL,0),0)=0,"",374)</f>
        <v/>
      </c>
      <c r="B390" s="15" t="str">
        <f>IF(IFERROR(MATCH(374,ChqRankL,0),0)=0,"",INDEX(ChqNorm,IFERROR(MATCH(374,ChqRankL,0),0)))</f>
        <v/>
      </c>
      <c r="C390" s="15" t="str">
        <f>IF(IFERROR(MATCH(374,ChqRankL,0),0)=0,"",INDEX(ChqNo,IFERROR(MATCH(374,ChqRankL,0),0)))</f>
        <v/>
      </c>
      <c r="D390" s="16" t="str">
        <f>IF(IFERROR(MATCH(374,ChqRankL,0),0)=0,"",IF(INDEX(ChqAmt,IFERROR(MATCH(374,ChqRankL,0),0))=0,"",INDEX(ChqAmt,IFERROR(MATCH(374,ChqRankL,0),0))))</f>
        <v/>
      </c>
      <c r="E390" s="10" t="str">
        <f>IF(IFERROR(MATCH(374,ChqRankL,0),0)=0,"",INDEX(ChqStatus,IFERROR(MATCH(374,ChqRankL,0),0)))</f>
        <v/>
      </c>
      <c r="F390" s="15" t="str">
        <f>IF(IFERROR(MATCH(374,ChqRankL,0),0)=0,"",IF(INDEX(ChqStatus,IFERROR(MATCH(374,ChqRankL,0),0))="پاس نشده","—",IF(INDEX(ChqClr,IFERROR(MATCH(374,ChqRankL,0),0))="","—",INDEX(ChqClr,IFERROR(MATCH(374,ChqRankL,0),0)))))</f>
        <v/>
      </c>
      <c r="I390" t="str">
        <f>IF(374&gt;NChq,"",INDEX(ChqNorm,374))</f>
        <v/>
      </c>
      <c r="J390" t="str">
        <f t="shared" si="10"/>
        <v/>
      </c>
      <c r="K390" t="str">
        <f>IF($J390=0,"",INDEX(ChqKey,374))</f>
        <v/>
      </c>
      <c r="L390" t="str">
        <f t="shared" si="11"/>
        <v/>
      </c>
    </row>
    <row r="391" spans="1:12" x14ac:dyDescent="0.2">
      <c r="A391" s="3" t="str">
        <f>IF(IFERROR(MATCH(375,ChqRankL,0),0)=0,"",375)</f>
        <v/>
      </c>
      <c r="B391" s="13" t="str">
        <f>IF(IFERROR(MATCH(375,ChqRankL,0),0)=0,"",INDEX(ChqNorm,IFERROR(MATCH(375,ChqRankL,0),0)))</f>
        <v/>
      </c>
      <c r="C391" s="13" t="str">
        <f>IF(IFERROR(MATCH(375,ChqRankL,0),0)=0,"",INDEX(ChqNo,IFERROR(MATCH(375,ChqRankL,0),0)))</f>
        <v/>
      </c>
      <c r="D391" s="14" t="str">
        <f>IF(IFERROR(MATCH(375,ChqRankL,0),0)=0,"",IF(INDEX(ChqAmt,IFERROR(MATCH(375,ChqRankL,0),0))=0,"",INDEX(ChqAmt,IFERROR(MATCH(375,ChqRankL,0),0))))</f>
        <v/>
      </c>
      <c r="E391" s="7" t="str">
        <f>IF(IFERROR(MATCH(375,ChqRankL,0),0)=0,"",INDEX(ChqStatus,IFERROR(MATCH(375,ChqRankL,0),0)))</f>
        <v/>
      </c>
      <c r="F391" s="13" t="str">
        <f>IF(IFERROR(MATCH(375,ChqRankL,0),0)=0,"",IF(INDEX(ChqStatus,IFERROR(MATCH(375,ChqRankL,0),0))="پاس نشده","—",IF(INDEX(ChqClr,IFERROR(MATCH(375,ChqRankL,0),0))="","—",INDEX(ChqClr,IFERROR(MATCH(375,ChqRankL,0),0)))))</f>
        <v/>
      </c>
      <c r="I391" t="str">
        <f>IF(375&gt;NChq,"",INDEX(ChqNorm,375))</f>
        <v/>
      </c>
      <c r="J391" t="str">
        <f t="shared" si="10"/>
        <v/>
      </c>
      <c r="K391" t="str">
        <f>IF($J391=0,"",INDEX(ChqKey,375))</f>
        <v/>
      </c>
      <c r="L391" t="str">
        <f t="shared" si="11"/>
        <v/>
      </c>
    </row>
    <row r="392" spans="1:12" x14ac:dyDescent="0.2">
      <c r="A392" s="9" t="str">
        <f>IF(IFERROR(MATCH(376,ChqRankL,0),0)=0,"",376)</f>
        <v/>
      </c>
      <c r="B392" s="15" t="str">
        <f>IF(IFERROR(MATCH(376,ChqRankL,0),0)=0,"",INDEX(ChqNorm,IFERROR(MATCH(376,ChqRankL,0),0)))</f>
        <v/>
      </c>
      <c r="C392" s="15" t="str">
        <f>IF(IFERROR(MATCH(376,ChqRankL,0),0)=0,"",INDEX(ChqNo,IFERROR(MATCH(376,ChqRankL,0),0)))</f>
        <v/>
      </c>
      <c r="D392" s="16" t="str">
        <f>IF(IFERROR(MATCH(376,ChqRankL,0),0)=0,"",IF(INDEX(ChqAmt,IFERROR(MATCH(376,ChqRankL,0),0))=0,"",INDEX(ChqAmt,IFERROR(MATCH(376,ChqRankL,0),0))))</f>
        <v/>
      </c>
      <c r="E392" s="10" t="str">
        <f>IF(IFERROR(MATCH(376,ChqRankL,0),0)=0,"",INDEX(ChqStatus,IFERROR(MATCH(376,ChqRankL,0),0)))</f>
        <v/>
      </c>
      <c r="F392" s="15" t="str">
        <f>IF(IFERROR(MATCH(376,ChqRankL,0),0)=0,"",IF(INDEX(ChqStatus,IFERROR(MATCH(376,ChqRankL,0),0))="پاس نشده","—",IF(INDEX(ChqClr,IFERROR(MATCH(376,ChqRankL,0),0))="","—",INDEX(ChqClr,IFERROR(MATCH(376,ChqRankL,0),0)))))</f>
        <v/>
      </c>
      <c r="I392" t="str">
        <f>IF(376&gt;NChq,"",INDEX(ChqNorm,376))</f>
        <v/>
      </c>
      <c r="J392" t="str">
        <f t="shared" si="10"/>
        <v/>
      </c>
      <c r="K392" t="str">
        <f>IF($J392=0,"",INDEX(ChqKey,376))</f>
        <v/>
      </c>
      <c r="L392" t="str">
        <f t="shared" si="11"/>
        <v/>
      </c>
    </row>
    <row r="393" spans="1:12" x14ac:dyDescent="0.2">
      <c r="A393" s="3" t="str">
        <f>IF(IFERROR(MATCH(377,ChqRankL,0),0)=0,"",377)</f>
        <v/>
      </c>
      <c r="B393" s="13" t="str">
        <f>IF(IFERROR(MATCH(377,ChqRankL,0),0)=0,"",INDEX(ChqNorm,IFERROR(MATCH(377,ChqRankL,0),0)))</f>
        <v/>
      </c>
      <c r="C393" s="13" t="str">
        <f>IF(IFERROR(MATCH(377,ChqRankL,0),0)=0,"",INDEX(ChqNo,IFERROR(MATCH(377,ChqRankL,0),0)))</f>
        <v/>
      </c>
      <c r="D393" s="14" t="str">
        <f>IF(IFERROR(MATCH(377,ChqRankL,0),0)=0,"",IF(INDEX(ChqAmt,IFERROR(MATCH(377,ChqRankL,0),0))=0,"",INDEX(ChqAmt,IFERROR(MATCH(377,ChqRankL,0),0))))</f>
        <v/>
      </c>
      <c r="E393" s="7" t="str">
        <f>IF(IFERROR(MATCH(377,ChqRankL,0),0)=0,"",INDEX(ChqStatus,IFERROR(MATCH(377,ChqRankL,0),0)))</f>
        <v/>
      </c>
      <c r="F393" s="13" t="str">
        <f>IF(IFERROR(MATCH(377,ChqRankL,0),0)=0,"",IF(INDEX(ChqStatus,IFERROR(MATCH(377,ChqRankL,0),0))="پاس نشده","—",IF(INDEX(ChqClr,IFERROR(MATCH(377,ChqRankL,0),0))="","—",INDEX(ChqClr,IFERROR(MATCH(377,ChqRankL,0),0)))))</f>
        <v/>
      </c>
      <c r="I393" t="str">
        <f>IF(377&gt;NChq,"",INDEX(ChqNorm,377))</f>
        <v/>
      </c>
      <c r="J393" t="str">
        <f t="shared" si="10"/>
        <v/>
      </c>
      <c r="K393" t="str">
        <f>IF($J393=0,"",INDEX(ChqKey,377))</f>
        <v/>
      </c>
      <c r="L393" t="str">
        <f t="shared" si="11"/>
        <v/>
      </c>
    </row>
    <row r="394" spans="1:12" x14ac:dyDescent="0.2">
      <c r="A394" s="9" t="str">
        <f>IF(IFERROR(MATCH(378,ChqRankL,0),0)=0,"",378)</f>
        <v/>
      </c>
      <c r="B394" s="15" t="str">
        <f>IF(IFERROR(MATCH(378,ChqRankL,0),0)=0,"",INDEX(ChqNorm,IFERROR(MATCH(378,ChqRankL,0),0)))</f>
        <v/>
      </c>
      <c r="C394" s="15" t="str">
        <f>IF(IFERROR(MATCH(378,ChqRankL,0),0)=0,"",INDEX(ChqNo,IFERROR(MATCH(378,ChqRankL,0),0)))</f>
        <v/>
      </c>
      <c r="D394" s="16" t="str">
        <f>IF(IFERROR(MATCH(378,ChqRankL,0),0)=0,"",IF(INDEX(ChqAmt,IFERROR(MATCH(378,ChqRankL,0),0))=0,"",INDEX(ChqAmt,IFERROR(MATCH(378,ChqRankL,0),0))))</f>
        <v/>
      </c>
      <c r="E394" s="10" t="str">
        <f>IF(IFERROR(MATCH(378,ChqRankL,0),0)=0,"",INDEX(ChqStatus,IFERROR(MATCH(378,ChqRankL,0),0)))</f>
        <v/>
      </c>
      <c r="F394" s="15" t="str">
        <f>IF(IFERROR(MATCH(378,ChqRankL,0),0)=0,"",IF(INDEX(ChqStatus,IFERROR(MATCH(378,ChqRankL,0),0))="پاس نشده","—",IF(INDEX(ChqClr,IFERROR(MATCH(378,ChqRankL,0),0))="","—",INDEX(ChqClr,IFERROR(MATCH(378,ChqRankL,0),0)))))</f>
        <v/>
      </c>
      <c r="I394" t="str">
        <f>IF(378&gt;NChq,"",INDEX(ChqNorm,378))</f>
        <v/>
      </c>
      <c r="J394" t="str">
        <f t="shared" si="10"/>
        <v/>
      </c>
      <c r="K394" t="str">
        <f>IF($J394=0,"",INDEX(ChqKey,378))</f>
        <v/>
      </c>
      <c r="L394" t="str">
        <f t="shared" si="11"/>
        <v/>
      </c>
    </row>
    <row r="395" spans="1:12" x14ac:dyDescent="0.2">
      <c r="A395" s="3" t="str">
        <f>IF(IFERROR(MATCH(379,ChqRankL,0),0)=0,"",379)</f>
        <v/>
      </c>
      <c r="B395" s="13" t="str">
        <f>IF(IFERROR(MATCH(379,ChqRankL,0),0)=0,"",INDEX(ChqNorm,IFERROR(MATCH(379,ChqRankL,0),0)))</f>
        <v/>
      </c>
      <c r="C395" s="13" t="str">
        <f>IF(IFERROR(MATCH(379,ChqRankL,0),0)=0,"",INDEX(ChqNo,IFERROR(MATCH(379,ChqRankL,0),0)))</f>
        <v/>
      </c>
      <c r="D395" s="14" t="str">
        <f>IF(IFERROR(MATCH(379,ChqRankL,0),0)=0,"",IF(INDEX(ChqAmt,IFERROR(MATCH(379,ChqRankL,0),0))=0,"",INDEX(ChqAmt,IFERROR(MATCH(379,ChqRankL,0),0))))</f>
        <v/>
      </c>
      <c r="E395" s="7" t="str">
        <f>IF(IFERROR(MATCH(379,ChqRankL,0),0)=0,"",INDEX(ChqStatus,IFERROR(MATCH(379,ChqRankL,0),0)))</f>
        <v/>
      </c>
      <c r="F395" s="13" t="str">
        <f>IF(IFERROR(MATCH(379,ChqRankL,0),0)=0,"",IF(INDEX(ChqStatus,IFERROR(MATCH(379,ChqRankL,0),0))="پاس نشده","—",IF(INDEX(ChqClr,IFERROR(MATCH(379,ChqRankL,0),0))="","—",INDEX(ChqClr,IFERROR(MATCH(379,ChqRankL,0),0)))))</f>
        <v/>
      </c>
      <c r="I395" t="str">
        <f>IF(379&gt;NChq,"",INDEX(ChqNorm,379))</f>
        <v/>
      </c>
      <c r="J395" t="str">
        <f t="shared" si="10"/>
        <v/>
      </c>
      <c r="K395" t="str">
        <f>IF($J395=0,"",INDEX(ChqKey,379))</f>
        <v/>
      </c>
      <c r="L395" t="str">
        <f t="shared" si="11"/>
        <v/>
      </c>
    </row>
    <row r="396" spans="1:12" x14ac:dyDescent="0.2">
      <c r="A396" s="9" t="str">
        <f>IF(IFERROR(MATCH(380,ChqRankL,0),0)=0,"",380)</f>
        <v/>
      </c>
      <c r="B396" s="15" t="str">
        <f>IF(IFERROR(MATCH(380,ChqRankL,0),0)=0,"",INDEX(ChqNorm,IFERROR(MATCH(380,ChqRankL,0),0)))</f>
        <v/>
      </c>
      <c r="C396" s="15" t="str">
        <f>IF(IFERROR(MATCH(380,ChqRankL,0),0)=0,"",INDEX(ChqNo,IFERROR(MATCH(380,ChqRankL,0),0)))</f>
        <v/>
      </c>
      <c r="D396" s="16" t="str">
        <f>IF(IFERROR(MATCH(380,ChqRankL,0),0)=0,"",IF(INDEX(ChqAmt,IFERROR(MATCH(380,ChqRankL,0),0))=0,"",INDEX(ChqAmt,IFERROR(MATCH(380,ChqRankL,0),0))))</f>
        <v/>
      </c>
      <c r="E396" s="10" t="str">
        <f>IF(IFERROR(MATCH(380,ChqRankL,0),0)=0,"",INDEX(ChqStatus,IFERROR(MATCH(380,ChqRankL,0),0)))</f>
        <v/>
      </c>
      <c r="F396" s="15" t="str">
        <f>IF(IFERROR(MATCH(380,ChqRankL,0),0)=0,"",IF(INDEX(ChqStatus,IFERROR(MATCH(380,ChqRankL,0),0))="پاس نشده","—",IF(INDEX(ChqClr,IFERROR(MATCH(380,ChqRankL,0),0))="","—",INDEX(ChqClr,IFERROR(MATCH(380,ChqRankL,0),0)))))</f>
        <v/>
      </c>
      <c r="I396" t="str">
        <f>IF(380&gt;NChq,"",INDEX(ChqNorm,380))</f>
        <v/>
      </c>
      <c r="J396" t="str">
        <f t="shared" si="10"/>
        <v/>
      </c>
      <c r="K396" t="str">
        <f>IF($J396=0,"",INDEX(ChqKey,380))</f>
        <v/>
      </c>
      <c r="L396" t="str">
        <f t="shared" si="11"/>
        <v/>
      </c>
    </row>
    <row r="397" spans="1:12" x14ac:dyDescent="0.2">
      <c r="A397" s="3" t="str">
        <f>IF(IFERROR(MATCH(381,ChqRankL,0),0)=0,"",381)</f>
        <v/>
      </c>
      <c r="B397" s="13" t="str">
        <f>IF(IFERROR(MATCH(381,ChqRankL,0),0)=0,"",INDEX(ChqNorm,IFERROR(MATCH(381,ChqRankL,0),0)))</f>
        <v/>
      </c>
      <c r="C397" s="13" t="str">
        <f>IF(IFERROR(MATCH(381,ChqRankL,0),0)=0,"",INDEX(ChqNo,IFERROR(MATCH(381,ChqRankL,0),0)))</f>
        <v/>
      </c>
      <c r="D397" s="14" t="str">
        <f>IF(IFERROR(MATCH(381,ChqRankL,0),0)=0,"",IF(INDEX(ChqAmt,IFERROR(MATCH(381,ChqRankL,0),0))=0,"",INDEX(ChqAmt,IFERROR(MATCH(381,ChqRankL,0),0))))</f>
        <v/>
      </c>
      <c r="E397" s="7" t="str">
        <f>IF(IFERROR(MATCH(381,ChqRankL,0),0)=0,"",INDEX(ChqStatus,IFERROR(MATCH(381,ChqRankL,0),0)))</f>
        <v/>
      </c>
      <c r="F397" s="13" t="str">
        <f>IF(IFERROR(MATCH(381,ChqRankL,0),0)=0,"",IF(INDEX(ChqStatus,IFERROR(MATCH(381,ChqRankL,0),0))="پاس نشده","—",IF(INDEX(ChqClr,IFERROR(MATCH(381,ChqRankL,0),0))="","—",INDEX(ChqClr,IFERROR(MATCH(381,ChqRankL,0),0)))))</f>
        <v/>
      </c>
      <c r="I397" t="str">
        <f>IF(381&gt;NChq,"",INDEX(ChqNorm,381))</f>
        <v/>
      </c>
      <c r="J397" t="str">
        <f t="shared" si="10"/>
        <v/>
      </c>
      <c r="K397" t="str">
        <f>IF($J397=0,"",INDEX(ChqKey,381))</f>
        <v/>
      </c>
      <c r="L397" t="str">
        <f t="shared" si="11"/>
        <v/>
      </c>
    </row>
    <row r="398" spans="1:12" x14ac:dyDescent="0.2">
      <c r="A398" s="9" t="str">
        <f>IF(IFERROR(MATCH(382,ChqRankL,0),0)=0,"",382)</f>
        <v/>
      </c>
      <c r="B398" s="15" t="str">
        <f>IF(IFERROR(MATCH(382,ChqRankL,0),0)=0,"",INDEX(ChqNorm,IFERROR(MATCH(382,ChqRankL,0),0)))</f>
        <v/>
      </c>
      <c r="C398" s="15" t="str">
        <f>IF(IFERROR(MATCH(382,ChqRankL,0),0)=0,"",INDEX(ChqNo,IFERROR(MATCH(382,ChqRankL,0),0)))</f>
        <v/>
      </c>
      <c r="D398" s="16" t="str">
        <f>IF(IFERROR(MATCH(382,ChqRankL,0),0)=0,"",IF(INDEX(ChqAmt,IFERROR(MATCH(382,ChqRankL,0),0))=0,"",INDEX(ChqAmt,IFERROR(MATCH(382,ChqRankL,0),0))))</f>
        <v/>
      </c>
      <c r="E398" s="10" t="str">
        <f>IF(IFERROR(MATCH(382,ChqRankL,0),0)=0,"",INDEX(ChqStatus,IFERROR(MATCH(382,ChqRankL,0),0)))</f>
        <v/>
      </c>
      <c r="F398" s="15" t="str">
        <f>IF(IFERROR(MATCH(382,ChqRankL,0),0)=0,"",IF(INDEX(ChqStatus,IFERROR(MATCH(382,ChqRankL,0),0))="پاس نشده","—",IF(INDEX(ChqClr,IFERROR(MATCH(382,ChqRankL,0),0))="","—",INDEX(ChqClr,IFERROR(MATCH(382,ChqRankL,0),0)))))</f>
        <v/>
      </c>
      <c r="I398" t="str">
        <f>IF(382&gt;NChq,"",INDEX(ChqNorm,382))</f>
        <v/>
      </c>
      <c r="J398" t="str">
        <f t="shared" si="10"/>
        <v/>
      </c>
      <c r="K398" t="str">
        <f>IF($J398=0,"",INDEX(ChqKey,382))</f>
        <v/>
      </c>
      <c r="L398" t="str">
        <f t="shared" si="11"/>
        <v/>
      </c>
    </row>
    <row r="399" spans="1:12" x14ac:dyDescent="0.2">
      <c r="A399" s="3" t="str">
        <f>IF(IFERROR(MATCH(383,ChqRankL,0),0)=0,"",383)</f>
        <v/>
      </c>
      <c r="B399" s="13" t="str">
        <f>IF(IFERROR(MATCH(383,ChqRankL,0),0)=0,"",INDEX(ChqNorm,IFERROR(MATCH(383,ChqRankL,0),0)))</f>
        <v/>
      </c>
      <c r="C399" s="13" t="str">
        <f>IF(IFERROR(MATCH(383,ChqRankL,0),0)=0,"",INDEX(ChqNo,IFERROR(MATCH(383,ChqRankL,0),0)))</f>
        <v/>
      </c>
      <c r="D399" s="14" t="str">
        <f>IF(IFERROR(MATCH(383,ChqRankL,0),0)=0,"",IF(INDEX(ChqAmt,IFERROR(MATCH(383,ChqRankL,0),0))=0,"",INDEX(ChqAmt,IFERROR(MATCH(383,ChqRankL,0),0))))</f>
        <v/>
      </c>
      <c r="E399" s="7" t="str">
        <f>IF(IFERROR(MATCH(383,ChqRankL,0),0)=0,"",INDEX(ChqStatus,IFERROR(MATCH(383,ChqRankL,0),0)))</f>
        <v/>
      </c>
      <c r="F399" s="13" t="str">
        <f>IF(IFERROR(MATCH(383,ChqRankL,0),0)=0,"",IF(INDEX(ChqStatus,IFERROR(MATCH(383,ChqRankL,0),0))="پاس نشده","—",IF(INDEX(ChqClr,IFERROR(MATCH(383,ChqRankL,0),0))="","—",INDEX(ChqClr,IFERROR(MATCH(383,ChqRankL,0),0)))))</f>
        <v/>
      </c>
      <c r="I399" t="str">
        <f>IF(383&gt;NChq,"",INDEX(ChqNorm,383))</f>
        <v/>
      </c>
      <c r="J399" t="str">
        <f t="shared" si="10"/>
        <v/>
      </c>
      <c r="K399" t="str">
        <f>IF($J399=0,"",INDEX(ChqKey,383))</f>
        <v/>
      </c>
      <c r="L399" t="str">
        <f t="shared" si="11"/>
        <v/>
      </c>
    </row>
    <row r="400" spans="1:12" x14ac:dyDescent="0.2">
      <c r="A400" s="9" t="str">
        <f>IF(IFERROR(MATCH(384,ChqRankL,0),0)=0,"",384)</f>
        <v/>
      </c>
      <c r="B400" s="15" t="str">
        <f>IF(IFERROR(MATCH(384,ChqRankL,0),0)=0,"",INDEX(ChqNorm,IFERROR(MATCH(384,ChqRankL,0),0)))</f>
        <v/>
      </c>
      <c r="C400" s="15" t="str">
        <f>IF(IFERROR(MATCH(384,ChqRankL,0),0)=0,"",INDEX(ChqNo,IFERROR(MATCH(384,ChqRankL,0),0)))</f>
        <v/>
      </c>
      <c r="D400" s="16" t="str">
        <f>IF(IFERROR(MATCH(384,ChqRankL,0),0)=0,"",IF(INDEX(ChqAmt,IFERROR(MATCH(384,ChqRankL,0),0))=0,"",INDEX(ChqAmt,IFERROR(MATCH(384,ChqRankL,0),0))))</f>
        <v/>
      </c>
      <c r="E400" s="10" t="str">
        <f>IF(IFERROR(MATCH(384,ChqRankL,0),0)=0,"",INDEX(ChqStatus,IFERROR(MATCH(384,ChqRankL,0),0)))</f>
        <v/>
      </c>
      <c r="F400" s="15" t="str">
        <f>IF(IFERROR(MATCH(384,ChqRankL,0),0)=0,"",IF(INDEX(ChqStatus,IFERROR(MATCH(384,ChqRankL,0),0))="پاس نشده","—",IF(INDEX(ChqClr,IFERROR(MATCH(384,ChqRankL,0),0))="","—",INDEX(ChqClr,IFERROR(MATCH(384,ChqRankL,0),0)))))</f>
        <v/>
      </c>
      <c r="I400" t="str">
        <f>IF(384&gt;NChq,"",INDEX(ChqNorm,384))</f>
        <v/>
      </c>
      <c r="J400" t="str">
        <f t="shared" si="10"/>
        <v/>
      </c>
      <c r="K400" t="str">
        <f>IF($J400=0,"",INDEX(ChqKey,384))</f>
        <v/>
      </c>
      <c r="L400" t="str">
        <f t="shared" si="11"/>
        <v/>
      </c>
    </row>
    <row r="401" spans="1:12" x14ac:dyDescent="0.2">
      <c r="A401" s="3" t="str">
        <f>IF(IFERROR(MATCH(385,ChqRankL,0),0)=0,"",385)</f>
        <v/>
      </c>
      <c r="B401" s="13" t="str">
        <f>IF(IFERROR(MATCH(385,ChqRankL,0),0)=0,"",INDEX(ChqNorm,IFERROR(MATCH(385,ChqRankL,0),0)))</f>
        <v/>
      </c>
      <c r="C401" s="13" t="str">
        <f>IF(IFERROR(MATCH(385,ChqRankL,0),0)=0,"",INDEX(ChqNo,IFERROR(MATCH(385,ChqRankL,0),0)))</f>
        <v/>
      </c>
      <c r="D401" s="14" t="str">
        <f>IF(IFERROR(MATCH(385,ChqRankL,0),0)=0,"",IF(INDEX(ChqAmt,IFERROR(MATCH(385,ChqRankL,0),0))=0,"",INDEX(ChqAmt,IFERROR(MATCH(385,ChqRankL,0),0))))</f>
        <v/>
      </c>
      <c r="E401" s="7" t="str">
        <f>IF(IFERROR(MATCH(385,ChqRankL,0),0)=0,"",INDEX(ChqStatus,IFERROR(MATCH(385,ChqRankL,0),0)))</f>
        <v/>
      </c>
      <c r="F401" s="13" t="str">
        <f>IF(IFERROR(MATCH(385,ChqRankL,0),0)=0,"",IF(INDEX(ChqStatus,IFERROR(MATCH(385,ChqRankL,0),0))="پاس نشده","—",IF(INDEX(ChqClr,IFERROR(MATCH(385,ChqRankL,0),0))="","—",INDEX(ChqClr,IFERROR(MATCH(385,ChqRankL,0),0)))))</f>
        <v/>
      </c>
      <c r="I401" t="str">
        <f>IF(385&gt;NChq,"",INDEX(ChqNorm,385))</f>
        <v/>
      </c>
      <c r="J401" t="str">
        <f t="shared" ref="J401:J464" si="12">IF($I401="","",IF(AND($I401&gt;=$H$3,$I401&lt;=$H$4),1,0))</f>
        <v/>
      </c>
      <c r="K401" t="str">
        <f>IF($J401=0,"",INDEX(ChqKey,385))</f>
        <v/>
      </c>
      <c r="L401" t="str">
        <f t="shared" ref="L401:L464" si="13">IF($K401="","",COUNTIFS($J$17:$J$516,1,$K$17:$K$516,"&lt;"&amp;$K401)+1)</f>
        <v/>
      </c>
    </row>
    <row r="402" spans="1:12" x14ac:dyDescent="0.2">
      <c r="A402" s="9" t="str">
        <f>IF(IFERROR(MATCH(386,ChqRankL,0),0)=0,"",386)</f>
        <v/>
      </c>
      <c r="B402" s="15" t="str">
        <f>IF(IFERROR(MATCH(386,ChqRankL,0),0)=0,"",INDEX(ChqNorm,IFERROR(MATCH(386,ChqRankL,0),0)))</f>
        <v/>
      </c>
      <c r="C402" s="15" t="str">
        <f>IF(IFERROR(MATCH(386,ChqRankL,0),0)=0,"",INDEX(ChqNo,IFERROR(MATCH(386,ChqRankL,0),0)))</f>
        <v/>
      </c>
      <c r="D402" s="16" t="str">
        <f>IF(IFERROR(MATCH(386,ChqRankL,0),0)=0,"",IF(INDEX(ChqAmt,IFERROR(MATCH(386,ChqRankL,0),0))=0,"",INDEX(ChqAmt,IFERROR(MATCH(386,ChqRankL,0),0))))</f>
        <v/>
      </c>
      <c r="E402" s="10" t="str">
        <f>IF(IFERROR(MATCH(386,ChqRankL,0),0)=0,"",INDEX(ChqStatus,IFERROR(MATCH(386,ChqRankL,0),0)))</f>
        <v/>
      </c>
      <c r="F402" s="15" t="str">
        <f>IF(IFERROR(MATCH(386,ChqRankL,0),0)=0,"",IF(INDEX(ChqStatus,IFERROR(MATCH(386,ChqRankL,0),0))="پاس نشده","—",IF(INDEX(ChqClr,IFERROR(MATCH(386,ChqRankL,0),0))="","—",INDEX(ChqClr,IFERROR(MATCH(386,ChqRankL,0),0)))))</f>
        <v/>
      </c>
      <c r="I402" t="str">
        <f>IF(386&gt;NChq,"",INDEX(ChqNorm,386))</f>
        <v/>
      </c>
      <c r="J402" t="str">
        <f t="shared" si="12"/>
        <v/>
      </c>
      <c r="K402" t="str">
        <f>IF($J402=0,"",INDEX(ChqKey,386))</f>
        <v/>
      </c>
      <c r="L402" t="str">
        <f t="shared" si="13"/>
        <v/>
      </c>
    </row>
    <row r="403" spans="1:12" x14ac:dyDescent="0.2">
      <c r="A403" s="3" t="str">
        <f>IF(IFERROR(MATCH(387,ChqRankL,0),0)=0,"",387)</f>
        <v/>
      </c>
      <c r="B403" s="13" t="str">
        <f>IF(IFERROR(MATCH(387,ChqRankL,0),0)=0,"",INDEX(ChqNorm,IFERROR(MATCH(387,ChqRankL,0),0)))</f>
        <v/>
      </c>
      <c r="C403" s="13" t="str">
        <f>IF(IFERROR(MATCH(387,ChqRankL,0),0)=0,"",INDEX(ChqNo,IFERROR(MATCH(387,ChqRankL,0),0)))</f>
        <v/>
      </c>
      <c r="D403" s="14" t="str">
        <f>IF(IFERROR(MATCH(387,ChqRankL,0),0)=0,"",IF(INDEX(ChqAmt,IFERROR(MATCH(387,ChqRankL,0),0))=0,"",INDEX(ChqAmt,IFERROR(MATCH(387,ChqRankL,0),0))))</f>
        <v/>
      </c>
      <c r="E403" s="7" t="str">
        <f>IF(IFERROR(MATCH(387,ChqRankL,0),0)=0,"",INDEX(ChqStatus,IFERROR(MATCH(387,ChqRankL,0),0)))</f>
        <v/>
      </c>
      <c r="F403" s="13" t="str">
        <f>IF(IFERROR(MATCH(387,ChqRankL,0),0)=0,"",IF(INDEX(ChqStatus,IFERROR(MATCH(387,ChqRankL,0),0))="پاس نشده","—",IF(INDEX(ChqClr,IFERROR(MATCH(387,ChqRankL,0),0))="","—",INDEX(ChqClr,IFERROR(MATCH(387,ChqRankL,0),0)))))</f>
        <v/>
      </c>
      <c r="I403" t="str">
        <f>IF(387&gt;NChq,"",INDEX(ChqNorm,387))</f>
        <v/>
      </c>
      <c r="J403" t="str">
        <f t="shared" si="12"/>
        <v/>
      </c>
      <c r="K403" t="str">
        <f>IF($J403=0,"",INDEX(ChqKey,387))</f>
        <v/>
      </c>
      <c r="L403" t="str">
        <f t="shared" si="13"/>
        <v/>
      </c>
    </row>
    <row r="404" spans="1:12" x14ac:dyDescent="0.2">
      <c r="A404" s="9" t="str">
        <f>IF(IFERROR(MATCH(388,ChqRankL,0),0)=0,"",388)</f>
        <v/>
      </c>
      <c r="B404" s="15" t="str">
        <f>IF(IFERROR(MATCH(388,ChqRankL,0),0)=0,"",INDEX(ChqNorm,IFERROR(MATCH(388,ChqRankL,0),0)))</f>
        <v/>
      </c>
      <c r="C404" s="15" t="str">
        <f>IF(IFERROR(MATCH(388,ChqRankL,0),0)=0,"",INDEX(ChqNo,IFERROR(MATCH(388,ChqRankL,0),0)))</f>
        <v/>
      </c>
      <c r="D404" s="16" t="str">
        <f>IF(IFERROR(MATCH(388,ChqRankL,0),0)=0,"",IF(INDEX(ChqAmt,IFERROR(MATCH(388,ChqRankL,0),0))=0,"",INDEX(ChqAmt,IFERROR(MATCH(388,ChqRankL,0),0))))</f>
        <v/>
      </c>
      <c r="E404" s="10" t="str">
        <f>IF(IFERROR(MATCH(388,ChqRankL,0),0)=0,"",INDEX(ChqStatus,IFERROR(MATCH(388,ChqRankL,0),0)))</f>
        <v/>
      </c>
      <c r="F404" s="15" t="str">
        <f>IF(IFERROR(MATCH(388,ChqRankL,0),0)=0,"",IF(INDEX(ChqStatus,IFERROR(MATCH(388,ChqRankL,0),0))="پاس نشده","—",IF(INDEX(ChqClr,IFERROR(MATCH(388,ChqRankL,0),0))="","—",INDEX(ChqClr,IFERROR(MATCH(388,ChqRankL,0),0)))))</f>
        <v/>
      </c>
      <c r="I404" t="str">
        <f>IF(388&gt;NChq,"",INDEX(ChqNorm,388))</f>
        <v/>
      </c>
      <c r="J404" t="str">
        <f t="shared" si="12"/>
        <v/>
      </c>
      <c r="K404" t="str">
        <f>IF($J404=0,"",INDEX(ChqKey,388))</f>
        <v/>
      </c>
      <c r="L404" t="str">
        <f t="shared" si="13"/>
        <v/>
      </c>
    </row>
    <row r="405" spans="1:12" x14ac:dyDescent="0.2">
      <c r="A405" s="3" t="str">
        <f>IF(IFERROR(MATCH(389,ChqRankL,0),0)=0,"",389)</f>
        <v/>
      </c>
      <c r="B405" s="13" t="str">
        <f>IF(IFERROR(MATCH(389,ChqRankL,0),0)=0,"",INDEX(ChqNorm,IFERROR(MATCH(389,ChqRankL,0),0)))</f>
        <v/>
      </c>
      <c r="C405" s="13" t="str">
        <f>IF(IFERROR(MATCH(389,ChqRankL,0),0)=0,"",INDEX(ChqNo,IFERROR(MATCH(389,ChqRankL,0),0)))</f>
        <v/>
      </c>
      <c r="D405" s="14" t="str">
        <f>IF(IFERROR(MATCH(389,ChqRankL,0),0)=0,"",IF(INDEX(ChqAmt,IFERROR(MATCH(389,ChqRankL,0),0))=0,"",INDEX(ChqAmt,IFERROR(MATCH(389,ChqRankL,0),0))))</f>
        <v/>
      </c>
      <c r="E405" s="7" t="str">
        <f>IF(IFERROR(MATCH(389,ChqRankL,0),0)=0,"",INDEX(ChqStatus,IFERROR(MATCH(389,ChqRankL,0),0)))</f>
        <v/>
      </c>
      <c r="F405" s="13" t="str">
        <f>IF(IFERROR(MATCH(389,ChqRankL,0),0)=0,"",IF(INDEX(ChqStatus,IFERROR(MATCH(389,ChqRankL,0),0))="پاس نشده","—",IF(INDEX(ChqClr,IFERROR(MATCH(389,ChqRankL,0),0))="","—",INDEX(ChqClr,IFERROR(MATCH(389,ChqRankL,0),0)))))</f>
        <v/>
      </c>
      <c r="I405" t="str">
        <f>IF(389&gt;NChq,"",INDEX(ChqNorm,389))</f>
        <v/>
      </c>
      <c r="J405" t="str">
        <f t="shared" si="12"/>
        <v/>
      </c>
      <c r="K405" t="str">
        <f>IF($J405=0,"",INDEX(ChqKey,389))</f>
        <v/>
      </c>
      <c r="L405" t="str">
        <f t="shared" si="13"/>
        <v/>
      </c>
    </row>
    <row r="406" spans="1:12" x14ac:dyDescent="0.2">
      <c r="A406" s="9" t="str">
        <f>IF(IFERROR(MATCH(390,ChqRankL,0),0)=0,"",390)</f>
        <v/>
      </c>
      <c r="B406" s="15" t="str">
        <f>IF(IFERROR(MATCH(390,ChqRankL,0),0)=0,"",INDEX(ChqNorm,IFERROR(MATCH(390,ChqRankL,0),0)))</f>
        <v/>
      </c>
      <c r="C406" s="15" t="str">
        <f>IF(IFERROR(MATCH(390,ChqRankL,0),0)=0,"",INDEX(ChqNo,IFERROR(MATCH(390,ChqRankL,0),0)))</f>
        <v/>
      </c>
      <c r="D406" s="16" t="str">
        <f>IF(IFERROR(MATCH(390,ChqRankL,0),0)=0,"",IF(INDEX(ChqAmt,IFERROR(MATCH(390,ChqRankL,0),0))=0,"",INDEX(ChqAmt,IFERROR(MATCH(390,ChqRankL,0),0))))</f>
        <v/>
      </c>
      <c r="E406" s="10" t="str">
        <f>IF(IFERROR(MATCH(390,ChqRankL,0),0)=0,"",INDEX(ChqStatus,IFERROR(MATCH(390,ChqRankL,0),0)))</f>
        <v/>
      </c>
      <c r="F406" s="15" t="str">
        <f>IF(IFERROR(MATCH(390,ChqRankL,0),0)=0,"",IF(INDEX(ChqStatus,IFERROR(MATCH(390,ChqRankL,0),0))="پاس نشده","—",IF(INDEX(ChqClr,IFERROR(MATCH(390,ChqRankL,0),0))="","—",INDEX(ChqClr,IFERROR(MATCH(390,ChqRankL,0),0)))))</f>
        <v/>
      </c>
      <c r="I406" t="str">
        <f>IF(390&gt;NChq,"",INDEX(ChqNorm,390))</f>
        <v/>
      </c>
      <c r="J406" t="str">
        <f t="shared" si="12"/>
        <v/>
      </c>
      <c r="K406" t="str">
        <f>IF($J406=0,"",INDEX(ChqKey,390))</f>
        <v/>
      </c>
      <c r="L406" t="str">
        <f t="shared" si="13"/>
        <v/>
      </c>
    </row>
    <row r="407" spans="1:12" x14ac:dyDescent="0.2">
      <c r="A407" s="3" t="str">
        <f>IF(IFERROR(MATCH(391,ChqRankL,0),0)=0,"",391)</f>
        <v/>
      </c>
      <c r="B407" s="13" t="str">
        <f>IF(IFERROR(MATCH(391,ChqRankL,0),0)=0,"",INDEX(ChqNorm,IFERROR(MATCH(391,ChqRankL,0),0)))</f>
        <v/>
      </c>
      <c r="C407" s="13" t="str">
        <f>IF(IFERROR(MATCH(391,ChqRankL,0),0)=0,"",INDEX(ChqNo,IFERROR(MATCH(391,ChqRankL,0),0)))</f>
        <v/>
      </c>
      <c r="D407" s="14" t="str">
        <f>IF(IFERROR(MATCH(391,ChqRankL,0),0)=0,"",IF(INDEX(ChqAmt,IFERROR(MATCH(391,ChqRankL,0),0))=0,"",INDEX(ChqAmt,IFERROR(MATCH(391,ChqRankL,0),0))))</f>
        <v/>
      </c>
      <c r="E407" s="7" t="str">
        <f>IF(IFERROR(MATCH(391,ChqRankL,0),0)=0,"",INDEX(ChqStatus,IFERROR(MATCH(391,ChqRankL,0),0)))</f>
        <v/>
      </c>
      <c r="F407" s="13" t="str">
        <f>IF(IFERROR(MATCH(391,ChqRankL,0),0)=0,"",IF(INDEX(ChqStatus,IFERROR(MATCH(391,ChqRankL,0),0))="پاس نشده","—",IF(INDEX(ChqClr,IFERROR(MATCH(391,ChqRankL,0),0))="","—",INDEX(ChqClr,IFERROR(MATCH(391,ChqRankL,0),0)))))</f>
        <v/>
      </c>
      <c r="I407" t="str">
        <f>IF(391&gt;NChq,"",INDEX(ChqNorm,391))</f>
        <v/>
      </c>
      <c r="J407" t="str">
        <f t="shared" si="12"/>
        <v/>
      </c>
      <c r="K407" t="str">
        <f>IF($J407=0,"",INDEX(ChqKey,391))</f>
        <v/>
      </c>
      <c r="L407" t="str">
        <f t="shared" si="13"/>
        <v/>
      </c>
    </row>
    <row r="408" spans="1:12" x14ac:dyDescent="0.2">
      <c r="A408" s="9" t="str">
        <f>IF(IFERROR(MATCH(392,ChqRankL,0),0)=0,"",392)</f>
        <v/>
      </c>
      <c r="B408" s="15" t="str">
        <f>IF(IFERROR(MATCH(392,ChqRankL,0),0)=0,"",INDEX(ChqNorm,IFERROR(MATCH(392,ChqRankL,0),0)))</f>
        <v/>
      </c>
      <c r="C408" s="15" t="str">
        <f>IF(IFERROR(MATCH(392,ChqRankL,0),0)=0,"",INDEX(ChqNo,IFERROR(MATCH(392,ChqRankL,0),0)))</f>
        <v/>
      </c>
      <c r="D408" s="16" t="str">
        <f>IF(IFERROR(MATCH(392,ChqRankL,0),0)=0,"",IF(INDEX(ChqAmt,IFERROR(MATCH(392,ChqRankL,0),0))=0,"",INDEX(ChqAmt,IFERROR(MATCH(392,ChqRankL,0),0))))</f>
        <v/>
      </c>
      <c r="E408" s="10" t="str">
        <f>IF(IFERROR(MATCH(392,ChqRankL,0),0)=0,"",INDEX(ChqStatus,IFERROR(MATCH(392,ChqRankL,0),0)))</f>
        <v/>
      </c>
      <c r="F408" s="15" t="str">
        <f>IF(IFERROR(MATCH(392,ChqRankL,0),0)=0,"",IF(INDEX(ChqStatus,IFERROR(MATCH(392,ChqRankL,0),0))="پاس نشده","—",IF(INDEX(ChqClr,IFERROR(MATCH(392,ChqRankL,0),0))="","—",INDEX(ChqClr,IFERROR(MATCH(392,ChqRankL,0),0)))))</f>
        <v/>
      </c>
      <c r="I408" t="str">
        <f>IF(392&gt;NChq,"",INDEX(ChqNorm,392))</f>
        <v/>
      </c>
      <c r="J408" t="str">
        <f t="shared" si="12"/>
        <v/>
      </c>
      <c r="K408" t="str">
        <f>IF($J408=0,"",INDEX(ChqKey,392))</f>
        <v/>
      </c>
      <c r="L408" t="str">
        <f t="shared" si="13"/>
        <v/>
      </c>
    </row>
    <row r="409" spans="1:12" x14ac:dyDescent="0.2">
      <c r="A409" s="3" t="str">
        <f>IF(IFERROR(MATCH(393,ChqRankL,0),0)=0,"",393)</f>
        <v/>
      </c>
      <c r="B409" s="13" t="str">
        <f>IF(IFERROR(MATCH(393,ChqRankL,0),0)=0,"",INDEX(ChqNorm,IFERROR(MATCH(393,ChqRankL,0),0)))</f>
        <v/>
      </c>
      <c r="C409" s="13" t="str">
        <f>IF(IFERROR(MATCH(393,ChqRankL,0),0)=0,"",INDEX(ChqNo,IFERROR(MATCH(393,ChqRankL,0),0)))</f>
        <v/>
      </c>
      <c r="D409" s="14" t="str">
        <f>IF(IFERROR(MATCH(393,ChqRankL,0),0)=0,"",IF(INDEX(ChqAmt,IFERROR(MATCH(393,ChqRankL,0),0))=0,"",INDEX(ChqAmt,IFERROR(MATCH(393,ChqRankL,0),0))))</f>
        <v/>
      </c>
      <c r="E409" s="7" t="str">
        <f>IF(IFERROR(MATCH(393,ChqRankL,0),0)=0,"",INDEX(ChqStatus,IFERROR(MATCH(393,ChqRankL,0),0)))</f>
        <v/>
      </c>
      <c r="F409" s="13" t="str">
        <f>IF(IFERROR(MATCH(393,ChqRankL,0),0)=0,"",IF(INDEX(ChqStatus,IFERROR(MATCH(393,ChqRankL,0),0))="پاس نشده","—",IF(INDEX(ChqClr,IFERROR(MATCH(393,ChqRankL,0),0))="","—",INDEX(ChqClr,IFERROR(MATCH(393,ChqRankL,0),0)))))</f>
        <v/>
      </c>
      <c r="I409" t="str">
        <f>IF(393&gt;NChq,"",INDEX(ChqNorm,393))</f>
        <v/>
      </c>
      <c r="J409" t="str">
        <f t="shared" si="12"/>
        <v/>
      </c>
      <c r="K409" t="str">
        <f>IF($J409=0,"",INDEX(ChqKey,393))</f>
        <v/>
      </c>
      <c r="L409" t="str">
        <f t="shared" si="13"/>
        <v/>
      </c>
    </row>
    <row r="410" spans="1:12" x14ac:dyDescent="0.2">
      <c r="A410" s="9" t="str">
        <f>IF(IFERROR(MATCH(394,ChqRankL,0),0)=0,"",394)</f>
        <v/>
      </c>
      <c r="B410" s="15" t="str">
        <f>IF(IFERROR(MATCH(394,ChqRankL,0),0)=0,"",INDEX(ChqNorm,IFERROR(MATCH(394,ChqRankL,0),0)))</f>
        <v/>
      </c>
      <c r="C410" s="15" t="str">
        <f>IF(IFERROR(MATCH(394,ChqRankL,0),0)=0,"",INDEX(ChqNo,IFERROR(MATCH(394,ChqRankL,0),0)))</f>
        <v/>
      </c>
      <c r="D410" s="16" t="str">
        <f>IF(IFERROR(MATCH(394,ChqRankL,0),0)=0,"",IF(INDEX(ChqAmt,IFERROR(MATCH(394,ChqRankL,0),0))=0,"",INDEX(ChqAmt,IFERROR(MATCH(394,ChqRankL,0),0))))</f>
        <v/>
      </c>
      <c r="E410" s="10" t="str">
        <f>IF(IFERROR(MATCH(394,ChqRankL,0),0)=0,"",INDEX(ChqStatus,IFERROR(MATCH(394,ChqRankL,0),0)))</f>
        <v/>
      </c>
      <c r="F410" s="15" t="str">
        <f>IF(IFERROR(MATCH(394,ChqRankL,0),0)=0,"",IF(INDEX(ChqStatus,IFERROR(MATCH(394,ChqRankL,0),0))="پاس نشده","—",IF(INDEX(ChqClr,IFERROR(MATCH(394,ChqRankL,0),0))="","—",INDEX(ChqClr,IFERROR(MATCH(394,ChqRankL,0),0)))))</f>
        <v/>
      </c>
      <c r="I410" t="str">
        <f>IF(394&gt;NChq,"",INDEX(ChqNorm,394))</f>
        <v/>
      </c>
      <c r="J410" t="str">
        <f t="shared" si="12"/>
        <v/>
      </c>
      <c r="K410" t="str">
        <f>IF($J410=0,"",INDEX(ChqKey,394))</f>
        <v/>
      </c>
      <c r="L410" t="str">
        <f t="shared" si="13"/>
        <v/>
      </c>
    </row>
    <row r="411" spans="1:12" x14ac:dyDescent="0.2">
      <c r="A411" s="3" t="str">
        <f>IF(IFERROR(MATCH(395,ChqRankL,0),0)=0,"",395)</f>
        <v/>
      </c>
      <c r="B411" s="13" t="str">
        <f>IF(IFERROR(MATCH(395,ChqRankL,0),0)=0,"",INDEX(ChqNorm,IFERROR(MATCH(395,ChqRankL,0),0)))</f>
        <v/>
      </c>
      <c r="C411" s="13" t="str">
        <f>IF(IFERROR(MATCH(395,ChqRankL,0),0)=0,"",INDEX(ChqNo,IFERROR(MATCH(395,ChqRankL,0),0)))</f>
        <v/>
      </c>
      <c r="D411" s="14" t="str">
        <f>IF(IFERROR(MATCH(395,ChqRankL,0),0)=0,"",IF(INDEX(ChqAmt,IFERROR(MATCH(395,ChqRankL,0),0))=0,"",INDEX(ChqAmt,IFERROR(MATCH(395,ChqRankL,0),0))))</f>
        <v/>
      </c>
      <c r="E411" s="7" t="str">
        <f>IF(IFERROR(MATCH(395,ChqRankL,0),0)=0,"",INDEX(ChqStatus,IFERROR(MATCH(395,ChqRankL,0),0)))</f>
        <v/>
      </c>
      <c r="F411" s="13" t="str">
        <f>IF(IFERROR(MATCH(395,ChqRankL,0),0)=0,"",IF(INDEX(ChqStatus,IFERROR(MATCH(395,ChqRankL,0),0))="پاس نشده","—",IF(INDEX(ChqClr,IFERROR(MATCH(395,ChqRankL,0),0))="","—",INDEX(ChqClr,IFERROR(MATCH(395,ChqRankL,0),0)))))</f>
        <v/>
      </c>
      <c r="I411" t="str">
        <f>IF(395&gt;NChq,"",INDEX(ChqNorm,395))</f>
        <v/>
      </c>
      <c r="J411" t="str">
        <f t="shared" si="12"/>
        <v/>
      </c>
      <c r="K411" t="str">
        <f>IF($J411=0,"",INDEX(ChqKey,395))</f>
        <v/>
      </c>
      <c r="L411" t="str">
        <f t="shared" si="13"/>
        <v/>
      </c>
    </row>
    <row r="412" spans="1:12" x14ac:dyDescent="0.2">
      <c r="A412" s="9" t="str">
        <f>IF(IFERROR(MATCH(396,ChqRankL,0),0)=0,"",396)</f>
        <v/>
      </c>
      <c r="B412" s="15" t="str">
        <f>IF(IFERROR(MATCH(396,ChqRankL,0),0)=0,"",INDEX(ChqNorm,IFERROR(MATCH(396,ChqRankL,0),0)))</f>
        <v/>
      </c>
      <c r="C412" s="15" t="str">
        <f>IF(IFERROR(MATCH(396,ChqRankL,0),0)=0,"",INDEX(ChqNo,IFERROR(MATCH(396,ChqRankL,0),0)))</f>
        <v/>
      </c>
      <c r="D412" s="16" t="str">
        <f>IF(IFERROR(MATCH(396,ChqRankL,0),0)=0,"",IF(INDEX(ChqAmt,IFERROR(MATCH(396,ChqRankL,0),0))=0,"",INDEX(ChqAmt,IFERROR(MATCH(396,ChqRankL,0),0))))</f>
        <v/>
      </c>
      <c r="E412" s="10" t="str">
        <f>IF(IFERROR(MATCH(396,ChqRankL,0),0)=0,"",INDEX(ChqStatus,IFERROR(MATCH(396,ChqRankL,0),0)))</f>
        <v/>
      </c>
      <c r="F412" s="15" t="str">
        <f>IF(IFERROR(MATCH(396,ChqRankL,0),0)=0,"",IF(INDEX(ChqStatus,IFERROR(MATCH(396,ChqRankL,0),0))="پاس نشده","—",IF(INDEX(ChqClr,IFERROR(MATCH(396,ChqRankL,0),0))="","—",INDEX(ChqClr,IFERROR(MATCH(396,ChqRankL,0),0)))))</f>
        <v/>
      </c>
      <c r="I412" t="str">
        <f>IF(396&gt;NChq,"",INDEX(ChqNorm,396))</f>
        <v/>
      </c>
      <c r="J412" t="str">
        <f t="shared" si="12"/>
        <v/>
      </c>
      <c r="K412" t="str">
        <f>IF($J412=0,"",INDEX(ChqKey,396))</f>
        <v/>
      </c>
      <c r="L412" t="str">
        <f t="shared" si="13"/>
        <v/>
      </c>
    </row>
    <row r="413" spans="1:12" x14ac:dyDescent="0.2">
      <c r="A413" s="3" t="str">
        <f>IF(IFERROR(MATCH(397,ChqRankL,0),0)=0,"",397)</f>
        <v/>
      </c>
      <c r="B413" s="13" t="str">
        <f>IF(IFERROR(MATCH(397,ChqRankL,0),0)=0,"",INDEX(ChqNorm,IFERROR(MATCH(397,ChqRankL,0),0)))</f>
        <v/>
      </c>
      <c r="C413" s="13" t="str">
        <f>IF(IFERROR(MATCH(397,ChqRankL,0),0)=0,"",INDEX(ChqNo,IFERROR(MATCH(397,ChqRankL,0),0)))</f>
        <v/>
      </c>
      <c r="D413" s="14" t="str">
        <f>IF(IFERROR(MATCH(397,ChqRankL,0),0)=0,"",IF(INDEX(ChqAmt,IFERROR(MATCH(397,ChqRankL,0),0))=0,"",INDEX(ChqAmt,IFERROR(MATCH(397,ChqRankL,0),0))))</f>
        <v/>
      </c>
      <c r="E413" s="7" t="str">
        <f>IF(IFERROR(MATCH(397,ChqRankL,0),0)=0,"",INDEX(ChqStatus,IFERROR(MATCH(397,ChqRankL,0),0)))</f>
        <v/>
      </c>
      <c r="F413" s="13" t="str">
        <f>IF(IFERROR(MATCH(397,ChqRankL,0),0)=0,"",IF(INDEX(ChqStatus,IFERROR(MATCH(397,ChqRankL,0),0))="پاس نشده","—",IF(INDEX(ChqClr,IFERROR(MATCH(397,ChqRankL,0),0))="","—",INDEX(ChqClr,IFERROR(MATCH(397,ChqRankL,0),0)))))</f>
        <v/>
      </c>
      <c r="I413" t="str">
        <f>IF(397&gt;NChq,"",INDEX(ChqNorm,397))</f>
        <v/>
      </c>
      <c r="J413" t="str">
        <f t="shared" si="12"/>
        <v/>
      </c>
      <c r="K413" t="str">
        <f>IF($J413=0,"",INDEX(ChqKey,397))</f>
        <v/>
      </c>
      <c r="L413" t="str">
        <f t="shared" si="13"/>
        <v/>
      </c>
    </row>
    <row r="414" spans="1:12" x14ac:dyDescent="0.2">
      <c r="A414" s="9" t="str">
        <f>IF(IFERROR(MATCH(398,ChqRankL,0),0)=0,"",398)</f>
        <v/>
      </c>
      <c r="B414" s="15" t="str">
        <f>IF(IFERROR(MATCH(398,ChqRankL,0),0)=0,"",INDEX(ChqNorm,IFERROR(MATCH(398,ChqRankL,0),0)))</f>
        <v/>
      </c>
      <c r="C414" s="15" t="str">
        <f>IF(IFERROR(MATCH(398,ChqRankL,0),0)=0,"",INDEX(ChqNo,IFERROR(MATCH(398,ChqRankL,0),0)))</f>
        <v/>
      </c>
      <c r="D414" s="16" t="str">
        <f>IF(IFERROR(MATCH(398,ChqRankL,0),0)=0,"",IF(INDEX(ChqAmt,IFERROR(MATCH(398,ChqRankL,0),0))=0,"",INDEX(ChqAmt,IFERROR(MATCH(398,ChqRankL,0),0))))</f>
        <v/>
      </c>
      <c r="E414" s="10" t="str">
        <f>IF(IFERROR(MATCH(398,ChqRankL,0),0)=0,"",INDEX(ChqStatus,IFERROR(MATCH(398,ChqRankL,0),0)))</f>
        <v/>
      </c>
      <c r="F414" s="15" t="str">
        <f>IF(IFERROR(MATCH(398,ChqRankL,0),0)=0,"",IF(INDEX(ChqStatus,IFERROR(MATCH(398,ChqRankL,0),0))="پاس نشده","—",IF(INDEX(ChqClr,IFERROR(MATCH(398,ChqRankL,0),0))="","—",INDEX(ChqClr,IFERROR(MATCH(398,ChqRankL,0),0)))))</f>
        <v/>
      </c>
      <c r="I414" t="str">
        <f>IF(398&gt;NChq,"",INDEX(ChqNorm,398))</f>
        <v/>
      </c>
      <c r="J414" t="str">
        <f t="shared" si="12"/>
        <v/>
      </c>
      <c r="K414" t="str">
        <f>IF($J414=0,"",INDEX(ChqKey,398))</f>
        <v/>
      </c>
      <c r="L414" t="str">
        <f t="shared" si="13"/>
        <v/>
      </c>
    </row>
    <row r="415" spans="1:12" x14ac:dyDescent="0.2">
      <c r="A415" s="3" t="str">
        <f>IF(IFERROR(MATCH(399,ChqRankL,0),0)=0,"",399)</f>
        <v/>
      </c>
      <c r="B415" s="13" t="str">
        <f>IF(IFERROR(MATCH(399,ChqRankL,0),0)=0,"",INDEX(ChqNorm,IFERROR(MATCH(399,ChqRankL,0),0)))</f>
        <v/>
      </c>
      <c r="C415" s="13" t="str">
        <f>IF(IFERROR(MATCH(399,ChqRankL,0),0)=0,"",INDEX(ChqNo,IFERROR(MATCH(399,ChqRankL,0),0)))</f>
        <v/>
      </c>
      <c r="D415" s="14" t="str">
        <f>IF(IFERROR(MATCH(399,ChqRankL,0),0)=0,"",IF(INDEX(ChqAmt,IFERROR(MATCH(399,ChqRankL,0),0))=0,"",INDEX(ChqAmt,IFERROR(MATCH(399,ChqRankL,0),0))))</f>
        <v/>
      </c>
      <c r="E415" s="7" t="str">
        <f>IF(IFERROR(MATCH(399,ChqRankL,0),0)=0,"",INDEX(ChqStatus,IFERROR(MATCH(399,ChqRankL,0),0)))</f>
        <v/>
      </c>
      <c r="F415" s="13" t="str">
        <f>IF(IFERROR(MATCH(399,ChqRankL,0),0)=0,"",IF(INDEX(ChqStatus,IFERROR(MATCH(399,ChqRankL,0),0))="پاس نشده","—",IF(INDEX(ChqClr,IFERROR(MATCH(399,ChqRankL,0),0))="","—",INDEX(ChqClr,IFERROR(MATCH(399,ChqRankL,0),0)))))</f>
        <v/>
      </c>
      <c r="I415" t="str">
        <f>IF(399&gt;NChq,"",INDEX(ChqNorm,399))</f>
        <v/>
      </c>
      <c r="J415" t="str">
        <f t="shared" si="12"/>
        <v/>
      </c>
      <c r="K415" t="str">
        <f>IF($J415=0,"",INDEX(ChqKey,399))</f>
        <v/>
      </c>
      <c r="L415" t="str">
        <f t="shared" si="13"/>
        <v/>
      </c>
    </row>
    <row r="416" spans="1:12" x14ac:dyDescent="0.2">
      <c r="A416" s="9" t="str">
        <f>IF(IFERROR(MATCH(400,ChqRankL,0),0)=0,"",400)</f>
        <v/>
      </c>
      <c r="B416" s="15" t="str">
        <f>IF(IFERROR(MATCH(400,ChqRankL,0),0)=0,"",INDEX(ChqNorm,IFERROR(MATCH(400,ChqRankL,0),0)))</f>
        <v/>
      </c>
      <c r="C416" s="15" t="str">
        <f>IF(IFERROR(MATCH(400,ChqRankL,0),0)=0,"",INDEX(ChqNo,IFERROR(MATCH(400,ChqRankL,0),0)))</f>
        <v/>
      </c>
      <c r="D416" s="16" t="str">
        <f>IF(IFERROR(MATCH(400,ChqRankL,0),0)=0,"",IF(INDEX(ChqAmt,IFERROR(MATCH(400,ChqRankL,0),0))=0,"",INDEX(ChqAmt,IFERROR(MATCH(400,ChqRankL,0),0))))</f>
        <v/>
      </c>
      <c r="E416" s="10" t="str">
        <f>IF(IFERROR(MATCH(400,ChqRankL,0),0)=0,"",INDEX(ChqStatus,IFERROR(MATCH(400,ChqRankL,0),0)))</f>
        <v/>
      </c>
      <c r="F416" s="15" t="str">
        <f>IF(IFERROR(MATCH(400,ChqRankL,0),0)=0,"",IF(INDEX(ChqStatus,IFERROR(MATCH(400,ChqRankL,0),0))="پاس نشده","—",IF(INDEX(ChqClr,IFERROR(MATCH(400,ChqRankL,0),0))="","—",INDEX(ChqClr,IFERROR(MATCH(400,ChqRankL,0),0)))))</f>
        <v/>
      </c>
      <c r="I416" t="str">
        <f>IF(400&gt;NChq,"",INDEX(ChqNorm,400))</f>
        <v/>
      </c>
      <c r="J416" t="str">
        <f t="shared" si="12"/>
        <v/>
      </c>
      <c r="K416" t="str">
        <f>IF($J416=0,"",INDEX(ChqKey,400))</f>
        <v/>
      </c>
      <c r="L416" t="str">
        <f t="shared" si="13"/>
        <v/>
      </c>
    </row>
    <row r="417" spans="1:12" x14ac:dyDescent="0.2">
      <c r="A417" s="3" t="str">
        <f>IF(IFERROR(MATCH(401,ChqRankL,0),0)=0,"",401)</f>
        <v/>
      </c>
      <c r="B417" s="13" t="str">
        <f>IF(IFERROR(MATCH(401,ChqRankL,0),0)=0,"",INDEX(ChqNorm,IFERROR(MATCH(401,ChqRankL,0),0)))</f>
        <v/>
      </c>
      <c r="C417" s="13" t="str">
        <f>IF(IFERROR(MATCH(401,ChqRankL,0),0)=0,"",INDEX(ChqNo,IFERROR(MATCH(401,ChqRankL,0),0)))</f>
        <v/>
      </c>
      <c r="D417" s="14" t="str">
        <f>IF(IFERROR(MATCH(401,ChqRankL,0),0)=0,"",IF(INDEX(ChqAmt,IFERROR(MATCH(401,ChqRankL,0),0))=0,"",INDEX(ChqAmt,IFERROR(MATCH(401,ChqRankL,0),0))))</f>
        <v/>
      </c>
      <c r="E417" s="7" t="str">
        <f>IF(IFERROR(MATCH(401,ChqRankL,0),0)=0,"",INDEX(ChqStatus,IFERROR(MATCH(401,ChqRankL,0),0)))</f>
        <v/>
      </c>
      <c r="F417" s="13" t="str">
        <f>IF(IFERROR(MATCH(401,ChqRankL,0),0)=0,"",IF(INDEX(ChqStatus,IFERROR(MATCH(401,ChqRankL,0),0))="پاس نشده","—",IF(INDEX(ChqClr,IFERROR(MATCH(401,ChqRankL,0),0))="","—",INDEX(ChqClr,IFERROR(MATCH(401,ChqRankL,0),0)))))</f>
        <v/>
      </c>
      <c r="I417" t="str">
        <f>IF(401&gt;NChq,"",INDEX(ChqNorm,401))</f>
        <v/>
      </c>
      <c r="J417" t="str">
        <f t="shared" si="12"/>
        <v/>
      </c>
      <c r="K417" t="str">
        <f>IF($J417=0,"",INDEX(ChqKey,401))</f>
        <v/>
      </c>
      <c r="L417" t="str">
        <f t="shared" si="13"/>
        <v/>
      </c>
    </row>
    <row r="418" spans="1:12" x14ac:dyDescent="0.2">
      <c r="A418" s="9" t="str">
        <f>IF(IFERROR(MATCH(402,ChqRankL,0),0)=0,"",402)</f>
        <v/>
      </c>
      <c r="B418" s="15" t="str">
        <f>IF(IFERROR(MATCH(402,ChqRankL,0),0)=0,"",INDEX(ChqNorm,IFERROR(MATCH(402,ChqRankL,0),0)))</f>
        <v/>
      </c>
      <c r="C418" s="15" t="str">
        <f>IF(IFERROR(MATCH(402,ChqRankL,0),0)=0,"",INDEX(ChqNo,IFERROR(MATCH(402,ChqRankL,0),0)))</f>
        <v/>
      </c>
      <c r="D418" s="16" t="str">
        <f>IF(IFERROR(MATCH(402,ChqRankL,0),0)=0,"",IF(INDEX(ChqAmt,IFERROR(MATCH(402,ChqRankL,0),0))=0,"",INDEX(ChqAmt,IFERROR(MATCH(402,ChqRankL,0),0))))</f>
        <v/>
      </c>
      <c r="E418" s="10" t="str">
        <f>IF(IFERROR(MATCH(402,ChqRankL,0),0)=0,"",INDEX(ChqStatus,IFERROR(MATCH(402,ChqRankL,0),0)))</f>
        <v/>
      </c>
      <c r="F418" s="15" t="str">
        <f>IF(IFERROR(MATCH(402,ChqRankL,0),0)=0,"",IF(INDEX(ChqStatus,IFERROR(MATCH(402,ChqRankL,0),0))="پاس نشده","—",IF(INDEX(ChqClr,IFERROR(MATCH(402,ChqRankL,0),0))="","—",INDEX(ChqClr,IFERROR(MATCH(402,ChqRankL,0),0)))))</f>
        <v/>
      </c>
      <c r="I418" t="str">
        <f>IF(402&gt;NChq,"",INDEX(ChqNorm,402))</f>
        <v/>
      </c>
      <c r="J418" t="str">
        <f t="shared" si="12"/>
        <v/>
      </c>
      <c r="K418" t="str">
        <f>IF($J418=0,"",INDEX(ChqKey,402))</f>
        <v/>
      </c>
      <c r="L418" t="str">
        <f t="shared" si="13"/>
        <v/>
      </c>
    </row>
    <row r="419" spans="1:12" x14ac:dyDescent="0.2">
      <c r="A419" s="3" t="str">
        <f>IF(IFERROR(MATCH(403,ChqRankL,0),0)=0,"",403)</f>
        <v/>
      </c>
      <c r="B419" s="13" t="str">
        <f>IF(IFERROR(MATCH(403,ChqRankL,0),0)=0,"",INDEX(ChqNorm,IFERROR(MATCH(403,ChqRankL,0),0)))</f>
        <v/>
      </c>
      <c r="C419" s="13" t="str">
        <f>IF(IFERROR(MATCH(403,ChqRankL,0),0)=0,"",INDEX(ChqNo,IFERROR(MATCH(403,ChqRankL,0),0)))</f>
        <v/>
      </c>
      <c r="D419" s="14" t="str">
        <f>IF(IFERROR(MATCH(403,ChqRankL,0),0)=0,"",IF(INDEX(ChqAmt,IFERROR(MATCH(403,ChqRankL,0),0))=0,"",INDEX(ChqAmt,IFERROR(MATCH(403,ChqRankL,0),0))))</f>
        <v/>
      </c>
      <c r="E419" s="7" t="str">
        <f>IF(IFERROR(MATCH(403,ChqRankL,0),0)=0,"",INDEX(ChqStatus,IFERROR(MATCH(403,ChqRankL,0),0)))</f>
        <v/>
      </c>
      <c r="F419" s="13" t="str">
        <f>IF(IFERROR(MATCH(403,ChqRankL,0),0)=0,"",IF(INDEX(ChqStatus,IFERROR(MATCH(403,ChqRankL,0),0))="پاس نشده","—",IF(INDEX(ChqClr,IFERROR(MATCH(403,ChqRankL,0),0))="","—",INDEX(ChqClr,IFERROR(MATCH(403,ChqRankL,0),0)))))</f>
        <v/>
      </c>
      <c r="I419" t="str">
        <f>IF(403&gt;NChq,"",INDEX(ChqNorm,403))</f>
        <v/>
      </c>
      <c r="J419" t="str">
        <f t="shared" si="12"/>
        <v/>
      </c>
      <c r="K419" t="str">
        <f>IF($J419=0,"",INDEX(ChqKey,403))</f>
        <v/>
      </c>
      <c r="L419" t="str">
        <f t="shared" si="13"/>
        <v/>
      </c>
    </row>
    <row r="420" spans="1:12" x14ac:dyDescent="0.2">
      <c r="A420" s="9" t="str">
        <f>IF(IFERROR(MATCH(404,ChqRankL,0),0)=0,"",404)</f>
        <v/>
      </c>
      <c r="B420" s="15" t="str">
        <f>IF(IFERROR(MATCH(404,ChqRankL,0),0)=0,"",INDEX(ChqNorm,IFERROR(MATCH(404,ChqRankL,0),0)))</f>
        <v/>
      </c>
      <c r="C420" s="15" t="str">
        <f>IF(IFERROR(MATCH(404,ChqRankL,0),0)=0,"",INDEX(ChqNo,IFERROR(MATCH(404,ChqRankL,0),0)))</f>
        <v/>
      </c>
      <c r="D420" s="16" t="str">
        <f>IF(IFERROR(MATCH(404,ChqRankL,0),0)=0,"",IF(INDEX(ChqAmt,IFERROR(MATCH(404,ChqRankL,0),0))=0,"",INDEX(ChqAmt,IFERROR(MATCH(404,ChqRankL,0),0))))</f>
        <v/>
      </c>
      <c r="E420" s="10" t="str">
        <f>IF(IFERROR(MATCH(404,ChqRankL,0),0)=0,"",INDEX(ChqStatus,IFERROR(MATCH(404,ChqRankL,0),0)))</f>
        <v/>
      </c>
      <c r="F420" s="15" t="str">
        <f>IF(IFERROR(MATCH(404,ChqRankL,0),0)=0,"",IF(INDEX(ChqStatus,IFERROR(MATCH(404,ChqRankL,0),0))="پاس نشده","—",IF(INDEX(ChqClr,IFERROR(MATCH(404,ChqRankL,0),0))="","—",INDEX(ChqClr,IFERROR(MATCH(404,ChqRankL,0),0)))))</f>
        <v/>
      </c>
      <c r="I420" t="str">
        <f>IF(404&gt;NChq,"",INDEX(ChqNorm,404))</f>
        <v/>
      </c>
      <c r="J420" t="str">
        <f t="shared" si="12"/>
        <v/>
      </c>
      <c r="K420" t="str">
        <f>IF($J420=0,"",INDEX(ChqKey,404))</f>
        <v/>
      </c>
      <c r="L420" t="str">
        <f t="shared" si="13"/>
        <v/>
      </c>
    </row>
    <row r="421" spans="1:12" x14ac:dyDescent="0.2">
      <c r="A421" s="3" t="str">
        <f>IF(IFERROR(MATCH(405,ChqRankL,0),0)=0,"",405)</f>
        <v/>
      </c>
      <c r="B421" s="13" t="str">
        <f>IF(IFERROR(MATCH(405,ChqRankL,0),0)=0,"",INDEX(ChqNorm,IFERROR(MATCH(405,ChqRankL,0),0)))</f>
        <v/>
      </c>
      <c r="C421" s="13" t="str">
        <f>IF(IFERROR(MATCH(405,ChqRankL,0),0)=0,"",INDEX(ChqNo,IFERROR(MATCH(405,ChqRankL,0),0)))</f>
        <v/>
      </c>
      <c r="D421" s="14" t="str">
        <f>IF(IFERROR(MATCH(405,ChqRankL,0),0)=0,"",IF(INDEX(ChqAmt,IFERROR(MATCH(405,ChqRankL,0),0))=0,"",INDEX(ChqAmt,IFERROR(MATCH(405,ChqRankL,0),0))))</f>
        <v/>
      </c>
      <c r="E421" s="7" t="str">
        <f>IF(IFERROR(MATCH(405,ChqRankL,0),0)=0,"",INDEX(ChqStatus,IFERROR(MATCH(405,ChqRankL,0),0)))</f>
        <v/>
      </c>
      <c r="F421" s="13" t="str">
        <f>IF(IFERROR(MATCH(405,ChqRankL,0),0)=0,"",IF(INDEX(ChqStatus,IFERROR(MATCH(405,ChqRankL,0),0))="پاس نشده","—",IF(INDEX(ChqClr,IFERROR(MATCH(405,ChqRankL,0),0))="","—",INDEX(ChqClr,IFERROR(MATCH(405,ChqRankL,0),0)))))</f>
        <v/>
      </c>
      <c r="I421" t="str">
        <f>IF(405&gt;NChq,"",INDEX(ChqNorm,405))</f>
        <v/>
      </c>
      <c r="J421" t="str">
        <f t="shared" si="12"/>
        <v/>
      </c>
      <c r="K421" t="str">
        <f>IF($J421=0,"",INDEX(ChqKey,405))</f>
        <v/>
      </c>
      <c r="L421" t="str">
        <f t="shared" si="13"/>
        <v/>
      </c>
    </row>
    <row r="422" spans="1:12" x14ac:dyDescent="0.2">
      <c r="A422" s="9" t="str">
        <f>IF(IFERROR(MATCH(406,ChqRankL,0),0)=0,"",406)</f>
        <v/>
      </c>
      <c r="B422" s="15" t="str">
        <f>IF(IFERROR(MATCH(406,ChqRankL,0),0)=0,"",INDEX(ChqNorm,IFERROR(MATCH(406,ChqRankL,0),0)))</f>
        <v/>
      </c>
      <c r="C422" s="15" t="str">
        <f>IF(IFERROR(MATCH(406,ChqRankL,0),0)=0,"",INDEX(ChqNo,IFERROR(MATCH(406,ChqRankL,0),0)))</f>
        <v/>
      </c>
      <c r="D422" s="16" t="str">
        <f>IF(IFERROR(MATCH(406,ChqRankL,0),0)=0,"",IF(INDEX(ChqAmt,IFERROR(MATCH(406,ChqRankL,0),0))=0,"",INDEX(ChqAmt,IFERROR(MATCH(406,ChqRankL,0),0))))</f>
        <v/>
      </c>
      <c r="E422" s="10" t="str">
        <f>IF(IFERROR(MATCH(406,ChqRankL,0),0)=0,"",INDEX(ChqStatus,IFERROR(MATCH(406,ChqRankL,0),0)))</f>
        <v/>
      </c>
      <c r="F422" s="15" t="str">
        <f>IF(IFERROR(MATCH(406,ChqRankL,0),0)=0,"",IF(INDEX(ChqStatus,IFERROR(MATCH(406,ChqRankL,0),0))="پاس نشده","—",IF(INDEX(ChqClr,IFERROR(MATCH(406,ChqRankL,0),0))="","—",INDEX(ChqClr,IFERROR(MATCH(406,ChqRankL,0),0)))))</f>
        <v/>
      </c>
      <c r="I422" t="str">
        <f>IF(406&gt;NChq,"",INDEX(ChqNorm,406))</f>
        <v/>
      </c>
      <c r="J422" t="str">
        <f t="shared" si="12"/>
        <v/>
      </c>
      <c r="K422" t="str">
        <f>IF($J422=0,"",INDEX(ChqKey,406))</f>
        <v/>
      </c>
      <c r="L422" t="str">
        <f t="shared" si="13"/>
        <v/>
      </c>
    </row>
    <row r="423" spans="1:12" x14ac:dyDescent="0.2">
      <c r="A423" s="3" t="str">
        <f>IF(IFERROR(MATCH(407,ChqRankL,0),0)=0,"",407)</f>
        <v/>
      </c>
      <c r="B423" s="13" t="str">
        <f>IF(IFERROR(MATCH(407,ChqRankL,0),0)=0,"",INDEX(ChqNorm,IFERROR(MATCH(407,ChqRankL,0),0)))</f>
        <v/>
      </c>
      <c r="C423" s="13" t="str">
        <f>IF(IFERROR(MATCH(407,ChqRankL,0),0)=0,"",INDEX(ChqNo,IFERROR(MATCH(407,ChqRankL,0),0)))</f>
        <v/>
      </c>
      <c r="D423" s="14" t="str">
        <f>IF(IFERROR(MATCH(407,ChqRankL,0),0)=0,"",IF(INDEX(ChqAmt,IFERROR(MATCH(407,ChqRankL,0),0))=0,"",INDEX(ChqAmt,IFERROR(MATCH(407,ChqRankL,0),0))))</f>
        <v/>
      </c>
      <c r="E423" s="7" t="str">
        <f>IF(IFERROR(MATCH(407,ChqRankL,0),0)=0,"",INDEX(ChqStatus,IFERROR(MATCH(407,ChqRankL,0),0)))</f>
        <v/>
      </c>
      <c r="F423" s="13" t="str">
        <f>IF(IFERROR(MATCH(407,ChqRankL,0),0)=0,"",IF(INDEX(ChqStatus,IFERROR(MATCH(407,ChqRankL,0),0))="پاس نشده","—",IF(INDEX(ChqClr,IFERROR(MATCH(407,ChqRankL,0),0))="","—",INDEX(ChqClr,IFERROR(MATCH(407,ChqRankL,0),0)))))</f>
        <v/>
      </c>
      <c r="I423" t="str">
        <f>IF(407&gt;NChq,"",INDEX(ChqNorm,407))</f>
        <v/>
      </c>
      <c r="J423" t="str">
        <f t="shared" si="12"/>
        <v/>
      </c>
      <c r="K423" t="str">
        <f>IF($J423=0,"",INDEX(ChqKey,407))</f>
        <v/>
      </c>
      <c r="L423" t="str">
        <f t="shared" si="13"/>
        <v/>
      </c>
    </row>
    <row r="424" spans="1:12" x14ac:dyDescent="0.2">
      <c r="A424" s="9" t="str">
        <f>IF(IFERROR(MATCH(408,ChqRankL,0),0)=0,"",408)</f>
        <v/>
      </c>
      <c r="B424" s="15" t="str">
        <f>IF(IFERROR(MATCH(408,ChqRankL,0),0)=0,"",INDEX(ChqNorm,IFERROR(MATCH(408,ChqRankL,0),0)))</f>
        <v/>
      </c>
      <c r="C424" s="15" t="str">
        <f>IF(IFERROR(MATCH(408,ChqRankL,0),0)=0,"",INDEX(ChqNo,IFERROR(MATCH(408,ChqRankL,0),0)))</f>
        <v/>
      </c>
      <c r="D424" s="16" t="str">
        <f>IF(IFERROR(MATCH(408,ChqRankL,0),0)=0,"",IF(INDEX(ChqAmt,IFERROR(MATCH(408,ChqRankL,0),0))=0,"",INDEX(ChqAmt,IFERROR(MATCH(408,ChqRankL,0),0))))</f>
        <v/>
      </c>
      <c r="E424" s="10" t="str">
        <f>IF(IFERROR(MATCH(408,ChqRankL,0),0)=0,"",INDEX(ChqStatus,IFERROR(MATCH(408,ChqRankL,0),0)))</f>
        <v/>
      </c>
      <c r="F424" s="15" t="str">
        <f>IF(IFERROR(MATCH(408,ChqRankL,0),0)=0,"",IF(INDEX(ChqStatus,IFERROR(MATCH(408,ChqRankL,0),0))="پاس نشده","—",IF(INDEX(ChqClr,IFERROR(MATCH(408,ChqRankL,0),0))="","—",INDEX(ChqClr,IFERROR(MATCH(408,ChqRankL,0),0)))))</f>
        <v/>
      </c>
      <c r="I424" t="str">
        <f>IF(408&gt;NChq,"",INDEX(ChqNorm,408))</f>
        <v/>
      </c>
      <c r="J424" t="str">
        <f t="shared" si="12"/>
        <v/>
      </c>
      <c r="K424" t="str">
        <f>IF($J424=0,"",INDEX(ChqKey,408))</f>
        <v/>
      </c>
      <c r="L424" t="str">
        <f t="shared" si="13"/>
        <v/>
      </c>
    </row>
    <row r="425" spans="1:12" x14ac:dyDescent="0.2">
      <c r="A425" s="3" t="str">
        <f>IF(IFERROR(MATCH(409,ChqRankL,0),0)=0,"",409)</f>
        <v/>
      </c>
      <c r="B425" s="13" t="str">
        <f>IF(IFERROR(MATCH(409,ChqRankL,0),0)=0,"",INDEX(ChqNorm,IFERROR(MATCH(409,ChqRankL,0),0)))</f>
        <v/>
      </c>
      <c r="C425" s="13" t="str">
        <f>IF(IFERROR(MATCH(409,ChqRankL,0),0)=0,"",INDEX(ChqNo,IFERROR(MATCH(409,ChqRankL,0),0)))</f>
        <v/>
      </c>
      <c r="D425" s="14" t="str">
        <f>IF(IFERROR(MATCH(409,ChqRankL,0),0)=0,"",IF(INDEX(ChqAmt,IFERROR(MATCH(409,ChqRankL,0),0))=0,"",INDEX(ChqAmt,IFERROR(MATCH(409,ChqRankL,0),0))))</f>
        <v/>
      </c>
      <c r="E425" s="7" t="str">
        <f>IF(IFERROR(MATCH(409,ChqRankL,0),0)=0,"",INDEX(ChqStatus,IFERROR(MATCH(409,ChqRankL,0),0)))</f>
        <v/>
      </c>
      <c r="F425" s="13" t="str">
        <f>IF(IFERROR(MATCH(409,ChqRankL,0),0)=0,"",IF(INDEX(ChqStatus,IFERROR(MATCH(409,ChqRankL,0),0))="پاس نشده","—",IF(INDEX(ChqClr,IFERROR(MATCH(409,ChqRankL,0),0))="","—",INDEX(ChqClr,IFERROR(MATCH(409,ChqRankL,0),0)))))</f>
        <v/>
      </c>
      <c r="I425" t="str">
        <f>IF(409&gt;NChq,"",INDEX(ChqNorm,409))</f>
        <v/>
      </c>
      <c r="J425" t="str">
        <f t="shared" si="12"/>
        <v/>
      </c>
      <c r="K425" t="str">
        <f>IF($J425=0,"",INDEX(ChqKey,409))</f>
        <v/>
      </c>
      <c r="L425" t="str">
        <f t="shared" si="13"/>
        <v/>
      </c>
    </row>
    <row r="426" spans="1:12" x14ac:dyDescent="0.2">
      <c r="A426" s="9" t="str">
        <f>IF(IFERROR(MATCH(410,ChqRankL,0),0)=0,"",410)</f>
        <v/>
      </c>
      <c r="B426" s="15" t="str">
        <f>IF(IFERROR(MATCH(410,ChqRankL,0),0)=0,"",INDEX(ChqNorm,IFERROR(MATCH(410,ChqRankL,0),0)))</f>
        <v/>
      </c>
      <c r="C426" s="15" t="str">
        <f>IF(IFERROR(MATCH(410,ChqRankL,0),0)=0,"",INDEX(ChqNo,IFERROR(MATCH(410,ChqRankL,0),0)))</f>
        <v/>
      </c>
      <c r="D426" s="16" t="str">
        <f>IF(IFERROR(MATCH(410,ChqRankL,0),0)=0,"",IF(INDEX(ChqAmt,IFERROR(MATCH(410,ChqRankL,0),0))=0,"",INDEX(ChqAmt,IFERROR(MATCH(410,ChqRankL,0),0))))</f>
        <v/>
      </c>
      <c r="E426" s="10" t="str">
        <f>IF(IFERROR(MATCH(410,ChqRankL,0),0)=0,"",INDEX(ChqStatus,IFERROR(MATCH(410,ChqRankL,0),0)))</f>
        <v/>
      </c>
      <c r="F426" s="15" t="str">
        <f>IF(IFERROR(MATCH(410,ChqRankL,0),0)=0,"",IF(INDEX(ChqStatus,IFERROR(MATCH(410,ChqRankL,0),0))="پاس نشده","—",IF(INDEX(ChqClr,IFERROR(MATCH(410,ChqRankL,0),0))="","—",INDEX(ChqClr,IFERROR(MATCH(410,ChqRankL,0),0)))))</f>
        <v/>
      </c>
      <c r="I426" t="str">
        <f>IF(410&gt;NChq,"",INDEX(ChqNorm,410))</f>
        <v/>
      </c>
      <c r="J426" t="str">
        <f t="shared" si="12"/>
        <v/>
      </c>
      <c r="K426" t="str">
        <f>IF($J426=0,"",INDEX(ChqKey,410))</f>
        <v/>
      </c>
      <c r="L426" t="str">
        <f t="shared" si="13"/>
        <v/>
      </c>
    </row>
    <row r="427" spans="1:12" x14ac:dyDescent="0.2">
      <c r="A427" s="3" t="str">
        <f>IF(IFERROR(MATCH(411,ChqRankL,0),0)=0,"",411)</f>
        <v/>
      </c>
      <c r="B427" s="13" t="str">
        <f>IF(IFERROR(MATCH(411,ChqRankL,0),0)=0,"",INDEX(ChqNorm,IFERROR(MATCH(411,ChqRankL,0),0)))</f>
        <v/>
      </c>
      <c r="C427" s="13" t="str">
        <f>IF(IFERROR(MATCH(411,ChqRankL,0),0)=0,"",INDEX(ChqNo,IFERROR(MATCH(411,ChqRankL,0),0)))</f>
        <v/>
      </c>
      <c r="D427" s="14" t="str">
        <f>IF(IFERROR(MATCH(411,ChqRankL,0),0)=0,"",IF(INDEX(ChqAmt,IFERROR(MATCH(411,ChqRankL,0),0))=0,"",INDEX(ChqAmt,IFERROR(MATCH(411,ChqRankL,0),0))))</f>
        <v/>
      </c>
      <c r="E427" s="7" t="str">
        <f>IF(IFERROR(MATCH(411,ChqRankL,0),0)=0,"",INDEX(ChqStatus,IFERROR(MATCH(411,ChqRankL,0),0)))</f>
        <v/>
      </c>
      <c r="F427" s="13" t="str">
        <f>IF(IFERROR(MATCH(411,ChqRankL,0),0)=0,"",IF(INDEX(ChqStatus,IFERROR(MATCH(411,ChqRankL,0),0))="پاس نشده","—",IF(INDEX(ChqClr,IFERROR(MATCH(411,ChqRankL,0),0))="","—",INDEX(ChqClr,IFERROR(MATCH(411,ChqRankL,0),0)))))</f>
        <v/>
      </c>
      <c r="I427" t="str">
        <f>IF(411&gt;NChq,"",INDEX(ChqNorm,411))</f>
        <v/>
      </c>
      <c r="J427" t="str">
        <f t="shared" si="12"/>
        <v/>
      </c>
      <c r="K427" t="str">
        <f>IF($J427=0,"",INDEX(ChqKey,411))</f>
        <v/>
      </c>
      <c r="L427" t="str">
        <f t="shared" si="13"/>
        <v/>
      </c>
    </row>
    <row r="428" spans="1:12" x14ac:dyDescent="0.2">
      <c r="A428" s="9" t="str">
        <f>IF(IFERROR(MATCH(412,ChqRankL,0),0)=0,"",412)</f>
        <v/>
      </c>
      <c r="B428" s="15" t="str">
        <f>IF(IFERROR(MATCH(412,ChqRankL,0),0)=0,"",INDEX(ChqNorm,IFERROR(MATCH(412,ChqRankL,0),0)))</f>
        <v/>
      </c>
      <c r="C428" s="15" t="str">
        <f>IF(IFERROR(MATCH(412,ChqRankL,0),0)=0,"",INDEX(ChqNo,IFERROR(MATCH(412,ChqRankL,0),0)))</f>
        <v/>
      </c>
      <c r="D428" s="16" t="str">
        <f>IF(IFERROR(MATCH(412,ChqRankL,0),0)=0,"",IF(INDEX(ChqAmt,IFERROR(MATCH(412,ChqRankL,0),0))=0,"",INDEX(ChqAmt,IFERROR(MATCH(412,ChqRankL,0),0))))</f>
        <v/>
      </c>
      <c r="E428" s="10" t="str">
        <f>IF(IFERROR(MATCH(412,ChqRankL,0),0)=0,"",INDEX(ChqStatus,IFERROR(MATCH(412,ChqRankL,0),0)))</f>
        <v/>
      </c>
      <c r="F428" s="15" t="str">
        <f>IF(IFERROR(MATCH(412,ChqRankL,0),0)=0,"",IF(INDEX(ChqStatus,IFERROR(MATCH(412,ChqRankL,0),0))="پاس نشده","—",IF(INDEX(ChqClr,IFERROR(MATCH(412,ChqRankL,0),0))="","—",INDEX(ChqClr,IFERROR(MATCH(412,ChqRankL,0),0)))))</f>
        <v/>
      </c>
      <c r="I428" t="str">
        <f>IF(412&gt;NChq,"",INDEX(ChqNorm,412))</f>
        <v/>
      </c>
      <c r="J428" t="str">
        <f t="shared" si="12"/>
        <v/>
      </c>
      <c r="K428" t="str">
        <f>IF($J428=0,"",INDEX(ChqKey,412))</f>
        <v/>
      </c>
      <c r="L428" t="str">
        <f t="shared" si="13"/>
        <v/>
      </c>
    </row>
    <row r="429" spans="1:12" x14ac:dyDescent="0.2">
      <c r="A429" s="3" t="str">
        <f>IF(IFERROR(MATCH(413,ChqRankL,0),0)=0,"",413)</f>
        <v/>
      </c>
      <c r="B429" s="13" t="str">
        <f>IF(IFERROR(MATCH(413,ChqRankL,0),0)=0,"",INDEX(ChqNorm,IFERROR(MATCH(413,ChqRankL,0),0)))</f>
        <v/>
      </c>
      <c r="C429" s="13" t="str">
        <f>IF(IFERROR(MATCH(413,ChqRankL,0),0)=0,"",INDEX(ChqNo,IFERROR(MATCH(413,ChqRankL,0),0)))</f>
        <v/>
      </c>
      <c r="D429" s="14" t="str">
        <f>IF(IFERROR(MATCH(413,ChqRankL,0),0)=0,"",IF(INDEX(ChqAmt,IFERROR(MATCH(413,ChqRankL,0),0))=0,"",INDEX(ChqAmt,IFERROR(MATCH(413,ChqRankL,0),0))))</f>
        <v/>
      </c>
      <c r="E429" s="7" t="str">
        <f>IF(IFERROR(MATCH(413,ChqRankL,0),0)=0,"",INDEX(ChqStatus,IFERROR(MATCH(413,ChqRankL,0),0)))</f>
        <v/>
      </c>
      <c r="F429" s="13" t="str">
        <f>IF(IFERROR(MATCH(413,ChqRankL,0),0)=0,"",IF(INDEX(ChqStatus,IFERROR(MATCH(413,ChqRankL,0),0))="پاس نشده","—",IF(INDEX(ChqClr,IFERROR(MATCH(413,ChqRankL,0),0))="","—",INDEX(ChqClr,IFERROR(MATCH(413,ChqRankL,0),0)))))</f>
        <v/>
      </c>
      <c r="I429" t="str">
        <f>IF(413&gt;NChq,"",INDEX(ChqNorm,413))</f>
        <v/>
      </c>
      <c r="J429" t="str">
        <f t="shared" si="12"/>
        <v/>
      </c>
      <c r="K429" t="str">
        <f>IF($J429=0,"",INDEX(ChqKey,413))</f>
        <v/>
      </c>
      <c r="L429" t="str">
        <f t="shared" si="13"/>
        <v/>
      </c>
    </row>
    <row r="430" spans="1:12" x14ac:dyDescent="0.2">
      <c r="A430" s="9" t="str">
        <f>IF(IFERROR(MATCH(414,ChqRankL,0),0)=0,"",414)</f>
        <v/>
      </c>
      <c r="B430" s="15" t="str">
        <f>IF(IFERROR(MATCH(414,ChqRankL,0),0)=0,"",INDEX(ChqNorm,IFERROR(MATCH(414,ChqRankL,0),0)))</f>
        <v/>
      </c>
      <c r="C430" s="15" t="str">
        <f>IF(IFERROR(MATCH(414,ChqRankL,0),0)=0,"",INDEX(ChqNo,IFERROR(MATCH(414,ChqRankL,0),0)))</f>
        <v/>
      </c>
      <c r="D430" s="16" t="str">
        <f>IF(IFERROR(MATCH(414,ChqRankL,0),0)=0,"",IF(INDEX(ChqAmt,IFERROR(MATCH(414,ChqRankL,0),0))=0,"",INDEX(ChqAmt,IFERROR(MATCH(414,ChqRankL,0),0))))</f>
        <v/>
      </c>
      <c r="E430" s="10" t="str">
        <f>IF(IFERROR(MATCH(414,ChqRankL,0),0)=0,"",INDEX(ChqStatus,IFERROR(MATCH(414,ChqRankL,0),0)))</f>
        <v/>
      </c>
      <c r="F430" s="15" t="str">
        <f>IF(IFERROR(MATCH(414,ChqRankL,0),0)=0,"",IF(INDEX(ChqStatus,IFERROR(MATCH(414,ChqRankL,0),0))="پاس نشده","—",IF(INDEX(ChqClr,IFERROR(MATCH(414,ChqRankL,0),0))="","—",INDEX(ChqClr,IFERROR(MATCH(414,ChqRankL,0),0)))))</f>
        <v/>
      </c>
      <c r="I430" t="str">
        <f>IF(414&gt;NChq,"",INDEX(ChqNorm,414))</f>
        <v/>
      </c>
      <c r="J430" t="str">
        <f t="shared" si="12"/>
        <v/>
      </c>
      <c r="K430" t="str">
        <f>IF($J430=0,"",INDEX(ChqKey,414))</f>
        <v/>
      </c>
      <c r="L430" t="str">
        <f t="shared" si="13"/>
        <v/>
      </c>
    </row>
    <row r="431" spans="1:12" x14ac:dyDescent="0.2">
      <c r="A431" s="3" t="str">
        <f>IF(IFERROR(MATCH(415,ChqRankL,0),0)=0,"",415)</f>
        <v/>
      </c>
      <c r="B431" s="13" t="str">
        <f>IF(IFERROR(MATCH(415,ChqRankL,0),0)=0,"",INDEX(ChqNorm,IFERROR(MATCH(415,ChqRankL,0),0)))</f>
        <v/>
      </c>
      <c r="C431" s="13" t="str">
        <f>IF(IFERROR(MATCH(415,ChqRankL,0),0)=0,"",INDEX(ChqNo,IFERROR(MATCH(415,ChqRankL,0),0)))</f>
        <v/>
      </c>
      <c r="D431" s="14" t="str">
        <f>IF(IFERROR(MATCH(415,ChqRankL,0),0)=0,"",IF(INDEX(ChqAmt,IFERROR(MATCH(415,ChqRankL,0),0))=0,"",INDEX(ChqAmt,IFERROR(MATCH(415,ChqRankL,0),0))))</f>
        <v/>
      </c>
      <c r="E431" s="7" t="str">
        <f>IF(IFERROR(MATCH(415,ChqRankL,0),0)=0,"",INDEX(ChqStatus,IFERROR(MATCH(415,ChqRankL,0),0)))</f>
        <v/>
      </c>
      <c r="F431" s="13" t="str">
        <f>IF(IFERROR(MATCH(415,ChqRankL,0),0)=0,"",IF(INDEX(ChqStatus,IFERROR(MATCH(415,ChqRankL,0),0))="پاس نشده","—",IF(INDEX(ChqClr,IFERROR(MATCH(415,ChqRankL,0),0))="","—",INDEX(ChqClr,IFERROR(MATCH(415,ChqRankL,0),0)))))</f>
        <v/>
      </c>
      <c r="I431" t="str">
        <f>IF(415&gt;NChq,"",INDEX(ChqNorm,415))</f>
        <v/>
      </c>
      <c r="J431" t="str">
        <f t="shared" si="12"/>
        <v/>
      </c>
      <c r="K431" t="str">
        <f>IF($J431=0,"",INDEX(ChqKey,415))</f>
        <v/>
      </c>
      <c r="L431" t="str">
        <f t="shared" si="13"/>
        <v/>
      </c>
    </row>
    <row r="432" spans="1:12" x14ac:dyDescent="0.2">
      <c r="A432" s="9" t="str">
        <f>IF(IFERROR(MATCH(416,ChqRankL,0),0)=0,"",416)</f>
        <v/>
      </c>
      <c r="B432" s="15" t="str">
        <f>IF(IFERROR(MATCH(416,ChqRankL,0),0)=0,"",INDEX(ChqNorm,IFERROR(MATCH(416,ChqRankL,0),0)))</f>
        <v/>
      </c>
      <c r="C432" s="15" t="str">
        <f>IF(IFERROR(MATCH(416,ChqRankL,0),0)=0,"",INDEX(ChqNo,IFERROR(MATCH(416,ChqRankL,0),0)))</f>
        <v/>
      </c>
      <c r="D432" s="16" t="str">
        <f>IF(IFERROR(MATCH(416,ChqRankL,0),0)=0,"",IF(INDEX(ChqAmt,IFERROR(MATCH(416,ChqRankL,0),0))=0,"",INDEX(ChqAmt,IFERROR(MATCH(416,ChqRankL,0),0))))</f>
        <v/>
      </c>
      <c r="E432" s="10" t="str">
        <f>IF(IFERROR(MATCH(416,ChqRankL,0),0)=0,"",INDEX(ChqStatus,IFERROR(MATCH(416,ChqRankL,0),0)))</f>
        <v/>
      </c>
      <c r="F432" s="15" t="str">
        <f>IF(IFERROR(MATCH(416,ChqRankL,0),0)=0,"",IF(INDEX(ChqStatus,IFERROR(MATCH(416,ChqRankL,0),0))="پاس نشده","—",IF(INDEX(ChqClr,IFERROR(MATCH(416,ChqRankL,0),0))="","—",INDEX(ChqClr,IFERROR(MATCH(416,ChqRankL,0),0)))))</f>
        <v/>
      </c>
      <c r="I432" t="str">
        <f>IF(416&gt;NChq,"",INDEX(ChqNorm,416))</f>
        <v/>
      </c>
      <c r="J432" t="str">
        <f t="shared" si="12"/>
        <v/>
      </c>
      <c r="K432" t="str">
        <f>IF($J432=0,"",INDEX(ChqKey,416))</f>
        <v/>
      </c>
      <c r="L432" t="str">
        <f t="shared" si="13"/>
        <v/>
      </c>
    </row>
    <row r="433" spans="1:12" x14ac:dyDescent="0.2">
      <c r="A433" s="3" t="str">
        <f>IF(IFERROR(MATCH(417,ChqRankL,0),0)=0,"",417)</f>
        <v/>
      </c>
      <c r="B433" s="13" t="str">
        <f>IF(IFERROR(MATCH(417,ChqRankL,0),0)=0,"",INDEX(ChqNorm,IFERROR(MATCH(417,ChqRankL,0),0)))</f>
        <v/>
      </c>
      <c r="C433" s="13" t="str">
        <f>IF(IFERROR(MATCH(417,ChqRankL,0),0)=0,"",INDEX(ChqNo,IFERROR(MATCH(417,ChqRankL,0),0)))</f>
        <v/>
      </c>
      <c r="D433" s="14" t="str">
        <f>IF(IFERROR(MATCH(417,ChqRankL,0),0)=0,"",IF(INDEX(ChqAmt,IFERROR(MATCH(417,ChqRankL,0),0))=0,"",INDEX(ChqAmt,IFERROR(MATCH(417,ChqRankL,0),0))))</f>
        <v/>
      </c>
      <c r="E433" s="7" t="str">
        <f>IF(IFERROR(MATCH(417,ChqRankL,0),0)=0,"",INDEX(ChqStatus,IFERROR(MATCH(417,ChqRankL,0),0)))</f>
        <v/>
      </c>
      <c r="F433" s="13" t="str">
        <f>IF(IFERROR(MATCH(417,ChqRankL,0),0)=0,"",IF(INDEX(ChqStatus,IFERROR(MATCH(417,ChqRankL,0),0))="پاس نشده","—",IF(INDEX(ChqClr,IFERROR(MATCH(417,ChqRankL,0),0))="","—",INDEX(ChqClr,IFERROR(MATCH(417,ChqRankL,0),0)))))</f>
        <v/>
      </c>
      <c r="I433" t="str">
        <f>IF(417&gt;NChq,"",INDEX(ChqNorm,417))</f>
        <v/>
      </c>
      <c r="J433" t="str">
        <f t="shared" si="12"/>
        <v/>
      </c>
      <c r="K433" t="str">
        <f>IF($J433=0,"",INDEX(ChqKey,417))</f>
        <v/>
      </c>
      <c r="L433" t="str">
        <f t="shared" si="13"/>
        <v/>
      </c>
    </row>
    <row r="434" spans="1:12" x14ac:dyDescent="0.2">
      <c r="A434" s="9" t="str">
        <f>IF(IFERROR(MATCH(418,ChqRankL,0),0)=0,"",418)</f>
        <v/>
      </c>
      <c r="B434" s="15" t="str">
        <f>IF(IFERROR(MATCH(418,ChqRankL,0),0)=0,"",INDEX(ChqNorm,IFERROR(MATCH(418,ChqRankL,0),0)))</f>
        <v/>
      </c>
      <c r="C434" s="15" t="str">
        <f>IF(IFERROR(MATCH(418,ChqRankL,0),0)=0,"",INDEX(ChqNo,IFERROR(MATCH(418,ChqRankL,0),0)))</f>
        <v/>
      </c>
      <c r="D434" s="16" t="str">
        <f>IF(IFERROR(MATCH(418,ChqRankL,0),0)=0,"",IF(INDEX(ChqAmt,IFERROR(MATCH(418,ChqRankL,0),0))=0,"",INDEX(ChqAmt,IFERROR(MATCH(418,ChqRankL,0),0))))</f>
        <v/>
      </c>
      <c r="E434" s="10" t="str">
        <f>IF(IFERROR(MATCH(418,ChqRankL,0),0)=0,"",INDEX(ChqStatus,IFERROR(MATCH(418,ChqRankL,0),0)))</f>
        <v/>
      </c>
      <c r="F434" s="15" t="str">
        <f>IF(IFERROR(MATCH(418,ChqRankL,0),0)=0,"",IF(INDEX(ChqStatus,IFERROR(MATCH(418,ChqRankL,0),0))="پاس نشده","—",IF(INDEX(ChqClr,IFERROR(MATCH(418,ChqRankL,0),0))="","—",INDEX(ChqClr,IFERROR(MATCH(418,ChqRankL,0),0)))))</f>
        <v/>
      </c>
      <c r="I434" t="str">
        <f>IF(418&gt;NChq,"",INDEX(ChqNorm,418))</f>
        <v/>
      </c>
      <c r="J434" t="str">
        <f t="shared" si="12"/>
        <v/>
      </c>
      <c r="K434" t="str">
        <f>IF($J434=0,"",INDEX(ChqKey,418))</f>
        <v/>
      </c>
      <c r="L434" t="str">
        <f t="shared" si="13"/>
        <v/>
      </c>
    </row>
    <row r="435" spans="1:12" x14ac:dyDescent="0.2">
      <c r="A435" s="3" t="str">
        <f>IF(IFERROR(MATCH(419,ChqRankL,0),0)=0,"",419)</f>
        <v/>
      </c>
      <c r="B435" s="13" t="str">
        <f>IF(IFERROR(MATCH(419,ChqRankL,0),0)=0,"",INDEX(ChqNorm,IFERROR(MATCH(419,ChqRankL,0),0)))</f>
        <v/>
      </c>
      <c r="C435" s="13" t="str">
        <f>IF(IFERROR(MATCH(419,ChqRankL,0),0)=0,"",INDEX(ChqNo,IFERROR(MATCH(419,ChqRankL,0),0)))</f>
        <v/>
      </c>
      <c r="D435" s="14" t="str">
        <f>IF(IFERROR(MATCH(419,ChqRankL,0),0)=0,"",IF(INDEX(ChqAmt,IFERROR(MATCH(419,ChqRankL,0),0))=0,"",INDEX(ChqAmt,IFERROR(MATCH(419,ChqRankL,0),0))))</f>
        <v/>
      </c>
      <c r="E435" s="7" t="str">
        <f>IF(IFERROR(MATCH(419,ChqRankL,0),0)=0,"",INDEX(ChqStatus,IFERROR(MATCH(419,ChqRankL,0),0)))</f>
        <v/>
      </c>
      <c r="F435" s="13" t="str">
        <f>IF(IFERROR(MATCH(419,ChqRankL,0),0)=0,"",IF(INDEX(ChqStatus,IFERROR(MATCH(419,ChqRankL,0),0))="پاس نشده","—",IF(INDEX(ChqClr,IFERROR(MATCH(419,ChqRankL,0),0))="","—",INDEX(ChqClr,IFERROR(MATCH(419,ChqRankL,0),0)))))</f>
        <v/>
      </c>
      <c r="I435" t="str">
        <f>IF(419&gt;NChq,"",INDEX(ChqNorm,419))</f>
        <v/>
      </c>
      <c r="J435" t="str">
        <f t="shared" si="12"/>
        <v/>
      </c>
      <c r="K435" t="str">
        <f>IF($J435=0,"",INDEX(ChqKey,419))</f>
        <v/>
      </c>
      <c r="L435" t="str">
        <f t="shared" si="13"/>
        <v/>
      </c>
    </row>
    <row r="436" spans="1:12" x14ac:dyDescent="0.2">
      <c r="A436" s="9" t="str">
        <f>IF(IFERROR(MATCH(420,ChqRankL,0),0)=0,"",420)</f>
        <v/>
      </c>
      <c r="B436" s="15" t="str">
        <f>IF(IFERROR(MATCH(420,ChqRankL,0),0)=0,"",INDEX(ChqNorm,IFERROR(MATCH(420,ChqRankL,0),0)))</f>
        <v/>
      </c>
      <c r="C436" s="15" t="str">
        <f>IF(IFERROR(MATCH(420,ChqRankL,0),0)=0,"",INDEX(ChqNo,IFERROR(MATCH(420,ChqRankL,0),0)))</f>
        <v/>
      </c>
      <c r="D436" s="16" t="str">
        <f>IF(IFERROR(MATCH(420,ChqRankL,0),0)=0,"",IF(INDEX(ChqAmt,IFERROR(MATCH(420,ChqRankL,0),0))=0,"",INDEX(ChqAmt,IFERROR(MATCH(420,ChqRankL,0),0))))</f>
        <v/>
      </c>
      <c r="E436" s="10" t="str">
        <f>IF(IFERROR(MATCH(420,ChqRankL,0),0)=0,"",INDEX(ChqStatus,IFERROR(MATCH(420,ChqRankL,0),0)))</f>
        <v/>
      </c>
      <c r="F436" s="15" t="str">
        <f>IF(IFERROR(MATCH(420,ChqRankL,0),0)=0,"",IF(INDEX(ChqStatus,IFERROR(MATCH(420,ChqRankL,0),0))="پاس نشده","—",IF(INDEX(ChqClr,IFERROR(MATCH(420,ChqRankL,0),0))="","—",INDEX(ChqClr,IFERROR(MATCH(420,ChqRankL,0),0)))))</f>
        <v/>
      </c>
      <c r="I436" t="str">
        <f>IF(420&gt;NChq,"",INDEX(ChqNorm,420))</f>
        <v/>
      </c>
      <c r="J436" t="str">
        <f t="shared" si="12"/>
        <v/>
      </c>
      <c r="K436" t="str">
        <f>IF($J436=0,"",INDEX(ChqKey,420))</f>
        <v/>
      </c>
      <c r="L436" t="str">
        <f t="shared" si="13"/>
        <v/>
      </c>
    </row>
    <row r="437" spans="1:12" x14ac:dyDescent="0.2">
      <c r="A437" s="3" t="str">
        <f>IF(IFERROR(MATCH(421,ChqRankL,0),0)=0,"",421)</f>
        <v/>
      </c>
      <c r="B437" s="13" t="str">
        <f>IF(IFERROR(MATCH(421,ChqRankL,0),0)=0,"",INDEX(ChqNorm,IFERROR(MATCH(421,ChqRankL,0),0)))</f>
        <v/>
      </c>
      <c r="C437" s="13" t="str">
        <f>IF(IFERROR(MATCH(421,ChqRankL,0),0)=0,"",INDEX(ChqNo,IFERROR(MATCH(421,ChqRankL,0),0)))</f>
        <v/>
      </c>
      <c r="D437" s="14" t="str">
        <f>IF(IFERROR(MATCH(421,ChqRankL,0),0)=0,"",IF(INDEX(ChqAmt,IFERROR(MATCH(421,ChqRankL,0),0))=0,"",INDEX(ChqAmt,IFERROR(MATCH(421,ChqRankL,0),0))))</f>
        <v/>
      </c>
      <c r="E437" s="7" t="str">
        <f>IF(IFERROR(MATCH(421,ChqRankL,0),0)=0,"",INDEX(ChqStatus,IFERROR(MATCH(421,ChqRankL,0),0)))</f>
        <v/>
      </c>
      <c r="F437" s="13" t="str">
        <f>IF(IFERROR(MATCH(421,ChqRankL,0),0)=0,"",IF(INDEX(ChqStatus,IFERROR(MATCH(421,ChqRankL,0),0))="پاس نشده","—",IF(INDEX(ChqClr,IFERROR(MATCH(421,ChqRankL,0),0))="","—",INDEX(ChqClr,IFERROR(MATCH(421,ChqRankL,0),0)))))</f>
        <v/>
      </c>
      <c r="I437" t="str">
        <f>IF(421&gt;NChq,"",INDEX(ChqNorm,421))</f>
        <v/>
      </c>
      <c r="J437" t="str">
        <f t="shared" si="12"/>
        <v/>
      </c>
      <c r="K437" t="str">
        <f>IF($J437=0,"",INDEX(ChqKey,421))</f>
        <v/>
      </c>
      <c r="L437" t="str">
        <f t="shared" si="13"/>
        <v/>
      </c>
    </row>
    <row r="438" spans="1:12" x14ac:dyDescent="0.2">
      <c r="A438" s="9" t="str">
        <f>IF(IFERROR(MATCH(422,ChqRankL,0),0)=0,"",422)</f>
        <v/>
      </c>
      <c r="B438" s="15" t="str">
        <f>IF(IFERROR(MATCH(422,ChqRankL,0),0)=0,"",INDEX(ChqNorm,IFERROR(MATCH(422,ChqRankL,0),0)))</f>
        <v/>
      </c>
      <c r="C438" s="15" t="str">
        <f>IF(IFERROR(MATCH(422,ChqRankL,0),0)=0,"",INDEX(ChqNo,IFERROR(MATCH(422,ChqRankL,0),0)))</f>
        <v/>
      </c>
      <c r="D438" s="16" t="str">
        <f>IF(IFERROR(MATCH(422,ChqRankL,0),0)=0,"",IF(INDEX(ChqAmt,IFERROR(MATCH(422,ChqRankL,0),0))=0,"",INDEX(ChqAmt,IFERROR(MATCH(422,ChqRankL,0),0))))</f>
        <v/>
      </c>
      <c r="E438" s="10" t="str">
        <f>IF(IFERROR(MATCH(422,ChqRankL,0),0)=0,"",INDEX(ChqStatus,IFERROR(MATCH(422,ChqRankL,0),0)))</f>
        <v/>
      </c>
      <c r="F438" s="15" t="str">
        <f>IF(IFERROR(MATCH(422,ChqRankL,0),0)=0,"",IF(INDEX(ChqStatus,IFERROR(MATCH(422,ChqRankL,0),0))="پاس نشده","—",IF(INDEX(ChqClr,IFERROR(MATCH(422,ChqRankL,0),0))="","—",INDEX(ChqClr,IFERROR(MATCH(422,ChqRankL,0),0)))))</f>
        <v/>
      </c>
      <c r="I438" t="str">
        <f>IF(422&gt;NChq,"",INDEX(ChqNorm,422))</f>
        <v/>
      </c>
      <c r="J438" t="str">
        <f t="shared" si="12"/>
        <v/>
      </c>
      <c r="K438" t="str">
        <f>IF($J438=0,"",INDEX(ChqKey,422))</f>
        <v/>
      </c>
      <c r="L438" t="str">
        <f t="shared" si="13"/>
        <v/>
      </c>
    </row>
    <row r="439" spans="1:12" x14ac:dyDescent="0.2">
      <c r="A439" s="3" t="str">
        <f>IF(IFERROR(MATCH(423,ChqRankL,0),0)=0,"",423)</f>
        <v/>
      </c>
      <c r="B439" s="13" t="str">
        <f>IF(IFERROR(MATCH(423,ChqRankL,0),0)=0,"",INDEX(ChqNorm,IFERROR(MATCH(423,ChqRankL,0),0)))</f>
        <v/>
      </c>
      <c r="C439" s="13" t="str">
        <f>IF(IFERROR(MATCH(423,ChqRankL,0),0)=0,"",INDEX(ChqNo,IFERROR(MATCH(423,ChqRankL,0),0)))</f>
        <v/>
      </c>
      <c r="D439" s="14" t="str">
        <f>IF(IFERROR(MATCH(423,ChqRankL,0),0)=0,"",IF(INDEX(ChqAmt,IFERROR(MATCH(423,ChqRankL,0),0))=0,"",INDEX(ChqAmt,IFERROR(MATCH(423,ChqRankL,0),0))))</f>
        <v/>
      </c>
      <c r="E439" s="7" t="str">
        <f>IF(IFERROR(MATCH(423,ChqRankL,0),0)=0,"",INDEX(ChqStatus,IFERROR(MATCH(423,ChqRankL,0),0)))</f>
        <v/>
      </c>
      <c r="F439" s="13" t="str">
        <f>IF(IFERROR(MATCH(423,ChqRankL,0),0)=0,"",IF(INDEX(ChqStatus,IFERROR(MATCH(423,ChqRankL,0),0))="پاس نشده","—",IF(INDEX(ChqClr,IFERROR(MATCH(423,ChqRankL,0),0))="","—",INDEX(ChqClr,IFERROR(MATCH(423,ChqRankL,0),0)))))</f>
        <v/>
      </c>
      <c r="I439" t="str">
        <f>IF(423&gt;NChq,"",INDEX(ChqNorm,423))</f>
        <v/>
      </c>
      <c r="J439" t="str">
        <f t="shared" si="12"/>
        <v/>
      </c>
      <c r="K439" t="str">
        <f>IF($J439=0,"",INDEX(ChqKey,423))</f>
        <v/>
      </c>
      <c r="L439" t="str">
        <f t="shared" si="13"/>
        <v/>
      </c>
    </row>
    <row r="440" spans="1:12" x14ac:dyDescent="0.2">
      <c r="A440" s="9" t="str">
        <f>IF(IFERROR(MATCH(424,ChqRankL,0),0)=0,"",424)</f>
        <v/>
      </c>
      <c r="B440" s="15" t="str">
        <f>IF(IFERROR(MATCH(424,ChqRankL,0),0)=0,"",INDEX(ChqNorm,IFERROR(MATCH(424,ChqRankL,0),0)))</f>
        <v/>
      </c>
      <c r="C440" s="15" t="str">
        <f>IF(IFERROR(MATCH(424,ChqRankL,0),0)=0,"",INDEX(ChqNo,IFERROR(MATCH(424,ChqRankL,0),0)))</f>
        <v/>
      </c>
      <c r="D440" s="16" t="str">
        <f>IF(IFERROR(MATCH(424,ChqRankL,0),0)=0,"",IF(INDEX(ChqAmt,IFERROR(MATCH(424,ChqRankL,0),0))=0,"",INDEX(ChqAmt,IFERROR(MATCH(424,ChqRankL,0),0))))</f>
        <v/>
      </c>
      <c r="E440" s="10" t="str">
        <f>IF(IFERROR(MATCH(424,ChqRankL,0),0)=0,"",INDEX(ChqStatus,IFERROR(MATCH(424,ChqRankL,0),0)))</f>
        <v/>
      </c>
      <c r="F440" s="15" t="str">
        <f>IF(IFERROR(MATCH(424,ChqRankL,0),0)=0,"",IF(INDEX(ChqStatus,IFERROR(MATCH(424,ChqRankL,0),0))="پاس نشده","—",IF(INDEX(ChqClr,IFERROR(MATCH(424,ChqRankL,0),0))="","—",INDEX(ChqClr,IFERROR(MATCH(424,ChqRankL,0),0)))))</f>
        <v/>
      </c>
      <c r="I440" t="str">
        <f>IF(424&gt;NChq,"",INDEX(ChqNorm,424))</f>
        <v/>
      </c>
      <c r="J440" t="str">
        <f t="shared" si="12"/>
        <v/>
      </c>
      <c r="K440" t="str">
        <f>IF($J440=0,"",INDEX(ChqKey,424))</f>
        <v/>
      </c>
      <c r="L440" t="str">
        <f t="shared" si="13"/>
        <v/>
      </c>
    </row>
    <row r="441" spans="1:12" x14ac:dyDescent="0.2">
      <c r="A441" s="3" t="str">
        <f>IF(IFERROR(MATCH(425,ChqRankL,0),0)=0,"",425)</f>
        <v/>
      </c>
      <c r="B441" s="13" t="str">
        <f>IF(IFERROR(MATCH(425,ChqRankL,0),0)=0,"",INDEX(ChqNorm,IFERROR(MATCH(425,ChqRankL,0),0)))</f>
        <v/>
      </c>
      <c r="C441" s="13" t="str">
        <f>IF(IFERROR(MATCH(425,ChqRankL,0),0)=0,"",INDEX(ChqNo,IFERROR(MATCH(425,ChqRankL,0),0)))</f>
        <v/>
      </c>
      <c r="D441" s="14" t="str">
        <f>IF(IFERROR(MATCH(425,ChqRankL,0),0)=0,"",IF(INDEX(ChqAmt,IFERROR(MATCH(425,ChqRankL,0),0))=0,"",INDEX(ChqAmt,IFERROR(MATCH(425,ChqRankL,0),0))))</f>
        <v/>
      </c>
      <c r="E441" s="7" t="str">
        <f>IF(IFERROR(MATCH(425,ChqRankL,0),0)=0,"",INDEX(ChqStatus,IFERROR(MATCH(425,ChqRankL,0),0)))</f>
        <v/>
      </c>
      <c r="F441" s="13" t="str">
        <f>IF(IFERROR(MATCH(425,ChqRankL,0),0)=0,"",IF(INDEX(ChqStatus,IFERROR(MATCH(425,ChqRankL,0),0))="پاس نشده","—",IF(INDEX(ChqClr,IFERROR(MATCH(425,ChqRankL,0),0))="","—",INDEX(ChqClr,IFERROR(MATCH(425,ChqRankL,0),0)))))</f>
        <v/>
      </c>
      <c r="I441" t="str">
        <f>IF(425&gt;NChq,"",INDEX(ChqNorm,425))</f>
        <v/>
      </c>
      <c r="J441" t="str">
        <f t="shared" si="12"/>
        <v/>
      </c>
      <c r="K441" t="str">
        <f>IF($J441=0,"",INDEX(ChqKey,425))</f>
        <v/>
      </c>
      <c r="L441" t="str">
        <f t="shared" si="13"/>
        <v/>
      </c>
    </row>
    <row r="442" spans="1:12" x14ac:dyDescent="0.2">
      <c r="A442" s="9" t="str">
        <f>IF(IFERROR(MATCH(426,ChqRankL,0),0)=0,"",426)</f>
        <v/>
      </c>
      <c r="B442" s="15" t="str">
        <f>IF(IFERROR(MATCH(426,ChqRankL,0),0)=0,"",INDEX(ChqNorm,IFERROR(MATCH(426,ChqRankL,0),0)))</f>
        <v/>
      </c>
      <c r="C442" s="15" t="str">
        <f>IF(IFERROR(MATCH(426,ChqRankL,0),0)=0,"",INDEX(ChqNo,IFERROR(MATCH(426,ChqRankL,0),0)))</f>
        <v/>
      </c>
      <c r="D442" s="16" t="str">
        <f>IF(IFERROR(MATCH(426,ChqRankL,0),0)=0,"",IF(INDEX(ChqAmt,IFERROR(MATCH(426,ChqRankL,0),0))=0,"",INDEX(ChqAmt,IFERROR(MATCH(426,ChqRankL,0),0))))</f>
        <v/>
      </c>
      <c r="E442" s="10" t="str">
        <f>IF(IFERROR(MATCH(426,ChqRankL,0),0)=0,"",INDEX(ChqStatus,IFERROR(MATCH(426,ChqRankL,0),0)))</f>
        <v/>
      </c>
      <c r="F442" s="15" t="str">
        <f>IF(IFERROR(MATCH(426,ChqRankL,0),0)=0,"",IF(INDEX(ChqStatus,IFERROR(MATCH(426,ChqRankL,0),0))="پاس نشده","—",IF(INDEX(ChqClr,IFERROR(MATCH(426,ChqRankL,0),0))="","—",INDEX(ChqClr,IFERROR(MATCH(426,ChqRankL,0),0)))))</f>
        <v/>
      </c>
      <c r="I442" t="str">
        <f>IF(426&gt;NChq,"",INDEX(ChqNorm,426))</f>
        <v/>
      </c>
      <c r="J442" t="str">
        <f t="shared" si="12"/>
        <v/>
      </c>
      <c r="K442" t="str">
        <f>IF($J442=0,"",INDEX(ChqKey,426))</f>
        <v/>
      </c>
      <c r="L442" t="str">
        <f t="shared" si="13"/>
        <v/>
      </c>
    </row>
    <row r="443" spans="1:12" x14ac:dyDescent="0.2">
      <c r="A443" s="3" t="str">
        <f>IF(IFERROR(MATCH(427,ChqRankL,0),0)=0,"",427)</f>
        <v/>
      </c>
      <c r="B443" s="13" t="str">
        <f>IF(IFERROR(MATCH(427,ChqRankL,0),0)=0,"",INDEX(ChqNorm,IFERROR(MATCH(427,ChqRankL,0),0)))</f>
        <v/>
      </c>
      <c r="C443" s="13" t="str">
        <f>IF(IFERROR(MATCH(427,ChqRankL,0),0)=0,"",INDEX(ChqNo,IFERROR(MATCH(427,ChqRankL,0),0)))</f>
        <v/>
      </c>
      <c r="D443" s="14" t="str">
        <f>IF(IFERROR(MATCH(427,ChqRankL,0),0)=0,"",IF(INDEX(ChqAmt,IFERROR(MATCH(427,ChqRankL,0),0))=0,"",INDEX(ChqAmt,IFERROR(MATCH(427,ChqRankL,0),0))))</f>
        <v/>
      </c>
      <c r="E443" s="7" t="str">
        <f>IF(IFERROR(MATCH(427,ChqRankL,0),0)=0,"",INDEX(ChqStatus,IFERROR(MATCH(427,ChqRankL,0),0)))</f>
        <v/>
      </c>
      <c r="F443" s="13" t="str">
        <f>IF(IFERROR(MATCH(427,ChqRankL,0),0)=0,"",IF(INDEX(ChqStatus,IFERROR(MATCH(427,ChqRankL,0),0))="پاس نشده","—",IF(INDEX(ChqClr,IFERROR(MATCH(427,ChqRankL,0),0))="","—",INDEX(ChqClr,IFERROR(MATCH(427,ChqRankL,0),0)))))</f>
        <v/>
      </c>
      <c r="I443" t="str">
        <f>IF(427&gt;NChq,"",INDEX(ChqNorm,427))</f>
        <v/>
      </c>
      <c r="J443" t="str">
        <f t="shared" si="12"/>
        <v/>
      </c>
      <c r="K443" t="str">
        <f>IF($J443=0,"",INDEX(ChqKey,427))</f>
        <v/>
      </c>
      <c r="L443" t="str">
        <f t="shared" si="13"/>
        <v/>
      </c>
    </row>
    <row r="444" spans="1:12" x14ac:dyDescent="0.2">
      <c r="A444" s="9" t="str">
        <f>IF(IFERROR(MATCH(428,ChqRankL,0),0)=0,"",428)</f>
        <v/>
      </c>
      <c r="B444" s="15" t="str">
        <f>IF(IFERROR(MATCH(428,ChqRankL,0),0)=0,"",INDEX(ChqNorm,IFERROR(MATCH(428,ChqRankL,0),0)))</f>
        <v/>
      </c>
      <c r="C444" s="15" t="str">
        <f>IF(IFERROR(MATCH(428,ChqRankL,0),0)=0,"",INDEX(ChqNo,IFERROR(MATCH(428,ChqRankL,0),0)))</f>
        <v/>
      </c>
      <c r="D444" s="16" t="str">
        <f>IF(IFERROR(MATCH(428,ChqRankL,0),0)=0,"",IF(INDEX(ChqAmt,IFERROR(MATCH(428,ChqRankL,0),0))=0,"",INDEX(ChqAmt,IFERROR(MATCH(428,ChqRankL,0),0))))</f>
        <v/>
      </c>
      <c r="E444" s="10" t="str">
        <f>IF(IFERROR(MATCH(428,ChqRankL,0),0)=0,"",INDEX(ChqStatus,IFERROR(MATCH(428,ChqRankL,0),0)))</f>
        <v/>
      </c>
      <c r="F444" s="15" t="str">
        <f>IF(IFERROR(MATCH(428,ChqRankL,0),0)=0,"",IF(INDEX(ChqStatus,IFERROR(MATCH(428,ChqRankL,0),0))="پاس نشده","—",IF(INDEX(ChqClr,IFERROR(MATCH(428,ChqRankL,0),0))="","—",INDEX(ChqClr,IFERROR(MATCH(428,ChqRankL,0),0)))))</f>
        <v/>
      </c>
      <c r="I444" t="str">
        <f>IF(428&gt;NChq,"",INDEX(ChqNorm,428))</f>
        <v/>
      </c>
      <c r="J444" t="str">
        <f t="shared" si="12"/>
        <v/>
      </c>
      <c r="K444" t="str">
        <f>IF($J444=0,"",INDEX(ChqKey,428))</f>
        <v/>
      </c>
      <c r="L444" t="str">
        <f t="shared" si="13"/>
        <v/>
      </c>
    </row>
    <row r="445" spans="1:12" x14ac:dyDescent="0.2">
      <c r="A445" s="3" t="str">
        <f>IF(IFERROR(MATCH(429,ChqRankL,0),0)=0,"",429)</f>
        <v/>
      </c>
      <c r="B445" s="13" t="str">
        <f>IF(IFERROR(MATCH(429,ChqRankL,0),0)=0,"",INDEX(ChqNorm,IFERROR(MATCH(429,ChqRankL,0),0)))</f>
        <v/>
      </c>
      <c r="C445" s="13" t="str">
        <f>IF(IFERROR(MATCH(429,ChqRankL,0),0)=0,"",INDEX(ChqNo,IFERROR(MATCH(429,ChqRankL,0),0)))</f>
        <v/>
      </c>
      <c r="D445" s="14" t="str">
        <f>IF(IFERROR(MATCH(429,ChqRankL,0),0)=0,"",IF(INDEX(ChqAmt,IFERROR(MATCH(429,ChqRankL,0),0))=0,"",INDEX(ChqAmt,IFERROR(MATCH(429,ChqRankL,0),0))))</f>
        <v/>
      </c>
      <c r="E445" s="7" t="str">
        <f>IF(IFERROR(MATCH(429,ChqRankL,0),0)=0,"",INDEX(ChqStatus,IFERROR(MATCH(429,ChqRankL,0),0)))</f>
        <v/>
      </c>
      <c r="F445" s="13" t="str">
        <f>IF(IFERROR(MATCH(429,ChqRankL,0),0)=0,"",IF(INDEX(ChqStatus,IFERROR(MATCH(429,ChqRankL,0),0))="پاس نشده","—",IF(INDEX(ChqClr,IFERROR(MATCH(429,ChqRankL,0),0))="","—",INDEX(ChqClr,IFERROR(MATCH(429,ChqRankL,0),0)))))</f>
        <v/>
      </c>
      <c r="I445" t="str">
        <f>IF(429&gt;NChq,"",INDEX(ChqNorm,429))</f>
        <v/>
      </c>
      <c r="J445" t="str">
        <f t="shared" si="12"/>
        <v/>
      </c>
      <c r="K445" t="str">
        <f>IF($J445=0,"",INDEX(ChqKey,429))</f>
        <v/>
      </c>
      <c r="L445" t="str">
        <f t="shared" si="13"/>
        <v/>
      </c>
    </row>
    <row r="446" spans="1:12" x14ac:dyDescent="0.2">
      <c r="A446" s="9" t="str">
        <f>IF(IFERROR(MATCH(430,ChqRankL,0),0)=0,"",430)</f>
        <v/>
      </c>
      <c r="B446" s="15" t="str">
        <f>IF(IFERROR(MATCH(430,ChqRankL,0),0)=0,"",INDEX(ChqNorm,IFERROR(MATCH(430,ChqRankL,0),0)))</f>
        <v/>
      </c>
      <c r="C446" s="15" t="str">
        <f>IF(IFERROR(MATCH(430,ChqRankL,0),0)=0,"",INDEX(ChqNo,IFERROR(MATCH(430,ChqRankL,0),0)))</f>
        <v/>
      </c>
      <c r="D446" s="16" t="str">
        <f>IF(IFERROR(MATCH(430,ChqRankL,0),0)=0,"",IF(INDEX(ChqAmt,IFERROR(MATCH(430,ChqRankL,0),0))=0,"",INDEX(ChqAmt,IFERROR(MATCH(430,ChqRankL,0),0))))</f>
        <v/>
      </c>
      <c r="E446" s="10" t="str">
        <f>IF(IFERROR(MATCH(430,ChqRankL,0),0)=0,"",INDEX(ChqStatus,IFERROR(MATCH(430,ChqRankL,0),0)))</f>
        <v/>
      </c>
      <c r="F446" s="15" t="str">
        <f>IF(IFERROR(MATCH(430,ChqRankL,0),0)=0,"",IF(INDEX(ChqStatus,IFERROR(MATCH(430,ChqRankL,0),0))="پاس نشده","—",IF(INDEX(ChqClr,IFERROR(MATCH(430,ChqRankL,0),0))="","—",INDEX(ChqClr,IFERROR(MATCH(430,ChqRankL,0),0)))))</f>
        <v/>
      </c>
      <c r="I446" t="str">
        <f>IF(430&gt;NChq,"",INDEX(ChqNorm,430))</f>
        <v/>
      </c>
      <c r="J446" t="str">
        <f t="shared" si="12"/>
        <v/>
      </c>
      <c r="K446" t="str">
        <f>IF($J446=0,"",INDEX(ChqKey,430))</f>
        <v/>
      </c>
      <c r="L446" t="str">
        <f t="shared" si="13"/>
        <v/>
      </c>
    </row>
    <row r="447" spans="1:12" x14ac:dyDescent="0.2">
      <c r="A447" s="3" t="str">
        <f>IF(IFERROR(MATCH(431,ChqRankL,0),0)=0,"",431)</f>
        <v/>
      </c>
      <c r="B447" s="13" t="str">
        <f>IF(IFERROR(MATCH(431,ChqRankL,0),0)=0,"",INDEX(ChqNorm,IFERROR(MATCH(431,ChqRankL,0),0)))</f>
        <v/>
      </c>
      <c r="C447" s="13" t="str">
        <f>IF(IFERROR(MATCH(431,ChqRankL,0),0)=0,"",INDEX(ChqNo,IFERROR(MATCH(431,ChqRankL,0),0)))</f>
        <v/>
      </c>
      <c r="D447" s="14" t="str">
        <f>IF(IFERROR(MATCH(431,ChqRankL,0),0)=0,"",IF(INDEX(ChqAmt,IFERROR(MATCH(431,ChqRankL,0),0))=0,"",INDEX(ChqAmt,IFERROR(MATCH(431,ChqRankL,0),0))))</f>
        <v/>
      </c>
      <c r="E447" s="7" t="str">
        <f>IF(IFERROR(MATCH(431,ChqRankL,0),0)=0,"",INDEX(ChqStatus,IFERROR(MATCH(431,ChqRankL,0),0)))</f>
        <v/>
      </c>
      <c r="F447" s="13" t="str">
        <f>IF(IFERROR(MATCH(431,ChqRankL,0),0)=0,"",IF(INDEX(ChqStatus,IFERROR(MATCH(431,ChqRankL,0),0))="پاس نشده","—",IF(INDEX(ChqClr,IFERROR(MATCH(431,ChqRankL,0),0))="","—",INDEX(ChqClr,IFERROR(MATCH(431,ChqRankL,0),0)))))</f>
        <v/>
      </c>
      <c r="I447" t="str">
        <f>IF(431&gt;NChq,"",INDEX(ChqNorm,431))</f>
        <v/>
      </c>
      <c r="J447" t="str">
        <f t="shared" si="12"/>
        <v/>
      </c>
      <c r="K447" t="str">
        <f>IF($J447=0,"",INDEX(ChqKey,431))</f>
        <v/>
      </c>
      <c r="L447" t="str">
        <f t="shared" si="13"/>
        <v/>
      </c>
    </row>
    <row r="448" spans="1:12" x14ac:dyDescent="0.2">
      <c r="A448" s="9" t="str">
        <f>IF(IFERROR(MATCH(432,ChqRankL,0),0)=0,"",432)</f>
        <v/>
      </c>
      <c r="B448" s="15" t="str">
        <f>IF(IFERROR(MATCH(432,ChqRankL,0),0)=0,"",INDEX(ChqNorm,IFERROR(MATCH(432,ChqRankL,0),0)))</f>
        <v/>
      </c>
      <c r="C448" s="15" t="str">
        <f>IF(IFERROR(MATCH(432,ChqRankL,0),0)=0,"",INDEX(ChqNo,IFERROR(MATCH(432,ChqRankL,0),0)))</f>
        <v/>
      </c>
      <c r="D448" s="16" t="str">
        <f>IF(IFERROR(MATCH(432,ChqRankL,0),0)=0,"",IF(INDEX(ChqAmt,IFERROR(MATCH(432,ChqRankL,0),0))=0,"",INDEX(ChqAmt,IFERROR(MATCH(432,ChqRankL,0),0))))</f>
        <v/>
      </c>
      <c r="E448" s="10" t="str">
        <f>IF(IFERROR(MATCH(432,ChqRankL,0),0)=0,"",INDEX(ChqStatus,IFERROR(MATCH(432,ChqRankL,0),0)))</f>
        <v/>
      </c>
      <c r="F448" s="15" t="str">
        <f>IF(IFERROR(MATCH(432,ChqRankL,0),0)=0,"",IF(INDEX(ChqStatus,IFERROR(MATCH(432,ChqRankL,0),0))="پاس نشده","—",IF(INDEX(ChqClr,IFERROR(MATCH(432,ChqRankL,0),0))="","—",INDEX(ChqClr,IFERROR(MATCH(432,ChqRankL,0),0)))))</f>
        <v/>
      </c>
      <c r="I448" t="str">
        <f>IF(432&gt;NChq,"",INDEX(ChqNorm,432))</f>
        <v/>
      </c>
      <c r="J448" t="str">
        <f t="shared" si="12"/>
        <v/>
      </c>
      <c r="K448" t="str">
        <f>IF($J448=0,"",INDEX(ChqKey,432))</f>
        <v/>
      </c>
      <c r="L448" t="str">
        <f t="shared" si="13"/>
        <v/>
      </c>
    </row>
    <row r="449" spans="1:12" x14ac:dyDescent="0.2">
      <c r="A449" s="3" t="str">
        <f>IF(IFERROR(MATCH(433,ChqRankL,0),0)=0,"",433)</f>
        <v/>
      </c>
      <c r="B449" s="13" t="str">
        <f>IF(IFERROR(MATCH(433,ChqRankL,0),0)=0,"",INDEX(ChqNorm,IFERROR(MATCH(433,ChqRankL,0),0)))</f>
        <v/>
      </c>
      <c r="C449" s="13" t="str">
        <f>IF(IFERROR(MATCH(433,ChqRankL,0),0)=0,"",INDEX(ChqNo,IFERROR(MATCH(433,ChqRankL,0),0)))</f>
        <v/>
      </c>
      <c r="D449" s="14" t="str">
        <f>IF(IFERROR(MATCH(433,ChqRankL,0),0)=0,"",IF(INDEX(ChqAmt,IFERROR(MATCH(433,ChqRankL,0),0))=0,"",INDEX(ChqAmt,IFERROR(MATCH(433,ChqRankL,0),0))))</f>
        <v/>
      </c>
      <c r="E449" s="7" t="str">
        <f>IF(IFERROR(MATCH(433,ChqRankL,0),0)=0,"",INDEX(ChqStatus,IFERROR(MATCH(433,ChqRankL,0),0)))</f>
        <v/>
      </c>
      <c r="F449" s="13" t="str">
        <f>IF(IFERROR(MATCH(433,ChqRankL,0),0)=0,"",IF(INDEX(ChqStatus,IFERROR(MATCH(433,ChqRankL,0),0))="پاس نشده","—",IF(INDEX(ChqClr,IFERROR(MATCH(433,ChqRankL,0),0))="","—",INDEX(ChqClr,IFERROR(MATCH(433,ChqRankL,0),0)))))</f>
        <v/>
      </c>
      <c r="I449" t="str">
        <f>IF(433&gt;NChq,"",INDEX(ChqNorm,433))</f>
        <v/>
      </c>
      <c r="J449" t="str">
        <f t="shared" si="12"/>
        <v/>
      </c>
      <c r="K449" t="str">
        <f>IF($J449=0,"",INDEX(ChqKey,433))</f>
        <v/>
      </c>
      <c r="L449" t="str">
        <f t="shared" si="13"/>
        <v/>
      </c>
    </row>
    <row r="450" spans="1:12" x14ac:dyDescent="0.2">
      <c r="A450" s="9" t="str">
        <f>IF(IFERROR(MATCH(434,ChqRankL,0),0)=0,"",434)</f>
        <v/>
      </c>
      <c r="B450" s="15" t="str">
        <f>IF(IFERROR(MATCH(434,ChqRankL,0),0)=0,"",INDEX(ChqNorm,IFERROR(MATCH(434,ChqRankL,0),0)))</f>
        <v/>
      </c>
      <c r="C450" s="15" t="str">
        <f>IF(IFERROR(MATCH(434,ChqRankL,0),0)=0,"",INDEX(ChqNo,IFERROR(MATCH(434,ChqRankL,0),0)))</f>
        <v/>
      </c>
      <c r="D450" s="16" t="str">
        <f>IF(IFERROR(MATCH(434,ChqRankL,0),0)=0,"",IF(INDEX(ChqAmt,IFERROR(MATCH(434,ChqRankL,0),0))=0,"",INDEX(ChqAmt,IFERROR(MATCH(434,ChqRankL,0),0))))</f>
        <v/>
      </c>
      <c r="E450" s="10" t="str">
        <f>IF(IFERROR(MATCH(434,ChqRankL,0),0)=0,"",INDEX(ChqStatus,IFERROR(MATCH(434,ChqRankL,0),0)))</f>
        <v/>
      </c>
      <c r="F450" s="15" t="str">
        <f>IF(IFERROR(MATCH(434,ChqRankL,0),0)=0,"",IF(INDEX(ChqStatus,IFERROR(MATCH(434,ChqRankL,0),0))="پاس نشده","—",IF(INDEX(ChqClr,IFERROR(MATCH(434,ChqRankL,0),0))="","—",INDEX(ChqClr,IFERROR(MATCH(434,ChqRankL,0),0)))))</f>
        <v/>
      </c>
      <c r="I450" t="str">
        <f>IF(434&gt;NChq,"",INDEX(ChqNorm,434))</f>
        <v/>
      </c>
      <c r="J450" t="str">
        <f t="shared" si="12"/>
        <v/>
      </c>
      <c r="K450" t="str">
        <f>IF($J450=0,"",INDEX(ChqKey,434))</f>
        <v/>
      </c>
      <c r="L450" t="str">
        <f t="shared" si="13"/>
        <v/>
      </c>
    </row>
    <row r="451" spans="1:12" x14ac:dyDescent="0.2">
      <c r="A451" s="3" t="str">
        <f>IF(IFERROR(MATCH(435,ChqRankL,0),0)=0,"",435)</f>
        <v/>
      </c>
      <c r="B451" s="13" t="str">
        <f>IF(IFERROR(MATCH(435,ChqRankL,0),0)=0,"",INDEX(ChqNorm,IFERROR(MATCH(435,ChqRankL,0),0)))</f>
        <v/>
      </c>
      <c r="C451" s="13" t="str">
        <f>IF(IFERROR(MATCH(435,ChqRankL,0),0)=0,"",INDEX(ChqNo,IFERROR(MATCH(435,ChqRankL,0),0)))</f>
        <v/>
      </c>
      <c r="D451" s="14" t="str">
        <f>IF(IFERROR(MATCH(435,ChqRankL,0),0)=0,"",IF(INDEX(ChqAmt,IFERROR(MATCH(435,ChqRankL,0),0))=0,"",INDEX(ChqAmt,IFERROR(MATCH(435,ChqRankL,0),0))))</f>
        <v/>
      </c>
      <c r="E451" s="7" t="str">
        <f>IF(IFERROR(MATCH(435,ChqRankL,0),0)=0,"",INDEX(ChqStatus,IFERROR(MATCH(435,ChqRankL,0),0)))</f>
        <v/>
      </c>
      <c r="F451" s="13" t="str">
        <f>IF(IFERROR(MATCH(435,ChqRankL,0),0)=0,"",IF(INDEX(ChqStatus,IFERROR(MATCH(435,ChqRankL,0),0))="پاس نشده","—",IF(INDEX(ChqClr,IFERROR(MATCH(435,ChqRankL,0),0))="","—",INDEX(ChqClr,IFERROR(MATCH(435,ChqRankL,0),0)))))</f>
        <v/>
      </c>
      <c r="I451" t="str">
        <f>IF(435&gt;NChq,"",INDEX(ChqNorm,435))</f>
        <v/>
      </c>
      <c r="J451" t="str">
        <f t="shared" si="12"/>
        <v/>
      </c>
      <c r="K451" t="str">
        <f>IF($J451=0,"",INDEX(ChqKey,435))</f>
        <v/>
      </c>
      <c r="L451" t="str">
        <f t="shared" si="13"/>
        <v/>
      </c>
    </row>
    <row r="452" spans="1:12" x14ac:dyDescent="0.2">
      <c r="A452" s="9" t="str">
        <f>IF(IFERROR(MATCH(436,ChqRankL,0),0)=0,"",436)</f>
        <v/>
      </c>
      <c r="B452" s="15" t="str">
        <f>IF(IFERROR(MATCH(436,ChqRankL,0),0)=0,"",INDEX(ChqNorm,IFERROR(MATCH(436,ChqRankL,0),0)))</f>
        <v/>
      </c>
      <c r="C452" s="15" t="str">
        <f>IF(IFERROR(MATCH(436,ChqRankL,0),0)=0,"",INDEX(ChqNo,IFERROR(MATCH(436,ChqRankL,0),0)))</f>
        <v/>
      </c>
      <c r="D452" s="16" t="str">
        <f>IF(IFERROR(MATCH(436,ChqRankL,0),0)=0,"",IF(INDEX(ChqAmt,IFERROR(MATCH(436,ChqRankL,0),0))=0,"",INDEX(ChqAmt,IFERROR(MATCH(436,ChqRankL,0),0))))</f>
        <v/>
      </c>
      <c r="E452" s="10" t="str">
        <f>IF(IFERROR(MATCH(436,ChqRankL,0),0)=0,"",INDEX(ChqStatus,IFERROR(MATCH(436,ChqRankL,0),0)))</f>
        <v/>
      </c>
      <c r="F452" s="15" t="str">
        <f>IF(IFERROR(MATCH(436,ChqRankL,0),0)=0,"",IF(INDEX(ChqStatus,IFERROR(MATCH(436,ChqRankL,0),0))="پاس نشده","—",IF(INDEX(ChqClr,IFERROR(MATCH(436,ChqRankL,0),0))="","—",INDEX(ChqClr,IFERROR(MATCH(436,ChqRankL,0),0)))))</f>
        <v/>
      </c>
      <c r="I452" t="str">
        <f>IF(436&gt;NChq,"",INDEX(ChqNorm,436))</f>
        <v/>
      </c>
      <c r="J452" t="str">
        <f t="shared" si="12"/>
        <v/>
      </c>
      <c r="K452" t="str">
        <f>IF($J452=0,"",INDEX(ChqKey,436))</f>
        <v/>
      </c>
      <c r="L452" t="str">
        <f t="shared" si="13"/>
        <v/>
      </c>
    </row>
    <row r="453" spans="1:12" x14ac:dyDescent="0.2">
      <c r="A453" s="3" t="str">
        <f>IF(IFERROR(MATCH(437,ChqRankL,0),0)=0,"",437)</f>
        <v/>
      </c>
      <c r="B453" s="13" t="str">
        <f>IF(IFERROR(MATCH(437,ChqRankL,0),0)=0,"",INDEX(ChqNorm,IFERROR(MATCH(437,ChqRankL,0),0)))</f>
        <v/>
      </c>
      <c r="C453" s="13" t="str">
        <f>IF(IFERROR(MATCH(437,ChqRankL,0),0)=0,"",INDEX(ChqNo,IFERROR(MATCH(437,ChqRankL,0),0)))</f>
        <v/>
      </c>
      <c r="D453" s="14" t="str">
        <f>IF(IFERROR(MATCH(437,ChqRankL,0),0)=0,"",IF(INDEX(ChqAmt,IFERROR(MATCH(437,ChqRankL,0),0))=0,"",INDEX(ChqAmt,IFERROR(MATCH(437,ChqRankL,0),0))))</f>
        <v/>
      </c>
      <c r="E453" s="7" t="str">
        <f>IF(IFERROR(MATCH(437,ChqRankL,0),0)=0,"",INDEX(ChqStatus,IFERROR(MATCH(437,ChqRankL,0),0)))</f>
        <v/>
      </c>
      <c r="F453" s="13" t="str">
        <f>IF(IFERROR(MATCH(437,ChqRankL,0),0)=0,"",IF(INDEX(ChqStatus,IFERROR(MATCH(437,ChqRankL,0),0))="پاس نشده","—",IF(INDEX(ChqClr,IFERROR(MATCH(437,ChqRankL,0),0))="","—",INDEX(ChqClr,IFERROR(MATCH(437,ChqRankL,0),0)))))</f>
        <v/>
      </c>
      <c r="I453" t="str">
        <f>IF(437&gt;NChq,"",INDEX(ChqNorm,437))</f>
        <v/>
      </c>
      <c r="J453" t="str">
        <f t="shared" si="12"/>
        <v/>
      </c>
      <c r="K453" t="str">
        <f>IF($J453=0,"",INDEX(ChqKey,437))</f>
        <v/>
      </c>
      <c r="L453" t="str">
        <f t="shared" si="13"/>
        <v/>
      </c>
    </row>
    <row r="454" spans="1:12" x14ac:dyDescent="0.2">
      <c r="A454" s="9" t="str">
        <f>IF(IFERROR(MATCH(438,ChqRankL,0),0)=0,"",438)</f>
        <v/>
      </c>
      <c r="B454" s="15" t="str">
        <f>IF(IFERROR(MATCH(438,ChqRankL,0),0)=0,"",INDEX(ChqNorm,IFERROR(MATCH(438,ChqRankL,0),0)))</f>
        <v/>
      </c>
      <c r="C454" s="15" t="str">
        <f>IF(IFERROR(MATCH(438,ChqRankL,0),0)=0,"",INDEX(ChqNo,IFERROR(MATCH(438,ChqRankL,0),0)))</f>
        <v/>
      </c>
      <c r="D454" s="16" t="str">
        <f>IF(IFERROR(MATCH(438,ChqRankL,0),0)=0,"",IF(INDEX(ChqAmt,IFERROR(MATCH(438,ChqRankL,0),0))=0,"",INDEX(ChqAmt,IFERROR(MATCH(438,ChqRankL,0),0))))</f>
        <v/>
      </c>
      <c r="E454" s="10" t="str">
        <f>IF(IFERROR(MATCH(438,ChqRankL,0),0)=0,"",INDEX(ChqStatus,IFERROR(MATCH(438,ChqRankL,0),0)))</f>
        <v/>
      </c>
      <c r="F454" s="15" t="str">
        <f>IF(IFERROR(MATCH(438,ChqRankL,0),0)=0,"",IF(INDEX(ChqStatus,IFERROR(MATCH(438,ChqRankL,0),0))="پاس نشده","—",IF(INDEX(ChqClr,IFERROR(MATCH(438,ChqRankL,0),0))="","—",INDEX(ChqClr,IFERROR(MATCH(438,ChqRankL,0),0)))))</f>
        <v/>
      </c>
      <c r="I454" t="str">
        <f>IF(438&gt;NChq,"",INDEX(ChqNorm,438))</f>
        <v/>
      </c>
      <c r="J454" t="str">
        <f t="shared" si="12"/>
        <v/>
      </c>
      <c r="K454" t="str">
        <f>IF($J454=0,"",INDEX(ChqKey,438))</f>
        <v/>
      </c>
      <c r="L454" t="str">
        <f t="shared" si="13"/>
        <v/>
      </c>
    </row>
    <row r="455" spans="1:12" x14ac:dyDescent="0.2">
      <c r="A455" s="3" t="str">
        <f>IF(IFERROR(MATCH(439,ChqRankL,0),0)=0,"",439)</f>
        <v/>
      </c>
      <c r="B455" s="13" t="str">
        <f>IF(IFERROR(MATCH(439,ChqRankL,0),0)=0,"",INDEX(ChqNorm,IFERROR(MATCH(439,ChqRankL,0),0)))</f>
        <v/>
      </c>
      <c r="C455" s="13" t="str">
        <f>IF(IFERROR(MATCH(439,ChqRankL,0),0)=0,"",INDEX(ChqNo,IFERROR(MATCH(439,ChqRankL,0),0)))</f>
        <v/>
      </c>
      <c r="D455" s="14" t="str">
        <f>IF(IFERROR(MATCH(439,ChqRankL,0),0)=0,"",IF(INDEX(ChqAmt,IFERROR(MATCH(439,ChqRankL,0),0))=0,"",INDEX(ChqAmt,IFERROR(MATCH(439,ChqRankL,0),0))))</f>
        <v/>
      </c>
      <c r="E455" s="7" t="str">
        <f>IF(IFERROR(MATCH(439,ChqRankL,0),0)=0,"",INDEX(ChqStatus,IFERROR(MATCH(439,ChqRankL,0),0)))</f>
        <v/>
      </c>
      <c r="F455" s="13" t="str">
        <f>IF(IFERROR(MATCH(439,ChqRankL,0),0)=0,"",IF(INDEX(ChqStatus,IFERROR(MATCH(439,ChqRankL,0),0))="پاس نشده","—",IF(INDEX(ChqClr,IFERROR(MATCH(439,ChqRankL,0),0))="","—",INDEX(ChqClr,IFERROR(MATCH(439,ChqRankL,0),0)))))</f>
        <v/>
      </c>
      <c r="I455" t="str">
        <f>IF(439&gt;NChq,"",INDEX(ChqNorm,439))</f>
        <v/>
      </c>
      <c r="J455" t="str">
        <f t="shared" si="12"/>
        <v/>
      </c>
      <c r="K455" t="str">
        <f>IF($J455=0,"",INDEX(ChqKey,439))</f>
        <v/>
      </c>
      <c r="L455" t="str">
        <f t="shared" si="13"/>
        <v/>
      </c>
    </row>
    <row r="456" spans="1:12" x14ac:dyDescent="0.2">
      <c r="A456" s="9" t="str">
        <f>IF(IFERROR(MATCH(440,ChqRankL,0),0)=0,"",440)</f>
        <v/>
      </c>
      <c r="B456" s="15" t="str">
        <f>IF(IFERROR(MATCH(440,ChqRankL,0),0)=0,"",INDEX(ChqNorm,IFERROR(MATCH(440,ChqRankL,0),0)))</f>
        <v/>
      </c>
      <c r="C456" s="15" t="str">
        <f>IF(IFERROR(MATCH(440,ChqRankL,0),0)=0,"",INDEX(ChqNo,IFERROR(MATCH(440,ChqRankL,0),0)))</f>
        <v/>
      </c>
      <c r="D456" s="16" t="str">
        <f>IF(IFERROR(MATCH(440,ChqRankL,0),0)=0,"",IF(INDEX(ChqAmt,IFERROR(MATCH(440,ChqRankL,0),0))=0,"",INDEX(ChqAmt,IFERROR(MATCH(440,ChqRankL,0),0))))</f>
        <v/>
      </c>
      <c r="E456" s="10" t="str">
        <f>IF(IFERROR(MATCH(440,ChqRankL,0),0)=0,"",INDEX(ChqStatus,IFERROR(MATCH(440,ChqRankL,0),0)))</f>
        <v/>
      </c>
      <c r="F456" s="15" t="str">
        <f>IF(IFERROR(MATCH(440,ChqRankL,0),0)=0,"",IF(INDEX(ChqStatus,IFERROR(MATCH(440,ChqRankL,0),0))="پاس نشده","—",IF(INDEX(ChqClr,IFERROR(MATCH(440,ChqRankL,0),0))="","—",INDEX(ChqClr,IFERROR(MATCH(440,ChqRankL,0),0)))))</f>
        <v/>
      </c>
      <c r="I456" t="str">
        <f>IF(440&gt;NChq,"",INDEX(ChqNorm,440))</f>
        <v/>
      </c>
      <c r="J456" t="str">
        <f t="shared" si="12"/>
        <v/>
      </c>
      <c r="K456" t="str">
        <f>IF($J456=0,"",INDEX(ChqKey,440))</f>
        <v/>
      </c>
      <c r="L456" t="str">
        <f t="shared" si="13"/>
        <v/>
      </c>
    </row>
    <row r="457" spans="1:12" x14ac:dyDescent="0.2">
      <c r="A457" s="3" t="str">
        <f>IF(IFERROR(MATCH(441,ChqRankL,0),0)=0,"",441)</f>
        <v/>
      </c>
      <c r="B457" s="13" t="str">
        <f>IF(IFERROR(MATCH(441,ChqRankL,0),0)=0,"",INDEX(ChqNorm,IFERROR(MATCH(441,ChqRankL,0),0)))</f>
        <v/>
      </c>
      <c r="C457" s="13" t="str">
        <f>IF(IFERROR(MATCH(441,ChqRankL,0),0)=0,"",INDEX(ChqNo,IFERROR(MATCH(441,ChqRankL,0),0)))</f>
        <v/>
      </c>
      <c r="D457" s="14" t="str">
        <f>IF(IFERROR(MATCH(441,ChqRankL,0),0)=0,"",IF(INDEX(ChqAmt,IFERROR(MATCH(441,ChqRankL,0),0))=0,"",INDEX(ChqAmt,IFERROR(MATCH(441,ChqRankL,0),0))))</f>
        <v/>
      </c>
      <c r="E457" s="7" t="str">
        <f>IF(IFERROR(MATCH(441,ChqRankL,0),0)=0,"",INDEX(ChqStatus,IFERROR(MATCH(441,ChqRankL,0),0)))</f>
        <v/>
      </c>
      <c r="F457" s="13" t="str">
        <f>IF(IFERROR(MATCH(441,ChqRankL,0),0)=0,"",IF(INDEX(ChqStatus,IFERROR(MATCH(441,ChqRankL,0),0))="پاس نشده","—",IF(INDEX(ChqClr,IFERROR(MATCH(441,ChqRankL,0),0))="","—",INDEX(ChqClr,IFERROR(MATCH(441,ChqRankL,0),0)))))</f>
        <v/>
      </c>
      <c r="I457" t="str">
        <f>IF(441&gt;NChq,"",INDEX(ChqNorm,441))</f>
        <v/>
      </c>
      <c r="J457" t="str">
        <f t="shared" si="12"/>
        <v/>
      </c>
      <c r="K457" t="str">
        <f>IF($J457=0,"",INDEX(ChqKey,441))</f>
        <v/>
      </c>
      <c r="L457" t="str">
        <f t="shared" si="13"/>
        <v/>
      </c>
    </row>
    <row r="458" spans="1:12" x14ac:dyDescent="0.2">
      <c r="A458" s="9" t="str">
        <f>IF(IFERROR(MATCH(442,ChqRankL,0),0)=0,"",442)</f>
        <v/>
      </c>
      <c r="B458" s="15" t="str">
        <f>IF(IFERROR(MATCH(442,ChqRankL,0),0)=0,"",INDEX(ChqNorm,IFERROR(MATCH(442,ChqRankL,0),0)))</f>
        <v/>
      </c>
      <c r="C458" s="15" t="str">
        <f>IF(IFERROR(MATCH(442,ChqRankL,0),0)=0,"",INDEX(ChqNo,IFERROR(MATCH(442,ChqRankL,0),0)))</f>
        <v/>
      </c>
      <c r="D458" s="16" t="str">
        <f>IF(IFERROR(MATCH(442,ChqRankL,0),0)=0,"",IF(INDEX(ChqAmt,IFERROR(MATCH(442,ChqRankL,0),0))=0,"",INDEX(ChqAmt,IFERROR(MATCH(442,ChqRankL,0),0))))</f>
        <v/>
      </c>
      <c r="E458" s="10" t="str">
        <f>IF(IFERROR(MATCH(442,ChqRankL,0),0)=0,"",INDEX(ChqStatus,IFERROR(MATCH(442,ChqRankL,0),0)))</f>
        <v/>
      </c>
      <c r="F458" s="15" t="str">
        <f>IF(IFERROR(MATCH(442,ChqRankL,0),0)=0,"",IF(INDEX(ChqStatus,IFERROR(MATCH(442,ChqRankL,0),0))="پاس نشده","—",IF(INDEX(ChqClr,IFERROR(MATCH(442,ChqRankL,0),0))="","—",INDEX(ChqClr,IFERROR(MATCH(442,ChqRankL,0),0)))))</f>
        <v/>
      </c>
      <c r="I458" t="str">
        <f>IF(442&gt;NChq,"",INDEX(ChqNorm,442))</f>
        <v/>
      </c>
      <c r="J458" t="str">
        <f t="shared" si="12"/>
        <v/>
      </c>
      <c r="K458" t="str">
        <f>IF($J458=0,"",INDEX(ChqKey,442))</f>
        <v/>
      </c>
      <c r="L458" t="str">
        <f t="shared" si="13"/>
        <v/>
      </c>
    </row>
    <row r="459" spans="1:12" x14ac:dyDescent="0.2">
      <c r="A459" s="3" t="str">
        <f>IF(IFERROR(MATCH(443,ChqRankL,0),0)=0,"",443)</f>
        <v/>
      </c>
      <c r="B459" s="13" t="str">
        <f>IF(IFERROR(MATCH(443,ChqRankL,0),0)=0,"",INDEX(ChqNorm,IFERROR(MATCH(443,ChqRankL,0),0)))</f>
        <v/>
      </c>
      <c r="C459" s="13" t="str">
        <f>IF(IFERROR(MATCH(443,ChqRankL,0),0)=0,"",INDEX(ChqNo,IFERROR(MATCH(443,ChqRankL,0),0)))</f>
        <v/>
      </c>
      <c r="D459" s="14" t="str">
        <f>IF(IFERROR(MATCH(443,ChqRankL,0),0)=0,"",IF(INDEX(ChqAmt,IFERROR(MATCH(443,ChqRankL,0),0))=0,"",INDEX(ChqAmt,IFERROR(MATCH(443,ChqRankL,0),0))))</f>
        <v/>
      </c>
      <c r="E459" s="7" t="str">
        <f>IF(IFERROR(MATCH(443,ChqRankL,0),0)=0,"",INDEX(ChqStatus,IFERROR(MATCH(443,ChqRankL,0),0)))</f>
        <v/>
      </c>
      <c r="F459" s="13" t="str">
        <f>IF(IFERROR(MATCH(443,ChqRankL,0),0)=0,"",IF(INDEX(ChqStatus,IFERROR(MATCH(443,ChqRankL,0),0))="پاس نشده","—",IF(INDEX(ChqClr,IFERROR(MATCH(443,ChqRankL,0),0))="","—",INDEX(ChqClr,IFERROR(MATCH(443,ChqRankL,0),0)))))</f>
        <v/>
      </c>
      <c r="I459" t="str">
        <f>IF(443&gt;NChq,"",INDEX(ChqNorm,443))</f>
        <v/>
      </c>
      <c r="J459" t="str">
        <f t="shared" si="12"/>
        <v/>
      </c>
      <c r="K459" t="str">
        <f>IF($J459=0,"",INDEX(ChqKey,443))</f>
        <v/>
      </c>
      <c r="L459" t="str">
        <f t="shared" si="13"/>
        <v/>
      </c>
    </row>
    <row r="460" spans="1:12" x14ac:dyDescent="0.2">
      <c r="A460" s="9" t="str">
        <f>IF(IFERROR(MATCH(444,ChqRankL,0),0)=0,"",444)</f>
        <v/>
      </c>
      <c r="B460" s="15" t="str">
        <f>IF(IFERROR(MATCH(444,ChqRankL,0),0)=0,"",INDEX(ChqNorm,IFERROR(MATCH(444,ChqRankL,0),0)))</f>
        <v/>
      </c>
      <c r="C460" s="15" t="str">
        <f>IF(IFERROR(MATCH(444,ChqRankL,0),0)=0,"",INDEX(ChqNo,IFERROR(MATCH(444,ChqRankL,0),0)))</f>
        <v/>
      </c>
      <c r="D460" s="16" t="str">
        <f>IF(IFERROR(MATCH(444,ChqRankL,0),0)=0,"",IF(INDEX(ChqAmt,IFERROR(MATCH(444,ChqRankL,0),0))=0,"",INDEX(ChqAmt,IFERROR(MATCH(444,ChqRankL,0),0))))</f>
        <v/>
      </c>
      <c r="E460" s="10" t="str">
        <f>IF(IFERROR(MATCH(444,ChqRankL,0),0)=0,"",INDEX(ChqStatus,IFERROR(MATCH(444,ChqRankL,0),0)))</f>
        <v/>
      </c>
      <c r="F460" s="15" t="str">
        <f>IF(IFERROR(MATCH(444,ChqRankL,0),0)=0,"",IF(INDEX(ChqStatus,IFERROR(MATCH(444,ChqRankL,0),0))="پاس نشده","—",IF(INDEX(ChqClr,IFERROR(MATCH(444,ChqRankL,0),0))="","—",INDEX(ChqClr,IFERROR(MATCH(444,ChqRankL,0),0)))))</f>
        <v/>
      </c>
      <c r="I460" t="str">
        <f>IF(444&gt;NChq,"",INDEX(ChqNorm,444))</f>
        <v/>
      </c>
      <c r="J460" t="str">
        <f t="shared" si="12"/>
        <v/>
      </c>
      <c r="K460" t="str">
        <f>IF($J460=0,"",INDEX(ChqKey,444))</f>
        <v/>
      </c>
      <c r="L460" t="str">
        <f t="shared" si="13"/>
        <v/>
      </c>
    </row>
    <row r="461" spans="1:12" x14ac:dyDescent="0.2">
      <c r="A461" s="3" t="str">
        <f>IF(IFERROR(MATCH(445,ChqRankL,0),0)=0,"",445)</f>
        <v/>
      </c>
      <c r="B461" s="13" t="str">
        <f>IF(IFERROR(MATCH(445,ChqRankL,0),0)=0,"",INDEX(ChqNorm,IFERROR(MATCH(445,ChqRankL,0),0)))</f>
        <v/>
      </c>
      <c r="C461" s="13" t="str">
        <f>IF(IFERROR(MATCH(445,ChqRankL,0),0)=0,"",INDEX(ChqNo,IFERROR(MATCH(445,ChqRankL,0),0)))</f>
        <v/>
      </c>
      <c r="D461" s="14" t="str">
        <f>IF(IFERROR(MATCH(445,ChqRankL,0),0)=0,"",IF(INDEX(ChqAmt,IFERROR(MATCH(445,ChqRankL,0),0))=0,"",INDEX(ChqAmt,IFERROR(MATCH(445,ChqRankL,0),0))))</f>
        <v/>
      </c>
      <c r="E461" s="7" t="str">
        <f>IF(IFERROR(MATCH(445,ChqRankL,0),0)=0,"",INDEX(ChqStatus,IFERROR(MATCH(445,ChqRankL,0),0)))</f>
        <v/>
      </c>
      <c r="F461" s="13" t="str">
        <f>IF(IFERROR(MATCH(445,ChqRankL,0),0)=0,"",IF(INDEX(ChqStatus,IFERROR(MATCH(445,ChqRankL,0),0))="پاس نشده","—",IF(INDEX(ChqClr,IFERROR(MATCH(445,ChqRankL,0),0))="","—",INDEX(ChqClr,IFERROR(MATCH(445,ChqRankL,0),0)))))</f>
        <v/>
      </c>
      <c r="I461" t="str">
        <f>IF(445&gt;NChq,"",INDEX(ChqNorm,445))</f>
        <v/>
      </c>
      <c r="J461" t="str">
        <f t="shared" si="12"/>
        <v/>
      </c>
      <c r="K461" t="str">
        <f>IF($J461=0,"",INDEX(ChqKey,445))</f>
        <v/>
      </c>
      <c r="L461" t="str">
        <f t="shared" si="13"/>
        <v/>
      </c>
    </row>
    <row r="462" spans="1:12" x14ac:dyDescent="0.2">
      <c r="A462" s="9" t="str">
        <f>IF(IFERROR(MATCH(446,ChqRankL,0),0)=0,"",446)</f>
        <v/>
      </c>
      <c r="B462" s="15" t="str">
        <f>IF(IFERROR(MATCH(446,ChqRankL,0),0)=0,"",INDEX(ChqNorm,IFERROR(MATCH(446,ChqRankL,0),0)))</f>
        <v/>
      </c>
      <c r="C462" s="15" t="str">
        <f>IF(IFERROR(MATCH(446,ChqRankL,0),0)=0,"",INDEX(ChqNo,IFERROR(MATCH(446,ChqRankL,0),0)))</f>
        <v/>
      </c>
      <c r="D462" s="16" t="str">
        <f>IF(IFERROR(MATCH(446,ChqRankL,0),0)=0,"",IF(INDEX(ChqAmt,IFERROR(MATCH(446,ChqRankL,0),0))=0,"",INDEX(ChqAmt,IFERROR(MATCH(446,ChqRankL,0),0))))</f>
        <v/>
      </c>
      <c r="E462" s="10" t="str">
        <f>IF(IFERROR(MATCH(446,ChqRankL,0),0)=0,"",INDEX(ChqStatus,IFERROR(MATCH(446,ChqRankL,0),0)))</f>
        <v/>
      </c>
      <c r="F462" s="15" t="str">
        <f>IF(IFERROR(MATCH(446,ChqRankL,0),0)=0,"",IF(INDEX(ChqStatus,IFERROR(MATCH(446,ChqRankL,0),0))="پاس نشده","—",IF(INDEX(ChqClr,IFERROR(MATCH(446,ChqRankL,0),0))="","—",INDEX(ChqClr,IFERROR(MATCH(446,ChqRankL,0),0)))))</f>
        <v/>
      </c>
      <c r="I462" t="str">
        <f>IF(446&gt;NChq,"",INDEX(ChqNorm,446))</f>
        <v/>
      </c>
      <c r="J462" t="str">
        <f t="shared" si="12"/>
        <v/>
      </c>
      <c r="K462" t="str">
        <f>IF($J462=0,"",INDEX(ChqKey,446))</f>
        <v/>
      </c>
      <c r="L462" t="str">
        <f t="shared" si="13"/>
        <v/>
      </c>
    </row>
    <row r="463" spans="1:12" x14ac:dyDescent="0.2">
      <c r="A463" s="3" t="str">
        <f>IF(IFERROR(MATCH(447,ChqRankL,0),0)=0,"",447)</f>
        <v/>
      </c>
      <c r="B463" s="13" t="str">
        <f>IF(IFERROR(MATCH(447,ChqRankL,0),0)=0,"",INDEX(ChqNorm,IFERROR(MATCH(447,ChqRankL,0),0)))</f>
        <v/>
      </c>
      <c r="C463" s="13" t="str">
        <f>IF(IFERROR(MATCH(447,ChqRankL,0),0)=0,"",INDEX(ChqNo,IFERROR(MATCH(447,ChqRankL,0),0)))</f>
        <v/>
      </c>
      <c r="D463" s="14" t="str">
        <f>IF(IFERROR(MATCH(447,ChqRankL,0),0)=0,"",IF(INDEX(ChqAmt,IFERROR(MATCH(447,ChqRankL,0),0))=0,"",INDEX(ChqAmt,IFERROR(MATCH(447,ChqRankL,0),0))))</f>
        <v/>
      </c>
      <c r="E463" s="7" t="str">
        <f>IF(IFERROR(MATCH(447,ChqRankL,0),0)=0,"",INDEX(ChqStatus,IFERROR(MATCH(447,ChqRankL,0),0)))</f>
        <v/>
      </c>
      <c r="F463" s="13" t="str">
        <f>IF(IFERROR(MATCH(447,ChqRankL,0),0)=0,"",IF(INDEX(ChqStatus,IFERROR(MATCH(447,ChqRankL,0),0))="پاس نشده","—",IF(INDEX(ChqClr,IFERROR(MATCH(447,ChqRankL,0),0))="","—",INDEX(ChqClr,IFERROR(MATCH(447,ChqRankL,0),0)))))</f>
        <v/>
      </c>
      <c r="I463" t="str">
        <f>IF(447&gt;NChq,"",INDEX(ChqNorm,447))</f>
        <v/>
      </c>
      <c r="J463" t="str">
        <f t="shared" si="12"/>
        <v/>
      </c>
      <c r="K463" t="str">
        <f>IF($J463=0,"",INDEX(ChqKey,447))</f>
        <v/>
      </c>
      <c r="L463" t="str">
        <f t="shared" si="13"/>
        <v/>
      </c>
    </row>
    <row r="464" spans="1:12" x14ac:dyDescent="0.2">
      <c r="A464" s="9" t="str">
        <f>IF(IFERROR(MATCH(448,ChqRankL,0),0)=0,"",448)</f>
        <v/>
      </c>
      <c r="B464" s="15" t="str">
        <f>IF(IFERROR(MATCH(448,ChqRankL,0),0)=0,"",INDEX(ChqNorm,IFERROR(MATCH(448,ChqRankL,0),0)))</f>
        <v/>
      </c>
      <c r="C464" s="15" t="str">
        <f>IF(IFERROR(MATCH(448,ChqRankL,0),0)=0,"",INDEX(ChqNo,IFERROR(MATCH(448,ChqRankL,0),0)))</f>
        <v/>
      </c>
      <c r="D464" s="16" t="str">
        <f>IF(IFERROR(MATCH(448,ChqRankL,0),0)=0,"",IF(INDEX(ChqAmt,IFERROR(MATCH(448,ChqRankL,0),0))=0,"",INDEX(ChqAmt,IFERROR(MATCH(448,ChqRankL,0),0))))</f>
        <v/>
      </c>
      <c r="E464" s="10" t="str">
        <f>IF(IFERROR(MATCH(448,ChqRankL,0),0)=0,"",INDEX(ChqStatus,IFERROR(MATCH(448,ChqRankL,0),0)))</f>
        <v/>
      </c>
      <c r="F464" s="15" t="str">
        <f>IF(IFERROR(MATCH(448,ChqRankL,0),0)=0,"",IF(INDEX(ChqStatus,IFERROR(MATCH(448,ChqRankL,0),0))="پاس نشده","—",IF(INDEX(ChqClr,IFERROR(MATCH(448,ChqRankL,0),0))="","—",INDEX(ChqClr,IFERROR(MATCH(448,ChqRankL,0),0)))))</f>
        <v/>
      </c>
      <c r="I464" t="str">
        <f>IF(448&gt;NChq,"",INDEX(ChqNorm,448))</f>
        <v/>
      </c>
      <c r="J464" t="str">
        <f t="shared" si="12"/>
        <v/>
      </c>
      <c r="K464" t="str">
        <f>IF($J464=0,"",INDEX(ChqKey,448))</f>
        <v/>
      </c>
      <c r="L464" t="str">
        <f t="shared" si="13"/>
        <v/>
      </c>
    </row>
    <row r="465" spans="1:12" x14ac:dyDescent="0.2">
      <c r="A465" s="3" t="str">
        <f>IF(IFERROR(MATCH(449,ChqRankL,0),0)=0,"",449)</f>
        <v/>
      </c>
      <c r="B465" s="13" t="str">
        <f>IF(IFERROR(MATCH(449,ChqRankL,0),0)=0,"",INDEX(ChqNorm,IFERROR(MATCH(449,ChqRankL,0),0)))</f>
        <v/>
      </c>
      <c r="C465" s="13" t="str">
        <f>IF(IFERROR(MATCH(449,ChqRankL,0),0)=0,"",INDEX(ChqNo,IFERROR(MATCH(449,ChqRankL,0),0)))</f>
        <v/>
      </c>
      <c r="D465" s="14" t="str">
        <f>IF(IFERROR(MATCH(449,ChqRankL,0),0)=0,"",IF(INDEX(ChqAmt,IFERROR(MATCH(449,ChqRankL,0),0))=0,"",INDEX(ChqAmt,IFERROR(MATCH(449,ChqRankL,0),0))))</f>
        <v/>
      </c>
      <c r="E465" s="7" t="str">
        <f>IF(IFERROR(MATCH(449,ChqRankL,0),0)=0,"",INDEX(ChqStatus,IFERROR(MATCH(449,ChqRankL,0),0)))</f>
        <v/>
      </c>
      <c r="F465" s="13" t="str">
        <f>IF(IFERROR(MATCH(449,ChqRankL,0),0)=0,"",IF(INDEX(ChqStatus,IFERROR(MATCH(449,ChqRankL,0),0))="پاس نشده","—",IF(INDEX(ChqClr,IFERROR(MATCH(449,ChqRankL,0),0))="","—",INDEX(ChqClr,IFERROR(MATCH(449,ChqRankL,0),0)))))</f>
        <v/>
      </c>
      <c r="I465" t="str">
        <f>IF(449&gt;NChq,"",INDEX(ChqNorm,449))</f>
        <v/>
      </c>
      <c r="J465" t="str">
        <f t="shared" ref="J465:J516" si="14">IF($I465="","",IF(AND($I465&gt;=$H$3,$I465&lt;=$H$4),1,0))</f>
        <v/>
      </c>
      <c r="K465" t="str">
        <f>IF($J465=0,"",INDEX(ChqKey,449))</f>
        <v/>
      </c>
      <c r="L465" t="str">
        <f t="shared" ref="L465:L516" si="15">IF($K465="","",COUNTIFS($J$17:$J$516,1,$K$17:$K$516,"&lt;"&amp;$K465)+1)</f>
        <v/>
      </c>
    </row>
    <row r="466" spans="1:12" x14ac:dyDescent="0.2">
      <c r="A466" s="9" t="str">
        <f>IF(IFERROR(MATCH(450,ChqRankL,0),0)=0,"",450)</f>
        <v/>
      </c>
      <c r="B466" s="15" t="str">
        <f>IF(IFERROR(MATCH(450,ChqRankL,0),0)=0,"",INDEX(ChqNorm,IFERROR(MATCH(450,ChqRankL,0),0)))</f>
        <v/>
      </c>
      <c r="C466" s="15" t="str">
        <f>IF(IFERROR(MATCH(450,ChqRankL,0),0)=0,"",INDEX(ChqNo,IFERROR(MATCH(450,ChqRankL,0),0)))</f>
        <v/>
      </c>
      <c r="D466" s="16" t="str">
        <f>IF(IFERROR(MATCH(450,ChqRankL,0),0)=0,"",IF(INDEX(ChqAmt,IFERROR(MATCH(450,ChqRankL,0),0))=0,"",INDEX(ChqAmt,IFERROR(MATCH(450,ChqRankL,0),0))))</f>
        <v/>
      </c>
      <c r="E466" s="10" t="str">
        <f>IF(IFERROR(MATCH(450,ChqRankL,0),0)=0,"",INDEX(ChqStatus,IFERROR(MATCH(450,ChqRankL,0),0)))</f>
        <v/>
      </c>
      <c r="F466" s="15" t="str">
        <f>IF(IFERROR(MATCH(450,ChqRankL,0),0)=0,"",IF(INDEX(ChqStatus,IFERROR(MATCH(450,ChqRankL,0),0))="پاس نشده","—",IF(INDEX(ChqClr,IFERROR(MATCH(450,ChqRankL,0),0))="","—",INDEX(ChqClr,IFERROR(MATCH(450,ChqRankL,0),0)))))</f>
        <v/>
      </c>
      <c r="I466" t="str">
        <f>IF(450&gt;NChq,"",INDEX(ChqNorm,450))</f>
        <v/>
      </c>
      <c r="J466" t="str">
        <f t="shared" si="14"/>
        <v/>
      </c>
      <c r="K466" t="str">
        <f>IF($J466=0,"",INDEX(ChqKey,450))</f>
        <v/>
      </c>
      <c r="L466" t="str">
        <f t="shared" si="15"/>
        <v/>
      </c>
    </row>
    <row r="467" spans="1:12" x14ac:dyDescent="0.2">
      <c r="A467" s="3" t="str">
        <f>IF(IFERROR(MATCH(451,ChqRankL,0),0)=0,"",451)</f>
        <v/>
      </c>
      <c r="B467" s="13" t="str">
        <f>IF(IFERROR(MATCH(451,ChqRankL,0),0)=0,"",INDEX(ChqNorm,IFERROR(MATCH(451,ChqRankL,0),0)))</f>
        <v/>
      </c>
      <c r="C467" s="13" t="str">
        <f>IF(IFERROR(MATCH(451,ChqRankL,0),0)=0,"",INDEX(ChqNo,IFERROR(MATCH(451,ChqRankL,0),0)))</f>
        <v/>
      </c>
      <c r="D467" s="14" t="str">
        <f>IF(IFERROR(MATCH(451,ChqRankL,0),0)=0,"",IF(INDEX(ChqAmt,IFERROR(MATCH(451,ChqRankL,0),0))=0,"",INDEX(ChqAmt,IFERROR(MATCH(451,ChqRankL,0),0))))</f>
        <v/>
      </c>
      <c r="E467" s="7" t="str">
        <f>IF(IFERROR(MATCH(451,ChqRankL,0),0)=0,"",INDEX(ChqStatus,IFERROR(MATCH(451,ChqRankL,0),0)))</f>
        <v/>
      </c>
      <c r="F467" s="13" t="str">
        <f>IF(IFERROR(MATCH(451,ChqRankL,0),0)=0,"",IF(INDEX(ChqStatus,IFERROR(MATCH(451,ChqRankL,0),0))="پاس نشده","—",IF(INDEX(ChqClr,IFERROR(MATCH(451,ChqRankL,0),0))="","—",INDEX(ChqClr,IFERROR(MATCH(451,ChqRankL,0),0)))))</f>
        <v/>
      </c>
      <c r="I467" t="str">
        <f>IF(451&gt;NChq,"",INDEX(ChqNorm,451))</f>
        <v/>
      </c>
      <c r="J467" t="str">
        <f t="shared" si="14"/>
        <v/>
      </c>
      <c r="K467" t="str">
        <f>IF($J467=0,"",INDEX(ChqKey,451))</f>
        <v/>
      </c>
      <c r="L467" t="str">
        <f t="shared" si="15"/>
        <v/>
      </c>
    </row>
    <row r="468" spans="1:12" x14ac:dyDescent="0.2">
      <c r="A468" s="9" t="str">
        <f>IF(IFERROR(MATCH(452,ChqRankL,0),0)=0,"",452)</f>
        <v/>
      </c>
      <c r="B468" s="15" t="str">
        <f>IF(IFERROR(MATCH(452,ChqRankL,0),0)=0,"",INDEX(ChqNorm,IFERROR(MATCH(452,ChqRankL,0),0)))</f>
        <v/>
      </c>
      <c r="C468" s="15" t="str">
        <f>IF(IFERROR(MATCH(452,ChqRankL,0),0)=0,"",INDEX(ChqNo,IFERROR(MATCH(452,ChqRankL,0),0)))</f>
        <v/>
      </c>
      <c r="D468" s="16" t="str">
        <f>IF(IFERROR(MATCH(452,ChqRankL,0),0)=0,"",IF(INDEX(ChqAmt,IFERROR(MATCH(452,ChqRankL,0),0))=0,"",INDEX(ChqAmt,IFERROR(MATCH(452,ChqRankL,0),0))))</f>
        <v/>
      </c>
      <c r="E468" s="10" t="str">
        <f>IF(IFERROR(MATCH(452,ChqRankL,0),0)=0,"",INDEX(ChqStatus,IFERROR(MATCH(452,ChqRankL,0),0)))</f>
        <v/>
      </c>
      <c r="F468" s="15" t="str">
        <f>IF(IFERROR(MATCH(452,ChqRankL,0),0)=0,"",IF(INDEX(ChqStatus,IFERROR(MATCH(452,ChqRankL,0),0))="پاس نشده","—",IF(INDEX(ChqClr,IFERROR(MATCH(452,ChqRankL,0),0))="","—",INDEX(ChqClr,IFERROR(MATCH(452,ChqRankL,0),0)))))</f>
        <v/>
      </c>
      <c r="I468" t="str">
        <f>IF(452&gt;NChq,"",INDEX(ChqNorm,452))</f>
        <v/>
      </c>
      <c r="J468" t="str">
        <f t="shared" si="14"/>
        <v/>
      </c>
      <c r="K468" t="str">
        <f>IF($J468=0,"",INDEX(ChqKey,452))</f>
        <v/>
      </c>
      <c r="L468" t="str">
        <f t="shared" si="15"/>
        <v/>
      </c>
    </row>
    <row r="469" spans="1:12" x14ac:dyDescent="0.2">
      <c r="A469" s="3" t="str">
        <f>IF(IFERROR(MATCH(453,ChqRankL,0),0)=0,"",453)</f>
        <v/>
      </c>
      <c r="B469" s="13" t="str">
        <f>IF(IFERROR(MATCH(453,ChqRankL,0),0)=0,"",INDEX(ChqNorm,IFERROR(MATCH(453,ChqRankL,0),0)))</f>
        <v/>
      </c>
      <c r="C469" s="13" t="str">
        <f>IF(IFERROR(MATCH(453,ChqRankL,0),0)=0,"",INDEX(ChqNo,IFERROR(MATCH(453,ChqRankL,0),0)))</f>
        <v/>
      </c>
      <c r="D469" s="14" t="str">
        <f>IF(IFERROR(MATCH(453,ChqRankL,0),0)=0,"",IF(INDEX(ChqAmt,IFERROR(MATCH(453,ChqRankL,0),0))=0,"",INDEX(ChqAmt,IFERROR(MATCH(453,ChqRankL,0),0))))</f>
        <v/>
      </c>
      <c r="E469" s="7" t="str">
        <f>IF(IFERROR(MATCH(453,ChqRankL,0),0)=0,"",INDEX(ChqStatus,IFERROR(MATCH(453,ChqRankL,0),0)))</f>
        <v/>
      </c>
      <c r="F469" s="13" t="str">
        <f>IF(IFERROR(MATCH(453,ChqRankL,0),0)=0,"",IF(INDEX(ChqStatus,IFERROR(MATCH(453,ChqRankL,0),0))="پاس نشده","—",IF(INDEX(ChqClr,IFERROR(MATCH(453,ChqRankL,0),0))="","—",INDEX(ChqClr,IFERROR(MATCH(453,ChqRankL,0),0)))))</f>
        <v/>
      </c>
      <c r="I469" t="str">
        <f>IF(453&gt;NChq,"",INDEX(ChqNorm,453))</f>
        <v/>
      </c>
      <c r="J469" t="str">
        <f t="shared" si="14"/>
        <v/>
      </c>
      <c r="K469" t="str">
        <f>IF($J469=0,"",INDEX(ChqKey,453))</f>
        <v/>
      </c>
      <c r="L469" t="str">
        <f t="shared" si="15"/>
        <v/>
      </c>
    </row>
    <row r="470" spans="1:12" x14ac:dyDescent="0.2">
      <c r="A470" s="9" t="str">
        <f>IF(IFERROR(MATCH(454,ChqRankL,0),0)=0,"",454)</f>
        <v/>
      </c>
      <c r="B470" s="15" t="str">
        <f>IF(IFERROR(MATCH(454,ChqRankL,0),0)=0,"",INDEX(ChqNorm,IFERROR(MATCH(454,ChqRankL,0),0)))</f>
        <v/>
      </c>
      <c r="C470" s="15" t="str">
        <f>IF(IFERROR(MATCH(454,ChqRankL,0),0)=0,"",INDEX(ChqNo,IFERROR(MATCH(454,ChqRankL,0),0)))</f>
        <v/>
      </c>
      <c r="D470" s="16" t="str">
        <f>IF(IFERROR(MATCH(454,ChqRankL,0),0)=0,"",IF(INDEX(ChqAmt,IFERROR(MATCH(454,ChqRankL,0),0))=0,"",INDEX(ChqAmt,IFERROR(MATCH(454,ChqRankL,0),0))))</f>
        <v/>
      </c>
      <c r="E470" s="10" t="str">
        <f>IF(IFERROR(MATCH(454,ChqRankL,0),0)=0,"",INDEX(ChqStatus,IFERROR(MATCH(454,ChqRankL,0),0)))</f>
        <v/>
      </c>
      <c r="F470" s="15" t="str">
        <f>IF(IFERROR(MATCH(454,ChqRankL,0),0)=0,"",IF(INDEX(ChqStatus,IFERROR(MATCH(454,ChqRankL,0),0))="پاس نشده","—",IF(INDEX(ChqClr,IFERROR(MATCH(454,ChqRankL,0),0))="","—",INDEX(ChqClr,IFERROR(MATCH(454,ChqRankL,0),0)))))</f>
        <v/>
      </c>
      <c r="I470" t="str">
        <f>IF(454&gt;NChq,"",INDEX(ChqNorm,454))</f>
        <v/>
      </c>
      <c r="J470" t="str">
        <f t="shared" si="14"/>
        <v/>
      </c>
      <c r="K470" t="str">
        <f>IF($J470=0,"",INDEX(ChqKey,454))</f>
        <v/>
      </c>
      <c r="L470" t="str">
        <f t="shared" si="15"/>
        <v/>
      </c>
    </row>
    <row r="471" spans="1:12" x14ac:dyDescent="0.2">
      <c r="A471" s="3" t="str">
        <f>IF(IFERROR(MATCH(455,ChqRankL,0),0)=0,"",455)</f>
        <v/>
      </c>
      <c r="B471" s="13" t="str">
        <f>IF(IFERROR(MATCH(455,ChqRankL,0),0)=0,"",INDEX(ChqNorm,IFERROR(MATCH(455,ChqRankL,0),0)))</f>
        <v/>
      </c>
      <c r="C471" s="13" t="str">
        <f>IF(IFERROR(MATCH(455,ChqRankL,0),0)=0,"",INDEX(ChqNo,IFERROR(MATCH(455,ChqRankL,0),0)))</f>
        <v/>
      </c>
      <c r="D471" s="14" t="str">
        <f>IF(IFERROR(MATCH(455,ChqRankL,0),0)=0,"",IF(INDEX(ChqAmt,IFERROR(MATCH(455,ChqRankL,0),0))=0,"",INDEX(ChqAmt,IFERROR(MATCH(455,ChqRankL,0),0))))</f>
        <v/>
      </c>
      <c r="E471" s="7" t="str">
        <f>IF(IFERROR(MATCH(455,ChqRankL,0),0)=0,"",INDEX(ChqStatus,IFERROR(MATCH(455,ChqRankL,0),0)))</f>
        <v/>
      </c>
      <c r="F471" s="13" t="str">
        <f>IF(IFERROR(MATCH(455,ChqRankL,0),0)=0,"",IF(INDEX(ChqStatus,IFERROR(MATCH(455,ChqRankL,0),0))="پاس نشده","—",IF(INDEX(ChqClr,IFERROR(MATCH(455,ChqRankL,0),0))="","—",INDEX(ChqClr,IFERROR(MATCH(455,ChqRankL,0),0)))))</f>
        <v/>
      </c>
      <c r="I471" t="str">
        <f>IF(455&gt;NChq,"",INDEX(ChqNorm,455))</f>
        <v/>
      </c>
      <c r="J471" t="str">
        <f t="shared" si="14"/>
        <v/>
      </c>
      <c r="K471" t="str">
        <f>IF($J471=0,"",INDEX(ChqKey,455))</f>
        <v/>
      </c>
      <c r="L471" t="str">
        <f t="shared" si="15"/>
        <v/>
      </c>
    </row>
    <row r="472" spans="1:12" x14ac:dyDescent="0.2">
      <c r="A472" s="9" t="str">
        <f>IF(IFERROR(MATCH(456,ChqRankL,0),0)=0,"",456)</f>
        <v/>
      </c>
      <c r="B472" s="15" t="str">
        <f>IF(IFERROR(MATCH(456,ChqRankL,0),0)=0,"",INDEX(ChqNorm,IFERROR(MATCH(456,ChqRankL,0),0)))</f>
        <v/>
      </c>
      <c r="C472" s="15" t="str">
        <f>IF(IFERROR(MATCH(456,ChqRankL,0),0)=0,"",INDEX(ChqNo,IFERROR(MATCH(456,ChqRankL,0),0)))</f>
        <v/>
      </c>
      <c r="D472" s="16" t="str">
        <f>IF(IFERROR(MATCH(456,ChqRankL,0),0)=0,"",IF(INDEX(ChqAmt,IFERROR(MATCH(456,ChqRankL,0),0))=0,"",INDEX(ChqAmt,IFERROR(MATCH(456,ChqRankL,0),0))))</f>
        <v/>
      </c>
      <c r="E472" s="10" t="str">
        <f>IF(IFERROR(MATCH(456,ChqRankL,0),0)=0,"",INDEX(ChqStatus,IFERROR(MATCH(456,ChqRankL,0),0)))</f>
        <v/>
      </c>
      <c r="F472" s="15" t="str">
        <f>IF(IFERROR(MATCH(456,ChqRankL,0),0)=0,"",IF(INDEX(ChqStatus,IFERROR(MATCH(456,ChqRankL,0),0))="پاس نشده","—",IF(INDEX(ChqClr,IFERROR(MATCH(456,ChqRankL,0),0))="","—",INDEX(ChqClr,IFERROR(MATCH(456,ChqRankL,0),0)))))</f>
        <v/>
      </c>
      <c r="I472" t="str">
        <f>IF(456&gt;NChq,"",INDEX(ChqNorm,456))</f>
        <v/>
      </c>
      <c r="J472" t="str">
        <f t="shared" si="14"/>
        <v/>
      </c>
      <c r="K472" t="str">
        <f>IF($J472=0,"",INDEX(ChqKey,456))</f>
        <v/>
      </c>
      <c r="L472" t="str">
        <f t="shared" si="15"/>
        <v/>
      </c>
    </row>
    <row r="473" spans="1:12" x14ac:dyDescent="0.2">
      <c r="A473" s="3" t="str">
        <f>IF(IFERROR(MATCH(457,ChqRankL,0),0)=0,"",457)</f>
        <v/>
      </c>
      <c r="B473" s="13" t="str">
        <f>IF(IFERROR(MATCH(457,ChqRankL,0),0)=0,"",INDEX(ChqNorm,IFERROR(MATCH(457,ChqRankL,0),0)))</f>
        <v/>
      </c>
      <c r="C473" s="13" t="str">
        <f>IF(IFERROR(MATCH(457,ChqRankL,0),0)=0,"",INDEX(ChqNo,IFERROR(MATCH(457,ChqRankL,0),0)))</f>
        <v/>
      </c>
      <c r="D473" s="14" t="str">
        <f>IF(IFERROR(MATCH(457,ChqRankL,0),0)=0,"",IF(INDEX(ChqAmt,IFERROR(MATCH(457,ChqRankL,0),0))=0,"",INDEX(ChqAmt,IFERROR(MATCH(457,ChqRankL,0),0))))</f>
        <v/>
      </c>
      <c r="E473" s="7" t="str">
        <f>IF(IFERROR(MATCH(457,ChqRankL,0),0)=0,"",INDEX(ChqStatus,IFERROR(MATCH(457,ChqRankL,0),0)))</f>
        <v/>
      </c>
      <c r="F473" s="13" t="str">
        <f>IF(IFERROR(MATCH(457,ChqRankL,0),0)=0,"",IF(INDEX(ChqStatus,IFERROR(MATCH(457,ChqRankL,0),0))="پاس نشده","—",IF(INDEX(ChqClr,IFERROR(MATCH(457,ChqRankL,0),0))="","—",INDEX(ChqClr,IFERROR(MATCH(457,ChqRankL,0),0)))))</f>
        <v/>
      </c>
      <c r="I473" t="str">
        <f>IF(457&gt;NChq,"",INDEX(ChqNorm,457))</f>
        <v/>
      </c>
      <c r="J473" t="str">
        <f t="shared" si="14"/>
        <v/>
      </c>
      <c r="K473" t="str">
        <f>IF($J473=0,"",INDEX(ChqKey,457))</f>
        <v/>
      </c>
      <c r="L473" t="str">
        <f t="shared" si="15"/>
        <v/>
      </c>
    </row>
    <row r="474" spans="1:12" x14ac:dyDescent="0.2">
      <c r="A474" s="9" t="str">
        <f>IF(IFERROR(MATCH(458,ChqRankL,0),0)=0,"",458)</f>
        <v/>
      </c>
      <c r="B474" s="15" t="str">
        <f>IF(IFERROR(MATCH(458,ChqRankL,0),0)=0,"",INDEX(ChqNorm,IFERROR(MATCH(458,ChqRankL,0),0)))</f>
        <v/>
      </c>
      <c r="C474" s="15" t="str">
        <f>IF(IFERROR(MATCH(458,ChqRankL,0),0)=0,"",INDEX(ChqNo,IFERROR(MATCH(458,ChqRankL,0),0)))</f>
        <v/>
      </c>
      <c r="D474" s="16" t="str">
        <f>IF(IFERROR(MATCH(458,ChqRankL,0),0)=0,"",IF(INDEX(ChqAmt,IFERROR(MATCH(458,ChqRankL,0),0))=0,"",INDEX(ChqAmt,IFERROR(MATCH(458,ChqRankL,0),0))))</f>
        <v/>
      </c>
      <c r="E474" s="10" t="str">
        <f>IF(IFERROR(MATCH(458,ChqRankL,0),0)=0,"",INDEX(ChqStatus,IFERROR(MATCH(458,ChqRankL,0),0)))</f>
        <v/>
      </c>
      <c r="F474" s="15" t="str">
        <f>IF(IFERROR(MATCH(458,ChqRankL,0),0)=0,"",IF(INDEX(ChqStatus,IFERROR(MATCH(458,ChqRankL,0),0))="پاس نشده","—",IF(INDEX(ChqClr,IFERROR(MATCH(458,ChqRankL,0),0))="","—",INDEX(ChqClr,IFERROR(MATCH(458,ChqRankL,0),0)))))</f>
        <v/>
      </c>
      <c r="I474" t="str">
        <f>IF(458&gt;NChq,"",INDEX(ChqNorm,458))</f>
        <v/>
      </c>
      <c r="J474" t="str">
        <f t="shared" si="14"/>
        <v/>
      </c>
      <c r="K474" t="str">
        <f>IF($J474=0,"",INDEX(ChqKey,458))</f>
        <v/>
      </c>
      <c r="L474" t="str">
        <f t="shared" si="15"/>
        <v/>
      </c>
    </row>
    <row r="475" spans="1:12" x14ac:dyDescent="0.2">
      <c r="A475" s="3" t="str">
        <f>IF(IFERROR(MATCH(459,ChqRankL,0),0)=0,"",459)</f>
        <v/>
      </c>
      <c r="B475" s="13" t="str">
        <f>IF(IFERROR(MATCH(459,ChqRankL,0),0)=0,"",INDEX(ChqNorm,IFERROR(MATCH(459,ChqRankL,0),0)))</f>
        <v/>
      </c>
      <c r="C475" s="13" t="str">
        <f>IF(IFERROR(MATCH(459,ChqRankL,0),0)=0,"",INDEX(ChqNo,IFERROR(MATCH(459,ChqRankL,0),0)))</f>
        <v/>
      </c>
      <c r="D475" s="14" t="str">
        <f>IF(IFERROR(MATCH(459,ChqRankL,0),0)=0,"",IF(INDEX(ChqAmt,IFERROR(MATCH(459,ChqRankL,0),0))=0,"",INDEX(ChqAmt,IFERROR(MATCH(459,ChqRankL,0),0))))</f>
        <v/>
      </c>
      <c r="E475" s="7" t="str">
        <f>IF(IFERROR(MATCH(459,ChqRankL,0),0)=0,"",INDEX(ChqStatus,IFERROR(MATCH(459,ChqRankL,0),0)))</f>
        <v/>
      </c>
      <c r="F475" s="13" t="str">
        <f>IF(IFERROR(MATCH(459,ChqRankL,0),0)=0,"",IF(INDEX(ChqStatus,IFERROR(MATCH(459,ChqRankL,0),0))="پاس نشده","—",IF(INDEX(ChqClr,IFERROR(MATCH(459,ChqRankL,0),0))="","—",INDEX(ChqClr,IFERROR(MATCH(459,ChqRankL,0),0)))))</f>
        <v/>
      </c>
      <c r="I475" t="str">
        <f>IF(459&gt;NChq,"",INDEX(ChqNorm,459))</f>
        <v/>
      </c>
      <c r="J475" t="str">
        <f t="shared" si="14"/>
        <v/>
      </c>
      <c r="K475" t="str">
        <f>IF($J475=0,"",INDEX(ChqKey,459))</f>
        <v/>
      </c>
      <c r="L475" t="str">
        <f t="shared" si="15"/>
        <v/>
      </c>
    </row>
    <row r="476" spans="1:12" x14ac:dyDescent="0.2">
      <c r="A476" s="9" t="str">
        <f>IF(IFERROR(MATCH(460,ChqRankL,0),0)=0,"",460)</f>
        <v/>
      </c>
      <c r="B476" s="15" t="str">
        <f>IF(IFERROR(MATCH(460,ChqRankL,0),0)=0,"",INDEX(ChqNorm,IFERROR(MATCH(460,ChqRankL,0),0)))</f>
        <v/>
      </c>
      <c r="C476" s="15" t="str">
        <f>IF(IFERROR(MATCH(460,ChqRankL,0),0)=0,"",INDEX(ChqNo,IFERROR(MATCH(460,ChqRankL,0),0)))</f>
        <v/>
      </c>
      <c r="D476" s="16" t="str">
        <f>IF(IFERROR(MATCH(460,ChqRankL,0),0)=0,"",IF(INDEX(ChqAmt,IFERROR(MATCH(460,ChqRankL,0),0))=0,"",INDEX(ChqAmt,IFERROR(MATCH(460,ChqRankL,0),0))))</f>
        <v/>
      </c>
      <c r="E476" s="10" t="str">
        <f>IF(IFERROR(MATCH(460,ChqRankL,0),0)=0,"",INDEX(ChqStatus,IFERROR(MATCH(460,ChqRankL,0),0)))</f>
        <v/>
      </c>
      <c r="F476" s="15" t="str">
        <f>IF(IFERROR(MATCH(460,ChqRankL,0),0)=0,"",IF(INDEX(ChqStatus,IFERROR(MATCH(460,ChqRankL,0),0))="پاس نشده","—",IF(INDEX(ChqClr,IFERROR(MATCH(460,ChqRankL,0),0))="","—",INDEX(ChqClr,IFERROR(MATCH(460,ChqRankL,0),0)))))</f>
        <v/>
      </c>
      <c r="I476" t="str">
        <f>IF(460&gt;NChq,"",INDEX(ChqNorm,460))</f>
        <v/>
      </c>
      <c r="J476" t="str">
        <f t="shared" si="14"/>
        <v/>
      </c>
      <c r="K476" t="str">
        <f>IF($J476=0,"",INDEX(ChqKey,460))</f>
        <v/>
      </c>
      <c r="L476" t="str">
        <f t="shared" si="15"/>
        <v/>
      </c>
    </row>
    <row r="477" spans="1:12" x14ac:dyDescent="0.2">
      <c r="A477" s="3" t="str">
        <f>IF(IFERROR(MATCH(461,ChqRankL,0),0)=0,"",461)</f>
        <v/>
      </c>
      <c r="B477" s="13" t="str">
        <f>IF(IFERROR(MATCH(461,ChqRankL,0),0)=0,"",INDEX(ChqNorm,IFERROR(MATCH(461,ChqRankL,0),0)))</f>
        <v/>
      </c>
      <c r="C477" s="13" t="str">
        <f>IF(IFERROR(MATCH(461,ChqRankL,0),0)=0,"",INDEX(ChqNo,IFERROR(MATCH(461,ChqRankL,0),0)))</f>
        <v/>
      </c>
      <c r="D477" s="14" t="str">
        <f>IF(IFERROR(MATCH(461,ChqRankL,0),0)=0,"",IF(INDEX(ChqAmt,IFERROR(MATCH(461,ChqRankL,0),0))=0,"",INDEX(ChqAmt,IFERROR(MATCH(461,ChqRankL,0),0))))</f>
        <v/>
      </c>
      <c r="E477" s="7" t="str">
        <f>IF(IFERROR(MATCH(461,ChqRankL,0),0)=0,"",INDEX(ChqStatus,IFERROR(MATCH(461,ChqRankL,0),0)))</f>
        <v/>
      </c>
      <c r="F477" s="13" t="str">
        <f>IF(IFERROR(MATCH(461,ChqRankL,0),0)=0,"",IF(INDEX(ChqStatus,IFERROR(MATCH(461,ChqRankL,0),0))="پاس نشده","—",IF(INDEX(ChqClr,IFERROR(MATCH(461,ChqRankL,0),0))="","—",INDEX(ChqClr,IFERROR(MATCH(461,ChqRankL,0),0)))))</f>
        <v/>
      </c>
      <c r="I477" t="str">
        <f>IF(461&gt;NChq,"",INDEX(ChqNorm,461))</f>
        <v/>
      </c>
      <c r="J477" t="str">
        <f t="shared" si="14"/>
        <v/>
      </c>
      <c r="K477" t="str">
        <f>IF($J477=0,"",INDEX(ChqKey,461))</f>
        <v/>
      </c>
      <c r="L477" t="str">
        <f t="shared" si="15"/>
        <v/>
      </c>
    </row>
    <row r="478" spans="1:12" x14ac:dyDescent="0.2">
      <c r="A478" s="9" t="str">
        <f>IF(IFERROR(MATCH(462,ChqRankL,0),0)=0,"",462)</f>
        <v/>
      </c>
      <c r="B478" s="15" t="str">
        <f>IF(IFERROR(MATCH(462,ChqRankL,0),0)=0,"",INDEX(ChqNorm,IFERROR(MATCH(462,ChqRankL,0),0)))</f>
        <v/>
      </c>
      <c r="C478" s="15" t="str">
        <f>IF(IFERROR(MATCH(462,ChqRankL,0),0)=0,"",INDEX(ChqNo,IFERROR(MATCH(462,ChqRankL,0),0)))</f>
        <v/>
      </c>
      <c r="D478" s="16" t="str">
        <f>IF(IFERROR(MATCH(462,ChqRankL,0),0)=0,"",IF(INDEX(ChqAmt,IFERROR(MATCH(462,ChqRankL,0),0))=0,"",INDEX(ChqAmt,IFERROR(MATCH(462,ChqRankL,0),0))))</f>
        <v/>
      </c>
      <c r="E478" s="10" t="str">
        <f>IF(IFERROR(MATCH(462,ChqRankL,0),0)=0,"",INDEX(ChqStatus,IFERROR(MATCH(462,ChqRankL,0),0)))</f>
        <v/>
      </c>
      <c r="F478" s="15" t="str">
        <f>IF(IFERROR(MATCH(462,ChqRankL,0),0)=0,"",IF(INDEX(ChqStatus,IFERROR(MATCH(462,ChqRankL,0),0))="پاس نشده","—",IF(INDEX(ChqClr,IFERROR(MATCH(462,ChqRankL,0),0))="","—",INDEX(ChqClr,IFERROR(MATCH(462,ChqRankL,0),0)))))</f>
        <v/>
      </c>
      <c r="I478" t="str">
        <f>IF(462&gt;NChq,"",INDEX(ChqNorm,462))</f>
        <v/>
      </c>
      <c r="J478" t="str">
        <f t="shared" si="14"/>
        <v/>
      </c>
      <c r="K478" t="str">
        <f>IF($J478=0,"",INDEX(ChqKey,462))</f>
        <v/>
      </c>
      <c r="L478" t="str">
        <f t="shared" si="15"/>
        <v/>
      </c>
    </row>
    <row r="479" spans="1:12" x14ac:dyDescent="0.2">
      <c r="A479" s="3" t="str">
        <f>IF(IFERROR(MATCH(463,ChqRankL,0),0)=0,"",463)</f>
        <v/>
      </c>
      <c r="B479" s="13" t="str">
        <f>IF(IFERROR(MATCH(463,ChqRankL,0),0)=0,"",INDEX(ChqNorm,IFERROR(MATCH(463,ChqRankL,0),0)))</f>
        <v/>
      </c>
      <c r="C479" s="13" t="str">
        <f>IF(IFERROR(MATCH(463,ChqRankL,0),0)=0,"",INDEX(ChqNo,IFERROR(MATCH(463,ChqRankL,0),0)))</f>
        <v/>
      </c>
      <c r="D479" s="14" t="str">
        <f>IF(IFERROR(MATCH(463,ChqRankL,0),0)=0,"",IF(INDEX(ChqAmt,IFERROR(MATCH(463,ChqRankL,0),0))=0,"",INDEX(ChqAmt,IFERROR(MATCH(463,ChqRankL,0),0))))</f>
        <v/>
      </c>
      <c r="E479" s="7" t="str">
        <f>IF(IFERROR(MATCH(463,ChqRankL,0),0)=0,"",INDEX(ChqStatus,IFERROR(MATCH(463,ChqRankL,0),0)))</f>
        <v/>
      </c>
      <c r="F479" s="13" t="str">
        <f>IF(IFERROR(MATCH(463,ChqRankL,0),0)=0,"",IF(INDEX(ChqStatus,IFERROR(MATCH(463,ChqRankL,0),0))="پاس نشده","—",IF(INDEX(ChqClr,IFERROR(MATCH(463,ChqRankL,0),0))="","—",INDEX(ChqClr,IFERROR(MATCH(463,ChqRankL,0),0)))))</f>
        <v/>
      </c>
      <c r="I479" t="str">
        <f>IF(463&gt;NChq,"",INDEX(ChqNorm,463))</f>
        <v/>
      </c>
      <c r="J479" t="str">
        <f t="shared" si="14"/>
        <v/>
      </c>
      <c r="K479" t="str">
        <f>IF($J479=0,"",INDEX(ChqKey,463))</f>
        <v/>
      </c>
      <c r="L479" t="str">
        <f t="shared" si="15"/>
        <v/>
      </c>
    </row>
    <row r="480" spans="1:12" x14ac:dyDescent="0.2">
      <c r="A480" s="9" t="str">
        <f>IF(IFERROR(MATCH(464,ChqRankL,0),0)=0,"",464)</f>
        <v/>
      </c>
      <c r="B480" s="15" t="str">
        <f>IF(IFERROR(MATCH(464,ChqRankL,0),0)=0,"",INDEX(ChqNorm,IFERROR(MATCH(464,ChqRankL,0),0)))</f>
        <v/>
      </c>
      <c r="C480" s="15" t="str">
        <f>IF(IFERROR(MATCH(464,ChqRankL,0),0)=0,"",INDEX(ChqNo,IFERROR(MATCH(464,ChqRankL,0),0)))</f>
        <v/>
      </c>
      <c r="D480" s="16" t="str">
        <f>IF(IFERROR(MATCH(464,ChqRankL,0),0)=0,"",IF(INDEX(ChqAmt,IFERROR(MATCH(464,ChqRankL,0),0))=0,"",INDEX(ChqAmt,IFERROR(MATCH(464,ChqRankL,0),0))))</f>
        <v/>
      </c>
      <c r="E480" s="10" t="str">
        <f>IF(IFERROR(MATCH(464,ChqRankL,0),0)=0,"",INDEX(ChqStatus,IFERROR(MATCH(464,ChqRankL,0),0)))</f>
        <v/>
      </c>
      <c r="F480" s="15" t="str">
        <f>IF(IFERROR(MATCH(464,ChqRankL,0),0)=0,"",IF(INDEX(ChqStatus,IFERROR(MATCH(464,ChqRankL,0),0))="پاس نشده","—",IF(INDEX(ChqClr,IFERROR(MATCH(464,ChqRankL,0),0))="","—",INDEX(ChqClr,IFERROR(MATCH(464,ChqRankL,0),0)))))</f>
        <v/>
      </c>
      <c r="I480" t="str">
        <f>IF(464&gt;NChq,"",INDEX(ChqNorm,464))</f>
        <v/>
      </c>
      <c r="J480" t="str">
        <f t="shared" si="14"/>
        <v/>
      </c>
      <c r="K480" t="str">
        <f>IF($J480=0,"",INDEX(ChqKey,464))</f>
        <v/>
      </c>
      <c r="L480" t="str">
        <f t="shared" si="15"/>
        <v/>
      </c>
    </row>
    <row r="481" spans="1:12" x14ac:dyDescent="0.2">
      <c r="A481" s="3" t="str">
        <f>IF(IFERROR(MATCH(465,ChqRankL,0),0)=0,"",465)</f>
        <v/>
      </c>
      <c r="B481" s="13" t="str">
        <f>IF(IFERROR(MATCH(465,ChqRankL,0),0)=0,"",INDEX(ChqNorm,IFERROR(MATCH(465,ChqRankL,0),0)))</f>
        <v/>
      </c>
      <c r="C481" s="13" t="str">
        <f>IF(IFERROR(MATCH(465,ChqRankL,0),0)=0,"",INDEX(ChqNo,IFERROR(MATCH(465,ChqRankL,0),0)))</f>
        <v/>
      </c>
      <c r="D481" s="14" t="str">
        <f>IF(IFERROR(MATCH(465,ChqRankL,0),0)=0,"",IF(INDEX(ChqAmt,IFERROR(MATCH(465,ChqRankL,0),0))=0,"",INDEX(ChqAmt,IFERROR(MATCH(465,ChqRankL,0),0))))</f>
        <v/>
      </c>
      <c r="E481" s="7" t="str">
        <f>IF(IFERROR(MATCH(465,ChqRankL,0),0)=0,"",INDEX(ChqStatus,IFERROR(MATCH(465,ChqRankL,0),0)))</f>
        <v/>
      </c>
      <c r="F481" s="13" t="str">
        <f>IF(IFERROR(MATCH(465,ChqRankL,0),0)=0,"",IF(INDEX(ChqStatus,IFERROR(MATCH(465,ChqRankL,0),0))="پاس نشده","—",IF(INDEX(ChqClr,IFERROR(MATCH(465,ChqRankL,0),0))="","—",INDEX(ChqClr,IFERROR(MATCH(465,ChqRankL,0),0)))))</f>
        <v/>
      </c>
      <c r="I481" t="str">
        <f>IF(465&gt;NChq,"",INDEX(ChqNorm,465))</f>
        <v/>
      </c>
      <c r="J481" t="str">
        <f t="shared" si="14"/>
        <v/>
      </c>
      <c r="K481" t="str">
        <f>IF($J481=0,"",INDEX(ChqKey,465))</f>
        <v/>
      </c>
      <c r="L481" t="str">
        <f t="shared" si="15"/>
        <v/>
      </c>
    </row>
    <row r="482" spans="1:12" x14ac:dyDescent="0.2">
      <c r="A482" s="9" t="str">
        <f>IF(IFERROR(MATCH(466,ChqRankL,0),0)=0,"",466)</f>
        <v/>
      </c>
      <c r="B482" s="15" t="str">
        <f>IF(IFERROR(MATCH(466,ChqRankL,0),0)=0,"",INDEX(ChqNorm,IFERROR(MATCH(466,ChqRankL,0),0)))</f>
        <v/>
      </c>
      <c r="C482" s="15" t="str">
        <f>IF(IFERROR(MATCH(466,ChqRankL,0),0)=0,"",INDEX(ChqNo,IFERROR(MATCH(466,ChqRankL,0),0)))</f>
        <v/>
      </c>
      <c r="D482" s="16" t="str">
        <f>IF(IFERROR(MATCH(466,ChqRankL,0),0)=0,"",IF(INDEX(ChqAmt,IFERROR(MATCH(466,ChqRankL,0),0))=0,"",INDEX(ChqAmt,IFERROR(MATCH(466,ChqRankL,0),0))))</f>
        <v/>
      </c>
      <c r="E482" s="10" t="str">
        <f>IF(IFERROR(MATCH(466,ChqRankL,0),0)=0,"",INDEX(ChqStatus,IFERROR(MATCH(466,ChqRankL,0),0)))</f>
        <v/>
      </c>
      <c r="F482" s="15" t="str">
        <f>IF(IFERROR(MATCH(466,ChqRankL,0),0)=0,"",IF(INDEX(ChqStatus,IFERROR(MATCH(466,ChqRankL,0),0))="پاس نشده","—",IF(INDEX(ChqClr,IFERROR(MATCH(466,ChqRankL,0),0))="","—",INDEX(ChqClr,IFERROR(MATCH(466,ChqRankL,0),0)))))</f>
        <v/>
      </c>
      <c r="I482" t="str">
        <f>IF(466&gt;NChq,"",INDEX(ChqNorm,466))</f>
        <v/>
      </c>
      <c r="J482" t="str">
        <f t="shared" si="14"/>
        <v/>
      </c>
      <c r="K482" t="str">
        <f>IF($J482=0,"",INDEX(ChqKey,466))</f>
        <v/>
      </c>
      <c r="L482" t="str">
        <f t="shared" si="15"/>
        <v/>
      </c>
    </row>
    <row r="483" spans="1:12" x14ac:dyDescent="0.2">
      <c r="A483" s="3" t="str">
        <f>IF(IFERROR(MATCH(467,ChqRankL,0),0)=0,"",467)</f>
        <v/>
      </c>
      <c r="B483" s="13" t="str">
        <f>IF(IFERROR(MATCH(467,ChqRankL,0),0)=0,"",INDEX(ChqNorm,IFERROR(MATCH(467,ChqRankL,0),0)))</f>
        <v/>
      </c>
      <c r="C483" s="13" t="str">
        <f>IF(IFERROR(MATCH(467,ChqRankL,0),0)=0,"",INDEX(ChqNo,IFERROR(MATCH(467,ChqRankL,0),0)))</f>
        <v/>
      </c>
      <c r="D483" s="14" t="str">
        <f>IF(IFERROR(MATCH(467,ChqRankL,0),0)=0,"",IF(INDEX(ChqAmt,IFERROR(MATCH(467,ChqRankL,0),0))=0,"",INDEX(ChqAmt,IFERROR(MATCH(467,ChqRankL,0),0))))</f>
        <v/>
      </c>
      <c r="E483" s="7" t="str">
        <f>IF(IFERROR(MATCH(467,ChqRankL,0),0)=0,"",INDEX(ChqStatus,IFERROR(MATCH(467,ChqRankL,0),0)))</f>
        <v/>
      </c>
      <c r="F483" s="13" t="str">
        <f>IF(IFERROR(MATCH(467,ChqRankL,0),0)=0,"",IF(INDEX(ChqStatus,IFERROR(MATCH(467,ChqRankL,0),0))="پاس نشده","—",IF(INDEX(ChqClr,IFERROR(MATCH(467,ChqRankL,0),0))="","—",INDEX(ChqClr,IFERROR(MATCH(467,ChqRankL,0),0)))))</f>
        <v/>
      </c>
      <c r="I483" t="str">
        <f>IF(467&gt;NChq,"",INDEX(ChqNorm,467))</f>
        <v/>
      </c>
      <c r="J483" t="str">
        <f t="shared" si="14"/>
        <v/>
      </c>
      <c r="K483" t="str">
        <f>IF($J483=0,"",INDEX(ChqKey,467))</f>
        <v/>
      </c>
      <c r="L483" t="str">
        <f t="shared" si="15"/>
        <v/>
      </c>
    </row>
    <row r="484" spans="1:12" x14ac:dyDescent="0.2">
      <c r="A484" s="9" t="str">
        <f>IF(IFERROR(MATCH(468,ChqRankL,0),0)=0,"",468)</f>
        <v/>
      </c>
      <c r="B484" s="15" t="str">
        <f>IF(IFERROR(MATCH(468,ChqRankL,0),0)=0,"",INDEX(ChqNorm,IFERROR(MATCH(468,ChqRankL,0),0)))</f>
        <v/>
      </c>
      <c r="C484" s="15" t="str">
        <f>IF(IFERROR(MATCH(468,ChqRankL,0),0)=0,"",INDEX(ChqNo,IFERROR(MATCH(468,ChqRankL,0),0)))</f>
        <v/>
      </c>
      <c r="D484" s="16" t="str">
        <f>IF(IFERROR(MATCH(468,ChqRankL,0),0)=0,"",IF(INDEX(ChqAmt,IFERROR(MATCH(468,ChqRankL,0),0))=0,"",INDEX(ChqAmt,IFERROR(MATCH(468,ChqRankL,0),0))))</f>
        <v/>
      </c>
      <c r="E484" s="10" t="str">
        <f>IF(IFERROR(MATCH(468,ChqRankL,0),0)=0,"",INDEX(ChqStatus,IFERROR(MATCH(468,ChqRankL,0),0)))</f>
        <v/>
      </c>
      <c r="F484" s="15" t="str">
        <f>IF(IFERROR(MATCH(468,ChqRankL,0),0)=0,"",IF(INDEX(ChqStatus,IFERROR(MATCH(468,ChqRankL,0),0))="پاس نشده","—",IF(INDEX(ChqClr,IFERROR(MATCH(468,ChqRankL,0),0))="","—",INDEX(ChqClr,IFERROR(MATCH(468,ChqRankL,0),0)))))</f>
        <v/>
      </c>
      <c r="I484" t="str">
        <f>IF(468&gt;NChq,"",INDEX(ChqNorm,468))</f>
        <v/>
      </c>
      <c r="J484" t="str">
        <f t="shared" si="14"/>
        <v/>
      </c>
      <c r="K484" t="str">
        <f>IF($J484=0,"",INDEX(ChqKey,468))</f>
        <v/>
      </c>
      <c r="L484" t="str">
        <f t="shared" si="15"/>
        <v/>
      </c>
    </row>
    <row r="485" spans="1:12" x14ac:dyDescent="0.2">
      <c r="A485" s="3" t="str">
        <f>IF(IFERROR(MATCH(469,ChqRankL,0),0)=0,"",469)</f>
        <v/>
      </c>
      <c r="B485" s="13" t="str">
        <f>IF(IFERROR(MATCH(469,ChqRankL,0),0)=0,"",INDEX(ChqNorm,IFERROR(MATCH(469,ChqRankL,0),0)))</f>
        <v/>
      </c>
      <c r="C485" s="13" t="str">
        <f>IF(IFERROR(MATCH(469,ChqRankL,0),0)=0,"",INDEX(ChqNo,IFERROR(MATCH(469,ChqRankL,0),0)))</f>
        <v/>
      </c>
      <c r="D485" s="14" t="str">
        <f>IF(IFERROR(MATCH(469,ChqRankL,0),0)=0,"",IF(INDEX(ChqAmt,IFERROR(MATCH(469,ChqRankL,0),0))=0,"",INDEX(ChqAmt,IFERROR(MATCH(469,ChqRankL,0),0))))</f>
        <v/>
      </c>
      <c r="E485" s="7" t="str">
        <f>IF(IFERROR(MATCH(469,ChqRankL,0),0)=0,"",INDEX(ChqStatus,IFERROR(MATCH(469,ChqRankL,0),0)))</f>
        <v/>
      </c>
      <c r="F485" s="13" t="str">
        <f>IF(IFERROR(MATCH(469,ChqRankL,0),0)=0,"",IF(INDEX(ChqStatus,IFERROR(MATCH(469,ChqRankL,0),0))="پاس نشده","—",IF(INDEX(ChqClr,IFERROR(MATCH(469,ChqRankL,0),0))="","—",INDEX(ChqClr,IFERROR(MATCH(469,ChqRankL,0),0)))))</f>
        <v/>
      </c>
      <c r="I485" t="str">
        <f>IF(469&gt;NChq,"",INDEX(ChqNorm,469))</f>
        <v/>
      </c>
      <c r="J485" t="str">
        <f t="shared" si="14"/>
        <v/>
      </c>
      <c r="K485" t="str">
        <f>IF($J485=0,"",INDEX(ChqKey,469))</f>
        <v/>
      </c>
      <c r="L485" t="str">
        <f t="shared" si="15"/>
        <v/>
      </c>
    </row>
    <row r="486" spans="1:12" x14ac:dyDescent="0.2">
      <c r="A486" s="9" t="str">
        <f>IF(IFERROR(MATCH(470,ChqRankL,0),0)=0,"",470)</f>
        <v/>
      </c>
      <c r="B486" s="15" t="str">
        <f>IF(IFERROR(MATCH(470,ChqRankL,0),0)=0,"",INDEX(ChqNorm,IFERROR(MATCH(470,ChqRankL,0),0)))</f>
        <v/>
      </c>
      <c r="C486" s="15" t="str">
        <f>IF(IFERROR(MATCH(470,ChqRankL,0),0)=0,"",INDEX(ChqNo,IFERROR(MATCH(470,ChqRankL,0),0)))</f>
        <v/>
      </c>
      <c r="D486" s="16" t="str">
        <f>IF(IFERROR(MATCH(470,ChqRankL,0),0)=0,"",IF(INDEX(ChqAmt,IFERROR(MATCH(470,ChqRankL,0),0))=0,"",INDEX(ChqAmt,IFERROR(MATCH(470,ChqRankL,0),0))))</f>
        <v/>
      </c>
      <c r="E486" s="10" t="str">
        <f>IF(IFERROR(MATCH(470,ChqRankL,0),0)=0,"",INDEX(ChqStatus,IFERROR(MATCH(470,ChqRankL,0),0)))</f>
        <v/>
      </c>
      <c r="F486" s="15" t="str">
        <f>IF(IFERROR(MATCH(470,ChqRankL,0),0)=0,"",IF(INDEX(ChqStatus,IFERROR(MATCH(470,ChqRankL,0),0))="پاس نشده","—",IF(INDEX(ChqClr,IFERROR(MATCH(470,ChqRankL,0),0))="","—",INDEX(ChqClr,IFERROR(MATCH(470,ChqRankL,0),0)))))</f>
        <v/>
      </c>
      <c r="I486" t="str">
        <f>IF(470&gt;NChq,"",INDEX(ChqNorm,470))</f>
        <v/>
      </c>
      <c r="J486" t="str">
        <f t="shared" si="14"/>
        <v/>
      </c>
      <c r="K486" t="str">
        <f>IF($J486=0,"",INDEX(ChqKey,470))</f>
        <v/>
      </c>
      <c r="L486" t="str">
        <f t="shared" si="15"/>
        <v/>
      </c>
    </row>
    <row r="487" spans="1:12" x14ac:dyDescent="0.2">
      <c r="A487" s="3" t="str">
        <f>IF(IFERROR(MATCH(471,ChqRankL,0),0)=0,"",471)</f>
        <v/>
      </c>
      <c r="B487" s="13" t="str">
        <f>IF(IFERROR(MATCH(471,ChqRankL,0),0)=0,"",INDEX(ChqNorm,IFERROR(MATCH(471,ChqRankL,0),0)))</f>
        <v/>
      </c>
      <c r="C487" s="13" t="str">
        <f>IF(IFERROR(MATCH(471,ChqRankL,0),0)=0,"",INDEX(ChqNo,IFERROR(MATCH(471,ChqRankL,0),0)))</f>
        <v/>
      </c>
      <c r="D487" s="14" t="str">
        <f>IF(IFERROR(MATCH(471,ChqRankL,0),0)=0,"",IF(INDEX(ChqAmt,IFERROR(MATCH(471,ChqRankL,0),0))=0,"",INDEX(ChqAmt,IFERROR(MATCH(471,ChqRankL,0),0))))</f>
        <v/>
      </c>
      <c r="E487" s="7" t="str">
        <f>IF(IFERROR(MATCH(471,ChqRankL,0),0)=0,"",INDEX(ChqStatus,IFERROR(MATCH(471,ChqRankL,0),0)))</f>
        <v/>
      </c>
      <c r="F487" s="13" t="str">
        <f>IF(IFERROR(MATCH(471,ChqRankL,0),0)=0,"",IF(INDEX(ChqStatus,IFERROR(MATCH(471,ChqRankL,0),0))="پاس نشده","—",IF(INDEX(ChqClr,IFERROR(MATCH(471,ChqRankL,0),0))="","—",INDEX(ChqClr,IFERROR(MATCH(471,ChqRankL,0),0)))))</f>
        <v/>
      </c>
      <c r="I487" t="str">
        <f>IF(471&gt;NChq,"",INDEX(ChqNorm,471))</f>
        <v/>
      </c>
      <c r="J487" t="str">
        <f t="shared" si="14"/>
        <v/>
      </c>
      <c r="K487" t="str">
        <f>IF($J487=0,"",INDEX(ChqKey,471))</f>
        <v/>
      </c>
      <c r="L487" t="str">
        <f t="shared" si="15"/>
        <v/>
      </c>
    </row>
    <row r="488" spans="1:12" x14ac:dyDescent="0.2">
      <c r="A488" s="9" t="str">
        <f>IF(IFERROR(MATCH(472,ChqRankL,0),0)=0,"",472)</f>
        <v/>
      </c>
      <c r="B488" s="15" t="str">
        <f>IF(IFERROR(MATCH(472,ChqRankL,0),0)=0,"",INDEX(ChqNorm,IFERROR(MATCH(472,ChqRankL,0),0)))</f>
        <v/>
      </c>
      <c r="C488" s="15" t="str">
        <f>IF(IFERROR(MATCH(472,ChqRankL,0),0)=0,"",INDEX(ChqNo,IFERROR(MATCH(472,ChqRankL,0),0)))</f>
        <v/>
      </c>
      <c r="D488" s="16" t="str">
        <f>IF(IFERROR(MATCH(472,ChqRankL,0),0)=0,"",IF(INDEX(ChqAmt,IFERROR(MATCH(472,ChqRankL,0),0))=0,"",INDEX(ChqAmt,IFERROR(MATCH(472,ChqRankL,0),0))))</f>
        <v/>
      </c>
      <c r="E488" s="10" t="str">
        <f>IF(IFERROR(MATCH(472,ChqRankL,0),0)=0,"",INDEX(ChqStatus,IFERROR(MATCH(472,ChqRankL,0),0)))</f>
        <v/>
      </c>
      <c r="F488" s="15" t="str">
        <f>IF(IFERROR(MATCH(472,ChqRankL,0),0)=0,"",IF(INDEX(ChqStatus,IFERROR(MATCH(472,ChqRankL,0),0))="پاس نشده","—",IF(INDEX(ChqClr,IFERROR(MATCH(472,ChqRankL,0),0))="","—",INDEX(ChqClr,IFERROR(MATCH(472,ChqRankL,0),0)))))</f>
        <v/>
      </c>
      <c r="I488" t="str">
        <f>IF(472&gt;NChq,"",INDEX(ChqNorm,472))</f>
        <v/>
      </c>
      <c r="J488" t="str">
        <f t="shared" si="14"/>
        <v/>
      </c>
      <c r="K488" t="str">
        <f>IF($J488=0,"",INDEX(ChqKey,472))</f>
        <v/>
      </c>
      <c r="L488" t="str">
        <f t="shared" si="15"/>
        <v/>
      </c>
    </row>
    <row r="489" spans="1:12" x14ac:dyDescent="0.2">
      <c r="A489" s="3" t="str">
        <f>IF(IFERROR(MATCH(473,ChqRankL,0),0)=0,"",473)</f>
        <v/>
      </c>
      <c r="B489" s="13" t="str">
        <f>IF(IFERROR(MATCH(473,ChqRankL,0),0)=0,"",INDEX(ChqNorm,IFERROR(MATCH(473,ChqRankL,0),0)))</f>
        <v/>
      </c>
      <c r="C489" s="13" t="str">
        <f>IF(IFERROR(MATCH(473,ChqRankL,0),0)=0,"",INDEX(ChqNo,IFERROR(MATCH(473,ChqRankL,0),0)))</f>
        <v/>
      </c>
      <c r="D489" s="14" t="str">
        <f>IF(IFERROR(MATCH(473,ChqRankL,0),0)=0,"",IF(INDEX(ChqAmt,IFERROR(MATCH(473,ChqRankL,0),0))=0,"",INDEX(ChqAmt,IFERROR(MATCH(473,ChqRankL,0),0))))</f>
        <v/>
      </c>
      <c r="E489" s="7" t="str">
        <f>IF(IFERROR(MATCH(473,ChqRankL,0),0)=0,"",INDEX(ChqStatus,IFERROR(MATCH(473,ChqRankL,0),0)))</f>
        <v/>
      </c>
      <c r="F489" s="13" t="str">
        <f>IF(IFERROR(MATCH(473,ChqRankL,0),0)=0,"",IF(INDEX(ChqStatus,IFERROR(MATCH(473,ChqRankL,0),0))="پاس نشده","—",IF(INDEX(ChqClr,IFERROR(MATCH(473,ChqRankL,0),0))="","—",INDEX(ChqClr,IFERROR(MATCH(473,ChqRankL,0),0)))))</f>
        <v/>
      </c>
      <c r="I489" t="str">
        <f>IF(473&gt;NChq,"",INDEX(ChqNorm,473))</f>
        <v/>
      </c>
      <c r="J489" t="str">
        <f t="shared" si="14"/>
        <v/>
      </c>
      <c r="K489" t="str">
        <f>IF($J489=0,"",INDEX(ChqKey,473))</f>
        <v/>
      </c>
      <c r="L489" t="str">
        <f t="shared" si="15"/>
        <v/>
      </c>
    </row>
    <row r="490" spans="1:12" x14ac:dyDescent="0.2">
      <c r="A490" s="9" t="str">
        <f>IF(IFERROR(MATCH(474,ChqRankL,0),0)=0,"",474)</f>
        <v/>
      </c>
      <c r="B490" s="15" t="str">
        <f>IF(IFERROR(MATCH(474,ChqRankL,0),0)=0,"",INDEX(ChqNorm,IFERROR(MATCH(474,ChqRankL,0),0)))</f>
        <v/>
      </c>
      <c r="C490" s="15" t="str">
        <f>IF(IFERROR(MATCH(474,ChqRankL,0),0)=0,"",INDEX(ChqNo,IFERROR(MATCH(474,ChqRankL,0),0)))</f>
        <v/>
      </c>
      <c r="D490" s="16" t="str">
        <f>IF(IFERROR(MATCH(474,ChqRankL,0),0)=0,"",IF(INDEX(ChqAmt,IFERROR(MATCH(474,ChqRankL,0),0))=0,"",INDEX(ChqAmt,IFERROR(MATCH(474,ChqRankL,0),0))))</f>
        <v/>
      </c>
      <c r="E490" s="10" t="str">
        <f>IF(IFERROR(MATCH(474,ChqRankL,0),0)=0,"",INDEX(ChqStatus,IFERROR(MATCH(474,ChqRankL,0),0)))</f>
        <v/>
      </c>
      <c r="F490" s="15" t="str">
        <f>IF(IFERROR(MATCH(474,ChqRankL,0),0)=0,"",IF(INDEX(ChqStatus,IFERROR(MATCH(474,ChqRankL,0),0))="پاس نشده","—",IF(INDEX(ChqClr,IFERROR(MATCH(474,ChqRankL,0),0))="","—",INDEX(ChqClr,IFERROR(MATCH(474,ChqRankL,0),0)))))</f>
        <v/>
      </c>
      <c r="I490" t="str">
        <f>IF(474&gt;NChq,"",INDEX(ChqNorm,474))</f>
        <v/>
      </c>
      <c r="J490" t="str">
        <f t="shared" si="14"/>
        <v/>
      </c>
      <c r="K490" t="str">
        <f>IF($J490=0,"",INDEX(ChqKey,474))</f>
        <v/>
      </c>
      <c r="L490" t="str">
        <f t="shared" si="15"/>
        <v/>
      </c>
    </row>
    <row r="491" spans="1:12" x14ac:dyDescent="0.2">
      <c r="A491" s="3" t="str">
        <f>IF(IFERROR(MATCH(475,ChqRankL,0),0)=0,"",475)</f>
        <v/>
      </c>
      <c r="B491" s="13" t="str">
        <f>IF(IFERROR(MATCH(475,ChqRankL,0),0)=0,"",INDEX(ChqNorm,IFERROR(MATCH(475,ChqRankL,0),0)))</f>
        <v/>
      </c>
      <c r="C491" s="13" t="str">
        <f>IF(IFERROR(MATCH(475,ChqRankL,0),0)=0,"",INDEX(ChqNo,IFERROR(MATCH(475,ChqRankL,0),0)))</f>
        <v/>
      </c>
      <c r="D491" s="14" t="str">
        <f>IF(IFERROR(MATCH(475,ChqRankL,0),0)=0,"",IF(INDEX(ChqAmt,IFERROR(MATCH(475,ChqRankL,0),0))=0,"",INDEX(ChqAmt,IFERROR(MATCH(475,ChqRankL,0),0))))</f>
        <v/>
      </c>
      <c r="E491" s="7" t="str">
        <f>IF(IFERROR(MATCH(475,ChqRankL,0),0)=0,"",INDEX(ChqStatus,IFERROR(MATCH(475,ChqRankL,0),0)))</f>
        <v/>
      </c>
      <c r="F491" s="13" t="str">
        <f>IF(IFERROR(MATCH(475,ChqRankL,0),0)=0,"",IF(INDEX(ChqStatus,IFERROR(MATCH(475,ChqRankL,0),0))="پاس نشده","—",IF(INDEX(ChqClr,IFERROR(MATCH(475,ChqRankL,0),0))="","—",INDEX(ChqClr,IFERROR(MATCH(475,ChqRankL,0),0)))))</f>
        <v/>
      </c>
      <c r="I491" t="str">
        <f>IF(475&gt;NChq,"",INDEX(ChqNorm,475))</f>
        <v/>
      </c>
      <c r="J491" t="str">
        <f t="shared" si="14"/>
        <v/>
      </c>
      <c r="K491" t="str">
        <f>IF($J491=0,"",INDEX(ChqKey,475))</f>
        <v/>
      </c>
      <c r="L491" t="str">
        <f t="shared" si="15"/>
        <v/>
      </c>
    </row>
    <row r="492" spans="1:12" x14ac:dyDescent="0.2">
      <c r="A492" s="9" t="str">
        <f>IF(IFERROR(MATCH(476,ChqRankL,0),0)=0,"",476)</f>
        <v/>
      </c>
      <c r="B492" s="15" t="str">
        <f>IF(IFERROR(MATCH(476,ChqRankL,0),0)=0,"",INDEX(ChqNorm,IFERROR(MATCH(476,ChqRankL,0),0)))</f>
        <v/>
      </c>
      <c r="C492" s="15" t="str">
        <f>IF(IFERROR(MATCH(476,ChqRankL,0),0)=0,"",INDEX(ChqNo,IFERROR(MATCH(476,ChqRankL,0),0)))</f>
        <v/>
      </c>
      <c r="D492" s="16" t="str">
        <f>IF(IFERROR(MATCH(476,ChqRankL,0),0)=0,"",IF(INDEX(ChqAmt,IFERROR(MATCH(476,ChqRankL,0),0))=0,"",INDEX(ChqAmt,IFERROR(MATCH(476,ChqRankL,0),0))))</f>
        <v/>
      </c>
      <c r="E492" s="10" t="str">
        <f>IF(IFERROR(MATCH(476,ChqRankL,0),0)=0,"",INDEX(ChqStatus,IFERROR(MATCH(476,ChqRankL,0),0)))</f>
        <v/>
      </c>
      <c r="F492" s="15" t="str">
        <f>IF(IFERROR(MATCH(476,ChqRankL,0),0)=0,"",IF(INDEX(ChqStatus,IFERROR(MATCH(476,ChqRankL,0),0))="پاس نشده","—",IF(INDEX(ChqClr,IFERROR(MATCH(476,ChqRankL,0),0))="","—",INDEX(ChqClr,IFERROR(MATCH(476,ChqRankL,0),0)))))</f>
        <v/>
      </c>
      <c r="I492" t="str">
        <f>IF(476&gt;NChq,"",INDEX(ChqNorm,476))</f>
        <v/>
      </c>
      <c r="J492" t="str">
        <f t="shared" si="14"/>
        <v/>
      </c>
      <c r="K492" t="str">
        <f>IF($J492=0,"",INDEX(ChqKey,476))</f>
        <v/>
      </c>
      <c r="L492" t="str">
        <f t="shared" si="15"/>
        <v/>
      </c>
    </row>
    <row r="493" spans="1:12" x14ac:dyDescent="0.2">
      <c r="A493" s="3" t="str">
        <f>IF(IFERROR(MATCH(477,ChqRankL,0),0)=0,"",477)</f>
        <v/>
      </c>
      <c r="B493" s="13" t="str">
        <f>IF(IFERROR(MATCH(477,ChqRankL,0),0)=0,"",INDEX(ChqNorm,IFERROR(MATCH(477,ChqRankL,0),0)))</f>
        <v/>
      </c>
      <c r="C493" s="13" t="str">
        <f>IF(IFERROR(MATCH(477,ChqRankL,0),0)=0,"",INDEX(ChqNo,IFERROR(MATCH(477,ChqRankL,0),0)))</f>
        <v/>
      </c>
      <c r="D493" s="14" t="str">
        <f>IF(IFERROR(MATCH(477,ChqRankL,0),0)=0,"",IF(INDEX(ChqAmt,IFERROR(MATCH(477,ChqRankL,0),0))=0,"",INDEX(ChqAmt,IFERROR(MATCH(477,ChqRankL,0),0))))</f>
        <v/>
      </c>
      <c r="E493" s="7" t="str">
        <f>IF(IFERROR(MATCH(477,ChqRankL,0),0)=0,"",INDEX(ChqStatus,IFERROR(MATCH(477,ChqRankL,0),0)))</f>
        <v/>
      </c>
      <c r="F493" s="13" t="str">
        <f>IF(IFERROR(MATCH(477,ChqRankL,0),0)=0,"",IF(INDEX(ChqStatus,IFERROR(MATCH(477,ChqRankL,0),0))="پاس نشده","—",IF(INDEX(ChqClr,IFERROR(MATCH(477,ChqRankL,0),0))="","—",INDEX(ChqClr,IFERROR(MATCH(477,ChqRankL,0),0)))))</f>
        <v/>
      </c>
      <c r="I493" t="str">
        <f>IF(477&gt;NChq,"",INDEX(ChqNorm,477))</f>
        <v/>
      </c>
      <c r="J493" t="str">
        <f t="shared" si="14"/>
        <v/>
      </c>
      <c r="K493" t="str">
        <f>IF($J493=0,"",INDEX(ChqKey,477))</f>
        <v/>
      </c>
      <c r="L493" t="str">
        <f t="shared" si="15"/>
        <v/>
      </c>
    </row>
    <row r="494" spans="1:12" x14ac:dyDescent="0.2">
      <c r="A494" s="9" t="str">
        <f>IF(IFERROR(MATCH(478,ChqRankL,0),0)=0,"",478)</f>
        <v/>
      </c>
      <c r="B494" s="15" t="str">
        <f>IF(IFERROR(MATCH(478,ChqRankL,0),0)=0,"",INDEX(ChqNorm,IFERROR(MATCH(478,ChqRankL,0),0)))</f>
        <v/>
      </c>
      <c r="C494" s="15" t="str">
        <f>IF(IFERROR(MATCH(478,ChqRankL,0),0)=0,"",INDEX(ChqNo,IFERROR(MATCH(478,ChqRankL,0),0)))</f>
        <v/>
      </c>
      <c r="D494" s="16" t="str">
        <f>IF(IFERROR(MATCH(478,ChqRankL,0),0)=0,"",IF(INDEX(ChqAmt,IFERROR(MATCH(478,ChqRankL,0),0))=0,"",INDEX(ChqAmt,IFERROR(MATCH(478,ChqRankL,0),0))))</f>
        <v/>
      </c>
      <c r="E494" s="10" t="str">
        <f>IF(IFERROR(MATCH(478,ChqRankL,0),0)=0,"",INDEX(ChqStatus,IFERROR(MATCH(478,ChqRankL,0),0)))</f>
        <v/>
      </c>
      <c r="F494" s="15" t="str">
        <f>IF(IFERROR(MATCH(478,ChqRankL,0),0)=0,"",IF(INDEX(ChqStatus,IFERROR(MATCH(478,ChqRankL,0),0))="پاس نشده","—",IF(INDEX(ChqClr,IFERROR(MATCH(478,ChqRankL,0),0))="","—",INDEX(ChqClr,IFERROR(MATCH(478,ChqRankL,0),0)))))</f>
        <v/>
      </c>
      <c r="I494" t="str">
        <f>IF(478&gt;NChq,"",INDEX(ChqNorm,478))</f>
        <v/>
      </c>
      <c r="J494" t="str">
        <f t="shared" si="14"/>
        <v/>
      </c>
      <c r="K494" t="str">
        <f>IF($J494=0,"",INDEX(ChqKey,478))</f>
        <v/>
      </c>
      <c r="L494" t="str">
        <f t="shared" si="15"/>
        <v/>
      </c>
    </row>
    <row r="495" spans="1:12" x14ac:dyDescent="0.2">
      <c r="A495" s="3" t="str">
        <f>IF(IFERROR(MATCH(479,ChqRankL,0),0)=0,"",479)</f>
        <v/>
      </c>
      <c r="B495" s="13" t="str">
        <f>IF(IFERROR(MATCH(479,ChqRankL,0),0)=0,"",INDEX(ChqNorm,IFERROR(MATCH(479,ChqRankL,0),0)))</f>
        <v/>
      </c>
      <c r="C495" s="13" t="str">
        <f>IF(IFERROR(MATCH(479,ChqRankL,0),0)=0,"",INDEX(ChqNo,IFERROR(MATCH(479,ChqRankL,0),0)))</f>
        <v/>
      </c>
      <c r="D495" s="14" t="str">
        <f>IF(IFERROR(MATCH(479,ChqRankL,0),0)=0,"",IF(INDEX(ChqAmt,IFERROR(MATCH(479,ChqRankL,0),0))=0,"",INDEX(ChqAmt,IFERROR(MATCH(479,ChqRankL,0),0))))</f>
        <v/>
      </c>
      <c r="E495" s="7" t="str">
        <f>IF(IFERROR(MATCH(479,ChqRankL,0),0)=0,"",INDEX(ChqStatus,IFERROR(MATCH(479,ChqRankL,0),0)))</f>
        <v/>
      </c>
      <c r="F495" s="13" t="str">
        <f>IF(IFERROR(MATCH(479,ChqRankL,0),0)=0,"",IF(INDEX(ChqStatus,IFERROR(MATCH(479,ChqRankL,0),0))="پاس نشده","—",IF(INDEX(ChqClr,IFERROR(MATCH(479,ChqRankL,0),0))="","—",INDEX(ChqClr,IFERROR(MATCH(479,ChqRankL,0),0)))))</f>
        <v/>
      </c>
      <c r="I495" t="str">
        <f>IF(479&gt;NChq,"",INDEX(ChqNorm,479))</f>
        <v/>
      </c>
      <c r="J495" t="str">
        <f t="shared" si="14"/>
        <v/>
      </c>
      <c r="K495" t="str">
        <f>IF($J495=0,"",INDEX(ChqKey,479))</f>
        <v/>
      </c>
      <c r="L495" t="str">
        <f t="shared" si="15"/>
        <v/>
      </c>
    </row>
    <row r="496" spans="1:12" x14ac:dyDescent="0.2">
      <c r="A496" s="9" t="str">
        <f>IF(IFERROR(MATCH(480,ChqRankL,0),0)=0,"",480)</f>
        <v/>
      </c>
      <c r="B496" s="15" t="str">
        <f>IF(IFERROR(MATCH(480,ChqRankL,0),0)=0,"",INDEX(ChqNorm,IFERROR(MATCH(480,ChqRankL,0),0)))</f>
        <v/>
      </c>
      <c r="C496" s="15" t="str">
        <f>IF(IFERROR(MATCH(480,ChqRankL,0),0)=0,"",INDEX(ChqNo,IFERROR(MATCH(480,ChqRankL,0),0)))</f>
        <v/>
      </c>
      <c r="D496" s="16" t="str">
        <f>IF(IFERROR(MATCH(480,ChqRankL,0),0)=0,"",IF(INDEX(ChqAmt,IFERROR(MATCH(480,ChqRankL,0),0))=0,"",INDEX(ChqAmt,IFERROR(MATCH(480,ChqRankL,0),0))))</f>
        <v/>
      </c>
      <c r="E496" s="10" t="str">
        <f>IF(IFERROR(MATCH(480,ChqRankL,0),0)=0,"",INDEX(ChqStatus,IFERROR(MATCH(480,ChqRankL,0),0)))</f>
        <v/>
      </c>
      <c r="F496" s="15" t="str">
        <f>IF(IFERROR(MATCH(480,ChqRankL,0),0)=0,"",IF(INDEX(ChqStatus,IFERROR(MATCH(480,ChqRankL,0),0))="پاس نشده","—",IF(INDEX(ChqClr,IFERROR(MATCH(480,ChqRankL,0),0))="","—",INDEX(ChqClr,IFERROR(MATCH(480,ChqRankL,0),0)))))</f>
        <v/>
      </c>
      <c r="I496" t="str">
        <f>IF(480&gt;NChq,"",INDEX(ChqNorm,480))</f>
        <v/>
      </c>
      <c r="J496" t="str">
        <f t="shared" si="14"/>
        <v/>
      </c>
      <c r="K496" t="str">
        <f>IF($J496=0,"",INDEX(ChqKey,480))</f>
        <v/>
      </c>
      <c r="L496" t="str">
        <f t="shared" si="15"/>
        <v/>
      </c>
    </row>
    <row r="497" spans="1:12" x14ac:dyDescent="0.2">
      <c r="A497" s="3" t="str">
        <f>IF(IFERROR(MATCH(481,ChqRankL,0),0)=0,"",481)</f>
        <v/>
      </c>
      <c r="B497" s="13" t="str">
        <f>IF(IFERROR(MATCH(481,ChqRankL,0),0)=0,"",INDEX(ChqNorm,IFERROR(MATCH(481,ChqRankL,0),0)))</f>
        <v/>
      </c>
      <c r="C497" s="13" t="str">
        <f>IF(IFERROR(MATCH(481,ChqRankL,0),0)=0,"",INDEX(ChqNo,IFERROR(MATCH(481,ChqRankL,0),0)))</f>
        <v/>
      </c>
      <c r="D497" s="14" t="str">
        <f>IF(IFERROR(MATCH(481,ChqRankL,0),0)=0,"",IF(INDEX(ChqAmt,IFERROR(MATCH(481,ChqRankL,0),0))=0,"",INDEX(ChqAmt,IFERROR(MATCH(481,ChqRankL,0),0))))</f>
        <v/>
      </c>
      <c r="E497" s="7" t="str">
        <f>IF(IFERROR(MATCH(481,ChqRankL,0),0)=0,"",INDEX(ChqStatus,IFERROR(MATCH(481,ChqRankL,0),0)))</f>
        <v/>
      </c>
      <c r="F497" s="13" t="str">
        <f>IF(IFERROR(MATCH(481,ChqRankL,0),0)=0,"",IF(INDEX(ChqStatus,IFERROR(MATCH(481,ChqRankL,0),0))="پاس نشده","—",IF(INDEX(ChqClr,IFERROR(MATCH(481,ChqRankL,0),0))="","—",INDEX(ChqClr,IFERROR(MATCH(481,ChqRankL,0),0)))))</f>
        <v/>
      </c>
      <c r="I497" t="str">
        <f>IF(481&gt;NChq,"",INDEX(ChqNorm,481))</f>
        <v/>
      </c>
      <c r="J497" t="str">
        <f t="shared" si="14"/>
        <v/>
      </c>
      <c r="K497" t="str">
        <f>IF($J497=0,"",INDEX(ChqKey,481))</f>
        <v/>
      </c>
      <c r="L497" t="str">
        <f t="shared" si="15"/>
        <v/>
      </c>
    </row>
    <row r="498" spans="1:12" x14ac:dyDescent="0.2">
      <c r="A498" s="9" t="str">
        <f>IF(IFERROR(MATCH(482,ChqRankL,0),0)=0,"",482)</f>
        <v/>
      </c>
      <c r="B498" s="15" t="str">
        <f>IF(IFERROR(MATCH(482,ChqRankL,0),0)=0,"",INDEX(ChqNorm,IFERROR(MATCH(482,ChqRankL,0),0)))</f>
        <v/>
      </c>
      <c r="C498" s="15" t="str">
        <f>IF(IFERROR(MATCH(482,ChqRankL,0),0)=0,"",INDEX(ChqNo,IFERROR(MATCH(482,ChqRankL,0),0)))</f>
        <v/>
      </c>
      <c r="D498" s="16" t="str">
        <f>IF(IFERROR(MATCH(482,ChqRankL,0),0)=0,"",IF(INDEX(ChqAmt,IFERROR(MATCH(482,ChqRankL,0),0))=0,"",INDEX(ChqAmt,IFERROR(MATCH(482,ChqRankL,0),0))))</f>
        <v/>
      </c>
      <c r="E498" s="10" t="str">
        <f>IF(IFERROR(MATCH(482,ChqRankL,0),0)=0,"",INDEX(ChqStatus,IFERROR(MATCH(482,ChqRankL,0),0)))</f>
        <v/>
      </c>
      <c r="F498" s="15" t="str">
        <f>IF(IFERROR(MATCH(482,ChqRankL,0),0)=0,"",IF(INDEX(ChqStatus,IFERROR(MATCH(482,ChqRankL,0),0))="پاس نشده","—",IF(INDEX(ChqClr,IFERROR(MATCH(482,ChqRankL,0),0))="","—",INDEX(ChqClr,IFERROR(MATCH(482,ChqRankL,0),0)))))</f>
        <v/>
      </c>
      <c r="I498" t="str">
        <f>IF(482&gt;NChq,"",INDEX(ChqNorm,482))</f>
        <v/>
      </c>
      <c r="J498" t="str">
        <f t="shared" si="14"/>
        <v/>
      </c>
      <c r="K498" t="str">
        <f>IF($J498=0,"",INDEX(ChqKey,482))</f>
        <v/>
      </c>
      <c r="L498" t="str">
        <f t="shared" si="15"/>
        <v/>
      </c>
    </row>
    <row r="499" spans="1:12" x14ac:dyDescent="0.2">
      <c r="A499" s="3" t="str">
        <f>IF(IFERROR(MATCH(483,ChqRankL,0),0)=0,"",483)</f>
        <v/>
      </c>
      <c r="B499" s="13" t="str">
        <f>IF(IFERROR(MATCH(483,ChqRankL,0),0)=0,"",INDEX(ChqNorm,IFERROR(MATCH(483,ChqRankL,0),0)))</f>
        <v/>
      </c>
      <c r="C499" s="13" t="str">
        <f>IF(IFERROR(MATCH(483,ChqRankL,0),0)=0,"",INDEX(ChqNo,IFERROR(MATCH(483,ChqRankL,0),0)))</f>
        <v/>
      </c>
      <c r="D499" s="14" t="str">
        <f>IF(IFERROR(MATCH(483,ChqRankL,0),0)=0,"",IF(INDEX(ChqAmt,IFERROR(MATCH(483,ChqRankL,0),0))=0,"",INDEX(ChqAmt,IFERROR(MATCH(483,ChqRankL,0),0))))</f>
        <v/>
      </c>
      <c r="E499" s="7" t="str">
        <f>IF(IFERROR(MATCH(483,ChqRankL,0),0)=0,"",INDEX(ChqStatus,IFERROR(MATCH(483,ChqRankL,0),0)))</f>
        <v/>
      </c>
      <c r="F499" s="13" t="str">
        <f>IF(IFERROR(MATCH(483,ChqRankL,0),0)=0,"",IF(INDEX(ChqStatus,IFERROR(MATCH(483,ChqRankL,0),0))="پاس نشده","—",IF(INDEX(ChqClr,IFERROR(MATCH(483,ChqRankL,0),0))="","—",INDEX(ChqClr,IFERROR(MATCH(483,ChqRankL,0),0)))))</f>
        <v/>
      </c>
      <c r="I499" t="str">
        <f>IF(483&gt;NChq,"",INDEX(ChqNorm,483))</f>
        <v/>
      </c>
      <c r="J499" t="str">
        <f t="shared" si="14"/>
        <v/>
      </c>
      <c r="K499" t="str">
        <f>IF($J499=0,"",INDEX(ChqKey,483))</f>
        <v/>
      </c>
      <c r="L499" t="str">
        <f t="shared" si="15"/>
        <v/>
      </c>
    </row>
    <row r="500" spans="1:12" x14ac:dyDescent="0.2">
      <c r="A500" s="9" t="str">
        <f>IF(IFERROR(MATCH(484,ChqRankL,0),0)=0,"",484)</f>
        <v/>
      </c>
      <c r="B500" s="15" t="str">
        <f>IF(IFERROR(MATCH(484,ChqRankL,0),0)=0,"",INDEX(ChqNorm,IFERROR(MATCH(484,ChqRankL,0),0)))</f>
        <v/>
      </c>
      <c r="C500" s="15" t="str">
        <f>IF(IFERROR(MATCH(484,ChqRankL,0),0)=0,"",INDEX(ChqNo,IFERROR(MATCH(484,ChqRankL,0),0)))</f>
        <v/>
      </c>
      <c r="D500" s="16" t="str">
        <f>IF(IFERROR(MATCH(484,ChqRankL,0),0)=0,"",IF(INDEX(ChqAmt,IFERROR(MATCH(484,ChqRankL,0),0))=0,"",INDEX(ChqAmt,IFERROR(MATCH(484,ChqRankL,0),0))))</f>
        <v/>
      </c>
      <c r="E500" s="10" t="str">
        <f>IF(IFERROR(MATCH(484,ChqRankL,0),0)=0,"",INDEX(ChqStatus,IFERROR(MATCH(484,ChqRankL,0),0)))</f>
        <v/>
      </c>
      <c r="F500" s="15" t="str">
        <f>IF(IFERROR(MATCH(484,ChqRankL,0),0)=0,"",IF(INDEX(ChqStatus,IFERROR(MATCH(484,ChqRankL,0),0))="پاس نشده","—",IF(INDEX(ChqClr,IFERROR(MATCH(484,ChqRankL,0),0))="","—",INDEX(ChqClr,IFERROR(MATCH(484,ChqRankL,0),0)))))</f>
        <v/>
      </c>
      <c r="I500" t="str">
        <f>IF(484&gt;NChq,"",INDEX(ChqNorm,484))</f>
        <v/>
      </c>
      <c r="J500" t="str">
        <f t="shared" si="14"/>
        <v/>
      </c>
      <c r="K500" t="str">
        <f>IF($J500=0,"",INDEX(ChqKey,484))</f>
        <v/>
      </c>
      <c r="L500" t="str">
        <f t="shared" si="15"/>
        <v/>
      </c>
    </row>
    <row r="501" spans="1:12" x14ac:dyDescent="0.2">
      <c r="A501" s="3" t="str">
        <f>IF(IFERROR(MATCH(485,ChqRankL,0),0)=0,"",485)</f>
        <v/>
      </c>
      <c r="B501" s="13" t="str">
        <f>IF(IFERROR(MATCH(485,ChqRankL,0),0)=0,"",INDEX(ChqNorm,IFERROR(MATCH(485,ChqRankL,0),0)))</f>
        <v/>
      </c>
      <c r="C501" s="13" t="str">
        <f>IF(IFERROR(MATCH(485,ChqRankL,0),0)=0,"",INDEX(ChqNo,IFERROR(MATCH(485,ChqRankL,0),0)))</f>
        <v/>
      </c>
      <c r="D501" s="14" t="str">
        <f>IF(IFERROR(MATCH(485,ChqRankL,0),0)=0,"",IF(INDEX(ChqAmt,IFERROR(MATCH(485,ChqRankL,0),0))=0,"",INDEX(ChqAmt,IFERROR(MATCH(485,ChqRankL,0),0))))</f>
        <v/>
      </c>
      <c r="E501" s="7" t="str">
        <f>IF(IFERROR(MATCH(485,ChqRankL,0),0)=0,"",INDEX(ChqStatus,IFERROR(MATCH(485,ChqRankL,0),0)))</f>
        <v/>
      </c>
      <c r="F501" s="13" t="str">
        <f>IF(IFERROR(MATCH(485,ChqRankL,0),0)=0,"",IF(INDEX(ChqStatus,IFERROR(MATCH(485,ChqRankL,0),0))="پاس نشده","—",IF(INDEX(ChqClr,IFERROR(MATCH(485,ChqRankL,0),0))="","—",INDEX(ChqClr,IFERROR(MATCH(485,ChqRankL,0),0)))))</f>
        <v/>
      </c>
      <c r="I501" t="str">
        <f>IF(485&gt;NChq,"",INDEX(ChqNorm,485))</f>
        <v/>
      </c>
      <c r="J501" t="str">
        <f t="shared" si="14"/>
        <v/>
      </c>
      <c r="K501" t="str">
        <f>IF($J501=0,"",INDEX(ChqKey,485))</f>
        <v/>
      </c>
      <c r="L501" t="str">
        <f t="shared" si="15"/>
        <v/>
      </c>
    </row>
    <row r="502" spans="1:12" x14ac:dyDescent="0.2">
      <c r="A502" s="9" t="str">
        <f>IF(IFERROR(MATCH(486,ChqRankL,0),0)=0,"",486)</f>
        <v/>
      </c>
      <c r="B502" s="15" t="str">
        <f>IF(IFERROR(MATCH(486,ChqRankL,0),0)=0,"",INDEX(ChqNorm,IFERROR(MATCH(486,ChqRankL,0),0)))</f>
        <v/>
      </c>
      <c r="C502" s="15" t="str">
        <f>IF(IFERROR(MATCH(486,ChqRankL,0),0)=0,"",INDEX(ChqNo,IFERROR(MATCH(486,ChqRankL,0),0)))</f>
        <v/>
      </c>
      <c r="D502" s="16" t="str">
        <f>IF(IFERROR(MATCH(486,ChqRankL,0),0)=0,"",IF(INDEX(ChqAmt,IFERROR(MATCH(486,ChqRankL,0),0))=0,"",INDEX(ChqAmt,IFERROR(MATCH(486,ChqRankL,0),0))))</f>
        <v/>
      </c>
      <c r="E502" s="10" t="str">
        <f>IF(IFERROR(MATCH(486,ChqRankL,0),0)=0,"",INDEX(ChqStatus,IFERROR(MATCH(486,ChqRankL,0),0)))</f>
        <v/>
      </c>
      <c r="F502" s="15" t="str">
        <f>IF(IFERROR(MATCH(486,ChqRankL,0),0)=0,"",IF(INDEX(ChqStatus,IFERROR(MATCH(486,ChqRankL,0),0))="پاس نشده","—",IF(INDEX(ChqClr,IFERROR(MATCH(486,ChqRankL,0),0))="","—",INDEX(ChqClr,IFERROR(MATCH(486,ChqRankL,0),0)))))</f>
        <v/>
      </c>
      <c r="I502" t="str">
        <f>IF(486&gt;NChq,"",INDEX(ChqNorm,486))</f>
        <v/>
      </c>
      <c r="J502" t="str">
        <f t="shared" si="14"/>
        <v/>
      </c>
      <c r="K502" t="str">
        <f>IF($J502=0,"",INDEX(ChqKey,486))</f>
        <v/>
      </c>
      <c r="L502" t="str">
        <f t="shared" si="15"/>
        <v/>
      </c>
    </row>
    <row r="503" spans="1:12" x14ac:dyDescent="0.2">
      <c r="A503" s="3" t="str">
        <f>IF(IFERROR(MATCH(487,ChqRankL,0),0)=0,"",487)</f>
        <v/>
      </c>
      <c r="B503" s="13" t="str">
        <f>IF(IFERROR(MATCH(487,ChqRankL,0),0)=0,"",INDEX(ChqNorm,IFERROR(MATCH(487,ChqRankL,0),0)))</f>
        <v/>
      </c>
      <c r="C503" s="13" t="str">
        <f>IF(IFERROR(MATCH(487,ChqRankL,0),0)=0,"",INDEX(ChqNo,IFERROR(MATCH(487,ChqRankL,0),0)))</f>
        <v/>
      </c>
      <c r="D503" s="14" t="str">
        <f>IF(IFERROR(MATCH(487,ChqRankL,0),0)=0,"",IF(INDEX(ChqAmt,IFERROR(MATCH(487,ChqRankL,0),0))=0,"",INDEX(ChqAmt,IFERROR(MATCH(487,ChqRankL,0),0))))</f>
        <v/>
      </c>
      <c r="E503" s="7" t="str">
        <f>IF(IFERROR(MATCH(487,ChqRankL,0),0)=0,"",INDEX(ChqStatus,IFERROR(MATCH(487,ChqRankL,0),0)))</f>
        <v/>
      </c>
      <c r="F503" s="13" t="str">
        <f>IF(IFERROR(MATCH(487,ChqRankL,0),0)=0,"",IF(INDEX(ChqStatus,IFERROR(MATCH(487,ChqRankL,0),0))="پاس نشده","—",IF(INDEX(ChqClr,IFERROR(MATCH(487,ChqRankL,0),0))="","—",INDEX(ChqClr,IFERROR(MATCH(487,ChqRankL,0),0)))))</f>
        <v/>
      </c>
      <c r="I503" t="str">
        <f>IF(487&gt;NChq,"",INDEX(ChqNorm,487))</f>
        <v/>
      </c>
      <c r="J503" t="str">
        <f t="shared" si="14"/>
        <v/>
      </c>
      <c r="K503" t="str">
        <f>IF($J503=0,"",INDEX(ChqKey,487))</f>
        <v/>
      </c>
      <c r="L503" t="str">
        <f t="shared" si="15"/>
        <v/>
      </c>
    </row>
    <row r="504" spans="1:12" x14ac:dyDescent="0.2">
      <c r="A504" s="9" t="str">
        <f>IF(IFERROR(MATCH(488,ChqRankL,0),0)=0,"",488)</f>
        <v/>
      </c>
      <c r="B504" s="15" t="str">
        <f>IF(IFERROR(MATCH(488,ChqRankL,0),0)=0,"",INDEX(ChqNorm,IFERROR(MATCH(488,ChqRankL,0),0)))</f>
        <v/>
      </c>
      <c r="C504" s="15" t="str">
        <f>IF(IFERROR(MATCH(488,ChqRankL,0),0)=0,"",INDEX(ChqNo,IFERROR(MATCH(488,ChqRankL,0),0)))</f>
        <v/>
      </c>
      <c r="D504" s="16" t="str">
        <f>IF(IFERROR(MATCH(488,ChqRankL,0),0)=0,"",IF(INDEX(ChqAmt,IFERROR(MATCH(488,ChqRankL,0),0))=0,"",INDEX(ChqAmt,IFERROR(MATCH(488,ChqRankL,0),0))))</f>
        <v/>
      </c>
      <c r="E504" s="10" t="str">
        <f>IF(IFERROR(MATCH(488,ChqRankL,0),0)=0,"",INDEX(ChqStatus,IFERROR(MATCH(488,ChqRankL,0),0)))</f>
        <v/>
      </c>
      <c r="F504" s="15" t="str">
        <f>IF(IFERROR(MATCH(488,ChqRankL,0),0)=0,"",IF(INDEX(ChqStatus,IFERROR(MATCH(488,ChqRankL,0),0))="پاس نشده","—",IF(INDEX(ChqClr,IFERROR(MATCH(488,ChqRankL,0),0))="","—",INDEX(ChqClr,IFERROR(MATCH(488,ChqRankL,0),0)))))</f>
        <v/>
      </c>
      <c r="I504" t="str">
        <f>IF(488&gt;NChq,"",INDEX(ChqNorm,488))</f>
        <v/>
      </c>
      <c r="J504" t="str">
        <f t="shared" si="14"/>
        <v/>
      </c>
      <c r="K504" t="str">
        <f>IF($J504=0,"",INDEX(ChqKey,488))</f>
        <v/>
      </c>
      <c r="L504" t="str">
        <f t="shared" si="15"/>
        <v/>
      </c>
    </row>
    <row r="505" spans="1:12" x14ac:dyDescent="0.2">
      <c r="A505" s="3" t="str">
        <f>IF(IFERROR(MATCH(489,ChqRankL,0),0)=0,"",489)</f>
        <v/>
      </c>
      <c r="B505" s="13" t="str">
        <f>IF(IFERROR(MATCH(489,ChqRankL,0),0)=0,"",INDEX(ChqNorm,IFERROR(MATCH(489,ChqRankL,0),0)))</f>
        <v/>
      </c>
      <c r="C505" s="13" t="str">
        <f>IF(IFERROR(MATCH(489,ChqRankL,0),0)=0,"",INDEX(ChqNo,IFERROR(MATCH(489,ChqRankL,0),0)))</f>
        <v/>
      </c>
      <c r="D505" s="14" t="str">
        <f>IF(IFERROR(MATCH(489,ChqRankL,0),0)=0,"",IF(INDEX(ChqAmt,IFERROR(MATCH(489,ChqRankL,0),0))=0,"",INDEX(ChqAmt,IFERROR(MATCH(489,ChqRankL,0),0))))</f>
        <v/>
      </c>
      <c r="E505" s="7" t="str">
        <f>IF(IFERROR(MATCH(489,ChqRankL,0),0)=0,"",INDEX(ChqStatus,IFERROR(MATCH(489,ChqRankL,0),0)))</f>
        <v/>
      </c>
      <c r="F505" s="13" t="str">
        <f>IF(IFERROR(MATCH(489,ChqRankL,0),0)=0,"",IF(INDEX(ChqStatus,IFERROR(MATCH(489,ChqRankL,0),0))="پاس نشده","—",IF(INDEX(ChqClr,IFERROR(MATCH(489,ChqRankL,0),0))="","—",INDEX(ChqClr,IFERROR(MATCH(489,ChqRankL,0),0)))))</f>
        <v/>
      </c>
      <c r="I505" t="str">
        <f>IF(489&gt;NChq,"",INDEX(ChqNorm,489))</f>
        <v/>
      </c>
      <c r="J505" t="str">
        <f t="shared" si="14"/>
        <v/>
      </c>
      <c r="K505" t="str">
        <f>IF($J505=0,"",INDEX(ChqKey,489))</f>
        <v/>
      </c>
      <c r="L505" t="str">
        <f t="shared" si="15"/>
        <v/>
      </c>
    </row>
    <row r="506" spans="1:12" x14ac:dyDescent="0.2">
      <c r="A506" s="9" t="str">
        <f>IF(IFERROR(MATCH(490,ChqRankL,0),0)=0,"",490)</f>
        <v/>
      </c>
      <c r="B506" s="15" t="str">
        <f>IF(IFERROR(MATCH(490,ChqRankL,0),0)=0,"",INDEX(ChqNorm,IFERROR(MATCH(490,ChqRankL,0),0)))</f>
        <v/>
      </c>
      <c r="C506" s="15" t="str">
        <f>IF(IFERROR(MATCH(490,ChqRankL,0),0)=0,"",INDEX(ChqNo,IFERROR(MATCH(490,ChqRankL,0),0)))</f>
        <v/>
      </c>
      <c r="D506" s="16" t="str">
        <f>IF(IFERROR(MATCH(490,ChqRankL,0),0)=0,"",IF(INDEX(ChqAmt,IFERROR(MATCH(490,ChqRankL,0),0))=0,"",INDEX(ChqAmt,IFERROR(MATCH(490,ChqRankL,0),0))))</f>
        <v/>
      </c>
      <c r="E506" s="10" t="str">
        <f>IF(IFERROR(MATCH(490,ChqRankL,0),0)=0,"",INDEX(ChqStatus,IFERROR(MATCH(490,ChqRankL,0),0)))</f>
        <v/>
      </c>
      <c r="F506" s="15" t="str">
        <f>IF(IFERROR(MATCH(490,ChqRankL,0),0)=0,"",IF(INDEX(ChqStatus,IFERROR(MATCH(490,ChqRankL,0),0))="پاس نشده","—",IF(INDEX(ChqClr,IFERROR(MATCH(490,ChqRankL,0),0))="","—",INDEX(ChqClr,IFERROR(MATCH(490,ChqRankL,0),0)))))</f>
        <v/>
      </c>
      <c r="I506" t="str">
        <f>IF(490&gt;NChq,"",INDEX(ChqNorm,490))</f>
        <v/>
      </c>
      <c r="J506" t="str">
        <f t="shared" si="14"/>
        <v/>
      </c>
      <c r="K506" t="str">
        <f>IF($J506=0,"",INDEX(ChqKey,490))</f>
        <v/>
      </c>
      <c r="L506" t="str">
        <f t="shared" si="15"/>
        <v/>
      </c>
    </row>
    <row r="507" spans="1:12" x14ac:dyDescent="0.2">
      <c r="A507" s="3" t="str">
        <f>IF(IFERROR(MATCH(491,ChqRankL,0),0)=0,"",491)</f>
        <v/>
      </c>
      <c r="B507" s="13" t="str">
        <f>IF(IFERROR(MATCH(491,ChqRankL,0),0)=0,"",INDEX(ChqNorm,IFERROR(MATCH(491,ChqRankL,0),0)))</f>
        <v/>
      </c>
      <c r="C507" s="13" t="str">
        <f>IF(IFERROR(MATCH(491,ChqRankL,0),0)=0,"",INDEX(ChqNo,IFERROR(MATCH(491,ChqRankL,0),0)))</f>
        <v/>
      </c>
      <c r="D507" s="14" t="str">
        <f>IF(IFERROR(MATCH(491,ChqRankL,0),0)=0,"",IF(INDEX(ChqAmt,IFERROR(MATCH(491,ChqRankL,0),0))=0,"",INDEX(ChqAmt,IFERROR(MATCH(491,ChqRankL,0),0))))</f>
        <v/>
      </c>
      <c r="E507" s="7" t="str">
        <f>IF(IFERROR(MATCH(491,ChqRankL,0),0)=0,"",INDEX(ChqStatus,IFERROR(MATCH(491,ChqRankL,0),0)))</f>
        <v/>
      </c>
      <c r="F507" s="13" t="str">
        <f>IF(IFERROR(MATCH(491,ChqRankL,0),0)=0,"",IF(INDEX(ChqStatus,IFERROR(MATCH(491,ChqRankL,0),0))="پاس نشده","—",IF(INDEX(ChqClr,IFERROR(MATCH(491,ChqRankL,0),0))="","—",INDEX(ChqClr,IFERROR(MATCH(491,ChqRankL,0),0)))))</f>
        <v/>
      </c>
      <c r="I507" t="str">
        <f>IF(491&gt;NChq,"",INDEX(ChqNorm,491))</f>
        <v/>
      </c>
      <c r="J507" t="str">
        <f t="shared" si="14"/>
        <v/>
      </c>
      <c r="K507" t="str">
        <f>IF($J507=0,"",INDEX(ChqKey,491))</f>
        <v/>
      </c>
      <c r="L507" t="str">
        <f t="shared" si="15"/>
        <v/>
      </c>
    </row>
    <row r="508" spans="1:12" x14ac:dyDescent="0.2">
      <c r="A508" s="9" t="str">
        <f>IF(IFERROR(MATCH(492,ChqRankL,0),0)=0,"",492)</f>
        <v/>
      </c>
      <c r="B508" s="15" t="str">
        <f>IF(IFERROR(MATCH(492,ChqRankL,0),0)=0,"",INDEX(ChqNorm,IFERROR(MATCH(492,ChqRankL,0),0)))</f>
        <v/>
      </c>
      <c r="C508" s="15" t="str">
        <f>IF(IFERROR(MATCH(492,ChqRankL,0),0)=0,"",INDEX(ChqNo,IFERROR(MATCH(492,ChqRankL,0),0)))</f>
        <v/>
      </c>
      <c r="D508" s="16" t="str">
        <f>IF(IFERROR(MATCH(492,ChqRankL,0),0)=0,"",IF(INDEX(ChqAmt,IFERROR(MATCH(492,ChqRankL,0),0))=0,"",INDEX(ChqAmt,IFERROR(MATCH(492,ChqRankL,0),0))))</f>
        <v/>
      </c>
      <c r="E508" s="10" t="str">
        <f>IF(IFERROR(MATCH(492,ChqRankL,0),0)=0,"",INDEX(ChqStatus,IFERROR(MATCH(492,ChqRankL,0),0)))</f>
        <v/>
      </c>
      <c r="F508" s="15" t="str">
        <f>IF(IFERROR(MATCH(492,ChqRankL,0),0)=0,"",IF(INDEX(ChqStatus,IFERROR(MATCH(492,ChqRankL,0),0))="پاس نشده","—",IF(INDEX(ChqClr,IFERROR(MATCH(492,ChqRankL,0),0))="","—",INDEX(ChqClr,IFERROR(MATCH(492,ChqRankL,0),0)))))</f>
        <v/>
      </c>
      <c r="I508" t="str">
        <f>IF(492&gt;NChq,"",INDEX(ChqNorm,492))</f>
        <v/>
      </c>
      <c r="J508" t="str">
        <f t="shared" si="14"/>
        <v/>
      </c>
      <c r="K508" t="str">
        <f>IF($J508=0,"",INDEX(ChqKey,492))</f>
        <v/>
      </c>
      <c r="L508" t="str">
        <f t="shared" si="15"/>
        <v/>
      </c>
    </row>
    <row r="509" spans="1:12" x14ac:dyDescent="0.2">
      <c r="A509" s="3" t="str">
        <f>IF(IFERROR(MATCH(493,ChqRankL,0),0)=0,"",493)</f>
        <v/>
      </c>
      <c r="B509" s="13" t="str">
        <f>IF(IFERROR(MATCH(493,ChqRankL,0),0)=0,"",INDEX(ChqNorm,IFERROR(MATCH(493,ChqRankL,0),0)))</f>
        <v/>
      </c>
      <c r="C509" s="13" t="str">
        <f>IF(IFERROR(MATCH(493,ChqRankL,0),0)=0,"",INDEX(ChqNo,IFERROR(MATCH(493,ChqRankL,0),0)))</f>
        <v/>
      </c>
      <c r="D509" s="14" t="str">
        <f>IF(IFERROR(MATCH(493,ChqRankL,0),0)=0,"",IF(INDEX(ChqAmt,IFERROR(MATCH(493,ChqRankL,0),0))=0,"",INDEX(ChqAmt,IFERROR(MATCH(493,ChqRankL,0),0))))</f>
        <v/>
      </c>
      <c r="E509" s="7" t="str">
        <f>IF(IFERROR(MATCH(493,ChqRankL,0),0)=0,"",INDEX(ChqStatus,IFERROR(MATCH(493,ChqRankL,0),0)))</f>
        <v/>
      </c>
      <c r="F509" s="13" t="str">
        <f>IF(IFERROR(MATCH(493,ChqRankL,0),0)=0,"",IF(INDEX(ChqStatus,IFERROR(MATCH(493,ChqRankL,0),0))="پاس نشده","—",IF(INDEX(ChqClr,IFERROR(MATCH(493,ChqRankL,0),0))="","—",INDEX(ChqClr,IFERROR(MATCH(493,ChqRankL,0),0)))))</f>
        <v/>
      </c>
      <c r="I509" t="str">
        <f>IF(493&gt;NChq,"",INDEX(ChqNorm,493))</f>
        <v/>
      </c>
      <c r="J509" t="str">
        <f t="shared" si="14"/>
        <v/>
      </c>
      <c r="K509" t="str">
        <f>IF($J509=0,"",INDEX(ChqKey,493))</f>
        <v/>
      </c>
      <c r="L509" t="str">
        <f t="shared" si="15"/>
        <v/>
      </c>
    </row>
    <row r="510" spans="1:12" x14ac:dyDescent="0.2">
      <c r="A510" s="9" t="str">
        <f>IF(IFERROR(MATCH(494,ChqRankL,0),0)=0,"",494)</f>
        <v/>
      </c>
      <c r="B510" s="15" t="str">
        <f>IF(IFERROR(MATCH(494,ChqRankL,0),0)=0,"",INDEX(ChqNorm,IFERROR(MATCH(494,ChqRankL,0),0)))</f>
        <v/>
      </c>
      <c r="C510" s="15" t="str">
        <f>IF(IFERROR(MATCH(494,ChqRankL,0),0)=0,"",INDEX(ChqNo,IFERROR(MATCH(494,ChqRankL,0),0)))</f>
        <v/>
      </c>
      <c r="D510" s="16" t="str">
        <f>IF(IFERROR(MATCH(494,ChqRankL,0),0)=0,"",IF(INDEX(ChqAmt,IFERROR(MATCH(494,ChqRankL,0),0))=0,"",INDEX(ChqAmt,IFERROR(MATCH(494,ChqRankL,0),0))))</f>
        <v/>
      </c>
      <c r="E510" s="10" t="str">
        <f>IF(IFERROR(MATCH(494,ChqRankL,0),0)=0,"",INDEX(ChqStatus,IFERROR(MATCH(494,ChqRankL,0),0)))</f>
        <v/>
      </c>
      <c r="F510" s="15" t="str">
        <f>IF(IFERROR(MATCH(494,ChqRankL,0),0)=0,"",IF(INDEX(ChqStatus,IFERROR(MATCH(494,ChqRankL,0),0))="پاس نشده","—",IF(INDEX(ChqClr,IFERROR(MATCH(494,ChqRankL,0),0))="","—",INDEX(ChqClr,IFERROR(MATCH(494,ChqRankL,0),0)))))</f>
        <v/>
      </c>
      <c r="I510" t="str">
        <f>IF(494&gt;NChq,"",INDEX(ChqNorm,494))</f>
        <v/>
      </c>
      <c r="J510" t="str">
        <f t="shared" si="14"/>
        <v/>
      </c>
      <c r="K510" t="str">
        <f>IF($J510=0,"",INDEX(ChqKey,494))</f>
        <v/>
      </c>
      <c r="L510" t="str">
        <f t="shared" si="15"/>
        <v/>
      </c>
    </row>
    <row r="511" spans="1:12" x14ac:dyDescent="0.2">
      <c r="A511" s="3" t="str">
        <f>IF(IFERROR(MATCH(495,ChqRankL,0),0)=0,"",495)</f>
        <v/>
      </c>
      <c r="B511" s="13" t="str">
        <f>IF(IFERROR(MATCH(495,ChqRankL,0),0)=0,"",INDEX(ChqNorm,IFERROR(MATCH(495,ChqRankL,0),0)))</f>
        <v/>
      </c>
      <c r="C511" s="13" t="str">
        <f>IF(IFERROR(MATCH(495,ChqRankL,0),0)=0,"",INDEX(ChqNo,IFERROR(MATCH(495,ChqRankL,0),0)))</f>
        <v/>
      </c>
      <c r="D511" s="14" t="str">
        <f>IF(IFERROR(MATCH(495,ChqRankL,0),0)=0,"",IF(INDEX(ChqAmt,IFERROR(MATCH(495,ChqRankL,0),0))=0,"",INDEX(ChqAmt,IFERROR(MATCH(495,ChqRankL,0),0))))</f>
        <v/>
      </c>
      <c r="E511" s="7" t="str">
        <f>IF(IFERROR(MATCH(495,ChqRankL,0),0)=0,"",INDEX(ChqStatus,IFERROR(MATCH(495,ChqRankL,0),0)))</f>
        <v/>
      </c>
      <c r="F511" s="13" t="str">
        <f>IF(IFERROR(MATCH(495,ChqRankL,0),0)=0,"",IF(INDEX(ChqStatus,IFERROR(MATCH(495,ChqRankL,0),0))="پاس نشده","—",IF(INDEX(ChqClr,IFERROR(MATCH(495,ChqRankL,0),0))="","—",INDEX(ChqClr,IFERROR(MATCH(495,ChqRankL,0),0)))))</f>
        <v/>
      </c>
      <c r="I511" t="str">
        <f>IF(495&gt;NChq,"",INDEX(ChqNorm,495))</f>
        <v/>
      </c>
      <c r="J511" t="str">
        <f t="shared" si="14"/>
        <v/>
      </c>
      <c r="K511" t="str">
        <f>IF($J511=0,"",INDEX(ChqKey,495))</f>
        <v/>
      </c>
      <c r="L511" t="str">
        <f t="shared" si="15"/>
        <v/>
      </c>
    </row>
    <row r="512" spans="1:12" x14ac:dyDescent="0.2">
      <c r="A512" s="9" t="str">
        <f>IF(IFERROR(MATCH(496,ChqRankL,0),0)=0,"",496)</f>
        <v/>
      </c>
      <c r="B512" s="15" t="str">
        <f>IF(IFERROR(MATCH(496,ChqRankL,0),0)=0,"",INDEX(ChqNorm,IFERROR(MATCH(496,ChqRankL,0),0)))</f>
        <v/>
      </c>
      <c r="C512" s="15" t="str">
        <f>IF(IFERROR(MATCH(496,ChqRankL,0),0)=0,"",INDEX(ChqNo,IFERROR(MATCH(496,ChqRankL,0),0)))</f>
        <v/>
      </c>
      <c r="D512" s="16" t="str">
        <f>IF(IFERROR(MATCH(496,ChqRankL,0),0)=0,"",IF(INDEX(ChqAmt,IFERROR(MATCH(496,ChqRankL,0),0))=0,"",INDEX(ChqAmt,IFERROR(MATCH(496,ChqRankL,0),0))))</f>
        <v/>
      </c>
      <c r="E512" s="10" t="str">
        <f>IF(IFERROR(MATCH(496,ChqRankL,0),0)=0,"",INDEX(ChqStatus,IFERROR(MATCH(496,ChqRankL,0),0)))</f>
        <v/>
      </c>
      <c r="F512" s="15" t="str">
        <f>IF(IFERROR(MATCH(496,ChqRankL,0),0)=0,"",IF(INDEX(ChqStatus,IFERROR(MATCH(496,ChqRankL,0),0))="پاس نشده","—",IF(INDEX(ChqClr,IFERROR(MATCH(496,ChqRankL,0),0))="","—",INDEX(ChqClr,IFERROR(MATCH(496,ChqRankL,0),0)))))</f>
        <v/>
      </c>
      <c r="I512" t="str">
        <f>IF(496&gt;NChq,"",INDEX(ChqNorm,496))</f>
        <v/>
      </c>
      <c r="J512" t="str">
        <f t="shared" si="14"/>
        <v/>
      </c>
      <c r="K512" t="str">
        <f>IF($J512=0,"",INDEX(ChqKey,496))</f>
        <v/>
      </c>
      <c r="L512" t="str">
        <f t="shared" si="15"/>
        <v/>
      </c>
    </row>
    <row r="513" spans="1:12" x14ac:dyDescent="0.2">
      <c r="A513" s="3" t="str">
        <f>IF(IFERROR(MATCH(497,ChqRankL,0),0)=0,"",497)</f>
        <v/>
      </c>
      <c r="B513" s="13" t="str">
        <f>IF(IFERROR(MATCH(497,ChqRankL,0),0)=0,"",INDEX(ChqNorm,IFERROR(MATCH(497,ChqRankL,0),0)))</f>
        <v/>
      </c>
      <c r="C513" s="13" t="str">
        <f>IF(IFERROR(MATCH(497,ChqRankL,0),0)=0,"",INDEX(ChqNo,IFERROR(MATCH(497,ChqRankL,0),0)))</f>
        <v/>
      </c>
      <c r="D513" s="14" t="str">
        <f>IF(IFERROR(MATCH(497,ChqRankL,0),0)=0,"",IF(INDEX(ChqAmt,IFERROR(MATCH(497,ChqRankL,0),0))=0,"",INDEX(ChqAmt,IFERROR(MATCH(497,ChqRankL,0),0))))</f>
        <v/>
      </c>
      <c r="E513" s="7" t="str">
        <f>IF(IFERROR(MATCH(497,ChqRankL,0),0)=0,"",INDEX(ChqStatus,IFERROR(MATCH(497,ChqRankL,0),0)))</f>
        <v/>
      </c>
      <c r="F513" s="13" t="str">
        <f>IF(IFERROR(MATCH(497,ChqRankL,0),0)=0,"",IF(INDEX(ChqStatus,IFERROR(MATCH(497,ChqRankL,0),0))="پاس نشده","—",IF(INDEX(ChqClr,IFERROR(MATCH(497,ChqRankL,0),0))="","—",INDEX(ChqClr,IFERROR(MATCH(497,ChqRankL,0),0)))))</f>
        <v/>
      </c>
      <c r="I513" t="str">
        <f>IF(497&gt;NChq,"",INDEX(ChqNorm,497))</f>
        <v/>
      </c>
      <c r="J513" t="str">
        <f t="shared" si="14"/>
        <v/>
      </c>
      <c r="K513" t="str">
        <f>IF($J513=0,"",INDEX(ChqKey,497))</f>
        <v/>
      </c>
      <c r="L513" t="str">
        <f t="shared" si="15"/>
        <v/>
      </c>
    </row>
    <row r="514" spans="1:12" x14ac:dyDescent="0.2">
      <c r="A514" s="9" t="str">
        <f>IF(IFERROR(MATCH(498,ChqRankL,0),0)=0,"",498)</f>
        <v/>
      </c>
      <c r="B514" s="15" t="str">
        <f>IF(IFERROR(MATCH(498,ChqRankL,0),0)=0,"",INDEX(ChqNorm,IFERROR(MATCH(498,ChqRankL,0),0)))</f>
        <v/>
      </c>
      <c r="C514" s="15" t="str">
        <f>IF(IFERROR(MATCH(498,ChqRankL,0),0)=0,"",INDEX(ChqNo,IFERROR(MATCH(498,ChqRankL,0),0)))</f>
        <v/>
      </c>
      <c r="D514" s="16" t="str">
        <f>IF(IFERROR(MATCH(498,ChqRankL,0),0)=0,"",IF(INDEX(ChqAmt,IFERROR(MATCH(498,ChqRankL,0),0))=0,"",INDEX(ChqAmt,IFERROR(MATCH(498,ChqRankL,0),0))))</f>
        <v/>
      </c>
      <c r="E514" s="10" t="str">
        <f>IF(IFERROR(MATCH(498,ChqRankL,0),0)=0,"",INDEX(ChqStatus,IFERROR(MATCH(498,ChqRankL,0),0)))</f>
        <v/>
      </c>
      <c r="F514" s="15" t="str">
        <f>IF(IFERROR(MATCH(498,ChqRankL,0),0)=0,"",IF(INDEX(ChqStatus,IFERROR(MATCH(498,ChqRankL,0),0))="پاس نشده","—",IF(INDEX(ChqClr,IFERROR(MATCH(498,ChqRankL,0),0))="","—",INDEX(ChqClr,IFERROR(MATCH(498,ChqRankL,0),0)))))</f>
        <v/>
      </c>
      <c r="I514" t="str">
        <f>IF(498&gt;NChq,"",INDEX(ChqNorm,498))</f>
        <v/>
      </c>
      <c r="J514" t="str">
        <f t="shared" si="14"/>
        <v/>
      </c>
      <c r="K514" t="str">
        <f>IF($J514=0,"",INDEX(ChqKey,498))</f>
        <v/>
      </c>
      <c r="L514" t="str">
        <f t="shared" si="15"/>
        <v/>
      </c>
    </row>
    <row r="515" spans="1:12" x14ac:dyDescent="0.2">
      <c r="A515" s="3" t="str">
        <f>IF(IFERROR(MATCH(499,ChqRankL,0),0)=0,"",499)</f>
        <v/>
      </c>
      <c r="B515" s="13" t="str">
        <f>IF(IFERROR(MATCH(499,ChqRankL,0),0)=0,"",INDEX(ChqNorm,IFERROR(MATCH(499,ChqRankL,0),0)))</f>
        <v/>
      </c>
      <c r="C515" s="13" t="str">
        <f>IF(IFERROR(MATCH(499,ChqRankL,0),0)=0,"",INDEX(ChqNo,IFERROR(MATCH(499,ChqRankL,0),0)))</f>
        <v/>
      </c>
      <c r="D515" s="14" t="str">
        <f>IF(IFERROR(MATCH(499,ChqRankL,0),0)=0,"",IF(INDEX(ChqAmt,IFERROR(MATCH(499,ChqRankL,0),0))=0,"",INDEX(ChqAmt,IFERROR(MATCH(499,ChqRankL,0),0))))</f>
        <v/>
      </c>
      <c r="E515" s="7" t="str">
        <f>IF(IFERROR(MATCH(499,ChqRankL,0),0)=0,"",INDEX(ChqStatus,IFERROR(MATCH(499,ChqRankL,0),0)))</f>
        <v/>
      </c>
      <c r="F515" s="13" t="str">
        <f>IF(IFERROR(MATCH(499,ChqRankL,0),0)=0,"",IF(INDEX(ChqStatus,IFERROR(MATCH(499,ChqRankL,0),0))="پاس نشده","—",IF(INDEX(ChqClr,IFERROR(MATCH(499,ChqRankL,0),0))="","—",INDEX(ChqClr,IFERROR(MATCH(499,ChqRankL,0),0)))))</f>
        <v/>
      </c>
      <c r="I515" t="str">
        <f>IF(499&gt;NChq,"",INDEX(ChqNorm,499))</f>
        <v/>
      </c>
      <c r="J515" t="str">
        <f t="shared" si="14"/>
        <v/>
      </c>
      <c r="K515" t="str">
        <f>IF($J515=0,"",INDEX(ChqKey,499))</f>
        <v/>
      </c>
      <c r="L515" t="str">
        <f t="shared" si="15"/>
        <v/>
      </c>
    </row>
    <row r="516" spans="1:12" x14ac:dyDescent="0.2">
      <c r="A516" s="9" t="str">
        <f>IF(IFERROR(MATCH(500,ChqRankL,0),0)=0,"",500)</f>
        <v/>
      </c>
      <c r="B516" s="15" t="str">
        <f>IF(IFERROR(MATCH(500,ChqRankL,0),0)=0,"",INDEX(ChqNorm,IFERROR(MATCH(500,ChqRankL,0),0)))</f>
        <v/>
      </c>
      <c r="C516" s="15" t="str">
        <f>IF(IFERROR(MATCH(500,ChqRankL,0),0)=0,"",INDEX(ChqNo,IFERROR(MATCH(500,ChqRankL,0),0)))</f>
        <v/>
      </c>
      <c r="D516" s="16" t="str">
        <f>IF(IFERROR(MATCH(500,ChqRankL,0),0)=0,"",IF(INDEX(ChqAmt,IFERROR(MATCH(500,ChqRankL,0),0))=0,"",INDEX(ChqAmt,IFERROR(MATCH(500,ChqRankL,0),0))))</f>
        <v/>
      </c>
      <c r="E516" s="10" t="str">
        <f>IF(IFERROR(MATCH(500,ChqRankL,0),0)=0,"",INDEX(ChqStatus,IFERROR(MATCH(500,ChqRankL,0),0)))</f>
        <v/>
      </c>
      <c r="F516" s="15" t="str">
        <f>IF(IFERROR(MATCH(500,ChqRankL,0),0)=0,"",IF(INDEX(ChqStatus,IFERROR(MATCH(500,ChqRankL,0),0))="پاس نشده","—",IF(INDEX(ChqClr,IFERROR(MATCH(500,ChqRankL,0),0))="","—",INDEX(ChqClr,IFERROR(MATCH(500,ChqRankL,0),0)))))</f>
        <v/>
      </c>
      <c r="I516" t="str">
        <f>IF(500&gt;NChq,"",INDEX(ChqNorm,500))</f>
        <v/>
      </c>
      <c r="J516" t="str">
        <f t="shared" si="14"/>
        <v/>
      </c>
      <c r="K516" t="str">
        <f>IF($J516=0,"",INDEX(ChqKey,500))</f>
        <v/>
      </c>
      <c r="L516" t="str">
        <f t="shared" si="15"/>
        <v/>
      </c>
    </row>
  </sheetData>
  <mergeCells count="12">
    <mergeCell ref="A2:F2"/>
    <mergeCell ref="C12:D12"/>
    <mergeCell ref="E12:F12"/>
    <mergeCell ref="C11:D11"/>
    <mergeCell ref="A1:F1"/>
    <mergeCell ref="A11:B11"/>
    <mergeCell ref="E11:F11"/>
    <mergeCell ref="E5:F5"/>
    <mergeCell ref="A3:F3"/>
    <mergeCell ref="C5"/>
    <mergeCell ref="A5"/>
    <mergeCell ref="A12:B12"/>
  </mergeCells>
  <conditionalFormatting sqref="E17:E516">
    <cfRule type="cellIs" dxfId="3" priority="1" operator="equal">
      <formula>"پاس شده"</formula>
    </cfRule>
    <cfRule type="cellIs" dxfId="2" priority="2" operator="equal">
      <formula>"پاس نشده"</formula>
    </cfRule>
  </conditionalFormatting>
  <conditionalFormatting sqref="D17:D516">
    <cfRule type="dataBar" priority="3">
      <dataBar>
        <cfvo type="num" val="0"/>
        <cfvo type="max"/>
        <color rgb="FFFFB74D"/>
      </dataBar>
    </cfRule>
  </conditionalFormatting>
  <dataValidations count="2">
    <dataValidation type="custom" errorTitle="قالب تاریخ" error="از تاریخ را با قالب 1405/07/01 وارد کنید." sqref="B5">
      <formula1>AND(LEN($B$5)=10,MID($B$5,5,1)="/",MID($B$5,8,1)="/")</formula1>
    </dataValidation>
    <dataValidation type="custom" errorTitle="قالب تاریخ" error="تا تاریخ را با قالب 1405/07/31 وارد کنید." sqref="D5">
      <formula1>AND(LEN($D$5)=10,MID($D$5,5,1)="/",MID($D$5,8,1)="/")</formula1>
    </dataValidation>
  </dataValidation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گردش چک‌های پرداختی در بازه — همه چک‌ها (سبز = پاس شده، قرمز = پاس نشده)&amp;R&amp;"Tahoma"&amp;8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pageSetUpPr fitToPage="1"/>
  </sheetPr>
  <dimension ref="A1:L516"/>
  <sheetViews>
    <sheetView showGridLines="0" rightToLeft="1" zoomScale="90" workbookViewId="0">
      <pane ySplit="14" topLeftCell="A15" activePane="bottomLeft" state="frozen"/>
      <selection pane="bottomLeft"/>
    </sheetView>
  </sheetViews>
  <sheetFormatPr defaultRowHeight="14.25" x14ac:dyDescent="0.2"/>
  <cols>
    <col min="1" max="1" width="5.5" customWidth="1"/>
    <col min="2" max="2" width="12" customWidth="1"/>
    <col min="3" max="3" width="14" customWidth="1"/>
    <col min="4" max="4" width="16" customWidth="1"/>
    <col min="5" max="6" width="12" customWidth="1"/>
    <col min="8" max="9" width="6" customWidth="1"/>
    <col min="10" max="10" width="5" customWidth="1"/>
    <col min="11" max="12" width="6" customWidth="1"/>
  </cols>
  <sheetData>
    <row r="1" spans="1:8" ht="26.1" customHeight="1" x14ac:dyDescent="0.2">
      <c r="A1" s="21" t="str">
        <f>IF(Sync!$J$6="","مازندشت",Sync!$J$6)&amp;" — "&amp;IF(Sync!$J$9="","سورتینگ و بسته‌بندی مرکبات",Sync!$J$9)</f>
        <v>سورتینگ و بسته‌بندی مرکبات مازندشت — سورتینگ، بسته‌بندی و بازرگانی مرکبات</v>
      </c>
      <c r="B1" s="21"/>
      <c r="C1" s="21"/>
      <c r="D1" s="21"/>
      <c r="E1" s="21"/>
      <c r="F1" s="21"/>
    </row>
    <row r="2" spans="1:8" ht="14.1" customHeight="1" x14ac:dyDescent="0.2">
      <c r="A2" s="25" t="str">
        <f>IF(Sync!$J$7="","باغدشت، بخش مرکزی، شهرستان قائم‌شهر، استان مازندران، ایران",Sync!$J$7)&amp;"     |     MAZANDASHT · CITRUS SORTING &amp; PACKING"</f>
        <v>باغدشت، بخش مرکزی، شهرستان قائم‌شهر، استان مازندران، ایران     |     MAZANDASHT · CITRUS SORTING &amp; PACKING</v>
      </c>
      <c r="B2" s="25"/>
      <c r="C2" s="25"/>
      <c r="D2" s="25"/>
      <c r="E2" s="25"/>
      <c r="F2" s="25"/>
    </row>
    <row r="3" spans="1:8" ht="24" customHeight="1" x14ac:dyDescent="0.2">
      <c r="A3" s="22" t="s">
        <v>48</v>
      </c>
      <c r="B3" s="22"/>
      <c r="C3" s="22"/>
      <c r="D3" s="22"/>
      <c r="E3" s="22"/>
      <c r="F3" s="22"/>
      <c r="H3" s="11" t="str">
        <f>IF(OR($B$5="",LEN($B$5)&lt;&gt;10),"",$B$5)</f>
        <v>1405/07/01</v>
      </c>
    </row>
    <row r="4" spans="1:8" x14ac:dyDescent="0.2">
      <c r="H4" s="11" t="str">
        <f>IF(OR($D$5="",LEN($D$5)&lt;&gt;10),"",$D$5)</f>
        <v>1405/07/31</v>
      </c>
    </row>
    <row r="5" spans="1:8" ht="20.100000000000001" customHeight="1" x14ac:dyDescent="0.2">
      <c r="A5" s="28" t="s">
        <v>37</v>
      </c>
      <c r="B5" s="12" t="s">
        <v>38</v>
      </c>
      <c r="C5" s="28" t="s">
        <v>39</v>
      </c>
      <c r="D5" s="12" t="s">
        <v>40</v>
      </c>
      <c r="E5" s="27" t="s">
        <v>41</v>
      </c>
      <c r="F5" s="27"/>
    </row>
    <row r="11" spans="1:8" ht="12.95" customHeight="1" x14ac:dyDescent="0.2">
      <c r="A11" s="23" t="s">
        <v>49</v>
      </c>
      <c r="B11" s="23"/>
      <c r="C11" s="23" t="s">
        <v>50</v>
      </c>
      <c r="D11" s="23"/>
      <c r="E11" s="23" t="s">
        <v>51</v>
      </c>
      <c r="F11" s="23"/>
    </row>
    <row r="12" spans="1:8" ht="21.95" customHeight="1" x14ac:dyDescent="0.2">
      <c r="A12" s="20">
        <f>SUM($D$17:$D$516)</f>
        <v>45000000</v>
      </c>
      <c r="B12" s="20"/>
      <c r="C12" s="26">
        <f>COUNT($D$17:$D$516)</f>
        <v>1</v>
      </c>
      <c r="D12" s="26"/>
      <c r="E12" s="29" t="str">
        <f>IF(COUNT($D$17:$D$516)=0,"—",INDEX($B$17:$B$516,1))</f>
        <v>1405/07/20</v>
      </c>
      <c r="F12" s="29"/>
    </row>
    <row r="13" spans="1:8" ht="30" customHeight="1" x14ac:dyDescent="0.2">
      <c r="A13" s="1" t="s">
        <v>6</v>
      </c>
      <c r="B13" s="1" t="s">
        <v>8</v>
      </c>
      <c r="C13" s="1" t="s">
        <v>7</v>
      </c>
      <c r="D13" s="1" t="s">
        <v>9</v>
      </c>
      <c r="E13" s="1" t="s">
        <v>44</v>
      </c>
      <c r="F13" s="1" t="s">
        <v>45</v>
      </c>
    </row>
    <row r="14" spans="1:8" ht="12.95" customHeight="1" x14ac:dyDescent="0.2">
      <c r="A14" s="2" t="s">
        <v>13</v>
      </c>
      <c r="B14" s="2" t="s">
        <v>15</v>
      </c>
      <c r="C14" s="2" t="s">
        <v>14</v>
      </c>
      <c r="D14" s="2" t="s">
        <v>16</v>
      </c>
      <c r="E14" s="2" t="s">
        <v>46</v>
      </c>
      <c r="F14" s="2" t="s">
        <v>47</v>
      </c>
    </row>
    <row r="17" spans="1:12" x14ac:dyDescent="0.2">
      <c r="A17" s="3">
        <f>IF(IFERROR(MATCH(1,ChqRankU,0),0)=0,"",1)</f>
        <v>1</v>
      </c>
      <c r="B17" s="13" t="str">
        <f>IF(IFERROR(MATCH(1,ChqRankU,0),0)=0,"",INDEX(ChqNorm,IFERROR(MATCH(1,ChqRankU,0),0)))</f>
        <v>1405/07/20</v>
      </c>
      <c r="C17" s="13" t="str">
        <f>IF(IFERROR(MATCH(1,ChqRankU,0),0)=0,"",INDEX(ChqNo,IFERROR(MATCH(1,ChqRankU,0),0)))</f>
        <v>24012346</v>
      </c>
      <c r="D17" s="14">
        <f>IF(IFERROR(MATCH(1,ChqRankU,0),0)=0,"",IF(INDEX(ChqAmt,IFERROR(MATCH(1,ChqRankU,0),0))=0,"",INDEX(ChqAmt,IFERROR(MATCH(1,ChqRankU,0),0))))</f>
        <v>45000000</v>
      </c>
      <c r="E17" s="7" t="str">
        <f>IF(IFERROR(MATCH(1,ChqRankU,0),0)=0,"",INDEX(ChqStatus,IFERROR(MATCH(1,ChqRankU,0),0)))</f>
        <v>پاس نشده</v>
      </c>
      <c r="F17" s="13" t="str">
        <f>IF(IFERROR(MATCH(1,ChqRankU,0),0)=0,"",IF(INDEX(ChqStatus,IFERROR(MATCH(1,ChqRankU,0),0))="پاس نشده","—",IF(INDEX(ChqClr,IFERROR(MATCH(1,ChqRankU,0),0))="","—",INDEX(ChqClr,IFERROR(MATCH(1,ChqRankU,0),0)))))</f>
        <v>—</v>
      </c>
      <c r="I17" t="str">
        <f>IF(1&gt;NChq,"",INDEX(ChqNorm,1))</f>
        <v>1405/07/10</v>
      </c>
      <c r="J17">
        <f>IF($I17="","",IF(AND($I17&gt;=$H$3,$I17&lt;=$H$4,INDEX(ChqStatus,1)="پاس نشده"),1,0))</f>
        <v>0</v>
      </c>
      <c r="K17" t="str">
        <f>IF($J17=0,"",INDEX(ChqKey,1))</f>
        <v/>
      </c>
      <c r="L17" t="str">
        <f t="shared" ref="L17:L80" si="0">IF($K17="","",COUNTIFS($J$17:$J$516,1,$K$17:$K$516,"&lt;"&amp;$K17)+1)</f>
        <v/>
      </c>
    </row>
    <row r="18" spans="1:12" x14ac:dyDescent="0.2">
      <c r="A18" s="9" t="str">
        <f>IF(IFERROR(MATCH(2,ChqRankU,0),0)=0,"",2)</f>
        <v/>
      </c>
      <c r="B18" s="15" t="str">
        <f>IF(IFERROR(MATCH(2,ChqRankU,0),0)=0,"",INDEX(ChqNorm,IFERROR(MATCH(2,ChqRankU,0),0)))</f>
        <v/>
      </c>
      <c r="C18" s="15" t="str">
        <f>IF(IFERROR(MATCH(2,ChqRankU,0),0)=0,"",INDEX(ChqNo,IFERROR(MATCH(2,ChqRankU,0),0)))</f>
        <v/>
      </c>
      <c r="D18" s="16" t="str">
        <f>IF(IFERROR(MATCH(2,ChqRankU,0),0)=0,"",IF(INDEX(ChqAmt,IFERROR(MATCH(2,ChqRankU,0),0))=0,"",INDEX(ChqAmt,IFERROR(MATCH(2,ChqRankU,0),0))))</f>
        <v/>
      </c>
      <c r="E18" s="10" t="str">
        <f>IF(IFERROR(MATCH(2,ChqRankU,0),0)=0,"",INDEX(ChqStatus,IFERROR(MATCH(2,ChqRankU,0),0)))</f>
        <v/>
      </c>
      <c r="F18" s="15" t="str">
        <f>IF(IFERROR(MATCH(2,ChqRankU,0),0)=0,"",IF(INDEX(ChqStatus,IFERROR(MATCH(2,ChqRankU,0),0))="پاس نشده","—",IF(INDEX(ChqClr,IFERROR(MATCH(2,ChqRankU,0),0))="","—",INDEX(ChqClr,IFERROR(MATCH(2,ChqRankU,0),0)))))</f>
        <v/>
      </c>
      <c r="I18" t="str">
        <f>IF(2&gt;NChq,"",INDEX(ChqNorm,2))</f>
        <v>1405/07/20</v>
      </c>
      <c r="J18">
        <f>IF($I18="","",IF(AND($I18&gt;=$H$3,$I18&lt;=$H$4,INDEX(ChqStatus,2)="پاس نشده"),1,0))</f>
        <v>1</v>
      </c>
      <c r="K18" t="str">
        <f>IF($J18=0,"",INDEX(ChqKey,2))</f>
        <v>14050720|00002</v>
      </c>
      <c r="L18">
        <f t="shared" si="0"/>
        <v>1</v>
      </c>
    </row>
    <row r="19" spans="1:12" x14ac:dyDescent="0.2">
      <c r="A19" s="3" t="str">
        <f>IF(IFERROR(MATCH(3,ChqRankU,0),0)=0,"",3)</f>
        <v/>
      </c>
      <c r="B19" s="13" t="str">
        <f>IF(IFERROR(MATCH(3,ChqRankU,0),0)=0,"",INDEX(ChqNorm,IFERROR(MATCH(3,ChqRankU,0),0)))</f>
        <v/>
      </c>
      <c r="C19" s="13" t="str">
        <f>IF(IFERROR(MATCH(3,ChqRankU,0),0)=0,"",INDEX(ChqNo,IFERROR(MATCH(3,ChqRankU,0),0)))</f>
        <v/>
      </c>
      <c r="D19" s="14" t="str">
        <f>IF(IFERROR(MATCH(3,ChqRankU,0),0)=0,"",IF(INDEX(ChqAmt,IFERROR(MATCH(3,ChqRankU,0),0))=0,"",INDEX(ChqAmt,IFERROR(MATCH(3,ChqRankU,0),0))))</f>
        <v/>
      </c>
      <c r="E19" s="7" t="str">
        <f>IF(IFERROR(MATCH(3,ChqRankU,0),0)=0,"",INDEX(ChqStatus,IFERROR(MATCH(3,ChqRankU,0),0)))</f>
        <v/>
      </c>
      <c r="F19" s="13" t="str">
        <f>IF(IFERROR(MATCH(3,ChqRankU,0),0)=0,"",IF(INDEX(ChqStatus,IFERROR(MATCH(3,ChqRankU,0),0))="پاس نشده","—",IF(INDEX(ChqClr,IFERROR(MATCH(3,ChqRankU,0),0))="","—",INDEX(ChqClr,IFERROR(MATCH(3,ChqRankU,0),0)))))</f>
        <v/>
      </c>
      <c r="I19" t="str">
        <f>IF(3&gt;NChq,"",INDEX(ChqNorm,3))</f>
        <v>1405/08/02</v>
      </c>
      <c r="J19">
        <f>IF($I19="","",IF(AND($I19&gt;=$H$3,$I19&lt;=$H$4,INDEX(ChqStatus,3)="پاس نشده"),1,0))</f>
        <v>0</v>
      </c>
      <c r="K19" t="str">
        <f>IF($J19=0,"",INDEX(ChqKey,3))</f>
        <v/>
      </c>
      <c r="L19" t="str">
        <f t="shared" si="0"/>
        <v/>
      </c>
    </row>
    <row r="20" spans="1:12" x14ac:dyDescent="0.2">
      <c r="A20" s="9" t="str">
        <f>IF(IFERROR(MATCH(4,ChqRankU,0),0)=0,"",4)</f>
        <v/>
      </c>
      <c r="B20" s="15" t="str">
        <f>IF(IFERROR(MATCH(4,ChqRankU,0),0)=0,"",INDEX(ChqNorm,IFERROR(MATCH(4,ChqRankU,0),0)))</f>
        <v/>
      </c>
      <c r="C20" s="15" t="str">
        <f>IF(IFERROR(MATCH(4,ChqRankU,0),0)=0,"",INDEX(ChqNo,IFERROR(MATCH(4,ChqRankU,0),0)))</f>
        <v/>
      </c>
      <c r="D20" s="16" t="str">
        <f>IF(IFERROR(MATCH(4,ChqRankU,0),0)=0,"",IF(INDEX(ChqAmt,IFERROR(MATCH(4,ChqRankU,0),0))=0,"",INDEX(ChqAmt,IFERROR(MATCH(4,ChqRankU,0),0))))</f>
        <v/>
      </c>
      <c r="E20" s="10" t="str">
        <f>IF(IFERROR(MATCH(4,ChqRankU,0),0)=0,"",INDEX(ChqStatus,IFERROR(MATCH(4,ChqRankU,0),0)))</f>
        <v/>
      </c>
      <c r="F20" s="15" t="str">
        <f>IF(IFERROR(MATCH(4,ChqRankU,0),0)=0,"",IF(INDEX(ChqStatus,IFERROR(MATCH(4,ChqRankU,0),0))="پاس نشده","—",IF(INDEX(ChqClr,IFERROR(MATCH(4,ChqRankU,0),0))="","—",INDEX(ChqClr,IFERROR(MATCH(4,ChqRankU,0),0)))))</f>
        <v/>
      </c>
      <c r="I20" t="str">
        <f>IF(4&gt;NChq,"",INDEX(ChqNorm,4))</f>
        <v>1405/08/05</v>
      </c>
      <c r="J20">
        <f>IF($I20="","",IF(AND($I20&gt;=$H$3,$I20&lt;=$H$4,INDEX(ChqStatus,4)="پاس نشده"),1,0))</f>
        <v>0</v>
      </c>
      <c r="K20" t="str">
        <f>IF($J20=0,"",INDEX(ChqKey,4))</f>
        <v/>
      </c>
      <c r="L20" t="str">
        <f t="shared" si="0"/>
        <v/>
      </c>
    </row>
    <row r="21" spans="1:12" x14ac:dyDescent="0.2">
      <c r="A21" s="3" t="str">
        <f>IF(IFERROR(MATCH(5,ChqRankU,0),0)=0,"",5)</f>
        <v/>
      </c>
      <c r="B21" s="13" t="str">
        <f>IF(IFERROR(MATCH(5,ChqRankU,0),0)=0,"",INDEX(ChqNorm,IFERROR(MATCH(5,ChqRankU,0),0)))</f>
        <v/>
      </c>
      <c r="C21" s="13" t="str">
        <f>IF(IFERROR(MATCH(5,ChqRankU,0),0)=0,"",INDEX(ChqNo,IFERROR(MATCH(5,ChqRankU,0),0)))</f>
        <v/>
      </c>
      <c r="D21" s="14" t="str">
        <f>IF(IFERROR(MATCH(5,ChqRankU,0),0)=0,"",IF(INDEX(ChqAmt,IFERROR(MATCH(5,ChqRankU,0),0))=0,"",INDEX(ChqAmt,IFERROR(MATCH(5,ChqRankU,0),0))))</f>
        <v/>
      </c>
      <c r="E21" s="7" t="str">
        <f>IF(IFERROR(MATCH(5,ChqRankU,0),0)=0,"",INDEX(ChqStatus,IFERROR(MATCH(5,ChqRankU,0),0)))</f>
        <v/>
      </c>
      <c r="F21" s="13" t="str">
        <f>IF(IFERROR(MATCH(5,ChqRankU,0),0)=0,"",IF(INDEX(ChqStatus,IFERROR(MATCH(5,ChqRankU,0),0))="پاس نشده","—",IF(INDEX(ChqClr,IFERROR(MATCH(5,ChqRankU,0),0))="","—",INDEX(ChqClr,IFERROR(MATCH(5,ChqRankU,0),0)))))</f>
        <v/>
      </c>
      <c r="I21" t="str">
        <f>IF(5&gt;NChq,"",INDEX(ChqNorm,5))</f>
        <v/>
      </c>
      <c r="J21" t="str">
        <f>IF($I21="","",IF(AND($I21&gt;=$H$3,$I21&lt;=$H$4,INDEX(ChqStatus,5)="پاس نشده"),1,0))</f>
        <v/>
      </c>
      <c r="K21" t="str">
        <f>IF($J21=0,"",INDEX(ChqKey,5))</f>
        <v/>
      </c>
      <c r="L21" t="str">
        <f t="shared" si="0"/>
        <v/>
      </c>
    </row>
    <row r="22" spans="1:12" x14ac:dyDescent="0.2">
      <c r="A22" s="9" t="str">
        <f>IF(IFERROR(MATCH(6,ChqRankU,0),0)=0,"",6)</f>
        <v/>
      </c>
      <c r="B22" s="15" t="str">
        <f>IF(IFERROR(MATCH(6,ChqRankU,0),0)=0,"",INDEX(ChqNorm,IFERROR(MATCH(6,ChqRankU,0),0)))</f>
        <v/>
      </c>
      <c r="C22" s="15" t="str">
        <f>IF(IFERROR(MATCH(6,ChqRankU,0),0)=0,"",INDEX(ChqNo,IFERROR(MATCH(6,ChqRankU,0),0)))</f>
        <v/>
      </c>
      <c r="D22" s="16" t="str">
        <f>IF(IFERROR(MATCH(6,ChqRankU,0),0)=0,"",IF(INDEX(ChqAmt,IFERROR(MATCH(6,ChqRankU,0),0))=0,"",INDEX(ChqAmt,IFERROR(MATCH(6,ChqRankU,0),0))))</f>
        <v/>
      </c>
      <c r="E22" s="10" t="str">
        <f>IF(IFERROR(MATCH(6,ChqRankU,0),0)=0,"",INDEX(ChqStatus,IFERROR(MATCH(6,ChqRankU,0),0)))</f>
        <v/>
      </c>
      <c r="F22" s="15" t="str">
        <f>IF(IFERROR(MATCH(6,ChqRankU,0),0)=0,"",IF(INDEX(ChqStatus,IFERROR(MATCH(6,ChqRankU,0),0))="پاس نشده","—",IF(INDEX(ChqClr,IFERROR(MATCH(6,ChqRankU,0),0))="","—",INDEX(ChqClr,IFERROR(MATCH(6,ChqRankU,0),0)))))</f>
        <v/>
      </c>
      <c r="I22" t="str">
        <f>IF(6&gt;NChq,"",INDEX(ChqNorm,6))</f>
        <v/>
      </c>
      <c r="J22" t="str">
        <f>IF($I22="","",IF(AND($I22&gt;=$H$3,$I22&lt;=$H$4,INDEX(ChqStatus,6)="پاس نشده"),1,0))</f>
        <v/>
      </c>
      <c r="K22" t="str">
        <f>IF($J22=0,"",INDEX(ChqKey,6))</f>
        <v/>
      </c>
      <c r="L22" t="str">
        <f t="shared" si="0"/>
        <v/>
      </c>
    </row>
    <row r="23" spans="1:12" x14ac:dyDescent="0.2">
      <c r="A23" s="3" t="str">
        <f>IF(IFERROR(MATCH(7,ChqRankU,0),0)=0,"",7)</f>
        <v/>
      </c>
      <c r="B23" s="13" t="str">
        <f>IF(IFERROR(MATCH(7,ChqRankU,0),0)=0,"",INDEX(ChqNorm,IFERROR(MATCH(7,ChqRankU,0),0)))</f>
        <v/>
      </c>
      <c r="C23" s="13" t="str">
        <f>IF(IFERROR(MATCH(7,ChqRankU,0),0)=0,"",INDEX(ChqNo,IFERROR(MATCH(7,ChqRankU,0),0)))</f>
        <v/>
      </c>
      <c r="D23" s="14" t="str">
        <f>IF(IFERROR(MATCH(7,ChqRankU,0),0)=0,"",IF(INDEX(ChqAmt,IFERROR(MATCH(7,ChqRankU,0),0))=0,"",INDEX(ChqAmt,IFERROR(MATCH(7,ChqRankU,0),0))))</f>
        <v/>
      </c>
      <c r="E23" s="7" t="str">
        <f>IF(IFERROR(MATCH(7,ChqRankU,0),0)=0,"",INDEX(ChqStatus,IFERROR(MATCH(7,ChqRankU,0),0)))</f>
        <v/>
      </c>
      <c r="F23" s="13" t="str">
        <f>IF(IFERROR(MATCH(7,ChqRankU,0),0)=0,"",IF(INDEX(ChqStatus,IFERROR(MATCH(7,ChqRankU,0),0))="پاس نشده","—",IF(INDEX(ChqClr,IFERROR(MATCH(7,ChqRankU,0),0))="","—",INDEX(ChqClr,IFERROR(MATCH(7,ChqRankU,0),0)))))</f>
        <v/>
      </c>
      <c r="I23" t="str">
        <f>IF(7&gt;NChq,"",INDEX(ChqNorm,7))</f>
        <v/>
      </c>
      <c r="J23" t="str">
        <f>IF($I23="","",IF(AND($I23&gt;=$H$3,$I23&lt;=$H$4,INDEX(ChqStatus,7)="پاس نشده"),1,0))</f>
        <v/>
      </c>
      <c r="K23" t="str">
        <f>IF($J23=0,"",INDEX(ChqKey,7))</f>
        <v/>
      </c>
      <c r="L23" t="str">
        <f t="shared" si="0"/>
        <v/>
      </c>
    </row>
    <row r="24" spans="1:12" x14ac:dyDescent="0.2">
      <c r="A24" s="9" t="str">
        <f>IF(IFERROR(MATCH(8,ChqRankU,0),0)=0,"",8)</f>
        <v/>
      </c>
      <c r="B24" s="15" t="str">
        <f>IF(IFERROR(MATCH(8,ChqRankU,0),0)=0,"",INDEX(ChqNorm,IFERROR(MATCH(8,ChqRankU,0),0)))</f>
        <v/>
      </c>
      <c r="C24" s="15" t="str">
        <f>IF(IFERROR(MATCH(8,ChqRankU,0),0)=0,"",INDEX(ChqNo,IFERROR(MATCH(8,ChqRankU,0),0)))</f>
        <v/>
      </c>
      <c r="D24" s="16" t="str">
        <f>IF(IFERROR(MATCH(8,ChqRankU,0),0)=0,"",IF(INDEX(ChqAmt,IFERROR(MATCH(8,ChqRankU,0),0))=0,"",INDEX(ChqAmt,IFERROR(MATCH(8,ChqRankU,0),0))))</f>
        <v/>
      </c>
      <c r="E24" s="10" t="str">
        <f>IF(IFERROR(MATCH(8,ChqRankU,0),0)=0,"",INDEX(ChqStatus,IFERROR(MATCH(8,ChqRankU,0),0)))</f>
        <v/>
      </c>
      <c r="F24" s="15" t="str">
        <f>IF(IFERROR(MATCH(8,ChqRankU,0),0)=0,"",IF(INDEX(ChqStatus,IFERROR(MATCH(8,ChqRankU,0),0))="پاس نشده","—",IF(INDEX(ChqClr,IFERROR(MATCH(8,ChqRankU,0),0))="","—",INDEX(ChqClr,IFERROR(MATCH(8,ChqRankU,0),0)))))</f>
        <v/>
      </c>
      <c r="I24" t="str">
        <f>IF(8&gt;NChq,"",INDEX(ChqNorm,8))</f>
        <v/>
      </c>
      <c r="J24" t="str">
        <f>IF($I24="","",IF(AND($I24&gt;=$H$3,$I24&lt;=$H$4,INDEX(ChqStatus,8)="پاس نشده"),1,0))</f>
        <v/>
      </c>
      <c r="K24" t="str">
        <f>IF($J24=0,"",INDEX(ChqKey,8))</f>
        <v/>
      </c>
      <c r="L24" t="str">
        <f t="shared" si="0"/>
        <v/>
      </c>
    </row>
    <row r="25" spans="1:12" x14ac:dyDescent="0.2">
      <c r="A25" s="3" t="str">
        <f>IF(IFERROR(MATCH(9,ChqRankU,0),0)=0,"",9)</f>
        <v/>
      </c>
      <c r="B25" s="13" t="str">
        <f>IF(IFERROR(MATCH(9,ChqRankU,0),0)=0,"",INDEX(ChqNorm,IFERROR(MATCH(9,ChqRankU,0),0)))</f>
        <v/>
      </c>
      <c r="C25" s="13" t="str">
        <f>IF(IFERROR(MATCH(9,ChqRankU,0),0)=0,"",INDEX(ChqNo,IFERROR(MATCH(9,ChqRankU,0),0)))</f>
        <v/>
      </c>
      <c r="D25" s="14" t="str">
        <f>IF(IFERROR(MATCH(9,ChqRankU,0),0)=0,"",IF(INDEX(ChqAmt,IFERROR(MATCH(9,ChqRankU,0),0))=0,"",INDEX(ChqAmt,IFERROR(MATCH(9,ChqRankU,0),0))))</f>
        <v/>
      </c>
      <c r="E25" s="7" t="str">
        <f>IF(IFERROR(MATCH(9,ChqRankU,0),0)=0,"",INDEX(ChqStatus,IFERROR(MATCH(9,ChqRankU,0),0)))</f>
        <v/>
      </c>
      <c r="F25" s="13" t="str">
        <f>IF(IFERROR(MATCH(9,ChqRankU,0),0)=0,"",IF(INDEX(ChqStatus,IFERROR(MATCH(9,ChqRankU,0),0))="پاس نشده","—",IF(INDEX(ChqClr,IFERROR(MATCH(9,ChqRankU,0),0))="","—",INDEX(ChqClr,IFERROR(MATCH(9,ChqRankU,0),0)))))</f>
        <v/>
      </c>
      <c r="I25" t="str">
        <f>IF(9&gt;NChq,"",INDEX(ChqNorm,9))</f>
        <v/>
      </c>
      <c r="J25" t="str">
        <f>IF($I25="","",IF(AND($I25&gt;=$H$3,$I25&lt;=$H$4,INDEX(ChqStatus,9)="پاس نشده"),1,0))</f>
        <v/>
      </c>
      <c r="K25" t="str">
        <f>IF($J25=0,"",INDEX(ChqKey,9))</f>
        <v/>
      </c>
      <c r="L25" t="str">
        <f t="shared" si="0"/>
        <v/>
      </c>
    </row>
    <row r="26" spans="1:12" x14ac:dyDescent="0.2">
      <c r="A26" s="9" t="str">
        <f>IF(IFERROR(MATCH(10,ChqRankU,0),0)=0,"",10)</f>
        <v/>
      </c>
      <c r="B26" s="15" t="str">
        <f>IF(IFERROR(MATCH(10,ChqRankU,0),0)=0,"",INDEX(ChqNorm,IFERROR(MATCH(10,ChqRankU,0),0)))</f>
        <v/>
      </c>
      <c r="C26" s="15" t="str">
        <f>IF(IFERROR(MATCH(10,ChqRankU,0),0)=0,"",INDEX(ChqNo,IFERROR(MATCH(10,ChqRankU,0),0)))</f>
        <v/>
      </c>
      <c r="D26" s="16" t="str">
        <f>IF(IFERROR(MATCH(10,ChqRankU,0),0)=0,"",IF(INDEX(ChqAmt,IFERROR(MATCH(10,ChqRankU,0),0))=0,"",INDEX(ChqAmt,IFERROR(MATCH(10,ChqRankU,0),0))))</f>
        <v/>
      </c>
      <c r="E26" s="10" t="str">
        <f>IF(IFERROR(MATCH(10,ChqRankU,0),0)=0,"",INDEX(ChqStatus,IFERROR(MATCH(10,ChqRankU,0),0)))</f>
        <v/>
      </c>
      <c r="F26" s="15" t="str">
        <f>IF(IFERROR(MATCH(10,ChqRankU,0),0)=0,"",IF(INDEX(ChqStatus,IFERROR(MATCH(10,ChqRankU,0),0))="پاس نشده","—",IF(INDEX(ChqClr,IFERROR(MATCH(10,ChqRankU,0),0))="","—",INDEX(ChqClr,IFERROR(MATCH(10,ChqRankU,0),0)))))</f>
        <v/>
      </c>
      <c r="I26" t="str">
        <f>IF(10&gt;NChq,"",INDEX(ChqNorm,10))</f>
        <v/>
      </c>
      <c r="J26" t="str">
        <f>IF($I26="","",IF(AND($I26&gt;=$H$3,$I26&lt;=$H$4,INDEX(ChqStatus,10)="پاس نشده"),1,0))</f>
        <v/>
      </c>
      <c r="K26" t="str">
        <f>IF($J26=0,"",INDEX(ChqKey,10))</f>
        <v/>
      </c>
      <c r="L26" t="str">
        <f t="shared" si="0"/>
        <v/>
      </c>
    </row>
    <row r="27" spans="1:12" x14ac:dyDescent="0.2">
      <c r="A27" s="3" t="str">
        <f>IF(IFERROR(MATCH(11,ChqRankU,0),0)=0,"",11)</f>
        <v/>
      </c>
      <c r="B27" s="13" t="str">
        <f>IF(IFERROR(MATCH(11,ChqRankU,0),0)=0,"",INDEX(ChqNorm,IFERROR(MATCH(11,ChqRankU,0),0)))</f>
        <v/>
      </c>
      <c r="C27" s="13" t="str">
        <f>IF(IFERROR(MATCH(11,ChqRankU,0),0)=0,"",INDEX(ChqNo,IFERROR(MATCH(11,ChqRankU,0),0)))</f>
        <v/>
      </c>
      <c r="D27" s="14" t="str">
        <f>IF(IFERROR(MATCH(11,ChqRankU,0),0)=0,"",IF(INDEX(ChqAmt,IFERROR(MATCH(11,ChqRankU,0),0))=0,"",INDEX(ChqAmt,IFERROR(MATCH(11,ChqRankU,0),0))))</f>
        <v/>
      </c>
      <c r="E27" s="7" t="str">
        <f>IF(IFERROR(MATCH(11,ChqRankU,0),0)=0,"",INDEX(ChqStatus,IFERROR(MATCH(11,ChqRankU,0),0)))</f>
        <v/>
      </c>
      <c r="F27" s="13" t="str">
        <f>IF(IFERROR(MATCH(11,ChqRankU,0),0)=0,"",IF(INDEX(ChqStatus,IFERROR(MATCH(11,ChqRankU,0),0))="پاس نشده","—",IF(INDEX(ChqClr,IFERROR(MATCH(11,ChqRankU,0),0))="","—",INDEX(ChqClr,IFERROR(MATCH(11,ChqRankU,0),0)))))</f>
        <v/>
      </c>
      <c r="I27" t="str">
        <f>IF(11&gt;NChq,"",INDEX(ChqNorm,11))</f>
        <v/>
      </c>
      <c r="J27" t="str">
        <f>IF($I27="","",IF(AND($I27&gt;=$H$3,$I27&lt;=$H$4,INDEX(ChqStatus,11)="پاس نشده"),1,0))</f>
        <v/>
      </c>
      <c r="K27" t="str">
        <f>IF($J27=0,"",INDEX(ChqKey,11))</f>
        <v/>
      </c>
      <c r="L27" t="str">
        <f t="shared" si="0"/>
        <v/>
      </c>
    </row>
    <row r="28" spans="1:12" x14ac:dyDescent="0.2">
      <c r="A28" s="9" t="str">
        <f>IF(IFERROR(MATCH(12,ChqRankU,0),0)=0,"",12)</f>
        <v/>
      </c>
      <c r="B28" s="15" t="str">
        <f>IF(IFERROR(MATCH(12,ChqRankU,0),0)=0,"",INDEX(ChqNorm,IFERROR(MATCH(12,ChqRankU,0),0)))</f>
        <v/>
      </c>
      <c r="C28" s="15" t="str">
        <f>IF(IFERROR(MATCH(12,ChqRankU,0),0)=0,"",INDEX(ChqNo,IFERROR(MATCH(12,ChqRankU,0),0)))</f>
        <v/>
      </c>
      <c r="D28" s="16" t="str">
        <f>IF(IFERROR(MATCH(12,ChqRankU,0),0)=0,"",IF(INDEX(ChqAmt,IFERROR(MATCH(12,ChqRankU,0),0))=0,"",INDEX(ChqAmt,IFERROR(MATCH(12,ChqRankU,0),0))))</f>
        <v/>
      </c>
      <c r="E28" s="10" t="str">
        <f>IF(IFERROR(MATCH(12,ChqRankU,0),0)=0,"",INDEX(ChqStatus,IFERROR(MATCH(12,ChqRankU,0),0)))</f>
        <v/>
      </c>
      <c r="F28" s="15" t="str">
        <f>IF(IFERROR(MATCH(12,ChqRankU,0),0)=0,"",IF(INDEX(ChqStatus,IFERROR(MATCH(12,ChqRankU,0),0))="پاس نشده","—",IF(INDEX(ChqClr,IFERROR(MATCH(12,ChqRankU,0),0))="","—",INDEX(ChqClr,IFERROR(MATCH(12,ChqRankU,0),0)))))</f>
        <v/>
      </c>
      <c r="I28" t="str">
        <f>IF(12&gt;NChq,"",INDEX(ChqNorm,12))</f>
        <v/>
      </c>
      <c r="J28" t="str">
        <f>IF($I28="","",IF(AND($I28&gt;=$H$3,$I28&lt;=$H$4,INDEX(ChqStatus,12)="پاس نشده"),1,0))</f>
        <v/>
      </c>
      <c r="K28" t="str">
        <f>IF($J28=0,"",INDEX(ChqKey,12))</f>
        <v/>
      </c>
      <c r="L28" t="str">
        <f t="shared" si="0"/>
        <v/>
      </c>
    </row>
    <row r="29" spans="1:12" x14ac:dyDescent="0.2">
      <c r="A29" s="3" t="str">
        <f>IF(IFERROR(MATCH(13,ChqRankU,0),0)=0,"",13)</f>
        <v/>
      </c>
      <c r="B29" s="13" t="str">
        <f>IF(IFERROR(MATCH(13,ChqRankU,0),0)=0,"",INDEX(ChqNorm,IFERROR(MATCH(13,ChqRankU,0),0)))</f>
        <v/>
      </c>
      <c r="C29" s="13" t="str">
        <f>IF(IFERROR(MATCH(13,ChqRankU,0),0)=0,"",INDEX(ChqNo,IFERROR(MATCH(13,ChqRankU,0),0)))</f>
        <v/>
      </c>
      <c r="D29" s="14" t="str">
        <f>IF(IFERROR(MATCH(13,ChqRankU,0),0)=0,"",IF(INDEX(ChqAmt,IFERROR(MATCH(13,ChqRankU,0),0))=0,"",INDEX(ChqAmt,IFERROR(MATCH(13,ChqRankU,0),0))))</f>
        <v/>
      </c>
      <c r="E29" s="7" t="str">
        <f>IF(IFERROR(MATCH(13,ChqRankU,0),0)=0,"",INDEX(ChqStatus,IFERROR(MATCH(13,ChqRankU,0),0)))</f>
        <v/>
      </c>
      <c r="F29" s="13" t="str">
        <f>IF(IFERROR(MATCH(13,ChqRankU,0),0)=0,"",IF(INDEX(ChqStatus,IFERROR(MATCH(13,ChqRankU,0),0))="پاس نشده","—",IF(INDEX(ChqClr,IFERROR(MATCH(13,ChqRankU,0),0))="","—",INDEX(ChqClr,IFERROR(MATCH(13,ChqRankU,0),0)))))</f>
        <v/>
      </c>
      <c r="I29" t="str">
        <f>IF(13&gt;NChq,"",INDEX(ChqNorm,13))</f>
        <v/>
      </c>
      <c r="J29" t="str">
        <f>IF($I29="","",IF(AND($I29&gt;=$H$3,$I29&lt;=$H$4,INDEX(ChqStatus,13)="پاس نشده"),1,0))</f>
        <v/>
      </c>
      <c r="K29" t="str">
        <f>IF($J29=0,"",INDEX(ChqKey,13))</f>
        <v/>
      </c>
      <c r="L29" t="str">
        <f t="shared" si="0"/>
        <v/>
      </c>
    </row>
    <row r="30" spans="1:12" x14ac:dyDescent="0.2">
      <c r="A30" s="9" t="str">
        <f>IF(IFERROR(MATCH(14,ChqRankU,0),0)=0,"",14)</f>
        <v/>
      </c>
      <c r="B30" s="15" t="str">
        <f>IF(IFERROR(MATCH(14,ChqRankU,0),0)=0,"",INDEX(ChqNorm,IFERROR(MATCH(14,ChqRankU,0),0)))</f>
        <v/>
      </c>
      <c r="C30" s="15" t="str">
        <f>IF(IFERROR(MATCH(14,ChqRankU,0),0)=0,"",INDEX(ChqNo,IFERROR(MATCH(14,ChqRankU,0),0)))</f>
        <v/>
      </c>
      <c r="D30" s="16" t="str">
        <f>IF(IFERROR(MATCH(14,ChqRankU,0),0)=0,"",IF(INDEX(ChqAmt,IFERROR(MATCH(14,ChqRankU,0),0))=0,"",INDEX(ChqAmt,IFERROR(MATCH(14,ChqRankU,0),0))))</f>
        <v/>
      </c>
      <c r="E30" s="10" t="str">
        <f>IF(IFERROR(MATCH(14,ChqRankU,0),0)=0,"",INDEX(ChqStatus,IFERROR(MATCH(14,ChqRankU,0),0)))</f>
        <v/>
      </c>
      <c r="F30" s="15" t="str">
        <f>IF(IFERROR(MATCH(14,ChqRankU,0),0)=0,"",IF(INDEX(ChqStatus,IFERROR(MATCH(14,ChqRankU,0),0))="پاس نشده","—",IF(INDEX(ChqClr,IFERROR(MATCH(14,ChqRankU,0),0))="","—",INDEX(ChqClr,IFERROR(MATCH(14,ChqRankU,0),0)))))</f>
        <v/>
      </c>
      <c r="I30" t="str">
        <f>IF(14&gt;NChq,"",INDEX(ChqNorm,14))</f>
        <v/>
      </c>
      <c r="J30" t="str">
        <f>IF($I30="","",IF(AND($I30&gt;=$H$3,$I30&lt;=$H$4,INDEX(ChqStatus,14)="پاس نشده"),1,0))</f>
        <v/>
      </c>
      <c r="K30" t="str">
        <f>IF($J30=0,"",INDEX(ChqKey,14))</f>
        <v/>
      </c>
      <c r="L30" t="str">
        <f t="shared" si="0"/>
        <v/>
      </c>
    </row>
    <row r="31" spans="1:12" x14ac:dyDescent="0.2">
      <c r="A31" s="3" t="str">
        <f>IF(IFERROR(MATCH(15,ChqRankU,0),0)=0,"",15)</f>
        <v/>
      </c>
      <c r="B31" s="13" t="str">
        <f>IF(IFERROR(MATCH(15,ChqRankU,0),0)=0,"",INDEX(ChqNorm,IFERROR(MATCH(15,ChqRankU,0),0)))</f>
        <v/>
      </c>
      <c r="C31" s="13" t="str">
        <f>IF(IFERROR(MATCH(15,ChqRankU,0),0)=0,"",INDEX(ChqNo,IFERROR(MATCH(15,ChqRankU,0),0)))</f>
        <v/>
      </c>
      <c r="D31" s="14" t="str">
        <f>IF(IFERROR(MATCH(15,ChqRankU,0),0)=0,"",IF(INDEX(ChqAmt,IFERROR(MATCH(15,ChqRankU,0),0))=0,"",INDEX(ChqAmt,IFERROR(MATCH(15,ChqRankU,0),0))))</f>
        <v/>
      </c>
      <c r="E31" s="7" t="str">
        <f>IF(IFERROR(MATCH(15,ChqRankU,0),0)=0,"",INDEX(ChqStatus,IFERROR(MATCH(15,ChqRankU,0),0)))</f>
        <v/>
      </c>
      <c r="F31" s="13" t="str">
        <f>IF(IFERROR(MATCH(15,ChqRankU,0),0)=0,"",IF(INDEX(ChqStatus,IFERROR(MATCH(15,ChqRankU,0),0))="پاس نشده","—",IF(INDEX(ChqClr,IFERROR(MATCH(15,ChqRankU,0),0))="","—",INDEX(ChqClr,IFERROR(MATCH(15,ChqRankU,0),0)))))</f>
        <v/>
      </c>
      <c r="I31" t="str">
        <f>IF(15&gt;NChq,"",INDEX(ChqNorm,15))</f>
        <v/>
      </c>
      <c r="J31" t="str">
        <f>IF($I31="","",IF(AND($I31&gt;=$H$3,$I31&lt;=$H$4,INDEX(ChqStatus,15)="پاس نشده"),1,0))</f>
        <v/>
      </c>
      <c r="K31" t="str">
        <f>IF($J31=0,"",INDEX(ChqKey,15))</f>
        <v/>
      </c>
      <c r="L31" t="str">
        <f t="shared" si="0"/>
        <v/>
      </c>
    </row>
    <row r="32" spans="1:12" x14ac:dyDescent="0.2">
      <c r="A32" s="9" t="str">
        <f>IF(IFERROR(MATCH(16,ChqRankU,0),0)=0,"",16)</f>
        <v/>
      </c>
      <c r="B32" s="15" t="str">
        <f>IF(IFERROR(MATCH(16,ChqRankU,0),0)=0,"",INDEX(ChqNorm,IFERROR(MATCH(16,ChqRankU,0),0)))</f>
        <v/>
      </c>
      <c r="C32" s="15" t="str">
        <f>IF(IFERROR(MATCH(16,ChqRankU,0),0)=0,"",INDEX(ChqNo,IFERROR(MATCH(16,ChqRankU,0),0)))</f>
        <v/>
      </c>
      <c r="D32" s="16" t="str">
        <f>IF(IFERROR(MATCH(16,ChqRankU,0),0)=0,"",IF(INDEX(ChqAmt,IFERROR(MATCH(16,ChqRankU,0),0))=0,"",INDEX(ChqAmt,IFERROR(MATCH(16,ChqRankU,0),0))))</f>
        <v/>
      </c>
      <c r="E32" s="10" t="str">
        <f>IF(IFERROR(MATCH(16,ChqRankU,0),0)=0,"",INDEX(ChqStatus,IFERROR(MATCH(16,ChqRankU,0),0)))</f>
        <v/>
      </c>
      <c r="F32" s="15" t="str">
        <f>IF(IFERROR(MATCH(16,ChqRankU,0),0)=0,"",IF(INDEX(ChqStatus,IFERROR(MATCH(16,ChqRankU,0),0))="پاس نشده","—",IF(INDEX(ChqClr,IFERROR(MATCH(16,ChqRankU,0),0))="","—",INDEX(ChqClr,IFERROR(MATCH(16,ChqRankU,0),0)))))</f>
        <v/>
      </c>
      <c r="I32" t="str">
        <f>IF(16&gt;NChq,"",INDEX(ChqNorm,16))</f>
        <v/>
      </c>
      <c r="J32" t="str">
        <f>IF($I32="","",IF(AND($I32&gt;=$H$3,$I32&lt;=$H$4,INDEX(ChqStatus,16)="پاس نشده"),1,0))</f>
        <v/>
      </c>
      <c r="K32" t="str">
        <f>IF($J32=0,"",INDEX(ChqKey,16))</f>
        <v/>
      </c>
      <c r="L32" t="str">
        <f t="shared" si="0"/>
        <v/>
      </c>
    </row>
    <row r="33" spans="1:12" x14ac:dyDescent="0.2">
      <c r="A33" s="3" t="str">
        <f>IF(IFERROR(MATCH(17,ChqRankU,0),0)=0,"",17)</f>
        <v/>
      </c>
      <c r="B33" s="13" t="str">
        <f>IF(IFERROR(MATCH(17,ChqRankU,0),0)=0,"",INDEX(ChqNorm,IFERROR(MATCH(17,ChqRankU,0),0)))</f>
        <v/>
      </c>
      <c r="C33" s="13" t="str">
        <f>IF(IFERROR(MATCH(17,ChqRankU,0),0)=0,"",INDEX(ChqNo,IFERROR(MATCH(17,ChqRankU,0),0)))</f>
        <v/>
      </c>
      <c r="D33" s="14" t="str">
        <f>IF(IFERROR(MATCH(17,ChqRankU,0),0)=0,"",IF(INDEX(ChqAmt,IFERROR(MATCH(17,ChqRankU,0),0))=0,"",INDEX(ChqAmt,IFERROR(MATCH(17,ChqRankU,0),0))))</f>
        <v/>
      </c>
      <c r="E33" s="7" t="str">
        <f>IF(IFERROR(MATCH(17,ChqRankU,0),0)=0,"",INDEX(ChqStatus,IFERROR(MATCH(17,ChqRankU,0),0)))</f>
        <v/>
      </c>
      <c r="F33" s="13" t="str">
        <f>IF(IFERROR(MATCH(17,ChqRankU,0),0)=0,"",IF(INDEX(ChqStatus,IFERROR(MATCH(17,ChqRankU,0),0))="پاس نشده","—",IF(INDEX(ChqClr,IFERROR(MATCH(17,ChqRankU,0),0))="","—",INDEX(ChqClr,IFERROR(MATCH(17,ChqRankU,0),0)))))</f>
        <v/>
      </c>
      <c r="I33" t="str">
        <f>IF(17&gt;NChq,"",INDEX(ChqNorm,17))</f>
        <v/>
      </c>
      <c r="J33" t="str">
        <f>IF($I33="","",IF(AND($I33&gt;=$H$3,$I33&lt;=$H$4,INDEX(ChqStatus,17)="پاس نشده"),1,0))</f>
        <v/>
      </c>
      <c r="K33" t="str">
        <f>IF($J33=0,"",INDEX(ChqKey,17))</f>
        <v/>
      </c>
      <c r="L33" t="str">
        <f t="shared" si="0"/>
        <v/>
      </c>
    </row>
    <row r="34" spans="1:12" x14ac:dyDescent="0.2">
      <c r="A34" s="9" t="str">
        <f>IF(IFERROR(MATCH(18,ChqRankU,0),0)=0,"",18)</f>
        <v/>
      </c>
      <c r="B34" s="15" t="str">
        <f>IF(IFERROR(MATCH(18,ChqRankU,0),0)=0,"",INDEX(ChqNorm,IFERROR(MATCH(18,ChqRankU,0),0)))</f>
        <v/>
      </c>
      <c r="C34" s="15" t="str">
        <f>IF(IFERROR(MATCH(18,ChqRankU,0),0)=0,"",INDEX(ChqNo,IFERROR(MATCH(18,ChqRankU,0),0)))</f>
        <v/>
      </c>
      <c r="D34" s="16" t="str">
        <f>IF(IFERROR(MATCH(18,ChqRankU,0),0)=0,"",IF(INDEX(ChqAmt,IFERROR(MATCH(18,ChqRankU,0),0))=0,"",INDEX(ChqAmt,IFERROR(MATCH(18,ChqRankU,0),0))))</f>
        <v/>
      </c>
      <c r="E34" s="10" t="str">
        <f>IF(IFERROR(MATCH(18,ChqRankU,0),0)=0,"",INDEX(ChqStatus,IFERROR(MATCH(18,ChqRankU,0),0)))</f>
        <v/>
      </c>
      <c r="F34" s="15" t="str">
        <f>IF(IFERROR(MATCH(18,ChqRankU,0),0)=0,"",IF(INDEX(ChqStatus,IFERROR(MATCH(18,ChqRankU,0),0))="پاس نشده","—",IF(INDEX(ChqClr,IFERROR(MATCH(18,ChqRankU,0),0))="","—",INDEX(ChqClr,IFERROR(MATCH(18,ChqRankU,0),0)))))</f>
        <v/>
      </c>
      <c r="I34" t="str">
        <f>IF(18&gt;NChq,"",INDEX(ChqNorm,18))</f>
        <v/>
      </c>
      <c r="J34" t="str">
        <f>IF($I34="","",IF(AND($I34&gt;=$H$3,$I34&lt;=$H$4,INDEX(ChqStatus,18)="پاس نشده"),1,0))</f>
        <v/>
      </c>
      <c r="K34" t="str">
        <f>IF($J34=0,"",INDEX(ChqKey,18))</f>
        <v/>
      </c>
      <c r="L34" t="str">
        <f t="shared" si="0"/>
        <v/>
      </c>
    </row>
    <row r="35" spans="1:12" x14ac:dyDescent="0.2">
      <c r="A35" s="3" t="str">
        <f>IF(IFERROR(MATCH(19,ChqRankU,0),0)=0,"",19)</f>
        <v/>
      </c>
      <c r="B35" s="13" t="str">
        <f>IF(IFERROR(MATCH(19,ChqRankU,0),0)=0,"",INDEX(ChqNorm,IFERROR(MATCH(19,ChqRankU,0),0)))</f>
        <v/>
      </c>
      <c r="C35" s="13" t="str">
        <f>IF(IFERROR(MATCH(19,ChqRankU,0),0)=0,"",INDEX(ChqNo,IFERROR(MATCH(19,ChqRankU,0),0)))</f>
        <v/>
      </c>
      <c r="D35" s="14" t="str">
        <f>IF(IFERROR(MATCH(19,ChqRankU,0),0)=0,"",IF(INDEX(ChqAmt,IFERROR(MATCH(19,ChqRankU,0),0))=0,"",INDEX(ChqAmt,IFERROR(MATCH(19,ChqRankU,0),0))))</f>
        <v/>
      </c>
      <c r="E35" s="7" t="str">
        <f>IF(IFERROR(MATCH(19,ChqRankU,0),0)=0,"",INDEX(ChqStatus,IFERROR(MATCH(19,ChqRankU,0),0)))</f>
        <v/>
      </c>
      <c r="F35" s="13" t="str">
        <f>IF(IFERROR(MATCH(19,ChqRankU,0),0)=0,"",IF(INDEX(ChqStatus,IFERROR(MATCH(19,ChqRankU,0),0))="پاس نشده","—",IF(INDEX(ChqClr,IFERROR(MATCH(19,ChqRankU,0),0))="","—",INDEX(ChqClr,IFERROR(MATCH(19,ChqRankU,0),0)))))</f>
        <v/>
      </c>
      <c r="I35" t="str">
        <f>IF(19&gt;NChq,"",INDEX(ChqNorm,19))</f>
        <v/>
      </c>
      <c r="J35" t="str">
        <f>IF($I35="","",IF(AND($I35&gt;=$H$3,$I35&lt;=$H$4,INDEX(ChqStatus,19)="پاس نشده"),1,0))</f>
        <v/>
      </c>
      <c r="K35" t="str">
        <f>IF($J35=0,"",INDEX(ChqKey,19))</f>
        <v/>
      </c>
      <c r="L35" t="str">
        <f t="shared" si="0"/>
        <v/>
      </c>
    </row>
    <row r="36" spans="1:12" x14ac:dyDescent="0.2">
      <c r="A36" s="9" t="str">
        <f>IF(IFERROR(MATCH(20,ChqRankU,0),0)=0,"",20)</f>
        <v/>
      </c>
      <c r="B36" s="15" t="str">
        <f>IF(IFERROR(MATCH(20,ChqRankU,0),0)=0,"",INDEX(ChqNorm,IFERROR(MATCH(20,ChqRankU,0),0)))</f>
        <v/>
      </c>
      <c r="C36" s="15" t="str">
        <f>IF(IFERROR(MATCH(20,ChqRankU,0),0)=0,"",INDEX(ChqNo,IFERROR(MATCH(20,ChqRankU,0),0)))</f>
        <v/>
      </c>
      <c r="D36" s="16" t="str">
        <f>IF(IFERROR(MATCH(20,ChqRankU,0),0)=0,"",IF(INDEX(ChqAmt,IFERROR(MATCH(20,ChqRankU,0),0))=0,"",INDEX(ChqAmt,IFERROR(MATCH(20,ChqRankU,0),0))))</f>
        <v/>
      </c>
      <c r="E36" s="10" t="str">
        <f>IF(IFERROR(MATCH(20,ChqRankU,0),0)=0,"",INDEX(ChqStatus,IFERROR(MATCH(20,ChqRankU,0),0)))</f>
        <v/>
      </c>
      <c r="F36" s="15" t="str">
        <f>IF(IFERROR(MATCH(20,ChqRankU,0),0)=0,"",IF(INDEX(ChqStatus,IFERROR(MATCH(20,ChqRankU,0),0))="پاس نشده","—",IF(INDEX(ChqClr,IFERROR(MATCH(20,ChqRankU,0),0))="","—",INDEX(ChqClr,IFERROR(MATCH(20,ChqRankU,0),0)))))</f>
        <v/>
      </c>
      <c r="I36" t="str">
        <f>IF(20&gt;NChq,"",INDEX(ChqNorm,20))</f>
        <v/>
      </c>
      <c r="J36" t="str">
        <f>IF($I36="","",IF(AND($I36&gt;=$H$3,$I36&lt;=$H$4,INDEX(ChqStatus,20)="پاس نشده"),1,0))</f>
        <v/>
      </c>
      <c r="K36" t="str">
        <f>IF($J36=0,"",INDEX(ChqKey,20))</f>
        <v/>
      </c>
      <c r="L36" t="str">
        <f t="shared" si="0"/>
        <v/>
      </c>
    </row>
    <row r="37" spans="1:12" x14ac:dyDescent="0.2">
      <c r="A37" s="3" t="str">
        <f>IF(IFERROR(MATCH(21,ChqRankU,0),0)=0,"",21)</f>
        <v/>
      </c>
      <c r="B37" s="13" t="str">
        <f>IF(IFERROR(MATCH(21,ChqRankU,0),0)=0,"",INDEX(ChqNorm,IFERROR(MATCH(21,ChqRankU,0),0)))</f>
        <v/>
      </c>
      <c r="C37" s="13" t="str">
        <f>IF(IFERROR(MATCH(21,ChqRankU,0),0)=0,"",INDEX(ChqNo,IFERROR(MATCH(21,ChqRankU,0),0)))</f>
        <v/>
      </c>
      <c r="D37" s="14" t="str">
        <f>IF(IFERROR(MATCH(21,ChqRankU,0),0)=0,"",IF(INDEX(ChqAmt,IFERROR(MATCH(21,ChqRankU,0),0))=0,"",INDEX(ChqAmt,IFERROR(MATCH(21,ChqRankU,0),0))))</f>
        <v/>
      </c>
      <c r="E37" s="7" t="str">
        <f>IF(IFERROR(MATCH(21,ChqRankU,0),0)=0,"",INDEX(ChqStatus,IFERROR(MATCH(21,ChqRankU,0),0)))</f>
        <v/>
      </c>
      <c r="F37" s="13" t="str">
        <f>IF(IFERROR(MATCH(21,ChqRankU,0),0)=0,"",IF(INDEX(ChqStatus,IFERROR(MATCH(21,ChqRankU,0),0))="پاس نشده","—",IF(INDEX(ChqClr,IFERROR(MATCH(21,ChqRankU,0),0))="","—",INDEX(ChqClr,IFERROR(MATCH(21,ChqRankU,0),0)))))</f>
        <v/>
      </c>
      <c r="I37" t="str">
        <f>IF(21&gt;NChq,"",INDEX(ChqNorm,21))</f>
        <v/>
      </c>
      <c r="J37" t="str">
        <f>IF($I37="","",IF(AND($I37&gt;=$H$3,$I37&lt;=$H$4,INDEX(ChqStatus,21)="پاس نشده"),1,0))</f>
        <v/>
      </c>
      <c r="K37" t="str">
        <f>IF($J37=0,"",INDEX(ChqKey,21))</f>
        <v/>
      </c>
      <c r="L37" t="str">
        <f t="shared" si="0"/>
        <v/>
      </c>
    </row>
    <row r="38" spans="1:12" x14ac:dyDescent="0.2">
      <c r="A38" s="9" t="str">
        <f>IF(IFERROR(MATCH(22,ChqRankU,0),0)=0,"",22)</f>
        <v/>
      </c>
      <c r="B38" s="15" t="str">
        <f>IF(IFERROR(MATCH(22,ChqRankU,0),0)=0,"",INDEX(ChqNorm,IFERROR(MATCH(22,ChqRankU,0),0)))</f>
        <v/>
      </c>
      <c r="C38" s="15" t="str">
        <f>IF(IFERROR(MATCH(22,ChqRankU,0),0)=0,"",INDEX(ChqNo,IFERROR(MATCH(22,ChqRankU,0),0)))</f>
        <v/>
      </c>
      <c r="D38" s="16" t="str">
        <f>IF(IFERROR(MATCH(22,ChqRankU,0),0)=0,"",IF(INDEX(ChqAmt,IFERROR(MATCH(22,ChqRankU,0),0))=0,"",INDEX(ChqAmt,IFERROR(MATCH(22,ChqRankU,0),0))))</f>
        <v/>
      </c>
      <c r="E38" s="10" t="str">
        <f>IF(IFERROR(MATCH(22,ChqRankU,0),0)=0,"",INDEX(ChqStatus,IFERROR(MATCH(22,ChqRankU,0),0)))</f>
        <v/>
      </c>
      <c r="F38" s="15" t="str">
        <f>IF(IFERROR(MATCH(22,ChqRankU,0),0)=0,"",IF(INDEX(ChqStatus,IFERROR(MATCH(22,ChqRankU,0),0))="پاس نشده","—",IF(INDEX(ChqClr,IFERROR(MATCH(22,ChqRankU,0),0))="","—",INDEX(ChqClr,IFERROR(MATCH(22,ChqRankU,0),0)))))</f>
        <v/>
      </c>
      <c r="I38" t="str">
        <f>IF(22&gt;NChq,"",INDEX(ChqNorm,22))</f>
        <v/>
      </c>
      <c r="J38" t="str">
        <f>IF($I38="","",IF(AND($I38&gt;=$H$3,$I38&lt;=$H$4,INDEX(ChqStatus,22)="پاس نشده"),1,0))</f>
        <v/>
      </c>
      <c r="K38" t="str">
        <f>IF($J38=0,"",INDEX(ChqKey,22))</f>
        <v/>
      </c>
      <c r="L38" t="str">
        <f t="shared" si="0"/>
        <v/>
      </c>
    </row>
    <row r="39" spans="1:12" x14ac:dyDescent="0.2">
      <c r="A39" s="3" t="str">
        <f>IF(IFERROR(MATCH(23,ChqRankU,0),0)=0,"",23)</f>
        <v/>
      </c>
      <c r="B39" s="13" t="str">
        <f>IF(IFERROR(MATCH(23,ChqRankU,0),0)=0,"",INDEX(ChqNorm,IFERROR(MATCH(23,ChqRankU,0),0)))</f>
        <v/>
      </c>
      <c r="C39" s="13" t="str">
        <f>IF(IFERROR(MATCH(23,ChqRankU,0),0)=0,"",INDEX(ChqNo,IFERROR(MATCH(23,ChqRankU,0),0)))</f>
        <v/>
      </c>
      <c r="D39" s="14" t="str">
        <f>IF(IFERROR(MATCH(23,ChqRankU,0),0)=0,"",IF(INDEX(ChqAmt,IFERROR(MATCH(23,ChqRankU,0),0))=0,"",INDEX(ChqAmt,IFERROR(MATCH(23,ChqRankU,0),0))))</f>
        <v/>
      </c>
      <c r="E39" s="7" t="str">
        <f>IF(IFERROR(MATCH(23,ChqRankU,0),0)=0,"",INDEX(ChqStatus,IFERROR(MATCH(23,ChqRankU,0),0)))</f>
        <v/>
      </c>
      <c r="F39" s="13" t="str">
        <f>IF(IFERROR(MATCH(23,ChqRankU,0),0)=0,"",IF(INDEX(ChqStatus,IFERROR(MATCH(23,ChqRankU,0),0))="پاس نشده","—",IF(INDEX(ChqClr,IFERROR(MATCH(23,ChqRankU,0),0))="","—",INDEX(ChqClr,IFERROR(MATCH(23,ChqRankU,0),0)))))</f>
        <v/>
      </c>
      <c r="I39" t="str">
        <f>IF(23&gt;NChq,"",INDEX(ChqNorm,23))</f>
        <v/>
      </c>
      <c r="J39" t="str">
        <f>IF($I39="","",IF(AND($I39&gt;=$H$3,$I39&lt;=$H$4,INDEX(ChqStatus,23)="پاس نشده"),1,0))</f>
        <v/>
      </c>
      <c r="K39" t="str">
        <f>IF($J39=0,"",INDEX(ChqKey,23))</f>
        <v/>
      </c>
      <c r="L39" t="str">
        <f t="shared" si="0"/>
        <v/>
      </c>
    </row>
    <row r="40" spans="1:12" x14ac:dyDescent="0.2">
      <c r="A40" s="9" t="str">
        <f>IF(IFERROR(MATCH(24,ChqRankU,0),0)=0,"",24)</f>
        <v/>
      </c>
      <c r="B40" s="15" t="str">
        <f>IF(IFERROR(MATCH(24,ChqRankU,0),0)=0,"",INDEX(ChqNorm,IFERROR(MATCH(24,ChqRankU,0),0)))</f>
        <v/>
      </c>
      <c r="C40" s="15" t="str">
        <f>IF(IFERROR(MATCH(24,ChqRankU,0),0)=0,"",INDEX(ChqNo,IFERROR(MATCH(24,ChqRankU,0),0)))</f>
        <v/>
      </c>
      <c r="D40" s="16" t="str">
        <f>IF(IFERROR(MATCH(24,ChqRankU,0),0)=0,"",IF(INDEX(ChqAmt,IFERROR(MATCH(24,ChqRankU,0),0))=0,"",INDEX(ChqAmt,IFERROR(MATCH(24,ChqRankU,0),0))))</f>
        <v/>
      </c>
      <c r="E40" s="10" t="str">
        <f>IF(IFERROR(MATCH(24,ChqRankU,0),0)=0,"",INDEX(ChqStatus,IFERROR(MATCH(24,ChqRankU,0),0)))</f>
        <v/>
      </c>
      <c r="F40" s="15" t="str">
        <f>IF(IFERROR(MATCH(24,ChqRankU,0),0)=0,"",IF(INDEX(ChqStatus,IFERROR(MATCH(24,ChqRankU,0),0))="پاس نشده","—",IF(INDEX(ChqClr,IFERROR(MATCH(24,ChqRankU,0),0))="","—",INDEX(ChqClr,IFERROR(MATCH(24,ChqRankU,0),0)))))</f>
        <v/>
      </c>
      <c r="I40" t="str">
        <f>IF(24&gt;NChq,"",INDEX(ChqNorm,24))</f>
        <v/>
      </c>
      <c r="J40" t="str">
        <f>IF($I40="","",IF(AND($I40&gt;=$H$3,$I40&lt;=$H$4,INDEX(ChqStatus,24)="پاس نشده"),1,0))</f>
        <v/>
      </c>
      <c r="K40" t="str">
        <f>IF($J40=0,"",INDEX(ChqKey,24))</f>
        <v/>
      </c>
      <c r="L40" t="str">
        <f t="shared" si="0"/>
        <v/>
      </c>
    </row>
    <row r="41" spans="1:12" x14ac:dyDescent="0.2">
      <c r="A41" s="3" t="str">
        <f>IF(IFERROR(MATCH(25,ChqRankU,0),0)=0,"",25)</f>
        <v/>
      </c>
      <c r="B41" s="13" t="str">
        <f>IF(IFERROR(MATCH(25,ChqRankU,0),0)=0,"",INDEX(ChqNorm,IFERROR(MATCH(25,ChqRankU,0),0)))</f>
        <v/>
      </c>
      <c r="C41" s="13" t="str">
        <f>IF(IFERROR(MATCH(25,ChqRankU,0),0)=0,"",INDEX(ChqNo,IFERROR(MATCH(25,ChqRankU,0),0)))</f>
        <v/>
      </c>
      <c r="D41" s="14" t="str">
        <f>IF(IFERROR(MATCH(25,ChqRankU,0),0)=0,"",IF(INDEX(ChqAmt,IFERROR(MATCH(25,ChqRankU,0),0))=0,"",INDEX(ChqAmt,IFERROR(MATCH(25,ChqRankU,0),0))))</f>
        <v/>
      </c>
      <c r="E41" s="7" t="str">
        <f>IF(IFERROR(MATCH(25,ChqRankU,0),0)=0,"",INDEX(ChqStatus,IFERROR(MATCH(25,ChqRankU,0),0)))</f>
        <v/>
      </c>
      <c r="F41" s="13" t="str">
        <f>IF(IFERROR(MATCH(25,ChqRankU,0),0)=0,"",IF(INDEX(ChqStatus,IFERROR(MATCH(25,ChqRankU,0),0))="پاس نشده","—",IF(INDEX(ChqClr,IFERROR(MATCH(25,ChqRankU,0),0))="","—",INDEX(ChqClr,IFERROR(MATCH(25,ChqRankU,0),0)))))</f>
        <v/>
      </c>
      <c r="I41" t="str">
        <f>IF(25&gt;NChq,"",INDEX(ChqNorm,25))</f>
        <v/>
      </c>
      <c r="J41" t="str">
        <f>IF($I41="","",IF(AND($I41&gt;=$H$3,$I41&lt;=$H$4,INDEX(ChqStatus,25)="پاس نشده"),1,0))</f>
        <v/>
      </c>
      <c r="K41" t="str">
        <f>IF($J41=0,"",INDEX(ChqKey,25))</f>
        <v/>
      </c>
      <c r="L41" t="str">
        <f t="shared" si="0"/>
        <v/>
      </c>
    </row>
    <row r="42" spans="1:12" x14ac:dyDescent="0.2">
      <c r="A42" s="9" t="str">
        <f>IF(IFERROR(MATCH(26,ChqRankU,0),0)=0,"",26)</f>
        <v/>
      </c>
      <c r="B42" s="15" t="str">
        <f>IF(IFERROR(MATCH(26,ChqRankU,0),0)=0,"",INDEX(ChqNorm,IFERROR(MATCH(26,ChqRankU,0),0)))</f>
        <v/>
      </c>
      <c r="C42" s="15" t="str">
        <f>IF(IFERROR(MATCH(26,ChqRankU,0),0)=0,"",INDEX(ChqNo,IFERROR(MATCH(26,ChqRankU,0),0)))</f>
        <v/>
      </c>
      <c r="D42" s="16" t="str">
        <f>IF(IFERROR(MATCH(26,ChqRankU,0),0)=0,"",IF(INDEX(ChqAmt,IFERROR(MATCH(26,ChqRankU,0),0))=0,"",INDEX(ChqAmt,IFERROR(MATCH(26,ChqRankU,0),0))))</f>
        <v/>
      </c>
      <c r="E42" s="10" t="str">
        <f>IF(IFERROR(MATCH(26,ChqRankU,0),0)=0,"",INDEX(ChqStatus,IFERROR(MATCH(26,ChqRankU,0),0)))</f>
        <v/>
      </c>
      <c r="F42" s="15" t="str">
        <f>IF(IFERROR(MATCH(26,ChqRankU,0),0)=0,"",IF(INDEX(ChqStatus,IFERROR(MATCH(26,ChqRankU,0),0))="پاس نشده","—",IF(INDEX(ChqClr,IFERROR(MATCH(26,ChqRankU,0),0))="","—",INDEX(ChqClr,IFERROR(MATCH(26,ChqRankU,0),0)))))</f>
        <v/>
      </c>
      <c r="I42" t="str">
        <f>IF(26&gt;NChq,"",INDEX(ChqNorm,26))</f>
        <v/>
      </c>
      <c r="J42" t="str">
        <f>IF($I42="","",IF(AND($I42&gt;=$H$3,$I42&lt;=$H$4,INDEX(ChqStatus,26)="پاس نشده"),1,0))</f>
        <v/>
      </c>
      <c r="K42" t="str">
        <f>IF($J42=0,"",INDEX(ChqKey,26))</f>
        <v/>
      </c>
      <c r="L42" t="str">
        <f t="shared" si="0"/>
        <v/>
      </c>
    </row>
    <row r="43" spans="1:12" x14ac:dyDescent="0.2">
      <c r="A43" s="3" t="str">
        <f>IF(IFERROR(MATCH(27,ChqRankU,0),0)=0,"",27)</f>
        <v/>
      </c>
      <c r="B43" s="13" t="str">
        <f>IF(IFERROR(MATCH(27,ChqRankU,0),0)=0,"",INDEX(ChqNorm,IFERROR(MATCH(27,ChqRankU,0),0)))</f>
        <v/>
      </c>
      <c r="C43" s="13" t="str">
        <f>IF(IFERROR(MATCH(27,ChqRankU,0),0)=0,"",INDEX(ChqNo,IFERROR(MATCH(27,ChqRankU,0),0)))</f>
        <v/>
      </c>
      <c r="D43" s="14" t="str">
        <f>IF(IFERROR(MATCH(27,ChqRankU,0),0)=0,"",IF(INDEX(ChqAmt,IFERROR(MATCH(27,ChqRankU,0),0))=0,"",INDEX(ChqAmt,IFERROR(MATCH(27,ChqRankU,0),0))))</f>
        <v/>
      </c>
      <c r="E43" s="7" t="str">
        <f>IF(IFERROR(MATCH(27,ChqRankU,0),0)=0,"",INDEX(ChqStatus,IFERROR(MATCH(27,ChqRankU,0),0)))</f>
        <v/>
      </c>
      <c r="F43" s="13" t="str">
        <f>IF(IFERROR(MATCH(27,ChqRankU,0),0)=0,"",IF(INDEX(ChqStatus,IFERROR(MATCH(27,ChqRankU,0),0))="پاس نشده","—",IF(INDEX(ChqClr,IFERROR(MATCH(27,ChqRankU,0),0))="","—",INDEX(ChqClr,IFERROR(MATCH(27,ChqRankU,0),0)))))</f>
        <v/>
      </c>
      <c r="I43" t="str">
        <f>IF(27&gt;NChq,"",INDEX(ChqNorm,27))</f>
        <v/>
      </c>
      <c r="J43" t="str">
        <f>IF($I43="","",IF(AND($I43&gt;=$H$3,$I43&lt;=$H$4,INDEX(ChqStatus,27)="پاس نشده"),1,0))</f>
        <v/>
      </c>
      <c r="K43" t="str">
        <f>IF($J43=0,"",INDEX(ChqKey,27))</f>
        <v/>
      </c>
      <c r="L43" t="str">
        <f t="shared" si="0"/>
        <v/>
      </c>
    </row>
    <row r="44" spans="1:12" x14ac:dyDescent="0.2">
      <c r="A44" s="9" t="str">
        <f>IF(IFERROR(MATCH(28,ChqRankU,0),0)=0,"",28)</f>
        <v/>
      </c>
      <c r="B44" s="15" t="str">
        <f>IF(IFERROR(MATCH(28,ChqRankU,0),0)=0,"",INDEX(ChqNorm,IFERROR(MATCH(28,ChqRankU,0),0)))</f>
        <v/>
      </c>
      <c r="C44" s="15" t="str">
        <f>IF(IFERROR(MATCH(28,ChqRankU,0),0)=0,"",INDEX(ChqNo,IFERROR(MATCH(28,ChqRankU,0),0)))</f>
        <v/>
      </c>
      <c r="D44" s="16" t="str">
        <f>IF(IFERROR(MATCH(28,ChqRankU,0),0)=0,"",IF(INDEX(ChqAmt,IFERROR(MATCH(28,ChqRankU,0),0))=0,"",INDEX(ChqAmt,IFERROR(MATCH(28,ChqRankU,0),0))))</f>
        <v/>
      </c>
      <c r="E44" s="10" t="str">
        <f>IF(IFERROR(MATCH(28,ChqRankU,0),0)=0,"",INDEX(ChqStatus,IFERROR(MATCH(28,ChqRankU,0),0)))</f>
        <v/>
      </c>
      <c r="F44" s="15" t="str">
        <f>IF(IFERROR(MATCH(28,ChqRankU,0),0)=0,"",IF(INDEX(ChqStatus,IFERROR(MATCH(28,ChqRankU,0),0))="پاس نشده","—",IF(INDEX(ChqClr,IFERROR(MATCH(28,ChqRankU,0),0))="","—",INDEX(ChqClr,IFERROR(MATCH(28,ChqRankU,0),0)))))</f>
        <v/>
      </c>
      <c r="I44" t="str">
        <f>IF(28&gt;NChq,"",INDEX(ChqNorm,28))</f>
        <v/>
      </c>
      <c r="J44" t="str">
        <f>IF($I44="","",IF(AND($I44&gt;=$H$3,$I44&lt;=$H$4,INDEX(ChqStatus,28)="پاس نشده"),1,0))</f>
        <v/>
      </c>
      <c r="K44" t="str">
        <f>IF($J44=0,"",INDEX(ChqKey,28))</f>
        <v/>
      </c>
      <c r="L44" t="str">
        <f t="shared" si="0"/>
        <v/>
      </c>
    </row>
    <row r="45" spans="1:12" x14ac:dyDescent="0.2">
      <c r="A45" s="3" t="str">
        <f>IF(IFERROR(MATCH(29,ChqRankU,0),0)=0,"",29)</f>
        <v/>
      </c>
      <c r="B45" s="13" t="str">
        <f>IF(IFERROR(MATCH(29,ChqRankU,0),0)=0,"",INDEX(ChqNorm,IFERROR(MATCH(29,ChqRankU,0),0)))</f>
        <v/>
      </c>
      <c r="C45" s="13" t="str">
        <f>IF(IFERROR(MATCH(29,ChqRankU,0),0)=0,"",INDEX(ChqNo,IFERROR(MATCH(29,ChqRankU,0),0)))</f>
        <v/>
      </c>
      <c r="D45" s="14" t="str">
        <f>IF(IFERROR(MATCH(29,ChqRankU,0),0)=0,"",IF(INDEX(ChqAmt,IFERROR(MATCH(29,ChqRankU,0),0))=0,"",INDEX(ChqAmt,IFERROR(MATCH(29,ChqRankU,0),0))))</f>
        <v/>
      </c>
      <c r="E45" s="7" t="str">
        <f>IF(IFERROR(MATCH(29,ChqRankU,0),0)=0,"",INDEX(ChqStatus,IFERROR(MATCH(29,ChqRankU,0),0)))</f>
        <v/>
      </c>
      <c r="F45" s="13" t="str">
        <f>IF(IFERROR(MATCH(29,ChqRankU,0),0)=0,"",IF(INDEX(ChqStatus,IFERROR(MATCH(29,ChqRankU,0),0))="پاس نشده","—",IF(INDEX(ChqClr,IFERROR(MATCH(29,ChqRankU,0),0))="","—",INDEX(ChqClr,IFERROR(MATCH(29,ChqRankU,0),0)))))</f>
        <v/>
      </c>
      <c r="I45" t="str">
        <f>IF(29&gt;NChq,"",INDEX(ChqNorm,29))</f>
        <v/>
      </c>
      <c r="J45" t="str">
        <f>IF($I45="","",IF(AND($I45&gt;=$H$3,$I45&lt;=$H$4,INDEX(ChqStatus,29)="پاس نشده"),1,0))</f>
        <v/>
      </c>
      <c r="K45" t="str">
        <f>IF($J45=0,"",INDEX(ChqKey,29))</f>
        <v/>
      </c>
      <c r="L45" t="str">
        <f t="shared" si="0"/>
        <v/>
      </c>
    </row>
    <row r="46" spans="1:12" x14ac:dyDescent="0.2">
      <c r="A46" s="9" t="str">
        <f>IF(IFERROR(MATCH(30,ChqRankU,0),0)=0,"",30)</f>
        <v/>
      </c>
      <c r="B46" s="15" t="str">
        <f>IF(IFERROR(MATCH(30,ChqRankU,0),0)=0,"",INDEX(ChqNorm,IFERROR(MATCH(30,ChqRankU,0),0)))</f>
        <v/>
      </c>
      <c r="C46" s="15" t="str">
        <f>IF(IFERROR(MATCH(30,ChqRankU,0),0)=0,"",INDEX(ChqNo,IFERROR(MATCH(30,ChqRankU,0),0)))</f>
        <v/>
      </c>
      <c r="D46" s="16" t="str">
        <f>IF(IFERROR(MATCH(30,ChqRankU,0),0)=0,"",IF(INDEX(ChqAmt,IFERROR(MATCH(30,ChqRankU,0),0))=0,"",INDEX(ChqAmt,IFERROR(MATCH(30,ChqRankU,0),0))))</f>
        <v/>
      </c>
      <c r="E46" s="10" t="str">
        <f>IF(IFERROR(MATCH(30,ChqRankU,0),0)=0,"",INDEX(ChqStatus,IFERROR(MATCH(30,ChqRankU,0),0)))</f>
        <v/>
      </c>
      <c r="F46" s="15" t="str">
        <f>IF(IFERROR(MATCH(30,ChqRankU,0),0)=0,"",IF(INDEX(ChqStatus,IFERROR(MATCH(30,ChqRankU,0),0))="پاس نشده","—",IF(INDEX(ChqClr,IFERROR(MATCH(30,ChqRankU,0),0))="","—",INDEX(ChqClr,IFERROR(MATCH(30,ChqRankU,0),0)))))</f>
        <v/>
      </c>
      <c r="I46" t="str">
        <f>IF(30&gt;NChq,"",INDEX(ChqNorm,30))</f>
        <v/>
      </c>
      <c r="J46" t="str">
        <f>IF($I46="","",IF(AND($I46&gt;=$H$3,$I46&lt;=$H$4,INDEX(ChqStatus,30)="پاس نشده"),1,0))</f>
        <v/>
      </c>
      <c r="K46" t="str">
        <f>IF($J46=0,"",INDEX(ChqKey,30))</f>
        <v/>
      </c>
      <c r="L46" t="str">
        <f t="shared" si="0"/>
        <v/>
      </c>
    </row>
    <row r="47" spans="1:12" x14ac:dyDescent="0.2">
      <c r="A47" s="3" t="str">
        <f>IF(IFERROR(MATCH(31,ChqRankU,0),0)=0,"",31)</f>
        <v/>
      </c>
      <c r="B47" s="13" t="str">
        <f>IF(IFERROR(MATCH(31,ChqRankU,0),0)=0,"",INDEX(ChqNorm,IFERROR(MATCH(31,ChqRankU,0),0)))</f>
        <v/>
      </c>
      <c r="C47" s="13" t="str">
        <f>IF(IFERROR(MATCH(31,ChqRankU,0),0)=0,"",INDEX(ChqNo,IFERROR(MATCH(31,ChqRankU,0),0)))</f>
        <v/>
      </c>
      <c r="D47" s="14" t="str">
        <f>IF(IFERROR(MATCH(31,ChqRankU,0),0)=0,"",IF(INDEX(ChqAmt,IFERROR(MATCH(31,ChqRankU,0),0))=0,"",INDEX(ChqAmt,IFERROR(MATCH(31,ChqRankU,0),0))))</f>
        <v/>
      </c>
      <c r="E47" s="7" t="str">
        <f>IF(IFERROR(MATCH(31,ChqRankU,0),0)=0,"",INDEX(ChqStatus,IFERROR(MATCH(31,ChqRankU,0),0)))</f>
        <v/>
      </c>
      <c r="F47" s="13" t="str">
        <f>IF(IFERROR(MATCH(31,ChqRankU,0),0)=0,"",IF(INDEX(ChqStatus,IFERROR(MATCH(31,ChqRankU,0),0))="پاس نشده","—",IF(INDEX(ChqClr,IFERROR(MATCH(31,ChqRankU,0),0))="","—",INDEX(ChqClr,IFERROR(MATCH(31,ChqRankU,0),0)))))</f>
        <v/>
      </c>
      <c r="I47" t="str">
        <f>IF(31&gt;NChq,"",INDEX(ChqNorm,31))</f>
        <v/>
      </c>
      <c r="J47" t="str">
        <f>IF($I47="","",IF(AND($I47&gt;=$H$3,$I47&lt;=$H$4,INDEX(ChqStatus,31)="پاس نشده"),1,0))</f>
        <v/>
      </c>
      <c r="K47" t="str">
        <f>IF($J47=0,"",INDEX(ChqKey,31))</f>
        <v/>
      </c>
      <c r="L47" t="str">
        <f t="shared" si="0"/>
        <v/>
      </c>
    </row>
    <row r="48" spans="1:12" x14ac:dyDescent="0.2">
      <c r="A48" s="9" t="str">
        <f>IF(IFERROR(MATCH(32,ChqRankU,0),0)=0,"",32)</f>
        <v/>
      </c>
      <c r="B48" s="15" t="str">
        <f>IF(IFERROR(MATCH(32,ChqRankU,0),0)=0,"",INDEX(ChqNorm,IFERROR(MATCH(32,ChqRankU,0),0)))</f>
        <v/>
      </c>
      <c r="C48" s="15" t="str">
        <f>IF(IFERROR(MATCH(32,ChqRankU,0),0)=0,"",INDEX(ChqNo,IFERROR(MATCH(32,ChqRankU,0),0)))</f>
        <v/>
      </c>
      <c r="D48" s="16" t="str">
        <f>IF(IFERROR(MATCH(32,ChqRankU,0),0)=0,"",IF(INDEX(ChqAmt,IFERROR(MATCH(32,ChqRankU,0),0))=0,"",INDEX(ChqAmt,IFERROR(MATCH(32,ChqRankU,0),0))))</f>
        <v/>
      </c>
      <c r="E48" s="10" t="str">
        <f>IF(IFERROR(MATCH(32,ChqRankU,0),0)=0,"",INDEX(ChqStatus,IFERROR(MATCH(32,ChqRankU,0),0)))</f>
        <v/>
      </c>
      <c r="F48" s="15" t="str">
        <f>IF(IFERROR(MATCH(32,ChqRankU,0),0)=0,"",IF(INDEX(ChqStatus,IFERROR(MATCH(32,ChqRankU,0),0))="پاس نشده","—",IF(INDEX(ChqClr,IFERROR(MATCH(32,ChqRankU,0),0))="","—",INDEX(ChqClr,IFERROR(MATCH(32,ChqRankU,0),0)))))</f>
        <v/>
      </c>
      <c r="I48" t="str">
        <f>IF(32&gt;NChq,"",INDEX(ChqNorm,32))</f>
        <v/>
      </c>
      <c r="J48" t="str">
        <f>IF($I48="","",IF(AND($I48&gt;=$H$3,$I48&lt;=$H$4,INDEX(ChqStatus,32)="پاس نشده"),1,0))</f>
        <v/>
      </c>
      <c r="K48" t="str">
        <f>IF($J48=0,"",INDEX(ChqKey,32))</f>
        <v/>
      </c>
      <c r="L48" t="str">
        <f t="shared" si="0"/>
        <v/>
      </c>
    </row>
    <row r="49" spans="1:12" x14ac:dyDescent="0.2">
      <c r="A49" s="3" t="str">
        <f>IF(IFERROR(MATCH(33,ChqRankU,0),0)=0,"",33)</f>
        <v/>
      </c>
      <c r="B49" s="13" t="str">
        <f>IF(IFERROR(MATCH(33,ChqRankU,0),0)=0,"",INDEX(ChqNorm,IFERROR(MATCH(33,ChqRankU,0),0)))</f>
        <v/>
      </c>
      <c r="C49" s="13" t="str">
        <f>IF(IFERROR(MATCH(33,ChqRankU,0),0)=0,"",INDEX(ChqNo,IFERROR(MATCH(33,ChqRankU,0),0)))</f>
        <v/>
      </c>
      <c r="D49" s="14" t="str">
        <f>IF(IFERROR(MATCH(33,ChqRankU,0),0)=0,"",IF(INDEX(ChqAmt,IFERROR(MATCH(33,ChqRankU,0),0))=0,"",INDEX(ChqAmt,IFERROR(MATCH(33,ChqRankU,0),0))))</f>
        <v/>
      </c>
      <c r="E49" s="7" t="str">
        <f>IF(IFERROR(MATCH(33,ChqRankU,0),0)=0,"",INDEX(ChqStatus,IFERROR(MATCH(33,ChqRankU,0),0)))</f>
        <v/>
      </c>
      <c r="F49" s="13" t="str">
        <f>IF(IFERROR(MATCH(33,ChqRankU,0),0)=0,"",IF(INDEX(ChqStatus,IFERROR(MATCH(33,ChqRankU,0),0))="پاس نشده","—",IF(INDEX(ChqClr,IFERROR(MATCH(33,ChqRankU,0),0))="","—",INDEX(ChqClr,IFERROR(MATCH(33,ChqRankU,0),0)))))</f>
        <v/>
      </c>
      <c r="I49" t="str">
        <f>IF(33&gt;NChq,"",INDEX(ChqNorm,33))</f>
        <v/>
      </c>
      <c r="J49" t="str">
        <f>IF($I49="","",IF(AND($I49&gt;=$H$3,$I49&lt;=$H$4,INDEX(ChqStatus,33)="پاس نشده"),1,0))</f>
        <v/>
      </c>
      <c r="K49" t="str">
        <f>IF($J49=0,"",INDEX(ChqKey,33))</f>
        <v/>
      </c>
      <c r="L49" t="str">
        <f t="shared" si="0"/>
        <v/>
      </c>
    </row>
    <row r="50" spans="1:12" x14ac:dyDescent="0.2">
      <c r="A50" s="9" t="str">
        <f>IF(IFERROR(MATCH(34,ChqRankU,0),0)=0,"",34)</f>
        <v/>
      </c>
      <c r="B50" s="15" t="str">
        <f>IF(IFERROR(MATCH(34,ChqRankU,0),0)=0,"",INDEX(ChqNorm,IFERROR(MATCH(34,ChqRankU,0),0)))</f>
        <v/>
      </c>
      <c r="C50" s="15" t="str">
        <f>IF(IFERROR(MATCH(34,ChqRankU,0),0)=0,"",INDEX(ChqNo,IFERROR(MATCH(34,ChqRankU,0),0)))</f>
        <v/>
      </c>
      <c r="D50" s="16" t="str">
        <f>IF(IFERROR(MATCH(34,ChqRankU,0),0)=0,"",IF(INDEX(ChqAmt,IFERROR(MATCH(34,ChqRankU,0),0))=0,"",INDEX(ChqAmt,IFERROR(MATCH(34,ChqRankU,0),0))))</f>
        <v/>
      </c>
      <c r="E50" s="10" t="str">
        <f>IF(IFERROR(MATCH(34,ChqRankU,0),0)=0,"",INDEX(ChqStatus,IFERROR(MATCH(34,ChqRankU,0),0)))</f>
        <v/>
      </c>
      <c r="F50" s="15" t="str">
        <f>IF(IFERROR(MATCH(34,ChqRankU,0),0)=0,"",IF(INDEX(ChqStatus,IFERROR(MATCH(34,ChqRankU,0),0))="پاس نشده","—",IF(INDEX(ChqClr,IFERROR(MATCH(34,ChqRankU,0),0))="","—",INDEX(ChqClr,IFERROR(MATCH(34,ChqRankU,0),0)))))</f>
        <v/>
      </c>
      <c r="I50" t="str">
        <f>IF(34&gt;NChq,"",INDEX(ChqNorm,34))</f>
        <v/>
      </c>
      <c r="J50" t="str">
        <f>IF($I50="","",IF(AND($I50&gt;=$H$3,$I50&lt;=$H$4,INDEX(ChqStatus,34)="پاس نشده"),1,0))</f>
        <v/>
      </c>
      <c r="K50" t="str">
        <f>IF($J50=0,"",INDEX(ChqKey,34))</f>
        <v/>
      </c>
      <c r="L50" t="str">
        <f t="shared" si="0"/>
        <v/>
      </c>
    </row>
    <row r="51" spans="1:12" x14ac:dyDescent="0.2">
      <c r="A51" s="3" t="str">
        <f>IF(IFERROR(MATCH(35,ChqRankU,0),0)=0,"",35)</f>
        <v/>
      </c>
      <c r="B51" s="13" t="str">
        <f>IF(IFERROR(MATCH(35,ChqRankU,0),0)=0,"",INDEX(ChqNorm,IFERROR(MATCH(35,ChqRankU,0),0)))</f>
        <v/>
      </c>
      <c r="C51" s="13" t="str">
        <f>IF(IFERROR(MATCH(35,ChqRankU,0),0)=0,"",INDEX(ChqNo,IFERROR(MATCH(35,ChqRankU,0),0)))</f>
        <v/>
      </c>
      <c r="D51" s="14" t="str">
        <f>IF(IFERROR(MATCH(35,ChqRankU,0),0)=0,"",IF(INDEX(ChqAmt,IFERROR(MATCH(35,ChqRankU,0),0))=0,"",INDEX(ChqAmt,IFERROR(MATCH(35,ChqRankU,0),0))))</f>
        <v/>
      </c>
      <c r="E51" s="7" t="str">
        <f>IF(IFERROR(MATCH(35,ChqRankU,0),0)=0,"",INDEX(ChqStatus,IFERROR(MATCH(35,ChqRankU,0),0)))</f>
        <v/>
      </c>
      <c r="F51" s="13" t="str">
        <f>IF(IFERROR(MATCH(35,ChqRankU,0),0)=0,"",IF(INDEX(ChqStatus,IFERROR(MATCH(35,ChqRankU,0),0))="پاس نشده","—",IF(INDEX(ChqClr,IFERROR(MATCH(35,ChqRankU,0),0))="","—",INDEX(ChqClr,IFERROR(MATCH(35,ChqRankU,0),0)))))</f>
        <v/>
      </c>
      <c r="I51" t="str">
        <f>IF(35&gt;NChq,"",INDEX(ChqNorm,35))</f>
        <v/>
      </c>
      <c r="J51" t="str">
        <f>IF($I51="","",IF(AND($I51&gt;=$H$3,$I51&lt;=$H$4,INDEX(ChqStatus,35)="پاس نشده"),1,0))</f>
        <v/>
      </c>
      <c r="K51" t="str">
        <f>IF($J51=0,"",INDEX(ChqKey,35))</f>
        <v/>
      </c>
      <c r="L51" t="str">
        <f t="shared" si="0"/>
        <v/>
      </c>
    </row>
    <row r="52" spans="1:12" x14ac:dyDescent="0.2">
      <c r="A52" s="9" t="str">
        <f>IF(IFERROR(MATCH(36,ChqRankU,0),0)=0,"",36)</f>
        <v/>
      </c>
      <c r="B52" s="15" t="str">
        <f>IF(IFERROR(MATCH(36,ChqRankU,0),0)=0,"",INDEX(ChqNorm,IFERROR(MATCH(36,ChqRankU,0),0)))</f>
        <v/>
      </c>
      <c r="C52" s="15" t="str">
        <f>IF(IFERROR(MATCH(36,ChqRankU,0),0)=0,"",INDEX(ChqNo,IFERROR(MATCH(36,ChqRankU,0),0)))</f>
        <v/>
      </c>
      <c r="D52" s="16" t="str">
        <f>IF(IFERROR(MATCH(36,ChqRankU,0),0)=0,"",IF(INDEX(ChqAmt,IFERROR(MATCH(36,ChqRankU,0),0))=0,"",INDEX(ChqAmt,IFERROR(MATCH(36,ChqRankU,0),0))))</f>
        <v/>
      </c>
      <c r="E52" s="10" t="str">
        <f>IF(IFERROR(MATCH(36,ChqRankU,0),0)=0,"",INDEX(ChqStatus,IFERROR(MATCH(36,ChqRankU,0),0)))</f>
        <v/>
      </c>
      <c r="F52" s="15" t="str">
        <f>IF(IFERROR(MATCH(36,ChqRankU,0),0)=0,"",IF(INDEX(ChqStatus,IFERROR(MATCH(36,ChqRankU,0),0))="پاس نشده","—",IF(INDEX(ChqClr,IFERROR(MATCH(36,ChqRankU,0),0))="","—",INDEX(ChqClr,IFERROR(MATCH(36,ChqRankU,0),0)))))</f>
        <v/>
      </c>
      <c r="I52" t="str">
        <f>IF(36&gt;NChq,"",INDEX(ChqNorm,36))</f>
        <v/>
      </c>
      <c r="J52" t="str">
        <f>IF($I52="","",IF(AND($I52&gt;=$H$3,$I52&lt;=$H$4,INDEX(ChqStatus,36)="پاس نشده"),1,0))</f>
        <v/>
      </c>
      <c r="K52" t="str">
        <f>IF($J52=0,"",INDEX(ChqKey,36))</f>
        <v/>
      </c>
      <c r="L52" t="str">
        <f t="shared" si="0"/>
        <v/>
      </c>
    </row>
    <row r="53" spans="1:12" x14ac:dyDescent="0.2">
      <c r="A53" s="3" t="str">
        <f>IF(IFERROR(MATCH(37,ChqRankU,0),0)=0,"",37)</f>
        <v/>
      </c>
      <c r="B53" s="13" t="str">
        <f>IF(IFERROR(MATCH(37,ChqRankU,0),0)=0,"",INDEX(ChqNorm,IFERROR(MATCH(37,ChqRankU,0),0)))</f>
        <v/>
      </c>
      <c r="C53" s="13" t="str">
        <f>IF(IFERROR(MATCH(37,ChqRankU,0),0)=0,"",INDEX(ChqNo,IFERROR(MATCH(37,ChqRankU,0),0)))</f>
        <v/>
      </c>
      <c r="D53" s="14" t="str">
        <f>IF(IFERROR(MATCH(37,ChqRankU,0),0)=0,"",IF(INDEX(ChqAmt,IFERROR(MATCH(37,ChqRankU,0),0))=0,"",INDEX(ChqAmt,IFERROR(MATCH(37,ChqRankU,0),0))))</f>
        <v/>
      </c>
      <c r="E53" s="7" t="str">
        <f>IF(IFERROR(MATCH(37,ChqRankU,0),0)=0,"",INDEX(ChqStatus,IFERROR(MATCH(37,ChqRankU,0),0)))</f>
        <v/>
      </c>
      <c r="F53" s="13" t="str">
        <f>IF(IFERROR(MATCH(37,ChqRankU,0),0)=0,"",IF(INDEX(ChqStatus,IFERROR(MATCH(37,ChqRankU,0),0))="پاس نشده","—",IF(INDEX(ChqClr,IFERROR(MATCH(37,ChqRankU,0),0))="","—",INDEX(ChqClr,IFERROR(MATCH(37,ChqRankU,0),0)))))</f>
        <v/>
      </c>
      <c r="I53" t="str">
        <f>IF(37&gt;NChq,"",INDEX(ChqNorm,37))</f>
        <v/>
      </c>
      <c r="J53" t="str">
        <f>IF($I53="","",IF(AND($I53&gt;=$H$3,$I53&lt;=$H$4,INDEX(ChqStatus,37)="پاس نشده"),1,0))</f>
        <v/>
      </c>
      <c r="K53" t="str">
        <f>IF($J53=0,"",INDEX(ChqKey,37))</f>
        <v/>
      </c>
      <c r="L53" t="str">
        <f t="shared" si="0"/>
        <v/>
      </c>
    </row>
    <row r="54" spans="1:12" x14ac:dyDescent="0.2">
      <c r="A54" s="9" t="str">
        <f>IF(IFERROR(MATCH(38,ChqRankU,0),0)=0,"",38)</f>
        <v/>
      </c>
      <c r="B54" s="15" t="str">
        <f>IF(IFERROR(MATCH(38,ChqRankU,0),0)=0,"",INDEX(ChqNorm,IFERROR(MATCH(38,ChqRankU,0),0)))</f>
        <v/>
      </c>
      <c r="C54" s="15" t="str">
        <f>IF(IFERROR(MATCH(38,ChqRankU,0),0)=0,"",INDEX(ChqNo,IFERROR(MATCH(38,ChqRankU,0),0)))</f>
        <v/>
      </c>
      <c r="D54" s="16" t="str">
        <f>IF(IFERROR(MATCH(38,ChqRankU,0),0)=0,"",IF(INDEX(ChqAmt,IFERROR(MATCH(38,ChqRankU,0),0))=0,"",INDEX(ChqAmt,IFERROR(MATCH(38,ChqRankU,0),0))))</f>
        <v/>
      </c>
      <c r="E54" s="10" t="str">
        <f>IF(IFERROR(MATCH(38,ChqRankU,0),0)=0,"",INDEX(ChqStatus,IFERROR(MATCH(38,ChqRankU,0),0)))</f>
        <v/>
      </c>
      <c r="F54" s="15" t="str">
        <f>IF(IFERROR(MATCH(38,ChqRankU,0),0)=0,"",IF(INDEX(ChqStatus,IFERROR(MATCH(38,ChqRankU,0),0))="پاس نشده","—",IF(INDEX(ChqClr,IFERROR(MATCH(38,ChqRankU,0),0))="","—",INDEX(ChqClr,IFERROR(MATCH(38,ChqRankU,0),0)))))</f>
        <v/>
      </c>
      <c r="I54" t="str">
        <f>IF(38&gt;NChq,"",INDEX(ChqNorm,38))</f>
        <v/>
      </c>
      <c r="J54" t="str">
        <f>IF($I54="","",IF(AND($I54&gt;=$H$3,$I54&lt;=$H$4,INDEX(ChqStatus,38)="پاس نشده"),1,0))</f>
        <v/>
      </c>
      <c r="K54" t="str">
        <f>IF($J54=0,"",INDEX(ChqKey,38))</f>
        <v/>
      </c>
      <c r="L54" t="str">
        <f t="shared" si="0"/>
        <v/>
      </c>
    </row>
    <row r="55" spans="1:12" x14ac:dyDescent="0.2">
      <c r="A55" s="3" t="str">
        <f>IF(IFERROR(MATCH(39,ChqRankU,0),0)=0,"",39)</f>
        <v/>
      </c>
      <c r="B55" s="13" t="str">
        <f>IF(IFERROR(MATCH(39,ChqRankU,0),0)=0,"",INDEX(ChqNorm,IFERROR(MATCH(39,ChqRankU,0),0)))</f>
        <v/>
      </c>
      <c r="C55" s="13" t="str">
        <f>IF(IFERROR(MATCH(39,ChqRankU,0),0)=0,"",INDEX(ChqNo,IFERROR(MATCH(39,ChqRankU,0),0)))</f>
        <v/>
      </c>
      <c r="D55" s="14" t="str">
        <f>IF(IFERROR(MATCH(39,ChqRankU,0),0)=0,"",IF(INDEX(ChqAmt,IFERROR(MATCH(39,ChqRankU,0),0))=0,"",INDEX(ChqAmt,IFERROR(MATCH(39,ChqRankU,0),0))))</f>
        <v/>
      </c>
      <c r="E55" s="7" t="str">
        <f>IF(IFERROR(MATCH(39,ChqRankU,0),0)=0,"",INDEX(ChqStatus,IFERROR(MATCH(39,ChqRankU,0),0)))</f>
        <v/>
      </c>
      <c r="F55" s="13" t="str">
        <f>IF(IFERROR(MATCH(39,ChqRankU,0),0)=0,"",IF(INDEX(ChqStatus,IFERROR(MATCH(39,ChqRankU,0),0))="پاس نشده","—",IF(INDEX(ChqClr,IFERROR(MATCH(39,ChqRankU,0),0))="","—",INDEX(ChqClr,IFERROR(MATCH(39,ChqRankU,0),0)))))</f>
        <v/>
      </c>
      <c r="I55" t="str">
        <f>IF(39&gt;NChq,"",INDEX(ChqNorm,39))</f>
        <v/>
      </c>
      <c r="J55" t="str">
        <f>IF($I55="","",IF(AND($I55&gt;=$H$3,$I55&lt;=$H$4,INDEX(ChqStatus,39)="پاس نشده"),1,0))</f>
        <v/>
      </c>
      <c r="K55" t="str">
        <f>IF($J55=0,"",INDEX(ChqKey,39))</f>
        <v/>
      </c>
      <c r="L55" t="str">
        <f t="shared" si="0"/>
        <v/>
      </c>
    </row>
    <row r="56" spans="1:12" x14ac:dyDescent="0.2">
      <c r="A56" s="9" t="str">
        <f>IF(IFERROR(MATCH(40,ChqRankU,0),0)=0,"",40)</f>
        <v/>
      </c>
      <c r="B56" s="15" t="str">
        <f>IF(IFERROR(MATCH(40,ChqRankU,0),0)=0,"",INDEX(ChqNorm,IFERROR(MATCH(40,ChqRankU,0),0)))</f>
        <v/>
      </c>
      <c r="C56" s="15" t="str">
        <f>IF(IFERROR(MATCH(40,ChqRankU,0),0)=0,"",INDEX(ChqNo,IFERROR(MATCH(40,ChqRankU,0),0)))</f>
        <v/>
      </c>
      <c r="D56" s="16" t="str">
        <f>IF(IFERROR(MATCH(40,ChqRankU,0),0)=0,"",IF(INDEX(ChqAmt,IFERROR(MATCH(40,ChqRankU,0),0))=0,"",INDEX(ChqAmt,IFERROR(MATCH(40,ChqRankU,0),0))))</f>
        <v/>
      </c>
      <c r="E56" s="10" t="str">
        <f>IF(IFERROR(MATCH(40,ChqRankU,0),0)=0,"",INDEX(ChqStatus,IFERROR(MATCH(40,ChqRankU,0),0)))</f>
        <v/>
      </c>
      <c r="F56" s="15" t="str">
        <f>IF(IFERROR(MATCH(40,ChqRankU,0),0)=0,"",IF(INDEX(ChqStatus,IFERROR(MATCH(40,ChqRankU,0),0))="پاس نشده","—",IF(INDEX(ChqClr,IFERROR(MATCH(40,ChqRankU,0),0))="","—",INDEX(ChqClr,IFERROR(MATCH(40,ChqRankU,0),0)))))</f>
        <v/>
      </c>
      <c r="I56" t="str">
        <f>IF(40&gt;NChq,"",INDEX(ChqNorm,40))</f>
        <v/>
      </c>
      <c r="J56" t="str">
        <f>IF($I56="","",IF(AND($I56&gt;=$H$3,$I56&lt;=$H$4,INDEX(ChqStatus,40)="پاس نشده"),1,0))</f>
        <v/>
      </c>
      <c r="K56" t="str">
        <f>IF($J56=0,"",INDEX(ChqKey,40))</f>
        <v/>
      </c>
      <c r="L56" t="str">
        <f t="shared" si="0"/>
        <v/>
      </c>
    </row>
    <row r="57" spans="1:12" x14ac:dyDescent="0.2">
      <c r="A57" s="3" t="str">
        <f>IF(IFERROR(MATCH(41,ChqRankU,0),0)=0,"",41)</f>
        <v/>
      </c>
      <c r="B57" s="13" t="str">
        <f>IF(IFERROR(MATCH(41,ChqRankU,0),0)=0,"",INDEX(ChqNorm,IFERROR(MATCH(41,ChqRankU,0),0)))</f>
        <v/>
      </c>
      <c r="C57" s="13" t="str">
        <f>IF(IFERROR(MATCH(41,ChqRankU,0),0)=0,"",INDEX(ChqNo,IFERROR(MATCH(41,ChqRankU,0),0)))</f>
        <v/>
      </c>
      <c r="D57" s="14" t="str">
        <f>IF(IFERROR(MATCH(41,ChqRankU,0),0)=0,"",IF(INDEX(ChqAmt,IFERROR(MATCH(41,ChqRankU,0),0))=0,"",INDEX(ChqAmt,IFERROR(MATCH(41,ChqRankU,0),0))))</f>
        <v/>
      </c>
      <c r="E57" s="7" t="str">
        <f>IF(IFERROR(MATCH(41,ChqRankU,0),0)=0,"",INDEX(ChqStatus,IFERROR(MATCH(41,ChqRankU,0),0)))</f>
        <v/>
      </c>
      <c r="F57" s="13" t="str">
        <f>IF(IFERROR(MATCH(41,ChqRankU,0),0)=0,"",IF(INDEX(ChqStatus,IFERROR(MATCH(41,ChqRankU,0),0))="پاس نشده","—",IF(INDEX(ChqClr,IFERROR(MATCH(41,ChqRankU,0),0))="","—",INDEX(ChqClr,IFERROR(MATCH(41,ChqRankU,0),0)))))</f>
        <v/>
      </c>
      <c r="I57" t="str">
        <f>IF(41&gt;NChq,"",INDEX(ChqNorm,41))</f>
        <v/>
      </c>
      <c r="J57" t="str">
        <f>IF($I57="","",IF(AND($I57&gt;=$H$3,$I57&lt;=$H$4,INDEX(ChqStatus,41)="پاس نشده"),1,0))</f>
        <v/>
      </c>
      <c r="K57" t="str">
        <f>IF($J57=0,"",INDEX(ChqKey,41))</f>
        <v/>
      </c>
      <c r="L57" t="str">
        <f t="shared" si="0"/>
        <v/>
      </c>
    </row>
    <row r="58" spans="1:12" x14ac:dyDescent="0.2">
      <c r="A58" s="9" t="str">
        <f>IF(IFERROR(MATCH(42,ChqRankU,0),0)=0,"",42)</f>
        <v/>
      </c>
      <c r="B58" s="15" t="str">
        <f>IF(IFERROR(MATCH(42,ChqRankU,0),0)=0,"",INDEX(ChqNorm,IFERROR(MATCH(42,ChqRankU,0),0)))</f>
        <v/>
      </c>
      <c r="C58" s="15" t="str">
        <f>IF(IFERROR(MATCH(42,ChqRankU,0),0)=0,"",INDEX(ChqNo,IFERROR(MATCH(42,ChqRankU,0),0)))</f>
        <v/>
      </c>
      <c r="D58" s="16" t="str">
        <f>IF(IFERROR(MATCH(42,ChqRankU,0),0)=0,"",IF(INDEX(ChqAmt,IFERROR(MATCH(42,ChqRankU,0),0))=0,"",INDEX(ChqAmt,IFERROR(MATCH(42,ChqRankU,0),0))))</f>
        <v/>
      </c>
      <c r="E58" s="10" t="str">
        <f>IF(IFERROR(MATCH(42,ChqRankU,0),0)=0,"",INDEX(ChqStatus,IFERROR(MATCH(42,ChqRankU,0),0)))</f>
        <v/>
      </c>
      <c r="F58" s="15" t="str">
        <f>IF(IFERROR(MATCH(42,ChqRankU,0),0)=0,"",IF(INDEX(ChqStatus,IFERROR(MATCH(42,ChqRankU,0),0))="پاس نشده","—",IF(INDEX(ChqClr,IFERROR(MATCH(42,ChqRankU,0),0))="","—",INDEX(ChqClr,IFERROR(MATCH(42,ChqRankU,0),0)))))</f>
        <v/>
      </c>
      <c r="I58" t="str">
        <f>IF(42&gt;NChq,"",INDEX(ChqNorm,42))</f>
        <v/>
      </c>
      <c r="J58" t="str">
        <f>IF($I58="","",IF(AND($I58&gt;=$H$3,$I58&lt;=$H$4,INDEX(ChqStatus,42)="پاس نشده"),1,0))</f>
        <v/>
      </c>
      <c r="K58" t="str">
        <f>IF($J58=0,"",INDEX(ChqKey,42))</f>
        <v/>
      </c>
      <c r="L58" t="str">
        <f t="shared" si="0"/>
        <v/>
      </c>
    </row>
    <row r="59" spans="1:12" x14ac:dyDescent="0.2">
      <c r="A59" s="3" t="str">
        <f>IF(IFERROR(MATCH(43,ChqRankU,0),0)=0,"",43)</f>
        <v/>
      </c>
      <c r="B59" s="13" t="str">
        <f>IF(IFERROR(MATCH(43,ChqRankU,0),0)=0,"",INDEX(ChqNorm,IFERROR(MATCH(43,ChqRankU,0),0)))</f>
        <v/>
      </c>
      <c r="C59" s="13" t="str">
        <f>IF(IFERROR(MATCH(43,ChqRankU,0),0)=0,"",INDEX(ChqNo,IFERROR(MATCH(43,ChqRankU,0),0)))</f>
        <v/>
      </c>
      <c r="D59" s="14" t="str">
        <f>IF(IFERROR(MATCH(43,ChqRankU,0),0)=0,"",IF(INDEX(ChqAmt,IFERROR(MATCH(43,ChqRankU,0),0))=0,"",INDEX(ChqAmt,IFERROR(MATCH(43,ChqRankU,0),0))))</f>
        <v/>
      </c>
      <c r="E59" s="7" t="str">
        <f>IF(IFERROR(MATCH(43,ChqRankU,0),0)=0,"",INDEX(ChqStatus,IFERROR(MATCH(43,ChqRankU,0),0)))</f>
        <v/>
      </c>
      <c r="F59" s="13" t="str">
        <f>IF(IFERROR(MATCH(43,ChqRankU,0),0)=0,"",IF(INDEX(ChqStatus,IFERROR(MATCH(43,ChqRankU,0),0))="پاس نشده","—",IF(INDEX(ChqClr,IFERROR(MATCH(43,ChqRankU,0),0))="","—",INDEX(ChqClr,IFERROR(MATCH(43,ChqRankU,0),0)))))</f>
        <v/>
      </c>
      <c r="I59" t="str">
        <f>IF(43&gt;NChq,"",INDEX(ChqNorm,43))</f>
        <v/>
      </c>
      <c r="J59" t="str">
        <f>IF($I59="","",IF(AND($I59&gt;=$H$3,$I59&lt;=$H$4,INDEX(ChqStatus,43)="پاس نشده"),1,0))</f>
        <v/>
      </c>
      <c r="K59" t="str">
        <f>IF($J59=0,"",INDEX(ChqKey,43))</f>
        <v/>
      </c>
      <c r="L59" t="str">
        <f t="shared" si="0"/>
        <v/>
      </c>
    </row>
    <row r="60" spans="1:12" x14ac:dyDescent="0.2">
      <c r="A60" s="9" t="str">
        <f>IF(IFERROR(MATCH(44,ChqRankU,0),0)=0,"",44)</f>
        <v/>
      </c>
      <c r="B60" s="15" t="str">
        <f>IF(IFERROR(MATCH(44,ChqRankU,0),0)=0,"",INDEX(ChqNorm,IFERROR(MATCH(44,ChqRankU,0),0)))</f>
        <v/>
      </c>
      <c r="C60" s="15" t="str">
        <f>IF(IFERROR(MATCH(44,ChqRankU,0),0)=0,"",INDEX(ChqNo,IFERROR(MATCH(44,ChqRankU,0),0)))</f>
        <v/>
      </c>
      <c r="D60" s="16" t="str">
        <f>IF(IFERROR(MATCH(44,ChqRankU,0),0)=0,"",IF(INDEX(ChqAmt,IFERROR(MATCH(44,ChqRankU,0),0))=0,"",INDEX(ChqAmt,IFERROR(MATCH(44,ChqRankU,0),0))))</f>
        <v/>
      </c>
      <c r="E60" s="10" t="str">
        <f>IF(IFERROR(MATCH(44,ChqRankU,0),0)=0,"",INDEX(ChqStatus,IFERROR(MATCH(44,ChqRankU,0),0)))</f>
        <v/>
      </c>
      <c r="F60" s="15" t="str">
        <f>IF(IFERROR(MATCH(44,ChqRankU,0),0)=0,"",IF(INDEX(ChqStatus,IFERROR(MATCH(44,ChqRankU,0),0))="پاس نشده","—",IF(INDEX(ChqClr,IFERROR(MATCH(44,ChqRankU,0),0))="","—",INDEX(ChqClr,IFERROR(MATCH(44,ChqRankU,0),0)))))</f>
        <v/>
      </c>
      <c r="I60" t="str">
        <f>IF(44&gt;NChq,"",INDEX(ChqNorm,44))</f>
        <v/>
      </c>
      <c r="J60" t="str">
        <f>IF($I60="","",IF(AND($I60&gt;=$H$3,$I60&lt;=$H$4,INDEX(ChqStatus,44)="پاس نشده"),1,0))</f>
        <v/>
      </c>
      <c r="K60" t="str">
        <f>IF($J60=0,"",INDEX(ChqKey,44))</f>
        <v/>
      </c>
      <c r="L60" t="str">
        <f t="shared" si="0"/>
        <v/>
      </c>
    </row>
    <row r="61" spans="1:12" x14ac:dyDescent="0.2">
      <c r="A61" s="3" t="str">
        <f>IF(IFERROR(MATCH(45,ChqRankU,0),0)=0,"",45)</f>
        <v/>
      </c>
      <c r="B61" s="13" t="str">
        <f>IF(IFERROR(MATCH(45,ChqRankU,0),0)=0,"",INDEX(ChqNorm,IFERROR(MATCH(45,ChqRankU,0),0)))</f>
        <v/>
      </c>
      <c r="C61" s="13" t="str">
        <f>IF(IFERROR(MATCH(45,ChqRankU,0),0)=0,"",INDEX(ChqNo,IFERROR(MATCH(45,ChqRankU,0),0)))</f>
        <v/>
      </c>
      <c r="D61" s="14" t="str">
        <f>IF(IFERROR(MATCH(45,ChqRankU,0),0)=0,"",IF(INDEX(ChqAmt,IFERROR(MATCH(45,ChqRankU,0),0))=0,"",INDEX(ChqAmt,IFERROR(MATCH(45,ChqRankU,0),0))))</f>
        <v/>
      </c>
      <c r="E61" s="7" t="str">
        <f>IF(IFERROR(MATCH(45,ChqRankU,0),0)=0,"",INDEX(ChqStatus,IFERROR(MATCH(45,ChqRankU,0),0)))</f>
        <v/>
      </c>
      <c r="F61" s="13" t="str">
        <f>IF(IFERROR(MATCH(45,ChqRankU,0),0)=0,"",IF(INDEX(ChqStatus,IFERROR(MATCH(45,ChqRankU,0),0))="پاس نشده","—",IF(INDEX(ChqClr,IFERROR(MATCH(45,ChqRankU,0),0))="","—",INDEX(ChqClr,IFERROR(MATCH(45,ChqRankU,0),0)))))</f>
        <v/>
      </c>
      <c r="I61" t="str">
        <f>IF(45&gt;NChq,"",INDEX(ChqNorm,45))</f>
        <v/>
      </c>
      <c r="J61" t="str">
        <f>IF($I61="","",IF(AND($I61&gt;=$H$3,$I61&lt;=$H$4,INDEX(ChqStatus,45)="پاس نشده"),1,0))</f>
        <v/>
      </c>
      <c r="K61" t="str">
        <f>IF($J61=0,"",INDEX(ChqKey,45))</f>
        <v/>
      </c>
      <c r="L61" t="str">
        <f t="shared" si="0"/>
        <v/>
      </c>
    </row>
    <row r="62" spans="1:12" x14ac:dyDescent="0.2">
      <c r="A62" s="9" t="str">
        <f>IF(IFERROR(MATCH(46,ChqRankU,0),0)=0,"",46)</f>
        <v/>
      </c>
      <c r="B62" s="15" t="str">
        <f>IF(IFERROR(MATCH(46,ChqRankU,0),0)=0,"",INDEX(ChqNorm,IFERROR(MATCH(46,ChqRankU,0),0)))</f>
        <v/>
      </c>
      <c r="C62" s="15" t="str">
        <f>IF(IFERROR(MATCH(46,ChqRankU,0),0)=0,"",INDEX(ChqNo,IFERROR(MATCH(46,ChqRankU,0),0)))</f>
        <v/>
      </c>
      <c r="D62" s="16" t="str">
        <f>IF(IFERROR(MATCH(46,ChqRankU,0),0)=0,"",IF(INDEX(ChqAmt,IFERROR(MATCH(46,ChqRankU,0),0))=0,"",INDEX(ChqAmt,IFERROR(MATCH(46,ChqRankU,0),0))))</f>
        <v/>
      </c>
      <c r="E62" s="10" t="str">
        <f>IF(IFERROR(MATCH(46,ChqRankU,0),0)=0,"",INDEX(ChqStatus,IFERROR(MATCH(46,ChqRankU,0),0)))</f>
        <v/>
      </c>
      <c r="F62" s="15" t="str">
        <f>IF(IFERROR(MATCH(46,ChqRankU,0),0)=0,"",IF(INDEX(ChqStatus,IFERROR(MATCH(46,ChqRankU,0),0))="پاس نشده","—",IF(INDEX(ChqClr,IFERROR(MATCH(46,ChqRankU,0),0))="","—",INDEX(ChqClr,IFERROR(MATCH(46,ChqRankU,0),0)))))</f>
        <v/>
      </c>
      <c r="I62" t="str">
        <f>IF(46&gt;NChq,"",INDEX(ChqNorm,46))</f>
        <v/>
      </c>
      <c r="J62" t="str">
        <f>IF($I62="","",IF(AND($I62&gt;=$H$3,$I62&lt;=$H$4,INDEX(ChqStatus,46)="پاس نشده"),1,0))</f>
        <v/>
      </c>
      <c r="K62" t="str">
        <f>IF($J62=0,"",INDEX(ChqKey,46))</f>
        <v/>
      </c>
      <c r="L62" t="str">
        <f t="shared" si="0"/>
        <v/>
      </c>
    </row>
    <row r="63" spans="1:12" x14ac:dyDescent="0.2">
      <c r="A63" s="3" t="str">
        <f>IF(IFERROR(MATCH(47,ChqRankU,0),0)=0,"",47)</f>
        <v/>
      </c>
      <c r="B63" s="13" t="str">
        <f>IF(IFERROR(MATCH(47,ChqRankU,0),0)=0,"",INDEX(ChqNorm,IFERROR(MATCH(47,ChqRankU,0),0)))</f>
        <v/>
      </c>
      <c r="C63" s="13" t="str">
        <f>IF(IFERROR(MATCH(47,ChqRankU,0),0)=0,"",INDEX(ChqNo,IFERROR(MATCH(47,ChqRankU,0),0)))</f>
        <v/>
      </c>
      <c r="D63" s="14" t="str">
        <f>IF(IFERROR(MATCH(47,ChqRankU,0),0)=0,"",IF(INDEX(ChqAmt,IFERROR(MATCH(47,ChqRankU,0),0))=0,"",INDEX(ChqAmt,IFERROR(MATCH(47,ChqRankU,0),0))))</f>
        <v/>
      </c>
      <c r="E63" s="7" t="str">
        <f>IF(IFERROR(MATCH(47,ChqRankU,0),0)=0,"",INDEX(ChqStatus,IFERROR(MATCH(47,ChqRankU,0),0)))</f>
        <v/>
      </c>
      <c r="F63" s="13" t="str">
        <f>IF(IFERROR(MATCH(47,ChqRankU,0),0)=0,"",IF(INDEX(ChqStatus,IFERROR(MATCH(47,ChqRankU,0),0))="پاس نشده","—",IF(INDEX(ChqClr,IFERROR(MATCH(47,ChqRankU,0),0))="","—",INDEX(ChqClr,IFERROR(MATCH(47,ChqRankU,0),0)))))</f>
        <v/>
      </c>
      <c r="I63" t="str">
        <f>IF(47&gt;NChq,"",INDEX(ChqNorm,47))</f>
        <v/>
      </c>
      <c r="J63" t="str">
        <f>IF($I63="","",IF(AND($I63&gt;=$H$3,$I63&lt;=$H$4,INDEX(ChqStatus,47)="پاس نشده"),1,0))</f>
        <v/>
      </c>
      <c r="K63" t="str">
        <f>IF($J63=0,"",INDEX(ChqKey,47))</f>
        <v/>
      </c>
      <c r="L63" t="str">
        <f t="shared" si="0"/>
        <v/>
      </c>
    </row>
    <row r="64" spans="1:12" x14ac:dyDescent="0.2">
      <c r="A64" s="9" t="str">
        <f>IF(IFERROR(MATCH(48,ChqRankU,0),0)=0,"",48)</f>
        <v/>
      </c>
      <c r="B64" s="15" t="str">
        <f>IF(IFERROR(MATCH(48,ChqRankU,0),0)=0,"",INDEX(ChqNorm,IFERROR(MATCH(48,ChqRankU,0),0)))</f>
        <v/>
      </c>
      <c r="C64" s="15" t="str">
        <f>IF(IFERROR(MATCH(48,ChqRankU,0),0)=0,"",INDEX(ChqNo,IFERROR(MATCH(48,ChqRankU,0),0)))</f>
        <v/>
      </c>
      <c r="D64" s="16" t="str">
        <f>IF(IFERROR(MATCH(48,ChqRankU,0),0)=0,"",IF(INDEX(ChqAmt,IFERROR(MATCH(48,ChqRankU,0),0))=0,"",INDEX(ChqAmt,IFERROR(MATCH(48,ChqRankU,0),0))))</f>
        <v/>
      </c>
      <c r="E64" s="10" t="str">
        <f>IF(IFERROR(MATCH(48,ChqRankU,0),0)=0,"",INDEX(ChqStatus,IFERROR(MATCH(48,ChqRankU,0),0)))</f>
        <v/>
      </c>
      <c r="F64" s="15" t="str">
        <f>IF(IFERROR(MATCH(48,ChqRankU,0),0)=0,"",IF(INDEX(ChqStatus,IFERROR(MATCH(48,ChqRankU,0),0))="پاس نشده","—",IF(INDEX(ChqClr,IFERROR(MATCH(48,ChqRankU,0),0))="","—",INDEX(ChqClr,IFERROR(MATCH(48,ChqRankU,0),0)))))</f>
        <v/>
      </c>
      <c r="I64" t="str">
        <f>IF(48&gt;NChq,"",INDEX(ChqNorm,48))</f>
        <v/>
      </c>
      <c r="J64" t="str">
        <f>IF($I64="","",IF(AND($I64&gt;=$H$3,$I64&lt;=$H$4,INDEX(ChqStatus,48)="پاس نشده"),1,0))</f>
        <v/>
      </c>
      <c r="K64" t="str">
        <f>IF($J64=0,"",INDEX(ChqKey,48))</f>
        <v/>
      </c>
      <c r="L64" t="str">
        <f t="shared" si="0"/>
        <v/>
      </c>
    </row>
    <row r="65" spans="1:12" x14ac:dyDescent="0.2">
      <c r="A65" s="3" t="str">
        <f>IF(IFERROR(MATCH(49,ChqRankU,0),0)=0,"",49)</f>
        <v/>
      </c>
      <c r="B65" s="13" t="str">
        <f>IF(IFERROR(MATCH(49,ChqRankU,0),0)=0,"",INDEX(ChqNorm,IFERROR(MATCH(49,ChqRankU,0),0)))</f>
        <v/>
      </c>
      <c r="C65" s="13" t="str">
        <f>IF(IFERROR(MATCH(49,ChqRankU,0),0)=0,"",INDEX(ChqNo,IFERROR(MATCH(49,ChqRankU,0),0)))</f>
        <v/>
      </c>
      <c r="D65" s="14" t="str">
        <f>IF(IFERROR(MATCH(49,ChqRankU,0),0)=0,"",IF(INDEX(ChqAmt,IFERROR(MATCH(49,ChqRankU,0),0))=0,"",INDEX(ChqAmt,IFERROR(MATCH(49,ChqRankU,0),0))))</f>
        <v/>
      </c>
      <c r="E65" s="7" t="str">
        <f>IF(IFERROR(MATCH(49,ChqRankU,0),0)=0,"",INDEX(ChqStatus,IFERROR(MATCH(49,ChqRankU,0),0)))</f>
        <v/>
      </c>
      <c r="F65" s="13" t="str">
        <f>IF(IFERROR(MATCH(49,ChqRankU,0),0)=0,"",IF(INDEX(ChqStatus,IFERROR(MATCH(49,ChqRankU,0),0))="پاس نشده","—",IF(INDEX(ChqClr,IFERROR(MATCH(49,ChqRankU,0),0))="","—",INDEX(ChqClr,IFERROR(MATCH(49,ChqRankU,0),0)))))</f>
        <v/>
      </c>
      <c r="I65" t="str">
        <f>IF(49&gt;NChq,"",INDEX(ChqNorm,49))</f>
        <v/>
      </c>
      <c r="J65" t="str">
        <f>IF($I65="","",IF(AND($I65&gt;=$H$3,$I65&lt;=$H$4,INDEX(ChqStatus,49)="پاس نشده"),1,0))</f>
        <v/>
      </c>
      <c r="K65" t="str">
        <f>IF($J65=0,"",INDEX(ChqKey,49))</f>
        <v/>
      </c>
      <c r="L65" t="str">
        <f t="shared" si="0"/>
        <v/>
      </c>
    </row>
    <row r="66" spans="1:12" x14ac:dyDescent="0.2">
      <c r="A66" s="9" t="str">
        <f>IF(IFERROR(MATCH(50,ChqRankU,0),0)=0,"",50)</f>
        <v/>
      </c>
      <c r="B66" s="15" t="str">
        <f>IF(IFERROR(MATCH(50,ChqRankU,0),0)=0,"",INDEX(ChqNorm,IFERROR(MATCH(50,ChqRankU,0),0)))</f>
        <v/>
      </c>
      <c r="C66" s="15" t="str">
        <f>IF(IFERROR(MATCH(50,ChqRankU,0),0)=0,"",INDEX(ChqNo,IFERROR(MATCH(50,ChqRankU,0),0)))</f>
        <v/>
      </c>
      <c r="D66" s="16" t="str">
        <f>IF(IFERROR(MATCH(50,ChqRankU,0),0)=0,"",IF(INDEX(ChqAmt,IFERROR(MATCH(50,ChqRankU,0),0))=0,"",INDEX(ChqAmt,IFERROR(MATCH(50,ChqRankU,0),0))))</f>
        <v/>
      </c>
      <c r="E66" s="10" t="str">
        <f>IF(IFERROR(MATCH(50,ChqRankU,0),0)=0,"",INDEX(ChqStatus,IFERROR(MATCH(50,ChqRankU,0),0)))</f>
        <v/>
      </c>
      <c r="F66" s="15" t="str">
        <f>IF(IFERROR(MATCH(50,ChqRankU,0),0)=0,"",IF(INDEX(ChqStatus,IFERROR(MATCH(50,ChqRankU,0),0))="پاس نشده","—",IF(INDEX(ChqClr,IFERROR(MATCH(50,ChqRankU,0),0))="","—",INDEX(ChqClr,IFERROR(MATCH(50,ChqRankU,0),0)))))</f>
        <v/>
      </c>
      <c r="I66" t="str">
        <f>IF(50&gt;NChq,"",INDEX(ChqNorm,50))</f>
        <v/>
      </c>
      <c r="J66" t="str">
        <f>IF($I66="","",IF(AND($I66&gt;=$H$3,$I66&lt;=$H$4,INDEX(ChqStatus,50)="پاس نشده"),1,0))</f>
        <v/>
      </c>
      <c r="K66" t="str">
        <f>IF($J66=0,"",INDEX(ChqKey,50))</f>
        <v/>
      </c>
      <c r="L66" t="str">
        <f t="shared" si="0"/>
        <v/>
      </c>
    </row>
    <row r="67" spans="1:12" x14ac:dyDescent="0.2">
      <c r="A67" s="3" t="str">
        <f>IF(IFERROR(MATCH(51,ChqRankU,0),0)=0,"",51)</f>
        <v/>
      </c>
      <c r="B67" s="13" t="str">
        <f>IF(IFERROR(MATCH(51,ChqRankU,0),0)=0,"",INDEX(ChqNorm,IFERROR(MATCH(51,ChqRankU,0),0)))</f>
        <v/>
      </c>
      <c r="C67" s="13" t="str">
        <f>IF(IFERROR(MATCH(51,ChqRankU,0),0)=0,"",INDEX(ChqNo,IFERROR(MATCH(51,ChqRankU,0),0)))</f>
        <v/>
      </c>
      <c r="D67" s="14" t="str">
        <f>IF(IFERROR(MATCH(51,ChqRankU,0),0)=0,"",IF(INDEX(ChqAmt,IFERROR(MATCH(51,ChqRankU,0),0))=0,"",INDEX(ChqAmt,IFERROR(MATCH(51,ChqRankU,0),0))))</f>
        <v/>
      </c>
      <c r="E67" s="7" t="str">
        <f>IF(IFERROR(MATCH(51,ChqRankU,0),0)=0,"",INDEX(ChqStatus,IFERROR(MATCH(51,ChqRankU,0),0)))</f>
        <v/>
      </c>
      <c r="F67" s="13" t="str">
        <f>IF(IFERROR(MATCH(51,ChqRankU,0),0)=0,"",IF(INDEX(ChqStatus,IFERROR(MATCH(51,ChqRankU,0),0))="پاس نشده","—",IF(INDEX(ChqClr,IFERROR(MATCH(51,ChqRankU,0),0))="","—",INDEX(ChqClr,IFERROR(MATCH(51,ChqRankU,0),0)))))</f>
        <v/>
      </c>
      <c r="I67" t="str">
        <f>IF(51&gt;NChq,"",INDEX(ChqNorm,51))</f>
        <v/>
      </c>
      <c r="J67" t="str">
        <f>IF($I67="","",IF(AND($I67&gt;=$H$3,$I67&lt;=$H$4,INDEX(ChqStatus,51)="پاس نشده"),1,0))</f>
        <v/>
      </c>
      <c r="K67" t="str">
        <f>IF($J67=0,"",INDEX(ChqKey,51))</f>
        <v/>
      </c>
      <c r="L67" t="str">
        <f t="shared" si="0"/>
        <v/>
      </c>
    </row>
    <row r="68" spans="1:12" x14ac:dyDescent="0.2">
      <c r="A68" s="9" t="str">
        <f>IF(IFERROR(MATCH(52,ChqRankU,0),0)=0,"",52)</f>
        <v/>
      </c>
      <c r="B68" s="15" t="str">
        <f>IF(IFERROR(MATCH(52,ChqRankU,0),0)=0,"",INDEX(ChqNorm,IFERROR(MATCH(52,ChqRankU,0),0)))</f>
        <v/>
      </c>
      <c r="C68" s="15" t="str">
        <f>IF(IFERROR(MATCH(52,ChqRankU,0),0)=0,"",INDEX(ChqNo,IFERROR(MATCH(52,ChqRankU,0),0)))</f>
        <v/>
      </c>
      <c r="D68" s="16" t="str">
        <f>IF(IFERROR(MATCH(52,ChqRankU,0),0)=0,"",IF(INDEX(ChqAmt,IFERROR(MATCH(52,ChqRankU,0),0))=0,"",INDEX(ChqAmt,IFERROR(MATCH(52,ChqRankU,0),0))))</f>
        <v/>
      </c>
      <c r="E68" s="10" t="str">
        <f>IF(IFERROR(MATCH(52,ChqRankU,0),0)=0,"",INDEX(ChqStatus,IFERROR(MATCH(52,ChqRankU,0),0)))</f>
        <v/>
      </c>
      <c r="F68" s="15" t="str">
        <f>IF(IFERROR(MATCH(52,ChqRankU,0),0)=0,"",IF(INDEX(ChqStatus,IFERROR(MATCH(52,ChqRankU,0),0))="پاس نشده","—",IF(INDEX(ChqClr,IFERROR(MATCH(52,ChqRankU,0),0))="","—",INDEX(ChqClr,IFERROR(MATCH(52,ChqRankU,0),0)))))</f>
        <v/>
      </c>
      <c r="I68" t="str">
        <f>IF(52&gt;NChq,"",INDEX(ChqNorm,52))</f>
        <v/>
      </c>
      <c r="J68" t="str">
        <f>IF($I68="","",IF(AND($I68&gt;=$H$3,$I68&lt;=$H$4,INDEX(ChqStatus,52)="پاس نشده"),1,0))</f>
        <v/>
      </c>
      <c r="K68" t="str">
        <f>IF($J68=0,"",INDEX(ChqKey,52))</f>
        <v/>
      </c>
      <c r="L68" t="str">
        <f t="shared" si="0"/>
        <v/>
      </c>
    </row>
    <row r="69" spans="1:12" x14ac:dyDescent="0.2">
      <c r="A69" s="3" t="str">
        <f>IF(IFERROR(MATCH(53,ChqRankU,0),0)=0,"",53)</f>
        <v/>
      </c>
      <c r="B69" s="13" t="str">
        <f>IF(IFERROR(MATCH(53,ChqRankU,0),0)=0,"",INDEX(ChqNorm,IFERROR(MATCH(53,ChqRankU,0),0)))</f>
        <v/>
      </c>
      <c r="C69" s="13" t="str">
        <f>IF(IFERROR(MATCH(53,ChqRankU,0),0)=0,"",INDEX(ChqNo,IFERROR(MATCH(53,ChqRankU,0),0)))</f>
        <v/>
      </c>
      <c r="D69" s="14" t="str">
        <f>IF(IFERROR(MATCH(53,ChqRankU,0),0)=0,"",IF(INDEX(ChqAmt,IFERROR(MATCH(53,ChqRankU,0),0))=0,"",INDEX(ChqAmt,IFERROR(MATCH(53,ChqRankU,0),0))))</f>
        <v/>
      </c>
      <c r="E69" s="7" t="str">
        <f>IF(IFERROR(MATCH(53,ChqRankU,0),0)=0,"",INDEX(ChqStatus,IFERROR(MATCH(53,ChqRankU,0),0)))</f>
        <v/>
      </c>
      <c r="F69" s="13" t="str">
        <f>IF(IFERROR(MATCH(53,ChqRankU,0),0)=0,"",IF(INDEX(ChqStatus,IFERROR(MATCH(53,ChqRankU,0),0))="پاس نشده","—",IF(INDEX(ChqClr,IFERROR(MATCH(53,ChqRankU,0),0))="","—",INDEX(ChqClr,IFERROR(MATCH(53,ChqRankU,0),0)))))</f>
        <v/>
      </c>
      <c r="I69" t="str">
        <f>IF(53&gt;NChq,"",INDEX(ChqNorm,53))</f>
        <v/>
      </c>
      <c r="J69" t="str">
        <f>IF($I69="","",IF(AND($I69&gt;=$H$3,$I69&lt;=$H$4,INDEX(ChqStatus,53)="پاس نشده"),1,0))</f>
        <v/>
      </c>
      <c r="K69" t="str">
        <f>IF($J69=0,"",INDEX(ChqKey,53))</f>
        <v/>
      </c>
      <c r="L69" t="str">
        <f t="shared" si="0"/>
        <v/>
      </c>
    </row>
    <row r="70" spans="1:12" x14ac:dyDescent="0.2">
      <c r="A70" s="9" t="str">
        <f>IF(IFERROR(MATCH(54,ChqRankU,0),0)=0,"",54)</f>
        <v/>
      </c>
      <c r="B70" s="15" t="str">
        <f>IF(IFERROR(MATCH(54,ChqRankU,0),0)=0,"",INDEX(ChqNorm,IFERROR(MATCH(54,ChqRankU,0),0)))</f>
        <v/>
      </c>
      <c r="C70" s="15" t="str">
        <f>IF(IFERROR(MATCH(54,ChqRankU,0),0)=0,"",INDEX(ChqNo,IFERROR(MATCH(54,ChqRankU,0),0)))</f>
        <v/>
      </c>
      <c r="D70" s="16" t="str">
        <f>IF(IFERROR(MATCH(54,ChqRankU,0),0)=0,"",IF(INDEX(ChqAmt,IFERROR(MATCH(54,ChqRankU,0),0))=0,"",INDEX(ChqAmt,IFERROR(MATCH(54,ChqRankU,0),0))))</f>
        <v/>
      </c>
      <c r="E70" s="10" t="str">
        <f>IF(IFERROR(MATCH(54,ChqRankU,0),0)=0,"",INDEX(ChqStatus,IFERROR(MATCH(54,ChqRankU,0),0)))</f>
        <v/>
      </c>
      <c r="F70" s="15" t="str">
        <f>IF(IFERROR(MATCH(54,ChqRankU,0),0)=0,"",IF(INDEX(ChqStatus,IFERROR(MATCH(54,ChqRankU,0),0))="پاس نشده","—",IF(INDEX(ChqClr,IFERROR(MATCH(54,ChqRankU,0),0))="","—",INDEX(ChqClr,IFERROR(MATCH(54,ChqRankU,0),0)))))</f>
        <v/>
      </c>
      <c r="I70" t="str">
        <f>IF(54&gt;NChq,"",INDEX(ChqNorm,54))</f>
        <v/>
      </c>
      <c r="J70" t="str">
        <f>IF($I70="","",IF(AND($I70&gt;=$H$3,$I70&lt;=$H$4,INDEX(ChqStatus,54)="پاس نشده"),1,0))</f>
        <v/>
      </c>
      <c r="K70" t="str">
        <f>IF($J70=0,"",INDEX(ChqKey,54))</f>
        <v/>
      </c>
      <c r="L70" t="str">
        <f t="shared" si="0"/>
        <v/>
      </c>
    </row>
    <row r="71" spans="1:12" x14ac:dyDescent="0.2">
      <c r="A71" s="3" t="str">
        <f>IF(IFERROR(MATCH(55,ChqRankU,0),0)=0,"",55)</f>
        <v/>
      </c>
      <c r="B71" s="13" t="str">
        <f>IF(IFERROR(MATCH(55,ChqRankU,0),0)=0,"",INDEX(ChqNorm,IFERROR(MATCH(55,ChqRankU,0),0)))</f>
        <v/>
      </c>
      <c r="C71" s="13" t="str">
        <f>IF(IFERROR(MATCH(55,ChqRankU,0),0)=0,"",INDEX(ChqNo,IFERROR(MATCH(55,ChqRankU,0),0)))</f>
        <v/>
      </c>
      <c r="D71" s="14" t="str">
        <f>IF(IFERROR(MATCH(55,ChqRankU,0),0)=0,"",IF(INDEX(ChqAmt,IFERROR(MATCH(55,ChqRankU,0),0))=0,"",INDEX(ChqAmt,IFERROR(MATCH(55,ChqRankU,0),0))))</f>
        <v/>
      </c>
      <c r="E71" s="7" t="str">
        <f>IF(IFERROR(MATCH(55,ChqRankU,0),0)=0,"",INDEX(ChqStatus,IFERROR(MATCH(55,ChqRankU,0),0)))</f>
        <v/>
      </c>
      <c r="F71" s="13" t="str">
        <f>IF(IFERROR(MATCH(55,ChqRankU,0),0)=0,"",IF(INDEX(ChqStatus,IFERROR(MATCH(55,ChqRankU,0),0))="پاس نشده","—",IF(INDEX(ChqClr,IFERROR(MATCH(55,ChqRankU,0),0))="","—",INDEX(ChqClr,IFERROR(MATCH(55,ChqRankU,0),0)))))</f>
        <v/>
      </c>
      <c r="I71" t="str">
        <f>IF(55&gt;NChq,"",INDEX(ChqNorm,55))</f>
        <v/>
      </c>
      <c r="J71" t="str">
        <f>IF($I71="","",IF(AND($I71&gt;=$H$3,$I71&lt;=$H$4,INDEX(ChqStatus,55)="پاس نشده"),1,0))</f>
        <v/>
      </c>
      <c r="K71" t="str">
        <f>IF($J71=0,"",INDEX(ChqKey,55))</f>
        <v/>
      </c>
      <c r="L71" t="str">
        <f t="shared" si="0"/>
        <v/>
      </c>
    </row>
    <row r="72" spans="1:12" x14ac:dyDescent="0.2">
      <c r="A72" s="9" t="str">
        <f>IF(IFERROR(MATCH(56,ChqRankU,0),0)=0,"",56)</f>
        <v/>
      </c>
      <c r="B72" s="15" t="str">
        <f>IF(IFERROR(MATCH(56,ChqRankU,0),0)=0,"",INDEX(ChqNorm,IFERROR(MATCH(56,ChqRankU,0),0)))</f>
        <v/>
      </c>
      <c r="C72" s="15" t="str">
        <f>IF(IFERROR(MATCH(56,ChqRankU,0),0)=0,"",INDEX(ChqNo,IFERROR(MATCH(56,ChqRankU,0),0)))</f>
        <v/>
      </c>
      <c r="D72" s="16" t="str">
        <f>IF(IFERROR(MATCH(56,ChqRankU,0),0)=0,"",IF(INDEX(ChqAmt,IFERROR(MATCH(56,ChqRankU,0),0))=0,"",INDEX(ChqAmt,IFERROR(MATCH(56,ChqRankU,0),0))))</f>
        <v/>
      </c>
      <c r="E72" s="10" t="str">
        <f>IF(IFERROR(MATCH(56,ChqRankU,0),0)=0,"",INDEX(ChqStatus,IFERROR(MATCH(56,ChqRankU,0),0)))</f>
        <v/>
      </c>
      <c r="F72" s="15" t="str">
        <f>IF(IFERROR(MATCH(56,ChqRankU,0),0)=0,"",IF(INDEX(ChqStatus,IFERROR(MATCH(56,ChqRankU,0),0))="پاس نشده","—",IF(INDEX(ChqClr,IFERROR(MATCH(56,ChqRankU,0),0))="","—",INDEX(ChqClr,IFERROR(MATCH(56,ChqRankU,0),0)))))</f>
        <v/>
      </c>
      <c r="I72" t="str">
        <f>IF(56&gt;NChq,"",INDEX(ChqNorm,56))</f>
        <v/>
      </c>
      <c r="J72" t="str">
        <f>IF($I72="","",IF(AND($I72&gt;=$H$3,$I72&lt;=$H$4,INDEX(ChqStatus,56)="پاس نشده"),1,0))</f>
        <v/>
      </c>
      <c r="K72" t="str">
        <f>IF($J72=0,"",INDEX(ChqKey,56))</f>
        <v/>
      </c>
      <c r="L72" t="str">
        <f t="shared" si="0"/>
        <v/>
      </c>
    </row>
    <row r="73" spans="1:12" x14ac:dyDescent="0.2">
      <c r="A73" s="3" t="str">
        <f>IF(IFERROR(MATCH(57,ChqRankU,0),0)=0,"",57)</f>
        <v/>
      </c>
      <c r="B73" s="13" t="str">
        <f>IF(IFERROR(MATCH(57,ChqRankU,0),0)=0,"",INDEX(ChqNorm,IFERROR(MATCH(57,ChqRankU,0),0)))</f>
        <v/>
      </c>
      <c r="C73" s="13" t="str">
        <f>IF(IFERROR(MATCH(57,ChqRankU,0),0)=0,"",INDEX(ChqNo,IFERROR(MATCH(57,ChqRankU,0),0)))</f>
        <v/>
      </c>
      <c r="D73" s="14" t="str">
        <f>IF(IFERROR(MATCH(57,ChqRankU,0),0)=0,"",IF(INDEX(ChqAmt,IFERROR(MATCH(57,ChqRankU,0),0))=0,"",INDEX(ChqAmt,IFERROR(MATCH(57,ChqRankU,0),0))))</f>
        <v/>
      </c>
      <c r="E73" s="7" t="str">
        <f>IF(IFERROR(MATCH(57,ChqRankU,0),0)=0,"",INDEX(ChqStatus,IFERROR(MATCH(57,ChqRankU,0),0)))</f>
        <v/>
      </c>
      <c r="F73" s="13" t="str">
        <f>IF(IFERROR(MATCH(57,ChqRankU,0),0)=0,"",IF(INDEX(ChqStatus,IFERROR(MATCH(57,ChqRankU,0),0))="پاس نشده","—",IF(INDEX(ChqClr,IFERROR(MATCH(57,ChqRankU,0),0))="","—",INDEX(ChqClr,IFERROR(MATCH(57,ChqRankU,0),0)))))</f>
        <v/>
      </c>
      <c r="I73" t="str">
        <f>IF(57&gt;NChq,"",INDEX(ChqNorm,57))</f>
        <v/>
      </c>
      <c r="J73" t="str">
        <f>IF($I73="","",IF(AND($I73&gt;=$H$3,$I73&lt;=$H$4,INDEX(ChqStatus,57)="پاس نشده"),1,0))</f>
        <v/>
      </c>
      <c r="K73" t="str">
        <f>IF($J73=0,"",INDEX(ChqKey,57))</f>
        <v/>
      </c>
      <c r="L73" t="str">
        <f t="shared" si="0"/>
        <v/>
      </c>
    </row>
    <row r="74" spans="1:12" x14ac:dyDescent="0.2">
      <c r="A74" s="9" t="str">
        <f>IF(IFERROR(MATCH(58,ChqRankU,0),0)=0,"",58)</f>
        <v/>
      </c>
      <c r="B74" s="15" t="str">
        <f>IF(IFERROR(MATCH(58,ChqRankU,0),0)=0,"",INDEX(ChqNorm,IFERROR(MATCH(58,ChqRankU,0),0)))</f>
        <v/>
      </c>
      <c r="C74" s="15" t="str">
        <f>IF(IFERROR(MATCH(58,ChqRankU,0),0)=0,"",INDEX(ChqNo,IFERROR(MATCH(58,ChqRankU,0),0)))</f>
        <v/>
      </c>
      <c r="D74" s="16" t="str">
        <f>IF(IFERROR(MATCH(58,ChqRankU,0),0)=0,"",IF(INDEX(ChqAmt,IFERROR(MATCH(58,ChqRankU,0),0))=0,"",INDEX(ChqAmt,IFERROR(MATCH(58,ChqRankU,0),0))))</f>
        <v/>
      </c>
      <c r="E74" s="10" t="str">
        <f>IF(IFERROR(MATCH(58,ChqRankU,0),0)=0,"",INDEX(ChqStatus,IFERROR(MATCH(58,ChqRankU,0),0)))</f>
        <v/>
      </c>
      <c r="F74" s="15" t="str">
        <f>IF(IFERROR(MATCH(58,ChqRankU,0),0)=0,"",IF(INDEX(ChqStatus,IFERROR(MATCH(58,ChqRankU,0),0))="پاس نشده","—",IF(INDEX(ChqClr,IFERROR(MATCH(58,ChqRankU,0),0))="","—",INDEX(ChqClr,IFERROR(MATCH(58,ChqRankU,0),0)))))</f>
        <v/>
      </c>
      <c r="I74" t="str">
        <f>IF(58&gt;NChq,"",INDEX(ChqNorm,58))</f>
        <v/>
      </c>
      <c r="J74" t="str">
        <f>IF($I74="","",IF(AND($I74&gt;=$H$3,$I74&lt;=$H$4,INDEX(ChqStatus,58)="پاس نشده"),1,0))</f>
        <v/>
      </c>
      <c r="K74" t="str">
        <f>IF($J74=0,"",INDEX(ChqKey,58))</f>
        <v/>
      </c>
      <c r="L74" t="str">
        <f t="shared" si="0"/>
        <v/>
      </c>
    </row>
    <row r="75" spans="1:12" x14ac:dyDescent="0.2">
      <c r="A75" s="3" t="str">
        <f>IF(IFERROR(MATCH(59,ChqRankU,0),0)=0,"",59)</f>
        <v/>
      </c>
      <c r="B75" s="13" t="str">
        <f>IF(IFERROR(MATCH(59,ChqRankU,0),0)=0,"",INDEX(ChqNorm,IFERROR(MATCH(59,ChqRankU,0),0)))</f>
        <v/>
      </c>
      <c r="C75" s="13" t="str">
        <f>IF(IFERROR(MATCH(59,ChqRankU,0),0)=0,"",INDEX(ChqNo,IFERROR(MATCH(59,ChqRankU,0),0)))</f>
        <v/>
      </c>
      <c r="D75" s="14" t="str">
        <f>IF(IFERROR(MATCH(59,ChqRankU,0),0)=0,"",IF(INDEX(ChqAmt,IFERROR(MATCH(59,ChqRankU,0),0))=0,"",INDEX(ChqAmt,IFERROR(MATCH(59,ChqRankU,0),0))))</f>
        <v/>
      </c>
      <c r="E75" s="7" t="str">
        <f>IF(IFERROR(MATCH(59,ChqRankU,0),0)=0,"",INDEX(ChqStatus,IFERROR(MATCH(59,ChqRankU,0),0)))</f>
        <v/>
      </c>
      <c r="F75" s="13" t="str">
        <f>IF(IFERROR(MATCH(59,ChqRankU,0),0)=0,"",IF(INDEX(ChqStatus,IFERROR(MATCH(59,ChqRankU,0),0))="پاس نشده","—",IF(INDEX(ChqClr,IFERROR(MATCH(59,ChqRankU,0),0))="","—",INDEX(ChqClr,IFERROR(MATCH(59,ChqRankU,0),0)))))</f>
        <v/>
      </c>
      <c r="I75" t="str">
        <f>IF(59&gt;NChq,"",INDEX(ChqNorm,59))</f>
        <v/>
      </c>
      <c r="J75" t="str">
        <f>IF($I75="","",IF(AND($I75&gt;=$H$3,$I75&lt;=$H$4,INDEX(ChqStatus,59)="پاس نشده"),1,0))</f>
        <v/>
      </c>
      <c r="K75" t="str">
        <f>IF($J75=0,"",INDEX(ChqKey,59))</f>
        <v/>
      </c>
      <c r="L75" t="str">
        <f t="shared" si="0"/>
        <v/>
      </c>
    </row>
    <row r="76" spans="1:12" x14ac:dyDescent="0.2">
      <c r="A76" s="9" t="str">
        <f>IF(IFERROR(MATCH(60,ChqRankU,0),0)=0,"",60)</f>
        <v/>
      </c>
      <c r="B76" s="15" t="str">
        <f>IF(IFERROR(MATCH(60,ChqRankU,0),0)=0,"",INDEX(ChqNorm,IFERROR(MATCH(60,ChqRankU,0),0)))</f>
        <v/>
      </c>
      <c r="C76" s="15" t="str">
        <f>IF(IFERROR(MATCH(60,ChqRankU,0),0)=0,"",INDEX(ChqNo,IFERROR(MATCH(60,ChqRankU,0),0)))</f>
        <v/>
      </c>
      <c r="D76" s="16" t="str">
        <f>IF(IFERROR(MATCH(60,ChqRankU,0),0)=0,"",IF(INDEX(ChqAmt,IFERROR(MATCH(60,ChqRankU,0),0))=0,"",INDEX(ChqAmt,IFERROR(MATCH(60,ChqRankU,0),0))))</f>
        <v/>
      </c>
      <c r="E76" s="10" t="str">
        <f>IF(IFERROR(MATCH(60,ChqRankU,0),0)=0,"",INDEX(ChqStatus,IFERROR(MATCH(60,ChqRankU,0),0)))</f>
        <v/>
      </c>
      <c r="F76" s="15" t="str">
        <f>IF(IFERROR(MATCH(60,ChqRankU,0),0)=0,"",IF(INDEX(ChqStatus,IFERROR(MATCH(60,ChqRankU,0),0))="پاس نشده","—",IF(INDEX(ChqClr,IFERROR(MATCH(60,ChqRankU,0),0))="","—",INDEX(ChqClr,IFERROR(MATCH(60,ChqRankU,0),0)))))</f>
        <v/>
      </c>
      <c r="I76" t="str">
        <f>IF(60&gt;NChq,"",INDEX(ChqNorm,60))</f>
        <v/>
      </c>
      <c r="J76" t="str">
        <f>IF($I76="","",IF(AND($I76&gt;=$H$3,$I76&lt;=$H$4,INDEX(ChqStatus,60)="پاس نشده"),1,0))</f>
        <v/>
      </c>
      <c r="K76" t="str">
        <f>IF($J76=0,"",INDEX(ChqKey,60))</f>
        <v/>
      </c>
      <c r="L76" t="str">
        <f t="shared" si="0"/>
        <v/>
      </c>
    </row>
    <row r="77" spans="1:12" x14ac:dyDescent="0.2">
      <c r="A77" s="3" t="str">
        <f>IF(IFERROR(MATCH(61,ChqRankU,0),0)=0,"",61)</f>
        <v/>
      </c>
      <c r="B77" s="13" t="str">
        <f>IF(IFERROR(MATCH(61,ChqRankU,0),0)=0,"",INDEX(ChqNorm,IFERROR(MATCH(61,ChqRankU,0),0)))</f>
        <v/>
      </c>
      <c r="C77" s="13" t="str">
        <f>IF(IFERROR(MATCH(61,ChqRankU,0),0)=0,"",INDEX(ChqNo,IFERROR(MATCH(61,ChqRankU,0),0)))</f>
        <v/>
      </c>
      <c r="D77" s="14" t="str">
        <f>IF(IFERROR(MATCH(61,ChqRankU,0),0)=0,"",IF(INDEX(ChqAmt,IFERROR(MATCH(61,ChqRankU,0),0))=0,"",INDEX(ChqAmt,IFERROR(MATCH(61,ChqRankU,0),0))))</f>
        <v/>
      </c>
      <c r="E77" s="7" t="str">
        <f>IF(IFERROR(MATCH(61,ChqRankU,0),0)=0,"",INDEX(ChqStatus,IFERROR(MATCH(61,ChqRankU,0),0)))</f>
        <v/>
      </c>
      <c r="F77" s="13" t="str">
        <f>IF(IFERROR(MATCH(61,ChqRankU,0),0)=0,"",IF(INDEX(ChqStatus,IFERROR(MATCH(61,ChqRankU,0),0))="پاس نشده","—",IF(INDEX(ChqClr,IFERROR(MATCH(61,ChqRankU,0),0))="","—",INDEX(ChqClr,IFERROR(MATCH(61,ChqRankU,0),0)))))</f>
        <v/>
      </c>
      <c r="I77" t="str">
        <f>IF(61&gt;NChq,"",INDEX(ChqNorm,61))</f>
        <v/>
      </c>
      <c r="J77" t="str">
        <f>IF($I77="","",IF(AND($I77&gt;=$H$3,$I77&lt;=$H$4,INDEX(ChqStatus,61)="پاس نشده"),1,0))</f>
        <v/>
      </c>
      <c r="K77" t="str">
        <f>IF($J77=0,"",INDEX(ChqKey,61))</f>
        <v/>
      </c>
      <c r="L77" t="str">
        <f t="shared" si="0"/>
        <v/>
      </c>
    </row>
    <row r="78" spans="1:12" x14ac:dyDescent="0.2">
      <c r="A78" s="9" t="str">
        <f>IF(IFERROR(MATCH(62,ChqRankU,0),0)=0,"",62)</f>
        <v/>
      </c>
      <c r="B78" s="15" t="str">
        <f>IF(IFERROR(MATCH(62,ChqRankU,0),0)=0,"",INDEX(ChqNorm,IFERROR(MATCH(62,ChqRankU,0),0)))</f>
        <v/>
      </c>
      <c r="C78" s="15" t="str">
        <f>IF(IFERROR(MATCH(62,ChqRankU,0),0)=0,"",INDEX(ChqNo,IFERROR(MATCH(62,ChqRankU,0),0)))</f>
        <v/>
      </c>
      <c r="D78" s="16" t="str">
        <f>IF(IFERROR(MATCH(62,ChqRankU,0),0)=0,"",IF(INDEX(ChqAmt,IFERROR(MATCH(62,ChqRankU,0),0))=0,"",INDEX(ChqAmt,IFERROR(MATCH(62,ChqRankU,0),0))))</f>
        <v/>
      </c>
      <c r="E78" s="10" t="str">
        <f>IF(IFERROR(MATCH(62,ChqRankU,0),0)=0,"",INDEX(ChqStatus,IFERROR(MATCH(62,ChqRankU,0),0)))</f>
        <v/>
      </c>
      <c r="F78" s="15" t="str">
        <f>IF(IFERROR(MATCH(62,ChqRankU,0),0)=0,"",IF(INDEX(ChqStatus,IFERROR(MATCH(62,ChqRankU,0),0))="پاس نشده","—",IF(INDEX(ChqClr,IFERROR(MATCH(62,ChqRankU,0),0))="","—",INDEX(ChqClr,IFERROR(MATCH(62,ChqRankU,0),0)))))</f>
        <v/>
      </c>
      <c r="I78" t="str">
        <f>IF(62&gt;NChq,"",INDEX(ChqNorm,62))</f>
        <v/>
      </c>
      <c r="J78" t="str">
        <f>IF($I78="","",IF(AND($I78&gt;=$H$3,$I78&lt;=$H$4,INDEX(ChqStatus,62)="پاس نشده"),1,0))</f>
        <v/>
      </c>
      <c r="K78" t="str">
        <f>IF($J78=0,"",INDEX(ChqKey,62))</f>
        <v/>
      </c>
      <c r="L78" t="str">
        <f t="shared" si="0"/>
        <v/>
      </c>
    </row>
    <row r="79" spans="1:12" x14ac:dyDescent="0.2">
      <c r="A79" s="3" t="str">
        <f>IF(IFERROR(MATCH(63,ChqRankU,0),0)=0,"",63)</f>
        <v/>
      </c>
      <c r="B79" s="13" t="str">
        <f>IF(IFERROR(MATCH(63,ChqRankU,0),0)=0,"",INDEX(ChqNorm,IFERROR(MATCH(63,ChqRankU,0),0)))</f>
        <v/>
      </c>
      <c r="C79" s="13" t="str">
        <f>IF(IFERROR(MATCH(63,ChqRankU,0),0)=0,"",INDEX(ChqNo,IFERROR(MATCH(63,ChqRankU,0),0)))</f>
        <v/>
      </c>
      <c r="D79" s="14" t="str">
        <f>IF(IFERROR(MATCH(63,ChqRankU,0),0)=0,"",IF(INDEX(ChqAmt,IFERROR(MATCH(63,ChqRankU,0),0))=0,"",INDEX(ChqAmt,IFERROR(MATCH(63,ChqRankU,0),0))))</f>
        <v/>
      </c>
      <c r="E79" s="7" t="str">
        <f>IF(IFERROR(MATCH(63,ChqRankU,0),0)=0,"",INDEX(ChqStatus,IFERROR(MATCH(63,ChqRankU,0),0)))</f>
        <v/>
      </c>
      <c r="F79" s="13" t="str">
        <f>IF(IFERROR(MATCH(63,ChqRankU,0),0)=0,"",IF(INDEX(ChqStatus,IFERROR(MATCH(63,ChqRankU,0),0))="پاس نشده","—",IF(INDEX(ChqClr,IFERROR(MATCH(63,ChqRankU,0),0))="","—",INDEX(ChqClr,IFERROR(MATCH(63,ChqRankU,0),0)))))</f>
        <v/>
      </c>
      <c r="I79" t="str">
        <f>IF(63&gt;NChq,"",INDEX(ChqNorm,63))</f>
        <v/>
      </c>
      <c r="J79" t="str">
        <f>IF($I79="","",IF(AND($I79&gt;=$H$3,$I79&lt;=$H$4,INDEX(ChqStatus,63)="پاس نشده"),1,0))</f>
        <v/>
      </c>
      <c r="K79" t="str">
        <f>IF($J79=0,"",INDEX(ChqKey,63))</f>
        <v/>
      </c>
      <c r="L79" t="str">
        <f t="shared" si="0"/>
        <v/>
      </c>
    </row>
    <row r="80" spans="1:12" x14ac:dyDescent="0.2">
      <c r="A80" s="9" t="str">
        <f>IF(IFERROR(MATCH(64,ChqRankU,0),0)=0,"",64)</f>
        <v/>
      </c>
      <c r="B80" s="15" t="str">
        <f>IF(IFERROR(MATCH(64,ChqRankU,0),0)=0,"",INDEX(ChqNorm,IFERROR(MATCH(64,ChqRankU,0),0)))</f>
        <v/>
      </c>
      <c r="C80" s="15" t="str">
        <f>IF(IFERROR(MATCH(64,ChqRankU,0),0)=0,"",INDEX(ChqNo,IFERROR(MATCH(64,ChqRankU,0),0)))</f>
        <v/>
      </c>
      <c r="D80" s="16" t="str">
        <f>IF(IFERROR(MATCH(64,ChqRankU,0),0)=0,"",IF(INDEX(ChqAmt,IFERROR(MATCH(64,ChqRankU,0),0))=0,"",INDEX(ChqAmt,IFERROR(MATCH(64,ChqRankU,0),0))))</f>
        <v/>
      </c>
      <c r="E80" s="10" t="str">
        <f>IF(IFERROR(MATCH(64,ChqRankU,0),0)=0,"",INDEX(ChqStatus,IFERROR(MATCH(64,ChqRankU,0),0)))</f>
        <v/>
      </c>
      <c r="F80" s="15" t="str">
        <f>IF(IFERROR(MATCH(64,ChqRankU,0),0)=0,"",IF(INDEX(ChqStatus,IFERROR(MATCH(64,ChqRankU,0),0))="پاس نشده","—",IF(INDEX(ChqClr,IFERROR(MATCH(64,ChqRankU,0),0))="","—",INDEX(ChqClr,IFERROR(MATCH(64,ChqRankU,0),0)))))</f>
        <v/>
      </c>
      <c r="I80" t="str">
        <f>IF(64&gt;NChq,"",INDEX(ChqNorm,64))</f>
        <v/>
      </c>
      <c r="J80" t="str">
        <f>IF($I80="","",IF(AND($I80&gt;=$H$3,$I80&lt;=$H$4,INDEX(ChqStatus,64)="پاس نشده"),1,0))</f>
        <v/>
      </c>
      <c r="K80" t="str">
        <f>IF($J80=0,"",INDEX(ChqKey,64))</f>
        <v/>
      </c>
      <c r="L80" t="str">
        <f t="shared" si="0"/>
        <v/>
      </c>
    </row>
    <row r="81" spans="1:12" x14ac:dyDescent="0.2">
      <c r="A81" s="3" t="str">
        <f>IF(IFERROR(MATCH(65,ChqRankU,0),0)=0,"",65)</f>
        <v/>
      </c>
      <c r="B81" s="13" t="str">
        <f>IF(IFERROR(MATCH(65,ChqRankU,0),0)=0,"",INDEX(ChqNorm,IFERROR(MATCH(65,ChqRankU,0),0)))</f>
        <v/>
      </c>
      <c r="C81" s="13" t="str">
        <f>IF(IFERROR(MATCH(65,ChqRankU,0),0)=0,"",INDEX(ChqNo,IFERROR(MATCH(65,ChqRankU,0),0)))</f>
        <v/>
      </c>
      <c r="D81" s="14" t="str">
        <f>IF(IFERROR(MATCH(65,ChqRankU,0),0)=0,"",IF(INDEX(ChqAmt,IFERROR(MATCH(65,ChqRankU,0),0))=0,"",INDEX(ChqAmt,IFERROR(MATCH(65,ChqRankU,0),0))))</f>
        <v/>
      </c>
      <c r="E81" s="7" t="str">
        <f>IF(IFERROR(MATCH(65,ChqRankU,0),0)=0,"",INDEX(ChqStatus,IFERROR(MATCH(65,ChqRankU,0),0)))</f>
        <v/>
      </c>
      <c r="F81" s="13" t="str">
        <f>IF(IFERROR(MATCH(65,ChqRankU,0),0)=0,"",IF(INDEX(ChqStatus,IFERROR(MATCH(65,ChqRankU,0),0))="پاس نشده","—",IF(INDEX(ChqClr,IFERROR(MATCH(65,ChqRankU,0),0))="","—",INDEX(ChqClr,IFERROR(MATCH(65,ChqRankU,0),0)))))</f>
        <v/>
      </c>
      <c r="I81" t="str">
        <f>IF(65&gt;NChq,"",INDEX(ChqNorm,65))</f>
        <v/>
      </c>
      <c r="J81" t="str">
        <f>IF($I81="","",IF(AND($I81&gt;=$H$3,$I81&lt;=$H$4,INDEX(ChqStatus,65)="پاس نشده"),1,0))</f>
        <v/>
      </c>
      <c r="K81" t="str">
        <f>IF($J81=0,"",INDEX(ChqKey,65))</f>
        <v/>
      </c>
      <c r="L81" t="str">
        <f t="shared" ref="L81:L144" si="1">IF($K81="","",COUNTIFS($J$17:$J$516,1,$K$17:$K$516,"&lt;"&amp;$K81)+1)</f>
        <v/>
      </c>
    </row>
    <row r="82" spans="1:12" x14ac:dyDescent="0.2">
      <c r="A82" s="9" t="str">
        <f>IF(IFERROR(MATCH(66,ChqRankU,0),0)=0,"",66)</f>
        <v/>
      </c>
      <c r="B82" s="15" t="str">
        <f>IF(IFERROR(MATCH(66,ChqRankU,0),0)=0,"",INDEX(ChqNorm,IFERROR(MATCH(66,ChqRankU,0),0)))</f>
        <v/>
      </c>
      <c r="C82" s="15" t="str">
        <f>IF(IFERROR(MATCH(66,ChqRankU,0),0)=0,"",INDEX(ChqNo,IFERROR(MATCH(66,ChqRankU,0),0)))</f>
        <v/>
      </c>
      <c r="D82" s="16" t="str">
        <f>IF(IFERROR(MATCH(66,ChqRankU,0),0)=0,"",IF(INDEX(ChqAmt,IFERROR(MATCH(66,ChqRankU,0),0))=0,"",INDEX(ChqAmt,IFERROR(MATCH(66,ChqRankU,0),0))))</f>
        <v/>
      </c>
      <c r="E82" s="10" t="str">
        <f>IF(IFERROR(MATCH(66,ChqRankU,0),0)=0,"",INDEX(ChqStatus,IFERROR(MATCH(66,ChqRankU,0),0)))</f>
        <v/>
      </c>
      <c r="F82" s="15" t="str">
        <f>IF(IFERROR(MATCH(66,ChqRankU,0),0)=0,"",IF(INDEX(ChqStatus,IFERROR(MATCH(66,ChqRankU,0),0))="پاس نشده","—",IF(INDEX(ChqClr,IFERROR(MATCH(66,ChqRankU,0),0))="","—",INDEX(ChqClr,IFERROR(MATCH(66,ChqRankU,0),0)))))</f>
        <v/>
      </c>
      <c r="I82" t="str">
        <f>IF(66&gt;NChq,"",INDEX(ChqNorm,66))</f>
        <v/>
      </c>
      <c r="J82" t="str">
        <f>IF($I82="","",IF(AND($I82&gt;=$H$3,$I82&lt;=$H$4,INDEX(ChqStatus,66)="پاس نشده"),1,0))</f>
        <v/>
      </c>
      <c r="K82" t="str">
        <f>IF($J82=0,"",INDEX(ChqKey,66))</f>
        <v/>
      </c>
      <c r="L82" t="str">
        <f t="shared" si="1"/>
        <v/>
      </c>
    </row>
    <row r="83" spans="1:12" x14ac:dyDescent="0.2">
      <c r="A83" s="3" t="str">
        <f>IF(IFERROR(MATCH(67,ChqRankU,0),0)=0,"",67)</f>
        <v/>
      </c>
      <c r="B83" s="13" t="str">
        <f>IF(IFERROR(MATCH(67,ChqRankU,0),0)=0,"",INDEX(ChqNorm,IFERROR(MATCH(67,ChqRankU,0),0)))</f>
        <v/>
      </c>
      <c r="C83" s="13" t="str">
        <f>IF(IFERROR(MATCH(67,ChqRankU,0),0)=0,"",INDEX(ChqNo,IFERROR(MATCH(67,ChqRankU,0),0)))</f>
        <v/>
      </c>
      <c r="D83" s="14" t="str">
        <f>IF(IFERROR(MATCH(67,ChqRankU,0),0)=0,"",IF(INDEX(ChqAmt,IFERROR(MATCH(67,ChqRankU,0),0))=0,"",INDEX(ChqAmt,IFERROR(MATCH(67,ChqRankU,0),0))))</f>
        <v/>
      </c>
      <c r="E83" s="7" t="str">
        <f>IF(IFERROR(MATCH(67,ChqRankU,0),0)=0,"",INDEX(ChqStatus,IFERROR(MATCH(67,ChqRankU,0),0)))</f>
        <v/>
      </c>
      <c r="F83" s="13" t="str">
        <f>IF(IFERROR(MATCH(67,ChqRankU,0),0)=0,"",IF(INDEX(ChqStatus,IFERROR(MATCH(67,ChqRankU,0),0))="پاس نشده","—",IF(INDEX(ChqClr,IFERROR(MATCH(67,ChqRankU,0),0))="","—",INDEX(ChqClr,IFERROR(MATCH(67,ChqRankU,0),0)))))</f>
        <v/>
      </c>
      <c r="I83" t="str">
        <f>IF(67&gt;NChq,"",INDEX(ChqNorm,67))</f>
        <v/>
      </c>
      <c r="J83" t="str">
        <f>IF($I83="","",IF(AND($I83&gt;=$H$3,$I83&lt;=$H$4,INDEX(ChqStatus,67)="پاس نشده"),1,0))</f>
        <v/>
      </c>
      <c r="K83" t="str">
        <f>IF($J83=0,"",INDEX(ChqKey,67))</f>
        <v/>
      </c>
      <c r="L83" t="str">
        <f t="shared" si="1"/>
        <v/>
      </c>
    </row>
    <row r="84" spans="1:12" x14ac:dyDescent="0.2">
      <c r="A84" s="9" t="str">
        <f>IF(IFERROR(MATCH(68,ChqRankU,0),0)=0,"",68)</f>
        <v/>
      </c>
      <c r="B84" s="15" t="str">
        <f>IF(IFERROR(MATCH(68,ChqRankU,0),0)=0,"",INDEX(ChqNorm,IFERROR(MATCH(68,ChqRankU,0),0)))</f>
        <v/>
      </c>
      <c r="C84" s="15" t="str">
        <f>IF(IFERROR(MATCH(68,ChqRankU,0),0)=0,"",INDEX(ChqNo,IFERROR(MATCH(68,ChqRankU,0),0)))</f>
        <v/>
      </c>
      <c r="D84" s="16" t="str">
        <f>IF(IFERROR(MATCH(68,ChqRankU,0),0)=0,"",IF(INDEX(ChqAmt,IFERROR(MATCH(68,ChqRankU,0),0))=0,"",INDEX(ChqAmt,IFERROR(MATCH(68,ChqRankU,0),0))))</f>
        <v/>
      </c>
      <c r="E84" s="10" t="str">
        <f>IF(IFERROR(MATCH(68,ChqRankU,0),0)=0,"",INDEX(ChqStatus,IFERROR(MATCH(68,ChqRankU,0),0)))</f>
        <v/>
      </c>
      <c r="F84" s="15" t="str">
        <f>IF(IFERROR(MATCH(68,ChqRankU,0),0)=0,"",IF(INDEX(ChqStatus,IFERROR(MATCH(68,ChqRankU,0),0))="پاس نشده","—",IF(INDEX(ChqClr,IFERROR(MATCH(68,ChqRankU,0),0))="","—",INDEX(ChqClr,IFERROR(MATCH(68,ChqRankU,0),0)))))</f>
        <v/>
      </c>
      <c r="I84" t="str">
        <f>IF(68&gt;NChq,"",INDEX(ChqNorm,68))</f>
        <v/>
      </c>
      <c r="J84" t="str">
        <f>IF($I84="","",IF(AND($I84&gt;=$H$3,$I84&lt;=$H$4,INDEX(ChqStatus,68)="پاس نشده"),1,0))</f>
        <v/>
      </c>
      <c r="K84" t="str">
        <f>IF($J84=0,"",INDEX(ChqKey,68))</f>
        <v/>
      </c>
      <c r="L84" t="str">
        <f t="shared" si="1"/>
        <v/>
      </c>
    </row>
    <row r="85" spans="1:12" x14ac:dyDescent="0.2">
      <c r="A85" s="3" t="str">
        <f>IF(IFERROR(MATCH(69,ChqRankU,0),0)=0,"",69)</f>
        <v/>
      </c>
      <c r="B85" s="13" t="str">
        <f>IF(IFERROR(MATCH(69,ChqRankU,0),0)=0,"",INDEX(ChqNorm,IFERROR(MATCH(69,ChqRankU,0),0)))</f>
        <v/>
      </c>
      <c r="C85" s="13" t="str">
        <f>IF(IFERROR(MATCH(69,ChqRankU,0),0)=0,"",INDEX(ChqNo,IFERROR(MATCH(69,ChqRankU,0),0)))</f>
        <v/>
      </c>
      <c r="D85" s="14" t="str">
        <f>IF(IFERROR(MATCH(69,ChqRankU,0),0)=0,"",IF(INDEX(ChqAmt,IFERROR(MATCH(69,ChqRankU,0),0))=0,"",INDEX(ChqAmt,IFERROR(MATCH(69,ChqRankU,0),0))))</f>
        <v/>
      </c>
      <c r="E85" s="7" t="str">
        <f>IF(IFERROR(MATCH(69,ChqRankU,0),0)=0,"",INDEX(ChqStatus,IFERROR(MATCH(69,ChqRankU,0),0)))</f>
        <v/>
      </c>
      <c r="F85" s="13" t="str">
        <f>IF(IFERROR(MATCH(69,ChqRankU,0),0)=0,"",IF(INDEX(ChqStatus,IFERROR(MATCH(69,ChqRankU,0),0))="پاس نشده","—",IF(INDEX(ChqClr,IFERROR(MATCH(69,ChqRankU,0),0))="","—",INDEX(ChqClr,IFERROR(MATCH(69,ChqRankU,0),0)))))</f>
        <v/>
      </c>
      <c r="I85" t="str">
        <f>IF(69&gt;NChq,"",INDEX(ChqNorm,69))</f>
        <v/>
      </c>
      <c r="J85" t="str">
        <f>IF($I85="","",IF(AND($I85&gt;=$H$3,$I85&lt;=$H$4,INDEX(ChqStatus,69)="پاس نشده"),1,0))</f>
        <v/>
      </c>
      <c r="K85" t="str">
        <f>IF($J85=0,"",INDEX(ChqKey,69))</f>
        <v/>
      </c>
      <c r="L85" t="str">
        <f t="shared" si="1"/>
        <v/>
      </c>
    </row>
    <row r="86" spans="1:12" x14ac:dyDescent="0.2">
      <c r="A86" s="9" t="str">
        <f>IF(IFERROR(MATCH(70,ChqRankU,0),0)=0,"",70)</f>
        <v/>
      </c>
      <c r="B86" s="15" t="str">
        <f>IF(IFERROR(MATCH(70,ChqRankU,0),0)=0,"",INDEX(ChqNorm,IFERROR(MATCH(70,ChqRankU,0),0)))</f>
        <v/>
      </c>
      <c r="C86" s="15" t="str">
        <f>IF(IFERROR(MATCH(70,ChqRankU,0),0)=0,"",INDEX(ChqNo,IFERROR(MATCH(70,ChqRankU,0),0)))</f>
        <v/>
      </c>
      <c r="D86" s="16" t="str">
        <f>IF(IFERROR(MATCH(70,ChqRankU,0),0)=0,"",IF(INDEX(ChqAmt,IFERROR(MATCH(70,ChqRankU,0),0))=0,"",INDEX(ChqAmt,IFERROR(MATCH(70,ChqRankU,0),0))))</f>
        <v/>
      </c>
      <c r="E86" s="10" t="str">
        <f>IF(IFERROR(MATCH(70,ChqRankU,0),0)=0,"",INDEX(ChqStatus,IFERROR(MATCH(70,ChqRankU,0),0)))</f>
        <v/>
      </c>
      <c r="F86" s="15" t="str">
        <f>IF(IFERROR(MATCH(70,ChqRankU,0),0)=0,"",IF(INDEX(ChqStatus,IFERROR(MATCH(70,ChqRankU,0),0))="پاس نشده","—",IF(INDEX(ChqClr,IFERROR(MATCH(70,ChqRankU,0),0))="","—",INDEX(ChqClr,IFERROR(MATCH(70,ChqRankU,0),0)))))</f>
        <v/>
      </c>
      <c r="I86" t="str">
        <f>IF(70&gt;NChq,"",INDEX(ChqNorm,70))</f>
        <v/>
      </c>
      <c r="J86" t="str">
        <f>IF($I86="","",IF(AND($I86&gt;=$H$3,$I86&lt;=$H$4,INDEX(ChqStatus,70)="پاس نشده"),1,0))</f>
        <v/>
      </c>
      <c r="K86" t="str">
        <f>IF($J86=0,"",INDEX(ChqKey,70))</f>
        <v/>
      </c>
      <c r="L86" t="str">
        <f t="shared" si="1"/>
        <v/>
      </c>
    </row>
    <row r="87" spans="1:12" x14ac:dyDescent="0.2">
      <c r="A87" s="3" t="str">
        <f>IF(IFERROR(MATCH(71,ChqRankU,0),0)=0,"",71)</f>
        <v/>
      </c>
      <c r="B87" s="13" t="str">
        <f>IF(IFERROR(MATCH(71,ChqRankU,0),0)=0,"",INDEX(ChqNorm,IFERROR(MATCH(71,ChqRankU,0),0)))</f>
        <v/>
      </c>
      <c r="C87" s="13" t="str">
        <f>IF(IFERROR(MATCH(71,ChqRankU,0),0)=0,"",INDEX(ChqNo,IFERROR(MATCH(71,ChqRankU,0),0)))</f>
        <v/>
      </c>
      <c r="D87" s="14" t="str">
        <f>IF(IFERROR(MATCH(71,ChqRankU,0),0)=0,"",IF(INDEX(ChqAmt,IFERROR(MATCH(71,ChqRankU,0),0))=0,"",INDEX(ChqAmt,IFERROR(MATCH(71,ChqRankU,0),0))))</f>
        <v/>
      </c>
      <c r="E87" s="7" t="str">
        <f>IF(IFERROR(MATCH(71,ChqRankU,0),0)=0,"",INDEX(ChqStatus,IFERROR(MATCH(71,ChqRankU,0),0)))</f>
        <v/>
      </c>
      <c r="F87" s="13" t="str">
        <f>IF(IFERROR(MATCH(71,ChqRankU,0),0)=0,"",IF(INDEX(ChqStatus,IFERROR(MATCH(71,ChqRankU,0),0))="پاس نشده","—",IF(INDEX(ChqClr,IFERROR(MATCH(71,ChqRankU,0),0))="","—",INDEX(ChqClr,IFERROR(MATCH(71,ChqRankU,0),0)))))</f>
        <v/>
      </c>
      <c r="I87" t="str">
        <f>IF(71&gt;NChq,"",INDEX(ChqNorm,71))</f>
        <v/>
      </c>
      <c r="J87" t="str">
        <f>IF($I87="","",IF(AND($I87&gt;=$H$3,$I87&lt;=$H$4,INDEX(ChqStatus,71)="پاس نشده"),1,0))</f>
        <v/>
      </c>
      <c r="K87" t="str">
        <f>IF($J87=0,"",INDEX(ChqKey,71))</f>
        <v/>
      </c>
      <c r="L87" t="str">
        <f t="shared" si="1"/>
        <v/>
      </c>
    </row>
    <row r="88" spans="1:12" x14ac:dyDescent="0.2">
      <c r="A88" s="9" t="str">
        <f>IF(IFERROR(MATCH(72,ChqRankU,0),0)=0,"",72)</f>
        <v/>
      </c>
      <c r="B88" s="15" t="str">
        <f>IF(IFERROR(MATCH(72,ChqRankU,0),0)=0,"",INDEX(ChqNorm,IFERROR(MATCH(72,ChqRankU,0),0)))</f>
        <v/>
      </c>
      <c r="C88" s="15" t="str">
        <f>IF(IFERROR(MATCH(72,ChqRankU,0),0)=0,"",INDEX(ChqNo,IFERROR(MATCH(72,ChqRankU,0),0)))</f>
        <v/>
      </c>
      <c r="D88" s="16" t="str">
        <f>IF(IFERROR(MATCH(72,ChqRankU,0),0)=0,"",IF(INDEX(ChqAmt,IFERROR(MATCH(72,ChqRankU,0),0))=0,"",INDEX(ChqAmt,IFERROR(MATCH(72,ChqRankU,0),0))))</f>
        <v/>
      </c>
      <c r="E88" s="10" t="str">
        <f>IF(IFERROR(MATCH(72,ChqRankU,0),0)=0,"",INDEX(ChqStatus,IFERROR(MATCH(72,ChqRankU,0),0)))</f>
        <v/>
      </c>
      <c r="F88" s="15" t="str">
        <f>IF(IFERROR(MATCH(72,ChqRankU,0),0)=0,"",IF(INDEX(ChqStatus,IFERROR(MATCH(72,ChqRankU,0),0))="پاس نشده","—",IF(INDEX(ChqClr,IFERROR(MATCH(72,ChqRankU,0),0))="","—",INDEX(ChqClr,IFERROR(MATCH(72,ChqRankU,0),0)))))</f>
        <v/>
      </c>
      <c r="I88" t="str">
        <f>IF(72&gt;NChq,"",INDEX(ChqNorm,72))</f>
        <v/>
      </c>
      <c r="J88" t="str">
        <f>IF($I88="","",IF(AND($I88&gt;=$H$3,$I88&lt;=$H$4,INDEX(ChqStatus,72)="پاس نشده"),1,0))</f>
        <v/>
      </c>
      <c r="K88" t="str">
        <f>IF($J88=0,"",INDEX(ChqKey,72))</f>
        <v/>
      </c>
      <c r="L88" t="str">
        <f t="shared" si="1"/>
        <v/>
      </c>
    </row>
    <row r="89" spans="1:12" x14ac:dyDescent="0.2">
      <c r="A89" s="3" t="str">
        <f>IF(IFERROR(MATCH(73,ChqRankU,0),0)=0,"",73)</f>
        <v/>
      </c>
      <c r="B89" s="13" t="str">
        <f>IF(IFERROR(MATCH(73,ChqRankU,0),0)=0,"",INDEX(ChqNorm,IFERROR(MATCH(73,ChqRankU,0),0)))</f>
        <v/>
      </c>
      <c r="C89" s="13" t="str">
        <f>IF(IFERROR(MATCH(73,ChqRankU,0),0)=0,"",INDEX(ChqNo,IFERROR(MATCH(73,ChqRankU,0),0)))</f>
        <v/>
      </c>
      <c r="D89" s="14" t="str">
        <f>IF(IFERROR(MATCH(73,ChqRankU,0),0)=0,"",IF(INDEX(ChqAmt,IFERROR(MATCH(73,ChqRankU,0),0))=0,"",INDEX(ChqAmt,IFERROR(MATCH(73,ChqRankU,0),0))))</f>
        <v/>
      </c>
      <c r="E89" s="7" t="str">
        <f>IF(IFERROR(MATCH(73,ChqRankU,0),0)=0,"",INDEX(ChqStatus,IFERROR(MATCH(73,ChqRankU,0),0)))</f>
        <v/>
      </c>
      <c r="F89" s="13" t="str">
        <f>IF(IFERROR(MATCH(73,ChqRankU,0),0)=0,"",IF(INDEX(ChqStatus,IFERROR(MATCH(73,ChqRankU,0),0))="پاس نشده","—",IF(INDEX(ChqClr,IFERROR(MATCH(73,ChqRankU,0),0))="","—",INDEX(ChqClr,IFERROR(MATCH(73,ChqRankU,0),0)))))</f>
        <v/>
      </c>
      <c r="I89" t="str">
        <f>IF(73&gt;NChq,"",INDEX(ChqNorm,73))</f>
        <v/>
      </c>
      <c r="J89" t="str">
        <f>IF($I89="","",IF(AND($I89&gt;=$H$3,$I89&lt;=$H$4,INDEX(ChqStatus,73)="پاس نشده"),1,0))</f>
        <v/>
      </c>
      <c r="K89" t="str">
        <f>IF($J89=0,"",INDEX(ChqKey,73))</f>
        <v/>
      </c>
      <c r="L89" t="str">
        <f t="shared" si="1"/>
        <v/>
      </c>
    </row>
    <row r="90" spans="1:12" x14ac:dyDescent="0.2">
      <c r="A90" s="9" t="str">
        <f>IF(IFERROR(MATCH(74,ChqRankU,0),0)=0,"",74)</f>
        <v/>
      </c>
      <c r="B90" s="15" t="str">
        <f>IF(IFERROR(MATCH(74,ChqRankU,0),0)=0,"",INDEX(ChqNorm,IFERROR(MATCH(74,ChqRankU,0),0)))</f>
        <v/>
      </c>
      <c r="C90" s="15" t="str">
        <f>IF(IFERROR(MATCH(74,ChqRankU,0),0)=0,"",INDEX(ChqNo,IFERROR(MATCH(74,ChqRankU,0),0)))</f>
        <v/>
      </c>
      <c r="D90" s="16" t="str">
        <f>IF(IFERROR(MATCH(74,ChqRankU,0),0)=0,"",IF(INDEX(ChqAmt,IFERROR(MATCH(74,ChqRankU,0),0))=0,"",INDEX(ChqAmt,IFERROR(MATCH(74,ChqRankU,0),0))))</f>
        <v/>
      </c>
      <c r="E90" s="10" t="str">
        <f>IF(IFERROR(MATCH(74,ChqRankU,0),0)=0,"",INDEX(ChqStatus,IFERROR(MATCH(74,ChqRankU,0),0)))</f>
        <v/>
      </c>
      <c r="F90" s="15" t="str">
        <f>IF(IFERROR(MATCH(74,ChqRankU,0),0)=0,"",IF(INDEX(ChqStatus,IFERROR(MATCH(74,ChqRankU,0),0))="پاس نشده","—",IF(INDEX(ChqClr,IFERROR(MATCH(74,ChqRankU,0),0))="","—",INDEX(ChqClr,IFERROR(MATCH(74,ChqRankU,0),0)))))</f>
        <v/>
      </c>
      <c r="I90" t="str">
        <f>IF(74&gt;NChq,"",INDEX(ChqNorm,74))</f>
        <v/>
      </c>
      <c r="J90" t="str">
        <f>IF($I90="","",IF(AND($I90&gt;=$H$3,$I90&lt;=$H$4,INDEX(ChqStatus,74)="پاس نشده"),1,0))</f>
        <v/>
      </c>
      <c r="K90" t="str">
        <f>IF($J90=0,"",INDEX(ChqKey,74))</f>
        <v/>
      </c>
      <c r="L90" t="str">
        <f t="shared" si="1"/>
        <v/>
      </c>
    </row>
    <row r="91" spans="1:12" x14ac:dyDescent="0.2">
      <c r="A91" s="3" t="str">
        <f>IF(IFERROR(MATCH(75,ChqRankU,0),0)=0,"",75)</f>
        <v/>
      </c>
      <c r="B91" s="13" t="str">
        <f>IF(IFERROR(MATCH(75,ChqRankU,0),0)=0,"",INDEX(ChqNorm,IFERROR(MATCH(75,ChqRankU,0),0)))</f>
        <v/>
      </c>
      <c r="C91" s="13" t="str">
        <f>IF(IFERROR(MATCH(75,ChqRankU,0),0)=0,"",INDEX(ChqNo,IFERROR(MATCH(75,ChqRankU,0),0)))</f>
        <v/>
      </c>
      <c r="D91" s="14" t="str">
        <f>IF(IFERROR(MATCH(75,ChqRankU,0),0)=0,"",IF(INDEX(ChqAmt,IFERROR(MATCH(75,ChqRankU,0),0))=0,"",INDEX(ChqAmt,IFERROR(MATCH(75,ChqRankU,0),0))))</f>
        <v/>
      </c>
      <c r="E91" s="7" t="str">
        <f>IF(IFERROR(MATCH(75,ChqRankU,0),0)=0,"",INDEX(ChqStatus,IFERROR(MATCH(75,ChqRankU,0),0)))</f>
        <v/>
      </c>
      <c r="F91" s="13" t="str">
        <f>IF(IFERROR(MATCH(75,ChqRankU,0),0)=0,"",IF(INDEX(ChqStatus,IFERROR(MATCH(75,ChqRankU,0),0))="پاس نشده","—",IF(INDEX(ChqClr,IFERROR(MATCH(75,ChqRankU,0),0))="","—",INDEX(ChqClr,IFERROR(MATCH(75,ChqRankU,0),0)))))</f>
        <v/>
      </c>
      <c r="I91" t="str">
        <f>IF(75&gt;NChq,"",INDEX(ChqNorm,75))</f>
        <v/>
      </c>
      <c r="J91" t="str">
        <f>IF($I91="","",IF(AND($I91&gt;=$H$3,$I91&lt;=$H$4,INDEX(ChqStatus,75)="پاس نشده"),1,0))</f>
        <v/>
      </c>
      <c r="K91" t="str">
        <f>IF($J91=0,"",INDEX(ChqKey,75))</f>
        <v/>
      </c>
      <c r="L91" t="str">
        <f t="shared" si="1"/>
        <v/>
      </c>
    </row>
    <row r="92" spans="1:12" x14ac:dyDescent="0.2">
      <c r="A92" s="9" t="str">
        <f>IF(IFERROR(MATCH(76,ChqRankU,0),0)=0,"",76)</f>
        <v/>
      </c>
      <c r="B92" s="15" t="str">
        <f>IF(IFERROR(MATCH(76,ChqRankU,0),0)=0,"",INDEX(ChqNorm,IFERROR(MATCH(76,ChqRankU,0),0)))</f>
        <v/>
      </c>
      <c r="C92" s="15" t="str">
        <f>IF(IFERROR(MATCH(76,ChqRankU,0),0)=0,"",INDEX(ChqNo,IFERROR(MATCH(76,ChqRankU,0),0)))</f>
        <v/>
      </c>
      <c r="D92" s="16" t="str">
        <f>IF(IFERROR(MATCH(76,ChqRankU,0),0)=0,"",IF(INDEX(ChqAmt,IFERROR(MATCH(76,ChqRankU,0),0))=0,"",INDEX(ChqAmt,IFERROR(MATCH(76,ChqRankU,0),0))))</f>
        <v/>
      </c>
      <c r="E92" s="10" t="str">
        <f>IF(IFERROR(MATCH(76,ChqRankU,0),0)=0,"",INDEX(ChqStatus,IFERROR(MATCH(76,ChqRankU,0),0)))</f>
        <v/>
      </c>
      <c r="F92" s="15" t="str">
        <f>IF(IFERROR(MATCH(76,ChqRankU,0),0)=0,"",IF(INDEX(ChqStatus,IFERROR(MATCH(76,ChqRankU,0),0))="پاس نشده","—",IF(INDEX(ChqClr,IFERROR(MATCH(76,ChqRankU,0),0))="","—",INDEX(ChqClr,IFERROR(MATCH(76,ChqRankU,0),0)))))</f>
        <v/>
      </c>
      <c r="I92" t="str">
        <f>IF(76&gt;NChq,"",INDEX(ChqNorm,76))</f>
        <v/>
      </c>
      <c r="J92" t="str">
        <f>IF($I92="","",IF(AND($I92&gt;=$H$3,$I92&lt;=$H$4,INDEX(ChqStatus,76)="پاس نشده"),1,0))</f>
        <v/>
      </c>
      <c r="K92" t="str">
        <f>IF($J92=0,"",INDEX(ChqKey,76))</f>
        <v/>
      </c>
      <c r="L92" t="str">
        <f t="shared" si="1"/>
        <v/>
      </c>
    </row>
    <row r="93" spans="1:12" x14ac:dyDescent="0.2">
      <c r="A93" s="3" t="str">
        <f>IF(IFERROR(MATCH(77,ChqRankU,0),0)=0,"",77)</f>
        <v/>
      </c>
      <c r="B93" s="13" t="str">
        <f>IF(IFERROR(MATCH(77,ChqRankU,0),0)=0,"",INDEX(ChqNorm,IFERROR(MATCH(77,ChqRankU,0),0)))</f>
        <v/>
      </c>
      <c r="C93" s="13" t="str">
        <f>IF(IFERROR(MATCH(77,ChqRankU,0),0)=0,"",INDEX(ChqNo,IFERROR(MATCH(77,ChqRankU,0),0)))</f>
        <v/>
      </c>
      <c r="D93" s="14" t="str">
        <f>IF(IFERROR(MATCH(77,ChqRankU,0),0)=0,"",IF(INDEX(ChqAmt,IFERROR(MATCH(77,ChqRankU,0),0))=0,"",INDEX(ChqAmt,IFERROR(MATCH(77,ChqRankU,0),0))))</f>
        <v/>
      </c>
      <c r="E93" s="7" t="str">
        <f>IF(IFERROR(MATCH(77,ChqRankU,0),0)=0,"",INDEX(ChqStatus,IFERROR(MATCH(77,ChqRankU,0),0)))</f>
        <v/>
      </c>
      <c r="F93" s="13" t="str">
        <f>IF(IFERROR(MATCH(77,ChqRankU,0),0)=0,"",IF(INDEX(ChqStatus,IFERROR(MATCH(77,ChqRankU,0),0))="پاس نشده","—",IF(INDEX(ChqClr,IFERROR(MATCH(77,ChqRankU,0),0))="","—",INDEX(ChqClr,IFERROR(MATCH(77,ChqRankU,0),0)))))</f>
        <v/>
      </c>
      <c r="I93" t="str">
        <f>IF(77&gt;NChq,"",INDEX(ChqNorm,77))</f>
        <v/>
      </c>
      <c r="J93" t="str">
        <f>IF($I93="","",IF(AND($I93&gt;=$H$3,$I93&lt;=$H$4,INDEX(ChqStatus,77)="پاس نشده"),1,0))</f>
        <v/>
      </c>
      <c r="K93" t="str">
        <f>IF($J93=0,"",INDEX(ChqKey,77))</f>
        <v/>
      </c>
      <c r="L93" t="str">
        <f t="shared" si="1"/>
        <v/>
      </c>
    </row>
    <row r="94" spans="1:12" x14ac:dyDescent="0.2">
      <c r="A94" s="9" t="str">
        <f>IF(IFERROR(MATCH(78,ChqRankU,0),0)=0,"",78)</f>
        <v/>
      </c>
      <c r="B94" s="15" t="str">
        <f>IF(IFERROR(MATCH(78,ChqRankU,0),0)=0,"",INDEX(ChqNorm,IFERROR(MATCH(78,ChqRankU,0),0)))</f>
        <v/>
      </c>
      <c r="C94" s="15" t="str">
        <f>IF(IFERROR(MATCH(78,ChqRankU,0),0)=0,"",INDEX(ChqNo,IFERROR(MATCH(78,ChqRankU,0),0)))</f>
        <v/>
      </c>
      <c r="D94" s="16" t="str">
        <f>IF(IFERROR(MATCH(78,ChqRankU,0),0)=0,"",IF(INDEX(ChqAmt,IFERROR(MATCH(78,ChqRankU,0),0))=0,"",INDEX(ChqAmt,IFERROR(MATCH(78,ChqRankU,0),0))))</f>
        <v/>
      </c>
      <c r="E94" s="10" t="str">
        <f>IF(IFERROR(MATCH(78,ChqRankU,0),0)=0,"",INDEX(ChqStatus,IFERROR(MATCH(78,ChqRankU,0),0)))</f>
        <v/>
      </c>
      <c r="F94" s="15" t="str">
        <f>IF(IFERROR(MATCH(78,ChqRankU,0),0)=0,"",IF(INDEX(ChqStatus,IFERROR(MATCH(78,ChqRankU,0),0))="پاس نشده","—",IF(INDEX(ChqClr,IFERROR(MATCH(78,ChqRankU,0),0))="","—",INDEX(ChqClr,IFERROR(MATCH(78,ChqRankU,0),0)))))</f>
        <v/>
      </c>
      <c r="I94" t="str">
        <f>IF(78&gt;NChq,"",INDEX(ChqNorm,78))</f>
        <v/>
      </c>
      <c r="J94" t="str">
        <f>IF($I94="","",IF(AND($I94&gt;=$H$3,$I94&lt;=$H$4,INDEX(ChqStatus,78)="پاس نشده"),1,0))</f>
        <v/>
      </c>
      <c r="K94" t="str">
        <f>IF($J94=0,"",INDEX(ChqKey,78))</f>
        <v/>
      </c>
      <c r="L94" t="str">
        <f t="shared" si="1"/>
        <v/>
      </c>
    </row>
    <row r="95" spans="1:12" x14ac:dyDescent="0.2">
      <c r="A95" s="3" t="str">
        <f>IF(IFERROR(MATCH(79,ChqRankU,0),0)=0,"",79)</f>
        <v/>
      </c>
      <c r="B95" s="13" t="str">
        <f>IF(IFERROR(MATCH(79,ChqRankU,0),0)=0,"",INDEX(ChqNorm,IFERROR(MATCH(79,ChqRankU,0),0)))</f>
        <v/>
      </c>
      <c r="C95" s="13" t="str">
        <f>IF(IFERROR(MATCH(79,ChqRankU,0),0)=0,"",INDEX(ChqNo,IFERROR(MATCH(79,ChqRankU,0),0)))</f>
        <v/>
      </c>
      <c r="D95" s="14" t="str">
        <f>IF(IFERROR(MATCH(79,ChqRankU,0),0)=0,"",IF(INDEX(ChqAmt,IFERROR(MATCH(79,ChqRankU,0),0))=0,"",INDEX(ChqAmt,IFERROR(MATCH(79,ChqRankU,0),0))))</f>
        <v/>
      </c>
      <c r="E95" s="7" t="str">
        <f>IF(IFERROR(MATCH(79,ChqRankU,0),0)=0,"",INDEX(ChqStatus,IFERROR(MATCH(79,ChqRankU,0),0)))</f>
        <v/>
      </c>
      <c r="F95" s="13" t="str">
        <f>IF(IFERROR(MATCH(79,ChqRankU,0),0)=0,"",IF(INDEX(ChqStatus,IFERROR(MATCH(79,ChqRankU,0),0))="پاس نشده","—",IF(INDEX(ChqClr,IFERROR(MATCH(79,ChqRankU,0),0))="","—",INDEX(ChqClr,IFERROR(MATCH(79,ChqRankU,0),0)))))</f>
        <v/>
      </c>
      <c r="I95" t="str">
        <f>IF(79&gt;NChq,"",INDEX(ChqNorm,79))</f>
        <v/>
      </c>
      <c r="J95" t="str">
        <f>IF($I95="","",IF(AND($I95&gt;=$H$3,$I95&lt;=$H$4,INDEX(ChqStatus,79)="پاس نشده"),1,0))</f>
        <v/>
      </c>
      <c r="K95" t="str">
        <f>IF($J95=0,"",INDEX(ChqKey,79))</f>
        <v/>
      </c>
      <c r="L95" t="str">
        <f t="shared" si="1"/>
        <v/>
      </c>
    </row>
    <row r="96" spans="1:12" x14ac:dyDescent="0.2">
      <c r="A96" s="9" t="str">
        <f>IF(IFERROR(MATCH(80,ChqRankU,0),0)=0,"",80)</f>
        <v/>
      </c>
      <c r="B96" s="15" t="str">
        <f>IF(IFERROR(MATCH(80,ChqRankU,0),0)=0,"",INDEX(ChqNorm,IFERROR(MATCH(80,ChqRankU,0),0)))</f>
        <v/>
      </c>
      <c r="C96" s="15" t="str">
        <f>IF(IFERROR(MATCH(80,ChqRankU,0),0)=0,"",INDEX(ChqNo,IFERROR(MATCH(80,ChqRankU,0),0)))</f>
        <v/>
      </c>
      <c r="D96" s="16" t="str">
        <f>IF(IFERROR(MATCH(80,ChqRankU,0),0)=0,"",IF(INDEX(ChqAmt,IFERROR(MATCH(80,ChqRankU,0),0))=0,"",INDEX(ChqAmt,IFERROR(MATCH(80,ChqRankU,0),0))))</f>
        <v/>
      </c>
      <c r="E96" s="10" t="str">
        <f>IF(IFERROR(MATCH(80,ChqRankU,0),0)=0,"",INDEX(ChqStatus,IFERROR(MATCH(80,ChqRankU,0),0)))</f>
        <v/>
      </c>
      <c r="F96" s="15" t="str">
        <f>IF(IFERROR(MATCH(80,ChqRankU,0),0)=0,"",IF(INDEX(ChqStatus,IFERROR(MATCH(80,ChqRankU,0),0))="پاس نشده","—",IF(INDEX(ChqClr,IFERROR(MATCH(80,ChqRankU,0),0))="","—",INDEX(ChqClr,IFERROR(MATCH(80,ChqRankU,0),0)))))</f>
        <v/>
      </c>
      <c r="I96" t="str">
        <f>IF(80&gt;NChq,"",INDEX(ChqNorm,80))</f>
        <v/>
      </c>
      <c r="J96" t="str">
        <f>IF($I96="","",IF(AND($I96&gt;=$H$3,$I96&lt;=$H$4,INDEX(ChqStatus,80)="پاس نشده"),1,0))</f>
        <v/>
      </c>
      <c r="K96" t="str">
        <f>IF($J96=0,"",INDEX(ChqKey,80))</f>
        <v/>
      </c>
      <c r="L96" t="str">
        <f t="shared" si="1"/>
        <v/>
      </c>
    </row>
    <row r="97" spans="1:12" x14ac:dyDescent="0.2">
      <c r="A97" s="3" t="str">
        <f>IF(IFERROR(MATCH(81,ChqRankU,0),0)=0,"",81)</f>
        <v/>
      </c>
      <c r="B97" s="13" t="str">
        <f>IF(IFERROR(MATCH(81,ChqRankU,0),0)=0,"",INDEX(ChqNorm,IFERROR(MATCH(81,ChqRankU,0),0)))</f>
        <v/>
      </c>
      <c r="C97" s="13" t="str">
        <f>IF(IFERROR(MATCH(81,ChqRankU,0),0)=0,"",INDEX(ChqNo,IFERROR(MATCH(81,ChqRankU,0),0)))</f>
        <v/>
      </c>
      <c r="D97" s="14" t="str">
        <f>IF(IFERROR(MATCH(81,ChqRankU,0),0)=0,"",IF(INDEX(ChqAmt,IFERROR(MATCH(81,ChqRankU,0),0))=0,"",INDEX(ChqAmt,IFERROR(MATCH(81,ChqRankU,0),0))))</f>
        <v/>
      </c>
      <c r="E97" s="7" t="str">
        <f>IF(IFERROR(MATCH(81,ChqRankU,0),0)=0,"",INDEX(ChqStatus,IFERROR(MATCH(81,ChqRankU,0),0)))</f>
        <v/>
      </c>
      <c r="F97" s="13" t="str">
        <f>IF(IFERROR(MATCH(81,ChqRankU,0),0)=0,"",IF(INDEX(ChqStatus,IFERROR(MATCH(81,ChqRankU,0),0))="پاس نشده","—",IF(INDEX(ChqClr,IFERROR(MATCH(81,ChqRankU,0),0))="","—",INDEX(ChqClr,IFERROR(MATCH(81,ChqRankU,0),0)))))</f>
        <v/>
      </c>
      <c r="I97" t="str">
        <f>IF(81&gt;NChq,"",INDEX(ChqNorm,81))</f>
        <v/>
      </c>
      <c r="J97" t="str">
        <f>IF($I97="","",IF(AND($I97&gt;=$H$3,$I97&lt;=$H$4,INDEX(ChqStatus,81)="پاس نشده"),1,0))</f>
        <v/>
      </c>
      <c r="K97" t="str">
        <f>IF($J97=0,"",INDEX(ChqKey,81))</f>
        <v/>
      </c>
      <c r="L97" t="str">
        <f t="shared" si="1"/>
        <v/>
      </c>
    </row>
    <row r="98" spans="1:12" x14ac:dyDescent="0.2">
      <c r="A98" s="9" t="str">
        <f>IF(IFERROR(MATCH(82,ChqRankU,0),0)=0,"",82)</f>
        <v/>
      </c>
      <c r="B98" s="15" t="str">
        <f>IF(IFERROR(MATCH(82,ChqRankU,0),0)=0,"",INDEX(ChqNorm,IFERROR(MATCH(82,ChqRankU,0),0)))</f>
        <v/>
      </c>
      <c r="C98" s="15" t="str">
        <f>IF(IFERROR(MATCH(82,ChqRankU,0),0)=0,"",INDEX(ChqNo,IFERROR(MATCH(82,ChqRankU,0),0)))</f>
        <v/>
      </c>
      <c r="D98" s="16" t="str">
        <f>IF(IFERROR(MATCH(82,ChqRankU,0),0)=0,"",IF(INDEX(ChqAmt,IFERROR(MATCH(82,ChqRankU,0),0))=0,"",INDEX(ChqAmt,IFERROR(MATCH(82,ChqRankU,0),0))))</f>
        <v/>
      </c>
      <c r="E98" s="10" t="str">
        <f>IF(IFERROR(MATCH(82,ChqRankU,0),0)=0,"",INDEX(ChqStatus,IFERROR(MATCH(82,ChqRankU,0),0)))</f>
        <v/>
      </c>
      <c r="F98" s="15" t="str">
        <f>IF(IFERROR(MATCH(82,ChqRankU,0),0)=0,"",IF(INDEX(ChqStatus,IFERROR(MATCH(82,ChqRankU,0),0))="پاس نشده","—",IF(INDEX(ChqClr,IFERROR(MATCH(82,ChqRankU,0),0))="","—",INDEX(ChqClr,IFERROR(MATCH(82,ChqRankU,0),0)))))</f>
        <v/>
      </c>
      <c r="I98" t="str">
        <f>IF(82&gt;NChq,"",INDEX(ChqNorm,82))</f>
        <v/>
      </c>
      <c r="J98" t="str">
        <f>IF($I98="","",IF(AND($I98&gt;=$H$3,$I98&lt;=$H$4,INDEX(ChqStatus,82)="پاس نشده"),1,0))</f>
        <v/>
      </c>
      <c r="K98" t="str">
        <f>IF($J98=0,"",INDEX(ChqKey,82))</f>
        <v/>
      </c>
      <c r="L98" t="str">
        <f t="shared" si="1"/>
        <v/>
      </c>
    </row>
    <row r="99" spans="1:12" x14ac:dyDescent="0.2">
      <c r="A99" s="3" t="str">
        <f>IF(IFERROR(MATCH(83,ChqRankU,0),0)=0,"",83)</f>
        <v/>
      </c>
      <c r="B99" s="13" t="str">
        <f>IF(IFERROR(MATCH(83,ChqRankU,0),0)=0,"",INDEX(ChqNorm,IFERROR(MATCH(83,ChqRankU,0),0)))</f>
        <v/>
      </c>
      <c r="C99" s="13" t="str">
        <f>IF(IFERROR(MATCH(83,ChqRankU,0),0)=0,"",INDEX(ChqNo,IFERROR(MATCH(83,ChqRankU,0),0)))</f>
        <v/>
      </c>
      <c r="D99" s="14" t="str">
        <f>IF(IFERROR(MATCH(83,ChqRankU,0),0)=0,"",IF(INDEX(ChqAmt,IFERROR(MATCH(83,ChqRankU,0),0))=0,"",INDEX(ChqAmt,IFERROR(MATCH(83,ChqRankU,0),0))))</f>
        <v/>
      </c>
      <c r="E99" s="7" t="str">
        <f>IF(IFERROR(MATCH(83,ChqRankU,0),0)=0,"",INDEX(ChqStatus,IFERROR(MATCH(83,ChqRankU,0),0)))</f>
        <v/>
      </c>
      <c r="F99" s="13" t="str">
        <f>IF(IFERROR(MATCH(83,ChqRankU,0),0)=0,"",IF(INDEX(ChqStatus,IFERROR(MATCH(83,ChqRankU,0),0))="پاس نشده","—",IF(INDEX(ChqClr,IFERROR(MATCH(83,ChqRankU,0),0))="","—",INDEX(ChqClr,IFERROR(MATCH(83,ChqRankU,0),0)))))</f>
        <v/>
      </c>
      <c r="I99" t="str">
        <f>IF(83&gt;NChq,"",INDEX(ChqNorm,83))</f>
        <v/>
      </c>
      <c r="J99" t="str">
        <f>IF($I99="","",IF(AND($I99&gt;=$H$3,$I99&lt;=$H$4,INDEX(ChqStatus,83)="پاس نشده"),1,0))</f>
        <v/>
      </c>
      <c r="K99" t="str">
        <f>IF($J99=0,"",INDEX(ChqKey,83))</f>
        <v/>
      </c>
      <c r="L99" t="str">
        <f t="shared" si="1"/>
        <v/>
      </c>
    </row>
    <row r="100" spans="1:12" x14ac:dyDescent="0.2">
      <c r="A100" s="9" t="str">
        <f>IF(IFERROR(MATCH(84,ChqRankU,0),0)=0,"",84)</f>
        <v/>
      </c>
      <c r="B100" s="15" t="str">
        <f>IF(IFERROR(MATCH(84,ChqRankU,0),0)=0,"",INDEX(ChqNorm,IFERROR(MATCH(84,ChqRankU,0),0)))</f>
        <v/>
      </c>
      <c r="C100" s="15" t="str">
        <f>IF(IFERROR(MATCH(84,ChqRankU,0),0)=0,"",INDEX(ChqNo,IFERROR(MATCH(84,ChqRankU,0),0)))</f>
        <v/>
      </c>
      <c r="D100" s="16" t="str">
        <f>IF(IFERROR(MATCH(84,ChqRankU,0),0)=0,"",IF(INDEX(ChqAmt,IFERROR(MATCH(84,ChqRankU,0),0))=0,"",INDEX(ChqAmt,IFERROR(MATCH(84,ChqRankU,0),0))))</f>
        <v/>
      </c>
      <c r="E100" s="10" t="str">
        <f>IF(IFERROR(MATCH(84,ChqRankU,0),0)=0,"",INDEX(ChqStatus,IFERROR(MATCH(84,ChqRankU,0),0)))</f>
        <v/>
      </c>
      <c r="F100" s="15" t="str">
        <f>IF(IFERROR(MATCH(84,ChqRankU,0),0)=0,"",IF(INDEX(ChqStatus,IFERROR(MATCH(84,ChqRankU,0),0))="پاس نشده","—",IF(INDEX(ChqClr,IFERROR(MATCH(84,ChqRankU,0),0))="","—",INDEX(ChqClr,IFERROR(MATCH(84,ChqRankU,0),0)))))</f>
        <v/>
      </c>
      <c r="I100" t="str">
        <f>IF(84&gt;NChq,"",INDEX(ChqNorm,84))</f>
        <v/>
      </c>
      <c r="J100" t="str">
        <f>IF($I100="","",IF(AND($I100&gt;=$H$3,$I100&lt;=$H$4,INDEX(ChqStatus,84)="پاس نشده"),1,0))</f>
        <v/>
      </c>
      <c r="K100" t="str">
        <f>IF($J100=0,"",INDEX(ChqKey,84))</f>
        <v/>
      </c>
      <c r="L100" t="str">
        <f t="shared" si="1"/>
        <v/>
      </c>
    </row>
    <row r="101" spans="1:12" x14ac:dyDescent="0.2">
      <c r="A101" s="3" t="str">
        <f>IF(IFERROR(MATCH(85,ChqRankU,0),0)=0,"",85)</f>
        <v/>
      </c>
      <c r="B101" s="13" t="str">
        <f>IF(IFERROR(MATCH(85,ChqRankU,0),0)=0,"",INDEX(ChqNorm,IFERROR(MATCH(85,ChqRankU,0),0)))</f>
        <v/>
      </c>
      <c r="C101" s="13" t="str">
        <f>IF(IFERROR(MATCH(85,ChqRankU,0),0)=0,"",INDEX(ChqNo,IFERROR(MATCH(85,ChqRankU,0),0)))</f>
        <v/>
      </c>
      <c r="D101" s="14" t="str">
        <f>IF(IFERROR(MATCH(85,ChqRankU,0),0)=0,"",IF(INDEX(ChqAmt,IFERROR(MATCH(85,ChqRankU,0),0))=0,"",INDEX(ChqAmt,IFERROR(MATCH(85,ChqRankU,0),0))))</f>
        <v/>
      </c>
      <c r="E101" s="7" t="str">
        <f>IF(IFERROR(MATCH(85,ChqRankU,0),0)=0,"",INDEX(ChqStatus,IFERROR(MATCH(85,ChqRankU,0),0)))</f>
        <v/>
      </c>
      <c r="F101" s="13" t="str">
        <f>IF(IFERROR(MATCH(85,ChqRankU,0),0)=0,"",IF(INDEX(ChqStatus,IFERROR(MATCH(85,ChqRankU,0),0))="پاس نشده","—",IF(INDEX(ChqClr,IFERROR(MATCH(85,ChqRankU,0),0))="","—",INDEX(ChqClr,IFERROR(MATCH(85,ChqRankU,0),0)))))</f>
        <v/>
      </c>
      <c r="I101" t="str">
        <f>IF(85&gt;NChq,"",INDEX(ChqNorm,85))</f>
        <v/>
      </c>
      <c r="J101" t="str">
        <f>IF($I101="","",IF(AND($I101&gt;=$H$3,$I101&lt;=$H$4,INDEX(ChqStatus,85)="پاس نشده"),1,0))</f>
        <v/>
      </c>
      <c r="K101" t="str">
        <f>IF($J101=0,"",INDEX(ChqKey,85))</f>
        <v/>
      </c>
      <c r="L101" t="str">
        <f t="shared" si="1"/>
        <v/>
      </c>
    </row>
    <row r="102" spans="1:12" x14ac:dyDescent="0.2">
      <c r="A102" s="9" t="str">
        <f>IF(IFERROR(MATCH(86,ChqRankU,0),0)=0,"",86)</f>
        <v/>
      </c>
      <c r="B102" s="15" t="str">
        <f>IF(IFERROR(MATCH(86,ChqRankU,0),0)=0,"",INDEX(ChqNorm,IFERROR(MATCH(86,ChqRankU,0),0)))</f>
        <v/>
      </c>
      <c r="C102" s="15" t="str">
        <f>IF(IFERROR(MATCH(86,ChqRankU,0),0)=0,"",INDEX(ChqNo,IFERROR(MATCH(86,ChqRankU,0),0)))</f>
        <v/>
      </c>
      <c r="D102" s="16" t="str">
        <f>IF(IFERROR(MATCH(86,ChqRankU,0),0)=0,"",IF(INDEX(ChqAmt,IFERROR(MATCH(86,ChqRankU,0),0))=0,"",INDEX(ChqAmt,IFERROR(MATCH(86,ChqRankU,0),0))))</f>
        <v/>
      </c>
      <c r="E102" s="10" t="str">
        <f>IF(IFERROR(MATCH(86,ChqRankU,0),0)=0,"",INDEX(ChqStatus,IFERROR(MATCH(86,ChqRankU,0),0)))</f>
        <v/>
      </c>
      <c r="F102" s="15" t="str">
        <f>IF(IFERROR(MATCH(86,ChqRankU,0),0)=0,"",IF(INDEX(ChqStatus,IFERROR(MATCH(86,ChqRankU,0),0))="پاس نشده","—",IF(INDEX(ChqClr,IFERROR(MATCH(86,ChqRankU,0),0))="","—",INDEX(ChqClr,IFERROR(MATCH(86,ChqRankU,0),0)))))</f>
        <v/>
      </c>
      <c r="I102" t="str">
        <f>IF(86&gt;NChq,"",INDEX(ChqNorm,86))</f>
        <v/>
      </c>
      <c r="J102" t="str">
        <f>IF($I102="","",IF(AND($I102&gt;=$H$3,$I102&lt;=$H$4,INDEX(ChqStatus,86)="پاس نشده"),1,0))</f>
        <v/>
      </c>
      <c r="K102" t="str">
        <f>IF($J102=0,"",INDEX(ChqKey,86))</f>
        <v/>
      </c>
      <c r="L102" t="str">
        <f t="shared" si="1"/>
        <v/>
      </c>
    </row>
    <row r="103" spans="1:12" x14ac:dyDescent="0.2">
      <c r="A103" s="3" t="str">
        <f>IF(IFERROR(MATCH(87,ChqRankU,0),0)=0,"",87)</f>
        <v/>
      </c>
      <c r="B103" s="13" t="str">
        <f>IF(IFERROR(MATCH(87,ChqRankU,0),0)=0,"",INDEX(ChqNorm,IFERROR(MATCH(87,ChqRankU,0),0)))</f>
        <v/>
      </c>
      <c r="C103" s="13" t="str">
        <f>IF(IFERROR(MATCH(87,ChqRankU,0),0)=0,"",INDEX(ChqNo,IFERROR(MATCH(87,ChqRankU,0),0)))</f>
        <v/>
      </c>
      <c r="D103" s="14" t="str">
        <f>IF(IFERROR(MATCH(87,ChqRankU,0),0)=0,"",IF(INDEX(ChqAmt,IFERROR(MATCH(87,ChqRankU,0),0))=0,"",INDEX(ChqAmt,IFERROR(MATCH(87,ChqRankU,0),0))))</f>
        <v/>
      </c>
      <c r="E103" s="7" t="str">
        <f>IF(IFERROR(MATCH(87,ChqRankU,0),0)=0,"",INDEX(ChqStatus,IFERROR(MATCH(87,ChqRankU,0),0)))</f>
        <v/>
      </c>
      <c r="F103" s="13" t="str">
        <f>IF(IFERROR(MATCH(87,ChqRankU,0),0)=0,"",IF(INDEX(ChqStatus,IFERROR(MATCH(87,ChqRankU,0),0))="پاس نشده","—",IF(INDEX(ChqClr,IFERROR(MATCH(87,ChqRankU,0),0))="","—",INDEX(ChqClr,IFERROR(MATCH(87,ChqRankU,0),0)))))</f>
        <v/>
      </c>
      <c r="I103" t="str">
        <f>IF(87&gt;NChq,"",INDEX(ChqNorm,87))</f>
        <v/>
      </c>
      <c r="J103" t="str">
        <f>IF($I103="","",IF(AND($I103&gt;=$H$3,$I103&lt;=$H$4,INDEX(ChqStatus,87)="پاس نشده"),1,0))</f>
        <v/>
      </c>
      <c r="K103" t="str">
        <f>IF($J103=0,"",INDEX(ChqKey,87))</f>
        <v/>
      </c>
      <c r="L103" t="str">
        <f t="shared" si="1"/>
        <v/>
      </c>
    </row>
    <row r="104" spans="1:12" x14ac:dyDescent="0.2">
      <c r="A104" s="9" t="str">
        <f>IF(IFERROR(MATCH(88,ChqRankU,0),0)=0,"",88)</f>
        <v/>
      </c>
      <c r="B104" s="15" t="str">
        <f>IF(IFERROR(MATCH(88,ChqRankU,0),0)=0,"",INDEX(ChqNorm,IFERROR(MATCH(88,ChqRankU,0),0)))</f>
        <v/>
      </c>
      <c r="C104" s="15" t="str">
        <f>IF(IFERROR(MATCH(88,ChqRankU,0),0)=0,"",INDEX(ChqNo,IFERROR(MATCH(88,ChqRankU,0),0)))</f>
        <v/>
      </c>
      <c r="D104" s="16" t="str">
        <f>IF(IFERROR(MATCH(88,ChqRankU,0),0)=0,"",IF(INDEX(ChqAmt,IFERROR(MATCH(88,ChqRankU,0),0))=0,"",INDEX(ChqAmt,IFERROR(MATCH(88,ChqRankU,0),0))))</f>
        <v/>
      </c>
      <c r="E104" s="10" t="str">
        <f>IF(IFERROR(MATCH(88,ChqRankU,0),0)=0,"",INDEX(ChqStatus,IFERROR(MATCH(88,ChqRankU,0),0)))</f>
        <v/>
      </c>
      <c r="F104" s="15" t="str">
        <f>IF(IFERROR(MATCH(88,ChqRankU,0),0)=0,"",IF(INDEX(ChqStatus,IFERROR(MATCH(88,ChqRankU,0),0))="پاس نشده","—",IF(INDEX(ChqClr,IFERROR(MATCH(88,ChqRankU,0),0))="","—",INDEX(ChqClr,IFERROR(MATCH(88,ChqRankU,0),0)))))</f>
        <v/>
      </c>
      <c r="I104" t="str">
        <f>IF(88&gt;NChq,"",INDEX(ChqNorm,88))</f>
        <v/>
      </c>
      <c r="J104" t="str">
        <f>IF($I104="","",IF(AND($I104&gt;=$H$3,$I104&lt;=$H$4,INDEX(ChqStatus,88)="پاس نشده"),1,0))</f>
        <v/>
      </c>
      <c r="K104" t="str">
        <f>IF($J104=0,"",INDEX(ChqKey,88))</f>
        <v/>
      </c>
      <c r="L104" t="str">
        <f t="shared" si="1"/>
        <v/>
      </c>
    </row>
    <row r="105" spans="1:12" x14ac:dyDescent="0.2">
      <c r="A105" s="3" t="str">
        <f>IF(IFERROR(MATCH(89,ChqRankU,0),0)=0,"",89)</f>
        <v/>
      </c>
      <c r="B105" s="13" t="str">
        <f>IF(IFERROR(MATCH(89,ChqRankU,0),0)=0,"",INDEX(ChqNorm,IFERROR(MATCH(89,ChqRankU,0),0)))</f>
        <v/>
      </c>
      <c r="C105" s="13" t="str">
        <f>IF(IFERROR(MATCH(89,ChqRankU,0),0)=0,"",INDEX(ChqNo,IFERROR(MATCH(89,ChqRankU,0),0)))</f>
        <v/>
      </c>
      <c r="D105" s="14" t="str">
        <f>IF(IFERROR(MATCH(89,ChqRankU,0),0)=0,"",IF(INDEX(ChqAmt,IFERROR(MATCH(89,ChqRankU,0),0))=0,"",INDEX(ChqAmt,IFERROR(MATCH(89,ChqRankU,0),0))))</f>
        <v/>
      </c>
      <c r="E105" s="7" t="str">
        <f>IF(IFERROR(MATCH(89,ChqRankU,0),0)=0,"",INDEX(ChqStatus,IFERROR(MATCH(89,ChqRankU,0),0)))</f>
        <v/>
      </c>
      <c r="F105" s="13" t="str">
        <f>IF(IFERROR(MATCH(89,ChqRankU,0),0)=0,"",IF(INDEX(ChqStatus,IFERROR(MATCH(89,ChqRankU,0),0))="پاس نشده","—",IF(INDEX(ChqClr,IFERROR(MATCH(89,ChqRankU,0),0))="","—",INDEX(ChqClr,IFERROR(MATCH(89,ChqRankU,0),0)))))</f>
        <v/>
      </c>
      <c r="I105" t="str">
        <f>IF(89&gt;NChq,"",INDEX(ChqNorm,89))</f>
        <v/>
      </c>
      <c r="J105" t="str">
        <f>IF($I105="","",IF(AND($I105&gt;=$H$3,$I105&lt;=$H$4,INDEX(ChqStatus,89)="پاس نشده"),1,0))</f>
        <v/>
      </c>
      <c r="K105" t="str">
        <f>IF($J105=0,"",INDEX(ChqKey,89))</f>
        <v/>
      </c>
      <c r="L105" t="str">
        <f t="shared" si="1"/>
        <v/>
      </c>
    </row>
    <row r="106" spans="1:12" x14ac:dyDescent="0.2">
      <c r="A106" s="9" t="str">
        <f>IF(IFERROR(MATCH(90,ChqRankU,0),0)=0,"",90)</f>
        <v/>
      </c>
      <c r="B106" s="15" t="str">
        <f>IF(IFERROR(MATCH(90,ChqRankU,0),0)=0,"",INDEX(ChqNorm,IFERROR(MATCH(90,ChqRankU,0),0)))</f>
        <v/>
      </c>
      <c r="C106" s="15" t="str">
        <f>IF(IFERROR(MATCH(90,ChqRankU,0),0)=0,"",INDEX(ChqNo,IFERROR(MATCH(90,ChqRankU,0),0)))</f>
        <v/>
      </c>
      <c r="D106" s="16" t="str">
        <f>IF(IFERROR(MATCH(90,ChqRankU,0),0)=0,"",IF(INDEX(ChqAmt,IFERROR(MATCH(90,ChqRankU,0),0))=0,"",INDEX(ChqAmt,IFERROR(MATCH(90,ChqRankU,0),0))))</f>
        <v/>
      </c>
      <c r="E106" s="10" t="str">
        <f>IF(IFERROR(MATCH(90,ChqRankU,0),0)=0,"",INDEX(ChqStatus,IFERROR(MATCH(90,ChqRankU,0),0)))</f>
        <v/>
      </c>
      <c r="F106" s="15" t="str">
        <f>IF(IFERROR(MATCH(90,ChqRankU,0),0)=0,"",IF(INDEX(ChqStatus,IFERROR(MATCH(90,ChqRankU,0),0))="پاس نشده","—",IF(INDEX(ChqClr,IFERROR(MATCH(90,ChqRankU,0),0))="","—",INDEX(ChqClr,IFERROR(MATCH(90,ChqRankU,0),0)))))</f>
        <v/>
      </c>
      <c r="I106" t="str">
        <f>IF(90&gt;NChq,"",INDEX(ChqNorm,90))</f>
        <v/>
      </c>
      <c r="J106" t="str">
        <f>IF($I106="","",IF(AND($I106&gt;=$H$3,$I106&lt;=$H$4,INDEX(ChqStatus,90)="پاس نشده"),1,0))</f>
        <v/>
      </c>
      <c r="K106" t="str">
        <f>IF($J106=0,"",INDEX(ChqKey,90))</f>
        <v/>
      </c>
      <c r="L106" t="str">
        <f t="shared" si="1"/>
        <v/>
      </c>
    </row>
    <row r="107" spans="1:12" x14ac:dyDescent="0.2">
      <c r="A107" s="3" t="str">
        <f>IF(IFERROR(MATCH(91,ChqRankU,0),0)=0,"",91)</f>
        <v/>
      </c>
      <c r="B107" s="13" t="str">
        <f>IF(IFERROR(MATCH(91,ChqRankU,0),0)=0,"",INDEX(ChqNorm,IFERROR(MATCH(91,ChqRankU,0),0)))</f>
        <v/>
      </c>
      <c r="C107" s="13" t="str">
        <f>IF(IFERROR(MATCH(91,ChqRankU,0),0)=0,"",INDEX(ChqNo,IFERROR(MATCH(91,ChqRankU,0),0)))</f>
        <v/>
      </c>
      <c r="D107" s="14" t="str">
        <f>IF(IFERROR(MATCH(91,ChqRankU,0),0)=0,"",IF(INDEX(ChqAmt,IFERROR(MATCH(91,ChqRankU,0),0))=0,"",INDEX(ChqAmt,IFERROR(MATCH(91,ChqRankU,0),0))))</f>
        <v/>
      </c>
      <c r="E107" s="7" t="str">
        <f>IF(IFERROR(MATCH(91,ChqRankU,0),0)=0,"",INDEX(ChqStatus,IFERROR(MATCH(91,ChqRankU,0),0)))</f>
        <v/>
      </c>
      <c r="F107" s="13" t="str">
        <f>IF(IFERROR(MATCH(91,ChqRankU,0),0)=0,"",IF(INDEX(ChqStatus,IFERROR(MATCH(91,ChqRankU,0),0))="پاس نشده","—",IF(INDEX(ChqClr,IFERROR(MATCH(91,ChqRankU,0),0))="","—",INDEX(ChqClr,IFERROR(MATCH(91,ChqRankU,0),0)))))</f>
        <v/>
      </c>
      <c r="I107" t="str">
        <f>IF(91&gt;NChq,"",INDEX(ChqNorm,91))</f>
        <v/>
      </c>
      <c r="J107" t="str">
        <f>IF($I107="","",IF(AND($I107&gt;=$H$3,$I107&lt;=$H$4,INDEX(ChqStatus,91)="پاس نشده"),1,0))</f>
        <v/>
      </c>
      <c r="K107" t="str">
        <f>IF($J107=0,"",INDEX(ChqKey,91))</f>
        <v/>
      </c>
      <c r="L107" t="str">
        <f t="shared" si="1"/>
        <v/>
      </c>
    </row>
    <row r="108" spans="1:12" x14ac:dyDescent="0.2">
      <c r="A108" s="9" t="str">
        <f>IF(IFERROR(MATCH(92,ChqRankU,0),0)=0,"",92)</f>
        <v/>
      </c>
      <c r="B108" s="15" t="str">
        <f>IF(IFERROR(MATCH(92,ChqRankU,0),0)=0,"",INDEX(ChqNorm,IFERROR(MATCH(92,ChqRankU,0),0)))</f>
        <v/>
      </c>
      <c r="C108" s="15" t="str">
        <f>IF(IFERROR(MATCH(92,ChqRankU,0),0)=0,"",INDEX(ChqNo,IFERROR(MATCH(92,ChqRankU,0),0)))</f>
        <v/>
      </c>
      <c r="D108" s="16" t="str">
        <f>IF(IFERROR(MATCH(92,ChqRankU,0),0)=0,"",IF(INDEX(ChqAmt,IFERROR(MATCH(92,ChqRankU,0),0))=0,"",INDEX(ChqAmt,IFERROR(MATCH(92,ChqRankU,0),0))))</f>
        <v/>
      </c>
      <c r="E108" s="10" t="str">
        <f>IF(IFERROR(MATCH(92,ChqRankU,0),0)=0,"",INDEX(ChqStatus,IFERROR(MATCH(92,ChqRankU,0),0)))</f>
        <v/>
      </c>
      <c r="F108" s="15" t="str">
        <f>IF(IFERROR(MATCH(92,ChqRankU,0),0)=0,"",IF(INDEX(ChqStatus,IFERROR(MATCH(92,ChqRankU,0),0))="پاس نشده","—",IF(INDEX(ChqClr,IFERROR(MATCH(92,ChqRankU,0),0))="","—",INDEX(ChqClr,IFERROR(MATCH(92,ChqRankU,0),0)))))</f>
        <v/>
      </c>
      <c r="I108" t="str">
        <f>IF(92&gt;NChq,"",INDEX(ChqNorm,92))</f>
        <v/>
      </c>
      <c r="J108" t="str">
        <f>IF($I108="","",IF(AND($I108&gt;=$H$3,$I108&lt;=$H$4,INDEX(ChqStatus,92)="پاس نشده"),1,0))</f>
        <v/>
      </c>
      <c r="K108" t="str">
        <f>IF($J108=0,"",INDEX(ChqKey,92))</f>
        <v/>
      </c>
      <c r="L108" t="str">
        <f t="shared" si="1"/>
        <v/>
      </c>
    </row>
    <row r="109" spans="1:12" x14ac:dyDescent="0.2">
      <c r="A109" s="3" t="str">
        <f>IF(IFERROR(MATCH(93,ChqRankU,0),0)=0,"",93)</f>
        <v/>
      </c>
      <c r="B109" s="13" t="str">
        <f>IF(IFERROR(MATCH(93,ChqRankU,0),0)=0,"",INDEX(ChqNorm,IFERROR(MATCH(93,ChqRankU,0),0)))</f>
        <v/>
      </c>
      <c r="C109" s="13" t="str">
        <f>IF(IFERROR(MATCH(93,ChqRankU,0),0)=0,"",INDEX(ChqNo,IFERROR(MATCH(93,ChqRankU,0),0)))</f>
        <v/>
      </c>
      <c r="D109" s="14" t="str">
        <f>IF(IFERROR(MATCH(93,ChqRankU,0),0)=0,"",IF(INDEX(ChqAmt,IFERROR(MATCH(93,ChqRankU,0),0))=0,"",INDEX(ChqAmt,IFERROR(MATCH(93,ChqRankU,0),0))))</f>
        <v/>
      </c>
      <c r="E109" s="7" t="str">
        <f>IF(IFERROR(MATCH(93,ChqRankU,0),0)=0,"",INDEX(ChqStatus,IFERROR(MATCH(93,ChqRankU,0),0)))</f>
        <v/>
      </c>
      <c r="F109" s="13" t="str">
        <f>IF(IFERROR(MATCH(93,ChqRankU,0),0)=0,"",IF(INDEX(ChqStatus,IFERROR(MATCH(93,ChqRankU,0),0))="پاس نشده","—",IF(INDEX(ChqClr,IFERROR(MATCH(93,ChqRankU,0),0))="","—",INDEX(ChqClr,IFERROR(MATCH(93,ChqRankU,0),0)))))</f>
        <v/>
      </c>
      <c r="I109" t="str">
        <f>IF(93&gt;NChq,"",INDEX(ChqNorm,93))</f>
        <v/>
      </c>
      <c r="J109" t="str">
        <f>IF($I109="","",IF(AND($I109&gt;=$H$3,$I109&lt;=$H$4,INDEX(ChqStatus,93)="پاس نشده"),1,0))</f>
        <v/>
      </c>
      <c r="K109" t="str">
        <f>IF($J109=0,"",INDEX(ChqKey,93))</f>
        <v/>
      </c>
      <c r="L109" t="str">
        <f t="shared" si="1"/>
        <v/>
      </c>
    </row>
    <row r="110" spans="1:12" x14ac:dyDescent="0.2">
      <c r="A110" s="9" t="str">
        <f>IF(IFERROR(MATCH(94,ChqRankU,0),0)=0,"",94)</f>
        <v/>
      </c>
      <c r="B110" s="15" t="str">
        <f>IF(IFERROR(MATCH(94,ChqRankU,0),0)=0,"",INDEX(ChqNorm,IFERROR(MATCH(94,ChqRankU,0),0)))</f>
        <v/>
      </c>
      <c r="C110" s="15" t="str">
        <f>IF(IFERROR(MATCH(94,ChqRankU,0),0)=0,"",INDEX(ChqNo,IFERROR(MATCH(94,ChqRankU,0),0)))</f>
        <v/>
      </c>
      <c r="D110" s="16" t="str">
        <f>IF(IFERROR(MATCH(94,ChqRankU,0),0)=0,"",IF(INDEX(ChqAmt,IFERROR(MATCH(94,ChqRankU,0),0))=0,"",INDEX(ChqAmt,IFERROR(MATCH(94,ChqRankU,0),0))))</f>
        <v/>
      </c>
      <c r="E110" s="10" t="str">
        <f>IF(IFERROR(MATCH(94,ChqRankU,0),0)=0,"",INDEX(ChqStatus,IFERROR(MATCH(94,ChqRankU,0),0)))</f>
        <v/>
      </c>
      <c r="F110" s="15" t="str">
        <f>IF(IFERROR(MATCH(94,ChqRankU,0),0)=0,"",IF(INDEX(ChqStatus,IFERROR(MATCH(94,ChqRankU,0),0))="پاس نشده","—",IF(INDEX(ChqClr,IFERROR(MATCH(94,ChqRankU,0),0))="","—",INDEX(ChqClr,IFERROR(MATCH(94,ChqRankU,0),0)))))</f>
        <v/>
      </c>
      <c r="I110" t="str">
        <f>IF(94&gt;NChq,"",INDEX(ChqNorm,94))</f>
        <v/>
      </c>
      <c r="J110" t="str">
        <f>IF($I110="","",IF(AND($I110&gt;=$H$3,$I110&lt;=$H$4,INDEX(ChqStatus,94)="پاس نشده"),1,0))</f>
        <v/>
      </c>
      <c r="K110" t="str">
        <f>IF($J110=0,"",INDEX(ChqKey,94))</f>
        <v/>
      </c>
      <c r="L110" t="str">
        <f t="shared" si="1"/>
        <v/>
      </c>
    </row>
    <row r="111" spans="1:12" x14ac:dyDescent="0.2">
      <c r="A111" s="3" t="str">
        <f>IF(IFERROR(MATCH(95,ChqRankU,0),0)=0,"",95)</f>
        <v/>
      </c>
      <c r="B111" s="13" t="str">
        <f>IF(IFERROR(MATCH(95,ChqRankU,0),0)=0,"",INDEX(ChqNorm,IFERROR(MATCH(95,ChqRankU,0),0)))</f>
        <v/>
      </c>
      <c r="C111" s="13" t="str">
        <f>IF(IFERROR(MATCH(95,ChqRankU,0),0)=0,"",INDEX(ChqNo,IFERROR(MATCH(95,ChqRankU,0),0)))</f>
        <v/>
      </c>
      <c r="D111" s="14" t="str">
        <f>IF(IFERROR(MATCH(95,ChqRankU,0),0)=0,"",IF(INDEX(ChqAmt,IFERROR(MATCH(95,ChqRankU,0),0))=0,"",INDEX(ChqAmt,IFERROR(MATCH(95,ChqRankU,0),0))))</f>
        <v/>
      </c>
      <c r="E111" s="7" t="str">
        <f>IF(IFERROR(MATCH(95,ChqRankU,0),0)=0,"",INDEX(ChqStatus,IFERROR(MATCH(95,ChqRankU,0),0)))</f>
        <v/>
      </c>
      <c r="F111" s="13" t="str">
        <f>IF(IFERROR(MATCH(95,ChqRankU,0),0)=0,"",IF(INDEX(ChqStatus,IFERROR(MATCH(95,ChqRankU,0),0))="پاس نشده","—",IF(INDEX(ChqClr,IFERROR(MATCH(95,ChqRankU,0),0))="","—",INDEX(ChqClr,IFERROR(MATCH(95,ChqRankU,0),0)))))</f>
        <v/>
      </c>
      <c r="I111" t="str">
        <f>IF(95&gt;NChq,"",INDEX(ChqNorm,95))</f>
        <v/>
      </c>
      <c r="J111" t="str">
        <f>IF($I111="","",IF(AND($I111&gt;=$H$3,$I111&lt;=$H$4,INDEX(ChqStatus,95)="پاس نشده"),1,0))</f>
        <v/>
      </c>
      <c r="K111" t="str">
        <f>IF($J111=0,"",INDEX(ChqKey,95))</f>
        <v/>
      </c>
      <c r="L111" t="str">
        <f t="shared" si="1"/>
        <v/>
      </c>
    </row>
    <row r="112" spans="1:12" x14ac:dyDescent="0.2">
      <c r="A112" s="9" t="str">
        <f>IF(IFERROR(MATCH(96,ChqRankU,0),0)=0,"",96)</f>
        <v/>
      </c>
      <c r="B112" s="15" t="str">
        <f>IF(IFERROR(MATCH(96,ChqRankU,0),0)=0,"",INDEX(ChqNorm,IFERROR(MATCH(96,ChqRankU,0),0)))</f>
        <v/>
      </c>
      <c r="C112" s="15" t="str">
        <f>IF(IFERROR(MATCH(96,ChqRankU,0),0)=0,"",INDEX(ChqNo,IFERROR(MATCH(96,ChqRankU,0),0)))</f>
        <v/>
      </c>
      <c r="D112" s="16" t="str">
        <f>IF(IFERROR(MATCH(96,ChqRankU,0),0)=0,"",IF(INDEX(ChqAmt,IFERROR(MATCH(96,ChqRankU,0),0))=0,"",INDEX(ChqAmt,IFERROR(MATCH(96,ChqRankU,0),0))))</f>
        <v/>
      </c>
      <c r="E112" s="10" t="str">
        <f>IF(IFERROR(MATCH(96,ChqRankU,0),0)=0,"",INDEX(ChqStatus,IFERROR(MATCH(96,ChqRankU,0),0)))</f>
        <v/>
      </c>
      <c r="F112" s="15" t="str">
        <f>IF(IFERROR(MATCH(96,ChqRankU,0),0)=0,"",IF(INDEX(ChqStatus,IFERROR(MATCH(96,ChqRankU,0),0))="پاس نشده","—",IF(INDEX(ChqClr,IFERROR(MATCH(96,ChqRankU,0),0))="","—",INDEX(ChqClr,IFERROR(MATCH(96,ChqRankU,0),0)))))</f>
        <v/>
      </c>
      <c r="I112" t="str">
        <f>IF(96&gt;NChq,"",INDEX(ChqNorm,96))</f>
        <v/>
      </c>
      <c r="J112" t="str">
        <f>IF($I112="","",IF(AND($I112&gt;=$H$3,$I112&lt;=$H$4,INDEX(ChqStatus,96)="پاس نشده"),1,0))</f>
        <v/>
      </c>
      <c r="K112" t="str">
        <f>IF($J112=0,"",INDEX(ChqKey,96))</f>
        <v/>
      </c>
      <c r="L112" t="str">
        <f t="shared" si="1"/>
        <v/>
      </c>
    </row>
    <row r="113" spans="1:12" x14ac:dyDescent="0.2">
      <c r="A113" s="3" t="str">
        <f>IF(IFERROR(MATCH(97,ChqRankU,0),0)=0,"",97)</f>
        <v/>
      </c>
      <c r="B113" s="13" t="str">
        <f>IF(IFERROR(MATCH(97,ChqRankU,0),0)=0,"",INDEX(ChqNorm,IFERROR(MATCH(97,ChqRankU,0),0)))</f>
        <v/>
      </c>
      <c r="C113" s="13" t="str">
        <f>IF(IFERROR(MATCH(97,ChqRankU,0),0)=0,"",INDEX(ChqNo,IFERROR(MATCH(97,ChqRankU,0),0)))</f>
        <v/>
      </c>
      <c r="D113" s="14" t="str">
        <f>IF(IFERROR(MATCH(97,ChqRankU,0),0)=0,"",IF(INDEX(ChqAmt,IFERROR(MATCH(97,ChqRankU,0),0))=0,"",INDEX(ChqAmt,IFERROR(MATCH(97,ChqRankU,0),0))))</f>
        <v/>
      </c>
      <c r="E113" s="7" t="str">
        <f>IF(IFERROR(MATCH(97,ChqRankU,0),0)=0,"",INDEX(ChqStatus,IFERROR(MATCH(97,ChqRankU,0),0)))</f>
        <v/>
      </c>
      <c r="F113" s="13" t="str">
        <f>IF(IFERROR(MATCH(97,ChqRankU,0),0)=0,"",IF(INDEX(ChqStatus,IFERROR(MATCH(97,ChqRankU,0),0))="پاس نشده","—",IF(INDEX(ChqClr,IFERROR(MATCH(97,ChqRankU,0),0))="","—",INDEX(ChqClr,IFERROR(MATCH(97,ChqRankU,0),0)))))</f>
        <v/>
      </c>
      <c r="I113" t="str">
        <f>IF(97&gt;NChq,"",INDEX(ChqNorm,97))</f>
        <v/>
      </c>
      <c r="J113" t="str">
        <f>IF($I113="","",IF(AND($I113&gt;=$H$3,$I113&lt;=$H$4,INDEX(ChqStatus,97)="پاس نشده"),1,0))</f>
        <v/>
      </c>
      <c r="K113" t="str">
        <f>IF($J113=0,"",INDEX(ChqKey,97))</f>
        <v/>
      </c>
      <c r="L113" t="str">
        <f t="shared" si="1"/>
        <v/>
      </c>
    </row>
    <row r="114" spans="1:12" x14ac:dyDescent="0.2">
      <c r="A114" s="9" t="str">
        <f>IF(IFERROR(MATCH(98,ChqRankU,0),0)=0,"",98)</f>
        <v/>
      </c>
      <c r="B114" s="15" t="str">
        <f>IF(IFERROR(MATCH(98,ChqRankU,0),0)=0,"",INDEX(ChqNorm,IFERROR(MATCH(98,ChqRankU,0),0)))</f>
        <v/>
      </c>
      <c r="C114" s="15" t="str">
        <f>IF(IFERROR(MATCH(98,ChqRankU,0),0)=0,"",INDEX(ChqNo,IFERROR(MATCH(98,ChqRankU,0),0)))</f>
        <v/>
      </c>
      <c r="D114" s="16" t="str">
        <f>IF(IFERROR(MATCH(98,ChqRankU,0),0)=0,"",IF(INDEX(ChqAmt,IFERROR(MATCH(98,ChqRankU,0),0))=0,"",INDEX(ChqAmt,IFERROR(MATCH(98,ChqRankU,0),0))))</f>
        <v/>
      </c>
      <c r="E114" s="10" t="str">
        <f>IF(IFERROR(MATCH(98,ChqRankU,0),0)=0,"",INDEX(ChqStatus,IFERROR(MATCH(98,ChqRankU,0),0)))</f>
        <v/>
      </c>
      <c r="F114" s="15" t="str">
        <f>IF(IFERROR(MATCH(98,ChqRankU,0),0)=0,"",IF(INDEX(ChqStatus,IFERROR(MATCH(98,ChqRankU,0),0))="پاس نشده","—",IF(INDEX(ChqClr,IFERROR(MATCH(98,ChqRankU,0),0))="","—",INDEX(ChqClr,IFERROR(MATCH(98,ChqRankU,0),0)))))</f>
        <v/>
      </c>
      <c r="I114" t="str">
        <f>IF(98&gt;NChq,"",INDEX(ChqNorm,98))</f>
        <v/>
      </c>
      <c r="J114" t="str">
        <f>IF($I114="","",IF(AND($I114&gt;=$H$3,$I114&lt;=$H$4,INDEX(ChqStatus,98)="پاس نشده"),1,0))</f>
        <v/>
      </c>
      <c r="K114" t="str">
        <f>IF($J114=0,"",INDEX(ChqKey,98))</f>
        <v/>
      </c>
      <c r="L114" t="str">
        <f t="shared" si="1"/>
        <v/>
      </c>
    </row>
    <row r="115" spans="1:12" x14ac:dyDescent="0.2">
      <c r="A115" s="3" t="str">
        <f>IF(IFERROR(MATCH(99,ChqRankU,0),0)=0,"",99)</f>
        <v/>
      </c>
      <c r="B115" s="13" t="str">
        <f>IF(IFERROR(MATCH(99,ChqRankU,0),0)=0,"",INDEX(ChqNorm,IFERROR(MATCH(99,ChqRankU,0),0)))</f>
        <v/>
      </c>
      <c r="C115" s="13" t="str">
        <f>IF(IFERROR(MATCH(99,ChqRankU,0),0)=0,"",INDEX(ChqNo,IFERROR(MATCH(99,ChqRankU,0),0)))</f>
        <v/>
      </c>
      <c r="D115" s="14" t="str">
        <f>IF(IFERROR(MATCH(99,ChqRankU,0),0)=0,"",IF(INDEX(ChqAmt,IFERROR(MATCH(99,ChqRankU,0),0))=0,"",INDEX(ChqAmt,IFERROR(MATCH(99,ChqRankU,0),0))))</f>
        <v/>
      </c>
      <c r="E115" s="7" t="str">
        <f>IF(IFERROR(MATCH(99,ChqRankU,0),0)=0,"",INDEX(ChqStatus,IFERROR(MATCH(99,ChqRankU,0),0)))</f>
        <v/>
      </c>
      <c r="F115" s="13" t="str">
        <f>IF(IFERROR(MATCH(99,ChqRankU,0),0)=0,"",IF(INDEX(ChqStatus,IFERROR(MATCH(99,ChqRankU,0),0))="پاس نشده","—",IF(INDEX(ChqClr,IFERROR(MATCH(99,ChqRankU,0),0))="","—",INDEX(ChqClr,IFERROR(MATCH(99,ChqRankU,0),0)))))</f>
        <v/>
      </c>
      <c r="I115" t="str">
        <f>IF(99&gt;NChq,"",INDEX(ChqNorm,99))</f>
        <v/>
      </c>
      <c r="J115" t="str">
        <f>IF($I115="","",IF(AND($I115&gt;=$H$3,$I115&lt;=$H$4,INDEX(ChqStatus,99)="پاس نشده"),1,0))</f>
        <v/>
      </c>
      <c r="K115" t="str">
        <f>IF($J115=0,"",INDEX(ChqKey,99))</f>
        <v/>
      </c>
      <c r="L115" t="str">
        <f t="shared" si="1"/>
        <v/>
      </c>
    </row>
    <row r="116" spans="1:12" x14ac:dyDescent="0.2">
      <c r="A116" s="9" t="str">
        <f>IF(IFERROR(MATCH(100,ChqRankU,0),0)=0,"",100)</f>
        <v/>
      </c>
      <c r="B116" s="15" t="str">
        <f>IF(IFERROR(MATCH(100,ChqRankU,0),0)=0,"",INDEX(ChqNorm,IFERROR(MATCH(100,ChqRankU,0),0)))</f>
        <v/>
      </c>
      <c r="C116" s="15" t="str">
        <f>IF(IFERROR(MATCH(100,ChqRankU,0),0)=0,"",INDEX(ChqNo,IFERROR(MATCH(100,ChqRankU,0),0)))</f>
        <v/>
      </c>
      <c r="D116" s="16" t="str">
        <f>IF(IFERROR(MATCH(100,ChqRankU,0),0)=0,"",IF(INDEX(ChqAmt,IFERROR(MATCH(100,ChqRankU,0),0))=0,"",INDEX(ChqAmt,IFERROR(MATCH(100,ChqRankU,0),0))))</f>
        <v/>
      </c>
      <c r="E116" s="10" t="str">
        <f>IF(IFERROR(MATCH(100,ChqRankU,0),0)=0,"",INDEX(ChqStatus,IFERROR(MATCH(100,ChqRankU,0),0)))</f>
        <v/>
      </c>
      <c r="F116" s="15" t="str">
        <f>IF(IFERROR(MATCH(100,ChqRankU,0),0)=0,"",IF(INDEX(ChqStatus,IFERROR(MATCH(100,ChqRankU,0),0))="پاس نشده","—",IF(INDEX(ChqClr,IFERROR(MATCH(100,ChqRankU,0),0))="","—",INDEX(ChqClr,IFERROR(MATCH(100,ChqRankU,0),0)))))</f>
        <v/>
      </c>
      <c r="I116" t="str">
        <f>IF(100&gt;NChq,"",INDEX(ChqNorm,100))</f>
        <v/>
      </c>
      <c r="J116" t="str">
        <f>IF($I116="","",IF(AND($I116&gt;=$H$3,$I116&lt;=$H$4,INDEX(ChqStatus,100)="پاس نشده"),1,0))</f>
        <v/>
      </c>
      <c r="K116" t="str">
        <f>IF($J116=0,"",INDEX(ChqKey,100))</f>
        <v/>
      </c>
      <c r="L116" t="str">
        <f t="shared" si="1"/>
        <v/>
      </c>
    </row>
    <row r="117" spans="1:12" x14ac:dyDescent="0.2">
      <c r="A117" s="3" t="str">
        <f>IF(IFERROR(MATCH(101,ChqRankU,0),0)=0,"",101)</f>
        <v/>
      </c>
      <c r="B117" s="13" t="str">
        <f>IF(IFERROR(MATCH(101,ChqRankU,0),0)=0,"",INDEX(ChqNorm,IFERROR(MATCH(101,ChqRankU,0),0)))</f>
        <v/>
      </c>
      <c r="C117" s="13" t="str">
        <f>IF(IFERROR(MATCH(101,ChqRankU,0),0)=0,"",INDEX(ChqNo,IFERROR(MATCH(101,ChqRankU,0),0)))</f>
        <v/>
      </c>
      <c r="D117" s="14" t="str">
        <f>IF(IFERROR(MATCH(101,ChqRankU,0),0)=0,"",IF(INDEX(ChqAmt,IFERROR(MATCH(101,ChqRankU,0),0))=0,"",INDEX(ChqAmt,IFERROR(MATCH(101,ChqRankU,0),0))))</f>
        <v/>
      </c>
      <c r="E117" s="7" t="str">
        <f>IF(IFERROR(MATCH(101,ChqRankU,0),0)=0,"",INDEX(ChqStatus,IFERROR(MATCH(101,ChqRankU,0),0)))</f>
        <v/>
      </c>
      <c r="F117" s="13" t="str">
        <f>IF(IFERROR(MATCH(101,ChqRankU,0),0)=0,"",IF(INDEX(ChqStatus,IFERROR(MATCH(101,ChqRankU,0),0))="پاس نشده","—",IF(INDEX(ChqClr,IFERROR(MATCH(101,ChqRankU,0),0))="","—",INDEX(ChqClr,IFERROR(MATCH(101,ChqRankU,0),0)))))</f>
        <v/>
      </c>
      <c r="I117" t="str">
        <f>IF(101&gt;NChq,"",INDEX(ChqNorm,101))</f>
        <v/>
      </c>
      <c r="J117" t="str">
        <f>IF($I117="","",IF(AND($I117&gt;=$H$3,$I117&lt;=$H$4,INDEX(ChqStatus,101)="پاس نشده"),1,0))</f>
        <v/>
      </c>
      <c r="K117" t="str">
        <f>IF($J117=0,"",INDEX(ChqKey,101))</f>
        <v/>
      </c>
      <c r="L117" t="str">
        <f t="shared" si="1"/>
        <v/>
      </c>
    </row>
    <row r="118" spans="1:12" x14ac:dyDescent="0.2">
      <c r="A118" s="9" t="str">
        <f>IF(IFERROR(MATCH(102,ChqRankU,0),0)=0,"",102)</f>
        <v/>
      </c>
      <c r="B118" s="15" t="str">
        <f>IF(IFERROR(MATCH(102,ChqRankU,0),0)=0,"",INDEX(ChqNorm,IFERROR(MATCH(102,ChqRankU,0),0)))</f>
        <v/>
      </c>
      <c r="C118" s="15" t="str">
        <f>IF(IFERROR(MATCH(102,ChqRankU,0),0)=0,"",INDEX(ChqNo,IFERROR(MATCH(102,ChqRankU,0),0)))</f>
        <v/>
      </c>
      <c r="D118" s="16" t="str">
        <f>IF(IFERROR(MATCH(102,ChqRankU,0),0)=0,"",IF(INDEX(ChqAmt,IFERROR(MATCH(102,ChqRankU,0),0))=0,"",INDEX(ChqAmt,IFERROR(MATCH(102,ChqRankU,0),0))))</f>
        <v/>
      </c>
      <c r="E118" s="10" t="str">
        <f>IF(IFERROR(MATCH(102,ChqRankU,0),0)=0,"",INDEX(ChqStatus,IFERROR(MATCH(102,ChqRankU,0),0)))</f>
        <v/>
      </c>
      <c r="F118" s="15" t="str">
        <f>IF(IFERROR(MATCH(102,ChqRankU,0),0)=0,"",IF(INDEX(ChqStatus,IFERROR(MATCH(102,ChqRankU,0),0))="پاس نشده","—",IF(INDEX(ChqClr,IFERROR(MATCH(102,ChqRankU,0),0))="","—",INDEX(ChqClr,IFERROR(MATCH(102,ChqRankU,0),0)))))</f>
        <v/>
      </c>
      <c r="I118" t="str">
        <f>IF(102&gt;NChq,"",INDEX(ChqNorm,102))</f>
        <v/>
      </c>
      <c r="J118" t="str">
        <f>IF($I118="","",IF(AND($I118&gt;=$H$3,$I118&lt;=$H$4,INDEX(ChqStatus,102)="پاس نشده"),1,0))</f>
        <v/>
      </c>
      <c r="K118" t="str">
        <f>IF($J118=0,"",INDEX(ChqKey,102))</f>
        <v/>
      </c>
      <c r="L118" t="str">
        <f t="shared" si="1"/>
        <v/>
      </c>
    </row>
    <row r="119" spans="1:12" x14ac:dyDescent="0.2">
      <c r="A119" s="3" t="str">
        <f>IF(IFERROR(MATCH(103,ChqRankU,0),0)=0,"",103)</f>
        <v/>
      </c>
      <c r="B119" s="13" t="str">
        <f>IF(IFERROR(MATCH(103,ChqRankU,0),0)=0,"",INDEX(ChqNorm,IFERROR(MATCH(103,ChqRankU,0),0)))</f>
        <v/>
      </c>
      <c r="C119" s="13" t="str">
        <f>IF(IFERROR(MATCH(103,ChqRankU,0),0)=0,"",INDEX(ChqNo,IFERROR(MATCH(103,ChqRankU,0),0)))</f>
        <v/>
      </c>
      <c r="D119" s="14" t="str">
        <f>IF(IFERROR(MATCH(103,ChqRankU,0),0)=0,"",IF(INDEX(ChqAmt,IFERROR(MATCH(103,ChqRankU,0),0))=0,"",INDEX(ChqAmt,IFERROR(MATCH(103,ChqRankU,0),0))))</f>
        <v/>
      </c>
      <c r="E119" s="7" t="str">
        <f>IF(IFERROR(MATCH(103,ChqRankU,0),0)=0,"",INDEX(ChqStatus,IFERROR(MATCH(103,ChqRankU,0),0)))</f>
        <v/>
      </c>
      <c r="F119" s="13" t="str">
        <f>IF(IFERROR(MATCH(103,ChqRankU,0),0)=0,"",IF(INDEX(ChqStatus,IFERROR(MATCH(103,ChqRankU,0),0))="پاس نشده","—",IF(INDEX(ChqClr,IFERROR(MATCH(103,ChqRankU,0),0))="","—",INDEX(ChqClr,IFERROR(MATCH(103,ChqRankU,0),0)))))</f>
        <v/>
      </c>
      <c r="I119" t="str">
        <f>IF(103&gt;NChq,"",INDEX(ChqNorm,103))</f>
        <v/>
      </c>
      <c r="J119" t="str">
        <f>IF($I119="","",IF(AND($I119&gt;=$H$3,$I119&lt;=$H$4,INDEX(ChqStatus,103)="پاس نشده"),1,0))</f>
        <v/>
      </c>
      <c r="K119" t="str">
        <f>IF($J119=0,"",INDEX(ChqKey,103))</f>
        <v/>
      </c>
      <c r="L119" t="str">
        <f t="shared" si="1"/>
        <v/>
      </c>
    </row>
    <row r="120" spans="1:12" x14ac:dyDescent="0.2">
      <c r="A120" s="9" t="str">
        <f>IF(IFERROR(MATCH(104,ChqRankU,0),0)=0,"",104)</f>
        <v/>
      </c>
      <c r="B120" s="15" t="str">
        <f>IF(IFERROR(MATCH(104,ChqRankU,0),0)=0,"",INDEX(ChqNorm,IFERROR(MATCH(104,ChqRankU,0),0)))</f>
        <v/>
      </c>
      <c r="C120" s="15" t="str">
        <f>IF(IFERROR(MATCH(104,ChqRankU,0),0)=0,"",INDEX(ChqNo,IFERROR(MATCH(104,ChqRankU,0),0)))</f>
        <v/>
      </c>
      <c r="D120" s="16" t="str">
        <f>IF(IFERROR(MATCH(104,ChqRankU,0),0)=0,"",IF(INDEX(ChqAmt,IFERROR(MATCH(104,ChqRankU,0),0))=0,"",INDEX(ChqAmt,IFERROR(MATCH(104,ChqRankU,0),0))))</f>
        <v/>
      </c>
      <c r="E120" s="10" t="str">
        <f>IF(IFERROR(MATCH(104,ChqRankU,0),0)=0,"",INDEX(ChqStatus,IFERROR(MATCH(104,ChqRankU,0),0)))</f>
        <v/>
      </c>
      <c r="F120" s="15" t="str">
        <f>IF(IFERROR(MATCH(104,ChqRankU,0),0)=0,"",IF(INDEX(ChqStatus,IFERROR(MATCH(104,ChqRankU,0),0))="پاس نشده","—",IF(INDEX(ChqClr,IFERROR(MATCH(104,ChqRankU,0),0))="","—",INDEX(ChqClr,IFERROR(MATCH(104,ChqRankU,0),0)))))</f>
        <v/>
      </c>
      <c r="I120" t="str">
        <f>IF(104&gt;NChq,"",INDEX(ChqNorm,104))</f>
        <v/>
      </c>
      <c r="J120" t="str">
        <f>IF($I120="","",IF(AND($I120&gt;=$H$3,$I120&lt;=$H$4,INDEX(ChqStatus,104)="پاس نشده"),1,0))</f>
        <v/>
      </c>
      <c r="K120" t="str">
        <f>IF($J120=0,"",INDEX(ChqKey,104))</f>
        <v/>
      </c>
      <c r="L120" t="str">
        <f t="shared" si="1"/>
        <v/>
      </c>
    </row>
    <row r="121" spans="1:12" x14ac:dyDescent="0.2">
      <c r="A121" s="3" t="str">
        <f>IF(IFERROR(MATCH(105,ChqRankU,0),0)=0,"",105)</f>
        <v/>
      </c>
      <c r="B121" s="13" t="str">
        <f>IF(IFERROR(MATCH(105,ChqRankU,0),0)=0,"",INDEX(ChqNorm,IFERROR(MATCH(105,ChqRankU,0),0)))</f>
        <v/>
      </c>
      <c r="C121" s="13" t="str">
        <f>IF(IFERROR(MATCH(105,ChqRankU,0),0)=0,"",INDEX(ChqNo,IFERROR(MATCH(105,ChqRankU,0),0)))</f>
        <v/>
      </c>
      <c r="D121" s="14" t="str">
        <f>IF(IFERROR(MATCH(105,ChqRankU,0),0)=0,"",IF(INDEX(ChqAmt,IFERROR(MATCH(105,ChqRankU,0),0))=0,"",INDEX(ChqAmt,IFERROR(MATCH(105,ChqRankU,0),0))))</f>
        <v/>
      </c>
      <c r="E121" s="7" t="str">
        <f>IF(IFERROR(MATCH(105,ChqRankU,0),0)=0,"",INDEX(ChqStatus,IFERROR(MATCH(105,ChqRankU,0),0)))</f>
        <v/>
      </c>
      <c r="F121" s="13" t="str">
        <f>IF(IFERROR(MATCH(105,ChqRankU,0),0)=0,"",IF(INDEX(ChqStatus,IFERROR(MATCH(105,ChqRankU,0),0))="پاس نشده","—",IF(INDEX(ChqClr,IFERROR(MATCH(105,ChqRankU,0),0))="","—",INDEX(ChqClr,IFERROR(MATCH(105,ChqRankU,0),0)))))</f>
        <v/>
      </c>
      <c r="I121" t="str">
        <f>IF(105&gt;NChq,"",INDEX(ChqNorm,105))</f>
        <v/>
      </c>
      <c r="J121" t="str">
        <f>IF($I121="","",IF(AND($I121&gt;=$H$3,$I121&lt;=$H$4,INDEX(ChqStatus,105)="پاس نشده"),1,0))</f>
        <v/>
      </c>
      <c r="K121" t="str">
        <f>IF($J121=0,"",INDEX(ChqKey,105))</f>
        <v/>
      </c>
      <c r="L121" t="str">
        <f t="shared" si="1"/>
        <v/>
      </c>
    </row>
    <row r="122" spans="1:12" x14ac:dyDescent="0.2">
      <c r="A122" s="9" t="str">
        <f>IF(IFERROR(MATCH(106,ChqRankU,0),0)=0,"",106)</f>
        <v/>
      </c>
      <c r="B122" s="15" t="str">
        <f>IF(IFERROR(MATCH(106,ChqRankU,0),0)=0,"",INDEX(ChqNorm,IFERROR(MATCH(106,ChqRankU,0),0)))</f>
        <v/>
      </c>
      <c r="C122" s="15" t="str">
        <f>IF(IFERROR(MATCH(106,ChqRankU,0),0)=0,"",INDEX(ChqNo,IFERROR(MATCH(106,ChqRankU,0),0)))</f>
        <v/>
      </c>
      <c r="D122" s="16" t="str">
        <f>IF(IFERROR(MATCH(106,ChqRankU,0),0)=0,"",IF(INDEX(ChqAmt,IFERROR(MATCH(106,ChqRankU,0),0))=0,"",INDEX(ChqAmt,IFERROR(MATCH(106,ChqRankU,0),0))))</f>
        <v/>
      </c>
      <c r="E122" s="10" t="str">
        <f>IF(IFERROR(MATCH(106,ChqRankU,0),0)=0,"",INDEX(ChqStatus,IFERROR(MATCH(106,ChqRankU,0),0)))</f>
        <v/>
      </c>
      <c r="F122" s="15" t="str">
        <f>IF(IFERROR(MATCH(106,ChqRankU,0),0)=0,"",IF(INDEX(ChqStatus,IFERROR(MATCH(106,ChqRankU,0),0))="پاس نشده","—",IF(INDEX(ChqClr,IFERROR(MATCH(106,ChqRankU,0),0))="","—",INDEX(ChqClr,IFERROR(MATCH(106,ChqRankU,0),0)))))</f>
        <v/>
      </c>
      <c r="I122" t="str">
        <f>IF(106&gt;NChq,"",INDEX(ChqNorm,106))</f>
        <v/>
      </c>
      <c r="J122" t="str">
        <f>IF($I122="","",IF(AND($I122&gt;=$H$3,$I122&lt;=$H$4,INDEX(ChqStatus,106)="پاس نشده"),1,0))</f>
        <v/>
      </c>
      <c r="K122" t="str">
        <f>IF($J122=0,"",INDEX(ChqKey,106))</f>
        <v/>
      </c>
      <c r="L122" t="str">
        <f t="shared" si="1"/>
        <v/>
      </c>
    </row>
    <row r="123" spans="1:12" x14ac:dyDescent="0.2">
      <c r="A123" s="3" t="str">
        <f>IF(IFERROR(MATCH(107,ChqRankU,0),0)=0,"",107)</f>
        <v/>
      </c>
      <c r="B123" s="13" t="str">
        <f>IF(IFERROR(MATCH(107,ChqRankU,0),0)=0,"",INDEX(ChqNorm,IFERROR(MATCH(107,ChqRankU,0),0)))</f>
        <v/>
      </c>
      <c r="C123" s="13" t="str">
        <f>IF(IFERROR(MATCH(107,ChqRankU,0),0)=0,"",INDEX(ChqNo,IFERROR(MATCH(107,ChqRankU,0),0)))</f>
        <v/>
      </c>
      <c r="D123" s="14" t="str">
        <f>IF(IFERROR(MATCH(107,ChqRankU,0),0)=0,"",IF(INDEX(ChqAmt,IFERROR(MATCH(107,ChqRankU,0),0))=0,"",INDEX(ChqAmt,IFERROR(MATCH(107,ChqRankU,0),0))))</f>
        <v/>
      </c>
      <c r="E123" s="7" t="str">
        <f>IF(IFERROR(MATCH(107,ChqRankU,0),0)=0,"",INDEX(ChqStatus,IFERROR(MATCH(107,ChqRankU,0),0)))</f>
        <v/>
      </c>
      <c r="F123" s="13" t="str">
        <f>IF(IFERROR(MATCH(107,ChqRankU,0),0)=0,"",IF(INDEX(ChqStatus,IFERROR(MATCH(107,ChqRankU,0),0))="پاس نشده","—",IF(INDEX(ChqClr,IFERROR(MATCH(107,ChqRankU,0),0))="","—",INDEX(ChqClr,IFERROR(MATCH(107,ChqRankU,0),0)))))</f>
        <v/>
      </c>
      <c r="I123" t="str">
        <f>IF(107&gt;NChq,"",INDEX(ChqNorm,107))</f>
        <v/>
      </c>
      <c r="J123" t="str">
        <f>IF($I123="","",IF(AND($I123&gt;=$H$3,$I123&lt;=$H$4,INDEX(ChqStatus,107)="پاس نشده"),1,0))</f>
        <v/>
      </c>
      <c r="K123" t="str">
        <f>IF($J123=0,"",INDEX(ChqKey,107))</f>
        <v/>
      </c>
      <c r="L123" t="str">
        <f t="shared" si="1"/>
        <v/>
      </c>
    </row>
    <row r="124" spans="1:12" x14ac:dyDescent="0.2">
      <c r="A124" s="9" t="str">
        <f>IF(IFERROR(MATCH(108,ChqRankU,0),0)=0,"",108)</f>
        <v/>
      </c>
      <c r="B124" s="15" t="str">
        <f>IF(IFERROR(MATCH(108,ChqRankU,0),0)=0,"",INDEX(ChqNorm,IFERROR(MATCH(108,ChqRankU,0),0)))</f>
        <v/>
      </c>
      <c r="C124" s="15" t="str">
        <f>IF(IFERROR(MATCH(108,ChqRankU,0),0)=0,"",INDEX(ChqNo,IFERROR(MATCH(108,ChqRankU,0),0)))</f>
        <v/>
      </c>
      <c r="D124" s="16" t="str">
        <f>IF(IFERROR(MATCH(108,ChqRankU,0),0)=0,"",IF(INDEX(ChqAmt,IFERROR(MATCH(108,ChqRankU,0),0))=0,"",INDEX(ChqAmt,IFERROR(MATCH(108,ChqRankU,0),0))))</f>
        <v/>
      </c>
      <c r="E124" s="10" t="str">
        <f>IF(IFERROR(MATCH(108,ChqRankU,0),0)=0,"",INDEX(ChqStatus,IFERROR(MATCH(108,ChqRankU,0),0)))</f>
        <v/>
      </c>
      <c r="F124" s="15" t="str">
        <f>IF(IFERROR(MATCH(108,ChqRankU,0),0)=0,"",IF(INDEX(ChqStatus,IFERROR(MATCH(108,ChqRankU,0),0))="پاس نشده","—",IF(INDEX(ChqClr,IFERROR(MATCH(108,ChqRankU,0),0))="","—",INDEX(ChqClr,IFERROR(MATCH(108,ChqRankU,0),0)))))</f>
        <v/>
      </c>
      <c r="I124" t="str">
        <f>IF(108&gt;NChq,"",INDEX(ChqNorm,108))</f>
        <v/>
      </c>
      <c r="J124" t="str">
        <f>IF($I124="","",IF(AND($I124&gt;=$H$3,$I124&lt;=$H$4,INDEX(ChqStatus,108)="پاس نشده"),1,0))</f>
        <v/>
      </c>
      <c r="K124" t="str">
        <f>IF($J124=0,"",INDEX(ChqKey,108))</f>
        <v/>
      </c>
      <c r="L124" t="str">
        <f t="shared" si="1"/>
        <v/>
      </c>
    </row>
    <row r="125" spans="1:12" x14ac:dyDescent="0.2">
      <c r="A125" s="3" t="str">
        <f>IF(IFERROR(MATCH(109,ChqRankU,0),0)=0,"",109)</f>
        <v/>
      </c>
      <c r="B125" s="13" t="str">
        <f>IF(IFERROR(MATCH(109,ChqRankU,0),0)=0,"",INDEX(ChqNorm,IFERROR(MATCH(109,ChqRankU,0),0)))</f>
        <v/>
      </c>
      <c r="C125" s="13" t="str">
        <f>IF(IFERROR(MATCH(109,ChqRankU,0),0)=0,"",INDEX(ChqNo,IFERROR(MATCH(109,ChqRankU,0),0)))</f>
        <v/>
      </c>
      <c r="D125" s="14" t="str">
        <f>IF(IFERROR(MATCH(109,ChqRankU,0),0)=0,"",IF(INDEX(ChqAmt,IFERROR(MATCH(109,ChqRankU,0),0))=0,"",INDEX(ChqAmt,IFERROR(MATCH(109,ChqRankU,0),0))))</f>
        <v/>
      </c>
      <c r="E125" s="7" t="str">
        <f>IF(IFERROR(MATCH(109,ChqRankU,0),0)=0,"",INDEX(ChqStatus,IFERROR(MATCH(109,ChqRankU,0),0)))</f>
        <v/>
      </c>
      <c r="F125" s="13" t="str">
        <f>IF(IFERROR(MATCH(109,ChqRankU,0),0)=0,"",IF(INDEX(ChqStatus,IFERROR(MATCH(109,ChqRankU,0),0))="پاس نشده","—",IF(INDEX(ChqClr,IFERROR(MATCH(109,ChqRankU,0),0))="","—",INDEX(ChqClr,IFERROR(MATCH(109,ChqRankU,0),0)))))</f>
        <v/>
      </c>
      <c r="I125" t="str">
        <f>IF(109&gt;NChq,"",INDEX(ChqNorm,109))</f>
        <v/>
      </c>
      <c r="J125" t="str">
        <f>IF($I125="","",IF(AND($I125&gt;=$H$3,$I125&lt;=$H$4,INDEX(ChqStatus,109)="پاس نشده"),1,0))</f>
        <v/>
      </c>
      <c r="K125" t="str">
        <f>IF($J125=0,"",INDEX(ChqKey,109))</f>
        <v/>
      </c>
      <c r="L125" t="str">
        <f t="shared" si="1"/>
        <v/>
      </c>
    </row>
    <row r="126" spans="1:12" x14ac:dyDescent="0.2">
      <c r="A126" s="9" t="str">
        <f>IF(IFERROR(MATCH(110,ChqRankU,0),0)=0,"",110)</f>
        <v/>
      </c>
      <c r="B126" s="15" t="str">
        <f>IF(IFERROR(MATCH(110,ChqRankU,0),0)=0,"",INDEX(ChqNorm,IFERROR(MATCH(110,ChqRankU,0),0)))</f>
        <v/>
      </c>
      <c r="C126" s="15" t="str">
        <f>IF(IFERROR(MATCH(110,ChqRankU,0),0)=0,"",INDEX(ChqNo,IFERROR(MATCH(110,ChqRankU,0),0)))</f>
        <v/>
      </c>
      <c r="D126" s="16" t="str">
        <f>IF(IFERROR(MATCH(110,ChqRankU,0),0)=0,"",IF(INDEX(ChqAmt,IFERROR(MATCH(110,ChqRankU,0),0))=0,"",INDEX(ChqAmt,IFERROR(MATCH(110,ChqRankU,0),0))))</f>
        <v/>
      </c>
      <c r="E126" s="10" t="str">
        <f>IF(IFERROR(MATCH(110,ChqRankU,0),0)=0,"",INDEX(ChqStatus,IFERROR(MATCH(110,ChqRankU,0),0)))</f>
        <v/>
      </c>
      <c r="F126" s="15" t="str">
        <f>IF(IFERROR(MATCH(110,ChqRankU,0),0)=0,"",IF(INDEX(ChqStatus,IFERROR(MATCH(110,ChqRankU,0),0))="پاس نشده","—",IF(INDEX(ChqClr,IFERROR(MATCH(110,ChqRankU,0),0))="","—",INDEX(ChqClr,IFERROR(MATCH(110,ChqRankU,0),0)))))</f>
        <v/>
      </c>
      <c r="I126" t="str">
        <f>IF(110&gt;NChq,"",INDEX(ChqNorm,110))</f>
        <v/>
      </c>
      <c r="J126" t="str">
        <f>IF($I126="","",IF(AND($I126&gt;=$H$3,$I126&lt;=$H$4,INDEX(ChqStatus,110)="پاس نشده"),1,0))</f>
        <v/>
      </c>
      <c r="K126" t="str">
        <f>IF($J126=0,"",INDEX(ChqKey,110))</f>
        <v/>
      </c>
      <c r="L126" t="str">
        <f t="shared" si="1"/>
        <v/>
      </c>
    </row>
    <row r="127" spans="1:12" x14ac:dyDescent="0.2">
      <c r="A127" s="3" t="str">
        <f>IF(IFERROR(MATCH(111,ChqRankU,0),0)=0,"",111)</f>
        <v/>
      </c>
      <c r="B127" s="13" t="str">
        <f>IF(IFERROR(MATCH(111,ChqRankU,0),0)=0,"",INDEX(ChqNorm,IFERROR(MATCH(111,ChqRankU,0),0)))</f>
        <v/>
      </c>
      <c r="C127" s="13" t="str">
        <f>IF(IFERROR(MATCH(111,ChqRankU,0),0)=0,"",INDEX(ChqNo,IFERROR(MATCH(111,ChqRankU,0),0)))</f>
        <v/>
      </c>
      <c r="D127" s="14" t="str">
        <f>IF(IFERROR(MATCH(111,ChqRankU,0),0)=0,"",IF(INDEX(ChqAmt,IFERROR(MATCH(111,ChqRankU,0),0))=0,"",INDEX(ChqAmt,IFERROR(MATCH(111,ChqRankU,0),0))))</f>
        <v/>
      </c>
      <c r="E127" s="7" t="str">
        <f>IF(IFERROR(MATCH(111,ChqRankU,0),0)=0,"",INDEX(ChqStatus,IFERROR(MATCH(111,ChqRankU,0),0)))</f>
        <v/>
      </c>
      <c r="F127" s="13" t="str">
        <f>IF(IFERROR(MATCH(111,ChqRankU,0),0)=0,"",IF(INDEX(ChqStatus,IFERROR(MATCH(111,ChqRankU,0),0))="پاس نشده","—",IF(INDEX(ChqClr,IFERROR(MATCH(111,ChqRankU,0),0))="","—",INDEX(ChqClr,IFERROR(MATCH(111,ChqRankU,0),0)))))</f>
        <v/>
      </c>
      <c r="I127" t="str">
        <f>IF(111&gt;NChq,"",INDEX(ChqNorm,111))</f>
        <v/>
      </c>
      <c r="J127" t="str">
        <f>IF($I127="","",IF(AND($I127&gt;=$H$3,$I127&lt;=$H$4,INDEX(ChqStatus,111)="پاس نشده"),1,0))</f>
        <v/>
      </c>
      <c r="K127" t="str">
        <f>IF($J127=0,"",INDEX(ChqKey,111))</f>
        <v/>
      </c>
      <c r="L127" t="str">
        <f t="shared" si="1"/>
        <v/>
      </c>
    </row>
    <row r="128" spans="1:12" x14ac:dyDescent="0.2">
      <c r="A128" s="9" t="str">
        <f>IF(IFERROR(MATCH(112,ChqRankU,0),0)=0,"",112)</f>
        <v/>
      </c>
      <c r="B128" s="15" t="str">
        <f>IF(IFERROR(MATCH(112,ChqRankU,0),0)=0,"",INDEX(ChqNorm,IFERROR(MATCH(112,ChqRankU,0),0)))</f>
        <v/>
      </c>
      <c r="C128" s="15" t="str">
        <f>IF(IFERROR(MATCH(112,ChqRankU,0),0)=0,"",INDEX(ChqNo,IFERROR(MATCH(112,ChqRankU,0),0)))</f>
        <v/>
      </c>
      <c r="D128" s="16" t="str">
        <f>IF(IFERROR(MATCH(112,ChqRankU,0),0)=0,"",IF(INDEX(ChqAmt,IFERROR(MATCH(112,ChqRankU,0),0))=0,"",INDEX(ChqAmt,IFERROR(MATCH(112,ChqRankU,0),0))))</f>
        <v/>
      </c>
      <c r="E128" s="10" t="str">
        <f>IF(IFERROR(MATCH(112,ChqRankU,0),0)=0,"",INDEX(ChqStatus,IFERROR(MATCH(112,ChqRankU,0),0)))</f>
        <v/>
      </c>
      <c r="F128" s="15" t="str">
        <f>IF(IFERROR(MATCH(112,ChqRankU,0),0)=0,"",IF(INDEX(ChqStatus,IFERROR(MATCH(112,ChqRankU,0),0))="پاس نشده","—",IF(INDEX(ChqClr,IFERROR(MATCH(112,ChqRankU,0),0))="","—",INDEX(ChqClr,IFERROR(MATCH(112,ChqRankU,0),0)))))</f>
        <v/>
      </c>
      <c r="I128" t="str">
        <f>IF(112&gt;NChq,"",INDEX(ChqNorm,112))</f>
        <v/>
      </c>
      <c r="J128" t="str">
        <f>IF($I128="","",IF(AND($I128&gt;=$H$3,$I128&lt;=$H$4,INDEX(ChqStatus,112)="پاس نشده"),1,0))</f>
        <v/>
      </c>
      <c r="K128" t="str">
        <f>IF($J128=0,"",INDEX(ChqKey,112))</f>
        <v/>
      </c>
      <c r="L128" t="str">
        <f t="shared" si="1"/>
        <v/>
      </c>
    </row>
    <row r="129" spans="1:12" x14ac:dyDescent="0.2">
      <c r="A129" s="3" t="str">
        <f>IF(IFERROR(MATCH(113,ChqRankU,0),0)=0,"",113)</f>
        <v/>
      </c>
      <c r="B129" s="13" t="str">
        <f>IF(IFERROR(MATCH(113,ChqRankU,0),0)=0,"",INDEX(ChqNorm,IFERROR(MATCH(113,ChqRankU,0),0)))</f>
        <v/>
      </c>
      <c r="C129" s="13" t="str">
        <f>IF(IFERROR(MATCH(113,ChqRankU,0),0)=0,"",INDEX(ChqNo,IFERROR(MATCH(113,ChqRankU,0),0)))</f>
        <v/>
      </c>
      <c r="D129" s="14" t="str">
        <f>IF(IFERROR(MATCH(113,ChqRankU,0),0)=0,"",IF(INDEX(ChqAmt,IFERROR(MATCH(113,ChqRankU,0),0))=0,"",INDEX(ChqAmt,IFERROR(MATCH(113,ChqRankU,0),0))))</f>
        <v/>
      </c>
      <c r="E129" s="7" t="str">
        <f>IF(IFERROR(MATCH(113,ChqRankU,0),0)=0,"",INDEX(ChqStatus,IFERROR(MATCH(113,ChqRankU,0),0)))</f>
        <v/>
      </c>
      <c r="F129" s="13" t="str">
        <f>IF(IFERROR(MATCH(113,ChqRankU,0),0)=0,"",IF(INDEX(ChqStatus,IFERROR(MATCH(113,ChqRankU,0),0))="پاس نشده","—",IF(INDEX(ChqClr,IFERROR(MATCH(113,ChqRankU,0),0))="","—",INDEX(ChqClr,IFERROR(MATCH(113,ChqRankU,0),0)))))</f>
        <v/>
      </c>
      <c r="I129" t="str">
        <f>IF(113&gt;NChq,"",INDEX(ChqNorm,113))</f>
        <v/>
      </c>
      <c r="J129" t="str">
        <f>IF($I129="","",IF(AND($I129&gt;=$H$3,$I129&lt;=$H$4,INDEX(ChqStatus,113)="پاس نشده"),1,0))</f>
        <v/>
      </c>
      <c r="K129" t="str">
        <f>IF($J129=0,"",INDEX(ChqKey,113))</f>
        <v/>
      </c>
      <c r="L129" t="str">
        <f t="shared" si="1"/>
        <v/>
      </c>
    </row>
    <row r="130" spans="1:12" x14ac:dyDescent="0.2">
      <c r="A130" s="9" t="str">
        <f>IF(IFERROR(MATCH(114,ChqRankU,0),0)=0,"",114)</f>
        <v/>
      </c>
      <c r="B130" s="15" t="str">
        <f>IF(IFERROR(MATCH(114,ChqRankU,0),0)=0,"",INDEX(ChqNorm,IFERROR(MATCH(114,ChqRankU,0),0)))</f>
        <v/>
      </c>
      <c r="C130" s="15" t="str">
        <f>IF(IFERROR(MATCH(114,ChqRankU,0),0)=0,"",INDEX(ChqNo,IFERROR(MATCH(114,ChqRankU,0),0)))</f>
        <v/>
      </c>
      <c r="D130" s="16" t="str">
        <f>IF(IFERROR(MATCH(114,ChqRankU,0),0)=0,"",IF(INDEX(ChqAmt,IFERROR(MATCH(114,ChqRankU,0),0))=0,"",INDEX(ChqAmt,IFERROR(MATCH(114,ChqRankU,0),0))))</f>
        <v/>
      </c>
      <c r="E130" s="10" t="str">
        <f>IF(IFERROR(MATCH(114,ChqRankU,0),0)=0,"",INDEX(ChqStatus,IFERROR(MATCH(114,ChqRankU,0),0)))</f>
        <v/>
      </c>
      <c r="F130" s="15" t="str">
        <f>IF(IFERROR(MATCH(114,ChqRankU,0),0)=0,"",IF(INDEX(ChqStatus,IFERROR(MATCH(114,ChqRankU,0),0))="پاس نشده","—",IF(INDEX(ChqClr,IFERROR(MATCH(114,ChqRankU,0),0))="","—",INDEX(ChqClr,IFERROR(MATCH(114,ChqRankU,0),0)))))</f>
        <v/>
      </c>
      <c r="I130" t="str">
        <f>IF(114&gt;NChq,"",INDEX(ChqNorm,114))</f>
        <v/>
      </c>
      <c r="J130" t="str">
        <f>IF($I130="","",IF(AND($I130&gt;=$H$3,$I130&lt;=$H$4,INDEX(ChqStatus,114)="پاس نشده"),1,0))</f>
        <v/>
      </c>
      <c r="K130" t="str">
        <f>IF($J130=0,"",INDEX(ChqKey,114))</f>
        <v/>
      </c>
      <c r="L130" t="str">
        <f t="shared" si="1"/>
        <v/>
      </c>
    </row>
    <row r="131" spans="1:12" x14ac:dyDescent="0.2">
      <c r="A131" s="3" t="str">
        <f>IF(IFERROR(MATCH(115,ChqRankU,0),0)=0,"",115)</f>
        <v/>
      </c>
      <c r="B131" s="13" t="str">
        <f>IF(IFERROR(MATCH(115,ChqRankU,0),0)=0,"",INDEX(ChqNorm,IFERROR(MATCH(115,ChqRankU,0),0)))</f>
        <v/>
      </c>
      <c r="C131" s="13" t="str">
        <f>IF(IFERROR(MATCH(115,ChqRankU,0),0)=0,"",INDEX(ChqNo,IFERROR(MATCH(115,ChqRankU,0),0)))</f>
        <v/>
      </c>
      <c r="D131" s="14" t="str">
        <f>IF(IFERROR(MATCH(115,ChqRankU,0),0)=0,"",IF(INDEX(ChqAmt,IFERROR(MATCH(115,ChqRankU,0),0))=0,"",INDEX(ChqAmt,IFERROR(MATCH(115,ChqRankU,0),0))))</f>
        <v/>
      </c>
      <c r="E131" s="7" t="str">
        <f>IF(IFERROR(MATCH(115,ChqRankU,0),0)=0,"",INDEX(ChqStatus,IFERROR(MATCH(115,ChqRankU,0),0)))</f>
        <v/>
      </c>
      <c r="F131" s="13" t="str">
        <f>IF(IFERROR(MATCH(115,ChqRankU,0),0)=0,"",IF(INDEX(ChqStatus,IFERROR(MATCH(115,ChqRankU,0),0))="پاس نشده","—",IF(INDEX(ChqClr,IFERROR(MATCH(115,ChqRankU,0),0))="","—",INDEX(ChqClr,IFERROR(MATCH(115,ChqRankU,0),0)))))</f>
        <v/>
      </c>
      <c r="I131" t="str">
        <f>IF(115&gt;NChq,"",INDEX(ChqNorm,115))</f>
        <v/>
      </c>
      <c r="J131" t="str">
        <f>IF($I131="","",IF(AND($I131&gt;=$H$3,$I131&lt;=$H$4,INDEX(ChqStatus,115)="پاس نشده"),1,0))</f>
        <v/>
      </c>
      <c r="K131" t="str">
        <f>IF($J131=0,"",INDEX(ChqKey,115))</f>
        <v/>
      </c>
      <c r="L131" t="str">
        <f t="shared" si="1"/>
        <v/>
      </c>
    </row>
    <row r="132" spans="1:12" x14ac:dyDescent="0.2">
      <c r="A132" s="9" t="str">
        <f>IF(IFERROR(MATCH(116,ChqRankU,0),0)=0,"",116)</f>
        <v/>
      </c>
      <c r="B132" s="15" t="str">
        <f>IF(IFERROR(MATCH(116,ChqRankU,0),0)=0,"",INDEX(ChqNorm,IFERROR(MATCH(116,ChqRankU,0),0)))</f>
        <v/>
      </c>
      <c r="C132" s="15" t="str">
        <f>IF(IFERROR(MATCH(116,ChqRankU,0),0)=0,"",INDEX(ChqNo,IFERROR(MATCH(116,ChqRankU,0),0)))</f>
        <v/>
      </c>
      <c r="D132" s="16" t="str">
        <f>IF(IFERROR(MATCH(116,ChqRankU,0),0)=0,"",IF(INDEX(ChqAmt,IFERROR(MATCH(116,ChqRankU,0),0))=0,"",INDEX(ChqAmt,IFERROR(MATCH(116,ChqRankU,0),0))))</f>
        <v/>
      </c>
      <c r="E132" s="10" t="str">
        <f>IF(IFERROR(MATCH(116,ChqRankU,0),0)=0,"",INDEX(ChqStatus,IFERROR(MATCH(116,ChqRankU,0),0)))</f>
        <v/>
      </c>
      <c r="F132" s="15" t="str">
        <f>IF(IFERROR(MATCH(116,ChqRankU,0),0)=0,"",IF(INDEX(ChqStatus,IFERROR(MATCH(116,ChqRankU,0),0))="پاس نشده","—",IF(INDEX(ChqClr,IFERROR(MATCH(116,ChqRankU,0),0))="","—",INDEX(ChqClr,IFERROR(MATCH(116,ChqRankU,0),0)))))</f>
        <v/>
      </c>
      <c r="I132" t="str">
        <f>IF(116&gt;NChq,"",INDEX(ChqNorm,116))</f>
        <v/>
      </c>
      <c r="J132" t="str">
        <f>IF($I132="","",IF(AND($I132&gt;=$H$3,$I132&lt;=$H$4,INDEX(ChqStatus,116)="پاس نشده"),1,0))</f>
        <v/>
      </c>
      <c r="K132" t="str">
        <f>IF($J132=0,"",INDEX(ChqKey,116))</f>
        <v/>
      </c>
      <c r="L132" t="str">
        <f t="shared" si="1"/>
        <v/>
      </c>
    </row>
    <row r="133" spans="1:12" x14ac:dyDescent="0.2">
      <c r="A133" s="3" t="str">
        <f>IF(IFERROR(MATCH(117,ChqRankU,0),0)=0,"",117)</f>
        <v/>
      </c>
      <c r="B133" s="13" t="str">
        <f>IF(IFERROR(MATCH(117,ChqRankU,0),0)=0,"",INDEX(ChqNorm,IFERROR(MATCH(117,ChqRankU,0),0)))</f>
        <v/>
      </c>
      <c r="C133" s="13" t="str">
        <f>IF(IFERROR(MATCH(117,ChqRankU,0),0)=0,"",INDEX(ChqNo,IFERROR(MATCH(117,ChqRankU,0),0)))</f>
        <v/>
      </c>
      <c r="D133" s="14" t="str">
        <f>IF(IFERROR(MATCH(117,ChqRankU,0),0)=0,"",IF(INDEX(ChqAmt,IFERROR(MATCH(117,ChqRankU,0),0))=0,"",INDEX(ChqAmt,IFERROR(MATCH(117,ChqRankU,0),0))))</f>
        <v/>
      </c>
      <c r="E133" s="7" t="str">
        <f>IF(IFERROR(MATCH(117,ChqRankU,0),0)=0,"",INDEX(ChqStatus,IFERROR(MATCH(117,ChqRankU,0),0)))</f>
        <v/>
      </c>
      <c r="F133" s="13" t="str">
        <f>IF(IFERROR(MATCH(117,ChqRankU,0),0)=0,"",IF(INDEX(ChqStatus,IFERROR(MATCH(117,ChqRankU,0),0))="پاس نشده","—",IF(INDEX(ChqClr,IFERROR(MATCH(117,ChqRankU,0),0))="","—",INDEX(ChqClr,IFERROR(MATCH(117,ChqRankU,0),0)))))</f>
        <v/>
      </c>
      <c r="I133" t="str">
        <f>IF(117&gt;NChq,"",INDEX(ChqNorm,117))</f>
        <v/>
      </c>
      <c r="J133" t="str">
        <f>IF($I133="","",IF(AND($I133&gt;=$H$3,$I133&lt;=$H$4,INDEX(ChqStatus,117)="پاس نشده"),1,0))</f>
        <v/>
      </c>
      <c r="K133" t="str">
        <f>IF($J133=0,"",INDEX(ChqKey,117))</f>
        <v/>
      </c>
      <c r="L133" t="str">
        <f t="shared" si="1"/>
        <v/>
      </c>
    </row>
    <row r="134" spans="1:12" x14ac:dyDescent="0.2">
      <c r="A134" s="9" t="str">
        <f>IF(IFERROR(MATCH(118,ChqRankU,0),0)=0,"",118)</f>
        <v/>
      </c>
      <c r="B134" s="15" t="str">
        <f>IF(IFERROR(MATCH(118,ChqRankU,0),0)=0,"",INDEX(ChqNorm,IFERROR(MATCH(118,ChqRankU,0),0)))</f>
        <v/>
      </c>
      <c r="C134" s="15" t="str">
        <f>IF(IFERROR(MATCH(118,ChqRankU,0),0)=0,"",INDEX(ChqNo,IFERROR(MATCH(118,ChqRankU,0),0)))</f>
        <v/>
      </c>
      <c r="D134" s="16" t="str">
        <f>IF(IFERROR(MATCH(118,ChqRankU,0),0)=0,"",IF(INDEX(ChqAmt,IFERROR(MATCH(118,ChqRankU,0),0))=0,"",INDEX(ChqAmt,IFERROR(MATCH(118,ChqRankU,0),0))))</f>
        <v/>
      </c>
      <c r="E134" s="10" t="str">
        <f>IF(IFERROR(MATCH(118,ChqRankU,0),0)=0,"",INDEX(ChqStatus,IFERROR(MATCH(118,ChqRankU,0),0)))</f>
        <v/>
      </c>
      <c r="F134" s="15" t="str">
        <f>IF(IFERROR(MATCH(118,ChqRankU,0),0)=0,"",IF(INDEX(ChqStatus,IFERROR(MATCH(118,ChqRankU,0),0))="پاس نشده","—",IF(INDEX(ChqClr,IFERROR(MATCH(118,ChqRankU,0),0))="","—",INDEX(ChqClr,IFERROR(MATCH(118,ChqRankU,0),0)))))</f>
        <v/>
      </c>
      <c r="I134" t="str">
        <f>IF(118&gt;NChq,"",INDEX(ChqNorm,118))</f>
        <v/>
      </c>
      <c r="J134" t="str">
        <f>IF($I134="","",IF(AND($I134&gt;=$H$3,$I134&lt;=$H$4,INDEX(ChqStatus,118)="پاس نشده"),1,0))</f>
        <v/>
      </c>
      <c r="K134" t="str">
        <f>IF($J134=0,"",INDEX(ChqKey,118))</f>
        <v/>
      </c>
      <c r="L134" t="str">
        <f t="shared" si="1"/>
        <v/>
      </c>
    </row>
    <row r="135" spans="1:12" x14ac:dyDescent="0.2">
      <c r="A135" s="3" t="str">
        <f>IF(IFERROR(MATCH(119,ChqRankU,0),0)=0,"",119)</f>
        <v/>
      </c>
      <c r="B135" s="13" t="str">
        <f>IF(IFERROR(MATCH(119,ChqRankU,0),0)=0,"",INDEX(ChqNorm,IFERROR(MATCH(119,ChqRankU,0),0)))</f>
        <v/>
      </c>
      <c r="C135" s="13" t="str">
        <f>IF(IFERROR(MATCH(119,ChqRankU,0),0)=0,"",INDEX(ChqNo,IFERROR(MATCH(119,ChqRankU,0),0)))</f>
        <v/>
      </c>
      <c r="D135" s="14" t="str">
        <f>IF(IFERROR(MATCH(119,ChqRankU,0),0)=0,"",IF(INDEX(ChqAmt,IFERROR(MATCH(119,ChqRankU,0),0))=0,"",INDEX(ChqAmt,IFERROR(MATCH(119,ChqRankU,0),0))))</f>
        <v/>
      </c>
      <c r="E135" s="7" t="str">
        <f>IF(IFERROR(MATCH(119,ChqRankU,0),0)=0,"",INDEX(ChqStatus,IFERROR(MATCH(119,ChqRankU,0),0)))</f>
        <v/>
      </c>
      <c r="F135" s="13" t="str">
        <f>IF(IFERROR(MATCH(119,ChqRankU,0),0)=0,"",IF(INDEX(ChqStatus,IFERROR(MATCH(119,ChqRankU,0),0))="پاس نشده","—",IF(INDEX(ChqClr,IFERROR(MATCH(119,ChqRankU,0),0))="","—",INDEX(ChqClr,IFERROR(MATCH(119,ChqRankU,0),0)))))</f>
        <v/>
      </c>
      <c r="I135" t="str">
        <f>IF(119&gt;NChq,"",INDEX(ChqNorm,119))</f>
        <v/>
      </c>
      <c r="J135" t="str">
        <f>IF($I135="","",IF(AND($I135&gt;=$H$3,$I135&lt;=$H$4,INDEX(ChqStatus,119)="پاس نشده"),1,0))</f>
        <v/>
      </c>
      <c r="K135" t="str">
        <f>IF($J135=0,"",INDEX(ChqKey,119))</f>
        <v/>
      </c>
      <c r="L135" t="str">
        <f t="shared" si="1"/>
        <v/>
      </c>
    </row>
    <row r="136" spans="1:12" x14ac:dyDescent="0.2">
      <c r="A136" s="9" t="str">
        <f>IF(IFERROR(MATCH(120,ChqRankU,0),0)=0,"",120)</f>
        <v/>
      </c>
      <c r="B136" s="15" t="str">
        <f>IF(IFERROR(MATCH(120,ChqRankU,0),0)=0,"",INDEX(ChqNorm,IFERROR(MATCH(120,ChqRankU,0),0)))</f>
        <v/>
      </c>
      <c r="C136" s="15" t="str">
        <f>IF(IFERROR(MATCH(120,ChqRankU,0),0)=0,"",INDEX(ChqNo,IFERROR(MATCH(120,ChqRankU,0),0)))</f>
        <v/>
      </c>
      <c r="D136" s="16" t="str">
        <f>IF(IFERROR(MATCH(120,ChqRankU,0),0)=0,"",IF(INDEX(ChqAmt,IFERROR(MATCH(120,ChqRankU,0),0))=0,"",INDEX(ChqAmt,IFERROR(MATCH(120,ChqRankU,0),0))))</f>
        <v/>
      </c>
      <c r="E136" s="10" t="str">
        <f>IF(IFERROR(MATCH(120,ChqRankU,0),0)=0,"",INDEX(ChqStatus,IFERROR(MATCH(120,ChqRankU,0),0)))</f>
        <v/>
      </c>
      <c r="F136" s="15" t="str">
        <f>IF(IFERROR(MATCH(120,ChqRankU,0),0)=0,"",IF(INDEX(ChqStatus,IFERROR(MATCH(120,ChqRankU,0),0))="پاس نشده","—",IF(INDEX(ChqClr,IFERROR(MATCH(120,ChqRankU,0),0))="","—",INDEX(ChqClr,IFERROR(MATCH(120,ChqRankU,0),0)))))</f>
        <v/>
      </c>
      <c r="I136" t="str">
        <f>IF(120&gt;NChq,"",INDEX(ChqNorm,120))</f>
        <v/>
      </c>
      <c r="J136" t="str">
        <f>IF($I136="","",IF(AND($I136&gt;=$H$3,$I136&lt;=$H$4,INDEX(ChqStatus,120)="پاس نشده"),1,0))</f>
        <v/>
      </c>
      <c r="K136" t="str">
        <f>IF($J136=0,"",INDEX(ChqKey,120))</f>
        <v/>
      </c>
      <c r="L136" t="str">
        <f t="shared" si="1"/>
        <v/>
      </c>
    </row>
    <row r="137" spans="1:12" x14ac:dyDescent="0.2">
      <c r="A137" s="3" t="str">
        <f>IF(IFERROR(MATCH(121,ChqRankU,0),0)=0,"",121)</f>
        <v/>
      </c>
      <c r="B137" s="13" t="str">
        <f>IF(IFERROR(MATCH(121,ChqRankU,0),0)=0,"",INDEX(ChqNorm,IFERROR(MATCH(121,ChqRankU,0),0)))</f>
        <v/>
      </c>
      <c r="C137" s="13" t="str">
        <f>IF(IFERROR(MATCH(121,ChqRankU,0),0)=0,"",INDEX(ChqNo,IFERROR(MATCH(121,ChqRankU,0),0)))</f>
        <v/>
      </c>
      <c r="D137" s="14" t="str">
        <f>IF(IFERROR(MATCH(121,ChqRankU,0),0)=0,"",IF(INDEX(ChqAmt,IFERROR(MATCH(121,ChqRankU,0),0))=0,"",INDEX(ChqAmt,IFERROR(MATCH(121,ChqRankU,0),0))))</f>
        <v/>
      </c>
      <c r="E137" s="7" t="str">
        <f>IF(IFERROR(MATCH(121,ChqRankU,0),0)=0,"",INDEX(ChqStatus,IFERROR(MATCH(121,ChqRankU,0),0)))</f>
        <v/>
      </c>
      <c r="F137" s="13" t="str">
        <f>IF(IFERROR(MATCH(121,ChqRankU,0),0)=0,"",IF(INDEX(ChqStatus,IFERROR(MATCH(121,ChqRankU,0),0))="پاس نشده","—",IF(INDEX(ChqClr,IFERROR(MATCH(121,ChqRankU,0),0))="","—",INDEX(ChqClr,IFERROR(MATCH(121,ChqRankU,0),0)))))</f>
        <v/>
      </c>
      <c r="I137" t="str">
        <f>IF(121&gt;NChq,"",INDEX(ChqNorm,121))</f>
        <v/>
      </c>
      <c r="J137" t="str">
        <f>IF($I137="","",IF(AND($I137&gt;=$H$3,$I137&lt;=$H$4,INDEX(ChqStatus,121)="پاس نشده"),1,0))</f>
        <v/>
      </c>
      <c r="K137" t="str">
        <f>IF($J137=0,"",INDEX(ChqKey,121))</f>
        <v/>
      </c>
      <c r="L137" t="str">
        <f t="shared" si="1"/>
        <v/>
      </c>
    </row>
    <row r="138" spans="1:12" x14ac:dyDescent="0.2">
      <c r="A138" s="9" t="str">
        <f>IF(IFERROR(MATCH(122,ChqRankU,0),0)=0,"",122)</f>
        <v/>
      </c>
      <c r="B138" s="15" t="str">
        <f>IF(IFERROR(MATCH(122,ChqRankU,0),0)=0,"",INDEX(ChqNorm,IFERROR(MATCH(122,ChqRankU,0),0)))</f>
        <v/>
      </c>
      <c r="C138" s="15" t="str">
        <f>IF(IFERROR(MATCH(122,ChqRankU,0),0)=0,"",INDEX(ChqNo,IFERROR(MATCH(122,ChqRankU,0),0)))</f>
        <v/>
      </c>
      <c r="D138" s="16" t="str">
        <f>IF(IFERROR(MATCH(122,ChqRankU,0),0)=0,"",IF(INDEX(ChqAmt,IFERROR(MATCH(122,ChqRankU,0),0))=0,"",INDEX(ChqAmt,IFERROR(MATCH(122,ChqRankU,0),0))))</f>
        <v/>
      </c>
      <c r="E138" s="10" t="str">
        <f>IF(IFERROR(MATCH(122,ChqRankU,0),0)=0,"",INDEX(ChqStatus,IFERROR(MATCH(122,ChqRankU,0),0)))</f>
        <v/>
      </c>
      <c r="F138" s="15" t="str">
        <f>IF(IFERROR(MATCH(122,ChqRankU,0),0)=0,"",IF(INDEX(ChqStatus,IFERROR(MATCH(122,ChqRankU,0),0))="پاس نشده","—",IF(INDEX(ChqClr,IFERROR(MATCH(122,ChqRankU,0),0))="","—",INDEX(ChqClr,IFERROR(MATCH(122,ChqRankU,0),0)))))</f>
        <v/>
      </c>
      <c r="I138" t="str">
        <f>IF(122&gt;NChq,"",INDEX(ChqNorm,122))</f>
        <v/>
      </c>
      <c r="J138" t="str">
        <f>IF($I138="","",IF(AND($I138&gt;=$H$3,$I138&lt;=$H$4,INDEX(ChqStatus,122)="پاس نشده"),1,0))</f>
        <v/>
      </c>
      <c r="K138" t="str">
        <f>IF($J138=0,"",INDEX(ChqKey,122))</f>
        <v/>
      </c>
      <c r="L138" t="str">
        <f t="shared" si="1"/>
        <v/>
      </c>
    </row>
    <row r="139" spans="1:12" x14ac:dyDescent="0.2">
      <c r="A139" s="3" t="str">
        <f>IF(IFERROR(MATCH(123,ChqRankU,0),0)=0,"",123)</f>
        <v/>
      </c>
      <c r="B139" s="13" t="str">
        <f>IF(IFERROR(MATCH(123,ChqRankU,0),0)=0,"",INDEX(ChqNorm,IFERROR(MATCH(123,ChqRankU,0),0)))</f>
        <v/>
      </c>
      <c r="C139" s="13" t="str">
        <f>IF(IFERROR(MATCH(123,ChqRankU,0),0)=0,"",INDEX(ChqNo,IFERROR(MATCH(123,ChqRankU,0),0)))</f>
        <v/>
      </c>
      <c r="D139" s="14" t="str">
        <f>IF(IFERROR(MATCH(123,ChqRankU,0),0)=0,"",IF(INDEX(ChqAmt,IFERROR(MATCH(123,ChqRankU,0),0))=0,"",INDEX(ChqAmt,IFERROR(MATCH(123,ChqRankU,0),0))))</f>
        <v/>
      </c>
      <c r="E139" s="7" t="str">
        <f>IF(IFERROR(MATCH(123,ChqRankU,0),0)=0,"",INDEX(ChqStatus,IFERROR(MATCH(123,ChqRankU,0),0)))</f>
        <v/>
      </c>
      <c r="F139" s="13" t="str">
        <f>IF(IFERROR(MATCH(123,ChqRankU,0),0)=0,"",IF(INDEX(ChqStatus,IFERROR(MATCH(123,ChqRankU,0),0))="پاس نشده","—",IF(INDEX(ChqClr,IFERROR(MATCH(123,ChqRankU,0),0))="","—",INDEX(ChqClr,IFERROR(MATCH(123,ChqRankU,0),0)))))</f>
        <v/>
      </c>
      <c r="I139" t="str">
        <f>IF(123&gt;NChq,"",INDEX(ChqNorm,123))</f>
        <v/>
      </c>
      <c r="J139" t="str">
        <f>IF($I139="","",IF(AND($I139&gt;=$H$3,$I139&lt;=$H$4,INDEX(ChqStatus,123)="پاس نشده"),1,0))</f>
        <v/>
      </c>
      <c r="K139" t="str">
        <f>IF($J139=0,"",INDEX(ChqKey,123))</f>
        <v/>
      </c>
      <c r="L139" t="str">
        <f t="shared" si="1"/>
        <v/>
      </c>
    </row>
    <row r="140" spans="1:12" x14ac:dyDescent="0.2">
      <c r="A140" s="9" t="str">
        <f>IF(IFERROR(MATCH(124,ChqRankU,0),0)=0,"",124)</f>
        <v/>
      </c>
      <c r="B140" s="15" t="str">
        <f>IF(IFERROR(MATCH(124,ChqRankU,0),0)=0,"",INDEX(ChqNorm,IFERROR(MATCH(124,ChqRankU,0),0)))</f>
        <v/>
      </c>
      <c r="C140" s="15" t="str">
        <f>IF(IFERROR(MATCH(124,ChqRankU,0),0)=0,"",INDEX(ChqNo,IFERROR(MATCH(124,ChqRankU,0),0)))</f>
        <v/>
      </c>
      <c r="D140" s="16" t="str">
        <f>IF(IFERROR(MATCH(124,ChqRankU,0),0)=0,"",IF(INDEX(ChqAmt,IFERROR(MATCH(124,ChqRankU,0),0))=0,"",INDEX(ChqAmt,IFERROR(MATCH(124,ChqRankU,0),0))))</f>
        <v/>
      </c>
      <c r="E140" s="10" t="str">
        <f>IF(IFERROR(MATCH(124,ChqRankU,0),0)=0,"",INDEX(ChqStatus,IFERROR(MATCH(124,ChqRankU,0),0)))</f>
        <v/>
      </c>
      <c r="F140" s="15" t="str">
        <f>IF(IFERROR(MATCH(124,ChqRankU,0),0)=0,"",IF(INDEX(ChqStatus,IFERROR(MATCH(124,ChqRankU,0),0))="پاس نشده","—",IF(INDEX(ChqClr,IFERROR(MATCH(124,ChqRankU,0),0))="","—",INDEX(ChqClr,IFERROR(MATCH(124,ChqRankU,0),0)))))</f>
        <v/>
      </c>
      <c r="I140" t="str">
        <f>IF(124&gt;NChq,"",INDEX(ChqNorm,124))</f>
        <v/>
      </c>
      <c r="J140" t="str">
        <f>IF($I140="","",IF(AND($I140&gt;=$H$3,$I140&lt;=$H$4,INDEX(ChqStatus,124)="پاس نشده"),1,0))</f>
        <v/>
      </c>
      <c r="K140" t="str">
        <f>IF($J140=0,"",INDEX(ChqKey,124))</f>
        <v/>
      </c>
      <c r="L140" t="str">
        <f t="shared" si="1"/>
        <v/>
      </c>
    </row>
    <row r="141" spans="1:12" x14ac:dyDescent="0.2">
      <c r="A141" s="3" t="str">
        <f>IF(IFERROR(MATCH(125,ChqRankU,0),0)=0,"",125)</f>
        <v/>
      </c>
      <c r="B141" s="13" t="str">
        <f>IF(IFERROR(MATCH(125,ChqRankU,0),0)=0,"",INDEX(ChqNorm,IFERROR(MATCH(125,ChqRankU,0),0)))</f>
        <v/>
      </c>
      <c r="C141" s="13" t="str">
        <f>IF(IFERROR(MATCH(125,ChqRankU,0),0)=0,"",INDEX(ChqNo,IFERROR(MATCH(125,ChqRankU,0),0)))</f>
        <v/>
      </c>
      <c r="D141" s="14" t="str">
        <f>IF(IFERROR(MATCH(125,ChqRankU,0),0)=0,"",IF(INDEX(ChqAmt,IFERROR(MATCH(125,ChqRankU,0),0))=0,"",INDEX(ChqAmt,IFERROR(MATCH(125,ChqRankU,0),0))))</f>
        <v/>
      </c>
      <c r="E141" s="7" t="str">
        <f>IF(IFERROR(MATCH(125,ChqRankU,0),0)=0,"",INDEX(ChqStatus,IFERROR(MATCH(125,ChqRankU,0),0)))</f>
        <v/>
      </c>
      <c r="F141" s="13" t="str">
        <f>IF(IFERROR(MATCH(125,ChqRankU,0),0)=0,"",IF(INDEX(ChqStatus,IFERROR(MATCH(125,ChqRankU,0),0))="پاس نشده","—",IF(INDEX(ChqClr,IFERROR(MATCH(125,ChqRankU,0),0))="","—",INDEX(ChqClr,IFERROR(MATCH(125,ChqRankU,0),0)))))</f>
        <v/>
      </c>
      <c r="I141" t="str">
        <f>IF(125&gt;NChq,"",INDEX(ChqNorm,125))</f>
        <v/>
      </c>
      <c r="J141" t="str">
        <f>IF($I141="","",IF(AND($I141&gt;=$H$3,$I141&lt;=$H$4,INDEX(ChqStatus,125)="پاس نشده"),1,0))</f>
        <v/>
      </c>
      <c r="K141" t="str">
        <f>IF($J141=0,"",INDEX(ChqKey,125))</f>
        <v/>
      </c>
      <c r="L141" t="str">
        <f t="shared" si="1"/>
        <v/>
      </c>
    </row>
    <row r="142" spans="1:12" x14ac:dyDescent="0.2">
      <c r="A142" s="9" t="str">
        <f>IF(IFERROR(MATCH(126,ChqRankU,0),0)=0,"",126)</f>
        <v/>
      </c>
      <c r="B142" s="15" t="str">
        <f>IF(IFERROR(MATCH(126,ChqRankU,0),0)=0,"",INDEX(ChqNorm,IFERROR(MATCH(126,ChqRankU,0),0)))</f>
        <v/>
      </c>
      <c r="C142" s="15" t="str">
        <f>IF(IFERROR(MATCH(126,ChqRankU,0),0)=0,"",INDEX(ChqNo,IFERROR(MATCH(126,ChqRankU,0),0)))</f>
        <v/>
      </c>
      <c r="D142" s="16" t="str">
        <f>IF(IFERROR(MATCH(126,ChqRankU,0),0)=0,"",IF(INDEX(ChqAmt,IFERROR(MATCH(126,ChqRankU,0),0))=0,"",INDEX(ChqAmt,IFERROR(MATCH(126,ChqRankU,0),0))))</f>
        <v/>
      </c>
      <c r="E142" s="10" t="str">
        <f>IF(IFERROR(MATCH(126,ChqRankU,0),0)=0,"",INDEX(ChqStatus,IFERROR(MATCH(126,ChqRankU,0),0)))</f>
        <v/>
      </c>
      <c r="F142" s="15" t="str">
        <f>IF(IFERROR(MATCH(126,ChqRankU,0),0)=0,"",IF(INDEX(ChqStatus,IFERROR(MATCH(126,ChqRankU,0),0))="پاس نشده","—",IF(INDEX(ChqClr,IFERROR(MATCH(126,ChqRankU,0),0))="","—",INDEX(ChqClr,IFERROR(MATCH(126,ChqRankU,0),0)))))</f>
        <v/>
      </c>
      <c r="I142" t="str">
        <f>IF(126&gt;NChq,"",INDEX(ChqNorm,126))</f>
        <v/>
      </c>
      <c r="J142" t="str">
        <f>IF($I142="","",IF(AND($I142&gt;=$H$3,$I142&lt;=$H$4,INDEX(ChqStatus,126)="پاس نشده"),1,0))</f>
        <v/>
      </c>
      <c r="K142" t="str">
        <f>IF($J142=0,"",INDEX(ChqKey,126))</f>
        <v/>
      </c>
      <c r="L142" t="str">
        <f t="shared" si="1"/>
        <v/>
      </c>
    </row>
    <row r="143" spans="1:12" x14ac:dyDescent="0.2">
      <c r="A143" s="3" t="str">
        <f>IF(IFERROR(MATCH(127,ChqRankU,0),0)=0,"",127)</f>
        <v/>
      </c>
      <c r="B143" s="13" t="str">
        <f>IF(IFERROR(MATCH(127,ChqRankU,0),0)=0,"",INDEX(ChqNorm,IFERROR(MATCH(127,ChqRankU,0),0)))</f>
        <v/>
      </c>
      <c r="C143" s="13" t="str">
        <f>IF(IFERROR(MATCH(127,ChqRankU,0),0)=0,"",INDEX(ChqNo,IFERROR(MATCH(127,ChqRankU,0),0)))</f>
        <v/>
      </c>
      <c r="D143" s="14" t="str">
        <f>IF(IFERROR(MATCH(127,ChqRankU,0),0)=0,"",IF(INDEX(ChqAmt,IFERROR(MATCH(127,ChqRankU,0),0))=0,"",INDEX(ChqAmt,IFERROR(MATCH(127,ChqRankU,0),0))))</f>
        <v/>
      </c>
      <c r="E143" s="7" t="str">
        <f>IF(IFERROR(MATCH(127,ChqRankU,0),0)=0,"",INDEX(ChqStatus,IFERROR(MATCH(127,ChqRankU,0),0)))</f>
        <v/>
      </c>
      <c r="F143" s="13" t="str">
        <f>IF(IFERROR(MATCH(127,ChqRankU,0),0)=0,"",IF(INDEX(ChqStatus,IFERROR(MATCH(127,ChqRankU,0),0))="پاس نشده","—",IF(INDEX(ChqClr,IFERROR(MATCH(127,ChqRankU,0),0))="","—",INDEX(ChqClr,IFERROR(MATCH(127,ChqRankU,0),0)))))</f>
        <v/>
      </c>
      <c r="I143" t="str">
        <f>IF(127&gt;NChq,"",INDEX(ChqNorm,127))</f>
        <v/>
      </c>
      <c r="J143" t="str">
        <f>IF($I143="","",IF(AND($I143&gt;=$H$3,$I143&lt;=$H$4,INDEX(ChqStatus,127)="پاس نشده"),1,0))</f>
        <v/>
      </c>
      <c r="K143" t="str">
        <f>IF($J143=0,"",INDEX(ChqKey,127))</f>
        <v/>
      </c>
      <c r="L143" t="str">
        <f t="shared" si="1"/>
        <v/>
      </c>
    </row>
    <row r="144" spans="1:12" x14ac:dyDescent="0.2">
      <c r="A144" s="9" t="str">
        <f>IF(IFERROR(MATCH(128,ChqRankU,0),0)=0,"",128)</f>
        <v/>
      </c>
      <c r="B144" s="15" t="str">
        <f>IF(IFERROR(MATCH(128,ChqRankU,0),0)=0,"",INDEX(ChqNorm,IFERROR(MATCH(128,ChqRankU,0),0)))</f>
        <v/>
      </c>
      <c r="C144" s="15" t="str">
        <f>IF(IFERROR(MATCH(128,ChqRankU,0),0)=0,"",INDEX(ChqNo,IFERROR(MATCH(128,ChqRankU,0),0)))</f>
        <v/>
      </c>
      <c r="D144" s="16" t="str">
        <f>IF(IFERROR(MATCH(128,ChqRankU,0),0)=0,"",IF(INDEX(ChqAmt,IFERROR(MATCH(128,ChqRankU,0),0))=0,"",INDEX(ChqAmt,IFERROR(MATCH(128,ChqRankU,0),0))))</f>
        <v/>
      </c>
      <c r="E144" s="10" t="str">
        <f>IF(IFERROR(MATCH(128,ChqRankU,0),0)=0,"",INDEX(ChqStatus,IFERROR(MATCH(128,ChqRankU,0),0)))</f>
        <v/>
      </c>
      <c r="F144" s="15" t="str">
        <f>IF(IFERROR(MATCH(128,ChqRankU,0),0)=0,"",IF(INDEX(ChqStatus,IFERROR(MATCH(128,ChqRankU,0),0))="پاس نشده","—",IF(INDEX(ChqClr,IFERROR(MATCH(128,ChqRankU,0),0))="","—",INDEX(ChqClr,IFERROR(MATCH(128,ChqRankU,0),0)))))</f>
        <v/>
      </c>
      <c r="I144" t="str">
        <f>IF(128&gt;NChq,"",INDEX(ChqNorm,128))</f>
        <v/>
      </c>
      <c r="J144" t="str">
        <f>IF($I144="","",IF(AND($I144&gt;=$H$3,$I144&lt;=$H$4,INDEX(ChqStatus,128)="پاس نشده"),1,0))</f>
        <v/>
      </c>
      <c r="K144" t="str">
        <f>IF($J144=0,"",INDEX(ChqKey,128))</f>
        <v/>
      </c>
      <c r="L144" t="str">
        <f t="shared" si="1"/>
        <v/>
      </c>
    </row>
    <row r="145" spans="1:12" x14ac:dyDescent="0.2">
      <c r="A145" s="3" t="str">
        <f>IF(IFERROR(MATCH(129,ChqRankU,0),0)=0,"",129)</f>
        <v/>
      </c>
      <c r="B145" s="13" t="str">
        <f>IF(IFERROR(MATCH(129,ChqRankU,0),0)=0,"",INDEX(ChqNorm,IFERROR(MATCH(129,ChqRankU,0),0)))</f>
        <v/>
      </c>
      <c r="C145" s="13" t="str">
        <f>IF(IFERROR(MATCH(129,ChqRankU,0),0)=0,"",INDEX(ChqNo,IFERROR(MATCH(129,ChqRankU,0),0)))</f>
        <v/>
      </c>
      <c r="D145" s="14" t="str">
        <f>IF(IFERROR(MATCH(129,ChqRankU,0),0)=0,"",IF(INDEX(ChqAmt,IFERROR(MATCH(129,ChqRankU,0),0))=0,"",INDEX(ChqAmt,IFERROR(MATCH(129,ChqRankU,0),0))))</f>
        <v/>
      </c>
      <c r="E145" s="7" t="str">
        <f>IF(IFERROR(MATCH(129,ChqRankU,0),0)=0,"",INDEX(ChqStatus,IFERROR(MATCH(129,ChqRankU,0),0)))</f>
        <v/>
      </c>
      <c r="F145" s="13" t="str">
        <f>IF(IFERROR(MATCH(129,ChqRankU,0),0)=0,"",IF(INDEX(ChqStatus,IFERROR(MATCH(129,ChqRankU,0),0))="پاس نشده","—",IF(INDEX(ChqClr,IFERROR(MATCH(129,ChqRankU,0),0))="","—",INDEX(ChqClr,IFERROR(MATCH(129,ChqRankU,0),0)))))</f>
        <v/>
      </c>
      <c r="I145" t="str">
        <f>IF(129&gt;NChq,"",INDEX(ChqNorm,129))</f>
        <v/>
      </c>
      <c r="J145" t="str">
        <f>IF($I145="","",IF(AND($I145&gt;=$H$3,$I145&lt;=$H$4,INDEX(ChqStatus,129)="پاس نشده"),1,0))</f>
        <v/>
      </c>
      <c r="K145" t="str">
        <f>IF($J145=0,"",INDEX(ChqKey,129))</f>
        <v/>
      </c>
      <c r="L145" t="str">
        <f t="shared" ref="L145:L208" si="2">IF($K145="","",COUNTIFS($J$17:$J$516,1,$K$17:$K$516,"&lt;"&amp;$K145)+1)</f>
        <v/>
      </c>
    </row>
    <row r="146" spans="1:12" x14ac:dyDescent="0.2">
      <c r="A146" s="9" t="str">
        <f>IF(IFERROR(MATCH(130,ChqRankU,0),0)=0,"",130)</f>
        <v/>
      </c>
      <c r="B146" s="15" t="str">
        <f>IF(IFERROR(MATCH(130,ChqRankU,0),0)=0,"",INDEX(ChqNorm,IFERROR(MATCH(130,ChqRankU,0),0)))</f>
        <v/>
      </c>
      <c r="C146" s="15" t="str">
        <f>IF(IFERROR(MATCH(130,ChqRankU,0),0)=0,"",INDEX(ChqNo,IFERROR(MATCH(130,ChqRankU,0),0)))</f>
        <v/>
      </c>
      <c r="D146" s="16" t="str">
        <f>IF(IFERROR(MATCH(130,ChqRankU,0),0)=0,"",IF(INDEX(ChqAmt,IFERROR(MATCH(130,ChqRankU,0),0))=0,"",INDEX(ChqAmt,IFERROR(MATCH(130,ChqRankU,0),0))))</f>
        <v/>
      </c>
      <c r="E146" s="10" t="str">
        <f>IF(IFERROR(MATCH(130,ChqRankU,0),0)=0,"",INDEX(ChqStatus,IFERROR(MATCH(130,ChqRankU,0),0)))</f>
        <v/>
      </c>
      <c r="F146" s="15" t="str">
        <f>IF(IFERROR(MATCH(130,ChqRankU,0),0)=0,"",IF(INDEX(ChqStatus,IFERROR(MATCH(130,ChqRankU,0),0))="پاس نشده","—",IF(INDEX(ChqClr,IFERROR(MATCH(130,ChqRankU,0),0))="","—",INDEX(ChqClr,IFERROR(MATCH(130,ChqRankU,0),0)))))</f>
        <v/>
      </c>
      <c r="I146" t="str">
        <f>IF(130&gt;NChq,"",INDEX(ChqNorm,130))</f>
        <v/>
      </c>
      <c r="J146" t="str">
        <f>IF($I146="","",IF(AND($I146&gt;=$H$3,$I146&lt;=$H$4,INDEX(ChqStatus,130)="پاس نشده"),1,0))</f>
        <v/>
      </c>
      <c r="K146" t="str">
        <f>IF($J146=0,"",INDEX(ChqKey,130))</f>
        <v/>
      </c>
      <c r="L146" t="str">
        <f t="shared" si="2"/>
        <v/>
      </c>
    </row>
    <row r="147" spans="1:12" x14ac:dyDescent="0.2">
      <c r="A147" s="3" t="str">
        <f>IF(IFERROR(MATCH(131,ChqRankU,0),0)=0,"",131)</f>
        <v/>
      </c>
      <c r="B147" s="13" t="str">
        <f>IF(IFERROR(MATCH(131,ChqRankU,0),0)=0,"",INDEX(ChqNorm,IFERROR(MATCH(131,ChqRankU,0),0)))</f>
        <v/>
      </c>
      <c r="C147" s="13" t="str">
        <f>IF(IFERROR(MATCH(131,ChqRankU,0),0)=0,"",INDEX(ChqNo,IFERROR(MATCH(131,ChqRankU,0),0)))</f>
        <v/>
      </c>
      <c r="D147" s="14" t="str">
        <f>IF(IFERROR(MATCH(131,ChqRankU,0),0)=0,"",IF(INDEX(ChqAmt,IFERROR(MATCH(131,ChqRankU,0),0))=0,"",INDEX(ChqAmt,IFERROR(MATCH(131,ChqRankU,0),0))))</f>
        <v/>
      </c>
      <c r="E147" s="7" t="str">
        <f>IF(IFERROR(MATCH(131,ChqRankU,0),0)=0,"",INDEX(ChqStatus,IFERROR(MATCH(131,ChqRankU,0),0)))</f>
        <v/>
      </c>
      <c r="F147" s="13" t="str">
        <f>IF(IFERROR(MATCH(131,ChqRankU,0),0)=0,"",IF(INDEX(ChqStatus,IFERROR(MATCH(131,ChqRankU,0),0))="پاس نشده","—",IF(INDEX(ChqClr,IFERROR(MATCH(131,ChqRankU,0),0))="","—",INDEX(ChqClr,IFERROR(MATCH(131,ChqRankU,0),0)))))</f>
        <v/>
      </c>
      <c r="I147" t="str">
        <f>IF(131&gt;NChq,"",INDEX(ChqNorm,131))</f>
        <v/>
      </c>
      <c r="J147" t="str">
        <f>IF($I147="","",IF(AND($I147&gt;=$H$3,$I147&lt;=$H$4,INDEX(ChqStatus,131)="پاس نشده"),1,0))</f>
        <v/>
      </c>
      <c r="K147" t="str">
        <f>IF($J147=0,"",INDEX(ChqKey,131))</f>
        <v/>
      </c>
      <c r="L147" t="str">
        <f t="shared" si="2"/>
        <v/>
      </c>
    </row>
    <row r="148" spans="1:12" x14ac:dyDescent="0.2">
      <c r="A148" s="9" t="str">
        <f>IF(IFERROR(MATCH(132,ChqRankU,0),0)=0,"",132)</f>
        <v/>
      </c>
      <c r="B148" s="15" t="str">
        <f>IF(IFERROR(MATCH(132,ChqRankU,0),0)=0,"",INDEX(ChqNorm,IFERROR(MATCH(132,ChqRankU,0),0)))</f>
        <v/>
      </c>
      <c r="C148" s="15" t="str">
        <f>IF(IFERROR(MATCH(132,ChqRankU,0),0)=0,"",INDEX(ChqNo,IFERROR(MATCH(132,ChqRankU,0),0)))</f>
        <v/>
      </c>
      <c r="D148" s="16" t="str">
        <f>IF(IFERROR(MATCH(132,ChqRankU,0),0)=0,"",IF(INDEX(ChqAmt,IFERROR(MATCH(132,ChqRankU,0),0))=0,"",INDEX(ChqAmt,IFERROR(MATCH(132,ChqRankU,0),0))))</f>
        <v/>
      </c>
      <c r="E148" s="10" t="str">
        <f>IF(IFERROR(MATCH(132,ChqRankU,0),0)=0,"",INDEX(ChqStatus,IFERROR(MATCH(132,ChqRankU,0),0)))</f>
        <v/>
      </c>
      <c r="F148" s="15" t="str">
        <f>IF(IFERROR(MATCH(132,ChqRankU,0),0)=0,"",IF(INDEX(ChqStatus,IFERROR(MATCH(132,ChqRankU,0),0))="پاس نشده","—",IF(INDEX(ChqClr,IFERROR(MATCH(132,ChqRankU,0),0))="","—",INDEX(ChqClr,IFERROR(MATCH(132,ChqRankU,0),0)))))</f>
        <v/>
      </c>
      <c r="I148" t="str">
        <f>IF(132&gt;NChq,"",INDEX(ChqNorm,132))</f>
        <v/>
      </c>
      <c r="J148" t="str">
        <f>IF($I148="","",IF(AND($I148&gt;=$H$3,$I148&lt;=$H$4,INDEX(ChqStatus,132)="پاس نشده"),1,0))</f>
        <v/>
      </c>
      <c r="K148" t="str">
        <f>IF($J148=0,"",INDEX(ChqKey,132))</f>
        <v/>
      </c>
      <c r="L148" t="str">
        <f t="shared" si="2"/>
        <v/>
      </c>
    </row>
    <row r="149" spans="1:12" x14ac:dyDescent="0.2">
      <c r="A149" s="3" t="str">
        <f>IF(IFERROR(MATCH(133,ChqRankU,0),0)=0,"",133)</f>
        <v/>
      </c>
      <c r="B149" s="13" t="str">
        <f>IF(IFERROR(MATCH(133,ChqRankU,0),0)=0,"",INDEX(ChqNorm,IFERROR(MATCH(133,ChqRankU,0),0)))</f>
        <v/>
      </c>
      <c r="C149" s="13" t="str">
        <f>IF(IFERROR(MATCH(133,ChqRankU,0),0)=0,"",INDEX(ChqNo,IFERROR(MATCH(133,ChqRankU,0),0)))</f>
        <v/>
      </c>
      <c r="D149" s="14" t="str">
        <f>IF(IFERROR(MATCH(133,ChqRankU,0),0)=0,"",IF(INDEX(ChqAmt,IFERROR(MATCH(133,ChqRankU,0),0))=0,"",INDEX(ChqAmt,IFERROR(MATCH(133,ChqRankU,0),0))))</f>
        <v/>
      </c>
      <c r="E149" s="7" t="str">
        <f>IF(IFERROR(MATCH(133,ChqRankU,0),0)=0,"",INDEX(ChqStatus,IFERROR(MATCH(133,ChqRankU,0),0)))</f>
        <v/>
      </c>
      <c r="F149" s="13" t="str">
        <f>IF(IFERROR(MATCH(133,ChqRankU,0),0)=0,"",IF(INDEX(ChqStatus,IFERROR(MATCH(133,ChqRankU,0),0))="پاس نشده","—",IF(INDEX(ChqClr,IFERROR(MATCH(133,ChqRankU,0),0))="","—",INDEX(ChqClr,IFERROR(MATCH(133,ChqRankU,0),0)))))</f>
        <v/>
      </c>
      <c r="I149" t="str">
        <f>IF(133&gt;NChq,"",INDEX(ChqNorm,133))</f>
        <v/>
      </c>
      <c r="J149" t="str">
        <f>IF($I149="","",IF(AND($I149&gt;=$H$3,$I149&lt;=$H$4,INDEX(ChqStatus,133)="پاس نشده"),1,0))</f>
        <v/>
      </c>
      <c r="K149" t="str">
        <f>IF($J149=0,"",INDEX(ChqKey,133))</f>
        <v/>
      </c>
      <c r="L149" t="str">
        <f t="shared" si="2"/>
        <v/>
      </c>
    </row>
    <row r="150" spans="1:12" x14ac:dyDescent="0.2">
      <c r="A150" s="9" t="str">
        <f>IF(IFERROR(MATCH(134,ChqRankU,0),0)=0,"",134)</f>
        <v/>
      </c>
      <c r="B150" s="15" t="str">
        <f>IF(IFERROR(MATCH(134,ChqRankU,0),0)=0,"",INDEX(ChqNorm,IFERROR(MATCH(134,ChqRankU,0),0)))</f>
        <v/>
      </c>
      <c r="C150" s="15" t="str">
        <f>IF(IFERROR(MATCH(134,ChqRankU,0),0)=0,"",INDEX(ChqNo,IFERROR(MATCH(134,ChqRankU,0),0)))</f>
        <v/>
      </c>
      <c r="D150" s="16" t="str">
        <f>IF(IFERROR(MATCH(134,ChqRankU,0),0)=0,"",IF(INDEX(ChqAmt,IFERROR(MATCH(134,ChqRankU,0),0))=0,"",INDEX(ChqAmt,IFERROR(MATCH(134,ChqRankU,0),0))))</f>
        <v/>
      </c>
      <c r="E150" s="10" t="str">
        <f>IF(IFERROR(MATCH(134,ChqRankU,0),0)=0,"",INDEX(ChqStatus,IFERROR(MATCH(134,ChqRankU,0),0)))</f>
        <v/>
      </c>
      <c r="F150" s="15" t="str">
        <f>IF(IFERROR(MATCH(134,ChqRankU,0),0)=0,"",IF(INDEX(ChqStatus,IFERROR(MATCH(134,ChqRankU,0),0))="پاس نشده","—",IF(INDEX(ChqClr,IFERROR(MATCH(134,ChqRankU,0),0))="","—",INDEX(ChqClr,IFERROR(MATCH(134,ChqRankU,0),0)))))</f>
        <v/>
      </c>
      <c r="I150" t="str">
        <f>IF(134&gt;NChq,"",INDEX(ChqNorm,134))</f>
        <v/>
      </c>
      <c r="J150" t="str">
        <f>IF($I150="","",IF(AND($I150&gt;=$H$3,$I150&lt;=$H$4,INDEX(ChqStatus,134)="پاس نشده"),1,0))</f>
        <v/>
      </c>
      <c r="K150" t="str">
        <f>IF($J150=0,"",INDEX(ChqKey,134))</f>
        <v/>
      </c>
      <c r="L150" t="str">
        <f t="shared" si="2"/>
        <v/>
      </c>
    </row>
    <row r="151" spans="1:12" x14ac:dyDescent="0.2">
      <c r="A151" s="3" t="str">
        <f>IF(IFERROR(MATCH(135,ChqRankU,0),0)=0,"",135)</f>
        <v/>
      </c>
      <c r="B151" s="13" t="str">
        <f>IF(IFERROR(MATCH(135,ChqRankU,0),0)=0,"",INDEX(ChqNorm,IFERROR(MATCH(135,ChqRankU,0),0)))</f>
        <v/>
      </c>
      <c r="C151" s="13" t="str">
        <f>IF(IFERROR(MATCH(135,ChqRankU,0),0)=0,"",INDEX(ChqNo,IFERROR(MATCH(135,ChqRankU,0),0)))</f>
        <v/>
      </c>
      <c r="D151" s="14" t="str">
        <f>IF(IFERROR(MATCH(135,ChqRankU,0),0)=0,"",IF(INDEX(ChqAmt,IFERROR(MATCH(135,ChqRankU,0),0))=0,"",INDEX(ChqAmt,IFERROR(MATCH(135,ChqRankU,0),0))))</f>
        <v/>
      </c>
      <c r="E151" s="7" t="str">
        <f>IF(IFERROR(MATCH(135,ChqRankU,0),0)=0,"",INDEX(ChqStatus,IFERROR(MATCH(135,ChqRankU,0),0)))</f>
        <v/>
      </c>
      <c r="F151" s="13" t="str">
        <f>IF(IFERROR(MATCH(135,ChqRankU,0),0)=0,"",IF(INDEX(ChqStatus,IFERROR(MATCH(135,ChqRankU,0),0))="پاس نشده","—",IF(INDEX(ChqClr,IFERROR(MATCH(135,ChqRankU,0),0))="","—",INDEX(ChqClr,IFERROR(MATCH(135,ChqRankU,0),0)))))</f>
        <v/>
      </c>
      <c r="I151" t="str">
        <f>IF(135&gt;NChq,"",INDEX(ChqNorm,135))</f>
        <v/>
      </c>
      <c r="J151" t="str">
        <f>IF($I151="","",IF(AND($I151&gt;=$H$3,$I151&lt;=$H$4,INDEX(ChqStatus,135)="پاس نشده"),1,0))</f>
        <v/>
      </c>
      <c r="K151" t="str">
        <f>IF($J151=0,"",INDEX(ChqKey,135))</f>
        <v/>
      </c>
      <c r="L151" t="str">
        <f t="shared" si="2"/>
        <v/>
      </c>
    </row>
    <row r="152" spans="1:12" x14ac:dyDescent="0.2">
      <c r="A152" s="9" t="str">
        <f>IF(IFERROR(MATCH(136,ChqRankU,0),0)=0,"",136)</f>
        <v/>
      </c>
      <c r="B152" s="15" t="str">
        <f>IF(IFERROR(MATCH(136,ChqRankU,0),0)=0,"",INDEX(ChqNorm,IFERROR(MATCH(136,ChqRankU,0),0)))</f>
        <v/>
      </c>
      <c r="C152" s="15" t="str">
        <f>IF(IFERROR(MATCH(136,ChqRankU,0),0)=0,"",INDEX(ChqNo,IFERROR(MATCH(136,ChqRankU,0),0)))</f>
        <v/>
      </c>
      <c r="D152" s="16" t="str">
        <f>IF(IFERROR(MATCH(136,ChqRankU,0),0)=0,"",IF(INDEX(ChqAmt,IFERROR(MATCH(136,ChqRankU,0),0))=0,"",INDEX(ChqAmt,IFERROR(MATCH(136,ChqRankU,0),0))))</f>
        <v/>
      </c>
      <c r="E152" s="10" t="str">
        <f>IF(IFERROR(MATCH(136,ChqRankU,0),0)=0,"",INDEX(ChqStatus,IFERROR(MATCH(136,ChqRankU,0),0)))</f>
        <v/>
      </c>
      <c r="F152" s="15" t="str">
        <f>IF(IFERROR(MATCH(136,ChqRankU,0),0)=0,"",IF(INDEX(ChqStatus,IFERROR(MATCH(136,ChqRankU,0),0))="پاس نشده","—",IF(INDEX(ChqClr,IFERROR(MATCH(136,ChqRankU,0),0))="","—",INDEX(ChqClr,IFERROR(MATCH(136,ChqRankU,0),0)))))</f>
        <v/>
      </c>
      <c r="I152" t="str">
        <f>IF(136&gt;NChq,"",INDEX(ChqNorm,136))</f>
        <v/>
      </c>
      <c r="J152" t="str">
        <f>IF($I152="","",IF(AND($I152&gt;=$H$3,$I152&lt;=$H$4,INDEX(ChqStatus,136)="پاس نشده"),1,0))</f>
        <v/>
      </c>
      <c r="K152" t="str">
        <f>IF($J152=0,"",INDEX(ChqKey,136))</f>
        <v/>
      </c>
      <c r="L152" t="str">
        <f t="shared" si="2"/>
        <v/>
      </c>
    </row>
    <row r="153" spans="1:12" x14ac:dyDescent="0.2">
      <c r="A153" s="3" t="str">
        <f>IF(IFERROR(MATCH(137,ChqRankU,0),0)=0,"",137)</f>
        <v/>
      </c>
      <c r="B153" s="13" t="str">
        <f>IF(IFERROR(MATCH(137,ChqRankU,0),0)=0,"",INDEX(ChqNorm,IFERROR(MATCH(137,ChqRankU,0),0)))</f>
        <v/>
      </c>
      <c r="C153" s="13" t="str">
        <f>IF(IFERROR(MATCH(137,ChqRankU,0),0)=0,"",INDEX(ChqNo,IFERROR(MATCH(137,ChqRankU,0),0)))</f>
        <v/>
      </c>
      <c r="D153" s="14" t="str">
        <f>IF(IFERROR(MATCH(137,ChqRankU,0),0)=0,"",IF(INDEX(ChqAmt,IFERROR(MATCH(137,ChqRankU,0),0))=0,"",INDEX(ChqAmt,IFERROR(MATCH(137,ChqRankU,0),0))))</f>
        <v/>
      </c>
      <c r="E153" s="7" t="str">
        <f>IF(IFERROR(MATCH(137,ChqRankU,0),0)=0,"",INDEX(ChqStatus,IFERROR(MATCH(137,ChqRankU,0),0)))</f>
        <v/>
      </c>
      <c r="F153" s="13" t="str">
        <f>IF(IFERROR(MATCH(137,ChqRankU,0),0)=0,"",IF(INDEX(ChqStatus,IFERROR(MATCH(137,ChqRankU,0),0))="پاس نشده","—",IF(INDEX(ChqClr,IFERROR(MATCH(137,ChqRankU,0),0))="","—",INDEX(ChqClr,IFERROR(MATCH(137,ChqRankU,0),0)))))</f>
        <v/>
      </c>
      <c r="I153" t="str">
        <f>IF(137&gt;NChq,"",INDEX(ChqNorm,137))</f>
        <v/>
      </c>
      <c r="J153" t="str">
        <f>IF($I153="","",IF(AND($I153&gt;=$H$3,$I153&lt;=$H$4,INDEX(ChqStatus,137)="پاس نشده"),1,0))</f>
        <v/>
      </c>
      <c r="K153" t="str">
        <f>IF($J153=0,"",INDEX(ChqKey,137))</f>
        <v/>
      </c>
      <c r="L153" t="str">
        <f t="shared" si="2"/>
        <v/>
      </c>
    </row>
    <row r="154" spans="1:12" x14ac:dyDescent="0.2">
      <c r="A154" s="9" t="str">
        <f>IF(IFERROR(MATCH(138,ChqRankU,0),0)=0,"",138)</f>
        <v/>
      </c>
      <c r="B154" s="15" t="str">
        <f>IF(IFERROR(MATCH(138,ChqRankU,0),0)=0,"",INDEX(ChqNorm,IFERROR(MATCH(138,ChqRankU,0),0)))</f>
        <v/>
      </c>
      <c r="C154" s="15" t="str">
        <f>IF(IFERROR(MATCH(138,ChqRankU,0),0)=0,"",INDEX(ChqNo,IFERROR(MATCH(138,ChqRankU,0),0)))</f>
        <v/>
      </c>
      <c r="D154" s="16" t="str">
        <f>IF(IFERROR(MATCH(138,ChqRankU,0),0)=0,"",IF(INDEX(ChqAmt,IFERROR(MATCH(138,ChqRankU,0),0))=0,"",INDEX(ChqAmt,IFERROR(MATCH(138,ChqRankU,0),0))))</f>
        <v/>
      </c>
      <c r="E154" s="10" t="str">
        <f>IF(IFERROR(MATCH(138,ChqRankU,0),0)=0,"",INDEX(ChqStatus,IFERROR(MATCH(138,ChqRankU,0),0)))</f>
        <v/>
      </c>
      <c r="F154" s="15" t="str">
        <f>IF(IFERROR(MATCH(138,ChqRankU,0),0)=0,"",IF(INDEX(ChqStatus,IFERROR(MATCH(138,ChqRankU,0),0))="پاس نشده","—",IF(INDEX(ChqClr,IFERROR(MATCH(138,ChqRankU,0),0))="","—",INDEX(ChqClr,IFERROR(MATCH(138,ChqRankU,0),0)))))</f>
        <v/>
      </c>
      <c r="I154" t="str">
        <f>IF(138&gt;NChq,"",INDEX(ChqNorm,138))</f>
        <v/>
      </c>
      <c r="J154" t="str">
        <f>IF($I154="","",IF(AND($I154&gt;=$H$3,$I154&lt;=$H$4,INDEX(ChqStatus,138)="پاس نشده"),1,0))</f>
        <v/>
      </c>
      <c r="K154" t="str">
        <f>IF($J154=0,"",INDEX(ChqKey,138))</f>
        <v/>
      </c>
      <c r="L154" t="str">
        <f t="shared" si="2"/>
        <v/>
      </c>
    </row>
    <row r="155" spans="1:12" x14ac:dyDescent="0.2">
      <c r="A155" s="3" t="str">
        <f>IF(IFERROR(MATCH(139,ChqRankU,0),0)=0,"",139)</f>
        <v/>
      </c>
      <c r="B155" s="13" t="str">
        <f>IF(IFERROR(MATCH(139,ChqRankU,0),0)=0,"",INDEX(ChqNorm,IFERROR(MATCH(139,ChqRankU,0),0)))</f>
        <v/>
      </c>
      <c r="C155" s="13" t="str">
        <f>IF(IFERROR(MATCH(139,ChqRankU,0),0)=0,"",INDEX(ChqNo,IFERROR(MATCH(139,ChqRankU,0),0)))</f>
        <v/>
      </c>
      <c r="D155" s="14" t="str">
        <f>IF(IFERROR(MATCH(139,ChqRankU,0),0)=0,"",IF(INDEX(ChqAmt,IFERROR(MATCH(139,ChqRankU,0),0))=0,"",INDEX(ChqAmt,IFERROR(MATCH(139,ChqRankU,0),0))))</f>
        <v/>
      </c>
      <c r="E155" s="7" t="str">
        <f>IF(IFERROR(MATCH(139,ChqRankU,0),0)=0,"",INDEX(ChqStatus,IFERROR(MATCH(139,ChqRankU,0),0)))</f>
        <v/>
      </c>
      <c r="F155" s="13" t="str">
        <f>IF(IFERROR(MATCH(139,ChqRankU,0),0)=0,"",IF(INDEX(ChqStatus,IFERROR(MATCH(139,ChqRankU,0),0))="پاس نشده","—",IF(INDEX(ChqClr,IFERROR(MATCH(139,ChqRankU,0),0))="","—",INDEX(ChqClr,IFERROR(MATCH(139,ChqRankU,0),0)))))</f>
        <v/>
      </c>
      <c r="I155" t="str">
        <f>IF(139&gt;NChq,"",INDEX(ChqNorm,139))</f>
        <v/>
      </c>
      <c r="J155" t="str">
        <f>IF($I155="","",IF(AND($I155&gt;=$H$3,$I155&lt;=$H$4,INDEX(ChqStatus,139)="پاس نشده"),1,0))</f>
        <v/>
      </c>
      <c r="K155" t="str">
        <f>IF($J155=0,"",INDEX(ChqKey,139))</f>
        <v/>
      </c>
      <c r="L155" t="str">
        <f t="shared" si="2"/>
        <v/>
      </c>
    </row>
    <row r="156" spans="1:12" x14ac:dyDescent="0.2">
      <c r="A156" s="9" t="str">
        <f>IF(IFERROR(MATCH(140,ChqRankU,0),0)=0,"",140)</f>
        <v/>
      </c>
      <c r="B156" s="15" t="str">
        <f>IF(IFERROR(MATCH(140,ChqRankU,0),0)=0,"",INDEX(ChqNorm,IFERROR(MATCH(140,ChqRankU,0),0)))</f>
        <v/>
      </c>
      <c r="C156" s="15" t="str">
        <f>IF(IFERROR(MATCH(140,ChqRankU,0),0)=0,"",INDEX(ChqNo,IFERROR(MATCH(140,ChqRankU,0),0)))</f>
        <v/>
      </c>
      <c r="D156" s="16" t="str">
        <f>IF(IFERROR(MATCH(140,ChqRankU,0),0)=0,"",IF(INDEX(ChqAmt,IFERROR(MATCH(140,ChqRankU,0),0))=0,"",INDEX(ChqAmt,IFERROR(MATCH(140,ChqRankU,0),0))))</f>
        <v/>
      </c>
      <c r="E156" s="10" t="str">
        <f>IF(IFERROR(MATCH(140,ChqRankU,0),0)=0,"",INDEX(ChqStatus,IFERROR(MATCH(140,ChqRankU,0),0)))</f>
        <v/>
      </c>
      <c r="F156" s="15" t="str">
        <f>IF(IFERROR(MATCH(140,ChqRankU,0),0)=0,"",IF(INDEX(ChqStatus,IFERROR(MATCH(140,ChqRankU,0),0))="پاس نشده","—",IF(INDEX(ChqClr,IFERROR(MATCH(140,ChqRankU,0),0))="","—",INDEX(ChqClr,IFERROR(MATCH(140,ChqRankU,0),0)))))</f>
        <v/>
      </c>
      <c r="I156" t="str">
        <f>IF(140&gt;NChq,"",INDEX(ChqNorm,140))</f>
        <v/>
      </c>
      <c r="J156" t="str">
        <f>IF($I156="","",IF(AND($I156&gt;=$H$3,$I156&lt;=$H$4,INDEX(ChqStatus,140)="پاس نشده"),1,0))</f>
        <v/>
      </c>
      <c r="K156" t="str">
        <f>IF($J156=0,"",INDEX(ChqKey,140))</f>
        <v/>
      </c>
      <c r="L156" t="str">
        <f t="shared" si="2"/>
        <v/>
      </c>
    </row>
    <row r="157" spans="1:12" x14ac:dyDescent="0.2">
      <c r="A157" s="3" t="str">
        <f>IF(IFERROR(MATCH(141,ChqRankU,0),0)=0,"",141)</f>
        <v/>
      </c>
      <c r="B157" s="13" t="str">
        <f>IF(IFERROR(MATCH(141,ChqRankU,0),0)=0,"",INDEX(ChqNorm,IFERROR(MATCH(141,ChqRankU,0),0)))</f>
        <v/>
      </c>
      <c r="C157" s="13" t="str">
        <f>IF(IFERROR(MATCH(141,ChqRankU,0),0)=0,"",INDEX(ChqNo,IFERROR(MATCH(141,ChqRankU,0),0)))</f>
        <v/>
      </c>
      <c r="D157" s="14" t="str">
        <f>IF(IFERROR(MATCH(141,ChqRankU,0),0)=0,"",IF(INDEX(ChqAmt,IFERROR(MATCH(141,ChqRankU,0),0))=0,"",INDEX(ChqAmt,IFERROR(MATCH(141,ChqRankU,0),0))))</f>
        <v/>
      </c>
      <c r="E157" s="7" t="str">
        <f>IF(IFERROR(MATCH(141,ChqRankU,0),0)=0,"",INDEX(ChqStatus,IFERROR(MATCH(141,ChqRankU,0),0)))</f>
        <v/>
      </c>
      <c r="F157" s="13" t="str">
        <f>IF(IFERROR(MATCH(141,ChqRankU,0),0)=0,"",IF(INDEX(ChqStatus,IFERROR(MATCH(141,ChqRankU,0),0))="پاس نشده","—",IF(INDEX(ChqClr,IFERROR(MATCH(141,ChqRankU,0),0))="","—",INDEX(ChqClr,IFERROR(MATCH(141,ChqRankU,0),0)))))</f>
        <v/>
      </c>
      <c r="I157" t="str">
        <f>IF(141&gt;NChq,"",INDEX(ChqNorm,141))</f>
        <v/>
      </c>
      <c r="J157" t="str">
        <f>IF($I157="","",IF(AND($I157&gt;=$H$3,$I157&lt;=$H$4,INDEX(ChqStatus,141)="پاس نشده"),1,0))</f>
        <v/>
      </c>
      <c r="K157" t="str">
        <f>IF($J157=0,"",INDEX(ChqKey,141))</f>
        <v/>
      </c>
      <c r="L157" t="str">
        <f t="shared" si="2"/>
        <v/>
      </c>
    </row>
    <row r="158" spans="1:12" x14ac:dyDescent="0.2">
      <c r="A158" s="9" t="str">
        <f>IF(IFERROR(MATCH(142,ChqRankU,0),0)=0,"",142)</f>
        <v/>
      </c>
      <c r="B158" s="15" t="str">
        <f>IF(IFERROR(MATCH(142,ChqRankU,0),0)=0,"",INDEX(ChqNorm,IFERROR(MATCH(142,ChqRankU,0),0)))</f>
        <v/>
      </c>
      <c r="C158" s="15" t="str">
        <f>IF(IFERROR(MATCH(142,ChqRankU,0),0)=0,"",INDEX(ChqNo,IFERROR(MATCH(142,ChqRankU,0),0)))</f>
        <v/>
      </c>
      <c r="D158" s="16" t="str">
        <f>IF(IFERROR(MATCH(142,ChqRankU,0),0)=0,"",IF(INDEX(ChqAmt,IFERROR(MATCH(142,ChqRankU,0),0))=0,"",INDEX(ChqAmt,IFERROR(MATCH(142,ChqRankU,0),0))))</f>
        <v/>
      </c>
      <c r="E158" s="10" t="str">
        <f>IF(IFERROR(MATCH(142,ChqRankU,0),0)=0,"",INDEX(ChqStatus,IFERROR(MATCH(142,ChqRankU,0),0)))</f>
        <v/>
      </c>
      <c r="F158" s="15" t="str">
        <f>IF(IFERROR(MATCH(142,ChqRankU,0),0)=0,"",IF(INDEX(ChqStatus,IFERROR(MATCH(142,ChqRankU,0),0))="پاس نشده","—",IF(INDEX(ChqClr,IFERROR(MATCH(142,ChqRankU,0),0))="","—",INDEX(ChqClr,IFERROR(MATCH(142,ChqRankU,0),0)))))</f>
        <v/>
      </c>
      <c r="I158" t="str">
        <f>IF(142&gt;NChq,"",INDEX(ChqNorm,142))</f>
        <v/>
      </c>
      <c r="J158" t="str">
        <f>IF($I158="","",IF(AND($I158&gt;=$H$3,$I158&lt;=$H$4,INDEX(ChqStatus,142)="پاس نشده"),1,0))</f>
        <v/>
      </c>
      <c r="K158" t="str">
        <f>IF($J158=0,"",INDEX(ChqKey,142))</f>
        <v/>
      </c>
      <c r="L158" t="str">
        <f t="shared" si="2"/>
        <v/>
      </c>
    </row>
    <row r="159" spans="1:12" x14ac:dyDescent="0.2">
      <c r="A159" s="3" t="str">
        <f>IF(IFERROR(MATCH(143,ChqRankU,0),0)=0,"",143)</f>
        <v/>
      </c>
      <c r="B159" s="13" t="str">
        <f>IF(IFERROR(MATCH(143,ChqRankU,0),0)=0,"",INDEX(ChqNorm,IFERROR(MATCH(143,ChqRankU,0),0)))</f>
        <v/>
      </c>
      <c r="C159" s="13" t="str">
        <f>IF(IFERROR(MATCH(143,ChqRankU,0),0)=0,"",INDEX(ChqNo,IFERROR(MATCH(143,ChqRankU,0),0)))</f>
        <v/>
      </c>
      <c r="D159" s="14" t="str">
        <f>IF(IFERROR(MATCH(143,ChqRankU,0),0)=0,"",IF(INDEX(ChqAmt,IFERROR(MATCH(143,ChqRankU,0),0))=0,"",INDEX(ChqAmt,IFERROR(MATCH(143,ChqRankU,0),0))))</f>
        <v/>
      </c>
      <c r="E159" s="7" t="str">
        <f>IF(IFERROR(MATCH(143,ChqRankU,0),0)=0,"",INDEX(ChqStatus,IFERROR(MATCH(143,ChqRankU,0),0)))</f>
        <v/>
      </c>
      <c r="F159" s="13" t="str">
        <f>IF(IFERROR(MATCH(143,ChqRankU,0),0)=0,"",IF(INDEX(ChqStatus,IFERROR(MATCH(143,ChqRankU,0),0))="پاس نشده","—",IF(INDEX(ChqClr,IFERROR(MATCH(143,ChqRankU,0),0))="","—",INDEX(ChqClr,IFERROR(MATCH(143,ChqRankU,0),0)))))</f>
        <v/>
      </c>
      <c r="I159" t="str">
        <f>IF(143&gt;NChq,"",INDEX(ChqNorm,143))</f>
        <v/>
      </c>
      <c r="J159" t="str">
        <f>IF($I159="","",IF(AND($I159&gt;=$H$3,$I159&lt;=$H$4,INDEX(ChqStatus,143)="پاس نشده"),1,0))</f>
        <v/>
      </c>
      <c r="K159" t="str">
        <f>IF($J159=0,"",INDEX(ChqKey,143))</f>
        <v/>
      </c>
      <c r="L159" t="str">
        <f t="shared" si="2"/>
        <v/>
      </c>
    </row>
    <row r="160" spans="1:12" x14ac:dyDescent="0.2">
      <c r="A160" s="9" t="str">
        <f>IF(IFERROR(MATCH(144,ChqRankU,0),0)=0,"",144)</f>
        <v/>
      </c>
      <c r="B160" s="15" t="str">
        <f>IF(IFERROR(MATCH(144,ChqRankU,0),0)=0,"",INDEX(ChqNorm,IFERROR(MATCH(144,ChqRankU,0),0)))</f>
        <v/>
      </c>
      <c r="C160" s="15" t="str">
        <f>IF(IFERROR(MATCH(144,ChqRankU,0),0)=0,"",INDEX(ChqNo,IFERROR(MATCH(144,ChqRankU,0),0)))</f>
        <v/>
      </c>
      <c r="D160" s="16" t="str">
        <f>IF(IFERROR(MATCH(144,ChqRankU,0),0)=0,"",IF(INDEX(ChqAmt,IFERROR(MATCH(144,ChqRankU,0),0))=0,"",INDEX(ChqAmt,IFERROR(MATCH(144,ChqRankU,0),0))))</f>
        <v/>
      </c>
      <c r="E160" s="10" t="str">
        <f>IF(IFERROR(MATCH(144,ChqRankU,0),0)=0,"",INDEX(ChqStatus,IFERROR(MATCH(144,ChqRankU,0),0)))</f>
        <v/>
      </c>
      <c r="F160" s="15" t="str">
        <f>IF(IFERROR(MATCH(144,ChqRankU,0),0)=0,"",IF(INDEX(ChqStatus,IFERROR(MATCH(144,ChqRankU,0),0))="پاس نشده","—",IF(INDEX(ChqClr,IFERROR(MATCH(144,ChqRankU,0),0))="","—",INDEX(ChqClr,IFERROR(MATCH(144,ChqRankU,0),0)))))</f>
        <v/>
      </c>
      <c r="I160" t="str">
        <f>IF(144&gt;NChq,"",INDEX(ChqNorm,144))</f>
        <v/>
      </c>
      <c r="J160" t="str">
        <f>IF($I160="","",IF(AND($I160&gt;=$H$3,$I160&lt;=$H$4,INDEX(ChqStatus,144)="پاس نشده"),1,0))</f>
        <v/>
      </c>
      <c r="K160" t="str">
        <f>IF($J160=0,"",INDEX(ChqKey,144))</f>
        <v/>
      </c>
      <c r="L160" t="str">
        <f t="shared" si="2"/>
        <v/>
      </c>
    </row>
    <row r="161" spans="1:12" x14ac:dyDescent="0.2">
      <c r="A161" s="3" t="str">
        <f>IF(IFERROR(MATCH(145,ChqRankU,0),0)=0,"",145)</f>
        <v/>
      </c>
      <c r="B161" s="13" t="str">
        <f>IF(IFERROR(MATCH(145,ChqRankU,0),0)=0,"",INDEX(ChqNorm,IFERROR(MATCH(145,ChqRankU,0),0)))</f>
        <v/>
      </c>
      <c r="C161" s="13" t="str">
        <f>IF(IFERROR(MATCH(145,ChqRankU,0),0)=0,"",INDEX(ChqNo,IFERROR(MATCH(145,ChqRankU,0),0)))</f>
        <v/>
      </c>
      <c r="D161" s="14" t="str">
        <f>IF(IFERROR(MATCH(145,ChqRankU,0),0)=0,"",IF(INDEX(ChqAmt,IFERROR(MATCH(145,ChqRankU,0),0))=0,"",INDEX(ChqAmt,IFERROR(MATCH(145,ChqRankU,0),0))))</f>
        <v/>
      </c>
      <c r="E161" s="7" t="str">
        <f>IF(IFERROR(MATCH(145,ChqRankU,0),0)=0,"",INDEX(ChqStatus,IFERROR(MATCH(145,ChqRankU,0),0)))</f>
        <v/>
      </c>
      <c r="F161" s="13" t="str">
        <f>IF(IFERROR(MATCH(145,ChqRankU,0),0)=0,"",IF(INDEX(ChqStatus,IFERROR(MATCH(145,ChqRankU,0),0))="پاس نشده","—",IF(INDEX(ChqClr,IFERROR(MATCH(145,ChqRankU,0),0))="","—",INDEX(ChqClr,IFERROR(MATCH(145,ChqRankU,0),0)))))</f>
        <v/>
      </c>
      <c r="I161" t="str">
        <f>IF(145&gt;NChq,"",INDEX(ChqNorm,145))</f>
        <v/>
      </c>
      <c r="J161" t="str">
        <f>IF($I161="","",IF(AND($I161&gt;=$H$3,$I161&lt;=$H$4,INDEX(ChqStatus,145)="پاس نشده"),1,0))</f>
        <v/>
      </c>
      <c r="K161" t="str">
        <f>IF($J161=0,"",INDEX(ChqKey,145))</f>
        <v/>
      </c>
      <c r="L161" t="str">
        <f t="shared" si="2"/>
        <v/>
      </c>
    </row>
    <row r="162" spans="1:12" x14ac:dyDescent="0.2">
      <c r="A162" s="9" t="str">
        <f>IF(IFERROR(MATCH(146,ChqRankU,0),0)=0,"",146)</f>
        <v/>
      </c>
      <c r="B162" s="15" t="str">
        <f>IF(IFERROR(MATCH(146,ChqRankU,0),0)=0,"",INDEX(ChqNorm,IFERROR(MATCH(146,ChqRankU,0),0)))</f>
        <v/>
      </c>
      <c r="C162" s="15" t="str">
        <f>IF(IFERROR(MATCH(146,ChqRankU,0),0)=0,"",INDEX(ChqNo,IFERROR(MATCH(146,ChqRankU,0),0)))</f>
        <v/>
      </c>
      <c r="D162" s="16" t="str">
        <f>IF(IFERROR(MATCH(146,ChqRankU,0),0)=0,"",IF(INDEX(ChqAmt,IFERROR(MATCH(146,ChqRankU,0),0))=0,"",INDEX(ChqAmt,IFERROR(MATCH(146,ChqRankU,0),0))))</f>
        <v/>
      </c>
      <c r="E162" s="10" t="str">
        <f>IF(IFERROR(MATCH(146,ChqRankU,0),0)=0,"",INDEX(ChqStatus,IFERROR(MATCH(146,ChqRankU,0),0)))</f>
        <v/>
      </c>
      <c r="F162" s="15" t="str">
        <f>IF(IFERROR(MATCH(146,ChqRankU,0),0)=0,"",IF(INDEX(ChqStatus,IFERROR(MATCH(146,ChqRankU,0),0))="پاس نشده","—",IF(INDEX(ChqClr,IFERROR(MATCH(146,ChqRankU,0),0))="","—",INDEX(ChqClr,IFERROR(MATCH(146,ChqRankU,0),0)))))</f>
        <v/>
      </c>
      <c r="I162" t="str">
        <f>IF(146&gt;NChq,"",INDEX(ChqNorm,146))</f>
        <v/>
      </c>
      <c r="J162" t="str">
        <f>IF($I162="","",IF(AND($I162&gt;=$H$3,$I162&lt;=$H$4,INDEX(ChqStatus,146)="پاس نشده"),1,0))</f>
        <v/>
      </c>
      <c r="K162" t="str">
        <f>IF($J162=0,"",INDEX(ChqKey,146))</f>
        <v/>
      </c>
      <c r="L162" t="str">
        <f t="shared" si="2"/>
        <v/>
      </c>
    </row>
    <row r="163" spans="1:12" x14ac:dyDescent="0.2">
      <c r="A163" s="3" t="str">
        <f>IF(IFERROR(MATCH(147,ChqRankU,0),0)=0,"",147)</f>
        <v/>
      </c>
      <c r="B163" s="13" t="str">
        <f>IF(IFERROR(MATCH(147,ChqRankU,0),0)=0,"",INDEX(ChqNorm,IFERROR(MATCH(147,ChqRankU,0),0)))</f>
        <v/>
      </c>
      <c r="C163" s="13" t="str">
        <f>IF(IFERROR(MATCH(147,ChqRankU,0),0)=0,"",INDEX(ChqNo,IFERROR(MATCH(147,ChqRankU,0),0)))</f>
        <v/>
      </c>
      <c r="D163" s="14" t="str">
        <f>IF(IFERROR(MATCH(147,ChqRankU,0),0)=0,"",IF(INDEX(ChqAmt,IFERROR(MATCH(147,ChqRankU,0),0))=0,"",INDEX(ChqAmt,IFERROR(MATCH(147,ChqRankU,0),0))))</f>
        <v/>
      </c>
      <c r="E163" s="7" t="str">
        <f>IF(IFERROR(MATCH(147,ChqRankU,0),0)=0,"",INDEX(ChqStatus,IFERROR(MATCH(147,ChqRankU,0),0)))</f>
        <v/>
      </c>
      <c r="F163" s="13" t="str">
        <f>IF(IFERROR(MATCH(147,ChqRankU,0),0)=0,"",IF(INDEX(ChqStatus,IFERROR(MATCH(147,ChqRankU,0),0))="پاس نشده","—",IF(INDEX(ChqClr,IFERROR(MATCH(147,ChqRankU,0),0))="","—",INDEX(ChqClr,IFERROR(MATCH(147,ChqRankU,0),0)))))</f>
        <v/>
      </c>
      <c r="I163" t="str">
        <f>IF(147&gt;NChq,"",INDEX(ChqNorm,147))</f>
        <v/>
      </c>
      <c r="J163" t="str">
        <f>IF($I163="","",IF(AND($I163&gt;=$H$3,$I163&lt;=$H$4,INDEX(ChqStatus,147)="پاس نشده"),1,0))</f>
        <v/>
      </c>
      <c r="K163" t="str">
        <f>IF($J163=0,"",INDEX(ChqKey,147))</f>
        <v/>
      </c>
      <c r="L163" t="str">
        <f t="shared" si="2"/>
        <v/>
      </c>
    </row>
    <row r="164" spans="1:12" x14ac:dyDescent="0.2">
      <c r="A164" s="9" t="str">
        <f>IF(IFERROR(MATCH(148,ChqRankU,0),0)=0,"",148)</f>
        <v/>
      </c>
      <c r="B164" s="15" t="str">
        <f>IF(IFERROR(MATCH(148,ChqRankU,0),0)=0,"",INDEX(ChqNorm,IFERROR(MATCH(148,ChqRankU,0),0)))</f>
        <v/>
      </c>
      <c r="C164" s="15" t="str">
        <f>IF(IFERROR(MATCH(148,ChqRankU,0),0)=0,"",INDEX(ChqNo,IFERROR(MATCH(148,ChqRankU,0),0)))</f>
        <v/>
      </c>
      <c r="D164" s="16" t="str">
        <f>IF(IFERROR(MATCH(148,ChqRankU,0),0)=0,"",IF(INDEX(ChqAmt,IFERROR(MATCH(148,ChqRankU,0),0))=0,"",INDEX(ChqAmt,IFERROR(MATCH(148,ChqRankU,0),0))))</f>
        <v/>
      </c>
      <c r="E164" s="10" t="str">
        <f>IF(IFERROR(MATCH(148,ChqRankU,0),0)=0,"",INDEX(ChqStatus,IFERROR(MATCH(148,ChqRankU,0),0)))</f>
        <v/>
      </c>
      <c r="F164" s="15" t="str">
        <f>IF(IFERROR(MATCH(148,ChqRankU,0),0)=0,"",IF(INDEX(ChqStatus,IFERROR(MATCH(148,ChqRankU,0),0))="پاس نشده","—",IF(INDEX(ChqClr,IFERROR(MATCH(148,ChqRankU,0),0))="","—",INDEX(ChqClr,IFERROR(MATCH(148,ChqRankU,0),0)))))</f>
        <v/>
      </c>
      <c r="I164" t="str">
        <f>IF(148&gt;NChq,"",INDEX(ChqNorm,148))</f>
        <v/>
      </c>
      <c r="J164" t="str">
        <f>IF($I164="","",IF(AND($I164&gt;=$H$3,$I164&lt;=$H$4,INDEX(ChqStatus,148)="پاس نشده"),1,0))</f>
        <v/>
      </c>
      <c r="K164" t="str">
        <f>IF($J164=0,"",INDEX(ChqKey,148))</f>
        <v/>
      </c>
      <c r="L164" t="str">
        <f t="shared" si="2"/>
        <v/>
      </c>
    </row>
    <row r="165" spans="1:12" x14ac:dyDescent="0.2">
      <c r="A165" s="3" t="str">
        <f>IF(IFERROR(MATCH(149,ChqRankU,0),0)=0,"",149)</f>
        <v/>
      </c>
      <c r="B165" s="13" t="str">
        <f>IF(IFERROR(MATCH(149,ChqRankU,0),0)=0,"",INDEX(ChqNorm,IFERROR(MATCH(149,ChqRankU,0),0)))</f>
        <v/>
      </c>
      <c r="C165" s="13" t="str">
        <f>IF(IFERROR(MATCH(149,ChqRankU,0),0)=0,"",INDEX(ChqNo,IFERROR(MATCH(149,ChqRankU,0),0)))</f>
        <v/>
      </c>
      <c r="D165" s="14" t="str">
        <f>IF(IFERROR(MATCH(149,ChqRankU,0),0)=0,"",IF(INDEX(ChqAmt,IFERROR(MATCH(149,ChqRankU,0),0))=0,"",INDEX(ChqAmt,IFERROR(MATCH(149,ChqRankU,0),0))))</f>
        <v/>
      </c>
      <c r="E165" s="7" t="str">
        <f>IF(IFERROR(MATCH(149,ChqRankU,0),0)=0,"",INDEX(ChqStatus,IFERROR(MATCH(149,ChqRankU,0),0)))</f>
        <v/>
      </c>
      <c r="F165" s="13" t="str">
        <f>IF(IFERROR(MATCH(149,ChqRankU,0),0)=0,"",IF(INDEX(ChqStatus,IFERROR(MATCH(149,ChqRankU,0),0))="پاس نشده","—",IF(INDEX(ChqClr,IFERROR(MATCH(149,ChqRankU,0),0))="","—",INDEX(ChqClr,IFERROR(MATCH(149,ChqRankU,0),0)))))</f>
        <v/>
      </c>
      <c r="I165" t="str">
        <f>IF(149&gt;NChq,"",INDEX(ChqNorm,149))</f>
        <v/>
      </c>
      <c r="J165" t="str">
        <f>IF($I165="","",IF(AND($I165&gt;=$H$3,$I165&lt;=$H$4,INDEX(ChqStatus,149)="پاس نشده"),1,0))</f>
        <v/>
      </c>
      <c r="K165" t="str">
        <f>IF($J165=0,"",INDEX(ChqKey,149))</f>
        <v/>
      </c>
      <c r="L165" t="str">
        <f t="shared" si="2"/>
        <v/>
      </c>
    </row>
    <row r="166" spans="1:12" x14ac:dyDescent="0.2">
      <c r="A166" s="9" t="str">
        <f>IF(IFERROR(MATCH(150,ChqRankU,0),0)=0,"",150)</f>
        <v/>
      </c>
      <c r="B166" s="15" t="str">
        <f>IF(IFERROR(MATCH(150,ChqRankU,0),0)=0,"",INDEX(ChqNorm,IFERROR(MATCH(150,ChqRankU,0),0)))</f>
        <v/>
      </c>
      <c r="C166" s="15" t="str">
        <f>IF(IFERROR(MATCH(150,ChqRankU,0),0)=0,"",INDEX(ChqNo,IFERROR(MATCH(150,ChqRankU,0),0)))</f>
        <v/>
      </c>
      <c r="D166" s="16" t="str">
        <f>IF(IFERROR(MATCH(150,ChqRankU,0),0)=0,"",IF(INDEX(ChqAmt,IFERROR(MATCH(150,ChqRankU,0),0))=0,"",INDEX(ChqAmt,IFERROR(MATCH(150,ChqRankU,0),0))))</f>
        <v/>
      </c>
      <c r="E166" s="10" t="str">
        <f>IF(IFERROR(MATCH(150,ChqRankU,0),0)=0,"",INDEX(ChqStatus,IFERROR(MATCH(150,ChqRankU,0),0)))</f>
        <v/>
      </c>
      <c r="F166" s="15" t="str">
        <f>IF(IFERROR(MATCH(150,ChqRankU,0),0)=0,"",IF(INDEX(ChqStatus,IFERROR(MATCH(150,ChqRankU,0),0))="پاس نشده","—",IF(INDEX(ChqClr,IFERROR(MATCH(150,ChqRankU,0),0))="","—",INDEX(ChqClr,IFERROR(MATCH(150,ChqRankU,0),0)))))</f>
        <v/>
      </c>
      <c r="I166" t="str">
        <f>IF(150&gt;NChq,"",INDEX(ChqNorm,150))</f>
        <v/>
      </c>
      <c r="J166" t="str">
        <f>IF($I166="","",IF(AND($I166&gt;=$H$3,$I166&lt;=$H$4,INDEX(ChqStatus,150)="پاس نشده"),1,0))</f>
        <v/>
      </c>
      <c r="K166" t="str">
        <f>IF($J166=0,"",INDEX(ChqKey,150))</f>
        <v/>
      </c>
      <c r="L166" t="str">
        <f t="shared" si="2"/>
        <v/>
      </c>
    </row>
    <row r="167" spans="1:12" x14ac:dyDescent="0.2">
      <c r="A167" s="3" t="str">
        <f>IF(IFERROR(MATCH(151,ChqRankU,0),0)=0,"",151)</f>
        <v/>
      </c>
      <c r="B167" s="13" t="str">
        <f>IF(IFERROR(MATCH(151,ChqRankU,0),0)=0,"",INDEX(ChqNorm,IFERROR(MATCH(151,ChqRankU,0),0)))</f>
        <v/>
      </c>
      <c r="C167" s="13" t="str">
        <f>IF(IFERROR(MATCH(151,ChqRankU,0),0)=0,"",INDEX(ChqNo,IFERROR(MATCH(151,ChqRankU,0),0)))</f>
        <v/>
      </c>
      <c r="D167" s="14" t="str">
        <f>IF(IFERROR(MATCH(151,ChqRankU,0),0)=0,"",IF(INDEX(ChqAmt,IFERROR(MATCH(151,ChqRankU,0),0))=0,"",INDEX(ChqAmt,IFERROR(MATCH(151,ChqRankU,0),0))))</f>
        <v/>
      </c>
      <c r="E167" s="7" t="str">
        <f>IF(IFERROR(MATCH(151,ChqRankU,0),0)=0,"",INDEX(ChqStatus,IFERROR(MATCH(151,ChqRankU,0),0)))</f>
        <v/>
      </c>
      <c r="F167" s="13" t="str">
        <f>IF(IFERROR(MATCH(151,ChqRankU,0),0)=0,"",IF(INDEX(ChqStatus,IFERROR(MATCH(151,ChqRankU,0),0))="پاس نشده","—",IF(INDEX(ChqClr,IFERROR(MATCH(151,ChqRankU,0),0))="","—",INDEX(ChqClr,IFERROR(MATCH(151,ChqRankU,0),0)))))</f>
        <v/>
      </c>
      <c r="I167" t="str">
        <f>IF(151&gt;NChq,"",INDEX(ChqNorm,151))</f>
        <v/>
      </c>
      <c r="J167" t="str">
        <f>IF($I167="","",IF(AND($I167&gt;=$H$3,$I167&lt;=$H$4,INDEX(ChqStatus,151)="پاس نشده"),1,0))</f>
        <v/>
      </c>
      <c r="K167" t="str">
        <f>IF($J167=0,"",INDEX(ChqKey,151))</f>
        <v/>
      </c>
      <c r="L167" t="str">
        <f t="shared" si="2"/>
        <v/>
      </c>
    </row>
    <row r="168" spans="1:12" x14ac:dyDescent="0.2">
      <c r="A168" s="9" t="str">
        <f>IF(IFERROR(MATCH(152,ChqRankU,0),0)=0,"",152)</f>
        <v/>
      </c>
      <c r="B168" s="15" t="str">
        <f>IF(IFERROR(MATCH(152,ChqRankU,0),0)=0,"",INDEX(ChqNorm,IFERROR(MATCH(152,ChqRankU,0),0)))</f>
        <v/>
      </c>
      <c r="C168" s="15" t="str">
        <f>IF(IFERROR(MATCH(152,ChqRankU,0),0)=0,"",INDEX(ChqNo,IFERROR(MATCH(152,ChqRankU,0),0)))</f>
        <v/>
      </c>
      <c r="D168" s="16" t="str">
        <f>IF(IFERROR(MATCH(152,ChqRankU,0),0)=0,"",IF(INDEX(ChqAmt,IFERROR(MATCH(152,ChqRankU,0),0))=0,"",INDEX(ChqAmt,IFERROR(MATCH(152,ChqRankU,0),0))))</f>
        <v/>
      </c>
      <c r="E168" s="10" t="str">
        <f>IF(IFERROR(MATCH(152,ChqRankU,0),0)=0,"",INDEX(ChqStatus,IFERROR(MATCH(152,ChqRankU,0),0)))</f>
        <v/>
      </c>
      <c r="F168" s="15" t="str">
        <f>IF(IFERROR(MATCH(152,ChqRankU,0),0)=0,"",IF(INDEX(ChqStatus,IFERROR(MATCH(152,ChqRankU,0),0))="پاس نشده","—",IF(INDEX(ChqClr,IFERROR(MATCH(152,ChqRankU,0),0))="","—",INDEX(ChqClr,IFERROR(MATCH(152,ChqRankU,0),0)))))</f>
        <v/>
      </c>
      <c r="I168" t="str">
        <f>IF(152&gt;NChq,"",INDEX(ChqNorm,152))</f>
        <v/>
      </c>
      <c r="J168" t="str">
        <f>IF($I168="","",IF(AND($I168&gt;=$H$3,$I168&lt;=$H$4,INDEX(ChqStatus,152)="پاس نشده"),1,0))</f>
        <v/>
      </c>
      <c r="K168" t="str">
        <f>IF($J168=0,"",INDEX(ChqKey,152))</f>
        <v/>
      </c>
      <c r="L168" t="str">
        <f t="shared" si="2"/>
        <v/>
      </c>
    </row>
    <row r="169" spans="1:12" x14ac:dyDescent="0.2">
      <c r="A169" s="3" t="str">
        <f>IF(IFERROR(MATCH(153,ChqRankU,0),0)=0,"",153)</f>
        <v/>
      </c>
      <c r="B169" s="13" t="str">
        <f>IF(IFERROR(MATCH(153,ChqRankU,0),0)=0,"",INDEX(ChqNorm,IFERROR(MATCH(153,ChqRankU,0),0)))</f>
        <v/>
      </c>
      <c r="C169" s="13" t="str">
        <f>IF(IFERROR(MATCH(153,ChqRankU,0),0)=0,"",INDEX(ChqNo,IFERROR(MATCH(153,ChqRankU,0),0)))</f>
        <v/>
      </c>
      <c r="D169" s="14" t="str">
        <f>IF(IFERROR(MATCH(153,ChqRankU,0),0)=0,"",IF(INDEX(ChqAmt,IFERROR(MATCH(153,ChqRankU,0),0))=0,"",INDEX(ChqAmt,IFERROR(MATCH(153,ChqRankU,0),0))))</f>
        <v/>
      </c>
      <c r="E169" s="7" t="str">
        <f>IF(IFERROR(MATCH(153,ChqRankU,0),0)=0,"",INDEX(ChqStatus,IFERROR(MATCH(153,ChqRankU,0),0)))</f>
        <v/>
      </c>
      <c r="F169" s="13" t="str">
        <f>IF(IFERROR(MATCH(153,ChqRankU,0),0)=0,"",IF(INDEX(ChqStatus,IFERROR(MATCH(153,ChqRankU,0),0))="پاس نشده","—",IF(INDEX(ChqClr,IFERROR(MATCH(153,ChqRankU,0),0))="","—",INDEX(ChqClr,IFERROR(MATCH(153,ChqRankU,0),0)))))</f>
        <v/>
      </c>
      <c r="I169" t="str">
        <f>IF(153&gt;NChq,"",INDEX(ChqNorm,153))</f>
        <v/>
      </c>
      <c r="J169" t="str">
        <f>IF($I169="","",IF(AND($I169&gt;=$H$3,$I169&lt;=$H$4,INDEX(ChqStatus,153)="پاس نشده"),1,0))</f>
        <v/>
      </c>
      <c r="K169" t="str">
        <f>IF($J169=0,"",INDEX(ChqKey,153))</f>
        <v/>
      </c>
      <c r="L169" t="str">
        <f t="shared" si="2"/>
        <v/>
      </c>
    </row>
    <row r="170" spans="1:12" x14ac:dyDescent="0.2">
      <c r="A170" s="9" t="str">
        <f>IF(IFERROR(MATCH(154,ChqRankU,0),0)=0,"",154)</f>
        <v/>
      </c>
      <c r="B170" s="15" t="str">
        <f>IF(IFERROR(MATCH(154,ChqRankU,0),0)=0,"",INDEX(ChqNorm,IFERROR(MATCH(154,ChqRankU,0),0)))</f>
        <v/>
      </c>
      <c r="C170" s="15" t="str">
        <f>IF(IFERROR(MATCH(154,ChqRankU,0),0)=0,"",INDEX(ChqNo,IFERROR(MATCH(154,ChqRankU,0),0)))</f>
        <v/>
      </c>
      <c r="D170" s="16" t="str">
        <f>IF(IFERROR(MATCH(154,ChqRankU,0),0)=0,"",IF(INDEX(ChqAmt,IFERROR(MATCH(154,ChqRankU,0),0))=0,"",INDEX(ChqAmt,IFERROR(MATCH(154,ChqRankU,0),0))))</f>
        <v/>
      </c>
      <c r="E170" s="10" t="str">
        <f>IF(IFERROR(MATCH(154,ChqRankU,0),0)=0,"",INDEX(ChqStatus,IFERROR(MATCH(154,ChqRankU,0),0)))</f>
        <v/>
      </c>
      <c r="F170" s="15" t="str">
        <f>IF(IFERROR(MATCH(154,ChqRankU,0),0)=0,"",IF(INDEX(ChqStatus,IFERROR(MATCH(154,ChqRankU,0),0))="پاس نشده","—",IF(INDEX(ChqClr,IFERROR(MATCH(154,ChqRankU,0),0))="","—",INDEX(ChqClr,IFERROR(MATCH(154,ChqRankU,0),0)))))</f>
        <v/>
      </c>
      <c r="I170" t="str">
        <f>IF(154&gt;NChq,"",INDEX(ChqNorm,154))</f>
        <v/>
      </c>
      <c r="J170" t="str">
        <f>IF($I170="","",IF(AND($I170&gt;=$H$3,$I170&lt;=$H$4,INDEX(ChqStatus,154)="پاس نشده"),1,0))</f>
        <v/>
      </c>
      <c r="K170" t="str">
        <f>IF($J170=0,"",INDEX(ChqKey,154))</f>
        <v/>
      </c>
      <c r="L170" t="str">
        <f t="shared" si="2"/>
        <v/>
      </c>
    </row>
    <row r="171" spans="1:12" x14ac:dyDescent="0.2">
      <c r="A171" s="3" t="str">
        <f>IF(IFERROR(MATCH(155,ChqRankU,0),0)=0,"",155)</f>
        <v/>
      </c>
      <c r="B171" s="13" t="str">
        <f>IF(IFERROR(MATCH(155,ChqRankU,0),0)=0,"",INDEX(ChqNorm,IFERROR(MATCH(155,ChqRankU,0),0)))</f>
        <v/>
      </c>
      <c r="C171" s="13" t="str">
        <f>IF(IFERROR(MATCH(155,ChqRankU,0),0)=0,"",INDEX(ChqNo,IFERROR(MATCH(155,ChqRankU,0),0)))</f>
        <v/>
      </c>
      <c r="D171" s="14" t="str">
        <f>IF(IFERROR(MATCH(155,ChqRankU,0),0)=0,"",IF(INDEX(ChqAmt,IFERROR(MATCH(155,ChqRankU,0),0))=0,"",INDEX(ChqAmt,IFERROR(MATCH(155,ChqRankU,0),0))))</f>
        <v/>
      </c>
      <c r="E171" s="7" t="str">
        <f>IF(IFERROR(MATCH(155,ChqRankU,0),0)=0,"",INDEX(ChqStatus,IFERROR(MATCH(155,ChqRankU,0),0)))</f>
        <v/>
      </c>
      <c r="F171" s="13" t="str">
        <f>IF(IFERROR(MATCH(155,ChqRankU,0),0)=0,"",IF(INDEX(ChqStatus,IFERROR(MATCH(155,ChqRankU,0),0))="پاس نشده","—",IF(INDEX(ChqClr,IFERROR(MATCH(155,ChqRankU,0),0))="","—",INDEX(ChqClr,IFERROR(MATCH(155,ChqRankU,0),0)))))</f>
        <v/>
      </c>
      <c r="I171" t="str">
        <f>IF(155&gt;NChq,"",INDEX(ChqNorm,155))</f>
        <v/>
      </c>
      <c r="J171" t="str">
        <f>IF($I171="","",IF(AND($I171&gt;=$H$3,$I171&lt;=$H$4,INDEX(ChqStatus,155)="پاس نشده"),1,0))</f>
        <v/>
      </c>
      <c r="K171" t="str">
        <f>IF($J171=0,"",INDEX(ChqKey,155))</f>
        <v/>
      </c>
      <c r="L171" t="str">
        <f t="shared" si="2"/>
        <v/>
      </c>
    </row>
    <row r="172" spans="1:12" x14ac:dyDescent="0.2">
      <c r="A172" s="9" t="str">
        <f>IF(IFERROR(MATCH(156,ChqRankU,0),0)=0,"",156)</f>
        <v/>
      </c>
      <c r="B172" s="15" t="str">
        <f>IF(IFERROR(MATCH(156,ChqRankU,0),0)=0,"",INDEX(ChqNorm,IFERROR(MATCH(156,ChqRankU,0),0)))</f>
        <v/>
      </c>
      <c r="C172" s="15" t="str">
        <f>IF(IFERROR(MATCH(156,ChqRankU,0),0)=0,"",INDEX(ChqNo,IFERROR(MATCH(156,ChqRankU,0),0)))</f>
        <v/>
      </c>
      <c r="D172" s="16" t="str">
        <f>IF(IFERROR(MATCH(156,ChqRankU,0),0)=0,"",IF(INDEX(ChqAmt,IFERROR(MATCH(156,ChqRankU,0),0))=0,"",INDEX(ChqAmt,IFERROR(MATCH(156,ChqRankU,0),0))))</f>
        <v/>
      </c>
      <c r="E172" s="10" t="str">
        <f>IF(IFERROR(MATCH(156,ChqRankU,0),0)=0,"",INDEX(ChqStatus,IFERROR(MATCH(156,ChqRankU,0),0)))</f>
        <v/>
      </c>
      <c r="F172" s="15" t="str">
        <f>IF(IFERROR(MATCH(156,ChqRankU,0),0)=0,"",IF(INDEX(ChqStatus,IFERROR(MATCH(156,ChqRankU,0),0))="پاس نشده","—",IF(INDEX(ChqClr,IFERROR(MATCH(156,ChqRankU,0),0))="","—",INDEX(ChqClr,IFERROR(MATCH(156,ChqRankU,0),0)))))</f>
        <v/>
      </c>
      <c r="I172" t="str">
        <f>IF(156&gt;NChq,"",INDEX(ChqNorm,156))</f>
        <v/>
      </c>
      <c r="J172" t="str">
        <f>IF($I172="","",IF(AND($I172&gt;=$H$3,$I172&lt;=$H$4,INDEX(ChqStatus,156)="پاس نشده"),1,0))</f>
        <v/>
      </c>
      <c r="K172" t="str">
        <f>IF($J172=0,"",INDEX(ChqKey,156))</f>
        <v/>
      </c>
      <c r="L172" t="str">
        <f t="shared" si="2"/>
        <v/>
      </c>
    </row>
    <row r="173" spans="1:12" x14ac:dyDescent="0.2">
      <c r="A173" s="3" t="str">
        <f>IF(IFERROR(MATCH(157,ChqRankU,0),0)=0,"",157)</f>
        <v/>
      </c>
      <c r="B173" s="13" t="str">
        <f>IF(IFERROR(MATCH(157,ChqRankU,0),0)=0,"",INDEX(ChqNorm,IFERROR(MATCH(157,ChqRankU,0),0)))</f>
        <v/>
      </c>
      <c r="C173" s="13" t="str">
        <f>IF(IFERROR(MATCH(157,ChqRankU,0),0)=0,"",INDEX(ChqNo,IFERROR(MATCH(157,ChqRankU,0),0)))</f>
        <v/>
      </c>
      <c r="D173" s="14" t="str">
        <f>IF(IFERROR(MATCH(157,ChqRankU,0),0)=0,"",IF(INDEX(ChqAmt,IFERROR(MATCH(157,ChqRankU,0),0))=0,"",INDEX(ChqAmt,IFERROR(MATCH(157,ChqRankU,0),0))))</f>
        <v/>
      </c>
      <c r="E173" s="7" t="str">
        <f>IF(IFERROR(MATCH(157,ChqRankU,0),0)=0,"",INDEX(ChqStatus,IFERROR(MATCH(157,ChqRankU,0),0)))</f>
        <v/>
      </c>
      <c r="F173" s="13" t="str">
        <f>IF(IFERROR(MATCH(157,ChqRankU,0),0)=0,"",IF(INDEX(ChqStatus,IFERROR(MATCH(157,ChqRankU,0),0))="پاس نشده","—",IF(INDEX(ChqClr,IFERROR(MATCH(157,ChqRankU,0),0))="","—",INDEX(ChqClr,IFERROR(MATCH(157,ChqRankU,0),0)))))</f>
        <v/>
      </c>
      <c r="I173" t="str">
        <f>IF(157&gt;NChq,"",INDEX(ChqNorm,157))</f>
        <v/>
      </c>
      <c r="J173" t="str">
        <f>IF($I173="","",IF(AND($I173&gt;=$H$3,$I173&lt;=$H$4,INDEX(ChqStatus,157)="پاس نشده"),1,0))</f>
        <v/>
      </c>
      <c r="K173" t="str">
        <f>IF($J173=0,"",INDEX(ChqKey,157))</f>
        <v/>
      </c>
      <c r="L173" t="str">
        <f t="shared" si="2"/>
        <v/>
      </c>
    </row>
    <row r="174" spans="1:12" x14ac:dyDescent="0.2">
      <c r="A174" s="9" t="str">
        <f>IF(IFERROR(MATCH(158,ChqRankU,0),0)=0,"",158)</f>
        <v/>
      </c>
      <c r="B174" s="15" t="str">
        <f>IF(IFERROR(MATCH(158,ChqRankU,0),0)=0,"",INDEX(ChqNorm,IFERROR(MATCH(158,ChqRankU,0),0)))</f>
        <v/>
      </c>
      <c r="C174" s="15" t="str">
        <f>IF(IFERROR(MATCH(158,ChqRankU,0),0)=0,"",INDEX(ChqNo,IFERROR(MATCH(158,ChqRankU,0),0)))</f>
        <v/>
      </c>
      <c r="D174" s="16" t="str">
        <f>IF(IFERROR(MATCH(158,ChqRankU,0),0)=0,"",IF(INDEX(ChqAmt,IFERROR(MATCH(158,ChqRankU,0),0))=0,"",INDEX(ChqAmt,IFERROR(MATCH(158,ChqRankU,0),0))))</f>
        <v/>
      </c>
      <c r="E174" s="10" t="str">
        <f>IF(IFERROR(MATCH(158,ChqRankU,0),0)=0,"",INDEX(ChqStatus,IFERROR(MATCH(158,ChqRankU,0),0)))</f>
        <v/>
      </c>
      <c r="F174" s="15" t="str">
        <f>IF(IFERROR(MATCH(158,ChqRankU,0),0)=0,"",IF(INDEX(ChqStatus,IFERROR(MATCH(158,ChqRankU,0),0))="پاس نشده","—",IF(INDEX(ChqClr,IFERROR(MATCH(158,ChqRankU,0),0))="","—",INDEX(ChqClr,IFERROR(MATCH(158,ChqRankU,0),0)))))</f>
        <v/>
      </c>
      <c r="I174" t="str">
        <f>IF(158&gt;NChq,"",INDEX(ChqNorm,158))</f>
        <v/>
      </c>
      <c r="J174" t="str">
        <f>IF($I174="","",IF(AND($I174&gt;=$H$3,$I174&lt;=$H$4,INDEX(ChqStatus,158)="پاس نشده"),1,0))</f>
        <v/>
      </c>
      <c r="K174" t="str">
        <f>IF($J174=0,"",INDEX(ChqKey,158))</f>
        <v/>
      </c>
      <c r="L174" t="str">
        <f t="shared" si="2"/>
        <v/>
      </c>
    </row>
    <row r="175" spans="1:12" x14ac:dyDescent="0.2">
      <c r="A175" s="3" t="str">
        <f>IF(IFERROR(MATCH(159,ChqRankU,0),0)=0,"",159)</f>
        <v/>
      </c>
      <c r="B175" s="13" t="str">
        <f>IF(IFERROR(MATCH(159,ChqRankU,0),0)=0,"",INDEX(ChqNorm,IFERROR(MATCH(159,ChqRankU,0),0)))</f>
        <v/>
      </c>
      <c r="C175" s="13" t="str">
        <f>IF(IFERROR(MATCH(159,ChqRankU,0),0)=0,"",INDEX(ChqNo,IFERROR(MATCH(159,ChqRankU,0),0)))</f>
        <v/>
      </c>
      <c r="D175" s="14" t="str">
        <f>IF(IFERROR(MATCH(159,ChqRankU,0),0)=0,"",IF(INDEX(ChqAmt,IFERROR(MATCH(159,ChqRankU,0),0))=0,"",INDEX(ChqAmt,IFERROR(MATCH(159,ChqRankU,0),0))))</f>
        <v/>
      </c>
      <c r="E175" s="7" t="str">
        <f>IF(IFERROR(MATCH(159,ChqRankU,0),0)=0,"",INDEX(ChqStatus,IFERROR(MATCH(159,ChqRankU,0),0)))</f>
        <v/>
      </c>
      <c r="F175" s="13" t="str">
        <f>IF(IFERROR(MATCH(159,ChqRankU,0),0)=0,"",IF(INDEX(ChqStatus,IFERROR(MATCH(159,ChqRankU,0),0))="پاس نشده","—",IF(INDEX(ChqClr,IFERROR(MATCH(159,ChqRankU,0),0))="","—",INDEX(ChqClr,IFERROR(MATCH(159,ChqRankU,0),0)))))</f>
        <v/>
      </c>
      <c r="I175" t="str">
        <f>IF(159&gt;NChq,"",INDEX(ChqNorm,159))</f>
        <v/>
      </c>
      <c r="J175" t="str">
        <f>IF($I175="","",IF(AND($I175&gt;=$H$3,$I175&lt;=$H$4,INDEX(ChqStatus,159)="پاس نشده"),1,0))</f>
        <v/>
      </c>
      <c r="K175" t="str">
        <f>IF($J175=0,"",INDEX(ChqKey,159))</f>
        <v/>
      </c>
      <c r="L175" t="str">
        <f t="shared" si="2"/>
        <v/>
      </c>
    </row>
    <row r="176" spans="1:12" x14ac:dyDescent="0.2">
      <c r="A176" s="9" t="str">
        <f>IF(IFERROR(MATCH(160,ChqRankU,0),0)=0,"",160)</f>
        <v/>
      </c>
      <c r="B176" s="15" t="str">
        <f>IF(IFERROR(MATCH(160,ChqRankU,0),0)=0,"",INDEX(ChqNorm,IFERROR(MATCH(160,ChqRankU,0),0)))</f>
        <v/>
      </c>
      <c r="C176" s="15" t="str">
        <f>IF(IFERROR(MATCH(160,ChqRankU,0),0)=0,"",INDEX(ChqNo,IFERROR(MATCH(160,ChqRankU,0),0)))</f>
        <v/>
      </c>
      <c r="D176" s="16" t="str">
        <f>IF(IFERROR(MATCH(160,ChqRankU,0),0)=0,"",IF(INDEX(ChqAmt,IFERROR(MATCH(160,ChqRankU,0),0))=0,"",INDEX(ChqAmt,IFERROR(MATCH(160,ChqRankU,0),0))))</f>
        <v/>
      </c>
      <c r="E176" s="10" t="str">
        <f>IF(IFERROR(MATCH(160,ChqRankU,0),0)=0,"",INDEX(ChqStatus,IFERROR(MATCH(160,ChqRankU,0),0)))</f>
        <v/>
      </c>
      <c r="F176" s="15" t="str">
        <f>IF(IFERROR(MATCH(160,ChqRankU,0),0)=0,"",IF(INDEX(ChqStatus,IFERROR(MATCH(160,ChqRankU,0),0))="پاس نشده","—",IF(INDEX(ChqClr,IFERROR(MATCH(160,ChqRankU,0),0))="","—",INDEX(ChqClr,IFERROR(MATCH(160,ChqRankU,0),0)))))</f>
        <v/>
      </c>
      <c r="I176" t="str">
        <f>IF(160&gt;NChq,"",INDEX(ChqNorm,160))</f>
        <v/>
      </c>
      <c r="J176" t="str">
        <f>IF($I176="","",IF(AND($I176&gt;=$H$3,$I176&lt;=$H$4,INDEX(ChqStatus,160)="پاس نشده"),1,0))</f>
        <v/>
      </c>
      <c r="K176" t="str">
        <f>IF($J176=0,"",INDEX(ChqKey,160))</f>
        <v/>
      </c>
      <c r="L176" t="str">
        <f t="shared" si="2"/>
        <v/>
      </c>
    </row>
    <row r="177" spans="1:12" x14ac:dyDescent="0.2">
      <c r="A177" s="3" t="str">
        <f>IF(IFERROR(MATCH(161,ChqRankU,0),0)=0,"",161)</f>
        <v/>
      </c>
      <c r="B177" s="13" t="str">
        <f>IF(IFERROR(MATCH(161,ChqRankU,0),0)=0,"",INDEX(ChqNorm,IFERROR(MATCH(161,ChqRankU,0),0)))</f>
        <v/>
      </c>
      <c r="C177" s="13" t="str">
        <f>IF(IFERROR(MATCH(161,ChqRankU,0),0)=0,"",INDEX(ChqNo,IFERROR(MATCH(161,ChqRankU,0),0)))</f>
        <v/>
      </c>
      <c r="D177" s="14" t="str">
        <f>IF(IFERROR(MATCH(161,ChqRankU,0),0)=0,"",IF(INDEX(ChqAmt,IFERROR(MATCH(161,ChqRankU,0),0))=0,"",INDEX(ChqAmt,IFERROR(MATCH(161,ChqRankU,0),0))))</f>
        <v/>
      </c>
      <c r="E177" s="7" t="str">
        <f>IF(IFERROR(MATCH(161,ChqRankU,0),0)=0,"",INDEX(ChqStatus,IFERROR(MATCH(161,ChqRankU,0),0)))</f>
        <v/>
      </c>
      <c r="F177" s="13" t="str">
        <f>IF(IFERROR(MATCH(161,ChqRankU,0),0)=0,"",IF(INDEX(ChqStatus,IFERROR(MATCH(161,ChqRankU,0),0))="پاس نشده","—",IF(INDEX(ChqClr,IFERROR(MATCH(161,ChqRankU,0),0))="","—",INDEX(ChqClr,IFERROR(MATCH(161,ChqRankU,0),0)))))</f>
        <v/>
      </c>
      <c r="I177" t="str">
        <f>IF(161&gt;NChq,"",INDEX(ChqNorm,161))</f>
        <v/>
      </c>
      <c r="J177" t="str">
        <f>IF($I177="","",IF(AND($I177&gt;=$H$3,$I177&lt;=$H$4,INDEX(ChqStatus,161)="پاس نشده"),1,0))</f>
        <v/>
      </c>
      <c r="K177" t="str">
        <f>IF($J177=0,"",INDEX(ChqKey,161))</f>
        <v/>
      </c>
      <c r="L177" t="str">
        <f t="shared" si="2"/>
        <v/>
      </c>
    </row>
    <row r="178" spans="1:12" x14ac:dyDescent="0.2">
      <c r="A178" s="9" t="str">
        <f>IF(IFERROR(MATCH(162,ChqRankU,0),0)=0,"",162)</f>
        <v/>
      </c>
      <c r="B178" s="15" t="str">
        <f>IF(IFERROR(MATCH(162,ChqRankU,0),0)=0,"",INDEX(ChqNorm,IFERROR(MATCH(162,ChqRankU,0),0)))</f>
        <v/>
      </c>
      <c r="C178" s="15" t="str">
        <f>IF(IFERROR(MATCH(162,ChqRankU,0),0)=0,"",INDEX(ChqNo,IFERROR(MATCH(162,ChqRankU,0),0)))</f>
        <v/>
      </c>
      <c r="D178" s="16" t="str">
        <f>IF(IFERROR(MATCH(162,ChqRankU,0),0)=0,"",IF(INDEX(ChqAmt,IFERROR(MATCH(162,ChqRankU,0),0))=0,"",INDEX(ChqAmt,IFERROR(MATCH(162,ChqRankU,0),0))))</f>
        <v/>
      </c>
      <c r="E178" s="10" t="str">
        <f>IF(IFERROR(MATCH(162,ChqRankU,0),0)=0,"",INDEX(ChqStatus,IFERROR(MATCH(162,ChqRankU,0),0)))</f>
        <v/>
      </c>
      <c r="F178" s="15" t="str">
        <f>IF(IFERROR(MATCH(162,ChqRankU,0),0)=0,"",IF(INDEX(ChqStatus,IFERROR(MATCH(162,ChqRankU,0),0))="پاس نشده","—",IF(INDEX(ChqClr,IFERROR(MATCH(162,ChqRankU,0),0))="","—",INDEX(ChqClr,IFERROR(MATCH(162,ChqRankU,0),0)))))</f>
        <v/>
      </c>
      <c r="I178" t="str">
        <f>IF(162&gt;NChq,"",INDEX(ChqNorm,162))</f>
        <v/>
      </c>
      <c r="J178" t="str">
        <f>IF($I178="","",IF(AND($I178&gt;=$H$3,$I178&lt;=$H$4,INDEX(ChqStatus,162)="پاس نشده"),1,0))</f>
        <v/>
      </c>
      <c r="K178" t="str">
        <f>IF($J178=0,"",INDEX(ChqKey,162))</f>
        <v/>
      </c>
      <c r="L178" t="str">
        <f t="shared" si="2"/>
        <v/>
      </c>
    </row>
    <row r="179" spans="1:12" x14ac:dyDescent="0.2">
      <c r="A179" s="3" t="str">
        <f>IF(IFERROR(MATCH(163,ChqRankU,0),0)=0,"",163)</f>
        <v/>
      </c>
      <c r="B179" s="13" t="str">
        <f>IF(IFERROR(MATCH(163,ChqRankU,0),0)=0,"",INDEX(ChqNorm,IFERROR(MATCH(163,ChqRankU,0),0)))</f>
        <v/>
      </c>
      <c r="C179" s="13" t="str">
        <f>IF(IFERROR(MATCH(163,ChqRankU,0),0)=0,"",INDEX(ChqNo,IFERROR(MATCH(163,ChqRankU,0),0)))</f>
        <v/>
      </c>
      <c r="D179" s="14" t="str">
        <f>IF(IFERROR(MATCH(163,ChqRankU,0),0)=0,"",IF(INDEX(ChqAmt,IFERROR(MATCH(163,ChqRankU,0),0))=0,"",INDEX(ChqAmt,IFERROR(MATCH(163,ChqRankU,0),0))))</f>
        <v/>
      </c>
      <c r="E179" s="7" t="str">
        <f>IF(IFERROR(MATCH(163,ChqRankU,0),0)=0,"",INDEX(ChqStatus,IFERROR(MATCH(163,ChqRankU,0),0)))</f>
        <v/>
      </c>
      <c r="F179" s="13" t="str">
        <f>IF(IFERROR(MATCH(163,ChqRankU,0),0)=0,"",IF(INDEX(ChqStatus,IFERROR(MATCH(163,ChqRankU,0),0))="پاس نشده","—",IF(INDEX(ChqClr,IFERROR(MATCH(163,ChqRankU,0),0))="","—",INDEX(ChqClr,IFERROR(MATCH(163,ChqRankU,0),0)))))</f>
        <v/>
      </c>
      <c r="I179" t="str">
        <f>IF(163&gt;NChq,"",INDEX(ChqNorm,163))</f>
        <v/>
      </c>
      <c r="J179" t="str">
        <f>IF($I179="","",IF(AND($I179&gt;=$H$3,$I179&lt;=$H$4,INDEX(ChqStatus,163)="پاس نشده"),1,0))</f>
        <v/>
      </c>
      <c r="K179" t="str">
        <f>IF($J179=0,"",INDEX(ChqKey,163))</f>
        <v/>
      </c>
      <c r="L179" t="str">
        <f t="shared" si="2"/>
        <v/>
      </c>
    </row>
    <row r="180" spans="1:12" x14ac:dyDescent="0.2">
      <c r="A180" s="9" t="str">
        <f>IF(IFERROR(MATCH(164,ChqRankU,0),0)=0,"",164)</f>
        <v/>
      </c>
      <c r="B180" s="15" t="str">
        <f>IF(IFERROR(MATCH(164,ChqRankU,0),0)=0,"",INDEX(ChqNorm,IFERROR(MATCH(164,ChqRankU,0),0)))</f>
        <v/>
      </c>
      <c r="C180" s="15" t="str">
        <f>IF(IFERROR(MATCH(164,ChqRankU,0),0)=0,"",INDEX(ChqNo,IFERROR(MATCH(164,ChqRankU,0),0)))</f>
        <v/>
      </c>
      <c r="D180" s="16" t="str">
        <f>IF(IFERROR(MATCH(164,ChqRankU,0),0)=0,"",IF(INDEX(ChqAmt,IFERROR(MATCH(164,ChqRankU,0),0))=0,"",INDEX(ChqAmt,IFERROR(MATCH(164,ChqRankU,0),0))))</f>
        <v/>
      </c>
      <c r="E180" s="10" t="str">
        <f>IF(IFERROR(MATCH(164,ChqRankU,0),0)=0,"",INDEX(ChqStatus,IFERROR(MATCH(164,ChqRankU,0),0)))</f>
        <v/>
      </c>
      <c r="F180" s="15" t="str">
        <f>IF(IFERROR(MATCH(164,ChqRankU,0),0)=0,"",IF(INDEX(ChqStatus,IFERROR(MATCH(164,ChqRankU,0),0))="پاس نشده","—",IF(INDEX(ChqClr,IFERROR(MATCH(164,ChqRankU,0),0))="","—",INDEX(ChqClr,IFERROR(MATCH(164,ChqRankU,0),0)))))</f>
        <v/>
      </c>
      <c r="I180" t="str">
        <f>IF(164&gt;NChq,"",INDEX(ChqNorm,164))</f>
        <v/>
      </c>
      <c r="J180" t="str">
        <f>IF($I180="","",IF(AND($I180&gt;=$H$3,$I180&lt;=$H$4,INDEX(ChqStatus,164)="پاس نشده"),1,0))</f>
        <v/>
      </c>
      <c r="K180" t="str">
        <f>IF($J180=0,"",INDEX(ChqKey,164))</f>
        <v/>
      </c>
      <c r="L180" t="str">
        <f t="shared" si="2"/>
        <v/>
      </c>
    </row>
    <row r="181" spans="1:12" x14ac:dyDescent="0.2">
      <c r="A181" s="3" t="str">
        <f>IF(IFERROR(MATCH(165,ChqRankU,0),0)=0,"",165)</f>
        <v/>
      </c>
      <c r="B181" s="13" t="str">
        <f>IF(IFERROR(MATCH(165,ChqRankU,0),0)=0,"",INDEX(ChqNorm,IFERROR(MATCH(165,ChqRankU,0),0)))</f>
        <v/>
      </c>
      <c r="C181" s="13" t="str">
        <f>IF(IFERROR(MATCH(165,ChqRankU,0),0)=0,"",INDEX(ChqNo,IFERROR(MATCH(165,ChqRankU,0),0)))</f>
        <v/>
      </c>
      <c r="D181" s="14" t="str">
        <f>IF(IFERROR(MATCH(165,ChqRankU,0),0)=0,"",IF(INDEX(ChqAmt,IFERROR(MATCH(165,ChqRankU,0),0))=0,"",INDEX(ChqAmt,IFERROR(MATCH(165,ChqRankU,0),0))))</f>
        <v/>
      </c>
      <c r="E181" s="7" t="str">
        <f>IF(IFERROR(MATCH(165,ChqRankU,0),0)=0,"",INDEX(ChqStatus,IFERROR(MATCH(165,ChqRankU,0),0)))</f>
        <v/>
      </c>
      <c r="F181" s="13" t="str">
        <f>IF(IFERROR(MATCH(165,ChqRankU,0),0)=0,"",IF(INDEX(ChqStatus,IFERROR(MATCH(165,ChqRankU,0),0))="پاس نشده","—",IF(INDEX(ChqClr,IFERROR(MATCH(165,ChqRankU,0),0))="","—",INDEX(ChqClr,IFERROR(MATCH(165,ChqRankU,0),0)))))</f>
        <v/>
      </c>
      <c r="I181" t="str">
        <f>IF(165&gt;NChq,"",INDEX(ChqNorm,165))</f>
        <v/>
      </c>
      <c r="J181" t="str">
        <f>IF($I181="","",IF(AND($I181&gt;=$H$3,$I181&lt;=$H$4,INDEX(ChqStatus,165)="پاس نشده"),1,0))</f>
        <v/>
      </c>
      <c r="K181" t="str">
        <f>IF($J181=0,"",INDEX(ChqKey,165))</f>
        <v/>
      </c>
      <c r="L181" t="str">
        <f t="shared" si="2"/>
        <v/>
      </c>
    </row>
    <row r="182" spans="1:12" x14ac:dyDescent="0.2">
      <c r="A182" s="9" t="str">
        <f>IF(IFERROR(MATCH(166,ChqRankU,0),0)=0,"",166)</f>
        <v/>
      </c>
      <c r="B182" s="15" t="str">
        <f>IF(IFERROR(MATCH(166,ChqRankU,0),0)=0,"",INDEX(ChqNorm,IFERROR(MATCH(166,ChqRankU,0),0)))</f>
        <v/>
      </c>
      <c r="C182" s="15" t="str">
        <f>IF(IFERROR(MATCH(166,ChqRankU,0),0)=0,"",INDEX(ChqNo,IFERROR(MATCH(166,ChqRankU,0),0)))</f>
        <v/>
      </c>
      <c r="D182" s="16" t="str">
        <f>IF(IFERROR(MATCH(166,ChqRankU,0),0)=0,"",IF(INDEX(ChqAmt,IFERROR(MATCH(166,ChqRankU,0),0))=0,"",INDEX(ChqAmt,IFERROR(MATCH(166,ChqRankU,0),0))))</f>
        <v/>
      </c>
      <c r="E182" s="10" t="str">
        <f>IF(IFERROR(MATCH(166,ChqRankU,0),0)=0,"",INDEX(ChqStatus,IFERROR(MATCH(166,ChqRankU,0),0)))</f>
        <v/>
      </c>
      <c r="F182" s="15" t="str">
        <f>IF(IFERROR(MATCH(166,ChqRankU,0),0)=0,"",IF(INDEX(ChqStatus,IFERROR(MATCH(166,ChqRankU,0),0))="پاس نشده","—",IF(INDEX(ChqClr,IFERROR(MATCH(166,ChqRankU,0),0))="","—",INDEX(ChqClr,IFERROR(MATCH(166,ChqRankU,0),0)))))</f>
        <v/>
      </c>
      <c r="I182" t="str">
        <f>IF(166&gt;NChq,"",INDEX(ChqNorm,166))</f>
        <v/>
      </c>
      <c r="J182" t="str">
        <f>IF($I182="","",IF(AND($I182&gt;=$H$3,$I182&lt;=$H$4,INDEX(ChqStatus,166)="پاس نشده"),1,0))</f>
        <v/>
      </c>
      <c r="K182" t="str">
        <f>IF($J182=0,"",INDEX(ChqKey,166))</f>
        <v/>
      </c>
      <c r="L182" t="str">
        <f t="shared" si="2"/>
        <v/>
      </c>
    </row>
    <row r="183" spans="1:12" x14ac:dyDescent="0.2">
      <c r="A183" s="3" t="str">
        <f>IF(IFERROR(MATCH(167,ChqRankU,0),0)=0,"",167)</f>
        <v/>
      </c>
      <c r="B183" s="13" t="str">
        <f>IF(IFERROR(MATCH(167,ChqRankU,0),0)=0,"",INDEX(ChqNorm,IFERROR(MATCH(167,ChqRankU,0),0)))</f>
        <v/>
      </c>
      <c r="C183" s="13" t="str">
        <f>IF(IFERROR(MATCH(167,ChqRankU,0),0)=0,"",INDEX(ChqNo,IFERROR(MATCH(167,ChqRankU,0),0)))</f>
        <v/>
      </c>
      <c r="D183" s="14" t="str">
        <f>IF(IFERROR(MATCH(167,ChqRankU,0),0)=0,"",IF(INDEX(ChqAmt,IFERROR(MATCH(167,ChqRankU,0),0))=0,"",INDEX(ChqAmt,IFERROR(MATCH(167,ChqRankU,0),0))))</f>
        <v/>
      </c>
      <c r="E183" s="7" t="str">
        <f>IF(IFERROR(MATCH(167,ChqRankU,0),0)=0,"",INDEX(ChqStatus,IFERROR(MATCH(167,ChqRankU,0),0)))</f>
        <v/>
      </c>
      <c r="F183" s="13" t="str">
        <f>IF(IFERROR(MATCH(167,ChqRankU,0),0)=0,"",IF(INDEX(ChqStatus,IFERROR(MATCH(167,ChqRankU,0),0))="پاس نشده","—",IF(INDEX(ChqClr,IFERROR(MATCH(167,ChqRankU,0),0))="","—",INDEX(ChqClr,IFERROR(MATCH(167,ChqRankU,0),0)))))</f>
        <v/>
      </c>
      <c r="I183" t="str">
        <f>IF(167&gt;NChq,"",INDEX(ChqNorm,167))</f>
        <v/>
      </c>
      <c r="J183" t="str">
        <f>IF($I183="","",IF(AND($I183&gt;=$H$3,$I183&lt;=$H$4,INDEX(ChqStatus,167)="پاس نشده"),1,0))</f>
        <v/>
      </c>
      <c r="K183" t="str">
        <f>IF($J183=0,"",INDEX(ChqKey,167))</f>
        <v/>
      </c>
      <c r="L183" t="str">
        <f t="shared" si="2"/>
        <v/>
      </c>
    </row>
    <row r="184" spans="1:12" x14ac:dyDescent="0.2">
      <c r="A184" s="9" t="str">
        <f>IF(IFERROR(MATCH(168,ChqRankU,0),0)=0,"",168)</f>
        <v/>
      </c>
      <c r="B184" s="15" t="str">
        <f>IF(IFERROR(MATCH(168,ChqRankU,0),0)=0,"",INDEX(ChqNorm,IFERROR(MATCH(168,ChqRankU,0),0)))</f>
        <v/>
      </c>
      <c r="C184" s="15" t="str">
        <f>IF(IFERROR(MATCH(168,ChqRankU,0),0)=0,"",INDEX(ChqNo,IFERROR(MATCH(168,ChqRankU,0),0)))</f>
        <v/>
      </c>
      <c r="D184" s="16" t="str">
        <f>IF(IFERROR(MATCH(168,ChqRankU,0),0)=0,"",IF(INDEX(ChqAmt,IFERROR(MATCH(168,ChqRankU,0),0))=0,"",INDEX(ChqAmt,IFERROR(MATCH(168,ChqRankU,0),0))))</f>
        <v/>
      </c>
      <c r="E184" s="10" t="str">
        <f>IF(IFERROR(MATCH(168,ChqRankU,0),0)=0,"",INDEX(ChqStatus,IFERROR(MATCH(168,ChqRankU,0),0)))</f>
        <v/>
      </c>
      <c r="F184" s="15" t="str">
        <f>IF(IFERROR(MATCH(168,ChqRankU,0),0)=0,"",IF(INDEX(ChqStatus,IFERROR(MATCH(168,ChqRankU,0),0))="پاس نشده","—",IF(INDEX(ChqClr,IFERROR(MATCH(168,ChqRankU,0),0))="","—",INDEX(ChqClr,IFERROR(MATCH(168,ChqRankU,0),0)))))</f>
        <v/>
      </c>
      <c r="I184" t="str">
        <f>IF(168&gt;NChq,"",INDEX(ChqNorm,168))</f>
        <v/>
      </c>
      <c r="J184" t="str">
        <f>IF($I184="","",IF(AND($I184&gt;=$H$3,$I184&lt;=$H$4,INDEX(ChqStatus,168)="پاس نشده"),1,0))</f>
        <v/>
      </c>
      <c r="K184" t="str">
        <f>IF($J184=0,"",INDEX(ChqKey,168))</f>
        <v/>
      </c>
      <c r="L184" t="str">
        <f t="shared" si="2"/>
        <v/>
      </c>
    </row>
    <row r="185" spans="1:12" x14ac:dyDescent="0.2">
      <c r="A185" s="3" t="str">
        <f>IF(IFERROR(MATCH(169,ChqRankU,0),0)=0,"",169)</f>
        <v/>
      </c>
      <c r="B185" s="13" t="str">
        <f>IF(IFERROR(MATCH(169,ChqRankU,0),0)=0,"",INDEX(ChqNorm,IFERROR(MATCH(169,ChqRankU,0),0)))</f>
        <v/>
      </c>
      <c r="C185" s="13" t="str">
        <f>IF(IFERROR(MATCH(169,ChqRankU,0),0)=0,"",INDEX(ChqNo,IFERROR(MATCH(169,ChqRankU,0),0)))</f>
        <v/>
      </c>
      <c r="D185" s="14" t="str">
        <f>IF(IFERROR(MATCH(169,ChqRankU,0),0)=0,"",IF(INDEX(ChqAmt,IFERROR(MATCH(169,ChqRankU,0),0))=0,"",INDEX(ChqAmt,IFERROR(MATCH(169,ChqRankU,0),0))))</f>
        <v/>
      </c>
      <c r="E185" s="7" t="str">
        <f>IF(IFERROR(MATCH(169,ChqRankU,0),0)=0,"",INDEX(ChqStatus,IFERROR(MATCH(169,ChqRankU,0),0)))</f>
        <v/>
      </c>
      <c r="F185" s="13" t="str">
        <f>IF(IFERROR(MATCH(169,ChqRankU,0),0)=0,"",IF(INDEX(ChqStatus,IFERROR(MATCH(169,ChqRankU,0),0))="پاس نشده","—",IF(INDEX(ChqClr,IFERROR(MATCH(169,ChqRankU,0),0))="","—",INDEX(ChqClr,IFERROR(MATCH(169,ChqRankU,0),0)))))</f>
        <v/>
      </c>
      <c r="I185" t="str">
        <f>IF(169&gt;NChq,"",INDEX(ChqNorm,169))</f>
        <v/>
      </c>
      <c r="J185" t="str">
        <f>IF($I185="","",IF(AND($I185&gt;=$H$3,$I185&lt;=$H$4,INDEX(ChqStatus,169)="پاس نشده"),1,0))</f>
        <v/>
      </c>
      <c r="K185" t="str">
        <f>IF($J185=0,"",INDEX(ChqKey,169))</f>
        <v/>
      </c>
      <c r="L185" t="str">
        <f t="shared" si="2"/>
        <v/>
      </c>
    </row>
    <row r="186" spans="1:12" x14ac:dyDescent="0.2">
      <c r="A186" s="9" t="str">
        <f>IF(IFERROR(MATCH(170,ChqRankU,0),0)=0,"",170)</f>
        <v/>
      </c>
      <c r="B186" s="15" t="str">
        <f>IF(IFERROR(MATCH(170,ChqRankU,0),0)=0,"",INDEX(ChqNorm,IFERROR(MATCH(170,ChqRankU,0),0)))</f>
        <v/>
      </c>
      <c r="C186" s="15" t="str">
        <f>IF(IFERROR(MATCH(170,ChqRankU,0),0)=0,"",INDEX(ChqNo,IFERROR(MATCH(170,ChqRankU,0),0)))</f>
        <v/>
      </c>
      <c r="D186" s="16" t="str">
        <f>IF(IFERROR(MATCH(170,ChqRankU,0),0)=0,"",IF(INDEX(ChqAmt,IFERROR(MATCH(170,ChqRankU,0),0))=0,"",INDEX(ChqAmt,IFERROR(MATCH(170,ChqRankU,0),0))))</f>
        <v/>
      </c>
      <c r="E186" s="10" t="str">
        <f>IF(IFERROR(MATCH(170,ChqRankU,0),0)=0,"",INDEX(ChqStatus,IFERROR(MATCH(170,ChqRankU,0),0)))</f>
        <v/>
      </c>
      <c r="F186" s="15" t="str">
        <f>IF(IFERROR(MATCH(170,ChqRankU,0),0)=0,"",IF(INDEX(ChqStatus,IFERROR(MATCH(170,ChqRankU,0),0))="پاس نشده","—",IF(INDEX(ChqClr,IFERROR(MATCH(170,ChqRankU,0),0))="","—",INDEX(ChqClr,IFERROR(MATCH(170,ChqRankU,0),0)))))</f>
        <v/>
      </c>
      <c r="I186" t="str">
        <f>IF(170&gt;NChq,"",INDEX(ChqNorm,170))</f>
        <v/>
      </c>
      <c r="J186" t="str">
        <f>IF($I186="","",IF(AND($I186&gt;=$H$3,$I186&lt;=$H$4,INDEX(ChqStatus,170)="پاس نشده"),1,0))</f>
        <v/>
      </c>
      <c r="K186" t="str">
        <f>IF($J186=0,"",INDEX(ChqKey,170))</f>
        <v/>
      </c>
      <c r="L186" t="str">
        <f t="shared" si="2"/>
        <v/>
      </c>
    </row>
    <row r="187" spans="1:12" x14ac:dyDescent="0.2">
      <c r="A187" s="3" t="str">
        <f>IF(IFERROR(MATCH(171,ChqRankU,0),0)=0,"",171)</f>
        <v/>
      </c>
      <c r="B187" s="13" t="str">
        <f>IF(IFERROR(MATCH(171,ChqRankU,0),0)=0,"",INDEX(ChqNorm,IFERROR(MATCH(171,ChqRankU,0),0)))</f>
        <v/>
      </c>
      <c r="C187" s="13" t="str">
        <f>IF(IFERROR(MATCH(171,ChqRankU,0),0)=0,"",INDEX(ChqNo,IFERROR(MATCH(171,ChqRankU,0),0)))</f>
        <v/>
      </c>
      <c r="D187" s="14" t="str">
        <f>IF(IFERROR(MATCH(171,ChqRankU,0),0)=0,"",IF(INDEX(ChqAmt,IFERROR(MATCH(171,ChqRankU,0),0))=0,"",INDEX(ChqAmt,IFERROR(MATCH(171,ChqRankU,0),0))))</f>
        <v/>
      </c>
      <c r="E187" s="7" t="str">
        <f>IF(IFERROR(MATCH(171,ChqRankU,0),0)=0,"",INDEX(ChqStatus,IFERROR(MATCH(171,ChqRankU,0),0)))</f>
        <v/>
      </c>
      <c r="F187" s="13" t="str">
        <f>IF(IFERROR(MATCH(171,ChqRankU,0),0)=0,"",IF(INDEX(ChqStatus,IFERROR(MATCH(171,ChqRankU,0),0))="پاس نشده","—",IF(INDEX(ChqClr,IFERROR(MATCH(171,ChqRankU,0),0))="","—",INDEX(ChqClr,IFERROR(MATCH(171,ChqRankU,0),0)))))</f>
        <v/>
      </c>
      <c r="I187" t="str">
        <f>IF(171&gt;NChq,"",INDEX(ChqNorm,171))</f>
        <v/>
      </c>
      <c r="J187" t="str">
        <f>IF($I187="","",IF(AND($I187&gt;=$H$3,$I187&lt;=$H$4,INDEX(ChqStatus,171)="پاس نشده"),1,0))</f>
        <v/>
      </c>
      <c r="K187" t="str">
        <f>IF($J187=0,"",INDEX(ChqKey,171))</f>
        <v/>
      </c>
      <c r="L187" t="str">
        <f t="shared" si="2"/>
        <v/>
      </c>
    </row>
    <row r="188" spans="1:12" x14ac:dyDescent="0.2">
      <c r="A188" s="9" t="str">
        <f>IF(IFERROR(MATCH(172,ChqRankU,0),0)=0,"",172)</f>
        <v/>
      </c>
      <c r="B188" s="15" t="str">
        <f>IF(IFERROR(MATCH(172,ChqRankU,0),0)=0,"",INDEX(ChqNorm,IFERROR(MATCH(172,ChqRankU,0),0)))</f>
        <v/>
      </c>
      <c r="C188" s="15" t="str">
        <f>IF(IFERROR(MATCH(172,ChqRankU,0),0)=0,"",INDEX(ChqNo,IFERROR(MATCH(172,ChqRankU,0),0)))</f>
        <v/>
      </c>
      <c r="D188" s="16" t="str">
        <f>IF(IFERROR(MATCH(172,ChqRankU,0),0)=0,"",IF(INDEX(ChqAmt,IFERROR(MATCH(172,ChqRankU,0),0))=0,"",INDEX(ChqAmt,IFERROR(MATCH(172,ChqRankU,0),0))))</f>
        <v/>
      </c>
      <c r="E188" s="10" t="str">
        <f>IF(IFERROR(MATCH(172,ChqRankU,0),0)=0,"",INDEX(ChqStatus,IFERROR(MATCH(172,ChqRankU,0),0)))</f>
        <v/>
      </c>
      <c r="F188" s="15" t="str">
        <f>IF(IFERROR(MATCH(172,ChqRankU,0),0)=0,"",IF(INDEX(ChqStatus,IFERROR(MATCH(172,ChqRankU,0),0))="پاس نشده","—",IF(INDEX(ChqClr,IFERROR(MATCH(172,ChqRankU,0),0))="","—",INDEX(ChqClr,IFERROR(MATCH(172,ChqRankU,0),0)))))</f>
        <v/>
      </c>
      <c r="I188" t="str">
        <f>IF(172&gt;NChq,"",INDEX(ChqNorm,172))</f>
        <v/>
      </c>
      <c r="J188" t="str">
        <f>IF($I188="","",IF(AND($I188&gt;=$H$3,$I188&lt;=$H$4,INDEX(ChqStatus,172)="پاس نشده"),1,0))</f>
        <v/>
      </c>
      <c r="K188" t="str">
        <f>IF($J188=0,"",INDEX(ChqKey,172))</f>
        <v/>
      </c>
      <c r="L188" t="str">
        <f t="shared" si="2"/>
        <v/>
      </c>
    </row>
    <row r="189" spans="1:12" x14ac:dyDescent="0.2">
      <c r="A189" s="3" t="str">
        <f>IF(IFERROR(MATCH(173,ChqRankU,0),0)=0,"",173)</f>
        <v/>
      </c>
      <c r="B189" s="13" t="str">
        <f>IF(IFERROR(MATCH(173,ChqRankU,0),0)=0,"",INDEX(ChqNorm,IFERROR(MATCH(173,ChqRankU,0),0)))</f>
        <v/>
      </c>
      <c r="C189" s="13" t="str">
        <f>IF(IFERROR(MATCH(173,ChqRankU,0),0)=0,"",INDEX(ChqNo,IFERROR(MATCH(173,ChqRankU,0),0)))</f>
        <v/>
      </c>
      <c r="D189" s="14" t="str">
        <f>IF(IFERROR(MATCH(173,ChqRankU,0),0)=0,"",IF(INDEX(ChqAmt,IFERROR(MATCH(173,ChqRankU,0),0))=0,"",INDEX(ChqAmt,IFERROR(MATCH(173,ChqRankU,0),0))))</f>
        <v/>
      </c>
      <c r="E189" s="7" t="str">
        <f>IF(IFERROR(MATCH(173,ChqRankU,0),0)=0,"",INDEX(ChqStatus,IFERROR(MATCH(173,ChqRankU,0),0)))</f>
        <v/>
      </c>
      <c r="F189" s="13" t="str">
        <f>IF(IFERROR(MATCH(173,ChqRankU,0),0)=0,"",IF(INDEX(ChqStatus,IFERROR(MATCH(173,ChqRankU,0),0))="پاس نشده","—",IF(INDEX(ChqClr,IFERROR(MATCH(173,ChqRankU,0),0))="","—",INDEX(ChqClr,IFERROR(MATCH(173,ChqRankU,0),0)))))</f>
        <v/>
      </c>
      <c r="I189" t="str">
        <f>IF(173&gt;NChq,"",INDEX(ChqNorm,173))</f>
        <v/>
      </c>
      <c r="J189" t="str">
        <f>IF($I189="","",IF(AND($I189&gt;=$H$3,$I189&lt;=$H$4,INDEX(ChqStatus,173)="پاس نشده"),1,0))</f>
        <v/>
      </c>
      <c r="K189" t="str">
        <f>IF($J189=0,"",INDEX(ChqKey,173))</f>
        <v/>
      </c>
      <c r="L189" t="str">
        <f t="shared" si="2"/>
        <v/>
      </c>
    </row>
    <row r="190" spans="1:12" x14ac:dyDescent="0.2">
      <c r="A190" s="9" t="str">
        <f>IF(IFERROR(MATCH(174,ChqRankU,0),0)=0,"",174)</f>
        <v/>
      </c>
      <c r="B190" s="15" t="str">
        <f>IF(IFERROR(MATCH(174,ChqRankU,0),0)=0,"",INDEX(ChqNorm,IFERROR(MATCH(174,ChqRankU,0),0)))</f>
        <v/>
      </c>
      <c r="C190" s="15" t="str">
        <f>IF(IFERROR(MATCH(174,ChqRankU,0),0)=0,"",INDEX(ChqNo,IFERROR(MATCH(174,ChqRankU,0),0)))</f>
        <v/>
      </c>
      <c r="D190" s="16" t="str">
        <f>IF(IFERROR(MATCH(174,ChqRankU,0),0)=0,"",IF(INDEX(ChqAmt,IFERROR(MATCH(174,ChqRankU,0),0))=0,"",INDEX(ChqAmt,IFERROR(MATCH(174,ChqRankU,0),0))))</f>
        <v/>
      </c>
      <c r="E190" s="10" t="str">
        <f>IF(IFERROR(MATCH(174,ChqRankU,0),0)=0,"",INDEX(ChqStatus,IFERROR(MATCH(174,ChqRankU,0),0)))</f>
        <v/>
      </c>
      <c r="F190" s="15" t="str">
        <f>IF(IFERROR(MATCH(174,ChqRankU,0),0)=0,"",IF(INDEX(ChqStatus,IFERROR(MATCH(174,ChqRankU,0),0))="پاس نشده","—",IF(INDEX(ChqClr,IFERROR(MATCH(174,ChqRankU,0),0))="","—",INDEX(ChqClr,IFERROR(MATCH(174,ChqRankU,0),0)))))</f>
        <v/>
      </c>
      <c r="I190" t="str">
        <f>IF(174&gt;NChq,"",INDEX(ChqNorm,174))</f>
        <v/>
      </c>
      <c r="J190" t="str">
        <f>IF($I190="","",IF(AND($I190&gt;=$H$3,$I190&lt;=$H$4,INDEX(ChqStatus,174)="پاس نشده"),1,0))</f>
        <v/>
      </c>
      <c r="K190" t="str">
        <f>IF($J190=0,"",INDEX(ChqKey,174))</f>
        <v/>
      </c>
      <c r="L190" t="str">
        <f t="shared" si="2"/>
        <v/>
      </c>
    </row>
    <row r="191" spans="1:12" x14ac:dyDescent="0.2">
      <c r="A191" s="3" t="str">
        <f>IF(IFERROR(MATCH(175,ChqRankU,0),0)=0,"",175)</f>
        <v/>
      </c>
      <c r="B191" s="13" t="str">
        <f>IF(IFERROR(MATCH(175,ChqRankU,0),0)=0,"",INDEX(ChqNorm,IFERROR(MATCH(175,ChqRankU,0),0)))</f>
        <v/>
      </c>
      <c r="C191" s="13" t="str">
        <f>IF(IFERROR(MATCH(175,ChqRankU,0),0)=0,"",INDEX(ChqNo,IFERROR(MATCH(175,ChqRankU,0),0)))</f>
        <v/>
      </c>
      <c r="D191" s="14" t="str">
        <f>IF(IFERROR(MATCH(175,ChqRankU,0),0)=0,"",IF(INDEX(ChqAmt,IFERROR(MATCH(175,ChqRankU,0),0))=0,"",INDEX(ChqAmt,IFERROR(MATCH(175,ChqRankU,0),0))))</f>
        <v/>
      </c>
      <c r="E191" s="7" t="str">
        <f>IF(IFERROR(MATCH(175,ChqRankU,0),0)=0,"",INDEX(ChqStatus,IFERROR(MATCH(175,ChqRankU,0),0)))</f>
        <v/>
      </c>
      <c r="F191" s="13" t="str">
        <f>IF(IFERROR(MATCH(175,ChqRankU,0),0)=0,"",IF(INDEX(ChqStatus,IFERROR(MATCH(175,ChqRankU,0),0))="پاس نشده","—",IF(INDEX(ChqClr,IFERROR(MATCH(175,ChqRankU,0),0))="","—",INDEX(ChqClr,IFERROR(MATCH(175,ChqRankU,0),0)))))</f>
        <v/>
      </c>
      <c r="I191" t="str">
        <f>IF(175&gt;NChq,"",INDEX(ChqNorm,175))</f>
        <v/>
      </c>
      <c r="J191" t="str">
        <f>IF($I191="","",IF(AND($I191&gt;=$H$3,$I191&lt;=$H$4,INDEX(ChqStatus,175)="پاس نشده"),1,0))</f>
        <v/>
      </c>
      <c r="K191" t="str">
        <f>IF($J191=0,"",INDEX(ChqKey,175))</f>
        <v/>
      </c>
      <c r="L191" t="str">
        <f t="shared" si="2"/>
        <v/>
      </c>
    </row>
    <row r="192" spans="1:12" x14ac:dyDescent="0.2">
      <c r="A192" s="9" t="str">
        <f>IF(IFERROR(MATCH(176,ChqRankU,0),0)=0,"",176)</f>
        <v/>
      </c>
      <c r="B192" s="15" t="str">
        <f>IF(IFERROR(MATCH(176,ChqRankU,0),0)=0,"",INDEX(ChqNorm,IFERROR(MATCH(176,ChqRankU,0),0)))</f>
        <v/>
      </c>
      <c r="C192" s="15" t="str">
        <f>IF(IFERROR(MATCH(176,ChqRankU,0),0)=0,"",INDEX(ChqNo,IFERROR(MATCH(176,ChqRankU,0),0)))</f>
        <v/>
      </c>
      <c r="D192" s="16" t="str">
        <f>IF(IFERROR(MATCH(176,ChqRankU,0),0)=0,"",IF(INDEX(ChqAmt,IFERROR(MATCH(176,ChqRankU,0),0))=0,"",INDEX(ChqAmt,IFERROR(MATCH(176,ChqRankU,0),0))))</f>
        <v/>
      </c>
      <c r="E192" s="10" t="str">
        <f>IF(IFERROR(MATCH(176,ChqRankU,0),0)=0,"",INDEX(ChqStatus,IFERROR(MATCH(176,ChqRankU,0),0)))</f>
        <v/>
      </c>
      <c r="F192" s="15" t="str">
        <f>IF(IFERROR(MATCH(176,ChqRankU,0),0)=0,"",IF(INDEX(ChqStatus,IFERROR(MATCH(176,ChqRankU,0),0))="پاس نشده","—",IF(INDEX(ChqClr,IFERROR(MATCH(176,ChqRankU,0),0))="","—",INDEX(ChqClr,IFERROR(MATCH(176,ChqRankU,0),0)))))</f>
        <v/>
      </c>
      <c r="I192" t="str">
        <f>IF(176&gt;NChq,"",INDEX(ChqNorm,176))</f>
        <v/>
      </c>
      <c r="J192" t="str">
        <f>IF($I192="","",IF(AND($I192&gt;=$H$3,$I192&lt;=$H$4,INDEX(ChqStatus,176)="پاس نشده"),1,0))</f>
        <v/>
      </c>
      <c r="K192" t="str">
        <f>IF($J192=0,"",INDEX(ChqKey,176))</f>
        <v/>
      </c>
      <c r="L192" t="str">
        <f t="shared" si="2"/>
        <v/>
      </c>
    </row>
    <row r="193" spans="1:12" x14ac:dyDescent="0.2">
      <c r="A193" s="3" t="str">
        <f>IF(IFERROR(MATCH(177,ChqRankU,0),0)=0,"",177)</f>
        <v/>
      </c>
      <c r="B193" s="13" t="str">
        <f>IF(IFERROR(MATCH(177,ChqRankU,0),0)=0,"",INDEX(ChqNorm,IFERROR(MATCH(177,ChqRankU,0),0)))</f>
        <v/>
      </c>
      <c r="C193" s="13" t="str">
        <f>IF(IFERROR(MATCH(177,ChqRankU,0),0)=0,"",INDEX(ChqNo,IFERROR(MATCH(177,ChqRankU,0),0)))</f>
        <v/>
      </c>
      <c r="D193" s="14" t="str">
        <f>IF(IFERROR(MATCH(177,ChqRankU,0),0)=0,"",IF(INDEX(ChqAmt,IFERROR(MATCH(177,ChqRankU,0),0))=0,"",INDEX(ChqAmt,IFERROR(MATCH(177,ChqRankU,0),0))))</f>
        <v/>
      </c>
      <c r="E193" s="7" t="str">
        <f>IF(IFERROR(MATCH(177,ChqRankU,0),0)=0,"",INDEX(ChqStatus,IFERROR(MATCH(177,ChqRankU,0),0)))</f>
        <v/>
      </c>
      <c r="F193" s="13" t="str">
        <f>IF(IFERROR(MATCH(177,ChqRankU,0),0)=0,"",IF(INDEX(ChqStatus,IFERROR(MATCH(177,ChqRankU,0),0))="پاس نشده","—",IF(INDEX(ChqClr,IFERROR(MATCH(177,ChqRankU,0),0))="","—",INDEX(ChqClr,IFERROR(MATCH(177,ChqRankU,0),0)))))</f>
        <v/>
      </c>
      <c r="I193" t="str">
        <f>IF(177&gt;NChq,"",INDEX(ChqNorm,177))</f>
        <v/>
      </c>
      <c r="J193" t="str">
        <f>IF($I193="","",IF(AND($I193&gt;=$H$3,$I193&lt;=$H$4,INDEX(ChqStatus,177)="پاس نشده"),1,0))</f>
        <v/>
      </c>
      <c r="K193" t="str">
        <f>IF($J193=0,"",INDEX(ChqKey,177))</f>
        <v/>
      </c>
      <c r="L193" t="str">
        <f t="shared" si="2"/>
        <v/>
      </c>
    </row>
    <row r="194" spans="1:12" x14ac:dyDescent="0.2">
      <c r="A194" s="9" t="str">
        <f>IF(IFERROR(MATCH(178,ChqRankU,0),0)=0,"",178)</f>
        <v/>
      </c>
      <c r="B194" s="15" t="str">
        <f>IF(IFERROR(MATCH(178,ChqRankU,0),0)=0,"",INDEX(ChqNorm,IFERROR(MATCH(178,ChqRankU,0),0)))</f>
        <v/>
      </c>
      <c r="C194" s="15" t="str">
        <f>IF(IFERROR(MATCH(178,ChqRankU,0),0)=0,"",INDEX(ChqNo,IFERROR(MATCH(178,ChqRankU,0),0)))</f>
        <v/>
      </c>
      <c r="D194" s="16" t="str">
        <f>IF(IFERROR(MATCH(178,ChqRankU,0),0)=0,"",IF(INDEX(ChqAmt,IFERROR(MATCH(178,ChqRankU,0),0))=0,"",INDEX(ChqAmt,IFERROR(MATCH(178,ChqRankU,0),0))))</f>
        <v/>
      </c>
      <c r="E194" s="10" t="str">
        <f>IF(IFERROR(MATCH(178,ChqRankU,0),0)=0,"",INDEX(ChqStatus,IFERROR(MATCH(178,ChqRankU,0),0)))</f>
        <v/>
      </c>
      <c r="F194" s="15" t="str">
        <f>IF(IFERROR(MATCH(178,ChqRankU,0),0)=0,"",IF(INDEX(ChqStatus,IFERROR(MATCH(178,ChqRankU,0),0))="پاس نشده","—",IF(INDEX(ChqClr,IFERROR(MATCH(178,ChqRankU,0),0))="","—",INDEX(ChqClr,IFERROR(MATCH(178,ChqRankU,0),0)))))</f>
        <v/>
      </c>
      <c r="I194" t="str">
        <f>IF(178&gt;NChq,"",INDEX(ChqNorm,178))</f>
        <v/>
      </c>
      <c r="J194" t="str">
        <f>IF($I194="","",IF(AND($I194&gt;=$H$3,$I194&lt;=$H$4,INDEX(ChqStatus,178)="پاس نشده"),1,0))</f>
        <v/>
      </c>
      <c r="K194" t="str">
        <f>IF($J194=0,"",INDEX(ChqKey,178))</f>
        <v/>
      </c>
      <c r="L194" t="str">
        <f t="shared" si="2"/>
        <v/>
      </c>
    </row>
    <row r="195" spans="1:12" x14ac:dyDescent="0.2">
      <c r="A195" s="3" t="str">
        <f>IF(IFERROR(MATCH(179,ChqRankU,0),0)=0,"",179)</f>
        <v/>
      </c>
      <c r="B195" s="13" t="str">
        <f>IF(IFERROR(MATCH(179,ChqRankU,0),0)=0,"",INDEX(ChqNorm,IFERROR(MATCH(179,ChqRankU,0),0)))</f>
        <v/>
      </c>
      <c r="C195" s="13" t="str">
        <f>IF(IFERROR(MATCH(179,ChqRankU,0),0)=0,"",INDEX(ChqNo,IFERROR(MATCH(179,ChqRankU,0),0)))</f>
        <v/>
      </c>
      <c r="D195" s="14" t="str">
        <f>IF(IFERROR(MATCH(179,ChqRankU,0),0)=0,"",IF(INDEX(ChqAmt,IFERROR(MATCH(179,ChqRankU,0),0))=0,"",INDEX(ChqAmt,IFERROR(MATCH(179,ChqRankU,0),0))))</f>
        <v/>
      </c>
      <c r="E195" s="7" t="str">
        <f>IF(IFERROR(MATCH(179,ChqRankU,0),0)=0,"",INDEX(ChqStatus,IFERROR(MATCH(179,ChqRankU,0),0)))</f>
        <v/>
      </c>
      <c r="F195" s="13" t="str">
        <f>IF(IFERROR(MATCH(179,ChqRankU,0),0)=0,"",IF(INDEX(ChqStatus,IFERROR(MATCH(179,ChqRankU,0),0))="پاس نشده","—",IF(INDEX(ChqClr,IFERROR(MATCH(179,ChqRankU,0),0))="","—",INDEX(ChqClr,IFERROR(MATCH(179,ChqRankU,0),0)))))</f>
        <v/>
      </c>
      <c r="I195" t="str">
        <f>IF(179&gt;NChq,"",INDEX(ChqNorm,179))</f>
        <v/>
      </c>
      <c r="J195" t="str">
        <f>IF($I195="","",IF(AND($I195&gt;=$H$3,$I195&lt;=$H$4,INDEX(ChqStatus,179)="پاس نشده"),1,0))</f>
        <v/>
      </c>
      <c r="K195" t="str">
        <f>IF($J195=0,"",INDEX(ChqKey,179))</f>
        <v/>
      </c>
      <c r="L195" t="str">
        <f t="shared" si="2"/>
        <v/>
      </c>
    </row>
    <row r="196" spans="1:12" x14ac:dyDescent="0.2">
      <c r="A196" s="9" t="str">
        <f>IF(IFERROR(MATCH(180,ChqRankU,0),0)=0,"",180)</f>
        <v/>
      </c>
      <c r="B196" s="15" t="str">
        <f>IF(IFERROR(MATCH(180,ChqRankU,0),0)=0,"",INDEX(ChqNorm,IFERROR(MATCH(180,ChqRankU,0),0)))</f>
        <v/>
      </c>
      <c r="C196" s="15" t="str">
        <f>IF(IFERROR(MATCH(180,ChqRankU,0),0)=0,"",INDEX(ChqNo,IFERROR(MATCH(180,ChqRankU,0),0)))</f>
        <v/>
      </c>
      <c r="D196" s="16" t="str">
        <f>IF(IFERROR(MATCH(180,ChqRankU,0),0)=0,"",IF(INDEX(ChqAmt,IFERROR(MATCH(180,ChqRankU,0),0))=0,"",INDEX(ChqAmt,IFERROR(MATCH(180,ChqRankU,0),0))))</f>
        <v/>
      </c>
      <c r="E196" s="10" t="str">
        <f>IF(IFERROR(MATCH(180,ChqRankU,0),0)=0,"",INDEX(ChqStatus,IFERROR(MATCH(180,ChqRankU,0),0)))</f>
        <v/>
      </c>
      <c r="F196" s="15" t="str">
        <f>IF(IFERROR(MATCH(180,ChqRankU,0),0)=0,"",IF(INDEX(ChqStatus,IFERROR(MATCH(180,ChqRankU,0),0))="پاس نشده","—",IF(INDEX(ChqClr,IFERROR(MATCH(180,ChqRankU,0),0))="","—",INDEX(ChqClr,IFERROR(MATCH(180,ChqRankU,0),0)))))</f>
        <v/>
      </c>
      <c r="I196" t="str">
        <f>IF(180&gt;NChq,"",INDEX(ChqNorm,180))</f>
        <v/>
      </c>
      <c r="J196" t="str">
        <f>IF($I196="","",IF(AND($I196&gt;=$H$3,$I196&lt;=$H$4,INDEX(ChqStatus,180)="پاس نشده"),1,0))</f>
        <v/>
      </c>
      <c r="K196" t="str">
        <f>IF($J196=0,"",INDEX(ChqKey,180))</f>
        <v/>
      </c>
      <c r="L196" t="str">
        <f t="shared" si="2"/>
        <v/>
      </c>
    </row>
    <row r="197" spans="1:12" x14ac:dyDescent="0.2">
      <c r="A197" s="3" t="str">
        <f>IF(IFERROR(MATCH(181,ChqRankU,0),0)=0,"",181)</f>
        <v/>
      </c>
      <c r="B197" s="13" t="str">
        <f>IF(IFERROR(MATCH(181,ChqRankU,0),0)=0,"",INDEX(ChqNorm,IFERROR(MATCH(181,ChqRankU,0),0)))</f>
        <v/>
      </c>
      <c r="C197" s="13" t="str">
        <f>IF(IFERROR(MATCH(181,ChqRankU,0),0)=0,"",INDEX(ChqNo,IFERROR(MATCH(181,ChqRankU,0),0)))</f>
        <v/>
      </c>
      <c r="D197" s="14" t="str">
        <f>IF(IFERROR(MATCH(181,ChqRankU,0),0)=0,"",IF(INDEX(ChqAmt,IFERROR(MATCH(181,ChqRankU,0),0))=0,"",INDEX(ChqAmt,IFERROR(MATCH(181,ChqRankU,0),0))))</f>
        <v/>
      </c>
      <c r="E197" s="7" t="str">
        <f>IF(IFERROR(MATCH(181,ChqRankU,0),0)=0,"",INDEX(ChqStatus,IFERROR(MATCH(181,ChqRankU,0),0)))</f>
        <v/>
      </c>
      <c r="F197" s="13" t="str">
        <f>IF(IFERROR(MATCH(181,ChqRankU,0),0)=0,"",IF(INDEX(ChqStatus,IFERROR(MATCH(181,ChqRankU,0),0))="پاس نشده","—",IF(INDEX(ChqClr,IFERROR(MATCH(181,ChqRankU,0),0))="","—",INDEX(ChqClr,IFERROR(MATCH(181,ChqRankU,0),0)))))</f>
        <v/>
      </c>
      <c r="I197" t="str">
        <f>IF(181&gt;NChq,"",INDEX(ChqNorm,181))</f>
        <v/>
      </c>
      <c r="J197" t="str">
        <f>IF($I197="","",IF(AND($I197&gt;=$H$3,$I197&lt;=$H$4,INDEX(ChqStatus,181)="پاس نشده"),1,0))</f>
        <v/>
      </c>
      <c r="K197" t="str">
        <f>IF($J197=0,"",INDEX(ChqKey,181))</f>
        <v/>
      </c>
      <c r="L197" t="str">
        <f t="shared" si="2"/>
        <v/>
      </c>
    </row>
    <row r="198" spans="1:12" x14ac:dyDescent="0.2">
      <c r="A198" s="9" t="str">
        <f>IF(IFERROR(MATCH(182,ChqRankU,0),0)=0,"",182)</f>
        <v/>
      </c>
      <c r="B198" s="15" t="str">
        <f>IF(IFERROR(MATCH(182,ChqRankU,0),0)=0,"",INDEX(ChqNorm,IFERROR(MATCH(182,ChqRankU,0),0)))</f>
        <v/>
      </c>
      <c r="C198" s="15" t="str">
        <f>IF(IFERROR(MATCH(182,ChqRankU,0),0)=0,"",INDEX(ChqNo,IFERROR(MATCH(182,ChqRankU,0),0)))</f>
        <v/>
      </c>
      <c r="D198" s="16" t="str">
        <f>IF(IFERROR(MATCH(182,ChqRankU,0),0)=0,"",IF(INDEX(ChqAmt,IFERROR(MATCH(182,ChqRankU,0),0))=0,"",INDEX(ChqAmt,IFERROR(MATCH(182,ChqRankU,0),0))))</f>
        <v/>
      </c>
      <c r="E198" s="10" t="str">
        <f>IF(IFERROR(MATCH(182,ChqRankU,0),0)=0,"",INDEX(ChqStatus,IFERROR(MATCH(182,ChqRankU,0),0)))</f>
        <v/>
      </c>
      <c r="F198" s="15" t="str">
        <f>IF(IFERROR(MATCH(182,ChqRankU,0),0)=0,"",IF(INDEX(ChqStatus,IFERROR(MATCH(182,ChqRankU,0),0))="پاس نشده","—",IF(INDEX(ChqClr,IFERROR(MATCH(182,ChqRankU,0),0))="","—",INDEX(ChqClr,IFERROR(MATCH(182,ChqRankU,0),0)))))</f>
        <v/>
      </c>
      <c r="I198" t="str">
        <f>IF(182&gt;NChq,"",INDEX(ChqNorm,182))</f>
        <v/>
      </c>
      <c r="J198" t="str">
        <f>IF($I198="","",IF(AND($I198&gt;=$H$3,$I198&lt;=$H$4,INDEX(ChqStatus,182)="پاس نشده"),1,0))</f>
        <v/>
      </c>
      <c r="K198" t="str">
        <f>IF($J198=0,"",INDEX(ChqKey,182))</f>
        <v/>
      </c>
      <c r="L198" t="str">
        <f t="shared" si="2"/>
        <v/>
      </c>
    </row>
    <row r="199" spans="1:12" x14ac:dyDescent="0.2">
      <c r="A199" s="3" t="str">
        <f>IF(IFERROR(MATCH(183,ChqRankU,0),0)=0,"",183)</f>
        <v/>
      </c>
      <c r="B199" s="13" t="str">
        <f>IF(IFERROR(MATCH(183,ChqRankU,0),0)=0,"",INDEX(ChqNorm,IFERROR(MATCH(183,ChqRankU,0),0)))</f>
        <v/>
      </c>
      <c r="C199" s="13" t="str">
        <f>IF(IFERROR(MATCH(183,ChqRankU,0),0)=0,"",INDEX(ChqNo,IFERROR(MATCH(183,ChqRankU,0),0)))</f>
        <v/>
      </c>
      <c r="D199" s="14" t="str">
        <f>IF(IFERROR(MATCH(183,ChqRankU,0),0)=0,"",IF(INDEX(ChqAmt,IFERROR(MATCH(183,ChqRankU,0),0))=0,"",INDEX(ChqAmt,IFERROR(MATCH(183,ChqRankU,0),0))))</f>
        <v/>
      </c>
      <c r="E199" s="7" t="str">
        <f>IF(IFERROR(MATCH(183,ChqRankU,0),0)=0,"",INDEX(ChqStatus,IFERROR(MATCH(183,ChqRankU,0),0)))</f>
        <v/>
      </c>
      <c r="F199" s="13" t="str">
        <f>IF(IFERROR(MATCH(183,ChqRankU,0),0)=0,"",IF(INDEX(ChqStatus,IFERROR(MATCH(183,ChqRankU,0),0))="پاس نشده","—",IF(INDEX(ChqClr,IFERROR(MATCH(183,ChqRankU,0),0))="","—",INDEX(ChqClr,IFERROR(MATCH(183,ChqRankU,0),0)))))</f>
        <v/>
      </c>
      <c r="I199" t="str">
        <f>IF(183&gt;NChq,"",INDEX(ChqNorm,183))</f>
        <v/>
      </c>
      <c r="J199" t="str">
        <f>IF($I199="","",IF(AND($I199&gt;=$H$3,$I199&lt;=$H$4,INDEX(ChqStatus,183)="پاس نشده"),1,0))</f>
        <v/>
      </c>
      <c r="K199" t="str">
        <f>IF($J199=0,"",INDEX(ChqKey,183))</f>
        <v/>
      </c>
      <c r="L199" t="str">
        <f t="shared" si="2"/>
        <v/>
      </c>
    </row>
    <row r="200" spans="1:12" x14ac:dyDescent="0.2">
      <c r="A200" s="9" t="str">
        <f>IF(IFERROR(MATCH(184,ChqRankU,0),0)=0,"",184)</f>
        <v/>
      </c>
      <c r="B200" s="15" t="str">
        <f>IF(IFERROR(MATCH(184,ChqRankU,0),0)=0,"",INDEX(ChqNorm,IFERROR(MATCH(184,ChqRankU,0),0)))</f>
        <v/>
      </c>
      <c r="C200" s="15" t="str">
        <f>IF(IFERROR(MATCH(184,ChqRankU,0),0)=0,"",INDEX(ChqNo,IFERROR(MATCH(184,ChqRankU,0),0)))</f>
        <v/>
      </c>
      <c r="D200" s="16" t="str">
        <f>IF(IFERROR(MATCH(184,ChqRankU,0),0)=0,"",IF(INDEX(ChqAmt,IFERROR(MATCH(184,ChqRankU,0),0))=0,"",INDEX(ChqAmt,IFERROR(MATCH(184,ChqRankU,0),0))))</f>
        <v/>
      </c>
      <c r="E200" s="10" t="str">
        <f>IF(IFERROR(MATCH(184,ChqRankU,0),0)=0,"",INDEX(ChqStatus,IFERROR(MATCH(184,ChqRankU,0),0)))</f>
        <v/>
      </c>
      <c r="F200" s="15" t="str">
        <f>IF(IFERROR(MATCH(184,ChqRankU,0),0)=0,"",IF(INDEX(ChqStatus,IFERROR(MATCH(184,ChqRankU,0),0))="پاس نشده","—",IF(INDEX(ChqClr,IFERROR(MATCH(184,ChqRankU,0),0))="","—",INDEX(ChqClr,IFERROR(MATCH(184,ChqRankU,0),0)))))</f>
        <v/>
      </c>
      <c r="I200" t="str">
        <f>IF(184&gt;NChq,"",INDEX(ChqNorm,184))</f>
        <v/>
      </c>
      <c r="J200" t="str">
        <f>IF($I200="","",IF(AND($I200&gt;=$H$3,$I200&lt;=$H$4,INDEX(ChqStatus,184)="پاس نشده"),1,0))</f>
        <v/>
      </c>
      <c r="K200" t="str">
        <f>IF($J200=0,"",INDEX(ChqKey,184))</f>
        <v/>
      </c>
      <c r="L200" t="str">
        <f t="shared" si="2"/>
        <v/>
      </c>
    </row>
    <row r="201" spans="1:12" x14ac:dyDescent="0.2">
      <c r="A201" s="3" t="str">
        <f>IF(IFERROR(MATCH(185,ChqRankU,0),0)=0,"",185)</f>
        <v/>
      </c>
      <c r="B201" s="13" t="str">
        <f>IF(IFERROR(MATCH(185,ChqRankU,0),0)=0,"",INDEX(ChqNorm,IFERROR(MATCH(185,ChqRankU,0),0)))</f>
        <v/>
      </c>
      <c r="C201" s="13" t="str">
        <f>IF(IFERROR(MATCH(185,ChqRankU,0),0)=0,"",INDEX(ChqNo,IFERROR(MATCH(185,ChqRankU,0),0)))</f>
        <v/>
      </c>
      <c r="D201" s="14" t="str">
        <f>IF(IFERROR(MATCH(185,ChqRankU,0),0)=0,"",IF(INDEX(ChqAmt,IFERROR(MATCH(185,ChqRankU,0),0))=0,"",INDEX(ChqAmt,IFERROR(MATCH(185,ChqRankU,0),0))))</f>
        <v/>
      </c>
      <c r="E201" s="7" t="str">
        <f>IF(IFERROR(MATCH(185,ChqRankU,0),0)=0,"",INDEX(ChqStatus,IFERROR(MATCH(185,ChqRankU,0),0)))</f>
        <v/>
      </c>
      <c r="F201" s="13" t="str">
        <f>IF(IFERROR(MATCH(185,ChqRankU,0),0)=0,"",IF(INDEX(ChqStatus,IFERROR(MATCH(185,ChqRankU,0),0))="پاس نشده","—",IF(INDEX(ChqClr,IFERROR(MATCH(185,ChqRankU,0),0))="","—",INDEX(ChqClr,IFERROR(MATCH(185,ChqRankU,0),0)))))</f>
        <v/>
      </c>
      <c r="I201" t="str">
        <f>IF(185&gt;NChq,"",INDEX(ChqNorm,185))</f>
        <v/>
      </c>
      <c r="J201" t="str">
        <f>IF($I201="","",IF(AND($I201&gt;=$H$3,$I201&lt;=$H$4,INDEX(ChqStatus,185)="پاس نشده"),1,0))</f>
        <v/>
      </c>
      <c r="K201" t="str">
        <f>IF($J201=0,"",INDEX(ChqKey,185))</f>
        <v/>
      </c>
      <c r="L201" t="str">
        <f t="shared" si="2"/>
        <v/>
      </c>
    </row>
    <row r="202" spans="1:12" x14ac:dyDescent="0.2">
      <c r="A202" s="9" t="str">
        <f>IF(IFERROR(MATCH(186,ChqRankU,0),0)=0,"",186)</f>
        <v/>
      </c>
      <c r="B202" s="15" t="str">
        <f>IF(IFERROR(MATCH(186,ChqRankU,0),0)=0,"",INDEX(ChqNorm,IFERROR(MATCH(186,ChqRankU,0),0)))</f>
        <v/>
      </c>
      <c r="C202" s="15" t="str">
        <f>IF(IFERROR(MATCH(186,ChqRankU,0),0)=0,"",INDEX(ChqNo,IFERROR(MATCH(186,ChqRankU,0),0)))</f>
        <v/>
      </c>
      <c r="D202" s="16" t="str">
        <f>IF(IFERROR(MATCH(186,ChqRankU,0),0)=0,"",IF(INDEX(ChqAmt,IFERROR(MATCH(186,ChqRankU,0),0))=0,"",INDEX(ChqAmt,IFERROR(MATCH(186,ChqRankU,0),0))))</f>
        <v/>
      </c>
      <c r="E202" s="10" t="str">
        <f>IF(IFERROR(MATCH(186,ChqRankU,0),0)=0,"",INDEX(ChqStatus,IFERROR(MATCH(186,ChqRankU,0),0)))</f>
        <v/>
      </c>
      <c r="F202" s="15" t="str">
        <f>IF(IFERROR(MATCH(186,ChqRankU,0),0)=0,"",IF(INDEX(ChqStatus,IFERROR(MATCH(186,ChqRankU,0),0))="پاس نشده","—",IF(INDEX(ChqClr,IFERROR(MATCH(186,ChqRankU,0),0))="","—",INDEX(ChqClr,IFERROR(MATCH(186,ChqRankU,0),0)))))</f>
        <v/>
      </c>
      <c r="I202" t="str">
        <f>IF(186&gt;NChq,"",INDEX(ChqNorm,186))</f>
        <v/>
      </c>
      <c r="J202" t="str">
        <f>IF($I202="","",IF(AND($I202&gt;=$H$3,$I202&lt;=$H$4,INDEX(ChqStatus,186)="پاس نشده"),1,0))</f>
        <v/>
      </c>
      <c r="K202" t="str">
        <f>IF($J202=0,"",INDEX(ChqKey,186))</f>
        <v/>
      </c>
      <c r="L202" t="str">
        <f t="shared" si="2"/>
        <v/>
      </c>
    </row>
    <row r="203" spans="1:12" x14ac:dyDescent="0.2">
      <c r="A203" s="3" t="str">
        <f>IF(IFERROR(MATCH(187,ChqRankU,0),0)=0,"",187)</f>
        <v/>
      </c>
      <c r="B203" s="13" t="str">
        <f>IF(IFERROR(MATCH(187,ChqRankU,0),0)=0,"",INDEX(ChqNorm,IFERROR(MATCH(187,ChqRankU,0),0)))</f>
        <v/>
      </c>
      <c r="C203" s="13" t="str">
        <f>IF(IFERROR(MATCH(187,ChqRankU,0),0)=0,"",INDEX(ChqNo,IFERROR(MATCH(187,ChqRankU,0),0)))</f>
        <v/>
      </c>
      <c r="D203" s="14" t="str">
        <f>IF(IFERROR(MATCH(187,ChqRankU,0),0)=0,"",IF(INDEX(ChqAmt,IFERROR(MATCH(187,ChqRankU,0),0))=0,"",INDEX(ChqAmt,IFERROR(MATCH(187,ChqRankU,0),0))))</f>
        <v/>
      </c>
      <c r="E203" s="7" t="str">
        <f>IF(IFERROR(MATCH(187,ChqRankU,0),0)=0,"",INDEX(ChqStatus,IFERROR(MATCH(187,ChqRankU,0),0)))</f>
        <v/>
      </c>
      <c r="F203" s="13" t="str">
        <f>IF(IFERROR(MATCH(187,ChqRankU,0),0)=0,"",IF(INDEX(ChqStatus,IFERROR(MATCH(187,ChqRankU,0),0))="پاس نشده","—",IF(INDEX(ChqClr,IFERROR(MATCH(187,ChqRankU,0),0))="","—",INDEX(ChqClr,IFERROR(MATCH(187,ChqRankU,0),0)))))</f>
        <v/>
      </c>
      <c r="I203" t="str">
        <f>IF(187&gt;NChq,"",INDEX(ChqNorm,187))</f>
        <v/>
      </c>
      <c r="J203" t="str">
        <f>IF($I203="","",IF(AND($I203&gt;=$H$3,$I203&lt;=$H$4,INDEX(ChqStatus,187)="پاس نشده"),1,0))</f>
        <v/>
      </c>
      <c r="K203" t="str">
        <f>IF($J203=0,"",INDEX(ChqKey,187))</f>
        <v/>
      </c>
      <c r="L203" t="str">
        <f t="shared" si="2"/>
        <v/>
      </c>
    </row>
    <row r="204" spans="1:12" x14ac:dyDescent="0.2">
      <c r="A204" s="9" t="str">
        <f>IF(IFERROR(MATCH(188,ChqRankU,0),0)=0,"",188)</f>
        <v/>
      </c>
      <c r="B204" s="15" t="str">
        <f>IF(IFERROR(MATCH(188,ChqRankU,0),0)=0,"",INDEX(ChqNorm,IFERROR(MATCH(188,ChqRankU,0),0)))</f>
        <v/>
      </c>
      <c r="C204" s="15" t="str">
        <f>IF(IFERROR(MATCH(188,ChqRankU,0),0)=0,"",INDEX(ChqNo,IFERROR(MATCH(188,ChqRankU,0),0)))</f>
        <v/>
      </c>
      <c r="D204" s="16" t="str">
        <f>IF(IFERROR(MATCH(188,ChqRankU,0),0)=0,"",IF(INDEX(ChqAmt,IFERROR(MATCH(188,ChqRankU,0),0))=0,"",INDEX(ChqAmt,IFERROR(MATCH(188,ChqRankU,0),0))))</f>
        <v/>
      </c>
      <c r="E204" s="10" t="str">
        <f>IF(IFERROR(MATCH(188,ChqRankU,0),0)=0,"",INDEX(ChqStatus,IFERROR(MATCH(188,ChqRankU,0),0)))</f>
        <v/>
      </c>
      <c r="F204" s="15" t="str">
        <f>IF(IFERROR(MATCH(188,ChqRankU,0),0)=0,"",IF(INDEX(ChqStatus,IFERROR(MATCH(188,ChqRankU,0),0))="پاس نشده","—",IF(INDEX(ChqClr,IFERROR(MATCH(188,ChqRankU,0),0))="","—",INDEX(ChqClr,IFERROR(MATCH(188,ChqRankU,0),0)))))</f>
        <v/>
      </c>
      <c r="I204" t="str">
        <f>IF(188&gt;NChq,"",INDEX(ChqNorm,188))</f>
        <v/>
      </c>
      <c r="J204" t="str">
        <f>IF($I204="","",IF(AND($I204&gt;=$H$3,$I204&lt;=$H$4,INDEX(ChqStatus,188)="پاس نشده"),1,0))</f>
        <v/>
      </c>
      <c r="K204" t="str">
        <f>IF($J204=0,"",INDEX(ChqKey,188))</f>
        <v/>
      </c>
      <c r="L204" t="str">
        <f t="shared" si="2"/>
        <v/>
      </c>
    </row>
    <row r="205" spans="1:12" x14ac:dyDescent="0.2">
      <c r="A205" s="3" t="str">
        <f>IF(IFERROR(MATCH(189,ChqRankU,0),0)=0,"",189)</f>
        <v/>
      </c>
      <c r="B205" s="13" t="str">
        <f>IF(IFERROR(MATCH(189,ChqRankU,0),0)=0,"",INDEX(ChqNorm,IFERROR(MATCH(189,ChqRankU,0),0)))</f>
        <v/>
      </c>
      <c r="C205" s="13" t="str">
        <f>IF(IFERROR(MATCH(189,ChqRankU,0),0)=0,"",INDEX(ChqNo,IFERROR(MATCH(189,ChqRankU,0),0)))</f>
        <v/>
      </c>
      <c r="D205" s="14" t="str">
        <f>IF(IFERROR(MATCH(189,ChqRankU,0),0)=0,"",IF(INDEX(ChqAmt,IFERROR(MATCH(189,ChqRankU,0),0))=0,"",INDEX(ChqAmt,IFERROR(MATCH(189,ChqRankU,0),0))))</f>
        <v/>
      </c>
      <c r="E205" s="7" t="str">
        <f>IF(IFERROR(MATCH(189,ChqRankU,0),0)=0,"",INDEX(ChqStatus,IFERROR(MATCH(189,ChqRankU,0),0)))</f>
        <v/>
      </c>
      <c r="F205" s="13" t="str">
        <f>IF(IFERROR(MATCH(189,ChqRankU,0),0)=0,"",IF(INDEX(ChqStatus,IFERROR(MATCH(189,ChqRankU,0),0))="پاس نشده","—",IF(INDEX(ChqClr,IFERROR(MATCH(189,ChqRankU,0),0))="","—",INDEX(ChqClr,IFERROR(MATCH(189,ChqRankU,0),0)))))</f>
        <v/>
      </c>
      <c r="I205" t="str">
        <f>IF(189&gt;NChq,"",INDEX(ChqNorm,189))</f>
        <v/>
      </c>
      <c r="J205" t="str">
        <f>IF($I205="","",IF(AND($I205&gt;=$H$3,$I205&lt;=$H$4,INDEX(ChqStatus,189)="پاس نشده"),1,0))</f>
        <v/>
      </c>
      <c r="K205" t="str">
        <f>IF($J205=0,"",INDEX(ChqKey,189))</f>
        <v/>
      </c>
      <c r="L205" t="str">
        <f t="shared" si="2"/>
        <v/>
      </c>
    </row>
    <row r="206" spans="1:12" x14ac:dyDescent="0.2">
      <c r="A206" s="9" t="str">
        <f>IF(IFERROR(MATCH(190,ChqRankU,0),0)=0,"",190)</f>
        <v/>
      </c>
      <c r="B206" s="15" t="str">
        <f>IF(IFERROR(MATCH(190,ChqRankU,0),0)=0,"",INDEX(ChqNorm,IFERROR(MATCH(190,ChqRankU,0),0)))</f>
        <v/>
      </c>
      <c r="C206" s="15" t="str">
        <f>IF(IFERROR(MATCH(190,ChqRankU,0),0)=0,"",INDEX(ChqNo,IFERROR(MATCH(190,ChqRankU,0),0)))</f>
        <v/>
      </c>
      <c r="D206" s="16" t="str">
        <f>IF(IFERROR(MATCH(190,ChqRankU,0),0)=0,"",IF(INDEX(ChqAmt,IFERROR(MATCH(190,ChqRankU,0),0))=0,"",INDEX(ChqAmt,IFERROR(MATCH(190,ChqRankU,0),0))))</f>
        <v/>
      </c>
      <c r="E206" s="10" t="str">
        <f>IF(IFERROR(MATCH(190,ChqRankU,0),0)=0,"",INDEX(ChqStatus,IFERROR(MATCH(190,ChqRankU,0),0)))</f>
        <v/>
      </c>
      <c r="F206" s="15" t="str">
        <f>IF(IFERROR(MATCH(190,ChqRankU,0),0)=0,"",IF(INDEX(ChqStatus,IFERROR(MATCH(190,ChqRankU,0),0))="پاس نشده","—",IF(INDEX(ChqClr,IFERROR(MATCH(190,ChqRankU,0),0))="","—",INDEX(ChqClr,IFERROR(MATCH(190,ChqRankU,0),0)))))</f>
        <v/>
      </c>
      <c r="I206" t="str">
        <f>IF(190&gt;NChq,"",INDEX(ChqNorm,190))</f>
        <v/>
      </c>
      <c r="J206" t="str">
        <f>IF($I206="","",IF(AND($I206&gt;=$H$3,$I206&lt;=$H$4,INDEX(ChqStatus,190)="پاس نشده"),1,0))</f>
        <v/>
      </c>
      <c r="K206" t="str">
        <f>IF($J206=0,"",INDEX(ChqKey,190))</f>
        <v/>
      </c>
      <c r="L206" t="str">
        <f t="shared" si="2"/>
        <v/>
      </c>
    </row>
    <row r="207" spans="1:12" x14ac:dyDescent="0.2">
      <c r="A207" s="3" t="str">
        <f>IF(IFERROR(MATCH(191,ChqRankU,0),0)=0,"",191)</f>
        <v/>
      </c>
      <c r="B207" s="13" t="str">
        <f>IF(IFERROR(MATCH(191,ChqRankU,0),0)=0,"",INDEX(ChqNorm,IFERROR(MATCH(191,ChqRankU,0),0)))</f>
        <v/>
      </c>
      <c r="C207" s="13" t="str">
        <f>IF(IFERROR(MATCH(191,ChqRankU,0),0)=0,"",INDEX(ChqNo,IFERROR(MATCH(191,ChqRankU,0),0)))</f>
        <v/>
      </c>
      <c r="D207" s="14" t="str">
        <f>IF(IFERROR(MATCH(191,ChqRankU,0),0)=0,"",IF(INDEX(ChqAmt,IFERROR(MATCH(191,ChqRankU,0),0))=0,"",INDEX(ChqAmt,IFERROR(MATCH(191,ChqRankU,0),0))))</f>
        <v/>
      </c>
      <c r="E207" s="7" t="str">
        <f>IF(IFERROR(MATCH(191,ChqRankU,0),0)=0,"",INDEX(ChqStatus,IFERROR(MATCH(191,ChqRankU,0),0)))</f>
        <v/>
      </c>
      <c r="F207" s="13" t="str">
        <f>IF(IFERROR(MATCH(191,ChqRankU,0),0)=0,"",IF(INDEX(ChqStatus,IFERROR(MATCH(191,ChqRankU,0),0))="پاس نشده","—",IF(INDEX(ChqClr,IFERROR(MATCH(191,ChqRankU,0),0))="","—",INDEX(ChqClr,IFERROR(MATCH(191,ChqRankU,0),0)))))</f>
        <v/>
      </c>
      <c r="I207" t="str">
        <f>IF(191&gt;NChq,"",INDEX(ChqNorm,191))</f>
        <v/>
      </c>
      <c r="J207" t="str">
        <f>IF($I207="","",IF(AND($I207&gt;=$H$3,$I207&lt;=$H$4,INDEX(ChqStatus,191)="پاس نشده"),1,0))</f>
        <v/>
      </c>
      <c r="K207" t="str">
        <f>IF($J207=0,"",INDEX(ChqKey,191))</f>
        <v/>
      </c>
      <c r="L207" t="str">
        <f t="shared" si="2"/>
        <v/>
      </c>
    </row>
    <row r="208" spans="1:12" x14ac:dyDescent="0.2">
      <c r="A208" s="9" t="str">
        <f>IF(IFERROR(MATCH(192,ChqRankU,0),0)=0,"",192)</f>
        <v/>
      </c>
      <c r="B208" s="15" t="str">
        <f>IF(IFERROR(MATCH(192,ChqRankU,0),0)=0,"",INDEX(ChqNorm,IFERROR(MATCH(192,ChqRankU,0),0)))</f>
        <v/>
      </c>
      <c r="C208" s="15" t="str">
        <f>IF(IFERROR(MATCH(192,ChqRankU,0),0)=0,"",INDEX(ChqNo,IFERROR(MATCH(192,ChqRankU,0),0)))</f>
        <v/>
      </c>
      <c r="D208" s="16" t="str">
        <f>IF(IFERROR(MATCH(192,ChqRankU,0),0)=0,"",IF(INDEX(ChqAmt,IFERROR(MATCH(192,ChqRankU,0),0))=0,"",INDEX(ChqAmt,IFERROR(MATCH(192,ChqRankU,0),0))))</f>
        <v/>
      </c>
      <c r="E208" s="10" t="str">
        <f>IF(IFERROR(MATCH(192,ChqRankU,0),0)=0,"",INDEX(ChqStatus,IFERROR(MATCH(192,ChqRankU,0),0)))</f>
        <v/>
      </c>
      <c r="F208" s="15" t="str">
        <f>IF(IFERROR(MATCH(192,ChqRankU,0),0)=0,"",IF(INDEX(ChqStatus,IFERROR(MATCH(192,ChqRankU,0),0))="پاس نشده","—",IF(INDEX(ChqClr,IFERROR(MATCH(192,ChqRankU,0),0))="","—",INDEX(ChqClr,IFERROR(MATCH(192,ChqRankU,0),0)))))</f>
        <v/>
      </c>
      <c r="I208" t="str">
        <f>IF(192&gt;NChq,"",INDEX(ChqNorm,192))</f>
        <v/>
      </c>
      <c r="J208" t="str">
        <f>IF($I208="","",IF(AND($I208&gt;=$H$3,$I208&lt;=$H$4,INDEX(ChqStatus,192)="پاس نشده"),1,0))</f>
        <v/>
      </c>
      <c r="K208" t="str">
        <f>IF($J208=0,"",INDEX(ChqKey,192))</f>
        <v/>
      </c>
      <c r="L208" t="str">
        <f t="shared" si="2"/>
        <v/>
      </c>
    </row>
    <row r="209" spans="1:12" x14ac:dyDescent="0.2">
      <c r="A209" s="3" t="str">
        <f>IF(IFERROR(MATCH(193,ChqRankU,0),0)=0,"",193)</f>
        <v/>
      </c>
      <c r="B209" s="13" t="str">
        <f>IF(IFERROR(MATCH(193,ChqRankU,0),0)=0,"",INDEX(ChqNorm,IFERROR(MATCH(193,ChqRankU,0),0)))</f>
        <v/>
      </c>
      <c r="C209" s="13" t="str">
        <f>IF(IFERROR(MATCH(193,ChqRankU,0),0)=0,"",INDEX(ChqNo,IFERROR(MATCH(193,ChqRankU,0),0)))</f>
        <v/>
      </c>
      <c r="D209" s="14" t="str">
        <f>IF(IFERROR(MATCH(193,ChqRankU,0),0)=0,"",IF(INDEX(ChqAmt,IFERROR(MATCH(193,ChqRankU,0),0))=0,"",INDEX(ChqAmt,IFERROR(MATCH(193,ChqRankU,0),0))))</f>
        <v/>
      </c>
      <c r="E209" s="7" t="str">
        <f>IF(IFERROR(MATCH(193,ChqRankU,0),0)=0,"",INDEX(ChqStatus,IFERROR(MATCH(193,ChqRankU,0),0)))</f>
        <v/>
      </c>
      <c r="F209" s="13" t="str">
        <f>IF(IFERROR(MATCH(193,ChqRankU,0),0)=0,"",IF(INDEX(ChqStatus,IFERROR(MATCH(193,ChqRankU,0),0))="پاس نشده","—",IF(INDEX(ChqClr,IFERROR(MATCH(193,ChqRankU,0),0))="","—",INDEX(ChqClr,IFERROR(MATCH(193,ChqRankU,0),0)))))</f>
        <v/>
      </c>
      <c r="I209" t="str">
        <f>IF(193&gt;NChq,"",INDEX(ChqNorm,193))</f>
        <v/>
      </c>
      <c r="J209" t="str">
        <f>IF($I209="","",IF(AND($I209&gt;=$H$3,$I209&lt;=$H$4,INDEX(ChqStatus,193)="پاس نشده"),1,0))</f>
        <v/>
      </c>
      <c r="K209" t="str">
        <f>IF($J209=0,"",INDEX(ChqKey,193))</f>
        <v/>
      </c>
      <c r="L209" t="str">
        <f t="shared" ref="L209:L272" si="3">IF($K209="","",COUNTIFS($J$17:$J$516,1,$K$17:$K$516,"&lt;"&amp;$K209)+1)</f>
        <v/>
      </c>
    </row>
    <row r="210" spans="1:12" x14ac:dyDescent="0.2">
      <c r="A210" s="9" t="str">
        <f>IF(IFERROR(MATCH(194,ChqRankU,0),0)=0,"",194)</f>
        <v/>
      </c>
      <c r="B210" s="15" t="str">
        <f>IF(IFERROR(MATCH(194,ChqRankU,0),0)=0,"",INDEX(ChqNorm,IFERROR(MATCH(194,ChqRankU,0),0)))</f>
        <v/>
      </c>
      <c r="C210" s="15" t="str">
        <f>IF(IFERROR(MATCH(194,ChqRankU,0),0)=0,"",INDEX(ChqNo,IFERROR(MATCH(194,ChqRankU,0),0)))</f>
        <v/>
      </c>
      <c r="D210" s="16" t="str">
        <f>IF(IFERROR(MATCH(194,ChqRankU,0),0)=0,"",IF(INDEX(ChqAmt,IFERROR(MATCH(194,ChqRankU,0),0))=0,"",INDEX(ChqAmt,IFERROR(MATCH(194,ChqRankU,0),0))))</f>
        <v/>
      </c>
      <c r="E210" s="10" t="str">
        <f>IF(IFERROR(MATCH(194,ChqRankU,0),0)=0,"",INDEX(ChqStatus,IFERROR(MATCH(194,ChqRankU,0),0)))</f>
        <v/>
      </c>
      <c r="F210" s="15" t="str">
        <f>IF(IFERROR(MATCH(194,ChqRankU,0),0)=0,"",IF(INDEX(ChqStatus,IFERROR(MATCH(194,ChqRankU,0),0))="پاس نشده","—",IF(INDEX(ChqClr,IFERROR(MATCH(194,ChqRankU,0),0))="","—",INDEX(ChqClr,IFERROR(MATCH(194,ChqRankU,0),0)))))</f>
        <v/>
      </c>
      <c r="I210" t="str">
        <f>IF(194&gt;NChq,"",INDEX(ChqNorm,194))</f>
        <v/>
      </c>
      <c r="J210" t="str">
        <f>IF($I210="","",IF(AND($I210&gt;=$H$3,$I210&lt;=$H$4,INDEX(ChqStatus,194)="پاس نشده"),1,0))</f>
        <v/>
      </c>
      <c r="K210" t="str">
        <f>IF($J210=0,"",INDEX(ChqKey,194))</f>
        <v/>
      </c>
      <c r="L210" t="str">
        <f t="shared" si="3"/>
        <v/>
      </c>
    </row>
    <row r="211" spans="1:12" x14ac:dyDescent="0.2">
      <c r="A211" s="3" t="str">
        <f>IF(IFERROR(MATCH(195,ChqRankU,0),0)=0,"",195)</f>
        <v/>
      </c>
      <c r="B211" s="13" t="str">
        <f>IF(IFERROR(MATCH(195,ChqRankU,0),0)=0,"",INDEX(ChqNorm,IFERROR(MATCH(195,ChqRankU,0),0)))</f>
        <v/>
      </c>
      <c r="C211" s="13" t="str">
        <f>IF(IFERROR(MATCH(195,ChqRankU,0),0)=0,"",INDEX(ChqNo,IFERROR(MATCH(195,ChqRankU,0),0)))</f>
        <v/>
      </c>
      <c r="D211" s="14" t="str">
        <f>IF(IFERROR(MATCH(195,ChqRankU,0),0)=0,"",IF(INDEX(ChqAmt,IFERROR(MATCH(195,ChqRankU,0),0))=0,"",INDEX(ChqAmt,IFERROR(MATCH(195,ChqRankU,0),0))))</f>
        <v/>
      </c>
      <c r="E211" s="7" t="str">
        <f>IF(IFERROR(MATCH(195,ChqRankU,0),0)=0,"",INDEX(ChqStatus,IFERROR(MATCH(195,ChqRankU,0),0)))</f>
        <v/>
      </c>
      <c r="F211" s="13" t="str">
        <f>IF(IFERROR(MATCH(195,ChqRankU,0),0)=0,"",IF(INDEX(ChqStatus,IFERROR(MATCH(195,ChqRankU,0),0))="پاس نشده","—",IF(INDEX(ChqClr,IFERROR(MATCH(195,ChqRankU,0),0))="","—",INDEX(ChqClr,IFERROR(MATCH(195,ChqRankU,0),0)))))</f>
        <v/>
      </c>
      <c r="I211" t="str">
        <f>IF(195&gt;NChq,"",INDEX(ChqNorm,195))</f>
        <v/>
      </c>
      <c r="J211" t="str">
        <f>IF($I211="","",IF(AND($I211&gt;=$H$3,$I211&lt;=$H$4,INDEX(ChqStatus,195)="پاس نشده"),1,0))</f>
        <v/>
      </c>
      <c r="K211" t="str">
        <f>IF($J211=0,"",INDEX(ChqKey,195))</f>
        <v/>
      </c>
      <c r="L211" t="str">
        <f t="shared" si="3"/>
        <v/>
      </c>
    </row>
    <row r="212" spans="1:12" x14ac:dyDescent="0.2">
      <c r="A212" s="9" t="str">
        <f>IF(IFERROR(MATCH(196,ChqRankU,0),0)=0,"",196)</f>
        <v/>
      </c>
      <c r="B212" s="15" t="str">
        <f>IF(IFERROR(MATCH(196,ChqRankU,0),0)=0,"",INDEX(ChqNorm,IFERROR(MATCH(196,ChqRankU,0),0)))</f>
        <v/>
      </c>
      <c r="C212" s="15" t="str">
        <f>IF(IFERROR(MATCH(196,ChqRankU,0),0)=0,"",INDEX(ChqNo,IFERROR(MATCH(196,ChqRankU,0),0)))</f>
        <v/>
      </c>
      <c r="D212" s="16" t="str">
        <f>IF(IFERROR(MATCH(196,ChqRankU,0),0)=0,"",IF(INDEX(ChqAmt,IFERROR(MATCH(196,ChqRankU,0),0))=0,"",INDEX(ChqAmt,IFERROR(MATCH(196,ChqRankU,0),0))))</f>
        <v/>
      </c>
      <c r="E212" s="10" t="str">
        <f>IF(IFERROR(MATCH(196,ChqRankU,0),0)=0,"",INDEX(ChqStatus,IFERROR(MATCH(196,ChqRankU,0),0)))</f>
        <v/>
      </c>
      <c r="F212" s="15" t="str">
        <f>IF(IFERROR(MATCH(196,ChqRankU,0),0)=0,"",IF(INDEX(ChqStatus,IFERROR(MATCH(196,ChqRankU,0),0))="پاس نشده","—",IF(INDEX(ChqClr,IFERROR(MATCH(196,ChqRankU,0),0))="","—",INDEX(ChqClr,IFERROR(MATCH(196,ChqRankU,0),0)))))</f>
        <v/>
      </c>
      <c r="I212" t="str">
        <f>IF(196&gt;NChq,"",INDEX(ChqNorm,196))</f>
        <v/>
      </c>
      <c r="J212" t="str">
        <f>IF($I212="","",IF(AND($I212&gt;=$H$3,$I212&lt;=$H$4,INDEX(ChqStatus,196)="پاس نشده"),1,0))</f>
        <v/>
      </c>
      <c r="K212" t="str">
        <f>IF($J212=0,"",INDEX(ChqKey,196))</f>
        <v/>
      </c>
      <c r="L212" t="str">
        <f t="shared" si="3"/>
        <v/>
      </c>
    </row>
    <row r="213" spans="1:12" x14ac:dyDescent="0.2">
      <c r="A213" s="3" t="str">
        <f>IF(IFERROR(MATCH(197,ChqRankU,0),0)=0,"",197)</f>
        <v/>
      </c>
      <c r="B213" s="13" t="str">
        <f>IF(IFERROR(MATCH(197,ChqRankU,0),0)=0,"",INDEX(ChqNorm,IFERROR(MATCH(197,ChqRankU,0),0)))</f>
        <v/>
      </c>
      <c r="C213" s="13" t="str">
        <f>IF(IFERROR(MATCH(197,ChqRankU,0),0)=0,"",INDEX(ChqNo,IFERROR(MATCH(197,ChqRankU,0),0)))</f>
        <v/>
      </c>
      <c r="D213" s="14" t="str">
        <f>IF(IFERROR(MATCH(197,ChqRankU,0),0)=0,"",IF(INDEX(ChqAmt,IFERROR(MATCH(197,ChqRankU,0),0))=0,"",INDEX(ChqAmt,IFERROR(MATCH(197,ChqRankU,0),0))))</f>
        <v/>
      </c>
      <c r="E213" s="7" t="str">
        <f>IF(IFERROR(MATCH(197,ChqRankU,0),0)=0,"",INDEX(ChqStatus,IFERROR(MATCH(197,ChqRankU,0),0)))</f>
        <v/>
      </c>
      <c r="F213" s="13" t="str">
        <f>IF(IFERROR(MATCH(197,ChqRankU,0),0)=0,"",IF(INDEX(ChqStatus,IFERROR(MATCH(197,ChqRankU,0),0))="پاس نشده","—",IF(INDEX(ChqClr,IFERROR(MATCH(197,ChqRankU,0),0))="","—",INDEX(ChqClr,IFERROR(MATCH(197,ChqRankU,0),0)))))</f>
        <v/>
      </c>
      <c r="I213" t="str">
        <f>IF(197&gt;NChq,"",INDEX(ChqNorm,197))</f>
        <v/>
      </c>
      <c r="J213" t="str">
        <f>IF($I213="","",IF(AND($I213&gt;=$H$3,$I213&lt;=$H$4,INDEX(ChqStatus,197)="پاس نشده"),1,0))</f>
        <v/>
      </c>
      <c r="K213" t="str">
        <f>IF($J213=0,"",INDEX(ChqKey,197))</f>
        <v/>
      </c>
      <c r="L213" t="str">
        <f t="shared" si="3"/>
        <v/>
      </c>
    </row>
    <row r="214" spans="1:12" x14ac:dyDescent="0.2">
      <c r="A214" s="9" t="str">
        <f>IF(IFERROR(MATCH(198,ChqRankU,0),0)=0,"",198)</f>
        <v/>
      </c>
      <c r="B214" s="15" t="str">
        <f>IF(IFERROR(MATCH(198,ChqRankU,0),0)=0,"",INDEX(ChqNorm,IFERROR(MATCH(198,ChqRankU,0),0)))</f>
        <v/>
      </c>
      <c r="C214" s="15" t="str">
        <f>IF(IFERROR(MATCH(198,ChqRankU,0),0)=0,"",INDEX(ChqNo,IFERROR(MATCH(198,ChqRankU,0),0)))</f>
        <v/>
      </c>
      <c r="D214" s="16" t="str">
        <f>IF(IFERROR(MATCH(198,ChqRankU,0),0)=0,"",IF(INDEX(ChqAmt,IFERROR(MATCH(198,ChqRankU,0),0))=0,"",INDEX(ChqAmt,IFERROR(MATCH(198,ChqRankU,0),0))))</f>
        <v/>
      </c>
      <c r="E214" s="10" t="str">
        <f>IF(IFERROR(MATCH(198,ChqRankU,0),0)=0,"",INDEX(ChqStatus,IFERROR(MATCH(198,ChqRankU,0),0)))</f>
        <v/>
      </c>
      <c r="F214" s="15" t="str">
        <f>IF(IFERROR(MATCH(198,ChqRankU,0),0)=0,"",IF(INDEX(ChqStatus,IFERROR(MATCH(198,ChqRankU,0),0))="پاس نشده","—",IF(INDEX(ChqClr,IFERROR(MATCH(198,ChqRankU,0),0))="","—",INDEX(ChqClr,IFERROR(MATCH(198,ChqRankU,0),0)))))</f>
        <v/>
      </c>
      <c r="I214" t="str">
        <f>IF(198&gt;NChq,"",INDEX(ChqNorm,198))</f>
        <v/>
      </c>
      <c r="J214" t="str">
        <f>IF($I214="","",IF(AND($I214&gt;=$H$3,$I214&lt;=$H$4,INDEX(ChqStatus,198)="پاس نشده"),1,0))</f>
        <v/>
      </c>
      <c r="K214" t="str">
        <f>IF($J214=0,"",INDEX(ChqKey,198))</f>
        <v/>
      </c>
      <c r="L214" t="str">
        <f t="shared" si="3"/>
        <v/>
      </c>
    </row>
    <row r="215" spans="1:12" x14ac:dyDescent="0.2">
      <c r="A215" s="3" t="str">
        <f>IF(IFERROR(MATCH(199,ChqRankU,0),0)=0,"",199)</f>
        <v/>
      </c>
      <c r="B215" s="13" t="str">
        <f>IF(IFERROR(MATCH(199,ChqRankU,0),0)=0,"",INDEX(ChqNorm,IFERROR(MATCH(199,ChqRankU,0),0)))</f>
        <v/>
      </c>
      <c r="C215" s="13" t="str">
        <f>IF(IFERROR(MATCH(199,ChqRankU,0),0)=0,"",INDEX(ChqNo,IFERROR(MATCH(199,ChqRankU,0),0)))</f>
        <v/>
      </c>
      <c r="D215" s="14" t="str">
        <f>IF(IFERROR(MATCH(199,ChqRankU,0),0)=0,"",IF(INDEX(ChqAmt,IFERROR(MATCH(199,ChqRankU,0),0))=0,"",INDEX(ChqAmt,IFERROR(MATCH(199,ChqRankU,0),0))))</f>
        <v/>
      </c>
      <c r="E215" s="7" t="str">
        <f>IF(IFERROR(MATCH(199,ChqRankU,0),0)=0,"",INDEX(ChqStatus,IFERROR(MATCH(199,ChqRankU,0),0)))</f>
        <v/>
      </c>
      <c r="F215" s="13" t="str">
        <f>IF(IFERROR(MATCH(199,ChqRankU,0),0)=0,"",IF(INDEX(ChqStatus,IFERROR(MATCH(199,ChqRankU,0),0))="پاس نشده","—",IF(INDEX(ChqClr,IFERROR(MATCH(199,ChqRankU,0),0))="","—",INDEX(ChqClr,IFERROR(MATCH(199,ChqRankU,0),0)))))</f>
        <v/>
      </c>
      <c r="I215" t="str">
        <f>IF(199&gt;NChq,"",INDEX(ChqNorm,199))</f>
        <v/>
      </c>
      <c r="J215" t="str">
        <f>IF($I215="","",IF(AND($I215&gt;=$H$3,$I215&lt;=$H$4,INDEX(ChqStatus,199)="پاس نشده"),1,0))</f>
        <v/>
      </c>
      <c r="K215" t="str">
        <f>IF($J215=0,"",INDEX(ChqKey,199))</f>
        <v/>
      </c>
      <c r="L215" t="str">
        <f t="shared" si="3"/>
        <v/>
      </c>
    </row>
    <row r="216" spans="1:12" x14ac:dyDescent="0.2">
      <c r="A216" s="9" t="str">
        <f>IF(IFERROR(MATCH(200,ChqRankU,0),0)=0,"",200)</f>
        <v/>
      </c>
      <c r="B216" s="15" t="str">
        <f>IF(IFERROR(MATCH(200,ChqRankU,0),0)=0,"",INDEX(ChqNorm,IFERROR(MATCH(200,ChqRankU,0),0)))</f>
        <v/>
      </c>
      <c r="C216" s="15" t="str">
        <f>IF(IFERROR(MATCH(200,ChqRankU,0),0)=0,"",INDEX(ChqNo,IFERROR(MATCH(200,ChqRankU,0),0)))</f>
        <v/>
      </c>
      <c r="D216" s="16" t="str">
        <f>IF(IFERROR(MATCH(200,ChqRankU,0),0)=0,"",IF(INDEX(ChqAmt,IFERROR(MATCH(200,ChqRankU,0),0))=0,"",INDEX(ChqAmt,IFERROR(MATCH(200,ChqRankU,0),0))))</f>
        <v/>
      </c>
      <c r="E216" s="10" t="str">
        <f>IF(IFERROR(MATCH(200,ChqRankU,0),0)=0,"",INDEX(ChqStatus,IFERROR(MATCH(200,ChqRankU,0),0)))</f>
        <v/>
      </c>
      <c r="F216" s="15" t="str">
        <f>IF(IFERROR(MATCH(200,ChqRankU,0),0)=0,"",IF(INDEX(ChqStatus,IFERROR(MATCH(200,ChqRankU,0),0))="پاس نشده","—",IF(INDEX(ChqClr,IFERROR(MATCH(200,ChqRankU,0),0))="","—",INDEX(ChqClr,IFERROR(MATCH(200,ChqRankU,0),0)))))</f>
        <v/>
      </c>
      <c r="I216" t="str">
        <f>IF(200&gt;NChq,"",INDEX(ChqNorm,200))</f>
        <v/>
      </c>
      <c r="J216" t="str">
        <f>IF($I216="","",IF(AND($I216&gt;=$H$3,$I216&lt;=$H$4,INDEX(ChqStatus,200)="پاس نشده"),1,0))</f>
        <v/>
      </c>
      <c r="K216" t="str">
        <f>IF($J216=0,"",INDEX(ChqKey,200))</f>
        <v/>
      </c>
      <c r="L216" t="str">
        <f t="shared" si="3"/>
        <v/>
      </c>
    </row>
    <row r="217" spans="1:12" x14ac:dyDescent="0.2">
      <c r="A217" s="3" t="str">
        <f>IF(IFERROR(MATCH(201,ChqRankU,0),0)=0,"",201)</f>
        <v/>
      </c>
      <c r="B217" s="13" t="str">
        <f>IF(IFERROR(MATCH(201,ChqRankU,0),0)=0,"",INDEX(ChqNorm,IFERROR(MATCH(201,ChqRankU,0),0)))</f>
        <v/>
      </c>
      <c r="C217" s="13" t="str">
        <f>IF(IFERROR(MATCH(201,ChqRankU,0),0)=0,"",INDEX(ChqNo,IFERROR(MATCH(201,ChqRankU,0),0)))</f>
        <v/>
      </c>
      <c r="D217" s="14" t="str">
        <f>IF(IFERROR(MATCH(201,ChqRankU,0),0)=0,"",IF(INDEX(ChqAmt,IFERROR(MATCH(201,ChqRankU,0),0))=0,"",INDEX(ChqAmt,IFERROR(MATCH(201,ChqRankU,0),0))))</f>
        <v/>
      </c>
      <c r="E217" s="7" t="str">
        <f>IF(IFERROR(MATCH(201,ChqRankU,0),0)=0,"",INDEX(ChqStatus,IFERROR(MATCH(201,ChqRankU,0),0)))</f>
        <v/>
      </c>
      <c r="F217" s="13" t="str">
        <f>IF(IFERROR(MATCH(201,ChqRankU,0),0)=0,"",IF(INDEX(ChqStatus,IFERROR(MATCH(201,ChqRankU,0),0))="پاس نشده","—",IF(INDEX(ChqClr,IFERROR(MATCH(201,ChqRankU,0),0))="","—",INDEX(ChqClr,IFERROR(MATCH(201,ChqRankU,0),0)))))</f>
        <v/>
      </c>
      <c r="I217" t="str">
        <f>IF(201&gt;NChq,"",INDEX(ChqNorm,201))</f>
        <v/>
      </c>
      <c r="J217" t="str">
        <f>IF($I217="","",IF(AND($I217&gt;=$H$3,$I217&lt;=$H$4,INDEX(ChqStatus,201)="پاس نشده"),1,0))</f>
        <v/>
      </c>
      <c r="K217" t="str">
        <f>IF($J217=0,"",INDEX(ChqKey,201))</f>
        <v/>
      </c>
      <c r="L217" t="str">
        <f t="shared" si="3"/>
        <v/>
      </c>
    </row>
    <row r="218" spans="1:12" x14ac:dyDescent="0.2">
      <c r="A218" s="9" t="str">
        <f>IF(IFERROR(MATCH(202,ChqRankU,0),0)=0,"",202)</f>
        <v/>
      </c>
      <c r="B218" s="15" t="str">
        <f>IF(IFERROR(MATCH(202,ChqRankU,0),0)=0,"",INDEX(ChqNorm,IFERROR(MATCH(202,ChqRankU,0),0)))</f>
        <v/>
      </c>
      <c r="C218" s="15" t="str">
        <f>IF(IFERROR(MATCH(202,ChqRankU,0),0)=0,"",INDEX(ChqNo,IFERROR(MATCH(202,ChqRankU,0),0)))</f>
        <v/>
      </c>
      <c r="D218" s="16" t="str">
        <f>IF(IFERROR(MATCH(202,ChqRankU,0),0)=0,"",IF(INDEX(ChqAmt,IFERROR(MATCH(202,ChqRankU,0),0))=0,"",INDEX(ChqAmt,IFERROR(MATCH(202,ChqRankU,0),0))))</f>
        <v/>
      </c>
      <c r="E218" s="10" t="str">
        <f>IF(IFERROR(MATCH(202,ChqRankU,0),0)=0,"",INDEX(ChqStatus,IFERROR(MATCH(202,ChqRankU,0),0)))</f>
        <v/>
      </c>
      <c r="F218" s="15" t="str">
        <f>IF(IFERROR(MATCH(202,ChqRankU,0),0)=0,"",IF(INDEX(ChqStatus,IFERROR(MATCH(202,ChqRankU,0),0))="پاس نشده","—",IF(INDEX(ChqClr,IFERROR(MATCH(202,ChqRankU,0),0))="","—",INDEX(ChqClr,IFERROR(MATCH(202,ChqRankU,0),0)))))</f>
        <v/>
      </c>
      <c r="I218" t="str">
        <f>IF(202&gt;NChq,"",INDEX(ChqNorm,202))</f>
        <v/>
      </c>
      <c r="J218" t="str">
        <f>IF($I218="","",IF(AND($I218&gt;=$H$3,$I218&lt;=$H$4,INDEX(ChqStatus,202)="پاس نشده"),1,0))</f>
        <v/>
      </c>
      <c r="K218" t="str">
        <f>IF($J218=0,"",INDEX(ChqKey,202))</f>
        <v/>
      </c>
      <c r="L218" t="str">
        <f t="shared" si="3"/>
        <v/>
      </c>
    </row>
    <row r="219" spans="1:12" x14ac:dyDescent="0.2">
      <c r="A219" s="3" t="str">
        <f>IF(IFERROR(MATCH(203,ChqRankU,0),0)=0,"",203)</f>
        <v/>
      </c>
      <c r="B219" s="13" t="str">
        <f>IF(IFERROR(MATCH(203,ChqRankU,0),0)=0,"",INDEX(ChqNorm,IFERROR(MATCH(203,ChqRankU,0),0)))</f>
        <v/>
      </c>
      <c r="C219" s="13" t="str">
        <f>IF(IFERROR(MATCH(203,ChqRankU,0),0)=0,"",INDEX(ChqNo,IFERROR(MATCH(203,ChqRankU,0),0)))</f>
        <v/>
      </c>
      <c r="D219" s="14" t="str">
        <f>IF(IFERROR(MATCH(203,ChqRankU,0),0)=0,"",IF(INDEX(ChqAmt,IFERROR(MATCH(203,ChqRankU,0),0))=0,"",INDEX(ChqAmt,IFERROR(MATCH(203,ChqRankU,0),0))))</f>
        <v/>
      </c>
      <c r="E219" s="7" t="str">
        <f>IF(IFERROR(MATCH(203,ChqRankU,0),0)=0,"",INDEX(ChqStatus,IFERROR(MATCH(203,ChqRankU,0),0)))</f>
        <v/>
      </c>
      <c r="F219" s="13" t="str">
        <f>IF(IFERROR(MATCH(203,ChqRankU,0),0)=0,"",IF(INDEX(ChqStatus,IFERROR(MATCH(203,ChqRankU,0),0))="پاس نشده","—",IF(INDEX(ChqClr,IFERROR(MATCH(203,ChqRankU,0),0))="","—",INDEX(ChqClr,IFERROR(MATCH(203,ChqRankU,0),0)))))</f>
        <v/>
      </c>
      <c r="I219" t="str">
        <f>IF(203&gt;NChq,"",INDEX(ChqNorm,203))</f>
        <v/>
      </c>
      <c r="J219" t="str">
        <f>IF($I219="","",IF(AND($I219&gt;=$H$3,$I219&lt;=$H$4,INDEX(ChqStatus,203)="پاس نشده"),1,0))</f>
        <v/>
      </c>
      <c r="K219" t="str">
        <f>IF($J219=0,"",INDEX(ChqKey,203))</f>
        <v/>
      </c>
      <c r="L219" t="str">
        <f t="shared" si="3"/>
        <v/>
      </c>
    </row>
    <row r="220" spans="1:12" x14ac:dyDescent="0.2">
      <c r="A220" s="9" t="str">
        <f>IF(IFERROR(MATCH(204,ChqRankU,0),0)=0,"",204)</f>
        <v/>
      </c>
      <c r="B220" s="15" t="str">
        <f>IF(IFERROR(MATCH(204,ChqRankU,0),0)=0,"",INDEX(ChqNorm,IFERROR(MATCH(204,ChqRankU,0),0)))</f>
        <v/>
      </c>
      <c r="C220" s="15" t="str">
        <f>IF(IFERROR(MATCH(204,ChqRankU,0),0)=0,"",INDEX(ChqNo,IFERROR(MATCH(204,ChqRankU,0),0)))</f>
        <v/>
      </c>
      <c r="D220" s="16" t="str">
        <f>IF(IFERROR(MATCH(204,ChqRankU,0),0)=0,"",IF(INDEX(ChqAmt,IFERROR(MATCH(204,ChqRankU,0),0))=0,"",INDEX(ChqAmt,IFERROR(MATCH(204,ChqRankU,0),0))))</f>
        <v/>
      </c>
      <c r="E220" s="10" t="str">
        <f>IF(IFERROR(MATCH(204,ChqRankU,0),0)=0,"",INDEX(ChqStatus,IFERROR(MATCH(204,ChqRankU,0),0)))</f>
        <v/>
      </c>
      <c r="F220" s="15" t="str">
        <f>IF(IFERROR(MATCH(204,ChqRankU,0),0)=0,"",IF(INDEX(ChqStatus,IFERROR(MATCH(204,ChqRankU,0),0))="پاس نشده","—",IF(INDEX(ChqClr,IFERROR(MATCH(204,ChqRankU,0),0))="","—",INDEX(ChqClr,IFERROR(MATCH(204,ChqRankU,0),0)))))</f>
        <v/>
      </c>
      <c r="I220" t="str">
        <f>IF(204&gt;NChq,"",INDEX(ChqNorm,204))</f>
        <v/>
      </c>
      <c r="J220" t="str">
        <f>IF($I220="","",IF(AND($I220&gt;=$H$3,$I220&lt;=$H$4,INDEX(ChqStatus,204)="پاس نشده"),1,0))</f>
        <v/>
      </c>
      <c r="K220" t="str">
        <f>IF($J220=0,"",INDEX(ChqKey,204))</f>
        <v/>
      </c>
      <c r="L220" t="str">
        <f t="shared" si="3"/>
        <v/>
      </c>
    </row>
    <row r="221" spans="1:12" x14ac:dyDescent="0.2">
      <c r="A221" s="3" t="str">
        <f>IF(IFERROR(MATCH(205,ChqRankU,0),0)=0,"",205)</f>
        <v/>
      </c>
      <c r="B221" s="13" t="str">
        <f>IF(IFERROR(MATCH(205,ChqRankU,0),0)=0,"",INDEX(ChqNorm,IFERROR(MATCH(205,ChqRankU,0),0)))</f>
        <v/>
      </c>
      <c r="C221" s="13" t="str">
        <f>IF(IFERROR(MATCH(205,ChqRankU,0),0)=0,"",INDEX(ChqNo,IFERROR(MATCH(205,ChqRankU,0),0)))</f>
        <v/>
      </c>
      <c r="D221" s="14" t="str">
        <f>IF(IFERROR(MATCH(205,ChqRankU,0),0)=0,"",IF(INDEX(ChqAmt,IFERROR(MATCH(205,ChqRankU,0),0))=0,"",INDEX(ChqAmt,IFERROR(MATCH(205,ChqRankU,0),0))))</f>
        <v/>
      </c>
      <c r="E221" s="7" t="str">
        <f>IF(IFERROR(MATCH(205,ChqRankU,0),0)=0,"",INDEX(ChqStatus,IFERROR(MATCH(205,ChqRankU,0),0)))</f>
        <v/>
      </c>
      <c r="F221" s="13" t="str">
        <f>IF(IFERROR(MATCH(205,ChqRankU,0),0)=0,"",IF(INDEX(ChqStatus,IFERROR(MATCH(205,ChqRankU,0),0))="پاس نشده","—",IF(INDEX(ChqClr,IFERROR(MATCH(205,ChqRankU,0),0))="","—",INDEX(ChqClr,IFERROR(MATCH(205,ChqRankU,0),0)))))</f>
        <v/>
      </c>
      <c r="I221" t="str">
        <f>IF(205&gt;NChq,"",INDEX(ChqNorm,205))</f>
        <v/>
      </c>
      <c r="J221" t="str">
        <f>IF($I221="","",IF(AND($I221&gt;=$H$3,$I221&lt;=$H$4,INDEX(ChqStatus,205)="پاس نشده"),1,0))</f>
        <v/>
      </c>
      <c r="K221" t="str">
        <f>IF($J221=0,"",INDEX(ChqKey,205))</f>
        <v/>
      </c>
      <c r="L221" t="str">
        <f t="shared" si="3"/>
        <v/>
      </c>
    </row>
    <row r="222" spans="1:12" x14ac:dyDescent="0.2">
      <c r="A222" s="9" t="str">
        <f>IF(IFERROR(MATCH(206,ChqRankU,0),0)=0,"",206)</f>
        <v/>
      </c>
      <c r="B222" s="15" t="str">
        <f>IF(IFERROR(MATCH(206,ChqRankU,0),0)=0,"",INDEX(ChqNorm,IFERROR(MATCH(206,ChqRankU,0),0)))</f>
        <v/>
      </c>
      <c r="C222" s="15" t="str">
        <f>IF(IFERROR(MATCH(206,ChqRankU,0),0)=0,"",INDEX(ChqNo,IFERROR(MATCH(206,ChqRankU,0),0)))</f>
        <v/>
      </c>
      <c r="D222" s="16" t="str">
        <f>IF(IFERROR(MATCH(206,ChqRankU,0),0)=0,"",IF(INDEX(ChqAmt,IFERROR(MATCH(206,ChqRankU,0),0))=0,"",INDEX(ChqAmt,IFERROR(MATCH(206,ChqRankU,0),0))))</f>
        <v/>
      </c>
      <c r="E222" s="10" t="str">
        <f>IF(IFERROR(MATCH(206,ChqRankU,0),0)=0,"",INDEX(ChqStatus,IFERROR(MATCH(206,ChqRankU,0),0)))</f>
        <v/>
      </c>
      <c r="F222" s="15" t="str">
        <f>IF(IFERROR(MATCH(206,ChqRankU,0),0)=0,"",IF(INDEX(ChqStatus,IFERROR(MATCH(206,ChqRankU,0),0))="پاس نشده","—",IF(INDEX(ChqClr,IFERROR(MATCH(206,ChqRankU,0),0))="","—",INDEX(ChqClr,IFERROR(MATCH(206,ChqRankU,0),0)))))</f>
        <v/>
      </c>
      <c r="I222" t="str">
        <f>IF(206&gt;NChq,"",INDEX(ChqNorm,206))</f>
        <v/>
      </c>
      <c r="J222" t="str">
        <f>IF($I222="","",IF(AND($I222&gt;=$H$3,$I222&lt;=$H$4,INDEX(ChqStatus,206)="پاس نشده"),1,0))</f>
        <v/>
      </c>
      <c r="K222" t="str">
        <f>IF($J222=0,"",INDEX(ChqKey,206))</f>
        <v/>
      </c>
      <c r="L222" t="str">
        <f t="shared" si="3"/>
        <v/>
      </c>
    </row>
    <row r="223" spans="1:12" x14ac:dyDescent="0.2">
      <c r="A223" s="3" t="str">
        <f>IF(IFERROR(MATCH(207,ChqRankU,0),0)=0,"",207)</f>
        <v/>
      </c>
      <c r="B223" s="13" t="str">
        <f>IF(IFERROR(MATCH(207,ChqRankU,0),0)=0,"",INDEX(ChqNorm,IFERROR(MATCH(207,ChqRankU,0),0)))</f>
        <v/>
      </c>
      <c r="C223" s="13" t="str">
        <f>IF(IFERROR(MATCH(207,ChqRankU,0),0)=0,"",INDEX(ChqNo,IFERROR(MATCH(207,ChqRankU,0),0)))</f>
        <v/>
      </c>
      <c r="D223" s="14" t="str">
        <f>IF(IFERROR(MATCH(207,ChqRankU,0),0)=0,"",IF(INDEX(ChqAmt,IFERROR(MATCH(207,ChqRankU,0),0))=0,"",INDEX(ChqAmt,IFERROR(MATCH(207,ChqRankU,0),0))))</f>
        <v/>
      </c>
      <c r="E223" s="7" t="str">
        <f>IF(IFERROR(MATCH(207,ChqRankU,0),0)=0,"",INDEX(ChqStatus,IFERROR(MATCH(207,ChqRankU,0),0)))</f>
        <v/>
      </c>
      <c r="F223" s="13" t="str">
        <f>IF(IFERROR(MATCH(207,ChqRankU,0),0)=0,"",IF(INDEX(ChqStatus,IFERROR(MATCH(207,ChqRankU,0),0))="پاس نشده","—",IF(INDEX(ChqClr,IFERROR(MATCH(207,ChqRankU,0),0))="","—",INDEX(ChqClr,IFERROR(MATCH(207,ChqRankU,0),0)))))</f>
        <v/>
      </c>
      <c r="I223" t="str">
        <f>IF(207&gt;NChq,"",INDEX(ChqNorm,207))</f>
        <v/>
      </c>
      <c r="J223" t="str">
        <f>IF($I223="","",IF(AND($I223&gt;=$H$3,$I223&lt;=$H$4,INDEX(ChqStatus,207)="پاس نشده"),1,0))</f>
        <v/>
      </c>
      <c r="K223" t="str">
        <f>IF($J223=0,"",INDEX(ChqKey,207))</f>
        <v/>
      </c>
      <c r="L223" t="str">
        <f t="shared" si="3"/>
        <v/>
      </c>
    </row>
    <row r="224" spans="1:12" x14ac:dyDescent="0.2">
      <c r="A224" s="9" t="str">
        <f>IF(IFERROR(MATCH(208,ChqRankU,0),0)=0,"",208)</f>
        <v/>
      </c>
      <c r="B224" s="15" t="str">
        <f>IF(IFERROR(MATCH(208,ChqRankU,0),0)=0,"",INDEX(ChqNorm,IFERROR(MATCH(208,ChqRankU,0),0)))</f>
        <v/>
      </c>
      <c r="C224" s="15" t="str">
        <f>IF(IFERROR(MATCH(208,ChqRankU,0),0)=0,"",INDEX(ChqNo,IFERROR(MATCH(208,ChqRankU,0),0)))</f>
        <v/>
      </c>
      <c r="D224" s="16" t="str">
        <f>IF(IFERROR(MATCH(208,ChqRankU,0),0)=0,"",IF(INDEX(ChqAmt,IFERROR(MATCH(208,ChqRankU,0),0))=0,"",INDEX(ChqAmt,IFERROR(MATCH(208,ChqRankU,0),0))))</f>
        <v/>
      </c>
      <c r="E224" s="10" t="str">
        <f>IF(IFERROR(MATCH(208,ChqRankU,0),0)=0,"",INDEX(ChqStatus,IFERROR(MATCH(208,ChqRankU,0),0)))</f>
        <v/>
      </c>
      <c r="F224" s="15" t="str">
        <f>IF(IFERROR(MATCH(208,ChqRankU,0),0)=0,"",IF(INDEX(ChqStatus,IFERROR(MATCH(208,ChqRankU,0),0))="پاس نشده","—",IF(INDEX(ChqClr,IFERROR(MATCH(208,ChqRankU,0),0))="","—",INDEX(ChqClr,IFERROR(MATCH(208,ChqRankU,0),0)))))</f>
        <v/>
      </c>
      <c r="I224" t="str">
        <f>IF(208&gt;NChq,"",INDEX(ChqNorm,208))</f>
        <v/>
      </c>
      <c r="J224" t="str">
        <f>IF($I224="","",IF(AND($I224&gt;=$H$3,$I224&lt;=$H$4,INDEX(ChqStatus,208)="پاس نشده"),1,0))</f>
        <v/>
      </c>
      <c r="K224" t="str">
        <f>IF($J224=0,"",INDEX(ChqKey,208))</f>
        <v/>
      </c>
      <c r="L224" t="str">
        <f t="shared" si="3"/>
        <v/>
      </c>
    </row>
    <row r="225" spans="1:12" x14ac:dyDescent="0.2">
      <c r="A225" s="3" t="str">
        <f>IF(IFERROR(MATCH(209,ChqRankU,0),0)=0,"",209)</f>
        <v/>
      </c>
      <c r="B225" s="13" t="str">
        <f>IF(IFERROR(MATCH(209,ChqRankU,0),0)=0,"",INDEX(ChqNorm,IFERROR(MATCH(209,ChqRankU,0),0)))</f>
        <v/>
      </c>
      <c r="C225" s="13" t="str">
        <f>IF(IFERROR(MATCH(209,ChqRankU,0),0)=0,"",INDEX(ChqNo,IFERROR(MATCH(209,ChqRankU,0),0)))</f>
        <v/>
      </c>
      <c r="D225" s="14" t="str">
        <f>IF(IFERROR(MATCH(209,ChqRankU,0),0)=0,"",IF(INDEX(ChqAmt,IFERROR(MATCH(209,ChqRankU,0),0))=0,"",INDEX(ChqAmt,IFERROR(MATCH(209,ChqRankU,0),0))))</f>
        <v/>
      </c>
      <c r="E225" s="7" t="str">
        <f>IF(IFERROR(MATCH(209,ChqRankU,0),0)=0,"",INDEX(ChqStatus,IFERROR(MATCH(209,ChqRankU,0),0)))</f>
        <v/>
      </c>
      <c r="F225" s="13" t="str">
        <f>IF(IFERROR(MATCH(209,ChqRankU,0),0)=0,"",IF(INDEX(ChqStatus,IFERROR(MATCH(209,ChqRankU,0),0))="پاس نشده","—",IF(INDEX(ChqClr,IFERROR(MATCH(209,ChqRankU,0),0))="","—",INDEX(ChqClr,IFERROR(MATCH(209,ChqRankU,0),0)))))</f>
        <v/>
      </c>
      <c r="I225" t="str">
        <f>IF(209&gt;NChq,"",INDEX(ChqNorm,209))</f>
        <v/>
      </c>
      <c r="J225" t="str">
        <f>IF($I225="","",IF(AND($I225&gt;=$H$3,$I225&lt;=$H$4,INDEX(ChqStatus,209)="پاس نشده"),1,0))</f>
        <v/>
      </c>
      <c r="K225" t="str">
        <f>IF($J225=0,"",INDEX(ChqKey,209))</f>
        <v/>
      </c>
      <c r="L225" t="str">
        <f t="shared" si="3"/>
        <v/>
      </c>
    </row>
    <row r="226" spans="1:12" x14ac:dyDescent="0.2">
      <c r="A226" s="9" t="str">
        <f>IF(IFERROR(MATCH(210,ChqRankU,0),0)=0,"",210)</f>
        <v/>
      </c>
      <c r="B226" s="15" t="str">
        <f>IF(IFERROR(MATCH(210,ChqRankU,0),0)=0,"",INDEX(ChqNorm,IFERROR(MATCH(210,ChqRankU,0),0)))</f>
        <v/>
      </c>
      <c r="C226" s="15" t="str">
        <f>IF(IFERROR(MATCH(210,ChqRankU,0),0)=0,"",INDEX(ChqNo,IFERROR(MATCH(210,ChqRankU,0),0)))</f>
        <v/>
      </c>
      <c r="D226" s="16" t="str">
        <f>IF(IFERROR(MATCH(210,ChqRankU,0),0)=0,"",IF(INDEX(ChqAmt,IFERROR(MATCH(210,ChqRankU,0),0))=0,"",INDEX(ChqAmt,IFERROR(MATCH(210,ChqRankU,0),0))))</f>
        <v/>
      </c>
      <c r="E226" s="10" t="str">
        <f>IF(IFERROR(MATCH(210,ChqRankU,0),0)=0,"",INDEX(ChqStatus,IFERROR(MATCH(210,ChqRankU,0),0)))</f>
        <v/>
      </c>
      <c r="F226" s="15" t="str">
        <f>IF(IFERROR(MATCH(210,ChqRankU,0),0)=0,"",IF(INDEX(ChqStatus,IFERROR(MATCH(210,ChqRankU,0),0))="پاس نشده","—",IF(INDEX(ChqClr,IFERROR(MATCH(210,ChqRankU,0),0))="","—",INDEX(ChqClr,IFERROR(MATCH(210,ChqRankU,0),0)))))</f>
        <v/>
      </c>
      <c r="I226" t="str">
        <f>IF(210&gt;NChq,"",INDEX(ChqNorm,210))</f>
        <v/>
      </c>
      <c r="J226" t="str">
        <f>IF($I226="","",IF(AND($I226&gt;=$H$3,$I226&lt;=$H$4,INDEX(ChqStatus,210)="پاس نشده"),1,0))</f>
        <v/>
      </c>
      <c r="K226" t="str">
        <f>IF($J226=0,"",INDEX(ChqKey,210))</f>
        <v/>
      </c>
      <c r="L226" t="str">
        <f t="shared" si="3"/>
        <v/>
      </c>
    </row>
    <row r="227" spans="1:12" x14ac:dyDescent="0.2">
      <c r="A227" s="3" t="str">
        <f>IF(IFERROR(MATCH(211,ChqRankU,0),0)=0,"",211)</f>
        <v/>
      </c>
      <c r="B227" s="13" t="str">
        <f>IF(IFERROR(MATCH(211,ChqRankU,0),0)=0,"",INDEX(ChqNorm,IFERROR(MATCH(211,ChqRankU,0),0)))</f>
        <v/>
      </c>
      <c r="C227" s="13" t="str">
        <f>IF(IFERROR(MATCH(211,ChqRankU,0),0)=0,"",INDEX(ChqNo,IFERROR(MATCH(211,ChqRankU,0),0)))</f>
        <v/>
      </c>
      <c r="D227" s="14" t="str">
        <f>IF(IFERROR(MATCH(211,ChqRankU,0),0)=0,"",IF(INDEX(ChqAmt,IFERROR(MATCH(211,ChqRankU,0),0))=0,"",INDEX(ChqAmt,IFERROR(MATCH(211,ChqRankU,0),0))))</f>
        <v/>
      </c>
      <c r="E227" s="7" t="str">
        <f>IF(IFERROR(MATCH(211,ChqRankU,0),0)=0,"",INDEX(ChqStatus,IFERROR(MATCH(211,ChqRankU,0),0)))</f>
        <v/>
      </c>
      <c r="F227" s="13" t="str">
        <f>IF(IFERROR(MATCH(211,ChqRankU,0),0)=0,"",IF(INDEX(ChqStatus,IFERROR(MATCH(211,ChqRankU,0),0))="پاس نشده","—",IF(INDEX(ChqClr,IFERROR(MATCH(211,ChqRankU,0),0))="","—",INDEX(ChqClr,IFERROR(MATCH(211,ChqRankU,0),0)))))</f>
        <v/>
      </c>
      <c r="I227" t="str">
        <f>IF(211&gt;NChq,"",INDEX(ChqNorm,211))</f>
        <v/>
      </c>
      <c r="J227" t="str">
        <f>IF($I227="","",IF(AND($I227&gt;=$H$3,$I227&lt;=$H$4,INDEX(ChqStatus,211)="پاس نشده"),1,0))</f>
        <v/>
      </c>
      <c r="K227" t="str">
        <f>IF($J227=0,"",INDEX(ChqKey,211))</f>
        <v/>
      </c>
      <c r="L227" t="str">
        <f t="shared" si="3"/>
        <v/>
      </c>
    </row>
    <row r="228" spans="1:12" x14ac:dyDescent="0.2">
      <c r="A228" s="9" t="str">
        <f>IF(IFERROR(MATCH(212,ChqRankU,0),0)=0,"",212)</f>
        <v/>
      </c>
      <c r="B228" s="15" t="str">
        <f>IF(IFERROR(MATCH(212,ChqRankU,0),0)=0,"",INDEX(ChqNorm,IFERROR(MATCH(212,ChqRankU,0),0)))</f>
        <v/>
      </c>
      <c r="C228" s="15" t="str">
        <f>IF(IFERROR(MATCH(212,ChqRankU,0),0)=0,"",INDEX(ChqNo,IFERROR(MATCH(212,ChqRankU,0),0)))</f>
        <v/>
      </c>
      <c r="D228" s="16" t="str">
        <f>IF(IFERROR(MATCH(212,ChqRankU,0),0)=0,"",IF(INDEX(ChqAmt,IFERROR(MATCH(212,ChqRankU,0),0))=0,"",INDEX(ChqAmt,IFERROR(MATCH(212,ChqRankU,0),0))))</f>
        <v/>
      </c>
      <c r="E228" s="10" t="str">
        <f>IF(IFERROR(MATCH(212,ChqRankU,0),0)=0,"",INDEX(ChqStatus,IFERROR(MATCH(212,ChqRankU,0),0)))</f>
        <v/>
      </c>
      <c r="F228" s="15" t="str">
        <f>IF(IFERROR(MATCH(212,ChqRankU,0),0)=0,"",IF(INDEX(ChqStatus,IFERROR(MATCH(212,ChqRankU,0),0))="پاس نشده","—",IF(INDEX(ChqClr,IFERROR(MATCH(212,ChqRankU,0),0))="","—",INDEX(ChqClr,IFERROR(MATCH(212,ChqRankU,0),0)))))</f>
        <v/>
      </c>
      <c r="I228" t="str">
        <f>IF(212&gt;NChq,"",INDEX(ChqNorm,212))</f>
        <v/>
      </c>
      <c r="J228" t="str">
        <f>IF($I228="","",IF(AND($I228&gt;=$H$3,$I228&lt;=$H$4,INDEX(ChqStatus,212)="پاس نشده"),1,0))</f>
        <v/>
      </c>
      <c r="K228" t="str">
        <f>IF($J228=0,"",INDEX(ChqKey,212))</f>
        <v/>
      </c>
      <c r="L228" t="str">
        <f t="shared" si="3"/>
        <v/>
      </c>
    </row>
    <row r="229" spans="1:12" x14ac:dyDescent="0.2">
      <c r="A229" s="3" t="str">
        <f>IF(IFERROR(MATCH(213,ChqRankU,0),0)=0,"",213)</f>
        <v/>
      </c>
      <c r="B229" s="13" t="str">
        <f>IF(IFERROR(MATCH(213,ChqRankU,0),0)=0,"",INDEX(ChqNorm,IFERROR(MATCH(213,ChqRankU,0),0)))</f>
        <v/>
      </c>
      <c r="C229" s="13" t="str">
        <f>IF(IFERROR(MATCH(213,ChqRankU,0),0)=0,"",INDEX(ChqNo,IFERROR(MATCH(213,ChqRankU,0),0)))</f>
        <v/>
      </c>
      <c r="D229" s="14" t="str">
        <f>IF(IFERROR(MATCH(213,ChqRankU,0),0)=0,"",IF(INDEX(ChqAmt,IFERROR(MATCH(213,ChqRankU,0),0))=0,"",INDEX(ChqAmt,IFERROR(MATCH(213,ChqRankU,0),0))))</f>
        <v/>
      </c>
      <c r="E229" s="7" t="str">
        <f>IF(IFERROR(MATCH(213,ChqRankU,0),0)=0,"",INDEX(ChqStatus,IFERROR(MATCH(213,ChqRankU,0),0)))</f>
        <v/>
      </c>
      <c r="F229" s="13" t="str">
        <f>IF(IFERROR(MATCH(213,ChqRankU,0),0)=0,"",IF(INDEX(ChqStatus,IFERROR(MATCH(213,ChqRankU,0),0))="پاس نشده","—",IF(INDEX(ChqClr,IFERROR(MATCH(213,ChqRankU,0),0))="","—",INDEX(ChqClr,IFERROR(MATCH(213,ChqRankU,0),0)))))</f>
        <v/>
      </c>
      <c r="I229" t="str">
        <f>IF(213&gt;NChq,"",INDEX(ChqNorm,213))</f>
        <v/>
      </c>
      <c r="J229" t="str">
        <f>IF($I229="","",IF(AND($I229&gt;=$H$3,$I229&lt;=$H$4,INDEX(ChqStatus,213)="پاس نشده"),1,0))</f>
        <v/>
      </c>
      <c r="K229" t="str">
        <f>IF($J229=0,"",INDEX(ChqKey,213))</f>
        <v/>
      </c>
      <c r="L229" t="str">
        <f t="shared" si="3"/>
        <v/>
      </c>
    </row>
    <row r="230" spans="1:12" x14ac:dyDescent="0.2">
      <c r="A230" s="9" t="str">
        <f>IF(IFERROR(MATCH(214,ChqRankU,0),0)=0,"",214)</f>
        <v/>
      </c>
      <c r="B230" s="15" t="str">
        <f>IF(IFERROR(MATCH(214,ChqRankU,0),0)=0,"",INDEX(ChqNorm,IFERROR(MATCH(214,ChqRankU,0),0)))</f>
        <v/>
      </c>
      <c r="C230" s="15" t="str">
        <f>IF(IFERROR(MATCH(214,ChqRankU,0),0)=0,"",INDEX(ChqNo,IFERROR(MATCH(214,ChqRankU,0),0)))</f>
        <v/>
      </c>
      <c r="D230" s="16" t="str">
        <f>IF(IFERROR(MATCH(214,ChqRankU,0),0)=0,"",IF(INDEX(ChqAmt,IFERROR(MATCH(214,ChqRankU,0),0))=0,"",INDEX(ChqAmt,IFERROR(MATCH(214,ChqRankU,0),0))))</f>
        <v/>
      </c>
      <c r="E230" s="10" t="str">
        <f>IF(IFERROR(MATCH(214,ChqRankU,0),0)=0,"",INDEX(ChqStatus,IFERROR(MATCH(214,ChqRankU,0),0)))</f>
        <v/>
      </c>
      <c r="F230" s="15" t="str">
        <f>IF(IFERROR(MATCH(214,ChqRankU,0),0)=0,"",IF(INDEX(ChqStatus,IFERROR(MATCH(214,ChqRankU,0),0))="پاس نشده","—",IF(INDEX(ChqClr,IFERROR(MATCH(214,ChqRankU,0),0))="","—",INDEX(ChqClr,IFERROR(MATCH(214,ChqRankU,0),0)))))</f>
        <v/>
      </c>
      <c r="I230" t="str">
        <f>IF(214&gt;NChq,"",INDEX(ChqNorm,214))</f>
        <v/>
      </c>
      <c r="J230" t="str">
        <f>IF($I230="","",IF(AND($I230&gt;=$H$3,$I230&lt;=$H$4,INDEX(ChqStatus,214)="پاس نشده"),1,0))</f>
        <v/>
      </c>
      <c r="K230" t="str">
        <f>IF($J230=0,"",INDEX(ChqKey,214))</f>
        <v/>
      </c>
      <c r="L230" t="str">
        <f t="shared" si="3"/>
        <v/>
      </c>
    </row>
    <row r="231" spans="1:12" x14ac:dyDescent="0.2">
      <c r="A231" s="3" t="str">
        <f>IF(IFERROR(MATCH(215,ChqRankU,0),0)=0,"",215)</f>
        <v/>
      </c>
      <c r="B231" s="13" t="str">
        <f>IF(IFERROR(MATCH(215,ChqRankU,0),0)=0,"",INDEX(ChqNorm,IFERROR(MATCH(215,ChqRankU,0),0)))</f>
        <v/>
      </c>
      <c r="C231" s="13" t="str">
        <f>IF(IFERROR(MATCH(215,ChqRankU,0),0)=0,"",INDEX(ChqNo,IFERROR(MATCH(215,ChqRankU,0),0)))</f>
        <v/>
      </c>
      <c r="D231" s="14" t="str">
        <f>IF(IFERROR(MATCH(215,ChqRankU,0),0)=0,"",IF(INDEX(ChqAmt,IFERROR(MATCH(215,ChqRankU,0),0))=0,"",INDEX(ChqAmt,IFERROR(MATCH(215,ChqRankU,0),0))))</f>
        <v/>
      </c>
      <c r="E231" s="7" t="str">
        <f>IF(IFERROR(MATCH(215,ChqRankU,0),0)=0,"",INDEX(ChqStatus,IFERROR(MATCH(215,ChqRankU,0),0)))</f>
        <v/>
      </c>
      <c r="F231" s="13" t="str">
        <f>IF(IFERROR(MATCH(215,ChqRankU,0),0)=0,"",IF(INDEX(ChqStatus,IFERROR(MATCH(215,ChqRankU,0),0))="پاس نشده","—",IF(INDEX(ChqClr,IFERROR(MATCH(215,ChqRankU,0),0))="","—",INDEX(ChqClr,IFERROR(MATCH(215,ChqRankU,0),0)))))</f>
        <v/>
      </c>
      <c r="I231" t="str">
        <f>IF(215&gt;NChq,"",INDEX(ChqNorm,215))</f>
        <v/>
      </c>
      <c r="J231" t="str">
        <f>IF($I231="","",IF(AND($I231&gt;=$H$3,$I231&lt;=$H$4,INDEX(ChqStatus,215)="پاس نشده"),1,0))</f>
        <v/>
      </c>
      <c r="K231" t="str">
        <f>IF($J231=0,"",INDEX(ChqKey,215))</f>
        <v/>
      </c>
      <c r="L231" t="str">
        <f t="shared" si="3"/>
        <v/>
      </c>
    </row>
    <row r="232" spans="1:12" x14ac:dyDescent="0.2">
      <c r="A232" s="9" t="str">
        <f>IF(IFERROR(MATCH(216,ChqRankU,0),0)=0,"",216)</f>
        <v/>
      </c>
      <c r="B232" s="15" t="str">
        <f>IF(IFERROR(MATCH(216,ChqRankU,0),0)=0,"",INDEX(ChqNorm,IFERROR(MATCH(216,ChqRankU,0),0)))</f>
        <v/>
      </c>
      <c r="C232" s="15" t="str">
        <f>IF(IFERROR(MATCH(216,ChqRankU,0),0)=0,"",INDEX(ChqNo,IFERROR(MATCH(216,ChqRankU,0),0)))</f>
        <v/>
      </c>
      <c r="D232" s="16" t="str">
        <f>IF(IFERROR(MATCH(216,ChqRankU,0),0)=0,"",IF(INDEX(ChqAmt,IFERROR(MATCH(216,ChqRankU,0),0))=0,"",INDEX(ChqAmt,IFERROR(MATCH(216,ChqRankU,0),0))))</f>
        <v/>
      </c>
      <c r="E232" s="10" t="str">
        <f>IF(IFERROR(MATCH(216,ChqRankU,0),0)=0,"",INDEX(ChqStatus,IFERROR(MATCH(216,ChqRankU,0),0)))</f>
        <v/>
      </c>
      <c r="F232" s="15" t="str">
        <f>IF(IFERROR(MATCH(216,ChqRankU,0),0)=0,"",IF(INDEX(ChqStatus,IFERROR(MATCH(216,ChqRankU,0),0))="پاس نشده","—",IF(INDEX(ChqClr,IFERROR(MATCH(216,ChqRankU,0),0))="","—",INDEX(ChqClr,IFERROR(MATCH(216,ChqRankU,0),0)))))</f>
        <v/>
      </c>
      <c r="I232" t="str">
        <f>IF(216&gt;NChq,"",INDEX(ChqNorm,216))</f>
        <v/>
      </c>
      <c r="J232" t="str">
        <f>IF($I232="","",IF(AND($I232&gt;=$H$3,$I232&lt;=$H$4,INDEX(ChqStatus,216)="پاس نشده"),1,0))</f>
        <v/>
      </c>
      <c r="K232" t="str">
        <f>IF($J232=0,"",INDEX(ChqKey,216))</f>
        <v/>
      </c>
      <c r="L232" t="str">
        <f t="shared" si="3"/>
        <v/>
      </c>
    </row>
    <row r="233" spans="1:12" x14ac:dyDescent="0.2">
      <c r="A233" s="3" t="str">
        <f>IF(IFERROR(MATCH(217,ChqRankU,0),0)=0,"",217)</f>
        <v/>
      </c>
      <c r="B233" s="13" t="str">
        <f>IF(IFERROR(MATCH(217,ChqRankU,0),0)=0,"",INDEX(ChqNorm,IFERROR(MATCH(217,ChqRankU,0),0)))</f>
        <v/>
      </c>
      <c r="C233" s="13" t="str">
        <f>IF(IFERROR(MATCH(217,ChqRankU,0),0)=0,"",INDEX(ChqNo,IFERROR(MATCH(217,ChqRankU,0),0)))</f>
        <v/>
      </c>
      <c r="D233" s="14" t="str">
        <f>IF(IFERROR(MATCH(217,ChqRankU,0),0)=0,"",IF(INDEX(ChqAmt,IFERROR(MATCH(217,ChqRankU,0),0))=0,"",INDEX(ChqAmt,IFERROR(MATCH(217,ChqRankU,0),0))))</f>
        <v/>
      </c>
      <c r="E233" s="7" t="str">
        <f>IF(IFERROR(MATCH(217,ChqRankU,0),0)=0,"",INDEX(ChqStatus,IFERROR(MATCH(217,ChqRankU,0),0)))</f>
        <v/>
      </c>
      <c r="F233" s="13" t="str">
        <f>IF(IFERROR(MATCH(217,ChqRankU,0),0)=0,"",IF(INDEX(ChqStatus,IFERROR(MATCH(217,ChqRankU,0),0))="پاس نشده","—",IF(INDEX(ChqClr,IFERROR(MATCH(217,ChqRankU,0),0))="","—",INDEX(ChqClr,IFERROR(MATCH(217,ChqRankU,0),0)))))</f>
        <v/>
      </c>
      <c r="I233" t="str">
        <f>IF(217&gt;NChq,"",INDEX(ChqNorm,217))</f>
        <v/>
      </c>
      <c r="J233" t="str">
        <f>IF($I233="","",IF(AND($I233&gt;=$H$3,$I233&lt;=$H$4,INDEX(ChqStatus,217)="پاس نشده"),1,0))</f>
        <v/>
      </c>
      <c r="K233" t="str">
        <f>IF($J233=0,"",INDEX(ChqKey,217))</f>
        <v/>
      </c>
      <c r="L233" t="str">
        <f t="shared" si="3"/>
        <v/>
      </c>
    </row>
    <row r="234" spans="1:12" x14ac:dyDescent="0.2">
      <c r="A234" s="9" t="str">
        <f>IF(IFERROR(MATCH(218,ChqRankU,0),0)=0,"",218)</f>
        <v/>
      </c>
      <c r="B234" s="15" t="str">
        <f>IF(IFERROR(MATCH(218,ChqRankU,0),0)=0,"",INDEX(ChqNorm,IFERROR(MATCH(218,ChqRankU,0),0)))</f>
        <v/>
      </c>
      <c r="C234" s="15" t="str">
        <f>IF(IFERROR(MATCH(218,ChqRankU,0),0)=0,"",INDEX(ChqNo,IFERROR(MATCH(218,ChqRankU,0),0)))</f>
        <v/>
      </c>
      <c r="D234" s="16" t="str">
        <f>IF(IFERROR(MATCH(218,ChqRankU,0),0)=0,"",IF(INDEX(ChqAmt,IFERROR(MATCH(218,ChqRankU,0),0))=0,"",INDEX(ChqAmt,IFERROR(MATCH(218,ChqRankU,0),0))))</f>
        <v/>
      </c>
      <c r="E234" s="10" t="str">
        <f>IF(IFERROR(MATCH(218,ChqRankU,0),0)=0,"",INDEX(ChqStatus,IFERROR(MATCH(218,ChqRankU,0),0)))</f>
        <v/>
      </c>
      <c r="F234" s="15" t="str">
        <f>IF(IFERROR(MATCH(218,ChqRankU,0),0)=0,"",IF(INDEX(ChqStatus,IFERROR(MATCH(218,ChqRankU,0),0))="پاس نشده","—",IF(INDEX(ChqClr,IFERROR(MATCH(218,ChqRankU,0),0))="","—",INDEX(ChqClr,IFERROR(MATCH(218,ChqRankU,0),0)))))</f>
        <v/>
      </c>
      <c r="I234" t="str">
        <f>IF(218&gt;NChq,"",INDEX(ChqNorm,218))</f>
        <v/>
      </c>
      <c r="J234" t="str">
        <f>IF($I234="","",IF(AND($I234&gt;=$H$3,$I234&lt;=$H$4,INDEX(ChqStatus,218)="پاس نشده"),1,0))</f>
        <v/>
      </c>
      <c r="K234" t="str">
        <f>IF($J234=0,"",INDEX(ChqKey,218))</f>
        <v/>
      </c>
      <c r="L234" t="str">
        <f t="shared" si="3"/>
        <v/>
      </c>
    </row>
    <row r="235" spans="1:12" x14ac:dyDescent="0.2">
      <c r="A235" s="3" t="str">
        <f>IF(IFERROR(MATCH(219,ChqRankU,0),0)=0,"",219)</f>
        <v/>
      </c>
      <c r="B235" s="13" t="str">
        <f>IF(IFERROR(MATCH(219,ChqRankU,0),0)=0,"",INDEX(ChqNorm,IFERROR(MATCH(219,ChqRankU,0),0)))</f>
        <v/>
      </c>
      <c r="C235" s="13" t="str">
        <f>IF(IFERROR(MATCH(219,ChqRankU,0),0)=0,"",INDEX(ChqNo,IFERROR(MATCH(219,ChqRankU,0),0)))</f>
        <v/>
      </c>
      <c r="D235" s="14" t="str">
        <f>IF(IFERROR(MATCH(219,ChqRankU,0),0)=0,"",IF(INDEX(ChqAmt,IFERROR(MATCH(219,ChqRankU,0),0))=0,"",INDEX(ChqAmt,IFERROR(MATCH(219,ChqRankU,0),0))))</f>
        <v/>
      </c>
      <c r="E235" s="7" t="str">
        <f>IF(IFERROR(MATCH(219,ChqRankU,0),0)=0,"",INDEX(ChqStatus,IFERROR(MATCH(219,ChqRankU,0),0)))</f>
        <v/>
      </c>
      <c r="F235" s="13" t="str">
        <f>IF(IFERROR(MATCH(219,ChqRankU,0),0)=0,"",IF(INDEX(ChqStatus,IFERROR(MATCH(219,ChqRankU,0),0))="پاس نشده","—",IF(INDEX(ChqClr,IFERROR(MATCH(219,ChqRankU,0),0))="","—",INDEX(ChqClr,IFERROR(MATCH(219,ChqRankU,0),0)))))</f>
        <v/>
      </c>
      <c r="I235" t="str">
        <f>IF(219&gt;NChq,"",INDEX(ChqNorm,219))</f>
        <v/>
      </c>
      <c r="J235" t="str">
        <f>IF($I235="","",IF(AND($I235&gt;=$H$3,$I235&lt;=$H$4,INDEX(ChqStatus,219)="پاس نشده"),1,0))</f>
        <v/>
      </c>
      <c r="K235" t="str">
        <f>IF($J235=0,"",INDEX(ChqKey,219))</f>
        <v/>
      </c>
      <c r="L235" t="str">
        <f t="shared" si="3"/>
        <v/>
      </c>
    </row>
    <row r="236" spans="1:12" x14ac:dyDescent="0.2">
      <c r="A236" s="9" t="str">
        <f>IF(IFERROR(MATCH(220,ChqRankU,0),0)=0,"",220)</f>
        <v/>
      </c>
      <c r="B236" s="15" t="str">
        <f>IF(IFERROR(MATCH(220,ChqRankU,0),0)=0,"",INDEX(ChqNorm,IFERROR(MATCH(220,ChqRankU,0),0)))</f>
        <v/>
      </c>
      <c r="C236" s="15" t="str">
        <f>IF(IFERROR(MATCH(220,ChqRankU,0),0)=0,"",INDEX(ChqNo,IFERROR(MATCH(220,ChqRankU,0),0)))</f>
        <v/>
      </c>
      <c r="D236" s="16" t="str">
        <f>IF(IFERROR(MATCH(220,ChqRankU,0),0)=0,"",IF(INDEX(ChqAmt,IFERROR(MATCH(220,ChqRankU,0),0))=0,"",INDEX(ChqAmt,IFERROR(MATCH(220,ChqRankU,0),0))))</f>
        <v/>
      </c>
      <c r="E236" s="10" t="str">
        <f>IF(IFERROR(MATCH(220,ChqRankU,0),0)=0,"",INDEX(ChqStatus,IFERROR(MATCH(220,ChqRankU,0),0)))</f>
        <v/>
      </c>
      <c r="F236" s="15" t="str">
        <f>IF(IFERROR(MATCH(220,ChqRankU,0),0)=0,"",IF(INDEX(ChqStatus,IFERROR(MATCH(220,ChqRankU,0),0))="پاس نشده","—",IF(INDEX(ChqClr,IFERROR(MATCH(220,ChqRankU,0),0))="","—",INDEX(ChqClr,IFERROR(MATCH(220,ChqRankU,0),0)))))</f>
        <v/>
      </c>
      <c r="I236" t="str">
        <f>IF(220&gt;NChq,"",INDEX(ChqNorm,220))</f>
        <v/>
      </c>
      <c r="J236" t="str">
        <f>IF($I236="","",IF(AND($I236&gt;=$H$3,$I236&lt;=$H$4,INDEX(ChqStatus,220)="پاس نشده"),1,0))</f>
        <v/>
      </c>
      <c r="K236" t="str">
        <f>IF($J236=0,"",INDEX(ChqKey,220))</f>
        <v/>
      </c>
      <c r="L236" t="str">
        <f t="shared" si="3"/>
        <v/>
      </c>
    </row>
    <row r="237" spans="1:12" x14ac:dyDescent="0.2">
      <c r="A237" s="3" t="str">
        <f>IF(IFERROR(MATCH(221,ChqRankU,0),0)=0,"",221)</f>
        <v/>
      </c>
      <c r="B237" s="13" t="str">
        <f>IF(IFERROR(MATCH(221,ChqRankU,0),0)=0,"",INDEX(ChqNorm,IFERROR(MATCH(221,ChqRankU,0),0)))</f>
        <v/>
      </c>
      <c r="C237" s="13" t="str">
        <f>IF(IFERROR(MATCH(221,ChqRankU,0),0)=0,"",INDEX(ChqNo,IFERROR(MATCH(221,ChqRankU,0),0)))</f>
        <v/>
      </c>
      <c r="D237" s="14" t="str">
        <f>IF(IFERROR(MATCH(221,ChqRankU,0),0)=0,"",IF(INDEX(ChqAmt,IFERROR(MATCH(221,ChqRankU,0),0))=0,"",INDEX(ChqAmt,IFERROR(MATCH(221,ChqRankU,0),0))))</f>
        <v/>
      </c>
      <c r="E237" s="7" t="str">
        <f>IF(IFERROR(MATCH(221,ChqRankU,0),0)=0,"",INDEX(ChqStatus,IFERROR(MATCH(221,ChqRankU,0),0)))</f>
        <v/>
      </c>
      <c r="F237" s="13" t="str">
        <f>IF(IFERROR(MATCH(221,ChqRankU,0),0)=0,"",IF(INDEX(ChqStatus,IFERROR(MATCH(221,ChqRankU,0),0))="پاس نشده","—",IF(INDEX(ChqClr,IFERROR(MATCH(221,ChqRankU,0),0))="","—",INDEX(ChqClr,IFERROR(MATCH(221,ChqRankU,0),0)))))</f>
        <v/>
      </c>
      <c r="I237" t="str">
        <f>IF(221&gt;NChq,"",INDEX(ChqNorm,221))</f>
        <v/>
      </c>
      <c r="J237" t="str">
        <f>IF($I237="","",IF(AND($I237&gt;=$H$3,$I237&lt;=$H$4,INDEX(ChqStatus,221)="پاس نشده"),1,0))</f>
        <v/>
      </c>
      <c r="K237" t="str">
        <f>IF($J237=0,"",INDEX(ChqKey,221))</f>
        <v/>
      </c>
      <c r="L237" t="str">
        <f t="shared" si="3"/>
        <v/>
      </c>
    </row>
    <row r="238" spans="1:12" x14ac:dyDescent="0.2">
      <c r="A238" s="9" t="str">
        <f>IF(IFERROR(MATCH(222,ChqRankU,0),0)=0,"",222)</f>
        <v/>
      </c>
      <c r="B238" s="15" t="str">
        <f>IF(IFERROR(MATCH(222,ChqRankU,0),0)=0,"",INDEX(ChqNorm,IFERROR(MATCH(222,ChqRankU,0),0)))</f>
        <v/>
      </c>
      <c r="C238" s="15" t="str">
        <f>IF(IFERROR(MATCH(222,ChqRankU,0),0)=0,"",INDEX(ChqNo,IFERROR(MATCH(222,ChqRankU,0),0)))</f>
        <v/>
      </c>
      <c r="D238" s="16" t="str">
        <f>IF(IFERROR(MATCH(222,ChqRankU,0),0)=0,"",IF(INDEX(ChqAmt,IFERROR(MATCH(222,ChqRankU,0),0))=0,"",INDEX(ChqAmt,IFERROR(MATCH(222,ChqRankU,0),0))))</f>
        <v/>
      </c>
      <c r="E238" s="10" t="str">
        <f>IF(IFERROR(MATCH(222,ChqRankU,0),0)=0,"",INDEX(ChqStatus,IFERROR(MATCH(222,ChqRankU,0),0)))</f>
        <v/>
      </c>
      <c r="F238" s="15" t="str">
        <f>IF(IFERROR(MATCH(222,ChqRankU,0),0)=0,"",IF(INDEX(ChqStatus,IFERROR(MATCH(222,ChqRankU,0),0))="پاس نشده","—",IF(INDEX(ChqClr,IFERROR(MATCH(222,ChqRankU,0),0))="","—",INDEX(ChqClr,IFERROR(MATCH(222,ChqRankU,0),0)))))</f>
        <v/>
      </c>
      <c r="I238" t="str">
        <f>IF(222&gt;NChq,"",INDEX(ChqNorm,222))</f>
        <v/>
      </c>
      <c r="J238" t="str">
        <f>IF($I238="","",IF(AND($I238&gt;=$H$3,$I238&lt;=$H$4,INDEX(ChqStatus,222)="پاس نشده"),1,0))</f>
        <v/>
      </c>
      <c r="K238" t="str">
        <f>IF($J238=0,"",INDEX(ChqKey,222))</f>
        <v/>
      </c>
      <c r="L238" t="str">
        <f t="shared" si="3"/>
        <v/>
      </c>
    </row>
    <row r="239" spans="1:12" x14ac:dyDescent="0.2">
      <c r="A239" s="3" t="str">
        <f>IF(IFERROR(MATCH(223,ChqRankU,0),0)=0,"",223)</f>
        <v/>
      </c>
      <c r="B239" s="13" t="str">
        <f>IF(IFERROR(MATCH(223,ChqRankU,0),0)=0,"",INDEX(ChqNorm,IFERROR(MATCH(223,ChqRankU,0),0)))</f>
        <v/>
      </c>
      <c r="C239" s="13" t="str">
        <f>IF(IFERROR(MATCH(223,ChqRankU,0),0)=0,"",INDEX(ChqNo,IFERROR(MATCH(223,ChqRankU,0),0)))</f>
        <v/>
      </c>
      <c r="D239" s="14" t="str">
        <f>IF(IFERROR(MATCH(223,ChqRankU,0),0)=0,"",IF(INDEX(ChqAmt,IFERROR(MATCH(223,ChqRankU,0),0))=0,"",INDEX(ChqAmt,IFERROR(MATCH(223,ChqRankU,0),0))))</f>
        <v/>
      </c>
      <c r="E239" s="7" t="str">
        <f>IF(IFERROR(MATCH(223,ChqRankU,0),0)=0,"",INDEX(ChqStatus,IFERROR(MATCH(223,ChqRankU,0),0)))</f>
        <v/>
      </c>
      <c r="F239" s="13" t="str">
        <f>IF(IFERROR(MATCH(223,ChqRankU,0),0)=0,"",IF(INDEX(ChqStatus,IFERROR(MATCH(223,ChqRankU,0),0))="پاس نشده","—",IF(INDEX(ChqClr,IFERROR(MATCH(223,ChqRankU,0),0))="","—",INDEX(ChqClr,IFERROR(MATCH(223,ChqRankU,0),0)))))</f>
        <v/>
      </c>
      <c r="I239" t="str">
        <f>IF(223&gt;NChq,"",INDEX(ChqNorm,223))</f>
        <v/>
      </c>
      <c r="J239" t="str">
        <f>IF($I239="","",IF(AND($I239&gt;=$H$3,$I239&lt;=$H$4,INDEX(ChqStatus,223)="پاس نشده"),1,0))</f>
        <v/>
      </c>
      <c r="K239" t="str">
        <f>IF($J239=0,"",INDEX(ChqKey,223))</f>
        <v/>
      </c>
      <c r="L239" t="str">
        <f t="shared" si="3"/>
        <v/>
      </c>
    </row>
    <row r="240" spans="1:12" x14ac:dyDescent="0.2">
      <c r="A240" s="9" t="str">
        <f>IF(IFERROR(MATCH(224,ChqRankU,0),0)=0,"",224)</f>
        <v/>
      </c>
      <c r="B240" s="15" t="str">
        <f>IF(IFERROR(MATCH(224,ChqRankU,0),0)=0,"",INDEX(ChqNorm,IFERROR(MATCH(224,ChqRankU,0),0)))</f>
        <v/>
      </c>
      <c r="C240" s="15" t="str">
        <f>IF(IFERROR(MATCH(224,ChqRankU,0),0)=0,"",INDEX(ChqNo,IFERROR(MATCH(224,ChqRankU,0),0)))</f>
        <v/>
      </c>
      <c r="D240" s="16" t="str">
        <f>IF(IFERROR(MATCH(224,ChqRankU,0),0)=0,"",IF(INDEX(ChqAmt,IFERROR(MATCH(224,ChqRankU,0),0))=0,"",INDEX(ChqAmt,IFERROR(MATCH(224,ChqRankU,0),0))))</f>
        <v/>
      </c>
      <c r="E240" s="10" t="str">
        <f>IF(IFERROR(MATCH(224,ChqRankU,0),0)=0,"",INDEX(ChqStatus,IFERROR(MATCH(224,ChqRankU,0),0)))</f>
        <v/>
      </c>
      <c r="F240" s="15" t="str">
        <f>IF(IFERROR(MATCH(224,ChqRankU,0),0)=0,"",IF(INDEX(ChqStatus,IFERROR(MATCH(224,ChqRankU,0),0))="پاس نشده","—",IF(INDEX(ChqClr,IFERROR(MATCH(224,ChqRankU,0),0))="","—",INDEX(ChqClr,IFERROR(MATCH(224,ChqRankU,0),0)))))</f>
        <v/>
      </c>
      <c r="I240" t="str">
        <f>IF(224&gt;NChq,"",INDEX(ChqNorm,224))</f>
        <v/>
      </c>
      <c r="J240" t="str">
        <f>IF($I240="","",IF(AND($I240&gt;=$H$3,$I240&lt;=$H$4,INDEX(ChqStatus,224)="پاس نشده"),1,0))</f>
        <v/>
      </c>
      <c r="K240" t="str">
        <f>IF($J240=0,"",INDEX(ChqKey,224))</f>
        <v/>
      </c>
      <c r="L240" t="str">
        <f t="shared" si="3"/>
        <v/>
      </c>
    </row>
    <row r="241" spans="1:12" x14ac:dyDescent="0.2">
      <c r="A241" s="3" t="str">
        <f>IF(IFERROR(MATCH(225,ChqRankU,0),0)=0,"",225)</f>
        <v/>
      </c>
      <c r="B241" s="13" t="str">
        <f>IF(IFERROR(MATCH(225,ChqRankU,0),0)=0,"",INDEX(ChqNorm,IFERROR(MATCH(225,ChqRankU,0),0)))</f>
        <v/>
      </c>
      <c r="C241" s="13" t="str">
        <f>IF(IFERROR(MATCH(225,ChqRankU,0),0)=0,"",INDEX(ChqNo,IFERROR(MATCH(225,ChqRankU,0),0)))</f>
        <v/>
      </c>
      <c r="D241" s="14" t="str">
        <f>IF(IFERROR(MATCH(225,ChqRankU,0),0)=0,"",IF(INDEX(ChqAmt,IFERROR(MATCH(225,ChqRankU,0),0))=0,"",INDEX(ChqAmt,IFERROR(MATCH(225,ChqRankU,0),0))))</f>
        <v/>
      </c>
      <c r="E241" s="7" t="str">
        <f>IF(IFERROR(MATCH(225,ChqRankU,0),0)=0,"",INDEX(ChqStatus,IFERROR(MATCH(225,ChqRankU,0),0)))</f>
        <v/>
      </c>
      <c r="F241" s="13" t="str">
        <f>IF(IFERROR(MATCH(225,ChqRankU,0),0)=0,"",IF(INDEX(ChqStatus,IFERROR(MATCH(225,ChqRankU,0),0))="پاس نشده","—",IF(INDEX(ChqClr,IFERROR(MATCH(225,ChqRankU,0),0))="","—",INDEX(ChqClr,IFERROR(MATCH(225,ChqRankU,0),0)))))</f>
        <v/>
      </c>
      <c r="I241" t="str">
        <f>IF(225&gt;NChq,"",INDEX(ChqNorm,225))</f>
        <v/>
      </c>
      <c r="J241" t="str">
        <f>IF($I241="","",IF(AND($I241&gt;=$H$3,$I241&lt;=$H$4,INDEX(ChqStatus,225)="پاس نشده"),1,0))</f>
        <v/>
      </c>
      <c r="K241" t="str">
        <f>IF($J241=0,"",INDEX(ChqKey,225))</f>
        <v/>
      </c>
      <c r="L241" t="str">
        <f t="shared" si="3"/>
        <v/>
      </c>
    </row>
    <row r="242" spans="1:12" x14ac:dyDescent="0.2">
      <c r="A242" s="9" t="str">
        <f>IF(IFERROR(MATCH(226,ChqRankU,0),0)=0,"",226)</f>
        <v/>
      </c>
      <c r="B242" s="15" t="str">
        <f>IF(IFERROR(MATCH(226,ChqRankU,0),0)=0,"",INDEX(ChqNorm,IFERROR(MATCH(226,ChqRankU,0),0)))</f>
        <v/>
      </c>
      <c r="C242" s="15" t="str">
        <f>IF(IFERROR(MATCH(226,ChqRankU,0),0)=0,"",INDEX(ChqNo,IFERROR(MATCH(226,ChqRankU,0),0)))</f>
        <v/>
      </c>
      <c r="D242" s="16" t="str">
        <f>IF(IFERROR(MATCH(226,ChqRankU,0),0)=0,"",IF(INDEX(ChqAmt,IFERROR(MATCH(226,ChqRankU,0),0))=0,"",INDEX(ChqAmt,IFERROR(MATCH(226,ChqRankU,0),0))))</f>
        <v/>
      </c>
      <c r="E242" s="10" t="str">
        <f>IF(IFERROR(MATCH(226,ChqRankU,0),0)=0,"",INDEX(ChqStatus,IFERROR(MATCH(226,ChqRankU,0),0)))</f>
        <v/>
      </c>
      <c r="F242" s="15" t="str">
        <f>IF(IFERROR(MATCH(226,ChqRankU,0),0)=0,"",IF(INDEX(ChqStatus,IFERROR(MATCH(226,ChqRankU,0),0))="پاس نشده","—",IF(INDEX(ChqClr,IFERROR(MATCH(226,ChqRankU,0),0))="","—",INDEX(ChqClr,IFERROR(MATCH(226,ChqRankU,0),0)))))</f>
        <v/>
      </c>
      <c r="I242" t="str">
        <f>IF(226&gt;NChq,"",INDEX(ChqNorm,226))</f>
        <v/>
      </c>
      <c r="J242" t="str">
        <f>IF($I242="","",IF(AND($I242&gt;=$H$3,$I242&lt;=$H$4,INDEX(ChqStatus,226)="پاس نشده"),1,0))</f>
        <v/>
      </c>
      <c r="K242" t="str">
        <f>IF($J242=0,"",INDEX(ChqKey,226))</f>
        <v/>
      </c>
      <c r="L242" t="str">
        <f t="shared" si="3"/>
        <v/>
      </c>
    </row>
    <row r="243" spans="1:12" x14ac:dyDescent="0.2">
      <c r="A243" s="3" t="str">
        <f>IF(IFERROR(MATCH(227,ChqRankU,0),0)=0,"",227)</f>
        <v/>
      </c>
      <c r="B243" s="13" t="str">
        <f>IF(IFERROR(MATCH(227,ChqRankU,0),0)=0,"",INDEX(ChqNorm,IFERROR(MATCH(227,ChqRankU,0),0)))</f>
        <v/>
      </c>
      <c r="C243" s="13" t="str">
        <f>IF(IFERROR(MATCH(227,ChqRankU,0),0)=0,"",INDEX(ChqNo,IFERROR(MATCH(227,ChqRankU,0),0)))</f>
        <v/>
      </c>
      <c r="D243" s="14" t="str">
        <f>IF(IFERROR(MATCH(227,ChqRankU,0),0)=0,"",IF(INDEX(ChqAmt,IFERROR(MATCH(227,ChqRankU,0),0))=0,"",INDEX(ChqAmt,IFERROR(MATCH(227,ChqRankU,0),0))))</f>
        <v/>
      </c>
      <c r="E243" s="7" t="str">
        <f>IF(IFERROR(MATCH(227,ChqRankU,0),0)=0,"",INDEX(ChqStatus,IFERROR(MATCH(227,ChqRankU,0),0)))</f>
        <v/>
      </c>
      <c r="F243" s="13" t="str">
        <f>IF(IFERROR(MATCH(227,ChqRankU,0),0)=0,"",IF(INDEX(ChqStatus,IFERROR(MATCH(227,ChqRankU,0),0))="پاس نشده","—",IF(INDEX(ChqClr,IFERROR(MATCH(227,ChqRankU,0),0))="","—",INDEX(ChqClr,IFERROR(MATCH(227,ChqRankU,0),0)))))</f>
        <v/>
      </c>
      <c r="I243" t="str">
        <f>IF(227&gt;NChq,"",INDEX(ChqNorm,227))</f>
        <v/>
      </c>
      <c r="J243" t="str">
        <f>IF($I243="","",IF(AND($I243&gt;=$H$3,$I243&lt;=$H$4,INDEX(ChqStatus,227)="پاس نشده"),1,0))</f>
        <v/>
      </c>
      <c r="K243" t="str">
        <f>IF($J243=0,"",INDEX(ChqKey,227))</f>
        <v/>
      </c>
      <c r="L243" t="str">
        <f t="shared" si="3"/>
        <v/>
      </c>
    </row>
    <row r="244" spans="1:12" x14ac:dyDescent="0.2">
      <c r="A244" s="9" t="str">
        <f>IF(IFERROR(MATCH(228,ChqRankU,0),0)=0,"",228)</f>
        <v/>
      </c>
      <c r="B244" s="15" t="str">
        <f>IF(IFERROR(MATCH(228,ChqRankU,0),0)=0,"",INDEX(ChqNorm,IFERROR(MATCH(228,ChqRankU,0),0)))</f>
        <v/>
      </c>
      <c r="C244" s="15" t="str">
        <f>IF(IFERROR(MATCH(228,ChqRankU,0),0)=0,"",INDEX(ChqNo,IFERROR(MATCH(228,ChqRankU,0),0)))</f>
        <v/>
      </c>
      <c r="D244" s="16" t="str">
        <f>IF(IFERROR(MATCH(228,ChqRankU,0),0)=0,"",IF(INDEX(ChqAmt,IFERROR(MATCH(228,ChqRankU,0),0))=0,"",INDEX(ChqAmt,IFERROR(MATCH(228,ChqRankU,0),0))))</f>
        <v/>
      </c>
      <c r="E244" s="10" t="str">
        <f>IF(IFERROR(MATCH(228,ChqRankU,0),0)=0,"",INDEX(ChqStatus,IFERROR(MATCH(228,ChqRankU,0),0)))</f>
        <v/>
      </c>
      <c r="F244" s="15" t="str">
        <f>IF(IFERROR(MATCH(228,ChqRankU,0),0)=0,"",IF(INDEX(ChqStatus,IFERROR(MATCH(228,ChqRankU,0),0))="پاس نشده","—",IF(INDEX(ChqClr,IFERROR(MATCH(228,ChqRankU,0),0))="","—",INDEX(ChqClr,IFERROR(MATCH(228,ChqRankU,0),0)))))</f>
        <v/>
      </c>
      <c r="I244" t="str">
        <f>IF(228&gt;NChq,"",INDEX(ChqNorm,228))</f>
        <v/>
      </c>
      <c r="J244" t="str">
        <f>IF($I244="","",IF(AND($I244&gt;=$H$3,$I244&lt;=$H$4,INDEX(ChqStatus,228)="پاس نشده"),1,0))</f>
        <v/>
      </c>
      <c r="K244" t="str">
        <f>IF($J244=0,"",INDEX(ChqKey,228))</f>
        <v/>
      </c>
      <c r="L244" t="str">
        <f t="shared" si="3"/>
        <v/>
      </c>
    </row>
    <row r="245" spans="1:12" x14ac:dyDescent="0.2">
      <c r="A245" s="3" t="str">
        <f>IF(IFERROR(MATCH(229,ChqRankU,0),0)=0,"",229)</f>
        <v/>
      </c>
      <c r="B245" s="13" t="str">
        <f>IF(IFERROR(MATCH(229,ChqRankU,0),0)=0,"",INDEX(ChqNorm,IFERROR(MATCH(229,ChqRankU,0),0)))</f>
        <v/>
      </c>
      <c r="C245" s="13" t="str">
        <f>IF(IFERROR(MATCH(229,ChqRankU,0),0)=0,"",INDEX(ChqNo,IFERROR(MATCH(229,ChqRankU,0),0)))</f>
        <v/>
      </c>
      <c r="D245" s="14" t="str">
        <f>IF(IFERROR(MATCH(229,ChqRankU,0),0)=0,"",IF(INDEX(ChqAmt,IFERROR(MATCH(229,ChqRankU,0),0))=0,"",INDEX(ChqAmt,IFERROR(MATCH(229,ChqRankU,0),0))))</f>
        <v/>
      </c>
      <c r="E245" s="7" t="str">
        <f>IF(IFERROR(MATCH(229,ChqRankU,0),0)=0,"",INDEX(ChqStatus,IFERROR(MATCH(229,ChqRankU,0),0)))</f>
        <v/>
      </c>
      <c r="F245" s="13" t="str">
        <f>IF(IFERROR(MATCH(229,ChqRankU,0),0)=0,"",IF(INDEX(ChqStatus,IFERROR(MATCH(229,ChqRankU,0),0))="پاس نشده","—",IF(INDEX(ChqClr,IFERROR(MATCH(229,ChqRankU,0),0))="","—",INDEX(ChqClr,IFERROR(MATCH(229,ChqRankU,0),0)))))</f>
        <v/>
      </c>
      <c r="I245" t="str">
        <f>IF(229&gt;NChq,"",INDEX(ChqNorm,229))</f>
        <v/>
      </c>
      <c r="J245" t="str">
        <f>IF($I245="","",IF(AND($I245&gt;=$H$3,$I245&lt;=$H$4,INDEX(ChqStatus,229)="پاس نشده"),1,0))</f>
        <v/>
      </c>
      <c r="K245" t="str">
        <f>IF($J245=0,"",INDEX(ChqKey,229))</f>
        <v/>
      </c>
      <c r="L245" t="str">
        <f t="shared" si="3"/>
        <v/>
      </c>
    </row>
    <row r="246" spans="1:12" x14ac:dyDescent="0.2">
      <c r="A246" s="9" t="str">
        <f>IF(IFERROR(MATCH(230,ChqRankU,0),0)=0,"",230)</f>
        <v/>
      </c>
      <c r="B246" s="15" t="str">
        <f>IF(IFERROR(MATCH(230,ChqRankU,0),0)=0,"",INDEX(ChqNorm,IFERROR(MATCH(230,ChqRankU,0),0)))</f>
        <v/>
      </c>
      <c r="C246" s="15" t="str">
        <f>IF(IFERROR(MATCH(230,ChqRankU,0),0)=0,"",INDEX(ChqNo,IFERROR(MATCH(230,ChqRankU,0),0)))</f>
        <v/>
      </c>
      <c r="D246" s="16" t="str">
        <f>IF(IFERROR(MATCH(230,ChqRankU,0),0)=0,"",IF(INDEX(ChqAmt,IFERROR(MATCH(230,ChqRankU,0),0))=0,"",INDEX(ChqAmt,IFERROR(MATCH(230,ChqRankU,0),0))))</f>
        <v/>
      </c>
      <c r="E246" s="10" t="str">
        <f>IF(IFERROR(MATCH(230,ChqRankU,0),0)=0,"",INDEX(ChqStatus,IFERROR(MATCH(230,ChqRankU,0),0)))</f>
        <v/>
      </c>
      <c r="F246" s="15" t="str">
        <f>IF(IFERROR(MATCH(230,ChqRankU,0),0)=0,"",IF(INDEX(ChqStatus,IFERROR(MATCH(230,ChqRankU,0),0))="پاس نشده","—",IF(INDEX(ChqClr,IFERROR(MATCH(230,ChqRankU,0),0))="","—",INDEX(ChqClr,IFERROR(MATCH(230,ChqRankU,0),0)))))</f>
        <v/>
      </c>
      <c r="I246" t="str">
        <f>IF(230&gt;NChq,"",INDEX(ChqNorm,230))</f>
        <v/>
      </c>
      <c r="J246" t="str">
        <f>IF($I246="","",IF(AND($I246&gt;=$H$3,$I246&lt;=$H$4,INDEX(ChqStatus,230)="پاس نشده"),1,0))</f>
        <v/>
      </c>
      <c r="K246" t="str">
        <f>IF($J246=0,"",INDEX(ChqKey,230))</f>
        <v/>
      </c>
      <c r="L246" t="str">
        <f t="shared" si="3"/>
        <v/>
      </c>
    </row>
    <row r="247" spans="1:12" x14ac:dyDescent="0.2">
      <c r="A247" s="3" t="str">
        <f>IF(IFERROR(MATCH(231,ChqRankU,0),0)=0,"",231)</f>
        <v/>
      </c>
      <c r="B247" s="13" t="str">
        <f>IF(IFERROR(MATCH(231,ChqRankU,0),0)=0,"",INDEX(ChqNorm,IFERROR(MATCH(231,ChqRankU,0),0)))</f>
        <v/>
      </c>
      <c r="C247" s="13" t="str">
        <f>IF(IFERROR(MATCH(231,ChqRankU,0),0)=0,"",INDEX(ChqNo,IFERROR(MATCH(231,ChqRankU,0),0)))</f>
        <v/>
      </c>
      <c r="D247" s="14" t="str">
        <f>IF(IFERROR(MATCH(231,ChqRankU,0),0)=0,"",IF(INDEX(ChqAmt,IFERROR(MATCH(231,ChqRankU,0),0))=0,"",INDEX(ChqAmt,IFERROR(MATCH(231,ChqRankU,0),0))))</f>
        <v/>
      </c>
      <c r="E247" s="7" t="str">
        <f>IF(IFERROR(MATCH(231,ChqRankU,0),0)=0,"",INDEX(ChqStatus,IFERROR(MATCH(231,ChqRankU,0),0)))</f>
        <v/>
      </c>
      <c r="F247" s="13" t="str">
        <f>IF(IFERROR(MATCH(231,ChqRankU,0),0)=0,"",IF(INDEX(ChqStatus,IFERROR(MATCH(231,ChqRankU,0),0))="پاس نشده","—",IF(INDEX(ChqClr,IFERROR(MATCH(231,ChqRankU,0),0))="","—",INDEX(ChqClr,IFERROR(MATCH(231,ChqRankU,0),0)))))</f>
        <v/>
      </c>
      <c r="I247" t="str">
        <f>IF(231&gt;NChq,"",INDEX(ChqNorm,231))</f>
        <v/>
      </c>
      <c r="J247" t="str">
        <f>IF($I247="","",IF(AND($I247&gt;=$H$3,$I247&lt;=$H$4,INDEX(ChqStatus,231)="پاس نشده"),1,0))</f>
        <v/>
      </c>
      <c r="K247" t="str">
        <f>IF($J247=0,"",INDEX(ChqKey,231))</f>
        <v/>
      </c>
      <c r="L247" t="str">
        <f t="shared" si="3"/>
        <v/>
      </c>
    </row>
    <row r="248" spans="1:12" x14ac:dyDescent="0.2">
      <c r="A248" s="9" t="str">
        <f>IF(IFERROR(MATCH(232,ChqRankU,0),0)=0,"",232)</f>
        <v/>
      </c>
      <c r="B248" s="15" t="str">
        <f>IF(IFERROR(MATCH(232,ChqRankU,0),0)=0,"",INDEX(ChqNorm,IFERROR(MATCH(232,ChqRankU,0),0)))</f>
        <v/>
      </c>
      <c r="C248" s="15" t="str">
        <f>IF(IFERROR(MATCH(232,ChqRankU,0),0)=0,"",INDEX(ChqNo,IFERROR(MATCH(232,ChqRankU,0),0)))</f>
        <v/>
      </c>
      <c r="D248" s="16" t="str">
        <f>IF(IFERROR(MATCH(232,ChqRankU,0),0)=0,"",IF(INDEX(ChqAmt,IFERROR(MATCH(232,ChqRankU,0),0))=0,"",INDEX(ChqAmt,IFERROR(MATCH(232,ChqRankU,0),0))))</f>
        <v/>
      </c>
      <c r="E248" s="10" t="str">
        <f>IF(IFERROR(MATCH(232,ChqRankU,0),0)=0,"",INDEX(ChqStatus,IFERROR(MATCH(232,ChqRankU,0),0)))</f>
        <v/>
      </c>
      <c r="F248" s="15" t="str">
        <f>IF(IFERROR(MATCH(232,ChqRankU,0),0)=0,"",IF(INDEX(ChqStatus,IFERROR(MATCH(232,ChqRankU,0),0))="پاس نشده","—",IF(INDEX(ChqClr,IFERROR(MATCH(232,ChqRankU,0),0))="","—",INDEX(ChqClr,IFERROR(MATCH(232,ChqRankU,0),0)))))</f>
        <v/>
      </c>
      <c r="I248" t="str">
        <f>IF(232&gt;NChq,"",INDEX(ChqNorm,232))</f>
        <v/>
      </c>
      <c r="J248" t="str">
        <f>IF($I248="","",IF(AND($I248&gt;=$H$3,$I248&lt;=$H$4,INDEX(ChqStatus,232)="پاس نشده"),1,0))</f>
        <v/>
      </c>
      <c r="K248" t="str">
        <f>IF($J248=0,"",INDEX(ChqKey,232))</f>
        <v/>
      </c>
      <c r="L248" t="str">
        <f t="shared" si="3"/>
        <v/>
      </c>
    </row>
    <row r="249" spans="1:12" x14ac:dyDescent="0.2">
      <c r="A249" s="3" t="str">
        <f>IF(IFERROR(MATCH(233,ChqRankU,0),0)=0,"",233)</f>
        <v/>
      </c>
      <c r="B249" s="13" t="str">
        <f>IF(IFERROR(MATCH(233,ChqRankU,0),0)=0,"",INDEX(ChqNorm,IFERROR(MATCH(233,ChqRankU,0),0)))</f>
        <v/>
      </c>
      <c r="C249" s="13" t="str">
        <f>IF(IFERROR(MATCH(233,ChqRankU,0),0)=0,"",INDEX(ChqNo,IFERROR(MATCH(233,ChqRankU,0),0)))</f>
        <v/>
      </c>
      <c r="D249" s="14" t="str">
        <f>IF(IFERROR(MATCH(233,ChqRankU,0),0)=0,"",IF(INDEX(ChqAmt,IFERROR(MATCH(233,ChqRankU,0),0))=0,"",INDEX(ChqAmt,IFERROR(MATCH(233,ChqRankU,0),0))))</f>
        <v/>
      </c>
      <c r="E249" s="7" t="str">
        <f>IF(IFERROR(MATCH(233,ChqRankU,0),0)=0,"",INDEX(ChqStatus,IFERROR(MATCH(233,ChqRankU,0),0)))</f>
        <v/>
      </c>
      <c r="F249" s="13" t="str">
        <f>IF(IFERROR(MATCH(233,ChqRankU,0),0)=0,"",IF(INDEX(ChqStatus,IFERROR(MATCH(233,ChqRankU,0),0))="پاس نشده","—",IF(INDEX(ChqClr,IFERROR(MATCH(233,ChqRankU,0),0))="","—",INDEX(ChqClr,IFERROR(MATCH(233,ChqRankU,0),0)))))</f>
        <v/>
      </c>
      <c r="I249" t="str">
        <f>IF(233&gt;NChq,"",INDEX(ChqNorm,233))</f>
        <v/>
      </c>
      <c r="J249" t="str">
        <f>IF($I249="","",IF(AND($I249&gt;=$H$3,$I249&lt;=$H$4,INDEX(ChqStatus,233)="پاس نشده"),1,0))</f>
        <v/>
      </c>
      <c r="K249" t="str">
        <f>IF($J249=0,"",INDEX(ChqKey,233))</f>
        <v/>
      </c>
      <c r="L249" t="str">
        <f t="shared" si="3"/>
        <v/>
      </c>
    </row>
    <row r="250" spans="1:12" x14ac:dyDescent="0.2">
      <c r="A250" s="9" t="str">
        <f>IF(IFERROR(MATCH(234,ChqRankU,0),0)=0,"",234)</f>
        <v/>
      </c>
      <c r="B250" s="15" t="str">
        <f>IF(IFERROR(MATCH(234,ChqRankU,0),0)=0,"",INDEX(ChqNorm,IFERROR(MATCH(234,ChqRankU,0),0)))</f>
        <v/>
      </c>
      <c r="C250" s="15" t="str">
        <f>IF(IFERROR(MATCH(234,ChqRankU,0),0)=0,"",INDEX(ChqNo,IFERROR(MATCH(234,ChqRankU,0),0)))</f>
        <v/>
      </c>
      <c r="D250" s="16" t="str">
        <f>IF(IFERROR(MATCH(234,ChqRankU,0),0)=0,"",IF(INDEX(ChqAmt,IFERROR(MATCH(234,ChqRankU,0),0))=0,"",INDEX(ChqAmt,IFERROR(MATCH(234,ChqRankU,0),0))))</f>
        <v/>
      </c>
      <c r="E250" s="10" t="str">
        <f>IF(IFERROR(MATCH(234,ChqRankU,0),0)=0,"",INDEX(ChqStatus,IFERROR(MATCH(234,ChqRankU,0),0)))</f>
        <v/>
      </c>
      <c r="F250" s="15" t="str">
        <f>IF(IFERROR(MATCH(234,ChqRankU,0),0)=0,"",IF(INDEX(ChqStatus,IFERROR(MATCH(234,ChqRankU,0),0))="پاس نشده","—",IF(INDEX(ChqClr,IFERROR(MATCH(234,ChqRankU,0),0))="","—",INDEX(ChqClr,IFERROR(MATCH(234,ChqRankU,0),0)))))</f>
        <v/>
      </c>
      <c r="I250" t="str">
        <f>IF(234&gt;NChq,"",INDEX(ChqNorm,234))</f>
        <v/>
      </c>
      <c r="J250" t="str">
        <f>IF($I250="","",IF(AND($I250&gt;=$H$3,$I250&lt;=$H$4,INDEX(ChqStatus,234)="پاس نشده"),1,0))</f>
        <v/>
      </c>
      <c r="K250" t="str">
        <f>IF($J250=0,"",INDEX(ChqKey,234))</f>
        <v/>
      </c>
      <c r="L250" t="str">
        <f t="shared" si="3"/>
        <v/>
      </c>
    </row>
    <row r="251" spans="1:12" x14ac:dyDescent="0.2">
      <c r="A251" s="3" t="str">
        <f>IF(IFERROR(MATCH(235,ChqRankU,0),0)=0,"",235)</f>
        <v/>
      </c>
      <c r="B251" s="13" t="str">
        <f>IF(IFERROR(MATCH(235,ChqRankU,0),0)=0,"",INDEX(ChqNorm,IFERROR(MATCH(235,ChqRankU,0),0)))</f>
        <v/>
      </c>
      <c r="C251" s="13" t="str">
        <f>IF(IFERROR(MATCH(235,ChqRankU,0),0)=0,"",INDEX(ChqNo,IFERROR(MATCH(235,ChqRankU,0),0)))</f>
        <v/>
      </c>
      <c r="D251" s="14" t="str">
        <f>IF(IFERROR(MATCH(235,ChqRankU,0),0)=0,"",IF(INDEX(ChqAmt,IFERROR(MATCH(235,ChqRankU,0),0))=0,"",INDEX(ChqAmt,IFERROR(MATCH(235,ChqRankU,0),0))))</f>
        <v/>
      </c>
      <c r="E251" s="7" t="str">
        <f>IF(IFERROR(MATCH(235,ChqRankU,0),0)=0,"",INDEX(ChqStatus,IFERROR(MATCH(235,ChqRankU,0),0)))</f>
        <v/>
      </c>
      <c r="F251" s="13" t="str">
        <f>IF(IFERROR(MATCH(235,ChqRankU,0),0)=0,"",IF(INDEX(ChqStatus,IFERROR(MATCH(235,ChqRankU,0),0))="پاس نشده","—",IF(INDEX(ChqClr,IFERROR(MATCH(235,ChqRankU,0),0))="","—",INDEX(ChqClr,IFERROR(MATCH(235,ChqRankU,0),0)))))</f>
        <v/>
      </c>
      <c r="I251" t="str">
        <f>IF(235&gt;NChq,"",INDEX(ChqNorm,235))</f>
        <v/>
      </c>
      <c r="J251" t="str">
        <f>IF($I251="","",IF(AND($I251&gt;=$H$3,$I251&lt;=$H$4,INDEX(ChqStatus,235)="پاس نشده"),1,0))</f>
        <v/>
      </c>
      <c r="K251" t="str">
        <f>IF($J251=0,"",INDEX(ChqKey,235))</f>
        <v/>
      </c>
      <c r="L251" t="str">
        <f t="shared" si="3"/>
        <v/>
      </c>
    </row>
    <row r="252" spans="1:12" x14ac:dyDescent="0.2">
      <c r="A252" s="9" t="str">
        <f>IF(IFERROR(MATCH(236,ChqRankU,0),0)=0,"",236)</f>
        <v/>
      </c>
      <c r="B252" s="15" t="str">
        <f>IF(IFERROR(MATCH(236,ChqRankU,0),0)=0,"",INDEX(ChqNorm,IFERROR(MATCH(236,ChqRankU,0),0)))</f>
        <v/>
      </c>
      <c r="C252" s="15" t="str">
        <f>IF(IFERROR(MATCH(236,ChqRankU,0),0)=0,"",INDEX(ChqNo,IFERROR(MATCH(236,ChqRankU,0),0)))</f>
        <v/>
      </c>
      <c r="D252" s="16" t="str">
        <f>IF(IFERROR(MATCH(236,ChqRankU,0),0)=0,"",IF(INDEX(ChqAmt,IFERROR(MATCH(236,ChqRankU,0),0))=0,"",INDEX(ChqAmt,IFERROR(MATCH(236,ChqRankU,0),0))))</f>
        <v/>
      </c>
      <c r="E252" s="10" t="str">
        <f>IF(IFERROR(MATCH(236,ChqRankU,0),0)=0,"",INDEX(ChqStatus,IFERROR(MATCH(236,ChqRankU,0),0)))</f>
        <v/>
      </c>
      <c r="F252" s="15" t="str">
        <f>IF(IFERROR(MATCH(236,ChqRankU,0),0)=0,"",IF(INDEX(ChqStatus,IFERROR(MATCH(236,ChqRankU,0),0))="پاس نشده","—",IF(INDEX(ChqClr,IFERROR(MATCH(236,ChqRankU,0),0))="","—",INDEX(ChqClr,IFERROR(MATCH(236,ChqRankU,0),0)))))</f>
        <v/>
      </c>
      <c r="I252" t="str">
        <f>IF(236&gt;NChq,"",INDEX(ChqNorm,236))</f>
        <v/>
      </c>
      <c r="J252" t="str">
        <f>IF($I252="","",IF(AND($I252&gt;=$H$3,$I252&lt;=$H$4,INDEX(ChqStatus,236)="پاس نشده"),1,0))</f>
        <v/>
      </c>
      <c r="K252" t="str">
        <f>IF($J252=0,"",INDEX(ChqKey,236))</f>
        <v/>
      </c>
      <c r="L252" t="str">
        <f t="shared" si="3"/>
        <v/>
      </c>
    </row>
    <row r="253" spans="1:12" x14ac:dyDescent="0.2">
      <c r="A253" s="3" t="str">
        <f>IF(IFERROR(MATCH(237,ChqRankU,0),0)=0,"",237)</f>
        <v/>
      </c>
      <c r="B253" s="13" t="str">
        <f>IF(IFERROR(MATCH(237,ChqRankU,0),0)=0,"",INDEX(ChqNorm,IFERROR(MATCH(237,ChqRankU,0),0)))</f>
        <v/>
      </c>
      <c r="C253" s="13" t="str">
        <f>IF(IFERROR(MATCH(237,ChqRankU,0),0)=0,"",INDEX(ChqNo,IFERROR(MATCH(237,ChqRankU,0),0)))</f>
        <v/>
      </c>
      <c r="D253" s="14" t="str">
        <f>IF(IFERROR(MATCH(237,ChqRankU,0),0)=0,"",IF(INDEX(ChqAmt,IFERROR(MATCH(237,ChqRankU,0),0))=0,"",INDEX(ChqAmt,IFERROR(MATCH(237,ChqRankU,0),0))))</f>
        <v/>
      </c>
      <c r="E253" s="7" t="str">
        <f>IF(IFERROR(MATCH(237,ChqRankU,0),0)=0,"",INDEX(ChqStatus,IFERROR(MATCH(237,ChqRankU,0),0)))</f>
        <v/>
      </c>
      <c r="F253" s="13" t="str">
        <f>IF(IFERROR(MATCH(237,ChqRankU,0),0)=0,"",IF(INDEX(ChqStatus,IFERROR(MATCH(237,ChqRankU,0),0))="پاس نشده","—",IF(INDEX(ChqClr,IFERROR(MATCH(237,ChqRankU,0),0))="","—",INDEX(ChqClr,IFERROR(MATCH(237,ChqRankU,0),0)))))</f>
        <v/>
      </c>
      <c r="I253" t="str">
        <f>IF(237&gt;NChq,"",INDEX(ChqNorm,237))</f>
        <v/>
      </c>
      <c r="J253" t="str">
        <f>IF($I253="","",IF(AND($I253&gt;=$H$3,$I253&lt;=$H$4,INDEX(ChqStatus,237)="پاس نشده"),1,0))</f>
        <v/>
      </c>
      <c r="K253" t="str">
        <f>IF($J253=0,"",INDEX(ChqKey,237))</f>
        <v/>
      </c>
      <c r="L253" t="str">
        <f t="shared" si="3"/>
        <v/>
      </c>
    </row>
    <row r="254" spans="1:12" x14ac:dyDescent="0.2">
      <c r="A254" s="9" t="str">
        <f>IF(IFERROR(MATCH(238,ChqRankU,0),0)=0,"",238)</f>
        <v/>
      </c>
      <c r="B254" s="15" t="str">
        <f>IF(IFERROR(MATCH(238,ChqRankU,0),0)=0,"",INDEX(ChqNorm,IFERROR(MATCH(238,ChqRankU,0),0)))</f>
        <v/>
      </c>
      <c r="C254" s="15" t="str">
        <f>IF(IFERROR(MATCH(238,ChqRankU,0),0)=0,"",INDEX(ChqNo,IFERROR(MATCH(238,ChqRankU,0),0)))</f>
        <v/>
      </c>
      <c r="D254" s="16" t="str">
        <f>IF(IFERROR(MATCH(238,ChqRankU,0),0)=0,"",IF(INDEX(ChqAmt,IFERROR(MATCH(238,ChqRankU,0),0))=0,"",INDEX(ChqAmt,IFERROR(MATCH(238,ChqRankU,0),0))))</f>
        <v/>
      </c>
      <c r="E254" s="10" t="str">
        <f>IF(IFERROR(MATCH(238,ChqRankU,0),0)=0,"",INDEX(ChqStatus,IFERROR(MATCH(238,ChqRankU,0),0)))</f>
        <v/>
      </c>
      <c r="F254" s="15" t="str">
        <f>IF(IFERROR(MATCH(238,ChqRankU,0),0)=0,"",IF(INDEX(ChqStatus,IFERROR(MATCH(238,ChqRankU,0),0))="پاس نشده","—",IF(INDEX(ChqClr,IFERROR(MATCH(238,ChqRankU,0),0))="","—",INDEX(ChqClr,IFERROR(MATCH(238,ChqRankU,0),0)))))</f>
        <v/>
      </c>
      <c r="I254" t="str">
        <f>IF(238&gt;NChq,"",INDEX(ChqNorm,238))</f>
        <v/>
      </c>
      <c r="J254" t="str">
        <f>IF($I254="","",IF(AND($I254&gt;=$H$3,$I254&lt;=$H$4,INDEX(ChqStatus,238)="پاس نشده"),1,0))</f>
        <v/>
      </c>
      <c r="K254" t="str">
        <f>IF($J254=0,"",INDEX(ChqKey,238))</f>
        <v/>
      </c>
      <c r="L254" t="str">
        <f t="shared" si="3"/>
        <v/>
      </c>
    </row>
    <row r="255" spans="1:12" x14ac:dyDescent="0.2">
      <c r="A255" s="3" t="str">
        <f>IF(IFERROR(MATCH(239,ChqRankU,0),0)=0,"",239)</f>
        <v/>
      </c>
      <c r="B255" s="13" t="str">
        <f>IF(IFERROR(MATCH(239,ChqRankU,0),0)=0,"",INDEX(ChqNorm,IFERROR(MATCH(239,ChqRankU,0),0)))</f>
        <v/>
      </c>
      <c r="C255" s="13" t="str">
        <f>IF(IFERROR(MATCH(239,ChqRankU,0),0)=0,"",INDEX(ChqNo,IFERROR(MATCH(239,ChqRankU,0),0)))</f>
        <v/>
      </c>
      <c r="D255" s="14" t="str">
        <f>IF(IFERROR(MATCH(239,ChqRankU,0),0)=0,"",IF(INDEX(ChqAmt,IFERROR(MATCH(239,ChqRankU,0),0))=0,"",INDEX(ChqAmt,IFERROR(MATCH(239,ChqRankU,0),0))))</f>
        <v/>
      </c>
      <c r="E255" s="7" t="str">
        <f>IF(IFERROR(MATCH(239,ChqRankU,0),0)=0,"",INDEX(ChqStatus,IFERROR(MATCH(239,ChqRankU,0),0)))</f>
        <v/>
      </c>
      <c r="F255" s="13" t="str">
        <f>IF(IFERROR(MATCH(239,ChqRankU,0),0)=0,"",IF(INDEX(ChqStatus,IFERROR(MATCH(239,ChqRankU,0),0))="پاس نشده","—",IF(INDEX(ChqClr,IFERROR(MATCH(239,ChqRankU,0),0))="","—",INDEX(ChqClr,IFERROR(MATCH(239,ChqRankU,0),0)))))</f>
        <v/>
      </c>
      <c r="I255" t="str">
        <f>IF(239&gt;NChq,"",INDEX(ChqNorm,239))</f>
        <v/>
      </c>
      <c r="J255" t="str">
        <f>IF($I255="","",IF(AND($I255&gt;=$H$3,$I255&lt;=$H$4,INDEX(ChqStatus,239)="پاس نشده"),1,0))</f>
        <v/>
      </c>
      <c r="K255" t="str">
        <f>IF($J255=0,"",INDEX(ChqKey,239))</f>
        <v/>
      </c>
      <c r="L255" t="str">
        <f t="shared" si="3"/>
        <v/>
      </c>
    </row>
    <row r="256" spans="1:12" x14ac:dyDescent="0.2">
      <c r="A256" s="9" t="str">
        <f>IF(IFERROR(MATCH(240,ChqRankU,0),0)=0,"",240)</f>
        <v/>
      </c>
      <c r="B256" s="15" t="str">
        <f>IF(IFERROR(MATCH(240,ChqRankU,0),0)=0,"",INDEX(ChqNorm,IFERROR(MATCH(240,ChqRankU,0),0)))</f>
        <v/>
      </c>
      <c r="C256" s="15" t="str">
        <f>IF(IFERROR(MATCH(240,ChqRankU,0),0)=0,"",INDEX(ChqNo,IFERROR(MATCH(240,ChqRankU,0),0)))</f>
        <v/>
      </c>
      <c r="D256" s="16" t="str">
        <f>IF(IFERROR(MATCH(240,ChqRankU,0),0)=0,"",IF(INDEX(ChqAmt,IFERROR(MATCH(240,ChqRankU,0),0))=0,"",INDEX(ChqAmt,IFERROR(MATCH(240,ChqRankU,0),0))))</f>
        <v/>
      </c>
      <c r="E256" s="10" t="str">
        <f>IF(IFERROR(MATCH(240,ChqRankU,0),0)=0,"",INDEX(ChqStatus,IFERROR(MATCH(240,ChqRankU,0),0)))</f>
        <v/>
      </c>
      <c r="F256" s="15" t="str">
        <f>IF(IFERROR(MATCH(240,ChqRankU,0),0)=0,"",IF(INDEX(ChqStatus,IFERROR(MATCH(240,ChqRankU,0),0))="پاس نشده","—",IF(INDEX(ChqClr,IFERROR(MATCH(240,ChqRankU,0),0))="","—",INDEX(ChqClr,IFERROR(MATCH(240,ChqRankU,0),0)))))</f>
        <v/>
      </c>
      <c r="I256" t="str">
        <f>IF(240&gt;NChq,"",INDEX(ChqNorm,240))</f>
        <v/>
      </c>
      <c r="J256" t="str">
        <f>IF($I256="","",IF(AND($I256&gt;=$H$3,$I256&lt;=$H$4,INDEX(ChqStatus,240)="پاس نشده"),1,0))</f>
        <v/>
      </c>
      <c r="K256" t="str">
        <f>IF($J256=0,"",INDEX(ChqKey,240))</f>
        <v/>
      </c>
      <c r="L256" t="str">
        <f t="shared" si="3"/>
        <v/>
      </c>
    </row>
    <row r="257" spans="1:12" x14ac:dyDescent="0.2">
      <c r="A257" s="3" t="str">
        <f>IF(IFERROR(MATCH(241,ChqRankU,0),0)=0,"",241)</f>
        <v/>
      </c>
      <c r="B257" s="13" t="str">
        <f>IF(IFERROR(MATCH(241,ChqRankU,0),0)=0,"",INDEX(ChqNorm,IFERROR(MATCH(241,ChqRankU,0),0)))</f>
        <v/>
      </c>
      <c r="C257" s="13" t="str">
        <f>IF(IFERROR(MATCH(241,ChqRankU,0),0)=0,"",INDEX(ChqNo,IFERROR(MATCH(241,ChqRankU,0),0)))</f>
        <v/>
      </c>
      <c r="D257" s="14" t="str">
        <f>IF(IFERROR(MATCH(241,ChqRankU,0),0)=0,"",IF(INDEX(ChqAmt,IFERROR(MATCH(241,ChqRankU,0),0))=0,"",INDEX(ChqAmt,IFERROR(MATCH(241,ChqRankU,0),0))))</f>
        <v/>
      </c>
      <c r="E257" s="7" t="str">
        <f>IF(IFERROR(MATCH(241,ChqRankU,0),0)=0,"",INDEX(ChqStatus,IFERROR(MATCH(241,ChqRankU,0),0)))</f>
        <v/>
      </c>
      <c r="F257" s="13" t="str">
        <f>IF(IFERROR(MATCH(241,ChqRankU,0),0)=0,"",IF(INDEX(ChqStatus,IFERROR(MATCH(241,ChqRankU,0),0))="پاس نشده","—",IF(INDEX(ChqClr,IFERROR(MATCH(241,ChqRankU,0),0))="","—",INDEX(ChqClr,IFERROR(MATCH(241,ChqRankU,0),0)))))</f>
        <v/>
      </c>
      <c r="I257" t="str">
        <f>IF(241&gt;NChq,"",INDEX(ChqNorm,241))</f>
        <v/>
      </c>
      <c r="J257" t="str">
        <f>IF($I257="","",IF(AND($I257&gt;=$H$3,$I257&lt;=$H$4,INDEX(ChqStatus,241)="پاس نشده"),1,0))</f>
        <v/>
      </c>
      <c r="K257" t="str">
        <f>IF($J257=0,"",INDEX(ChqKey,241))</f>
        <v/>
      </c>
      <c r="L257" t="str">
        <f t="shared" si="3"/>
        <v/>
      </c>
    </row>
    <row r="258" spans="1:12" x14ac:dyDescent="0.2">
      <c r="A258" s="9" t="str">
        <f>IF(IFERROR(MATCH(242,ChqRankU,0),0)=0,"",242)</f>
        <v/>
      </c>
      <c r="B258" s="15" t="str">
        <f>IF(IFERROR(MATCH(242,ChqRankU,0),0)=0,"",INDEX(ChqNorm,IFERROR(MATCH(242,ChqRankU,0),0)))</f>
        <v/>
      </c>
      <c r="C258" s="15" t="str">
        <f>IF(IFERROR(MATCH(242,ChqRankU,0),0)=0,"",INDEX(ChqNo,IFERROR(MATCH(242,ChqRankU,0),0)))</f>
        <v/>
      </c>
      <c r="D258" s="16" t="str">
        <f>IF(IFERROR(MATCH(242,ChqRankU,0),0)=0,"",IF(INDEX(ChqAmt,IFERROR(MATCH(242,ChqRankU,0),0))=0,"",INDEX(ChqAmt,IFERROR(MATCH(242,ChqRankU,0),0))))</f>
        <v/>
      </c>
      <c r="E258" s="10" t="str">
        <f>IF(IFERROR(MATCH(242,ChqRankU,0),0)=0,"",INDEX(ChqStatus,IFERROR(MATCH(242,ChqRankU,0),0)))</f>
        <v/>
      </c>
      <c r="F258" s="15" t="str">
        <f>IF(IFERROR(MATCH(242,ChqRankU,0),0)=0,"",IF(INDEX(ChqStatus,IFERROR(MATCH(242,ChqRankU,0),0))="پاس نشده","—",IF(INDEX(ChqClr,IFERROR(MATCH(242,ChqRankU,0),0))="","—",INDEX(ChqClr,IFERROR(MATCH(242,ChqRankU,0),0)))))</f>
        <v/>
      </c>
      <c r="I258" t="str">
        <f>IF(242&gt;NChq,"",INDEX(ChqNorm,242))</f>
        <v/>
      </c>
      <c r="J258" t="str">
        <f>IF($I258="","",IF(AND($I258&gt;=$H$3,$I258&lt;=$H$4,INDEX(ChqStatus,242)="پاس نشده"),1,0))</f>
        <v/>
      </c>
      <c r="K258" t="str">
        <f>IF($J258=0,"",INDEX(ChqKey,242))</f>
        <v/>
      </c>
      <c r="L258" t="str">
        <f t="shared" si="3"/>
        <v/>
      </c>
    </row>
    <row r="259" spans="1:12" x14ac:dyDescent="0.2">
      <c r="A259" s="3" t="str">
        <f>IF(IFERROR(MATCH(243,ChqRankU,0),0)=0,"",243)</f>
        <v/>
      </c>
      <c r="B259" s="13" t="str">
        <f>IF(IFERROR(MATCH(243,ChqRankU,0),0)=0,"",INDEX(ChqNorm,IFERROR(MATCH(243,ChqRankU,0),0)))</f>
        <v/>
      </c>
      <c r="C259" s="13" t="str">
        <f>IF(IFERROR(MATCH(243,ChqRankU,0),0)=0,"",INDEX(ChqNo,IFERROR(MATCH(243,ChqRankU,0),0)))</f>
        <v/>
      </c>
      <c r="D259" s="14" t="str">
        <f>IF(IFERROR(MATCH(243,ChqRankU,0),0)=0,"",IF(INDEX(ChqAmt,IFERROR(MATCH(243,ChqRankU,0),0))=0,"",INDEX(ChqAmt,IFERROR(MATCH(243,ChqRankU,0),0))))</f>
        <v/>
      </c>
      <c r="E259" s="7" t="str">
        <f>IF(IFERROR(MATCH(243,ChqRankU,0),0)=0,"",INDEX(ChqStatus,IFERROR(MATCH(243,ChqRankU,0),0)))</f>
        <v/>
      </c>
      <c r="F259" s="13" t="str">
        <f>IF(IFERROR(MATCH(243,ChqRankU,0),0)=0,"",IF(INDEX(ChqStatus,IFERROR(MATCH(243,ChqRankU,0),0))="پاس نشده","—",IF(INDEX(ChqClr,IFERROR(MATCH(243,ChqRankU,0),0))="","—",INDEX(ChqClr,IFERROR(MATCH(243,ChqRankU,0),0)))))</f>
        <v/>
      </c>
      <c r="I259" t="str">
        <f>IF(243&gt;NChq,"",INDEX(ChqNorm,243))</f>
        <v/>
      </c>
      <c r="J259" t="str">
        <f>IF($I259="","",IF(AND($I259&gt;=$H$3,$I259&lt;=$H$4,INDEX(ChqStatus,243)="پاس نشده"),1,0))</f>
        <v/>
      </c>
      <c r="K259" t="str">
        <f>IF($J259=0,"",INDEX(ChqKey,243))</f>
        <v/>
      </c>
      <c r="L259" t="str">
        <f t="shared" si="3"/>
        <v/>
      </c>
    </row>
    <row r="260" spans="1:12" x14ac:dyDescent="0.2">
      <c r="A260" s="9" t="str">
        <f>IF(IFERROR(MATCH(244,ChqRankU,0),0)=0,"",244)</f>
        <v/>
      </c>
      <c r="B260" s="15" t="str">
        <f>IF(IFERROR(MATCH(244,ChqRankU,0),0)=0,"",INDEX(ChqNorm,IFERROR(MATCH(244,ChqRankU,0),0)))</f>
        <v/>
      </c>
      <c r="C260" s="15" t="str">
        <f>IF(IFERROR(MATCH(244,ChqRankU,0),0)=0,"",INDEX(ChqNo,IFERROR(MATCH(244,ChqRankU,0),0)))</f>
        <v/>
      </c>
      <c r="D260" s="16" t="str">
        <f>IF(IFERROR(MATCH(244,ChqRankU,0),0)=0,"",IF(INDEX(ChqAmt,IFERROR(MATCH(244,ChqRankU,0),0))=0,"",INDEX(ChqAmt,IFERROR(MATCH(244,ChqRankU,0),0))))</f>
        <v/>
      </c>
      <c r="E260" s="10" t="str">
        <f>IF(IFERROR(MATCH(244,ChqRankU,0),0)=0,"",INDEX(ChqStatus,IFERROR(MATCH(244,ChqRankU,0),0)))</f>
        <v/>
      </c>
      <c r="F260" s="15" t="str">
        <f>IF(IFERROR(MATCH(244,ChqRankU,0),0)=0,"",IF(INDEX(ChqStatus,IFERROR(MATCH(244,ChqRankU,0),0))="پاس نشده","—",IF(INDEX(ChqClr,IFERROR(MATCH(244,ChqRankU,0),0))="","—",INDEX(ChqClr,IFERROR(MATCH(244,ChqRankU,0),0)))))</f>
        <v/>
      </c>
      <c r="I260" t="str">
        <f>IF(244&gt;NChq,"",INDEX(ChqNorm,244))</f>
        <v/>
      </c>
      <c r="J260" t="str">
        <f>IF($I260="","",IF(AND($I260&gt;=$H$3,$I260&lt;=$H$4,INDEX(ChqStatus,244)="پاس نشده"),1,0))</f>
        <v/>
      </c>
      <c r="K260" t="str">
        <f>IF($J260=0,"",INDEX(ChqKey,244))</f>
        <v/>
      </c>
      <c r="L260" t="str">
        <f t="shared" si="3"/>
        <v/>
      </c>
    </row>
    <row r="261" spans="1:12" x14ac:dyDescent="0.2">
      <c r="A261" s="3" t="str">
        <f>IF(IFERROR(MATCH(245,ChqRankU,0),0)=0,"",245)</f>
        <v/>
      </c>
      <c r="B261" s="13" t="str">
        <f>IF(IFERROR(MATCH(245,ChqRankU,0),0)=0,"",INDEX(ChqNorm,IFERROR(MATCH(245,ChqRankU,0),0)))</f>
        <v/>
      </c>
      <c r="C261" s="13" t="str">
        <f>IF(IFERROR(MATCH(245,ChqRankU,0),0)=0,"",INDEX(ChqNo,IFERROR(MATCH(245,ChqRankU,0),0)))</f>
        <v/>
      </c>
      <c r="D261" s="14" t="str">
        <f>IF(IFERROR(MATCH(245,ChqRankU,0),0)=0,"",IF(INDEX(ChqAmt,IFERROR(MATCH(245,ChqRankU,0),0))=0,"",INDEX(ChqAmt,IFERROR(MATCH(245,ChqRankU,0),0))))</f>
        <v/>
      </c>
      <c r="E261" s="7" t="str">
        <f>IF(IFERROR(MATCH(245,ChqRankU,0),0)=0,"",INDEX(ChqStatus,IFERROR(MATCH(245,ChqRankU,0),0)))</f>
        <v/>
      </c>
      <c r="F261" s="13" t="str">
        <f>IF(IFERROR(MATCH(245,ChqRankU,0),0)=0,"",IF(INDEX(ChqStatus,IFERROR(MATCH(245,ChqRankU,0),0))="پاس نشده","—",IF(INDEX(ChqClr,IFERROR(MATCH(245,ChqRankU,0),0))="","—",INDEX(ChqClr,IFERROR(MATCH(245,ChqRankU,0),0)))))</f>
        <v/>
      </c>
      <c r="I261" t="str">
        <f>IF(245&gt;NChq,"",INDEX(ChqNorm,245))</f>
        <v/>
      </c>
      <c r="J261" t="str">
        <f>IF($I261="","",IF(AND($I261&gt;=$H$3,$I261&lt;=$H$4,INDEX(ChqStatus,245)="پاس نشده"),1,0))</f>
        <v/>
      </c>
      <c r="K261" t="str">
        <f>IF($J261=0,"",INDEX(ChqKey,245))</f>
        <v/>
      </c>
      <c r="L261" t="str">
        <f t="shared" si="3"/>
        <v/>
      </c>
    </row>
    <row r="262" spans="1:12" x14ac:dyDescent="0.2">
      <c r="A262" s="9" t="str">
        <f>IF(IFERROR(MATCH(246,ChqRankU,0),0)=0,"",246)</f>
        <v/>
      </c>
      <c r="B262" s="15" t="str">
        <f>IF(IFERROR(MATCH(246,ChqRankU,0),0)=0,"",INDEX(ChqNorm,IFERROR(MATCH(246,ChqRankU,0),0)))</f>
        <v/>
      </c>
      <c r="C262" s="15" t="str">
        <f>IF(IFERROR(MATCH(246,ChqRankU,0),0)=0,"",INDEX(ChqNo,IFERROR(MATCH(246,ChqRankU,0),0)))</f>
        <v/>
      </c>
      <c r="D262" s="16" t="str">
        <f>IF(IFERROR(MATCH(246,ChqRankU,0),0)=0,"",IF(INDEX(ChqAmt,IFERROR(MATCH(246,ChqRankU,0),0))=0,"",INDEX(ChqAmt,IFERROR(MATCH(246,ChqRankU,0),0))))</f>
        <v/>
      </c>
      <c r="E262" s="10" t="str">
        <f>IF(IFERROR(MATCH(246,ChqRankU,0),0)=0,"",INDEX(ChqStatus,IFERROR(MATCH(246,ChqRankU,0),0)))</f>
        <v/>
      </c>
      <c r="F262" s="15" t="str">
        <f>IF(IFERROR(MATCH(246,ChqRankU,0),0)=0,"",IF(INDEX(ChqStatus,IFERROR(MATCH(246,ChqRankU,0),0))="پاس نشده","—",IF(INDEX(ChqClr,IFERROR(MATCH(246,ChqRankU,0),0))="","—",INDEX(ChqClr,IFERROR(MATCH(246,ChqRankU,0),0)))))</f>
        <v/>
      </c>
      <c r="I262" t="str">
        <f>IF(246&gt;NChq,"",INDEX(ChqNorm,246))</f>
        <v/>
      </c>
      <c r="J262" t="str">
        <f>IF($I262="","",IF(AND($I262&gt;=$H$3,$I262&lt;=$H$4,INDEX(ChqStatus,246)="پاس نشده"),1,0))</f>
        <v/>
      </c>
      <c r="K262" t="str">
        <f>IF($J262=0,"",INDEX(ChqKey,246))</f>
        <v/>
      </c>
      <c r="L262" t="str">
        <f t="shared" si="3"/>
        <v/>
      </c>
    </row>
    <row r="263" spans="1:12" x14ac:dyDescent="0.2">
      <c r="A263" s="3" t="str">
        <f>IF(IFERROR(MATCH(247,ChqRankU,0),0)=0,"",247)</f>
        <v/>
      </c>
      <c r="B263" s="13" t="str">
        <f>IF(IFERROR(MATCH(247,ChqRankU,0),0)=0,"",INDEX(ChqNorm,IFERROR(MATCH(247,ChqRankU,0),0)))</f>
        <v/>
      </c>
      <c r="C263" s="13" t="str">
        <f>IF(IFERROR(MATCH(247,ChqRankU,0),0)=0,"",INDEX(ChqNo,IFERROR(MATCH(247,ChqRankU,0),0)))</f>
        <v/>
      </c>
      <c r="D263" s="14" t="str">
        <f>IF(IFERROR(MATCH(247,ChqRankU,0),0)=0,"",IF(INDEX(ChqAmt,IFERROR(MATCH(247,ChqRankU,0),0))=0,"",INDEX(ChqAmt,IFERROR(MATCH(247,ChqRankU,0),0))))</f>
        <v/>
      </c>
      <c r="E263" s="7" t="str">
        <f>IF(IFERROR(MATCH(247,ChqRankU,0),0)=0,"",INDEX(ChqStatus,IFERROR(MATCH(247,ChqRankU,0),0)))</f>
        <v/>
      </c>
      <c r="F263" s="13" t="str">
        <f>IF(IFERROR(MATCH(247,ChqRankU,0),0)=0,"",IF(INDEX(ChqStatus,IFERROR(MATCH(247,ChqRankU,0),0))="پاس نشده","—",IF(INDEX(ChqClr,IFERROR(MATCH(247,ChqRankU,0),0))="","—",INDEX(ChqClr,IFERROR(MATCH(247,ChqRankU,0),0)))))</f>
        <v/>
      </c>
      <c r="I263" t="str">
        <f>IF(247&gt;NChq,"",INDEX(ChqNorm,247))</f>
        <v/>
      </c>
      <c r="J263" t="str">
        <f>IF($I263="","",IF(AND($I263&gt;=$H$3,$I263&lt;=$H$4,INDEX(ChqStatus,247)="پاس نشده"),1,0))</f>
        <v/>
      </c>
      <c r="K263" t="str">
        <f>IF($J263=0,"",INDEX(ChqKey,247))</f>
        <v/>
      </c>
      <c r="L263" t="str">
        <f t="shared" si="3"/>
        <v/>
      </c>
    </row>
    <row r="264" spans="1:12" x14ac:dyDescent="0.2">
      <c r="A264" s="9" t="str">
        <f>IF(IFERROR(MATCH(248,ChqRankU,0),0)=0,"",248)</f>
        <v/>
      </c>
      <c r="B264" s="15" t="str">
        <f>IF(IFERROR(MATCH(248,ChqRankU,0),0)=0,"",INDEX(ChqNorm,IFERROR(MATCH(248,ChqRankU,0),0)))</f>
        <v/>
      </c>
      <c r="C264" s="15" t="str">
        <f>IF(IFERROR(MATCH(248,ChqRankU,0),0)=0,"",INDEX(ChqNo,IFERROR(MATCH(248,ChqRankU,0),0)))</f>
        <v/>
      </c>
      <c r="D264" s="16" t="str">
        <f>IF(IFERROR(MATCH(248,ChqRankU,0),0)=0,"",IF(INDEX(ChqAmt,IFERROR(MATCH(248,ChqRankU,0),0))=0,"",INDEX(ChqAmt,IFERROR(MATCH(248,ChqRankU,0),0))))</f>
        <v/>
      </c>
      <c r="E264" s="10" t="str">
        <f>IF(IFERROR(MATCH(248,ChqRankU,0),0)=0,"",INDEX(ChqStatus,IFERROR(MATCH(248,ChqRankU,0),0)))</f>
        <v/>
      </c>
      <c r="F264" s="15" t="str">
        <f>IF(IFERROR(MATCH(248,ChqRankU,0),0)=0,"",IF(INDEX(ChqStatus,IFERROR(MATCH(248,ChqRankU,0),0))="پاس نشده","—",IF(INDEX(ChqClr,IFERROR(MATCH(248,ChqRankU,0),0))="","—",INDEX(ChqClr,IFERROR(MATCH(248,ChqRankU,0),0)))))</f>
        <v/>
      </c>
      <c r="I264" t="str">
        <f>IF(248&gt;NChq,"",INDEX(ChqNorm,248))</f>
        <v/>
      </c>
      <c r="J264" t="str">
        <f>IF($I264="","",IF(AND($I264&gt;=$H$3,$I264&lt;=$H$4,INDEX(ChqStatus,248)="پاس نشده"),1,0))</f>
        <v/>
      </c>
      <c r="K264" t="str">
        <f>IF($J264=0,"",INDEX(ChqKey,248))</f>
        <v/>
      </c>
      <c r="L264" t="str">
        <f t="shared" si="3"/>
        <v/>
      </c>
    </row>
    <row r="265" spans="1:12" x14ac:dyDescent="0.2">
      <c r="A265" s="3" t="str">
        <f>IF(IFERROR(MATCH(249,ChqRankU,0),0)=0,"",249)</f>
        <v/>
      </c>
      <c r="B265" s="13" t="str">
        <f>IF(IFERROR(MATCH(249,ChqRankU,0),0)=0,"",INDEX(ChqNorm,IFERROR(MATCH(249,ChqRankU,0),0)))</f>
        <v/>
      </c>
      <c r="C265" s="13" t="str">
        <f>IF(IFERROR(MATCH(249,ChqRankU,0),0)=0,"",INDEX(ChqNo,IFERROR(MATCH(249,ChqRankU,0),0)))</f>
        <v/>
      </c>
      <c r="D265" s="14" t="str">
        <f>IF(IFERROR(MATCH(249,ChqRankU,0),0)=0,"",IF(INDEX(ChqAmt,IFERROR(MATCH(249,ChqRankU,0),0))=0,"",INDEX(ChqAmt,IFERROR(MATCH(249,ChqRankU,0),0))))</f>
        <v/>
      </c>
      <c r="E265" s="7" t="str">
        <f>IF(IFERROR(MATCH(249,ChqRankU,0),0)=0,"",INDEX(ChqStatus,IFERROR(MATCH(249,ChqRankU,0),0)))</f>
        <v/>
      </c>
      <c r="F265" s="13" t="str">
        <f>IF(IFERROR(MATCH(249,ChqRankU,0),0)=0,"",IF(INDEX(ChqStatus,IFERROR(MATCH(249,ChqRankU,0),0))="پاس نشده","—",IF(INDEX(ChqClr,IFERROR(MATCH(249,ChqRankU,0),0))="","—",INDEX(ChqClr,IFERROR(MATCH(249,ChqRankU,0),0)))))</f>
        <v/>
      </c>
      <c r="I265" t="str">
        <f>IF(249&gt;NChq,"",INDEX(ChqNorm,249))</f>
        <v/>
      </c>
      <c r="J265" t="str">
        <f>IF($I265="","",IF(AND($I265&gt;=$H$3,$I265&lt;=$H$4,INDEX(ChqStatus,249)="پاس نشده"),1,0))</f>
        <v/>
      </c>
      <c r="K265" t="str">
        <f>IF($J265=0,"",INDEX(ChqKey,249))</f>
        <v/>
      </c>
      <c r="L265" t="str">
        <f t="shared" si="3"/>
        <v/>
      </c>
    </row>
    <row r="266" spans="1:12" x14ac:dyDescent="0.2">
      <c r="A266" s="9" t="str">
        <f>IF(IFERROR(MATCH(250,ChqRankU,0),0)=0,"",250)</f>
        <v/>
      </c>
      <c r="B266" s="15" t="str">
        <f>IF(IFERROR(MATCH(250,ChqRankU,0),0)=0,"",INDEX(ChqNorm,IFERROR(MATCH(250,ChqRankU,0),0)))</f>
        <v/>
      </c>
      <c r="C266" s="15" t="str">
        <f>IF(IFERROR(MATCH(250,ChqRankU,0),0)=0,"",INDEX(ChqNo,IFERROR(MATCH(250,ChqRankU,0),0)))</f>
        <v/>
      </c>
      <c r="D266" s="16" t="str">
        <f>IF(IFERROR(MATCH(250,ChqRankU,0),0)=0,"",IF(INDEX(ChqAmt,IFERROR(MATCH(250,ChqRankU,0),0))=0,"",INDEX(ChqAmt,IFERROR(MATCH(250,ChqRankU,0),0))))</f>
        <v/>
      </c>
      <c r="E266" s="10" t="str">
        <f>IF(IFERROR(MATCH(250,ChqRankU,0),0)=0,"",INDEX(ChqStatus,IFERROR(MATCH(250,ChqRankU,0),0)))</f>
        <v/>
      </c>
      <c r="F266" s="15" t="str">
        <f>IF(IFERROR(MATCH(250,ChqRankU,0),0)=0,"",IF(INDEX(ChqStatus,IFERROR(MATCH(250,ChqRankU,0),0))="پاس نشده","—",IF(INDEX(ChqClr,IFERROR(MATCH(250,ChqRankU,0),0))="","—",INDEX(ChqClr,IFERROR(MATCH(250,ChqRankU,0),0)))))</f>
        <v/>
      </c>
      <c r="I266" t="str">
        <f>IF(250&gt;NChq,"",INDEX(ChqNorm,250))</f>
        <v/>
      </c>
      <c r="J266" t="str">
        <f>IF($I266="","",IF(AND($I266&gt;=$H$3,$I266&lt;=$H$4,INDEX(ChqStatus,250)="پاس نشده"),1,0))</f>
        <v/>
      </c>
      <c r="K266" t="str">
        <f>IF($J266=0,"",INDEX(ChqKey,250))</f>
        <v/>
      </c>
      <c r="L266" t="str">
        <f t="shared" si="3"/>
        <v/>
      </c>
    </row>
    <row r="267" spans="1:12" x14ac:dyDescent="0.2">
      <c r="A267" s="3" t="str">
        <f>IF(IFERROR(MATCH(251,ChqRankU,0),0)=0,"",251)</f>
        <v/>
      </c>
      <c r="B267" s="13" t="str">
        <f>IF(IFERROR(MATCH(251,ChqRankU,0),0)=0,"",INDEX(ChqNorm,IFERROR(MATCH(251,ChqRankU,0),0)))</f>
        <v/>
      </c>
      <c r="C267" s="13" t="str">
        <f>IF(IFERROR(MATCH(251,ChqRankU,0),0)=0,"",INDEX(ChqNo,IFERROR(MATCH(251,ChqRankU,0),0)))</f>
        <v/>
      </c>
      <c r="D267" s="14" t="str">
        <f>IF(IFERROR(MATCH(251,ChqRankU,0),0)=0,"",IF(INDEX(ChqAmt,IFERROR(MATCH(251,ChqRankU,0),0))=0,"",INDEX(ChqAmt,IFERROR(MATCH(251,ChqRankU,0),0))))</f>
        <v/>
      </c>
      <c r="E267" s="7" t="str">
        <f>IF(IFERROR(MATCH(251,ChqRankU,0),0)=0,"",INDEX(ChqStatus,IFERROR(MATCH(251,ChqRankU,0),0)))</f>
        <v/>
      </c>
      <c r="F267" s="13" t="str">
        <f>IF(IFERROR(MATCH(251,ChqRankU,0),0)=0,"",IF(INDEX(ChqStatus,IFERROR(MATCH(251,ChqRankU,0),0))="پاس نشده","—",IF(INDEX(ChqClr,IFERROR(MATCH(251,ChqRankU,0),0))="","—",INDEX(ChqClr,IFERROR(MATCH(251,ChqRankU,0),0)))))</f>
        <v/>
      </c>
      <c r="I267" t="str">
        <f>IF(251&gt;NChq,"",INDEX(ChqNorm,251))</f>
        <v/>
      </c>
      <c r="J267" t="str">
        <f>IF($I267="","",IF(AND($I267&gt;=$H$3,$I267&lt;=$H$4,INDEX(ChqStatus,251)="پاس نشده"),1,0))</f>
        <v/>
      </c>
      <c r="K267" t="str">
        <f>IF($J267=0,"",INDEX(ChqKey,251))</f>
        <v/>
      </c>
      <c r="L267" t="str">
        <f t="shared" si="3"/>
        <v/>
      </c>
    </row>
    <row r="268" spans="1:12" x14ac:dyDescent="0.2">
      <c r="A268" s="9" t="str">
        <f>IF(IFERROR(MATCH(252,ChqRankU,0),0)=0,"",252)</f>
        <v/>
      </c>
      <c r="B268" s="15" t="str">
        <f>IF(IFERROR(MATCH(252,ChqRankU,0),0)=0,"",INDEX(ChqNorm,IFERROR(MATCH(252,ChqRankU,0),0)))</f>
        <v/>
      </c>
      <c r="C268" s="15" t="str">
        <f>IF(IFERROR(MATCH(252,ChqRankU,0),0)=0,"",INDEX(ChqNo,IFERROR(MATCH(252,ChqRankU,0),0)))</f>
        <v/>
      </c>
      <c r="D268" s="16" t="str">
        <f>IF(IFERROR(MATCH(252,ChqRankU,0),0)=0,"",IF(INDEX(ChqAmt,IFERROR(MATCH(252,ChqRankU,0),0))=0,"",INDEX(ChqAmt,IFERROR(MATCH(252,ChqRankU,0),0))))</f>
        <v/>
      </c>
      <c r="E268" s="10" t="str">
        <f>IF(IFERROR(MATCH(252,ChqRankU,0),0)=0,"",INDEX(ChqStatus,IFERROR(MATCH(252,ChqRankU,0),0)))</f>
        <v/>
      </c>
      <c r="F268" s="15" t="str">
        <f>IF(IFERROR(MATCH(252,ChqRankU,0),0)=0,"",IF(INDEX(ChqStatus,IFERROR(MATCH(252,ChqRankU,0),0))="پاس نشده","—",IF(INDEX(ChqClr,IFERROR(MATCH(252,ChqRankU,0),0))="","—",INDEX(ChqClr,IFERROR(MATCH(252,ChqRankU,0),0)))))</f>
        <v/>
      </c>
      <c r="I268" t="str">
        <f>IF(252&gt;NChq,"",INDEX(ChqNorm,252))</f>
        <v/>
      </c>
      <c r="J268" t="str">
        <f>IF($I268="","",IF(AND($I268&gt;=$H$3,$I268&lt;=$H$4,INDEX(ChqStatus,252)="پاس نشده"),1,0))</f>
        <v/>
      </c>
      <c r="K268" t="str">
        <f>IF($J268=0,"",INDEX(ChqKey,252))</f>
        <v/>
      </c>
      <c r="L268" t="str">
        <f t="shared" si="3"/>
        <v/>
      </c>
    </row>
    <row r="269" spans="1:12" x14ac:dyDescent="0.2">
      <c r="A269" s="3" t="str">
        <f>IF(IFERROR(MATCH(253,ChqRankU,0),0)=0,"",253)</f>
        <v/>
      </c>
      <c r="B269" s="13" t="str">
        <f>IF(IFERROR(MATCH(253,ChqRankU,0),0)=0,"",INDEX(ChqNorm,IFERROR(MATCH(253,ChqRankU,0),0)))</f>
        <v/>
      </c>
      <c r="C269" s="13" t="str">
        <f>IF(IFERROR(MATCH(253,ChqRankU,0),0)=0,"",INDEX(ChqNo,IFERROR(MATCH(253,ChqRankU,0),0)))</f>
        <v/>
      </c>
      <c r="D269" s="14" t="str">
        <f>IF(IFERROR(MATCH(253,ChqRankU,0),0)=0,"",IF(INDEX(ChqAmt,IFERROR(MATCH(253,ChqRankU,0),0))=0,"",INDEX(ChqAmt,IFERROR(MATCH(253,ChqRankU,0),0))))</f>
        <v/>
      </c>
      <c r="E269" s="7" t="str">
        <f>IF(IFERROR(MATCH(253,ChqRankU,0),0)=0,"",INDEX(ChqStatus,IFERROR(MATCH(253,ChqRankU,0),0)))</f>
        <v/>
      </c>
      <c r="F269" s="13" t="str">
        <f>IF(IFERROR(MATCH(253,ChqRankU,0),0)=0,"",IF(INDEX(ChqStatus,IFERROR(MATCH(253,ChqRankU,0),0))="پاس نشده","—",IF(INDEX(ChqClr,IFERROR(MATCH(253,ChqRankU,0),0))="","—",INDEX(ChqClr,IFERROR(MATCH(253,ChqRankU,0),0)))))</f>
        <v/>
      </c>
      <c r="I269" t="str">
        <f>IF(253&gt;NChq,"",INDEX(ChqNorm,253))</f>
        <v/>
      </c>
      <c r="J269" t="str">
        <f>IF($I269="","",IF(AND($I269&gt;=$H$3,$I269&lt;=$H$4,INDEX(ChqStatus,253)="پاس نشده"),1,0))</f>
        <v/>
      </c>
      <c r="K269" t="str">
        <f>IF($J269=0,"",INDEX(ChqKey,253))</f>
        <v/>
      </c>
      <c r="L269" t="str">
        <f t="shared" si="3"/>
        <v/>
      </c>
    </row>
    <row r="270" spans="1:12" x14ac:dyDescent="0.2">
      <c r="A270" s="9" t="str">
        <f>IF(IFERROR(MATCH(254,ChqRankU,0),0)=0,"",254)</f>
        <v/>
      </c>
      <c r="B270" s="15" t="str">
        <f>IF(IFERROR(MATCH(254,ChqRankU,0),0)=0,"",INDEX(ChqNorm,IFERROR(MATCH(254,ChqRankU,0),0)))</f>
        <v/>
      </c>
      <c r="C270" s="15" t="str">
        <f>IF(IFERROR(MATCH(254,ChqRankU,0),0)=0,"",INDEX(ChqNo,IFERROR(MATCH(254,ChqRankU,0),0)))</f>
        <v/>
      </c>
      <c r="D270" s="16" t="str">
        <f>IF(IFERROR(MATCH(254,ChqRankU,0),0)=0,"",IF(INDEX(ChqAmt,IFERROR(MATCH(254,ChqRankU,0),0))=0,"",INDEX(ChqAmt,IFERROR(MATCH(254,ChqRankU,0),0))))</f>
        <v/>
      </c>
      <c r="E270" s="10" t="str">
        <f>IF(IFERROR(MATCH(254,ChqRankU,0),0)=0,"",INDEX(ChqStatus,IFERROR(MATCH(254,ChqRankU,0),0)))</f>
        <v/>
      </c>
      <c r="F270" s="15" t="str">
        <f>IF(IFERROR(MATCH(254,ChqRankU,0),0)=0,"",IF(INDEX(ChqStatus,IFERROR(MATCH(254,ChqRankU,0),0))="پاس نشده","—",IF(INDEX(ChqClr,IFERROR(MATCH(254,ChqRankU,0),0))="","—",INDEX(ChqClr,IFERROR(MATCH(254,ChqRankU,0),0)))))</f>
        <v/>
      </c>
      <c r="I270" t="str">
        <f>IF(254&gt;NChq,"",INDEX(ChqNorm,254))</f>
        <v/>
      </c>
      <c r="J270" t="str">
        <f>IF($I270="","",IF(AND($I270&gt;=$H$3,$I270&lt;=$H$4,INDEX(ChqStatus,254)="پاس نشده"),1,0))</f>
        <v/>
      </c>
      <c r="K270" t="str">
        <f>IF($J270=0,"",INDEX(ChqKey,254))</f>
        <v/>
      </c>
      <c r="L270" t="str">
        <f t="shared" si="3"/>
        <v/>
      </c>
    </row>
    <row r="271" spans="1:12" x14ac:dyDescent="0.2">
      <c r="A271" s="3" t="str">
        <f>IF(IFERROR(MATCH(255,ChqRankU,0),0)=0,"",255)</f>
        <v/>
      </c>
      <c r="B271" s="13" t="str">
        <f>IF(IFERROR(MATCH(255,ChqRankU,0),0)=0,"",INDEX(ChqNorm,IFERROR(MATCH(255,ChqRankU,0),0)))</f>
        <v/>
      </c>
      <c r="C271" s="13" t="str">
        <f>IF(IFERROR(MATCH(255,ChqRankU,0),0)=0,"",INDEX(ChqNo,IFERROR(MATCH(255,ChqRankU,0),0)))</f>
        <v/>
      </c>
      <c r="D271" s="14" t="str">
        <f>IF(IFERROR(MATCH(255,ChqRankU,0),0)=0,"",IF(INDEX(ChqAmt,IFERROR(MATCH(255,ChqRankU,0),0))=0,"",INDEX(ChqAmt,IFERROR(MATCH(255,ChqRankU,0),0))))</f>
        <v/>
      </c>
      <c r="E271" s="7" t="str">
        <f>IF(IFERROR(MATCH(255,ChqRankU,0),0)=0,"",INDEX(ChqStatus,IFERROR(MATCH(255,ChqRankU,0),0)))</f>
        <v/>
      </c>
      <c r="F271" s="13" t="str">
        <f>IF(IFERROR(MATCH(255,ChqRankU,0),0)=0,"",IF(INDEX(ChqStatus,IFERROR(MATCH(255,ChqRankU,0),0))="پاس نشده","—",IF(INDEX(ChqClr,IFERROR(MATCH(255,ChqRankU,0),0))="","—",INDEX(ChqClr,IFERROR(MATCH(255,ChqRankU,0),0)))))</f>
        <v/>
      </c>
      <c r="I271" t="str">
        <f>IF(255&gt;NChq,"",INDEX(ChqNorm,255))</f>
        <v/>
      </c>
      <c r="J271" t="str">
        <f>IF($I271="","",IF(AND($I271&gt;=$H$3,$I271&lt;=$H$4,INDEX(ChqStatus,255)="پاس نشده"),1,0))</f>
        <v/>
      </c>
      <c r="K271" t="str">
        <f>IF($J271=0,"",INDEX(ChqKey,255))</f>
        <v/>
      </c>
      <c r="L271" t="str">
        <f t="shared" si="3"/>
        <v/>
      </c>
    </row>
    <row r="272" spans="1:12" x14ac:dyDescent="0.2">
      <c r="A272" s="9" t="str">
        <f>IF(IFERROR(MATCH(256,ChqRankU,0),0)=0,"",256)</f>
        <v/>
      </c>
      <c r="B272" s="15" t="str">
        <f>IF(IFERROR(MATCH(256,ChqRankU,0),0)=0,"",INDEX(ChqNorm,IFERROR(MATCH(256,ChqRankU,0),0)))</f>
        <v/>
      </c>
      <c r="C272" s="15" t="str">
        <f>IF(IFERROR(MATCH(256,ChqRankU,0),0)=0,"",INDEX(ChqNo,IFERROR(MATCH(256,ChqRankU,0),0)))</f>
        <v/>
      </c>
      <c r="D272" s="16" t="str">
        <f>IF(IFERROR(MATCH(256,ChqRankU,0),0)=0,"",IF(INDEX(ChqAmt,IFERROR(MATCH(256,ChqRankU,0),0))=0,"",INDEX(ChqAmt,IFERROR(MATCH(256,ChqRankU,0),0))))</f>
        <v/>
      </c>
      <c r="E272" s="10" t="str">
        <f>IF(IFERROR(MATCH(256,ChqRankU,0),0)=0,"",INDEX(ChqStatus,IFERROR(MATCH(256,ChqRankU,0),0)))</f>
        <v/>
      </c>
      <c r="F272" s="15" t="str">
        <f>IF(IFERROR(MATCH(256,ChqRankU,0),0)=0,"",IF(INDEX(ChqStatus,IFERROR(MATCH(256,ChqRankU,0),0))="پاس نشده","—",IF(INDEX(ChqClr,IFERROR(MATCH(256,ChqRankU,0),0))="","—",INDEX(ChqClr,IFERROR(MATCH(256,ChqRankU,0),0)))))</f>
        <v/>
      </c>
      <c r="I272" t="str">
        <f>IF(256&gt;NChq,"",INDEX(ChqNorm,256))</f>
        <v/>
      </c>
      <c r="J272" t="str">
        <f>IF($I272="","",IF(AND($I272&gt;=$H$3,$I272&lt;=$H$4,INDEX(ChqStatus,256)="پاس نشده"),1,0))</f>
        <v/>
      </c>
      <c r="K272" t="str">
        <f>IF($J272=0,"",INDEX(ChqKey,256))</f>
        <v/>
      </c>
      <c r="L272" t="str">
        <f t="shared" si="3"/>
        <v/>
      </c>
    </row>
    <row r="273" spans="1:12" x14ac:dyDescent="0.2">
      <c r="A273" s="3" t="str">
        <f>IF(IFERROR(MATCH(257,ChqRankU,0),0)=0,"",257)</f>
        <v/>
      </c>
      <c r="B273" s="13" t="str">
        <f>IF(IFERROR(MATCH(257,ChqRankU,0),0)=0,"",INDEX(ChqNorm,IFERROR(MATCH(257,ChqRankU,0),0)))</f>
        <v/>
      </c>
      <c r="C273" s="13" t="str">
        <f>IF(IFERROR(MATCH(257,ChqRankU,0),0)=0,"",INDEX(ChqNo,IFERROR(MATCH(257,ChqRankU,0),0)))</f>
        <v/>
      </c>
      <c r="D273" s="14" t="str">
        <f>IF(IFERROR(MATCH(257,ChqRankU,0),0)=0,"",IF(INDEX(ChqAmt,IFERROR(MATCH(257,ChqRankU,0),0))=0,"",INDEX(ChqAmt,IFERROR(MATCH(257,ChqRankU,0),0))))</f>
        <v/>
      </c>
      <c r="E273" s="7" t="str">
        <f>IF(IFERROR(MATCH(257,ChqRankU,0),0)=0,"",INDEX(ChqStatus,IFERROR(MATCH(257,ChqRankU,0),0)))</f>
        <v/>
      </c>
      <c r="F273" s="13" t="str">
        <f>IF(IFERROR(MATCH(257,ChqRankU,0),0)=0,"",IF(INDEX(ChqStatus,IFERROR(MATCH(257,ChqRankU,0),0))="پاس نشده","—",IF(INDEX(ChqClr,IFERROR(MATCH(257,ChqRankU,0),0))="","—",INDEX(ChqClr,IFERROR(MATCH(257,ChqRankU,0),0)))))</f>
        <v/>
      </c>
      <c r="I273" t="str">
        <f>IF(257&gt;NChq,"",INDEX(ChqNorm,257))</f>
        <v/>
      </c>
      <c r="J273" t="str">
        <f>IF($I273="","",IF(AND($I273&gt;=$H$3,$I273&lt;=$H$4,INDEX(ChqStatus,257)="پاس نشده"),1,0))</f>
        <v/>
      </c>
      <c r="K273" t="str">
        <f>IF($J273=0,"",INDEX(ChqKey,257))</f>
        <v/>
      </c>
      <c r="L273" t="str">
        <f t="shared" ref="L273:L336" si="4">IF($K273="","",COUNTIFS($J$17:$J$516,1,$K$17:$K$516,"&lt;"&amp;$K273)+1)</f>
        <v/>
      </c>
    </row>
    <row r="274" spans="1:12" x14ac:dyDescent="0.2">
      <c r="A274" s="9" t="str">
        <f>IF(IFERROR(MATCH(258,ChqRankU,0),0)=0,"",258)</f>
        <v/>
      </c>
      <c r="B274" s="15" t="str">
        <f>IF(IFERROR(MATCH(258,ChqRankU,0),0)=0,"",INDEX(ChqNorm,IFERROR(MATCH(258,ChqRankU,0),0)))</f>
        <v/>
      </c>
      <c r="C274" s="15" t="str">
        <f>IF(IFERROR(MATCH(258,ChqRankU,0),0)=0,"",INDEX(ChqNo,IFERROR(MATCH(258,ChqRankU,0),0)))</f>
        <v/>
      </c>
      <c r="D274" s="16" t="str">
        <f>IF(IFERROR(MATCH(258,ChqRankU,0),0)=0,"",IF(INDEX(ChqAmt,IFERROR(MATCH(258,ChqRankU,0),0))=0,"",INDEX(ChqAmt,IFERROR(MATCH(258,ChqRankU,0),0))))</f>
        <v/>
      </c>
      <c r="E274" s="10" t="str">
        <f>IF(IFERROR(MATCH(258,ChqRankU,0),0)=0,"",INDEX(ChqStatus,IFERROR(MATCH(258,ChqRankU,0),0)))</f>
        <v/>
      </c>
      <c r="F274" s="15" t="str">
        <f>IF(IFERROR(MATCH(258,ChqRankU,0),0)=0,"",IF(INDEX(ChqStatus,IFERROR(MATCH(258,ChqRankU,0),0))="پاس نشده","—",IF(INDEX(ChqClr,IFERROR(MATCH(258,ChqRankU,0),0))="","—",INDEX(ChqClr,IFERROR(MATCH(258,ChqRankU,0),0)))))</f>
        <v/>
      </c>
      <c r="I274" t="str">
        <f>IF(258&gt;NChq,"",INDEX(ChqNorm,258))</f>
        <v/>
      </c>
      <c r="J274" t="str">
        <f>IF($I274="","",IF(AND($I274&gt;=$H$3,$I274&lt;=$H$4,INDEX(ChqStatus,258)="پاس نشده"),1,0))</f>
        <v/>
      </c>
      <c r="K274" t="str">
        <f>IF($J274=0,"",INDEX(ChqKey,258))</f>
        <v/>
      </c>
      <c r="L274" t="str">
        <f t="shared" si="4"/>
        <v/>
      </c>
    </row>
    <row r="275" spans="1:12" x14ac:dyDescent="0.2">
      <c r="A275" s="3" t="str">
        <f>IF(IFERROR(MATCH(259,ChqRankU,0),0)=0,"",259)</f>
        <v/>
      </c>
      <c r="B275" s="13" t="str">
        <f>IF(IFERROR(MATCH(259,ChqRankU,0),0)=0,"",INDEX(ChqNorm,IFERROR(MATCH(259,ChqRankU,0),0)))</f>
        <v/>
      </c>
      <c r="C275" s="13" t="str">
        <f>IF(IFERROR(MATCH(259,ChqRankU,0),0)=0,"",INDEX(ChqNo,IFERROR(MATCH(259,ChqRankU,0),0)))</f>
        <v/>
      </c>
      <c r="D275" s="14" t="str">
        <f>IF(IFERROR(MATCH(259,ChqRankU,0),0)=0,"",IF(INDEX(ChqAmt,IFERROR(MATCH(259,ChqRankU,0),0))=0,"",INDEX(ChqAmt,IFERROR(MATCH(259,ChqRankU,0),0))))</f>
        <v/>
      </c>
      <c r="E275" s="7" t="str">
        <f>IF(IFERROR(MATCH(259,ChqRankU,0),0)=0,"",INDEX(ChqStatus,IFERROR(MATCH(259,ChqRankU,0),0)))</f>
        <v/>
      </c>
      <c r="F275" s="13" t="str">
        <f>IF(IFERROR(MATCH(259,ChqRankU,0),0)=0,"",IF(INDEX(ChqStatus,IFERROR(MATCH(259,ChqRankU,0),0))="پاس نشده","—",IF(INDEX(ChqClr,IFERROR(MATCH(259,ChqRankU,0),0))="","—",INDEX(ChqClr,IFERROR(MATCH(259,ChqRankU,0),0)))))</f>
        <v/>
      </c>
      <c r="I275" t="str">
        <f>IF(259&gt;NChq,"",INDEX(ChqNorm,259))</f>
        <v/>
      </c>
      <c r="J275" t="str">
        <f>IF($I275="","",IF(AND($I275&gt;=$H$3,$I275&lt;=$H$4,INDEX(ChqStatus,259)="پاس نشده"),1,0))</f>
        <v/>
      </c>
      <c r="K275" t="str">
        <f>IF($J275=0,"",INDEX(ChqKey,259))</f>
        <v/>
      </c>
      <c r="L275" t="str">
        <f t="shared" si="4"/>
        <v/>
      </c>
    </row>
    <row r="276" spans="1:12" x14ac:dyDescent="0.2">
      <c r="A276" s="9" t="str">
        <f>IF(IFERROR(MATCH(260,ChqRankU,0),0)=0,"",260)</f>
        <v/>
      </c>
      <c r="B276" s="15" t="str">
        <f>IF(IFERROR(MATCH(260,ChqRankU,0),0)=0,"",INDEX(ChqNorm,IFERROR(MATCH(260,ChqRankU,0),0)))</f>
        <v/>
      </c>
      <c r="C276" s="15" t="str">
        <f>IF(IFERROR(MATCH(260,ChqRankU,0),0)=0,"",INDEX(ChqNo,IFERROR(MATCH(260,ChqRankU,0),0)))</f>
        <v/>
      </c>
      <c r="D276" s="16" t="str">
        <f>IF(IFERROR(MATCH(260,ChqRankU,0),0)=0,"",IF(INDEX(ChqAmt,IFERROR(MATCH(260,ChqRankU,0),0))=0,"",INDEX(ChqAmt,IFERROR(MATCH(260,ChqRankU,0),0))))</f>
        <v/>
      </c>
      <c r="E276" s="10" t="str">
        <f>IF(IFERROR(MATCH(260,ChqRankU,0),0)=0,"",INDEX(ChqStatus,IFERROR(MATCH(260,ChqRankU,0),0)))</f>
        <v/>
      </c>
      <c r="F276" s="15" t="str">
        <f>IF(IFERROR(MATCH(260,ChqRankU,0),0)=0,"",IF(INDEX(ChqStatus,IFERROR(MATCH(260,ChqRankU,0),0))="پاس نشده","—",IF(INDEX(ChqClr,IFERROR(MATCH(260,ChqRankU,0),0))="","—",INDEX(ChqClr,IFERROR(MATCH(260,ChqRankU,0),0)))))</f>
        <v/>
      </c>
      <c r="I276" t="str">
        <f>IF(260&gt;NChq,"",INDEX(ChqNorm,260))</f>
        <v/>
      </c>
      <c r="J276" t="str">
        <f>IF($I276="","",IF(AND($I276&gt;=$H$3,$I276&lt;=$H$4,INDEX(ChqStatus,260)="پاس نشده"),1,0))</f>
        <v/>
      </c>
      <c r="K276" t="str">
        <f>IF($J276=0,"",INDEX(ChqKey,260))</f>
        <v/>
      </c>
      <c r="L276" t="str">
        <f t="shared" si="4"/>
        <v/>
      </c>
    </row>
    <row r="277" spans="1:12" x14ac:dyDescent="0.2">
      <c r="A277" s="3" t="str">
        <f>IF(IFERROR(MATCH(261,ChqRankU,0),0)=0,"",261)</f>
        <v/>
      </c>
      <c r="B277" s="13" t="str">
        <f>IF(IFERROR(MATCH(261,ChqRankU,0),0)=0,"",INDEX(ChqNorm,IFERROR(MATCH(261,ChqRankU,0),0)))</f>
        <v/>
      </c>
      <c r="C277" s="13" t="str">
        <f>IF(IFERROR(MATCH(261,ChqRankU,0),0)=0,"",INDEX(ChqNo,IFERROR(MATCH(261,ChqRankU,0),0)))</f>
        <v/>
      </c>
      <c r="D277" s="14" t="str">
        <f>IF(IFERROR(MATCH(261,ChqRankU,0),0)=0,"",IF(INDEX(ChqAmt,IFERROR(MATCH(261,ChqRankU,0),0))=0,"",INDEX(ChqAmt,IFERROR(MATCH(261,ChqRankU,0),0))))</f>
        <v/>
      </c>
      <c r="E277" s="7" t="str">
        <f>IF(IFERROR(MATCH(261,ChqRankU,0),0)=0,"",INDEX(ChqStatus,IFERROR(MATCH(261,ChqRankU,0),0)))</f>
        <v/>
      </c>
      <c r="F277" s="13" t="str">
        <f>IF(IFERROR(MATCH(261,ChqRankU,0),0)=0,"",IF(INDEX(ChqStatus,IFERROR(MATCH(261,ChqRankU,0),0))="پاس نشده","—",IF(INDEX(ChqClr,IFERROR(MATCH(261,ChqRankU,0),0))="","—",INDEX(ChqClr,IFERROR(MATCH(261,ChqRankU,0),0)))))</f>
        <v/>
      </c>
      <c r="I277" t="str">
        <f>IF(261&gt;NChq,"",INDEX(ChqNorm,261))</f>
        <v/>
      </c>
      <c r="J277" t="str">
        <f>IF($I277="","",IF(AND($I277&gt;=$H$3,$I277&lt;=$H$4,INDEX(ChqStatus,261)="پاس نشده"),1,0))</f>
        <v/>
      </c>
      <c r="K277" t="str">
        <f>IF($J277=0,"",INDEX(ChqKey,261))</f>
        <v/>
      </c>
      <c r="L277" t="str">
        <f t="shared" si="4"/>
        <v/>
      </c>
    </row>
    <row r="278" spans="1:12" x14ac:dyDescent="0.2">
      <c r="A278" s="9" t="str">
        <f>IF(IFERROR(MATCH(262,ChqRankU,0),0)=0,"",262)</f>
        <v/>
      </c>
      <c r="B278" s="15" t="str">
        <f>IF(IFERROR(MATCH(262,ChqRankU,0),0)=0,"",INDEX(ChqNorm,IFERROR(MATCH(262,ChqRankU,0),0)))</f>
        <v/>
      </c>
      <c r="C278" s="15" t="str">
        <f>IF(IFERROR(MATCH(262,ChqRankU,0),0)=0,"",INDEX(ChqNo,IFERROR(MATCH(262,ChqRankU,0),0)))</f>
        <v/>
      </c>
      <c r="D278" s="16" t="str">
        <f>IF(IFERROR(MATCH(262,ChqRankU,0),0)=0,"",IF(INDEX(ChqAmt,IFERROR(MATCH(262,ChqRankU,0),0))=0,"",INDEX(ChqAmt,IFERROR(MATCH(262,ChqRankU,0),0))))</f>
        <v/>
      </c>
      <c r="E278" s="10" t="str">
        <f>IF(IFERROR(MATCH(262,ChqRankU,0),0)=0,"",INDEX(ChqStatus,IFERROR(MATCH(262,ChqRankU,0),0)))</f>
        <v/>
      </c>
      <c r="F278" s="15" t="str">
        <f>IF(IFERROR(MATCH(262,ChqRankU,0),0)=0,"",IF(INDEX(ChqStatus,IFERROR(MATCH(262,ChqRankU,0),0))="پاس نشده","—",IF(INDEX(ChqClr,IFERROR(MATCH(262,ChqRankU,0),0))="","—",INDEX(ChqClr,IFERROR(MATCH(262,ChqRankU,0),0)))))</f>
        <v/>
      </c>
      <c r="I278" t="str">
        <f>IF(262&gt;NChq,"",INDEX(ChqNorm,262))</f>
        <v/>
      </c>
      <c r="J278" t="str">
        <f>IF($I278="","",IF(AND($I278&gt;=$H$3,$I278&lt;=$H$4,INDEX(ChqStatus,262)="پاس نشده"),1,0))</f>
        <v/>
      </c>
      <c r="K278" t="str">
        <f>IF($J278=0,"",INDEX(ChqKey,262))</f>
        <v/>
      </c>
      <c r="L278" t="str">
        <f t="shared" si="4"/>
        <v/>
      </c>
    </row>
    <row r="279" spans="1:12" x14ac:dyDescent="0.2">
      <c r="A279" s="3" t="str">
        <f>IF(IFERROR(MATCH(263,ChqRankU,0),0)=0,"",263)</f>
        <v/>
      </c>
      <c r="B279" s="13" t="str">
        <f>IF(IFERROR(MATCH(263,ChqRankU,0),0)=0,"",INDEX(ChqNorm,IFERROR(MATCH(263,ChqRankU,0),0)))</f>
        <v/>
      </c>
      <c r="C279" s="13" t="str">
        <f>IF(IFERROR(MATCH(263,ChqRankU,0),0)=0,"",INDEX(ChqNo,IFERROR(MATCH(263,ChqRankU,0),0)))</f>
        <v/>
      </c>
      <c r="D279" s="14" t="str">
        <f>IF(IFERROR(MATCH(263,ChqRankU,0),0)=0,"",IF(INDEX(ChqAmt,IFERROR(MATCH(263,ChqRankU,0),0))=0,"",INDEX(ChqAmt,IFERROR(MATCH(263,ChqRankU,0),0))))</f>
        <v/>
      </c>
      <c r="E279" s="7" t="str">
        <f>IF(IFERROR(MATCH(263,ChqRankU,0),0)=0,"",INDEX(ChqStatus,IFERROR(MATCH(263,ChqRankU,0),0)))</f>
        <v/>
      </c>
      <c r="F279" s="13" t="str">
        <f>IF(IFERROR(MATCH(263,ChqRankU,0),0)=0,"",IF(INDEX(ChqStatus,IFERROR(MATCH(263,ChqRankU,0),0))="پاس نشده","—",IF(INDEX(ChqClr,IFERROR(MATCH(263,ChqRankU,0),0))="","—",INDEX(ChqClr,IFERROR(MATCH(263,ChqRankU,0),0)))))</f>
        <v/>
      </c>
      <c r="I279" t="str">
        <f>IF(263&gt;NChq,"",INDEX(ChqNorm,263))</f>
        <v/>
      </c>
      <c r="J279" t="str">
        <f>IF($I279="","",IF(AND($I279&gt;=$H$3,$I279&lt;=$H$4,INDEX(ChqStatus,263)="پاس نشده"),1,0))</f>
        <v/>
      </c>
      <c r="K279" t="str">
        <f>IF($J279=0,"",INDEX(ChqKey,263))</f>
        <v/>
      </c>
      <c r="L279" t="str">
        <f t="shared" si="4"/>
        <v/>
      </c>
    </row>
    <row r="280" spans="1:12" x14ac:dyDescent="0.2">
      <c r="A280" s="9" t="str">
        <f>IF(IFERROR(MATCH(264,ChqRankU,0),0)=0,"",264)</f>
        <v/>
      </c>
      <c r="B280" s="15" t="str">
        <f>IF(IFERROR(MATCH(264,ChqRankU,0),0)=0,"",INDEX(ChqNorm,IFERROR(MATCH(264,ChqRankU,0),0)))</f>
        <v/>
      </c>
      <c r="C280" s="15" t="str">
        <f>IF(IFERROR(MATCH(264,ChqRankU,0),0)=0,"",INDEX(ChqNo,IFERROR(MATCH(264,ChqRankU,0),0)))</f>
        <v/>
      </c>
      <c r="D280" s="16" t="str">
        <f>IF(IFERROR(MATCH(264,ChqRankU,0),0)=0,"",IF(INDEX(ChqAmt,IFERROR(MATCH(264,ChqRankU,0),0))=0,"",INDEX(ChqAmt,IFERROR(MATCH(264,ChqRankU,0),0))))</f>
        <v/>
      </c>
      <c r="E280" s="10" t="str">
        <f>IF(IFERROR(MATCH(264,ChqRankU,0),0)=0,"",INDEX(ChqStatus,IFERROR(MATCH(264,ChqRankU,0),0)))</f>
        <v/>
      </c>
      <c r="F280" s="15" t="str">
        <f>IF(IFERROR(MATCH(264,ChqRankU,0),0)=0,"",IF(INDEX(ChqStatus,IFERROR(MATCH(264,ChqRankU,0),0))="پاس نشده","—",IF(INDEX(ChqClr,IFERROR(MATCH(264,ChqRankU,0),0))="","—",INDEX(ChqClr,IFERROR(MATCH(264,ChqRankU,0),0)))))</f>
        <v/>
      </c>
      <c r="I280" t="str">
        <f>IF(264&gt;NChq,"",INDEX(ChqNorm,264))</f>
        <v/>
      </c>
      <c r="J280" t="str">
        <f>IF($I280="","",IF(AND($I280&gt;=$H$3,$I280&lt;=$H$4,INDEX(ChqStatus,264)="پاس نشده"),1,0))</f>
        <v/>
      </c>
      <c r="K280" t="str">
        <f>IF($J280=0,"",INDEX(ChqKey,264))</f>
        <v/>
      </c>
      <c r="L280" t="str">
        <f t="shared" si="4"/>
        <v/>
      </c>
    </row>
    <row r="281" spans="1:12" x14ac:dyDescent="0.2">
      <c r="A281" s="3" t="str">
        <f>IF(IFERROR(MATCH(265,ChqRankU,0),0)=0,"",265)</f>
        <v/>
      </c>
      <c r="B281" s="13" t="str">
        <f>IF(IFERROR(MATCH(265,ChqRankU,0),0)=0,"",INDEX(ChqNorm,IFERROR(MATCH(265,ChqRankU,0),0)))</f>
        <v/>
      </c>
      <c r="C281" s="13" t="str">
        <f>IF(IFERROR(MATCH(265,ChqRankU,0),0)=0,"",INDEX(ChqNo,IFERROR(MATCH(265,ChqRankU,0),0)))</f>
        <v/>
      </c>
      <c r="D281" s="14" t="str">
        <f>IF(IFERROR(MATCH(265,ChqRankU,0),0)=0,"",IF(INDEX(ChqAmt,IFERROR(MATCH(265,ChqRankU,0),0))=0,"",INDEX(ChqAmt,IFERROR(MATCH(265,ChqRankU,0),0))))</f>
        <v/>
      </c>
      <c r="E281" s="7" t="str">
        <f>IF(IFERROR(MATCH(265,ChqRankU,0),0)=0,"",INDEX(ChqStatus,IFERROR(MATCH(265,ChqRankU,0),0)))</f>
        <v/>
      </c>
      <c r="F281" s="13" t="str">
        <f>IF(IFERROR(MATCH(265,ChqRankU,0),0)=0,"",IF(INDEX(ChqStatus,IFERROR(MATCH(265,ChqRankU,0),0))="پاس نشده","—",IF(INDEX(ChqClr,IFERROR(MATCH(265,ChqRankU,0),0))="","—",INDEX(ChqClr,IFERROR(MATCH(265,ChqRankU,0),0)))))</f>
        <v/>
      </c>
      <c r="I281" t="str">
        <f>IF(265&gt;NChq,"",INDEX(ChqNorm,265))</f>
        <v/>
      </c>
      <c r="J281" t="str">
        <f>IF($I281="","",IF(AND($I281&gt;=$H$3,$I281&lt;=$H$4,INDEX(ChqStatus,265)="پاس نشده"),1,0))</f>
        <v/>
      </c>
      <c r="K281" t="str">
        <f>IF($J281=0,"",INDEX(ChqKey,265))</f>
        <v/>
      </c>
      <c r="L281" t="str">
        <f t="shared" si="4"/>
        <v/>
      </c>
    </row>
    <row r="282" spans="1:12" x14ac:dyDescent="0.2">
      <c r="A282" s="9" t="str">
        <f>IF(IFERROR(MATCH(266,ChqRankU,0),0)=0,"",266)</f>
        <v/>
      </c>
      <c r="B282" s="15" t="str">
        <f>IF(IFERROR(MATCH(266,ChqRankU,0),0)=0,"",INDEX(ChqNorm,IFERROR(MATCH(266,ChqRankU,0),0)))</f>
        <v/>
      </c>
      <c r="C282" s="15" t="str">
        <f>IF(IFERROR(MATCH(266,ChqRankU,0),0)=0,"",INDEX(ChqNo,IFERROR(MATCH(266,ChqRankU,0),0)))</f>
        <v/>
      </c>
      <c r="D282" s="16" t="str">
        <f>IF(IFERROR(MATCH(266,ChqRankU,0),0)=0,"",IF(INDEX(ChqAmt,IFERROR(MATCH(266,ChqRankU,0),0))=0,"",INDEX(ChqAmt,IFERROR(MATCH(266,ChqRankU,0),0))))</f>
        <v/>
      </c>
      <c r="E282" s="10" t="str">
        <f>IF(IFERROR(MATCH(266,ChqRankU,0),0)=0,"",INDEX(ChqStatus,IFERROR(MATCH(266,ChqRankU,0),0)))</f>
        <v/>
      </c>
      <c r="F282" s="15" t="str">
        <f>IF(IFERROR(MATCH(266,ChqRankU,0),0)=0,"",IF(INDEX(ChqStatus,IFERROR(MATCH(266,ChqRankU,0),0))="پاس نشده","—",IF(INDEX(ChqClr,IFERROR(MATCH(266,ChqRankU,0),0))="","—",INDEX(ChqClr,IFERROR(MATCH(266,ChqRankU,0),0)))))</f>
        <v/>
      </c>
      <c r="I282" t="str">
        <f>IF(266&gt;NChq,"",INDEX(ChqNorm,266))</f>
        <v/>
      </c>
      <c r="J282" t="str">
        <f>IF($I282="","",IF(AND($I282&gt;=$H$3,$I282&lt;=$H$4,INDEX(ChqStatus,266)="پاس نشده"),1,0))</f>
        <v/>
      </c>
      <c r="K282" t="str">
        <f>IF($J282=0,"",INDEX(ChqKey,266))</f>
        <v/>
      </c>
      <c r="L282" t="str">
        <f t="shared" si="4"/>
        <v/>
      </c>
    </row>
    <row r="283" spans="1:12" x14ac:dyDescent="0.2">
      <c r="A283" s="3" t="str">
        <f>IF(IFERROR(MATCH(267,ChqRankU,0),0)=0,"",267)</f>
        <v/>
      </c>
      <c r="B283" s="13" t="str">
        <f>IF(IFERROR(MATCH(267,ChqRankU,0),0)=0,"",INDEX(ChqNorm,IFERROR(MATCH(267,ChqRankU,0),0)))</f>
        <v/>
      </c>
      <c r="C283" s="13" t="str">
        <f>IF(IFERROR(MATCH(267,ChqRankU,0),0)=0,"",INDEX(ChqNo,IFERROR(MATCH(267,ChqRankU,0),0)))</f>
        <v/>
      </c>
      <c r="D283" s="14" t="str">
        <f>IF(IFERROR(MATCH(267,ChqRankU,0),0)=0,"",IF(INDEX(ChqAmt,IFERROR(MATCH(267,ChqRankU,0),0))=0,"",INDEX(ChqAmt,IFERROR(MATCH(267,ChqRankU,0),0))))</f>
        <v/>
      </c>
      <c r="E283" s="7" t="str">
        <f>IF(IFERROR(MATCH(267,ChqRankU,0),0)=0,"",INDEX(ChqStatus,IFERROR(MATCH(267,ChqRankU,0),0)))</f>
        <v/>
      </c>
      <c r="F283" s="13" t="str">
        <f>IF(IFERROR(MATCH(267,ChqRankU,0),0)=0,"",IF(INDEX(ChqStatus,IFERROR(MATCH(267,ChqRankU,0),0))="پاس نشده","—",IF(INDEX(ChqClr,IFERROR(MATCH(267,ChqRankU,0),0))="","—",INDEX(ChqClr,IFERROR(MATCH(267,ChqRankU,0),0)))))</f>
        <v/>
      </c>
      <c r="I283" t="str">
        <f>IF(267&gt;NChq,"",INDEX(ChqNorm,267))</f>
        <v/>
      </c>
      <c r="J283" t="str">
        <f>IF($I283="","",IF(AND($I283&gt;=$H$3,$I283&lt;=$H$4,INDEX(ChqStatus,267)="پاس نشده"),1,0))</f>
        <v/>
      </c>
      <c r="K283" t="str">
        <f>IF($J283=0,"",INDEX(ChqKey,267))</f>
        <v/>
      </c>
      <c r="L283" t="str">
        <f t="shared" si="4"/>
        <v/>
      </c>
    </row>
    <row r="284" spans="1:12" x14ac:dyDescent="0.2">
      <c r="A284" s="9" t="str">
        <f>IF(IFERROR(MATCH(268,ChqRankU,0),0)=0,"",268)</f>
        <v/>
      </c>
      <c r="B284" s="15" t="str">
        <f>IF(IFERROR(MATCH(268,ChqRankU,0),0)=0,"",INDEX(ChqNorm,IFERROR(MATCH(268,ChqRankU,0),0)))</f>
        <v/>
      </c>
      <c r="C284" s="15" t="str">
        <f>IF(IFERROR(MATCH(268,ChqRankU,0),0)=0,"",INDEX(ChqNo,IFERROR(MATCH(268,ChqRankU,0),0)))</f>
        <v/>
      </c>
      <c r="D284" s="16" t="str">
        <f>IF(IFERROR(MATCH(268,ChqRankU,0),0)=0,"",IF(INDEX(ChqAmt,IFERROR(MATCH(268,ChqRankU,0),0))=0,"",INDEX(ChqAmt,IFERROR(MATCH(268,ChqRankU,0),0))))</f>
        <v/>
      </c>
      <c r="E284" s="10" t="str">
        <f>IF(IFERROR(MATCH(268,ChqRankU,0),0)=0,"",INDEX(ChqStatus,IFERROR(MATCH(268,ChqRankU,0),0)))</f>
        <v/>
      </c>
      <c r="F284" s="15" t="str">
        <f>IF(IFERROR(MATCH(268,ChqRankU,0),0)=0,"",IF(INDEX(ChqStatus,IFERROR(MATCH(268,ChqRankU,0),0))="پاس نشده","—",IF(INDEX(ChqClr,IFERROR(MATCH(268,ChqRankU,0),0))="","—",INDEX(ChqClr,IFERROR(MATCH(268,ChqRankU,0),0)))))</f>
        <v/>
      </c>
      <c r="I284" t="str">
        <f>IF(268&gt;NChq,"",INDEX(ChqNorm,268))</f>
        <v/>
      </c>
      <c r="J284" t="str">
        <f>IF($I284="","",IF(AND($I284&gt;=$H$3,$I284&lt;=$H$4,INDEX(ChqStatus,268)="پاس نشده"),1,0))</f>
        <v/>
      </c>
      <c r="K284" t="str">
        <f>IF($J284=0,"",INDEX(ChqKey,268))</f>
        <v/>
      </c>
      <c r="L284" t="str">
        <f t="shared" si="4"/>
        <v/>
      </c>
    </row>
    <row r="285" spans="1:12" x14ac:dyDescent="0.2">
      <c r="A285" s="3" t="str">
        <f>IF(IFERROR(MATCH(269,ChqRankU,0),0)=0,"",269)</f>
        <v/>
      </c>
      <c r="B285" s="13" t="str">
        <f>IF(IFERROR(MATCH(269,ChqRankU,0),0)=0,"",INDEX(ChqNorm,IFERROR(MATCH(269,ChqRankU,0),0)))</f>
        <v/>
      </c>
      <c r="C285" s="13" t="str">
        <f>IF(IFERROR(MATCH(269,ChqRankU,0),0)=0,"",INDEX(ChqNo,IFERROR(MATCH(269,ChqRankU,0),0)))</f>
        <v/>
      </c>
      <c r="D285" s="14" t="str">
        <f>IF(IFERROR(MATCH(269,ChqRankU,0),0)=0,"",IF(INDEX(ChqAmt,IFERROR(MATCH(269,ChqRankU,0),0))=0,"",INDEX(ChqAmt,IFERROR(MATCH(269,ChqRankU,0),0))))</f>
        <v/>
      </c>
      <c r="E285" s="7" t="str">
        <f>IF(IFERROR(MATCH(269,ChqRankU,0),0)=0,"",INDEX(ChqStatus,IFERROR(MATCH(269,ChqRankU,0),0)))</f>
        <v/>
      </c>
      <c r="F285" s="13" t="str">
        <f>IF(IFERROR(MATCH(269,ChqRankU,0),0)=0,"",IF(INDEX(ChqStatus,IFERROR(MATCH(269,ChqRankU,0),0))="پاس نشده","—",IF(INDEX(ChqClr,IFERROR(MATCH(269,ChqRankU,0),0))="","—",INDEX(ChqClr,IFERROR(MATCH(269,ChqRankU,0),0)))))</f>
        <v/>
      </c>
      <c r="I285" t="str">
        <f>IF(269&gt;NChq,"",INDEX(ChqNorm,269))</f>
        <v/>
      </c>
      <c r="J285" t="str">
        <f>IF($I285="","",IF(AND($I285&gt;=$H$3,$I285&lt;=$H$4,INDEX(ChqStatus,269)="پاس نشده"),1,0))</f>
        <v/>
      </c>
      <c r="K285" t="str">
        <f>IF($J285=0,"",INDEX(ChqKey,269))</f>
        <v/>
      </c>
      <c r="L285" t="str">
        <f t="shared" si="4"/>
        <v/>
      </c>
    </row>
    <row r="286" spans="1:12" x14ac:dyDescent="0.2">
      <c r="A286" s="9" t="str">
        <f>IF(IFERROR(MATCH(270,ChqRankU,0),0)=0,"",270)</f>
        <v/>
      </c>
      <c r="B286" s="15" t="str">
        <f>IF(IFERROR(MATCH(270,ChqRankU,0),0)=0,"",INDEX(ChqNorm,IFERROR(MATCH(270,ChqRankU,0),0)))</f>
        <v/>
      </c>
      <c r="C286" s="15" t="str">
        <f>IF(IFERROR(MATCH(270,ChqRankU,0),0)=0,"",INDEX(ChqNo,IFERROR(MATCH(270,ChqRankU,0),0)))</f>
        <v/>
      </c>
      <c r="D286" s="16" t="str">
        <f>IF(IFERROR(MATCH(270,ChqRankU,0),0)=0,"",IF(INDEX(ChqAmt,IFERROR(MATCH(270,ChqRankU,0),0))=0,"",INDEX(ChqAmt,IFERROR(MATCH(270,ChqRankU,0),0))))</f>
        <v/>
      </c>
      <c r="E286" s="10" t="str">
        <f>IF(IFERROR(MATCH(270,ChqRankU,0),0)=0,"",INDEX(ChqStatus,IFERROR(MATCH(270,ChqRankU,0),0)))</f>
        <v/>
      </c>
      <c r="F286" s="15" t="str">
        <f>IF(IFERROR(MATCH(270,ChqRankU,0),0)=0,"",IF(INDEX(ChqStatus,IFERROR(MATCH(270,ChqRankU,0),0))="پاس نشده","—",IF(INDEX(ChqClr,IFERROR(MATCH(270,ChqRankU,0),0))="","—",INDEX(ChqClr,IFERROR(MATCH(270,ChqRankU,0),0)))))</f>
        <v/>
      </c>
      <c r="I286" t="str">
        <f>IF(270&gt;NChq,"",INDEX(ChqNorm,270))</f>
        <v/>
      </c>
      <c r="J286" t="str">
        <f>IF($I286="","",IF(AND($I286&gt;=$H$3,$I286&lt;=$H$4,INDEX(ChqStatus,270)="پاس نشده"),1,0))</f>
        <v/>
      </c>
      <c r="K286" t="str">
        <f>IF($J286=0,"",INDEX(ChqKey,270))</f>
        <v/>
      </c>
      <c r="L286" t="str">
        <f t="shared" si="4"/>
        <v/>
      </c>
    </row>
    <row r="287" spans="1:12" x14ac:dyDescent="0.2">
      <c r="A287" s="3" t="str">
        <f>IF(IFERROR(MATCH(271,ChqRankU,0),0)=0,"",271)</f>
        <v/>
      </c>
      <c r="B287" s="13" t="str">
        <f>IF(IFERROR(MATCH(271,ChqRankU,0),0)=0,"",INDEX(ChqNorm,IFERROR(MATCH(271,ChqRankU,0),0)))</f>
        <v/>
      </c>
      <c r="C287" s="13" t="str">
        <f>IF(IFERROR(MATCH(271,ChqRankU,0),0)=0,"",INDEX(ChqNo,IFERROR(MATCH(271,ChqRankU,0),0)))</f>
        <v/>
      </c>
      <c r="D287" s="14" t="str">
        <f>IF(IFERROR(MATCH(271,ChqRankU,0),0)=0,"",IF(INDEX(ChqAmt,IFERROR(MATCH(271,ChqRankU,0),0))=0,"",INDEX(ChqAmt,IFERROR(MATCH(271,ChqRankU,0),0))))</f>
        <v/>
      </c>
      <c r="E287" s="7" t="str">
        <f>IF(IFERROR(MATCH(271,ChqRankU,0),0)=0,"",INDEX(ChqStatus,IFERROR(MATCH(271,ChqRankU,0),0)))</f>
        <v/>
      </c>
      <c r="F287" s="13" t="str">
        <f>IF(IFERROR(MATCH(271,ChqRankU,0),0)=0,"",IF(INDEX(ChqStatus,IFERROR(MATCH(271,ChqRankU,0),0))="پاس نشده","—",IF(INDEX(ChqClr,IFERROR(MATCH(271,ChqRankU,0),0))="","—",INDEX(ChqClr,IFERROR(MATCH(271,ChqRankU,0),0)))))</f>
        <v/>
      </c>
      <c r="I287" t="str">
        <f>IF(271&gt;NChq,"",INDEX(ChqNorm,271))</f>
        <v/>
      </c>
      <c r="J287" t="str">
        <f>IF($I287="","",IF(AND($I287&gt;=$H$3,$I287&lt;=$H$4,INDEX(ChqStatus,271)="پاس نشده"),1,0))</f>
        <v/>
      </c>
      <c r="K287" t="str">
        <f>IF($J287=0,"",INDEX(ChqKey,271))</f>
        <v/>
      </c>
      <c r="L287" t="str">
        <f t="shared" si="4"/>
        <v/>
      </c>
    </row>
    <row r="288" spans="1:12" x14ac:dyDescent="0.2">
      <c r="A288" s="9" t="str">
        <f>IF(IFERROR(MATCH(272,ChqRankU,0),0)=0,"",272)</f>
        <v/>
      </c>
      <c r="B288" s="15" t="str">
        <f>IF(IFERROR(MATCH(272,ChqRankU,0),0)=0,"",INDEX(ChqNorm,IFERROR(MATCH(272,ChqRankU,0),0)))</f>
        <v/>
      </c>
      <c r="C288" s="15" t="str">
        <f>IF(IFERROR(MATCH(272,ChqRankU,0),0)=0,"",INDEX(ChqNo,IFERROR(MATCH(272,ChqRankU,0),0)))</f>
        <v/>
      </c>
      <c r="D288" s="16" t="str">
        <f>IF(IFERROR(MATCH(272,ChqRankU,0),0)=0,"",IF(INDEX(ChqAmt,IFERROR(MATCH(272,ChqRankU,0),0))=0,"",INDEX(ChqAmt,IFERROR(MATCH(272,ChqRankU,0),0))))</f>
        <v/>
      </c>
      <c r="E288" s="10" t="str">
        <f>IF(IFERROR(MATCH(272,ChqRankU,0),0)=0,"",INDEX(ChqStatus,IFERROR(MATCH(272,ChqRankU,0),0)))</f>
        <v/>
      </c>
      <c r="F288" s="15" t="str">
        <f>IF(IFERROR(MATCH(272,ChqRankU,0),0)=0,"",IF(INDEX(ChqStatus,IFERROR(MATCH(272,ChqRankU,0),0))="پاس نشده","—",IF(INDEX(ChqClr,IFERROR(MATCH(272,ChqRankU,0),0))="","—",INDEX(ChqClr,IFERROR(MATCH(272,ChqRankU,0),0)))))</f>
        <v/>
      </c>
      <c r="I288" t="str">
        <f>IF(272&gt;NChq,"",INDEX(ChqNorm,272))</f>
        <v/>
      </c>
      <c r="J288" t="str">
        <f>IF($I288="","",IF(AND($I288&gt;=$H$3,$I288&lt;=$H$4,INDEX(ChqStatus,272)="پاس نشده"),1,0))</f>
        <v/>
      </c>
      <c r="K288" t="str">
        <f>IF($J288=0,"",INDEX(ChqKey,272))</f>
        <v/>
      </c>
      <c r="L288" t="str">
        <f t="shared" si="4"/>
        <v/>
      </c>
    </row>
    <row r="289" spans="1:12" x14ac:dyDescent="0.2">
      <c r="A289" s="3" t="str">
        <f>IF(IFERROR(MATCH(273,ChqRankU,0),0)=0,"",273)</f>
        <v/>
      </c>
      <c r="B289" s="13" t="str">
        <f>IF(IFERROR(MATCH(273,ChqRankU,0),0)=0,"",INDEX(ChqNorm,IFERROR(MATCH(273,ChqRankU,0),0)))</f>
        <v/>
      </c>
      <c r="C289" s="13" t="str">
        <f>IF(IFERROR(MATCH(273,ChqRankU,0),0)=0,"",INDEX(ChqNo,IFERROR(MATCH(273,ChqRankU,0),0)))</f>
        <v/>
      </c>
      <c r="D289" s="14" t="str">
        <f>IF(IFERROR(MATCH(273,ChqRankU,0),0)=0,"",IF(INDEX(ChqAmt,IFERROR(MATCH(273,ChqRankU,0),0))=0,"",INDEX(ChqAmt,IFERROR(MATCH(273,ChqRankU,0),0))))</f>
        <v/>
      </c>
      <c r="E289" s="7" t="str">
        <f>IF(IFERROR(MATCH(273,ChqRankU,0),0)=0,"",INDEX(ChqStatus,IFERROR(MATCH(273,ChqRankU,0),0)))</f>
        <v/>
      </c>
      <c r="F289" s="13" t="str">
        <f>IF(IFERROR(MATCH(273,ChqRankU,0),0)=0,"",IF(INDEX(ChqStatus,IFERROR(MATCH(273,ChqRankU,0),0))="پاس نشده","—",IF(INDEX(ChqClr,IFERROR(MATCH(273,ChqRankU,0),0))="","—",INDEX(ChqClr,IFERROR(MATCH(273,ChqRankU,0),0)))))</f>
        <v/>
      </c>
      <c r="I289" t="str">
        <f>IF(273&gt;NChq,"",INDEX(ChqNorm,273))</f>
        <v/>
      </c>
      <c r="J289" t="str">
        <f>IF($I289="","",IF(AND($I289&gt;=$H$3,$I289&lt;=$H$4,INDEX(ChqStatus,273)="پاس نشده"),1,0))</f>
        <v/>
      </c>
      <c r="K289" t="str">
        <f>IF($J289=0,"",INDEX(ChqKey,273))</f>
        <v/>
      </c>
      <c r="L289" t="str">
        <f t="shared" si="4"/>
        <v/>
      </c>
    </row>
    <row r="290" spans="1:12" x14ac:dyDescent="0.2">
      <c r="A290" s="9" t="str">
        <f>IF(IFERROR(MATCH(274,ChqRankU,0),0)=0,"",274)</f>
        <v/>
      </c>
      <c r="B290" s="15" t="str">
        <f>IF(IFERROR(MATCH(274,ChqRankU,0),0)=0,"",INDEX(ChqNorm,IFERROR(MATCH(274,ChqRankU,0),0)))</f>
        <v/>
      </c>
      <c r="C290" s="15" t="str">
        <f>IF(IFERROR(MATCH(274,ChqRankU,0),0)=0,"",INDEX(ChqNo,IFERROR(MATCH(274,ChqRankU,0),0)))</f>
        <v/>
      </c>
      <c r="D290" s="16" t="str">
        <f>IF(IFERROR(MATCH(274,ChqRankU,0),0)=0,"",IF(INDEX(ChqAmt,IFERROR(MATCH(274,ChqRankU,0),0))=0,"",INDEX(ChqAmt,IFERROR(MATCH(274,ChqRankU,0),0))))</f>
        <v/>
      </c>
      <c r="E290" s="10" t="str">
        <f>IF(IFERROR(MATCH(274,ChqRankU,0),0)=0,"",INDEX(ChqStatus,IFERROR(MATCH(274,ChqRankU,0),0)))</f>
        <v/>
      </c>
      <c r="F290" s="15" t="str">
        <f>IF(IFERROR(MATCH(274,ChqRankU,0),0)=0,"",IF(INDEX(ChqStatus,IFERROR(MATCH(274,ChqRankU,0),0))="پاس نشده","—",IF(INDEX(ChqClr,IFERROR(MATCH(274,ChqRankU,0),0))="","—",INDEX(ChqClr,IFERROR(MATCH(274,ChqRankU,0),0)))))</f>
        <v/>
      </c>
      <c r="I290" t="str">
        <f>IF(274&gt;NChq,"",INDEX(ChqNorm,274))</f>
        <v/>
      </c>
      <c r="J290" t="str">
        <f>IF($I290="","",IF(AND($I290&gt;=$H$3,$I290&lt;=$H$4,INDEX(ChqStatus,274)="پاس نشده"),1,0))</f>
        <v/>
      </c>
      <c r="K290" t="str">
        <f>IF($J290=0,"",INDEX(ChqKey,274))</f>
        <v/>
      </c>
      <c r="L290" t="str">
        <f t="shared" si="4"/>
        <v/>
      </c>
    </row>
    <row r="291" spans="1:12" x14ac:dyDescent="0.2">
      <c r="A291" s="3" t="str">
        <f>IF(IFERROR(MATCH(275,ChqRankU,0),0)=0,"",275)</f>
        <v/>
      </c>
      <c r="B291" s="13" t="str">
        <f>IF(IFERROR(MATCH(275,ChqRankU,0),0)=0,"",INDEX(ChqNorm,IFERROR(MATCH(275,ChqRankU,0),0)))</f>
        <v/>
      </c>
      <c r="C291" s="13" t="str">
        <f>IF(IFERROR(MATCH(275,ChqRankU,0),0)=0,"",INDEX(ChqNo,IFERROR(MATCH(275,ChqRankU,0),0)))</f>
        <v/>
      </c>
      <c r="D291" s="14" t="str">
        <f>IF(IFERROR(MATCH(275,ChqRankU,0),0)=0,"",IF(INDEX(ChqAmt,IFERROR(MATCH(275,ChqRankU,0),0))=0,"",INDEX(ChqAmt,IFERROR(MATCH(275,ChqRankU,0),0))))</f>
        <v/>
      </c>
      <c r="E291" s="7" t="str">
        <f>IF(IFERROR(MATCH(275,ChqRankU,0),0)=0,"",INDEX(ChqStatus,IFERROR(MATCH(275,ChqRankU,0),0)))</f>
        <v/>
      </c>
      <c r="F291" s="13" t="str">
        <f>IF(IFERROR(MATCH(275,ChqRankU,0),0)=0,"",IF(INDEX(ChqStatus,IFERROR(MATCH(275,ChqRankU,0),0))="پاس نشده","—",IF(INDEX(ChqClr,IFERROR(MATCH(275,ChqRankU,0),0))="","—",INDEX(ChqClr,IFERROR(MATCH(275,ChqRankU,0),0)))))</f>
        <v/>
      </c>
      <c r="I291" t="str">
        <f>IF(275&gt;NChq,"",INDEX(ChqNorm,275))</f>
        <v/>
      </c>
      <c r="J291" t="str">
        <f>IF($I291="","",IF(AND($I291&gt;=$H$3,$I291&lt;=$H$4,INDEX(ChqStatus,275)="پاس نشده"),1,0))</f>
        <v/>
      </c>
      <c r="K291" t="str">
        <f>IF($J291=0,"",INDEX(ChqKey,275))</f>
        <v/>
      </c>
      <c r="L291" t="str">
        <f t="shared" si="4"/>
        <v/>
      </c>
    </row>
    <row r="292" spans="1:12" x14ac:dyDescent="0.2">
      <c r="A292" s="9" t="str">
        <f>IF(IFERROR(MATCH(276,ChqRankU,0),0)=0,"",276)</f>
        <v/>
      </c>
      <c r="B292" s="15" t="str">
        <f>IF(IFERROR(MATCH(276,ChqRankU,0),0)=0,"",INDEX(ChqNorm,IFERROR(MATCH(276,ChqRankU,0),0)))</f>
        <v/>
      </c>
      <c r="C292" s="15" t="str">
        <f>IF(IFERROR(MATCH(276,ChqRankU,0),0)=0,"",INDEX(ChqNo,IFERROR(MATCH(276,ChqRankU,0),0)))</f>
        <v/>
      </c>
      <c r="D292" s="16" t="str">
        <f>IF(IFERROR(MATCH(276,ChqRankU,0),0)=0,"",IF(INDEX(ChqAmt,IFERROR(MATCH(276,ChqRankU,0),0))=0,"",INDEX(ChqAmt,IFERROR(MATCH(276,ChqRankU,0),0))))</f>
        <v/>
      </c>
      <c r="E292" s="10" t="str">
        <f>IF(IFERROR(MATCH(276,ChqRankU,0),0)=0,"",INDEX(ChqStatus,IFERROR(MATCH(276,ChqRankU,0),0)))</f>
        <v/>
      </c>
      <c r="F292" s="15" t="str">
        <f>IF(IFERROR(MATCH(276,ChqRankU,0),0)=0,"",IF(INDEX(ChqStatus,IFERROR(MATCH(276,ChqRankU,0),0))="پاس نشده","—",IF(INDEX(ChqClr,IFERROR(MATCH(276,ChqRankU,0),0))="","—",INDEX(ChqClr,IFERROR(MATCH(276,ChqRankU,0),0)))))</f>
        <v/>
      </c>
      <c r="I292" t="str">
        <f>IF(276&gt;NChq,"",INDEX(ChqNorm,276))</f>
        <v/>
      </c>
      <c r="J292" t="str">
        <f>IF($I292="","",IF(AND($I292&gt;=$H$3,$I292&lt;=$H$4,INDEX(ChqStatus,276)="پاس نشده"),1,0))</f>
        <v/>
      </c>
      <c r="K292" t="str">
        <f>IF($J292=0,"",INDEX(ChqKey,276))</f>
        <v/>
      </c>
      <c r="L292" t="str">
        <f t="shared" si="4"/>
        <v/>
      </c>
    </row>
    <row r="293" spans="1:12" x14ac:dyDescent="0.2">
      <c r="A293" s="3" t="str">
        <f>IF(IFERROR(MATCH(277,ChqRankU,0),0)=0,"",277)</f>
        <v/>
      </c>
      <c r="B293" s="13" t="str">
        <f>IF(IFERROR(MATCH(277,ChqRankU,0),0)=0,"",INDEX(ChqNorm,IFERROR(MATCH(277,ChqRankU,0),0)))</f>
        <v/>
      </c>
      <c r="C293" s="13" t="str">
        <f>IF(IFERROR(MATCH(277,ChqRankU,0),0)=0,"",INDEX(ChqNo,IFERROR(MATCH(277,ChqRankU,0),0)))</f>
        <v/>
      </c>
      <c r="D293" s="14" t="str">
        <f>IF(IFERROR(MATCH(277,ChqRankU,0),0)=0,"",IF(INDEX(ChqAmt,IFERROR(MATCH(277,ChqRankU,0),0))=0,"",INDEX(ChqAmt,IFERROR(MATCH(277,ChqRankU,0),0))))</f>
        <v/>
      </c>
      <c r="E293" s="7" t="str">
        <f>IF(IFERROR(MATCH(277,ChqRankU,0),0)=0,"",INDEX(ChqStatus,IFERROR(MATCH(277,ChqRankU,0),0)))</f>
        <v/>
      </c>
      <c r="F293" s="13" t="str">
        <f>IF(IFERROR(MATCH(277,ChqRankU,0),0)=0,"",IF(INDEX(ChqStatus,IFERROR(MATCH(277,ChqRankU,0),0))="پاس نشده","—",IF(INDEX(ChqClr,IFERROR(MATCH(277,ChqRankU,0),0))="","—",INDEX(ChqClr,IFERROR(MATCH(277,ChqRankU,0),0)))))</f>
        <v/>
      </c>
      <c r="I293" t="str">
        <f>IF(277&gt;NChq,"",INDEX(ChqNorm,277))</f>
        <v/>
      </c>
      <c r="J293" t="str">
        <f>IF($I293="","",IF(AND($I293&gt;=$H$3,$I293&lt;=$H$4,INDEX(ChqStatus,277)="پاس نشده"),1,0))</f>
        <v/>
      </c>
      <c r="K293" t="str">
        <f>IF($J293=0,"",INDEX(ChqKey,277))</f>
        <v/>
      </c>
      <c r="L293" t="str">
        <f t="shared" si="4"/>
        <v/>
      </c>
    </row>
    <row r="294" spans="1:12" x14ac:dyDescent="0.2">
      <c r="A294" s="9" t="str">
        <f>IF(IFERROR(MATCH(278,ChqRankU,0),0)=0,"",278)</f>
        <v/>
      </c>
      <c r="B294" s="15" t="str">
        <f>IF(IFERROR(MATCH(278,ChqRankU,0),0)=0,"",INDEX(ChqNorm,IFERROR(MATCH(278,ChqRankU,0),0)))</f>
        <v/>
      </c>
      <c r="C294" s="15" t="str">
        <f>IF(IFERROR(MATCH(278,ChqRankU,0),0)=0,"",INDEX(ChqNo,IFERROR(MATCH(278,ChqRankU,0),0)))</f>
        <v/>
      </c>
      <c r="D294" s="16" t="str">
        <f>IF(IFERROR(MATCH(278,ChqRankU,0),0)=0,"",IF(INDEX(ChqAmt,IFERROR(MATCH(278,ChqRankU,0),0))=0,"",INDEX(ChqAmt,IFERROR(MATCH(278,ChqRankU,0),0))))</f>
        <v/>
      </c>
      <c r="E294" s="10" t="str">
        <f>IF(IFERROR(MATCH(278,ChqRankU,0),0)=0,"",INDEX(ChqStatus,IFERROR(MATCH(278,ChqRankU,0),0)))</f>
        <v/>
      </c>
      <c r="F294" s="15" t="str">
        <f>IF(IFERROR(MATCH(278,ChqRankU,0),0)=0,"",IF(INDEX(ChqStatus,IFERROR(MATCH(278,ChqRankU,0),0))="پاس نشده","—",IF(INDEX(ChqClr,IFERROR(MATCH(278,ChqRankU,0),0))="","—",INDEX(ChqClr,IFERROR(MATCH(278,ChqRankU,0),0)))))</f>
        <v/>
      </c>
      <c r="I294" t="str">
        <f>IF(278&gt;NChq,"",INDEX(ChqNorm,278))</f>
        <v/>
      </c>
      <c r="J294" t="str">
        <f>IF($I294="","",IF(AND($I294&gt;=$H$3,$I294&lt;=$H$4,INDEX(ChqStatus,278)="پاس نشده"),1,0))</f>
        <v/>
      </c>
      <c r="K294" t="str">
        <f>IF($J294=0,"",INDEX(ChqKey,278))</f>
        <v/>
      </c>
      <c r="L294" t="str">
        <f t="shared" si="4"/>
        <v/>
      </c>
    </row>
    <row r="295" spans="1:12" x14ac:dyDescent="0.2">
      <c r="A295" s="3" t="str">
        <f>IF(IFERROR(MATCH(279,ChqRankU,0),0)=0,"",279)</f>
        <v/>
      </c>
      <c r="B295" s="13" t="str">
        <f>IF(IFERROR(MATCH(279,ChqRankU,0),0)=0,"",INDEX(ChqNorm,IFERROR(MATCH(279,ChqRankU,0),0)))</f>
        <v/>
      </c>
      <c r="C295" s="13" t="str">
        <f>IF(IFERROR(MATCH(279,ChqRankU,0),0)=0,"",INDEX(ChqNo,IFERROR(MATCH(279,ChqRankU,0),0)))</f>
        <v/>
      </c>
      <c r="D295" s="14" t="str">
        <f>IF(IFERROR(MATCH(279,ChqRankU,0),0)=0,"",IF(INDEX(ChqAmt,IFERROR(MATCH(279,ChqRankU,0),0))=0,"",INDEX(ChqAmt,IFERROR(MATCH(279,ChqRankU,0),0))))</f>
        <v/>
      </c>
      <c r="E295" s="7" t="str">
        <f>IF(IFERROR(MATCH(279,ChqRankU,0),0)=0,"",INDEX(ChqStatus,IFERROR(MATCH(279,ChqRankU,0),0)))</f>
        <v/>
      </c>
      <c r="F295" s="13" t="str">
        <f>IF(IFERROR(MATCH(279,ChqRankU,0),0)=0,"",IF(INDEX(ChqStatus,IFERROR(MATCH(279,ChqRankU,0),0))="پاس نشده","—",IF(INDEX(ChqClr,IFERROR(MATCH(279,ChqRankU,0),0))="","—",INDEX(ChqClr,IFERROR(MATCH(279,ChqRankU,0),0)))))</f>
        <v/>
      </c>
      <c r="I295" t="str">
        <f>IF(279&gt;NChq,"",INDEX(ChqNorm,279))</f>
        <v/>
      </c>
      <c r="J295" t="str">
        <f>IF($I295="","",IF(AND($I295&gt;=$H$3,$I295&lt;=$H$4,INDEX(ChqStatus,279)="پاس نشده"),1,0))</f>
        <v/>
      </c>
      <c r="K295" t="str">
        <f>IF($J295=0,"",INDEX(ChqKey,279))</f>
        <v/>
      </c>
      <c r="L295" t="str">
        <f t="shared" si="4"/>
        <v/>
      </c>
    </row>
    <row r="296" spans="1:12" x14ac:dyDescent="0.2">
      <c r="A296" s="9" t="str">
        <f>IF(IFERROR(MATCH(280,ChqRankU,0),0)=0,"",280)</f>
        <v/>
      </c>
      <c r="B296" s="15" t="str">
        <f>IF(IFERROR(MATCH(280,ChqRankU,0),0)=0,"",INDEX(ChqNorm,IFERROR(MATCH(280,ChqRankU,0),0)))</f>
        <v/>
      </c>
      <c r="C296" s="15" t="str">
        <f>IF(IFERROR(MATCH(280,ChqRankU,0),0)=0,"",INDEX(ChqNo,IFERROR(MATCH(280,ChqRankU,0),0)))</f>
        <v/>
      </c>
      <c r="D296" s="16" t="str">
        <f>IF(IFERROR(MATCH(280,ChqRankU,0),0)=0,"",IF(INDEX(ChqAmt,IFERROR(MATCH(280,ChqRankU,0),0))=0,"",INDEX(ChqAmt,IFERROR(MATCH(280,ChqRankU,0),0))))</f>
        <v/>
      </c>
      <c r="E296" s="10" t="str">
        <f>IF(IFERROR(MATCH(280,ChqRankU,0),0)=0,"",INDEX(ChqStatus,IFERROR(MATCH(280,ChqRankU,0),0)))</f>
        <v/>
      </c>
      <c r="F296" s="15" t="str">
        <f>IF(IFERROR(MATCH(280,ChqRankU,0),0)=0,"",IF(INDEX(ChqStatus,IFERROR(MATCH(280,ChqRankU,0),0))="پاس نشده","—",IF(INDEX(ChqClr,IFERROR(MATCH(280,ChqRankU,0),0))="","—",INDEX(ChqClr,IFERROR(MATCH(280,ChqRankU,0),0)))))</f>
        <v/>
      </c>
      <c r="I296" t="str">
        <f>IF(280&gt;NChq,"",INDEX(ChqNorm,280))</f>
        <v/>
      </c>
      <c r="J296" t="str">
        <f>IF($I296="","",IF(AND($I296&gt;=$H$3,$I296&lt;=$H$4,INDEX(ChqStatus,280)="پاس نشده"),1,0))</f>
        <v/>
      </c>
      <c r="K296" t="str">
        <f>IF($J296=0,"",INDEX(ChqKey,280))</f>
        <v/>
      </c>
      <c r="L296" t="str">
        <f t="shared" si="4"/>
        <v/>
      </c>
    </row>
    <row r="297" spans="1:12" x14ac:dyDescent="0.2">
      <c r="A297" s="3" t="str">
        <f>IF(IFERROR(MATCH(281,ChqRankU,0),0)=0,"",281)</f>
        <v/>
      </c>
      <c r="B297" s="13" t="str">
        <f>IF(IFERROR(MATCH(281,ChqRankU,0),0)=0,"",INDEX(ChqNorm,IFERROR(MATCH(281,ChqRankU,0),0)))</f>
        <v/>
      </c>
      <c r="C297" s="13" t="str">
        <f>IF(IFERROR(MATCH(281,ChqRankU,0),0)=0,"",INDEX(ChqNo,IFERROR(MATCH(281,ChqRankU,0),0)))</f>
        <v/>
      </c>
      <c r="D297" s="14" t="str">
        <f>IF(IFERROR(MATCH(281,ChqRankU,0),0)=0,"",IF(INDEX(ChqAmt,IFERROR(MATCH(281,ChqRankU,0),0))=0,"",INDEX(ChqAmt,IFERROR(MATCH(281,ChqRankU,0),0))))</f>
        <v/>
      </c>
      <c r="E297" s="7" t="str">
        <f>IF(IFERROR(MATCH(281,ChqRankU,0),0)=0,"",INDEX(ChqStatus,IFERROR(MATCH(281,ChqRankU,0),0)))</f>
        <v/>
      </c>
      <c r="F297" s="13" t="str">
        <f>IF(IFERROR(MATCH(281,ChqRankU,0),0)=0,"",IF(INDEX(ChqStatus,IFERROR(MATCH(281,ChqRankU,0),0))="پاس نشده","—",IF(INDEX(ChqClr,IFERROR(MATCH(281,ChqRankU,0),0))="","—",INDEX(ChqClr,IFERROR(MATCH(281,ChqRankU,0),0)))))</f>
        <v/>
      </c>
      <c r="I297" t="str">
        <f>IF(281&gt;NChq,"",INDEX(ChqNorm,281))</f>
        <v/>
      </c>
      <c r="J297" t="str">
        <f>IF($I297="","",IF(AND($I297&gt;=$H$3,$I297&lt;=$H$4,INDEX(ChqStatus,281)="پاس نشده"),1,0))</f>
        <v/>
      </c>
      <c r="K297" t="str">
        <f>IF($J297=0,"",INDEX(ChqKey,281))</f>
        <v/>
      </c>
      <c r="L297" t="str">
        <f t="shared" si="4"/>
        <v/>
      </c>
    </row>
    <row r="298" spans="1:12" x14ac:dyDescent="0.2">
      <c r="A298" s="9" t="str">
        <f>IF(IFERROR(MATCH(282,ChqRankU,0),0)=0,"",282)</f>
        <v/>
      </c>
      <c r="B298" s="15" t="str">
        <f>IF(IFERROR(MATCH(282,ChqRankU,0),0)=0,"",INDEX(ChqNorm,IFERROR(MATCH(282,ChqRankU,0),0)))</f>
        <v/>
      </c>
      <c r="C298" s="15" t="str">
        <f>IF(IFERROR(MATCH(282,ChqRankU,0),0)=0,"",INDEX(ChqNo,IFERROR(MATCH(282,ChqRankU,0),0)))</f>
        <v/>
      </c>
      <c r="D298" s="16" t="str">
        <f>IF(IFERROR(MATCH(282,ChqRankU,0),0)=0,"",IF(INDEX(ChqAmt,IFERROR(MATCH(282,ChqRankU,0),0))=0,"",INDEX(ChqAmt,IFERROR(MATCH(282,ChqRankU,0),0))))</f>
        <v/>
      </c>
      <c r="E298" s="10" t="str">
        <f>IF(IFERROR(MATCH(282,ChqRankU,0),0)=0,"",INDEX(ChqStatus,IFERROR(MATCH(282,ChqRankU,0),0)))</f>
        <v/>
      </c>
      <c r="F298" s="15" t="str">
        <f>IF(IFERROR(MATCH(282,ChqRankU,0),0)=0,"",IF(INDEX(ChqStatus,IFERROR(MATCH(282,ChqRankU,0),0))="پاس نشده","—",IF(INDEX(ChqClr,IFERROR(MATCH(282,ChqRankU,0),0))="","—",INDEX(ChqClr,IFERROR(MATCH(282,ChqRankU,0),0)))))</f>
        <v/>
      </c>
      <c r="I298" t="str">
        <f>IF(282&gt;NChq,"",INDEX(ChqNorm,282))</f>
        <v/>
      </c>
      <c r="J298" t="str">
        <f>IF($I298="","",IF(AND($I298&gt;=$H$3,$I298&lt;=$H$4,INDEX(ChqStatus,282)="پاس نشده"),1,0))</f>
        <v/>
      </c>
      <c r="K298" t="str">
        <f>IF($J298=0,"",INDEX(ChqKey,282))</f>
        <v/>
      </c>
      <c r="L298" t="str">
        <f t="shared" si="4"/>
        <v/>
      </c>
    </row>
    <row r="299" spans="1:12" x14ac:dyDescent="0.2">
      <c r="A299" s="3" t="str">
        <f>IF(IFERROR(MATCH(283,ChqRankU,0),0)=0,"",283)</f>
        <v/>
      </c>
      <c r="B299" s="13" t="str">
        <f>IF(IFERROR(MATCH(283,ChqRankU,0),0)=0,"",INDEX(ChqNorm,IFERROR(MATCH(283,ChqRankU,0),0)))</f>
        <v/>
      </c>
      <c r="C299" s="13" t="str">
        <f>IF(IFERROR(MATCH(283,ChqRankU,0),0)=0,"",INDEX(ChqNo,IFERROR(MATCH(283,ChqRankU,0),0)))</f>
        <v/>
      </c>
      <c r="D299" s="14" t="str">
        <f>IF(IFERROR(MATCH(283,ChqRankU,0),0)=0,"",IF(INDEX(ChqAmt,IFERROR(MATCH(283,ChqRankU,0),0))=0,"",INDEX(ChqAmt,IFERROR(MATCH(283,ChqRankU,0),0))))</f>
        <v/>
      </c>
      <c r="E299" s="7" t="str">
        <f>IF(IFERROR(MATCH(283,ChqRankU,0),0)=0,"",INDEX(ChqStatus,IFERROR(MATCH(283,ChqRankU,0),0)))</f>
        <v/>
      </c>
      <c r="F299" s="13" t="str">
        <f>IF(IFERROR(MATCH(283,ChqRankU,0),0)=0,"",IF(INDEX(ChqStatus,IFERROR(MATCH(283,ChqRankU,0),0))="پاس نشده","—",IF(INDEX(ChqClr,IFERROR(MATCH(283,ChqRankU,0),0))="","—",INDEX(ChqClr,IFERROR(MATCH(283,ChqRankU,0),0)))))</f>
        <v/>
      </c>
      <c r="I299" t="str">
        <f>IF(283&gt;NChq,"",INDEX(ChqNorm,283))</f>
        <v/>
      </c>
      <c r="J299" t="str">
        <f>IF($I299="","",IF(AND($I299&gt;=$H$3,$I299&lt;=$H$4,INDEX(ChqStatus,283)="پاس نشده"),1,0))</f>
        <v/>
      </c>
      <c r="K299" t="str">
        <f>IF($J299=0,"",INDEX(ChqKey,283))</f>
        <v/>
      </c>
      <c r="L299" t="str">
        <f t="shared" si="4"/>
        <v/>
      </c>
    </row>
    <row r="300" spans="1:12" x14ac:dyDescent="0.2">
      <c r="A300" s="9" t="str">
        <f>IF(IFERROR(MATCH(284,ChqRankU,0),0)=0,"",284)</f>
        <v/>
      </c>
      <c r="B300" s="15" t="str">
        <f>IF(IFERROR(MATCH(284,ChqRankU,0),0)=0,"",INDEX(ChqNorm,IFERROR(MATCH(284,ChqRankU,0),0)))</f>
        <v/>
      </c>
      <c r="C300" s="15" t="str">
        <f>IF(IFERROR(MATCH(284,ChqRankU,0),0)=0,"",INDEX(ChqNo,IFERROR(MATCH(284,ChqRankU,0),0)))</f>
        <v/>
      </c>
      <c r="D300" s="16" t="str">
        <f>IF(IFERROR(MATCH(284,ChqRankU,0),0)=0,"",IF(INDEX(ChqAmt,IFERROR(MATCH(284,ChqRankU,0),0))=0,"",INDEX(ChqAmt,IFERROR(MATCH(284,ChqRankU,0),0))))</f>
        <v/>
      </c>
      <c r="E300" s="10" t="str">
        <f>IF(IFERROR(MATCH(284,ChqRankU,0),0)=0,"",INDEX(ChqStatus,IFERROR(MATCH(284,ChqRankU,0),0)))</f>
        <v/>
      </c>
      <c r="F300" s="15" t="str">
        <f>IF(IFERROR(MATCH(284,ChqRankU,0),0)=0,"",IF(INDEX(ChqStatus,IFERROR(MATCH(284,ChqRankU,0),0))="پاس نشده","—",IF(INDEX(ChqClr,IFERROR(MATCH(284,ChqRankU,0),0))="","—",INDEX(ChqClr,IFERROR(MATCH(284,ChqRankU,0),0)))))</f>
        <v/>
      </c>
      <c r="I300" t="str">
        <f>IF(284&gt;NChq,"",INDEX(ChqNorm,284))</f>
        <v/>
      </c>
      <c r="J300" t="str">
        <f>IF($I300="","",IF(AND($I300&gt;=$H$3,$I300&lt;=$H$4,INDEX(ChqStatus,284)="پاس نشده"),1,0))</f>
        <v/>
      </c>
      <c r="K300" t="str">
        <f>IF($J300=0,"",INDEX(ChqKey,284))</f>
        <v/>
      </c>
      <c r="L300" t="str">
        <f t="shared" si="4"/>
        <v/>
      </c>
    </row>
    <row r="301" spans="1:12" x14ac:dyDescent="0.2">
      <c r="A301" s="3" t="str">
        <f>IF(IFERROR(MATCH(285,ChqRankU,0),0)=0,"",285)</f>
        <v/>
      </c>
      <c r="B301" s="13" t="str">
        <f>IF(IFERROR(MATCH(285,ChqRankU,0),0)=0,"",INDEX(ChqNorm,IFERROR(MATCH(285,ChqRankU,0),0)))</f>
        <v/>
      </c>
      <c r="C301" s="13" t="str">
        <f>IF(IFERROR(MATCH(285,ChqRankU,0),0)=0,"",INDEX(ChqNo,IFERROR(MATCH(285,ChqRankU,0),0)))</f>
        <v/>
      </c>
      <c r="D301" s="14" t="str">
        <f>IF(IFERROR(MATCH(285,ChqRankU,0),0)=0,"",IF(INDEX(ChqAmt,IFERROR(MATCH(285,ChqRankU,0),0))=0,"",INDEX(ChqAmt,IFERROR(MATCH(285,ChqRankU,0),0))))</f>
        <v/>
      </c>
      <c r="E301" s="7" t="str">
        <f>IF(IFERROR(MATCH(285,ChqRankU,0),0)=0,"",INDEX(ChqStatus,IFERROR(MATCH(285,ChqRankU,0),0)))</f>
        <v/>
      </c>
      <c r="F301" s="13" t="str">
        <f>IF(IFERROR(MATCH(285,ChqRankU,0),0)=0,"",IF(INDEX(ChqStatus,IFERROR(MATCH(285,ChqRankU,0),0))="پاس نشده","—",IF(INDEX(ChqClr,IFERROR(MATCH(285,ChqRankU,0),0))="","—",INDEX(ChqClr,IFERROR(MATCH(285,ChqRankU,0),0)))))</f>
        <v/>
      </c>
      <c r="I301" t="str">
        <f>IF(285&gt;NChq,"",INDEX(ChqNorm,285))</f>
        <v/>
      </c>
      <c r="J301" t="str">
        <f>IF($I301="","",IF(AND($I301&gt;=$H$3,$I301&lt;=$H$4,INDEX(ChqStatus,285)="پاس نشده"),1,0))</f>
        <v/>
      </c>
      <c r="K301" t="str">
        <f>IF($J301=0,"",INDEX(ChqKey,285))</f>
        <v/>
      </c>
      <c r="L301" t="str">
        <f t="shared" si="4"/>
        <v/>
      </c>
    </row>
    <row r="302" spans="1:12" x14ac:dyDescent="0.2">
      <c r="A302" s="9" t="str">
        <f>IF(IFERROR(MATCH(286,ChqRankU,0),0)=0,"",286)</f>
        <v/>
      </c>
      <c r="B302" s="15" t="str">
        <f>IF(IFERROR(MATCH(286,ChqRankU,0),0)=0,"",INDEX(ChqNorm,IFERROR(MATCH(286,ChqRankU,0),0)))</f>
        <v/>
      </c>
      <c r="C302" s="15" t="str">
        <f>IF(IFERROR(MATCH(286,ChqRankU,0),0)=0,"",INDEX(ChqNo,IFERROR(MATCH(286,ChqRankU,0),0)))</f>
        <v/>
      </c>
      <c r="D302" s="16" t="str">
        <f>IF(IFERROR(MATCH(286,ChqRankU,0),0)=0,"",IF(INDEX(ChqAmt,IFERROR(MATCH(286,ChqRankU,0),0))=0,"",INDEX(ChqAmt,IFERROR(MATCH(286,ChqRankU,0),0))))</f>
        <v/>
      </c>
      <c r="E302" s="10" t="str">
        <f>IF(IFERROR(MATCH(286,ChqRankU,0),0)=0,"",INDEX(ChqStatus,IFERROR(MATCH(286,ChqRankU,0),0)))</f>
        <v/>
      </c>
      <c r="F302" s="15" t="str">
        <f>IF(IFERROR(MATCH(286,ChqRankU,0),0)=0,"",IF(INDEX(ChqStatus,IFERROR(MATCH(286,ChqRankU,0),0))="پاس نشده","—",IF(INDEX(ChqClr,IFERROR(MATCH(286,ChqRankU,0),0))="","—",INDEX(ChqClr,IFERROR(MATCH(286,ChqRankU,0),0)))))</f>
        <v/>
      </c>
      <c r="I302" t="str">
        <f>IF(286&gt;NChq,"",INDEX(ChqNorm,286))</f>
        <v/>
      </c>
      <c r="J302" t="str">
        <f>IF($I302="","",IF(AND($I302&gt;=$H$3,$I302&lt;=$H$4,INDEX(ChqStatus,286)="پاس نشده"),1,0))</f>
        <v/>
      </c>
      <c r="K302" t="str">
        <f>IF($J302=0,"",INDEX(ChqKey,286))</f>
        <v/>
      </c>
      <c r="L302" t="str">
        <f t="shared" si="4"/>
        <v/>
      </c>
    </row>
    <row r="303" spans="1:12" x14ac:dyDescent="0.2">
      <c r="A303" s="3" t="str">
        <f>IF(IFERROR(MATCH(287,ChqRankU,0),0)=0,"",287)</f>
        <v/>
      </c>
      <c r="B303" s="13" t="str">
        <f>IF(IFERROR(MATCH(287,ChqRankU,0),0)=0,"",INDEX(ChqNorm,IFERROR(MATCH(287,ChqRankU,0),0)))</f>
        <v/>
      </c>
      <c r="C303" s="13" t="str">
        <f>IF(IFERROR(MATCH(287,ChqRankU,0),0)=0,"",INDEX(ChqNo,IFERROR(MATCH(287,ChqRankU,0),0)))</f>
        <v/>
      </c>
      <c r="D303" s="14" t="str">
        <f>IF(IFERROR(MATCH(287,ChqRankU,0),0)=0,"",IF(INDEX(ChqAmt,IFERROR(MATCH(287,ChqRankU,0),0))=0,"",INDEX(ChqAmt,IFERROR(MATCH(287,ChqRankU,0),0))))</f>
        <v/>
      </c>
      <c r="E303" s="7" t="str">
        <f>IF(IFERROR(MATCH(287,ChqRankU,0),0)=0,"",INDEX(ChqStatus,IFERROR(MATCH(287,ChqRankU,0),0)))</f>
        <v/>
      </c>
      <c r="F303" s="13" t="str">
        <f>IF(IFERROR(MATCH(287,ChqRankU,0),0)=0,"",IF(INDEX(ChqStatus,IFERROR(MATCH(287,ChqRankU,0),0))="پاس نشده","—",IF(INDEX(ChqClr,IFERROR(MATCH(287,ChqRankU,0),0))="","—",INDEX(ChqClr,IFERROR(MATCH(287,ChqRankU,0),0)))))</f>
        <v/>
      </c>
      <c r="I303" t="str">
        <f>IF(287&gt;NChq,"",INDEX(ChqNorm,287))</f>
        <v/>
      </c>
      <c r="J303" t="str">
        <f>IF($I303="","",IF(AND($I303&gt;=$H$3,$I303&lt;=$H$4,INDEX(ChqStatus,287)="پاس نشده"),1,0))</f>
        <v/>
      </c>
      <c r="K303" t="str">
        <f>IF($J303=0,"",INDEX(ChqKey,287))</f>
        <v/>
      </c>
      <c r="L303" t="str">
        <f t="shared" si="4"/>
        <v/>
      </c>
    </row>
    <row r="304" spans="1:12" x14ac:dyDescent="0.2">
      <c r="A304" s="9" t="str">
        <f>IF(IFERROR(MATCH(288,ChqRankU,0),0)=0,"",288)</f>
        <v/>
      </c>
      <c r="B304" s="15" t="str">
        <f>IF(IFERROR(MATCH(288,ChqRankU,0),0)=0,"",INDEX(ChqNorm,IFERROR(MATCH(288,ChqRankU,0),0)))</f>
        <v/>
      </c>
      <c r="C304" s="15" t="str">
        <f>IF(IFERROR(MATCH(288,ChqRankU,0),0)=0,"",INDEX(ChqNo,IFERROR(MATCH(288,ChqRankU,0),0)))</f>
        <v/>
      </c>
      <c r="D304" s="16" t="str">
        <f>IF(IFERROR(MATCH(288,ChqRankU,0),0)=0,"",IF(INDEX(ChqAmt,IFERROR(MATCH(288,ChqRankU,0),0))=0,"",INDEX(ChqAmt,IFERROR(MATCH(288,ChqRankU,0),0))))</f>
        <v/>
      </c>
      <c r="E304" s="10" t="str">
        <f>IF(IFERROR(MATCH(288,ChqRankU,0),0)=0,"",INDEX(ChqStatus,IFERROR(MATCH(288,ChqRankU,0),0)))</f>
        <v/>
      </c>
      <c r="F304" s="15" t="str">
        <f>IF(IFERROR(MATCH(288,ChqRankU,0),0)=0,"",IF(INDEX(ChqStatus,IFERROR(MATCH(288,ChqRankU,0),0))="پاس نشده","—",IF(INDEX(ChqClr,IFERROR(MATCH(288,ChqRankU,0),0))="","—",INDEX(ChqClr,IFERROR(MATCH(288,ChqRankU,0),0)))))</f>
        <v/>
      </c>
      <c r="I304" t="str">
        <f>IF(288&gt;NChq,"",INDEX(ChqNorm,288))</f>
        <v/>
      </c>
      <c r="J304" t="str">
        <f>IF($I304="","",IF(AND($I304&gt;=$H$3,$I304&lt;=$H$4,INDEX(ChqStatus,288)="پاس نشده"),1,0))</f>
        <v/>
      </c>
      <c r="K304" t="str">
        <f>IF($J304=0,"",INDEX(ChqKey,288))</f>
        <v/>
      </c>
      <c r="L304" t="str">
        <f t="shared" si="4"/>
        <v/>
      </c>
    </row>
    <row r="305" spans="1:12" x14ac:dyDescent="0.2">
      <c r="A305" s="3" t="str">
        <f>IF(IFERROR(MATCH(289,ChqRankU,0),0)=0,"",289)</f>
        <v/>
      </c>
      <c r="B305" s="13" t="str">
        <f>IF(IFERROR(MATCH(289,ChqRankU,0),0)=0,"",INDEX(ChqNorm,IFERROR(MATCH(289,ChqRankU,0),0)))</f>
        <v/>
      </c>
      <c r="C305" s="13" t="str">
        <f>IF(IFERROR(MATCH(289,ChqRankU,0),0)=0,"",INDEX(ChqNo,IFERROR(MATCH(289,ChqRankU,0),0)))</f>
        <v/>
      </c>
      <c r="D305" s="14" t="str">
        <f>IF(IFERROR(MATCH(289,ChqRankU,0),0)=0,"",IF(INDEX(ChqAmt,IFERROR(MATCH(289,ChqRankU,0),0))=0,"",INDEX(ChqAmt,IFERROR(MATCH(289,ChqRankU,0),0))))</f>
        <v/>
      </c>
      <c r="E305" s="7" t="str">
        <f>IF(IFERROR(MATCH(289,ChqRankU,0),0)=0,"",INDEX(ChqStatus,IFERROR(MATCH(289,ChqRankU,0),0)))</f>
        <v/>
      </c>
      <c r="F305" s="13" t="str">
        <f>IF(IFERROR(MATCH(289,ChqRankU,0),0)=0,"",IF(INDEX(ChqStatus,IFERROR(MATCH(289,ChqRankU,0),0))="پاس نشده","—",IF(INDEX(ChqClr,IFERROR(MATCH(289,ChqRankU,0),0))="","—",INDEX(ChqClr,IFERROR(MATCH(289,ChqRankU,0),0)))))</f>
        <v/>
      </c>
      <c r="I305" t="str">
        <f>IF(289&gt;NChq,"",INDEX(ChqNorm,289))</f>
        <v/>
      </c>
      <c r="J305" t="str">
        <f>IF($I305="","",IF(AND($I305&gt;=$H$3,$I305&lt;=$H$4,INDEX(ChqStatus,289)="پاس نشده"),1,0))</f>
        <v/>
      </c>
      <c r="K305" t="str">
        <f>IF($J305=0,"",INDEX(ChqKey,289))</f>
        <v/>
      </c>
      <c r="L305" t="str">
        <f t="shared" si="4"/>
        <v/>
      </c>
    </row>
    <row r="306" spans="1:12" x14ac:dyDescent="0.2">
      <c r="A306" s="9" t="str">
        <f>IF(IFERROR(MATCH(290,ChqRankU,0),0)=0,"",290)</f>
        <v/>
      </c>
      <c r="B306" s="15" t="str">
        <f>IF(IFERROR(MATCH(290,ChqRankU,0),0)=0,"",INDEX(ChqNorm,IFERROR(MATCH(290,ChqRankU,0),0)))</f>
        <v/>
      </c>
      <c r="C306" s="15" t="str">
        <f>IF(IFERROR(MATCH(290,ChqRankU,0),0)=0,"",INDEX(ChqNo,IFERROR(MATCH(290,ChqRankU,0),0)))</f>
        <v/>
      </c>
      <c r="D306" s="16" t="str">
        <f>IF(IFERROR(MATCH(290,ChqRankU,0),0)=0,"",IF(INDEX(ChqAmt,IFERROR(MATCH(290,ChqRankU,0),0))=0,"",INDEX(ChqAmt,IFERROR(MATCH(290,ChqRankU,0),0))))</f>
        <v/>
      </c>
      <c r="E306" s="10" t="str">
        <f>IF(IFERROR(MATCH(290,ChqRankU,0),0)=0,"",INDEX(ChqStatus,IFERROR(MATCH(290,ChqRankU,0),0)))</f>
        <v/>
      </c>
      <c r="F306" s="15" t="str">
        <f>IF(IFERROR(MATCH(290,ChqRankU,0),0)=0,"",IF(INDEX(ChqStatus,IFERROR(MATCH(290,ChqRankU,0),0))="پاس نشده","—",IF(INDEX(ChqClr,IFERROR(MATCH(290,ChqRankU,0),0))="","—",INDEX(ChqClr,IFERROR(MATCH(290,ChqRankU,0),0)))))</f>
        <v/>
      </c>
      <c r="I306" t="str">
        <f>IF(290&gt;NChq,"",INDEX(ChqNorm,290))</f>
        <v/>
      </c>
      <c r="J306" t="str">
        <f>IF($I306="","",IF(AND($I306&gt;=$H$3,$I306&lt;=$H$4,INDEX(ChqStatus,290)="پاس نشده"),1,0))</f>
        <v/>
      </c>
      <c r="K306" t="str">
        <f>IF($J306=0,"",INDEX(ChqKey,290))</f>
        <v/>
      </c>
      <c r="L306" t="str">
        <f t="shared" si="4"/>
        <v/>
      </c>
    </row>
    <row r="307" spans="1:12" x14ac:dyDescent="0.2">
      <c r="A307" s="3" t="str">
        <f>IF(IFERROR(MATCH(291,ChqRankU,0),0)=0,"",291)</f>
        <v/>
      </c>
      <c r="B307" s="13" t="str">
        <f>IF(IFERROR(MATCH(291,ChqRankU,0),0)=0,"",INDEX(ChqNorm,IFERROR(MATCH(291,ChqRankU,0),0)))</f>
        <v/>
      </c>
      <c r="C307" s="13" t="str">
        <f>IF(IFERROR(MATCH(291,ChqRankU,0),0)=0,"",INDEX(ChqNo,IFERROR(MATCH(291,ChqRankU,0),0)))</f>
        <v/>
      </c>
      <c r="D307" s="14" t="str">
        <f>IF(IFERROR(MATCH(291,ChqRankU,0),0)=0,"",IF(INDEX(ChqAmt,IFERROR(MATCH(291,ChqRankU,0),0))=0,"",INDEX(ChqAmt,IFERROR(MATCH(291,ChqRankU,0),0))))</f>
        <v/>
      </c>
      <c r="E307" s="7" t="str">
        <f>IF(IFERROR(MATCH(291,ChqRankU,0),0)=0,"",INDEX(ChqStatus,IFERROR(MATCH(291,ChqRankU,0),0)))</f>
        <v/>
      </c>
      <c r="F307" s="13" t="str">
        <f>IF(IFERROR(MATCH(291,ChqRankU,0),0)=0,"",IF(INDEX(ChqStatus,IFERROR(MATCH(291,ChqRankU,0),0))="پاس نشده","—",IF(INDEX(ChqClr,IFERROR(MATCH(291,ChqRankU,0),0))="","—",INDEX(ChqClr,IFERROR(MATCH(291,ChqRankU,0),0)))))</f>
        <v/>
      </c>
      <c r="I307" t="str">
        <f>IF(291&gt;NChq,"",INDEX(ChqNorm,291))</f>
        <v/>
      </c>
      <c r="J307" t="str">
        <f>IF($I307="","",IF(AND($I307&gt;=$H$3,$I307&lt;=$H$4,INDEX(ChqStatus,291)="پاس نشده"),1,0))</f>
        <v/>
      </c>
      <c r="K307" t="str">
        <f>IF($J307=0,"",INDEX(ChqKey,291))</f>
        <v/>
      </c>
      <c r="L307" t="str">
        <f t="shared" si="4"/>
        <v/>
      </c>
    </row>
    <row r="308" spans="1:12" x14ac:dyDescent="0.2">
      <c r="A308" s="9" t="str">
        <f>IF(IFERROR(MATCH(292,ChqRankU,0),0)=0,"",292)</f>
        <v/>
      </c>
      <c r="B308" s="15" t="str">
        <f>IF(IFERROR(MATCH(292,ChqRankU,0),0)=0,"",INDEX(ChqNorm,IFERROR(MATCH(292,ChqRankU,0),0)))</f>
        <v/>
      </c>
      <c r="C308" s="15" t="str">
        <f>IF(IFERROR(MATCH(292,ChqRankU,0),0)=0,"",INDEX(ChqNo,IFERROR(MATCH(292,ChqRankU,0),0)))</f>
        <v/>
      </c>
      <c r="D308" s="16" t="str">
        <f>IF(IFERROR(MATCH(292,ChqRankU,0),0)=0,"",IF(INDEX(ChqAmt,IFERROR(MATCH(292,ChqRankU,0),0))=0,"",INDEX(ChqAmt,IFERROR(MATCH(292,ChqRankU,0),0))))</f>
        <v/>
      </c>
      <c r="E308" s="10" t="str">
        <f>IF(IFERROR(MATCH(292,ChqRankU,0),0)=0,"",INDEX(ChqStatus,IFERROR(MATCH(292,ChqRankU,0),0)))</f>
        <v/>
      </c>
      <c r="F308" s="15" t="str">
        <f>IF(IFERROR(MATCH(292,ChqRankU,0),0)=0,"",IF(INDEX(ChqStatus,IFERROR(MATCH(292,ChqRankU,0),0))="پاس نشده","—",IF(INDEX(ChqClr,IFERROR(MATCH(292,ChqRankU,0),0))="","—",INDEX(ChqClr,IFERROR(MATCH(292,ChqRankU,0),0)))))</f>
        <v/>
      </c>
      <c r="I308" t="str">
        <f>IF(292&gt;NChq,"",INDEX(ChqNorm,292))</f>
        <v/>
      </c>
      <c r="J308" t="str">
        <f>IF($I308="","",IF(AND($I308&gt;=$H$3,$I308&lt;=$H$4,INDEX(ChqStatus,292)="پاس نشده"),1,0))</f>
        <v/>
      </c>
      <c r="K308" t="str">
        <f>IF($J308=0,"",INDEX(ChqKey,292))</f>
        <v/>
      </c>
      <c r="L308" t="str">
        <f t="shared" si="4"/>
        <v/>
      </c>
    </row>
    <row r="309" spans="1:12" x14ac:dyDescent="0.2">
      <c r="A309" s="3" t="str">
        <f>IF(IFERROR(MATCH(293,ChqRankU,0),0)=0,"",293)</f>
        <v/>
      </c>
      <c r="B309" s="13" t="str">
        <f>IF(IFERROR(MATCH(293,ChqRankU,0),0)=0,"",INDEX(ChqNorm,IFERROR(MATCH(293,ChqRankU,0),0)))</f>
        <v/>
      </c>
      <c r="C309" s="13" t="str">
        <f>IF(IFERROR(MATCH(293,ChqRankU,0),0)=0,"",INDEX(ChqNo,IFERROR(MATCH(293,ChqRankU,0),0)))</f>
        <v/>
      </c>
      <c r="D309" s="14" t="str">
        <f>IF(IFERROR(MATCH(293,ChqRankU,0),0)=0,"",IF(INDEX(ChqAmt,IFERROR(MATCH(293,ChqRankU,0),0))=0,"",INDEX(ChqAmt,IFERROR(MATCH(293,ChqRankU,0),0))))</f>
        <v/>
      </c>
      <c r="E309" s="7" t="str">
        <f>IF(IFERROR(MATCH(293,ChqRankU,0),0)=0,"",INDEX(ChqStatus,IFERROR(MATCH(293,ChqRankU,0),0)))</f>
        <v/>
      </c>
      <c r="F309" s="13" t="str">
        <f>IF(IFERROR(MATCH(293,ChqRankU,0),0)=0,"",IF(INDEX(ChqStatus,IFERROR(MATCH(293,ChqRankU,0),0))="پاس نشده","—",IF(INDEX(ChqClr,IFERROR(MATCH(293,ChqRankU,0),0))="","—",INDEX(ChqClr,IFERROR(MATCH(293,ChqRankU,0),0)))))</f>
        <v/>
      </c>
      <c r="I309" t="str">
        <f>IF(293&gt;NChq,"",INDEX(ChqNorm,293))</f>
        <v/>
      </c>
      <c r="J309" t="str">
        <f>IF($I309="","",IF(AND($I309&gt;=$H$3,$I309&lt;=$H$4,INDEX(ChqStatus,293)="پاس نشده"),1,0))</f>
        <v/>
      </c>
      <c r="K309" t="str">
        <f>IF($J309=0,"",INDEX(ChqKey,293))</f>
        <v/>
      </c>
      <c r="L309" t="str">
        <f t="shared" si="4"/>
        <v/>
      </c>
    </row>
    <row r="310" spans="1:12" x14ac:dyDescent="0.2">
      <c r="A310" s="9" t="str">
        <f>IF(IFERROR(MATCH(294,ChqRankU,0),0)=0,"",294)</f>
        <v/>
      </c>
      <c r="B310" s="15" t="str">
        <f>IF(IFERROR(MATCH(294,ChqRankU,0),0)=0,"",INDEX(ChqNorm,IFERROR(MATCH(294,ChqRankU,0),0)))</f>
        <v/>
      </c>
      <c r="C310" s="15" t="str">
        <f>IF(IFERROR(MATCH(294,ChqRankU,0),0)=0,"",INDEX(ChqNo,IFERROR(MATCH(294,ChqRankU,0),0)))</f>
        <v/>
      </c>
      <c r="D310" s="16" t="str">
        <f>IF(IFERROR(MATCH(294,ChqRankU,0),0)=0,"",IF(INDEX(ChqAmt,IFERROR(MATCH(294,ChqRankU,0),0))=0,"",INDEX(ChqAmt,IFERROR(MATCH(294,ChqRankU,0),0))))</f>
        <v/>
      </c>
      <c r="E310" s="10" t="str">
        <f>IF(IFERROR(MATCH(294,ChqRankU,0),0)=0,"",INDEX(ChqStatus,IFERROR(MATCH(294,ChqRankU,0),0)))</f>
        <v/>
      </c>
      <c r="F310" s="15" t="str">
        <f>IF(IFERROR(MATCH(294,ChqRankU,0),0)=0,"",IF(INDEX(ChqStatus,IFERROR(MATCH(294,ChqRankU,0),0))="پاس نشده","—",IF(INDEX(ChqClr,IFERROR(MATCH(294,ChqRankU,0),0))="","—",INDEX(ChqClr,IFERROR(MATCH(294,ChqRankU,0),0)))))</f>
        <v/>
      </c>
      <c r="I310" t="str">
        <f>IF(294&gt;NChq,"",INDEX(ChqNorm,294))</f>
        <v/>
      </c>
      <c r="J310" t="str">
        <f>IF($I310="","",IF(AND($I310&gt;=$H$3,$I310&lt;=$H$4,INDEX(ChqStatus,294)="پاس نشده"),1,0))</f>
        <v/>
      </c>
      <c r="K310" t="str">
        <f>IF($J310=0,"",INDEX(ChqKey,294))</f>
        <v/>
      </c>
      <c r="L310" t="str">
        <f t="shared" si="4"/>
        <v/>
      </c>
    </row>
    <row r="311" spans="1:12" x14ac:dyDescent="0.2">
      <c r="A311" s="3" t="str">
        <f>IF(IFERROR(MATCH(295,ChqRankU,0),0)=0,"",295)</f>
        <v/>
      </c>
      <c r="B311" s="13" t="str">
        <f>IF(IFERROR(MATCH(295,ChqRankU,0),0)=0,"",INDEX(ChqNorm,IFERROR(MATCH(295,ChqRankU,0),0)))</f>
        <v/>
      </c>
      <c r="C311" s="13" t="str">
        <f>IF(IFERROR(MATCH(295,ChqRankU,0),0)=0,"",INDEX(ChqNo,IFERROR(MATCH(295,ChqRankU,0),0)))</f>
        <v/>
      </c>
      <c r="D311" s="14" t="str">
        <f>IF(IFERROR(MATCH(295,ChqRankU,0),0)=0,"",IF(INDEX(ChqAmt,IFERROR(MATCH(295,ChqRankU,0),0))=0,"",INDEX(ChqAmt,IFERROR(MATCH(295,ChqRankU,0),0))))</f>
        <v/>
      </c>
      <c r="E311" s="7" t="str">
        <f>IF(IFERROR(MATCH(295,ChqRankU,0),0)=0,"",INDEX(ChqStatus,IFERROR(MATCH(295,ChqRankU,0),0)))</f>
        <v/>
      </c>
      <c r="F311" s="13" t="str">
        <f>IF(IFERROR(MATCH(295,ChqRankU,0),0)=0,"",IF(INDEX(ChqStatus,IFERROR(MATCH(295,ChqRankU,0),0))="پاس نشده","—",IF(INDEX(ChqClr,IFERROR(MATCH(295,ChqRankU,0),0))="","—",INDEX(ChqClr,IFERROR(MATCH(295,ChqRankU,0),0)))))</f>
        <v/>
      </c>
      <c r="I311" t="str">
        <f>IF(295&gt;NChq,"",INDEX(ChqNorm,295))</f>
        <v/>
      </c>
      <c r="J311" t="str">
        <f>IF($I311="","",IF(AND($I311&gt;=$H$3,$I311&lt;=$H$4,INDEX(ChqStatus,295)="پاس نشده"),1,0))</f>
        <v/>
      </c>
      <c r="K311" t="str">
        <f>IF($J311=0,"",INDEX(ChqKey,295))</f>
        <v/>
      </c>
      <c r="L311" t="str">
        <f t="shared" si="4"/>
        <v/>
      </c>
    </row>
    <row r="312" spans="1:12" x14ac:dyDescent="0.2">
      <c r="A312" s="9" t="str">
        <f>IF(IFERROR(MATCH(296,ChqRankU,0),0)=0,"",296)</f>
        <v/>
      </c>
      <c r="B312" s="15" t="str">
        <f>IF(IFERROR(MATCH(296,ChqRankU,0),0)=0,"",INDEX(ChqNorm,IFERROR(MATCH(296,ChqRankU,0),0)))</f>
        <v/>
      </c>
      <c r="C312" s="15" t="str">
        <f>IF(IFERROR(MATCH(296,ChqRankU,0),0)=0,"",INDEX(ChqNo,IFERROR(MATCH(296,ChqRankU,0),0)))</f>
        <v/>
      </c>
      <c r="D312" s="16" t="str">
        <f>IF(IFERROR(MATCH(296,ChqRankU,0),0)=0,"",IF(INDEX(ChqAmt,IFERROR(MATCH(296,ChqRankU,0),0))=0,"",INDEX(ChqAmt,IFERROR(MATCH(296,ChqRankU,0),0))))</f>
        <v/>
      </c>
      <c r="E312" s="10" t="str">
        <f>IF(IFERROR(MATCH(296,ChqRankU,0),0)=0,"",INDEX(ChqStatus,IFERROR(MATCH(296,ChqRankU,0),0)))</f>
        <v/>
      </c>
      <c r="F312" s="15" t="str">
        <f>IF(IFERROR(MATCH(296,ChqRankU,0),0)=0,"",IF(INDEX(ChqStatus,IFERROR(MATCH(296,ChqRankU,0),0))="پاس نشده","—",IF(INDEX(ChqClr,IFERROR(MATCH(296,ChqRankU,0),0))="","—",INDEX(ChqClr,IFERROR(MATCH(296,ChqRankU,0),0)))))</f>
        <v/>
      </c>
      <c r="I312" t="str">
        <f>IF(296&gt;NChq,"",INDEX(ChqNorm,296))</f>
        <v/>
      </c>
      <c r="J312" t="str">
        <f>IF($I312="","",IF(AND($I312&gt;=$H$3,$I312&lt;=$H$4,INDEX(ChqStatus,296)="پاس نشده"),1,0))</f>
        <v/>
      </c>
      <c r="K312" t="str">
        <f>IF($J312=0,"",INDEX(ChqKey,296))</f>
        <v/>
      </c>
      <c r="L312" t="str">
        <f t="shared" si="4"/>
        <v/>
      </c>
    </row>
    <row r="313" spans="1:12" x14ac:dyDescent="0.2">
      <c r="A313" s="3" t="str">
        <f>IF(IFERROR(MATCH(297,ChqRankU,0),0)=0,"",297)</f>
        <v/>
      </c>
      <c r="B313" s="13" t="str">
        <f>IF(IFERROR(MATCH(297,ChqRankU,0),0)=0,"",INDEX(ChqNorm,IFERROR(MATCH(297,ChqRankU,0),0)))</f>
        <v/>
      </c>
      <c r="C313" s="13" t="str">
        <f>IF(IFERROR(MATCH(297,ChqRankU,0),0)=0,"",INDEX(ChqNo,IFERROR(MATCH(297,ChqRankU,0),0)))</f>
        <v/>
      </c>
      <c r="D313" s="14" t="str">
        <f>IF(IFERROR(MATCH(297,ChqRankU,0),0)=0,"",IF(INDEX(ChqAmt,IFERROR(MATCH(297,ChqRankU,0),0))=0,"",INDEX(ChqAmt,IFERROR(MATCH(297,ChqRankU,0),0))))</f>
        <v/>
      </c>
      <c r="E313" s="7" t="str">
        <f>IF(IFERROR(MATCH(297,ChqRankU,0),0)=0,"",INDEX(ChqStatus,IFERROR(MATCH(297,ChqRankU,0),0)))</f>
        <v/>
      </c>
      <c r="F313" s="13" t="str">
        <f>IF(IFERROR(MATCH(297,ChqRankU,0),0)=0,"",IF(INDEX(ChqStatus,IFERROR(MATCH(297,ChqRankU,0),0))="پاس نشده","—",IF(INDEX(ChqClr,IFERROR(MATCH(297,ChqRankU,0),0))="","—",INDEX(ChqClr,IFERROR(MATCH(297,ChqRankU,0),0)))))</f>
        <v/>
      </c>
      <c r="I313" t="str">
        <f>IF(297&gt;NChq,"",INDEX(ChqNorm,297))</f>
        <v/>
      </c>
      <c r="J313" t="str">
        <f>IF($I313="","",IF(AND($I313&gt;=$H$3,$I313&lt;=$H$4,INDEX(ChqStatus,297)="پاس نشده"),1,0))</f>
        <v/>
      </c>
      <c r="K313" t="str">
        <f>IF($J313=0,"",INDEX(ChqKey,297))</f>
        <v/>
      </c>
      <c r="L313" t="str">
        <f t="shared" si="4"/>
        <v/>
      </c>
    </row>
    <row r="314" spans="1:12" x14ac:dyDescent="0.2">
      <c r="A314" s="9" t="str">
        <f>IF(IFERROR(MATCH(298,ChqRankU,0),0)=0,"",298)</f>
        <v/>
      </c>
      <c r="B314" s="15" t="str">
        <f>IF(IFERROR(MATCH(298,ChqRankU,0),0)=0,"",INDEX(ChqNorm,IFERROR(MATCH(298,ChqRankU,0),0)))</f>
        <v/>
      </c>
      <c r="C314" s="15" t="str">
        <f>IF(IFERROR(MATCH(298,ChqRankU,0),0)=0,"",INDEX(ChqNo,IFERROR(MATCH(298,ChqRankU,0),0)))</f>
        <v/>
      </c>
      <c r="D314" s="16" t="str">
        <f>IF(IFERROR(MATCH(298,ChqRankU,0),0)=0,"",IF(INDEX(ChqAmt,IFERROR(MATCH(298,ChqRankU,0),0))=0,"",INDEX(ChqAmt,IFERROR(MATCH(298,ChqRankU,0),0))))</f>
        <v/>
      </c>
      <c r="E314" s="10" t="str">
        <f>IF(IFERROR(MATCH(298,ChqRankU,0),0)=0,"",INDEX(ChqStatus,IFERROR(MATCH(298,ChqRankU,0),0)))</f>
        <v/>
      </c>
      <c r="F314" s="15" t="str">
        <f>IF(IFERROR(MATCH(298,ChqRankU,0),0)=0,"",IF(INDEX(ChqStatus,IFERROR(MATCH(298,ChqRankU,0),0))="پاس نشده","—",IF(INDEX(ChqClr,IFERROR(MATCH(298,ChqRankU,0),0))="","—",INDEX(ChqClr,IFERROR(MATCH(298,ChqRankU,0),0)))))</f>
        <v/>
      </c>
      <c r="I314" t="str">
        <f>IF(298&gt;NChq,"",INDEX(ChqNorm,298))</f>
        <v/>
      </c>
      <c r="J314" t="str">
        <f>IF($I314="","",IF(AND($I314&gt;=$H$3,$I314&lt;=$H$4,INDEX(ChqStatus,298)="پاس نشده"),1,0))</f>
        <v/>
      </c>
      <c r="K314" t="str">
        <f>IF($J314=0,"",INDEX(ChqKey,298))</f>
        <v/>
      </c>
      <c r="L314" t="str">
        <f t="shared" si="4"/>
        <v/>
      </c>
    </row>
    <row r="315" spans="1:12" x14ac:dyDescent="0.2">
      <c r="A315" s="3" t="str">
        <f>IF(IFERROR(MATCH(299,ChqRankU,0),0)=0,"",299)</f>
        <v/>
      </c>
      <c r="B315" s="13" t="str">
        <f>IF(IFERROR(MATCH(299,ChqRankU,0),0)=0,"",INDEX(ChqNorm,IFERROR(MATCH(299,ChqRankU,0),0)))</f>
        <v/>
      </c>
      <c r="C315" s="13" t="str">
        <f>IF(IFERROR(MATCH(299,ChqRankU,0),0)=0,"",INDEX(ChqNo,IFERROR(MATCH(299,ChqRankU,0),0)))</f>
        <v/>
      </c>
      <c r="D315" s="14" t="str">
        <f>IF(IFERROR(MATCH(299,ChqRankU,0),0)=0,"",IF(INDEX(ChqAmt,IFERROR(MATCH(299,ChqRankU,0),0))=0,"",INDEX(ChqAmt,IFERROR(MATCH(299,ChqRankU,0),0))))</f>
        <v/>
      </c>
      <c r="E315" s="7" t="str">
        <f>IF(IFERROR(MATCH(299,ChqRankU,0),0)=0,"",INDEX(ChqStatus,IFERROR(MATCH(299,ChqRankU,0),0)))</f>
        <v/>
      </c>
      <c r="F315" s="13" t="str">
        <f>IF(IFERROR(MATCH(299,ChqRankU,0),0)=0,"",IF(INDEX(ChqStatus,IFERROR(MATCH(299,ChqRankU,0),0))="پاس نشده","—",IF(INDEX(ChqClr,IFERROR(MATCH(299,ChqRankU,0),0))="","—",INDEX(ChqClr,IFERROR(MATCH(299,ChqRankU,0),0)))))</f>
        <v/>
      </c>
      <c r="I315" t="str">
        <f>IF(299&gt;NChq,"",INDEX(ChqNorm,299))</f>
        <v/>
      </c>
      <c r="J315" t="str">
        <f>IF($I315="","",IF(AND($I315&gt;=$H$3,$I315&lt;=$H$4,INDEX(ChqStatus,299)="پاس نشده"),1,0))</f>
        <v/>
      </c>
      <c r="K315" t="str">
        <f>IF($J315=0,"",INDEX(ChqKey,299))</f>
        <v/>
      </c>
      <c r="L315" t="str">
        <f t="shared" si="4"/>
        <v/>
      </c>
    </row>
    <row r="316" spans="1:12" x14ac:dyDescent="0.2">
      <c r="A316" s="9" t="str">
        <f>IF(IFERROR(MATCH(300,ChqRankU,0),0)=0,"",300)</f>
        <v/>
      </c>
      <c r="B316" s="15" t="str">
        <f>IF(IFERROR(MATCH(300,ChqRankU,0),0)=0,"",INDEX(ChqNorm,IFERROR(MATCH(300,ChqRankU,0),0)))</f>
        <v/>
      </c>
      <c r="C316" s="15" t="str">
        <f>IF(IFERROR(MATCH(300,ChqRankU,0),0)=0,"",INDEX(ChqNo,IFERROR(MATCH(300,ChqRankU,0),0)))</f>
        <v/>
      </c>
      <c r="D316" s="16" t="str">
        <f>IF(IFERROR(MATCH(300,ChqRankU,0),0)=0,"",IF(INDEX(ChqAmt,IFERROR(MATCH(300,ChqRankU,0),0))=0,"",INDEX(ChqAmt,IFERROR(MATCH(300,ChqRankU,0),0))))</f>
        <v/>
      </c>
      <c r="E316" s="10" t="str">
        <f>IF(IFERROR(MATCH(300,ChqRankU,0),0)=0,"",INDEX(ChqStatus,IFERROR(MATCH(300,ChqRankU,0),0)))</f>
        <v/>
      </c>
      <c r="F316" s="15" t="str">
        <f>IF(IFERROR(MATCH(300,ChqRankU,0),0)=0,"",IF(INDEX(ChqStatus,IFERROR(MATCH(300,ChqRankU,0),0))="پاس نشده","—",IF(INDEX(ChqClr,IFERROR(MATCH(300,ChqRankU,0),0))="","—",INDEX(ChqClr,IFERROR(MATCH(300,ChqRankU,0),0)))))</f>
        <v/>
      </c>
      <c r="I316" t="str">
        <f>IF(300&gt;NChq,"",INDEX(ChqNorm,300))</f>
        <v/>
      </c>
      <c r="J316" t="str">
        <f>IF($I316="","",IF(AND($I316&gt;=$H$3,$I316&lt;=$H$4,INDEX(ChqStatus,300)="پاس نشده"),1,0))</f>
        <v/>
      </c>
      <c r="K316" t="str">
        <f>IF($J316=0,"",INDEX(ChqKey,300))</f>
        <v/>
      </c>
      <c r="L316" t="str">
        <f t="shared" si="4"/>
        <v/>
      </c>
    </row>
    <row r="317" spans="1:12" x14ac:dyDescent="0.2">
      <c r="A317" s="3" t="str">
        <f>IF(IFERROR(MATCH(301,ChqRankU,0),0)=0,"",301)</f>
        <v/>
      </c>
      <c r="B317" s="13" t="str">
        <f>IF(IFERROR(MATCH(301,ChqRankU,0),0)=0,"",INDEX(ChqNorm,IFERROR(MATCH(301,ChqRankU,0),0)))</f>
        <v/>
      </c>
      <c r="C317" s="13" t="str">
        <f>IF(IFERROR(MATCH(301,ChqRankU,0),0)=0,"",INDEX(ChqNo,IFERROR(MATCH(301,ChqRankU,0),0)))</f>
        <v/>
      </c>
      <c r="D317" s="14" t="str">
        <f>IF(IFERROR(MATCH(301,ChqRankU,0),0)=0,"",IF(INDEX(ChqAmt,IFERROR(MATCH(301,ChqRankU,0),0))=0,"",INDEX(ChqAmt,IFERROR(MATCH(301,ChqRankU,0),0))))</f>
        <v/>
      </c>
      <c r="E317" s="7" t="str">
        <f>IF(IFERROR(MATCH(301,ChqRankU,0),0)=0,"",INDEX(ChqStatus,IFERROR(MATCH(301,ChqRankU,0),0)))</f>
        <v/>
      </c>
      <c r="F317" s="13" t="str">
        <f>IF(IFERROR(MATCH(301,ChqRankU,0),0)=0,"",IF(INDEX(ChqStatus,IFERROR(MATCH(301,ChqRankU,0),0))="پاس نشده","—",IF(INDEX(ChqClr,IFERROR(MATCH(301,ChqRankU,0),0))="","—",INDEX(ChqClr,IFERROR(MATCH(301,ChqRankU,0),0)))))</f>
        <v/>
      </c>
      <c r="I317" t="str">
        <f>IF(301&gt;NChq,"",INDEX(ChqNorm,301))</f>
        <v/>
      </c>
      <c r="J317" t="str">
        <f>IF($I317="","",IF(AND($I317&gt;=$H$3,$I317&lt;=$H$4,INDEX(ChqStatus,301)="پاس نشده"),1,0))</f>
        <v/>
      </c>
      <c r="K317" t="str">
        <f>IF($J317=0,"",INDEX(ChqKey,301))</f>
        <v/>
      </c>
      <c r="L317" t="str">
        <f t="shared" si="4"/>
        <v/>
      </c>
    </row>
    <row r="318" spans="1:12" x14ac:dyDescent="0.2">
      <c r="A318" s="9" t="str">
        <f>IF(IFERROR(MATCH(302,ChqRankU,0),0)=0,"",302)</f>
        <v/>
      </c>
      <c r="B318" s="15" t="str">
        <f>IF(IFERROR(MATCH(302,ChqRankU,0),0)=0,"",INDEX(ChqNorm,IFERROR(MATCH(302,ChqRankU,0),0)))</f>
        <v/>
      </c>
      <c r="C318" s="15" t="str">
        <f>IF(IFERROR(MATCH(302,ChqRankU,0),0)=0,"",INDEX(ChqNo,IFERROR(MATCH(302,ChqRankU,0),0)))</f>
        <v/>
      </c>
      <c r="D318" s="16" t="str">
        <f>IF(IFERROR(MATCH(302,ChqRankU,0),0)=0,"",IF(INDEX(ChqAmt,IFERROR(MATCH(302,ChqRankU,0),0))=0,"",INDEX(ChqAmt,IFERROR(MATCH(302,ChqRankU,0),0))))</f>
        <v/>
      </c>
      <c r="E318" s="10" t="str">
        <f>IF(IFERROR(MATCH(302,ChqRankU,0),0)=0,"",INDEX(ChqStatus,IFERROR(MATCH(302,ChqRankU,0),0)))</f>
        <v/>
      </c>
      <c r="F318" s="15" t="str">
        <f>IF(IFERROR(MATCH(302,ChqRankU,0),0)=0,"",IF(INDEX(ChqStatus,IFERROR(MATCH(302,ChqRankU,0),0))="پاس نشده","—",IF(INDEX(ChqClr,IFERROR(MATCH(302,ChqRankU,0),0))="","—",INDEX(ChqClr,IFERROR(MATCH(302,ChqRankU,0),0)))))</f>
        <v/>
      </c>
      <c r="I318" t="str">
        <f>IF(302&gt;NChq,"",INDEX(ChqNorm,302))</f>
        <v/>
      </c>
      <c r="J318" t="str">
        <f>IF($I318="","",IF(AND($I318&gt;=$H$3,$I318&lt;=$H$4,INDEX(ChqStatus,302)="پاس نشده"),1,0))</f>
        <v/>
      </c>
      <c r="K318" t="str">
        <f>IF($J318=0,"",INDEX(ChqKey,302))</f>
        <v/>
      </c>
      <c r="L318" t="str">
        <f t="shared" si="4"/>
        <v/>
      </c>
    </row>
    <row r="319" spans="1:12" x14ac:dyDescent="0.2">
      <c r="A319" s="3" t="str">
        <f>IF(IFERROR(MATCH(303,ChqRankU,0),0)=0,"",303)</f>
        <v/>
      </c>
      <c r="B319" s="13" t="str">
        <f>IF(IFERROR(MATCH(303,ChqRankU,0),0)=0,"",INDEX(ChqNorm,IFERROR(MATCH(303,ChqRankU,0),0)))</f>
        <v/>
      </c>
      <c r="C319" s="13" t="str">
        <f>IF(IFERROR(MATCH(303,ChqRankU,0),0)=0,"",INDEX(ChqNo,IFERROR(MATCH(303,ChqRankU,0),0)))</f>
        <v/>
      </c>
      <c r="D319" s="14" t="str">
        <f>IF(IFERROR(MATCH(303,ChqRankU,0),0)=0,"",IF(INDEX(ChqAmt,IFERROR(MATCH(303,ChqRankU,0),0))=0,"",INDEX(ChqAmt,IFERROR(MATCH(303,ChqRankU,0),0))))</f>
        <v/>
      </c>
      <c r="E319" s="7" t="str">
        <f>IF(IFERROR(MATCH(303,ChqRankU,0),0)=0,"",INDEX(ChqStatus,IFERROR(MATCH(303,ChqRankU,0),0)))</f>
        <v/>
      </c>
      <c r="F319" s="13" t="str">
        <f>IF(IFERROR(MATCH(303,ChqRankU,0),0)=0,"",IF(INDEX(ChqStatus,IFERROR(MATCH(303,ChqRankU,0),0))="پاس نشده","—",IF(INDEX(ChqClr,IFERROR(MATCH(303,ChqRankU,0),0))="","—",INDEX(ChqClr,IFERROR(MATCH(303,ChqRankU,0),0)))))</f>
        <v/>
      </c>
      <c r="I319" t="str">
        <f>IF(303&gt;NChq,"",INDEX(ChqNorm,303))</f>
        <v/>
      </c>
      <c r="J319" t="str">
        <f>IF($I319="","",IF(AND($I319&gt;=$H$3,$I319&lt;=$H$4,INDEX(ChqStatus,303)="پاس نشده"),1,0))</f>
        <v/>
      </c>
      <c r="K319" t="str">
        <f>IF($J319=0,"",INDEX(ChqKey,303))</f>
        <v/>
      </c>
      <c r="L319" t="str">
        <f t="shared" si="4"/>
        <v/>
      </c>
    </row>
    <row r="320" spans="1:12" x14ac:dyDescent="0.2">
      <c r="A320" s="9" t="str">
        <f>IF(IFERROR(MATCH(304,ChqRankU,0),0)=0,"",304)</f>
        <v/>
      </c>
      <c r="B320" s="15" t="str">
        <f>IF(IFERROR(MATCH(304,ChqRankU,0),0)=0,"",INDEX(ChqNorm,IFERROR(MATCH(304,ChqRankU,0),0)))</f>
        <v/>
      </c>
      <c r="C320" s="15" t="str">
        <f>IF(IFERROR(MATCH(304,ChqRankU,0),0)=0,"",INDEX(ChqNo,IFERROR(MATCH(304,ChqRankU,0),0)))</f>
        <v/>
      </c>
      <c r="D320" s="16" t="str">
        <f>IF(IFERROR(MATCH(304,ChqRankU,0),0)=0,"",IF(INDEX(ChqAmt,IFERROR(MATCH(304,ChqRankU,0),0))=0,"",INDEX(ChqAmt,IFERROR(MATCH(304,ChqRankU,0),0))))</f>
        <v/>
      </c>
      <c r="E320" s="10" t="str">
        <f>IF(IFERROR(MATCH(304,ChqRankU,0),0)=0,"",INDEX(ChqStatus,IFERROR(MATCH(304,ChqRankU,0),0)))</f>
        <v/>
      </c>
      <c r="F320" s="15" t="str">
        <f>IF(IFERROR(MATCH(304,ChqRankU,0),0)=0,"",IF(INDEX(ChqStatus,IFERROR(MATCH(304,ChqRankU,0),0))="پاس نشده","—",IF(INDEX(ChqClr,IFERROR(MATCH(304,ChqRankU,0),0))="","—",INDEX(ChqClr,IFERROR(MATCH(304,ChqRankU,0),0)))))</f>
        <v/>
      </c>
      <c r="I320" t="str">
        <f>IF(304&gt;NChq,"",INDEX(ChqNorm,304))</f>
        <v/>
      </c>
      <c r="J320" t="str">
        <f>IF($I320="","",IF(AND($I320&gt;=$H$3,$I320&lt;=$H$4,INDEX(ChqStatus,304)="پاس نشده"),1,0))</f>
        <v/>
      </c>
      <c r="K320" t="str">
        <f>IF($J320=0,"",INDEX(ChqKey,304))</f>
        <v/>
      </c>
      <c r="L320" t="str">
        <f t="shared" si="4"/>
        <v/>
      </c>
    </row>
    <row r="321" spans="1:12" x14ac:dyDescent="0.2">
      <c r="A321" s="3" t="str">
        <f>IF(IFERROR(MATCH(305,ChqRankU,0),0)=0,"",305)</f>
        <v/>
      </c>
      <c r="B321" s="13" t="str">
        <f>IF(IFERROR(MATCH(305,ChqRankU,0),0)=0,"",INDEX(ChqNorm,IFERROR(MATCH(305,ChqRankU,0),0)))</f>
        <v/>
      </c>
      <c r="C321" s="13" t="str">
        <f>IF(IFERROR(MATCH(305,ChqRankU,0),0)=0,"",INDEX(ChqNo,IFERROR(MATCH(305,ChqRankU,0),0)))</f>
        <v/>
      </c>
      <c r="D321" s="14" t="str">
        <f>IF(IFERROR(MATCH(305,ChqRankU,0),0)=0,"",IF(INDEX(ChqAmt,IFERROR(MATCH(305,ChqRankU,0),0))=0,"",INDEX(ChqAmt,IFERROR(MATCH(305,ChqRankU,0),0))))</f>
        <v/>
      </c>
      <c r="E321" s="7" t="str">
        <f>IF(IFERROR(MATCH(305,ChqRankU,0),0)=0,"",INDEX(ChqStatus,IFERROR(MATCH(305,ChqRankU,0),0)))</f>
        <v/>
      </c>
      <c r="F321" s="13" t="str">
        <f>IF(IFERROR(MATCH(305,ChqRankU,0),0)=0,"",IF(INDEX(ChqStatus,IFERROR(MATCH(305,ChqRankU,0),0))="پاس نشده","—",IF(INDEX(ChqClr,IFERROR(MATCH(305,ChqRankU,0),0))="","—",INDEX(ChqClr,IFERROR(MATCH(305,ChqRankU,0),0)))))</f>
        <v/>
      </c>
      <c r="I321" t="str">
        <f>IF(305&gt;NChq,"",INDEX(ChqNorm,305))</f>
        <v/>
      </c>
      <c r="J321" t="str">
        <f>IF($I321="","",IF(AND($I321&gt;=$H$3,$I321&lt;=$H$4,INDEX(ChqStatus,305)="پاس نشده"),1,0))</f>
        <v/>
      </c>
      <c r="K321" t="str">
        <f>IF($J321=0,"",INDEX(ChqKey,305))</f>
        <v/>
      </c>
      <c r="L321" t="str">
        <f t="shared" si="4"/>
        <v/>
      </c>
    </row>
    <row r="322" spans="1:12" x14ac:dyDescent="0.2">
      <c r="A322" s="9" t="str">
        <f>IF(IFERROR(MATCH(306,ChqRankU,0),0)=0,"",306)</f>
        <v/>
      </c>
      <c r="B322" s="15" t="str">
        <f>IF(IFERROR(MATCH(306,ChqRankU,0),0)=0,"",INDEX(ChqNorm,IFERROR(MATCH(306,ChqRankU,0),0)))</f>
        <v/>
      </c>
      <c r="C322" s="15" t="str">
        <f>IF(IFERROR(MATCH(306,ChqRankU,0),0)=0,"",INDEX(ChqNo,IFERROR(MATCH(306,ChqRankU,0),0)))</f>
        <v/>
      </c>
      <c r="D322" s="16" t="str">
        <f>IF(IFERROR(MATCH(306,ChqRankU,0),0)=0,"",IF(INDEX(ChqAmt,IFERROR(MATCH(306,ChqRankU,0),0))=0,"",INDEX(ChqAmt,IFERROR(MATCH(306,ChqRankU,0),0))))</f>
        <v/>
      </c>
      <c r="E322" s="10" t="str">
        <f>IF(IFERROR(MATCH(306,ChqRankU,0),0)=0,"",INDEX(ChqStatus,IFERROR(MATCH(306,ChqRankU,0),0)))</f>
        <v/>
      </c>
      <c r="F322" s="15" t="str">
        <f>IF(IFERROR(MATCH(306,ChqRankU,0),0)=0,"",IF(INDEX(ChqStatus,IFERROR(MATCH(306,ChqRankU,0),0))="پاس نشده","—",IF(INDEX(ChqClr,IFERROR(MATCH(306,ChqRankU,0),0))="","—",INDEX(ChqClr,IFERROR(MATCH(306,ChqRankU,0),0)))))</f>
        <v/>
      </c>
      <c r="I322" t="str">
        <f>IF(306&gt;NChq,"",INDEX(ChqNorm,306))</f>
        <v/>
      </c>
      <c r="J322" t="str">
        <f>IF($I322="","",IF(AND($I322&gt;=$H$3,$I322&lt;=$H$4,INDEX(ChqStatus,306)="پاس نشده"),1,0))</f>
        <v/>
      </c>
      <c r="K322" t="str">
        <f>IF($J322=0,"",INDEX(ChqKey,306))</f>
        <v/>
      </c>
      <c r="L322" t="str">
        <f t="shared" si="4"/>
        <v/>
      </c>
    </row>
    <row r="323" spans="1:12" x14ac:dyDescent="0.2">
      <c r="A323" s="3" t="str">
        <f>IF(IFERROR(MATCH(307,ChqRankU,0),0)=0,"",307)</f>
        <v/>
      </c>
      <c r="B323" s="13" t="str">
        <f>IF(IFERROR(MATCH(307,ChqRankU,0),0)=0,"",INDEX(ChqNorm,IFERROR(MATCH(307,ChqRankU,0),0)))</f>
        <v/>
      </c>
      <c r="C323" s="13" t="str">
        <f>IF(IFERROR(MATCH(307,ChqRankU,0),0)=0,"",INDEX(ChqNo,IFERROR(MATCH(307,ChqRankU,0),0)))</f>
        <v/>
      </c>
      <c r="D323" s="14" t="str">
        <f>IF(IFERROR(MATCH(307,ChqRankU,0),0)=0,"",IF(INDEX(ChqAmt,IFERROR(MATCH(307,ChqRankU,0),0))=0,"",INDEX(ChqAmt,IFERROR(MATCH(307,ChqRankU,0),0))))</f>
        <v/>
      </c>
      <c r="E323" s="7" t="str">
        <f>IF(IFERROR(MATCH(307,ChqRankU,0),0)=0,"",INDEX(ChqStatus,IFERROR(MATCH(307,ChqRankU,0),0)))</f>
        <v/>
      </c>
      <c r="F323" s="13" t="str">
        <f>IF(IFERROR(MATCH(307,ChqRankU,0),0)=0,"",IF(INDEX(ChqStatus,IFERROR(MATCH(307,ChqRankU,0),0))="پاس نشده","—",IF(INDEX(ChqClr,IFERROR(MATCH(307,ChqRankU,0),0))="","—",INDEX(ChqClr,IFERROR(MATCH(307,ChqRankU,0),0)))))</f>
        <v/>
      </c>
      <c r="I323" t="str">
        <f>IF(307&gt;NChq,"",INDEX(ChqNorm,307))</f>
        <v/>
      </c>
      <c r="J323" t="str">
        <f>IF($I323="","",IF(AND($I323&gt;=$H$3,$I323&lt;=$H$4,INDEX(ChqStatus,307)="پاس نشده"),1,0))</f>
        <v/>
      </c>
      <c r="K323" t="str">
        <f>IF($J323=0,"",INDEX(ChqKey,307))</f>
        <v/>
      </c>
      <c r="L323" t="str">
        <f t="shared" si="4"/>
        <v/>
      </c>
    </row>
    <row r="324" spans="1:12" x14ac:dyDescent="0.2">
      <c r="A324" s="9" t="str">
        <f>IF(IFERROR(MATCH(308,ChqRankU,0),0)=0,"",308)</f>
        <v/>
      </c>
      <c r="B324" s="15" t="str">
        <f>IF(IFERROR(MATCH(308,ChqRankU,0),0)=0,"",INDEX(ChqNorm,IFERROR(MATCH(308,ChqRankU,0),0)))</f>
        <v/>
      </c>
      <c r="C324" s="15" t="str">
        <f>IF(IFERROR(MATCH(308,ChqRankU,0),0)=0,"",INDEX(ChqNo,IFERROR(MATCH(308,ChqRankU,0),0)))</f>
        <v/>
      </c>
      <c r="D324" s="16" t="str">
        <f>IF(IFERROR(MATCH(308,ChqRankU,0),0)=0,"",IF(INDEX(ChqAmt,IFERROR(MATCH(308,ChqRankU,0),0))=0,"",INDEX(ChqAmt,IFERROR(MATCH(308,ChqRankU,0),0))))</f>
        <v/>
      </c>
      <c r="E324" s="10" t="str">
        <f>IF(IFERROR(MATCH(308,ChqRankU,0),0)=0,"",INDEX(ChqStatus,IFERROR(MATCH(308,ChqRankU,0),0)))</f>
        <v/>
      </c>
      <c r="F324" s="15" t="str">
        <f>IF(IFERROR(MATCH(308,ChqRankU,0),0)=0,"",IF(INDEX(ChqStatus,IFERROR(MATCH(308,ChqRankU,0),0))="پاس نشده","—",IF(INDEX(ChqClr,IFERROR(MATCH(308,ChqRankU,0),0))="","—",INDEX(ChqClr,IFERROR(MATCH(308,ChqRankU,0),0)))))</f>
        <v/>
      </c>
      <c r="I324" t="str">
        <f>IF(308&gt;NChq,"",INDEX(ChqNorm,308))</f>
        <v/>
      </c>
      <c r="J324" t="str">
        <f>IF($I324="","",IF(AND($I324&gt;=$H$3,$I324&lt;=$H$4,INDEX(ChqStatus,308)="پاس نشده"),1,0))</f>
        <v/>
      </c>
      <c r="K324" t="str">
        <f>IF($J324=0,"",INDEX(ChqKey,308))</f>
        <v/>
      </c>
      <c r="L324" t="str">
        <f t="shared" si="4"/>
        <v/>
      </c>
    </row>
    <row r="325" spans="1:12" x14ac:dyDescent="0.2">
      <c r="A325" s="3" t="str">
        <f>IF(IFERROR(MATCH(309,ChqRankU,0),0)=0,"",309)</f>
        <v/>
      </c>
      <c r="B325" s="13" t="str">
        <f>IF(IFERROR(MATCH(309,ChqRankU,0),0)=0,"",INDEX(ChqNorm,IFERROR(MATCH(309,ChqRankU,0),0)))</f>
        <v/>
      </c>
      <c r="C325" s="13" t="str">
        <f>IF(IFERROR(MATCH(309,ChqRankU,0),0)=0,"",INDEX(ChqNo,IFERROR(MATCH(309,ChqRankU,0),0)))</f>
        <v/>
      </c>
      <c r="D325" s="14" t="str">
        <f>IF(IFERROR(MATCH(309,ChqRankU,0),0)=0,"",IF(INDEX(ChqAmt,IFERROR(MATCH(309,ChqRankU,0),0))=0,"",INDEX(ChqAmt,IFERROR(MATCH(309,ChqRankU,0),0))))</f>
        <v/>
      </c>
      <c r="E325" s="7" t="str">
        <f>IF(IFERROR(MATCH(309,ChqRankU,0),0)=0,"",INDEX(ChqStatus,IFERROR(MATCH(309,ChqRankU,0),0)))</f>
        <v/>
      </c>
      <c r="F325" s="13" t="str">
        <f>IF(IFERROR(MATCH(309,ChqRankU,0),0)=0,"",IF(INDEX(ChqStatus,IFERROR(MATCH(309,ChqRankU,0),0))="پاس نشده","—",IF(INDEX(ChqClr,IFERROR(MATCH(309,ChqRankU,0),0))="","—",INDEX(ChqClr,IFERROR(MATCH(309,ChqRankU,0),0)))))</f>
        <v/>
      </c>
      <c r="I325" t="str">
        <f>IF(309&gt;NChq,"",INDEX(ChqNorm,309))</f>
        <v/>
      </c>
      <c r="J325" t="str">
        <f>IF($I325="","",IF(AND($I325&gt;=$H$3,$I325&lt;=$H$4,INDEX(ChqStatus,309)="پاس نشده"),1,0))</f>
        <v/>
      </c>
      <c r="K325" t="str">
        <f>IF($J325=0,"",INDEX(ChqKey,309))</f>
        <v/>
      </c>
      <c r="L325" t="str">
        <f t="shared" si="4"/>
        <v/>
      </c>
    </row>
    <row r="326" spans="1:12" x14ac:dyDescent="0.2">
      <c r="A326" s="9" t="str">
        <f>IF(IFERROR(MATCH(310,ChqRankU,0),0)=0,"",310)</f>
        <v/>
      </c>
      <c r="B326" s="15" t="str">
        <f>IF(IFERROR(MATCH(310,ChqRankU,0),0)=0,"",INDEX(ChqNorm,IFERROR(MATCH(310,ChqRankU,0),0)))</f>
        <v/>
      </c>
      <c r="C326" s="15" t="str">
        <f>IF(IFERROR(MATCH(310,ChqRankU,0),0)=0,"",INDEX(ChqNo,IFERROR(MATCH(310,ChqRankU,0),0)))</f>
        <v/>
      </c>
      <c r="D326" s="16" t="str">
        <f>IF(IFERROR(MATCH(310,ChqRankU,0),0)=0,"",IF(INDEX(ChqAmt,IFERROR(MATCH(310,ChqRankU,0),0))=0,"",INDEX(ChqAmt,IFERROR(MATCH(310,ChqRankU,0),0))))</f>
        <v/>
      </c>
      <c r="E326" s="10" t="str">
        <f>IF(IFERROR(MATCH(310,ChqRankU,0),0)=0,"",INDEX(ChqStatus,IFERROR(MATCH(310,ChqRankU,0),0)))</f>
        <v/>
      </c>
      <c r="F326" s="15" t="str">
        <f>IF(IFERROR(MATCH(310,ChqRankU,0),0)=0,"",IF(INDEX(ChqStatus,IFERROR(MATCH(310,ChqRankU,0),0))="پاس نشده","—",IF(INDEX(ChqClr,IFERROR(MATCH(310,ChqRankU,0),0))="","—",INDEX(ChqClr,IFERROR(MATCH(310,ChqRankU,0),0)))))</f>
        <v/>
      </c>
      <c r="I326" t="str">
        <f>IF(310&gt;NChq,"",INDEX(ChqNorm,310))</f>
        <v/>
      </c>
      <c r="J326" t="str">
        <f>IF($I326="","",IF(AND($I326&gt;=$H$3,$I326&lt;=$H$4,INDEX(ChqStatus,310)="پاس نشده"),1,0))</f>
        <v/>
      </c>
      <c r="K326" t="str">
        <f>IF($J326=0,"",INDEX(ChqKey,310))</f>
        <v/>
      </c>
      <c r="L326" t="str">
        <f t="shared" si="4"/>
        <v/>
      </c>
    </row>
    <row r="327" spans="1:12" x14ac:dyDescent="0.2">
      <c r="A327" s="3" t="str">
        <f>IF(IFERROR(MATCH(311,ChqRankU,0),0)=0,"",311)</f>
        <v/>
      </c>
      <c r="B327" s="13" t="str">
        <f>IF(IFERROR(MATCH(311,ChqRankU,0),0)=0,"",INDEX(ChqNorm,IFERROR(MATCH(311,ChqRankU,0),0)))</f>
        <v/>
      </c>
      <c r="C327" s="13" t="str">
        <f>IF(IFERROR(MATCH(311,ChqRankU,0),0)=0,"",INDEX(ChqNo,IFERROR(MATCH(311,ChqRankU,0),0)))</f>
        <v/>
      </c>
      <c r="D327" s="14" t="str">
        <f>IF(IFERROR(MATCH(311,ChqRankU,0),0)=0,"",IF(INDEX(ChqAmt,IFERROR(MATCH(311,ChqRankU,0),0))=0,"",INDEX(ChqAmt,IFERROR(MATCH(311,ChqRankU,0),0))))</f>
        <v/>
      </c>
      <c r="E327" s="7" t="str">
        <f>IF(IFERROR(MATCH(311,ChqRankU,0),0)=0,"",INDEX(ChqStatus,IFERROR(MATCH(311,ChqRankU,0),0)))</f>
        <v/>
      </c>
      <c r="F327" s="13" t="str">
        <f>IF(IFERROR(MATCH(311,ChqRankU,0),0)=0,"",IF(INDEX(ChqStatus,IFERROR(MATCH(311,ChqRankU,0),0))="پاس نشده","—",IF(INDEX(ChqClr,IFERROR(MATCH(311,ChqRankU,0),0))="","—",INDEX(ChqClr,IFERROR(MATCH(311,ChqRankU,0),0)))))</f>
        <v/>
      </c>
      <c r="I327" t="str">
        <f>IF(311&gt;NChq,"",INDEX(ChqNorm,311))</f>
        <v/>
      </c>
      <c r="J327" t="str">
        <f>IF($I327="","",IF(AND($I327&gt;=$H$3,$I327&lt;=$H$4,INDEX(ChqStatus,311)="پاس نشده"),1,0))</f>
        <v/>
      </c>
      <c r="K327" t="str">
        <f>IF($J327=0,"",INDEX(ChqKey,311))</f>
        <v/>
      </c>
      <c r="L327" t="str">
        <f t="shared" si="4"/>
        <v/>
      </c>
    </row>
    <row r="328" spans="1:12" x14ac:dyDescent="0.2">
      <c r="A328" s="9" t="str">
        <f>IF(IFERROR(MATCH(312,ChqRankU,0),0)=0,"",312)</f>
        <v/>
      </c>
      <c r="B328" s="15" t="str">
        <f>IF(IFERROR(MATCH(312,ChqRankU,0),0)=0,"",INDEX(ChqNorm,IFERROR(MATCH(312,ChqRankU,0),0)))</f>
        <v/>
      </c>
      <c r="C328" s="15" t="str">
        <f>IF(IFERROR(MATCH(312,ChqRankU,0),0)=0,"",INDEX(ChqNo,IFERROR(MATCH(312,ChqRankU,0),0)))</f>
        <v/>
      </c>
      <c r="D328" s="16" t="str">
        <f>IF(IFERROR(MATCH(312,ChqRankU,0),0)=0,"",IF(INDEX(ChqAmt,IFERROR(MATCH(312,ChqRankU,0),0))=0,"",INDEX(ChqAmt,IFERROR(MATCH(312,ChqRankU,0),0))))</f>
        <v/>
      </c>
      <c r="E328" s="10" t="str">
        <f>IF(IFERROR(MATCH(312,ChqRankU,0),0)=0,"",INDEX(ChqStatus,IFERROR(MATCH(312,ChqRankU,0),0)))</f>
        <v/>
      </c>
      <c r="F328" s="15" t="str">
        <f>IF(IFERROR(MATCH(312,ChqRankU,0),0)=0,"",IF(INDEX(ChqStatus,IFERROR(MATCH(312,ChqRankU,0),0))="پاس نشده","—",IF(INDEX(ChqClr,IFERROR(MATCH(312,ChqRankU,0),0))="","—",INDEX(ChqClr,IFERROR(MATCH(312,ChqRankU,0),0)))))</f>
        <v/>
      </c>
      <c r="I328" t="str">
        <f>IF(312&gt;NChq,"",INDEX(ChqNorm,312))</f>
        <v/>
      </c>
      <c r="J328" t="str">
        <f>IF($I328="","",IF(AND($I328&gt;=$H$3,$I328&lt;=$H$4,INDEX(ChqStatus,312)="پاس نشده"),1,0))</f>
        <v/>
      </c>
      <c r="K328" t="str">
        <f>IF($J328=0,"",INDEX(ChqKey,312))</f>
        <v/>
      </c>
      <c r="L328" t="str">
        <f t="shared" si="4"/>
        <v/>
      </c>
    </row>
    <row r="329" spans="1:12" x14ac:dyDescent="0.2">
      <c r="A329" s="3" t="str">
        <f>IF(IFERROR(MATCH(313,ChqRankU,0),0)=0,"",313)</f>
        <v/>
      </c>
      <c r="B329" s="13" t="str">
        <f>IF(IFERROR(MATCH(313,ChqRankU,0),0)=0,"",INDEX(ChqNorm,IFERROR(MATCH(313,ChqRankU,0),0)))</f>
        <v/>
      </c>
      <c r="C329" s="13" t="str">
        <f>IF(IFERROR(MATCH(313,ChqRankU,0),0)=0,"",INDEX(ChqNo,IFERROR(MATCH(313,ChqRankU,0),0)))</f>
        <v/>
      </c>
      <c r="D329" s="14" t="str">
        <f>IF(IFERROR(MATCH(313,ChqRankU,0),0)=0,"",IF(INDEX(ChqAmt,IFERROR(MATCH(313,ChqRankU,0),0))=0,"",INDEX(ChqAmt,IFERROR(MATCH(313,ChqRankU,0),0))))</f>
        <v/>
      </c>
      <c r="E329" s="7" t="str">
        <f>IF(IFERROR(MATCH(313,ChqRankU,0),0)=0,"",INDEX(ChqStatus,IFERROR(MATCH(313,ChqRankU,0),0)))</f>
        <v/>
      </c>
      <c r="F329" s="13" t="str">
        <f>IF(IFERROR(MATCH(313,ChqRankU,0),0)=0,"",IF(INDEX(ChqStatus,IFERROR(MATCH(313,ChqRankU,0),0))="پاس نشده","—",IF(INDEX(ChqClr,IFERROR(MATCH(313,ChqRankU,0),0))="","—",INDEX(ChqClr,IFERROR(MATCH(313,ChqRankU,0),0)))))</f>
        <v/>
      </c>
      <c r="I329" t="str">
        <f>IF(313&gt;NChq,"",INDEX(ChqNorm,313))</f>
        <v/>
      </c>
      <c r="J329" t="str">
        <f>IF($I329="","",IF(AND($I329&gt;=$H$3,$I329&lt;=$H$4,INDEX(ChqStatus,313)="پاس نشده"),1,0))</f>
        <v/>
      </c>
      <c r="K329" t="str">
        <f>IF($J329=0,"",INDEX(ChqKey,313))</f>
        <v/>
      </c>
      <c r="L329" t="str">
        <f t="shared" si="4"/>
        <v/>
      </c>
    </row>
    <row r="330" spans="1:12" x14ac:dyDescent="0.2">
      <c r="A330" s="9" t="str">
        <f>IF(IFERROR(MATCH(314,ChqRankU,0),0)=0,"",314)</f>
        <v/>
      </c>
      <c r="B330" s="15" t="str">
        <f>IF(IFERROR(MATCH(314,ChqRankU,0),0)=0,"",INDEX(ChqNorm,IFERROR(MATCH(314,ChqRankU,0),0)))</f>
        <v/>
      </c>
      <c r="C330" s="15" t="str">
        <f>IF(IFERROR(MATCH(314,ChqRankU,0),0)=0,"",INDEX(ChqNo,IFERROR(MATCH(314,ChqRankU,0),0)))</f>
        <v/>
      </c>
      <c r="D330" s="16" t="str">
        <f>IF(IFERROR(MATCH(314,ChqRankU,0),0)=0,"",IF(INDEX(ChqAmt,IFERROR(MATCH(314,ChqRankU,0),0))=0,"",INDEX(ChqAmt,IFERROR(MATCH(314,ChqRankU,0),0))))</f>
        <v/>
      </c>
      <c r="E330" s="10" t="str">
        <f>IF(IFERROR(MATCH(314,ChqRankU,0),0)=0,"",INDEX(ChqStatus,IFERROR(MATCH(314,ChqRankU,0),0)))</f>
        <v/>
      </c>
      <c r="F330" s="15" t="str">
        <f>IF(IFERROR(MATCH(314,ChqRankU,0),0)=0,"",IF(INDEX(ChqStatus,IFERROR(MATCH(314,ChqRankU,0),0))="پاس نشده","—",IF(INDEX(ChqClr,IFERROR(MATCH(314,ChqRankU,0),0))="","—",INDEX(ChqClr,IFERROR(MATCH(314,ChqRankU,0),0)))))</f>
        <v/>
      </c>
      <c r="I330" t="str">
        <f>IF(314&gt;NChq,"",INDEX(ChqNorm,314))</f>
        <v/>
      </c>
      <c r="J330" t="str">
        <f>IF($I330="","",IF(AND($I330&gt;=$H$3,$I330&lt;=$H$4,INDEX(ChqStatus,314)="پاس نشده"),1,0))</f>
        <v/>
      </c>
      <c r="K330" t="str">
        <f>IF($J330=0,"",INDEX(ChqKey,314))</f>
        <v/>
      </c>
      <c r="L330" t="str">
        <f t="shared" si="4"/>
        <v/>
      </c>
    </row>
    <row r="331" spans="1:12" x14ac:dyDescent="0.2">
      <c r="A331" s="3" t="str">
        <f>IF(IFERROR(MATCH(315,ChqRankU,0),0)=0,"",315)</f>
        <v/>
      </c>
      <c r="B331" s="13" t="str">
        <f>IF(IFERROR(MATCH(315,ChqRankU,0),0)=0,"",INDEX(ChqNorm,IFERROR(MATCH(315,ChqRankU,0),0)))</f>
        <v/>
      </c>
      <c r="C331" s="13" t="str">
        <f>IF(IFERROR(MATCH(315,ChqRankU,0),0)=0,"",INDEX(ChqNo,IFERROR(MATCH(315,ChqRankU,0),0)))</f>
        <v/>
      </c>
      <c r="D331" s="14" t="str">
        <f>IF(IFERROR(MATCH(315,ChqRankU,0),0)=0,"",IF(INDEX(ChqAmt,IFERROR(MATCH(315,ChqRankU,0),0))=0,"",INDEX(ChqAmt,IFERROR(MATCH(315,ChqRankU,0),0))))</f>
        <v/>
      </c>
      <c r="E331" s="7" t="str">
        <f>IF(IFERROR(MATCH(315,ChqRankU,0),0)=0,"",INDEX(ChqStatus,IFERROR(MATCH(315,ChqRankU,0),0)))</f>
        <v/>
      </c>
      <c r="F331" s="13" t="str">
        <f>IF(IFERROR(MATCH(315,ChqRankU,0),0)=0,"",IF(INDEX(ChqStatus,IFERROR(MATCH(315,ChqRankU,0),0))="پاس نشده","—",IF(INDEX(ChqClr,IFERROR(MATCH(315,ChqRankU,0),0))="","—",INDEX(ChqClr,IFERROR(MATCH(315,ChqRankU,0),0)))))</f>
        <v/>
      </c>
      <c r="I331" t="str">
        <f>IF(315&gt;NChq,"",INDEX(ChqNorm,315))</f>
        <v/>
      </c>
      <c r="J331" t="str">
        <f>IF($I331="","",IF(AND($I331&gt;=$H$3,$I331&lt;=$H$4,INDEX(ChqStatus,315)="پاس نشده"),1,0))</f>
        <v/>
      </c>
      <c r="K331" t="str">
        <f>IF($J331=0,"",INDEX(ChqKey,315))</f>
        <v/>
      </c>
      <c r="L331" t="str">
        <f t="shared" si="4"/>
        <v/>
      </c>
    </row>
    <row r="332" spans="1:12" x14ac:dyDescent="0.2">
      <c r="A332" s="9" t="str">
        <f>IF(IFERROR(MATCH(316,ChqRankU,0),0)=0,"",316)</f>
        <v/>
      </c>
      <c r="B332" s="15" t="str">
        <f>IF(IFERROR(MATCH(316,ChqRankU,0),0)=0,"",INDEX(ChqNorm,IFERROR(MATCH(316,ChqRankU,0),0)))</f>
        <v/>
      </c>
      <c r="C332" s="15" t="str">
        <f>IF(IFERROR(MATCH(316,ChqRankU,0),0)=0,"",INDEX(ChqNo,IFERROR(MATCH(316,ChqRankU,0),0)))</f>
        <v/>
      </c>
      <c r="D332" s="16" t="str">
        <f>IF(IFERROR(MATCH(316,ChqRankU,0),0)=0,"",IF(INDEX(ChqAmt,IFERROR(MATCH(316,ChqRankU,0),0))=0,"",INDEX(ChqAmt,IFERROR(MATCH(316,ChqRankU,0),0))))</f>
        <v/>
      </c>
      <c r="E332" s="10" t="str">
        <f>IF(IFERROR(MATCH(316,ChqRankU,0),0)=0,"",INDEX(ChqStatus,IFERROR(MATCH(316,ChqRankU,0),0)))</f>
        <v/>
      </c>
      <c r="F332" s="15" t="str">
        <f>IF(IFERROR(MATCH(316,ChqRankU,0),0)=0,"",IF(INDEX(ChqStatus,IFERROR(MATCH(316,ChqRankU,0),0))="پاس نشده","—",IF(INDEX(ChqClr,IFERROR(MATCH(316,ChqRankU,0),0))="","—",INDEX(ChqClr,IFERROR(MATCH(316,ChqRankU,0),0)))))</f>
        <v/>
      </c>
      <c r="I332" t="str">
        <f>IF(316&gt;NChq,"",INDEX(ChqNorm,316))</f>
        <v/>
      </c>
      <c r="J332" t="str">
        <f>IF($I332="","",IF(AND($I332&gt;=$H$3,$I332&lt;=$H$4,INDEX(ChqStatus,316)="پاس نشده"),1,0))</f>
        <v/>
      </c>
      <c r="K332" t="str">
        <f>IF($J332=0,"",INDEX(ChqKey,316))</f>
        <v/>
      </c>
      <c r="L332" t="str">
        <f t="shared" si="4"/>
        <v/>
      </c>
    </row>
    <row r="333" spans="1:12" x14ac:dyDescent="0.2">
      <c r="A333" s="3" t="str">
        <f>IF(IFERROR(MATCH(317,ChqRankU,0),0)=0,"",317)</f>
        <v/>
      </c>
      <c r="B333" s="13" t="str">
        <f>IF(IFERROR(MATCH(317,ChqRankU,0),0)=0,"",INDEX(ChqNorm,IFERROR(MATCH(317,ChqRankU,0),0)))</f>
        <v/>
      </c>
      <c r="C333" s="13" t="str">
        <f>IF(IFERROR(MATCH(317,ChqRankU,0),0)=0,"",INDEX(ChqNo,IFERROR(MATCH(317,ChqRankU,0),0)))</f>
        <v/>
      </c>
      <c r="D333" s="14" t="str">
        <f>IF(IFERROR(MATCH(317,ChqRankU,0),0)=0,"",IF(INDEX(ChqAmt,IFERROR(MATCH(317,ChqRankU,0),0))=0,"",INDEX(ChqAmt,IFERROR(MATCH(317,ChqRankU,0),0))))</f>
        <v/>
      </c>
      <c r="E333" s="7" t="str">
        <f>IF(IFERROR(MATCH(317,ChqRankU,0),0)=0,"",INDEX(ChqStatus,IFERROR(MATCH(317,ChqRankU,0),0)))</f>
        <v/>
      </c>
      <c r="F333" s="13" t="str">
        <f>IF(IFERROR(MATCH(317,ChqRankU,0),0)=0,"",IF(INDEX(ChqStatus,IFERROR(MATCH(317,ChqRankU,0),0))="پاس نشده","—",IF(INDEX(ChqClr,IFERROR(MATCH(317,ChqRankU,0),0))="","—",INDEX(ChqClr,IFERROR(MATCH(317,ChqRankU,0),0)))))</f>
        <v/>
      </c>
      <c r="I333" t="str">
        <f>IF(317&gt;NChq,"",INDEX(ChqNorm,317))</f>
        <v/>
      </c>
      <c r="J333" t="str">
        <f>IF($I333="","",IF(AND($I333&gt;=$H$3,$I333&lt;=$H$4,INDEX(ChqStatus,317)="پاس نشده"),1,0))</f>
        <v/>
      </c>
      <c r="K333" t="str">
        <f>IF($J333=0,"",INDEX(ChqKey,317))</f>
        <v/>
      </c>
      <c r="L333" t="str">
        <f t="shared" si="4"/>
        <v/>
      </c>
    </row>
    <row r="334" spans="1:12" x14ac:dyDescent="0.2">
      <c r="A334" s="9" t="str">
        <f>IF(IFERROR(MATCH(318,ChqRankU,0),0)=0,"",318)</f>
        <v/>
      </c>
      <c r="B334" s="15" t="str">
        <f>IF(IFERROR(MATCH(318,ChqRankU,0),0)=0,"",INDEX(ChqNorm,IFERROR(MATCH(318,ChqRankU,0),0)))</f>
        <v/>
      </c>
      <c r="C334" s="15" t="str">
        <f>IF(IFERROR(MATCH(318,ChqRankU,0),0)=0,"",INDEX(ChqNo,IFERROR(MATCH(318,ChqRankU,0),0)))</f>
        <v/>
      </c>
      <c r="D334" s="16" t="str">
        <f>IF(IFERROR(MATCH(318,ChqRankU,0),0)=0,"",IF(INDEX(ChqAmt,IFERROR(MATCH(318,ChqRankU,0),0))=0,"",INDEX(ChqAmt,IFERROR(MATCH(318,ChqRankU,0),0))))</f>
        <v/>
      </c>
      <c r="E334" s="10" t="str">
        <f>IF(IFERROR(MATCH(318,ChqRankU,0),0)=0,"",INDEX(ChqStatus,IFERROR(MATCH(318,ChqRankU,0),0)))</f>
        <v/>
      </c>
      <c r="F334" s="15" t="str">
        <f>IF(IFERROR(MATCH(318,ChqRankU,0),0)=0,"",IF(INDEX(ChqStatus,IFERROR(MATCH(318,ChqRankU,0),0))="پاس نشده","—",IF(INDEX(ChqClr,IFERROR(MATCH(318,ChqRankU,0),0))="","—",INDEX(ChqClr,IFERROR(MATCH(318,ChqRankU,0),0)))))</f>
        <v/>
      </c>
      <c r="I334" t="str">
        <f>IF(318&gt;NChq,"",INDEX(ChqNorm,318))</f>
        <v/>
      </c>
      <c r="J334" t="str">
        <f>IF($I334="","",IF(AND($I334&gt;=$H$3,$I334&lt;=$H$4,INDEX(ChqStatus,318)="پاس نشده"),1,0))</f>
        <v/>
      </c>
      <c r="K334" t="str">
        <f>IF($J334=0,"",INDEX(ChqKey,318))</f>
        <v/>
      </c>
      <c r="L334" t="str">
        <f t="shared" si="4"/>
        <v/>
      </c>
    </row>
    <row r="335" spans="1:12" x14ac:dyDescent="0.2">
      <c r="A335" s="3" t="str">
        <f>IF(IFERROR(MATCH(319,ChqRankU,0),0)=0,"",319)</f>
        <v/>
      </c>
      <c r="B335" s="13" t="str">
        <f>IF(IFERROR(MATCH(319,ChqRankU,0),0)=0,"",INDEX(ChqNorm,IFERROR(MATCH(319,ChqRankU,0),0)))</f>
        <v/>
      </c>
      <c r="C335" s="13" t="str">
        <f>IF(IFERROR(MATCH(319,ChqRankU,0),0)=0,"",INDEX(ChqNo,IFERROR(MATCH(319,ChqRankU,0),0)))</f>
        <v/>
      </c>
      <c r="D335" s="14" t="str">
        <f>IF(IFERROR(MATCH(319,ChqRankU,0),0)=0,"",IF(INDEX(ChqAmt,IFERROR(MATCH(319,ChqRankU,0),0))=0,"",INDEX(ChqAmt,IFERROR(MATCH(319,ChqRankU,0),0))))</f>
        <v/>
      </c>
      <c r="E335" s="7" t="str">
        <f>IF(IFERROR(MATCH(319,ChqRankU,0),0)=0,"",INDEX(ChqStatus,IFERROR(MATCH(319,ChqRankU,0),0)))</f>
        <v/>
      </c>
      <c r="F335" s="13" t="str">
        <f>IF(IFERROR(MATCH(319,ChqRankU,0),0)=0,"",IF(INDEX(ChqStatus,IFERROR(MATCH(319,ChqRankU,0),0))="پاس نشده","—",IF(INDEX(ChqClr,IFERROR(MATCH(319,ChqRankU,0),0))="","—",INDEX(ChqClr,IFERROR(MATCH(319,ChqRankU,0),0)))))</f>
        <v/>
      </c>
      <c r="I335" t="str">
        <f>IF(319&gt;NChq,"",INDEX(ChqNorm,319))</f>
        <v/>
      </c>
      <c r="J335" t="str">
        <f>IF($I335="","",IF(AND($I335&gt;=$H$3,$I335&lt;=$H$4,INDEX(ChqStatus,319)="پاس نشده"),1,0))</f>
        <v/>
      </c>
      <c r="K335" t="str">
        <f>IF($J335=0,"",INDEX(ChqKey,319))</f>
        <v/>
      </c>
      <c r="L335" t="str">
        <f t="shared" si="4"/>
        <v/>
      </c>
    </row>
    <row r="336" spans="1:12" x14ac:dyDescent="0.2">
      <c r="A336" s="9" t="str">
        <f>IF(IFERROR(MATCH(320,ChqRankU,0),0)=0,"",320)</f>
        <v/>
      </c>
      <c r="B336" s="15" t="str">
        <f>IF(IFERROR(MATCH(320,ChqRankU,0),0)=0,"",INDEX(ChqNorm,IFERROR(MATCH(320,ChqRankU,0),0)))</f>
        <v/>
      </c>
      <c r="C336" s="15" t="str">
        <f>IF(IFERROR(MATCH(320,ChqRankU,0),0)=0,"",INDEX(ChqNo,IFERROR(MATCH(320,ChqRankU,0),0)))</f>
        <v/>
      </c>
      <c r="D336" s="16" t="str">
        <f>IF(IFERROR(MATCH(320,ChqRankU,0),0)=0,"",IF(INDEX(ChqAmt,IFERROR(MATCH(320,ChqRankU,0),0))=0,"",INDEX(ChqAmt,IFERROR(MATCH(320,ChqRankU,0),0))))</f>
        <v/>
      </c>
      <c r="E336" s="10" t="str">
        <f>IF(IFERROR(MATCH(320,ChqRankU,0),0)=0,"",INDEX(ChqStatus,IFERROR(MATCH(320,ChqRankU,0),0)))</f>
        <v/>
      </c>
      <c r="F336" s="15" t="str">
        <f>IF(IFERROR(MATCH(320,ChqRankU,0),0)=0,"",IF(INDEX(ChqStatus,IFERROR(MATCH(320,ChqRankU,0),0))="پاس نشده","—",IF(INDEX(ChqClr,IFERROR(MATCH(320,ChqRankU,0),0))="","—",INDEX(ChqClr,IFERROR(MATCH(320,ChqRankU,0),0)))))</f>
        <v/>
      </c>
      <c r="I336" t="str">
        <f>IF(320&gt;NChq,"",INDEX(ChqNorm,320))</f>
        <v/>
      </c>
      <c r="J336" t="str">
        <f>IF($I336="","",IF(AND($I336&gt;=$H$3,$I336&lt;=$H$4,INDEX(ChqStatus,320)="پاس نشده"),1,0))</f>
        <v/>
      </c>
      <c r="K336" t="str">
        <f>IF($J336=0,"",INDEX(ChqKey,320))</f>
        <v/>
      </c>
      <c r="L336" t="str">
        <f t="shared" si="4"/>
        <v/>
      </c>
    </row>
    <row r="337" spans="1:12" x14ac:dyDescent="0.2">
      <c r="A337" s="3" t="str">
        <f>IF(IFERROR(MATCH(321,ChqRankU,0),0)=0,"",321)</f>
        <v/>
      </c>
      <c r="B337" s="13" t="str">
        <f>IF(IFERROR(MATCH(321,ChqRankU,0),0)=0,"",INDEX(ChqNorm,IFERROR(MATCH(321,ChqRankU,0),0)))</f>
        <v/>
      </c>
      <c r="C337" s="13" t="str">
        <f>IF(IFERROR(MATCH(321,ChqRankU,0),0)=0,"",INDEX(ChqNo,IFERROR(MATCH(321,ChqRankU,0),0)))</f>
        <v/>
      </c>
      <c r="D337" s="14" t="str">
        <f>IF(IFERROR(MATCH(321,ChqRankU,0),0)=0,"",IF(INDEX(ChqAmt,IFERROR(MATCH(321,ChqRankU,0),0))=0,"",INDEX(ChqAmt,IFERROR(MATCH(321,ChqRankU,0),0))))</f>
        <v/>
      </c>
      <c r="E337" s="7" t="str">
        <f>IF(IFERROR(MATCH(321,ChqRankU,0),0)=0,"",INDEX(ChqStatus,IFERROR(MATCH(321,ChqRankU,0),0)))</f>
        <v/>
      </c>
      <c r="F337" s="13" t="str">
        <f>IF(IFERROR(MATCH(321,ChqRankU,0),0)=0,"",IF(INDEX(ChqStatus,IFERROR(MATCH(321,ChqRankU,0),0))="پاس نشده","—",IF(INDEX(ChqClr,IFERROR(MATCH(321,ChqRankU,0),0))="","—",INDEX(ChqClr,IFERROR(MATCH(321,ChqRankU,0),0)))))</f>
        <v/>
      </c>
      <c r="I337" t="str">
        <f>IF(321&gt;NChq,"",INDEX(ChqNorm,321))</f>
        <v/>
      </c>
      <c r="J337" t="str">
        <f>IF($I337="","",IF(AND($I337&gt;=$H$3,$I337&lt;=$H$4,INDEX(ChqStatus,321)="پاس نشده"),1,0))</f>
        <v/>
      </c>
      <c r="K337" t="str">
        <f>IF($J337=0,"",INDEX(ChqKey,321))</f>
        <v/>
      </c>
      <c r="L337" t="str">
        <f t="shared" ref="L337:L400" si="5">IF($K337="","",COUNTIFS($J$17:$J$516,1,$K$17:$K$516,"&lt;"&amp;$K337)+1)</f>
        <v/>
      </c>
    </row>
    <row r="338" spans="1:12" x14ac:dyDescent="0.2">
      <c r="A338" s="9" t="str">
        <f>IF(IFERROR(MATCH(322,ChqRankU,0),0)=0,"",322)</f>
        <v/>
      </c>
      <c r="B338" s="15" t="str">
        <f>IF(IFERROR(MATCH(322,ChqRankU,0),0)=0,"",INDEX(ChqNorm,IFERROR(MATCH(322,ChqRankU,0),0)))</f>
        <v/>
      </c>
      <c r="C338" s="15" t="str">
        <f>IF(IFERROR(MATCH(322,ChqRankU,0),0)=0,"",INDEX(ChqNo,IFERROR(MATCH(322,ChqRankU,0),0)))</f>
        <v/>
      </c>
      <c r="D338" s="16" t="str">
        <f>IF(IFERROR(MATCH(322,ChqRankU,0),0)=0,"",IF(INDEX(ChqAmt,IFERROR(MATCH(322,ChqRankU,0),0))=0,"",INDEX(ChqAmt,IFERROR(MATCH(322,ChqRankU,0),0))))</f>
        <v/>
      </c>
      <c r="E338" s="10" t="str">
        <f>IF(IFERROR(MATCH(322,ChqRankU,0),0)=0,"",INDEX(ChqStatus,IFERROR(MATCH(322,ChqRankU,0),0)))</f>
        <v/>
      </c>
      <c r="F338" s="15" t="str">
        <f>IF(IFERROR(MATCH(322,ChqRankU,0),0)=0,"",IF(INDEX(ChqStatus,IFERROR(MATCH(322,ChqRankU,0),0))="پاس نشده","—",IF(INDEX(ChqClr,IFERROR(MATCH(322,ChqRankU,0),0))="","—",INDEX(ChqClr,IFERROR(MATCH(322,ChqRankU,0),0)))))</f>
        <v/>
      </c>
      <c r="I338" t="str">
        <f>IF(322&gt;NChq,"",INDEX(ChqNorm,322))</f>
        <v/>
      </c>
      <c r="J338" t="str">
        <f>IF($I338="","",IF(AND($I338&gt;=$H$3,$I338&lt;=$H$4,INDEX(ChqStatus,322)="پاس نشده"),1,0))</f>
        <v/>
      </c>
      <c r="K338" t="str">
        <f>IF($J338=0,"",INDEX(ChqKey,322))</f>
        <v/>
      </c>
      <c r="L338" t="str">
        <f t="shared" si="5"/>
        <v/>
      </c>
    </row>
    <row r="339" spans="1:12" x14ac:dyDescent="0.2">
      <c r="A339" s="3" t="str">
        <f>IF(IFERROR(MATCH(323,ChqRankU,0),0)=0,"",323)</f>
        <v/>
      </c>
      <c r="B339" s="13" t="str">
        <f>IF(IFERROR(MATCH(323,ChqRankU,0),0)=0,"",INDEX(ChqNorm,IFERROR(MATCH(323,ChqRankU,0),0)))</f>
        <v/>
      </c>
      <c r="C339" s="13" t="str">
        <f>IF(IFERROR(MATCH(323,ChqRankU,0),0)=0,"",INDEX(ChqNo,IFERROR(MATCH(323,ChqRankU,0),0)))</f>
        <v/>
      </c>
      <c r="D339" s="14" t="str">
        <f>IF(IFERROR(MATCH(323,ChqRankU,0),0)=0,"",IF(INDEX(ChqAmt,IFERROR(MATCH(323,ChqRankU,0),0))=0,"",INDEX(ChqAmt,IFERROR(MATCH(323,ChqRankU,0),0))))</f>
        <v/>
      </c>
      <c r="E339" s="7" t="str">
        <f>IF(IFERROR(MATCH(323,ChqRankU,0),0)=0,"",INDEX(ChqStatus,IFERROR(MATCH(323,ChqRankU,0),0)))</f>
        <v/>
      </c>
      <c r="F339" s="13" t="str">
        <f>IF(IFERROR(MATCH(323,ChqRankU,0),0)=0,"",IF(INDEX(ChqStatus,IFERROR(MATCH(323,ChqRankU,0),0))="پاس نشده","—",IF(INDEX(ChqClr,IFERROR(MATCH(323,ChqRankU,0),0))="","—",INDEX(ChqClr,IFERROR(MATCH(323,ChqRankU,0),0)))))</f>
        <v/>
      </c>
      <c r="I339" t="str">
        <f>IF(323&gt;NChq,"",INDEX(ChqNorm,323))</f>
        <v/>
      </c>
      <c r="J339" t="str">
        <f>IF($I339="","",IF(AND($I339&gt;=$H$3,$I339&lt;=$H$4,INDEX(ChqStatus,323)="پاس نشده"),1,0))</f>
        <v/>
      </c>
      <c r="K339" t="str">
        <f>IF($J339=0,"",INDEX(ChqKey,323))</f>
        <v/>
      </c>
      <c r="L339" t="str">
        <f t="shared" si="5"/>
        <v/>
      </c>
    </row>
    <row r="340" spans="1:12" x14ac:dyDescent="0.2">
      <c r="A340" s="9" t="str">
        <f>IF(IFERROR(MATCH(324,ChqRankU,0),0)=0,"",324)</f>
        <v/>
      </c>
      <c r="B340" s="15" t="str">
        <f>IF(IFERROR(MATCH(324,ChqRankU,0),0)=0,"",INDEX(ChqNorm,IFERROR(MATCH(324,ChqRankU,0),0)))</f>
        <v/>
      </c>
      <c r="C340" s="15" t="str">
        <f>IF(IFERROR(MATCH(324,ChqRankU,0),0)=0,"",INDEX(ChqNo,IFERROR(MATCH(324,ChqRankU,0),0)))</f>
        <v/>
      </c>
      <c r="D340" s="16" t="str">
        <f>IF(IFERROR(MATCH(324,ChqRankU,0),0)=0,"",IF(INDEX(ChqAmt,IFERROR(MATCH(324,ChqRankU,0),0))=0,"",INDEX(ChqAmt,IFERROR(MATCH(324,ChqRankU,0),0))))</f>
        <v/>
      </c>
      <c r="E340" s="10" t="str">
        <f>IF(IFERROR(MATCH(324,ChqRankU,0),0)=0,"",INDEX(ChqStatus,IFERROR(MATCH(324,ChqRankU,0),0)))</f>
        <v/>
      </c>
      <c r="F340" s="15" t="str">
        <f>IF(IFERROR(MATCH(324,ChqRankU,0),0)=0,"",IF(INDEX(ChqStatus,IFERROR(MATCH(324,ChqRankU,0),0))="پاس نشده","—",IF(INDEX(ChqClr,IFERROR(MATCH(324,ChqRankU,0),0))="","—",INDEX(ChqClr,IFERROR(MATCH(324,ChqRankU,0),0)))))</f>
        <v/>
      </c>
      <c r="I340" t="str">
        <f>IF(324&gt;NChq,"",INDEX(ChqNorm,324))</f>
        <v/>
      </c>
      <c r="J340" t="str">
        <f>IF($I340="","",IF(AND($I340&gt;=$H$3,$I340&lt;=$H$4,INDEX(ChqStatus,324)="پاس نشده"),1,0))</f>
        <v/>
      </c>
      <c r="K340" t="str">
        <f>IF($J340=0,"",INDEX(ChqKey,324))</f>
        <v/>
      </c>
      <c r="L340" t="str">
        <f t="shared" si="5"/>
        <v/>
      </c>
    </row>
    <row r="341" spans="1:12" x14ac:dyDescent="0.2">
      <c r="A341" s="3" t="str">
        <f>IF(IFERROR(MATCH(325,ChqRankU,0),0)=0,"",325)</f>
        <v/>
      </c>
      <c r="B341" s="13" t="str">
        <f>IF(IFERROR(MATCH(325,ChqRankU,0),0)=0,"",INDEX(ChqNorm,IFERROR(MATCH(325,ChqRankU,0),0)))</f>
        <v/>
      </c>
      <c r="C341" s="13" t="str">
        <f>IF(IFERROR(MATCH(325,ChqRankU,0),0)=0,"",INDEX(ChqNo,IFERROR(MATCH(325,ChqRankU,0),0)))</f>
        <v/>
      </c>
      <c r="D341" s="14" t="str">
        <f>IF(IFERROR(MATCH(325,ChqRankU,0),0)=0,"",IF(INDEX(ChqAmt,IFERROR(MATCH(325,ChqRankU,0),0))=0,"",INDEX(ChqAmt,IFERROR(MATCH(325,ChqRankU,0),0))))</f>
        <v/>
      </c>
      <c r="E341" s="7" t="str">
        <f>IF(IFERROR(MATCH(325,ChqRankU,0),0)=0,"",INDEX(ChqStatus,IFERROR(MATCH(325,ChqRankU,0),0)))</f>
        <v/>
      </c>
      <c r="F341" s="13" t="str">
        <f>IF(IFERROR(MATCH(325,ChqRankU,0),0)=0,"",IF(INDEX(ChqStatus,IFERROR(MATCH(325,ChqRankU,0),0))="پاس نشده","—",IF(INDEX(ChqClr,IFERROR(MATCH(325,ChqRankU,0),0))="","—",INDEX(ChqClr,IFERROR(MATCH(325,ChqRankU,0),0)))))</f>
        <v/>
      </c>
      <c r="I341" t="str">
        <f>IF(325&gt;NChq,"",INDEX(ChqNorm,325))</f>
        <v/>
      </c>
      <c r="J341" t="str">
        <f>IF($I341="","",IF(AND($I341&gt;=$H$3,$I341&lt;=$H$4,INDEX(ChqStatus,325)="پاس نشده"),1,0))</f>
        <v/>
      </c>
      <c r="K341" t="str">
        <f>IF($J341=0,"",INDEX(ChqKey,325))</f>
        <v/>
      </c>
      <c r="L341" t="str">
        <f t="shared" si="5"/>
        <v/>
      </c>
    </row>
    <row r="342" spans="1:12" x14ac:dyDescent="0.2">
      <c r="A342" s="9" t="str">
        <f>IF(IFERROR(MATCH(326,ChqRankU,0),0)=0,"",326)</f>
        <v/>
      </c>
      <c r="B342" s="15" t="str">
        <f>IF(IFERROR(MATCH(326,ChqRankU,0),0)=0,"",INDEX(ChqNorm,IFERROR(MATCH(326,ChqRankU,0),0)))</f>
        <v/>
      </c>
      <c r="C342" s="15" t="str">
        <f>IF(IFERROR(MATCH(326,ChqRankU,0),0)=0,"",INDEX(ChqNo,IFERROR(MATCH(326,ChqRankU,0),0)))</f>
        <v/>
      </c>
      <c r="D342" s="16" t="str">
        <f>IF(IFERROR(MATCH(326,ChqRankU,0),0)=0,"",IF(INDEX(ChqAmt,IFERROR(MATCH(326,ChqRankU,0),0))=0,"",INDEX(ChqAmt,IFERROR(MATCH(326,ChqRankU,0),0))))</f>
        <v/>
      </c>
      <c r="E342" s="10" t="str">
        <f>IF(IFERROR(MATCH(326,ChqRankU,0),0)=0,"",INDEX(ChqStatus,IFERROR(MATCH(326,ChqRankU,0),0)))</f>
        <v/>
      </c>
      <c r="F342" s="15" t="str">
        <f>IF(IFERROR(MATCH(326,ChqRankU,0),0)=0,"",IF(INDEX(ChqStatus,IFERROR(MATCH(326,ChqRankU,0),0))="پاس نشده","—",IF(INDEX(ChqClr,IFERROR(MATCH(326,ChqRankU,0),0))="","—",INDEX(ChqClr,IFERROR(MATCH(326,ChqRankU,0),0)))))</f>
        <v/>
      </c>
      <c r="I342" t="str">
        <f>IF(326&gt;NChq,"",INDEX(ChqNorm,326))</f>
        <v/>
      </c>
      <c r="J342" t="str">
        <f>IF($I342="","",IF(AND($I342&gt;=$H$3,$I342&lt;=$H$4,INDEX(ChqStatus,326)="پاس نشده"),1,0))</f>
        <v/>
      </c>
      <c r="K342" t="str">
        <f>IF($J342=0,"",INDEX(ChqKey,326))</f>
        <v/>
      </c>
      <c r="L342" t="str">
        <f t="shared" si="5"/>
        <v/>
      </c>
    </row>
    <row r="343" spans="1:12" x14ac:dyDescent="0.2">
      <c r="A343" s="3" t="str">
        <f>IF(IFERROR(MATCH(327,ChqRankU,0),0)=0,"",327)</f>
        <v/>
      </c>
      <c r="B343" s="13" t="str">
        <f>IF(IFERROR(MATCH(327,ChqRankU,0),0)=0,"",INDEX(ChqNorm,IFERROR(MATCH(327,ChqRankU,0),0)))</f>
        <v/>
      </c>
      <c r="C343" s="13" t="str">
        <f>IF(IFERROR(MATCH(327,ChqRankU,0),0)=0,"",INDEX(ChqNo,IFERROR(MATCH(327,ChqRankU,0),0)))</f>
        <v/>
      </c>
      <c r="D343" s="14" t="str">
        <f>IF(IFERROR(MATCH(327,ChqRankU,0),0)=0,"",IF(INDEX(ChqAmt,IFERROR(MATCH(327,ChqRankU,0),0))=0,"",INDEX(ChqAmt,IFERROR(MATCH(327,ChqRankU,0),0))))</f>
        <v/>
      </c>
      <c r="E343" s="7" t="str">
        <f>IF(IFERROR(MATCH(327,ChqRankU,0),0)=0,"",INDEX(ChqStatus,IFERROR(MATCH(327,ChqRankU,0),0)))</f>
        <v/>
      </c>
      <c r="F343" s="13" t="str">
        <f>IF(IFERROR(MATCH(327,ChqRankU,0),0)=0,"",IF(INDEX(ChqStatus,IFERROR(MATCH(327,ChqRankU,0),0))="پاس نشده","—",IF(INDEX(ChqClr,IFERROR(MATCH(327,ChqRankU,0),0))="","—",INDEX(ChqClr,IFERROR(MATCH(327,ChqRankU,0),0)))))</f>
        <v/>
      </c>
      <c r="I343" t="str">
        <f>IF(327&gt;NChq,"",INDEX(ChqNorm,327))</f>
        <v/>
      </c>
      <c r="J343" t="str">
        <f>IF($I343="","",IF(AND($I343&gt;=$H$3,$I343&lt;=$H$4,INDEX(ChqStatus,327)="پاس نشده"),1,0))</f>
        <v/>
      </c>
      <c r="K343" t="str">
        <f>IF($J343=0,"",INDEX(ChqKey,327))</f>
        <v/>
      </c>
      <c r="L343" t="str">
        <f t="shared" si="5"/>
        <v/>
      </c>
    </row>
    <row r="344" spans="1:12" x14ac:dyDescent="0.2">
      <c r="A344" s="9" t="str">
        <f>IF(IFERROR(MATCH(328,ChqRankU,0),0)=0,"",328)</f>
        <v/>
      </c>
      <c r="B344" s="15" t="str">
        <f>IF(IFERROR(MATCH(328,ChqRankU,0),0)=0,"",INDEX(ChqNorm,IFERROR(MATCH(328,ChqRankU,0),0)))</f>
        <v/>
      </c>
      <c r="C344" s="15" t="str">
        <f>IF(IFERROR(MATCH(328,ChqRankU,0),0)=0,"",INDEX(ChqNo,IFERROR(MATCH(328,ChqRankU,0),0)))</f>
        <v/>
      </c>
      <c r="D344" s="16" t="str">
        <f>IF(IFERROR(MATCH(328,ChqRankU,0),0)=0,"",IF(INDEX(ChqAmt,IFERROR(MATCH(328,ChqRankU,0),0))=0,"",INDEX(ChqAmt,IFERROR(MATCH(328,ChqRankU,0),0))))</f>
        <v/>
      </c>
      <c r="E344" s="10" t="str">
        <f>IF(IFERROR(MATCH(328,ChqRankU,0),0)=0,"",INDEX(ChqStatus,IFERROR(MATCH(328,ChqRankU,0),0)))</f>
        <v/>
      </c>
      <c r="F344" s="15" t="str">
        <f>IF(IFERROR(MATCH(328,ChqRankU,0),0)=0,"",IF(INDEX(ChqStatus,IFERROR(MATCH(328,ChqRankU,0),0))="پاس نشده","—",IF(INDEX(ChqClr,IFERROR(MATCH(328,ChqRankU,0),0))="","—",INDEX(ChqClr,IFERROR(MATCH(328,ChqRankU,0),0)))))</f>
        <v/>
      </c>
      <c r="I344" t="str">
        <f>IF(328&gt;NChq,"",INDEX(ChqNorm,328))</f>
        <v/>
      </c>
      <c r="J344" t="str">
        <f>IF($I344="","",IF(AND($I344&gt;=$H$3,$I344&lt;=$H$4,INDEX(ChqStatus,328)="پاس نشده"),1,0))</f>
        <v/>
      </c>
      <c r="K344" t="str">
        <f>IF($J344=0,"",INDEX(ChqKey,328))</f>
        <v/>
      </c>
      <c r="L344" t="str">
        <f t="shared" si="5"/>
        <v/>
      </c>
    </row>
    <row r="345" spans="1:12" x14ac:dyDescent="0.2">
      <c r="A345" s="3" t="str">
        <f>IF(IFERROR(MATCH(329,ChqRankU,0),0)=0,"",329)</f>
        <v/>
      </c>
      <c r="B345" s="13" t="str">
        <f>IF(IFERROR(MATCH(329,ChqRankU,0),0)=0,"",INDEX(ChqNorm,IFERROR(MATCH(329,ChqRankU,0),0)))</f>
        <v/>
      </c>
      <c r="C345" s="13" t="str">
        <f>IF(IFERROR(MATCH(329,ChqRankU,0),0)=0,"",INDEX(ChqNo,IFERROR(MATCH(329,ChqRankU,0),0)))</f>
        <v/>
      </c>
      <c r="D345" s="14" t="str">
        <f>IF(IFERROR(MATCH(329,ChqRankU,0),0)=0,"",IF(INDEX(ChqAmt,IFERROR(MATCH(329,ChqRankU,0),0))=0,"",INDEX(ChqAmt,IFERROR(MATCH(329,ChqRankU,0),0))))</f>
        <v/>
      </c>
      <c r="E345" s="7" t="str">
        <f>IF(IFERROR(MATCH(329,ChqRankU,0),0)=0,"",INDEX(ChqStatus,IFERROR(MATCH(329,ChqRankU,0),0)))</f>
        <v/>
      </c>
      <c r="F345" s="13" t="str">
        <f>IF(IFERROR(MATCH(329,ChqRankU,0),0)=0,"",IF(INDEX(ChqStatus,IFERROR(MATCH(329,ChqRankU,0),0))="پاس نشده","—",IF(INDEX(ChqClr,IFERROR(MATCH(329,ChqRankU,0),0))="","—",INDEX(ChqClr,IFERROR(MATCH(329,ChqRankU,0),0)))))</f>
        <v/>
      </c>
      <c r="I345" t="str">
        <f>IF(329&gt;NChq,"",INDEX(ChqNorm,329))</f>
        <v/>
      </c>
      <c r="J345" t="str">
        <f>IF($I345="","",IF(AND($I345&gt;=$H$3,$I345&lt;=$H$4,INDEX(ChqStatus,329)="پاس نشده"),1,0))</f>
        <v/>
      </c>
      <c r="K345" t="str">
        <f>IF($J345=0,"",INDEX(ChqKey,329))</f>
        <v/>
      </c>
      <c r="L345" t="str">
        <f t="shared" si="5"/>
        <v/>
      </c>
    </row>
    <row r="346" spans="1:12" x14ac:dyDescent="0.2">
      <c r="A346" s="9" t="str">
        <f>IF(IFERROR(MATCH(330,ChqRankU,0),0)=0,"",330)</f>
        <v/>
      </c>
      <c r="B346" s="15" t="str">
        <f>IF(IFERROR(MATCH(330,ChqRankU,0),0)=0,"",INDEX(ChqNorm,IFERROR(MATCH(330,ChqRankU,0),0)))</f>
        <v/>
      </c>
      <c r="C346" s="15" t="str">
        <f>IF(IFERROR(MATCH(330,ChqRankU,0),0)=0,"",INDEX(ChqNo,IFERROR(MATCH(330,ChqRankU,0),0)))</f>
        <v/>
      </c>
      <c r="D346" s="16" t="str">
        <f>IF(IFERROR(MATCH(330,ChqRankU,0),0)=0,"",IF(INDEX(ChqAmt,IFERROR(MATCH(330,ChqRankU,0),0))=0,"",INDEX(ChqAmt,IFERROR(MATCH(330,ChqRankU,0),0))))</f>
        <v/>
      </c>
      <c r="E346" s="10" t="str">
        <f>IF(IFERROR(MATCH(330,ChqRankU,0),0)=0,"",INDEX(ChqStatus,IFERROR(MATCH(330,ChqRankU,0),0)))</f>
        <v/>
      </c>
      <c r="F346" s="15" t="str">
        <f>IF(IFERROR(MATCH(330,ChqRankU,0),0)=0,"",IF(INDEX(ChqStatus,IFERROR(MATCH(330,ChqRankU,0),0))="پاس نشده","—",IF(INDEX(ChqClr,IFERROR(MATCH(330,ChqRankU,0),0))="","—",INDEX(ChqClr,IFERROR(MATCH(330,ChqRankU,0),0)))))</f>
        <v/>
      </c>
      <c r="I346" t="str">
        <f>IF(330&gt;NChq,"",INDEX(ChqNorm,330))</f>
        <v/>
      </c>
      <c r="J346" t="str">
        <f>IF($I346="","",IF(AND($I346&gt;=$H$3,$I346&lt;=$H$4,INDEX(ChqStatus,330)="پاس نشده"),1,0))</f>
        <v/>
      </c>
      <c r="K346" t="str">
        <f>IF($J346=0,"",INDEX(ChqKey,330))</f>
        <v/>
      </c>
      <c r="L346" t="str">
        <f t="shared" si="5"/>
        <v/>
      </c>
    </row>
    <row r="347" spans="1:12" x14ac:dyDescent="0.2">
      <c r="A347" s="3" t="str">
        <f>IF(IFERROR(MATCH(331,ChqRankU,0),0)=0,"",331)</f>
        <v/>
      </c>
      <c r="B347" s="13" t="str">
        <f>IF(IFERROR(MATCH(331,ChqRankU,0),0)=0,"",INDEX(ChqNorm,IFERROR(MATCH(331,ChqRankU,0),0)))</f>
        <v/>
      </c>
      <c r="C347" s="13" t="str">
        <f>IF(IFERROR(MATCH(331,ChqRankU,0),0)=0,"",INDEX(ChqNo,IFERROR(MATCH(331,ChqRankU,0),0)))</f>
        <v/>
      </c>
      <c r="D347" s="14" t="str">
        <f>IF(IFERROR(MATCH(331,ChqRankU,0),0)=0,"",IF(INDEX(ChqAmt,IFERROR(MATCH(331,ChqRankU,0),0))=0,"",INDEX(ChqAmt,IFERROR(MATCH(331,ChqRankU,0),0))))</f>
        <v/>
      </c>
      <c r="E347" s="7" t="str">
        <f>IF(IFERROR(MATCH(331,ChqRankU,0),0)=0,"",INDEX(ChqStatus,IFERROR(MATCH(331,ChqRankU,0),0)))</f>
        <v/>
      </c>
      <c r="F347" s="13" t="str">
        <f>IF(IFERROR(MATCH(331,ChqRankU,0),0)=0,"",IF(INDEX(ChqStatus,IFERROR(MATCH(331,ChqRankU,0),0))="پاس نشده","—",IF(INDEX(ChqClr,IFERROR(MATCH(331,ChqRankU,0),0))="","—",INDEX(ChqClr,IFERROR(MATCH(331,ChqRankU,0),0)))))</f>
        <v/>
      </c>
      <c r="I347" t="str">
        <f>IF(331&gt;NChq,"",INDEX(ChqNorm,331))</f>
        <v/>
      </c>
      <c r="J347" t="str">
        <f>IF($I347="","",IF(AND($I347&gt;=$H$3,$I347&lt;=$H$4,INDEX(ChqStatus,331)="پاس نشده"),1,0))</f>
        <v/>
      </c>
      <c r="K347" t="str">
        <f>IF($J347=0,"",INDEX(ChqKey,331))</f>
        <v/>
      </c>
      <c r="L347" t="str">
        <f t="shared" si="5"/>
        <v/>
      </c>
    </row>
    <row r="348" spans="1:12" x14ac:dyDescent="0.2">
      <c r="A348" s="9" t="str">
        <f>IF(IFERROR(MATCH(332,ChqRankU,0),0)=0,"",332)</f>
        <v/>
      </c>
      <c r="B348" s="15" t="str">
        <f>IF(IFERROR(MATCH(332,ChqRankU,0),0)=0,"",INDEX(ChqNorm,IFERROR(MATCH(332,ChqRankU,0),0)))</f>
        <v/>
      </c>
      <c r="C348" s="15" t="str">
        <f>IF(IFERROR(MATCH(332,ChqRankU,0),0)=0,"",INDEX(ChqNo,IFERROR(MATCH(332,ChqRankU,0),0)))</f>
        <v/>
      </c>
      <c r="D348" s="16" t="str">
        <f>IF(IFERROR(MATCH(332,ChqRankU,0),0)=0,"",IF(INDEX(ChqAmt,IFERROR(MATCH(332,ChqRankU,0),0))=0,"",INDEX(ChqAmt,IFERROR(MATCH(332,ChqRankU,0),0))))</f>
        <v/>
      </c>
      <c r="E348" s="10" t="str">
        <f>IF(IFERROR(MATCH(332,ChqRankU,0),0)=0,"",INDEX(ChqStatus,IFERROR(MATCH(332,ChqRankU,0),0)))</f>
        <v/>
      </c>
      <c r="F348" s="15" t="str">
        <f>IF(IFERROR(MATCH(332,ChqRankU,0),0)=0,"",IF(INDEX(ChqStatus,IFERROR(MATCH(332,ChqRankU,0),0))="پاس نشده","—",IF(INDEX(ChqClr,IFERROR(MATCH(332,ChqRankU,0),0))="","—",INDEX(ChqClr,IFERROR(MATCH(332,ChqRankU,0),0)))))</f>
        <v/>
      </c>
      <c r="I348" t="str">
        <f>IF(332&gt;NChq,"",INDEX(ChqNorm,332))</f>
        <v/>
      </c>
      <c r="J348" t="str">
        <f>IF($I348="","",IF(AND($I348&gt;=$H$3,$I348&lt;=$H$4,INDEX(ChqStatus,332)="پاس نشده"),1,0))</f>
        <v/>
      </c>
      <c r="K348" t="str">
        <f>IF($J348=0,"",INDEX(ChqKey,332))</f>
        <v/>
      </c>
      <c r="L348" t="str">
        <f t="shared" si="5"/>
        <v/>
      </c>
    </row>
    <row r="349" spans="1:12" x14ac:dyDescent="0.2">
      <c r="A349" s="3" t="str">
        <f>IF(IFERROR(MATCH(333,ChqRankU,0),0)=0,"",333)</f>
        <v/>
      </c>
      <c r="B349" s="13" t="str">
        <f>IF(IFERROR(MATCH(333,ChqRankU,0),0)=0,"",INDEX(ChqNorm,IFERROR(MATCH(333,ChqRankU,0),0)))</f>
        <v/>
      </c>
      <c r="C349" s="13" t="str">
        <f>IF(IFERROR(MATCH(333,ChqRankU,0),0)=0,"",INDEX(ChqNo,IFERROR(MATCH(333,ChqRankU,0),0)))</f>
        <v/>
      </c>
      <c r="D349" s="14" t="str">
        <f>IF(IFERROR(MATCH(333,ChqRankU,0),0)=0,"",IF(INDEX(ChqAmt,IFERROR(MATCH(333,ChqRankU,0),0))=0,"",INDEX(ChqAmt,IFERROR(MATCH(333,ChqRankU,0),0))))</f>
        <v/>
      </c>
      <c r="E349" s="7" t="str">
        <f>IF(IFERROR(MATCH(333,ChqRankU,0),0)=0,"",INDEX(ChqStatus,IFERROR(MATCH(333,ChqRankU,0),0)))</f>
        <v/>
      </c>
      <c r="F349" s="13" t="str">
        <f>IF(IFERROR(MATCH(333,ChqRankU,0),0)=0,"",IF(INDEX(ChqStatus,IFERROR(MATCH(333,ChqRankU,0),0))="پاس نشده","—",IF(INDEX(ChqClr,IFERROR(MATCH(333,ChqRankU,0),0))="","—",INDEX(ChqClr,IFERROR(MATCH(333,ChqRankU,0),0)))))</f>
        <v/>
      </c>
      <c r="I349" t="str">
        <f>IF(333&gt;NChq,"",INDEX(ChqNorm,333))</f>
        <v/>
      </c>
      <c r="J349" t="str">
        <f>IF($I349="","",IF(AND($I349&gt;=$H$3,$I349&lt;=$H$4,INDEX(ChqStatus,333)="پاس نشده"),1,0))</f>
        <v/>
      </c>
      <c r="K349" t="str">
        <f>IF($J349=0,"",INDEX(ChqKey,333))</f>
        <v/>
      </c>
      <c r="L349" t="str">
        <f t="shared" si="5"/>
        <v/>
      </c>
    </row>
    <row r="350" spans="1:12" x14ac:dyDescent="0.2">
      <c r="A350" s="9" t="str">
        <f>IF(IFERROR(MATCH(334,ChqRankU,0),0)=0,"",334)</f>
        <v/>
      </c>
      <c r="B350" s="15" t="str">
        <f>IF(IFERROR(MATCH(334,ChqRankU,0),0)=0,"",INDEX(ChqNorm,IFERROR(MATCH(334,ChqRankU,0),0)))</f>
        <v/>
      </c>
      <c r="C350" s="15" t="str">
        <f>IF(IFERROR(MATCH(334,ChqRankU,0),0)=0,"",INDEX(ChqNo,IFERROR(MATCH(334,ChqRankU,0),0)))</f>
        <v/>
      </c>
      <c r="D350" s="16" t="str">
        <f>IF(IFERROR(MATCH(334,ChqRankU,0),0)=0,"",IF(INDEX(ChqAmt,IFERROR(MATCH(334,ChqRankU,0),0))=0,"",INDEX(ChqAmt,IFERROR(MATCH(334,ChqRankU,0),0))))</f>
        <v/>
      </c>
      <c r="E350" s="10" t="str">
        <f>IF(IFERROR(MATCH(334,ChqRankU,0),0)=0,"",INDEX(ChqStatus,IFERROR(MATCH(334,ChqRankU,0),0)))</f>
        <v/>
      </c>
      <c r="F350" s="15" t="str">
        <f>IF(IFERROR(MATCH(334,ChqRankU,0),0)=0,"",IF(INDEX(ChqStatus,IFERROR(MATCH(334,ChqRankU,0),0))="پاس نشده","—",IF(INDEX(ChqClr,IFERROR(MATCH(334,ChqRankU,0),0))="","—",INDEX(ChqClr,IFERROR(MATCH(334,ChqRankU,0),0)))))</f>
        <v/>
      </c>
      <c r="I350" t="str">
        <f>IF(334&gt;NChq,"",INDEX(ChqNorm,334))</f>
        <v/>
      </c>
      <c r="J350" t="str">
        <f>IF($I350="","",IF(AND($I350&gt;=$H$3,$I350&lt;=$H$4,INDEX(ChqStatus,334)="پاس نشده"),1,0))</f>
        <v/>
      </c>
      <c r="K350" t="str">
        <f>IF($J350=0,"",INDEX(ChqKey,334))</f>
        <v/>
      </c>
      <c r="L350" t="str">
        <f t="shared" si="5"/>
        <v/>
      </c>
    </row>
    <row r="351" spans="1:12" x14ac:dyDescent="0.2">
      <c r="A351" s="3" t="str">
        <f>IF(IFERROR(MATCH(335,ChqRankU,0),0)=0,"",335)</f>
        <v/>
      </c>
      <c r="B351" s="13" t="str">
        <f>IF(IFERROR(MATCH(335,ChqRankU,0),0)=0,"",INDEX(ChqNorm,IFERROR(MATCH(335,ChqRankU,0),0)))</f>
        <v/>
      </c>
      <c r="C351" s="13" t="str">
        <f>IF(IFERROR(MATCH(335,ChqRankU,0),0)=0,"",INDEX(ChqNo,IFERROR(MATCH(335,ChqRankU,0),0)))</f>
        <v/>
      </c>
      <c r="D351" s="14" t="str">
        <f>IF(IFERROR(MATCH(335,ChqRankU,0),0)=0,"",IF(INDEX(ChqAmt,IFERROR(MATCH(335,ChqRankU,0),0))=0,"",INDEX(ChqAmt,IFERROR(MATCH(335,ChqRankU,0),0))))</f>
        <v/>
      </c>
      <c r="E351" s="7" t="str">
        <f>IF(IFERROR(MATCH(335,ChqRankU,0),0)=0,"",INDEX(ChqStatus,IFERROR(MATCH(335,ChqRankU,0),0)))</f>
        <v/>
      </c>
      <c r="F351" s="13" t="str">
        <f>IF(IFERROR(MATCH(335,ChqRankU,0),0)=0,"",IF(INDEX(ChqStatus,IFERROR(MATCH(335,ChqRankU,0),0))="پاس نشده","—",IF(INDEX(ChqClr,IFERROR(MATCH(335,ChqRankU,0),0))="","—",INDEX(ChqClr,IFERROR(MATCH(335,ChqRankU,0),0)))))</f>
        <v/>
      </c>
      <c r="I351" t="str">
        <f>IF(335&gt;NChq,"",INDEX(ChqNorm,335))</f>
        <v/>
      </c>
      <c r="J351" t="str">
        <f>IF($I351="","",IF(AND($I351&gt;=$H$3,$I351&lt;=$H$4,INDEX(ChqStatus,335)="پاس نشده"),1,0))</f>
        <v/>
      </c>
      <c r="K351" t="str">
        <f>IF($J351=0,"",INDEX(ChqKey,335))</f>
        <v/>
      </c>
      <c r="L351" t="str">
        <f t="shared" si="5"/>
        <v/>
      </c>
    </row>
    <row r="352" spans="1:12" x14ac:dyDescent="0.2">
      <c r="A352" s="9" t="str">
        <f>IF(IFERROR(MATCH(336,ChqRankU,0),0)=0,"",336)</f>
        <v/>
      </c>
      <c r="B352" s="15" t="str">
        <f>IF(IFERROR(MATCH(336,ChqRankU,0),0)=0,"",INDEX(ChqNorm,IFERROR(MATCH(336,ChqRankU,0),0)))</f>
        <v/>
      </c>
      <c r="C352" s="15" t="str">
        <f>IF(IFERROR(MATCH(336,ChqRankU,0),0)=0,"",INDEX(ChqNo,IFERROR(MATCH(336,ChqRankU,0),0)))</f>
        <v/>
      </c>
      <c r="D352" s="16" t="str">
        <f>IF(IFERROR(MATCH(336,ChqRankU,0),0)=0,"",IF(INDEX(ChqAmt,IFERROR(MATCH(336,ChqRankU,0),0))=0,"",INDEX(ChqAmt,IFERROR(MATCH(336,ChqRankU,0),0))))</f>
        <v/>
      </c>
      <c r="E352" s="10" t="str">
        <f>IF(IFERROR(MATCH(336,ChqRankU,0),0)=0,"",INDEX(ChqStatus,IFERROR(MATCH(336,ChqRankU,0),0)))</f>
        <v/>
      </c>
      <c r="F352" s="15" t="str">
        <f>IF(IFERROR(MATCH(336,ChqRankU,0),0)=0,"",IF(INDEX(ChqStatus,IFERROR(MATCH(336,ChqRankU,0),0))="پاس نشده","—",IF(INDEX(ChqClr,IFERROR(MATCH(336,ChqRankU,0),0))="","—",INDEX(ChqClr,IFERROR(MATCH(336,ChqRankU,0),0)))))</f>
        <v/>
      </c>
      <c r="I352" t="str">
        <f>IF(336&gt;NChq,"",INDEX(ChqNorm,336))</f>
        <v/>
      </c>
      <c r="J352" t="str">
        <f>IF($I352="","",IF(AND($I352&gt;=$H$3,$I352&lt;=$H$4,INDEX(ChqStatus,336)="پاس نشده"),1,0))</f>
        <v/>
      </c>
      <c r="K352" t="str">
        <f>IF($J352=0,"",INDEX(ChqKey,336))</f>
        <v/>
      </c>
      <c r="L352" t="str">
        <f t="shared" si="5"/>
        <v/>
      </c>
    </row>
    <row r="353" spans="1:12" x14ac:dyDescent="0.2">
      <c r="A353" s="3" t="str">
        <f>IF(IFERROR(MATCH(337,ChqRankU,0),0)=0,"",337)</f>
        <v/>
      </c>
      <c r="B353" s="13" t="str">
        <f>IF(IFERROR(MATCH(337,ChqRankU,0),0)=0,"",INDEX(ChqNorm,IFERROR(MATCH(337,ChqRankU,0),0)))</f>
        <v/>
      </c>
      <c r="C353" s="13" t="str">
        <f>IF(IFERROR(MATCH(337,ChqRankU,0),0)=0,"",INDEX(ChqNo,IFERROR(MATCH(337,ChqRankU,0),0)))</f>
        <v/>
      </c>
      <c r="D353" s="14" t="str">
        <f>IF(IFERROR(MATCH(337,ChqRankU,0),0)=0,"",IF(INDEX(ChqAmt,IFERROR(MATCH(337,ChqRankU,0),0))=0,"",INDEX(ChqAmt,IFERROR(MATCH(337,ChqRankU,0),0))))</f>
        <v/>
      </c>
      <c r="E353" s="7" t="str">
        <f>IF(IFERROR(MATCH(337,ChqRankU,0),0)=0,"",INDEX(ChqStatus,IFERROR(MATCH(337,ChqRankU,0),0)))</f>
        <v/>
      </c>
      <c r="F353" s="13" t="str">
        <f>IF(IFERROR(MATCH(337,ChqRankU,0),0)=0,"",IF(INDEX(ChqStatus,IFERROR(MATCH(337,ChqRankU,0),0))="پاس نشده","—",IF(INDEX(ChqClr,IFERROR(MATCH(337,ChqRankU,0),0))="","—",INDEX(ChqClr,IFERROR(MATCH(337,ChqRankU,0),0)))))</f>
        <v/>
      </c>
      <c r="I353" t="str">
        <f>IF(337&gt;NChq,"",INDEX(ChqNorm,337))</f>
        <v/>
      </c>
      <c r="J353" t="str">
        <f>IF($I353="","",IF(AND($I353&gt;=$H$3,$I353&lt;=$H$4,INDEX(ChqStatus,337)="پاس نشده"),1,0))</f>
        <v/>
      </c>
      <c r="K353" t="str">
        <f>IF($J353=0,"",INDEX(ChqKey,337))</f>
        <v/>
      </c>
      <c r="L353" t="str">
        <f t="shared" si="5"/>
        <v/>
      </c>
    </row>
    <row r="354" spans="1:12" x14ac:dyDescent="0.2">
      <c r="A354" s="9" t="str">
        <f>IF(IFERROR(MATCH(338,ChqRankU,0),0)=0,"",338)</f>
        <v/>
      </c>
      <c r="B354" s="15" t="str">
        <f>IF(IFERROR(MATCH(338,ChqRankU,0),0)=0,"",INDEX(ChqNorm,IFERROR(MATCH(338,ChqRankU,0),0)))</f>
        <v/>
      </c>
      <c r="C354" s="15" t="str">
        <f>IF(IFERROR(MATCH(338,ChqRankU,0),0)=0,"",INDEX(ChqNo,IFERROR(MATCH(338,ChqRankU,0),0)))</f>
        <v/>
      </c>
      <c r="D354" s="16" t="str">
        <f>IF(IFERROR(MATCH(338,ChqRankU,0),0)=0,"",IF(INDEX(ChqAmt,IFERROR(MATCH(338,ChqRankU,0),0))=0,"",INDEX(ChqAmt,IFERROR(MATCH(338,ChqRankU,0),0))))</f>
        <v/>
      </c>
      <c r="E354" s="10" t="str">
        <f>IF(IFERROR(MATCH(338,ChqRankU,0),0)=0,"",INDEX(ChqStatus,IFERROR(MATCH(338,ChqRankU,0),0)))</f>
        <v/>
      </c>
      <c r="F354" s="15" t="str">
        <f>IF(IFERROR(MATCH(338,ChqRankU,0),0)=0,"",IF(INDEX(ChqStatus,IFERROR(MATCH(338,ChqRankU,0),0))="پاس نشده","—",IF(INDEX(ChqClr,IFERROR(MATCH(338,ChqRankU,0),0))="","—",INDEX(ChqClr,IFERROR(MATCH(338,ChqRankU,0),0)))))</f>
        <v/>
      </c>
      <c r="I354" t="str">
        <f>IF(338&gt;NChq,"",INDEX(ChqNorm,338))</f>
        <v/>
      </c>
      <c r="J354" t="str">
        <f>IF($I354="","",IF(AND($I354&gt;=$H$3,$I354&lt;=$H$4,INDEX(ChqStatus,338)="پاس نشده"),1,0))</f>
        <v/>
      </c>
      <c r="K354" t="str">
        <f>IF($J354=0,"",INDEX(ChqKey,338))</f>
        <v/>
      </c>
      <c r="L354" t="str">
        <f t="shared" si="5"/>
        <v/>
      </c>
    </row>
    <row r="355" spans="1:12" x14ac:dyDescent="0.2">
      <c r="A355" s="3" t="str">
        <f>IF(IFERROR(MATCH(339,ChqRankU,0),0)=0,"",339)</f>
        <v/>
      </c>
      <c r="B355" s="13" t="str">
        <f>IF(IFERROR(MATCH(339,ChqRankU,0),0)=0,"",INDEX(ChqNorm,IFERROR(MATCH(339,ChqRankU,0),0)))</f>
        <v/>
      </c>
      <c r="C355" s="13" t="str">
        <f>IF(IFERROR(MATCH(339,ChqRankU,0),0)=0,"",INDEX(ChqNo,IFERROR(MATCH(339,ChqRankU,0),0)))</f>
        <v/>
      </c>
      <c r="D355" s="14" t="str">
        <f>IF(IFERROR(MATCH(339,ChqRankU,0),0)=0,"",IF(INDEX(ChqAmt,IFERROR(MATCH(339,ChqRankU,0),0))=0,"",INDEX(ChqAmt,IFERROR(MATCH(339,ChqRankU,0),0))))</f>
        <v/>
      </c>
      <c r="E355" s="7" t="str">
        <f>IF(IFERROR(MATCH(339,ChqRankU,0),0)=0,"",INDEX(ChqStatus,IFERROR(MATCH(339,ChqRankU,0),0)))</f>
        <v/>
      </c>
      <c r="F355" s="13" t="str">
        <f>IF(IFERROR(MATCH(339,ChqRankU,0),0)=0,"",IF(INDEX(ChqStatus,IFERROR(MATCH(339,ChqRankU,0),0))="پاس نشده","—",IF(INDEX(ChqClr,IFERROR(MATCH(339,ChqRankU,0),0))="","—",INDEX(ChqClr,IFERROR(MATCH(339,ChqRankU,0),0)))))</f>
        <v/>
      </c>
      <c r="I355" t="str">
        <f>IF(339&gt;NChq,"",INDEX(ChqNorm,339))</f>
        <v/>
      </c>
      <c r="J355" t="str">
        <f>IF($I355="","",IF(AND($I355&gt;=$H$3,$I355&lt;=$H$4,INDEX(ChqStatus,339)="پاس نشده"),1,0))</f>
        <v/>
      </c>
      <c r="K355" t="str">
        <f>IF($J355=0,"",INDEX(ChqKey,339))</f>
        <v/>
      </c>
      <c r="L355" t="str">
        <f t="shared" si="5"/>
        <v/>
      </c>
    </row>
    <row r="356" spans="1:12" x14ac:dyDescent="0.2">
      <c r="A356" s="9" t="str">
        <f>IF(IFERROR(MATCH(340,ChqRankU,0),0)=0,"",340)</f>
        <v/>
      </c>
      <c r="B356" s="15" t="str">
        <f>IF(IFERROR(MATCH(340,ChqRankU,0),0)=0,"",INDEX(ChqNorm,IFERROR(MATCH(340,ChqRankU,0),0)))</f>
        <v/>
      </c>
      <c r="C356" s="15" t="str">
        <f>IF(IFERROR(MATCH(340,ChqRankU,0),0)=0,"",INDEX(ChqNo,IFERROR(MATCH(340,ChqRankU,0),0)))</f>
        <v/>
      </c>
      <c r="D356" s="16" t="str">
        <f>IF(IFERROR(MATCH(340,ChqRankU,0),0)=0,"",IF(INDEX(ChqAmt,IFERROR(MATCH(340,ChqRankU,0),0))=0,"",INDEX(ChqAmt,IFERROR(MATCH(340,ChqRankU,0),0))))</f>
        <v/>
      </c>
      <c r="E356" s="10" t="str">
        <f>IF(IFERROR(MATCH(340,ChqRankU,0),0)=0,"",INDEX(ChqStatus,IFERROR(MATCH(340,ChqRankU,0),0)))</f>
        <v/>
      </c>
      <c r="F356" s="15" t="str">
        <f>IF(IFERROR(MATCH(340,ChqRankU,0),0)=0,"",IF(INDEX(ChqStatus,IFERROR(MATCH(340,ChqRankU,0),0))="پاس نشده","—",IF(INDEX(ChqClr,IFERROR(MATCH(340,ChqRankU,0),0))="","—",INDEX(ChqClr,IFERROR(MATCH(340,ChqRankU,0),0)))))</f>
        <v/>
      </c>
      <c r="I356" t="str">
        <f>IF(340&gt;NChq,"",INDEX(ChqNorm,340))</f>
        <v/>
      </c>
      <c r="J356" t="str">
        <f>IF($I356="","",IF(AND($I356&gt;=$H$3,$I356&lt;=$H$4,INDEX(ChqStatus,340)="پاس نشده"),1,0))</f>
        <v/>
      </c>
      <c r="K356" t="str">
        <f>IF($J356=0,"",INDEX(ChqKey,340))</f>
        <v/>
      </c>
      <c r="L356" t="str">
        <f t="shared" si="5"/>
        <v/>
      </c>
    </row>
    <row r="357" spans="1:12" x14ac:dyDescent="0.2">
      <c r="A357" s="3" t="str">
        <f>IF(IFERROR(MATCH(341,ChqRankU,0),0)=0,"",341)</f>
        <v/>
      </c>
      <c r="B357" s="13" t="str">
        <f>IF(IFERROR(MATCH(341,ChqRankU,0),0)=0,"",INDEX(ChqNorm,IFERROR(MATCH(341,ChqRankU,0),0)))</f>
        <v/>
      </c>
      <c r="C357" s="13" t="str">
        <f>IF(IFERROR(MATCH(341,ChqRankU,0),0)=0,"",INDEX(ChqNo,IFERROR(MATCH(341,ChqRankU,0),0)))</f>
        <v/>
      </c>
      <c r="D357" s="14" t="str">
        <f>IF(IFERROR(MATCH(341,ChqRankU,0),0)=0,"",IF(INDEX(ChqAmt,IFERROR(MATCH(341,ChqRankU,0),0))=0,"",INDEX(ChqAmt,IFERROR(MATCH(341,ChqRankU,0),0))))</f>
        <v/>
      </c>
      <c r="E357" s="7" t="str">
        <f>IF(IFERROR(MATCH(341,ChqRankU,0),0)=0,"",INDEX(ChqStatus,IFERROR(MATCH(341,ChqRankU,0),0)))</f>
        <v/>
      </c>
      <c r="F357" s="13" t="str">
        <f>IF(IFERROR(MATCH(341,ChqRankU,0),0)=0,"",IF(INDEX(ChqStatus,IFERROR(MATCH(341,ChqRankU,0),0))="پاس نشده","—",IF(INDEX(ChqClr,IFERROR(MATCH(341,ChqRankU,0),0))="","—",INDEX(ChqClr,IFERROR(MATCH(341,ChqRankU,0),0)))))</f>
        <v/>
      </c>
      <c r="I357" t="str">
        <f>IF(341&gt;NChq,"",INDEX(ChqNorm,341))</f>
        <v/>
      </c>
      <c r="J357" t="str">
        <f>IF($I357="","",IF(AND($I357&gt;=$H$3,$I357&lt;=$H$4,INDEX(ChqStatus,341)="پاس نشده"),1,0))</f>
        <v/>
      </c>
      <c r="K357" t="str">
        <f>IF($J357=0,"",INDEX(ChqKey,341))</f>
        <v/>
      </c>
      <c r="L357" t="str">
        <f t="shared" si="5"/>
        <v/>
      </c>
    </row>
    <row r="358" spans="1:12" x14ac:dyDescent="0.2">
      <c r="A358" s="9" t="str">
        <f>IF(IFERROR(MATCH(342,ChqRankU,0),0)=0,"",342)</f>
        <v/>
      </c>
      <c r="B358" s="15" t="str">
        <f>IF(IFERROR(MATCH(342,ChqRankU,0),0)=0,"",INDEX(ChqNorm,IFERROR(MATCH(342,ChqRankU,0),0)))</f>
        <v/>
      </c>
      <c r="C358" s="15" t="str">
        <f>IF(IFERROR(MATCH(342,ChqRankU,0),0)=0,"",INDEX(ChqNo,IFERROR(MATCH(342,ChqRankU,0),0)))</f>
        <v/>
      </c>
      <c r="D358" s="16" t="str">
        <f>IF(IFERROR(MATCH(342,ChqRankU,0),0)=0,"",IF(INDEX(ChqAmt,IFERROR(MATCH(342,ChqRankU,0),0))=0,"",INDEX(ChqAmt,IFERROR(MATCH(342,ChqRankU,0),0))))</f>
        <v/>
      </c>
      <c r="E358" s="10" t="str">
        <f>IF(IFERROR(MATCH(342,ChqRankU,0),0)=0,"",INDEX(ChqStatus,IFERROR(MATCH(342,ChqRankU,0),0)))</f>
        <v/>
      </c>
      <c r="F358" s="15" t="str">
        <f>IF(IFERROR(MATCH(342,ChqRankU,0),0)=0,"",IF(INDEX(ChqStatus,IFERROR(MATCH(342,ChqRankU,0),0))="پاس نشده","—",IF(INDEX(ChqClr,IFERROR(MATCH(342,ChqRankU,0),0))="","—",INDEX(ChqClr,IFERROR(MATCH(342,ChqRankU,0),0)))))</f>
        <v/>
      </c>
      <c r="I358" t="str">
        <f>IF(342&gt;NChq,"",INDEX(ChqNorm,342))</f>
        <v/>
      </c>
      <c r="J358" t="str">
        <f>IF($I358="","",IF(AND($I358&gt;=$H$3,$I358&lt;=$H$4,INDEX(ChqStatus,342)="پاس نشده"),1,0))</f>
        <v/>
      </c>
      <c r="K358" t="str">
        <f>IF($J358=0,"",INDEX(ChqKey,342))</f>
        <v/>
      </c>
      <c r="L358" t="str">
        <f t="shared" si="5"/>
        <v/>
      </c>
    </row>
    <row r="359" spans="1:12" x14ac:dyDescent="0.2">
      <c r="A359" s="3" t="str">
        <f>IF(IFERROR(MATCH(343,ChqRankU,0),0)=0,"",343)</f>
        <v/>
      </c>
      <c r="B359" s="13" t="str">
        <f>IF(IFERROR(MATCH(343,ChqRankU,0),0)=0,"",INDEX(ChqNorm,IFERROR(MATCH(343,ChqRankU,0),0)))</f>
        <v/>
      </c>
      <c r="C359" s="13" t="str">
        <f>IF(IFERROR(MATCH(343,ChqRankU,0),0)=0,"",INDEX(ChqNo,IFERROR(MATCH(343,ChqRankU,0),0)))</f>
        <v/>
      </c>
      <c r="D359" s="14" t="str">
        <f>IF(IFERROR(MATCH(343,ChqRankU,0),0)=0,"",IF(INDEX(ChqAmt,IFERROR(MATCH(343,ChqRankU,0),0))=0,"",INDEX(ChqAmt,IFERROR(MATCH(343,ChqRankU,0),0))))</f>
        <v/>
      </c>
      <c r="E359" s="7" t="str">
        <f>IF(IFERROR(MATCH(343,ChqRankU,0),0)=0,"",INDEX(ChqStatus,IFERROR(MATCH(343,ChqRankU,0),0)))</f>
        <v/>
      </c>
      <c r="F359" s="13" t="str">
        <f>IF(IFERROR(MATCH(343,ChqRankU,0),0)=0,"",IF(INDEX(ChqStatus,IFERROR(MATCH(343,ChqRankU,0),0))="پاس نشده","—",IF(INDEX(ChqClr,IFERROR(MATCH(343,ChqRankU,0),0))="","—",INDEX(ChqClr,IFERROR(MATCH(343,ChqRankU,0),0)))))</f>
        <v/>
      </c>
      <c r="I359" t="str">
        <f>IF(343&gt;NChq,"",INDEX(ChqNorm,343))</f>
        <v/>
      </c>
      <c r="J359" t="str">
        <f>IF($I359="","",IF(AND($I359&gt;=$H$3,$I359&lt;=$H$4,INDEX(ChqStatus,343)="پاس نشده"),1,0))</f>
        <v/>
      </c>
      <c r="K359" t="str">
        <f>IF($J359=0,"",INDEX(ChqKey,343))</f>
        <v/>
      </c>
      <c r="L359" t="str">
        <f t="shared" si="5"/>
        <v/>
      </c>
    </row>
    <row r="360" spans="1:12" x14ac:dyDescent="0.2">
      <c r="A360" s="9" t="str">
        <f>IF(IFERROR(MATCH(344,ChqRankU,0),0)=0,"",344)</f>
        <v/>
      </c>
      <c r="B360" s="15" t="str">
        <f>IF(IFERROR(MATCH(344,ChqRankU,0),0)=0,"",INDEX(ChqNorm,IFERROR(MATCH(344,ChqRankU,0),0)))</f>
        <v/>
      </c>
      <c r="C360" s="15" t="str">
        <f>IF(IFERROR(MATCH(344,ChqRankU,0),0)=0,"",INDEX(ChqNo,IFERROR(MATCH(344,ChqRankU,0),0)))</f>
        <v/>
      </c>
      <c r="D360" s="16" t="str">
        <f>IF(IFERROR(MATCH(344,ChqRankU,0),0)=0,"",IF(INDEX(ChqAmt,IFERROR(MATCH(344,ChqRankU,0),0))=0,"",INDEX(ChqAmt,IFERROR(MATCH(344,ChqRankU,0),0))))</f>
        <v/>
      </c>
      <c r="E360" s="10" t="str">
        <f>IF(IFERROR(MATCH(344,ChqRankU,0),0)=0,"",INDEX(ChqStatus,IFERROR(MATCH(344,ChqRankU,0),0)))</f>
        <v/>
      </c>
      <c r="F360" s="15" t="str">
        <f>IF(IFERROR(MATCH(344,ChqRankU,0),0)=0,"",IF(INDEX(ChqStatus,IFERROR(MATCH(344,ChqRankU,0),0))="پاس نشده","—",IF(INDEX(ChqClr,IFERROR(MATCH(344,ChqRankU,0),0))="","—",INDEX(ChqClr,IFERROR(MATCH(344,ChqRankU,0),0)))))</f>
        <v/>
      </c>
      <c r="I360" t="str">
        <f>IF(344&gt;NChq,"",INDEX(ChqNorm,344))</f>
        <v/>
      </c>
      <c r="J360" t="str">
        <f>IF($I360="","",IF(AND($I360&gt;=$H$3,$I360&lt;=$H$4,INDEX(ChqStatus,344)="پاس نشده"),1,0))</f>
        <v/>
      </c>
      <c r="K360" t="str">
        <f>IF($J360=0,"",INDEX(ChqKey,344))</f>
        <v/>
      </c>
      <c r="L360" t="str">
        <f t="shared" si="5"/>
        <v/>
      </c>
    </row>
    <row r="361" spans="1:12" x14ac:dyDescent="0.2">
      <c r="A361" s="3" t="str">
        <f>IF(IFERROR(MATCH(345,ChqRankU,0),0)=0,"",345)</f>
        <v/>
      </c>
      <c r="B361" s="13" t="str">
        <f>IF(IFERROR(MATCH(345,ChqRankU,0),0)=0,"",INDEX(ChqNorm,IFERROR(MATCH(345,ChqRankU,0),0)))</f>
        <v/>
      </c>
      <c r="C361" s="13" t="str">
        <f>IF(IFERROR(MATCH(345,ChqRankU,0),0)=0,"",INDEX(ChqNo,IFERROR(MATCH(345,ChqRankU,0),0)))</f>
        <v/>
      </c>
      <c r="D361" s="14" t="str">
        <f>IF(IFERROR(MATCH(345,ChqRankU,0),0)=0,"",IF(INDEX(ChqAmt,IFERROR(MATCH(345,ChqRankU,0),0))=0,"",INDEX(ChqAmt,IFERROR(MATCH(345,ChqRankU,0),0))))</f>
        <v/>
      </c>
      <c r="E361" s="7" t="str">
        <f>IF(IFERROR(MATCH(345,ChqRankU,0),0)=0,"",INDEX(ChqStatus,IFERROR(MATCH(345,ChqRankU,0),0)))</f>
        <v/>
      </c>
      <c r="F361" s="13" t="str">
        <f>IF(IFERROR(MATCH(345,ChqRankU,0),0)=0,"",IF(INDEX(ChqStatus,IFERROR(MATCH(345,ChqRankU,0),0))="پاس نشده","—",IF(INDEX(ChqClr,IFERROR(MATCH(345,ChqRankU,0),0))="","—",INDEX(ChqClr,IFERROR(MATCH(345,ChqRankU,0),0)))))</f>
        <v/>
      </c>
      <c r="I361" t="str">
        <f>IF(345&gt;NChq,"",INDEX(ChqNorm,345))</f>
        <v/>
      </c>
      <c r="J361" t="str">
        <f>IF($I361="","",IF(AND($I361&gt;=$H$3,$I361&lt;=$H$4,INDEX(ChqStatus,345)="پاس نشده"),1,0))</f>
        <v/>
      </c>
      <c r="K361" t="str">
        <f>IF($J361=0,"",INDEX(ChqKey,345))</f>
        <v/>
      </c>
      <c r="L361" t="str">
        <f t="shared" si="5"/>
        <v/>
      </c>
    </row>
    <row r="362" spans="1:12" x14ac:dyDescent="0.2">
      <c r="A362" s="9" t="str">
        <f>IF(IFERROR(MATCH(346,ChqRankU,0),0)=0,"",346)</f>
        <v/>
      </c>
      <c r="B362" s="15" t="str">
        <f>IF(IFERROR(MATCH(346,ChqRankU,0),0)=0,"",INDEX(ChqNorm,IFERROR(MATCH(346,ChqRankU,0),0)))</f>
        <v/>
      </c>
      <c r="C362" s="15" t="str">
        <f>IF(IFERROR(MATCH(346,ChqRankU,0),0)=0,"",INDEX(ChqNo,IFERROR(MATCH(346,ChqRankU,0),0)))</f>
        <v/>
      </c>
      <c r="D362" s="16" t="str">
        <f>IF(IFERROR(MATCH(346,ChqRankU,0),0)=0,"",IF(INDEX(ChqAmt,IFERROR(MATCH(346,ChqRankU,0),0))=0,"",INDEX(ChqAmt,IFERROR(MATCH(346,ChqRankU,0),0))))</f>
        <v/>
      </c>
      <c r="E362" s="10" t="str">
        <f>IF(IFERROR(MATCH(346,ChqRankU,0),0)=0,"",INDEX(ChqStatus,IFERROR(MATCH(346,ChqRankU,0),0)))</f>
        <v/>
      </c>
      <c r="F362" s="15" t="str">
        <f>IF(IFERROR(MATCH(346,ChqRankU,0),0)=0,"",IF(INDEX(ChqStatus,IFERROR(MATCH(346,ChqRankU,0),0))="پاس نشده","—",IF(INDEX(ChqClr,IFERROR(MATCH(346,ChqRankU,0),0))="","—",INDEX(ChqClr,IFERROR(MATCH(346,ChqRankU,0),0)))))</f>
        <v/>
      </c>
      <c r="I362" t="str">
        <f>IF(346&gt;NChq,"",INDEX(ChqNorm,346))</f>
        <v/>
      </c>
      <c r="J362" t="str">
        <f>IF($I362="","",IF(AND($I362&gt;=$H$3,$I362&lt;=$H$4,INDEX(ChqStatus,346)="پاس نشده"),1,0))</f>
        <v/>
      </c>
      <c r="K362" t="str">
        <f>IF($J362=0,"",INDEX(ChqKey,346))</f>
        <v/>
      </c>
      <c r="L362" t="str">
        <f t="shared" si="5"/>
        <v/>
      </c>
    </row>
    <row r="363" spans="1:12" x14ac:dyDescent="0.2">
      <c r="A363" s="3" t="str">
        <f>IF(IFERROR(MATCH(347,ChqRankU,0),0)=0,"",347)</f>
        <v/>
      </c>
      <c r="B363" s="13" t="str">
        <f>IF(IFERROR(MATCH(347,ChqRankU,0),0)=0,"",INDEX(ChqNorm,IFERROR(MATCH(347,ChqRankU,0),0)))</f>
        <v/>
      </c>
      <c r="C363" s="13" t="str">
        <f>IF(IFERROR(MATCH(347,ChqRankU,0),0)=0,"",INDEX(ChqNo,IFERROR(MATCH(347,ChqRankU,0),0)))</f>
        <v/>
      </c>
      <c r="D363" s="14" t="str">
        <f>IF(IFERROR(MATCH(347,ChqRankU,0),0)=0,"",IF(INDEX(ChqAmt,IFERROR(MATCH(347,ChqRankU,0),0))=0,"",INDEX(ChqAmt,IFERROR(MATCH(347,ChqRankU,0),0))))</f>
        <v/>
      </c>
      <c r="E363" s="7" t="str">
        <f>IF(IFERROR(MATCH(347,ChqRankU,0),0)=0,"",INDEX(ChqStatus,IFERROR(MATCH(347,ChqRankU,0),0)))</f>
        <v/>
      </c>
      <c r="F363" s="13" t="str">
        <f>IF(IFERROR(MATCH(347,ChqRankU,0),0)=0,"",IF(INDEX(ChqStatus,IFERROR(MATCH(347,ChqRankU,0),0))="پاس نشده","—",IF(INDEX(ChqClr,IFERROR(MATCH(347,ChqRankU,0),0))="","—",INDEX(ChqClr,IFERROR(MATCH(347,ChqRankU,0),0)))))</f>
        <v/>
      </c>
      <c r="I363" t="str">
        <f>IF(347&gt;NChq,"",INDEX(ChqNorm,347))</f>
        <v/>
      </c>
      <c r="J363" t="str">
        <f>IF($I363="","",IF(AND($I363&gt;=$H$3,$I363&lt;=$H$4,INDEX(ChqStatus,347)="پاس نشده"),1,0))</f>
        <v/>
      </c>
      <c r="K363" t="str">
        <f>IF($J363=0,"",INDEX(ChqKey,347))</f>
        <v/>
      </c>
      <c r="L363" t="str">
        <f t="shared" si="5"/>
        <v/>
      </c>
    </row>
    <row r="364" spans="1:12" x14ac:dyDescent="0.2">
      <c r="A364" s="9" t="str">
        <f>IF(IFERROR(MATCH(348,ChqRankU,0),0)=0,"",348)</f>
        <v/>
      </c>
      <c r="B364" s="15" t="str">
        <f>IF(IFERROR(MATCH(348,ChqRankU,0),0)=0,"",INDEX(ChqNorm,IFERROR(MATCH(348,ChqRankU,0),0)))</f>
        <v/>
      </c>
      <c r="C364" s="15" t="str">
        <f>IF(IFERROR(MATCH(348,ChqRankU,0),0)=0,"",INDEX(ChqNo,IFERROR(MATCH(348,ChqRankU,0),0)))</f>
        <v/>
      </c>
      <c r="D364" s="16" t="str">
        <f>IF(IFERROR(MATCH(348,ChqRankU,0),0)=0,"",IF(INDEX(ChqAmt,IFERROR(MATCH(348,ChqRankU,0),0))=0,"",INDEX(ChqAmt,IFERROR(MATCH(348,ChqRankU,0),0))))</f>
        <v/>
      </c>
      <c r="E364" s="10" t="str">
        <f>IF(IFERROR(MATCH(348,ChqRankU,0),0)=0,"",INDEX(ChqStatus,IFERROR(MATCH(348,ChqRankU,0),0)))</f>
        <v/>
      </c>
      <c r="F364" s="15" t="str">
        <f>IF(IFERROR(MATCH(348,ChqRankU,0),0)=0,"",IF(INDEX(ChqStatus,IFERROR(MATCH(348,ChqRankU,0),0))="پاس نشده","—",IF(INDEX(ChqClr,IFERROR(MATCH(348,ChqRankU,0),0))="","—",INDEX(ChqClr,IFERROR(MATCH(348,ChqRankU,0),0)))))</f>
        <v/>
      </c>
      <c r="I364" t="str">
        <f>IF(348&gt;NChq,"",INDEX(ChqNorm,348))</f>
        <v/>
      </c>
      <c r="J364" t="str">
        <f>IF($I364="","",IF(AND($I364&gt;=$H$3,$I364&lt;=$H$4,INDEX(ChqStatus,348)="پاس نشده"),1,0))</f>
        <v/>
      </c>
      <c r="K364" t="str">
        <f>IF($J364=0,"",INDEX(ChqKey,348))</f>
        <v/>
      </c>
      <c r="L364" t="str">
        <f t="shared" si="5"/>
        <v/>
      </c>
    </row>
    <row r="365" spans="1:12" x14ac:dyDescent="0.2">
      <c r="A365" s="3" t="str">
        <f>IF(IFERROR(MATCH(349,ChqRankU,0),0)=0,"",349)</f>
        <v/>
      </c>
      <c r="B365" s="13" t="str">
        <f>IF(IFERROR(MATCH(349,ChqRankU,0),0)=0,"",INDEX(ChqNorm,IFERROR(MATCH(349,ChqRankU,0),0)))</f>
        <v/>
      </c>
      <c r="C365" s="13" t="str">
        <f>IF(IFERROR(MATCH(349,ChqRankU,0),0)=0,"",INDEX(ChqNo,IFERROR(MATCH(349,ChqRankU,0),0)))</f>
        <v/>
      </c>
      <c r="D365" s="14" t="str">
        <f>IF(IFERROR(MATCH(349,ChqRankU,0),0)=0,"",IF(INDEX(ChqAmt,IFERROR(MATCH(349,ChqRankU,0),0))=0,"",INDEX(ChqAmt,IFERROR(MATCH(349,ChqRankU,0),0))))</f>
        <v/>
      </c>
      <c r="E365" s="7" t="str">
        <f>IF(IFERROR(MATCH(349,ChqRankU,0),0)=0,"",INDEX(ChqStatus,IFERROR(MATCH(349,ChqRankU,0),0)))</f>
        <v/>
      </c>
      <c r="F365" s="13" t="str">
        <f>IF(IFERROR(MATCH(349,ChqRankU,0),0)=0,"",IF(INDEX(ChqStatus,IFERROR(MATCH(349,ChqRankU,0),0))="پاس نشده","—",IF(INDEX(ChqClr,IFERROR(MATCH(349,ChqRankU,0),0))="","—",INDEX(ChqClr,IFERROR(MATCH(349,ChqRankU,0),0)))))</f>
        <v/>
      </c>
      <c r="I365" t="str">
        <f>IF(349&gt;NChq,"",INDEX(ChqNorm,349))</f>
        <v/>
      </c>
      <c r="J365" t="str">
        <f>IF($I365="","",IF(AND($I365&gt;=$H$3,$I365&lt;=$H$4,INDEX(ChqStatus,349)="پاس نشده"),1,0))</f>
        <v/>
      </c>
      <c r="K365" t="str">
        <f>IF($J365=0,"",INDEX(ChqKey,349))</f>
        <v/>
      </c>
      <c r="L365" t="str">
        <f t="shared" si="5"/>
        <v/>
      </c>
    </row>
    <row r="366" spans="1:12" x14ac:dyDescent="0.2">
      <c r="A366" s="9" t="str">
        <f>IF(IFERROR(MATCH(350,ChqRankU,0),0)=0,"",350)</f>
        <v/>
      </c>
      <c r="B366" s="15" t="str">
        <f>IF(IFERROR(MATCH(350,ChqRankU,0),0)=0,"",INDEX(ChqNorm,IFERROR(MATCH(350,ChqRankU,0),0)))</f>
        <v/>
      </c>
      <c r="C366" s="15" t="str">
        <f>IF(IFERROR(MATCH(350,ChqRankU,0),0)=0,"",INDEX(ChqNo,IFERROR(MATCH(350,ChqRankU,0),0)))</f>
        <v/>
      </c>
      <c r="D366" s="16" t="str">
        <f>IF(IFERROR(MATCH(350,ChqRankU,0),0)=0,"",IF(INDEX(ChqAmt,IFERROR(MATCH(350,ChqRankU,0),0))=0,"",INDEX(ChqAmt,IFERROR(MATCH(350,ChqRankU,0),0))))</f>
        <v/>
      </c>
      <c r="E366" s="10" t="str">
        <f>IF(IFERROR(MATCH(350,ChqRankU,0),0)=0,"",INDEX(ChqStatus,IFERROR(MATCH(350,ChqRankU,0),0)))</f>
        <v/>
      </c>
      <c r="F366" s="15" t="str">
        <f>IF(IFERROR(MATCH(350,ChqRankU,0),0)=0,"",IF(INDEX(ChqStatus,IFERROR(MATCH(350,ChqRankU,0),0))="پاس نشده","—",IF(INDEX(ChqClr,IFERROR(MATCH(350,ChqRankU,0),0))="","—",INDEX(ChqClr,IFERROR(MATCH(350,ChqRankU,0),0)))))</f>
        <v/>
      </c>
      <c r="I366" t="str">
        <f>IF(350&gt;NChq,"",INDEX(ChqNorm,350))</f>
        <v/>
      </c>
      <c r="J366" t="str">
        <f>IF($I366="","",IF(AND($I366&gt;=$H$3,$I366&lt;=$H$4,INDEX(ChqStatus,350)="پاس نشده"),1,0))</f>
        <v/>
      </c>
      <c r="K366" t="str">
        <f>IF($J366=0,"",INDEX(ChqKey,350))</f>
        <v/>
      </c>
      <c r="L366" t="str">
        <f t="shared" si="5"/>
        <v/>
      </c>
    </row>
    <row r="367" spans="1:12" x14ac:dyDescent="0.2">
      <c r="A367" s="3" t="str">
        <f>IF(IFERROR(MATCH(351,ChqRankU,0),0)=0,"",351)</f>
        <v/>
      </c>
      <c r="B367" s="13" t="str">
        <f>IF(IFERROR(MATCH(351,ChqRankU,0),0)=0,"",INDEX(ChqNorm,IFERROR(MATCH(351,ChqRankU,0),0)))</f>
        <v/>
      </c>
      <c r="C367" s="13" t="str">
        <f>IF(IFERROR(MATCH(351,ChqRankU,0),0)=0,"",INDEX(ChqNo,IFERROR(MATCH(351,ChqRankU,0),0)))</f>
        <v/>
      </c>
      <c r="D367" s="14" t="str">
        <f>IF(IFERROR(MATCH(351,ChqRankU,0),0)=0,"",IF(INDEX(ChqAmt,IFERROR(MATCH(351,ChqRankU,0),0))=0,"",INDEX(ChqAmt,IFERROR(MATCH(351,ChqRankU,0),0))))</f>
        <v/>
      </c>
      <c r="E367" s="7" t="str">
        <f>IF(IFERROR(MATCH(351,ChqRankU,0),0)=0,"",INDEX(ChqStatus,IFERROR(MATCH(351,ChqRankU,0),0)))</f>
        <v/>
      </c>
      <c r="F367" s="13" t="str">
        <f>IF(IFERROR(MATCH(351,ChqRankU,0),0)=0,"",IF(INDEX(ChqStatus,IFERROR(MATCH(351,ChqRankU,0),0))="پاس نشده","—",IF(INDEX(ChqClr,IFERROR(MATCH(351,ChqRankU,0),0))="","—",INDEX(ChqClr,IFERROR(MATCH(351,ChqRankU,0),0)))))</f>
        <v/>
      </c>
      <c r="I367" t="str">
        <f>IF(351&gt;NChq,"",INDEX(ChqNorm,351))</f>
        <v/>
      </c>
      <c r="J367" t="str">
        <f>IF($I367="","",IF(AND($I367&gt;=$H$3,$I367&lt;=$H$4,INDEX(ChqStatus,351)="پاس نشده"),1,0))</f>
        <v/>
      </c>
      <c r="K367" t="str">
        <f>IF($J367=0,"",INDEX(ChqKey,351))</f>
        <v/>
      </c>
      <c r="L367" t="str">
        <f t="shared" si="5"/>
        <v/>
      </c>
    </row>
    <row r="368" spans="1:12" x14ac:dyDescent="0.2">
      <c r="A368" s="9" t="str">
        <f>IF(IFERROR(MATCH(352,ChqRankU,0),0)=0,"",352)</f>
        <v/>
      </c>
      <c r="B368" s="15" t="str">
        <f>IF(IFERROR(MATCH(352,ChqRankU,0),0)=0,"",INDEX(ChqNorm,IFERROR(MATCH(352,ChqRankU,0),0)))</f>
        <v/>
      </c>
      <c r="C368" s="15" t="str">
        <f>IF(IFERROR(MATCH(352,ChqRankU,0),0)=0,"",INDEX(ChqNo,IFERROR(MATCH(352,ChqRankU,0),0)))</f>
        <v/>
      </c>
      <c r="D368" s="16" t="str">
        <f>IF(IFERROR(MATCH(352,ChqRankU,0),0)=0,"",IF(INDEX(ChqAmt,IFERROR(MATCH(352,ChqRankU,0),0))=0,"",INDEX(ChqAmt,IFERROR(MATCH(352,ChqRankU,0),0))))</f>
        <v/>
      </c>
      <c r="E368" s="10" t="str">
        <f>IF(IFERROR(MATCH(352,ChqRankU,0),0)=0,"",INDEX(ChqStatus,IFERROR(MATCH(352,ChqRankU,0),0)))</f>
        <v/>
      </c>
      <c r="F368" s="15" t="str">
        <f>IF(IFERROR(MATCH(352,ChqRankU,0),0)=0,"",IF(INDEX(ChqStatus,IFERROR(MATCH(352,ChqRankU,0),0))="پاس نشده","—",IF(INDEX(ChqClr,IFERROR(MATCH(352,ChqRankU,0),0))="","—",INDEX(ChqClr,IFERROR(MATCH(352,ChqRankU,0),0)))))</f>
        <v/>
      </c>
      <c r="I368" t="str">
        <f>IF(352&gt;NChq,"",INDEX(ChqNorm,352))</f>
        <v/>
      </c>
      <c r="J368" t="str">
        <f>IF($I368="","",IF(AND($I368&gt;=$H$3,$I368&lt;=$H$4,INDEX(ChqStatus,352)="پاس نشده"),1,0))</f>
        <v/>
      </c>
      <c r="K368" t="str">
        <f>IF($J368=0,"",INDEX(ChqKey,352))</f>
        <v/>
      </c>
      <c r="L368" t="str">
        <f t="shared" si="5"/>
        <v/>
      </c>
    </row>
    <row r="369" spans="1:12" x14ac:dyDescent="0.2">
      <c r="A369" s="3" t="str">
        <f>IF(IFERROR(MATCH(353,ChqRankU,0),0)=0,"",353)</f>
        <v/>
      </c>
      <c r="B369" s="13" t="str">
        <f>IF(IFERROR(MATCH(353,ChqRankU,0),0)=0,"",INDEX(ChqNorm,IFERROR(MATCH(353,ChqRankU,0),0)))</f>
        <v/>
      </c>
      <c r="C369" s="13" t="str">
        <f>IF(IFERROR(MATCH(353,ChqRankU,0),0)=0,"",INDEX(ChqNo,IFERROR(MATCH(353,ChqRankU,0),0)))</f>
        <v/>
      </c>
      <c r="D369" s="14" t="str">
        <f>IF(IFERROR(MATCH(353,ChqRankU,0),0)=0,"",IF(INDEX(ChqAmt,IFERROR(MATCH(353,ChqRankU,0),0))=0,"",INDEX(ChqAmt,IFERROR(MATCH(353,ChqRankU,0),0))))</f>
        <v/>
      </c>
      <c r="E369" s="7" t="str">
        <f>IF(IFERROR(MATCH(353,ChqRankU,0),0)=0,"",INDEX(ChqStatus,IFERROR(MATCH(353,ChqRankU,0),0)))</f>
        <v/>
      </c>
      <c r="F369" s="13" t="str">
        <f>IF(IFERROR(MATCH(353,ChqRankU,0),0)=0,"",IF(INDEX(ChqStatus,IFERROR(MATCH(353,ChqRankU,0),0))="پاس نشده","—",IF(INDEX(ChqClr,IFERROR(MATCH(353,ChqRankU,0),0))="","—",INDEX(ChqClr,IFERROR(MATCH(353,ChqRankU,0),0)))))</f>
        <v/>
      </c>
      <c r="I369" t="str">
        <f>IF(353&gt;NChq,"",INDEX(ChqNorm,353))</f>
        <v/>
      </c>
      <c r="J369" t="str">
        <f>IF($I369="","",IF(AND($I369&gt;=$H$3,$I369&lt;=$H$4,INDEX(ChqStatus,353)="پاس نشده"),1,0))</f>
        <v/>
      </c>
      <c r="K369" t="str">
        <f>IF($J369=0,"",INDEX(ChqKey,353))</f>
        <v/>
      </c>
      <c r="L369" t="str">
        <f t="shared" si="5"/>
        <v/>
      </c>
    </row>
    <row r="370" spans="1:12" x14ac:dyDescent="0.2">
      <c r="A370" s="9" t="str">
        <f>IF(IFERROR(MATCH(354,ChqRankU,0),0)=0,"",354)</f>
        <v/>
      </c>
      <c r="B370" s="15" t="str">
        <f>IF(IFERROR(MATCH(354,ChqRankU,0),0)=0,"",INDEX(ChqNorm,IFERROR(MATCH(354,ChqRankU,0),0)))</f>
        <v/>
      </c>
      <c r="C370" s="15" t="str">
        <f>IF(IFERROR(MATCH(354,ChqRankU,0),0)=0,"",INDEX(ChqNo,IFERROR(MATCH(354,ChqRankU,0),0)))</f>
        <v/>
      </c>
      <c r="D370" s="16" t="str">
        <f>IF(IFERROR(MATCH(354,ChqRankU,0),0)=0,"",IF(INDEX(ChqAmt,IFERROR(MATCH(354,ChqRankU,0),0))=0,"",INDEX(ChqAmt,IFERROR(MATCH(354,ChqRankU,0),0))))</f>
        <v/>
      </c>
      <c r="E370" s="10" t="str">
        <f>IF(IFERROR(MATCH(354,ChqRankU,0),0)=0,"",INDEX(ChqStatus,IFERROR(MATCH(354,ChqRankU,0),0)))</f>
        <v/>
      </c>
      <c r="F370" s="15" t="str">
        <f>IF(IFERROR(MATCH(354,ChqRankU,0),0)=0,"",IF(INDEX(ChqStatus,IFERROR(MATCH(354,ChqRankU,0),0))="پاس نشده","—",IF(INDEX(ChqClr,IFERROR(MATCH(354,ChqRankU,0),0))="","—",INDEX(ChqClr,IFERROR(MATCH(354,ChqRankU,0),0)))))</f>
        <v/>
      </c>
      <c r="I370" t="str">
        <f>IF(354&gt;NChq,"",INDEX(ChqNorm,354))</f>
        <v/>
      </c>
      <c r="J370" t="str">
        <f>IF($I370="","",IF(AND($I370&gt;=$H$3,$I370&lt;=$H$4,INDEX(ChqStatus,354)="پاس نشده"),1,0))</f>
        <v/>
      </c>
      <c r="K370" t="str">
        <f>IF($J370=0,"",INDEX(ChqKey,354))</f>
        <v/>
      </c>
      <c r="L370" t="str">
        <f t="shared" si="5"/>
        <v/>
      </c>
    </row>
    <row r="371" spans="1:12" x14ac:dyDescent="0.2">
      <c r="A371" s="3" t="str">
        <f>IF(IFERROR(MATCH(355,ChqRankU,0),0)=0,"",355)</f>
        <v/>
      </c>
      <c r="B371" s="13" t="str">
        <f>IF(IFERROR(MATCH(355,ChqRankU,0),0)=0,"",INDEX(ChqNorm,IFERROR(MATCH(355,ChqRankU,0),0)))</f>
        <v/>
      </c>
      <c r="C371" s="13" t="str">
        <f>IF(IFERROR(MATCH(355,ChqRankU,0),0)=0,"",INDEX(ChqNo,IFERROR(MATCH(355,ChqRankU,0),0)))</f>
        <v/>
      </c>
      <c r="D371" s="14" t="str">
        <f>IF(IFERROR(MATCH(355,ChqRankU,0),0)=0,"",IF(INDEX(ChqAmt,IFERROR(MATCH(355,ChqRankU,0),0))=0,"",INDEX(ChqAmt,IFERROR(MATCH(355,ChqRankU,0),0))))</f>
        <v/>
      </c>
      <c r="E371" s="7" t="str">
        <f>IF(IFERROR(MATCH(355,ChqRankU,0),0)=0,"",INDEX(ChqStatus,IFERROR(MATCH(355,ChqRankU,0),0)))</f>
        <v/>
      </c>
      <c r="F371" s="13" t="str">
        <f>IF(IFERROR(MATCH(355,ChqRankU,0),0)=0,"",IF(INDEX(ChqStatus,IFERROR(MATCH(355,ChqRankU,0),0))="پاس نشده","—",IF(INDEX(ChqClr,IFERROR(MATCH(355,ChqRankU,0),0))="","—",INDEX(ChqClr,IFERROR(MATCH(355,ChqRankU,0),0)))))</f>
        <v/>
      </c>
      <c r="I371" t="str">
        <f>IF(355&gt;NChq,"",INDEX(ChqNorm,355))</f>
        <v/>
      </c>
      <c r="J371" t="str">
        <f>IF($I371="","",IF(AND($I371&gt;=$H$3,$I371&lt;=$H$4,INDEX(ChqStatus,355)="پاس نشده"),1,0))</f>
        <v/>
      </c>
      <c r="K371" t="str">
        <f>IF($J371=0,"",INDEX(ChqKey,355))</f>
        <v/>
      </c>
      <c r="L371" t="str">
        <f t="shared" si="5"/>
        <v/>
      </c>
    </row>
    <row r="372" spans="1:12" x14ac:dyDescent="0.2">
      <c r="A372" s="9" t="str">
        <f>IF(IFERROR(MATCH(356,ChqRankU,0),0)=0,"",356)</f>
        <v/>
      </c>
      <c r="B372" s="15" t="str">
        <f>IF(IFERROR(MATCH(356,ChqRankU,0),0)=0,"",INDEX(ChqNorm,IFERROR(MATCH(356,ChqRankU,0),0)))</f>
        <v/>
      </c>
      <c r="C372" s="15" t="str">
        <f>IF(IFERROR(MATCH(356,ChqRankU,0),0)=0,"",INDEX(ChqNo,IFERROR(MATCH(356,ChqRankU,0),0)))</f>
        <v/>
      </c>
      <c r="D372" s="16" t="str">
        <f>IF(IFERROR(MATCH(356,ChqRankU,0),0)=0,"",IF(INDEX(ChqAmt,IFERROR(MATCH(356,ChqRankU,0),0))=0,"",INDEX(ChqAmt,IFERROR(MATCH(356,ChqRankU,0),0))))</f>
        <v/>
      </c>
      <c r="E372" s="10" t="str">
        <f>IF(IFERROR(MATCH(356,ChqRankU,0),0)=0,"",INDEX(ChqStatus,IFERROR(MATCH(356,ChqRankU,0),0)))</f>
        <v/>
      </c>
      <c r="F372" s="15" t="str">
        <f>IF(IFERROR(MATCH(356,ChqRankU,0),0)=0,"",IF(INDEX(ChqStatus,IFERROR(MATCH(356,ChqRankU,0),0))="پاس نشده","—",IF(INDEX(ChqClr,IFERROR(MATCH(356,ChqRankU,0),0))="","—",INDEX(ChqClr,IFERROR(MATCH(356,ChqRankU,0),0)))))</f>
        <v/>
      </c>
      <c r="I372" t="str">
        <f>IF(356&gt;NChq,"",INDEX(ChqNorm,356))</f>
        <v/>
      </c>
      <c r="J372" t="str">
        <f>IF($I372="","",IF(AND($I372&gt;=$H$3,$I372&lt;=$H$4,INDEX(ChqStatus,356)="پاس نشده"),1,0))</f>
        <v/>
      </c>
      <c r="K372" t="str">
        <f>IF($J372=0,"",INDEX(ChqKey,356))</f>
        <v/>
      </c>
      <c r="L372" t="str">
        <f t="shared" si="5"/>
        <v/>
      </c>
    </row>
    <row r="373" spans="1:12" x14ac:dyDescent="0.2">
      <c r="A373" s="3" t="str">
        <f>IF(IFERROR(MATCH(357,ChqRankU,0),0)=0,"",357)</f>
        <v/>
      </c>
      <c r="B373" s="13" t="str">
        <f>IF(IFERROR(MATCH(357,ChqRankU,0),0)=0,"",INDEX(ChqNorm,IFERROR(MATCH(357,ChqRankU,0),0)))</f>
        <v/>
      </c>
      <c r="C373" s="13" t="str">
        <f>IF(IFERROR(MATCH(357,ChqRankU,0),0)=0,"",INDEX(ChqNo,IFERROR(MATCH(357,ChqRankU,0),0)))</f>
        <v/>
      </c>
      <c r="D373" s="14" t="str">
        <f>IF(IFERROR(MATCH(357,ChqRankU,0),0)=0,"",IF(INDEX(ChqAmt,IFERROR(MATCH(357,ChqRankU,0),0))=0,"",INDEX(ChqAmt,IFERROR(MATCH(357,ChqRankU,0),0))))</f>
        <v/>
      </c>
      <c r="E373" s="7" t="str">
        <f>IF(IFERROR(MATCH(357,ChqRankU,0),0)=0,"",INDEX(ChqStatus,IFERROR(MATCH(357,ChqRankU,0),0)))</f>
        <v/>
      </c>
      <c r="F373" s="13" t="str">
        <f>IF(IFERROR(MATCH(357,ChqRankU,0),0)=0,"",IF(INDEX(ChqStatus,IFERROR(MATCH(357,ChqRankU,0),0))="پاس نشده","—",IF(INDEX(ChqClr,IFERROR(MATCH(357,ChqRankU,0),0))="","—",INDEX(ChqClr,IFERROR(MATCH(357,ChqRankU,0),0)))))</f>
        <v/>
      </c>
      <c r="I373" t="str">
        <f>IF(357&gt;NChq,"",INDEX(ChqNorm,357))</f>
        <v/>
      </c>
      <c r="J373" t="str">
        <f>IF($I373="","",IF(AND($I373&gt;=$H$3,$I373&lt;=$H$4,INDEX(ChqStatus,357)="پاس نشده"),1,0))</f>
        <v/>
      </c>
      <c r="K373" t="str">
        <f>IF($J373=0,"",INDEX(ChqKey,357))</f>
        <v/>
      </c>
      <c r="L373" t="str">
        <f t="shared" si="5"/>
        <v/>
      </c>
    </row>
    <row r="374" spans="1:12" x14ac:dyDescent="0.2">
      <c r="A374" s="9" t="str">
        <f>IF(IFERROR(MATCH(358,ChqRankU,0),0)=0,"",358)</f>
        <v/>
      </c>
      <c r="B374" s="15" t="str">
        <f>IF(IFERROR(MATCH(358,ChqRankU,0),0)=0,"",INDEX(ChqNorm,IFERROR(MATCH(358,ChqRankU,0),0)))</f>
        <v/>
      </c>
      <c r="C374" s="15" t="str">
        <f>IF(IFERROR(MATCH(358,ChqRankU,0),0)=0,"",INDEX(ChqNo,IFERROR(MATCH(358,ChqRankU,0),0)))</f>
        <v/>
      </c>
      <c r="D374" s="16" t="str">
        <f>IF(IFERROR(MATCH(358,ChqRankU,0),0)=0,"",IF(INDEX(ChqAmt,IFERROR(MATCH(358,ChqRankU,0),0))=0,"",INDEX(ChqAmt,IFERROR(MATCH(358,ChqRankU,0),0))))</f>
        <v/>
      </c>
      <c r="E374" s="10" t="str">
        <f>IF(IFERROR(MATCH(358,ChqRankU,0),0)=0,"",INDEX(ChqStatus,IFERROR(MATCH(358,ChqRankU,0),0)))</f>
        <v/>
      </c>
      <c r="F374" s="15" t="str">
        <f>IF(IFERROR(MATCH(358,ChqRankU,0),0)=0,"",IF(INDEX(ChqStatus,IFERROR(MATCH(358,ChqRankU,0),0))="پاس نشده","—",IF(INDEX(ChqClr,IFERROR(MATCH(358,ChqRankU,0),0))="","—",INDEX(ChqClr,IFERROR(MATCH(358,ChqRankU,0),0)))))</f>
        <v/>
      </c>
      <c r="I374" t="str">
        <f>IF(358&gt;NChq,"",INDEX(ChqNorm,358))</f>
        <v/>
      </c>
      <c r="J374" t="str">
        <f>IF($I374="","",IF(AND($I374&gt;=$H$3,$I374&lt;=$H$4,INDEX(ChqStatus,358)="پاس نشده"),1,0))</f>
        <v/>
      </c>
      <c r="K374" t="str">
        <f>IF($J374=0,"",INDEX(ChqKey,358))</f>
        <v/>
      </c>
      <c r="L374" t="str">
        <f t="shared" si="5"/>
        <v/>
      </c>
    </row>
    <row r="375" spans="1:12" x14ac:dyDescent="0.2">
      <c r="A375" s="3" t="str">
        <f>IF(IFERROR(MATCH(359,ChqRankU,0),0)=0,"",359)</f>
        <v/>
      </c>
      <c r="B375" s="13" t="str">
        <f>IF(IFERROR(MATCH(359,ChqRankU,0),0)=0,"",INDEX(ChqNorm,IFERROR(MATCH(359,ChqRankU,0),0)))</f>
        <v/>
      </c>
      <c r="C375" s="13" t="str">
        <f>IF(IFERROR(MATCH(359,ChqRankU,0),0)=0,"",INDEX(ChqNo,IFERROR(MATCH(359,ChqRankU,0),0)))</f>
        <v/>
      </c>
      <c r="D375" s="14" t="str">
        <f>IF(IFERROR(MATCH(359,ChqRankU,0),0)=0,"",IF(INDEX(ChqAmt,IFERROR(MATCH(359,ChqRankU,0),0))=0,"",INDEX(ChqAmt,IFERROR(MATCH(359,ChqRankU,0),0))))</f>
        <v/>
      </c>
      <c r="E375" s="7" t="str">
        <f>IF(IFERROR(MATCH(359,ChqRankU,0),0)=0,"",INDEX(ChqStatus,IFERROR(MATCH(359,ChqRankU,0),0)))</f>
        <v/>
      </c>
      <c r="F375" s="13" t="str">
        <f>IF(IFERROR(MATCH(359,ChqRankU,0),0)=0,"",IF(INDEX(ChqStatus,IFERROR(MATCH(359,ChqRankU,0),0))="پاس نشده","—",IF(INDEX(ChqClr,IFERROR(MATCH(359,ChqRankU,0),0))="","—",INDEX(ChqClr,IFERROR(MATCH(359,ChqRankU,0),0)))))</f>
        <v/>
      </c>
      <c r="I375" t="str">
        <f>IF(359&gt;NChq,"",INDEX(ChqNorm,359))</f>
        <v/>
      </c>
      <c r="J375" t="str">
        <f>IF($I375="","",IF(AND($I375&gt;=$H$3,$I375&lt;=$H$4,INDEX(ChqStatus,359)="پاس نشده"),1,0))</f>
        <v/>
      </c>
      <c r="K375" t="str">
        <f>IF($J375=0,"",INDEX(ChqKey,359))</f>
        <v/>
      </c>
      <c r="L375" t="str">
        <f t="shared" si="5"/>
        <v/>
      </c>
    </row>
    <row r="376" spans="1:12" x14ac:dyDescent="0.2">
      <c r="A376" s="9" t="str">
        <f>IF(IFERROR(MATCH(360,ChqRankU,0),0)=0,"",360)</f>
        <v/>
      </c>
      <c r="B376" s="15" t="str">
        <f>IF(IFERROR(MATCH(360,ChqRankU,0),0)=0,"",INDEX(ChqNorm,IFERROR(MATCH(360,ChqRankU,0),0)))</f>
        <v/>
      </c>
      <c r="C376" s="15" t="str">
        <f>IF(IFERROR(MATCH(360,ChqRankU,0),0)=0,"",INDEX(ChqNo,IFERROR(MATCH(360,ChqRankU,0),0)))</f>
        <v/>
      </c>
      <c r="D376" s="16" t="str">
        <f>IF(IFERROR(MATCH(360,ChqRankU,0),0)=0,"",IF(INDEX(ChqAmt,IFERROR(MATCH(360,ChqRankU,0),0))=0,"",INDEX(ChqAmt,IFERROR(MATCH(360,ChqRankU,0),0))))</f>
        <v/>
      </c>
      <c r="E376" s="10" t="str">
        <f>IF(IFERROR(MATCH(360,ChqRankU,0),0)=0,"",INDEX(ChqStatus,IFERROR(MATCH(360,ChqRankU,0),0)))</f>
        <v/>
      </c>
      <c r="F376" s="15" t="str">
        <f>IF(IFERROR(MATCH(360,ChqRankU,0),0)=0,"",IF(INDEX(ChqStatus,IFERROR(MATCH(360,ChqRankU,0),0))="پاس نشده","—",IF(INDEX(ChqClr,IFERROR(MATCH(360,ChqRankU,0),0))="","—",INDEX(ChqClr,IFERROR(MATCH(360,ChqRankU,0),0)))))</f>
        <v/>
      </c>
      <c r="I376" t="str">
        <f>IF(360&gt;NChq,"",INDEX(ChqNorm,360))</f>
        <v/>
      </c>
      <c r="J376" t="str">
        <f>IF($I376="","",IF(AND($I376&gt;=$H$3,$I376&lt;=$H$4,INDEX(ChqStatus,360)="پاس نشده"),1,0))</f>
        <v/>
      </c>
      <c r="K376" t="str">
        <f>IF($J376=0,"",INDEX(ChqKey,360))</f>
        <v/>
      </c>
      <c r="L376" t="str">
        <f t="shared" si="5"/>
        <v/>
      </c>
    </row>
    <row r="377" spans="1:12" x14ac:dyDescent="0.2">
      <c r="A377" s="3" t="str">
        <f>IF(IFERROR(MATCH(361,ChqRankU,0),0)=0,"",361)</f>
        <v/>
      </c>
      <c r="B377" s="13" t="str">
        <f>IF(IFERROR(MATCH(361,ChqRankU,0),0)=0,"",INDEX(ChqNorm,IFERROR(MATCH(361,ChqRankU,0),0)))</f>
        <v/>
      </c>
      <c r="C377" s="13" t="str">
        <f>IF(IFERROR(MATCH(361,ChqRankU,0),0)=0,"",INDEX(ChqNo,IFERROR(MATCH(361,ChqRankU,0),0)))</f>
        <v/>
      </c>
      <c r="D377" s="14" t="str">
        <f>IF(IFERROR(MATCH(361,ChqRankU,0),0)=0,"",IF(INDEX(ChqAmt,IFERROR(MATCH(361,ChqRankU,0),0))=0,"",INDEX(ChqAmt,IFERROR(MATCH(361,ChqRankU,0),0))))</f>
        <v/>
      </c>
      <c r="E377" s="7" t="str">
        <f>IF(IFERROR(MATCH(361,ChqRankU,0),0)=0,"",INDEX(ChqStatus,IFERROR(MATCH(361,ChqRankU,0),0)))</f>
        <v/>
      </c>
      <c r="F377" s="13" t="str">
        <f>IF(IFERROR(MATCH(361,ChqRankU,0),0)=0,"",IF(INDEX(ChqStatus,IFERROR(MATCH(361,ChqRankU,0),0))="پاس نشده","—",IF(INDEX(ChqClr,IFERROR(MATCH(361,ChqRankU,0),0))="","—",INDEX(ChqClr,IFERROR(MATCH(361,ChqRankU,0),0)))))</f>
        <v/>
      </c>
      <c r="I377" t="str">
        <f>IF(361&gt;NChq,"",INDEX(ChqNorm,361))</f>
        <v/>
      </c>
      <c r="J377" t="str">
        <f>IF($I377="","",IF(AND($I377&gt;=$H$3,$I377&lt;=$H$4,INDEX(ChqStatus,361)="پاس نشده"),1,0))</f>
        <v/>
      </c>
      <c r="K377" t="str">
        <f>IF($J377=0,"",INDEX(ChqKey,361))</f>
        <v/>
      </c>
      <c r="L377" t="str">
        <f t="shared" si="5"/>
        <v/>
      </c>
    </row>
    <row r="378" spans="1:12" x14ac:dyDescent="0.2">
      <c r="A378" s="9" t="str">
        <f>IF(IFERROR(MATCH(362,ChqRankU,0),0)=0,"",362)</f>
        <v/>
      </c>
      <c r="B378" s="15" t="str">
        <f>IF(IFERROR(MATCH(362,ChqRankU,0),0)=0,"",INDEX(ChqNorm,IFERROR(MATCH(362,ChqRankU,0),0)))</f>
        <v/>
      </c>
      <c r="C378" s="15" t="str">
        <f>IF(IFERROR(MATCH(362,ChqRankU,0),0)=0,"",INDEX(ChqNo,IFERROR(MATCH(362,ChqRankU,0),0)))</f>
        <v/>
      </c>
      <c r="D378" s="16" t="str">
        <f>IF(IFERROR(MATCH(362,ChqRankU,0),0)=0,"",IF(INDEX(ChqAmt,IFERROR(MATCH(362,ChqRankU,0),0))=0,"",INDEX(ChqAmt,IFERROR(MATCH(362,ChqRankU,0),0))))</f>
        <v/>
      </c>
      <c r="E378" s="10" t="str">
        <f>IF(IFERROR(MATCH(362,ChqRankU,0),0)=0,"",INDEX(ChqStatus,IFERROR(MATCH(362,ChqRankU,0),0)))</f>
        <v/>
      </c>
      <c r="F378" s="15" t="str">
        <f>IF(IFERROR(MATCH(362,ChqRankU,0),0)=0,"",IF(INDEX(ChqStatus,IFERROR(MATCH(362,ChqRankU,0),0))="پاس نشده","—",IF(INDEX(ChqClr,IFERROR(MATCH(362,ChqRankU,0),0))="","—",INDEX(ChqClr,IFERROR(MATCH(362,ChqRankU,0),0)))))</f>
        <v/>
      </c>
      <c r="I378" t="str">
        <f>IF(362&gt;NChq,"",INDEX(ChqNorm,362))</f>
        <v/>
      </c>
      <c r="J378" t="str">
        <f>IF($I378="","",IF(AND($I378&gt;=$H$3,$I378&lt;=$H$4,INDEX(ChqStatus,362)="پاس نشده"),1,0))</f>
        <v/>
      </c>
      <c r="K378" t="str">
        <f>IF($J378=0,"",INDEX(ChqKey,362))</f>
        <v/>
      </c>
      <c r="L378" t="str">
        <f t="shared" si="5"/>
        <v/>
      </c>
    </row>
    <row r="379" spans="1:12" x14ac:dyDescent="0.2">
      <c r="A379" s="3" t="str">
        <f>IF(IFERROR(MATCH(363,ChqRankU,0),0)=0,"",363)</f>
        <v/>
      </c>
      <c r="B379" s="13" t="str">
        <f>IF(IFERROR(MATCH(363,ChqRankU,0),0)=0,"",INDEX(ChqNorm,IFERROR(MATCH(363,ChqRankU,0),0)))</f>
        <v/>
      </c>
      <c r="C379" s="13" t="str">
        <f>IF(IFERROR(MATCH(363,ChqRankU,0),0)=0,"",INDEX(ChqNo,IFERROR(MATCH(363,ChqRankU,0),0)))</f>
        <v/>
      </c>
      <c r="D379" s="14" t="str">
        <f>IF(IFERROR(MATCH(363,ChqRankU,0),0)=0,"",IF(INDEX(ChqAmt,IFERROR(MATCH(363,ChqRankU,0),0))=0,"",INDEX(ChqAmt,IFERROR(MATCH(363,ChqRankU,0),0))))</f>
        <v/>
      </c>
      <c r="E379" s="7" t="str">
        <f>IF(IFERROR(MATCH(363,ChqRankU,0),0)=0,"",INDEX(ChqStatus,IFERROR(MATCH(363,ChqRankU,0),0)))</f>
        <v/>
      </c>
      <c r="F379" s="13" t="str">
        <f>IF(IFERROR(MATCH(363,ChqRankU,0),0)=0,"",IF(INDEX(ChqStatus,IFERROR(MATCH(363,ChqRankU,0),0))="پاس نشده","—",IF(INDEX(ChqClr,IFERROR(MATCH(363,ChqRankU,0),0))="","—",INDEX(ChqClr,IFERROR(MATCH(363,ChqRankU,0),0)))))</f>
        <v/>
      </c>
      <c r="I379" t="str">
        <f>IF(363&gt;NChq,"",INDEX(ChqNorm,363))</f>
        <v/>
      </c>
      <c r="J379" t="str">
        <f>IF($I379="","",IF(AND($I379&gt;=$H$3,$I379&lt;=$H$4,INDEX(ChqStatus,363)="پاس نشده"),1,0))</f>
        <v/>
      </c>
      <c r="K379" t="str">
        <f>IF($J379=0,"",INDEX(ChqKey,363))</f>
        <v/>
      </c>
      <c r="L379" t="str">
        <f t="shared" si="5"/>
        <v/>
      </c>
    </row>
    <row r="380" spans="1:12" x14ac:dyDescent="0.2">
      <c r="A380" s="9" t="str">
        <f>IF(IFERROR(MATCH(364,ChqRankU,0),0)=0,"",364)</f>
        <v/>
      </c>
      <c r="B380" s="15" t="str">
        <f>IF(IFERROR(MATCH(364,ChqRankU,0),0)=0,"",INDEX(ChqNorm,IFERROR(MATCH(364,ChqRankU,0),0)))</f>
        <v/>
      </c>
      <c r="C380" s="15" t="str">
        <f>IF(IFERROR(MATCH(364,ChqRankU,0),0)=0,"",INDEX(ChqNo,IFERROR(MATCH(364,ChqRankU,0),0)))</f>
        <v/>
      </c>
      <c r="D380" s="16" t="str">
        <f>IF(IFERROR(MATCH(364,ChqRankU,0),0)=0,"",IF(INDEX(ChqAmt,IFERROR(MATCH(364,ChqRankU,0),0))=0,"",INDEX(ChqAmt,IFERROR(MATCH(364,ChqRankU,0),0))))</f>
        <v/>
      </c>
      <c r="E380" s="10" t="str">
        <f>IF(IFERROR(MATCH(364,ChqRankU,0),0)=0,"",INDEX(ChqStatus,IFERROR(MATCH(364,ChqRankU,0),0)))</f>
        <v/>
      </c>
      <c r="F380" s="15" t="str">
        <f>IF(IFERROR(MATCH(364,ChqRankU,0),0)=0,"",IF(INDEX(ChqStatus,IFERROR(MATCH(364,ChqRankU,0),0))="پاس نشده","—",IF(INDEX(ChqClr,IFERROR(MATCH(364,ChqRankU,0),0))="","—",INDEX(ChqClr,IFERROR(MATCH(364,ChqRankU,0),0)))))</f>
        <v/>
      </c>
      <c r="I380" t="str">
        <f>IF(364&gt;NChq,"",INDEX(ChqNorm,364))</f>
        <v/>
      </c>
      <c r="J380" t="str">
        <f>IF($I380="","",IF(AND($I380&gt;=$H$3,$I380&lt;=$H$4,INDEX(ChqStatus,364)="پاس نشده"),1,0))</f>
        <v/>
      </c>
      <c r="K380" t="str">
        <f>IF($J380=0,"",INDEX(ChqKey,364))</f>
        <v/>
      </c>
      <c r="L380" t="str">
        <f t="shared" si="5"/>
        <v/>
      </c>
    </row>
    <row r="381" spans="1:12" x14ac:dyDescent="0.2">
      <c r="A381" s="3" t="str">
        <f>IF(IFERROR(MATCH(365,ChqRankU,0),0)=0,"",365)</f>
        <v/>
      </c>
      <c r="B381" s="13" t="str">
        <f>IF(IFERROR(MATCH(365,ChqRankU,0),0)=0,"",INDEX(ChqNorm,IFERROR(MATCH(365,ChqRankU,0),0)))</f>
        <v/>
      </c>
      <c r="C381" s="13" t="str">
        <f>IF(IFERROR(MATCH(365,ChqRankU,0),0)=0,"",INDEX(ChqNo,IFERROR(MATCH(365,ChqRankU,0),0)))</f>
        <v/>
      </c>
      <c r="D381" s="14" t="str">
        <f>IF(IFERROR(MATCH(365,ChqRankU,0),0)=0,"",IF(INDEX(ChqAmt,IFERROR(MATCH(365,ChqRankU,0),0))=0,"",INDEX(ChqAmt,IFERROR(MATCH(365,ChqRankU,0),0))))</f>
        <v/>
      </c>
      <c r="E381" s="7" t="str">
        <f>IF(IFERROR(MATCH(365,ChqRankU,0),0)=0,"",INDEX(ChqStatus,IFERROR(MATCH(365,ChqRankU,0),0)))</f>
        <v/>
      </c>
      <c r="F381" s="13" t="str">
        <f>IF(IFERROR(MATCH(365,ChqRankU,0),0)=0,"",IF(INDEX(ChqStatus,IFERROR(MATCH(365,ChqRankU,0),0))="پاس نشده","—",IF(INDEX(ChqClr,IFERROR(MATCH(365,ChqRankU,0),0))="","—",INDEX(ChqClr,IFERROR(MATCH(365,ChqRankU,0),0)))))</f>
        <v/>
      </c>
      <c r="I381" t="str">
        <f>IF(365&gt;NChq,"",INDEX(ChqNorm,365))</f>
        <v/>
      </c>
      <c r="J381" t="str">
        <f>IF($I381="","",IF(AND($I381&gt;=$H$3,$I381&lt;=$H$4,INDEX(ChqStatus,365)="پاس نشده"),1,0))</f>
        <v/>
      </c>
      <c r="K381" t="str">
        <f>IF($J381=0,"",INDEX(ChqKey,365))</f>
        <v/>
      </c>
      <c r="L381" t="str">
        <f t="shared" si="5"/>
        <v/>
      </c>
    </row>
    <row r="382" spans="1:12" x14ac:dyDescent="0.2">
      <c r="A382" s="9" t="str">
        <f>IF(IFERROR(MATCH(366,ChqRankU,0),0)=0,"",366)</f>
        <v/>
      </c>
      <c r="B382" s="15" t="str">
        <f>IF(IFERROR(MATCH(366,ChqRankU,0),0)=0,"",INDEX(ChqNorm,IFERROR(MATCH(366,ChqRankU,0),0)))</f>
        <v/>
      </c>
      <c r="C382" s="15" t="str">
        <f>IF(IFERROR(MATCH(366,ChqRankU,0),0)=0,"",INDEX(ChqNo,IFERROR(MATCH(366,ChqRankU,0),0)))</f>
        <v/>
      </c>
      <c r="D382" s="16" t="str">
        <f>IF(IFERROR(MATCH(366,ChqRankU,0),0)=0,"",IF(INDEX(ChqAmt,IFERROR(MATCH(366,ChqRankU,0),0))=0,"",INDEX(ChqAmt,IFERROR(MATCH(366,ChqRankU,0),0))))</f>
        <v/>
      </c>
      <c r="E382" s="10" t="str">
        <f>IF(IFERROR(MATCH(366,ChqRankU,0),0)=0,"",INDEX(ChqStatus,IFERROR(MATCH(366,ChqRankU,0),0)))</f>
        <v/>
      </c>
      <c r="F382" s="15" t="str">
        <f>IF(IFERROR(MATCH(366,ChqRankU,0),0)=0,"",IF(INDEX(ChqStatus,IFERROR(MATCH(366,ChqRankU,0),0))="پاس نشده","—",IF(INDEX(ChqClr,IFERROR(MATCH(366,ChqRankU,0),0))="","—",INDEX(ChqClr,IFERROR(MATCH(366,ChqRankU,0),0)))))</f>
        <v/>
      </c>
      <c r="I382" t="str">
        <f>IF(366&gt;NChq,"",INDEX(ChqNorm,366))</f>
        <v/>
      </c>
      <c r="J382" t="str">
        <f>IF($I382="","",IF(AND($I382&gt;=$H$3,$I382&lt;=$H$4,INDEX(ChqStatus,366)="پاس نشده"),1,0))</f>
        <v/>
      </c>
      <c r="K382" t="str">
        <f>IF($J382=0,"",INDEX(ChqKey,366))</f>
        <v/>
      </c>
      <c r="L382" t="str">
        <f t="shared" si="5"/>
        <v/>
      </c>
    </row>
    <row r="383" spans="1:12" x14ac:dyDescent="0.2">
      <c r="A383" s="3" t="str">
        <f>IF(IFERROR(MATCH(367,ChqRankU,0),0)=0,"",367)</f>
        <v/>
      </c>
      <c r="B383" s="13" t="str">
        <f>IF(IFERROR(MATCH(367,ChqRankU,0),0)=0,"",INDEX(ChqNorm,IFERROR(MATCH(367,ChqRankU,0),0)))</f>
        <v/>
      </c>
      <c r="C383" s="13" t="str">
        <f>IF(IFERROR(MATCH(367,ChqRankU,0),0)=0,"",INDEX(ChqNo,IFERROR(MATCH(367,ChqRankU,0),0)))</f>
        <v/>
      </c>
      <c r="D383" s="14" t="str">
        <f>IF(IFERROR(MATCH(367,ChqRankU,0),0)=0,"",IF(INDEX(ChqAmt,IFERROR(MATCH(367,ChqRankU,0),0))=0,"",INDEX(ChqAmt,IFERROR(MATCH(367,ChqRankU,0),0))))</f>
        <v/>
      </c>
      <c r="E383" s="7" t="str">
        <f>IF(IFERROR(MATCH(367,ChqRankU,0),0)=0,"",INDEX(ChqStatus,IFERROR(MATCH(367,ChqRankU,0),0)))</f>
        <v/>
      </c>
      <c r="F383" s="13" t="str">
        <f>IF(IFERROR(MATCH(367,ChqRankU,0),0)=0,"",IF(INDEX(ChqStatus,IFERROR(MATCH(367,ChqRankU,0),0))="پاس نشده","—",IF(INDEX(ChqClr,IFERROR(MATCH(367,ChqRankU,0),0))="","—",INDEX(ChqClr,IFERROR(MATCH(367,ChqRankU,0),0)))))</f>
        <v/>
      </c>
      <c r="I383" t="str">
        <f>IF(367&gt;NChq,"",INDEX(ChqNorm,367))</f>
        <v/>
      </c>
      <c r="J383" t="str">
        <f>IF($I383="","",IF(AND($I383&gt;=$H$3,$I383&lt;=$H$4,INDEX(ChqStatus,367)="پاس نشده"),1,0))</f>
        <v/>
      </c>
      <c r="K383" t="str">
        <f>IF($J383=0,"",INDEX(ChqKey,367))</f>
        <v/>
      </c>
      <c r="L383" t="str">
        <f t="shared" si="5"/>
        <v/>
      </c>
    </row>
    <row r="384" spans="1:12" x14ac:dyDescent="0.2">
      <c r="A384" s="9" t="str">
        <f>IF(IFERROR(MATCH(368,ChqRankU,0),0)=0,"",368)</f>
        <v/>
      </c>
      <c r="B384" s="15" t="str">
        <f>IF(IFERROR(MATCH(368,ChqRankU,0),0)=0,"",INDEX(ChqNorm,IFERROR(MATCH(368,ChqRankU,0),0)))</f>
        <v/>
      </c>
      <c r="C384" s="15" t="str">
        <f>IF(IFERROR(MATCH(368,ChqRankU,0),0)=0,"",INDEX(ChqNo,IFERROR(MATCH(368,ChqRankU,0),0)))</f>
        <v/>
      </c>
      <c r="D384" s="16" t="str">
        <f>IF(IFERROR(MATCH(368,ChqRankU,0),0)=0,"",IF(INDEX(ChqAmt,IFERROR(MATCH(368,ChqRankU,0),0))=0,"",INDEX(ChqAmt,IFERROR(MATCH(368,ChqRankU,0),0))))</f>
        <v/>
      </c>
      <c r="E384" s="10" t="str">
        <f>IF(IFERROR(MATCH(368,ChqRankU,0),0)=0,"",INDEX(ChqStatus,IFERROR(MATCH(368,ChqRankU,0),0)))</f>
        <v/>
      </c>
      <c r="F384" s="15" t="str">
        <f>IF(IFERROR(MATCH(368,ChqRankU,0),0)=0,"",IF(INDEX(ChqStatus,IFERROR(MATCH(368,ChqRankU,0),0))="پاس نشده","—",IF(INDEX(ChqClr,IFERROR(MATCH(368,ChqRankU,0),0))="","—",INDEX(ChqClr,IFERROR(MATCH(368,ChqRankU,0),0)))))</f>
        <v/>
      </c>
      <c r="I384" t="str">
        <f>IF(368&gt;NChq,"",INDEX(ChqNorm,368))</f>
        <v/>
      </c>
      <c r="J384" t="str">
        <f>IF($I384="","",IF(AND($I384&gt;=$H$3,$I384&lt;=$H$4,INDEX(ChqStatus,368)="پاس نشده"),1,0))</f>
        <v/>
      </c>
      <c r="K384" t="str">
        <f>IF($J384=0,"",INDEX(ChqKey,368))</f>
        <v/>
      </c>
      <c r="L384" t="str">
        <f t="shared" si="5"/>
        <v/>
      </c>
    </row>
    <row r="385" spans="1:12" x14ac:dyDescent="0.2">
      <c r="A385" s="3" t="str">
        <f>IF(IFERROR(MATCH(369,ChqRankU,0),0)=0,"",369)</f>
        <v/>
      </c>
      <c r="B385" s="13" t="str">
        <f>IF(IFERROR(MATCH(369,ChqRankU,0),0)=0,"",INDEX(ChqNorm,IFERROR(MATCH(369,ChqRankU,0),0)))</f>
        <v/>
      </c>
      <c r="C385" s="13" t="str">
        <f>IF(IFERROR(MATCH(369,ChqRankU,0),0)=0,"",INDEX(ChqNo,IFERROR(MATCH(369,ChqRankU,0),0)))</f>
        <v/>
      </c>
      <c r="D385" s="14" t="str">
        <f>IF(IFERROR(MATCH(369,ChqRankU,0),0)=0,"",IF(INDEX(ChqAmt,IFERROR(MATCH(369,ChqRankU,0),0))=0,"",INDEX(ChqAmt,IFERROR(MATCH(369,ChqRankU,0),0))))</f>
        <v/>
      </c>
      <c r="E385" s="7" t="str">
        <f>IF(IFERROR(MATCH(369,ChqRankU,0),0)=0,"",INDEX(ChqStatus,IFERROR(MATCH(369,ChqRankU,0),0)))</f>
        <v/>
      </c>
      <c r="F385" s="13" t="str">
        <f>IF(IFERROR(MATCH(369,ChqRankU,0),0)=0,"",IF(INDEX(ChqStatus,IFERROR(MATCH(369,ChqRankU,0),0))="پاس نشده","—",IF(INDEX(ChqClr,IFERROR(MATCH(369,ChqRankU,0),0))="","—",INDEX(ChqClr,IFERROR(MATCH(369,ChqRankU,0),0)))))</f>
        <v/>
      </c>
      <c r="I385" t="str">
        <f>IF(369&gt;NChq,"",INDEX(ChqNorm,369))</f>
        <v/>
      </c>
      <c r="J385" t="str">
        <f>IF($I385="","",IF(AND($I385&gt;=$H$3,$I385&lt;=$H$4,INDEX(ChqStatus,369)="پاس نشده"),1,0))</f>
        <v/>
      </c>
      <c r="K385" t="str">
        <f>IF($J385=0,"",INDEX(ChqKey,369))</f>
        <v/>
      </c>
      <c r="L385" t="str">
        <f t="shared" si="5"/>
        <v/>
      </c>
    </row>
    <row r="386" spans="1:12" x14ac:dyDescent="0.2">
      <c r="A386" s="9" t="str">
        <f>IF(IFERROR(MATCH(370,ChqRankU,0),0)=0,"",370)</f>
        <v/>
      </c>
      <c r="B386" s="15" t="str">
        <f>IF(IFERROR(MATCH(370,ChqRankU,0),0)=0,"",INDEX(ChqNorm,IFERROR(MATCH(370,ChqRankU,0),0)))</f>
        <v/>
      </c>
      <c r="C386" s="15" t="str">
        <f>IF(IFERROR(MATCH(370,ChqRankU,0),0)=0,"",INDEX(ChqNo,IFERROR(MATCH(370,ChqRankU,0),0)))</f>
        <v/>
      </c>
      <c r="D386" s="16" t="str">
        <f>IF(IFERROR(MATCH(370,ChqRankU,0),0)=0,"",IF(INDEX(ChqAmt,IFERROR(MATCH(370,ChqRankU,0),0))=0,"",INDEX(ChqAmt,IFERROR(MATCH(370,ChqRankU,0),0))))</f>
        <v/>
      </c>
      <c r="E386" s="10" t="str">
        <f>IF(IFERROR(MATCH(370,ChqRankU,0),0)=0,"",INDEX(ChqStatus,IFERROR(MATCH(370,ChqRankU,0),0)))</f>
        <v/>
      </c>
      <c r="F386" s="15" t="str">
        <f>IF(IFERROR(MATCH(370,ChqRankU,0),0)=0,"",IF(INDEX(ChqStatus,IFERROR(MATCH(370,ChqRankU,0),0))="پاس نشده","—",IF(INDEX(ChqClr,IFERROR(MATCH(370,ChqRankU,0),0))="","—",INDEX(ChqClr,IFERROR(MATCH(370,ChqRankU,0),0)))))</f>
        <v/>
      </c>
      <c r="I386" t="str">
        <f>IF(370&gt;NChq,"",INDEX(ChqNorm,370))</f>
        <v/>
      </c>
      <c r="J386" t="str">
        <f>IF($I386="","",IF(AND($I386&gt;=$H$3,$I386&lt;=$H$4,INDEX(ChqStatus,370)="پاس نشده"),1,0))</f>
        <v/>
      </c>
      <c r="K386" t="str">
        <f>IF($J386=0,"",INDEX(ChqKey,370))</f>
        <v/>
      </c>
      <c r="L386" t="str">
        <f t="shared" si="5"/>
        <v/>
      </c>
    </row>
    <row r="387" spans="1:12" x14ac:dyDescent="0.2">
      <c r="A387" s="3" t="str">
        <f>IF(IFERROR(MATCH(371,ChqRankU,0),0)=0,"",371)</f>
        <v/>
      </c>
      <c r="B387" s="13" t="str">
        <f>IF(IFERROR(MATCH(371,ChqRankU,0),0)=0,"",INDEX(ChqNorm,IFERROR(MATCH(371,ChqRankU,0),0)))</f>
        <v/>
      </c>
      <c r="C387" s="13" t="str">
        <f>IF(IFERROR(MATCH(371,ChqRankU,0),0)=0,"",INDEX(ChqNo,IFERROR(MATCH(371,ChqRankU,0),0)))</f>
        <v/>
      </c>
      <c r="D387" s="14" t="str">
        <f>IF(IFERROR(MATCH(371,ChqRankU,0),0)=0,"",IF(INDEX(ChqAmt,IFERROR(MATCH(371,ChqRankU,0),0))=0,"",INDEX(ChqAmt,IFERROR(MATCH(371,ChqRankU,0),0))))</f>
        <v/>
      </c>
      <c r="E387" s="7" t="str">
        <f>IF(IFERROR(MATCH(371,ChqRankU,0),0)=0,"",INDEX(ChqStatus,IFERROR(MATCH(371,ChqRankU,0),0)))</f>
        <v/>
      </c>
      <c r="F387" s="13" t="str">
        <f>IF(IFERROR(MATCH(371,ChqRankU,0),0)=0,"",IF(INDEX(ChqStatus,IFERROR(MATCH(371,ChqRankU,0),0))="پاس نشده","—",IF(INDEX(ChqClr,IFERROR(MATCH(371,ChqRankU,0),0))="","—",INDEX(ChqClr,IFERROR(MATCH(371,ChqRankU,0),0)))))</f>
        <v/>
      </c>
      <c r="I387" t="str">
        <f>IF(371&gt;NChq,"",INDEX(ChqNorm,371))</f>
        <v/>
      </c>
      <c r="J387" t="str">
        <f>IF($I387="","",IF(AND($I387&gt;=$H$3,$I387&lt;=$H$4,INDEX(ChqStatus,371)="پاس نشده"),1,0))</f>
        <v/>
      </c>
      <c r="K387" t="str">
        <f>IF($J387=0,"",INDEX(ChqKey,371))</f>
        <v/>
      </c>
      <c r="L387" t="str">
        <f t="shared" si="5"/>
        <v/>
      </c>
    </row>
    <row r="388" spans="1:12" x14ac:dyDescent="0.2">
      <c r="A388" s="9" t="str">
        <f>IF(IFERROR(MATCH(372,ChqRankU,0),0)=0,"",372)</f>
        <v/>
      </c>
      <c r="B388" s="15" t="str">
        <f>IF(IFERROR(MATCH(372,ChqRankU,0),0)=0,"",INDEX(ChqNorm,IFERROR(MATCH(372,ChqRankU,0),0)))</f>
        <v/>
      </c>
      <c r="C388" s="15" t="str">
        <f>IF(IFERROR(MATCH(372,ChqRankU,0),0)=0,"",INDEX(ChqNo,IFERROR(MATCH(372,ChqRankU,0),0)))</f>
        <v/>
      </c>
      <c r="D388" s="16" t="str">
        <f>IF(IFERROR(MATCH(372,ChqRankU,0),0)=0,"",IF(INDEX(ChqAmt,IFERROR(MATCH(372,ChqRankU,0),0))=0,"",INDEX(ChqAmt,IFERROR(MATCH(372,ChqRankU,0),0))))</f>
        <v/>
      </c>
      <c r="E388" s="10" t="str">
        <f>IF(IFERROR(MATCH(372,ChqRankU,0),0)=0,"",INDEX(ChqStatus,IFERROR(MATCH(372,ChqRankU,0),0)))</f>
        <v/>
      </c>
      <c r="F388" s="15" t="str">
        <f>IF(IFERROR(MATCH(372,ChqRankU,0),0)=0,"",IF(INDEX(ChqStatus,IFERROR(MATCH(372,ChqRankU,0),0))="پاس نشده","—",IF(INDEX(ChqClr,IFERROR(MATCH(372,ChqRankU,0),0))="","—",INDEX(ChqClr,IFERROR(MATCH(372,ChqRankU,0),0)))))</f>
        <v/>
      </c>
      <c r="I388" t="str">
        <f>IF(372&gt;NChq,"",INDEX(ChqNorm,372))</f>
        <v/>
      </c>
      <c r="J388" t="str">
        <f>IF($I388="","",IF(AND($I388&gt;=$H$3,$I388&lt;=$H$4,INDEX(ChqStatus,372)="پاس نشده"),1,0))</f>
        <v/>
      </c>
      <c r="K388" t="str">
        <f>IF($J388=0,"",INDEX(ChqKey,372))</f>
        <v/>
      </c>
      <c r="L388" t="str">
        <f t="shared" si="5"/>
        <v/>
      </c>
    </row>
    <row r="389" spans="1:12" x14ac:dyDescent="0.2">
      <c r="A389" s="3" t="str">
        <f>IF(IFERROR(MATCH(373,ChqRankU,0),0)=0,"",373)</f>
        <v/>
      </c>
      <c r="B389" s="13" t="str">
        <f>IF(IFERROR(MATCH(373,ChqRankU,0),0)=0,"",INDEX(ChqNorm,IFERROR(MATCH(373,ChqRankU,0),0)))</f>
        <v/>
      </c>
      <c r="C389" s="13" t="str">
        <f>IF(IFERROR(MATCH(373,ChqRankU,0),0)=0,"",INDEX(ChqNo,IFERROR(MATCH(373,ChqRankU,0),0)))</f>
        <v/>
      </c>
      <c r="D389" s="14" t="str">
        <f>IF(IFERROR(MATCH(373,ChqRankU,0),0)=0,"",IF(INDEX(ChqAmt,IFERROR(MATCH(373,ChqRankU,0),0))=0,"",INDEX(ChqAmt,IFERROR(MATCH(373,ChqRankU,0),0))))</f>
        <v/>
      </c>
      <c r="E389" s="7" t="str">
        <f>IF(IFERROR(MATCH(373,ChqRankU,0),0)=0,"",INDEX(ChqStatus,IFERROR(MATCH(373,ChqRankU,0),0)))</f>
        <v/>
      </c>
      <c r="F389" s="13" t="str">
        <f>IF(IFERROR(MATCH(373,ChqRankU,0),0)=0,"",IF(INDEX(ChqStatus,IFERROR(MATCH(373,ChqRankU,0),0))="پاس نشده","—",IF(INDEX(ChqClr,IFERROR(MATCH(373,ChqRankU,0),0))="","—",INDEX(ChqClr,IFERROR(MATCH(373,ChqRankU,0),0)))))</f>
        <v/>
      </c>
      <c r="I389" t="str">
        <f>IF(373&gt;NChq,"",INDEX(ChqNorm,373))</f>
        <v/>
      </c>
      <c r="J389" t="str">
        <f>IF($I389="","",IF(AND($I389&gt;=$H$3,$I389&lt;=$H$4,INDEX(ChqStatus,373)="پاس نشده"),1,0))</f>
        <v/>
      </c>
      <c r="K389" t="str">
        <f>IF($J389=0,"",INDEX(ChqKey,373))</f>
        <v/>
      </c>
      <c r="L389" t="str">
        <f t="shared" si="5"/>
        <v/>
      </c>
    </row>
    <row r="390" spans="1:12" x14ac:dyDescent="0.2">
      <c r="A390" s="9" t="str">
        <f>IF(IFERROR(MATCH(374,ChqRankU,0),0)=0,"",374)</f>
        <v/>
      </c>
      <c r="B390" s="15" t="str">
        <f>IF(IFERROR(MATCH(374,ChqRankU,0),0)=0,"",INDEX(ChqNorm,IFERROR(MATCH(374,ChqRankU,0),0)))</f>
        <v/>
      </c>
      <c r="C390" s="15" t="str">
        <f>IF(IFERROR(MATCH(374,ChqRankU,0),0)=0,"",INDEX(ChqNo,IFERROR(MATCH(374,ChqRankU,0),0)))</f>
        <v/>
      </c>
      <c r="D390" s="16" t="str">
        <f>IF(IFERROR(MATCH(374,ChqRankU,0),0)=0,"",IF(INDEX(ChqAmt,IFERROR(MATCH(374,ChqRankU,0),0))=0,"",INDEX(ChqAmt,IFERROR(MATCH(374,ChqRankU,0),0))))</f>
        <v/>
      </c>
      <c r="E390" s="10" t="str">
        <f>IF(IFERROR(MATCH(374,ChqRankU,0),0)=0,"",INDEX(ChqStatus,IFERROR(MATCH(374,ChqRankU,0),0)))</f>
        <v/>
      </c>
      <c r="F390" s="15" t="str">
        <f>IF(IFERROR(MATCH(374,ChqRankU,0),0)=0,"",IF(INDEX(ChqStatus,IFERROR(MATCH(374,ChqRankU,0),0))="پاس نشده","—",IF(INDEX(ChqClr,IFERROR(MATCH(374,ChqRankU,0),0))="","—",INDEX(ChqClr,IFERROR(MATCH(374,ChqRankU,0),0)))))</f>
        <v/>
      </c>
      <c r="I390" t="str">
        <f>IF(374&gt;NChq,"",INDEX(ChqNorm,374))</f>
        <v/>
      </c>
      <c r="J390" t="str">
        <f>IF($I390="","",IF(AND($I390&gt;=$H$3,$I390&lt;=$H$4,INDEX(ChqStatus,374)="پاس نشده"),1,0))</f>
        <v/>
      </c>
      <c r="K390" t="str">
        <f>IF($J390=0,"",INDEX(ChqKey,374))</f>
        <v/>
      </c>
      <c r="L390" t="str">
        <f t="shared" si="5"/>
        <v/>
      </c>
    </row>
    <row r="391" spans="1:12" x14ac:dyDescent="0.2">
      <c r="A391" s="3" t="str">
        <f>IF(IFERROR(MATCH(375,ChqRankU,0),0)=0,"",375)</f>
        <v/>
      </c>
      <c r="B391" s="13" t="str">
        <f>IF(IFERROR(MATCH(375,ChqRankU,0),0)=0,"",INDEX(ChqNorm,IFERROR(MATCH(375,ChqRankU,0),0)))</f>
        <v/>
      </c>
      <c r="C391" s="13" t="str">
        <f>IF(IFERROR(MATCH(375,ChqRankU,0),0)=0,"",INDEX(ChqNo,IFERROR(MATCH(375,ChqRankU,0),0)))</f>
        <v/>
      </c>
      <c r="D391" s="14" t="str">
        <f>IF(IFERROR(MATCH(375,ChqRankU,0),0)=0,"",IF(INDEX(ChqAmt,IFERROR(MATCH(375,ChqRankU,0),0))=0,"",INDEX(ChqAmt,IFERROR(MATCH(375,ChqRankU,0),0))))</f>
        <v/>
      </c>
      <c r="E391" s="7" t="str">
        <f>IF(IFERROR(MATCH(375,ChqRankU,0),0)=0,"",INDEX(ChqStatus,IFERROR(MATCH(375,ChqRankU,0),0)))</f>
        <v/>
      </c>
      <c r="F391" s="13" t="str">
        <f>IF(IFERROR(MATCH(375,ChqRankU,0),0)=0,"",IF(INDEX(ChqStatus,IFERROR(MATCH(375,ChqRankU,0),0))="پاس نشده","—",IF(INDEX(ChqClr,IFERROR(MATCH(375,ChqRankU,0),0))="","—",INDEX(ChqClr,IFERROR(MATCH(375,ChqRankU,0),0)))))</f>
        <v/>
      </c>
      <c r="I391" t="str">
        <f>IF(375&gt;NChq,"",INDEX(ChqNorm,375))</f>
        <v/>
      </c>
      <c r="J391" t="str">
        <f>IF($I391="","",IF(AND($I391&gt;=$H$3,$I391&lt;=$H$4,INDEX(ChqStatus,375)="پاس نشده"),1,0))</f>
        <v/>
      </c>
      <c r="K391" t="str">
        <f>IF($J391=0,"",INDEX(ChqKey,375))</f>
        <v/>
      </c>
      <c r="L391" t="str">
        <f t="shared" si="5"/>
        <v/>
      </c>
    </row>
    <row r="392" spans="1:12" x14ac:dyDescent="0.2">
      <c r="A392" s="9" t="str">
        <f>IF(IFERROR(MATCH(376,ChqRankU,0),0)=0,"",376)</f>
        <v/>
      </c>
      <c r="B392" s="15" t="str">
        <f>IF(IFERROR(MATCH(376,ChqRankU,0),0)=0,"",INDEX(ChqNorm,IFERROR(MATCH(376,ChqRankU,0),0)))</f>
        <v/>
      </c>
      <c r="C392" s="15" t="str">
        <f>IF(IFERROR(MATCH(376,ChqRankU,0),0)=0,"",INDEX(ChqNo,IFERROR(MATCH(376,ChqRankU,0),0)))</f>
        <v/>
      </c>
      <c r="D392" s="16" t="str">
        <f>IF(IFERROR(MATCH(376,ChqRankU,0),0)=0,"",IF(INDEX(ChqAmt,IFERROR(MATCH(376,ChqRankU,0),0))=0,"",INDEX(ChqAmt,IFERROR(MATCH(376,ChqRankU,0),0))))</f>
        <v/>
      </c>
      <c r="E392" s="10" t="str">
        <f>IF(IFERROR(MATCH(376,ChqRankU,0),0)=0,"",INDEX(ChqStatus,IFERROR(MATCH(376,ChqRankU,0),0)))</f>
        <v/>
      </c>
      <c r="F392" s="15" t="str">
        <f>IF(IFERROR(MATCH(376,ChqRankU,0),0)=0,"",IF(INDEX(ChqStatus,IFERROR(MATCH(376,ChqRankU,0),0))="پاس نشده","—",IF(INDEX(ChqClr,IFERROR(MATCH(376,ChqRankU,0),0))="","—",INDEX(ChqClr,IFERROR(MATCH(376,ChqRankU,0),0)))))</f>
        <v/>
      </c>
      <c r="I392" t="str">
        <f>IF(376&gt;NChq,"",INDEX(ChqNorm,376))</f>
        <v/>
      </c>
      <c r="J392" t="str">
        <f>IF($I392="","",IF(AND($I392&gt;=$H$3,$I392&lt;=$H$4,INDEX(ChqStatus,376)="پاس نشده"),1,0))</f>
        <v/>
      </c>
      <c r="K392" t="str">
        <f>IF($J392=0,"",INDEX(ChqKey,376))</f>
        <v/>
      </c>
      <c r="L392" t="str">
        <f t="shared" si="5"/>
        <v/>
      </c>
    </row>
    <row r="393" spans="1:12" x14ac:dyDescent="0.2">
      <c r="A393" s="3" t="str">
        <f>IF(IFERROR(MATCH(377,ChqRankU,0),0)=0,"",377)</f>
        <v/>
      </c>
      <c r="B393" s="13" t="str">
        <f>IF(IFERROR(MATCH(377,ChqRankU,0),0)=0,"",INDEX(ChqNorm,IFERROR(MATCH(377,ChqRankU,0),0)))</f>
        <v/>
      </c>
      <c r="C393" s="13" t="str">
        <f>IF(IFERROR(MATCH(377,ChqRankU,0),0)=0,"",INDEX(ChqNo,IFERROR(MATCH(377,ChqRankU,0),0)))</f>
        <v/>
      </c>
      <c r="D393" s="14" t="str">
        <f>IF(IFERROR(MATCH(377,ChqRankU,0),0)=0,"",IF(INDEX(ChqAmt,IFERROR(MATCH(377,ChqRankU,0),0))=0,"",INDEX(ChqAmt,IFERROR(MATCH(377,ChqRankU,0),0))))</f>
        <v/>
      </c>
      <c r="E393" s="7" t="str">
        <f>IF(IFERROR(MATCH(377,ChqRankU,0),0)=0,"",INDEX(ChqStatus,IFERROR(MATCH(377,ChqRankU,0),0)))</f>
        <v/>
      </c>
      <c r="F393" s="13" t="str">
        <f>IF(IFERROR(MATCH(377,ChqRankU,0),0)=0,"",IF(INDEX(ChqStatus,IFERROR(MATCH(377,ChqRankU,0),0))="پاس نشده","—",IF(INDEX(ChqClr,IFERROR(MATCH(377,ChqRankU,0),0))="","—",INDEX(ChqClr,IFERROR(MATCH(377,ChqRankU,0),0)))))</f>
        <v/>
      </c>
      <c r="I393" t="str">
        <f>IF(377&gt;NChq,"",INDEX(ChqNorm,377))</f>
        <v/>
      </c>
      <c r="J393" t="str">
        <f>IF($I393="","",IF(AND($I393&gt;=$H$3,$I393&lt;=$H$4,INDEX(ChqStatus,377)="پاس نشده"),1,0))</f>
        <v/>
      </c>
      <c r="K393" t="str">
        <f>IF($J393=0,"",INDEX(ChqKey,377))</f>
        <v/>
      </c>
      <c r="L393" t="str">
        <f t="shared" si="5"/>
        <v/>
      </c>
    </row>
    <row r="394" spans="1:12" x14ac:dyDescent="0.2">
      <c r="A394" s="9" t="str">
        <f>IF(IFERROR(MATCH(378,ChqRankU,0),0)=0,"",378)</f>
        <v/>
      </c>
      <c r="B394" s="15" t="str">
        <f>IF(IFERROR(MATCH(378,ChqRankU,0),0)=0,"",INDEX(ChqNorm,IFERROR(MATCH(378,ChqRankU,0),0)))</f>
        <v/>
      </c>
      <c r="C394" s="15" t="str">
        <f>IF(IFERROR(MATCH(378,ChqRankU,0),0)=0,"",INDEX(ChqNo,IFERROR(MATCH(378,ChqRankU,0),0)))</f>
        <v/>
      </c>
      <c r="D394" s="16" t="str">
        <f>IF(IFERROR(MATCH(378,ChqRankU,0),0)=0,"",IF(INDEX(ChqAmt,IFERROR(MATCH(378,ChqRankU,0),0))=0,"",INDEX(ChqAmt,IFERROR(MATCH(378,ChqRankU,0),0))))</f>
        <v/>
      </c>
      <c r="E394" s="10" t="str">
        <f>IF(IFERROR(MATCH(378,ChqRankU,0),0)=0,"",INDEX(ChqStatus,IFERROR(MATCH(378,ChqRankU,0),0)))</f>
        <v/>
      </c>
      <c r="F394" s="15" t="str">
        <f>IF(IFERROR(MATCH(378,ChqRankU,0),0)=0,"",IF(INDEX(ChqStatus,IFERROR(MATCH(378,ChqRankU,0),0))="پاس نشده","—",IF(INDEX(ChqClr,IFERROR(MATCH(378,ChqRankU,0),0))="","—",INDEX(ChqClr,IFERROR(MATCH(378,ChqRankU,0),0)))))</f>
        <v/>
      </c>
      <c r="I394" t="str">
        <f>IF(378&gt;NChq,"",INDEX(ChqNorm,378))</f>
        <v/>
      </c>
      <c r="J394" t="str">
        <f>IF($I394="","",IF(AND($I394&gt;=$H$3,$I394&lt;=$H$4,INDEX(ChqStatus,378)="پاس نشده"),1,0))</f>
        <v/>
      </c>
      <c r="K394" t="str">
        <f>IF($J394=0,"",INDEX(ChqKey,378))</f>
        <v/>
      </c>
      <c r="L394" t="str">
        <f t="shared" si="5"/>
        <v/>
      </c>
    </row>
    <row r="395" spans="1:12" x14ac:dyDescent="0.2">
      <c r="A395" s="3" t="str">
        <f>IF(IFERROR(MATCH(379,ChqRankU,0),0)=0,"",379)</f>
        <v/>
      </c>
      <c r="B395" s="13" t="str">
        <f>IF(IFERROR(MATCH(379,ChqRankU,0),0)=0,"",INDEX(ChqNorm,IFERROR(MATCH(379,ChqRankU,0),0)))</f>
        <v/>
      </c>
      <c r="C395" s="13" t="str">
        <f>IF(IFERROR(MATCH(379,ChqRankU,0),0)=0,"",INDEX(ChqNo,IFERROR(MATCH(379,ChqRankU,0),0)))</f>
        <v/>
      </c>
      <c r="D395" s="14" t="str">
        <f>IF(IFERROR(MATCH(379,ChqRankU,0),0)=0,"",IF(INDEX(ChqAmt,IFERROR(MATCH(379,ChqRankU,0),0))=0,"",INDEX(ChqAmt,IFERROR(MATCH(379,ChqRankU,0),0))))</f>
        <v/>
      </c>
      <c r="E395" s="7" t="str">
        <f>IF(IFERROR(MATCH(379,ChqRankU,0),0)=0,"",INDEX(ChqStatus,IFERROR(MATCH(379,ChqRankU,0),0)))</f>
        <v/>
      </c>
      <c r="F395" s="13" t="str">
        <f>IF(IFERROR(MATCH(379,ChqRankU,0),0)=0,"",IF(INDEX(ChqStatus,IFERROR(MATCH(379,ChqRankU,0),0))="پاس نشده","—",IF(INDEX(ChqClr,IFERROR(MATCH(379,ChqRankU,0),0))="","—",INDEX(ChqClr,IFERROR(MATCH(379,ChqRankU,0),0)))))</f>
        <v/>
      </c>
      <c r="I395" t="str">
        <f>IF(379&gt;NChq,"",INDEX(ChqNorm,379))</f>
        <v/>
      </c>
      <c r="J395" t="str">
        <f>IF($I395="","",IF(AND($I395&gt;=$H$3,$I395&lt;=$H$4,INDEX(ChqStatus,379)="پاس نشده"),1,0))</f>
        <v/>
      </c>
      <c r="K395" t="str">
        <f>IF($J395=0,"",INDEX(ChqKey,379))</f>
        <v/>
      </c>
      <c r="L395" t="str">
        <f t="shared" si="5"/>
        <v/>
      </c>
    </row>
    <row r="396" spans="1:12" x14ac:dyDescent="0.2">
      <c r="A396" s="9" t="str">
        <f>IF(IFERROR(MATCH(380,ChqRankU,0),0)=0,"",380)</f>
        <v/>
      </c>
      <c r="B396" s="15" t="str">
        <f>IF(IFERROR(MATCH(380,ChqRankU,0),0)=0,"",INDEX(ChqNorm,IFERROR(MATCH(380,ChqRankU,0),0)))</f>
        <v/>
      </c>
      <c r="C396" s="15" t="str">
        <f>IF(IFERROR(MATCH(380,ChqRankU,0),0)=0,"",INDEX(ChqNo,IFERROR(MATCH(380,ChqRankU,0),0)))</f>
        <v/>
      </c>
      <c r="D396" s="16" t="str">
        <f>IF(IFERROR(MATCH(380,ChqRankU,0),0)=0,"",IF(INDEX(ChqAmt,IFERROR(MATCH(380,ChqRankU,0),0))=0,"",INDEX(ChqAmt,IFERROR(MATCH(380,ChqRankU,0),0))))</f>
        <v/>
      </c>
      <c r="E396" s="10" t="str">
        <f>IF(IFERROR(MATCH(380,ChqRankU,0),0)=0,"",INDEX(ChqStatus,IFERROR(MATCH(380,ChqRankU,0),0)))</f>
        <v/>
      </c>
      <c r="F396" s="15" t="str">
        <f>IF(IFERROR(MATCH(380,ChqRankU,0),0)=0,"",IF(INDEX(ChqStatus,IFERROR(MATCH(380,ChqRankU,0),0))="پاس نشده","—",IF(INDEX(ChqClr,IFERROR(MATCH(380,ChqRankU,0),0))="","—",INDEX(ChqClr,IFERROR(MATCH(380,ChqRankU,0),0)))))</f>
        <v/>
      </c>
      <c r="I396" t="str">
        <f>IF(380&gt;NChq,"",INDEX(ChqNorm,380))</f>
        <v/>
      </c>
      <c r="J396" t="str">
        <f>IF($I396="","",IF(AND($I396&gt;=$H$3,$I396&lt;=$H$4,INDEX(ChqStatus,380)="پاس نشده"),1,0))</f>
        <v/>
      </c>
      <c r="K396" t="str">
        <f>IF($J396=0,"",INDEX(ChqKey,380))</f>
        <v/>
      </c>
      <c r="L396" t="str">
        <f t="shared" si="5"/>
        <v/>
      </c>
    </row>
    <row r="397" spans="1:12" x14ac:dyDescent="0.2">
      <c r="A397" s="3" t="str">
        <f>IF(IFERROR(MATCH(381,ChqRankU,0),0)=0,"",381)</f>
        <v/>
      </c>
      <c r="B397" s="13" t="str">
        <f>IF(IFERROR(MATCH(381,ChqRankU,0),0)=0,"",INDEX(ChqNorm,IFERROR(MATCH(381,ChqRankU,0),0)))</f>
        <v/>
      </c>
      <c r="C397" s="13" t="str">
        <f>IF(IFERROR(MATCH(381,ChqRankU,0),0)=0,"",INDEX(ChqNo,IFERROR(MATCH(381,ChqRankU,0),0)))</f>
        <v/>
      </c>
      <c r="D397" s="14" t="str">
        <f>IF(IFERROR(MATCH(381,ChqRankU,0),0)=0,"",IF(INDEX(ChqAmt,IFERROR(MATCH(381,ChqRankU,0),0))=0,"",INDEX(ChqAmt,IFERROR(MATCH(381,ChqRankU,0),0))))</f>
        <v/>
      </c>
      <c r="E397" s="7" t="str">
        <f>IF(IFERROR(MATCH(381,ChqRankU,0),0)=0,"",INDEX(ChqStatus,IFERROR(MATCH(381,ChqRankU,0),0)))</f>
        <v/>
      </c>
      <c r="F397" s="13" t="str">
        <f>IF(IFERROR(MATCH(381,ChqRankU,0),0)=0,"",IF(INDEX(ChqStatus,IFERROR(MATCH(381,ChqRankU,0),0))="پاس نشده","—",IF(INDEX(ChqClr,IFERROR(MATCH(381,ChqRankU,0),0))="","—",INDEX(ChqClr,IFERROR(MATCH(381,ChqRankU,0),0)))))</f>
        <v/>
      </c>
      <c r="I397" t="str">
        <f>IF(381&gt;NChq,"",INDEX(ChqNorm,381))</f>
        <v/>
      </c>
      <c r="J397" t="str">
        <f>IF($I397="","",IF(AND($I397&gt;=$H$3,$I397&lt;=$H$4,INDEX(ChqStatus,381)="پاس نشده"),1,0))</f>
        <v/>
      </c>
      <c r="K397" t="str">
        <f>IF($J397=0,"",INDEX(ChqKey,381))</f>
        <v/>
      </c>
      <c r="L397" t="str">
        <f t="shared" si="5"/>
        <v/>
      </c>
    </row>
    <row r="398" spans="1:12" x14ac:dyDescent="0.2">
      <c r="A398" s="9" t="str">
        <f>IF(IFERROR(MATCH(382,ChqRankU,0),0)=0,"",382)</f>
        <v/>
      </c>
      <c r="B398" s="15" t="str">
        <f>IF(IFERROR(MATCH(382,ChqRankU,0),0)=0,"",INDEX(ChqNorm,IFERROR(MATCH(382,ChqRankU,0),0)))</f>
        <v/>
      </c>
      <c r="C398" s="15" t="str">
        <f>IF(IFERROR(MATCH(382,ChqRankU,0),0)=0,"",INDEX(ChqNo,IFERROR(MATCH(382,ChqRankU,0),0)))</f>
        <v/>
      </c>
      <c r="D398" s="16" t="str">
        <f>IF(IFERROR(MATCH(382,ChqRankU,0),0)=0,"",IF(INDEX(ChqAmt,IFERROR(MATCH(382,ChqRankU,0),0))=0,"",INDEX(ChqAmt,IFERROR(MATCH(382,ChqRankU,0),0))))</f>
        <v/>
      </c>
      <c r="E398" s="10" t="str">
        <f>IF(IFERROR(MATCH(382,ChqRankU,0),0)=0,"",INDEX(ChqStatus,IFERROR(MATCH(382,ChqRankU,0),0)))</f>
        <v/>
      </c>
      <c r="F398" s="15" t="str">
        <f>IF(IFERROR(MATCH(382,ChqRankU,0),0)=0,"",IF(INDEX(ChqStatus,IFERROR(MATCH(382,ChqRankU,0),0))="پاس نشده","—",IF(INDEX(ChqClr,IFERROR(MATCH(382,ChqRankU,0),0))="","—",INDEX(ChqClr,IFERROR(MATCH(382,ChqRankU,0),0)))))</f>
        <v/>
      </c>
      <c r="I398" t="str">
        <f>IF(382&gt;NChq,"",INDEX(ChqNorm,382))</f>
        <v/>
      </c>
      <c r="J398" t="str">
        <f>IF($I398="","",IF(AND($I398&gt;=$H$3,$I398&lt;=$H$4,INDEX(ChqStatus,382)="پاس نشده"),1,0))</f>
        <v/>
      </c>
      <c r="K398" t="str">
        <f>IF($J398=0,"",INDEX(ChqKey,382))</f>
        <v/>
      </c>
      <c r="L398" t="str">
        <f t="shared" si="5"/>
        <v/>
      </c>
    </row>
    <row r="399" spans="1:12" x14ac:dyDescent="0.2">
      <c r="A399" s="3" t="str">
        <f>IF(IFERROR(MATCH(383,ChqRankU,0),0)=0,"",383)</f>
        <v/>
      </c>
      <c r="B399" s="13" t="str">
        <f>IF(IFERROR(MATCH(383,ChqRankU,0),0)=0,"",INDEX(ChqNorm,IFERROR(MATCH(383,ChqRankU,0),0)))</f>
        <v/>
      </c>
      <c r="C399" s="13" t="str">
        <f>IF(IFERROR(MATCH(383,ChqRankU,0),0)=0,"",INDEX(ChqNo,IFERROR(MATCH(383,ChqRankU,0),0)))</f>
        <v/>
      </c>
      <c r="D399" s="14" t="str">
        <f>IF(IFERROR(MATCH(383,ChqRankU,0),0)=0,"",IF(INDEX(ChqAmt,IFERROR(MATCH(383,ChqRankU,0),0))=0,"",INDEX(ChqAmt,IFERROR(MATCH(383,ChqRankU,0),0))))</f>
        <v/>
      </c>
      <c r="E399" s="7" t="str">
        <f>IF(IFERROR(MATCH(383,ChqRankU,0),0)=0,"",INDEX(ChqStatus,IFERROR(MATCH(383,ChqRankU,0),0)))</f>
        <v/>
      </c>
      <c r="F399" s="13" t="str">
        <f>IF(IFERROR(MATCH(383,ChqRankU,0),0)=0,"",IF(INDEX(ChqStatus,IFERROR(MATCH(383,ChqRankU,0),0))="پاس نشده","—",IF(INDEX(ChqClr,IFERROR(MATCH(383,ChqRankU,0),0))="","—",INDEX(ChqClr,IFERROR(MATCH(383,ChqRankU,0),0)))))</f>
        <v/>
      </c>
      <c r="I399" t="str">
        <f>IF(383&gt;NChq,"",INDEX(ChqNorm,383))</f>
        <v/>
      </c>
      <c r="J399" t="str">
        <f>IF($I399="","",IF(AND($I399&gt;=$H$3,$I399&lt;=$H$4,INDEX(ChqStatus,383)="پاس نشده"),1,0))</f>
        <v/>
      </c>
      <c r="K399" t="str">
        <f>IF($J399=0,"",INDEX(ChqKey,383))</f>
        <v/>
      </c>
      <c r="L399" t="str">
        <f t="shared" si="5"/>
        <v/>
      </c>
    </row>
    <row r="400" spans="1:12" x14ac:dyDescent="0.2">
      <c r="A400" s="9" t="str">
        <f>IF(IFERROR(MATCH(384,ChqRankU,0),0)=0,"",384)</f>
        <v/>
      </c>
      <c r="B400" s="15" t="str">
        <f>IF(IFERROR(MATCH(384,ChqRankU,0),0)=0,"",INDEX(ChqNorm,IFERROR(MATCH(384,ChqRankU,0),0)))</f>
        <v/>
      </c>
      <c r="C400" s="15" t="str">
        <f>IF(IFERROR(MATCH(384,ChqRankU,0),0)=0,"",INDEX(ChqNo,IFERROR(MATCH(384,ChqRankU,0),0)))</f>
        <v/>
      </c>
      <c r="D400" s="16" t="str">
        <f>IF(IFERROR(MATCH(384,ChqRankU,0),0)=0,"",IF(INDEX(ChqAmt,IFERROR(MATCH(384,ChqRankU,0),0))=0,"",INDEX(ChqAmt,IFERROR(MATCH(384,ChqRankU,0),0))))</f>
        <v/>
      </c>
      <c r="E400" s="10" t="str">
        <f>IF(IFERROR(MATCH(384,ChqRankU,0),0)=0,"",INDEX(ChqStatus,IFERROR(MATCH(384,ChqRankU,0),0)))</f>
        <v/>
      </c>
      <c r="F400" s="15" t="str">
        <f>IF(IFERROR(MATCH(384,ChqRankU,0),0)=0,"",IF(INDEX(ChqStatus,IFERROR(MATCH(384,ChqRankU,0),0))="پاس نشده","—",IF(INDEX(ChqClr,IFERROR(MATCH(384,ChqRankU,0),0))="","—",INDEX(ChqClr,IFERROR(MATCH(384,ChqRankU,0),0)))))</f>
        <v/>
      </c>
      <c r="I400" t="str">
        <f>IF(384&gt;NChq,"",INDEX(ChqNorm,384))</f>
        <v/>
      </c>
      <c r="J400" t="str">
        <f>IF($I400="","",IF(AND($I400&gt;=$H$3,$I400&lt;=$H$4,INDEX(ChqStatus,384)="پاس نشده"),1,0))</f>
        <v/>
      </c>
      <c r="K400" t="str">
        <f>IF($J400=0,"",INDEX(ChqKey,384))</f>
        <v/>
      </c>
      <c r="L400" t="str">
        <f t="shared" si="5"/>
        <v/>
      </c>
    </row>
    <row r="401" spans="1:12" x14ac:dyDescent="0.2">
      <c r="A401" s="3" t="str">
        <f>IF(IFERROR(MATCH(385,ChqRankU,0),0)=0,"",385)</f>
        <v/>
      </c>
      <c r="B401" s="13" t="str">
        <f>IF(IFERROR(MATCH(385,ChqRankU,0),0)=0,"",INDEX(ChqNorm,IFERROR(MATCH(385,ChqRankU,0),0)))</f>
        <v/>
      </c>
      <c r="C401" s="13" t="str">
        <f>IF(IFERROR(MATCH(385,ChqRankU,0),0)=0,"",INDEX(ChqNo,IFERROR(MATCH(385,ChqRankU,0),0)))</f>
        <v/>
      </c>
      <c r="D401" s="14" t="str">
        <f>IF(IFERROR(MATCH(385,ChqRankU,0),0)=0,"",IF(INDEX(ChqAmt,IFERROR(MATCH(385,ChqRankU,0),0))=0,"",INDEX(ChqAmt,IFERROR(MATCH(385,ChqRankU,0),0))))</f>
        <v/>
      </c>
      <c r="E401" s="7" t="str">
        <f>IF(IFERROR(MATCH(385,ChqRankU,0),0)=0,"",INDEX(ChqStatus,IFERROR(MATCH(385,ChqRankU,0),0)))</f>
        <v/>
      </c>
      <c r="F401" s="13" t="str">
        <f>IF(IFERROR(MATCH(385,ChqRankU,0),0)=0,"",IF(INDEX(ChqStatus,IFERROR(MATCH(385,ChqRankU,0),0))="پاس نشده","—",IF(INDEX(ChqClr,IFERROR(MATCH(385,ChqRankU,0),0))="","—",INDEX(ChqClr,IFERROR(MATCH(385,ChqRankU,0),0)))))</f>
        <v/>
      </c>
      <c r="I401" t="str">
        <f>IF(385&gt;NChq,"",INDEX(ChqNorm,385))</f>
        <v/>
      </c>
      <c r="J401" t="str">
        <f>IF($I401="","",IF(AND($I401&gt;=$H$3,$I401&lt;=$H$4,INDEX(ChqStatus,385)="پاس نشده"),1,0))</f>
        <v/>
      </c>
      <c r="K401" t="str">
        <f>IF($J401=0,"",INDEX(ChqKey,385))</f>
        <v/>
      </c>
      <c r="L401" t="str">
        <f t="shared" ref="L401:L464" si="6">IF($K401="","",COUNTIFS($J$17:$J$516,1,$K$17:$K$516,"&lt;"&amp;$K401)+1)</f>
        <v/>
      </c>
    </row>
    <row r="402" spans="1:12" x14ac:dyDescent="0.2">
      <c r="A402" s="9" t="str">
        <f>IF(IFERROR(MATCH(386,ChqRankU,0),0)=0,"",386)</f>
        <v/>
      </c>
      <c r="B402" s="15" t="str">
        <f>IF(IFERROR(MATCH(386,ChqRankU,0),0)=0,"",INDEX(ChqNorm,IFERROR(MATCH(386,ChqRankU,0),0)))</f>
        <v/>
      </c>
      <c r="C402" s="15" t="str">
        <f>IF(IFERROR(MATCH(386,ChqRankU,0),0)=0,"",INDEX(ChqNo,IFERROR(MATCH(386,ChqRankU,0),0)))</f>
        <v/>
      </c>
      <c r="D402" s="16" t="str">
        <f>IF(IFERROR(MATCH(386,ChqRankU,0),0)=0,"",IF(INDEX(ChqAmt,IFERROR(MATCH(386,ChqRankU,0),0))=0,"",INDEX(ChqAmt,IFERROR(MATCH(386,ChqRankU,0),0))))</f>
        <v/>
      </c>
      <c r="E402" s="10" t="str">
        <f>IF(IFERROR(MATCH(386,ChqRankU,0),0)=0,"",INDEX(ChqStatus,IFERROR(MATCH(386,ChqRankU,0),0)))</f>
        <v/>
      </c>
      <c r="F402" s="15" t="str">
        <f>IF(IFERROR(MATCH(386,ChqRankU,0),0)=0,"",IF(INDEX(ChqStatus,IFERROR(MATCH(386,ChqRankU,0),0))="پاس نشده","—",IF(INDEX(ChqClr,IFERROR(MATCH(386,ChqRankU,0),0))="","—",INDEX(ChqClr,IFERROR(MATCH(386,ChqRankU,0),0)))))</f>
        <v/>
      </c>
      <c r="I402" t="str">
        <f>IF(386&gt;NChq,"",INDEX(ChqNorm,386))</f>
        <v/>
      </c>
      <c r="J402" t="str">
        <f>IF($I402="","",IF(AND($I402&gt;=$H$3,$I402&lt;=$H$4,INDEX(ChqStatus,386)="پاس نشده"),1,0))</f>
        <v/>
      </c>
      <c r="K402" t="str">
        <f>IF($J402=0,"",INDEX(ChqKey,386))</f>
        <v/>
      </c>
      <c r="L402" t="str">
        <f t="shared" si="6"/>
        <v/>
      </c>
    </row>
    <row r="403" spans="1:12" x14ac:dyDescent="0.2">
      <c r="A403" s="3" t="str">
        <f>IF(IFERROR(MATCH(387,ChqRankU,0),0)=0,"",387)</f>
        <v/>
      </c>
      <c r="B403" s="13" t="str">
        <f>IF(IFERROR(MATCH(387,ChqRankU,0),0)=0,"",INDEX(ChqNorm,IFERROR(MATCH(387,ChqRankU,0),0)))</f>
        <v/>
      </c>
      <c r="C403" s="13" t="str">
        <f>IF(IFERROR(MATCH(387,ChqRankU,0),0)=0,"",INDEX(ChqNo,IFERROR(MATCH(387,ChqRankU,0),0)))</f>
        <v/>
      </c>
      <c r="D403" s="14" t="str">
        <f>IF(IFERROR(MATCH(387,ChqRankU,0),0)=0,"",IF(INDEX(ChqAmt,IFERROR(MATCH(387,ChqRankU,0),0))=0,"",INDEX(ChqAmt,IFERROR(MATCH(387,ChqRankU,0),0))))</f>
        <v/>
      </c>
      <c r="E403" s="7" t="str">
        <f>IF(IFERROR(MATCH(387,ChqRankU,0),0)=0,"",INDEX(ChqStatus,IFERROR(MATCH(387,ChqRankU,0),0)))</f>
        <v/>
      </c>
      <c r="F403" s="13" t="str">
        <f>IF(IFERROR(MATCH(387,ChqRankU,0),0)=0,"",IF(INDEX(ChqStatus,IFERROR(MATCH(387,ChqRankU,0),0))="پاس نشده","—",IF(INDEX(ChqClr,IFERROR(MATCH(387,ChqRankU,0),0))="","—",INDEX(ChqClr,IFERROR(MATCH(387,ChqRankU,0),0)))))</f>
        <v/>
      </c>
      <c r="I403" t="str">
        <f>IF(387&gt;NChq,"",INDEX(ChqNorm,387))</f>
        <v/>
      </c>
      <c r="J403" t="str">
        <f>IF($I403="","",IF(AND($I403&gt;=$H$3,$I403&lt;=$H$4,INDEX(ChqStatus,387)="پاس نشده"),1,0))</f>
        <v/>
      </c>
      <c r="K403" t="str">
        <f>IF($J403=0,"",INDEX(ChqKey,387))</f>
        <v/>
      </c>
      <c r="L403" t="str">
        <f t="shared" si="6"/>
        <v/>
      </c>
    </row>
    <row r="404" spans="1:12" x14ac:dyDescent="0.2">
      <c r="A404" s="9" t="str">
        <f>IF(IFERROR(MATCH(388,ChqRankU,0),0)=0,"",388)</f>
        <v/>
      </c>
      <c r="B404" s="15" t="str">
        <f>IF(IFERROR(MATCH(388,ChqRankU,0),0)=0,"",INDEX(ChqNorm,IFERROR(MATCH(388,ChqRankU,0),0)))</f>
        <v/>
      </c>
      <c r="C404" s="15" t="str">
        <f>IF(IFERROR(MATCH(388,ChqRankU,0),0)=0,"",INDEX(ChqNo,IFERROR(MATCH(388,ChqRankU,0),0)))</f>
        <v/>
      </c>
      <c r="D404" s="16" t="str">
        <f>IF(IFERROR(MATCH(388,ChqRankU,0),0)=0,"",IF(INDEX(ChqAmt,IFERROR(MATCH(388,ChqRankU,0),0))=0,"",INDEX(ChqAmt,IFERROR(MATCH(388,ChqRankU,0),0))))</f>
        <v/>
      </c>
      <c r="E404" s="10" t="str">
        <f>IF(IFERROR(MATCH(388,ChqRankU,0),0)=0,"",INDEX(ChqStatus,IFERROR(MATCH(388,ChqRankU,0),0)))</f>
        <v/>
      </c>
      <c r="F404" s="15" t="str">
        <f>IF(IFERROR(MATCH(388,ChqRankU,0),0)=0,"",IF(INDEX(ChqStatus,IFERROR(MATCH(388,ChqRankU,0),0))="پاس نشده","—",IF(INDEX(ChqClr,IFERROR(MATCH(388,ChqRankU,0),0))="","—",INDEX(ChqClr,IFERROR(MATCH(388,ChqRankU,0),0)))))</f>
        <v/>
      </c>
      <c r="I404" t="str">
        <f>IF(388&gt;NChq,"",INDEX(ChqNorm,388))</f>
        <v/>
      </c>
      <c r="J404" t="str">
        <f>IF($I404="","",IF(AND($I404&gt;=$H$3,$I404&lt;=$H$4,INDEX(ChqStatus,388)="پاس نشده"),1,0))</f>
        <v/>
      </c>
      <c r="K404" t="str">
        <f>IF($J404=0,"",INDEX(ChqKey,388))</f>
        <v/>
      </c>
      <c r="L404" t="str">
        <f t="shared" si="6"/>
        <v/>
      </c>
    </row>
    <row r="405" spans="1:12" x14ac:dyDescent="0.2">
      <c r="A405" s="3" t="str">
        <f>IF(IFERROR(MATCH(389,ChqRankU,0),0)=0,"",389)</f>
        <v/>
      </c>
      <c r="B405" s="13" t="str">
        <f>IF(IFERROR(MATCH(389,ChqRankU,0),0)=0,"",INDEX(ChqNorm,IFERROR(MATCH(389,ChqRankU,0),0)))</f>
        <v/>
      </c>
      <c r="C405" s="13" t="str">
        <f>IF(IFERROR(MATCH(389,ChqRankU,0),0)=0,"",INDEX(ChqNo,IFERROR(MATCH(389,ChqRankU,0),0)))</f>
        <v/>
      </c>
      <c r="D405" s="14" t="str">
        <f>IF(IFERROR(MATCH(389,ChqRankU,0),0)=0,"",IF(INDEX(ChqAmt,IFERROR(MATCH(389,ChqRankU,0),0))=0,"",INDEX(ChqAmt,IFERROR(MATCH(389,ChqRankU,0),0))))</f>
        <v/>
      </c>
      <c r="E405" s="7" t="str">
        <f>IF(IFERROR(MATCH(389,ChqRankU,0),0)=0,"",INDEX(ChqStatus,IFERROR(MATCH(389,ChqRankU,0),0)))</f>
        <v/>
      </c>
      <c r="F405" s="13" t="str">
        <f>IF(IFERROR(MATCH(389,ChqRankU,0),0)=0,"",IF(INDEX(ChqStatus,IFERROR(MATCH(389,ChqRankU,0),0))="پاس نشده","—",IF(INDEX(ChqClr,IFERROR(MATCH(389,ChqRankU,0),0))="","—",INDEX(ChqClr,IFERROR(MATCH(389,ChqRankU,0),0)))))</f>
        <v/>
      </c>
      <c r="I405" t="str">
        <f>IF(389&gt;NChq,"",INDEX(ChqNorm,389))</f>
        <v/>
      </c>
      <c r="J405" t="str">
        <f>IF($I405="","",IF(AND($I405&gt;=$H$3,$I405&lt;=$H$4,INDEX(ChqStatus,389)="پاس نشده"),1,0))</f>
        <v/>
      </c>
      <c r="K405" t="str">
        <f>IF($J405=0,"",INDEX(ChqKey,389))</f>
        <v/>
      </c>
      <c r="L405" t="str">
        <f t="shared" si="6"/>
        <v/>
      </c>
    </row>
    <row r="406" spans="1:12" x14ac:dyDescent="0.2">
      <c r="A406" s="9" t="str">
        <f>IF(IFERROR(MATCH(390,ChqRankU,0),0)=0,"",390)</f>
        <v/>
      </c>
      <c r="B406" s="15" t="str">
        <f>IF(IFERROR(MATCH(390,ChqRankU,0),0)=0,"",INDEX(ChqNorm,IFERROR(MATCH(390,ChqRankU,0),0)))</f>
        <v/>
      </c>
      <c r="C406" s="15" t="str">
        <f>IF(IFERROR(MATCH(390,ChqRankU,0),0)=0,"",INDEX(ChqNo,IFERROR(MATCH(390,ChqRankU,0),0)))</f>
        <v/>
      </c>
      <c r="D406" s="16" t="str">
        <f>IF(IFERROR(MATCH(390,ChqRankU,0),0)=0,"",IF(INDEX(ChqAmt,IFERROR(MATCH(390,ChqRankU,0),0))=0,"",INDEX(ChqAmt,IFERROR(MATCH(390,ChqRankU,0),0))))</f>
        <v/>
      </c>
      <c r="E406" s="10" t="str">
        <f>IF(IFERROR(MATCH(390,ChqRankU,0),0)=0,"",INDEX(ChqStatus,IFERROR(MATCH(390,ChqRankU,0),0)))</f>
        <v/>
      </c>
      <c r="F406" s="15" t="str">
        <f>IF(IFERROR(MATCH(390,ChqRankU,0),0)=0,"",IF(INDEX(ChqStatus,IFERROR(MATCH(390,ChqRankU,0),0))="پاس نشده","—",IF(INDEX(ChqClr,IFERROR(MATCH(390,ChqRankU,0),0))="","—",INDEX(ChqClr,IFERROR(MATCH(390,ChqRankU,0),0)))))</f>
        <v/>
      </c>
      <c r="I406" t="str">
        <f>IF(390&gt;NChq,"",INDEX(ChqNorm,390))</f>
        <v/>
      </c>
      <c r="J406" t="str">
        <f>IF($I406="","",IF(AND($I406&gt;=$H$3,$I406&lt;=$H$4,INDEX(ChqStatus,390)="پاس نشده"),1,0))</f>
        <v/>
      </c>
      <c r="K406" t="str">
        <f>IF($J406=0,"",INDEX(ChqKey,390))</f>
        <v/>
      </c>
      <c r="L406" t="str">
        <f t="shared" si="6"/>
        <v/>
      </c>
    </row>
    <row r="407" spans="1:12" x14ac:dyDescent="0.2">
      <c r="A407" s="3" t="str">
        <f>IF(IFERROR(MATCH(391,ChqRankU,0),0)=0,"",391)</f>
        <v/>
      </c>
      <c r="B407" s="13" t="str">
        <f>IF(IFERROR(MATCH(391,ChqRankU,0),0)=0,"",INDEX(ChqNorm,IFERROR(MATCH(391,ChqRankU,0),0)))</f>
        <v/>
      </c>
      <c r="C407" s="13" t="str">
        <f>IF(IFERROR(MATCH(391,ChqRankU,0),0)=0,"",INDEX(ChqNo,IFERROR(MATCH(391,ChqRankU,0),0)))</f>
        <v/>
      </c>
      <c r="D407" s="14" t="str">
        <f>IF(IFERROR(MATCH(391,ChqRankU,0),0)=0,"",IF(INDEX(ChqAmt,IFERROR(MATCH(391,ChqRankU,0),0))=0,"",INDEX(ChqAmt,IFERROR(MATCH(391,ChqRankU,0),0))))</f>
        <v/>
      </c>
      <c r="E407" s="7" t="str">
        <f>IF(IFERROR(MATCH(391,ChqRankU,0),0)=0,"",INDEX(ChqStatus,IFERROR(MATCH(391,ChqRankU,0),0)))</f>
        <v/>
      </c>
      <c r="F407" s="13" t="str">
        <f>IF(IFERROR(MATCH(391,ChqRankU,0),0)=0,"",IF(INDEX(ChqStatus,IFERROR(MATCH(391,ChqRankU,0),0))="پاس نشده","—",IF(INDEX(ChqClr,IFERROR(MATCH(391,ChqRankU,0),0))="","—",INDEX(ChqClr,IFERROR(MATCH(391,ChqRankU,0),0)))))</f>
        <v/>
      </c>
      <c r="I407" t="str">
        <f>IF(391&gt;NChq,"",INDEX(ChqNorm,391))</f>
        <v/>
      </c>
      <c r="J407" t="str">
        <f>IF($I407="","",IF(AND($I407&gt;=$H$3,$I407&lt;=$H$4,INDEX(ChqStatus,391)="پاس نشده"),1,0))</f>
        <v/>
      </c>
      <c r="K407" t="str">
        <f>IF($J407=0,"",INDEX(ChqKey,391))</f>
        <v/>
      </c>
      <c r="L407" t="str">
        <f t="shared" si="6"/>
        <v/>
      </c>
    </row>
    <row r="408" spans="1:12" x14ac:dyDescent="0.2">
      <c r="A408" s="9" t="str">
        <f>IF(IFERROR(MATCH(392,ChqRankU,0),0)=0,"",392)</f>
        <v/>
      </c>
      <c r="B408" s="15" t="str">
        <f>IF(IFERROR(MATCH(392,ChqRankU,0),0)=0,"",INDEX(ChqNorm,IFERROR(MATCH(392,ChqRankU,0),0)))</f>
        <v/>
      </c>
      <c r="C408" s="15" t="str">
        <f>IF(IFERROR(MATCH(392,ChqRankU,0),0)=0,"",INDEX(ChqNo,IFERROR(MATCH(392,ChqRankU,0),0)))</f>
        <v/>
      </c>
      <c r="D408" s="16" t="str">
        <f>IF(IFERROR(MATCH(392,ChqRankU,0),0)=0,"",IF(INDEX(ChqAmt,IFERROR(MATCH(392,ChqRankU,0),0))=0,"",INDEX(ChqAmt,IFERROR(MATCH(392,ChqRankU,0),0))))</f>
        <v/>
      </c>
      <c r="E408" s="10" t="str">
        <f>IF(IFERROR(MATCH(392,ChqRankU,0),0)=0,"",INDEX(ChqStatus,IFERROR(MATCH(392,ChqRankU,0),0)))</f>
        <v/>
      </c>
      <c r="F408" s="15" t="str">
        <f>IF(IFERROR(MATCH(392,ChqRankU,0),0)=0,"",IF(INDEX(ChqStatus,IFERROR(MATCH(392,ChqRankU,0),0))="پاس نشده","—",IF(INDEX(ChqClr,IFERROR(MATCH(392,ChqRankU,0),0))="","—",INDEX(ChqClr,IFERROR(MATCH(392,ChqRankU,0),0)))))</f>
        <v/>
      </c>
      <c r="I408" t="str">
        <f>IF(392&gt;NChq,"",INDEX(ChqNorm,392))</f>
        <v/>
      </c>
      <c r="J408" t="str">
        <f>IF($I408="","",IF(AND($I408&gt;=$H$3,$I408&lt;=$H$4,INDEX(ChqStatus,392)="پاس نشده"),1,0))</f>
        <v/>
      </c>
      <c r="K408" t="str">
        <f>IF($J408=0,"",INDEX(ChqKey,392))</f>
        <v/>
      </c>
      <c r="L408" t="str">
        <f t="shared" si="6"/>
        <v/>
      </c>
    </row>
    <row r="409" spans="1:12" x14ac:dyDescent="0.2">
      <c r="A409" s="3" t="str">
        <f>IF(IFERROR(MATCH(393,ChqRankU,0),0)=0,"",393)</f>
        <v/>
      </c>
      <c r="B409" s="13" t="str">
        <f>IF(IFERROR(MATCH(393,ChqRankU,0),0)=0,"",INDEX(ChqNorm,IFERROR(MATCH(393,ChqRankU,0),0)))</f>
        <v/>
      </c>
      <c r="C409" s="13" t="str">
        <f>IF(IFERROR(MATCH(393,ChqRankU,0),0)=0,"",INDEX(ChqNo,IFERROR(MATCH(393,ChqRankU,0),0)))</f>
        <v/>
      </c>
      <c r="D409" s="14" t="str">
        <f>IF(IFERROR(MATCH(393,ChqRankU,0),0)=0,"",IF(INDEX(ChqAmt,IFERROR(MATCH(393,ChqRankU,0),0))=0,"",INDEX(ChqAmt,IFERROR(MATCH(393,ChqRankU,0),0))))</f>
        <v/>
      </c>
      <c r="E409" s="7" t="str">
        <f>IF(IFERROR(MATCH(393,ChqRankU,0),0)=0,"",INDEX(ChqStatus,IFERROR(MATCH(393,ChqRankU,0),0)))</f>
        <v/>
      </c>
      <c r="F409" s="13" t="str">
        <f>IF(IFERROR(MATCH(393,ChqRankU,0),0)=0,"",IF(INDEX(ChqStatus,IFERROR(MATCH(393,ChqRankU,0),0))="پاس نشده","—",IF(INDEX(ChqClr,IFERROR(MATCH(393,ChqRankU,0),0))="","—",INDEX(ChqClr,IFERROR(MATCH(393,ChqRankU,0),0)))))</f>
        <v/>
      </c>
      <c r="I409" t="str">
        <f>IF(393&gt;NChq,"",INDEX(ChqNorm,393))</f>
        <v/>
      </c>
      <c r="J409" t="str">
        <f>IF($I409="","",IF(AND($I409&gt;=$H$3,$I409&lt;=$H$4,INDEX(ChqStatus,393)="پاس نشده"),1,0))</f>
        <v/>
      </c>
      <c r="K409" t="str">
        <f>IF($J409=0,"",INDEX(ChqKey,393))</f>
        <v/>
      </c>
      <c r="L409" t="str">
        <f t="shared" si="6"/>
        <v/>
      </c>
    </row>
    <row r="410" spans="1:12" x14ac:dyDescent="0.2">
      <c r="A410" s="9" t="str">
        <f>IF(IFERROR(MATCH(394,ChqRankU,0),0)=0,"",394)</f>
        <v/>
      </c>
      <c r="B410" s="15" t="str">
        <f>IF(IFERROR(MATCH(394,ChqRankU,0),0)=0,"",INDEX(ChqNorm,IFERROR(MATCH(394,ChqRankU,0),0)))</f>
        <v/>
      </c>
      <c r="C410" s="15" t="str">
        <f>IF(IFERROR(MATCH(394,ChqRankU,0),0)=0,"",INDEX(ChqNo,IFERROR(MATCH(394,ChqRankU,0),0)))</f>
        <v/>
      </c>
      <c r="D410" s="16" t="str">
        <f>IF(IFERROR(MATCH(394,ChqRankU,0),0)=0,"",IF(INDEX(ChqAmt,IFERROR(MATCH(394,ChqRankU,0),0))=0,"",INDEX(ChqAmt,IFERROR(MATCH(394,ChqRankU,0),0))))</f>
        <v/>
      </c>
      <c r="E410" s="10" t="str">
        <f>IF(IFERROR(MATCH(394,ChqRankU,0),0)=0,"",INDEX(ChqStatus,IFERROR(MATCH(394,ChqRankU,0),0)))</f>
        <v/>
      </c>
      <c r="F410" s="15" t="str">
        <f>IF(IFERROR(MATCH(394,ChqRankU,0),0)=0,"",IF(INDEX(ChqStatus,IFERROR(MATCH(394,ChqRankU,0),0))="پاس نشده","—",IF(INDEX(ChqClr,IFERROR(MATCH(394,ChqRankU,0),0))="","—",INDEX(ChqClr,IFERROR(MATCH(394,ChqRankU,0),0)))))</f>
        <v/>
      </c>
      <c r="I410" t="str">
        <f>IF(394&gt;NChq,"",INDEX(ChqNorm,394))</f>
        <v/>
      </c>
      <c r="J410" t="str">
        <f>IF($I410="","",IF(AND($I410&gt;=$H$3,$I410&lt;=$H$4,INDEX(ChqStatus,394)="پاس نشده"),1,0))</f>
        <v/>
      </c>
      <c r="K410" t="str">
        <f>IF($J410=0,"",INDEX(ChqKey,394))</f>
        <v/>
      </c>
      <c r="L410" t="str">
        <f t="shared" si="6"/>
        <v/>
      </c>
    </row>
    <row r="411" spans="1:12" x14ac:dyDescent="0.2">
      <c r="A411" s="3" t="str">
        <f>IF(IFERROR(MATCH(395,ChqRankU,0),0)=0,"",395)</f>
        <v/>
      </c>
      <c r="B411" s="13" t="str">
        <f>IF(IFERROR(MATCH(395,ChqRankU,0),0)=0,"",INDEX(ChqNorm,IFERROR(MATCH(395,ChqRankU,0),0)))</f>
        <v/>
      </c>
      <c r="C411" s="13" t="str">
        <f>IF(IFERROR(MATCH(395,ChqRankU,0),0)=0,"",INDEX(ChqNo,IFERROR(MATCH(395,ChqRankU,0),0)))</f>
        <v/>
      </c>
      <c r="D411" s="14" t="str">
        <f>IF(IFERROR(MATCH(395,ChqRankU,0),0)=0,"",IF(INDEX(ChqAmt,IFERROR(MATCH(395,ChqRankU,0),0))=0,"",INDEX(ChqAmt,IFERROR(MATCH(395,ChqRankU,0),0))))</f>
        <v/>
      </c>
      <c r="E411" s="7" t="str">
        <f>IF(IFERROR(MATCH(395,ChqRankU,0),0)=0,"",INDEX(ChqStatus,IFERROR(MATCH(395,ChqRankU,0),0)))</f>
        <v/>
      </c>
      <c r="F411" s="13" t="str">
        <f>IF(IFERROR(MATCH(395,ChqRankU,0),0)=0,"",IF(INDEX(ChqStatus,IFERROR(MATCH(395,ChqRankU,0),0))="پاس نشده","—",IF(INDEX(ChqClr,IFERROR(MATCH(395,ChqRankU,0),0))="","—",INDEX(ChqClr,IFERROR(MATCH(395,ChqRankU,0),0)))))</f>
        <v/>
      </c>
      <c r="I411" t="str">
        <f>IF(395&gt;NChq,"",INDEX(ChqNorm,395))</f>
        <v/>
      </c>
      <c r="J411" t="str">
        <f>IF($I411="","",IF(AND($I411&gt;=$H$3,$I411&lt;=$H$4,INDEX(ChqStatus,395)="پاس نشده"),1,0))</f>
        <v/>
      </c>
      <c r="K411" t="str">
        <f>IF($J411=0,"",INDEX(ChqKey,395))</f>
        <v/>
      </c>
      <c r="L411" t="str">
        <f t="shared" si="6"/>
        <v/>
      </c>
    </row>
    <row r="412" spans="1:12" x14ac:dyDescent="0.2">
      <c r="A412" s="9" t="str">
        <f>IF(IFERROR(MATCH(396,ChqRankU,0),0)=0,"",396)</f>
        <v/>
      </c>
      <c r="B412" s="15" t="str">
        <f>IF(IFERROR(MATCH(396,ChqRankU,0),0)=0,"",INDEX(ChqNorm,IFERROR(MATCH(396,ChqRankU,0),0)))</f>
        <v/>
      </c>
      <c r="C412" s="15" t="str">
        <f>IF(IFERROR(MATCH(396,ChqRankU,0),0)=0,"",INDEX(ChqNo,IFERROR(MATCH(396,ChqRankU,0),0)))</f>
        <v/>
      </c>
      <c r="D412" s="16" t="str">
        <f>IF(IFERROR(MATCH(396,ChqRankU,0),0)=0,"",IF(INDEX(ChqAmt,IFERROR(MATCH(396,ChqRankU,0),0))=0,"",INDEX(ChqAmt,IFERROR(MATCH(396,ChqRankU,0),0))))</f>
        <v/>
      </c>
      <c r="E412" s="10" t="str">
        <f>IF(IFERROR(MATCH(396,ChqRankU,0),0)=0,"",INDEX(ChqStatus,IFERROR(MATCH(396,ChqRankU,0),0)))</f>
        <v/>
      </c>
      <c r="F412" s="15" t="str">
        <f>IF(IFERROR(MATCH(396,ChqRankU,0),0)=0,"",IF(INDEX(ChqStatus,IFERROR(MATCH(396,ChqRankU,0),0))="پاس نشده","—",IF(INDEX(ChqClr,IFERROR(MATCH(396,ChqRankU,0),0))="","—",INDEX(ChqClr,IFERROR(MATCH(396,ChqRankU,0),0)))))</f>
        <v/>
      </c>
      <c r="I412" t="str">
        <f>IF(396&gt;NChq,"",INDEX(ChqNorm,396))</f>
        <v/>
      </c>
      <c r="J412" t="str">
        <f>IF($I412="","",IF(AND($I412&gt;=$H$3,$I412&lt;=$H$4,INDEX(ChqStatus,396)="پاس نشده"),1,0))</f>
        <v/>
      </c>
      <c r="K412" t="str">
        <f>IF($J412=0,"",INDEX(ChqKey,396))</f>
        <v/>
      </c>
      <c r="L412" t="str">
        <f t="shared" si="6"/>
        <v/>
      </c>
    </row>
    <row r="413" spans="1:12" x14ac:dyDescent="0.2">
      <c r="A413" s="3" t="str">
        <f>IF(IFERROR(MATCH(397,ChqRankU,0),0)=0,"",397)</f>
        <v/>
      </c>
      <c r="B413" s="13" t="str">
        <f>IF(IFERROR(MATCH(397,ChqRankU,0),0)=0,"",INDEX(ChqNorm,IFERROR(MATCH(397,ChqRankU,0),0)))</f>
        <v/>
      </c>
      <c r="C413" s="13" t="str">
        <f>IF(IFERROR(MATCH(397,ChqRankU,0),0)=0,"",INDEX(ChqNo,IFERROR(MATCH(397,ChqRankU,0),0)))</f>
        <v/>
      </c>
      <c r="D413" s="14" t="str">
        <f>IF(IFERROR(MATCH(397,ChqRankU,0),0)=0,"",IF(INDEX(ChqAmt,IFERROR(MATCH(397,ChqRankU,0),0))=0,"",INDEX(ChqAmt,IFERROR(MATCH(397,ChqRankU,0),0))))</f>
        <v/>
      </c>
      <c r="E413" s="7" t="str">
        <f>IF(IFERROR(MATCH(397,ChqRankU,0),0)=0,"",INDEX(ChqStatus,IFERROR(MATCH(397,ChqRankU,0),0)))</f>
        <v/>
      </c>
      <c r="F413" s="13" t="str">
        <f>IF(IFERROR(MATCH(397,ChqRankU,0),0)=0,"",IF(INDEX(ChqStatus,IFERROR(MATCH(397,ChqRankU,0),0))="پاس نشده","—",IF(INDEX(ChqClr,IFERROR(MATCH(397,ChqRankU,0),0))="","—",INDEX(ChqClr,IFERROR(MATCH(397,ChqRankU,0),0)))))</f>
        <v/>
      </c>
      <c r="I413" t="str">
        <f>IF(397&gt;NChq,"",INDEX(ChqNorm,397))</f>
        <v/>
      </c>
      <c r="J413" t="str">
        <f>IF($I413="","",IF(AND($I413&gt;=$H$3,$I413&lt;=$H$4,INDEX(ChqStatus,397)="پاس نشده"),1,0))</f>
        <v/>
      </c>
      <c r="K413" t="str">
        <f>IF($J413=0,"",INDEX(ChqKey,397))</f>
        <v/>
      </c>
      <c r="L413" t="str">
        <f t="shared" si="6"/>
        <v/>
      </c>
    </row>
    <row r="414" spans="1:12" x14ac:dyDescent="0.2">
      <c r="A414" s="9" t="str">
        <f>IF(IFERROR(MATCH(398,ChqRankU,0),0)=0,"",398)</f>
        <v/>
      </c>
      <c r="B414" s="15" t="str">
        <f>IF(IFERROR(MATCH(398,ChqRankU,0),0)=0,"",INDEX(ChqNorm,IFERROR(MATCH(398,ChqRankU,0),0)))</f>
        <v/>
      </c>
      <c r="C414" s="15" t="str">
        <f>IF(IFERROR(MATCH(398,ChqRankU,0),0)=0,"",INDEX(ChqNo,IFERROR(MATCH(398,ChqRankU,0),0)))</f>
        <v/>
      </c>
      <c r="D414" s="16" t="str">
        <f>IF(IFERROR(MATCH(398,ChqRankU,0),0)=0,"",IF(INDEX(ChqAmt,IFERROR(MATCH(398,ChqRankU,0),0))=0,"",INDEX(ChqAmt,IFERROR(MATCH(398,ChqRankU,0),0))))</f>
        <v/>
      </c>
      <c r="E414" s="10" t="str">
        <f>IF(IFERROR(MATCH(398,ChqRankU,0),0)=0,"",INDEX(ChqStatus,IFERROR(MATCH(398,ChqRankU,0),0)))</f>
        <v/>
      </c>
      <c r="F414" s="15" t="str">
        <f>IF(IFERROR(MATCH(398,ChqRankU,0),0)=0,"",IF(INDEX(ChqStatus,IFERROR(MATCH(398,ChqRankU,0),0))="پاس نشده","—",IF(INDEX(ChqClr,IFERROR(MATCH(398,ChqRankU,0),0))="","—",INDEX(ChqClr,IFERROR(MATCH(398,ChqRankU,0),0)))))</f>
        <v/>
      </c>
      <c r="I414" t="str">
        <f>IF(398&gt;NChq,"",INDEX(ChqNorm,398))</f>
        <v/>
      </c>
      <c r="J414" t="str">
        <f>IF($I414="","",IF(AND($I414&gt;=$H$3,$I414&lt;=$H$4,INDEX(ChqStatus,398)="پاس نشده"),1,0))</f>
        <v/>
      </c>
      <c r="K414" t="str">
        <f>IF($J414=0,"",INDEX(ChqKey,398))</f>
        <v/>
      </c>
      <c r="L414" t="str">
        <f t="shared" si="6"/>
        <v/>
      </c>
    </row>
    <row r="415" spans="1:12" x14ac:dyDescent="0.2">
      <c r="A415" s="3" t="str">
        <f>IF(IFERROR(MATCH(399,ChqRankU,0),0)=0,"",399)</f>
        <v/>
      </c>
      <c r="B415" s="13" t="str">
        <f>IF(IFERROR(MATCH(399,ChqRankU,0),0)=0,"",INDEX(ChqNorm,IFERROR(MATCH(399,ChqRankU,0),0)))</f>
        <v/>
      </c>
      <c r="C415" s="13" t="str">
        <f>IF(IFERROR(MATCH(399,ChqRankU,0),0)=0,"",INDEX(ChqNo,IFERROR(MATCH(399,ChqRankU,0),0)))</f>
        <v/>
      </c>
      <c r="D415" s="14" t="str">
        <f>IF(IFERROR(MATCH(399,ChqRankU,0),0)=0,"",IF(INDEX(ChqAmt,IFERROR(MATCH(399,ChqRankU,0),0))=0,"",INDEX(ChqAmt,IFERROR(MATCH(399,ChqRankU,0),0))))</f>
        <v/>
      </c>
      <c r="E415" s="7" t="str">
        <f>IF(IFERROR(MATCH(399,ChqRankU,0),0)=0,"",INDEX(ChqStatus,IFERROR(MATCH(399,ChqRankU,0),0)))</f>
        <v/>
      </c>
      <c r="F415" s="13" t="str">
        <f>IF(IFERROR(MATCH(399,ChqRankU,0),0)=0,"",IF(INDEX(ChqStatus,IFERROR(MATCH(399,ChqRankU,0),0))="پاس نشده","—",IF(INDEX(ChqClr,IFERROR(MATCH(399,ChqRankU,0),0))="","—",INDEX(ChqClr,IFERROR(MATCH(399,ChqRankU,0),0)))))</f>
        <v/>
      </c>
      <c r="I415" t="str">
        <f>IF(399&gt;NChq,"",INDEX(ChqNorm,399))</f>
        <v/>
      </c>
      <c r="J415" t="str">
        <f>IF($I415="","",IF(AND($I415&gt;=$H$3,$I415&lt;=$H$4,INDEX(ChqStatus,399)="پاس نشده"),1,0))</f>
        <v/>
      </c>
      <c r="K415" t="str">
        <f>IF($J415=0,"",INDEX(ChqKey,399))</f>
        <v/>
      </c>
      <c r="L415" t="str">
        <f t="shared" si="6"/>
        <v/>
      </c>
    </row>
    <row r="416" spans="1:12" x14ac:dyDescent="0.2">
      <c r="A416" s="9" t="str">
        <f>IF(IFERROR(MATCH(400,ChqRankU,0),0)=0,"",400)</f>
        <v/>
      </c>
      <c r="B416" s="15" t="str">
        <f>IF(IFERROR(MATCH(400,ChqRankU,0),0)=0,"",INDEX(ChqNorm,IFERROR(MATCH(400,ChqRankU,0),0)))</f>
        <v/>
      </c>
      <c r="C416" s="15" t="str">
        <f>IF(IFERROR(MATCH(400,ChqRankU,0),0)=0,"",INDEX(ChqNo,IFERROR(MATCH(400,ChqRankU,0),0)))</f>
        <v/>
      </c>
      <c r="D416" s="16" t="str">
        <f>IF(IFERROR(MATCH(400,ChqRankU,0),0)=0,"",IF(INDEX(ChqAmt,IFERROR(MATCH(400,ChqRankU,0),0))=0,"",INDEX(ChqAmt,IFERROR(MATCH(400,ChqRankU,0),0))))</f>
        <v/>
      </c>
      <c r="E416" s="10" t="str">
        <f>IF(IFERROR(MATCH(400,ChqRankU,0),0)=0,"",INDEX(ChqStatus,IFERROR(MATCH(400,ChqRankU,0),0)))</f>
        <v/>
      </c>
      <c r="F416" s="15" t="str">
        <f>IF(IFERROR(MATCH(400,ChqRankU,0),0)=0,"",IF(INDEX(ChqStatus,IFERROR(MATCH(400,ChqRankU,0),0))="پاس نشده","—",IF(INDEX(ChqClr,IFERROR(MATCH(400,ChqRankU,0),0))="","—",INDEX(ChqClr,IFERROR(MATCH(400,ChqRankU,0),0)))))</f>
        <v/>
      </c>
      <c r="I416" t="str">
        <f>IF(400&gt;NChq,"",INDEX(ChqNorm,400))</f>
        <v/>
      </c>
      <c r="J416" t="str">
        <f>IF($I416="","",IF(AND($I416&gt;=$H$3,$I416&lt;=$H$4,INDEX(ChqStatus,400)="پاس نشده"),1,0))</f>
        <v/>
      </c>
      <c r="K416" t="str">
        <f>IF($J416=0,"",INDEX(ChqKey,400))</f>
        <v/>
      </c>
      <c r="L416" t="str">
        <f t="shared" si="6"/>
        <v/>
      </c>
    </row>
    <row r="417" spans="1:12" x14ac:dyDescent="0.2">
      <c r="A417" s="3" t="str">
        <f>IF(IFERROR(MATCH(401,ChqRankU,0),0)=0,"",401)</f>
        <v/>
      </c>
      <c r="B417" s="13" t="str">
        <f>IF(IFERROR(MATCH(401,ChqRankU,0),0)=0,"",INDEX(ChqNorm,IFERROR(MATCH(401,ChqRankU,0),0)))</f>
        <v/>
      </c>
      <c r="C417" s="13" t="str">
        <f>IF(IFERROR(MATCH(401,ChqRankU,0),0)=0,"",INDEX(ChqNo,IFERROR(MATCH(401,ChqRankU,0),0)))</f>
        <v/>
      </c>
      <c r="D417" s="14" t="str">
        <f>IF(IFERROR(MATCH(401,ChqRankU,0),0)=0,"",IF(INDEX(ChqAmt,IFERROR(MATCH(401,ChqRankU,0),0))=0,"",INDEX(ChqAmt,IFERROR(MATCH(401,ChqRankU,0),0))))</f>
        <v/>
      </c>
      <c r="E417" s="7" t="str">
        <f>IF(IFERROR(MATCH(401,ChqRankU,0),0)=0,"",INDEX(ChqStatus,IFERROR(MATCH(401,ChqRankU,0),0)))</f>
        <v/>
      </c>
      <c r="F417" s="13" t="str">
        <f>IF(IFERROR(MATCH(401,ChqRankU,0),0)=0,"",IF(INDEX(ChqStatus,IFERROR(MATCH(401,ChqRankU,0),0))="پاس نشده","—",IF(INDEX(ChqClr,IFERROR(MATCH(401,ChqRankU,0),0))="","—",INDEX(ChqClr,IFERROR(MATCH(401,ChqRankU,0),0)))))</f>
        <v/>
      </c>
      <c r="I417" t="str">
        <f>IF(401&gt;NChq,"",INDEX(ChqNorm,401))</f>
        <v/>
      </c>
      <c r="J417" t="str">
        <f>IF($I417="","",IF(AND($I417&gt;=$H$3,$I417&lt;=$H$4,INDEX(ChqStatus,401)="پاس نشده"),1,0))</f>
        <v/>
      </c>
      <c r="K417" t="str">
        <f>IF($J417=0,"",INDEX(ChqKey,401))</f>
        <v/>
      </c>
      <c r="L417" t="str">
        <f t="shared" si="6"/>
        <v/>
      </c>
    </row>
    <row r="418" spans="1:12" x14ac:dyDescent="0.2">
      <c r="A418" s="9" t="str">
        <f>IF(IFERROR(MATCH(402,ChqRankU,0),0)=0,"",402)</f>
        <v/>
      </c>
      <c r="B418" s="15" t="str">
        <f>IF(IFERROR(MATCH(402,ChqRankU,0),0)=0,"",INDEX(ChqNorm,IFERROR(MATCH(402,ChqRankU,0),0)))</f>
        <v/>
      </c>
      <c r="C418" s="15" t="str">
        <f>IF(IFERROR(MATCH(402,ChqRankU,0),0)=0,"",INDEX(ChqNo,IFERROR(MATCH(402,ChqRankU,0),0)))</f>
        <v/>
      </c>
      <c r="D418" s="16" t="str">
        <f>IF(IFERROR(MATCH(402,ChqRankU,0),0)=0,"",IF(INDEX(ChqAmt,IFERROR(MATCH(402,ChqRankU,0),0))=0,"",INDEX(ChqAmt,IFERROR(MATCH(402,ChqRankU,0),0))))</f>
        <v/>
      </c>
      <c r="E418" s="10" t="str">
        <f>IF(IFERROR(MATCH(402,ChqRankU,0),0)=0,"",INDEX(ChqStatus,IFERROR(MATCH(402,ChqRankU,0),0)))</f>
        <v/>
      </c>
      <c r="F418" s="15" t="str">
        <f>IF(IFERROR(MATCH(402,ChqRankU,0),0)=0,"",IF(INDEX(ChqStatus,IFERROR(MATCH(402,ChqRankU,0),0))="پاس نشده","—",IF(INDEX(ChqClr,IFERROR(MATCH(402,ChqRankU,0),0))="","—",INDEX(ChqClr,IFERROR(MATCH(402,ChqRankU,0),0)))))</f>
        <v/>
      </c>
      <c r="I418" t="str">
        <f>IF(402&gt;NChq,"",INDEX(ChqNorm,402))</f>
        <v/>
      </c>
      <c r="J418" t="str">
        <f>IF($I418="","",IF(AND($I418&gt;=$H$3,$I418&lt;=$H$4,INDEX(ChqStatus,402)="پاس نشده"),1,0))</f>
        <v/>
      </c>
      <c r="K418" t="str">
        <f>IF($J418=0,"",INDEX(ChqKey,402))</f>
        <v/>
      </c>
      <c r="L418" t="str">
        <f t="shared" si="6"/>
        <v/>
      </c>
    </row>
    <row r="419" spans="1:12" x14ac:dyDescent="0.2">
      <c r="A419" s="3" t="str">
        <f>IF(IFERROR(MATCH(403,ChqRankU,0),0)=0,"",403)</f>
        <v/>
      </c>
      <c r="B419" s="13" t="str">
        <f>IF(IFERROR(MATCH(403,ChqRankU,0),0)=0,"",INDEX(ChqNorm,IFERROR(MATCH(403,ChqRankU,0),0)))</f>
        <v/>
      </c>
      <c r="C419" s="13" t="str">
        <f>IF(IFERROR(MATCH(403,ChqRankU,0),0)=0,"",INDEX(ChqNo,IFERROR(MATCH(403,ChqRankU,0),0)))</f>
        <v/>
      </c>
      <c r="D419" s="14" t="str">
        <f>IF(IFERROR(MATCH(403,ChqRankU,0),0)=0,"",IF(INDEX(ChqAmt,IFERROR(MATCH(403,ChqRankU,0),0))=0,"",INDEX(ChqAmt,IFERROR(MATCH(403,ChqRankU,0),0))))</f>
        <v/>
      </c>
      <c r="E419" s="7" t="str">
        <f>IF(IFERROR(MATCH(403,ChqRankU,0),0)=0,"",INDEX(ChqStatus,IFERROR(MATCH(403,ChqRankU,0),0)))</f>
        <v/>
      </c>
      <c r="F419" s="13" t="str">
        <f>IF(IFERROR(MATCH(403,ChqRankU,0),0)=0,"",IF(INDEX(ChqStatus,IFERROR(MATCH(403,ChqRankU,0),0))="پاس نشده","—",IF(INDEX(ChqClr,IFERROR(MATCH(403,ChqRankU,0),0))="","—",INDEX(ChqClr,IFERROR(MATCH(403,ChqRankU,0),0)))))</f>
        <v/>
      </c>
      <c r="I419" t="str">
        <f>IF(403&gt;NChq,"",INDEX(ChqNorm,403))</f>
        <v/>
      </c>
      <c r="J419" t="str">
        <f>IF($I419="","",IF(AND($I419&gt;=$H$3,$I419&lt;=$H$4,INDEX(ChqStatus,403)="پاس نشده"),1,0))</f>
        <v/>
      </c>
      <c r="K419" t="str">
        <f>IF($J419=0,"",INDEX(ChqKey,403))</f>
        <v/>
      </c>
      <c r="L419" t="str">
        <f t="shared" si="6"/>
        <v/>
      </c>
    </row>
    <row r="420" spans="1:12" x14ac:dyDescent="0.2">
      <c r="A420" s="9" t="str">
        <f>IF(IFERROR(MATCH(404,ChqRankU,0),0)=0,"",404)</f>
        <v/>
      </c>
      <c r="B420" s="15" t="str">
        <f>IF(IFERROR(MATCH(404,ChqRankU,0),0)=0,"",INDEX(ChqNorm,IFERROR(MATCH(404,ChqRankU,0),0)))</f>
        <v/>
      </c>
      <c r="C420" s="15" t="str">
        <f>IF(IFERROR(MATCH(404,ChqRankU,0),0)=0,"",INDEX(ChqNo,IFERROR(MATCH(404,ChqRankU,0),0)))</f>
        <v/>
      </c>
      <c r="D420" s="16" t="str">
        <f>IF(IFERROR(MATCH(404,ChqRankU,0),0)=0,"",IF(INDEX(ChqAmt,IFERROR(MATCH(404,ChqRankU,0),0))=0,"",INDEX(ChqAmt,IFERROR(MATCH(404,ChqRankU,0),0))))</f>
        <v/>
      </c>
      <c r="E420" s="10" t="str">
        <f>IF(IFERROR(MATCH(404,ChqRankU,0),0)=0,"",INDEX(ChqStatus,IFERROR(MATCH(404,ChqRankU,0),0)))</f>
        <v/>
      </c>
      <c r="F420" s="15" t="str">
        <f>IF(IFERROR(MATCH(404,ChqRankU,0),0)=0,"",IF(INDEX(ChqStatus,IFERROR(MATCH(404,ChqRankU,0),0))="پاس نشده","—",IF(INDEX(ChqClr,IFERROR(MATCH(404,ChqRankU,0),0))="","—",INDEX(ChqClr,IFERROR(MATCH(404,ChqRankU,0),0)))))</f>
        <v/>
      </c>
      <c r="I420" t="str">
        <f>IF(404&gt;NChq,"",INDEX(ChqNorm,404))</f>
        <v/>
      </c>
      <c r="J420" t="str">
        <f>IF($I420="","",IF(AND($I420&gt;=$H$3,$I420&lt;=$H$4,INDEX(ChqStatus,404)="پاس نشده"),1,0))</f>
        <v/>
      </c>
      <c r="K420" t="str">
        <f>IF($J420=0,"",INDEX(ChqKey,404))</f>
        <v/>
      </c>
      <c r="L420" t="str">
        <f t="shared" si="6"/>
        <v/>
      </c>
    </row>
    <row r="421" spans="1:12" x14ac:dyDescent="0.2">
      <c r="A421" s="3" t="str">
        <f>IF(IFERROR(MATCH(405,ChqRankU,0),0)=0,"",405)</f>
        <v/>
      </c>
      <c r="B421" s="13" t="str">
        <f>IF(IFERROR(MATCH(405,ChqRankU,0),0)=0,"",INDEX(ChqNorm,IFERROR(MATCH(405,ChqRankU,0),0)))</f>
        <v/>
      </c>
      <c r="C421" s="13" t="str">
        <f>IF(IFERROR(MATCH(405,ChqRankU,0),0)=0,"",INDEX(ChqNo,IFERROR(MATCH(405,ChqRankU,0),0)))</f>
        <v/>
      </c>
      <c r="D421" s="14" t="str">
        <f>IF(IFERROR(MATCH(405,ChqRankU,0),0)=0,"",IF(INDEX(ChqAmt,IFERROR(MATCH(405,ChqRankU,0),0))=0,"",INDEX(ChqAmt,IFERROR(MATCH(405,ChqRankU,0),0))))</f>
        <v/>
      </c>
      <c r="E421" s="7" t="str">
        <f>IF(IFERROR(MATCH(405,ChqRankU,0),0)=0,"",INDEX(ChqStatus,IFERROR(MATCH(405,ChqRankU,0),0)))</f>
        <v/>
      </c>
      <c r="F421" s="13" t="str">
        <f>IF(IFERROR(MATCH(405,ChqRankU,0),0)=0,"",IF(INDEX(ChqStatus,IFERROR(MATCH(405,ChqRankU,0),0))="پاس نشده","—",IF(INDEX(ChqClr,IFERROR(MATCH(405,ChqRankU,0),0))="","—",INDEX(ChqClr,IFERROR(MATCH(405,ChqRankU,0),0)))))</f>
        <v/>
      </c>
      <c r="I421" t="str">
        <f>IF(405&gt;NChq,"",INDEX(ChqNorm,405))</f>
        <v/>
      </c>
      <c r="J421" t="str">
        <f>IF($I421="","",IF(AND($I421&gt;=$H$3,$I421&lt;=$H$4,INDEX(ChqStatus,405)="پاس نشده"),1,0))</f>
        <v/>
      </c>
      <c r="K421" t="str">
        <f>IF($J421=0,"",INDEX(ChqKey,405))</f>
        <v/>
      </c>
      <c r="L421" t="str">
        <f t="shared" si="6"/>
        <v/>
      </c>
    </row>
    <row r="422" spans="1:12" x14ac:dyDescent="0.2">
      <c r="A422" s="9" t="str">
        <f>IF(IFERROR(MATCH(406,ChqRankU,0),0)=0,"",406)</f>
        <v/>
      </c>
      <c r="B422" s="15" t="str">
        <f>IF(IFERROR(MATCH(406,ChqRankU,0),0)=0,"",INDEX(ChqNorm,IFERROR(MATCH(406,ChqRankU,0),0)))</f>
        <v/>
      </c>
      <c r="C422" s="15" t="str">
        <f>IF(IFERROR(MATCH(406,ChqRankU,0),0)=0,"",INDEX(ChqNo,IFERROR(MATCH(406,ChqRankU,0),0)))</f>
        <v/>
      </c>
      <c r="D422" s="16" t="str">
        <f>IF(IFERROR(MATCH(406,ChqRankU,0),0)=0,"",IF(INDEX(ChqAmt,IFERROR(MATCH(406,ChqRankU,0),0))=0,"",INDEX(ChqAmt,IFERROR(MATCH(406,ChqRankU,0),0))))</f>
        <v/>
      </c>
      <c r="E422" s="10" t="str">
        <f>IF(IFERROR(MATCH(406,ChqRankU,0),0)=0,"",INDEX(ChqStatus,IFERROR(MATCH(406,ChqRankU,0),0)))</f>
        <v/>
      </c>
      <c r="F422" s="15" t="str">
        <f>IF(IFERROR(MATCH(406,ChqRankU,0),0)=0,"",IF(INDEX(ChqStatus,IFERROR(MATCH(406,ChqRankU,0),0))="پاس نشده","—",IF(INDEX(ChqClr,IFERROR(MATCH(406,ChqRankU,0),0))="","—",INDEX(ChqClr,IFERROR(MATCH(406,ChqRankU,0),0)))))</f>
        <v/>
      </c>
      <c r="I422" t="str">
        <f>IF(406&gt;NChq,"",INDEX(ChqNorm,406))</f>
        <v/>
      </c>
      <c r="J422" t="str">
        <f>IF($I422="","",IF(AND($I422&gt;=$H$3,$I422&lt;=$H$4,INDEX(ChqStatus,406)="پاس نشده"),1,0))</f>
        <v/>
      </c>
      <c r="K422" t="str">
        <f>IF($J422=0,"",INDEX(ChqKey,406))</f>
        <v/>
      </c>
      <c r="L422" t="str">
        <f t="shared" si="6"/>
        <v/>
      </c>
    </row>
    <row r="423" spans="1:12" x14ac:dyDescent="0.2">
      <c r="A423" s="3" t="str">
        <f>IF(IFERROR(MATCH(407,ChqRankU,0),0)=0,"",407)</f>
        <v/>
      </c>
      <c r="B423" s="13" t="str">
        <f>IF(IFERROR(MATCH(407,ChqRankU,0),0)=0,"",INDEX(ChqNorm,IFERROR(MATCH(407,ChqRankU,0),0)))</f>
        <v/>
      </c>
      <c r="C423" s="13" t="str">
        <f>IF(IFERROR(MATCH(407,ChqRankU,0),0)=0,"",INDEX(ChqNo,IFERROR(MATCH(407,ChqRankU,0),0)))</f>
        <v/>
      </c>
      <c r="D423" s="14" t="str">
        <f>IF(IFERROR(MATCH(407,ChqRankU,0),0)=0,"",IF(INDEX(ChqAmt,IFERROR(MATCH(407,ChqRankU,0),0))=0,"",INDEX(ChqAmt,IFERROR(MATCH(407,ChqRankU,0),0))))</f>
        <v/>
      </c>
      <c r="E423" s="7" t="str">
        <f>IF(IFERROR(MATCH(407,ChqRankU,0),0)=0,"",INDEX(ChqStatus,IFERROR(MATCH(407,ChqRankU,0),0)))</f>
        <v/>
      </c>
      <c r="F423" s="13" t="str">
        <f>IF(IFERROR(MATCH(407,ChqRankU,0),0)=0,"",IF(INDEX(ChqStatus,IFERROR(MATCH(407,ChqRankU,0),0))="پاس نشده","—",IF(INDEX(ChqClr,IFERROR(MATCH(407,ChqRankU,0),0))="","—",INDEX(ChqClr,IFERROR(MATCH(407,ChqRankU,0),0)))))</f>
        <v/>
      </c>
      <c r="I423" t="str">
        <f>IF(407&gt;NChq,"",INDEX(ChqNorm,407))</f>
        <v/>
      </c>
      <c r="J423" t="str">
        <f>IF($I423="","",IF(AND($I423&gt;=$H$3,$I423&lt;=$H$4,INDEX(ChqStatus,407)="پاس نشده"),1,0))</f>
        <v/>
      </c>
      <c r="K423" t="str">
        <f>IF($J423=0,"",INDEX(ChqKey,407))</f>
        <v/>
      </c>
      <c r="L423" t="str">
        <f t="shared" si="6"/>
        <v/>
      </c>
    </row>
    <row r="424" spans="1:12" x14ac:dyDescent="0.2">
      <c r="A424" s="9" t="str">
        <f>IF(IFERROR(MATCH(408,ChqRankU,0),0)=0,"",408)</f>
        <v/>
      </c>
      <c r="B424" s="15" t="str">
        <f>IF(IFERROR(MATCH(408,ChqRankU,0),0)=0,"",INDEX(ChqNorm,IFERROR(MATCH(408,ChqRankU,0),0)))</f>
        <v/>
      </c>
      <c r="C424" s="15" t="str">
        <f>IF(IFERROR(MATCH(408,ChqRankU,0),0)=0,"",INDEX(ChqNo,IFERROR(MATCH(408,ChqRankU,0),0)))</f>
        <v/>
      </c>
      <c r="D424" s="16" t="str">
        <f>IF(IFERROR(MATCH(408,ChqRankU,0),0)=0,"",IF(INDEX(ChqAmt,IFERROR(MATCH(408,ChqRankU,0),0))=0,"",INDEX(ChqAmt,IFERROR(MATCH(408,ChqRankU,0),0))))</f>
        <v/>
      </c>
      <c r="E424" s="10" t="str">
        <f>IF(IFERROR(MATCH(408,ChqRankU,0),0)=0,"",INDEX(ChqStatus,IFERROR(MATCH(408,ChqRankU,0),0)))</f>
        <v/>
      </c>
      <c r="F424" s="15" t="str">
        <f>IF(IFERROR(MATCH(408,ChqRankU,0),0)=0,"",IF(INDEX(ChqStatus,IFERROR(MATCH(408,ChqRankU,0),0))="پاس نشده","—",IF(INDEX(ChqClr,IFERROR(MATCH(408,ChqRankU,0),0))="","—",INDEX(ChqClr,IFERROR(MATCH(408,ChqRankU,0),0)))))</f>
        <v/>
      </c>
      <c r="I424" t="str">
        <f>IF(408&gt;NChq,"",INDEX(ChqNorm,408))</f>
        <v/>
      </c>
      <c r="J424" t="str">
        <f>IF($I424="","",IF(AND($I424&gt;=$H$3,$I424&lt;=$H$4,INDEX(ChqStatus,408)="پاس نشده"),1,0))</f>
        <v/>
      </c>
      <c r="K424" t="str">
        <f>IF($J424=0,"",INDEX(ChqKey,408))</f>
        <v/>
      </c>
      <c r="L424" t="str">
        <f t="shared" si="6"/>
        <v/>
      </c>
    </row>
    <row r="425" spans="1:12" x14ac:dyDescent="0.2">
      <c r="A425" s="3" t="str">
        <f>IF(IFERROR(MATCH(409,ChqRankU,0),0)=0,"",409)</f>
        <v/>
      </c>
      <c r="B425" s="13" t="str">
        <f>IF(IFERROR(MATCH(409,ChqRankU,0),0)=0,"",INDEX(ChqNorm,IFERROR(MATCH(409,ChqRankU,0),0)))</f>
        <v/>
      </c>
      <c r="C425" s="13" t="str">
        <f>IF(IFERROR(MATCH(409,ChqRankU,0),0)=0,"",INDEX(ChqNo,IFERROR(MATCH(409,ChqRankU,0),0)))</f>
        <v/>
      </c>
      <c r="D425" s="14" t="str">
        <f>IF(IFERROR(MATCH(409,ChqRankU,0),0)=0,"",IF(INDEX(ChqAmt,IFERROR(MATCH(409,ChqRankU,0),0))=0,"",INDEX(ChqAmt,IFERROR(MATCH(409,ChqRankU,0),0))))</f>
        <v/>
      </c>
      <c r="E425" s="7" t="str">
        <f>IF(IFERROR(MATCH(409,ChqRankU,0),0)=0,"",INDEX(ChqStatus,IFERROR(MATCH(409,ChqRankU,0),0)))</f>
        <v/>
      </c>
      <c r="F425" s="13" t="str">
        <f>IF(IFERROR(MATCH(409,ChqRankU,0),0)=0,"",IF(INDEX(ChqStatus,IFERROR(MATCH(409,ChqRankU,0),0))="پاس نشده","—",IF(INDEX(ChqClr,IFERROR(MATCH(409,ChqRankU,0),0))="","—",INDEX(ChqClr,IFERROR(MATCH(409,ChqRankU,0),0)))))</f>
        <v/>
      </c>
      <c r="I425" t="str">
        <f>IF(409&gt;NChq,"",INDEX(ChqNorm,409))</f>
        <v/>
      </c>
      <c r="J425" t="str">
        <f>IF($I425="","",IF(AND($I425&gt;=$H$3,$I425&lt;=$H$4,INDEX(ChqStatus,409)="پاس نشده"),1,0))</f>
        <v/>
      </c>
      <c r="K425" t="str">
        <f>IF($J425=0,"",INDEX(ChqKey,409))</f>
        <v/>
      </c>
      <c r="L425" t="str">
        <f t="shared" si="6"/>
        <v/>
      </c>
    </row>
    <row r="426" spans="1:12" x14ac:dyDescent="0.2">
      <c r="A426" s="9" t="str">
        <f>IF(IFERROR(MATCH(410,ChqRankU,0),0)=0,"",410)</f>
        <v/>
      </c>
      <c r="B426" s="15" t="str">
        <f>IF(IFERROR(MATCH(410,ChqRankU,0),0)=0,"",INDEX(ChqNorm,IFERROR(MATCH(410,ChqRankU,0),0)))</f>
        <v/>
      </c>
      <c r="C426" s="15" t="str">
        <f>IF(IFERROR(MATCH(410,ChqRankU,0),0)=0,"",INDEX(ChqNo,IFERROR(MATCH(410,ChqRankU,0),0)))</f>
        <v/>
      </c>
      <c r="D426" s="16" t="str">
        <f>IF(IFERROR(MATCH(410,ChqRankU,0),0)=0,"",IF(INDEX(ChqAmt,IFERROR(MATCH(410,ChqRankU,0),0))=0,"",INDEX(ChqAmt,IFERROR(MATCH(410,ChqRankU,0),0))))</f>
        <v/>
      </c>
      <c r="E426" s="10" t="str">
        <f>IF(IFERROR(MATCH(410,ChqRankU,0),0)=0,"",INDEX(ChqStatus,IFERROR(MATCH(410,ChqRankU,0),0)))</f>
        <v/>
      </c>
      <c r="F426" s="15" t="str">
        <f>IF(IFERROR(MATCH(410,ChqRankU,0),0)=0,"",IF(INDEX(ChqStatus,IFERROR(MATCH(410,ChqRankU,0),0))="پاس نشده","—",IF(INDEX(ChqClr,IFERROR(MATCH(410,ChqRankU,0),0))="","—",INDEX(ChqClr,IFERROR(MATCH(410,ChqRankU,0),0)))))</f>
        <v/>
      </c>
      <c r="I426" t="str">
        <f>IF(410&gt;NChq,"",INDEX(ChqNorm,410))</f>
        <v/>
      </c>
      <c r="J426" t="str">
        <f>IF($I426="","",IF(AND($I426&gt;=$H$3,$I426&lt;=$H$4,INDEX(ChqStatus,410)="پاس نشده"),1,0))</f>
        <v/>
      </c>
      <c r="K426" t="str">
        <f>IF($J426=0,"",INDEX(ChqKey,410))</f>
        <v/>
      </c>
      <c r="L426" t="str">
        <f t="shared" si="6"/>
        <v/>
      </c>
    </row>
    <row r="427" spans="1:12" x14ac:dyDescent="0.2">
      <c r="A427" s="3" t="str">
        <f>IF(IFERROR(MATCH(411,ChqRankU,0),0)=0,"",411)</f>
        <v/>
      </c>
      <c r="B427" s="13" t="str">
        <f>IF(IFERROR(MATCH(411,ChqRankU,0),0)=0,"",INDEX(ChqNorm,IFERROR(MATCH(411,ChqRankU,0),0)))</f>
        <v/>
      </c>
      <c r="C427" s="13" t="str">
        <f>IF(IFERROR(MATCH(411,ChqRankU,0),0)=0,"",INDEX(ChqNo,IFERROR(MATCH(411,ChqRankU,0),0)))</f>
        <v/>
      </c>
      <c r="D427" s="14" t="str">
        <f>IF(IFERROR(MATCH(411,ChqRankU,0),0)=0,"",IF(INDEX(ChqAmt,IFERROR(MATCH(411,ChqRankU,0),0))=0,"",INDEX(ChqAmt,IFERROR(MATCH(411,ChqRankU,0),0))))</f>
        <v/>
      </c>
      <c r="E427" s="7" t="str">
        <f>IF(IFERROR(MATCH(411,ChqRankU,0),0)=0,"",INDEX(ChqStatus,IFERROR(MATCH(411,ChqRankU,0),0)))</f>
        <v/>
      </c>
      <c r="F427" s="13" t="str">
        <f>IF(IFERROR(MATCH(411,ChqRankU,0),0)=0,"",IF(INDEX(ChqStatus,IFERROR(MATCH(411,ChqRankU,0),0))="پاس نشده","—",IF(INDEX(ChqClr,IFERROR(MATCH(411,ChqRankU,0),0))="","—",INDEX(ChqClr,IFERROR(MATCH(411,ChqRankU,0),0)))))</f>
        <v/>
      </c>
      <c r="I427" t="str">
        <f>IF(411&gt;NChq,"",INDEX(ChqNorm,411))</f>
        <v/>
      </c>
      <c r="J427" t="str">
        <f>IF($I427="","",IF(AND($I427&gt;=$H$3,$I427&lt;=$H$4,INDEX(ChqStatus,411)="پاس نشده"),1,0))</f>
        <v/>
      </c>
      <c r="K427" t="str">
        <f>IF($J427=0,"",INDEX(ChqKey,411))</f>
        <v/>
      </c>
      <c r="L427" t="str">
        <f t="shared" si="6"/>
        <v/>
      </c>
    </row>
    <row r="428" spans="1:12" x14ac:dyDescent="0.2">
      <c r="A428" s="9" t="str">
        <f>IF(IFERROR(MATCH(412,ChqRankU,0),0)=0,"",412)</f>
        <v/>
      </c>
      <c r="B428" s="15" t="str">
        <f>IF(IFERROR(MATCH(412,ChqRankU,0),0)=0,"",INDEX(ChqNorm,IFERROR(MATCH(412,ChqRankU,0),0)))</f>
        <v/>
      </c>
      <c r="C428" s="15" t="str">
        <f>IF(IFERROR(MATCH(412,ChqRankU,0),0)=0,"",INDEX(ChqNo,IFERROR(MATCH(412,ChqRankU,0),0)))</f>
        <v/>
      </c>
      <c r="D428" s="16" t="str">
        <f>IF(IFERROR(MATCH(412,ChqRankU,0),0)=0,"",IF(INDEX(ChqAmt,IFERROR(MATCH(412,ChqRankU,0),0))=0,"",INDEX(ChqAmt,IFERROR(MATCH(412,ChqRankU,0),0))))</f>
        <v/>
      </c>
      <c r="E428" s="10" t="str">
        <f>IF(IFERROR(MATCH(412,ChqRankU,0),0)=0,"",INDEX(ChqStatus,IFERROR(MATCH(412,ChqRankU,0),0)))</f>
        <v/>
      </c>
      <c r="F428" s="15" t="str">
        <f>IF(IFERROR(MATCH(412,ChqRankU,0),0)=0,"",IF(INDEX(ChqStatus,IFERROR(MATCH(412,ChqRankU,0),0))="پاس نشده","—",IF(INDEX(ChqClr,IFERROR(MATCH(412,ChqRankU,0),0))="","—",INDEX(ChqClr,IFERROR(MATCH(412,ChqRankU,0),0)))))</f>
        <v/>
      </c>
      <c r="I428" t="str">
        <f>IF(412&gt;NChq,"",INDEX(ChqNorm,412))</f>
        <v/>
      </c>
      <c r="J428" t="str">
        <f>IF($I428="","",IF(AND($I428&gt;=$H$3,$I428&lt;=$H$4,INDEX(ChqStatus,412)="پاس نشده"),1,0))</f>
        <v/>
      </c>
      <c r="K428" t="str">
        <f>IF($J428=0,"",INDEX(ChqKey,412))</f>
        <v/>
      </c>
      <c r="L428" t="str">
        <f t="shared" si="6"/>
        <v/>
      </c>
    </row>
    <row r="429" spans="1:12" x14ac:dyDescent="0.2">
      <c r="A429" s="3" t="str">
        <f>IF(IFERROR(MATCH(413,ChqRankU,0),0)=0,"",413)</f>
        <v/>
      </c>
      <c r="B429" s="13" t="str">
        <f>IF(IFERROR(MATCH(413,ChqRankU,0),0)=0,"",INDEX(ChqNorm,IFERROR(MATCH(413,ChqRankU,0),0)))</f>
        <v/>
      </c>
      <c r="C429" s="13" t="str">
        <f>IF(IFERROR(MATCH(413,ChqRankU,0),0)=0,"",INDEX(ChqNo,IFERROR(MATCH(413,ChqRankU,0),0)))</f>
        <v/>
      </c>
      <c r="D429" s="14" t="str">
        <f>IF(IFERROR(MATCH(413,ChqRankU,0),0)=0,"",IF(INDEX(ChqAmt,IFERROR(MATCH(413,ChqRankU,0),0))=0,"",INDEX(ChqAmt,IFERROR(MATCH(413,ChqRankU,0),0))))</f>
        <v/>
      </c>
      <c r="E429" s="7" t="str">
        <f>IF(IFERROR(MATCH(413,ChqRankU,0),0)=0,"",INDEX(ChqStatus,IFERROR(MATCH(413,ChqRankU,0),0)))</f>
        <v/>
      </c>
      <c r="F429" s="13" t="str">
        <f>IF(IFERROR(MATCH(413,ChqRankU,0),0)=0,"",IF(INDEX(ChqStatus,IFERROR(MATCH(413,ChqRankU,0),0))="پاس نشده","—",IF(INDEX(ChqClr,IFERROR(MATCH(413,ChqRankU,0),0))="","—",INDEX(ChqClr,IFERROR(MATCH(413,ChqRankU,0),0)))))</f>
        <v/>
      </c>
      <c r="I429" t="str">
        <f>IF(413&gt;NChq,"",INDEX(ChqNorm,413))</f>
        <v/>
      </c>
      <c r="J429" t="str">
        <f>IF($I429="","",IF(AND($I429&gt;=$H$3,$I429&lt;=$H$4,INDEX(ChqStatus,413)="پاس نشده"),1,0))</f>
        <v/>
      </c>
      <c r="K429" t="str">
        <f>IF($J429=0,"",INDEX(ChqKey,413))</f>
        <v/>
      </c>
      <c r="L429" t="str">
        <f t="shared" si="6"/>
        <v/>
      </c>
    </row>
    <row r="430" spans="1:12" x14ac:dyDescent="0.2">
      <c r="A430" s="9" t="str">
        <f>IF(IFERROR(MATCH(414,ChqRankU,0),0)=0,"",414)</f>
        <v/>
      </c>
      <c r="B430" s="15" t="str">
        <f>IF(IFERROR(MATCH(414,ChqRankU,0),0)=0,"",INDEX(ChqNorm,IFERROR(MATCH(414,ChqRankU,0),0)))</f>
        <v/>
      </c>
      <c r="C430" s="15" t="str">
        <f>IF(IFERROR(MATCH(414,ChqRankU,0),0)=0,"",INDEX(ChqNo,IFERROR(MATCH(414,ChqRankU,0),0)))</f>
        <v/>
      </c>
      <c r="D430" s="16" t="str">
        <f>IF(IFERROR(MATCH(414,ChqRankU,0),0)=0,"",IF(INDEX(ChqAmt,IFERROR(MATCH(414,ChqRankU,0),0))=0,"",INDEX(ChqAmt,IFERROR(MATCH(414,ChqRankU,0),0))))</f>
        <v/>
      </c>
      <c r="E430" s="10" t="str">
        <f>IF(IFERROR(MATCH(414,ChqRankU,0),0)=0,"",INDEX(ChqStatus,IFERROR(MATCH(414,ChqRankU,0),0)))</f>
        <v/>
      </c>
      <c r="F430" s="15" t="str">
        <f>IF(IFERROR(MATCH(414,ChqRankU,0),0)=0,"",IF(INDEX(ChqStatus,IFERROR(MATCH(414,ChqRankU,0),0))="پاس نشده","—",IF(INDEX(ChqClr,IFERROR(MATCH(414,ChqRankU,0),0))="","—",INDEX(ChqClr,IFERROR(MATCH(414,ChqRankU,0),0)))))</f>
        <v/>
      </c>
      <c r="I430" t="str">
        <f>IF(414&gt;NChq,"",INDEX(ChqNorm,414))</f>
        <v/>
      </c>
      <c r="J430" t="str">
        <f>IF($I430="","",IF(AND($I430&gt;=$H$3,$I430&lt;=$H$4,INDEX(ChqStatus,414)="پاس نشده"),1,0))</f>
        <v/>
      </c>
      <c r="K430" t="str">
        <f>IF($J430=0,"",INDEX(ChqKey,414))</f>
        <v/>
      </c>
      <c r="L430" t="str">
        <f t="shared" si="6"/>
        <v/>
      </c>
    </row>
    <row r="431" spans="1:12" x14ac:dyDescent="0.2">
      <c r="A431" s="3" t="str">
        <f>IF(IFERROR(MATCH(415,ChqRankU,0),0)=0,"",415)</f>
        <v/>
      </c>
      <c r="B431" s="13" t="str">
        <f>IF(IFERROR(MATCH(415,ChqRankU,0),0)=0,"",INDEX(ChqNorm,IFERROR(MATCH(415,ChqRankU,0),0)))</f>
        <v/>
      </c>
      <c r="C431" s="13" t="str">
        <f>IF(IFERROR(MATCH(415,ChqRankU,0),0)=0,"",INDEX(ChqNo,IFERROR(MATCH(415,ChqRankU,0),0)))</f>
        <v/>
      </c>
      <c r="D431" s="14" t="str">
        <f>IF(IFERROR(MATCH(415,ChqRankU,0),0)=0,"",IF(INDEX(ChqAmt,IFERROR(MATCH(415,ChqRankU,0),0))=0,"",INDEX(ChqAmt,IFERROR(MATCH(415,ChqRankU,0),0))))</f>
        <v/>
      </c>
      <c r="E431" s="7" t="str">
        <f>IF(IFERROR(MATCH(415,ChqRankU,0),0)=0,"",INDEX(ChqStatus,IFERROR(MATCH(415,ChqRankU,0),0)))</f>
        <v/>
      </c>
      <c r="F431" s="13" t="str">
        <f>IF(IFERROR(MATCH(415,ChqRankU,0),0)=0,"",IF(INDEX(ChqStatus,IFERROR(MATCH(415,ChqRankU,0),0))="پاس نشده","—",IF(INDEX(ChqClr,IFERROR(MATCH(415,ChqRankU,0),0))="","—",INDEX(ChqClr,IFERROR(MATCH(415,ChqRankU,0),0)))))</f>
        <v/>
      </c>
      <c r="I431" t="str">
        <f>IF(415&gt;NChq,"",INDEX(ChqNorm,415))</f>
        <v/>
      </c>
      <c r="J431" t="str">
        <f>IF($I431="","",IF(AND($I431&gt;=$H$3,$I431&lt;=$H$4,INDEX(ChqStatus,415)="پاس نشده"),1,0))</f>
        <v/>
      </c>
      <c r="K431" t="str">
        <f>IF($J431=0,"",INDEX(ChqKey,415))</f>
        <v/>
      </c>
      <c r="L431" t="str">
        <f t="shared" si="6"/>
        <v/>
      </c>
    </row>
    <row r="432" spans="1:12" x14ac:dyDescent="0.2">
      <c r="A432" s="9" t="str">
        <f>IF(IFERROR(MATCH(416,ChqRankU,0),0)=0,"",416)</f>
        <v/>
      </c>
      <c r="B432" s="15" t="str">
        <f>IF(IFERROR(MATCH(416,ChqRankU,0),0)=0,"",INDEX(ChqNorm,IFERROR(MATCH(416,ChqRankU,0),0)))</f>
        <v/>
      </c>
      <c r="C432" s="15" t="str">
        <f>IF(IFERROR(MATCH(416,ChqRankU,0),0)=0,"",INDEX(ChqNo,IFERROR(MATCH(416,ChqRankU,0),0)))</f>
        <v/>
      </c>
      <c r="D432" s="16" t="str">
        <f>IF(IFERROR(MATCH(416,ChqRankU,0),0)=0,"",IF(INDEX(ChqAmt,IFERROR(MATCH(416,ChqRankU,0),0))=0,"",INDEX(ChqAmt,IFERROR(MATCH(416,ChqRankU,0),0))))</f>
        <v/>
      </c>
      <c r="E432" s="10" t="str">
        <f>IF(IFERROR(MATCH(416,ChqRankU,0),0)=0,"",INDEX(ChqStatus,IFERROR(MATCH(416,ChqRankU,0),0)))</f>
        <v/>
      </c>
      <c r="F432" s="15" t="str">
        <f>IF(IFERROR(MATCH(416,ChqRankU,0),0)=0,"",IF(INDEX(ChqStatus,IFERROR(MATCH(416,ChqRankU,0),0))="پاس نشده","—",IF(INDEX(ChqClr,IFERROR(MATCH(416,ChqRankU,0),0))="","—",INDEX(ChqClr,IFERROR(MATCH(416,ChqRankU,0),0)))))</f>
        <v/>
      </c>
      <c r="I432" t="str">
        <f>IF(416&gt;NChq,"",INDEX(ChqNorm,416))</f>
        <v/>
      </c>
      <c r="J432" t="str">
        <f>IF($I432="","",IF(AND($I432&gt;=$H$3,$I432&lt;=$H$4,INDEX(ChqStatus,416)="پاس نشده"),1,0))</f>
        <v/>
      </c>
      <c r="K432" t="str">
        <f>IF($J432=0,"",INDEX(ChqKey,416))</f>
        <v/>
      </c>
      <c r="L432" t="str">
        <f t="shared" si="6"/>
        <v/>
      </c>
    </row>
    <row r="433" spans="1:12" x14ac:dyDescent="0.2">
      <c r="A433" s="3" t="str">
        <f>IF(IFERROR(MATCH(417,ChqRankU,0),0)=0,"",417)</f>
        <v/>
      </c>
      <c r="B433" s="13" t="str">
        <f>IF(IFERROR(MATCH(417,ChqRankU,0),0)=0,"",INDEX(ChqNorm,IFERROR(MATCH(417,ChqRankU,0),0)))</f>
        <v/>
      </c>
      <c r="C433" s="13" t="str">
        <f>IF(IFERROR(MATCH(417,ChqRankU,0),0)=0,"",INDEX(ChqNo,IFERROR(MATCH(417,ChqRankU,0),0)))</f>
        <v/>
      </c>
      <c r="D433" s="14" t="str">
        <f>IF(IFERROR(MATCH(417,ChqRankU,0),0)=0,"",IF(INDEX(ChqAmt,IFERROR(MATCH(417,ChqRankU,0),0))=0,"",INDEX(ChqAmt,IFERROR(MATCH(417,ChqRankU,0),0))))</f>
        <v/>
      </c>
      <c r="E433" s="7" t="str">
        <f>IF(IFERROR(MATCH(417,ChqRankU,0),0)=0,"",INDEX(ChqStatus,IFERROR(MATCH(417,ChqRankU,0),0)))</f>
        <v/>
      </c>
      <c r="F433" s="13" t="str">
        <f>IF(IFERROR(MATCH(417,ChqRankU,0),0)=0,"",IF(INDEX(ChqStatus,IFERROR(MATCH(417,ChqRankU,0),0))="پاس نشده","—",IF(INDEX(ChqClr,IFERROR(MATCH(417,ChqRankU,0),0))="","—",INDEX(ChqClr,IFERROR(MATCH(417,ChqRankU,0),0)))))</f>
        <v/>
      </c>
      <c r="I433" t="str">
        <f>IF(417&gt;NChq,"",INDEX(ChqNorm,417))</f>
        <v/>
      </c>
      <c r="J433" t="str">
        <f>IF($I433="","",IF(AND($I433&gt;=$H$3,$I433&lt;=$H$4,INDEX(ChqStatus,417)="پاس نشده"),1,0))</f>
        <v/>
      </c>
      <c r="K433" t="str">
        <f>IF($J433=0,"",INDEX(ChqKey,417))</f>
        <v/>
      </c>
      <c r="L433" t="str">
        <f t="shared" si="6"/>
        <v/>
      </c>
    </row>
    <row r="434" spans="1:12" x14ac:dyDescent="0.2">
      <c r="A434" s="9" t="str">
        <f>IF(IFERROR(MATCH(418,ChqRankU,0),0)=0,"",418)</f>
        <v/>
      </c>
      <c r="B434" s="15" t="str">
        <f>IF(IFERROR(MATCH(418,ChqRankU,0),0)=0,"",INDEX(ChqNorm,IFERROR(MATCH(418,ChqRankU,0),0)))</f>
        <v/>
      </c>
      <c r="C434" s="15" t="str">
        <f>IF(IFERROR(MATCH(418,ChqRankU,0),0)=0,"",INDEX(ChqNo,IFERROR(MATCH(418,ChqRankU,0),0)))</f>
        <v/>
      </c>
      <c r="D434" s="16" t="str">
        <f>IF(IFERROR(MATCH(418,ChqRankU,0),0)=0,"",IF(INDEX(ChqAmt,IFERROR(MATCH(418,ChqRankU,0),0))=0,"",INDEX(ChqAmt,IFERROR(MATCH(418,ChqRankU,0),0))))</f>
        <v/>
      </c>
      <c r="E434" s="10" t="str">
        <f>IF(IFERROR(MATCH(418,ChqRankU,0),0)=0,"",INDEX(ChqStatus,IFERROR(MATCH(418,ChqRankU,0),0)))</f>
        <v/>
      </c>
      <c r="F434" s="15" t="str">
        <f>IF(IFERROR(MATCH(418,ChqRankU,0),0)=0,"",IF(INDEX(ChqStatus,IFERROR(MATCH(418,ChqRankU,0),0))="پاس نشده","—",IF(INDEX(ChqClr,IFERROR(MATCH(418,ChqRankU,0),0))="","—",INDEX(ChqClr,IFERROR(MATCH(418,ChqRankU,0),0)))))</f>
        <v/>
      </c>
      <c r="I434" t="str">
        <f>IF(418&gt;NChq,"",INDEX(ChqNorm,418))</f>
        <v/>
      </c>
      <c r="J434" t="str">
        <f>IF($I434="","",IF(AND($I434&gt;=$H$3,$I434&lt;=$H$4,INDEX(ChqStatus,418)="پاس نشده"),1,0))</f>
        <v/>
      </c>
      <c r="K434" t="str">
        <f>IF($J434=0,"",INDEX(ChqKey,418))</f>
        <v/>
      </c>
      <c r="L434" t="str">
        <f t="shared" si="6"/>
        <v/>
      </c>
    </row>
    <row r="435" spans="1:12" x14ac:dyDescent="0.2">
      <c r="A435" s="3" t="str">
        <f>IF(IFERROR(MATCH(419,ChqRankU,0),0)=0,"",419)</f>
        <v/>
      </c>
      <c r="B435" s="13" t="str">
        <f>IF(IFERROR(MATCH(419,ChqRankU,0),0)=0,"",INDEX(ChqNorm,IFERROR(MATCH(419,ChqRankU,0),0)))</f>
        <v/>
      </c>
      <c r="C435" s="13" t="str">
        <f>IF(IFERROR(MATCH(419,ChqRankU,0),0)=0,"",INDEX(ChqNo,IFERROR(MATCH(419,ChqRankU,0),0)))</f>
        <v/>
      </c>
      <c r="D435" s="14" t="str">
        <f>IF(IFERROR(MATCH(419,ChqRankU,0),0)=0,"",IF(INDEX(ChqAmt,IFERROR(MATCH(419,ChqRankU,0),0))=0,"",INDEX(ChqAmt,IFERROR(MATCH(419,ChqRankU,0),0))))</f>
        <v/>
      </c>
      <c r="E435" s="7" t="str">
        <f>IF(IFERROR(MATCH(419,ChqRankU,0),0)=0,"",INDEX(ChqStatus,IFERROR(MATCH(419,ChqRankU,0),0)))</f>
        <v/>
      </c>
      <c r="F435" s="13" t="str">
        <f>IF(IFERROR(MATCH(419,ChqRankU,0),0)=0,"",IF(INDEX(ChqStatus,IFERROR(MATCH(419,ChqRankU,0),0))="پاس نشده","—",IF(INDEX(ChqClr,IFERROR(MATCH(419,ChqRankU,0),0))="","—",INDEX(ChqClr,IFERROR(MATCH(419,ChqRankU,0),0)))))</f>
        <v/>
      </c>
      <c r="I435" t="str">
        <f>IF(419&gt;NChq,"",INDEX(ChqNorm,419))</f>
        <v/>
      </c>
      <c r="J435" t="str">
        <f>IF($I435="","",IF(AND($I435&gt;=$H$3,$I435&lt;=$H$4,INDEX(ChqStatus,419)="پاس نشده"),1,0))</f>
        <v/>
      </c>
      <c r="K435" t="str">
        <f>IF($J435=0,"",INDEX(ChqKey,419))</f>
        <v/>
      </c>
      <c r="L435" t="str">
        <f t="shared" si="6"/>
        <v/>
      </c>
    </row>
    <row r="436" spans="1:12" x14ac:dyDescent="0.2">
      <c r="A436" s="9" t="str">
        <f>IF(IFERROR(MATCH(420,ChqRankU,0),0)=0,"",420)</f>
        <v/>
      </c>
      <c r="B436" s="15" t="str">
        <f>IF(IFERROR(MATCH(420,ChqRankU,0),0)=0,"",INDEX(ChqNorm,IFERROR(MATCH(420,ChqRankU,0),0)))</f>
        <v/>
      </c>
      <c r="C436" s="15" t="str">
        <f>IF(IFERROR(MATCH(420,ChqRankU,0),0)=0,"",INDEX(ChqNo,IFERROR(MATCH(420,ChqRankU,0),0)))</f>
        <v/>
      </c>
      <c r="D436" s="16" t="str">
        <f>IF(IFERROR(MATCH(420,ChqRankU,0),0)=0,"",IF(INDEX(ChqAmt,IFERROR(MATCH(420,ChqRankU,0),0))=0,"",INDEX(ChqAmt,IFERROR(MATCH(420,ChqRankU,0),0))))</f>
        <v/>
      </c>
      <c r="E436" s="10" t="str">
        <f>IF(IFERROR(MATCH(420,ChqRankU,0),0)=0,"",INDEX(ChqStatus,IFERROR(MATCH(420,ChqRankU,0),0)))</f>
        <v/>
      </c>
      <c r="F436" s="15" t="str">
        <f>IF(IFERROR(MATCH(420,ChqRankU,0),0)=0,"",IF(INDEX(ChqStatus,IFERROR(MATCH(420,ChqRankU,0),0))="پاس نشده","—",IF(INDEX(ChqClr,IFERROR(MATCH(420,ChqRankU,0),0))="","—",INDEX(ChqClr,IFERROR(MATCH(420,ChqRankU,0),0)))))</f>
        <v/>
      </c>
      <c r="I436" t="str">
        <f>IF(420&gt;NChq,"",INDEX(ChqNorm,420))</f>
        <v/>
      </c>
      <c r="J436" t="str">
        <f>IF($I436="","",IF(AND($I436&gt;=$H$3,$I436&lt;=$H$4,INDEX(ChqStatus,420)="پاس نشده"),1,0))</f>
        <v/>
      </c>
      <c r="K436" t="str">
        <f>IF($J436=0,"",INDEX(ChqKey,420))</f>
        <v/>
      </c>
      <c r="L436" t="str">
        <f t="shared" si="6"/>
        <v/>
      </c>
    </row>
    <row r="437" spans="1:12" x14ac:dyDescent="0.2">
      <c r="A437" s="3" t="str">
        <f>IF(IFERROR(MATCH(421,ChqRankU,0),0)=0,"",421)</f>
        <v/>
      </c>
      <c r="B437" s="13" t="str">
        <f>IF(IFERROR(MATCH(421,ChqRankU,0),0)=0,"",INDEX(ChqNorm,IFERROR(MATCH(421,ChqRankU,0),0)))</f>
        <v/>
      </c>
      <c r="C437" s="13" t="str">
        <f>IF(IFERROR(MATCH(421,ChqRankU,0),0)=0,"",INDEX(ChqNo,IFERROR(MATCH(421,ChqRankU,0),0)))</f>
        <v/>
      </c>
      <c r="D437" s="14" t="str">
        <f>IF(IFERROR(MATCH(421,ChqRankU,0),0)=0,"",IF(INDEX(ChqAmt,IFERROR(MATCH(421,ChqRankU,0),0))=0,"",INDEX(ChqAmt,IFERROR(MATCH(421,ChqRankU,0),0))))</f>
        <v/>
      </c>
      <c r="E437" s="7" t="str">
        <f>IF(IFERROR(MATCH(421,ChqRankU,0),0)=0,"",INDEX(ChqStatus,IFERROR(MATCH(421,ChqRankU,0),0)))</f>
        <v/>
      </c>
      <c r="F437" s="13" t="str">
        <f>IF(IFERROR(MATCH(421,ChqRankU,0),0)=0,"",IF(INDEX(ChqStatus,IFERROR(MATCH(421,ChqRankU,0),0))="پاس نشده","—",IF(INDEX(ChqClr,IFERROR(MATCH(421,ChqRankU,0),0))="","—",INDEX(ChqClr,IFERROR(MATCH(421,ChqRankU,0),0)))))</f>
        <v/>
      </c>
      <c r="I437" t="str">
        <f>IF(421&gt;NChq,"",INDEX(ChqNorm,421))</f>
        <v/>
      </c>
      <c r="J437" t="str">
        <f>IF($I437="","",IF(AND($I437&gt;=$H$3,$I437&lt;=$H$4,INDEX(ChqStatus,421)="پاس نشده"),1,0))</f>
        <v/>
      </c>
      <c r="K437" t="str">
        <f>IF($J437=0,"",INDEX(ChqKey,421))</f>
        <v/>
      </c>
      <c r="L437" t="str">
        <f t="shared" si="6"/>
        <v/>
      </c>
    </row>
    <row r="438" spans="1:12" x14ac:dyDescent="0.2">
      <c r="A438" s="9" t="str">
        <f>IF(IFERROR(MATCH(422,ChqRankU,0),0)=0,"",422)</f>
        <v/>
      </c>
      <c r="B438" s="15" t="str">
        <f>IF(IFERROR(MATCH(422,ChqRankU,0),0)=0,"",INDEX(ChqNorm,IFERROR(MATCH(422,ChqRankU,0),0)))</f>
        <v/>
      </c>
      <c r="C438" s="15" t="str">
        <f>IF(IFERROR(MATCH(422,ChqRankU,0),0)=0,"",INDEX(ChqNo,IFERROR(MATCH(422,ChqRankU,0),0)))</f>
        <v/>
      </c>
      <c r="D438" s="16" t="str">
        <f>IF(IFERROR(MATCH(422,ChqRankU,0),0)=0,"",IF(INDEX(ChqAmt,IFERROR(MATCH(422,ChqRankU,0),0))=0,"",INDEX(ChqAmt,IFERROR(MATCH(422,ChqRankU,0),0))))</f>
        <v/>
      </c>
      <c r="E438" s="10" t="str">
        <f>IF(IFERROR(MATCH(422,ChqRankU,0),0)=0,"",INDEX(ChqStatus,IFERROR(MATCH(422,ChqRankU,0),0)))</f>
        <v/>
      </c>
      <c r="F438" s="15" t="str">
        <f>IF(IFERROR(MATCH(422,ChqRankU,0),0)=0,"",IF(INDEX(ChqStatus,IFERROR(MATCH(422,ChqRankU,0),0))="پاس نشده","—",IF(INDEX(ChqClr,IFERROR(MATCH(422,ChqRankU,0),0))="","—",INDEX(ChqClr,IFERROR(MATCH(422,ChqRankU,0),0)))))</f>
        <v/>
      </c>
      <c r="I438" t="str">
        <f>IF(422&gt;NChq,"",INDEX(ChqNorm,422))</f>
        <v/>
      </c>
      <c r="J438" t="str">
        <f>IF($I438="","",IF(AND($I438&gt;=$H$3,$I438&lt;=$H$4,INDEX(ChqStatus,422)="پاس نشده"),1,0))</f>
        <v/>
      </c>
      <c r="K438" t="str">
        <f>IF($J438=0,"",INDEX(ChqKey,422))</f>
        <v/>
      </c>
      <c r="L438" t="str">
        <f t="shared" si="6"/>
        <v/>
      </c>
    </row>
    <row r="439" spans="1:12" x14ac:dyDescent="0.2">
      <c r="A439" s="3" t="str">
        <f>IF(IFERROR(MATCH(423,ChqRankU,0),0)=0,"",423)</f>
        <v/>
      </c>
      <c r="B439" s="13" t="str">
        <f>IF(IFERROR(MATCH(423,ChqRankU,0),0)=0,"",INDEX(ChqNorm,IFERROR(MATCH(423,ChqRankU,0),0)))</f>
        <v/>
      </c>
      <c r="C439" s="13" t="str">
        <f>IF(IFERROR(MATCH(423,ChqRankU,0),0)=0,"",INDEX(ChqNo,IFERROR(MATCH(423,ChqRankU,0),0)))</f>
        <v/>
      </c>
      <c r="D439" s="14" t="str">
        <f>IF(IFERROR(MATCH(423,ChqRankU,0),0)=0,"",IF(INDEX(ChqAmt,IFERROR(MATCH(423,ChqRankU,0),0))=0,"",INDEX(ChqAmt,IFERROR(MATCH(423,ChqRankU,0),0))))</f>
        <v/>
      </c>
      <c r="E439" s="7" t="str">
        <f>IF(IFERROR(MATCH(423,ChqRankU,0),0)=0,"",INDEX(ChqStatus,IFERROR(MATCH(423,ChqRankU,0),0)))</f>
        <v/>
      </c>
      <c r="F439" s="13" t="str">
        <f>IF(IFERROR(MATCH(423,ChqRankU,0),0)=0,"",IF(INDEX(ChqStatus,IFERROR(MATCH(423,ChqRankU,0),0))="پاس نشده","—",IF(INDEX(ChqClr,IFERROR(MATCH(423,ChqRankU,0),0))="","—",INDEX(ChqClr,IFERROR(MATCH(423,ChqRankU,0),0)))))</f>
        <v/>
      </c>
      <c r="I439" t="str">
        <f>IF(423&gt;NChq,"",INDEX(ChqNorm,423))</f>
        <v/>
      </c>
      <c r="J439" t="str">
        <f>IF($I439="","",IF(AND($I439&gt;=$H$3,$I439&lt;=$H$4,INDEX(ChqStatus,423)="پاس نشده"),1,0))</f>
        <v/>
      </c>
      <c r="K439" t="str">
        <f>IF($J439=0,"",INDEX(ChqKey,423))</f>
        <v/>
      </c>
      <c r="L439" t="str">
        <f t="shared" si="6"/>
        <v/>
      </c>
    </row>
    <row r="440" spans="1:12" x14ac:dyDescent="0.2">
      <c r="A440" s="9" t="str">
        <f>IF(IFERROR(MATCH(424,ChqRankU,0),0)=0,"",424)</f>
        <v/>
      </c>
      <c r="B440" s="15" t="str">
        <f>IF(IFERROR(MATCH(424,ChqRankU,0),0)=0,"",INDEX(ChqNorm,IFERROR(MATCH(424,ChqRankU,0),0)))</f>
        <v/>
      </c>
      <c r="C440" s="15" t="str">
        <f>IF(IFERROR(MATCH(424,ChqRankU,0),0)=0,"",INDEX(ChqNo,IFERROR(MATCH(424,ChqRankU,0),0)))</f>
        <v/>
      </c>
      <c r="D440" s="16" t="str">
        <f>IF(IFERROR(MATCH(424,ChqRankU,0),0)=0,"",IF(INDEX(ChqAmt,IFERROR(MATCH(424,ChqRankU,0),0))=0,"",INDEX(ChqAmt,IFERROR(MATCH(424,ChqRankU,0),0))))</f>
        <v/>
      </c>
      <c r="E440" s="10" t="str">
        <f>IF(IFERROR(MATCH(424,ChqRankU,0),0)=0,"",INDEX(ChqStatus,IFERROR(MATCH(424,ChqRankU,0),0)))</f>
        <v/>
      </c>
      <c r="F440" s="15" t="str">
        <f>IF(IFERROR(MATCH(424,ChqRankU,0),0)=0,"",IF(INDEX(ChqStatus,IFERROR(MATCH(424,ChqRankU,0),0))="پاس نشده","—",IF(INDEX(ChqClr,IFERROR(MATCH(424,ChqRankU,0),0))="","—",INDEX(ChqClr,IFERROR(MATCH(424,ChqRankU,0),0)))))</f>
        <v/>
      </c>
      <c r="I440" t="str">
        <f>IF(424&gt;NChq,"",INDEX(ChqNorm,424))</f>
        <v/>
      </c>
      <c r="J440" t="str">
        <f>IF($I440="","",IF(AND($I440&gt;=$H$3,$I440&lt;=$H$4,INDEX(ChqStatus,424)="پاس نشده"),1,0))</f>
        <v/>
      </c>
      <c r="K440" t="str">
        <f>IF($J440=0,"",INDEX(ChqKey,424))</f>
        <v/>
      </c>
      <c r="L440" t="str">
        <f t="shared" si="6"/>
        <v/>
      </c>
    </row>
    <row r="441" spans="1:12" x14ac:dyDescent="0.2">
      <c r="A441" s="3" t="str">
        <f>IF(IFERROR(MATCH(425,ChqRankU,0),0)=0,"",425)</f>
        <v/>
      </c>
      <c r="B441" s="13" t="str">
        <f>IF(IFERROR(MATCH(425,ChqRankU,0),0)=0,"",INDEX(ChqNorm,IFERROR(MATCH(425,ChqRankU,0),0)))</f>
        <v/>
      </c>
      <c r="C441" s="13" t="str">
        <f>IF(IFERROR(MATCH(425,ChqRankU,0),0)=0,"",INDEX(ChqNo,IFERROR(MATCH(425,ChqRankU,0),0)))</f>
        <v/>
      </c>
      <c r="D441" s="14" t="str">
        <f>IF(IFERROR(MATCH(425,ChqRankU,0),0)=0,"",IF(INDEX(ChqAmt,IFERROR(MATCH(425,ChqRankU,0),0))=0,"",INDEX(ChqAmt,IFERROR(MATCH(425,ChqRankU,0),0))))</f>
        <v/>
      </c>
      <c r="E441" s="7" t="str">
        <f>IF(IFERROR(MATCH(425,ChqRankU,0),0)=0,"",INDEX(ChqStatus,IFERROR(MATCH(425,ChqRankU,0),0)))</f>
        <v/>
      </c>
      <c r="F441" s="13" t="str">
        <f>IF(IFERROR(MATCH(425,ChqRankU,0),0)=0,"",IF(INDEX(ChqStatus,IFERROR(MATCH(425,ChqRankU,0),0))="پاس نشده","—",IF(INDEX(ChqClr,IFERROR(MATCH(425,ChqRankU,0),0))="","—",INDEX(ChqClr,IFERROR(MATCH(425,ChqRankU,0),0)))))</f>
        <v/>
      </c>
      <c r="I441" t="str">
        <f>IF(425&gt;NChq,"",INDEX(ChqNorm,425))</f>
        <v/>
      </c>
      <c r="J441" t="str">
        <f>IF($I441="","",IF(AND($I441&gt;=$H$3,$I441&lt;=$H$4,INDEX(ChqStatus,425)="پاس نشده"),1,0))</f>
        <v/>
      </c>
      <c r="K441" t="str">
        <f>IF($J441=0,"",INDEX(ChqKey,425))</f>
        <v/>
      </c>
      <c r="L441" t="str">
        <f t="shared" si="6"/>
        <v/>
      </c>
    </row>
    <row r="442" spans="1:12" x14ac:dyDescent="0.2">
      <c r="A442" s="9" t="str">
        <f>IF(IFERROR(MATCH(426,ChqRankU,0),0)=0,"",426)</f>
        <v/>
      </c>
      <c r="B442" s="15" t="str">
        <f>IF(IFERROR(MATCH(426,ChqRankU,0),0)=0,"",INDEX(ChqNorm,IFERROR(MATCH(426,ChqRankU,0),0)))</f>
        <v/>
      </c>
      <c r="C442" s="15" t="str">
        <f>IF(IFERROR(MATCH(426,ChqRankU,0),0)=0,"",INDEX(ChqNo,IFERROR(MATCH(426,ChqRankU,0),0)))</f>
        <v/>
      </c>
      <c r="D442" s="16" t="str">
        <f>IF(IFERROR(MATCH(426,ChqRankU,0),0)=0,"",IF(INDEX(ChqAmt,IFERROR(MATCH(426,ChqRankU,0),0))=0,"",INDEX(ChqAmt,IFERROR(MATCH(426,ChqRankU,0),0))))</f>
        <v/>
      </c>
      <c r="E442" s="10" t="str">
        <f>IF(IFERROR(MATCH(426,ChqRankU,0),0)=0,"",INDEX(ChqStatus,IFERROR(MATCH(426,ChqRankU,0),0)))</f>
        <v/>
      </c>
      <c r="F442" s="15" t="str">
        <f>IF(IFERROR(MATCH(426,ChqRankU,0),0)=0,"",IF(INDEX(ChqStatus,IFERROR(MATCH(426,ChqRankU,0),0))="پاس نشده","—",IF(INDEX(ChqClr,IFERROR(MATCH(426,ChqRankU,0),0))="","—",INDEX(ChqClr,IFERROR(MATCH(426,ChqRankU,0),0)))))</f>
        <v/>
      </c>
      <c r="I442" t="str">
        <f>IF(426&gt;NChq,"",INDEX(ChqNorm,426))</f>
        <v/>
      </c>
      <c r="J442" t="str">
        <f>IF($I442="","",IF(AND($I442&gt;=$H$3,$I442&lt;=$H$4,INDEX(ChqStatus,426)="پاس نشده"),1,0))</f>
        <v/>
      </c>
      <c r="K442" t="str">
        <f>IF($J442=0,"",INDEX(ChqKey,426))</f>
        <v/>
      </c>
      <c r="L442" t="str">
        <f t="shared" si="6"/>
        <v/>
      </c>
    </row>
    <row r="443" spans="1:12" x14ac:dyDescent="0.2">
      <c r="A443" s="3" t="str">
        <f>IF(IFERROR(MATCH(427,ChqRankU,0),0)=0,"",427)</f>
        <v/>
      </c>
      <c r="B443" s="13" t="str">
        <f>IF(IFERROR(MATCH(427,ChqRankU,0),0)=0,"",INDEX(ChqNorm,IFERROR(MATCH(427,ChqRankU,0),0)))</f>
        <v/>
      </c>
      <c r="C443" s="13" t="str">
        <f>IF(IFERROR(MATCH(427,ChqRankU,0),0)=0,"",INDEX(ChqNo,IFERROR(MATCH(427,ChqRankU,0),0)))</f>
        <v/>
      </c>
      <c r="D443" s="14" t="str">
        <f>IF(IFERROR(MATCH(427,ChqRankU,0),0)=0,"",IF(INDEX(ChqAmt,IFERROR(MATCH(427,ChqRankU,0),0))=0,"",INDEX(ChqAmt,IFERROR(MATCH(427,ChqRankU,0),0))))</f>
        <v/>
      </c>
      <c r="E443" s="7" t="str">
        <f>IF(IFERROR(MATCH(427,ChqRankU,0),0)=0,"",INDEX(ChqStatus,IFERROR(MATCH(427,ChqRankU,0),0)))</f>
        <v/>
      </c>
      <c r="F443" s="13" t="str">
        <f>IF(IFERROR(MATCH(427,ChqRankU,0),0)=0,"",IF(INDEX(ChqStatus,IFERROR(MATCH(427,ChqRankU,0),0))="پاس نشده","—",IF(INDEX(ChqClr,IFERROR(MATCH(427,ChqRankU,0),0))="","—",INDEX(ChqClr,IFERROR(MATCH(427,ChqRankU,0),0)))))</f>
        <v/>
      </c>
      <c r="I443" t="str">
        <f>IF(427&gt;NChq,"",INDEX(ChqNorm,427))</f>
        <v/>
      </c>
      <c r="J443" t="str">
        <f>IF($I443="","",IF(AND($I443&gt;=$H$3,$I443&lt;=$H$4,INDEX(ChqStatus,427)="پاس نشده"),1,0))</f>
        <v/>
      </c>
      <c r="K443" t="str">
        <f>IF($J443=0,"",INDEX(ChqKey,427))</f>
        <v/>
      </c>
      <c r="L443" t="str">
        <f t="shared" si="6"/>
        <v/>
      </c>
    </row>
    <row r="444" spans="1:12" x14ac:dyDescent="0.2">
      <c r="A444" s="9" t="str">
        <f>IF(IFERROR(MATCH(428,ChqRankU,0),0)=0,"",428)</f>
        <v/>
      </c>
      <c r="B444" s="15" t="str">
        <f>IF(IFERROR(MATCH(428,ChqRankU,0),0)=0,"",INDEX(ChqNorm,IFERROR(MATCH(428,ChqRankU,0),0)))</f>
        <v/>
      </c>
      <c r="C444" s="15" t="str">
        <f>IF(IFERROR(MATCH(428,ChqRankU,0),0)=0,"",INDEX(ChqNo,IFERROR(MATCH(428,ChqRankU,0),0)))</f>
        <v/>
      </c>
      <c r="D444" s="16" t="str">
        <f>IF(IFERROR(MATCH(428,ChqRankU,0),0)=0,"",IF(INDEX(ChqAmt,IFERROR(MATCH(428,ChqRankU,0),0))=0,"",INDEX(ChqAmt,IFERROR(MATCH(428,ChqRankU,0),0))))</f>
        <v/>
      </c>
      <c r="E444" s="10" t="str">
        <f>IF(IFERROR(MATCH(428,ChqRankU,0),0)=0,"",INDEX(ChqStatus,IFERROR(MATCH(428,ChqRankU,0),0)))</f>
        <v/>
      </c>
      <c r="F444" s="15" t="str">
        <f>IF(IFERROR(MATCH(428,ChqRankU,0),0)=0,"",IF(INDEX(ChqStatus,IFERROR(MATCH(428,ChqRankU,0),0))="پاس نشده","—",IF(INDEX(ChqClr,IFERROR(MATCH(428,ChqRankU,0),0))="","—",INDEX(ChqClr,IFERROR(MATCH(428,ChqRankU,0),0)))))</f>
        <v/>
      </c>
      <c r="I444" t="str">
        <f>IF(428&gt;NChq,"",INDEX(ChqNorm,428))</f>
        <v/>
      </c>
      <c r="J444" t="str">
        <f>IF($I444="","",IF(AND($I444&gt;=$H$3,$I444&lt;=$H$4,INDEX(ChqStatus,428)="پاس نشده"),1,0))</f>
        <v/>
      </c>
      <c r="K444" t="str">
        <f>IF($J444=0,"",INDEX(ChqKey,428))</f>
        <v/>
      </c>
      <c r="L444" t="str">
        <f t="shared" si="6"/>
        <v/>
      </c>
    </row>
    <row r="445" spans="1:12" x14ac:dyDescent="0.2">
      <c r="A445" s="3" t="str">
        <f>IF(IFERROR(MATCH(429,ChqRankU,0),0)=0,"",429)</f>
        <v/>
      </c>
      <c r="B445" s="13" t="str">
        <f>IF(IFERROR(MATCH(429,ChqRankU,0),0)=0,"",INDEX(ChqNorm,IFERROR(MATCH(429,ChqRankU,0),0)))</f>
        <v/>
      </c>
      <c r="C445" s="13" t="str">
        <f>IF(IFERROR(MATCH(429,ChqRankU,0),0)=0,"",INDEX(ChqNo,IFERROR(MATCH(429,ChqRankU,0),0)))</f>
        <v/>
      </c>
      <c r="D445" s="14" t="str">
        <f>IF(IFERROR(MATCH(429,ChqRankU,0),0)=0,"",IF(INDEX(ChqAmt,IFERROR(MATCH(429,ChqRankU,0),0))=0,"",INDEX(ChqAmt,IFERROR(MATCH(429,ChqRankU,0),0))))</f>
        <v/>
      </c>
      <c r="E445" s="7" t="str">
        <f>IF(IFERROR(MATCH(429,ChqRankU,0),0)=0,"",INDEX(ChqStatus,IFERROR(MATCH(429,ChqRankU,0),0)))</f>
        <v/>
      </c>
      <c r="F445" s="13" t="str">
        <f>IF(IFERROR(MATCH(429,ChqRankU,0),0)=0,"",IF(INDEX(ChqStatus,IFERROR(MATCH(429,ChqRankU,0),0))="پاس نشده","—",IF(INDEX(ChqClr,IFERROR(MATCH(429,ChqRankU,0),0))="","—",INDEX(ChqClr,IFERROR(MATCH(429,ChqRankU,0),0)))))</f>
        <v/>
      </c>
      <c r="I445" t="str">
        <f>IF(429&gt;NChq,"",INDEX(ChqNorm,429))</f>
        <v/>
      </c>
      <c r="J445" t="str">
        <f>IF($I445="","",IF(AND($I445&gt;=$H$3,$I445&lt;=$H$4,INDEX(ChqStatus,429)="پاس نشده"),1,0))</f>
        <v/>
      </c>
      <c r="K445" t="str">
        <f>IF($J445=0,"",INDEX(ChqKey,429))</f>
        <v/>
      </c>
      <c r="L445" t="str">
        <f t="shared" si="6"/>
        <v/>
      </c>
    </row>
    <row r="446" spans="1:12" x14ac:dyDescent="0.2">
      <c r="A446" s="9" t="str">
        <f>IF(IFERROR(MATCH(430,ChqRankU,0),0)=0,"",430)</f>
        <v/>
      </c>
      <c r="B446" s="15" t="str">
        <f>IF(IFERROR(MATCH(430,ChqRankU,0),0)=0,"",INDEX(ChqNorm,IFERROR(MATCH(430,ChqRankU,0),0)))</f>
        <v/>
      </c>
      <c r="C446" s="15" t="str">
        <f>IF(IFERROR(MATCH(430,ChqRankU,0),0)=0,"",INDEX(ChqNo,IFERROR(MATCH(430,ChqRankU,0),0)))</f>
        <v/>
      </c>
      <c r="D446" s="16" t="str">
        <f>IF(IFERROR(MATCH(430,ChqRankU,0),0)=0,"",IF(INDEX(ChqAmt,IFERROR(MATCH(430,ChqRankU,0),0))=0,"",INDEX(ChqAmt,IFERROR(MATCH(430,ChqRankU,0),0))))</f>
        <v/>
      </c>
      <c r="E446" s="10" t="str">
        <f>IF(IFERROR(MATCH(430,ChqRankU,0),0)=0,"",INDEX(ChqStatus,IFERROR(MATCH(430,ChqRankU,0),0)))</f>
        <v/>
      </c>
      <c r="F446" s="15" t="str">
        <f>IF(IFERROR(MATCH(430,ChqRankU,0),0)=0,"",IF(INDEX(ChqStatus,IFERROR(MATCH(430,ChqRankU,0),0))="پاس نشده","—",IF(INDEX(ChqClr,IFERROR(MATCH(430,ChqRankU,0),0))="","—",INDEX(ChqClr,IFERROR(MATCH(430,ChqRankU,0),0)))))</f>
        <v/>
      </c>
      <c r="I446" t="str">
        <f>IF(430&gt;NChq,"",INDEX(ChqNorm,430))</f>
        <v/>
      </c>
      <c r="J446" t="str">
        <f>IF($I446="","",IF(AND($I446&gt;=$H$3,$I446&lt;=$H$4,INDEX(ChqStatus,430)="پاس نشده"),1,0))</f>
        <v/>
      </c>
      <c r="K446" t="str">
        <f>IF($J446=0,"",INDEX(ChqKey,430))</f>
        <v/>
      </c>
      <c r="L446" t="str">
        <f t="shared" si="6"/>
        <v/>
      </c>
    </row>
    <row r="447" spans="1:12" x14ac:dyDescent="0.2">
      <c r="A447" s="3" t="str">
        <f>IF(IFERROR(MATCH(431,ChqRankU,0),0)=0,"",431)</f>
        <v/>
      </c>
      <c r="B447" s="13" t="str">
        <f>IF(IFERROR(MATCH(431,ChqRankU,0),0)=0,"",INDEX(ChqNorm,IFERROR(MATCH(431,ChqRankU,0),0)))</f>
        <v/>
      </c>
      <c r="C447" s="13" t="str">
        <f>IF(IFERROR(MATCH(431,ChqRankU,0),0)=0,"",INDEX(ChqNo,IFERROR(MATCH(431,ChqRankU,0),0)))</f>
        <v/>
      </c>
      <c r="D447" s="14" t="str">
        <f>IF(IFERROR(MATCH(431,ChqRankU,0),0)=0,"",IF(INDEX(ChqAmt,IFERROR(MATCH(431,ChqRankU,0),0))=0,"",INDEX(ChqAmt,IFERROR(MATCH(431,ChqRankU,0),0))))</f>
        <v/>
      </c>
      <c r="E447" s="7" t="str">
        <f>IF(IFERROR(MATCH(431,ChqRankU,0),0)=0,"",INDEX(ChqStatus,IFERROR(MATCH(431,ChqRankU,0),0)))</f>
        <v/>
      </c>
      <c r="F447" s="13" t="str">
        <f>IF(IFERROR(MATCH(431,ChqRankU,0),0)=0,"",IF(INDEX(ChqStatus,IFERROR(MATCH(431,ChqRankU,0),0))="پاس نشده","—",IF(INDEX(ChqClr,IFERROR(MATCH(431,ChqRankU,0),0))="","—",INDEX(ChqClr,IFERROR(MATCH(431,ChqRankU,0),0)))))</f>
        <v/>
      </c>
      <c r="I447" t="str">
        <f>IF(431&gt;NChq,"",INDEX(ChqNorm,431))</f>
        <v/>
      </c>
      <c r="J447" t="str">
        <f>IF($I447="","",IF(AND($I447&gt;=$H$3,$I447&lt;=$H$4,INDEX(ChqStatus,431)="پاس نشده"),1,0))</f>
        <v/>
      </c>
      <c r="K447" t="str">
        <f>IF($J447=0,"",INDEX(ChqKey,431))</f>
        <v/>
      </c>
      <c r="L447" t="str">
        <f t="shared" si="6"/>
        <v/>
      </c>
    </row>
    <row r="448" spans="1:12" x14ac:dyDescent="0.2">
      <c r="A448" s="9" t="str">
        <f>IF(IFERROR(MATCH(432,ChqRankU,0),0)=0,"",432)</f>
        <v/>
      </c>
      <c r="B448" s="15" t="str">
        <f>IF(IFERROR(MATCH(432,ChqRankU,0),0)=0,"",INDEX(ChqNorm,IFERROR(MATCH(432,ChqRankU,0),0)))</f>
        <v/>
      </c>
      <c r="C448" s="15" t="str">
        <f>IF(IFERROR(MATCH(432,ChqRankU,0),0)=0,"",INDEX(ChqNo,IFERROR(MATCH(432,ChqRankU,0),0)))</f>
        <v/>
      </c>
      <c r="D448" s="16" t="str">
        <f>IF(IFERROR(MATCH(432,ChqRankU,0),0)=0,"",IF(INDEX(ChqAmt,IFERROR(MATCH(432,ChqRankU,0),0))=0,"",INDEX(ChqAmt,IFERROR(MATCH(432,ChqRankU,0),0))))</f>
        <v/>
      </c>
      <c r="E448" s="10" t="str">
        <f>IF(IFERROR(MATCH(432,ChqRankU,0),0)=0,"",INDEX(ChqStatus,IFERROR(MATCH(432,ChqRankU,0),0)))</f>
        <v/>
      </c>
      <c r="F448" s="15" t="str">
        <f>IF(IFERROR(MATCH(432,ChqRankU,0),0)=0,"",IF(INDEX(ChqStatus,IFERROR(MATCH(432,ChqRankU,0),0))="پاس نشده","—",IF(INDEX(ChqClr,IFERROR(MATCH(432,ChqRankU,0),0))="","—",INDEX(ChqClr,IFERROR(MATCH(432,ChqRankU,0),0)))))</f>
        <v/>
      </c>
      <c r="I448" t="str">
        <f>IF(432&gt;NChq,"",INDEX(ChqNorm,432))</f>
        <v/>
      </c>
      <c r="J448" t="str">
        <f>IF($I448="","",IF(AND($I448&gt;=$H$3,$I448&lt;=$H$4,INDEX(ChqStatus,432)="پاس نشده"),1,0))</f>
        <v/>
      </c>
      <c r="K448" t="str">
        <f>IF($J448=0,"",INDEX(ChqKey,432))</f>
        <v/>
      </c>
      <c r="L448" t="str">
        <f t="shared" si="6"/>
        <v/>
      </c>
    </row>
    <row r="449" spans="1:12" x14ac:dyDescent="0.2">
      <c r="A449" s="3" t="str">
        <f>IF(IFERROR(MATCH(433,ChqRankU,0),0)=0,"",433)</f>
        <v/>
      </c>
      <c r="B449" s="13" t="str">
        <f>IF(IFERROR(MATCH(433,ChqRankU,0),0)=0,"",INDEX(ChqNorm,IFERROR(MATCH(433,ChqRankU,0),0)))</f>
        <v/>
      </c>
      <c r="C449" s="13" t="str">
        <f>IF(IFERROR(MATCH(433,ChqRankU,0),0)=0,"",INDEX(ChqNo,IFERROR(MATCH(433,ChqRankU,0),0)))</f>
        <v/>
      </c>
      <c r="D449" s="14" t="str">
        <f>IF(IFERROR(MATCH(433,ChqRankU,0),0)=0,"",IF(INDEX(ChqAmt,IFERROR(MATCH(433,ChqRankU,0),0))=0,"",INDEX(ChqAmt,IFERROR(MATCH(433,ChqRankU,0),0))))</f>
        <v/>
      </c>
      <c r="E449" s="7" t="str">
        <f>IF(IFERROR(MATCH(433,ChqRankU,0),0)=0,"",INDEX(ChqStatus,IFERROR(MATCH(433,ChqRankU,0),0)))</f>
        <v/>
      </c>
      <c r="F449" s="13" t="str">
        <f>IF(IFERROR(MATCH(433,ChqRankU,0),0)=0,"",IF(INDEX(ChqStatus,IFERROR(MATCH(433,ChqRankU,0),0))="پاس نشده","—",IF(INDEX(ChqClr,IFERROR(MATCH(433,ChqRankU,0),0))="","—",INDEX(ChqClr,IFERROR(MATCH(433,ChqRankU,0),0)))))</f>
        <v/>
      </c>
      <c r="I449" t="str">
        <f>IF(433&gt;NChq,"",INDEX(ChqNorm,433))</f>
        <v/>
      </c>
      <c r="J449" t="str">
        <f>IF($I449="","",IF(AND($I449&gt;=$H$3,$I449&lt;=$H$4,INDEX(ChqStatus,433)="پاس نشده"),1,0))</f>
        <v/>
      </c>
      <c r="K449" t="str">
        <f>IF($J449=0,"",INDEX(ChqKey,433))</f>
        <v/>
      </c>
      <c r="L449" t="str">
        <f t="shared" si="6"/>
        <v/>
      </c>
    </row>
    <row r="450" spans="1:12" x14ac:dyDescent="0.2">
      <c r="A450" s="9" t="str">
        <f>IF(IFERROR(MATCH(434,ChqRankU,0),0)=0,"",434)</f>
        <v/>
      </c>
      <c r="B450" s="15" t="str">
        <f>IF(IFERROR(MATCH(434,ChqRankU,0),0)=0,"",INDEX(ChqNorm,IFERROR(MATCH(434,ChqRankU,0),0)))</f>
        <v/>
      </c>
      <c r="C450" s="15" t="str">
        <f>IF(IFERROR(MATCH(434,ChqRankU,0),0)=0,"",INDEX(ChqNo,IFERROR(MATCH(434,ChqRankU,0),0)))</f>
        <v/>
      </c>
      <c r="D450" s="16" t="str">
        <f>IF(IFERROR(MATCH(434,ChqRankU,0),0)=0,"",IF(INDEX(ChqAmt,IFERROR(MATCH(434,ChqRankU,0),0))=0,"",INDEX(ChqAmt,IFERROR(MATCH(434,ChqRankU,0),0))))</f>
        <v/>
      </c>
      <c r="E450" s="10" t="str">
        <f>IF(IFERROR(MATCH(434,ChqRankU,0),0)=0,"",INDEX(ChqStatus,IFERROR(MATCH(434,ChqRankU,0),0)))</f>
        <v/>
      </c>
      <c r="F450" s="15" t="str">
        <f>IF(IFERROR(MATCH(434,ChqRankU,0),0)=0,"",IF(INDEX(ChqStatus,IFERROR(MATCH(434,ChqRankU,0),0))="پاس نشده","—",IF(INDEX(ChqClr,IFERROR(MATCH(434,ChqRankU,0),0))="","—",INDEX(ChqClr,IFERROR(MATCH(434,ChqRankU,0),0)))))</f>
        <v/>
      </c>
      <c r="I450" t="str">
        <f>IF(434&gt;NChq,"",INDEX(ChqNorm,434))</f>
        <v/>
      </c>
      <c r="J450" t="str">
        <f>IF($I450="","",IF(AND($I450&gt;=$H$3,$I450&lt;=$H$4,INDEX(ChqStatus,434)="پاس نشده"),1,0))</f>
        <v/>
      </c>
      <c r="K450" t="str">
        <f>IF($J450=0,"",INDEX(ChqKey,434))</f>
        <v/>
      </c>
      <c r="L450" t="str">
        <f t="shared" si="6"/>
        <v/>
      </c>
    </row>
    <row r="451" spans="1:12" x14ac:dyDescent="0.2">
      <c r="A451" s="3" t="str">
        <f>IF(IFERROR(MATCH(435,ChqRankU,0),0)=0,"",435)</f>
        <v/>
      </c>
      <c r="B451" s="13" t="str">
        <f>IF(IFERROR(MATCH(435,ChqRankU,0),0)=0,"",INDEX(ChqNorm,IFERROR(MATCH(435,ChqRankU,0),0)))</f>
        <v/>
      </c>
      <c r="C451" s="13" t="str">
        <f>IF(IFERROR(MATCH(435,ChqRankU,0),0)=0,"",INDEX(ChqNo,IFERROR(MATCH(435,ChqRankU,0),0)))</f>
        <v/>
      </c>
      <c r="D451" s="14" t="str">
        <f>IF(IFERROR(MATCH(435,ChqRankU,0),0)=0,"",IF(INDEX(ChqAmt,IFERROR(MATCH(435,ChqRankU,0),0))=0,"",INDEX(ChqAmt,IFERROR(MATCH(435,ChqRankU,0),0))))</f>
        <v/>
      </c>
      <c r="E451" s="7" t="str">
        <f>IF(IFERROR(MATCH(435,ChqRankU,0),0)=0,"",INDEX(ChqStatus,IFERROR(MATCH(435,ChqRankU,0),0)))</f>
        <v/>
      </c>
      <c r="F451" s="13" t="str">
        <f>IF(IFERROR(MATCH(435,ChqRankU,0),0)=0,"",IF(INDEX(ChqStatus,IFERROR(MATCH(435,ChqRankU,0),0))="پاس نشده","—",IF(INDEX(ChqClr,IFERROR(MATCH(435,ChqRankU,0),0))="","—",INDEX(ChqClr,IFERROR(MATCH(435,ChqRankU,0),0)))))</f>
        <v/>
      </c>
      <c r="I451" t="str">
        <f>IF(435&gt;NChq,"",INDEX(ChqNorm,435))</f>
        <v/>
      </c>
      <c r="J451" t="str">
        <f>IF($I451="","",IF(AND($I451&gt;=$H$3,$I451&lt;=$H$4,INDEX(ChqStatus,435)="پاس نشده"),1,0))</f>
        <v/>
      </c>
      <c r="K451" t="str">
        <f>IF($J451=0,"",INDEX(ChqKey,435))</f>
        <v/>
      </c>
      <c r="L451" t="str">
        <f t="shared" si="6"/>
        <v/>
      </c>
    </row>
    <row r="452" spans="1:12" x14ac:dyDescent="0.2">
      <c r="A452" s="9" t="str">
        <f>IF(IFERROR(MATCH(436,ChqRankU,0),0)=0,"",436)</f>
        <v/>
      </c>
      <c r="B452" s="15" t="str">
        <f>IF(IFERROR(MATCH(436,ChqRankU,0),0)=0,"",INDEX(ChqNorm,IFERROR(MATCH(436,ChqRankU,0),0)))</f>
        <v/>
      </c>
      <c r="C452" s="15" t="str">
        <f>IF(IFERROR(MATCH(436,ChqRankU,0),0)=0,"",INDEX(ChqNo,IFERROR(MATCH(436,ChqRankU,0),0)))</f>
        <v/>
      </c>
      <c r="D452" s="16" t="str">
        <f>IF(IFERROR(MATCH(436,ChqRankU,0),0)=0,"",IF(INDEX(ChqAmt,IFERROR(MATCH(436,ChqRankU,0),0))=0,"",INDEX(ChqAmt,IFERROR(MATCH(436,ChqRankU,0),0))))</f>
        <v/>
      </c>
      <c r="E452" s="10" t="str">
        <f>IF(IFERROR(MATCH(436,ChqRankU,0),0)=0,"",INDEX(ChqStatus,IFERROR(MATCH(436,ChqRankU,0),0)))</f>
        <v/>
      </c>
      <c r="F452" s="15" t="str">
        <f>IF(IFERROR(MATCH(436,ChqRankU,0),0)=0,"",IF(INDEX(ChqStatus,IFERROR(MATCH(436,ChqRankU,0),0))="پاس نشده","—",IF(INDEX(ChqClr,IFERROR(MATCH(436,ChqRankU,0),0))="","—",INDEX(ChqClr,IFERROR(MATCH(436,ChqRankU,0),0)))))</f>
        <v/>
      </c>
      <c r="I452" t="str">
        <f>IF(436&gt;NChq,"",INDEX(ChqNorm,436))</f>
        <v/>
      </c>
      <c r="J452" t="str">
        <f>IF($I452="","",IF(AND($I452&gt;=$H$3,$I452&lt;=$H$4,INDEX(ChqStatus,436)="پاس نشده"),1,0))</f>
        <v/>
      </c>
      <c r="K452" t="str">
        <f>IF($J452=0,"",INDEX(ChqKey,436))</f>
        <v/>
      </c>
      <c r="L452" t="str">
        <f t="shared" si="6"/>
        <v/>
      </c>
    </row>
    <row r="453" spans="1:12" x14ac:dyDescent="0.2">
      <c r="A453" s="3" t="str">
        <f>IF(IFERROR(MATCH(437,ChqRankU,0),0)=0,"",437)</f>
        <v/>
      </c>
      <c r="B453" s="13" t="str">
        <f>IF(IFERROR(MATCH(437,ChqRankU,0),0)=0,"",INDEX(ChqNorm,IFERROR(MATCH(437,ChqRankU,0),0)))</f>
        <v/>
      </c>
      <c r="C453" s="13" t="str">
        <f>IF(IFERROR(MATCH(437,ChqRankU,0),0)=0,"",INDEX(ChqNo,IFERROR(MATCH(437,ChqRankU,0),0)))</f>
        <v/>
      </c>
      <c r="D453" s="14" t="str">
        <f>IF(IFERROR(MATCH(437,ChqRankU,0),0)=0,"",IF(INDEX(ChqAmt,IFERROR(MATCH(437,ChqRankU,0),0))=0,"",INDEX(ChqAmt,IFERROR(MATCH(437,ChqRankU,0),0))))</f>
        <v/>
      </c>
      <c r="E453" s="7" t="str">
        <f>IF(IFERROR(MATCH(437,ChqRankU,0),0)=0,"",INDEX(ChqStatus,IFERROR(MATCH(437,ChqRankU,0),0)))</f>
        <v/>
      </c>
      <c r="F453" s="13" t="str">
        <f>IF(IFERROR(MATCH(437,ChqRankU,0),0)=0,"",IF(INDEX(ChqStatus,IFERROR(MATCH(437,ChqRankU,0),0))="پاس نشده","—",IF(INDEX(ChqClr,IFERROR(MATCH(437,ChqRankU,0),0))="","—",INDEX(ChqClr,IFERROR(MATCH(437,ChqRankU,0),0)))))</f>
        <v/>
      </c>
      <c r="I453" t="str">
        <f>IF(437&gt;NChq,"",INDEX(ChqNorm,437))</f>
        <v/>
      </c>
      <c r="J453" t="str">
        <f>IF($I453="","",IF(AND($I453&gt;=$H$3,$I453&lt;=$H$4,INDEX(ChqStatus,437)="پاس نشده"),1,0))</f>
        <v/>
      </c>
      <c r="K453" t="str">
        <f>IF($J453=0,"",INDEX(ChqKey,437))</f>
        <v/>
      </c>
      <c r="L453" t="str">
        <f t="shared" si="6"/>
        <v/>
      </c>
    </row>
    <row r="454" spans="1:12" x14ac:dyDescent="0.2">
      <c r="A454" s="9" t="str">
        <f>IF(IFERROR(MATCH(438,ChqRankU,0),0)=0,"",438)</f>
        <v/>
      </c>
      <c r="B454" s="15" t="str">
        <f>IF(IFERROR(MATCH(438,ChqRankU,0),0)=0,"",INDEX(ChqNorm,IFERROR(MATCH(438,ChqRankU,0),0)))</f>
        <v/>
      </c>
      <c r="C454" s="15" t="str">
        <f>IF(IFERROR(MATCH(438,ChqRankU,0),0)=0,"",INDEX(ChqNo,IFERROR(MATCH(438,ChqRankU,0),0)))</f>
        <v/>
      </c>
      <c r="D454" s="16" t="str">
        <f>IF(IFERROR(MATCH(438,ChqRankU,0),0)=0,"",IF(INDEX(ChqAmt,IFERROR(MATCH(438,ChqRankU,0),0))=0,"",INDEX(ChqAmt,IFERROR(MATCH(438,ChqRankU,0),0))))</f>
        <v/>
      </c>
      <c r="E454" s="10" t="str">
        <f>IF(IFERROR(MATCH(438,ChqRankU,0),0)=0,"",INDEX(ChqStatus,IFERROR(MATCH(438,ChqRankU,0),0)))</f>
        <v/>
      </c>
      <c r="F454" s="15" t="str">
        <f>IF(IFERROR(MATCH(438,ChqRankU,0),0)=0,"",IF(INDEX(ChqStatus,IFERROR(MATCH(438,ChqRankU,0),0))="پاس نشده","—",IF(INDEX(ChqClr,IFERROR(MATCH(438,ChqRankU,0),0))="","—",INDEX(ChqClr,IFERROR(MATCH(438,ChqRankU,0),0)))))</f>
        <v/>
      </c>
      <c r="I454" t="str">
        <f>IF(438&gt;NChq,"",INDEX(ChqNorm,438))</f>
        <v/>
      </c>
      <c r="J454" t="str">
        <f>IF($I454="","",IF(AND($I454&gt;=$H$3,$I454&lt;=$H$4,INDEX(ChqStatus,438)="پاس نشده"),1,0))</f>
        <v/>
      </c>
      <c r="K454" t="str">
        <f>IF($J454=0,"",INDEX(ChqKey,438))</f>
        <v/>
      </c>
      <c r="L454" t="str">
        <f t="shared" si="6"/>
        <v/>
      </c>
    </row>
    <row r="455" spans="1:12" x14ac:dyDescent="0.2">
      <c r="A455" s="3" t="str">
        <f>IF(IFERROR(MATCH(439,ChqRankU,0),0)=0,"",439)</f>
        <v/>
      </c>
      <c r="B455" s="13" t="str">
        <f>IF(IFERROR(MATCH(439,ChqRankU,0),0)=0,"",INDEX(ChqNorm,IFERROR(MATCH(439,ChqRankU,0),0)))</f>
        <v/>
      </c>
      <c r="C455" s="13" t="str">
        <f>IF(IFERROR(MATCH(439,ChqRankU,0),0)=0,"",INDEX(ChqNo,IFERROR(MATCH(439,ChqRankU,0),0)))</f>
        <v/>
      </c>
      <c r="D455" s="14" t="str">
        <f>IF(IFERROR(MATCH(439,ChqRankU,0),0)=0,"",IF(INDEX(ChqAmt,IFERROR(MATCH(439,ChqRankU,0),0))=0,"",INDEX(ChqAmt,IFERROR(MATCH(439,ChqRankU,0),0))))</f>
        <v/>
      </c>
      <c r="E455" s="7" t="str">
        <f>IF(IFERROR(MATCH(439,ChqRankU,0),0)=0,"",INDEX(ChqStatus,IFERROR(MATCH(439,ChqRankU,0),0)))</f>
        <v/>
      </c>
      <c r="F455" s="13" t="str">
        <f>IF(IFERROR(MATCH(439,ChqRankU,0),0)=0,"",IF(INDEX(ChqStatus,IFERROR(MATCH(439,ChqRankU,0),0))="پاس نشده","—",IF(INDEX(ChqClr,IFERROR(MATCH(439,ChqRankU,0),0))="","—",INDEX(ChqClr,IFERROR(MATCH(439,ChqRankU,0),0)))))</f>
        <v/>
      </c>
      <c r="I455" t="str">
        <f>IF(439&gt;NChq,"",INDEX(ChqNorm,439))</f>
        <v/>
      </c>
      <c r="J455" t="str">
        <f>IF($I455="","",IF(AND($I455&gt;=$H$3,$I455&lt;=$H$4,INDEX(ChqStatus,439)="پاس نشده"),1,0))</f>
        <v/>
      </c>
      <c r="K455" t="str">
        <f>IF($J455=0,"",INDEX(ChqKey,439))</f>
        <v/>
      </c>
      <c r="L455" t="str">
        <f t="shared" si="6"/>
        <v/>
      </c>
    </row>
    <row r="456" spans="1:12" x14ac:dyDescent="0.2">
      <c r="A456" s="9" t="str">
        <f>IF(IFERROR(MATCH(440,ChqRankU,0),0)=0,"",440)</f>
        <v/>
      </c>
      <c r="B456" s="15" t="str">
        <f>IF(IFERROR(MATCH(440,ChqRankU,0),0)=0,"",INDEX(ChqNorm,IFERROR(MATCH(440,ChqRankU,0),0)))</f>
        <v/>
      </c>
      <c r="C456" s="15" t="str">
        <f>IF(IFERROR(MATCH(440,ChqRankU,0),0)=0,"",INDEX(ChqNo,IFERROR(MATCH(440,ChqRankU,0),0)))</f>
        <v/>
      </c>
      <c r="D456" s="16" t="str">
        <f>IF(IFERROR(MATCH(440,ChqRankU,0),0)=0,"",IF(INDEX(ChqAmt,IFERROR(MATCH(440,ChqRankU,0),0))=0,"",INDEX(ChqAmt,IFERROR(MATCH(440,ChqRankU,0),0))))</f>
        <v/>
      </c>
      <c r="E456" s="10" t="str">
        <f>IF(IFERROR(MATCH(440,ChqRankU,0),0)=0,"",INDEX(ChqStatus,IFERROR(MATCH(440,ChqRankU,0),0)))</f>
        <v/>
      </c>
      <c r="F456" s="15" t="str">
        <f>IF(IFERROR(MATCH(440,ChqRankU,0),0)=0,"",IF(INDEX(ChqStatus,IFERROR(MATCH(440,ChqRankU,0),0))="پاس نشده","—",IF(INDEX(ChqClr,IFERROR(MATCH(440,ChqRankU,0),0))="","—",INDEX(ChqClr,IFERROR(MATCH(440,ChqRankU,0),0)))))</f>
        <v/>
      </c>
      <c r="I456" t="str">
        <f>IF(440&gt;NChq,"",INDEX(ChqNorm,440))</f>
        <v/>
      </c>
      <c r="J456" t="str">
        <f>IF($I456="","",IF(AND($I456&gt;=$H$3,$I456&lt;=$H$4,INDEX(ChqStatus,440)="پاس نشده"),1,0))</f>
        <v/>
      </c>
      <c r="K456" t="str">
        <f>IF($J456=0,"",INDEX(ChqKey,440))</f>
        <v/>
      </c>
      <c r="L456" t="str">
        <f t="shared" si="6"/>
        <v/>
      </c>
    </row>
    <row r="457" spans="1:12" x14ac:dyDescent="0.2">
      <c r="A457" s="3" t="str">
        <f>IF(IFERROR(MATCH(441,ChqRankU,0),0)=0,"",441)</f>
        <v/>
      </c>
      <c r="B457" s="13" t="str">
        <f>IF(IFERROR(MATCH(441,ChqRankU,0),0)=0,"",INDEX(ChqNorm,IFERROR(MATCH(441,ChqRankU,0),0)))</f>
        <v/>
      </c>
      <c r="C457" s="13" t="str">
        <f>IF(IFERROR(MATCH(441,ChqRankU,0),0)=0,"",INDEX(ChqNo,IFERROR(MATCH(441,ChqRankU,0),0)))</f>
        <v/>
      </c>
      <c r="D457" s="14" t="str">
        <f>IF(IFERROR(MATCH(441,ChqRankU,0),0)=0,"",IF(INDEX(ChqAmt,IFERROR(MATCH(441,ChqRankU,0),0))=0,"",INDEX(ChqAmt,IFERROR(MATCH(441,ChqRankU,0),0))))</f>
        <v/>
      </c>
      <c r="E457" s="7" t="str">
        <f>IF(IFERROR(MATCH(441,ChqRankU,0),0)=0,"",INDEX(ChqStatus,IFERROR(MATCH(441,ChqRankU,0),0)))</f>
        <v/>
      </c>
      <c r="F457" s="13" t="str">
        <f>IF(IFERROR(MATCH(441,ChqRankU,0),0)=0,"",IF(INDEX(ChqStatus,IFERROR(MATCH(441,ChqRankU,0),0))="پاس نشده","—",IF(INDEX(ChqClr,IFERROR(MATCH(441,ChqRankU,0),0))="","—",INDEX(ChqClr,IFERROR(MATCH(441,ChqRankU,0),0)))))</f>
        <v/>
      </c>
      <c r="I457" t="str">
        <f>IF(441&gt;NChq,"",INDEX(ChqNorm,441))</f>
        <v/>
      </c>
      <c r="J457" t="str">
        <f>IF($I457="","",IF(AND($I457&gt;=$H$3,$I457&lt;=$H$4,INDEX(ChqStatus,441)="پاس نشده"),1,0))</f>
        <v/>
      </c>
      <c r="K457" t="str">
        <f>IF($J457=0,"",INDEX(ChqKey,441))</f>
        <v/>
      </c>
      <c r="L457" t="str">
        <f t="shared" si="6"/>
        <v/>
      </c>
    </row>
    <row r="458" spans="1:12" x14ac:dyDescent="0.2">
      <c r="A458" s="9" t="str">
        <f>IF(IFERROR(MATCH(442,ChqRankU,0),0)=0,"",442)</f>
        <v/>
      </c>
      <c r="B458" s="15" t="str">
        <f>IF(IFERROR(MATCH(442,ChqRankU,0),0)=0,"",INDEX(ChqNorm,IFERROR(MATCH(442,ChqRankU,0),0)))</f>
        <v/>
      </c>
      <c r="C458" s="15" t="str">
        <f>IF(IFERROR(MATCH(442,ChqRankU,0),0)=0,"",INDEX(ChqNo,IFERROR(MATCH(442,ChqRankU,0),0)))</f>
        <v/>
      </c>
      <c r="D458" s="16" t="str">
        <f>IF(IFERROR(MATCH(442,ChqRankU,0),0)=0,"",IF(INDEX(ChqAmt,IFERROR(MATCH(442,ChqRankU,0),0))=0,"",INDEX(ChqAmt,IFERROR(MATCH(442,ChqRankU,0),0))))</f>
        <v/>
      </c>
      <c r="E458" s="10" t="str">
        <f>IF(IFERROR(MATCH(442,ChqRankU,0),0)=0,"",INDEX(ChqStatus,IFERROR(MATCH(442,ChqRankU,0),0)))</f>
        <v/>
      </c>
      <c r="F458" s="15" t="str">
        <f>IF(IFERROR(MATCH(442,ChqRankU,0),0)=0,"",IF(INDEX(ChqStatus,IFERROR(MATCH(442,ChqRankU,0),0))="پاس نشده","—",IF(INDEX(ChqClr,IFERROR(MATCH(442,ChqRankU,0),0))="","—",INDEX(ChqClr,IFERROR(MATCH(442,ChqRankU,0),0)))))</f>
        <v/>
      </c>
      <c r="I458" t="str">
        <f>IF(442&gt;NChq,"",INDEX(ChqNorm,442))</f>
        <v/>
      </c>
      <c r="J458" t="str">
        <f>IF($I458="","",IF(AND($I458&gt;=$H$3,$I458&lt;=$H$4,INDEX(ChqStatus,442)="پاس نشده"),1,0))</f>
        <v/>
      </c>
      <c r="K458" t="str">
        <f>IF($J458=0,"",INDEX(ChqKey,442))</f>
        <v/>
      </c>
      <c r="L458" t="str">
        <f t="shared" si="6"/>
        <v/>
      </c>
    </row>
    <row r="459" spans="1:12" x14ac:dyDescent="0.2">
      <c r="A459" s="3" t="str">
        <f>IF(IFERROR(MATCH(443,ChqRankU,0),0)=0,"",443)</f>
        <v/>
      </c>
      <c r="B459" s="13" t="str">
        <f>IF(IFERROR(MATCH(443,ChqRankU,0),0)=0,"",INDEX(ChqNorm,IFERROR(MATCH(443,ChqRankU,0),0)))</f>
        <v/>
      </c>
      <c r="C459" s="13" t="str">
        <f>IF(IFERROR(MATCH(443,ChqRankU,0),0)=0,"",INDEX(ChqNo,IFERROR(MATCH(443,ChqRankU,0),0)))</f>
        <v/>
      </c>
      <c r="D459" s="14" t="str">
        <f>IF(IFERROR(MATCH(443,ChqRankU,0),0)=0,"",IF(INDEX(ChqAmt,IFERROR(MATCH(443,ChqRankU,0),0))=0,"",INDEX(ChqAmt,IFERROR(MATCH(443,ChqRankU,0),0))))</f>
        <v/>
      </c>
      <c r="E459" s="7" t="str">
        <f>IF(IFERROR(MATCH(443,ChqRankU,0),0)=0,"",INDEX(ChqStatus,IFERROR(MATCH(443,ChqRankU,0),0)))</f>
        <v/>
      </c>
      <c r="F459" s="13" t="str">
        <f>IF(IFERROR(MATCH(443,ChqRankU,0),0)=0,"",IF(INDEX(ChqStatus,IFERROR(MATCH(443,ChqRankU,0),0))="پاس نشده","—",IF(INDEX(ChqClr,IFERROR(MATCH(443,ChqRankU,0),0))="","—",INDEX(ChqClr,IFERROR(MATCH(443,ChqRankU,0),0)))))</f>
        <v/>
      </c>
      <c r="I459" t="str">
        <f>IF(443&gt;NChq,"",INDEX(ChqNorm,443))</f>
        <v/>
      </c>
      <c r="J459" t="str">
        <f>IF($I459="","",IF(AND($I459&gt;=$H$3,$I459&lt;=$H$4,INDEX(ChqStatus,443)="پاس نشده"),1,0))</f>
        <v/>
      </c>
      <c r="K459" t="str">
        <f>IF($J459=0,"",INDEX(ChqKey,443))</f>
        <v/>
      </c>
      <c r="L459" t="str">
        <f t="shared" si="6"/>
        <v/>
      </c>
    </row>
    <row r="460" spans="1:12" x14ac:dyDescent="0.2">
      <c r="A460" s="9" t="str">
        <f>IF(IFERROR(MATCH(444,ChqRankU,0),0)=0,"",444)</f>
        <v/>
      </c>
      <c r="B460" s="15" t="str">
        <f>IF(IFERROR(MATCH(444,ChqRankU,0),0)=0,"",INDEX(ChqNorm,IFERROR(MATCH(444,ChqRankU,0),0)))</f>
        <v/>
      </c>
      <c r="C460" s="15" t="str">
        <f>IF(IFERROR(MATCH(444,ChqRankU,0),0)=0,"",INDEX(ChqNo,IFERROR(MATCH(444,ChqRankU,0),0)))</f>
        <v/>
      </c>
      <c r="D460" s="16" t="str">
        <f>IF(IFERROR(MATCH(444,ChqRankU,0),0)=0,"",IF(INDEX(ChqAmt,IFERROR(MATCH(444,ChqRankU,0),0))=0,"",INDEX(ChqAmt,IFERROR(MATCH(444,ChqRankU,0),0))))</f>
        <v/>
      </c>
      <c r="E460" s="10" t="str">
        <f>IF(IFERROR(MATCH(444,ChqRankU,0),0)=0,"",INDEX(ChqStatus,IFERROR(MATCH(444,ChqRankU,0),0)))</f>
        <v/>
      </c>
      <c r="F460" s="15" t="str">
        <f>IF(IFERROR(MATCH(444,ChqRankU,0),0)=0,"",IF(INDEX(ChqStatus,IFERROR(MATCH(444,ChqRankU,0),0))="پاس نشده","—",IF(INDEX(ChqClr,IFERROR(MATCH(444,ChqRankU,0),0))="","—",INDEX(ChqClr,IFERROR(MATCH(444,ChqRankU,0),0)))))</f>
        <v/>
      </c>
      <c r="I460" t="str">
        <f>IF(444&gt;NChq,"",INDEX(ChqNorm,444))</f>
        <v/>
      </c>
      <c r="J460" t="str">
        <f>IF($I460="","",IF(AND($I460&gt;=$H$3,$I460&lt;=$H$4,INDEX(ChqStatus,444)="پاس نشده"),1,0))</f>
        <v/>
      </c>
      <c r="K460" t="str">
        <f>IF($J460=0,"",INDEX(ChqKey,444))</f>
        <v/>
      </c>
      <c r="L460" t="str">
        <f t="shared" si="6"/>
        <v/>
      </c>
    </row>
    <row r="461" spans="1:12" x14ac:dyDescent="0.2">
      <c r="A461" s="3" t="str">
        <f>IF(IFERROR(MATCH(445,ChqRankU,0),0)=0,"",445)</f>
        <v/>
      </c>
      <c r="B461" s="13" t="str">
        <f>IF(IFERROR(MATCH(445,ChqRankU,0),0)=0,"",INDEX(ChqNorm,IFERROR(MATCH(445,ChqRankU,0),0)))</f>
        <v/>
      </c>
      <c r="C461" s="13" t="str">
        <f>IF(IFERROR(MATCH(445,ChqRankU,0),0)=0,"",INDEX(ChqNo,IFERROR(MATCH(445,ChqRankU,0),0)))</f>
        <v/>
      </c>
      <c r="D461" s="14" t="str">
        <f>IF(IFERROR(MATCH(445,ChqRankU,0),0)=0,"",IF(INDEX(ChqAmt,IFERROR(MATCH(445,ChqRankU,0),0))=0,"",INDEX(ChqAmt,IFERROR(MATCH(445,ChqRankU,0),0))))</f>
        <v/>
      </c>
      <c r="E461" s="7" t="str">
        <f>IF(IFERROR(MATCH(445,ChqRankU,0),0)=0,"",INDEX(ChqStatus,IFERROR(MATCH(445,ChqRankU,0),0)))</f>
        <v/>
      </c>
      <c r="F461" s="13" t="str">
        <f>IF(IFERROR(MATCH(445,ChqRankU,0),0)=0,"",IF(INDEX(ChqStatus,IFERROR(MATCH(445,ChqRankU,0),0))="پاس نشده","—",IF(INDEX(ChqClr,IFERROR(MATCH(445,ChqRankU,0),0))="","—",INDEX(ChqClr,IFERROR(MATCH(445,ChqRankU,0),0)))))</f>
        <v/>
      </c>
      <c r="I461" t="str">
        <f>IF(445&gt;NChq,"",INDEX(ChqNorm,445))</f>
        <v/>
      </c>
      <c r="J461" t="str">
        <f>IF($I461="","",IF(AND($I461&gt;=$H$3,$I461&lt;=$H$4,INDEX(ChqStatus,445)="پاس نشده"),1,0))</f>
        <v/>
      </c>
      <c r="K461" t="str">
        <f>IF($J461=0,"",INDEX(ChqKey,445))</f>
        <v/>
      </c>
      <c r="L461" t="str">
        <f t="shared" si="6"/>
        <v/>
      </c>
    </row>
    <row r="462" spans="1:12" x14ac:dyDescent="0.2">
      <c r="A462" s="9" t="str">
        <f>IF(IFERROR(MATCH(446,ChqRankU,0),0)=0,"",446)</f>
        <v/>
      </c>
      <c r="B462" s="15" t="str">
        <f>IF(IFERROR(MATCH(446,ChqRankU,0),0)=0,"",INDEX(ChqNorm,IFERROR(MATCH(446,ChqRankU,0),0)))</f>
        <v/>
      </c>
      <c r="C462" s="15" t="str">
        <f>IF(IFERROR(MATCH(446,ChqRankU,0),0)=0,"",INDEX(ChqNo,IFERROR(MATCH(446,ChqRankU,0),0)))</f>
        <v/>
      </c>
      <c r="D462" s="16" t="str">
        <f>IF(IFERROR(MATCH(446,ChqRankU,0),0)=0,"",IF(INDEX(ChqAmt,IFERROR(MATCH(446,ChqRankU,0),0))=0,"",INDEX(ChqAmt,IFERROR(MATCH(446,ChqRankU,0),0))))</f>
        <v/>
      </c>
      <c r="E462" s="10" t="str">
        <f>IF(IFERROR(MATCH(446,ChqRankU,0),0)=0,"",INDEX(ChqStatus,IFERROR(MATCH(446,ChqRankU,0),0)))</f>
        <v/>
      </c>
      <c r="F462" s="15" t="str">
        <f>IF(IFERROR(MATCH(446,ChqRankU,0),0)=0,"",IF(INDEX(ChqStatus,IFERROR(MATCH(446,ChqRankU,0),0))="پاس نشده","—",IF(INDEX(ChqClr,IFERROR(MATCH(446,ChqRankU,0),0))="","—",INDEX(ChqClr,IFERROR(MATCH(446,ChqRankU,0),0)))))</f>
        <v/>
      </c>
      <c r="I462" t="str">
        <f>IF(446&gt;NChq,"",INDEX(ChqNorm,446))</f>
        <v/>
      </c>
      <c r="J462" t="str">
        <f>IF($I462="","",IF(AND($I462&gt;=$H$3,$I462&lt;=$H$4,INDEX(ChqStatus,446)="پاس نشده"),1,0))</f>
        <v/>
      </c>
      <c r="K462" t="str">
        <f>IF($J462=0,"",INDEX(ChqKey,446))</f>
        <v/>
      </c>
      <c r="L462" t="str">
        <f t="shared" si="6"/>
        <v/>
      </c>
    </row>
    <row r="463" spans="1:12" x14ac:dyDescent="0.2">
      <c r="A463" s="3" t="str">
        <f>IF(IFERROR(MATCH(447,ChqRankU,0),0)=0,"",447)</f>
        <v/>
      </c>
      <c r="B463" s="13" t="str">
        <f>IF(IFERROR(MATCH(447,ChqRankU,0),0)=0,"",INDEX(ChqNorm,IFERROR(MATCH(447,ChqRankU,0),0)))</f>
        <v/>
      </c>
      <c r="C463" s="13" t="str">
        <f>IF(IFERROR(MATCH(447,ChqRankU,0),0)=0,"",INDEX(ChqNo,IFERROR(MATCH(447,ChqRankU,0),0)))</f>
        <v/>
      </c>
      <c r="D463" s="14" t="str">
        <f>IF(IFERROR(MATCH(447,ChqRankU,0),0)=0,"",IF(INDEX(ChqAmt,IFERROR(MATCH(447,ChqRankU,0),0))=0,"",INDEX(ChqAmt,IFERROR(MATCH(447,ChqRankU,0),0))))</f>
        <v/>
      </c>
      <c r="E463" s="7" t="str">
        <f>IF(IFERROR(MATCH(447,ChqRankU,0),0)=0,"",INDEX(ChqStatus,IFERROR(MATCH(447,ChqRankU,0),0)))</f>
        <v/>
      </c>
      <c r="F463" s="13" t="str">
        <f>IF(IFERROR(MATCH(447,ChqRankU,0),0)=0,"",IF(INDEX(ChqStatus,IFERROR(MATCH(447,ChqRankU,0),0))="پاس نشده","—",IF(INDEX(ChqClr,IFERROR(MATCH(447,ChqRankU,0),0))="","—",INDEX(ChqClr,IFERROR(MATCH(447,ChqRankU,0),0)))))</f>
        <v/>
      </c>
      <c r="I463" t="str">
        <f>IF(447&gt;NChq,"",INDEX(ChqNorm,447))</f>
        <v/>
      </c>
      <c r="J463" t="str">
        <f>IF($I463="","",IF(AND($I463&gt;=$H$3,$I463&lt;=$H$4,INDEX(ChqStatus,447)="پاس نشده"),1,0))</f>
        <v/>
      </c>
      <c r="K463" t="str">
        <f>IF($J463=0,"",INDEX(ChqKey,447))</f>
        <v/>
      </c>
      <c r="L463" t="str">
        <f t="shared" si="6"/>
        <v/>
      </c>
    </row>
    <row r="464" spans="1:12" x14ac:dyDescent="0.2">
      <c r="A464" s="9" t="str">
        <f>IF(IFERROR(MATCH(448,ChqRankU,0),0)=0,"",448)</f>
        <v/>
      </c>
      <c r="B464" s="15" t="str">
        <f>IF(IFERROR(MATCH(448,ChqRankU,0),0)=0,"",INDEX(ChqNorm,IFERROR(MATCH(448,ChqRankU,0),0)))</f>
        <v/>
      </c>
      <c r="C464" s="15" t="str">
        <f>IF(IFERROR(MATCH(448,ChqRankU,0),0)=0,"",INDEX(ChqNo,IFERROR(MATCH(448,ChqRankU,0),0)))</f>
        <v/>
      </c>
      <c r="D464" s="16" t="str">
        <f>IF(IFERROR(MATCH(448,ChqRankU,0),0)=0,"",IF(INDEX(ChqAmt,IFERROR(MATCH(448,ChqRankU,0),0))=0,"",INDEX(ChqAmt,IFERROR(MATCH(448,ChqRankU,0),0))))</f>
        <v/>
      </c>
      <c r="E464" s="10" t="str">
        <f>IF(IFERROR(MATCH(448,ChqRankU,0),0)=0,"",INDEX(ChqStatus,IFERROR(MATCH(448,ChqRankU,0),0)))</f>
        <v/>
      </c>
      <c r="F464" s="15" t="str">
        <f>IF(IFERROR(MATCH(448,ChqRankU,0),0)=0,"",IF(INDEX(ChqStatus,IFERROR(MATCH(448,ChqRankU,0),0))="پاس نشده","—",IF(INDEX(ChqClr,IFERROR(MATCH(448,ChqRankU,0),0))="","—",INDEX(ChqClr,IFERROR(MATCH(448,ChqRankU,0),0)))))</f>
        <v/>
      </c>
      <c r="I464" t="str">
        <f>IF(448&gt;NChq,"",INDEX(ChqNorm,448))</f>
        <v/>
      </c>
      <c r="J464" t="str">
        <f>IF($I464="","",IF(AND($I464&gt;=$H$3,$I464&lt;=$H$4,INDEX(ChqStatus,448)="پاس نشده"),1,0))</f>
        <v/>
      </c>
      <c r="K464" t="str">
        <f>IF($J464=0,"",INDEX(ChqKey,448))</f>
        <v/>
      </c>
      <c r="L464" t="str">
        <f t="shared" si="6"/>
        <v/>
      </c>
    </row>
    <row r="465" spans="1:12" x14ac:dyDescent="0.2">
      <c r="A465" s="3" t="str">
        <f>IF(IFERROR(MATCH(449,ChqRankU,0),0)=0,"",449)</f>
        <v/>
      </c>
      <c r="B465" s="13" t="str">
        <f>IF(IFERROR(MATCH(449,ChqRankU,0),0)=0,"",INDEX(ChqNorm,IFERROR(MATCH(449,ChqRankU,0),0)))</f>
        <v/>
      </c>
      <c r="C465" s="13" t="str">
        <f>IF(IFERROR(MATCH(449,ChqRankU,0),0)=0,"",INDEX(ChqNo,IFERROR(MATCH(449,ChqRankU,0),0)))</f>
        <v/>
      </c>
      <c r="D465" s="14" t="str">
        <f>IF(IFERROR(MATCH(449,ChqRankU,0),0)=0,"",IF(INDEX(ChqAmt,IFERROR(MATCH(449,ChqRankU,0),0))=0,"",INDEX(ChqAmt,IFERROR(MATCH(449,ChqRankU,0),0))))</f>
        <v/>
      </c>
      <c r="E465" s="7" t="str">
        <f>IF(IFERROR(MATCH(449,ChqRankU,0),0)=0,"",INDEX(ChqStatus,IFERROR(MATCH(449,ChqRankU,0),0)))</f>
        <v/>
      </c>
      <c r="F465" s="13" t="str">
        <f>IF(IFERROR(MATCH(449,ChqRankU,0),0)=0,"",IF(INDEX(ChqStatus,IFERROR(MATCH(449,ChqRankU,0),0))="پاس نشده","—",IF(INDEX(ChqClr,IFERROR(MATCH(449,ChqRankU,0),0))="","—",INDEX(ChqClr,IFERROR(MATCH(449,ChqRankU,0),0)))))</f>
        <v/>
      </c>
      <c r="I465" t="str">
        <f>IF(449&gt;NChq,"",INDEX(ChqNorm,449))</f>
        <v/>
      </c>
      <c r="J465" t="str">
        <f>IF($I465="","",IF(AND($I465&gt;=$H$3,$I465&lt;=$H$4,INDEX(ChqStatus,449)="پاس نشده"),1,0))</f>
        <v/>
      </c>
      <c r="K465" t="str">
        <f>IF($J465=0,"",INDEX(ChqKey,449))</f>
        <v/>
      </c>
      <c r="L465" t="str">
        <f t="shared" ref="L465:L516" si="7">IF($K465="","",COUNTIFS($J$17:$J$516,1,$K$17:$K$516,"&lt;"&amp;$K465)+1)</f>
        <v/>
      </c>
    </row>
    <row r="466" spans="1:12" x14ac:dyDescent="0.2">
      <c r="A466" s="9" t="str">
        <f>IF(IFERROR(MATCH(450,ChqRankU,0),0)=0,"",450)</f>
        <v/>
      </c>
      <c r="B466" s="15" t="str">
        <f>IF(IFERROR(MATCH(450,ChqRankU,0),0)=0,"",INDEX(ChqNorm,IFERROR(MATCH(450,ChqRankU,0),0)))</f>
        <v/>
      </c>
      <c r="C466" s="15" t="str">
        <f>IF(IFERROR(MATCH(450,ChqRankU,0),0)=0,"",INDEX(ChqNo,IFERROR(MATCH(450,ChqRankU,0),0)))</f>
        <v/>
      </c>
      <c r="D466" s="16" t="str">
        <f>IF(IFERROR(MATCH(450,ChqRankU,0),0)=0,"",IF(INDEX(ChqAmt,IFERROR(MATCH(450,ChqRankU,0),0))=0,"",INDEX(ChqAmt,IFERROR(MATCH(450,ChqRankU,0),0))))</f>
        <v/>
      </c>
      <c r="E466" s="10" t="str">
        <f>IF(IFERROR(MATCH(450,ChqRankU,0),0)=0,"",INDEX(ChqStatus,IFERROR(MATCH(450,ChqRankU,0),0)))</f>
        <v/>
      </c>
      <c r="F466" s="15" t="str">
        <f>IF(IFERROR(MATCH(450,ChqRankU,0),0)=0,"",IF(INDEX(ChqStatus,IFERROR(MATCH(450,ChqRankU,0),0))="پاس نشده","—",IF(INDEX(ChqClr,IFERROR(MATCH(450,ChqRankU,0),0))="","—",INDEX(ChqClr,IFERROR(MATCH(450,ChqRankU,0),0)))))</f>
        <v/>
      </c>
      <c r="I466" t="str">
        <f>IF(450&gt;NChq,"",INDEX(ChqNorm,450))</f>
        <v/>
      </c>
      <c r="J466" t="str">
        <f>IF($I466="","",IF(AND($I466&gt;=$H$3,$I466&lt;=$H$4,INDEX(ChqStatus,450)="پاس نشده"),1,0))</f>
        <v/>
      </c>
      <c r="K466" t="str">
        <f>IF($J466=0,"",INDEX(ChqKey,450))</f>
        <v/>
      </c>
      <c r="L466" t="str">
        <f t="shared" si="7"/>
        <v/>
      </c>
    </row>
    <row r="467" spans="1:12" x14ac:dyDescent="0.2">
      <c r="A467" s="3" t="str">
        <f>IF(IFERROR(MATCH(451,ChqRankU,0),0)=0,"",451)</f>
        <v/>
      </c>
      <c r="B467" s="13" t="str">
        <f>IF(IFERROR(MATCH(451,ChqRankU,0),0)=0,"",INDEX(ChqNorm,IFERROR(MATCH(451,ChqRankU,0),0)))</f>
        <v/>
      </c>
      <c r="C467" s="13" t="str">
        <f>IF(IFERROR(MATCH(451,ChqRankU,0),0)=0,"",INDEX(ChqNo,IFERROR(MATCH(451,ChqRankU,0),0)))</f>
        <v/>
      </c>
      <c r="D467" s="14" t="str">
        <f>IF(IFERROR(MATCH(451,ChqRankU,0),0)=0,"",IF(INDEX(ChqAmt,IFERROR(MATCH(451,ChqRankU,0),0))=0,"",INDEX(ChqAmt,IFERROR(MATCH(451,ChqRankU,0),0))))</f>
        <v/>
      </c>
      <c r="E467" s="7" t="str">
        <f>IF(IFERROR(MATCH(451,ChqRankU,0),0)=0,"",INDEX(ChqStatus,IFERROR(MATCH(451,ChqRankU,0),0)))</f>
        <v/>
      </c>
      <c r="F467" s="13" t="str">
        <f>IF(IFERROR(MATCH(451,ChqRankU,0),0)=0,"",IF(INDEX(ChqStatus,IFERROR(MATCH(451,ChqRankU,0),0))="پاس نشده","—",IF(INDEX(ChqClr,IFERROR(MATCH(451,ChqRankU,0),0))="","—",INDEX(ChqClr,IFERROR(MATCH(451,ChqRankU,0),0)))))</f>
        <v/>
      </c>
      <c r="I467" t="str">
        <f>IF(451&gt;NChq,"",INDEX(ChqNorm,451))</f>
        <v/>
      </c>
      <c r="J467" t="str">
        <f>IF($I467="","",IF(AND($I467&gt;=$H$3,$I467&lt;=$H$4,INDEX(ChqStatus,451)="پاس نشده"),1,0))</f>
        <v/>
      </c>
      <c r="K467" t="str">
        <f>IF($J467=0,"",INDEX(ChqKey,451))</f>
        <v/>
      </c>
      <c r="L467" t="str">
        <f t="shared" si="7"/>
        <v/>
      </c>
    </row>
    <row r="468" spans="1:12" x14ac:dyDescent="0.2">
      <c r="A468" s="9" t="str">
        <f>IF(IFERROR(MATCH(452,ChqRankU,0),0)=0,"",452)</f>
        <v/>
      </c>
      <c r="B468" s="15" t="str">
        <f>IF(IFERROR(MATCH(452,ChqRankU,0),0)=0,"",INDEX(ChqNorm,IFERROR(MATCH(452,ChqRankU,0),0)))</f>
        <v/>
      </c>
      <c r="C468" s="15" t="str">
        <f>IF(IFERROR(MATCH(452,ChqRankU,0),0)=0,"",INDEX(ChqNo,IFERROR(MATCH(452,ChqRankU,0),0)))</f>
        <v/>
      </c>
      <c r="D468" s="16" t="str">
        <f>IF(IFERROR(MATCH(452,ChqRankU,0),0)=0,"",IF(INDEX(ChqAmt,IFERROR(MATCH(452,ChqRankU,0),0))=0,"",INDEX(ChqAmt,IFERROR(MATCH(452,ChqRankU,0),0))))</f>
        <v/>
      </c>
      <c r="E468" s="10" t="str">
        <f>IF(IFERROR(MATCH(452,ChqRankU,0),0)=0,"",INDEX(ChqStatus,IFERROR(MATCH(452,ChqRankU,0),0)))</f>
        <v/>
      </c>
      <c r="F468" s="15" t="str">
        <f>IF(IFERROR(MATCH(452,ChqRankU,0),0)=0,"",IF(INDEX(ChqStatus,IFERROR(MATCH(452,ChqRankU,0),0))="پاس نشده","—",IF(INDEX(ChqClr,IFERROR(MATCH(452,ChqRankU,0),0))="","—",INDEX(ChqClr,IFERROR(MATCH(452,ChqRankU,0),0)))))</f>
        <v/>
      </c>
      <c r="I468" t="str">
        <f>IF(452&gt;NChq,"",INDEX(ChqNorm,452))</f>
        <v/>
      </c>
      <c r="J468" t="str">
        <f>IF($I468="","",IF(AND($I468&gt;=$H$3,$I468&lt;=$H$4,INDEX(ChqStatus,452)="پاس نشده"),1,0))</f>
        <v/>
      </c>
      <c r="K468" t="str">
        <f>IF($J468=0,"",INDEX(ChqKey,452))</f>
        <v/>
      </c>
      <c r="L468" t="str">
        <f t="shared" si="7"/>
        <v/>
      </c>
    </row>
    <row r="469" spans="1:12" x14ac:dyDescent="0.2">
      <c r="A469" s="3" t="str">
        <f>IF(IFERROR(MATCH(453,ChqRankU,0),0)=0,"",453)</f>
        <v/>
      </c>
      <c r="B469" s="13" t="str">
        <f>IF(IFERROR(MATCH(453,ChqRankU,0),0)=0,"",INDEX(ChqNorm,IFERROR(MATCH(453,ChqRankU,0),0)))</f>
        <v/>
      </c>
      <c r="C469" s="13" t="str">
        <f>IF(IFERROR(MATCH(453,ChqRankU,0),0)=0,"",INDEX(ChqNo,IFERROR(MATCH(453,ChqRankU,0),0)))</f>
        <v/>
      </c>
      <c r="D469" s="14" t="str">
        <f>IF(IFERROR(MATCH(453,ChqRankU,0),0)=0,"",IF(INDEX(ChqAmt,IFERROR(MATCH(453,ChqRankU,0),0))=0,"",INDEX(ChqAmt,IFERROR(MATCH(453,ChqRankU,0),0))))</f>
        <v/>
      </c>
      <c r="E469" s="7" t="str">
        <f>IF(IFERROR(MATCH(453,ChqRankU,0),0)=0,"",INDEX(ChqStatus,IFERROR(MATCH(453,ChqRankU,0),0)))</f>
        <v/>
      </c>
      <c r="F469" s="13" t="str">
        <f>IF(IFERROR(MATCH(453,ChqRankU,0),0)=0,"",IF(INDEX(ChqStatus,IFERROR(MATCH(453,ChqRankU,0),0))="پاس نشده","—",IF(INDEX(ChqClr,IFERROR(MATCH(453,ChqRankU,0),0))="","—",INDEX(ChqClr,IFERROR(MATCH(453,ChqRankU,0),0)))))</f>
        <v/>
      </c>
      <c r="I469" t="str">
        <f>IF(453&gt;NChq,"",INDEX(ChqNorm,453))</f>
        <v/>
      </c>
      <c r="J469" t="str">
        <f>IF($I469="","",IF(AND($I469&gt;=$H$3,$I469&lt;=$H$4,INDEX(ChqStatus,453)="پاس نشده"),1,0))</f>
        <v/>
      </c>
      <c r="K469" t="str">
        <f>IF($J469=0,"",INDEX(ChqKey,453))</f>
        <v/>
      </c>
      <c r="L469" t="str">
        <f t="shared" si="7"/>
        <v/>
      </c>
    </row>
    <row r="470" spans="1:12" x14ac:dyDescent="0.2">
      <c r="A470" s="9" t="str">
        <f>IF(IFERROR(MATCH(454,ChqRankU,0),0)=0,"",454)</f>
        <v/>
      </c>
      <c r="B470" s="15" t="str">
        <f>IF(IFERROR(MATCH(454,ChqRankU,0),0)=0,"",INDEX(ChqNorm,IFERROR(MATCH(454,ChqRankU,0),0)))</f>
        <v/>
      </c>
      <c r="C470" s="15" t="str">
        <f>IF(IFERROR(MATCH(454,ChqRankU,0),0)=0,"",INDEX(ChqNo,IFERROR(MATCH(454,ChqRankU,0),0)))</f>
        <v/>
      </c>
      <c r="D470" s="16" t="str">
        <f>IF(IFERROR(MATCH(454,ChqRankU,0),0)=0,"",IF(INDEX(ChqAmt,IFERROR(MATCH(454,ChqRankU,0),0))=0,"",INDEX(ChqAmt,IFERROR(MATCH(454,ChqRankU,0),0))))</f>
        <v/>
      </c>
      <c r="E470" s="10" t="str">
        <f>IF(IFERROR(MATCH(454,ChqRankU,0),0)=0,"",INDEX(ChqStatus,IFERROR(MATCH(454,ChqRankU,0),0)))</f>
        <v/>
      </c>
      <c r="F470" s="15" t="str">
        <f>IF(IFERROR(MATCH(454,ChqRankU,0),0)=0,"",IF(INDEX(ChqStatus,IFERROR(MATCH(454,ChqRankU,0),0))="پاس نشده","—",IF(INDEX(ChqClr,IFERROR(MATCH(454,ChqRankU,0),0))="","—",INDEX(ChqClr,IFERROR(MATCH(454,ChqRankU,0),0)))))</f>
        <v/>
      </c>
      <c r="I470" t="str">
        <f>IF(454&gt;NChq,"",INDEX(ChqNorm,454))</f>
        <v/>
      </c>
      <c r="J470" t="str">
        <f>IF($I470="","",IF(AND($I470&gt;=$H$3,$I470&lt;=$H$4,INDEX(ChqStatus,454)="پاس نشده"),1,0))</f>
        <v/>
      </c>
      <c r="K470" t="str">
        <f>IF($J470=0,"",INDEX(ChqKey,454))</f>
        <v/>
      </c>
      <c r="L470" t="str">
        <f t="shared" si="7"/>
        <v/>
      </c>
    </row>
    <row r="471" spans="1:12" x14ac:dyDescent="0.2">
      <c r="A471" s="3" t="str">
        <f>IF(IFERROR(MATCH(455,ChqRankU,0),0)=0,"",455)</f>
        <v/>
      </c>
      <c r="B471" s="13" t="str">
        <f>IF(IFERROR(MATCH(455,ChqRankU,0),0)=0,"",INDEX(ChqNorm,IFERROR(MATCH(455,ChqRankU,0),0)))</f>
        <v/>
      </c>
      <c r="C471" s="13" t="str">
        <f>IF(IFERROR(MATCH(455,ChqRankU,0),0)=0,"",INDEX(ChqNo,IFERROR(MATCH(455,ChqRankU,0),0)))</f>
        <v/>
      </c>
      <c r="D471" s="14" t="str">
        <f>IF(IFERROR(MATCH(455,ChqRankU,0),0)=0,"",IF(INDEX(ChqAmt,IFERROR(MATCH(455,ChqRankU,0),0))=0,"",INDEX(ChqAmt,IFERROR(MATCH(455,ChqRankU,0),0))))</f>
        <v/>
      </c>
      <c r="E471" s="7" t="str">
        <f>IF(IFERROR(MATCH(455,ChqRankU,0),0)=0,"",INDEX(ChqStatus,IFERROR(MATCH(455,ChqRankU,0),0)))</f>
        <v/>
      </c>
      <c r="F471" s="13" t="str">
        <f>IF(IFERROR(MATCH(455,ChqRankU,0),0)=0,"",IF(INDEX(ChqStatus,IFERROR(MATCH(455,ChqRankU,0),0))="پاس نشده","—",IF(INDEX(ChqClr,IFERROR(MATCH(455,ChqRankU,0),0))="","—",INDEX(ChqClr,IFERROR(MATCH(455,ChqRankU,0),0)))))</f>
        <v/>
      </c>
      <c r="I471" t="str">
        <f>IF(455&gt;NChq,"",INDEX(ChqNorm,455))</f>
        <v/>
      </c>
      <c r="J471" t="str">
        <f>IF($I471="","",IF(AND($I471&gt;=$H$3,$I471&lt;=$H$4,INDEX(ChqStatus,455)="پاس نشده"),1,0))</f>
        <v/>
      </c>
      <c r="K471" t="str">
        <f>IF($J471=0,"",INDEX(ChqKey,455))</f>
        <v/>
      </c>
      <c r="L471" t="str">
        <f t="shared" si="7"/>
        <v/>
      </c>
    </row>
    <row r="472" spans="1:12" x14ac:dyDescent="0.2">
      <c r="A472" s="9" t="str">
        <f>IF(IFERROR(MATCH(456,ChqRankU,0),0)=0,"",456)</f>
        <v/>
      </c>
      <c r="B472" s="15" t="str">
        <f>IF(IFERROR(MATCH(456,ChqRankU,0),0)=0,"",INDEX(ChqNorm,IFERROR(MATCH(456,ChqRankU,0),0)))</f>
        <v/>
      </c>
      <c r="C472" s="15" t="str">
        <f>IF(IFERROR(MATCH(456,ChqRankU,0),0)=0,"",INDEX(ChqNo,IFERROR(MATCH(456,ChqRankU,0),0)))</f>
        <v/>
      </c>
      <c r="D472" s="16" t="str">
        <f>IF(IFERROR(MATCH(456,ChqRankU,0),0)=0,"",IF(INDEX(ChqAmt,IFERROR(MATCH(456,ChqRankU,0),0))=0,"",INDEX(ChqAmt,IFERROR(MATCH(456,ChqRankU,0),0))))</f>
        <v/>
      </c>
      <c r="E472" s="10" t="str">
        <f>IF(IFERROR(MATCH(456,ChqRankU,0),0)=0,"",INDEX(ChqStatus,IFERROR(MATCH(456,ChqRankU,0),0)))</f>
        <v/>
      </c>
      <c r="F472" s="15" t="str">
        <f>IF(IFERROR(MATCH(456,ChqRankU,0),0)=0,"",IF(INDEX(ChqStatus,IFERROR(MATCH(456,ChqRankU,0),0))="پاس نشده","—",IF(INDEX(ChqClr,IFERROR(MATCH(456,ChqRankU,0),0))="","—",INDEX(ChqClr,IFERROR(MATCH(456,ChqRankU,0),0)))))</f>
        <v/>
      </c>
      <c r="I472" t="str">
        <f>IF(456&gt;NChq,"",INDEX(ChqNorm,456))</f>
        <v/>
      </c>
      <c r="J472" t="str">
        <f>IF($I472="","",IF(AND($I472&gt;=$H$3,$I472&lt;=$H$4,INDEX(ChqStatus,456)="پاس نشده"),1,0))</f>
        <v/>
      </c>
      <c r="K472" t="str">
        <f>IF($J472=0,"",INDEX(ChqKey,456))</f>
        <v/>
      </c>
      <c r="L472" t="str">
        <f t="shared" si="7"/>
        <v/>
      </c>
    </row>
    <row r="473" spans="1:12" x14ac:dyDescent="0.2">
      <c r="A473" s="3" t="str">
        <f>IF(IFERROR(MATCH(457,ChqRankU,0),0)=0,"",457)</f>
        <v/>
      </c>
      <c r="B473" s="13" t="str">
        <f>IF(IFERROR(MATCH(457,ChqRankU,0),0)=0,"",INDEX(ChqNorm,IFERROR(MATCH(457,ChqRankU,0),0)))</f>
        <v/>
      </c>
      <c r="C473" s="13" t="str">
        <f>IF(IFERROR(MATCH(457,ChqRankU,0),0)=0,"",INDEX(ChqNo,IFERROR(MATCH(457,ChqRankU,0),0)))</f>
        <v/>
      </c>
      <c r="D473" s="14" t="str">
        <f>IF(IFERROR(MATCH(457,ChqRankU,0),0)=0,"",IF(INDEX(ChqAmt,IFERROR(MATCH(457,ChqRankU,0),0))=0,"",INDEX(ChqAmt,IFERROR(MATCH(457,ChqRankU,0),0))))</f>
        <v/>
      </c>
      <c r="E473" s="7" t="str">
        <f>IF(IFERROR(MATCH(457,ChqRankU,0),0)=0,"",INDEX(ChqStatus,IFERROR(MATCH(457,ChqRankU,0),0)))</f>
        <v/>
      </c>
      <c r="F473" s="13" t="str">
        <f>IF(IFERROR(MATCH(457,ChqRankU,0),0)=0,"",IF(INDEX(ChqStatus,IFERROR(MATCH(457,ChqRankU,0),0))="پاس نشده","—",IF(INDEX(ChqClr,IFERROR(MATCH(457,ChqRankU,0),0))="","—",INDEX(ChqClr,IFERROR(MATCH(457,ChqRankU,0),0)))))</f>
        <v/>
      </c>
      <c r="I473" t="str">
        <f>IF(457&gt;NChq,"",INDEX(ChqNorm,457))</f>
        <v/>
      </c>
      <c r="J473" t="str">
        <f>IF($I473="","",IF(AND($I473&gt;=$H$3,$I473&lt;=$H$4,INDEX(ChqStatus,457)="پاس نشده"),1,0))</f>
        <v/>
      </c>
      <c r="K473" t="str">
        <f>IF($J473=0,"",INDEX(ChqKey,457))</f>
        <v/>
      </c>
      <c r="L473" t="str">
        <f t="shared" si="7"/>
        <v/>
      </c>
    </row>
    <row r="474" spans="1:12" x14ac:dyDescent="0.2">
      <c r="A474" s="9" t="str">
        <f>IF(IFERROR(MATCH(458,ChqRankU,0),0)=0,"",458)</f>
        <v/>
      </c>
      <c r="B474" s="15" t="str">
        <f>IF(IFERROR(MATCH(458,ChqRankU,0),0)=0,"",INDEX(ChqNorm,IFERROR(MATCH(458,ChqRankU,0),0)))</f>
        <v/>
      </c>
      <c r="C474" s="15" t="str">
        <f>IF(IFERROR(MATCH(458,ChqRankU,0),0)=0,"",INDEX(ChqNo,IFERROR(MATCH(458,ChqRankU,0),0)))</f>
        <v/>
      </c>
      <c r="D474" s="16" t="str">
        <f>IF(IFERROR(MATCH(458,ChqRankU,0),0)=0,"",IF(INDEX(ChqAmt,IFERROR(MATCH(458,ChqRankU,0),0))=0,"",INDEX(ChqAmt,IFERROR(MATCH(458,ChqRankU,0),0))))</f>
        <v/>
      </c>
      <c r="E474" s="10" t="str">
        <f>IF(IFERROR(MATCH(458,ChqRankU,0),0)=0,"",INDEX(ChqStatus,IFERROR(MATCH(458,ChqRankU,0),0)))</f>
        <v/>
      </c>
      <c r="F474" s="15" t="str">
        <f>IF(IFERROR(MATCH(458,ChqRankU,0),0)=0,"",IF(INDEX(ChqStatus,IFERROR(MATCH(458,ChqRankU,0),0))="پاس نشده","—",IF(INDEX(ChqClr,IFERROR(MATCH(458,ChqRankU,0),0))="","—",INDEX(ChqClr,IFERROR(MATCH(458,ChqRankU,0),0)))))</f>
        <v/>
      </c>
      <c r="I474" t="str">
        <f>IF(458&gt;NChq,"",INDEX(ChqNorm,458))</f>
        <v/>
      </c>
      <c r="J474" t="str">
        <f>IF($I474="","",IF(AND($I474&gt;=$H$3,$I474&lt;=$H$4,INDEX(ChqStatus,458)="پاس نشده"),1,0))</f>
        <v/>
      </c>
      <c r="K474" t="str">
        <f>IF($J474=0,"",INDEX(ChqKey,458))</f>
        <v/>
      </c>
      <c r="L474" t="str">
        <f t="shared" si="7"/>
        <v/>
      </c>
    </row>
    <row r="475" spans="1:12" x14ac:dyDescent="0.2">
      <c r="A475" s="3" t="str">
        <f>IF(IFERROR(MATCH(459,ChqRankU,0),0)=0,"",459)</f>
        <v/>
      </c>
      <c r="B475" s="13" t="str">
        <f>IF(IFERROR(MATCH(459,ChqRankU,0),0)=0,"",INDEX(ChqNorm,IFERROR(MATCH(459,ChqRankU,0),0)))</f>
        <v/>
      </c>
      <c r="C475" s="13" t="str">
        <f>IF(IFERROR(MATCH(459,ChqRankU,0),0)=0,"",INDEX(ChqNo,IFERROR(MATCH(459,ChqRankU,0),0)))</f>
        <v/>
      </c>
      <c r="D475" s="14" t="str">
        <f>IF(IFERROR(MATCH(459,ChqRankU,0),0)=0,"",IF(INDEX(ChqAmt,IFERROR(MATCH(459,ChqRankU,0),0))=0,"",INDEX(ChqAmt,IFERROR(MATCH(459,ChqRankU,0),0))))</f>
        <v/>
      </c>
      <c r="E475" s="7" t="str">
        <f>IF(IFERROR(MATCH(459,ChqRankU,0),0)=0,"",INDEX(ChqStatus,IFERROR(MATCH(459,ChqRankU,0),0)))</f>
        <v/>
      </c>
      <c r="F475" s="13" t="str">
        <f>IF(IFERROR(MATCH(459,ChqRankU,0),0)=0,"",IF(INDEX(ChqStatus,IFERROR(MATCH(459,ChqRankU,0),0))="پاس نشده","—",IF(INDEX(ChqClr,IFERROR(MATCH(459,ChqRankU,0),0))="","—",INDEX(ChqClr,IFERROR(MATCH(459,ChqRankU,0),0)))))</f>
        <v/>
      </c>
      <c r="I475" t="str">
        <f>IF(459&gt;NChq,"",INDEX(ChqNorm,459))</f>
        <v/>
      </c>
      <c r="J475" t="str">
        <f>IF($I475="","",IF(AND($I475&gt;=$H$3,$I475&lt;=$H$4,INDEX(ChqStatus,459)="پاس نشده"),1,0))</f>
        <v/>
      </c>
      <c r="K475" t="str">
        <f>IF($J475=0,"",INDEX(ChqKey,459))</f>
        <v/>
      </c>
      <c r="L475" t="str">
        <f t="shared" si="7"/>
        <v/>
      </c>
    </row>
    <row r="476" spans="1:12" x14ac:dyDescent="0.2">
      <c r="A476" s="9" t="str">
        <f>IF(IFERROR(MATCH(460,ChqRankU,0),0)=0,"",460)</f>
        <v/>
      </c>
      <c r="B476" s="15" t="str">
        <f>IF(IFERROR(MATCH(460,ChqRankU,0),0)=0,"",INDEX(ChqNorm,IFERROR(MATCH(460,ChqRankU,0),0)))</f>
        <v/>
      </c>
      <c r="C476" s="15" t="str">
        <f>IF(IFERROR(MATCH(460,ChqRankU,0),0)=0,"",INDEX(ChqNo,IFERROR(MATCH(460,ChqRankU,0),0)))</f>
        <v/>
      </c>
      <c r="D476" s="16" t="str">
        <f>IF(IFERROR(MATCH(460,ChqRankU,0),0)=0,"",IF(INDEX(ChqAmt,IFERROR(MATCH(460,ChqRankU,0),0))=0,"",INDEX(ChqAmt,IFERROR(MATCH(460,ChqRankU,0),0))))</f>
        <v/>
      </c>
      <c r="E476" s="10" t="str">
        <f>IF(IFERROR(MATCH(460,ChqRankU,0),0)=0,"",INDEX(ChqStatus,IFERROR(MATCH(460,ChqRankU,0),0)))</f>
        <v/>
      </c>
      <c r="F476" s="15" t="str">
        <f>IF(IFERROR(MATCH(460,ChqRankU,0),0)=0,"",IF(INDEX(ChqStatus,IFERROR(MATCH(460,ChqRankU,0),0))="پاس نشده","—",IF(INDEX(ChqClr,IFERROR(MATCH(460,ChqRankU,0),0))="","—",INDEX(ChqClr,IFERROR(MATCH(460,ChqRankU,0),0)))))</f>
        <v/>
      </c>
      <c r="I476" t="str">
        <f>IF(460&gt;NChq,"",INDEX(ChqNorm,460))</f>
        <v/>
      </c>
      <c r="J476" t="str">
        <f>IF($I476="","",IF(AND($I476&gt;=$H$3,$I476&lt;=$H$4,INDEX(ChqStatus,460)="پاس نشده"),1,0))</f>
        <v/>
      </c>
      <c r="K476" t="str">
        <f>IF($J476=0,"",INDEX(ChqKey,460))</f>
        <v/>
      </c>
      <c r="L476" t="str">
        <f t="shared" si="7"/>
        <v/>
      </c>
    </row>
    <row r="477" spans="1:12" x14ac:dyDescent="0.2">
      <c r="A477" s="3" t="str">
        <f>IF(IFERROR(MATCH(461,ChqRankU,0),0)=0,"",461)</f>
        <v/>
      </c>
      <c r="B477" s="13" t="str">
        <f>IF(IFERROR(MATCH(461,ChqRankU,0),0)=0,"",INDEX(ChqNorm,IFERROR(MATCH(461,ChqRankU,0),0)))</f>
        <v/>
      </c>
      <c r="C477" s="13" t="str">
        <f>IF(IFERROR(MATCH(461,ChqRankU,0),0)=0,"",INDEX(ChqNo,IFERROR(MATCH(461,ChqRankU,0),0)))</f>
        <v/>
      </c>
      <c r="D477" s="14" t="str">
        <f>IF(IFERROR(MATCH(461,ChqRankU,0),0)=0,"",IF(INDEX(ChqAmt,IFERROR(MATCH(461,ChqRankU,0),0))=0,"",INDEX(ChqAmt,IFERROR(MATCH(461,ChqRankU,0),0))))</f>
        <v/>
      </c>
      <c r="E477" s="7" t="str">
        <f>IF(IFERROR(MATCH(461,ChqRankU,0),0)=0,"",INDEX(ChqStatus,IFERROR(MATCH(461,ChqRankU,0),0)))</f>
        <v/>
      </c>
      <c r="F477" s="13" t="str">
        <f>IF(IFERROR(MATCH(461,ChqRankU,0),0)=0,"",IF(INDEX(ChqStatus,IFERROR(MATCH(461,ChqRankU,0),0))="پاس نشده","—",IF(INDEX(ChqClr,IFERROR(MATCH(461,ChqRankU,0),0))="","—",INDEX(ChqClr,IFERROR(MATCH(461,ChqRankU,0),0)))))</f>
        <v/>
      </c>
      <c r="I477" t="str">
        <f>IF(461&gt;NChq,"",INDEX(ChqNorm,461))</f>
        <v/>
      </c>
      <c r="J477" t="str">
        <f>IF($I477="","",IF(AND($I477&gt;=$H$3,$I477&lt;=$H$4,INDEX(ChqStatus,461)="پاس نشده"),1,0))</f>
        <v/>
      </c>
      <c r="K477" t="str">
        <f>IF($J477=0,"",INDEX(ChqKey,461))</f>
        <v/>
      </c>
      <c r="L477" t="str">
        <f t="shared" si="7"/>
        <v/>
      </c>
    </row>
    <row r="478" spans="1:12" x14ac:dyDescent="0.2">
      <c r="A478" s="9" t="str">
        <f>IF(IFERROR(MATCH(462,ChqRankU,0),0)=0,"",462)</f>
        <v/>
      </c>
      <c r="B478" s="15" t="str">
        <f>IF(IFERROR(MATCH(462,ChqRankU,0),0)=0,"",INDEX(ChqNorm,IFERROR(MATCH(462,ChqRankU,0),0)))</f>
        <v/>
      </c>
      <c r="C478" s="15" t="str">
        <f>IF(IFERROR(MATCH(462,ChqRankU,0),0)=0,"",INDEX(ChqNo,IFERROR(MATCH(462,ChqRankU,0),0)))</f>
        <v/>
      </c>
      <c r="D478" s="16" t="str">
        <f>IF(IFERROR(MATCH(462,ChqRankU,0),0)=0,"",IF(INDEX(ChqAmt,IFERROR(MATCH(462,ChqRankU,0),0))=0,"",INDEX(ChqAmt,IFERROR(MATCH(462,ChqRankU,0),0))))</f>
        <v/>
      </c>
      <c r="E478" s="10" t="str">
        <f>IF(IFERROR(MATCH(462,ChqRankU,0),0)=0,"",INDEX(ChqStatus,IFERROR(MATCH(462,ChqRankU,0),0)))</f>
        <v/>
      </c>
      <c r="F478" s="15" t="str">
        <f>IF(IFERROR(MATCH(462,ChqRankU,0),0)=0,"",IF(INDEX(ChqStatus,IFERROR(MATCH(462,ChqRankU,0),0))="پاس نشده","—",IF(INDEX(ChqClr,IFERROR(MATCH(462,ChqRankU,0),0))="","—",INDEX(ChqClr,IFERROR(MATCH(462,ChqRankU,0),0)))))</f>
        <v/>
      </c>
      <c r="I478" t="str">
        <f>IF(462&gt;NChq,"",INDEX(ChqNorm,462))</f>
        <v/>
      </c>
      <c r="J478" t="str">
        <f>IF($I478="","",IF(AND($I478&gt;=$H$3,$I478&lt;=$H$4,INDEX(ChqStatus,462)="پاس نشده"),1,0))</f>
        <v/>
      </c>
      <c r="K478" t="str">
        <f>IF($J478=0,"",INDEX(ChqKey,462))</f>
        <v/>
      </c>
      <c r="L478" t="str">
        <f t="shared" si="7"/>
        <v/>
      </c>
    </row>
    <row r="479" spans="1:12" x14ac:dyDescent="0.2">
      <c r="A479" s="3" t="str">
        <f>IF(IFERROR(MATCH(463,ChqRankU,0),0)=0,"",463)</f>
        <v/>
      </c>
      <c r="B479" s="13" t="str">
        <f>IF(IFERROR(MATCH(463,ChqRankU,0),0)=0,"",INDEX(ChqNorm,IFERROR(MATCH(463,ChqRankU,0),0)))</f>
        <v/>
      </c>
      <c r="C479" s="13" t="str">
        <f>IF(IFERROR(MATCH(463,ChqRankU,0),0)=0,"",INDEX(ChqNo,IFERROR(MATCH(463,ChqRankU,0),0)))</f>
        <v/>
      </c>
      <c r="D479" s="14" t="str">
        <f>IF(IFERROR(MATCH(463,ChqRankU,0),0)=0,"",IF(INDEX(ChqAmt,IFERROR(MATCH(463,ChqRankU,0),0))=0,"",INDEX(ChqAmt,IFERROR(MATCH(463,ChqRankU,0),0))))</f>
        <v/>
      </c>
      <c r="E479" s="7" t="str">
        <f>IF(IFERROR(MATCH(463,ChqRankU,0),0)=0,"",INDEX(ChqStatus,IFERROR(MATCH(463,ChqRankU,0),0)))</f>
        <v/>
      </c>
      <c r="F479" s="13" t="str">
        <f>IF(IFERROR(MATCH(463,ChqRankU,0),0)=0,"",IF(INDEX(ChqStatus,IFERROR(MATCH(463,ChqRankU,0),0))="پاس نشده","—",IF(INDEX(ChqClr,IFERROR(MATCH(463,ChqRankU,0),0))="","—",INDEX(ChqClr,IFERROR(MATCH(463,ChqRankU,0),0)))))</f>
        <v/>
      </c>
      <c r="I479" t="str">
        <f>IF(463&gt;NChq,"",INDEX(ChqNorm,463))</f>
        <v/>
      </c>
      <c r="J479" t="str">
        <f>IF($I479="","",IF(AND($I479&gt;=$H$3,$I479&lt;=$H$4,INDEX(ChqStatus,463)="پاس نشده"),1,0))</f>
        <v/>
      </c>
      <c r="K479" t="str">
        <f>IF($J479=0,"",INDEX(ChqKey,463))</f>
        <v/>
      </c>
      <c r="L479" t="str">
        <f t="shared" si="7"/>
        <v/>
      </c>
    </row>
    <row r="480" spans="1:12" x14ac:dyDescent="0.2">
      <c r="A480" s="9" t="str">
        <f>IF(IFERROR(MATCH(464,ChqRankU,0),0)=0,"",464)</f>
        <v/>
      </c>
      <c r="B480" s="15" t="str">
        <f>IF(IFERROR(MATCH(464,ChqRankU,0),0)=0,"",INDEX(ChqNorm,IFERROR(MATCH(464,ChqRankU,0),0)))</f>
        <v/>
      </c>
      <c r="C480" s="15" t="str">
        <f>IF(IFERROR(MATCH(464,ChqRankU,0),0)=0,"",INDEX(ChqNo,IFERROR(MATCH(464,ChqRankU,0),0)))</f>
        <v/>
      </c>
      <c r="D480" s="16" t="str">
        <f>IF(IFERROR(MATCH(464,ChqRankU,0),0)=0,"",IF(INDEX(ChqAmt,IFERROR(MATCH(464,ChqRankU,0),0))=0,"",INDEX(ChqAmt,IFERROR(MATCH(464,ChqRankU,0),0))))</f>
        <v/>
      </c>
      <c r="E480" s="10" t="str">
        <f>IF(IFERROR(MATCH(464,ChqRankU,0),0)=0,"",INDEX(ChqStatus,IFERROR(MATCH(464,ChqRankU,0),0)))</f>
        <v/>
      </c>
      <c r="F480" s="15" t="str">
        <f>IF(IFERROR(MATCH(464,ChqRankU,0),0)=0,"",IF(INDEX(ChqStatus,IFERROR(MATCH(464,ChqRankU,0),0))="پاس نشده","—",IF(INDEX(ChqClr,IFERROR(MATCH(464,ChqRankU,0),0))="","—",INDEX(ChqClr,IFERROR(MATCH(464,ChqRankU,0),0)))))</f>
        <v/>
      </c>
      <c r="I480" t="str">
        <f>IF(464&gt;NChq,"",INDEX(ChqNorm,464))</f>
        <v/>
      </c>
      <c r="J480" t="str">
        <f>IF($I480="","",IF(AND($I480&gt;=$H$3,$I480&lt;=$H$4,INDEX(ChqStatus,464)="پاس نشده"),1,0))</f>
        <v/>
      </c>
      <c r="K480" t="str">
        <f>IF($J480=0,"",INDEX(ChqKey,464))</f>
        <v/>
      </c>
      <c r="L480" t="str">
        <f t="shared" si="7"/>
        <v/>
      </c>
    </row>
    <row r="481" spans="1:12" x14ac:dyDescent="0.2">
      <c r="A481" s="3" t="str">
        <f>IF(IFERROR(MATCH(465,ChqRankU,0),0)=0,"",465)</f>
        <v/>
      </c>
      <c r="B481" s="13" t="str">
        <f>IF(IFERROR(MATCH(465,ChqRankU,0),0)=0,"",INDEX(ChqNorm,IFERROR(MATCH(465,ChqRankU,0),0)))</f>
        <v/>
      </c>
      <c r="C481" s="13" t="str">
        <f>IF(IFERROR(MATCH(465,ChqRankU,0),0)=0,"",INDEX(ChqNo,IFERROR(MATCH(465,ChqRankU,0),0)))</f>
        <v/>
      </c>
      <c r="D481" s="14" t="str">
        <f>IF(IFERROR(MATCH(465,ChqRankU,0),0)=0,"",IF(INDEX(ChqAmt,IFERROR(MATCH(465,ChqRankU,0),0))=0,"",INDEX(ChqAmt,IFERROR(MATCH(465,ChqRankU,0),0))))</f>
        <v/>
      </c>
      <c r="E481" s="7" t="str">
        <f>IF(IFERROR(MATCH(465,ChqRankU,0),0)=0,"",INDEX(ChqStatus,IFERROR(MATCH(465,ChqRankU,0),0)))</f>
        <v/>
      </c>
      <c r="F481" s="13" t="str">
        <f>IF(IFERROR(MATCH(465,ChqRankU,0),0)=0,"",IF(INDEX(ChqStatus,IFERROR(MATCH(465,ChqRankU,0),0))="پاس نشده","—",IF(INDEX(ChqClr,IFERROR(MATCH(465,ChqRankU,0),0))="","—",INDEX(ChqClr,IFERROR(MATCH(465,ChqRankU,0),0)))))</f>
        <v/>
      </c>
      <c r="I481" t="str">
        <f>IF(465&gt;NChq,"",INDEX(ChqNorm,465))</f>
        <v/>
      </c>
      <c r="J481" t="str">
        <f>IF($I481="","",IF(AND($I481&gt;=$H$3,$I481&lt;=$H$4,INDEX(ChqStatus,465)="پاس نشده"),1,0))</f>
        <v/>
      </c>
      <c r="K481" t="str">
        <f>IF($J481=0,"",INDEX(ChqKey,465))</f>
        <v/>
      </c>
      <c r="L481" t="str">
        <f t="shared" si="7"/>
        <v/>
      </c>
    </row>
    <row r="482" spans="1:12" x14ac:dyDescent="0.2">
      <c r="A482" s="9" t="str">
        <f>IF(IFERROR(MATCH(466,ChqRankU,0),0)=0,"",466)</f>
        <v/>
      </c>
      <c r="B482" s="15" t="str">
        <f>IF(IFERROR(MATCH(466,ChqRankU,0),0)=0,"",INDEX(ChqNorm,IFERROR(MATCH(466,ChqRankU,0),0)))</f>
        <v/>
      </c>
      <c r="C482" s="15" t="str">
        <f>IF(IFERROR(MATCH(466,ChqRankU,0),0)=0,"",INDEX(ChqNo,IFERROR(MATCH(466,ChqRankU,0),0)))</f>
        <v/>
      </c>
      <c r="D482" s="16" t="str">
        <f>IF(IFERROR(MATCH(466,ChqRankU,0),0)=0,"",IF(INDEX(ChqAmt,IFERROR(MATCH(466,ChqRankU,0),0))=0,"",INDEX(ChqAmt,IFERROR(MATCH(466,ChqRankU,0),0))))</f>
        <v/>
      </c>
      <c r="E482" s="10" t="str">
        <f>IF(IFERROR(MATCH(466,ChqRankU,0),0)=0,"",INDEX(ChqStatus,IFERROR(MATCH(466,ChqRankU,0),0)))</f>
        <v/>
      </c>
      <c r="F482" s="15" t="str">
        <f>IF(IFERROR(MATCH(466,ChqRankU,0),0)=0,"",IF(INDEX(ChqStatus,IFERROR(MATCH(466,ChqRankU,0),0))="پاس نشده","—",IF(INDEX(ChqClr,IFERROR(MATCH(466,ChqRankU,0),0))="","—",INDEX(ChqClr,IFERROR(MATCH(466,ChqRankU,0),0)))))</f>
        <v/>
      </c>
      <c r="I482" t="str">
        <f>IF(466&gt;NChq,"",INDEX(ChqNorm,466))</f>
        <v/>
      </c>
      <c r="J482" t="str">
        <f>IF($I482="","",IF(AND($I482&gt;=$H$3,$I482&lt;=$H$4,INDEX(ChqStatus,466)="پاس نشده"),1,0))</f>
        <v/>
      </c>
      <c r="K482" t="str">
        <f>IF($J482=0,"",INDEX(ChqKey,466))</f>
        <v/>
      </c>
      <c r="L482" t="str">
        <f t="shared" si="7"/>
        <v/>
      </c>
    </row>
    <row r="483" spans="1:12" x14ac:dyDescent="0.2">
      <c r="A483" s="3" t="str">
        <f>IF(IFERROR(MATCH(467,ChqRankU,0),0)=0,"",467)</f>
        <v/>
      </c>
      <c r="B483" s="13" t="str">
        <f>IF(IFERROR(MATCH(467,ChqRankU,0),0)=0,"",INDEX(ChqNorm,IFERROR(MATCH(467,ChqRankU,0),0)))</f>
        <v/>
      </c>
      <c r="C483" s="13" t="str">
        <f>IF(IFERROR(MATCH(467,ChqRankU,0),0)=0,"",INDEX(ChqNo,IFERROR(MATCH(467,ChqRankU,0),0)))</f>
        <v/>
      </c>
      <c r="D483" s="14" t="str">
        <f>IF(IFERROR(MATCH(467,ChqRankU,0),0)=0,"",IF(INDEX(ChqAmt,IFERROR(MATCH(467,ChqRankU,0),0))=0,"",INDEX(ChqAmt,IFERROR(MATCH(467,ChqRankU,0),0))))</f>
        <v/>
      </c>
      <c r="E483" s="7" t="str">
        <f>IF(IFERROR(MATCH(467,ChqRankU,0),0)=0,"",INDEX(ChqStatus,IFERROR(MATCH(467,ChqRankU,0),0)))</f>
        <v/>
      </c>
      <c r="F483" s="13" t="str">
        <f>IF(IFERROR(MATCH(467,ChqRankU,0),0)=0,"",IF(INDEX(ChqStatus,IFERROR(MATCH(467,ChqRankU,0),0))="پاس نشده","—",IF(INDEX(ChqClr,IFERROR(MATCH(467,ChqRankU,0),0))="","—",INDEX(ChqClr,IFERROR(MATCH(467,ChqRankU,0),0)))))</f>
        <v/>
      </c>
      <c r="I483" t="str">
        <f>IF(467&gt;NChq,"",INDEX(ChqNorm,467))</f>
        <v/>
      </c>
      <c r="J483" t="str">
        <f>IF($I483="","",IF(AND($I483&gt;=$H$3,$I483&lt;=$H$4,INDEX(ChqStatus,467)="پاس نشده"),1,0))</f>
        <v/>
      </c>
      <c r="K483" t="str">
        <f>IF($J483=0,"",INDEX(ChqKey,467))</f>
        <v/>
      </c>
      <c r="L483" t="str">
        <f t="shared" si="7"/>
        <v/>
      </c>
    </row>
    <row r="484" spans="1:12" x14ac:dyDescent="0.2">
      <c r="A484" s="9" t="str">
        <f>IF(IFERROR(MATCH(468,ChqRankU,0),0)=0,"",468)</f>
        <v/>
      </c>
      <c r="B484" s="15" t="str">
        <f>IF(IFERROR(MATCH(468,ChqRankU,0),0)=0,"",INDEX(ChqNorm,IFERROR(MATCH(468,ChqRankU,0),0)))</f>
        <v/>
      </c>
      <c r="C484" s="15" t="str">
        <f>IF(IFERROR(MATCH(468,ChqRankU,0),0)=0,"",INDEX(ChqNo,IFERROR(MATCH(468,ChqRankU,0),0)))</f>
        <v/>
      </c>
      <c r="D484" s="16" t="str">
        <f>IF(IFERROR(MATCH(468,ChqRankU,0),0)=0,"",IF(INDEX(ChqAmt,IFERROR(MATCH(468,ChqRankU,0),0))=0,"",INDEX(ChqAmt,IFERROR(MATCH(468,ChqRankU,0),0))))</f>
        <v/>
      </c>
      <c r="E484" s="10" t="str">
        <f>IF(IFERROR(MATCH(468,ChqRankU,0),0)=0,"",INDEX(ChqStatus,IFERROR(MATCH(468,ChqRankU,0),0)))</f>
        <v/>
      </c>
      <c r="F484" s="15" t="str">
        <f>IF(IFERROR(MATCH(468,ChqRankU,0),0)=0,"",IF(INDEX(ChqStatus,IFERROR(MATCH(468,ChqRankU,0),0))="پاس نشده","—",IF(INDEX(ChqClr,IFERROR(MATCH(468,ChqRankU,0),0))="","—",INDEX(ChqClr,IFERROR(MATCH(468,ChqRankU,0),0)))))</f>
        <v/>
      </c>
      <c r="I484" t="str">
        <f>IF(468&gt;NChq,"",INDEX(ChqNorm,468))</f>
        <v/>
      </c>
      <c r="J484" t="str">
        <f>IF($I484="","",IF(AND($I484&gt;=$H$3,$I484&lt;=$H$4,INDEX(ChqStatus,468)="پاس نشده"),1,0))</f>
        <v/>
      </c>
      <c r="K484" t="str">
        <f>IF($J484=0,"",INDEX(ChqKey,468))</f>
        <v/>
      </c>
      <c r="L484" t="str">
        <f t="shared" si="7"/>
        <v/>
      </c>
    </row>
    <row r="485" spans="1:12" x14ac:dyDescent="0.2">
      <c r="A485" s="3" t="str">
        <f>IF(IFERROR(MATCH(469,ChqRankU,0),0)=0,"",469)</f>
        <v/>
      </c>
      <c r="B485" s="13" t="str">
        <f>IF(IFERROR(MATCH(469,ChqRankU,0),0)=0,"",INDEX(ChqNorm,IFERROR(MATCH(469,ChqRankU,0),0)))</f>
        <v/>
      </c>
      <c r="C485" s="13" t="str">
        <f>IF(IFERROR(MATCH(469,ChqRankU,0),0)=0,"",INDEX(ChqNo,IFERROR(MATCH(469,ChqRankU,0),0)))</f>
        <v/>
      </c>
      <c r="D485" s="14" t="str">
        <f>IF(IFERROR(MATCH(469,ChqRankU,0),0)=0,"",IF(INDEX(ChqAmt,IFERROR(MATCH(469,ChqRankU,0),0))=0,"",INDEX(ChqAmt,IFERROR(MATCH(469,ChqRankU,0),0))))</f>
        <v/>
      </c>
      <c r="E485" s="7" t="str">
        <f>IF(IFERROR(MATCH(469,ChqRankU,0),0)=0,"",INDEX(ChqStatus,IFERROR(MATCH(469,ChqRankU,0),0)))</f>
        <v/>
      </c>
      <c r="F485" s="13" t="str">
        <f>IF(IFERROR(MATCH(469,ChqRankU,0),0)=0,"",IF(INDEX(ChqStatus,IFERROR(MATCH(469,ChqRankU,0),0))="پاس نشده","—",IF(INDEX(ChqClr,IFERROR(MATCH(469,ChqRankU,0),0))="","—",INDEX(ChqClr,IFERROR(MATCH(469,ChqRankU,0),0)))))</f>
        <v/>
      </c>
      <c r="I485" t="str">
        <f>IF(469&gt;NChq,"",INDEX(ChqNorm,469))</f>
        <v/>
      </c>
      <c r="J485" t="str">
        <f>IF($I485="","",IF(AND($I485&gt;=$H$3,$I485&lt;=$H$4,INDEX(ChqStatus,469)="پاس نشده"),1,0))</f>
        <v/>
      </c>
      <c r="K485" t="str">
        <f>IF($J485=0,"",INDEX(ChqKey,469))</f>
        <v/>
      </c>
      <c r="L485" t="str">
        <f t="shared" si="7"/>
        <v/>
      </c>
    </row>
    <row r="486" spans="1:12" x14ac:dyDescent="0.2">
      <c r="A486" s="9" t="str">
        <f>IF(IFERROR(MATCH(470,ChqRankU,0),0)=0,"",470)</f>
        <v/>
      </c>
      <c r="B486" s="15" t="str">
        <f>IF(IFERROR(MATCH(470,ChqRankU,0),0)=0,"",INDEX(ChqNorm,IFERROR(MATCH(470,ChqRankU,0),0)))</f>
        <v/>
      </c>
      <c r="C486" s="15" t="str">
        <f>IF(IFERROR(MATCH(470,ChqRankU,0),0)=0,"",INDEX(ChqNo,IFERROR(MATCH(470,ChqRankU,0),0)))</f>
        <v/>
      </c>
      <c r="D486" s="16" t="str">
        <f>IF(IFERROR(MATCH(470,ChqRankU,0),0)=0,"",IF(INDEX(ChqAmt,IFERROR(MATCH(470,ChqRankU,0),0))=0,"",INDEX(ChqAmt,IFERROR(MATCH(470,ChqRankU,0),0))))</f>
        <v/>
      </c>
      <c r="E486" s="10" t="str">
        <f>IF(IFERROR(MATCH(470,ChqRankU,0),0)=0,"",INDEX(ChqStatus,IFERROR(MATCH(470,ChqRankU,0),0)))</f>
        <v/>
      </c>
      <c r="F486" s="15" t="str">
        <f>IF(IFERROR(MATCH(470,ChqRankU,0),0)=0,"",IF(INDEX(ChqStatus,IFERROR(MATCH(470,ChqRankU,0),0))="پاس نشده","—",IF(INDEX(ChqClr,IFERROR(MATCH(470,ChqRankU,0),0))="","—",INDEX(ChqClr,IFERROR(MATCH(470,ChqRankU,0),0)))))</f>
        <v/>
      </c>
      <c r="I486" t="str">
        <f>IF(470&gt;NChq,"",INDEX(ChqNorm,470))</f>
        <v/>
      </c>
      <c r="J486" t="str">
        <f>IF($I486="","",IF(AND($I486&gt;=$H$3,$I486&lt;=$H$4,INDEX(ChqStatus,470)="پاس نشده"),1,0))</f>
        <v/>
      </c>
      <c r="K486" t="str">
        <f>IF($J486=0,"",INDEX(ChqKey,470))</f>
        <v/>
      </c>
      <c r="L486" t="str">
        <f t="shared" si="7"/>
        <v/>
      </c>
    </row>
    <row r="487" spans="1:12" x14ac:dyDescent="0.2">
      <c r="A487" s="3" t="str">
        <f>IF(IFERROR(MATCH(471,ChqRankU,0),0)=0,"",471)</f>
        <v/>
      </c>
      <c r="B487" s="13" t="str">
        <f>IF(IFERROR(MATCH(471,ChqRankU,0),0)=0,"",INDEX(ChqNorm,IFERROR(MATCH(471,ChqRankU,0),0)))</f>
        <v/>
      </c>
      <c r="C487" s="13" t="str">
        <f>IF(IFERROR(MATCH(471,ChqRankU,0),0)=0,"",INDEX(ChqNo,IFERROR(MATCH(471,ChqRankU,0),0)))</f>
        <v/>
      </c>
      <c r="D487" s="14" t="str">
        <f>IF(IFERROR(MATCH(471,ChqRankU,0),0)=0,"",IF(INDEX(ChqAmt,IFERROR(MATCH(471,ChqRankU,0),0))=0,"",INDEX(ChqAmt,IFERROR(MATCH(471,ChqRankU,0),0))))</f>
        <v/>
      </c>
      <c r="E487" s="7" t="str">
        <f>IF(IFERROR(MATCH(471,ChqRankU,0),0)=0,"",INDEX(ChqStatus,IFERROR(MATCH(471,ChqRankU,0),0)))</f>
        <v/>
      </c>
      <c r="F487" s="13" t="str">
        <f>IF(IFERROR(MATCH(471,ChqRankU,0),0)=0,"",IF(INDEX(ChqStatus,IFERROR(MATCH(471,ChqRankU,0),0))="پاس نشده","—",IF(INDEX(ChqClr,IFERROR(MATCH(471,ChqRankU,0),0))="","—",INDEX(ChqClr,IFERROR(MATCH(471,ChqRankU,0),0)))))</f>
        <v/>
      </c>
      <c r="I487" t="str">
        <f>IF(471&gt;NChq,"",INDEX(ChqNorm,471))</f>
        <v/>
      </c>
      <c r="J487" t="str">
        <f>IF($I487="","",IF(AND($I487&gt;=$H$3,$I487&lt;=$H$4,INDEX(ChqStatus,471)="پاس نشده"),1,0))</f>
        <v/>
      </c>
      <c r="K487" t="str">
        <f>IF($J487=0,"",INDEX(ChqKey,471))</f>
        <v/>
      </c>
      <c r="L487" t="str">
        <f t="shared" si="7"/>
        <v/>
      </c>
    </row>
    <row r="488" spans="1:12" x14ac:dyDescent="0.2">
      <c r="A488" s="9" t="str">
        <f>IF(IFERROR(MATCH(472,ChqRankU,0),0)=0,"",472)</f>
        <v/>
      </c>
      <c r="B488" s="15" t="str">
        <f>IF(IFERROR(MATCH(472,ChqRankU,0),0)=0,"",INDEX(ChqNorm,IFERROR(MATCH(472,ChqRankU,0),0)))</f>
        <v/>
      </c>
      <c r="C488" s="15" t="str">
        <f>IF(IFERROR(MATCH(472,ChqRankU,0),0)=0,"",INDEX(ChqNo,IFERROR(MATCH(472,ChqRankU,0),0)))</f>
        <v/>
      </c>
      <c r="D488" s="16" t="str">
        <f>IF(IFERROR(MATCH(472,ChqRankU,0),0)=0,"",IF(INDEX(ChqAmt,IFERROR(MATCH(472,ChqRankU,0),0))=0,"",INDEX(ChqAmt,IFERROR(MATCH(472,ChqRankU,0),0))))</f>
        <v/>
      </c>
      <c r="E488" s="10" t="str">
        <f>IF(IFERROR(MATCH(472,ChqRankU,0),0)=0,"",INDEX(ChqStatus,IFERROR(MATCH(472,ChqRankU,0),0)))</f>
        <v/>
      </c>
      <c r="F488" s="15" t="str">
        <f>IF(IFERROR(MATCH(472,ChqRankU,0),0)=0,"",IF(INDEX(ChqStatus,IFERROR(MATCH(472,ChqRankU,0),0))="پاس نشده","—",IF(INDEX(ChqClr,IFERROR(MATCH(472,ChqRankU,0),0))="","—",INDEX(ChqClr,IFERROR(MATCH(472,ChqRankU,0),0)))))</f>
        <v/>
      </c>
      <c r="I488" t="str">
        <f>IF(472&gt;NChq,"",INDEX(ChqNorm,472))</f>
        <v/>
      </c>
      <c r="J488" t="str">
        <f>IF($I488="","",IF(AND($I488&gt;=$H$3,$I488&lt;=$H$4,INDEX(ChqStatus,472)="پاس نشده"),1,0))</f>
        <v/>
      </c>
      <c r="K488" t="str">
        <f>IF($J488=0,"",INDEX(ChqKey,472))</f>
        <v/>
      </c>
      <c r="L488" t="str">
        <f t="shared" si="7"/>
        <v/>
      </c>
    </row>
    <row r="489" spans="1:12" x14ac:dyDescent="0.2">
      <c r="A489" s="3" t="str">
        <f>IF(IFERROR(MATCH(473,ChqRankU,0),0)=0,"",473)</f>
        <v/>
      </c>
      <c r="B489" s="13" t="str">
        <f>IF(IFERROR(MATCH(473,ChqRankU,0),0)=0,"",INDEX(ChqNorm,IFERROR(MATCH(473,ChqRankU,0),0)))</f>
        <v/>
      </c>
      <c r="C489" s="13" t="str">
        <f>IF(IFERROR(MATCH(473,ChqRankU,0),0)=0,"",INDEX(ChqNo,IFERROR(MATCH(473,ChqRankU,0),0)))</f>
        <v/>
      </c>
      <c r="D489" s="14" t="str">
        <f>IF(IFERROR(MATCH(473,ChqRankU,0),0)=0,"",IF(INDEX(ChqAmt,IFERROR(MATCH(473,ChqRankU,0),0))=0,"",INDEX(ChqAmt,IFERROR(MATCH(473,ChqRankU,0),0))))</f>
        <v/>
      </c>
      <c r="E489" s="7" t="str">
        <f>IF(IFERROR(MATCH(473,ChqRankU,0),0)=0,"",INDEX(ChqStatus,IFERROR(MATCH(473,ChqRankU,0),0)))</f>
        <v/>
      </c>
      <c r="F489" s="13" t="str">
        <f>IF(IFERROR(MATCH(473,ChqRankU,0),0)=0,"",IF(INDEX(ChqStatus,IFERROR(MATCH(473,ChqRankU,0),0))="پاس نشده","—",IF(INDEX(ChqClr,IFERROR(MATCH(473,ChqRankU,0),0))="","—",INDEX(ChqClr,IFERROR(MATCH(473,ChqRankU,0),0)))))</f>
        <v/>
      </c>
      <c r="I489" t="str">
        <f>IF(473&gt;NChq,"",INDEX(ChqNorm,473))</f>
        <v/>
      </c>
      <c r="J489" t="str">
        <f>IF($I489="","",IF(AND($I489&gt;=$H$3,$I489&lt;=$H$4,INDEX(ChqStatus,473)="پاس نشده"),1,0))</f>
        <v/>
      </c>
      <c r="K489" t="str">
        <f>IF($J489=0,"",INDEX(ChqKey,473))</f>
        <v/>
      </c>
      <c r="L489" t="str">
        <f t="shared" si="7"/>
        <v/>
      </c>
    </row>
    <row r="490" spans="1:12" x14ac:dyDescent="0.2">
      <c r="A490" s="9" t="str">
        <f>IF(IFERROR(MATCH(474,ChqRankU,0),0)=0,"",474)</f>
        <v/>
      </c>
      <c r="B490" s="15" t="str">
        <f>IF(IFERROR(MATCH(474,ChqRankU,0),0)=0,"",INDEX(ChqNorm,IFERROR(MATCH(474,ChqRankU,0),0)))</f>
        <v/>
      </c>
      <c r="C490" s="15" t="str">
        <f>IF(IFERROR(MATCH(474,ChqRankU,0),0)=0,"",INDEX(ChqNo,IFERROR(MATCH(474,ChqRankU,0),0)))</f>
        <v/>
      </c>
      <c r="D490" s="16" t="str">
        <f>IF(IFERROR(MATCH(474,ChqRankU,0),0)=0,"",IF(INDEX(ChqAmt,IFERROR(MATCH(474,ChqRankU,0),0))=0,"",INDEX(ChqAmt,IFERROR(MATCH(474,ChqRankU,0),0))))</f>
        <v/>
      </c>
      <c r="E490" s="10" t="str">
        <f>IF(IFERROR(MATCH(474,ChqRankU,0),0)=0,"",INDEX(ChqStatus,IFERROR(MATCH(474,ChqRankU,0),0)))</f>
        <v/>
      </c>
      <c r="F490" s="15" t="str">
        <f>IF(IFERROR(MATCH(474,ChqRankU,0),0)=0,"",IF(INDEX(ChqStatus,IFERROR(MATCH(474,ChqRankU,0),0))="پاس نشده","—",IF(INDEX(ChqClr,IFERROR(MATCH(474,ChqRankU,0),0))="","—",INDEX(ChqClr,IFERROR(MATCH(474,ChqRankU,0),0)))))</f>
        <v/>
      </c>
      <c r="I490" t="str">
        <f>IF(474&gt;NChq,"",INDEX(ChqNorm,474))</f>
        <v/>
      </c>
      <c r="J490" t="str">
        <f>IF($I490="","",IF(AND($I490&gt;=$H$3,$I490&lt;=$H$4,INDEX(ChqStatus,474)="پاس نشده"),1,0))</f>
        <v/>
      </c>
      <c r="K490" t="str">
        <f>IF($J490=0,"",INDEX(ChqKey,474))</f>
        <v/>
      </c>
      <c r="L490" t="str">
        <f t="shared" si="7"/>
        <v/>
      </c>
    </row>
    <row r="491" spans="1:12" x14ac:dyDescent="0.2">
      <c r="A491" s="3" t="str">
        <f>IF(IFERROR(MATCH(475,ChqRankU,0),0)=0,"",475)</f>
        <v/>
      </c>
      <c r="B491" s="13" t="str">
        <f>IF(IFERROR(MATCH(475,ChqRankU,0),0)=0,"",INDEX(ChqNorm,IFERROR(MATCH(475,ChqRankU,0),0)))</f>
        <v/>
      </c>
      <c r="C491" s="13" t="str">
        <f>IF(IFERROR(MATCH(475,ChqRankU,0),0)=0,"",INDEX(ChqNo,IFERROR(MATCH(475,ChqRankU,0),0)))</f>
        <v/>
      </c>
      <c r="D491" s="14" t="str">
        <f>IF(IFERROR(MATCH(475,ChqRankU,0),0)=0,"",IF(INDEX(ChqAmt,IFERROR(MATCH(475,ChqRankU,0),0))=0,"",INDEX(ChqAmt,IFERROR(MATCH(475,ChqRankU,0),0))))</f>
        <v/>
      </c>
      <c r="E491" s="7" t="str">
        <f>IF(IFERROR(MATCH(475,ChqRankU,0),0)=0,"",INDEX(ChqStatus,IFERROR(MATCH(475,ChqRankU,0),0)))</f>
        <v/>
      </c>
      <c r="F491" s="13" t="str">
        <f>IF(IFERROR(MATCH(475,ChqRankU,0),0)=0,"",IF(INDEX(ChqStatus,IFERROR(MATCH(475,ChqRankU,0),0))="پاس نشده","—",IF(INDEX(ChqClr,IFERROR(MATCH(475,ChqRankU,0),0))="","—",INDEX(ChqClr,IFERROR(MATCH(475,ChqRankU,0),0)))))</f>
        <v/>
      </c>
      <c r="I491" t="str">
        <f>IF(475&gt;NChq,"",INDEX(ChqNorm,475))</f>
        <v/>
      </c>
      <c r="J491" t="str">
        <f>IF($I491="","",IF(AND($I491&gt;=$H$3,$I491&lt;=$H$4,INDEX(ChqStatus,475)="پاس نشده"),1,0))</f>
        <v/>
      </c>
      <c r="K491" t="str">
        <f>IF($J491=0,"",INDEX(ChqKey,475))</f>
        <v/>
      </c>
      <c r="L491" t="str">
        <f t="shared" si="7"/>
        <v/>
      </c>
    </row>
    <row r="492" spans="1:12" x14ac:dyDescent="0.2">
      <c r="A492" s="9" t="str">
        <f>IF(IFERROR(MATCH(476,ChqRankU,0),0)=0,"",476)</f>
        <v/>
      </c>
      <c r="B492" s="15" t="str">
        <f>IF(IFERROR(MATCH(476,ChqRankU,0),0)=0,"",INDEX(ChqNorm,IFERROR(MATCH(476,ChqRankU,0),0)))</f>
        <v/>
      </c>
      <c r="C492" s="15" t="str">
        <f>IF(IFERROR(MATCH(476,ChqRankU,0),0)=0,"",INDEX(ChqNo,IFERROR(MATCH(476,ChqRankU,0),0)))</f>
        <v/>
      </c>
      <c r="D492" s="16" t="str">
        <f>IF(IFERROR(MATCH(476,ChqRankU,0),0)=0,"",IF(INDEX(ChqAmt,IFERROR(MATCH(476,ChqRankU,0),0))=0,"",INDEX(ChqAmt,IFERROR(MATCH(476,ChqRankU,0),0))))</f>
        <v/>
      </c>
      <c r="E492" s="10" t="str">
        <f>IF(IFERROR(MATCH(476,ChqRankU,0),0)=0,"",INDEX(ChqStatus,IFERROR(MATCH(476,ChqRankU,0),0)))</f>
        <v/>
      </c>
      <c r="F492" s="15" t="str">
        <f>IF(IFERROR(MATCH(476,ChqRankU,0),0)=0,"",IF(INDEX(ChqStatus,IFERROR(MATCH(476,ChqRankU,0),0))="پاس نشده","—",IF(INDEX(ChqClr,IFERROR(MATCH(476,ChqRankU,0),0))="","—",INDEX(ChqClr,IFERROR(MATCH(476,ChqRankU,0),0)))))</f>
        <v/>
      </c>
      <c r="I492" t="str">
        <f>IF(476&gt;NChq,"",INDEX(ChqNorm,476))</f>
        <v/>
      </c>
      <c r="J492" t="str">
        <f>IF($I492="","",IF(AND($I492&gt;=$H$3,$I492&lt;=$H$4,INDEX(ChqStatus,476)="پاس نشده"),1,0))</f>
        <v/>
      </c>
      <c r="K492" t="str">
        <f>IF($J492=0,"",INDEX(ChqKey,476))</f>
        <v/>
      </c>
      <c r="L492" t="str">
        <f t="shared" si="7"/>
        <v/>
      </c>
    </row>
    <row r="493" spans="1:12" x14ac:dyDescent="0.2">
      <c r="A493" s="3" t="str">
        <f>IF(IFERROR(MATCH(477,ChqRankU,0),0)=0,"",477)</f>
        <v/>
      </c>
      <c r="B493" s="13" t="str">
        <f>IF(IFERROR(MATCH(477,ChqRankU,0),0)=0,"",INDEX(ChqNorm,IFERROR(MATCH(477,ChqRankU,0),0)))</f>
        <v/>
      </c>
      <c r="C493" s="13" t="str">
        <f>IF(IFERROR(MATCH(477,ChqRankU,0),0)=0,"",INDEX(ChqNo,IFERROR(MATCH(477,ChqRankU,0),0)))</f>
        <v/>
      </c>
      <c r="D493" s="14" t="str">
        <f>IF(IFERROR(MATCH(477,ChqRankU,0),0)=0,"",IF(INDEX(ChqAmt,IFERROR(MATCH(477,ChqRankU,0),0))=0,"",INDEX(ChqAmt,IFERROR(MATCH(477,ChqRankU,0),0))))</f>
        <v/>
      </c>
      <c r="E493" s="7" t="str">
        <f>IF(IFERROR(MATCH(477,ChqRankU,0),0)=0,"",INDEX(ChqStatus,IFERROR(MATCH(477,ChqRankU,0),0)))</f>
        <v/>
      </c>
      <c r="F493" s="13" t="str">
        <f>IF(IFERROR(MATCH(477,ChqRankU,0),0)=0,"",IF(INDEX(ChqStatus,IFERROR(MATCH(477,ChqRankU,0),0))="پاس نشده","—",IF(INDEX(ChqClr,IFERROR(MATCH(477,ChqRankU,0),0))="","—",INDEX(ChqClr,IFERROR(MATCH(477,ChqRankU,0),0)))))</f>
        <v/>
      </c>
      <c r="I493" t="str">
        <f>IF(477&gt;NChq,"",INDEX(ChqNorm,477))</f>
        <v/>
      </c>
      <c r="J493" t="str">
        <f>IF($I493="","",IF(AND($I493&gt;=$H$3,$I493&lt;=$H$4,INDEX(ChqStatus,477)="پاس نشده"),1,0))</f>
        <v/>
      </c>
      <c r="K493" t="str">
        <f>IF($J493=0,"",INDEX(ChqKey,477))</f>
        <v/>
      </c>
      <c r="L493" t="str">
        <f t="shared" si="7"/>
        <v/>
      </c>
    </row>
    <row r="494" spans="1:12" x14ac:dyDescent="0.2">
      <c r="A494" s="9" t="str">
        <f>IF(IFERROR(MATCH(478,ChqRankU,0),0)=0,"",478)</f>
        <v/>
      </c>
      <c r="B494" s="15" t="str">
        <f>IF(IFERROR(MATCH(478,ChqRankU,0),0)=0,"",INDEX(ChqNorm,IFERROR(MATCH(478,ChqRankU,0),0)))</f>
        <v/>
      </c>
      <c r="C494" s="15" t="str">
        <f>IF(IFERROR(MATCH(478,ChqRankU,0),0)=0,"",INDEX(ChqNo,IFERROR(MATCH(478,ChqRankU,0),0)))</f>
        <v/>
      </c>
      <c r="D494" s="16" t="str">
        <f>IF(IFERROR(MATCH(478,ChqRankU,0),0)=0,"",IF(INDEX(ChqAmt,IFERROR(MATCH(478,ChqRankU,0),0))=0,"",INDEX(ChqAmt,IFERROR(MATCH(478,ChqRankU,0),0))))</f>
        <v/>
      </c>
      <c r="E494" s="10" t="str">
        <f>IF(IFERROR(MATCH(478,ChqRankU,0),0)=0,"",INDEX(ChqStatus,IFERROR(MATCH(478,ChqRankU,0),0)))</f>
        <v/>
      </c>
      <c r="F494" s="15" t="str">
        <f>IF(IFERROR(MATCH(478,ChqRankU,0),0)=0,"",IF(INDEX(ChqStatus,IFERROR(MATCH(478,ChqRankU,0),0))="پاس نشده","—",IF(INDEX(ChqClr,IFERROR(MATCH(478,ChqRankU,0),0))="","—",INDEX(ChqClr,IFERROR(MATCH(478,ChqRankU,0),0)))))</f>
        <v/>
      </c>
      <c r="I494" t="str">
        <f>IF(478&gt;NChq,"",INDEX(ChqNorm,478))</f>
        <v/>
      </c>
      <c r="J494" t="str">
        <f>IF($I494="","",IF(AND($I494&gt;=$H$3,$I494&lt;=$H$4,INDEX(ChqStatus,478)="پاس نشده"),1,0))</f>
        <v/>
      </c>
      <c r="K494" t="str">
        <f>IF($J494=0,"",INDEX(ChqKey,478))</f>
        <v/>
      </c>
      <c r="L494" t="str">
        <f t="shared" si="7"/>
        <v/>
      </c>
    </row>
    <row r="495" spans="1:12" x14ac:dyDescent="0.2">
      <c r="A495" s="3" t="str">
        <f>IF(IFERROR(MATCH(479,ChqRankU,0),0)=0,"",479)</f>
        <v/>
      </c>
      <c r="B495" s="13" t="str">
        <f>IF(IFERROR(MATCH(479,ChqRankU,0),0)=0,"",INDEX(ChqNorm,IFERROR(MATCH(479,ChqRankU,0),0)))</f>
        <v/>
      </c>
      <c r="C495" s="13" t="str">
        <f>IF(IFERROR(MATCH(479,ChqRankU,0),0)=0,"",INDEX(ChqNo,IFERROR(MATCH(479,ChqRankU,0),0)))</f>
        <v/>
      </c>
      <c r="D495" s="14" t="str">
        <f>IF(IFERROR(MATCH(479,ChqRankU,0),0)=0,"",IF(INDEX(ChqAmt,IFERROR(MATCH(479,ChqRankU,0),0))=0,"",INDEX(ChqAmt,IFERROR(MATCH(479,ChqRankU,0),0))))</f>
        <v/>
      </c>
      <c r="E495" s="7" t="str">
        <f>IF(IFERROR(MATCH(479,ChqRankU,0),0)=0,"",INDEX(ChqStatus,IFERROR(MATCH(479,ChqRankU,0),0)))</f>
        <v/>
      </c>
      <c r="F495" s="13" t="str">
        <f>IF(IFERROR(MATCH(479,ChqRankU,0),0)=0,"",IF(INDEX(ChqStatus,IFERROR(MATCH(479,ChqRankU,0),0))="پاس نشده","—",IF(INDEX(ChqClr,IFERROR(MATCH(479,ChqRankU,0),0))="","—",INDEX(ChqClr,IFERROR(MATCH(479,ChqRankU,0),0)))))</f>
        <v/>
      </c>
      <c r="I495" t="str">
        <f>IF(479&gt;NChq,"",INDEX(ChqNorm,479))</f>
        <v/>
      </c>
      <c r="J495" t="str">
        <f>IF($I495="","",IF(AND($I495&gt;=$H$3,$I495&lt;=$H$4,INDEX(ChqStatus,479)="پاس نشده"),1,0))</f>
        <v/>
      </c>
      <c r="K495" t="str">
        <f>IF($J495=0,"",INDEX(ChqKey,479))</f>
        <v/>
      </c>
      <c r="L495" t="str">
        <f t="shared" si="7"/>
        <v/>
      </c>
    </row>
    <row r="496" spans="1:12" x14ac:dyDescent="0.2">
      <c r="A496" s="9" t="str">
        <f>IF(IFERROR(MATCH(480,ChqRankU,0),0)=0,"",480)</f>
        <v/>
      </c>
      <c r="B496" s="15" t="str">
        <f>IF(IFERROR(MATCH(480,ChqRankU,0),0)=0,"",INDEX(ChqNorm,IFERROR(MATCH(480,ChqRankU,0),0)))</f>
        <v/>
      </c>
      <c r="C496" s="15" t="str">
        <f>IF(IFERROR(MATCH(480,ChqRankU,0),0)=0,"",INDEX(ChqNo,IFERROR(MATCH(480,ChqRankU,0),0)))</f>
        <v/>
      </c>
      <c r="D496" s="16" t="str">
        <f>IF(IFERROR(MATCH(480,ChqRankU,0),0)=0,"",IF(INDEX(ChqAmt,IFERROR(MATCH(480,ChqRankU,0),0))=0,"",INDEX(ChqAmt,IFERROR(MATCH(480,ChqRankU,0),0))))</f>
        <v/>
      </c>
      <c r="E496" s="10" t="str">
        <f>IF(IFERROR(MATCH(480,ChqRankU,0),0)=0,"",INDEX(ChqStatus,IFERROR(MATCH(480,ChqRankU,0),0)))</f>
        <v/>
      </c>
      <c r="F496" s="15" t="str">
        <f>IF(IFERROR(MATCH(480,ChqRankU,0),0)=0,"",IF(INDEX(ChqStatus,IFERROR(MATCH(480,ChqRankU,0),0))="پاس نشده","—",IF(INDEX(ChqClr,IFERROR(MATCH(480,ChqRankU,0),0))="","—",INDEX(ChqClr,IFERROR(MATCH(480,ChqRankU,0),0)))))</f>
        <v/>
      </c>
      <c r="I496" t="str">
        <f>IF(480&gt;NChq,"",INDEX(ChqNorm,480))</f>
        <v/>
      </c>
      <c r="J496" t="str">
        <f>IF($I496="","",IF(AND($I496&gt;=$H$3,$I496&lt;=$H$4,INDEX(ChqStatus,480)="پاس نشده"),1,0))</f>
        <v/>
      </c>
      <c r="K496" t="str">
        <f>IF($J496=0,"",INDEX(ChqKey,480))</f>
        <v/>
      </c>
      <c r="L496" t="str">
        <f t="shared" si="7"/>
        <v/>
      </c>
    </row>
    <row r="497" spans="1:12" x14ac:dyDescent="0.2">
      <c r="A497" s="3" t="str">
        <f>IF(IFERROR(MATCH(481,ChqRankU,0),0)=0,"",481)</f>
        <v/>
      </c>
      <c r="B497" s="13" t="str">
        <f>IF(IFERROR(MATCH(481,ChqRankU,0),0)=0,"",INDEX(ChqNorm,IFERROR(MATCH(481,ChqRankU,0),0)))</f>
        <v/>
      </c>
      <c r="C497" s="13" t="str">
        <f>IF(IFERROR(MATCH(481,ChqRankU,0),0)=0,"",INDEX(ChqNo,IFERROR(MATCH(481,ChqRankU,0),0)))</f>
        <v/>
      </c>
      <c r="D497" s="14" t="str">
        <f>IF(IFERROR(MATCH(481,ChqRankU,0),0)=0,"",IF(INDEX(ChqAmt,IFERROR(MATCH(481,ChqRankU,0),0))=0,"",INDEX(ChqAmt,IFERROR(MATCH(481,ChqRankU,0),0))))</f>
        <v/>
      </c>
      <c r="E497" s="7" t="str">
        <f>IF(IFERROR(MATCH(481,ChqRankU,0),0)=0,"",INDEX(ChqStatus,IFERROR(MATCH(481,ChqRankU,0),0)))</f>
        <v/>
      </c>
      <c r="F497" s="13" t="str">
        <f>IF(IFERROR(MATCH(481,ChqRankU,0),0)=0,"",IF(INDEX(ChqStatus,IFERROR(MATCH(481,ChqRankU,0),0))="پاس نشده","—",IF(INDEX(ChqClr,IFERROR(MATCH(481,ChqRankU,0),0))="","—",INDEX(ChqClr,IFERROR(MATCH(481,ChqRankU,0),0)))))</f>
        <v/>
      </c>
      <c r="I497" t="str">
        <f>IF(481&gt;NChq,"",INDEX(ChqNorm,481))</f>
        <v/>
      </c>
      <c r="J497" t="str">
        <f>IF($I497="","",IF(AND($I497&gt;=$H$3,$I497&lt;=$H$4,INDEX(ChqStatus,481)="پاس نشده"),1,0))</f>
        <v/>
      </c>
      <c r="K497" t="str">
        <f>IF($J497=0,"",INDEX(ChqKey,481))</f>
        <v/>
      </c>
      <c r="L497" t="str">
        <f t="shared" si="7"/>
        <v/>
      </c>
    </row>
    <row r="498" spans="1:12" x14ac:dyDescent="0.2">
      <c r="A498" s="9" t="str">
        <f>IF(IFERROR(MATCH(482,ChqRankU,0),0)=0,"",482)</f>
        <v/>
      </c>
      <c r="B498" s="15" t="str">
        <f>IF(IFERROR(MATCH(482,ChqRankU,0),0)=0,"",INDEX(ChqNorm,IFERROR(MATCH(482,ChqRankU,0),0)))</f>
        <v/>
      </c>
      <c r="C498" s="15" t="str">
        <f>IF(IFERROR(MATCH(482,ChqRankU,0),0)=0,"",INDEX(ChqNo,IFERROR(MATCH(482,ChqRankU,0),0)))</f>
        <v/>
      </c>
      <c r="D498" s="16" t="str">
        <f>IF(IFERROR(MATCH(482,ChqRankU,0),0)=0,"",IF(INDEX(ChqAmt,IFERROR(MATCH(482,ChqRankU,0),0))=0,"",INDEX(ChqAmt,IFERROR(MATCH(482,ChqRankU,0),0))))</f>
        <v/>
      </c>
      <c r="E498" s="10" t="str">
        <f>IF(IFERROR(MATCH(482,ChqRankU,0),0)=0,"",INDEX(ChqStatus,IFERROR(MATCH(482,ChqRankU,0),0)))</f>
        <v/>
      </c>
      <c r="F498" s="15" t="str">
        <f>IF(IFERROR(MATCH(482,ChqRankU,0),0)=0,"",IF(INDEX(ChqStatus,IFERROR(MATCH(482,ChqRankU,0),0))="پاس نشده","—",IF(INDEX(ChqClr,IFERROR(MATCH(482,ChqRankU,0),0))="","—",INDEX(ChqClr,IFERROR(MATCH(482,ChqRankU,0),0)))))</f>
        <v/>
      </c>
      <c r="I498" t="str">
        <f>IF(482&gt;NChq,"",INDEX(ChqNorm,482))</f>
        <v/>
      </c>
      <c r="J498" t="str">
        <f>IF($I498="","",IF(AND($I498&gt;=$H$3,$I498&lt;=$H$4,INDEX(ChqStatus,482)="پاس نشده"),1,0))</f>
        <v/>
      </c>
      <c r="K498" t="str">
        <f>IF($J498=0,"",INDEX(ChqKey,482))</f>
        <v/>
      </c>
      <c r="L498" t="str">
        <f t="shared" si="7"/>
        <v/>
      </c>
    </row>
    <row r="499" spans="1:12" x14ac:dyDescent="0.2">
      <c r="A499" s="3" t="str">
        <f>IF(IFERROR(MATCH(483,ChqRankU,0),0)=0,"",483)</f>
        <v/>
      </c>
      <c r="B499" s="13" t="str">
        <f>IF(IFERROR(MATCH(483,ChqRankU,0),0)=0,"",INDEX(ChqNorm,IFERROR(MATCH(483,ChqRankU,0),0)))</f>
        <v/>
      </c>
      <c r="C499" s="13" t="str">
        <f>IF(IFERROR(MATCH(483,ChqRankU,0),0)=0,"",INDEX(ChqNo,IFERROR(MATCH(483,ChqRankU,0),0)))</f>
        <v/>
      </c>
      <c r="D499" s="14" t="str">
        <f>IF(IFERROR(MATCH(483,ChqRankU,0),0)=0,"",IF(INDEX(ChqAmt,IFERROR(MATCH(483,ChqRankU,0),0))=0,"",INDEX(ChqAmt,IFERROR(MATCH(483,ChqRankU,0),0))))</f>
        <v/>
      </c>
      <c r="E499" s="7" t="str">
        <f>IF(IFERROR(MATCH(483,ChqRankU,0),0)=0,"",INDEX(ChqStatus,IFERROR(MATCH(483,ChqRankU,0),0)))</f>
        <v/>
      </c>
      <c r="F499" s="13" t="str">
        <f>IF(IFERROR(MATCH(483,ChqRankU,0),0)=0,"",IF(INDEX(ChqStatus,IFERROR(MATCH(483,ChqRankU,0),0))="پاس نشده","—",IF(INDEX(ChqClr,IFERROR(MATCH(483,ChqRankU,0),0))="","—",INDEX(ChqClr,IFERROR(MATCH(483,ChqRankU,0),0)))))</f>
        <v/>
      </c>
      <c r="I499" t="str">
        <f>IF(483&gt;NChq,"",INDEX(ChqNorm,483))</f>
        <v/>
      </c>
      <c r="J499" t="str">
        <f>IF($I499="","",IF(AND($I499&gt;=$H$3,$I499&lt;=$H$4,INDEX(ChqStatus,483)="پاس نشده"),1,0))</f>
        <v/>
      </c>
      <c r="K499" t="str">
        <f>IF($J499=0,"",INDEX(ChqKey,483))</f>
        <v/>
      </c>
      <c r="L499" t="str">
        <f t="shared" si="7"/>
        <v/>
      </c>
    </row>
    <row r="500" spans="1:12" x14ac:dyDescent="0.2">
      <c r="A500" s="9" t="str">
        <f>IF(IFERROR(MATCH(484,ChqRankU,0),0)=0,"",484)</f>
        <v/>
      </c>
      <c r="B500" s="15" t="str">
        <f>IF(IFERROR(MATCH(484,ChqRankU,0),0)=0,"",INDEX(ChqNorm,IFERROR(MATCH(484,ChqRankU,0),0)))</f>
        <v/>
      </c>
      <c r="C500" s="15" t="str">
        <f>IF(IFERROR(MATCH(484,ChqRankU,0),0)=0,"",INDEX(ChqNo,IFERROR(MATCH(484,ChqRankU,0),0)))</f>
        <v/>
      </c>
      <c r="D500" s="16" t="str">
        <f>IF(IFERROR(MATCH(484,ChqRankU,0),0)=0,"",IF(INDEX(ChqAmt,IFERROR(MATCH(484,ChqRankU,0),0))=0,"",INDEX(ChqAmt,IFERROR(MATCH(484,ChqRankU,0),0))))</f>
        <v/>
      </c>
      <c r="E500" s="10" t="str">
        <f>IF(IFERROR(MATCH(484,ChqRankU,0),0)=0,"",INDEX(ChqStatus,IFERROR(MATCH(484,ChqRankU,0),0)))</f>
        <v/>
      </c>
      <c r="F500" s="15" t="str">
        <f>IF(IFERROR(MATCH(484,ChqRankU,0),0)=0,"",IF(INDEX(ChqStatus,IFERROR(MATCH(484,ChqRankU,0),0))="پاس نشده","—",IF(INDEX(ChqClr,IFERROR(MATCH(484,ChqRankU,0),0))="","—",INDEX(ChqClr,IFERROR(MATCH(484,ChqRankU,0),0)))))</f>
        <v/>
      </c>
      <c r="I500" t="str">
        <f>IF(484&gt;NChq,"",INDEX(ChqNorm,484))</f>
        <v/>
      </c>
      <c r="J500" t="str">
        <f>IF($I500="","",IF(AND($I500&gt;=$H$3,$I500&lt;=$H$4,INDEX(ChqStatus,484)="پاس نشده"),1,0))</f>
        <v/>
      </c>
      <c r="K500" t="str">
        <f>IF($J500=0,"",INDEX(ChqKey,484))</f>
        <v/>
      </c>
      <c r="L500" t="str">
        <f t="shared" si="7"/>
        <v/>
      </c>
    </row>
    <row r="501" spans="1:12" x14ac:dyDescent="0.2">
      <c r="A501" s="3" t="str">
        <f>IF(IFERROR(MATCH(485,ChqRankU,0),0)=0,"",485)</f>
        <v/>
      </c>
      <c r="B501" s="13" t="str">
        <f>IF(IFERROR(MATCH(485,ChqRankU,0),0)=0,"",INDEX(ChqNorm,IFERROR(MATCH(485,ChqRankU,0),0)))</f>
        <v/>
      </c>
      <c r="C501" s="13" t="str">
        <f>IF(IFERROR(MATCH(485,ChqRankU,0),0)=0,"",INDEX(ChqNo,IFERROR(MATCH(485,ChqRankU,0),0)))</f>
        <v/>
      </c>
      <c r="D501" s="14" t="str">
        <f>IF(IFERROR(MATCH(485,ChqRankU,0),0)=0,"",IF(INDEX(ChqAmt,IFERROR(MATCH(485,ChqRankU,0),0))=0,"",INDEX(ChqAmt,IFERROR(MATCH(485,ChqRankU,0),0))))</f>
        <v/>
      </c>
      <c r="E501" s="7" t="str">
        <f>IF(IFERROR(MATCH(485,ChqRankU,0),0)=0,"",INDEX(ChqStatus,IFERROR(MATCH(485,ChqRankU,0),0)))</f>
        <v/>
      </c>
      <c r="F501" s="13" t="str">
        <f>IF(IFERROR(MATCH(485,ChqRankU,0),0)=0,"",IF(INDEX(ChqStatus,IFERROR(MATCH(485,ChqRankU,0),0))="پاس نشده","—",IF(INDEX(ChqClr,IFERROR(MATCH(485,ChqRankU,0),0))="","—",INDEX(ChqClr,IFERROR(MATCH(485,ChqRankU,0),0)))))</f>
        <v/>
      </c>
      <c r="I501" t="str">
        <f>IF(485&gt;NChq,"",INDEX(ChqNorm,485))</f>
        <v/>
      </c>
      <c r="J501" t="str">
        <f>IF($I501="","",IF(AND($I501&gt;=$H$3,$I501&lt;=$H$4,INDEX(ChqStatus,485)="پاس نشده"),1,0))</f>
        <v/>
      </c>
      <c r="K501" t="str">
        <f>IF($J501=0,"",INDEX(ChqKey,485))</f>
        <v/>
      </c>
      <c r="L501" t="str">
        <f t="shared" si="7"/>
        <v/>
      </c>
    </row>
    <row r="502" spans="1:12" x14ac:dyDescent="0.2">
      <c r="A502" s="9" t="str">
        <f>IF(IFERROR(MATCH(486,ChqRankU,0),0)=0,"",486)</f>
        <v/>
      </c>
      <c r="B502" s="15" t="str">
        <f>IF(IFERROR(MATCH(486,ChqRankU,0),0)=0,"",INDEX(ChqNorm,IFERROR(MATCH(486,ChqRankU,0),0)))</f>
        <v/>
      </c>
      <c r="C502" s="15" t="str">
        <f>IF(IFERROR(MATCH(486,ChqRankU,0),0)=0,"",INDEX(ChqNo,IFERROR(MATCH(486,ChqRankU,0),0)))</f>
        <v/>
      </c>
      <c r="D502" s="16" t="str">
        <f>IF(IFERROR(MATCH(486,ChqRankU,0),0)=0,"",IF(INDEX(ChqAmt,IFERROR(MATCH(486,ChqRankU,0),0))=0,"",INDEX(ChqAmt,IFERROR(MATCH(486,ChqRankU,0),0))))</f>
        <v/>
      </c>
      <c r="E502" s="10" t="str">
        <f>IF(IFERROR(MATCH(486,ChqRankU,0),0)=0,"",INDEX(ChqStatus,IFERROR(MATCH(486,ChqRankU,0),0)))</f>
        <v/>
      </c>
      <c r="F502" s="15" t="str">
        <f>IF(IFERROR(MATCH(486,ChqRankU,0),0)=0,"",IF(INDEX(ChqStatus,IFERROR(MATCH(486,ChqRankU,0),0))="پاس نشده","—",IF(INDEX(ChqClr,IFERROR(MATCH(486,ChqRankU,0),0))="","—",INDEX(ChqClr,IFERROR(MATCH(486,ChqRankU,0),0)))))</f>
        <v/>
      </c>
      <c r="I502" t="str">
        <f>IF(486&gt;NChq,"",INDEX(ChqNorm,486))</f>
        <v/>
      </c>
      <c r="J502" t="str">
        <f>IF($I502="","",IF(AND($I502&gt;=$H$3,$I502&lt;=$H$4,INDEX(ChqStatus,486)="پاس نشده"),1,0))</f>
        <v/>
      </c>
      <c r="K502" t="str">
        <f>IF($J502=0,"",INDEX(ChqKey,486))</f>
        <v/>
      </c>
      <c r="L502" t="str">
        <f t="shared" si="7"/>
        <v/>
      </c>
    </row>
    <row r="503" spans="1:12" x14ac:dyDescent="0.2">
      <c r="A503" s="3" t="str">
        <f>IF(IFERROR(MATCH(487,ChqRankU,0),0)=0,"",487)</f>
        <v/>
      </c>
      <c r="B503" s="13" t="str">
        <f>IF(IFERROR(MATCH(487,ChqRankU,0),0)=0,"",INDEX(ChqNorm,IFERROR(MATCH(487,ChqRankU,0),0)))</f>
        <v/>
      </c>
      <c r="C503" s="13" t="str">
        <f>IF(IFERROR(MATCH(487,ChqRankU,0),0)=0,"",INDEX(ChqNo,IFERROR(MATCH(487,ChqRankU,0),0)))</f>
        <v/>
      </c>
      <c r="D503" s="14" t="str">
        <f>IF(IFERROR(MATCH(487,ChqRankU,0),0)=0,"",IF(INDEX(ChqAmt,IFERROR(MATCH(487,ChqRankU,0),0))=0,"",INDEX(ChqAmt,IFERROR(MATCH(487,ChqRankU,0),0))))</f>
        <v/>
      </c>
      <c r="E503" s="7" t="str">
        <f>IF(IFERROR(MATCH(487,ChqRankU,0),0)=0,"",INDEX(ChqStatus,IFERROR(MATCH(487,ChqRankU,0),0)))</f>
        <v/>
      </c>
      <c r="F503" s="13" t="str">
        <f>IF(IFERROR(MATCH(487,ChqRankU,0),0)=0,"",IF(INDEX(ChqStatus,IFERROR(MATCH(487,ChqRankU,0),0))="پاس نشده","—",IF(INDEX(ChqClr,IFERROR(MATCH(487,ChqRankU,0),0))="","—",INDEX(ChqClr,IFERROR(MATCH(487,ChqRankU,0),0)))))</f>
        <v/>
      </c>
      <c r="I503" t="str">
        <f>IF(487&gt;NChq,"",INDEX(ChqNorm,487))</f>
        <v/>
      </c>
      <c r="J503" t="str">
        <f>IF($I503="","",IF(AND($I503&gt;=$H$3,$I503&lt;=$H$4,INDEX(ChqStatus,487)="پاس نشده"),1,0))</f>
        <v/>
      </c>
      <c r="K503" t="str">
        <f>IF($J503=0,"",INDEX(ChqKey,487))</f>
        <v/>
      </c>
      <c r="L503" t="str">
        <f t="shared" si="7"/>
        <v/>
      </c>
    </row>
    <row r="504" spans="1:12" x14ac:dyDescent="0.2">
      <c r="A504" s="9" t="str">
        <f>IF(IFERROR(MATCH(488,ChqRankU,0),0)=0,"",488)</f>
        <v/>
      </c>
      <c r="B504" s="15" t="str">
        <f>IF(IFERROR(MATCH(488,ChqRankU,0),0)=0,"",INDEX(ChqNorm,IFERROR(MATCH(488,ChqRankU,0),0)))</f>
        <v/>
      </c>
      <c r="C504" s="15" t="str">
        <f>IF(IFERROR(MATCH(488,ChqRankU,0),0)=0,"",INDEX(ChqNo,IFERROR(MATCH(488,ChqRankU,0),0)))</f>
        <v/>
      </c>
      <c r="D504" s="16" t="str">
        <f>IF(IFERROR(MATCH(488,ChqRankU,0),0)=0,"",IF(INDEX(ChqAmt,IFERROR(MATCH(488,ChqRankU,0),0))=0,"",INDEX(ChqAmt,IFERROR(MATCH(488,ChqRankU,0),0))))</f>
        <v/>
      </c>
      <c r="E504" s="10" t="str">
        <f>IF(IFERROR(MATCH(488,ChqRankU,0),0)=0,"",INDEX(ChqStatus,IFERROR(MATCH(488,ChqRankU,0),0)))</f>
        <v/>
      </c>
      <c r="F504" s="15" t="str">
        <f>IF(IFERROR(MATCH(488,ChqRankU,0),0)=0,"",IF(INDEX(ChqStatus,IFERROR(MATCH(488,ChqRankU,0),0))="پاس نشده","—",IF(INDEX(ChqClr,IFERROR(MATCH(488,ChqRankU,0),0))="","—",INDEX(ChqClr,IFERROR(MATCH(488,ChqRankU,0),0)))))</f>
        <v/>
      </c>
      <c r="I504" t="str">
        <f>IF(488&gt;NChq,"",INDEX(ChqNorm,488))</f>
        <v/>
      </c>
      <c r="J504" t="str">
        <f>IF($I504="","",IF(AND($I504&gt;=$H$3,$I504&lt;=$H$4,INDEX(ChqStatus,488)="پاس نشده"),1,0))</f>
        <v/>
      </c>
      <c r="K504" t="str">
        <f>IF($J504=0,"",INDEX(ChqKey,488))</f>
        <v/>
      </c>
      <c r="L504" t="str">
        <f t="shared" si="7"/>
        <v/>
      </c>
    </row>
    <row r="505" spans="1:12" x14ac:dyDescent="0.2">
      <c r="A505" s="3" t="str">
        <f>IF(IFERROR(MATCH(489,ChqRankU,0),0)=0,"",489)</f>
        <v/>
      </c>
      <c r="B505" s="13" t="str">
        <f>IF(IFERROR(MATCH(489,ChqRankU,0),0)=0,"",INDEX(ChqNorm,IFERROR(MATCH(489,ChqRankU,0),0)))</f>
        <v/>
      </c>
      <c r="C505" s="13" t="str">
        <f>IF(IFERROR(MATCH(489,ChqRankU,0),0)=0,"",INDEX(ChqNo,IFERROR(MATCH(489,ChqRankU,0),0)))</f>
        <v/>
      </c>
      <c r="D505" s="14" t="str">
        <f>IF(IFERROR(MATCH(489,ChqRankU,0),0)=0,"",IF(INDEX(ChqAmt,IFERROR(MATCH(489,ChqRankU,0),0))=0,"",INDEX(ChqAmt,IFERROR(MATCH(489,ChqRankU,0),0))))</f>
        <v/>
      </c>
      <c r="E505" s="7" t="str">
        <f>IF(IFERROR(MATCH(489,ChqRankU,0),0)=0,"",INDEX(ChqStatus,IFERROR(MATCH(489,ChqRankU,0),0)))</f>
        <v/>
      </c>
      <c r="F505" s="13" t="str">
        <f>IF(IFERROR(MATCH(489,ChqRankU,0),0)=0,"",IF(INDEX(ChqStatus,IFERROR(MATCH(489,ChqRankU,0),0))="پاس نشده","—",IF(INDEX(ChqClr,IFERROR(MATCH(489,ChqRankU,0),0))="","—",INDEX(ChqClr,IFERROR(MATCH(489,ChqRankU,0),0)))))</f>
        <v/>
      </c>
      <c r="I505" t="str">
        <f>IF(489&gt;NChq,"",INDEX(ChqNorm,489))</f>
        <v/>
      </c>
      <c r="J505" t="str">
        <f>IF($I505="","",IF(AND($I505&gt;=$H$3,$I505&lt;=$H$4,INDEX(ChqStatus,489)="پاس نشده"),1,0))</f>
        <v/>
      </c>
      <c r="K505" t="str">
        <f>IF($J505=0,"",INDEX(ChqKey,489))</f>
        <v/>
      </c>
      <c r="L505" t="str">
        <f t="shared" si="7"/>
        <v/>
      </c>
    </row>
    <row r="506" spans="1:12" x14ac:dyDescent="0.2">
      <c r="A506" s="9" t="str">
        <f>IF(IFERROR(MATCH(490,ChqRankU,0),0)=0,"",490)</f>
        <v/>
      </c>
      <c r="B506" s="15" t="str">
        <f>IF(IFERROR(MATCH(490,ChqRankU,0),0)=0,"",INDEX(ChqNorm,IFERROR(MATCH(490,ChqRankU,0),0)))</f>
        <v/>
      </c>
      <c r="C506" s="15" t="str">
        <f>IF(IFERROR(MATCH(490,ChqRankU,0),0)=0,"",INDEX(ChqNo,IFERROR(MATCH(490,ChqRankU,0),0)))</f>
        <v/>
      </c>
      <c r="D506" s="16" t="str">
        <f>IF(IFERROR(MATCH(490,ChqRankU,0),0)=0,"",IF(INDEX(ChqAmt,IFERROR(MATCH(490,ChqRankU,0),0))=0,"",INDEX(ChqAmt,IFERROR(MATCH(490,ChqRankU,0),0))))</f>
        <v/>
      </c>
      <c r="E506" s="10" t="str">
        <f>IF(IFERROR(MATCH(490,ChqRankU,0),0)=0,"",INDEX(ChqStatus,IFERROR(MATCH(490,ChqRankU,0),0)))</f>
        <v/>
      </c>
      <c r="F506" s="15" t="str">
        <f>IF(IFERROR(MATCH(490,ChqRankU,0),0)=0,"",IF(INDEX(ChqStatus,IFERROR(MATCH(490,ChqRankU,0),0))="پاس نشده","—",IF(INDEX(ChqClr,IFERROR(MATCH(490,ChqRankU,0),0))="","—",INDEX(ChqClr,IFERROR(MATCH(490,ChqRankU,0),0)))))</f>
        <v/>
      </c>
      <c r="I506" t="str">
        <f>IF(490&gt;NChq,"",INDEX(ChqNorm,490))</f>
        <v/>
      </c>
      <c r="J506" t="str">
        <f>IF($I506="","",IF(AND($I506&gt;=$H$3,$I506&lt;=$H$4,INDEX(ChqStatus,490)="پاس نشده"),1,0))</f>
        <v/>
      </c>
      <c r="K506" t="str">
        <f>IF($J506=0,"",INDEX(ChqKey,490))</f>
        <v/>
      </c>
      <c r="L506" t="str">
        <f t="shared" si="7"/>
        <v/>
      </c>
    </row>
    <row r="507" spans="1:12" x14ac:dyDescent="0.2">
      <c r="A507" s="3" t="str">
        <f>IF(IFERROR(MATCH(491,ChqRankU,0),0)=0,"",491)</f>
        <v/>
      </c>
      <c r="B507" s="13" t="str">
        <f>IF(IFERROR(MATCH(491,ChqRankU,0),0)=0,"",INDEX(ChqNorm,IFERROR(MATCH(491,ChqRankU,0),0)))</f>
        <v/>
      </c>
      <c r="C507" s="13" t="str">
        <f>IF(IFERROR(MATCH(491,ChqRankU,0),0)=0,"",INDEX(ChqNo,IFERROR(MATCH(491,ChqRankU,0),0)))</f>
        <v/>
      </c>
      <c r="D507" s="14" t="str">
        <f>IF(IFERROR(MATCH(491,ChqRankU,0),0)=0,"",IF(INDEX(ChqAmt,IFERROR(MATCH(491,ChqRankU,0),0))=0,"",INDEX(ChqAmt,IFERROR(MATCH(491,ChqRankU,0),0))))</f>
        <v/>
      </c>
      <c r="E507" s="7" t="str">
        <f>IF(IFERROR(MATCH(491,ChqRankU,0),0)=0,"",INDEX(ChqStatus,IFERROR(MATCH(491,ChqRankU,0),0)))</f>
        <v/>
      </c>
      <c r="F507" s="13" t="str">
        <f>IF(IFERROR(MATCH(491,ChqRankU,0),0)=0,"",IF(INDEX(ChqStatus,IFERROR(MATCH(491,ChqRankU,0),0))="پاس نشده","—",IF(INDEX(ChqClr,IFERROR(MATCH(491,ChqRankU,0),0))="","—",INDEX(ChqClr,IFERROR(MATCH(491,ChqRankU,0),0)))))</f>
        <v/>
      </c>
      <c r="I507" t="str">
        <f>IF(491&gt;NChq,"",INDEX(ChqNorm,491))</f>
        <v/>
      </c>
      <c r="J507" t="str">
        <f>IF($I507="","",IF(AND($I507&gt;=$H$3,$I507&lt;=$H$4,INDEX(ChqStatus,491)="پاس نشده"),1,0))</f>
        <v/>
      </c>
      <c r="K507" t="str">
        <f>IF($J507=0,"",INDEX(ChqKey,491))</f>
        <v/>
      </c>
      <c r="L507" t="str">
        <f t="shared" si="7"/>
        <v/>
      </c>
    </row>
    <row r="508" spans="1:12" x14ac:dyDescent="0.2">
      <c r="A508" s="9" t="str">
        <f>IF(IFERROR(MATCH(492,ChqRankU,0),0)=0,"",492)</f>
        <v/>
      </c>
      <c r="B508" s="15" t="str">
        <f>IF(IFERROR(MATCH(492,ChqRankU,0),0)=0,"",INDEX(ChqNorm,IFERROR(MATCH(492,ChqRankU,0),0)))</f>
        <v/>
      </c>
      <c r="C508" s="15" t="str">
        <f>IF(IFERROR(MATCH(492,ChqRankU,0),0)=0,"",INDEX(ChqNo,IFERROR(MATCH(492,ChqRankU,0),0)))</f>
        <v/>
      </c>
      <c r="D508" s="16" t="str">
        <f>IF(IFERROR(MATCH(492,ChqRankU,0),0)=0,"",IF(INDEX(ChqAmt,IFERROR(MATCH(492,ChqRankU,0),0))=0,"",INDEX(ChqAmt,IFERROR(MATCH(492,ChqRankU,0),0))))</f>
        <v/>
      </c>
      <c r="E508" s="10" t="str">
        <f>IF(IFERROR(MATCH(492,ChqRankU,0),0)=0,"",INDEX(ChqStatus,IFERROR(MATCH(492,ChqRankU,0),0)))</f>
        <v/>
      </c>
      <c r="F508" s="15" t="str">
        <f>IF(IFERROR(MATCH(492,ChqRankU,0),0)=0,"",IF(INDEX(ChqStatus,IFERROR(MATCH(492,ChqRankU,0),0))="پاس نشده","—",IF(INDEX(ChqClr,IFERROR(MATCH(492,ChqRankU,0),0))="","—",INDEX(ChqClr,IFERROR(MATCH(492,ChqRankU,0),0)))))</f>
        <v/>
      </c>
      <c r="I508" t="str">
        <f>IF(492&gt;NChq,"",INDEX(ChqNorm,492))</f>
        <v/>
      </c>
      <c r="J508" t="str">
        <f>IF($I508="","",IF(AND($I508&gt;=$H$3,$I508&lt;=$H$4,INDEX(ChqStatus,492)="پاس نشده"),1,0))</f>
        <v/>
      </c>
      <c r="K508" t="str">
        <f>IF($J508=0,"",INDEX(ChqKey,492))</f>
        <v/>
      </c>
      <c r="L508" t="str">
        <f t="shared" si="7"/>
        <v/>
      </c>
    </row>
    <row r="509" spans="1:12" x14ac:dyDescent="0.2">
      <c r="A509" s="3" t="str">
        <f>IF(IFERROR(MATCH(493,ChqRankU,0),0)=0,"",493)</f>
        <v/>
      </c>
      <c r="B509" s="13" t="str">
        <f>IF(IFERROR(MATCH(493,ChqRankU,0),0)=0,"",INDEX(ChqNorm,IFERROR(MATCH(493,ChqRankU,0),0)))</f>
        <v/>
      </c>
      <c r="C509" s="13" t="str">
        <f>IF(IFERROR(MATCH(493,ChqRankU,0),0)=0,"",INDEX(ChqNo,IFERROR(MATCH(493,ChqRankU,0),0)))</f>
        <v/>
      </c>
      <c r="D509" s="14" t="str">
        <f>IF(IFERROR(MATCH(493,ChqRankU,0),0)=0,"",IF(INDEX(ChqAmt,IFERROR(MATCH(493,ChqRankU,0),0))=0,"",INDEX(ChqAmt,IFERROR(MATCH(493,ChqRankU,0),0))))</f>
        <v/>
      </c>
      <c r="E509" s="7" t="str">
        <f>IF(IFERROR(MATCH(493,ChqRankU,0),0)=0,"",INDEX(ChqStatus,IFERROR(MATCH(493,ChqRankU,0),0)))</f>
        <v/>
      </c>
      <c r="F509" s="13" t="str">
        <f>IF(IFERROR(MATCH(493,ChqRankU,0),0)=0,"",IF(INDEX(ChqStatus,IFERROR(MATCH(493,ChqRankU,0),0))="پاس نشده","—",IF(INDEX(ChqClr,IFERROR(MATCH(493,ChqRankU,0),0))="","—",INDEX(ChqClr,IFERROR(MATCH(493,ChqRankU,0),0)))))</f>
        <v/>
      </c>
      <c r="I509" t="str">
        <f>IF(493&gt;NChq,"",INDEX(ChqNorm,493))</f>
        <v/>
      </c>
      <c r="J509" t="str">
        <f>IF($I509="","",IF(AND($I509&gt;=$H$3,$I509&lt;=$H$4,INDEX(ChqStatus,493)="پاس نشده"),1,0))</f>
        <v/>
      </c>
      <c r="K509" t="str">
        <f>IF($J509=0,"",INDEX(ChqKey,493))</f>
        <v/>
      </c>
      <c r="L509" t="str">
        <f t="shared" si="7"/>
        <v/>
      </c>
    </row>
    <row r="510" spans="1:12" x14ac:dyDescent="0.2">
      <c r="A510" s="9" t="str">
        <f>IF(IFERROR(MATCH(494,ChqRankU,0),0)=0,"",494)</f>
        <v/>
      </c>
      <c r="B510" s="15" t="str">
        <f>IF(IFERROR(MATCH(494,ChqRankU,0),0)=0,"",INDEX(ChqNorm,IFERROR(MATCH(494,ChqRankU,0),0)))</f>
        <v/>
      </c>
      <c r="C510" s="15" t="str">
        <f>IF(IFERROR(MATCH(494,ChqRankU,0),0)=0,"",INDEX(ChqNo,IFERROR(MATCH(494,ChqRankU,0),0)))</f>
        <v/>
      </c>
      <c r="D510" s="16" t="str">
        <f>IF(IFERROR(MATCH(494,ChqRankU,0),0)=0,"",IF(INDEX(ChqAmt,IFERROR(MATCH(494,ChqRankU,0),0))=0,"",INDEX(ChqAmt,IFERROR(MATCH(494,ChqRankU,0),0))))</f>
        <v/>
      </c>
      <c r="E510" s="10" t="str">
        <f>IF(IFERROR(MATCH(494,ChqRankU,0),0)=0,"",INDEX(ChqStatus,IFERROR(MATCH(494,ChqRankU,0),0)))</f>
        <v/>
      </c>
      <c r="F510" s="15" t="str">
        <f>IF(IFERROR(MATCH(494,ChqRankU,0),0)=0,"",IF(INDEX(ChqStatus,IFERROR(MATCH(494,ChqRankU,0),0))="پاس نشده","—",IF(INDEX(ChqClr,IFERROR(MATCH(494,ChqRankU,0),0))="","—",INDEX(ChqClr,IFERROR(MATCH(494,ChqRankU,0),0)))))</f>
        <v/>
      </c>
      <c r="I510" t="str">
        <f>IF(494&gt;NChq,"",INDEX(ChqNorm,494))</f>
        <v/>
      </c>
      <c r="J510" t="str">
        <f>IF($I510="","",IF(AND($I510&gt;=$H$3,$I510&lt;=$H$4,INDEX(ChqStatus,494)="پاس نشده"),1,0))</f>
        <v/>
      </c>
      <c r="K510" t="str">
        <f>IF($J510=0,"",INDEX(ChqKey,494))</f>
        <v/>
      </c>
      <c r="L510" t="str">
        <f t="shared" si="7"/>
        <v/>
      </c>
    </row>
    <row r="511" spans="1:12" x14ac:dyDescent="0.2">
      <c r="A511" s="3" t="str">
        <f>IF(IFERROR(MATCH(495,ChqRankU,0),0)=0,"",495)</f>
        <v/>
      </c>
      <c r="B511" s="13" t="str">
        <f>IF(IFERROR(MATCH(495,ChqRankU,0),0)=0,"",INDEX(ChqNorm,IFERROR(MATCH(495,ChqRankU,0),0)))</f>
        <v/>
      </c>
      <c r="C511" s="13" t="str">
        <f>IF(IFERROR(MATCH(495,ChqRankU,0),0)=0,"",INDEX(ChqNo,IFERROR(MATCH(495,ChqRankU,0),0)))</f>
        <v/>
      </c>
      <c r="D511" s="14" t="str">
        <f>IF(IFERROR(MATCH(495,ChqRankU,0),0)=0,"",IF(INDEX(ChqAmt,IFERROR(MATCH(495,ChqRankU,0),0))=0,"",INDEX(ChqAmt,IFERROR(MATCH(495,ChqRankU,0),0))))</f>
        <v/>
      </c>
      <c r="E511" s="7" t="str">
        <f>IF(IFERROR(MATCH(495,ChqRankU,0),0)=0,"",INDEX(ChqStatus,IFERROR(MATCH(495,ChqRankU,0),0)))</f>
        <v/>
      </c>
      <c r="F511" s="13" t="str">
        <f>IF(IFERROR(MATCH(495,ChqRankU,0),0)=0,"",IF(INDEX(ChqStatus,IFERROR(MATCH(495,ChqRankU,0),0))="پاس نشده","—",IF(INDEX(ChqClr,IFERROR(MATCH(495,ChqRankU,0),0))="","—",INDEX(ChqClr,IFERROR(MATCH(495,ChqRankU,0),0)))))</f>
        <v/>
      </c>
      <c r="I511" t="str">
        <f>IF(495&gt;NChq,"",INDEX(ChqNorm,495))</f>
        <v/>
      </c>
      <c r="J511" t="str">
        <f>IF($I511="","",IF(AND($I511&gt;=$H$3,$I511&lt;=$H$4,INDEX(ChqStatus,495)="پاس نشده"),1,0))</f>
        <v/>
      </c>
      <c r="K511" t="str">
        <f>IF($J511=0,"",INDEX(ChqKey,495))</f>
        <v/>
      </c>
      <c r="L511" t="str">
        <f t="shared" si="7"/>
        <v/>
      </c>
    </row>
    <row r="512" spans="1:12" x14ac:dyDescent="0.2">
      <c r="A512" s="9" t="str">
        <f>IF(IFERROR(MATCH(496,ChqRankU,0),0)=0,"",496)</f>
        <v/>
      </c>
      <c r="B512" s="15" t="str">
        <f>IF(IFERROR(MATCH(496,ChqRankU,0),0)=0,"",INDEX(ChqNorm,IFERROR(MATCH(496,ChqRankU,0),0)))</f>
        <v/>
      </c>
      <c r="C512" s="15" t="str">
        <f>IF(IFERROR(MATCH(496,ChqRankU,0),0)=0,"",INDEX(ChqNo,IFERROR(MATCH(496,ChqRankU,0),0)))</f>
        <v/>
      </c>
      <c r="D512" s="16" t="str">
        <f>IF(IFERROR(MATCH(496,ChqRankU,0),0)=0,"",IF(INDEX(ChqAmt,IFERROR(MATCH(496,ChqRankU,0),0))=0,"",INDEX(ChqAmt,IFERROR(MATCH(496,ChqRankU,0),0))))</f>
        <v/>
      </c>
      <c r="E512" s="10" t="str">
        <f>IF(IFERROR(MATCH(496,ChqRankU,0),0)=0,"",INDEX(ChqStatus,IFERROR(MATCH(496,ChqRankU,0),0)))</f>
        <v/>
      </c>
      <c r="F512" s="15" t="str">
        <f>IF(IFERROR(MATCH(496,ChqRankU,0),0)=0,"",IF(INDEX(ChqStatus,IFERROR(MATCH(496,ChqRankU,0),0))="پاس نشده","—",IF(INDEX(ChqClr,IFERROR(MATCH(496,ChqRankU,0),0))="","—",INDEX(ChqClr,IFERROR(MATCH(496,ChqRankU,0),0)))))</f>
        <v/>
      </c>
      <c r="I512" t="str">
        <f>IF(496&gt;NChq,"",INDEX(ChqNorm,496))</f>
        <v/>
      </c>
      <c r="J512" t="str">
        <f>IF($I512="","",IF(AND($I512&gt;=$H$3,$I512&lt;=$H$4,INDEX(ChqStatus,496)="پاس نشده"),1,0))</f>
        <v/>
      </c>
      <c r="K512" t="str">
        <f>IF($J512=0,"",INDEX(ChqKey,496))</f>
        <v/>
      </c>
      <c r="L512" t="str">
        <f t="shared" si="7"/>
        <v/>
      </c>
    </row>
    <row r="513" spans="1:12" x14ac:dyDescent="0.2">
      <c r="A513" s="3" t="str">
        <f>IF(IFERROR(MATCH(497,ChqRankU,0),0)=0,"",497)</f>
        <v/>
      </c>
      <c r="B513" s="13" t="str">
        <f>IF(IFERROR(MATCH(497,ChqRankU,0),0)=0,"",INDEX(ChqNorm,IFERROR(MATCH(497,ChqRankU,0),0)))</f>
        <v/>
      </c>
      <c r="C513" s="13" t="str">
        <f>IF(IFERROR(MATCH(497,ChqRankU,0),0)=0,"",INDEX(ChqNo,IFERROR(MATCH(497,ChqRankU,0),0)))</f>
        <v/>
      </c>
      <c r="D513" s="14" t="str">
        <f>IF(IFERROR(MATCH(497,ChqRankU,0),0)=0,"",IF(INDEX(ChqAmt,IFERROR(MATCH(497,ChqRankU,0),0))=0,"",INDEX(ChqAmt,IFERROR(MATCH(497,ChqRankU,0),0))))</f>
        <v/>
      </c>
      <c r="E513" s="7" t="str">
        <f>IF(IFERROR(MATCH(497,ChqRankU,0),0)=0,"",INDEX(ChqStatus,IFERROR(MATCH(497,ChqRankU,0),0)))</f>
        <v/>
      </c>
      <c r="F513" s="13" t="str">
        <f>IF(IFERROR(MATCH(497,ChqRankU,0),0)=0,"",IF(INDEX(ChqStatus,IFERROR(MATCH(497,ChqRankU,0),0))="پاس نشده","—",IF(INDEX(ChqClr,IFERROR(MATCH(497,ChqRankU,0),0))="","—",INDEX(ChqClr,IFERROR(MATCH(497,ChqRankU,0),0)))))</f>
        <v/>
      </c>
      <c r="I513" t="str">
        <f>IF(497&gt;NChq,"",INDEX(ChqNorm,497))</f>
        <v/>
      </c>
      <c r="J513" t="str">
        <f>IF($I513="","",IF(AND($I513&gt;=$H$3,$I513&lt;=$H$4,INDEX(ChqStatus,497)="پاس نشده"),1,0))</f>
        <v/>
      </c>
      <c r="K513" t="str">
        <f>IF($J513=0,"",INDEX(ChqKey,497))</f>
        <v/>
      </c>
      <c r="L513" t="str">
        <f t="shared" si="7"/>
        <v/>
      </c>
    </row>
    <row r="514" spans="1:12" x14ac:dyDescent="0.2">
      <c r="A514" s="9" t="str">
        <f>IF(IFERROR(MATCH(498,ChqRankU,0),0)=0,"",498)</f>
        <v/>
      </c>
      <c r="B514" s="15" t="str">
        <f>IF(IFERROR(MATCH(498,ChqRankU,0),0)=0,"",INDEX(ChqNorm,IFERROR(MATCH(498,ChqRankU,0),0)))</f>
        <v/>
      </c>
      <c r="C514" s="15" t="str">
        <f>IF(IFERROR(MATCH(498,ChqRankU,0),0)=0,"",INDEX(ChqNo,IFERROR(MATCH(498,ChqRankU,0),0)))</f>
        <v/>
      </c>
      <c r="D514" s="16" t="str">
        <f>IF(IFERROR(MATCH(498,ChqRankU,0),0)=0,"",IF(INDEX(ChqAmt,IFERROR(MATCH(498,ChqRankU,0),0))=0,"",INDEX(ChqAmt,IFERROR(MATCH(498,ChqRankU,0),0))))</f>
        <v/>
      </c>
      <c r="E514" s="10" t="str">
        <f>IF(IFERROR(MATCH(498,ChqRankU,0),0)=0,"",INDEX(ChqStatus,IFERROR(MATCH(498,ChqRankU,0),0)))</f>
        <v/>
      </c>
      <c r="F514" s="15" t="str">
        <f>IF(IFERROR(MATCH(498,ChqRankU,0),0)=0,"",IF(INDEX(ChqStatus,IFERROR(MATCH(498,ChqRankU,0),0))="پاس نشده","—",IF(INDEX(ChqClr,IFERROR(MATCH(498,ChqRankU,0),0))="","—",INDEX(ChqClr,IFERROR(MATCH(498,ChqRankU,0),0)))))</f>
        <v/>
      </c>
      <c r="I514" t="str">
        <f>IF(498&gt;NChq,"",INDEX(ChqNorm,498))</f>
        <v/>
      </c>
      <c r="J514" t="str">
        <f>IF($I514="","",IF(AND($I514&gt;=$H$3,$I514&lt;=$H$4,INDEX(ChqStatus,498)="پاس نشده"),1,0))</f>
        <v/>
      </c>
      <c r="K514" t="str">
        <f>IF($J514=0,"",INDEX(ChqKey,498))</f>
        <v/>
      </c>
      <c r="L514" t="str">
        <f t="shared" si="7"/>
        <v/>
      </c>
    </row>
    <row r="515" spans="1:12" x14ac:dyDescent="0.2">
      <c r="A515" s="3" t="str">
        <f>IF(IFERROR(MATCH(499,ChqRankU,0),0)=0,"",499)</f>
        <v/>
      </c>
      <c r="B515" s="13" t="str">
        <f>IF(IFERROR(MATCH(499,ChqRankU,0),0)=0,"",INDEX(ChqNorm,IFERROR(MATCH(499,ChqRankU,0),0)))</f>
        <v/>
      </c>
      <c r="C515" s="13" t="str">
        <f>IF(IFERROR(MATCH(499,ChqRankU,0),0)=0,"",INDEX(ChqNo,IFERROR(MATCH(499,ChqRankU,0),0)))</f>
        <v/>
      </c>
      <c r="D515" s="14" t="str">
        <f>IF(IFERROR(MATCH(499,ChqRankU,0),0)=0,"",IF(INDEX(ChqAmt,IFERROR(MATCH(499,ChqRankU,0),0))=0,"",INDEX(ChqAmt,IFERROR(MATCH(499,ChqRankU,0),0))))</f>
        <v/>
      </c>
      <c r="E515" s="7" t="str">
        <f>IF(IFERROR(MATCH(499,ChqRankU,0),0)=0,"",INDEX(ChqStatus,IFERROR(MATCH(499,ChqRankU,0),0)))</f>
        <v/>
      </c>
      <c r="F515" s="13" t="str">
        <f>IF(IFERROR(MATCH(499,ChqRankU,0),0)=0,"",IF(INDEX(ChqStatus,IFERROR(MATCH(499,ChqRankU,0),0))="پاس نشده","—",IF(INDEX(ChqClr,IFERROR(MATCH(499,ChqRankU,0),0))="","—",INDEX(ChqClr,IFERROR(MATCH(499,ChqRankU,0),0)))))</f>
        <v/>
      </c>
      <c r="I515" t="str">
        <f>IF(499&gt;NChq,"",INDEX(ChqNorm,499))</f>
        <v/>
      </c>
      <c r="J515" t="str">
        <f>IF($I515="","",IF(AND($I515&gt;=$H$3,$I515&lt;=$H$4,INDEX(ChqStatus,499)="پاس نشده"),1,0))</f>
        <v/>
      </c>
      <c r="K515" t="str">
        <f>IF($J515=0,"",INDEX(ChqKey,499))</f>
        <v/>
      </c>
      <c r="L515" t="str">
        <f t="shared" si="7"/>
        <v/>
      </c>
    </row>
    <row r="516" spans="1:12" x14ac:dyDescent="0.2">
      <c r="A516" s="9" t="str">
        <f>IF(IFERROR(MATCH(500,ChqRankU,0),0)=0,"",500)</f>
        <v/>
      </c>
      <c r="B516" s="15" t="str">
        <f>IF(IFERROR(MATCH(500,ChqRankU,0),0)=0,"",INDEX(ChqNorm,IFERROR(MATCH(500,ChqRankU,0),0)))</f>
        <v/>
      </c>
      <c r="C516" s="15" t="str">
        <f>IF(IFERROR(MATCH(500,ChqRankU,0),0)=0,"",INDEX(ChqNo,IFERROR(MATCH(500,ChqRankU,0),0)))</f>
        <v/>
      </c>
      <c r="D516" s="16" t="str">
        <f>IF(IFERROR(MATCH(500,ChqRankU,0),0)=0,"",IF(INDEX(ChqAmt,IFERROR(MATCH(500,ChqRankU,0),0))=0,"",INDEX(ChqAmt,IFERROR(MATCH(500,ChqRankU,0),0))))</f>
        <v/>
      </c>
      <c r="E516" s="10" t="str">
        <f>IF(IFERROR(MATCH(500,ChqRankU,0),0)=0,"",INDEX(ChqStatus,IFERROR(MATCH(500,ChqRankU,0),0)))</f>
        <v/>
      </c>
      <c r="F516" s="15" t="str">
        <f>IF(IFERROR(MATCH(500,ChqRankU,0),0)=0,"",IF(INDEX(ChqStatus,IFERROR(MATCH(500,ChqRankU,0),0))="پاس نشده","—",IF(INDEX(ChqClr,IFERROR(MATCH(500,ChqRankU,0),0))="","—",INDEX(ChqClr,IFERROR(MATCH(500,ChqRankU,0),0)))))</f>
        <v/>
      </c>
      <c r="I516" t="str">
        <f>IF(500&gt;NChq,"",INDEX(ChqNorm,500))</f>
        <v/>
      </c>
      <c r="J516" t="str">
        <f>IF($I516="","",IF(AND($I516&gt;=$H$3,$I516&lt;=$H$4,INDEX(ChqStatus,500)="پاس نشده"),1,0))</f>
        <v/>
      </c>
      <c r="K516" t="str">
        <f>IF($J516=0,"",INDEX(ChqKey,500))</f>
        <v/>
      </c>
      <c r="L516" t="str">
        <f t="shared" si="7"/>
        <v/>
      </c>
    </row>
  </sheetData>
  <mergeCells count="12">
    <mergeCell ref="A2:F2"/>
    <mergeCell ref="C12:D12"/>
    <mergeCell ref="E12:F12"/>
    <mergeCell ref="C11:D11"/>
    <mergeCell ref="A1:F1"/>
    <mergeCell ref="A11:B11"/>
    <mergeCell ref="E11:F11"/>
    <mergeCell ref="E5:F5"/>
    <mergeCell ref="A3:F3"/>
    <mergeCell ref="C5"/>
    <mergeCell ref="A5"/>
    <mergeCell ref="A12:B12"/>
  </mergeCells>
  <conditionalFormatting sqref="E17:E516">
    <cfRule type="cellIs" dxfId="1" priority="1" operator="equal">
      <formula>"پاس شده"</formula>
    </cfRule>
    <cfRule type="cellIs" dxfId="0" priority="2" operator="equal">
      <formula>"پاس نشده"</formula>
    </cfRule>
  </conditionalFormatting>
  <conditionalFormatting sqref="D17:D516">
    <cfRule type="dataBar" priority="3">
      <dataBar>
        <cfvo type="num" val="0"/>
        <cfvo type="max"/>
        <color rgb="FFFFB74D"/>
      </dataBar>
    </cfRule>
  </conditionalFormatting>
  <dataValidations count="2">
    <dataValidation type="custom" errorTitle="قالب تاریخ" error="از تاریخ را با قالب 1405/07/01 وارد کنید." sqref="B5">
      <formula1>AND(LEN($B$5)=10,MID($B$5,5,1)="/",MID($B$5,8,1)="/")</formula1>
    </dataValidation>
    <dataValidation type="custom" errorTitle="قالب تاریخ" error="تا تاریخ را با قالب 1405/07/31 وارد کنید." sqref="D5">
      <formula1>AND(LEN($D$5)=10,MID($D$5,5,1)="/",MID($D$5,8,1)="/")</formula1>
    </dataValidation>
  </dataValidation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چک‌های پاس‌نشده در بازه — به ترتیب تاریخ&amp;R&amp;"Tahoma"&amp;8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Q2005"/>
  <sheetViews>
    <sheetView showGridLines="0" workbookViewId="0">
      <pane ySplit="5" topLeftCell="A6" activePane="bottomLeft" state="frozen"/>
      <selection pane="bottomLeft" sqref="A1:Q1"/>
    </sheetView>
  </sheetViews>
  <sheetFormatPr defaultRowHeight="14.25" x14ac:dyDescent="0.2"/>
  <cols>
    <col min="1" max="1" width="13" customWidth="1"/>
    <col min="5" max="5" width="9" customWidth="1"/>
    <col min="6" max="6" width="12" customWidth="1"/>
    <col min="7" max="7" width="16" customWidth="1"/>
    <col min="8" max="8" width="26" customWidth="1"/>
    <col min="10" max="10" width="30" customWidth="1"/>
    <col min="12" max="12" width="12" customWidth="1"/>
    <col min="13" max="13" width="15" customWidth="1"/>
    <col min="14" max="15" width="14" customWidth="1"/>
    <col min="16" max="16" width="12" customWidth="1"/>
  </cols>
  <sheetData>
    <row r="1" spans="1:17" ht="26.1" customHeight="1" x14ac:dyDescent="0.2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4.1" customHeight="1" x14ac:dyDescent="0.2">
      <c r="A2" s="25" t="s">
        <v>53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">
      <c r="A3" s="30" t="s">
        <v>54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5" spans="1:17" x14ac:dyDescent="0.2">
      <c r="A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J5" s="17" t="s">
        <v>60</v>
      </c>
      <c r="L5" s="17" t="s">
        <v>61</v>
      </c>
      <c r="M5" s="17" t="s">
        <v>62</v>
      </c>
      <c r="N5" s="17" t="s">
        <v>63</v>
      </c>
      <c r="O5" s="17" t="s">
        <v>64</v>
      </c>
      <c r="P5" s="17" t="s">
        <v>65</v>
      </c>
    </row>
    <row r="6" spans="1:17" x14ac:dyDescent="0.2">
      <c r="A6" t="str">
        <f>IF([1]Cheques!$A$7="","",[1]Cheques!$A$7)</f>
        <v/>
      </c>
      <c r="E6" t="str">
        <f>IF([1]Accounts!$D$7="","",[1]Accounts!$A$7)</f>
        <v>C001</v>
      </c>
      <c r="F6" t="str">
        <f>IF([1]Accounts!$D$7="","",[1]Accounts!$B$7)</f>
        <v>فروشنده</v>
      </c>
      <c r="G6" t="str">
        <f>IF([1]Accounts!$D$7="","",[1]Accounts!$C$7)</f>
        <v>عمده</v>
      </c>
      <c r="H6" t="str">
        <f>IF([1]Accounts!$D$7="","",[1]Accounts!$D$7)</f>
        <v>زینب زاهدی</v>
      </c>
      <c r="J6" t="str">
        <f>IF([1]Company!$C$5="","",[1]Company!$C$5)</f>
        <v>سورتینگ و بسته‌بندی مرکبات مازندشت</v>
      </c>
      <c r="L6" t="str">
        <f>IF([2]Entry!$C$9="","",[2]Entry!$C$9)</f>
        <v>1405/07/01</v>
      </c>
      <c r="M6" t="str">
        <f>IF([2]Entry!$J$9="","",[2]Entry!$J$9)</f>
        <v>واریز</v>
      </c>
      <c r="N6">
        <f>IF([2]Entry!$M$9="","",[2]Entry!$M$9)</f>
        <v>250000000</v>
      </c>
      <c r="O6" t="str">
        <f>IF([2]Entry!$N$9="","",[2]Entry!$N$9)</f>
        <v/>
      </c>
      <c r="P6" t="str">
        <f>IF([2]Entry!$S$9="","",[2]Entry!$S$9)</f>
        <v/>
      </c>
    </row>
    <row r="7" spans="1:17" x14ac:dyDescent="0.2">
      <c r="A7" t="str">
        <f>IF([1]Cheques!$A$8="","",[1]Cheques!$A$8)</f>
        <v/>
      </c>
      <c r="E7" t="str">
        <f>IF([1]Accounts!$D$8="","",[1]Accounts!$A$8)</f>
        <v>C002</v>
      </c>
      <c r="F7" t="str">
        <f>IF([1]Accounts!$D$8="","",[1]Accounts!$B$8)</f>
        <v>فروشنده</v>
      </c>
      <c r="G7" t="str">
        <f>IF([1]Accounts!$D$8="","",[1]Accounts!$C$8)</f>
        <v>صادراتی</v>
      </c>
      <c r="H7" t="str">
        <f>IF([1]Accounts!$D$8="","",[1]Accounts!$D$8)</f>
        <v>سید عباس موسوی</v>
      </c>
      <c r="J7" t="str">
        <f>IF([1]Company!$C$8="","",[1]Company!$C$8)</f>
        <v>باغدشت، بخش مرکزی، شهرستان قائم‌شهر، استان مازندران، ایران</v>
      </c>
      <c r="L7" t="str">
        <f>IF([2]Entry!$C$10="","",[2]Entry!$C$10)</f>
        <v>1405/07/01</v>
      </c>
      <c r="M7" t="str">
        <f>IF([2]Entry!$J$10="","",[2]Entry!$J$10)</f>
        <v>برداشت</v>
      </c>
      <c r="N7" t="str">
        <f>IF([2]Entry!$M$10="","",[2]Entry!$M$10)</f>
        <v/>
      </c>
      <c r="O7">
        <f>IF([2]Entry!$N$10="","",[2]Entry!$N$10)</f>
        <v>1200000</v>
      </c>
      <c r="P7" t="str">
        <f>IF([2]Entry!$S$10="","",[2]Entry!$S$10)</f>
        <v/>
      </c>
    </row>
    <row r="8" spans="1:17" x14ac:dyDescent="0.2">
      <c r="A8" t="str">
        <f>IF([1]Cheques!$A$9="","",[1]Cheques!$A$9)</f>
        <v/>
      </c>
      <c r="E8" t="str">
        <f>IF([1]Accounts!$D$9="","",[1]Accounts!$A$9)</f>
        <v>C003</v>
      </c>
      <c r="F8" t="str">
        <f>IF([1]Accounts!$D$9="","",[1]Accounts!$B$9)</f>
        <v>فروشنده</v>
      </c>
      <c r="G8" t="str">
        <f>IF([1]Accounts!$D$9="","",[1]Accounts!$C$9)</f>
        <v>خرده‌فروش</v>
      </c>
      <c r="H8" t="str">
        <f>IF([1]Accounts!$D$9="","",[1]Accounts!$D$9)</f>
        <v>حاج احمد عیسی پور</v>
      </c>
      <c r="J8" t="str">
        <f>IF([1]Company!$C$9="","",[1]Company!$C$9)</f>
        <v>011-42116449</v>
      </c>
      <c r="L8" t="str">
        <f>IF([2]Entry!$C$11="","",[2]Entry!$C$11)</f>
        <v>1405/07/02</v>
      </c>
      <c r="M8" t="str">
        <f>IF([2]Entry!$J$11="","",[2]Entry!$J$11)</f>
        <v>برداشت</v>
      </c>
      <c r="N8" t="str">
        <f>IF([2]Entry!$M$11="","",[2]Entry!$M$11)</f>
        <v/>
      </c>
      <c r="O8">
        <f>IF([2]Entry!$N$11="","",[2]Entry!$N$11)</f>
        <v>80000000</v>
      </c>
      <c r="P8" t="str">
        <f>IF([2]Entry!$S$11="","",[2]Entry!$S$11)</f>
        <v/>
      </c>
    </row>
    <row r="9" spans="1:17" x14ac:dyDescent="0.2">
      <c r="A9" t="str">
        <f>IF([1]Cheques!$A$10="","",[1]Cheques!$A$10)</f>
        <v/>
      </c>
      <c r="E9" t="str">
        <f>IF([1]Accounts!$D$10="","",[1]Accounts!$A$10)</f>
        <v>C004</v>
      </c>
      <c r="F9" t="str">
        <f>IF([1]Accounts!$D$10="","",[1]Accounts!$B$10)</f>
        <v>فروشنده</v>
      </c>
      <c r="G9">
        <f>IF([1]Accounts!$D$10="","",[1]Accounts!$C$10)</f>
        <v>0</v>
      </c>
      <c r="H9" t="str">
        <f>IF([1]Accounts!$D$10="","",[1]Accounts!$D$10)</f>
        <v>امید زاهدی</v>
      </c>
      <c r="J9" t="str">
        <f>IF([1]Company!$C$7="","",[1]Company!$C$7)</f>
        <v>سورتینگ، بسته‌بندی و بازرگانی مرکبات</v>
      </c>
      <c r="L9" t="str">
        <f>IF([2]Entry!$C$12="","",[2]Entry!$C$12)</f>
        <v>1405/07/02</v>
      </c>
      <c r="M9" t="str">
        <f>IF([2]Entry!$J$12="","",[2]Entry!$J$12)</f>
        <v>واریز</v>
      </c>
      <c r="N9">
        <f>IF([2]Entry!$M$12="","",[2]Entry!$M$12)</f>
        <v>90000000</v>
      </c>
      <c r="O9" t="str">
        <f>IF([2]Entry!$N$12="","",[2]Entry!$N$12)</f>
        <v/>
      </c>
      <c r="P9" t="str">
        <f>IF([2]Entry!$S$12="","",[2]Entry!$S$12)</f>
        <v/>
      </c>
    </row>
    <row r="10" spans="1:17" x14ac:dyDescent="0.2">
      <c r="A10" t="str">
        <f>IF([1]Cheques!$A$11="","",[1]Cheques!$A$11)</f>
        <v/>
      </c>
      <c r="E10" t="str">
        <f>IF([1]Accounts!$D$11="","",[1]Accounts!$A$11)</f>
        <v>C005</v>
      </c>
      <c r="F10" t="str">
        <f>IF([1]Accounts!$D$11="","",[1]Accounts!$B$11)</f>
        <v>فروشنده</v>
      </c>
      <c r="G10">
        <f>IF([1]Accounts!$D$11="","",[1]Accounts!$C$11)</f>
        <v>0</v>
      </c>
      <c r="H10" t="str">
        <f>IF([1]Accounts!$D$11="","",[1]Accounts!$D$11)</f>
        <v>محمدرضا زاهدی (پسر)</v>
      </c>
      <c r="L10" t="str">
        <f>IF([2]Entry!$C$13="","",[2]Entry!$C$13)</f>
        <v>1405/07/03</v>
      </c>
      <c r="M10" t="str">
        <f>IF([2]Entry!$J$13="","",[2]Entry!$J$13)</f>
        <v>برداشت</v>
      </c>
      <c r="N10" t="str">
        <f>IF([2]Entry!$M$13="","",[2]Entry!$M$13)</f>
        <v/>
      </c>
      <c r="O10">
        <f>IF([2]Entry!$N$13="","",[2]Entry!$N$13)</f>
        <v>15000000</v>
      </c>
      <c r="P10" t="str">
        <f>IF([2]Entry!$S$13="","",[2]Entry!$S$13)</f>
        <v/>
      </c>
    </row>
    <row r="11" spans="1:17" x14ac:dyDescent="0.2">
      <c r="A11" t="str">
        <f>IF([1]Cheques!$A$12="","",[1]Cheques!$A$12)</f>
        <v/>
      </c>
      <c r="E11" t="str">
        <f>IF([1]Accounts!$D$12="","",[1]Accounts!$A$12)</f>
        <v>C006</v>
      </c>
      <c r="F11" t="str">
        <f>IF([1]Accounts!$D$12="","",[1]Accounts!$B$12)</f>
        <v>فروشنده</v>
      </c>
      <c r="G11">
        <f>IF([1]Accounts!$D$12="","",[1]Accounts!$C$12)</f>
        <v>0</v>
      </c>
      <c r="H11" t="str">
        <f>IF([1]Accounts!$D$12="","",[1]Accounts!$D$12)</f>
        <v>هوشنگ عیسی پور</v>
      </c>
      <c r="L11" t="str">
        <f>IF([2]Entry!$C$14="","",[2]Entry!$C$14)</f>
        <v>1405/07/01</v>
      </c>
      <c r="M11" t="str">
        <f>IF([2]Entry!$J$14="","",[2]Entry!$J$14)</f>
        <v>واریز</v>
      </c>
      <c r="N11">
        <f>IF([2]Entry!$M$14="","",[2]Entry!$M$14)</f>
        <v>250000000</v>
      </c>
      <c r="O11" t="str">
        <f>IF([2]Entry!$N$14="","",[2]Entry!$N$14)</f>
        <v/>
      </c>
      <c r="P11" t="str">
        <f>IF([2]Entry!$S$14="","",[2]Entry!$S$14)</f>
        <v/>
      </c>
    </row>
    <row r="12" spans="1:17" x14ac:dyDescent="0.2">
      <c r="A12" t="str">
        <f>IF([1]Cheques!$A$13="","",[1]Cheques!$A$13)</f>
        <v/>
      </c>
      <c r="E12" t="str">
        <f>IF([1]Accounts!$D$13="","",[1]Accounts!$A$13)</f>
        <v>C007</v>
      </c>
      <c r="F12" t="str">
        <f>IF([1]Accounts!$D$13="","",[1]Accounts!$B$13)</f>
        <v>فروشنده</v>
      </c>
      <c r="G12">
        <f>IF([1]Accounts!$D$13="","",[1]Accounts!$C$13)</f>
        <v>0</v>
      </c>
      <c r="H12" t="str">
        <f>IF([1]Accounts!$D$13="","",[1]Accounts!$D$13)</f>
        <v>علی آهنگر</v>
      </c>
      <c r="L12" t="str">
        <f>IF([2]Entry!$C$15="","",[2]Entry!$C$15)</f>
        <v>1405/07/04</v>
      </c>
      <c r="M12" t="str">
        <f>IF([2]Entry!$J$15="","",[2]Entry!$J$15)</f>
        <v>واریز</v>
      </c>
      <c r="N12">
        <f>IF([2]Entry!$M$15="","",[2]Entry!$M$15)</f>
        <v>300000000</v>
      </c>
      <c r="O12" t="str">
        <f>IF([2]Entry!$N$15="","",[2]Entry!$N$15)</f>
        <v/>
      </c>
      <c r="P12" t="str">
        <f>IF([2]Entry!$S$15="","",[2]Entry!$S$15)</f>
        <v/>
      </c>
    </row>
    <row r="13" spans="1:17" x14ac:dyDescent="0.2">
      <c r="A13" t="str">
        <f>IF([1]Cheques!$A$14="","",[1]Cheques!$A$14)</f>
        <v/>
      </c>
      <c r="E13" t="str">
        <f>IF([1]Accounts!$D$14="","",[1]Accounts!$A$14)</f>
        <v>C008</v>
      </c>
      <c r="F13" t="str">
        <f>IF([1]Accounts!$D$14="","",[1]Accounts!$B$14)</f>
        <v>فروشنده</v>
      </c>
      <c r="G13">
        <f>IF([1]Accounts!$D$14="","",[1]Accounts!$C$14)</f>
        <v>0</v>
      </c>
      <c r="H13" t="str">
        <f>IF([1]Accounts!$D$14="","",[1]Accounts!$D$14)</f>
        <v>صفدر مسلمی</v>
      </c>
      <c r="L13" t="str">
        <f>IF([2]Entry!$C$16="","",[2]Entry!$C$16)</f>
        <v>1405/07/09</v>
      </c>
      <c r="M13" t="str">
        <f>IF([2]Entry!$J$16="","",[2]Entry!$J$16)</f>
        <v>واریز</v>
      </c>
      <c r="N13">
        <f>IF([2]Entry!$M$16="","",[2]Entry!$M$16)</f>
        <v>1600000000</v>
      </c>
      <c r="O13" t="str">
        <f>IF([2]Entry!$N$16="","",[2]Entry!$N$16)</f>
        <v/>
      </c>
      <c r="P13" t="str">
        <f>IF([2]Entry!$S$16="","",[2]Entry!$S$16)</f>
        <v/>
      </c>
    </row>
    <row r="14" spans="1:17" x14ac:dyDescent="0.2">
      <c r="A14" t="str">
        <f>IF([1]Cheques!$A$15="","",[1]Cheques!$A$15)</f>
        <v/>
      </c>
      <c r="E14" t="str">
        <f>IF([1]Accounts!$D$15="","",[1]Accounts!$A$15)</f>
        <v>C009</v>
      </c>
      <c r="F14" t="str">
        <f>IF([1]Accounts!$D$15="","",[1]Accounts!$B$15)</f>
        <v>فروشنده</v>
      </c>
      <c r="G14">
        <f>IF([1]Accounts!$D$15="","",[1]Accounts!$C$15)</f>
        <v>0</v>
      </c>
      <c r="H14" t="str">
        <f>IF([1]Accounts!$D$15="","",[1]Accounts!$D$15)</f>
        <v>همایون بابایی</v>
      </c>
      <c r="L14" t="str">
        <f>IF([2]Entry!$C$17="","",[2]Entry!$C$17)</f>
        <v>1405/07/05</v>
      </c>
      <c r="M14" t="str">
        <f>IF([2]Entry!$J$17="","",[2]Entry!$J$17)</f>
        <v>برداشت</v>
      </c>
      <c r="N14" t="str">
        <f>IF([2]Entry!$M$17="","",[2]Entry!$M$17)</f>
        <v/>
      </c>
      <c r="O14">
        <f>IF([2]Entry!$N$17="","",[2]Entry!$N$17)</f>
        <v>25000000</v>
      </c>
      <c r="P14" t="str">
        <f>IF([2]Entry!$S$17="","",[2]Entry!$S$17)</f>
        <v/>
      </c>
    </row>
    <row r="15" spans="1:17" x14ac:dyDescent="0.2">
      <c r="A15" t="str">
        <f>IF([1]Cheques!$A$16="","",[1]Cheques!$A$16)</f>
        <v/>
      </c>
      <c r="E15" t="str">
        <f>IF([1]Accounts!$D$16="","",[1]Accounts!$A$16)</f>
        <v>C010</v>
      </c>
      <c r="F15" t="str">
        <f>IF([1]Accounts!$D$16="","",[1]Accounts!$B$16)</f>
        <v>فروشنده</v>
      </c>
      <c r="G15">
        <f>IF([1]Accounts!$D$16="","",[1]Accounts!$C$16)</f>
        <v>0</v>
      </c>
      <c r="H15" t="str">
        <f>IF([1]Accounts!$D$16="","",[1]Accounts!$D$16)</f>
        <v>دبیر فرجی</v>
      </c>
      <c r="L15" t="str">
        <f>IF([2]Entry!$C$18="","",[2]Entry!$C$18)</f>
        <v>1405/07/06</v>
      </c>
      <c r="M15" t="str">
        <f>IF([2]Entry!$J$18="","",[2]Entry!$J$18)</f>
        <v>برداشت</v>
      </c>
      <c r="N15" t="str">
        <f>IF([2]Entry!$M$18="","",[2]Entry!$M$18)</f>
        <v/>
      </c>
      <c r="O15">
        <f>IF([2]Entry!$N$18="","",[2]Entry!$N$18)</f>
        <v>4500000</v>
      </c>
      <c r="P15" t="str">
        <f>IF([2]Entry!$S$18="","",[2]Entry!$S$18)</f>
        <v/>
      </c>
    </row>
    <row r="16" spans="1:17" x14ac:dyDescent="0.2">
      <c r="A16" t="str">
        <f>IF([1]Cheques!$A$17="","",[1]Cheques!$A$17)</f>
        <v/>
      </c>
      <c r="E16" t="str">
        <f>IF([1]Accounts!$D$17="","",[1]Accounts!$A$17)</f>
        <v>C011</v>
      </c>
      <c r="F16" t="str">
        <f>IF([1]Accounts!$D$17="","",[1]Accounts!$B$17)</f>
        <v>فروشنده</v>
      </c>
      <c r="G16">
        <f>IF([1]Accounts!$D$17="","",[1]Accounts!$C$17)</f>
        <v>0</v>
      </c>
      <c r="H16" t="str">
        <f>IF([1]Accounts!$D$17="","",[1]Accounts!$D$17)</f>
        <v>محمود علیجانی</v>
      </c>
      <c r="L16" t="str">
        <f>IF([2]Entry!$C$19="","",[2]Entry!$C$19)</f>
        <v>1405/07/07</v>
      </c>
      <c r="M16" t="str">
        <f>IF([2]Entry!$J$19="","",[2]Entry!$J$19)</f>
        <v>برداشت</v>
      </c>
      <c r="N16" t="str">
        <f>IF([2]Entry!$M$19="","",[2]Entry!$M$19)</f>
        <v/>
      </c>
      <c r="O16">
        <f>IF([2]Entry!$N$19="","",[2]Entry!$N$19)</f>
        <v>8000000</v>
      </c>
      <c r="P16" t="str">
        <f>IF([2]Entry!$S$19="","",[2]Entry!$S$19)</f>
        <v/>
      </c>
    </row>
    <row r="17" spans="1:16" x14ac:dyDescent="0.2">
      <c r="A17" t="str">
        <f>IF([1]Cheques!$A$18="","",[1]Cheques!$A$18)</f>
        <v/>
      </c>
      <c r="E17" t="str">
        <f>IF([1]Accounts!$D$18="","",[1]Accounts!$A$18)</f>
        <v>C012</v>
      </c>
      <c r="F17" t="str">
        <f>IF([1]Accounts!$D$18="","",[1]Accounts!$B$18)</f>
        <v>فروشنده</v>
      </c>
      <c r="G17">
        <f>IF([1]Accounts!$D$18="","",[1]Accounts!$C$18)</f>
        <v>0</v>
      </c>
      <c r="H17" t="str">
        <f>IF([1]Accounts!$D$18="","",[1]Accounts!$D$18)</f>
        <v>افشین بشتکار</v>
      </c>
      <c r="L17" t="str">
        <f>IF([2]Entry!$C$20="","",[2]Entry!$C$20)</f>
        <v>1405/07/08</v>
      </c>
      <c r="M17" t="str">
        <f>IF([2]Entry!$J$20="","",[2]Entry!$J$20)</f>
        <v>برداشت</v>
      </c>
      <c r="N17" t="str">
        <f>IF([2]Entry!$M$20="","",[2]Entry!$M$20)</f>
        <v/>
      </c>
      <c r="O17">
        <f>IF([2]Entry!$N$20="","",[2]Entry!$N$20)</f>
        <v>20000000</v>
      </c>
      <c r="P17" t="str">
        <f>IF([2]Entry!$S$20="","",[2]Entry!$S$20)</f>
        <v/>
      </c>
    </row>
    <row r="18" spans="1:16" x14ac:dyDescent="0.2">
      <c r="A18" t="str">
        <f>IF([1]Cheques!$A$19="","",[1]Cheques!$A$19)</f>
        <v/>
      </c>
      <c r="E18" t="str">
        <f>IF([1]Accounts!$D$19="","",[1]Accounts!$A$19)</f>
        <v>C013</v>
      </c>
      <c r="F18" t="str">
        <f>IF([1]Accounts!$D$19="","",[1]Accounts!$B$19)</f>
        <v>فروشنده</v>
      </c>
      <c r="G18">
        <f>IF([1]Accounts!$D$19="","",[1]Accounts!$C$19)</f>
        <v>0</v>
      </c>
      <c r="H18" t="str">
        <f>IF([1]Accounts!$D$19="","",[1]Accounts!$D$19)</f>
        <v>میرقربان موسویان</v>
      </c>
      <c r="L18" t="str">
        <f>IF([2]Entry!$C$21="","",[2]Entry!$C$21)</f>
        <v>1405/07/07</v>
      </c>
      <c r="M18" t="str">
        <f>IF([2]Entry!$J$21="","",[2]Entry!$J$21)</f>
        <v>برداشت</v>
      </c>
      <c r="N18" t="str">
        <f>IF([2]Entry!$M$21="","",[2]Entry!$M$21)</f>
        <v/>
      </c>
      <c r="O18">
        <f>IF([2]Entry!$N$21="","",[2]Entry!$N$21)</f>
        <v>15000000</v>
      </c>
      <c r="P18" t="str">
        <f>IF([2]Entry!$S$21="","",[2]Entry!$S$21)</f>
        <v/>
      </c>
    </row>
    <row r="19" spans="1:16" x14ac:dyDescent="0.2">
      <c r="A19" t="str">
        <f>IF([1]Cheques!$A$20="","",[1]Cheques!$A$20)</f>
        <v/>
      </c>
      <c r="E19" t="str">
        <f>IF([1]Accounts!$D$20="","",[1]Accounts!$A$20)</f>
        <v>C014</v>
      </c>
      <c r="F19" t="str">
        <f>IF([1]Accounts!$D$20="","",[1]Accounts!$B$20)</f>
        <v>فروشنده</v>
      </c>
      <c r="G19">
        <f>IF([1]Accounts!$D$20="","",[1]Accounts!$C$20)</f>
        <v>0</v>
      </c>
      <c r="H19" t="str">
        <f>IF([1]Accounts!$D$20="","",[1]Accounts!$D$20)</f>
        <v>باباجانی (تراجیکلا)</v>
      </c>
      <c r="L19" t="str">
        <f>IF([2]Entry!$C$22="","",[2]Entry!$C$22)</f>
        <v>1405/07/15</v>
      </c>
      <c r="M19" t="str">
        <f>IF([2]Entry!$J$22="","",[2]Entry!$J$22)</f>
        <v>پاس چک</v>
      </c>
      <c r="N19" t="str">
        <f>IF([2]Entry!$M$22="","",[2]Entry!$M$22)</f>
        <v/>
      </c>
      <c r="O19">
        <f>IF([2]Entry!$N$22="","",[2]Entry!$N$22)</f>
        <v>80000000</v>
      </c>
      <c r="P19" t="str">
        <f>IF([2]Entry!$S$22="","",[2]Entry!$S$22)</f>
        <v>24012345</v>
      </c>
    </row>
    <row r="20" spans="1:16" x14ac:dyDescent="0.2">
      <c r="A20" t="str">
        <f>IF([1]Cheques!$A$21="","",[1]Cheques!$A$21)</f>
        <v/>
      </c>
      <c r="E20" t="str">
        <f>IF([1]Accounts!$D$21="","",[1]Accounts!$A$21)</f>
        <v>C015</v>
      </c>
      <c r="F20" t="str">
        <f>IF([1]Accounts!$D$21="","",[1]Accounts!$B$21)</f>
        <v>فروشنده</v>
      </c>
      <c r="G20">
        <f>IF([1]Accounts!$D$21="","",[1]Accounts!$C$21)</f>
        <v>0</v>
      </c>
      <c r="H20" t="str">
        <f>IF([1]Accounts!$D$21="","",[1]Accounts!$D$21)</f>
        <v>کاظم میرزازاده</v>
      </c>
      <c r="L20" t="str">
        <f>IF([2]Entry!$C$23="","",[2]Entry!$C$23)</f>
        <v>1405/07/11</v>
      </c>
      <c r="M20" t="str">
        <f>IF([2]Entry!$J$23="","",[2]Entry!$J$23)</f>
        <v>واریز</v>
      </c>
      <c r="N20">
        <f>IF([2]Entry!$M$23="","",[2]Entry!$M$23)</f>
        <v>400000000</v>
      </c>
      <c r="O20" t="str">
        <f>IF([2]Entry!$N$23="","",[2]Entry!$N$23)</f>
        <v/>
      </c>
      <c r="P20" t="str">
        <f>IF([2]Entry!$S$23="","",[2]Entry!$S$23)</f>
        <v/>
      </c>
    </row>
    <row r="21" spans="1:16" x14ac:dyDescent="0.2">
      <c r="A21" t="str">
        <f>IF([1]Cheques!$A$22="","",[1]Cheques!$A$22)</f>
        <v/>
      </c>
      <c r="E21" t="str">
        <f>IF([1]Accounts!$D$22="","",[1]Accounts!$A$22)</f>
        <v>C016</v>
      </c>
      <c r="F21" t="str">
        <f>IF([1]Accounts!$D$22="","",[1]Accounts!$B$22)</f>
        <v>فروشنده</v>
      </c>
      <c r="G21">
        <f>IF([1]Accounts!$D$22="","",[1]Accounts!$C$22)</f>
        <v>0</v>
      </c>
      <c r="H21" t="str">
        <f>IF([1]Accounts!$D$22="","",[1]Accounts!$D$22)</f>
        <v>علی جانبرارپور</v>
      </c>
      <c r="L21" t="str">
        <f>IF([2]Entry!$C$24="","",[2]Entry!$C$24)</f>
        <v>1405/07/12</v>
      </c>
      <c r="M21" t="str">
        <f>IF([2]Entry!$J$24="","",[2]Entry!$J$24)</f>
        <v>واریز</v>
      </c>
      <c r="N21">
        <f>IF([2]Entry!$M$24="","",[2]Entry!$M$24)</f>
        <v>200000000</v>
      </c>
      <c r="O21" t="str">
        <f>IF([2]Entry!$N$24="","",[2]Entry!$N$24)</f>
        <v/>
      </c>
      <c r="P21" t="str">
        <f>IF([2]Entry!$S$24="","",[2]Entry!$S$24)</f>
        <v/>
      </c>
    </row>
    <row r="22" spans="1:16" x14ac:dyDescent="0.2">
      <c r="A22" t="str">
        <f>IF([1]Cheques!$A$23="","",[1]Cheques!$A$23)</f>
        <v/>
      </c>
      <c r="E22" t="str">
        <f>IF([1]Accounts!$D$23="","",[1]Accounts!$A$23)</f>
        <v>C017</v>
      </c>
      <c r="F22" t="str">
        <f>IF([1]Accounts!$D$23="","",[1]Accounts!$B$23)</f>
        <v>فروشنده</v>
      </c>
      <c r="G22">
        <f>IF([1]Accounts!$D$23="","",[1]Accounts!$C$23)</f>
        <v>0</v>
      </c>
      <c r="H22" t="str">
        <f>IF([1]Accounts!$D$23="","",[1]Accounts!$D$23)</f>
        <v>لیلا محمودنیا</v>
      </c>
      <c r="L22" t="str">
        <f>IF([2]Entry!$C$25="","",[2]Entry!$C$25)</f>
        <v>1405/07/16</v>
      </c>
      <c r="M22" t="str">
        <f>IF([2]Entry!$J$25="","",[2]Entry!$J$25)</f>
        <v>برداشت</v>
      </c>
      <c r="N22" t="str">
        <f>IF([2]Entry!$M$25="","",[2]Entry!$M$25)</f>
        <v/>
      </c>
      <c r="O22">
        <f>IF([2]Entry!$N$25="","",[2]Entry!$N$25)</f>
        <v>20000000</v>
      </c>
      <c r="P22" t="str">
        <f>IF([2]Entry!$S$25="","",[2]Entry!$S$25)</f>
        <v/>
      </c>
    </row>
    <row r="23" spans="1:16" x14ac:dyDescent="0.2">
      <c r="A23" t="str">
        <f>IF([1]Cheques!$A$24="","",[1]Cheques!$A$24)</f>
        <v/>
      </c>
      <c r="E23" t="str">
        <f>IF([1]Accounts!$D$24="","",[1]Accounts!$A$24)</f>
        <v>C018</v>
      </c>
      <c r="F23" t="str">
        <f>IF([1]Accounts!$D$24="","",[1]Accounts!$B$24)</f>
        <v>فروشنده</v>
      </c>
      <c r="G23">
        <f>IF([1]Accounts!$D$24="","",[1]Accounts!$C$24)</f>
        <v>0</v>
      </c>
      <c r="H23" t="str">
        <f>IF([1]Accounts!$D$24="","",[1]Accounts!$D$24)</f>
        <v>اسماعیل خانیا</v>
      </c>
      <c r="L23" t="str">
        <f>IF([2]Entry!$C$26="","",[2]Entry!$C$26)</f>
        <v>1405/07/16</v>
      </c>
      <c r="M23" t="str">
        <f>IF([2]Entry!$J$26="","",[2]Entry!$J$26)</f>
        <v>برداشت</v>
      </c>
      <c r="N23" t="str">
        <f>IF([2]Entry!$M$26="","",[2]Entry!$M$26)</f>
        <v/>
      </c>
      <c r="O23">
        <f>IF([2]Entry!$N$26="","",[2]Entry!$N$26)</f>
        <v>2000000</v>
      </c>
      <c r="P23" t="str">
        <f>IF([2]Entry!$S$26="","",[2]Entry!$S$26)</f>
        <v/>
      </c>
    </row>
    <row r="24" spans="1:16" x14ac:dyDescent="0.2">
      <c r="A24" t="str">
        <f>IF([1]Cheques!$A$25="","",[1]Cheques!$A$25)</f>
        <v/>
      </c>
      <c r="E24" t="str">
        <f>IF([1]Accounts!$D$25="","",[1]Accounts!$A$25)</f>
        <v>C019</v>
      </c>
      <c r="F24" t="str">
        <f>IF([1]Accounts!$D$25="","",[1]Accounts!$B$25)</f>
        <v>فروشنده</v>
      </c>
      <c r="G24">
        <f>IF([1]Accounts!$D$25="","",[1]Accounts!$C$25)</f>
        <v>0</v>
      </c>
      <c r="H24" t="str">
        <f>IF([1]Accounts!$D$25="","",[1]Accounts!$D$25)</f>
        <v>یوسف یوسف نژاد</v>
      </c>
      <c r="L24" t="str">
        <f>IF([2]Entry!$C$27="","",[2]Entry!$C$27)</f>
        <v>1405/07/18</v>
      </c>
      <c r="M24" t="str">
        <f>IF([2]Entry!$J$27="","",[2]Entry!$J$27)</f>
        <v>برداشت</v>
      </c>
      <c r="N24" t="str">
        <f>IF([2]Entry!$M$27="","",[2]Entry!$M$27)</f>
        <v/>
      </c>
      <c r="O24">
        <f>IF([2]Entry!$N$27="","",[2]Entry!$N$27)</f>
        <v>150000000</v>
      </c>
      <c r="P24" t="str">
        <f>IF([2]Entry!$S$27="","",[2]Entry!$S$27)</f>
        <v/>
      </c>
    </row>
    <row r="25" spans="1:16" x14ac:dyDescent="0.2">
      <c r="A25" t="str">
        <f>IF([1]Cheques!$A$26="","",[1]Cheques!$A$26)</f>
        <v/>
      </c>
      <c r="E25" t="str">
        <f>IF([1]Accounts!$D$26="","",[1]Accounts!$A$26)</f>
        <v>C020</v>
      </c>
      <c r="F25" t="str">
        <f>IF([1]Accounts!$D$26="","",[1]Accounts!$B$26)</f>
        <v>فروشنده</v>
      </c>
      <c r="G25">
        <f>IF([1]Accounts!$D$26="","",[1]Accounts!$C$26)</f>
        <v>0</v>
      </c>
      <c r="H25" t="str">
        <f>IF([1]Accounts!$D$26="","",[1]Accounts!$D$26)</f>
        <v>علی نوایی</v>
      </c>
      <c r="L25" t="str">
        <f>IF([2]Entry!$C$28="","",[2]Entry!$C$28)</f>
        <v>1405/07/15</v>
      </c>
      <c r="M25" t="str">
        <f>IF([2]Entry!$J$28="","",[2]Entry!$J$28)</f>
        <v>برداشت</v>
      </c>
      <c r="N25" t="str">
        <f>IF([2]Entry!$M$28="","",[2]Entry!$M$28)</f>
        <v/>
      </c>
      <c r="O25">
        <f>IF([2]Entry!$N$28="","",[2]Entry!$N$28)</f>
        <v>25000000</v>
      </c>
      <c r="P25" t="str">
        <f>IF([2]Entry!$S$28="","",[2]Entry!$S$28)</f>
        <v/>
      </c>
    </row>
    <row r="26" spans="1:16" x14ac:dyDescent="0.2">
      <c r="A26" t="str">
        <f>IF([1]Cheques!$A$27="","",[1]Cheques!$A$27)</f>
        <v/>
      </c>
      <c r="E26" t="str">
        <f>IF([1]Accounts!$D$27="","",[1]Accounts!$A$27)</f>
        <v>C021</v>
      </c>
      <c r="F26" t="str">
        <f>IF([1]Accounts!$D$27="","",[1]Accounts!$B$27)</f>
        <v>فروشنده</v>
      </c>
      <c r="G26">
        <f>IF([1]Accounts!$D$27="","",[1]Accounts!$C$27)</f>
        <v>0</v>
      </c>
      <c r="H26" t="str">
        <f>IF([1]Accounts!$D$27="","",[1]Accounts!$D$27)</f>
        <v>دومیری</v>
      </c>
      <c r="L26" t="str">
        <f>IF([2]Entry!$C$29="","",[2]Entry!$C$29)</f>
        <v>1405/07/20</v>
      </c>
      <c r="M26" t="str">
        <f>IF([2]Entry!$J$29="","",[2]Entry!$J$29)</f>
        <v>واریز</v>
      </c>
      <c r="N26">
        <f>IF([2]Entry!$M$29="","",[2]Entry!$M$29)</f>
        <v>5000000</v>
      </c>
      <c r="O26" t="str">
        <f>IF([2]Entry!$N$29="","",[2]Entry!$N$29)</f>
        <v/>
      </c>
      <c r="P26" t="str">
        <f>IF([2]Entry!$S$29="","",[2]Entry!$S$29)</f>
        <v/>
      </c>
    </row>
    <row r="27" spans="1:16" x14ac:dyDescent="0.2">
      <c r="A27" t="str">
        <f>IF([1]Cheques!$A$28="","",[1]Cheques!$A$28)</f>
        <v/>
      </c>
      <c r="E27" t="str">
        <f>IF([1]Accounts!$D$28="","",[1]Accounts!$A$28)</f>
        <v>C022</v>
      </c>
      <c r="F27" t="str">
        <f>IF([1]Accounts!$D$28="","",[1]Accounts!$B$28)</f>
        <v>فروشنده</v>
      </c>
      <c r="G27">
        <f>IF([1]Accounts!$D$28="","",[1]Accounts!$C$28)</f>
        <v>0</v>
      </c>
      <c r="H27" t="str">
        <f>IF([1]Accounts!$D$28="","",[1]Accounts!$D$28)</f>
        <v>شمسعلی علیجانی</v>
      </c>
      <c r="L27" t="str">
        <f>IF([2]Entry!$C$30="","",[2]Entry!$C$30)</f>
        <v>1405/07/21</v>
      </c>
      <c r="M27" t="str">
        <f>IF([2]Entry!$J$30="","",[2]Entry!$J$30)</f>
        <v>برداشت</v>
      </c>
      <c r="N27" t="str">
        <f>IF([2]Entry!$M$30="","",[2]Entry!$M$30)</f>
        <v/>
      </c>
      <c r="O27">
        <f>IF([2]Entry!$N$30="","",[2]Entry!$N$30)</f>
        <v>3000000</v>
      </c>
      <c r="P27" t="str">
        <f>IF([2]Entry!$S$30="","",[2]Entry!$S$30)</f>
        <v/>
      </c>
    </row>
    <row r="28" spans="1:16" x14ac:dyDescent="0.2">
      <c r="A28" t="str">
        <f>IF([1]Cheques!$A$29="","",[1]Cheques!$A$29)</f>
        <v/>
      </c>
      <c r="E28" t="str">
        <f>IF([1]Accounts!$D$29="","",[1]Accounts!$A$29)</f>
        <v>C023</v>
      </c>
      <c r="F28" t="str">
        <f>IF([1]Accounts!$D$29="","",[1]Accounts!$B$29)</f>
        <v>فروشنده</v>
      </c>
      <c r="G28">
        <f>IF([1]Accounts!$D$29="","",[1]Accounts!$C$29)</f>
        <v>0</v>
      </c>
      <c r="H28" t="str">
        <f>IF([1]Accounts!$D$29="","",[1]Accounts!$D$29)</f>
        <v>یوسف نیا(موزیج)</v>
      </c>
      <c r="L28" t="str">
        <f>IF([2]Entry!$C$31="","",[2]Entry!$C$31)</f>
        <v/>
      </c>
      <c r="M28" t="str">
        <f>IF([2]Entry!$J$31="","",[2]Entry!$J$31)</f>
        <v/>
      </c>
      <c r="N28" t="str">
        <f>IF([2]Entry!$M$31="","",[2]Entry!$M$31)</f>
        <v/>
      </c>
      <c r="O28" t="str">
        <f>IF([2]Entry!$N$31="","",[2]Entry!$N$31)</f>
        <v/>
      </c>
      <c r="P28" t="str">
        <f>IF([2]Entry!$S$31="","",[2]Entry!$S$31)</f>
        <v/>
      </c>
    </row>
    <row r="29" spans="1:16" x14ac:dyDescent="0.2">
      <c r="A29" t="str">
        <f>IF([1]Cheques!$A$30="","",[1]Cheques!$A$30)</f>
        <v/>
      </c>
      <c r="E29" t="str">
        <f>IF([1]Accounts!$D$30="","",[1]Accounts!$A$30)</f>
        <v>C024</v>
      </c>
      <c r="F29" t="str">
        <f>IF([1]Accounts!$D$30="","",[1]Accounts!$B$30)</f>
        <v>فروشنده</v>
      </c>
      <c r="G29">
        <f>IF([1]Accounts!$D$30="","",[1]Accounts!$C$30)</f>
        <v>0</v>
      </c>
      <c r="H29" t="str">
        <f>IF([1]Accounts!$D$30="","",[1]Accounts!$D$30)</f>
        <v>کاظم ذبیح پور</v>
      </c>
      <c r="L29" t="str">
        <f>IF([2]Entry!$C$32="","",[2]Entry!$C$32)</f>
        <v/>
      </c>
      <c r="M29" t="str">
        <f>IF([2]Entry!$J$32="","",[2]Entry!$J$32)</f>
        <v/>
      </c>
      <c r="N29" t="str">
        <f>IF([2]Entry!$M$32="","",[2]Entry!$M$32)</f>
        <v/>
      </c>
      <c r="O29" t="str">
        <f>IF([2]Entry!$N$32="","",[2]Entry!$N$32)</f>
        <v/>
      </c>
      <c r="P29" t="str">
        <f>IF([2]Entry!$S$32="","",[2]Entry!$S$32)</f>
        <v/>
      </c>
    </row>
    <row r="30" spans="1:16" x14ac:dyDescent="0.2">
      <c r="A30" t="str">
        <f>IF([1]Cheques!$A$31="","",[1]Cheques!$A$31)</f>
        <v/>
      </c>
      <c r="E30" t="str">
        <f>IF([1]Accounts!$D$31="","",[1]Accounts!$A$31)</f>
        <v>C025</v>
      </c>
      <c r="F30" t="str">
        <f>IF([1]Accounts!$D$31="","",[1]Accounts!$B$31)</f>
        <v>فروشنده</v>
      </c>
      <c r="G30">
        <f>IF([1]Accounts!$D$31="","",[1]Accounts!$C$31)</f>
        <v>0</v>
      </c>
      <c r="H30" t="str">
        <f>IF([1]Accounts!$D$31="","",[1]Accounts!$D$31)</f>
        <v>علی غلام رضاپور</v>
      </c>
      <c r="L30" t="str">
        <f>IF([2]Entry!$C$33="","",[2]Entry!$C$33)</f>
        <v/>
      </c>
      <c r="M30" t="str">
        <f>IF([2]Entry!$J$33="","",[2]Entry!$J$33)</f>
        <v/>
      </c>
      <c r="N30" t="str">
        <f>IF([2]Entry!$M$33="","",[2]Entry!$M$33)</f>
        <v/>
      </c>
      <c r="O30" t="str">
        <f>IF([2]Entry!$N$33="","",[2]Entry!$N$33)</f>
        <v/>
      </c>
      <c r="P30" t="str">
        <f>IF([2]Entry!$S$33="","",[2]Entry!$S$33)</f>
        <v/>
      </c>
    </row>
    <row r="31" spans="1:16" x14ac:dyDescent="0.2">
      <c r="A31" t="str">
        <f>IF([1]Cheques!$A$32="","",[1]Cheques!$A$32)</f>
        <v/>
      </c>
      <c r="E31" t="str">
        <f>IF([1]Accounts!$D$32="","",[1]Accounts!$A$32)</f>
        <v>C026</v>
      </c>
      <c r="F31" t="str">
        <f>IF([1]Accounts!$D$32="","",[1]Accounts!$B$32)</f>
        <v>فروشنده</v>
      </c>
      <c r="G31">
        <f>IF([1]Accounts!$D$32="","",[1]Accounts!$C$32)</f>
        <v>0</v>
      </c>
      <c r="H31" t="str">
        <f>IF([1]Accounts!$D$32="","",[1]Accounts!$D$32)</f>
        <v>حسین شکرالله پور</v>
      </c>
      <c r="L31" t="str">
        <f>IF([2]Entry!$C$34="","",[2]Entry!$C$34)</f>
        <v/>
      </c>
      <c r="M31" t="str">
        <f>IF([2]Entry!$J$34="","",[2]Entry!$J$34)</f>
        <v/>
      </c>
      <c r="N31" t="str">
        <f>IF([2]Entry!$M$34="","",[2]Entry!$M$34)</f>
        <v/>
      </c>
      <c r="O31" t="str">
        <f>IF([2]Entry!$N$34="","",[2]Entry!$N$34)</f>
        <v/>
      </c>
      <c r="P31" t="str">
        <f>IF([2]Entry!$S$34="","",[2]Entry!$S$34)</f>
        <v/>
      </c>
    </row>
    <row r="32" spans="1:16" x14ac:dyDescent="0.2">
      <c r="A32" t="str">
        <f>IF([1]Cheques!$A$33="","",[1]Cheques!$A$33)</f>
        <v/>
      </c>
      <c r="E32" t="str">
        <f>IF([1]Accounts!$D$33="","",[1]Accounts!$A$33)</f>
        <v>C027</v>
      </c>
      <c r="F32" t="str">
        <f>IF([1]Accounts!$D$33="","",[1]Accounts!$B$33)</f>
        <v>فروشنده</v>
      </c>
      <c r="G32">
        <f>IF([1]Accounts!$D$33="","",[1]Accounts!$C$33)</f>
        <v>0</v>
      </c>
      <c r="H32" t="str">
        <f>IF([1]Accounts!$D$33="","",[1]Accounts!$D$33)</f>
        <v>سید مهدی حسینی</v>
      </c>
      <c r="L32" t="str">
        <f>IF([2]Entry!$C$35="","",[2]Entry!$C$35)</f>
        <v/>
      </c>
      <c r="M32" t="str">
        <f>IF([2]Entry!$J$35="","",[2]Entry!$J$35)</f>
        <v/>
      </c>
      <c r="N32" t="str">
        <f>IF([2]Entry!$M$35="","",[2]Entry!$M$35)</f>
        <v/>
      </c>
      <c r="O32" t="str">
        <f>IF([2]Entry!$N$35="","",[2]Entry!$N$35)</f>
        <v/>
      </c>
      <c r="P32" t="str">
        <f>IF([2]Entry!$S$35="","",[2]Entry!$S$35)</f>
        <v/>
      </c>
    </row>
    <row r="33" spans="1:16" x14ac:dyDescent="0.2">
      <c r="A33" t="str">
        <f>IF([1]Cheques!$A$34="","",[1]Cheques!$A$34)</f>
        <v/>
      </c>
      <c r="E33" t="str">
        <f>IF([1]Accounts!$D$34="","",[1]Accounts!$A$34)</f>
        <v>C028</v>
      </c>
      <c r="F33" t="str">
        <f>IF([1]Accounts!$D$34="","",[1]Accounts!$B$34)</f>
        <v>فروشنده</v>
      </c>
      <c r="G33">
        <f>IF([1]Accounts!$D$34="","",[1]Accounts!$C$34)</f>
        <v>0</v>
      </c>
      <c r="H33" t="str">
        <f>IF([1]Accounts!$D$34="","",[1]Accounts!$D$34)</f>
        <v>آقای عزیزی</v>
      </c>
      <c r="L33" t="str">
        <f>IF([2]Entry!$C$36="","",[2]Entry!$C$36)</f>
        <v/>
      </c>
      <c r="M33" t="str">
        <f>IF([2]Entry!$J$36="","",[2]Entry!$J$36)</f>
        <v/>
      </c>
      <c r="N33" t="str">
        <f>IF([2]Entry!$M$36="","",[2]Entry!$M$36)</f>
        <v/>
      </c>
      <c r="O33" t="str">
        <f>IF([2]Entry!$N$36="","",[2]Entry!$N$36)</f>
        <v/>
      </c>
      <c r="P33" t="str">
        <f>IF([2]Entry!$S$36="","",[2]Entry!$S$36)</f>
        <v/>
      </c>
    </row>
    <row r="34" spans="1:16" x14ac:dyDescent="0.2">
      <c r="A34" t="str">
        <f>IF([1]Cheques!$A$35="","",[1]Cheques!$A$35)</f>
        <v/>
      </c>
      <c r="E34" t="str">
        <f>IF([1]Accounts!$D$35="","",[1]Accounts!$A$35)</f>
        <v>C029</v>
      </c>
      <c r="F34" t="str">
        <f>IF([1]Accounts!$D$35="","",[1]Accounts!$B$35)</f>
        <v>فروشنده</v>
      </c>
      <c r="G34">
        <f>IF([1]Accounts!$D$35="","",[1]Accounts!$C$35)</f>
        <v>0</v>
      </c>
      <c r="H34" t="str">
        <f>IF([1]Accounts!$D$35="","",[1]Accounts!$D$35)</f>
        <v>آقای حبیبی(بانک صادرات)</v>
      </c>
      <c r="L34" t="str">
        <f>IF([2]Entry!$C$37="","",[2]Entry!$C$37)</f>
        <v/>
      </c>
      <c r="M34" t="str">
        <f>IF([2]Entry!$J$37="","",[2]Entry!$J$37)</f>
        <v/>
      </c>
      <c r="N34" t="str">
        <f>IF([2]Entry!$M$37="","",[2]Entry!$M$37)</f>
        <v/>
      </c>
      <c r="O34" t="str">
        <f>IF([2]Entry!$N$37="","",[2]Entry!$N$37)</f>
        <v/>
      </c>
      <c r="P34" t="str">
        <f>IF([2]Entry!$S$37="","",[2]Entry!$S$37)</f>
        <v/>
      </c>
    </row>
    <row r="35" spans="1:16" x14ac:dyDescent="0.2">
      <c r="A35" t="str">
        <f>IF([1]Cheques!$A$36="","",[1]Cheques!$A$36)</f>
        <v/>
      </c>
      <c r="E35" t="str">
        <f>IF([1]Accounts!$D$36="","",[1]Accounts!$A$36)</f>
        <v>C030</v>
      </c>
      <c r="F35" t="str">
        <f>IF([1]Accounts!$D$36="","",[1]Accounts!$B$36)</f>
        <v>فروشنده</v>
      </c>
      <c r="G35">
        <f>IF([1]Accounts!$D$36="","",[1]Accounts!$C$36)</f>
        <v>0</v>
      </c>
      <c r="H35" t="str">
        <f>IF([1]Accounts!$D$36="","",[1]Accounts!$D$36)</f>
        <v>محمد علی اصغرزاده</v>
      </c>
      <c r="L35" t="str">
        <f>IF([2]Entry!$C$38="","",[2]Entry!$C$38)</f>
        <v/>
      </c>
      <c r="M35" t="str">
        <f>IF([2]Entry!$J$38="","",[2]Entry!$J$38)</f>
        <v/>
      </c>
      <c r="N35" t="str">
        <f>IF([2]Entry!$M$38="","",[2]Entry!$M$38)</f>
        <v/>
      </c>
      <c r="O35" t="str">
        <f>IF([2]Entry!$N$38="","",[2]Entry!$N$38)</f>
        <v/>
      </c>
      <c r="P35" t="str">
        <f>IF([2]Entry!$S$38="","",[2]Entry!$S$38)</f>
        <v/>
      </c>
    </row>
    <row r="36" spans="1:16" x14ac:dyDescent="0.2">
      <c r="A36" t="str">
        <f>IF([1]Cheques!$A$37="","",[1]Cheques!$A$37)</f>
        <v/>
      </c>
      <c r="E36" t="str">
        <f>IF([1]Accounts!$D$37="","",[1]Accounts!$A$37)</f>
        <v>C031</v>
      </c>
      <c r="F36" t="str">
        <f>IF([1]Accounts!$D$37="","",[1]Accounts!$B$37)</f>
        <v>فروشنده</v>
      </c>
      <c r="G36">
        <f>IF([1]Accounts!$D$37="","",[1]Accounts!$C$37)</f>
        <v>0</v>
      </c>
      <c r="H36" t="str">
        <f>IF([1]Accounts!$D$37="","",[1]Accounts!$D$37)</f>
        <v>فغان پور</v>
      </c>
      <c r="L36" t="str">
        <f>IF([2]Entry!$C$39="","",[2]Entry!$C$39)</f>
        <v/>
      </c>
      <c r="M36" t="str">
        <f>IF([2]Entry!$J$39="","",[2]Entry!$J$39)</f>
        <v/>
      </c>
      <c r="N36" t="str">
        <f>IF([2]Entry!$M$39="","",[2]Entry!$M$39)</f>
        <v/>
      </c>
      <c r="O36" t="str">
        <f>IF([2]Entry!$N$39="","",[2]Entry!$N$39)</f>
        <v/>
      </c>
      <c r="P36" t="str">
        <f>IF([2]Entry!$S$39="","",[2]Entry!$S$39)</f>
        <v/>
      </c>
    </row>
    <row r="37" spans="1:16" x14ac:dyDescent="0.2">
      <c r="A37" t="str">
        <f>IF([1]Cheques!$A$38="","",[1]Cheques!$A$38)</f>
        <v/>
      </c>
      <c r="E37" t="str">
        <f>IF([1]Accounts!$D$38="","",[1]Accounts!$A$38)</f>
        <v/>
      </c>
      <c r="F37" t="str">
        <f>IF([1]Accounts!$D$38="","",[1]Accounts!$B$38)</f>
        <v/>
      </c>
      <c r="G37" t="str">
        <f>IF([1]Accounts!$D$38="","",[1]Accounts!$C$38)</f>
        <v/>
      </c>
      <c r="H37" t="str">
        <f>IF([1]Accounts!$D$38="","",[1]Accounts!$D$38)</f>
        <v/>
      </c>
      <c r="L37" t="str">
        <f>IF([2]Entry!$C$40="","",[2]Entry!$C$40)</f>
        <v/>
      </c>
      <c r="M37" t="str">
        <f>IF([2]Entry!$J$40="","",[2]Entry!$J$40)</f>
        <v/>
      </c>
      <c r="N37" t="str">
        <f>IF([2]Entry!$M$40="","",[2]Entry!$M$40)</f>
        <v/>
      </c>
      <c r="O37" t="str">
        <f>IF([2]Entry!$N$40="","",[2]Entry!$N$40)</f>
        <v/>
      </c>
      <c r="P37" t="str">
        <f>IF([2]Entry!$S$40="","",[2]Entry!$S$40)</f>
        <v/>
      </c>
    </row>
    <row r="38" spans="1:16" x14ac:dyDescent="0.2">
      <c r="A38" t="str">
        <f>IF([1]Cheques!$A$39="","",[1]Cheques!$A$39)</f>
        <v/>
      </c>
      <c r="E38" t="str">
        <f>IF([1]Accounts!$D$39="","",[1]Accounts!$A$39)</f>
        <v/>
      </c>
      <c r="F38" t="str">
        <f>IF([1]Accounts!$D$39="","",[1]Accounts!$B$39)</f>
        <v/>
      </c>
      <c r="G38" t="str">
        <f>IF([1]Accounts!$D$39="","",[1]Accounts!$C$39)</f>
        <v/>
      </c>
      <c r="H38" t="str">
        <f>IF([1]Accounts!$D$39="","",[1]Accounts!$D$39)</f>
        <v/>
      </c>
      <c r="L38" t="str">
        <f>IF([2]Entry!$C$41="","",[2]Entry!$C$41)</f>
        <v/>
      </c>
      <c r="M38" t="str">
        <f>IF([2]Entry!$J$41="","",[2]Entry!$J$41)</f>
        <v/>
      </c>
      <c r="N38" t="str">
        <f>IF([2]Entry!$M$41="","",[2]Entry!$M$41)</f>
        <v/>
      </c>
      <c r="O38" t="str">
        <f>IF([2]Entry!$N$41="","",[2]Entry!$N$41)</f>
        <v/>
      </c>
      <c r="P38" t="str">
        <f>IF([2]Entry!$S$41="","",[2]Entry!$S$41)</f>
        <v/>
      </c>
    </row>
    <row r="39" spans="1:16" x14ac:dyDescent="0.2">
      <c r="A39" t="str">
        <f>IF([1]Cheques!$A$40="","",[1]Cheques!$A$40)</f>
        <v/>
      </c>
      <c r="E39" t="str">
        <f>IF([1]Accounts!$D$40="","",[1]Accounts!$A$40)</f>
        <v/>
      </c>
      <c r="F39" t="str">
        <f>IF([1]Accounts!$D$40="","",[1]Accounts!$B$40)</f>
        <v/>
      </c>
      <c r="G39" t="str">
        <f>IF([1]Accounts!$D$40="","",[1]Accounts!$C$40)</f>
        <v/>
      </c>
      <c r="H39" t="str">
        <f>IF([1]Accounts!$D$40="","",[1]Accounts!$D$40)</f>
        <v/>
      </c>
      <c r="L39" t="str">
        <f>IF([2]Entry!$C$42="","",[2]Entry!$C$42)</f>
        <v/>
      </c>
      <c r="M39" t="str">
        <f>IF([2]Entry!$J$42="","",[2]Entry!$J$42)</f>
        <v/>
      </c>
      <c r="N39" t="str">
        <f>IF([2]Entry!$M$42="","",[2]Entry!$M$42)</f>
        <v/>
      </c>
      <c r="O39" t="str">
        <f>IF([2]Entry!$N$42="","",[2]Entry!$N$42)</f>
        <v/>
      </c>
      <c r="P39" t="str">
        <f>IF([2]Entry!$S$42="","",[2]Entry!$S$42)</f>
        <v/>
      </c>
    </row>
    <row r="40" spans="1:16" x14ac:dyDescent="0.2">
      <c r="A40" t="str">
        <f>IF([1]Cheques!$A$41="","",[1]Cheques!$A$41)</f>
        <v/>
      </c>
      <c r="E40" t="str">
        <f>IF([1]Accounts!$D$41="","",[1]Accounts!$A$41)</f>
        <v/>
      </c>
      <c r="F40" t="str">
        <f>IF([1]Accounts!$D$41="","",[1]Accounts!$B$41)</f>
        <v/>
      </c>
      <c r="G40" t="str">
        <f>IF([1]Accounts!$D$41="","",[1]Accounts!$C$41)</f>
        <v/>
      </c>
      <c r="H40" t="str">
        <f>IF([1]Accounts!$D$41="","",[1]Accounts!$D$41)</f>
        <v/>
      </c>
      <c r="L40" t="str">
        <f>IF([2]Entry!$C$43="","",[2]Entry!$C$43)</f>
        <v/>
      </c>
      <c r="M40" t="str">
        <f>IF([2]Entry!$J$43="","",[2]Entry!$J$43)</f>
        <v/>
      </c>
      <c r="N40" t="str">
        <f>IF([2]Entry!$M$43="","",[2]Entry!$M$43)</f>
        <v/>
      </c>
      <c r="O40" t="str">
        <f>IF([2]Entry!$N$43="","",[2]Entry!$N$43)</f>
        <v/>
      </c>
      <c r="P40" t="str">
        <f>IF([2]Entry!$S$43="","",[2]Entry!$S$43)</f>
        <v/>
      </c>
    </row>
    <row r="41" spans="1:16" x14ac:dyDescent="0.2">
      <c r="A41" t="str">
        <f>IF([1]Cheques!$A$42="","",[1]Cheques!$A$42)</f>
        <v/>
      </c>
      <c r="E41" t="str">
        <f>IF([1]Accounts!$D$42="","",[1]Accounts!$A$42)</f>
        <v/>
      </c>
      <c r="F41" t="str">
        <f>IF([1]Accounts!$D$42="","",[1]Accounts!$B$42)</f>
        <v/>
      </c>
      <c r="G41" t="str">
        <f>IF([1]Accounts!$D$42="","",[1]Accounts!$C$42)</f>
        <v/>
      </c>
      <c r="H41" t="str">
        <f>IF([1]Accounts!$D$42="","",[1]Accounts!$D$42)</f>
        <v/>
      </c>
      <c r="L41" t="str">
        <f>IF([2]Entry!$C$44="","",[2]Entry!$C$44)</f>
        <v/>
      </c>
      <c r="M41" t="str">
        <f>IF([2]Entry!$J$44="","",[2]Entry!$J$44)</f>
        <v/>
      </c>
      <c r="N41" t="str">
        <f>IF([2]Entry!$M$44="","",[2]Entry!$M$44)</f>
        <v/>
      </c>
      <c r="O41" t="str">
        <f>IF([2]Entry!$N$44="","",[2]Entry!$N$44)</f>
        <v/>
      </c>
      <c r="P41" t="str">
        <f>IF([2]Entry!$S$44="","",[2]Entry!$S$44)</f>
        <v/>
      </c>
    </row>
    <row r="42" spans="1:16" x14ac:dyDescent="0.2">
      <c r="A42" t="str">
        <f>IF([1]Cheques!$A$43="","",[1]Cheques!$A$43)</f>
        <v/>
      </c>
      <c r="E42" t="str">
        <f>IF([1]Accounts!$D$43="","",[1]Accounts!$A$43)</f>
        <v/>
      </c>
      <c r="F42" t="str">
        <f>IF([1]Accounts!$D$43="","",[1]Accounts!$B$43)</f>
        <v/>
      </c>
      <c r="G42" t="str">
        <f>IF([1]Accounts!$D$43="","",[1]Accounts!$C$43)</f>
        <v/>
      </c>
      <c r="H42" t="str">
        <f>IF([1]Accounts!$D$43="","",[1]Accounts!$D$43)</f>
        <v/>
      </c>
      <c r="L42" t="str">
        <f>IF([2]Entry!$C$45="","",[2]Entry!$C$45)</f>
        <v/>
      </c>
      <c r="M42" t="str">
        <f>IF([2]Entry!$J$45="","",[2]Entry!$J$45)</f>
        <v/>
      </c>
      <c r="N42" t="str">
        <f>IF([2]Entry!$M$45="","",[2]Entry!$M$45)</f>
        <v/>
      </c>
      <c r="O42" t="str">
        <f>IF([2]Entry!$N$45="","",[2]Entry!$N$45)</f>
        <v/>
      </c>
      <c r="P42" t="str">
        <f>IF([2]Entry!$S$45="","",[2]Entry!$S$45)</f>
        <v/>
      </c>
    </row>
    <row r="43" spans="1:16" x14ac:dyDescent="0.2">
      <c r="A43" t="str">
        <f>IF([1]Cheques!$A$44="","",[1]Cheques!$A$44)</f>
        <v/>
      </c>
      <c r="E43" t="str">
        <f>IF([1]Accounts!$D$44="","",[1]Accounts!$A$44)</f>
        <v/>
      </c>
      <c r="F43" t="str">
        <f>IF([1]Accounts!$D$44="","",[1]Accounts!$B$44)</f>
        <v/>
      </c>
      <c r="G43" t="str">
        <f>IF([1]Accounts!$D$44="","",[1]Accounts!$C$44)</f>
        <v/>
      </c>
      <c r="H43" t="str">
        <f>IF([1]Accounts!$D$44="","",[1]Accounts!$D$44)</f>
        <v/>
      </c>
      <c r="L43" t="str">
        <f>IF([2]Entry!$C$46="","",[2]Entry!$C$46)</f>
        <v/>
      </c>
      <c r="M43" t="str">
        <f>IF([2]Entry!$J$46="","",[2]Entry!$J$46)</f>
        <v/>
      </c>
      <c r="N43" t="str">
        <f>IF([2]Entry!$M$46="","",[2]Entry!$M$46)</f>
        <v/>
      </c>
      <c r="O43" t="str">
        <f>IF([2]Entry!$N$46="","",[2]Entry!$N$46)</f>
        <v/>
      </c>
      <c r="P43" t="str">
        <f>IF([2]Entry!$S$46="","",[2]Entry!$S$46)</f>
        <v/>
      </c>
    </row>
    <row r="44" spans="1:16" x14ac:dyDescent="0.2">
      <c r="A44" t="str">
        <f>IF([1]Cheques!$A$45="","",[1]Cheques!$A$45)</f>
        <v/>
      </c>
      <c r="E44" t="str">
        <f>IF([1]Accounts!$D$45="","",[1]Accounts!$A$45)</f>
        <v/>
      </c>
      <c r="F44" t="str">
        <f>IF([1]Accounts!$D$45="","",[1]Accounts!$B$45)</f>
        <v/>
      </c>
      <c r="G44" t="str">
        <f>IF([1]Accounts!$D$45="","",[1]Accounts!$C$45)</f>
        <v/>
      </c>
      <c r="H44" t="str">
        <f>IF([1]Accounts!$D$45="","",[1]Accounts!$D$45)</f>
        <v/>
      </c>
      <c r="L44" t="str">
        <f>IF([2]Entry!$C$47="","",[2]Entry!$C$47)</f>
        <v/>
      </c>
      <c r="M44" t="str">
        <f>IF([2]Entry!$J$47="","",[2]Entry!$J$47)</f>
        <v/>
      </c>
      <c r="N44" t="str">
        <f>IF([2]Entry!$M$47="","",[2]Entry!$M$47)</f>
        <v/>
      </c>
      <c r="O44" t="str">
        <f>IF([2]Entry!$N$47="","",[2]Entry!$N$47)</f>
        <v/>
      </c>
      <c r="P44" t="str">
        <f>IF([2]Entry!$S$47="","",[2]Entry!$S$47)</f>
        <v/>
      </c>
    </row>
    <row r="45" spans="1:16" x14ac:dyDescent="0.2">
      <c r="A45" t="str">
        <f>IF([1]Cheques!$A$46="","",[1]Cheques!$A$46)</f>
        <v/>
      </c>
      <c r="E45" t="str">
        <f>IF([1]Accounts!$D$46="","",[1]Accounts!$A$46)</f>
        <v/>
      </c>
      <c r="F45" t="str">
        <f>IF([1]Accounts!$D$46="","",[1]Accounts!$B$46)</f>
        <v/>
      </c>
      <c r="G45" t="str">
        <f>IF([1]Accounts!$D$46="","",[1]Accounts!$C$46)</f>
        <v/>
      </c>
      <c r="H45" t="str">
        <f>IF([1]Accounts!$D$46="","",[1]Accounts!$D$46)</f>
        <v/>
      </c>
      <c r="L45" t="str">
        <f>IF([2]Entry!$C$48="","",[2]Entry!$C$48)</f>
        <v/>
      </c>
      <c r="M45" t="str">
        <f>IF([2]Entry!$J$48="","",[2]Entry!$J$48)</f>
        <v/>
      </c>
      <c r="N45" t="str">
        <f>IF([2]Entry!$M$48="","",[2]Entry!$M$48)</f>
        <v/>
      </c>
      <c r="O45" t="str">
        <f>IF([2]Entry!$N$48="","",[2]Entry!$N$48)</f>
        <v/>
      </c>
      <c r="P45" t="str">
        <f>IF([2]Entry!$S$48="","",[2]Entry!$S$48)</f>
        <v/>
      </c>
    </row>
    <row r="46" spans="1:16" x14ac:dyDescent="0.2">
      <c r="A46" t="str">
        <f>IF([1]Cheques!$A$47="","",[1]Cheques!$A$47)</f>
        <v/>
      </c>
      <c r="E46" t="str">
        <f>IF([1]Accounts!$D$47="","",[1]Accounts!$A$47)</f>
        <v/>
      </c>
      <c r="F46" t="str">
        <f>IF([1]Accounts!$D$47="","",[1]Accounts!$B$47)</f>
        <v/>
      </c>
      <c r="G46" t="str">
        <f>IF([1]Accounts!$D$47="","",[1]Accounts!$C$47)</f>
        <v/>
      </c>
      <c r="H46" t="str">
        <f>IF([1]Accounts!$D$47="","",[1]Accounts!$D$47)</f>
        <v/>
      </c>
      <c r="L46" t="str">
        <f>IF([2]Entry!$C$49="","",[2]Entry!$C$49)</f>
        <v/>
      </c>
      <c r="M46" t="str">
        <f>IF([2]Entry!$J$49="","",[2]Entry!$J$49)</f>
        <v/>
      </c>
      <c r="N46" t="str">
        <f>IF([2]Entry!$M$49="","",[2]Entry!$M$49)</f>
        <v/>
      </c>
      <c r="O46" t="str">
        <f>IF([2]Entry!$N$49="","",[2]Entry!$N$49)</f>
        <v/>
      </c>
      <c r="P46" t="str">
        <f>IF([2]Entry!$S$49="","",[2]Entry!$S$49)</f>
        <v/>
      </c>
    </row>
    <row r="47" spans="1:16" x14ac:dyDescent="0.2">
      <c r="A47" t="str">
        <f>IF([1]Cheques!$A$48="","",[1]Cheques!$A$48)</f>
        <v/>
      </c>
      <c r="E47" t="str">
        <f>IF([1]Accounts!$D$48="","",[1]Accounts!$A$48)</f>
        <v/>
      </c>
      <c r="F47" t="str">
        <f>IF([1]Accounts!$D$48="","",[1]Accounts!$B$48)</f>
        <v/>
      </c>
      <c r="G47" t="str">
        <f>IF([1]Accounts!$D$48="","",[1]Accounts!$C$48)</f>
        <v/>
      </c>
      <c r="H47" t="str">
        <f>IF([1]Accounts!$D$48="","",[1]Accounts!$D$48)</f>
        <v/>
      </c>
      <c r="L47" t="str">
        <f>IF([2]Entry!$C$50="","",[2]Entry!$C$50)</f>
        <v/>
      </c>
      <c r="M47" t="str">
        <f>IF([2]Entry!$J$50="","",[2]Entry!$J$50)</f>
        <v/>
      </c>
      <c r="N47" t="str">
        <f>IF([2]Entry!$M$50="","",[2]Entry!$M$50)</f>
        <v/>
      </c>
      <c r="O47" t="str">
        <f>IF([2]Entry!$N$50="","",[2]Entry!$N$50)</f>
        <v/>
      </c>
      <c r="P47" t="str">
        <f>IF([2]Entry!$S$50="","",[2]Entry!$S$50)</f>
        <v/>
      </c>
    </row>
    <row r="48" spans="1:16" x14ac:dyDescent="0.2">
      <c r="A48" t="str">
        <f>IF([1]Cheques!$A$49="","",[1]Cheques!$A$49)</f>
        <v/>
      </c>
      <c r="E48" t="str">
        <f>IF([1]Accounts!$D$49="","",[1]Accounts!$A$49)</f>
        <v/>
      </c>
      <c r="F48" t="str">
        <f>IF([1]Accounts!$D$49="","",[1]Accounts!$B$49)</f>
        <v/>
      </c>
      <c r="G48" t="str">
        <f>IF([1]Accounts!$D$49="","",[1]Accounts!$C$49)</f>
        <v/>
      </c>
      <c r="H48" t="str">
        <f>IF([1]Accounts!$D$49="","",[1]Accounts!$D$49)</f>
        <v/>
      </c>
      <c r="L48" t="str">
        <f>IF([2]Entry!$C$51="","",[2]Entry!$C$51)</f>
        <v/>
      </c>
      <c r="M48" t="str">
        <f>IF([2]Entry!$J$51="","",[2]Entry!$J$51)</f>
        <v/>
      </c>
      <c r="N48" t="str">
        <f>IF([2]Entry!$M$51="","",[2]Entry!$M$51)</f>
        <v/>
      </c>
      <c r="O48" t="str">
        <f>IF([2]Entry!$N$51="","",[2]Entry!$N$51)</f>
        <v/>
      </c>
      <c r="P48" t="str">
        <f>IF([2]Entry!$S$51="","",[2]Entry!$S$51)</f>
        <v/>
      </c>
    </row>
    <row r="49" spans="1:16" x14ac:dyDescent="0.2">
      <c r="A49" t="str">
        <f>IF([1]Cheques!$A$50="","",[1]Cheques!$A$50)</f>
        <v/>
      </c>
      <c r="E49" t="str">
        <f>IF([1]Accounts!$D$50="","",[1]Accounts!$A$50)</f>
        <v/>
      </c>
      <c r="F49" t="str">
        <f>IF([1]Accounts!$D$50="","",[1]Accounts!$B$50)</f>
        <v/>
      </c>
      <c r="G49" t="str">
        <f>IF([1]Accounts!$D$50="","",[1]Accounts!$C$50)</f>
        <v/>
      </c>
      <c r="H49" t="str">
        <f>IF([1]Accounts!$D$50="","",[1]Accounts!$D$50)</f>
        <v/>
      </c>
      <c r="L49" t="str">
        <f>IF([2]Entry!$C$52="","",[2]Entry!$C$52)</f>
        <v/>
      </c>
      <c r="M49" t="str">
        <f>IF([2]Entry!$J$52="","",[2]Entry!$J$52)</f>
        <v/>
      </c>
      <c r="N49" t="str">
        <f>IF([2]Entry!$M$52="","",[2]Entry!$M$52)</f>
        <v/>
      </c>
      <c r="O49" t="str">
        <f>IF([2]Entry!$N$52="","",[2]Entry!$N$52)</f>
        <v/>
      </c>
      <c r="P49" t="str">
        <f>IF([2]Entry!$S$52="","",[2]Entry!$S$52)</f>
        <v/>
      </c>
    </row>
    <row r="50" spans="1:16" x14ac:dyDescent="0.2">
      <c r="A50" t="str">
        <f>IF([1]Cheques!$A$51="","",[1]Cheques!$A$51)</f>
        <v/>
      </c>
      <c r="E50" t="str">
        <f>IF([1]Accounts!$D$51="","",[1]Accounts!$A$51)</f>
        <v/>
      </c>
      <c r="F50" t="str">
        <f>IF([1]Accounts!$D$51="","",[1]Accounts!$B$51)</f>
        <v/>
      </c>
      <c r="G50" t="str">
        <f>IF([1]Accounts!$D$51="","",[1]Accounts!$C$51)</f>
        <v/>
      </c>
      <c r="H50" t="str">
        <f>IF([1]Accounts!$D$51="","",[1]Accounts!$D$51)</f>
        <v/>
      </c>
      <c r="L50" t="str">
        <f>IF([2]Entry!$C$53="","",[2]Entry!$C$53)</f>
        <v/>
      </c>
      <c r="M50" t="str">
        <f>IF([2]Entry!$J$53="","",[2]Entry!$J$53)</f>
        <v/>
      </c>
      <c r="N50" t="str">
        <f>IF([2]Entry!$M$53="","",[2]Entry!$M$53)</f>
        <v/>
      </c>
      <c r="O50" t="str">
        <f>IF([2]Entry!$N$53="","",[2]Entry!$N$53)</f>
        <v/>
      </c>
      <c r="P50" t="str">
        <f>IF([2]Entry!$S$53="","",[2]Entry!$S$53)</f>
        <v/>
      </c>
    </row>
    <row r="51" spans="1:16" x14ac:dyDescent="0.2">
      <c r="A51" t="str">
        <f>IF([1]Cheques!$A$52="","",[1]Cheques!$A$52)</f>
        <v/>
      </c>
      <c r="E51" t="str">
        <f>IF([1]Accounts!$D$52="","",[1]Accounts!$A$52)</f>
        <v/>
      </c>
      <c r="F51" t="str">
        <f>IF([1]Accounts!$D$52="","",[1]Accounts!$B$52)</f>
        <v/>
      </c>
      <c r="G51" t="str">
        <f>IF([1]Accounts!$D$52="","",[1]Accounts!$C$52)</f>
        <v/>
      </c>
      <c r="H51" t="str">
        <f>IF([1]Accounts!$D$52="","",[1]Accounts!$D$52)</f>
        <v/>
      </c>
      <c r="L51" t="str">
        <f>IF([2]Entry!$C$54="","",[2]Entry!$C$54)</f>
        <v/>
      </c>
      <c r="M51" t="str">
        <f>IF([2]Entry!$J$54="","",[2]Entry!$J$54)</f>
        <v/>
      </c>
      <c r="N51" t="str">
        <f>IF([2]Entry!$M$54="","",[2]Entry!$M$54)</f>
        <v/>
      </c>
      <c r="O51" t="str">
        <f>IF([2]Entry!$N$54="","",[2]Entry!$N$54)</f>
        <v/>
      </c>
      <c r="P51" t="str">
        <f>IF([2]Entry!$S$54="","",[2]Entry!$S$54)</f>
        <v/>
      </c>
    </row>
    <row r="52" spans="1:16" x14ac:dyDescent="0.2">
      <c r="A52" t="str">
        <f>IF([1]Cheques!$A$53="","",[1]Cheques!$A$53)</f>
        <v/>
      </c>
      <c r="E52" t="str">
        <f>IF([1]Accounts!$D$53="","",[1]Accounts!$A$53)</f>
        <v/>
      </c>
      <c r="F52" t="str">
        <f>IF([1]Accounts!$D$53="","",[1]Accounts!$B$53)</f>
        <v/>
      </c>
      <c r="G52" t="str">
        <f>IF([1]Accounts!$D$53="","",[1]Accounts!$C$53)</f>
        <v/>
      </c>
      <c r="H52" t="str">
        <f>IF([1]Accounts!$D$53="","",[1]Accounts!$D$53)</f>
        <v/>
      </c>
      <c r="L52" t="str">
        <f>IF([2]Entry!$C$55="","",[2]Entry!$C$55)</f>
        <v/>
      </c>
      <c r="M52" t="str">
        <f>IF([2]Entry!$J$55="","",[2]Entry!$J$55)</f>
        <v/>
      </c>
      <c r="N52" t="str">
        <f>IF([2]Entry!$M$55="","",[2]Entry!$M$55)</f>
        <v/>
      </c>
      <c r="O52" t="str">
        <f>IF([2]Entry!$N$55="","",[2]Entry!$N$55)</f>
        <v/>
      </c>
      <c r="P52" t="str">
        <f>IF([2]Entry!$S$55="","",[2]Entry!$S$55)</f>
        <v/>
      </c>
    </row>
    <row r="53" spans="1:16" x14ac:dyDescent="0.2">
      <c r="A53" t="str">
        <f>IF([1]Cheques!$A$54="","",[1]Cheques!$A$54)</f>
        <v/>
      </c>
      <c r="E53" t="str">
        <f>IF([1]Accounts!$D$54="","",[1]Accounts!$A$54)</f>
        <v/>
      </c>
      <c r="F53" t="str">
        <f>IF([1]Accounts!$D$54="","",[1]Accounts!$B$54)</f>
        <v/>
      </c>
      <c r="G53" t="str">
        <f>IF([1]Accounts!$D$54="","",[1]Accounts!$C$54)</f>
        <v/>
      </c>
      <c r="H53" t="str">
        <f>IF([1]Accounts!$D$54="","",[1]Accounts!$D$54)</f>
        <v/>
      </c>
      <c r="L53" t="str">
        <f>IF([2]Entry!$C$56="","",[2]Entry!$C$56)</f>
        <v/>
      </c>
      <c r="M53" t="str">
        <f>IF([2]Entry!$J$56="","",[2]Entry!$J$56)</f>
        <v/>
      </c>
      <c r="N53" t="str">
        <f>IF([2]Entry!$M$56="","",[2]Entry!$M$56)</f>
        <v/>
      </c>
      <c r="O53" t="str">
        <f>IF([2]Entry!$N$56="","",[2]Entry!$N$56)</f>
        <v/>
      </c>
      <c r="P53" t="str">
        <f>IF([2]Entry!$S$56="","",[2]Entry!$S$56)</f>
        <v/>
      </c>
    </row>
    <row r="54" spans="1:16" x14ac:dyDescent="0.2">
      <c r="A54" t="str">
        <f>IF([1]Cheques!$A$55="","",[1]Cheques!$A$55)</f>
        <v/>
      </c>
      <c r="E54" t="str">
        <f>IF([1]Accounts!$D$55="","",[1]Accounts!$A$55)</f>
        <v/>
      </c>
      <c r="F54" t="str">
        <f>IF([1]Accounts!$D$55="","",[1]Accounts!$B$55)</f>
        <v/>
      </c>
      <c r="G54" t="str">
        <f>IF([1]Accounts!$D$55="","",[1]Accounts!$C$55)</f>
        <v/>
      </c>
      <c r="H54" t="str">
        <f>IF([1]Accounts!$D$55="","",[1]Accounts!$D$55)</f>
        <v/>
      </c>
      <c r="L54" t="str">
        <f>IF([2]Entry!$C$57="","",[2]Entry!$C$57)</f>
        <v/>
      </c>
      <c r="M54" t="str">
        <f>IF([2]Entry!$J$57="","",[2]Entry!$J$57)</f>
        <v/>
      </c>
      <c r="N54" t="str">
        <f>IF([2]Entry!$M$57="","",[2]Entry!$M$57)</f>
        <v/>
      </c>
      <c r="O54" t="str">
        <f>IF([2]Entry!$N$57="","",[2]Entry!$N$57)</f>
        <v/>
      </c>
      <c r="P54" t="str">
        <f>IF([2]Entry!$S$57="","",[2]Entry!$S$57)</f>
        <v/>
      </c>
    </row>
    <row r="55" spans="1:16" x14ac:dyDescent="0.2">
      <c r="A55" t="str">
        <f>IF([1]Cheques!$A$56="","",[1]Cheques!$A$56)</f>
        <v/>
      </c>
      <c r="E55" t="str">
        <f>IF([1]Accounts!$D$56="","",[1]Accounts!$A$56)</f>
        <v/>
      </c>
      <c r="F55" t="str">
        <f>IF([1]Accounts!$D$56="","",[1]Accounts!$B$56)</f>
        <v/>
      </c>
      <c r="G55" t="str">
        <f>IF([1]Accounts!$D$56="","",[1]Accounts!$C$56)</f>
        <v/>
      </c>
      <c r="H55" t="str">
        <f>IF([1]Accounts!$D$56="","",[1]Accounts!$D$56)</f>
        <v/>
      </c>
      <c r="L55" t="str">
        <f>IF([2]Entry!$C$58="","",[2]Entry!$C$58)</f>
        <v/>
      </c>
      <c r="M55" t="str">
        <f>IF([2]Entry!$J$58="","",[2]Entry!$J$58)</f>
        <v/>
      </c>
      <c r="N55" t="str">
        <f>IF([2]Entry!$M$58="","",[2]Entry!$M$58)</f>
        <v/>
      </c>
      <c r="O55" t="str">
        <f>IF([2]Entry!$N$58="","",[2]Entry!$N$58)</f>
        <v/>
      </c>
      <c r="P55" t="str">
        <f>IF([2]Entry!$S$58="","",[2]Entry!$S$58)</f>
        <v/>
      </c>
    </row>
    <row r="56" spans="1:16" x14ac:dyDescent="0.2">
      <c r="A56" t="str">
        <f>IF([1]Cheques!$A$57="","",[1]Cheques!$A$57)</f>
        <v/>
      </c>
      <c r="E56" t="str">
        <f>IF([1]Accounts!$D$57="","",[1]Accounts!$A$57)</f>
        <v/>
      </c>
      <c r="F56" t="str">
        <f>IF([1]Accounts!$D$57="","",[1]Accounts!$B$57)</f>
        <v/>
      </c>
      <c r="G56" t="str">
        <f>IF([1]Accounts!$D$57="","",[1]Accounts!$C$57)</f>
        <v/>
      </c>
      <c r="H56" t="str">
        <f>IF([1]Accounts!$D$57="","",[1]Accounts!$D$57)</f>
        <v/>
      </c>
      <c r="L56" t="str">
        <f>IF([2]Entry!$C$59="","",[2]Entry!$C$59)</f>
        <v/>
      </c>
      <c r="M56" t="str">
        <f>IF([2]Entry!$J$59="","",[2]Entry!$J$59)</f>
        <v/>
      </c>
      <c r="N56" t="str">
        <f>IF([2]Entry!$M$59="","",[2]Entry!$M$59)</f>
        <v/>
      </c>
      <c r="O56" t="str">
        <f>IF([2]Entry!$N$59="","",[2]Entry!$N$59)</f>
        <v/>
      </c>
      <c r="P56" t="str">
        <f>IF([2]Entry!$S$59="","",[2]Entry!$S$59)</f>
        <v/>
      </c>
    </row>
    <row r="57" spans="1:16" x14ac:dyDescent="0.2">
      <c r="A57" t="str">
        <f>IF([1]Cheques!$A$58="","",[1]Cheques!$A$58)</f>
        <v/>
      </c>
      <c r="E57" t="str">
        <f>IF([1]Accounts!$D$58="","",[1]Accounts!$A$58)</f>
        <v/>
      </c>
      <c r="F57" t="str">
        <f>IF([1]Accounts!$D$58="","",[1]Accounts!$B$58)</f>
        <v/>
      </c>
      <c r="G57" t="str">
        <f>IF([1]Accounts!$D$58="","",[1]Accounts!$C$58)</f>
        <v/>
      </c>
      <c r="H57" t="str">
        <f>IF([1]Accounts!$D$58="","",[1]Accounts!$D$58)</f>
        <v/>
      </c>
      <c r="L57" t="str">
        <f>IF([2]Entry!$C$60="","",[2]Entry!$C$60)</f>
        <v/>
      </c>
      <c r="M57" t="str">
        <f>IF([2]Entry!$J$60="","",[2]Entry!$J$60)</f>
        <v/>
      </c>
      <c r="N57" t="str">
        <f>IF([2]Entry!$M$60="","",[2]Entry!$M$60)</f>
        <v/>
      </c>
      <c r="O57" t="str">
        <f>IF([2]Entry!$N$60="","",[2]Entry!$N$60)</f>
        <v/>
      </c>
      <c r="P57" t="str">
        <f>IF([2]Entry!$S$60="","",[2]Entry!$S$60)</f>
        <v/>
      </c>
    </row>
    <row r="58" spans="1:16" x14ac:dyDescent="0.2">
      <c r="A58" t="str">
        <f>IF([1]Cheques!$A$59="","",[1]Cheques!$A$59)</f>
        <v/>
      </c>
      <c r="E58" t="str">
        <f>IF([1]Accounts!$D$59="","",[1]Accounts!$A$59)</f>
        <v/>
      </c>
      <c r="F58" t="str">
        <f>IF([1]Accounts!$D$59="","",[1]Accounts!$B$59)</f>
        <v/>
      </c>
      <c r="G58" t="str">
        <f>IF([1]Accounts!$D$59="","",[1]Accounts!$C$59)</f>
        <v/>
      </c>
      <c r="H58" t="str">
        <f>IF([1]Accounts!$D$59="","",[1]Accounts!$D$59)</f>
        <v/>
      </c>
      <c r="L58" t="str">
        <f>IF([2]Entry!$C$61="","",[2]Entry!$C$61)</f>
        <v/>
      </c>
      <c r="M58" t="str">
        <f>IF([2]Entry!$J$61="","",[2]Entry!$J$61)</f>
        <v/>
      </c>
      <c r="N58" t="str">
        <f>IF([2]Entry!$M$61="","",[2]Entry!$M$61)</f>
        <v/>
      </c>
      <c r="O58" t="str">
        <f>IF([2]Entry!$N$61="","",[2]Entry!$N$61)</f>
        <v/>
      </c>
      <c r="P58" t="str">
        <f>IF([2]Entry!$S$61="","",[2]Entry!$S$61)</f>
        <v/>
      </c>
    </row>
    <row r="59" spans="1:16" x14ac:dyDescent="0.2">
      <c r="A59" t="str">
        <f>IF([1]Cheques!$A$60="","",[1]Cheques!$A$60)</f>
        <v/>
      </c>
      <c r="E59" t="str">
        <f>IF([1]Accounts!$D$60="","",[1]Accounts!$A$60)</f>
        <v/>
      </c>
      <c r="F59" t="str">
        <f>IF([1]Accounts!$D$60="","",[1]Accounts!$B$60)</f>
        <v/>
      </c>
      <c r="G59" t="str">
        <f>IF([1]Accounts!$D$60="","",[1]Accounts!$C$60)</f>
        <v/>
      </c>
      <c r="H59" t="str">
        <f>IF([1]Accounts!$D$60="","",[1]Accounts!$D$60)</f>
        <v/>
      </c>
      <c r="L59" t="str">
        <f>IF([2]Entry!$C$62="","",[2]Entry!$C$62)</f>
        <v/>
      </c>
      <c r="M59" t="str">
        <f>IF([2]Entry!$J$62="","",[2]Entry!$J$62)</f>
        <v/>
      </c>
      <c r="N59" t="str">
        <f>IF([2]Entry!$M$62="","",[2]Entry!$M$62)</f>
        <v/>
      </c>
      <c r="O59" t="str">
        <f>IF([2]Entry!$N$62="","",[2]Entry!$N$62)</f>
        <v/>
      </c>
      <c r="P59" t="str">
        <f>IF([2]Entry!$S$62="","",[2]Entry!$S$62)</f>
        <v/>
      </c>
    </row>
    <row r="60" spans="1:16" x14ac:dyDescent="0.2">
      <c r="A60" t="str">
        <f>IF([1]Cheques!$A$61="","",[1]Cheques!$A$61)</f>
        <v/>
      </c>
      <c r="E60" t="str">
        <f>IF([1]Accounts!$D$61="","",[1]Accounts!$A$61)</f>
        <v/>
      </c>
      <c r="F60" t="str">
        <f>IF([1]Accounts!$D$61="","",[1]Accounts!$B$61)</f>
        <v/>
      </c>
      <c r="G60" t="str">
        <f>IF([1]Accounts!$D$61="","",[1]Accounts!$C$61)</f>
        <v/>
      </c>
      <c r="H60" t="str">
        <f>IF([1]Accounts!$D$61="","",[1]Accounts!$D$61)</f>
        <v/>
      </c>
      <c r="L60" t="str">
        <f>IF([2]Entry!$C$63="","",[2]Entry!$C$63)</f>
        <v/>
      </c>
      <c r="M60" t="str">
        <f>IF([2]Entry!$J$63="","",[2]Entry!$J$63)</f>
        <v/>
      </c>
      <c r="N60" t="str">
        <f>IF([2]Entry!$M$63="","",[2]Entry!$M$63)</f>
        <v/>
      </c>
      <c r="O60" t="str">
        <f>IF([2]Entry!$N$63="","",[2]Entry!$N$63)</f>
        <v/>
      </c>
      <c r="P60" t="str">
        <f>IF([2]Entry!$S$63="","",[2]Entry!$S$63)</f>
        <v/>
      </c>
    </row>
    <row r="61" spans="1:16" x14ac:dyDescent="0.2">
      <c r="A61" t="str">
        <f>IF([1]Cheques!$A$62="","",[1]Cheques!$A$62)</f>
        <v/>
      </c>
      <c r="E61" t="str">
        <f>IF([1]Accounts!$D$62="","",[1]Accounts!$A$62)</f>
        <v/>
      </c>
      <c r="F61" t="str">
        <f>IF([1]Accounts!$D$62="","",[1]Accounts!$B$62)</f>
        <v/>
      </c>
      <c r="G61" t="str">
        <f>IF([1]Accounts!$D$62="","",[1]Accounts!$C$62)</f>
        <v/>
      </c>
      <c r="H61" t="str">
        <f>IF([1]Accounts!$D$62="","",[1]Accounts!$D$62)</f>
        <v/>
      </c>
      <c r="L61" t="str">
        <f>IF([2]Entry!$C$64="","",[2]Entry!$C$64)</f>
        <v/>
      </c>
      <c r="M61" t="str">
        <f>IF([2]Entry!$J$64="","",[2]Entry!$J$64)</f>
        <v/>
      </c>
      <c r="N61" t="str">
        <f>IF([2]Entry!$M$64="","",[2]Entry!$M$64)</f>
        <v/>
      </c>
      <c r="O61" t="str">
        <f>IF([2]Entry!$N$64="","",[2]Entry!$N$64)</f>
        <v/>
      </c>
      <c r="P61" t="str">
        <f>IF([2]Entry!$S$64="","",[2]Entry!$S$64)</f>
        <v/>
      </c>
    </row>
    <row r="62" spans="1:16" x14ac:dyDescent="0.2">
      <c r="A62" t="str">
        <f>IF([1]Cheques!$A$63="","",[1]Cheques!$A$63)</f>
        <v/>
      </c>
      <c r="E62" t="str">
        <f>IF([1]Accounts!$D$63="","",[1]Accounts!$A$63)</f>
        <v/>
      </c>
      <c r="F62" t="str">
        <f>IF([1]Accounts!$D$63="","",[1]Accounts!$B$63)</f>
        <v/>
      </c>
      <c r="G62" t="str">
        <f>IF([1]Accounts!$D$63="","",[1]Accounts!$C$63)</f>
        <v/>
      </c>
      <c r="H62" t="str">
        <f>IF([1]Accounts!$D$63="","",[1]Accounts!$D$63)</f>
        <v/>
      </c>
      <c r="L62" t="str">
        <f>IF([2]Entry!$C$65="","",[2]Entry!$C$65)</f>
        <v/>
      </c>
      <c r="M62" t="str">
        <f>IF([2]Entry!$J$65="","",[2]Entry!$J$65)</f>
        <v/>
      </c>
      <c r="N62" t="str">
        <f>IF([2]Entry!$M$65="","",[2]Entry!$M$65)</f>
        <v/>
      </c>
      <c r="O62" t="str">
        <f>IF([2]Entry!$N$65="","",[2]Entry!$N$65)</f>
        <v/>
      </c>
      <c r="P62" t="str">
        <f>IF([2]Entry!$S$65="","",[2]Entry!$S$65)</f>
        <v/>
      </c>
    </row>
    <row r="63" spans="1:16" x14ac:dyDescent="0.2">
      <c r="A63" t="str">
        <f>IF([1]Cheques!$A$64="","",[1]Cheques!$A$64)</f>
        <v/>
      </c>
      <c r="E63" t="str">
        <f>IF([1]Accounts!$D$64="","",[1]Accounts!$A$64)</f>
        <v/>
      </c>
      <c r="F63" t="str">
        <f>IF([1]Accounts!$D$64="","",[1]Accounts!$B$64)</f>
        <v/>
      </c>
      <c r="G63" t="str">
        <f>IF([1]Accounts!$D$64="","",[1]Accounts!$C$64)</f>
        <v/>
      </c>
      <c r="H63" t="str">
        <f>IF([1]Accounts!$D$64="","",[1]Accounts!$D$64)</f>
        <v/>
      </c>
      <c r="L63" t="str">
        <f>IF([2]Entry!$C$66="","",[2]Entry!$C$66)</f>
        <v/>
      </c>
      <c r="M63" t="str">
        <f>IF([2]Entry!$J$66="","",[2]Entry!$J$66)</f>
        <v/>
      </c>
      <c r="N63" t="str">
        <f>IF([2]Entry!$M$66="","",[2]Entry!$M$66)</f>
        <v/>
      </c>
      <c r="O63" t="str">
        <f>IF([2]Entry!$N$66="","",[2]Entry!$N$66)</f>
        <v/>
      </c>
      <c r="P63" t="str">
        <f>IF([2]Entry!$S$66="","",[2]Entry!$S$66)</f>
        <v/>
      </c>
    </row>
    <row r="64" spans="1:16" x14ac:dyDescent="0.2">
      <c r="A64" t="str">
        <f>IF([1]Cheques!$A$65="","",[1]Cheques!$A$65)</f>
        <v/>
      </c>
      <c r="E64" t="str">
        <f>IF([1]Accounts!$D$65="","",[1]Accounts!$A$65)</f>
        <v/>
      </c>
      <c r="F64" t="str">
        <f>IF([1]Accounts!$D$65="","",[1]Accounts!$B$65)</f>
        <v/>
      </c>
      <c r="G64" t="str">
        <f>IF([1]Accounts!$D$65="","",[1]Accounts!$C$65)</f>
        <v/>
      </c>
      <c r="H64" t="str">
        <f>IF([1]Accounts!$D$65="","",[1]Accounts!$D$65)</f>
        <v/>
      </c>
      <c r="L64" t="str">
        <f>IF([2]Entry!$C$67="","",[2]Entry!$C$67)</f>
        <v/>
      </c>
      <c r="M64" t="str">
        <f>IF([2]Entry!$J$67="","",[2]Entry!$J$67)</f>
        <v/>
      </c>
      <c r="N64" t="str">
        <f>IF([2]Entry!$M$67="","",[2]Entry!$M$67)</f>
        <v/>
      </c>
      <c r="O64" t="str">
        <f>IF([2]Entry!$N$67="","",[2]Entry!$N$67)</f>
        <v/>
      </c>
      <c r="P64" t="str">
        <f>IF([2]Entry!$S$67="","",[2]Entry!$S$67)</f>
        <v/>
      </c>
    </row>
    <row r="65" spans="1:16" x14ac:dyDescent="0.2">
      <c r="A65" t="str">
        <f>IF([1]Cheques!$A$66="","",[1]Cheques!$A$66)</f>
        <v/>
      </c>
      <c r="E65" t="str">
        <f>IF([1]Accounts!$D$66="","",[1]Accounts!$A$66)</f>
        <v/>
      </c>
      <c r="F65" t="str">
        <f>IF([1]Accounts!$D$66="","",[1]Accounts!$B$66)</f>
        <v/>
      </c>
      <c r="G65" t="str">
        <f>IF([1]Accounts!$D$66="","",[1]Accounts!$C$66)</f>
        <v/>
      </c>
      <c r="H65" t="str">
        <f>IF([1]Accounts!$D$66="","",[1]Accounts!$D$66)</f>
        <v/>
      </c>
      <c r="L65" t="str">
        <f>IF([2]Entry!$C$68="","",[2]Entry!$C$68)</f>
        <v/>
      </c>
      <c r="M65" t="str">
        <f>IF([2]Entry!$J$68="","",[2]Entry!$J$68)</f>
        <v/>
      </c>
      <c r="N65" t="str">
        <f>IF([2]Entry!$M$68="","",[2]Entry!$M$68)</f>
        <v/>
      </c>
      <c r="O65" t="str">
        <f>IF([2]Entry!$N$68="","",[2]Entry!$N$68)</f>
        <v/>
      </c>
      <c r="P65" t="str">
        <f>IF([2]Entry!$S$68="","",[2]Entry!$S$68)</f>
        <v/>
      </c>
    </row>
    <row r="66" spans="1:16" x14ac:dyDescent="0.2">
      <c r="A66" t="str">
        <f>IF([1]Cheques!$A$67="","",[1]Cheques!$A$67)</f>
        <v/>
      </c>
      <c r="E66" t="str">
        <f>IF([1]Accounts!$D$67="","",[1]Accounts!$A$67)</f>
        <v/>
      </c>
      <c r="F66" t="str">
        <f>IF([1]Accounts!$D$67="","",[1]Accounts!$B$67)</f>
        <v/>
      </c>
      <c r="G66" t="str">
        <f>IF([1]Accounts!$D$67="","",[1]Accounts!$C$67)</f>
        <v/>
      </c>
      <c r="H66" t="str">
        <f>IF([1]Accounts!$D$67="","",[1]Accounts!$D$67)</f>
        <v/>
      </c>
      <c r="L66" t="str">
        <f>IF([2]Entry!$C$69="","",[2]Entry!$C$69)</f>
        <v/>
      </c>
      <c r="M66" t="str">
        <f>IF([2]Entry!$J$69="","",[2]Entry!$J$69)</f>
        <v/>
      </c>
      <c r="N66" t="str">
        <f>IF([2]Entry!$M$69="","",[2]Entry!$M$69)</f>
        <v/>
      </c>
      <c r="O66" t="str">
        <f>IF([2]Entry!$N$69="","",[2]Entry!$N$69)</f>
        <v/>
      </c>
      <c r="P66" t="str">
        <f>IF([2]Entry!$S$69="","",[2]Entry!$S$69)</f>
        <v/>
      </c>
    </row>
    <row r="67" spans="1:16" x14ac:dyDescent="0.2">
      <c r="A67" t="str">
        <f>IF([1]Cheques!$A$68="","",[1]Cheques!$A$68)</f>
        <v/>
      </c>
      <c r="E67" t="str">
        <f>IF([1]Accounts!$D$68="","",[1]Accounts!$A$68)</f>
        <v/>
      </c>
      <c r="F67" t="str">
        <f>IF([1]Accounts!$D$68="","",[1]Accounts!$B$68)</f>
        <v/>
      </c>
      <c r="G67" t="str">
        <f>IF([1]Accounts!$D$68="","",[1]Accounts!$C$68)</f>
        <v/>
      </c>
      <c r="H67" t="str">
        <f>IF([1]Accounts!$D$68="","",[1]Accounts!$D$68)</f>
        <v/>
      </c>
      <c r="L67" t="str">
        <f>IF([2]Entry!$C$70="","",[2]Entry!$C$70)</f>
        <v/>
      </c>
      <c r="M67" t="str">
        <f>IF([2]Entry!$J$70="","",[2]Entry!$J$70)</f>
        <v/>
      </c>
      <c r="N67" t="str">
        <f>IF([2]Entry!$M$70="","",[2]Entry!$M$70)</f>
        <v/>
      </c>
      <c r="O67" t="str">
        <f>IF([2]Entry!$N$70="","",[2]Entry!$N$70)</f>
        <v/>
      </c>
      <c r="P67" t="str">
        <f>IF([2]Entry!$S$70="","",[2]Entry!$S$70)</f>
        <v/>
      </c>
    </row>
    <row r="68" spans="1:16" x14ac:dyDescent="0.2">
      <c r="A68" t="str">
        <f>IF([1]Cheques!$A$69="","",[1]Cheques!$A$69)</f>
        <v/>
      </c>
      <c r="E68" t="str">
        <f>IF([1]Accounts!$D$69="","",[1]Accounts!$A$69)</f>
        <v/>
      </c>
      <c r="F68" t="str">
        <f>IF([1]Accounts!$D$69="","",[1]Accounts!$B$69)</f>
        <v/>
      </c>
      <c r="G68" t="str">
        <f>IF([1]Accounts!$D$69="","",[1]Accounts!$C$69)</f>
        <v/>
      </c>
      <c r="H68" t="str">
        <f>IF([1]Accounts!$D$69="","",[1]Accounts!$D$69)</f>
        <v/>
      </c>
      <c r="L68" t="str">
        <f>IF([2]Entry!$C$71="","",[2]Entry!$C$71)</f>
        <v/>
      </c>
      <c r="M68" t="str">
        <f>IF([2]Entry!$J$71="","",[2]Entry!$J$71)</f>
        <v/>
      </c>
      <c r="N68" t="str">
        <f>IF([2]Entry!$M$71="","",[2]Entry!$M$71)</f>
        <v/>
      </c>
      <c r="O68" t="str">
        <f>IF([2]Entry!$N$71="","",[2]Entry!$N$71)</f>
        <v/>
      </c>
      <c r="P68" t="str">
        <f>IF([2]Entry!$S$71="","",[2]Entry!$S$71)</f>
        <v/>
      </c>
    </row>
    <row r="69" spans="1:16" x14ac:dyDescent="0.2">
      <c r="A69" t="str">
        <f>IF([1]Cheques!$A$70="","",[1]Cheques!$A$70)</f>
        <v/>
      </c>
      <c r="E69" t="str">
        <f>IF([1]Accounts!$D$70="","",[1]Accounts!$A$70)</f>
        <v/>
      </c>
      <c r="F69" t="str">
        <f>IF([1]Accounts!$D$70="","",[1]Accounts!$B$70)</f>
        <v/>
      </c>
      <c r="G69" t="str">
        <f>IF([1]Accounts!$D$70="","",[1]Accounts!$C$70)</f>
        <v/>
      </c>
      <c r="H69" t="str">
        <f>IF([1]Accounts!$D$70="","",[1]Accounts!$D$70)</f>
        <v/>
      </c>
      <c r="L69" t="str">
        <f>IF([2]Entry!$C$72="","",[2]Entry!$C$72)</f>
        <v/>
      </c>
      <c r="M69" t="str">
        <f>IF([2]Entry!$J$72="","",[2]Entry!$J$72)</f>
        <v/>
      </c>
      <c r="N69" t="str">
        <f>IF([2]Entry!$M$72="","",[2]Entry!$M$72)</f>
        <v/>
      </c>
      <c r="O69" t="str">
        <f>IF([2]Entry!$N$72="","",[2]Entry!$N$72)</f>
        <v/>
      </c>
      <c r="P69" t="str">
        <f>IF([2]Entry!$S$72="","",[2]Entry!$S$72)</f>
        <v/>
      </c>
    </row>
    <row r="70" spans="1:16" x14ac:dyDescent="0.2">
      <c r="A70" t="str">
        <f>IF([1]Cheques!$A$71="","",[1]Cheques!$A$71)</f>
        <v/>
      </c>
      <c r="E70" t="str">
        <f>IF([1]Accounts!$D$71="","",[1]Accounts!$A$71)</f>
        <v/>
      </c>
      <c r="F70" t="str">
        <f>IF([1]Accounts!$D$71="","",[1]Accounts!$B$71)</f>
        <v/>
      </c>
      <c r="G70" t="str">
        <f>IF([1]Accounts!$D$71="","",[1]Accounts!$C$71)</f>
        <v/>
      </c>
      <c r="H70" t="str">
        <f>IF([1]Accounts!$D$71="","",[1]Accounts!$D$71)</f>
        <v/>
      </c>
      <c r="L70" t="str">
        <f>IF([2]Entry!$C$73="","",[2]Entry!$C$73)</f>
        <v/>
      </c>
      <c r="M70" t="str">
        <f>IF([2]Entry!$J$73="","",[2]Entry!$J$73)</f>
        <v/>
      </c>
      <c r="N70" t="str">
        <f>IF([2]Entry!$M$73="","",[2]Entry!$M$73)</f>
        <v/>
      </c>
      <c r="O70" t="str">
        <f>IF([2]Entry!$N$73="","",[2]Entry!$N$73)</f>
        <v/>
      </c>
      <c r="P70" t="str">
        <f>IF([2]Entry!$S$73="","",[2]Entry!$S$73)</f>
        <v/>
      </c>
    </row>
    <row r="71" spans="1:16" x14ac:dyDescent="0.2">
      <c r="A71" t="str">
        <f>IF([1]Cheques!$A$72="","",[1]Cheques!$A$72)</f>
        <v/>
      </c>
      <c r="E71" t="str">
        <f>IF([1]Accounts!$D$72="","",[1]Accounts!$A$72)</f>
        <v/>
      </c>
      <c r="F71" t="str">
        <f>IF([1]Accounts!$D$72="","",[1]Accounts!$B$72)</f>
        <v/>
      </c>
      <c r="G71" t="str">
        <f>IF([1]Accounts!$D$72="","",[1]Accounts!$C$72)</f>
        <v/>
      </c>
      <c r="H71" t="str">
        <f>IF([1]Accounts!$D$72="","",[1]Accounts!$D$72)</f>
        <v/>
      </c>
      <c r="L71" t="str">
        <f>IF([2]Entry!$C$74="","",[2]Entry!$C$74)</f>
        <v/>
      </c>
      <c r="M71" t="str">
        <f>IF([2]Entry!$J$74="","",[2]Entry!$J$74)</f>
        <v/>
      </c>
      <c r="N71" t="str">
        <f>IF([2]Entry!$M$74="","",[2]Entry!$M$74)</f>
        <v/>
      </c>
      <c r="O71" t="str">
        <f>IF([2]Entry!$N$74="","",[2]Entry!$N$74)</f>
        <v/>
      </c>
      <c r="P71" t="str">
        <f>IF([2]Entry!$S$74="","",[2]Entry!$S$74)</f>
        <v/>
      </c>
    </row>
    <row r="72" spans="1:16" x14ac:dyDescent="0.2">
      <c r="A72" t="str">
        <f>IF([1]Cheques!$A$73="","",[1]Cheques!$A$73)</f>
        <v/>
      </c>
      <c r="E72" t="str">
        <f>IF([1]Accounts!$D$73="","",[1]Accounts!$A$73)</f>
        <v/>
      </c>
      <c r="F72" t="str">
        <f>IF([1]Accounts!$D$73="","",[1]Accounts!$B$73)</f>
        <v/>
      </c>
      <c r="G72" t="str">
        <f>IF([1]Accounts!$D$73="","",[1]Accounts!$C$73)</f>
        <v/>
      </c>
      <c r="H72" t="str">
        <f>IF([1]Accounts!$D$73="","",[1]Accounts!$D$73)</f>
        <v/>
      </c>
      <c r="L72" t="str">
        <f>IF([2]Entry!$C$75="","",[2]Entry!$C$75)</f>
        <v/>
      </c>
      <c r="M72" t="str">
        <f>IF([2]Entry!$J$75="","",[2]Entry!$J$75)</f>
        <v/>
      </c>
      <c r="N72" t="str">
        <f>IF([2]Entry!$M$75="","",[2]Entry!$M$75)</f>
        <v/>
      </c>
      <c r="O72" t="str">
        <f>IF([2]Entry!$N$75="","",[2]Entry!$N$75)</f>
        <v/>
      </c>
      <c r="P72" t="str">
        <f>IF([2]Entry!$S$75="","",[2]Entry!$S$75)</f>
        <v/>
      </c>
    </row>
    <row r="73" spans="1:16" x14ac:dyDescent="0.2">
      <c r="A73" t="str">
        <f>IF([1]Cheques!$A$74="","",[1]Cheques!$A$74)</f>
        <v/>
      </c>
      <c r="E73" t="str">
        <f>IF([1]Accounts!$D$74="","",[1]Accounts!$A$74)</f>
        <v/>
      </c>
      <c r="F73" t="str">
        <f>IF([1]Accounts!$D$74="","",[1]Accounts!$B$74)</f>
        <v/>
      </c>
      <c r="G73" t="str">
        <f>IF([1]Accounts!$D$74="","",[1]Accounts!$C$74)</f>
        <v/>
      </c>
      <c r="H73" t="str">
        <f>IF([1]Accounts!$D$74="","",[1]Accounts!$D$74)</f>
        <v/>
      </c>
      <c r="L73" t="str">
        <f>IF([2]Entry!$C$76="","",[2]Entry!$C$76)</f>
        <v/>
      </c>
      <c r="M73" t="str">
        <f>IF([2]Entry!$J$76="","",[2]Entry!$J$76)</f>
        <v/>
      </c>
      <c r="N73" t="str">
        <f>IF([2]Entry!$M$76="","",[2]Entry!$M$76)</f>
        <v/>
      </c>
      <c r="O73" t="str">
        <f>IF([2]Entry!$N$76="","",[2]Entry!$N$76)</f>
        <v/>
      </c>
      <c r="P73" t="str">
        <f>IF([2]Entry!$S$76="","",[2]Entry!$S$76)</f>
        <v/>
      </c>
    </row>
    <row r="74" spans="1:16" x14ac:dyDescent="0.2">
      <c r="A74" t="str">
        <f>IF([1]Cheques!$A$75="","",[1]Cheques!$A$75)</f>
        <v/>
      </c>
      <c r="E74" t="str">
        <f>IF([1]Accounts!$D$75="","",[1]Accounts!$A$75)</f>
        <v/>
      </c>
      <c r="F74" t="str">
        <f>IF([1]Accounts!$D$75="","",[1]Accounts!$B$75)</f>
        <v/>
      </c>
      <c r="G74" t="str">
        <f>IF([1]Accounts!$D$75="","",[1]Accounts!$C$75)</f>
        <v/>
      </c>
      <c r="H74" t="str">
        <f>IF([1]Accounts!$D$75="","",[1]Accounts!$D$75)</f>
        <v/>
      </c>
      <c r="L74" t="str">
        <f>IF([2]Entry!$C$77="","",[2]Entry!$C$77)</f>
        <v/>
      </c>
      <c r="M74" t="str">
        <f>IF([2]Entry!$J$77="","",[2]Entry!$J$77)</f>
        <v/>
      </c>
      <c r="N74" t="str">
        <f>IF([2]Entry!$M$77="","",[2]Entry!$M$77)</f>
        <v/>
      </c>
      <c r="O74" t="str">
        <f>IF([2]Entry!$N$77="","",[2]Entry!$N$77)</f>
        <v/>
      </c>
      <c r="P74" t="str">
        <f>IF([2]Entry!$S$77="","",[2]Entry!$S$77)</f>
        <v/>
      </c>
    </row>
    <row r="75" spans="1:16" x14ac:dyDescent="0.2">
      <c r="A75" t="str">
        <f>IF([1]Cheques!$A$76="","",[1]Cheques!$A$76)</f>
        <v/>
      </c>
      <c r="E75" t="str">
        <f>IF([1]Accounts!$D$76="","",[1]Accounts!$A$76)</f>
        <v/>
      </c>
      <c r="F75" t="str">
        <f>IF([1]Accounts!$D$76="","",[1]Accounts!$B$76)</f>
        <v/>
      </c>
      <c r="G75" t="str">
        <f>IF([1]Accounts!$D$76="","",[1]Accounts!$C$76)</f>
        <v/>
      </c>
      <c r="H75" t="str">
        <f>IF([1]Accounts!$D$76="","",[1]Accounts!$D$76)</f>
        <v/>
      </c>
      <c r="L75" t="str">
        <f>IF([2]Entry!$C$78="","",[2]Entry!$C$78)</f>
        <v/>
      </c>
      <c r="M75" t="str">
        <f>IF([2]Entry!$J$78="","",[2]Entry!$J$78)</f>
        <v/>
      </c>
      <c r="N75" t="str">
        <f>IF([2]Entry!$M$78="","",[2]Entry!$M$78)</f>
        <v/>
      </c>
      <c r="O75" t="str">
        <f>IF([2]Entry!$N$78="","",[2]Entry!$N$78)</f>
        <v/>
      </c>
      <c r="P75" t="str">
        <f>IF([2]Entry!$S$78="","",[2]Entry!$S$78)</f>
        <v/>
      </c>
    </row>
    <row r="76" spans="1:16" x14ac:dyDescent="0.2">
      <c r="A76" t="str">
        <f>IF([1]Cheques!$A$77="","",[1]Cheques!$A$77)</f>
        <v/>
      </c>
      <c r="E76" t="str">
        <f>IF([1]Accounts!$D$77="","",[1]Accounts!$A$77)</f>
        <v/>
      </c>
      <c r="F76" t="str">
        <f>IF([1]Accounts!$D$77="","",[1]Accounts!$B$77)</f>
        <v/>
      </c>
      <c r="G76" t="str">
        <f>IF([1]Accounts!$D$77="","",[1]Accounts!$C$77)</f>
        <v/>
      </c>
      <c r="H76" t="str">
        <f>IF([1]Accounts!$D$77="","",[1]Accounts!$D$77)</f>
        <v/>
      </c>
      <c r="L76" t="str">
        <f>IF([2]Entry!$C$79="","",[2]Entry!$C$79)</f>
        <v/>
      </c>
      <c r="M76" t="str">
        <f>IF([2]Entry!$J$79="","",[2]Entry!$J$79)</f>
        <v/>
      </c>
      <c r="N76" t="str">
        <f>IF([2]Entry!$M$79="","",[2]Entry!$M$79)</f>
        <v/>
      </c>
      <c r="O76" t="str">
        <f>IF([2]Entry!$N$79="","",[2]Entry!$N$79)</f>
        <v/>
      </c>
      <c r="P76" t="str">
        <f>IF([2]Entry!$S$79="","",[2]Entry!$S$79)</f>
        <v/>
      </c>
    </row>
    <row r="77" spans="1:16" x14ac:dyDescent="0.2">
      <c r="A77" t="str">
        <f>IF([1]Cheques!$A$78="","",[1]Cheques!$A$78)</f>
        <v/>
      </c>
      <c r="E77" t="str">
        <f>IF([1]Accounts!$D$78="","",[1]Accounts!$A$78)</f>
        <v/>
      </c>
      <c r="F77" t="str">
        <f>IF([1]Accounts!$D$78="","",[1]Accounts!$B$78)</f>
        <v/>
      </c>
      <c r="G77" t="str">
        <f>IF([1]Accounts!$D$78="","",[1]Accounts!$C$78)</f>
        <v/>
      </c>
      <c r="H77" t="str">
        <f>IF([1]Accounts!$D$78="","",[1]Accounts!$D$78)</f>
        <v/>
      </c>
      <c r="L77" t="str">
        <f>IF([2]Entry!$C$80="","",[2]Entry!$C$80)</f>
        <v/>
      </c>
      <c r="M77" t="str">
        <f>IF([2]Entry!$J$80="","",[2]Entry!$J$80)</f>
        <v/>
      </c>
      <c r="N77" t="str">
        <f>IF([2]Entry!$M$80="","",[2]Entry!$M$80)</f>
        <v/>
      </c>
      <c r="O77" t="str">
        <f>IF([2]Entry!$N$80="","",[2]Entry!$N$80)</f>
        <v/>
      </c>
      <c r="P77" t="str">
        <f>IF([2]Entry!$S$80="","",[2]Entry!$S$80)</f>
        <v/>
      </c>
    </row>
    <row r="78" spans="1:16" x14ac:dyDescent="0.2">
      <c r="A78" t="str">
        <f>IF([1]Cheques!$A$79="","",[1]Cheques!$A$79)</f>
        <v/>
      </c>
      <c r="E78" t="str">
        <f>IF([1]Accounts!$D$79="","",[1]Accounts!$A$79)</f>
        <v/>
      </c>
      <c r="F78" t="str">
        <f>IF([1]Accounts!$D$79="","",[1]Accounts!$B$79)</f>
        <v/>
      </c>
      <c r="G78" t="str">
        <f>IF([1]Accounts!$D$79="","",[1]Accounts!$C$79)</f>
        <v/>
      </c>
      <c r="H78" t="str">
        <f>IF([1]Accounts!$D$79="","",[1]Accounts!$D$79)</f>
        <v/>
      </c>
      <c r="L78" t="str">
        <f>IF([2]Entry!$C$81="","",[2]Entry!$C$81)</f>
        <v/>
      </c>
      <c r="M78" t="str">
        <f>IF([2]Entry!$J$81="","",[2]Entry!$J$81)</f>
        <v/>
      </c>
      <c r="N78" t="str">
        <f>IF([2]Entry!$M$81="","",[2]Entry!$M$81)</f>
        <v/>
      </c>
      <c r="O78" t="str">
        <f>IF([2]Entry!$N$81="","",[2]Entry!$N$81)</f>
        <v/>
      </c>
      <c r="P78" t="str">
        <f>IF([2]Entry!$S$81="","",[2]Entry!$S$81)</f>
        <v/>
      </c>
    </row>
    <row r="79" spans="1:16" x14ac:dyDescent="0.2">
      <c r="A79" t="str">
        <f>IF([1]Cheques!$A$80="","",[1]Cheques!$A$80)</f>
        <v/>
      </c>
      <c r="E79" t="str">
        <f>IF([1]Accounts!$D$80="","",[1]Accounts!$A$80)</f>
        <v/>
      </c>
      <c r="F79" t="str">
        <f>IF([1]Accounts!$D$80="","",[1]Accounts!$B$80)</f>
        <v/>
      </c>
      <c r="G79" t="str">
        <f>IF([1]Accounts!$D$80="","",[1]Accounts!$C$80)</f>
        <v/>
      </c>
      <c r="H79" t="str">
        <f>IF([1]Accounts!$D$80="","",[1]Accounts!$D$80)</f>
        <v/>
      </c>
      <c r="L79" t="str">
        <f>IF([2]Entry!$C$82="","",[2]Entry!$C$82)</f>
        <v/>
      </c>
      <c r="M79" t="str">
        <f>IF([2]Entry!$J$82="","",[2]Entry!$J$82)</f>
        <v/>
      </c>
      <c r="N79" t="str">
        <f>IF([2]Entry!$M$82="","",[2]Entry!$M$82)</f>
        <v/>
      </c>
      <c r="O79" t="str">
        <f>IF([2]Entry!$N$82="","",[2]Entry!$N$82)</f>
        <v/>
      </c>
      <c r="P79" t="str">
        <f>IF([2]Entry!$S$82="","",[2]Entry!$S$82)</f>
        <v/>
      </c>
    </row>
    <row r="80" spans="1:16" x14ac:dyDescent="0.2">
      <c r="A80" t="str">
        <f>IF([1]Cheques!$A$81="","",[1]Cheques!$A$81)</f>
        <v/>
      </c>
      <c r="E80" t="str">
        <f>IF([1]Accounts!$D$81="","",[1]Accounts!$A$81)</f>
        <v/>
      </c>
      <c r="F80" t="str">
        <f>IF([1]Accounts!$D$81="","",[1]Accounts!$B$81)</f>
        <v/>
      </c>
      <c r="G80" t="str">
        <f>IF([1]Accounts!$D$81="","",[1]Accounts!$C$81)</f>
        <v/>
      </c>
      <c r="H80" t="str">
        <f>IF([1]Accounts!$D$81="","",[1]Accounts!$D$81)</f>
        <v/>
      </c>
      <c r="L80" t="str">
        <f>IF([2]Entry!$C$83="","",[2]Entry!$C$83)</f>
        <v/>
      </c>
      <c r="M80" t="str">
        <f>IF([2]Entry!$J$83="","",[2]Entry!$J$83)</f>
        <v/>
      </c>
      <c r="N80" t="str">
        <f>IF([2]Entry!$M$83="","",[2]Entry!$M$83)</f>
        <v/>
      </c>
      <c r="O80" t="str">
        <f>IF([2]Entry!$N$83="","",[2]Entry!$N$83)</f>
        <v/>
      </c>
      <c r="P80" t="str">
        <f>IF([2]Entry!$S$83="","",[2]Entry!$S$83)</f>
        <v/>
      </c>
    </row>
    <row r="81" spans="1:16" x14ac:dyDescent="0.2">
      <c r="A81" t="str">
        <f>IF([1]Cheques!$A$82="","",[1]Cheques!$A$82)</f>
        <v/>
      </c>
      <c r="E81" t="str">
        <f>IF([1]Accounts!$D$82="","",[1]Accounts!$A$82)</f>
        <v/>
      </c>
      <c r="F81" t="str">
        <f>IF([1]Accounts!$D$82="","",[1]Accounts!$B$82)</f>
        <v/>
      </c>
      <c r="G81" t="str">
        <f>IF([1]Accounts!$D$82="","",[1]Accounts!$C$82)</f>
        <v/>
      </c>
      <c r="H81" t="str">
        <f>IF([1]Accounts!$D$82="","",[1]Accounts!$D$82)</f>
        <v/>
      </c>
      <c r="L81" t="str">
        <f>IF([2]Entry!$C$84="","",[2]Entry!$C$84)</f>
        <v/>
      </c>
      <c r="M81" t="str">
        <f>IF([2]Entry!$J$84="","",[2]Entry!$J$84)</f>
        <v/>
      </c>
      <c r="N81" t="str">
        <f>IF([2]Entry!$M$84="","",[2]Entry!$M$84)</f>
        <v/>
      </c>
      <c r="O81" t="str">
        <f>IF([2]Entry!$N$84="","",[2]Entry!$N$84)</f>
        <v/>
      </c>
      <c r="P81" t="str">
        <f>IF([2]Entry!$S$84="","",[2]Entry!$S$84)</f>
        <v/>
      </c>
    </row>
    <row r="82" spans="1:16" x14ac:dyDescent="0.2">
      <c r="A82" t="str">
        <f>IF([1]Cheques!$A$83="","",[1]Cheques!$A$83)</f>
        <v/>
      </c>
      <c r="E82" t="str">
        <f>IF([1]Accounts!$D$83="","",[1]Accounts!$A$83)</f>
        <v/>
      </c>
      <c r="F82" t="str">
        <f>IF([1]Accounts!$D$83="","",[1]Accounts!$B$83)</f>
        <v/>
      </c>
      <c r="G82" t="str">
        <f>IF([1]Accounts!$D$83="","",[1]Accounts!$C$83)</f>
        <v/>
      </c>
      <c r="H82" t="str">
        <f>IF([1]Accounts!$D$83="","",[1]Accounts!$D$83)</f>
        <v/>
      </c>
      <c r="L82" t="str">
        <f>IF([2]Entry!$C$85="","",[2]Entry!$C$85)</f>
        <v/>
      </c>
      <c r="M82" t="str">
        <f>IF([2]Entry!$J$85="","",[2]Entry!$J$85)</f>
        <v/>
      </c>
      <c r="N82" t="str">
        <f>IF([2]Entry!$M$85="","",[2]Entry!$M$85)</f>
        <v/>
      </c>
      <c r="O82" t="str">
        <f>IF([2]Entry!$N$85="","",[2]Entry!$N$85)</f>
        <v/>
      </c>
      <c r="P82" t="str">
        <f>IF([2]Entry!$S$85="","",[2]Entry!$S$85)</f>
        <v/>
      </c>
    </row>
    <row r="83" spans="1:16" x14ac:dyDescent="0.2">
      <c r="A83" t="str">
        <f>IF([1]Cheques!$A$84="","",[1]Cheques!$A$84)</f>
        <v/>
      </c>
      <c r="E83" t="str">
        <f>IF([1]Accounts!$D$84="","",[1]Accounts!$A$84)</f>
        <v/>
      </c>
      <c r="F83" t="str">
        <f>IF([1]Accounts!$D$84="","",[1]Accounts!$B$84)</f>
        <v/>
      </c>
      <c r="G83" t="str">
        <f>IF([1]Accounts!$D$84="","",[1]Accounts!$C$84)</f>
        <v/>
      </c>
      <c r="H83" t="str">
        <f>IF([1]Accounts!$D$84="","",[1]Accounts!$D$84)</f>
        <v/>
      </c>
      <c r="L83" t="str">
        <f>IF([2]Entry!$C$86="","",[2]Entry!$C$86)</f>
        <v/>
      </c>
      <c r="M83" t="str">
        <f>IF([2]Entry!$J$86="","",[2]Entry!$J$86)</f>
        <v/>
      </c>
      <c r="N83" t="str">
        <f>IF([2]Entry!$M$86="","",[2]Entry!$M$86)</f>
        <v/>
      </c>
      <c r="O83" t="str">
        <f>IF([2]Entry!$N$86="","",[2]Entry!$N$86)</f>
        <v/>
      </c>
      <c r="P83" t="str">
        <f>IF([2]Entry!$S$86="","",[2]Entry!$S$86)</f>
        <v/>
      </c>
    </row>
    <row r="84" spans="1:16" x14ac:dyDescent="0.2">
      <c r="A84" t="str">
        <f>IF([1]Cheques!$A$85="","",[1]Cheques!$A$85)</f>
        <v/>
      </c>
      <c r="E84" t="str">
        <f>IF([1]Accounts!$D$85="","",[1]Accounts!$A$85)</f>
        <v/>
      </c>
      <c r="F84" t="str">
        <f>IF([1]Accounts!$D$85="","",[1]Accounts!$B$85)</f>
        <v/>
      </c>
      <c r="G84" t="str">
        <f>IF([1]Accounts!$D$85="","",[1]Accounts!$C$85)</f>
        <v/>
      </c>
      <c r="H84" t="str">
        <f>IF([1]Accounts!$D$85="","",[1]Accounts!$D$85)</f>
        <v/>
      </c>
      <c r="L84" t="str">
        <f>IF([2]Entry!$C$87="","",[2]Entry!$C$87)</f>
        <v/>
      </c>
      <c r="M84" t="str">
        <f>IF([2]Entry!$J$87="","",[2]Entry!$J$87)</f>
        <v/>
      </c>
      <c r="N84" t="str">
        <f>IF([2]Entry!$M$87="","",[2]Entry!$M$87)</f>
        <v/>
      </c>
      <c r="O84" t="str">
        <f>IF([2]Entry!$N$87="","",[2]Entry!$N$87)</f>
        <v/>
      </c>
      <c r="P84" t="str">
        <f>IF([2]Entry!$S$87="","",[2]Entry!$S$87)</f>
        <v/>
      </c>
    </row>
    <row r="85" spans="1:16" x14ac:dyDescent="0.2">
      <c r="A85" t="str">
        <f>IF([1]Cheques!$A$86="","",[1]Cheques!$A$86)</f>
        <v/>
      </c>
      <c r="E85" t="str">
        <f>IF([1]Accounts!$D$86="","",[1]Accounts!$A$86)</f>
        <v/>
      </c>
      <c r="F85" t="str">
        <f>IF([1]Accounts!$D$86="","",[1]Accounts!$B$86)</f>
        <v/>
      </c>
      <c r="G85" t="str">
        <f>IF([1]Accounts!$D$86="","",[1]Accounts!$C$86)</f>
        <v/>
      </c>
      <c r="H85" t="str">
        <f>IF([1]Accounts!$D$86="","",[1]Accounts!$D$86)</f>
        <v/>
      </c>
      <c r="L85" t="str">
        <f>IF([2]Entry!$C$88="","",[2]Entry!$C$88)</f>
        <v/>
      </c>
      <c r="M85" t="str">
        <f>IF([2]Entry!$J$88="","",[2]Entry!$J$88)</f>
        <v/>
      </c>
      <c r="N85" t="str">
        <f>IF([2]Entry!$M$88="","",[2]Entry!$M$88)</f>
        <v/>
      </c>
      <c r="O85" t="str">
        <f>IF([2]Entry!$N$88="","",[2]Entry!$N$88)</f>
        <v/>
      </c>
      <c r="P85" t="str">
        <f>IF([2]Entry!$S$88="","",[2]Entry!$S$88)</f>
        <v/>
      </c>
    </row>
    <row r="86" spans="1:16" x14ac:dyDescent="0.2">
      <c r="A86" t="str">
        <f>IF([1]Cheques!$A$87="","",[1]Cheques!$A$87)</f>
        <v/>
      </c>
      <c r="E86" t="str">
        <f>IF([1]Accounts!$D$87="","",[1]Accounts!$A$87)</f>
        <v/>
      </c>
      <c r="F86" t="str">
        <f>IF([1]Accounts!$D$87="","",[1]Accounts!$B$87)</f>
        <v/>
      </c>
      <c r="G86" t="str">
        <f>IF([1]Accounts!$D$87="","",[1]Accounts!$C$87)</f>
        <v/>
      </c>
      <c r="H86" t="str">
        <f>IF([1]Accounts!$D$87="","",[1]Accounts!$D$87)</f>
        <v/>
      </c>
      <c r="L86" t="str">
        <f>IF([2]Entry!$C$89="","",[2]Entry!$C$89)</f>
        <v/>
      </c>
      <c r="M86" t="str">
        <f>IF([2]Entry!$J$89="","",[2]Entry!$J$89)</f>
        <v/>
      </c>
      <c r="N86" t="str">
        <f>IF([2]Entry!$M$89="","",[2]Entry!$M$89)</f>
        <v/>
      </c>
      <c r="O86" t="str">
        <f>IF([2]Entry!$N$89="","",[2]Entry!$N$89)</f>
        <v/>
      </c>
      <c r="P86" t="str">
        <f>IF([2]Entry!$S$89="","",[2]Entry!$S$89)</f>
        <v/>
      </c>
    </row>
    <row r="87" spans="1:16" x14ac:dyDescent="0.2">
      <c r="A87" t="str">
        <f>IF([1]Cheques!$A$88="","",[1]Cheques!$A$88)</f>
        <v/>
      </c>
      <c r="E87" t="str">
        <f>IF([1]Accounts!$D$88="","",[1]Accounts!$A$88)</f>
        <v/>
      </c>
      <c r="F87" t="str">
        <f>IF([1]Accounts!$D$88="","",[1]Accounts!$B$88)</f>
        <v/>
      </c>
      <c r="G87" t="str">
        <f>IF([1]Accounts!$D$88="","",[1]Accounts!$C$88)</f>
        <v/>
      </c>
      <c r="H87" t="str">
        <f>IF([1]Accounts!$D$88="","",[1]Accounts!$D$88)</f>
        <v/>
      </c>
      <c r="L87" t="str">
        <f>IF([2]Entry!$C$90="","",[2]Entry!$C$90)</f>
        <v/>
      </c>
      <c r="M87" t="str">
        <f>IF([2]Entry!$J$90="","",[2]Entry!$J$90)</f>
        <v/>
      </c>
      <c r="N87" t="str">
        <f>IF([2]Entry!$M$90="","",[2]Entry!$M$90)</f>
        <v/>
      </c>
      <c r="O87" t="str">
        <f>IF([2]Entry!$N$90="","",[2]Entry!$N$90)</f>
        <v/>
      </c>
      <c r="P87" t="str">
        <f>IF([2]Entry!$S$90="","",[2]Entry!$S$90)</f>
        <v/>
      </c>
    </row>
    <row r="88" spans="1:16" x14ac:dyDescent="0.2">
      <c r="A88" t="str">
        <f>IF([1]Cheques!$A$89="","",[1]Cheques!$A$89)</f>
        <v/>
      </c>
      <c r="E88" t="str">
        <f>IF([1]Accounts!$D$89="","",[1]Accounts!$A$89)</f>
        <v/>
      </c>
      <c r="F88" t="str">
        <f>IF([1]Accounts!$D$89="","",[1]Accounts!$B$89)</f>
        <v/>
      </c>
      <c r="G88" t="str">
        <f>IF([1]Accounts!$D$89="","",[1]Accounts!$C$89)</f>
        <v/>
      </c>
      <c r="H88" t="str">
        <f>IF([1]Accounts!$D$89="","",[1]Accounts!$D$89)</f>
        <v/>
      </c>
      <c r="L88" t="str">
        <f>IF([2]Entry!$C$91="","",[2]Entry!$C$91)</f>
        <v/>
      </c>
      <c r="M88" t="str">
        <f>IF([2]Entry!$J$91="","",[2]Entry!$J$91)</f>
        <v/>
      </c>
      <c r="N88" t="str">
        <f>IF([2]Entry!$M$91="","",[2]Entry!$M$91)</f>
        <v/>
      </c>
      <c r="O88" t="str">
        <f>IF([2]Entry!$N$91="","",[2]Entry!$N$91)</f>
        <v/>
      </c>
      <c r="P88" t="str">
        <f>IF([2]Entry!$S$91="","",[2]Entry!$S$91)</f>
        <v/>
      </c>
    </row>
    <row r="89" spans="1:16" x14ac:dyDescent="0.2">
      <c r="A89" t="str">
        <f>IF([1]Cheques!$A$90="","",[1]Cheques!$A$90)</f>
        <v/>
      </c>
      <c r="E89" t="str">
        <f>IF([1]Accounts!$D$90="","",[1]Accounts!$A$90)</f>
        <v/>
      </c>
      <c r="F89" t="str">
        <f>IF([1]Accounts!$D$90="","",[1]Accounts!$B$90)</f>
        <v/>
      </c>
      <c r="G89" t="str">
        <f>IF([1]Accounts!$D$90="","",[1]Accounts!$C$90)</f>
        <v/>
      </c>
      <c r="H89" t="str">
        <f>IF([1]Accounts!$D$90="","",[1]Accounts!$D$90)</f>
        <v/>
      </c>
      <c r="L89" t="str">
        <f>IF([2]Entry!$C$92="","",[2]Entry!$C$92)</f>
        <v/>
      </c>
      <c r="M89" t="str">
        <f>IF([2]Entry!$J$92="","",[2]Entry!$J$92)</f>
        <v/>
      </c>
      <c r="N89" t="str">
        <f>IF([2]Entry!$M$92="","",[2]Entry!$M$92)</f>
        <v/>
      </c>
      <c r="O89" t="str">
        <f>IF([2]Entry!$N$92="","",[2]Entry!$N$92)</f>
        <v/>
      </c>
      <c r="P89" t="str">
        <f>IF([2]Entry!$S$92="","",[2]Entry!$S$92)</f>
        <v/>
      </c>
    </row>
    <row r="90" spans="1:16" x14ac:dyDescent="0.2">
      <c r="A90" t="str">
        <f>IF([1]Cheques!$A$91="","",[1]Cheques!$A$91)</f>
        <v/>
      </c>
      <c r="E90" t="str">
        <f>IF([1]Accounts!$D$91="","",[1]Accounts!$A$91)</f>
        <v/>
      </c>
      <c r="F90" t="str">
        <f>IF([1]Accounts!$D$91="","",[1]Accounts!$B$91)</f>
        <v/>
      </c>
      <c r="G90" t="str">
        <f>IF([1]Accounts!$D$91="","",[1]Accounts!$C$91)</f>
        <v/>
      </c>
      <c r="H90" t="str">
        <f>IF([1]Accounts!$D$91="","",[1]Accounts!$D$91)</f>
        <v/>
      </c>
      <c r="L90" t="str">
        <f>IF([2]Entry!$C$93="","",[2]Entry!$C$93)</f>
        <v/>
      </c>
      <c r="M90" t="str">
        <f>IF([2]Entry!$J$93="","",[2]Entry!$J$93)</f>
        <v/>
      </c>
      <c r="N90" t="str">
        <f>IF([2]Entry!$M$93="","",[2]Entry!$M$93)</f>
        <v/>
      </c>
      <c r="O90" t="str">
        <f>IF([2]Entry!$N$93="","",[2]Entry!$N$93)</f>
        <v/>
      </c>
      <c r="P90" t="str">
        <f>IF([2]Entry!$S$93="","",[2]Entry!$S$93)</f>
        <v/>
      </c>
    </row>
    <row r="91" spans="1:16" x14ac:dyDescent="0.2">
      <c r="A91" t="str">
        <f>IF([1]Cheques!$A$92="","",[1]Cheques!$A$92)</f>
        <v/>
      </c>
      <c r="E91" t="str">
        <f>IF([1]Accounts!$D$92="","",[1]Accounts!$A$92)</f>
        <v/>
      </c>
      <c r="F91" t="str">
        <f>IF([1]Accounts!$D$92="","",[1]Accounts!$B$92)</f>
        <v/>
      </c>
      <c r="G91" t="str">
        <f>IF([1]Accounts!$D$92="","",[1]Accounts!$C$92)</f>
        <v/>
      </c>
      <c r="H91" t="str">
        <f>IF([1]Accounts!$D$92="","",[1]Accounts!$D$92)</f>
        <v/>
      </c>
      <c r="L91" t="str">
        <f>IF([2]Entry!$C$94="","",[2]Entry!$C$94)</f>
        <v/>
      </c>
      <c r="M91" t="str">
        <f>IF([2]Entry!$J$94="","",[2]Entry!$J$94)</f>
        <v/>
      </c>
      <c r="N91" t="str">
        <f>IF([2]Entry!$M$94="","",[2]Entry!$M$94)</f>
        <v/>
      </c>
      <c r="O91" t="str">
        <f>IF([2]Entry!$N$94="","",[2]Entry!$N$94)</f>
        <v/>
      </c>
      <c r="P91" t="str">
        <f>IF([2]Entry!$S$94="","",[2]Entry!$S$94)</f>
        <v/>
      </c>
    </row>
    <row r="92" spans="1:16" x14ac:dyDescent="0.2">
      <c r="A92" t="str">
        <f>IF([1]Cheques!$A$93="","",[1]Cheques!$A$93)</f>
        <v/>
      </c>
      <c r="E92" t="str">
        <f>IF([1]Accounts!$D$93="","",[1]Accounts!$A$93)</f>
        <v/>
      </c>
      <c r="F92" t="str">
        <f>IF([1]Accounts!$D$93="","",[1]Accounts!$B$93)</f>
        <v/>
      </c>
      <c r="G92" t="str">
        <f>IF([1]Accounts!$D$93="","",[1]Accounts!$C$93)</f>
        <v/>
      </c>
      <c r="H92" t="str">
        <f>IF([1]Accounts!$D$93="","",[1]Accounts!$D$93)</f>
        <v/>
      </c>
      <c r="L92" t="str">
        <f>IF([2]Entry!$C$95="","",[2]Entry!$C$95)</f>
        <v/>
      </c>
      <c r="M92" t="str">
        <f>IF([2]Entry!$J$95="","",[2]Entry!$J$95)</f>
        <v/>
      </c>
      <c r="N92" t="str">
        <f>IF([2]Entry!$M$95="","",[2]Entry!$M$95)</f>
        <v/>
      </c>
      <c r="O92" t="str">
        <f>IF([2]Entry!$N$95="","",[2]Entry!$N$95)</f>
        <v/>
      </c>
      <c r="P92" t="str">
        <f>IF([2]Entry!$S$95="","",[2]Entry!$S$95)</f>
        <v/>
      </c>
    </row>
    <row r="93" spans="1:16" x14ac:dyDescent="0.2">
      <c r="A93" t="str">
        <f>IF([1]Cheques!$A$94="","",[1]Cheques!$A$94)</f>
        <v/>
      </c>
      <c r="E93" t="str">
        <f>IF([1]Accounts!$D$94="","",[1]Accounts!$A$94)</f>
        <v/>
      </c>
      <c r="F93" t="str">
        <f>IF([1]Accounts!$D$94="","",[1]Accounts!$B$94)</f>
        <v/>
      </c>
      <c r="G93" t="str">
        <f>IF([1]Accounts!$D$94="","",[1]Accounts!$C$94)</f>
        <v/>
      </c>
      <c r="H93" t="str">
        <f>IF([1]Accounts!$D$94="","",[1]Accounts!$D$94)</f>
        <v/>
      </c>
      <c r="L93" t="str">
        <f>IF([2]Entry!$C$96="","",[2]Entry!$C$96)</f>
        <v/>
      </c>
      <c r="M93" t="str">
        <f>IF([2]Entry!$J$96="","",[2]Entry!$J$96)</f>
        <v/>
      </c>
      <c r="N93" t="str">
        <f>IF([2]Entry!$M$96="","",[2]Entry!$M$96)</f>
        <v/>
      </c>
      <c r="O93" t="str">
        <f>IF([2]Entry!$N$96="","",[2]Entry!$N$96)</f>
        <v/>
      </c>
      <c r="P93" t="str">
        <f>IF([2]Entry!$S$96="","",[2]Entry!$S$96)</f>
        <v/>
      </c>
    </row>
    <row r="94" spans="1:16" x14ac:dyDescent="0.2">
      <c r="A94" t="str">
        <f>IF([1]Cheques!$A$95="","",[1]Cheques!$A$95)</f>
        <v/>
      </c>
      <c r="E94" t="str">
        <f>IF([1]Accounts!$D$95="","",[1]Accounts!$A$95)</f>
        <v/>
      </c>
      <c r="F94" t="str">
        <f>IF([1]Accounts!$D$95="","",[1]Accounts!$B$95)</f>
        <v/>
      </c>
      <c r="G94" t="str">
        <f>IF([1]Accounts!$D$95="","",[1]Accounts!$C$95)</f>
        <v/>
      </c>
      <c r="H94" t="str">
        <f>IF([1]Accounts!$D$95="","",[1]Accounts!$D$95)</f>
        <v/>
      </c>
      <c r="L94" t="str">
        <f>IF([2]Entry!$C$97="","",[2]Entry!$C$97)</f>
        <v/>
      </c>
      <c r="M94" t="str">
        <f>IF([2]Entry!$J$97="","",[2]Entry!$J$97)</f>
        <v/>
      </c>
      <c r="N94" t="str">
        <f>IF([2]Entry!$M$97="","",[2]Entry!$M$97)</f>
        <v/>
      </c>
      <c r="O94" t="str">
        <f>IF([2]Entry!$N$97="","",[2]Entry!$N$97)</f>
        <v/>
      </c>
      <c r="P94" t="str">
        <f>IF([2]Entry!$S$97="","",[2]Entry!$S$97)</f>
        <v/>
      </c>
    </row>
    <row r="95" spans="1:16" x14ac:dyDescent="0.2">
      <c r="A95" t="str">
        <f>IF([1]Cheques!$A$96="","",[1]Cheques!$A$96)</f>
        <v/>
      </c>
      <c r="E95" t="str">
        <f>IF([1]Accounts!$D$96="","",[1]Accounts!$A$96)</f>
        <v/>
      </c>
      <c r="F95" t="str">
        <f>IF([1]Accounts!$D$96="","",[1]Accounts!$B$96)</f>
        <v/>
      </c>
      <c r="G95" t="str">
        <f>IF([1]Accounts!$D$96="","",[1]Accounts!$C$96)</f>
        <v/>
      </c>
      <c r="H95" t="str">
        <f>IF([1]Accounts!$D$96="","",[1]Accounts!$D$96)</f>
        <v/>
      </c>
      <c r="L95" t="str">
        <f>IF([2]Entry!$C$98="","",[2]Entry!$C$98)</f>
        <v/>
      </c>
      <c r="M95" t="str">
        <f>IF([2]Entry!$J$98="","",[2]Entry!$J$98)</f>
        <v/>
      </c>
      <c r="N95" t="str">
        <f>IF([2]Entry!$M$98="","",[2]Entry!$M$98)</f>
        <v/>
      </c>
      <c r="O95" t="str">
        <f>IF([2]Entry!$N$98="","",[2]Entry!$N$98)</f>
        <v/>
      </c>
      <c r="P95" t="str">
        <f>IF([2]Entry!$S$98="","",[2]Entry!$S$98)</f>
        <v/>
      </c>
    </row>
    <row r="96" spans="1:16" x14ac:dyDescent="0.2">
      <c r="A96" t="str">
        <f>IF([1]Cheques!$A$97="","",[1]Cheques!$A$97)</f>
        <v/>
      </c>
      <c r="E96" t="str">
        <f>IF([1]Accounts!$D$97="","",[1]Accounts!$A$97)</f>
        <v/>
      </c>
      <c r="F96" t="str">
        <f>IF([1]Accounts!$D$97="","",[1]Accounts!$B$97)</f>
        <v/>
      </c>
      <c r="G96" t="str">
        <f>IF([1]Accounts!$D$97="","",[1]Accounts!$C$97)</f>
        <v/>
      </c>
      <c r="H96" t="str">
        <f>IF([1]Accounts!$D$97="","",[1]Accounts!$D$97)</f>
        <v/>
      </c>
      <c r="L96" t="str">
        <f>IF([2]Entry!$C$99="","",[2]Entry!$C$99)</f>
        <v/>
      </c>
      <c r="M96" t="str">
        <f>IF([2]Entry!$J$99="","",[2]Entry!$J$99)</f>
        <v/>
      </c>
      <c r="N96" t="str">
        <f>IF([2]Entry!$M$99="","",[2]Entry!$M$99)</f>
        <v/>
      </c>
      <c r="O96" t="str">
        <f>IF([2]Entry!$N$99="","",[2]Entry!$N$99)</f>
        <v/>
      </c>
      <c r="P96" t="str">
        <f>IF([2]Entry!$S$99="","",[2]Entry!$S$99)</f>
        <v/>
      </c>
    </row>
    <row r="97" spans="1:16" x14ac:dyDescent="0.2">
      <c r="A97" t="str">
        <f>IF([1]Cheques!$A$98="","",[1]Cheques!$A$98)</f>
        <v/>
      </c>
      <c r="E97" t="str">
        <f>IF([1]Accounts!$D$98="","",[1]Accounts!$A$98)</f>
        <v/>
      </c>
      <c r="F97" t="str">
        <f>IF([1]Accounts!$D$98="","",[1]Accounts!$B$98)</f>
        <v/>
      </c>
      <c r="G97" t="str">
        <f>IF([1]Accounts!$D$98="","",[1]Accounts!$C$98)</f>
        <v/>
      </c>
      <c r="H97" t="str">
        <f>IF([1]Accounts!$D$98="","",[1]Accounts!$D$98)</f>
        <v/>
      </c>
      <c r="L97" t="str">
        <f>IF([2]Entry!$C$100="","",[2]Entry!$C$100)</f>
        <v/>
      </c>
      <c r="M97" t="str">
        <f>IF([2]Entry!$J$100="","",[2]Entry!$J$100)</f>
        <v/>
      </c>
      <c r="N97" t="str">
        <f>IF([2]Entry!$M$100="","",[2]Entry!$M$100)</f>
        <v/>
      </c>
      <c r="O97" t="str">
        <f>IF([2]Entry!$N$100="","",[2]Entry!$N$100)</f>
        <v/>
      </c>
      <c r="P97" t="str">
        <f>IF([2]Entry!$S$100="","",[2]Entry!$S$100)</f>
        <v/>
      </c>
    </row>
    <row r="98" spans="1:16" x14ac:dyDescent="0.2">
      <c r="A98" t="str">
        <f>IF([1]Cheques!$A$99="","",[1]Cheques!$A$99)</f>
        <v/>
      </c>
      <c r="E98" t="str">
        <f>IF([1]Accounts!$D$99="","",[1]Accounts!$A$99)</f>
        <v/>
      </c>
      <c r="F98" t="str">
        <f>IF([1]Accounts!$D$99="","",[1]Accounts!$B$99)</f>
        <v/>
      </c>
      <c r="G98" t="str">
        <f>IF([1]Accounts!$D$99="","",[1]Accounts!$C$99)</f>
        <v/>
      </c>
      <c r="H98" t="str">
        <f>IF([1]Accounts!$D$99="","",[1]Accounts!$D$99)</f>
        <v/>
      </c>
      <c r="L98" t="str">
        <f>IF([2]Entry!$C$101="","",[2]Entry!$C$101)</f>
        <v/>
      </c>
      <c r="M98" t="str">
        <f>IF([2]Entry!$J$101="","",[2]Entry!$J$101)</f>
        <v/>
      </c>
      <c r="N98" t="str">
        <f>IF([2]Entry!$M$101="","",[2]Entry!$M$101)</f>
        <v/>
      </c>
      <c r="O98" t="str">
        <f>IF([2]Entry!$N$101="","",[2]Entry!$N$101)</f>
        <v/>
      </c>
      <c r="P98" t="str">
        <f>IF([2]Entry!$S$101="","",[2]Entry!$S$101)</f>
        <v/>
      </c>
    </row>
    <row r="99" spans="1:16" x14ac:dyDescent="0.2">
      <c r="A99" t="str">
        <f>IF([1]Cheques!$A$100="","",[1]Cheques!$A$100)</f>
        <v/>
      </c>
      <c r="E99" t="str">
        <f>IF([1]Accounts!$D$100="","",[1]Accounts!$A$100)</f>
        <v/>
      </c>
      <c r="F99" t="str">
        <f>IF([1]Accounts!$D$100="","",[1]Accounts!$B$100)</f>
        <v/>
      </c>
      <c r="G99" t="str">
        <f>IF([1]Accounts!$D$100="","",[1]Accounts!$C$100)</f>
        <v/>
      </c>
      <c r="H99" t="str">
        <f>IF([1]Accounts!$D$100="","",[1]Accounts!$D$100)</f>
        <v/>
      </c>
      <c r="L99" t="str">
        <f>IF([2]Entry!$C$102="","",[2]Entry!$C$102)</f>
        <v/>
      </c>
      <c r="M99" t="str">
        <f>IF([2]Entry!$J$102="","",[2]Entry!$J$102)</f>
        <v/>
      </c>
      <c r="N99" t="str">
        <f>IF([2]Entry!$M$102="","",[2]Entry!$M$102)</f>
        <v/>
      </c>
      <c r="O99" t="str">
        <f>IF([2]Entry!$N$102="","",[2]Entry!$N$102)</f>
        <v/>
      </c>
      <c r="P99" t="str">
        <f>IF([2]Entry!$S$102="","",[2]Entry!$S$102)</f>
        <v/>
      </c>
    </row>
    <row r="100" spans="1:16" x14ac:dyDescent="0.2">
      <c r="A100" t="str">
        <f>IF([1]Cheques!$A$101="","",[1]Cheques!$A$101)</f>
        <v/>
      </c>
      <c r="E100" t="str">
        <f>IF([1]Accounts!$D$101="","",[1]Accounts!$A$101)</f>
        <v/>
      </c>
      <c r="F100" t="str">
        <f>IF([1]Accounts!$D$101="","",[1]Accounts!$B$101)</f>
        <v/>
      </c>
      <c r="G100" t="str">
        <f>IF([1]Accounts!$D$101="","",[1]Accounts!$C$101)</f>
        <v/>
      </c>
      <c r="H100" t="str">
        <f>IF([1]Accounts!$D$101="","",[1]Accounts!$D$101)</f>
        <v/>
      </c>
      <c r="L100" t="str">
        <f>IF([2]Entry!$C$103="","",[2]Entry!$C$103)</f>
        <v/>
      </c>
      <c r="M100" t="str">
        <f>IF([2]Entry!$J$103="","",[2]Entry!$J$103)</f>
        <v/>
      </c>
      <c r="N100" t="str">
        <f>IF([2]Entry!$M$103="","",[2]Entry!$M$103)</f>
        <v/>
      </c>
      <c r="O100" t="str">
        <f>IF([2]Entry!$N$103="","",[2]Entry!$N$103)</f>
        <v/>
      </c>
      <c r="P100" t="str">
        <f>IF([2]Entry!$S$103="","",[2]Entry!$S$103)</f>
        <v/>
      </c>
    </row>
    <row r="101" spans="1:16" x14ac:dyDescent="0.2">
      <c r="A101" t="str">
        <f>IF([1]Cheques!$A$102="","",[1]Cheques!$A$102)</f>
        <v/>
      </c>
      <c r="E101" t="str">
        <f>IF([1]Accounts!$D$102="","",[1]Accounts!$A$102)</f>
        <v/>
      </c>
      <c r="F101" t="str">
        <f>IF([1]Accounts!$D$102="","",[1]Accounts!$B$102)</f>
        <v/>
      </c>
      <c r="G101" t="str">
        <f>IF([1]Accounts!$D$102="","",[1]Accounts!$C$102)</f>
        <v/>
      </c>
      <c r="H101" t="str">
        <f>IF([1]Accounts!$D$102="","",[1]Accounts!$D$102)</f>
        <v/>
      </c>
      <c r="L101" t="str">
        <f>IF([2]Entry!$C$104="","",[2]Entry!$C$104)</f>
        <v/>
      </c>
      <c r="M101" t="str">
        <f>IF([2]Entry!$J$104="","",[2]Entry!$J$104)</f>
        <v/>
      </c>
      <c r="N101" t="str">
        <f>IF([2]Entry!$M$104="","",[2]Entry!$M$104)</f>
        <v/>
      </c>
      <c r="O101" t="str">
        <f>IF([2]Entry!$N$104="","",[2]Entry!$N$104)</f>
        <v/>
      </c>
      <c r="P101" t="str">
        <f>IF([2]Entry!$S$104="","",[2]Entry!$S$104)</f>
        <v/>
      </c>
    </row>
    <row r="102" spans="1:16" x14ac:dyDescent="0.2">
      <c r="A102" t="str">
        <f>IF([1]Cheques!$A$103="","",[1]Cheques!$A$103)</f>
        <v/>
      </c>
      <c r="E102" t="str">
        <f>IF([1]Accounts!$D$103="","",[1]Accounts!$A$103)</f>
        <v/>
      </c>
      <c r="F102" t="str">
        <f>IF([1]Accounts!$D$103="","",[1]Accounts!$B$103)</f>
        <v/>
      </c>
      <c r="G102" t="str">
        <f>IF([1]Accounts!$D$103="","",[1]Accounts!$C$103)</f>
        <v/>
      </c>
      <c r="H102" t="str">
        <f>IF([1]Accounts!$D$103="","",[1]Accounts!$D$103)</f>
        <v/>
      </c>
      <c r="L102" t="str">
        <f>IF([2]Entry!$C$105="","",[2]Entry!$C$105)</f>
        <v/>
      </c>
      <c r="M102" t="str">
        <f>IF([2]Entry!$J$105="","",[2]Entry!$J$105)</f>
        <v/>
      </c>
      <c r="N102" t="str">
        <f>IF([2]Entry!$M$105="","",[2]Entry!$M$105)</f>
        <v/>
      </c>
      <c r="O102" t="str">
        <f>IF([2]Entry!$N$105="","",[2]Entry!$N$105)</f>
        <v/>
      </c>
      <c r="P102" t="str">
        <f>IF([2]Entry!$S$105="","",[2]Entry!$S$105)</f>
        <v/>
      </c>
    </row>
    <row r="103" spans="1:16" x14ac:dyDescent="0.2">
      <c r="A103" t="str">
        <f>IF([1]Cheques!$A$104="","",[1]Cheques!$A$104)</f>
        <v/>
      </c>
      <c r="E103" t="str">
        <f>IF([1]Accounts!$D$104="","",[1]Accounts!$A$104)</f>
        <v/>
      </c>
      <c r="F103" t="str">
        <f>IF([1]Accounts!$D$104="","",[1]Accounts!$B$104)</f>
        <v/>
      </c>
      <c r="G103" t="str">
        <f>IF([1]Accounts!$D$104="","",[1]Accounts!$C$104)</f>
        <v/>
      </c>
      <c r="H103" t="str">
        <f>IF([1]Accounts!$D$104="","",[1]Accounts!$D$104)</f>
        <v/>
      </c>
      <c r="L103" t="str">
        <f>IF([2]Entry!$C$106="","",[2]Entry!$C$106)</f>
        <v/>
      </c>
      <c r="M103" t="str">
        <f>IF([2]Entry!$J$106="","",[2]Entry!$J$106)</f>
        <v/>
      </c>
      <c r="N103" t="str">
        <f>IF([2]Entry!$M$106="","",[2]Entry!$M$106)</f>
        <v/>
      </c>
      <c r="O103" t="str">
        <f>IF([2]Entry!$N$106="","",[2]Entry!$N$106)</f>
        <v/>
      </c>
      <c r="P103" t="str">
        <f>IF([2]Entry!$S$106="","",[2]Entry!$S$106)</f>
        <v/>
      </c>
    </row>
    <row r="104" spans="1:16" x14ac:dyDescent="0.2">
      <c r="A104" t="str">
        <f>IF([1]Cheques!$A$105="","",[1]Cheques!$A$105)</f>
        <v/>
      </c>
      <c r="E104" t="str">
        <f>IF([1]Accounts!$D$105="","",[1]Accounts!$A$105)</f>
        <v/>
      </c>
      <c r="F104" t="str">
        <f>IF([1]Accounts!$D$105="","",[1]Accounts!$B$105)</f>
        <v/>
      </c>
      <c r="G104" t="str">
        <f>IF([1]Accounts!$D$105="","",[1]Accounts!$C$105)</f>
        <v/>
      </c>
      <c r="H104" t="str">
        <f>IF([1]Accounts!$D$105="","",[1]Accounts!$D$105)</f>
        <v/>
      </c>
      <c r="L104" t="str">
        <f>IF([2]Entry!$C$107="","",[2]Entry!$C$107)</f>
        <v/>
      </c>
      <c r="M104" t="str">
        <f>IF([2]Entry!$J$107="","",[2]Entry!$J$107)</f>
        <v/>
      </c>
      <c r="N104" t="str">
        <f>IF([2]Entry!$M$107="","",[2]Entry!$M$107)</f>
        <v/>
      </c>
      <c r="O104" t="str">
        <f>IF([2]Entry!$N$107="","",[2]Entry!$N$107)</f>
        <v/>
      </c>
      <c r="P104" t="str">
        <f>IF([2]Entry!$S$107="","",[2]Entry!$S$107)</f>
        <v/>
      </c>
    </row>
    <row r="105" spans="1:16" x14ac:dyDescent="0.2">
      <c r="A105" t="str">
        <f>IF([1]Cheques!$A$106="","",[1]Cheques!$A$106)</f>
        <v/>
      </c>
      <c r="E105" t="str">
        <f>IF([1]Accounts!$D$106="","",[1]Accounts!$A$106)</f>
        <v/>
      </c>
      <c r="F105" t="str">
        <f>IF([1]Accounts!$D$106="","",[1]Accounts!$B$106)</f>
        <v/>
      </c>
      <c r="G105" t="str">
        <f>IF([1]Accounts!$D$106="","",[1]Accounts!$C$106)</f>
        <v/>
      </c>
      <c r="H105" t="str">
        <f>IF([1]Accounts!$D$106="","",[1]Accounts!$D$106)</f>
        <v/>
      </c>
      <c r="L105" t="str">
        <f>IF([2]Entry!$C$108="","",[2]Entry!$C$108)</f>
        <v/>
      </c>
      <c r="M105" t="str">
        <f>IF([2]Entry!$J$108="","",[2]Entry!$J$108)</f>
        <v/>
      </c>
      <c r="N105" t="str">
        <f>IF([2]Entry!$M$108="","",[2]Entry!$M$108)</f>
        <v/>
      </c>
      <c r="O105" t="str">
        <f>IF([2]Entry!$N$108="","",[2]Entry!$N$108)</f>
        <v/>
      </c>
      <c r="P105" t="str">
        <f>IF([2]Entry!$S$108="","",[2]Entry!$S$108)</f>
        <v/>
      </c>
    </row>
    <row r="106" spans="1:16" x14ac:dyDescent="0.2">
      <c r="A106" t="str">
        <f>IF([1]Cheques!$A$107="","",[1]Cheques!$A$107)</f>
        <v/>
      </c>
      <c r="E106" t="str">
        <f>IF([1]Accounts!$D$107="","",[1]Accounts!$A$107)</f>
        <v/>
      </c>
      <c r="F106" t="str">
        <f>IF([1]Accounts!$D$107="","",[1]Accounts!$B$107)</f>
        <v/>
      </c>
      <c r="G106" t="str">
        <f>IF([1]Accounts!$D$107="","",[1]Accounts!$C$107)</f>
        <v/>
      </c>
      <c r="H106" t="str">
        <f>IF([1]Accounts!$D$107="","",[1]Accounts!$D$107)</f>
        <v/>
      </c>
      <c r="L106" t="str">
        <f>IF([2]Entry!$C$109="","",[2]Entry!$C$109)</f>
        <v/>
      </c>
      <c r="M106" t="str">
        <f>IF([2]Entry!$J$109="","",[2]Entry!$J$109)</f>
        <v/>
      </c>
      <c r="N106" t="str">
        <f>IF([2]Entry!$M$109="","",[2]Entry!$M$109)</f>
        <v/>
      </c>
      <c r="O106" t="str">
        <f>IF([2]Entry!$N$109="","",[2]Entry!$N$109)</f>
        <v/>
      </c>
      <c r="P106" t="str">
        <f>IF([2]Entry!$S$109="","",[2]Entry!$S$109)</f>
        <v/>
      </c>
    </row>
    <row r="107" spans="1:16" x14ac:dyDescent="0.2">
      <c r="A107" t="str">
        <f>IF([1]Cheques!$A$108="","",[1]Cheques!$A$108)</f>
        <v/>
      </c>
      <c r="E107" t="str">
        <f>IF([1]Accounts!$D$108="","",[1]Accounts!$A$108)</f>
        <v/>
      </c>
      <c r="F107" t="str">
        <f>IF([1]Accounts!$D$108="","",[1]Accounts!$B$108)</f>
        <v/>
      </c>
      <c r="G107" t="str">
        <f>IF([1]Accounts!$D$108="","",[1]Accounts!$C$108)</f>
        <v/>
      </c>
      <c r="H107" t="str">
        <f>IF([1]Accounts!$D$108="","",[1]Accounts!$D$108)</f>
        <v/>
      </c>
      <c r="L107" t="str">
        <f>IF([2]Entry!$C$110="","",[2]Entry!$C$110)</f>
        <v/>
      </c>
      <c r="M107" t="str">
        <f>IF([2]Entry!$J$110="","",[2]Entry!$J$110)</f>
        <v/>
      </c>
      <c r="N107" t="str">
        <f>IF([2]Entry!$M$110="","",[2]Entry!$M$110)</f>
        <v/>
      </c>
      <c r="O107" t="str">
        <f>IF([2]Entry!$N$110="","",[2]Entry!$N$110)</f>
        <v/>
      </c>
      <c r="P107" t="str">
        <f>IF([2]Entry!$S$110="","",[2]Entry!$S$110)</f>
        <v/>
      </c>
    </row>
    <row r="108" spans="1:16" x14ac:dyDescent="0.2">
      <c r="A108" t="str">
        <f>IF([1]Cheques!$A$109="","",[1]Cheques!$A$109)</f>
        <v/>
      </c>
      <c r="E108" t="str">
        <f>IF([1]Accounts!$D$109="","",[1]Accounts!$A$109)</f>
        <v/>
      </c>
      <c r="F108" t="str">
        <f>IF([1]Accounts!$D$109="","",[1]Accounts!$B$109)</f>
        <v/>
      </c>
      <c r="G108" t="str">
        <f>IF([1]Accounts!$D$109="","",[1]Accounts!$C$109)</f>
        <v/>
      </c>
      <c r="H108" t="str">
        <f>IF([1]Accounts!$D$109="","",[1]Accounts!$D$109)</f>
        <v/>
      </c>
      <c r="L108" t="str">
        <f>IF([2]Entry!$C$111="","",[2]Entry!$C$111)</f>
        <v/>
      </c>
      <c r="M108" t="str">
        <f>IF([2]Entry!$J$111="","",[2]Entry!$J$111)</f>
        <v/>
      </c>
      <c r="N108" t="str">
        <f>IF([2]Entry!$M$111="","",[2]Entry!$M$111)</f>
        <v/>
      </c>
      <c r="O108" t="str">
        <f>IF([2]Entry!$N$111="","",[2]Entry!$N$111)</f>
        <v/>
      </c>
      <c r="P108" t="str">
        <f>IF([2]Entry!$S$111="","",[2]Entry!$S$111)</f>
        <v/>
      </c>
    </row>
    <row r="109" spans="1:16" x14ac:dyDescent="0.2">
      <c r="A109" t="str">
        <f>IF([1]Cheques!$A$110="","",[1]Cheques!$A$110)</f>
        <v/>
      </c>
      <c r="E109" t="str">
        <f>IF([1]Accounts!$D$110="","",[1]Accounts!$A$110)</f>
        <v/>
      </c>
      <c r="F109" t="str">
        <f>IF([1]Accounts!$D$110="","",[1]Accounts!$B$110)</f>
        <v/>
      </c>
      <c r="G109" t="str">
        <f>IF([1]Accounts!$D$110="","",[1]Accounts!$C$110)</f>
        <v/>
      </c>
      <c r="H109" t="str">
        <f>IF([1]Accounts!$D$110="","",[1]Accounts!$D$110)</f>
        <v/>
      </c>
      <c r="L109" t="str">
        <f>IF([2]Entry!$C$112="","",[2]Entry!$C$112)</f>
        <v/>
      </c>
      <c r="M109" t="str">
        <f>IF([2]Entry!$J$112="","",[2]Entry!$J$112)</f>
        <v/>
      </c>
      <c r="N109" t="str">
        <f>IF([2]Entry!$M$112="","",[2]Entry!$M$112)</f>
        <v/>
      </c>
      <c r="O109" t="str">
        <f>IF([2]Entry!$N$112="","",[2]Entry!$N$112)</f>
        <v/>
      </c>
      <c r="P109" t="str">
        <f>IF([2]Entry!$S$112="","",[2]Entry!$S$112)</f>
        <v/>
      </c>
    </row>
    <row r="110" spans="1:16" x14ac:dyDescent="0.2">
      <c r="A110" t="str">
        <f>IF([1]Cheques!$A$111="","",[1]Cheques!$A$111)</f>
        <v/>
      </c>
      <c r="E110" t="str">
        <f>IF([1]Accounts!$D$111="","",[1]Accounts!$A$111)</f>
        <v/>
      </c>
      <c r="F110" t="str">
        <f>IF([1]Accounts!$D$111="","",[1]Accounts!$B$111)</f>
        <v/>
      </c>
      <c r="G110" t="str">
        <f>IF([1]Accounts!$D$111="","",[1]Accounts!$C$111)</f>
        <v/>
      </c>
      <c r="H110" t="str">
        <f>IF([1]Accounts!$D$111="","",[1]Accounts!$D$111)</f>
        <v/>
      </c>
      <c r="L110" t="str">
        <f>IF([2]Entry!$C$113="","",[2]Entry!$C$113)</f>
        <v/>
      </c>
      <c r="M110" t="str">
        <f>IF([2]Entry!$J$113="","",[2]Entry!$J$113)</f>
        <v/>
      </c>
      <c r="N110" t="str">
        <f>IF([2]Entry!$M$113="","",[2]Entry!$M$113)</f>
        <v/>
      </c>
      <c r="O110" t="str">
        <f>IF([2]Entry!$N$113="","",[2]Entry!$N$113)</f>
        <v/>
      </c>
      <c r="P110" t="str">
        <f>IF([2]Entry!$S$113="","",[2]Entry!$S$113)</f>
        <v/>
      </c>
    </row>
    <row r="111" spans="1:16" x14ac:dyDescent="0.2">
      <c r="A111" t="str">
        <f>IF([1]Cheques!$A$112="","",[1]Cheques!$A$112)</f>
        <v/>
      </c>
      <c r="E111" t="str">
        <f>IF([1]Accounts!$D$112="","",[1]Accounts!$A$112)</f>
        <v/>
      </c>
      <c r="F111" t="str">
        <f>IF([1]Accounts!$D$112="","",[1]Accounts!$B$112)</f>
        <v/>
      </c>
      <c r="G111" t="str">
        <f>IF([1]Accounts!$D$112="","",[1]Accounts!$C$112)</f>
        <v/>
      </c>
      <c r="H111" t="str">
        <f>IF([1]Accounts!$D$112="","",[1]Accounts!$D$112)</f>
        <v/>
      </c>
      <c r="L111" t="str">
        <f>IF([2]Entry!$C$114="","",[2]Entry!$C$114)</f>
        <v/>
      </c>
      <c r="M111" t="str">
        <f>IF([2]Entry!$J$114="","",[2]Entry!$J$114)</f>
        <v/>
      </c>
      <c r="N111" t="str">
        <f>IF([2]Entry!$M$114="","",[2]Entry!$M$114)</f>
        <v/>
      </c>
      <c r="O111" t="str">
        <f>IF([2]Entry!$N$114="","",[2]Entry!$N$114)</f>
        <v/>
      </c>
      <c r="P111" t="str">
        <f>IF([2]Entry!$S$114="","",[2]Entry!$S$114)</f>
        <v/>
      </c>
    </row>
    <row r="112" spans="1:16" x14ac:dyDescent="0.2">
      <c r="A112" t="str">
        <f>IF([1]Cheques!$A$113="","",[1]Cheques!$A$113)</f>
        <v/>
      </c>
      <c r="E112" t="str">
        <f>IF([1]Accounts!$D$113="","",[1]Accounts!$A$113)</f>
        <v/>
      </c>
      <c r="F112" t="str">
        <f>IF([1]Accounts!$D$113="","",[1]Accounts!$B$113)</f>
        <v/>
      </c>
      <c r="G112" t="str">
        <f>IF([1]Accounts!$D$113="","",[1]Accounts!$C$113)</f>
        <v/>
      </c>
      <c r="H112" t="str">
        <f>IF([1]Accounts!$D$113="","",[1]Accounts!$D$113)</f>
        <v/>
      </c>
      <c r="L112" t="str">
        <f>IF([2]Entry!$C$115="","",[2]Entry!$C$115)</f>
        <v/>
      </c>
      <c r="M112" t="str">
        <f>IF([2]Entry!$J$115="","",[2]Entry!$J$115)</f>
        <v/>
      </c>
      <c r="N112" t="str">
        <f>IF([2]Entry!$M$115="","",[2]Entry!$M$115)</f>
        <v/>
      </c>
      <c r="O112" t="str">
        <f>IF([2]Entry!$N$115="","",[2]Entry!$N$115)</f>
        <v/>
      </c>
      <c r="P112" t="str">
        <f>IF([2]Entry!$S$115="","",[2]Entry!$S$115)</f>
        <v/>
      </c>
    </row>
    <row r="113" spans="1:16" x14ac:dyDescent="0.2">
      <c r="A113" t="str">
        <f>IF([1]Cheques!$A$114="","",[1]Cheques!$A$114)</f>
        <v/>
      </c>
      <c r="E113" t="str">
        <f>IF([1]Accounts!$D$114="","",[1]Accounts!$A$114)</f>
        <v/>
      </c>
      <c r="F113" t="str">
        <f>IF([1]Accounts!$D$114="","",[1]Accounts!$B$114)</f>
        <v/>
      </c>
      <c r="G113" t="str">
        <f>IF([1]Accounts!$D$114="","",[1]Accounts!$C$114)</f>
        <v/>
      </c>
      <c r="H113" t="str">
        <f>IF([1]Accounts!$D$114="","",[1]Accounts!$D$114)</f>
        <v/>
      </c>
      <c r="L113" t="str">
        <f>IF([2]Entry!$C$116="","",[2]Entry!$C$116)</f>
        <v/>
      </c>
      <c r="M113" t="str">
        <f>IF([2]Entry!$J$116="","",[2]Entry!$J$116)</f>
        <v/>
      </c>
      <c r="N113" t="str">
        <f>IF([2]Entry!$M$116="","",[2]Entry!$M$116)</f>
        <v/>
      </c>
      <c r="O113" t="str">
        <f>IF([2]Entry!$N$116="","",[2]Entry!$N$116)</f>
        <v/>
      </c>
      <c r="P113" t="str">
        <f>IF([2]Entry!$S$116="","",[2]Entry!$S$116)</f>
        <v/>
      </c>
    </row>
    <row r="114" spans="1:16" x14ac:dyDescent="0.2">
      <c r="A114" t="str">
        <f>IF([1]Cheques!$A$115="","",[1]Cheques!$A$115)</f>
        <v/>
      </c>
      <c r="E114" t="str">
        <f>IF([1]Accounts!$D$115="","",[1]Accounts!$A$115)</f>
        <v/>
      </c>
      <c r="F114" t="str">
        <f>IF([1]Accounts!$D$115="","",[1]Accounts!$B$115)</f>
        <v/>
      </c>
      <c r="G114" t="str">
        <f>IF([1]Accounts!$D$115="","",[1]Accounts!$C$115)</f>
        <v/>
      </c>
      <c r="H114" t="str">
        <f>IF([1]Accounts!$D$115="","",[1]Accounts!$D$115)</f>
        <v/>
      </c>
      <c r="L114" t="str">
        <f>IF([2]Entry!$C$117="","",[2]Entry!$C$117)</f>
        <v/>
      </c>
      <c r="M114" t="str">
        <f>IF([2]Entry!$J$117="","",[2]Entry!$J$117)</f>
        <v/>
      </c>
      <c r="N114" t="str">
        <f>IF([2]Entry!$M$117="","",[2]Entry!$M$117)</f>
        <v/>
      </c>
      <c r="O114" t="str">
        <f>IF([2]Entry!$N$117="","",[2]Entry!$N$117)</f>
        <v/>
      </c>
      <c r="P114" t="str">
        <f>IF([2]Entry!$S$117="","",[2]Entry!$S$117)</f>
        <v/>
      </c>
    </row>
    <row r="115" spans="1:16" x14ac:dyDescent="0.2">
      <c r="A115" t="str">
        <f>IF([1]Cheques!$A$116="","",[1]Cheques!$A$116)</f>
        <v/>
      </c>
      <c r="E115" t="str">
        <f>IF([1]Accounts!$D$116="","",[1]Accounts!$A$116)</f>
        <v/>
      </c>
      <c r="F115" t="str">
        <f>IF([1]Accounts!$D$116="","",[1]Accounts!$B$116)</f>
        <v/>
      </c>
      <c r="G115" t="str">
        <f>IF([1]Accounts!$D$116="","",[1]Accounts!$C$116)</f>
        <v/>
      </c>
      <c r="H115" t="str">
        <f>IF([1]Accounts!$D$116="","",[1]Accounts!$D$116)</f>
        <v/>
      </c>
      <c r="L115" t="str">
        <f>IF([2]Entry!$C$118="","",[2]Entry!$C$118)</f>
        <v/>
      </c>
      <c r="M115" t="str">
        <f>IF([2]Entry!$J$118="","",[2]Entry!$J$118)</f>
        <v/>
      </c>
      <c r="N115" t="str">
        <f>IF([2]Entry!$M$118="","",[2]Entry!$M$118)</f>
        <v/>
      </c>
      <c r="O115" t="str">
        <f>IF([2]Entry!$N$118="","",[2]Entry!$N$118)</f>
        <v/>
      </c>
      <c r="P115" t="str">
        <f>IF([2]Entry!$S$118="","",[2]Entry!$S$118)</f>
        <v/>
      </c>
    </row>
    <row r="116" spans="1:16" x14ac:dyDescent="0.2">
      <c r="A116" t="str">
        <f>IF([1]Cheques!$A$117="","",[1]Cheques!$A$117)</f>
        <v/>
      </c>
      <c r="E116" t="str">
        <f>IF([1]Accounts!$D$117="","",[1]Accounts!$A$117)</f>
        <v/>
      </c>
      <c r="F116" t="str">
        <f>IF([1]Accounts!$D$117="","",[1]Accounts!$B$117)</f>
        <v/>
      </c>
      <c r="G116" t="str">
        <f>IF([1]Accounts!$D$117="","",[1]Accounts!$C$117)</f>
        <v/>
      </c>
      <c r="H116" t="str">
        <f>IF([1]Accounts!$D$117="","",[1]Accounts!$D$117)</f>
        <v/>
      </c>
      <c r="L116" t="str">
        <f>IF([2]Entry!$C$119="","",[2]Entry!$C$119)</f>
        <v/>
      </c>
      <c r="M116" t="str">
        <f>IF([2]Entry!$J$119="","",[2]Entry!$J$119)</f>
        <v/>
      </c>
      <c r="N116" t="str">
        <f>IF([2]Entry!$M$119="","",[2]Entry!$M$119)</f>
        <v/>
      </c>
      <c r="O116" t="str">
        <f>IF([2]Entry!$N$119="","",[2]Entry!$N$119)</f>
        <v/>
      </c>
      <c r="P116" t="str">
        <f>IF([2]Entry!$S$119="","",[2]Entry!$S$119)</f>
        <v/>
      </c>
    </row>
    <row r="117" spans="1:16" x14ac:dyDescent="0.2">
      <c r="A117" t="str">
        <f>IF([1]Cheques!$A$118="","",[1]Cheques!$A$118)</f>
        <v/>
      </c>
      <c r="E117" t="str">
        <f>IF([1]Accounts!$D$118="","",[1]Accounts!$A$118)</f>
        <v/>
      </c>
      <c r="F117" t="str">
        <f>IF([1]Accounts!$D$118="","",[1]Accounts!$B$118)</f>
        <v/>
      </c>
      <c r="G117" t="str">
        <f>IF([1]Accounts!$D$118="","",[1]Accounts!$C$118)</f>
        <v/>
      </c>
      <c r="H117" t="str">
        <f>IF([1]Accounts!$D$118="","",[1]Accounts!$D$118)</f>
        <v/>
      </c>
      <c r="L117" t="str">
        <f>IF([2]Entry!$C$120="","",[2]Entry!$C$120)</f>
        <v/>
      </c>
      <c r="M117" t="str">
        <f>IF([2]Entry!$J$120="","",[2]Entry!$J$120)</f>
        <v/>
      </c>
      <c r="N117" t="str">
        <f>IF([2]Entry!$M$120="","",[2]Entry!$M$120)</f>
        <v/>
      </c>
      <c r="O117" t="str">
        <f>IF([2]Entry!$N$120="","",[2]Entry!$N$120)</f>
        <v/>
      </c>
      <c r="P117" t="str">
        <f>IF([2]Entry!$S$120="","",[2]Entry!$S$120)</f>
        <v/>
      </c>
    </row>
    <row r="118" spans="1:16" x14ac:dyDescent="0.2">
      <c r="A118" t="str">
        <f>IF([1]Cheques!$A$119="","",[1]Cheques!$A$119)</f>
        <v/>
      </c>
      <c r="E118" t="str">
        <f>IF([1]Accounts!$D$119="","",[1]Accounts!$A$119)</f>
        <v/>
      </c>
      <c r="F118" t="str">
        <f>IF([1]Accounts!$D$119="","",[1]Accounts!$B$119)</f>
        <v/>
      </c>
      <c r="G118" t="str">
        <f>IF([1]Accounts!$D$119="","",[1]Accounts!$C$119)</f>
        <v/>
      </c>
      <c r="H118" t="str">
        <f>IF([1]Accounts!$D$119="","",[1]Accounts!$D$119)</f>
        <v/>
      </c>
      <c r="L118" t="str">
        <f>IF([2]Entry!$C$121="","",[2]Entry!$C$121)</f>
        <v/>
      </c>
      <c r="M118" t="str">
        <f>IF([2]Entry!$J$121="","",[2]Entry!$J$121)</f>
        <v/>
      </c>
      <c r="N118" t="str">
        <f>IF([2]Entry!$M$121="","",[2]Entry!$M$121)</f>
        <v/>
      </c>
      <c r="O118" t="str">
        <f>IF([2]Entry!$N$121="","",[2]Entry!$N$121)</f>
        <v/>
      </c>
      <c r="P118" t="str">
        <f>IF([2]Entry!$S$121="","",[2]Entry!$S$121)</f>
        <v/>
      </c>
    </row>
    <row r="119" spans="1:16" x14ac:dyDescent="0.2">
      <c r="A119" t="str">
        <f>IF([1]Cheques!$A$120="","",[1]Cheques!$A$120)</f>
        <v/>
      </c>
      <c r="E119" t="str">
        <f>IF([1]Accounts!$D$120="","",[1]Accounts!$A$120)</f>
        <v/>
      </c>
      <c r="F119" t="str">
        <f>IF([1]Accounts!$D$120="","",[1]Accounts!$B$120)</f>
        <v/>
      </c>
      <c r="G119" t="str">
        <f>IF([1]Accounts!$D$120="","",[1]Accounts!$C$120)</f>
        <v/>
      </c>
      <c r="H119" t="str">
        <f>IF([1]Accounts!$D$120="","",[1]Accounts!$D$120)</f>
        <v/>
      </c>
      <c r="L119" t="str">
        <f>IF([2]Entry!$C$122="","",[2]Entry!$C$122)</f>
        <v/>
      </c>
      <c r="M119" t="str">
        <f>IF([2]Entry!$J$122="","",[2]Entry!$J$122)</f>
        <v/>
      </c>
      <c r="N119" t="str">
        <f>IF([2]Entry!$M$122="","",[2]Entry!$M$122)</f>
        <v/>
      </c>
      <c r="O119" t="str">
        <f>IF([2]Entry!$N$122="","",[2]Entry!$N$122)</f>
        <v/>
      </c>
      <c r="P119" t="str">
        <f>IF([2]Entry!$S$122="","",[2]Entry!$S$122)</f>
        <v/>
      </c>
    </row>
    <row r="120" spans="1:16" x14ac:dyDescent="0.2">
      <c r="A120" t="str">
        <f>IF([1]Cheques!$A$121="","",[1]Cheques!$A$121)</f>
        <v/>
      </c>
      <c r="E120" t="str">
        <f>IF([1]Accounts!$D$121="","",[1]Accounts!$A$121)</f>
        <v/>
      </c>
      <c r="F120" t="str">
        <f>IF([1]Accounts!$D$121="","",[1]Accounts!$B$121)</f>
        <v/>
      </c>
      <c r="G120" t="str">
        <f>IF([1]Accounts!$D$121="","",[1]Accounts!$C$121)</f>
        <v/>
      </c>
      <c r="H120" t="str">
        <f>IF([1]Accounts!$D$121="","",[1]Accounts!$D$121)</f>
        <v/>
      </c>
      <c r="L120" t="str">
        <f>IF([2]Entry!$C$123="","",[2]Entry!$C$123)</f>
        <v/>
      </c>
      <c r="M120" t="str">
        <f>IF([2]Entry!$J$123="","",[2]Entry!$J$123)</f>
        <v/>
      </c>
      <c r="N120" t="str">
        <f>IF([2]Entry!$M$123="","",[2]Entry!$M$123)</f>
        <v/>
      </c>
      <c r="O120" t="str">
        <f>IF([2]Entry!$N$123="","",[2]Entry!$N$123)</f>
        <v/>
      </c>
      <c r="P120" t="str">
        <f>IF([2]Entry!$S$123="","",[2]Entry!$S$123)</f>
        <v/>
      </c>
    </row>
    <row r="121" spans="1:16" x14ac:dyDescent="0.2">
      <c r="A121" t="str">
        <f>IF([1]Cheques!$A$122="","",[1]Cheques!$A$122)</f>
        <v/>
      </c>
      <c r="E121" t="str">
        <f>IF([1]Accounts!$D$122="","",[1]Accounts!$A$122)</f>
        <v/>
      </c>
      <c r="F121" t="str">
        <f>IF([1]Accounts!$D$122="","",[1]Accounts!$B$122)</f>
        <v/>
      </c>
      <c r="G121" t="str">
        <f>IF([1]Accounts!$D$122="","",[1]Accounts!$C$122)</f>
        <v/>
      </c>
      <c r="H121" t="str">
        <f>IF([1]Accounts!$D$122="","",[1]Accounts!$D$122)</f>
        <v/>
      </c>
      <c r="L121" t="str">
        <f>IF([2]Entry!$C$124="","",[2]Entry!$C$124)</f>
        <v/>
      </c>
      <c r="M121" t="str">
        <f>IF([2]Entry!$J$124="","",[2]Entry!$J$124)</f>
        <v/>
      </c>
      <c r="N121" t="str">
        <f>IF([2]Entry!$M$124="","",[2]Entry!$M$124)</f>
        <v/>
      </c>
      <c r="O121" t="str">
        <f>IF([2]Entry!$N$124="","",[2]Entry!$N$124)</f>
        <v/>
      </c>
      <c r="P121" t="str">
        <f>IF([2]Entry!$S$124="","",[2]Entry!$S$124)</f>
        <v/>
      </c>
    </row>
    <row r="122" spans="1:16" x14ac:dyDescent="0.2">
      <c r="A122" t="str">
        <f>IF([1]Cheques!$A$123="","",[1]Cheques!$A$123)</f>
        <v/>
      </c>
      <c r="E122" t="str">
        <f>IF([1]Accounts!$D$123="","",[1]Accounts!$A$123)</f>
        <v/>
      </c>
      <c r="F122" t="str">
        <f>IF([1]Accounts!$D$123="","",[1]Accounts!$B$123)</f>
        <v/>
      </c>
      <c r="G122" t="str">
        <f>IF([1]Accounts!$D$123="","",[1]Accounts!$C$123)</f>
        <v/>
      </c>
      <c r="H122" t="str">
        <f>IF([1]Accounts!$D$123="","",[1]Accounts!$D$123)</f>
        <v/>
      </c>
      <c r="L122" t="str">
        <f>IF([2]Entry!$C$125="","",[2]Entry!$C$125)</f>
        <v/>
      </c>
      <c r="M122" t="str">
        <f>IF([2]Entry!$J$125="","",[2]Entry!$J$125)</f>
        <v/>
      </c>
      <c r="N122" t="str">
        <f>IF([2]Entry!$M$125="","",[2]Entry!$M$125)</f>
        <v/>
      </c>
      <c r="O122" t="str">
        <f>IF([2]Entry!$N$125="","",[2]Entry!$N$125)</f>
        <v/>
      </c>
      <c r="P122" t="str">
        <f>IF([2]Entry!$S$125="","",[2]Entry!$S$125)</f>
        <v/>
      </c>
    </row>
    <row r="123" spans="1:16" x14ac:dyDescent="0.2">
      <c r="A123" t="str">
        <f>IF([1]Cheques!$A$124="","",[1]Cheques!$A$124)</f>
        <v/>
      </c>
      <c r="E123" t="str">
        <f>IF([1]Accounts!$D$124="","",[1]Accounts!$A$124)</f>
        <v/>
      </c>
      <c r="F123" t="str">
        <f>IF([1]Accounts!$D$124="","",[1]Accounts!$B$124)</f>
        <v/>
      </c>
      <c r="G123" t="str">
        <f>IF([1]Accounts!$D$124="","",[1]Accounts!$C$124)</f>
        <v/>
      </c>
      <c r="H123" t="str">
        <f>IF([1]Accounts!$D$124="","",[1]Accounts!$D$124)</f>
        <v/>
      </c>
      <c r="L123" t="str">
        <f>IF([2]Entry!$C$126="","",[2]Entry!$C$126)</f>
        <v/>
      </c>
      <c r="M123" t="str">
        <f>IF([2]Entry!$J$126="","",[2]Entry!$J$126)</f>
        <v/>
      </c>
      <c r="N123" t="str">
        <f>IF([2]Entry!$M$126="","",[2]Entry!$M$126)</f>
        <v/>
      </c>
      <c r="O123" t="str">
        <f>IF([2]Entry!$N$126="","",[2]Entry!$N$126)</f>
        <v/>
      </c>
      <c r="P123" t="str">
        <f>IF([2]Entry!$S$126="","",[2]Entry!$S$126)</f>
        <v/>
      </c>
    </row>
    <row r="124" spans="1:16" x14ac:dyDescent="0.2">
      <c r="A124" t="str">
        <f>IF([1]Cheques!$A$125="","",[1]Cheques!$A$125)</f>
        <v/>
      </c>
      <c r="E124" t="str">
        <f>IF([1]Accounts!$D$125="","",[1]Accounts!$A$125)</f>
        <v/>
      </c>
      <c r="F124" t="str">
        <f>IF([1]Accounts!$D$125="","",[1]Accounts!$B$125)</f>
        <v/>
      </c>
      <c r="G124" t="str">
        <f>IF([1]Accounts!$D$125="","",[1]Accounts!$C$125)</f>
        <v/>
      </c>
      <c r="H124" t="str">
        <f>IF([1]Accounts!$D$125="","",[1]Accounts!$D$125)</f>
        <v/>
      </c>
      <c r="L124" t="str">
        <f>IF([2]Entry!$C$127="","",[2]Entry!$C$127)</f>
        <v/>
      </c>
      <c r="M124" t="str">
        <f>IF([2]Entry!$J$127="","",[2]Entry!$J$127)</f>
        <v/>
      </c>
      <c r="N124" t="str">
        <f>IF([2]Entry!$M$127="","",[2]Entry!$M$127)</f>
        <v/>
      </c>
      <c r="O124" t="str">
        <f>IF([2]Entry!$N$127="","",[2]Entry!$N$127)</f>
        <v/>
      </c>
      <c r="P124" t="str">
        <f>IF([2]Entry!$S$127="","",[2]Entry!$S$127)</f>
        <v/>
      </c>
    </row>
    <row r="125" spans="1:16" x14ac:dyDescent="0.2">
      <c r="A125" t="str">
        <f>IF([1]Cheques!$A$126="","",[1]Cheques!$A$126)</f>
        <v/>
      </c>
      <c r="E125" t="str">
        <f>IF([1]Accounts!$D$126="","",[1]Accounts!$A$126)</f>
        <v/>
      </c>
      <c r="F125" t="str">
        <f>IF([1]Accounts!$D$126="","",[1]Accounts!$B$126)</f>
        <v/>
      </c>
      <c r="G125" t="str">
        <f>IF([1]Accounts!$D$126="","",[1]Accounts!$C$126)</f>
        <v/>
      </c>
      <c r="H125" t="str">
        <f>IF([1]Accounts!$D$126="","",[1]Accounts!$D$126)</f>
        <v/>
      </c>
      <c r="L125" t="str">
        <f>IF([2]Entry!$C$128="","",[2]Entry!$C$128)</f>
        <v/>
      </c>
      <c r="M125" t="str">
        <f>IF([2]Entry!$J$128="","",[2]Entry!$J$128)</f>
        <v/>
      </c>
      <c r="N125" t="str">
        <f>IF([2]Entry!$M$128="","",[2]Entry!$M$128)</f>
        <v/>
      </c>
      <c r="O125" t="str">
        <f>IF([2]Entry!$N$128="","",[2]Entry!$N$128)</f>
        <v/>
      </c>
      <c r="P125" t="str">
        <f>IF([2]Entry!$S$128="","",[2]Entry!$S$128)</f>
        <v/>
      </c>
    </row>
    <row r="126" spans="1:16" x14ac:dyDescent="0.2">
      <c r="A126" t="str">
        <f>IF([1]Cheques!$A$127="","",[1]Cheques!$A$127)</f>
        <v/>
      </c>
      <c r="E126" t="str">
        <f>IF([1]Accounts!$D$127="","",[1]Accounts!$A$127)</f>
        <v/>
      </c>
      <c r="F126" t="str">
        <f>IF([1]Accounts!$D$127="","",[1]Accounts!$B$127)</f>
        <v/>
      </c>
      <c r="G126" t="str">
        <f>IF([1]Accounts!$D$127="","",[1]Accounts!$C$127)</f>
        <v/>
      </c>
      <c r="H126" t="str">
        <f>IF([1]Accounts!$D$127="","",[1]Accounts!$D$127)</f>
        <v/>
      </c>
      <c r="L126" t="str">
        <f>IF([2]Entry!$C$129="","",[2]Entry!$C$129)</f>
        <v/>
      </c>
      <c r="M126" t="str">
        <f>IF([2]Entry!$J$129="","",[2]Entry!$J$129)</f>
        <v/>
      </c>
      <c r="N126" t="str">
        <f>IF([2]Entry!$M$129="","",[2]Entry!$M$129)</f>
        <v/>
      </c>
      <c r="O126" t="str">
        <f>IF([2]Entry!$N$129="","",[2]Entry!$N$129)</f>
        <v/>
      </c>
      <c r="P126" t="str">
        <f>IF([2]Entry!$S$129="","",[2]Entry!$S$129)</f>
        <v/>
      </c>
    </row>
    <row r="127" spans="1:16" x14ac:dyDescent="0.2">
      <c r="A127" t="str">
        <f>IF([1]Cheques!$A$128="","",[1]Cheques!$A$128)</f>
        <v/>
      </c>
      <c r="E127" t="str">
        <f>IF([1]Accounts!$D$128="","",[1]Accounts!$A$128)</f>
        <v/>
      </c>
      <c r="F127" t="str">
        <f>IF([1]Accounts!$D$128="","",[1]Accounts!$B$128)</f>
        <v/>
      </c>
      <c r="G127" t="str">
        <f>IF([1]Accounts!$D$128="","",[1]Accounts!$C$128)</f>
        <v/>
      </c>
      <c r="H127" t="str">
        <f>IF([1]Accounts!$D$128="","",[1]Accounts!$D$128)</f>
        <v/>
      </c>
      <c r="L127" t="str">
        <f>IF([2]Entry!$C$130="","",[2]Entry!$C$130)</f>
        <v/>
      </c>
      <c r="M127" t="str">
        <f>IF([2]Entry!$J$130="","",[2]Entry!$J$130)</f>
        <v/>
      </c>
      <c r="N127" t="str">
        <f>IF([2]Entry!$M$130="","",[2]Entry!$M$130)</f>
        <v/>
      </c>
      <c r="O127" t="str">
        <f>IF([2]Entry!$N$130="","",[2]Entry!$N$130)</f>
        <v/>
      </c>
      <c r="P127" t="str">
        <f>IF([2]Entry!$S$130="","",[2]Entry!$S$130)</f>
        <v/>
      </c>
    </row>
    <row r="128" spans="1:16" x14ac:dyDescent="0.2">
      <c r="A128" t="str">
        <f>IF([1]Cheques!$A$129="","",[1]Cheques!$A$129)</f>
        <v/>
      </c>
      <c r="E128" t="str">
        <f>IF([1]Accounts!$D$129="","",[1]Accounts!$A$129)</f>
        <v/>
      </c>
      <c r="F128" t="str">
        <f>IF([1]Accounts!$D$129="","",[1]Accounts!$B$129)</f>
        <v/>
      </c>
      <c r="G128" t="str">
        <f>IF([1]Accounts!$D$129="","",[1]Accounts!$C$129)</f>
        <v/>
      </c>
      <c r="H128" t="str">
        <f>IF([1]Accounts!$D$129="","",[1]Accounts!$D$129)</f>
        <v/>
      </c>
      <c r="L128" t="str">
        <f>IF([2]Entry!$C$131="","",[2]Entry!$C$131)</f>
        <v/>
      </c>
      <c r="M128" t="str">
        <f>IF([2]Entry!$J$131="","",[2]Entry!$J$131)</f>
        <v/>
      </c>
      <c r="N128" t="str">
        <f>IF([2]Entry!$M$131="","",[2]Entry!$M$131)</f>
        <v/>
      </c>
      <c r="O128" t="str">
        <f>IF([2]Entry!$N$131="","",[2]Entry!$N$131)</f>
        <v/>
      </c>
      <c r="P128" t="str">
        <f>IF([2]Entry!$S$131="","",[2]Entry!$S$131)</f>
        <v/>
      </c>
    </row>
    <row r="129" spans="1:16" x14ac:dyDescent="0.2">
      <c r="A129" t="str">
        <f>IF([1]Cheques!$A$130="","",[1]Cheques!$A$130)</f>
        <v/>
      </c>
      <c r="E129" t="str">
        <f>IF([1]Accounts!$D$130="","",[1]Accounts!$A$130)</f>
        <v/>
      </c>
      <c r="F129" t="str">
        <f>IF([1]Accounts!$D$130="","",[1]Accounts!$B$130)</f>
        <v/>
      </c>
      <c r="G129" t="str">
        <f>IF([1]Accounts!$D$130="","",[1]Accounts!$C$130)</f>
        <v/>
      </c>
      <c r="H129" t="str">
        <f>IF([1]Accounts!$D$130="","",[1]Accounts!$D$130)</f>
        <v/>
      </c>
      <c r="L129" t="str">
        <f>IF([2]Entry!$C$132="","",[2]Entry!$C$132)</f>
        <v/>
      </c>
      <c r="M129" t="str">
        <f>IF([2]Entry!$J$132="","",[2]Entry!$J$132)</f>
        <v/>
      </c>
      <c r="N129" t="str">
        <f>IF([2]Entry!$M$132="","",[2]Entry!$M$132)</f>
        <v/>
      </c>
      <c r="O129" t="str">
        <f>IF([2]Entry!$N$132="","",[2]Entry!$N$132)</f>
        <v/>
      </c>
      <c r="P129" t="str">
        <f>IF([2]Entry!$S$132="","",[2]Entry!$S$132)</f>
        <v/>
      </c>
    </row>
    <row r="130" spans="1:16" x14ac:dyDescent="0.2">
      <c r="A130" t="str">
        <f>IF([1]Cheques!$A$131="","",[1]Cheques!$A$131)</f>
        <v/>
      </c>
      <c r="E130" t="str">
        <f>IF([1]Accounts!$D$131="","",[1]Accounts!$A$131)</f>
        <v/>
      </c>
      <c r="F130" t="str">
        <f>IF([1]Accounts!$D$131="","",[1]Accounts!$B$131)</f>
        <v/>
      </c>
      <c r="G130" t="str">
        <f>IF([1]Accounts!$D$131="","",[1]Accounts!$C$131)</f>
        <v/>
      </c>
      <c r="H130" t="str">
        <f>IF([1]Accounts!$D$131="","",[1]Accounts!$D$131)</f>
        <v/>
      </c>
      <c r="L130" t="str">
        <f>IF([2]Entry!$C$133="","",[2]Entry!$C$133)</f>
        <v/>
      </c>
      <c r="M130" t="str">
        <f>IF([2]Entry!$J$133="","",[2]Entry!$J$133)</f>
        <v/>
      </c>
      <c r="N130" t="str">
        <f>IF([2]Entry!$M$133="","",[2]Entry!$M$133)</f>
        <v/>
      </c>
      <c r="O130" t="str">
        <f>IF([2]Entry!$N$133="","",[2]Entry!$N$133)</f>
        <v/>
      </c>
      <c r="P130" t="str">
        <f>IF([2]Entry!$S$133="","",[2]Entry!$S$133)</f>
        <v/>
      </c>
    </row>
    <row r="131" spans="1:16" x14ac:dyDescent="0.2">
      <c r="A131" t="str">
        <f>IF([1]Cheques!$A$132="","",[1]Cheques!$A$132)</f>
        <v/>
      </c>
      <c r="E131" t="str">
        <f>IF([1]Accounts!$D$132="","",[1]Accounts!$A$132)</f>
        <v/>
      </c>
      <c r="F131" t="str">
        <f>IF([1]Accounts!$D$132="","",[1]Accounts!$B$132)</f>
        <v/>
      </c>
      <c r="G131" t="str">
        <f>IF([1]Accounts!$D$132="","",[1]Accounts!$C$132)</f>
        <v/>
      </c>
      <c r="H131" t="str">
        <f>IF([1]Accounts!$D$132="","",[1]Accounts!$D$132)</f>
        <v/>
      </c>
      <c r="L131" t="str">
        <f>IF([2]Entry!$C$134="","",[2]Entry!$C$134)</f>
        <v/>
      </c>
      <c r="M131" t="str">
        <f>IF([2]Entry!$J$134="","",[2]Entry!$J$134)</f>
        <v/>
      </c>
      <c r="N131" t="str">
        <f>IF([2]Entry!$M$134="","",[2]Entry!$M$134)</f>
        <v/>
      </c>
      <c r="O131" t="str">
        <f>IF([2]Entry!$N$134="","",[2]Entry!$N$134)</f>
        <v/>
      </c>
      <c r="P131" t="str">
        <f>IF([2]Entry!$S$134="","",[2]Entry!$S$134)</f>
        <v/>
      </c>
    </row>
    <row r="132" spans="1:16" x14ac:dyDescent="0.2">
      <c r="A132" t="str">
        <f>IF([1]Cheques!$A$133="","",[1]Cheques!$A$133)</f>
        <v/>
      </c>
      <c r="E132" t="str">
        <f>IF([1]Accounts!$D$133="","",[1]Accounts!$A$133)</f>
        <v/>
      </c>
      <c r="F132" t="str">
        <f>IF([1]Accounts!$D$133="","",[1]Accounts!$B$133)</f>
        <v/>
      </c>
      <c r="G132" t="str">
        <f>IF([1]Accounts!$D$133="","",[1]Accounts!$C$133)</f>
        <v/>
      </c>
      <c r="H132" t="str">
        <f>IF([1]Accounts!$D$133="","",[1]Accounts!$D$133)</f>
        <v/>
      </c>
      <c r="L132" t="str">
        <f>IF([2]Entry!$C$135="","",[2]Entry!$C$135)</f>
        <v/>
      </c>
      <c r="M132" t="str">
        <f>IF([2]Entry!$J$135="","",[2]Entry!$J$135)</f>
        <v/>
      </c>
      <c r="N132" t="str">
        <f>IF([2]Entry!$M$135="","",[2]Entry!$M$135)</f>
        <v/>
      </c>
      <c r="O132" t="str">
        <f>IF([2]Entry!$N$135="","",[2]Entry!$N$135)</f>
        <v/>
      </c>
      <c r="P132" t="str">
        <f>IF([2]Entry!$S$135="","",[2]Entry!$S$135)</f>
        <v/>
      </c>
    </row>
    <row r="133" spans="1:16" x14ac:dyDescent="0.2">
      <c r="A133" t="str">
        <f>IF([1]Cheques!$A$134="","",[1]Cheques!$A$134)</f>
        <v/>
      </c>
      <c r="E133" t="str">
        <f>IF([1]Accounts!$D$134="","",[1]Accounts!$A$134)</f>
        <v/>
      </c>
      <c r="F133" t="str">
        <f>IF([1]Accounts!$D$134="","",[1]Accounts!$B$134)</f>
        <v/>
      </c>
      <c r="G133" t="str">
        <f>IF([1]Accounts!$D$134="","",[1]Accounts!$C$134)</f>
        <v/>
      </c>
      <c r="H133" t="str">
        <f>IF([1]Accounts!$D$134="","",[1]Accounts!$D$134)</f>
        <v/>
      </c>
      <c r="L133" t="str">
        <f>IF([2]Entry!$C$136="","",[2]Entry!$C$136)</f>
        <v/>
      </c>
      <c r="M133" t="str">
        <f>IF([2]Entry!$J$136="","",[2]Entry!$J$136)</f>
        <v/>
      </c>
      <c r="N133" t="str">
        <f>IF([2]Entry!$M$136="","",[2]Entry!$M$136)</f>
        <v/>
      </c>
      <c r="O133" t="str">
        <f>IF([2]Entry!$N$136="","",[2]Entry!$N$136)</f>
        <v/>
      </c>
      <c r="P133" t="str">
        <f>IF([2]Entry!$S$136="","",[2]Entry!$S$136)</f>
        <v/>
      </c>
    </row>
    <row r="134" spans="1:16" x14ac:dyDescent="0.2">
      <c r="A134" t="str">
        <f>IF([1]Cheques!$A$135="","",[1]Cheques!$A$135)</f>
        <v/>
      </c>
      <c r="E134" t="str">
        <f>IF([1]Accounts!$D$135="","",[1]Accounts!$A$135)</f>
        <v/>
      </c>
      <c r="F134" t="str">
        <f>IF([1]Accounts!$D$135="","",[1]Accounts!$B$135)</f>
        <v/>
      </c>
      <c r="G134" t="str">
        <f>IF([1]Accounts!$D$135="","",[1]Accounts!$C$135)</f>
        <v/>
      </c>
      <c r="H134" t="str">
        <f>IF([1]Accounts!$D$135="","",[1]Accounts!$D$135)</f>
        <v/>
      </c>
      <c r="L134" t="str">
        <f>IF([2]Entry!$C$137="","",[2]Entry!$C$137)</f>
        <v/>
      </c>
      <c r="M134" t="str">
        <f>IF([2]Entry!$J$137="","",[2]Entry!$J$137)</f>
        <v/>
      </c>
      <c r="N134" t="str">
        <f>IF([2]Entry!$M$137="","",[2]Entry!$M$137)</f>
        <v/>
      </c>
      <c r="O134" t="str">
        <f>IF([2]Entry!$N$137="","",[2]Entry!$N$137)</f>
        <v/>
      </c>
      <c r="P134" t="str">
        <f>IF([2]Entry!$S$137="","",[2]Entry!$S$137)</f>
        <v/>
      </c>
    </row>
    <row r="135" spans="1:16" x14ac:dyDescent="0.2">
      <c r="A135" t="str">
        <f>IF([1]Cheques!$A$136="","",[1]Cheques!$A$136)</f>
        <v/>
      </c>
      <c r="E135" t="str">
        <f>IF([1]Accounts!$D$136="","",[1]Accounts!$A$136)</f>
        <v/>
      </c>
      <c r="F135" t="str">
        <f>IF([1]Accounts!$D$136="","",[1]Accounts!$B$136)</f>
        <v/>
      </c>
      <c r="G135" t="str">
        <f>IF([1]Accounts!$D$136="","",[1]Accounts!$C$136)</f>
        <v/>
      </c>
      <c r="H135" t="str">
        <f>IF([1]Accounts!$D$136="","",[1]Accounts!$D$136)</f>
        <v/>
      </c>
      <c r="L135" t="str">
        <f>IF([2]Entry!$C$138="","",[2]Entry!$C$138)</f>
        <v/>
      </c>
      <c r="M135" t="str">
        <f>IF([2]Entry!$J$138="","",[2]Entry!$J$138)</f>
        <v/>
      </c>
      <c r="N135" t="str">
        <f>IF([2]Entry!$M$138="","",[2]Entry!$M$138)</f>
        <v/>
      </c>
      <c r="O135" t="str">
        <f>IF([2]Entry!$N$138="","",[2]Entry!$N$138)</f>
        <v/>
      </c>
      <c r="P135" t="str">
        <f>IF([2]Entry!$S$138="","",[2]Entry!$S$138)</f>
        <v/>
      </c>
    </row>
    <row r="136" spans="1:16" x14ac:dyDescent="0.2">
      <c r="A136" t="str">
        <f>IF([1]Cheques!$A$137="","",[1]Cheques!$A$137)</f>
        <v/>
      </c>
      <c r="E136" t="str">
        <f>IF([1]Accounts!$D$137="","",[1]Accounts!$A$137)</f>
        <v/>
      </c>
      <c r="F136" t="str">
        <f>IF([1]Accounts!$D$137="","",[1]Accounts!$B$137)</f>
        <v/>
      </c>
      <c r="G136" t="str">
        <f>IF([1]Accounts!$D$137="","",[1]Accounts!$C$137)</f>
        <v/>
      </c>
      <c r="H136" t="str">
        <f>IF([1]Accounts!$D$137="","",[1]Accounts!$D$137)</f>
        <v/>
      </c>
      <c r="L136" t="str">
        <f>IF([2]Entry!$C$139="","",[2]Entry!$C$139)</f>
        <v/>
      </c>
      <c r="M136" t="str">
        <f>IF([2]Entry!$J$139="","",[2]Entry!$J$139)</f>
        <v/>
      </c>
      <c r="N136" t="str">
        <f>IF([2]Entry!$M$139="","",[2]Entry!$M$139)</f>
        <v/>
      </c>
      <c r="O136" t="str">
        <f>IF([2]Entry!$N$139="","",[2]Entry!$N$139)</f>
        <v/>
      </c>
      <c r="P136" t="str">
        <f>IF([2]Entry!$S$139="","",[2]Entry!$S$139)</f>
        <v/>
      </c>
    </row>
    <row r="137" spans="1:16" x14ac:dyDescent="0.2">
      <c r="A137" t="str">
        <f>IF([1]Cheques!$A$138="","",[1]Cheques!$A$138)</f>
        <v/>
      </c>
      <c r="E137" t="str">
        <f>IF([1]Accounts!$D$138="","",[1]Accounts!$A$138)</f>
        <v/>
      </c>
      <c r="F137" t="str">
        <f>IF([1]Accounts!$D$138="","",[1]Accounts!$B$138)</f>
        <v/>
      </c>
      <c r="G137" t="str">
        <f>IF([1]Accounts!$D$138="","",[1]Accounts!$C$138)</f>
        <v/>
      </c>
      <c r="H137" t="str">
        <f>IF([1]Accounts!$D$138="","",[1]Accounts!$D$138)</f>
        <v/>
      </c>
      <c r="L137" t="str">
        <f>IF([2]Entry!$C$140="","",[2]Entry!$C$140)</f>
        <v/>
      </c>
      <c r="M137" t="str">
        <f>IF([2]Entry!$J$140="","",[2]Entry!$J$140)</f>
        <v/>
      </c>
      <c r="N137" t="str">
        <f>IF([2]Entry!$M$140="","",[2]Entry!$M$140)</f>
        <v/>
      </c>
      <c r="O137" t="str">
        <f>IF([2]Entry!$N$140="","",[2]Entry!$N$140)</f>
        <v/>
      </c>
      <c r="P137" t="str">
        <f>IF([2]Entry!$S$140="","",[2]Entry!$S$140)</f>
        <v/>
      </c>
    </row>
    <row r="138" spans="1:16" x14ac:dyDescent="0.2">
      <c r="A138" t="str">
        <f>IF([1]Cheques!$A$139="","",[1]Cheques!$A$139)</f>
        <v/>
      </c>
      <c r="E138" t="str">
        <f>IF([1]Accounts!$D$139="","",[1]Accounts!$A$139)</f>
        <v/>
      </c>
      <c r="F138" t="str">
        <f>IF([1]Accounts!$D$139="","",[1]Accounts!$B$139)</f>
        <v/>
      </c>
      <c r="G138" t="str">
        <f>IF([1]Accounts!$D$139="","",[1]Accounts!$C$139)</f>
        <v/>
      </c>
      <c r="H138" t="str">
        <f>IF([1]Accounts!$D$139="","",[1]Accounts!$D$139)</f>
        <v/>
      </c>
      <c r="L138" t="str">
        <f>IF([2]Entry!$C$141="","",[2]Entry!$C$141)</f>
        <v/>
      </c>
      <c r="M138" t="str">
        <f>IF([2]Entry!$J$141="","",[2]Entry!$J$141)</f>
        <v/>
      </c>
      <c r="N138" t="str">
        <f>IF([2]Entry!$M$141="","",[2]Entry!$M$141)</f>
        <v/>
      </c>
      <c r="O138" t="str">
        <f>IF([2]Entry!$N$141="","",[2]Entry!$N$141)</f>
        <v/>
      </c>
      <c r="P138" t="str">
        <f>IF([2]Entry!$S$141="","",[2]Entry!$S$141)</f>
        <v/>
      </c>
    </row>
    <row r="139" spans="1:16" x14ac:dyDescent="0.2">
      <c r="A139" t="str">
        <f>IF([1]Cheques!$A$140="","",[1]Cheques!$A$140)</f>
        <v/>
      </c>
      <c r="E139" t="str">
        <f>IF([1]Accounts!$D$140="","",[1]Accounts!$A$140)</f>
        <v/>
      </c>
      <c r="F139" t="str">
        <f>IF([1]Accounts!$D$140="","",[1]Accounts!$B$140)</f>
        <v/>
      </c>
      <c r="G139" t="str">
        <f>IF([1]Accounts!$D$140="","",[1]Accounts!$C$140)</f>
        <v/>
      </c>
      <c r="H139" t="str">
        <f>IF([1]Accounts!$D$140="","",[1]Accounts!$D$140)</f>
        <v/>
      </c>
      <c r="L139" t="str">
        <f>IF([2]Entry!$C$142="","",[2]Entry!$C$142)</f>
        <v/>
      </c>
      <c r="M139" t="str">
        <f>IF([2]Entry!$J$142="","",[2]Entry!$J$142)</f>
        <v/>
      </c>
      <c r="N139" t="str">
        <f>IF([2]Entry!$M$142="","",[2]Entry!$M$142)</f>
        <v/>
      </c>
      <c r="O139" t="str">
        <f>IF([2]Entry!$N$142="","",[2]Entry!$N$142)</f>
        <v/>
      </c>
      <c r="P139" t="str">
        <f>IF([2]Entry!$S$142="","",[2]Entry!$S$142)</f>
        <v/>
      </c>
    </row>
    <row r="140" spans="1:16" x14ac:dyDescent="0.2">
      <c r="A140" t="str">
        <f>IF([1]Cheques!$A$141="","",[1]Cheques!$A$141)</f>
        <v/>
      </c>
      <c r="E140" t="str">
        <f>IF([1]Accounts!$D$141="","",[1]Accounts!$A$141)</f>
        <v/>
      </c>
      <c r="F140" t="str">
        <f>IF([1]Accounts!$D$141="","",[1]Accounts!$B$141)</f>
        <v/>
      </c>
      <c r="G140" t="str">
        <f>IF([1]Accounts!$D$141="","",[1]Accounts!$C$141)</f>
        <v/>
      </c>
      <c r="H140" t="str">
        <f>IF([1]Accounts!$D$141="","",[1]Accounts!$D$141)</f>
        <v/>
      </c>
      <c r="L140" t="str">
        <f>IF([2]Entry!$C$143="","",[2]Entry!$C$143)</f>
        <v/>
      </c>
      <c r="M140" t="str">
        <f>IF([2]Entry!$J$143="","",[2]Entry!$J$143)</f>
        <v/>
      </c>
      <c r="N140" t="str">
        <f>IF([2]Entry!$M$143="","",[2]Entry!$M$143)</f>
        <v/>
      </c>
      <c r="O140" t="str">
        <f>IF([2]Entry!$N$143="","",[2]Entry!$N$143)</f>
        <v/>
      </c>
      <c r="P140" t="str">
        <f>IF([2]Entry!$S$143="","",[2]Entry!$S$143)</f>
        <v/>
      </c>
    </row>
    <row r="141" spans="1:16" x14ac:dyDescent="0.2">
      <c r="A141" t="str">
        <f>IF([1]Cheques!$A$142="","",[1]Cheques!$A$142)</f>
        <v/>
      </c>
      <c r="E141" t="str">
        <f>IF([1]Accounts!$D$142="","",[1]Accounts!$A$142)</f>
        <v/>
      </c>
      <c r="F141" t="str">
        <f>IF([1]Accounts!$D$142="","",[1]Accounts!$B$142)</f>
        <v/>
      </c>
      <c r="G141" t="str">
        <f>IF([1]Accounts!$D$142="","",[1]Accounts!$C$142)</f>
        <v/>
      </c>
      <c r="H141" t="str">
        <f>IF([1]Accounts!$D$142="","",[1]Accounts!$D$142)</f>
        <v/>
      </c>
      <c r="L141" t="str">
        <f>IF([2]Entry!$C$144="","",[2]Entry!$C$144)</f>
        <v/>
      </c>
      <c r="M141" t="str">
        <f>IF([2]Entry!$J$144="","",[2]Entry!$J$144)</f>
        <v/>
      </c>
      <c r="N141" t="str">
        <f>IF([2]Entry!$M$144="","",[2]Entry!$M$144)</f>
        <v/>
      </c>
      <c r="O141" t="str">
        <f>IF([2]Entry!$N$144="","",[2]Entry!$N$144)</f>
        <v/>
      </c>
      <c r="P141" t="str">
        <f>IF([2]Entry!$S$144="","",[2]Entry!$S$144)</f>
        <v/>
      </c>
    </row>
    <row r="142" spans="1:16" x14ac:dyDescent="0.2">
      <c r="A142" t="str">
        <f>IF([1]Cheques!$A$143="","",[1]Cheques!$A$143)</f>
        <v/>
      </c>
      <c r="E142" t="str">
        <f>IF([1]Accounts!$D$143="","",[1]Accounts!$A$143)</f>
        <v/>
      </c>
      <c r="F142" t="str">
        <f>IF([1]Accounts!$D$143="","",[1]Accounts!$B$143)</f>
        <v/>
      </c>
      <c r="G142" t="str">
        <f>IF([1]Accounts!$D$143="","",[1]Accounts!$C$143)</f>
        <v/>
      </c>
      <c r="H142" t="str">
        <f>IF([1]Accounts!$D$143="","",[1]Accounts!$D$143)</f>
        <v/>
      </c>
      <c r="L142" t="str">
        <f>IF([2]Entry!$C$145="","",[2]Entry!$C$145)</f>
        <v/>
      </c>
      <c r="M142" t="str">
        <f>IF([2]Entry!$J$145="","",[2]Entry!$J$145)</f>
        <v/>
      </c>
      <c r="N142" t="str">
        <f>IF([2]Entry!$M$145="","",[2]Entry!$M$145)</f>
        <v/>
      </c>
      <c r="O142" t="str">
        <f>IF([2]Entry!$N$145="","",[2]Entry!$N$145)</f>
        <v/>
      </c>
      <c r="P142" t="str">
        <f>IF([2]Entry!$S$145="","",[2]Entry!$S$145)</f>
        <v/>
      </c>
    </row>
    <row r="143" spans="1:16" x14ac:dyDescent="0.2">
      <c r="A143" t="str">
        <f>IF([1]Cheques!$A$144="","",[1]Cheques!$A$144)</f>
        <v/>
      </c>
      <c r="E143" t="str">
        <f>IF([1]Accounts!$D$144="","",[1]Accounts!$A$144)</f>
        <v/>
      </c>
      <c r="F143" t="str">
        <f>IF([1]Accounts!$D$144="","",[1]Accounts!$B$144)</f>
        <v/>
      </c>
      <c r="G143" t="str">
        <f>IF([1]Accounts!$D$144="","",[1]Accounts!$C$144)</f>
        <v/>
      </c>
      <c r="H143" t="str">
        <f>IF([1]Accounts!$D$144="","",[1]Accounts!$D$144)</f>
        <v/>
      </c>
      <c r="L143" t="str">
        <f>IF([2]Entry!$C$146="","",[2]Entry!$C$146)</f>
        <v/>
      </c>
      <c r="M143" t="str">
        <f>IF([2]Entry!$J$146="","",[2]Entry!$J$146)</f>
        <v/>
      </c>
      <c r="N143" t="str">
        <f>IF([2]Entry!$M$146="","",[2]Entry!$M$146)</f>
        <v/>
      </c>
      <c r="O143" t="str">
        <f>IF([2]Entry!$N$146="","",[2]Entry!$N$146)</f>
        <v/>
      </c>
      <c r="P143" t="str">
        <f>IF([2]Entry!$S$146="","",[2]Entry!$S$146)</f>
        <v/>
      </c>
    </row>
    <row r="144" spans="1:16" x14ac:dyDescent="0.2">
      <c r="A144" t="str">
        <f>IF([1]Cheques!$A$145="","",[1]Cheques!$A$145)</f>
        <v/>
      </c>
      <c r="E144" t="str">
        <f>IF([1]Accounts!$D$145="","",[1]Accounts!$A$145)</f>
        <v/>
      </c>
      <c r="F144" t="str">
        <f>IF([1]Accounts!$D$145="","",[1]Accounts!$B$145)</f>
        <v/>
      </c>
      <c r="G144" t="str">
        <f>IF([1]Accounts!$D$145="","",[1]Accounts!$C$145)</f>
        <v/>
      </c>
      <c r="H144" t="str">
        <f>IF([1]Accounts!$D$145="","",[1]Accounts!$D$145)</f>
        <v/>
      </c>
      <c r="L144" t="str">
        <f>IF([2]Entry!$C$147="","",[2]Entry!$C$147)</f>
        <v/>
      </c>
      <c r="M144" t="str">
        <f>IF([2]Entry!$J$147="","",[2]Entry!$J$147)</f>
        <v/>
      </c>
      <c r="N144" t="str">
        <f>IF([2]Entry!$M$147="","",[2]Entry!$M$147)</f>
        <v/>
      </c>
      <c r="O144" t="str">
        <f>IF([2]Entry!$N$147="","",[2]Entry!$N$147)</f>
        <v/>
      </c>
      <c r="P144" t="str">
        <f>IF([2]Entry!$S$147="","",[2]Entry!$S$147)</f>
        <v/>
      </c>
    </row>
    <row r="145" spans="1:16" x14ac:dyDescent="0.2">
      <c r="A145" t="str">
        <f>IF([1]Cheques!$A$146="","",[1]Cheques!$A$146)</f>
        <v/>
      </c>
      <c r="E145" t="str">
        <f>IF([1]Accounts!$D$146="","",[1]Accounts!$A$146)</f>
        <v/>
      </c>
      <c r="F145" t="str">
        <f>IF([1]Accounts!$D$146="","",[1]Accounts!$B$146)</f>
        <v/>
      </c>
      <c r="G145" t="str">
        <f>IF([1]Accounts!$D$146="","",[1]Accounts!$C$146)</f>
        <v/>
      </c>
      <c r="H145" t="str">
        <f>IF([1]Accounts!$D$146="","",[1]Accounts!$D$146)</f>
        <v/>
      </c>
      <c r="L145" t="str">
        <f>IF([2]Entry!$C$148="","",[2]Entry!$C$148)</f>
        <v/>
      </c>
      <c r="M145" t="str">
        <f>IF([2]Entry!$J$148="","",[2]Entry!$J$148)</f>
        <v/>
      </c>
      <c r="N145" t="str">
        <f>IF([2]Entry!$M$148="","",[2]Entry!$M$148)</f>
        <v/>
      </c>
      <c r="O145" t="str">
        <f>IF([2]Entry!$N$148="","",[2]Entry!$N$148)</f>
        <v/>
      </c>
      <c r="P145" t="str">
        <f>IF([2]Entry!$S$148="","",[2]Entry!$S$148)</f>
        <v/>
      </c>
    </row>
    <row r="146" spans="1:16" x14ac:dyDescent="0.2">
      <c r="A146" t="str">
        <f>IF([1]Cheques!$A$147="","",[1]Cheques!$A$147)</f>
        <v/>
      </c>
      <c r="E146" t="str">
        <f>IF([1]Accounts!$D$147="","",[1]Accounts!$A$147)</f>
        <v/>
      </c>
      <c r="F146" t="str">
        <f>IF([1]Accounts!$D$147="","",[1]Accounts!$B$147)</f>
        <v/>
      </c>
      <c r="G146" t="str">
        <f>IF([1]Accounts!$D$147="","",[1]Accounts!$C$147)</f>
        <v/>
      </c>
      <c r="H146" t="str">
        <f>IF([1]Accounts!$D$147="","",[1]Accounts!$D$147)</f>
        <v/>
      </c>
      <c r="L146" t="str">
        <f>IF([2]Entry!$C$149="","",[2]Entry!$C$149)</f>
        <v/>
      </c>
      <c r="M146" t="str">
        <f>IF([2]Entry!$J$149="","",[2]Entry!$J$149)</f>
        <v/>
      </c>
      <c r="N146" t="str">
        <f>IF([2]Entry!$M$149="","",[2]Entry!$M$149)</f>
        <v/>
      </c>
      <c r="O146" t="str">
        <f>IF([2]Entry!$N$149="","",[2]Entry!$N$149)</f>
        <v/>
      </c>
      <c r="P146" t="str">
        <f>IF([2]Entry!$S$149="","",[2]Entry!$S$149)</f>
        <v/>
      </c>
    </row>
    <row r="147" spans="1:16" x14ac:dyDescent="0.2">
      <c r="A147" t="str">
        <f>IF([1]Cheques!$A$148="","",[1]Cheques!$A$148)</f>
        <v/>
      </c>
      <c r="E147" t="str">
        <f>IF([1]Accounts!$D$148="","",[1]Accounts!$A$148)</f>
        <v/>
      </c>
      <c r="F147" t="str">
        <f>IF([1]Accounts!$D$148="","",[1]Accounts!$B$148)</f>
        <v/>
      </c>
      <c r="G147" t="str">
        <f>IF([1]Accounts!$D$148="","",[1]Accounts!$C$148)</f>
        <v/>
      </c>
      <c r="H147" t="str">
        <f>IF([1]Accounts!$D$148="","",[1]Accounts!$D$148)</f>
        <v/>
      </c>
      <c r="L147" t="str">
        <f>IF([2]Entry!$C$150="","",[2]Entry!$C$150)</f>
        <v/>
      </c>
      <c r="M147" t="str">
        <f>IF([2]Entry!$J$150="","",[2]Entry!$J$150)</f>
        <v/>
      </c>
      <c r="N147" t="str">
        <f>IF([2]Entry!$M$150="","",[2]Entry!$M$150)</f>
        <v/>
      </c>
      <c r="O147" t="str">
        <f>IF([2]Entry!$N$150="","",[2]Entry!$N$150)</f>
        <v/>
      </c>
      <c r="P147" t="str">
        <f>IF([2]Entry!$S$150="","",[2]Entry!$S$150)</f>
        <v/>
      </c>
    </row>
    <row r="148" spans="1:16" x14ac:dyDescent="0.2">
      <c r="A148" t="str">
        <f>IF([1]Cheques!$A$149="","",[1]Cheques!$A$149)</f>
        <v/>
      </c>
      <c r="E148" t="str">
        <f>IF([1]Accounts!$D$149="","",[1]Accounts!$A$149)</f>
        <v/>
      </c>
      <c r="F148" t="str">
        <f>IF([1]Accounts!$D$149="","",[1]Accounts!$B$149)</f>
        <v/>
      </c>
      <c r="G148" t="str">
        <f>IF([1]Accounts!$D$149="","",[1]Accounts!$C$149)</f>
        <v/>
      </c>
      <c r="H148" t="str">
        <f>IF([1]Accounts!$D$149="","",[1]Accounts!$D$149)</f>
        <v/>
      </c>
      <c r="L148" t="str">
        <f>IF([2]Entry!$C$151="","",[2]Entry!$C$151)</f>
        <v/>
      </c>
      <c r="M148" t="str">
        <f>IF([2]Entry!$J$151="","",[2]Entry!$J$151)</f>
        <v/>
      </c>
      <c r="N148" t="str">
        <f>IF([2]Entry!$M$151="","",[2]Entry!$M$151)</f>
        <v/>
      </c>
      <c r="O148" t="str">
        <f>IF([2]Entry!$N$151="","",[2]Entry!$N$151)</f>
        <v/>
      </c>
      <c r="P148" t="str">
        <f>IF([2]Entry!$S$151="","",[2]Entry!$S$151)</f>
        <v/>
      </c>
    </row>
    <row r="149" spans="1:16" x14ac:dyDescent="0.2">
      <c r="A149" t="str">
        <f>IF([1]Cheques!$A$150="","",[1]Cheques!$A$150)</f>
        <v/>
      </c>
      <c r="E149" t="str">
        <f>IF([1]Accounts!$D$150="","",[1]Accounts!$A$150)</f>
        <v/>
      </c>
      <c r="F149" t="str">
        <f>IF([1]Accounts!$D$150="","",[1]Accounts!$B$150)</f>
        <v/>
      </c>
      <c r="G149" t="str">
        <f>IF([1]Accounts!$D$150="","",[1]Accounts!$C$150)</f>
        <v/>
      </c>
      <c r="H149" t="str">
        <f>IF([1]Accounts!$D$150="","",[1]Accounts!$D$150)</f>
        <v/>
      </c>
      <c r="L149" t="str">
        <f>IF([2]Entry!$C$152="","",[2]Entry!$C$152)</f>
        <v/>
      </c>
      <c r="M149" t="str">
        <f>IF([2]Entry!$J$152="","",[2]Entry!$J$152)</f>
        <v/>
      </c>
      <c r="N149" t="str">
        <f>IF([2]Entry!$M$152="","",[2]Entry!$M$152)</f>
        <v/>
      </c>
      <c r="O149" t="str">
        <f>IF([2]Entry!$N$152="","",[2]Entry!$N$152)</f>
        <v/>
      </c>
      <c r="P149" t="str">
        <f>IF([2]Entry!$S$152="","",[2]Entry!$S$152)</f>
        <v/>
      </c>
    </row>
    <row r="150" spans="1:16" x14ac:dyDescent="0.2">
      <c r="A150" t="str">
        <f>IF([1]Cheques!$A$151="","",[1]Cheques!$A$151)</f>
        <v/>
      </c>
      <c r="E150" t="str">
        <f>IF([1]Accounts!$D$151="","",[1]Accounts!$A$151)</f>
        <v/>
      </c>
      <c r="F150" t="str">
        <f>IF([1]Accounts!$D$151="","",[1]Accounts!$B$151)</f>
        <v/>
      </c>
      <c r="G150" t="str">
        <f>IF([1]Accounts!$D$151="","",[1]Accounts!$C$151)</f>
        <v/>
      </c>
      <c r="H150" t="str">
        <f>IF([1]Accounts!$D$151="","",[1]Accounts!$D$151)</f>
        <v/>
      </c>
      <c r="L150" t="str">
        <f>IF([2]Entry!$C$153="","",[2]Entry!$C$153)</f>
        <v/>
      </c>
      <c r="M150" t="str">
        <f>IF([2]Entry!$J$153="","",[2]Entry!$J$153)</f>
        <v/>
      </c>
      <c r="N150" t="str">
        <f>IF([2]Entry!$M$153="","",[2]Entry!$M$153)</f>
        <v/>
      </c>
      <c r="O150" t="str">
        <f>IF([2]Entry!$N$153="","",[2]Entry!$N$153)</f>
        <v/>
      </c>
      <c r="P150" t="str">
        <f>IF([2]Entry!$S$153="","",[2]Entry!$S$153)</f>
        <v/>
      </c>
    </row>
    <row r="151" spans="1:16" x14ac:dyDescent="0.2">
      <c r="A151" t="str">
        <f>IF([1]Cheques!$A$152="","",[1]Cheques!$A$152)</f>
        <v/>
      </c>
      <c r="E151" t="str">
        <f>IF([1]Accounts!$D$152="","",[1]Accounts!$A$152)</f>
        <v/>
      </c>
      <c r="F151" t="str">
        <f>IF([1]Accounts!$D$152="","",[1]Accounts!$B$152)</f>
        <v/>
      </c>
      <c r="G151" t="str">
        <f>IF([1]Accounts!$D$152="","",[1]Accounts!$C$152)</f>
        <v/>
      </c>
      <c r="H151" t="str">
        <f>IF([1]Accounts!$D$152="","",[1]Accounts!$D$152)</f>
        <v/>
      </c>
      <c r="L151" t="str">
        <f>IF([2]Entry!$C$154="","",[2]Entry!$C$154)</f>
        <v/>
      </c>
      <c r="M151" t="str">
        <f>IF([2]Entry!$J$154="","",[2]Entry!$J$154)</f>
        <v/>
      </c>
      <c r="N151" t="str">
        <f>IF([2]Entry!$M$154="","",[2]Entry!$M$154)</f>
        <v/>
      </c>
      <c r="O151" t="str">
        <f>IF([2]Entry!$N$154="","",[2]Entry!$N$154)</f>
        <v/>
      </c>
      <c r="P151" t="str">
        <f>IF([2]Entry!$S$154="","",[2]Entry!$S$154)</f>
        <v/>
      </c>
    </row>
    <row r="152" spans="1:16" x14ac:dyDescent="0.2">
      <c r="A152" t="str">
        <f>IF([1]Cheques!$A$153="","",[1]Cheques!$A$153)</f>
        <v/>
      </c>
      <c r="E152" t="str">
        <f>IF([1]Accounts!$D$153="","",[1]Accounts!$A$153)</f>
        <v/>
      </c>
      <c r="F152" t="str">
        <f>IF([1]Accounts!$D$153="","",[1]Accounts!$B$153)</f>
        <v/>
      </c>
      <c r="G152" t="str">
        <f>IF([1]Accounts!$D$153="","",[1]Accounts!$C$153)</f>
        <v/>
      </c>
      <c r="H152" t="str">
        <f>IF([1]Accounts!$D$153="","",[1]Accounts!$D$153)</f>
        <v/>
      </c>
      <c r="L152" t="str">
        <f>IF([2]Entry!$C$155="","",[2]Entry!$C$155)</f>
        <v/>
      </c>
      <c r="M152" t="str">
        <f>IF([2]Entry!$J$155="","",[2]Entry!$J$155)</f>
        <v/>
      </c>
      <c r="N152" t="str">
        <f>IF([2]Entry!$M$155="","",[2]Entry!$M$155)</f>
        <v/>
      </c>
      <c r="O152" t="str">
        <f>IF([2]Entry!$N$155="","",[2]Entry!$N$155)</f>
        <v/>
      </c>
      <c r="P152" t="str">
        <f>IF([2]Entry!$S$155="","",[2]Entry!$S$155)</f>
        <v/>
      </c>
    </row>
    <row r="153" spans="1:16" x14ac:dyDescent="0.2">
      <c r="A153" t="str">
        <f>IF([1]Cheques!$A$154="","",[1]Cheques!$A$154)</f>
        <v/>
      </c>
      <c r="E153" t="str">
        <f>IF([1]Accounts!$D$154="","",[1]Accounts!$A$154)</f>
        <v/>
      </c>
      <c r="F153" t="str">
        <f>IF([1]Accounts!$D$154="","",[1]Accounts!$B$154)</f>
        <v/>
      </c>
      <c r="G153" t="str">
        <f>IF([1]Accounts!$D$154="","",[1]Accounts!$C$154)</f>
        <v/>
      </c>
      <c r="H153" t="str">
        <f>IF([1]Accounts!$D$154="","",[1]Accounts!$D$154)</f>
        <v/>
      </c>
      <c r="L153" t="str">
        <f>IF([2]Entry!$C$156="","",[2]Entry!$C$156)</f>
        <v/>
      </c>
      <c r="M153" t="str">
        <f>IF([2]Entry!$J$156="","",[2]Entry!$J$156)</f>
        <v/>
      </c>
      <c r="N153" t="str">
        <f>IF([2]Entry!$M$156="","",[2]Entry!$M$156)</f>
        <v/>
      </c>
      <c r="O153" t="str">
        <f>IF([2]Entry!$N$156="","",[2]Entry!$N$156)</f>
        <v/>
      </c>
      <c r="P153" t="str">
        <f>IF([2]Entry!$S$156="","",[2]Entry!$S$156)</f>
        <v/>
      </c>
    </row>
    <row r="154" spans="1:16" x14ac:dyDescent="0.2">
      <c r="A154" t="str">
        <f>IF([1]Cheques!$A$155="","",[1]Cheques!$A$155)</f>
        <v/>
      </c>
      <c r="E154" t="str">
        <f>IF([1]Accounts!$D$155="","",[1]Accounts!$A$155)</f>
        <v/>
      </c>
      <c r="F154" t="str">
        <f>IF([1]Accounts!$D$155="","",[1]Accounts!$B$155)</f>
        <v/>
      </c>
      <c r="G154" t="str">
        <f>IF([1]Accounts!$D$155="","",[1]Accounts!$C$155)</f>
        <v/>
      </c>
      <c r="H154" t="str">
        <f>IF([1]Accounts!$D$155="","",[1]Accounts!$D$155)</f>
        <v/>
      </c>
      <c r="L154" t="str">
        <f>IF([2]Entry!$C$157="","",[2]Entry!$C$157)</f>
        <v/>
      </c>
      <c r="M154" t="str">
        <f>IF([2]Entry!$J$157="","",[2]Entry!$J$157)</f>
        <v/>
      </c>
      <c r="N154" t="str">
        <f>IF([2]Entry!$M$157="","",[2]Entry!$M$157)</f>
        <v/>
      </c>
      <c r="O154" t="str">
        <f>IF([2]Entry!$N$157="","",[2]Entry!$N$157)</f>
        <v/>
      </c>
      <c r="P154" t="str">
        <f>IF([2]Entry!$S$157="","",[2]Entry!$S$157)</f>
        <v/>
      </c>
    </row>
    <row r="155" spans="1:16" x14ac:dyDescent="0.2">
      <c r="A155" t="str">
        <f>IF([1]Cheques!$A$156="","",[1]Cheques!$A$156)</f>
        <v/>
      </c>
      <c r="E155" t="str">
        <f>IF([1]Accounts!$D$156="","",[1]Accounts!$A$156)</f>
        <v/>
      </c>
      <c r="F155" t="str">
        <f>IF([1]Accounts!$D$156="","",[1]Accounts!$B$156)</f>
        <v/>
      </c>
      <c r="G155" t="str">
        <f>IF([1]Accounts!$D$156="","",[1]Accounts!$C$156)</f>
        <v/>
      </c>
      <c r="H155" t="str">
        <f>IF([1]Accounts!$D$156="","",[1]Accounts!$D$156)</f>
        <v/>
      </c>
      <c r="L155" t="str">
        <f>IF([2]Entry!$C$158="","",[2]Entry!$C$158)</f>
        <v/>
      </c>
      <c r="M155" t="str">
        <f>IF([2]Entry!$J$158="","",[2]Entry!$J$158)</f>
        <v/>
      </c>
      <c r="N155" t="str">
        <f>IF([2]Entry!$M$158="","",[2]Entry!$M$158)</f>
        <v/>
      </c>
      <c r="O155" t="str">
        <f>IF([2]Entry!$N$158="","",[2]Entry!$N$158)</f>
        <v/>
      </c>
      <c r="P155" t="str">
        <f>IF([2]Entry!$S$158="","",[2]Entry!$S$158)</f>
        <v/>
      </c>
    </row>
    <row r="156" spans="1:16" x14ac:dyDescent="0.2">
      <c r="A156" t="str">
        <f>IF([1]Cheques!$A$157="","",[1]Cheques!$A$157)</f>
        <v/>
      </c>
      <c r="E156" t="str">
        <f>IF([1]Accounts!$D$157="","",[1]Accounts!$A$157)</f>
        <v/>
      </c>
      <c r="F156" t="str">
        <f>IF([1]Accounts!$D$157="","",[1]Accounts!$B$157)</f>
        <v/>
      </c>
      <c r="G156" t="str">
        <f>IF([1]Accounts!$D$157="","",[1]Accounts!$C$157)</f>
        <v/>
      </c>
      <c r="H156" t="str">
        <f>IF([1]Accounts!$D$157="","",[1]Accounts!$D$157)</f>
        <v/>
      </c>
      <c r="L156" t="str">
        <f>IF([2]Entry!$C$159="","",[2]Entry!$C$159)</f>
        <v/>
      </c>
      <c r="M156" t="str">
        <f>IF([2]Entry!$J$159="","",[2]Entry!$J$159)</f>
        <v/>
      </c>
      <c r="N156" t="str">
        <f>IF([2]Entry!$M$159="","",[2]Entry!$M$159)</f>
        <v/>
      </c>
      <c r="O156" t="str">
        <f>IF([2]Entry!$N$159="","",[2]Entry!$N$159)</f>
        <v/>
      </c>
      <c r="P156" t="str">
        <f>IF([2]Entry!$S$159="","",[2]Entry!$S$159)</f>
        <v/>
      </c>
    </row>
    <row r="157" spans="1:16" x14ac:dyDescent="0.2">
      <c r="A157" t="str">
        <f>IF([1]Cheques!$A$158="","",[1]Cheques!$A$158)</f>
        <v/>
      </c>
      <c r="E157" t="str">
        <f>IF([1]Accounts!$D$158="","",[1]Accounts!$A$158)</f>
        <v/>
      </c>
      <c r="F157" t="str">
        <f>IF([1]Accounts!$D$158="","",[1]Accounts!$B$158)</f>
        <v/>
      </c>
      <c r="G157" t="str">
        <f>IF([1]Accounts!$D$158="","",[1]Accounts!$C$158)</f>
        <v/>
      </c>
      <c r="H157" t="str">
        <f>IF([1]Accounts!$D$158="","",[1]Accounts!$D$158)</f>
        <v/>
      </c>
      <c r="L157" t="str">
        <f>IF([2]Entry!$C$160="","",[2]Entry!$C$160)</f>
        <v/>
      </c>
      <c r="M157" t="str">
        <f>IF([2]Entry!$J$160="","",[2]Entry!$J$160)</f>
        <v/>
      </c>
      <c r="N157" t="str">
        <f>IF([2]Entry!$M$160="","",[2]Entry!$M$160)</f>
        <v/>
      </c>
      <c r="O157" t="str">
        <f>IF([2]Entry!$N$160="","",[2]Entry!$N$160)</f>
        <v/>
      </c>
      <c r="P157" t="str">
        <f>IF([2]Entry!$S$160="","",[2]Entry!$S$160)</f>
        <v/>
      </c>
    </row>
    <row r="158" spans="1:16" x14ac:dyDescent="0.2">
      <c r="A158" t="str">
        <f>IF([1]Cheques!$A$159="","",[1]Cheques!$A$159)</f>
        <v/>
      </c>
      <c r="E158" t="str">
        <f>IF([1]Accounts!$D$159="","",[1]Accounts!$A$159)</f>
        <v/>
      </c>
      <c r="F158" t="str">
        <f>IF([1]Accounts!$D$159="","",[1]Accounts!$B$159)</f>
        <v/>
      </c>
      <c r="G158" t="str">
        <f>IF([1]Accounts!$D$159="","",[1]Accounts!$C$159)</f>
        <v/>
      </c>
      <c r="H158" t="str">
        <f>IF([1]Accounts!$D$159="","",[1]Accounts!$D$159)</f>
        <v/>
      </c>
      <c r="L158" t="str">
        <f>IF([2]Entry!$C$161="","",[2]Entry!$C$161)</f>
        <v/>
      </c>
      <c r="M158" t="str">
        <f>IF([2]Entry!$J$161="","",[2]Entry!$J$161)</f>
        <v/>
      </c>
      <c r="N158" t="str">
        <f>IF([2]Entry!$M$161="","",[2]Entry!$M$161)</f>
        <v/>
      </c>
      <c r="O158" t="str">
        <f>IF([2]Entry!$N$161="","",[2]Entry!$N$161)</f>
        <v/>
      </c>
      <c r="P158" t="str">
        <f>IF([2]Entry!$S$161="","",[2]Entry!$S$161)</f>
        <v/>
      </c>
    </row>
    <row r="159" spans="1:16" x14ac:dyDescent="0.2">
      <c r="A159" t="str">
        <f>IF([1]Cheques!$A$160="","",[1]Cheques!$A$160)</f>
        <v/>
      </c>
      <c r="E159" t="str">
        <f>IF([1]Accounts!$D$160="","",[1]Accounts!$A$160)</f>
        <v/>
      </c>
      <c r="F159" t="str">
        <f>IF([1]Accounts!$D$160="","",[1]Accounts!$B$160)</f>
        <v/>
      </c>
      <c r="G159" t="str">
        <f>IF([1]Accounts!$D$160="","",[1]Accounts!$C$160)</f>
        <v/>
      </c>
      <c r="H159" t="str">
        <f>IF([1]Accounts!$D$160="","",[1]Accounts!$D$160)</f>
        <v/>
      </c>
      <c r="L159" t="str">
        <f>IF([2]Entry!$C$162="","",[2]Entry!$C$162)</f>
        <v/>
      </c>
      <c r="M159" t="str">
        <f>IF([2]Entry!$J$162="","",[2]Entry!$J$162)</f>
        <v/>
      </c>
      <c r="N159" t="str">
        <f>IF([2]Entry!$M$162="","",[2]Entry!$M$162)</f>
        <v/>
      </c>
      <c r="O159" t="str">
        <f>IF([2]Entry!$N$162="","",[2]Entry!$N$162)</f>
        <v/>
      </c>
      <c r="P159" t="str">
        <f>IF([2]Entry!$S$162="","",[2]Entry!$S$162)</f>
        <v/>
      </c>
    </row>
    <row r="160" spans="1:16" x14ac:dyDescent="0.2">
      <c r="A160" t="str">
        <f>IF([1]Cheques!$A$161="","",[1]Cheques!$A$161)</f>
        <v/>
      </c>
      <c r="E160" t="str">
        <f>IF([1]Accounts!$D$161="","",[1]Accounts!$A$161)</f>
        <v/>
      </c>
      <c r="F160" t="str">
        <f>IF([1]Accounts!$D$161="","",[1]Accounts!$B$161)</f>
        <v/>
      </c>
      <c r="G160" t="str">
        <f>IF([1]Accounts!$D$161="","",[1]Accounts!$C$161)</f>
        <v/>
      </c>
      <c r="H160" t="str">
        <f>IF([1]Accounts!$D$161="","",[1]Accounts!$D$161)</f>
        <v/>
      </c>
      <c r="L160" t="str">
        <f>IF([2]Entry!$C$163="","",[2]Entry!$C$163)</f>
        <v/>
      </c>
      <c r="M160" t="str">
        <f>IF([2]Entry!$J$163="","",[2]Entry!$J$163)</f>
        <v/>
      </c>
      <c r="N160" t="str">
        <f>IF([2]Entry!$M$163="","",[2]Entry!$M$163)</f>
        <v/>
      </c>
      <c r="O160" t="str">
        <f>IF([2]Entry!$N$163="","",[2]Entry!$N$163)</f>
        <v/>
      </c>
      <c r="P160" t="str">
        <f>IF([2]Entry!$S$163="","",[2]Entry!$S$163)</f>
        <v/>
      </c>
    </row>
    <row r="161" spans="1:16" x14ac:dyDescent="0.2">
      <c r="A161" t="str">
        <f>IF([1]Cheques!$A$162="","",[1]Cheques!$A$162)</f>
        <v/>
      </c>
      <c r="E161" t="str">
        <f>IF([1]Accounts!$D$162="","",[1]Accounts!$A$162)</f>
        <v/>
      </c>
      <c r="F161" t="str">
        <f>IF([1]Accounts!$D$162="","",[1]Accounts!$B$162)</f>
        <v/>
      </c>
      <c r="G161" t="str">
        <f>IF([1]Accounts!$D$162="","",[1]Accounts!$C$162)</f>
        <v/>
      </c>
      <c r="H161" t="str">
        <f>IF([1]Accounts!$D$162="","",[1]Accounts!$D$162)</f>
        <v/>
      </c>
      <c r="L161" t="str">
        <f>IF([2]Entry!$C$164="","",[2]Entry!$C$164)</f>
        <v/>
      </c>
      <c r="M161" t="str">
        <f>IF([2]Entry!$J$164="","",[2]Entry!$J$164)</f>
        <v/>
      </c>
      <c r="N161" t="str">
        <f>IF([2]Entry!$M$164="","",[2]Entry!$M$164)</f>
        <v/>
      </c>
      <c r="O161" t="str">
        <f>IF([2]Entry!$N$164="","",[2]Entry!$N$164)</f>
        <v/>
      </c>
      <c r="P161" t="str">
        <f>IF([2]Entry!$S$164="","",[2]Entry!$S$164)</f>
        <v/>
      </c>
    </row>
    <row r="162" spans="1:16" x14ac:dyDescent="0.2">
      <c r="A162" t="str">
        <f>IF([1]Cheques!$A$163="","",[1]Cheques!$A$163)</f>
        <v/>
      </c>
      <c r="E162" t="str">
        <f>IF([1]Accounts!$D$163="","",[1]Accounts!$A$163)</f>
        <v/>
      </c>
      <c r="F162" t="str">
        <f>IF([1]Accounts!$D$163="","",[1]Accounts!$B$163)</f>
        <v/>
      </c>
      <c r="G162" t="str">
        <f>IF([1]Accounts!$D$163="","",[1]Accounts!$C$163)</f>
        <v/>
      </c>
      <c r="H162" t="str">
        <f>IF([1]Accounts!$D$163="","",[1]Accounts!$D$163)</f>
        <v/>
      </c>
      <c r="L162" t="str">
        <f>IF([2]Entry!$C$165="","",[2]Entry!$C$165)</f>
        <v/>
      </c>
      <c r="M162" t="str">
        <f>IF([2]Entry!$J$165="","",[2]Entry!$J$165)</f>
        <v/>
      </c>
      <c r="N162" t="str">
        <f>IF([2]Entry!$M$165="","",[2]Entry!$M$165)</f>
        <v/>
      </c>
      <c r="O162" t="str">
        <f>IF([2]Entry!$N$165="","",[2]Entry!$N$165)</f>
        <v/>
      </c>
      <c r="P162" t="str">
        <f>IF([2]Entry!$S$165="","",[2]Entry!$S$165)</f>
        <v/>
      </c>
    </row>
    <row r="163" spans="1:16" x14ac:dyDescent="0.2">
      <c r="A163" t="str">
        <f>IF([1]Cheques!$A$164="","",[1]Cheques!$A$164)</f>
        <v/>
      </c>
      <c r="E163" t="str">
        <f>IF([1]Accounts!$D$164="","",[1]Accounts!$A$164)</f>
        <v/>
      </c>
      <c r="F163" t="str">
        <f>IF([1]Accounts!$D$164="","",[1]Accounts!$B$164)</f>
        <v/>
      </c>
      <c r="G163" t="str">
        <f>IF([1]Accounts!$D$164="","",[1]Accounts!$C$164)</f>
        <v/>
      </c>
      <c r="H163" t="str">
        <f>IF([1]Accounts!$D$164="","",[1]Accounts!$D$164)</f>
        <v/>
      </c>
      <c r="L163" t="str">
        <f>IF([2]Entry!$C$166="","",[2]Entry!$C$166)</f>
        <v/>
      </c>
      <c r="M163" t="str">
        <f>IF([2]Entry!$J$166="","",[2]Entry!$J$166)</f>
        <v/>
      </c>
      <c r="N163" t="str">
        <f>IF([2]Entry!$M$166="","",[2]Entry!$M$166)</f>
        <v/>
      </c>
      <c r="O163" t="str">
        <f>IF([2]Entry!$N$166="","",[2]Entry!$N$166)</f>
        <v/>
      </c>
      <c r="P163" t="str">
        <f>IF([2]Entry!$S$166="","",[2]Entry!$S$166)</f>
        <v/>
      </c>
    </row>
    <row r="164" spans="1:16" x14ac:dyDescent="0.2">
      <c r="A164" t="str">
        <f>IF([1]Cheques!$A$165="","",[1]Cheques!$A$165)</f>
        <v/>
      </c>
      <c r="E164" t="str">
        <f>IF([1]Accounts!$D$165="","",[1]Accounts!$A$165)</f>
        <v/>
      </c>
      <c r="F164" t="str">
        <f>IF([1]Accounts!$D$165="","",[1]Accounts!$B$165)</f>
        <v/>
      </c>
      <c r="G164" t="str">
        <f>IF([1]Accounts!$D$165="","",[1]Accounts!$C$165)</f>
        <v/>
      </c>
      <c r="H164" t="str">
        <f>IF([1]Accounts!$D$165="","",[1]Accounts!$D$165)</f>
        <v/>
      </c>
      <c r="L164" t="str">
        <f>IF([2]Entry!$C$167="","",[2]Entry!$C$167)</f>
        <v/>
      </c>
      <c r="M164" t="str">
        <f>IF([2]Entry!$J$167="","",[2]Entry!$J$167)</f>
        <v/>
      </c>
      <c r="N164" t="str">
        <f>IF([2]Entry!$M$167="","",[2]Entry!$M$167)</f>
        <v/>
      </c>
      <c r="O164" t="str">
        <f>IF([2]Entry!$N$167="","",[2]Entry!$N$167)</f>
        <v/>
      </c>
      <c r="P164" t="str">
        <f>IF([2]Entry!$S$167="","",[2]Entry!$S$167)</f>
        <v/>
      </c>
    </row>
    <row r="165" spans="1:16" x14ac:dyDescent="0.2">
      <c r="A165" t="str">
        <f>IF([1]Cheques!$A$166="","",[1]Cheques!$A$166)</f>
        <v/>
      </c>
      <c r="E165" t="str">
        <f>IF([1]Accounts!$D$166="","",[1]Accounts!$A$166)</f>
        <v/>
      </c>
      <c r="F165" t="str">
        <f>IF([1]Accounts!$D$166="","",[1]Accounts!$B$166)</f>
        <v/>
      </c>
      <c r="G165" t="str">
        <f>IF([1]Accounts!$D$166="","",[1]Accounts!$C$166)</f>
        <v/>
      </c>
      <c r="H165" t="str">
        <f>IF([1]Accounts!$D$166="","",[1]Accounts!$D$166)</f>
        <v/>
      </c>
      <c r="L165" t="str">
        <f>IF([2]Entry!$C$168="","",[2]Entry!$C$168)</f>
        <v/>
      </c>
      <c r="M165" t="str">
        <f>IF([2]Entry!$J$168="","",[2]Entry!$J$168)</f>
        <v/>
      </c>
      <c r="N165" t="str">
        <f>IF([2]Entry!$M$168="","",[2]Entry!$M$168)</f>
        <v/>
      </c>
      <c r="O165" t="str">
        <f>IF([2]Entry!$N$168="","",[2]Entry!$N$168)</f>
        <v/>
      </c>
      <c r="P165" t="str">
        <f>IF([2]Entry!$S$168="","",[2]Entry!$S$168)</f>
        <v/>
      </c>
    </row>
    <row r="166" spans="1:16" x14ac:dyDescent="0.2">
      <c r="A166" t="str">
        <f>IF([1]Cheques!$A$167="","",[1]Cheques!$A$167)</f>
        <v/>
      </c>
      <c r="E166" t="str">
        <f>IF([1]Accounts!$D$167="","",[1]Accounts!$A$167)</f>
        <v/>
      </c>
      <c r="F166" t="str">
        <f>IF([1]Accounts!$D$167="","",[1]Accounts!$B$167)</f>
        <v/>
      </c>
      <c r="G166" t="str">
        <f>IF([1]Accounts!$D$167="","",[1]Accounts!$C$167)</f>
        <v/>
      </c>
      <c r="H166" t="str">
        <f>IF([1]Accounts!$D$167="","",[1]Accounts!$D$167)</f>
        <v/>
      </c>
      <c r="L166" t="str">
        <f>IF([2]Entry!$C$169="","",[2]Entry!$C$169)</f>
        <v/>
      </c>
      <c r="M166" t="str">
        <f>IF([2]Entry!$J$169="","",[2]Entry!$J$169)</f>
        <v/>
      </c>
      <c r="N166" t="str">
        <f>IF([2]Entry!$M$169="","",[2]Entry!$M$169)</f>
        <v/>
      </c>
      <c r="O166" t="str">
        <f>IF([2]Entry!$N$169="","",[2]Entry!$N$169)</f>
        <v/>
      </c>
      <c r="P166" t="str">
        <f>IF([2]Entry!$S$169="","",[2]Entry!$S$169)</f>
        <v/>
      </c>
    </row>
    <row r="167" spans="1:16" x14ac:dyDescent="0.2">
      <c r="A167" t="str">
        <f>IF([1]Cheques!$A$168="","",[1]Cheques!$A$168)</f>
        <v/>
      </c>
      <c r="E167" t="str">
        <f>IF([1]Accounts!$D$168="","",[1]Accounts!$A$168)</f>
        <v/>
      </c>
      <c r="F167" t="str">
        <f>IF([1]Accounts!$D$168="","",[1]Accounts!$B$168)</f>
        <v/>
      </c>
      <c r="G167" t="str">
        <f>IF([1]Accounts!$D$168="","",[1]Accounts!$C$168)</f>
        <v/>
      </c>
      <c r="H167" t="str">
        <f>IF([1]Accounts!$D$168="","",[1]Accounts!$D$168)</f>
        <v/>
      </c>
      <c r="L167" t="str">
        <f>IF([2]Entry!$C$170="","",[2]Entry!$C$170)</f>
        <v/>
      </c>
      <c r="M167" t="str">
        <f>IF([2]Entry!$J$170="","",[2]Entry!$J$170)</f>
        <v/>
      </c>
      <c r="N167" t="str">
        <f>IF([2]Entry!$M$170="","",[2]Entry!$M$170)</f>
        <v/>
      </c>
      <c r="O167" t="str">
        <f>IF([2]Entry!$N$170="","",[2]Entry!$N$170)</f>
        <v/>
      </c>
      <c r="P167" t="str">
        <f>IF([2]Entry!$S$170="","",[2]Entry!$S$170)</f>
        <v/>
      </c>
    </row>
    <row r="168" spans="1:16" x14ac:dyDescent="0.2">
      <c r="A168" t="str">
        <f>IF([1]Cheques!$A$169="","",[1]Cheques!$A$169)</f>
        <v/>
      </c>
      <c r="E168" t="str">
        <f>IF([1]Accounts!$D$169="","",[1]Accounts!$A$169)</f>
        <v/>
      </c>
      <c r="F168" t="str">
        <f>IF([1]Accounts!$D$169="","",[1]Accounts!$B$169)</f>
        <v/>
      </c>
      <c r="G168" t="str">
        <f>IF([1]Accounts!$D$169="","",[1]Accounts!$C$169)</f>
        <v/>
      </c>
      <c r="H168" t="str">
        <f>IF([1]Accounts!$D$169="","",[1]Accounts!$D$169)</f>
        <v/>
      </c>
      <c r="L168" t="str">
        <f>IF([2]Entry!$C$171="","",[2]Entry!$C$171)</f>
        <v/>
      </c>
      <c r="M168" t="str">
        <f>IF([2]Entry!$J$171="","",[2]Entry!$J$171)</f>
        <v/>
      </c>
      <c r="N168" t="str">
        <f>IF([2]Entry!$M$171="","",[2]Entry!$M$171)</f>
        <v/>
      </c>
      <c r="O168" t="str">
        <f>IF([2]Entry!$N$171="","",[2]Entry!$N$171)</f>
        <v/>
      </c>
      <c r="P168" t="str">
        <f>IF([2]Entry!$S$171="","",[2]Entry!$S$171)</f>
        <v/>
      </c>
    </row>
    <row r="169" spans="1:16" x14ac:dyDescent="0.2">
      <c r="A169" t="str">
        <f>IF([1]Cheques!$A$170="","",[1]Cheques!$A$170)</f>
        <v/>
      </c>
      <c r="E169" t="str">
        <f>IF([1]Accounts!$D$170="","",[1]Accounts!$A$170)</f>
        <v/>
      </c>
      <c r="F169" t="str">
        <f>IF([1]Accounts!$D$170="","",[1]Accounts!$B$170)</f>
        <v/>
      </c>
      <c r="G169" t="str">
        <f>IF([1]Accounts!$D$170="","",[1]Accounts!$C$170)</f>
        <v/>
      </c>
      <c r="H169" t="str">
        <f>IF([1]Accounts!$D$170="","",[1]Accounts!$D$170)</f>
        <v/>
      </c>
      <c r="L169" t="str">
        <f>IF([2]Entry!$C$172="","",[2]Entry!$C$172)</f>
        <v/>
      </c>
      <c r="M169" t="str">
        <f>IF([2]Entry!$J$172="","",[2]Entry!$J$172)</f>
        <v/>
      </c>
      <c r="N169" t="str">
        <f>IF([2]Entry!$M$172="","",[2]Entry!$M$172)</f>
        <v/>
      </c>
      <c r="O169" t="str">
        <f>IF([2]Entry!$N$172="","",[2]Entry!$N$172)</f>
        <v/>
      </c>
      <c r="P169" t="str">
        <f>IF([2]Entry!$S$172="","",[2]Entry!$S$172)</f>
        <v/>
      </c>
    </row>
    <row r="170" spans="1:16" x14ac:dyDescent="0.2">
      <c r="A170" t="str">
        <f>IF([1]Cheques!$A$171="","",[1]Cheques!$A$171)</f>
        <v/>
      </c>
      <c r="E170" t="str">
        <f>IF([1]Accounts!$D$171="","",[1]Accounts!$A$171)</f>
        <v/>
      </c>
      <c r="F170" t="str">
        <f>IF([1]Accounts!$D$171="","",[1]Accounts!$B$171)</f>
        <v/>
      </c>
      <c r="G170" t="str">
        <f>IF([1]Accounts!$D$171="","",[1]Accounts!$C$171)</f>
        <v/>
      </c>
      <c r="H170" t="str">
        <f>IF([1]Accounts!$D$171="","",[1]Accounts!$D$171)</f>
        <v/>
      </c>
      <c r="L170" t="str">
        <f>IF([2]Entry!$C$173="","",[2]Entry!$C$173)</f>
        <v/>
      </c>
      <c r="M170" t="str">
        <f>IF([2]Entry!$J$173="","",[2]Entry!$J$173)</f>
        <v/>
      </c>
      <c r="N170" t="str">
        <f>IF([2]Entry!$M$173="","",[2]Entry!$M$173)</f>
        <v/>
      </c>
      <c r="O170" t="str">
        <f>IF([2]Entry!$N$173="","",[2]Entry!$N$173)</f>
        <v/>
      </c>
      <c r="P170" t="str">
        <f>IF([2]Entry!$S$173="","",[2]Entry!$S$173)</f>
        <v/>
      </c>
    </row>
    <row r="171" spans="1:16" x14ac:dyDescent="0.2">
      <c r="A171" t="str">
        <f>IF([1]Cheques!$A$172="","",[1]Cheques!$A$172)</f>
        <v/>
      </c>
      <c r="E171" t="str">
        <f>IF([1]Accounts!$D$172="","",[1]Accounts!$A$172)</f>
        <v/>
      </c>
      <c r="F171" t="str">
        <f>IF([1]Accounts!$D$172="","",[1]Accounts!$B$172)</f>
        <v/>
      </c>
      <c r="G171" t="str">
        <f>IF([1]Accounts!$D$172="","",[1]Accounts!$C$172)</f>
        <v/>
      </c>
      <c r="H171" t="str">
        <f>IF([1]Accounts!$D$172="","",[1]Accounts!$D$172)</f>
        <v/>
      </c>
      <c r="L171" t="str">
        <f>IF([2]Entry!$C$174="","",[2]Entry!$C$174)</f>
        <v/>
      </c>
      <c r="M171" t="str">
        <f>IF([2]Entry!$J$174="","",[2]Entry!$J$174)</f>
        <v/>
      </c>
      <c r="N171" t="str">
        <f>IF([2]Entry!$M$174="","",[2]Entry!$M$174)</f>
        <v/>
      </c>
      <c r="O171" t="str">
        <f>IF([2]Entry!$N$174="","",[2]Entry!$N$174)</f>
        <v/>
      </c>
      <c r="P171" t="str">
        <f>IF([2]Entry!$S$174="","",[2]Entry!$S$174)</f>
        <v/>
      </c>
    </row>
    <row r="172" spans="1:16" x14ac:dyDescent="0.2">
      <c r="A172" t="str">
        <f>IF([1]Cheques!$A$173="","",[1]Cheques!$A$173)</f>
        <v/>
      </c>
      <c r="E172" t="str">
        <f>IF([1]Accounts!$D$173="","",[1]Accounts!$A$173)</f>
        <v/>
      </c>
      <c r="F172" t="str">
        <f>IF([1]Accounts!$D$173="","",[1]Accounts!$B$173)</f>
        <v/>
      </c>
      <c r="G172" t="str">
        <f>IF([1]Accounts!$D$173="","",[1]Accounts!$C$173)</f>
        <v/>
      </c>
      <c r="H172" t="str">
        <f>IF([1]Accounts!$D$173="","",[1]Accounts!$D$173)</f>
        <v/>
      </c>
      <c r="L172" t="str">
        <f>IF([2]Entry!$C$175="","",[2]Entry!$C$175)</f>
        <v/>
      </c>
      <c r="M172" t="str">
        <f>IF([2]Entry!$J$175="","",[2]Entry!$J$175)</f>
        <v/>
      </c>
      <c r="N172" t="str">
        <f>IF([2]Entry!$M$175="","",[2]Entry!$M$175)</f>
        <v/>
      </c>
      <c r="O172" t="str">
        <f>IF([2]Entry!$N$175="","",[2]Entry!$N$175)</f>
        <v/>
      </c>
      <c r="P172" t="str">
        <f>IF([2]Entry!$S$175="","",[2]Entry!$S$175)</f>
        <v/>
      </c>
    </row>
    <row r="173" spans="1:16" x14ac:dyDescent="0.2">
      <c r="A173" t="str">
        <f>IF([1]Cheques!$A$174="","",[1]Cheques!$A$174)</f>
        <v/>
      </c>
      <c r="E173" t="str">
        <f>IF([1]Accounts!$D$174="","",[1]Accounts!$A$174)</f>
        <v/>
      </c>
      <c r="F173" t="str">
        <f>IF([1]Accounts!$D$174="","",[1]Accounts!$B$174)</f>
        <v/>
      </c>
      <c r="G173" t="str">
        <f>IF([1]Accounts!$D$174="","",[1]Accounts!$C$174)</f>
        <v/>
      </c>
      <c r="H173" t="str">
        <f>IF([1]Accounts!$D$174="","",[1]Accounts!$D$174)</f>
        <v/>
      </c>
      <c r="L173" t="str">
        <f>IF([2]Entry!$C$176="","",[2]Entry!$C$176)</f>
        <v/>
      </c>
      <c r="M173" t="str">
        <f>IF([2]Entry!$J$176="","",[2]Entry!$J$176)</f>
        <v/>
      </c>
      <c r="N173" t="str">
        <f>IF([2]Entry!$M$176="","",[2]Entry!$M$176)</f>
        <v/>
      </c>
      <c r="O173" t="str">
        <f>IF([2]Entry!$N$176="","",[2]Entry!$N$176)</f>
        <v/>
      </c>
      <c r="P173" t="str">
        <f>IF([2]Entry!$S$176="","",[2]Entry!$S$176)</f>
        <v/>
      </c>
    </row>
    <row r="174" spans="1:16" x14ac:dyDescent="0.2">
      <c r="A174" t="str">
        <f>IF([1]Cheques!$A$175="","",[1]Cheques!$A$175)</f>
        <v/>
      </c>
      <c r="E174" t="str">
        <f>IF([1]Accounts!$D$175="","",[1]Accounts!$A$175)</f>
        <v/>
      </c>
      <c r="F174" t="str">
        <f>IF([1]Accounts!$D$175="","",[1]Accounts!$B$175)</f>
        <v/>
      </c>
      <c r="G174" t="str">
        <f>IF([1]Accounts!$D$175="","",[1]Accounts!$C$175)</f>
        <v/>
      </c>
      <c r="H174" t="str">
        <f>IF([1]Accounts!$D$175="","",[1]Accounts!$D$175)</f>
        <v/>
      </c>
      <c r="L174" t="str">
        <f>IF([2]Entry!$C$177="","",[2]Entry!$C$177)</f>
        <v/>
      </c>
      <c r="M174" t="str">
        <f>IF([2]Entry!$J$177="","",[2]Entry!$J$177)</f>
        <v/>
      </c>
      <c r="N174" t="str">
        <f>IF([2]Entry!$M$177="","",[2]Entry!$M$177)</f>
        <v/>
      </c>
      <c r="O174" t="str">
        <f>IF([2]Entry!$N$177="","",[2]Entry!$N$177)</f>
        <v/>
      </c>
      <c r="P174" t="str">
        <f>IF([2]Entry!$S$177="","",[2]Entry!$S$177)</f>
        <v/>
      </c>
    </row>
    <row r="175" spans="1:16" x14ac:dyDescent="0.2">
      <c r="A175" t="str">
        <f>IF([1]Cheques!$A$176="","",[1]Cheques!$A$176)</f>
        <v/>
      </c>
      <c r="E175" t="str">
        <f>IF([1]Accounts!$D$176="","",[1]Accounts!$A$176)</f>
        <v/>
      </c>
      <c r="F175" t="str">
        <f>IF([1]Accounts!$D$176="","",[1]Accounts!$B$176)</f>
        <v/>
      </c>
      <c r="G175" t="str">
        <f>IF([1]Accounts!$D$176="","",[1]Accounts!$C$176)</f>
        <v/>
      </c>
      <c r="H175" t="str">
        <f>IF([1]Accounts!$D$176="","",[1]Accounts!$D$176)</f>
        <v/>
      </c>
      <c r="L175" t="str">
        <f>IF([2]Entry!$C$178="","",[2]Entry!$C$178)</f>
        <v/>
      </c>
      <c r="M175" t="str">
        <f>IF([2]Entry!$J$178="","",[2]Entry!$J$178)</f>
        <v/>
      </c>
      <c r="N175" t="str">
        <f>IF([2]Entry!$M$178="","",[2]Entry!$M$178)</f>
        <v/>
      </c>
      <c r="O175" t="str">
        <f>IF([2]Entry!$N$178="","",[2]Entry!$N$178)</f>
        <v/>
      </c>
      <c r="P175" t="str">
        <f>IF([2]Entry!$S$178="","",[2]Entry!$S$178)</f>
        <v/>
      </c>
    </row>
    <row r="176" spans="1:16" x14ac:dyDescent="0.2">
      <c r="A176" t="str">
        <f>IF([1]Cheques!$A$177="","",[1]Cheques!$A$177)</f>
        <v/>
      </c>
      <c r="E176" t="str">
        <f>IF([1]Accounts!$D$177="","",[1]Accounts!$A$177)</f>
        <v/>
      </c>
      <c r="F176" t="str">
        <f>IF([1]Accounts!$D$177="","",[1]Accounts!$B$177)</f>
        <v/>
      </c>
      <c r="G176" t="str">
        <f>IF([1]Accounts!$D$177="","",[1]Accounts!$C$177)</f>
        <v/>
      </c>
      <c r="H176" t="str">
        <f>IF([1]Accounts!$D$177="","",[1]Accounts!$D$177)</f>
        <v/>
      </c>
      <c r="L176" t="str">
        <f>IF([2]Entry!$C$179="","",[2]Entry!$C$179)</f>
        <v/>
      </c>
      <c r="M176" t="str">
        <f>IF([2]Entry!$J$179="","",[2]Entry!$J$179)</f>
        <v/>
      </c>
      <c r="N176" t="str">
        <f>IF([2]Entry!$M$179="","",[2]Entry!$M$179)</f>
        <v/>
      </c>
      <c r="O176" t="str">
        <f>IF([2]Entry!$N$179="","",[2]Entry!$N$179)</f>
        <v/>
      </c>
      <c r="P176" t="str">
        <f>IF([2]Entry!$S$179="","",[2]Entry!$S$179)</f>
        <v/>
      </c>
    </row>
    <row r="177" spans="1:16" x14ac:dyDescent="0.2">
      <c r="A177" t="str">
        <f>IF([1]Cheques!$A$178="","",[1]Cheques!$A$178)</f>
        <v/>
      </c>
      <c r="E177" t="str">
        <f>IF([1]Accounts!$D$178="","",[1]Accounts!$A$178)</f>
        <v/>
      </c>
      <c r="F177" t="str">
        <f>IF([1]Accounts!$D$178="","",[1]Accounts!$B$178)</f>
        <v/>
      </c>
      <c r="G177" t="str">
        <f>IF([1]Accounts!$D$178="","",[1]Accounts!$C$178)</f>
        <v/>
      </c>
      <c r="H177" t="str">
        <f>IF([1]Accounts!$D$178="","",[1]Accounts!$D$178)</f>
        <v/>
      </c>
      <c r="L177" t="str">
        <f>IF([2]Entry!$C$180="","",[2]Entry!$C$180)</f>
        <v/>
      </c>
      <c r="M177" t="str">
        <f>IF([2]Entry!$J$180="","",[2]Entry!$J$180)</f>
        <v/>
      </c>
      <c r="N177" t="str">
        <f>IF([2]Entry!$M$180="","",[2]Entry!$M$180)</f>
        <v/>
      </c>
      <c r="O177" t="str">
        <f>IF([2]Entry!$N$180="","",[2]Entry!$N$180)</f>
        <v/>
      </c>
      <c r="P177" t="str">
        <f>IF([2]Entry!$S$180="","",[2]Entry!$S$180)</f>
        <v/>
      </c>
    </row>
    <row r="178" spans="1:16" x14ac:dyDescent="0.2">
      <c r="A178" t="str">
        <f>IF([1]Cheques!$A$179="","",[1]Cheques!$A$179)</f>
        <v/>
      </c>
      <c r="E178" t="str">
        <f>IF([1]Accounts!$D$179="","",[1]Accounts!$A$179)</f>
        <v/>
      </c>
      <c r="F178" t="str">
        <f>IF([1]Accounts!$D$179="","",[1]Accounts!$B$179)</f>
        <v/>
      </c>
      <c r="G178" t="str">
        <f>IF([1]Accounts!$D$179="","",[1]Accounts!$C$179)</f>
        <v/>
      </c>
      <c r="H178" t="str">
        <f>IF([1]Accounts!$D$179="","",[1]Accounts!$D$179)</f>
        <v/>
      </c>
      <c r="L178" t="str">
        <f>IF([2]Entry!$C$181="","",[2]Entry!$C$181)</f>
        <v/>
      </c>
      <c r="M178" t="str">
        <f>IF([2]Entry!$J$181="","",[2]Entry!$J$181)</f>
        <v/>
      </c>
      <c r="N178" t="str">
        <f>IF([2]Entry!$M$181="","",[2]Entry!$M$181)</f>
        <v/>
      </c>
      <c r="O178" t="str">
        <f>IF([2]Entry!$N$181="","",[2]Entry!$N$181)</f>
        <v/>
      </c>
      <c r="P178" t="str">
        <f>IF([2]Entry!$S$181="","",[2]Entry!$S$181)</f>
        <v/>
      </c>
    </row>
    <row r="179" spans="1:16" x14ac:dyDescent="0.2">
      <c r="A179" t="str">
        <f>IF([1]Cheques!$A$180="","",[1]Cheques!$A$180)</f>
        <v/>
      </c>
      <c r="E179" t="str">
        <f>IF([1]Accounts!$D$180="","",[1]Accounts!$A$180)</f>
        <v/>
      </c>
      <c r="F179" t="str">
        <f>IF([1]Accounts!$D$180="","",[1]Accounts!$B$180)</f>
        <v/>
      </c>
      <c r="G179" t="str">
        <f>IF([1]Accounts!$D$180="","",[1]Accounts!$C$180)</f>
        <v/>
      </c>
      <c r="H179" t="str">
        <f>IF([1]Accounts!$D$180="","",[1]Accounts!$D$180)</f>
        <v/>
      </c>
      <c r="L179" t="str">
        <f>IF([2]Entry!$C$182="","",[2]Entry!$C$182)</f>
        <v/>
      </c>
      <c r="M179" t="str">
        <f>IF([2]Entry!$J$182="","",[2]Entry!$J$182)</f>
        <v/>
      </c>
      <c r="N179" t="str">
        <f>IF([2]Entry!$M$182="","",[2]Entry!$M$182)</f>
        <v/>
      </c>
      <c r="O179" t="str">
        <f>IF([2]Entry!$N$182="","",[2]Entry!$N$182)</f>
        <v/>
      </c>
      <c r="P179" t="str">
        <f>IF([2]Entry!$S$182="","",[2]Entry!$S$182)</f>
        <v/>
      </c>
    </row>
    <row r="180" spans="1:16" x14ac:dyDescent="0.2">
      <c r="A180" t="str">
        <f>IF([1]Cheques!$A$181="","",[1]Cheques!$A$181)</f>
        <v/>
      </c>
      <c r="E180" t="str">
        <f>IF([1]Accounts!$D$181="","",[1]Accounts!$A$181)</f>
        <v/>
      </c>
      <c r="F180" t="str">
        <f>IF([1]Accounts!$D$181="","",[1]Accounts!$B$181)</f>
        <v/>
      </c>
      <c r="G180" t="str">
        <f>IF([1]Accounts!$D$181="","",[1]Accounts!$C$181)</f>
        <v/>
      </c>
      <c r="H180" t="str">
        <f>IF([1]Accounts!$D$181="","",[1]Accounts!$D$181)</f>
        <v/>
      </c>
      <c r="L180" t="str">
        <f>IF([2]Entry!$C$183="","",[2]Entry!$C$183)</f>
        <v/>
      </c>
      <c r="M180" t="str">
        <f>IF([2]Entry!$J$183="","",[2]Entry!$J$183)</f>
        <v/>
      </c>
      <c r="N180" t="str">
        <f>IF([2]Entry!$M$183="","",[2]Entry!$M$183)</f>
        <v/>
      </c>
      <c r="O180" t="str">
        <f>IF([2]Entry!$N$183="","",[2]Entry!$N$183)</f>
        <v/>
      </c>
      <c r="P180" t="str">
        <f>IF([2]Entry!$S$183="","",[2]Entry!$S$183)</f>
        <v/>
      </c>
    </row>
    <row r="181" spans="1:16" x14ac:dyDescent="0.2">
      <c r="A181" t="str">
        <f>IF([1]Cheques!$A$182="","",[1]Cheques!$A$182)</f>
        <v/>
      </c>
      <c r="E181" t="str">
        <f>IF([1]Accounts!$D$182="","",[1]Accounts!$A$182)</f>
        <v/>
      </c>
      <c r="F181" t="str">
        <f>IF([1]Accounts!$D$182="","",[1]Accounts!$B$182)</f>
        <v/>
      </c>
      <c r="G181" t="str">
        <f>IF([1]Accounts!$D$182="","",[1]Accounts!$C$182)</f>
        <v/>
      </c>
      <c r="H181" t="str">
        <f>IF([1]Accounts!$D$182="","",[1]Accounts!$D$182)</f>
        <v/>
      </c>
      <c r="L181" t="str">
        <f>IF([2]Entry!$C$184="","",[2]Entry!$C$184)</f>
        <v/>
      </c>
      <c r="M181" t="str">
        <f>IF([2]Entry!$J$184="","",[2]Entry!$J$184)</f>
        <v/>
      </c>
      <c r="N181" t="str">
        <f>IF([2]Entry!$M$184="","",[2]Entry!$M$184)</f>
        <v/>
      </c>
      <c r="O181" t="str">
        <f>IF([2]Entry!$N$184="","",[2]Entry!$N$184)</f>
        <v/>
      </c>
      <c r="P181" t="str">
        <f>IF([2]Entry!$S$184="","",[2]Entry!$S$184)</f>
        <v/>
      </c>
    </row>
    <row r="182" spans="1:16" x14ac:dyDescent="0.2">
      <c r="A182" t="str">
        <f>IF([1]Cheques!$A$183="","",[1]Cheques!$A$183)</f>
        <v/>
      </c>
      <c r="E182" t="str">
        <f>IF([1]Accounts!$D$183="","",[1]Accounts!$A$183)</f>
        <v/>
      </c>
      <c r="F182" t="str">
        <f>IF([1]Accounts!$D$183="","",[1]Accounts!$B$183)</f>
        <v/>
      </c>
      <c r="G182" t="str">
        <f>IF([1]Accounts!$D$183="","",[1]Accounts!$C$183)</f>
        <v/>
      </c>
      <c r="H182" t="str">
        <f>IF([1]Accounts!$D$183="","",[1]Accounts!$D$183)</f>
        <v/>
      </c>
      <c r="L182" t="str">
        <f>IF([2]Entry!$C$185="","",[2]Entry!$C$185)</f>
        <v/>
      </c>
      <c r="M182" t="str">
        <f>IF([2]Entry!$J$185="","",[2]Entry!$J$185)</f>
        <v/>
      </c>
      <c r="N182" t="str">
        <f>IF([2]Entry!$M$185="","",[2]Entry!$M$185)</f>
        <v/>
      </c>
      <c r="O182" t="str">
        <f>IF([2]Entry!$N$185="","",[2]Entry!$N$185)</f>
        <v/>
      </c>
      <c r="P182" t="str">
        <f>IF([2]Entry!$S$185="","",[2]Entry!$S$185)</f>
        <v/>
      </c>
    </row>
    <row r="183" spans="1:16" x14ac:dyDescent="0.2">
      <c r="A183" t="str">
        <f>IF([1]Cheques!$A$184="","",[1]Cheques!$A$184)</f>
        <v/>
      </c>
      <c r="E183" t="str">
        <f>IF([1]Accounts!$D$184="","",[1]Accounts!$A$184)</f>
        <v/>
      </c>
      <c r="F183" t="str">
        <f>IF([1]Accounts!$D$184="","",[1]Accounts!$B$184)</f>
        <v/>
      </c>
      <c r="G183" t="str">
        <f>IF([1]Accounts!$D$184="","",[1]Accounts!$C$184)</f>
        <v/>
      </c>
      <c r="H183" t="str">
        <f>IF([1]Accounts!$D$184="","",[1]Accounts!$D$184)</f>
        <v/>
      </c>
      <c r="L183" t="str">
        <f>IF([2]Entry!$C$186="","",[2]Entry!$C$186)</f>
        <v/>
      </c>
      <c r="M183" t="str">
        <f>IF([2]Entry!$J$186="","",[2]Entry!$J$186)</f>
        <v/>
      </c>
      <c r="N183" t="str">
        <f>IF([2]Entry!$M$186="","",[2]Entry!$M$186)</f>
        <v/>
      </c>
      <c r="O183" t="str">
        <f>IF([2]Entry!$N$186="","",[2]Entry!$N$186)</f>
        <v/>
      </c>
      <c r="P183" t="str">
        <f>IF([2]Entry!$S$186="","",[2]Entry!$S$186)</f>
        <v/>
      </c>
    </row>
    <row r="184" spans="1:16" x14ac:dyDescent="0.2">
      <c r="A184" t="str">
        <f>IF([1]Cheques!$A$185="","",[1]Cheques!$A$185)</f>
        <v/>
      </c>
      <c r="E184" t="str">
        <f>IF([1]Accounts!$D$185="","",[1]Accounts!$A$185)</f>
        <v/>
      </c>
      <c r="F184" t="str">
        <f>IF([1]Accounts!$D$185="","",[1]Accounts!$B$185)</f>
        <v/>
      </c>
      <c r="G184" t="str">
        <f>IF([1]Accounts!$D$185="","",[1]Accounts!$C$185)</f>
        <v/>
      </c>
      <c r="H184" t="str">
        <f>IF([1]Accounts!$D$185="","",[1]Accounts!$D$185)</f>
        <v/>
      </c>
      <c r="L184" t="str">
        <f>IF([2]Entry!$C$187="","",[2]Entry!$C$187)</f>
        <v/>
      </c>
      <c r="M184" t="str">
        <f>IF([2]Entry!$J$187="","",[2]Entry!$J$187)</f>
        <v/>
      </c>
      <c r="N184" t="str">
        <f>IF([2]Entry!$M$187="","",[2]Entry!$M$187)</f>
        <v/>
      </c>
      <c r="O184" t="str">
        <f>IF([2]Entry!$N$187="","",[2]Entry!$N$187)</f>
        <v/>
      </c>
      <c r="P184" t="str">
        <f>IF([2]Entry!$S$187="","",[2]Entry!$S$187)</f>
        <v/>
      </c>
    </row>
    <row r="185" spans="1:16" x14ac:dyDescent="0.2">
      <c r="A185" t="str">
        <f>IF([1]Cheques!$A$186="","",[1]Cheques!$A$186)</f>
        <v/>
      </c>
      <c r="E185" t="str">
        <f>IF([1]Accounts!$D$186="","",[1]Accounts!$A$186)</f>
        <v/>
      </c>
      <c r="F185" t="str">
        <f>IF([1]Accounts!$D$186="","",[1]Accounts!$B$186)</f>
        <v/>
      </c>
      <c r="G185" t="str">
        <f>IF([1]Accounts!$D$186="","",[1]Accounts!$C$186)</f>
        <v/>
      </c>
      <c r="H185" t="str">
        <f>IF([1]Accounts!$D$186="","",[1]Accounts!$D$186)</f>
        <v/>
      </c>
      <c r="L185" t="str">
        <f>IF([2]Entry!$C$188="","",[2]Entry!$C$188)</f>
        <v/>
      </c>
      <c r="M185" t="str">
        <f>IF([2]Entry!$J$188="","",[2]Entry!$J$188)</f>
        <v/>
      </c>
      <c r="N185" t="str">
        <f>IF([2]Entry!$M$188="","",[2]Entry!$M$188)</f>
        <v/>
      </c>
      <c r="O185" t="str">
        <f>IF([2]Entry!$N$188="","",[2]Entry!$N$188)</f>
        <v/>
      </c>
      <c r="P185" t="str">
        <f>IF([2]Entry!$S$188="","",[2]Entry!$S$188)</f>
        <v/>
      </c>
    </row>
    <row r="186" spans="1:16" x14ac:dyDescent="0.2">
      <c r="A186" t="str">
        <f>IF([1]Cheques!$A$187="","",[1]Cheques!$A$187)</f>
        <v/>
      </c>
      <c r="E186" t="str">
        <f>IF([1]Accounts!$D$187="","",[1]Accounts!$A$187)</f>
        <v/>
      </c>
      <c r="F186" t="str">
        <f>IF([1]Accounts!$D$187="","",[1]Accounts!$B$187)</f>
        <v/>
      </c>
      <c r="G186" t="str">
        <f>IF([1]Accounts!$D$187="","",[1]Accounts!$C$187)</f>
        <v/>
      </c>
      <c r="H186" t="str">
        <f>IF([1]Accounts!$D$187="","",[1]Accounts!$D$187)</f>
        <v/>
      </c>
      <c r="L186" t="str">
        <f>IF([2]Entry!$C$189="","",[2]Entry!$C$189)</f>
        <v/>
      </c>
      <c r="M186" t="str">
        <f>IF([2]Entry!$J$189="","",[2]Entry!$J$189)</f>
        <v/>
      </c>
      <c r="N186" t="str">
        <f>IF([2]Entry!$M$189="","",[2]Entry!$M$189)</f>
        <v/>
      </c>
      <c r="O186" t="str">
        <f>IF([2]Entry!$N$189="","",[2]Entry!$N$189)</f>
        <v/>
      </c>
      <c r="P186" t="str">
        <f>IF([2]Entry!$S$189="","",[2]Entry!$S$189)</f>
        <v/>
      </c>
    </row>
    <row r="187" spans="1:16" x14ac:dyDescent="0.2">
      <c r="A187" t="str">
        <f>IF([1]Cheques!$A$188="","",[1]Cheques!$A$188)</f>
        <v/>
      </c>
      <c r="E187" t="str">
        <f>IF([1]Accounts!$D$188="","",[1]Accounts!$A$188)</f>
        <v/>
      </c>
      <c r="F187" t="str">
        <f>IF([1]Accounts!$D$188="","",[1]Accounts!$B$188)</f>
        <v/>
      </c>
      <c r="G187" t="str">
        <f>IF([1]Accounts!$D$188="","",[1]Accounts!$C$188)</f>
        <v/>
      </c>
      <c r="H187" t="str">
        <f>IF([1]Accounts!$D$188="","",[1]Accounts!$D$188)</f>
        <v/>
      </c>
      <c r="L187" t="str">
        <f>IF([2]Entry!$C$190="","",[2]Entry!$C$190)</f>
        <v/>
      </c>
      <c r="M187" t="str">
        <f>IF([2]Entry!$J$190="","",[2]Entry!$J$190)</f>
        <v/>
      </c>
      <c r="N187" t="str">
        <f>IF([2]Entry!$M$190="","",[2]Entry!$M$190)</f>
        <v/>
      </c>
      <c r="O187" t="str">
        <f>IF([2]Entry!$N$190="","",[2]Entry!$N$190)</f>
        <v/>
      </c>
      <c r="P187" t="str">
        <f>IF([2]Entry!$S$190="","",[2]Entry!$S$190)</f>
        <v/>
      </c>
    </row>
    <row r="188" spans="1:16" x14ac:dyDescent="0.2">
      <c r="A188" t="str">
        <f>IF([1]Cheques!$A$189="","",[1]Cheques!$A$189)</f>
        <v/>
      </c>
      <c r="E188" t="str">
        <f>IF([1]Accounts!$D$189="","",[1]Accounts!$A$189)</f>
        <v/>
      </c>
      <c r="F188" t="str">
        <f>IF([1]Accounts!$D$189="","",[1]Accounts!$B$189)</f>
        <v/>
      </c>
      <c r="G188" t="str">
        <f>IF([1]Accounts!$D$189="","",[1]Accounts!$C$189)</f>
        <v/>
      </c>
      <c r="H188" t="str">
        <f>IF([1]Accounts!$D$189="","",[1]Accounts!$D$189)</f>
        <v/>
      </c>
      <c r="L188" t="str">
        <f>IF([2]Entry!$C$191="","",[2]Entry!$C$191)</f>
        <v/>
      </c>
      <c r="M188" t="str">
        <f>IF([2]Entry!$J$191="","",[2]Entry!$J$191)</f>
        <v/>
      </c>
      <c r="N188" t="str">
        <f>IF([2]Entry!$M$191="","",[2]Entry!$M$191)</f>
        <v/>
      </c>
      <c r="O188" t="str">
        <f>IF([2]Entry!$N$191="","",[2]Entry!$N$191)</f>
        <v/>
      </c>
      <c r="P188" t="str">
        <f>IF([2]Entry!$S$191="","",[2]Entry!$S$191)</f>
        <v/>
      </c>
    </row>
    <row r="189" spans="1:16" x14ac:dyDescent="0.2">
      <c r="A189" t="str">
        <f>IF([1]Cheques!$A$190="","",[1]Cheques!$A$190)</f>
        <v/>
      </c>
      <c r="E189" t="str">
        <f>IF([1]Accounts!$D$190="","",[1]Accounts!$A$190)</f>
        <v/>
      </c>
      <c r="F189" t="str">
        <f>IF([1]Accounts!$D$190="","",[1]Accounts!$B$190)</f>
        <v/>
      </c>
      <c r="G189" t="str">
        <f>IF([1]Accounts!$D$190="","",[1]Accounts!$C$190)</f>
        <v/>
      </c>
      <c r="H189" t="str">
        <f>IF([1]Accounts!$D$190="","",[1]Accounts!$D$190)</f>
        <v/>
      </c>
      <c r="L189" t="str">
        <f>IF([2]Entry!$C$192="","",[2]Entry!$C$192)</f>
        <v/>
      </c>
      <c r="M189" t="str">
        <f>IF([2]Entry!$J$192="","",[2]Entry!$J$192)</f>
        <v/>
      </c>
      <c r="N189" t="str">
        <f>IF([2]Entry!$M$192="","",[2]Entry!$M$192)</f>
        <v/>
      </c>
      <c r="O189" t="str">
        <f>IF([2]Entry!$N$192="","",[2]Entry!$N$192)</f>
        <v/>
      </c>
      <c r="P189" t="str">
        <f>IF([2]Entry!$S$192="","",[2]Entry!$S$192)</f>
        <v/>
      </c>
    </row>
    <row r="190" spans="1:16" x14ac:dyDescent="0.2">
      <c r="A190" t="str">
        <f>IF([1]Cheques!$A$191="","",[1]Cheques!$A$191)</f>
        <v/>
      </c>
      <c r="E190" t="str">
        <f>IF([1]Accounts!$D$191="","",[1]Accounts!$A$191)</f>
        <v/>
      </c>
      <c r="F190" t="str">
        <f>IF([1]Accounts!$D$191="","",[1]Accounts!$B$191)</f>
        <v/>
      </c>
      <c r="G190" t="str">
        <f>IF([1]Accounts!$D$191="","",[1]Accounts!$C$191)</f>
        <v/>
      </c>
      <c r="H190" t="str">
        <f>IF([1]Accounts!$D$191="","",[1]Accounts!$D$191)</f>
        <v/>
      </c>
      <c r="L190" t="str">
        <f>IF([2]Entry!$C$193="","",[2]Entry!$C$193)</f>
        <v/>
      </c>
      <c r="M190" t="str">
        <f>IF([2]Entry!$J$193="","",[2]Entry!$J$193)</f>
        <v/>
      </c>
      <c r="N190" t="str">
        <f>IF([2]Entry!$M$193="","",[2]Entry!$M$193)</f>
        <v/>
      </c>
      <c r="O190" t="str">
        <f>IF([2]Entry!$N$193="","",[2]Entry!$N$193)</f>
        <v/>
      </c>
      <c r="P190" t="str">
        <f>IF([2]Entry!$S$193="","",[2]Entry!$S$193)</f>
        <v/>
      </c>
    </row>
    <row r="191" spans="1:16" x14ac:dyDescent="0.2">
      <c r="A191" t="str">
        <f>IF([1]Cheques!$A$192="","",[1]Cheques!$A$192)</f>
        <v/>
      </c>
      <c r="E191" t="str">
        <f>IF([1]Accounts!$D$192="","",[1]Accounts!$A$192)</f>
        <v/>
      </c>
      <c r="F191" t="str">
        <f>IF([1]Accounts!$D$192="","",[1]Accounts!$B$192)</f>
        <v/>
      </c>
      <c r="G191" t="str">
        <f>IF([1]Accounts!$D$192="","",[1]Accounts!$C$192)</f>
        <v/>
      </c>
      <c r="H191" t="str">
        <f>IF([1]Accounts!$D$192="","",[1]Accounts!$D$192)</f>
        <v/>
      </c>
      <c r="L191" t="str">
        <f>IF([2]Entry!$C$194="","",[2]Entry!$C$194)</f>
        <v/>
      </c>
      <c r="M191" t="str">
        <f>IF([2]Entry!$J$194="","",[2]Entry!$J$194)</f>
        <v/>
      </c>
      <c r="N191" t="str">
        <f>IF([2]Entry!$M$194="","",[2]Entry!$M$194)</f>
        <v/>
      </c>
      <c r="O191" t="str">
        <f>IF([2]Entry!$N$194="","",[2]Entry!$N$194)</f>
        <v/>
      </c>
      <c r="P191" t="str">
        <f>IF([2]Entry!$S$194="","",[2]Entry!$S$194)</f>
        <v/>
      </c>
    </row>
    <row r="192" spans="1:16" x14ac:dyDescent="0.2">
      <c r="A192" t="str">
        <f>IF([1]Cheques!$A$193="","",[1]Cheques!$A$193)</f>
        <v/>
      </c>
      <c r="E192" t="str">
        <f>IF([1]Accounts!$D$193="","",[1]Accounts!$A$193)</f>
        <v/>
      </c>
      <c r="F192" t="str">
        <f>IF([1]Accounts!$D$193="","",[1]Accounts!$B$193)</f>
        <v/>
      </c>
      <c r="G192" t="str">
        <f>IF([1]Accounts!$D$193="","",[1]Accounts!$C$193)</f>
        <v/>
      </c>
      <c r="H192" t="str">
        <f>IF([1]Accounts!$D$193="","",[1]Accounts!$D$193)</f>
        <v/>
      </c>
      <c r="L192" t="str">
        <f>IF([2]Entry!$C$195="","",[2]Entry!$C$195)</f>
        <v/>
      </c>
      <c r="M192" t="str">
        <f>IF([2]Entry!$J$195="","",[2]Entry!$J$195)</f>
        <v/>
      </c>
      <c r="N192" t="str">
        <f>IF([2]Entry!$M$195="","",[2]Entry!$M$195)</f>
        <v/>
      </c>
      <c r="O192" t="str">
        <f>IF([2]Entry!$N$195="","",[2]Entry!$N$195)</f>
        <v/>
      </c>
      <c r="P192" t="str">
        <f>IF([2]Entry!$S$195="","",[2]Entry!$S$195)</f>
        <v/>
      </c>
    </row>
    <row r="193" spans="1:16" x14ac:dyDescent="0.2">
      <c r="A193" t="str">
        <f>IF([1]Cheques!$A$194="","",[1]Cheques!$A$194)</f>
        <v/>
      </c>
      <c r="E193" t="str">
        <f>IF([1]Accounts!$D$194="","",[1]Accounts!$A$194)</f>
        <v/>
      </c>
      <c r="F193" t="str">
        <f>IF([1]Accounts!$D$194="","",[1]Accounts!$B$194)</f>
        <v/>
      </c>
      <c r="G193" t="str">
        <f>IF([1]Accounts!$D$194="","",[1]Accounts!$C$194)</f>
        <v/>
      </c>
      <c r="H193" t="str">
        <f>IF([1]Accounts!$D$194="","",[1]Accounts!$D$194)</f>
        <v/>
      </c>
      <c r="L193" t="str">
        <f>IF([2]Entry!$C$196="","",[2]Entry!$C$196)</f>
        <v/>
      </c>
      <c r="M193" t="str">
        <f>IF([2]Entry!$J$196="","",[2]Entry!$J$196)</f>
        <v/>
      </c>
      <c r="N193" t="str">
        <f>IF([2]Entry!$M$196="","",[2]Entry!$M$196)</f>
        <v/>
      </c>
      <c r="O193" t="str">
        <f>IF([2]Entry!$N$196="","",[2]Entry!$N$196)</f>
        <v/>
      </c>
      <c r="P193" t="str">
        <f>IF([2]Entry!$S$196="","",[2]Entry!$S$196)</f>
        <v/>
      </c>
    </row>
    <row r="194" spans="1:16" x14ac:dyDescent="0.2">
      <c r="A194" t="str">
        <f>IF([1]Cheques!$A$195="","",[1]Cheques!$A$195)</f>
        <v/>
      </c>
      <c r="E194" t="str">
        <f>IF([1]Accounts!$D$195="","",[1]Accounts!$A$195)</f>
        <v/>
      </c>
      <c r="F194" t="str">
        <f>IF([1]Accounts!$D$195="","",[1]Accounts!$B$195)</f>
        <v/>
      </c>
      <c r="G194" t="str">
        <f>IF([1]Accounts!$D$195="","",[1]Accounts!$C$195)</f>
        <v/>
      </c>
      <c r="H194" t="str">
        <f>IF([1]Accounts!$D$195="","",[1]Accounts!$D$195)</f>
        <v/>
      </c>
      <c r="L194" t="str">
        <f>IF([2]Entry!$C$197="","",[2]Entry!$C$197)</f>
        <v/>
      </c>
      <c r="M194" t="str">
        <f>IF([2]Entry!$J$197="","",[2]Entry!$J$197)</f>
        <v/>
      </c>
      <c r="N194" t="str">
        <f>IF([2]Entry!$M$197="","",[2]Entry!$M$197)</f>
        <v/>
      </c>
      <c r="O194" t="str">
        <f>IF([2]Entry!$N$197="","",[2]Entry!$N$197)</f>
        <v/>
      </c>
      <c r="P194" t="str">
        <f>IF([2]Entry!$S$197="","",[2]Entry!$S$197)</f>
        <v/>
      </c>
    </row>
    <row r="195" spans="1:16" x14ac:dyDescent="0.2">
      <c r="A195" t="str">
        <f>IF([1]Cheques!$A$196="","",[1]Cheques!$A$196)</f>
        <v/>
      </c>
      <c r="E195" t="str">
        <f>IF([1]Accounts!$D$196="","",[1]Accounts!$A$196)</f>
        <v/>
      </c>
      <c r="F195" t="str">
        <f>IF([1]Accounts!$D$196="","",[1]Accounts!$B$196)</f>
        <v/>
      </c>
      <c r="G195" t="str">
        <f>IF([1]Accounts!$D$196="","",[1]Accounts!$C$196)</f>
        <v/>
      </c>
      <c r="H195" t="str">
        <f>IF([1]Accounts!$D$196="","",[1]Accounts!$D$196)</f>
        <v/>
      </c>
      <c r="L195" t="str">
        <f>IF([2]Entry!$C$198="","",[2]Entry!$C$198)</f>
        <v/>
      </c>
      <c r="M195" t="str">
        <f>IF([2]Entry!$J$198="","",[2]Entry!$J$198)</f>
        <v/>
      </c>
      <c r="N195" t="str">
        <f>IF([2]Entry!$M$198="","",[2]Entry!$M$198)</f>
        <v/>
      </c>
      <c r="O195" t="str">
        <f>IF([2]Entry!$N$198="","",[2]Entry!$N$198)</f>
        <v/>
      </c>
      <c r="P195" t="str">
        <f>IF([2]Entry!$S$198="","",[2]Entry!$S$198)</f>
        <v/>
      </c>
    </row>
    <row r="196" spans="1:16" x14ac:dyDescent="0.2">
      <c r="A196" t="str">
        <f>IF([1]Cheques!$A$197="","",[1]Cheques!$A$197)</f>
        <v/>
      </c>
      <c r="E196" t="str">
        <f>IF([1]Accounts!$D$197="","",[1]Accounts!$A$197)</f>
        <v/>
      </c>
      <c r="F196" t="str">
        <f>IF([1]Accounts!$D$197="","",[1]Accounts!$B$197)</f>
        <v/>
      </c>
      <c r="G196" t="str">
        <f>IF([1]Accounts!$D$197="","",[1]Accounts!$C$197)</f>
        <v/>
      </c>
      <c r="H196" t="str">
        <f>IF([1]Accounts!$D$197="","",[1]Accounts!$D$197)</f>
        <v/>
      </c>
      <c r="L196" t="str">
        <f>IF([2]Entry!$C$199="","",[2]Entry!$C$199)</f>
        <v/>
      </c>
      <c r="M196" t="str">
        <f>IF([2]Entry!$J$199="","",[2]Entry!$J$199)</f>
        <v/>
      </c>
      <c r="N196" t="str">
        <f>IF([2]Entry!$M$199="","",[2]Entry!$M$199)</f>
        <v/>
      </c>
      <c r="O196" t="str">
        <f>IF([2]Entry!$N$199="","",[2]Entry!$N$199)</f>
        <v/>
      </c>
      <c r="P196" t="str">
        <f>IF([2]Entry!$S$199="","",[2]Entry!$S$199)</f>
        <v/>
      </c>
    </row>
    <row r="197" spans="1:16" x14ac:dyDescent="0.2">
      <c r="A197" t="str">
        <f>IF([1]Cheques!$A$198="","",[1]Cheques!$A$198)</f>
        <v/>
      </c>
      <c r="E197" t="str">
        <f>IF([1]Accounts!$D$198="","",[1]Accounts!$A$198)</f>
        <v/>
      </c>
      <c r="F197" t="str">
        <f>IF([1]Accounts!$D$198="","",[1]Accounts!$B$198)</f>
        <v/>
      </c>
      <c r="G197" t="str">
        <f>IF([1]Accounts!$D$198="","",[1]Accounts!$C$198)</f>
        <v/>
      </c>
      <c r="H197" t="str">
        <f>IF([1]Accounts!$D$198="","",[1]Accounts!$D$198)</f>
        <v/>
      </c>
      <c r="L197" t="str">
        <f>IF([2]Entry!$C$200="","",[2]Entry!$C$200)</f>
        <v/>
      </c>
      <c r="M197" t="str">
        <f>IF([2]Entry!$J$200="","",[2]Entry!$J$200)</f>
        <v/>
      </c>
      <c r="N197" t="str">
        <f>IF([2]Entry!$M$200="","",[2]Entry!$M$200)</f>
        <v/>
      </c>
      <c r="O197" t="str">
        <f>IF([2]Entry!$N$200="","",[2]Entry!$N$200)</f>
        <v/>
      </c>
      <c r="P197" t="str">
        <f>IF([2]Entry!$S$200="","",[2]Entry!$S$200)</f>
        <v/>
      </c>
    </row>
    <row r="198" spans="1:16" x14ac:dyDescent="0.2">
      <c r="A198" t="str">
        <f>IF([1]Cheques!$A$199="","",[1]Cheques!$A$199)</f>
        <v/>
      </c>
      <c r="E198" t="str">
        <f>IF([1]Accounts!$D$199="","",[1]Accounts!$A$199)</f>
        <v/>
      </c>
      <c r="F198" t="str">
        <f>IF([1]Accounts!$D$199="","",[1]Accounts!$B$199)</f>
        <v/>
      </c>
      <c r="G198" t="str">
        <f>IF([1]Accounts!$D$199="","",[1]Accounts!$C$199)</f>
        <v/>
      </c>
      <c r="H198" t="str">
        <f>IF([1]Accounts!$D$199="","",[1]Accounts!$D$199)</f>
        <v/>
      </c>
      <c r="L198" t="str">
        <f>IF([2]Entry!$C$201="","",[2]Entry!$C$201)</f>
        <v/>
      </c>
      <c r="M198" t="str">
        <f>IF([2]Entry!$J$201="","",[2]Entry!$J$201)</f>
        <v/>
      </c>
      <c r="N198" t="str">
        <f>IF([2]Entry!$M$201="","",[2]Entry!$M$201)</f>
        <v/>
      </c>
      <c r="O198" t="str">
        <f>IF([2]Entry!$N$201="","",[2]Entry!$N$201)</f>
        <v/>
      </c>
      <c r="P198" t="str">
        <f>IF([2]Entry!$S$201="","",[2]Entry!$S$201)</f>
        <v/>
      </c>
    </row>
    <row r="199" spans="1:16" x14ac:dyDescent="0.2">
      <c r="A199" t="str">
        <f>IF([1]Cheques!$A$200="","",[1]Cheques!$A$200)</f>
        <v/>
      </c>
      <c r="E199" t="str">
        <f>IF([1]Accounts!$D$200="","",[1]Accounts!$A$200)</f>
        <v/>
      </c>
      <c r="F199" t="str">
        <f>IF([1]Accounts!$D$200="","",[1]Accounts!$B$200)</f>
        <v/>
      </c>
      <c r="G199" t="str">
        <f>IF([1]Accounts!$D$200="","",[1]Accounts!$C$200)</f>
        <v/>
      </c>
      <c r="H199" t="str">
        <f>IF([1]Accounts!$D$200="","",[1]Accounts!$D$200)</f>
        <v/>
      </c>
      <c r="L199" t="str">
        <f>IF([2]Entry!$C$202="","",[2]Entry!$C$202)</f>
        <v/>
      </c>
      <c r="M199" t="str">
        <f>IF([2]Entry!$J$202="","",[2]Entry!$J$202)</f>
        <v/>
      </c>
      <c r="N199" t="str">
        <f>IF([2]Entry!$M$202="","",[2]Entry!$M$202)</f>
        <v/>
      </c>
      <c r="O199" t="str">
        <f>IF([2]Entry!$N$202="","",[2]Entry!$N$202)</f>
        <v/>
      </c>
      <c r="P199" t="str">
        <f>IF([2]Entry!$S$202="","",[2]Entry!$S$202)</f>
        <v/>
      </c>
    </row>
    <row r="200" spans="1:16" x14ac:dyDescent="0.2">
      <c r="A200" t="str">
        <f>IF([1]Cheques!$A$201="","",[1]Cheques!$A$201)</f>
        <v/>
      </c>
      <c r="E200" t="str">
        <f>IF([1]Accounts!$D$201="","",[1]Accounts!$A$201)</f>
        <v/>
      </c>
      <c r="F200" t="str">
        <f>IF([1]Accounts!$D$201="","",[1]Accounts!$B$201)</f>
        <v/>
      </c>
      <c r="G200" t="str">
        <f>IF([1]Accounts!$D$201="","",[1]Accounts!$C$201)</f>
        <v/>
      </c>
      <c r="H200" t="str">
        <f>IF([1]Accounts!$D$201="","",[1]Accounts!$D$201)</f>
        <v/>
      </c>
      <c r="L200" t="str">
        <f>IF([2]Entry!$C$203="","",[2]Entry!$C$203)</f>
        <v/>
      </c>
      <c r="M200" t="str">
        <f>IF([2]Entry!$J$203="","",[2]Entry!$J$203)</f>
        <v/>
      </c>
      <c r="N200" t="str">
        <f>IF([2]Entry!$M$203="","",[2]Entry!$M$203)</f>
        <v/>
      </c>
      <c r="O200" t="str">
        <f>IF([2]Entry!$N$203="","",[2]Entry!$N$203)</f>
        <v/>
      </c>
      <c r="P200" t="str">
        <f>IF([2]Entry!$S$203="","",[2]Entry!$S$203)</f>
        <v/>
      </c>
    </row>
    <row r="201" spans="1:16" x14ac:dyDescent="0.2">
      <c r="A201" t="str">
        <f>IF([1]Cheques!$A$202="","",[1]Cheques!$A$202)</f>
        <v/>
      </c>
      <c r="E201" t="str">
        <f>IF([1]Accounts!$D$202="","",[1]Accounts!$A$202)</f>
        <v/>
      </c>
      <c r="F201" t="str">
        <f>IF([1]Accounts!$D$202="","",[1]Accounts!$B$202)</f>
        <v/>
      </c>
      <c r="G201" t="str">
        <f>IF([1]Accounts!$D$202="","",[1]Accounts!$C$202)</f>
        <v/>
      </c>
      <c r="H201" t="str">
        <f>IF([1]Accounts!$D$202="","",[1]Accounts!$D$202)</f>
        <v/>
      </c>
      <c r="L201" t="str">
        <f>IF([2]Entry!$C$204="","",[2]Entry!$C$204)</f>
        <v/>
      </c>
      <c r="M201" t="str">
        <f>IF([2]Entry!$J$204="","",[2]Entry!$J$204)</f>
        <v/>
      </c>
      <c r="N201" t="str">
        <f>IF([2]Entry!$M$204="","",[2]Entry!$M$204)</f>
        <v/>
      </c>
      <c r="O201" t="str">
        <f>IF([2]Entry!$N$204="","",[2]Entry!$N$204)</f>
        <v/>
      </c>
      <c r="P201" t="str">
        <f>IF([2]Entry!$S$204="","",[2]Entry!$S$204)</f>
        <v/>
      </c>
    </row>
    <row r="202" spans="1:16" x14ac:dyDescent="0.2">
      <c r="A202" t="str">
        <f>IF([1]Cheques!$A$203="","",[1]Cheques!$A$203)</f>
        <v/>
      </c>
      <c r="E202" t="str">
        <f>IF([1]Accounts!$D$203="","",[1]Accounts!$A$203)</f>
        <v/>
      </c>
      <c r="F202" t="str">
        <f>IF([1]Accounts!$D$203="","",[1]Accounts!$B$203)</f>
        <v/>
      </c>
      <c r="G202" t="str">
        <f>IF([1]Accounts!$D$203="","",[1]Accounts!$C$203)</f>
        <v/>
      </c>
      <c r="H202" t="str">
        <f>IF([1]Accounts!$D$203="","",[1]Accounts!$D$203)</f>
        <v/>
      </c>
      <c r="L202" t="str">
        <f>IF([2]Entry!$C$205="","",[2]Entry!$C$205)</f>
        <v/>
      </c>
      <c r="M202" t="str">
        <f>IF([2]Entry!$J$205="","",[2]Entry!$J$205)</f>
        <v/>
      </c>
      <c r="N202" t="str">
        <f>IF([2]Entry!$M$205="","",[2]Entry!$M$205)</f>
        <v/>
      </c>
      <c r="O202" t="str">
        <f>IF([2]Entry!$N$205="","",[2]Entry!$N$205)</f>
        <v/>
      </c>
      <c r="P202" t="str">
        <f>IF([2]Entry!$S$205="","",[2]Entry!$S$205)</f>
        <v/>
      </c>
    </row>
    <row r="203" spans="1:16" x14ac:dyDescent="0.2">
      <c r="A203" t="str">
        <f>IF([1]Cheques!$A$204="","",[1]Cheques!$A$204)</f>
        <v/>
      </c>
      <c r="E203" t="str">
        <f>IF([1]Accounts!$D$204="","",[1]Accounts!$A$204)</f>
        <v/>
      </c>
      <c r="F203" t="str">
        <f>IF([1]Accounts!$D$204="","",[1]Accounts!$B$204)</f>
        <v/>
      </c>
      <c r="G203" t="str">
        <f>IF([1]Accounts!$D$204="","",[1]Accounts!$C$204)</f>
        <v/>
      </c>
      <c r="H203" t="str">
        <f>IF([1]Accounts!$D$204="","",[1]Accounts!$D$204)</f>
        <v/>
      </c>
      <c r="L203" t="str">
        <f>IF([2]Entry!$C$206="","",[2]Entry!$C$206)</f>
        <v/>
      </c>
      <c r="M203" t="str">
        <f>IF([2]Entry!$J$206="","",[2]Entry!$J$206)</f>
        <v/>
      </c>
      <c r="N203" t="str">
        <f>IF([2]Entry!$M$206="","",[2]Entry!$M$206)</f>
        <v/>
      </c>
      <c r="O203" t="str">
        <f>IF([2]Entry!$N$206="","",[2]Entry!$N$206)</f>
        <v/>
      </c>
      <c r="P203" t="str">
        <f>IF([2]Entry!$S$206="","",[2]Entry!$S$206)</f>
        <v/>
      </c>
    </row>
    <row r="204" spans="1:16" x14ac:dyDescent="0.2">
      <c r="A204" t="str">
        <f>IF([1]Cheques!$A$205="","",[1]Cheques!$A$205)</f>
        <v/>
      </c>
      <c r="E204" t="str">
        <f>IF([1]Accounts!$D$205="","",[1]Accounts!$A$205)</f>
        <v/>
      </c>
      <c r="F204" t="str">
        <f>IF([1]Accounts!$D$205="","",[1]Accounts!$B$205)</f>
        <v/>
      </c>
      <c r="G204" t="str">
        <f>IF([1]Accounts!$D$205="","",[1]Accounts!$C$205)</f>
        <v/>
      </c>
      <c r="H204" t="str">
        <f>IF([1]Accounts!$D$205="","",[1]Accounts!$D$205)</f>
        <v/>
      </c>
      <c r="L204" t="str">
        <f>IF([2]Entry!$C$207="","",[2]Entry!$C$207)</f>
        <v/>
      </c>
      <c r="M204" t="str">
        <f>IF([2]Entry!$J$207="","",[2]Entry!$J$207)</f>
        <v/>
      </c>
      <c r="N204" t="str">
        <f>IF([2]Entry!$M$207="","",[2]Entry!$M$207)</f>
        <v/>
      </c>
      <c r="O204" t="str">
        <f>IF([2]Entry!$N$207="","",[2]Entry!$N$207)</f>
        <v/>
      </c>
      <c r="P204" t="str">
        <f>IF([2]Entry!$S$207="","",[2]Entry!$S$207)</f>
        <v/>
      </c>
    </row>
    <row r="205" spans="1:16" x14ac:dyDescent="0.2">
      <c r="A205" t="str">
        <f>IF([1]Cheques!$A$206="","",[1]Cheques!$A$206)</f>
        <v/>
      </c>
      <c r="E205" t="str">
        <f>IF([1]Accounts!$D$206="","",[1]Accounts!$A$206)</f>
        <v/>
      </c>
      <c r="F205" t="str">
        <f>IF([1]Accounts!$D$206="","",[1]Accounts!$B$206)</f>
        <v/>
      </c>
      <c r="G205" t="str">
        <f>IF([1]Accounts!$D$206="","",[1]Accounts!$C$206)</f>
        <v/>
      </c>
      <c r="H205" t="str">
        <f>IF([1]Accounts!$D$206="","",[1]Accounts!$D$206)</f>
        <v/>
      </c>
      <c r="L205" t="str">
        <f>IF([2]Entry!$C$208="","",[2]Entry!$C$208)</f>
        <v/>
      </c>
      <c r="M205" t="str">
        <f>IF([2]Entry!$J$208="","",[2]Entry!$J$208)</f>
        <v/>
      </c>
      <c r="N205" t="str">
        <f>IF([2]Entry!$M$208="","",[2]Entry!$M$208)</f>
        <v/>
      </c>
      <c r="O205" t="str">
        <f>IF([2]Entry!$N$208="","",[2]Entry!$N$208)</f>
        <v/>
      </c>
      <c r="P205" t="str">
        <f>IF([2]Entry!$S$208="","",[2]Entry!$S$208)</f>
        <v/>
      </c>
    </row>
    <row r="206" spans="1:16" x14ac:dyDescent="0.2">
      <c r="A206" t="str">
        <f>IF([1]Cheques!$A$207="","",[1]Cheques!$A$207)</f>
        <v/>
      </c>
      <c r="E206" t="str">
        <f>IF([1]Accounts!$D$207="","",[1]Accounts!$A$207)</f>
        <v>SL001</v>
      </c>
      <c r="F206" t="str">
        <f>IF([1]Accounts!$D$207="","",[1]Accounts!$B$207)</f>
        <v>فروشنده</v>
      </c>
      <c r="G206">
        <f>IF([1]Accounts!$D$207="","",[1]Accounts!$C$207)</f>
        <v>0</v>
      </c>
      <c r="H206" t="str">
        <f>IF([1]Accounts!$D$207="","",[1]Accounts!$D$207)</f>
        <v>قم-سید حسین حسینی</v>
      </c>
      <c r="L206" t="str">
        <f>IF([2]Entry!$C$209="","",[2]Entry!$C$209)</f>
        <v/>
      </c>
      <c r="M206" t="str">
        <f>IF([2]Entry!$J$209="","",[2]Entry!$J$209)</f>
        <v/>
      </c>
      <c r="N206" t="str">
        <f>IF([2]Entry!$M$209="","",[2]Entry!$M$209)</f>
        <v/>
      </c>
      <c r="O206" t="str">
        <f>IF([2]Entry!$N$209="","",[2]Entry!$N$209)</f>
        <v/>
      </c>
      <c r="P206" t="str">
        <f>IF([2]Entry!$S$209="","",[2]Entry!$S$209)</f>
        <v/>
      </c>
    </row>
    <row r="207" spans="1:16" x14ac:dyDescent="0.2">
      <c r="A207" t="str">
        <f>IF([1]Cheques!$A$208="","",[1]Cheques!$A$208)</f>
        <v/>
      </c>
      <c r="E207" t="str">
        <f>IF([1]Accounts!$D$208="","",[1]Accounts!$A$208)</f>
        <v>SL002</v>
      </c>
      <c r="F207" t="str">
        <f>IF([1]Accounts!$D$208="","",[1]Accounts!$B$208)</f>
        <v>فروشنده</v>
      </c>
      <c r="G207">
        <f>IF([1]Accounts!$D$208="","",[1]Accounts!$C$208)</f>
        <v>0</v>
      </c>
      <c r="H207" t="str">
        <f>IF([1]Accounts!$D$208="","",[1]Accounts!$D$208)</f>
        <v>مشهد-محمد توکلی</v>
      </c>
      <c r="L207" t="str">
        <f>IF([2]Entry!$C$210="","",[2]Entry!$C$210)</f>
        <v/>
      </c>
      <c r="M207" t="str">
        <f>IF([2]Entry!$J$210="","",[2]Entry!$J$210)</f>
        <v/>
      </c>
      <c r="N207" t="str">
        <f>IF([2]Entry!$M$210="","",[2]Entry!$M$210)</f>
        <v/>
      </c>
      <c r="O207" t="str">
        <f>IF([2]Entry!$N$210="","",[2]Entry!$N$210)</f>
        <v/>
      </c>
      <c r="P207" t="str">
        <f>IF([2]Entry!$S$210="","",[2]Entry!$S$210)</f>
        <v/>
      </c>
    </row>
    <row r="208" spans="1:16" x14ac:dyDescent="0.2">
      <c r="A208" t="str">
        <f>IF([1]Cheques!$A$209="","",[1]Cheques!$A$209)</f>
        <v/>
      </c>
      <c r="E208" t="str">
        <f>IF([1]Accounts!$D$209="","",[1]Accounts!$A$209)</f>
        <v>SL003</v>
      </c>
      <c r="F208" t="str">
        <f>IF([1]Accounts!$D$209="","",[1]Accounts!$B$209)</f>
        <v>فروشنده</v>
      </c>
      <c r="G208">
        <f>IF([1]Accounts!$D$209="","",[1]Accounts!$C$209)</f>
        <v>0</v>
      </c>
      <c r="H208" t="str">
        <f>IF([1]Accounts!$D$209="","",[1]Accounts!$D$209)</f>
        <v>اراک-پوریا خوشنمکیان</v>
      </c>
      <c r="L208" t="str">
        <f>IF([2]Entry!$C$211="","",[2]Entry!$C$211)</f>
        <v/>
      </c>
      <c r="M208" t="str">
        <f>IF([2]Entry!$J$211="","",[2]Entry!$J$211)</f>
        <v/>
      </c>
      <c r="N208" t="str">
        <f>IF([2]Entry!$M$211="","",[2]Entry!$M$211)</f>
        <v/>
      </c>
      <c r="O208" t="str">
        <f>IF([2]Entry!$N$211="","",[2]Entry!$N$211)</f>
        <v/>
      </c>
      <c r="P208" t="str">
        <f>IF([2]Entry!$S$211="","",[2]Entry!$S$211)</f>
        <v/>
      </c>
    </row>
    <row r="209" spans="1:16" x14ac:dyDescent="0.2">
      <c r="A209" t="str">
        <f>IF([1]Cheques!$A$210="","",[1]Cheques!$A$210)</f>
        <v/>
      </c>
      <c r="E209" t="str">
        <f>IF([1]Accounts!$D$210="","",[1]Accounts!$A$210)</f>
        <v>SL004</v>
      </c>
      <c r="F209" t="str">
        <f>IF([1]Accounts!$D$210="","",[1]Accounts!$B$210)</f>
        <v>فروشنده</v>
      </c>
      <c r="G209">
        <f>IF([1]Accounts!$D$210="","",[1]Accounts!$C$210)</f>
        <v>0</v>
      </c>
      <c r="H209" t="str">
        <f>IF([1]Accounts!$D$210="","",[1]Accounts!$D$210)</f>
        <v>نورزاده</v>
      </c>
      <c r="L209" t="str">
        <f>IF([2]Entry!$C$212="","",[2]Entry!$C$212)</f>
        <v/>
      </c>
      <c r="M209" t="str">
        <f>IF([2]Entry!$J$212="","",[2]Entry!$J$212)</f>
        <v/>
      </c>
      <c r="N209" t="str">
        <f>IF([2]Entry!$M$212="","",[2]Entry!$M$212)</f>
        <v/>
      </c>
      <c r="O209" t="str">
        <f>IF([2]Entry!$N$212="","",[2]Entry!$N$212)</f>
        <v/>
      </c>
      <c r="P209" t="str">
        <f>IF([2]Entry!$S$212="","",[2]Entry!$S$212)</f>
        <v/>
      </c>
    </row>
    <row r="210" spans="1:16" x14ac:dyDescent="0.2">
      <c r="A210" t="str">
        <f>IF([1]Cheques!$A$211="","",[1]Cheques!$A$211)</f>
        <v/>
      </c>
      <c r="E210" t="str">
        <f>IF([1]Accounts!$D$211="","",[1]Accounts!$A$211)</f>
        <v/>
      </c>
      <c r="F210" t="str">
        <f>IF([1]Accounts!$D$211="","",[1]Accounts!$B$211)</f>
        <v/>
      </c>
      <c r="G210" t="str">
        <f>IF([1]Accounts!$D$211="","",[1]Accounts!$C$211)</f>
        <v/>
      </c>
      <c r="H210" t="str">
        <f>IF([1]Accounts!$D$211="","",[1]Accounts!$D$211)</f>
        <v/>
      </c>
      <c r="L210" t="str">
        <f>IF([2]Entry!$C$213="","",[2]Entry!$C$213)</f>
        <v/>
      </c>
      <c r="M210" t="str">
        <f>IF([2]Entry!$J$213="","",[2]Entry!$J$213)</f>
        <v/>
      </c>
      <c r="N210" t="str">
        <f>IF([2]Entry!$M$213="","",[2]Entry!$M$213)</f>
        <v/>
      </c>
      <c r="O210" t="str">
        <f>IF([2]Entry!$N$213="","",[2]Entry!$N$213)</f>
        <v/>
      </c>
      <c r="P210" t="str">
        <f>IF([2]Entry!$S$213="","",[2]Entry!$S$213)</f>
        <v/>
      </c>
    </row>
    <row r="211" spans="1:16" x14ac:dyDescent="0.2">
      <c r="A211" t="str">
        <f>IF([1]Cheques!$A$212="","",[1]Cheques!$A$212)</f>
        <v/>
      </c>
      <c r="E211" t="str">
        <f>IF([1]Accounts!$D$212="","",[1]Accounts!$A$212)</f>
        <v/>
      </c>
      <c r="F211" t="str">
        <f>IF([1]Accounts!$D$212="","",[1]Accounts!$B$212)</f>
        <v/>
      </c>
      <c r="G211" t="str">
        <f>IF([1]Accounts!$D$212="","",[1]Accounts!$C$212)</f>
        <v/>
      </c>
      <c r="H211" t="str">
        <f>IF([1]Accounts!$D$212="","",[1]Accounts!$D$212)</f>
        <v/>
      </c>
      <c r="L211" t="str">
        <f>IF([2]Entry!$C$214="","",[2]Entry!$C$214)</f>
        <v/>
      </c>
      <c r="M211" t="str">
        <f>IF([2]Entry!$J$214="","",[2]Entry!$J$214)</f>
        <v/>
      </c>
      <c r="N211" t="str">
        <f>IF([2]Entry!$M$214="","",[2]Entry!$M$214)</f>
        <v/>
      </c>
      <c r="O211" t="str">
        <f>IF([2]Entry!$N$214="","",[2]Entry!$N$214)</f>
        <v/>
      </c>
      <c r="P211" t="str">
        <f>IF([2]Entry!$S$214="","",[2]Entry!$S$214)</f>
        <v/>
      </c>
    </row>
    <row r="212" spans="1:16" x14ac:dyDescent="0.2">
      <c r="A212" t="str">
        <f>IF([1]Cheques!$A$213="","",[1]Cheques!$A$213)</f>
        <v/>
      </c>
      <c r="E212" t="str">
        <f>IF([1]Accounts!$D$213="","",[1]Accounts!$A$213)</f>
        <v/>
      </c>
      <c r="F212" t="str">
        <f>IF([1]Accounts!$D$213="","",[1]Accounts!$B$213)</f>
        <v/>
      </c>
      <c r="G212" t="str">
        <f>IF([1]Accounts!$D$213="","",[1]Accounts!$C$213)</f>
        <v/>
      </c>
      <c r="H212" t="str">
        <f>IF([1]Accounts!$D$213="","",[1]Accounts!$D$213)</f>
        <v/>
      </c>
      <c r="L212" t="str">
        <f>IF([2]Entry!$C$215="","",[2]Entry!$C$215)</f>
        <v/>
      </c>
      <c r="M212" t="str">
        <f>IF([2]Entry!$J$215="","",[2]Entry!$J$215)</f>
        <v/>
      </c>
      <c r="N212" t="str">
        <f>IF([2]Entry!$M$215="","",[2]Entry!$M$215)</f>
        <v/>
      </c>
      <c r="O212" t="str">
        <f>IF([2]Entry!$N$215="","",[2]Entry!$N$215)</f>
        <v/>
      </c>
      <c r="P212" t="str">
        <f>IF([2]Entry!$S$215="","",[2]Entry!$S$215)</f>
        <v/>
      </c>
    </row>
    <row r="213" spans="1:16" x14ac:dyDescent="0.2">
      <c r="A213" t="str">
        <f>IF([1]Cheques!$A$214="","",[1]Cheques!$A$214)</f>
        <v/>
      </c>
      <c r="E213" t="str">
        <f>IF([1]Accounts!$D$214="","",[1]Accounts!$A$214)</f>
        <v/>
      </c>
      <c r="F213" t="str">
        <f>IF([1]Accounts!$D$214="","",[1]Accounts!$B$214)</f>
        <v/>
      </c>
      <c r="G213" t="str">
        <f>IF([1]Accounts!$D$214="","",[1]Accounts!$C$214)</f>
        <v/>
      </c>
      <c r="H213" t="str">
        <f>IF([1]Accounts!$D$214="","",[1]Accounts!$D$214)</f>
        <v/>
      </c>
      <c r="L213" t="str">
        <f>IF([2]Entry!$C$216="","",[2]Entry!$C$216)</f>
        <v/>
      </c>
      <c r="M213" t="str">
        <f>IF([2]Entry!$J$216="","",[2]Entry!$J$216)</f>
        <v/>
      </c>
      <c r="N213" t="str">
        <f>IF([2]Entry!$M$216="","",[2]Entry!$M$216)</f>
        <v/>
      </c>
      <c r="O213" t="str">
        <f>IF([2]Entry!$N$216="","",[2]Entry!$N$216)</f>
        <v/>
      </c>
      <c r="P213" t="str">
        <f>IF([2]Entry!$S$216="","",[2]Entry!$S$216)</f>
        <v/>
      </c>
    </row>
    <row r="214" spans="1:16" x14ac:dyDescent="0.2">
      <c r="A214" t="str">
        <f>IF([1]Cheques!$A$215="","",[1]Cheques!$A$215)</f>
        <v/>
      </c>
      <c r="E214" t="str">
        <f>IF([1]Accounts!$D$215="","",[1]Accounts!$A$215)</f>
        <v/>
      </c>
      <c r="F214" t="str">
        <f>IF([1]Accounts!$D$215="","",[1]Accounts!$B$215)</f>
        <v/>
      </c>
      <c r="G214" t="str">
        <f>IF([1]Accounts!$D$215="","",[1]Accounts!$C$215)</f>
        <v/>
      </c>
      <c r="H214" t="str">
        <f>IF([1]Accounts!$D$215="","",[1]Accounts!$D$215)</f>
        <v/>
      </c>
      <c r="L214" t="str">
        <f>IF([2]Entry!$C$217="","",[2]Entry!$C$217)</f>
        <v/>
      </c>
      <c r="M214" t="str">
        <f>IF([2]Entry!$J$217="","",[2]Entry!$J$217)</f>
        <v/>
      </c>
      <c r="N214" t="str">
        <f>IF([2]Entry!$M$217="","",[2]Entry!$M$217)</f>
        <v/>
      </c>
      <c r="O214" t="str">
        <f>IF([2]Entry!$N$217="","",[2]Entry!$N$217)</f>
        <v/>
      </c>
      <c r="P214" t="str">
        <f>IF([2]Entry!$S$217="","",[2]Entry!$S$217)</f>
        <v/>
      </c>
    </row>
    <row r="215" spans="1:16" x14ac:dyDescent="0.2">
      <c r="A215" t="str">
        <f>IF([1]Cheques!$A$216="","",[1]Cheques!$A$216)</f>
        <v/>
      </c>
      <c r="E215" t="str">
        <f>IF([1]Accounts!$D$216="","",[1]Accounts!$A$216)</f>
        <v/>
      </c>
      <c r="F215" t="str">
        <f>IF([1]Accounts!$D$216="","",[1]Accounts!$B$216)</f>
        <v/>
      </c>
      <c r="G215" t="str">
        <f>IF([1]Accounts!$D$216="","",[1]Accounts!$C$216)</f>
        <v/>
      </c>
      <c r="H215" t="str">
        <f>IF([1]Accounts!$D$216="","",[1]Accounts!$D$216)</f>
        <v/>
      </c>
      <c r="L215" t="str">
        <f>IF([2]Entry!$C$218="","",[2]Entry!$C$218)</f>
        <v/>
      </c>
      <c r="M215" t="str">
        <f>IF([2]Entry!$J$218="","",[2]Entry!$J$218)</f>
        <v/>
      </c>
      <c r="N215" t="str">
        <f>IF([2]Entry!$M$218="","",[2]Entry!$M$218)</f>
        <v/>
      </c>
      <c r="O215" t="str">
        <f>IF([2]Entry!$N$218="","",[2]Entry!$N$218)</f>
        <v/>
      </c>
      <c r="P215" t="str">
        <f>IF([2]Entry!$S$218="","",[2]Entry!$S$218)</f>
        <v/>
      </c>
    </row>
    <row r="216" spans="1:16" x14ac:dyDescent="0.2">
      <c r="A216" t="str">
        <f>IF([1]Cheques!$A$217="","",[1]Cheques!$A$217)</f>
        <v/>
      </c>
      <c r="E216" t="str">
        <f>IF([1]Accounts!$D$217="","",[1]Accounts!$A$217)</f>
        <v/>
      </c>
      <c r="F216" t="str">
        <f>IF([1]Accounts!$D$217="","",[1]Accounts!$B$217)</f>
        <v/>
      </c>
      <c r="G216" t="str">
        <f>IF([1]Accounts!$D$217="","",[1]Accounts!$C$217)</f>
        <v/>
      </c>
      <c r="H216" t="str">
        <f>IF([1]Accounts!$D$217="","",[1]Accounts!$D$217)</f>
        <v/>
      </c>
      <c r="L216" t="str">
        <f>IF([2]Entry!$C$219="","",[2]Entry!$C$219)</f>
        <v/>
      </c>
      <c r="M216" t="str">
        <f>IF([2]Entry!$J$219="","",[2]Entry!$J$219)</f>
        <v/>
      </c>
      <c r="N216" t="str">
        <f>IF([2]Entry!$M$219="","",[2]Entry!$M$219)</f>
        <v/>
      </c>
      <c r="O216" t="str">
        <f>IF([2]Entry!$N$219="","",[2]Entry!$N$219)</f>
        <v/>
      </c>
      <c r="P216" t="str">
        <f>IF([2]Entry!$S$219="","",[2]Entry!$S$219)</f>
        <v/>
      </c>
    </row>
    <row r="217" spans="1:16" x14ac:dyDescent="0.2">
      <c r="A217" t="str">
        <f>IF([1]Cheques!$A$218="","",[1]Cheques!$A$218)</f>
        <v/>
      </c>
      <c r="E217" t="str">
        <f>IF([1]Accounts!$D$218="","",[1]Accounts!$A$218)</f>
        <v/>
      </c>
      <c r="F217" t="str">
        <f>IF([1]Accounts!$D$218="","",[1]Accounts!$B$218)</f>
        <v/>
      </c>
      <c r="G217" t="str">
        <f>IF([1]Accounts!$D$218="","",[1]Accounts!$C$218)</f>
        <v/>
      </c>
      <c r="H217" t="str">
        <f>IF([1]Accounts!$D$218="","",[1]Accounts!$D$218)</f>
        <v/>
      </c>
      <c r="L217" t="str">
        <f>IF([2]Entry!$C$220="","",[2]Entry!$C$220)</f>
        <v/>
      </c>
      <c r="M217" t="str">
        <f>IF([2]Entry!$J$220="","",[2]Entry!$J$220)</f>
        <v/>
      </c>
      <c r="N217" t="str">
        <f>IF([2]Entry!$M$220="","",[2]Entry!$M$220)</f>
        <v/>
      </c>
      <c r="O217" t="str">
        <f>IF([2]Entry!$N$220="","",[2]Entry!$N$220)</f>
        <v/>
      </c>
      <c r="P217" t="str">
        <f>IF([2]Entry!$S$220="","",[2]Entry!$S$220)</f>
        <v/>
      </c>
    </row>
    <row r="218" spans="1:16" x14ac:dyDescent="0.2">
      <c r="A218" t="str">
        <f>IF([1]Cheques!$A$219="","",[1]Cheques!$A$219)</f>
        <v/>
      </c>
      <c r="E218" t="str">
        <f>IF([1]Accounts!$D$219="","",[1]Accounts!$A$219)</f>
        <v/>
      </c>
      <c r="F218" t="str">
        <f>IF([1]Accounts!$D$219="","",[1]Accounts!$B$219)</f>
        <v/>
      </c>
      <c r="G218" t="str">
        <f>IF([1]Accounts!$D$219="","",[1]Accounts!$C$219)</f>
        <v/>
      </c>
      <c r="H218" t="str">
        <f>IF([1]Accounts!$D$219="","",[1]Accounts!$D$219)</f>
        <v/>
      </c>
      <c r="L218" t="str">
        <f>IF([2]Entry!$C$221="","",[2]Entry!$C$221)</f>
        <v/>
      </c>
      <c r="M218" t="str">
        <f>IF([2]Entry!$J$221="","",[2]Entry!$J$221)</f>
        <v/>
      </c>
      <c r="N218" t="str">
        <f>IF([2]Entry!$M$221="","",[2]Entry!$M$221)</f>
        <v/>
      </c>
      <c r="O218" t="str">
        <f>IF([2]Entry!$N$221="","",[2]Entry!$N$221)</f>
        <v/>
      </c>
      <c r="P218" t="str">
        <f>IF([2]Entry!$S$221="","",[2]Entry!$S$221)</f>
        <v/>
      </c>
    </row>
    <row r="219" spans="1:16" x14ac:dyDescent="0.2">
      <c r="A219" t="str">
        <f>IF([1]Cheques!$A$220="","",[1]Cheques!$A$220)</f>
        <v/>
      </c>
      <c r="E219" t="str">
        <f>IF([1]Accounts!$D$220="","",[1]Accounts!$A$220)</f>
        <v/>
      </c>
      <c r="F219" t="str">
        <f>IF([1]Accounts!$D$220="","",[1]Accounts!$B$220)</f>
        <v/>
      </c>
      <c r="G219" t="str">
        <f>IF([1]Accounts!$D$220="","",[1]Accounts!$C$220)</f>
        <v/>
      </c>
      <c r="H219" t="str">
        <f>IF([1]Accounts!$D$220="","",[1]Accounts!$D$220)</f>
        <v/>
      </c>
      <c r="L219" t="str">
        <f>IF([2]Entry!$C$222="","",[2]Entry!$C$222)</f>
        <v/>
      </c>
      <c r="M219" t="str">
        <f>IF([2]Entry!$J$222="","",[2]Entry!$J$222)</f>
        <v/>
      </c>
      <c r="N219" t="str">
        <f>IF([2]Entry!$M$222="","",[2]Entry!$M$222)</f>
        <v/>
      </c>
      <c r="O219" t="str">
        <f>IF([2]Entry!$N$222="","",[2]Entry!$N$222)</f>
        <v/>
      </c>
      <c r="P219" t="str">
        <f>IF([2]Entry!$S$222="","",[2]Entry!$S$222)</f>
        <v/>
      </c>
    </row>
    <row r="220" spans="1:16" x14ac:dyDescent="0.2">
      <c r="A220" t="str">
        <f>IF([1]Cheques!$A$221="","",[1]Cheques!$A$221)</f>
        <v/>
      </c>
      <c r="E220" t="str">
        <f>IF([1]Accounts!$D$221="","",[1]Accounts!$A$221)</f>
        <v/>
      </c>
      <c r="F220" t="str">
        <f>IF([1]Accounts!$D$221="","",[1]Accounts!$B$221)</f>
        <v/>
      </c>
      <c r="G220" t="str">
        <f>IF([1]Accounts!$D$221="","",[1]Accounts!$C$221)</f>
        <v/>
      </c>
      <c r="H220" t="str">
        <f>IF([1]Accounts!$D$221="","",[1]Accounts!$D$221)</f>
        <v/>
      </c>
      <c r="L220" t="str">
        <f>IF([2]Entry!$C$223="","",[2]Entry!$C$223)</f>
        <v/>
      </c>
      <c r="M220" t="str">
        <f>IF([2]Entry!$J$223="","",[2]Entry!$J$223)</f>
        <v/>
      </c>
      <c r="N220" t="str">
        <f>IF([2]Entry!$M$223="","",[2]Entry!$M$223)</f>
        <v/>
      </c>
      <c r="O220" t="str">
        <f>IF([2]Entry!$N$223="","",[2]Entry!$N$223)</f>
        <v/>
      </c>
      <c r="P220" t="str">
        <f>IF([2]Entry!$S$223="","",[2]Entry!$S$223)</f>
        <v/>
      </c>
    </row>
    <row r="221" spans="1:16" x14ac:dyDescent="0.2">
      <c r="A221" t="str">
        <f>IF([1]Cheques!$A$222="","",[1]Cheques!$A$222)</f>
        <v/>
      </c>
      <c r="E221" t="str">
        <f>IF([1]Accounts!$D$222="","",[1]Accounts!$A$222)</f>
        <v/>
      </c>
      <c r="F221" t="str">
        <f>IF([1]Accounts!$D$222="","",[1]Accounts!$B$222)</f>
        <v/>
      </c>
      <c r="G221" t="str">
        <f>IF([1]Accounts!$D$222="","",[1]Accounts!$C$222)</f>
        <v/>
      </c>
      <c r="H221" t="str">
        <f>IF([1]Accounts!$D$222="","",[1]Accounts!$D$222)</f>
        <v/>
      </c>
      <c r="L221" t="str">
        <f>IF([2]Entry!$C$224="","",[2]Entry!$C$224)</f>
        <v/>
      </c>
      <c r="M221" t="str">
        <f>IF([2]Entry!$J$224="","",[2]Entry!$J$224)</f>
        <v/>
      </c>
      <c r="N221" t="str">
        <f>IF([2]Entry!$M$224="","",[2]Entry!$M$224)</f>
        <v/>
      </c>
      <c r="O221" t="str">
        <f>IF([2]Entry!$N$224="","",[2]Entry!$N$224)</f>
        <v/>
      </c>
      <c r="P221" t="str">
        <f>IF([2]Entry!$S$224="","",[2]Entry!$S$224)</f>
        <v/>
      </c>
    </row>
    <row r="222" spans="1:16" x14ac:dyDescent="0.2">
      <c r="A222" t="str">
        <f>IF([1]Cheques!$A$223="","",[1]Cheques!$A$223)</f>
        <v/>
      </c>
      <c r="E222" t="str">
        <f>IF([1]Accounts!$D$223="","",[1]Accounts!$A$223)</f>
        <v/>
      </c>
      <c r="F222" t="str">
        <f>IF([1]Accounts!$D$223="","",[1]Accounts!$B$223)</f>
        <v/>
      </c>
      <c r="G222" t="str">
        <f>IF([1]Accounts!$D$223="","",[1]Accounts!$C$223)</f>
        <v/>
      </c>
      <c r="H222" t="str">
        <f>IF([1]Accounts!$D$223="","",[1]Accounts!$D$223)</f>
        <v/>
      </c>
      <c r="L222" t="str">
        <f>IF([2]Entry!$C$225="","",[2]Entry!$C$225)</f>
        <v/>
      </c>
      <c r="M222" t="str">
        <f>IF([2]Entry!$J$225="","",[2]Entry!$J$225)</f>
        <v/>
      </c>
      <c r="N222" t="str">
        <f>IF([2]Entry!$M$225="","",[2]Entry!$M$225)</f>
        <v/>
      </c>
      <c r="O222" t="str">
        <f>IF([2]Entry!$N$225="","",[2]Entry!$N$225)</f>
        <v/>
      </c>
      <c r="P222" t="str">
        <f>IF([2]Entry!$S$225="","",[2]Entry!$S$225)</f>
        <v/>
      </c>
    </row>
    <row r="223" spans="1:16" x14ac:dyDescent="0.2">
      <c r="A223" t="str">
        <f>IF([1]Cheques!$A$224="","",[1]Cheques!$A$224)</f>
        <v/>
      </c>
      <c r="E223" t="str">
        <f>IF([1]Accounts!$D$224="","",[1]Accounts!$A$224)</f>
        <v/>
      </c>
      <c r="F223" t="str">
        <f>IF([1]Accounts!$D$224="","",[1]Accounts!$B$224)</f>
        <v/>
      </c>
      <c r="G223" t="str">
        <f>IF([1]Accounts!$D$224="","",[1]Accounts!$C$224)</f>
        <v/>
      </c>
      <c r="H223" t="str">
        <f>IF([1]Accounts!$D$224="","",[1]Accounts!$D$224)</f>
        <v/>
      </c>
      <c r="L223" t="str">
        <f>IF([2]Entry!$C$226="","",[2]Entry!$C$226)</f>
        <v/>
      </c>
      <c r="M223" t="str">
        <f>IF([2]Entry!$J$226="","",[2]Entry!$J$226)</f>
        <v/>
      </c>
      <c r="N223" t="str">
        <f>IF([2]Entry!$M$226="","",[2]Entry!$M$226)</f>
        <v/>
      </c>
      <c r="O223" t="str">
        <f>IF([2]Entry!$N$226="","",[2]Entry!$N$226)</f>
        <v/>
      </c>
      <c r="P223" t="str">
        <f>IF([2]Entry!$S$226="","",[2]Entry!$S$226)</f>
        <v/>
      </c>
    </row>
    <row r="224" spans="1:16" x14ac:dyDescent="0.2">
      <c r="A224" t="str">
        <f>IF([1]Cheques!$A$225="","",[1]Cheques!$A$225)</f>
        <v/>
      </c>
      <c r="E224" t="str">
        <f>IF([1]Accounts!$D$225="","",[1]Accounts!$A$225)</f>
        <v/>
      </c>
      <c r="F224" t="str">
        <f>IF([1]Accounts!$D$225="","",[1]Accounts!$B$225)</f>
        <v/>
      </c>
      <c r="G224" t="str">
        <f>IF([1]Accounts!$D$225="","",[1]Accounts!$C$225)</f>
        <v/>
      </c>
      <c r="H224" t="str">
        <f>IF([1]Accounts!$D$225="","",[1]Accounts!$D$225)</f>
        <v/>
      </c>
      <c r="L224" t="str">
        <f>IF([2]Entry!$C$227="","",[2]Entry!$C$227)</f>
        <v/>
      </c>
      <c r="M224" t="str">
        <f>IF([2]Entry!$J$227="","",[2]Entry!$J$227)</f>
        <v/>
      </c>
      <c r="N224" t="str">
        <f>IF([2]Entry!$M$227="","",[2]Entry!$M$227)</f>
        <v/>
      </c>
      <c r="O224" t="str">
        <f>IF([2]Entry!$N$227="","",[2]Entry!$N$227)</f>
        <v/>
      </c>
      <c r="P224" t="str">
        <f>IF([2]Entry!$S$227="","",[2]Entry!$S$227)</f>
        <v/>
      </c>
    </row>
    <row r="225" spans="1:16" x14ac:dyDescent="0.2">
      <c r="A225" t="str">
        <f>IF([1]Cheques!$A$226="","",[1]Cheques!$A$226)</f>
        <v/>
      </c>
      <c r="E225" t="str">
        <f>IF([1]Accounts!$D$226="","",[1]Accounts!$A$226)</f>
        <v/>
      </c>
      <c r="F225" t="str">
        <f>IF([1]Accounts!$D$226="","",[1]Accounts!$B$226)</f>
        <v/>
      </c>
      <c r="G225" t="str">
        <f>IF([1]Accounts!$D$226="","",[1]Accounts!$C$226)</f>
        <v/>
      </c>
      <c r="H225" t="str">
        <f>IF([1]Accounts!$D$226="","",[1]Accounts!$D$226)</f>
        <v/>
      </c>
      <c r="L225" t="str">
        <f>IF([2]Entry!$C$228="","",[2]Entry!$C$228)</f>
        <v/>
      </c>
      <c r="M225" t="str">
        <f>IF([2]Entry!$J$228="","",[2]Entry!$J$228)</f>
        <v/>
      </c>
      <c r="N225" t="str">
        <f>IF([2]Entry!$M$228="","",[2]Entry!$M$228)</f>
        <v/>
      </c>
      <c r="O225" t="str">
        <f>IF([2]Entry!$N$228="","",[2]Entry!$N$228)</f>
        <v/>
      </c>
      <c r="P225" t="str">
        <f>IF([2]Entry!$S$228="","",[2]Entry!$S$228)</f>
        <v/>
      </c>
    </row>
    <row r="226" spans="1:16" x14ac:dyDescent="0.2">
      <c r="A226" t="str">
        <f>IF([1]Cheques!$A$227="","",[1]Cheques!$A$227)</f>
        <v/>
      </c>
      <c r="E226" t="str">
        <f>IF([1]Accounts!$D$227="","",[1]Accounts!$A$227)</f>
        <v/>
      </c>
      <c r="F226" t="str">
        <f>IF([1]Accounts!$D$227="","",[1]Accounts!$B$227)</f>
        <v/>
      </c>
      <c r="G226" t="str">
        <f>IF([1]Accounts!$D$227="","",[1]Accounts!$C$227)</f>
        <v/>
      </c>
      <c r="H226" t="str">
        <f>IF([1]Accounts!$D$227="","",[1]Accounts!$D$227)</f>
        <v/>
      </c>
      <c r="L226" t="str">
        <f>IF([2]Entry!$C$229="","",[2]Entry!$C$229)</f>
        <v/>
      </c>
      <c r="M226" t="str">
        <f>IF([2]Entry!$J$229="","",[2]Entry!$J$229)</f>
        <v/>
      </c>
      <c r="N226" t="str">
        <f>IF([2]Entry!$M$229="","",[2]Entry!$M$229)</f>
        <v/>
      </c>
      <c r="O226" t="str">
        <f>IF([2]Entry!$N$229="","",[2]Entry!$N$229)</f>
        <v/>
      </c>
      <c r="P226" t="str">
        <f>IF([2]Entry!$S$229="","",[2]Entry!$S$229)</f>
        <v/>
      </c>
    </row>
    <row r="227" spans="1:16" x14ac:dyDescent="0.2">
      <c r="A227" t="str">
        <f>IF([1]Cheques!$A$228="","",[1]Cheques!$A$228)</f>
        <v/>
      </c>
      <c r="E227" t="str">
        <f>IF([1]Accounts!$D$228="","",[1]Accounts!$A$228)</f>
        <v/>
      </c>
      <c r="F227" t="str">
        <f>IF([1]Accounts!$D$228="","",[1]Accounts!$B$228)</f>
        <v/>
      </c>
      <c r="G227" t="str">
        <f>IF([1]Accounts!$D$228="","",[1]Accounts!$C$228)</f>
        <v/>
      </c>
      <c r="H227" t="str">
        <f>IF([1]Accounts!$D$228="","",[1]Accounts!$D$228)</f>
        <v/>
      </c>
      <c r="L227" t="str">
        <f>IF([2]Entry!$C$230="","",[2]Entry!$C$230)</f>
        <v/>
      </c>
      <c r="M227" t="str">
        <f>IF([2]Entry!$J$230="","",[2]Entry!$J$230)</f>
        <v/>
      </c>
      <c r="N227" t="str">
        <f>IF([2]Entry!$M$230="","",[2]Entry!$M$230)</f>
        <v/>
      </c>
      <c r="O227" t="str">
        <f>IF([2]Entry!$N$230="","",[2]Entry!$N$230)</f>
        <v/>
      </c>
      <c r="P227" t="str">
        <f>IF([2]Entry!$S$230="","",[2]Entry!$S$230)</f>
        <v/>
      </c>
    </row>
    <row r="228" spans="1:16" x14ac:dyDescent="0.2">
      <c r="A228" t="str">
        <f>IF([1]Cheques!$A$229="","",[1]Cheques!$A$229)</f>
        <v/>
      </c>
      <c r="E228" t="str">
        <f>IF([1]Accounts!$D$229="","",[1]Accounts!$A$229)</f>
        <v/>
      </c>
      <c r="F228" t="str">
        <f>IF([1]Accounts!$D$229="","",[1]Accounts!$B$229)</f>
        <v/>
      </c>
      <c r="G228" t="str">
        <f>IF([1]Accounts!$D$229="","",[1]Accounts!$C$229)</f>
        <v/>
      </c>
      <c r="H228" t="str">
        <f>IF([1]Accounts!$D$229="","",[1]Accounts!$D$229)</f>
        <v/>
      </c>
      <c r="L228" t="str">
        <f>IF([2]Entry!$C$231="","",[2]Entry!$C$231)</f>
        <v/>
      </c>
      <c r="M228" t="str">
        <f>IF([2]Entry!$J$231="","",[2]Entry!$J$231)</f>
        <v/>
      </c>
      <c r="N228" t="str">
        <f>IF([2]Entry!$M$231="","",[2]Entry!$M$231)</f>
        <v/>
      </c>
      <c r="O228" t="str">
        <f>IF([2]Entry!$N$231="","",[2]Entry!$N$231)</f>
        <v/>
      </c>
      <c r="P228" t="str">
        <f>IF([2]Entry!$S$231="","",[2]Entry!$S$231)</f>
        <v/>
      </c>
    </row>
    <row r="229" spans="1:16" x14ac:dyDescent="0.2">
      <c r="A229" t="str">
        <f>IF([1]Cheques!$A$230="","",[1]Cheques!$A$230)</f>
        <v/>
      </c>
      <c r="E229" t="str">
        <f>IF([1]Accounts!$D$230="","",[1]Accounts!$A$230)</f>
        <v/>
      </c>
      <c r="F229" t="str">
        <f>IF([1]Accounts!$D$230="","",[1]Accounts!$B$230)</f>
        <v/>
      </c>
      <c r="G229" t="str">
        <f>IF([1]Accounts!$D$230="","",[1]Accounts!$C$230)</f>
        <v/>
      </c>
      <c r="H229" t="str">
        <f>IF([1]Accounts!$D$230="","",[1]Accounts!$D$230)</f>
        <v/>
      </c>
      <c r="L229" t="str">
        <f>IF([2]Entry!$C$232="","",[2]Entry!$C$232)</f>
        <v/>
      </c>
      <c r="M229" t="str">
        <f>IF([2]Entry!$J$232="","",[2]Entry!$J$232)</f>
        <v/>
      </c>
      <c r="N229" t="str">
        <f>IF([2]Entry!$M$232="","",[2]Entry!$M$232)</f>
        <v/>
      </c>
      <c r="O229" t="str">
        <f>IF([2]Entry!$N$232="","",[2]Entry!$N$232)</f>
        <v/>
      </c>
      <c r="P229" t="str">
        <f>IF([2]Entry!$S$232="","",[2]Entry!$S$232)</f>
        <v/>
      </c>
    </row>
    <row r="230" spans="1:16" x14ac:dyDescent="0.2">
      <c r="A230" t="str">
        <f>IF([1]Cheques!$A$231="","",[1]Cheques!$A$231)</f>
        <v/>
      </c>
      <c r="E230" t="str">
        <f>IF([1]Accounts!$D$231="","",[1]Accounts!$A$231)</f>
        <v/>
      </c>
      <c r="F230" t="str">
        <f>IF([1]Accounts!$D$231="","",[1]Accounts!$B$231)</f>
        <v/>
      </c>
      <c r="G230" t="str">
        <f>IF([1]Accounts!$D$231="","",[1]Accounts!$C$231)</f>
        <v/>
      </c>
      <c r="H230" t="str">
        <f>IF([1]Accounts!$D$231="","",[1]Accounts!$D$231)</f>
        <v/>
      </c>
      <c r="L230" t="str">
        <f>IF([2]Entry!$C$233="","",[2]Entry!$C$233)</f>
        <v/>
      </c>
      <c r="M230" t="str">
        <f>IF([2]Entry!$J$233="","",[2]Entry!$J$233)</f>
        <v/>
      </c>
      <c r="N230" t="str">
        <f>IF([2]Entry!$M$233="","",[2]Entry!$M$233)</f>
        <v/>
      </c>
      <c r="O230" t="str">
        <f>IF([2]Entry!$N$233="","",[2]Entry!$N$233)</f>
        <v/>
      </c>
      <c r="P230" t="str">
        <f>IF([2]Entry!$S$233="","",[2]Entry!$S$233)</f>
        <v/>
      </c>
    </row>
    <row r="231" spans="1:16" x14ac:dyDescent="0.2">
      <c r="A231" t="str">
        <f>IF([1]Cheques!$A$232="","",[1]Cheques!$A$232)</f>
        <v/>
      </c>
      <c r="E231" t="str">
        <f>IF([1]Accounts!$D$232="","",[1]Accounts!$A$232)</f>
        <v/>
      </c>
      <c r="F231" t="str">
        <f>IF([1]Accounts!$D$232="","",[1]Accounts!$B$232)</f>
        <v/>
      </c>
      <c r="G231" t="str">
        <f>IF([1]Accounts!$D$232="","",[1]Accounts!$C$232)</f>
        <v/>
      </c>
      <c r="H231" t="str">
        <f>IF([1]Accounts!$D$232="","",[1]Accounts!$D$232)</f>
        <v/>
      </c>
      <c r="L231" t="str">
        <f>IF([2]Entry!$C$234="","",[2]Entry!$C$234)</f>
        <v/>
      </c>
      <c r="M231" t="str">
        <f>IF([2]Entry!$J$234="","",[2]Entry!$J$234)</f>
        <v/>
      </c>
      <c r="N231" t="str">
        <f>IF([2]Entry!$M$234="","",[2]Entry!$M$234)</f>
        <v/>
      </c>
      <c r="O231" t="str">
        <f>IF([2]Entry!$N$234="","",[2]Entry!$N$234)</f>
        <v/>
      </c>
      <c r="P231" t="str">
        <f>IF([2]Entry!$S$234="","",[2]Entry!$S$234)</f>
        <v/>
      </c>
    </row>
    <row r="232" spans="1:16" x14ac:dyDescent="0.2">
      <c r="A232" t="str">
        <f>IF([1]Cheques!$A$233="","",[1]Cheques!$A$233)</f>
        <v/>
      </c>
      <c r="E232" t="str">
        <f>IF([1]Accounts!$D$233="","",[1]Accounts!$A$233)</f>
        <v/>
      </c>
      <c r="F232" t="str">
        <f>IF([1]Accounts!$D$233="","",[1]Accounts!$B$233)</f>
        <v/>
      </c>
      <c r="G232" t="str">
        <f>IF([1]Accounts!$D$233="","",[1]Accounts!$C$233)</f>
        <v/>
      </c>
      <c r="H232" t="str">
        <f>IF([1]Accounts!$D$233="","",[1]Accounts!$D$233)</f>
        <v/>
      </c>
      <c r="L232" t="str">
        <f>IF([2]Entry!$C$235="","",[2]Entry!$C$235)</f>
        <v/>
      </c>
      <c r="M232" t="str">
        <f>IF([2]Entry!$J$235="","",[2]Entry!$J$235)</f>
        <v/>
      </c>
      <c r="N232" t="str">
        <f>IF([2]Entry!$M$235="","",[2]Entry!$M$235)</f>
        <v/>
      </c>
      <c r="O232" t="str">
        <f>IF([2]Entry!$N$235="","",[2]Entry!$N$235)</f>
        <v/>
      </c>
      <c r="P232" t="str">
        <f>IF([2]Entry!$S$235="","",[2]Entry!$S$235)</f>
        <v/>
      </c>
    </row>
    <row r="233" spans="1:16" x14ac:dyDescent="0.2">
      <c r="A233" t="str">
        <f>IF([1]Cheques!$A$234="","",[1]Cheques!$A$234)</f>
        <v/>
      </c>
      <c r="E233" t="str">
        <f>IF([1]Accounts!$D$234="","",[1]Accounts!$A$234)</f>
        <v/>
      </c>
      <c r="F233" t="str">
        <f>IF([1]Accounts!$D$234="","",[1]Accounts!$B$234)</f>
        <v/>
      </c>
      <c r="G233" t="str">
        <f>IF([1]Accounts!$D$234="","",[1]Accounts!$C$234)</f>
        <v/>
      </c>
      <c r="H233" t="str">
        <f>IF([1]Accounts!$D$234="","",[1]Accounts!$D$234)</f>
        <v/>
      </c>
      <c r="L233" t="str">
        <f>IF([2]Entry!$C$236="","",[2]Entry!$C$236)</f>
        <v/>
      </c>
      <c r="M233" t="str">
        <f>IF([2]Entry!$J$236="","",[2]Entry!$J$236)</f>
        <v/>
      </c>
      <c r="N233" t="str">
        <f>IF([2]Entry!$M$236="","",[2]Entry!$M$236)</f>
        <v/>
      </c>
      <c r="O233" t="str">
        <f>IF([2]Entry!$N$236="","",[2]Entry!$N$236)</f>
        <v/>
      </c>
      <c r="P233" t="str">
        <f>IF([2]Entry!$S$236="","",[2]Entry!$S$236)</f>
        <v/>
      </c>
    </row>
    <row r="234" spans="1:16" x14ac:dyDescent="0.2">
      <c r="A234" t="str">
        <f>IF([1]Cheques!$A$235="","",[1]Cheques!$A$235)</f>
        <v/>
      </c>
      <c r="E234" t="str">
        <f>IF([1]Accounts!$D$235="","",[1]Accounts!$A$235)</f>
        <v/>
      </c>
      <c r="F234" t="str">
        <f>IF([1]Accounts!$D$235="","",[1]Accounts!$B$235)</f>
        <v/>
      </c>
      <c r="G234" t="str">
        <f>IF([1]Accounts!$D$235="","",[1]Accounts!$C$235)</f>
        <v/>
      </c>
      <c r="H234" t="str">
        <f>IF([1]Accounts!$D$235="","",[1]Accounts!$D$235)</f>
        <v/>
      </c>
      <c r="L234" t="str">
        <f>IF([2]Entry!$C$237="","",[2]Entry!$C$237)</f>
        <v/>
      </c>
      <c r="M234" t="str">
        <f>IF([2]Entry!$J$237="","",[2]Entry!$J$237)</f>
        <v/>
      </c>
      <c r="N234" t="str">
        <f>IF([2]Entry!$M$237="","",[2]Entry!$M$237)</f>
        <v/>
      </c>
      <c r="O234" t="str">
        <f>IF([2]Entry!$N$237="","",[2]Entry!$N$237)</f>
        <v/>
      </c>
      <c r="P234" t="str">
        <f>IF([2]Entry!$S$237="","",[2]Entry!$S$237)</f>
        <v/>
      </c>
    </row>
    <row r="235" spans="1:16" x14ac:dyDescent="0.2">
      <c r="A235" t="str">
        <f>IF([1]Cheques!$A$236="","",[1]Cheques!$A$236)</f>
        <v/>
      </c>
      <c r="E235" t="str">
        <f>IF([1]Accounts!$D$236="","",[1]Accounts!$A$236)</f>
        <v/>
      </c>
      <c r="F235" t="str">
        <f>IF([1]Accounts!$D$236="","",[1]Accounts!$B$236)</f>
        <v/>
      </c>
      <c r="G235" t="str">
        <f>IF([1]Accounts!$D$236="","",[1]Accounts!$C$236)</f>
        <v/>
      </c>
      <c r="H235" t="str">
        <f>IF([1]Accounts!$D$236="","",[1]Accounts!$D$236)</f>
        <v/>
      </c>
      <c r="L235" t="str">
        <f>IF([2]Entry!$C$238="","",[2]Entry!$C$238)</f>
        <v/>
      </c>
      <c r="M235" t="str">
        <f>IF([2]Entry!$J$238="","",[2]Entry!$J$238)</f>
        <v/>
      </c>
      <c r="N235" t="str">
        <f>IF([2]Entry!$M$238="","",[2]Entry!$M$238)</f>
        <v/>
      </c>
      <c r="O235" t="str">
        <f>IF([2]Entry!$N$238="","",[2]Entry!$N$238)</f>
        <v/>
      </c>
      <c r="P235" t="str">
        <f>IF([2]Entry!$S$238="","",[2]Entry!$S$238)</f>
        <v/>
      </c>
    </row>
    <row r="236" spans="1:16" x14ac:dyDescent="0.2">
      <c r="A236" t="str">
        <f>IF([1]Cheques!$A$237="","",[1]Cheques!$A$237)</f>
        <v/>
      </c>
      <c r="E236" t="str">
        <f>IF([1]Accounts!$D$237="","",[1]Accounts!$A$237)</f>
        <v/>
      </c>
      <c r="F236" t="str">
        <f>IF([1]Accounts!$D$237="","",[1]Accounts!$B$237)</f>
        <v/>
      </c>
      <c r="G236" t="str">
        <f>IF([1]Accounts!$D$237="","",[1]Accounts!$C$237)</f>
        <v/>
      </c>
      <c r="H236" t="str">
        <f>IF([1]Accounts!$D$237="","",[1]Accounts!$D$237)</f>
        <v/>
      </c>
      <c r="L236" t="str">
        <f>IF([2]Entry!$C$239="","",[2]Entry!$C$239)</f>
        <v/>
      </c>
      <c r="M236" t="str">
        <f>IF([2]Entry!$J$239="","",[2]Entry!$J$239)</f>
        <v/>
      </c>
      <c r="N236" t="str">
        <f>IF([2]Entry!$M$239="","",[2]Entry!$M$239)</f>
        <v/>
      </c>
      <c r="O236" t="str">
        <f>IF([2]Entry!$N$239="","",[2]Entry!$N$239)</f>
        <v/>
      </c>
      <c r="P236" t="str">
        <f>IF([2]Entry!$S$239="","",[2]Entry!$S$239)</f>
        <v/>
      </c>
    </row>
    <row r="237" spans="1:16" x14ac:dyDescent="0.2">
      <c r="A237" t="str">
        <f>IF([1]Cheques!$A$238="","",[1]Cheques!$A$238)</f>
        <v/>
      </c>
      <c r="E237" t="str">
        <f>IF([1]Accounts!$D$238="","",[1]Accounts!$A$238)</f>
        <v/>
      </c>
      <c r="F237" t="str">
        <f>IF([1]Accounts!$D$238="","",[1]Accounts!$B$238)</f>
        <v/>
      </c>
      <c r="G237" t="str">
        <f>IF([1]Accounts!$D$238="","",[1]Accounts!$C$238)</f>
        <v/>
      </c>
      <c r="H237" t="str">
        <f>IF([1]Accounts!$D$238="","",[1]Accounts!$D$238)</f>
        <v/>
      </c>
      <c r="L237" t="str">
        <f>IF([2]Entry!$C$240="","",[2]Entry!$C$240)</f>
        <v/>
      </c>
      <c r="M237" t="str">
        <f>IF([2]Entry!$J$240="","",[2]Entry!$J$240)</f>
        <v/>
      </c>
      <c r="N237" t="str">
        <f>IF([2]Entry!$M$240="","",[2]Entry!$M$240)</f>
        <v/>
      </c>
      <c r="O237" t="str">
        <f>IF([2]Entry!$N$240="","",[2]Entry!$N$240)</f>
        <v/>
      </c>
      <c r="P237" t="str">
        <f>IF([2]Entry!$S$240="","",[2]Entry!$S$240)</f>
        <v/>
      </c>
    </row>
    <row r="238" spans="1:16" x14ac:dyDescent="0.2">
      <c r="A238" t="str">
        <f>IF([1]Cheques!$A$239="","",[1]Cheques!$A$239)</f>
        <v/>
      </c>
      <c r="E238" t="str">
        <f>IF([1]Accounts!$D$239="","",[1]Accounts!$A$239)</f>
        <v/>
      </c>
      <c r="F238" t="str">
        <f>IF([1]Accounts!$D$239="","",[1]Accounts!$B$239)</f>
        <v/>
      </c>
      <c r="G238" t="str">
        <f>IF([1]Accounts!$D$239="","",[1]Accounts!$C$239)</f>
        <v/>
      </c>
      <c r="H238" t="str">
        <f>IF([1]Accounts!$D$239="","",[1]Accounts!$D$239)</f>
        <v/>
      </c>
      <c r="L238" t="str">
        <f>IF([2]Entry!$C$241="","",[2]Entry!$C$241)</f>
        <v/>
      </c>
      <c r="M238" t="str">
        <f>IF([2]Entry!$J$241="","",[2]Entry!$J$241)</f>
        <v/>
      </c>
      <c r="N238" t="str">
        <f>IF([2]Entry!$M$241="","",[2]Entry!$M$241)</f>
        <v/>
      </c>
      <c r="O238" t="str">
        <f>IF([2]Entry!$N$241="","",[2]Entry!$N$241)</f>
        <v/>
      </c>
      <c r="P238" t="str">
        <f>IF([2]Entry!$S$241="","",[2]Entry!$S$241)</f>
        <v/>
      </c>
    </row>
    <row r="239" spans="1:16" x14ac:dyDescent="0.2">
      <c r="A239" t="str">
        <f>IF([1]Cheques!$A$240="","",[1]Cheques!$A$240)</f>
        <v/>
      </c>
      <c r="E239" t="str">
        <f>IF([1]Accounts!$D$240="","",[1]Accounts!$A$240)</f>
        <v/>
      </c>
      <c r="F239" t="str">
        <f>IF([1]Accounts!$D$240="","",[1]Accounts!$B$240)</f>
        <v/>
      </c>
      <c r="G239" t="str">
        <f>IF([1]Accounts!$D$240="","",[1]Accounts!$C$240)</f>
        <v/>
      </c>
      <c r="H239" t="str">
        <f>IF([1]Accounts!$D$240="","",[1]Accounts!$D$240)</f>
        <v/>
      </c>
      <c r="L239" t="str">
        <f>IF([2]Entry!$C$242="","",[2]Entry!$C$242)</f>
        <v/>
      </c>
      <c r="M239" t="str">
        <f>IF([2]Entry!$J$242="","",[2]Entry!$J$242)</f>
        <v/>
      </c>
      <c r="N239" t="str">
        <f>IF([2]Entry!$M$242="","",[2]Entry!$M$242)</f>
        <v/>
      </c>
      <c r="O239" t="str">
        <f>IF([2]Entry!$N$242="","",[2]Entry!$N$242)</f>
        <v/>
      </c>
      <c r="P239" t="str">
        <f>IF([2]Entry!$S$242="","",[2]Entry!$S$242)</f>
        <v/>
      </c>
    </row>
    <row r="240" spans="1:16" x14ac:dyDescent="0.2">
      <c r="A240" t="str">
        <f>IF([1]Cheques!$A$241="","",[1]Cheques!$A$241)</f>
        <v/>
      </c>
      <c r="E240" t="str">
        <f>IF([1]Accounts!$D$241="","",[1]Accounts!$A$241)</f>
        <v/>
      </c>
      <c r="F240" t="str">
        <f>IF([1]Accounts!$D$241="","",[1]Accounts!$B$241)</f>
        <v/>
      </c>
      <c r="G240" t="str">
        <f>IF([1]Accounts!$D$241="","",[1]Accounts!$C$241)</f>
        <v/>
      </c>
      <c r="H240" t="str">
        <f>IF([1]Accounts!$D$241="","",[1]Accounts!$D$241)</f>
        <v/>
      </c>
      <c r="L240" t="str">
        <f>IF([2]Entry!$C$243="","",[2]Entry!$C$243)</f>
        <v/>
      </c>
      <c r="M240" t="str">
        <f>IF([2]Entry!$J$243="","",[2]Entry!$J$243)</f>
        <v/>
      </c>
      <c r="N240" t="str">
        <f>IF([2]Entry!$M$243="","",[2]Entry!$M$243)</f>
        <v/>
      </c>
      <c r="O240" t="str">
        <f>IF([2]Entry!$N$243="","",[2]Entry!$N$243)</f>
        <v/>
      </c>
      <c r="P240" t="str">
        <f>IF([2]Entry!$S$243="","",[2]Entry!$S$243)</f>
        <v/>
      </c>
    </row>
    <row r="241" spans="1:16" x14ac:dyDescent="0.2">
      <c r="A241" t="str">
        <f>IF([1]Cheques!$A$242="","",[1]Cheques!$A$242)</f>
        <v/>
      </c>
      <c r="E241" t="str">
        <f>IF([1]Accounts!$D$242="","",[1]Accounts!$A$242)</f>
        <v/>
      </c>
      <c r="F241" t="str">
        <f>IF([1]Accounts!$D$242="","",[1]Accounts!$B$242)</f>
        <v/>
      </c>
      <c r="G241" t="str">
        <f>IF([1]Accounts!$D$242="","",[1]Accounts!$C$242)</f>
        <v/>
      </c>
      <c r="H241" t="str">
        <f>IF([1]Accounts!$D$242="","",[1]Accounts!$D$242)</f>
        <v/>
      </c>
      <c r="L241" t="str">
        <f>IF([2]Entry!$C$244="","",[2]Entry!$C$244)</f>
        <v/>
      </c>
      <c r="M241" t="str">
        <f>IF([2]Entry!$J$244="","",[2]Entry!$J$244)</f>
        <v/>
      </c>
      <c r="N241" t="str">
        <f>IF([2]Entry!$M$244="","",[2]Entry!$M$244)</f>
        <v/>
      </c>
      <c r="O241" t="str">
        <f>IF([2]Entry!$N$244="","",[2]Entry!$N$244)</f>
        <v/>
      </c>
      <c r="P241" t="str">
        <f>IF([2]Entry!$S$244="","",[2]Entry!$S$244)</f>
        <v/>
      </c>
    </row>
    <row r="242" spans="1:16" x14ac:dyDescent="0.2">
      <c r="A242" t="str">
        <f>IF([1]Cheques!$A$243="","",[1]Cheques!$A$243)</f>
        <v/>
      </c>
      <c r="E242" t="str">
        <f>IF([1]Accounts!$D$243="","",[1]Accounts!$A$243)</f>
        <v/>
      </c>
      <c r="F242" t="str">
        <f>IF([1]Accounts!$D$243="","",[1]Accounts!$B$243)</f>
        <v/>
      </c>
      <c r="G242" t="str">
        <f>IF([1]Accounts!$D$243="","",[1]Accounts!$C$243)</f>
        <v/>
      </c>
      <c r="H242" t="str">
        <f>IF([1]Accounts!$D$243="","",[1]Accounts!$D$243)</f>
        <v/>
      </c>
      <c r="L242" t="str">
        <f>IF([2]Entry!$C$245="","",[2]Entry!$C$245)</f>
        <v/>
      </c>
      <c r="M242" t="str">
        <f>IF([2]Entry!$J$245="","",[2]Entry!$J$245)</f>
        <v/>
      </c>
      <c r="N242" t="str">
        <f>IF([2]Entry!$M$245="","",[2]Entry!$M$245)</f>
        <v/>
      </c>
      <c r="O242" t="str">
        <f>IF([2]Entry!$N$245="","",[2]Entry!$N$245)</f>
        <v/>
      </c>
      <c r="P242" t="str">
        <f>IF([2]Entry!$S$245="","",[2]Entry!$S$245)</f>
        <v/>
      </c>
    </row>
    <row r="243" spans="1:16" x14ac:dyDescent="0.2">
      <c r="A243" t="str">
        <f>IF([1]Cheques!$A$244="","",[1]Cheques!$A$244)</f>
        <v/>
      </c>
      <c r="E243" t="str">
        <f>IF([1]Accounts!$D$244="","",[1]Accounts!$A$244)</f>
        <v/>
      </c>
      <c r="F243" t="str">
        <f>IF([1]Accounts!$D$244="","",[1]Accounts!$B$244)</f>
        <v/>
      </c>
      <c r="G243" t="str">
        <f>IF([1]Accounts!$D$244="","",[1]Accounts!$C$244)</f>
        <v/>
      </c>
      <c r="H243" t="str">
        <f>IF([1]Accounts!$D$244="","",[1]Accounts!$D$244)</f>
        <v/>
      </c>
      <c r="L243" t="str">
        <f>IF([2]Entry!$C$246="","",[2]Entry!$C$246)</f>
        <v/>
      </c>
      <c r="M243" t="str">
        <f>IF([2]Entry!$J$246="","",[2]Entry!$J$246)</f>
        <v/>
      </c>
      <c r="N243" t="str">
        <f>IF([2]Entry!$M$246="","",[2]Entry!$M$246)</f>
        <v/>
      </c>
      <c r="O243" t="str">
        <f>IF([2]Entry!$N$246="","",[2]Entry!$N$246)</f>
        <v/>
      </c>
      <c r="P243" t="str">
        <f>IF([2]Entry!$S$246="","",[2]Entry!$S$246)</f>
        <v/>
      </c>
    </row>
    <row r="244" spans="1:16" x14ac:dyDescent="0.2">
      <c r="A244" t="str">
        <f>IF([1]Cheques!$A$245="","",[1]Cheques!$A$245)</f>
        <v/>
      </c>
      <c r="E244" t="str">
        <f>IF([1]Accounts!$D$245="","",[1]Accounts!$A$245)</f>
        <v/>
      </c>
      <c r="F244" t="str">
        <f>IF([1]Accounts!$D$245="","",[1]Accounts!$B$245)</f>
        <v/>
      </c>
      <c r="G244" t="str">
        <f>IF([1]Accounts!$D$245="","",[1]Accounts!$C$245)</f>
        <v/>
      </c>
      <c r="H244" t="str">
        <f>IF([1]Accounts!$D$245="","",[1]Accounts!$D$245)</f>
        <v/>
      </c>
      <c r="L244" t="str">
        <f>IF([2]Entry!$C$247="","",[2]Entry!$C$247)</f>
        <v/>
      </c>
      <c r="M244" t="str">
        <f>IF([2]Entry!$J$247="","",[2]Entry!$J$247)</f>
        <v/>
      </c>
      <c r="N244" t="str">
        <f>IF([2]Entry!$M$247="","",[2]Entry!$M$247)</f>
        <v/>
      </c>
      <c r="O244" t="str">
        <f>IF([2]Entry!$N$247="","",[2]Entry!$N$247)</f>
        <v/>
      </c>
      <c r="P244" t="str">
        <f>IF([2]Entry!$S$247="","",[2]Entry!$S$247)</f>
        <v/>
      </c>
    </row>
    <row r="245" spans="1:16" x14ac:dyDescent="0.2">
      <c r="A245" t="str">
        <f>IF([1]Cheques!$A$246="","",[1]Cheques!$A$246)</f>
        <v/>
      </c>
      <c r="E245" t="str">
        <f>IF([1]Accounts!$D$246="","",[1]Accounts!$A$246)</f>
        <v/>
      </c>
      <c r="F245" t="str">
        <f>IF([1]Accounts!$D$246="","",[1]Accounts!$B$246)</f>
        <v/>
      </c>
      <c r="G245" t="str">
        <f>IF([1]Accounts!$D$246="","",[1]Accounts!$C$246)</f>
        <v/>
      </c>
      <c r="H245" t="str">
        <f>IF([1]Accounts!$D$246="","",[1]Accounts!$D$246)</f>
        <v/>
      </c>
      <c r="L245" t="str">
        <f>IF([2]Entry!$C$248="","",[2]Entry!$C$248)</f>
        <v/>
      </c>
      <c r="M245" t="str">
        <f>IF([2]Entry!$J$248="","",[2]Entry!$J$248)</f>
        <v/>
      </c>
      <c r="N245" t="str">
        <f>IF([2]Entry!$M$248="","",[2]Entry!$M$248)</f>
        <v/>
      </c>
      <c r="O245" t="str">
        <f>IF([2]Entry!$N$248="","",[2]Entry!$N$248)</f>
        <v/>
      </c>
      <c r="P245" t="str">
        <f>IF([2]Entry!$S$248="","",[2]Entry!$S$248)</f>
        <v/>
      </c>
    </row>
    <row r="246" spans="1:16" x14ac:dyDescent="0.2">
      <c r="A246" t="str">
        <f>IF([1]Cheques!$A$247="","",[1]Cheques!$A$247)</f>
        <v/>
      </c>
      <c r="E246" t="str">
        <f>IF([1]Accounts!$D$247="","",[1]Accounts!$A$247)</f>
        <v/>
      </c>
      <c r="F246" t="str">
        <f>IF([1]Accounts!$D$247="","",[1]Accounts!$B$247)</f>
        <v/>
      </c>
      <c r="G246" t="str">
        <f>IF([1]Accounts!$D$247="","",[1]Accounts!$C$247)</f>
        <v/>
      </c>
      <c r="H246" t="str">
        <f>IF([1]Accounts!$D$247="","",[1]Accounts!$D$247)</f>
        <v/>
      </c>
      <c r="L246" t="str">
        <f>IF([2]Entry!$C$249="","",[2]Entry!$C$249)</f>
        <v/>
      </c>
      <c r="M246" t="str">
        <f>IF([2]Entry!$J$249="","",[2]Entry!$J$249)</f>
        <v/>
      </c>
      <c r="N246" t="str">
        <f>IF([2]Entry!$M$249="","",[2]Entry!$M$249)</f>
        <v/>
      </c>
      <c r="O246" t="str">
        <f>IF([2]Entry!$N$249="","",[2]Entry!$N$249)</f>
        <v/>
      </c>
      <c r="P246" t="str">
        <f>IF([2]Entry!$S$249="","",[2]Entry!$S$249)</f>
        <v/>
      </c>
    </row>
    <row r="247" spans="1:16" x14ac:dyDescent="0.2">
      <c r="A247" t="str">
        <f>IF([1]Cheques!$A$248="","",[1]Cheques!$A$248)</f>
        <v/>
      </c>
      <c r="E247" t="str">
        <f>IF([1]Accounts!$D$248="","",[1]Accounts!$A$248)</f>
        <v/>
      </c>
      <c r="F247" t="str">
        <f>IF([1]Accounts!$D$248="","",[1]Accounts!$B$248)</f>
        <v/>
      </c>
      <c r="G247" t="str">
        <f>IF([1]Accounts!$D$248="","",[1]Accounts!$C$248)</f>
        <v/>
      </c>
      <c r="H247" t="str">
        <f>IF([1]Accounts!$D$248="","",[1]Accounts!$D$248)</f>
        <v/>
      </c>
      <c r="L247" t="str">
        <f>IF([2]Entry!$C$250="","",[2]Entry!$C$250)</f>
        <v/>
      </c>
      <c r="M247" t="str">
        <f>IF([2]Entry!$J$250="","",[2]Entry!$J$250)</f>
        <v/>
      </c>
      <c r="N247" t="str">
        <f>IF([2]Entry!$M$250="","",[2]Entry!$M$250)</f>
        <v/>
      </c>
      <c r="O247" t="str">
        <f>IF([2]Entry!$N$250="","",[2]Entry!$N$250)</f>
        <v/>
      </c>
      <c r="P247" t="str">
        <f>IF([2]Entry!$S$250="","",[2]Entry!$S$250)</f>
        <v/>
      </c>
    </row>
    <row r="248" spans="1:16" x14ac:dyDescent="0.2">
      <c r="A248" t="str">
        <f>IF([1]Cheques!$A$249="","",[1]Cheques!$A$249)</f>
        <v/>
      </c>
      <c r="E248" t="str">
        <f>IF([1]Accounts!$D$249="","",[1]Accounts!$A$249)</f>
        <v/>
      </c>
      <c r="F248" t="str">
        <f>IF([1]Accounts!$D$249="","",[1]Accounts!$B$249)</f>
        <v/>
      </c>
      <c r="G248" t="str">
        <f>IF([1]Accounts!$D$249="","",[1]Accounts!$C$249)</f>
        <v/>
      </c>
      <c r="H248" t="str">
        <f>IF([1]Accounts!$D$249="","",[1]Accounts!$D$249)</f>
        <v/>
      </c>
      <c r="L248" t="str">
        <f>IF([2]Entry!$C$251="","",[2]Entry!$C$251)</f>
        <v/>
      </c>
      <c r="M248" t="str">
        <f>IF([2]Entry!$J$251="","",[2]Entry!$J$251)</f>
        <v/>
      </c>
      <c r="N248" t="str">
        <f>IF([2]Entry!$M$251="","",[2]Entry!$M$251)</f>
        <v/>
      </c>
      <c r="O248" t="str">
        <f>IF([2]Entry!$N$251="","",[2]Entry!$N$251)</f>
        <v/>
      </c>
      <c r="P248" t="str">
        <f>IF([2]Entry!$S$251="","",[2]Entry!$S$251)</f>
        <v/>
      </c>
    </row>
    <row r="249" spans="1:16" x14ac:dyDescent="0.2">
      <c r="A249" t="str">
        <f>IF([1]Cheques!$A$250="","",[1]Cheques!$A$250)</f>
        <v/>
      </c>
      <c r="E249" t="str">
        <f>IF([1]Accounts!$D$250="","",[1]Accounts!$A$250)</f>
        <v/>
      </c>
      <c r="F249" t="str">
        <f>IF([1]Accounts!$D$250="","",[1]Accounts!$B$250)</f>
        <v/>
      </c>
      <c r="G249" t="str">
        <f>IF([1]Accounts!$D$250="","",[1]Accounts!$C$250)</f>
        <v/>
      </c>
      <c r="H249" t="str">
        <f>IF([1]Accounts!$D$250="","",[1]Accounts!$D$250)</f>
        <v/>
      </c>
      <c r="L249" t="str">
        <f>IF([2]Entry!$C$252="","",[2]Entry!$C$252)</f>
        <v/>
      </c>
      <c r="M249" t="str">
        <f>IF([2]Entry!$J$252="","",[2]Entry!$J$252)</f>
        <v/>
      </c>
      <c r="N249" t="str">
        <f>IF([2]Entry!$M$252="","",[2]Entry!$M$252)</f>
        <v/>
      </c>
      <c r="O249" t="str">
        <f>IF([2]Entry!$N$252="","",[2]Entry!$N$252)</f>
        <v/>
      </c>
      <c r="P249" t="str">
        <f>IF([2]Entry!$S$252="","",[2]Entry!$S$252)</f>
        <v/>
      </c>
    </row>
    <row r="250" spans="1:16" x14ac:dyDescent="0.2">
      <c r="A250" t="str">
        <f>IF([1]Cheques!$A$251="","",[1]Cheques!$A$251)</f>
        <v/>
      </c>
      <c r="E250" t="str">
        <f>IF([1]Accounts!$D$251="","",[1]Accounts!$A$251)</f>
        <v/>
      </c>
      <c r="F250" t="str">
        <f>IF([1]Accounts!$D$251="","",[1]Accounts!$B$251)</f>
        <v/>
      </c>
      <c r="G250" t="str">
        <f>IF([1]Accounts!$D$251="","",[1]Accounts!$C$251)</f>
        <v/>
      </c>
      <c r="H250" t="str">
        <f>IF([1]Accounts!$D$251="","",[1]Accounts!$D$251)</f>
        <v/>
      </c>
      <c r="L250" t="str">
        <f>IF([2]Entry!$C$253="","",[2]Entry!$C$253)</f>
        <v/>
      </c>
      <c r="M250" t="str">
        <f>IF([2]Entry!$J$253="","",[2]Entry!$J$253)</f>
        <v/>
      </c>
      <c r="N250" t="str">
        <f>IF([2]Entry!$M$253="","",[2]Entry!$M$253)</f>
        <v/>
      </c>
      <c r="O250" t="str">
        <f>IF([2]Entry!$N$253="","",[2]Entry!$N$253)</f>
        <v/>
      </c>
      <c r="P250" t="str">
        <f>IF([2]Entry!$S$253="","",[2]Entry!$S$253)</f>
        <v/>
      </c>
    </row>
    <row r="251" spans="1:16" x14ac:dyDescent="0.2">
      <c r="A251" t="str">
        <f>IF([1]Cheques!$A$252="","",[1]Cheques!$A$252)</f>
        <v/>
      </c>
      <c r="E251" t="str">
        <f>IF([1]Accounts!$D$252="","",[1]Accounts!$A$252)</f>
        <v/>
      </c>
      <c r="F251" t="str">
        <f>IF([1]Accounts!$D$252="","",[1]Accounts!$B$252)</f>
        <v/>
      </c>
      <c r="G251" t="str">
        <f>IF([1]Accounts!$D$252="","",[1]Accounts!$C$252)</f>
        <v/>
      </c>
      <c r="H251" t="str">
        <f>IF([1]Accounts!$D$252="","",[1]Accounts!$D$252)</f>
        <v/>
      </c>
      <c r="L251" t="str">
        <f>IF([2]Entry!$C$254="","",[2]Entry!$C$254)</f>
        <v/>
      </c>
      <c r="M251" t="str">
        <f>IF([2]Entry!$J$254="","",[2]Entry!$J$254)</f>
        <v/>
      </c>
      <c r="N251" t="str">
        <f>IF([2]Entry!$M$254="","",[2]Entry!$M$254)</f>
        <v/>
      </c>
      <c r="O251" t="str">
        <f>IF([2]Entry!$N$254="","",[2]Entry!$N$254)</f>
        <v/>
      </c>
      <c r="P251" t="str">
        <f>IF([2]Entry!$S$254="","",[2]Entry!$S$254)</f>
        <v/>
      </c>
    </row>
    <row r="252" spans="1:16" x14ac:dyDescent="0.2">
      <c r="A252" t="str">
        <f>IF([1]Cheques!$A$253="","",[1]Cheques!$A$253)</f>
        <v/>
      </c>
      <c r="E252" t="str">
        <f>IF([1]Accounts!$D$253="","",[1]Accounts!$A$253)</f>
        <v/>
      </c>
      <c r="F252" t="str">
        <f>IF([1]Accounts!$D$253="","",[1]Accounts!$B$253)</f>
        <v/>
      </c>
      <c r="G252" t="str">
        <f>IF([1]Accounts!$D$253="","",[1]Accounts!$C$253)</f>
        <v/>
      </c>
      <c r="H252" t="str">
        <f>IF([1]Accounts!$D$253="","",[1]Accounts!$D$253)</f>
        <v/>
      </c>
      <c r="L252" t="str">
        <f>IF([2]Entry!$C$255="","",[2]Entry!$C$255)</f>
        <v/>
      </c>
      <c r="M252" t="str">
        <f>IF([2]Entry!$J$255="","",[2]Entry!$J$255)</f>
        <v/>
      </c>
      <c r="N252" t="str">
        <f>IF([2]Entry!$M$255="","",[2]Entry!$M$255)</f>
        <v/>
      </c>
      <c r="O252" t="str">
        <f>IF([2]Entry!$N$255="","",[2]Entry!$N$255)</f>
        <v/>
      </c>
      <c r="P252" t="str">
        <f>IF([2]Entry!$S$255="","",[2]Entry!$S$255)</f>
        <v/>
      </c>
    </row>
    <row r="253" spans="1:16" x14ac:dyDescent="0.2">
      <c r="A253" t="str">
        <f>IF([1]Cheques!$A$254="","",[1]Cheques!$A$254)</f>
        <v/>
      </c>
      <c r="E253" t="str">
        <f>IF([1]Accounts!$D$254="","",[1]Accounts!$A$254)</f>
        <v/>
      </c>
      <c r="F253" t="str">
        <f>IF([1]Accounts!$D$254="","",[1]Accounts!$B$254)</f>
        <v/>
      </c>
      <c r="G253" t="str">
        <f>IF([1]Accounts!$D$254="","",[1]Accounts!$C$254)</f>
        <v/>
      </c>
      <c r="H253" t="str">
        <f>IF([1]Accounts!$D$254="","",[1]Accounts!$D$254)</f>
        <v/>
      </c>
      <c r="L253" t="str">
        <f>IF([2]Entry!$C$256="","",[2]Entry!$C$256)</f>
        <v/>
      </c>
      <c r="M253" t="str">
        <f>IF([2]Entry!$J$256="","",[2]Entry!$J$256)</f>
        <v/>
      </c>
      <c r="N253" t="str">
        <f>IF([2]Entry!$M$256="","",[2]Entry!$M$256)</f>
        <v/>
      </c>
      <c r="O253" t="str">
        <f>IF([2]Entry!$N$256="","",[2]Entry!$N$256)</f>
        <v/>
      </c>
      <c r="P253" t="str">
        <f>IF([2]Entry!$S$256="","",[2]Entry!$S$256)</f>
        <v/>
      </c>
    </row>
    <row r="254" spans="1:16" x14ac:dyDescent="0.2">
      <c r="A254" t="str">
        <f>IF([1]Cheques!$A$255="","",[1]Cheques!$A$255)</f>
        <v/>
      </c>
      <c r="E254" t="str">
        <f>IF([1]Accounts!$D$255="","",[1]Accounts!$A$255)</f>
        <v/>
      </c>
      <c r="F254" t="str">
        <f>IF([1]Accounts!$D$255="","",[1]Accounts!$B$255)</f>
        <v/>
      </c>
      <c r="G254" t="str">
        <f>IF([1]Accounts!$D$255="","",[1]Accounts!$C$255)</f>
        <v/>
      </c>
      <c r="H254" t="str">
        <f>IF([1]Accounts!$D$255="","",[1]Accounts!$D$255)</f>
        <v/>
      </c>
      <c r="L254" t="str">
        <f>IF([2]Entry!$C$257="","",[2]Entry!$C$257)</f>
        <v/>
      </c>
      <c r="M254" t="str">
        <f>IF([2]Entry!$J$257="","",[2]Entry!$J$257)</f>
        <v/>
      </c>
      <c r="N254" t="str">
        <f>IF([2]Entry!$M$257="","",[2]Entry!$M$257)</f>
        <v/>
      </c>
      <c r="O254" t="str">
        <f>IF([2]Entry!$N$257="","",[2]Entry!$N$257)</f>
        <v/>
      </c>
      <c r="P254" t="str">
        <f>IF([2]Entry!$S$257="","",[2]Entry!$S$257)</f>
        <v/>
      </c>
    </row>
    <row r="255" spans="1:16" x14ac:dyDescent="0.2">
      <c r="A255" t="str">
        <f>IF([1]Cheques!$A$256="","",[1]Cheques!$A$256)</f>
        <v/>
      </c>
      <c r="E255" t="str">
        <f>IF([1]Accounts!$D$256="","",[1]Accounts!$A$256)</f>
        <v/>
      </c>
      <c r="F255" t="str">
        <f>IF([1]Accounts!$D$256="","",[1]Accounts!$B$256)</f>
        <v/>
      </c>
      <c r="G255" t="str">
        <f>IF([1]Accounts!$D$256="","",[1]Accounts!$C$256)</f>
        <v/>
      </c>
      <c r="H255" t="str">
        <f>IF([1]Accounts!$D$256="","",[1]Accounts!$D$256)</f>
        <v/>
      </c>
      <c r="L255" t="str">
        <f>IF([2]Entry!$C$258="","",[2]Entry!$C$258)</f>
        <v/>
      </c>
      <c r="M255" t="str">
        <f>IF([2]Entry!$J$258="","",[2]Entry!$J$258)</f>
        <v/>
      </c>
      <c r="N255" t="str">
        <f>IF([2]Entry!$M$258="","",[2]Entry!$M$258)</f>
        <v/>
      </c>
      <c r="O255" t="str">
        <f>IF([2]Entry!$N$258="","",[2]Entry!$N$258)</f>
        <v/>
      </c>
      <c r="P255" t="str">
        <f>IF([2]Entry!$S$258="","",[2]Entry!$S$258)</f>
        <v/>
      </c>
    </row>
    <row r="256" spans="1:16" x14ac:dyDescent="0.2">
      <c r="A256" t="str">
        <f>IF([1]Cheques!$A$257="","",[1]Cheques!$A$257)</f>
        <v/>
      </c>
      <c r="E256" t="str">
        <f>IF([1]Accounts!$D$257="","",[1]Accounts!$A$257)</f>
        <v/>
      </c>
      <c r="F256" t="str">
        <f>IF([1]Accounts!$D$257="","",[1]Accounts!$B$257)</f>
        <v/>
      </c>
      <c r="G256" t="str">
        <f>IF([1]Accounts!$D$257="","",[1]Accounts!$C$257)</f>
        <v/>
      </c>
      <c r="H256" t="str">
        <f>IF([1]Accounts!$D$257="","",[1]Accounts!$D$257)</f>
        <v/>
      </c>
      <c r="L256" t="str">
        <f>IF([2]Entry!$C$259="","",[2]Entry!$C$259)</f>
        <v/>
      </c>
      <c r="M256" t="str">
        <f>IF([2]Entry!$J$259="","",[2]Entry!$J$259)</f>
        <v/>
      </c>
      <c r="N256" t="str">
        <f>IF([2]Entry!$M$259="","",[2]Entry!$M$259)</f>
        <v/>
      </c>
      <c r="O256" t="str">
        <f>IF([2]Entry!$N$259="","",[2]Entry!$N$259)</f>
        <v/>
      </c>
      <c r="P256" t="str">
        <f>IF([2]Entry!$S$259="","",[2]Entry!$S$259)</f>
        <v/>
      </c>
    </row>
    <row r="257" spans="1:16" x14ac:dyDescent="0.2">
      <c r="A257" t="str">
        <f>IF([1]Cheques!$A$258="","",[1]Cheques!$A$258)</f>
        <v/>
      </c>
      <c r="E257" t="str">
        <f>IF([1]Accounts!$D$258="","",[1]Accounts!$A$258)</f>
        <v/>
      </c>
      <c r="F257" t="str">
        <f>IF([1]Accounts!$D$258="","",[1]Accounts!$B$258)</f>
        <v/>
      </c>
      <c r="G257" t="str">
        <f>IF([1]Accounts!$D$258="","",[1]Accounts!$C$258)</f>
        <v/>
      </c>
      <c r="H257" t="str">
        <f>IF([1]Accounts!$D$258="","",[1]Accounts!$D$258)</f>
        <v/>
      </c>
      <c r="L257" t="str">
        <f>IF([2]Entry!$C$260="","",[2]Entry!$C$260)</f>
        <v/>
      </c>
      <c r="M257" t="str">
        <f>IF([2]Entry!$J$260="","",[2]Entry!$J$260)</f>
        <v/>
      </c>
      <c r="N257" t="str">
        <f>IF([2]Entry!$M$260="","",[2]Entry!$M$260)</f>
        <v/>
      </c>
      <c r="O257" t="str">
        <f>IF([2]Entry!$N$260="","",[2]Entry!$N$260)</f>
        <v/>
      </c>
      <c r="P257" t="str">
        <f>IF([2]Entry!$S$260="","",[2]Entry!$S$260)</f>
        <v/>
      </c>
    </row>
    <row r="258" spans="1:16" x14ac:dyDescent="0.2">
      <c r="A258" t="str">
        <f>IF([1]Cheques!$A$259="","",[1]Cheques!$A$259)</f>
        <v/>
      </c>
      <c r="E258" t="str">
        <f>IF([1]Accounts!$D$259="","",[1]Accounts!$A$259)</f>
        <v/>
      </c>
      <c r="F258" t="str">
        <f>IF([1]Accounts!$D$259="","",[1]Accounts!$B$259)</f>
        <v/>
      </c>
      <c r="G258" t="str">
        <f>IF([1]Accounts!$D$259="","",[1]Accounts!$C$259)</f>
        <v/>
      </c>
      <c r="H258" t="str">
        <f>IF([1]Accounts!$D$259="","",[1]Accounts!$D$259)</f>
        <v/>
      </c>
      <c r="L258" t="str">
        <f>IF([2]Entry!$C$261="","",[2]Entry!$C$261)</f>
        <v/>
      </c>
      <c r="M258" t="str">
        <f>IF([2]Entry!$J$261="","",[2]Entry!$J$261)</f>
        <v/>
      </c>
      <c r="N258" t="str">
        <f>IF([2]Entry!$M$261="","",[2]Entry!$M$261)</f>
        <v/>
      </c>
      <c r="O258" t="str">
        <f>IF([2]Entry!$N$261="","",[2]Entry!$N$261)</f>
        <v/>
      </c>
      <c r="P258" t="str">
        <f>IF([2]Entry!$S$261="","",[2]Entry!$S$261)</f>
        <v/>
      </c>
    </row>
    <row r="259" spans="1:16" x14ac:dyDescent="0.2">
      <c r="A259" t="str">
        <f>IF([1]Cheques!$A$260="","",[1]Cheques!$A$260)</f>
        <v/>
      </c>
      <c r="E259" t="str">
        <f>IF([1]Accounts!$D$260="","",[1]Accounts!$A$260)</f>
        <v/>
      </c>
      <c r="F259" t="str">
        <f>IF([1]Accounts!$D$260="","",[1]Accounts!$B$260)</f>
        <v/>
      </c>
      <c r="G259" t="str">
        <f>IF([1]Accounts!$D$260="","",[1]Accounts!$C$260)</f>
        <v/>
      </c>
      <c r="H259" t="str">
        <f>IF([1]Accounts!$D$260="","",[1]Accounts!$D$260)</f>
        <v/>
      </c>
      <c r="L259" t="str">
        <f>IF([2]Entry!$C$262="","",[2]Entry!$C$262)</f>
        <v/>
      </c>
      <c r="M259" t="str">
        <f>IF([2]Entry!$J$262="","",[2]Entry!$J$262)</f>
        <v/>
      </c>
      <c r="N259" t="str">
        <f>IF([2]Entry!$M$262="","",[2]Entry!$M$262)</f>
        <v/>
      </c>
      <c r="O259" t="str">
        <f>IF([2]Entry!$N$262="","",[2]Entry!$N$262)</f>
        <v/>
      </c>
      <c r="P259" t="str">
        <f>IF([2]Entry!$S$262="","",[2]Entry!$S$262)</f>
        <v/>
      </c>
    </row>
    <row r="260" spans="1:16" x14ac:dyDescent="0.2">
      <c r="A260" t="str">
        <f>IF([1]Cheques!$A$261="","",[1]Cheques!$A$261)</f>
        <v/>
      </c>
      <c r="E260" t="str">
        <f>IF([1]Accounts!$D$261="","",[1]Accounts!$A$261)</f>
        <v/>
      </c>
      <c r="F260" t="str">
        <f>IF([1]Accounts!$D$261="","",[1]Accounts!$B$261)</f>
        <v/>
      </c>
      <c r="G260" t="str">
        <f>IF([1]Accounts!$D$261="","",[1]Accounts!$C$261)</f>
        <v/>
      </c>
      <c r="H260" t="str">
        <f>IF([1]Accounts!$D$261="","",[1]Accounts!$D$261)</f>
        <v/>
      </c>
      <c r="L260" t="str">
        <f>IF([2]Entry!$C$263="","",[2]Entry!$C$263)</f>
        <v/>
      </c>
      <c r="M260" t="str">
        <f>IF([2]Entry!$J$263="","",[2]Entry!$J$263)</f>
        <v/>
      </c>
      <c r="N260" t="str">
        <f>IF([2]Entry!$M$263="","",[2]Entry!$M$263)</f>
        <v/>
      </c>
      <c r="O260" t="str">
        <f>IF([2]Entry!$N$263="","",[2]Entry!$N$263)</f>
        <v/>
      </c>
      <c r="P260" t="str">
        <f>IF([2]Entry!$S$263="","",[2]Entry!$S$263)</f>
        <v/>
      </c>
    </row>
    <row r="261" spans="1:16" x14ac:dyDescent="0.2">
      <c r="A261" t="str">
        <f>IF([1]Cheques!$A$262="","",[1]Cheques!$A$262)</f>
        <v/>
      </c>
      <c r="E261" t="str">
        <f>IF([1]Accounts!$D$262="","",[1]Accounts!$A$262)</f>
        <v/>
      </c>
      <c r="F261" t="str">
        <f>IF([1]Accounts!$D$262="","",[1]Accounts!$B$262)</f>
        <v/>
      </c>
      <c r="G261" t="str">
        <f>IF([1]Accounts!$D$262="","",[1]Accounts!$C$262)</f>
        <v/>
      </c>
      <c r="H261" t="str">
        <f>IF([1]Accounts!$D$262="","",[1]Accounts!$D$262)</f>
        <v/>
      </c>
      <c r="L261" t="str">
        <f>IF([2]Entry!$C$264="","",[2]Entry!$C$264)</f>
        <v/>
      </c>
      <c r="M261" t="str">
        <f>IF([2]Entry!$J$264="","",[2]Entry!$J$264)</f>
        <v/>
      </c>
      <c r="N261" t="str">
        <f>IF([2]Entry!$M$264="","",[2]Entry!$M$264)</f>
        <v/>
      </c>
      <c r="O261" t="str">
        <f>IF([2]Entry!$N$264="","",[2]Entry!$N$264)</f>
        <v/>
      </c>
      <c r="P261" t="str">
        <f>IF([2]Entry!$S$264="","",[2]Entry!$S$264)</f>
        <v/>
      </c>
    </row>
    <row r="262" spans="1:16" x14ac:dyDescent="0.2">
      <c r="A262" t="str">
        <f>IF([1]Cheques!$A$263="","",[1]Cheques!$A$263)</f>
        <v/>
      </c>
      <c r="E262" t="str">
        <f>IF([1]Accounts!$D$263="","",[1]Accounts!$A$263)</f>
        <v/>
      </c>
      <c r="F262" t="str">
        <f>IF([1]Accounts!$D$263="","",[1]Accounts!$B$263)</f>
        <v/>
      </c>
      <c r="G262" t="str">
        <f>IF([1]Accounts!$D$263="","",[1]Accounts!$C$263)</f>
        <v/>
      </c>
      <c r="H262" t="str">
        <f>IF([1]Accounts!$D$263="","",[1]Accounts!$D$263)</f>
        <v/>
      </c>
      <c r="L262" t="str">
        <f>IF([2]Entry!$C$265="","",[2]Entry!$C$265)</f>
        <v/>
      </c>
      <c r="M262" t="str">
        <f>IF([2]Entry!$J$265="","",[2]Entry!$J$265)</f>
        <v/>
      </c>
      <c r="N262" t="str">
        <f>IF([2]Entry!$M$265="","",[2]Entry!$M$265)</f>
        <v/>
      </c>
      <c r="O262" t="str">
        <f>IF([2]Entry!$N$265="","",[2]Entry!$N$265)</f>
        <v/>
      </c>
      <c r="P262" t="str">
        <f>IF([2]Entry!$S$265="","",[2]Entry!$S$265)</f>
        <v/>
      </c>
    </row>
    <row r="263" spans="1:16" x14ac:dyDescent="0.2">
      <c r="A263" t="str">
        <f>IF([1]Cheques!$A$264="","",[1]Cheques!$A$264)</f>
        <v/>
      </c>
      <c r="E263" t="str">
        <f>IF([1]Accounts!$D$264="","",[1]Accounts!$A$264)</f>
        <v/>
      </c>
      <c r="F263" t="str">
        <f>IF([1]Accounts!$D$264="","",[1]Accounts!$B$264)</f>
        <v/>
      </c>
      <c r="G263" t="str">
        <f>IF([1]Accounts!$D$264="","",[1]Accounts!$C$264)</f>
        <v/>
      </c>
      <c r="H263" t="str">
        <f>IF([1]Accounts!$D$264="","",[1]Accounts!$D$264)</f>
        <v/>
      </c>
      <c r="L263" t="str">
        <f>IF([2]Entry!$C$266="","",[2]Entry!$C$266)</f>
        <v/>
      </c>
      <c r="M263" t="str">
        <f>IF([2]Entry!$J$266="","",[2]Entry!$J$266)</f>
        <v/>
      </c>
      <c r="N263" t="str">
        <f>IF([2]Entry!$M$266="","",[2]Entry!$M$266)</f>
        <v/>
      </c>
      <c r="O263" t="str">
        <f>IF([2]Entry!$N$266="","",[2]Entry!$N$266)</f>
        <v/>
      </c>
      <c r="P263" t="str">
        <f>IF([2]Entry!$S$266="","",[2]Entry!$S$266)</f>
        <v/>
      </c>
    </row>
    <row r="264" spans="1:16" x14ac:dyDescent="0.2">
      <c r="A264" t="str">
        <f>IF([1]Cheques!$A$265="","",[1]Cheques!$A$265)</f>
        <v/>
      </c>
      <c r="E264" t="str">
        <f>IF([1]Accounts!$D$265="","",[1]Accounts!$A$265)</f>
        <v/>
      </c>
      <c r="F264" t="str">
        <f>IF([1]Accounts!$D$265="","",[1]Accounts!$B$265)</f>
        <v/>
      </c>
      <c r="G264" t="str">
        <f>IF([1]Accounts!$D$265="","",[1]Accounts!$C$265)</f>
        <v/>
      </c>
      <c r="H264" t="str">
        <f>IF([1]Accounts!$D$265="","",[1]Accounts!$D$265)</f>
        <v/>
      </c>
      <c r="L264" t="str">
        <f>IF([2]Entry!$C$267="","",[2]Entry!$C$267)</f>
        <v/>
      </c>
      <c r="M264" t="str">
        <f>IF([2]Entry!$J$267="","",[2]Entry!$J$267)</f>
        <v/>
      </c>
      <c r="N264" t="str">
        <f>IF([2]Entry!$M$267="","",[2]Entry!$M$267)</f>
        <v/>
      </c>
      <c r="O264" t="str">
        <f>IF([2]Entry!$N$267="","",[2]Entry!$N$267)</f>
        <v/>
      </c>
      <c r="P264" t="str">
        <f>IF([2]Entry!$S$267="","",[2]Entry!$S$267)</f>
        <v/>
      </c>
    </row>
    <row r="265" spans="1:16" x14ac:dyDescent="0.2">
      <c r="A265" t="str">
        <f>IF([1]Cheques!$A$266="","",[1]Cheques!$A$266)</f>
        <v/>
      </c>
      <c r="E265" t="str">
        <f>IF([1]Accounts!$D$266="","",[1]Accounts!$A$266)</f>
        <v/>
      </c>
      <c r="F265" t="str">
        <f>IF([1]Accounts!$D$266="","",[1]Accounts!$B$266)</f>
        <v/>
      </c>
      <c r="G265" t="str">
        <f>IF([1]Accounts!$D$266="","",[1]Accounts!$C$266)</f>
        <v/>
      </c>
      <c r="H265" t="str">
        <f>IF([1]Accounts!$D$266="","",[1]Accounts!$D$266)</f>
        <v/>
      </c>
      <c r="L265" t="str">
        <f>IF([2]Entry!$C$268="","",[2]Entry!$C$268)</f>
        <v/>
      </c>
      <c r="M265" t="str">
        <f>IF([2]Entry!$J$268="","",[2]Entry!$J$268)</f>
        <v/>
      </c>
      <c r="N265" t="str">
        <f>IF([2]Entry!$M$268="","",[2]Entry!$M$268)</f>
        <v/>
      </c>
      <c r="O265" t="str">
        <f>IF([2]Entry!$N$268="","",[2]Entry!$N$268)</f>
        <v/>
      </c>
      <c r="P265" t="str">
        <f>IF([2]Entry!$S$268="","",[2]Entry!$S$268)</f>
        <v/>
      </c>
    </row>
    <row r="266" spans="1:16" x14ac:dyDescent="0.2">
      <c r="A266" t="str">
        <f>IF([1]Cheques!$A$267="","",[1]Cheques!$A$267)</f>
        <v/>
      </c>
      <c r="E266" t="str">
        <f>IF([1]Accounts!$D$267="","",[1]Accounts!$A$267)</f>
        <v/>
      </c>
      <c r="F266" t="str">
        <f>IF([1]Accounts!$D$267="","",[1]Accounts!$B$267)</f>
        <v/>
      </c>
      <c r="G266" t="str">
        <f>IF([1]Accounts!$D$267="","",[1]Accounts!$C$267)</f>
        <v/>
      </c>
      <c r="H266" t="str">
        <f>IF([1]Accounts!$D$267="","",[1]Accounts!$D$267)</f>
        <v/>
      </c>
      <c r="L266" t="str">
        <f>IF([2]Entry!$C$269="","",[2]Entry!$C$269)</f>
        <v/>
      </c>
      <c r="M266" t="str">
        <f>IF([2]Entry!$J$269="","",[2]Entry!$J$269)</f>
        <v/>
      </c>
      <c r="N266" t="str">
        <f>IF([2]Entry!$M$269="","",[2]Entry!$M$269)</f>
        <v/>
      </c>
      <c r="O266" t="str">
        <f>IF([2]Entry!$N$269="","",[2]Entry!$N$269)</f>
        <v/>
      </c>
      <c r="P266" t="str">
        <f>IF([2]Entry!$S$269="","",[2]Entry!$S$269)</f>
        <v/>
      </c>
    </row>
    <row r="267" spans="1:16" x14ac:dyDescent="0.2">
      <c r="A267" t="str">
        <f>IF([1]Cheques!$A$268="","",[1]Cheques!$A$268)</f>
        <v/>
      </c>
      <c r="E267" t="str">
        <f>IF([1]Accounts!$D$268="","",[1]Accounts!$A$268)</f>
        <v/>
      </c>
      <c r="F267" t="str">
        <f>IF([1]Accounts!$D$268="","",[1]Accounts!$B$268)</f>
        <v/>
      </c>
      <c r="G267" t="str">
        <f>IF([1]Accounts!$D$268="","",[1]Accounts!$C$268)</f>
        <v/>
      </c>
      <c r="H267" t="str">
        <f>IF([1]Accounts!$D$268="","",[1]Accounts!$D$268)</f>
        <v/>
      </c>
      <c r="L267" t="str">
        <f>IF([2]Entry!$C$270="","",[2]Entry!$C$270)</f>
        <v/>
      </c>
      <c r="M267" t="str">
        <f>IF([2]Entry!$J$270="","",[2]Entry!$J$270)</f>
        <v/>
      </c>
      <c r="N267" t="str">
        <f>IF([2]Entry!$M$270="","",[2]Entry!$M$270)</f>
        <v/>
      </c>
      <c r="O267" t="str">
        <f>IF([2]Entry!$N$270="","",[2]Entry!$N$270)</f>
        <v/>
      </c>
      <c r="P267" t="str">
        <f>IF([2]Entry!$S$270="","",[2]Entry!$S$270)</f>
        <v/>
      </c>
    </row>
    <row r="268" spans="1:16" x14ac:dyDescent="0.2">
      <c r="A268" t="str">
        <f>IF([1]Cheques!$A$269="","",[1]Cheques!$A$269)</f>
        <v/>
      </c>
      <c r="E268" t="str">
        <f>IF([1]Accounts!$D$269="","",[1]Accounts!$A$269)</f>
        <v/>
      </c>
      <c r="F268" t="str">
        <f>IF([1]Accounts!$D$269="","",[1]Accounts!$B$269)</f>
        <v/>
      </c>
      <c r="G268" t="str">
        <f>IF([1]Accounts!$D$269="","",[1]Accounts!$C$269)</f>
        <v/>
      </c>
      <c r="H268" t="str">
        <f>IF([1]Accounts!$D$269="","",[1]Accounts!$D$269)</f>
        <v/>
      </c>
      <c r="L268" t="str">
        <f>IF([2]Entry!$C$271="","",[2]Entry!$C$271)</f>
        <v/>
      </c>
      <c r="M268" t="str">
        <f>IF([2]Entry!$J$271="","",[2]Entry!$J$271)</f>
        <v/>
      </c>
      <c r="N268" t="str">
        <f>IF([2]Entry!$M$271="","",[2]Entry!$M$271)</f>
        <v/>
      </c>
      <c r="O268" t="str">
        <f>IF([2]Entry!$N$271="","",[2]Entry!$N$271)</f>
        <v/>
      </c>
      <c r="P268" t="str">
        <f>IF([2]Entry!$S$271="","",[2]Entry!$S$271)</f>
        <v/>
      </c>
    </row>
    <row r="269" spans="1:16" x14ac:dyDescent="0.2">
      <c r="A269" t="str">
        <f>IF([1]Cheques!$A$270="","",[1]Cheques!$A$270)</f>
        <v/>
      </c>
      <c r="E269" t="str">
        <f>IF([1]Accounts!$D$270="","",[1]Accounts!$A$270)</f>
        <v/>
      </c>
      <c r="F269" t="str">
        <f>IF([1]Accounts!$D$270="","",[1]Accounts!$B$270)</f>
        <v/>
      </c>
      <c r="G269" t="str">
        <f>IF([1]Accounts!$D$270="","",[1]Accounts!$C$270)</f>
        <v/>
      </c>
      <c r="H269" t="str">
        <f>IF([1]Accounts!$D$270="","",[1]Accounts!$D$270)</f>
        <v/>
      </c>
      <c r="L269" t="str">
        <f>IF([2]Entry!$C$272="","",[2]Entry!$C$272)</f>
        <v/>
      </c>
      <c r="M269" t="str">
        <f>IF([2]Entry!$J$272="","",[2]Entry!$J$272)</f>
        <v/>
      </c>
      <c r="N269" t="str">
        <f>IF([2]Entry!$M$272="","",[2]Entry!$M$272)</f>
        <v/>
      </c>
      <c r="O269" t="str">
        <f>IF([2]Entry!$N$272="","",[2]Entry!$N$272)</f>
        <v/>
      </c>
      <c r="P269" t="str">
        <f>IF([2]Entry!$S$272="","",[2]Entry!$S$272)</f>
        <v/>
      </c>
    </row>
    <row r="270" spans="1:16" x14ac:dyDescent="0.2">
      <c r="A270" t="str">
        <f>IF([1]Cheques!$A$271="","",[1]Cheques!$A$271)</f>
        <v/>
      </c>
      <c r="E270" t="str">
        <f>IF([1]Accounts!$D$271="","",[1]Accounts!$A$271)</f>
        <v/>
      </c>
      <c r="F270" t="str">
        <f>IF([1]Accounts!$D$271="","",[1]Accounts!$B$271)</f>
        <v/>
      </c>
      <c r="G270" t="str">
        <f>IF([1]Accounts!$D$271="","",[1]Accounts!$C$271)</f>
        <v/>
      </c>
      <c r="H270" t="str">
        <f>IF([1]Accounts!$D$271="","",[1]Accounts!$D$271)</f>
        <v/>
      </c>
      <c r="L270" t="str">
        <f>IF([2]Entry!$C$273="","",[2]Entry!$C$273)</f>
        <v/>
      </c>
      <c r="M270" t="str">
        <f>IF([2]Entry!$J$273="","",[2]Entry!$J$273)</f>
        <v/>
      </c>
      <c r="N270" t="str">
        <f>IF([2]Entry!$M$273="","",[2]Entry!$M$273)</f>
        <v/>
      </c>
      <c r="O270" t="str">
        <f>IF([2]Entry!$N$273="","",[2]Entry!$N$273)</f>
        <v/>
      </c>
      <c r="P270" t="str">
        <f>IF([2]Entry!$S$273="","",[2]Entry!$S$273)</f>
        <v/>
      </c>
    </row>
    <row r="271" spans="1:16" x14ac:dyDescent="0.2">
      <c r="A271" t="str">
        <f>IF([1]Cheques!$A$272="","",[1]Cheques!$A$272)</f>
        <v/>
      </c>
      <c r="E271" t="str">
        <f>IF([1]Accounts!$D$272="","",[1]Accounts!$A$272)</f>
        <v/>
      </c>
      <c r="F271" t="str">
        <f>IF([1]Accounts!$D$272="","",[1]Accounts!$B$272)</f>
        <v/>
      </c>
      <c r="G271" t="str">
        <f>IF([1]Accounts!$D$272="","",[1]Accounts!$C$272)</f>
        <v/>
      </c>
      <c r="H271" t="str">
        <f>IF([1]Accounts!$D$272="","",[1]Accounts!$D$272)</f>
        <v/>
      </c>
      <c r="L271" t="str">
        <f>IF([2]Entry!$C$274="","",[2]Entry!$C$274)</f>
        <v/>
      </c>
      <c r="M271" t="str">
        <f>IF([2]Entry!$J$274="","",[2]Entry!$J$274)</f>
        <v/>
      </c>
      <c r="N271" t="str">
        <f>IF([2]Entry!$M$274="","",[2]Entry!$M$274)</f>
        <v/>
      </c>
      <c r="O271" t="str">
        <f>IF([2]Entry!$N$274="","",[2]Entry!$N$274)</f>
        <v/>
      </c>
      <c r="P271" t="str">
        <f>IF([2]Entry!$S$274="","",[2]Entry!$S$274)</f>
        <v/>
      </c>
    </row>
    <row r="272" spans="1:16" x14ac:dyDescent="0.2">
      <c r="A272" t="str">
        <f>IF([1]Cheques!$A$273="","",[1]Cheques!$A$273)</f>
        <v/>
      </c>
      <c r="E272" t="str">
        <f>IF([1]Accounts!$D$273="","",[1]Accounts!$A$273)</f>
        <v/>
      </c>
      <c r="F272" t="str">
        <f>IF([1]Accounts!$D$273="","",[1]Accounts!$B$273)</f>
        <v/>
      </c>
      <c r="G272" t="str">
        <f>IF([1]Accounts!$D$273="","",[1]Accounts!$C$273)</f>
        <v/>
      </c>
      <c r="H272" t="str">
        <f>IF([1]Accounts!$D$273="","",[1]Accounts!$D$273)</f>
        <v/>
      </c>
      <c r="L272" t="str">
        <f>IF([2]Entry!$C$275="","",[2]Entry!$C$275)</f>
        <v/>
      </c>
      <c r="M272" t="str">
        <f>IF([2]Entry!$J$275="","",[2]Entry!$J$275)</f>
        <v/>
      </c>
      <c r="N272" t="str">
        <f>IF([2]Entry!$M$275="","",[2]Entry!$M$275)</f>
        <v/>
      </c>
      <c r="O272" t="str">
        <f>IF([2]Entry!$N$275="","",[2]Entry!$N$275)</f>
        <v/>
      </c>
      <c r="P272" t="str">
        <f>IF([2]Entry!$S$275="","",[2]Entry!$S$275)</f>
        <v/>
      </c>
    </row>
    <row r="273" spans="1:16" x14ac:dyDescent="0.2">
      <c r="A273" t="str">
        <f>IF([1]Cheques!$A$274="","",[1]Cheques!$A$274)</f>
        <v/>
      </c>
      <c r="E273" t="str">
        <f>IF([1]Accounts!$D$274="","",[1]Accounts!$A$274)</f>
        <v/>
      </c>
      <c r="F273" t="str">
        <f>IF([1]Accounts!$D$274="","",[1]Accounts!$B$274)</f>
        <v/>
      </c>
      <c r="G273" t="str">
        <f>IF([1]Accounts!$D$274="","",[1]Accounts!$C$274)</f>
        <v/>
      </c>
      <c r="H273" t="str">
        <f>IF([1]Accounts!$D$274="","",[1]Accounts!$D$274)</f>
        <v/>
      </c>
      <c r="L273" t="str">
        <f>IF([2]Entry!$C$276="","",[2]Entry!$C$276)</f>
        <v/>
      </c>
      <c r="M273" t="str">
        <f>IF([2]Entry!$J$276="","",[2]Entry!$J$276)</f>
        <v/>
      </c>
      <c r="N273" t="str">
        <f>IF([2]Entry!$M$276="","",[2]Entry!$M$276)</f>
        <v/>
      </c>
      <c r="O273" t="str">
        <f>IF([2]Entry!$N$276="","",[2]Entry!$N$276)</f>
        <v/>
      </c>
      <c r="P273" t="str">
        <f>IF([2]Entry!$S$276="","",[2]Entry!$S$276)</f>
        <v/>
      </c>
    </row>
    <row r="274" spans="1:16" x14ac:dyDescent="0.2">
      <c r="A274" t="str">
        <f>IF([1]Cheques!$A$275="","",[1]Cheques!$A$275)</f>
        <v/>
      </c>
      <c r="E274" t="str">
        <f>IF([1]Accounts!$D$275="","",[1]Accounts!$A$275)</f>
        <v/>
      </c>
      <c r="F274" t="str">
        <f>IF([1]Accounts!$D$275="","",[1]Accounts!$B$275)</f>
        <v/>
      </c>
      <c r="G274" t="str">
        <f>IF([1]Accounts!$D$275="","",[1]Accounts!$C$275)</f>
        <v/>
      </c>
      <c r="H274" t="str">
        <f>IF([1]Accounts!$D$275="","",[1]Accounts!$D$275)</f>
        <v/>
      </c>
      <c r="L274" t="str">
        <f>IF([2]Entry!$C$277="","",[2]Entry!$C$277)</f>
        <v/>
      </c>
      <c r="M274" t="str">
        <f>IF([2]Entry!$J$277="","",[2]Entry!$J$277)</f>
        <v/>
      </c>
      <c r="N274" t="str">
        <f>IF([2]Entry!$M$277="","",[2]Entry!$M$277)</f>
        <v/>
      </c>
      <c r="O274" t="str">
        <f>IF([2]Entry!$N$277="","",[2]Entry!$N$277)</f>
        <v/>
      </c>
      <c r="P274" t="str">
        <f>IF([2]Entry!$S$277="","",[2]Entry!$S$277)</f>
        <v/>
      </c>
    </row>
    <row r="275" spans="1:16" x14ac:dyDescent="0.2">
      <c r="A275" t="str">
        <f>IF([1]Cheques!$A$276="","",[1]Cheques!$A$276)</f>
        <v/>
      </c>
      <c r="E275" t="str">
        <f>IF([1]Accounts!$D$276="","",[1]Accounts!$A$276)</f>
        <v/>
      </c>
      <c r="F275" t="str">
        <f>IF([1]Accounts!$D$276="","",[1]Accounts!$B$276)</f>
        <v/>
      </c>
      <c r="G275" t="str">
        <f>IF([1]Accounts!$D$276="","",[1]Accounts!$C$276)</f>
        <v/>
      </c>
      <c r="H275" t="str">
        <f>IF([1]Accounts!$D$276="","",[1]Accounts!$D$276)</f>
        <v/>
      </c>
      <c r="L275" t="str">
        <f>IF([2]Entry!$C$278="","",[2]Entry!$C$278)</f>
        <v/>
      </c>
      <c r="M275" t="str">
        <f>IF([2]Entry!$J$278="","",[2]Entry!$J$278)</f>
        <v/>
      </c>
      <c r="N275" t="str">
        <f>IF([2]Entry!$M$278="","",[2]Entry!$M$278)</f>
        <v/>
      </c>
      <c r="O275" t="str">
        <f>IF([2]Entry!$N$278="","",[2]Entry!$N$278)</f>
        <v/>
      </c>
      <c r="P275" t="str">
        <f>IF([2]Entry!$S$278="","",[2]Entry!$S$278)</f>
        <v/>
      </c>
    </row>
    <row r="276" spans="1:16" x14ac:dyDescent="0.2">
      <c r="A276" t="str">
        <f>IF([1]Cheques!$A$277="","",[1]Cheques!$A$277)</f>
        <v/>
      </c>
      <c r="E276" t="str">
        <f>IF([1]Accounts!$D$277="","",[1]Accounts!$A$277)</f>
        <v/>
      </c>
      <c r="F276" t="str">
        <f>IF([1]Accounts!$D$277="","",[1]Accounts!$B$277)</f>
        <v/>
      </c>
      <c r="G276" t="str">
        <f>IF([1]Accounts!$D$277="","",[1]Accounts!$C$277)</f>
        <v/>
      </c>
      <c r="H276" t="str">
        <f>IF([1]Accounts!$D$277="","",[1]Accounts!$D$277)</f>
        <v/>
      </c>
      <c r="L276" t="str">
        <f>IF([2]Entry!$C$279="","",[2]Entry!$C$279)</f>
        <v/>
      </c>
      <c r="M276" t="str">
        <f>IF([2]Entry!$J$279="","",[2]Entry!$J$279)</f>
        <v/>
      </c>
      <c r="N276" t="str">
        <f>IF([2]Entry!$M$279="","",[2]Entry!$M$279)</f>
        <v/>
      </c>
      <c r="O276" t="str">
        <f>IF([2]Entry!$N$279="","",[2]Entry!$N$279)</f>
        <v/>
      </c>
      <c r="P276" t="str">
        <f>IF([2]Entry!$S$279="","",[2]Entry!$S$279)</f>
        <v/>
      </c>
    </row>
    <row r="277" spans="1:16" x14ac:dyDescent="0.2">
      <c r="A277" t="str">
        <f>IF([1]Cheques!$A$278="","",[1]Cheques!$A$278)</f>
        <v/>
      </c>
      <c r="E277" t="str">
        <f>IF([1]Accounts!$D$278="","",[1]Accounts!$A$278)</f>
        <v/>
      </c>
      <c r="F277" t="str">
        <f>IF([1]Accounts!$D$278="","",[1]Accounts!$B$278)</f>
        <v/>
      </c>
      <c r="G277" t="str">
        <f>IF([1]Accounts!$D$278="","",[1]Accounts!$C$278)</f>
        <v/>
      </c>
      <c r="H277" t="str">
        <f>IF([1]Accounts!$D$278="","",[1]Accounts!$D$278)</f>
        <v/>
      </c>
      <c r="L277" t="str">
        <f>IF([2]Entry!$C$280="","",[2]Entry!$C$280)</f>
        <v/>
      </c>
      <c r="M277" t="str">
        <f>IF([2]Entry!$J$280="","",[2]Entry!$J$280)</f>
        <v/>
      </c>
      <c r="N277" t="str">
        <f>IF([2]Entry!$M$280="","",[2]Entry!$M$280)</f>
        <v/>
      </c>
      <c r="O277" t="str">
        <f>IF([2]Entry!$N$280="","",[2]Entry!$N$280)</f>
        <v/>
      </c>
      <c r="P277" t="str">
        <f>IF([2]Entry!$S$280="","",[2]Entry!$S$280)</f>
        <v/>
      </c>
    </row>
    <row r="278" spans="1:16" x14ac:dyDescent="0.2">
      <c r="A278" t="str">
        <f>IF([1]Cheques!$A$279="","",[1]Cheques!$A$279)</f>
        <v/>
      </c>
      <c r="E278" t="str">
        <f>IF([1]Accounts!$D$279="","",[1]Accounts!$A$279)</f>
        <v/>
      </c>
      <c r="F278" t="str">
        <f>IF([1]Accounts!$D$279="","",[1]Accounts!$B$279)</f>
        <v/>
      </c>
      <c r="G278" t="str">
        <f>IF([1]Accounts!$D$279="","",[1]Accounts!$C$279)</f>
        <v/>
      </c>
      <c r="H278" t="str">
        <f>IF([1]Accounts!$D$279="","",[1]Accounts!$D$279)</f>
        <v/>
      </c>
      <c r="L278" t="str">
        <f>IF([2]Entry!$C$281="","",[2]Entry!$C$281)</f>
        <v/>
      </c>
      <c r="M278" t="str">
        <f>IF([2]Entry!$J$281="","",[2]Entry!$J$281)</f>
        <v/>
      </c>
      <c r="N278" t="str">
        <f>IF([2]Entry!$M$281="","",[2]Entry!$M$281)</f>
        <v/>
      </c>
      <c r="O278" t="str">
        <f>IF([2]Entry!$N$281="","",[2]Entry!$N$281)</f>
        <v/>
      </c>
      <c r="P278" t="str">
        <f>IF([2]Entry!$S$281="","",[2]Entry!$S$281)</f>
        <v/>
      </c>
    </row>
    <row r="279" spans="1:16" x14ac:dyDescent="0.2">
      <c r="A279" t="str">
        <f>IF([1]Cheques!$A$280="","",[1]Cheques!$A$280)</f>
        <v/>
      </c>
      <c r="E279" t="str">
        <f>IF([1]Accounts!$D$280="","",[1]Accounts!$A$280)</f>
        <v/>
      </c>
      <c r="F279" t="str">
        <f>IF([1]Accounts!$D$280="","",[1]Accounts!$B$280)</f>
        <v/>
      </c>
      <c r="G279" t="str">
        <f>IF([1]Accounts!$D$280="","",[1]Accounts!$C$280)</f>
        <v/>
      </c>
      <c r="H279" t="str">
        <f>IF([1]Accounts!$D$280="","",[1]Accounts!$D$280)</f>
        <v/>
      </c>
      <c r="L279" t="str">
        <f>IF([2]Entry!$C$282="","",[2]Entry!$C$282)</f>
        <v/>
      </c>
      <c r="M279" t="str">
        <f>IF([2]Entry!$J$282="","",[2]Entry!$J$282)</f>
        <v/>
      </c>
      <c r="N279" t="str">
        <f>IF([2]Entry!$M$282="","",[2]Entry!$M$282)</f>
        <v/>
      </c>
      <c r="O279" t="str">
        <f>IF([2]Entry!$N$282="","",[2]Entry!$N$282)</f>
        <v/>
      </c>
      <c r="P279" t="str">
        <f>IF([2]Entry!$S$282="","",[2]Entry!$S$282)</f>
        <v/>
      </c>
    </row>
    <row r="280" spans="1:16" x14ac:dyDescent="0.2">
      <c r="A280" t="str">
        <f>IF([1]Cheques!$A$281="","",[1]Cheques!$A$281)</f>
        <v/>
      </c>
      <c r="E280" t="str">
        <f>IF([1]Accounts!$D$281="","",[1]Accounts!$A$281)</f>
        <v/>
      </c>
      <c r="F280" t="str">
        <f>IF([1]Accounts!$D$281="","",[1]Accounts!$B$281)</f>
        <v/>
      </c>
      <c r="G280" t="str">
        <f>IF([1]Accounts!$D$281="","",[1]Accounts!$C$281)</f>
        <v/>
      </c>
      <c r="H280" t="str">
        <f>IF([1]Accounts!$D$281="","",[1]Accounts!$D$281)</f>
        <v/>
      </c>
      <c r="L280" t="str">
        <f>IF([2]Entry!$C$283="","",[2]Entry!$C$283)</f>
        <v/>
      </c>
      <c r="M280" t="str">
        <f>IF([2]Entry!$J$283="","",[2]Entry!$J$283)</f>
        <v/>
      </c>
      <c r="N280" t="str">
        <f>IF([2]Entry!$M$283="","",[2]Entry!$M$283)</f>
        <v/>
      </c>
      <c r="O280" t="str">
        <f>IF([2]Entry!$N$283="","",[2]Entry!$N$283)</f>
        <v/>
      </c>
      <c r="P280" t="str">
        <f>IF([2]Entry!$S$283="","",[2]Entry!$S$283)</f>
        <v/>
      </c>
    </row>
    <row r="281" spans="1:16" x14ac:dyDescent="0.2">
      <c r="A281" t="str">
        <f>IF([1]Cheques!$A$282="","",[1]Cheques!$A$282)</f>
        <v/>
      </c>
      <c r="E281" t="str">
        <f>IF([1]Accounts!$D$282="","",[1]Accounts!$A$282)</f>
        <v/>
      </c>
      <c r="F281" t="str">
        <f>IF([1]Accounts!$D$282="","",[1]Accounts!$B$282)</f>
        <v/>
      </c>
      <c r="G281" t="str">
        <f>IF([1]Accounts!$D$282="","",[1]Accounts!$C$282)</f>
        <v/>
      </c>
      <c r="H281" t="str">
        <f>IF([1]Accounts!$D$282="","",[1]Accounts!$D$282)</f>
        <v/>
      </c>
      <c r="L281" t="str">
        <f>IF([2]Entry!$C$284="","",[2]Entry!$C$284)</f>
        <v/>
      </c>
      <c r="M281" t="str">
        <f>IF([2]Entry!$J$284="","",[2]Entry!$J$284)</f>
        <v/>
      </c>
      <c r="N281" t="str">
        <f>IF([2]Entry!$M$284="","",[2]Entry!$M$284)</f>
        <v/>
      </c>
      <c r="O281" t="str">
        <f>IF([2]Entry!$N$284="","",[2]Entry!$N$284)</f>
        <v/>
      </c>
      <c r="P281" t="str">
        <f>IF([2]Entry!$S$284="","",[2]Entry!$S$284)</f>
        <v/>
      </c>
    </row>
    <row r="282" spans="1:16" x14ac:dyDescent="0.2">
      <c r="A282" t="str">
        <f>IF([1]Cheques!$A$283="","",[1]Cheques!$A$283)</f>
        <v/>
      </c>
      <c r="E282" t="str">
        <f>IF([1]Accounts!$D$283="","",[1]Accounts!$A$283)</f>
        <v/>
      </c>
      <c r="F282" t="str">
        <f>IF([1]Accounts!$D$283="","",[1]Accounts!$B$283)</f>
        <v/>
      </c>
      <c r="G282" t="str">
        <f>IF([1]Accounts!$D$283="","",[1]Accounts!$C$283)</f>
        <v/>
      </c>
      <c r="H282" t="str">
        <f>IF([1]Accounts!$D$283="","",[1]Accounts!$D$283)</f>
        <v/>
      </c>
      <c r="L282" t="str">
        <f>IF([2]Entry!$C$285="","",[2]Entry!$C$285)</f>
        <v/>
      </c>
      <c r="M282" t="str">
        <f>IF([2]Entry!$J$285="","",[2]Entry!$J$285)</f>
        <v/>
      </c>
      <c r="N282" t="str">
        <f>IF([2]Entry!$M$285="","",[2]Entry!$M$285)</f>
        <v/>
      </c>
      <c r="O282" t="str">
        <f>IF([2]Entry!$N$285="","",[2]Entry!$N$285)</f>
        <v/>
      </c>
      <c r="P282" t="str">
        <f>IF([2]Entry!$S$285="","",[2]Entry!$S$285)</f>
        <v/>
      </c>
    </row>
    <row r="283" spans="1:16" x14ac:dyDescent="0.2">
      <c r="A283" t="str">
        <f>IF([1]Cheques!$A$284="","",[1]Cheques!$A$284)</f>
        <v/>
      </c>
      <c r="E283" t="str">
        <f>IF([1]Accounts!$D$284="","",[1]Accounts!$A$284)</f>
        <v/>
      </c>
      <c r="F283" t="str">
        <f>IF([1]Accounts!$D$284="","",[1]Accounts!$B$284)</f>
        <v/>
      </c>
      <c r="G283" t="str">
        <f>IF([1]Accounts!$D$284="","",[1]Accounts!$C$284)</f>
        <v/>
      </c>
      <c r="H283" t="str">
        <f>IF([1]Accounts!$D$284="","",[1]Accounts!$D$284)</f>
        <v/>
      </c>
      <c r="L283" t="str">
        <f>IF([2]Entry!$C$286="","",[2]Entry!$C$286)</f>
        <v/>
      </c>
      <c r="M283" t="str">
        <f>IF([2]Entry!$J$286="","",[2]Entry!$J$286)</f>
        <v/>
      </c>
      <c r="N283" t="str">
        <f>IF([2]Entry!$M$286="","",[2]Entry!$M$286)</f>
        <v/>
      </c>
      <c r="O283" t="str">
        <f>IF([2]Entry!$N$286="","",[2]Entry!$N$286)</f>
        <v/>
      </c>
      <c r="P283" t="str">
        <f>IF([2]Entry!$S$286="","",[2]Entry!$S$286)</f>
        <v/>
      </c>
    </row>
    <row r="284" spans="1:16" x14ac:dyDescent="0.2">
      <c r="A284" t="str">
        <f>IF([1]Cheques!$A$285="","",[1]Cheques!$A$285)</f>
        <v/>
      </c>
      <c r="E284" t="str">
        <f>IF([1]Accounts!$D$285="","",[1]Accounts!$A$285)</f>
        <v/>
      </c>
      <c r="F284" t="str">
        <f>IF([1]Accounts!$D$285="","",[1]Accounts!$B$285)</f>
        <v/>
      </c>
      <c r="G284" t="str">
        <f>IF([1]Accounts!$D$285="","",[1]Accounts!$C$285)</f>
        <v/>
      </c>
      <c r="H284" t="str">
        <f>IF([1]Accounts!$D$285="","",[1]Accounts!$D$285)</f>
        <v/>
      </c>
      <c r="L284" t="str">
        <f>IF([2]Entry!$C$287="","",[2]Entry!$C$287)</f>
        <v/>
      </c>
      <c r="M284" t="str">
        <f>IF([2]Entry!$J$287="","",[2]Entry!$J$287)</f>
        <v/>
      </c>
      <c r="N284" t="str">
        <f>IF([2]Entry!$M$287="","",[2]Entry!$M$287)</f>
        <v/>
      </c>
      <c r="O284" t="str">
        <f>IF([2]Entry!$N$287="","",[2]Entry!$N$287)</f>
        <v/>
      </c>
      <c r="P284" t="str">
        <f>IF([2]Entry!$S$287="","",[2]Entry!$S$287)</f>
        <v/>
      </c>
    </row>
    <row r="285" spans="1:16" x14ac:dyDescent="0.2">
      <c r="A285" t="str">
        <f>IF([1]Cheques!$A$286="","",[1]Cheques!$A$286)</f>
        <v/>
      </c>
      <c r="E285" t="str">
        <f>IF([1]Accounts!$D$286="","",[1]Accounts!$A$286)</f>
        <v/>
      </c>
      <c r="F285" t="str">
        <f>IF([1]Accounts!$D$286="","",[1]Accounts!$B$286)</f>
        <v/>
      </c>
      <c r="G285" t="str">
        <f>IF([1]Accounts!$D$286="","",[1]Accounts!$C$286)</f>
        <v/>
      </c>
      <c r="H285" t="str">
        <f>IF([1]Accounts!$D$286="","",[1]Accounts!$D$286)</f>
        <v/>
      </c>
      <c r="L285" t="str">
        <f>IF([2]Entry!$C$288="","",[2]Entry!$C$288)</f>
        <v/>
      </c>
      <c r="M285" t="str">
        <f>IF([2]Entry!$J$288="","",[2]Entry!$J$288)</f>
        <v/>
      </c>
      <c r="N285" t="str">
        <f>IF([2]Entry!$M$288="","",[2]Entry!$M$288)</f>
        <v/>
      </c>
      <c r="O285" t="str">
        <f>IF([2]Entry!$N$288="","",[2]Entry!$N$288)</f>
        <v/>
      </c>
      <c r="P285" t="str">
        <f>IF([2]Entry!$S$288="","",[2]Entry!$S$288)</f>
        <v/>
      </c>
    </row>
    <row r="286" spans="1:16" x14ac:dyDescent="0.2">
      <c r="A286" t="str">
        <f>IF([1]Cheques!$A$287="","",[1]Cheques!$A$287)</f>
        <v/>
      </c>
      <c r="E286" t="str">
        <f>IF([1]Accounts!$D$287="","",[1]Accounts!$A$287)</f>
        <v/>
      </c>
      <c r="F286" t="str">
        <f>IF([1]Accounts!$D$287="","",[1]Accounts!$B$287)</f>
        <v/>
      </c>
      <c r="G286" t="str">
        <f>IF([1]Accounts!$D$287="","",[1]Accounts!$C$287)</f>
        <v/>
      </c>
      <c r="H286" t="str">
        <f>IF([1]Accounts!$D$287="","",[1]Accounts!$D$287)</f>
        <v/>
      </c>
      <c r="L286" t="str">
        <f>IF([2]Entry!$C$289="","",[2]Entry!$C$289)</f>
        <v/>
      </c>
      <c r="M286" t="str">
        <f>IF([2]Entry!$J$289="","",[2]Entry!$J$289)</f>
        <v/>
      </c>
      <c r="N286" t="str">
        <f>IF([2]Entry!$M$289="","",[2]Entry!$M$289)</f>
        <v/>
      </c>
      <c r="O286" t="str">
        <f>IF([2]Entry!$N$289="","",[2]Entry!$N$289)</f>
        <v/>
      </c>
      <c r="P286" t="str">
        <f>IF([2]Entry!$S$289="","",[2]Entry!$S$289)</f>
        <v/>
      </c>
    </row>
    <row r="287" spans="1:16" x14ac:dyDescent="0.2">
      <c r="A287" t="str">
        <f>IF([1]Cheques!$A$288="","",[1]Cheques!$A$288)</f>
        <v/>
      </c>
      <c r="E287" t="str">
        <f>IF([1]Accounts!$D$288="","",[1]Accounts!$A$288)</f>
        <v/>
      </c>
      <c r="F287" t="str">
        <f>IF([1]Accounts!$D$288="","",[1]Accounts!$B$288)</f>
        <v/>
      </c>
      <c r="G287" t="str">
        <f>IF([1]Accounts!$D$288="","",[1]Accounts!$C$288)</f>
        <v/>
      </c>
      <c r="H287" t="str">
        <f>IF([1]Accounts!$D$288="","",[1]Accounts!$D$288)</f>
        <v/>
      </c>
      <c r="L287" t="str">
        <f>IF([2]Entry!$C$290="","",[2]Entry!$C$290)</f>
        <v/>
      </c>
      <c r="M287" t="str">
        <f>IF([2]Entry!$J$290="","",[2]Entry!$J$290)</f>
        <v/>
      </c>
      <c r="N287" t="str">
        <f>IF([2]Entry!$M$290="","",[2]Entry!$M$290)</f>
        <v/>
      </c>
      <c r="O287" t="str">
        <f>IF([2]Entry!$N$290="","",[2]Entry!$N$290)</f>
        <v/>
      </c>
      <c r="P287" t="str">
        <f>IF([2]Entry!$S$290="","",[2]Entry!$S$290)</f>
        <v/>
      </c>
    </row>
    <row r="288" spans="1:16" x14ac:dyDescent="0.2">
      <c r="A288" t="str">
        <f>IF([1]Cheques!$A$289="","",[1]Cheques!$A$289)</f>
        <v/>
      </c>
      <c r="E288" t="str">
        <f>IF([1]Accounts!$D$289="","",[1]Accounts!$A$289)</f>
        <v/>
      </c>
      <c r="F288" t="str">
        <f>IF([1]Accounts!$D$289="","",[1]Accounts!$B$289)</f>
        <v/>
      </c>
      <c r="G288" t="str">
        <f>IF([1]Accounts!$D$289="","",[1]Accounts!$C$289)</f>
        <v/>
      </c>
      <c r="H288" t="str">
        <f>IF([1]Accounts!$D$289="","",[1]Accounts!$D$289)</f>
        <v/>
      </c>
      <c r="L288" t="str">
        <f>IF([2]Entry!$C$291="","",[2]Entry!$C$291)</f>
        <v/>
      </c>
      <c r="M288" t="str">
        <f>IF([2]Entry!$J$291="","",[2]Entry!$J$291)</f>
        <v/>
      </c>
      <c r="N288" t="str">
        <f>IF([2]Entry!$M$291="","",[2]Entry!$M$291)</f>
        <v/>
      </c>
      <c r="O288" t="str">
        <f>IF([2]Entry!$N$291="","",[2]Entry!$N$291)</f>
        <v/>
      </c>
      <c r="P288" t="str">
        <f>IF([2]Entry!$S$291="","",[2]Entry!$S$291)</f>
        <v/>
      </c>
    </row>
    <row r="289" spans="1:16" x14ac:dyDescent="0.2">
      <c r="A289" t="str">
        <f>IF([1]Cheques!$A$290="","",[1]Cheques!$A$290)</f>
        <v/>
      </c>
      <c r="E289" t="str">
        <f>IF([1]Accounts!$D$290="","",[1]Accounts!$A$290)</f>
        <v/>
      </c>
      <c r="F289" t="str">
        <f>IF([1]Accounts!$D$290="","",[1]Accounts!$B$290)</f>
        <v/>
      </c>
      <c r="G289" t="str">
        <f>IF([1]Accounts!$D$290="","",[1]Accounts!$C$290)</f>
        <v/>
      </c>
      <c r="H289" t="str">
        <f>IF([1]Accounts!$D$290="","",[1]Accounts!$D$290)</f>
        <v/>
      </c>
      <c r="L289" t="str">
        <f>IF([2]Entry!$C$292="","",[2]Entry!$C$292)</f>
        <v/>
      </c>
      <c r="M289" t="str">
        <f>IF([2]Entry!$J$292="","",[2]Entry!$J$292)</f>
        <v/>
      </c>
      <c r="N289" t="str">
        <f>IF([2]Entry!$M$292="","",[2]Entry!$M$292)</f>
        <v/>
      </c>
      <c r="O289" t="str">
        <f>IF([2]Entry!$N$292="","",[2]Entry!$N$292)</f>
        <v/>
      </c>
      <c r="P289" t="str">
        <f>IF([2]Entry!$S$292="","",[2]Entry!$S$292)</f>
        <v/>
      </c>
    </row>
    <row r="290" spans="1:16" x14ac:dyDescent="0.2">
      <c r="A290" t="str">
        <f>IF([1]Cheques!$A$291="","",[1]Cheques!$A$291)</f>
        <v/>
      </c>
      <c r="E290" t="str">
        <f>IF([1]Accounts!$D$291="","",[1]Accounts!$A$291)</f>
        <v/>
      </c>
      <c r="F290" t="str">
        <f>IF([1]Accounts!$D$291="","",[1]Accounts!$B$291)</f>
        <v/>
      </c>
      <c r="G290" t="str">
        <f>IF([1]Accounts!$D$291="","",[1]Accounts!$C$291)</f>
        <v/>
      </c>
      <c r="H290" t="str">
        <f>IF([1]Accounts!$D$291="","",[1]Accounts!$D$291)</f>
        <v/>
      </c>
      <c r="L290" t="str">
        <f>IF([2]Entry!$C$293="","",[2]Entry!$C$293)</f>
        <v/>
      </c>
      <c r="M290" t="str">
        <f>IF([2]Entry!$J$293="","",[2]Entry!$J$293)</f>
        <v/>
      </c>
      <c r="N290" t="str">
        <f>IF([2]Entry!$M$293="","",[2]Entry!$M$293)</f>
        <v/>
      </c>
      <c r="O290" t="str">
        <f>IF([2]Entry!$N$293="","",[2]Entry!$N$293)</f>
        <v/>
      </c>
      <c r="P290" t="str">
        <f>IF([2]Entry!$S$293="","",[2]Entry!$S$293)</f>
        <v/>
      </c>
    </row>
    <row r="291" spans="1:16" x14ac:dyDescent="0.2">
      <c r="A291" t="str">
        <f>IF([1]Cheques!$A$292="","",[1]Cheques!$A$292)</f>
        <v/>
      </c>
      <c r="E291" t="str">
        <f>IF([1]Accounts!$D$292="","",[1]Accounts!$A$292)</f>
        <v/>
      </c>
      <c r="F291" t="str">
        <f>IF([1]Accounts!$D$292="","",[1]Accounts!$B$292)</f>
        <v/>
      </c>
      <c r="G291" t="str">
        <f>IF([1]Accounts!$D$292="","",[1]Accounts!$C$292)</f>
        <v/>
      </c>
      <c r="H291" t="str">
        <f>IF([1]Accounts!$D$292="","",[1]Accounts!$D$292)</f>
        <v/>
      </c>
      <c r="L291" t="str">
        <f>IF([2]Entry!$C$294="","",[2]Entry!$C$294)</f>
        <v/>
      </c>
      <c r="M291" t="str">
        <f>IF([2]Entry!$J$294="","",[2]Entry!$J$294)</f>
        <v/>
      </c>
      <c r="N291" t="str">
        <f>IF([2]Entry!$M$294="","",[2]Entry!$M$294)</f>
        <v/>
      </c>
      <c r="O291" t="str">
        <f>IF([2]Entry!$N$294="","",[2]Entry!$N$294)</f>
        <v/>
      </c>
      <c r="P291" t="str">
        <f>IF([2]Entry!$S$294="","",[2]Entry!$S$294)</f>
        <v/>
      </c>
    </row>
    <row r="292" spans="1:16" x14ac:dyDescent="0.2">
      <c r="A292" t="str">
        <f>IF([1]Cheques!$A$293="","",[1]Cheques!$A$293)</f>
        <v/>
      </c>
      <c r="E292" t="str">
        <f>IF([1]Accounts!$D$293="","",[1]Accounts!$A$293)</f>
        <v/>
      </c>
      <c r="F292" t="str">
        <f>IF([1]Accounts!$D$293="","",[1]Accounts!$B$293)</f>
        <v/>
      </c>
      <c r="G292" t="str">
        <f>IF([1]Accounts!$D$293="","",[1]Accounts!$C$293)</f>
        <v/>
      </c>
      <c r="H292" t="str">
        <f>IF([1]Accounts!$D$293="","",[1]Accounts!$D$293)</f>
        <v/>
      </c>
      <c r="L292" t="str">
        <f>IF([2]Entry!$C$295="","",[2]Entry!$C$295)</f>
        <v/>
      </c>
      <c r="M292" t="str">
        <f>IF([2]Entry!$J$295="","",[2]Entry!$J$295)</f>
        <v/>
      </c>
      <c r="N292" t="str">
        <f>IF([2]Entry!$M$295="","",[2]Entry!$M$295)</f>
        <v/>
      </c>
      <c r="O292" t="str">
        <f>IF([2]Entry!$N$295="","",[2]Entry!$N$295)</f>
        <v/>
      </c>
      <c r="P292" t="str">
        <f>IF([2]Entry!$S$295="","",[2]Entry!$S$295)</f>
        <v/>
      </c>
    </row>
    <row r="293" spans="1:16" x14ac:dyDescent="0.2">
      <c r="A293" t="str">
        <f>IF([1]Cheques!$A$294="","",[1]Cheques!$A$294)</f>
        <v/>
      </c>
      <c r="E293" t="str">
        <f>IF([1]Accounts!$D$294="","",[1]Accounts!$A$294)</f>
        <v/>
      </c>
      <c r="F293" t="str">
        <f>IF([1]Accounts!$D$294="","",[1]Accounts!$B$294)</f>
        <v/>
      </c>
      <c r="G293" t="str">
        <f>IF([1]Accounts!$D$294="","",[1]Accounts!$C$294)</f>
        <v/>
      </c>
      <c r="H293" t="str">
        <f>IF([1]Accounts!$D$294="","",[1]Accounts!$D$294)</f>
        <v/>
      </c>
      <c r="L293" t="str">
        <f>IF([2]Entry!$C$296="","",[2]Entry!$C$296)</f>
        <v/>
      </c>
      <c r="M293" t="str">
        <f>IF([2]Entry!$J$296="","",[2]Entry!$J$296)</f>
        <v/>
      </c>
      <c r="N293" t="str">
        <f>IF([2]Entry!$M$296="","",[2]Entry!$M$296)</f>
        <v/>
      </c>
      <c r="O293" t="str">
        <f>IF([2]Entry!$N$296="","",[2]Entry!$N$296)</f>
        <v/>
      </c>
      <c r="P293" t="str">
        <f>IF([2]Entry!$S$296="","",[2]Entry!$S$296)</f>
        <v/>
      </c>
    </row>
    <row r="294" spans="1:16" x14ac:dyDescent="0.2">
      <c r="A294" t="str">
        <f>IF([1]Cheques!$A$295="","",[1]Cheques!$A$295)</f>
        <v/>
      </c>
      <c r="E294" t="str">
        <f>IF([1]Accounts!$D$295="","",[1]Accounts!$A$295)</f>
        <v/>
      </c>
      <c r="F294" t="str">
        <f>IF([1]Accounts!$D$295="","",[1]Accounts!$B$295)</f>
        <v/>
      </c>
      <c r="G294" t="str">
        <f>IF([1]Accounts!$D$295="","",[1]Accounts!$C$295)</f>
        <v/>
      </c>
      <c r="H294" t="str">
        <f>IF([1]Accounts!$D$295="","",[1]Accounts!$D$295)</f>
        <v/>
      </c>
      <c r="L294" t="str">
        <f>IF([2]Entry!$C$297="","",[2]Entry!$C$297)</f>
        <v/>
      </c>
      <c r="M294" t="str">
        <f>IF([2]Entry!$J$297="","",[2]Entry!$J$297)</f>
        <v/>
      </c>
      <c r="N294" t="str">
        <f>IF([2]Entry!$M$297="","",[2]Entry!$M$297)</f>
        <v/>
      </c>
      <c r="O294" t="str">
        <f>IF([2]Entry!$N$297="","",[2]Entry!$N$297)</f>
        <v/>
      </c>
      <c r="P294" t="str">
        <f>IF([2]Entry!$S$297="","",[2]Entry!$S$297)</f>
        <v/>
      </c>
    </row>
    <row r="295" spans="1:16" x14ac:dyDescent="0.2">
      <c r="A295" t="str">
        <f>IF([1]Cheques!$A$296="","",[1]Cheques!$A$296)</f>
        <v/>
      </c>
      <c r="E295" t="str">
        <f>IF([1]Accounts!$D$296="","",[1]Accounts!$A$296)</f>
        <v/>
      </c>
      <c r="F295" t="str">
        <f>IF([1]Accounts!$D$296="","",[1]Accounts!$B$296)</f>
        <v/>
      </c>
      <c r="G295" t="str">
        <f>IF([1]Accounts!$D$296="","",[1]Accounts!$C$296)</f>
        <v/>
      </c>
      <c r="H295" t="str">
        <f>IF([1]Accounts!$D$296="","",[1]Accounts!$D$296)</f>
        <v/>
      </c>
      <c r="L295" t="str">
        <f>IF([2]Entry!$C$298="","",[2]Entry!$C$298)</f>
        <v/>
      </c>
      <c r="M295" t="str">
        <f>IF([2]Entry!$J$298="","",[2]Entry!$J$298)</f>
        <v/>
      </c>
      <c r="N295" t="str">
        <f>IF([2]Entry!$M$298="","",[2]Entry!$M$298)</f>
        <v/>
      </c>
      <c r="O295" t="str">
        <f>IF([2]Entry!$N$298="","",[2]Entry!$N$298)</f>
        <v/>
      </c>
      <c r="P295" t="str">
        <f>IF([2]Entry!$S$298="","",[2]Entry!$S$298)</f>
        <v/>
      </c>
    </row>
    <row r="296" spans="1:16" x14ac:dyDescent="0.2">
      <c r="A296" t="str">
        <f>IF([1]Cheques!$A$297="","",[1]Cheques!$A$297)</f>
        <v/>
      </c>
      <c r="E296" t="str">
        <f>IF([1]Accounts!$D$297="","",[1]Accounts!$A$297)</f>
        <v/>
      </c>
      <c r="F296" t="str">
        <f>IF([1]Accounts!$D$297="","",[1]Accounts!$B$297)</f>
        <v/>
      </c>
      <c r="G296" t="str">
        <f>IF([1]Accounts!$D$297="","",[1]Accounts!$C$297)</f>
        <v/>
      </c>
      <c r="H296" t="str">
        <f>IF([1]Accounts!$D$297="","",[1]Accounts!$D$297)</f>
        <v/>
      </c>
      <c r="L296" t="str">
        <f>IF([2]Entry!$C$299="","",[2]Entry!$C$299)</f>
        <v/>
      </c>
      <c r="M296" t="str">
        <f>IF([2]Entry!$J$299="","",[2]Entry!$J$299)</f>
        <v/>
      </c>
      <c r="N296" t="str">
        <f>IF([2]Entry!$M$299="","",[2]Entry!$M$299)</f>
        <v/>
      </c>
      <c r="O296" t="str">
        <f>IF([2]Entry!$N$299="","",[2]Entry!$N$299)</f>
        <v/>
      </c>
      <c r="P296" t="str">
        <f>IF([2]Entry!$S$299="","",[2]Entry!$S$299)</f>
        <v/>
      </c>
    </row>
    <row r="297" spans="1:16" x14ac:dyDescent="0.2">
      <c r="A297" t="str">
        <f>IF([1]Cheques!$A$298="","",[1]Cheques!$A$298)</f>
        <v/>
      </c>
      <c r="E297" t="str">
        <f>IF([1]Accounts!$D$298="","",[1]Accounts!$A$298)</f>
        <v/>
      </c>
      <c r="F297" t="str">
        <f>IF([1]Accounts!$D$298="","",[1]Accounts!$B$298)</f>
        <v/>
      </c>
      <c r="G297" t="str">
        <f>IF([1]Accounts!$D$298="","",[1]Accounts!$C$298)</f>
        <v/>
      </c>
      <c r="H297" t="str">
        <f>IF([1]Accounts!$D$298="","",[1]Accounts!$D$298)</f>
        <v/>
      </c>
      <c r="L297" t="str">
        <f>IF([2]Entry!$C$300="","",[2]Entry!$C$300)</f>
        <v/>
      </c>
      <c r="M297" t="str">
        <f>IF([2]Entry!$J$300="","",[2]Entry!$J$300)</f>
        <v/>
      </c>
      <c r="N297" t="str">
        <f>IF([2]Entry!$M$300="","",[2]Entry!$M$300)</f>
        <v/>
      </c>
      <c r="O297" t="str">
        <f>IF([2]Entry!$N$300="","",[2]Entry!$N$300)</f>
        <v/>
      </c>
      <c r="P297" t="str">
        <f>IF([2]Entry!$S$300="","",[2]Entry!$S$300)</f>
        <v/>
      </c>
    </row>
    <row r="298" spans="1:16" x14ac:dyDescent="0.2">
      <c r="A298" t="str">
        <f>IF([1]Cheques!$A$299="","",[1]Cheques!$A$299)</f>
        <v/>
      </c>
      <c r="E298" t="str">
        <f>IF([1]Accounts!$D$299="","",[1]Accounts!$A$299)</f>
        <v/>
      </c>
      <c r="F298" t="str">
        <f>IF([1]Accounts!$D$299="","",[1]Accounts!$B$299)</f>
        <v/>
      </c>
      <c r="G298" t="str">
        <f>IF([1]Accounts!$D$299="","",[1]Accounts!$C$299)</f>
        <v/>
      </c>
      <c r="H298" t="str">
        <f>IF([1]Accounts!$D$299="","",[1]Accounts!$D$299)</f>
        <v/>
      </c>
      <c r="L298" t="str">
        <f>IF([2]Entry!$C$301="","",[2]Entry!$C$301)</f>
        <v/>
      </c>
      <c r="M298" t="str">
        <f>IF([2]Entry!$J$301="","",[2]Entry!$J$301)</f>
        <v/>
      </c>
      <c r="N298" t="str">
        <f>IF([2]Entry!$M$301="","",[2]Entry!$M$301)</f>
        <v/>
      </c>
      <c r="O298" t="str">
        <f>IF([2]Entry!$N$301="","",[2]Entry!$N$301)</f>
        <v/>
      </c>
      <c r="P298" t="str">
        <f>IF([2]Entry!$S$301="","",[2]Entry!$S$301)</f>
        <v/>
      </c>
    </row>
    <row r="299" spans="1:16" x14ac:dyDescent="0.2">
      <c r="A299" t="str">
        <f>IF([1]Cheques!$A$300="","",[1]Cheques!$A$300)</f>
        <v/>
      </c>
      <c r="E299" t="str">
        <f>IF([1]Accounts!$D$300="","",[1]Accounts!$A$300)</f>
        <v/>
      </c>
      <c r="F299" t="str">
        <f>IF([1]Accounts!$D$300="","",[1]Accounts!$B$300)</f>
        <v/>
      </c>
      <c r="G299" t="str">
        <f>IF([1]Accounts!$D$300="","",[1]Accounts!$C$300)</f>
        <v/>
      </c>
      <c r="H299" t="str">
        <f>IF([1]Accounts!$D$300="","",[1]Accounts!$D$300)</f>
        <v/>
      </c>
      <c r="L299" t="str">
        <f>IF([2]Entry!$C$302="","",[2]Entry!$C$302)</f>
        <v/>
      </c>
      <c r="M299" t="str">
        <f>IF([2]Entry!$J$302="","",[2]Entry!$J$302)</f>
        <v/>
      </c>
      <c r="N299" t="str">
        <f>IF([2]Entry!$M$302="","",[2]Entry!$M$302)</f>
        <v/>
      </c>
      <c r="O299" t="str">
        <f>IF([2]Entry!$N$302="","",[2]Entry!$N$302)</f>
        <v/>
      </c>
      <c r="P299" t="str">
        <f>IF([2]Entry!$S$302="","",[2]Entry!$S$302)</f>
        <v/>
      </c>
    </row>
    <row r="300" spans="1:16" x14ac:dyDescent="0.2">
      <c r="A300" t="str">
        <f>IF([1]Cheques!$A$301="","",[1]Cheques!$A$301)</f>
        <v/>
      </c>
      <c r="E300" t="str">
        <f>IF([1]Accounts!$D$301="","",[1]Accounts!$A$301)</f>
        <v/>
      </c>
      <c r="F300" t="str">
        <f>IF([1]Accounts!$D$301="","",[1]Accounts!$B$301)</f>
        <v/>
      </c>
      <c r="G300" t="str">
        <f>IF([1]Accounts!$D$301="","",[1]Accounts!$C$301)</f>
        <v/>
      </c>
      <c r="H300" t="str">
        <f>IF([1]Accounts!$D$301="","",[1]Accounts!$D$301)</f>
        <v/>
      </c>
      <c r="L300" t="str">
        <f>IF([2]Entry!$C$303="","",[2]Entry!$C$303)</f>
        <v/>
      </c>
      <c r="M300" t="str">
        <f>IF([2]Entry!$J$303="","",[2]Entry!$J$303)</f>
        <v/>
      </c>
      <c r="N300" t="str">
        <f>IF([2]Entry!$M$303="","",[2]Entry!$M$303)</f>
        <v/>
      </c>
      <c r="O300" t="str">
        <f>IF([2]Entry!$N$303="","",[2]Entry!$N$303)</f>
        <v/>
      </c>
      <c r="P300" t="str">
        <f>IF([2]Entry!$S$303="","",[2]Entry!$S$303)</f>
        <v/>
      </c>
    </row>
    <row r="301" spans="1:16" x14ac:dyDescent="0.2">
      <c r="A301" t="str">
        <f>IF([1]Cheques!$A$302="","",[1]Cheques!$A$302)</f>
        <v/>
      </c>
      <c r="E301" t="str">
        <f>IF([1]Accounts!$D$302="","",[1]Accounts!$A$302)</f>
        <v/>
      </c>
      <c r="F301" t="str">
        <f>IF([1]Accounts!$D$302="","",[1]Accounts!$B$302)</f>
        <v/>
      </c>
      <c r="G301" t="str">
        <f>IF([1]Accounts!$D$302="","",[1]Accounts!$C$302)</f>
        <v/>
      </c>
      <c r="H301" t="str">
        <f>IF([1]Accounts!$D$302="","",[1]Accounts!$D$302)</f>
        <v/>
      </c>
      <c r="L301" t="str">
        <f>IF([2]Entry!$C$304="","",[2]Entry!$C$304)</f>
        <v/>
      </c>
      <c r="M301" t="str">
        <f>IF([2]Entry!$J$304="","",[2]Entry!$J$304)</f>
        <v/>
      </c>
      <c r="N301" t="str">
        <f>IF([2]Entry!$M$304="","",[2]Entry!$M$304)</f>
        <v/>
      </c>
      <c r="O301" t="str">
        <f>IF([2]Entry!$N$304="","",[2]Entry!$N$304)</f>
        <v/>
      </c>
      <c r="P301" t="str">
        <f>IF([2]Entry!$S$304="","",[2]Entry!$S$304)</f>
        <v/>
      </c>
    </row>
    <row r="302" spans="1:16" x14ac:dyDescent="0.2">
      <c r="A302" t="str">
        <f>IF([1]Cheques!$A$303="","",[1]Cheques!$A$303)</f>
        <v/>
      </c>
      <c r="E302" t="str">
        <f>IF([1]Accounts!$D$303="","",[1]Accounts!$A$303)</f>
        <v/>
      </c>
      <c r="F302" t="str">
        <f>IF([1]Accounts!$D$303="","",[1]Accounts!$B$303)</f>
        <v/>
      </c>
      <c r="G302" t="str">
        <f>IF([1]Accounts!$D$303="","",[1]Accounts!$C$303)</f>
        <v/>
      </c>
      <c r="H302" t="str">
        <f>IF([1]Accounts!$D$303="","",[1]Accounts!$D$303)</f>
        <v/>
      </c>
      <c r="L302" t="str">
        <f>IF([2]Entry!$C$305="","",[2]Entry!$C$305)</f>
        <v/>
      </c>
      <c r="M302" t="str">
        <f>IF([2]Entry!$J$305="","",[2]Entry!$J$305)</f>
        <v/>
      </c>
      <c r="N302" t="str">
        <f>IF([2]Entry!$M$305="","",[2]Entry!$M$305)</f>
        <v/>
      </c>
      <c r="O302" t="str">
        <f>IF([2]Entry!$N$305="","",[2]Entry!$N$305)</f>
        <v/>
      </c>
      <c r="P302" t="str">
        <f>IF([2]Entry!$S$305="","",[2]Entry!$S$305)</f>
        <v/>
      </c>
    </row>
    <row r="303" spans="1:16" x14ac:dyDescent="0.2">
      <c r="A303" t="str">
        <f>IF([1]Cheques!$A$304="","",[1]Cheques!$A$304)</f>
        <v/>
      </c>
      <c r="E303" t="str">
        <f>IF([1]Accounts!$D$304="","",[1]Accounts!$A$304)</f>
        <v/>
      </c>
      <c r="F303" t="str">
        <f>IF([1]Accounts!$D$304="","",[1]Accounts!$B$304)</f>
        <v/>
      </c>
      <c r="G303" t="str">
        <f>IF([1]Accounts!$D$304="","",[1]Accounts!$C$304)</f>
        <v/>
      </c>
      <c r="H303" t="str">
        <f>IF([1]Accounts!$D$304="","",[1]Accounts!$D$304)</f>
        <v/>
      </c>
      <c r="L303" t="str">
        <f>IF([2]Entry!$C$306="","",[2]Entry!$C$306)</f>
        <v/>
      </c>
      <c r="M303" t="str">
        <f>IF([2]Entry!$J$306="","",[2]Entry!$J$306)</f>
        <v/>
      </c>
      <c r="N303" t="str">
        <f>IF([2]Entry!$M$306="","",[2]Entry!$M$306)</f>
        <v/>
      </c>
      <c r="O303" t="str">
        <f>IF([2]Entry!$N$306="","",[2]Entry!$N$306)</f>
        <v/>
      </c>
      <c r="P303" t="str">
        <f>IF([2]Entry!$S$306="","",[2]Entry!$S$306)</f>
        <v/>
      </c>
    </row>
    <row r="304" spans="1:16" x14ac:dyDescent="0.2">
      <c r="A304" t="str">
        <f>IF([1]Cheques!$A$305="","",[1]Cheques!$A$305)</f>
        <v/>
      </c>
      <c r="E304" t="str">
        <f>IF([1]Accounts!$D$305="","",[1]Accounts!$A$305)</f>
        <v/>
      </c>
      <c r="F304" t="str">
        <f>IF([1]Accounts!$D$305="","",[1]Accounts!$B$305)</f>
        <v/>
      </c>
      <c r="G304" t="str">
        <f>IF([1]Accounts!$D$305="","",[1]Accounts!$C$305)</f>
        <v/>
      </c>
      <c r="H304" t="str">
        <f>IF([1]Accounts!$D$305="","",[1]Accounts!$D$305)</f>
        <v/>
      </c>
      <c r="L304" t="str">
        <f>IF([2]Entry!$C$307="","",[2]Entry!$C$307)</f>
        <v/>
      </c>
      <c r="M304" t="str">
        <f>IF([2]Entry!$J$307="","",[2]Entry!$J$307)</f>
        <v/>
      </c>
      <c r="N304" t="str">
        <f>IF([2]Entry!$M$307="","",[2]Entry!$M$307)</f>
        <v/>
      </c>
      <c r="O304" t="str">
        <f>IF([2]Entry!$N$307="","",[2]Entry!$N$307)</f>
        <v/>
      </c>
      <c r="P304" t="str">
        <f>IF([2]Entry!$S$307="","",[2]Entry!$S$307)</f>
        <v/>
      </c>
    </row>
    <row r="305" spans="1:16" x14ac:dyDescent="0.2">
      <c r="A305" t="str">
        <f>IF([1]Cheques!$A$306="","",[1]Cheques!$A$306)</f>
        <v/>
      </c>
      <c r="E305" t="str">
        <f>IF([1]Accounts!$D$306="","",[1]Accounts!$A$306)</f>
        <v/>
      </c>
      <c r="F305" t="str">
        <f>IF([1]Accounts!$D$306="","",[1]Accounts!$B$306)</f>
        <v/>
      </c>
      <c r="G305" t="str">
        <f>IF([1]Accounts!$D$306="","",[1]Accounts!$C$306)</f>
        <v/>
      </c>
      <c r="H305" t="str">
        <f>IF([1]Accounts!$D$306="","",[1]Accounts!$D$306)</f>
        <v/>
      </c>
      <c r="L305" t="str">
        <f>IF([2]Entry!$C$308="","",[2]Entry!$C$308)</f>
        <v/>
      </c>
      <c r="M305" t="str">
        <f>IF([2]Entry!$J$308="","",[2]Entry!$J$308)</f>
        <v/>
      </c>
      <c r="N305" t="str">
        <f>IF([2]Entry!$M$308="","",[2]Entry!$M$308)</f>
        <v/>
      </c>
      <c r="O305" t="str">
        <f>IF([2]Entry!$N$308="","",[2]Entry!$N$308)</f>
        <v/>
      </c>
      <c r="P305" t="str">
        <f>IF([2]Entry!$S$308="","",[2]Entry!$S$308)</f>
        <v/>
      </c>
    </row>
    <row r="306" spans="1:16" x14ac:dyDescent="0.2">
      <c r="A306" t="str">
        <f>IF([1]Cheques!$A$307="","",[1]Cheques!$A$307)</f>
        <v/>
      </c>
      <c r="E306" t="str">
        <f>IF([1]Accounts!$D$307="","",[1]Accounts!$A$307)</f>
        <v>S001</v>
      </c>
      <c r="F306" t="str">
        <f>IF([1]Accounts!$D$307="","",[1]Accounts!$B$307)</f>
        <v>تأمین‌کننده</v>
      </c>
      <c r="G306" t="str">
        <f>IF([1]Accounts!$D$307="","",[1]Accounts!$C$307)</f>
        <v>فروشنده سبد</v>
      </c>
      <c r="H306" t="str">
        <f>IF([1]Accounts!$D$307="","",[1]Accounts!$D$307)</f>
        <v>حسن کوچکزاده</v>
      </c>
      <c r="L306" t="str">
        <f>IF([2]Entry!$C$309="","",[2]Entry!$C$309)</f>
        <v/>
      </c>
      <c r="M306" t="str">
        <f>IF([2]Entry!$J$309="","",[2]Entry!$J$309)</f>
        <v/>
      </c>
      <c r="N306" t="str">
        <f>IF([2]Entry!$M$309="","",[2]Entry!$M$309)</f>
        <v/>
      </c>
      <c r="O306" t="str">
        <f>IF([2]Entry!$N$309="","",[2]Entry!$N$309)</f>
        <v/>
      </c>
      <c r="P306" t="str">
        <f>IF([2]Entry!$S$309="","",[2]Entry!$S$309)</f>
        <v/>
      </c>
    </row>
    <row r="307" spans="1:16" x14ac:dyDescent="0.2">
      <c r="A307" t="str">
        <f>IF([1]Cheques!$A$308="","",[1]Cheques!$A$308)</f>
        <v/>
      </c>
      <c r="E307" t="str">
        <f>IF([1]Accounts!$D$308="","",[1]Accounts!$A$308)</f>
        <v>S002</v>
      </c>
      <c r="F307" t="str">
        <f>IF([1]Accounts!$D$308="","",[1]Accounts!$B$308)</f>
        <v>تأمین‌کننده</v>
      </c>
      <c r="G307" t="str">
        <f>IF([1]Accounts!$D$308="","",[1]Accounts!$C$308)</f>
        <v>فروشنده سبد</v>
      </c>
      <c r="H307" t="str">
        <f>IF([1]Accounts!$D$308="","",[1]Accounts!$D$308)</f>
        <v>سید محمد موسویان</v>
      </c>
      <c r="L307" t="str">
        <f>IF([2]Entry!$C$310="","",[2]Entry!$C$310)</f>
        <v/>
      </c>
      <c r="M307" t="str">
        <f>IF([2]Entry!$J$310="","",[2]Entry!$J$310)</f>
        <v/>
      </c>
      <c r="N307" t="str">
        <f>IF([2]Entry!$M$310="","",[2]Entry!$M$310)</f>
        <v/>
      </c>
      <c r="O307" t="str">
        <f>IF([2]Entry!$N$310="","",[2]Entry!$N$310)</f>
        <v/>
      </c>
      <c r="P307" t="str">
        <f>IF([2]Entry!$S$310="","",[2]Entry!$S$310)</f>
        <v/>
      </c>
    </row>
    <row r="308" spans="1:16" x14ac:dyDescent="0.2">
      <c r="A308" t="str">
        <f>IF([1]Cheques!$A$309="","",[1]Cheques!$A$309)</f>
        <v/>
      </c>
      <c r="E308" t="str">
        <f>IF([1]Accounts!$D$309="","",[1]Accounts!$A$309)</f>
        <v/>
      </c>
      <c r="F308" t="str">
        <f>IF([1]Accounts!$D$309="","",[1]Accounts!$B$309)</f>
        <v/>
      </c>
      <c r="G308" t="str">
        <f>IF([1]Accounts!$D$309="","",[1]Accounts!$C$309)</f>
        <v/>
      </c>
      <c r="H308" t="str">
        <f>IF([1]Accounts!$D$309="","",[1]Accounts!$D$309)</f>
        <v/>
      </c>
      <c r="L308" t="str">
        <f>IF([2]Entry!$C$311="","",[2]Entry!$C$311)</f>
        <v/>
      </c>
      <c r="M308" t="str">
        <f>IF([2]Entry!$J$311="","",[2]Entry!$J$311)</f>
        <v/>
      </c>
      <c r="N308" t="str">
        <f>IF([2]Entry!$M$311="","",[2]Entry!$M$311)</f>
        <v/>
      </c>
      <c r="O308" t="str">
        <f>IF([2]Entry!$N$311="","",[2]Entry!$N$311)</f>
        <v/>
      </c>
      <c r="P308" t="str">
        <f>IF([2]Entry!$S$311="","",[2]Entry!$S$311)</f>
        <v/>
      </c>
    </row>
    <row r="309" spans="1:16" x14ac:dyDescent="0.2">
      <c r="A309" t="str">
        <f>IF([1]Cheques!$A$310="","",[1]Cheques!$A$310)</f>
        <v/>
      </c>
      <c r="E309" t="str">
        <f>IF([1]Accounts!$D$310="","",[1]Accounts!$A$310)</f>
        <v/>
      </c>
      <c r="F309" t="str">
        <f>IF([1]Accounts!$D$310="","",[1]Accounts!$B$310)</f>
        <v/>
      </c>
      <c r="G309" t="str">
        <f>IF([1]Accounts!$D$310="","",[1]Accounts!$C$310)</f>
        <v/>
      </c>
      <c r="H309" t="str">
        <f>IF([1]Accounts!$D$310="","",[1]Accounts!$D$310)</f>
        <v/>
      </c>
      <c r="L309" t="str">
        <f>IF([2]Entry!$C$312="","",[2]Entry!$C$312)</f>
        <v/>
      </c>
      <c r="M309" t="str">
        <f>IF([2]Entry!$J$312="","",[2]Entry!$J$312)</f>
        <v/>
      </c>
      <c r="N309" t="str">
        <f>IF([2]Entry!$M$312="","",[2]Entry!$M$312)</f>
        <v/>
      </c>
      <c r="O309" t="str">
        <f>IF([2]Entry!$N$312="","",[2]Entry!$N$312)</f>
        <v/>
      </c>
      <c r="P309" t="str">
        <f>IF([2]Entry!$S$312="","",[2]Entry!$S$312)</f>
        <v/>
      </c>
    </row>
    <row r="310" spans="1:16" x14ac:dyDescent="0.2">
      <c r="A310" t="str">
        <f>IF([1]Cheques!$A$311="","",[1]Cheques!$A$311)</f>
        <v/>
      </c>
      <c r="E310" t="str">
        <f>IF([1]Accounts!$D$311="","",[1]Accounts!$A$311)</f>
        <v/>
      </c>
      <c r="F310" t="str">
        <f>IF([1]Accounts!$D$311="","",[1]Accounts!$B$311)</f>
        <v/>
      </c>
      <c r="G310" t="str">
        <f>IF([1]Accounts!$D$311="","",[1]Accounts!$C$311)</f>
        <v/>
      </c>
      <c r="H310" t="str">
        <f>IF([1]Accounts!$D$311="","",[1]Accounts!$D$311)</f>
        <v/>
      </c>
      <c r="L310" t="str">
        <f>IF([2]Entry!$C$313="","",[2]Entry!$C$313)</f>
        <v/>
      </c>
      <c r="M310" t="str">
        <f>IF([2]Entry!$J$313="","",[2]Entry!$J$313)</f>
        <v/>
      </c>
      <c r="N310" t="str">
        <f>IF([2]Entry!$M$313="","",[2]Entry!$M$313)</f>
        <v/>
      </c>
      <c r="O310" t="str">
        <f>IF([2]Entry!$N$313="","",[2]Entry!$N$313)</f>
        <v/>
      </c>
      <c r="P310" t="str">
        <f>IF([2]Entry!$S$313="","",[2]Entry!$S$313)</f>
        <v/>
      </c>
    </row>
    <row r="311" spans="1:16" x14ac:dyDescent="0.2">
      <c r="A311" t="str">
        <f>IF([1]Cheques!$A$312="","",[1]Cheques!$A$312)</f>
        <v/>
      </c>
      <c r="E311" t="str">
        <f>IF([1]Accounts!$D$312="","",[1]Accounts!$A$312)</f>
        <v/>
      </c>
      <c r="F311" t="str">
        <f>IF([1]Accounts!$D$312="","",[1]Accounts!$B$312)</f>
        <v/>
      </c>
      <c r="G311" t="str">
        <f>IF([1]Accounts!$D$312="","",[1]Accounts!$C$312)</f>
        <v/>
      </c>
      <c r="H311" t="str">
        <f>IF([1]Accounts!$D$312="","",[1]Accounts!$D$312)</f>
        <v/>
      </c>
      <c r="L311" t="str">
        <f>IF([2]Entry!$C$314="","",[2]Entry!$C$314)</f>
        <v/>
      </c>
      <c r="M311" t="str">
        <f>IF([2]Entry!$J$314="","",[2]Entry!$J$314)</f>
        <v/>
      </c>
      <c r="N311" t="str">
        <f>IF([2]Entry!$M$314="","",[2]Entry!$M$314)</f>
        <v/>
      </c>
      <c r="O311" t="str">
        <f>IF([2]Entry!$N$314="","",[2]Entry!$N$314)</f>
        <v/>
      </c>
      <c r="P311" t="str">
        <f>IF([2]Entry!$S$314="","",[2]Entry!$S$314)</f>
        <v/>
      </c>
    </row>
    <row r="312" spans="1:16" x14ac:dyDescent="0.2">
      <c r="A312" t="str">
        <f>IF([1]Cheques!$A$313="","",[1]Cheques!$A$313)</f>
        <v/>
      </c>
      <c r="E312" t="str">
        <f>IF([1]Accounts!$D$313="","",[1]Accounts!$A$313)</f>
        <v/>
      </c>
      <c r="F312" t="str">
        <f>IF([1]Accounts!$D$313="","",[1]Accounts!$B$313)</f>
        <v/>
      </c>
      <c r="G312" t="str">
        <f>IF([1]Accounts!$D$313="","",[1]Accounts!$C$313)</f>
        <v/>
      </c>
      <c r="H312" t="str">
        <f>IF([1]Accounts!$D$313="","",[1]Accounts!$D$313)</f>
        <v/>
      </c>
      <c r="L312" t="str">
        <f>IF([2]Entry!$C$315="","",[2]Entry!$C$315)</f>
        <v/>
      </c>
      <c r="M312" t="str">
        <f>IF([2]Entry!$J$315="","",[2]Entry!$J$315)</f>
        <v/>
      </c>
      <c r="N312" t="str">
        <f>IF([2]Entry!$M$315="","",[2]Entry!$M$315)</f>
        <v/>
      </c>
      <c r="O312" t="str">
        <f>IF([2]Entry!$N$315="","",[2]Entry!$N$315)</f>
        <v/>
      </c>
      <c r="P312" t="str">
        <f>IF([2]Entry!$S$315="","",[2]Entry!$S$315)</f>
        <v/>
      </c>
    </row>
    <row r="313" spans="1:16" x14ac:dyDescent="0.2">
      <c r="A313" t="str">
        <f>IF([1]Cheques!$A$314="","",[1]Cheques!$A$314)</f>
        <v/>
      </c>
      <c r="E313" t="str">
        <f>IF([1]Accounts!$D$314="","",[1]Accounts!$A$314)</f>
        <v/>
      </c>
      <c r="F313" t="str">
        <f>IF([1]Accounts!$D$314="","",[1]Accounts!$B$314)</f>
        <v/>
      </c>
      <c r="G313" t="str">
        <f>IF([1]Accounts!$D$314="","",[1]Accounts!$C$314)</f>
        <v/>
      </c>
      <c r="H313" t="str">
        <f>IF([1]Accounts!$D$314="","",[1]Accounts!$D$314)</f>
        <v/>
      </c>
      <c r="L313" t="str">
        <f>IF([2]Entry!$C$316="","",[2]Entry!$C$316)</f>
        <v/>
      </c>
      <c r="M313" t="str">
        <f>IF([2]Entry!$J$316="","",[2]Entry!$J$316)</f>
        <v/>
      </c>
      <c r="N313" t="str">
        <f>IF([2]Entry!$M$316="","",[2]Entry!$M$316)</f>
        <v/>
      </c>
      <c r="O313" t="str">
        <f>IF([2]Entry!$N$316="","",[2]Entry!$N$316)</f>
        <v/>
      </c>
      <c r="P313" t="str">
        <f>IF([2]Entry!$S$316="","",[2]Entry!$S$316)</f>
        <v/>
      </c>
    </row>
    <row r="314" spans="1:16" x14ac:dyDescent="0.2">
      <c r="A314" t="str">
        <f>IF([1]Cheques!$A$315="","",[1]Cheques!$A$315)</f>
        <v/>
      </c>
      <c r="E314" t="str">
        <f>IF([1]Accounts!$D$315="","",[1]Accounts!$A$315)</f>
        <v/>
      </c>
      <c r="F314" t="str">
        <f>IF([1]Accounts!$D$315="","",[1]Accounts!$B$315)</f>
        <v/>
      </c>
      <c r="G314" t="str">
        <f>IF([1]Accounts!$D$315="","",[1]Accounts!$C$315)</f>
        <v/>
      </c>
      <c r="H314" t="str">
        <f>IF([1]Accounts!$D$315="","",[1]Accounts!$D$315)</f>
        <v/>
      </c>
      <c r="L314" t="str">
        <f>IF([2]Entry!$C$317="","",[2]Entry!$C$317)</f>
        <v/>
      </c>
      <c r="M314" t="str">
        <f>IF([2]Entry!$J$317="","",[2]Entry!$J$317)</f>
        <v/>
      </c>
      <c r="N314" t="str">
        <f>IF([2]Entry!$M$317="","",[2]Entry!$M$317)</f>
        <v/>
      </c>
      <c r="O314" t="str">
        <f>IF([2]Entry!$N$317="","",[2]Entry!$N$317)</f>
        <v/>
      </c>
      <c r="P314" t="str">
        <f>IF([2]Entry!$S$317="","",[2]Entry!$S$317)</f>
        <v/>
      </c>
    </row>
    <row r="315" spans="1:16" x14ac:dyDescent="0.2">
      <c r="A315" t="str">
        <f>IF([1]Cheques!$A$316="","",[1]Cheques!$A$316)</f>
        <v/>
      </c>
      <c r="E315" t="str">
        <f>IF([1]Accounts!$D$316="","",[1]Accounts!$A$316)</f>
        <v/>
      </c>
      <c r="F315" t="str">
        <f>IF([1]Accounts!$D$316="","",[1]Accounts!$B$316)</f>
        <v/>
      </c>
      <c r="G315" t="str">
        <f>IF([1]Accounts!$D$316="","",[1]Accounts!$C$316)</f>
        <v/>
      </c>
      <c r="H315" t="str">
        <f>IF([1]Accounts!$D$316="","",[1]Accounts!$D$316)</f>
        <v/>
      </c>
      <c r="L315" t="str">
        <f>IF([2]Entry!$C$318="","",[2]Entry!$C$318)</f>
        <v/>
      </c>
      <c r="M315" t="str">
        <f>IF([2]Entry!$J$318="","",[2]Entry!$J$318)</f>
        <v/>
      </c>
      <c r="N315" t="str">
        <f>IF([2]Entry!$M$318="","",[2]Entry!$M$318)</f>
        <v/>
      </c>
      <c r="O315" t="str">
        <f>IF([2]Entry!$N$318="","",[2]Entry!$N$318)</f>
        <v/>
      </c>
      <c r="P315" t="str">
        <f>IF([2]Entry!$S$318="","",[2]Entry!$S$318)</f>
        <v/>
      </c>
    </row>
    <row r="316" spans="1:16" x14ac:dyDescent="0.2">
      <c r="A316" t="str">
        <f>IF([1]Cheques!$A$317="","",[1]Cheques!$A$317)</f>
        <v/>
      </c>
      <c r="E316" t="str">
        <f>IF([1]Accounts!$D$317="","",[1]Accounts!$A$317)</f>
        <v/>
      </c>
      <c r="F316" t="str">
        <f>IF([1]Accounts!$D$317="","",[1]Accounts!$B$317)</f>
        <v/>
      </c>
      <c r="G316" t="str">
        <f>IF([1]Accounts!$D$317="","",[1]Accounts!$C$317)</f>
        <v/>
      </c>
      <c r="H316" t="str">
        <f>IF([1]Accounts!$D$317="","",[1]Accounts!$D$317)</f>
        <v/>
      </c>
      <c r="L316" t="str">
        <f>IF([2]Entry!$C$319="","",[2]Entry!$C$319)</f>
        <v/>
      </c>
      <c r="M316" t="str">
        <f>IF([2]Entry!$J$319="","",[2]Entry!$J$319)</f>
        <v/>
      </c>
      <c r="N316" t="str">
        <f>IF([2]Entry!$M$319="","",[2]Entry!$M$319)</f>
        <v/>
      </c>
      <c r="O316" t="str">
        <f>IF([2]Entry!$N$319="","",[2]Entry!$N$319)</f>
        <v/>
      </c>
      <c r="P316" t="str">
        <f>IF([2]Entry!$S$319="","",[2]Entry!$S$319)</f>
        <v/>
      </c>
    </row>
    <row r="317" spans="1:16" x14ac:dyDescent="0.2">
      <c r="A317" t="str">
        <f>IF([1]Cheques!$A$318="","",[1]Cheques!$A$318)</f>
        <v/>
      </c>
      <c r="E317" t="str">
        <f>IF([1]Accounts!$D$318="","",[1]Accounts!$A$318)</f>
        <v/>
      </c>
      <c r="F317" t="str">
        <f>IF([1]Accounts!$D$318="","",[1]Accounts!$B$318)</f>
        <v/>
      </c>
      <c r="G317" t="str">
        <f>IF([1]Accounts!$D$318="","",[1]Accounts!$C$318)</f>
        <v/>
      </c>
      <c r="H317" t="str">
        <f>IF([1]Accounts!$D$318="","",[1]Accounts!$D$318)</f>
        <v/>
      </c>
      <c r="L317" t="str">
        <f>IF([2]Entry!$C$320="","",[2]Entry!$C$320)</f>
        <v/>
      </c>
      <c r="M317" t="str">
        <f>IF([2]Entry!$J$320="","",[2]Entry!$J$320)</f>
        <v/>
      </c>
      <c r="N317" t="str">
        <f>IF([2]Entry!$M$320="","",[2]Entry!$M$320)</f>
        <v/>
      </c>
      <c r="O317" t="str">
        <f>IF([2]Entry!$N$320="","",[2]Entry!$N$320)</f>
        <v/>
      </c>
      <c r="P317" t="str">
        <f>IF([2]Entry!$S$320="","",[2]Entry!$S$320)</f>
        <v/>
      </c>
    </row>
    <row r="318" spans="1:16" x14ac:dyDescent="0.2">
      <c r="A318" t="str">
        <f>IF([1]Cheques!$A$319="","",[1]Cheques!$A$319)</f>
        <v/>
      </c>
      <c r="E318" t="str">
        <f>IF([1]Accounts!$D$319="","",[1]Accounts!$A$319)</f>
        <v/>
      </c>
      <c r="F318" t="str">
        <f>IF([1]Accounts!$D$319="","",[1]Accounts!$B$319)</f>
        <v/>
      </c>
      <c r="G318" t="str">
        <f>IF([1]Accounts!$D$319="","",[1]Accounts!$C$319)</f>
        <v/>
      </c>
      <c r="H318" t="str">
        <f>IF([1]Accounts!$D$319="","",[1]Accounts!$D$319)</f>
        <v/>
      </c>
      <c r="L318" t="str">
        <f>IF([2]Entry!$C$321="","",[2]Entry!$C$321)</f>
        <v/>
      </c>
      <c r="M318" t="str">
        <f>IF([2]Entry!$J$321="","",[2]Entry!$J$321)</f>
        <v/>
      </c>
      <c r="N318" t="str">
        <f>IF([2]Entry!$M$321="","",[2]Entry!$M$321)</f>
        <v/>
      </c>
      <c r="O318" t="str">
        <f>IF([2]Entry!$N$321="","",[2]Entry!$N$321)</f>
        <v/>
      </c>
      <c r="P318" t="str">
        <f>IF([2]Entry!$S$321="","",[2]Entry!$S$321)</f>
        <v/>
      </c>
    </row>
    <row r="319" spans="1:16" x14ac:dyDescent="0.2">
      <c r="A319" t="str">
        <f>IF([1]Cheques!$A$320="","",[1]Cheques!$A$320)</f>
        <v/>
      </c>
      <c r="E319" t="str">
        <f>IF([1]Accounts!$D$320="","",[1]Accounts!$A$320)</f>
        <v/>
      </c>
      <c r="F319" t="str">
        <f>IF([1]Accounts!$D$320="","",[1]Accounts!$B$320)</f>
        <v/>
      </c>
      <c r="G319" t="str">
        <f>IF([1]Accounts!$D$320="","",[1]Accounts!$C$320)</f>
        <v/>
      </c>
      <c r="H319" t="str">
        <f>IF([1]Accounts!$D$320="","",[1]Accounts!$D$320)</f>
        <v/>
      </c>
      <c r="L319" t="str">
        <f>IF([2]Entry!$C$322="","",[2]Entry!$C$322)</f>
        <v/>
      </c>
      <c r="M319" t="str">
        <f>IF([2]Entry!$J$322="","",[2]Entry!$J$322)</f>
        <v/>
      </c>
      <c r="N319" t="str">
        <f>IF([2]Entry!$M$322="","",[2]Entry!$M$322)</f>
        <v/>
      </c>
      <c r="O319" t="str">
        <f>IF([2]Entry!$N$322="","",[2]Entry!$N$322)</f>
        <v/>
      </c>
      <c r="P319" t="str">
        <f>IF([2]Entry!$S$322="","",[2]Entry!$S$322)</f>
        <v/>
      </c>
    </row>
    <row r="320" spans="1:16" x14ac:dyDescent="0.2">
      <c r="A320" t="str">
        <f>IF([1]Cheques!$A$321="","",[1]Cheques!$A$321)</f>
        <v/>
      </c>
      <c r="E320" t="str">
        <f>IF([1]Accounts!$D$321="","",[1]Accounts!$A$321)</f>
        <v/>
      </c>
      <c r="F320" t="str">
        <f>IF([1]Accounts!$D$321="","",[1]Accounts!$B$321)</f>
        <v/>
      </c>
      <c r="G320" t="str">
        <f>IF([1]Accounts!$D$321="","",[1]Accounts!$C$321)</f>
        <v/>
      </c>
      <c r="H320" t="str">
        <f>IF([1]Accounts!$D$321="","",[1]Accounts!$D$321)</f>
        <v/>
      </c>
      <c r="L320" t="str">
        <f>IF([2]Entry!$C$323="","",[2]Entry!$C$323)</f>
        <v/>
      </c>
      <c r="M320" t="str">
        <f>IF([2]Entry!$J$323="","",[2]Entry!$J$323)</f>
        <v/>
      </c>
      <c r="N320" t="str">
        <f>IF([2]Entry!$M$323="","",[2]Entry!$M$323)</f>
        <v/>
      </c>
      <c r="O320" t="str">
        <f>IF([2]Entry!$N$323="","",[2]Entry!$N$323)</f>
        <v/>
      </c>
      <c r="P320" t="str">
        <f>IF([2]Entry!$S$323="","",[2]Entry!$S$323)</f>
        <v/>
      </c>
    </row>
    <row r="321" spans="1:16" x14ac:dyDescent="0.2">
      <c r="A321" t="str">
        <f>IF([1]Cheques!$A$322="","",[1]Cheques!$A$322)</f>
        <v/>
      </c>
      <c r="E321" t="str">
        <f>IF([1]Accounts!$D$322="","",[1]Accounts!$A$322)</f>
        <v/>
      </c>
      <c r="F321" t="str">
        <f>IF([1]Accounts!$D$322="","",[1]Accounts!$B$322)</f>
        <v/>
      </c>
      <c r="G321" t="str">
        <f>IF([1]Accounts!$D$322="","",[1]Accounts!$C$322)</f>
        <v/>
      </c>
      <c r="H321" t="str">
        <f>IF([1]Accounts!$D$322="","",[1]Accounts!$D$322)</f>
        <v/>
      </c>
      <c r="L321" t="str">
        <f>IF([2]Entry!$C$324="","",[2]Entry!$C$324)</f>
        <v/>
      </c>
      <c r="M321" t="str">
        <f>IF([2]Entry!$J$324="","",[2]Entry!$J$324)</f>
        <v/>
      </c>
      <c r="N321" t="str">
        <f>IF([2]Entry!$M$324="","",[2]Entry!$M$324)</f>
        <v/>
      </c>
      <c r="O321" t="str">
        <f>IF([2]Entry!$N$324="","",[2]Entry!$N$324)</f>
        <v/>
      </c>
      <c r="P321" t="str">
        <f>IF([2]Entry!$S$324="","",[2]Entry!$S$324)</f>
        <v/>
      </c>
    </row>
    <row r="322" spans="1:16" x14ac:dyDescent="0.2">
      <c r="A322" t="str">
        <f>IF([1]Cheques!$A$323="","",[1]Cheques!$A$323)</f>
        <v/>
      </c>
      <c r="E322" t="str">
        <f>IF([1]Accounts!$D$323="","",[1]Accounts!$A$323)</f>
        <v/>
      </c>
      <c r="F322" t="str">
        <f>IF([1]Accounts!$D$323="","",[1]Accounts!$B$323)</f>
        <v/>
      </c>
      <c r="G322" t="str">
        <f>IF([1]Accounts!$D$323="","",[1]Accounts!$C$323)</f>
        <v/>
      </c>
      <c r="H322" t="str">
        <f>IF([1]Accounts!$D$323="","",[1]Accounts!$D$323)</f>
        <v/>
      </c>
      <c r="L322" t="str">
        <f>IF([2]Entry!$C$325="","",[2]Entry!$C$325)</f>
        <v/>
      </c>
      <c r="M322" t="str">
        <f>IF([2]Entry!$J$325="","",[2]Entry!$J$325)</f>
        <v/>
      </c>
      <c r="N322" t="str">
        <f>IF([2]Entry!$M$325="","",[2]Entry!$M$325)</f>
        <v/>
      </c>
      <c r="O322" t="str">
        <f>IF([2]Entry!$N$325="","",[2]Entry!$N$325)</f>
        <v/>
      </c>
      <c r="P322" t="str">
        <f>IF([2]Entry!$S$325="","",[2]Entry!$S$325)</f>
        <v/>
      </c>
    </row>
    <row r="323" spans="1:16" x14ac:dyDescent="0.2">
      <c r="A323" t="str">
        <f>IF([1]Cheques!$A$324="","",[1]Cheques!$A$324)</f>
        <v/>
      </c>
      <c r="E323" t="str">
        <f>IF([1]Accounts!$D$324="","",[1]Accounts!$A$324)</f>
        <v/>
      </c>
      <c r="F323" t="str">
        <f>IF([1]Accounts!$D$324="","",[1]Accounts!$B$324)</f>
        <v/>
      </c>
      <c r="G323" t="str">
        <f>IF([1]Accounts!$D$324="","",[1]Accounts!$C$324)</f>
        <v/>
      </c>
      <c r="H323" t="str">
        <f>IF([1]Accounts!$D$324="","",[1]Accounts!$D$324)</f>
        <v/>
      </c>
      <c r="L323" t="str">
        <f>IF([2]Entry!$C$326="","",[2]Entry!$C$326)</f>
        <v/>
      </c>
      <c r="M323" t="str">
        <f>IF([2]Entry!$J$326="","",[2]Entry!$J$326)</f>
        <v/>
      </c>
      <c r="N323" t="str">
        <f>IF([2]Entry!$M$326="","",[2]Entry!$M$326)</f>
        <v/>
      </c>
      <c r="O323" t="str">
        <f>IF([2]Entry!$N$326="","",[2]Entry!$N$326)</f>
        <v/>
      </c>
      <c r="P323" t="str">
        <f>IF([2]Entry!$S$326="","",[2]Entry!$S$326)</f>
        <v/>
      </c>
    </row>
    <row r="324" spans="1:16" x14ac:dyDescent="0.2">
      <c r="A324" t="str">
        <f>IF([1]Cheques!$A$325="","",[1]Cheques!$A$325)</f>
        <v/>
      </c>
      <c r="E324" t="str">
        <f>IF([1]Accounts!$D$325="","",[1]Accounts!$A$325)</f>
        <v/>
      </c>
      <c r="F324" t="str">
        <f>IF([1]Accounts!$D$325="","",[1]Accounts!$B$325)</f>
        <v/>
      </c>
      <c r="G324" t="str">
        <f>IF([1]Accounts!$D$325="","",[1]Accounts!$C$325)</f>
        <v/>
      </c>
      <c r="H324" t="str">
        <f>IF([1]Accounts!$D$325="","",[1]Accounts!$D$325)</f>
        <v/>
      </c>
      <c r="L324" t="str">
        <f>IF([2]Entry!$C$327="","",[2]Entry!$C$327)</f>
        <v/>
      </c>
      <c r="M324" t="str">
        <f>IF([2]Entry!$J$327="","",[2]Entry!$J$327)</f>
        <v/>
      </c>
      <c r="N324" t="str">
        <f>IF([2]Entry!$M$327="","",[2]Entry!$M$327)</f>
        <v/>
      </c>
      <c r="O324" t="str">
        <f>IF([2]Entry!$N$327="","",[2]Entry!$N$327)</f>
        <v/>
      </c>
      <c r="P324" t="str">
        <f>IF([2]Entry!$S$327="","",[2]Entry!$S$327)</f>
        <v/>
      </c>
    </row>
    <row r="325" spans="1:16" x14ac:dyDescent="0.2">
      <c r="A325" t="str">
        <f>IF([1]Cheques!$A$326="","",[1]Cheques!$A$326)</f>
        <v/>
      </c>
      <c r="E325" t="str">
        <f>IF([1]Accounts!$D$326="","",[1]Accounts!$A$326)</f>
        <v/>
      </c>
      <c r="F325" t="str">
        <f>IF([1]Accounts!$D$326="","",[1]Accounts!$B$326)</f>
        <v/>
      </c>
      <c r="G325" t="str">
        <f>IF([1]Accounts!$D$326="","",[1]Accounts!$C$326)</f>
        <v/>
      </c>
      <c r="H325" t="str">
        <f>IF([1]Accounts!$D$326="","",[1]Accounts!$D$326)</f>
        <v/>
      </c>
      <c r="L325" t="str">
        <f>IF([2]Entry!$C$328="","",[2]Entry!$C$328)</f>
        <v/>
      </c>
      <c r="M325" t="str">
        <f>IF([2]Entry!$J$328="","",[2]Entry!$J$328)</f>
        <v/>
      </c>
      <c r="N325" t="str">
        <f>IF([2]Entry!$M$328="","",[2]Entry!$M$328)</f>
        <v/>
      </c>
      <c r="O325" t="str">
        <f>IF([2]Entry!$N$328="","",[2]Entry!$N$328)</f>
        <v/>
      </c>
      <c r="P325" t="str">
        <f>IF([2]Entry!$S$328="","",[2]Entry!$S$328)</f>
        <v/>
      </c>
    </row>
    <row r="326" spans="1:16" x14ac:dyDescent="0.2">
      <c r="A326" t="str">
        <f>IF([1]Cheques!$A$327="","",[1]Cheques!$A$327)</f>
        <v/>
      </c>
      <c r="E326" t="str">
        <f>IF([1]Accounts!$D$327="","",[1]Accounts!$A$327)</f>
        <v/>
      </c>
      <c r="F326" t="str">
        <f>IF([1]Accounts!$D$327="","",[1]Accounts!$B$327)</f>
        <v/>
      </c>
      <c r="G326" t="str">
        <f>IF([1]Accounts!$D$327="","",[1]Accounts!$C$327)</f>
        <v/>
      </c>
      <c r="H326" t="str">
        <f>IF([1]Accounts!$D$327="","",[1]Accounts!$D$327)</f>
        <v/>
      </c>
      <c r="L326" t="str">
        <f>IF([2]Entry!$C$329="","",[2]Entry!$C$329)</f>
        <v/>
      </c>
      <c r="M326" t="str">
        <f>IF([2]Entry!$J$329="","",[2]Entry!$J$329)</f>
        <v/>
      </c>
      <c r="N326" t="str">
        <f>IF([2]Entry!$M$329="","",[2]Entry!$M$329)</f>
        <v/>
      </c>
      <c r="O326" t="str">
        <f>IF([2]Entry!$N$329="","",[2]Entry!$N$329)</f>
        <v/>
      </c>
      <c r="P326" t="str">
        <f>IF([2]Entry!$S$329="","",[2]Entry!$S$329)</f>
        <v/>
      </c>
    </row>
    <row r="327" spans="1:16" x14ac:dyDescent="0.2">
      <c r="A327" t="str">
        <f>IF([1]Cheques!$A$328="","",[1]Cheques!$A$328)</f>
        <v/>
      </c>
      <c r="E327" t="str">
        <f>IF([1]Accounts!$D$328="","",[1]Accounts!$A$328)</f>
        <v/>
      </c>
      <c r="F327" t="str">
        <f>IF([1]Accounts!$D$328="","",[1]Accounts!$B$328)</f>
        <v/>
      </c>
      <c r="G327" t="str">
        <f>IF([1]Accounts!$D$328="","",[1]Accounts!$C$328)</f>
        <v/>
      </c>
      <c r="H327" t="str">
        <f>IF([1]Accounts!$D$328="","",[1]Accounts!$D$328)</f>
        <v/>
      </c>
      <c r="L327" t="str">
        <f>IF([2]Entry!$C$330="","",[2]Entry!$C$330)</f>
        <v/>
      </c>
      <c r="M327" t="str">
        <f>IF([2]Entry!$J$330="","",[2]Entry!$J$330)</f>
        <v/>
      </c>
      <c r="N327" t="str">
        <f>IF([2]Entry!$M$330="","",[2]Entry!$M$330)</f>
        <v/>
      </c>
      <c r="O327" t="str">
        <f>IF([2]Entry!$N$330="","",[2]Entry!$N$330)</f>
        <v/>
      </c>
      <c r="P327" t="str">
        <f>IF([2]Entry!$S$330="","",[2]Entry!$S$330)</f>
        <v/>
      </c>
    </row>
    <row r="328" spans="1:16" x14ac:dyDescent="0.2">
      <c r="A328" t="str">
        <f>IF([1]Cheques!$A$329="","",[1]Cheques!$A$329)</f>
        <v/>
      </c>
      <c r="E328" t="str">
        <f>IF([1]Accounts!$D$329="","",[1]Accounts!$A$329)</f>
        <v/>
      </c>
      <c r="F328" t="str">
        <f>IF([1]Accounts!$D$329="","",[1]Accounts!$B$329)</f>
        <v/>
      </c>
      <c r="G328" t="str">
        <f>IF([1]Accounts!$D$329="","",[1]Accounts!$C$329)</f>
        <v/>
      </c>
      <c r="H328" t="str">
        <f>IF([1]Accounts!$D$329="","",[1]Accounts!$D$329)</f>
        <v/>
      </c>
      <c r="L328" t="str">
        <f>IF([2]Entry!$C$331="","",[2]Entry!$C$331)</f>
        <v/>
      </c>
      <c r="M328" t="str">
        <f>IF([2]Entry!$J$331="","",[2]Entry!$J$331)</f>
        <v/>
      </c>
      <c r="N328" t="str">
        <f>IF([2]Entry!$M$331="","",[2]Entry!$M$331)</f>
        <v/>
      </c>
      <c r="O328" t="str">
        <f>IF([2]Entry!$N$331="","",[2]Entry!$N$331)</f>
        <v/>
      </c>
      <c r="P328" t="str">
        <f>IF([2]Entry!$S$331="","",[2]Entry!$S$331)</f>
        <v/>
      </c>
    </row>
    <row r="329" spans="1:16" x14ac:dyDescent="0.2">
      <c r="A329" t="str">
        <f>IF([1]Cheques!$A$330="","",[1]Cheques!$A$330)</f>
        <v/>
      </c>
      <c r="E329" t="str">
        <f>IF([1]Accounts!$D$330="","",[1]Accounts!$A$330)</f>
        <v/>
      </c>
      <c r="F329" t="str">
        <f>IF([1]Accounts!$D$330="","",[1]Accounts!$B$330)</f>
        <v/>
      </c>
      <c r="G329" t="str">
        <f>IF([1]Accounts!$D$330="","",[1]Accounts!$C$330)</f>
        <v/>
      </c>
      <c r="H329" t="str">
        <f>IF([1]Accounts!$D$330="","",[1]Accounts!$D$330)</f>
        <v/>
      </c>
      <c r="L329" t="str">
        <f>IF([2]Entry!$C$332="","",[2]Entry!$C$332)</f>
        <v/>
      </c>
      <c r="M329" t="str">
        <f>IF([2]Entry!$J$332="","",[2]Entry!$J$332)</f>
        <v/>
      </c>
      <c r="N329" t="str">
        <f>IF([2]Entry!$M$332="","",[2]Entry!$M$332)</f>
        <v/>
      </c>
      <c r="O329" t="str">
        <f>IF([2]Entry!$N$332="","",[2]Entry!$N$332)</f>
        <v/>
      </c>
      <c r="P329" t="str">
        <f>IF([2]Entry!$S$332="","",[2]Entry!$S$332)</f>
        <v/>
      </c>
    </row>
    <row r="330" spans="1:16" x14ac:dyDescent="0.2">
      <c r="A330" t="str">
        <f>IF([1]Cheques!$A$331="","",[1]Cheques!$A$331)</f>
        <v/>
      </c>
      <c r="E330" t="str">
        <f>IF([1]Accounts!$D$331="","",[1]Accounts!$A$331)</f>
        <v/>
      </c>
      <c r="F330" t="str">
        <f>IF([1]Accounts!$D$331="","",[1]Accounts!$B$331)</f>
        <v/>
      </c>
      <c r="G330" t="str">
        <f>IF([1]Accounts!$D$331="","",[1]Accounts!$C$331)</f>
        <v/>
      </c>
      <c r="H330" t="str">
        <f>IF([1]Accounts!$D$331="","",[1]Accounts!$D$331)</f>
        <v/>
      </c>
      <c r="L330" t="str">
        <f>IF([2]Entry!$C$333="","",[2]Entry!$C$333)</f>
        <v/>
      </c>
      <c r="M330" t="str">
        <f>IF([2]Entry!$J$333="","",[2]Entry!$J$333)</f>
        <v/>
      </c>
      <c r="N330" t="str">
        <f>IF([2]Entry!$M$333="","",[2]Entry!$M$333)</f>
        <v/>
      </c>
      <c r="O330" t="str">
        <f>IF([2]Entry!$N$333="","",[2]Entry!$N$333)</f>
        <v/>
      </c>
      <c r="P330" t="str">
        <f>IF([2]Entry!$S$333="","",[2]Entry!$S$333)</f>
        <v/>
      </c>
    </row>
    <row r="331" spans="1:16" x14ac:dyDescent="0.2">
      <c r="A331" t="str">
        <f>IF([1]Cheques!$A$332="","",[1]Cheques!$A$332)</f>
        <v/>
      </c>
      <c r="E331" t="str">
        <f>IF([1]Accounts!$D$332="","",[1]Accounts!$A$332)</f>
        <v/>
      </c>
      <c r="F331" t="str">
        <f>IF([1]Accounts!$D$332="","",[1]Accounts!$B$332)</f>
        <v/>
      </c>
      <c r="G331" t="str">
        <f>IF([1]Accounts!$D$332="","",[1]Accounts!$C$332)</f>
        <v/>
      </c>
      <c r="H331" t="str">
        <f>IF([1]Accounts!$D$332="","",[1]Accounts!$D$332)</f>
        <v/>
      </c>
      <c r="L331" t="str">
        <f>IF([2]Entry!$C$334="","",[2]Entry!$C$334)</f>
        <v/>
      </c>
      <c r="M331" t="str">
        <f>IF([2]Entry!$J$334="","",[2]Entry!$J$334)</f>
        <v/>
      </c>
      <c r="N331" t="str">
        <f>IF([2]Entry!$M$334="","",[2]Entry!$M$334)</f>
        <v/>
      </c>
      <c r="O331" t="str">
        <f>IF([2]Entry!$N$334="","",[2]Entry!$N$334)</f>
        <v/>
      </c>
      <c r="P331" t="str">
        <f>IF([2]Entry!$S$334="","",[2]Entry!$S$334)</f>
        <v/>
      </c>
    </row>
    <row r="332" spans="1:16" x14ac:dyDescent="0.2">
      <c r="A332" t="str">
        <f>IF([1]Cheques!$A$333="","",[1]Cheques!$A$333)</f>
        <v/>
      </c>
      <c r="E332" t="str">
        <f>IF([1]Accounts!$D$333="","",[1]Accounts!$A$333)</f>
        <v/>
      </c>
      <c r="F332" t="str">
        <f>IF([1]Accounts!$D$333="","",[1]Accounts!$B$333)</f>
        <v/>
      </c>
      <c r="G332" t="str">
        <f>IF([1]Accounts!$D$333="","",[1]Accounts!$C$333)</f>
        <v/>
      </c>
      <c r="H332" t="str">
        <f>IF([1]Accounts!$D$333="","",[1]Accounts!$D$333)</f>
        <v/>
      </c>
      <c r="L332" t="str">
        <f>IF([2]Entry!$C$335="","",[2]Entry!$C$335)</f>
        <v/>
      </c>
      <c r="M332" t="str">
        <f>IF([2]Entry!$J$335="","",[2]Entry!$J$335)</f>
        <v/>
      </c>
      <c r="N332" t="str">
        <f>IF([2]Entry!$M$335="","",[2]Entry!$M$335)</f>
        <v/>
      </c>
      <c r="O332" t="str">
        <f>IF([2]Entry!$N$335="","",[2]Entry!$N$335)</f>
        <v/>
      </c>
      <c r="P332" t="str">
        <f>IF([2]Entry!$S$335="","",[2]Entry!$S$335)</f>
        <v/>
      </c>
    </row>
    <row r="333" spans="1:16" x14ac:dyDescent="0.2">
      <c r="A333" t="str">
        <f>IF([1]Cheques!$A$334="","",[1]Cheques!$A$334)</f>
        <v/>
      </c>
      <c r="E333" t="str">
        <f>IF([1]Accounts!$D$334="","",[1]Accounts!$A$334)</f>
        <v/>
      </c>
      <c r="F333" t="str">
        <f>IF([1]Accounts!$D$334="","",[1]Accounts!$B$334)</f>
        <v/>
      </c>
      <c r="G333" t="str">
        <f>IF([1]Accounts!$D$334="","",[1]Accounts!$C$334)</f>
        <v/>
      </c>
      <c r="H333" t="str">
        <f>IF([1]Accounts!$D$334="","",[1]Accounts!$D$334)</f>
        <v/>
      </c>
      <c r="L333" t="str">
        <f>IF([2]Entry!$C$336="","",[2]Entry!$C$336)</f>
        <v/>
      </c>
      <c r="M333" t="str">
        <f>IF([2]Entry!$J$336="","",[2]Entry!$J$336)</f>
        <v/>
      </c>
      <c r="N333" t="str">
        <f>IF([2]Entry!$M$336="","",[2]Entry!$M$336)</f>
        <v/>
      </c>
      <c r="O333" t="str">
        <f>IF([2]Entry!$N$336="","",[2]Entry!$N$336)</f>
        <v/>
      </c>
      <c r="P333" t="str">
        <f>IF([2]Entry!$S$336="","",[2]Entry!$S$336)</f>
        <v/>
      </c>
    </row>
    <row r="334" spans="1:16" x14ac:dyDescent="0.2">
      <c r="A334" t="str">
        <f>IF([1]Cheques!$A$335="","",[1]Cheques!$A$335)</f>
        <v/>
      </c>
      <c r="E334" t="str">
        <f>IF([1]Accounts!$D$335="","",[1]Accounts!$A$335)</f>
        <v/>
      </c>
      <c r="F334" t="str">
        <f>IF([1]Accounts!$D$335="","",[1]Accounts!$B$335)</f>
        <v/>
      </c>
      <c r="G334" t="str">
        <f>IF([1]Accounts!$D$335="","",[1]Accounts!$C$335)</f>
        <v/>
      </c>
      <c r="H334" t="str">
        <f>IF([1]Accounts!$D$335="","",[1]Accounts!$D$335)</f>
        <v/>
      </c>
      <c r="L334" t="str">
        <f>IF([2]Entry!$C$337="","",[2]Entry!$C$337)</f>
        <v/>
      </c>
      <c r="M334" t="str">
        <f>IF([2]Entry!$J$337="","",[2]Entry!$J$337)</f>
        <v/>
      </c>
      <c r="N334" t="str">
        <f>IF([2]Entry!$M$337="","",[2]Entry!$M$337)</f>
        <v/>
      </c>
      <c r="O334" t="str">
        <f>IF([2]Entry!$N$337="","",[2]Entry!$N$337)</f>
        <v/>
      </c>
      <c r="P334" t="str">
        <f>IF([2]Entry!$S$337="","",[2]Entry!$S$337)</f>
        <v/>
      </c>
    </row>
    <row r="335" spans="1:16" x14ac:dyDescent="0.2">
      <c r="A335" t="str">
        <f>IF([1]Cheques!$A$336="","",[1]Cheques!$A$336)</f>
        <v/>
      </c>
      <c r="E335" t="str">
        <f>IF([1]Accounts!$D$336="","",[1]Accounts!$A$336)</f>
        <v/>
      </c>
      <c r="F335" t="str">
        <f>IF([1]Accounts!$D$336="","",[1]Accounts!$B$336)</f>
        <v/>
      </c>
      <c r="G335" t="str">
        <f>IF([1]Accounts!$D$336="","",[1]Accounts!$C$336)</f>
        <v/>
      </c>
      <c r="H335" t="str">
        <f>IF([1]Accounts!$D$336="","",[1]Accounts!$D$336)</f>
        <v/>
      </c>
      <c r="L335" t="str">
        <f>IF([2]Entry!$C$338="","",[2]Entry!$C$338)</f>
        <v/>
      </c>
      <c r="M335" t="str">
        <f>IF([2]Entry!$J$338="","",[2]Entry!$J$338)</f>
        <v/>
      </c>
      <c r="N335" t="str">
        <f>IF([2]Entry!$M$338="","",[2]Entry!$M$338)</f>
        <v/>
      </c>
      <c r="O335" t="str">
        <f>IF([2]Entry!$N$338="","",[2]Entry!$N$338)</f>
        <v/>
      </c>
      <c r="P335" t="str">
        <f>IF([2]Entry!$S$338="","",[2]Entry!$S$338)</f>
        <v/>
      </c>
    </row>
    <row r="336" spans="1:16" x14ac:dyDescent="0.2">
      <c r="A336" t="str">
        <f>IF([1]Cheques!$A$337="","",[1]Cheques!$A$337)</f>
        <v/>
      </c>
      <c r="E336" t="str">
        <f>IF([1]Accounts!$D$337="","",[1]Accounts!$A$337)</f>
        <v/>
      </c>
      <c r="F336" t="str">
        <f>IF([1]Accounts!$D$337="","",[1]Accounts!$B$337)</f>
        <v/>
      </c>
      <c r="G336" t="str">
        <f>IF([1]Accounts!$D$337="","",[1]Accounts!$C$337)</f>
        <v/>
      </c>
      <c r="H336" t="str">
        <f>IF([1]Accounts!$D$337="","",[1]Accounts!$D$337)</f>
        <v/>
      </c>
      <c r="L336" t="str">
        <f>IF([2]Entry!$C$339="","",[2]Entry!$C$339)</f>
        <v/>
      </c>
      <c r="M336" t="str">
        <f>IF([2]Entry!$J$339="","",[2]Entry!$J$339)</f>
        <v/>
      </c>
      <c r="N336" t="str">
        <f>IF([2]Entry!$M$339="","",[2]Entry!$M$339)</f>
        <v/>
      </c>
      <c r="O336" t="str">
        <f>IF([2]Entry!$N$339="","",[2]Entry!$N$339)</f>
        <v/>
      </c>
      <c r="P336" t="str">
        <f>IF([2]Entry!$S$339="","",[2]Entry!$S$339)</f>
        <v/>
      </c>
    </row>
    <row r="337" spans="1:16" x14ac:dyDescent="0.2">
      <c r="A337" t="str">
        <f>IF([1]Cheques!$A$338="","",[1]Cheques!$A$338)</f>
        <v/>
      </c>
      <c r="E337" t="str">
        <f>IF([1]Accounts!$D$338="","",[1]Accounts!$A$338)</f>
        <v/>
      </c>
      <c r="F337" t="str">
        <f>IF([1]Accounts!$D$338="","",[1]Accounts!$B$338)</f>
        <v/>
      </c>
      <c r="G337" t="str">
        <f>IF([1]Accounts!$D$338="","",[1]Accounts!$C$338)</f>
        <v/>
      </c>
      <c r="H337" t="str">
        <f>IF([1]Accounts!$D$338="","",[1]Accounts!$D$338)</f>
        <v/>
      </c>
      <c r="L337" t="str">
        <f>IF([2]Entry!$C$340="","",[2]Entry!$C$340)</f>
        <v/>
      </c>
      <c r="M337" t="str">
        <f>IF([2]Entry!$J$340="","",[2]Entry!$J$340)</f>
        <v/>
      </c>
      <c r="N337" t="str">
        <f>IF([2]Entry!$M$340="","",[2]Entry!$M$340)</f>
        <v/>
      </c>
      <c r="O337" t="str">
        <f>IF([2]Entry!$N$340="","",[2]Entry!$N$340)</f>
        <v/>
      </c>
      <c r="P337" t="str">
        <f>IF([2]Entry!$S$340="","",[2]Entry!$S$340)</f>
        <v/>
      </c>
    </row>
    <row r="338" spans="1:16" x14ac:dyDescent="0.2">
      <c r="A338" t="str">
        <f>IF([1]Cheques!$A$339="","",[1]Cheques!$A$339)</f>
        <v/>
      </c>
      <c r="E338" t="str">
        <f>IF([1]Accounts!$D$339="","",[1]Accounts!$A$339)</f>
        <v/>
      </c>
      <c r="F338" t="str">
        <f>IF([1]Accounts!$D$339="","",[1]Accounts!$B$339)</f>
        <v/>
      </c>
      <c r="G338" t="str">
        <f>IF([1]Accounts!$D$339="","",[1]Accounts!$C$339)</f>
        <v/>
      </c>
      <c r="H338" t="str">
        <f>IF([1]Accounts!$D$339="","",[1]Accounts!$D$339)</f>
        <v/>
      </c>
      <c r="L338" t="str">
        <f>IF([2]Entry!$C$341="","",[2]Entry!$C$341)</f>
        <v/>
      </c>
      <c r="M338" t="str">
        <f>IF([2]Entry!$J$341="","",[2]Entry!$J$341)</f>
        <v/>
      </c>
      <c r="N338" t="str">
        <f>IF([2]Entry!$M$341="","",[2]Entry!$M$341)</f>
        <v/>
      </c>
      <c r="O338" t="str">
        <f>IF([2]Entry!$N$341="","",[2]Entry!$N$341)</f>
        <v/>
      </c>
      <c r="P338" t="str">
        <f>IF([2]Entry!$S$341="","",[2]Entry!$S$341)</f>
        <v/>
      </c>
    </row>
    <row r="339" spans="1:16" x14ac:dyDescent="0.2">
      <c r="A339" t="str">
        <f>IF([1]Cheques!$A$340="","",[1]Cheques!$A$340)</f>
        <v/>
      </c>
      <c r="E339" t="str">
        <f>IF([1]Accounts!$D$340="","",[1]Accounts!$A$340)</f>
        <v/>
      </c>
      <c r="F339" t="str">
        <f>IF([1]Accounts!$D$340="","",[1]Accounts!$B$340)</f>
        <v/>
      </c>
      <c r="G339" t="str">
        <f>IF([1]Accounts!$D$340="","",[1]Accounts!$C$340)</f>
        <v/>
      </c>
      <c r="H339" t="str">
        <f>IF([1]Accounts!$D$340="","",[1]Accounts!$D$340)</f>
        <v/>
      </c>
      <c r="L339" t="str">
        <f>IF([2]Entry!$C$342="","",[2]Entry!$C$342)</f>
        <v/>
      </c>
      <c r="M339" t="str">
        <f>IF([2]Entry!$J$342="","",[2]Entry!$J$342)</f>
        <v/>
      </c>
      <c r="N339" t="str">
        <f>IF([2]Entry!$M$342="","",[2]Entry!$M$342)</f>
        <v/>
      </c>
      <c r="O339" t="str">
        <f>IF([2]Entry!$N$342="","",[2]Entry!$N$342)</f>
        <v/>
      </c>
      <c r="P339" t="str">
        <f>IF([2]Entry!$S$342="","",[2]Entry!$S$342)</f>
        <v/>
      </c>
    </row>
    <row r="340" spans="1:16" x14ac:dyDescent="0.2">
      <c r="A340" t="str">
        <f>IF([1]Cheques!$A$341="","",[1]Cheques!$A$341)</f>
        <v/>
      </c>
      <c r="E340" t="str">
        <f>IF([1]Accounts!$D$341="","",[1]Accounts!$A$341)</f>
        <v/>
      </c>
      <c r="F340" t="str">
        <f>IF([1]Accounts!$D$341="","",[1]Accounts!$B$341)</f>
        <v/>
      </c>
      <c r="G340" t="str">
        <f>IF([1]Accounts!$D$341="","",[1]Accounts!$C$341)</f>
        <v/>
      </c>
      <c r="H340" t="str">
        <f>IF([1]Accounts!$D$341="","",[1]Accounts!$D$341)</f>
        <v/>
      </c>
      <c r="L340" t="str">
        <f>IF([2]Entry!$C$343="","",[2]Entry!$C$343)</f>
        <v/>
      </c>
      <c r="M340" t="str">
        <f>IF([2]Entry!$J$343="","",[2]Entry!$J$343)</f>
        <v/>
      </c>
      <c r="N340" t="str">
        <f>IF([2]Entry!$M$343="","",[2]Entry!$M$343)</f>
        <v/>
      </c>
      <c r="O340" t="str">
        <f>IF([2]Entry!$N$343="","",[2]Entry!$N$343)</f>
        <v/>
      </c>
      <c r="P340" t="str">
        <f>IF([2]Entry!$S$343="","",[2]Entry!$S$343)</f>
        <v/>
      </c>
    </row>
    <row r="341" spans="1:16" x14ac:dyDescent="0.2">
      <c r="A341" t="str">
        <f>IF([1]Cheques!$A$342="","",[1]Cheques!$A$342)</f>
        <v/>
      </c>
      <c r="E341" t="str">
        <f>IF([1]Accounts!$D$342="","",[1]Accounts!$A$342)</f>
        <v/>
      </c>
      <c r="F341" t="str">
        <f>IF([1]Accounts!$D$342="","",[1]Accounts!$B$342)</f>
        <v/>
      </c>
      <c r="G341" t="str">
        <f>IF([1]Accounts!$D$342="","",[1]Accounts!$C$342)</f>
        <v/>
      </c>
      <c r="H341" t="str">
        <f>IF([1]Accounts!$D$342="","",[1]Accounts!$D$342)</f>
        <v/>
      </c>
      <c r="L341" t="str">
        <f>IF([2]Entry!$C$344="","",[2]Entry!$C$344)</f>
        <v/>
      </c>
      <c r="M341" t="str">
        <f>IF([2]Entry!$J$344="","",[2]Entry!$J$344)</f>
        <v/>
      </c>
      <c r="N341" t="str">
        <f>IF([2]Entry!$M$344="","",[2]Entry!$M$344)</f>
        <v/>
      </c>
      <c r="O341" t="str">
        <f>IF([2]Entry!$N$344="","",[2]Entry!$N$344)</f>
        <v/>
      </c>
      <c r="P341" t="str">
        <f>IF([2]Entry!$S$344="","",[2]Entry!$S$344)</f>
        <v/>
      </c>
    </row>
    <row r="342" spans="1:16" x14ac:dyDescent="0.2">
      <c r="A342" t="str">
        <f>IF([1]Cheques!$A$343="","",[1]Cheques!$A$343)</f>
        <v/>
      </c>
      <c r="E342" t="str">
        <f>IF([1]Accounts!$D$343="","",[1]Accounts!$A$343)</f>
        <v/>
      </c>
      <c r="F342" t="str">
        <f>IF([1]Accounts!$D$343="","",[1]Accounts!$B$343)</f>
        <v/>
      </c>
      <c r="G342" t="str">
        <f>IF([1]Accounts!$D$343="","",[1]Accounts!$C$343)</f>
        <v/>
      </c>
      <c r="H342" t="str">
        <f>IF([1]Accounts!$D$343="","",[1]Accounts!$D$343)</f>
        <v/>
      </c>
      <c r="L342" t="str">
        <f>IF([2]Entry!$C$345="","",[2]Entry!$C$345)</f>
        <v/>
      </c>
      <c r="M342" t="str">
        <f>IF([2]Entry!$J$345="","",[2]Entry!$J$345)</f>
        <v/>
      </c>
      <c r="N342" t="str">
        <f>IF([2]Entry!$M$345="","",[2]Entry!$M$345)</f>
        <v/>
      </c>
      <c r="O342" t="str">
        <f>IF([2]Entry!$N$345="","",[2]Entry!$N$345)</f>
        <v/>
      </c>
      <c r="P342" t="str">
        <f>IF([2]Entry!$S$345="","",[2]Entry!$S$345)</f>
        <v/>
      </c>
    </row>
    <row r="343" spans="1:16" x14ac:dyDescent="0.2">
      <c r="A343" t="str">
        <f>IF([1]Cheques!$A$344="","",[1]Cheques!$A$344)</f>
        <v/>
      </c>
      <c r="E343" t="str">
        <f>IF([1]Accounts!$D$344="","",[1]Accounts!$A$344)</f>
        <v/>
      </c>
      <c r="F343" t="str">
        <f>IF([1]Accounts!$D$344="","",[1]Accounts!$B$344)</f>
        <v/>
      </c>
      <c r="G343" t="str">
        <f>IF([1]Accounts!$D$344="","",[1]Accounts!$C$344)</f>
        <v/>
      </c>
      <c r="H343" t="str">
        <f>IF([1]Accounts!$D$344="","",[1]Accounts!$D$344)</f>
        <v/>
      </c>
      <c r="L343" t="str">
        <f>IF([2]Entry!$C$346="","",[2]Entry!$C$346)</f>
        <v/>
      </c>
      <c r="M343" t="str">
        <f>IF([2]Entry!$J$346="","",[2]Entry!$J$346)</f>
        <v/>
      </c>
      <c r="N343" t="str">
        <f>IF([2]Entry!$M$346="","",[2]Entry!$M$346)</f>
        <v/>
      </c>
      <c r="O343" t="str">
        <f>IF([2]Entry!$N$346="","",[2]Entry!$N$346)</f>
        <v/>
      </c>
      <c r="P343" t="str">
        <f>IF([2]Entry!$S$346="","",[2]Entry!$S$346)</f>
        <v/>
      </c>
    </row>
    <row r="344" spans="1:16" x14ac:dyDescent="0.2">
      <c r="A344" t="str">
        <f>IF([1]Cheques!$A$345="","",[1]Cheques!$A$345)</f>
        <v/>
      </c>
      <c r="E344" t="str">
        <f>IF([1]Accounts!$D$345="","",[1]Accounts!$A$345)</f>
        <v/>
      </c>
      <c r="F344" t="str">
        <f>IF([1]Accounts!$D$345="","",[1]Accounts!$B$345)</f>
        <v/>
      </c>
      <c r="G344" t="str">
        <f>IF([1]Accounts!$D$345="","",[1]Accounts!$C$345)</f>
        <v/>
      </c>
      <c r="H344" t="str">
        <f>IF([1]Accounts!$D$345="","",[1]Accounts!$D$345)</f>
        <v/>
      </c>
      <c r="L344" t="str">
        <f>IF([2]Entry!$C$347="","",[2]Entry!$C$347)</f>
        <v/>
      </c>
      <c r="M344" t="str">
        <f>IF([2]Entry!$J$347="","",[2]Entry!$J$347)</f>
        <v/>
      </c>
      <c r="N344" t="str">
        <f>IF([2]Entry!$M$347="","",[2]Entry!$M$347)</f>
        <v/>
      </c>
      <c r="O344" t="str">
        <f>IF([2]Entry!$N$347="","",[2]Entry!$N$347)</f>
        <v/>
      </c>
      <c r="P344" t="str">
        <f>IF([2]Entry!$S$347="","",[2]Entry!$S$347)</f>
        <v/>
      </c>
    </row>
    <row r="345" spans="1:16" x14ac:dyDescent="0.2">
      <c r="A345" t="str">
        <f>IF([1]Cheques!$A$346="","",[1]Cheques!$A$346)</f>
        <v/>
      </c>
      <c r="E345" t="str">
        <f>IF([1]Accounts!$D$346="","",[1]Accounts!$A$346)</f>
        <v/>
      </c>
      <c r="F345" t="str">
        <f>IF([1]Accounts!$D$346="","",[1]Accounts!$B$346)</f>
        <v/>
      </c>
      <c r="G345" t="str">
        <f>IF([1]Accounts!$D$346="","",[1]Accounts!$C$346)</f>
        <v/>
      </c>
      <c r="H345" t="str">
        <f>IF([1]Accounts!$D$346="","",[1]Accounts!$D$346)</f>
        <v/>
      </c>
      <c r="L345" t="str">
        <f>IF([2]Entry!$C$348="","",[2]Entry!$C$348)</f>
        <v/>
      </c>
      <c r="M345" t="str">
        <f>IF([2]Entry!$J$348="","",[2]Entry!$J$348)</f>
        <v/>
      </c>
      <c r="N345" t="str">
        <f>IF([2]Entry!$M$348="","",[2]Entry!$M$348)</f>
        <v/>
      </c>
      <c r="O345" t="str">
        <f>IF([2]Entry!$N$348="","",[2]Entry!$N$348)</f>
        <v/>
      </c>
      <c r="P345" t="str">
        <f>IF([2]Entry!$S$348="","",[2]Entry!$S$348)</f>
        <v/>
      </c>
    </row>
    <row r="346" spans="1:16" x14ac:dyDescent="0.2">
      <c r="A346" t="str">
        <f>IF([1]Cheques!$A$347="","",[1]Cheques!$A$347)</f>
        <v/>
      </c>
      <c r="E346" t="str">
        <f>IF([1]Accounts!$D$347="","",[1]Accounts!$A$347)</f>
        <v/>
      </c>
      <c r="F346" t="str">
        <f>IF([1]Accounts!$D$347="","",[1]Accounts!$B$347)</f>
        <v/>
      </c>
      <c r="G346" t="str">
        <f>IF([1]Accounts!$D$347="","",[1]Accounts!$C$347)</f>
        <v/>
      </c>
      <c r="H346" t="str">
        <f>IF([1]Accounts!$D$347="","",[1]Accounts!$D$347)</f>
        <v/>
      </c>
      <c r="L346" t="str">
        <f>IF([2]Entry!$C$349="","",[2]Entry!$C$349)</f>
        <v/>
      </c>
      <c r="M346" t="str">
        <f>IF([2]Entry!$J$349="","",[2]Entry!$J$349)</f>
        <v/>
      </c>
      <c r="N346" t="str">
        <f>IF([2]Entry!$M$349="","",[2]Entry!$M$349)</f>
        <v/>
      </c>
      <c r="O346" t="str">
        <f>IF([2]Entry!$N$349="","",[2]Entry!$N$349)</f>
        <v/>
      </c>
      <c r="P346" t="str">
        <f>IF([2]Entry!$S$349="","",[2]Entry!$S$349)</f>
        <v/>
      </c>
    </row>
    <row r="347" spans="1:16" x14ac:dyDescent="0.2">
      <c r="A347" t="str">
        <f>IF([1]Cheques!$A$348="","",[1]Cheques!$A$348)</f>
        <v/>
      </c>
      <c r="E347" t="str">
        <f>IF([1]Accounts!$D$348="","",[1]Accounts!$A$348)</f>
        <v/>
      </c>
      <c r="F347" t="str">
        <f>IF([1]Accounts!$D$348="","",[1]Accounts!$B$348)</f>
        <v/>
      </c>
      <c r="G347" t="str">
        <f>IF([1]Accounts!$D$348="","",[1]Accounts!$C$348)</f>
        <v/>
      </c>
      <c r="H347" t="str">
        <f>IF([1]Accounts!$D$348="","",[1]Accounts!$D$348)</f>
        <v/>
      </c>
      <c r="L347" t="str">
        <f>IF([2]Entry!$C$350="","",[2]Entry!$C$350)</f>
        <v/>
      </c>
      <c r="M347" t="str">
        <f>IF([2]Entry!$J$350="","",[2]Entry!$J$350)</f>
        <v/>
      </c>
      <c r="N347" t="str">
        <f>IF([2]Entry!$M$350="","",[2]Entry!$M$350)</f>
        <v/>
      </c>
      <c r="O347" t="str">
        <f>IF([2]Entry!$N$350="","",[2]Entry!$N$350)</f>
        <v/>
      </c>
      <c r="P347" t="str">
        <f>IF([2]Entry!$S$350="","",[2]Entry!$S$350)</f>
        <v/>
      </c>
    </row>
    <row r="348" spans="1:16" x14ac:dyDescent="0.2">
      <c r="A348" t="str">
        <f>IF([1]Cheques!$A$349="","",[1]Cheques!$A$349)</f>
        <v/>
      </c>
      <c r="E348" t="str">
        <f>IF([1]Accounts!$D$349="","",[1]Accounts!$A$349)</f>
        <v/>
      </c>
      <c r="F348" t="str">
        <f>IF([1]Accounts!$D$349="","",[1]Accounts!$B$349)</f>
        <v/>
      </c>
      <c r="G348" t="str">
        <f>IF([1]Accounts!$D$349="","",[1]Accounts!$C$349)</f>
        <v/>
      </c>
      <c r="H348" t="str">
        <f>IF([1]Accounts!$D$349="","",[1]Accounts!$D$349)</f>
        <v/>
      </c>
      <c r="L348" t="str">
        <f>IF([2]Entry!$C$351="","",[2]Entry!$C$351)</f>
        <v/>
      </c>
      <c r="M348" t="str">
        <f>IF([2]Entry!$J$351="","",[2]Entry!$J$351)</f>
        <v/>
      </c>
      <c r="N348" t="str">
        <f>IF([2]Entry!$M$351="","",[2]Entry!$M$351)</f>
        <v/>
      </c>
      <c r="O348" t="str">
        <f>IF([2]Entry!$N$351="","",[2]Entry!$N$351)</f>
        <v/>
      </c>
      <c r="P348" t="str">
        <f>IF([2]Entry!$S$351="","",[2]Entry!$S$351)</f>
        <v/>
      </c>
    </row>
    <row r="349" spans="1:16" x14ac:dyDescent="0.2">
      <c r="A349" t="str">
        <f>IF([1]Cheques!$A$350="","",[1]Cheques!$A$350)</f>
        <v/>
      </c>
      <c r="E349" t="str">
        <f>IF([1]Accounts!$D$350="","",[1]Accounts!$A$350)</f>
        <v/>
      </c>
      <c r="F349" t="str">
        <f>IF([1]Accounts!$D$350="","",[1]Accounts!$B$350)</f>
        <v/>
      </c>
      <c r="G349" t="str">
        <f>IF([1]Accounts!$D$350="","",[1]Accounts!$C$350)</f>
        <v/>
      </c>
      <c r="H349" t="str">
        <f>IF([1]Accounts!$D$350="","",[1]Accounts!$D$350)</f>
        <v/>
      </c>
      <c r="L349" t="str">
        <f>IF([2]Entry!$C$352="","",[2]Entry!$C$352)</f>
        <v/>
      </c>
      <c r="M349" t="str">
        <f>IF([2]Entry!$J$352="","",[2]Entry!$J$352)</f>
        <v/>
      </c>
      <c r="N349" t="str">
        <f>IF([2]Entry!$M$352="","",[2]Entry!$M$352)</f>
        <v/>
      </c>
      <c r="O349" t="str">
        <f>IF([2]Entry!$N$352="","",[2]Entry!$N$352)</f>
        <v/>
      </c>
      <c r="P349" t="str">
        <f>IF([2]Entry!$S$352="","",[2]Entry!$S$352)</f>
        <v/>
      </c>
    </row>
    <row r="350" spans="1:16" x14ac:dyDescent="0.2">
      <c r="A350" t="str">
        <f>IF([1]Cheques!$A$351="","",[1]Cheques!$A$351)</f>
        <v/>
      </c>
      <c r="E350" t="str">
        <f>IF([1]Accounts!$D$351="","",[1]Accounts!$A$351)</f>
        <v/>
      </c>
      <c r="F350" t="str">
        <f>IF([1]Accounts!$D$351="","",[1]Accounts!$B$351)</f>
        <v/>
      </c>
      <c r="G350" t="str">
        <f>IF([1]Accounts!$D$351="","",[1]Accounts!$C$351)</f>
        <v/>
      </c>
      <c r="H350" t="str">
        <f>IF([1]Accounts!$D$351="","",[1]Accounts!$D$351)</f>
        <v/>
      </c>
      <c r="L350" t="str">
        <f>IF([2]Entry!$C$353="","",[2]Entry!$C$353)</f>
        <v/>
      </c>
      <c r="M350" t="str">
        <f>IF([2]Entry!$J$353="","",[2]Entry!$J$353)</f>
        <v/>
      </c>
      <c r="N350" t="str">
        <f>IF([2]Entry!$M$353="","",[2]Entry!$M$353)</f>
        <v/>
      </c>
      <c r="O350" t="str">
        <f>IF([2]Entry!$N$353="","",[2]Entry!$N$353)</f>
        <v/>
      </c>
      <c r="P350" t="str">
        <f>IF([2]Entry!$S$353="","",[2]Entry!$S$353)</f>
        <v/>
      </c>
    </row>
    <row r="351" spans="1:16" x14ac:dyDescent="0.2">
      <c r="A351" t="str">
        <f>IF([1]Cheques!$A$352="","",[1]Cheques!$A$352)</f>
        <v/>
      </c>
      <c r="E351" t="str">
        <f>IF([1]Accounts!$D$352="","",[1]Accounts!$A$352)</f>
        <v/>
      </c>
      <c r="F351" t="str">
        <f>IF([1]Accounts!$D$352="","",[1]Accounts!$B$352)</f>
        <v/>
      </c>
      <c r="G351" t="str">
        <f>IF([1]Accounts!$D$352="","",[1]Accounts!$C$352)</f>
        <v/>
      </c>
      <c r="H351" t="str">
        <f>IF([1]Accounts!$D$352="","",[1]Accounts!$D$352)</f>
        <v/>
      </c>
      <c r="L351" t="str">
        <f>IF([2]Entry!$C$354="","",[2]Entry!$C$354)</f>
        <v/>
      </c>
      <c r="M351" t="str">
        <f>IF([2]Entry!$J$354="","",[2]Entry!$J$354)</f>
        <v/>
      </c>
      <c r="N351" t="str">
        <f>IF([2]Entry!$M$354="","",[2]Entry!$M$354)</f>
        <v/>
      </c>
      <c r="O351" t="str">
        <f>IF([2]Entry!$N$354="","",[2]Entry!$N$354)</f>
        <v/>
      </c>
      <c r="P351" t="str">
        <f>IF([2]Entry!$S$354="","",[2]Entry!$S$354)</f>
        <v/>
      </c>
    </row>
    <row r="352" spans="1:16" x14ac:dyDescent="0.2">
      <c r="A352" t="str">
        <f>IF([1]Cheques!$A$353="","",[1]Cheques!$A$353)</f>
        <v/>
      </c>
      <c r="E352" t="str">
        <f>IF([1]Accounts!$D$353="","",[1]Accounts!$A$353)</f>
        <v/>
      </c>
      <c r="F352" t="str">
        <f>IF([1]Accounts!$D$353="","",[1]Accounts!$B$353)</f>
        <v/>
      </c>
      <c r="G352" t="str">
        <f>IF([1]Accounts!$D$353="","",[1]Accounts!$C$353)</f>
        <v/>
      </c>
      <c r="H352" t="str">
        <f>IF([1]Accounts!$D$353="","",[1]Accounts!$D$353)</f>
        <v/>
      </c>
      <c r="L352" t="str">
        <f>IF([2]Entry!$C$355="","",[2]Entry!$C$355)</f>
        <v/>
      </c>
      <c r="M352" t="str">
        <f>IF([2]Entry!$J$355="","",[2]Entry!$J$355)</f>
        <v/>
      </c>
      <c r="N352" t="str">
        <f>IF([2]Entry!$M$355="","",[2]Entry!$M$355)</f>
        <v/>
      </c>
      <c r="O352" t="str">
        <f>IF([2]Entry!$N$355="","",[2]Entry!$N$355)</f>
        <v/>
      </c>
      <c r="P352" t="str">
        <f>IF([2]Entry!$S$355="","",[2]Entry!$S$355)</f>
        <v/>
      </c>
    </row>
    <row r="353" spans="1:16" x14ac:dyDescent="0.2">
      <c r="A353" t="str">
        <f>IF([1]Cheques!$A$354="","",[1]Cheques!$A$354)</f>
        <v/>
      </c>
      <c r="E353" t="str">
        <f>IF([1]Accounts!$D$354="","",[1]Accounts!$A$354)</f>
        <v/>
      </c>
      <c r="F353" t="str">
        <f>IF([1]Accounts!$D$354="","",[1]Accounts!$B$354)</f>
        <v/>
      </c>
      <c r="G353" t="str">
        <f>IF([1]Accounts!$D$354="","",[1]Accounts!$C$354)</f>
        <v/>
      </c>
      <c r="H353" t="str">
        <f>IF([1]Accounts!$D$354="","",[1]Accounts!$D$354)</f>
        <v/>
      </c>
      <c r="L353" t="str">
        <f>IF([2]Entry!$C$356="","",[2]Entry!$C$356)</f>
        <v/>
      </c>
      <c r="M353" t="str">
        <f>IF([2]Entry!$J$356="","",[2]Entry!$J$356)</f>
        <v/>
      </c>
      <c r="N353" t="str">
        <f>IF([2]Entry!$M$356="","",[2]Entry!$M$356)</f>
        <v/>
      </c>
      <c r="O353" t="str">
        <f>IF([2]Entry!$N$356="","",[2]Entry!$N$356)</f>
        <v/>
      </c>
      <c r="P353" t="str">
        <f>IF([2]Entry!$S$356="","",[2]Entry!$S$356)</f>
        <v/>
      </c>
    </row>
    <row r="354" spans="1:16" x14ac:dyDescent="0.2">
      <c r="A354" t="str">
        <f>IF([1]Cheques!$A$355="","",[1]Cheques!$A$355)</f>
        <v/>
      </c>
      <c r="E354" t="str">
        <f>IF([1]Accounts!$D$355="","",[1]Accounts!$A$355)</f>
        <v/>
      </c>
      <c r="F354" t="str">
        <f>IF([1]Accounts!$D$355="","",[1]Accounts!$B$355)</f>
        <v/>
      </c>
      <c r="G354" t="str">
        <f>IF([1]Accounts!$D$355="","",[1]Accounts!$C$355)</f>
        <v/>
      </c>
      <c r="H354" t="str">
        <f>IF([1]Accounts!$D$355="","",[1]Accounts!$D$355)</f>
        <v/>
      </c>
      <c r="L354" t="str">
        <f>IF([2]Entry!$C$357="","",[2]Entry!$C$357)</f>
        <v/>
      </c>
      <c r="M354" t="str">
        <f>IF([2]Entry!$J$357="","",[2]Entry!$J$357)</f>
        <v/>
      </c>
      <c r="N354" t="str">
        <f>IF([2]Entry!$M$357="","",[2]Entry!$M$357)</f>
        <v/>
      </c>
      <c r="O354" t="str">
        <f>IF([2]Entry!$N$357="","",[2]Entry!$N$357)</f>
        <v/>
      </c>
      <c r="P354" t="str">
        <f>IF([2]Entry!$S$357="","",[2]Entry!$S$357)</f>
        <v/>
      </c>
    </row>
    <row r="355" spans="1:16" x14ac:dyDescent="0.2">
      <c r="A355" t="str">
        <f>IF([1]Cheques!$A$356="","",[1]Cheques!$A$356)</f>
        <v/>
      </c>
      <c r="E355" t="str">
        <f>IF([1]Accounts!$D$356="","",[1]Accounts!$A$356)</f>
        <v/>
      </c>
      <c r="F355" t="str">
        <f>IF([1]Accounts!$D$356="","",[1]Accounts!$B$356)</f>
        <v/>
      </c>
      <c r="G355" t="str">
        <f>IF([1]Accounts!$D$356="","",[1]Accounts!$C$356)</f>
        <v/>
      </c>
      <c r="H355" t="str">
        <f>IF([1]Accounts!$D$356="","",[1]Accounts!$D$356)</f>
        <v/>
      </c>
      <c r="L355" t="str">
        <f>IF([2]Entry!$C$358="","",[2]Entry!$C$358)</f>
        <v/>
      </c>
      <c r="M355" t="str">
        <f>IF([2]Entry!$J$358="","",[2]Entry!$J$358)</f>
        <v/>
      </c>
      <c r="N355" t="str">
        <f>IF([2]Entry!$M$358="","",[2]Entry!$M$358)</f>
        <v/>
      </c>
      <c r="O355" t="str">
        <f>IF([2]Entry!$N$358="","",[2]Entry!$N$358)</f>
        <v/>
      </c>
      <c r="P355" t="str">
        <f>IF([2]Entry!$S$358="","",[2]Entry!$S$358)</f>
        <v/>
      </c>
    </row>
    <row r="356" spans="1:16" x14ac:dyDescent="0.2">
      <c r="A356" t="str">
        <f>IF([1]Cheques!$A$357="","",[1]Cheques!$A$357)</f>
        <v/>
      </c>
      <c r="E356" t="str">
        <f>IF([1]Accounts!$D$357="","",[1]Accounts!$A$357)</f>
        <v/>
      </c>
      <c r="F356" t="str">
        <f>IF([1]Accounts!$D$357="","",[1]Accounts!$B$357)</f>
        <v/>
      </c>
      <c r="G356" t="str">
        <f>IF([1]Accounts!$D$357="","",[1]Accounts!$C$357)</f>
        <v/>
      </c>
      <c r="H356" t="str">
        <f>IF([1]Accounts!$D$357="","",[1]Accounts!$D$357)</f>
        <v/>
      </c>
      <c r="L356" t="str">
        <f>IF([2]Entry!$C$359="","",[2]Entry!$C$359)</f>
        <v/>
      </c>
      <c r="M356" t="str">
        <f>IF([2]Entry!$J$359="","",[2]Entry!$J$359)</f>
        <v/>
      </c>
      <c r="N356" t="str">
        <f>IF([2]Entry!$M$359="","",[2]Entry!$M$359)</f>
        <v/>
      </c>
      <c r="O356" t="str">
        <f>IF([2]Entry!$N$359="","",[2]Entry!$N$359)</f>
        <v/>
      </c>
      <c r="P356" t="str">
        <f>IF([2]Entry!$S$359="","",[2]Entry!$S$359)</f>
        <v/>
      </c>
    </row>
    <row r="357" spans="1:16" x14ac:dyDescent="0.2">
      <c r="A357" t="str">
        <f>IF([1]Cheques!$A$358="","",[1]Cheques!$A$358)</f>
        <v/>
      </c>
      <c r="E357" t="str">
        <f>IF([1]Accounts!$D$358="","",[1]Accounts!$A$358)</f>
        <v/>
      </c>
      <c r="F357" t="str">
        <f>IF([1]Accounts!$D$358="","",[1]Accounts!$B$358)</f>
        <v/>
      </c>
      <c r="G357" t="str">
        <f>IF([1]Accounts!$D$358="","",[1]Accounts!$C$358)</f>
        <v/>
      </c>
      <c r="H357" t="str">
        <f>IF([1]Accounts!$D$358="","",[1]Accounts!$D$358)</f>
        <v/>
      </c>
      <c r="L357" t="str">
        <f>IF([2]Entry!$C$360="","",[2]Entry!$C$360)</f>
        <v/>
      </c>
      <c r="M357" t="str">
        <f>IF([2]Entry!$J$360="","",[2]Entry!$J$360)</f>
        <v/>
      </c>
      <c r="N357" t="str">
        <f>IF([2]Entry!$M$360="","",[2]Entry!$M$360)</f>
        <v/>
      </c>
      <c r="O357" t="str">
        <f>IF([2]Entry!$N$360="","",[2]Entry!$N$360)</f>
        <v/>
      </c>
      <c r="P357" t="str">
        <f>IF([2]Entry!$S$360="","",[2]Entry!$S$360)</f>
        <v/>
      </c>
    </row>
    <row r="358" spans="1:16" x14ac:dyDescent="0.2">
      <c r="A358" t="str">
        <f>IF([1]Cheques!$A$359="","",[1]Cheques!$A$359)</f>
        <v/>
      </c>
      <c r="E358" t="str">
        <f>IF([1]Accounts!$D$359="","",[1]Accounts!$A$359)</f>
        <v/>
      </c>
      <c r="F358" t="str">
        <f>IF([1]Accounts!$D$359="","",[1]Accounts!$B$359)</f>
        <v/>
      </c>
      <c r="G358" t="str">
        <f>IF([1]Accounts!$D$359="","",[1]Accounts!$C$359)</f>
        <v/>
      </c>
      <c r="H358" t="str">
        <f>IF([1]Accounts!$D$359="","",[1]Accounts!$D$359)</f>
        <v/>
      </c>
      <c r="L358" t="str">
        <f>IF([2]Entry!$C$361="","",[2]Entry!$C$361)</f>
        <v/>
      </c>
      <c r="M358" t="str">
        <f>IF([2]Entry!$J$361="","",[2]Entry!$J$361)</f>
        <v/>
      </c>
      <c r="N358" t="str">
        <f>IF([2]Entry!$M$361="","",[2]Entry!$M$361)</f>
        <v/>
      </c>
      <c r="O358" t="str">
        <f>IF([2]Entry!$N$361="","",[2]Entry!$N$361)</f>
        <v/>
      </c>
      <c r="P358" t="str">
        <f>IF([2]Entry!$S$361="","",[2]Entry!$S$361)</f>
        <v/>
      </c>
    </row>
    <row r="359" spans="1:16" x14ac:dyDescent="0.2">
      <c r="A359" t="str">
        <f>IF([1]Cheques!$A$360="","",[1]Cheques!$A$360)</f>
        <v/>
      </c>
      <c r="E359" t="str">
        <f>IF([1]Accounts!$D$360="","",[1]Accounts!$A$360)</f>
        <v/>
      </c>
      <c r="F359" t="str">
        <f>IF([1]Accounts!$D$360="","",[1]Accounts!$B$360)</f>
        <v/>
      </c>
      <c r="G359" t="str">
        <f>IF([1]Accounts!$D$360="","",[1]Accounts!$C$360)</f>
        <v/>
      </c>
      <c r="H359" t="str">
        <f>IF([1]Accounts!$D$360="","",[1]Accounts!$D$360)</f>
        <v/>
      </c>
      <c r="L359" t="str">
        <f>IF([2]Entry!$C$362="","",[2]Entry!$C$362)</f>
        <v/>
      </c>
      <c r="M359" t="str">
        <f>IF([2]Entry!$J$362="","",[2]Entry!$J$362)</f>
        <v/>
      </c>
      <c r="N359" t="str">
        <f>IF([2]Entry!$M$362="","",[2]Entry!$M$362)</f>
        <v/>
      </c>
      <c r="O359" t="str">
        <f>IF([2]Entry!$N$362="","",[2]Entry!$N$362)</f>
        <v/>
      </c>
      <c r="P359" t="str">
        <f>IF([2]Entry!$S$362="","",[2]Entry!$S$362)</f>
        <v/>
      </c>
    </row>
    <row r="360" spans="1:16" x14ac:dyDescent="0.2">
      <c r="A360" t="str">
        <f>IF([1]Cheques!$A$361="","",[1]Cheques!$A$361)</f>
        <v/>
      </c>
      <c r="E360" t="str">
        <f>IF([1]Accounts!$D$361="","",[1]Accounts!$A$361)</f>
        <v/>
      </c>
      <c r="F360" t="str">
        <f>IF([1]Accounts!$D$361="","",[1]Accounts!$B$361)</f>
        <v/>
      </c>
      <c r="G360" t="str">
        <f>IF([1]Accounts!$D$361="","",[1]Accounts!$C$361)</f>
        <v/>
      </c>
      <c r="H360" t="str">
        <f>IF([1]Accounts!$D$361="","",[1]Accounts!$D$361)</f>
        <v/>
      </c>
      <c r="L360" t="str">
        <f>IF([2]Entry!$C$363="","",[2]Entry!$C$363)</f>
        <v/>
      </c>
      <c r="M360" t="str">
        <f>IF([2]Entry!$J$363="","",[2]Entry!$J$363)</f>
        <v/>
      </c>
      <c r="N360" t="str">
        <f>IF([2]Entry!$M$363="","",[2]Entry!$M$363)</f>
        <v/>
      </c>
      <c r="O360" t="str">
        <f>IF([2]Entry!$N$363="","",[2]Entry!$N$363)</f>
        <v/>
      </c>
      <c r="P360" t="str">
        <f>IF([2]Entry!$S$363="","",[2]Entry!$S$363)</f>
        <v/>
      </c>
    </row>
    <row r="361" spans="1:16" x14ac:dyDescent="0.2">
      <c r="A361" t="str">
        <f>IF([1]Cheques!$A$362="","",[1]Cheques!$A$362)</f>
        <v/>
      </c>
      <c r="E361" t="str">
        <f>IF([1]Accounts!$D$362="","",[1]Accounts!$A$362)</f>
        <v/>
      </c>
      <c r="F361" t="str">
        <f>IF([1]Accounts!$D$362="","",[1]Accounts!$B$362)</f>
        <v/>
      </c>
      <c r="G361" t="str">
        <f>IF([1]Accounts!$D$362="","",[1]Accounts!$C$362)</f>
        <v/>
      </c>
      <c r="H361" t="str">
        <f>IF([1]Accounts!$D$362="","",[1]Accounts!$D$362)</f>
        <v/>
      </c>
      <c r="L361" t="str">
        <f>IF([2]Entry!$C$364="","",[2]Entry!$C$364)</f>
        <v/>
      </c>
      <c r="M361" t="str">
        <f>IF([2]Entry!$J$364="","",[2]Entry!$J$364)</f>
        <v/>
      </c>
      <c r="N361" t="str">
        <f>IF([2]Entry!$M$364="","",[2]Entry!$M$364)</f>
        <v/>
      </c>
      <c r="O361" t="str">
        <f>IF([2]Entry!$N$364="","",[2]Entry!$N$364)</f>
        <v/>
      </c>
      <c r="P361" t="str">
        <f>IF([2]Entry!$S$364="","",[2]Entry!$S$364)</f>
        <v/>
      </c>
    </row>
    <row r="362" spans="1:16" x14ac:dyDescent="0.2">
      <c r="A362" t="str">
        <f>IF([1]Cheques!$A$363="","",[1]Cheques!$A$363)</f>
        <v/>
      </c>
      <c r="E362" t="str">
        <f>IF([1]Accounts!$D$363="","",[1]Accounts!$A$363)</f>
        <v/>
      </c>
      <c r="F362" t="str">
        <f>IF([1]Accounts!$D$363="","",[1]Accounts!$B$363)</f>
        <v/>
      </c>
      <c r="G362" t="str">
        <f>IF([1]Accounts!$D$363="","",[1]Accounts!$C$363)</f>
        <v/>
      </c>
      <c r="H362" t="str">
        <f>IF([1]Accounts!$D$363="","",[1]Accounts!$D$363)</f>
        <v/>
      </c>
      <c r="L362" t="str">
        <f>IF([2]Entry!$C$365="","",[2]Entry!$C$365)</f>
        <v/>
      </c>
      <c r="M362" t="str">
        <f>IF([2]Entry!$J$365="","",[2]Entry!$J$365)</f>
        <v/>
      </c>
      <c r="N362" t="str">
        <f>IF([2]Entry!$M$365="","",[2]Entry!$M$365)</f>
        <v/>
      </c>
      <c r="O362" t="str">
        <f>IF([2]Entry!$N$365="","",[2]Entry!$N$365)</f>
        <v/>
      </c>
      <c r="P362" t="str">
        <f>IF([2]Entry!$S$365="","",[2]Entry!$S$365)</f>
        <v/>
      </c>
    </row>
    <row r="363" spans="1:16" x14ac:dyDescent="0.2">
      <c r="A363" t="str">
        <f>IF([1]Cheques!$A$364="","",[1]Cheques!$A$364)</f>
        <v/>
      </c>
      <c r="E363" t="str">
        <f>IF([1]Accounts!$D$364="","",[1]Accounts!$A$364)</f>
        <v/>
      </c>
      <c r="F363" t="str">
        <f>IF([1]Accounts!$D$364="","",[1]Accounts!$B$364)</f>
        <v/>
      </c>
      <c r="G363" t="str">
        <f>IF([1]Accounts!$D$364="","",[1]Accounts!$C$364)</f>
        <v/>
      </c>
      <c r="H363" t="str">
        <f>IF([1]Accounts!$D$364="","",[1]Accounts!$D$364)</f>
        <v/>
      </c>
      <c r="L363" t="str">
        <f>IF([2]Entry!$C$366="","",[2]Entry!$C$366)</f>
        <v/>
      </c>
      <c r="M363" t="str">
        <f>IF([2]Entry!$J$366="","",[2]Entry!$J$366)</f>
        <v/>
      </c>
      <c r="N363" t="str">
        <f>IF([2]Entry!$M$366="","",[2]Entry!$M$366)</f>
        <v/>
      </c>
      <c r="O363" t="str">
        <f>IF([2]Entry!$N$366="","",[2]Entry!$N$366)</f>
        <v/>
      </c>
      <c r="P363" t="str">
        <f>IF([2]Entry!$S$366="","",[2]Entry!$S$366)</f>
        <v/>
      </c>
    </row>
    <row r="364" spans="1:16" x14ac:dyDescent="0.2">
      <c r="A364" t="str">
        <f>IF([1]Cheques!$A$365="","",[1]Cheques!$A$365)</f>
        <v/>
      </c>
      <c r="E364" t="str">
        <f>IF([1]Accounts!$D$365="","",[1]Accounts!$A$365)</f>
        <v/>
      </c>
      <c r="F364" t="str">
        <f>IF([1]Accounts!$D$365="","",[1]Accounts!$B$365)</f>
        <v/>
      </c>
      <c r="G364" t="str">
        <f>IF([1]Accounts!$D$365="","",[1]Accounts!$C$365)</f>
        <v/>
      </c>
      <c r="H364" t="str">
        <f>IF([1]Accounts!$D$365="","",[1]Accounts!$D$365)</f>
        <v/>
      </c>
      <c r="L364" t="str">
        <f>IF([2]Entry!$C$367="","",[2]Entry!$C$367)</f>
        <v/>
      </c>
      <c r="M364" t="str">
        <f>IF([2]Entry!$J$367="","",[2]Entry!$J$367)</f>
        <v/>
      </c>
      <c r="N364" t="str">
        <f>IF([2]Entry!$M$367="","",[2]Entry!$M$367)</f>
        <v/>
      </c>
      <c r="O364" t="str">
        <f>IF([2]Entry!$N$367="","",[2]Entry!$N$367)</f>
        <v/>
      </c>
      <c r="P364" t="str">
        <f>IF([2]Entry!$S$367="","",[2]Entry!$S$367)</f>
        <v/>
      </c>
    </row>
    <row r="365" spans="1:16" x14ac:dyDescent="0.2">
      <c r="A365" t="str">
        <f>IF([1]Cheques!$A$366="","",[1]Cheques!$A$366)</f>
        <v/>
      </c>
      <c r="E365" t="str">
        <f>IF([1]Accounts!$D$366="","",[1]Accounts!$A$366)</f>
        <v/>
      </c>
      <c r="F365" t="str">
        <f>IF([1]Accounts!$D$366="","",[1]Accounts!$B$366)</f>
        <v/>
      </c>
      <c r="G365" t="str">
        <f>IF([1]Accounts!$D$366="","",[1]Accounts!$C$366)</f>
        <v/>
      </c>
      <c r="H365" t="str">
        <f>IF([1]Accounts!$D$366="","",[1]Accounts!$D$366)</f>
        <v/>
      </c>
      <c r="L365" t="str">
        <f>IF([2]Entry!$C$368="","",[2]Entry!$C$368)</f>
        <v/>
      </c>
      <c r="M365" t="str">
        <f>IF([2]Entry!$J$368="","",[2]Entry!$J$368)</f>
        <v/>
      </c>
      <c r="N365" t="str">
        <f>IF([2]Entry!$M$368="","",[2]Entry!$M$368)</f>
        <v/>
      </c>
      <c r="O365" t="str">
        <f>IF([2]Entry!$N$368="","",[2]Entry!$N$368)</f>
        <v/>
      </c>
      <c r="P365" t="str">
        <f>IF([2]Entry!$S$368="","",[2]Entry!$S$368)</f>
        <v/>
      </c>
    </row>
    <row r="366" spans="1:16" x14ac:dyDescent="0.2">
      <c r="A366" t="str">
        <f>IF([1]Cheques!$A$367="","",[1]Cheques!$A$367)</f>
        <v/>
      </c>
      <c r="E366" t="str">
        <f>IF([1]Accounts!$D$367="","",[1]Accounts!$A$367)</f>
        <v/>
      </c>
      <c r="F366" t="str">
        <f>IF([1]Accounts!$D$367="","",[1]Accounts!$B$367)</f>
        <v/>
      </c>
      <c r="G366" t="str">
        <f>IF([1]Accounts!$D$367="","",[1]Accounts!$C$367)</f>
        <v/>
      </c>
      <c r="H366" t="str">
        <f>IF([1]Accounts!$D$367="","",[1]Accounts!$D$367)</f>
        <v/>
      </c>
      <c r="L366" t="str">
        <f>IF([2]Entry!$C$369="","",[2]Entry!$C$369)</f>
        <v/>
      </c>
      <c r="M366" t="str">
        <f>IF([2]Entry!$J$369="","",[2]Entry!$J$369)</f>
        <v/>
      </c>
      <c r="N366" t="str">
        <f>IF([2]Entry!$M$369="","",[2]Entry!$M$369)</f>
        <v/>
      </c>
      <c r="O366" t="str">
        <f>IF([2]Entry!$N$369="","",[2]Entry!$N$369)</f>
        <v/>
      </c>
      <c r="P366" t="str">
        <f>IF([2]Entry!$S$369="","",[2]Entry!$S$369)</f>
        <v/>
      </c>
    </row>
    <row r="367" spans="1:16" x14ac:dyDescent="0.2">
      <c r="A367" t="str">
        <f>IF([1]Cheques!$A$368="","",[1]Cheques!$A$368)</f>
        <v/>
      </c>
      <c r="E367" t="str">
        <f>IF([1]Accounts!$D$368="","",[1]Accounts!$A$368)</f>
        <v/>
      </c>
      <c r="F367" t="str">
        <f>IF([1]Accounts!$D$368="","",[1]Accounts!$B$368)</f>
        <v/>
      </c>
      <c r="G367" t="str">
        <f>IF([1]Accounts!$D$368="","",[1]Accounts!$C$368)</f>
        <v/>
      </c>
      <c r="H367" t="str">
        <f>IF([1]Accounts!$D$368="","",[1]Accounts!$D$368)</f>
        <v/>
      </c>
      <c r="L367" t="str">
        <f>IF([2]Entry!$C$370="","",[2]Entry!$C$370)</f>
        <v/>
      </c>
      <c r="M367" t="str">
        <f>IF([2]Entry!$J$370="","",[2]Entry!$J$370)</f>
        <v/>
      </c>
      <c r="N367" t="str">
        <f>IF([2]Entry!$M$370="","",[2]Entry!$M$370)</f>
        <v/>
      </c>
      <c r="O367" t="str">
        <f>IF([2]Entry!$N$370="","",[2]Entry!$N$370)</f>
        <v/>
      </c>
      <c r="P367" t="str">
        <f>IF([2]Entry!$S$370="","",[2]Entry!$S$370)</f>
        <v/>
      </c>
    </row>
    <row r="368" spans="1:16" x14ac:dyDescent="0.2">
      <c r="A368" t="str">
        <f>IF([1]Cheques!$A$369="","",[1]Cheques!$A$369)</f>
        <v/>
      </c>
      <c r="E368" t="str">
        <f>IF([1]Accounts!$D$369="","",[1]Accounts!$A$369)</f>
        <v/>
      </c>
      <c r="F368" t="str">
        <f>IF([1]Accounts!$D$369="","",[1]Accounts!$B$369)</f>
        <v/>
      </c>
      <c r="G368" t="str">
        <f>IF([1]Accounts!$D$369="","",[1]Accounts!$C$369)</f>
        <v/>
      </c>
      <c r="H368" t="str">
        <f>IF([1]Accounts!$D$369="","",[1]Accounts!$D$369)</f>
        <v/>
      </c>
      <c r="L368" t="str">
        <f>IF([2]Entry!$C$371="","",[2]Entry!$C$371)</f>
        <v/>
      </c>
      <c r="M368" t="str">
        <f>IF([2]Entry!$J$371="","",[2]Entry!$J$371)</f>
        <v/>
      </c>
      <c r="N368" t="str">
        <f>IF([2]Entry!$M$371="","",[2]Entry!$M$371)</f>
        <v/>
      </c>
      <c r="O368" t="str">
        <f>IF([2]Entry!$N$371="","",[2]Entry!$N$371)</f>
        <v/>
      </c>
      <c r="P368" t="str">
        <f>IF([2]Entry!$S$371="","",[2]Entry!$S$371)</f>
        <v/>
      </c>
    </row>
    <row r="369" spans="1:16" x14ac:dyDescent="0.2">
      <c r="A369" t="str">
        <f>IF([1]Cheques!$A$370="","",[1]Cheques!$A$370)</f>
        <v/>
      </c>
      <c r="E369" t="str">
        <f>IF([1]Accounts!$D$370="","",[1]Accounts!$A$370)</f>
        <v/>
      </c>
      <c r="F369" t="str">
        <f>IF([1]Accounts!$D$370="","",[1]Accounts!$B$370)</f>
        <v/>
      </c>
      <c r="G369" t="str">
        <f>IF([1]Accounts!$D$370="","",[1]Accounts!$C$370)</f>
        <v/>
      </c>
      <c r="H369" t="str">
        <f>IF([1]Accounts!$D$370="","",[1]Accounts!$D$370)</f>
        <v/>
      </c>
      <c r="L369" t="str">
        <f>IF([2]Entry!$C$372="","",[2]Entry!$C$372)</f>
        <v/>
      </c>
      <c r="M369" t="str">
        <f>IF([2]Entry!$J$372="","",[2]Entry!$J$372)</f>
        <v/>
      </c>
      <c r="N369" t="str">
        <f>IF([2]Entry!$M$372="","",[2]Entry!$M$372)</f>
        <v/>
      </c>
      <c r="O369" t="str">
        <f>IF([2]Entry!$N$372="","",[2]Entry!$N$372)</f>
        <v/>
      </c>
      <c r="P369" t="str">
        <f>IF([2]Entry!$S$372="","",[2]Entry!$S$372)</f>
        <v/>
      </c>
    </row>
    <row r="370" spans="1:16" x14ac:dyDescent="0.2">
      <c r="A370" t="str">
        <f>IF([1]Cheques!$A$371="","",[1]Cheques!$A$371)</f>
        <v/>
      </c>
      <c r="E370" t="str">
        <f>IF([1]Accounts!$D$371="","",[1]Accounts!$A$371)</f>
        <v/>
      </c>
      <c r="F370" t="str">
        <f>IF([1]Accounts!$D$371="","",[1]Accounts!$B$371)</f>
        <v/>
      </c>
      <c r="G370" t="str">
        <f>IF([1]Accounts!$D$371="","",[1]Accounts!$C$371)</f>
        <v/>
      </c>
      <c r="H370" t="str">
        <f>IF([1]Accounts!$D$371="","",[1]Accounts!$D$371)</f>
        <v/>
      </c>
      <c r="L370" t="str">
        <f>IF([2]Entry!$C$373="","",[2]Entry!$C$373)</f>
        <v/>
      </c>
      <c r="M370" t="str">
        <f>IF([2]Entry!$J$373="","",[2]Entry!$J$373)</f>
        <v/>
      </c>
      <c r="N370" t="str">
        <f>IF([2]Entry!$M$373="","",[2]Entry!$M$373)</f>
        <v/>
      </c>
      <c r="O370" t="str">
        <f>IF([2]Entry!$N$373="","",[2]Entry!$N$373)</f>
        <v/>
      </c>
      <c r="P370" t="str">
        <f>IF([2]Entry!$S$373="","",[2]Entry!$S$373)</f>
        <v/>
      </c>
    </row>
    <row r="371" spans="1:16" x14ac:dyDescent="0.2">
      <c r="A371" t="str">
        <f>IF([1]Cheques!$A$372="","",[1]Cheques!$A$372)</f>
        <v/>
      </c>
      <c r="E371" t="str">
        <f>IF([1]Accounts!$D$372="","",[1]Accounts!$A$372)</f>
        <v/>
      </c>
      <c r="F371" t="str">
        <f>IF([1]Accounts!$D$372="","",[1]Accounts!$B$372)</f>
        <v/>
      </c>
      <c r="G371" t="str">
        <f>IF([1]Accounts!$D$372="","",[1]Accounts!$C$372)</f>
        <v/>
      </c>
      <c r="H371" t="str">
        <f>IF([1]Accounts!$D$372="","",[1]Accounts!$D$372)</f>
        <v/>
      </c>
      <c r="L371" t="str">
        <f>IF([2]Entry!$C$374="","",[2]Entry!$C$374)</f>
        <v/>
      </c>
      <c r="M371" t="str">
        <f>IF([2]Entry!$J$374="","",[2]Entry!$J$374)</f>
        <v/>
      </c>
      <c r="N371" t="str">
        <f>IF([2]Entry!$M$374="","",[2]Entry!$M$374)</f>
        <v/>
      </c>
      <c r="O371" t="str">
        <f>IF([2]Entry!$N$374="","",[2]Entry!$N$374)</f>
        <v/>
      </c>
      <c r="P371" t="str">
        <f>IF([2]Entry!$S$374="","",[2]Entry!$S$374)</f>
        <v/>
      </c>
    </row>
    <row r="372" spans="1:16" x14ac:dyDescent="0.2">
      <c r="A372" t="str">
        <f>IF([1]Cheques!$A$373="","",[1]Cheques!$A$373)</f>
        <v/>
      </c>
      <c r="E372" t="str">
        <f>IF([1]Accounts!$D$373="","",[1]Accounts!$A$373)</f>
        <v/>
      </c>
      <c r="F372" t="str">
        <f>IF([1]Accounts!$D$373="","",[1]Accounts!$B$373)</f>
        <v/>
      </c>
      <c r="G372" t="str">
        <f>IF([1]Accounts!$D$373="","",[1]Accounts!$C$373)</f>
        <v/>
      </c>
      <c r="H372" t="str">
        <f>IF([1]Accounts!$D$373="","",[1]Accounts!$D$373)</f>
        <v/>
      </c>
      <c r="L372" t="str">
        <f>IF([2]Entry!$C$375="","",[2]Entry!$C$375)</f>
        <v/>
      </c>
      <c r="M372" t="str">
        <f>IF([2]Entry!$J$375="","",[2]Entry!$J$375)</f>
        <v/>
      </c>
      <c r="N372" t="str">
        <f>IF([2]Entry!$M$375="","",[2]Entry!$M$375)</f>
        <v/>
      </c>
      <c r="O372" t="str">
        <f>IF([2]Entry!$N$375="","",[2]Entry!$N$375)</f>
        <v/>
      </c>
      <c r="P372" t="str">
        <f>IF([2]Entry!$S$375="","",[2]Entry!$S$375)</f>
        <v/>
      </c>
    </row>
    <row r="373" spans="1:16" x14ac:dyDescent="0.2">
      <c r="A373" t="str">
        <f>IF([1]Cheques!$A$374="","",[1]Cheques!$A$374)</f>
        <v/>
      </c>
      <c r="E373" t="str">
        <f>IF([1]Accounts!$D$374="","",[1]Accounts!$A$374)</f>
        <v/>
      </c>
      <c r="F373" t="str">
        <f>IF([1]Accounts!$D$374="","",[1]Accounts!$B$374)</f>
        <v/>
      </c>
      <c r="G373" t="str">
        <f>IF([1]Accounts!$D$374="","",[1]Accounts!$C$374)</f>
        <v/>
      </c>
      <c r="H373" t="str">
        <f>IF([1]Accounts!$D$374="","",[1]Accounts!$D$374)</f>
        <v/>
      </c>
      <c r="L373" t="str">
        <f>IF([2]Entry!$C$376="","",[2]Entry!$C$376)</f>
        <v/>
      </c>
      <c r="M373" t="str">
        <f>IF([2]Entry!$J$376="","",[2]Entry!$J$376)</f>
        <v/>
      </c>
      <c r="N373" t="str">
        <f>IF([2]Entry!$M$376="","",[2]Entry!$M$376)</f>
        <v/>
      </c>
      <c r="O373" t="str">
        <f>IF([2]Entry!$N$376="","",[2]Entry!$N$376)</f>
        <v/>
      </c>
      <c r="P373" t="str">
        <f>IF([2]Entry!$S$376="","",[2]Entry!$S$376)</f>
        <v/>
      </c>
    </row>
    <row r="374" spans="1:16" x14ac:dyDescent="0.2">
      <c r="A374" t="str">
        <f>IF([1]Cheques!$A$375="","",[1]Cheques!$A$375)</f>
        <v/>
      </c>
      <c r="E374" t="str">
        <f>IF([1]Accounts!$D$375="","",[1]Accounts!$A$375)</f>
        <v/>
      </c>
      <c r="F374" t="str">
        <f>IF([1]Accounts!$D$375="","",[1]Accounts!$B$375)</f>
        <v/>
      </c>
      <c r="G374" t="str">
        <f>IF([1]Accounts!$D$375="","",[1]Accounts!$C$375)</f>
        <v/>
      </c>
      <c r="H374" t="str">
        <f>IF([1]Accounts!$D$375="","",[1]Accounts!$D$375)</f>
        <v/>
      </c>
      <c r="L374" t="str">
        <f>IF([2]Entry!$C$377="","",[2]Entry!$C$377)</f>
        <v/>
      </c>
      <c r="M374" t="str">
        <f>IF([2]Entry!$J$377="","",[2]Entry!$J$377)</f>
        <v/>
      </c>
      <c r="N374" t="str">
        <f>IF([2]Entry!$M$377="","",[2]Entry!$M$377)</f>
        <v/>
      </c>
      <c r="O374" t="str">
        <f>IF([2]Entry!$N$377="","",[2]Entry!$N$377)</f>
        <v/>
      </c>
      <c r="P374" t="str">
        <f>IF([2]Entry!$S$377="","",[2]Entry!$S$377)</f>
        <v/>
      </c>
    </row>
    <row r="375" spans="1:16" x14ac:dyDescent="0.2">
      <c r="A375" t="str">
        <f>IF([1]Cheques!$A$376="","",[1]Cheques!$A$376)</f>
        <v/>
      </c>
      <c r="E375" t="str">
        <f>IF([1]Accounts!$D$376="","",[1]Accounts!$A$376)</f>
        <v/>
      </c>
      <c r="F375" t="str">
        <f>IF([1]Accounts!$D$376="","",[1]Accounts!$B$376)</f>
        <v/>
      </c>
      <c r="G375" t="str">
        <f>IF([1]Accounts!$D$376="","",[1]Accounts!$C$376)</f>
        <v/>
      </c>
      <c r="H375" t="str">
        <f>IF([1]Accounts!$D$376="","",[1]Accounts!$D$376)</f>
        <v/>
      </c>
      <c r="L375" t="str">
        <f>IF([2]Entry!$C$378="","",[2]Entry!$C$378)</f>
        <v/>
      </c>
      <c r="M375" t="str">
        <f>IF([2]Entry!$J$378="","",[2]Entry!$J$378)</f>
        <v/>
      </c>
      <c r="N375" t="str">
        <f>IF([2]Entry!$M$378="","",[2]Entry!$M$378)</f>
        <v/>
      </c>
      <c r="O375" t="str">
        <f>IF([2]Entry!$N$378="","",[2]Entry!$N$378)</f>
        <v/>
      </c>
      <c r="P375" t="str">
        <f>IF([2]Entry!$S$378="","",[2]Entry!$S$378)</f>
        <v/>
      </c>
    </row>
    <row r="376" spans="1:16" x14ac:dyDescent="0.2">
      <c r="A376" t="str">
        <f>IF([1]Cheques!$A$377="","",[1]Cheques!$A$377)</f>
        <v/>
      </c>
      <c r="E376" t="str">
        <f>IF([1]Accounts!$D$377="","",[1]Accounts!$A$377)</f>
        <v/>
      </c>
      <c r="F376" t="str">
        <f>IF([1]Accounts!$D$377="","",[1]Accounts!$B$377)</f>
        <v/>
      </c>
      <c r="G376" t="str">
        <f>IF([1]Accounts!$D$377="","",[1]Accounts!$C$377)</f>
        <v/>
      </c>
      <c r="H376" t="str">
        <f>IF([1]Accounts!$D$377="","",[1]Accounts!$D$377)</f>
        <v/>
      </c>
      <c r="L376" t="str">
        <f>IF([2]Entry!$C$379="","",[2]Entry!$C$379)</f>
        <v/>
      </c>
      <c r="M376" t="str">
        <f>IF([2]Entry!$J$379="","",[2]Entry!$J$379)</f>
        <v/>
      </c>
      <c r="N376" t="str">
        <f>IF([2]Entry!$M$379="","",[2]Entry!$M$379)</f>
        <v/>
      </c>
      <c r="O376" t="str">
        <f>IF([2]Entry!$N$379="","",[2]Entry!$N$379)</f>
        <v/>
      </c>
      <c r="P376" t="str">
        <f>IF([2]Entry!$S$379="","",[2]Entry!$S$379)</f>
        <v/>
      </c>
    </row>
    <row r="377" spans="1:16" x14ac:dyDescent="0.2">
      <c r="A377" t="str">
        <f>IF([1]Cheques!$A$378="","",[1]Cheques!$A$378)</f>
        <v/>
      </c>
      <c r="E377" t="str">
        <f>IF([1]Accounts!$D$378="","",[1]Accounts!$A$378)</f>
        <v/>
      </c>
      <c r="F377" t="str">
        <f>IF([1]Accounts!$D$378="","",[1]Accounts!$B$378)</f>
        <v/>
      </c>
      <c r="G377" t="str">
        <f>IF([1]Accounts!$D$378="","",[1]Accounts!$C$378)</f>
        <v/>
      </c>
      <c r="H377" t="str">
        <f>IF([1]Accounts!$D$378="","",[1]Accounts!$D$378)</f>
        <v/>
      </c>
      <c r="L377" t="str">
        <f>IF([2]Entry!$C$380="","",[2]Entry!$C$380)</f>
        <v/>
      </c>
      <c r="M377" t="str">
        <f>IF([2]Entry!$J$380="","",[2]Entry!$J$380)</f>
        <v/>
      </c>
      <c r="N377" t="str">
        <f>IF([2]Entry!$M$380="","",[2]Entry!$M$380)</f>
        <v/>
      </c>
      <c r="O377" t="str">
        <f>IF([2]Entry!$N$380="","",[2]Entry!$N$380)</f>
        <v/>
      </c>
      <c r="P377" t="str">
        <f>IF([2]Entry!$S$380="","",[2]Entry!$S$380)</f>
        <v/>
      </c>
    </row>
    <row r="378" spans="1:16" x14ac:dyDescent="0.2">
      <c r="A378" t="str">
        <f>IF([1]Cheques!$A$379="","",[1]Cheques!$A$379)</f>
        <v/>
      </c>
      <c r="E378" t="str">
        <f>IF([1]Accounts!$D$379="","",[1]Accounts!$A$379)</f>
        <v/>
      </c>
      <c r="F378" t="str">
        <f>IF([1]Accounts!$D$379="","",[1]Accounts!$B$379)</f>
        <v/>
      </c>
      <c r="G378" t="str">
        <f>IF([1]Accounts!$D$379="","",[1]Accounts!$C$379)</f>
        <v/>
      </c>
      <c r="H378" t="str">
        <f>IF([1]Accounts!$D$379="","",[1]Accounts!$D$379)</f>
        <v/>
      </c>
      <c r="L378" t="str">
        <f>IF([2]Entry!$C$381="","",[2]Entry!$C$381)</f>
        <v/>
      </c>
      <c r="M378" t="str">
        <f>IF([2]Entry!$J$381="","",[2]Entry!$J$381)</f>
        <v/>
      </c>
      <c r="N378" t="str">
        <f>IF([2]Entry!$M$381="","",[2]Entry!$M$381)</f>
        <v/>
      </c>
      <c r="O378" t="str">
        <f>IF([2]Entry!$N$381="","",[2]Entry!$N$381)</f>
        <v/>
      </c>
      <c r="P378" t="str">
        <f>IF([2]Entry!$S$381="","",[2]Entry!$S$381)</f>
        <v/>
      </c>
    </row>
    <row r="379" spans="1:16" x14ac:dyDescent="0.2">
      <c r="A379" t="str">
        <f>IF([1]Cheques!$A$380="","",[1]Cheques!$A$380)</f>
        <v/>
      </c>
      <c r="E379" t="str">
        <f>IF([1]Accounts!$D$380="","",[1]Accounts!$A$380)</f>
        <v/>
      </c>
      <c r="F379" t="str">
        <f>IF([1]Accounts!$D$380="","",[1]Accounts!$B$380)</f>
        <v/>
      </c>
      <c r="G379" t="str">
        <f>IF([1]Accounts!$D$380="","",[1]Accounts!$C$380)</f>
        <v/>
      </c>
      <c r="H379" t="str">
        <f>IF([1]Accounts!$D$380="","",[1]Accounts!$D$380)</f>
        <v/>
      </c>
      <c r="L379" t="str">
        <f>IF([2]Entry!$C$382="","",[2]Entry!$C$382)</f>
        <v/>
      </c>
      <c r="M379" t="str">
        <f>IF([2]Entry!$J$382="","",[2]Entry!$J$382)</f>
        <v/>
      </c>
      <c r="N379" t="str">
        <f>IF([2]Entry!$M$382="","",[2]Entry!$M$382)</f>
        <v/>
      </c>
      <c r="O379" t="str">
        <f>IF([2]Entry!$N$382="","",[2]Entry!$N$382)</f>
        <v/>
      </c>
      <c r="P379" t="str">
        <f>IF([2]Entry!$S$382="","",[2]Entry!$S$382)</f>
        <v/>
      </c>
    </row>
    <row r="380" spans="1:16" x14ac:dyDescent="0.2">
      <c r="A380" t="str">
        <f>IF([1]Cheques!$A$381="","",[1]Cheques!$A$381)</f>
        <v/>
      </c>
      <c r="E380" t="str">
        <f>IF([1]Accounts!$D$381="","",[1]Accounts!$A$381)</f>
        <v/>
      </c>
      <c r="F380" t="str">
        <f>IF([1]Accounts!$D$381="","",[1]Accounts!$B$381)</f>
        <v/>
      </c>
      <c r="G380" t="str">
        <f>IF([1]Accounts!$D$381="","",[1]Accounts!$C$381)</f>
        <v/>
      </c>
      <c r="H380" t="str">
        <f>IF([1]Accounts!$D$381="","",[1]Accounts!$D$381)</f>
        <v/>
      </c>
      <c r="L380" t="str">
        <f>IF([2]Entry!$C$383="","",[2]Entry!$C$383)</f>
        <v/>
      </c>
      <c r="M380" t="str">
        <f>IF([2]Entry!$J$383="","",[2]Entry!$J$383)</f>
        <v/>
      </c>
      <c r="N380" t="str">
        <f>IF([2]Entry!$M$383="","",[2]Entry!$M$383)</f>
        <v/>
      </c>
      <c r="O380" t="str">
        <f>IF([2]Entry!$N$383="","",[2]Entry!$N$383)</f>
        <v/>
      </c>
      <c r="P380" t="str">
        <f>IF([2]Entry!$S$383="","",[2]Entry!$S$383)</f>
        <v/>
      </c>
    </row>
    <row r="381" spans="1:16" x14ac:dyDescent="0.2">
      <c r="A381" t="str">
        <f>IF([1]Cheques!$A$382="","",[1]Cheques!$A$382)</f>
        <v/>
      </c>
      <c r="E381" t="str">
        <f>IF([1]Accounts!$D$382="","",[1]Accounts!$A$382)</f>
        <v/>
      </c>
      <c r="F381" t="str">
        <f>IF([1]Accounts!$D$382="","",[1]Accounts!$B$382)</f>
        <v/>
      </c>
      <c r="G381" t="str">
        <f>IF([1]Accounts!$D$382="","",[1]Accounts!$C$382)</f>
        <v/>
      </c>
      <c r="H381" t="str">
        <f>IF([1]Accounts!$D$382="","",[1]Accounts!$D$382)</f>
        <v/>
      </c>
      <c r="L381" t="str">
        <f>IF([2]Entry!$C$384="","",[2]Entry!$C$384)</f>
        <v/>
      </c>
      <c r="M381" t="str">
        <f>IF([2]Entry!$J$384="","",[2]Entry!$J$384)</f>
        <v/>
      </c>
      <c r="N381" t="str">
        <f>IF([2]Entry!$M$384="","",[2]Entry!$M$384)</f>
        <v/>
      </c>
      <c r="O381" t="str">
        <f>IF([2]Entry!$N$384="","",[2]Entry!$N$384)</f>
        <v/>
      </c>
      <c r="P381" t="str">
        <f>IF([2]Entry!$S$384="","",[2]Entry!$S$384)</f>
        <v/>
      </c>
    </row>
    <row r="382" spans="1:16" x14ac:dyDescent="0.2">
      <c r="A382" t="str">
        <f>IF([1]Cheques!$A$383="","",[1]Cheques!$A$383)</f>
        <v/>
      </c>
      <c r="E382" t="str">
        <f>IF([1]Accounts!$D$383="","",[1]Accounts!$A$383)</f>
        <v/>
      </c>
      <c r="F382" t="str">
        <f>IF([1]Accounts!$D$383="","",[1]Accounts!$B$383)</f>
        <v/>
      </c>
      <c r="G382" t="str">
        <f>IF([1]Accounts!$D$383="","",[1]Accounts!$C$383)</f>
        <v/>
      </c>
      <c r="H382" t="str">
        <f>IF([1]Accounts!$D$383="","",[1]Accounts!$D$383)</f>
        <v/>
      </c>
      <c r="L382" t="str">
        <f>IF([2]Entry!$C$385="","",[2]Entry!$C$385)</f>
        <v/>
      </c>
      <c r="M382" t="str">
        <f>IF([2]Entry!$J$385="","",[2]Entry!$J$385)</f>
        <v/>
      </c>
      <c r="N382" t="str">
        <f>IF([2]Entry!$M$385="","",[2]Entry!$M$385)</f>
        <v/>
      </c>
      <c r="O382" t="str">
        <f>IF([2]Entry!$N$385="","",[2]Entry!$N$385)</f>
        <v/>
      </c>
      <c r="P382" t="str">
        <f>IF([2]Entry!$S$385="","",[2]Entry!$S$385)</f>
        <v/>
      </c>
    </row>
    <row r="383" spans="1:16" x14ac:dyDescent="0.2">
      <c r="A383" t="str">
        <f>IF([1]Cheques!$A$384="","",[1]Cheques!$A$384)</f>
        <v/>
      </c>
      <c r="E383" t="str">
        <f>IF([1]Accounts!$D$384="","",[1]Accounts!$A$384)</f>
        <v/>
      </c>
      <c r="F383" t="str">
        <f>IF([1]Accounts!$D$384="","",[1]Accounts!$B$384)</f>
        <v/>
      </c>
      <c r="G383" t="str">
        <f>IF([1]Accounts!$D$384="","",[1]Accounts!$C$384)</f>
        <v/>
      </c>
      <c r="H383" t="str">
        <f>IF([1]Accounts!$D$384="","",[1]Accounts!$D$384)</f>
        <v/>
      </c>
      <c r="L383" t="str">
        <f>IF([2]Entry!$C$386="","",[2]Entry!$C$386)</f>
        <v/>
      </c>
      <c r="M383" t="str">
        <f>IF([2]Entry!$J$386="","",[2]Entry!$J$386)</f>
        <v/>
      </c>
      <c r="N383" t="str">
        <f>IF([2]Entry!$M$386="","",[2]Entry!$M$386)</f>
        <v/>
      </c>
      <c r="O383" t="str">
        <f>IF([2]Entry!$N$386="","",[2]Entry!$N$386)</f>
        <v/>
      </c>
      <c r="P383" t="str">
        <f>IF([2]Entry!$S$386="","",[2]Entry!$S$386)</f>
        <v/>
      </c>
    </row>
    <row r="384" spans="1:16" x14ac:dyDescent="0.2">
      <c r="A384" t="str">
        <f>IF([1]Cheques!$A$385="","",[1]Cheques!$A$385)</f>
        <v/>
      </c>
      <c r="E384" t="str">
        <f>IF([1]Accounts!$D$385="","",[1]Accounts!$A$385)</f>
        <v/>
      </c>
      <c r="F384" t="str">
        <f>IF([1]Accounts!$D$385="","",[1]Accounts!$B$385)</f>
        <v/>
      </c>
      <c r="G384" t="str">
        <f>IF([1]Accounts!$D$385="","",[1]Accounts!$C$385)</f>
        <v/>
      </c>
      <c r="H384" t="str">
        <f>IF([1]Accounts!$D$385="","",[1]Accounts!$D$385)</f>
        <v/>
      </c>
      <c r="L384" t="str">
        <f>IF([2]Entry!$C$387="","",[2]Entry!$C$387)</f>
        <v/>
      </c>
      <c r="M384" t="str">
        <f>IF([2]Entry!$J$387="","",[2]Entry!$J$387)</f>
        <v/>
      </c>
      <c r="N384" t="str">
        <f>IF([2]Entry!$M$387="","",[2]Entry!$M$387)</f>
        <v/>
      </c>
      <c r="O384" t="str">
        <f>IF([2]Entry!$N$387="","",[2]Entry!$N$387)</f>
        <v/>
      </c>
      <c r="P384" t="str">
        <f>IF([2]Entry!$S$387="","",[2]Entry!$S$387)</f>
        <v/>
      </c>
    </row>
    <row r="385" spans="1:16" x14ac:dyDescent="0.2">
      <c r="A385" t="str">
        <f>IF([1]Cheques!$A$386="","",[1]Cheques!$A$386)</f>
        <v/>
      </c>
      <c r="E385" t="str">
        <f>IF([1]Accounts!$D$386="","",[1]Accounts!$A$386)</f>
        <v/>
      </c>
      <c r="F385" t="str">
        <f>IF([1]Accounts!$D$386="","",[1]Accounts!$B$386)</f>
        <v/>
      </c>
      <c r="G385" t="str">
        <f>IF([1]Accounts!$D$386="","",[1]Accounts!$C$386)</f>
        <v/>
      </c>
      <c r="H385" t="str">
        <f>IF([1]Accounts!$D$386="","",[1]Accounts!$D$386)</f>
        <v/>
      </c>
      <c r="L385" t="str">
        <f>IF([2]Entry!$C$388="","",[2]Entry!$C$388)</f>
        <v/>
      </c>
      <c r="M385" t="str">
        <f>IF([2]Entry!$J$388="","",[2]Entry!$J$388)</f>
        <v/>
      </c>
      <c r="N385" t="str">
        <f>IF([2]Entry!$M$388="","",[2]Entry!$M$388)</f>
        <v/>
      </c>
      <c r="O385" t="str">
        <f>IF([2]Entry!$N$388="","",[2]Entry!$N$388)</f>
        <v/>
      </c>
      <c r="P385" t="str">
        <f>IF([2]Entry!$S$388="","",[2]Entry!$S$388)</f>
        <v/>
      </c>
    </row>
    <row r="386" spans="1:16" x14ac:dyDescent="0.2">
      <c r="A386" t="str">
        <f>IF([1]Cheques!$A$387="","",[1]Cheques!$A$387)</f>
        <v/>
      </c>
      <c r="E386" t="str">
        <f>IF([1]Accounts!$D$387="","",[1]Accounts!$A$387)</f>
        <v/>
      </c>
      <c r="F386" t="str">
        <f>IF([1]Accounts!$D$387="","",[1]Accounts!$B$387)</f>
        <v/>
      </c>
      <c r="G386" t="str">
        <f>IF([1]Accounts!$D$387="","",[1]Accounts!$C$387)</f>
        <v/>
      </c>
      <c r="H386" t="str">
        <f>IF([1]Accounts!$D$387="","",[1]Accounts!$D$387)</f>
        <v/>
      </c>
      <c r="L386" t="str">
        <f>IF([2]Entry!$C$389="","",[2]Entry!$C$389)</f>
        <v/>
      </c>
      <c r="M386" t="str">
        <f>IF([2]Entry!$J$389="","",[2]Entry!$J$389)</f>
        <v/>
      </c>
      <c r="N386" t="str">
        <f>IF([2]Entry!$M$389="","",[2]Entry!$M$389)</f>
        <v/>
      </c>
      <c r="O386" t="str">
        <f>IF([2]Entry!$N$389="","",[2]Entry!$N$389)</f>
        <v/>
      </c>
      <c r="P386" t="str">
        <f>IF([2]Entry!$S$389="","",[2]Entry!$S$389)</f>
        <v/>
      </c>
    </row>
    <row r="387" spans="1:16" x14ac:dyDescent="0.2">
      <c r="A387" t="str">
        <f>IF([1]Cheques!$A$388="","",[1]Cheques!$A$388)</f>
        <v/>
      </c>
      <c r="E387" t="str">
        <f>IF([1]Accounts!$D$388="","",[1]Accounts!$A$388)</f>
        <v/>
      </c>
      <c r="F387" t="str">
        <f>IF([1]Accounts!$D$388="","",[1]Accounts!$B$388)</f>
        <v/>
      </c>
      <c r="G387" t="str">
        <f>IF([1]Accounts!$D$388="","",[1]Accounts!$C$388)</f>
        <v/>
      </c>
      <c r="H387" t="str">
        <f>IF([1]Accounts!$D$388="","",[1]Accounts!$D$388)</f>
        <v/>
      </c>
      <c r="L387" t="str">
        <f>IF([2]Entry!$C$390="","",[2]Entry!$C$390)</f>
        <v/>
      </c>
      <c r="M387" t="str">
        <f>IF([2]Entry!$J$390="","",[2]Entry!$J$390)</f>
        <v/>
      </c>
      <c r="N387" t="str">
        <f>IF([2]Entry!$M$390="","",[2]Entry!$M$390)</f>
        <v/>
      </c>
      <c r="O387" t="str">
        <f>IF([2]Entry!$N$390="","",[2]Entry!$N$390)</f>
        <v/>
      </c>
      <c r="P387" t="str">
        <f>IF([2]Entry!$S$390="","",[2]Entry!$S$390)</f>
        <v/>
      </c>
    </row>
    <row r="388" spans="1:16" x14ac:dyDescent="0.2">
      <c r="A388" t="str">
        <f>IF([1]Cheques!$A$389="","",[1]Cheques!$A$389)</f>
        <v/>
      </c>
      <c r="E388" t="str">
        <f>IF([1]Accounts!$D$389="","",[1]Accounts!$A$389)</f>
        <v/>
      </c>
      <c r="F388" t="str">
        <f>IF([1]Accounts!$D$389="","",[1]Accounts!$B$389)</f>
        <v/>
      </c>
      <c r="G388" t="str">
        <f>IF([1]Accounts!$D$389="","",[1]Accounts!$C$389)</f>
        <v/>
      </c>
      <c r="H388" t="str">
        <f>IF([1]Accounts!$D$389="","",[1]Accounts!$D$389)</f>
        <v/>
      </c>
      <c r="L388" t="str">
        <f>IF([2]Entry!$C$391="","",[2]Entry!$C$391)</f>
        <v/>
      </c>
      <c r="M388" t="str">
        <f>IF([2]Entry!$J$391="","",[2]Entry!$J$391)</f>
        <v/>
      </c>
      <c r="N388" t="str">
        <f>IF([2]Entry!$M$391="","",[2]Entry!$M$391)</f>
        <v/>
      </c>
      <c r="O388" t="str">
        <f>IF([2]Entry!$N$391="","",[2]Entry!$N$391)</f>
        <v/>
      </c>
      <c r="P388" t="str">
        <f>IF([2]Entry!$S$391="","",[2]Entry!$S$391)</f>
        <v/>
      </c>
    </row>
    <row r="389" spans="1:16" x14ac:dyDescent="0.2">
      <c r="A389" t="str">
        <f>IF([1]Cheques!$A$390="","",[1]Cheques!$A$390)</f>
        <v/>
      </c>
      <c r="E389" t="str">
        <f>IF([1]Accounts!$D$390="","",[1]Accounts!$A$390)</f>
        <v/>
      </c>
      <c r="F389" t="str">
        <f>IF([1]Accounts!$D$390="","",[1]Accounts!$B$390)</f>
        <v/>
      </c>
      <c r="G389" t="str">
        <f>IF([1]Accounts!$D$390="","",[1]Accounts!$C$390)</f>
        <v/>
      </c>
      <c r="H389" t="str">
        <f>IF([1]Accounts!$D$390="","",[1]Accounts!$D$390)</f>
        <v/>
      </c>
      <c r="L389" t="str">
        <f>IF([2]Entry!$C$392="","",[2]Entry!$C$392)</f>
        <v/>
      </c>
      <c r="M389" t="str">
        <f>IF([2]Entry!$J$392="","",[2]Entry!$J$392)</f>
        <v/>
      </c>
      <c r="N389" t="str">
        <f>IF([2]Entry!$M$392="","",[2]Entry!$M$392)</f>
        <v/>
      </c>
      <c r="O389" t="str">
        <f>IF([2]Entry!$N$392="","",[2]Entry!$N$392)</f>
        <v/>
      </c>
      <c r="P389" t="str">
        <f>IF([2]Entry!$S$392="","",[2]Entry!$S$392)</f>
        <v/>
      </c>
    </row>
    <row r="390" spans="1:16" x14ac:dyDescent="0.2">
      <c r="A390" t="str">
        <f>IF([1]Cheques!$A$391="","",[1]Cheques!$A$391)</f>
        <v/>
      </c>
      <c r="E390" t="str">
        <f>IF([1]Accounts!$D$391="","",[1]Accounts!$A$391)</f>
        <v/>
      </c>
      <c r="F390" t="str">
        <f>IF([1]Accounts!$D$391="","",[1]Accounts!$B$391)</f>
        <v/>
      </c>
      <c r="G390" t="str">
        <f>IF([1]Accounts!$D$391="","",[1]Accounts!$C$391)</f>
        <v/>
      </c>
      <c r="H390" t="str">
        <f>IF([1]Accounts!$D$391="","",[1]Accounts!$D$391)</f>
        <v/>
      </c>
      <c r="L390" t="str">
        <f>IF([2]Entry!$C$393="","",[2]Entry!$C$393)</f>
        <v/>
      </c>
      <c r="M390" t="str">
        <f>IF([2]Entry!$J$393="","",[2]Entry!$J$393)</f>
        <v/>
      </c>
      <c r="N390" t="str">
        <f>IF([2]Entry!$M$393="","",[2]Entry!$M$393)</f>
        <v/>
      </c>
      <c r="O390" t="str">
        <f>IF([2]Entry!$N$393="","",[2]Entry!$N$393)</f>
        <v/>
      </c>
      <c r="P390" t="str">
        <f>IF([2]Entry!$S$393="","",[2]Entry!$S$393)</f>
        <v/>
      </c>
    </row>
    <row r="391" spans="1:16" x14ac:dyDescent="0.2">
      <c r="A391" t="str">
        <f>IF([1]Cheques!$A$392="","",[1]Cheques!$A$392)</f>
        <v/>
      </c>
      <c r="E391" t="str">
        <f>IF([1]Accounts!$D$392="","",[1]Accounts!$A$392)</f>
        <v/>
      </c>
      <c r="F391" t="str">
        <f>IF([1]Accounts!$D$392="","",[1]Accounts!$B$392)</f>
        <v/>
      </c>
      <c r="G391" t="str">
        <f>IF([1]Accounts!$D$392="","",[1]Accounts!$C$392)</f>
        <v/>
      </c>
      <c r="H391" t="str">
        <f>IF([1]Accounts!$D$392="","",[1]Accounts!$D$392)</f>
        <v/>
      </c>
      <c r="L391" t="str">
        <f>IF([2]Entry!$C$394="","",[2]Entry!$C$394)</f>
        <v/>
      </c>
      <c r="M391" t="str">
        <f>IF([2]Entry!$J$394="","",[2]Entry!$J$394)</f>
        <v/>
      </c>
      <c r="N391" t="str">
        <f>IF([2]Entry!$M$394="","",[2]Entry!$M$394)</f>
        <v/>
      </c>
      <c r="O391" t="str">
        <f>IF([2]Entry!$N$394="","",[2]Entry!$N$394)</f>
        <v/>
      </c>
      <c r="P391" t="str">
        <f>IF([2]Entry!$S$394="","",[2]Entry!$S$394)</f>
        <v/>
      </c>
    </row>
    <row r="392" spans="1:16" x14ac:dyDescent="0.2">
      <c r="A392" t="str">
        <f>IF([1]Cheques!$A$393="","",[1]Cheques!$A$393)</f>
        <v/>
      </c>
      <c r="E392" t="str">
        <f>IF([1]Accounts!$D$393="","",[1]Accounts!$A$393)</f>
        <v/>
      </c>
      <c r="F392" t="str">
        <f>IF([1]Accounts!$D$393="","",[1]Accounts!$B$393)</f>
        <v/>
      </c>
      <c r="G392" t="str">
        <f>IF([1]Accounts!$D$393="","",[1]Accounts!$C$393)</f>
        <v/>
      </c>
      <c r="H392" t="str">
        <f>IF([1]Accounts!$D$393="","",[1]Accounts!$D$393)</f>
        <v/>
      </c>
      <c r="L392" t="str">
        <f>IF([2]Entry!$C$395="","",[2]Entry!$C$395)</f>
        <v/>
      </c>
      <c r="M392" t="str">
        <f>IF([2]Entry!$J$395="","",[2]Entry!$J$395)</f>
        <v/>
      </c>
      <c r="N392" t="str">
        <f>IF([2]Entry!$M$395="","",[2]Entry!$M$395)</f>
        <v/>
      </c>
      <c r="O392" t="str">
        <f>IF([2]Entry!$N$395="","",[2]Entry!$N$395)</f>
        <v/>
      </c>
      <c r="P392" t="str">
        <f>IF([2]Entry!$S$395="","",[2]Entry!$S$395)</f>
        <v/>
      </c>
    </row>
    <row r="393" spans="1:16" x14ac:dyDescent="0.2">
      <c r="A393" t="str">
        <f>IF([1]Cheques!$A$394="","",[1]Cheques!$A$394)</f>
        <v/>
      </c>
      <c r="E393" t="str">
        <f>IF([1]Accounts!$D$394="","",[1]Accounts!$A$394)</f>
        <v/>
      </c>
      <c r="F393" t="str">
        <f>IF([1]Accounts!$D$394="","",[1]Accounts!$B$394)</f>
        <v/>
      </c>
      <c r="G393" t="str">
        <f>IF([1]Accounts!$D$394="","",[1]Accounts!$C$394)</f>
        <v/>
      </c>
      <c r="H393" t="str">
        <f>IF([1]Accounts!$D$394="","",[1]Accounts!$D$394)</f>
        <v/>
      </c>
      <c r="L393" t="str">
        <f>IF([2]Entry!$C$396="","",[2]Entry!$C$396)</f>
        <v/>
      </c>
      <c r="M393" t="str">
        <f>IF([2]Entry!$J$396="","",[2]Entry!$J$396)</f>
        <v/>
      </c>
      <c r="N393" t="str">
        <f>IF([2]Entry!$M$396="","",[2]Entry!$M$396)</f>
        <v/>
      </c>
      <c r="O393" t="str">
        <f>IF([2]Entry!$N$396="","",[2]Entry!$N$396)</f>
        <v/>
      </c>
      <c r="P393" t="str">
        <f>IF([2]Entry!$S$396="","",[2]Entry!$S$396)</f>
        <v/>
      </c>
    </row>
    <row r="394" spans="1:16" x14ac:dyDescent="0.2">
      <c r="A394" t="str">
        <f>IF([1]Cheques!$A$395="","",[1]Cheques!$A$395)</f>
        <v/>
      </c>
      <c r="E394" t="str">
        <f>IF([1]Accounts!$D$395="","",[1]Accounts!$A$395)</f>
        <v/>
      </c>
      <c r="F394" t="str">
        <f>IF([1]Accounts!$D$395="","",[1]Accounts!$B$395)</f>
        <v/>
      </c>
      <c r="G394" t="str">
        <f>IF([1]Accounts!$D$395="","",[1]Accounts!$C$395)</f>
        <v/>
      </c>
      <c r="H394" t="str">
        <f>IF([1]Accounts!$D$395="","",[1]Accounts!$D$395)</f>
        <v/>
      </c>
      <c r="L394" t="str">
        <f>IF([2]Entry!$C$397="","",[2]Entry!$C$397)</f>
        <v/>
      </c>
      <c r="M394" t="str">
        <f>IF([2]Entry!$J$397="","",[2]Entry!$J$397)</f>
        <v/>
      </c>
      <c r="N394" t="str">
        <f>IF([2]Entry!$M$397="","",[2]Entry!$M$397)</f>
        <v/>
      </c>
      <c r="O394" t="str">
        <f>IF([2]Entry!$N$397="","",[2]Entry!$N$397)</f>
        <v/>
      </c>
      <c r="P394" t="str">
        <f>IF([2]Entry!$S$397="","",[2]Entry!$S$397)</f>
        <v/>
      </c>
    </row>
    <row r="395" spans="1:16" x14ac:dyDescent="0.2">
      <c r="A395" t="str">
        <f>IF([1]Cheques!$A$396="","",[1]Cheques!$A$396)</f>
        <v/>
      </c>
      <c r="E395" t="str">
        <f>IF([1]Accounts!$D$396="","",[1]Accounts!$A$396)</f>
        <v/>
      </c>
      <c r="F395" t="str">
        <f>IF([1]Accounts!$D$396="","",[1]Accounts!$B$396)</f>
        <v/>
      </c>
      <c r="G395" t="str">
        <f>IF([1]Accounts!$D$396="","",[1]Accounts!$C$396)</f>
        <v/>
      </c>
      <c r="H395" t="str">
        <f>IF([1]Accounts!$D$396="","",[1]Accounts!$D$396)</f>
        <v/>
      </c>
      <c r="L395" t="str">
        <f>IF([2]Entry!$C$398="","",[2]Entry!$C$398)</f>
        <v/>
      </c>
      <c r="M395" t="str">
        <f>IF([2]Entry!$J$398="","",[2]Entry!$J$398)</f>
        <v/>
      </c>
      <c r="N395" t="str">
        <f>IF([2]Entry!$M$398="","",[2]Entry!$M$398)</f>
        <v/>
      </c>
      <c r="O395" t="str">
        <f>IF([2]Entry!$N$398="","",[2]Entry!$N$398)</f>
        <v/>
      </c>
      <c r="P395" t="str">
        <f>IF([2]Entry!$S$398="","",[2]Entry!$S$398)</f>
        <v/>
      </c>
    </row>
    <row r="396" spans="1:16" x14ac:dyDescent="0.2">
      <c r="A396" t="str">
        <f>IF([1]Cheques!$A$397="","",[1]Cheques!$A$397)</f>
        <v/>
      </c>
      <c r="E396" t="str">
        <f>IF([1]Accounts!$D$397="","",[1]Accounts!$A$397)</f>
        <v/>
      </c>
      <c r="F396" t="str">
        <f>IF([1]Accounts!$D$397="","",[1]Accounts!$B$397)</f>
        <v/>
      </c>
      <c r="G396" t="str">
        <f>IF([1]Accounts!$D$397="","",[1]Accounts!$C$397)</f>
        <v/>
      </c>
      <c r="H396" t="str">
        <f>IF([1]Accounts!$D$397="","",[1]Accounts!$D$397)</f>
        <v/>
      </c>
      <c r="L396" t="str">
        <f>IF([2]Entry!$C$399="","",[2]Entry!$C$399)</f>
        <v/>
      </c>
      <c r="M396" t="str">
        <f>IF([2]Entry!$J$399="","",[2]Entry!$J$399)</f>
        <v/>
      </c>
      <c r="N396" t="str">
        <f>IF([2]Entry!$M$399="","",[2]Entry!$M$399)</f>
        <v/>
      </c>
      <c r="O396" t="str">
        <f>IF([2]Entry!$N$399="","",[2]Entry!$N$399)</f>
        <v/>
      </c>
      <c r="P396" t="str">
        <f>IF([2]Entry!$S$399="","",[2]Entry!$S$399)</f>
        <v/>
      </c>
    </row>
    <row r="397" spans="1:16" x14ac:dyDescent="0.2">
      <c r="A397" t="str">
        <f>IF([1]Cheques!$A$398="","",[1]Cheques!$A$398)</f>
        <v/>
      </c>
      <c r="E397" t="str">
        <f>IF([1]Accounts!$D$398="","",[1]Accounts!$A$398)</f>
        <v/>
      </c>
      <c r="F397" t="str">
        <f>IF([1]Accounts!$D$398="","",[1]Accounts!$B$398)</f>
        <v/>
      </c>
      <c r="G397" t="str">
        <f>IF([1]Accounts!$D$398="","",[1]Accounts!$C$398)</f>
        <v/>
      </c>
      <c r="H397" t="str">
        <f>IF([1]Accounts!$D$398="","",[1]Accounts!$D$398)</f>
        <v/>
      </c>
      <c r="L397" t="str">
        <f>IF([2]Entry!$C$400="","",[2]Entry!$C$400)</f>
        <v/>
      </c>
      <c r="M397" t="str">
        <f>IF([2]Entry!$J$400="","",[2]Entry!$J$400)</f>
        <v/>
      </c>
      <c r="N397" t="str">
        <f>IF([2]Entry!$M$400="","",[2]Entry!$M$400)</f>
        <v/>
      </c>
      <c r="O397" t="str">
        <f>IF([2]Entry!$N$400="","",[2]Entry!$N$400)</f>
        <v/>
      </c>
      <c r="P397" t="str">
        <f>IF([2]Entry!$S$400="","",[2]Entry!$S$400)</f>
        <v/>
      </c>
    </row>
    <row r="398" spans="1:16" x14ac:dyDescent="0.2">
      <c r="A398" t="str">
        <f>IF([1]Cheques!$A$399="","",[1]Cheques!$A$399)</f>
        <v/>
      </c>
      <c r="E398" t="str">
        <f>IF([1]Accounts!$D$399="","",[1]Accounts!$A$399)</f>
        <v/>
      </c>
      <c r="F398" t="str">
        <f>IF([1]Accounts!$D$399="","",[1]Accounts!$B$399)</f>
        <v/>
      </c>
      <c r="G398" t="str">
        <f>IF([1]Accounts!$D$399="","",[1]Accounts!$C$399)</f>
        <v/>
      </c>
      <c r="H398" t="str">
        <f>IF([1]Accounts!$D$399="","",[1]Accounts!$D$399)</f>
        <v/>
      </c>
      <c r="L398" t="str">
        <f>IF([2]Entry!$C$401="","",[2]Entry!$C$401)</f>
        <v/>
      </c>
      <c r="M398" t="str">
        <f>IF([2]Entry!$J$401="","",[2]Entry!$J$401)</f>
        <v/>
      </c>
      <c r="N398" t="str">
        <f>IF([2]Entry!$M$401="","",[2]Entry!$M$401)</f>
        <v/>
      </c>
      <c r="O398" t="str">
        <f>IF([2]Entry!$N$401="","",[2]Entry!$N$401)</f>
        <v/>
      </c>
      <c r="P398" t="str">
        <f>IF([2]Entry!$S$401="","",[2]Entry!$S$401)</f>
        <v/>
      </c>
    </row>
    <row r="399" spans="1:16" x14ac:dyDescent="0.2">
      <c r="A399" t="str">
        <f>IF([1]Cheques!$A$400="","",[1]Cheques!$A$400)</f>
        <v/>
      </c>
      <c r="E399" t="str">
        <f>IF([1]Accounts!$D$400="","",[1]Accounts!$A$400)</f>
        <v/>
      </c>
      <c r="F399" t="str">
        <f>IF([1]Accounts!$D$400="","",[1]Accounts!$B$400)</f>
        <v/>
      </c>
      <c r="G399" t="str">
        <f>IF([1]Accounts!$D$400="","",[1]Accounts!$C$400)</f>
        <v/>
      </c>
      <c r="H399" t="str">
        <f>IF([1]Accounts!$D$400="","",[1]Accounts!$D$400)</f>
        <v/>
      </c>
      <c r="L399" t="str">
        <f>IF([2]Entry!$C$402="","",[2]Entry!$C$402)</f>
        <v/>
      </c>
      <c r="M399" t="str">
        <f>IF([2]Entry!$J$402="","",[2]Entry!$J$402)</f>
        <v/>
      </c>
      <c r="N399" t="str">
        <f>IF([2]Entry!$M$402="","",[2]Entry!$M$402)</f>
        <v/>
      </c>
      <c r="O399" t="str">
        <f>IF([2]Entry!$N$402="","",[2]Entry!$N$402)</f>
        <v/>
      </c>
      <c r="P399" t="str">
        <f>IF([2]Entry!$S$402="","",[2]Entry!$S$402)</f>
        <v/>
      </c>
    </row>
    <row r="400" spans="1:16" x14ac:dyDescent="0.2">
      <c r="A400" t="str">
        <f>IF([1]Cheques!$A$401="","",[1]Cheques!$A$401)</f>
        <v/>
      </c>
      <c r="E400" t="str">
        <f>IF([1]Accounts!$D$401="","",[1]Accounts!$A$401)</f>
        <v/>
      </c>
      <c r="F400" t="str">
        <f>IF([1]Accounts!$D$401="","",[1]Accounts!$B$401)</f>
        <v/>
      </c>
      <c r="G400" t="str">
        <f>IF([1]Accounts!$D$401="","",[1]Accounts!$C$401)</f>
        <v/>
      </c>
      <c r="H400" t="str">
        <f>IF([1]Accounts!$D$401="","",[1]Accounts!$D$401)</f>
        <v/>
      </c>
      <c r="L400" t="str">
        <f>IF([2]Entry!$C$403="","",[2]Entry!$C$403)</f>
        <v/>
      </c>
      <c r="M400" t="str">
        <f>IF([2]Entry!$J$403="","",[2]Entry!$J$403)</f>
        <v/>
      </c>
      <c r="N400" t="str">
        <f>IF([2]Entry!$M$403="","",[2]Entry!$M$403)</f>
        <v/>
      </c>
      <c r="O400" t="str">
        <f>IF([2]Entry!$N$403="","",[2]Entry!$N$403)</f>
        <v/>
      </c>
      <c r="P400" t="str">
        <f>IF([2]Entry!$S$403="","",[2]Entry!$S$403)</f>
        <v/>
      </c>
    </row>
    <row r="401" spans="1:16" x14ac:dyDescent="0.2">
      <c r="A401" t="str">
        <f>IF([1]Cheques!$A$402="","",[1]Cheques!$A$402)</f>
        <v/>
      </c>
      <c r="E401" t="str">
        <f>IF([1]Accounts!$D$402="","",[1]Accounts!$A$402)</f>
        <v/>
      </c>
      <c r="F401" t="str">
        <f>IF([1]Accounts!$D$402="","",[1]Accounts!$B$402)</f>
        <v/>
      </c>
      <c r="G401" t="str">
        <f>IF([1]Accounts!$D$402="","",[1]Accounts!$C$402)</f>
        <v/>
      </c>
      <c r="H401" t="str">
        <f>IF([1]Accounts!$D$402="","",[1]Accounts!$D$402)</f>
        <v/>
      </c>
      <c r="L401" t="str">
        <f>IF([2]Entry!$C$404="","",[2]Entry!$C$404)</f>
        <v/>
      </c>
      <c r="M401" t="str">
        <f>IF([2]Entry!$J$404="","",[2]Entry!$J$404)</f>
        <v/>
      </c>
      <c r="N401" t="str">
        <f>IF([2]Entry!$M$404="","",[2]Entry!$M$404)</f>
        <v/>
      </c>
      <c r="O401" t="str">
        <f>IF([2]Entry!$N$404="","",[2]Entry!$N$404)</f>
        <v/>
      </c>
      <c r="P401" t="str">
        <f>IF([2]Entry!$S$404="","",[2]Entry!$S$404)</f>
        <v/>
      </c>
    </row>
    <row r="402" spans="1:16" x14ac:dyDescent="0.2">
      <c r="A402" t="str">
        <f>IF([1]Cheques!$A$403="","",[1]Cheques!$A$403)</f>
        <v/>
      </c>
      <c r="E402" t="str">
        <f>IF([1]Accounts!$D$403="","",[1]Accounts!$A$403)</f>
        <v/>
      </c>
      <c r="F402" t="str">
        <f>IF([1]Accounts!$D$403="","",[1]Accounts!$B$403)</f>
        <v/>
      </c>
      <c r="G402" t="str">
        <f>IF([1]Accounts!$D$403="","",[1]Accounts!$C$403)</f>
        <v/>
      </c>
      <c r="H402" t="str">
        <f>IF([1]Accounts!$D$403="","",[1]Accounts!$D$403)</f>
        <v/>
      </c>
      <c r="L402" t="str">
        <f>IF([2]Entry!$C$405="","",[2]Entry!$C$405)</f>
        <v/>
      </c>
      <c r="M402" t="str">
        <f>IF([2]Entry!$J$405="","",[2]Entry!$J$405)</f>
        <v/>
      </c>
      <c r="N402" t="str">
        <f>IF([2]Entry!$M$405="","",[2]Entry!$M$405)</f>
        <v/>
      </c>
      <c r="O402" t="str">
        <f>IF([2]Entry!$N$405="","",[2]Entry!$N$405)</f>
        <v/>
      </c>
      <c r="P402" t="str">
        <f>IF([2]Entry!$S$405="","",[2]Entry!$S$405)</f>
        <v/>
      </c>
    </row>
    <row r="403" spans="1:16" x14ac:dyDescent="0.2">
      <c r="A403" t="str">
        <f>IF([1]Cheques!$A$404="","",[1]Cheques!$A$404)</f>
        <v/>
      </c>
      <c r="E403" t="str">
        <f>IF([1]Accounts!$D$404="","",[1]Accounts!$A$404)</f>
        <v/>
      </c>
      <c r="F403" t="str">
        <f>IF([1]Accounts!$D$404="","",[1]Accounts!$B$404)</f>
        <v/>
      </c>
      <c r="G403" t="str">
        <f>IF([1]Accounts!$D$404="","",[1]Accounts!$C$404)</f>
        <v/>
      </c>
      <c r="H403" t="str">
        <f>IF([1]Accounts!$D$404="","",[1]Accounts!$D$404)</f>
        <v/>
      </c>
      <c r="L403" t="str">
        <f>IF([2]Entry!$C$406="","",[2]Entry!$C$406)</f>
        <v/>
      </c>
      <c r="M403" t="str">
        <f>IF([2]Entry!$J$406="","",[2]Entry!$J$406)</f>
        <v/>
      </c>
      <c r="N403" t="str">
        <f>IF([2]Entry!$M$406="","",[2]Entry!$M$406)</f>
        <v/>
      </c>
      <c r="O403" t="str">
        <f>IF([2]Entry!$N$406="","",[2]Entry!$N$406)</f>
        <v/>
      </c>
      <c r="P403" t="str">
        <f>IF([2]Entry!$S$406="","",[2]Entry!$S$406)</f>
        <v/>
      </c>
    </row>
    <row r="404" spans="1:16" x14ac:dyDescent="0.2">
      <c r="A404" t="str">
        <f>IF([1]Cheques!$A$405="","",[1]Cheques!$A$405)</f>
        <v/>
      </c>
      <c r="E404" t="str">
        <f>IF([1]Accounts!$D$405="","",[1]Accounts!$A$405)</f>
        <v/>
      </c>
      <c r="F404" t="str">
        <f>IF([1]Accounts!$D$405="","",[1]Accounts!$B$405)</f>
        <v/>
      </c>
      <c r="G404" t="str">
        <f>IF([1]Accounts!$D$405="","",[1]Accounts!$C$405)</f>
        <v/>
      </c>
      <c r="H404" t="str">
        <f>IF([1]Accounts!$D$405="","",[1]Accounts!$D$405)</f>
        <v/>
      </c>
      <c r="L404" t="str">
        <f>IF([2]Entry!$C$407="","",[2]Entry!$C$407)</f>
        <v/>
      </c>
      <c r="M404" t="str">
        <f>IF([2]Entry!$J$407="","",[2]Entry!$J$407)</f>
        <v/>
      </c>
      <c r="N404" t="str">
        <f>IF([2]Entry!$M$407="","",[2]Entry!$M$407)</f>
        <v/>
      </c>
      <c r="O404" t="str">
        <f>IF([2]Entry!$N$407="","",[2]Entry!$N$407)</f>
        <v/>
      </c>
      <c r="P404" t="str">
        <f>IF([2]Entry!$S$407="","",[2]Entry!$S$407)</f>
        <v/>
      </c>
    </row>
    <row r="405" spans="1:16" x14ac:dyDescent="0.2">
      <c r="A405" t="str">
        <f>IF([1]Cheques!$A$406="","",[1]Cheques!$A$406)</f>
        <v/>
      </c>
      <c r="E405" t="str">
        <f>IF([1]Accounts!$D$406="","",[1]Accounts!$A$406)</f>
        <v/>
      </c>
      <c r="F405" t="str">
        <f>IF([1]Accounts!$D$406="","",[1]Accounts!$B$406)</f>
        <v/>
      </c>
      <c r="G405" t="str">
        <f>IF([1]Accounts!$D$406="","",[1]Accounts!$C$406)</f>
        <v/>
      </c>
      <c r="H405" t="str">
        <f>IF([1]Accounts!$D$406="","",[1]Accounts!$D$406)</f>
        <v/>
      </c>
      <c r="L405" t="str">
        <f>IF([2]Entry!$C$408="","",[2]Entry!$C$408)</f>
        <v/>
      </c>
      <c r="M405" t="str">
        <f>IF([2]Entry!$J$408="","",[2]Entry!$J$408)</f>
        <v/>
      </c>
      <c r="N405" t="str">
        <f>IF([2]Entry!$M$408="","",[2]Entry!$M$408)</f>
        <v/>
      </c>
      <c r="O405" t="str">
        <f>IF([2]Entry!$N$408="","",[2]Entry!$N$408)</f>
        <v/>
      </c>
      <c r="P405" t="str">
        <f>IF([2]Entry!$S$408="","",[2]Entry!$S$408)</f>
        <v/>
      </c>
    </row>
    <row r="406" spans="1:16" x14ac:dyDescent="0.2">
      <c r="A406" t="str">
        <f>IF([1]Cheques!$A$407="","",[1]Cheques!$A$407)</f>
        <v/>
      </c>
      <c r="E406" t="str">
        <f>IF([1]Accounts!$D$407="","",[1]Accounts!$A$407)</f>
        <v>E001</v>
      </c>
      <c r="F406" t="str">
        <f>IF([1]Accounts!$D$407="","",[1]Accounts!$B$407)</f>
        <v>کارمند</v>
      </c>
      <c r="G406" t="str">
        <f>IF([1]Accounts!$D$407="","",[1]Accounts!$C$407)</f>
        <v>مدیرعامل</v>
      </c>
      <c r="H406" t="str">
        <f>IF([1]Accounts!$D$407="","",[1]Accounts!$D$407)</f>
        <v>(نام مدیرعامل)</v>
      </c>
      <c r="L406" t="str">
        <f>IF([2]Entry!$C$409="","",[2]Entry!$C$409)</f>
        <v/>
      </c>
      <c r="M406" t="str">
        <f>IF([2]Entry!$J$409="","",[2]Entry!$J$409)</f>
        <v/>
      </c>
      <c r="N406" t="str">
        <f>IF([2]Entry!$M$409="","",[2]Entry!$M$409)</f>
        <v/>
      </c>
      <c r="O406" t="str">
        <f>IF([2]Entry!$N$409="","",[2]Entry!$N$409)</f>
        <v/>
      </c>
      <c r="P406" t="str">
        <f>IF([2]Entry!$S$409="","",[2]Entry!$S$409)</f>
        <v/>
      </c>
    </row>
    <row r="407" spans="1:16" x14ac:dyDescent="0.2">
      <c r="A407" t="str">
        <f>IF([1]Cheques!$A$408="","",[1]Cheques!$A$408)</f>
        <v/>
      </c>
      <c r="E407" t="str">
        <f>IF([1]Accounts!$D$408="","",[1]Accounts!$A$408)</f>
        <v>E002</v>
      </c>
      <c r="F407" t="str">
        <f>IF([1]Accounts!$D$408="","",[1]Accounts!$B$408)</f>
        <v>کارمند</v>
      </c>
      <c r="G407" t="str">
        <f>IF([1]Accounts!$D$408="","",[1]Accounts!$C$408)</f>
        <v>حسابدار</v>
      </c>
      <c r="H407" t="str">
        <f>IF([1]Accounts!$D$408="","",[1]Accounts!$D$408)</f>
        <v>(نام حسابدار)</v>
      </c>
      <c r="L407" t="str">
        <f>IF([2]Entry!$C$410="","",[2]Entry!$C$410)</f>
        <v/>
      </c>
      <c r="M407" t="str">
        <f>IF([2]Entry!$J$410="","",[2]Entry!$J$410)</f>
        <v/>
      </c>
      <c r="N407" t="str">
        <f>IF([2]Entry!$M$410="","",[2]Entry!$M$410)</f>
        <v/>
      </c>
      <c r="O407" t="str">
        <f>IF([2]Entry!$N$410="","",[2]Entry!$N$410)</f>
        <v/>
      </c>
      <c r="P407" t="str">
        <f>IF([2]Entry!$S$410="","",[2]Entry!$S$410)</f>
        <v/>
      </c>
    </row>
    <row r="408" spans="1:16" x14ac:dyDescent="0.2">
      <c r="A408" t="str">
        <f>IF([1]Cheques!$A$409="","",[1]Cheques!$A$409)</f>
        <v/>
      </c>
      <c r="E408" t="str">
        <f>IF([1]Accounts!$D$409="","",[1]Accounts!$A$409)</f>
        <v>E003</v>
      </c>
      <c r="F408" t="str">
        <f>IF([1]Accounts!$D$409="","",[1]Accounts!$B$409)</f>
        <v>کارمند</v>
      </c>
      <c r="G408" t="str">
        <f>IF([1]Accounts!$D$409="","",[1]Accounts!$C$409)</f>
        <v>فروشنده</v>
      </c>
      <c r="H408" t="str">
        <f>IF([1]Accounts!$D$409="","",[1]Accounts!$D$409)</f>
        <v>(نام فروشنده ۱)</v>
      </c>
      <c r="L408" t="str">
        <f>IF([2]Entry!$C$411="","",[2]Entry!$C$411)</f>
        <v/>
      </c>
      <c r="M408" t="str">
        <f>IF([2]Entry!$J$411="","",[2]Entry!$J$411)</f>
        <v/>
      </c>
      <c r="N408" t="str">
        <f>IF([2]Entry!$M$411="","",[2]Entry!$M$411)</f>
        <v/>
      </c>
      <c r="O408" t="str">
        <f>IF([2]Entry!$N$411="","",[2]Entry!$N$411)</f>
        <v/>
      </c>
      <c r="P408" t="str">
        <f>IF([2]Entry!$S$411="","",[2]Entry!$S$411)</f>
        <v/>
      </c>
    </row>
    <row r="409" spans="1:16" x14ac:dyDescent="0.2">
      <c r="A409" t="str">
        <f>IF([1]Cheques!$A$410="","",[1]Cheques!$A$410)</f>
        <v/>
      </c>
      <c r="E409" t="str">
        <f>IF([1]Accounts!$D$410="","",[1]Accounts!$A$410)</f>
        <v>E004</v>
      </c>
      <c r="F409" t="str">
        <f>IF([1]Accounts!$D$410="","",[1]Accounts!$B$410)</f>
        <v>کارمند</v>
      </c>
      <c r="G409" t="str">
        <f>IF([1]Accounts!$D$410="","",[1]Accounts!$C$410)</f>
        <v>انباردار</v>
      </c>
      <c r="H409" t="str">
        <f>IF([1]Accounts!$D$410="","",[1]Accounts!$D$410)</f>
        <v>(نام انباردار)</v>
      </c>
      <c r="L409" t="str">
        <f>IF([2]Entry!$C$412="","",[2]Entry!$C$412)</f>
        <v/>
      </c>
      <c r="M409" t="str">
        <f>IF([2]Entry!$J$412="","",[2]Entry!$J$412)</f>
        <v/>
      </c>
      <c r="N409" t="str">
        <f>IF([2]Entry!$M$412="","",[2]Entry!$M$412)</f>
        <v/>
      </c>
      <c r="O409" t="str">
        <f>IF([2]Entry!$N$412="","",[2]Entry!$N$412)</f>
        <v/>
      </c>
      <c r="P409" t="str">
        <f>IF([2]Entry!$S$412="","",[2]Entry!$S$412)</f>
        <v/>
      </c>
    </row>
    <row r="410" spans="1:16" x14ac:dyDescent="0.2">
      <c r="A410" t="str">
        <f>IF([1]Cheques!$A$411="","",[1]Cheques!$A$411)</f>
        <v/>
      </c>
      <c r="E410" t="str">
        <f>IF([1]Accounts!$D$411="","",[1]Accounts!$A$411)</f>
        <v>E005</v>
      </c>
      <c r="F410" t="str">
        <f>IF([1]Accounts!$D$411="","",[1]Accounts!$B$411)</f>
        <v>کارمند</v>
      </c>
      <c r="G410" t="str">
        <f>IF([1]Accounts!$D$411="","",[1]Accounts!$C$411)</f>
        <v>سرپرست خط</v>
      </c>
      <c r="H410" t="str">
        <f>IF([1]Accounts!$D$411="","",[1]Accounts!$D$411)</f>
        <v>رضا کاظمی (نمونه)</v>
      </c>
      <c r="L410" t="str">
        <f>IF([2]Entry!$C$413="","",[2]Entry!$C$413)</f>
        <v/>
      </c>
      <c r="M410" t="str">
        <f>IF([2]Entry!$J$413="","",[2]Entry!$J$413)</f>
        <v/>
      </c>
      <c r="N410" t="str">
        <f>IF([2]Entry!$M$413="","",[2]Entry!$M$413)</f>
        <v/>
      </c>
      <c r="O410" t="str">
        <f>IF([2]Entry!$N$413="","",[2]Entry!$N$413)</f>
        <v/>
      </c>
      <c r="P410" t="str">
        <f>IF([2]Entry!$S$413="","",[2]Entry!$S$413)</f>
        <v/>
      </c>
    </row>
    <row r="411" spans="1:16" x14ac:dyDescent="0.2">
      <c r="A411" t="str">
        <f>IF([1]Cheques!$A$412="","",[1]Cheques!$A$412)</f>
        <v/>
      </c>
      <c r="E411" t="str">
        <f>IF([1]Accounts!$D$412="","",[1]Accounts!$A$412)</f>
        <v>E006</v>
      </c>
      <c r="F411" t="str">
        <f>IF([1]Accounts!$D$412="","",[1]Accounts!$B$412)</f>
        <v>کارمند</v>
      </c>
      <c r="G411" t="str">
        <f>IF([1]Accounts!$D$412="","",[1]Accounts!$C$412)</f>
        <v>کارگر</v>
      </c>
      <c r="H411" t="str">
        <f>IF([1]Accounts!$D$412="","",[1]Accounts!$D$412)</f>
        <v>علی احمدی (نمونه)</v>
      </c>
      <c r="L411" t="str">
        <f>IF([2]Entry!$C$414="","",[2]Entry!$C$414)</f>
        <v/>
      </c>
      <c r="M411" t="str">
        <f>IF([2]Entry!$J$414="","",[2]Entry!$J$414)</f>
        <v/>
      </c>
      <c r="N411" t="str">
        <f>IF([2]Entry!$M$414="","",[2]Entry!$M$414)</f>
        <v/>
      </c>
      <c r="O411" t="str">
        <f>IF([2]Entry!$N$414="","",[2]Entry!$N$414)</f>
        <v/>
      </c>
      <c r="P411" t="str">
        <f>IF([2]Entry!$S$414="","",[2]Entry!$S$414)</f>
        <v/>
      </c>
    </row>
    <row r="412" spans="1:16" x14ac:dyDescent="0.2">
      <c r="A412" t="str">
        <f>IF([1]Cheques!$A$413="","",[1]Cheques!$A$413)</f>
        <v/>
      </c>
      <c r="E412" t="str">
        <f>IF([1]Accounts!$D$413="","",[1]Accounts!$A$413)</f>
        <v/>
      </c>
      <c r="F412" t="str">
        <f>IF([1]Accounts!$D$413="","",[1]Accounts!$B$413)</f>
        <v/>
      </c>
      <c r="G412" t="str">
        <f>IF([1]Accounts!$D$413="","",[1]Accounts!$C$413)</f>
        <v/>
      </c>
      <c r="H412" t="str">
        <f>IF([1]Accounts!$D$413="","",[1]Accounts!$D$413)</f>
        <v/>
      </c>
      <c r="L412" t="str">
        <f>IF([2]Entry!$C$415="","",[2]Entry!$C$415)</f>
        <v/>
      </c>
      <c r="M412" t="str">
        <f>IF([2]Entry!$J$415="","",[2]Entry!$J$415)</f>
        <v/>
      </c>
      <c r="N412" t="str">
        <f>IF([2]Entry!$M$415="","",[2]Entry!$M$415)</f>
        <v/>
      </c>
      <c r="O412" t="str">
        <f>IF([2]Entry!$N$415="","",[2]Entry!$N$415)</f>
        <v/>
      </c>
      <c r="P412" t="str">
        <f>IF([2]Entry!$S$415="","",[2]Entry!$S$415)</f>
        <v/>
      </c>
    </row>
    <row r="413" spans="1:16" x14ac:dyDescent="0.2">
      <c r="A413" t="str">
        <f>IF([1]Cheques!$A$414="","",[1]Cheques!$A$414)</f>
        <v/>
      </c>
      <c r="E413" t="str">
        <f>IF([1]Accounts!$D$414="","",[1]Accounts!$A$414)</f>
        <v/>
      </c>
      <c r="F413" t="str">
        <f>IF([1]Accounts!$D$414="","",[1]Accounts!$B$414)</f>
        <v/>
      </c>
      <c r="G413" t="str">
        <f>IF([1]Accounts!$D$414="","",[1]Accounts!$C$414)</f>
        <v/>
      </c>
      <c r="H413" t="str">
        <f>IF([1]Accounts!$D$414="","",[1]Accounts!$D$414)</f>
        <v/>
      </c>
      <c r="L413" t="str">
        <f>IF([2]Entry!$C$416="","",[2]Entry!$C$416)</f>
        <v/>
      </c>
      <c r="M413" t="str">
        <f>IF([2]Entry!$J$416="","",[2]Entry!$J$416)</f>
        <v/>
      </c>
      <c r="N413" t="str">
        <f>IF([2]Entry!$M$416="","",[2]Entry!$M$416)</f>
        <v/>
      </c>
      <c r="O413" t="str">
        <f>IF([2]Entry!$N$416="","",[2]Entry!$N$416)</f>
        <v/>
      </c>
      <c r="P413" t="str">
        <f>IF([2]Entry!$S$416="","",[2]Entry!$S$416)</f>
        <v/>
      </c>
    </row>
    <row r="414" spans="1:16" x14ac:dyDescent="0.2">
      <c r="A414" t="str">
        <f>IF([1]Cheques!$A$415="","",[1]Cheques!$A$415)</f>
        <v/>
      </c>
      <c r="E414" t="str">
        <f>IF([1]Accounts!$D$415="","",[1]Accounts!$A$415)</f>
        <v/>
      </c>
      <c r="F414" t="str">
        <f>IF([1]Accounts!$D$415="","",[1]Accounts!$B$415)</f>
        <v/>
      </c>
      <c r="G414" t="str">
        <f>IF([1]Accounts!$D$415="","",[1]Accounts!$C$415)</f>
        <v/>
      </c>
      <c r="H414" t="str">
        <f>IF([1]Accounts!$D$415="","",[1]Accounts!$D$415)</f>
        <v/>
      </c>
      <c r="L414" t="str">
        <f>IF([2]Entry!$C$417="","",[2]Entry!$C$417)</f>
        <v/>
      </c>
      <c r="M414" t="str">
        <f>IF([2]Entry!$J$417="","",[2]Entry!$J$417)</f>
        <v/>
      </c>
      <c r="N414" t="str">
        <f>IF([2]Entry!$M$417="","",[2]Entry!$M$417)</f>
        <v/>
      </c>
      <c r="O414" t="str">
        <f>IF([2]Entry!$N$417="","",[2]Entry!$N$417)</f>
        <v/>
      </c>
      <c r="P414" t="str">
        <f>IF([2]Entry!$S$417="","",[2]Entry!$S$417)</f>
        <v/>
      </c>
    </row>
    <row r="415" spans="1:16" x14ac:dyDescent="0.2">
      <c r="A415" t="str">
        <f>IF([1]Cheques!$A$416="","",[1]Cheques!$A$416)</f>
        <v/>
      </c>
      <c r="E415" t="str">
        <f>IF([1]Accounts!$D$416="","",[1]Accounts!$A$416)</f>
        <v/>
      </c>
      <c r="F415" t="str">
        <f>IF([1]Accounts!$D$416="","",[1]Accounts!$B$416)</f>
        <v/>
      </c>
      <c r="G415" t="str">
        <f>IF([1]Accounts!$D$416="","",[1]Accounts!$C$416)</f>
        <v/>
      </c>
      <c r="H415" t="str">
        <f>IF([1]Accounts!$D$416="","",[1]Accounts!$D$416)</f>
        <v/>
      </c>
      <c r="L415" t="str">
        <f>IF([2]Entry!$C$418="","",[2]Entry!$C$418)</f>
        <v/>
      </c>
      <c r="M415" t="str">
        <f>IF([2]Entry!$J$418="","",[2]Entry!$J$418)</f>
        <v/>
      </c>
      <c r="N415" t="str">
        <f>IF([2]Entry!$M$418="","",[2]Entry!$M$418)</f>
        <v/>
      </c>
      <c r="O415" t="str">
        <f>IF([2]Entry!$N$418="","",[2]Entry!$N$418)</f>
        <v/>
      </c>
      <c r="P415" t="str">
        <f>IF([2]Entry!$S$418="","",[2]Entry!$S$418)</f>
        <v/>
      </c>
    </row>
    <row r="416" spans="1:16" x14ac:dyDescent="0.2">
      <c r="A416" t="str">
        <f>IF([1]Cheques!$A$417="","",[1]Cheques!$A$417)</f>
        <v/>
      </c>
      <c r="E416" t="str">
        <f>IF([1]Accounts!$D$417="","",[1]Accounts!$A$417)</f>
        <v/>
      </c>
      <c r="F416" t="str">
        <f>IF([1]Accounts!$D$417="","",[1]Accounts!$B$417)</f>
        <v/>
      </c>
      <c r="G416" t="str">
        <f>IF([1]Accounts!$D$417="","",[1]Accounts!$C$417)</f>
        <v/>
      </c>
      <c r="H416" t="str">
        <f>IF([1]Accounts!$D$417="","",[1]Accounts!$D$417)</f>
        <v/>
      </c>
      <c r="L416" t="str">
        <f>IF([2]Entry!$C$419="","",[2]Entry!$C$419)</f>
        <v/>
      </c>
      <c r="M416" t="str">
        <f>IF([2]Entry!$J$419="","",[2]Entry!$J$419)</f>
        <v/>
      </c>
      <c r="N416" t="str">
        <f>IF([2]Entry!$M$419="","",[2]Entry!$M$419)</f>
        <v/>
      </c>
      <c r="O416" t="str">
        <f>IF([2]Entry!$N$419="","",[2]Entry!$N$419)</f>
        <v/>
      </c>
      <c r="P416" t="str">
        <f>IF([2]Entry!$S$419="","",[2]Entry!$S$419)</f>
        <v/>
      </c>
    </row>
    <row r="417" spans="1:16" x14ac:dyDescent="0.2">
      <c r="A417" t="str">
        <f>IF([1]Cheques!$A$418="","",[1]Cheques!$A$418)</f>
        <v/>
      </c>
      <c r="E417" t="str">
        <f>IF([1]Accounts!$D$418="","",[1]Accounts!$A$418)</f>
        <v/>
      </c>
      <c r="F417" t="str">
        <f>IF([1]Accounts!$D$418="","",[1]Accounts!$B$418)</f>
        <v/>
      </c>
      <c r="G417" t="str">
        <f>IF([1]Accounts!$D$418="","",[1]Accounts!$C$418)</f>
        <v/>
      </c>
      <c r="H417" t="str">
        <f>IF([1]Accounts!$D$418="","",[1]Accounts!$D$418)</f>
        <v/>
      </c>
      <c r="L417" t="str">
        <f>IF([2]Entry!$C$420="","",[2]Entry!$C$420)</f>
        <v/>
      </c>
      <c r="M417" t="str">
        <f>IF([2]Entry!$J$420="","",[2]Entry!$J$420)</f>
        <v/>
      </c>
      <c r="N417" t="str">
        <f>IF([2]Entry!$M$420="","",[2]Entry!$M$420)</f>
        <v/>
      </c>
      <c r="O417" t="str">
        <f>IF([2]Entry!$N$420="","",[2]Entry!$N$420)</f>
        <v/>
      </c>
      <c r="P417" t="str">
        <f>IF([2]Entry!$S$420="","",[2]Entry!$S$420)</f>
        <v/>
      </c>
    </row>
    <row r="418" spans="1:16" x14ac:dyDescent="0.2">
      <c r="A418" t="str">
        <f>IF([1]Cheques!$A$419="","",[1]Cheques!$A$419)</f>
        <v/>
      </c>
      <c r="E418" t="str">
        <f>IF([1]Accounts!$D$419="","",[1]Accounts!$A$419)</f>
        <v/>
      </c>
      <c r="F418" t="str">
        <f>IF([1]Accounts!$D$419="","",[1]Accounts!$B$419)</f>
        <v/>
      </c>
      <c r="G418" t="str">
        <f>IF([1]Accounts!$D$419="","",[1]Accounts!$C$419)</f>
        <v/>
      </c>
      <c r="H418" t="str">
        <f>IF([1]Accounts!$D$419="","",[1]Accounts!$D$419)</f>
        <v/>
      </c>
      <c r="L418" t="str">
        <f>IF([2]Entry!$C$421="","",[2]Entry!$C$421)</f>
        <v/>
      </c>
      <c r="M418" t="str">
        <f>IF([2]Entry!$J$421="","",[2]Entry!$J$421)</f>
        <v/>
      </c>
      <c r="N418" t="str">
        <f>IF([2]Entry!$M$421="","",[2]Entry!$M$421)</f>
        <v/>
      </c>
      <c r="O418" t="str">
        <f>IF([2]Entry!$N$421="","",[2]Entry!$N$421)</f>
        <v/>
      </c>
      <c r="P418" t="str">
        <f>IF([2]Entry!$S$421="","",[2]Entry!$S$421)</f>
        <v/>
      </c>
    </row>
    <row r="419" spans="1:16" x14ac:dyDescent="0.2">
      <c r="A419" t="str">
        <f>IF([1]Cheques!$A$420="","",[1]Cheques!$A$420)</f>
        <v/>
      </c>
      <c r="E419" t="str">
        <f>IF([1]Accounts!$D$420="","",[1]Accounts!$A$420)</f>
        <v/>
      </c>
      <c r="F419" t="str">
        <f>IF([1]Accounts!$D$420="","",[1]Accounts!$B$420)</f>
        <v/>
      </c>
      <c r="G419" t="str">
        <f>IF([1]Accounts!$D$420="","",[1]Accounts!$C$420)</f>
        <v/>
      </c>
      <c r="H419" t="str">
        <f>IF([1]Accounts!$D$420="","",[1]Accounts!$D$420)</f>
        <v/>
      </c>
      <c r="L419" t="str">
        <f>IF([2]Entry!$C$422="","",[2]Entry!$C$422)</f>
        <v/>
      </c>
      <c r="M419" t="str">
        <f>IF([2]Entry!$J$422="","",[2]Entry!$J$422)</f>
        <v/>
      </c>
      <c r="N419" t="str">
        <f>IF([2]Entry!$M$422="","",[2]Entry!$M$422)</f>
        <v/>
      </c>
      <c r="O419" t="str">
        <f>IF([2]Entry!$N$422="","",[2]Entry!$N$422)</f>
        <v/>
      </c>
      <c r="P419" t="str">
        <f>IF([2]Entry!$S$422="","",[2]Entry!$S$422)</f>
        <v/>
      </c>
    </row>
    <row r="420" spans="1:16" x14ac:dyDescent="0.2">
      <c r="A420" t="str">
        <f>IF([1]Cheques!$A$421="","",[1]Cheques!$A$421)</f>
        <v/>
      </c>
      <c r="E420" t="str">
        <f>IF([1]Accounts!$D$421="","",[1]Accounts!$A$421)</f>
        <v/>
      </c>
      <c r="F420" t="str">
        <f>IF([1]Accounts!$D$421="","",[1]Accounts!$B$421)</f>
        <v/>
      </c>
      <c r="G420" t="str">
        <f>IF([1]Accounts!$D$421="","",[1]Accounts!$C$421)</f>
        <v/>
      </c>
      <c r="H420" t="str">
        <f>IF([1]Accounts!$D$421="","",[1]Accounts!$D$421)</f>
        <v/>
      </c>
      <c r="L420" t="str">
        <f>IF([2]Entry!$C$423="","",[2]Entry!$C$423)</f>
        <v/>
      </c>
      <c r="M420" t="str">
        <f>IF([2]Entry!$J$423="","",[2]Entry!$J$423)</f>
        <v/>
      </c>
      <c r="N420" t="str">
        <f>IF([2]Entry!$M$423="","",[2]Entry!$M$423)</f>
        <v/>
      </c>
      <c r="O420" t="str">
        <f>IF([2]Entry!$N$423="","",[2]Entry!$N$423)</f>
        <v/>
      </c>
      <c r="P420" t="str">
        <f>IF([2]Entry!$S$423="","",[2]Entry!$S$423)</f>
        <v/>
      </c>
    </row>
    <row r="421" spans="1:16" x14ac:dyDescent="0.2">
      <c r="A421" t="str">
        <f>IF([1]Cheques!$A$422="","",[1]Cheques!$A$422)</f>
        <v/>
      </c>
      <c r="E421" t="str">
        <f>IF([1]Accounts!$D$422="","",[1]Accounts!$A$422)</f>
        <v/>
      </c>
      <c r="F421" t="str">
        <f>IF([1]Accounts!$D$422="","",[1]Accounts!$B$422)</f>
        <v/>
      </c>
      <c r="G421" t="str">
        <f>IF([1]Accounts!$D$422="","",[1]Accounts!$C$422)</f>
        <v/>
      </c>
      <c r="H421" t="str">
        <f>IF([1]Accounts!$D$422="","",[1]Accounts!$D$422)</f>
        <v/>
      </c>
      <c r="L421" t="str">
        <f>IF([2]Entry!$C$424="","",[2]Entry!$C$424)</f>
        <v/>
      </c>
      <c r="M421" t="str">
        <f>IF([2]Entry!$J$424="","",[2]Entry!$J$424)</f>
        <v/>
      </c>
      <c r="N421" t="str">
        <f>IF([2]Entry!$M$424="","",[2]Entry!$M$424)</f>
        <v/>
      </c>
      <c r="O421" t="str">
        <f>IF([2]Entry!$N$424="","",[2]Entry!$N$424)</f>
        <v/>
      </c>
      <c r="P421" t="str">
        <f>IF([2]Entry!$S$424="","",[2]Entry!$S$424)</f>
        <v/>
      </c>
    </row>
    <row r="422" spans="1:16" x14ac:dyDescent="0.2">
      <c r="A422" t="str">
        <f>IF([1]Cheques!$A$423="","",[1]Cheques!$A$423)</f>
        <v/>
      </c>
      <c r="E422" t="str">
        <f>IF([1]Accounts!$D$423="","",[1]Accounts!$A$423)</f>
        <v/>
      </c>
      <c r="F422" t="str">
        <f>IF([1]Accounts!$D$423="","",[1]Accounts!$B$423)</f>
        <v/>
      </c>
      <c r="G422" t="str">
        <f>IF([1]Accounts!$D$423="","",[1]Accounts!$C$423)</f>
        <v/>
      </c>
      <c r="H422" t="str">
        <f>IF([1]Accounts!$D$423="","",[1]Accounts!$D$423)</f>
        <v/>
      </c>
      <c r="L422" t="str">
        <f>IF([2]Entry!$C$425="","",[2]Entry!$C$425)</f>
        <v/>
      </c>
      <c r="M422" t="str">
        <f>IF([2]Entry!$J$425="","",[2]Entry!$J$425)</f>
        <v/>
      </c>
      <c r="N422" t="str">
        <f>IF([2]Entry!$M$425="","",[2]Entry!$M$425)</f>
        <v/>
      </c>
      <c r="O422" t="str">
        <f>IF([2]Entry!$N$425="","",[2]Entry!$N$425)</f>
        <v/>
      </c>
      <c r="P422" t="str">
        <f>IF([2]Entry!$S$425="","",[2]Entry!$S$425)</f>
        <v/>
      </c>
    </row>
    <row r="423" spans="1:16" x14ac:dyDescent="0.2">
      <c r="A423" t="str">
        <f>IF([1]Cheques!$A$424="","",[1]Cheques!$A$424)</f>
        <v/>
      </c>
      <c r="E423" t="str">
        <f>IF([1]Accounts!$D$424="","",[1]Accounts!$A$424)</f>
        <v/>
      </c>
      <c r="F423" t="str">
        <f>IF([1]Accounts!$D$424="","",[1]Accounts!$B$424)</f>
        <v/>
      </c>
      <c r="G423" t="str">
        <f>IF([1]Accounts!$D$424="","",[1]Accounts!$C$424)</f>
        <v/>
      </c>
      <c r="H423" t="str">
        <f>IF([1]Accounts!$D$424="","",[1]Accounts!$D$424)</f>
        <v/>
      </c>
      <c r="L423" t="str">
        <f>IF([2]Entry!$C$426="","",[2]Entry!$C$426)</f>
        <v/>
      </c>
      <c r="M423" t="str">
        <f>IF([2]Entry!$J$426="","",[2]Entry!$J$426)</f>
        <v/>
      </c>
      <c r="N423" t="str">
        <f>IF([2]Entry!$M$426="","",[2]Entry!$M$426)</f>
        <v/>
      </c>
      <c r="O423" t="str">
        <f>IF([2]Entry!$N$426="","",[2]Entry!$N$426)</f>
        <v/>
      </c>
      <c r="P423" t="str">
        <f>IF([2]Entry!$S$426="","",[2]Entry!$S$426)</f>
        <v/>
      </c>
    </row>
    <row r="424" spans="1:16" x14ac:dyDescent="0.2">
      <c r="A424" t="str">
        <f>IF([1]Cheques!$A$425="","",[1]Cheques!$A$425)</f>
        <v/>
      </c>
      <c r="E424" t="str">
        <f>IF([1]Accounts!$D$425="","",[1]Accounts!$A$425)</f>
        <v/>
      </c>
      <c r="F424" t="str">
        <f>IF([1]Accounts!$D$425="","",[1]Accounts!$B$425)</f>
        <v/>
      </c>
      <c r="G424" t="str">
        <f>IF([1]Accounts!$D$425="","",[1]Accounts!$C$425)</f>
        <v/>
      </c>
      <c r="H424" t="str">
        <f>IF([1]Accounts!$D$425="","",[1]Accounts!$D$425)</f>
        <v/>
      </c>
      <c r="L424" t="str">
        <f>IF([2]Entry!$C$427="","",[2]Entry!$C$427)</f>
        <v/>
      </c>
      <c r="M424" t="str">
        <f>IF([2]Entry!$J$427="","",[2]Entry!$J$427)</f>
        <v/>
      </c>
      <c r="N424" t="str">
        <f>IF([2]Entry!$M$427="","",[2]Entry!$M$427)</f>
        <v/>
      </c>
      <c r="O424" t="str">
        <f>IF([2]Entry!$N$427="","",[2]Entry!$N$427)</f>
        <v/>
      </c>
      <c r="P424" t="str">
        <f>IF([2]Entry!$S$427="","",[2]Entry!$S$427)</f>
        <v/>
      </c>
    </row>
    <row r="425" spans="1:16" x14ac:dyDescent="0.2">
      <c r="A425" t="str">
        <f>IF([1]Cheques!$A$426="","",[1]Cheques!$A$426)</f>
        <v/>
      </c>
      <c r="E425" t="str">
        <f>IF([1]Accounts!$D$426="","",[1]Accounts!$A$426)</f>
        <v/>
      </c>
      <c r="F425" t="str">
        <f>IF([1]Accounts!$D$426="","",[1]Accounts!$B$426)</f>
        <v/>
      </c>
      <c r="G425" t="str">
        <f>IF([1]Accounts!$D$426="","",[1]Accounts!$C$426)</f>
        <v/>
      </c>
      <c r="H425" t="str">
        <f>IF([1]Accounts!$D$426="","",[1]Accounts!$D$426)</f>
        <v/>
      </c>
      <c r="L425" t="str">
        <f>IF([2]Entry!$C$428="","",[2]Entry!$C$428)</f>
        <v/>
      </c>
      <c r="M425" t="str">
        <f>IF([2]Entry!$J$428="","",[2]Entry!$J$428)</f>
        <v/>
      </c>
      <c r="N425" t="str">
        <f>IF([2]Entry!$M$428="","",[2]Entry!$M$428)</f>
        <v/>
      </c>
      <c r="O425" t="str">
        <f>IF([2]Entry!$N$428="","",[2]Entry!$N$428)</f>
        <v/>
      </c>
      <c r="P425" t="str">
        <f>IF([2]Entry!$S$428="","",[2]Entry!$S$428)</f>
        <v/>
      </c>
    </row>
    <row r="426" spans="1:16" x14ac:dyDescent="0.2">
      <c r="A426" t="str">
        <f>IF([1]Cheques!$A$427="","",[1]Cheques!$A$427)</f>
        <v/>
      </c>
      <c r="E426" t="str">
        <f>IF([1]Accounts!$D$427="","",[1]Accounts!$A$427)</f>
        <v/>
      </c>
      <c r="F426" t="str">
        <f>IF([1]Accounts!$D$427="","",[1]Accounts!$B$427)</f>
        <v/>
      </c>
      <c r="G426" t="str">
        <f>IF([1]Accounts!$D$427="","",[1]Accounts!$C$427)</f>
        <v/>
      </c>
      <c r="H426" t="str">
        <f>IF([1]Accounts!$D$427="","",[1]Accounts!$D$427)</f>
        <v/>
      </c>
      <c r="L426" t="str">
        <f>IF([2]Entry!$C$429="","",[2]Entry!$C$429)</f>
        <v/>
      </c>
      <c r="M426" t="str">
        <f>IF([2]Entry!$J$429="","",[2]Entry!$J$429)</f>
        <v/>
      </c>
      <c r="N426" t="str">
        <f>IF([2]Entry!$M$429="","",[2]Entry!$M$429)</f>
        <v/>
      </c>
      <c r="O426" t="str">
        <f>IF([2]Entry!$N$429="","",[2]Entry!$N$429)</f>
        <v/>
      </c>
      <c r="P426" t="str">
        <f>IF([2]Entry!$S$429="","",[2]Entry!$S$429)</f>
        <v/>
      </c>
    </row>
    <row r="427" spans="1:16" x14ac:dyDescent="0.2">
      <c r="A427" t="str">
        <f>IF([1]Cheques!$A$428="","",[1]Cheques!$A$428)</f>
        <v/>
      </c>
      <c r="E427" t="str">
        <f>IF([1]Accounts!$D$428="","",[1]Accounts!$A$428)</f>
        <v/>
      </c>
      <c r="F427" t="str">
        <f>IF([1]Accounts!$D$428="","",[1]Accounts!$B$428)</f>
        <v/>
      </c>
      <c r="G427" t="str">
        <f>IF([1]Accounts!$D$428="","",[1]Accounts!$C$428)</f>
        <v/>
      </c>
      <c r="H427" t="str">
        <f>IF([1]Accounts!$D$428="","",[1]Accounts!$D$428)</f>
        <v/>
      </c>
      <c r="L427" t="str">
        <f>IF([2]Entry!$C$430="","",[2]Entry!$C$430)</f>
        <v/>
      </c>
      <c r="M427" t="str">
        <f>IF([2]Entry!$J$430="","",[2]Entry!$J$430)</f>
        <v/>
      </c>
      <c r="N427" t="str">
        <f>IF([2]Entry!$M$430="","",[2]Entry!$M$430)</f>
        <v/>
      </c>
      <c r="O427" t="str">
        <f>IF([2]Entry!$N$430="","",[2]Entry!$N$430)</f>
        <v/>
      </c>
      <c r="P427" t="str">
        <f>IF([2]Entry!$S$430="","",[2]Entry!$S$430)</f>
        <v/>
      </c>
    </row>
    <row r="428" spans="1:16" x14ac:dyDescent="0.2">
      <c r="A428" t="str">
        <f>IF([1]Cheques!$A$429="","",[1]Cheques!$A$429)</f>
        <v/>
      </c>
      <c r="E428" t="str">
        <f>IF([1]Accounts!$D$429="","",[1]Accounts!$A$429)</f>
        <v/>
      </c>
      <c r="F428" t="str">
        <f>IF([1]Accounts!$D$429="","",[1]Accounts!$B$429)</f>
        <v/>
      </c>
      <c r="G428" t="str">
        <f>IF([1]Accounts!$D$429="","",[1]Accounts!$C$429)</f>
        <v/>
      </c>
      <c r="H428" t="str">
        <f>IF([1]Accounts!$D$429="","",[1]Accounts!$D$429)</f>
        <v/>
      </c>
      <c r="L428" t="str">
        <f>IF([2]Entry!$C$431="","",[2]Entry!$C$431)</f>
        <v/>
      </c>
      <c r="M428" t="str">
        <f>IF([2]Entry!$J$431="","",[2]Entry!$J$431)</f>
        <v/>
      </c>
      <c r="N428" t="str">
        <f>IF([2]Entry!$M$431="","",[2]Entry!$M$431)</f>
        <v/>
      </c>
      <c r="O428" t="str">
        <f>IF([2]Entry!$N$431="","",[2]Entry!$N$431)</f>
        <v/>
      </c>
      <c r="P428" t="str">
        <f>IF([2]Entry!$S$431="","",[2]Entry!$S$431)</f>
        <v/>
      </c>
    </row>
    <row r="429" spans="1:16" x14ac:dyDescent="0.2">
      <c r="A429" t="str">
        <f>IF([1]Cheques!$A$430="","",[1]Cheques!$A$430)</f>
        <v/>
      </c>
      <c r="E429" t="str">
        <f>IF([1]Accounts!$D$430="","",[1]Accounts!$A$430)</f>
        <v/>
      </c>
      <c r="F429" t="str">
        <f>IF([1]Accounts!$D$430="","",[1]Accounts!$B$430)</f>
        <v/>
      </c>
      <c r="G429" t="str">
        <f>IF([1]Accounts!$D$430="","",[1]Accounts!$C$430)</f>
        <v/>
      </c>
      <c r="H429" t="str">
        <f>IF([1]Accounts!$D$430="","",[1]Accounts!$D$430)</f>
        <v/>
      </c>
      <c r="L429" t="str">
        <f>IF([2]Entry!$C$432="","",[2]Entry!$C$432)</f>
        <v/>
      </c>
      <c r="M429" t="str">
        <f>IF([2]Entry!$J$432="","",[2]Entry!$J$432)</f>
        <v/>
      </c>
      <c r="N429" t="str">
        <f>IF([2]Entry!$M$432="","",[2]Entry!$M$432)</f>
        <v/>
      </c>
      <c r="O429" t="str">
        <f>IF([2]Entry!$N$432="","",[2]Entry!$N$432)</f>
        <v/>
      </c>
      <c r="P429" t="str">
        <f>IF([2]Entry!$S$432="","",[2]Entry!$S$432)</f>
        <v/>
      </c>
    </row>
    <row r="430" spans="1:16" x14ac:dyDescent="0.2">
      <c r="A430" t="str">
        <f>IF([1]Cheques!$A$431="","",[1]Cheques!$A$431)</f>
        <v/>
      </c>
      <c r="E430" t="str">
        <f>IF([1]Accounts!$D$431="","",[1]Accounts!$A$431)</f>
        <v/>
      </c>
      <c r="F430" t="str">
        <f>IF([1]Accounts!$D$431="","",[1]Accounts!$B$431)</f>
        <v/>
      </c>
      <c r="G430" t="str">
        <f>IF([1]Accounts!$D$431="","",[1]Accounts!$C$431)</f>
        <v/>
      </c>
      <c r="H430" t="str">
        <f>IF([1]Accounts!$D$431="","",[1]Accounts!$D$431)</f>
        <v/>
      </c>
      <c r="L430" t="str">
        <f>IF([2]Entry!$C$433="","",[2]Entry!$C$433)</f>
        <v/>
      </c>
      <c r="M430" t="str">
        <f>IF([2]Entry!$J$433="","",[2]Entry!$J$433)</f>
        <v/>
      </c>
      <c r="N430" t="str">
        <f>IF([2]Entry!$M$433="","",[2]Entry!$M$433)</f>
        <v/>
      </c>
      <c r="O430" t="str">
        <f>IF([2]Entry!$N$433="","",[2]Entry!$N$433)</f>
        <v/>
      </c>
      <c r="P430" t="str">
        <f>IF([2]Entry!$S$433="","",[2]Entry!$S$433)</f>
        <v/>
      </c>
    </row>
    <row r="431" spans="1:16" x14ac:dyDescent="0.2">
      <c r="A431" t="str">
        <f>IF([1]Cheques!$A$432="","",[1]Cheques!$A$432)</f>
        <v/>
      </c>
      <c r="E431" t="str">
        <f>IF([1]Accounts!$D$432="","",[1]Accounts!$A$432)</f>
        <v/>
      </c>
      <c r="F431" t="str">
        <f>IF([1]Accounts!$D$432="","",[1]Accounts!$B$432)</f>
        <v/>
      </c>
      <c r="G431" t="str">
        <f>IF([1]Accounts!$D$432="","",[1]Accounts!$C$432)</f>
        <v/>
      </c>
      <c r="H431" t="str">
        <f>IF([1]Accounts!$D$432="","",[1]Accounts!$D$432)</f>
        <v/>
      </c>
      <c r="L431" t="str">
        <f>IF([2]Entry!$C$434="","",[2]Entry!$C$434)</f>
        <v/>
      </c>
      <c r="M431" t="str">
        <f>IF([2]Entry!$J$434="","",[2]Entry!$J$434)</f>
        <v/>
      </c>
      <c r="N431" t="str">
        <f>IF([2]Entry!$M$434="","",[2]Entry!$M$434)</f>
        <v/>
      </c>
      <c r="O431" t="str">
        <f>IF([2]Entry!$N$434="","",[2]Entry!$N$434)</f>
        <v/>
      </c>
      <c r="P431" t="str">
        <f>IF([2]Entry!$S$434="","",[2]Entry!$S$434)</f>
        <v/>
      </c>
    </row>
    <row r="432" spans="1:16" x14ac:dyDescent="0.2">
      <c r="A432" t="str">
        <f>IF([1]Cheques!$A$433="","",[1]Cheques!$A$433)</f>
        <v/>
      </c>
      <c r="E432" t="str">
        <f>IF([1]Accounts!$D$433="","",[1]Accounts!$A$433)</f>
        <v/>
      </c>
      <c r="F432" t="str">
        <f>IF([1]Accounts!$D$433="","",[1]Accounts!$B$433)</f>
        <v/>
      </c>
      <c r="G432" t="str">
        <f>IF([1]Accounts!$D$433="","",[1]Accounts!$C$433)</f>
        <v/>
      </c>
      <c r="H432" t="str">
        <f>IF([1]Accounts!$D$433="","",[1]Accounts!$D$433)</f>
        <v/>
      </c>
      <c r="L432" t="str">
        <f>IF([2]Entry!$C$435="","",[2]Entry!$C$435)</f>
        <v/>
      </c>
      <c r="M432" t="str">
        <f>IF([2]Entry!$J$435="","",[2]Entry!$J$435)</f>
        <v/>
      </c>
      <c r="N432" t="str">
        <f>IF([2]Entry!$M$435="","",[2]Entry!$M$435)</f>
        <v/>
      </c>
      <c r="O432" t="str">
        <f>IF([2]Entry!$N$435="","",[2]Entry!$N$435)</f>
        <v/>
      </c>
      <c r="P432" t="str">
        <f>IF([2]Entry!$S$435="","",[2]Entry!$S$435)</f>
        <v/>
      </c>
    </row>
    <row r="433" spans="1:16" x14ac:dyDescent="0.2">
      <c r="A433" t="str">
        <f>IF([1]Cheques!$A$434="","",[1]Cheques!$A$434)</f>
        <v/>
      </c>
      <c r="E433" t="str">
        <f>IF([1]Accounts!$D$434="","",[1]Accounts!$A$434)</f>
        <v/>
      </c>
      <c r="F433" t="str">
        <f>IF([1]Accounts!$D$434="","",[1]Accounts!$B$434)</f>
        <v/>
      </c>
      <c r="G433" t="str">
        <f>IF([1]Accounts!$D$434="","",[1]Accounts!$C$434)</f>
        <v/>
      </c>
      <c r="H433" t="str">
        <f>IF([1]Accounts!$D$434="","",[1]Accounts!$D$434)</f>
        <v/>
      </c>
      <c r="L433" t="str">
        <f>IF([2]Entry!$C$436="","",[2]Entry!$C$436)</f>
        <v/>
      </c>
      <c r="M433" t="str">
        <f>IF([2]Entry!$J$436="","",[2]Entry!$J$436)</f>
        <v/>
      </c>
      <c r="N433" t="str">
        <f>IF([2]Entry!$M$436="","",[2]Entry!$M$436)</f>
        <v/>
      </c>
      <c r="O433" t="str">
        <f>IF([2]Entry!$N$436="","",[2]Entry!$N$436)</f>
        <v/>
      </c>
      <c r="P433" t="str">
        <f>IF([2]Entry!$S$436="","",[2]Entry!$S$436)</f>
        <v/>
      </c>
    </row>
    <row r="434" spans="1:16" x14ac:dyDescent="0.2">
      <c r="A434" t="str">
        <f>IF([1]Cheques!$A$435="","",[1]Cheques!$A$435)</f>
        <v/>
      </c>
      <c r="E434" t="str">
        <f>IF([1]Accounts!$D$435="","",[1]Accounts!$A$435)</f>
        <v/>
      </c>
      <c r="F434" t="str">
        <f>IF([1]Accounts!$D$435="","",[1]Accounts!$B$435)</f>
        <v/>
      </c>
      <c r="G434" t="str">
        <f>IF([1]Accounts!$D$435="","",[1]Accounts!$C$435)</f>
        <v/>
      </c>
      <c r="H434" t="str">
        <f>IF([1]Accounts!$D$435="","",[1]Accounts!$D$435)</f>
        <v/>
      </c>
      <c r="L434" t="str">
        <f>IF([2]Entry!$C$437="","",[2]Entry!$C$437)</f>
        <v/>
      </c>
      <c r="M434" t="str">
        <f>IF([2]Entry!$J$437="","",[2]Entry!$J$437)</f>
        <v/>
      </c>
      <c r="N434" t="str">
        <f>IF([2]Entry!$M$437="","",[2]Entry!$M$437)</f>
        <v/>
      </c>
      <c r="O434" t="str">
        <f>IF([2]Entry!$N$437="","",[2]Entry!$N$437)</f>
        <v/>
      </c>
      <c r="P434" t="str">
        <f>IF([2]Entry!$S$437="","",[2]Entry!$S$437)</f>
        <v/>
      </c>
    </row>
    <row r="435" spans="1:16" x14ac:dyDescent="0.2">
      <c r="A435" t="str">
        <f>IF([1]Cheques!$A$436="","",[1]Cheques!$A$436)</f>
        <v/>
      </c>
      <c r="E435" t="str">
        <f>IF([1]Accounts!$D$436="","",[1]Accounts!$A$436)</f>
        <v/>
      </c>
      <c r="F435" t="str">
        <f>IF([1]Accounts!$D$436="","",[1]Accounts!$B$436)</f>
        <v/>
      </c>
      <c r="G435" t="str">
        <f>IF([1]Accounts!$D$436="","",[1]Accounts!$C$436)</f>
        <v/>
      </c>
      <c r="H435" t="str">
        <f>IF([1]Accounts!$D$436="","",[1]Accounts!$D$436)</f>
        <v/>
      </c>
      <c r="L435" t="str">
        <f>IF([2]Entry!$C$438="","",[2]Entry!$C$438)</f>
        <v/>
      </c>
      <c r="M435" t="str">
        <f>IF([2]Entry!$J$438="","",[2]Entry!$J$438)</f>
        <v/>
      </c>
      <c r="N435" t="str">
        <f>IF([2]Entry!$M$438="","",[2]Entry!$M$438)</f>
        <v/>
      </c>
      <c r="O435" t="str">
        <f>IF([2]Entry!$N$438="","",[2]Entry!$N$438)</f>
        <v/>
      </c>
      <c r="P435" t="str">
        <f>IF([2]Entry!$S$438="","",[2]Entry!$S$438)</f>
        <v/>
      </c>
    </row>
    <row r="436" spans="1:16" x14ac:dyDescent="0.2">
      <c r="A436" t="str">
        <f>IF([1]Cheques!$A$437="","",[1]Cheques!$A$437)</f>
        <v/>
      </c>
      <c r="E436" t="str">
        <f>IF([1]Accounts!$D$437="","",[1]Accounts!$A$437)</f>
        <v/>
      </c>
      <c r="F436" t="str">
        <f>IF([1]Accounts!$D$437="","",[1]Accounts!$B$437)</f>
        <v/>
      </c>
      <c r="G436" t="str">
        <f>IF([1]Accounts!$D$437="","",[1]Accounts!$C$437)</f>
        <v/>
      </c>
      <c r="H436" t="str">
        <f>IF([1]Accounts!$D$437="","",[1]Accounts!$D$437)</f>
        <v/>
      </c>
      <c r="L436" t="str">
        <f>IF([2]Entry!$C$439="","",[2]Entry!$C$439)</f>
        <v/>
      </c>
      <c r="M436" t="str">
        <f>IF([2]Entry!$J$439="","",[2]Entry!$J$439)</f>
        <v/>
      </c>
      <c r="N436" t="str">
        <f>IF([2]Entry!$M$439="","",[2]Entry!$M$439)</f>
        <v/>
      </c>
      <c r="O436" t="str">
        <f>IF([2]Entry!$N$439="","",[2]Entry!$N$439)</f>
        <v/>
      </c>
      <c r="P436" t="str">
        <f>IF([2]Entry!$S$439="","",[2]Entry!$S$439)</f>
        <v/>
      </c>
    </row>
    <row r="437" spans="1:16" x14ac:dyDescent="0.2">
      <c r="A437" t="str">
        <f>IF([1]Cheques!$A$438="","",[1]Cheques!$A$438)</f>
        <v/>
      </c>
      <c r="E437" t="str">
        <f>IF([1]Accounts!$D$438="","",[1]Accounts!$A$438)</f>
        <v/>
      </c>
      <c r="F437" t="str">
        <f>IF([1]Accounts!$D$438="","",[1]Accounts!$B$438)</f>
        <v/>
      </c>
      <c r="G437" t="str">
        <f>IF([1]Accounts!$D$438="","",[1]Accounts!$C$438)</f>
        <v/>
      </c>
      <c r="H437" t="str">
        <f>IF([1]Accounts!$D$438="","",[1]Accounts!$D$438)</f>
        <v/>
      </c>
      <c r="L437" t="str">
        <f>IF([2]Entry!$C$440="","",[2]Entry!$C$440)</f>
        <v/>
      </c>
      <c r="M437" t="str">
        <f>IF([2]Entry!$J$440="","",[2]Entry!$J$440)</f>
        <v/>
      </c>
      <c r="N437" t="str">
        <f>IF([2]Entry!$M$440="","",[2]Entry!$M$440)</f>
        <v/>
      </c>
      <c r="O437" t="str">
        <f>IF([2]Entry!$N$440="","",[2]Entry!$N$440)</f>
        <v/>
      </c>
      <c r="P437" t="str">
        <f>IF([2]Entry!$S$440="","",[2]Entry!$S$440)</f>
        <v/>
      </c>
    </row>
    <row r="438" spans="1:16" x14ac:dyDescent="0.2">
      <c r="A438" t="str">
        <f>IF([1]Cheques!$A$439="","",[1]Cheques!$A$439)</f>
        <v/>
      </c>
      <c r="E438" t="str">
        <f>IF([1]Accounts!$D$439="","",[1]Accounts!$A$439)</f>
        <v/>
      </c>
      <c r="F438" t="str">
        <f>IF([1]Accounts!$D$439="","",[1]Accounts!$B$439)</f>
        <v/>
      </c>
      <c r="G438" t="str">
        <f>IF([1]Accounts!$D$439="","",[1]Accounts!$C$439)</f>
        <v/>
      </c>
      <c r="H438" t="str">
        <f>IF([1]Accounts!$D$439="","",[1]Accounts!$D$439)</f>
        <v/>
      </c>
      <c r="L438" t="str">
        <f>IF([2]Entry!$C$441="","",[2]Entry!$C$441)</f>
        <v/>
      </c>
      <c r="M438" t="str">
        <f>IF([2]Entry!$J$441="","",[2]Entry!$J$441)</f>
        <v/>
      </c>
      <c r="N438" t="str">
        <f>IF([2]Entry!$M$441="","",[2]Entry!$M$441)</f>
        <v/>
      </c>
      <c r="O438" t="str">
        <f>IF([2]Entry!$N$441="","",[2]Entry!$N$441)</f>
        <v/>
      </c>
      <c r="P438" t="str">
        <f>IF([2]Entry!$S$441="","",[2]Entry!$S$441)</f>
        <v/>
      </c>
    </row>
    <row r="439" spans="1:16" x14ac:dyDescent="0.2">
      <c r="A439" t="str">
        <f>IF([1]Cheques!$A$440="","",[1]Cheques!$A$440)</f>
        <v/>
      </c>
      <c r="E439" t="str">
        <f>IF([1]Accounts!$D$440="","",[1]Accounts!$A$440)</f>
        <v/>
      </c>
      <c r="F439" t="str">
        <f>IF([1]Accounts!$D$440="","",[1]Accounts!$B$440)</f>
        <v/>
      </c>
      <c r="G439" t="str">
        <f>IF([1]Accounts!$D$440="","",[1]Accounts!$C$440)</f>
        <v/>
      </c>
      <c r="H439" t="str">
        <f>IF([1]Accounts!$D$440="","",[1]Accounts!$D$440)</f>
        <v/>
      </c>
      <c r="L439" t="str">
        <f>IF([2]Entry!$C$442="","",[2]Entry!$C$442)</f>
        <v/>
      </c>
      <c r="M439" t="str">
        <f>IF([2]Entry!$J$442="","",[2]Entry!$J$442)</f>
        <v/>
      </c>
      <c r="N439" t="str">
        <f>IF([2]Entry!$M$442="","",[2]Entry!$M$442)</f>
        <v/>
      </c>
      <c r="O439" t="str">
        <f>IF([2]Entry!$N$442="","",[2]Entry!$N$442)</f>
        <v/>
      </c>
      <c r="P439" t="str">
        <f>IF([2]Entry!$S$442="","",[2]Entry!$S$442)</f>
        <v/>
      </c>
    </row>
    <row r="440" spans="1:16" x14ac:dyDescent="0.2">
      <c r="A440" t="str">
        <f>IF([1]Cheques!$A$441="","",[1]Cheques!$A$441)</f>
        <v/>
      </c>
      <c r="E440" t="str">
        <f>IF([1]Accounts!$D$441="","",[1]Accounts!$A$441)</f>
        <v/>
      </c>
      <c r="F440" t="str">
        <f>IF([1]Accounts!$D$441="","",[1]Accounts!$B$441)</f>
        <v/>
      </c>
      <c r="G440" t="str">
        <f>IF([1]Accounts!$D$441="","",[1]Accounts!$C$441)</f>
        <v/>
      </c>
      <c r="H440" t="str">
        <f>IF([1]Accounts!$D$441="","",[1]Accounts!$D$441)</f>
        <v/>
      </c>
      <c r="L440" t="str">
        <f>IF([2]Entry!$C$443="","",[2]Entry!$C$443)</f>
        <v/>
      </c>
      <c r="M440" t="str">
        <f>IF([2]Entry!$J$443="","",[2]Entry!$J$443)</f>
        <v/>
      </c>
      <c r="N440" t="str">
        <f>IF([2]Entry!$M$443="","",[2]Entry!$M$443)</f>
        <v/>
      </c>
      <c r="O440" t="str">
        <f>IF([2]Entry!$N$443="","",[2]Entry!$N$443)</f>
        <v/>
      </c>
      <c r="P440" t="str">
        <f>IF([2]Entry!$S$443="","",[2]Entry!$S$443)</f>
        <v/>
      </c>
    </row>
    <row r="441" spans="1:16" x14ac:dyDescent="0.2">
      <c r="A441" t="str">
        <f>IF([1]Cheques!$A$442="","",[1]Cheques!$A$442)</f>
        <v/>
      </c>
      <c r="E441" t="str">
        <f>IF([1]Accounts!$D$442="","",[1]Accounts!$A$442)</f>
        <v/>
      </c>
      <c r="F441" t="str">
        <f>IF([1]Accounts!$D$442="","",[1]Accounts!$B$442)</f>
        <v/>
      </c>
      <c r="G441" t="str">
        <f>IF([1]Accounts!$D$442="","",[1]Accounts!$C$442)</f>
        <v/>
      </c>
      <c r="H441" t="str">
        <f>IF([1]Accounts!$D$442="","",[1]Accounts!$D$442)</f>
        <v/>
      </c>
      <c r="L441" t="str">
        <f>IF([2]Entry!$C$444="","",[2]Entry!$C$444)</f>
        <v/>
      </c>
      <c r="M441" t="str">
        <f>IF([2]Entry!$J$444="","",[2]Entry!$J$444)</f>
        <v/>
      </c>
      <c r="N441" t="str">
        <f>IF([2]Entry!$M$444="","",[2]Entry!$M$444)</f>
        <v/>
      </c>
      <c r="O441" t="str">
        <f>IF([2]Entry!$N$444="","",[2]Entry!$N$444)</f>
        <v/>
      </c>
      <c r="P441" t="str">
        <f>IF([2]Entry!$S$444="","",[2]Entry!$S$444)</f>
        <v/>
      </c>
    </row>
    <row r="442" spans="1:16" x14ac:dyDescent="0.2">
      <c r="A442" t="str">
        <f>IF([1]Cheques!$A$443="","",[1]Cheques!$A$443)</f>
        <v/>
      </c>
      <c r="E442" t="str">
        <f>IF([1]Accounts!$D$443="","",[1]Accounts!$A$443)</f>
        <v/>
      </c>
      <c r="F442" t="str">
        <f>IF([1]Accounts!$D$443="","",[1]Accounts!$B$443)</f>
        <v/>
      </c>
      <c r="G442" t="str">
        <f>IF([1]Accounts!$D$443="","",[1]Accounts!$C$443)</f>
        <v/>
      </c>
      <c r="H442" t="str">
        <f>IF([1]Accounts!$D$443="","",[1]Accounts!$D$443)</f>
        <v/>
      </c>
      <c r="L442" t="str">
        <f>IF([2]Entry!$C$445="","",[2]Entry!$C$445)</f>
        <v/>
      </c>
      <c r="M442" t="str">
        <f>IF([2]Entry!$J$445="","",[2]Entry!$J$445)</f>
        <v/>
      </c>
      <c r="N442" t="str">
        <f>IF([2]Entry!$M$445="","",[2]Entry!$M$445)</f>
        <v/>
      </c>
      <c r="O442" t="str">
        <f>IF([2]Entry!$N$445="","",[2]Entry!$N$445)</f>
        <v/>
      </c>
      <c r="P442" t="str">
        <f>IF([2]Entry!$S$445="","",[2]Entry!$S$445)</f>
        <v/>
      </c>
    </row>
    <row r="443" spans="1:16" x14ac:dyDescent="0.2">
      <c r="A443" t="str">
        <f>IF([1]Cheques!$A$444="","",[1]Cheques!$A$444)</f>
        <v/>
      </c>
      <c r="E443" t="str">
        <f>IF([1]Accounts!$D$444="","",[1]Accounts!$A$444)</f>
        <v/>
      </c>
      <c r="F443" t="str">
        <f>IF([1]Accounts!$D$444="","",[1]Accounts!$B$444)</f>
        <v/>
      </c>
      <c r="G443" t="str">
        <f>IF([1]Accounts!$D$444="","",[1]Accounts!$C$444)</f>
        <v/>
      </c>
      <c r="H443" t="str">
        <f>IF([1]Accounts!$D$444="","",[1]Accounts!$D$444)</f>
        <v/>
      </c>
      <c r="L443" t="str">
        <f>IF([2]Entry!$C$446="","",[2]Entry!$C$446)</f>
        <v/>
      </c>
      <c r="M443" t="str">
        <f>IF([2]Entry!$J$446="","",[2]Entry!$J$446)</f>
        <v/>
      </c>
      <c r="N443" t="str">
        <f>IF([2]Entry!$M$446="","",[2]Entry!$M$446)</f>
        <v/>
      </c>
      <c r="O443" t="str">
        <f>IF([2]Entry!$N$446="","",[2]Entry!$N$446)</f>
        <v/>
      </c>
      <c r="P443" t="str">
        <f>IF([2]Entry!$S$446="","",[2]Entry!$S$446)</f>
        <v/>
      </c>
    </row>
    <row r="444" spans="1:16" x14ac:dyDescent="0.2">
      <c r="A444" t="str">
        <f>IF([1]Cheques!$A$445="","",[1]Cheques!$A$445)</f>
        <v/>
      </c>
      <c r="E444" t="str">
        <f>IF([1]Accounts!$D$445="","",[1]Accounts!$A$445)</f>
        <v/>
      </c>
      <c r="F444" t="str">
        <f>IF([1]Accounts!$D$445="","",[1]Accounts!$B$445)</f>
        <v/>
      </c>
      <c r="G444" t="str">
        <f>IF([1]Accounts!$D$445="","",[1]Accounts!$C$445)</f>
        <v/>
      </c>
      <c r="H444" t="str">
        <f>IF([1]Accounts!$D$445="","",[1]Accounts!$D$445)</f>
        <v/>
      </c>
      <c r="L444" t="str">
        <f>IF([2]Entry!$C$447="","",[2]Entry!$C$447)</f>
        <v/>
      </c>
      <c r="M444" t="str">
        <f>IF([2]Entry!$J$447="","",[2]Entry!$J$447)</f>
        <v/>
      </c>
      <c r="N444" t="str">
        <f>IF([2]Entry!$M$447="","",[2]Entry!$M$447)</f>
        <v/>
      </c>
      <c r="O444" t="str">
        <f>IF([2]Entry!$N$447="","",[2]Entry!$N$447)</f>
        <v/>
      </c>
      <c r="P444" t="str">
        <f>IF([2]Entry!$S$447="","",[2]Entry!$S$447)</f>
        <v/>
      </c>
    </row>
    <row r="445" spans="1:16" x14ac:dyDescent="0.2">
      <c r="A445" t="str">
        <f>IF([1]Cheques!$A$446="","",[1]Cheques!$A$446)</f>
        <v/>
      </c>
      <c r="E445" t="str">
        <f>IF([1]Accounts!$D$446="","",[1]Accounts!$A$446)</f>
        <v/>
      </c>
      <c r="F445" t="str">
        <f>IF([1]Accounts!$D$446="","",[1]Accounts!$B$446)</f>
        <v/>
      </c>
      <c r="G445" t="str">
        <f>IF([1]Accounts!$D$446="","",[1]Accounts!$C$446)</f>
        <v/>
      </c>
      <c r="H445" t="str">
        <f>IF([1]Accounts!$D$446="","",[1]Accounts!$D$446)</f>
        <v/>
      </c>
      <c r="L445" t="str">
        <f>IF([2]Entry!$C$448="","",[2]Entry!$C$448)</f>
        <v/>
      </c>
      <c r="M445" t="str">
        <f>IF([2]Entry!$J$448="","",[2]Entry!$J$448)</f>
        <v/>
      </c>
      <c r="N445" t="str">
        <f>IF([2]Entry!$M$448="","",[2]Entry!$M$448)</f>
        <v/>
      </c>
      <c r="O445" t="str">
        <f>IF([2]Entry!$N$448="","",[2]Entry!$N$448)</f>
        <v/>
      </c>
      <c r="P445" t="str">
        <f>IF([2]Entry!$S$448="","",[2]Entry!$S$448)</f>
        <v/>
      </c>
    </row>
    <row r="446" spans="1:16" x14ac:dyDescent="0.2">
      <c r="A446" t="str">
        <f>IF([1]Cheques!$A$447="","",[1]Cheques!$A$447)</f>
        <v/>
      </c>
      <c r="E446" t="str">
        <f>IF([1]Accounts!$D$447="","",[1]Accounts!$A$447)</f>
        <v/>
      </c>
      <c r="F446" t="str">
        <f>IF([1]Accounts!$D$447="","",[1]Accounts!$B$447)</f>
        <v/>
      </c>
      <c r="G446" t="str">
        <f>IF([1]Accounts!$D$447="","",[1]Accounts!$C$447)</f>
        <v/>
      </c>
      <c r="H446" t="str">
        <f>IF([1]Accounts!$D$447="","",[1]Accounts!$D$447)</f>
        <v/>
      </c>
      <c r="L446" t="str">
        <f>IF([2]Entry!$C$449="","",[2]Entry!$C$449)</f>
        <v/>
      </c>
      <c r="M446" t="str">
        <f>IF([2]Entry!$J$449="","",[2]Entry!$J$449)</f>
        <v/>
      </c>
      <c r="N446" t="str">
        <f>IF([2]Entry!$M$449="","",[2]Entry!$M$449)</f>
        <v/>
      </c>
      <c r="O446" t="str">
        <f>IF([2]Entry!$N$449="","",[2]Entry!$N$449)</f>
        <v/>
      </c>
      <c r="P446" t="str">
        <f>IF([2]Entry!$S$449="","",[2]Entry!$S$449)</f>
        <v/>
      </c>
    </row>
    <row r="447" spans="1:16" x14ac:dyDescent="0.2">
      <c r="A447" t="str">
        <f>IF([1]Cheques!$A$448="","",[1]Cheques!$A$448)</f>
        <v/>
      </c>
      <c r="E447" t="str">
        <f>IF([1]Accounts!$D$448="","",[1]Accounts!$A$448)</f>
        <v/>
      </c>
      <c r="F447" t="str">
        <f>IF([1]Accounts!$D$448="","",[1]Accounts!$B$448)</f>
        <v/>
      </c>
      <c r="G447" t="str">
        <f>IF([1]Accounts!$D$448="","",[1]Accounts!$C$448)</f>
        <v/>
      </c>
      <c r="H447" t="str">
        <f>IF([1]Accounts!$D$448="","",[1]Accounts!$D$448)</f>
        <v/>
      </c>
      <c r="L447" t="str">
        <f>IF([2]Entry!$C$450="","",[2]Entry!$C$450)</f>
        <v/>
      </c>
      <c r="M447" t="str">
        <f>IF([2]Entry!$J$450="","",[2]Entry!$J$450)</f>
        <v/>
      </c>
      <c r="N447" t="str">
        <f>IF([2]Entry!$M$450="","",[2]Entry!$M$450)</f>
        <v/>
      </c>
      <c r="O447" t="str">
        <f>IF([2]Entry!$N$450="","",[2]Entry!$N$450)</f>
        <v/>
      </c>
      <c r="P447" t="str">
        <f>IF([2]Entry!$S$450="","",[2]Entry!$S$450)</f>
        <v/>
      </c>
    </row>
    <row r="448" spans="1:16" x14ac:dyDescent="0.2">
      <c r="A448" t="str">
        <f>IF([1]Cheques!$A$449="","",[1]Cheques!$A$449)</f>
        <v/>
      </c>
      <c r="E448" t="str">
        <f>IF([1]Accounts!$D$449="","",[1]Accounts!$A$449)</f>
        <v/>
      </c>
      <c r="F448" t="str">
        <f>IF([1]Accounts!$D$449="","",[1]Accounts!$B$449)</f>
        <v/>
      </c>
      <c r="G448" t="str">
        <f>IF([1]Accounts!$D$449="","",[1]Accounts!$C$449)</f>
        <v/>
      </c>
      <c r="H448" t="str">
        <f>IF([1]Accounts!$D$449="","",[1]Accounts!$D$449)</f>
        <v/>
      </c>
      <c r="L448" t="str">
        <f>IF([2]Entry!$C$451="","",[2]Entry!$C$451)</f>
        <v/>
      </c>
      <c r="M448" t="str">
        <f>IF([2]Entry!$J$451="","",[2]Entry!$J$451)</f>
        <v/>
      </c>
      <c r="N448" t="str">
        <f>IF([2]Entry!$M$451="","",[2]Entry!$M$451)</f>
        <v/>
      </c>
      <c r="O448" t="str">
        <f>IF([2]Entry!$N$451="","",[2]Entry!$N$451)</f>
        <v/>
      </c>
      <c r="P448" t="str">
        <f>IF([2]Entry!$S$451="","",[2]Entry!$S$451)</f>
        <v/>
      </c>
    </row>
    <row r="449" spans="1:16" x14ac:dyDescent="0.2">
      <c r="A449" t="str">
        <f>IF([1]Cheques!$A$450="","",[1]Cheques!$A$450)</f>
        <v/>
      </c>
      <c r="E449" t="str">
        <f>IF([1]Accounts!$D$450="","",[1]Accounts!$A$450)</f>
        <v/>
      </c>
      <c r="F449" t="str">
        <f>IF([1]Accounts!$D$450="","",[1]Accounts!$B$450)</f>
        <v/>
      </c>
      <c r="G449" t="str">
        <f>IF([1]Accounts!$D$450="","",[1]Accounts!$C$450)</f>
        <v/>
      </c>
      <c r="H449" t="str">
        <f>IF([1]Accounts!$D$450="","",[1]Accounts!$D$450)</f>
        <v/>
      </c>
      <c r="L449" t="str">
        <f>IF([2]Entry!$C$452="","",[2]Entry!$C$452)</f>
        <v/>
      </c>
      <c r="M449" t="str">
        <f>IF([2]Entry!$J$452="","",[2]Entry!$J$452)</f>
        <v/>
      </c>
      <c r="N449" t="str">
        <f>IF([2]Entry!$M$452="","",[2]Entry!$M$452)</f>
        <v/>
      </c>
      <c r="O449" t="str">
        <f>IF([2]Entry!$N$452="","",[2]Entry!$N$452)</f>
        <v/>
      </c>
      <c r="P449" t="str">
        <f>IF([2]Entry!$S$452="","",[2]Entry!$S$452)</f>
        <v/>
      </c>
    </row>
    <row r="450" spans="1:16" x14ac:dyDescent="0.2">
      <c r="A450" t="str">
        <f>IF([1]Cheques!$A$451="","",[1]Cheques!$A$451)</f>
        <v/>
      </c>
      <c r="E450" t="str">
        <f>IF([1]Accounts!$D$451="","",[1]Accounts!$A$451)</f>
        <v/>
      </c>
      <c r="F450" t="str">
        <f>IF([1]Accounts!$D$451="","",[1]Accounts!$B$451)</f>
        <v/>
      </c>
      <c r="G450" t="str">
        <f>IF([1]Accounts!$D$451="","",[1]Accounts!$C$451)</f>
        <v/>
      </c>
      <c r="H450" t="str">
        <f>IF([1]Accounts!$D$451="","",[1]Accounts!$D$451)</f>
        <v/>
      </c>
      <c r="L450" t="str">
        <f>IF([2]Entry!$C$453="","",[2]Entry!$C$453)</f>
        <v/>
      </c>
      <c r="M450" t="str">
        <f>IF([2]Entry!$J$453="","",[2]Entry!$J$453)</f>
        <v/>
      </c>
      <c r="N450" t="str">
        <f>IF([2]Entry!$M$453="","",[2]Entry!$M$453)</f>
        <v/>
      </c>
      <c r="O450" t="str">
        <f>IF([2]Entry!$N$453="","",[2]Entry!$N$453)</f>
        <v/>
      </c>
      <c r="P450" t="str">
        <f>IF([2]Entry!$S$453="","",[2]Entry!$S$453)</f>
        <v/>
      </c>
    </row>
    <row r="451" spans="1:16" x14ac:dyDescent="0.2">
      <c r="A451" t="str">
        <f>IF([1]Cheques!$A$452="","",[1]Cheques!$A$452)</f>
        <v/>
      </c>
      <c r="E451" t="str">
        <f>IF([1]Accounts!$D$452="","",[1]Accounts!$A$452)</f>
        <v/>
      </c>
      <c r="F451" t="str">
        <f>IF([1]Accounts!$D$452="","",[1]Accounts!$B$452)</f>
        <v/>
      </c>
      <c r="G451" t="str">
        <f>IF([1]Accounts!$D$452="","",[1]Accounts!$C$452)</f>
        <v/>
      </c>
      <c r="H451" t="str">
        <f>IF([1]Accounts!$D$452="","",[1]Accounts!$D$452)</f>
        <v/>
      </c>
      <c r="L451" t="str">
        <f>IF([2]Entry!$C$454="","",[2]Entry!$C$454)</f>
        <v/>
      </c>
      <c r="M451" t="str">
        <f>IF([2]Entry!$J$454="","",[2]Entry!$J$454)</f>
        <v/>
      </c>
      <c r="N451" t="str">
        <f>IF([2]Entry!$M$454="","",[2]Entry!$M$454)</f>
        <v/>
      </c>
      <c r="O451" t="str">
        <f>IF([2]Entry!$N$454="","",[2]Entry!$N$454)</f>
        <v/>
      </c>
      <c r="P451" t="str">
        <f>IF([2]Entry!$S$454="","",[2]Entry!$S$454)</f>
        <v/>
      </c>
    </row>
    <row r="452" spans="1:16" x14ac:dyDescent="0.2">
      <c r="A452" t="str">
        <f>IF([1]Cheques!$A$453="","",[1]Cheques!$A$453)</f>
        <v/>
      </c>
      <c r="E452" t="str">
        <f>IF([1]Accounts!$D$453="","",[1]Accounts!$A$453)</f>
        <v/>
      </c>
      <c r="F452" t="str">
        <f>IF([1]Accounts!$D$453="","",[1]Accounts!$B$453)</f>
        <v/>
      </c>
      <c r="G452" t="str">
        <f>IF([1]Accounts!$D$453="","",[1]Accounts!$C$453)</f>
        <v/>
      </c>
      <c r="H452" t="str">
        <f>IF([1]Accounts!$D$453="","",[1]Accounts!$D$453)</f>
        <v/>
      </c>
      <c r="L452" t="str">
        <f>IF([2]Entry!$C$455="","",[2]Entry!$C$455)</f>
        <v/>
      </c>
      <c r="M452" t="str">
        <f>IF([2]Entry!$J$455="","",[2]Entry!$J$455)</f>
        <v/>
      </c>
      <c r="N452" t="str">
        <f>IF([2]Entry!$M$455="","",[2]Entry!$M$455)</f>
        <v/>
      </c>
      <c r="O452" t="str">
        <f>IF([2]Entry!$N$455="","",[2]Entry!$N$455)</f>
        <v/>
      </c>
      <c r="P452" t="str">
        <f>IF([2]Entry!$S$455="","",[2]Entry!$S$455)</f>
        <v/>
      </c>
    </row>
    <row r="453" spans="1:16" x14ac:dyDescent="0.2">
      <c r="A453" t="str">
        <f>IF([1]Cheques!$A$454="","",[1]Cheques!$A$454)</f>
        <v/>
      </c>
      <c r="E453" t="str">
        <f>IF([1]Accounts!$D$454="","",[1]Accounts!$A$454)</f>
        <v/>
      </c>
      <c r="F453" t="str">
        <f>IF([1]Accounts!$D$454="","",[1]Accounts!$B$454)</f>
        <v/>
      </c>
      <c r="G453" t="str">
        <f>IF([1]Accounts!$D$454="","",[1]Accounts!$C$454)</f>
        <v/>
      </c>
      <c r="H453" t="str">
        <f>IF([1]Accounts!$D$454="","",[1]Accounts!$D$454)</f>
        <v/>
      </c>
      <c r="L453" t="str">
        <f>IF([2]Entry!$C$456="","",[2]Entry!$C$456)</f>
        <v/>
      </c>
      <c r="M453" t="str">
        <f>IF([2]Entry!$J$456="","",[2]Entry!$J$456)</f>
        <v/>
      </c>
      <c r="N453" t="str">
        <f>IF([2]Entry!$M$456="","",[2]Entry!$M$456)</f>
        <v/>
      </c>
      <c r="O453" t="str">
        <f>IF([2]Entry!$N$456="","",[2]Entry!$N$456)</f>
        <v/>
      </c>
      <c r="P453" t="str">
        <f>IF([2]Entry!$S$456="","",[2]Entry!$S$456)</f>
        <v/>
      </c>
    </row>
    <row r="454" spans="1:16" x14ac:dyDescent="0.2">
      <c r="A454" t="str">
        <f>IF([1]Cheques!$A$455="","",[1]Cheques!$A$455)</f>
        <v/>
      </c>
      <c r="E454" t="str">
        <f>IF([1]Accounts!$D$455="","",[1]Accounts!$A$455)</f>
        <v/>
      </c>
      <c r="F454" t="str">
        <f>IF([1]Accounts!$D$455="","",[1]Accounts!$B$455)</f>
        <v/>
      </c>
      <c r="G454" t="str">
        <f>IF([1]Accounts!$D$455="","",[1]Accounts!$C$455)</f>
        <v/>
      </c>
      <c r="H454" t="str">
        <f>IF([1]Accounts!$D$455="","",[1]Accounts!$D$455)</f>
        <v/>
      </c>
      <c r="L454" t="str">
        <f>IF([2]Entry!$C$457="","",[2]Entry!$C$457)</f>
        <v/>
      </c>
      <c r="M454" t="str">
        <f>IF([2]Entry!$J$457="","",[2]Entry!$J$457)</f>
        <v/>
      </c>
      <c r="N454" t="str">
        <f>IF([2]Entry!$M$457="","",[2]Entry!$M$457)</f>
        <v/>
      </c>
      <c r="O454" t="str">
        <f>IF([2]Entry!$N$457="","",[2]Entry!$N$457)</f>
        <v/>
      </c>
      <c r="P454" t="str">
        <f>IF([2]Entry!$S$457="","",[2]Entry!$S$457)</f>
        <v/>
      </c>
    </row>
    <row r="455" spans="1:16" x14ac:dyDescent="0.2">
      <c r="A455" t="str">
        <f>IF([1]Cheques!$A$456="","",[1]Cheques!$A$456)</f>
        <v/>
      </c>
      <c r="E455" t="str">
        <f>IF([1]Accounts!$D$456="","",[1]Accounts!$A$456)</f>
        <v/>
      </c>
      <c r="F455" t="str">
        <f>IF([1]Accounts!$D$456="","",[1]Accounts!$B$456)</f>
        <v/>
      </c>
      <c r="G455" t="str">
        <f>IF([1]Accounts!$D$456="","",[1]Accounts!$C$456)</f>
        <v/>
      </c>
      <c r="H455" t="str">
        <f>IF([1]Accounts!$D$456="","",[1]Accounts!$D$456)</f>
        <v/>
      </c>
      <c r="L455" t="str">
        <f>IF([2]Entry!$C$458="","",[2]Entry!$C$458)</f>
        <v/>
      </c>
      <c r="M455" t="str">
        <f>IF([2]Entry!$J$458="","",[2]Entry!$J$458)</f>
        <v/>
      </c>
      <c r="N455" t="str">
        <f>IF([2]Entry!$M$458="","",[2]Entry!$M$458)</f>
        <v/>
      </c>
      <c r="O455" t="str">
        <f>IF([2]Entry!$N$458="","",[2]Entry!$N$458)</f>
        <v/>
      </c>
      <c r="P455" t="str">
        <f>IF([2]Entry!$S$458="","",[2]Entry!$S$458)</f>
        <v/>
      </c>
    </row>
    <row r="456" spans="1:16" x14ac:dyDescent="0.2">
      <c r="A456" t="str">
        <f>IF([1]Cheques!$A$457="","",[1]Cheques!$A$457)</f>
        <v/>
      </c>
      <c r="E456" t="str">
        <f>IF([1]Accounts!$D$457="","",[1]Accounts!$A$457)</f>
        <v>X001</v>
      </c>
      <c r="F456">
        <f>IF([1]Accounts!$D$457="","",[1]Accounts!$B$457)</f>
        <v>0</v>
      </c>
      <c r="G456">
        <f>IF([1]Accounts!$D$457="","",[1]Accounts!$C$457)</f>
        <v>0</v>
      </c>
      <c r="H456" t="str">
        <f>IF([1]Accounts!$D$457="","",[1]Accounts!$D$457)</f>
        <v>انعام مصطفی</v>
      </c>
      <c r="L456" t="str">
        <f>IF([2]Entry!$C$459="","",[2]Entry!$C$459)</f>
        <v/>
      </c>
      <c r="M456" t="str">
        <f>IF([2]Entry!$J$459="","",[2]Entry!$J$459)</f>
        <v/>
      </c>
      <c r="N456" t="str">
        <f>IF([2]Entry!$M$459="","",[2]Entry!$M$459)</f>
        <v/>
      </c>
      <c r="O456" t="str">
        <f>IF([2]Entry!$N$459="","",[2]Entry!$N$459)</f>
        <v/>
      </c>
      <c r="P456" t="str">
        <f>IF([2]Entry!$S$459="","",[2]Entry!$S$459)</f>
        <v/>
      </c>
    </row>
    <row r="457" spans="1:16" x14ac:dyDescent="0.2">
      <c r="A457" t="str">
        <f>IF([1]Cheques!$A$458="","",[1]Cheques!$A$458)</f>
        <v/>
      </c>
      <c r="E457" t="str">
        <f>IF([1]Accounts!$D$458="","",[1]Accounts!$A$458)</f>
        <v>X002</v>
      </c>
      <c r="F457">
        <f>IF([1]Accounts!$D$458="","",[1]Accounts!$B$458)</f>
        <v>0</v>
      </c>
      <c r="G457">
        <f>IF([1]Accounts!$D$458="","",[1]Accounts!$C$458)</f>
        <v>0</v>
      </c>
      <c r="H457" t="str">
        <f>IF([1]Accounts!$D$458="","",[1]Accounts!$D$458)</f>
        <v>درامد باسکول(احمد زاهدی)</v>
      </c>
      <c r="L457" t="str">
        <f>IF([2]Entry!$C$460="","",[2]Entry!$C$460)</f>
        <v/>
      </c>
      <c r="M457" t="str">
        <f>IF([2]Entry!$J$460="","",[2]Entry!$J$460)</f>
        <v/>
      </c>
      <c r="N457" t="str">
        <f>IF([2]Entry!$M$460="","",[2]Entry!$M$460)</f>
        <v/>
      </c>
      <c r="O457" t="str">
        <f>IF([2]Entry!$N$460="","",[2]Entry!$N$460)</f>
        <v/>
      </c>
      <c r="P457" t="str">
        <f>IF([2]Entry!$S$460="","",[2]Entry!$S$460)</f>
        <v/>
      </c>
    </row>
    <row r="458" spans="1:16" x14ac:dyDescent="0.2">
      <c r="A458" t="str">
        <f>IF([1]Cheques!$A$459="","",[1]Cheques!$A$459)</f>
        <v/>
      </c>
      <c r="E458" t="str">
        <f>IF([1]Accounts!$D$459="","",[1]Accounts!$A$459)</f>
        <v/>
      </c>
      <c r="F458" t="str">
        <f>IF([1]Accounts!$D$459="","",[1]Accounts!$B$459)</f>
        <v/>
      </c>
      <c r="G458" t="str">
        <f>IF([1]Accounts!$D$459="","",[1]Accounts!$C$459)</f>
        <v/>
      </c>
      <c r="H458" t="str">
        <f>IF([1]Accounts!$D$459="","",[1]Accounts!$D$459)</f>
        <v/>
      </c>
      <c r="L458" t="str">
        <f>IF([2]Entry!$C$461="","",[2]Entry!$C$461)</f>
        <v/>
      </c>
      <c r="M458" t="str">
        <f>IF([2]Entry!$J$461="","",[2]Entry!$J$461)</f>
        <v/>
      </c>
      <c r="N458" t="str">
        <f>IF([2]Entry!$M$461="","",[2]Entry!$M$461)</f>
        <v/>
      </c>
      <c r="O458" t="str">
        <f>IF([2]Entry!$N$461="","",[2]Entry!$N$461)</f>
        <v/>
      </c>
      <c r="P458" t="str">
        <f>IF([2]Entry!$S$461="","",[2]Entry!$S$461)</f>
        <v/>
      </c>
    </row>
    <row r="459" spans="1:16" x14ac:dyDescent="0.2">
      <c r="A459" t="str">
        <f>IF([1]Cheques!$A$460="","",[1]Cheques!$A$460)</f>
        <v/>
      </c>
      <c r="E459" t="str">
        <f>IF([1]Accounts!$D$460="","",[1]Accounts!$A$460)</f>
        <v/>
      </c>
      <c r="F459" t="str">
        <f>IF([1]Accounts!$D$460="","",[1]Accounts!$B$460)</f>
        <v/>
      </c>
      <c r="G459" t="str">
        <f>IF([1]Accounts!$D$460="","",[1]Accounts!$C$460)</f>
        <v/>
      </c>
      <c r="H459" t="str">
        <f>IF([1]Accounts!$D$460="","",[1]Accounts!$D$460)</f>
        <v/>
      </c>
      <c r="L459" t="str">
        <f>IF([2]Entry!$C$462="","",[2]Entry!$C$462)</f>
        <v/>
      </c>
      <c r="M459" t="str">
        <f>IF([2]Entry!$J$462="","",[2]Entry!$J$462)</f>
        <v/>
      </c>
      <c r="N459" t="str">
        <f>IF([2]Entry!$M$462="","",[2]Entry!$M$462)</f>
        <v/>
      </c>
      <c r="O459" t="str">
        <f>IF([2]Entry!$N$462="","",[2]Entry!$N$462)</f>
        <v/>
      </c>
      <c r="P459" t="str">
        <f>IF([2]Entry!$S$462="","",[2]Entry!$S$462)</f>
        <v/>
      </c>
    </row>
    <row r="460" spans="1:16" x14ac:dyDescent="0.2">
      <c r="A460" t="str">
        <f>IF([1]Cheques!$A$461="","",[1]Cheques!$A$461)</f>
        <v/>
      </c>
      <c r="E460" t="str">
        <f>IF([1]Accounts!$D$461="","",[1]Accounts!$A$461)</f>
        <v/>
      </c>
      <c r="F460" t="str">
        <f>IF([1]Accounts!$D$461="","",[1]Accounts!$B$461)</f>
        <v/>
      </c>
      <c r="G460" t="str">
        <f>IF([1]Accounts!$D$461="","",[1]Accounts!$C$461)</f>
        <v/>
      </c>
      <c r="H460" t="str">
        <f>IF([1]Accounts!$D$461="","",[1]Accounts!$D$461)</f>
        <v/>
      </c>
      <c r="L460" t="str">
        <f>IF([2]Entry!$C$463="","",[2]Entry!$C$463)</f>
        <v/>
      </c>
      <c r="M460" t="str">
        <f>IF([2]Entry!$J$463="","",[2]Entry!$J$463)</f>
        <v/>
      </c>
      <c r="N460" t="str">
        <f>IF([2]Entry!$M$463="","",[2]Entry!$M$463)</f>
        <v/>
      </c>
      <c r="O460" t="str">
        <f>IF([2]Entry!$N$463="","",[2]Entry!$N$463)</f>
        <v/>
      </c>
      <c r="P460" t="str">
        <f>IF([2]Entry!$S$463="","",[2]Entry!$S$463)</f>
        <v/>
      </c>
    </row>
    <row r="461" spans="1:16" x14ac:dyDescent="0.2">
      <c r="A461" t="str">
        <f>IF([1]Cheques!$A$462="","",[1]Cheques!$A$462)</f>
        <v/>
      </c>
      <c r="E461" t="str">
        <f>IF([1]Accounts!$D$462="","",[1]Accounts!$A$462)</f>
        <v/>
      </c>
      <c r="F461" t="str">
        <f>IF([1]Accounts!$D$462="","",[1]Accounts!$B$462)</f>
        <v/>
      </c>
      <c r="G461" t="str">
        <f>IF([1]Accounts!$D$462="","",[1]Accounts!$C$462)</f>
        <v/>
      </c>
      <c r="H461" t="str">
        <f>IF([1]Accounts!$D$462="","",[1]Accounts!$D$462)</f>
        <v/>
      </c>
      <c r="L461" t="str">
        <f>IF([2]Entry!$C$464="","",[2]Entry!$C$464)</f>
        <v/>
      </c>
      <c r="M461" t="str">
        <f>IF([2]Entry!$J$464="","",[2]Entry!$J$464)</f>
        <v/>
      </c>
      <c r="N461" t="str">
        <f>IF([2]Entry!$M$464="","",[2]Entry!$M$464)</f>
        <v/>
      </c>
      <c r="O461" t="str">
        <f>IF([2]Entry!$N$464="","",[2]Entry!$N$464)</f>
        <v/>
      </c>
      <c r="P461" t="str">
        <f>IF([2]Entry!$S$464="","",[2]Entry!$S$464)</f>
        <v/>
      </c>
    </row>
    <row r="462" spans="1:16" x14ac:dyDescent="0.2">
      <c r="A462" t="str">
        <f>IF([1]Cheques!$A$463="","",[1]Cheques!$A$463)</f>
        <v/>
      </c>
      <c r="E462" t="str">
        <f>IF([1]Accounts!$D$463="","",[1]Accounts!$A$463)</f>
        <v/>
      </c>
      <c r="F462" t="str">
        <f>IF([1]Accounts!$D$463="","",[1]Accounts!$B$463)</f>
        <v/>
      </c>
      <c r="G462" t="str">
        <f>IF([1]Accounts!$D$463="","",[1]Accounts!$C$463)</f>
        <v/>
      </c>
      <c r="H462" t="str">
        <f>IF([1]Accounts!$D$463="","",[1]Accounts!$D$463)</f>
        <v/>
      </c>
      <c r="L462" t="str">
        <f>IF([2]Entry!$C$465="","",[2]Entry!$C$465)</f>
        <v/>
      </c>
      <c r="M462" t="str">
        <f>IF([2]Entry!$J$465="","",[2]Entry!$J$465)</f>
        <v/>
      </c>
      <c r="N462" t="str">
        <f>IF([2]Entry!$M$465="","",[2]Entry!$M$465)</f>
        <v/>
      </c>
      <c r="O462" t="str">
        <f>IF([2]Entry!$N$465="","",[2]Entry!$N$465)</f>
        <v/>
      </c>
      <c r="P462" t="str">
        <f>IF([2]Entry!$S$465="","",[2]Entry!$S$465)</f>
        <v/>
      </c>
    </row>
    <row r="463" spans="1:16" x14ac:dyDescent="0.2">
      <c r="A463" t="str">
        <f>IF([1]Cheques!$A$464="","",[1]Cheques!$A$464)</f>
        <v/>
      </c>
      <c r="E463" t="str">
        <f>IF([1]Accounts!$D$464="","",[1]Accounts!$A$464)</f>
        <v/>
      </c>
      <c r="F463" t="str">
        <f>IF([1]Accounts!$D$464="","",[1]Accounts!$B$464)</f>
        <v/>
      </c>
      <c r="G463" t="str">
        <f>IF([1]Accounts!$D$464="","",[1]Accounts!$C$464)</f>
        <v/>
      </c>
      <c r="H463" t="str">
        <f>IF([1]Accounts!$D$464="","",[1]Accounts!$D$464)</f>
        <v/>
      </c>
      <c r="L463" t="str">
        <f>IF([2]Entry!$C$466="","",[2]Entry!$C$466)</f>
        <v/>
      </c>
      <c r="M463" t="str">
        <f>IF([2]Entry!$J$466="","",[2]Entry!$J$466)</f>
        <v/>
      </c>
      <c r="N463" t="str">
        <f>IF([2]Entry!$M$466="","",[2]Entry!$M$466)</f>
        <v/>
      </c>
      <c r="O463" t="str">
        <f>IF([2]Entry!$N$466="","",[2]Entry!$N$466)</f>
        <v/>
      </c>
      <c r="P463" t="str">
        <f>IF([2]Entry!$S$466="","",[2]Entry!$S$466)</f>
        <v/>
      </c>
    </row>
    <row r="464" spans="1:16" x14ac:dyDescent="0.2">
      <c r="A464" t="str">
        <f>IF([1]Cheques!$A$465="","",[1]Cheques!$A$465)</f>
        <v/>
      </c>
      <c r="E464" t="str">
        <f>IF([1]Accounts!$D$465="","",[1]Accounts!$A$465)</f>
        <v/>
      </c>
      <c r="F464" t="str">
        <f>IF([1]Accounts!$D$465="","",[1]Accounts!$B$465)</f>
        <v/>
      </c>
      <c r="G464" t="str">
        <f>IF([1]Accounts!$D$465="","",[1]Accounts!$C$465)</f>
        <v/>
      </c>
      <c r="H464" t="str">
        <f>IF([1]Accounts!$D$465="","",[1]Accounts!$D$465)</f>
        <v/>
      </c>
      <c r="L464" t="str">
        <f>IF([2]Entry!$C$467="","",[2]Entry!$C$467)</f>
        <v/>
      </c>
      <c r="M464" t="str">
        <f>IF([2]Entry!$J$467="","",[2]Entry!$J$467)</f>
        <v/>
      </c>
      <c r="N464" t="str">
        <f>IF([2]Entry!$M$467="","",[2]Entry!$M$467)</f>
        <v/>
      </c>
      <c r="O464" t="str">
        <f>IF([2]Entry!$N$467="","",[2]Entry!$N$467)</f>
        <v/>
      </c>
      <c r="P464" t="str">
        <f>IF([2]Entry!$S$467="","",[2]Entry!$S$467)</f>
        <v/>
      </c>
    </row>
    <row r="465" spans="1:16" x14ac:dyDescent="0.2">
      <c r="A465" t="str">
        <f>IF([1]Cheques!$A$466="","",[1]Cheques!$A$466)</f>
        <v/>
      </c>
      <c r="E465" t="str">
        <f>IF([1]Accounts!$D$466="","",[1]Accounts!$A$466)</f>
        <v/>
      </c>
      <c r="F465" t="str">
        <f>IF([1]Accounts!$D$466="","",[1]Accounts!$B$466)</f>
        <v/>
      </c>
      <c r="G465" t="str">
        <f>IF([1]Accounts!$D$466="","",[1]Accounts!$C$466)</f>
        <v/>
      </c>
      <c r="H465" t="str">
        <f>IF([1]Accounts!$D$466="","",[1]Accounts!$D$466)</f>
        <v/>
      </c>
      <c r="L465" t="str">
        <f>IF([2]Entry!$C$468="","",[2]Entry!$C$468)</f>
        <v/>
      </c>
      <c r="M465" t="str">
        <f>IF([2]Entry!$J$468="","",[2]Entry!$J$468)</f>
        <v/>
      </c>
      <c r="N465" t="str">
        <f>IF([2]Entry!$M$468="","",[2]Entry!$M$468)</f>
        <v/>
      </c>
      <c r="O465" t="str">
        <f>IF([2]Entry!$N$468="","",[2]Entry!$N$468)</f>
        <v/>
      </c>
      <c r="P465" t="str">
        <f>IF([2]Entry!$S$468="","",[2]Entry!$S$468)</f>
        <v/>
      </c>
    </row>
    <row r="466" spans="1:16" x14ac:dyDescent="0.2">
      <c r="A466" t="str">
        <f>IF([1]Cheques!$A$467="","",[1]Cheques!$A$467)</f>
        <v/>
      </c>
      <c r="E466" t="str">
        <f>IF([1]Accounts!$D$467="","",[1]Accounts!$A$467)</f>
        <v/>
      </c>
      <c r="F466" t="str">
        <f>IF([1]Accounts!$D$467="","",[1]Accounts!$B$467)</f>
        <v/>
      </c>
      <c r="G466" t="str">
        <f>IF([1]Accounts!$D$467="","",[1]Accounts!$C$467)</f>
        <v/>
      </c>
      <c r="H466" t="str">
        <f>IF([1]Accounts!$D$467="","",[1]Accounts!$D$467)</f>
        <v/>
      </c>
      <c r="L466" t="str">
        <f>IF([2]Entry!$C$469="","",[2]Entry!$C$469)</f>
        <v/>
      </c>
      <c r="M466" t="str">
        <f>IF([2]Entry!$J$469="","",[2]Entry!$J$469)</f>
        <v/>
      </c>
      <c r="N466" t="str">
        <f>IF([2]Entry!$M$469="","",[2]Entry!$M$469)</f>
        <v/>
      </c>
      <c r="O466" t="str">
        <f>IF([2]Entry!$N$469="","",[2]Entry!$N$469)</f>
        <v/>
      </c>
      <c r="P466" t="str">
        <f>IF([2]Entry!$S$469="","",[2]Entry!$S$469)</f>
        <v/>
      </c>
    </row>
    <row r="467" spans="1:16" x14ac:dyDescent="0.2">
      <c r="A467" t="str">
        <f>IF([1]Cheques!$A$468="","",[1]Cheques!$A$468)</f>
        <v/>
      </c>
      <c r="E467" t="str">
        <f>IF([1]Accounts!$D$468="","",[1]Accounts!$A$468)</f>
        <v/>
      </c>
      <c r="F467" t="str">
        <f>IF([1]Accounts!$D$468="","",[1]Accounts!$B$468)</f>
        <v/>
      </c>
      <c r="G467" t="str">
        <f>IF([1]Accounts!$D$468="","",[1]Accounts!$C$468)</f>
        <v/>
      </c>
      <c r="H467" t="str">
        <f>IF([1]Accounts!$D$468="","",[1]Accounts!$D$468)</f>
        <v/>
      </c>
      <c r="L467" t="str">
        <f>IF([2]Entry!$C$470="","",[2]Entry!$C$470)</f>
        <v/>
      </c>
      <c r="M467" t="str">
        <f>IF([2]Entry!$J$470="","",[2]Entry!$J$470)</f>
        <v/>
      </c>
      <c r="N467" t="str">
        <f>IF([2]Entry!$M$470="","",[2]Entry!$M$470)</f>
        <v/>
      </c>
      <c r="O467" t="str">
        <f>IF([2]Entry!$N$470="","",[2]Entry!$N$470)</f>
        <v/>
      </c>
      <c r="P467" t="str">
        <f>IF([2]Entry!$S$470="","",[2]Entry!$S$470)</f>
        <v/>
      </c>
    </row>
    <row r="468" spans="1:16" x14ac:dyDescent="0.2">
      <c r="A468" t="str">
        <f>IF([1]Cheques!$A$469="","",[1]Cheques!$A$469)</f>
        <v/>
      </c>
      <c r="E468" t="str">
        <f>IF([1]Accounts!$D$469="","",[1]Accounts!$A$469)</f>
        <v/>
      </c>
      <c r="F468" t="str">
        <f>IF([1]Accounts!$D$469="","",[1]Accounts!$B$469)</f>
        <v/>
      </c>
      <c r="G468" t="str">
        <f>IF([1]Accounts!$D$469="","",[1]Accounts!$C$469)</f>
        <v/>
      </c>
      <c r="H468" t="str">
        <f>IF([1]Accounts!$D$469="","",[1]Accounts!$D$469)</f>
        <v/>
      </c>
      <c r="L468" t="str">
        <f>IF([2]Entry!$C$471="","",[2]Entry!$C$471)</f>
        <v/>
      </c>
      <c r="M468" t="str">
        <f>IF([2]Entry!$J$471="","",[2]Entry!$J$471)</f>
        <v/>
      </c>
      <c r="N468" t="str">
        <f>IF([2]Entry!$M$471="","",[2]Entry!$M$471)</f>
        <v/>
      </c>
      <c r="O468" t="str">
        <f>IF([2]Entry!$N$471="","",[2]Entry!$N$471)</f>
        <v/>
      </c>
      <c r="P468" t="str">
        <f>IF([2]Entry!$S$471="","",[2]Entry!$S$471)</f>
        <v/>
      </c>
    </row>
    <row r="469" spans="1:16" x14ac:dyDescent="0.2">
      <c r="A469" t="str">
        <f>IF([1]Cheques!$A$470="","",[1]Cheques!$A$470)</f>
        <v/>
      </c>
      <c r="E469" t="str">
        <f>IF([1]Accounts!$D$470="","",[1]Accounts!$A$470)</f>
        <v/>
      </c>
      <c r="F469" t="str">
        <f>IF([1]Accounts!$D$470="","",[1]Accounts!$B$470)</f>
        <v/>
      </c>
      <c r="G469" t="str">
        <f>IF([1]Accounts!$D$470="","",[1]Accounts!$C$470)</f>
        <v/>
      </c>
      <c r="H469" t="str">
        <f>IF([1]Accounts!$D$470="","",[1]Accounts!$D$470)</f>
        <v/>
      </c>
      <c r="L469" t="str">
        <f>IF([2]Entry!$C$472="","",[2]Entry!$C$472)</f>
        <v/>
      </c>
      <c r="M469" t="str">
        <f>IF([2]Entry!$J$472="","",[2]Entry!$J$472)</f>
        <v/>
      </c>
      <c r="N469" t="str">
        <f>IF([2]Entry!$M$472="","",[2]Entry!$M$472)</f>
        <v/>
      </c>
      <c r="O469" t="str">
        <f>IF([2]Entry!$N$472="","",[2]Entry!$N$472)</f>
        <v/>
      </c>
      <c r="P469" t="str">
        <f>IF([2]Entry!$S$472="","",[2]Entry!$S$472)</f>
        <v/>
      </c>
    </row>
    <row r="470" spans="1:16" x14ac:dyDescent="0.2">
      <c r="A470" t="str">
        <f>IF([1]Cheques!$A$471="","",[1]Cheques!$A$471)</f>
        <v/>
      </c>
      <c r="E470" t="str">
        <f>IF([1]Accounts!$D$471="","",[1]Accounts!$A$471)</f>
        <v/>
      </c>
      <c r="F470" t="str">
        <f>IF([1]Accounts!$D$471="","",[1]Accounts!$B$471)</f>
        <v/>
      </c>
      <c r="G470" t="str">
        <f>IF([1]Accounts!$D$471="","",[1]Accounts!$C$471)</f>
        <v/>
      </c>
      <c r="H470" t="str">
        <f>IF([1]Accounts!$D$471="","",[1]Accounts!$D$471)</f>
        <v/>
      </c>
      <c r="L470" t="str">
        <f>IF([2]Entry!$C$473="","",[2]Entry!$C$473)</f>
        <v/>
      </c>
      <c r="M470" t="str">
        <f>IF([2]Entry!$J$473="","",[2]Entry!$J$473)</f>
        <v/>
      </c>
      <c r="N470" t="str">
        <f>IF([2]Entry!$M$473="","",[2]Entry!$M$473)</f>
        <v/>
      </c>
      <c r="O470" t="str">
        <f>IF([2]Entry!$N$473="","",[2]Entry!$N$473)</f>
        <v/>
      </c>
      <c r="P470" t="str">
        <f>IF([2]Entry!$S$473="","",[2]Entry!$S$473)</f>
        <v/>
      </c>
    </row>
    <row r="471" spans="1:16" x14ac:dyDescent="0.2">
      <c r="A471" t="str">
        <f>IF([1]Cheques!$A$472="","",[1]Cheques!$A$472)</f>
        <v/>
      </c>
      <c r="E471" t="str">
        <f>IF([1]Accounts!$D$472="","",[1]Accounts!$A$472)</f>
        <v/>
      </c>
      <c r="F471" t="str">
        <f>IF([1]Accounts!$D$472="","",[1]Accounts!$B$472)</f>
        <v/>
      </c>
      <c r="G471" t="str">
        <f>IF([1]Accounts!$D$472="","",[1]Accounts!$C$472)</f>
        <v/>
      </c>
      <c r="H471" t="str">
        <f>IF([1]Accounts!$D$472="","",[1]Accounts!$D$472)</f>
        <v/>
      </c>
      <c r="L471" t="str">
        <f>IF([2]Entry!$C$474="","",[2]Entry!$C$474)</f>
        <v/>
      </c>
      <c r="M471" t="str">
        <f>IF([2]Entry!$J$474="","",[2]Entry!$J$474)</f>
        <v/>
      </c>
      <c r="N471" t="str">
        <f>IF([2]Entry!$M$474="","",[2]Entry!$M$474)</f>
        <v/>
      </c>
      <c r="O471" t="str">
        <f>IF([2]Entry!$N$474="","",[2]Entry!$N$474)</f>
        <v/>
      </c>
      <c r="P471" t="str">
        <f>IF([2]Entry!$S$474="","",[2]Entry!$S$474)</f>
        <v/>
      </c>
    </row>
    <row r="472" spans="1:16" x14ac:dyDescent="0.2">
      <c r="A472" t="str">
        <f>IF([1]Cheques!$A$473="","",[1]Cheques!$A$473)</f>
        <v/>
      </c>
      <c r="E472" t="str">
        <f>IF([1]Accounts!$D$473="","",[1]Accounts!$A$473)</f>
        <v/>
      </c>
      <c r="F472" t="str">
        <f>IF([1]Accounts!$D$473="","",[1]Accounts!$B$473)</f>
        <v/>
      </c>
      <c r="G472" t="str">
        <f>IF([1]Accounts!$D$473="","",[1]Accounts!$C$473)</f>
        <v/>
      </c>
      <c r="H472" t="str">
        <f>IF([1]Accounts!$D$473="","",[1]Accounts!$D$473)</f>
        <v/>
      </c>
      <c r="L472" t="str">
        <f>IF([2]Entry!$C$475="","",[2]Entry!$C$475)</f>
        <v/>
      </c>
      <c r="M472" t="str">
        <f>IF([2]Entry!$J$475="","",[2]Entry!$J$475)</f>
        <v/>
      </c>
      <c r="N472" t="str">
        <f>IF([2]Entry!$M$475="","",[2]Entry!$M$475)</f>
        <v/>
      </c>
      <c r="O472" t="str">
        <f>IF([2]Entry!$N$475="","",[2]Entry!$N$475)</f>
        <v/>
      </c>
      <c r="P472" t="str">
        <f>IF([2]Entry!$S$475="","",[2]Entry!$S$475)</f>
        <v/>
      </c>
    </row>
    <row r="473" spans="1:16" x14ac:dyDescent="0.2">
      <c r="A473" t="str">
        <f>IF([1]Cheques!$A$474="","",[1]Cheques!$A$474)</f>
        <v/>
      </c>
      <c r="E473" t="str">
        <f>IF([1]Accounts!$D$474="","",[1]Accounts!$A$474)</f>
        <v/>
      </c>
      <c r="F473" t="str">
        <f>IF([1]Accounts!$D$474="","",[1]Accounts!$B$474)</f>
        <v/>
      </c>
      <c r="G473" t="str">
        <f>IF([1]Accounts!$D$474="","",[1]Accounts!$C$474)</f>
        <v/>
      </c>
      <c r="H473" t="str">
        <f>IF([1]Accounts!$D$474="","",[1]Accounts!$D$474)</f>
        <v/>
      </c>
      <c r="L473" t="str">
        <f>IF([2]Entry!$C$476="","",[2]Entry!$C$476)</f>
        <v/>
      </c>
      <c r="M473" t="str">
        <f>IF([2]Entry!$J$476="","",[2]Entry!$J$476)</f>
        <v/>
      </c>
      <c r="N473" t="str">
        <f>IF([2]Entry!$M$476="","",[2]Entry!$M$476)</f>
        <v/>
      </c>
      <c r="O473" t="str">
        <f>IF([2]Entry!$N$476="","",[2]Entry!$N$476)</f>
        <v/>
      </c>
      <c r="P473" t="str">
        <f>IF([2]Entry!$S$476="","",[2]Entry!$S$476)</f>
        <v/>
      </c>
    </row>
    <row r="474" spans="1:16" x14ac:dyDescent="0.2">
      <c r="A474" t="str">
        <f>IF([1]Cheques!$A$475="","",[1]Cheques!$A$475)</f>
        <v/>
      </c>
      <c r="E474" t="str">
        <f>IF([1]Accounts!$D$475="","",[1]Accounts!$A$475)</f>
        <v/>
      </c>
      <c r="F474" t="str">
        <f>IF([1]Accounts!$D$475="","",[1]Accounts!$B$475)</f>
        <v/>
      </c>
      <c r="G474" t="str">
        <f>IF([1]Accounts!$D$475="","",[1]Accounts!$C$475)</f>
        <v/>
      </c>
      <c r="H474" t="str">
        <f>IF([1]Accounts!$D$475="","",[1]Accounts!$D$475)</f>
        <v/>
      </c>
      <c r="L474" t="str">
        <f>IF([2]Entry!$C$477="","",[2]Entry!$C$477)</f>
        <v/>
      </c>
      <c r="M474" t="str">
        <f>IF([2]Entry!$J$477="","",[2]Entry!$J$477)</f>
        <v/>
      </c>
      <c r="N474" t="str">
        <f>IF([2]Entry!$M$477="","",[2]Entry!$M$477)</f>
        <v/>
      </c>
      <c r="O474" t="str">
        <f>IF([2]Entry!$N$477="","",[2]Entry!$N$477)</f>
        <v/>
      </c>
      <c r="P474" t="str">
        <f>IF([2]Entry!$S$477="","",[2]Entry!$S$477)</f>
        <v/>
      </c>
    </row>
    <row r="475" spans="1:16" x14ac:dyDescent="0.2">
      <c r="A475" t="str">
        <f>IF([1]Cheques!$A$476="","",[1]Cheques!$A$476)</f>
        <v/>
      </c>
      <c r="E475" t="str">
        <f>IF([1]Accounts!$D$476="","",[1]Accounts!$A$476)</f>
        <v/>
      </c>
      <c r="F475" t="str">
        <f>IF([1]Accounts!$D$476="","",[1]Accounts!$B$476)</f>
        <v/>
      </c>
      <c r="G475" t="str">
        <f>IF([1]Accounts!$D$476="","",[1]Accounts!$C$476)</f>
        <v/>
      </c>
      <c r="H475" t="str">
        <f>IF([1]Accounts!$D$476="","",[1]Accounts!$D$476)</f>
        <v/>
      </c>
      <c r="L475" t="str">
        <f>IF([2]Entry!$C$478="","",[2]Entry!$C$478)</f>
        <v/>
      </c>
      <c r="M475" t="str">
        <f>IF([2]Entry!$J$478="","",[2]Entry!$J$478)</f>
        <v/>
      </c>
      <c r="N475" t="str">
        <f>IF([2]Entry!$M$478="","",[2]Entry!$M$478)</f>
        <v/>
      </c>
      <c r="O475" t="str">
        <f>IF([2]Entry!$N$478="","",[2]Entry!$N$478)</f>
        <v/>
      </c>
      <c r="P475" t="str">
        <f>IF([2]Entry!$S$478="","",[2]Entry!$S$478)</f>
        <v/>
      </c>
    </row>
    <row r="476" spans="1:16" x14ac:dyDescent="0.2">
      <c r="A476" t="str">
        <f>IF([1]Cheques!$A$477="","",[1]Cheques!$A$477)</f>
        <v/>
      </c>
      <c r="E476" t="str">
        <f>IF([1]Accounts!$D$477="","",[1]Accounts!$A$477)</f>
        <v/>
      </c>
      <c r="F476" t="str">
        <f>IF([1]Accounts!$D$477="","",[1]Accounts!$B$477)</f>
        <v/>
      </c>
      <c r="G476" t="str">
        <f>IF([1]Accounts!$D$477="","",[1]Accounts!$C$477)</f>
        <v/>
      </c>
      <c r="H476" t="str">
        <f>IF([1]Accounts!$D$477="","",[1]Accounts!$D$477)</f>
        <v/>
      </c>
      <c r="L476" t="str">
        <f>IF([2]Entry!$C$479="","",[2]Entry!$C$479)</f>
        <v/>
      </c>
      <c r="M476" t="str">
        <f>IF([2]Entry!$J$479="","",[2]Entry!$J$479)</f>
        <v/>
      </c>
      <c r="N476" t="str">
        <f>IF([2]Entry!$M$479="","",[2]Entry!$M$479)</f>
        <v/>
      </c>
      <c r="O476" t="str">
        <f>IF([2]Entry!$N$479="","",[2]Entry!$N$479)</f>
        <v/>
      </c>
      <c r="P476" t="str">
        <f>IF([2]Entry!$S$479="","",[2]Entry!$S$479)</f>
        <v/>
      </c>
    </row>
    <row r="477" spans="1:16" x14ac:dyDescent="0.2">
      <c r="A477" t="str">
        <f>IF([1]Cheques!$A$478="","",[1]Cheques!$A$478)</f>
        <v/>
      </c>
      <c r="E477" t="str">
        <f>IF([1]Accounts!$D$478="","",[1]Accounts!$A$478)</f>
        <v/>
      </c>
      <c r="F477" t="str">
        <f>IF([1]Accounts!$D$478="","",[1]Accounts!$B$478)</f>
        <v/>
      </c>
      <c r="G477" t="str">
        <f>IF([1]Accounts!$D$478="","",[1]Accounts!$C$478)</f>
        <v/>
      </c>
      <c r="H477" t="str">
        <f>IF([1]Accounts!$D$478="","",[1]Accounts!$D$478)</f>
        <v/>
      </c>
      <c r="L477" t="str">
        <f>IF([2]Entry!$C$480="","",[2]Entry!$C$480)</f>
        <v/>
      </c>
      <c r="M477" t="str">
        <f>IF([2]Entry!$J$480="","",[2]Entry!$J$480)</f>
        <v/>
      </c>
      <c r="N477" t="str">
        <f>IF([2]Entry!$M$480="","",[2]Entry!$M$480)</f>
        <v/>
      </c>
      <c r="O477" t="str">
        <f>IF([2]Entry!$N$480="","",[2]Entry!$N$480)</f>
        <v/>
      </c>
      <c r="P477" t="str">
        <f>IF([2]Entry!$S$480="","",[2]Entry!$S$480)</f>
        <v/>
      </c>
    </row>
    <row r="478" spans="1:16" x14ac:dyDescent="0.2">
      <c r="A478" t="str">
        <f>IF([1]Cheques!$A$479="","",[1]Cheques!$A$479)</f>
        <v/>
      </c>
      <c r="E478" t="str">
        <f>IF([1]Accounts!$D$479="","",[1]Accounts!$A$479)</f>
        <v/>
      </c>
      <c r="F478" t="str">
        <f>IF([1]Accounts!$D$479="","",[1]Accounts!$B$479)</f>
        <v/>
      </c>
      <c r="G478" t="str">
        <f>IF([1]Accounts!$D$479="","",[1]Accounts!$C$479)</f>
        <v/>
      </c>
      <c r="H478" t="str">
        <f>IF([1]Accounts!$D$479="","",[1]Accounts!$D$479)</f>
        <v/>
      </c>
      <c r="L478" t="str">
        <f>IF([2]Entry!$C$481="","",[2]Entry!$C$481)</f>
        <v/>
      </c>
      <c r="M478" t="str">
        <f>IF([2]Entry!$J$481="","",[2]Entry!$J$481)</f>
        <v/>
      </c>
      <c r="N478" t="str">
        <f>IF([2]Entry!$M$481="","",[2]Entry!$M$481)</f>
        <v/>
      </c>
      <c r="O478" t="str">
        <f>IF([2]Entry!$N$481="","",[2]Entry!$N$481)</f>
        <v/>
      </c>
      <c r="P478" t="str">
        <f>IF([2]Entry!$S$481="","",[2]Entry!$S$481)</f>
        <v/>
      </c>
    </row>
    <row r="479" spans="1:16" x14ac:dyDescent="0.2">
      <c r="A479" t="str">
        <f>IF([1]Cheques!$A$480="","",[1]Cheques!$A$480)</f>
        <v/>
      </c>
      <c r="E479" t="str">
        <f>IF([1]Accounts!$D$480="","",[1]Accounts!$A$480)</f>
        <v/>
      </c>
      <c r="F479" t="str">
        <f>IF([1]Accounts!$D$480="","",[1]Accounts!$B$480)</f>
        <v/>
      </c>
      <c r="G479" t="str">
        <f>IF([1]Accounts!$D$480="","",[1]Accounts!$C$480)</f>
        <v/>
      </c>
      <c r="H479" t="str">
        <f>IF([1]Accounts!$D$480="","",[1]Accounts!$D$480)</f>
        <v/>
      </c>
      <c r="L479" t="str">
        <f>IF([2]Entry!$C$482="","",[2]Entry!$C$482)</f>
        <v/>
      </c>
      <c r="M479" t="str">
        <f>IF([2]Entry!$J$482="","",[2]Entry!$J$482)</f>
        <v/>
      </c>
      <c r="N479" t="str">
        <f>IF([2]Entry!$M$482="","",[2]Entry!$M$482)</f>
        <v/>
      </c>
      <c r="O479" t="str">
        <f>IF([2]Entry!$N$482="","",[2]Entry!$N$482)</f>
        <v/>
      </c>
      <c r="P479" t="str">
        <f>IF([2]Entry!$S$482="","",[2]Entry!$S$482)</f>
        <v/>
      </c>
    </row>
    <row r="480" spans="1:16" x14ac:dyDescent="0.2">
      <c r="A480" t="str">
        <f>IF([1]Cheques!$A$481="","",[1]Cheques!$A$481)</f>
        <v/>
      </c>
      <c r="E480" t="str">
        <f>IF([1]Accounts!$D$481="","",[1]Accounts!$A$481)</f>
        <v/>
      </c>
      <c r="F480" t="str">
        <f>IF([1]Accounts!$D$481="","",[1]Accounts!$B$481)</f>
        <v/>
      </c>
      <c r="G480" t="str">
        <f>IF([1]Accounts!$D$481="","",[1]Accounts!$C$481)</f>
        <v/>
      </c>
      <c r="H480" t="str">
        <f>IF([1]Accounts!$D$481="","",[1]Accounts!$D$481)</f>
        <v/>
      </c>
      <c r="L480" t="str">
        <f>IF([2]Entry!$C$483="","",[2]Entry!$C$483)</f>
        <v/>
      </c>
      <c r="M480" t="str">
        <f>IF([2]Entry!$J$483="","",[2]Entry!$J$483)</f>
        <v/>
      </c>
      <c r="N480" t="str">
        <f>IF([2]Entry!$M$483="","",[2]Entry!$M$483)</f>
        <v/>
      </c>
      <c r="O480" t="str">
        <f>IF([2]Entry!$N$483="","",[2]Entry!$N$483)</f>
        <v/>
      </c>
      <c r="P480" t="str">
        <f>IF([2]Entry!$S$483="","",[2]Entry!$S$483)</f>
        <v/>
      </c>
    </row>
    <row r="481" spans="1:16" x14ac:dyDescent="0.2">
      <c r="A481" t="str">
        <f>IF([1]Cheques!$A$482="","",[1]Cheques!$A$482)</f>
        <v/>
      </c>
      <c r="E481" t="str">
        <f>IF([1]Accounts!$D$482="","",[1]Accounts!$A$482)</f>
        <v/>
      </c>
      <c r="F481" t="str">
        <f>IF([1]Accounts!$D$482="","",[1]Accounts!$B$482)</f>
        <v/>
      </c>
      <c r="G481" t="str">
        <f>IF([1]Accounts!$D$482="","",[1]Accounts!$C$482)</f>
        <v/>
      </c>
      <c r="H481" t="str">
        <f>IF([1]Accounts!$D$482="","",[1]Accounts!$D$482)</f>
        <v/>
      </c>
      <c r="L481" t="str">
        <f>IF([2]Entry!$C$484="","",[2]Entry!$C$484)</f>
        <v/>
      </c>
      <c r="M481" t="str">
        <f>IF([2]Entry!$J$484="","",[2]Entry!$J$484)</f>
        <v/>
      </c>
      <c r="N481" t="str">
        <f>IF([2]Entry!$M$484="","",[2]Entry!$M$484)</f>
        <v/>
      </c>
      <c r="O481" t="str">
        <f>IF([2]Entry!$N$484="","",[2]Entry!$N$484)</f>
        <v/>
      </c>
      <c r="P481" t="str">
        <f>IF([2]Entry!$S$484="","",[2]Entry!$S$484)</f>
        <v/>
      </c>
    </row>
    <row r="482" spans="1:16" x14ac:dyDescent="0.2">
      <c r="A482" t="str">
        <f>IF([1]Cheques!$A$483="","",[1]Cheques!$A$483)</f>
        <v/>
      </c>
      <c r="E482" t="str">
        <f>IF([1]Accounts!$D$483="","",[1]Accounts!$A$483)</f>
        <v/>
      </c>
      <c r="F482" t="str">
        <f>IF([1]Accounts!$D$483="","",[1]Accounts!$B$483)</f>
        <v/>
      </c>
      <c r="G482" t="str">
        <f>IF([1]Accounts!$D$483="","",[1]Accounts!$C$483)</f>
        <v/>
      </c>
      <c r="H482" t="str">
        <f>IF([1]Accounts!$D$483="","",[1]Accounts!$D$483)</f>
        <v/>
      </c>
      <c r="L482" t="str">
        <f>IF([2]Entry!$C$485="","",[2]Entry!$C$485)</f>
        <v/>
      </c>
      <c r="M482" t="str">
        <f>IF([2]Entry!$J$485="","",[2]Entry!$J$485)</f>
        <v/>
      </c>
      <c r="N482" t="str">
        <f>IF([2]Entry!$M$485="","",[2]Entry!$M$485)</f>
        <v/>
      </c>
      <c r="O482" t="str">
        <f>IF([2]Entry!$N$485="","",[2]Entry!$N$485)</f>
        <v/>
      </c>
      <c r="P482" t="str">
        <f>IF([2]Entry!$S$485="","",[2]Entry!$S$485)</f>
        <v/>
      </c>
    </row>
    <row r="483" spans="1:16" x14ac:dyDescent="0.2">
      <c r="A483" t="str">
        <f>IF([1]Cheques!$A$484="","",[1]Cheques!$A$484)</f>
        <v/>
      </c>
      <c r="E483" t="str">
        <f>IF([1]Accounts!$D$484="","",[1]Accounts!$A$484)</f>
        <v/>
      </c>
      <c r="F483" t="str">
        <f>IF([1]Accounts!$D$484="","",[1]Accounts!$B$484)</f>
        <v/>
      </c>
      <c r="G483" t="str">
        <f>IF([1]Accounts!$D$484="","",[1]Accounts!$C$484)</f>
        <v/>
      </c>
      <c r="H483" t="str">
        <f>IF([1]Accounts!$D$484="","",[1]Accounts!$D$484)</f>
        <v/>
      </c>
      <c r="L483" t="str">
        <f>IF([2]Entry!$C$486="","",[2]Entry!$C$486)</f>
        <v/>
      </c>
      <c r="M483" t="str">
        <f>IF([2]Entry!$J$486="","",[2]Entry!$J$486)</f>
        <v/>
      </c>
      <c r="N483" t="str">
        <f>IF([2]Entry!$M$486="","",[2]Entry!$M$486)</f>
        <v/>
      </c>
      <c r="O483" t="str">
        <f>IF([2]Entry!$N$486="","",[2]Entry!$N$486)</f>
        <v/>
      </c>
      <c r="P483" t="str">
        <f>IF([2]Entry!$S$486="","",[2]Entry!$S$486)</f>
        <v/>
      </c>
    </row>
    <row r="484" spans="1:16" x14ac:dyDescent="0.2">
      <c r="A484" t="str">
        <f>IF([1]Cheques!$A$485="","",[1]Cheques!$A$485)</f>
        <v/>
      </c>
      <c r="E484" t="str">
        <f>IF([1]Accounts!$D$485="","",[1]Accounts!$A$485)</f>
        <v/>
      </c>
      <c r="F484" t="str">
        <f>IF([1]Accounts!$D$485="","",[1]Accounts!$B$485)</f>
        <v/>
      </c>
      <c r="G484" t="str">
        <f>IF([1]Accounts!$D$485="","",[1]Accounts!$C$485)</f>
        <v/>
      </c>
      <c r="H484" t="str">
        <f>IF([1]Accounts!$D$485="","",[1]Accounts!$D$485)</f>
        <v/>
      </c>
      <c r="L484" t="str">
        <f>IF([2]Entry!$C$487="","",[2]Entry!$C$487)</f>
        <v/>
      </c>
      <c r="M484" t="str">
        <f>IF([2]Entry!$J$487="","",[2]Entry!$J$487)</f>
        <v/>
      </c>
      <c r="N484" t="str">
        <f>IF([2]Entry!$M$487="","",[2]Entry!$M$487)</f>
        <v/>
      </c>
      <c r="O484" t="str">
        <f>IF([2]Entry!$N$487="","",[2]Entry!$N$487)</f>
        <v/>
      </c>
      <c r="P484" t="str">
        <f>IF([2]Entry!$S$487="","",[2]Entry!$S$487)</f>
        <v/>
      </c>
    </row>
    <row r="485" spans="1:16" x14ac:dyDescent="0.2">
      <c r="A485" t="str">
        <f>IF([1]Cheques!$A$486="","",[1]Cheques!$A$486)</f>
        <v/>
      </c>
      <c r="E485" t="str">
        <f>IF([1]Accounts!$D$486="","",[1]Accounts!$A$486)</f>
        <v/>
      </c>
      <c r="F485" t="str">
        <f>IF([1]Accounts!$D$486="","",[1]Accounts!$B$486)</f>
        <v/>
      </c>
      <c r="G485" t="str">
        <f>IF([1]Accounts!$D$486="","",[1]Accounts!$C$486)</f>
        <v/>
      </c>
      <c r="H485" t="str">
        <f>IF([1]Accounts!$D$486="","",[1]Accounts!$D$486)</f>
        <v/>
      </c>
      <c r="L485" t="str">
        <f>IF([2]Entry!$C$488="","",[2]Entry!$C$488)</f>
        <v/>
      </c>
      <c r="M485" t="str">
        <f>IF([2]Entry!$J$488="","",[2]Entry!$J$488)</f>
        <v/>
      </c>
      <c r="N485" t="str">
        <f>IF([2]Entry!$M$488="","",[2]Entry!$M$488)</f>
        <v/>
      </c>
      <c r="O485" t="str">
        <f>IF([2]Entry!$N$488="","",[2]Entry!$N$488)</f>
        <v/>
      </c>
      <c r="P485" t="str">
        <f>IF([2]Entry!$S$488="","",[2]Entry!$S$488)</f>
        <v/>
      </c>
    </row>
    <row r="486" spans="1:16" x14ac:dyDescent="0.2">
      <c r="A486" t="str">
        <f>IF([1]Cheques!$A$487="","",[1]Cheques!$A$487)</f>
        <v/>
      </c>
      <c r="E486" t="str">
        <f>IF([1]Accounts!$D$487="","",[1]Accounts!$A$487)</f>
        <v/>
      </c>
      <c r="F486" t="str">
        <f>IF([1]Accounts!$D$487="","",[1]Accounts!$B$487)</f>
        <v/>
      </c>
      <c r="G486" t="str">
        <f>IF([1]Accounts!$D$487="","",[1]Accounts!$C$487)</f>
        <v/>
      </c>
      <c r="H486" t="str">
        <f>IF([1]Accounts!$D$487="","",[1]Accounts!$D$487)</f>
        <v/>
      </c>
      <c r="L486" t="str">
        <f>IF([2]Entry!$C$489="","",[2]Entry!$C$489)</f>
        <v/>
      </c>
      <c r="M486" t="str">
        <f>IF([2]Entry!$J$489="","",[2]Entry!$J$489)</f>
        <v/>
      </c>
      <c r="N486" t="str">
        <f>IF([2]Entry!$M$489="","",[2]Entry!$M$489)</f>
        <v/>
      </c>
      <c r="O486" t="str">
        <f>IF([2]Entry!$N$489="","",[2]Entry!$N$489)</f>
        <v/>
      </c>
      <c r="P486" t="str">
        <f>IF([2]Entry!$S$489="","",[2]Entry!$S$489)</f>
        <v/>
      </c>
    </row>
    <row r="487" spans="1:16" x14ac:dyDescent="0.2">
      <c r="A487" t="str">
        <f>IF([1]Cheques!$A$488="","",[1]Cheques!$A$488)</f>
        <v/>
      </c>
      <c r="E487" t="str">
        <f>IF([1]Accounts!$D$488="","",[1]Accounts!$A$488)</f>
        <v/>
      </c>
      <c r="F487" t="str">
        <f>IF([1]Accounts!$D$488="","",[1]Accounts!$B$488)</f>
        <v/>
      </c>
      <c r="G487" t="str">
        <f>IF([1]Accounts!$D$488="","",[1]Accounts!$C$488)</f>
        <v/>
      </c>
      <c r="H487" t="str">
        <f>IF([1]Accounts!$D$488="","",[1]Accounts!$D$488)</f>
        <v/>
      </c>
      <c r="L487" t="str">
        <f>IF([2]Entry!$C$490="","",[2]Entry!$C$490)</f>
        <v/>
      </c>
      <c r="M487" t="str">
        <f>IF([2]Entry!$J$490="","",[2]Entry!$J$490)</f>
        <v/>
      </c>
      <c r="N487" t="str">
        <f>IF([2]Entry!$M$490="","",[2]Entry!$M$490)</f>
        <v/>
      </c>
      <c r="O487" t="str">
        <f>IF([2]Entry!$N$490="","",[2]Entry!$N$490)</f>
        <v/>
      </c>
      <c r="P487" t="str">
        <f>IF([2]Entry!$S$490="","",[2]Entry!$S$490)</f>
        <v/>
      </c>
    </row>
    <row r="488" spans="1:16" x14ac:dyDescent="0.2">
      <c r="A488" t="str">
        <f>IF([1]Cheques!$A$489="","",[1]Cheques!$A$489)</f>
        <v/>
      </c>
      <c r="E488" t="str">
        <f>IF([1]Accounts!$D$489="","",[1]Accounts!$A$489)</f>
        <v/>
      </c>
      <c r="F488" t="str">
        <f>IF([1]Accounts!$D$489="","",[1]Accounts!$B$489)</f>
        <v/>
      </c>
      <c r="G488" t="str">
        <f>IF([1]Accounts!$D$489="","",[1]Accounts!$C$489)</f>
        <v/>
      </c>
      <c r="H488" t="str">
        <f>IF([1]Accounts!$D$489="","",[1]Accounts!$D$489)</f>
        <v/>
      </c>
      <c r="L488" t="str">
        <f>IF([2]Entry!$C$491="","",[2]Entry!$C$491)</f>
        <v/>
      </c>
      <c r="M488" t="str">
        <f>IF([2]Entry!$J$491="","",[2]Entry!$J$491)</f>
        <v/>
      </c>
      <c r="N488" t="str">
        <f>IF([2]Entry!$M$491="","",[2]Entry!$M$491)</f>
        <v/>
      </c>
      <c r="O488" t="str">
        <f>IF([2]Entry!$N$491="","",[2]Entry!$N$491)</f>
        <v/>
      </c>
      <c r="P488" t="str">
        <f>IF([2]Entry!$S$491="","",[2]Entry!$S$491)</f>
        <v/>
      </c>
    </row>
    <row r="489" spans="1:16" x14ac:dyDescent="0.2">
      <c r="A489" t="str">
        <f>IF([1]Cheques!$A$490="","",[1]Cheques!$A$490)</f>
        <v/>
      </c>
      <c r="E489" t="str">
        <f>IF([1]Accounts!$D$490="","",[1]Accounts!$A$490)</f>
        <v/>
      </c>
      <c r="F489" t="str">
        <f>IF([1]Accounts!$D$490="","",[1]Accounts!$B$490)</f>
        <v/>
      </c>
      <c r="G489" t="str">
        <f>IF([1]Accounts!$D$490="","",[1]Accounts!$C$490)</f>
        <v/>
      </c>
      <c r="H489" t="str">
        <f>IF([1]Accounts!$D$490="","",[1]Accounts!$D$490)</f>
        <v/>
      </c>
      <c r="L489" t="str">
        <f>IF([2]Entry!$C$492="","",[2]Entry!$C$492)</f>
        <v/>
      </c>
      <c r="M489" t="str">
        <f>IF([2]Entry!$J$492="","",[2]Entry!$J$492)</f>
        <v/>
      </c>
      <c r="N489" t="str">
        <f>IF([2]Entry!$M$492="","",[2]Entry!$M$492)</f>
        <v/>
      </c>
      <c r="O489" t="str">
        <f>IF([2]Entry!$N$492="","",[2]Entry!$N$492)</f>
        <v/>
      </c>
      <c r="P489" t="str">
        <f>IF([2]Entry!$S$492="","",[2]Entry!$S$492)</f>
        <v/>
      </c>
    </row>
    <row r="490" spans="1:16" x14ac:dyDescent="0.2">
      <c r="A490" t="str">
        <f>IF([1]Cheques!$A$491="","",[1]Cheques!$A$491)</f>
        <v/>
      </c>
      <c r="E490" t="str">
        <f>IF([1]Accounts!$D$491="","",[1]Accounts!$A$491)</f>
        <v/>
      </c>
      <c r="F490" t="str">
        <f>IF([1]Accounts!$D$491="","",[1]Accounts!$B$491)</f>
        <v/>
      </c>
      <c r="G490" t="str">
        <f>IF([1]Accounts!$D$491="","",[1]Accounts!$C$491)</f>
        <v/>
      </c>
      <c r="H490" t="str">
        <f>IF([1]Accounts!$D$491="","",[1]Accounts!$D$491)</f>
        <v/>
      </c>
      <c r="L490" t="str">
        <f>IF([2]Entry!$C$493="","",[2]Entry!$C$493)</f>
        <v/>
      </c>
      <c r="M490" t="str">
        <f>IF([2]Entry!$J$493="","",[2]Entry!$J$493)</f>
        <v/>
      </c>
      <c r="N490" t="str">
        <f>IF([2]Entry!$M$493="","",[2]Entry!$M$493)</f>
        <v/>
      </c>
      <c r="O490" t="str">
        <f>IF([2]Entry!$N$493="","",[2]Entry!$N$493)</f>
        <v/>
      </c>
      <c r="P490" t="str">
        <f>IF([2]Entry!$S$493="","",[2]Entry!$S$493)</f>
        <v/>
      </c>
    </row>
    <row r="491" spans="1:16" x14ac:dyDescent="0.2">
      <c r="A491" t="str">
        <f>IF([1]Cheques!$A$492="","",[1]Cheques!$A$492)</f>
        <v/>
      </c>
      <c r="E491" t="str">
        <f>IF([1]Accounts!$D$492="","",[1]Accounts!$A$492)</f>
        <v/>
      </c>
      <c r="F491" t="str">
        <f>IF([1]Accounts!$D$492="","",[1]Accounts!$B$492)</f>
        <v/>
      </c>
      <c r="G491" t="str">
        <f>IF([1]Accounts!$D$492="","",[1]Accounts!$C$492)</f>
        <v/>
      </c>
      <c r="H491" t="str">
        <f>IF([1]Accounts!$D$492="","",[1]Accounts!$D$492)</f>
        <v/>
      </c>
      <c r="L491" t="str">
        <f>IF([2]Entry!$C$494="","",[2]Entry!$C$494)</f>
        <v/>
      </c>
      <c r="M491" t="str">
        <f>IF([2]Entry!$J$494="","",[2]Entry!$J$494)</f>
        <v/>
      </c>
      <c r="N491" t="str">
        <f>IF([2]Entry!$M$494="","",[2]Entry!$M$494)</f>
        <v/>
      </c>
      <c r="O491" t="str">
        <f>IF([2]Entry!$N$494="","",[2]Entry!$N$494)</f>
        <v/>
      </c>
      <c r="P491" t="str">
        <f>IF([2]Entry!$S$494="","",[2]Entry!$S$494)</f>
        <v/>
      </c>
    </row>
    <row r="492" spans="1:16" x14ac:dyDescent="0.2">
      <c r="A492" t="str">
        <f>IF([1]Cheques!$A$493="","",[1]Cheques!$A$493)</f>
        <v/>
      </c>
      <c r="E492" t="str">
        <f>IF([1]Accounts!$D$493="","",[1]Accounts!$A$493)</f>
        <v/>
      </c>
      <c r="F492" t="str">
        <f>IF([1]Accounts!$D$493="","",[1]Accounts!$B$493)</f>
        <v/>
      </c>
      <c r="G492" t="str">
        <f>IF([1]Accounts!$D$493="","",[1]Accounts!$C$493)</f>
        <v/>
      </c>
      <c r="H492" t="str">
        <f>IF([1]Accounts!$D$493="","",[1]Accounts!$D$493)</f>
        <v/>
      </c>
      <c r="L492" t="str">
        <f>IF([2]Entry!$C$495="","",[2]Entry!$C$495)</f>
        <v/>
      </c>
      <c r="M492" t="str">
        <f>IF([2]Entry!$J$495="","",[2]Entry!$J$495)</f>
        <v/>
      </c>
      <c r="N492" t="str">
        <f>IF([2]Entry!$M$495="","",[2]Entry!$M$495)</f>
        <v/>
      </c>
      <c r="O492" t="str">
        <f>IF([2]Entry!$N$495="","",[2]Entry!$N$495)</f>
        <v/>
      </c>
      <c r="P492" t="str">
        <f>IF([2]Entry!$S$495="","",[2]Entry!$S$495)</f>
        <v/>
      </c>
    </row>
    <row r="493" spans="1:16" x14ac:dyDescent="0.2">
      <c r="A493" t="str">
        <f>IF([1]Cheques!$A$494="","",[1]Cheques!$A$494)</f>
        <v/>
      </c>
      <c r="E493" t="str">
        <f>IF([1]Accounts!$D$494="","",[1]Accounts!$A$494)</f>
        <v/>
      </c>
      <c r="F493" t="str">
        <f>IF([1]Accounts!$D$494="","",[1]Accounts!$B$494)</f>
        <v/>
      </c>
      <c r="G493" t="str">
        <f>IF([1]Accounts!$D$494="","",[1]Accounts!$C$494)</f>
        <v/>
      </c>
      <c r="H493" t="str">
        <f>IF([1]Accounts!$D$494="","",[1]Accounts!$D$494)</f>
        <v/>
      </c>
      <c r="L493" t="str">
        <f>IF([2]Entry!$C$496="","",[2]Entry!$C$496)</f>
        <v/>
      </c>
      <c r="M493" t="str">
        <f>IF([2]Entry!$J$496="","",[2]Entry!$J$496)</f>
        <v/>
      </c>
      <c r="N493" t="str">
        <f>IF([2]Entry!$M$496="","",[2]Entry!$M$496)</f>
        <v/>
      </c>
      <c r="O493" t="str">
        <f>IF([2]Entry!$N$496="","",[2]Entry!$N$496)</f>
        <v/>
      </c>
      <c r="P493" t="str">
        <f>IF([2]Entry!$S$496="","",[2]Entry!$S$496)</f>
        <v/>
      </c>
    </row>
    <row r="494" spans="1:16" x14ac:dyDescent="0.2">
      <c r="A494" t="str">
        <f>IF([1]Cheques!$A$495="","",[1]Cheques!$A$495)</f>
        <v/>
      </c>
      <c r="E494" t="str">
        <f>IF([1]Accounts!$D$495="","",[1]Accounts!$A$495)</f>
        <v/>
      </c>
      <c r="F494" t="str">
        <f>IF([1]Accounts!$D$495="","",[1]Accounts!$B$495)</f>
        <v/>
      </c>
      <c r="G494" t="str">
        <f>IF([1]Accounts!$D$495="","",[1]Accounts!$C$495)</f>
        <v/>
      </c>
      <c r="H494" t="str">
        <f>IF([1]Accounts!$D$495="","",[1]Accounts!$D$495)</f>
        <v/>
      </c>
      <c r="L494" t="str">
        <f>IF([2]Entry!$C$497="","",[2]Entry!$C$497)</f>
        <v/>
      </c>
      <c r="M494" t="str">
        <f>IF([2]Entry!$J$497="","",[2]Entry!$J$497)</f>
        <v/>
      </c>
      <c r="N494" t="str">
        <f>IF([2]Entry!$M$497="","",[2]Entry!$M$497)</f>
        <v/>
      </c>
      <c r="O494" t="str">
        <f>IF([2]Entry!$N$497="","",[2]Entry!$N$497)</f>
        <v/>
      </c>
      <c r="P494" t="str">
        <f>IF([2]Entry!$S$497="","",[2]Entry!$S$497)</f>
        <v/>
      </c>
    </row>
    <row r="495" spans="1:16" x14ac:dyDescent="0.2">
      <c r="A495" t="str">
        <f>IF([1]Cheques!$A$496="","",[1]Cheques!$A$496)</f>
        <v/>
      </c>
      <c r="E495" t="str">
        <f>IF([1]Accounts!$D$496="","",[1]Accounts!$A$496)</f>
        <v/>
      </c>
      <c r="F495" t="str">
        <f>IF([1]Accounts!$D$496="","",[1]Accounts!$B$496)</f>
        <v/>
      </c>
      <c r="G495" t="str">
        <f>IF([1]Accounts!$D$496="","",[1]Accounts!$C$496)</f>
        <v/>
      </c>
      <c r="H495" t="str">
        <f>IF([1]Accounts!$D$496="","",[1]Accounts!$D$496)</f>
        <v/>
      </c>
      <c r="L495" t="str">
        <f>IF([2]Entry!$C$498="","",[2]Entry!$C$498)</f>
        <v/>
      </c>
      <c r="M495" t="str">
        <f>IF([2]Entry!$J$498="","",[2]Entry!$J$498)</f>
        <v/>
      </c>
      <c r="N495" t="str">
        <f>IF([2]Entry!$M$498="","",[2]Entry!$M$498)</f>
        <v/>
      </c>
      <c r="O495" t="str">
        <f>IF([2]Entry!$N$498="","",[2]Entry!$N$498)</f>
        <v/>
      </c>
      <c r="P495" t="str">
        <f>IF([2]Entry!$S$498="","",[2]Entry!$S$498)</f>
        <v/>
      </c>
    </row>
    <row r="496" spans="1:16" x14ac:dyDescent="0.2">
      <c r="A496" t="str">
        <f>IF([1]Cheques!$A$497="","",[1]Cheques!$A$497)</f>
        <v/>
      </c>
      <c r="E496" t="str">
        <f>IF([1]Accounts!$D$497="","",[1]Accounts!$A$497)</f>
        <v/>
      </c>
      <c r="F496" t="str">
        <f>IF([1]Accounts!$D$497="","",[1]Accounts!$B$497)</f>
        <v/>
      </c>
      <c r="G496" t="str">
        <f>IF([1]Accounts!$D$497="","",[1]Accounts!$C$497)</f>
        <v/>
      </c>
      <c r="H496" t="str">
        <f>IF([1]Accounts!$D$497="","",[1]Accounts!$D$497)</f>
        <v/>
      </c>
      <c r="L496" t="str">
        <f>IF([2]Entry!$C$499="","",[2]Entry!$C$499)</f>
        <v/>
      </c>
      <c r="M496" t="str">
        <f>IF([2]Entry!$J$499="","",[2]Entry!$J$499)</f>
        <v/>
      </c>
      <c r="N496" t="str">
        <f>IF([2]Entry!$M$499="","",[2]Entry!$M$499)</f>
        <v/>
      </c>
      <c r="O496" t="str">
        <f>IF([2]Entry!$N$499="","",[2]Entry!$N$499)</f>
        <v/>
      </c>
      <c r="P496" t="str">
        <f>IF([2]Entry!$S$499="","",[2]Entry!$S$499)</f>
        <v/>
      </c>
    </row>
    <row r="497" spans="1:16" x14ac:dyDescent="0.2">
      <c r="A497" t="str">
        <f>IF([1]Cheques!$A$498="","",[1]Cheques!$A$498)</f>
        <v/>
      </c>
      <c r="E497" t="str">
        <f>IF([1]Accounts!$D$498="","",[1]Accounts!$A$498)</f>
        <v/>
      </c>
      <c r="F497" t="str">
        <f>IF([1]Accounts!$D$498="","",[1]Accounts!$B$498)</f>
        <v/>
      </c>
      <c r="G497" t="str">
        <f>IF([1]Accounts!$D$498="","",[1]Accounts!$C$498)</f>
        <v/>
      </c>
      <c r="H497" t="str">
        <f>IF([1]Accounts!$D$498="","",[1]Accounts!$D$498)</f>
        <v/>
      </c>
      <c r="L497" t="str">
        <f>IF([2]Entry!$C$500="","",[2]Entry!$C$500)</f>
        <v/>
      </c>
      <c r="M497" t="str">
        <f>IF([2]Entry!$J$500="","",[2]Entry!$J$500)</f>
        <v/>
      </c>
      <c r="N497" t="str">
        <f>IF([2]Entry!$M$500="","",[2]Entry!$M$500)</f>
        <v/>
      </c>
      <c r="O497" t="str">
        <f>IF([2]Entry!$N$500="","",[2]Entry!$N$500)</f>
        <v/>
      </c>
      <c r="P497" t="str">
        <f>IF([2]Entry!$S$500="","",[2]Entry!$S$500)</f>
        <v/>
      </c>
    </row>
    <row r="498" spans="1:16" x14ac:dyDescent="0.2">
      <c r="A498" t="str">
        <f>IF([1]Cheques!$A$499="","",[1]Cheques!$A$499)</f>
        <v/>
      </c>
      <c r="E498" t="str">
        <f>IF([1]Accounts!$D$499="","",[1]Accounts!$A$499)</f>
        <v/>
      </c>
      <c r="F498" t="str">
        <f>IF([1]Accounts!$D$499="","",[1]Accounts!$B$499)</f>
        <v/>
      </c>
      <c r="G498" t="str">
        <f>IF([1]Accounts!$D$499="","",[1]Accounts!$C$499)</f>
        <v/>
      </c>
      <c r="H498" t="str">
        <f>IF([1]Accounts!$D$499="","",[1]Accounts!$D$499)</f>
        <v/>
      </c>
      <c r="L498" t="str">
        <f>IF([2]Entry!$C$501="","",[2]Entry!$C$501)</f>
        <v/>
      </c>
      <c r="M498" t="str">
        <f>IF([2]Entry!$J$501="","",[2]Entry!$J$501)</f>
        <v/>
      </c>
      <c r="N498" t="str">
        <f>IF([2]Entry!$M$501="","",[2]Entry!$M$501)</f>
        <v/>
      </c>
      <c r="O498" t="str">
        <f>IF([2]Entry!$N$501="","",[2]Entry!$N$501)</f>
        <v/>
      </c>
      <c r="P498" t="str">
        <f>IF([2]Entry!$S$501="","",[2]Entry!$S$501)</f>
        <v/>
      </c>
    </row>
    <row r="499" spans="1:16" x14ac:dyDescent="0.2">
      <c r="A499" t="str">
        <f>IF([1]Cheques!$A$500="","",[1]Cheques!$A$500)</f>
        <v/>
      </c>
      <c r="E499" t="str">
        <f>IF([1]Accounts!$D$500="","",[1]Accounts!$A$500)</f>
        <v/>
      </c>
      <c r="F499" t="str">
        <f>IF([1]Accounts!$D$500="","",[1]Accounts!$B$500)</f>
        <v/>
      </c>
      <c r="G499" t="str">
        <f>IF([1]Accounts!$D$500="","",[1]Accounts!$C$500)</f>
        <v/>
      </c>
      <c r="H499" t="str">
        <f>IF([1]Accounts!$D$500="","",[1]Accounts!$D$500)</f>
        <v/>
      </c>
      <c r="L499" t="str">
        <f>IF([2]Entry!$C$502="","",[2]Entry!$C$502)</f>
        <v/>
      </c>
      <c r="M499" t="str">
        <f>IF([2]Entry!$J$502="","",[2]Entry!$J$502)</f>
        <v/>
      </c>
      <c r="N499" t="str">
        <f>IF([2]Entry!$M$502="","",[2]Entry!$M$502)</f>
        <v/>
      </c>
      <c r="O499" t="str">
        <f>IF([2]Entry!$N$502="","",[2]Entry!$N$502)</f>
        <v/>
      </c>
      <c r="P499" t="str">
        <f>IF([2]Entry!$S$502="","",[2]Entry!$S$502)</f>
        <v/>
      </c>
    </row>
    <row r="500" spans="1:16" x14ac:dyDescent="0.2">
      <c r="A500" t="str">
        <f>IF([1]Cheques!$A$501="","",[1]Cheques!$A$501)</f>
        <v/>
      </c>
      <c r="E500" t="str">
        <f>IF([1]Accounts!$D$501="","",[1]Accounts!$A$501)</f>
        <v/>
      </c>
      <c r="F500" t="str">
        <f>IF([1]Accounts!$D$501="","",[1]Accounts!$B$501)</f>
        <v/>
      </c>
      <c r="G500" t="str">
        <f>IF([1]Accounts!$D$501="","",[1]Accounts!$C$501)</f>
        <v/>
      </c>
      <c r="H500" t="str">
        <f>IF([1]Accounts!$D$501="","",[1]Accounts!$D$501)</f>
        <v/>
      </c>
      <c r="L500" t="str">
        <f>IF([2]Entry!$C$503="","",[2]Entry!$C$503)</f>
        <v/>
      </c>
      <c r="M500" t="str">
        <f>IF([2]Entry!$J$503="","",[2]Entry!$J$503)</f>
        <v/>
      </c>
      <c r="N500" t="str">
        <f>IF([2]Entry!$M$503="","",[2]Entry!$M$503)</f>
        <v/>
      </c>
      <c r="O500" t="str">
        <f>IF([2]Entry!$N$503="","",[2]Entry!$N$503)</f>
        <v/>
      </c>
      <c r="P500" t="str">
        <f>IF([2]Entry!$S$503="","",[2]Entry!$S$503)</f>
        <v/>
      </c>
    </row>
    <row r="501" spans="1:16" x14ac:dyDescent="0.2">
      <c r="A501" t="str">
        <f>IF([1]Cheques!$A$502="","",[1]Cheques!$A$502)</f>
        <v/>
      </c>
      <c r="E501" t="str">
        <f>IF([1]Accounts!$D$502="","",[1]Accounts!$A$502)</f>
        <v/>
      </c>
      <c r="F501" t="str">
        <f>IF([1]Accounts!$D$502="","",[1]Accounts!$B$502)</f>
        <v/>
      </c>
      <c r="G501" t="str">
        <f>IF([1]Accounts!$D$502="","",[1]Accounts!$C$502)</f>
        <v/>
      </c>
      <c r="H501" t="str">
        <f>IF([1]Accounts!$D$502="","",[1]Accounts!$D$502)</f>
        <v/>
      </c>
      <c r="L501" t="str">
        <f>IF([2]Entry!$C$504="","",[2]Entry!$C$504)</f>
        <v/>
      </c>
      <c r="M501" t="str">
        <f>IF([2]Entry!$J$504="","",[2]Entry!$J$504)</f>
        <v/>
      </c>
      <c r="N501" t="str">
        <f>IF([2]Entry!$M$504="","",[2]Entry!$M$504)</f>
        <v/>
      </c>
      <c r="O501" t="str">
        <f>IF([2]Entry!$N$504="","",[2]Entry!$N$504)</f>
        <v/>
      </c>
      <c r="P501" t="str">
        <f>IF([2]Entry!$S$504="","",[2]Entry!$S$504)</f>
        <v/>
      </c>
    </row>
    <row r="502" spans="1:16" x14ac:dyDescent="0.2">
      <c r="A502" t="str">
        <f>IF([1]Cheques!$A$503="","",[1]Cheques!$A$503)</f>
        <v/>
      </c>
      <c r="E502" t="str">
        <f>IF([1]Accounts!$D$503="","",[1]Accounts!$A$503)</f>
        <v/>
      </c>
      <c r="F502" t="str">
        <f>IF([1]Accounts!$D$503="","",[1]Accounts!$B$503)</f>
        <v/>
      </c>
      <c r="G502" t="str">
        <f>IF([1]Accounts!$D$503="","",[1]Accounts!$C$503)</f>
        <v/>
      </c>
      <c r="H502" t="str">
        <f>IF([1]Accounts!$D$503="","",[1]Accounts!$D$503)</f>
        <v/>
      </c>
      <c r="L502" t="str">
        <f>IF([2]Entry!$C$505="","",[2]Entry!$C$505)</f>
        <v/>
      </c>
      <c r="M502" t="str">
        <f>IF([2]Entry!$J$505="","",[2]Entry!$J$505)</f>
        <v/>
      </c>
      <c r="N502" t="str">
        <f>IF([2]Entry!$M$505="","",[2]Entry!$M$505)</f>
        <v/>
      </c>
      <c r="O502" t="str">
        <f>IF([2]Entry!$N$505="","",[2]Entry!$N$505)</f>
        <v/>
      </c>
      <c r="P502" t="str">
        <f>IF([2]Entry!$S$505="","",[2]Entry!$S$505)</f>
        <v/>
      </c>
    </row>
    <row r="503" spans="1:16" x14ac:dyDescent="0.2">
      <c r="A503" t="str">
        <f>IF([1]Cheques!$A$504="","",[1]Cheques!$A$504)</f>
        <v/>
      </c>
      <c r="E503" t="str">
        <f>IF([1]Accounts!$D$504="","",[1]Accounts!$A$504)</f>
        <v/>
      </c>
      <c r="F503" t="str">
        <f>IF([1]Accounts!$D$504="","",[1]Accounts!$B$504)</f>
        <v/>
      </c>
      <c r="G503" t="str">
        <f>IF([1]Accounts!$D$504="","",[1]Accounts!$C$504)</f>
        <v/>
      </c>
      <c r="H503" t="str">
        <f>IF([1]Accounts!$D$504="","",[1]Accounts!$D$504)</f>
        <v/>
      </c>
      <c r="L503" t="str">
        <f>IF([2]Entry!$C$506="","",[2]Entry!$C$506)</f>
        <v/>
      </c>
      <c r="M503" t="str">
        <f>IF([2]Entry!$J$506="","",[2]Entry!$J$506)</f>
        <v/>
      </c>
      <c r="N503" t="str">
        <f>IF([2]Entry!$M$506="","",[2]Entry!$M$506)</f>
        <v/>
      </c>
      <c r="O503" t="str">
        <f>IF([2]Entry!$N$506="","",[2]Entry!$N$506)</f>
        <v/>
      </c>
      <c r="P503" t="str">
        <f>IF([2]Entry!$S$506="","",[2]Entry!$S$506)</f>
        <v/>
      </c>
    </row>
    <row r="504" spans="1:16" x14ac:dyDescent="0.2">
      <c r="A504" t="str">
        <f>IF([1]Cheques!$A$505="","",[1]Cheques!$A$505)</f>
        <v/>
      </c>
      <c r="E504" t="str">
        <f>IF([1]Accounts!$D$505="","",[1]Accounts!$A$505)</f>
        <v/>
      </c>
      <c r="F504" t="str">
        <f>IF([1]Accounts!$D$505="","",[1]Accounts!$B$505)</f>
        <v/>
      </c>
      <c r="G504" t="str">
        <f>IF([1]Accounts!$D$505="","",[1]Accounts!$C$505)</f>
        <v/>
      </c>
      <c r="H504" t="str">
        <f>IF([1]Accounts!$D$505="","",[1]Accounts!$D$505)</f>
        <v/>
      </c>
      <c r="L504" t="str">
        <f>IF([2]Entry!$C$507="","",[2]Entry!$C$507)</f>
        <v/>
      </c>
      <c r="M504" t="str">
        <f>IF([2]Entry!$J$507="","",[2]Entry!$J$507)</f>
        <v/>
      </c>
      <c r="N504" t="str">
        <f>IF([2]Entry!$M$507="","",[2]Entry!$M$507)</f>
        <v/>
      </c>
      <c r="O504" t="str">
        <f>IF([2]Entry!$N$507="","",[2]Entry!$N$507)</f>
        <v/>
      </c>
      <c r="P504" t="str">
        <f>IF([2]Entry!$S$507="","",[2]Entry!$S$507)</f>
        <v/>
      </c>
    </row>
    <row r="505" spans="1:16" x14ac:dyDescent="0.2">
      <c r="A505" t="str">
        <f>IF([1]Cheques!$A$506="","",[1]Cheques!$A$506)</f>
        <v/>
      </c>
      <c r="E505" t="str">
        <f>IF([1]Accounts!$D$506="","",[1]Accounts!$A$506)</f>
        <v/>
      </c>
      <c r="F505" t="str">
        <f>IF([1]Accounts!$D$506="","",[1]Accounts!$B$506)</f>
        <v/>
      </c>
      <c r="G505" t="str">
        <f>IF([1]Accounts!$D$506="","",[1]Accounts!$C$506)</f>
        <v/>
      </c>
      <c r="H505" t="str">
        <f>IF([1]Accounts!$D$506="","",[1]Accounts!$D$506)</f>
        <v/>
      </c>
      <c r="L505" t="str">
        <f>IF([2]Entry!$C$508="","",[2]Entry!$C$508)</f>
        <v/>
      </c>
      <c r="M505" t="str">
        <f>IF([2]Entry!$J$508="","",[2]Entry!$J$508)</f>
        <v/>
      </c>
      <c r="N505" t="str">
        <f>IF([2]Entry!$M$508="","",[2]Entry!$M$508)</f>
        <v/>
      </c>
      <c r="O505" t="str">
        <f>IF([2]Entry!$N$508="","",[2]Entry!$N$508)</f>
        <v/>
      </c>
      <c r="P505" t="str">
        <f>IF([2]Entry!$S$508="","",[2]Entry!$S$508)</f>
        <v/>
      </c>
    </row>
    <row r="506" spans="1:16" x14ac:dyDescent="0.2">
      <c r="E506" t="str">
        <f>IF([1]Accounts!$D$507="","",[1]Accounts!$A$507)</f>
        <v>F001</v>
      </c>
      <c r="F506" t="str">
        <f>IF([1]Accounts!$D$507="","",[1]Accounts!$B$507)</f>
        <v>دارایی ثابت</v>
      </c>
      <c r="G506" t="str">
        <f>IF([1]Accounts!$D$507="","",[1]Accounts!$C$507)</f>
        <v>زمین و ساختمان</v>
      </c>
      <c r="H506" t="str">
        <f>IF([1]Accounts!$D$507="","",[1]Accounts!$D$507)</f>
        <v>زمین باغدشت (نمونه)</v>
      </c>
      <c r="L506" t="str">
        <f>IF([2]Entry!$C$509="","",[2]Entry!$C$509)</f>
        <v/>
      </c>
      <c r="M506" t="str">
        <f>IF([2]Entry!$J$509="","",[2]Entry!$J$509)</f>
        <v/>
      </c>
      <c r="N506" t="str">
        <f>IF([2]Entry!$M$509="","",[2]Entry!$M$509)</f>
        <v/>
      </c>
      <c r="O506" t="str">
        <f>IF([2]Entry!$N$509="","",[2]Entry!$N$509)</f>
        <v/>
      </c>
      <c r="P506" t="str">
        <f>IF([2]Entry!$S$509="","",[2]Entry!$S$509)</f>
        <v/>
      </c>
    </row>
    <row r="507" spans="1:16" x14ac:dyDescent="0.2">
      <c r="E507" t="str">
        <f>IF([1]Accounts!$D$508="","",[1]Accounts!$A$508)</f>
        <v>F002</v>
      </c>
      <c r="F507" t="str">
        <f>IF([1]Accounts!$D$508="","",[1]Accounts!$B$508)</f>
        <v>دارایی ثابت</v>
      </c>
      <c r="G507" t="str">
        <f>IF([1]Accounts!$D$508="","",[1]Accounts!$C$508)</f>
        <v>خودرو و حمل‌ونقل</v>
      </c>
      <c r="H507" t="str">
        <f>IF([1]Accounts!$D$508="","",[1]Accounts!$D$508)</f>
        <v>خودرو وانت حمل بار (نمونه)</v>
      </c>
      <c r="L507" t="str">
        <f>IF([2]Entry!$C$510="","",[2]Entry!$C$510)</f>
        <v/>
      </c>
      <c r="M507" t="str">
        <f>IF([2]Entry!$J$510="","",[2]Entry!$J$510)</f>
        <v/>
      </c>
      <c r="N507" t="str">
        <f>IF([2]Entry!$M$510="","",[2]Entry!$M$510)</f>
        <v/>
      </c>
      <c r="O507" t="str">
        <f>IF([2]Entry!$N$510="","",[2]Entry!$N$510)</f>
        <v/>
      </c>
      <c r="P507" t="str">
        <f>IF([2]Entry!$S$510="","",[2]Entry!$S$510)</f>
        <v/>
      </c>
    </row>
    <row r="508" spans="1:16" x14ac:dyDescent="0.2">
      <c r="E508" t="str">
        <f>IF([1]Accounts!$D$509="","",[1]Accounts!$A$509)</f>
        <v>F003</v>
      </c>
      <c r="F508" t="str">
        <f>IF([1]Accounts!$D$509="","",[1]Accounts!$B$509)</f>
        <v>دارایی ثابت</v>
      </c>
      <c r="G508" t="str">
        <f>IF([1]Accounts!$D$509="","",[1]Accounts!$C$509)</f>
        <v>ماشین‌آلات و تجهیزات</v>
      </c>
      <c r="H508" t="str">
        <f>IF([1]Accounts!$D$509="","",[1]Accounts!$D$509)</f>
        <v>ماشین‌آلات خط سورتینگ (نمونه)</v>
      </c>
      <c r="L508" t="str">
        <f>IF([2]Entry!$C$511="","",[2]Entry!$C$511)</f>
        <v/>
      </c>
      <c r="M508" t="str">
        <f>IF([2]Entry!$J$511="","",[2]Entry!$J$511)</f>
        <v/>
      </c>
      <c r="N508" t="str">
        <f>IF([2]Entry!$M$511="","",[2]Entry!$M$511)</f>
        <v/>
      </c>
      <c r="O508" t="str">
        <f>IF([2]Entry!$N$511="","",[2]Entry!$N$511)</f>
        <v/>
      </c>
      <c r="P508" t="str">
        <f>IF([2]Entry!$S$511="","",[2]Entry!$S$511)</f>
        <v/>
      </c>
    </row>
    <row r="509" spans="1:16" x14ac:dyDescent="0.2">
      <c r="E509" t="str">
        <f>IF([1]Accounts!$D$510="","",[1]Accounts!$A$510)</f>
        <v/>
      </c>
      <c r="F509" t="str">
        <f>IF([1]Accounts!$D$510="","",[1]Accounts!$B$510)</f>
        <v/>
      </c>
      <c r="G509" t="str">
        <f>IF([1]Accounts!$D$510="","",[1]Accounts!$C$510)</f>
        <v/>
      </c>
      <c r="H509" t="str">
        <f>IF([1]Accounts!$D$510="","",[1]Accounts!$D$510)</f>
        <v/>
      </c>
      <c r="L509" t="str">
        <f>IF([2]Entry!$C$512="","",[2]Entry!$C$512)</f>
        <v/>
      </c>
      <c r="M509" t="str">
        <f>IF([2]Entry!$J$512="","",[2]Entry!$J$512)</f>
        <v/>
      </c>
      <c r="N509" t="str">
        <f>IF([2]Entry!$M$512="","",[2]Entry!$M$512)</f>
        <v/>
      </c>
      <c r="O509" t="str">
        <f>IF([2]Entry!$N$512="","",[2]Entry!$N$512)</f>
        <v/>
      </c>
      <c r="P509" t="str">
        <f>IF([2]Entry!$S$512="","",[2]Entry!$S$512)</f>
        <v/>
      </c>
    </row>
    <row r="510" spans="1:16" x14ac:dyDescent="0.2">
      <c r="E510" t="str">
        <f>IF([1]Accounts!$D$511="","",[1]Accounts!$A$511)</f>
        <v/>
      </c>
      <c r="F510" t="str">
        <f>IF([1]Accounts!$D$511="","",[1]Accounts!$B$511)</f>
        <v/>
      </c>
      <c r="G510" t="str">
        <f>IF([1]Accounts!$D$511="","",[1]Accounts!$C$511)</f>
        <v/>
      </c>
      <c r="H510" t="str">
        <f>IF([1]Accounts!$D$511="","",[1]Accounts!$D$511)</f>
        <v/>
      </c>
      <c r="L510" t="str">
        <f>IF([2]Entry!$C$513="","",[2]Entry!$C$513)</f>
        <v/>
      </c>
      <c r="M510" t="str">
        <f>IF([2]Entry!$J$513="","",[2]Entry!$J$513)</f>
        <v/>
      </c>
      <c r="N510" t="str">
        <f>IF([2]Entry!$M$513="","",[2]Entry!$M$513)</f>
        <v/>
      </c>
      <c r="O510" t="str">
        <f>IF([2]Entry!$N$513="","",[2]Entry!$N$513)</f>
        <v/>
      </c>
      <c r="P510" t="str">
        <f>IF([2]Entry!$S$513="","",[2]Entry!$S$513)</f>
        <v/>
      </c>
    </row>
    <row r="511" spans="1:16" x14ac:dyDescent="0.2">
      <c r="E511" t="str">
        <f>IF([1]Accounts!$D$512="","",[1]Accounts!$A$512)</f>
        <v/>
      </c>
      <c r="F511" t="str">
        <f>IF([1]Accounts!$D$512="","",[1]Accounts!$B$512)</f>
        <v/>
      </c>
      <c r="G511" t="str">
        <f>IF([1]Accounts!$D$512="","",[1]Accounts!$C$512)</f>
        <v/>
      </c>
      <c r="H511" t="str">
        <f>IF([1]Accounts!$D$512="","",[1]Accounts!$D$512)</f>
        <v/>
      </c>
      <c r="L511" t="str">
        <f>IF([2]Entry!$C$514="","",[2]Entry!$C$514)</f>
        <v/>
      </c>
      <c r="M511" t="str">
        <f>IF([2]Entry!$J$514="","",[2]Entry!$J$514)</f>
        <v/>
      </c>
      <c r="N511" t="str">
        <f>IF([2]Entry!$M$514="","",[2]Entry!$M$514)</f>
        <v/>
      </c>
      <c r="O511" t="str">
        <f>IF([2]Entry!$N$514="","",[2]Entry!$N$514)</f>
        <v/>
      </c>
      <c r="P511" t="str">
        <f>IF([2]Entry!$S$514="","",[2]Entry!$S$514)</f>
        <v/>
      </c>
    </row>
    <row r="512" spans="1:16" x14ac:dyDescent="0.2">
      <c r="E512" t="str">
        <f>IF([1]Accounts!$D$513="","",[1]Accounts!$A$513)</f>
        <v/>
      </c>
      <c r="F512" t="str">
        <f>IF([1]Accounts!$D$513="","",[1]Accounts!$B$513)</f>
        <v/>
      </c>
      <c r="G512" t="str">
        <f>IF([1]Accounts!$D$513="","",[1]Accounts!$C$513)</f>
        <v/>
      </c>
      <c r="H512" t="str">
        <f>IF([1]Accounts!$D$513="","",[1]Accounts!$D$513)</f>
        <v/>
      </c>
      <c r="L512" t="str">
        <f>IF([2]Entry!$C$515="","",[2]Entry!$C$515)</f>
        <v/>
      </c>
      <c r="M512" t="str">
        <f>IF([2]Entry!$J$515="","",[2]Entry!$J$515)</f>
        <v/>
      </c>
      <c r="N512" t="str">
        <f>IF([2]Entry!$M$515="","",[2]Entry!$M$515)</f>
        <v/>
      </c>
      <c r="O512" t="str">
        <f>IF([2]Entry!$N$515="","",[2]Entry!$N$515)</f>
        <v/>
      </c>
      <c r="P512" t="str">
        <f>IF([2]Entry!$S$515="","",[2]Entry!$S$515)</f>
        <v/>
      </c>
    </row>
    <row r="513" spans="5:16" x14ac:dyDescent="0.2">
      <c r="E513" t="str">
        <f>IF([1]Accounts!$D$514="","",[1]Accounts!$A$514)</f>
        <v/>
      </c>
      <c r="F513" t="str">
        <f>IF([1]Accounts!$D$514="","",[1]Accounts!$B$514)</f>
        <v/>
      </c>
      <c r="G513" t="str">
        <f>IF([1]Accounts!$D$514="","",[1]Accounts!$C$514)</f>
        <v/>
      </c>
      <c r="H513" t="str">
        <f>IF([1]Accounts!$D$514="","",[1]Accounts!$D$514)</f>
        <v/>
      </c>
      <c r="L513" t="str">
        <f>IF([2]Entry!$C$516="","",[2]Entry!$C$516)</f>
        <v/>
      </c>
      <c r="M513" t="str">
        <f>IF([2]Entry!$J$516="","",[2]Entry!$J$516)</f>
        <v/>
      </c>
      <c r="N513" t="str">
        <f>IF([2]Entry!$M$516="","",[2]Entry!$M$516)</f>
        <v/>
      </c>
      <c r="O513" t="str">
        <f>IF([2]Entry!$N$516="","",[2]Entry!$N$516)</f>
        <v/>
      </c>
      <c r="P513" t="str">
        <f>IF([2]Entry!$S$516="","",[2]Entry!$S$516)</f>
        <v/>
      </c>
    </row>
    <row r="514" spans="5:16" x14ac:dyDescent="0.2">
      <c r="E514" t="str">
        <f>IF([1]Accounts!$D$515="","",[1]Accounts!$A$515)</f>
        <v/>
      </c>
      <c r="F514" t="str">
        <f>IF([1]Accounts!$D$515="","",[1]Accounts!$B$515)</f>
        <v/>
      </c>
      <c r="G514" t="str">
        <f>IF([1]Accounts!$D$515="","",[1]Accounts!$C$515)</f>
        <v/>
      </c>
      <c r="H514" t="str">
        <f>IF([1]Accounts!$D$515="","",[1]Accounts!$D$515)</f>
        <v/>
      </c>
      <c r="L514" t="str">
        <f>IF([2]Entry!$C$517="","",[2]Entry!$C$517)</f>
        <v/>
      </c>
      <c r="M514" t="str">
        <f>IF([2]Entry!$J$517="","",[2]Entry!$J$517)</f>
        <v/>
      </c>
      <c r="N514" t="str">
        <f>IF([2]Entry!$M$517="","",[2]Entry!$M$517)</f>
        <v/>
      </c>
      <c r="O514" t="str">
        <f>IF([2]Entry!$N$517="","",[2]Entry!$N$517)</f>
        <v/>
      </c>
      <c r="P514" t="str">
        <f>IF([2]Entry!$S$517="","",[2]Entry!$S$517)</f>
        <v/>
      </c>
    </row>
    <row r="515" spans="5:16" x14ac:dyDescent="0.2">
      <c r="E515" t="str">
        <f>IF([1]Accounts!$D$516="","",[1]Accounts!$A$516)</f>
        <v/>
      </c>
      <c r="F515" t="str">
        <f>IF([1]Accounts!$D$516="","",[1]Accounts!$B$516)</f>
        <v/>
      </c>
      <c r="G515" t="str">
        <f>IF([1]Accounts!$D$516="","",[1]Accounts!$C$516)</f>
        <v/>
      </c>
      <c r="H515" t="str">
        <f>IF([1]Accounts!$D$516="","",[1]Accounts!$D$516)</f>
        <v/>
      </c>
      <c r="L515" t="str">
        <f>IF([2]Entry!$C$518="","",[2]Entry!$C$518)</f>
        <v/>
      </c>
      <c r="M515" t="str">
        <f>IF([2]Entry!$J$518="","",[2]Entry!$J$518)</f>
        <v/>
      </c>
      <c r="N515" t="str">
        <f>IF([2]Entry!$M$518="","",[2]Entry!$M$518)</f>
        <v/>
      </c>
      <c r="O515" t="str">
        <f>IF([2]Entry!$N$518="","",[2]Entry!$N$518)</f>
        <v/>
      </c>
      <c r="P515" t="str">
        <f>IF([2]Entry!$S$518="","",[2]Entry!$S$518)</f>
        <v/>
      </c>
    </row>
    <row r="516" spans="5:16" x14ac:dyDescent="0.2">
      <c r="E516" t="str">
        <f>IF([1]Accounts!$D$517="","",[1]Accounts!$A$517)</f>
        <v/>
      </c>
      <c r="F516" t="str">
        <f>IF([1]Accounts!$D$517="","",[1]Accounts!$B$517)</f>
        <v/>
      </c>
      <c r="G516" t="str">
        <f>IF([1]Accounts!$D$517="","",[1]Accounts!$C$517)</f>
        <v/>
      </c>
      <c r="H516" t="str">
        <f>IF([1]Accounts!$D$517="","",[1]Accounts!$D$517)</f>
        <v/>
      </c>
      <c r="L516" t="str">
        <f>IF([2]Entry!$C$519="","",[2]Entry!$C$519)</f>
        <v/>
      </c>
      <c r="M516" t="str">
        <f>IF([2]Entry!$J$519="","",[2]Entry!$J$519)</f>
        <v/>
      </c>
      <c r="N516" t="str">
        <f>IF([2]Entry!$M$519="","",[2]Entry!$M$519)</f>
        <v/>
      </c>
      <c r="O516" t="str">
        <f>IF([2]Entry!$N$519="","",[2]Entry!$N$519)</f>
        <v/>
      </c>
      <c r="P516" t="str">
        <f>IF([2]Entry!$S$519="","",[2]Entry!$S$519)</f>
        <v/>
      </c>
    </row>
    <row r="517" spans="5:16" x14ac:dyDescent="0.2">
      <c r="E517" t="str">
        <f>IF([1]Accounts!$D$518="","",[1]Accounts!$A$518)</f>
        <v/>
      </c>
      <c r="F517" t="str">
        <f>IF([1]Accounts!$D$518="","",[1]Accounts!$B$518)</f>
        <v/>
      </c>
      <c r="G517" t="str">
        <f>IF([1]Accounts!$D$518="","",[1]Accounts!$C$518)</f>
        <v/>
      </c>
      <c r="H517" t="str">
        <f>IF([1]Accounts!$D$518="","",[1]Accounts!$D$518)</f>
        <v/>
      </c>
      <c r="L517" t="str">
        <f>IF([2]Entry!$C$520="","",[2]Entry!$C$520)</f>
        <v/>
      </c>
      <c r="M517" t="str">
        <f>IF([2]Entry!$J$520="","",[2]Entry!$J$520)</f>
        <v/>
      </c>
      <c r="N517" t="str">
        <f>IF([2]Entry!$M$520="","",[2]Entry!$M$520)</f>
        <v/>
      </c>
      <c r="O517" t="str">
        <f>IF([2]Entry!$N$520="","",[2]Entry!$N$520)</f>
        <v/>
      </c>
      <c r="P517" t="str">
        <f>IF([2]Entry!$S$520="","",[2]Entry!$S$520)</f>
        <v/>
      </c>
    </row>
    <row r="518" spans="5:16" x14ac:dyDescent="0.2">
      <c r="E518" t="str">
        <f>IF([1]Accounts!$D$519="","",[1]Accounts!$A$519)</f>
        <v/>
      </c>
      <c r="F518" t="str">
        <f>IF([1]Accounts!$D$519="","",[1]Accounts!$B$519)</f>
        <v/>
      </c>
      <c r="G518" t="str">
        <f>IF([1]Accounts!$D$519="","",[1]Accounts!$C$519)</f>
        <v/>
      </c>
      <c r="H518" t="str">
        <f>IF([1]Accounts!$D$519="","",[1]Accounts!$D$519)</f>
        <v/>
      </c>
      <c r="L518" t="str">
        <f>IF([2]Entry!$C$521="","",[2]Entry!$C$521)</f>
        <v/>
      </c>
      <c r="M518" t="str">
        <f>IF([2]Entry!$J$521="","",[2]Entry!$J$521)</f>
        <v/>
      </c>
      <c r="N518" t="str">
        <f>IF([2]Entry!$M$521="","",[2]Entry!$M$521)</f>
        <v/>
      </c>
      <c r="O518" t="str">
        <f>IF([2]Entry!$N$521="","",[2]Entry!$N$521)</f>
        <v/>
      </c>
      <c r="P518" t="str">
        <f>IF([2]Entry!$S$521="","",[2]Entry!$S$521)</f>
        <v/>
      </c>
    </row>
    <row r="519" spans="5:16" x14ac:dyDescent="0.2">
      <c r="E519" t="str">
        <f>IF([1]Accounts!$D$520="","",[1]Accounts!$A$520)</f>
        <v/>
      </c>
      <c r="F519" t="str">
        <f>IF([1]Accounts!$D$520="","",[1]Accounts!$B$520)</f>
        <v/>
      </c>
      <c r="G519" t="str">
        <f>IF([1]Accounts!$D$520="","",[1]Accounts!$C$520)</f>
        <v/>
      </c>
      <c r="H519" t="str">
        <f>IF([1]Accounts!$D$520="","",[1]Accounts!$D$520)</f>
        <v/>
      </c>
      <c r="L519" t="str">
        <f>IF([2]Entry!$C$522="","",[2]Entry!$C$522)</f>
        <v/>
      </c>
      <c r="M519" t="str">
        <f>IF([2]Entry!$J$522="","",[2]Entry!$J$522)</f>
        <v/>
      </c>
      <c r="N519" t="str">
        <f>IF([2]Entry!$M$522="","",[2]Entry!$M$522)</f>
        <v/>
      </c>
      <c r="O519" t="str">
        <f>IF([2]Entry!$N$522="","",[2]Entry!$N$522)</f>
        <v/>
      </c>
      <c r="P519" t="str">
        <f>IF([2]Entry!$S$522="","",[2]Entry!$S$522)</f>
        <v/>
      </c>
    </row>
    <row r="520" spans="5:16" x14ac:dyDescent="0.2">
      <c r="E520" t="str">
        <f>IF([1]Accounts!$D$521="","",[1]Accounts!$A$521)</f>
        <v/>
      </c>
      <c r="F520" t="str">
        <f>IF([1]Accounts!$D$521="","",[1]Accounts!$B$521)</f>
        <v/>
      </c>
      <c r="G520" t="str">
        <f>IF([1]Accounts!$D$521="","",[1]Accounts!$C$521)</f>
        <v/>
      </c>
      <c r="H520" t="str">
        <f>IF([1]Accounts!$D$521="","",[1]Accounts!$D$521)</f>
        <v/>
      </c>
      <c r="L520" t="str">
        <f>IF([2]Entry!$C$523="","",[2]Entry!$C$523)</f>
        <v/>
      </c>
      <c r="M520" t="str">
        <f>IF([2]Entry!$J$523="","",[2]Entry!$J$523)</f>
        <v/>
      </c>
      <c r="N520" t="str">
        <f>IF([2]Entry!$M$523="","",[2]Entry!$M$523)</f>
        <v/>
      </c>
      <c r="O520" t="str">
        <f>IF([2]Entry!$N$523="","",[2]Entry!$N$523)</f>
        <v/>
      </c>
      <c r="P520" t="str">
        <f>IF([2]Entry!$S$523="","",[2]Entry!$S$523)</f>
        <v/>
      </c>
    </row>
    <row r="521" spans="5:16" x14ac:dyDescent="0.2">
      <c r="E521" t="str">
        <f>IF([1]Accounts!$D$522="","",[1]Accounts!$A$522)</f>
        <v/>
      </c>
      <c r="F521" t="str">
        <f>IF([1]Accounts!$D$522="","",[1]Accounts!$B$522)</f>
        <v/>
      </c>
      <c r="G521" t="str">
        <f>IF([1]Accounts!$D$522="","",[1]Accounts!$C$522)</f>
        <v/>
      </c>
      <c r="H521" t="str">
        <f>IF([1]Accounts!$D$522="","",[1]Accounts!$D$522)</f>
        <v/>
      </c>
      <c r="L521" t="str">
        <f>IF([2]Entry!$C$524="","",[2]Entry!$C$524)</f>
        <v/>
      </c>
      <c r="M521" t="str">
        <f>IF([2]Entry!$J$524="","",[2]Entry!$J$524)</f>
        <v/>
      </c>
      <c r="N521" t="str">
        <f>IF([2]Entry!$M$524="","",[2]Entry!$M$524)</f>
        <v/>
      </c>
      <c r="O521" t="str">
        <f>IF([2]Entry!$N$524="","",[2]Entry!$N$524)</f>
        <v/>
      </c>
      <c r="P521" t="str">
        <f>IF([2]Entry!$S$524="","",[2]Entry!$S$524)</f>
        <v/>
      </c>
    </row>
    <row r="522" spans="5:16" x14ac:dyDescent="0.2">
      <c r="E522" t="str">
        <f>IF([1]Accounts!$D$523="","",[1]Accounts!$A$523)</f>
        <v/>
      </c>
      <c r="F522" t="str">
        <f>IF([1]Accounts!$D$523="","",[1]Accounts!$B$523)</f>
        <v/>
      </c>
      <c r="G522" t="str">
        <f>IF([1]Accounts!$D$523="","",[1]Accounts!$C$523)</f>
        <v/>
      </c>
      <c r="H522" t="str">
        <f>IF([1]Accounts!$D$523="","",[1]Accounts!$D$523)</f>
        <v/>
      </c>
      <c r="L522" t="str">
        <f>IF([2]Entry!$C$525="","",[2]Entry!$C$525)</f>
        <v/>
      </c>
      <c r="M522" t="str">
        <f>IF([2]Entry!$J$525="","",[2]Entry!$J$525)</f>
        <v/>
      </c>
      <c r="N522" t="str">
        <f>IF([2]Entry!$M$525="","",[2]Entry!$M$525)</f>
        <v/>
      </c>
      <c r="O522" t="str">
        <f>IF([2]Entry!$N$525="","",[2]Entry!$N$525)</f>
        <v/>
      </c>
      <c r="P522" t="str">
        <f>IF([2]Entry!$S$525="","",[2]Entry!$S$525)</f>
        <v/>
      </c>
    </row>
    <row r="523" spans="5:16" x14ac:dyDescent="0.2">
      <c r="E523" t="str">
        <f>IF([1]Accounts!$D$524="","",[1]Accounts!$A$524)</f>
        <v/>
      </c>
      <c r="F523" t="str">
        <f>IF([1]Accounts!$D$524="","",[1]Accounts!$B$524)</f>
        <v/>
      </c>
      <c r="G523" t="str">
        <f>IF([1]Accounts!$D$524="","",[1]Accounts!$C$524)</f>
        <v/>
      </c>
      <c r="H523" t="str">
        <f>IF([1]Accounts!$D$524="","",[1]Accounts!$D$524)</f>
        <v/>
      </c>
      <c r="L523" t="str">
        <f>IF([2]Entry!$C$526="","",[2]Entry!$C$526)</f>
        <v/>
      </c>
      <c r="M523" t="str">
        <f>IF([2]Entry!$J$526="","",[2]Entry!$J$526)</f>
        <v/>
      </c>
      <c r="N523" t="str">
        <f>IF([2]Entry!$M$526="","",[2]Entry!$M$526)</f>
        <v/>
      </c>
      <c r="O523" t="str">
        <f>IF([2]Entry!$N$526="","",[2]Entry!$N$526)</f>
        <v/>
      </c>
      <c r="P523" t="str">
        <f>IF([2]Entry!$S$526="","",[2]Entry!$S$526)</f>
        <v/>
      </c>
    </row>
    <row r="524" spans="5:16" x14ac:dyDescent="0.2">
      <c r="E524" t="str">
        <f>IF([1]Accounts!$D$525="","",[1]Accounts!$A$525)</f>
        <v/>
      </c>
      <c r="F524" t="str">
        <f>IF([1]Accounts!$D$525="","",[1]Accounts!$B$525)</f>
        <v/>
      </c>
      <c r="G524" t="str">
        <f>IF([1]Accounts!$D$525="","",[1]Accounts!$C$525)</f>
        <v/>
      </c>
      <c r="H524" t="str">
        <f>IF([1]Accounts!$D$525="","",[1]Accounts!$D$525)</f>
        <v/>
      </c>
      <c r="L524" t="str">
        <f>IF([2]Entry!$C$527="","",[2]Entry!$C$527)</f>
        <v/>
      </c>
      <c r="M524" t="str">
        <f>IF([2]Entry!$J$527="","",[2]Entry!$J$527)</f>
        <v/>
      </c>
      <c r="N524" t="str">
        <f>IF([2]Entry!$M$527="","",[2]Entry!$M$527)</f>
        <v/>
      </c>
      <c r="O524" t="str">
        <f>IF([2]Entry!$N$527="","",[2]Entry!$N$527)</f>
        <v/>
      </c>
      <c r="P524" t="str">
        <f>IF([2]Entry!$S$527="","",[2]Entry!$S$527)</f>
        <v/>
      </c>
    </row>
    <row r="525" spans="5:16" x14ac:dyDescent="0.2">
      <c r="E525" t="str">
        <f>IF([1]Accounts!$D$526="","",[1]Accounts!$A$526)</f>
        <v/>
      </c>
      <c r="F525" t="str">
        <f>IF([1]Accounts!$D$526="","",[1]Accounts!$B$526)</f>
        <v/>
      </c>
      <c r="G525" t="str">
        <f>IF([1]Accounts!$D$526="","",[1]Accounts!$C$526)</f>
        <v/>
      </c>
      <c r="H525" t="str">
        <f>IF([1]Accounts!$D$526="","",[1]Accounts!$D$526)</f>
        <v/>
      </c>
      <c r="L525" t="str">
        <f>IF([2]Entry!$C$528="","",[2]Entry!$C$528)</f>
        <v/>
      </c>
      <c r="M525" t="str">
        <f>IF([2]Entry!$J$528="","",[2]Entry!$J$528)</f>
        <v/>
      </c>
      <c r="N525" t="str">
        <f>IF([2]Entry!$M$528="","",[2]Entry!$M$528)</f>
        <v/>
      </c>
      <c r="O525" t="str">
        <f>IF([2]Entry!$N$528="","",[2]Entry!$N$528)</f>
        <v/>
      </c>
      <c r="P525" t="str">
        <f>IF([2]Entry!$S$528="","",[2]Entry!$S$528)</f>
        <v/>
      </c>
    </row>
    <row r="526" spans="5:16" x14ac:dyDescent="0.2">
      <c r="E526" t="str">
        <f>IF([1]Accounts!$D$527="","",[1]Accounts!$A$527)</f>
        <v/>
      </c>
      <c r="F526" t="str">
        <f>IF([1]Accounts!$D$527="","",[1]Accounts!$B$527)</f>
        <v/>
      </c>
      <c r="G526" t="str">
        <f>IF([1]Accounts!$D$527="","",[1]Accounts!$C$527)</f>
        <v/>
      </c>
      <c r="H526" t="str">
        <f>IF([1]Accounts!$D$527="","",[1]Accounts!$D$527)</f>
        <v/>
      </c>
      <c r="L526" t="str">
        <f>IF([2]Entry!$C$529="","",[2]Entry!$C$529)</f>
        <v/>
      </c>
      <c r="M526" t="str">
        <f>IF([2]Entry!$J$529="","",[2]Entry!$J$529)</f>
        <v/>
      </c>
      <c r="N526" t="str">
        <f>IF([2]Entry!$M$529="","",[2]Entry!$M$529)</f>
        <v/>
      </c>
      <c r="O526" t="str">
        <f>IF([2]Entry!$N$529="","",[2]Entry!$N$529)</f>
        <v/>
      </c>
      <c r="P526" t="str">
        <f>IF([2]Entry!$S$529="","",[2]Entry!$S$529)</f>
        <v/>
      </c>
    </row>
    <row r="527" spans="5:16" x14ac:dyDescent="0.2">
      <c r="E527" t="str">
        <f>IF([1]Accounts!$D$528="","",[1]Accounts!$A$528)</f>
        <v/>
      </c>
      <c r="F527" t="str">
        <f>IF([1]Accounts!$D$528="","",[1]Accounts!$B$528)</f>
        <v/>
      </c>
      <c r="G527" t="str">
        <f>IF([1]Accounts!$D$528="","",[1]Accounts!$C$528)</f>
        <v/>
      </c>
      <c r="H527" t="str">
        <f>IF([1]Accounts!$D$528="","",[1]Accounts!$D$528)</f>
        <v/>
      </c>
      <c r="L527" t="str">
        <f>IF([2]Entry!$C$530="","",[2]Entry!$C$530)</f>
        <v/>
      </c>
      <c r="M527" t="str">
        <f>IF([2]Entry!$J$530="","",[2]Entry!$J$530)</f>
        <v/>
      </c>
      <c r="N527" t="str">
        <f>IF([2]Entry!$M$530="","",[2]Entry!$M$530)</f>
        <v/>
      </c>
      <c r="O527" t="str">
        <f>IF([2]Entry!$N$530="","",[2]Entry!$N$530)</f>
        <v/>
      </c>
      <c r="P527" t="str">
        <f>IF([2]Entry!$S$530="","",[2]Entry!$S$530)</f>
        <v/>
      </c>
    </row>
    <row r="528" spans="5:16" x14ac:dyDescent="0.2">
      <c r="E528" t="str">
        <f>IF([1]Accounts!$D$529="","",[1]Accounts!$A$529)</f>
        <v/>
      </c>
      <c r="F528" t="str">
        <f>IF([1]Accounts!$D$529="","",[1]Accounts!$B$529)</f>
        <v/>
      </c>
      <c r="G528" t="str">
        <f>IF([1]Accounts!$D$529="","",[1]Accounts!$C$529)</f>
        <v/>
      </c>
      <c r="H528" t="str">
        <f>IF([1]Accounts!$D$529="","",[1]Accounts!$D$529)</f>
        <v/>
      </c>
      <c r="L528" t="str">
        <f>IF([2]Entry!$C$531="","",[2]Entry!$C$531)</f>
        <v/>
      </c>
      <c r="M528" t="str">
        <f>IF([2]Entry!$J$531="","",[2]Entry!$J$531)</f>
        <v/>
      </c>
      <c r="N528" t="str">
        <f>IF([2]Entry!$M$531="","",[2]Entry!$M$531)</f>
        <v/>
      </c>
      <c r="O528" t="str">
        <f>IF([2]Entry!$N$531="","",[2]Entry!$N$531)</f>
        <v/>
      </c>
      <c r="P528" t="str">
        <f>IF([2]Entry!$S$531="","",[2]Entry!$S$531)</f>
        <v/>
      </c>
    </row>
    <row r="529" spans="5:16" x14ac:dyDescent="0.2">
      <c r="E529" t="str">
        <f>IF([1]Accounts!$D$530="","",[1]Accounts!$A$530)</f>
        <v/>
      </c>
      <c r="F529" t="str">
        <f>IF([1]Accounts!$D$530="","",[1]Accounts!$B$530)</f>
        <v/>
      </c>
      <c r="G529" t="str">
        <f>IF([1]Accounts!$D$530="","",[1]Accounts!$C$530)</f>
        <v/>
      </c>
      <c r="H529" t="str">
        <f>IF([1]Accounts!$D$530="","",[1]Accounts!$D$530)</f>
        <v/>
      </c>
      <c r="L529" t="str">
        <f>IF([2]Entry!$C$532="","",[2]Entry!$C$532)</f>
        <v/>
      </c>
      <c r="M529" t="str">
        <f>IF([2]Entry!$J$532="","",[2]Entry!$J$532)</f>
        <v/>
      </c>
      <c r="N529" t="str">
        <f>IF([2]Entry!$M$532="","",[2]Entry!$M$532)</f>
        <v/>
      </c>
      <c r="O529" t="str">
        <f>IF([2]Entry!$N$532="","",[2]Entry!$N$532)</f>
        <v/>
      </c>
      <c r="P529" t="str">
        <f>IF([2]Entry!$S$532="","",[2]Entry!$S$532)</f>
        <v/>
      </c>
    </row>
    <row r="530" spans="5:16" x14ac:dyDescent="0.2">
      <c r="E530" t="str">
        <f>IF([1]Accounts!$D$531="","",[1]Accounts!$A$531)</f>
        <v/>
      </c>
      <c r="F530" t="str">
        <f>IF([1]Accounts!$D$531="","",[1]Accounts!$B$531)</f>
        <v/>
      </c>
      <c r="G530" t="str">
        <f>IF([1]Accounts!$D$531="","",[1]Accounts!$C$531)</f>
        <v/>
      </c>
      <c r="H530" t="str">
        <f>IF([1]Accounts!$D$531="","",[1]Accounts!$D$531)</f>
        <v/>
      </c>
      <c r="L530" t="str">
        <f>IF([2]Entry!$C$533="","",[2]Entry!$C$533)</f>
        <v/>
      </c>
      <c r="M530" t="str">
        <f>IF([2]Entry!$J$533="","",[2]Entry!$J$533)</f>
        <v/>
      </c>
      <c r="N530" t="str">
        <f>IF([2]Entry!$M$533="","",[2]Entry!$M$533)</f>
        <v/>
      </c>
      <c r="O530" t="str">
        <f>IF([2]Entry!$N$533="","",[2]Entry!$N$533)</f>
        <v/>
      </c>
      <c r="P530" t="str">
        <f>IF([2]Entry!$S$533="","",[2]Entry!$S$533)</f>
        <v/>
      </c>
    </row>
    <row r="531" spans="5:16" x14ac:dyDescent="0.2">
      <c r="E531" t="str">
        <f>IF([1]Accounts!$D$532="","",[1]Accounts!$A$532)</f>
        <v/>
      </c>
      <c r="F531" t="str">
        <f>IF([1]Accounts!$D$532="","",[1]Accounts!$B$532)</f>
        <v/>
      </c>
      <c r="G531" t="str">
        <f>IF([1]Accounts!$D$532="","",[1]Accounts!$C$532)</f>
        <v/>
      </c>
      <c r="H531" t="str">
        <f>IF([1]Accounts!$D$532="","",[1]Accounts!$D$532)</f>
        <v/>
      </c>
      <c r="L531" t="str">
        <f>IF([2]Entry!$C$534="","",[2]Entry!$C$534)</f>
        <v/>
      </c>
      <c r="M531" t="str">
        <f>IF([2]Entry!$J$534="","",[2]Entry!$J$534)</f>
        <v/>
      </c>
      <c r="N531" t="str">
        <f>IF([2]Entry!$M$534="","",[2]Entry!$M$534)</f>
        <v/>
      </c>
      <c r="O531" t="str">
        <f>IF([2]Entry!$N$534="","",[2]Entry!$N$534)</f>
        <v/>
      </c>
      <c r="P531" t="str">
        <f>IF([2]Entry!$S$534="","",[2]Entry!$S$534)</f>
        <v/>
      </c>
    </row>
    <row r="532" spans="5:16" x14ac:dyDescent="0.2">
      <c r="E532" t="str">
        <f>IF([1]Accounts!$D$533="","",[1]Accounts!$A$533)</f>
        <v/>
      </c>
      <c r="F532" t="str">
        <f>IF([1]Accounts!$D$533="","",[1]Accounts!$B$533)</f>
        <v/>
      </c>
      <c r="G532" t="str">
        <f>IF([1]Accounts!$D$533="","",[1]Accounts!$C$533)</f>
        <v/>
      </c>
      <c r="H532" t="str">
        <f>IF([1]Accounts!$D$533="","",[1]Accounts!$D$533)</f>
        <v/>
      </c>
      <c r="L532" t="str">
        <f>IF([2]Entry!$C$535="","",[2]Entry!$C$535)</f>
        <v/>
      </c>
      <c r="M532" t="str">
        <f>IF([2]Entry!$J$535="","",[2]Entry!$J$535)</f>
        <v/>
      </c>
      <c r="N532" t="str">
        <f>IF([2]Entry!$M$535="","",[2]Entry!$M$535)</f>
        <v/>
      </c>
      <c r="O532" t="str">
        <f>IF([2]Entry!$N$535="","",[2]Entry!$N$535)</f>
        <v/>
      </c>
      <c r="P532" t="str">
        <f>IF([2]Entry!$S$535="","",[2]Entry!$S$535)</f>
        <v/>
      </c>
    </row>
    <row r="533" spans="5:16" x14ac:dyDescent="0.2">
      <c r="E533" t="str">
        <f>IF([1]Accounts!$D$534="","",[1]Accounts!$A$534)</f>
        <v/>
      </c>
      <c r="F533" t="str">
        <f>IF([1]Accounts!$D$534="","",[1]Accounts!$B$534)</f>
        <v/>
      </c>
      <c r="G533" t="str">
        <f>IF([1]Accounts!$D$534="","",[1]Accounts!$C$534)</f>
        <v/>
      </c>
      <c r="H533" t="str">
        <f>IF([1]Accounts!$D$534="","",[1]Accounts!$D$534)</f>
        <v/>
      </c>
      <c r="L533" t="str">
        <f>IF([2]Entry!$C$536="","",[2]Entry!$C$536)</f>
        <v/>
      </c>
      <c r="M533" t="str">
        <f>IF([2]Entry!$J$536="","",[2]Entry!$J$536)</f>
        <v/>
      </c>
      <c r="N533" t="str">
        <f>IF([2]Entry!$M$536="","",[2]Entry!$M$536)</f>
        <v/>
      </c>
      <c r="O533" t="str">
        <f>IF([2]Entry!$N$536="","",[2]Entry!$N$536)</f>
        <v/>
      </c>
      <c r="P533" t="str">
        <f>IF([2]Entry!$S$536="","",[2]Entry!$S$536)</f>
        <v/>
      </c>
    </row>
    <row r="534" spans="5:16" x14ac:dyDescent="0.2">
      <c r="E534" t="str">
        <f>IF([1]Accounts!$D$535="","",[1]Accounts!$A$535)</f>
        <v/>
      </c>
      <c r="F534" t="str">
        <f>IF([1]Accounts!$D$535="","",[1]Accounts!$B$535)</f>
        <v/>
      </c>
      <c r="G534" t="str">
        <f>IF([1]Accounts!$D$535="","",[1]Accounts!$C$535)</f>
        <v/>
      </c>
      <c r="H534" t="str">
        <f>IF([1]Accounts!$D$535="","",[1]Accounts!$D$535)</f>
        <v/>
      </c>
      <c r="L534" t="str">
        <f>IF([2]Entry!$C$537="","",[2]Entry!$C$537)</f>
        <v/>
      </c>
      <c r="M534" t="str">
        <f>IF([2]Entry!$J$537="","",[2]Entry!$J$537)</f>
        <v/>
      </c>
      <c r="N534" t="str">
        <f>IF([2]Entry!$M$537="","",[2]Entry!$M$537)</f>
        <v/>
      </c>
      <c r="O534" t="str">
        <f>IF([2]Entry!$N$537="","",[2]Entry!$N$537)</f>
        <v/>
      </c>
      <c r="P534" t="str">
        <f>IF([2]Entry!$S$537="","",[2]Entry!$S$537)</f>
        <v/>
      </c>
    </row>
    <row r="535" spans="5:16" x14ac:dyDescent="0.2">
      <c r="E535" t="str">
        <f>IF([1]Accounts!$D$536="","",[1]Accounts!$A$536)</f>
        <v/>
      </c>
      <c r="F535" t="str">
        <f>IF([1]Accounts!$D$536="","",[1]Accounts!$B$536)</f>
        <v/>
      </c>
      <c r="G535" t="str">
        <f>IF([1]Accounts!$D$536="","",[1]Accounts!$C$536)</f>
        <v/>
      </c>
      <c r="H535" t="str">
        <f>IF([1]Accounts!$D$536="","",[1]Accounts!$D$536)</f>
        <v/>
      </c>
      <c r="L535" t="str">
        <f>IF([2]Entry!$C$538="","",[2]Entry!$C$538)</f>
        <v/>
      </c>
      <c r="M535" t="str">
        <f>IF([2]Entry!$J$538="","",[2]Entry!$J$538)</f>
        <v/>
      </c>
      <c r="N535" t="str">
        <f>IF([2]Entry!$M$538="","",[2]Entry!$M$538)</f>
        <v/>
      </c>
      <c r="O535" t="str">
        <f>IF([2]Entry!$N$538="","",[2]Entry!$N$538)</f>
        <v/>
      </c>
      <c r="P535" t="str">
        <f>IF([2]Entry!$S$538="","",[2]Entry!$S$538)</f>
        <v/>
      </c>
    </row>
    <row r="536" spans="5:16" x14ac:dyDescent="0.2">
      <c r="E536" t="str">
        <f>IF([1]Accounts!$D$537="","",[1]Accounts!$A$537)</f>
        <v>L001</v>
      </c>
      <c r="F536" t="str">
        <f>IF([1]Accounts!$D$537="","",[1]Accounts!$B$537)</f>
        <v>وام و تسهیلات</v>
      </c>
      <c r="G536" t="str">
        <f>IF([1]Accounts!$D$537="","",[1]Accounts!$C$537)</f>
        <v>وام بانکی</v>
      </c>
      <c r="H536" t="str">
        <f>IF([1]Accounts!$D$537="","",[1]Accounts!$D$537)</f>
        <v>وام بانک ملت (نمونه)</v>
      </c>
      <c r="L536" t="str">
        <f>IF([2]Entry!$C$539="","",[2]Entry!$C$539)</f>
        <v/>
      </c>
      <c r="M536" t="str">
        <f>IF([2]Entry!$J$539="","",[2]Entry!$J$539)</f>
        <v/>
      </c>
      <c r="N536" t="str">
        <f>IF([2]Entry!$M$539="","",[2]Entry!$M$539)</f>
        <v/>
      </c>
      <c r="O536" t="str">
        <f>IF([2]Entry!$N$539="","",[2]Entry!$N$539)</f>
        <v/>
      </c>
      <c r="P536" t="str">
        <f>IF([2]Entry!$S$539="","",[2]Entry!$S$539)</f>
        <v/>
      </c>
    </row>
    <row r="537" spans="5:16" x14ac:dyDescent="0.2">
      <c r="E537" t="str">
        <f>IF([1]Accounts!$D$538="","",[1]Accounts!$A$538)</f>
        <v/>
      </c>
      <c r="F537" t="str">
        <f>IF([1]Accounts!$D$538="","",[1]Accounts!$B$538)</f>
        <v/>
      </c>
      <c r="G537" t="str">
        <f>IF([1]Accounts!$D$538="","",[1]Accounts!$C$538)</f>
        <v/>
      </c>
      <c r="H537" t="str">
        <f>IF([1]Accounts!$D$538="","",[1]Accounts!$D$538)</f>
        <v/>
      </c>
      <c r="L537" t="str">
        <f>IF([2]Entry!$C$540="","",[2]Entry!$C$540)</f>
        <v/>
      </c>
      <c r="M537" t="str">
        <f>IF([2]Entry!$J$540="","",[2]Entry!$J$540)</f>
        <v/>
      </c>
      <c r="N537" t="str">
        <f>IF([2]Entry!$M$540="","",[2]Entry!$M$540)</f>
        <v/>
      </c>
      <c r="O537" t="str">
        <f>IF([2]Entry!$N$540="","",[2]Entry!$N$540)</f>
        <v/>
      </c>
      <c r="P537" t="str">
        <f>IF([2]Entry!$S$540="","",[2]Entry!$S$540)</f>
        <v/>
      </c>
    </row>
    <row r="538" spans="5:16" x14ac:dyDescent="0.2">
      <c r="E538" t="str">
        <f>IF([1]Accounts!$D$539="","",[1]Accounts!$A$539)</f>
        <v/>
      </c>
      <c r="F538" t="str">
        <f>IF([1]Accounts!$D$539="","",[1]Accounts!$B$539)</f>
        <v/>
      </c>
      <c r="G538" t="str">
        <f>IF([1]Accounts!$D$539="","",[1]Accounts!$C$539)</f>
        <v/>
      </c>
      <c r="H538" t="str">
        <f>IF([1]Accounts!$D$539="","",[1]Accounts!$D$539)</f>
        <v/>
      </c>
      <c r="L538" t="str">
        <f>IF([2]Entry!$C$541="","",[2]Entry!$C$541)</f>
        <v/>
      </c>
      <c r="M538" t="str">
        <f>IF([2]Entry!$J$541="","",[2]Entry!$J$541)</f>
        <v/>
      </c>
      <c r="N538" t="str">
        <f>IF([2]Entry!$M$541="","",[2]Entry!$M$541)</f>
        <v/>
      </c>
      <c r="O538" t="str">
        <f>IF([2]Entry!$N$541="","",[2]Entry!$N$541)</f>
        <v/>
      </c>
      <c r="P538" t="str">
        <f>IF([2]Entry!$S$541="","",[2]Entry!$S$541)</f>
        <v/>
      </c>
    </row>
    <row r="539" spans="5:16" x14ac:dyDescent="0.2">
      <c r="E539" t="str">
        <f>IF([1]Accounts!$D$540="","",[1]Accounts!$A$540)</f>
        <v/>
      </c>
      <c r="F539" t="str">
        <f>IF([1]Accounts!$D$540="","",[1]Accounts!$B$540)</f>
        <v/>
      </c>
      <c r="G539" t="str">
        <f>IF([1]Accounts!$D$540="","",[1]Accounts!$C$540)</f>
        <v/>
      </c>
      <c r="H539" t="str">
        <f>IF([1]Accounts!$D$540="","",[1]Accounts!$D$540)</f>
        <v/>
      </c>
      <c r="L539" t="str">
        <f>IF([2]Entry!$C$542="","",[2]Entry!$C$542)</f>
        <v/>
      </c>
      <c r="M539" t="str">
        <f>IF([2]Entry!$J$542="","",[2]Entry!$J$542)</f>
        <v/>
      </c>
      <c r="N539" t="str">
        <f>IF([2]Entry!$M$542="","",[2]Entry!$M$542)</f>
        <v/>
      </c>
      <c r="O539" t="str">
        <f>IF([2]Entry!$N$542="","",[2]Entry!$N$542)</f>
        <v/>
      </c>
      <c r="P539" t="str">
        <f>IF([2]Entry!$S$542="","",[2]Entry!$S$542)</f>
        <v/>
      </c>
    </row>
    <row r="540" spans="5:16" x14ac:dyDescent="0.2">
      <c r="E540" t="str">
        <f>IF([1]Accounts!$D$541="","",[1]Accounts!$A$541)</f>
        <v/>
      </c>
      <c r="F540" t="str">
        <f>IF([1]Accounts!$D$541="","",[1]Accounts!$B$541)</f>
        <v/>
      </c>
      <c r="G540" t="str">
        <f>IF([1]Accounts!$D$541="","",[1]Accounts!$C$541)</f>
        <v/>
      </c>
      <c r="H540" t="str">
        <f>IF([1]Accounts!$D$541="","",[1]Accounts!$D$541)</f>
        <v/>
      </c>
      <c r="L540" t="str">
        <f>IF([2]Entry!$C$543="","",[2]Entry!$C$543)</f>
        <v/>
      </c>
      <c r="M540" t="str">
        <f>IF([2]Entry!$J$543="","",[2]Entry!$J$543)</f>
        <v/>
      </c>
      <c r="N540" t="str">
        <f>IF([2]Entry!$M$543="","",[2]Entry!$M$543)</f>
        <v/>
      </c>
      <c r="O540" t="str">
        <f>IF([2]Entry!$N$543="","",[2]Entry!$N$543)</f>
        <v/>
      </c>
      <c r="P540" t="str">
        <f>IF([2]Entry!$S$543="","",[2]Entry!$S$543)</f>
        <v/>
      </c>
    </row>
    <row r="541" spans="5:16" x14ac:dyDescent="0.2">
      <c r="E541" t="str">
        <f>IF([1]Accounts!$D$542="","",[1]Accounts!$A$542)</f>
        <v/>
      </c>
      <c r="F541" t="str">
        <f>IF([1]Accounts!$D$542="","",[1]Accounts!$B$542)</f>
        <v/>
      </c>
      <c r="G541" t="str">
        <f>IF([1]Accounts!$D$542="","",[1]Accounts!$C$542)</f>
        <v/>
      </c>
      <c r="H541" t="str">
        <f>IF([1]Accounts!$D$542="","",[1]Accounts!$D$542)</f>
        <v/>
      </c>
      <c r="L541" t="str">
        <f>IF([2]Entry!$C$544="","",[2]Entry!$C$544)</f>
        <v/>
      </c>
      <c r="M541" t="str">
        <f>IF([2]Entry!$J$544="","",[2]Entry!$J$544)</f>
        <v/>
      </c>
      <c r="N541" t="str">
        <f>IF([2]Entry!$M$544="","",[2]Entry!$M$544)</f>
        <v/>
      </c>
      <c r="O541" t="str">
        <f>IF([2]Entry!$N$544="","",[2]Entry!$N$544)</f>
        <v/>
      </c>
      <c r="P541" t="str">
        <f>IF([2]Entry!$S$544="","",[2]Entry!$S$544)</f>
        <v/>
      </c>
    </row>
    <row r="542" spans="5:16" x14ac:dyDescent="0.2">
      <c r="E542" t="str">
        <f>IF([1]Accounts!$D$543="","",[1]Accounts!$A$543)</f>
        <v/>
      </c>
      <c r="F542" t="str">
        <f>IF([1]Accounts!$D$543="","",[1]Accounts!$B$543)</f>
        <v/>
      </c>
      <c r="G542" t="str">
        <f>IF([1]Accounts!$D$543="","",[1]Accounts!$C$543)</f>
        <v/>
      </c>
      <c r="H542" t="str">
        <f>IF([1]Accounts!$D$543="","",[1]Accounts!$D$543)</f>
        <v/>
      </c>
      <c r="L542" t="str">
        <f>IF([2]Entry!$C$545="","",[2]Entry!$C$545)</f>
        <v/>
      </c>
      <c r="M542" t="str">
        <f>IF([2]Entry!$J$545="","",[2]Entry!$J$545)</f>
        <v/>
      </c>
      <c r="N542" t="str">
        <f>IF([2]Entry!$M$545="","",[2]Entry!$M$545)</f>
        <v/>
      </c>
      <c r="O542" t="str">
        <f>IF([2]Entry!$N$545="","",[2]Entry!$N$545)</f>
        <v/>
      </c>
      <c r="P542" t="str">
        <f>IF([2]Entry!$S$545="","",[2]Entry!$S$545)</f>
        <v/>
      </c>
    </row>
    <row r="543" spans="5:16" x14ac:dyDescent="0.2">
      <c r="E543" t="str">
        <f>IF([1]Accounts!$D$544="","",[1]Accounts!$A$544)</f>
        <v/>
      </c>
      <c r="F543" t="str">
        <f>IF([1]Accounts!$D$544="","",[1]Accounts!$B$544)</f>
        <v/>
      </c>
      <c r="G543" t="str">
        <f>IF([1]Accounts!$D$544="","",[1]Accounts!$C$544)</f>
        <v/>
      </c>
      <c r="H543" t="str">
        <f>IF([1]Accounts!$D$544="","",[1]Accounts!$D$544)</f>
        <v/>
      </c>
      <c r="L543" t="str">
        <f>IF([2]Entry!$C$546="","",[2]Entry!$C$546)</f>
        <v/>
      </c>
      <c r="M543" t="str">
        <f>IF([2]Entry!$J$546="","",[2]Entry!$J$546)</f>
        <v/>
      </c>
      <c r="N543" t="str">
        <f>IF([2]Entry!$M$546="","",[2]Entry!$M$546)</f>
        <v/>
      </c>
      <c r="O543" t="str">
        <f>IF([2]Entry!$N$546="","",[2]Entry!$N$546)</f>
        <v/>
      </c>
      <c r="P543" t="str">
        <f>IF([2]Entry!$S$546="","",[2]Entry!$S$546)</f>
        <v/>
      </c>
    </row>
    <row r="544" spans="5:16" x14ac:dyDescent="0.2">
      <c r="E544" t="str">
        <f>IF([1]Accounts!$D$545="","",[1]Accounts!$A$545)</f>
        <v/>
      </c>
      <c r="F544" t="str">
        <f>IF([1]Accounts!$D$545="","",[1]Accounts!$B$545)</f>
        <v/>
      </c>
      <c r="G544" t="str">
        <f>IF([1]Accounts!$D$545="","",[1]Accounts!$C$545)</f>
        <v/>
      </c>
      <c r="H544" t="str">
        <f>IF([1]Accounts!$D$545="","",[1]Accounts!$D$545)</f>
        <v/>
      </c>
      <c r="L544" t="str">
        <f>IF([2]Entry!$C$547="","",[2]Entry!$C$547)</f>
        <v/>
      </c>
      <c r="M544" t="str">
        <f>IF([2]Entry!$J$547="","",[2]Entry!$J$547)</f>
        <v/>
      </c>
      <c r="N544" t="str">
        <f>IF([2]Entry!$M$547="","",[2]Entry!$M$547)</f>
        <v/>
      </c>
      <c r="O544" t="str">
        <f>IF([2]Entry!$N$547="","",[2]Entry!$N$547)</f>
        <v/>
      </c>
      <c r="P544" t="str">
        <f>IF([2]Entry!$S$547="","",[2]Entry!$S$547)</f>
        <v/>
      </c>
    </row>
    <row r="545" spans="5:16" x14ac:dyDescent="0.2">
      <c r="E545" t="str">
        <f>IF([1]Accounts!$D$546="","",[1]Accounts!$A$546)</f>
        <v/>
      </c>
      <c r="F545" t="str">
        <f>IF([1]Accounts!$D$546="","",[1]Accounts!$B$546)</f>
        <v/>
      </c>
      <c r="G545" t="str">
        <f>IF([1]Accounts!$D$546="","",[1]Accounts!$C$546)</f>
        <v/>
      </c>
      <c r="H545" t="str">
        <f>IF([1]Accounts!$D$546="","",[1]Accounts!$D$546)</f>
        <v/>
      </c>
      <c r="L545" t="str">
        <f>IF([2]Entry!$C$548="","",[2]Entry!$C$548)</f>
        <v/>
      </c>
      <c r="M545" t="str">
        <f>IF([2]Entry!$J$548="","",[2]Entry!$J$548)</f>
        <v/>
      </c>
      <c r="N545" t="str">
        <f>IF([2]Entry!$M$548="","",[2]Entry!$M$548)</f>
        <v/>
      </c>
      <c r="O545" t="str">
        <f>IF([2]Entry!$N$548="","",[2]Entry!$N$548)</f>
        <v/>
      </c>
      <c r="P545" t="str">
        <f>IF([2]Entry!$S$548="","",[2]Entry!$S$548)</f>
        <v/>
      </c>
    </row>
    <row r="546" spans="5:16" x14ac:dyDescent="0.2">
      <c r="E546" t="str">
        <f>IF([1]Accounts!$D$547="","",[1]Accounts!$A$547)</f>
        <v/>
      </c>
      <c r="F546" t="str">
        <f>IF([1]Accounts!$D$547="","",[1]Accounts!$B$547)</f>
        <v/>
      </c>
      <c r="G546" t="str">
        <f>IF([1]Accounts!$D$547="","",[1]Accounts!$C$547)</f>
        <v/>
      </c>
      <c r="H546" t="str">
        <f>IF([1]Accounts!$D$547="","",[1]Accounts!$D$547)</f>
        <v/>
      </c>
      <c r="L546" t="str">
        <f>IF([2]Entry!$C$549="","",[2]Entry!$C$549)</f>
        <v/>
      </c>
      <c r="M546" t="str">
        <f>IF([2]Entry!$J$549="","",[2]Entry!$J$549)</f>
        <v/>
      </c>
      <c r="N546" t="str">
        <f>IF([2]Entry!$M$549="","",[2]Entry!$M$549)</f>
        <v/>
      </c>
      <c r="O546" t="str">
        <f>IF([2]Entry!$N$549="","",[2]Entry!$N$549)</f>
        <v/>
      </c>
      <c r="P546" t="str">
        <f>IF([2]Entry!$S$549="","",[2]Entry!$S$549)</f>
        <v/>
      </c>
    </row>
    <row r="547" spans="5:16" x14ac:dyDescent="0.2">
      <c r="E547" t="str">
        <f>IF([1]Accounts!$D$548="","",[1]Accounts!$A$548)</f>
        <v/>
      </c>
      <c r="F547" t="str">
        <f>IF([1]Accounts!$D$548="","",[1]Accounts!$B$548)</f>
        <v/>
      </c>
      <c r="G547" t="str">
        <f>IF([1]Accounts!$D$548="","",[1]Accounts!$C$548)</f>
        <v/>
      </c>
      <c r="H547" t="str">
        <f>IF([1]Accounts!$D$548="","",[1]Accounts!$D$548)</f>
        <v/>
      </c>
      <c r="L547" t="str">
        <f>IF([2]Entry!$C$550="","",[2]Entry!$C$550)</f>
        <v/>
      </c>
      <c r="M547" t="str">
        <f>IF([2]Entry!$J$550="","",[2]Entry!$J$550)</f>
        <v/>
      </c>
      <c r="N547" t="str">
        <f>IF([2]Entry!$M$550="","",[2]Entry!$M$550)</f>
        <v/>
      </c>
      <c r="O547" t="str">
        <f>IF([2]Entry!$N$550="","",[2]Entry!$N$550)</f>
        <v/>
      </c>
      <c r="P547" t="str">
        <f>IF([2]Entry!$S$550="","",[2]Entry!$S$550)</f>
        <v/>
      </c>
    </row>
    <row r="548" spans="5:16" x14ac:dyDescent="0.2">
      <c r="E548" t="str">
        <f>IF([1]Accounts!$D$549="","",[1]Accounts!$A$549)</f>
        <v/>
      </c>
      <c r="F548" t="str">
        <f>IF([1]Accounts!$D$549="","",[1]Accounts!$B$549)</f>
        <v/>
      </c>
      <c r="G548" t="str">
        <f>IF([1]Accounts!$D$549="","",[1]Accounts!$C$549)</f>
        <v/>
      </c>
      <c r="H548" t="str">
        <f>IF([1]Accounts!$D$549="","",[1]Accounts!$D$549)</f>
        <v/>
      </c>
      <c r="L548" t="str">
        <f>IF([2]Entry!$C$551="","",[2]Entry!$C$551)</f>
        <v/>
      </c>
      <c r="M548" t="str">
        <f>IF([2]Entry!$J$551="","",[2]Entry!$J$551)</f>
        <v/>
      </c>
      <c r="N548" t="str">
        <f>IF([2]Entry!$M$551="","",[2]Entry!$M$551)</f>
        <v/>
      </c>
      <c r="O548" t="str">
        <f>IF([2]Entry!$N$551="","",[2]Entry!$N$551)</f>
        <v/>
      </c>
      <c r="P548" t="str">
        <f>IF([2]Entry!$S$551="","",[2]Entry!$S$551)</f>
        <v/>
      </c>
    </row>
    <row r="549" spans="5:16" x14ac:dyDescent="0.2">
      <c r="E549" t="str">
        <f>IF([1]Accounts!$D$550="","",[1]Accounts!$A$550)</f>
        <v/>
      </c>
      <c r="F549" t="str">
        <f>IF([1]Accounts!$D$550="","",[1]Accounts!$B$550)</f>
        <v/>
      </c>
      <c r="G549" t="str">
        <f>IF([1]Accounts!$D$550="","",[1]Accounts!$C$550)</f>
        <v/>
      </c>
      <c r="H549" t="str">
        <f>IF([1]Accounts!$D$550="","",[1]Accounts!$D$550)</f>
        <v/>
      </c>
      <c r="L549" t="str">
        <f>IF([2]Entry!$C$552="","",[2]Entry!$C$552)</f>
        <v/>
      </c>
      <c r="M549" t="str">
        <f>IF([2]Entry!$J$552="","",[2]Entry!$J$552)</f>
        <v/>
      </c>
      <c r="N549" t="str">
        <f>IF([2]Entry!$M$552="","",[2]Entry!$M$552)</f>
        <v/>
      </c>
      <c r="O549" t="str">
        <f>IF([2]Entry!$N$552="","",[2]Entry!$N$552)</f>
        <v/>
      </c>
      <c r="P549" t="str">
        <f>IF([2]Entry!$S$552="","",[2]Entry!$S$552)</f>
        <v/>
      </c>
    </row>
    <row r="550" spans="5:16" x14ac:dyDescent="0.2">
      <c r="E550" t="str">
        <f>IF([1]Accounts!$D$551="","",[1]Accounts!$A$551)</f>
        <v/>
      </c>
      <c r="F550" t="str">
        <f>IF([1]Accounts!$D$551="","",[1]Accounts!$B$551)</f>
        <v/>
      </c>
      <c r="G550" t="str">
        <f>IF([1]Accounts!$D$551="","",[1]Accounts!$C$551)</f>
        <v/>
      </c>
      <c r="H550" t="str">
        <f>IF([1]Accounts!$D$551="","",[1]Accounts!$D$551)</f>
        <v/>
      </c>
      <c r="L550" t="str">
        <f>IF([2]Entry!$C$553="","",[2]Entry!$C$553)</f>
        <v/>
      </c>
      <c r="M550" t="str">
        <f>IF([2]Entry!$J$553="","",[2]Entry!$J$553)</f>
        <v/>
      </c>
      <c r="N550" t="str">
        <f>IF([2]Entry!$M$553="","",[2]Entry!$M$553)</f>
        <v/>
      </c>
      <c r="O550" t="str">
        <f>IF([2]Entry!$N$553="","",[2]Entry!$N$553)</f>
        <v/>
      </c>
      <c r="P550" t="str">
        <f>IF([2]Entry!$S$553="","",[2]Entry!$S$553)</f>
        <v/>
      </c>
    </row>
    <row r="551" spans="5:16" x14ac:dyDescent="0.2">
      <c r="E551" t="str">
        <f>IF([1]Accounts!$D$552="","",[1]Accounts!$A$552)</f>
        <v/>
      </c>
      <c r="F551" t="str">
        <f>IF([1]Accounts!$D$552="","",[1]Accounts!$B$552)</f>
        <v/>
      </c>
      <c r="G551" t="str">
        <f>IF([1]Accounts!$D$552="","",[1]Accounts!$C$552)</f>
        <v/>
      </c>
      <c r="H551" t="str">
        <f>IF([1]Accounts!$D$552="","",[1]Accounts!$D$552)</f>
        <v/>
      </c>
      <c r="L551" t="str">
        <f>IF([2]Entry!$C$554="","",[2]Entry!$C$554)</f>
        <v/>
      </c>
      <c r="M551" t="str">
        <f>IF([2]Entry!$J$554="","",[2]Entry!$J$554)</f>
        <v/>
      </c>
      <c r="N551" t="str">
        <f>IF([2]Entry!$M$554="","",[2]Entry!$M$554)</f>
        <v/>
      </c>
      <c r="O551" t="str">
        <f>IF([2]Entry!$N$554="","",[2]Entry!$N$554)</f>
        <v/>
      </c>
      <c r="P551" t="str">
        <f>IF([2]Entry!$S$554="","",[2]Entry!$S$554)</f>
        <v/>
      </c>
    </row>
    <row r="552" spans="5:16" x14ac:dyDescent="0.2">
      <c r="E552" t="str">
        <f>IF([1]Accounts!$D$553="","",[1]Accounts!$A$553)</f>
        <v/>
      </c>
      <c r="F552" t="str">
        <f>IF([1]Accounts!$D$553="","",[1]Accounts!$B$553)</f>
        <v/>
      </c>
      <c r="G552" t="str">
        <f>IF([1]Accounts!$D$553="","",[1]Accounts!$C$553)</f>
        <v/>
      </c>
      <c r="H552" t="str">
        <f>IF([1]Accounts!$D$553="","",[1]Accounts!$D$553)</f>
        <v/>
      </c>
      <c r="L552" t="str">
        <f>IF([2]Entry!$C$555="","",[2]Entry!$C$555)</f>
        <v/>
      </c>
      <c r="M552" t="str">
        <f>IF([2]Entry!$J$555="","",[2]Entry!$J$555)</f>
        <v/>
      </c>
      <c r="N552" t="str">
        <f>IF([2]Entry!$M$555="","",[2]Entry!$M$555)</f>
        <v/>
      </c>
      <c r="O552" t="str">
        <f>IF([2]Entry!$N$555="","",[2]Entry!$N$555)</f>
        <v/>
      </c>
      <c r="P552" t="str">
        <f>IF([2]Entry!$S$555="","",[2]Entry!$S$555)</f>
        <v/>
      </c>
    </row>
    <row r="553" spans="5:16" x14ac:dyDescent="0.2">
      <c r="E553" t="str">
        <f>IF([1]Accounts!$D$554="","",[1]Accounts!$A$554)</f>
        <v/>
      </c>
      <c r="F553" t="str">
        <f>IF([1]Accounts!$D$554="","",[1]Accounts!$B$554)</f>
        <v/>
      </c>
      <c r="G553" t="str">
        <f>IF([1]Accounts!$D$554="","",[1]Accounts!$C$554)</f>
        <v/>
      </c>
      <c r="H553" t="str">
        <f>IF([1]Accounts!$D$554="","",[1]Accounts!$D$554)</f>
        <v/>
      </c>
      <c r="L553" t="str">
        <f>IF([2]Entry!$C$556="","",[2]Entry!$C$556)</f>
        <v/>
      </c>
      <c r="M553" t="str">
        <f>IF([2]Entry!$J$556="","",[2]Entry!$J$556)</f>
        <v/>
      </c>
      <c r="N553" t="str">
        <f>IF([2]Entry!$M$556="","",[2]Entry!$M$556)</f>
        <v/>
      </c>
      <c r="O553" t="str">
        <f>IF([2]Entry!$N$556="","",[2]Entry!$N$556)</f>
        <v/>
      </c>
      <c r="P553" t="str">
        <f>IF([2]Entry!$S$556="","",[2]Entry!$S$556)</f>
        <v/>
      </c>
    </row>
    <row r="554" spans="5:16" x14ac:dyDescent="0.2">
      <c r="E554" t="str">
        <f>IF([1]Accounts!$D$555="","",[1]Accounts!$A$555)</f>
        <v/>
      </c>
      <c r="F554" t="str">
        <f>IF([1]Accounts!$D$555="","",[1]Accounts!$B$555)</f>
        <v/>
      </c>
      <c r="G554" t="str">
        <f>IF([1]Accounts!$D$555="","",[1]Accounts!$C$555)</f>
        <v/>
      </c>
      <c r="H554" t="str">
        <f>IF([1]Accounts!$D$555="","",[1]Accounts!$D$555)</f>
        <v/>
      </c>
      <c r="L554" t="str">
        <f>IF([2]Entry!$C$557="","",[2]Entry!$C$557)</f>
        <v/>
      </c>
      <c r="M554" t="str">
        <f>IF([2]Entry!$J$557="","",[2]Entry!$J$557)</f>
        <v/>
      </c>
      <c r="N554" t="str">
        <f>IF([2]Entry!$M$557="","",[2]Entry!$M$557)</f>
        <v/>
      </c>
      <c r="O554" t="str">
        <f>IF([2]Entry!$N$557="","",[2]Entry!$N$557)</f>
        <v/>
      </c>
      <c r="P554" t="str">
        <f>IF([2]Entry!$S$557="","",[2]Entry!$S$557)</f>
        <v/>
      </c>
    </row>
    <row r="555" spans="5:16" x14ac:dyDescent="0.2">
      <c r="E555" t="str">
        <f>IF([1]Accounts!$D$556="","",[1]Accounts!$A$556)</f>
        <v/>
      </c>
      <c r="F555" t="str">
        <f>IF([1]Accounts!$D$556="","",[1]Accounts!$B$556)</f>
        <v/>
      </c>
      <c r="G555" t="str">
        <f>IF([1]Accounts!$D$556="","",[1]Accounts!$C$556)</f>
        <v/>
      </c>
      <c r="H555" t="str">
        <f>IF([1]Accounts!$D$556="","",[1]Accounts!$D$556)</f>
        <v/>
      </c>
      <c r="L555" t="str">
        <f>IF([2]Entry!$C$558="","",[2]Entry!$C$558)</f>
        <v/>
      </c>
      <c r="M555" t="str">
        <f>IF([2]Entry!$J$558="","",[2]Entry!$J$558)</f>
        <v/>
      </c>
      <c r="N555" t="str">
        <f>IF([2]Entry!$M$558="","",[2]Entry!$M$558)</f>
        <v/>
      </c>
      <c r="O555" t="str">
        <f>IF([2]Entry!$N$558="","",[2]Entry!$N$558)</f>
        <v/>
      </c>
      <c r="P555" t="str">
        <f>IF([2]Entry!$S$558="","",[2]Entry!$S$558)</f>
        <v/>
      </c>
    </row>
    <row r="556" spans="5:16" x14ac:dyDescent="0.2">
      <c r="E556" t="str">
        <f>IF([1]Accounts!$D$557="","",[1]Accounts!$A$557)</f>
        <v>CAP001</v>
      </c>
      <c r="F556" t="str">
        <f>IF([1]Accounts!$D$557="","",[1]Accounts!$B$557)</f>
        <v>سرمایه و آورده صاحبان</v>
      </c>
      <c r="G556" t="str">
        <f>IF([1]Accounts!$D$557="","",[1]Accounts!$C$557)</f>
        <v>سرمایه اولیه و آورده نقدی</v>
      </c>
      <c r="H556" t="str">
        <f>IF([1]Accounts!$D$557="","",[1]Accounts!$D$557)</f>
        <v>سرمایه و آورده صاحبان (نمونه)</v>
      </c>
      <c r="L556" t="str">
        <f>IF([2]Entry!$C$559="","",[2]Entry!$C$559)</f>
        <v/>
      </c>
      <c r="M556" t="str">
        <f>IF([2]Entry!$J$559="","",[2]Entry!$J$559)</f>
        <v/>
      </c>
      <c r="N556" t="str">
        <f>IF([2]Entry!$M$559="","",[2]Entry!$M$559)</f>
        <v/>
      </c>
      <c r="O556" t="str">
        <f>IF([2]Entry!$N$559="","",[2]Entry!$N$559)</f>
        <v/>
      </c>
      <c r="P556" t="str">
        <f>IF([2]Entry!$S$559="","",[2]Entry!$S$559)</f>
        <v/>
      </c>
    </row>
    <row r="557" spans="5:16" x14ac:dyDescent="0.2">
      <c r="E557" t="str">
        <f>IF([1]Accounts!$D$558="","",[1]Accounts!$A$558)</f>
        <v/>
      </c>
      <c r="F557" t="str">
        <f>IF([1]Accounts!$D$558="","",[1]Accounts!$B$558)</f>
        <v/>
      </c>
      <c r="G557" t="str">
        <f>IF([1]Accounts!$D$558="","",[1]Accounts!$C$558)</f>
        <v/>
      </c>
      <c r="H557" t="str">
        <f>IF([1]Accounts!$D$558="","",[1]Accounts!$D$558)</f>
        <v/>
      </c>
      <c r="L557" t="str">
        <f>IF([2]Entry!$C$560="","",[2]Entry!$C$560)</f>
        <v/>
      </c>
      <c r="M557" t="str">
        <f>IF([2]Entry!$J$560="","",[2]Entry!$J$560)</f>
        <v/>
      </c>
      <c r="N557" t="str">
        <f>IF([2]Entry!$M$560="","",[2]Entry!$M$560)</f>
        <v/>
      </c>
      <c r="O557" t="str">
        <f>IF([2]Entry!$N$560="","",[2]Entry!$N$560)</f>
        <v/>
      </c>
      <c r="P557" t="str">
        <f>IF([2]Entry!$S$560="","",[2]Entry!$S$560)</f>
        <v/>
      </c>
    </row>
    <row r="558" spans="5:16" x14ac:dyDescent="0.2">
      <c r="E558" t="str">
        <f>IF([1]Accounts!$D$559="","",[1]Accounts!$A$559)</f>
        <v/>
      </c>
      <c r="F558" t="str">
        <f>IF([1]Accounts!$D$559="","",[1]Accounts!$B$559)</f>
        <v/>
      </c>
      <c r="G558" t="str">
        <f>IF([1]Accounts!$D$559="","",[1]Accounts!$C$559)</f>
        <v/>
      </c>
      <c r="H558" t="str">
        <f>IF([1]Accounts!$D$559="","",[1]Accounts!$D$559)</f>
        <v/>
      </c>
      <c r="L558" t="str">
        <f>IF([2]Entry!$C$561="","",[2]Entry!$C$561)</f>
        <v/>
      </c>
      <c r="M558" t="str">
        <f>IF([2]Entry!$J$561="","",[2]Entry!$J$561)</f>
        <v/>
      </c>
      <c r="N558" t="str">
        <f>IF([2]Entry!$M$561="","",[2]Entry!$M$561)</f>
        <v/>
      </c>
      <c r="O558" t="str">
        <f>IF([2]Entry!$N$561="","",[2]Entry!$N$561)</f>
        <v/>
      </c>
      <c r="P558" t="str">
        <f>IF([2]Entry!$S$561="","",[2]Entry!$S$561)</f>
        <v/>
      </c>
    </row>
    <row r="559" spans="5:16" x14ac:dyDescent="0.2">
      <c r="E559" t="str">
        <f>IF([1]Accounts!$D$560="","",[1]Accounts!$A$560)</f>
        <v/>
      </c>
      <c r="F559" t="str">
        <f>IF([1]Accounts!$D$560="","",[1]Accounts!$B$560)</f>
        <v/>
      </c>
      <c r="G559" t="str">
        <f>IF([1]Accounts!$D$560="","",[1]Accounts!$C$560)</f>
        <v/>
      </c>
      <c r="H559" t="str">
        <f>IF([1]Accounts!$D$560="","",[1]Accounts!$D$560)</f>
        <v/>
      </c>
      <c r="L559" t="str">
        <f>IF([2]Entry!$C$562="","",[2]Entry!$C$562)</f>
        <v/>
      </c>
      <c r="M559" t="str">
        <f>IF([2]Entry!$J$562="","",[2]Entry!$J$562)</f>
        <v/>
      </c>
      <c r="N559" t="str">
        <f>IF([2]Entry!$M$562="","",[2]Entry!$M$562)</f>
        <v/>
      </c>
      <c r="O559" t="str">
        <f>IF([2]Entry!$N$562="","",[2]Entry!$N$562)</f>
        <v/>
      </c>
      <c r="P559" t="str">
        <f>IF([2]Entry!$S$562="","",[2]Entry!$S$562)</f>
        <v/>
      </c>
    </row>
    <row r="560" spans="5:16" x14ac:dyDescent="0.2">
      <c r="E560" t="str">
        <f>IF([1]Accounts!$D$561="","",[1]Accounts!$A$561)</f>
        <v/>
      </c>
      <c r="F560" t="str">
        <f>IF([1]Accounts!$D$561="","",[1]Accounts!$B$561)</f>
        <v/>
      </c>
      <c r="G560" t="str">
        <f>IF([1]Accounts!$D$561="","",[1]Accounts!$C$561)</f>
        <v/>
      </c>
      <c r="H560" t="str">
        <f>IF([1]Accounts!$D$561="","",[1]Accounts!$D$561)</f>
        <v/>
      </c>
      <c r="L560" t="str">
        <f>IF([2]Entry!$C$563="","",[2]Entry!$C$563)</f>
        <v/>
      </c>
      <c r="M560" t="str">
        <f>IF([2]Entry!$J$563="","",[2]Entry!$J$563)</f>
        <v/>
      </c>
      <c r="N560" t="str">
        <f>IF([2]Entry!$M$563="","",[2]Entry!$M$563)</f>
        <v/>
      </c>
      <c r="O560" t="str">
        <f>IF([2]Entry!$N$563="","",[2]Entry!$N$563)</f>
        <v/>
      </c>
      <c r="P560" t="str">
        <f>IF([2]Entry!$S$563="","",[2]Entry!$S$563)</f>
        <v/>
      </c>
    </row>
    <row r="561" spans="5:16" x14ac:dyDescent="0.2">
      <c r="E561" t="str">
        <f>IF([1]Accounts!$D$562="","",[1]Accounts!$A$562)</f>
        <v/>
      </c>
      <c r="F561" t="str">
        <f>IF([1]Accounts!$D$562="","",[1]Accounts!$B$562)</f>
        <v/>
      </c>
      <c r="G561" t="str">
        <f>IF([1]Accounts!$D$562="","",[1]Accounts!$C$562)</f>
        <v/>
      </c>
      <c r="H561" t="str">
        <f>IF([1]Accounts!$D$562="","",[1]Accounts!$D$562)</f>
        <v/>
      </c>
      <c r="L561" t="str">
        <f>IF([2]Entry!$C$564="","",[2]Entry!$C$564)</f>
        <v/>
      </c>
      <c r="M561" t="str">
        <f>IF([2]Entry!$J$564="","",[2]Entry!$J$564)</f>
        <v/>
      </c>
      <c r="N561" t="str">
        <f>IF([2]Entry!$M$564="","",[2]Entry!$M$564)</f>
        <v/>
      </c>
      <c r="O561" t="str">
        <f>IF([2]Entry!$N$564="","",[2]Entry!$N$564)</f>
        <v/>
      </c>
      <c r="P561" t="str">
        <f>IF([2]Entry!$S$564="","",[2]Entry!$S$564)</f>
        <v/>
      </c>
    </row>
    <row r="562" spans="5:16" x14ac:dyDescent="0.2">
      <c r="E562" t="str">
        <f>IF([1]Accounts!$D$563="","",[1]Accounts!$A$563)</f>
        <v/>
      </c>
      <c r="F562" t="str">
        <f>IF([1]Accounts!$D$563="","",[1]Accounts!$B$563)</f>
        <v/>
      </c>
      <c r="G562" t="str">
        <f>IF([1]Accounts!$D$563="","",[1]Accounts!$C$563)</f>
        <v/>
      </c>
      <c r="H562" t="str">
        <f>IF([1]Accounts!$D$563="","",[1]Accounts!$D$563)</f>
        <v/>
      </c>
      <c r="L562" t="str">
        <f>IF([2]Entry!$C$565="","",[2]Entry!$C$565)</f>
        <v/>
      </c>
      <c r="M562" t="str">
        <f>IF([2]Entry!$J$565="","",[2]Entry!$J$565)</f>
        <v/>
      </c>
      <c r="N562" t="str">
        <f>IF([2]Entry!$M$565="","",[2]Entry!$M$565)</f>
        <v/>
      </c>
      <c r="O562" t="str">
        <f>IF([2]Entry!$N$565="","",[2]Entry!$N$565)</f>
        <v/>
      </c>
      <c r="P562" t="str">
        <f>IF([2]Entry!$S$565="","",[2]Entry!$S$565)</f>
        <v/>
      </c>
    </row>
    <row r="563" spans="5:16" x14ac:dyDescent="0.2">
      <c r="E563" t="str">
        <f>IF([1]Accounts!$D$564="","",[1]Accounts!$A$564)</f>
        <v/>
      </c>
      <c r="F563" t="str">
        <f>IF([1]Accounts!$D$564="","",[1]Accounts!$B$564)</f>
        <v/>
      </c>
      <c r="G563" t="str">
        <f>IF([1]Accounts!$D$564="","",[1]Accounts!$C$564)</f>
        <v/>
      </c>
      <c r="H563" t="str">
        <f>IF([1]Accounts!$D$564="","",[1]Accounts!$D$564)</f>
        <v/>
      </c>
      <c r="L563" t="str">
        <f>IF([2]Entry!$C$566="","",[2]Entry!$C$566)</f>
        <v/>
      </c>
      <c r="M563" t="str">
        <f>IF([2]Entry!$J$566="","",[2]Entry!$J$566)</f>
        <v/>
      </c>
      <c r="N563" t="str">
        <f>IF([2]Entry!$M$566="","",[2]Entry!$M$566)</f>
        <v/>
      </c>
      <c r="O563" t="str">
        <f>IF([2]Entry!$N$566="","",[2]Entry!$N$566)</f>
        <v/>
      </c>
      <c r="P563" t="str">
        <f>IF([2]Entry!$S$566="","",[2]Entry!$S$566)</f>
        <v/>
      </c>
    </row>
    <row r="564" spans="5:16" x14ac:dyDescent="0.2">
      <c r="E564" t="str">
        <f>IF([1]Accounts!$D$565="","",[1]Accounts!$A$565)</f>
        <v/>
      </c>
      <c r="F564" t="str">
        <f>IF([1]Accounts!$D$565="","",[1]Accounts!$B$565)</f>
        <v/>
      </c>
      <c r="G564" t="str">
        <f>IF([1]Accounts!$D$565="","",[1]Accounts!$C$565)</f>
        <v/>
      </c>
      <c r="H564" t="str">
        <f>IF([1]Accounts!$D$565="","",[1]Accounts!$D$565)</f>
        <v/>
      </c>
      <c r="L564" t="str">
        <f>IF([2]Entry!$C$567="","",[2]Entry!$C$567)</f>
        <v/>
      </c>
      <c r="M564" t="str">
        <f>IF([2]Entry!$J$567="","",[2]Entry!$J$567)</f>
        <v/>
      </c>
      <c r="N564" t="str">
        <f>IF([2]Entry!$M$567="","",[2]Entry!$M$567)</f>
        <v/>
      </c>
      <c r="O564" t="str">
        <f>IF([2]Entry!$N$567="","",[2]Entry!$N$567)</f>
        <v/>
      </c>
      <c r="P564" t="str">
        <f>IF([2]Entry!$S$567="","",[2]Entry!$S$567)</f>
        <v/>
      </c>
    </row>
    <row r="565" spans="5:16" x14ac:dyDescent="0.2">
      <c r="E565" t="str">
        <f>IF([1]Accounts!$D$566="","",[1]Accounts!$A$566)</f>
        <v/>
      </c>
      <c r="F565" t="str">
        <f>IF([1]Accounts!$D$566="","",[1]Accounts!$B$566)</f>
        <v/>
      </c>
      <c r="G565" t="str">
        <f>IF([1]Accounts!$D$566="","",[1]Accounts!$C$566)</f>
        <v/>
      </c>
      <c r="H565" t="str">
        <f>IF([1]Accounts!$D$566="","",[1]Accounts!$D$566)</f>
        <v/>
      </c>
      <c r="L565" t="str">
        <f>IF([2]Entry!$C$568="","",[2]Entry!$C$568)</f>
        <v/>
      </c>
      <c r="M565" t="str">
        <f>IF([2]Entry!$J$568="","",[2]Entry!$J$568)</f>
        <v/>
      </c>
      <c r="N565" t="str">
        <f>IF([2]Entry!$M$568="","",[2]Entry!$M$568)</f>
        <v/>
      </c>
      <c r="O565" t="str">
        <f>IF([2]Entry!$N$568="","",[2]Entry!$N$568)</f>
        <v/>
      </c>
      <c r="P565" t="str">
        <f>IF([2]Entry!$S$568="","",[2]Entry!$S$568)</f>
        <v/>
      </c>
    </row>
    <row r="566" spans="5:16" x14ac:dyDescent="0.2">
      <c r="L566" t="str">
        <f>IF([2]Entry!$C$569="","",[2]Entry!$C$569)</f>
        <v/>
      </c>
      <c r="M566" t="str">
        <f>IF([2]Entry!$J$569="","",[2]Entry!$J$569)</f>
        <v/>
      </c>
      <c r="N566" t="str">
        <f>IF([2]Entry!$M$569="","",[2]Entry!$M$569)</f>
        <v/>
      </c>
      <c r="O566" t="str">
        <f>IF([2]Entry!$N$569="","",[2]Entry!$N$569)</f>
        <v/>
      </c>
      <c r="P566" t="str">
        <f>IF([2]Entry!$S$569="","",[2]Entry!$S$569)</f>
        <v/>
      </c>
    </row>
    <row r="567" spans="5:16" x14ac:dyDescent="0.2">
      <c r="L567" t="str">
        <f>IF([2]Entry!$C$570="","",[2]Entry!$C$570)</f>
        <v/>
      </c>
      <c r="M567" t="str">
        <f>IF([2]Entry!$J$570="","",[2]Entry!$J$570)</f>
        <v/>
      </c>
      <c r="N567" t="str">
        <f>IF([2]Entry!$M$570="","",[2]Entry!$M$570)</f>
        <v/>
      </c>
      <c r="O567" t="str">
        <f>IF([2]Entry!$N$570="","",[2]Entry!$N$570)</f>
        <v/>
      </c>
      <c r="P567" t="str">
        <f>IF([2]Entry!$S$570="","",[2]Entry!$S$570)</f>
        <v/>
      </c>
    </row>
    <row r="568" spans="5:16" x14ac:dyDescent="0.2">
      <c r="L568" t="str">
        <f>IF([2]Entry!$C$571="","",[2]Entry!$C$571)</f>
        <v/>
      </c>
      <c r="M568" t="str">
        <f>IF([2]Entry!$J$571="","",[2]Entry!$J$571)</f>
        <v/>
      </c>
      <c r="N568" t="str">
        <f>IF([2]Entry!$M$571="","",[2]Entry!$M$571)</f>
        <v/>
      </c>
      <c r="O568" t="str">
        <f>IF([2]Entry!$N$571="","",[2]Entry!$N$571)</f>
        <v/>
      </c>
      <c r="P568" t="str">
        <f>IF([2]Entry!$S$571="","",[2]Entry!$S$571)</f>
        <v/>
      </c>
    </row>
    <row r="569" spans="5:16" x14ac:dyDescent="0.2">
      <c r="L569" t="str">
        <f>IF([2]Entry!$C$572="","",[2]Entry!$C$572)</f>
        <v/>
      </c>
      <c r="M569" t="str">
        <f>IF([2]Entry!$J$572="","",[2]Entry!$J$572)</f>
        <v/>
      </c>
      <c r="N569" t="str">
        <f>IF([2]Entry!$M$572="","",[2]Entry!$M$572)</f>
        <v/>
      </c>
      <c r="O569" t="str">
        <f>IF([2]Entry!$N$572="","",[2]Entry!$N$572)</f>
        <v/>
      </c>
      <c r="P569" t="str">
        <f>IF([2]Entry!$S$572="","",[2]Entry!$S$572)</f>
        <v/>
      </c>
    </row>
    <row r="570" spans="5:16" x14ac:dyDescent="0.2">
      <c r="L570" t="str">
        <f>IF([2]Entry!$C$573="","",[2]Entry!$C$573)</f>
        <v/>
      </c>
      <c r="M570" t="str">
        <f>IF([2]Entry!$J$573="","",[2]Entry!$J$573)</f>
        <v/>
      </c>
      <c r="N570" t="str">
        <f>IF([2]Entry!$M$573="","",[2]Entry!$M$573)</f>
        <v/>
      </c>
      <c r="O570" t="str">
        <f>IF([2]Entry!$N$573="","",[2]Entry!$N$573)</f>
        <v/>
      </c>
      <c r="P570" t="str">
        <f>IF([2]Entry!$S$573="","",[2]Entry!$S$573)</f>
        <v/>
      </c>
    </row>
    <row r="571" spans="5:16" x14ac:dyDescent="0.2">
      <c r="L571" t="str">
        <f>IF([2]Entry!$C$574="","",[2]Entry!$C$574)</f>
        <v/>
      </c>
      <c r="M571" t="str">
        <f>IF([2]Entry!$J$574="","",[2]Entry!$J$574)</f>
        <v/>
      </c>
      <c r="N571" t="str">
        <f>IF([2]Entry!$M$574="","",[2]Entry!$M$574)</f>
        <v/>
      </c>
      <c r="O571" t="str">
        <f>IF([2]Entry!$N$574="","",[2]Entry!$N$574)</f>
        <v/>
      </c>
      <c r="P571" t="str">
        <f>IF([2]Entry!$S$574="","",[2]Entry!$S$574)</f>
        <v/>
      </c>
    </row>
    <row r="572" spans="5:16" x14ac:dyDescent="0.2">
      <c r="L572" t="str">
        <f>IF([2]Entry!$C$575="","",[2]Entry!$C$575)</f>
        <v/>
      </c>
      <c r="M572" t="str">
        <f>IF([2]Entry!$J$575="","",[2]Entry!$J$575)</f>
        <v/>
      </c>
      <c r="N572" t="str">
        <f>IF([2]Entry!$M$575="","",[2]Entry!$M$575)</f>
        <v/>
      </c>
      <c r="O572" t="str">
        <f>IF([2]Entry!$N$575="","",[2]Entry!$N$575)</f>
        <v/>
      </c>
      <c r="P572" t="str">
        <f>IF([2]Entry!$S$575="","",[2]Entry!$S$575)</f>
        <v/>
      </c>
    </row>
    <row r="573" spans="5:16" x14ac:dyDescent="0.2">
      <c r="L573" t="str">
        <f>IF([2]Entry!$C$576="","",[2]Entry!$C$576)</f>
        <v/>
      </c>
      <c r="M573" t="str">
        <f>IF([2]Entry!$J$576="","",[2]Entry!$J$576)</f>
        <v/>
      </c>
      <c r="N573" t="str">
        <f>IF([2]Entry!$M$576="","",[2]Entry!$M$576)</f>
        <v/>
      </c>
      <c r="O573" t="str">
        <f>IF([2]Entry!$N$576="","",[2]Entry!$N$576)</f>
        <v/>
      </c>
      <c r="P573" t="str">
        <f>IF([2]Entry!$S$576="","",[2]Entry!$S$576)</f>
        <v/>
      </c>
    </row>
    <row r="574" spans="5:16" x14ac:dyDescent="0.2">
      <c r="L574" t="str">
        <f>IF([2]Entry!$C$577="","",[2]Entry!$C$577)</f>
        <v/>
      </c>
      <c r="M574" t="str">
        <f>IF([2]Entry!$J$577="","",[2]Entry!$J$577)</f>
        <v/>
      </c>
      <c r="N574" t="str">
        <f>IF([2]Entry!$M$577="","",[2]Entry!$M$577)</f>
        <v/>
      </c>
      <c r="O574" t="str">
        <f>IF([2]Entry!$N$577="","",[2]Entry!$N$577)</f>
        <v/>
      </c>
      <c r="P574" t="str">
        <f>IF([2]Entry!$S$577="","",[2]Entry!$S$577)</f>
        <v/>
      </c>
    </row>
    <row r="575" spans="5:16" x14ac:dyDescent="0.2">
      <c r="L575" t="str">
        <f>IF([2]Entry!$C$578="","",[2]Entry!$C$578)</f>
        <v/>
      </c>
      <c r="M575" t="str">
        <f>IF([2]Entry!$J$578="","",[2]Entry!$J$578)</f>
        <v/>
      </c>
      <c r="N575" t="str">
        <f>IF([2]Entry!$M$578="","",[2]Entry!$M$578)</f>
        <v/>
      </c>
      <c r="O575" t="str">
        <f>IF([2]Entry!$N$578="","",[2]Entry!$N$578)</f>
        <v/>
      </c>
      <c r="P575" t="str">
        <f>IF([2]Entry!$S$578="","",[2]Entry!$S$578)</f>
        <v/>
      </c>
    </row>
    <row r="576" spans="5:16" x14ac:dyDescent="0.2">
      <c r="L576" t="str">
        <f>IF([2]Entry!$C$579="","",[2]Entry!$C$579)</f>
        <v/>
      </c>
      <c r="M576" t="str">
        <f>IF([2]Entry!$J$579="","",[2]Entry!$J$579)</f>
        <v/>
      </c>
      <c r="N576" t="str">
        <f>IF([2]Entry!$M$579="","",[2]Entry!$M$579)</f>
        <v/>
      </c>
      <c r="O576" t="str">
        <f>IF([2]Entry!$N$579="","",[2]Entry!$N$579)</f>
        <v/>
      </c>
      <c r="P576" t="str">
        <f>IF([2]Entry!$S$579="","",[2]Entry!$S$579)</f>
        <v/>
      </c>
    </row>
    <row r="577" spans="12:16" x14ac:dyDescent="0.2">
      <c r="L577" t="str">
        <f>IF([2]Entry!$C$580="","",[2]Entry!$C$580)</f>
        <v/>
      </c>
      <c r="M577" t="str">
        <f>IF([2]Entry!$J$580="","",[2]Entry!$J$580)</f>
        <v/>
      </c>
      <c r="N577" t="str">
        <f>IF([2]Entry!$M$580="","",[2]Entry!$M$580)</f>
        <v/>
      </c>
      <c r="O577" t="str">
        <f>IF([2]Entry!$N$580="","",[2]Entry!$N$580)</f>
        <v/>
      </c>
      <c r="P577" t="str">
        <f>IF([2]Entry!$S$580="","",[2]Entry!$S$580)</f>
        <v/>
      </c>
    </row>
    <row r="578" spans="12:16" x14ac:dyDescent="0.2">
      <c r="L578" t="str">
        <f>IF([2]Entry!$C$581="","",[2]Entry!$C$581)</f>
        <v/>
      </c>
      <c r="M578" t="str">
        <f>IF([2]Entry!$J$581="","",[2]Entry!$J$581)</f>
        <v/>
      </c>
      <c r="N578" t="str">
        <f>IF([2]Entry!$M$581="","",[2]Entry!$M$581)</f>
        <v/>
      </c>
      <c r="O578" t="str">
        <f>IF([2]Entry!$N$581="","",[2]Entry!$N$581)</f>
        <v/>
      </c>
      <c r="P578" t="str">
        <f>IF([2]Entry!$S$581="","",[2]Entry!$S$581)</f>
        <v/>
      </c>
    </row>
    <row r="579" spans="12:16" x14ac:dyDescent="0.2">
      <c r="L579" t="str">
        <f>IF([2]Entry!$C$582="","",[2]Entry!$C$582)</f>
        <v/>
      </c>
      <c r="M579" t="str">
        <f>IF([2]Entry!$J$582="","",[2]Entry!$J$582)</f>
        <v/>
      </c>
      <c r="N579" t="str">
        <f>IF([2]Entry!$M$582="","",[2]Entry!$M$582)</f>
        <v/>
      </c>
      <c r="O579" t="str">
        <f>IF([2]Entry!$N$582="","",[2]Entry!$N$582)</f>
        <v/>
      </c>
      <c r="P579" t="str">
        <f>IF([2]Entry!$S$582="","",[2]Entry!$S$582)</f>
        <v/>
      </c>
    </row>
    <row r="580" spans="12:16" x14ac:dyDescent="0.2">
      <c r="L580" t="str">
        <f>IF([2]Entry!$C$583="","",[2]Entry!$C$583)</f>
        <v/>
      </c>
      <c r="M580" t="str">
        <f>IF([2]Entry!$J$583="","",[2]Entry!$J$583)</f>
        <v/>
      </c>
      <c r="N580" t="str">
        <f>IF([2]Entry!$M$583="","",[2]Entry!$M$583)</f>
        <v/>
      </c>
      <c r="O580" t="str">
        <f>IF([2]Entry!$N$583="","",[2]Entry!$N$583)</f>
        <v/>
      </c>
      <c r="P580" t="str">
        <f>IF([2]Entry!$S$583="","",[2]Entry!$S$583)</f>
        <v/>
      </c>
    </row>
    <row r="581" spans="12:16" x14ac:dyDescent="0.2">
      <c r="L581" t="str">
        <f>IF([2]Entry!$C$584="","",[2]Entry!$C$584)</f>
        <v/>
      </c>
      <c r="M581" t="str">
        <f>IF([2]Entry!$J$584="","",[2]Entry!$J$584)</f>
        <v/>
      </c>
      <c r="N581" t="str">
        <f>IF([2]Entry!$M$584="","",[2]Entry!$M$584)</f>
        <v/>
      </c>
      <c r="O581" t="str">
        <f>IF([2]Entry!$N$584="","",[2]Entry!$N$584)</f>
        <v/>
      </c>
      <c r="P581" t="str">
        <f>IF([2]Entry!$S$584="","",[2]Entry!$S$584)</f>
        <v/>
      </c>
    </row>
    <row r="582" spans="12:16" x14ac:dyDescent="0.2">
      <c r="L582" t="str">
        <f>IF([2]Entry!$C$585="","",[2]Entry!$C$585)</f>
        <v/>
      </c>
      <c r="M582" t="str">
        <f>IF([2]Entry!$J$585="","",[2]Entry!$J$585)</f>
        <v/>
      </c>
      <c r="N582" t="str">
        <f>IF([2]Entry!$M$585="","",[2]Entry!$M$585)</f>
        <v/>
      </c>
      <c r="O582" t="str">
        <f>IF([2]Entry!$N$585="","",[2]Entry!$N$585)</f>
        <v/>
      </c>
      <c r="P582" t="str">
        <f>IF([2]Entry!$S$585="","",[2]Entry!$S$585)</f>
        <v/>
      </c>
    </row>
    <row r="583" spans="12:16" x14ac:dyDescent="0.2">
      <c r="L583" t="str">
        <f>IF([2]Entry!$C$586="","",[2]Entry!$C$586)</f>
        <v/>
      </c>
      <c r="M583" t="str">
        <f>IF([2]Entry!$J$586="","",[2]Entry!$J$586)</f>
        <v/>
      </c>
      <c r="N583" t="str">
        <f>IF([2]Entry!$M$586="","",[2]Entry!$M$586)</f>
        <v/>
      </c>
      <c r="O583" t="str">
        <f>IF([2]Entry!$N$586="","",[2]Entry!$N$586)</f>
        <v/>
      </c>
      <c r="P583" t="str">
        <f>IF([2]Entry!$S$586="","",[2]Entry!$S$586)</f>
        <v/>
      </c>
    </row>
    <row r="584" spans="12:16" x14ac:dyDescent="0.2">
      <c r="L584" t="str">
        <f>IF([2]Entry!$C$587="","",[2]Entry!$C$587)</f>
        <v/>
      </c>
      <c r="M584" t="str">
        <f>IF([2]Entry!$J$587="","",[2]Entry!$J$587)</f>
        <v/>
      </c>
      <c r="N584" t="str">
        <f>IF([2]Entry!$M$587="","",[2]Entry!$M$587)</f>
        <v/>
      </c>
      <c r="O584" t="str">
        <f>IF([2]Entry!$N$587="","",[2]Entry!$N$587)</f>
        <v/>
      </c>
      <c r="P584" t="str">
        <f>IF([2]Entry!$S$587="","",[2]Entry!$S$587)</f>
        <v/>
      </c>
    </row>
    <row r="585" spans="12:16" x14ac:dyDescent="0.2">
      <c r="L585" t="str">
        <f>IF([2]Entry!$C$588="","",[2]Entry!$C$588)</f>
        <v/>
      </c>
      <c r="M585" t="str">
        <f>IF([2]Entry!$J$588="","",[2]Entry!$J$588)</f>
        <v/>
      </c>
      <c r="N585" t="str">
        <f>IF([2]Entry!$M$588="","",[2]Entry!$M$588)</f>
        <v/>
      </c>
      <c r="O585" t="str">
        <f>IF([2]Entry!$N$588="","",[2]Entry!$N$588)</f>
        <v/>
      </c>
      <c r="P585" t="str">
        <f>IF([2]Entry!$S$588="","",[2]Entry!$S$588)</f>
        <v/>
      </c>
    </row>
    <row r="586" spans="12:16" x14ac:dyDescent="0.2">
      <c r="L586" t="str">
        <f>IF([2]Entry!$C$589="","",[2]Entry!$C$589)</f>
        <v/>
      </c>
      <c r="M586" t="str">
        <f>IF([2]Entry!$J$589="","",[2]Entry!$J$589)</f>
        <v/>
      </c>
      <c r="N586" t="str">
        <f>IF([2]Entry!$M$589="","",[2]Entry!$M$589)</f>
        <v/>
      </c>
      <c r="O586" t="str">
        <f>IF([2]Entry!$N$589="","",[2]Entry!$N$589)</f>
        <v/>
      </c>
      <c r="P586" t="str">
        <f>IF([2]Entry!$S$589="","",[2]Entry!$S$589)</f>
        <v/>
      </c>
    </row>
    <row r="587" spans="12:16" x14ac:dyDescent="0.2">
      <c r="L587" t="str">
        <f>IF([2]Entry!$C$590="","",[2]Entry!$C$590)</f>
        <v/>
      </c>
      <c r="M587" t="str">
        <f>IF([2]Entry!$J$590="","",[2]Entry!$J$590)</f>
        <v/>
      </c>
      <c r="N587" t="str">
        <f>IF([2]Entry!$M$590="","",[2]Entry!$M$590)</f>
        <v/>
      </c>
      <c r="O587" t="str">
        <f>IF([2]Entry!$N$590="","",[2]Entry!$N$590)</f>
        <v/>
      </c>
      <c r="P587" t="str">
        <f>IF([2]Entry!$S$590="","",[2]Entry!$S$590)</f>
        <v/>
      </c>
    </row>
    <row r="588" spans="12:16" x14ac:dyDescent="0.2">
      <c r="L588" t="str">
        <f>IF([2]Entry!$C$591="","",[2]Entry!$C$591)</f>
        <v/>
      </c>
      <c r="M588" t="str">
        <f>IF([2]Entry!$J$591="","",[2]Entry!$J$591)</f>
        <v/>
      </c>
      <c r="N588" t="str">
        <f>IF([2]Entry!$M$591="","",[2]Entry!$M$591)</f>
        <v/>
      </c>
      <c r="O588" t="str">
        <f>IF([2]Entry!$N$591="","",[2]Entry!$N$591)</f>
        <v/>
      </c>
      <c r="P588" t="str">
        <f>IF([2]Entry!$S$591="","",[2]Entry!$S$591)</f>
        <v/>
      </c>
    </row>
    <row r="589" spans="12:16" x14ac:dyDescent="0.2">
      <c r="L589" t="str">
        <f>IF([2]Entry!$C$592="","",[2]Entry!$C$592)</f>
        <v/>
      </c>
      <c r="M589" t="str">
        <f>IF([2]Entry!$J$592="","",[2]Entry!$J$592)</f>
        <v/>
      </c>
      <c r="N589" t="str">
        <f>IF([2]Entry!$M$592="","",[2]Entry!$M$592)</f>
        <v/>
      </c>
      <c r="O589" t="str">
        <f>IF([2]Entry!$N$592="","",[2]Entry!$N$592)</f>
        <v/>
      </c>
      <c r="P589" t="str">
        <f>IF([2]Entry!$S$592="","",[2]Entry!$S$592)</f>
        <v/>
      </c>
    </row>
    <row r="590" spans="12:16" x14ac:dyDescent="0.2">
      <c r="L590" t="str">
        <f>IF([2]Entry!$C$593="","",[2]Entry!$C$593)</f>
        <v/>
      </c>
      <c r="M590" t="str">
        <f>IF([2]Entry!$J$593="","",[2]Entry!$J$593)</f>
        <v/>
      </c>
      <c r="N590" t="str">
        <f>IF([2]Entry!$M$593="","",[2]Entry!$M$593)</f>
        <v/>
      </c>
      <c r="O590" t="str">
        <f>IF([2]Entry!$N$593="","",[2]Entry!$N$593)</f>
        <v/>
      </c>
      <c r="P590" t="str">
        <f>IF([2]Entry!$S$593="","",[2]Entry!$S$593)</f>
        <v/>
      </c>
    </row>
    <row r="591" spans="12:16" x14ac:dyDescent="0.2">
      <c r="L591" t="str">
        <f>IF([2]Entry!$C$594="","",[2]Entry!$C$594)</f>
        <v/>
      </c>
      <c r="M591" t="str">
        <f>IF([2]Entry!$J$594="","",[2]Entry!$J$594)</f>
        <v/>
      </c>
      <c r="N591" t="str">
        <f>IF([2]Entry!$M$594="","",[2]Entry!$M$594)</f>
        <v/>
      </c>
      <c r="O591" t="str">
        <f>IF([2]Entry!$N$594="","",[2]Entry!$N$594)</f>
        <v/>
      </c>
      <c r="P591" t="str">
        <f>IF([2]Entry!$S$594="","",[2]Entry!$S$594)</f>
        <v/>
      </c>
    </row>
    <row r="592" spans="12:16" x14ac:dyDescent="0.2">
      <c r="L592" t="str">
        <f>IF([2]Entry!$C$595="","",[2]Entry!$C$595)</f>
        <v/>
      </c>
      <c r="M592" t="str">
        <f>IF([2]Entry!$J$595="","",[2]Entry!$J$595)</f>
        <v/>
      </c>
      <c r="N592" t="str">
        <f>IF([2]Entry!$M$595="","",[2]Entry!$M$595)</f>
        <v/>
      </c>
      <c r="O592" t="str">
        <f>IF([2]Entry!$N$595="","",[2]Entry!$N$595)</f>
        <v/>
      </c>
      <c r="P592" t="str">
        <f>IF([2]Entry!$S$595="","",[2]Entry!$S$595)</f>
        <v/>
      </c>
    </row>
    <row r="593" spans="12:16" x14ac:dyDescent="0.2">
      <c r="L593" t="str">
        <f>IF([2]Entry!$C$596="","",[2]Entry!$C$596)</f>
        <v/>
      </c>
      <c r="M593" t="str">
        <f>IF([2]Entry!$J$596="","",[2]Entry!$J$596)</f>
        <v/>
      </c>
      <c r="N593" t="str">
        <f>IF([2]Entry!$M$596="","",[2]Entry!$M$596)</f>
        <v/>
      </c>
      <c r="O593" t="str">
        <f>IF([2]Entry!$N$596="","",[2]Entry!$N$596)</f>
        <v/>
      </c>
      <c r="P593" t="str">
        <f>IF([2]Entry!$S$596="","",[2]Entry!$S$596)</f>
        <v/>
      </c>
    </row>
    <row r="594" spans="12:16" x14ac:dyDescent="0.2">
      <c r="L594" t="str">
        <f>IF([2]Entry!$C$597="","",[2]Entry!$C$597)</f>
        <v/>
      </c>
      <c r="M594" t="str">
        <f>IF([2]Entry!$J$597="","",[2]Entry!$J$597)</f>
        <v/>
      </c>
      <c r="N594" t="str">
        <f>IF([2]Entry!$M$597="","",[2]Entry!$M$597)</f>
        <v/>
      </c>
      <c r="O594" t="str">
        <f>IF([2]Entry!$N$597="","",[2]Entry!$N$597)</f>
        <v/>
      </c>
      <c r="P594" t="str">
        <f>IF([2]Entry!$S$597="","",[2]Entry!$S$597)</f>
        <v/>
      </c>
    </row>
    <row r="595" spans="12:16" x14ac:dyDescent="0.2">
      <c r="L595" t="str">
        <f>IF([2]Entry!$C$598="","",[2]Entry!$C$598)</f>
        <v/>
      </c>
      <c r="M595" t="str">
        <f>IF([2]Entry!$J$598="","",[2]Entry!$J$598)</f>
        <v/>
      </c>
      <c r="N595" t="str">
        <f>IF([2]Entry!$M$598="","",[2]Entry!$M$598)</f>
        <v/>
      </c>
      <c r="O595" t="str">
        <f>IF([2]Entry!$N$598="","",[2]Entry!$N$598)</f>
        <v/>
      </c>
      <c r="P595" t="str">
        <f>IF([2]Entry!$S$598="","",[2]Entry!$S$598)</f>
        <v/>
      </c>
    </row>
    <row r="596" spans="12:16" x14ac:dyDescent="0.2">
      <c r="L596" t="str">
        <f>IF([2]Entry!$C$599="","",[2]Entry!$C$599)</f>
        <v/>
      </c>
      <c r="M596" t="str">
        <f>IF([2]Entry!$J$599="","",[2]Entry!$J$599)</f>
        <v/>
      </c>
      <c r="N596" t="str">
        <f>IF([2]Entry!$M$599="","",[2]Entry!$M$599)</f>
        <v/>
      </c>
      <c r="O596" t="str">
        <f>IF([2]Entry!$N$599="","",[2]Entry!$N$599)</f>
        <v/>
      </c>
      <c r="P596" t="str">
        <f>IF([2]Entry!$S$599="","",[2]Entry!$S$599)</f>
        <v/>
      </c>
    </row>
    <row r="597" spans="12:16" x14ac:dyDescent="0.2">
      <c r="L597" t="str">
        <f>IF([2]Entry!$C$600="","",[2]Entry!$C$600)</f>
        <v/>
      </c>
      <c r="M597" t="str">
        <f>IF([2]Entry!$J$600="","",[2]Entry!$J$600)</f>
        <v/>
      </c>
      <c r="N597" t="str">
        <f>IF([2]Entry!$M$600="","",[2]Entry!$M$600)</f>
        <v/>
      </c>
      <c r="O597" t="str">
        <f>IF([2]Entry!$N$600="","",[2]Entry!$N$600)</f>
        <v/>
      </c>
      <c r="P597" t="str">
        <f>IF([2]Entry!$S$600="","",[2]Entry!$S$600)</f>
        <v/>
      </c>
    </row>
    <row r="598" spans="12:16" x14ac:dyDescent="0.2">
      <c r="L598" t="str">
        <f>IF([2]Entry!$C$601="","",[2]Entry!$C$601)</f>
        <v/>
      </c>
      <c r="M598" t="str">
        <f>IF([2]Entry!$J$601="","",[2]Entry!$J$601)</f>
        <v/>
      </c>
      <c r="N598" t="str">
        <f>IF([2]Entry!$M$601="","",[2]Entry!$M$601)</f>
        <v/>
      </c>
      <c r="O598" t="str">
        <f>IF([2]Entry!$N$601="","",[2]Entry!$N$601)</f>
        <v/>
      </c>
      <c r="P598" t="str">
        <f>IF([2]Entry!$S$601="","",[2]Entry!$S$601)</f>
        <v/>
      </c>
    </row>
    <row r="599" spans="12:16" x14ac:dyDescent="0.2">
      <c r="L599" t="str">
        <f>IF([2]Entry!$C$602="","",[2]Entry!$C$602)</f>
        <v/>
      </c>
      <c r="M599" t="str">
        <f>IF([2]Entry!$J$602="","",[2]Entry!$J$602)</f>
        <v/>
      </c>
      <c r="N599" t="str">
        <f>IF([2]Entry!$M$602="","",[2]Entry!$M$602)</f>
        <v/>
      </c>
      <c r="O599" t="str">
        <f>IF([2]Entry!$N$602="","",[2]Entry!$N$602)</f>
        <v/>
      </c>
      <c r="P599" t="str">
        <f>IF([2]Entry!$S$602="","",[2]Entry!$S$602)</f>
        <v/>
      </c>
    </row>
    <row r="600" spans="12:16" x14ac:dyDescent="0.2">
      <c r="L600" t="str">
        <f>IF([2]Entry!$C$603="","",[2]Entry!$C$603)</f>
        <v/>
      </c>
      <c r="M600" t="str">
        <f>IF([2]Entry!$J$603="","",[2]Entry!$J$603)</f>
        <v/>
      </c>
      <c r="N600" t="str">
        <f>IF([2]Entry!$M$603="","",[2]Entry!$M$603)</f>
        <v/>
      </c>
      <c r="O600" t="str">
        <f>IF([2]Entry!$N$603="","",[2]Entry!$N$603)</f>
        <v/>
      </c>
      <c r="P600" t="str">
        <f>IF([2]Entry!$S$603="","",[2]Entry!$S$603)</f>
        <v/>
      </c>
    </row>
    <row r="601" spans="12:16" x14ac:dyDescent="0.2">
      <c r="L601" t="str">
        <f>IF([2]Entry!$C$604="","",[2]Entry!$C$604)</f>
        <v/>
      </c>
      <c r="M601" t="str">
        <f>IF([2]Entry!$J$604="","",[2]Entry!$J$604)</f>
        <v/>
      </c>
      <c r="N601" t="str">
        <f>IF([2]Entry!$M$604="","",[2]Entry!$M$604)</f>
        <v/>
      </c>
      <c r="O601" t="str">
        <f>IF([2]Entry!$N$604="","",[2]Entry!$N$604)</f>
        <v/>
      </c>
      <c r="P601" t="str">
        <f>IF([2]Entry!$S$604="","",[2]Entry!$S$604)</f>
        <v/>
      </c>
    </row>
    <row r="602" spans="12:16" x14ac:dyDescent="0.2">
      <c r="L602" t="str">
        <f>IF([2]Entry!$C$605="","",[2]Entry!$C$605)</f>
        <v/>
      </c>
      <c r="M602" t="str">
        <f>IF([2]Entry!$J$605="","",[2]Entry!$J$605)</f>
        <v/>
      </c>
      <c r="N602" t="str">
        <f>IF([2]Entry!$M$605="","",[2]Entry!$M$605)</f>
        <v/>
      </c>
      <c r="O602" t="str">
        <f>IF([2]Entry!$N$605="","",[2]Entry!$N$605)</f>
        <v/>
      </c>
      <c r="P602" t="str">
        <f>IF([2]Entry!$S$605="","",[2]Entry!$S$605)</f>
        <v/>
      </c>
    </row>
    <row r="603" spans="12:16" x14ac:dyDescent="0.2">
      <c r="L603" t="str">
        <f>IF([2]Entry!$C$606="","",[2]Entry!$C$606)</f>
        <v/>
      </c>
      <c r="M603" t="str">
        <f>IF([2]Entry!$J$606="","",[2]Entry!$J$606)</f>
        <v/>
      </c>
      <c r="N603" t="str">
        <f>IF([2]Entry!$M$606="","",[2]Entry!$M$606)</f>
        <v/>
      </c>
      <c r="O603" t="str">
        <f>IF([2]Entry!$N$606="","",[2]Entry!$N$606)</f>
        <v/>
      </c>
      <c r="P603" t="str">
        <f>IF([2]Entry!$S$606="","",[2]Entry!$S$606)</f>
        <v/>
      </c>
    </row>
    <row r="604" spans="12:16" x14ac:dyDescent="0.2">
      <c r="L604" t="str">
        <f>IF([2]Entry!$C$607="","",[2]Entry!$C$607)</f>
        <v/>
      </c>
      <c r="M604" t="str">
        <f>IF([2]Entry!$J$607="","",[2]Entry!$J$607)</f>
        <v/>
      </c>
      <c r="N604" t="str">
        <f>IF([2]Entry!$M$607="","",[2]Entry!$M$607)</f>
        <v/>
      </c>
      <c r="O604" t="str">
        <f>IF([2]Entry!$N$607="","",[2]Entry!$N$607)</f>
        <v/>
      </c>
      <c r="P604" t="str">
        <f>IF([2]Entry!$S$607="","",[2]Entry!$S$607)</f>
        <v/>
      </c>
    </row>
    <row r="605" spans="12:16" x14ac:dyDescent="0.2">
      <c r="L605" t="str">
        <f>IF([2]Entry!$C$608="","",[2]Entry!$C$608)</f>
        <v/>
      </c>
      <c r="M605" t="str">
        <f>IF([2]Entry!$J$608="","",[2]Entry!$J$608)</f>
        <v/>
      </c>
      <c r="N605" t="str">
        <f>IF([2]Entry!$M$608="","",[2]Entry!$M$608)</f>
        <v/>
      </c>
      <c r="O605" t="str">
        <f>IF([2]Entry!$N$608="","",[2]Entry!$N$608)</f>
        <v/>
      </c>
      <c r="P605" t="str">
        <f>IF([2]Entry!$S$608="","",[2]Entry!$S$608)</f>
        <v/>
      </c>
    </row>
    <row r="606" spans="12:16" x14ac:dyDescent="0.2">
      <c r="L606" t="str">
        <f>IF([2]Entry!$C$609="","",[2]Entry!$C$609)</f>
        <v/>
      </c>
      <c r="M606" t="str">
        <f>IF([2]Entry!$J$609="","",[2]Entry!$J$609)</f>
        <v/>
      </c>
      <c r="N606" t="str">
        <f>IF([2]Entry!$M$609="","",[2]Entry!$M$609)</f>
        <v/>
      </c>
      <c r="O606" t="str">
        <f>IF([2]Entry!$N$609="","",[2]Entry!$N$609)</f>
        <v/>
      </c>
      <c r="P606" t="str">
        <f>IF([2]Entry!$S$609="","",[2]Entry!$S$609)</f>
        <v/>
      </c>
    </row>
    <row r="607" spans="12:16" x14ac:dyDescent="0.2">
      <c r="L607" t="str">
        <f>IF([2]Entry!$C$610="","",[2]Entry!$C$610)</f>
        <v/>
      </c>
      <c r="M607" t="str">
        <f>IF([2]Entry!$J$610="","",[2]Entry!$J$610)</f>
        <v/>
      </c>
      <c r="N607" t="str">
        <f>IF([2]Entry!$M$610="","",[2]Entry!$M$610)</f>
        <v/>
      </c>
      <c r="O607" t="str">
        <f>IF([2]Entry!$N$610="","",[2]Entry!$N$610)</f>
        <v/>
      </c>
      <c r="P607" t="str">
        <f>IF([2]Entry!$S$610="","",[2]Entry!$S$610)</f>
        <v/>
      </c>
    </row>
    <row r="608" spans="12:16" x14ac:dyDescent="0.2">
      <c r="L608" t="str">
        <f>IF([2]Entry!$C$611="","",[2]Entry!$C$611)</f>
        <v/>
      </c>
      <c r="M608" t="str">
        <f>IF([2]Entry!$J$611="","",[2]Entry!$J$611)</f>
        <v/>
      </c>
      <c r="N608" t="str">
        <f>IF([2]Entry!$M$611="","",[2]Entry!$M$611)</f>
        <v/>
      </c>
      <c r="O608" t="str">
        <f>IF([2]Entry!$N$611="","",[2]Entry!$N$611)</f>
        <v/>
      </c>
      <c r="P608" t="str">
        <f>IF([2]Entry!$S$611="","",[2]Entry!$S$611)</f>
        <v/>
      </c>
    </row>
    <row r="609" spans="12:16" x14ac:dyDescent="0.2">
      <c r="L609" t="str">
        <f>IF([2]Entry!$C$612="","",[2]Entry!$C$612)</f>
        <v/>
      </c>
      <c r="M609" t="str">
        <f>IF([2]Entry!$J$612="","",[2]Entry!$J$612)</f>
        <v/>
      </c>
      <c r="N609" t="str">
        <f>IF([2]Entry!$M$612="","",[2]Entry!$M$612)</f>
        <v/>
      </c>
      <c r="O609" t="str">
        <f>IF([2]Entry!$N$612="","",[2]Entry!$N$612)</f>
        <v/>
      </c>
      <c r="P609" t="str">
        <f>IF([2]Entry!$S$612="","",[2]Entry!$S$612)</f>
        <v/>
      </c>
    </row>
    <row r="610" spans="12:16" x14ac:dyDescent="0.2">
      <c r="L610" t="str">
        <f>IF([2]Entry!$C$613="","",[2]Entry!$C$613)</f>
        <v/>
      </c>
      <c r="M610" t="str">
        <f>IF([2]Entry!$J$613="","",[2]Entry!$J$613)</f>
        <v/>
      </c>
      <c r="N610" t="str">
        <f>IF([2]Entry!$M$613="","",[2]Entry!$M$613)</f>
        <v/>
      </c>
      <c r="O610" t="str">
        <f>IF([2]Entry!$N$613="","",[2]Entry!$N$613)</f>
        <v/>
      </c>
      <c r="P610" t="str">
        <f>IF([2]Entry!$S$613="","",[2]Entry!$S$613)</f>
        <v/>
      </c>
    </row>
    <row r="611" spans="12:16" x14ac:dyDescent="0.2">
      <c r="L611" t="str">
        <f>IF([2]Entry!$C$614="","",[2]Entry!$C$614)</f>
        <v/>
      </c>
      <c r="M611" t="str">
        <f>IF([2]Entry!$J$614="","",[2]Entry!$J$614)</f>
        <v/>
      </c>
      <c r="N611" t="str">
        <f>IF([2]Entry!$M$614="","",[2]Entry!$M$614)</f>
        <v/>
      </c>
      <c r="O611" t="str">
        <f>IF([2]Entry!$N$614="","",[2]Entry!$N$614)</f>
        <v/>
      </c>
      <c r="P611" t="str">
        <f>IF([2]Entry!$S$614="","",[2]Entry!$S$614)</f>
        <v/>
      </c>
    </row>
    <row r="612" spans="12:16" x14ac:dyDescent="0.2">
      <c r="L612" t="str">
        <f>IF([2]Entry!$C$615="","",[2]Entry!$C$615)</f>
        <v/>
      </c>
      <c r="M612" t="str">
        <f>IF([2]Entry!$J$615="","",[2]Entry!$J$615)</f>
        <v/>
      </c>
      <c r="N612" t="str">
        <f>IF([2]Entry!$M$615="","",[2]Entry!$M$615)</f>
        <v/>
      </c>
      <c r="O612" t="str">
        <f>IF([2]Entry!$N$615="","",[2]Entry!$N$615)</f>
        <v/>
      </c>
      <c r="P612" t="str">
        <f>IF([2]Entry!$S$615="","",[2]Entry!$S$615)</f>
        <v/>
      </c>
    </row>
    <row r="613" spans="12:16" x14ac:dyDescent="0.2">
      <c r="L613" t="str">
        <f>IF([2]Entry!$C$616="","",[2]Entry!$C$616)</f>
        <v/>
      </c>
      <c r="M613" t="str">
        <f>IF([2]Entry!$J$616="","",[2]Entry!$J$616)</f>
        <v/>
      </c>
      <c r="N613" t="str">
        <f>IF([2]Entry!$M$616="","",[2]Entry!$M$616)</f>
        <v/>
      </c>
      <c r="O613" t="str">
        <f>IF([2]Entry!$N$616="","",[2]Entry!$N$616)</f>
        <v/>
      </c>
      <c r="P613" t="str">
        <f>IF([2]Entry!$S$616="","",[2]Entry!$S$616)</f>
        <v/>
      </c>
    </row>
    <row r="614" spans="12:16" x14ac:dyDescent="0.2">
      <c r="L614" t="str">
        <f>IF([2]Entry!$C$617="","",[2]Entry!$C$617)</f>
        <v/>
      </c>
      <c r="M614" t="str">
        <f>IF([2]Entry!$J$617="","",[2]Entry!$J$617)</f>
        <v/>
      </c>
      <c r="N614" t="str">
        <f>IF([2]Entry!$M$617="","",[2]Entry!$M$617)</f>
        <v/>
      </c>
      <c r="O614" t="str">
        <f>IF([2]Entry!$N$617="","",[2]Entry!$N$617)</f>
        <v/>
      </c>
      <c r="P614" t="str">
        <f>IF([2]Entry!$S$617="","",[2]Entry!$S$617)</f>
        <v/>
      </c>
    </row>
    <row r="615" spans="12:16" x14ac:dyDescent="0.2">
      <c r="L615" t="str">
        <f>IF([2]Entry!$C$618="","",[2]Entry!$C$618)</f>
        <v/>
      </c>
      <c r="M615" t="str">
        <f>IF([2]Entry!$J$618="","",[2]Entry!$J$618)</f>
        <v/>
      </c>
      <c r="N615" t="str">
        <f>IF([2]Entry!$M$618="","",[2]Entry!$M$618)</f>
        <v/>
      </c>
      <c r="O615" t="str">
        <f>IF([2]Entry!$N$618="","",[2]Entry!$N$618)</f>
        <v/>
      </c>
      <c r="P615" t="str">
        <f>IF([2]Entry!$S$618="","",[2]Entry!$S$618)</f>
        <v/>
      </c>
    </row>
    <row r="616" spans="12:16" x14ac:dyDescent="0.2">
      <c r="L616" t="str">
        <f>IF([2]Entry!$C$619="","",[2]Entry!$C$619)</f>
        <v/>
      </c>
      <c r="M616" t="str">
        <f>IF([2]Entry!$J$619="","",[2]Entry!$J$619)</f>
        <v/>
      </c>
      <c r="N616" t="str">
        <f>IF([2]Entry!$M$619="","",[2]Entry!$M$619)</f>
        <v/>
      </c>
      <c r="O616" t="str">
        <f>IF([2]Entry!$N$619="","",[2]Entry!$N$619)</f>
        <v/>
      </c>
      <c r="P616" t="str">
        <f>IF([2]Entry!$S$619="","",[2]Entry!$S$619)</f>
        <v/>
      </c>
    </row>
    <row r="617" spans="12:16" x14ac:dyDescent="0.2">
      <c r="L617" t="str">
        <f>IF([2]Entry!$C$620="","",[2]Entry!$C$620)</f>
        <v/>
      </c>
      <c r="M617" t="str">
        <f>IF([2]Entry!$J$620="","",[2]Entry!$J$620)</f>
        <v/>
      </c>
      <c r="N617" t="str">
        <f>IF([2]Entry!$M$620="","",[2]Entry!$M$620)</f>
        <v/>
      </c>
      <c r="O617" t="str">
        <f>IF([2]Entry!$N$620="","",[2]Entry!$N$620)</f>
        <v/>
      </c>
      <c r="P617" t="str">
        <f>IF([2]Entry!$S$620="","",[2]Entry!$S$620)</f>
        <v/>
      </c>
    </row>
    <row r="618" spans="12:16" x14ac:dyDescent="0.2">
      <c r="L618" t="str">
        <f>IF([2]Entry!$C$621="","",[2]Entry!$C$621)</f>
        <v/>
      </c>
      <c r="M618" t="str">
        <f>IF([2]Entry!$J$621="","",[2]Entry!$J$621)</f>
        <v/>
      </c>
      <c r="N618" t="str">
        <f>IF([2]Entry!$M$621="","",[2]Entry!$M$621)</f>
        <v/>
      </c>
      <c r="O618" t="str">
        <f>IF([2]Entry!$N$621="","",[2]Entry!$N$621)</f>
        <v/>
      </c>
      <c r="P618" t="str">
        <f>IF([2]Entry!$S$621="","",[2]Entry!$S$621)</f>
        <v/>
      </c>
    </row>
    <row r="619" spans="12:16" x14ac:dyDescent="0.2">
      <c r="L619" t="str">
        <f>IF([2]Entry!$C$622="","",[2]Entry!$C$622)</f>
        <v/>
      </c>
      <c r="M619" t="str">
        <f>IF([2]Entry!$J$622="","",[2]Entry!$J$622)</f>
        <v/>
      </c>
      <c r="N619" t="str">
        <f>IF([2]Entry!$M$622="","",[2]Entry!$M$622)</f>
        <v/>
      </c>
      <c r="O619" t="str">
        <f>IF([2]Entry!$N$622="","",[2]Entry!$N$622)</f>
        <v/>
      </c>
      <c r="P619" t="str">
        <f>IF([2]Entry!$S$622="","",[2]Entry!$S$622)</f>
        <v/>
      </c>
    </row>
    <row r="620" spans="12:16" x14ac:dyDescent="0.2">
      <c r="L620" t="str">
        <f>IF([2]Entry!$C$623="","",[2]Entry!$C$623)</f>
        <v/>
      </c>
      <c r="M620" t="str">
        <f>IF([2]Entry!$J$623="","",[2]Entry!$J$623)</f>
        <v/>
      </c>
      <c r="N620" t="str">
        <f>IF([2]Entry!$M$623="","",[2]Entry!$M$623)</f>
        <v/>
      </c>
      <c r="O620" t="str">
        <f>IF([2]Entry!$N$623="","",[2]Entry!$N$623)</f>
        <v/>
      </c>
      <c r="P620" t="str">
        <f>IF([2]Entry!$S$623="","",[2]Entry!$S$623)</f>
        <v/>
      </c>
    </row>
    <row r="621" spans="12:16" x14ac:dyDescent="0.2">
      <c r="L621" t="str">
        <f>IF([2]Entry!$C$624="","",[2]Entry!$C$624)</f>
        <v/>
      </c>
      <c r="M621" t="str">
        <f>IF([2]Entry!$J$624="","",[2]Entry!$J$624)</f>
        <v/>
      </c>
      <c r="N621" t="str">
        <f>IF([2]Entry!$M$624="","",[2]Entry!$M$624)</f>
        <v/>
      </c>
      <c r="O621" t="str">
        <f>IF([2]Entry!$N$624="","",[2]Entry!$N$624)</f>
        <v/>
      </c>
      <c r="P621" t="str">
        <f>IF([2]Entry!$S$624="","",[2]Entry!$S$624)</f>
        <v/>
      </c>
    </row>
    <row r="622" spans="12:16" x14ac:dyDescent="0.2">
      <c r="L622" t="str">
        <f>IF([2]Entry!$C$625="","",[2]Entry!$C$625)</f>
        <v/>
      </c>
      <c r="M622" t="str">
        <f>IF([2]Entry!$J$625="","",[2]Entry!$J$625)</f>
        <v/>
      </c>
      <c r="N622" t="str">
        <f>IF([2]Entry!$M$625="","",[2]Entry!$M$625)</f>
        <v/>
      </c>
      <c r="O622" t="str">
        <f>IF([2]Entry!$N$625="","",[2]Entry!$N$625)</f>
        <v/>
      </c>
      <c r="P622" t="str">
        <f>IF([2]Entry!$S$625="","",[2]Entry!$S$625)</f>
        <v/>
      </c>
    </row>
    <row r="623" spans="12:16" x14ac:dyDescent="0.2">
      <c r="L623" t="str">
        <f>IF([2]Entry!$C$626="","",[2]Entry!$C$626)</f>
        <v/>
      </c>
      <c r="M623" t="str">
        <f>IF([2]Entry!$J$626="","",[2]Entry!$J$626)</f>
        <v/>
      </c>
      <c r="N623" t="str">
        <f>IF([2]Entry!$M$626="","",[2]Entry!$M$626)</f>
        <v/>
      </c>
      <c r="O623" t="str">
        <f>IF([2]Entry!$N$626="","",[2]Entry!$N$626)</f>
        <v/>
      </c>
      <c r="P623" t="str">
        <f>IF([2]Entry!$S$626="","",[2]Entry!$S$626)</f>
        <v/>
      </c>
    </row>
    <row r="624" spans="12:16" x14ac:dyDescent="0.2">
      <c r="L624" t="str">
        <f>IF([2]Entry!$C$627="","",[2]Entry!$C$627)</f>
        <v/>
      </c>
      <c r="M624" t="str">
        <f>IF([2]Entry!$J$627="","",[2]Entry!$J$627)</f>
        <v/>
      </c>
      <c r="N624" t="str">
        <f>IF([2]Entry!$M$627="","",[2]Entry!$M$627)</f>
        <v/>
      </c>
      <c r="O624" t="str">
        <f>IF([2]Entry!$N$627="","",[2]Entry!$N$627)</f>
        <v/>
      </c>
      <c r="P624" t="str">
        <f>IF([2]Entry!$S$627="","",[2]Entry!$S$627)</f>
        <v/>
      </c>
    </row>
    <row r="625" spans="12:16" x14ac:dyDescent="0.2">
      <c r="L625" t="str">
        <f>IF([2]Entry!$C$628="","",[2]Entry!$C$628)</f>
        <v/>
      </c>
      <c r="M625" t="str">
        <f>IF([2]Entry!$J$628="","",[2]Entry!$J$628)</f>
        <v/>
      </c>
      <c r="N625" t="str">
        <f>IF([2]Entry!$M$628="","",[2]Entry!$M$628)</f>
        <v/>
      </c>
      <c r="O625" t="str">
        <f>IF([2]Entry!$N$628="","",[2]Entry!$N$628)</f>
        <v/>
      </c>
      <c r="P625" t="str">
        <f>IF([2]Entry!$S$628="","",[2]Entry!$S$628)</f>
        <v/>
      </c>
    </row>
    <row r="626" spans="12:16" x14ac:dyDescent="0.2">
      <c r="L626" t="str">
        <f>IF([2]Entry!$C$629="","",[2]Entry!$C$629)</f>
        <v/>
      </c>
      <c r="M626" t="str">
        <f>IF([2]Entry!$J$629="","",[2]Entry!$J$629)</f>
        <v/>
      </c>
      <c r="N626" t="str">
        <f>IF([2]Entry!$M$629="","",[2]Entry!$M$629)</f>
        <v/>
      </c>
      <c r="O626" t="str">
        <f>IF([2]Entry!$N$629="","",[2]Entry!$N$629)</f>
        <v/>
      </c>
      <c r="P626" t="str">
        <f>IF([2]Entry!$S$629="","",[2]Entry!$S$629)</f>
        <v/>
      </c>
    </row>
    <row r="627" spans="12:16" x14ac:dyDescent="0.2">
      <c r="L627" t="str">
        <f>IF([2]Entry!$C$630="","",[2]Entry!$C$630)</f>
        <v/>
      </c>
      <c r="M627" t="str">
        <f>IF([2]Entry!$J$630="","",[2]Entry!$J$630)</f>
        <v/>
      </c>
      <c r="N627" t="str">
        <f>IF([2]Entry!$M$630="","",[2]Entry!$M$630)</f>
        <v/>
      </c>
      <c r="O627" t="str">
        <f>IF([2]Entry!$N$630="","",[2]Entry!$N$630)</f>
        <v/>
      </c>
      <c r="P627" t="str">
        <f>IF([2]Entry!$S$630="","",[2]Entry!$S$630)</f>
        <v/>
      </c>
    </row>
    <row r="628" spans="12:16" x14ac:dyDescent="0.2">
      <c r="L628" t="str">
        <f>IF([2]Entry!$C$631="","",[2]Entry!$C$631)</f>
        <v/>
      </c>
      <c r="M628" t="str">
        <f>IF([2]Entry!$J$631="","",[2]Entry!$J$631)</f>
        <v/>
      </c>
      <c r="N628" t="str">
        <f>IF([2]Entry!$M$631="","",[2]Entry!$M$631)</f>
        <v/>
      </c>
      <c r="O628" t="str">
        <f>IF([2]Entry!$N$631="","",[2]Entry!$N$631)</f>
        <v/>
      </c>
      <c r="P628" t="str">
        <f>IF([2]Entry!$S$631="","",[2]Entry!$S$631)</f>
        <v/>
      </c>
    </row>
    <row r="629" spans="12:16" x14ac:dyDescent="0.2">
      <c r="L629" t="str">
        <f>IF([2]Entry!$C$632="","",[2]Entry!$C$632)</f>
        <v/>
      </c>
      <c r="M629" t="str">
        <f>IF([2]Entry!$J$632="","",[2]Entry!$J$632)</f>
        <v/>
      </c>
      <c r="N629" t="str">
        <f>IF([2]Entry!$M$632="","",[2]Entry!$M$632)</f>
        <v/>
      </c>
      <c r="O629" t="str">
        <f>IF([2]Entry!$N$632="","",[2]Entry!$N$632)</f>
        <v/>
      </c>
      <c r="P629" t="str">
        <f>IF([2]Entry!$S$632="","",[2]Entry!$S$632)</f>
        <v/>
      </c>
    </row>
    <row r="630" spans="12:16" x14ac:dyDescent="0.2">
      <c r="L630" t="str">
        <f>IF([2]Entry!$C$633="","",[2]Entry!$C$633)</f>
        <v/>
      </c>
      <c r="M630" t="str">
        <f>IF([2]Entry!$J$633="","",[2]Entry!$J$633)</f>
        <v/>
      </c>
      <c r="N630" t="str">
        <f>IF([2]Entry!$M$633="","",[2]Entry!$M$633)</f>
        <v/>
      </c>
      <c r="O630" t="str">
        <f>IF([2]Entry!$N$633="","",[2]Entry!$N$633)</f>
        <v/>
      </c>
      <c r="P630" t="str">
        <f>IF([2]Entry!$S$633="","",[2]Entry!$S$633)</f>
        <v/>
      </c>
    </row>
    <row r="631" spans="12:16" x14ac:dyDescent="0.2">
      <c r="L631" t="str">
        <f>IF([2]Entry!$C$634="","",[2]Entry!$C$634)</f>
        <v/>
      </c>
      <c r="M631" t="str">
        <f>IF([2]Entry!$J$634="","",[2]Entry!$J$634)</f>
        <v/>
      </c>
      <c r="N631" t="str">
        <f>IF([2]Entry!$M$634="","",[2]Entry!$M$634)</f>
        <v/>
      </c>
      <c r="O631" t="str">
        <f>IF([2]Entry!$N$634="","",[2]Entry!$N$634)</f>
        <v/>
      </c>
      <c r="P631" t="str">
        <f>IF([2]Entry!$S$634="","",[2]Entry!$S$634)</f>
        <v/>
      </c>
    </row>
    <row r="632" spans="12:16" x14ac:dyDescent="0.2">
      <c r="L632" t="str">
        <f>IF([2]Entry!$C$635="","",[2]Entry!$C$635)</f>
        <v/>
      </c>
      <c r="M632" t="str">
        <f>IF([2]Entry!$J$635="","",[2]Entry!$J$635)</f>
        <v/>
      </c>
      <c r="N632" t="str">
        <f>IF([2]Entry!$M$635="","",[2]Entry!$M$635)</f>
        <v/>
      </c>
      <c r="O632" t="str">
        <f>IF([2]Entry!$N$635="","",[2]Entry!$N$635)</f>
        <v/>
      </c>
      <c r="P632" t="str">
        <f>IF([2]Entry!$S$635="","",[2]Entry!$S$635)</f>
        <v/>
      </c>
    </row>
    <row r="633" spans="12:16" x14ac:dyDescent="0.2">
      <c r="L633" t="str">
        <f>IF([2]Entry!$C$636="","",[2]Entry!$C$636)</f>
        <v/>
      </c>
      <c r="M633" t="str">
        <f>IF([2]Entry!$J$636="","",[2]Entry!$J$636)</f>
        <v/>
      </c>
      <c r="N633" t="str">
        <f>IF([2]Entry!$M$636="","",[2]Entry!$M$636)</f>
        <v/>
      </c>
      <c r="O633" t="str">
        <f>IF([2]Entry!$N$636="","",[2]Entry!$N$636)</f>
        <v/>
      </c>
      <c r="P633" t="str">
        <f>IF([2]Entry!$S$636="","",[2]Entry!$S$636)</f>
        <v/>
      </c>
    </row>
    <row r="634" spans="12:16" x14ac:dyDescent="0.2">
      <c r="L634" t="str">
        <f>IF([2]Entry!$C$637="","",[2]Entry!$C$637)</f>
        <v/>
      </c>
      <c r="M634" t="str">
        <f>IF([2]Entry!$J$637="","",[2]Entry!$J$637)</f>
        <v/>
      </c>
      <c r="N634" t="str">
        <f>IF([2]Entry!$M$637="","",[2]Entry!$M$637)</f>
        <v/>
      </c>
      <c r="O634" t="str">
        <f>IF([2]Entry!$N$637="","",[2]Entry!$N$637)</f>
        <v/>
      </c>
      <c r="P634" t="str">
        <f>IF([2]Entry!$S$637="","",[2]Entry!$S$637)</f>
        <v/>
      </c>
    </row>
    <row r="635" spans="12:16" x14ac:dyDescent="0.2">
      <c r="L635" t="str">
        <f>IF([2]Entry!$C$638="","",[2]Entry!$C$638)</f>
        <v/>
      </c>
      <c r="M635" t="str">
        <f>IF([2]Entry!$J$638="","",[2]Entry!$J$638)</f>
        <v/>
      </c>
      <c r="N635" t="str">
        <f>IF([2]Entry!$M$638="","",[2]Entry!$M$638)</f>
        <v/>
      </c>
      <c r="O635" t="str">
        <f>IF([2]Entry!$N$638="","",[2]Entry!$N$638)</f>
        <v/>
      </c>
      <c r="P635" t="str">
        <f>IF([2]Entry!$S$638="","",[2]Entry!$S$638)</f>
        <v/>
      </c>
    </row>
    <row r="636" spans="12:16" x14ac:dyDescent="0.2">
      <c r="L636" t="str">
        <f>IF([2]Entry!$C$639="","",[2]Entry!$C$639)</f>
        <v/>
      </c>
      <c r="M636" t="str">
        <f>IF([2]Entry!$J$639="","",[2]Entry!$J$639)</f>
        <v/>
      </c>
      <c r="N636" t="str">
        <f>IF([2]Entry!$M$639="","",[2]Entry!$M$639)</f>
        <v/>
      </c>
      <c r="O636" t="str">
        <f>IF([2]Entry!$N$639="","",[2]Entry!$N$639)</f>
        <v/>
      </c>
      <c r="P636" t="str">
        <f>IF([2]Entry!$S$639="","",[2]Entry!$S$639)</f>
        <v/>
      </c>
    </row>
    <row r="637" spans="12:16" x14ac:dyDescent="0.2">
      <c r="L637" t="str">
        <f>IF([2]Entry!$C$640="","",[2]Entry!$C$640)</f>
        <v/>
      </c>
      <c r="M637" t="str">
        <f>IF([2]Entry!$J$640="","",[2]Entry!$J$640)</f>
        <v/>
      </c>
      <c r="N637" t="str">
        <f>IF([2]Entry!$M$640="","",[2]Entry!$M$640)</f>
        <v/>
      </c>
      <c r="O637" t="str">
        <f>IF([2]Entry!$N$640="","",[2]Entry!$N$640)</f>
        <v/>
      </c>
      <c r="P637" t="str">
        <f>IF([2]Entry!$S$640="","",[2]Entry!$S$640)</f>
        <v/>
      </c>
    </row>
    <row r="638" spans="12:16" x14ac:dyDescent="0.2">
      <c r="L638" t="str">
        <f>IF([2]Entry!$C$641="","",[2]Entry!$C$641)</f>
        <v/>
      </c>
      <c r="M638" t="str">
        <f>IF([2]Entry!$J$641="","",[2]Entry!$J$641)</f>
        <v/>
      </c>
      <c r="N638" t="str">
        <f>IF([2]Entry!$M$641="","",[2]Entry!$M$641)</f>
        <v/>
      </c>
      <c r="O638" t="str">
        <f>IF([2]Entry!$N$641="","",[2]Entry!$N$641)</f>
        <v/>
      </c>
      <c r="P638" t="str">
        <f>IF([2]Entry!$S$641="","",[2]Entry!$S$641)</f>
        <v/>
      </c>
    </row>
    <row r="639" spans="12:16" x14ac:dyDescent="0.2">
      <c r="L639" t="str">
        <f>IF([2]Entry!$C$642="","",[2]Entry!$C$642)</f>
        <v/>
      </c>
      <c r="M639" t="str">
        <f>IF([2]Entry!$J$642="","",[2]Entry!$J$642)</f>
        <v/>
      </c>
      <c r="N639" t="str">
        <f>IF([2]Entry!$M$642="","",[2]Entry!$M$642)</f>
        <v/>
      </c>
      <c r="O639" t="str">
        <f>IF([2]Entry!$N$642="","",[2]Entry!$N$642)</f>
        <v/>
      </c>
      <c r="P639" t="str">
        <f>IF([2]Entry!$S$642="","",[2]Entry!$S$642)</f>
        <v/>
      </c>
    </row>
    <row r="640" spans="12:16" x14ac:dyDescent="0.2">
      <c r="L640" t="str">
        <f>IF([2]Entry!$C$643="","",[2]Entry!$C$643)</f>
        <v/>
      </c>
      <c r="M640" t="str">
        <f>IF([2]Entry!$J$643="","",[2]Entry!$J$643)</f>
        <v/>
      </c>
      <c r="N640" t="str">
        <f>IF([2]Entry!$M$643="","",[2]Entry!$M$643)</f>
        <v/>
      </c>
      <c r="O640" t="str">
        <f>IF([2]Entry!$N$643="","",[2]Entry!$N$643)</f>
        <v/>
      </c>
      <c r="P640" t="str">
        <f>IF([2]Entry!$S$643="","",[2]Entry!$S$643)</f>
        <v/>
      </c>
    </row>
    <row r="641" spans="12:16" x14ac:dyDescent="0.2">
      <c r="L641" t="str">
        <f>IF([2]Entry!$C$644="","",[2]Entry!$C$644)</f>
        <v/>
      </c>
      <c r="M641" t="str">
        <f>IF([2]Entry!$J$644="","",[2]Entry!$J$644)</f>
        <v/>
      </c>
      <c r="N641" t="str">
        <f>IF([2]Entry!$M$644="","",[2]Entry!$M$644)</f>
        <v/>
      </c>
      <c r="O641" t="str">
        <f>IF([2]Entry!$N$644="","",[2]Entry!$N$644)</f>
        <v/>
      </c>
      <c r="P641" t="str">
        <f>IF([2]Entry!$S$644="","",[2]Entry!$S$644)</f>
        <v/>
      </c>
    </row>
    <row r="642" spans="12:16" x14ac:dyDescent="0.2">
      <c r="L642" t="str">
        <f>IF([2]Entry!$C$645="","",[2]Entry!$C$645)</f>
        <v/>
      </c>
      <c r="M642" t="str">
        <f>IF([2]Entry!$J$645="","",[2]Entry!$J$645)</f>
        <v/>
      </c>
      <c r="N642" t="str">
        <f>IF([2]Entry!$M$645="","",[2]Entry!$M$645)</f>
        <v/>
      </c>
      <c r="O642" t="str">
        <f>IF([2]Entry!$N$645="","",[2]Entry!$N$645)</f>
        <v/>
      </c>
      <c r="P642" t="str">
        <f>IF([2]Entry!$S$645="","",[2]Entry!$S$645)</f>
        <v/>
      </c>
    </row>
    <row r="643" spans="12:16" x14ac:dyDescent="0.2">
      <c r="L643" t="str">
        <f>IF([2]Entry!$C$646="","",[2]Entry!$C$646)</f>
        <v/>
      </c>
      <c r="M643" t="str">
        <f>IF([2]Entry!$J$646="","",[2]Entry!$J$646)</f>
        <v/>
      </c>
      <c r="N643" t="str">
        <f>IF([2]Entry!$M$646="","",[2]Entry!$M$646)</f>
        <v/>
      </c>
      <c r="O643" t="str">
        <f>IF([2]Entry!$N$646="","",[2]Entry!$N$646)</f>
        <v/>
      </c>
      <c r="P643" t="str">
        <f>IF([2]Entry!$S$646="","",[2]Entry!$S$646)</f>
        <v/>
      </c>
    </row>
    <row r="644" spans="12:16" x14ac:dyDescent="0.2">
      <c r="L644" t="str">
        <f>IF([2]Entry!$C$647="","",[2]Entry!$C$647)</f>
        <v/>
      </c>
      <c r="M644" t="str">
        <f>IF([2]Entry!$J$647="","",[2]Entry!$J$647)</f>
        <v/>
      </c>
      <c r="N644" t="str">
        <f>IF([2]Entry!$M$647="","",[2]Entry!$M$647)</f>
        <v/>
      </c>
      <c r="O644" t="str">
        <f>IF([2]Entry!$N$647="","",[2]Entry!$N$647)</f>
        <v/>
      </c>
      <c r="P644" t="str">
        <f>IF([2]Entry!$S$647="","",[2]Entry!$S$647)</f>
        <v/>
      </c>
    </row>
    <row r="645" spans="12:16" x14ac:dyDescent="0.2">
      <c r="L645" t="str">
        <f>IF([2]Entry!$C$648="","",[2]Entry!$C$648)</f>
        <v/>
      </c>
      <c r="M645" t="str">
        <f>IF([2]Entry!$J$648="","",[2]Entry!$J$648)</f>
        <v/>
      </c>
      <c r="N645" t="str">
        <f>IF([2]Entry!$M$648="","",[2]Entry!$M$648)</f>
        <v/>
      </c>
      <c r="O645" t="str">
        <f>IF([2]Entry!$N$648="","",[2]Entry!$N$648)</f>
        <v/>
      </c>
      <c r="P645" t="str">
        <f>IF([2]Entry!$S$648="","",[2]Entry!$S$648)</f>
        <v/>
      </c>
    </row>
    <row r="646" spans="12:16" x14ac:dyDescent="0.2">
      <c r="L646" t="str">
        <f>IF([2]Entry!$C$649="","",[2]Entry!$C$649)</f>
        <v/>
      </c>
      <c r="M646" t="str">
        <f>IF([2]Entry!$J$649="","",[2]Entry!$J$649)</f>
        <v/>
      </c>
      <c r="N646" t="str">
        <f>IF([2]Entry!$M$649="","",[2]Entry!$M$649)</f>
        <v/>
      </c>
      <c r="O646" t="str">
        <f>IF([2]Entry!$N$649="","",[2]Entry!$N$649)</f>
        <v/>
      </c>
      <c r="P646" t="str">
        <f>IF([2]Entry!$S$649="","",[2]Entry!$S$649)</f>
        <v/>
      </c>
    </row>
    <row r="647" spans="12:16" x14ac:dyDescent="0.2">
      <c r="L647" t="str">
        <f>IF([2]Entry!$C$650="","",[2]Entry!$C$650)</f>
        <v/>
      </c>
      <c r="M647" t="str">
        <f>IF([2]Entry!$J$650="","",[2]Entry!$J$650)</f>
        <v/>
      </c>
      <c r="N647" t="str">
        <f>IF([2]Entry!$M$650="","",[2]Entry!$M$650)</f>
        <v/>
      </c>
      <c r="O647" t="str">
        <f>IF([2]Entry!$N$650="","",[2]Entry!$N$650)</f>
        <v/>
      </c>
      <c r="P647" t="str">
        <f>IF([2]Entry!$S$650="","",[2]Entry!$S$650)</f>
        <v/>
      </c>
    </row>
    <row r="648" spans="12:16" x14ac:dyDescent="0.2">
      <c r="L648" t="str">
        <f>IF([2]Entry!$C$651="","",[2]Entry!$C$651)</f>
        <v/>
      </c>
      <c r="M648" t="str">
        <f>IF([2]Entry!$J$651="","",[2]Entry!$J$651)</f>
        <v/>
      </c>
      <c r="N648" t="str">
        <f>IF([2]Entry!$M$651="","",[2]Entry!$M$651)</f>
        <v/>
      </c>
      <c r="O648" t="str">
        <f>IF([2]Entry!$N$651="","",[2]Entry!$N$651)</f>
        <v/>
      </c>
      <c r="P648" t="str">
        <f>IF([2]Entry!$S$651="","",[2]Entry!$S$651)</f>
        <v/>
      </c>
    </row>
    <row r="649" spans="12:16" x14ac:dyDescent="0.2">
      <c r="L649" t="str">
        <f>IF([2]Entry!$C$652="","",[2]Entry!$C$652)</f>
        <v/>
      </c>
      <c r="M649" t="str">
        <f>IF([2]Entry!$J$652="","",[2]Entry!$J$652)</f>
        <v/>
      </c>
      <c r="N649" t="str">
        <f>IF([2]Entry!$M$652="","",[2]Entry!$M$652)</f>
        <v/>
      </c>
      <c r="O649" t="str">
        <f>IF([2]Entry!$N$652="","",[2]Entry!$N$652)</f>
        <v/>
      </c>
      <c r="P649" t="str">
        <f>IF([2]Entry!$S$652="","",[2]Entry!$S$652)</f>
        <v/>
      </c>
    </row>
    <row r="650" spans="12:16" x14ac:dyDescent="0.2">
      <c r="L650" t="str">
        <f>IF([2]Entry!$C$653="","",[2]Entry!$C$653)</f>
        <v/>
      </c>
      <c r="M650" t="str">
        <f>IF([2]Entry!$J$653="","",[2]Entry!$J$653)</f>
        <v/>
      </c>
      <c r="N650" t="str">
        <f>IF([2]Entry!$M$653="","",[2]Entry!$M$653)</f>
        <v/>
      </c>
      <c r="O650" t="str">
        <f>IF([2]Entry!$N$653="","",[2]Entry!$N$653)</f>
        <v/>
      </c>
      <c r="P650" t="str">
        <f>IF([2]Entry!$S$653="","",[2]Entry!$S$653)</f>
        <v/>
      </c>
    </row>
    <row r="651" spans="12:16" x14ac:dyDescent="0.2">
      <c r="L651" t="str">
        <f>IF([2]Entry!$C$654="","",[2]Entry!$C$654)</f>
        <v/>
      </c>
      <c r="M651" t="str">
        <f>IF([2]Entry!$J$654="","",[2]Entry!$J$654)</f>
        <v/>
      </c>
      <c r="N651" t="str">
        <f>IF([2]Entry!$M$654="","",[2]Entry!$M$654)</f>
        <v/>
      </c>
      <c r="O651" t="str">
        <f>IF([2]Entry!$N$654="","",[2]Entry!$N$654)</f>
        <v/>
      </c>
      <c r="P651" t="str">
        <f>IF([2]Entry!$S$654="","",[2]Entry!$S$654)</f>
        <v/>
      </c>
    </row>
    <row r="652" spans="12:16" x14ac:dyDescent="0.2">
      <c r="L652" t="str">
        <f>IF([2]Entry!$C$655="","",[2]Entry!$C$655)</f>
        <v/>
      </c>
      <c r="M652" t="str">
        <f>IF([2]Entry!$J$655="","",[2]Entry!$J$655)</f>
        <v/>
      </c>
      <c r="N652" t="str">
        <f>IF([2]Entry!$M$655="","",[2]Entry!$M$655)</f>
        <v/>
      </c>
      <c r="O652" t="str">
        <f>IF([2]Entry!$N$655="","",[2]Entry!$N$655)</f>
        <v/>
      </c>
      <c r="P652" t="str">
        <f>IF([2]Entry!$S$655="","",[2]Entry!$S$655)</f>
        <v/>
      </c>
    </row>
    <row r="653" spans="12:16" x14ac:dyDescent="0.2">
      <c r="L653" t="str">
        <f>IF([2]Entry!$C$656="","",[2]Entry!$C$656)</f>
        <v/>
      </c>
      <c r="M653" t="str">
        <f>IF([2]Entry!$J$656="","",[2]Entry!$J$656)</f>
        <v/>
      </c>
      <c r="N653" t="str">
        <f>IF([2]Entry!$M$656="","",[2]Entry!$M$656)</f>
        <v/>
      </c>
      <c r="O653" t="str">
        <f>IF([2]Entry!$N$656="","",[2]Entry!$N$656)</f>
        <v/>
      </c>
      <c r="P653" t="str">
        <f>IF([2]Entry!$S$656="","",[2]Entry!$S$656)</f>
        <v/>
      </c>
    </row>
    <row r="654" spans="12:16" x14ac:dyDescent="0.2">
      <c r="L654" t="str">
        <f>IF([2]Entry!$C$657="","",[2]Entry!$C$657)</f>
        <v/>
      </c>
      <c r="M654" t="str">
        <f>IF([2]Entry!$J$657="","",[2]Entry!$J$657)</f>
        <v/>
      </c>
      <c r="N654" t="str">
        <f>IF([2]Entry!$M$657="","",[2]Entry!$M$657)</f>
        <v/>
      </c>
      <c r="O654" t="str">
        <f>IF([2]Entry!$N$657="","",[2]Entry!$N$657)</f>
        <v/>
      </c>
      <c r="P654" t="str">
        <f>IF([2]Entry!$S$657="","",[2]Entry!$S$657)</f>
        <v/>
      </c>
    </row>
    <row r="655" spans="12:16" x14ac:dyDescent="0.2">
      <c r="L655" t="str">
        <f>IF([2]Entry!$C$658="","",[2]Entry!$C$658)</f>
        <v/>
      </c>
      <c r="M655" t="str">
        <f>IF([2]Entry!$J$658="","",[2]Entry!$J$658)</f>
        <v/>
      </c>
      <c r="N655" t="str">
        <f>IF([2]Entry!$M$658="","",[2]Entry!$M$658)</f>
        <v/>
      </c>
      <c r="O655" t="str">
        <f>IF([2]Entry!$N$658="","",[2]Entry!$N$658)</f>
        <v/>
      </c>
      <c r="P655" t="str">
        <f>IF([2]Entry!$S$658="","",[2]Entry!$S$658)</f>
        <v/>
      </c>
    </row>
    <row r="656" spans="12:16" x14ac:dyDescent="0.2">
      <c r="L656" t="str">
        <f>IF([2]Entry!$C$659="","",[2]Entry!$C$659)</f>
        <v/>
      </c>
      <c r="M656" t="str">
        <f>IF([2]Entry!$J$659="","",[2]Entry!$J$659)</f>
        <v/>
      </c>
      <c r="N656" t="str">
        <f>IF([2]Entry!$M$659="","",[2]Entry!$M$659)</f>
        <v/>
      </c>
      <c r="O656" t="str">
        <f>IF([2]Entry!$N$659="","",[2]Entry!$N$659)</f>
        <v/>
      </c>
      <c r="P656" t="str">
        <f>IF([2]Entry!$S$659="","",[2]Entry!$S$659)</f>
        <v/>
      </c>
    </row>
    <row r="657" spans="12:16" x14ac:dyDescent="0.2">
      <c r="L657" t="str">
        <f>IF([2]Entry!$C$660="","",[2]Entry!$C$660)</f>
        <v/>
      </c>
      <c r="M657" t="str">
        <f>IF([2]Entry!$J$660="","",[2]Entry!$J$660)</f>
        <v/>
      </c>
      <c r="N657" t="str">
        <f>IF([2]Entry!$M$660="","",[2]Entry!$M$660)</f>
        <v/>
      </c>
      <c r="O657" t="str">
        <f>IF([2]Entry!$N$660="","",[2]Entry!$N$660)</f>
        <v/>
      </c>
      <c r="P657" t="str">
        <f>IF([2]Entry!$S$660="","",[2]Entry!$S$660)</f>
        <v/>
      </c>
    </row>
    <row r="658" spans="12:16" x14ac:dyDescent="0.2">
      <c r="L658" t="str">
        <f>IF([2]Entry!$C$661="","",[2]Entry!$C$661)</f>
        <v/>
      </c>
      <c r="M658" t="str">
        <f>IF([2]Entry!$J$661="","",[2]Entry!$J$661)</f>
        <v/>
      </c>
      <c r="N658" t="str">
        <f>IF([2]Entry!$M$661="","",[2]Entry!$M$661)</f>
        <v/>
      </c>
      <c r="O658" t="str">
        <f>IF([2]Entry!$N$661="","",[2]Entry!$N$661)</f>
        <v/>
      </c>
      <c r="P658" t="str">
        <f>IF([2]Entry!$S$661="","",[2]Entry!$S$661)</f>
        <v/>
      </c>
    </row>
    <row r="659" spans="12:16" x14ac:dyDescent="0.2">
      <c r="L659" t="str">
        <f>IF([2]Entry!$C$662="","",[2]Entry!$C$662)</f>
        <v/>
      </c>
      <c r="M659" t="str">
        <f>IF([2]Entry!$J$662="","",[2]Entry!$J$662)</f>
        <v/>
      </c>
      <c r="N659" t="str">
        <f>IF([2]Entry!$M$662="","",[2]Entry!$M$662)</f>
        <v/>
      </c>
      <c r="O659" t="str">
        <f>IF([2]Entry!$N$662="","",[2]Entry!$N$662)</f>
        <v/>
      </c>
      <c r="P659" t="str">
        <f>IF([2]Entry!$S$662="","",[2]Entry!$S$662)</f>
        <v/>
      </c>
    </row>
    <row r="660" spans="12:16" x14ac:dyDescent="0.2">
      <c r="L660" t="str">
        <f>IF([2]Entry!$C$663="","",[2]Entry!$C$663)</f>
        <v/>
      </c>
      <c r="M660" t="str">
        <f>IF([2]Entry!$J$663="","",[2]Entry!$J$663)</f>
        <v/>
      </c>
      <c r="N660" t="str">
        <f>IF([2]Entry!$M$663="","",[2]Entry!$M$663)</f>
        <v/>
      </c>
      <c r="O660" t="str">
        <f>IF([2]Entry!$N$663="","",[2]Entry!$N$663)</f>
        <v/>
      </c>
      <c r="P660" t="str">
        <f>IF([2]Entry!$S$663="","",[2]Entry!$S$663)</f>
        <v/>
      </c>
    </row>
    <row r="661" spans="12:16" x14ac:dyDescent="0.2">
      <c r="L661" t="str">
        <f>IF([2]Entry!$C$664="","",[2]Entry!$C$664)</f>
        <v/>
      </c>
      <c r="M661" t="str">
        <f>IF([2]Entry!$J$664="","",[2]Entry!$J$664)</f>
        <v/>
      </c>
      <c r="N661" t="str">
        <f>IF([2]Entry!$M$664="","",[2]Entry!$M$664)</f>
        <v/>
      </c>
      <c r="O661" t="str">
        <f>IF([2]Entry!$N$664="","",[2]Entry!$N$664)</f>
        <v/>
      </c>
      <c r="P661" t="str">
        <f>IF([2]Entry!$S$664="","",[2]Entry!$S$664)</f>
        <v/>
      </c>
    </row>
    <row r="662" spans="12:16" x14ac:dyDescent="0.2">
      <c r="L662" t="str">
        <f>IF([2]Entry!$C$665="","",[2]Entry!$C$665)</f>
        <v/>
      </c>
      <c r="M662" t="str">
        <f>IF([2]Entry!$J$665="","",[2]Entry!$J$665)</f>
        <v/>
      </c>
      <c r="N662" t="str">
        <f>IF([2]Entry!$M$665="","",[2]Entry!$M$665)</f>
        <v/>
      </c>
      <c r="O662" t="str">
        <f>IF([2]Entry!$N$665="","",[2]Entry!$N$665)</f>
        <v/>
      </c>
      <c r="P662" t="str">
        <f>IF([2]Entry!$S$665="","",[2]Entry!$S$665)</f>
        <v/>
      </c>
    </row>
    <row r="663" spans="12:16" x14ac:dyDescent="0.2">
      <c r="L663" t="str">
        <f>IF([2]Entry!$C$666="","",[2]Entry!$C$666)</f>
        <v/>
      </c>
      <c r="M663" t="str">
        <f>IF([2]Entry!$J$666="","",[2]Entry!$J$666)</f>
        <v/>
      </c>
      <c r="N663" t="str">
        <f>IF([2]Entry!$M$666="","",[2]Entry!$M$666)</f>
        <v/>
      </c>
      <c r="O663" t="str">
        <f>IF([2]Entry!$N$666="","",[2]Entry!$N$666)</f>
        <v/>
      </c>
      <c r="P663" t="str">
        <f>IF([2]Entry!$S$666="","",[2]Entry!$S$666)</f>
        <v/>
      </c>
    </row>
    <row r="664" spans="12:16" x14ac:dyDescent="0.2">
      <c r="L664" t="str">
        <f>IF([2]Entry!$C$667="","",[2]Entry!$C$667)</f>
        <v/>
      </c>
      <c r="M664" t="str">
        <f>IF([2]Entry!$J$667="","",[2]Entry!$J$667)</f>
        <v/>
      </c>
      <c r="N664" t="str">
        <f>IF([2]Entry!$M$667="","",[2]Entry!$M$667)</f>
        <v/>
      </c>
      <c r="O664" t="str">
        <f>IF([2]Entry!$N$667="","",[2]Entry!$N$667)</f>
        <v/>
      </c>
      <c r="P664" t="str">
        <f>IF([2]Entry!$S$667="","",[2]Entry!$S$667)</f>
        <v/>
      </c>
    </row>
    <row r="665" spans="12:16" x14ac:dyDescent="0.2">
      <c r="L665" t="str">
        <f>IF([2]Entry!$C$668="","",[2]Entry!$C$668)</f>
        <v/>
      </c>
      <c r="M665" t="str">
        <f>IF([2]Entry!$J$668="","",[2]Entry!$J$668)</f>
        <v/>
      </c>
      <c r="N665" t="str">
        <f>IF([2]Entry!$M$668="","",[2]Entry!$M$668)</f>
        <v/>
      </c>
      <c r="O665" t="str">
        <f>IF([2]Entry!$N$668="","",[2]Entry!$N$668)</f>
        <v/>
      </c>
      <c r="P665" t="str">
        <f>IF([2]Entry!$S$668="","",[2]Entry!$S$668)</f>
        <v/>
      </c>
    </row>
    <row r="666" spans="12:16" x14ac:dyDescent="0.2">
      <c r="L666" t="str">
        <f>IF([2]Entry!$C$669="","",[2]Entry!$C$669)</f>
        <v/>
      </c>
      <c r="M666" t="str">
        <f>IF([2]Entry!$J$669="","",[2]Entry!$J$669)</f>
        <v/>
      </c>
      <c r="N666" t="str">
        <f>IF([2]Entry!$M$669="","",[2]Entry!$M$669)</f>
        <v/>
      </c>
      <c r="O666" t="str">
        <f>IF([2]Entry!$N$669="","",[2]Entry!$N$669)</f>
        <v/>
      </c>
      <c r="P666" t="str">
        <f>IF([2]Entry!$S$669="","",[2]Entry!$S$669)</f>
        <v/>
      </c>
    </row>
    <row r="667" spans="12:16" x14ac:dyDescent="0.2">
      <c r="L667" t="str">
        <f>IF([2]Entry!$C$670="","",[2]Entry!$C$670)</f>
        <v/>
      </c>
      <c r="M667" t="str">
        <f>IF([2]Entry!$J$670="","",[2]Entry!$J$670)</f>
        <v/>
      </c>
      <c r="N667" t="str">
        <f>IF([2]Entry!$M$670="","",[2]Entry!$M$670)</f>
        <v/>
      </c>
      <c r="O667" t="str">
        <f>IF([2]Entry!$N$670="","",[2]Entry!$N$670)</f>
        <v/>
      </c>
      <c r="P667" t="str">
        <f>IF([2]Entry!$S$670="","",[2]Entry!$S$670)</f>
        <v/>
      </c>
    </row>
    <row r="668" spans="12:16" x14ac:dyDescent="0.2">
      <c r="L668" t="str">
        <f>IF([2]Entry!$C$671="","",[2]Entry!$C$671)</f>
        <v/>
      </c>
      <c r="M668" t="str">
        <f>IF([2]Entry!$J$671="","",[2]Entry!$J$671)</f>
        <v/>
      </c>
      <c r="N668" t="str">
        <f>IF([2]Entry!$M$671="","",[2]Entry!$M$671)</f>
        <v/>
      </c>
      <c r="O668" t="str">
        <f>IF([2]Entry!$N$671="","",[2]Entry!$N$671)</f>
        <v/>
      </c>
      <c r="P668" t="str">
        <f>IF([2]Entry!$S$671="","",[2]Entry!$S$671)</f>
        <v/>
      </c>
    </row>
    <row r="669" spans="12:16" x14ac:dyDescent="0.2">
      <c r="L669" t="str">
        <f>IF([2]Entry!$C$672="","",[2]Entry!$C$672)</f>
        <v/>
      </c>
      <c r="M669" t="str">
        <f>IF([2]Entry!$J$672="","",[2]Entry!$J$672)</f>
        <v/>
      </c>
      <c r="N669" t="str">
        <f>IF([2]Entry!$M$672="","",[2]Entry!$M$672)</f>
        <v/>
      </c>
      <c r="O669" t="str">
        <f>IF([2]Entry!$N$672="","",[2]Entry!$N$672)</f>
        <v/>
      </c>
      <c r="P669" t="str">
        <f>IF([2]Entry!$S$672="","",[2]Entry!$S$672)</f>
        <v/>
      </c>
    </row>
    <row r="670" spans="12:16" x14ac:dyDescent="0.2">
      <c r="L670" t="str">
        <f>IF([2]Entry!$C$673="","",[2]Entry!$C$673)</f>
        <v/>
      </c>
      <c r="M670" t="str">
        <f>IF([2]Entry!$J$673="","",[2]Entry!$J$673)</f>
        <v/>
      </c>
      <c r="N670" t="str">
        <f>IF([2]Entry!$M$673="","",[2]Entry!$M$673)</f>
        <v/>
      </c>
      <c r="O670" t="str">
        <f>IF([2]Entry!$N$673="","",[2]Entry!$N$673)</f>
        <v/>
      </c>
      <c r="P670" t="str">
        <f>IF([2]Entry!$S$673="","",[2]Entry!$S$673)</f>
        <v/>
      </c>
    </row>
    <row r="671" spans="12:16" x14ac:dyDescent="0.2">
      <c r="L671" t="str">
        <f>IF([2]Entry!$C$674="","",[2]Entry!$C$674)</f>
        <v/>
      </c>
      <c r="M671" t="str">
        <f>IF([2]Entry!$J$674="","",[2]Entry!$J$674)</f>
        <v/>
      </c>
      <c r="N671" t="str">
        <f>IF([2]Entry!$M$674="","",[2]Entry!$M$674)</f>
        <v/>
      </c>
      <c r="O671" t="str">
        <f>IF([2]Entry!$N$674="","",[2]Entry!$N$674)</f>
        <v/>
      </c>
      <c r="P671" t="str">
        <f>IF([2]Entry!$S$674="","",[2]Entry!$S$674)</f>
        <v/>
      </c>
    </row>
    <row r="672" spans="12:16" x14ac:dyDescent="0.2">
      <c r="L672" t="str">
        <f>IF([2]Entry!$C$675="","",[2]Entry!$C$675)</f>
        <v/>
      </c>
      <c r="M672" t="str">
        <f>IF([2]Entry!$J$675="","",[2]Entry!$J$675)</f>
        <v/>
      </c>
      <c r="N672" t="str">
        <f>IF([2]Entry!$M$675="","",[2]Entry!$M$675)</f>
        <v/>
      </c>
      <c r="O672" t="str">
        <f>IF([2]Entry!$N$675="","",[2]Entry!$N$675)</f>
        <v/>
      </c>
      <c r="P672" t="str">
        <f>IF([2]Entry!$S$675="","",[2]Entry!$S$675)</f>
        <v/>
      </c>
    </row>
    <row r="673" spans="12:16" x14ac:dyDescent="0.2">
      <c r="L673" t="str">
        <f>IF([2]Entry!$C$676="","",[2]Entry!$C$676)</f>
        <v/>
      </c>
      <c r="M673" t="str">
        <f>IF([2]Entry!$J$676="","",[2]Entry!$J$676)</f>
        <v/>
      </c>
      <c r="N673" t="str">
        <f>IF([2]Entry!$M$676="","",[2]Entry!$M$676)</f>
        <v/>
      </c>
      <c r="O673" t="str">
        <f>IF([2]Entry!$N$676="","",[2]Entry!$N$676)</f>
        <v/>
      </c>
      <c r="P673" t="str">
        <f>IF([2]Entry!$S$676="","",[2]Entry!$S$676)</f>
        <v/>
      </c>
    </row>
    <row r="674" spans="12:16" x14ac:dyDescent="0.2">
      <c r="L674" t="str">
        <f>IF([2]Entry!$C$677="","",[2]Entry!$C$677)</f>
        <v/>
      </c>
      <c r="M674" t="str">
        <f>IF([2]Entry!$J$677="","",[2]Entry!$J$677)</f>
        <v/>
      </c>
      <c r="N674" t="str">
        <f>IF([2]Entry!$M$677="","",[2]Entry!$M$677)</f>
        <v/>
      </c>
      <c r="O674" t="str">
        <f>IF([2]Entry!$N$677="","",[2]Entry!$N$677)</f>
        <v/>
      </c>
      <c r="P674" t="str">
        <f>IF([2]Entry!$S$677="","",[2]Entry!$S$677)</f>
        <v/>
      </c>
    </row>
    <row r="675" spans="12:16" x14ac:dyDescent="0.2">
      <c r="L675" t="str">
        <f>IF([2]Entry!$C$678="","",[2]Entry!$C$678)</f>
        <v/>
      </c>
      <c r="M675" t="str">
        <f>IF([2]Entry!$J$678="","",[2]Entry!$J$678)</f>
        <v/>
      </c>
      <c r="N675" t="str">
        <f>IF([2]Entry!$M$678="","",[2]Entry!$M$678)</f>
        <v/>
      </c>
      <c r="O675" t="str">
        <f>IF([2]Entry!$N$678="","",[2]Entry!$N$678)</f>
        <v/>
      </c>
      <c r="P675" t="str">
        <f>IF([2]Entry!$S$678="","",[2]Entry!$S$678)</f>
        <v/>
      </c>
    </row>
    <row r="676" spans="12:16" x14ac:dyDescent="0.2">
      <c r="L676" t="str">
        <f>IF([2]Entry!$C$679="","",[2]Entry!$C$679)</f>
        <v/>
      </c>
      <c r="M676" t="str">
        <f>IF([2]Entry!$J$679="","",[2]Entry!$J$679)</f>
        <v/>
      </c>
      <c r="N676" t="str">
        <f>IF([2]Entry!$M$679="","",[2]Entry!$M$679)</f>
        <v/>
      </c>
      <c r="O676" t="str">
        <f>IF([2]Entry!$N$679="","",[2]Entry!$N$679)</f>
        <v/>
      </c>
      <c r="P676" t="str">
        <f>IF([2]Entry!$S$679="","",[2]Entry!$S$679)</f>
        <v/>
      </c>
    </row>
    <row r="677" spans="12:16" x14ac:dyDescent="0.2">
      <c r="L677" t="str">
        <f>IF([2]Entry!$C$680="","",[2]Entry!$C$680)</f>
        <v/>
      </c>
      <c r="M677" t="str">
        <f>IF([2]Entry!$J$680="","",[2]Entry!$J$680)</f>
        <v/>
      </c>
      <c r="N677" t="str">
        <f>IF([2]Entry!$M$680="","",[2]Entry!$M$680)</f>
        <v/>
      </c>
      <c r="O677" t="str">
        <f>IF([2]Entry!$N$680="","",[2]Entry!$N$680)</f>
        <v/>
      </c>
      <c r="P677" t="str">
        <f>IF([2]Entry!$S$680="","",[2]Entry!$S$680)</f>
        <v/>
      </c>
    </row>
    <row r="678" spans="12:16" x14ac:dyDescent="0.2">
      <c r="L678" t="str">
        <f>IF([2]Entry!$C$681="","",[2]Entry!$C$681)</f>
        <v/>
      </c>
      <c r="M678" t="str">
        <f>IF([2]Entry!$J$681="","",[2]Entry!$J$681)</f>
        <v/>
      </c>
      <c r="N678" t="str">
        <f>IF([2]Entry!$M$681="","",[2]Entry!$M$681)</f>
        <v/>
      </c>
      <c r="O678" t="str">
        <f>IF([2]Entry!$N$681="","",[2]Entry!$N$681)</f>
        <v/>
      </c>
      <c r="P678" t="str">
        <f>IF([2]Entry!$S$681="","",[2]Entry!$S$681)</f>
        <v/>
      </c>
    </row>
    <row r="679" spans="12:16" x14ac:dyDescent="0.2">
      <c r="L679" t="str">
        <f>IF([2]Entry!$C$682="","",[2]Entry!$C$682)</f>
        <v/>
      </c>
      <c r="M679" t="str">
        <f>IF([2]Entry!$J$682="","",[2]Entry!$J$682)</f>
        <v/>
      </c>
      <c r="N679" t="str">
        <f>IF([2]Entry!$M$682="","",[2]Entry!$M$682)</f>
        <v/>
      </c>
      <c r="O679" t="str">
        <f>IF([2]Entry!$N$682="","",[2]Entry!$N$682)</f>
        <v/>
      </c>
      <c r="P679" t="str">
        <f>IF([2]Entry!$S$682="","",[2]Entry!$S$682)</f>
        <v/>
      </c>
    </row>
    <row r="680" spans="12:16" x14ac:dyDescent="0.2">
      <c r="L680" t="str">
        <f>IF([2]Entry!$C$683="","",[2]Entry!$C$683)</f>
        <v/>
      </c>
      <c r="M680" t="str">
        <f>IF([2]Entry!$J$683="","",[2]Entry!$J$683)</f>
        <v/>
      </c>
      <c r="N680" t="str">
        <f>IF([2]Entry!$M$683="","",[2]Entry!$M$683)</f>
        <v/>
      </c>
      <c r="O680" t="str">
        <f>IF([2]Entry!$N$683="","",[2]Entry!$N$683)</f>
        <v/>
      </c>
      <c r="P680" t="str">
        <f>IF([2]Entry!$S$683="","",[2]Entry!$S$683)</f>
        <v/>
      </c>
    </row>
    <row r="681" spans="12:16" x14ac:dyDescent="0.2">
      <c r="L681" t="str">
        <f>IF([2]Entry!$C$684="","",[2]Entry!$C$684)</f>
        <v/>
      </c>
      <c r="M681" t="str">
        <f>IF([2]Entry!$J$684="","",[2]Entry!$J$684)</f>
        <v/>
      </c>
      <c r="N681" t="str">
        <f>IF([2]Entry!$M$684="","",[2]Entry!$M$684)</f>
        <v/>
      </c>
      <c r="O681" t="str">
        <f>IF([2]Entry!$N$684="","",[2]Entry!$N$684)</f>
        <v/>
      </c>
      <c r="P681" t="str">
        <f>IF([2]Entry!$S$684="","",[2]Entry!$S$684)</f>
        <v/>
      </c>
    </row>
    <row r="682" spans="12:16" x14ac:dyDescent="0.2">
      <c r="L682" t="str">
        <f>IF([2]Entry!$C$685="","",[2]Entry!$C$685)</f>
        <v/>
      </c>
      <c r="M682" t="str">
        <f>IF([2]Entry!$J$685="","",[2]Entry!$J$685)</f>
        <v/>
      </c>
      <c r="N682" t="str">
        <f>IF([2]Entry!$M$685="","",[2]Entry!$M$685)</f>
        <v/>
      </c>
      <c r="O682" t="str">
        <f>IF([2]Entry!$N$685="","",[2]Entry!$N$685)</f>
        <v/>
      </c>
      <c r="P682" t="str">
        <f>IF([2]Entry!$S$685="","",[2]Entry!$S$685)</f>
        <v/>
      </c>
    </row>
    <row r="683" spans="12:16" x14ac:dyDescent="0.2">
      <c r="L683" t="str">
        <f>IF([2]Entry!$C$686="","",[2]Entry!$C$686)</f>
        <v/>
      </c>
      <c r="M683" t="str">
        <f>IF([2]Entry!$J$686="","",[2]Entry!$J$686)</f>
        <v/>
      </c>
      <c r="N683" t="str">
        <f>IF([2]Entry!$M$686="","",[2]Entry!$M$686)</f>
        <v/>
      </c>
      <c r="O683" t="str">
        <f>IF([2]Entry!$N$686="","",[2]Entry!$N$686)</f>
        <v/>
      </c>
      <c r="P683" t="str">
        <f>IF([2]Entry!$S$686="","",[2]Entry!$S$686)</f>
        <v/>
      </c>
    </row>
    <row r="684" spans="12:16" x14ac:dyDescent="0.2">
      <c r="L684" t="str">
        <f>IF([2]Entry!$C$687="","",[2]Entry!$C$687)</f>
        <v/>
      </c>
      <c r="M684" t="str">
        <f>IF([2]Entry!$J$687="","",[2]Entry!$J$687)</f>
        <v/>
      </c>
      <c r="N684" t="str">
        <f>IF([2]Entry!$M$687="","",[2]Entry!$M$687)</f>
        <v/>
      </c>
      <c r="O684" t="str">
        <f>IF([2]Entry!$N$687="","",[2]Entry!$N$687)</f>
        <v/>
      </c>
      <c r="P684" t="str">
        <f>IF([2]Entry!$S$687="","",[2]Entry!$S$687)</f>
        <v/>
      </c>
    </row>
    <row r="685" spans="12:16" x14ac:dyDescent="0.2">
      <c r="L685" t="str">
        <f>IF([2]Entry!$C$688="","",[2]Entry!$C$688)</f>
        <v/>
      </c>
      <c r="M685" t="str">
        <f>IF([2]Entry!$J$688="","",[2]Entry!$J$688)</f>
        <v/>
      </c>
      <c r="N685" t="str">
        <f>IF([2]Entry!$M$688="","",[2]Entry!$M$688)</f>
        <v/>
      </c>
      <c r="O685" t="str">
        <f>IF([2]Entry!$N$688="","",[2]Entry!$N$688)</f>
        <v/>
      </c>
      <c r="P685" t="str">
        <f>IF([2]Entry!$S$688="","",[2]Entry!$S$688)</f>
        <v/>
      </c>
    </row>
    <row r="686" spans="12:16" x14ac:dyDescent="0.2">
      <c r="L686" t="str">
        <f>IF([2]Entry!$C$689="","",[2]Entry!$C$689)</f>
        <v/>
      </c>
      <c r="M686" t="str">
        <f>IF([2]Entry!$J$689="","",[2]Entry!$J$689)</f>
        <v/>
      </c>
      <c r="N686" t="str">
        <f>IF([2]Entry!$M$689="","",[2]Entry!$M$689)</f>
        <v/>
      </c>
      <c r="O686" t="str">
        <f>IF([2]Entry!$N$689="","",[2]Entry!$N$689)</f>
        <v/>
      </c>
      <c r="P686" t="str">
        <f>IF([2]Entry!$S$689="","",[2]Entry!$S$689)</f>
        <v/>
      </c>
    </row>
    <row r="687" spans="12:16" x14ac:dyDescent="0.2">
      <c r="L687" t="str">
        <f>IF([2]Entry!$C$690="","",[2]Entry!$C$690)</f>
        <v/>
      </c>
      <c r="M687" t="str">
        <f>IF([2]Entry!$J$690="","",[2]Entry!$J$690)</f>
        <v/>
      </c>
      <c r="N687" t="str">
        <f>IF([2]Entry!$M$690="","",[2]Entry!$M$690)</f>
        <v/>
      </c>
      <c r="O687" t="str">
        <f>IF([2]Entry!$N$690="","",[2]Entry!$N$690)</f>
        <v/>
      </c>
      <c r="P687" t="str">
        <f>IF([2]Entry!$S$690="","",[2]Entry!$S$690)</f>
        <v/>
      </c>
    </row>
    <row r="688" spans="12:16" x14ac:dyDescent="0.2">
      <c r="L688" t="str">
        <f>IF([2]Entry!$C$691="","",[2]Entry!$C$691)</f>
        <v/>
      </c>
      <c r="M688" t="str">
        <f>IF([2]Entry!$J$691="","",[2]Entry!$J$691)</f>
        <v/>
      </c>
      <c r="N688" t="str">
        <f>IF([2]Entry!$M$691="","",[2]Entry!$M$691)</f>
        <v/>
      </c>
      <c r="O688" t="str">
        <f>IF([2]Entry!$N$691="","",[2]Entry!$N$691)</f>
        <v/>
      </c>
      <c r="P688" t="str">
        <f>IF([2]Entry!$S$691="","",[2]Entry!$S$691)</f>
        <v/>
      </c>
    </row>
    <row r="689" spans="12:16" x14ac:dyDescent="0.2">
      <c r="L689" t="str">
        <f>IF([2]Entry!$C$692="","",[2]Entry!$C$692)</f>
        <v/>
      </c>
      <c r="M689" t="str">
        <f>IF([2]Entry!$J$692="","",[2]Entry!$J$692)</f>
        <v/>
      </c>
      <c r="N689" t="str">
        <f>IF([2]Entry!$M$692="","",[2]Entry!$M$692)</f>
        <v/>
      </c>
      <c r="O689" t="str">
        <f>IF([2]Entry!$N$692="","",[2]Entry!$N$692)</f>
        <v/>
      </c>
      <c r="P689" t="str">
        <f>IF([2]Entry!$S$692="","",[2]Entry!$S$692)</f>
        <v/>
      </c>
    </row>
    <row r="690" spans="12:16" x14ac:dyDescent="0.2">
      <c r="L690" t="str">
        <f>IF([2]Entry!$C$693="","",[2]Entry!$C$693)</f>
        <v/>
      </c>
      <c r="M690" t="str">
        <f>IF([2]Entry!$J$693="","",[2]Entry!$J$693)</f>
        <v/>
      </c>
      <c r="N690" t="str">
        <f>IF([2]Entry!$M$693="","",[2]Entry!$M$693)</f>
        <v/>
      </c>
      <c r="O690" t="str">
        <f>IF([2]Entry!$N$693="","",[2]Entry!$N$693)</f>
        <v/>
      </c>
      <c r="P690" t="str">
        <f>IF([2]Entry!$S$693="","",[2]Entry!$S$693)</f>
        <v/>
      </c>
    </row>
    <row r="691" spans="12:16" x14ac:dyDescent="0.2">
      <c r="L691" t="str">
        <f>IF([2]Entry!$C$694="","",[2]Entry!$C$694)</f>
        <v/>
      </c>
      <c r="M691" t="str">
        <f>IF([2]Entry!$J$694="","",[2]Entry!$J$694)</f>
        <v/>
      </c>
      <c r="N691" t="str">
        <f>IF([2]Entry!$M$694="","",[2]Entry!$M$694)</f>
        <v/>
      </c>
      <c r="O691" t="str">
        <f>IF([2]Entry!$N$694="","",[2]Entry!$N$694)</f>
        <v/>
      </c>
      <c r="P691" t="str">
        <f>IF([2]Entry!$S$694="","",[2]Entry!$S$694)</f>
        <v/>
      </c>
    </row>
    <row r="692" spans="12:16" x14ac:dyDescent="0.2">
      <c r="L692" t="str">
        <f>IF([2]Entry!$C$695="","",[2]Entry!$C$695)</f>
        <v/>
      </c>
      <c r="M692" t="str">
        <f>IF([2]Entry!$J$695="","",[2]Entry!$J$695)</f>
        <v/>
      </c>
      <c r="N692" t="str">
        <f>IF([2]Entry!$M$695="","",[2]Entry!$M$695)</f>
        <v/>
      </c>
      <c r="O692" t="str">
        <f>IF([2]Entry!$N$695="","",[2]Entry!$N$695)</f>
        <v/>
      </c>
      <c r="P692" t="str">
        <f>IF([2]Entry!$S$695="","",[2]Entry!$S$695)</f>
        <v/>
      </c>
    </row>
    <row r="693" spans="12:16" x14ac:dyDescent="0.2">
      <c r="L693" t="str">
        <f>IF([2]Entry!$C$696="","",[2]Entry!$C$696)</f>
        <v/>
      </c>
      <c r="M693" t="str">
        <f>IF([2]Entry!$J$696="","",[2]Entry!$J$696)</f>
        <v/>
      </c>
      <c r="N693" t="str">
        <f>IF([2]Entry!$M$696="","",[2]Entry!$M$696)</f>
        <v/>
      </c>
      <c r="O693" t="str">
        <f>IF([2]Entry!$N$696="","",[2]Entry!$N$696)</f>
        <v/>
      </c>
      <c r="P693" t="str">
        <f>IF([2]Entry!$S$696="","",[2]Entry!$S$696)</f>
        <v/>
      </c>
    </row>
    <row r="694" spans="12:16" x14ac:dyDescent="0.2">
      <c r="L694" t="str">
        <f>IF([2]Entry!$C$697="","",[2]Entry!$C$697)</f>
        <v/>
      </c>
      <c r="M694" t="str">
        <f>IF([2]Entry!$J$697="","",[2]Entry!$J$697)</f>
        <v/>
      </c>
      <c r="N694" t="str">
        <f>IF([2]Entry!$M$697="","",[2]Entry!$M$697)</f>
        <v/>
      </c>
      <c r="O694" t="str">
        <f>IF([2]Entry!$N$697="","",[2]Entry!$N$697)</f>
        <v/>
      </c>
      <c r="P694" t="str">
        <f>IF([2]Entry!$S$697="","",[2]Entry!$S$697)</f>
        <v/>
      </c>
    </row>
    <row r="695" spans="12:16" x14ac:dyDescent="0.2">
      <c r="L695" t="str">
        <f>IF([2]Entry!$C$698="","",[2]Entry!$C$698)</f>
        <v/>
      </c>
      <c r="M695" t="str">
        <f>IF([2]Entry!$J$698="","",[2]Entry!$J$698)</f>
        <v/>
      </c>
      <c r="N695" t="str">
        <f>IF([2]Entry!$M$698="","",[2]Entry!$M$698)</f>
        <v/>
      </c>
      <c r="O695" t="str">
        <f>IF([2]Entry!$N$698="","",[2]Entry!$N$698)</f>
        <v/>
      </c>
      <c r="P695" t="str">
        <f>IF([2]Entry!$S$698="","",[2]Entry!$S$698)</f>
        <v/>
      </c>
    </row>
    <row r="696" spans="12:16" x14ac:dyDescent="0.2">
      <c r="L696" t="str">
        <f>IF([2]Entry!$C$699="","",[2]Entry!$C$699)</f>
        <v/>
      </c>
      <c r="M696" t="str">
        <f>IF([2]Entry!$J$699="","",[2]Entry!$J$699)</f>
        <v/>
      </c>
      <c r="N696" t="str">
        <f>IF([2]Entry!$M$699="","",[2]Entry!$M$699)</f>
        <v/>
      </c>
      <c r="O696" t="str">
        <f>IF([2]Entry!$N$699="","",[2]Entry!$N$699)</f>
        <v/>
      </c>
      <c r="P696" t="str">
        <f>IF([2]Entry!$S$699="","",[2]Entry!$S$699)</f>
        <v/>
      </c>
    </row>
    <row r="697" spans="12:16" x14ac:dyDescent="0.2">
      <c r="L697" t="str">
        <f>IF([2]Entry!$C$700="","",[2]Entry!$C$700)</f>
        <v/>
      </c>
      <c r="M697" t="str">
        <f>IF([2]Entry!$J$700="","",[2]Entry!$J$700)</f>
        <v/>
      </c>
      <c r="N697" t="str">
        <f>IF([2]Entry!$M$700="","",[2]Entry!$M$700)</f>
        <v/>
      </c>
      <c r="O697" t="str">
        <f>IF([2]Entry!$N$700="","",[2]Entry!$N$700)</f>
        <v/>
      </c>
      <c r="P697" t="str">
        <f>IF([2]Entry!$S$700="","",[2]Entry!$S$700)</f>
        <v/>
      </c>
    </row>
    <row r="698" spans="12:16" x14ac:dyDescent="0.2">
      <c r="L698" t="str">
        <f>IF([2]Entry!$C$701="","",[2]Entry!$C$701)</f>
        <v/>
      </c>
      <c r="M698" t="str">
        <f>IF([2]Entry!$J$701="","",[2]Entry!$J$701)</f>
        <v/>
      </c>
      <c r="N698" t="str">
        <f>IF([2]Entry!$M$701="","",[2]Entry!$M$701)</f>
        <v/>
      </c>
      <c r="O698" t="str">
        <f>IF([2]Entry!$N$701="","",[2]Entry!$N$701)</f>
        <v/>
      </c>
      <c r="P698" t="str">
        <f>IF([2]Entry!$S$701="","",[2]Entry!$S$701)</f>
        <v/>
      </c>
    </row>
    <row r="699" spans="12:16" x14ac:dyDescent="0.2">
      <c r="L699" t="str">
        <f>IF([2]Entry!$C$702="","",[2]Entry!$C$702)</f>
        <v/>
      </c>
      <c r="M699" t="str">
        <f>IF([2]Entry!$J$702="","",[2]Entry!$J$702)</f>
        <v/>
      </c>
      <c r="N699" t="str">
        <f>IF([2]Entry!$M$702="","",[2]Entry!$M$702)</f>
        <v/>
      </c>
      <c r="O699" t="str">
        <f>IF([2]Entry!$N$702="","",[2]Entry!$N$702)</f>
        <v/>
      </c>
      <c r="P699" t="str">
        <f>IF([2]Entry!$S$702="","",[2]Entry!$S$702)</f>
        <v/>
      </c>
    </row>
    <row r="700" spans="12:16" x14ac:dyDescent="0.2">
      <c r="L700" t="str">
        <f>IF([2]Entry!$C$703="","",[2]Entry!$C$703)</f>
        <v/>
      </c>
      <c r="M700" t="str">
        <f>IF([2]Entry!$J$703="","",[2]Entry!$J$703)</f>
        <v/>
      </c>
      <c r="N700" t="str">
        <f>IF([2]Entry!$M$703="","",[2]Entry!$M$703)</f>
        <v/>
      </c>
      <c r="O700" t="str">
        <f>IF([2]Entry!$N$703="","",[2]Entry!$N$703)</f>
        <v/>
      </c>
      <c r="P700" t="str">
        <f>IF([2]Entry!$S$703="","",[2]Entry!$S$703)</f>
        <v/>
      </c>
    </row>
    <row r="701" spans="12:16" x14ac:dyDescent="0.2">
      <c r="L701" t="str">
        <f>IF([2]Entry!$C$704="","",[2]Entry!$C$704)</f>
        <v/>
      </c>
      <c r="M701" t="str">
        <f>IF([2]Entry!$J$704="","",[2]Entry!$J$704)</f>
        <v/>
      </c>
      <c r="N701" t="str">
        <f>IF([2]Entry!$M$704="","",[2]Entry!$M$704)</f>
        <v/>
      </c>
      <c r="O701" t="str">
        <f>IF([2]Entry!$N$704="","",[2]Entry!$N$704)</f>
        <v/>
      </c>
      <c r="P701" t="str">
        <f>IF([2]Entry!$S$704="","",[2]Entry!$S$704)</f>
        <v/>
      </c>
    </row>
    <row r="702" spans="12:16" x14ac:dyDescent="0.2">
      <c r="L702" t="str">
        <f>IF([2]Entry!$C$705="","",[2]Entry!$C$705)</f>
        <v/>
      </c>
      <c r="M702" t="str">
        <f>IF([2]Entry!$J$705="","",[2]Entry!$J$705)</f>
        <v/>
      </c>
      <c r="N702" t="str">
        <f>IF([2]Entry!$M$705="","",[2]Entry!$M$705)</f>
        <v/>
      </c>
      <c r="O702" t="str">
        <f>IF([2]Entry!$N$705="","",[2]Entry!$N$705)</f>
        <v/>
      </c>
      <c r="P702" t="str">
        <f>IF([2]Entry!$S$705="","",[2]Entry!$S$705)</f>
        <v/>
      </c>
    </row>
    <row r="703" spans="12:16" x14ac:dyDescent="0.2">
      <c r="L703" t="str">
        <f>IF([2]Entry!$C$706="","",[2]Entry!$C$706)</f>
        <v/>
      </c>
      <c r="M703" t="str">
        <f>IF([2]Entry!$J$706="","",[2]Entry!$J$706)</f>
        <v/>
      </c>
      <c r="N703" t="str">
        <f>IF([2]Entry!$M$706="","",[2]Entry!$M$706)</f>
        <v/>
      </c>
      <c r="O703" t="str">
        <f>IF([2]Entry!$N$706="","",[2]Entry!$N$706)</f>
        <v/>
      </c>
      <c r="P703" t="str">
        <f>IF([2]Entry!$S$706="","",[2]Entry!$S$706)</f>
        <v/>
      </c>
    </row>
    <row r="704" spans="12:16" x14ac:dyDescent="0.2">
      <c r="L704" t="str">
        <f>IF([2]Entry!$C$707="","",[2]Entry!$C$707)</f>
        <v/>
      </c>
      <c r="M704" t="str">
        <f>IF([2]Entry!$J$707="","",[2]Entry!$J$707)</f>
        <v/>
      </c>
      <c r="N704" t="str">
        <f>IF([2]Entry!$M$707="","",[2]Entry!$M$707)</f>
        <v/>
      </c>
      <c r="O704" t="str">
        <f>IF([2]Entry!$N$707="","",[2]Entry!$N$707)</f>
        <v/>
      </c>
      <c r="P704" t="str">
        <f>IF([2]Entry!$S$707="","",[2]Entry!$S$707)</f>
        <v/>
      </c>
    </row>
    <row r="705" spans="12:16" x14ac:dyDescent="0.2">
      <c r="L705" t="str">
        <f>IF([2]Entry!$C$708="","",[2]Entry!$C$708)</f>
        <v/>
      </c>
      <c r="M705" t="str">
        <f>IF([2]Entry!$J$708="","",[2]Entry!$J$708)</f>
        <v/>
      </c>
      <c r="N705" t="str">
        <f>IF([2]Entry!$M$708="","",[2]Entry!$M$708)</f>
        <v/>
      </c>
      <c r="O705" t="str">
        <f>IF([2]Entry!$N$708="","",[2]Entry!$N$708)</f>
        <v/>
      </c>
      <c r="P705" t="str">
        <f>IF([2]Entry!$S$708="","",[2]Entry!$S$708)</f>
        <v/>
      </c>
    </row>
    <row r="706" spans="12:16" x14ac:dyDescent="0.2">
      <c r="L706" t="str">
        <f>IF([2]Entry!$C$709="","",[2]Entry!$C$709)</f>
        <v/>
      </c>
      <c r="M706" t="str">
        <f>IF([2]Entry!$J$709="","",[2]Entry!$J$709)</f>
        <v/>
      </c>
      <c r="N706" t="str">
        <f>IF([2]Entry!$M$709="","",[2]Entry!$M$709)</f>
        <v/>
      </c>
      <c r="O706" t="str">
        <f>IF([2]Entry!$N$709="","",[2]Entry!$N$709)</f>
        <v/>
      </c>
      <c r="P706" t="str">
        <f>IF([2]Entry!$S$709="","",[2]Entry!$S$709)</f>
        <v/>
      </c>
    </row>
    <row r="707" spans="12:16" x14ac:dyDescent="0.2">
      <c r="L707" t="str">
        <f>IF([2]Entry!$C$710="","",[2]Entry!$C$710)</f>
        <v/>
      </c>
      <c r="M707" t="str">
        <f>IF([2]Entry!$J$710="","",[2]Entry!$J$710)</f>
        <v/>
      </c>
      <c r="N707" t="str">
        <f>IF([2]Entry!$M$710="","",[2]Entry!$M$710)</f>
        <v/>
      </c>
      <c r="O707" t="str">
        <f>IF([2]Entry!$N$710="","",[2]Entry!$N$710)</f>
        <v/>
      </c>
      <c r="P707" t="str">
        <f>IF([2]Entry!$S$710="","",[2]Entry!$S$710)</f>
        <v/>
      </c>
    </row>
    <row r="708" spans="12:16" x14ac:dyDescent="0.2">
      <c r="L708" t="str">
        <f>IF([2]Entry!$C$711="","",[2]Entry!$C$711)</f>
        <v/>
      </c>
      <c r="M708" t="str">
        <f>IF([2]Entry!$J$711="","",[2]Entry!$J$711)</f>
        <v/>
      </c>
      <c r="N708" t="str">
        <f>IF([2]Entry!$M$711="","",[2]Entry!$M$711)</f>
        <v/>
      </c>
      <c r="O708" t="str">
        <f>IF([2]Entry!$N$711="","",[2]Entry!$N$711)</f>
        <v/>
      </c>
      <c r="P708" t="str">
        <f>IF([2]Entry!$S$711="","",[2]Entry!$S$711)</f>
        <v/>
      </c>
    </row>
    <row r="709" spans="12:16" x14ac:dyDescent="0.2">
      <c r="L709" t="str">
        <f>IF([2]Entry!$C$712="","",[2]Entry!$C$712)</f>
        <v/>
      </c>
      <c r="M709" t="str">
        <f>IF([2]Entry!$J$712="","",[2]Entry!$J$712)</f>
        <v/>
      </c>
      <c r="N709" t="str">
        <f>IF([2]Entry!$M$712="","",[2]Entry!$M$712)</f>
        <v/>
      </c>
      <c r="O709" t="str">
        <f>IF([2]Entry!$N$712="","",[2]Entry!$N$712)</f>
        <v/>
      </c>
      <c r="P709" t="str">
        <f>IF([2]Entry!$S$712="","",[2]Entry!$S$712)</f>
        <v/>
      </c>
    </row>
    <row r="710" spans="12:16" x14ac:dyDescent="0.2">
      <c r="L710" t="str">
        <f>IF([2]Entry!$C$713="","",[2]Entry!$C$713)</f>
        <v/>
      </c>
      <c r="M710" t="str">
        <f>IF([2]Entry!$J$713="","",[2]Entry!$J$713)</f>
        <v/>
      </c>
      <c r="N710" t="str">
        <f>IF([2]Entry!$M$713="","",[2]Entry!$M$713)</f>
        <v/>
      </c>
      <c r="O710" t="str">
        <f>IF([2]Entry!$N$713="","",[2]Entry!$N$713)</f>
        <v/>
      </c>
      <c r="P710" t="str">
        <f>IF([2]Entry!$S$713="","",[2]Entry!$S$713)</f>
        <v/>
      </c>
    </row>
    <row r="711" spans="12:16" x14ac:dyDescent="0.2">
      <c r="L711" t="str">
        <f>IF([2]Entry!$C$714="","",[2]Entry!$C$714)</f>
        <v/>
      </c>
      <c r="M711" t="str">
        <f>IF([2]Entry!$J$714="","",[2]Entry!$J$714)</f>
        <v/>
      </c>
      <c r="N711" t="str">
        <f>IF([2]Entry!$M$714="","",[2]Entry!$M$714)</f>
        <v/>
      </c>
      <c r="O711" t="str">
        <f>IF([2]Entry!$N$714="","",[2]Entry!$N$714)</f>
        <v/>
      </c>
      <c r="P711" t="str">
        <f>IF([2]Entry!$S$714="","",[2]Entry!$S$714)</f>
        <v/>
      </c>
    </row>
    <row r="712" spans="12:16" x14ac:dyDescent="0.2">
      <c r="L712" t="str">
        <f>IF([2]Entry!$C$715="","",[2]Entry!$C$715)</f>
        <v/>
      </c>
      <c r="M712" t="str">
        <f>IF([2]Entry!$J$715="","",[2]Entry!$J$715)</f>
        <v/>
      </c>
      <c r="N712" t="str">
        <f>IF([2]Entry!$M$715="","",[2]Entry!$M$715)</f>
        <v/>
      </c>
      <c r="O712" t="str">
        <f>IF([2]Entry!$N$715="","",[2]Entry!$N$715)</f>
        <v/>
      </c>
      <c r="P712" t="str">
        <f>IF([2]Entry!$S$715="","",[2]Entry!$S$715)</f>
        <v/>
      </c>
    </row>
    <row r="713" spans="12:16" x14ac:dyDescent="0.2">
      <c r="L713" t="str">
        <f>IF([2]Entry!$C$716="","",[2]Entry!$C$716)</f>
        <v/>
      </c>
      <c r="M713" t="str">
        <f>IF([2]Entry!$J$716="","",[2]Entry!$J$716)</f>
        <v/>
      </c>
      <c r="N713" t="str">
        <f>IF([2]Entry!$M$716="","",[2]Entry!$M$716)</f>
        <v/>
      </c>
      <c r="O713" t="str">
        <f>IF([2]Entry!$N$716="","",[2]Entry!$N$716)</f>
        <v/>
      </c>
      <c r="P713" t="str">
        <f>IF([2]Entry!$S$716="","",[2]Entry!$S$716)</f>
        <v/>
      </c>
    </row>
    <row r="714" spans="12:16" x14ac:dyDescent="0.2">
      <c r="L714" t="str">
        <f>IF([2]Entry!$C$717="","",[2]Entry!$C$717)</f>
        <v/>
      </c>
      <c r="M714" t="str">
        <f>IF([2]Entry!$J$717="","",[2]Entry!$J$717)</f>
        <v/>
      </c>
      <c r="N714" t="str">
        <f>IF([2]Entry!$M$717="","",[2]Entry!$M$717)</f>
        <v/>
      </c>
      <c r="O714" t="str">
        <f>IF([2]Entry!$N$717="","",[2]Entry!$N$717)</f>
        <v/>
      </c>
      <c r="P714" t="str">
        <f>IF([2]Entry!$S$717="","",[2]Entry!$S$717)</f>
        <v/>
      </c>
    </row>
    <row r="715" spans="12:16" x14ac:dyDescent="0.2">
      <c r="L715" t="str">
        <f>IF([2]Entry!$C$718="","",[2]Entry!$C$718)</f>
        <v/>
      </c>
      <c r="M715" t="str">
        <f>IF([2]Entry!$J$718="","",[2]Entry!$J$718)</f>
        <v/>
      </c>
      <c r="N715" t="str">
        <f>IF([2]Entry!$M$718="","",[2]Entry!$M$718)</f>
        <v/>
      </c>
      <c r="O715" t="str">
        <f>IF([2]Entry!$N$718="","",[2]Entry!$N$718)</f>
        <v/>
      </c>
      <c r="P715" t="str">
        <f>IF([2]Entry!$S$718="","",[2]Entry!$S$718)</f>
        <v/>
      </c>
    </row>
    <row r="716" spans="12:16" x14ac:dyDescent="0.2">
      <c r="L716" t="str">
        <f>IF([2]Entry!$C$719="","",[2]Entry!$C$719)</f>
        <v/>
      </c>
      <c r="M716" t="str">
        <f>IF([2]Entry!$J$719="","",[2]Entry!$J$719)</f>
        <v/>
      </c>
      <c r="N716" t="str">
        <f>IF([2]Entry!$M$719="","",[2]Entry!$M$719)</f>
        <v/>
      </c>
      <c r="O716" t="str">
        <f>IF([2]Entry!$N$719="","",[2]Entry!$N$719)</f>
        <v/>
      </c>
      <c r="P716" t="str">
        <f>IF([2]Entry!$S$719="","",[2]Entry!$S$719)</f>
        <v/>
      </c>
    </row>
    <row r="717" spans="12:16" x14ac:dyDescent="0.2">
      <c r="L717" t="str">
        <f>IF([2]Entry!$C$720="","",[2]Entry!$C$720)</f>
        <v/>
      </c>
      <c r="M717" t="str">
        <f>IF([2]Entry!$J$720="","",[2]Entry!$J$720)</f>
        <v/>
      </c>
      <c r="N717" t="str">
        <f>IF([2]Entry!$M$720="","",[2]Entry!$M$720)</f>
        <v/>
      </c>
      <c r="O717" t="str">
        <f>IF([2]Entry!$N$720="","",[2]Entry!$N$720)</f>
        <v/>
      </c>
      <c r="P717" t="str">
        <f>IF([2]Entry!$S$720="","",[2]Entry!$S$720)</f>
        <v/>
      </c>
    </row>
    <row r="718" spans="12:16" x14ac:dyDescent="0.2">
      <c r="L718" t="str">
        <f>IF([2]Entry!$C$721="","",[2]Entry!$C$721)</f>
        <v/>
      </c>
      <c r="M718" t="str">
        <f>IF([2]Entry!$J$721="","",[2]Entry!$J$721)</f>
        <v/>
      </c>
      <c r="N718" t="str">
        <f>IF([2]Entry!$M$721="","",[2]Entry!$M$721)</f>
        <v/>
      </c>
      <c r="O718" t="str">
        <f>IF([2]Entry!$N$721="","",[2]Entry!$N$721)</f>
        <v/>
      </c>
      <c r="P718" t="str">
        <f>IF([2]Entry!$S$721="","",[2]Entry!$S$721)</f>
        <v/>
      </c>
    </row>
    <row r="719" spans="12:16" x14ac:dyDescent="0.2">
      <c r="L719" t="str">
        <f>IF([2]Entry!$C$722="","",[2]Entry!$C$722)</f>
        <v/>
      </c>
      <c r="M719" t="str">
        <f>IF([2]Entry!$J$722="","",[2]Entry!$J$722)</f>
        <v/>
      </c>
      <c r="N719" t="str">
        <f>IF([2]Entry!$M$722="","",[2]Entry!$M$722)</f>
        <v/>
      </c>
      <c r="O719" t="str">
        <f>IF([2]Entry!$N$722="","",[2]Entry!$N$722)</f>
        <v/>
      </c>
      <c r="P719" t="str">
        <f>IF([2]Entry!$S$722="","",[2]Entry!$S$722)</f>
        <v/>
      </c>
    </row>
    <row r="720" spans="12:16" x14ac:dyDescent="0.2">
      <c r="L720" t="str">
        <f>IF([2]Entry!$C$723="","",[2]Entry!$C$723)</f>
        <v/>
      </c>
      <c r="M720" t="str">
        <f>IF([2]Entry!$J$723="","",[2]Entry!$J$723)</f>
        <v/>
      </c>
      <c r="N720" t="str">
        <f>IF([2]Entry!$M$723="","",[2]Entry!$M$723)</f>
        <v/>
      </c>
      <c r="O720" t="str">
        <f>IF([2]Entry!$N$723="","",[2]Entry!$N$723)</f>
        <v/>
      </c>
      <c r="P720" t="str">
        <f>IF([2]Entry!$S$723="","",[2]Entry!$S$723)</f>
        <v/>
      </c>
    </row>
    <row r="721" spans="12:16" x14ac:dyDescent="0.2">
      <c r="L721" t="str">
        <f>IF([2]Entry!$C$724="","",[2]Entry!$C$724)</f>
        <v/>
      </c>
      <c r="M721" t="str">
        <f>IF([2]Entry!$J$724="","",[2]Entry!$J$724)</f>
        <v/>
      </c>
      <c r="N721" t="str">
        <f>IF([2]Entry!$M$724="","",[2]Entry!$M$724)</f>
        <v/>
      </c>
      <c r="O721" t="str">
        <f>IF([2]Entry!$N$724="","",[2]Entry!$N$724)</f>
        <v/>
      </c>
      <c r="P721" t="str">
        <f>IF([2]Entry!$S$724="","",[2]Entry!$S$724)</f>
        <v/>
      </c>
    </row>
    <row r="722" spans="12:16" x14ac:dyDescent="0.2">
      <c r="L722" t="str">
        <f>IF([2]Entry!$C$725="","",[2]Entry!$C$725)</f>
        <v/>
      </c>
      <c r="M722" t="str">
        <f>IF([2]Entry!$J$725="","",[2]Entry!$J$725)</f>
        <v/>
      </c>
      <c r="N722" t="str">
        <f>IF([2]Entry!$M$725="","",[2]Entry!$M$725)</f>
        <v/>
      </c>
      <c r="O722" t="str">
        <f>IF([2]Entry!$N$725="","",[2]Entry!$N$725)</f>
        <v/>
      </c>
      <c r="P722" t="str">
        <f>IF([2]Entry!$S$725="","",[2]Entry!$S$725)</f>
        <v/>
      </c>
    </row>
    <row r="723" spans="12:16" x14ac:dyDescent="0.2">
      <c r="L723" t="str">
        <f>IF([2]Entry!$C$726="","",[2]Entry!$C$726)</f>
        <v/>
      </c>
      <c r="M723" t="str">
        <f>IF([2]Entry!$J$726="","",[2]Entry!$J$726)</f>
        <v/>
      </c>
      <c r="N723" t="str">
        <f>IF([2]Entry!$M$726="","",[2]Entry!$M$726)</f>
        <v/>
      </c>
      <c r="O723" t="str">
        <f>IF([2]Entry!$N$726="","",[2]Entry!$N$726)</f>
        <v/>
      </c>
      <c r="P723" t="str">
        <f>IF([2]Entry!$S$726="","",[2]Entry!$S$726)</f>
        <v/>
      </c>
    </row>
    <row r="724" spans="12:16" x14ac:dyDescent="0.2">
      <c r="L724" t="str">
        <f>IF([2]Entry!$C$727="","",[2]Entry!$C$727)</f>
        <v/>
      </c>
      <c r="M724" t="str">
        <f>IF([2]Entry!$J$727="","",[2]Entry!$J$727)</f>
        <v/>
      </c>
      <c r="N724" t="str">
        <f>IF([2]Entry!$M$727="","",[2]Entry!$M$727)</f>
        <v/>
      </c>
      <c r="O724" t="str">
        <f>IF([2]Entry!$N$727="","",[2]Entry!$N$727)</f>
        <v/>
      </c>
      <c r="P724" t="str">
        <f>IF([2]Entry!$S$727="","",[2]Entry!$S$727)</f>
        <v/>
      </c>
    </row>
    <row r="725" spans="12:16" x14ac:dyDescent="0.2">
      <c r="L725" t="str">
        <f>IF([2]Entry!$C$728="","",[2]Entry!$C$728)</f>
        <v/>
      </c>
      <c r="M725" t="str">
        <f>IF([2]Entry!$J$728="","",[2]Entry!$J$728)</f>
        <v/>
      </c>
      <c r="N725" t="str">
        <f>IF([2]Entry!$M$728="","",[2]Entry!$M$728)</f>
        <v/>
      </c>
      <c r="O725" t="str">
        <f>IF([2]Entry!$N$728="","",[2]Entry!$N$728)</f>
        <v/>
      </c>
      <c r="P725" t="str">
        <f>IF([2]Entry!$S$728="","",[2]Entry!$S$728)</f>
        <v/>
      </c>
    </row>
    <row r="726" spans="12:16" x14ac:dyDescent="0.2">
      <c r="L726" t="str">
        <f>IF([2]Entry!$C$729="","",[2]Entry!$C$729)</f>
        <v/>
      </c>
      <c r="M726" t="str">
        <f>IF([2]Entry!$J$729="","",[2]Entry!$J$729)</f>
        <v/>
      </c>
      <c r="N726" t="str">
        <f>IF([2]Entry!$M$729="","",[2]Entry!$M$729)</f>
        <v/>
      </c>
      <c r="O726" t="str">
        <f>IF([2]Entry!$N$729="","",[2]Entry!$N$729)</f>
        <v/>
      </c>
      <c r="P726" t="str">
        <f>IF([2]Entry!$S$729="","",[2]Entry!$S$729)</f>
        <v/>
      </c>
    </row>
    <row r="727" spans="12:16" x14ac:dyDescent="0.2">
      <c r="L727" t="str">
        <f>IF([2]Entry!$C$730="","",[2]Entry!$C$730)</f>
        <v/>
      </c>
      <c r="M727" t="str">
        <f>IF([2]Entry!$J$730="","",[2]Entry!$J$730)</f>
        <v/>
      </c>
      <c r="N727" t="str">
        <f>IF([2]Entry!$M$730="","",[2]Entry!$M$730)</f>
        <v/>
      </c>
      <c r="O727" t="str">
        <f>IF([2]Entry!$N$730="","",[2]Entry!$N$730)</f>
        <v/>
      </c>
      <c r="P727" t="str">
        <f>IF([2]Entry!$S$730="","",[2]Entry!$S$730)</f>
        <v/>
      </c>
    </row>
    <row r="728" spans="12:16" x14ac:dyDescent="0.2">
      <c r="L728" t="str">
        <f>IF([2]Entry!$C$731="","",[2]Entry!$C$731)</f>
        <v/>
      </c>
      <c r="M728" t="str">
        <f>IF([2]Entry!$J$731="","",[2]Entry!$J$731)</f>
        <v/>
      </c>
      <c r="N728" t="str">
        <f>IF([2]Entry!$M$731="","",[2]Entry!$M$731)</f>
        <v/>
      </c>
      <c r="O728" t="str">
        <f>IF([2]Entry!$N$731="","",[2]Entry!$N$731)</f>
        <v/>
      </c>
      <c r="P728" t="str">
        <f>IF([2]Entry!$S$731="","",[2]Entry!$S$731)</f>
        <v/>
      </c>
    </row>
    <row r="729" spans="12:16" x14ac:dyDescent="0.2">
      <c r="L729" t="str">
        <f>IF([2]Entry!$C$732="","",[2]Entry!$C$732)</f>
        <v/>
      </c>
      <c r="M729" t="str">
        <f>IF([2]Entry!$J$732="","",[2]Entry!$J$732)</f>
        <v/>
      </c>
      <c r="N729" t="str">
        <f>IF([2]Entry!$M$732="","",[2]Entry!$M$732)</f>
        <v/>
      </c>
      <c r="O729" t="str">
        <f>IF([2]Entry!$N$732="","",[2]Entry!$N$732)</f>
        <v/>
      </c>
      <c r="P729" t="str">
        <f>IF([2]Entry!$S$732="","",[2]Entry!$S$732)</f>
        <v/>
      </c>
    </row>
    <row r="730" spans="12:16" x14ac:dyDescent="0.2">
      <c r="L730" t="str">
        <f>IF([2]Entry!$C$733="","",[2]Entry!$C$733)</f>
        <v/>
      </c>
      <c r="M730" t="str">
        <f>IF([2]Entry!$J$733="","",[2]Entry!$J$733)</f>
        <v/>
      </c>
      <c r="N730" t="str">
        <f>IF([2]Entry!$M$733="","",[2]Entry!$M$733)</f>
        <v/>
      </c>
      <c r="O730" t="str">
        <f>IF([2]Entry!$N$733="","",[2]Entry!$N$733)</f>
        <v/>
      </c>
      <c r="P730" t="str">
        <f>IF([2]Entry!$S$733="","",[2]Entry!$S$733)</f>
        <v/>
      </c>
    </row>
    <row r="731" spans="12:16" x14ac:dyDescent="0.2">
      <c r="L731" t="str">
        <f>IF([2]Entry!$C$734="","",[2]Entry!$C$734)</f>
        <v/>
      </c>
      <c r="M731" t="str">
        <f>IF([2]Entry!$J$734="","",[2]Entry!$J$734)</f>
        <v/>
      </c>
      <c r="N731" t="str">
        <f>IF([2]Entry!$M$734="","",[2]Entry!$M$734)</f>
        <v/>
      </c>
      <c r="O731" t="str">
        <f>IF([2]Entry!$N$734="","",[2]Entry!$N$734)</f>
        <v/>
      </c>
      <c r="P731" t="str">
        <f>IF([2]Entry!$S$734="","",[2]Entry!$S$734)</f>
        <v/>
      </c>
    </row>
    <row r="732" spans="12:16" x14ac:dyDescent="0.2">
      <c r="L732" t="str">
        <f>IF([2]Entry!$C$735="","",[2]Entry!$C$735)</f>
        <v/>
      </c>
      <c r="M732" t="str">
        <f>IF([2]Entry!$J$735="","",[2]Entry!$J$735)</f>
        <v/>
      </c>
      <c r="N732" t="str">
        <f>IF([2]Entry!$M$735="","",[2]Entry!$M$735)</f>
        <v/>
      </c>
      <c r="O732" t="str">
        <f>IF([2]Entry!$N$735="","",[2]Entry!$N$735)</f>
        <v/>
      </c>
      <c r="P732" t="str">
        <f>IF([2]Entry!$S$735="","",[2]Entry!$S$735)</f>
        <v/>
      </c>
    </row>
    <row r="733" spans="12:16" x14ac:dyDescent="0.2">
      <c r="L733" t="str">
        <f>IF([2]Entry!$C$736="","",[2]Entry!$C$736)</f>
        <v/>
      </c>
      <c r="M733" t="str">
        <f>IF([2]Entry!$J$736="","",[2]Entry!$J$736)</f>
        <v/>
      </c>
      <c r="N733" t="str">
        <f>IF([2]Entry!$M$736="","",[2]Entry!$M$736)</f>
        <v/>
      </c>
      <c r="O733" t="str">
        <f>IF([2]Entry!$N$736="","",[2]Entry!$N$736)</f>
        <v/>
      </c>
      <c r="P733" t="str">
        <f>IF([2]Entry!$S$736="","",[2]Entry!$S$736)</f>
        <v/>
      </c>
    </row>
    <row r="734" spans="12:16" x14ac:dyDescent="0.2">
      <c r="L734" t="str">
        <f>IF([2]Entry!$C$737="","",[2]Entry!$C$737)</f>
        <v/>
      </c>
      <c r="M734" t="str">
        <f>IF([2]Entry!$J$737="","",[2]Entry!$J$737)</f>
        <v/>
      </c>
      <c r="N734" t="str">
        <f>IF([2]Entry!$M$737="","",[2]Entry!$M$737)</f>
        <v/>
      </c>
      <c r="O734" t="str">
        <f>IF([2]Entry!$N$737="","",[2]Entry!$N$737)</f>
        <v/>
      </c>
      <c r="P734" t="str">
        <f>IF([2]Entry!$S$737="","",[2]Entry!$S$737)</f>
        <v/>
      </c>
    </row>
    <row r="735" spans="12:16" x14ac:dyDescent="0.2">
      <c r="L735" t="str">
        <f>IF([2]Entry!$C$738="","",[2]Entry!$C$738)</f>
        <v/>
      </c>
      <c r="M735" t="str">
        <f>IF([2]Entry!$J$738="","",[2]Entry!$J$738)</f>
        <v/>
      </c>
      <c r="N735" t="str">
        <f>IF([2]Entry!$M$738="","",[2]Entry!$M$738)</f>
        <v/>
      </c>
      <c r="O735" t="str">
        <f>IF([2]Entry!$N$738="","",[2]Entry!$N$738)</f>
        <v/>
      </c>
      <c r="P735" t="str">
        <f>IF([2]Entry!$S$738="","",[2]Entry!$S$738)</f>
        <v/>
      </c>
    </row>
    <row r="736" spans="12:16" x14ac:dyDescent="0.2">
      <c r="L736" t="str">
        <f>IF([2]Entry!$C$739="","",[2]Entry!$C$739)</f>
        <v/>
      </c>
      <c r="M736" t="str">
        <f>IF([2]Entry!$J$739="","",[2]Entry!$J$739)</f>
        <v/>
      </c>
      <c r="N736" t="str">
        <f>IF([2]Entry!$M$739="","",[2]Entry!$M$739)</f>
        <v/>
      </c>
      <c r="O736" t="str">
        <f>IF([2]Entry!$N$739="","",[2]Entry!$N$739)</f>
        <v/>
      </c>
      <c r="P736" t="str">
        <f>IF([2]Entry!$S$739="","",[2]Entry!$S$739)</f>
        <v/>
      </c>
    </row>
    <row r="737" spans="12:16" x14ac:dyDescent="0.2">
      <c r="L737" t="str">
        <f>IF([2]Entry!$C$740="","",[2]Entry!$C$740)</f>
        <v/>
      </c>
      <c r="M737" t="str">
        <f>IF([2]Entry!$J$740="","",[2]Entry!$J$740)</f>
        <v/>
      </c>
      <c r="N737" t="str">
        <f>IF([2]Entry!$M$740="","",[2]Entry!$M$740)</f>
        <v/>
      </c>
      <c r="O737" t="str">
        <f>IF([2]Entry!$N$740="","",[2]Entry!$N$740)</f>
        <v/>
      </c>
      <c r="P737" t="str">
        <f>IF([2]Entry!$S$740="","",[2]Entry!$S$740)</f>
        <v/>
      </c>
    </row>
    <row r="738" spans="12:16" x14ac:dyDescent="0.2">
      <c r="L738" t="str">
        <f>IF([2]Entry!$C$741="","",[2]Entry!$C$741)</f>
        <v/>
      </c>
      <c r="M738" t="str">
        <f>IF([2]Entry!$J$741="","",[2]Entry!$J$741)</f>
        <v/>
      </c>
      <c r="N738" t="str">
        <f>IF([2]Entry!$M$741="","",[2]Entry!$M$741)</f>
        <v/>
      </c>
      <c r="O738" t="str">
        <f>IF([2]Entry!$N$741="","",[2]Entry!$N$741)</f>
        <v/>
      </c>
      <c r="P738" t="str">
        <f>IF([2]Entry!$S$741="","",[2]Entry!$S$741)</f>
        <v/>
      </c>
    </row>
    <row r="739" spans="12:16" x14ac:dyDescent="0.2">
      <c r="L739" t="str">
        <f>IF([2]Entry!$C$742="","",[2]Entry!$C$742)</f>
        <v/>
      </c>
      <c r="M739" t="str">
        <f>IF([2]Entry!$J$742="","",[2]Entry!$J$742)</f>
        <v/>
      </c>
      <c r="N739" t="str">
        <f>IF([2]Entry!$M$742="","",[2]Entry!$M$742)</f>
        <v/>
      </c>
      <c r="O739" t="str">
        <f>IF([2]Entry!$N$742="","",[2]Entry!$N$742)</f>
        <v/>
      </c>
      <c r="P739" t="str">
        <f>IF([2]Entry!$S$742="","",[2]Entry!$S$742)</f>
        <v/>
      </c>
    </row>
    <row r="740" spans="12:16" x14ac:dyDescent="0.2">
      <c r="L740" t="str">
        <f>IF([2]Entry!$C$743="","",[2]Entry!$C$743)</f>
        <v/>
      </c>
      <c r="M740" t="str">
        <f>IF([2]Entry!$J$743="","",[2]Entry!$J$743)</f>
        <v/>
      </c>
      <c r="N740" t="str">
        <f>IF([2]Entry!$M$743="","",[2]Entry!$M$743)</f>
        <v/>
      </c>
      <c r="O740" t="str">
        <f>IF([2]Entry!$N$743="","",[2]Entry!$N$743)</f>
        <v/>
      </c>
      <c r="P740" t="str">
        <f>IF([2]Entry!$S$743="","",[2]Entry!$S$743)</f>
        <v/>
      </c>
    </row>
    <row r="741" spans="12:16" x14ac:dyDescent="0.2">
      <c r="L741" t="str">
        <f>IF([2]Entry!$C$744="","",[2]Entry!$C$744)</f>
        <v/>
      </c>
      <c r="M741" t="str">
        <f>IF([2]Entry!$J$744="","",[2]Entry!$J$744)</f>
        <v/>
      </c>
      <c r="N741" t="str">
        <f>IF([2]Entry!$M$744="","",[2]Entry!$M$744)</f>
        <v/>
      </c>
      <c r="O741" t="str">
        <f>IF([2]Entry!$N$744="","",[2]Entry!$N$744)</f>
        <v/>
      </c>
      <c r="P741" t="str">
        <f>IF([2]Entry!$S$744="","",[2]Entry!$S$744)</f>
        <v/>
      </c>
    </row>
    <row r="742" spans="12:16" x14ac:dyDescent="0.2">
      <c r="L742" t="str">
        <f>IF([2]Entry!$C$745="","",[2]Entry!$C$745)</f>
        <v/>
      </c>
      <c r="M742" t="str">
        <f>IF([2]Entry!$J$745="","",[2]Entry!$J$745)</f>
        <v/>
      </c>
      <c r="N742" t="str">
        <f>IF([2]Entry!$M$745="","",[2]Entry!$M$745)</f>
        <v/>
      </c>
      <c r="O742" t="str">
        <f>IF([2]Entry!$N$745="","",[2]Entry!$N$745)</f>
        <v/>
      </c>
      <c r="P742" t="str">
        <f>IF([2]Entry!$S$745="","",[2]Entry!$S$745)</f>
        <v/>
      </c>
    </row>
    <row r="743" spans="12:16" x14ac:dyDescent="0.2">
      <c r="L743" t="str">
        <f>IF([2]Entry!$C$746="","",[2]Entry!$C$746)</f>
        <v/>
      </c>
      <c r="M743" t="str">
        <f>IF([2]Entry!$J$746="","",[2]Entry!$J$746)</f>
        <v/>
      </c>
      <c r="N743" t="str">
        <f>IF([2]Entry!$M$746="","",[2]Entry!$M$746)</f>
        <v/>
      </c>
      <c r="O743" t="str">
        <f>IF([2]Entry!$N$746="","",[2]Entry!$N$746)</f>
        <v/>
      </c>
      <c r="P743" t="str">
        <f>IF([2]Entry!$S$746="","",[2]Entry!$S$746)</f>
        <v/>
      </c>
    </row>
    <row r="744" spans="12:16" x14ac:dyDescent="0.2">
      <c r="L744" t="str">
        <f>IF([2]Entry!$C$747="","",[2]Entry!$C$747)</f>
        <v/>
      </c>
      <c r="M744" t="str">
        <f>IF([2]Entry!$J$747="","",[2]Entry!$J$747)</f>
        <v/>
      </c>
      <c r="N744" t="str">
        <f>IF([2]Entry!$M$747="","",[2]Entry!$M$747)</f>
        <v/>
      </c>
      <c r="O744" t="str">
        <f>IF([2]Entry!$N$747="","",[2]Entry!$N$747)</f>
        <v/>
      </c>
      <c r="P744" t="str">
        <f>IF([2]Entry!$S$747="","",[2]Entry!$S$747)</f>
        <v/>
      </c>
    </row>
    <row r="745" spans="12:16" x14ac:dyDescent="0.2">
      <c r="L745" t="str">
        <f>IF([2]Entry!$C$748="","",[2]Entry!$C$748)</f>
        <v/>
      </c>
      <c r="M745" t="str">
        <f>IF([2]Entry!$J$748="","",[2]Entry!$J$748)</f>
        <v/>
      </c>
      <c r="N745" t="str">
        <f>IF([2]Entry!$M$748="","",[2]Entry!$M$748)</f>
        <v/>
      </c>
      <c r="O745" t="str">
        <f>IF([2]Entry!$N$748="","",[2]Entry!$N$748)</f>
        <v/>
      </c>
      <c r="P745" t="str">
        <f>IF([2]Entry!$S$748="","",[2]Entry!$S$748)</f>
        <v/>
      </c>
    </row>
    <row r="746" spans="12:16" x14ac:dyDescent="0.2">
      <c r="L746" t="str">
        <f>IF([2]Entry!$C$749="","",[2]Entry!$C$749)</f>
        <v/>
      </c>
      <c r="M746" t="str">
        <f>IF([2]Entry!$J$749="","",[2]Entry!$J$749)</f>
        <v/>
      </c>
      <c r="N746" t="str">
        <f>IF([2]Entry!$M$749="","",[2]Entry!$M$749)</f>
        <v/>
      </c>
      <c r="O746" t="str">
        <f>IF([2]Entry!$N$749="","",[2]Entry!$N$749)</f>
        <v/>
      </c>
      <c r="P746" t="str">
        <f>IF([2]Entry!$S$749="","",[2]Entry!$S$749)</f>
        <v/>
      </c>
    </row>
    <row r="747" spans="12:16" x14ac:dyDescent="0.2">
      <c r="L747" t="str">
        <f>IF([2]Entry!$C$750="","",[2]Entry!$C$750)</f>
        <v/>
      </c>
      <c r="M747" t="str">
        <f>IF([2]Entry!$J$750="","",[2]Entry!$J$750)</f>
        <v/>
      </c>
      <c r="N747" t="str">
        <f>IF([2]Entry!$M$750="","",[2]Entry!$M$750)</f>
        <v/>
      </c>
      <c r="O747" t="str">
        <f>IF([2]Entry!$N$750="","",[2]Entry!$N$750)</f>
        <v/>
      </c>
      <c r="P747" t="str">
        <f>IF([2]Entry!$S$750="","",[2]Entry!$S$750)</f>
        <v/>
      </c>
    </row>
    <row r="748" spans="12:16" x14ac:dyDescent="0.2">
      <c r="L748" t="str">
        <f>IF([2]Entry!$C$751="","",[2]Entry!$C$751)</f>
        <v/>
      </c>
      <c r="M748" t="str">
        <f>IF([2]Entry!$J$751="","",[2]Entry!$J$751)</f>
        <v/>
      </c>
      <c r="N748" t="str">
        <f>IF([2]Entry!$M$751="","",[2]Entry!$M$751)</f>
        <v/>
      </c>
      <c r="O748" t="str">
        <f>IF([2]Entry!$N$751="","",[2]Entry!$N$751)</f>
        <v/>
      </c>
      <c r="P748" t="str">
        <f>IF([2]Entry!$S$751="","",[2]Entry!$S$751)</f>
        <v/>
      </c>
    </row>
    <row r="749" spans="12:16" x14ac:dyDescent="0.2">
      <c r="L749" t="str">
        <f>IF([2]Entry!$C$752="","",[2]Entry!$C$752)</f>
        <v/>
      </c>
      <c r="M749" t="str">
        <f>IF([2]Entry!$J$752="","",[2]Entry!$J$752)</f>
        <v/>
      </c>
      <c r="N749" t="str">
        <f>IF([2]Entry!$M$752="","",[2]Entry!$M$752)</f>
        <v/>
      </c>
      <c r="O749" t="str">
        <f>IF([2]Entry!$N$752="","",[2]Entry!$N$752)</f>
        <v/>
      </c>
      <c r="P749" t="str">
        <f>IF([2]Entry!$S$752="","",[2]Entry!$S$752)</f>
        <v/>
      </c>
    </row>
    <row r="750" spans="12:16" x14ac:dyDescent="0.2">
      <c r="L750" t="str">
        <f>IF([2]Entry!$C$753="","",[2]Entry!$C$753)</f>
        <v/>
      </c>
      <c r="M750" t="str">
        <f>IF([2]Entry!$J$753="","",[2]Entry!$J$753)</f>
        <v/>
      </c>
      <c r="N750" t="str">
        <f>IF([2]Entry!$M$753="","",[2]Entry!$M$753)</f>
        <v/>
      </c>
      <c r="O750" t="str">
        <f>IF([2]Entry!$N$753="","",[2]Entry!$N$753)</f>
        <v/>
      </c>
      <c r="P750" t="str">
        <f>IF([2]Entry!$S$753="","",[2]Entry!$S$753)</f>
        <v/>
      </c>
    </row>
    <row r="751" spans="12:16" x14ac:dyDescent="0.2">
      <c r="L751" t="str">
        <f>IF([2]Entry!$C$754="","",[2]Entry!$C$754)</f>
        <v/>
      </c>
      <c r="M751" t="str">
        <f>IF([2]Entry!$J$754="","",[2]Entry!$J$754)</f>
        <v/>
      </c>
      <c r="N751" t="str">
        <f>IF([2]Entry!$M$754="","",[2]Entry!$M$754)</f>
        <v/>
      </c>
      <c r="O751" t="str">
        <f>IF([2]Entry!$N$754="","",[2]Entry!$N$754)</f>
        <v/>
      </c>
      <c r="P751" t="str">
        <f>IF([2]Entry!$S$754="","",[2]Entry!$S$754)</f>
        <v/>
      </c>
    </row>
    <row r="752" spans="12:16" x14ac:dyDescent="0.2">
      <c r="L752" t="str">
        <f>IF([2]Entry!$C$755="","",[2]Entry!$C$755)</f>
        <v/>
      </c>
      <c r="M752" t="str">
        <f>IF([2]Entry!$J$755="","",[2]Entry!$J$755)</f>
        <v/>
      </c>
      <c r="N752" t="str">
        <f>IF([2]Entry!$M$755="","",[2]Entry!$M$755)</f>
        <v/>
      </c>
      <c r="O752" t="str">
        <f>IF([2]Entry!$N$755="","",[2]Entry!$N$755)</f>
        <v/>
      </c>
      <c r="P752" t="str">
        <f>IF([2]Entry!$S$755="","",[2]Entry!$S$755)</f>
        <v/>
      </c>
    </row>
    <row r="753" spans="12:16" x14ac:dyDescent="0.2">
      <c r="L753" t="str">
        <f>IF([2]Entry!$C$756="","",[2]Entry!$C$756)</f>
        <v/>
      </c>
      <c r="M753" t="str">
        <f>IF([2]Entry!$J$756="","",[2]Entry!$J$756)</f>
        <v/>
      </c>
      <c r="N753" t="str">
        <f>IF([2]Entry!$M$756="","",[2]Entry!$M$756)</f>
        <v/>
      </c>
      <c r="O753" t="str">
        <f>IF([2]Entry!$N$756="","",[2]Entry!$N$756)</f>
        <v/>
      </c>
      <c r="P753" t="str">
        <f>IF([2]Entry!$S$756="","",[2]Entry!$S$756)</f>
        <v/>
      </c>
    </row>
    <row r="754" spans="12:16" x14ac:dyDescent="0.2">
      <c r="L754" t="str">
        <f>IF([2]Entry!$C$757="","",[2]Entry!$C$757)</f>
        <v/>
      </c>
      <c r="M754" t="str">
        <f>IF([2]Entry!$J$757="","",[2]Entry!$J$757)</f>
        <v/>
      </c>
      <c r="N754" t="str">
        <f>IF([2]Entry!$M$757="","",[2]Entry!$M$757)</f>
        <v/>
      </c>
      <c r="O754" t="str">
        <f>IF([2]Entry!$N$757="","",[2]Entry!$N$757)</f>
        <v/>
      </c>
      <c r="P754" t="str">
        <f>IF([2]Entry!$S$757="","",[2]Entry!$S$757)</f>
        <v/>
      </c>
    </row>
    <row r="755" spans="12:16" x14ac:dyDescent="0.2">
      <c r="L755" t="str">
        <f>IF([2]Entry!$C$758="","",[2]Entry!$C$758)</f>
        <v/>
      </c>
      <c r="M755" t="str">
        <f>IF([2]Entry!$J$758="","",[2]Entry!$J$758)</f>
        <v/>
      </c>
      <c r="N755" t="str">
        <f>IF([2]Entry!$M$758="","",[2]Entry!$M$758)</f>
        <v/>
      </c>
      <c r="O755" t="str">
        <f>IF([2]Entry!$N$758="","",[2]Entry!$N$758)</f>
        <v/>
      </c>
      <c r="P755" t="str">
        <f>IF([2]Entry!$S$758="","",[2]Entry!$S$758)</f>
        <v/>
      </c>
    </row>
    <row r="756" spans="12:16" x14ac:dyDescent="0.2">
      <c r="L756" t="str">
        <f>IF([2]Entry!$C$759="","",[2]Entry!$C$759)</f>
        <v/>
      </c>
      <c r="M756" t="str">
        <f>IF([2]Entry!$J$759="","",[2]Entry!$J$759)</f>
        <v/>
      </c>
      <c r="N756" t="str">
        <f>IF([2]Entry!$M$759="","",[2]Entry!$M$759)</f>
        <v/>
      </c>
      <c r="O756" t="str">
        <f>IF([2]Entry!$N$759="","",[2]Entry!$N$759)</f>
        <v/>
      </c>
      <c r="P756" t="str">
        <f>IF([2]Entry!$S$759="","",[2]Entry!$S$759)</f>
        <v/>
      </c>
    </row>
    <row r="757" spans="12:16" x14ac:dyDescent="0.2">
      <c r="L757" t="str">
        <f>IF([2]Entry!$C$760="","",[2]Entry!$C$760)</f>
        <v/>
      </c>
      <c r="M757" t="str">
        <f>IF([2]Entry!$J$760="","",[2]Entry!$J$760)</f>
        <v/>
      </c>
      <c r="N757" t="str">
        <f>IF([2]Entry!$M$760="","",[2]Entry!$M$760)</f>
        <v/>
      </c>
      <c r="O757" t="str">
        <f>IF([2]Entry!$N$760="","",[2]Entry!$N$760)</f>
        <v/>
      </c>
      <c r="P757" t="str">
        <f>IF([2]Entry!$S$760="","",[2]Entry!$S$760)</f>
        <v/>
      </c>
    </row>
    <row r="758" spans="12:16" x14ac:dyDescent="0.2">
      <c r="L758" t="str">
        <f>IF([2]Entry!$C$761="","",[2]Entry!$C$761)</f>
        <v/>
      </c>
      <c r="M758" t="str">
        <f>IF([2]Entry!$J$761="","",[2]Entry!$J$761)</f>
        <v/>
      </c>
      <c r="N758" t="str">
        <f>IF([2]Entry!$M$761="","",[2]Entry!$M$761)</f>
        <v/>
      </c>
      <c r="O758" t="str">
        <f>IF([2]Entry!$N$761="","",[2]Entry!$N$761)</f>
        <v/>
      </c>
      <c r="P758" t="str">
        <f>IF([2]Entry!$S$761="","",[2]Entry!$S$761)</f>
        <v/>
      </c>
    </row>
    <row r="759" spans="12:16" x14ac:dyDescent="0.2">
      <c r="L759" t="str">
        <f>IF([2]Entry!$C$762="","",[2]Entry!$C$762)</f>
        <v/>
      </c>
      <c r="M759" t="str">
        <f>IF([2]Entry!$J$762="","",[2]Entry!$J$762)</f>
        <v/>
      </c>
      <c r="N759" t="str">
        <f>IF([2]Entry!$M$762="","",[2]Entry!$M$762)</f>
        <v/>
      </c>
      <c r="O759" t="str">
        <f>IF([2]Entry!$N$762="","",[2]Entry!$N$762)</f>
        <v/>
      </c>
      <c r="P759" t="str">
        <f>IF([2]Entry!$S$762="","",[2]Entry!$S$762)</f>
        <v/>
      </c>
    </row>
    <row r="760" spans="12:16" x14ac:dyDescent="0.2">
      <c r="L760" t="str">
        <f>IF([2]Entry!$C$763="","",[2]Entry!$C$763)</f>
        <v/>
      </c>
      <c r="M760" t="str">
        <f>IF([2]Entry!$J$763="","",[2]Entry!$J$763)</f>
        <v/>
      </c>
      <c r="N760" t="str">
        <f>IF([2]Entry!$M$763="","",[2]Entry!$M$763)</f>
        <v/>
      </c>
      <c r="O760" t="str">
        <f>IF([2]Entry!$N$763="","",[2]Entry!$N$763)</f>
        <v/>
      </c>
      <c r="P760" t="str">
        <f>IF([2]Entry!$S$763="","",[2]Entry!$S$763)</f>
        <v/>
      </c>
    </row>
    <row r="761" spans="12:16" x14ac:dyDescent="0.2">
      <c r="L761" t="str">
        <f>IF([2]Entry!$C$764="","",[2]Entry!$C$764)</f>
        <v/>
      </c>
      <c r="M761" t="str">
        <f>IF([2]Entry!$J$764="","",[2]Entry!$J$764)</f>
        <v/>
      </c>
      <c r="N761" t="str">
        <f>IF([2]Entry!$M$764="","",[2]Entry!$M$764)</f>
        <v/>
      </c>
      <c r="O761" t="str">
        <f>IF([2]Entry!$N$764="","",[2]Entry!$N$764)</f>
        <v/>
      </c>
      <c r="P761" t="str">
        <f>IF([2]Entry!$S$764="","",[2]Entry!$S$764)</f>
        <v/>
      </c>
    </row>
    <row r="762" spans="12:16" x14ac:dyDescent="0.2">
      <c r="L762" t="str">
        <f>IF([2]Entry!$C$765="","",[2]Entry!$C$765)</f>
        <v/>
      </c>
      <c r="M762" t="str">
        <f>IF([2]Entry!$J$765="","",[2]Entry!$J$765)</f>
        <v/>
      </c>
      <c r="N762" t="str">
        <f>IF([2]Entry!$M$765="","",[2]Entry!$M$765)</f>
        <v/>
      </c>
      <c r="O762" t="str">
        <f>IF([2]Entry!$N$765="","",[2]Entry!$N$765)</f>
        <v/>
      </c>
      <c r="P762" t="str">
        <f>IF([2]Entry!$S$765="","",[2]Entry!$S$765)</f>
        <v/>
      </c>
    </row>
    <row r="763" spans="12:16" x14ac:dyDescent="0.2">
      <c r="L763" t="str">
        <f>IF([2]Entry!$C$766="","",[2]Entry!$C$766)</f>
        <v/>
      </c>
      <c r="M763" t="str">
        <f>IF([2]Entry!$J$766="","",[2]Entry!$J$766)</f>
        <v/>
      </c>
      <c r="N763" t="str">
        <f>IF([2]Entry!$M$766="","",[2]Entry!$M$766)</f>
        <v/>
      </c>
      <c r="O763" t="str">
        <f>IF([2]Entry!$N$766="","",[2]Entry!$N$766)</f>
        <v/>
      </c>
      <c r="P763" t="str">
        <f>IF([2]Entry!$S$766="","",[2]Entry!$S$766)</f>
        <v/>
      </c>
    </row>
    <row r="764" spans="12:16" x14ac:dyDescent="0.2">
      <c r="L764" t="str">
        <f>IF([2]Entry!$C$767="","",[2]Entry!$C$767)</f>
        <v/>
      </c>
      <c r="M764" t="str">
        <f>IF([2]Entry!$J$767="","",[2]Entry!$J$767)</f>
        <v/>
      </c>
      <c r="N764" t="str">
        <f>IF([2]Entry!$M$767="","",[2]Entry!$M$767)</f>
        <v/>
      </c>
      <c r="O764" t="str">
        <f>IF([2]Entry!$N$767="","",[2]Entry!$N$767)</f>
        <v/>
      </c>
      <c r="P764" t="str">
        <f>IF([2]Entry!$S$767="","",[2]Entry!$S$767)</f>
        <v/>
      </c>
    </row>
    <row r="765" spans="12:16" x14ac:dyDescent="0.2">
      <c r="L765" t="str">
        <f>IF([2]Entry!$C$768="","",[2]Entry!$C$768)</f>
        <v/>
      </c>
      <c r="M765" t="str">
        <f>IF([2]Entry!$J$768="","",[2]Entry!$J$768)</f>
        <v/>
      </c>
      <c r="N765" t="str">
        <f>IF([2]Entry!$M$768="","",[2]Entry!$M$768)</f>
        <v/>
      </c>
      <c r="O765" t="str">
        <f>IF([2]Entry!$N$768="","",[2]Entry!$N$768)</f>
        <v/>
      </c>
      <c r="P765" t="str">
        <f>IF([2]Entry!$S$768="","",[2]Entry!$S$768)</f>
        <v/>
      </c>
    </row>
    <row r="766" spans="12:16" x14ac:dyDescent="0.2">
      <c r="L766" t="str">
        <f>IF([2]Entry!$C$769="","",[2]Entry!$C$769)</f>
        <v/>
      </c>
      <c r="M766" t="str">
        <f>IF([2]Entry!$J$769="","",[2]Entry!$J$769)</f>
        <v/>
      </c>
      <c r="N766" t="str">
        <f>IF([2]Entry!$M$769="","",[2]Entry!$M$769)</f>
        <v/>
      </c>
      <c r="O766" t="str">
        <f>IF([2]Entry!$N$769="","",[2]Entry!$N$769)</f>
        <v/>
      </c>
      <c r="P766" t="str">
        <f>IF([2]Entry!$S$769="","",[2]Entry!$S$769)</f>
        <v/>
      </c>
    </row>
    <row r="767" spans="12:16" x14ac:dyDescent="0.2">
      <c r="L767" t="str">
        <f>IF([2]Entry!$C$770="","",[2]Entry!$C$770)</f>
        <v/>
      </c>
      <c r="M767" t="str">
        <f>IF([2]Entry!$J$770="","",[2]Entry!$J$770)</f>
        <v/>
      </c>
      <c r="N767" t="str">
        <f>IF([2]Entry!$M$770="","",[2]Entry!$M$770)</f>
        <v/>
      </c>
      <c r="O767" t="str">
        <f>IF([2]Entry!$N$770="","",[2]Entry!$N$770)</f>
        <v/>
      </c>
      <c r="P767" t="str">
        <f>IF([2]Entry!$S$770="","",[2]Entry!$S$770)</f>
        <v/>
      </c>
    </row>
    <row r="768" spans="12:16" x14ac:dyDescent="0.2">
      <c r="L768" t="str">
        <f>IF([2]Entry!$C$771="","",[2]Entry!$C$771)</f>
        <v/>
      </c>
      <c r="M768" t="str">
        <f>IF([2]Entry!$J$771="","",[2]Entry!$J$771)</f>
        <v/>
      </c>
      <c r="N768" t="str">
        <f>IF([2]Entry!$M$771="","",[2]Entry!$M$771)</f>
        <v/>
      </c>
      <c r="O768" t="str">
        <f>IF([2]Entry!$N$771="","",[2]Entry!$N$771)</f>
        <v/>
      </c>
      <c r="P768" t="str">
        <f>IF([2]Entry!$S$771="","",[2]Entry!$S$771)</f>
        <v/>
      </c>
    </row>
    <row r="769" spans="12:16" x14ac:dyDescent="0.2">
      <c r="L769" t="str">
        <f>IF([2]Entry!$C$772="","",[2]Entry!$C$772)</f>
        <v/>
      </c>
      <c r="M769" t="str">
        <f>IF([2]Entry!$J$772="","",[2]Entry!$J$772)</f>
        <v/>
      </c>
      <c r="N769" t="str">
        <f>IF([2]Entry!$M$772="","",[2]Entry!$M$772)</f>
        <v/>
      </c>
      <c r="O769" t="str">
        <f>IF([2]Entry!$N$772="","",[2]Entry!$N$772)</f>
        <v/>
      </c>
      <c r="P769" t="str">
        <f>IF([2]Entry!$S$772="","",[2]Entry!$S$772)</f>
        <v/>
      </c>
    </row>
    <row r="770" spans="12:16" x14ac:dyDescent="0.2">
      <c r="L770" t="str">
        <f>IF([2]Entry!$C$773="","",[2]Entry!$C$773)</f>
        <v/>
      </c>
      <c r="M770" t="str">
        <f>IF([2]Entry!$J$773="","",[2]Entry!$J$773)</f>
        <v/>
      </c>
      <c r="N770" t="str">
        <f>IF([2]Entry!$M$773="","",[2]Entry!$M$773)</f>
        <v/>
      </c>
      <c r="O770" t="str">
        <f>IF([2]Entry!$N$773="","",[2]Entry!$N$773)</f>
        <v/>
      </c>
      <c r="P770" t="str">
        <f>IF([2]Entry!$S$773="","",[2]Entry!$S$773)</f>
        <v/>
      </c>
    </row>
    <row r="771" spans="12:16" x14ac:dyDescent="0.2">
      <c r="L771" t="str">
        <f>IF([2]Entry!$C$774="","",[2]Entry!$C$774)</f>
        <v/>
      </c>
      <c r="M771" t="str">
        <f>IF([2]Entry!$J$774="","",[2]Entry!$J$774)</f>
        <v/>
      </c>
      <c r="N771" t="str">
        <f>IF([2]Entry!$M$774="","",[2]Entry!$M$774)</f>
        <v/>
      </c>
      <c r="O771" t="str">
        <f>IF([2]Entry!$N$774="","",[2]Entry!$N$774)</f>
        <v/>
      </c>
      <c r="P771" t="str">
        <f>IF([2]Entry!$S$774="","",[2]Entry!$S$774)</f>
        <v/>
      </c>
    </row>
    <row r="772" spans="12:16" x14ac:dyDescent="0.2">
      <c r="L772" t="str">
        <f>IF([2]Entry!$C$775="","",[2]Entry!$C$775)</f>
        <v/>
      </c>
      <c r="M772" t="str">
        <f>IF([2]Entry!$J$775="","",[2]Entry!$J$775)</f>
        <v/>
      </c>
      <c r="N772" t="str">
        <f>IF([2]Entry!$M$775="","",[2]Entry!$M$775)</f>
        <v/>
      </c>
      <c r="O772" t="str">
        <f>IF([2]Entry!$N$775="","",[2]Entry!$N$775)</f>
        <v/>
      </c>
      <c r="P772" t="str">
        <f>IF([2]Entry!$S$775="","",[2]Entry!$S$775)</f>
        <v/>
      </c>
    </row>
    <row r="773" spans="12:16" x14ac:dyDescent="0.2">
      <c r="L773" t="str">
        <f>IF([2]Entry!$C$776="","",[2]Entry!$C$776)</f>
        <v/>
      </c>
      <c r="M773" t="str">
        <f>IF([2]Entry!$J$776="","",[2]Entry!$J$776)</f>
        <v/>
      </c>
      <c r="N773" t="str">
        <f>IF([2]Entry!$M$776="","",[2]Entry!$M$776)</f>
        <v/>
      </c>
      <c r="O773" t="str">
        <f>IF([2]Entry!$N$776="","",[2]Entry!$N$776)</f>
        <v/>
      </c>
      <c r="P773" t="str">
        <f>IF([2]Entry!$S$776="","",[2]Entry!$S$776)</f>
        <v/>
      </c>
    </row>
    <row r="774" spans="12:16" x14ac:dyDescent="0.2">
      <c r="L774" t="str">
        <f>IF([2]Entry!$C$777="","",[2]Entry!$C$777)</f>
        <v/>
      </c>
      <c r="M774" t="str">
        <f>IF([2]Entry!$J$777="","",[2]Entry!$J$777)</f>
        <v/>
      </c>
      <c r="N774" t="str">
        <f>IF([2]Entry!$M$777="","",[2]Entry!$M$777)</f>
        <v/>
      </c>
      <c r="O774" t="str">
        <f>IF([2]Entry!$N$777="","",[2]Entry!$N$777)</f>
        <v/>
      </c>
      <c r="P774" t="str">
        <f>IF([2]Entry!$S$777="","",[2]Entry!$S$777)</f>
        <v/>
      </c>
    </row>
    <row r="775" spans="12:16" x14ac:dyDescent="0.2">
      <c r="L775" t="str">
        <f>IF([2]Entry!$C$778="","",[2]Entry!$C$778)</f>
        <v/>
      </c>
      <c r="M775" t="str">
        <f>IF([2]Entry!$J$778="","",[2]Entry!$J$778)</f>
        <v/>
      </c>
      <c r="N775" t="str">
        <f>IF([2]Entry!$M$778="","",[2]Entry!$M$778)</f>
        <v/>
      </c>
      <c r="O775" t="str">
        <f>IF([2]Entry!$N$778="","",[2]Entry!$N$778)</f>
        <v/>
      </c>
      <c r="P775" t="str">
        <f>IF([2]Entry!$S$778="","",[2]Entry!$S$778)</f>
        <v/>
      </c>
    </row>
    <row r="776" spans="12:16" x14ac:dyDescent="0.2">
      <c r="L776" t="str">
        <f>IF([2]Entry!$C$779="","",[2]Entry!$C$779)</f>
        <v/>
      </c>
      <c r="M776" t="str">
        <f>IF([2]Entry!$J$779="","",[2]Entry!$J$779)</f>
        <v/>
      </c>
      <c r="N776" t="str">
        <f>IF([2]Entry!$M$779="","",[2]Entry!$M$779)</f>
        <v/>
      </c>
      <c r="O776" t="str">
        <f>IF([2]Entry!$N$779="","",[2]Entry!$N$779)</f>
        <v/>
      </c>
      <c r="P776" t="str">
        <f>IF([2]Entry!$S$779="","",[2]Entry!$S$779)</f>
        <v/>
      </c>
    </row>
    <row r="777" spans="12:16" x14ac:dyDescent="0.2">
      <c r="L777" t="str">
        <f>IF([2]Entry!$C$780="","",[2]Entry!$C$780)</f>
        <v/>
      </c>
      <c r="M777" t="str">
        <f>IF([2]Entry!$J$780="","",[2]Entry!$J$780)</f>
        <v/>
      </c>
      <c r="N777" t="str">
        <f>IF([2]Entry!$M$780="","",[2]Entry!$M$780)</f>
        <v/>
      </c>
      <c r="O777" t="str">
        <f>IF([2]Entry!$N$780="","",[2]Entry!$N$780)</f>
        <v/>
      </c>
      <c r="P777" t="str">
        <f>IF([2]Entry!$S$780="","",[2]Entry!$S$780)</f>
        <v/>
      </c>
    </row>
    <row r="778" spans="12:16" x14ac:dyDescent="0.2">
      <c r="L778" t="str">
        <f>IF([2]Entry!$C$781="","",[2]Entry!$C$781)</f>
        <v/>
      </c>
      <c r="M778" t="str">
        <f>IF([2]Entry!$J$781="","",[2]Entry!$J$781)</f>
        <v/>
      </c>
      <c r="N778" t="str">
        <f>IF([2]Entry!$M$781="","",[2]Entry!$M$781)</f>
        <v/>
      </c>
      <c r="O778" t="str">
        <f>IF([2]Entry!$N$781="","",[2]Entry!$N$781)</f>
        <v/>
      </c>
      <c r="P778" t="str">
        <f>IF([2]Entry!$S$781="","",[2]Entry!$S$781)</f>
        <v/>
      </c>
    </row>
    <row r="779" spans="12:16" x14ac:dyDescent="0.2">
      <c r="L779" t="str">
        <f>IF([2]Entry!$C$782="","",[2]Entry!$C$782)</f>
        <v/>
      </c>
      <c r="M779" t="str">
        <f>IF([2]Entry!$J$782="","",[2]Entry!$J$782)</f>
        <v/>
      </c>
      <c r="N779" t="str">
        <f>IF([2]Entry!$M$782="","",[2]Entry!$M$782)</f>
        <v/>
      </c>
      <c r="O779" t="str">
        <f>IF([2]Entry!$N$782="","",[2]Entry!$N$782)</f>
        <v/>
      </c>
      <c r="P779" t="str">
        <f>IF([2]Entry!$S$782="","",[2]Entry!$S$782)</f>
        <v/>
      </c>
    </row>
    <row r="780" spans="12:16" x14ac:dyDescent="0.2">
      <c r="L780" t="str">
        <f>IF([2]Entry!$C$783="","",[2]Entry!$C$783)</f>
        <v/>
      </c>
      <c r="M780" t="str">
        <f>IF([2]Entry!$J$783="","",[2]Entry!$J$783)</f>
        <v/>
      </c>
      <c r="N780" t="str">
        <f>IF([2]Entry!$M$783="","",[2]Entry!$M$783)</f>
        <v/>
      </c>
      <c r="O780" t="str">
        <f>IF([2]Entry!$N$783="","",[2]Entry!$N$783)</f>
        <v/>
      </c>
      <c r="P780" t="str">
        <f>IF([2]Entry!$S$783="","",[2]Entry!$S$783)</f>
        <v/>
      </c>
    </row>
    <row r="781" spans="12:16" x14ac:dyDescent="0.2">
      <c r="L781" t="str">
        <f>IF([2]Entry!$C$784="","",[2]Entry!$C$784)</f>
        <v/>
      </c>
      <c r="M781" t="str">
        <f>IF([2]Entry!$J$784="","",[2]Entry!$J$784)</f>
        <v/>
      </c>
      <c r="N781" t="str">
        <f>IF([2]Entry!$M$784="","",[2]Entry!$M$784)</f>
        <v/>
      </c>
      <c r="O781" t="str">
        <f>IF([2]Entry!$N$784="","",[2]Entry!$N$784)</f>
        <v/>
      </c>
      <c r="P781" t="str">
        <f>IF([2]Entry!$S$784="","",[2]Entry!$S$784)</f>
        <v/>
      </c>
    </row>
    <row r="782" spans="12:16" x14ac:dyDescent="0.2">
      <c r="L782" t="str">
        <f>IF([2]Entry!$C$785="","",[2]Entry!$C$785)</f>
        <v/>
      </c>
      <c r="M782" t="str">
        <f>IF([2]Entry!$J$785="","",[2]Entry!$J$785)</f>
        <v/>
      </c>
      <c r="N782" t="str">
        <f>IF([2]Entry!$M$785="","",[2]Entry!$M$785)</f>
        <v/>
      </c>
      <c r="O782" t="str">
        <f>IF([2]Entry!$N$785="","",[2]Entry!$N$785)</f>
        <v/>
      </c>
      <c r="P782" t="str">
        <f>IF([2]Entry!$S$785="","",[2]Entry!$S$785)</f>
        <v/>
      </c>
    </row>
    <row r="783" spans="12:16" x14ac:dyDescent="0.2">
      <c r="L783" t="str">
        <f>IF([2]Entry!$C$786="","",[2]Entry!$C$786)</f>
        <v/>
      </c>
      <c r="M783" t="str">
        <f>IF([2]Entry!$J$786="","",[2]Entry!$J$786)</f>
        <v/>
      </c>
      <c r="N783" t="str">
        <f>IF([2]Entry!$M$786="","",[2]Entry!$M$786)</f>
        <v/>
      </c>
      <c r="O783" t="str">
        <f>IF([2]Entry!$N$786="","",[2]Entry!$N$786)</f>
        <v/>
      </c>
      <c r="P783" t="str">
        <f>IF([2]Entry!$S$786="","",[2]Entry!$S$786)</f>
        <v/>
      </c>
    </row>
    <row r="784" spans="12:16" x14ac:dyDescent="0.2">
      <c r="L784" t="str">
        <f>IF([2]Entry!$C$787="","",[2]Entry!$C$787)</f>
        <v/>
      </c>
      <c r="M784" t="str">
        <f>IF([2]Entry!$J$787="","",[2]Entry!$J$787)</f>
        <v/>
      </c>
      <c r="N784" t="str">
        <f>IF([2]Entry!$M$787="","",[2]Entry!$M$787)</f>
        <v/>
      </c>
      <c r="O784" t="str">
        <f>IF([2]Entry!$N$787="","",[2]Entry!$N$787)</f>
        <v/>
      </c>
      <c r="P784" t="str">
        <f>IF([2]Entry!$S$787="","",[2]Entry!$S$787)</f>
        <v/>
      </c>
    </row>
    <row r="785" spans="12:16" x14ac:dyDescent="0.2">
      <c r="L785" t="str">
        <f>IF([2]Entry!$C$788="","",[2]Entry!$C$788)</f>
        <v/>
      </c>
      <c r="M785" t="str">
        <f>IF([2]Entry!$J$788="","",[2]Entry!$J$788)</f>
        <v/>
      </c>
      <c r="N785" t="str">
        <f>IF([2]Entry!$M$788="","",[2]Entry!$M$788)</f>
        <v/>
      </c>
      <c r="O785" t="str">
        <f>IF([2]Entry!$N$788="","",[2]Entry!$N$788)</f>
        <v/>
      </c>
      <c r="P785" t="str">
        <f>IF([2]Entry!$S$788="","",[2]Entry!$S$788)</f>
        <v/>
      </c>
    </row>
    <row r="786" spans="12:16" x14ac:dyDescent="0.2">
      <c r="L786" t="str">
        <f>IF([2]Entry!$C$789="","",[2]Entry!$C$789)</f>
        <v/>
      </c>
      <c r="M786" t="str">
        <f>IF([2]Entry!$J$789="","",[2]Entry!$J$789)</f>
        <v/>
      </c>
      <c r="N786" t="str">
        <f>IF([2]Entry!$M$789="","",[2]Entry!$M$789)</f>
        <v/>
      </c>
      <c r="O786" t="str">
        <f>IF([2]Entry!$N$789="","",[2]Entry!$N$789)</f>
        <v/>
      </c>
      <c r="P786" t="str">
        <f>IF([2]Entry!$S$789="","",[2]Entry!$S$789)</f>
        <v/>
      </c>
    </row>
    <row r="787" spans="12:16" x14ac:dyDescent="0.2">
      <c r="L787" t="str">
        <f>IF([2]Entry!$C$790="","",[2]Entry!$C$790)</f>
        <v/>
      </c>
      <c r="M787" t="str">
        <f>IF([2]Entry!$J$790="","",[2]Entry!$J$790)</f>
        <v/>
      </c>
      <c r="N787" t="str">
        <f>IF([2]Entry!$M$790="","",[2]Entry!$M$790)</f>
        <v/>
      </c>
      <c r="O787" t="str">
        <f>IF([2]Entry!$N$790="","",[2]Entry!$N$790)</f>
        <v/>
      </c>
      <c r="P787" t="str">
        <f>IF([2]Entry!$S$790="","",[2]Entry!$S$790)</f>
        <v/>
      </c>
    </row>
    <row r="788" spans="12:16" x14ac:dyDescent="0.2">
      <c r="L788" t="str">
        <f>IF([2]Entry!$C$791="","",[2]Entry!$C$791)</f>
        <v/>
      </c>
      <c r="M788" t="str">
        <f>IF([2]Entry!$J$791="","",[2]Entry!$J$791)</f>
        <v/>
      </c>
      <c r="N788" t="str">
        <f>IF([2]Entry!$M$791="","",[2]Entry!$M$791)</f>
        <v/>
      </c>
      <c r="O788" t="str">
        <f>IF([2]Entry!$N$791="","",[2]Entry!$N$791)</f>
        <v/>
      </c>
      <c r="P788" t="str">
        <f>IF([2]Entry!$S$791="","",[2]Entry!$S$791)</f>
        <v/>
      </c>
    </row>
    <row r="789" spans="12:16" x14ac:dyDescent="0.2">
      <c r="L789" t="str">
        <f>IF([2]Entry!$C$792="","",[2]Entry!$C$792)</f>
        <v/>
      </c>
      <c r="M789" t="str">
        <f>IF([2]Entry!$J$792="","",[2]Entry!$J$792)</f>
        <v/>
      </c>
      <c r="N789" t="str">
        <f>IF([2]Entry!$M$792="","",[2]Entry!$M$792)</f>
        <v/>
      </c>
      <c r="O789" t="str">
        <f>IF([2]Entry!$N$792="","",[2]Entry!$N$792)</f>
        <v/>
      </c>
      <c r="P789" t="str">
        <f>IF([2]Entry!$S$792="","",[2]Entry!$S$792)</f>
        <v/>
      </c>
    </row>
    <row r="790" spans="12:16" x14ac:dyDescent="0.2">
      <c r="L790" t="str">
        <f>IF([2]Entry!$C$793="","",[2]Entry!$C$793)</f>
        <v/>
      </c>
      <c r="M790" t="str">
        <f>IF([2]Entry!$J$793="","",[2]Entry!$J$793)</f>
        <v/>
      </c>
      <c r="N790" t="str">
        <f>IF([2]Entry!$M$793="","",[2]Entry!$M$793)</f>
        <v/>
      </c>
      <c r="O790" t="str">
        <f>IF([2]Entry!$N$793="","",[2]Entry!$N$793)</f>
        <v/>
      </c>
      <c r="P790" t="str">
        <f>IF([2]Entry!$S$793="","",[2]Entry!$S$793)</f>
        <v/>
      </c>
    </row>
    <row r="791" spans="12:16" x14ac:dyDescent="0.2">
      <c r="L791" t="str">
        <f>IF([2]Entry!$C$794="","",[2]Entry!$C$794)</f>
        <v/>
      </c>
      <c r="M791" t="str">
        <f>IF([2]Entry!$J$794="","",[2]Entry!$J$794)</f>
        <v/>
      </c>
      <c r="N791" t="str">
        <f>IF([2]Entry!$M$794="","",[2]Entry!$M$794)</f>
        <v/>
      </c>
      <c r="O791" t="str">
        <f>IF([2]Entry!$N$794="","",[2]Entry!$N$794)</f>
        <v/>
      </c>
      <c r="P791" t="str">
        <f>IF([2]Entry!$S$794="","",[2]Entry!$S$794)</f>
        <v/>
      </c>
    </row>
    <row r="792" spans="12:16" x14ac:dyDescent="0.2">
      <c r="L792" t="str">
        <f>IF([2]Entry!$C$795="","",[2]Entry!$C$795)</f>
        <v/>
      </c>
      <c r="M792" t="str">
        <f>IF([2]Entry!$J$795="","",[2]Entry!$J$795)</f>
        <v/>
      </c>
      <c r="N792" t="str">
        <f>IF([2]Entry!$M$795="","",[2]Entry!$M$795)</f>
        <v/>
      </c>
      <c r="O792" t="str">
        <f>IF([2]Entry!$N$795="","",[2]Entry!$N$795)</f>
        <v/>
      </c>
      <c r="P792" t="str">
        <f>IF([2]Entry!$S$795="","",[2]Entry!$S$795)</f>
        <v/>
      </c>
    </row>
    <row r="793" spans="12:16" x14ac:dyDescent="0.2">
      <c r="L793" t="str">
        <f>IF([2]Entry!$C$796="","",[2]Entry!$C$796)</f>
        <v/>
      </c>
      <c r="M793" t="str">
        <f>IF([2]Entry!$J$796="","",[2]Entry!$J$796)</f>
        <v/>
      </c>
      <c r="N793" t="str">
        <f>IF([2]Entry!$M$796="","",[2]Entry!$M$796)</f>
        <v/>
      </c>
      <c r="O793" t="str">
        <f>IF([2]Entry!$N$796="","",[2]Entry!$N$796)</f>
        <v/>
      </c>
      <c r="P793" t="str">
        <f>IF([2]Entry!$S$796="","",[2]Entry!$S$796)</f>
        <v/>
      </c>
    </row>
    <row r="794" spans="12:16" x14ac:dyDescent="0.2">
      <c r="L794" t="str">
        <f>IF([2]Entry!$C$797="","",[2]Entry!$C$797)</f>
        <v/>
      </c>
      <c r="M794" t="str">
        <f>IF([2]Entry!$J$797="","",[2]Entry!$J$797)</f>
        <v/>
      </c>
      <c r="N794" t="str">
        <f>IF([2]Entry!$M$797="","",[2]Entry!$M$797)</f>
        <v/>
      </c>
      <c r="O794" t="str">
        <f>IF([2]Entry!$N$797="","",[2]Entry!$N$797)</f>
        <v/>
      </c>
      <c r="P794" t="str">
        <f>IF([2]Entry!$S$797="","",[2]Entry!$S$797)</f>
        <v/>
      </c>
    </row>
    <row r="795" spans="12:16" x14ac:dyDescent="0.2">
      <c r="L795" t="str">
        <f>IF([2]Entry!$C$798="","",[2]Entry!$C$798)</f>
        <v/>
      </c>
      <c r="M795" t="str">
        <f>IF([2]Entry!$J$798="","",[2]Entry!$J$798)</f>
        <v/>
      </c>
      <c r="N795" t="str">
        <f>IF([2]Entry!$M$798="","",[2]Entry!$M$798)</f>
        <v/>
      </c>
      <c r="O795" t="str">
        <f>IF([2]Entry!$N$798="","",[2]Entry!$N$798)</f>
        <v/>
      </c>
      <c r="P795" t="str">
        <f>IF([2]Entry!$S$798="","",[2]Entry!$S$798)</f>
        <v/>
      </c>
    </row>
    <row r="796" spans="12:16" x14ac:dyDescent="0.2">
      <c r="L796" t="str">
        <f>IF([2]Entry!$C$799="","",[2]Entry!$C$799)</f>
        <v/>
      </c>
      <c r="M796" t="str">
        <f>IF([2]Entry!$J$799="","",[2]Entry!$J$799)</f>
        <v/>
      </c>
      <c r="N796" t="str">
        <f>IF([2]Entry!$M$799="","",[2]Entry!$M$799)</f>
        <v/>
      </c>
      <c r="O796" t="str">
        <f>IF([2]Entry!$N$799="","",[2]Entry!$N$799)</f>
        <v/>
      </c>
      <c r="P796" t="str">
        <f>IF([2]Entry!$S$799="","",[2]Entry!$S$799)</f>
        <v/>
      </c>
    </row>
    <row r="797" spans="12:16" x14ac:dyDescent="0.2">
      <c r="L797" t="str">
        <f>IF([2]Entry!$C$800="","",[2]Entry!$C$800)</f>
        <v/>
      </c>
      <c r="M797" t="str">
        <f>IF([2]Entry!$J$800="","",[2]Entry!$J$800)</f>
        <v/>
      </c>
      <c r="N797" t="str">
        <f>IF([2]Entry!$M$800="","",[2]Entry!$M$800)</f>
        <v/>
      </c>
      <c r="O797" t="str">
        <f>IF([2]Entry!$N$800="","",[2]Entry!$N$800)</f>
        <v/>
      </c>
      <c r="P797" t="str">
        <f>IF([2]Entry!$S$800="","",[2]Entry!$S$800)</f>
        <v/>
      </c>
    </row>
    <row r="798" spans="12:16" x14ac:dyDescent="0.2">
      <c r="L798" t="str">
        <f>IF([2]Entry!$C$801="","",[2]Entry!$C$801)</f>
        <v/>
      </c>
      <c r="M798" t="str">
        <f>IF([2]Entry!$J$801="","",[2]Entry!$J$801)</f>
        <v/>
      </c>
      <c r="N798" t="str">
        <f>IF([2]Entry!$M$801="","",[2]Entry!$M$801)</f>
        <v/>
      </c>
      <c r="O798" t="str">
        <f>IF([2]Entry!$N$801="","",[2]Entry!$N$801)</f>
        <v/>
      </c>
      <c r="P798" t="str">
        <f>IF([2]Entry!$S$801="","",[2]Entry!$S$801)</f>
        <v/>
      </c>
    </row>
    <row r="799" spans="12:16" x14ac:dyDescent="0.2">
      <c r="L799" t="str">
        <f>IF([2]Entry!$C$802="","",[2]Entry!$C$802)</f>
        <v/>
      </c>
      <c r="M799" t="str">
        <f>IF([2]Entry!$J$802="","",[2]Entry!$J$802)</f>
        <v/>
      </c>
      <c r="N799" t="str">
        <f>IF([2]Entry!$M$802="","",[2]Entry!$M$802)</f>
        <v/>
      </c>
      <c r="O799" t="str">
        <f>IF([2]Entry!$N$802="","",[2]Entry!$N$802)</f>
        <v/>
      </c>
      <c r="P799" t="str">
        <f>IF([2]Entry!$S$802="","",[2]Entry!$S$802)</f>
        <v/>
      </c>
    </row>
    <row r="800" spans="12:16" x14ac:dyDescent="0.2">
      <c r="L800" t="str">
        <f>IF([2]Entry!$C$803="","",[2]Entry!$C$803)</f>
        <v/>
      </c>
      <c r="M800" t="str">
        <f>IF([2]Entry!$J$803="","",[2]Entry!$J$803)</f>
        <v/>
      </c>
      <c r="N800" t="str">
        <f>IF([2]Entry!$M$803="","",[2]Entry!$M$803)</f>
        <v/>
      </c>
      <c r="O800" t="str">
        <f>IF([2]Entry!$N$803="","",[2]Entry!$N$803)</f>
        <v/>
      </c>
      <c r="P800" t="str">
        <f>IF([2]Entry!$S$803="","",[2]Entry!$S$803)</f>
        <v/>
      </c>
    </row>
    <row r="801" spans="12:16" x14ac:dyDescent="0.2">
      <c r="L801" t="str">
        <f>IF([2]Entry!$C$804="","",[2]Entry!$C$804)</f>
        <v/>
      </c>
      <c r="M801" t="str">
        <f>IF([2]Entry!$J$804="","",[2]Entry!$J$804)</f>
        <v/>
      </c>
      <c r="N801" t="str">
        <f>IF([2]Entry!$M$804="","",[2]Entry!$M$804)</f>
        <v/>
      </c>
      <c r="O801" t="str">
        <f>IF([2]Entry!$N$804="","",[2]Entry!$N$804)</f>
        <v/>
      </c>
      <c r="P801" t="str">
        <f>IF([2]Entry!$S$804="","",[2]Entry!$S$804)</f>
        <v/>
      </c>
    </row>
    <row r="802" spans="12:16" x14ac:dyDescent="0.2">
      <c r="L802" t="str">
        <f>IF([2]Entry!$C$805="","",[2]Entry!$C$805)</f>
        <v/>
      </c>
      <c r="M802" t="str">
        <f>IF([2]Entry!$J$805="","",[2]Entry!$J$805)</f>
        <v/>
      </c>
      <c r="N802" t="str">
        <f>IF([2]Entry!$M$805="","",[2]Entry!$M$805)</f>
        <v/>
      </c>
      <c r="O802" t="str">
        <f>IF([2]Entry!$N$805="","",[2]Entry!$N$805)</f>
        <v/>
      </c>
      <c r="P802" t="str">
        <f>IF([2]Entry!$S$805="","",[2]Entry!$S$805)</f>
        <v/>
      </c>
    </row>
    <row r="803" spans="12:16" x14ac:dyDescent="0.2">
      <c r="L803" t="str">
        <f>IF([2]Entry!$C$806="","",[2]Entry!$C$806)</f>
        <v/>
      </c>
      <c r="M803" t="str">
        <f>IF([2]Entry!$J$806="","",[2]Entry!$J$806)</f>
        <v/>
      </c>
      <c r="N803" t="str">
        <f>IF([2]Entry!$M$806="","",[2]Entry!$M$806)</f>
        <v/>
      </c>
      <c r="O803" t="str">
        <f>IF([2]Entry!$N$806="","",[2]Entry!$N$806)</f>
        <v/>
      </c>
      <c r="P803" t="str">
        <f>IF([2]Entry!$S$806="","",[2]Entry!$S$806)</f>
        <v/>
      </c>
    </row>
    <row r="804" spans="12:16" x14ac:dyDescent="0.2">
      <c r="L804" t="str">
        <f>IF([2]Entry!$C$807="","",[2]Entry!$C$807)</f>
        <v/>
      </c>
      <c r="M804" t="str">
        <f>IF([2]Entry!$J$807="","",[2]Entry!$J$807)</f>
        <v/>
      </c>
      <c r="N804" t="str">
        <f>IF([2]Entry!$M$807="","",[2]Entry!$M$807)</f>
        <v/>
      </c>
      <c r="O804" t="str">
        <f>IF([2]Entry!$N$807="","",[2]Entry!$N$807)</f>
        <v/>
      </c>
      <c r="P804" t="str">
        <f>IF([2]Entry!$S$807="","",[2]Entry!$S$807)</f>
        <v/>
      </c>
    </row>
    <row r="805" spans="12:16" x14ac:dyDescent="0.2">
      <c r="L805" t="str">
        <f>IF([2]Entry!$C$808="","",[2]Entry!$C$808)</f>
        <v/>
      </c>
      <c r="M805" t="str">
        <f>IF([2]Entry!$J$808="","",[2]Entry!$J$808)</f>
        <v/>
      </c>
      <c r="N805" t="str">
        <f>IF([2]Entry!$M$808="","",[2]Entry!$M$808)</f>
        <v/>
      </c>
      <c r="O805" t="str">
        <f>IF([2]Entry!$N$808="","",[2]Entry!$N$808)</f>
        <v/>
      </c>
      <c r="P805" t="str">
        <f>IF([2]Entry!$S$808="","",[2]Entry!$S$808)</f>
        <v/>
      </c>
    </row>
    <row r="806" spans="12:16" x14ac:dyDescent="0.2">
      <c r="L806" t="str">
        <f>IF([2]Entry!$C$809="","",[2]Entry!$C$809)</f>
        <v/>
      </c>
      <c r="M806" t="str">
        <f>IF([2]Entry!$J$809="","",[2]Entry!$J$809)</f>
        <v/>
      </c>
      <c r="N806" t="str">
        <f>IF([2]Entry!$M$809="","",[2]Entry!$M$809)</f>
        <v/>
      </c>
      <c r="O806" t="str">
        <f>IF([2]Entry!$N$809="","",[2]Entry!$N$809)</f>
        <v/>
      </c>
      <c r="P806" t="str">
        <f>IF([2]Entry!$S$809="","",[2]Entry!$S$809)</f>
        <v/>
      </c>
    </row>
    <row r="807" spans="12:16" x14ac:dyDescent="0.2">
      <c r="L807" t="str">
        <f>IF([2]Entry!$C$810="","",[2]Entry!$C$810)</f>
        <v/>
      </c>
      <c r="M807" t="str">
        <f>IF([2]Entry!$J$810="","",[2]Entry!$J$810)</f>
        <v/>
      </c>
      <c r="N807" t="str">
        <f>IF([2]Entry!$M$810="","",[2]Entry!$M$810)</f>
        <v/>
      </c>
      <c r="O807" t="str">
        <f>IF([2]Entry!$N$810="","",[2]Entry!$N$810)</f>
        <v/>
      </c>
      <c r="P807" t="str">
        <f>IF([2]Entry!$S$810="","",[2]Entry!$S$810)</f>
        <v/>
      </c>
    </row>
    <row r="808" spans="12:16" x14ac:dyDescent="0.2">
      <c r="L808" t="str">
        <f>IF([2]Entry!$C$811="","",[2]Entry!$C$811)</f>
        <v/>
      </c>
      <c r="M808" t="str">
        <f>IF([2]Entry!$J$811="","",[2]Entry!$J$811)</f>
        <v/>
      </c>
      <c r="N808" t="str">
        <f>IF([2]Entry!$M$811="","",[2]Entry!$M$811)</f>
        <v/>
      </c>
      <c r="O808" t="str">
        <f>IF([2]Entry!$N$811="","",[2]Entry!$N$811)</f>
        <v/>
      </c>
      <c r="P808" t="str">
        <f>IF([2]Entry!$S$811="","",[2]Entry!$S$811)</f>
        <v/>
      </c>
    </row>
    <row r="809" spans="12:16" x14ac:dyDescent="0.2">
      <c r="L809" t="str">
        <f>IF([2]Entry!$C$812="","",[2]Entry!$C$812)</f>
        <v/>
      </c>
      <c r="M809" t="str">
        <f>IF([2]Entry!$J$812="","",[2]Entry!$J$812)</f>
        <v/>
      </c>
      <c r="N809" t="str">
        <f>IF([2]Entry!$M$812="","",[2]Entry!$M$812)</f>
        <v/>
      </c>
      <c r="O809" t="str">
        <f>IF([2]Entry!$N$812="","",[2]Entry!$N$812)</f>
        <v/>
      </c>
      <c r="P809" t="str">
        <f>IF([2]Entry!$S$812="","",[2]Entry!$S$812)</f>
        <v/>
      </c>
    </row>
    <row r="810" spans="12:16" x14ac:dyDescent="0.2">
      <c r="L810" t="str">
        <f>IF([2]Entry!$C$813="","",[2]Entry!$C$813)</f>
        <v/>
      </c>
      <c r="M810" t="str">
        <f>IF([2]Entry!$J$813="","",[2]Entry!$J$813)</f>
        <v/>
      </c>
      <c r="N810" t="str">
        <f>IF([2]Entry!$M$813="","",[2]Entry!$M$813)</f>
        <v/>
      </c>
      <c r="O810" t="str">
        <f>IF([2]Entry!$N$813="","",[2]Entry!$N$813)</f>
        <v/>
      </c>
      <c r="P810" t="str">
        <f>IF([2]Entry!$S$813="","",[2]Entry!$S$813)</f>
        <v/>
      </c>
    </row>
    <row r="811" spans="12:16" x14ac:dyDescent="0.2">
      <c r="L811" t="str">
        <f>IF([2]Entry!$C$814="","",[2]Entry!$C$814)</f>
        <v/>
      </c>
      <c r="M811" t="str">
        <f>IF([2]Entry!$J$814="","",[2]Entry!$J$814)</f>
        <v/>
      </c>
      <c r="N811" t="str">
        <f>IF([2]Entry!$M$814="","",[2]Entry!$M$814)</f>
        <v/>
      </c>
      <c r="O811" t="str">
        <f>IF([2]Entry!$N$814="","",[2]Entry!$N$814)</f>
        <v/>
      </c>
      <c r="P811" t="str">
        <f>IF([2]Entry!$S$814="","",[2]Entry!$S$814)</f>
        <v/>
      </c>
    </row>
    <row r="812" spans="12:16" x14ac:dyDescent="0.2">
      <c r="L812" t="str">
        <f>IF([2]Entry!$C$815="","",[2]Entry!$C$815)</f>
        <v/>
      </c>
      <c r="M812" t="str">
        <f>IF([2]Entry!$J$815="","",[2]Entry!$J$815)</f>
        <v/>
      </c>
      <c r="N812" t="str">
        <f>IF([2]Entry!$M$815="","",[2]Entry!$M$815)</f>
        <v/>
      </c>
      <c r="O812" t="str">
        <f>IF([2]Entry!$N$815="","",[2]Entry!$N$815)</f>
        <v/>
      </c>
      <c r="P812" t="str">
        <f>IF([2]Entry!$S$815="","",[2]Entry!$S$815)</f>
        <v/>
      </c>
    </row>
    <row r="813" spans="12:16" x14ac:dyDescent="0.2">
      <c r="L813" t="str">
        <f>IF([2]Entry!$C$816="","",[2]Entry!$C$816)</f>
        <v/>
      </c>
      <c r="M813" t="str">
        <f>IF([2]Entry!$J$816="","",[2]Entry!$J$816)</f>
        <v/>
      </c>
      <c r="N813" t="str">
        <f>IF([2]Entry!$M$816="","",[2]Entry!$M$816)</f>
        <v/>
      </c>
      <c r="O813" t="str">
        <f>IF([2]Entry!$N$816="","",[2]Entry!$N$816)</f>
        <v/>
      </c>
      <c r="P813" t="str">
        <f>IF([2]Entry!$S$816="","",[2]Entry!$S$816)</f>
        <v/>
      </c>
    </row>
    <row r="814" spans="12:16" x14ac:dyDescent="0.2">
      <c r="L814" t="str">
        <f>IF([2]Entry!$C$817="","",[2]Entry!$C$817)</f>
        <v/>
      </c>
      <c r="M814" t="str">
        <f>IF([2]Entry!$J$817="","",[2]Entry!$J$817)</f>
        <v/>
      </c>
      <c r="N814" t="str">
        <f>IF([2]Entry!$M$817="","",[2]Entry!$M$817)</f>
        <v/>
      </c>
      <c r="O814" t="str">
        <f>IF([2]Entry!$N$817="","",[2]Entry!$N$817)</f>
        <v/>
      </c>
      <c r="P814" t="str">
        <f>IF([2]Entry!$S$817="","",[2]Entry!$S$817)</f>
        <v/>
      </c>
    </row>
    <row r="815" spans="12:16" x14ac:dyDescent="0.2">
      <c r="L815" t="str">
        <f>IF([2]Entry!$C$818="","",[2]Entry!$C$818)</f>
        <v/>
      </c>
      <c r="M815" t="str">
        <f>IF([2]Entry!$J$818="","",[2]Entry!$J$818)</f>
        <v/>
      </c>
      <c r="N815" t="str">
        <f>IF([2]Entry!$M$818="","",[2]Entry!$M$818)</f>
        <v/>
      </c>
      <c r="O815" t="str">
        <f>IF([2]Entry!$N$818="","",[2]Entry!$N$818)</f>
        <v/>
      </c>
      <c r="P815" t="str">
        <f>IF([2]Entry!$S$818="","",[2]Entry!$S$818)</f>
        <v/>
      </c>
    </row>
    <row r="816" spans="12:16" x14ac:dyDescent="0.2">
      <c r="L816" t="str">
        <f>IF([2]Entry!$C$819="","",[2]Entry!$C$819)</f>
        <v/>
      </c>
      <c r="M816" t="str">
        <f>IF([2]Entry!$J$819="","",[2]Entry!$J$819)</f>
        <v/>
      </c>
      <c r="N816" t="str">
        <f>IF([2]Entry!$M$819="","",[2]Entry!$M$819)</f>
        <v/>
      </c>
      <c r="O816" t="str">
        <f>IF([2]Entry!$N$819="","",[2]Entry!$N$819)</f>
        <v/>
      </c>
      <c r="P816" t="str">
        <f>IF([2]Entry!$S$819="","",[2]Entry!$S$819)</f>
        <v/>
      </c>
    </row>
    <row r="817" spans="12:16" x14ac:dyDescent="0.2">
      <c r="L817" t="str">
        <f>IF([2]Entry!$C$820="","",[2]Entry!$C$820)</f>
        <v/>
      </c>
      <c r="M817" t="str">
        <f>IF([2]Entry!$J$820="","",[2]Entry!$J$820)</f>
        <v/>
      </c>
      <c r="N817" t="str">
        <f>IF([2]Entry!$M$820="","",[2]Entry!$M$820)</f>
        <v/>
      </c>
      <c r="O817" t="str">
        <f>IF([2]Entry!$N$820="","",[2]Entry!$N$820)</f>
        <v/>
      </c>
      <c r="P817" t="str">
        <f>IF([2]Entry!$S$820="","",[2]Entry!$S$820)</f>
        <v/>
      </c>
    </row>
    <row r="818" spans="12:16" x14ac:dyDescent="0.2">
      <c r="L818" t="str">
        <f>IF([2]Entry!$C$821="","",[2]Entry!$C$821)</f>
        <v/>
      </c>
      <c r="M818" t="str">
        <f>IF([2]Entry!$J$821="","",[2]Entry!$J$821)</f>
        <v/>
      </c>
      <c r="N818" t="str">
        <f>IF([2]Entry!$M$821="","",[2]Entry!$M$821)</f>
        <v/>
      </c>
      <c r="O818" t="str">
        <f>IF([2]Entry!$N$821="","",[2]Entry!$N$821)</f>
        <v/>
      </c>
      <c r="P818" t="str">
        <f>IF([2]Entry!$S$821="","",[2]Entry!$S$821)</f>
        <v/>
      </c>
    </row>
    <row r="819" spans="12:16" x14ac:dyDescent="0.2">
      <c r="L819" t="str">
        <f>IF([2]Entry!$C$822="","",[2]Entry!$C$822)</f>
        <v/>
      </c>
      <c r="M819" t="str">
        <f>IF([2]Entry!$J$822="","",[2]Entry!$J$822)</f>
        <v/>
      </c>
      <c r="N819" t="str">
        <f>IF([2]Entry!$M$822="","",[2]Entry!$M$822)</f>
        <v/>
      </c>
      <c r="O819" t="str">
        <f>IF([2]Entry!$N$822="","",[2]Entry!$N$822)</f>
        <v/>
      </c>
      <c r="P819" t="str">
        <f>IF([2]Entry!$S$822="","",[2]Entry!$S$822)</f>
        <v/>
      </c>
    </row>
    <row r="820" spans="12:16" x14ac:dyDescent="0.2">
      <c r="L820" t="str">
        <f>IF([2]Entry!$C$823="","",[2]Entry!$C$823)</f>
        <v/>
      </c>
      <c r="M820" t="str">
        <f>IF([2]Entry!$J$823="","",[2]Entry!$J$823)</f>
        <v/>
      </c>
      <c r="N820" t="str">
        <f>IF([2]Entry!$M$823="","",[2]Entry!$M$823)</f>
        <v/>
      </c>
      <c r="O820" t="str">
        <f>IF([2]Entry!$N$823="","",[2]Entry!$N$823)</f>
        <v/>
      </c>
      <c r="P820" t="str">
        <f>IF([2]Entry!$S$823="","",[2]Entry!$S$823)</f>
        <v/>
      </c>
    </row>
    <row r="821" spans="12:16" x14ac:dyDescent="0.2">
      <c r="L821" t="str">
        <f>IF([2]Entry!$C$824="","",[2]Entry!$C$824)</f>
        <v/>
      </c>
      <c r="M821" t="str">
        <f>IF([2]Entry!$J$824="","",[2]Entry!$J$824)</f>
        <v/>
      </c>
      <c r="N821" t="str">
        <f>IF([2]Entry!$M$824="","",[2]Entry!$M$824)</f>
        <v/>
      </c>
      <c r="O821" t="str">
        <f>IF([2]Entry!$N$824="","",[2]Entry!$N$824)</f>
        <v/>
      </c>
      <c r="P821" t="str">
        <f>IF([2]Entry!$S$824="","",[2]Entry!$S$824)</f>
        <v/>
      </c>
    </row>
    <row r="822" spans="12:16" x14ac:dyDescent="0.2">
      <c r="L822" t="str">
        <f>IF([2]Entry!$C$825="","",[2]Entry!$C$825)</f>
        <v/>
      </c>
      <c r="M822" t="str">
        <f>IF([2]Entry!$J$825="","",[2]Entry!$J$825)</f>
        <v/>
      </c>
      <c r="N822" t="str">
        <f>IF([2]Entry!$M$825="","",[2]Entry!$M$825)</f>
        <v/>
      </c>
      <c r="O822" t="str">
        <f>IF([2]Entry!$N$825="","",[2]Entry!$N$825)</f>
        <v/>
      </c>
      <c r="P822" t="str">
        <f>IF([2]Entry!$S$825="","",[2]Entry!$S$825)</f>
        <v/>
      </c>
    </row>
    <row r="823" spans="12:16" x14ac:dyDescent="0.2">
      <c r="L823" t="str">
        <f>IF([2]Entry!$C$826="","",[2]Entry!$C$826)</f>
        <v/>
      </c>
      <c r="M823" t="str">
        <f>IF([2]Entry!$J$826="","",[2]Entry!$J$826)</f>
        <v/>
      </c>
      <c r="N823" t="str">
        <f>IF([2]Entry!$M$826="","",[2]Entry!$M$826)</f>
        <v/>
      </c>
      <c r="O823" t="str">
        <f>IF([2]Entry!$N$826="","",[2]Entry!$N$826)</f>
        <v/>
      </c>
      <c r="P823" t="str">
        <f>IF([2]Entry!$S$826="","",[2]Entry!$S$826)</f>
        <v/>
      </c>
    </row>
    <row r="824" spans="12:16" x14ac:dyDescent="0.2">
      <c r="L824" t="str">
        <f>IF([2]Entry!$C$827="","",[2]Entry!$C$827)</f>
        <v/>
      </c>
      <c r="M824" t="str">
        <f>IF([2]Entry!$J$827="","",[2]Entry!$J$827)</f>
        <v/>
      </c>
      <c r="N824" t="str">
        <f>IF([2]Entry!$M$827="","",[2]Entry!$M$827)</f>
        <v/>
      </c>
      <c r="O824" t="str">
        <f>IF([2]Entry!$N$827="","",[2]Entry!$N$827)</f>
        <v/>
      </c>
      <c r="P824" t="str">
        <f>IF([2]Entry!$S$827="","",[2]Entry!$S$827)</f>
        <v/>
      </c>
    </row>
    <row r="825" spans="12:16" x14ac:dyDescent="0.2">
      <c r="L825" t="str">
        <f>IF([2]Entry!$C$828="","",[2]Entry!$C$828)</f>
        <v/>
      </c>
      <c r="M825" t="str">
        <f>IF([2]Entry!$J$828="","",[2]Entry!$J$828)</f>
        <v/>
      </c>
      <c r="N825" t="str">
        <f>IF([2]Entry!$M$828="","",[2]Entry!$M$828)</f>
        <v/>
      </c>
      <c r="O825" t="str">
        <f>IF([2]Entry!$N$828="","",[2]Entry!$N$828)</f>
        <v/>
      </c>
      <c r="P825" t="str">
        <f>IF([2]Entry!$S$828="","",[2]Entry!$S$828)</f>
        <v/>
      </c>
    </row>
    <row r="826" spans="12:16" x14ac:dyDescent="0.2">
      <c r="L826" t="str">
        <f>IF([2]Entry!$C$829="","",[2]Entry!$C$829)</f>
        <v/>
      </c>
      <c r="M826" t="str">
        <f>IF([2]Entry!$J$829="","",[2]Entry!$J$829)</f>
        <v/>
      </c>
      <c r="N826" t="str">
        <f>IF([2]Entry!$M$829="","",[2]Entry!$M$829)</f>
        <v/>
      </c>
      <c r="O826" t="str">
        <f>IF([2]Entry!$N$829="","",[2]Entry!$N$829)</f>
        <v/>
      </c>
      <c r="P826" t="str">
        <f>IF([2]Entry!$S$829="","",[2]Entry!$S$829)</f>
        <v/>
      </c>
    </row>
    <row r="827" spans="12:16" x14ac:dyDescent="0.2">
      <c r="L827" t="str">
        <f>IF([2]Entry!$C$830="","",[2]Entry!$C$830)</f>
        <v/>
      </c>
      <c r="M827" t="str">
        <f>IF([2]Entry!$J$830="","",[2]Entry!$J$830)</f>
        <v/>
      </c>
      <c r="N827" t="str">
        <f>IF([2]Entry!$M$830="","",[2]Entry!$M$830)</f>
        <v/>
      </c>
      <c r="O827" t="str">
        <f>IF([2]Entry!$N$830="","",[2]Entry!$N$830)</f>
        <v/>
      </c>
      <c r="P827" t="str">
        <f>IF([2]Entry!$S$830="","",[2]Entry!$S$830)</f>
        <v/>
      </c>
    </row>
    <row r="828" spans="12:16" x14ac:dyDescent="0.2">
      <c r="L828" t="str">
        <f>IF([2]Entry!$C$831="","",[2]Entry!$C$831)</f>
        <v/>
      </c>
      <c r="M828" t="str">
        <f>IF([2]Entry!$J$831="","",[2]Entry!$J$831)</f>
        <v/>
      </c>
      <c r="N828" t="str">
        <f>IF([2]Entry!$M$831="","",[2]Entry!$M$831)</f>
        <v/>
      </c>
      <c r="O828" t="str">
        <f>IF([2]Entry!$N$831="","",[2]Entry!$N$831)</f>
        <v/>
      </c>
      <c r="P828" t="str">
        <f>IF([2]Entry!$S$831="","",[2]Entry!$S$831)</f>
        <v/>
      </c>
    </row>
    <row r="829" spans="12:16" x14ac:dyDescent="0.2">
      <c r="L829" t="str">
        <f>IF([2]Entry!$C$832="","",[2]Entry!$C$832)</f>
        <v/>
      </c>
      <c r="M829" t="str">
        <f>IF([2]Entry!$J$832="","",[2]Entry!$J$832)</f>
        <v/>
      </c>
      <c r="N829" t="str">
        <f>IF([2]Entry!$M$832="","",[2]Entry!$M$832)</f>
        <v/>
      </c>
      <c r="O829" t="str">
        <f>IF([2]Entry!$N$832="","",[2]Entry!$N$832)</f>
        <v/>
      </c>
      <c r="P829" t="str">
        <f>IF([2]Entry!$S$832="","",[2]Entry!$S$832)</f>
        <v/>
      </c>
    </row>
    <row r="830" spans="12:16" x14ac:dyDescent="0.2">
      <c r="L830" t="str">
        <f>IF([2]Entry!$C$833="","",[2]Entry!$C$833)</f>
        <v/>
      </c>
      <c r="M830" t="str">
        <f>IF([2]Entry!$J$833="","",[2]Entry!$J$833)</f>
        <v/>
      </c>
      <c r="N830" t="str">
        <f>IF([2]Entry!$M$833="","",[2]Entry!$M$833)</f>
        <v/>
      </c>
      <c r="O830" t="str">
        <f>IF([2]Entry!$N$833="","",[2]Entry!$N$833)</f>
        <v/>
      </c>
      <c r="P830" t="str">
        <f>IF([2]Entry!$S$833="","",[2]Entry!$S$833)</f>
        <v/>
      </c>
    </row>
    <row r="831" spans="12:16" x14ac:dyDescent="0.2">
      <c r="L831" t="str">
        <f>IF([2]Entry!$C$834="","",[2]Entry!$C$834)</f>
        <v/>
      </c>
      <c r="M831" t="str">
        <f>IF([2]Entry!$J$834="","",[2]Entry!$J$834)</f>
        <v/>
      </c>
      <c r="N831" t="str">
        <f>IF([2]Entry!$M$834="","",[2]Entry!$M$834)</f>
        <v/>
      </c>
      <c r="O831" t="str">
        <f>IF([2]Entry!$N$834="","",[2]Entry!$N$834)</f>
        <v/>
      </c>
      <c r="P831" t="str">
        <f>IF([2]Entry!$S$834="","",[2]Entry!$S$834)</f>
        <v/>
      </c>
    </row>
    <row r="832" spans="12:16" x14ac:dyDescent="0.2">
      <c r="L832" t="str">
        <f>IF([2]Entry!$C$835="","",[2]Entry!$C$835)</f>
        <v/>
      </c>
      <c r="M832" t="str">
        <f>IF([2]Entry!$J$835="","",[2]Entry!$J$835)</f>
        <v/>
      </c>
      <c r="N832" t="str">
        <f>IF([2]Entry!$M$835="","",[2]Entry!$M$835)</f>
        <v/>
      </c>
      <c r="O832" t="str">
        <f>IF([2]Entry!$N$835="","",[2]Entry!$N$835)</f>
        <v/>
      </c>
      <c r="P832" t="str">
        <f>IF([2]Entry!$S$835="","",[2]Entry!$S$835)</f>
        <v/>
      </c>
    </row>
    <row r="833" spans="12:16" x14ac:dyDescent="0.2">
      <c r="L833" t="str">
        <f>IF([2]Entry!$C$836="","",[2]Entry!$C$836)</f>
        <v/>
      </c>
      <c r="M833" t="str">
        <f>IF([2]Entry!$J$836="","",[2]Entry!$J$836)</f>
        <v/>
      </c>
      <c r="N833" t="str">
        <f>IF([2]Entry!$M$836="","",[2]Entry!$M$836)</f>
        <v/>
      </c>
      <c r="O833" t="str">
        <f>IF([2]Entry!$N$836="","",[2]Entry!$N$836)</f>
        <v/>
      </c>
      <c r="P833" t="str">
        <f>IF([2]Entry!$S$836="","",[2]Entry!$S$836)</f>
        <v/>
      </c>
    </row>
    <row r="834" spans="12:16" x14ac:dyDescent="0.2">
      <c r="L834" t="str">
        <f>IF([2]Entry!$C$837="","",[2]Entry!$C$837)</f>
        <v/>
      </c>
      <c r="M834" t="str">
        <f>IF([2]Entry!$J$837="","",[2]Entry!$J$837)</f>
        <v/>
      </c>
      <c r="N834" t="str">
        <f>IF([2]Entry!$M$837="","",[2]Entry!$M$837)</f>
        <v/>
      </c>
      <c r="O834" t="str">
        <f>IF([2]Entry!$N$837="","",[2]Entry!$N$837)</f>
        <v/>
      </c>
      <c r="P834" t="str">
        <f>IF([2]Entry!$S$837="","",[2]Entry!$S$837)</f>
        <v/>
      </c>
    </row>
    <row r="835" spans="12:16" x14ac:dyDescent="0.2">
      <c r="L835" t="str">
        <f>IF([2]Entry!$C$838="","",[2]Entry!$C$838)</f>
        <v/>
      </c>
      <c r="M835" t="str">
        <f>IF([2]Entry!$J$838="","",[2]Entry!$J$838)</f>
        <v/>
      </c>
      <c r="N835" t="str">
        <f>IF([2]Entry!$M$838="","",[2]Entry!$M$838)</f>
        <v/>
      </c>
      <c r="O835" t="str">
        <f>IF([2]Entry!$N$838="","",[2]Entry!$N$838)</f>
        <v/>
      </c>
      <c r="P835" t="str">
        <f>IF([2]Entry!$S$838="","",[2]Entry!$S$838)</f>
        <v/>
      </c>
    </row>
    <row r="836" spans="12:16" x14ac:dyDescent="0.2">
      <c r="L836" t="str">
        <f>IF([2]Entry!$C$839="","",[2]Entry!$C$839)</f>
        <v/>
      </c>
      <c r="M836" t="str">
        <f>IF([2]Entry!$J$839="","",[2]Entry!$J$839)</f>
        <v/>
      </c>
      <c r="N836" t="str">
        <f>IF([2]Entry!$M$839="","",[2]Entry!$M$839)</f>
        <v/>
      </c>
      <c r="O836" t="str">
        <f>IF([2]Entry!$N$839="","",[2]Entry!$N$839)</f>
        <v/>
      </c>
      <c r="P836" t="str">
        <f>IF([2]Entry!$S$839="","",[2]Entry!$S$839)</f>
        <v/>
      </c>
    </row>
    <row r="837" spans="12:16" x14ac:dyDescent="0.2">
      <c r="L837" t="str">
        <f>IF([2]Entry!$C$840="","",[2]Entry!$C$840)</f>
        <v/>
      </c>
      <c r="M837" t="str">
        <f>IF([2]Entry!$J$840="","",[2]Entry!$J$840)</f>
        <v/>
      </c>
      <c r="N837" t="str">
        <f>IF([2]Entry!$M$840="","",[2]Entry!$M$840)</f>
        <v/>
      </c>
      <c r="O837" t="str">
        <f>IF([2]Entry!$N$840="","",[2]Entry!$N$840)</f>
        <v/>
      </c>
      <c r="P837" t="str">
        <f>IF([2]Entry!$S$840="","",[2]Entry!$S$840)</f>
        <v/>
      </c>
    </row>
    <row r="838" spans="12:16" x14ac:dyDescent="0.2">
      <c r="L838" t="str">
        <f>IF([2]Entry!$C$841="","",[2]Entry!$C$841)</f>
        <v/>
      </c>
      <c r="M838" t="str">
        <f>IF([2]Entry!$J$841="","",[2]Entry!$J$841)</f>
        <v/>
      </c>
      <c r="N838" t="str">
        <f>IF([2]Entry!$M$841="","",[2]Entry!$M$841)</f>
        <v/>
      </c>
      <c r="O838" t="str">
        <f>IF([2]Entry!$N$841="","",[2]Entry!$N$841)</f>
        <v/>
      </c>
      <c r="P838" t="str">
        <f>IF([2]Entry!$S$841="","",[2]Entry!$S$841)</f>
        <v/>
      </c>
    </row>
    <row r="839" spans="12:16" x14ac:dyDescent="0.2">
      <c r="L839" t="str">
        <f>IF([2]Entry!$C$842="","",[2]Entry!$C$842)</f>
        <v/>
      </c>
      <c r="M839" t="str">
        <f>IF([2]Entry!$J$842="","",[2]Entry!$J$842)</f>
        <v/>
      </c>
      <c r="N839" t="str">
        <f>IF([2]Entry!$M$842="","",[2]Entry!$M$842)</f>
        <v/>
      </c>
      <c r="O839" t="str">
        <f>IF([2]Entry!$N$842="","",[2]Entry!$N$842)</f>
        <v/>
      </c>
      <c r="P839" t="str">
        <f>IF([2]Entry!$S$842="","",[2]Entry!$S$842)</f>
        <v/>
      </c>
    </row>
    <row r="840" spans="12:16" x14ac:dyDescent="0.2">
      <c r="L840" t="str">
        <f>IF([2]Entry!$C$843="","",[2]Entry!$C$843)</f>
        <v/>
      </c>
      <c r="M840" t="str">
        <f>IF([2]Entry!$J$843="","",[2]Entry!$J$843)</f>
        <v/>
      </c>
      <c r="N840" t="str">
        <f>IF([2]Entry!$M$843="","",[2]Entry!$M$843)</f>
        <v/>
      </c>
      <c r="O840" t="str">
        <f>IF([2]Entry!$N$843="","",[2]Entry!$N$843)</f>
        <v/>
      </c>
      <c r="P840" t="str">
        <f>IF([2]Entry!$S$843="","",[2]Entry!$S$843)</f>
        <v/>
      </c>
    </row>
    <row r="841" spans="12:16" x14ac:dyDescent="0.2">
      <c r="L841" t="str">
        <f>IF([2]Entry!$C$844="","",[2]Entry!$C$844)</f>
        <v/>
      </c>
      <c r="M841" t="str">
        <f>IF([2]Entry!$J$844="","",[2]Entry!$J$844)</f>
        <v/>
      </c>
      <c r="N841" t="str">
        <f>IF([2]Entry!$M$844="","",[2]Entry!$M$844)</f>
        <v/>
      </c>
      <c r="O841" t="str">
        <f>IF([2]Entry!$N$844="","",[2]Entry!$N$844)</f>
        <v/>
      </c>
      <c r="P841" t="str">
        <f>IF([2]Entry!$S$844="","",[2]Entry!$S$844)</f>
        <v/>
      </c>
    </row>
    <row r="842" spans="12:16" x14ac:dyDescent="0.2">
      <c r="L842" t="str">
        <f>IF([2]Entry!$C$845="","",[2]Entry!$C$845)</f>
        <v/>
      </c>
      <c r="M842" t="str">
        <f>IF([2]Entry!$J$845="","",[2]Entry!$J$845)</f>
        <v/>
      </c>
      <c r="N842" t="str">
        <f>IF([2]Entry!$M$845="","",[2]Entry!$M$845)</f>
        <v/>
      </c>
      <c r="O842" t="str">
        <f>IF([2]Entry!$N$845="","",[2]Entry!$N$845)</f>
        <v/>
      </c>
      <c r="P842" t="str">
        <f>IF([2]Entry!$S$845="","",[2]Entry!$S$845)</f>
        <v/>
      </c>
    </row>
    <row r="843" spans="12:16" x14ac:dyDescent="0.2">
      <c r="L843" t="str">
        <f>IF([2]Entry!$C$846="","",[2]Entry!$C$846)</f>
        <v/>
      </c>
      <c r="M843" t="str">
        <f>IF([2]Entry!$J$846="","",[2]Entry!$J$846)</f>
        <v/>
      </c>
      <c r="N843" t="str">
        <f>IF([2]Entry!$M$846="","",[2]Entry!$M$846)</f>
        <v/>
      </c>
      <c r="O843" t="str">
        <f>IF([2]Entry!$N$846="","",[2]Entry!$N$846)</f>
        <v/>
      </c>
      <c r="P843" t="str">
        <f>IF([2]Entry!$S$846="","",[2]Entry!$S$846)</f>
        <v/>
      </c>
    </row>
    <row r="844" spans="12:16" x14ac:dyDescent="0.2">
      <c r="L844" t="str">
        <f>IF([2]Entry!$C$847="","",[2]Entry!$C$847)</f>
        <v/>
      </c>
      <c r="M844" t="str">
        <f>IF([2]Entry!$J$847="","",[2]Entry!$J$847)</f>
        <v/>
      </c>
      <c r="N844" t="str">
        <f>IF([2]Entry!$M$847="","",[2]Entry!$M$847)</f>
        <v/>
      </c>
      <c r="O844" t="str">
        <f>IF([2]Entry!$N$847="","",[2]Entry!$N$847)</f>
        <v/>
      </c>
      <c r="P844" t="str">
        <f>IF([2]Entry!$S$847="","",[2]Entry!$S$847)</f>
        <v/>
      </c>
    </row>
    <row r="845" spans="12:16" x14ac:dyDescent="0.2">
      <c r="L845" t="str">
        <f>IF([2]Entry!$C$848="","",[2]Entry!$C$848)</f>
        <v/>
      </c>
      <c r="M845" t="str">
        <f>IF([2]Entry!$J$848="","",[2]Entry!$J$848)</f>
        <v/>
      </c>
      <c r="N845" t="str">
        <f>IF([2]Entry!$M$848="","",[2]Entry!$M$848)</f>
        <v/>
      </c>
      <c r="O845" t="str">
        <f>IF([2]Entry!$N$848="","",[2]Entry!$N$848)</f>
        <v/>
      </c>
      <c r="P845" t="str">
        <f>IF([2]Entry!$S$848="","",[2]Entry!$S$848)</f>
        <v/>
      </c>
    </row>
    <row r="846" spans="12:16" x14ac:dyDescent="0.2">
      <c r="L846" t="str">
        <f>IF([2]Entry!$C$849="","",[2]Entry!$C$849)</f>
        <v/>
      </c>
      <c r="M846" t="str">
        <f>IF([2]Entry!$J$849="","",[2]Entry!$J$849)</f>
        <v/>
      </c>
      <c r="N846" t="str">
        <f>IF([2]Entry!$M$849="","",[2]Entry!$M$849)</f>
        <v/>
      </c>
      <c r="O846" t="str">
        <f>IF([2]Entry!$N$849="","",[2]Entry!$N$849)</f>
        <v/>
      </c>
      <c r="P846" t="str">
        <f>IF([2]Entry!$S$849="","",[2]Entry!$S$849)</f>
        <v/>
      </c>
    </row>
    <row r="847" spans="12:16" x14ac:dyDescent="0.2">
      <c r="L847" t="str">
        <f>IF([2]Entry!$C$850="","",[2]Entry!$C$850)</f>
        <v/>
      </c>
      <c r="M847" t="str">
        <f>IF([2]Entry!$J$850="","",[2]Entry!$J$850)</f>
        <v/>
      </c>
      <c r="N847" t="str">
        <f>IF([2]Entry!$M$850="","",[2]Entry!$M$850)</f>
        <v/>
      </c>
      <c r="O847" t="str">
        <f>IF([2]Entry!$N$850="","",[2]Entry!$N$850)</f>
        <v/>
      </c>
      <c r="P847" t="str">
        <f>IF([2]Entry!$S$850="","",[2]Entry!$S$850)</f>
        <v/>
      </c>
    </row>
    <row r="848" spans="12:16" x14ac:dyDescent="0.2">
      <c r="L848" t="str">
        <f>IF([2]Entry!$C$851="","",[2]Entry!$C$851)</f>
        <v/>
      </c>
      <c r="M848" t="str">
        <f>IF([2]Entry!$J$851="","",[2]Entry!$J$851)</f>
        <v/>
      </c>
      <c r="N848" t="str">
        <f>IF([2]Entry!$M$851="","",[2]Entry!$M$851)</f>
        <v/>
      </c>
      <c r="O848" t="str">
        <f>IF([2]Entry!$N$851="","",[2]Entry!$N$851)</f>
        <v/>
      </c>
      <c r="P848" t="str">
        <f>IF([2]Entry!$S$851="","",[2]Entry!$S$851)</f>
        <v/>
      </c>
    </row>
    <row r="849" spans="12:16" x14ac:dyDescent="0.2">
      <c r="L849" t="str">
        <f>IF([2]Entry!$C$852="","",[2]Entry!$C$852)</f>
        <v/>
      </c>
      <c r="M849" t="str">
        <f>IF([2]Entry!$J$852="","",[2]Entry!$J$852)</f>
        <v/>
      </c>
      <c r="N849" t="str">
        <f>IF([2]Entry!$M$852="","",[2]Entry!$M$852)</f>
        <v/>
      </c>
      <c r="O849" t="str">
        <f>IF([2]Entry!$N$852="","",[2]Entry!$N$852)</f>
        <v/>
      </c>
      <c r="P849" t="str">
        <f>IF([2]Entry!$S$852="","",[2]Entry!$S$852)</f>
        <v/>
      </c>
    </row>
    <row r="850" spans="12:16" x14ac:dyDescent="0.2">
      <c r="L850" t="str">
        <f>IF([2]Entry!$C$853="","",[2]Entry!$C$853)</f>
        <v/>
      </c>
      <c r="M850" t="str">
        <f>IF([2]Entry!$J$853="","",[2]Entry!$J$853)</f>
        <v/>
      </c>
      <c r="N850" t="str">
        <f>IF([2]Entry!$M$853="","",[2]Entry!$M$853)</f>
        <v/>
      </c>
      <c r="O850" t="str">
        <f>IF([2]Entry!$N$853="","",[2]Entry!$N$853)</f>
        <v/>
      </c>
      <c r="P850" t="str">
        <f>IF([2]Entry!$S$853="","",[2]Entry!$S$853)</f>
        <v/>
      </c>
    </row>
    <row r="851" spans="12:16" x14ac:dyDescent="0.2">
      <c r="L851" t="str">
        <f>IF([2]Entry!$C$854="","",[2]Entry!$C$854)</f>
        <v/>
      </c>
      <c r="M851" t="str">
        <f>IF([2]Entry!$J$854="","",[2]Entry!$J$854)</f>
        <v/>
      </c>
      <c r="N851" t="str">
        <f>IF([2]Entry!$M$854="","",[2]Entry!$M$854)</f>
        <v/>
      </c>
      <c r="O851" t="str">
        <f>IF([2]Entry!$N$854="","",[2]Entry!$N$854)</f>
        <v/>
      </c>
      <c r="P851" t="str">
        <f>IF([2]Entry!$S$854="","",[2]Entry!$S$854)</f>
        <v/>
      </c>
    </row>
    <row r="852" spans="12:16" x14ac:dyDescent="0.2">
      <c r="L852" t="str">
        <f>IF([2]Entry!$C$855="","",[2]Entry!$C$855)</f>
        <v/>
      </c>
      <c r="M852" t="str">
        <f>IF([2]Entry!$J$855="","",[2]Entry!$J$855)</f>
        <v/>
      </c>
      <c r="N852" t="str">
        <f>IF([2]Entry!$M$855="","",[2]Entry!$M$855)</f>
        <v/>
      </c>
      <c r="O852" t="str">
        <f>IF([2]Entry!$N$855="","",[2]Entry!$N$855)</f>
        <v/>
      </c>
      <c r="P852" t="str">
        <f>IF([2]Entry!$S$855="","",[2]Entry!$S$855)</f>
        <v/>
      </c>
    </row>
    <row r="853" spans="12:16" x14ac:dyDescent="0.2">
      <c r="L853" t="str">
        <f>IF([2]Entry!$C$856="","",[2]Entry!$C$856)</f>
        <v/>
      </c>
      <c r="M853" t="str">
        <f>IF([2]Entry!$J$856="","",[2]Entry!$J$856)</f>
        <v/>
      </c>
      <c r="N853" t="str">
        <f>IF([2]Entry!$M$856="","",[2]Entry!$M$856)</f>
        <v/>
      </c>
      <c r="O853" t="str">
        <f>IF([2]Entry!$N$856="","",[2]Entry!$N$856)</f>
        <v/>
      </c>
      <c r="P853" t="str">
        <f>IF([2]Entry!$S$856="","",[2]Entry!$S$856)</f>
        <v/>
      </c>
    </row>
    <row r="854" spans="12:16" x14ac:dyDescent="0.2">
      <c r="L854" t="str">
        <f>IF([2]Entry!$C$857="","",[2]Entry!$C$857)</f>
        <v/>
      </c>
      <c r="M854" t="str">
        <f>IF([2]Entry!$J$857="","",[2]Entry!$J$857)</f>
        <v/>
      </c>
      <c r="N854" t="str">
        <f>IF([2]Entry!$M$857="","",[2]Entry!$M$857)</f>
        <v/>
      </c>
      <c r="O854" t="str">
        <f>IF([2]Entry!$N$857="","",[2]Entry!$N$857)</f>
        <v/>
      </c>
      <c r="P854" t="str">
        <f>IF([2]Entry!$S$857="","",[2]Entry!$S$857)</f>
        <v/>
      </c>
    </row>
    <row r="855" spans="12:16" x14ac:dyDescent="0.2">
      <c r="L855" t="str">
        <f>IF([2]Entry!$C$858="","",[2]Entry!$C$858)</f>
        <v/>
      </c>
      <c r="M855" t="str">
        <f>IF([2]Entry!$J$858="","",[2]Entry!$J$858)</f>
        <v/>
      </c>
      <c r="N855" t="str">
        <f>IF([2]Entry!$M$858="","",[2]Entry!$M$858)</f>
        <v/>
      </c>
      <c r="O855" t="str">
        <f>IF([2]Entry!$N$858="","",[2]Entry!$N$858)</f>
        <v/>
      </c>
      <c r="P855" t="str">
        <f>IF([2]Entry!$S$858="","",[2]Entry!$S$858)</f>
        <v/>
      </c>
    </row>
    <row r="856" spans="12:16" x14ac:dyDescent="0.2">
      <c r="L856" t="str">
        <f>IF([2]Entry!$C$859="","",[2]Entry!$C$859)</f>
        <v/>
      </c>
      <c r="M856" t="str">
        <f>IF([2]Entry!$J$859="","",[2]Entry!$J$859)</f>
        <v/>
      </c>
      <c r="N856" t="str">
        <f>IF([2]Entry!$M$859="","",[2]Entry!$M$859)</f>
        <v/>
      </c>
      <c r="O856" t="str">
        <f>IF([2]Entry!$N$859="","",[2]Entry!$N$859)</f>
        <v/>
      </c>
      <c r="P856" t="str">
        <f>IF([2]Entry!$S$859="","",[2]Entry!$S$859)</f>
        <v/>
      </c>
    </row>
    <row r="857" spans="12:16" x14ac:dyDescent="0.2">
      <c r="L857" t="str">
        <f>IF([2]Entry!$C$860="","",[2]Entry!$C$860)</f>
        <v/>
      </c>
      <c r="M857" t="str">
        <f>IF([2]Entry!$J$860="","",[2]Entry!$J$860)</f>
        <v/>
      </c>
      <c r="N857" t="str">
        <f>IF([2]Entry!$M$860="","",[2]Entry!$M$860)</f>
        <v/>
      </c>
      <c r="O857" t="str">
        <f>IF([2]Entry!$N$860="","",[2]Entry!$N$860)</f>
        <v/>
      </c>
      <c r="P857" t="str">
        <f>IF([2]Entry!$S$860="","",[2]Entry!$S$860)</f>
        <v/>
      </c>
    </row>
    <row r="858" spans="12:16" x14ac:dyDescent="0.2">
      <c r="L858" t="str">
        <f>IF([2]Entry!$C$861="","",[2]Entry!$C$861)</f>
        <v/>
      </c>
      <c r="M858" t="str">
        <f>IF([2]Entry!$J$861="","",[2]Entry!$J$861)</f>
        <v/>
      </c>
      <c r="N858" t="str">
        <f>IF([2]Entry!$M$861="","",[2]Entry!$M$861)</f>
        <v/>
      </c>
      <c r="O858" t="str">
        <f>IF([2]Entry!$N$861="","",[2]Entry!$N$861)</f>
        <v/>
      </c>
      <c r="P858" t="str">
        <f>IF([2]Entry!$S$861="","",[2]Entry!$S$861)</f>
        <v/>
      </c>
    </row>
    <row r="859" spans="12:16" x14ac:dyDescent="0.2">
      <c r="L859" t="str">
        <f>IF([2]Entry!$C$862="","",[2]Entry!$C$862)</f>
        <v/>
      </c>
      <c r="M859" t="str">
        <f>IF([2]Entry!$J$862="","",[2]Entry!$J$862)</f>
        <v/>
      </c>
      <c r="N859" t="str">
        <f>IF([2]Entry!$M$862="","",[2]Entry!$M$862)</f>
        <v/>
      </c>
      <c r="O859" t="str">
        <f>IF([2]Entry!$N$862="","",[2]Entry!$N$862)</f>
        <v/>
      </c>
      <c r="P859" t="str">
        <f>IF([2]Entry!$S$862="","",[2]Entry!$S$862)</f>
        <v/>
      </c>
    </row>
    <row r="860" spans="12:16" x14ac:dyDescent="0.2">
      <c r="L860" t="str">
        <f>IF([2]Entry!$C$863="","",[2]Entry!$C$863)</f>
        <v/>
      </c>
      <c r="M860" t="str">
        <f>IF([2]Entry!$J$863="","",[2]Entry!$J$863)</f>
        <v/>
      </c>
      <c r="N860" t="str">
        <f>IF([2]Entry!$M$863="","",[2]Entry!$M$863)</f>
        <v/>
      </c>
      <c r="O860" t="str">
        <f>IF([2]Entry!$N$863="","",[2]Entry!$N$863)</f>
        <v/>
      </c>
      <c r="P860" t="str">
        <f>IF([2]Entry!$S$863="","",[2]Entry!$S$863)</f>
        <v/>
      </c>
    </row>
    <row r="861" spans="12:16" x14ac:dyDescent="0.2">
      <c r="L861" t="str">
        <f>IF([2]Entry!$C$864="","",[2]Entry!$C$864)</f>
        <v/>
      </c>
      <c r="M861" t="str">
        <f>IF([2]Entry!$J$864="","",[2]Entry!$J$864)</f>
        <v/>
      </c>
      <c r="N861" t="str">
        <f>IF([2]Entry!$M$864="","",[2]Entry!$M$864)</f>
        <v/>
      </c>
      <c r="O861" t="str">
        <f>IF([2]Entry!$N$864="","",[2]Entry!$N$864)</f>
        <v/>
      </c>
      <c r="P861" t="str">
        <f>IF([2]Entry!$S$864="","",[2]Entry!$S$864)</f>
        <v/>
      </c>
    </row>
    <row r="862" spans="12:16" x14ac:dyDescent="0.2">
      <c r="L862" t="str">
        <f>IF([2]Entry!$C$865="","",[2]Entry!$C$865)</f>
        <v/>
      </c>
      <c r="M862" t="str">
        <f>IF([2]Entry!$J$865="","",[2]Entry!$J$865)</f>
        <v/>
      </c>
      <c r="N862" t="str">
        <f>IF([2]Entry!$M$865="","",[2]Entry!$M$865)</f>
        <v/>
      </c>
      <c r="O862" t="str">
        <f>IF([2]Entry!$N$865="","",[2]Entry!$N$865)</f>
        <v/>
      </c>
      <c r="P862" t="str">
        <f>IF([2]Entry!$S$865="","",[2]Entry!$S$865)</f>
        <v/>
      </c>
    </row>
    <row r="863" spans="12:16" x14ac:dyDescent="0.2">
      <c r="L863" t="str">
        <f>IF([2]Entry!$C$866="","",[2]Entry!$C$866)</f>
        <v/>
      </c>
      <c r="M863" t="str">
        <f>IF([2]Entry!$J$866="","",[2]Entry!$J$866)</f>
        <v/>
      </c>
      <c r="N863" t="str">
        <f>IF([2]Entry!$M$866="","",[2]Entry!$M$866)</f>
        <v/>
      </c>
      <c r="O863" t="str">
        <f>IF([2]Entry!$N$866="","",[2]Entry!$N$866)</f>
        <v/>
      </c>
      <c r="P863" t="str">
        <f>IF([2]Entry!$S$866="","",[2]Entry!$S$866)</f>
        <v/>
      </c>
    </row>
    <row r="864" spans="12:16" x14ac:dyDescent="0.2">
      <c r="L864" t="str">
        <f>IF([2]Entry!$C$867="","",[2]Entry!$C$867)</f>
        <v/>
      </c>
      <c r="M864" t="str">
        <f>IF([2]Entry!$J$867="","",[2]Entry!$J$867)</f>
        <v/>
      </c>
      <c r="N864" t="str">
        <f>IF([2]Entry!$M$867="","",[2]Entry!$M$867)</f>
        <v/>
      </c>
      <c r="O864" t="str">
        <f>IF([2]Entry!$N$867="","",[2]Entry!$N$867)</f>
        <v/>
      </c>
      <c r="P864" t="str">
        <f>IF([2]Entry!$S$867="","",[2]Entry!$S$867)</f>
        <v/>
      </c>
    </row>
    <row r="865" spans="12:16" x14ac:dyDescent="0.2">
      <c r="L865" t="str">
        <f>IF([2]Entry!$C$868="","",[2]Entry!$C$868)</f>
        <v/>
      </c>
      <c r="M865" t="str">
        <f>IF([2]Entry!$J$868="","",[2]Entry!$J$868)</f>
        <v/>
      </c>
      <c r="N865" t="str">
        <f>IF([2]Entry!$M$868="","",[2]Entry!$M$868)</f>
        <v/>
      </c>
      <c r="O865" t="str">
        <f>IF([2]Entry!$N$868="","",[2]Entry!$N$868)</f>
        <v/>
      </c>
      <c r="P865" t="str">
        <f>IF([2]Entry!$S$868="","",[2]Entry!$S$868)</f>
        <v/>
      </c>
    </row>
    <row r="866" spans="12:16" x14ac:dyDescent="0.2">
      <c r="L866" t="str">
        <f>IF([2]Entry!$C$869="","",[2]Entry!$C$869)</f>
        <v/>
      </c>
      <c r="M866" t="str">
        <f>IF([2]Entry!$J$869="","",[2]Entry!$J$869)</f>
        <v/>
      </c>
      <c r="N866" t="str">
        <f>IF([2]Entry!$M$869="","",[2]Entry!$M$869)</f>
        <v/>
      </c>
      <c r="O866" t="str">
        <f>IF([2]Entry!$N$869="","",[2]Entry!$N$869)</f>
        <v/>
      </c>
      <c r="P866" t="str">
        <f>IF([2]Entry!$S$869="","",[2]Entry!$S$869)</f>
        <v/>
      </c>
    </row>
    <row r="867" spans="12:16" x14ac:dyDescent="0.2">
      <c r="L867" t="str">
        <f>IF([2]Entry!$C$870="","",[2]Entry!$C$870)</f>
        <v/>
      </c>
      <c r="M867" t="str">
        <f>IF([2]Entry!$J$870="","",[2]Entry!$J$870)</f>
        <v/>
      </c>
      <c r="N867" t="str">
        <f>IF([2]Entry!$M$870="","",[2]Entry!$M$870)</f>
        <v/>
      </c>
      <c r="O867" t="str">
        <f>IF([2]Entry!$N$870="","",[2]Entry!$N$870)</f>
        <v/>
      </c>
      <c r="P867" t="str">
        <f>IF([2]Entry!$S$870="","",[2]Entry!$S$870)</f>
        <v/>
      </c>
    </row>
    <row r="868" spans="12:16" x14ac:dyDescent="0.2">
      <c r="L868" t="str">
        <f>IF([2]Entry!$C$871="","",[2]Entry!$C$871)</f>
        <v/>
      </c>
      <c r="M868" t="str">
        <f>IF([2]Entry!$J$871="","",[2]Entry!$J$871)</f>
        <v/>
      </c>
      <c r="N868" t="str">
        <f>IF([2]Entry!$M$871="","",[2]Entry!$M$871)</f>
        <v/>
      </c>
      <c r="O868" t="str">
        <f>IF([2]Entry!$N$871="","",[2]Entry!$N$871)</f>
        <v/>
      </c>
      <c r="P868" t="str">
        <f>IF([2]Entry!$S$871="","",[2]Entry!$S$871)</f>
        <v/>
      </c>
    </row>
    <row r="869" spans="12:16" x14ac:dyDescent="0.2">
      <c r="L869" t="str">
        <f>IF([2]Entry!$C$872="","",[2]Entry!$C$872)</f>
        <v/>
      </c>
      <c r="M869" t="str">
        <f>IF([2]Entry!$J$872="","",[2]Entry!$J$872)</f>
        <v/>
      </c>
      <c r="N869" t="str">
        <f>IF([2]Entry!$M$872="","",[2]Entry!$M$872)</f>
        <v/>
      </c>
      <c r="O869" t="str">
        <f>IF([2]Entry!$N$872="","",[2]Entry!$N$872)</f>
        <v/>
      </c>
      <c r="P869" t="str">
        <f>IF([2]Entry!$S$872="","",[2]Entry!$S$872)</f>
        <v/>
      </c>
    </row>
    <row r="870" spans="12:16" x14ac:dyDescent="0.2">
      <c r="L870" t="str">
        <f>IF([2]Entry!$C$873="","",[2]Entry!$C$873)</f>
        <v/>
      </c>
      <c r="M870" t="str">
        <f>IF([2]Entry!$J$873="","",[2]Entry!$J$873)</f>
        <v/>
      </c>
      <c r="N870" t="str">
        <f>IF([2]Entry!$M$873="","",[2]Entry!$M$873)</f>
        <v/>
      </c>
      <c r="O870" t="str">
        <f>IF([2]Entry!$N$873="","",[2]Entry!$N$873)</f>
        <v/>
      </c>
      <c r="P870" t="str">
        <f>IF([2]Entry!$S$873="","",[2]Entry!$S$873)</f>
        <v/>
      </c>
    </row>
    <row r="871" spans="12:16" x14ac:dyDescent="0.2">
      <c r="L871" t="str">
        <f>IF([2]Entry!$C$874="","",[2]Entry!$C$874)</f>
        <v/>
      </c>
      <c r="M871" t="str">
        <f>IF([2]Entry!$J$874="","",[2]Entry!$J$874)</f>
        <v/>
      </c>
      <c r="N871" t="str">
        <f>IF([2]Entry!$M$874="","",[2]Entry!$M$874)</f>
        <v/>
      </c>
      <c r="O871" t="str">
        <f>IF([2]Entry!$N$874="","",[2]Entry!$N$874)</f>
        <v/>
      </c>
      <c r="P871" t="str">
        <f>IF([2]Entry!$S$874="","",[2]Entry!$S$874)</f>
        <v/>
      </c>
    </row>
    <row r="872" spans="12:16" x14ac:dyDescent="0.2">
      <c r="L872" t="str">
        <f>IF([2]Entry!$C$875="","",[2]Entry!$C$875)</f>
        <v/>
      </c>
      <c r="M872" t="str">
        <f>IF([2]Entry!$J$875="","",[2]Entry!$J$875)</f>
        <v/>
      </c>
      <c r="N872" t="str">
        <f>IF([2]Entry!$M$875="","",[2]Entry!$M$875)</f>
        <v/>
      </c>
      <c r="O872" t="str">
        <f>IF([2]Entry!$N$875="","",[2]Entry!$N$875)</f>
        <v/>
      </c>
      <c r="P872" t="str">
        <f>IF([2]Entry!$S$875="","",[2]Entry!$S$875)</f>
        <v/>
      </c>
    </row>
    <row r="873" spans="12:16" x14ac:dyDescent="0.2">
      <c r="L873" t="str">
        <f>IF([2]Entry!$C$876="","",[2]Entry!$C$876)</f>
        <v/>
      </c>
      <c r="M873" t="str">
        <f>IF([2]Entry!$J$876="","",[2]Entry!$J$876)</f>
        <v/>
      </c>
      <c r="N873" t="str">
        <f>IF([2]Entry!$M$876="","",[2]Entry!$M$876)</f>
        <v/>
      </c>
      <c r="O873" t="str">
        <f>IF([2]Entry!$N$876="","",[2]Entry!$N$876)</f>
        <v/>
      </c>
      <c r="P873" t="str">
        <f>IF([2]Entry!$S$876="","",[2]Entry!$S$876)</f>
        <v/>
      </c>
    </row>
    <row r="874" spans="12:16" x14ac:dyDescent="0.2">
      <c r="L874" t="str">
        <f>IF([2]Entry!$C$877="","",[2]Entry!$C$877)</f>
        <v/>
      </c>
      <c r="M874" t="str">
        <f>IF([2]Entry!$J$877="","",[2]Entry!$J$877)</f>
        <v/>
      </c>
      <c r="N874" t="str">
        <f>IF([2]Entry!$M$877="","",[2]Entry!$M$877)</f>
        <v/>
      </c>
      <c r="O874" t="str">
        <f>IF([2]Entry!$N$877="","",[2]Entry!$N$877)</f>
        <v/>
      </c>
      <c r="P874" t="str">
        <f>IF([2]Entry!$S$877="","",[2]Entry!$S$877)</f>
        <v/>
      </c>
    </row>
    <row r="875" spans="12:16" x14ac:dyDescent="0.2">
      <c r="L875" t="str">
        <f>IF([2]Entry!$C$878="","",[2]Entry!$C$878)</f>
        <v/>
      </c>
      <c r="M875" t="str">
        <f>IF([2]Entry!$J$878="","",[2]Entry!$J$878)</f>
        <v/>
      </c>
      <c r="N875" t="str">
        <f>IF([2]Entry!$M$878="","",[2]Entry!$M$878)</f>
        <v/>
      </c>
      <c r="O875" t="str">
        <f>IF([2]Entry!$N$878="","",[2]Entry!$N$878)</f>
        <v/>
      </c>
      <c r="P875" t="str">
        <f>IF([2]Entry!$S$878="","",[2]Entry!$S$878)</f>
        <v/>
      </c>
    </row>
    <row r="876" spans="12:16" x14ac:dyDescent="0.2">
      <c r="L876" t="str">
        <f>IF([2]Entry!$C$879="","",[2]Entry!$C$879)</f>
        <v/>
      </c>
      <c r="M876" t="str">
        <f>IF([2]Entry!$J$879="","",[2]Entry!$J$879)</f>
        <v/>
      </c>
      <c r="N876" t="str">
        <f>IF([2]Entry!$M$879="","",[2]Entry!$M$879)</f>
        <v/>
      </c>
      <c r="O876" t="str">
        <f>IF([2]Entry!$N$879="","",[2]Entry!$N$879)</f>
        <v/>
      </c>
      <c r="P876" t="str">
        <f>IF([2]Entry!$S$879="","",[2]Entry!$S$879)</f>
        <v/>
      </c>
    </row>
    <row r="877" spans="12:16" x14ac:dyDescent="0.2">
      <c r="L877" t="str">
        <f>IF([2]Entry!$C$880="","",[2]Entry!$C$880)</f>
        <v/>
      </c>
      <c r="M877" t="str">
        <f>IF([2]Entry!$J$880="","",[2]Entry!$J$880)</f>
        <v/>
      </c>
      <c r="N877" t="str">
        <f>IF([2]Entry!$M$880="","",[2]Entry!$M$880)</f>
        <v/>
      </c>
      <c r="O877" t="str">
        <f>IF([2]Entry!$N$880="","",[2]Entry!$N$880)</f>
        <v/>
      </c>
      <c r="P877" t="str">
        <f>IF([2]Entry!$S$880="","",[2]Entry!$S$880)</f>
        <v/>
      </c>
    </row>
    <row r="878" spans="12:16" x14ac:dyDescent="0.2">
      <c r="L878" t="str">
        <f>IF([2]Entry!$C$881="","",[2]Entry!$C$881)</f>
        <v/>
      </c>
      <c r="M878" t="str">
        <f>IF([2]Entry!$J$881="","",[2]Entry!$J$881)</f>
        <v/>
      </c>
      <c r="N878" t="str">
        <f>IF([2]Entry!$M$881="","",[2]Entry!$M$881)</f>
        <v/>
      </c>
      <c r="O878" t="str">
        <f>IF([2]Entry!$N$881="","",[2]Entry!$N$881)</f>
        <v/>
      </c>
      <c r="P878" t="str">
        <f>IF([2]Entry!$S$881="","",[2]Entry!$S$881)</f>
        <v/>
      </c>
    </row>
    <row r="879" spans="12:16" x14ac:dyDescent="0.2">
      <c r="L879" t="str">
        <f>IF([2]Entry!$C$882="","",[2]Entry!$C$882)</f>
        <v/>
      </c>
      <c r="M879" t="str">
        <f>IF([2]Entry!$J$882="","",[2]Entry!$J$882)</f>
        <v/>
      </c>
      <c r="N879" t="str">
        <f>IF([2]Entry!$M$882="","",[2]Entry!$M$882)</f>
        <v/>
      </c>
      <c r="O879" t="str">
        <f>IF([2]Entry!$N$882="","",[2]Entry!$N$882)</f>
        <v/>
      </c>
      <c r="P879" t="str">
        <f>IF([2]Entry!$S$882="","",[2]Entry!$S$882)</f>
        <v/>
      </c>
    </row>
    <row r="880" spans="12:16" x14ac:dyDescent="0.2">
      <c r="L880" t="str">
        <f>IF([2]Entry!$C$883="","",[2]Entry!$C$883)</f>
        <v/>
      </c>
      <c r="M880" t="str">
        <f>IF([2]Entry!$J$883="","",[2]Entry!$J$883)</f>
        <v/>
      </c>
      <c r="N880" t="str">
        <f>IF([2]Entry!$M$883="","",[2]Entry!$M$883)</f>
        <v/>
      </c>
      <c r="O880" t="str">
        <f>IF([2]Entry!$N$883="","",[2]Entry!$N$883)</f>
        <v/>
      </c>
      <c r="P880" t="str">
        <f>IF([2]Entry!$S$883="","",[2]Entry!$S$883)</f>
        <v/>
      </c>
    </row>
    <row r="881" spans="12:16" x14ac:dyDescent="0.2">
      <c r="L881" t="str">
        <f>IF([2]Entry!$C$884="","",[2]Entry!$C$884)</f>
        <v/>
      </c>
      <c r="M881" t="str">
        <f>IF([2]Entry!$J$884="","",[2]Entry!$J$884)</f>
        <v/>
      </c>
      <c r="N881" t="str">
        <f>IF([2]Entry!$M$884="","",[2]Entry!$M$884)</f>
        <v/>
      </c>
      <c r="O881" t="str">
        <f>IF([2]Entry!$N$884="","",[2]Entry!$N$884)</f>
        <v/>
      </c>
      <c r="P881" t="str">
        <f>IF([2]Entry!$S$884="","",[2]Entry!$S$884)</f>
        <v/>
      </c>
    </row>
    <row r="882" spans="12:16" x14ac:dyDescent="0.2">
      <c r="L882" t="str">
        <f>IF([2]Entry!$C$885="","",[2]Entry!$C$885)</f>
        <v/>
      </c>
      <c r="M882" t="str">
        <f>IF([2]Entry!$J$885="","",[2]Entry!$J$885)</f>
        <v/>
      </c>
      <c r="N882" t="str">
        <f>IF([2]Entry!$M$885="","",[2]Entry!$M$885)</f>
        <v/>
      </c>
      <c r="O882" t="str">
        <f>IF([2]Entry!$N$885="","",[2]Entry!$N$885)</f>
        <v/>
      </c>
      <c r="P882" t="str">
        <f>IF([2]Entry!$S$885="","",[2]Entry!$S$885)</f>
        <v/>
      </c>
    </row>
    <row r="883" spans="12:16" x14ac:dyDescent="0.2">
      <c r="L883" t="str">
        <f>IF([2]Entry!$C$886="","",[2]Entry!$C$886)</f>
        <v/>
      </c>
      <c r="M883" t="str">
        <f>IF([2]Entry!$J$886="","",[2]Entry!$J$886)</f>
        <v/>
      </c>
      <c r="N883" t="str">
        <f>IF([2]Entry!$M$886="","",[2]Entry!$M$886)</f>
        <v/>
      </c>
      <c r="O883" t="str">
        <f>IF([2]Entry!$N$886="","",[2]Entry!$N$886)</f>
        <v/>
      </c>
      <c r="P883" t="str">
        <f>IF([2]Entry!$S$886="","",[2]Entry!$S$886)</f>
        <v/>
      </c>
    </row>
    <row r="884" spans="12:16" x14ac:dyDescent="0.2">
      <c r="L884" t="str">
        <f>IF([2]Entry!$C$887="","",[2]Entry!$C$887)</f>
        <v/>
      </c>
      <c r="M884" t="str">
        <f>IF([2]Entry!$J$887="","",[2]Entry!$J$887)</f>
        <v/>
      </c>
      <c r="N884" t="str">
        <f>IF([2]Entry!$M$887="","",[2]Entry!$M$887)</f>
        <v/>
      </c>
      <c r="O884" t="str">
        <f>IF([2]Entry!$N$887="","",[2]Entry!$N$887)</f>
        <v/>
      </c>
      <c r="P884" t="str">
        <f>IF([2]Entry!$S$887="","",[2]Entry!$S$887)</f>
        <v/>
      </c>
    </row>
    <row r="885" spans="12:16" x14ac:dyDescent="0.2">
      <c r="L885" t="str">
        <f>IF([2]Entry!$C$888="","",[2]Entry!$C$888)</f>
        <v/>
      </c>
      <c r="M885" t="str">
        <f>IF([2]Entry!$J$888="","",[2]Entry!$J$888)</f>
        <v/>
      </c>
      <c r="N885" t="str">
        <f>IF([2]Entry!$M$888="","",[2]Entry!$M$888)</f>
        <v/>
      </c>
      <c r="O885" t="str">
        <f>IF([2]Entry!$N$888="","",[2]Entry!$N$888)</f>
        <v/>
      </c>
      <c r="P885" t="str">
        <f>IF([2]Entry!$S$888="","",[2]Entry!$S$888)</f>
        <v/>
      </c>
    </row>
    <row r="886" spans="12:16" x14ac:dyDescent="0.2">
      <c r="L886" t="str">
        <f>IF([2]Entry!$C$889="","",[2]Entry!$C$889)</f>
        <v/>
      </c>
      <c r="M886" t="str">
        <f>IF([2]Entry!$J$889="","",[2]Entry!$J$889)</f>
        <v/>
      </c>
      <c r="N886" t="str">
        <f>IF([2]Entry!$M$889="","",[2]Entry!$M$889)</f>
        <v/>
      </c>
      <c r="O886" t="str">
        <f>IF([2]Entry!$N$889="","",[2]Entry!$N$889)</f>
        <v/>
      </c>
      <c r="P886" t="str">
        <f>IF([2]Entry!$S$889="","",[2]Entry!$S$889)</f>
        <v/>
      </c>
    </row>
    <row r="887" spans="12:16" x14ac:dyDescent="0.2">
      <c r="L887" t="str">
        <f>IF([2]Entry!$C$890="","",[2]Entry!$C$890)</f>
        <v/>
      </c>
      <c r="M887" t="str">
        <f>IF([2]Entry!$J$890="","",[2]Entry!$J$890)</f>
        <v/>
      </c>
      <c r="N887" t="str">
        <f>IF([2]Entry!$M$890="","",[2]Entry!$M$890)</f>
        <v/>
      </c>
      <c r="O887" t="str">
        <f>IF([2]Entry!$N$890="","",[2]Entry!$N$890)</f>
        <v/>
      </c>
      <c r="P887" t="str">
        <f>IF([2]Entry!$S$890="","",[2]Entry!$S$890)</f>
        <v/>
      </c>
    </row>
    <row r="888" spans="12:16" x14ac:dyDescent="0.2">
      <c r="L888" t="str">
        <f>IF([2]Entry!$C$891="","",[2]Entry!$C$891)</f>
        <v/>
      </c>
      <c r="M888" t="str">
        <f>IF([2]Entry!$J$891="","",[2]Entry!$J$891)</f>
        <v/>
      </c>
      <c r="N888" t="str">
        <f>IF([2]Entry!$M$891="","",[2]Entry!$M$891)</f>
        <v/>
      </c>
      <c r="O888" t="str">
        <f>IF([2]Entry!$N$891="","",[2]Entry!$N$891)</f>
        <v/>
      </c>
      <c r="P888" t="str">
        <f>IF([2]Entry!$S$891="","",[2]Entry!$S$891)</f>
        <v/>
      </c>
    </row>
    <row r="889" spans="12:16" x14ac:dyDescent="0.2">
      <c r="L889" t="str">
        <f>IF([2]Entry!$C$892="","",[2]Entry!$C$892)</f>
        <v/>
      </c>
      <c r="M889" t="str">
        <f>IF([2]Entry!$J$892="","",[2]Entry!$J$892)</f>
        <v/>
      </c>
      <c r="N889" t="str">
        <f>IF([2]Entry!$M$892="","",[2]Entry!$M$892)</f>
        <v/>
      </c>
      <c r="O889" t="str">
        <f>IF([2]Entry!$N$892="","",[2]Entry!$N$892)</f>
        <v/>
      </c>
      <c r="P889" t="str">
        <f>IF([2]Entry!$S$892="","",[2]Entry!$S$892)</f>
        <v/>
      </c>
    </row>
    <row r="890" spans="12:16" x14ac:dyDescent="0.2">
      <c r="L890" t="str">
        <f>IF([2]Entry!$C$893="","",[2]Entry!$C$893)</f>
        <v/>
      </c>
      <c r="M890" t="str">
        <f>IF([2]Entry!$J$893="","",[2]Entry!$J$893)</f>
        <v/>
      </c>
      <c r="N890" t="str">
        <f>IF([2]Entry!$M$893="","",[2]Entry!$M$893)</f>
        <v/>
      </c>
      <c r="O890" t="str">
        <f>IF([2]Entry!$N$893="","",[2]Entry!$N$893)</f>
        <v/>
      </c>
      <c r="P890" t="str">
        <f>IF([2]Entry!$S$893="","",[2]Entry!$S$893)</f>
        <v/>
      </c>
    </row>
    <row r="891" spans="12:16" x14ac:dyDescent="0.2">
      <c r="L891" t="str">
        <f>IF([2]Entry!$C$894="","",[2]Entry!$C$894)</f>
        <v/>
      </c>
      <c r="M891" t="str">
        <f>IF([2]Entry!$J$894="","",[2]Entry!$J$894)</f>
        <v/>
      </c>
      <c r="N891" t="str">
        <f>IF([2]Entry!$M$894="","",[2]Entry!$M$894)</f>
        <v/>
      </c>
      <c r="O891" t="str">
        <f>IF([2]Entry!$N$894="","",[2]Entry!$N$894)</f>
        <v/>
      </c>
      <c r="P891" t="str">
        <f>IF([2]Entry!$S$894="","",[2]Entry!$S$894)</f>
        <v/>
      </c>
    </row>
    <row r="892" spans="12:16" x14ac:dyDescent="0.2">
      <c r="L892" t="str">
        <f>IF([2]Entry!$C$895="","",[2]Entry!$C$895)</f>
        <v/>
      </c>
      <c r="M892" t="str">
        <f>IF([2]Entry!$J$895="","",[2]Entry!$J$895)</f>
        <v/>
      </c>
      <c r="N892" t="str">
        <f>IF([2]Entry!$M$895="","",[2]Entry!$M$895)</f>
        <v/>
      </c>
      <c r="O892" t="str">
        <f>IF([2]Entry!$N$895="","",[2]Entry!$N$895)</f>
        <v/>
      </c>
      <c r="P892" t="str">
        <f>IF([2]Entry!$S$895="","",[2]Entry!$S$895)</f>
        <v/>
      </c>
    </row>
    <row r="893" spans="12:16" x14ac:dyDescent="0.2">
      <c r="L893" t="str">
        <f>IF([2]Entry!$C$896="","",[2]Entry!$C$896)</f>
        <v/>
      </c>
      <c r="M893" t="str">
        <f>IF([2]Entry!$J$896="","",[2]Entry!$J$896)</f>
        <v/>
      </c>
      <c r="N893" t="str">
        <f>IF([2]Entry!$M$896="","",[2]Entry!$M$896)</f>
        <v/>
      </c>
      <c r="O893" t="str">
        <f>IF([2]Entry!$N$896="","",[2]Entry!$N$896)</f>
        <v/>
      </c>
      <c r="P893" t="str">
        <f>IF([2]Entry!$S$896="","",[2]Entry!$S$896)</f>
        <v/>
      </c>
    </row>
    <row r="894" spans="12:16" x14ac:dyDescent="0.2">
      <c r="L894" t="str">
        <f>IF([2]Entry!$C$897="","",[2]Entry!$C$897)</f>
        <v/>
      </c>
      <c r="M894" t="str">
        <f>IF([2]Entry!$J$897="","",[2]Entry!$J$897)</f>
        <v/>
      </c>
      <c r="N894" t="str">
        <f>IF([2]Entry!$M$897="","",[2]Entry!$M$897)</f>
        <v/>
      </c>
      <c r="O894" t="str">
        <f>IF([2]Entry!$N$897="","",[2]Entry!$N$897)</f>
        <v/>
      </c>
      <c r="P894" t="str">
        <f>IF([2]Entry!$S$897="","",[2]Entry!$S$897)</f>
        <v/>
      </c>
    </row>
    <row r="895" spans="12:16" x14ac:dyDescent="0.2">
      <c r="L895" t="str">
        <f>IF([2]Entry!$C$898="","",[2]Entry!$C$898)</f>
        <v/>
      </c>
      <c r="M895" t="str">
        <f>IF([2]Entry!$J$898="","",[2]Entry!$J$898)</f>
        <v/>
      </c>
      <c r="N895" t="str">
        <f>IF([2]Entry!$M$898="","",[2]Entry!$M$898)</f>
        <v/>
      </c>
      <c r="O895" t="str">
        <f>IF([2]Entry!$N$898="","",[2]Entry!$N$898)</f>
        <v/>
      </c>
      <c r="P895" t="str">
        <f>IF([2]Entry!$S$898="","",[2]Entry!$S$898)</f>
        <v/>
      </c>
    </row>
    <row r="896" spans="12:16" x14ac:dyDescent="0.2">
      <c r="L896" t="str">
        <f>IF([2]Entry!$C$899="","",[2]Entry!$C$899)</f>
        <v/>
      </c>
      <c r="M896" t="str">
        <f>IF([2]Entry!$J$899="","",[2]Entry!$J$899)</f>
        <v/>
      </c>
      <c r="N896" t="str">
        <f>IF([2]Entry!$M$899="","",[2]Entry!$M$899)</f>
        <v/>
      </c>
      <c r="O896" t="str">
        <f>IF([2]Entry!$N$899="","",[2]Entry!$N$899)</f>
        <v/>
      </c>
      <c r="P896" t="str">
        <f>IF([2]Entry!$S$899="","",[2]Entry!$S$899)</f>
        <v/>
      </c>
    </row>
    <row r="897" spans="12:16" x14ac:dyDescent="0.2">
      <c r="L897" t="str">
        <f>IF([2]Entry!$C$900="","",[2]Entry!$C$900)</f>
        <v/>
      </c>
      <c r="M897" t="str">
        <f>IF([2]Entry!$J$900="","",[2]Entry!$J$900)</f>
        <v/>
      </c>
      <c r="N897" t="str">
        <f>IF([2]Entry!$M$900="","",[2]Entry!$M$900)</f>
        <v/>
      </c>
      <c r="O897" t="str">
        <f>IF([2]Entry!$N$900="","",[2]Entry!$N$900)</f>
        <v/>
      </c>
      <c r="P897" t="str">
        <f>IF([2]Entry!$S$900="","",[2]Entry!$S$900)</f>
        <v/>
      </c>
    </row>
    <row r="898" spans="12:16" x14ac:dyDescent="0.2">
      <c r="L898" t="str">
        <f>IF([2]Entry!$C$901="","",[2]Entry!$C$901)</f>
        <v/>
      </c>
      <c r="M898" t="str">
        <f>IF([2]Entry!$J$901="","",[2]Entry!$J$901)</f>
        <v/>
      </c>
      <c r="N898" t="str">
        <f>IF([2]Entry!$M$901="","",[2]Entry!$M$901)</f>
        <v/>
      </c>
      <c r="O898" t="str">
        <f>IF([2]Entry!$N$901="","",[2]Entry!$N$901)</f>
        <v/>
      </c>
      <c r="P898" t="str">
        <f>IF([2]Entry!$S$901="","",[2]Entry!$S$901)</f>
        <v/>
      </c>
    </row>
    <row r="899" spans="12:16" x14ac:dyDescent="0.2">
      <c r="L899" t="str">
        <f>IF([2]Entry!$C$902="","",[2]Entry!$C$902)</f>
        <v/>
      </c>
      <c r="M899" t="str">
        <f>IF([2]Entry!$J$902="","",[2]Entry!$J$902)</f>
        <v/>
      </c>
      <c r="N899" t="str">
        <f>IF([2]Entry!$M$902="","",[2]Entry!$M$902)</f>
        <v/>
      </c>
      <c r="O899" t="str">
        <f>IF([2]Entry!$N$902="","",[2]Entry!$N$902)</f>
        <v/>
      </c>
      <c r="P899" t="str">
        <f>IF([2]Entry!$S$902="","",[2]Entry!$S$902)</f>
        <v/>
      </c>
    </row>
    <row r="900" spans="12:16" x14ac:dyDescent="0.2">
      <c r="L900" t="str">
        <f>IF([2]Entry!$C$903="","",[2]Entry!$C$903)</f>
        <v/>
      </c>
      <c r="M900" t="str">
        <f>IF([2]Entry!$J$903="","",[2]Entry!$J$903)</f>
        <v/>
      </c>
      <c r="N900" t="str">
        <f>IF([2]Entry!$M$903="","",[2]Entry!$M$903)</f>
        <v/>
      </c>
      <c r="O900" t="str">
        <f>IF([2]Entry!$N$903="","",[2]Entry!$N$903)</f>
        <v/>
      </c>
      <c r="P900" t="str">
        <f>IF([2]Entry!$S$903="","",[2]Entry!$S$903)</f>
        <v/>
      </c>
    </row>
    <row r="901" spans="12:16" x14ac:dyDescent="0.2">
      <c r="L901" t="str">
        <f>IF([2]Entry!$C$904="","",[2]Entry!$C$904)</f>
        <v/>
      </c>
      <c r="M901" t="str">
        <f>IF([2]Entry!$J$904="","",[2]Entry!$J$904)</f>
        <v/>
      </c>
      <c r="N901" t="str">
        <f>IF([2]Entry!$M$904="","",[2]Entry!$M$904)</f>
        <v/>
      </c>
      <c r="O901" t="str">
        <f>IF([2]Entry!$N$904="","",[2]Entry!$N$904)</f>
        <v/>
      </c>
      <c r="P901" t="str">
        <f>IF([2]Entry!$S$904="","",[2]Entry!$S$904)</f>
        <v/>
      </c>
    </row>
    <row r="902" spans="12:16" x14ac:dyDescent="0.2">
      <c r="L902" t="str">
        <f>IF([2]Entry!$C$905="","",[2]Entry!$C$905)</f>
        <v/>
      </c>
      <c r="M902" t="str">
        <f>IF([2]Entry!$J$905="","",[2]Entry!$J$905)</f>
        <v/>
      </c>
      <c r="N902" t="str">
        <f>IF([2]Entry!$M$905="","",[2]Entry!$M$905)</f>
        <v/>
      </c>
      <c r="O902" t="str">
        <f>IF([2]Entry!$N$905="","",[2]Entry!$N$905)</f>
        <v/>
      </c>
      <c r="P902" t="str">
        <f>IF([2]Entry!$S$905="","",[2]Entry!$S$905)</f>
        <v/>
      </c>
    </row>
    <row r="903" spans="12:16" x14ac:dyDescent="0.2">
      <c r="L903" t="str">
        <f>IF([2]Entry!$C$906="","",[2]Entry!$C$906)</f>
        <v/>
      </c>
      <c r="M903" t="str">
        <f>IF([2]Entry!$J$906="","",[2]Entry!$J$906)</f>
        <v/>
      </c>
      <c r="N903" t="str">
        <f>IF([2]Entry!$M$906="","",[2]Entry!$M$906)</f>
        <v/>
      </c>
      <c r="O903" t="str">
        <f>IF([2]Entry!$N$906="","",[2]Entry!$N$906)</f>
        <v/>
      </c>
      <c r="P903" t="str">
        <f>IF([2]Entry!$S$906="","",[2]Entry!$S$906)</f>
        <v/>
      </c>
    </row>
    <row r="904" spans="12:16" x14ac:dyDescent="0.2">
      <c r="L904" t="str">
        <f>IF([2]Entry!$C$907="","",[2]Entry!$C$907)</f>
        <v/>
      </c>
      <c r="M904" t="str">
        <f>IF([2]Entry!$J$907="","",[2]Entry!$J$907)</f>
        <v/>
      </c>
      <c r="N904" t="str">
        <f>IF([2]Entry!$M$907="","",[2]Entry!$M$907)</f>
        <v/>
      </c>
      <c r="O904" t="str">
        <f>IF([2]Entry!$N$907="","",[2]Entry!$N$907)</f>
        <v/>
      </c>
      <c r="P904" t="str">
        <f>IF([2]Entry!$S$907="","",[2]Entry!$S$907)</f>
        <v/>
      </c>
    </row>
    <row r="905" spans="12:16" x14ac:dyDescent="0.2">
      <c r="L905" t="str">
        <f>IF([2]Entry!$C$908="","",[2]Entry!$C$908)</f>
        <v/>
      </c>
      <c r="M905" t="str">
        <f>IF([2]Entry!$J$908="","",[2]Entry!$J$908)</f>
        <v/>
      </c>
      <c r="N905" t="str">
        <f>IF([2]Entry!$M$908="","",[2]Entry!$M$908)</f>
        <v/>
      </c>
      <c r="O905" t="str">
        <f>IF([2]Entry!$N$908="","",[2]Entry!$N$908)</f>
        <v/>
      </c>
      <c r="P905" t="str">
        <f>IF([2]Entry!$S$908="","",[2]Entry!$S$908)</f>
        <v/>
      </c>
    </row>
    <row r="906" spans="12:16" x14ac:dyDescent="0.2">
      <c r="L906" t="str">
        <f>IF([2]Entry!$C$909="","",[2]Entry!$C$909)</f>
        <v/>
      </c>
      <c r="M906" t="str">
        <f>IF([2]Entry!$J$909="","",[2]Entry!$J$909)</f>
        <v/>
      </c>
      <c r="N906" t="str">
        <f>IF([2]Entry!$M$909="","",[2]Entry!$M$909)</f>
        <v/>
      </c>
      <c r="O906" t="str">
        <f>IF([2]Entry!$N$909="","",[2]Entry!$N$909)</f>
        <v/>
      </c>
      <c r="P906" t="str">
        <f>IF([2]Entry!$S$909="","",[2]Entry!$S$909)</f>
        <v/>
      </c>
    </row>
    <row r="907" spans="12:16" x14ac:dyDescent="0.2">
      <c r="L907" t="str">
        <f>IF([2]Entry!$C$910="","",[2]Entry!$C$910)</f>
        <v/>
      </c>
      <c r="M907" t="str">
        <f>IF([2]Entry!$J$910="","",[2]Entry!$J$910)</f>
        <v/>
      </c>
      <c r="N907" t="str">
        <f>IF([2]Entry!$M$910="","",[2]Entry!$M$910)</f>
        <v/>
      </c>
      <c r="O907" t="str">
        <f>IF([2]Entry!$N$910="","",[2]Entry!$N$910)</f>
        <v/>
      </c>
      <c r="P907" t="str">
        <f>IF([2]Entry!$S$910="","",[2]Entry!$S$910)</f>
        <v/>
      </c>
    </row>
    <row r="908" spans="12:16" x14ac:dyDescent="0.2">
      <c r="L908" t="str">
        <f>IF([2]Entry!$C$911="","",[2]Entry!$C$911)</f>
        <v/>
      </c>
      <c r="M908" t="str">
        <f>IF([2]Entry!$J$911="","",[2]Entry!$J$911)</f>
        <v/>
      </c>
      <c r="N908" t="str">
        <f>IF([2]Entry!$M$911="","",[2]Entry!$M$911)</f>
        <v/>
      </c>
      <c r="O908" t="str">
        <f>IF([2]Entry!$N$911="","",[2]Entry!$N$911)</f>
        <v/>
      </c>
      <c r="P908" t="str">
        <f>IF([2]Entry!$S$911="","",[2]Entry!$S$911)</f>
        <v/>
      </c>
    </row>
    <row r="909" spans="12:16" x14ac:dyDescent="0.2">
      <c r="L909" t="str">
        <f>IF([2]Entry!$C$912="","",[2]Entry!$C$912)</f>
        <v/>
      </c>
      <c r="M909" t="str">
        <f>IF([2]Entry!$J$912="","",[2]Entry!$J$912)</f>
        <v/>
      </c>
      <c r="N909" t="str">
        <f>IF([2]Entry!$M$912="","",[2]Entry!$M$912)</f>
        <v/>
      </c>
      <c r="O909" t="str">
        <f>IF([2]Entry!$N$912="","",[2]Entry!$N$912)</f>
        <v/>
      </c>
      <c r="P909" t="str">
        <f>IF([2]Entry!$S$912="","",[2]Entry!$S$912)</f>
        <v/>
      </c>
    </row>
    <row r="910" spans="12:16" x14ac:dyDescent="0.2">
      <c r="L910" t="str">
        <f>IF([2]Entry!$C$913="","",[2]Entry!$C$913)</f>
        <v/>
      </c>
      <c r="M910" t="str">
        <f>IF([2]Entry!$J$913="","",[2]Entry!$J$913)</f>
        <v/>
      </c>
      <c r="N910" t="str">
        <f>IF([2]Entry!$M$913="","",[2]Entry!$M$913)</f>
        <v/>
      </c>
      <c r="O910" t="str">
        <f>IF([2]Entry!$N$913="","",[2]Entry!$N$913)</f>
        <v/>
      </c>
      <c r="P910" t="str">
        <f>IF([2]Entry!$S$913="","",[2]Entry!$S$913)</f>
        <v/>
      </c>
    </row>
    <row r="911" spans="12:16" x14ac:dyDescent="0.2">
      <c r="L911" t="str">
        <f>IF([2]Entry!$C$914="","",[2]Entry!$C$914)</f>
        <v/>
      </c>
      <c r="M911" t="str">
        <f>IF([2]Entry!$J$914="","",[2]Entry!$J$914)</f>
        <v/>
      </c>
      <c r="N911" t="str">
        <f>IF([2]Entry!$M$914="","",[2]Entry!$M$914)</f>
        <v/>
      </c>
      <c r="O911" t="str">
        <f>IF([2]Entry!$N$914="","",[2]Entry!$N$914)</f>
        <v/>
      </c>
      <c r="P911" t="str">
        <f>IF([2]Entry!$S$914="","",[2]Entry!$S$914)</f>
        <v/>
      </c>
    </row>
    <row r="912" spans="12:16" x14ac:dyDescent="0.2">
      <c r="L912" t="str">
        <f>IF([2]Entry!$C$915="","",[2]Entry!$C$915)</f>
        <v/>
      </c>
      <c r="M912" t="str">
        <f>IF([2]Entry!$J$915="","",[2]Entry!$J$915)</f>
        <v/>
      </c>
      <c r="N912" t="str">
        <f>IF([2]Entry!$M$915="","",[2]Entry!$M$915)</f>
        <v/>
      </c>
      <c r="O912" t="str">
        <f>IF([2]Entry!$N$915="","",[2]Entry!$N$915)</f>
        <v/>
      </c>
      <c r="P912" t="str">
        <f>IF([2]Entry!$S$915="","",[2]Entry!$S$915)</f>
        <v/>
      </c>
    </row>
    <row r="913" spans="12:16" x14ac:dyDescent="0.2">
      <c r="L913" t="str">
        <f>IF([2]Entry!$C$916="","",[2]Entry!$C$916)</f>
        <v/>
      </c>
      <c r="M913" t="str">
        <f>IF([2]Entry!$J$916="","",[2]Entry!$J$916)</f>
        <v/>
      </c>
      <c r="N913" t="str">
        <f>IF([2]Entry!$M$916="","",[2]Entry!$M$916)</f>
        <v/>
      </c>
      <c r="O913" t="str">
        <f>IF([2]Entry!$N$916="","",[2]Entry!$N$916)</f>
        <v/>
      </c>
      <c r="P913" t="str">
        <f>IF([2]Entry!$S$916="","",[2]Entry!$S$916)</f>
        <v/>
      </c>
    </row>
    <row r="914" spans="12:16" x14ac:dyDescent="0.2">
      <c r="L914" t="str">
        <f>IF([2]Entry!$C$917="","",[2]Entry!$C$917)</f>
        <v/>
      </c>
      <c r="M914" t="str">
        <f>IF([2]Entry!$J$917="","",[2]Entry!$J$917)</f>
        <v/>
      </c>
      <c r="N914" t="str">
        <f>IF([2]Entry!$M$917="","",[2]Entry!$M$917)</f>
        <v/>
      </c>
      <c r="O914" t="str">
        <f>IF([2]Entry!$N$917="","",[2]Entry!$N$917)</f>
        <v/>
      </c>
      <c r="P914" t="str">
        <f>IF([2]Entry!$S$917="","",[2]Entry!$S$917)</f>
        <v/>
      </c>
    </row>
    <row r="915" spans="12:16" x14ac:dyDescent="0.2">
      <c r="L915" t="str">
        <f>IF([2]Entry!$C$918="","",[2]Entry!$C$918)</f>
        <v/>
      </c>
      <c r="M915" t="str">
        <f>IF([2]Entry!$J$918="","",[2]Entry!$J$918)</f>
        <v/>
      </c>
      <c r="N915" t="str">
        <f>IF([2]Entry!$M$918="","",[2]Entry!$M$918)</f>
        <v/>
      </c>
      <c r="O915" t="str">
        <f>IF([2]Entry!$N$918="","",[2]Entry!$N$918)</f>
        <v/>
      </c>
      <c r="P915" t="str">
        <f>IF([2]Entry!$S$918="","",[2]Entry!$S$918)</f>
        <v/>
      </c>
    </row>
    <row r="916" spans="12:16" x14ac:dyDescent="0.2">
      <c r="L916" t="str">
        <f>IF([2]Entry!$C$919="","",[2]Entry!$C$919)</f>
        <v/>
      </c>
      <c r="M916" t="str">
        <f>IF([2]Entry!$J$919="","",[2]Entry!$J$919)</f>
        <v/>
      </c>
      <c r="N916" t="str">
        <f>IF([2]Entry!$M$919="","",[2]Entry!$M$919)</f>
        <v/>
      </c>
      <c r="O916" t="str">
        <f>IF([2]Entry!$N$919="","",[2]Entry!$N$919)</f>
        <v/>
      </c>
      <c r="P916" t="str">
        <f>IF([2]Entry!$S$919="","",[2]Entry!$S$919)</f>
        <v/>
      </c>
    </row>
    <row r="917" spans="12:16" x14ac:dyDescent="0.2">
      <c r="L917" t="str">
        <f>IF([2]Entry!$C$920="","",[2]Entry!$C$920)</f>
        <v/>
      </c>
      <c r="M917" t="str">
        <f>IF([2]Entry!$J$920="","",[2]Entry!$J$920)</f>
        <v/>
      </c>
      <c r="N917" t="str">
        <f>IF([2]Entry!$M$920="","",[2]Entry!$M$920)</f>
        <v/>
      </c>
      <c r="O917" t="str">
        <f>IF([2]Entry!$N$920="","",[2]Entry!$N$920)</f>
        <v/>
      </c>
      <c r="P917" t="str">
        <f>IF([2]Entry!$S$920="","",[2]Entry!$S$920)</f>
        <v/>
      </c>
    </row>
    <row r="918" spans="12:16" x14ac:dyDescent="0.2">
      <c r="L918" t="str">
        <f>IF([2]Entry!$C$921="","",[2]Entry!$C$921)</f>
        <v/>
      </c>
      <c r="M918" t="str">
        <f>IF([2]Entry!$J$921="","",[2]Entry!$J$921)</f>
        <v/>
      </c>
      <c r="N918" t="str">
        <f>IF([2]Entry!$M$921="","",[2]Entry!$M$921)</f>
        <v/>
      </c>
      <c r="O918" t="str">
        <f>IF([2]Entry!$N$921="","",[2]Entry!$N$921)</f>
        <v/>
      </c>
      <c r="P918" t="str">
        <f>IF([2]Entry!$S$921="","",[2]Entry!$S$921)</f>
        <v/>
      </c>
    </row>
    <row r="919" spans="12:16" x14ac:dyDescent="0.2">
      <c r="L919" t="str">
        <f>IF([2]Entry!$C$922="","",[2]Entry!$C$922)</f>
        <v/>
      </c>
      <c r="M919" t="str">
        <f>IF([2]Entry!$J$922="","",[2]Entry!$J$922)</f>
        <v/>
      </c>
      <c r="N919" t="str">
        <f>IF([2]Entry!$M$922="","",[2]Entry!$M$922)</f>
        <v/>
      </c>
      <c r="O919" t="str">
        <f>IF([2]Entry!$N$922="","",[2]Entry!$N$922)</f>
        <v/>
      </c>
      <c r="P919" t="str">
        <f>IF([2]Entry!$S$922="","",[2]Entry!$S$922)</f>
        <v/>
      </c>
    </row>
    <row r="920" spans="12:16" x14ac:dyDescent="0.2">
      <c r="L920" t="str">
        <f>IF([2]Entry!$C$923="","",[2]Entry!$C$923)</f>
        <v/>
      </c>
      <c r="M920" t="str">
        <f>IF([2]Entry!$J$923="","",[2]Entry!$J$923)</f>
        <v/>
      </c>
      <c r="N920" t="str">
        <f>IF([2]Entry!$M$923="","",[2]Entry!$M$923)</f>
        <v/>
      </c>
      <c r="O920" t="str">
        <f>IF([2]Entry!$N$923="","",[2]Entry!$N$923)</f>
        <v/>
      </c>
      <c r="P920" t="str">
        <f>IF([2]Entry!$S$923="","",[2]Entry!$S$923)</f>
        <v/>
      </c>
    </row>
    <row r="921" spans="12:16" x14ac:dyDescent="0.2">
      <c r="L921" t="str">
        <f>IF([2]Entry!$C$924="","",[2]Entry!$C$924)</f>
        <v/>
      </c>
      <c r="M921" t="str">
        <f>IF([2]Entry!$J$924="","",[2]Entry!$J$924)</f>
        <v/>
      </c>
      <c r="N921" t="str">
        <f>IF([2]Entry!$M$924="","",[2]Entry!$M$924)</f>
        <v/>
      </c>
      <c r="O921" t="str">
        <f>IF([2]Entry!$N$924="","",[2]Entry!$N$924)</f>
        <v/>
      </c>
      <c r="P921" t="str">
        <f>IF([2]Entry!$S$924="","",[2]Entry!$S$924)</f>
        <v/>
      </c>
    </row>
    <row r="922" spans="12:16" x14ac:dyDescent="0.2">
      <c r="L922" t="str">
        <f>IF([2]Entry!$C$925="","",[2]Entry!$C$925)</f>
        <v/>
      </c>
      <c r="M922" t="str">
        <f>IF([2]Entry!$J$925="","",[2]Entry!$J$925)</f>
        <v/>
      </c>
      <c r="N922" t="str">
        <f>IF([2]Entry!$M$925="","",[2]Entry!$M$925)</f>
        <v/>
      </c>
      <c r="O922" t="str">
        <f>IF([2]Entry!$N$925="","",[2]Entry!$N$925)</f>
        <v/>
      </c>
      <c r="P922" t="str">
        <f>IF([2]Entry!$S$925="","",[2]Entry!$S$925)</f>
        <v/>
      </c>
    </row>
    <row r="923" spans="12:16" x14ac:dyDescent="0.2">
      <c r="L923" t="str">
        <f>IF([2]Entry!$C$926="","",[2]Entry!$C$926)</f>
        <v/>
      </c>
      <c r="M923" t="str">
        <f>IF([2]Entry!$J$926="","",[2]Entry!$J$926)</f>
        <v/>
      </c>
      <c r="N923" t="str">
        <f>IF([2]Entry!$M$926="","",[2]Entry!$M$926)</f>
        <v/>
      </c>
      <c r="O923" t="str">
        <f>IF([2]Entry!$N$926="","",[2]Entry!$N$926)</f>
        <v/>
      </c>
      <c r="P923" t="str">
        <f>IF([2]Entry!$S$926="","",[2]Entry!$S$926)</f>
        <v/>
      </c>
    </row>
    <row r="924" spans="12:16" x14ac:dyDescent="0.2">
      <c r="L924" t="str">
        <f>IF([2]Entry!$C$927="","",[2]Entry!$C$927)</f>
        <v/>
      </c>
      <c r="M924" t="str">
        <f>IF([2]Entry!$J$927="","",[2]Entry!$J$927)</f>
        <v/>
      </c>
      <c r="N924" t="str">
        <f>IF([2]Entry!$M$927="","",[2]Entry!$M$927)</f>
        <v/>
      </c>
      <c r="O924" t="str">
        <f>IF([2]Entry!$N$927="","",[2]Entry!$N$927)</f>
        <v/>
      </c>
      <c r="P924" t="str">
        <f>IF([2]Entry!$S$927="","",[2]Entry!$S$927)</f>
        <v/>
      </c>
    </row>
    <row r="925" spans="12:16" x14ac:dyDescent="0.2">
      <c r="L925" t="str">
        <f>IF([2]Entry!$C$928="","",[2]Entry!$C$928)</f>
        <v/>
      </c>
      <c r="M925" t="str">
        <f>IF([2]Entry!$J$928="","",[2]Entry!$J$928)</f>
        <v/>
      </c>
      <c r="N925" t="str">
        <f>IF([2]Entry!$M$928="","",[2]Entry!$M$928)</f>
        <v/>
      </c>
      <c r="O925" t="str">
        <f>IF([2]Entry!$N$928="","",[2]Entry!$N$928)</f>
        <v/>
      </c>
      <c r="P925" t="str">
        <f>IF([2]Entry!$S$928="","",[2]Entry!$S$928)</f>
        <v/>
      </c>
    </row>
    <row r="926" spans="12:16" x14ac:dyDescent="0.2">
      <c r="L926" t="str">
        <f>IF([2]Entry!$C$929="","",[2]Entry!$C$929)</f>
        <v/>
      </c>
      <c r="M926" t="str">
        <f>IF([2]Entry!$J$929="","",[2]Entry!$J$929)</f>
        <v/>
      </c>
      <c r="N926" t="str">
        <f>IF([2]Entry!$M$929="","",[2]Entry!$M$929)</f>
        <v/>
      </c>
      <c r="O926" t="str">
        <f>IF([2]Entry!$N$929="","",[2]Entry!$N$929)</f>
        <v/>
      </c>
      <c r="P926" t="str">
        <f>IF([2]Entry!$S$929="","",[2]Entry!$S$929)</f>
        <v/>
      </c>
    </row>
    <row r="927" spans="12:16" x14ac:dyDescent="0.2">
      <c r="L927" t="str">
        <f>IF([2]Entry!$C$930="","",[2]Entry!$C$930)</f>
        <v/>
      </c>
      <c r="M927" t="str">
        <f>IF([2]Entry!$J$930="","",[2]Entry!$J$930)</f>
        <v/>
      </c>
      <c r="N927" t="str">
        <f>IF([2]Entry!$M$930="","",[2]Entry!$M$930)</f>
        <v/>
      </c>
      <c r="O927" t="str">
        <f>IF([2]Entry!$N$930="","",[2]Entry!$N$930)</f>
        <v/>
      </c>
      <c r="P927" t="str">
        <f>IF([2]Entry!$S$930="","",[2]Entry!$S$930)</f>
        <v/>
      </c>
    </row>
    <row r="928" spans="12:16" x14ac:dyDescent="0.2">
      <c r="L928" t="str">
        <f>IF([2]Entry!$C$931="","",[2]Entry!$C$931)</f>
        <v/>
      </c>
      <c r="M928" t="str">
        <f>IF([2]Entry!$J$931="","",[2]Entry!$J$931)</f>
        <v/>
      </c>
      <c r="N928" t="str">
        <f>IF([2]Entry!$M$931="","",[2]Entry!$M$931)</f>
        <v/>
      </c>
      <c r="O928" t="str">
        <f>IF([2]Entry!$N$931="","",[2]Entry!$N$931)</f>
        <v/>
      </c>
      <c r="P928" t="str">
        <f>IF([2]Entry!$S$931="","",[2]Entry!$S$931)</f>
        <v/>
      </c>
    </row>
    <row r="929" spans="12:16" x14ac:dyDescent="0.2">
      <c r="L929" t="str">
        <f>IF([2]Entry!$C$932="","",[2]Entry!$C$932)</f>
        <v/>
      </c>
      <c r="M929" t="str">
        <f>IF([2]Entry!$J$932="","",[2]Entry!$J$932)</f>
        <v/>
      </c>
      <c r="N929" t="str">
        <f>IF([2]Entry!$M$932="","",[2]Entry!$M$932)</f>
        <v/>
      </c>
      <c r="O929" t="str">
        <f>IF([2]Entry!$N$932="","",[2]Entry!$N$932)</f>
        <v/>
      </c>
      <c r="P929" t="str">
        <f>IF([2]Entry!$S$932="","",[2]Entry!$S$932)</f>
        <v/>
      </c>
    </row>
    <row r="930" spans="12:16" x14ac:dyDescent="0.2">
      <c r="L930" t="str">
        <f>IF([2]Entry!$C$933="","",[2]Entry!$C$933)</f>
        <v/>
      </c>
      <c r="M930" t="str">
        <f>IF([2]Entry!$J$933="","",[2]Entry!$J$933)</f>
        <v/>
      </c>
      <c r="N930" t="str">
        <f>IF([2]Entry!$M$933="","",[2]Entry!$M$933)</f>
        <v/>
      </c>
      <c r="O930" t="str">
        <f>IF([2]Entry!$N$933="","",[2]Entry!$N$933)</f>
        <v/>
      </c>
      <c r="P930" t="str">
        <f>IF([2]Entry!$S$933="","",[2]Entry!$S$933)</f>
        <v/>
      </c>
    </row>
    <row r="931" spans="12:16" x14ac:dyDescent="0.2">
      <c r="L931" t="str">
        <f>IF([2]Entry!$C$934="","",[2]Entry!$C$934)</f>
        <v/>
      </c>
      <c r="M931" t="str">
        <f>IF([2]Entry!$J$934="","",[2]Entry!$J$934)</f>
        <v/>
      </c>
      <c r="N931" t="str">
        <f>IF([2]Entry!$M$934="","",[2]Entry!$M$934)</f>
        <v/>
      </c>
      <c r="O931" t="str">
        <f>IF([2]Entry!$N$934="","",[2]Entry!$N$934)</f>
        <v/>
      </c>
      <c r="P931" t="str">
        <f>IF([2]Entry!$S$934="","",[2]Entry!$S$934)</f>
        <v/>
      </c>
    </row>
    <row r="932" spans="12:16" x14ac:dyDescent="0.2">
      <c r="L932" t="str">
        <f>IF([2]Entry!$C$935="","",[2]Entry!$C$935)</f>
        <v/>
      </c>
      <c r="M932" t="str">
        <f>IF([2]Entry!$J$935="","",[2]Entry!$J$935)</f>
        <v/>
      </c>
      <c r="N932" t="str">
        <f>IF([2]Entry!$M$935="","",[2]Entry!$M$935)</f>
        <v/>
      </c>
      <c r="O932" t="str">
        <f>IF([2]Entry!$N$935="","",[2]Entry!$N$935)</f>
        <v/>
      </c>
      <c r="P932" t="str">
        <f>IF([2]Entry!$S$935="","",[2]Entry!$S$935)</f>
        <v/>
      </c>
    </row>
    <row r="933" spans="12:16" x14ac:dyDescent="0.2">
      <c r="L933" t="str">
        <f>IF([2]Entry!$C$936="","",[2]Entry!$C$936)</f>
        <v/>
      </c>
      <c r="M933" t="str">
        <f>IF([2]Entry!$J$936="","",[2]Entry!$J$936)</f>
        <v/>
      </c>
      <c r="N933" t="str">
        <f>IF([2]Entry!$M$936="","",[2]Entry!$M$936)</f>
        <v/>
      </c>
      <c r="O933" t="str">
        <f>IF([2]Entry!$N$936="","",[2]Entry!$N$936)</f>
        <v/>
      </c>
      <c r="P933" t="str">
        <f>IF([2]Entry!$S$936="","",[2]Entry!$S$936)</f>
        <v/>
      </c>
    </row>
    <row r="934" spans="12:16" x14ac:dyDescent="0.2">
      <c r="L934" t="str">
        <f>IF([2]Entry!$C$937="","",[2]Entry!$C$937)</f>
        <v/>
      </c>
      <c r="M934" t="str">
        <f>IF([2]Entry!$J$937="","",[2]Entry!$J$937)</f>
        <v/>
      </c>
      <c r="N934" t="str">
        <f>IF([2]Entry!$M$937="","",[2]Entry!$M$937)</f>
        <v/>
      </c>
      <c r="O934" t="str">
        <f>IF([2]Entry!$N$937="","",[2]Entry!$N$937)</f>
        <v/>
      </c>
      <c r="P934" t="str">
        <f>IF([2]Entry!$S$937="","",[2]Entry!$S$937)</f>
        <v/>
      </c>
    </row>
    <row r="935" spans="12:16" x14ac:dyDescent="0.2">
      <c r="L935" t="str">
        <f>IF([2]Entry!$C$938="","",[2]Entry!$C$938)</f>
        <v/>
      </c>
      <c r="M935" t="str">
        <f>IF([2]Entry!$J$938="","",[2]Entry!$J$938)</f>
        <v/>
      </c>
      <c r="N935" t="str">
        <f>IF([2]Entry!$M$938="","",[2]Entry!$M$938)</f>
        <v/>
      </c>
      <c r="O935" t="str">
        <f>IF([2]Entry!$N$938="","",[2]Entry!$N$938)</f>
        <v/>
      </c>
      <c r="P935" t="str">
        <f>IF([2]Entry!$S$938="","",[2]Entry!$S$938)</f>
        <v/>
      </c>
    </row>
    <row r="936" spans="12:16" x14ac:dyDescent="0.2">
      <c r="L936" t="str">
        <f>IF([2]Entry!$C$939="","",[2]Entry!$C$939)</f>
        <v/>
      </c>
      <c r="M936" t="str">
        <f>IF([2]Entry!$J$939="","",[2]Entry!$J$939)</f>
        <v/>
      </c>
      <c r="N936" t="str">
        <f>IF([2]Entry!$M$939="","",[2]Entry!$M$939)</f>
        <v/>
      </c>
      <c r="O936" t="str">
        <f>IF([2]Entry!$N$939="","",[2]Entry!$N$939)</f>
        <v/>
      </c>
      <c r="P936" t="str">
        <f>IF([2]Entry!$S$939="","",[2]Entry!$S$939)</f>
        <v/>
      </c>
    </row>
    <row r="937" spans="12:16" x14ac:dyDescent="0.2">
      <c r="L937" t="str">
        <f>IF([2]Entry!$C$940="","",[2]Entry!$C$940)</f>
        <v/>
      </c>
      <c r="M937" t="str">
        <f>IF([2]Entry!$J$940="","",[2]Entry!$J$940)</f>
        <v/>
      </c>
      <c r="N937" t="str">
        <f>IF([2]Entry!$M$940="","",[2]Entry!$M$940)</f>
        <v/>
      </c>
      <c r="O937" t="str">
        <f>IF([2]Entry!$N$940="","",[2]Entry!$N$940)</f>
        <v/>
      </c>
      <c r="P937" t="str">
        <f>IF([2]Entry!$S$940="","",[2]Entry!$S$940)</f>
        <v/>
      </c>
    </row>
    <row r="938" spans="12:16" x14ac:dyDescent="0.2">
      <c r="L938" t="str">
        <f>IF([2]Entry!$C$941="","",[2]Entry!$C$941)</f>
        <v/>
      </c>
      <c r="M938" t="str">
        <f>IF([2]Entry!$J$941="","",[2]Entry!$J$941)</f>
        <v/>
      </c>
      <c r="N938" t="str">
        <f>IF([2]Entry!$M$941="","",[2]Entry!$M$941)</f>
        <v/>
      </c>
      <c r="O938" t="str">
        <f>IF([2]Entry!$N$941="","",[2]Entry!$N$941)</f>
        <v/>
      </c>
      <c r="P938" t="str">
        <f>IF([2]Entry!$S$941="","",[2]Entry!$S$941)</f>
        <v/>
      </c>
    </row>
    <row r="939" spans="12:16" x14ac:dyDescent="0.2">
      <c r="L939" t="str">
        <f>IF([2]Entry!$C$942="","",[2]Entry!$C$942)</f>
        <v/>
      </c>
      <c r="M939" t="str">
        <f>IF([2]Entry!$J$942="","",[2]Entry!$J$942)</f>
        <v/>
      </c>
      <c r="N939" t="str">
        <f>IF([2]Entry!$M$942="","",[2]Entry!$M$942)</f>
        <v/>
      </c>
      <c r="O939" t="str">
        <f>IF([2]Entry!$N$942="","",[2]Entry!$N$942)</f>
        <v/>
      </c>
      <c r="P939" t="str">
        <f>IF([2]Entry!$S$942="","",[2]Entry!$S$942)</f>
        <v/>
      </c>
    </row>
    <row r="940" spans="12:16" x14ac:dyDescent="0.2">
      <c r="L940" t="str">
        <f>IF([2]Entry!$C$943="","",[2]Entry!$C$943)</f>
        <v/>
      </c>
      <c r="M940" t="str">
        <f>IF([2]Entry!$J$943="","",[2]Entry!$J$943)</f>
        <v/>
      </c>
      <c r="N940" t="str">
        <f>IF([2]Entry!$M$943="","",[2]Entry!$M$943)</f>
        <v/>
      </c>
      <c r="O940" t="str">
        <f>IF([2]Entry!$N$943="","",[2]Entry!$N$943)</f>
        <v/>
      </c>
      <c r="P940" t="str">
        <f>IF([2]Entry!$S$943="","",[2]Entry!$S$943)</f>
        <v/>
      </c>
    </row>
    <row r="941" spans="12:16" x14ac:dyDescent="0.2">
      <c r="L941" t="str">
        <f>IF([2]Entry!$C$944="","",[2]Entry!$C$944)</f>
        <v/>
      </c>
      <c r="M941" t="str">
        <f>IF([2]Entry!$J$944="","",[2]Entry!$J$944)</f>
        <v/>
      </c>
      <c r="N941" t="str">
        <f>IF([2]Entry!$M$944="","",[2]Entry!$M$944)</f>
        <v/>
      </c>
      <c r="O941" t="str">
        <f>IF([2]Entry!$N$944="","",[2]Entry!$N$944)</f>
        <v/>
      </c>
      <c r="P941" t="str">
        <f>IF([2]Entry!$S$944="","",[2]Entry!$S$944)</f>
        <v/>
      </c>
    </row>
    <row r="942" spans="12:16" x14ac:dyDescent="0.2">
      <c r="L942" t="str">
        <f>IF([2]Entry!$C$945="","",[2]Entry!$C$945)</f>
        <v/>
      </c>
      <c r="M942" t="str">
        <f>IF([2]Entry!$J$945="","",[2]Entry!$J$945)</f>
        <v/>
      </c>
      <c r="N942" t="str">
        <f>IF([2]Entry!$M$945="","",[2]Entry!$M$945)</f>
        <v/>
      </c>
      <c r="O942" t="str">
        <f>IF([2]Entry!$N$945="","",[2]Entry!$N$945)</f>
        <v/>
      </c>
      <c r="P942" t="str">
        <f>IF([2]Entry!$S$945="","",[2]Entry!$S$945)</f>
        <v/>
      </c>
    </row>
    <row r="943" spans="12:16" x14ac:dyDescent="0.2">
      <c r="L943" t="str">
        <f>IF([2]Entry!$C$946="","",[2]Entry!$C$946)</f>
        <v/>
      </c>
      <c r="M943" t="str">
        <f>IF([2]Entry!$J$946="","",[2]Entry!$J$946)</f>
        <v/>
      </c>
      <c r="N943" t="str">
        <f>IF([2]Entry!$M$946="","",[2]Entry!$M$946)</f>
        <v/>
      </c>
      <c r="O943" t="str">
        <f>IF([2]Entry!$N$946="","",[2]Entry!$N$946)</f>
        <v/>
      </c>
      <c r="P943" t="str">
        <f>IF([2]Entry!$S$946="","",[2]Entry!$S$946)</f>
        <v/>
      </c>
    </row>
    <row r="944" spans="12:16" x14ac:dyDescent="0.2">
      <c r="L944" t="str">
        <f>IF([2]Entry!$C$947="","",[2]Entry!$C$947)</f>
        <v/>
      </c>
      <c r="M944" t="str">
        <f>IF([2]Entry!$J$947="","",[2]Entry!$J$947)</f>
        <v/>
      </c>
      <c r="N944" t="str">
        <f>IF([2]Entry!$M$947="","",[2]Entry!$M$947)</f>
        <v/>
      </c>
      <c r="O944" t="str">
        <f>IF([2]Entry!$N$947="","",[2]Entry!$N$947)</f>
        <v/>
      </c>
      <c r="P944" t="str">
        <f>IF([2]Entry!$S$947="","",[2]Entry!$S$947)</f>
        <v/>
      </c>
    </row>
    <row r="945" spans="12:16" x14ac:dyDescent="0.2">
      <c r="L945" t="str">
        <f>IF([2]Entry!$C$948="","",[2]Entry!$C$948)</f>
        <v/>
      </c>
      <c r="M945" t="str">
        <f>IF([2]Entry!$J$948="","",[2]Entry!$J$948)</f>
        <v/>
      </c>
      <c r="N945" t="str">
        <f>IF([2]Entry!$M$948="","",[2]Entry!$M$948)</f>
        <v/>
      </c>
      <c r="O945" t="str">
        <f>IF([2]Entry!$N$948="","",[2]Entry!$N$948)</f>
        <v/>
      </c>
      <c r="P945" t="str">
        <f>IF([2]Entry!$S$948="","",[2]Entry!$S$948)</f>
        <v/>
      </c>
    </row>
    <row r="946" spans="12:16" x14ac:dyDescent="0.2">
      <c r="L946" t="str">
        <f>IF([2]Entry!$C$949="","",[2]Entry!$C$949)</f>
        <v/>
      </c>
      <c r="M946" t="str">
        <f>IF([2]Entry!$J$949="","",[2]Entry!$J$949)</f>
        <v/>
      </c>
      <c r="N946" t="str">
        <f>IF([2]Entry!$M$949="","",[2]Entry!$M$949)</f>
        <v/>
      </c>
      <c r="O946" t="str">
        <f>IF([2]Entry!$N$949="","",[2]Entry!$N$949)</f>
        <v/>
      </c>
      <c r="P946" t="str">
        <f>IF([2]Entry!$S$949="","",[2]Entry!$S$949)</f>
        <v/>
      </c>
    </row>
    <row r="947" spans="12:16" x14ac:dyDescent="0.2">
      <c r="L947" t="str">
        <f>IF([2]Entry!$C$950="","",[2]Entry!$C$950)</f>
        <v/>
      </c>
      <c r="M947" t="str">
        <f>IF([2]Entry!$J$950="","",[2]Entry!$J$950)</f>
        <v/>
      </c>
      <c r="N947" t="str">
        <f>IF([2]Entry!$M$950="","",[2]Entry!$M$950)</f>
        <v/>
      </c>
      <c r="O947" t="str">
        <f>IF([2]Entry!$N$950="","",[2]Entry!$N$950)</f>
        <v/>
      </c>
      <c r="P947" t="str">
        <f>IF([2]Entry!$S$950="","",[2]Entry!$S$950)</f>
        <v/>
      </c>
    </row>
    <row r="948" spans="12:16" x14ac:dyDescent="0.2">
      <c r="L948" t="str">
        <f>IF([2]Entry!$C$951="","",[2]Entry!$C$951)</f>
        <v/>
      </c>
      <c r="M948" t="str">
        <f>IF([2]Entry!$J$951="","",[2]Entry!$J$951)</f>
        <v/>
      </c>
      <c r="N948" t="str">
        <f>IF([2]Entry!$M$951="","",[2]Entry!$M$951)</f>
        <v/>
      </c>
      <c r="O948" t="str">
        <f>IF([2]Entry!$N$951="","",[2]Entry!$N$951)</f>
        <v/>
      </c>
      <c r="P948" t="str">
        <f>IF([2]Entry!$S$951="","",[2]Entry!$S$951)</f>
        <v/>
      </c>
    </row>
    <row r="949" spans="12:16" x14ac:dyDescent="0.2">
      <c r="L949" t="str">
        <f>IF([2]Entry!$C$952="","",[2]Entry!$C$952)</f>
        <v/>
      </c>
      <c r="M949" t="str">
        <f>IF([2]Entry!$J$952="","",[2]Entry!$J$952)</f>
        <v/>
      </c>
      <c r="N949" t="str">
        <f>IF([2]Entry!$M$952="","",[2]Entry!$M$952)</f>
        <v/>
      </c>
      <c r="O949" t="str">
        <f>IF([2]Entry!$N$952="","",[2]Entry!$N$952)</f>
        <v/>
      </c>
      <c r="P949" t="str">
        <f>IF([2]Entry!$S$952="","",[2]Entry!$S$952)</f>
        <v/>
      </c>
    </row>
    <row r="950" spans="12:16" x14ac:dyDescent="0.2">
      <c r="L950" t="str">
        <f>IF([2]Entry!$C$953="","",[2]Entry!$C$953)</f>
        <v/>
      </c>
      <c r="M950" t="str">
        <f>IF([2]Entry!$J$953="","",[2]Entry!$J$953)</f>
        <v/>
      </c>
      <c r="N950" t="str">
        <f>IF([2]Entry!$M$953="","",[2]Entry!$M$953)</f>
        <v/>
      </c>
      <c r="O950" t="str">
        <f>IF([2]Entry!$N$953="","",[2]Entry!$N$953)</f>
        <v/>
      </c>
      <c r="P950" t="str">
        <f>IF([2]Entry!$S$953="","",[2]Entry!$S$953)</f>
        <v/>
      </c>
    </row>
    <row r="951" spans="12:16" x14ac:dyDescent="0.2">
      <c r="L951" t="str">
        <f>IF([2]Entry!$C$954="","",[2]Entry!$C$954)</f>
        <v/>
      </c>
      <c r="M951" t="str">
        <f>IF([2]Entry!$J$954="","",[2]Entry!$J$954)</f>
        <v/>
      </c>
      <c r="N951" t="str">
        <f>IF([2]Entry!$M$954="","",[2]Entry!$M$954)</f>
        <v/>
      </c>
      <c r="O951" t="str">
        <f>IF([2]Entry!$N$954="","",[2]Entry!$N$954)</f>
        <v/>
      </c>
      <c r="P951" t="str">
        <f>IF([2]Entry!$S$954="","",[2]Entry!$S$954)</f>
        <v/>
      </c>
    </row>
    <row r="952" spans="12:16" x14ac:dyDescent="0.2">
      <c r="L952" t="str">
        <f>IF([2]Entry!$C$955="","",[2]Entry!$C$955)</f>
        <v/>
      </c>
      <c r="M952" t="str">
        <f>IF([2]Entry!$J$955="","",[2]Entry!$J$955)</f>
        <v/>
      </c>
      <c r="N952" t="str">
        <f>IF([2]Entry!$M$955="","",[2]Entry!$M$955)</f>
        <v/>
      </c>
      <c r="O952" t="str">
        <f>IF([2]Entry!$N$955="","",[2]Entry!$N$955)</f>
        <v/>
      </c>
      <c r="P952" t="str">
        <f>IF([2]Entry!$S$955="","",[2]Entry!$S$955)</f>
        <v/>
      </c>
    </row>
    <row r="953" spans="12:16" x14ac:dyDescent="0.2">
      <c r="L953" t="str">
        <f>IF([2]Entry!$C$956="","",[2]Entry!$C$956)</f>
        <v/>
      </c>
      <c r="M953" t="str">
        <f>IF([2]Entry!$J$956="","",[2]Entry!$J$956)</f>
        <v/>
      </c>
      <c r="N953" t="str">
        <f>IF([2]Entry!$M$956="","",[2]Entry!$M$956)</f>
        <v/>
      </c>
      <c r="O953" t="str">
        <f>IF([2]Entry!$N$956="","",[2]Entry!$N$956)</f>
        <v/>
      </c>
      <c r="P953" t="str">
        <f>IF([2]Entry!$S$956="","",[2]Entry!$S$956)</f>
        <v/>
      </c>
    </row>
    <row r="954" spans="12:16" x14ac:dyDescent="0.2">
      <c r="L954" t="str">
        <f>IF([2]Entry!$C$957="","",[2]Entry!$C$957)</f>
        <v/>
      </c>
      <c r="M954" t="str">
        <f>IF([2]Entry!$J$957="","",[2]Entry!$J$957)</f>
        <v/>
      </c>
      <c r="N954" t="str">
        <f>IF([2]Entry!$M$957="","",[2]Entry!$M$957)</f>
        <v/>
      </c>
      <c r="O954" t="str">
        <f>IF([2]Entry!$N$957="","",[2]Entry!$N$957)</f>
        <v/>
      </c>
      <c r="P954" t="str">
        <f>IF([2]Entry!$S$957="","",[2]Entry!$S$957)</f>
        <v/>
      </c>
    </row>
    <row r="955" spans="12:16" x14ac:dyDescent="0.2">
      <c r="L955" t="str">
        <f>IF([2]Entry!$C$958="","",[2]Entry!$C$958)</f>
        <v/>
      </c>
      <c r="M955" t="str">
        <f>IF([2]Entry!$J$958="","",[2]Entry!$J$958)</f>
        <v/>
      </c>
      <c r="N955" t="str">
        <f>IF([2]Entry!$M$958="","",[2]Entry!$M$958)</f>
        <v/>
      </c>
      <c r="O955" t="str">
        <f>IF([2]Entry!$N$958="","",[2]Entry!$N$958)</f>
        <v/>
      </c>
      <c r="P955" t="str">
        <f>IF([2]Entry!$S$958="","",[2]Entry!$S$958)</f>
        <v/>
      </c>
    </row>
    <row r="956" spans="12:16" x14ac:dyDescent="0.2">
      <c r="L956" t="str">
        <f>IF([2]Entry!$C$959="","",[2]Entry!$C$959)</f>
        <v/>
      </c>
      <c r="M956" t="str">
        <f>IF([2]Entry!$J$959="","",[2]Entry!$J$959)</f>
        <v/>
      </c>
      <c r="N956" t="str">
        <f>IF([2]Entry!$M$959="","",[2]Entry!$M$959)</f>
        <v/>
      </c>
      <c r="O956" t="str">
        <f>IF([2]Entry!$N$959="","",[2]Entry!$N$959)</f>
        <v/>
      </c>
      <c r="P956" t="str">
        <f>IF([2]Entry!$S$959="","",[2]Entry!$S$959)</f>
        <v/>
      </c>
    </row>
    <row r="957" spans="12:16" x14ac:dyDescent="0.2">
      <c r="L957" t="str">
        <f>IF([2]Entry!$C$960="","",[2]Entry!$C$960)</f>
        <v/>
      </c>
      <c r="M957" t="str">
        <f>IF([2]Entry!$J$960="","",[2]Entry!$J$960)</f>
        <v/>
      </c>
      <c r="N957" t="str">
        <f>IF([2]Entry!$M$960="","",[2]Entry!$M$960)</f>
        <v/>
      </c>
      <c r="O957" t="str">
        <f>IF([2]Entry!$N$960="","",[2]Entry!$N$960)</f>
        <v/>
      </c>
      <c r="P957" t="str">
        <f>IF([2]Entry!$S$960="","",[2]Entry!$S$960)</f>
        <v/>
      </c>
    </row>
    <row r="958" spans="12:16" x14ac:dyDescent="0.2">
      <c r="L958" t="str">
        <f>IF([2]Entry!$C$961="","",[2]Entry!$C$961)</f>
        <v/>
      </c>
      <c r="M958" t="str">
        <f>IF([2]Entry!$J$961="","",[2]Entry!$J$961)</f>
        <v/>
      </c>
      <c r="N958" t="str">
        <f>IF([2]Entry!$M$961="","",[2]Entry!$M$961)</f>
        <v/>
      </c>
      <c r="O958" t="str">
        <f>IF([2]Entry!$N$961="","",[2]Entry!$N$961)</f>
        <v/>
      </c>
      <c r="P958" t="str">
        <f>IF([2]Entry!$S$961="","",[2]Entry!$S$961)</f>
        <v/>
      </c>
    </row>
    <row r="959" spans="12:16" x14ac:dyDescent="0.2">
      <c r="L959" t="str">
        <f>IF([2]Entry!$C$962="","",[2]Entry!$C$962)</f>
        <v/>
      </c>
      <c r="M959" t="str">
        <f>IF([2]Entry!$J$962="","",[2]Entry!$J$962)</f>
        <v/>
      </c>
      <c r="N959" t="str">
        <f>IF([2]Entry!$M$962="","",[2]Entry!$M$962)</f>
        <v/>
      </c>
      <c r="O959" t="str">
        <f>IF([2]Entry!$N$962="","",[2]Entry!$N$962)</f>
        <v/>
      </c>
      <c r="P959" t="str">
        <f>IF([2]Entry!$S$962="","",[2]Entry!$S$962)</f>
        <v/>
      </c>
    </row>
    <row r="960" spans="12:16" x14ac:dyDescent="0.2">
      <c r="L960" t="str">
        <f>IF([2]Entry!$C$963="","",[2]Entry!$C$963)</f>
        <v/>
      </c>
      <c r="M960" t="str">
        <f>IF([2]Entry!$J$963="","",[2]Entry!$J$963)</f>
        <v/>
      </c>
      <c r="N960" t="str">
        <f>IF([2]Entry!$M$963="","",[2]Entry!$M$963)</f>
        <v/>
      </c>
      <c r="O960" t="str">
        <f>IF([2]Entry!$N$963="","",[2]Entry!$N$963)</f>
        <v/>
      </c>
      <c r="P960" t="str">
        <f>IF([2]Entry!$S$963="","",[2]Entry!$S$963)</f>
        <v/>
      </c>
    </row>
    <row r="961" spans="12:16" x14ac:dyDescent="0.2">
      <c r="L961" t="str">
        <f>IF([2]Entry!$C$964="","",[2]Entry!$C$964)</f>
        <v/>
      </c>
      <c r="M961" t="str">
        <f>IF([2]Entry!$J$964="","",[2]Entry!$J$964)</f>
        <v/>
      </c>
      <c r="N961" t="str">
        <f>IF([2]Entry!$M$964="","",[2]Entry!$M$964)</f>
        <v/>
      </c>
      <c r="O961" t="str">
        <f>IF([2]Entry!$N$964="","",[2]Entry!$N$964)</f>
        <v/>
      </c>
      <c r="P961" t="str">
        <f>IF([2]Entry!$S$964="","",[2]Entry!$S$964)</f>
        <v/>
      </c>
    </row>
    <row r="962" spans="12:16" x14ac:dyDescent="0.2">
      <c r="L962" t="str">
        <f>IF([2]Entry!$C$965="","",[2]Entry!$C$965)</f>
        <v/>
      </c>
      <c r="M962" t="str">
        <f>IF([2]Entry!$J$965="","",[2]Entry!$J$965)</f>
        <v/>
      </c>
      <c r="N962" t="str">
        <f>IF([2]Entry!$M$965="","",[2]Entry!$M$965)</f>
        <v/>
      </c>
      <c r="O962" t="str">
        <f>IF([2]Entry!$N$965="","",[2]Entry!$N$965)</f>
        <v/>
      </c>
      <c r="P962" t="str">
        <f>IF([2]Entry!$S$965="","",[2]Entry!$S$965)</f>
        <v/>
      </c>
    </row>
    <row r="963" spans="12:16" x14ac:dyDescent="0.2">
      <c r="L963" t="str">
        <f>IF([2]Entry!$C$966="","",[2]Entry!$C$966)</f>
        <v/>
      </c>
      <c r="M963" t="str">
        <f>IF([2]Entry!$J$966="","",[2]Entry!$J$966)</f>
        <v/>
      </c>
      <c r="N963" t="str">
        <f>IF([2]Entry!$M$966="","",[2]Entry!$M$966)</f>
        <v/>
      </c>
      <c r="O963" t="str">
        <f>IF([2]Entry!$N$966="","",[2]Entry!$N$966)</f>
        <v/>
      </c>
      <c r="P963" t="str">
        <f>IF([2]Entry!$S$966="","",[2]Entry!$S$966)</f>
        <v/>
      </c>
    </row>
    <row r="964" spans="12:16" x14ac:dyDescent="0.2">
      <c r="L964" t="str">
        <f>IF([2]Entry!$C$967="","",[2]Entry!$C$967)</f>
        <v/>
      </c>
      <c r="M964" t="str">
        <f>IF([2]Entry!$J$967="","",[2]Entry!$J$967)</f>
        <v/>
      </c>
      <c r="N964" t="str">
        <f>IF([2]Entry!$M$967="","",[2]Entry!$M$967)</f>
        <v/>
      </c>
      <c r="O964" t="str">
        <f>IF([2]Entry!$N$967="","",[2]Entry!$N$967)</f>
        <v/>
      </c>
      <c r="P964" t="str">
        <f>IF([2]Entry!$S$967="","",[2]Entry!$S$967)</f>
        <v/>
      </c>
    </row>
    <row r="965" spans="12:16" x14ac:dyDescent="0.2">
      <c r="L965" t="str">
        <f>IF([2]Entry!$C$968="","",[2]Entry!$C$968)</f>
        <v/>
      </c>
      <c r="M965" t="str">
        <f>IF([2]Entry!$J$968="","",[2]Entry!$J$968)</f>
        <v/>
      </c>
      <c r="N965" t="str">
        <f>IF([2]Entry!$M$968="","",[2]Entry!$M$968)</f>
        <v/>
      </c>
      <c r="O965" t="str">
        <f>IF([2]Entry!$N$968="","",[2]Entry!$N$968)</f>
        <v/>
      </c>
      <c r="P965" t="str">
        <f>IF([2]Entry!$S$968="","",[2]Entry!$S$968)</f>
        <v/>
      </c>
    </row>
    <row r="966" spans="12:16" x14ac:dyDescent="0.2">
      <c r="L966" t="str">
        <f>IF([2]Entry!$C$969="","",[2]Entry!$C$969)</f>
        <v/>
      </c>
      <c r="M966" t="str">
        <f>IF([2]Entry!$J$969="","",[2]Entry!$J$969)</f>
        <v/>
      </c>
      <c r="N966" t="str">
        <f>IF([2]Entry!$M$969="","",[2]Entry!$M$969)</f>
        <v/>
      </c>
      <c r="O966" t="str">
        <f>IF([2]Entry!$N$969="","",[2]Entry!$N$969)</f>
        <v/>
      </c>
      <c r="P966" t="str">
        <f>IF([2]Entry!$S$969="","",[2]Entry!$S$969)</f>
        <v/>
      </c>
    </row>
    <row r="967" spans="12:16" x14ac:dyDescent="0.2">
      <c r="L967" t="str">
        <f>IF([2]Entry!$C$970="","",[2]Entry!$C$970)</f>
        <v/>
      </c>
      <c r="M967" t="str">
        <f>IF([2]Entry!$J$970="","",[2]Entry!$J$970)</f>
        <v/>
      </c>
      <c r="N967" t="str">
        <f>IF([2]Entry!$M$970="","",[2]Entry!$M$970)</f>
        <v/>
      </c>
      <c r="O967" t="str">
        <f>IF([2]Entry!$N$970="","",[2]Entry!$N$970)</f>
        <v/>
      </c>
      <c r="P967" t="str">
        <f>IF([2]Entry!$S$970="","",[2]Entry!$S$970)</f>
        <v/>
      </c>
    </row>
    <row r="968" spans="12:16" x14ac:dyDescent="0.2">
      <c r="L968" t="str">
        <f>IF([2]Entry!$C$971="","",[2]Entry!$C$971)</f>
        <v/>
      </c>
      <c r="M968" t="str">
        <f>IF([2]Entry!$J$971="","",[2]Entry!$J$971)</f>
        <v/>
      </c>
      <c r="N968" t="str">
        <f>IF([2]Entry!$M$971="","",[2]Entry!$M$971)</f>
        <v/>
      </c>
      <c r="O968" t="str">
        <f>IF([2]Entry!$N$971="","",[2]Entry!$N$971)</f>
        <v/>
      </c>
      <c r="P968" t="str">
        <f>IF([2]Entry!$S$971="","",[2]Entry!$S$971)</f>
        <v/>
      </c>
    </row>
    <row r="969" spans="12:16" x14ac:dyDescent="0.2">
      <c r="L969" t="str">
        <f>IF([2]Entry!$C$972="","",[2]Entry!$C$972)</f>
        <v/>
      </c>
      <c r="M969" t="str">
        <f>IF([2]Entry!$J$972="","",[2]Entry!$J$972)</f>
        <v/>
      </c>
      <c r="N969" t="str">
        <f>IF([2]Entry!$M$972="","",[2]Entry!$M$972)</f>
        <v/>
      </c>
      <c r="O969" t="str">
        <f>IF([2]Entry!$N$972="","",[2]Entry!$N$972)</f>
        <v/>
      </c>
      <c r="P969" t="str">
        <f>IF([2]Entry!$S$972="","",[2]Entry!$S$972)</f>
        <v/>
      </c>
    </row>
    <row r="970" spans="12:16" x14ac:dyDescent="0.2">
      <c r="L970" t="str">
        <f>IF([2]Entry!$C$973="","",[2]Entry!$C$973)</f>
        <v/>
      </c>
      <c r="M970" t="str">
        <f>IF([2]Entry!$J$973="","",[2]Entry!$J$973)</f>
        <v/>
      </c>
      <c r="N970" t="str">
        <f>IF([2]Entry!$M$973="","",[2]Entry!$M$973)</f>
        <v/>
      </c>
      <c r="O970" t="str">
        <f>IF([2]Entry!$N$973="","",[2]Entry!$N$973)</f>
        <v/>
      </c>
      <c r="P970" t="str">
        <f>IF([2]Entry!$S$973="","",[2]Entry!$S$973)</f>
        <v/>
      </c>
    </row>
    <row r="971" spans="12:16" x14ac:dyDescent="0.2">
      <c r="L971" t="str">
        <f>IF([2]Entry!$C$974="","",[2]Entry!$C$974)</f>
        <v/>
      </c>
      <c r="M971" t="str">
        <f>IF([2]Entry!$J$974="","",[2]Entry!$J$974)</f>
        <v/>
      </c>
      <c r="N971" t="str">
        <f>IF([2]Entry!$M$974="","",[2]Entry!$M$974)</f>
        <v/>
      </c>
      <c r="O971" t="str">
        <f>IF([2]Entry!$N$974="","",[2]Entry!$N$974)</f>
        <v/>
      </c>
      <c r="P971" t="str">
        <f>IF([2]Entry!$S$974="","",[2]Entry!$S$974)</f>
        <v/>
      </c>
    </row>
    <row r="972" spans="12:16" x14ac:dyDescent="0.2">
      <c r="L972" t="str">
        <f>IF([2]Entry!$C$975="","",[2]Entry!$C$975)</f>
        <v/>
      </c>
      <c r="M972" t="str">
        <f>IF([2]Entry!$J$975="","",[2]Entry!$J$975)</f>
        <v/>
      </c>
      <c r="N972" t="str">
        <f>IF([2]Entry!$M$975="","",[2]Entry!$M$975)</f>
        <v/>
      </c>
      <c r="O972" t="str">
        <f>IF([2]Entry!$N$975="","",[2]Entry!$N$975)</f>
        <v/>
      </c>
      <c r="P972" t="str">
        <f>IF([2]Entry!$S$975="","",[2]Entry!$S$975)</f>
        <v/>
      </c>
    </row>
    <row r="973" spans="12:16" x14ac:dyDescent="0.2">
      <c r="L973" t="str">
        <f>IF([2]Entry!$C$976="","",[2]Entry!$C$976)</f>
        <v/>
      </c>
      <c r="M973" t="str">
        <f>IF([2]Entry!$J$976="","",[2]Entry!$J$976)</f>
        <v/>
      </c>
      <c r="N973" t="str">
        <f>IF([2]Entry!$M$976="","",[2]Entry!$M$976)</f>
        <v/>
      </c>
      <c r="O973" t="str">
        <f>IF([2]Entry!$N$976="","",[2]Entry!$N$976)</f>
        <v/>
      </c>
      <c r="P973" t="str">
        <f>IF([2]Entry!$S$976="","",[2]Entry!$S$976)</f>
        <v/>
      </c>
    </row>
    <row r="974" spans="12:16" x14ac:dyDescent="0.2">
      <c r="L974" t="str">
        <f>IF([2]Entry!$C$977="","",[2]Entry!$C$977)</f>
        <v/>
      </c>
      <c r="M974" t="str">
        <f>IF([2]Entry!$J$977="","",[2]Entry!$J$977)</f>
        <v/>
      </c>
      <c r="N974" t="str">
        <f>IF([2]Entry!$M$977="","",[2]Entry!$M$977)</f>
        <v/>
      </c>
      <c r="O974" t="str">
        <f>IF([2]Entry!$N$977="","",[2]Entry!$N$977)</f>
        <v/>
      </c>
      <c r="P974" t="str">
        <f>IF([2]Entry!$S$977="","",[2]Entry!$S$977)</f>
        <v/>
      </c>
    </row>
    <row r="975" spans="12:16" x14ac:dyDescent="0.2">
      <c r="L975" t="str">
        <f>IF([2]Entry!$C$978="","",[2]Entry!$C$978)</f>
        <v/>
      </c>
      <c r="M975" t="str">
        <f>IF([2]Entry!$J$978="","",[2]Entry!$J$978)</f>
        <v/>
      </c>
      <c r="N975" t="str">
        <f>IF([2]Entry!$M$978="","",[2]Entry!$M$978)</f>
        <v/>
      </c>
      <c r="O975" t="str">
        <f>IF([2]Entry!$N$978="","",[2]Entry!$N$978)</f>
        <v/>
      </c>
      <c r="P975" t="str">
        <f>IF([2]Entry!$S$978="","",[2]Entry!$S$978)</f>
        <v/>
      </c>
    </row>
    <row r="976" spans="12:16" x14ac:dyDescent="0.2">
      <c r="L976" t="str">
        <f>IF([2]Entry!$C$979="","",[2]Entry!$C$979)</f>
        <v/>
      </c>
      <c r="M976" t="str">
        <f>IF([2]Entry!$J$979="","",[2]Entry!$J$979)</f>
        <v/>
      </c>
      <c r="N976" t="str">
        <f>IF([2]Entry!$M$979="","",[2]Entry!$M$979)</f>
        <v/>
      </c>
      <c r="O976" t="str">
        <f>IF([2]Entry!$N$979="","",[2]Entry!$N$979)</f>
        <v/>
      </c>
      <c r="P976" t="str">
        <f>IF([2]Entry!$S$979="","",[2]Entry!$S$979)</f>
        <v/>
      </c>
    </row>
    <row r="977" spans="12:16" x14ac:dyDescent="0.2">
      <c r="L977" t="str">
        <f>IF([2]Entry!$C$980="","",[2]Entry!$C$980)</f>
        <v/>
      </c>
      <c r="M977" t="str">
        <f>IF([2]Entry!$J$980="","",[2]Entry!$J$980)</f>
        <v/>
      </c>
      <c r="N977" t="str">
        <f>IF([2]Entry!$M$980="","",[2]Entry!$M$980)</f>
        <v/>
      </c>
      <c r="O977" t="str">
        <f>IF([2]Entry!$N$980="","",[2]Entry!$N$980)</f>
        <v/>
      </c>
      <c r="P977" t="str">
        <f>IF([2]Entry!$S$980="","",[2]Entry!$S$980)</f>
        <v/>
      </c>
    </row>
    <row r="978" spans="12:16" x14ac:dyDescent="0.2">
      <c r="L978" t="str">
        <f>IF([2]Entry!$C$981="","",[2]Entry!$C$981)</f>
        <v/>
      </c>
      <c r="M978" t="str">
        <f>IF([2]Entry!$J$981="","",[2]Entry!$J$981)</f>
        <v/>
      </c>
      <c r="N978" t="str">
        <f>IF([2]Entry!$M$981="","",[2]Entry!$M$981)</f>
        <v/>
      </c>
      <c r="O978" t="str">
        <f>IF([2]Entry!$N$981="","",[2]Entry!$N$981)</f>
        <v/>
      </c>
      <c r="P978" t="str">
        <f>IF([2]Entry!$S$981="","",[2]Entry!$S$981)</f>
        <v/>
      </c>
    </row>
    <row r="979" spans="12:16" x14ac:dyDescent="0.2">
      <c r="L979" t="str">
        <f>IF([2]Entry!$C$982="","",[2]Entry!$C$982)</f>
        <v/>
      </c>
      <c r="M979" t="str">
        <f>IF([2]Entry!$J$982="","",[2]Entry!$J$982)</f>
        <v/>
      </c>
      <c r="N979" t="str">
        <f>IF([2]Entry!$M$982="","",[2]Entry!$M$982)</f>
        <v/>
      </c>
      <c r="O979" t="str">
        <f>IF([2]Entry!$N$982="","",[2]Entry!$N$982)</f>
        <v/>
      </c>
      <c r="P979" t="str">
        <f>IF([2]Entry!$S$982="","",[2]Entry!$S$982)</f>
        <v/>
      </c>
    </row>
    <row r="980" spans="12:16" x14ac:dyDescent="0.2">
      <c r="L980" t="str">
        <f>IF([2]Entry!$C$983="","",[2]Entry!$C$983)</f>
        <v/>
      </c>
      <c r="M980" t="str">
        <f>IF([2]Entry!$J$983="","",[2]Entry!$J$983)</f>
        <v/>
      </c>
      <c r="N980" t="str">
        <f>IF([2]Entry!$M$983="","",[2]Entry!$M$983)</f>
        <v/>
      </c>
      <c r="O980" t="str">
        <f>IF([2]Entry!$N$983="","",[2]Entry!$N$983)</f>
        <v/>
      </c>
      <c r="P980" t="str">
        <f>IF([2]Entry!$S$983="","",[2]Entry!$S$983)</f>
        <v/>
      </c>
    </row>
    <row r="981" spans="12:16" x14ac:dyDescent="0.2">
      <c r="L981" t="str">
        <f>IF([2]Entry!$C$984="","",[2]Entry!$C$984)</f>
        <v/>
      </c>
      <c r="M981" t="str">
        <f>IF([2]Entry!$J$984="","",[2]Entry!$J$984)</f>
        <v/>
      </c>
      <c r="N981" t="str">
        <f>IF([2]Entry!$M$984="","",[2]Entry!$M$984)</f>
        <v/>
      </c>
      <c r="O981" t="str">
        <f>IF([2]Entry!$N$984="","",[2]Entry!$N$984)</f>
        <v/>
      </c>
      <c r="P981" t="str">
        <f>IF([2]Entry!$S$984="","",[2]Entry!$S$984)</f>
        <v/>
      </c>
    </row>
    <row r="982" spans="12:16" x14ac:dyDescent="0.2">
      <c r="L982" t="str">
        <f>IF([2]Entry!$C$985="","",[2]Entry!$C$985)</f>
        <v/>
      </c>
      <c r="M982" t="str">
        <f>IF([2]Entry!$J$985="","",[2]Entry!$J$985)</f>
        <v/>
      </c>
      <c r="N982" t="str">
        <f>IF([2]Entry!$M$985="","",[2]Entry!$M$985)</f>
        <v/>
      </c>
      <c r="O982" t="str">
        <f>IF([2]Entry!$N$985="","",[2]Entry!$N$985)</f>
        <v/>
      </c>
      <c r="P982" t="str">
        <f>IF([2]Entry!$S$985="","",[2]Entry!$S$985)</f>
        <v/>
      </c>
    </row>
    <row r="983" spans="12:16" x14ac:dyDescent="0.2">
      <c r="L983" t="str">
        <f>IF([2]Entry!$C$986="","",[2]Entry!$C$986)</f>
        <v/>
      </c>
      <c r="M983" t="str">
        <f>IF([2]Entry!$J$986="","",[2]Entry!$J$986)</f>
        <v/>
      </c>
      <c r="N983" t="str">
        <f>IF([2]Entry!$M$986="","",[2]Entry!$M$986)</f>
        <v/>
      </c>
      <c r="O983" t="str">
        <f>IF([2]Entry!$N$986="","",[2]Entry!$N$986)</f>
        <v/>
      </c>
      <c r="P983" t="str">
        <f>IF([2]Entry!$S$986="","",[2]Entry!$S$986)</f>
        <v/>
      </c>
    </row>
    <row r="984" spans="12:16" x14ac:dyDescent="0.2">
      <c r="L984" t="str">
        <f>IF([2]Entry!$C$987="","",[2]Entry!$C$987)</f>
        <v/>
      </c>
      <c r="M984" t="str">
        <f>IF([2]Entry!$J$987="","",[2]Entry!$J$987)</f>
        <v/>
      </c>
      <c r="N984" t="str">
        <f>IF([2]Entry!$M$987="","",[2]Entry!$M$987)</f>
        <v/>
      </c>
      <c r="O984" t="str">
        <f>IF([2]Entry!$N$987="","",[2]Entry!$N$987)</f>
        <v/>
      </c>
      <c r="P984" t="str">
        <f>IF([2]Entry!$S$987="","",[2]Entry!$S$987)</f>
        <v/>
      </c>
    </row>
    <row r="985" spans="12:16" x14ac:dyDescent="0.2">
      <c r="L985" t="str">
        <f>IF([2]Entry!$C$988="","",[2]Entry!$C$988)</f>
        <v/>
      </c>
      <c r="M985" t="str">
        <f>IF([2]Entry!$J$988="","",[2]Entry!$J$988)</f>
        <v/>
      </c>
      <c r="N985" t="str">
        <f>IF([2]Entry!$M$988="","",[2]Entry!$M$988)</f>
        <v/>
      </c>
      <c r="O985" t="str">
        <f>IF([2]Entry!$N$988="","",[2]Entry!$N$988)</f>
        <v/>
      </c>
      <c r="P985" t="str">
        <f>IF([2]Entry!$S$988="","",[2]Entry!$S$988)</f>
        <v/>
      </c>
    </row>
    <row r="986" spans="12:16" x14ac:dyDescent="0.2">
      <c r="L986" t="str">
        <f>IF([2]Entry!$C$989="","",[2]Entry!$C$989)</f>
        <v/>
      </c>
      <c r="M986" t="str">
        <f>IF([2]Entry!$J$989="","",[2]Entry!$J$989)</f>
        <v/>
      </c>
      <c r="N986" t="str">
        <f>IF([2]Entry!$M$989="","",[2]Entry!$M$989)</f>
        <v/>
      </c>
      <c r="O986" t="str">
        <f>IF([2]Entry!$N$989="","",[2]Entry!$N$989)</f>
        <v/>
      </c>
      <c r="P986" t="str">
        <f>IF([2]Entry!$S$989="","",[2]Entry!$S$989)</f>
        <v/>
      </c>
    </row>
    <row r="987" spans="12:16" x14ac:dyDescent="0.2">
      <c r="L987" t="str">
        <f>IF([2]Entry!$C$990="","",[2]Entry!$C$990)</f>
        <v/>
      </c>
      <c r="M987" t="str">
        <f>IF([2]Entry!$J$990="","",[2]Entry!$J$990)</f>
        <v/>
      </c>
      <c r="N987" t="str">
        <f>IF([2]Entry!$M$990="","",[2]Entry!$M$990)</f>
        <v/>
      </c>
      <c r="O987" t="str">
        <f>IF([2]Entry!$N$990="","",[2]Entry!$N$990)</f>
        <v/>
      </c>
      <c r="P987" t="str">
        <f>IF([2]Entry!$S$990="","",[2]Entry!$S$990)</f>
        <v/>
      </c>
    </row>
    <row r="988" spans="12:16" x14ac:dyDescent="0.2">
      <c r="L988" t="str">
        <f>IF([2]Entry!$C$991="","",[2]Entry!$C$991)</f>
        <v/>
      </c>
      <c r="M988" t="str">
        <f>IF([2]Entry!$J$991="","",[2]Entry!$J$991)</f>
        <v/>
      </c>
      <c r="N988" t="str">
        <f>IF([2]Entry!$M$991="","",[2]Entry!$M$991)</f>
        <v/>
      </c>
      <c r="O988" t="str">
        <f>IF([2]Entry!$N$991="","",[2]Entry!$N$991)</f>
        <v/>
      </c>
      <c r="P988" t="str">
        <f>IF([2]Entry!$S$991="","",[2]Entry!$S$991)</f>
        <v/>
      </c>
    </row>
    <row r="989" spans="12:16" x14ac:dyDescent="0.2">
      <c r="L989" t="str">
        <f>IF([2]Entry!$C$992="","",[2]Entry!$C$992)</f>
        <v/>
      </c>
      <c r="M989" t="str">
        <f>IF([2]Entry!$J$992="","",[2]Entry!$J$992)</f>
        <v/>
      </c>
      <c r="N989" t="str">
        <f>IF([2]Entry!$M$992="","",[2]Entry!$M$992)</f>
        <v/>
      </c>
      <c r="O989" t="str">
        <f>IF([2]Entry!$N$992="","",[2]Entry!$N$992)</f>
        <v/>
      </c>
      <c r="P989" t="str">
        <f>IF([2]Entry!$S$992="","",[2]Entry!$S$992)</f>
        <v/>
      </c>
    </row>
    <row r="990" spans="12:16" x14ac:dyDescent="0.2">
      <c r="L990" t="str">
        <f>IF([2]Entry!$C$993="","",[2]Entry!$C$993)</f>
        <v/>
      </c>
      <c r="M990" t="str">
        <f>IF([2]Entry!$J$993="","",[2]Entry!$J$993)</f>
        <v/>
      </c>
      <c r="N990" t="str">
        <f>IF([2]Entry!$M$993="","",[2]Entry!$M$993)</f>
        <v/>
      </c>
      <c r="O990" t="str">
        <f>IF([2]Entry!$N$993="","",[2]Entry!$N$993)</f>
        <v/>
      </c>
      <c r="P990" t="str">
        <f>IF([2]Entry!$S$993="","",[2]Entry!$S$993)</f>
        <v/>
      </c>
    </row>
    <row r="991" spans="12:16" x14ac:dyDescent="0.2">
      <c r="L991" t="str">
        <f>IF([2]Entry!$C$994="","",[2]Entry!$C$994)</f>
        <v/>
      </c>
      <c r="M991" t="str">
        <f>IF([2]Entry!$J$994="","",[2]Entry!$J$994)</f>
        <v/>
      </c>
      <c r="N991" t="str">
        <f>IF([2]Entry!$M$994="","",[2]Entry!$M$994)</f>
        <v/>
      </c>
      <c r="O991" t="str">
        <f>IF([2]Entry!$N$994="","",[2]Entry!$N$994)</f>
        <v/>
      </c>
      <c r="P991" t="str">
        <f>IF([2]Entry!$S$994="","",[2]Entry!$S$994)</f>
        <v/>
      </c>
    </row>
    <row r="992" spans="12:16" x14ac:dyDescent="0.2">
      <c r="L992" t="str">
        <f>IF([2]Entry!$C$995="","",[2]Entry!$C$995)</f>
        <v/>
      </c>
      <c r="M992" t="str">
        <f>IF([2]Entry!$J$995="","",[2]Entry!$J$995)</f>
        <v/>
      </c>
      <c r="N992" t="str">
        <f>IF([2]Entry!$M$995="","",[2]Entry!$M$995)</f>
        <v/>
      </c>
      <c r="O992" t="str">
        <f>IF([2]Entry!$N$995="","",[2]Entry!$N$995)</f>
        <v/>
      </c>
      <c r="P992" t="str">
        <f>IF([2]Entry!$S$995="","",[2]Entry!$S$995)</f>
        <v/>
      </c>
    </row>
    <row r="993" spans="12:16" x14ac:dyDescent="0.2">
      <c r="L993" t="str">
        <f>IF([2]Entry!$C$996="","",[2]Entry!$C$996)</f>
        <v/>
      </c>
      <c r="M993" t="str">
        <f>IF([2]Entry!$J$996="","",[2]Entry!$J$996)</f>
        <v/>
      </c>
      <c r="N993" t="str">
        <f>IF([2]Entry!$M$996="","",[2]Entry!$M$996)</f>
        <v/>
      </c>
      <c r="O993" t="str">
        <f>IF([2]Entry!$N$996="","",[2]Entry!$N$996)</f>
        <v/>
      </c>
      <c r="P993" t="str">
        <f>IF([2]Entry!$S$996="","",[2]Entry!$S$996)</f>
        <v/>
      </c>
    </row>
    <row r="994" spans="12:16" x14ac:dyDescent="0.2">
      <c r="L994" t="str">
        <f>IF([2]Entry!$C$997="","",[2]Entry!$C$997)</f>
        <v/>
      </c>
      <c r="M994" t="str">
        <f>IF([2]Entry!$J$997="","",[2]Entry!$J$997)</f>
        <v/>
      </c>
      <c r="N994" t="str">
        <f>IF([2]Entry!$M$997="","",[2]Entry!$M$997)</f>
        <v/>
      </c>
      <c r="O994" t="str">
        <f>IF([2]Entry!$N$997="","",[2]Entry!$N$997)</f>
        <v/>
      </c>
      <c r="P994" t="str">
        <f>IF([2]Entry!$S$997="","",[2]Entry!$S$997)</f>
        <v/>
      </c>
    </row>
    <row r="995" spans="12:16" x14ac:dyDescent="0.2">
      <c r="L995" t="str">
        <f>IF([2]Entry!$C$998="","",[2]Entry!$C$998)</f>
        <v/>
      </c>
      <c r="M995" t="str">
        <f>IF([2]Entry!$J$998="","",[2]Entry!$J$998)</f>
        <v/>
      </c>
      <c r="N995" t="str">
        <f>IF([2]Entry!$M$998="","",[2]Entry!$M$998)</f>
        <v/>
      </c>
      <c r="O995" t="str">
        <f>IF([2]Entry!$N$998="","",[2]Entry!$N$998)</f>
        <v/>
      </c>
      <c r="P995" t="str">
        <f>IF([2]Entry!$S$998="","",[2]Entry!$S$998)</f>
        <v/>
      </c>
    </row>
    <row r="996" spans="12:16" x14ac:dyDescent="0.2">
      <c r="L996" t="str">
        <f>IF([2]Entry!$C$999="","",[2]Entry!$C$999)</f>
        <v/>
      </c>
      <c r="M996" t="str">
        <f>IF([2]Entry!$J$999="","",[2]Entry!$J$999)</f>
        <v/>
      </c>
      <c r="N996" t="str">
        <f>IF([2]Entry!$M$999="","",[2]Entry!$M$999)</f>
        <v/>
      </c>
      <c r="O996" t="str">
        <f>IF([2]Entry!$N$999="","",[2]Entry!$N$999)</f>
        <v/>
      </c>
      <c r="P996" t="str">
        <f>IF([2]Entry!$S$999="","",[2]Entry!$S$999)</f>
        <v/>
      </c>
    </row>
    <row r="997" spans="12:16" x14ac:dyDescent="0.2">
      <c r="L997" t="str">
        <f>IF([2]Entry!$C$1000="","",[2]Entry!$C$1000)</f>
        <v/>
      </c>
      <c r="M997" t="str">
        <f>IF([2]Entry!$J$1000="","",[2]Entry!$J$1000)</f>
        <v/>
      </c>
      <c r="N997" t="str">
        <f>IF([2]Entry!$M$1000="","",[2]Entry!$M$1000)</f>
        <v/>
      </c>
      <c r="O997" t="str">
        <f>IF([2]Entry!$N$1000="","",[2]Entry!$N$1000)</f>
        <v/>
      </c>
      <c r="P997" t="str">
        <f>IF([2]Entry!$S$1000="","",[2]Entry!$S$1000)</f>
        <v/>
      </c>
    </row>
    <row r="998" spans="12:16" x14ac:dyDescent="0.2">
      <c r="L998" t="str">
        <f>IF([2]Entry!$C$1001="","",[2]Entry!$C$1001)</f>
        <v/>
      </c>
      <c r="M998" t="str">
        <f>IF([2]Entry!$J$1001="","",[2]Entry!$J$1001)</f>
        <v/>
      </c>
      <c r="N998" t="str">
        <f>IF([2]Entry!$M$1001="","",[2]Entry!$M$1001)</f>
        <v/>
      </c>
      <c r="O998" t="str">
        <f>IF([2]Entry!$N$1001="","",[2]Entry!$N$1001)</f>
        <v/>
      </c>
      <c r="P998" t="str">
        <f>IF([2]Entry!$S$1001="","",[2]Entry!$S$1001)</f>
        <v/>
      </c>
    </row>
    <row r="999" spans="12:16" x14ac:dyDescent="0.2">
      <c r="L999" t="str">
        <f>IF([2]Entry!$C$1002="","",[2]Entry!$C$1002)</f>
        <v/>
      </c>
      <c r="M999" t="str">
        <f>IF([2]Entry!$J$1002="","",[2]Entry!$J$1002)</f>
        <v/>
      </c>
      <c r="N999" t="str">
        <f>IF([2]Entry!$M$1002="","",[2]Entry!$M$1002)</f>
        <v/>
      </c>
      <c r="O999" t="str">
        <f>IF([2]Entry!$N$1002="","",[2]Entry!$N$1002)</f>
        <v/>
      </c>
      <c r="P999" t="str">
        <f>IF([2]Entry!$S$1002="","",[2]Entry!$S$1002)</f>
        <v/>
      </c>
    </row>
    <row r="1000" spans="12:16" x14ac:dyDescent="0.2">
      <c r="L1000" t="str">
        <f>IF([2]Entry!$C$1003="","",[2]Entry!$C$1003)</f>
        <v/>
      </c>
      <c r="M1000" t="str">
        <f>IF([2]Entry!$J$1003="","",[2]Entry!$J$1003)</f>
        <v/>
      </c>
      <c r="N1000" t="str">
        <f>IF([2]Entry!$M$1003="","",[2]Entry!$M$1003)</f>
        <v/>
      </c>
      <c r="O1000" t="str">
        <f>IF([2]Entry!$N$1003="","",[2]Entry!$N$1003)</f>
        <v/>
      </c>
      <c r="P1000" t="str">
        <f>IF([2]Entry!$S$1003="","",[2]Entry!$S$1003)</f>
        <v/>
      </c>
    </row>
    <row r="1001" spans="12:16" x14ac:dyDescent="0.2">
      <c r="L1001" t="str">
        <f>IF([2]Entry!$C$1004="","",[2]Entry!$C$1004)</f>
        <v/>
      </c>
      <c r="M1001" t="str">
        <f>IF([2]Entry!$J$1004="","",[2]Entry!$J$1004)</f>
        <v/>
      </c>
      <c r="N1001" t="str">
        <f>IF([2]Entry!$M$1004="","",[2]Entry!$M$1004)</f>
        <v/>
      </c>
      <c r="O1001" t="str">
        <f>IF([2]Entry!$N$1004="","",[2]Entry!$N$1004)</f>
        <v/>
      </c>
      <c r="P1001" t="str">
        <f>IF([2]Entry!$S$1004="","",[2]Entry!$S$1004)</f>
        <v/>
      </c>
    </row>
    <row r="1002" spans="12:16" x14ac:dyDescent="0.2">
      <c r="L1002" t="str">
        <f>IF([2]Entry!$C$1005="","",[2]Entry!$C$1005)</f>
        <v/>
      </c>
      <c r="M1002" t="str">
        <f>IF([2]Entry!$J$1005="","",[2]Entry!$J$1005)</f>
        <v/>
      </c>
      <c r="N1002" t="str">
        <f>IF([2]Entry!$M$1005="","",[2]Entry!$M$1005)</f>
        <v/>
      </c>
      <c r="O1002" t="str">
        <f>IF([2]Entry!$N$1005="","",[2]Entry!$N$1005)</f>
        <v/>
      </c>
      <c r="P1002" t="str">
        <f>IF([2]Entry!$S$1005="","",[2]Entry!$S$1005)</f>
        <v/>
      </c>
    </row>
    <row r="1003" spans="12:16" x14ac:dyDescent="0.2">
      <c r="L1003" t="str">
        <f>IF([2]Entry!$C$1006="","",[2]Entry!$C$1006)</f>
        <v/>
      </c>
      <c r="M1003" t="str">
        <f>IF([2]Entry!$J$1006="","",[2]Entry!$J$1006)</f>
        <v/>
      </c>
      <c r="N1003" t="str">
        <f>IF([2]Entry!$M$1006="","",[2]Entry!$M$1006)</f>
        <v/>
      </c>
      <c r="O1003" t="str">
        <f>IF([2]Entry!$N$1006="","",[2]Entry!$N$1006)</f>
        <v/>
      </c>
      <c r="P1003" t="str">
        <f>IF([2]Entry!$S$1006="","",[2]Entry!$S$1006)</f>
        <v/>
      </c>
    </row>
    <row r="1004" spans="12:16" x14ac:dyDescent="0.2">
      <c r="L1004" t="str">
        <f>IF([2]Entry!$C$1007="","",[2]Entry!$C$1007)</f>
        <v/>
      </c>
      <c r="M1004" t="str">
        <f>IF([2]Entry!$J$1007="","",[2]Entry!$J$1007)</f>
        <v/>
      </c>
      <c r="N1004" t="str">
        <f>IF([2]Entry!$M$1007="","",[2]Entry!$M$1007)</f>
        <v/>
      </c>
      <c r="O1004" t="str">
        <f>IF([2]Entry!$N$1007="","",[2]Entry!$N$1007)</f>
        <v/>
      </c>
      <c r="P1004" t="str">
        <f>IF([2]Entry!$S$1007="","",[2]Entry!$S$1007)</f>
        <v/>
      </c>
    </row>
    <row r="1005" spans="12:16" x14ac:dyDescent="0.2">
      <c r="L1005" t="str">
        <f>IF([2]Entry!$C$1008="","",[2]Entry!$C$1008)</f>
        <v/>
      </c>
      <c r="M1005" t="str">
        <f>IF([2]Entry!$J$1008="","",[2]Entry!$J$1008)</f>
        <v/>
      </c>
      <c r="N1005" t="str">
        <f>IF([2]Entry!$M$1008="","",[2]Entry!$M$1008)</f>
        <v/>
      </c>
      <c r="O1005" t="str">
        <f>IF([2]Entry!$N$1008="","",[2]Entry!$N$1008)</f>
        <v/>
      </c>
      <c r="P1005" t="str">
        <f>IF([2]Entry!$S$1008="","",[2]Entry!$S$1008)</f>
        <v/>
      </c>
    </row>
    <row r="1006" spans="12:16" x14ac:dyDescent="0.2">
      <c r="L1006" t="str">
        <f>IF([2]Entry!$C$1009="","",[2]Entry!$C$1009)</f>
        <v/>
      </c>
      <c r="M1006" t="str">
        <f>IF([2]Entry!$J$1009="","",[2]Entry!$J$1009)</f>
        <v/>
      </c>
      <c r="N1006" t="str">
        <f>IF([2]Entry!$M$1009="","",[2]Entry!$M$1009)</f>
        <v/>
      </c>
      <c r="O1006" t="str">
        <f>IF([2]Entry!$N$1009="","",[2]Entry!$N$1009)</f>
        <v/>
      </c>
      <c r="P1006" t="str">
        <f>IF([2]Entry!$S$1009="","",[2]Entry!$S$1009)</f>
        <v/>
      </c>
    </row>
    <row r="1007" spans="12:16" x14ac:dyDescent="0.2">
      <c r="L1007" t="str">
        <f>IF([2]Entry!$C$1010="","",[2]Entry!$C$1010)</f>
        <v/>
      </c>
      <c r="M1007" t="str">
        <f>IF([2]Entry!$J$1010="","",[2]Entry!$J$1010)</f>
        <v/>
      </c>
      <c r="N1007" t="str">
        <f>IF([2]Entry!$M$1010="","",[2]Entry!$M$1010)</f>
        <v/>
      </c>
      <c r="O1007" t="str">
        <f>IF([2]Entry!$N$1010="","",[2]Entry!$N$1010)</f>
        <v/>
      </c>
      <c r="P1007" t="str">
        <f>IF([2]Entry!$S$1010="","",[2]Entry!$S$1010)</f>
        <v/>
      </c>
    </row>
    <row r="1008" spans="12:16" x14ac:dyDescent="0.2">
      <c r="L1008" t="str">
        <f>IF([2]Entry!$C$1011="","",[2]Entry!$C$1011)</f>
        <v/>
      </c>
      <c r="M1008" t="str">
        <f>IF([2]Entry!$J$1011="","",[2]Entry!$J$1011)</f>
        <v/>
      </c>
      <c r="N1008" t="str">
        <f>IF([2]Entry!$M$1011="","",[2]Entry!$M$1011)</f>
        <v/>
      </c>
      <c r="O1008" t="str">
        <f>IF([2]Entry!$N$1011="","",[2]Entry!$N$1011)</f>
        <v/>
      </c>
      <c r="P1008" t="str">
        <f>IF([2]Entry!$S$1011="","",[2]Entry!$S$1011)</f>
        <v/>
      </c>
    </row>
    <row r="1009" spans="12:16" x14ac:dyDescent="0.2">
      <c r="L1009" t="str">
        <f>IF([2]Entry!$C$1012="","",[2]Entry!$C$1012)</f>
        <v/>
      </c>
      <c r="M1009" t="str">
        <f>IF([2]Entry!$J$1012="","",[2]Entry!$J$1012)</f>
        <v/>
      </c>
      <c r="N1009" t="str">
        <f>IF([2]Entry!$M$1012="","",[2]Entry!$M$1012)</f>
        <v/>
      </c>
      <c r="O1009" t="str">
        <f>IF([2]Entry!$N$1012="","",[2]Entry!$N$1012)</f>
        <v/>
      </c>
      <c r="P1009" t="str">
        <f>IF([2]Entry!$S$1012="","",[2]Entry!$S$1012)</f>
        <v/>
      </c>
    </row>
    <row r="1010" spans="12:16" x14ac:dyDescent="0.2">
      <c r="L1010" t="str">
        <f>IF([2]Entry!$C$1013="","",[2]Entry!$C$1013)</f>
        <v/>
      </c>
      <c r="M1010" t="str">
        <f>IF([2]Entry!$J$1013="","",[2]Entry!$J$1013)</f>
        <v/>
      </c>
      <c r="N1010" t="str">
        <f>IF([2]Entry!$M$1013="","",[2]Entry!$M$1013)</f>
        <v/>
      </c>
      <c r="O1010" t="str">
        <f>IF([2]Entry!$N$1013="","",[2]Entry!$N$1013)</f>
        <v/>
      </c>
      <c r="P1010" t="str">
        <f>IF([2]Entry!$S$1013="","",[2]Entry!$S$1013)</f>
        <v/>
      </c>
    </row>
    <row r="1011" spans="12:16" x14ac:dyDescent="0.2">
      <c r="L1011" t="str">
        <f>IF([2]Entry!$C$1014="","",[2]Entry!$C$1014)</f>
        <v/>
      </c>
      <c r="M1011" t="str">
        <f>IF([2]Entry!$J$1014="","",[2]Entry!$J$1014)</f>
        <v/>
      </c>
      <c r="N1011" t="str">
        <f>IF([2]Entry!$M$1014="","",[2]Entry!$M$1014)</f>
        <v/>
      </c>
      <c r="O1011" t="str">
        <f>IF([2]Entry!$N$1014="","",[2]Entry!$N$1014)</f>
        <v/>
      </c>
      <c r="P1011" t="str">
        <f>IF([2]Entry!$S$1014="","",[2]Entry!$S$1014)</f>
        <v/>
      </c>
    </row>
    <row r="1012" spans="12:16" x14ac:dyDescent="0.2">
      <c r="L1012" t="str">
        <f>IF([2]Entry!$C$1015="","",[2]Entry!$C$1015)</f>
        <v/>
      </c>
      <c r="M1012" t="str">
        <f>IF([2]Entry!$J$1015="","",[2]Entry!$J$1015)</f>
        <v/>
      </c>
      <c r="N1012" t="str">
        <f>IF([2]Entry!$M$1015="","",[2]Entry!$M$1015)</f>
        <v/>
      </c>
      <c r="O1012" t="str">
        <f>IF([2]Entry!$N$1015="","",[2]Entry!$N$1015)</f>
        <v/>
      </c>
      <c r="P1012" t="str">
        <f>IF([2]Entry!$S$1015="","",[2]Entry!$S$1015)</f>
        <v/>
      </c>
    </row>
    <row r="1013" spans="12:16" x14ac:dyDescent="0.2">
      <c r="L1013" t="str">
        <f>IF([2]Entry!$C$1016="","",[2]Entry!$C$1016)</f>
        <v/>
      </c>
      <c r="M1013" t="str">
        <f>IF([2]Entry!$J$1016="","",[2]Entry!$J$1016)</f>
        <v/>
      </c>
      <c r="N1013" t="str">
        <f>IF([2]Entry!$M$1016="","",[2]Entry!$M$1016)</f>
        <v/>
      </c>
      <c r="O1013" t="str">
        <f>IF([2]Entry!$N$1016="","",[2]Entry!$N$1016)</f>
        <v/>
      </c>
      <c r="P1013" t="str">
        <f>IF([2]Entry!$S$1016="","",[2]Entry!$S$1016)</f>
        <v/>
      </c>
    </row>
    <row r="1014" spans="12:16" x14ac:dyDescent="0.2">
      <c r="L1014" t="str">
        <f>IF([2]Entry!$C$1017="","",[2]Entry!$C$1017)</f>
        <v/>
      </c>
      <c r="M1014" t="str">
        <f>IF([2]Entry!$J$1017="","",[2]Entry!$J$1017)</f>
        <v/>
      </c>
      <c r="N1014" t="str">
        <f>IF([2]Entry!$M$1017="","",[2]Entry!$M$1017)</f>
        <v/>
      </c>
      <c r="O1014" t="str">
        <f>IF([2]Entry!$N$1017="","",[2]Entry!$N$1017)</f>
        <v/>
      </c>
      <c r="P1014" t="str">
        <f>IF([2]Entry!$S$1017="","",[2]Entry!$S$1017)</f>
        <v/>
      </c>
    </row>
    <row r="1015" spans="12:16" x14ac:dyDescent="0.2">
      <c r="L1015" t="str">
        <f>IF([2]Entry!$C$1018="","",[2]Entry!$C$1018)</f>
        <v/>
      </c>
      <c r="M1015" t="str">
        <f>IF([2]Entry!$J$1018="","",[2]Entry!$J$1018)</f>
        <v/>
      </c>
      <c r="N1015" t="str">
        <f>IF([2]Entry!$M$1018="","",[2]Entry!$M$1018)</f>
        <v/>
      </c>
      <c r="O1015" t="str">
        <f>IF([2]Entry!$N$1018="","",[2]Entry!$N$1018)</f>
        <v/>
      </c>
      <c r="P1015" t="str">
        <f>IF([2]Entry!$S$1018="","",[2]Entry!$S$1018)</f>
        <v/>
      </c>
    </row>
    <row r="1016" spans="12:16" x14ac:dyDescent="0.2">
      <c r="L1016" t="str">
        <f>IF([2]Entry!$C$1019="","",[2]Entry!$C$1019)</f>
        <v/>
      </c>
      <c r="M1016" t="str">
        <f>IF([2]Entry!$J$1019="","",[2]Entry!$J$1019)</f>
        <v/>
      </c>
      <c r="N1016" t="str">
        <f>IF([2]Entry!$M$1019="","",[2]Entry!$M$1019)</f>
        <v/>
      </c>
      <c r="O1016" t="str">
        <f>IF([2]Entry!$N$1019="","",[2]Entry!$N$1019)</f>
        <v/>
      </c>
      <c r="P1016" t="str">
        <f>IF([2]Entry!$S$1019="","",[2]Entry!$S$1019)</f>
        <v/>
      </c>
    </row>
    <row r="1017" spans="12:16" x14ac:dyDescent="0.2">
      <c r="L1017" t="str">
        <f>IF([2]Entry!$C$1020="","",[2]Entry!$C$1020)</f>
        <v/>
      </c>
      <c r="M1017" t="str">
        <f>IF([2]Entry!$J$1020="","",[2]Entry!$J$1020)</f>
        <v/>
      </c>
      <c r="N1017" t="str">
        <f>IF([2]Entry!$M$1020="","",[2]Entry!$M$1020)</f>
        <v/>
      </c>
      <c r="O1017" t="str">
        <f>IF([2]Entry!$N$1020="","",[2]Entry!$N$1020)</f>
        <v/>
      </c>
      <c r="P1017" t="str">
        <f>IF([2]Entry!$S$1020="","",[2]Entry!$S$1020)</f>
        <v/>
      </c>
    </row>
    <row r="1018" spans="12:16" x14ac:dyDescent="0.2">
      <c r="L1018" t="str">
        <f>IF([2]Entry!$C$1021="","",[2]Entry!$C$1021)</f>
        <v/>
      </c>
      <c r="M1018" t="str">
        <f>IF([2]Entry!$J$1021="","",[2]Entry!$J$1021)</f>
        <v/>
      </c>
      <c r="N1018" t="str">
        <f>IF([2]Entry!$M$1021="","",[2]Entry!$M$1021)</f>
        <v/>
      </c>
      <c r="O1018" t="str">
        <f>IF([2]Entry!$N$1021="","",[2]Entry!$N$1021)</f>
        <v/>
      </c>
      <c r="P1018" t="str">
        <f>IF([2]Entry!$S$1021="","",[2]Entry!$S$1021)</f>
        <v/>
      </c>
    </row>
    <row r="1019" spans="12:16" x14ac:dyDescent="0.2">
      <c r="L1019" t="str">
        <f>IF([2]Entry!$C$1022="","",[2]Entry!$C$1022)</f>
        <v/>
      </c>
      <c r="M1019" t="str">
        <f>IF([2]Entry!$J$1022="","",[2]Entry!$J$1022)</f>
        <v/>
      </c>
      <c r="N1019" t="str">
        <f>IF([2]Entry!$M$1022="","",[2]Entry!$M$1022)</f>
        <v/>
      </c>
      <c r="O1019" t="str">
        <f>IF([2]Entry!$N$1022="","",[2]Entry!$N$1022)</f>
        <v/>
      </c>
      <c r="P1019" t="str">
        <f>IF([2]Entry!$S$1022="","",[2]Entry!$S$1022)</f>
        <v/>
      </c>
    </row>
    <row r="1020" spans="12:16" x14ac:dyDescent="0.2">
      <c r="L1020" t="str">
        <f>IF([2]Entry!$C$1023="","",[2]Entry!$C$1023)</f>
        <v/>
      </c>
      <c r="M1020" t="str">
        <f>IF([2]Entry!$J$1023="","",[2]Entry!$J$1023)</f>
        <v/>
      </c>
      <c r="N1020" t="str">
        <f>IF([2]Entry!$M$1023="","",[2]Entry!$M$1023)</f>
        <v/>
      </c>
      <c r="O1020" t="str">
        <f>IF([2]Entry!$N$1023="","",[2]Entry!$N$1023)</f>
        <v/>
      </c>
      <c r="P1020" t="str">
        <f>IF([2]Entry!$S$1023="","",[2]Entry!$S$1023)</f>
        <v/>
      </c>
    </row>
    <row r="1021" spans="12:16" x14ac:dyDescent="0.2">
      <c r="L1021" t="str">
        <f>IF([2]Entry!$C$1024="","",[2]Entry!$C$1024)</f>
        <v/>
      </c>
      <c r="M1021" t="str">
        <f>IF([2]Entry!$J$1024="","",[2]Entry!$J$1024)</f>
        <v/>
      </c>
      <c r="N1021" t="str">
        <f>IF([2]Entry!$M$1024="","",[2]Entry!$M$1024)</f>
        <v/>
      </c>
      <c r="O1021" t="str">
        <f>IF([2]Entry!$N$1024="","",[2]Entry!$N$1024)</f>
        <v/>
      </c>
      <c r="P1021" t="str">
        <f>IF([2]Entry!$S$1024="","",[2]Entry!$S$1024)</f>
        <v/>
      </c>
    </row>
    <row r="1022" spans="12:16" x14ac:dyDescent="0.2">
      <c r="L1022" t="str">
        <f>IF([2]Entry!$C$1025="","",[2]Entry!$C$1025)</f>
        <v/>
      </c>
      <c r="M1022" t="str">
        <f>IF([2]Entry!$J$1025="","",[2]Entry!$J$1025)</f>
        <v/>
      </c>
      <c r="N1022" t="str">
        <f>IF([2]Entry!$M$1025="","",[2]Entry!$M$1025)</f>
        <v/>
      </c>
      <c r="O1022" t="str">
        <f>IF([2]Entry!$N$1025="","",[2]Entry!$N$1025)</f>
        <v/>
      </c>
      <c r="P1022" t="str">
        <f>IF([2]Entry!$S$1025="","",[2]Entry!$S$1025)</f>
        <v/>
      </c>
    </row>
    <row r="1023" spans="12:16" x14ac:dyDescent="0.2">
      <c r="L1023" t="str">
        <f>IF([2]Entry!$C$1026="","",[2]Entry!$C$1026)</f>
        <v/>
      </c>
      <c r="M1023" t="str">
        <f>IF([2]Entry!$J$1026="","",[2]Entry!$J$1026)</f>
        <v/>
      </c>
      <c r="N1023" t="str">
        <f>IF([2]Entry!$M$1026="","",[2]Entry!$M$1026)</f>
        <v/>
      </c>
      <c r="O1023" t="str">
        <f>IF([2]Entry!$N$1026="","",[2]Entry!$N$1026)</f>
        <v/>
      </c>
      <c r="P1023" t="str">
        <f>IF([2]Entry!$S$1026="","",[2]Entry!$S$1026)</f>
        <v/>
      </c>
    </row>
    <row r="1024" spans="12:16" x14ac:dyDescent="0.2">
      <c r="L1024" t="str">
        <f>IF([2]Entry!$C$1027="","",[2]Entry!$C$1027)</f>
        <v/>
      </c>
      <c r="M1024" t="str">
        <f>IF([2]Entry!$J$1027="","",[2]Entry!$J$1027)</f>
        <v/>
      </c>
      <c r="N1024" t="str">
        <f>IF([2]Entry!$M$1027="","",[2]Entry!$M$1027)</f>
        <v/>
      </c>
      <c r="O1024" t="str">
        <f>IF([2]Entry!$N$1027="","",[2]Entry!$N$1027)</f>
        <v/>
      </c>
      <c r="P1024" t="str">
        <f>IF([2]Entry!$S$1027="","",[2]Entry!$S$1027)</f>
        <v/>
      </c>
    </row>
    <row r="1025" spans="12:16" x14ac:dyDescent="0.2">
      <c r="L1025" t="str">
        <f>IF([2]Entry!$C$1028="","",[2]Entry!$C$1028)</f>
        <v/>
      </c>
      <c r="M1025" t="str">
        <f>IF([2]Entry!$J$1028="","",[2]Entry!$J$1028)</f>
        <v/>
      </c>
      <c r="N1025" t="str">
        <f>IF([2]Entry!$M$1028="","",[2]Entry!$M$1028)</f>
        <v/>
      </c>
      <c r="O1025" t="str">
        <f>IF([2]Entry!$N$1028="","",[2]Entry!$N$1028)</f>
        <v/>
      </c>
      <c r="P1025" t="str">
        <f>IF([2]Entry!$S$1028="","",[2]Entry!$S$1028)</f>
        <v/>
      </c>
    </row>
    <row r="1026" spans="12:16" x14ac:dyDescent="0.2">
      <c r="L1026" t="str">
        <f>IF([2]Entry!$C$1029="","",[2]Entry!$C$1029)</f>
        <v/>
      </c>
      <c r="M1026" t="str">
        <f>IF([2]Entry!$J$1029="","",[2]Entry!$J$1029)</f>
        <v/>
      </c>
      <c r="N1026" t="str">
        <f>IF([2]Entry!$M$1029="","",[2]Entry!$M$1029)</f>
        <v/>
      </c>
      <c r="O1026" t="str">
        <f>IF([2]Entry!$N$1029="","",[2]Entry!$N$1029)</f>
        <v/>
      </c>
      <c r="P1026" t="str">
        <f>IF([2]Entry!$S$1029="","",[2]Entry!$S$1029)</f>
        <v/>
      </c>
    </row>
    <row r="1027" spans="12:16" x14ac:dyDescent="0.2">
      <c r="L1027" t="str">
        <f>IF([2]Entry!$C$1030="","",[2]Entry!$C$1030)</f>
        <v/>
      </c>
      <c r="M1027" t="str">
        <f>IF([2]Entry!$J$1030="","",[2]Entry!$J$1030)</f>
        <v/>
      </c>
      <c r="N1027" t="str">
        <f>IF([2]Entry!$M$1030="","",[2]Entry!$M$1030)</f>
        <v/>
      </c>
      <c r="O1027" t="str">
        <f>IF([2]Entry!$N$1030="","",[2]Entry!$N$1030)</f>
        <v/>
      </c>
      <c r="P1027" t="str">
        <f>IF([2]Entry!$S$1030="","",[2]Entry!$S$1030)</f>
        <v/>
      </c>
    </row>
    <row r="1028" spans="12:16" x14ac:dyDescent="0.2">
      <c r="L1028" t="str">
        <f>IF([2]Entry!$C$1031="","",[2]Entry!$C$1031)</f>
        <v/>
      </c>
      <c r="M1028" t="str">
        <f>IF([2]Entry!$J$1031="","",[2]Entry!$J$1031)</f>
        <v/>
      </c>
      <c r="N1028" t="str">
        <f>IF([2]Entry!$M$1031="","",[2]Entry!$M$1031)</f>
        <v/>
      </c>
      <c r="O1028" t="str">
        <f>IF([2]Entry!$N$1031="","",[2]Entry!$N$1031)</f>
        <v/>
      </c>
      <c r="P1028" t="str">
        <f>IF([2]Entry!$S$1031="","",[2]Entry!$S$1031)</f>
        <v/>
      </c>
    </row>
    <row r="1029" spans="12:16" x14ac:dyDescent="0.2">
      <c r="L1029" t="str">
        <f>IF([2]Entry!$C$1032="","",[2]Entry!$C$1032)</f>
        <v/>
      </c>
      <c r="M1029" t="str">
        <f>IF([2]Entry!$J$1032="","",[2]Entry!$J$1032)</f>
        <v/>
      </c>
      <c r="N1029" t="str">
        <f>IF([2]Entry!$M$1032="","",[2]Entry!$M$1032)</f>
        <v/>
      </c>
      <c r="O1029" t="str">
        <f>IF([2]Entry!$N$1032="","",[2]Entry!$N$1032)</f>
        <v/>
      </c>
      <c r="P1029" t="str">
        <f>IF([2]Entry!$S$1032="","",[2]Entry!$S$1032)</f>
        <v/>
      </c>
    </row>
    <row r="1030" spans="12:16" x14ac:dyDescent="0.2">
      <c r="L1030" t="str">
        <f>IF([2]Entry!$C$1033="","",[2]Entry!$C$1033)</f>
        <v/>
      </c>
      <c r="M1030" t="str">
        <f>IF([2]Entry!$J$1033="","",[2]Entry!$J$1033)</f>
        <v/>
      </c>
      <c r="N1030" t="str">
        <f>IF([2]Entry!$M$1033="","",[2]Entry!$M$1033)</f>
        <v/>
      </c>
      <c r="O1030" t="str">
        <f>IF([2]Entry!$N$1033="","",[2]Entry!$N$1033)</f>
        <v/>
      </c>
      <c r="P1030" t="str">
        <f>IF([2]Entry!$S$1033="","",[2]Entry!$S$1033)</f>
        <v/>
      </c>
    </row>
    <row r="1031" spans="12:16" x14ac:dyDescent="0.2">
      <c r="L1031" t="str">
        <f>IF([2]Entry!$C$1034="","",[2]Entry!$C$1034)</f>
        <v/>
      </c>
      <c r="M1031" t="str">
        <f>IF([2]Entry!$J$1034="","",[2]Entry!$J$1034)</f>
        <v/>
      </c>
      <c r="N1031" t="str">
        <f>IF([2]Entry!$M$1034="","",[2]Entry!$M$1034)</f>
        <v/>
      </c>
      <c r="O1031" t="str">
        <f>IF([2]Entry!$N$1034="","",[2]Entry!$N$1034)</f>
        <v/>
      </c>
      <c r="P1031" t="str">
        <f>IF([2]Entry!$S$1034="","",[2]Entry!$S$1034)</f>
        <v/>
      </c>
    </row>
    <row r="1032" spans="12:16" x14ac:dyDescent="0.2">
      <c r="L1032" t="str">
        <f>IF([2]Entry!$C$1035="","",[2]Entry!$C$1035)</f>
        <v/>
      </c>
      <c r="M1032" t="str">
        <f>IF([2]Entry!$J$1035="","",[2]Entry!$J$1035)</f>
        <v/>
      </c>
      <c r="N1032" t="str">
        <f>IF([2]Entry!$M$1035="","",[2]Entry!$M$1035)</f>
        <v/>
      </c>
      <c r="O1032" t="str">
        <f>IF([2]Entry!$N$1035="","",[2]Entry!$N$1035)</f>
        <v/>
      </c>
      <c r="P1032" t="str">
        <f>IF([2]Entry!$S$1035="","",[2]Entry!$S$1035)</f>
        <v/>
      </c>
    </row>
    <row r="1033" spans="12:16" x14ac:dyDescent="0.2">
      <c r="L1033" t="str">
        <f>IF([2]Entry!$C$1036="","",[2]Entry!$C$1036)</f>
        <v/>
      </c>
      <c r="M1033" t="str">
        <f>IF([2]Entry!$J$1036="","",[2]Entry!$J$1036)</f>
        <v/>
      </c>
      <c r="N1033" t="str">
        <f>IF([2]Entry!$M$1036="","",[2]Entry!$M$1036)</f>
        <v/>
      </c>
      <c r="O1033" t="str">
        <f>IF([2]Entry!$N$1036="","",[2]Entry!$N$1036)</f>
        <v/>
      </c>
      <c r="P1033" t="str">
        <f>IF([2]Entry!$S$1036="","",[2]Entry!$S$1036)</f>
        <v/>
      </c>
    </row>
    <row r="1034" spans="12:16" x14ac:dyDescent="0.2">
      <c r="L1034" t="str">
        <f>IF([2]Entry!$C$1037="","",[2]Entry!$C$1037)</f>
        <v/>
      </c>
      <c r="M1034" t="str">
        <f>IF([2]Entry!$J$1037="","",[2]Entry!$J$1037)</f>
        <v/>
      </c>
      <c r="N1034" t="str">
        <f>IF([2]Entry!$M$1037="","",[2]Entry!$M$1037)</f>
        <v/>
      </c>
      <c r="O1034" t="str">
        <f>IF([2]Entry!$N$1037="","",[2]Entry!$N$1037)</f>
        <v/>
      </c>
      <c r="P1034" t="str">
        <f>IF([2]Entry!$S$1037="","",[2]Entry!$S$1037)</f>
        <v/>
      </c>
    </row>
    <row r="1035" spans="12:16" x14ac:dyDescent="0.2">
      <c r="L1035" t="str">
        <f>IF([2]Entry!$C$1038="","",[2]Entry!$C$1038)</f>
        <v/>
      </c>
      <c r="M1035" t="str">
        <f>IF([2]Entry!$J$1038="","",[2]Entry!$J$1038)</f>
        <v/>
      </c>
      <c r="N1035" t="str">
        <f>IF([2]Entry!$M$1038="","",[2]Entry!$M$1038)</f>
        <v/>
      </c>
      <c r="O1035" t="str">
        <f>IF([2]Entry!$N$1038="","",[2]Entry!$N$1038)</f>
        <v/>
      </c>
      <c r="P1035" t="str">
        <f>IF([2]Entry!$S$1038="","",[2]Entry!$S$1038)</f>
        <v/>
      </c>
    </row>
    <row r="1036" spans="12:16" x14ac:dyDescent="0.2">
      <c r="L1036" t="str">
        <f>IF([2]Entry!$C$1039="","",[2]Entry!$C$1039)</f>
        <v/>
      </c>
      <c r="M1036" t="str">
        <f>IF([2]Entry!$J$1039="","",[2]Entry!$J$1039)</f>
        <v/>
      </c>
      <c r="N1036" t="str">
        <f>IF([2]Entry!$M$1039="","",[2]Entry!$M$1039)</f>
        <v/>
      </c>
      <c r="O1036" t="str">
        <f>IF([2]Entry!$N$1039="","",[2]Entry!$N$1039)</f>
        <v/>
      </c>
      <c r="P1036" t="str">
        <f>IF([2]Entry!$S$1039="","",[2]Entry!$S$1039)</f>
        <v/>
      </c>
    </row>
    <row r="1037" spans="12:16" x14ac:dyDescent="0.2">
      <c r="L1037" t="str">
        <f>IF([2]Entry!$C$1040="","",[2]Entry!$C$1040)</f>
        <v/>
      </c>
      <c r="M1037" t="str">
        <f>IF([2]Entry!$J$1040="","",[2]Entry!$J$1040)</f>
        <v/>
      </c>
      <c r="N1037" t="str">
        <f>IF([2]Entry!$M$1040="","",[2]Entry!$M$1040)</f>
        <v/>
      </c>
      <c r="O1037" t="str">
        <f>IF([2]Entry!$N$1040="","",[2]Entry!$N$1040)</f>
        <v/>
      </c>
      <c r="P1037" t="str">
        <f>IF([2]Entry!$S$1040="","",[2]Entry!$S$1040)</f>
        <v/>
      </c>
    </row>
    <row r="1038" spans="12:16" x14ac:dyDescent="0.2">
      <c r="L1038" t="str">
        <f>IF([2]Entry!$C$1041="","",[2]Entry!$C$1041)</f>
        <v/>
      </c>
      <c r="M1038" t="str">
        <f>IF([2]Entry!$J$1041="","",[2]Entry!$J$1041)</f>
        <v/>
      </c>
      <c r="N1038" t="str">
        <f>IF([2]Entry!$M$1041="","",[2]Entry!$M$1041)</f>
        <v/>
      </c>
      <c r="O1038" t="str">
        <f>IF([2]Entry!$N$1041="","",[2]Entry!$N$1041)</f>
        <v/>
      </c>
      <c r="P1038" t="str">
        <f>IF([2]Entry!$S$1041="","",[2]Entry!$S$1041)</f>
        <v/>
      </c>
    </row>
    <row r="1039" spans="12:16" x14ac:dyDescent="0.2">
      <c r="L1039" t="str">
        <f>IF([2]Entry!$C$1042="","",[2]Entry!$C$1042)</f>
        <v/>
      </c>
      <c r="M1039" t="str">
        <f>IF([2]Entry!$J$1042="","",[2]Entry!$J$1042)</f>
        <v/>
      </c>
      <c r="N1039" t="str">
        <f>IF([2]Entry!$M$1042="","",[2]Entry!$M$1042)</f>
        <v/>
      </c>
      <c r="O1039" t="str">
        <f>IF([2]Entry!$N$1042="","",[2]Entry!$N$1042)</f>
        <v/>
      </c>
      <c r="P1039" t="str">
        <f>IF([2]Entry!$S$1042="","",[2]Entry!$S$1042)</f>
        <v/>
      </c>
    </row>
    <row r="1040" spans="12:16" x14ac:dyDescent="0.2">
      <c r="L1040" t="str">
        <f>IF([2]Entry!$C$1043="","",[2]Entry!$C$1043)</f>
        <v/>
      </c>
      <c r="M1040" t="str">
        <f>IF([2]Entry!$J$1043="","",[2]Entry!$J$1043)</f>
        <v/>
      </c>
      <c r="N1040" t="str">
        <f>IF([2]Entry!$M$1043="","",[2]Entry!$M$1043)</f>
        <v/>
      </c>
      <c r="O1040" t="str">
        <f>IF([2]Entry!$N$1043="","",[2]Entry!$N$1043)</f>
        <v/>
      </c>
      <c r="P1040" t="str">
        <f>IF([2]Entry!$S$1043="","",[2]Entry!$S$1043)</f>
        <v/>
      </c>
    </row>
    <row r="1041" spans="12:16" x14ac:dyDescent="0.2">
      <c r="L1041" t="str">
        <f>IF([2]Entry!$C$1044="","",[2]Entry!$C$1044)</f>
        <v/>
      </c>
      <c r="M1041" t="str">
        <f>IF([2]Entry!$J$1044="","",[2]Entry!$J$1044)</f>
        <v/>
      </c>
      <c r="N1041" t="str">
        <f>IF([2]Entry!$M$1044="","",[2]Entry!$M$1044)</f>
        <v/>
      </c>
      <c r="O1041" t="str">
        <f>IF([2]Entry!$N$1044="","",[2]Entry!$N$1044)</f>
        <v/>
      </c>
      <c r="P1041" t="str">
        <f>IF([2]Entry!$S$1044="","",[2]Entry!$S$1044)</f>
        <v/>
      </c>
    </row>
    <row r="1042" spans="12:16" x14ac:dyDescent="0.2">
      <c r="L1042" t="str">
        <f>IF([2]Entry!$C$1045="","",[2]Entry!$C$1045)</f>
        <v/>
      </c>
      <c r="M1042" t="str">
        <f>IF([2]Entry!$J$1045="","",[2]Entry!$J$1045)</f>
        <v/>
      </c>
      <c r="N1042" t="str">
        <f>IF([2]Entry!$M$1045="","",[2]Entry!$M$1045)</f>
        <v/>
      </c>
      <c r="O1042" t="str">
        <f>IF([2]Entry!$N$1045="","",[2]Entry!$N$1045)</f>
        <v/>
      </c>
      <c r="P1042" t="str">
        <f>IF([2]Entry!$S$1045="","",[2]Entry!$S$1045)</f>
        <v/>
      </c>
    </row>
    <row r="1043" spans="12:16" x14ac:dyDescent="0.2">
      <c r="L1043" t="str">
        <f>IF([2]Entry!$C$1046="","",[2]Entry!$C$1046)</f>
        <v/>
      </c>
      <c r="M1043" t="str">
        <f>IF([2]Entry!$J$1046="","",[2]Entry!$J$1046)</f>
        <v/>
      </c>
      <c r="N1043" t="str">
        <f>IF([2]Entry!$M$1046="","",[2]Entry!$M$1046)</f>
        <v/>
      </c>
      <c r="O1043" t="str">
        <f>IF([2]Entry!$N$1046="","",[2]Entry!$N$1046)</f>
        <v/>
      </c>
      <c r="P1043" t="str">
        <f>IF([2]Entry!$S$1046="","",[2]Entry!$S$1046)</f>
        <v/>
      </c>
    </row>
    <row r="1044" spans="12:16" x14ac:dyDescent="0.2">
      <c r="L1044" t="str">
        <f>IF([2]Entry!$C$1047="","",[2]Entry!$C$1047)</f>
        <v/>
      </c>
      <c r="M1044" t="str">
        <f>IF([2]Entry!$J$1047="","",[2]Entry!$J$1047)</f>
        <v/>
      </c>
      <c r="N1044" t="str">
        <f>IF([2]Entry!$M$1047="","",[2]Entry!$M$1047)</f>
        <v/>
      </c>
      <c r="O1044" t="str">
        <f>IF([2]Entry!$N$1047="","",[2]Entry!$N$1047)</f>
        <v/>
      </c>
      <c r="P1044" t="str">
        <f>IF([2]Entry!$S$1047="","",[2]Entry!$S$1047)</f>
        <v/>
      </c>
    </row>
    <row r="1045" spans="12:16" x14ac:dyDescent="0.2">
      <c r="L1045" t="str">
        <f>IF([2]Entry!$C$1048="","",[2]Entry!$C$1048)</f>
        <v/>
      </c>
      <c r="M1045" t="str">
        <f>IF([2]Entry!$J$1048="","",[2]Entry!$J$1048)</f>
        <v/>
      </c>
      <c r="N1045" t="str">
        <f>IF([2]Entry!$M$1048="","",[2]Entry!$M$1048)</f>
        <v/>
      </c>
      <c r="O1045" t="str">
        <f>IF([2]Entry!$N$1048="","",[2]Entry!$N$1048)</f>
        <v/>
      </c>
      <c r="P1045" t="str">
        <f>IF([2]Entry!$S$1048="","",[2]Entry!$S$1048)</f>
        <v/>
      </c>
    </row>
    <row r="1046" spans="12:16" x14ac:dyDescent="0.2">
      <c r="L1046" t="str">
        <f>IF([2]Entry!$C$1049="","",[2]Entry!$C$1049)</f>
        <v/>
      </c>
      <c r="M1046" t="str">
        <f>IF([2]Entry!$J$1049="","",[2]Entry!$J$1049)</f>
        <v/>
      </c>
      <c r="N1046" t="str">
        <f>IF([2]Entry!$M$1049="","",[2]Entry!$M$1049)</f>
        <v/>
      </c>
      <c r="O1046" t="str">
        <f>IF([2]Entry!$N$1049="","",[2]Entry!$N$1049)</f>
        <v/>
      </c>
      <c r="P1046" t="str">
        <f>IF([2]Entry!$S$1049="","",[2]Entry!$S$1049)</f>
        <v/>
      </c>
    </row>
    <row r="1047" spans="12:16" x14ac:dyDescent="0.2">
      <c r="L1047" t="str">
        <f>IF([2]Entry!$C$1050="","",[2]Entry!$C$1050)</f>
        <v/>
      </c>
      <c r="M1047" t="str">
        <f>IF([2]Entry!$J$1050="","",[2]Entry!$J$1050)</f>
        <v/>
      </c>
      <c r="N1047" t="str">
        <f>IF([2]Entry!$M$1050="","",[2]Entry!$M$1050)</f>
        <v/>
      </c>
      <c r="O1047" t="str">
        <f>IF([2]Entry!$N$1050="","",[2]Entry!$N$1050)</f>
        <v/>
      </c>
      <c r="P1047" t="str">
        <f>IF([2]Entry!$S$1050="","",[2]Entry!$S$1050)</f>
        <v/>
      </c>
    </row>
    <row r="1048" spans="12:16" x14ac:dyDescent="0.2">
      <c r="L1048" t="str">
        <f>IF([2]Entry!$C$1051="","",[2]Entry!$C$1051)</f>
        <v/>
      </c>
      <c r="M1048" t="str">
        <f>IF([2]Entry!$J$1051="","",[2]Entry!$J$1051)</f>
        <v/>
      </c>
      <c r="N1048" t="str">
        <f>IF([2]Entry!$M$1051="","",[2]Entry!$M$1051)</f>
        <v/>
      </c>
      <c r="O1048" t="str">
        <f>IF([2]Entry!$N$1051="","",[2]Entry!$N$1051)</f>
        <v/>
      </c>
      <c r="P1048" t="str">
        <f>IF([2]Entry!$S$1051="","",[2]Entry!$S$1051)</f>
        <v/>
      </c>
    </row>
    <row r="1049" spans="12:16" x14ac:dyDescent="0.2">
      <c r="L1049" t="str">
        <f>IF([2]Entry!$C$1052="","",[2]Entry!$C$1052)</f>
        <v/>
      </c>
      <c r="M1049" t="str">
        <f>IF([2]Entry!$J$1052="","",[2]Entry!$J$1052)</f>
        <v/>
      </c>
      <c r="N1049" t="str">
        <f>IF([2]Entry!$M$1052="","",[2]Entry!$M$1052)</f>
        <v/>
      </c>
      <c r="O1049" t="str">
        <f>IF([2]Entry!$N$1052="","",[2]Entry!$N$1052)</f>
        <v/>
      </c>
      <c r="P1049" t="str">
        <f>IF([2]Entry!$S$1052="","",[2]Entry!$S$1052)</f>
        <v/>
      </c>
    </row>
    <row r="1050" spans="12:16" x14ac:dyDescent="0.2">
      <c r="L1050" t="str">
        <f>IF([2]Entry!$C$1053="","",[2]Entry!$C$1053)</f>
        <v/>
      </c>
      <c r="M1050" t="str">
        <f>IF([2]Entry!$J$1053="","",[2]Entry!$J$1053)</f>
        <v/>
      </c>
      <c r="N1050" t="str">
        <f>IF([2]Entry!$M$1053="","",[2]Entry!$M$1053)</f>
        <v/>
      </c>
      <c r="O1050" t="str">
        <f>IF([2]Entry!$N$1053="","",[2]Entry!$N$1053)</f>
        <v/>
      </c>
      <c r="P1050" t="str">
        <f>IF([2]Entry!$S$1053="","",[2]Entry!$S$1053)</f>
        <v/>
      </c>
    </row>
    <row r="1051" spans="12:16" x14ac:dyDescent="0.2">
      <c r="L1051" t="str">
        <f>IF([2]Entry!$C$1054="","",[2]Entry!$C$1054)</f>
        <v/>
      </c>
      <c r="M1051" t="str">
        <f>IF([2]Entry!$J$1054="","",[2]Entry!$J$1054)</f>
        <v/>
      </c>
      <c r="N1051" t="str">
        <f>IF([2]Entry!$M$1054="","",[2]Entry!$M$1054)</f>
        <v/>
      </c>
      <c r="O1051" t="str">
        <f>IF([2]Entry!$N$1054="","",[2]Entry!$N$1054)</f>
        <v/>
      </c>
      <c r="P1051" t="str">
        <f>IF([2]Entry!$S$1054="","",[2]Entry!$S$1054)</f>
        <v/>
      </c>
    </row>
    <row r="1052" spans="12:16" x14ac:dyDescent="0.2">
      <c r="L1052" t="str">
        <f>IF([2]Entry!$C$1055="","",[2]Entry!$C$1055)</f>
        <v/>
      </c>
      <c r="M1052" t="str">
        <f>IF([2]Entry!$J$1055="","",[2]Entry!$J$1055)</f>
        <v/>
      </c>
      <c r="N1052" t="str">
        <f>IF([2]Entry!$M$1055="","",[2]Entry!$M$1055)</f>
        <v/>
      </c>
      <c r="O1052" t="str">
        <f>IF([2]Entry!$N$1055="","",[2]Entry!$N$1055)</f>
        <v/>
      </c>
      <c r="P1052" t="str">
        <f>IF([2]Entry!$S$1055="","",[2]Entry!$S$1055)</f>
        <v/>
      </c>
    </row>
    <row r="1053" spans="12:16" x14ac:dyDescent="0.2">
      <c r="L1053" t="str">
        <f>IF([2]Entry!$C$1056="","",[2]Entry!$C$1056)</f>
        <v/>
      </c>
      <c r="M1053" t="str">
        <f>IF([2]Entry!$J$1056="","",[2]Entry!$J$1056)</f>
        <v/>
      </c>
      <c r="N1053" t="str">
        <f>IF([2]Entry!$M$1056="","",[2]Entry!$M$1056)</f>
        <v/>
      </c>
      <c r="O1053" t="str">
        <f>IF([2]Entry!$N$1056="","",[2]Entry!$N$1056)</f>
        <v/>
      </c>
      <c r="P1053" t="str">
        <f>IF([2]Entry!$S$1056="","",[2]Entry!$S$1056)</f>
        <v/>
      </c>
    </row>
    <row r="1054" spans="12:16" x14ac:dyDescent="0.2">
      <c r="L1054" t="str">
        <f>IF([2]Entry!$C$1057="","",[2]Entry!$C$1057)</f>
        <v/>
      </c>
      <c r="M1054" t="str">
        <f>IF([2]Entry!$J$1057="","",[2]Entry!$J$1057)</f>
        <v/>
      </c>
      <c r="N1054" t="str">
        <f>IF([2]Entry!$M$1057="","",[2]Entry!$M$1057)</f>
        <v/>
      </c>
      <c r="O1054" t="str">
        <f>IF([2]Entry!$N$1057="","",[2]Entry!$N$1057)</f>
        <v/>
      </c>
      <c r="P1054" t="str">
        <f>IF([2]Entry!$S$1057="","",[2]Entry!$S$1057)</f>
        <v/>
      </c>
    </row>
    <row r="1055" spans="12:16" x14ac:dyDescent="0.2">
      <c r="L1055" t="str">
        <f>IF([2]Entry!$C$1058="","",[2]Entry!$C$1058)</f>
        <v/>
      </c>
      <c r="M1055" t="str">
        <f>IF([2]Entry!$J$1058="","",[2]Entry!$J$1058)</f>
        <v/>
      </c>
      <c r="N1055" t="str">
        <f>IF([2]Entry!$M$1058="","",[2]Entry!$M$1058)</f>
        <v/>
      </c>
      <c r="O1055" t="str">
        <f>IF([2]Entry!$N$1058="","",[2]Entry!$N$1058)</f>
        <v/>
      </c>
      <c r="P1055" t="str">
        <f>IF([2]Entry!$S$1058="","",[2]Entry!$S$1058)</f>
        <v/>
      </c>
    </row>
    <row r="1056" spans="12:16" x14ac:dyDescent="0.2">
      <c r="L1056" t="str">
        <f>IF([2]Entry!$C$1059="","",[2]Entry!$C$1059)</f>
        <v/>
      </c>
      <c r="M1056" t="str">
        <f>IF([2]Entry!$J$1059="","",[2]Entry!$J$1059)</f>
        <v/>
      </c>
      <c r="N1056" t="str">
        <f>IF([2]Entry!$M$1059="","",[2]Entry!$M$1059)</f>
        <v/>
      </c>
      <c r="O1056" t="str">
        <f>IF([2]Entry!$N$1059="","",[2]Entry!$N$1059)</f>
        <v/>
      </c>
      <c r="P1056" t="str">
        <f>IF([2]Entry!$S$1059="","",[2]Entry!$S$1059)</f>
        <v/>
      </c>
    </row>
    <row r="1057" spans="12:16" x14ac:dyDescent="0.2">
      <c r="L1057" t="str">
        <f>IF([2]Entry!$C$1060="","",[2]Entry!$C$1060)</f>
        <v/>
      </c>
      <c r="M1057" t="str">
        <f>IF([2]Entry!$J$1060="","",[2]Entry!$J$1060)</f>
        <v/>
      </c>
      <c r="N1057" t="str">
        <f>IF([2]Entry!$M$1060="","",[2]Entry!$M$1060)</f>
        <v/>
      </c>
      <c r="O1057" t="str">
        <f>IF([2]Entry!$N$1060="","",[2]Entry!$N$1060)</f>
        <v/>
      </c>
      <c r="P1057" t="str">
        <f>IF([2]Entry!$S$1060="","",[2]Entry!$S$1060)</f>
        <v/>
      </c>
    </row>
    <row r="1058" spans="12:16" x14ac:dyDescent="0.2">
      <c r="L1058" t="str">
        <f>IF([2]Entry!$C$1061="","",[2]Entry!$C$1061)</f>
        <v/>
      </c>
      <c r="M1058" t="str">
        <f>IF([2]Entry!$J$1061="","",[2]Entry!$J$1061)</f>
        <v/>
      </c>
      <c r="N1058" t="str">
        <f>IF([2]Entry!$M$1061="","",[2]Entry!$M$1061)</f>
        <v/>
      </c>
      <c r="O1058" t="str">
        <f>IF([2]Entry!$N$1061="","",[2]Entry!$N$1061)</f>
        <v/>
      </c>
      <c r="P1058" t="str">
        <f>IF([2]Entry!$S$1061="","",[2]Entry!$S$1061)</f>
        <v/>
      </c>
    </row>
    <row r="1059" spans="12:16" x14ac:dyDescent="0.2">
      <c r="L1059" t="str">
        <f>IF([2]Entry!$C$1062="","",[2]Entry!$C$1062)</f>
        <v/>
      </c>
      <c r="M1059" t="str">
        <f>IF([2]Entry!$J$1062="","",[2]Entry!$J$1062)</f>
        <v/>
      </c>
      <c r="N1059" t="str">
        <f>IF([2]Entry!$M$1062="","",[2]Entry!$M$1062)</f>
        <v/>
      </c>
      <c r="O1059" t="str">
        <f>IF([2]Entry!$N$1062="","",[2]Entry!$N$1062)</f>
        <v/>
      </c>
      <c r="P1059" t="str">
        <f>IF([2]Entry!$S$1062="","",[2]Entry!$S$1062)</f>
        <v/>
      </c>
    </row>
    <row r="1060" spans="12:16" x14ac:dyDescent="0.2">
      <c r="L1060" t="str">
        <f>IF([2]Entry!$C$1063="","",[2]Entry!$C$1063)</f>
        <v/>
      </c>
      <c r="M1060" t="str">
        <f>IF([2]Entry!$J$1063="","",[2]Entry!$J$1063)</f>
        <v/>
      </c>
      <c r="N1060" t="str">
        <f>IF([2]Entry!$M$1063="","",[2]Entry!$M$1063)</f>
        <v/>
      </c>
      <c r="O1060" t="str">
        <f>IF([2]Entry!$N$1063="","",[2]Entry!$N$1063)</f>
        <v/>
      </c>
      <c r="P1060" t="str">
        <f>IF([2]Entry!$S$1063="","",[2]Entry!$S$1063)</f>
        <v/>
      </c>
    </row>
    <row r="1061" spans="12:16" x14ac:dyDescent="0.2">
      <c r="L1061" t="str">
        <f>IF([2]Entry!$C$1064="","",[2]Entry!$C$1064)</f>
        <v/>
      </c>
      <c r="M1061" t="str">
        <f>IF([2]Entry!$J$1064="","",[2]Entry!$J$1064)</f>
        <v/>
      </c>
      <c r="N1061" t="str">
        <f>IF([2]Entry!$M$1064="","",[2]Entry!$M$1064)</f>
        <v/>
      </c>
      <c r="O1061" t="str">
        <f>IF([2]Entry!$N$1064="","",[2]Entry!$N$1064)</f>
        <v/>
      </c>
      <c r="P1061" t="str">
        <f>IF([2]Entry!$S$1064="","",[2]Entry!$S$1064)</f>
        <v/>
      </c>
    </row>
    <row r="1062" spans="12:16" x14ac:dyDescent="0.2">
      <c r="L1062" t="str">
        <f>IF([2]Entry!$C$1065="","",[2]Entry!$C$1065)</f>
        <v/>
      </c>
      <c r="M1062" t="str">
        <f>IF([2]Entry!$J$1065="","",[2]Entry!$J$1065)</f>
        <v/>
      </c>
      <c r="N1062" t="str">
        <f>IF([2]Entry!$M$1065="","",[2]Entry!$M$1065)</f>
        <v/>
      </c>
      <c r="O1062" t="str">
        <f>IF([2]Entry!$N$1065="","",[2]Entry!$N$1065)</f>
        <v/>
      </c>
      <c r="P1062" t="str">
        <f>IF([2]Entry!$S$1065="","",[2]Entry!$S$1065)</f>
        <v/>
      </c>
    </row>
    <row r="1063" spans="12:16" x14ac:dyDescent="0.2">
      <c r="L1063" t="str">
        <f>IF([2]Entry!$C$1066="","",[2]Entry!$C$1066)</f>
        <v/>
      </c>
      <c r="M1063" t="str">
        <f>IF([2]Entry!$J$1066="","",[2]Entry!$J$1066)</f>
        <v/>
      </c>
      <c r="N1063" t="str">
        <f>IF([2]Entry!$M$1066="","",[2]Entry!$M$1066)</f>
        <v/>
      </c>
      <c r="O1063" t="str">
        <f>IF([2]Entry!$N$1066="","",[2]Entry!$N$1066)</f>
        <v/>
      </c>
      <c r="P1063" t="str">
        <f>IF([2]Entry!$S$1066="","",[2]Entry!$S$1066)</f>
        <v/>
      </c>
    </row>
    <row r="1064" spans="12:16" x14ac:dyDescent="0.2">
      <c r="L1064" t="str">
        <f>IF([2]Entry!$C$1067="","",[2]Entry!$C$1067)</f>
        <v/>
      </c>
      <c r="M1064" t="str">
        <f>IF([2]Entry!$J$1067="","",[2]Entry!$J$1067)</f>
        <v/>
      </c>
      <c r="N1064" t="str">
        <f>IF([2]Entry!$M$1067="","",[2]Entry!$M$1067)</f>
        <v/>
      </c>
      <c r="O1064" t="str">
        <f>IF([2]Entry!$N$1067="","",[2]Entry!$N$1067)</f>
        <v/>
      </c>
      <c r="P1064" t="str">
        <f>IF([2]Entry!$S$1067="","",[2]Entry!$S$1067)</f>
        <v/>
      </c>
    </row>
    <row r="1065" spans="12:16" x14ac:dyDescent="0.2">
      <c r="L1065" t="str">
        <f>IF([2]Entry!$C$1068="","",[2]Entry!$C$1068)</f>
        <v/>
      </c>
      <c r="M1065" t="str">
        <f>IF([2]Entry!$J$1068="","",[2]Entry!$J$1068)</f>
        <v/>
      </c>
      <c r="N1065" t="str">
        <f>IF([2]Entry!$M$1068="","",[2]Entry!$M$1068)</f>
        <v/>
      </c>
      <c r="O1065" t="str">
        <f>IF([2]Entry!$N$1068="","",[2]Entry!$N$1068)</f>
        <v/>
      </c>
      <c r="P1065" t="str">
        <f>IF([2]Entry!$S$1068="","",[2]Entry!$S$1068)</f>
        <v/>
      </c>
    </row>
    <row r="1066" spans="12:16" x14ac:dyDescent="0.2">
      <c r="L1066" t="str">
        <f>IF([2]Entry!$C$1069="","",[2]Entry!$C$1069)</f>
        <v/>
      </c>
      <c r="M1066" t="str">
        <f>IF([2]Entry!$J$1069="","",[2]Entry!$J$1069)</f>
        <v/>
      </c>
      <c r="N1066" t="str">
        <f>IF([2]Entry!$M$1069="","",[2]Entry!$M$1069)</f>
        <v/>
      </c>
      <c r="O1066" t="str">
        <f>IF([2]Entry!$N$1069="","",[2]Entry!$N$1069)</f>
        <v/>
      </c>
      <c r="P1066" t="str">
        <f>IF([2]Entry!$S$1069="","",[2]Entry!$S$1069)</f>
        <v/>
      </c>
    </row>
    <row r="1067" spans="12:16" x14ac:dyDescent="0.2">
      <c r="L1067" t="str">
        <f>IF([2]Entry!$C$1070="","",[2]Entry!$C$1070)</f>
        <v/>
      </c>
      <c r="M1067" t="str">
        <f>IF([2]Entry!$J$1070="","",[2]Entry!$J$1070)</f>
        <v/>
      </c>
      <c r="N1067" t="str">
        <f>IF([2]Entry!$M$1070="","",[2]Entry!$M$1070)</f>
        <v/>
      </c>
      <c r="O1067" t="str">
        <f>IF([2]Entry!$N$1070="","",[2]Entry!$N$1070)</f>
        <v/>
      </c>
      <c r="P1067" t="str">
        <f>IF([2]Entry!$S$1070="","",[2]Entry!$S$1070)</f>
        <v/>
      </c>
    </row>
    <row r="1068" spans="12:16" x14ac:dyDescent="0.2">
      <c r="L1068" t="str">
        <f>IF([2]Entry!$C$1071="","",[2]Entry!$C$1071)</f>
        <v/>
      </c>
      <c r="M1068" t="str">
        <f>IF([2]Entry!$J$1071="","",[2]Entry!$J$1071)</f>
        <v/>
      </c>
      <c r="N1068" t="str">
        <f>IF([2]Entry!$M$1071="","",[2]Entry!$M$1071)</f>
        <v/>
      </c>
      <c r="O1068" t="str">
        <f>IF([2]Entry!$N$1071="","",[2]Entry!$N$1071)</f>
        <v/>
      </c>
      <c r="P1068" t="str">
        <f>IF([2]Entry!$S$1071="","",[2]Entry!$S$1071)</f>
        <v/>
      </c>
    </row>
    <row r="1069" spans="12:16" x14ac:dyDescent="0.2">
      <c r="L1069" t="str">
        <f>IF([2]Entry!$C$1072="","",[2]Entry!$C$1072)</f>
        <v/>
      </c>
      <c r="M1069" t="str">
        <f>IF([2]Entry!$J$1072="","",[2]Entry!$J$1072)</f>
        <v/>
      </c>
      <c r="N1069" t="str">
        <f>IF([2]Entry!$M$1072="","",[2]Entry!$M$1072)</f>
        <v/>
      </c>
      <c r="O1069" t="str">
        <f>IF([2]Entry!$N$1072="","",[2]Entry!$N$1072)</f>
        <v/>
      </c>
      <c r="P1069" t="str">
        <f>IF([2]Entry!$S$1072="","",[2]Entry!$S$1072)</f>
        <v/>
      </c>
    </row>
    <row r="1070" spans="12:16" x14ac:dyDescent="0.2">
      <c r="L1070" t="str">
        <f>IF([2]Entry!$C$1073="","",[2]Entry!$C$1073)</f>
        <v/>
      </c>
      <c r="M1070" t="str">
        <f>IF([2]Entry!$J$1073="","",[2]Entry!$J$1073)</f>
        <v/>
      </c>
      <c r="N1070" t="str">
        <f>IF([2]Entry!$M$1073="","",[2]Entry!$M$1073)</f>
        <v/>
      </c>
      <c r="O1070" t="str">
        <f>IF([2]Entry!$N$1073="","",[2]Entry!$N$1073)</f>
        <v/>
      </c>
      <c r="P1070" t="str">
        <f>IF([2]Entry!$S$1073="","",[2]Entry!$S$1073)</f>
        <v/>
      </c>
    </row>
    <row r="1071" spans="12:16" x14ac:dyDescent="0.2">
      <c r="L1071" t="str">
        <f>IF([2]Entry!$C$1074="","",[2]Entry!$C$1074)</f>
        <v/>
      </c>
      <c r="M1071" t="str">
        <f>IF([2]Entry!$J$1074="","",[2]Entry!$J$1074)</f>
        <v/>
      </c>
      <c r="N1071" t="str">
        <f>IF([2]Entry!$M$1074="","",[2]Entry!$M$1074)</f>
        <v/>
      </c>
      <c r="O1071" t="str">
        <f>IF([2]Entry!$N$1074="","",[2]Entry!$N$1074)</f>
        <v/>
      </c>
      <c r="P1071" t="str">
        <f>IF([2]Entry!$S$1074="","",[2]Entry!$S$1074)</f>
        <v/>
      </c>
    </row>
    <row r="1072" spans="12:16" x14ac:dyDescent="0.2">
      <c r="L1072" t="str">
        <f>IF([2]Entry!$C$1075="","",[2]Entry!$C$1075)</f>
        <v/>
      </c>
      <c r="M1072" t="str">
        <f>IF([2]Entry!$J$1075="","",[2]Entry!$J$1075)</f>
        <v/>
      </c>
      <c r="N1072" t="str">
        <f>IF([2]Entry!$M$1075="","",[2]Entry!$M$1075)</f>
        <v/>
      </c>
      <c r="O1072" t="str">
        <f>IF([2]Entry!$N$1075="","",[2]Entry!$N$1075)</f>
        <v/>
      </c>
      <c r="P1072" t="str">
        <f>IF([2]Entry!$S$1075="","",[2]Entry!$S$1075)</f>
        <v/>
      </c>
    </row>
    <row r="1073" spans="12:16" x14ac:dyDescent="0.2">
      <c r="L1073" t="str">
        <f>IF([2]Entry!$C$1076="","",[2]Entry!$C$1076)</f>
        <v/>
      </c>
      <c r="M1073" t="str">
        <f>IF([2]Entry!$J$1076="","",[2]Entry!$J$1076)</f>
        <v/>
      </c>
      <c r="N1073" t="str">
        <f>IF([2]Entry!$M$1076="","",[2]Entry!$M$1076)</f>
        <v/>
      </c>
      <c r="O1073" t="str">
        <f>IF([2]Entry!$N$1076="","",[2]Entry!$N$1076)</f>
        <v/>
      </c>
      <c r="P1073" t="str">
        <f>IF([2]Entry!$S$1076="","",[2]Entry!$S$1076)</f>
        <v/>
      </c>
    </row>
    <row r="1074" spans="12:16" x14ac:dyDescent="0.2">
      <c r="L1074" t="str">
        <f>IF([2]Entry!$C$1077="","",[2]Entry!$C$1077)</f>
        <v/>
      </c>
      <c r="M1074" t="str">
        <f>IF([2]Entry!$J$1077="","",[2]Entry!$J$1077)</f>
        <v/>
      </c>
      <c r="N1074" t="str">
        <f>IF([2]Entry!$M$1077="","",[2]Entry!$M$1077)</f>
        <v/>
      </c>
      <c r="O1074" t="str">
        <f>IF([2]Entry!$N$1077="","",[2]Entry!$N$1077)</f>
        <v/>
      </c>
      <c r="P1074" t="str">
        <f>IF([2]Entry!$S$1077="","",[2]Entry!$S$1077)</f>
        <v/>
      </c>
    </row>
    <row r="1075" spans="12:16" x14ac:dyDescent="0.2">
      <c r="L1075" t="str">
        <f>IF([2]Entry!$C$1078="","",[2]Entry!$C$1078)</f>
        <v/>
      </c>
      <c r="M1075" t="str">
        <f>IF([2]Entry!$J$1078="","",[2]Entry!$J$1078)</f>
        <v/>
      </c>
      <c r="N1075" t="str">
        <f>IF([2]Entry!$M$1078="","",[2]Entry!$M$1078)</f>
        <v/>
      </c>
      <c r="O1075" t="str">
        <f>IF([2]Entry!$N$1078="","",[2]Entry!$N$1078)</f>
        <v/>
      </c>
      <c r="P1075" t="str">
        <f>IF([2]Entry!$S$1078="","",[2]Entry!$S$1078)</f>
        <v/>
      </c>
    </row>
    <row r="1076" spans="12:16" x14ac:dyDescent="0.2">
      <c r="L1076" t="str">
        <f>IF([2]Entry!$C$1079="","",[2]Entry!$C$1079)</f>
        <v/>
      </c>
      <c r="M1076" t="str">
        <f>IF([2]Entry!$J$1079="","",[2]Entry!$J$1079)</f>
        <v/>
      </c>
      <c r="N1076" t="str">
        <f>IF([2]Entry!$M$1079="","",[2]Entry!$M$1079)</f>
        <v/>
      </c>
      <c r="O1076" t="str">
        <f>IF([2]Entry!$N$1079="","",[2]Entry!$N$1079)</f>
        <v/>
      </c>
      <c r="P1076" t="str">
        <f>IF([2]Entry!$S$1079="","",[2]Entry!$S$1079)</f>
        <v/>
      </c>
    </row>
    <row r="1077" spans="12:16" x14ac:dyDescent="0.2">
      <c r="L1077" t="str">
        <f>IF([2]Entry!$C$1080="","",[2]Entry!$C$1080)</f>
        <v/>
      </c>
      <c r="M1077" t="str">
        <f>IF([2]Entry!$J$1080="","",[2]Entry!$J$1080)</f>
        <v/>
      </c>
      <c r="N1077" t="str">
        <f>IF([2]Entry!$M$1080="","",[2]Entry!$M$1080)</f>
        <v/>
      </c>
      <c r="O1077" t="str">
        <f>IF([2]Entry!$N$1080="","",[2]Entry!$N$1080)</f>
        <v/>
      </c>
      <c r="P1077" t="str">
        <f>IF([2]Entry!$S$1080="","",[2]Entry!$S$1080)</f>
        <v/>
      </c>
    </row>
    <row r="1078" spans="12:16" x14ac:dyDescent="0.2">
      <c r="L1078" t="str">
        <f>IF([2]Entry!$C$1081="","",[2]Entry!$C$1081)</f>
        <v/>
      </c>
      <c r="M1078" t="str">
        <f>IF([2]Entry!$J$1081="","",[2]Entry!$J$1081)</f>
        <v/>
      </c>
      <c r="N1078" t="str">
        <f>IF([2]Entry!$M$1081="","",[2]Entry!$M$1081)</f>
        <v/>
      </c>
      <c r="O1078" t="str">
        <f>IF([2]Entry!$N$1081="","",[2]Entry!$N$1081)</f>
        <v/>
      </c>
      <c r="P1078" t="str">
        <f>IF([2]Entry!$S$1081="","",[2]Entry!$S$1081)</f>
        <v/>
      </c>
    </row>
    <row r="1079" spans="12:16" x14ac:dyDescent="0.2">
      <c r="L1079" t="str">
        <f>IF([2]Entry!$C$1082="","",[2]Entry!$C$1082)</f>
        <v/>
      </c>
      <c r="M1079" t="str">
        <f>IF([2]Entry!$J$1082="","",[2]Entry!$J$1082)</f>
        <v/>
      </c>
      <c r="N1079" t="str">
        <f>IF([2]Entry!$M$1082="","",[2]Entry!$M$1082)</f>
        <v/>
      </c>
      <c r="O1079" t="str">
        <f>IF([2]Entry!$N$1082="","",[2]Entry!$N$1082)</f>
        <v/>
      </c>
      <c r="P1079" t="str">
        <f>IF([2]Entry!$S$1082="","",[2]Entry!$S$1082)</f>
        <v/>
      </c>
    </row>
    <row r="1080" spans="12:16" x14ac:dyDescent="0.2">
      <c r="L1080" t="str">
        <f>IF([2]Entry!$C$1083="","",[2]Entry!$C$1083)</f>
        <v/>
      </c>
      <c r="M1080" t="str">
        <f>IF([2]Entry!$J$1083="","",[2]Entry!$J$1083)</f>
        <v/>
      </c>
      <c r="N1080" t="str">
        <f>IF([2]Entry!$M$1083="","",[2]Entry!$M$1083)</f>
        <v/>
      </c>
      <c r="O1080" t="str">
        <f>IF([2]Entry!$N$1083="","",[2]Entry!$N$1083)</f>
        <v/>
      </c>
      <c r="P1080" t="str">
        <f>IF([2]Entry!$S$1083="","",[2]Entry!$S$1083)</f>
        <v/>
      </c>
    </row>
    <row r="1081" spans="12:16" x14ac:dyDescent="0.2">
      <c r="L1081" t="str">
        <f>IF([2]Entry!$C$1084="","",[2]Entry!$C$1084)</f>
        <v/>
      </c>
      <c r="M1081" t="str">
        <f>IF([2]Entry!$J$1084="","",[2]Entry!$J$1084)</f>
        <v/>
      </c>
      <c r="N1081" t="str">
        <f>IF([2]Entry!$M$1084="","",[2]Entry!$M$1084)</f>
        <v/>
      </c>
      <c r="O1081" t="str">
        <f>IF([2]Entry!$N$1084="","",[2]Entry!$N$1084)</f>
        <v/>
      </c>
      <c r="P1081" t="str">
        <f>IF([2]Entry!$S$1084="","",[2]Entry!$S$1084)</f>
        <v/>
      </c>
    </row>
    <row r="1082" spans="12:16" x14ac:dyDescent="0.2">
      <c r="L1082" t="str">
        <f>IF([2]Entry!$C$1085="","",[2]Entry!$C$1085)</f>
        <v/>
      </c>
      <c r="M1082" t="str">
        <f>IF([2]Entry!$J$1085="","",[2]Entry!$J$1085)</f>
        <v/>
      </c>
      <c r="N1082" t="str">
        <f>IF([2]Entry!$M$1085="","",[2]Entry!$M$1085)</f>
        <v/>
      </c>
      <c r="O1082" t="str">
        <f>IF([2]Entry!$N$1085="","",[2]Entry!$N$1085)</f>
        <v/>
      </c>
      <c r="P1082" t="str">
        <f>IF([2]Entry!$S$1085="","",[2]Entry!$S$1085)</f>
        <v/>
      </c>
    </row>
    <row r="1083" spans="12:16" x14ac:dyDescent="0.2">
      <c r="L1083" t="str">
        <f>IF([2]Entry!$C$1086="","",[2]Entry!$C$1086)</f>
        <v/>
      </c>
      <c r="M1083" t="str">
        <f>IF([2]Entry!$J$1086="","",[2]Entry!$J$1086)</f>
        <v/>
      </c>
      <c r="N1083" t="str">
        <f>IF([2]Entry!$M$1086="","",[2]Entry!$M$1086)</f>
        <v/>
      </c>
      <c r="O1083" t="str">
        <f>IF([2]Entry!$N$1086="","",[2]Entry!$N$1086)</f>
        <v/>
      </c>
      <c r="P1083" t="str">
        <f>IF([2]Entry!$S$1086="","",[2]Entry!$S$1086)</f>
        <v/>
      </c>
    </row>
    <row r="1084" spans="12:16" x14ac:dyDescent="0.2">
      <c r="L1084" t="str">
        <f>IF([2]Entry!$C$1087="","",[2]Entry!$C$1087)</f>
        <v/>
      </c>
      <c r="M1084" t="str">
        <f>IF([2]Entry!$J$1087="","",[2]Entry!$J$1087)</f>
        <v/>
      </c>
      <c r="N1084" t="str">
        <f>IF([2]Entry!$M$1087="","",[2]Entry!$M$1087)</f>
        <v/>
      </c>
      <c r="O1084" t="str">
        <f>IF([2]Entry!$N$1087="","",[2]Entry!$N$1087)</f>
        <v/>
      </c>
      <c r="P1084" t="str">
        <f>IF([2]Entry!$S$1087="","",[2]Entry!$S$1087)</f>
        <v/>
      </c>
    </row>
    <row r="1085" spans="12:16" x14ac:dyDescent="0.2">
      <c r="L1085" t="str">
        <f>IF([2]Entry!$C$1088="","",[2]Entry!$C$1088)</f>
        <v/>
      </c>
      <c r="M1085" t="str">
        <f>IF([2]Entry!$J$1088="","",[2]Entry!$J$1088)</f>
        <v/>
      </c>
      <c r="N1085" t="str">
        <f>IF([2]Entry!$M$1088="","",[2]Entry!$M$1088)</f>
        <v/>
      </c>
      <c r="O1085" t="str">
        <f>IF([2]Entry!$N$1088="","",[2]Entry!$N$1088)</f>
        <v/>
      </c>
      <c r="P1085" t="str">
        <f>IF([2]Entry!$S$1088="","",[2]Entry!$S$1088)</f>
        <v/>
      </c>
    </row>
    <row r="1086" spans="12:16" x14ac:dyDescent="0.2">
      <c r="L1086" t="str">
        <f>IF([2]Entry!$C$1089="","",[2]Entry!$C$1089)</f>
        <v/>
      </c>
      <c r="M1086" t="str">
        <f>IF([2]Entry!$J$1089="","",[2]Entry!$J$1089)</f>
        <v/>
      </c>
      <c r="N1086" t="str">
        <f>IF([2]Entry!$M$1089="","",[2]Entry!$M$1089)</f>
        <v/>
      </c>
      <c r="O1086" t="str">
        <f>IF([2]Entry!$N$1089="","",[2]Entry!$N$1089)</f>
        <v/>
      </c>
      <c r="P1086" t="str">
        <f>IF([2]Entry!$S$1089="","",[2]Entry!$S$1089)</f>
        <v/>
      </c>
    </row>
    <row r="1087" spans="12:16" x14ac:dyDescent="0.2">
      <c r="L1087" t="str">
        <f>IF([2]Entry!$C$1090="","",[2]Entry!$C$1090)</f>
        <v/>
      </c>
      <c r="M1087" t="str">
        <f>IF([2]Entry!$J$1090="","",[2]Entry!$J$1090)</f>
        <v/>
      </c>
      <c r="N1087" t="str">
        <f>IF([2]Entry!$M$1090="","",[2]Entry!$M$1090)</f>
        <v/>
      </c>
      <c r="O1087" t="str">
        <f>IF([2]Entry!$N$1090="","",[2]Entry!$N$1090)</f>
        <v/>
      </c>
      <c r="P1087" t="str">
        <f>IF([2]Entry!$S$1090="","",[2]Entry!$S$1090)</f>
        <v/>
      </c>
    </row>
    <row r="1088" spans="12:16" x14ac:dyDescent="0.2">
      <c r="L1088" t="str">
        <f>IF([2]Entry!$C$1091="","",[2]Entry!$C$1091)</f>
        <v/>
      </c>
      <c r="M1088" t="str">
        <f>IF([2]Entry!$J$1091="","",[2]Entry!$J$1091)</f>
        <v/>
      </c>
      <c r="N1088" t="str">
        <f>IF([2]Entry!$M$1091="","",[2]Entry!$M$1091)</f>
        <v/>
      </c>
      <c r="O1088" t="str">
        <f>IF([2]Entry!$N$1091="","",[2]Entry!$N$1091)</f>
        <v/>
      </c>
      <c r="P1088" t="str">
        <f>IF([2]Entry!$S$1091="","",[2]Entry!$S$1091)</f>
        <v/>
      </c>
    </row>
    <row r="1089" spans="12:16" x14ac:dyDescent="0.2">
      <c r="L1089" t="str">
        <f>IF([2]Entry!$C$1092="","",[2]Entry!$C$1092)</f>
        <v/>
      </c>
      <c r="M1089" t="str">
        <f>IF([2]Entry!$J$1092="","",[2]Entry!$J$1092)</f>
        <v/>
      </c>
      <c r="N1089" t="str">
        <f>IF([2]Entry!$M$1092="","",[2]Entry!$M$1092)</f>
        <v/>
      </c>
      <c r="O1089" t="str">
        <f>IF([2]Entry!$N$1092="","",[2]Entry!$N$1092)</f>
        <v/>
      </c>
      <c r="P1089" t="str">
        <f>IF([2]Entry!$S$1092="","",[2]Entry!$S$1092)</f>
        <v/>
      </c>
    </row>
    <row r="1090" spans="12:16" x14ac:dyDescent="0.2">
      <c r="L1090" t="str">
        <f>IF([2]Entry!$C$1093="","",[2]Entry!$C$1093)</f>
        <v/>
      </c>
      <c r="M1090" t="str">
        <f>IF([2]Entry!$J$1093="","",[2]Entry!$J$1093)</f>
        <v/>
      </c>
      <c r="N1090" t="str">
        <f>IF([2]Entry!$M$1093="","",[2]Entry!$M$1093)</f>
        <v/>
      </c>
      <c r="O1090" t="str">
        <f>IF([2]Entry!$N$1093="","",[2]Entry!$N$1093)</f>
        <v/>
      </c>
      <c r="P1090" t="str">
        <f>IF([2]Entry!$S$1093="","",[2]Entry!$S$1093)</f>
        <v/>
      </c>
    </row>
    <row r="1091" spans="12:16" x14ac:dyDescent="0.2">
      <c r="L1091" t="str">
        <f>IF([2]Entry!$C$1094="","",[2]Entry!$C$1094)</f>
        <v/>
      </c>
      <c r="M1091" t="str">
        <f>IF([2]Entry!$J$1094="","",[2]Entry!$J$1094)</f>
        <v/>
      </c>
      <c r="N1091" t="str">
        <f>IF([2]Entry!$M$1094="","",[2]Entry!$M$1094)</f>
        <v/>
      </c>
      <c r="O1091" t="str">
        <f>IF([2]Entry!$N$1094="","",[2]Entry!$N$1094)</f>
        <v/>
      </c>
      <c r="P1091" t="str">
        <f>IF([2]Entry!$S$1094="","",[2]Entry!$S$1094)</f>
        <v/>
      </c>
    </row>
    <row r="1092" spans="12:16" x14ac:dyDescent="0.2">
      <c r="L1092" t="str">
        <f>IF([2]Entry!$C$1095="","",[2]Entry!$C$1095)</f>
        <v/>
      </c>
      <c r="M1092" t="str">
        <f>IF([2]Entry!$J$1095="","",[2]Entry!$J$1095)</f>
        <v/>
      </c>
      <c r="N1092" t="str">
        <f>IF([2]Entry!$M$1095="","",[2]Entry!$M$1095)</f>
        <v/>
      </c>
      <c r="O1092" t="str">
        <f>IF([2]Entry!$N$1095="","",[2]Entry!$N$1095)</f>
        <v/>
      </c>
      <c r="P1092" t="str">
        <f>IF([2]Entry!$S$1095="","",[2]Entry!$S$1095)</f>
        <v/>
      </c>
    </row>
    <row r="1093" spans="12:16" x14ac:dyDescent="0.2">
      <c r="L1093" t="str">
        <f>IF([2]Entry!$C$1096="","",[2]Entry!$C$1096)</f>
        <v/>
      </c>
      <c r="M1093" t="str">
        <f>IF([2]Entry!$J$1096="","",[2]Entry!$J$1096)</f>
        <v/>
      </c>
      <c r="N1093" t="str">
        <f>IF([2]Entry!$M$1096="","",[2]Entry!$M$1096)</f>
        <v/>
      </c>
      <c r="O1093" t="str">
        <f>IF([2]Entry!$N$1096="","",[2]Entry!$N$1096)</f>
        <v/>
      </c>
      <c r="P1093" t="str">
        <f>IF([2]Entry!$S$1096="","",[2]Entry!$S$1096)</f>
        <v/>
      </c>
    </row>
    <row r="1094" spans="12:16" x14ac:dyDescent="0.2">
      <c r="L1094" t="str">
        <f>IF([2]Entry!$C$1097="","",[2]Entry!$C$1097)</f>
        <v/>
      </c>
      <c r="M1094" t="str">
        <f>IF([2]Entry!$J$1097="","",[2]Entry!$J$1097)</f>
        <v/>
      </c>
      <c r="N1094" t="str">
        <f>IF([2]Entry!$M$1097="","",[2]Entry!$M$1097)</f>
        <v/>
      </c>
      <c r="O1094" t="str">
        <f>IF([2]Entry!$N$1097="","",[2]Entry!$N$1097)</f>
        <v/>
      </c>
      <c r="P1094" t="str">
        <f>IF([2]Entry!$S$1097="","",[2]Entry!$S$1097)</f>
        <v/>
      </c>
    </row>
    <row r="1095" spans="12:16" x14ac:dyDescent="0.2">
      <c r="L1095" t="str">
        <f>IF([2]Entry!$C$1098="","",[2]Entry!$C$1098)</f>
        <v/>
      </c>
      <c r="M1095" t="str">
        <f>IF([2]Entry!$J$1098="","",[2]Entry!$J$1098)</f>
        <v/>
      </c>
      <c r="N1095" t="str">
        <f>IF([2]Entry!$M$1098="","",[2]Entry!$M$1098)</f>
        <v/>
      </c>
      <c r="O1095" t="str">
        <f>IF([2]Entry!$N$1098="","",[2]Entry!$N$1098)</f>
        <v/>
      </c>
      <c r="P1095" t="str">
        <f>IF([2]Entry!$S$1098="","",[2]Entry!$S$1098)</f>
        <v/>
      </c>
    </row>
    <row r="1096" spans="12:16" x14ac:dyDescent="0.2">
      <c r="L1096" t="str">
        <f>IF([2]Entry!$C$1099="","",[2]Entry!$C$1099)</f>
        <v/>
      </c>
      <c r="M1096" t="str">
        <f>IF([2]Entry!$J$1099="","",[2]Entry!$J$1099)</f>
        <v/>
      </c>
      <c r="N1096" t="str">
        <f>IF([2]Entry!$M$1099="","",[2]Entry!$M$1099)</f>
        <v/>
      </c>
      <c r="O1096" t="str">
        <f>IF([2]Entry!$N$1099="","",[2]Entry!$N$1099)</f>
        <v/>
      </c>
      <c r="P1096" t="str">
        <f>IF([2]Entry!$S$1099="","",[2]Entry!$S$1099)</f>
        <v/>
      </c>
    </row>
    <row r="1097" spans="12:16" x14ac:dyDescent="0.2">
      <c r="L1097" t="str">
        <f>IF([2]Entry!$C$1100="","",[2]Entry!$C$1100)</f>
        <v/>
      </c>
      <c r="M1097" t="str">
        <f>IF([2]Entry!$J$1100="","",[2]Entry!$J$1100)</f>
        <v/>
      </c>
      <c r="N1097" t="str">
        <f>IF([2]Entry!$M$1100="","",[2]Entry!$M$1100)</f>
        <v/>
      </c>
      <c r="O1097" t="str">
        <f>IF([2]Entry!$N$1100="","",[2]Entry!$N$1100)</f>
        <v/>
      </c>
      <c r="P1097" t="str">
        <f>IF([2]Entry!$S$1100="","",[2]Entry!$S$1100)</f>
        <v/>
      </c>
    </row>
    <row r="1098" spans="12:16" x14ac:dyDescent="0.2">
      <c r="L1098" t="str">
        <f>IF([2]Entry!$C$1101="","",[2]Entry!$C$1101)</f>
        <v/>
      </c>
      <c r="M1098" t="str">
        <f>IF([2]Entry!$J$1101="","",[2]Entry!$J$1101)</f>
        <v/>
      </c>
      <c r="N1098" t="str">
        <f>IF([2]Entry!$M$1101="","",[2]Entry!$M$1101)</f>
        <v/>
      </c>
      <c r="O1098" t="str">
        <f>IF([2]Entry!$N$1101="","",[2]Entry!$N$1101)</f>
        <v/>
      </c>
      <c r="P1098" t="str">
        <f>IF([2]Entry!$S$1101="","",[2]Entry!$S$1101)</f>
        <v/>
      </c>
    </row>
    <row r="1099" spans="12:16" x14ac:dyDescent="0.2">
      <c r="L1099" t="str">
        <f>IF([2]Entry!$C$1102="","",[2]Entry!$C$1102)</f>
        <v/>
      </c>
      <c r="M1099" t="str">
        <f>IF([2]Entry!$J$1102="","",[2]Entry!$J$1102)</f>
        <v/>
      </c>
      <c r="N1099" t="str">
        <f>IF([2]Entry!$M$1102="","",[2]Entry!$M$1102)</f>
        <v/>
      </c>
      <c r="O1099" t="str">
        <f>IF([2]Entry!$N$1102="","",[2]Entry!$N$1102)</f>
        <v/>
      </c>
      <c r="P1099" t="str">
        <f>IF([2]Entry!$S$1102="","",[2]Entry!$S$1102)</f>
        <v/>
      </c>
    </row>
    <row r="1100" spans="12:16" x14ac:dyDescent="0.2">
      <c r="L1100" t="str">
        <f>IF([2]Entry!$C$1103="","",[2]Entry!$C$1103)</f>
        <v/>
      </c>
      <c r="M1100" t="str">
        <f>IF([2]Entry!$J$1103="","",[2]Entry!$J$1103)</f>
        <v/>
      </c>
      <c r="N1100" t="str">
        <f>IF([2]Entry!$M$1103="","",[2]Entry!$M$1103)</f>
        <v/>
      </c>
      <c r="O1100" t="str">
        <f>IF([2]Entry!$N$1103="","",[2]Entry!$N$1103)</f>
        <v/>
      </c>
      <c r="P1100" t="str">
        <f>IF([2]Entry!$S$1103="","",[2]Entry!$S$1103)</f>
        <v/>
      </c>
    </row>
    <row r="1101" spans="12:16" x14ac:dyDescent="0.2">
      <c r="L1101" t="str">
        <f>IF([2]Entry!$C$1104="","",[2]Entry!$C$1104)</f>
        <v/>
      </c>
      <c r="M1101" t="str">
        <f>IF([2]Entry!$J$1104="","",[2]Entry!$J$1104)</f>
        <v/>
      </c>
      <c r="N1101" t="str">
        <f>IF([2]Entry!$M$1104="","",[2]Entry!$M$1104)</f>
        <v/>
      </c>
      <c r="O1101" t="str">
        <f>IF([2]Entry!$N$1104="","",[2]Entry!$N$1104)</f>
        <v/>
      </c>
      <c r="P1101" t="str">
        <f>IF([2]Entry!$S$1104="","",[2]Entry!$S$1104)</f>
        <v/>
      </c>
    </row>
    <row r="1102" spans="12:16" x14ac:dyDescent="0.2">
      <c r="L1102" t="str">
        <f>IF([2]Entry!$C$1105="","",[2]Entry!$C$1105)</f>
        <v/>
      </c>
      <c r="M1102" t="str">
        <f>IF([2]Entry!$J$1105="","",[2]Entry!$J$1105)</f>
        <v/>
      </c>
      <c r="N1102" t="str">
        <f>IF([2]Entry!$M$1105="","",[2]Entry!$M$1105)</f>
        <v/>
      </c>
      <c r="O1102" t="str">
        <f>IF([2]Entry!$N$1105="","",[2]Entry!$N$1105)</f>
        <v/>
      </c>
      <c r="P1102" t="str">
        <f>IF([2]Entry!$S$1105="","",[2]Entry!$S$1105)</f>
        <v/>
      </c>
    </row>
    <row r="1103" spans="12:16" x14ac:dyDescent="0.2">
      <c r="L1103" t="str">
        <f>IF([2]Entry!$C$1106="","",[2]Entry!$C$1106)</f>
        <v/>
      </c>
      <c r="M1103" t="str">
        <f>IF([2]Entry!$J$1106="","",[2]Entry!$J$1106)</f>
        <v/>
      </c>
      <c r="N1103" t="str">
        <f>IF([2]Entry!$M$1106="","",[2]Entry!$M$1106)</f>
        <v/>
      </c>
      <c r="O1103" t="str">
        <f>IF([2]Entry!$N$1106="","",[2]Entry!$N$1106)</f>
        <v/>
      </c>
      <c r="P1103" t="str">
        <f>IF([2]Entry!$S$1106="","",[2]Entry!$S$1106)</f>
        <v/>
      </c>
    </row>
    <row r="1104" spans="12:16" x14ac:dyDescent="0.2">
      <c r="L1104" t="str">
        <f>IF([2]Entry!$C$1107="","",[2]Entry!$C$1107)</f>
        <v/>
      </c>
      <c r="M1104" t="str">
        <f>IF([2]Entry!$J$1107="","",[2]Entry!$J$1107)</f>
        <v/>
      </c>
      <c r="N1104" t="str">
        <f>IF([2]Entry!$M$1107="","",[2]Entry!$M$1107)</f>
        <v/>
      </c>
      <c r="O1104" t="str">
        <f>IF([2]Entry!$N$1107="","",[2]Entry!$N$1107)</f>
        <v/>
      </c>
      <c r="P1104" t="str">
        <f>IF([2]Entry!$S$1107="","",[2]Entry!$S$1107)</f>
        <v/>
      </c>
    </row>
    <row r="1105" spans="12:16" x14ac:dyDescent="0.2">
      <c r="L1105" t="str">
        <f>IF([2]Entry!$C$1108="","",[2]Entry!$C$1108)</f>
        <v/>
      </c>
      <c r="M1105" t="str">
        <f>IF([2]Entry!$J$1108="","",[2]Entry!$J$1108)</f>
        <v/>
      </c>
      <c r="N1105" t="str">
        <f>IF([2]Entry!$M$1108="","",[2]Entry!$M$1108)</f>
        <v/>
      </c>
      <c r="O1105" t="str">
        <f>IF([2]Entry!$N$1108="","",[2]Entry!$N$1108)</f>
        <v/>
      </c>
      <c r="P1105" t="str">
        <f>IF([2]Entry!$S$1108="","",[2]Entry!$S$1108)</f>
        <v/>
      </c>
    </row>
    <row r="1106" spans="12:16" x14ac:dyDescent="0.2">
      <c r="L1106" t="str">
        <f>IF([2]Entry!$C$1109="","",[2]Entry!$C$1109)</f>
        <v/>
      </c>
      <c r="M1106" t="str">
        <f>IF([2]Entry!$J$1109="","",[2]Entry!$J$1109)</f>
        <v/>
      </c>
      <c r="N1106" t="str">
        <f>IF([2]Entry!$M$1109="","",[2]Entry!$M$1109)</f>
        <v/>
      </c>
      <c r="O1106" t="str">
        <f>IF([2]Entry!$N$1109="","",[2]Entry!$N$1109)</f>
        <v/>
      </c>
      <c r="P1106" t="str">
        <f>IF([2]Entry!$S$1109="","",[2]Entry!$S$1109)</f>
        <v/>
      </c>
    </row>
    <row r="1107" spans="12:16" x14ac:dyDescent="0.2">
      <c r="L1107" t="str">
        <f>IF([2]Entry!$C$1110="","",[2]Entry!$C$1110)</f>
        <v/>
      </c>
      <c r="M1107" t="str">
        <f>IF([2]Entry!$J$1110="","",[2]Entry!$J$1110)</f>
        <v/>
      </c>
      <c r="N1107" t="str">
        <f>IF([2]Entry!$M$1110="","",[2]Entry!$M$1110)</f>
        <v/>
      </c>
      <c r="O1107" t="str">
        <f>IF([2]Entry!$N$1110="","",[2]Entry!$N$1110)</f>
        <v/>
      </c>
      <c r="P1107" t="str">
        <f>IF([2]Entry!$S$1110="","",[2]Entry!$S$1110)</f>
        <v/>
      </c>
    </row>
    <row r="1108" spans="12:16" x14ac:dyDescent="0.2">
      <c r="L1108" t="str">
        <f>IF([2]Entry!$C$1111="","",[2]Entry!$C$1111)</f>
        <v/>
      </c>
      <c r="M1108" t="str">
        <f>IF([2]Entry!$J$1111="","",[2]Entry!$J$1111)</f>
        <v/>
      </c>
      <c r="N1108" t="str">
        <f>IF([2]Entry!$M$1111="","",[2]Entry!$M$1111)</f>
        <v/>
      </c>
      <c r="O1108" t="str">
        <f>IF([2]Entry!$N$1111="","",[2]Entry!$N$1111)</f>
        <v/>
      </c>
      <c r="P1108" t="str">
        <f>IF([2]Entry!$S$1111="","",[2]Entry!$S$1111)</f>
        <v/>
      </c>
    </row>
    <row r="1109" spans="12:16" x14ac:dyDescent="0.2">
      <c r="L1109" t="str">
        <f>IF([2]Entry!$C$1112="","",[2]Entry!$C$1112)</f>
        <v/>
      </c>
      <c r="M1109" t="str">
        <f>IF([2]Entry!$J$1112="","",[2]Entry!$J$1112)</f>
        <v/>
      </c>
      <c r="N1109" t="str">
        <f>IF([2]Entry!$M$1112="","",[2]Entry!$M$1112)</f>
        <v/>
      </c>
      <c r="O1109" t="str">
        <f>IF([2]Entry!$N$1112="","",[2]Entry!$N$1112)</f>
        <v/>
      </c>
      <c r="P1109" t="str">
        <f>IF([2]Entry!$S$1112="","",[2]Entry!$S$1112)</f>
        <v/>
      </c>
    </row>
    <row r="1110" spans="12:16" x14ac:dyDescent="0.2">
      <c r="L1110" t="str">
        <f>IF([2]Entry!$C$1113="","",[2]Entry!$C$1113)</f>
        <v/>
      </c>
      <c r="M1110" t="str">
        <f>IF([2]Entry!$J$1113="","",[2]Entry!$J$1113)</f>
        <v/>
      </c>
      <c r="N1110" t="str">
        <f>IF([2]Entry!$M$1113="","",[2]Entry!$M$1113)</f>
        <v/>
      </c>
      <c r="O1110" t="str">
        <f>IF([2]Entry!$N$1113="","",[2]Entry!$N$1113)</f>
        <v/>
      </c>
      <c r="P1110" t="str">
        <f>IF([2]Entry!$S$1113="","",[2]Entry!$S$1113)</f>
        <v/>
      </c>
    </row>
    <row r="1111" spans="12:16" x14ac:dyDescent="0.2">
      <c r="L1111" t="str">
        <f>IF([2]Entry!$C$1114="","",[2]Entry!$C$1114)</f>
        <v/>
      </c>
      <c r="M1111" t="str">
        <f>IF([2]Entry!$J$1114="","",[2]Entry!$J$1114)</f>
        <v/>
      </c>
      <c r="N1111" t="str">
        <f>IF([2]Entry!$M$1114="","",[2]Entry!$M$1114)</f>
        <v/>
      </c>
      <c r="O1111" t="str">
        <f>IF([2]Entry!$N$1114="","",[2]Entry!$N$1114)</f>
        <v/>
      </c>
      <c r="P1111" t="str">
        <f>IF([2]Entry!$S$1114="","",[2]Entry!$S$1114)</f>
        <v/>
      </c>
    </row>
    <row r="1112" spans="12:16" x14ac:dyDescent="0.2">
      <c r="L1112" t="str">
        <f>IF([2]Entry!$C$1115="","",[2]Entry!$C$1115)</f>
        <v/>
      </c>
      <c r="M1112" t="str">
        <f>IF([2]Entry!$J$1115="","",[2]Entry!$J$1115)</f>
        <v/>
      </c>
      <c r="N1112" t="str">
        <f>IF([2]Entry!$M$1115="","",[2]Entry!$M$1115)</f>
        <v/>
      </c>
      <c r="O1112" t="str">
        <f>IF([2]Entry!$N$1115="","",[2]Entry!$N$1115)</f>
        <v/>
      </c>
      <c r="P1112" t="str">
        <f>IF([2]Entry!$S$1115="","",[2]Entry!$S$1115)</f>
        <v/>
      </c>
    </row>
    <row r="1113" spans="12:16" x14ac:dyDescent="0.2">
      <c r="L1113" t="str">
        <f>IF([2]Entry!$C$1116="","",[2]Entry!$C$1116)</f>
        <v/>
      </c>
      <c r="M1113" t="str">
        <f>IF([2]Entry!$J$1116="","",[2]Entry!$J$1116)</f>
        <v/>
      </c>
      <c r="N1113" t="str">
        <f>IF([2]Entry!$M$1116="","",[2]Entry!$M$1116)</f>
        <v/>
      </c>
      <c r="O1113" t="str">
        <f>IF([2]Entry!$N$1116="","",[2]Entry!$N$1116)</f>
        <v/>
      </c>
      <c r="P1113" t="str">
        <f>IF([2]Entry!$S$1116="","",[2]Entry!$S$1116)</f>
        <v/>
      </c>
    </row>
    <row r="1114" spans="12:16" x14ac:dyDescent="0.2">
      <c r="L1114" t="str">
        <f>IF([2]Entry!$C$1117="","",[2]Entry!$C$1117)</f>
        <v/>
      </c>
      <c r="M1114" t="str">
        <f>IF([2]Entry!$J$1117="","",[2]Entry!$J$1117)</f>
        <v/>
      </c>
      <c r="N1114" t="str">
        <f>IF([2]Entry!$M$1117="","",[2]Entry!$M$1117)</f>
        <v/>
      </c>
      <c r="O1114" t="str">
        <f>IF([2]Entry!$N$1117="","",[2]Entry!$N$1117)</f>
        <v/>
      </c>
      <c r="P1114" t="str">
        <f>IF([2]Entry!$S$1117="","",[2]Entry!$S$1117)</f>
        <v/>
      </c>
    </row>
    <row r="1115" spans="12:16" x14ac:dyDescent="0.2">
      <c r="L1115" t="str">
        <f>IF([2]Entry!$C$1118="","",[2]Entry!$C$1118)</f>
        <v/>
      </c>
      <c r="M1115" t="str">
        <f>IF([2]Entry!$J$1118="","",[2]Entry!$J$1118)</f>
        <v/>
      </c>
      <c r="N1115" t="str">
        <f>IF([2]Entry!$M$1118="","",[2]Entry!$M$1118)</f>
        <v/>
      </c>
      <c r="O1115" t="str">
        <f>IF([2]Entry!$N$1118="","",[2]Entry!$N$1118)</f>
        <v/>
      </c>
      <c r="P1115" t="str">
        <f>IF([2]Entry!$S$1118="","",[2]Entry!$S$1118)</f>
        <v/>
      </c>
    </row>
    <row r="1116" spans="12:16" x14ac:dyDescent="0.2">
      <c r="L1116" t="str">
        <f>IF([2]Entry!$C$1119="","",[2]Entry!$C$1119)</f>
        <v/>
      </c>
      <c r="M1116" t="str">
        <f>IF([2]Entry!$J$1119="","",[2]Entry!$J$1119)</f>
        <v/>
      </c>
      <c r="N1116" t="str">
        <f>IF([2]Entry!$M$1119="","",[2]Entry!$M$1119)</f>
        <v/>
      </c>
      <c r="O1116" t="str">
        <f>IF([2]Entry!$N$1119="","",[2]Entry!$N$1119)</f>
        <v/>
      </c>
      <c r="P1116" t="str">
        <f>IF([2]Entry!$S$1119="","",[2]Entry!$S$1119)</f>
        <v/>
      </c>
    </row>
    <row r="1117" spans="12:16" x14ac:dyDescent="0.2">
      <c r="L1117" t="str">
        <f>IF([2]Entry!$C$1120="","",[2]Entry!$C$1120)</f>
        <v/>
      </c>
      <c r="M1117" t="str">
        <f>IF([2]Entry!$J$1120="","",[2]Entry!$J$1120)</f>
        <v/>
      </c>
      <c r="N1117" t="str">
        <f>IF([2]Entry!$M$1120="","",[2]Entry!$M$1120)</f>
        <v/>
      </c>
      <c r="O1117" t="str">
        <f>IF([2]Entry!$N$1120="","",[2]Entry!$N$1120)</f>
        <v/>
      </c>
      <c r="P1117" t="str">
        <f>IF([2]Entry!$S$1120="","",[2]Entry!$S$1120)</f>
        <v/>
      </c>
    </row>
    <row r="1118" spans="12:16" x14ac:dyDescent="0.2">
      <c r="L1118" t="str">
        <f>IF([2]Entry!$C$1121="","",[2]Entry!$C$1121)</f>
        <v/>
      </c>
      <c r="M1118" t="str">
        <f>IF([2]Entry!$J$1121="","",[2]Entry!$J$1121)</f>
        <v/>
      </c>
      <c r="N1118" t="str">
        <f>IF([2]Entry!$M$1121="","",[2]Entry!$M$1121)</f>
        <v/>
      </c>
      <c r="O1118" t="str">
        <f>IF([2]Entry!$N$1121="","",[2]Entry!$N$1121)</f>
        <v/>
      </c>
      <c r="P1118" t="str">
        <f>IF([2]Entry!$S$1121="","",[2]Entry!$S$1121)</f>
        <v/>
      </c>
    </row>
    <row r="1119" spans="12:16" x14ac:dyDescent="0.2">
      <c r="L1119" t="str">
        <f>IF([2]Entry!$C$1122="","",[2]Entry!$C$1122)</f>
        <v/>
      </c>
      <c r="M1119" t="str">
        <f>IF([2]Entry!$J$1122="","",[2]Entry!$J$1122)</f>
        <v/>
      </c>
      <c r="N1119" t="str">
        <f>IF([2]Entry!$M$1122="","",[2]Entry!$M$1122)</f>
        <v/>
      </c>
      <c r="O1119" t="str">
        <f>IF([2]Entry!$N$1122="","",[2]Entry!$N$1122)</f>
        <v/>
      </c>
      <c r="P1119" t="str">
        <f>IF([2]Entry!$S$1122="","",[2]Entry!$S$1122)</f>
        <v/>
      </c>
    </row>
    <row r="1120" spans="12:16" x14ac:dyDescent="0.2">
      <c r="L1120" t="str">
        <f>IF([2]Entry!$C$1123="","",[2]Entry!$C$1123)</f>
        <v/>
      </c>
      <c r="M1120" t="str">
        <f>IF([2]Entry!$J$1123="","",[2]Entry!$J$1123)</f>
        <v/>
      </c>
      <c r="N1120" t="str">
        <f>IF([2]Entry!$M$1123="","",[2]Entry!$M$1123)</f>
        <v/>
      </c>
      <c r="O1120" t="str">
        <f>IF([2]Entry!$N$1123="","",[2]Entry!$N$1123)</f>
        <v/>
      </c>
      <c r="P1120" t="str">
        <f>IF([2]Entry!$S$1123="","",[2]Entry!$S$1123)</f>
        <v/>
      </c>
    </row>
    <row r="1121" spans="12:16" x14ac:dyDescent="0.2">
      <c r="L1121" t="str">
        <f>IF([2]Entry!$C$1124="","",[2]Entry!$C$1124)</f>
        <v/>
      </c>
      <c r="M1121" t="str">
        <f>IF([2]Entry!$J$1124="","",[2]Entry!$J$1124)</f>
        <v/>
      </c>
      <c r="N1121" t="str">
        <f>IF([2]Entry!$M$1124="","",[2]Entry!$M$1124)</f>
        <v/>
      </c>
      <c r="O1121" t="str">
        <f>IF([2]Entry!$N$1124="","",[2]Entry!$N$1124)</f>
        <v/>
      </c>
      <c r="P1121" t="str">
        <f>IF([2]Entry!$S$1124="","",[2]Entry!$S$1124)</f>
        <v/>
      </c>
    </row>
    <row r="1122" spans="12:16" x14ac:dyDescent="0.2">
      <c r="L1122" t="str">
        <f>IF([2]Entry!$C$1125="","",[2]Entry!$C$1125)</f>
        <v/>
      </c>
      <c r="M1122" t="str">
        <f>IF([2]Entry!$J$1125="","",[2]Entry!$J$1125)</f>
        <v/>
      </c>
      <c r="N1122" t="str">
        <f>IF([2]Entry!$M$1125="","",[2]Entry!$M$1125)</f>
        <v/>
      </c>
      <c r="O1122" t="str">
        <f>IF([2]Entry!$N$1125="","",[2]Entry!$N$1125)</f>
        <v/>
      </c>
      <c r="P1122" t="str">
        <f>IF([2]Entry!$S$1125="","",[2]Entry!$S$1125)</f>
        <v/>
      </c>
    </row>
    <row r="1123" spans="12:16" x14ac:dyDescent="0.2">
      <c r="L1123" t="str">
        <f>IF([2]Entry!$C$1126="","",[2]Entry!$C$1126)</f>
        <v/>
      </c>
      <c r="M1123" t="str">
        <f>IF([2]Entry!$J$1126="","",[2]Entry!$J$1126)</f>
        <v/>
      </c>
      <c r="N1123" t="str">
        <f>IF([2]Entry!$M$1126="","",[2]Entry!$M$1126)</f>
        <v/>
      </c>
      <c r="O1123" t="str">
        <f>IF([2]Entry!$N$1126="","",[2]Entry!$N$1126)</f>
        <v/>
      </c>
      <c r="P1123" t="str">
        <f>IF([2]Entry!$S$1126="","",[2]Entry!$S$1126)</f>
        <v/>
      </c>
    </row>
    <row r="1124" spans="12:16" x14ac:dyDescent="0.2">
      <c r="L1124" t="str">
        <f>IF([2]Entry!$C$1127="","",[2]Entry!$C$1127)</f>
        <v/>
      </c>
      <c r="M1124" t="str">
        <f>IF([2]Entry!$J$1127="","",[2]Entry!$J$1127)</f>
        <v/>
      </c>
      <c r="N1124" t="str">
        <f>IF([2]Entry!$M$1127="","",[2]Entry!$M$1127)</f>
        <v/>
      </c>
      <c r="O1124" t="str">
        <f>IF([2]Entry!$N$1127="","",[2]Entry!$N$1127)</f>
        <v/>
      </c>
      <c r="P1124" t="str">
        <f>IF([2]Entry!$S$1127="","",[2]Entry!$S$1127)</f>
        <v/>
      </c>
    </row>
    <row r="1125" spans="12:16" x14ac:dyDescent="0.2">
      <c r="L1125" t="str">
        <f>IF([2]Entry!$C$1128="","",[2]Entry!$C$1128)</f>
        <v/>
      </c>
      <c r="M1125" t="str">
        <f>IF([2]Entry!$J$1128="","",[2]Entry!$J$1128)</f>
        <v/>
      </c>
      <c r="N1125" t="str">
        <f>IF([2]Entry!$M$1128="","",[2]Entry!$M$1128)</f>
        <v/>
      </c>
      <c r="O1125" t="str">
        <f>IF([2]Entry!$N$1128="","",[2]Entry!$N$1128)</f>
        <v/>
      </c>
      <c r="P1125" t="str">
        <f>IF([2]Entry!$S$1128="","",[2]Entry!$S$1128)</f>
        <v/>
      </c>
    </row>
    <row r="1126" spans="12:16" x14ac:dyDescent="0.2">
      <c r="L1126" t="str">
        <f>IF([2]Entry!$C$1129="","",[2]Entry!$C$1129)</f>
        <v/>
      </c>
      <c r="M1126" t="str">
        <f>IF([2]Entry!$J$1129="","",[2]Entry!$J$1129)</f>
        <v/>
      </c>
      <c r="N1126" t="str">
        <f>IF([2]Entry!$M$1129="","",[2]Entry!$M$1129)</f>
        <v/>
      </c>
      <c r="O1126" t="str">
        <f>IF([2]Entry!$N$1129="","",[2]Entry!$N$1129)</f>
        <v/>
      </c>
      <c r="P1126" t="str">
        <f>IF([2]Entry!$S$1129="","",[2]Entry!$S$1129)</f>
        <v/>
      </c>
    </row>
    <row r="1127" spans="12:16" x14ac:dyDescent="0.2">
      <c r="L1127" t="str">
        <f>IF([2]Entry!$C$1130="","",[2]Entry!$C$1130)</f>
        <v/>
      </c>
      <c r="M1127" t="str">
        <f>IF([2]Entry!$J$1130="","",[2]Entry!$J$1130)</f>
        <v/>
      </c>
      <c r="N1127" t="str">
        <f>IF([2]Entry!$M$1130="","",[2]Entry!$M$1130)</f>
        <v/>
      </c>
      <c r="O1127" t="str">
        <f>IF([2]Entry!$N$1130="","",[2]Entry!$N$1130)</f>
        <v/>
      </c>
      <c r="P1127" t="str">
        <f>IF([2]Entry!$S$1130="","",[2]Entry!$S$1130)</f>
        <v/>
      </c>
    </row>
    <row r="1128" spans="12:16" x14ac:dyDescent="0.2">
      <c r="L1128" t="str">
        <f>IF([2]Entry!$C$1131="","",[2]Entry!$C$1131)</f>
        <v/>
      </c>
      <c r="M1128" t="str">
        <f>IF([2]Entry!$J$1131="","",[2]Entry!$J$1131)</f>
        <v/>
      </c>
      <c r="N1128" t="str">
        <f>IF([2]Entry!$M$1131="","",[2]Entry!$M$1131)</f>
        <v/>
      </c>
      <c r="O1128" t="str">
        <f>IF([2]Entry!$N$1131="","",[2]Entry!$N$1131)</f>
        <v/>
      </c>
      <c r="P1128" t="str">
        <f>IF([2]Entry!$S$1131="","",[2]Entry!$S$1131)</f>
        <v/>
      </c>
    </row>
    <row r="1129" spans="12:16" x14ac:dyDescent="0.2">
      <c r="L1129" t="str">
        <f>IF([2]Entry!$C$1132="","",[2]Entry!$C$1132)</f>
        <v/>
      </c>
      <c r="M1129" t="str">
        <f>IF([2]Entry!$J$1132="","",[2]Entry!$J$1132)</f>
        <v/>
      </c>
      <c r="N1129" t="str">
        <f>IF([2]Entry!$M$1132="","",[2]Entry!$M$1132)</f>
        <v/>
      </c>
      <c r="O1129" t="str">
        <f>IF([2]Entry!$N$1132="","",[2]Entry!$N$1132)</f>
        <v/>
      </c>
      <c r="P1129" t="str">
        <f>IF([2]Entry!$S$1132="","",[2]Entry!$S$1132)</f>
        <v/>
      </c>
    </row>
    <row r="1130" spans="12:16" x14ac:dyDescent="0.2">
      <c r="L1130" t="str">
        <f>IF([2]Entry!$C$1133="","",[2]Entry!$C$1133)</f>
        <v/>
      </c>
      <c r="M1130" t="str">
        <f>IF([2]Entry!$J$1133="","",[2]Entry!$J$1133)</f>
        <v/>
      </c>
      <c r="N1130" t="str">
        <f>IF([2]Entry!$M$1133="","",[2]Entry!$M$1133)</f>
        <v/>
      </c>
      <c r="O1130" t="str">
        <f>IF([2]Entry!$N$1133="","",[2]Entry!$N$1133)</f>
        <v/>
      </c>
      <c r="P1130" t="str">
        <f>IF([2]Entry!$S$1133="","",[2]Entry!$S$1133)</f>
        <v/>
      </c>
    </row>
    <row r="1131" spans="12:16" x14ac:dyDescent="0.2">
      <c r="L1131" t="str">
        <f>IF([2]Entry!$C$1134="","",[2]Entry!$C$1134)</f>
        <v/>
      </c>
      <c r="M1131" t="str">
        <f>IF([2]Entry!$J$1134="","",[2]Entry!$J$1134)</f>
        <v/>
      </c>
      <c r="N1131" t="str">
        <f>IF([2]Entry!$M$1134="","",[2]Entry!$M$1134)</f>
        <v/>
      </c>
      <c r="O1131" t="str">
        <f>IF([2]Entry!$N$1134="","",[2]Entry!$N$1134)</f>
        <v/>
      </c>
      <c r="P1131" t="str">
        <f>IF([2]Entry!$S$1134="","",[2]Entry!$S$1134)</f>
        <v/>
      </c>
    </row>
    <row r="1132" spans="12:16" x14ac:dyDescent="0.2">
      <c r="L1132" t="str">
        <f>IF([2]Entry!$C$1135="","",[2]Entry!$C$1135)</f>
        <v/>
      </c>
      <c r="M1132" t="str">
        <f>IF([2]Entry!$J$1135="","",[2]Entry!$J$1135)</f>
        <v/>
      </c>
      <c r="N1132" t="str">
        <f>IF([2]Entry!$M$1135="","",[2]Entry!$M$1135)</f>
        <v/>
      </c>
      <c r="O1132" t="str">
        <f>IF([2]Entry!$N$1135="","",[2]Entry!$N$1135)</f>
        <v/>
      </c>
      <c r="P1132" t="str">
        <f>IF([2]Entry!$S$1135="","",[2]Entry!$S$1135)</f>
        <v/>
      </c>
    </row>
    <row r="1133" spans="12:16" x14ac:dyDescent="0.2">
      <c r="L1133" t="str">
        <f>IF([2]Entry!$C$1136="","",[2]Entry!$C$1136)</f>
        <v/>
      </c>
      <c r="M1133" t="str">
        <f>IF([2]Entry!$J$1136="","",[2]Entry!$J$1136)</f>
        <v/>
      </c>
      <c r="N1133" t="str">
        <f>IF([2]Entry!$M$1136="","",[2]Entry!$M$1136)</f>
        <v/>
      </c>
      <c r="O1133" t="str">
        <f>IF([2]Entry!$N$1136="","",[2]Entry!$N$1136)</f>
        <v/>
      </c>
      <c r="P1133" t="str">
        <f>IF([2]Entry!$S$1136="","",[2]Entry!$S$1136)</f>
        <v/>
      </c>
    </row>
    <row r="1134" spans="12:16" x14ac:dyDescent="0.2">
      <c r="L1134" t="str">
        <f>IF([2]Entry!$C$1137="","",[2]Entry!$C$1137)</f>
        <v/>
      </c>
      <c r="M1134" t="str">
        <f>IF([2]Entry!$J$1137="","",[2]Entry!$J$1137)</f>
        <v/>
      </c>
      <c r="N1134" t="str">
        <f>IF([2]Entry!$M$1137="","",[2]Entry!$M$1137)</f>
        <v/>
      </c>
      <c r="O1134" t="str">
        <f>IF([2]Entry!$N$1137="","",[2]Entry!$N$1137)</f>
        <v/>
      </c>
      <c r="P1134" t="str">
        <f>IF([2]Entry!$S$1137="","",[2]Entry!$S$1137)</f>
        <v/>
      </c>
    </row>
    <row r="1135" spans="12:16" x14ac:dyDescent="0.2">
      <c r="L1135" t="str">
        <f>IF([2]Entry!$C$1138="","",[2]Entry!$C$1138)</f>
        <v/>
      </c>
      <c r="M1135" t="str">
        <f>IF([2]Entry!$J$1138="","",[2]Entry!$J$1138)</f>
        <v/>
      </c>
      <c r="N1135" t="str">
        <f>IF([2]Entry!$M$1138="","",[2]Entry!$M$1138)</f>
        <v/>
      </c>
      <c r="O1135" t="str">
        <f>IF([2]Entry!$N$1138="","",[2]Entry!$N$1138)</f>
        <v/>
      </c>
      <c r="P1135" t="str">
        <f>IF([2]Entry!$S$1138="","",[2]Entry!$S$1138)</f>
        <v/>
      </c>
    </row>
    <row r="1136" spans="12:16" x14ac:dyDescent="0.2">
      <c r="L1136" t="str">
        <f>IF([2]Entry!$C$1139="","",[2]Entry!$C$1139)</f>
        <v/>
      </c>
      <c r="M1136" t="str">
        <f>IF([2]Entry!$J$1139="","",[2]Entry!$J$1139)</f>
        <v/>
      </c>
      <c r="N1136" t="str">
        <f>IF([2]Entry!$M$1139="","",[2]Entry!$M$1139)</f>
        <v/>
      </c>
      <c r="O1136" t="str">
        <f>IF([2]Entry!$N$1139="","",[2]Entry!$N$1139)</f>
        <v/>
      </c>
      <c r="P1136" t="str">
        <f>IF([2]Entry!$S$1139="","",[2]Entry!$S$1139)</f>
        <v/>
      </c>
    </row>
    <row r="1137" spans="12:16" x14ac:dyDescent="0.2">
      <c r="L1137" t="str">
        <f>IF([2]Entry!$C$1140="","",[2]Entry!$C$1140)</f>
        <v/>
      </c>
      <c r="M1137" t="str">
        <f>IF([2]Entry!$J$1140="","",[2]Entry!$J$1140)</f>
        <v/>
      </c>
      <c r="N1137" t="str">
        <f>IF([2]Entry!$M$1140="","",[2]Entry!$M$1140)</f>
        <v/>
      </c>
      <c r="O1137" t="str">
        <f>IF([2]Entry!$N$1140="","",[2]Entry!$N$1140)</f>
        <v/>
      </c>
      <c r="P1137" t="str">
        <f>IF([2]Entry!$S$1140="","",[2]Entry!$S$1140)</f>
        <v/>
      </c>
    </row>
    <row r="1138" spans="12:16" x14ac:dyDescent="0.2">
      <c r="L1138" t="str">
        <f>IF([2]Entry!$C$1141="","",[2]Entry!$C$1141)</f>
        <v/>
      </c>
      <c r="M1138" t="str">
        <f>IF([2]Entry!$J$1141="","",[2]Entry!$J$1141)</f>
        <v/>
      </c>
      <c r="N1138" t="str">
        <f>IF([2]Entry!$M$1141="","",[2]Entry!$M$1141)</f>
        <v/>
      </c>
      <c r="O1138" t="str">
        <f>IF([2]Entry!$N$1141="","",[2]Entry!$N$1141)</f>
        <v/>
      </c>
      <c r="P1138" t="str">
        <f>IF([2]Entry!$S$1141="","",[2]Entry!$S$1141)</f>
        <v/>
      </c>
    </row>
    <row r="1139" spans="12:16" x14ac:dyDescent="0.2">
      <c r="L1139" t="str">
        <f>IF([2]Entry!$C$1142="","",[2]Entry!$C$1142)</f>
        <v/>
      </c>
      <c r="M1139" t="str">
        <f>IF([2]Entry!$J$1142="","",[2]Entry!$J$1142)</f>
        <v/>
      </c>
      <c r="N1139" t="str">
        <f>IF([2]Entry!$M$1142="","",[2]Entry!$M$1142)</f>
        <v/>
      </c>
      <c r="O1139" t="str">
        <f>IF([2]Entry!$N$1142="","",[2]Entry!$N$1142)</f>
        <v/>
      </c>
      <c r="P1139" t="str">
        <f>IF([2]Entry!$S$1142="","",[2]Entry!$S$1142)</f>
        <v/>
      </c>
    </row>
    <row r="1140" spans="12:16" x14ac:dyDescent="0.2">
      <c r="L1140" t="str">
        <f>IF([2]Entry!$C$1143="","",[2]Entry!$C$1143)</f>
        <v/>
      </c>
      <c r="M1140" t="str">
        <f>IF([2]Entry!$J$1143="","",[2]Entry!$J$1143)</f>
        <v/>
      </c>
      <c r="N1140" t="str">
        <f>IF([2]Entry!$M$1143="","",[2]Entry!$M$1143)</f>
        <v/>
      </c>
      <c r="O1140" t="str">
        <f>IF([2]Entry!$N$1143="","",[2]Entry!$N$1143)</f>
        <v/>
      </c>
      <c r="P1140" t="str">
        <f>IF([2]Entry!$S$1143="","",[2]Entry!$S$1143)</f>
        <v/>
      </c>
    </row>
    <row r="1141" spans="12:16" x14ac:dyDescent="0.2">
      <c r="L1141" t="str">
        <f>IF([2]Entry!$C$1144="","",[2]Entry!$C$1144)</f>
        <v/>
      </c>
      <c r="M1141" t="str">
        <f>IF([2]Entry!$J$1144="","",[2]Entry!$J$1144)</f>
        <v/>
      </c>
      <c r="N1141" t="str">
        <f>IF([2]Entry!$M$1144="","",[2]Entry!$M$1144)</f>
        <v/>
      </c>
      <c r="O1141" t="str">
        <f>IF([2]Entry!$N$1144="","",[2]Entry!$N$1144)</f>
        <v/>
      </c>
      <c r="P1141" t="str">
        <f>IF([2]Entry!$S$1144="","",[2]Entry!$S$1144)</f>
        <v/>
      </c>
    </row>
    <row r="1142" spans="12:16" x14ac:dyDescent="0.2">
      <c r="L1142" t="str">
        <f>IF([2]Entry!$C$1145="","",[2]Entry!$C$1145)</f>
        <v/>
      </c>
      <c r="M1142" t="str">
        <f>IF([2]Entry!$J$1145="","",[2]Entry!$J$1145)</f>
        <v/>
      </c>
      <c r="N1142" t="str">
        <f>IF([2]Entry!$M$1145="","",[2]Entry!$M$1145)</f>
        <v/>
      </c>
      <c r="O1142" t="str">
        <f>IF([2]Entry!$N$1145="","",[2]Entry!$N$1145)</f>
        <v/>
      </c>
      <c r="P1142" t="str">
        <f>IF([2]Entry!$S$1145="","",[2]Entry!$S$1145)</f>
        <v/>
      </c>
    </row>
    <row r="1143" spans="12:16" x14ac:dyDescent="0.2">
      <c r="L1143" t="str">
        <f>IF([2]Entry!$C$1146="","",[2]Entry!$C$1146)</f>
        <v/>
      </c>
      <c r="M1143" t="str">
        <f>IF([2]Entry!$J$1146="","",[2]Entry!$J$1146)</f>
        <v/>
      </c>
      <c r="N1143" t="str">
        <f>IF([2]Entry!$M$1146="","",[2]Entry!$M$1146)</f>
        <v/>
      </c>
      <c r="O1143" t="str">
        <f>IF([2]Entry!$N$1146="","",[2]Entry!$N$1146)</f>
        <v/>
      </c>
      <c r="P1143" t="str">
        <f>IF([2]Entry!$S$1146="","",[2]Entry!$S$1146)</f>
        <v/>
      </c>
    </row>
    <row r="1144" spans="12:16" x14ac:dyDescent="0.2">
      <c r="L1144" t="str">
        <f>IF([2]Entry!$C$1147="","",[2]Entry!$C$1147)</f>
        <v/>
      </c>
      <c r="M1144" t="str">
        <f>IF([2]Entry!$J$1147="","",[2]Entry!$J$1147)</f>
        <v/>
      </c>
      <c r="N1144" t="str">
        <f>IF([2]Entry!$M$1147="","",[2]Entry!$M$1147)</f>
        <v/>
      </c>
      <c r="O1144" t="str">
        <f>IF([2]Entry!$N$1147="","",[2]Entry!$N$1147)</f>
        <v/>
      </c>
      <c r="P1144" t="str">
        <f>IF([2]Entry!$S$1147="","",[2]Entry!$S$1147)</f>
        <v/>
      </c>
    </row>
    <row r="1145" spans="12:16" x14ac:dyDescent="0.2">
      <c r="L1145" t="str">
        <f>IF([2]Entry!$C$1148="","",[2]Entry!$C$1148)</f>
        <v/>
      </c>
      <c r="M1145" t="str">
        <f>IF([2]Entry!$J$1148="","",[2]Entry!$J$1148)</f>
        <v/>
      </c>
      <c r="N1145" t="str">
        <f>IF([2]Entry!$M$1148="","",[2]Entry!$M$1148)</f>
        <v/>
      </c>
      <c r="O1145" t="str">
        <f>IF([2]Entry!$N$1148="","",[2]Entry!$N$1148)</f>
        <v/>
      </c>
      <c r="P1145" t="str">
        <f>IF([2]Entry!$S$1148="","",[2]Entry!$S$1148)</f>
        <v/>
      </c>
    </row>
    <row r="1146" spans="12:16" x14ac:dyDescent="0.2">
      <c r="L1146" t="str">
        <f>IF([2]Entry!$C$1149="","",[2]Entry!$C$1149)</f>
        <v/>
      </c>
      <c r="M1146" t="str">
        <f>IF([2]Entry!$J$1149="","",[2]Entry!$J$1149)</f>
        <v/>
      </c>
      <c r="N1146" t="str">
        <f>IF([2]Entry!$M$1149="","",[2]Entry!$M$1149)</f>
        <v/>
      </c>
      <c r="O1146" t="str">
        <f>IF([2]Entry!$N$1149="","",[2]Entry!$N$1149)</f>
        <v/>
      </c>
      <c r="P1146" t="str">
        <f>IF([2]Entry!$S$1149="","",[2]Entry!$S$1149)</f>
        <v/>
      </c>
    </row>
    <row r="1147" spans="12:16" x14ac:dyDescent="0.2">
      <c r="L1147" t="str">
        <f>IF([2]Entry!$C$1150="","",[2]Entry!$C$1150)</f>
        <v/>
      </c>
      <c r="M1147" t="str">
        <f>IF([2]Entry!$J$1150="","",[2]Entry!$J$1150)</f>
        <v/>
      </c>
      <c r="N1147" t="str">
        <f>IF([2]Entry!$M$1150="","",[2]Entry!$M$1150)</f>
        <v/>
      </c>
      <c r="O1147" t="str">
        <f>IF([2]Entry!$N$1150="","",[2]Entry!$N$1150)</f>
        <v/>
      </c>
      <c r="P1147" t="str">
        <f>IF([2]Entry!$S$1150="","",[2]Entry!$S$1150)</f>
        <v/>
      </c>
    </row>
    <row r="1148" spans="12:16" x14ac:dyDescent="0.2">
      <c r="L1148" t="str">
        <f>IF([2]Entry!$C$1151="","",[2]Entry!$C$1151)</f>
        <v/>
      </c>
      <c r="M1148" t="str">
        <f>IF([2]Entry!$J$1151="","",[2]Entry!$J$1151)</f>
        <v/>
      </c>
      <c r="N1148" t="str">
        <f>IF([2]Entry!$M$1151="","",[2]Entry!$M$1151)</f>
        <v/>
      </c>
      <c r="O1148" t="str">
        <f>IF([2]Entry!$N$1151="","",[2]Entry!$N$1151)</f>
        <v/>
      </c>
      <c r="P1148" t="str">
        <f>IF([2]Entry!$S$1151="","",[2]Entry!$S$1151)</f>
        <v/>
      </c>
    </row>
    <row r="1149" spans="12:16" x14ac:dyDescent="0.2">
      <c r="L1149" t="str">
        <f>IF([2]Entry!$C$1152="","",[2]Entry!$C$1152)</f>
        <v/>
      </c>
      <c r="M1149" t="str">
        <f>IF([2]Entry!$J$1152="","",[2]Entry!$J$1152)</f>
        <v/>
      </c>
      <c r="N1149" t="str">
        <f>IF([2]Entry!$M$1152="","",[2]Entry!$M$1152)</f>
        <v/>
      </c>
      <c r="O1149" t="str">
        <f>IF([2]Entry!$N$1152="","",[2]Entry!$N$1152)</f>
        <v/>
      </c>
      <c r="P1149" t="str">
        <f>IF([2]Entry!$S$1152="","",[2]Entry!$S$1152)</f>
        <v/>
      </c>
    </row>
    <row r="1150" spans="12:16" x14ac:dyDescent="0.2">
      <c r="L1150" t="str">
        <f>IF([2]Entry!$C$1153="","",[2]Entry!$C$1153)</f>
        <v/>
      </c>
      <c r="M1150" t="str">
        <f>IF([2]Entry!$J$1153="","",[2]Entry!$J$1153)</f>
        <v/>
      </c>
      <c r="N1150" t="str">
        <f>IF([2]Entry!$M$1153="","",[2]Entry!$M$1153)</f>
        <v/>
      </c>
      <c r="O1150" t="str">
        <f>IF([2]Entry!$N$1153="","",[2]Entry!$N$1153)</f>
        <v/>
      </c>
      <c r="P1150" t="str">
        <f>IF([2]Entry!$S$1153="","",[2]Entry!$S$1153)</f>
        <v/>
      </c>
    </row>
    <row r="1151" spans="12:16" x14ac:dyDescent="0.2">
      <c r="L1151" t="str">
        <f>IF([2]Entry!$C$1154="","",[2]Entry!$C$1154)</f>
        <v/>
      </c>
      <c r="M1151" t="str">
        <f>IF([2]Entry!$J$1154="","",[2]Entry!$J$1154)</f>
        <v/>
      </c>
      <c r="N1151" t="str">
        <f>IF([2]Entry!$M$1154="","",[2]Entry!$M$1154)</f>
        <v/>
      </c>
      <c r="O1151" t="str">
        <f>IF([2]Entry!$N$1154="","",[2]Entry!$N$1154)</f>
        <v/>
      </c>
      <c r="P1151" t="str">
        <f>IF([2]Entry!$S$1154="","",[2]Entry!$S$1154)</f>
        <v/>
      </c>
    </row>
    <row r="1152" spans="12:16" x14ac:dyDescent="0.2">
      <c r="L1152" t="str">
        <f>IF([2]Entry!$C$1155="","",[2]Entry!$C$1155)</f>
        <v/>
      </c>
      <c r="M1152" t="str">
        <f>IF([2]Entry!$J$1155="","",[2]Entry!$J$1155)</f>
        <v/>
      </c>
      <c r="N1152" t="str">
        <f>IF([2]Entry!$M$1155="","",[2]Entry!$M$1155)</f>
        <v/>
      </c>
      <c r="O1152" t="str">
        <f>IF([2]Entry!$N$1155="","",[2]Entry!$N$1155)</f>
        <v/>
      </c>
      <c r="P1152" t="str">
        <f>IF([2]Entry!$S$1155="","",[2]Entry!$S$1155)</f>
        <v/>
      </c>
    </row>
    <row r="1153" spans="12:16" x14ac:dyDescent="0.2">
      <c r="L1153" t="str">
        <f>IF([2]Entry!$C$1156="","",[2]Entry!$C$1156)</f>
        <v/>
      </c>
      <c r="M1153" t="str">
        <f>IF([2]Entry!$J$1156="","",[2]Entry!$J$1156)</f>
        <v/>
      </c>
      <c r="N1153" t="str">
        <f>IF([2]Entry!$M$1156="","",[2]Entry!$M$1156)</f>
        <v/>
      </c>
      <c r="O1153" t="str">
        <f>IF([2]Entry!$N$1156="","",[2]Entry!$N$1156)</f>
        <v/>
      </c>
      <c r="P1153" t="str">
        <f>IF([2]Entry!$S$1156="","",[2]Entry!$S$1156)</f>
        <v/>
      </c>
    </row>
    <row r="1154" spans="12:16" x14ac:dyDescent="0.2">
      <c r="L1154" t="str">
        <f>IF([2]Entry!$C$1157="","",[2]Entry!$C$1157)</f>
        <v/>
      </c>
      <c r="M1154" t="str">
        <f>IF([2]Entry!$J$1157="","",[2]Entry!$J$1157)</f>
        <v/>
      </c>
      <c r="N1154" t="str">
        <f>IF([2]Entry!$M$1157="","",[2]Entry!$M$1157)</f>
        <v/>
      </c>
      <c r="O1154" t="str">
        <f>IF([2]Entry!$N$1157="","",[2]Entry!$N$1157)</f>
        <v/>
      </c>
      <c r="P1154" t="str">
        <f>IF([2]Entry!$S$1157="","",[2]Entry!$S$1157)</f>
        <v/>
      </c>
    </row>
    <row r="1155" spans="12:16" x14ac:dyDescent="0.2">
      <c r="L1155" t="str">
        <f>IF([2]Entry!$C$1158="","",[2]Entry!$C$1158)</f>
        <v/>
      </c>
      <c r="M1155" t="str">
        <f>IF([2]Entry!$J$1158="","",[2]Entry!$J$1158)</f>
        <v/>
      </c>
      <c r="N1155" t="str">
        <f>IF([2]Entry!$M$1158="","",[2]Entry!$M$1158)</f>
        <v/>
      </c>
      <c r="O1155" t="str">
        <f>IF([2]Entry!$N$1158="","",[2]Entry!$N$1158)</f>
        <v/>
      </c>
      <c r="P1155" t="str">
        <f>IF([2]Entry!$S$1158="","",[2]Entry!$S$1158)</f>
        <v/>
      </c>
    </row>
    <row r="1156" spans="12:16" x14ac:dyDescent="0.2">
      <c r="L1156" t="str">
        <f>IF([2]Entry!$C$1159="","",[2]Entry!$C$1159)</f>
        <v/>
      </c>
      <c r="M1156" t="str">
        <f>IF([2]Entry!$J$1159="","",[2]Entry!$J$1159)</f>
        <v/>
      </c>
      <c r="N1156" t="str">
        <f>IF([2]Entry!$M$1159="","",[2]Entry!$M$1159)</f>
        <v/>
      </c>
      <c r="O1156" t="str">
        <f>IF([2]Entry!$N$1159="","",[2]Entry!$N$1159)</f>
        <v/>
      </c>
      <c r="P1156" t="str">
        <f>IF([2]Entry!$S$1159="","",[2]Entry!$S$1159)</f>
        <v/>
      </c>
    </row>
    <row r="1157" spans="12:16" x14ac:dyDescent="0.2">
      <c r="L1157" t="str">
        <f>IF([2]Entry!$C$1160="","",[2]Entry!$C$1160)</f>
        <v/>
      </c>
      <c r="M1157" t="str">
        <f>IF([2]Entry!$J$1160="","",[2]Entry!$J$1160)</f>
        <v/>
      </c>
      <c r="N1157" t="str">
        <f>IF([2]Entry!$M$1160="","",[2]Entry!$M$1160)</f>
        <v/>
      </c>
      <c r="O1157" t="str">
        <f>IF([2]Entry!$N$1160="","",[2]Entry!$N$1160)</f>
        <v/>
      </c>
      <c r="P1157" t="str">
        <f>IF([2]Entry!$S$1160="","",[2]Entry!$S$1160)</f>
        <v/>
      </c>
    </row>
    <row r="1158" spans="12:16" x14ac:dyDescent="0.2">
      <c r="L1158" t="str">
        <f>IF([2]Entry!$C$1161="","",[2]Entry!$C$1161)</f>
        <v/>
      </c>
      <c r="M1158" t="str">
        <f>IF([2]Entry!$J$1161="","",[2]Entry!$J$1161)</f>
        <v/>
      </c>
      <c r="N1158" t="str">
        <f>IF([2]Entry!$M$1161="","",[2]Entry!$M$1161)</f>
        <v/>
      </c>
      <c r="O1158" t="str">
        <f>IF([2]Entry!$N$1161="","",[2]Entry!$N$1161)</f>
        <v/>
      </c>
      <c r="P1158" t="str">
        <f>IF([2]Entry!$S$1161="","",[2]Entry!$S$1161)</f>
        <v/>
      </c>
    </row>
    <row r="1159" spans="12:16" x14ac:dyDescent="0.2">
      <c r="L1159" t="str">
        <f>IF([2]Entry!$C$1162="","",[2]Entry!$C$1162)</f>
        <v/>
      </c>
      <c r="M1159" t="str">
        <f>IF([2]Entry!$J$1162="","",[2]Entry!$J$1162)</f>
        <v/>
      </c>
      <c r="N1159" t="str">
        <f>IF([2]Entry!$M$1162="","",[2]Entry!$M$1162)</f>
        <v/>
      </c>
      <c r="O1159" t="str">
        <f>IF([2]Entry!$N$1162="","",[2]Entry!$N$1162)</f>
        <v/>
      </c>
      <c r="P1159" t="str">
        <f>IF([2]Entry!$S$1162="","",[2]Entry!$S$1162)</f>
        <v/>
      </c>
    </row>
    <row r="1160" spans="12:16" x14ac:dyDescent="0.2">
      <c r="L1160" t="str">
        <f>IF([2]Entry!$C$1163="","",[2]Entry!$C$1163)</f>
        <v/>
      </c>
      <c r="M1160" t="str">
        <f>IF([2]Entry!$J$1163="","",[2]Entry!$J$1163)</f>
        <v/>
      </c>
      <c r="N1160" t="str">
        <f>IF([2]Entry!$M$1163="","",[2]Entry!$M$1163)</f>
        <v/>
      </c>
      <c r="O1160" t="str">
        <f>IF([2]Entry!$N$1163="","",[2]Entry!$N$1163)</f>
        <v/>
      </c>
      <c r="P1160" t="str">
        <f>IF([2]Entry!$S$1163="","",[2]Entry!$S$1163)</f>
        <v/>
      </c>
    </row>
    <row r="1161" spans="12:16" x14ac:dyDescent="0.2">
      <c r="L1161" t="str">
        <f>IF([2]Entry!$C$1164="","",[2]Entry!$C$1164)</f>
        <v/>
      </c>
      <c r="M1161" t="str">
        <f>IF([2]Entry!$J$1164="","",[2]Entry!$J$1164)</f>
        <v/>
      </c>
      <c r="N1161" t="str">
        <f>IF([2]Entry!$M$1164="","",[2]Entry!$M$1164)</f>
        <v/>
      </c>
      <c r="O1161" t="str">
        <f>IF([2]Entry!$N$1164="","",[2]Entry!$N$1164)</f>
        <v/>
      </c>
      <c r="P1161" t="str">
        <f>IF([2]Entry!$S$1164="","",[2]Entry!$S$1164)</f>
        <v/>
      </c>
    </row>
    <row r="1162" spans="12:16" x14ac:dyDescent="0.2">
      <c r="L1162" t="str">
        <f>IF([2]Entry!$C$1165="","",[2]Entry!$C$1165)</f>
        <v/>
      </c>
      <c r="M1162" t="str">
        <f>IF([2]Entry!$J$1165="","",[2]Entry!$J$1165)</f>
        <v/>
      </c>
      <c r="N1162" t="str">
        <f>IF([2]Entry!$M$1165="","",[2]Entry!$M$1165)</f>
        <v/>
      </c>
      <c r="O1162" t="str">
        <f>IF([2]Entry!$N$1165="","",[2]Entry!$N$1165)</f>
        <v/>
      </c>
      <c r="P1162" t="str">
        <f>IF([2]Entry!$S$1165="","",[2]Entry!$S$1165)</f>
        <v/>
      </c>
    </row>
    <row r="1163" spans="12:16" x14ac:dyDescent="0.2">
      <c r="L1163" t="str">
        <f>IF([2]Entry!$C$1166="","",[2]Entry!$C$1166)</f>
        <v/>
      </c>
      <c r="M1163" t="str">
        <f>IF([2]Entry!$J$1166="","",[2]Entry!$J$1166)</f>
        <v/>
      </c>
      <c r="N1163" t="str">
        <f>IF([2]Entry!$M$1166="","",[2]Entry!$M$1166)</f>
        <v/>
      </c>
      <c r="O1163" t="str">
        <f>IF([2]Entry!$N$1166="","",[2]Entry!$N$1166)</f>
        <v/>
      </c>
      <c r="P1163" t="str">
        <f>IF([2]Entry!$S$1166="","",[2]Entry!$S$1166)</f>
        <v/>
      </c>
    </row>
    <row r="1164" spans="12:16" x14ac:dyDescent="0.2">
      <c r="L1164" t="str">
        <f>IF([2]Entry!$C$1167="","",[2]Entry!$C$1167)</f>
        <v/>
      </c>
      <c r="M1164" t="str">
        <f>IF([2]Entry!$J$1167="","",[2]Entry!$J$1167)</f>
        <v/>
      </c>
      <c r="N1164" t="str">
        <f>IF([2]Entry!$M$1167="","",[2]Entry!$M$1167)</f>
        <v/>
      </c>
      <c r="O1164" t="str">
        <f>IF([2]Entry!$N$1167="","",[2]Entry!$N$1167)</f>
        <v/>
      </c>
      <c r="P1164" t="str">
        <f>IF([2]Entry!$S$1167="","",[2]Entry!$S$1167)</f>
        <v/>
      </c>
    </row>
    <row r="1165" spans="12:16" x14ac:dyDescent="0.2">
      <c r="L1165" t="str">
        <f>IF([2]Entry!$C$1168="","",[2]Entry!$C$1168)</f>
        <v/>
      </c>
      <c r="M1165" t="str">
        <f>IF([2]Entry!$J$1168="","",[2]Entry!$J$1168)</f>
        <v/>
      </c>
      <c r="N1165" t="str">
        <f>IF([2]Entry!$M$1168="","",[2]Entry!$M$1168)</f>
        <v/>
      </c>
      <c r="O1165" t="str">
        <f>IF([2]Entry!$N$1168="","",[2]Entry!$N$1168)</f>
        <v/>
      </c>
      <c r="P1165" t="str">
        <f>IF([2]Entry!$S$1168="","",[2]Entry!$S$1168)</f>
        <v/>
      </c>
    </row>
    <row r="1166" spans="12:16" x14ac:dyDescent="0.2">
      <c r="L1166" t="str">
        <f>IF([2]Entry!$C$1169="","",[2]Entry!$C$1169)</f>
        <v/>
      </c>
      <c r="M1166" t="str">
        <f>IF([2]Entry!$J$1169="","",[2]Entry!$J$1169)</f>
        <v/>
      </c>
      <c r="N1166" t="str">
        <f>IF([2]Entry!$M$1169="","",[2]Entry!$M$1169)</f>
        <v/>
      </c>
      <c r="O1166" t="str">
        <f>IF([2]Entry!$N$1169="","",[2]Entry!$N$1169)</f>
        <v/>
      </c>
      <c r="P1166" t="str">
        <f>IF([2]Entry!$S$1169="","",[2]Entry!$S$1169)</f>
        <v/>
      </c>
    </row>
    <row r="1167" spans="12:16" x14ac:dyDescent="0.2">
      <c r="L1167" t="str">
        <f>IF([2]Entry!$C$1170="","",[2]Entry!$C$1170)</f>
        <v/>
      </c>
      <c r="M1167" t="str">
        <f>IF([2]Entry!$J$1170="","",[2]Entry!$J$1170)</f>
        <v/>
      </c>
      <c r="N1167" t="str">
        <f>IF([2]Entry!$M$1170="","",[2]Entry!$M$1170)</f>
        <v/>
      </c>
      <c r="O1167" t="str">
        <f>IF([2]Entry!$N$1170="","",[2]Entry!$N$1170)</f>
        <v/>
      </c>
      <c r="P1167" t="str">
        <f>IF([2]Entry!$S$1170="","",[2]Entry!$S$1170)</f>
        <v/>
      </c>
    </row>
    <row r="1168" spans="12:16" x14ac:dyDescent="0.2">
      <c r="L1168" t="str">
        <f>IF([2]Entry!$C$1171="","",[2]Entry!$C$1171)</f>
        <v/>
      </c>
      <c r="M1168" t="str">
        <f>IF([2]Entry!$J$1171="","",[2]Entry!$J$1171)</f>
        <v/>
      </c>
      <c r="N1168" t="str">
        <f>IF([2]Entry!$M$1171="","",[2]Entry!$M$1171)</f>
        <v/>
      </c>
      <c r="O1168" t="str">
        <f>IF([2]Entry!$N$1171="","",[2]Entry!$N$1171)</f>
        <v/>
      </c>
      <c r="P1168" t="str">
        <f>IF([2]Entry!$S$1171="","",[2]Entry!$S$1171)</f>
        <v/>
      </c>
    </row>
    <row r="1169" spans="12:16" x14ac:dyDescent="0.2">
      <c r="L1169" t="str">
        <f>IF([2]Entry!$C$1172="","",[2]Entry!$C$1172)</f>
        <v/>
      </c>
      <c r="M1169" t="str">
        <f>IF([2]Entry!$J$1172="","",[2]Entry!$J$1172)</f>
        <v/>
      </c>
      <c r="N1169" t="str">
        <f>IF([2]Entry!$M$1172="","",[2]Entry!$M$1172)</f>
        <v/>
      </c>
      <c r="O1169" t="str">
        <f>IF([2]Entry!$N$1172="","",[2]Entry!$N$1172)</f>
        <v/>
      </c>
      <c r="P1169" t="str">
        <f>IF([2]Entry!$S$1172="","",[2]Entry!$S$1172)</f>
        <v/>
      </c>
    </row>
    <row r="1170" spans="12:16" x14ac:dyDescent="0.2">
      <c r="L1170" t="str">
        <f>IF([2]Entry!$C$1173="","",[2]Entry!$C$1173)</f>
        <v/>
      </c>
      <c r="M1170" t="str">
        <f>IF([2]Entry!$J$1173="","",[2]Entry!$J$1173)</f>
        <v/>
      </c>
      <c r="N1170" t="str">
        <f>IF([2]Entry!$M$1173="","",[2]Entry!$M$1173)</f>
        <v/>
      </c>
      <c r="O1170" t="str">
        <f>IF([2]Entry!$N$1173="","",[2]Entry!$N$1173)</f>
        <v/>
      </c>
      <c r="P1170" t="str">
        <f>IF([2]Entry!$S$1173="","",[2]Entry!$S$1173)</f>
        <v/>
      </c>
    </row>
    <row r="1171" spans="12:16" x14ac:dyDescent="0.2">
      <c r="L1171" t="str">
        <f>IF([2]Entry!$C$1174="","",[2]Entry!$C$1174)</f>
        <v/>
      </c>
      <c r="M1171" t="str">
        <f>IF([2]Entry!$J$1174="","",[2]Entry!$J$1174)</f>
        <v/>
      </c>
      <c r="N1171" t="str">
        <f>IF([2]Entry!$M$1174="","",[2]Entry!$M$1174)</f>
        <v/>
      </c>
      <c r="O1171" t="str">
        <f>IF([2]Entry!$N$1174="","",[2]Entry!$N$1174)</f>
        <v/>
      </c>
      <c r="P1171" t="str">
        <f>IF([2]Entry!$S$1174="","",[2]Entry!$S$1174)</f>
        <v/>
      </c>
    </row>
    <row r="1172" spans="12:16" x14ac:dyDescent="0.2">
      <c r="L1172" t="str">
        <f>IF([2]Entry!$C$1175="","",[2]Entry!$C$1175)</f>
        <v/>
      </c>
      <c r="M1172" t="str">
        <f>IF([2]Entry!$J$1175="","",[2]Entry!$J$1175)</f>
        <v/>
      </c>
      <c r="N1172" t="str">
        <f>IF([2]Entry!$M$1175="","",[2]Entry!$M$1175)</f>
        <v/>
      </c>
      <c r="O1172" t="str">
        <f>IF([2]Entry!$N$1175="","",[2]Entry!$N$1175)</f>
        <v/>
      </c>
      <c r="P1172" t="str">
        <f>IF([2]Entry!$S$1175="","",[2]Entry!$S$1175)</f>
        <v/>
      </c>
    </row>
    <row r="1173" spans="12:16" x14ac:dyDescent="0.2">
      <c r="L1173" t="str">
        <f>IF([2]Entry!$C$1176="","",[2]Entry!$C$1176)</f>
        <v/>
      </c>
      <c r="M1173" t="str">
        <f>IF([2]Entry!$J$1176="","",[2]Entry!$J$1176)</f>
        <v/>
      </c>
      <c r="N1173" t="str">
        <f>IF([2]Entry!$M$1176="","",[2]Entry!$M$1176)</f>
        <v/>
      </c>
      <c r="O1173" t="str">
        <f>IF([2]Entry!$N$1176="","",[2]Entry!$N$1176)</f>
        <v/>
      </c>
      <c r="P1173" t="str">
        <f>IF([2]Entry!$S$1176="","",[2]Entry!$S$1176)</f>
        <v/>
      </c>
    </row>
    <row r="1174" spans="12:16" x14ac:dyDescent="0.2">
      <c r="L1174" t="str">
        <f>IF([2]Entry!$C$1177="","",[2]Entry!$C$1177)</f>
        <v/>
      </c>
      <c r="M1174" t="str">
        <f>IF([2]Entry!$J$1177="","",[2]Entry!$J$1177)</f>
        <v/>
      </c>
      <c r="N1174" t="str">
        <f>IF([2]Entry!$M$1177="","",[2]Entry!$M$1177)</f>
        <v/>
      </c>
      <c r="O1174" t="str">
        <f>IF([2]Entry!$N$1177="","",[2]Entry!$N$1177)</f>
        <v/>
      </c>
      <c r="P1174" t="str">
        <f>IF([2]Entry!$S$1177="","",[2]Entry!$S$1177)</f>
        <v/>
      </c>
    </row>
    <row r="1175" spans="12:16" x14ac:dyDescent="0.2">
      <c r="L1175" t="str">
        <f>IF([2]Entry!$C$1178="","",[2]Entry!$C$1178)</f>
        <v/>
      </c>
      <c r="M1175" t="str">
        <f>IF([2]Entry!$J$1178="","",[2]Entry!$J$1178)</f>
        <v/>
      </c>
      <c r="N1175" t="str">
        <f>IF([2]Entry!$M$1178="","",[2]Entry!$M$1178)</f>
        <v/>
      </c>
      <c r="O1175" t="str">
        <f>IF([2]Entry!$N$1178="","",[2]Entry!$N$1178)</f>
        <v/>
      </c>
      <c r="P1175" t="str">
        <f>IF([2]Entry!$S$1178="","",[2]Entry!$S$1178)</f>
        <v/>
      </c>
    </row>
    <row r="1176" spans="12:16" x14ac:dyDescent="0.2">
      <c r="L1176" t="str">
        <f>IF([2]Entry!$C$1179="","",[2]Entry!$C$1179)</f>
        <v/>
      </c>
      <c r="M1176" t="str">
        <f>IF([2]Entry!$J$1179="","",[2]Entry!$J$1179)</f>
        <v/>
      </c>
      <c r="N1176" t="str">
        <f>IF([2]Entry!$M$1179="","",[2]Entry!$M$1179)</f>
        <v/>
      </c>
      <c r="O1176" t="str">
        <f>IF([2]Entry!$N$1179="","",[2]Entry!$N$1179)</f>
        <v/>
      </c>
      <c r="P1176" t="str">
        <f>IF([2]Entry!$S$1179="","",[2]Entry!$S$1179)</f>
        <v/>
      </c>
    </row>
    <row r="1177" spans="12:16" x14ac:dyDescent="0.2">
      <c r="L1177" t="str">
        <f>IF([2]Entry!$C$1180="","",[2]Entry!$C$1180)</f>
        <v/>
      </c>
      <c r="M1177" t="str">
        <f>IF([2]Entry!$J$1180="","",[2]Entry!$J$1180)</f>
        <v/>
      </c>
      <c r="N1177" t="str">
        <f>IF([2]Entry!$M$1180="","",[2]Entry!$M$1180)</f>
        <v/>
      </c>
      <c r="O1177" t="str">
        <f>IF([2]Entry!$N$1180="","",[2]Entry!$N$1180)</f>
        <v/>
      </c>
      <c r="P1177" t="str">
        <f>IF([2]Entry!$S$1180="","",[2]Entry!$S$1180)</f>
        <v/>
      </c>
    </row>
    <row r="1178" spans="12:16" x14ac:dyDescent="0.2">
      <c r="L1178" t="str">
        <f>IF([2]Entry!$C$1181="","",[2]Entry!$C$1181)</f>
        <v/>
      </c>
      <c r="M1178" t="str">
        <f>IF([2]Entry!$J$1181="","",[2]Entry!$J$1181)</f>
        <v/>
      </c>
      <c r="N1178" t="str">
        <f>IF([2]Entry!$M$1181="","",[2]Entry!$M$1181)</f>
        <v/>
      </c>
      <c r="O1178" t="str">
        <f>IF([2]Entry!$N$1181="","",[2]Entry!$N$1181)</f>
        <v/>
      </c>
      <c r="P1178" t="str">
        <f>IF([2]Entry!$S$1181="","",[2]Entry!$S$1181)</f>
        <v/>
      </c>
    </row>
    <row r="1179" spans="12:16" x14ac:dyDescent="0.2">
      <c r="L1179" t="str">
        <f>IF([2]Entry!$C$1182="","",[2]Entry!$C$1182)</f>
        <v/>
      </c>
      <c r="M1179" t="str">
        <f>IF([2]Entry!$J$1182="","",[2]Entry!$J$1182)</f>
        <v/>
      </c>
      <c r="N1179" t="str">
        <f>IF([2]Entry!$M$1182="","",[2]Entry!$M$1182)</f>
        <v/>
      </c>
      <c r="O1179" t="str">
        <f>IF([2]Entry!$N$1182="","",[2]Entry!$N$1182)</f>
        <v/>
      </c>
      <c r="P1179" t="str">
        <f>IF([2]Entry!$S$1182="","",[2]Entry!$S$1182)</f>
        <v/>
      </c>
    </row>
    <row r="1180" spans="12:16" x14ac:dyDescent="0.2">
      <c r="L1180" t="str">
        <f>IF([2]Entry!$C$1183="","",[2]Entry!$C$1183)</f>
        <v/>
      </c>
      <c r="M1180" t="str">
        <f>IF([2]Entry!$J$1183="","",[2]Entry!$J$1183)</f>
        <v/>
      </c>
      <c r="N1180" t="str">
        <f>IF([2]Entry!$M$1183="","",[2]Entry!$M$1183)</f>
        <v/>
      </c>
      <c r="O1180" t="str">
        <f>IF([2]Entry!$N$1183="","",[2]Entry!$N$1183)</f>
        <v/>
      </c>
      <c r="P1180" t="str">
        <f>IF([2]Entry!$S$1183="","",[2]Entry!$S$1183)</f>
        <v/>
      </c>
    </row>
    <row r="1181" spans="12:16" x14ac:dyDescent="0.2">
      <c r="L1181" t="str">
        <f>IF([2]Entry!$C$1184="","",[2]Entry!$C$1184)</f>
        <v/>
      </c>
      <c r="M1181" t="str">
        <f>IF([2]Entry!$J$1184="","",[2]Entry!$J$1184)</f>
        <v/>
      </c>
      <c r="N1181" t="str">
        <f>IF([2]Entry!$M$1184="","",[2]Entry!$M$1184)</f>
        <v/>
      </c>
      <c r="O1181" t="str">
        <f>IF([2]Entry!$N$1184="","",[2]Entry!$N$1184)</f>
        <v/>
      </c>
      <c r="P1181" t="str">
        <f>IF([2]Entry!$S$1184="","",[2]Entry!$S$1184)</f>
        <v/>
      </c>
    </row>
    <row r="1182" spans="12:16" x14ac:dyDescent="0.2">
      <c r="L1182" t="str">
        <f>IF([2]Entry!$C$1185="","",[2]Entry!$C$1185)</f>
        <v/>
      </c>
      <c r="M1182" t="str">
        <f>IF([2]Entry!$J$1185="","",[2]Entry!$J$1185)</f>
        <v/>
      </c>
      <c r="N1182" t="str">
        <f>IF([2]Entry!$M$1185="","",[2]Entry!$M$1185)</f>
        <v/>
      </c>
      <c r="O1182" t="str">
        <f>IF([2]Entry!$N$1185="","",[2]Entry!$N$1185)</f>
        <v/>
      </c>
      <c r="P1182" t="str">
        <f>IF([2]Entry!$S$1185="","",[2]Entry!$S$1185)</f>
        <v/>
      </c>
    </row>
    <row r="1183" spans="12:16" x14ac:dyDescent="0.2">
      <c r="L1183" t="str">
        <f>IF([2]Entry!$C$1186="","",[2]Entry!$C$1186)</f>
        <v/>
      </c>
      <c r="M1183" t="str">
        <f>IF([2]Entry!$J$1186="","",[2]Entry!$J$1186)</f>
        <v/>
      </c>
      <c r="N1183" t="str">
        <f>IF([2]Entry!$M$1186="","",[2]Entry!$M$1186)</f>
        <v/>
      </c>
      <c r="O1183" t="str">
        <f>IF([2]Entry!$N$1186="","",[2]Entry!$N$1186)</f>
        <v/>
      </c>
      <c r="P1183" t="str">
        <f>IF([2]Entry!$S$1186="","",[2]Entry!$S$1186)</f>
        <v/>
      </c>
    </row>
    <row r="1184" spans="12:16" x14ac:dyDescent="0.2">
      <c r="L1184" t="str">
        <f>IF([2]Entry!$C$1187="","",[2]Entry!$C$1187)</f>
        <v/>
      </c>
      <c r="M1184" t="str">
        <f>IF([2]Entry!$J$1187="","",[2]Entry!$J$1187)</f>
        <v/>
      </c>
      <c r="N1184" t="str">
        <f>IF([2]Entry!$M$1187="","",[2]Entry!$M$1187)</f>
        <v/>
      </c>
      <c r="O1184" t="str">
        <f>IF([2]Entry!$N$1187="","",[2]Entry!$N$1187)</f>
        <v/>
      </c>
      <c r="P1184" t="str">
        <f>IF([2]Entry!$S$1187="","",[2]Entry!$S$1187)</f>
        <v/>
      </c>
    </row>
    <row r="1185" spans="12:16" x14ac:dyDescent="0.2">
      <c r="L1185" t="str">
        <f>IF([2]Entry!$C$1188="","",[2]Entry!$C$1188)</f>
        <v/>
      </c>
      <c r="M1185" t="str">
        <f>IF([2]Entry!$J$1188="","",[2]Entry!$J$1188)</f>
        <v/>
      </c>
      <c r="N1185" t="str">
        <f>IF([2]Entry!$M$1188="","",[2]Entry!$M$1188)</f>
        <v/>
      </c>
      <c r="O1185" t="str">
        <f>IF([2]Entry!$N$1188="","",[2]Entry!$N$1188)</f>
        <v/>
      </c>
      <c r="P1185" t="str">
        <f>IF([2]Entry!$S$1188="","",[2]Entry!$S$1188)</f>
        <v/>
      </c>
    </row>
    <row r="1186" spans="12:16" x14ac:dyDescent="0.2">
      <c r="L1186" t="str">
        <f>IF([2]Entry!$C$1189="","",[2]Entry!$C$1189)</f>
        <v/>
      </c>
      <c r="M1186" t="str">
        <f>IF([2]Entry!$J$1189="","",[2]Entry!$J$1189)</f>
        <v/>
      </c>
      <c r="N1186" t="str">
        <f>IF([2]Entry!$M$1189="","",[2]Entry!$M$1189)</f>
        <v/>
      </c>
      <c r="O1186" t="str">
        <f>IF([2]Entry!$N$1189="","",[2]Entry!$N$1189)</f>
        <v/>
      </c>
      <c r="P1186" t="str">
        <f>IF([2]Entry!$S$1189="","",[2]Entry!$S$1189)</f>
        <v/>
      </c>
    </row>
    <row r="1187" spans="12:16" x14ac:dyDescent="0.2">
      <c r="L1187" t="str">
        <f>IF([2]Entry!$C$1190="","",[2]Entry!$C$1190)</f>
        <v/>
      </c>
      <c r="M1187" t="str">
        <f>IF([2]Entry!$J$1190="","",[2]Entry!$J$1190)</f>
        <v/>
      </c>
      <c r="N1187" t="str">
        <f>IF([2]Entry!$M$1190="","",[2]Entry!$M$1190)</f>
        <v/>
      </c>
      <c r="O1187" t="str">
        <f>IF([2]Entry!$N$1190="","",[2]Entry!$N$1190)</f>
        <v/>
      </c>
      <c r="P1187" t="str">
        <f>IF([2]Entry!$S$1190="","",[2]Entry!$S$1190)</f>
        <v/>
      </c>
    </row>
    <row r="1188" spans="12:16" x14ac:dyDescent="0.2">
      <c r="L1188" t="str">
        <f>IF([2]Entry!$C$1191="","",[2]Entry!$C$1191)</f>
        <v/>
      </c>
      <c r="M1188" t="str">
        <f>IF([2]Entry!$J$1191="","",[2]Entry!$J$1191)</f>
        <v/>
      </c>
      <c r="N1188" t="str">
        <f>IF([2]Entry!$M$1191="","",[2]Entry!$M$1191)</f>
        <v/>
      </c>
      <c r="O1188" t="str">
        <f>IF([2]Entry!$N$1191="","",[2]Entry!$N$1191)</f>
        <v/>
      </c>
      <c r="P1188" t="str">
        <f>IF([2]Entry!$S$1191="","",[2]Entry!$S$1191)</f>
        <v/>
      </c>
    </row>
    <row r="1189" spans="12:16" x14ac:dyDescent="0.2">
      <c r="L1189" t="str">
        <f>IF([2]Entry!$C$1192="","",[2]Entry!$C$1192)</f>
        <v/>
      </c>
      <c r="M1189" t="str">
        <f>IF([2]Entry!$J$1192="","",[2]Entry!$J$1192)</f>
        <v/>
      </c>
      <c r="N1189" t="str">
        <f>IF([2]Entry!$M$1192="","",[2]Entry!$M$1192)</f>
        <v/>
      </c>
      <c r="O1189" t="str">
        <f>IF([2]Entry!$N$1192="","",[2]Entry!$N$1192)</f>
        <v/>
      </c>
      <c r="P1189" t="str">
        <f>IF([2]Entry!$S$1192="","",[2]Entry!$S$1192)</f>
        <v/>
      </c>
    </row>
    <row r="1190" spans="12:16" x14ac:dyDescent="0.2">
      <c r="L1190" t="str">
        <f>IF([2]Entry!$C$1193="","",[2]Entry!$C$1193)</f>
        <v/>
      </c>
      <c r="M1190" t="str">
        <f>IF([2]Entry!$J$1193="","",[2]Entry!$J$1193)</f>
        <v/>
      </c>
      <c r="N1190" t="str">
        <f>IF([2]Entry!$M$1193="","",[2]Entry!$M$1193)</f>
        <v/>
      </c>
      <c r="O1190" t="str">
        <f>IF([2]Entry!$N$1193="","",[2]Entry!$N$1193)</f>
        <v/>
      </c>
      <c r="P1190" t="str">
        <f>IF([2]Entry!$S$1193="","",[2]Entry!$S$1193)</f>
        <v/>
      </c>
    </row>
    <row r="1191" spans="12:16" x14ac:dyDescent="0.2">
      <c r="L1191" t="str">
        <f>IF([2]Entry!$C$1194="","",[2]Entry!$C$1194)</f>
        <v/>
      </c>
      <c r="M1191" t="str">
        <f>IF([2]Entry!$J$1194="","",[2]Entry!$J$1194)</f>
        <v/>
      </c>
      <c r="N1191" t="str">
        <f>IF([2]Entry!$M$1194="","",[2]Entry!$M$1194)</f>
        <v/>
      </c>
      <c r="O1191" t="str">
        <f>IF([2]Entry!$N$1194="","",[2]Entry!$N$1194)</f>
        <v/>
      </c>
      <c r="P1191" t="str">
        <f>IF([2]Entry!$S$1194="","",[2]Entry!$S$1194)</f>
        <v/>
      </c>
    </row>
    <row r="1192" spans="12:16" x14ac:dyDescent="0.2">
      <c r="L1192" t="str">
        <f>IF([2]Entry!$C$1195="","",[2]Entry!$C$1195)</f>
        <v/>
      </c>
      <c r="M1192" t="str">
        <f>IF([2]Entry!$J$1195="","",[2]Entry!$J$1195)</f>
        <v/>
      </c>
      <c r="N1192" t="str">
        <f>IF([2]Entry!$M$1195="","",[2]Entry!$M$1195)</f>
        <v/>
      </c>
      <c r="O1192" t="str">
        <f>IF([2]Entry!$N$1195="","",[2]Entry!$N$1195)</f>
        <v/>
      </c>
      <c r="P1192" t="str">
        <f>IF([2]Entry!$S$1195="","",[2]Entry!$S$1195)</f>
        <v/>
      </c>
    </row>
    <row r="1193" spans="12:16" x14ac:dyDescent="0.2">
      <c r="L1193" t="str">
        <f>IF([2]Entry!$C$1196="","",[2]Entry!$C$1196)</f>
        <v/>
      </c>
      <c r="M1193" t="str">
        <f>IF([2]Entry!$J$1196="","",[2]Entry!$J$1196)</f>
        <v/>
      </c>
      <c r="N1193" t="str">
        <f>IF([2]Entry!$M$1196="","",[2]Entry!$M$1196)</f>
        <v/>
      </c>
      <c r="O1193" t="str">
        <f>IF([2]Entry!$N$1196="","",[2]Entry!$N$1196)</f>
        <v/>
      </c>
      <c r="P1193" t="str">
        <f>IF([2]Entry!$S$1196="","",[2]Entry!$S$1196)</f>
        <v/>
      </c>
    </row>
    <row r="1194" spans="12:16" x14ac:dyDescent="0.2">
      <c r="L1194" t="str">
        <f>IF([2]Entry!$C$1197="","",[2]Entry!$C$1197)</f>
        <v/>
      </c>
      <c r="M1194" t="str">
        <f>IF([2]Entry!$J$1197="","",[2]Entry!$J$1197)</f>
        <v/>
      </c>
      <c r="N1194" t="str">
        <f>IF([2]Entry!$M$1197="","",[2]Entry!$M$1197)</f>
        <v/>
      </c>
      <c r="O1194" t="str">
        <f>IF([2]Entry!$N$1197="","",[2]Entry!$N$1197)</f>
        <v/>
      </c>
      <c r="P1194" t="str">
        <f>IF([2]Entry!$S$1197="","",[2]Entry!$S$1197)</f>
        <v/>
      </c>
    </row>
    <row r="1195" spans="12:16" x14ac:dyDescent="0.2">
      <c r="L1195" t="str">
        <f>IF([2]Entry!$C$1198="","",[2]Entry!$C$1198)</f>
        <v/>
      </c>
      <c r="M1195" t="str">
        <f>IF([2]Entry!$J$1198="","",[2]Entry!$J$1198)</f>
        <v/>
      </c>
      <c r="N1195" t="str">
        <f>IF([2]Entry!$M$1198="","",[2]Entry!$M$1198)</f>
        <v/>
      </c>
      <c r="O1195" t="str">
        <f>IF([2]Entry!$N$1198="","",[2]Entry!$N$1198)</f>
        <v/>
      </c>
      <c r="P1195" t="str">
        <f>IF([2]Entry!$S$1198="","",[2]Entry!$S$1198)</f>
        <v/>
      </c>
    </row>
    <row r="1196" spans="12:16" x14ac:dyDescent="0.2">
      <c r="L1196" t="str">
        <f>IF([2]Entry!$C$1199="","",[2]Entry!$C$1199)</f>
        <v/>
      </c>
      <c r="M1196" t="str">
        <f>IF([2]Entry!$J$1199="","",[2]Entry!$J$1199)</f>
        <v/>
      </c>
      <c r="N1196" t="str">
        <f>IF([2]Entry!$M$1199="","",[2]Entry!$M$1199)</f>
        <v/>
      </c>
      <c r="O1196" t="str">
        <f>IF([2]Entry!$N$1199="","",[2]Entry!$N$1199)</f>
        <v/>
      </c>
      <c r="P1196" t="str">
        <f>IF([2]Entry!$S$1199="","",[2]Entry!$S$1199)</f>
        <v/>
      </c>
    </row>
    <row r="1197" spans="12:16" x14ac:dyDescent="0.2">
      <c r="L1197" t="str">
        <f>IF([2]Entry!$C$1200="","",[2]Entry!$C$1200)</f>
        <v/>
      </c>
      <c r="M1197" t="str">
        <f>IF([2]Entry!$J$1200="","",[2]Entry!$J$1200)</f>
        <v/>
      </c>
      <c r="N1197" t="str">
        <f>IF([2]Entry!$M$1200="","",[2]Entry!$M$1200)</f>
        <v/>
      </c>
      <c r="O1197" t="str">
        <f>IF([2]Entry!$N$1200="","",[2]Entry!$N$1200)</f>
        <v/>
      </c>
      <c r="P1197" t="str">
        <f>IF([2]Entry!$S$1200="","",[2]Entry!$S$1200)</f>
        <v/>
      </c>
    </row>
    <row r="1198" spans="12:16" x14ac:dyDescent="0.2">
      <c r="L1198" t="str">
        <f>IF([2]Entry!$C$1201="","",[2]Entry!$C$1201)</f>
        <v/>
      </c>
      <c r="M1198" t="str">
        <f>IF([2]Entry!$J$1201="","",[2]Entry!$J$1201)</f>
        <v/>
      </c>
      <c r="N1198" t="str">
        <f>IF([2]Entry!$M$1201="","",[2]Entry!$M$1201)</f>
        <v/>
      </c>
      <c r="O1198" t="str">
        <f>IF([2]Entry!$N$1201="","",[2]Entry!$N$1201)</f>
        <v/>
      </c>
      <c r="P1198" t="str">
        <f>IF([2]Entry!$S$1201="","",[2]Entry!$S$1201)</f>
        <v/>
      </c>
    </row>
    <row r="1199" spans="12:16" x14ac:dyDescent="0.2">
      <c r="L1199" t="str">
        <f>IF([2]Entry!$C$1202="","",[2]Entry!$C$1202)</f>
        <v/>
      </c>
      <c r="M1199" t="str">
        <f>IF([2]Entry!$J$1202="","",[2]Entry!$J$1202)</f>
        <v/>
      </c>
      <c r="N1199" t="str">
        <f>IF([2]Entry!$M$1202="","",[2]Entry!$M$1202)</f>
        <v/>
      </c>
      <c r="O1199" t="str">
        <f>IF([2]Entry!$N$1202="","",[2]Entry!$N$1202)</f>
        <v/>
      </c>
      <c r="P1199" t="str">
        <f>IF([2]Entry!$S$1202="","",[2]Entry!$S$1202)</f>
        <v/>
      </c>
    </row>
    <row r="1200" spans="12:16" x14ac:dyDescent="0.2">
      <c r="L1200" t="str">
        <f>IF([2]Entry!$C$1203="","",[2]Entry!$C$1203)</f>
        <v/>
      </c>
      <c r="M1200" t="str">
        <f>IF([2]Entry!$J$1203="","",[2]Entry!$J$1203)</f>
        <v/>
      </c>
      <c r="N1200" t="str">
        <f>IF([2]Entry!$M$1203="","",[2]Entry!$M$1203)</f>
        <v/>
      </c>
      <c r="O1200" t="str">
        <f>IF([2]Entry!$N$1203="","",[2]Entry!$N$1203)</f>
        <v/>
      </c>
      <c r="P1200" t="str">
        <f>IF([2]Entry!$S$1203="","",[2]Entry!$S$1203)</f>
        <v/>
      </c>
    </row>
    <row r="1201" spans="12:16" x14ac:dyDescent="0.2">
      <c r="L1201" t="str">
        <f>IF([2]Entry!$C$1204="","",[2]Entry!$C$1204)</f>
        <v/>
      </c>
      <c r="M1201" t="str">
        <f>IF([2]Entry!$J$1204="","",[2]Entry!$J$1204)</f>
        <v/>
      </c>
      <c r="N1201" t="str">
        <f>IF([2]Entry!$M$1204="","",[2]Entry!$M$1204)</f>
        <v/>
      </c>
      <c r="O1201" t="str">
        <f>IF([2]Entry!$N$1204="","",[2]Entry!$N$1204)</f>
        <v/>
      </c>
      <c r="P1201" t="str">
        <f>IF([2]Entry!$S$1204="","",[2]Entry!$S$1204)</f>
        <v/>
      </c>
    </row>
    <row r="1202" spans="12:16" x14ac:dyDescent="0.2">
      <c r="L1202" t="str">
        <f>IF([2]Entry!$C$1205="","",[2]Entry!$C$1205)</f>
        <v/>
      </c>
      <c r="M1202" t="str">
        <f>IF([2]Entry!$J$1205="","",[2]Entry!$J$1205)</f>
        <v/>
      </c>
      <c r="N1202" t="str">
        <f>IF([2]Entry!$M$1205="","",[2]Entry!$M$1205)</f>
        <v/>
      </c>
      <c r="O1202" t="str">
        <f>IF([2]Entry!$N$1205="","",[2]Entry!$N$1205)</f>
        <v/>
      </c>
      <c r="P1202" t="str">
        <f>IF([2]Entry!$S$1205="","",[2]Entry!$S$1205)</f>
        <v/>
      </c>
    </row>
    <row r="1203" spans="12:16" x14ac:dyDescent="0.2">
      <c r="L1203" t="str">
        <f>IF([2]Entry!$C$1206="","",[2]Entry!$C$1206)</f>
        <v/>
      </c>
      <c r="M1203" t="str">
        <f>IF([2]Entry!$J$1206="","",[2]Entry!$J$1206)</f>
        <v/>
      </c>
      <c r="N1203" t="str">
        <f>IF([2]Entry!$M$1206="","",[2]Entry!$M$1206)</f>
        <v/>
      </c>
      <c r="O1203" t="str">
        <f>IF([2]Entry!$N$1206="","",[2]Entry!$N$1206)</f>
        <v/>
      </c>
      <c r="P1203" t="str">
        <f>IF([2]Entry!$S$1206="","",[2]Entry!$S$1206)</f>
        <v/>
      </c>
    </row>
    <row r="1204" spans="12:16" x14ac:dyDescent="0.2">
      <c r="L1204" t="str">
        <f>IF([2]Entry!$C$1207="","",[2]Entry!$C$1207)</f>
        <v/>
      </c>
      <c r="M1204" t="str">
        <f>IF([2]Entry!$J$1207="","",[2]Entry!$J$1207)</f>
        <v/>
      </c>
      <c r="N1204" t="str">
        <f>IF([2]Entry!$M$1207="","",[2]Entry!$M$1207)</f>
        <v/>
      </c>
      <c r="O1204" t="str">
        <f>IF([2]Entry!$N$1207="","",[2]Entry!$N$1207)</f>
        <v/>
      </c>
      <c r="P1204" t="str">
        <f>IF([2]Entry!$S$1207="","",[2]Entry!$S$1207)</f>
        <v/>
      </c>
    </row>
    <row r="1205" spans="12:16" x14ac:dyDescent="0.2">
      <c r="L1205" t="str">
        <f>IF([2]Entry!$C$1208="","",[2]Entry!$C$1208)</f>
        <v/>
      </c>
      <c r="M1205" t="str">
        <f>IF([2]Entry!$J$1208="","",[2]Entry!$J$1208)</f>
        <v/>
      </c>
      <c r="N1205" t="str">
        <f>IF([2]Entry!$M$1208="","",[2]Entry!$M$1208)</f>
        <v/>
      </c>
      <c r="O1205" t="str">
        <f>IF([2]Entry!$N$1208="","",[2]Entry!$N$1208)</f>
        <v/>
      </c>
      <c r="P1205" t="str">
        <f>IF([2]Entry!$S$1208="","",[2]Entry!$S$1208)</f>
        <v/>
      </c>
    </row>
    <row r="1206" spans="12:16" x14ac:dyDescent="0.2">
      <c r="L1206" t="str">
        <f>IF([2]Entry!$C$1209="","",[2]Entry!$C$1209)</f>
        <v/>
      </c>
      <c r="M1206" t="str">
        <f>IF([2]Entry!$J$1209="","",[2]Entry!$J$1209)</f>
        <v/>
      </c>
      <c r="N1206" t="str">
        <f>IF([2]Entry!$M$1209="","",[2]Entry!$M$1209)</f>
        <v/>
      </c>
      <c r="O1206" t="str">
        <f>IF([2]Entry!$N$1209="","",[2]Entry!$N$1209)</f>
        <v/>
      </c>
      <c r="P1206" t="str">
        <f>IF([2]Entry!$S$1209="","",[2]Entry!$S$1209)</f>
        <v/>
      </c>
    </row>
    <row r="1207" spans="12:16" x14ac:dyDescent="0.2">
      <c r="L1207" t="str">
        <f>IF([2]Entry!$C$1210="","",[2]Entry!$C$1210)</f>
        <v/>
      </c>
      <c r="M1207" t="str">
        <f>IF([2]Entry!$J$1210="","",[2]Entry!$J$1210)</f>
        <v/>
      </c>
      <c r="N1207" t="str">
        <f>IF([2]Entry!$M$1210="","",[2]Entry!$M$1210)</f>
        <v/>
      </c>
      <c r="O1207" t="str">
        <f>IF([2]Entry!$N$1210="","",[2]Entry!$N$1210)</f>
        <v/>
      </c>
      <c r="P1207" t="str">
        <f>IF([2]Entry!$S$1210="","",[2]Entry!$S$1210)</f>
        <v/>
      </c>
    </row>
    <row r="1208" spans="12:16" x14ac:dyDescent="0.2">
      <c r="L1208" t="str">
        <f>IF([2]Entry!$C$1211="","",[2]Entry!$C$1211)</f>
        <v/>
      </c>
      <c r="M1208" t="str">
        <f>IF([2]Entry!$J$1211="","",[2]Entry!$J$1211)</f>
        <v/>
      </c>
      <c r="N1208" t="str">
        <f>IF([2]Entry!$M$1211="","",[2]Entry!$M$1211)</f>
        <v/>
      </c>
      <c r="O1208" t="str">
        <f>IF([2]Entry!$N$1211="","",[2]Entry!$N$1211)</f>
        <v/>
      </c>
      <c r="P1208" t="str">
        <f>IF([2]Entry!$S$1211="","",[2]Entry!$S$1211)</f>
        <v/>
      </c>
    </row>
    <row r="1209" spans="12:16" x14ac:dyDescent="0.2">
      <c r="L1209" t="str">
        <f>IF([2]Entry!$C$1212="","",[2]Entry!$C$1212)</f>
        <v/>
      </c>
      <c r="M1209" t="str">
        <f>IF([2]Entry!$J$1212="","",[2]Entry!$J$1212)</f>
        <v/>
      </c>
      <c r="N1209" t="str">
        <f>IF([2]Entry!$M$1212="","",[2]Entry!$M$1212)</f>
        <v/>
      </c>
      <c r="O1209" t="str">
        <f>IF([2]Entry!$N$1212="","",[2]Entry!$N$1212)</f>
        <v/>
      </c>
      <c r="P1209" t="str">
        <f>IF([2]Entry!$S$1212="","",[2]Entry!$S$1212)</f>
        <v/>
      </c>
    </row>
    <row r="1210" spans="12:16" x14ac:dyDescent="0.2">
      <c r="L1210" t="str">
        <f>IF([2]Entry!$C$1213="","",[2]Entry!$C$1213)</f>
        <v/>
      </c>
      <c r="M1210" t="str">
        <f>IF([2]Entry!$J$1213="","",[2]Entry!$J$1213)</f>
        <v/>
      </c>
      <c r="N1210" t="str">
        <f>IF([2]Entry!$M$1213="","",[2]Entry!$M$1213)</f>
        <v/>
      </c>
      <c r="O1210" t="str">
        <f>IF([2]Entry!$N$1213="","",[2]Entry!$N$1213)</f>
        <v/>
      </c>
      <c r="P1210" t="str">
        <f>IF([2]Entry!$S$1213="","",[2]Entry!$S$1213)</f>
        <v/>
      </c>
    </row>
    <row r="1211" spans="12:16" x14ac:dyDescent="0.2">
      <c r="L1211" t="str">
        <f>IF([2]Entry!$C$1214="","",[2]Entry!$C$1214)</f>
        <v/>
      </c>
      <c r="M1211" t="str">
        <f>IF([2]Entry!$J$1214="","",[2]Entry!$J$1214)</f>
        <v/>
      </c>
      <c r="N1211" t="str">
        <f>IF([2]Entry!$M$1214="","",[2]Entry!$M$1214)</f>
        <v/>
      </c>
      <c r="O1211" t="str">
        <f>IF([2]Entry!$N$1214="","",[2]Entry!$N$1214)</f>
        <v/>
      </c>
      <c r="P1211" t="str">
        <f>IF([2]Entry!$S$1214="","",[2]Entry!$S$1214)</f>
        <v/>
      </c>
    </row>
    <row r="1212" spans="12:16" x14ac:dyDescent="0.2">
      <c r="L1212" t="str">
        <f>IF([2]Entry!$C$1215="","",[2]Entry!$C$1215)</f>
        <v/>
      </c>
      <c r="M1212" t="str">
        <f>IF([2]Entry!$J$1215="","",[2]Entry!$J$1215)</f>
        <v/>
      </c>
      <c r="N1212" t="str">
        <f>IF([2]Entry!$M$1215="","",[2]Entry!$M$1215)</f>
        <v/>
      </c>
      <c r="O1212" t="str">
        <f>IF([2]Entry!$N$1215="","",[2]Entry!$N$1215)</f>
        <v/>
      </c>
      <c r="P1212" t="str">
        <f>IF([2]Entry!$S$1215="","",[2]Entry!$S$1215)</f>
        <v/>
      </c>
    </row>
    <row r="1213" spans="12:16" x14ac:dyDescent="0.2">
      <c r="L1213" t="str">
        <f>IF([2]Entry!$C$1216="","",[2]Entry!$C$1216)</f>
        <v/>
      </c>
      <c r="M1213" t="str">
        <f>IF([2]Entry!$J$1216="","",[2]Entry!$J$1216)</f>
        <v/>
      </c>
      <c r="N1213" t="str">
        <f>IF([2]Entry!$M$1216="","",[2]Entry!$M$1216)</f>
        <v/>
      </c>
      <c r="O1213" t="str">
        <f>IF([2]Entry!$N$1216="","",[2]Entry!$N$1216)</f>
        <v/>
      </c>
      <c r="P1213" t="str">
        <f>IF([2]Entry!$S$1216="","",[2]Entry!$S$1216)</f>
        <v/>
      </c>
    </row>
    <row r="1214" spans="12:16" x14ac:dyDescent="0.2">
      <c r="L1214" t="str">
        <f>IF([2]Entry!$C$1217="","",[2]Entry!$C$1217)</f>
        <v/>
      </c>
      <c r="M1214" t="str">
        <f>IF([2]Entry!$J$1217="","",[2]Entry!$J$1217)</f>
        <v/>
      </c>
      <c r="N1214" t="str">
        <f>IF([2]Entry!$M$1217="","",[2]Entry!$M$1217)</f>
        <v/>
      </c>
      <c r="O1214" t="str">
        <f>IF([2]Entry!$N$1217="","",[2]Entry!$N$1217)</f>
        <v/>
      </c>
      <c r="P1214" t="str">
        <f>IF([2]Entry!$S$1217="","",[2]Entry!$S$1217)</f>
        <v/>
      </c>
    </row>
    <row r="1215" spans="12:16" x14ac:dyDescent="0.2">
      <c r="L1215" t="str">
        <f>IF([2]Entry!$C$1218="","",[2]Entry!$C$1218)</f>
        <v/>
      </c>
      <c r="M1215" t="str">
        <f>IF([2]Entry!$J$1218="","",[2]Entry!$J$1218)</f>
        <v/>
      </c>
      <c r="N1215" t="str">
        <f>IF([2]Entry!$M$1218="","",[2]Entry!$M$1218)</f>
        <v/>
      </c>
      <c r="O1215" t="str">
        <f>IF([2]Entry!$N$1218="","",[2]Entry!$N$1218)</f>
        <v/>
      </c>
      <c r="P1215" t="str">
        <f>IF([2]Entry!$S$1218="","",[2]Entry!$S$1218)</f>
        <v/>
      </c>
    </row>
    <row r="1216" spans="12:16" x14ac:dyDescent="0.2">
      <c r="L1216" t="str">
        <f>IF([2]Entry!$C$1219="","",[2]Entry!$C$1219)</f>
        <v/>
      </c>
      <c r="M1216" t="str">
        <f>IF([2]Entry!$J$1219="","",[2]Entry!$J$1219)</f>
        <v/>
      </c>
      <c r="N1216" t="str">
        <f>IF([2]Entry!$M$1219="","",[2]Entry!$M$1219)</f>
        <v/>
      </c>
      <c r="O1216" t="str">
        <f>IF([2]Entry!$N$1219="","",[2]Entry!$N$1219)</f>
        <v/>
      </c>
      <c r="P1216" t="str">
        <f>IF([2]Entry!$S$1219="","",[2]Entry!$S$1219)</f>
        <v/>
      </c>
    </row>
    <row r="1217" spans="12:16" x14ac:dyDescent="0.2">
      <c r="L1217" t="str">
        <f>IF([2]Entry!$C$1220="","",[2]Entry!$C$1220)</f>
        <v/>
      </c>
      <c r="M1217" t="str">
        <f>IF([2]Entry!$J$1220="","",[2]Entry!$J$1220)</f>
        <v/>
      </c>
      <c r="N1217" t="str">
        <f>IF([2]Entry!$M$1220="","",[2]Entry!$M$1220)</f>
        <v/>
      </c>
      <c r="O1217" t="str">
        <f>IF([2]Entry!$N$1220="","",[2]Entry!$N$1220)</f>
        <v/>
      </c>
      <c r="P1217" t="str">
        <f>IF([2]Entry!$S$1220="","",[2]Entry!$S$1220)</f>
        <v/>
      </c>
    </row>
    <row r="1218" spans="12:16" x14ac:dyDescent="0.2">
      <c r="L1218" t="str">
        <f>IF([2]Entry!$C$1221="","",[2]Entry!$C$1221)</f>
        <v/>
      </c>
      <c r="M1218" t="str">
        <f>IF([2]Entry!$J$1221="","",[2]Entry!$J$1221)</f>
        <v/>
      </c>
      <c r="N1218" t="str">
        <f>IF([2]Entry!$M$1221="","",[2]Entry!$M$1221)</f>
        <v/>
      </c>
      <c r="O1218" t="str">
        <f>IF([2]Entry!$N$1221="","",[2]Entry!$N$1221)</f>
        <v/>
      </c>
      <c r="P1218" t="str">
        <f>IF([2]Entry!$S$1221="","",[2]Entry!$S$1221)</f>
        <v/>
      </c>
    </row>
    <row r="1219" spans="12:16" x14ac:dyDescent="0.2">
      <c r="L1219" t="str">
        <f>IF([2]Entry!$C$1222="","",[2]Entry!$C$1222)</f>
        <v/>
      </c>
      <c r="M1219" t="str">
        <f>IF([2]Entry!$J$1222="","",[2]Entry!$J$1222)</f>
        <v/>
      </c>
      <c r="N1219" t="str">
        <f>IF([2]Entry!$M$1222="","",[2]Entry!$M$1222)</f>
        <v/>
      </c>
      <c r="O1219" t="str">
        <f>IF([2]Entry!$N$1222="","",[2]Entry!$N$1222)</f>
        <v/>
      </c>
      <c r="P1219" t="str">
        <f>IF([2]Entry!$S$1222="","",[2]Entry!$S$1222)</f>
        <v/>
      </c>
    </row>
    <row r="1220" spans="12:16" x14ac:dyDescent="0.2">
      <c r="L1220" t="str">
        <f>IF([2]Entry!$C$1223="","",[2]Entry!$C$1223)</f>
        <v/>
      </c>
      <c r="M1220" t="str">
        <f>IF([2]Entry!$J$1223="","",[2]Entry!$J$1223)</f>
        <v/>
      </c>
      <c r="N1220" t="str">
        <f>IF([2]Entry!$M$1223="","",[2]Entry!$M$1223)</f>
        <v/>
      </c>
      <c r="O1220" t="str">
        <f>IF([2]Entry!$N$1223="","",[2]Entry!$N$1223)</f>
        <v/>
      </c>
      <c r="P1220" t="str">
        <f>IF([2]Entry!$S$1223="","",[2]Entry!$S$1223)</f>
        <v/>
      </c>
    </row>
    <row r="1221" spans="12:16" x14ac:dyDescent="0.2">
      <c r="L1221" t="str">
        <f>IF([2]Entry!$C$1224="","",[2]Entry!$C$1224)</f>
        <v/>
      </c>
      <c r="M1221" t="str">
        <f>IF([2]Entry!$J$1224="","",[2]Entry!$J$1224)</f>
        <v/>
      </c>
      <c r="N1221" t="str">
        <f>IF([2]Entry!$M$1224="","",[2]Entry!$M$1224)</f>
        <v/>
      </c>
      <c r="O1221" t="str">
        <f>IF([2]Entry!$N$1224="","",[2]Entry!$N$1224)</f>
        <v/>
      </c>
      <c r="P1221" t="str">
        <f>IF([2]Entry!$S$1224="","",[2]Entry!$S$1224)</f>
        <v/>
      </c>
    </row>
    <row r="1222" spans="12:16" x14ac:dyDescent="0.2">
      <c r="L1222" t="str">
        <f>IF([2]Entry!$C$1225="","",[2]Entry!$C$1225)</f>
        <v/>
      </c>
      <c r="M1222" t="str">
        <f>IF([2]Entry!$J$1225="","",[2]Entry!$J$1225)</f>
        <v/>
      </c>
      <c r="N1222" t="str">
        <f>IF([2]Entry!$M$1225="","",[2]Entry!$M$1225)</f>
        <v/>
      </c>
      <c r="O1222" t="str">
        <f>IF([2]Entry!$N$1225="","",[2]Entry!$N$1225)</f>
        <v/>
      </c>
      <c r="P1222" t="str">
        <f>IF([2]Entry!$S$1225="","",[2]Entry!$S$1225)</f>
        <v/>
      </c>
    </row>
    <row r="1223" spans="12:16" x14ac:dyDescent="0.2">
      <c r="L1223" t="str">
        <f>IF([2]Entry!$C$1226="","",[2]Entry!$C$1226)</f>
        <v/>
      </c>
      <c r="M1223" t="str">
        <f>IF([2]Entry!$J$1226="","",[2]Entry!$J$1226)</f>
        <v/>
      </c>
      <c r="N1223" t="str">
        <f>IF([2]Entry!$M$1226="","",[2]Entry!$M$1226)</f>
        <v/>
      </c>
      <c r="O1223" t="str">
        <f>IF([2]Entry!$N$1226="","",[2]Entry!$N$1226)</f>
        <v/>
      </c>
      <c r="P1223" t="str">
        <f>IF([2]Entry!$S$1226="","",[2]Entry!$S$1226)</f>
        <v/>
      </c>
    </row>
    <row r="1224" spans="12:16" x14ac:dyDescent="0.2">
      <c r="L1224" t="str">
        <f>IF([2]Entry!$C$1227="","",[2]Entry!$C$1227)</f>
        <v/>
      </c>
      <c r="M1224" t="str">
        <f>IF([2]Entry!$J$1227="","",[2]Entry!$J$1227)</f>
        <v/>
      </c>
      <c r="N1224" t="str">
        <f>IF([2]Entry!$M$1227="","",[2]Entry!$M$1227)</f>
        <v/>
      </c>
      <c r="O1224" t="str">
        <f>IF([2]Entry!$N$1227="","",[2]Entry!$N$1227)</f>
        <v/>
      </c>
      <c r="P1224" t="str">
        <f>IF([2]Entry!$S$1227="","",[2]Entry!$S$1227)</f>
        <v/>
      </c>
    </row>
    <row r="1225" spans="12:16" x14ac:dyDescent="0.2">
      <c r="L1225" t="str">
        <f>IF([2]Entry!$C$1228="","",[2]Entry!$C$1228)</f>
        <v/>
      </c>
      <c r="M1225" t="str">
        <f>IF([2]Entry!$J$1228="","",[2]Entry!$J$1228)</f>
        <v/>
      </c>
      <c r="N1225" t="str">
        <f>IF([2]Entry!$M$1228="","",[2]Entry!$M$1228)</f>
        <v/>
      </c>
      <c r="O1225" t="str">
        <f>IF([2]Entry!$N$1228="","",[2]Entry!$N$1228)</f>
        <v/>
      </c>
      <c r="P1225" t="str">
        <f>IF([2]Entry!$S$1228="","",[2]Entry!$S$1228)</f>
        <v/>
      </c>
    </row>
    <row r="1226" spans="12:16" x14ac:dyDescent="0.2">
      <c r="L1226" t="str">
        <f>IF([2]Entry!$C$1229="","",[2]Entry!$C$1229)</f>
        <v/>
      </c>
      <c r="M1226" t="str">
        <f>IF([2]Entry!$J$1229="","",[2]Entry!$J$1229)</f>
        <v/>
      </c>
      <c r="N1226" t="str">
        <f>IF([2]Entry!$M$1229="","",[2]Entry!$M$1229)</f>
        <v/>
      </c>
      <c r="O1226" t="str">
        <f>IF([2]Entry!$N$1229="","",[2]Entry!$N$1229)</f>
        <v/>
      </c>
      <c r="P1226" t="str">
        <f>IF([2]Entry!$S$1229="","",[2]Entry!$S$1229)</f>
        <v/>
      </c>
    </row>
    <row r="1227" spans="12:16" x14ac:dyDescent="0.2">
      <c r="L1227" t="str">
        <f>IF([2]Entry!$C$1230="","",[2]Entry!$C$1230)</f>
        <v/>
      </c>
      <c r="M1227" t="str">
        <f>IF([2]Entry!$J$1230="","",[2]Entry!$J$1230)</f>
        <v/>
      </c>
      <c r="N1227" t="str">
        <f>IF([2]Entry!$M$1230="","",[2]Entry!$M$1230)</f>
        <v/>
      </c>
      <c r="O1227" t="str">
        <f>IF([2]Entry!$N$1230="","",[2]Entry!$N$1230)</f>
        <v/>
      </c>
      <c r="P1227" t="str">
        <f>IF([2]Entry!$S$1230="","",[2]Entry!$S$1230)</f>
        <v/>
      </c>
    </row>
    <row r="1228" spans="12:16" x14ac:dyDescent="0.2">
      <c r="L1228" t="str">
        <f>IF([2]Entry!$C$1231="","",[2]Entry!$C$1231)</f>
        <v/>
      </c>
      <c r="M1228" t="str">
        <f>IF([2]Entry!$J$1231="","",[2]Entry!$J$1231)</f>
        <v/>
      </c>
      <c r="N1228" t="str">
        <f>IF([2]Entry!$M$1231="","",[2]Entry!$M$1231)</f>
        <v/>
      </c>
      <c r="O1228" t="str">
        <f>IF([2]Entry!$N$1231="","",[2]Entry!$N$1231)</f>
        <v/>
      </c>
      <c r="P1228" t="str">
        <f>IF([2]Entry!$S$1231="","",[2]Entry!$S$1231)</f>
        <v/>
      </c>
    </row>
    <row r="1229" spans="12:16" x14ac:dyDescent="0.2">
      <c r="L1229" t="str">
        <f>IF([2]Entry!$C$1232="","",[2]Entry!$C$1232)</f>
        <v/>
      </c>
      <c r="M1229" t="str">
        <f>IF([2]Entry!$J$1232="","",[2]Entry!$J$1232)</f>
        <v/>
      </c>
      <c r="N1229" t="str">
        <f>IF([2]Entry!$M$1232="","",[2]Entry!$M$1232)</f>
        <v/>
      </c>
      <c r="O1229" t="str">
        <f>IF([2]Entry!$N$1232="","",[2]Entry!$N$1232)</f>
        <v/>
      </c>
      <c r="P1229" t="str">
        <f>IF([2]Entry!$S$1232="","",[2]Entry!$S$1232)</f>
        <v/>
      </c>
    </row>
    <row r="1230" spans="12:16" x14ac:dyDescent="0.2">
      <c r="L1230" t="str">
        <f>IF([2]Entry!$C$1233="","",[2]Entry!$C$1233)</f>
        <v/>
      </c>
      <c r="M1230" t="str">
        <f>IF([2]Entry!$J$1233="","",[2]Entry!$J$1233)</f>
        <v/>
      </c>
      <c r="N1230" t="str">
        <f>IF([2]Entry!$M$1233="","",[2]Entry!$M$1233)</f>
        <v/>
      </c>
      <c r="O1230" t="str">
        <f>IF([2]Entry!$N$1233="","",[2]Entry!$N$1233)</f>
        <v/>
      </c>
      <c r="P1230" t="str">
        <f>IF([2]Entry!$S$1233="","",[2]Entry!$S$1233)</f>
        <v/>
      </c>
    </row>
    <row r="1231" spans="12:16" x14ac:dyDescent="0.2">
      <c r="L1231" t="str">
        <f>IF([2]Entry!$C$1234="","",[2]Entry!$C$1234)</f>
        <v/>
      </c>
      <c r="M1231" t="str">
        <f>IF([2]Entry!$J$1234="","",[2]Entry!$J$1234)</f>
        <v/>
      </c>
      <c r="N1231" t="str">
        <f>IF([2]Entry!$M$1234="","",[2]Entry!$M$1234)</f>
        <v/>
      </c>
      <c r="O1231" t="str">
        <f>IF([2]Entry!$N$1234="","",[2]Entry!$N$1234)</f>
        <v/>
      </c>
      <c r="P1231" t="str">
        <f>IF([2]Entry!$S$1234="","",[2]Entry!$S$1234)</f>
        <v/>
      </c>
    </row>
    <row r="1232" spans="12:16" x14ac:dyDescent="0.2">
      <c r="L1232" t="str">
        <f>IF([2]Entry!$C$1235="","",[2]Entry!$C$1235)</f>
        <v/>
      </c>
      <c r="M1232" t="str">
        <f>IF([2]Entry!$J$1235="","",[2]Entry!$J$1235)</f>
        <v/>
      </c>
      <c r="N1232" t="str">
        <f>IF([2]Entry!$M$1235="","",[2]Entry!$M$1235)</f>
        <v/>
      </c>
      <c r="O1232" t="str">
        <f>IF([2]Entry!$N$1235="","",[2]Entry!$N$1235)</f>
        <v/>
      </c>
      <c r="P1232" t="str">
        <f>IF([2]Entry!$S$1235="","",[2]Entry!$S$1235)</f>
        <v/>
      </c>
    </row>
    <row r="1233" spans="12:16" x14ac:dyDescent="0.2">
      <c r="L1233" t="str">
        <f>IF([2]Entry!$C$1236="","",[2]Entry!$C$1236)</f>
        <v/>
      </c>
      <c r="M1233" t="str">
        <f>IF([2]Entry!$J$1236="","",[2]Entry!$J$1236)</f>
        <v/>
      </c>
      <c r="N1233" t="str">
        <f>IF([2]Entry!$M$1236="","",[2]Entry!$M$1236)</f>
        <v/>
      </c>
      <c r="O1233" t="str">
        <f>IF([2]Entry!$N$1236="","",[2]Entry!$N$1236)</f>
        <v/>
      </c>
      <c r="P1233" t="str">
        <f>IF([2]Entry!$S$1236="","",[2]Entry!$S$1236)</f>
        <v/>
      </c>
    </row>
    <row r="1234" spans="12:16" x14ac:dyDescent="0.2">
      <c r="L1234" t="str">
        <f>IF([2]Entry!$C$1237="","",[2]Entry!$C$1237)</f>
        <v/>
      </c>
      <c r="M1234" t="str">
        <f>IF([2]Entry!$J$1237="","",[2]Entry!$J$1237)</f>
        <v/>
      </c>
      <c r="N1234" t="str">
        <f>IF([2]Entry!$M$1237="","",[2]Entry!$M$1237)</f>
        <v/>
      </c>
      <c r="O1234" t="str">
        <f>IF([2]Entry!$N$1237="","",[2]Entry!$N$1237)</f>
        <v/>
      </c>
      <c r="P1234" t="str">
        <f>IF([2]Entry!$S$1237="","",[2]Entry!$S$1237)</f>
        <v/>
      </c>
    </row>
    <row r="1235" spans="12:16" x14ac:dyDescent="0.2">
      <c r="L1235" t="str">
        <f>IF([2]Entry!$C$1238="","",[2]Entry!$C$1238)</f>
        <v/>
      </c>
      <c r="M1235" t="str">
        <f>IF([2]Entry!$J$1238="","",[2]Entry!$J$1238)</f>
        <v/>
      </c>
      <c r="N1235" t="str">
        <f>IF([2]Entry!$M$1238="","",[2]Entry!$M$1238)</f>
        <v/>
      </c>
      <c r="O1235" t="str">
        <f>IF([2]Entry!$N$1238="","",[2]Entry!$N$1238)</f>
        <v/>
      </c>
      <c r="P1235" t="str">
        <f>IF([2]Entry!$S$1238="","",[2]Entry!$S$1238)</f>
        <v/>
      </c>
    </row>
    <row r="1236" spans="12:16" x14ac:dyDescent="0.2">
      <c r="L1236" t="str">
        <f>IF([2]Entry!$C$1239="","",[2]Entry!$C$1239)</f>
        <v/>
      </c>
      <c r="M1236" t="str">
        <f>IF([2]Entry!$J$1239="","",[2]Entry!$J$1239)</f>
        <v/>
      </c>
      <c r="N1236" t="str">
        <f>IF([2]Entry!$M$1239="","",[2]Entry!$M$1239)</f>
        <v/>
      </c>
      <c r="O1236" t="str">
        <f>IF([2]Entry!$N$1239="","",[2]Entry!$N$1239)</f>
        <v/>
      </c>
      <c r="P1236" t="str">
        <f>IF([2]Entry!$S$1239="","",[2]Entry!$S$1239)</f>
        <v/>
      </c>
    </row>
    <row r="1237" spans="12:16" x14ac:dyDescent="0.2">
      <c r="L1237" t="str">
        <f>IF([2]Entry!$C$1240="","",[2]Entry!$C$1240)</f>
        <v/>
      </c>
      <c r="M1237" t="str">
        <f>IF([2]Entry!$J$1240="","",[2]Entry!$J$1240)</f>
        <v/>
      </c>
      <c r="N1237" t="str">
        <f>IF([2]Entry!$M$1240="","",[2]Entry!$M$1240)</f>
        <v/>
      </c>
      <c r="O1237" t="str">
        <f>IF([2]Entry!$N$1240="","",[2]Entry!$N$1240)</f>
        <v/>
      </c>
      <c r="P1237" t="str">
        <f>IF([2]Entry!$S$1240="","",[2]Entry!$S$1240)</f>
        <v/>
      </c>
    </row>
    <row r="1238" spans="12:16" x14ac:dyDescent="0.2">
      <c r="L1238" t="str">
        <f>IF([2]Entry!$C$1241="","",[2]Entry!$C$1241)</f>
        <v/>
      </c>
      <c r="M1238" t="str">
        <f>IF([2]Entry!$J$1241="","",[2]Entry!$J$1241)</f>
        <v/>
      </c>
      <c r="N1238" t="str">
        <f>IF([2]Entry!$M$1241="","",[2]Entry!$M$1241)</f>
        <v/>
      </c>
      <c r="O1238" t="str">
        <f>IF([2]Entry!$N$1241="","",[2]Entry!$N$1241)</f>
        <v/>
      </c>
      <c r="P1238" t="str">
        <f>IF([2]Entry!$S$1241="","",[2]Entry!$S$1241)</f>
        <v/>
      </c>
    </row>
    <row r="1239" spans="12:16" x14ac:dyDescent="0.2">
      <c r="L1239" t="str">
        <f>IF([2]Entry!$C$1242="","",[2]Entry!$C$1242)</f>
        <v/>
      </c>
      <c r="M1239" t="str">
        <f>IF([2]Entry!$J$1242="","",[2]Entry!$J$1242)</f>
        <v/>
      </c>
      <c r="N1239" t="str">
        <f>IF([2]Entry!$M$1242="","",[2]Entry!$M$1242)</f>
        <v/>
      </c>
      <c r="O1239" t="str">
        <f>IF([2]Entry!$N$1242="","",[2]Entry!$N$1242)</f>
        <v/>
      </c>
      <c r="P1239" t="str">
        <f>IF([2]Entry!$S$1242="","",[2]Entry!$S$1242)</f>
        <v/>
      </c>
    </row>
    <row r="1240" spans="12:16" x14ac:dyDescent="0.2">
      <c r="L1240" t="str">
        <f>IF([2]Entry!$C$1243="","",[2]Entry!$C$1243)</f>
        <v/>
      </c>
      <c r="M1240" t="str">
        <f>IF([2]Entry!$J$1243="","",[2]Entry!$J$1243)</f>
        <v/>
      </c>
      <c r="N1240" t="str">
        <f>IF([2]Entry!$M$1243="","",[2]Entry!$M$1243)</f>
        <v/>
      </c>
      <c r="O1240" t="str">
        <f>IF([2]Entry!$N$1243="","",[2]Entry!$N$1243)</f>
        <v/>
      </c>
      <c r="P1240" t="str">
        <f>IF([2]Entry!$S$1243="","",[2]Entry!$S$1243)</f>
        <v/>
      </c>
    </row>
    <row r="1241" spans="12:16" x14ac:dyDescent="0.2">
      <c r="L1241" t="str">
        <f>IF([2]Entry!$C$1244="","",[2]Entry!$C$1244)</f>
        <v/>
      </c>
      <c r="M1241" t="str">
        <f>IF([2]Entry!$J$1244="","",[2]Entry!$J$1244)</f>
        <v/>
      </c>
      <c r="N1241" t="str">
        <f>IF([2]Entry!$M$1244="","",[2]Entry!$M$1244)</f>
        <v/>
      </c>
      <c r="O1241" t="str">
        <f>IF([2]Entry!$N$1244="","",[2]Entry!$N$1244)</f>
        <v/>
      </c>
      <c r="P1241" t="str">
        <f>IF([2]Entry!$S$1244="","",[2]Entry!$S$1244)</f>
        <v/>
      </c>
    </row>
    <row r="1242" spans="12:16" x14ac:dyDescent="0.2">
      <c r="L1242" t="str">
        <f>IF([2]Entry!$C$1245="","",[2]Entry!$C$1245)</f>
        <v/>
      </c>
      <c r="M1242" t="str">
        <f>IF([2]Entry!$J$1245="","",[2]Entry!$J$1245)</f>
        <v/>
      </c>
      <c r="N1242" t="str">
        <f>IF([2]Entry!$M$1245="","",[2]Entry!$M$1245)</f>
        <v/>
      </c>
      <c r="O1242" t="str">
        <f>IF([2]Entry!$N$1245="","",[2]Entry!$N$1245)</f>
        <v/>
      </c>
      <c r="P1242" t="str">
        <f>IF([2]Entry!$S$1245="","",[2]Entry!$S$1245)</f>
        <v/>
      </c>
    </row>
    <row r="1243" spans="12:16" x14ac:dyDescent="0.2">
      <c r="L1243" t="str">
        <f>IF([2]Entry!$C$1246="","",[2]Entry!$C$1246)</f>
        <v/>
      </c>
      <c r="M1243" t="str">
        <f>IF([2]Entry!$J$1246="","",[2]Entry!$J$1246)</f>
        <v/>
      </c>
      <c r="N1243" t="str">
        <f>IF([2]Entry!$M$1246="","",[2]Entry!$M$1246)</f>
        <v/>
      </c>
      <c r="O1243" t="str">
        <f>IF([2]Entry!$N$1246="","",[2]Entry!$N$1246)</f>
        <v/>
      </c>
      <c r="P1243" t="str">
        <f>IF([2]Entry!$S$1246="","",[2]Entry!$S$1246)</f>
        <v/>
      </c>
    </row>
    <row r="1244" spans="12:16" x14ac:dyDescent="0.2">
      <c r="L1244" t="str">
        <f>IF([2]Entry!$C$1247="","",[2]Entry!$C$1247)</f>
        <v/>
      </c>
      <c r="M1244" t="str">
        <f>IF([2]Entry!$J$1247="","",[2]Entry!$J$1247)</f>
        <v/>
      </c>
      <c r="N1244" t="str">
        <f>IF([2]Entry!$M$1247="","",[2]Entry!$M$1247)</f>
        <v/>
      </c>
      <c r="O1244" t="str">
        <f>IF([2]Entry!$N$1247="","",[2]Entry!$N$1247)</f>
        <v/>
      </c>
      <c r="P1244" t="str">
        <f>IF([2]Entry!$S$1247="","",[2]Entry!$S$1247)</f>
        <v/>
      </c>
    </row>
    <row r="1245" spans="12:16" x14ac:dyDescent="0.2">
      <c r="L1245" t="str">
        <f>IF([2]Entry!$C$1248="","",[2]Entry!$C$1248)</f>
        <v/>
      </c>
      <c r="M1245" t="str">
        <f>IF([2]Entry!$J$1248="","",[2]Entry!$J$1248)</f>
        <v/>
      </c>
      <c r="N1245" t="str">
        <f>IF([2]Entry!$M$1248="","",[2]Entry!$M$1248)</f>
        <v/>
      </c>
      <c r="O1245" t="str">
        <f>IF([2]Entry!$N$1248="","",[2]Entry!$N$1248)</f>
        <v/>
      </c>
      <c r="P1245" t="str">
        <f>IF([2]Entry!$S$1248="","",[2]Entry!$S$1248)</f>
        <v/>
      </c>
    </row>
    <row r="1246" spans="12:16" x14ac:dyDescent="0.2">
      <c r="L1246" t="str">
        <f>IF([2]Entry!$C$1249="","",[2]Entry!$C$1249)</f>
        <v/>
      </c>
      <c r="M1246" t="str">
        <f>IF([2]Entry!$J$1249="","",[2]Entry!$J$1249)</f>
        <v/>
      </c>
      <c r="N1246" t="str">
        <f>IF([2]Entry!$M$1249="","",[2]Entry!$M$1249)</f>
        <v/>
      </c>
      <c r="O1246" t="str">
        <f>IF([2]Entry!$N$1249="","",[2]Entry!$N$1249)</f>
        <v/>
      </c>
      <c r="P1246" t="str">
        <f>IF([2]Entry!$S$1249="","",[2]Entry!$S$1249)</f>
        <v/>
      </c>
    </row>
    <row r="1247" spans="12:16" x14ac:dyDescent="0.2">
      <c r="L1247" t="str">
        <f>IF([2]Entry!$C$1250="","",[2]Entry!$C$1250)</f>
        <v/>
      </c>
      <c r="M1247" t="str">
        <f>IF([2]Entry!$J$1250="","",[2]Entry!$J$1250)</f>
        <v/>
      </c>
      <c r="N1247" t="str">
        <f>IF([2]Entry!$M$1250="","",[2]Entry!$M$1250)</f>
        <v/>
      </c>
      <c r="O1247" t="str">
        <f>IF([2]Entry!$N$1250="","",[2]Entry!$N$1250)</f>
        <v/>
      </c>
      <c r="P1247" t="str">
        <f>IF([2]Entry!$S$1250="","",[2]Entry!$S$1250)</f>
        <v/>
      </c>
    </row>
    <row r="1248" spans="12:16" x14ac:dyDescent="0.2">
      <c r="L1248" t="str">
        <f>IF([2]Entry!$C$1251="","",[2]Entry!$C$1251)</f>
        <v/>
      </c>
      <c r="M1248" t="str">
        <f>IF([2]Entry!$J$1251="","",[2]Entry!$J$1251)</f>
        <v/>
      </c>
      <c r="N1248" t="str">
        <f>IF([2]Entry!$M$1251="","",[2]Entry!$M$1251)</f>
        <v/>
      </c>
      <c r="O1248" t="str">
        <f>IF([2]Entry!$N$1251="","",[2]Entry!$N$1251)</f>
        <v/>
      </c>
      <c r="P1248" t="str">
        <f>IF([2]Entry!$S$1251="","",[2]Entry!$S$1251)</f>
        <v/>
      </c>
    </row>
    <row r="1249" spans="12:16" x14ac:dyDescent="0.2">
      <c r="L1249" t="str">
        <f>IF([2]Entry!$C$1252="","",[2]Entry!$C$1252)</f>
        <v/>
      </c>
      <c r="M1249" t="str">
        <f>IF([2]Entry!$J$1252="","",[2]Entry!$J$1252)</f>
        <v/>
      </c>
      <c r="N1249" t="str">
        <f>IF([2]Entry!$M$1252="","",[2]Entry!$M$1252)</f>
        <v/>
      </c>
      <c r="O1249" t="str">
        <f>IF([2]Entry!$N$1252="","",[2]Entry!$N$1252)</f>
        <v/>
      </c>
      <c r="P1249" t="str">
        <f>IF([2]Entry!$S$1252="","",[2]Entry!$S$1252)</f>
        <v/>
      </c>
    </row>
    <row r="1250" spans="12:16" x14ac:dyDescent="0.2">
      <c r="L1250" t="str">
        <f>IF([2]Entry!$C$1253="","",[2]Entry!$C$1253)</f>
        <v/>
      </c>
      <c r="M1250" t="str">
        <f>IF([2]Entry!$J$1253="","",[2]Entry!$J$1253)</f>
        <v/>
      </c>
      <c r="N1250" t="str">
        <f>IF([2]Entry!$M$1253="","",[2]Entry!$M$1253)</f>
        <v/>
      </c>
      <c r="O1250" t="str">
        <f>IF([2]Entry!$N$1253="","",[2]Entry!$N$1253)</f>
        <v/>
      </c>
      <c r="P1250" t="str">
        <f>IF([2]Entry!$S$1253="","",[2]Entry!$S$1253)</f>
        <v/>
      </c>
    </row>
    <row r="1251" spans="12:16" x14ac:dyDescent="0.2">
      <c r="L1251" t="str">
        <f>IF([2]Entry!$C$1254="","",[2]Entry!$C$1254)</f>
        <v/>
      </c>
      <c r="M1251" t="str">
        <f>IF([2]Entry!$J$1254="","",[2]Entry!$J$1254)</f>
        <v/>
      </c>
      <c r="N1251" t="str">
        <f>IF([2]Entry!$M$1254="","",[2]Entry!$M$1254)</f>
        <v/>
      </c>
      <c r="O1251" t="str">
        <f>IF([2]Entry!$N$1254="","",[2]Entry!$N$1254)</f>
        <v/>
      </c>
      <c r="P1251" t="str">
        <f>IF([2]Entry!$S$1254="","",[2]Entry!$S$1254)</f>
        <v/>
      </c>
    </row>
    <row r="1252" spans="12:16" x14ac:dyDescent="0.2">
      <c r="L1252" t="str">
        <f>IF([2]Entry!$C$1255="","",[2]Entry!$C$1255)</f>
        <v/>
      </c>
      <c r="M1252" t="str">
        <f>IF([2]Entry!$J$1255="","",[2]Entry!$J$1255)</f>
        <v/>
      </c>
      <c r="N1252" t="str">
        <f>IF([2]Entry!$M$1255="","",[2]Entry!$M$1255)</f>
        <v/>
      </c>
      <c r="O1252" t="str">
        <f>IF([2]Entry!$N$1255="","",[2]Entry!$N$1255)</f>
        <v/>
      </c>
      <c r="P1252" t="str">
        <f>IF([2]Entry!$S$1255="","",[2]Entry!$S$1255)</f>
        <v/>
      </c>
    </row>
    <row r="1253" spans="12:16" x14ac:dyDescent="0.2">
      <c r="L1253" t="str">
        <f>IF([2]Entry!$C$1256="","",[2]Entry!$C$1256)</f>
        <v/>
      </c>
      <c r="M1253" t="str">
        <f>IF([2]Entry!$J$1256="","",[2]Entry!$J$1256)</f>
        <v/>
      </c>
      <c r="N1253" t="str">
        <f>IF([2]Entry!$M$1256="","",[2]Entry!$M$1256)</f>
        <v/>
      </c>
      <c r="O1253" t="str">
        <f>IF([2]Entry!$N$1256="","",[2]Entry!$N$1256)</f>
        <v/>
      </c>
      <c r="P1253" t="str">
        <f>IF([2]Entry!$S$1256="","",[2]Entry!$S$1256)</f>
        <v/>
      </c>
    </row>
    <row r="1254" spans="12:16" x14ac:dyDescent="0.2">
      <c r="L1254" t="str">
        <f>IF([2]Entry!$C$1257="","",[2]Entry!$C$1257)</f>
        <v/>
      </c>
      <c r="M1254" t="str">
        <f>IF([2]Entry!$J$1257="","",[2]Entry!$J$1257)</f>
        <v/>
      </c>
      <c r="N1254" t="str">
        <f>IF([2]Entry!$M$1257="","",[2]Entry!$M$1257)</f>
        <v/>
      </c>
      <c r="O1254" t="str">
        <f>IF([2]Entry!$N$1257="","",[2]Entry!$N$1257)</f>
        <v/>
      </c>
      <c r="P1254" t="str">
        <f>IF([2]Entry!$S$1257="","",[2]Entry!$S$1257)</f>
        <v/>
      </c>
    </row>
    <row r="1255" spans="12:16" x14ac:dyDescent="0.2">
      <c r="L1255" t="str">
        <f>IF([2]Entry!$C$1258="","",[2]Entry!$C$1258)</f>
        <v/>
      </c>
      <c r="M1255" t="str">
        <f>IF([2]Entry!$J$1258="","",[2]Entry!$J$1258)</f>
        <v/>
      </c>
      <c r="N1255" t="str">
        <f>IF([2]Entry!$M$1258="","",[2]Entry!$M$1258)</f>
        <v/>
      </c>
      <c r="O1255" t="str">
        <f>IF([2]Entry!$N$1258="","",[2]Entry!$N$1258)</f>
        <v/>
      </c>
      <c r="P1255" t="str">
        <f>IF([2]Entry!$S$1258="","",[2]Entry!$S$1258)</f>
        <v/>
      </c>
    </row>
    <row r="1256" spans="12:16" x14ac:dyDescent="0.2">
      <c r="L1256" t="str">
        <f>IF([2]Entry!$C$1259="","",[2]Entry!$C$1259)</f>
        <v/>
      </c>
      <c r="M1256" t="str">
        <f>IF([2]Entry!$J$1259="","",[2]Entry!$J$1259)</f>
        <v/>
      </c>
      <c r="N1256" t="str">
        <f>IF([2]Entry!$M$1259="","",[2]Entry!$M$1259)</f>
        <v/>
      </c>
      <c r="O1256" t="str">
        <f>IF([2]Entry!$N$1259="","",[2]Entry!$N$1259)</f>
        <v/>
      </c>
      <c r="P1256" t="str">
        <f>IF([2]Entry!$S$1259="","",[2]Entry!$S$1259)</f>
        <v/>
      </c>
    </row>
    <row r="1257" spans="12:16" x14ac:dyDescent="0.2">
      <c r="L1257" t="str">
        <f>IF([2]Entry!$C$1260="","",[2]Entry!$C$1260)</f>
        <v/>
      </c>
      <c r="M1257" t="str">
        <f>IF([2]Entry!$J$1260="","",[2]Entry!$J$1260)</f>
        <v/>
      </c>
      <c r="N1257" t="str">
        <f>IF([2]Entry!$M$1260="","",[2]Entry!$M$1260)</f>
        <v/>
      </c>
      <c r="O1257" t="str">
        <f>IF([2]Entry!$N$1260="","",[2]Entry!$N$1260)</f>
        <v/>
      </c>
      <c r="P1257" t="str">
        <f>IF([2]Entry!$S$1260="","",[2]Entry!$S$1260)</f>
        <v/>
      </c>
    </row>
    <row r="1258" spans="12:16" x14ac:dyDescent="0.2">
      <c r="L1258" t="str">
        <f>IF([2]Entry!$C$1261="","",[2]Entry!$C$1261)</f>
        <v/>
      </c>
      <c r="M1258" t="str">
        <f>IF([2]Entry!$J$1261="","",[2]Entry!$J$1261)</f>
        <v/>
      </c>
      <c r="N1258" t="str">
        <f>IF([2]Entry!$M$1261="","",[2]Entry!$M$1261)</f>
        <v/>
      </c>
      <c r="O1258" t="str">
        <f>IF([2]Entry!$N$1261="","",[2]Entry!$N$1261)</f>
        <v/>
      </c>
      <c r="P1258" t="str">
        <f>IF([2]Entry!$S$1261="","",[2]Entry!$S$1261)</f>
        <v/>
      </c>
    </row>
    <row r="1259" spans="12:16" x14ac:dyDescent="0.2">
      <c r="L1259" t="str">
        <f>IF([2]Entry!$C$1262="","",[2]Entry!$C$1262)</f>
        <v/>
      </c>
      <c r="M1259" t="str">
        <f>IF([2]Entry!$J$1262="","",[2]Entry!$J$1262)</f>
        <v/>
      </c>
      <c r="N1259" t="str">
        <f>IF([2]Entry!$M$1262="","",[2]Entry!$M$1262)</f>
        <v/>
      </c>
      <c r="O1259" t="str">
        <f>IF([2]Entry!$N$1262="","",[2]Entry!$N$1262)</f>
        <v/>
      </c>
      <c r="P1259" t="str">
        <f>IF([2]Entry!$S$1262="","",[2]Entry!$S$1262)</f>
        <v/>
      </c>
    </row>
    <row r="1260" spans="12:16" x14ac:dyDescent="0.2">
      <c r="L1260" t="str">
        <f>IF([2]Entry!$C$1263="","",[2]Entry!$C$1263)</f>
        <v/>
      </c>
      <c r="M1260" t="str">
        <f>IF([2]Entry!$J$1263="","",[2]Entry!$J$1263)</f>
        <v/>
      </c>
      <c r="N1260" t="str">
        <f>IF([2]Entry!$M$1263="","",[2]Entry!$M$1263)</f>
        <v/>
      </c>
      <c r="O1260" t="str">
        <f>IF([2]Entry!$N$1263="","",[2]Entry!$N$1263)</f>
        <v/>
      </c>
      <c r="P1260" t="str">
        <f>IF([2]Entry!$S$1263="","",[2]Entry!$S$1263)</f>
        <v/>
      </c>
    </row>
    <row r="1261" spans="12:16" x14ac:dyDescent="0.2">
      <c r="L1261" t="str">
        <f>IF([2]Entry!$C$1264="","",[2]Entry!$C$1264)</f>
        <v/>
      </c>
      <c r="M1261" t="str">
        <f>IF([2]Entry!$J$1264="","",[2]Entry!$J$1264)</f>
        <v/>
      </c>
      <c r="N1261" t="str">
        <f>IF([2]Entry!$M$1264="","",[2]Entry!$M$1264)</f>
        <v/>
      </c>
      <c r="O1261" t="str">
        <f>IF([2]Entry!$N$1264="","",[2]Entry!$N$1264)</f>
        <v/>
      </c>
      <c r="P1261" t="str">
        <f>IF([2]Entry!$S$1264="","",[2]Entry!$S$1264)</f>
        <v/>
      </c>
    </row>
    <row r="1262" spans="12:16" x14ac:dyDescent="0.2">
      <c r="L1262" t="str">
        <f>IF([2]Entry!$C$1265="","",[2]Entry!$C$1265)</f>
        <v/>
      </c>
      <c r="M1262" t="str">
        <f>IF([2]Entry!$J$1265="","",[2]Entry!$J$1265)</f>
        <v/>
      </c>
      <c r="N1262" t="str">
        <f>IF([2]Entry!$M$1265="","",[2]Entry!$M$1265)</f>
        <v/>
      </c>
      <c r="O1262" t="str">
        <f>IF([2]Entry!$N$1265="","",[2]Entry!$N$1265)</f>
        <v/>
      </c>
      <c r="P1262" t="str">
        <f>IF([2]Entry!$S$1265="","",[2]Entry!$S$1265)</f>
        <v/>
      </c>
    </row>
    <row r="1263" spans="12:16" x14ac:dyDescent="0.2">
      <c r="L1263" t="str">
        <f>IF([2]Entry!$C$1266="","",[2]Entry!$C$1266)</f>
        <v/>
      </c>
      <c r="M1263" t="str">
        <f>IF([2]Entry!$J$1266="","",[2]Entry!$J$1266)</f>
        <v/>
      </c>
      <c r="N1263" t="str">
        <f>IF([2]Entry!$M$1266="","",[2]Entry!$M$1266)</f>
        <v/>
      </c>
      <c r="O1263" t="str">
        <f>IF([2]Entry!$N$1266="","",[2]Entry!$N$1266)</f>
        <v/>
      </c>
      <c r="P1263" t="str">
        <f>IF([2]Entry!$S$1266="","",[2]Entry!$S$1266)</f>
        <v/>
      </c>
    </row>
    <row r="1264" spans="12:16" x14ac:dyDescent="0.2">
      <c r="L1264" t="str">
        <f>IF([2]Entry!$C$1267="","",[2]Entry!$C$1267)</f>
        <v/>
      </c>
      <c r="M1264" t="str">
        <f>IF([2]Entry!$J$1267="","",[2]Entry!$J$1267)</f>
        <v/>
      </c>
      <c r="N1264" t="str">
        <f>IF([2]Entry!$M$1267="","",[2]Entry!$M$1267)</f>
        <v/>
      </c>
      <c r="O1264" t="str">
        <f>IF([2]Entry!$N$1267="","",[2]Entry!$N$1267)</f>
        <v/>
      </c>
      <c r="P1264" t="str">
        <f>IF([2]Entry!$S$1267="","",[2]Entry!$S$1267)</f>
        <v/>
      </c>
    </row>
    <row r="1265" spans="12:16" x14ac:dyDescent="0.2">
      <c r="L1265" t="str">
        <f>IF([2]Entry!$C$1268="","",[2]Entry!$C$1268)</f>
        <v/>
      </c>
      <c r="M1265" t="str">
        <f>IF([2]Entry!$J$1268="","",[2]Entry!$J$1268)</f>
        <v/>
      </c>
      <c r="N1265" t="str">
        <f>IF([2]Entry!$M$1268="","",[2]Entry!$M$1268)</f>
        <v/>
      </c>
      <c r="O1265" t="str">
        <f>IF([2]Entry!$N$1268="","",[2]Entry!$N$1268)</f>
        <v/>
      </c>
      <c r="P1265" t="str">
        <f>IF([2]Entry!$S$1268="","",[2]Entry!$S$1268)</f>
        <v/>
      </c>
    </row>
    <row r="1266" spans="12:16" x14ac:dyDescent="0.2">
      <c r="L1266" t="str">
        <f>IF([2]Entry!$C$1269="","",[2]Entry!$C$1269)</f>
        <v/>
      </c>
      <c r="M1266" t="str">
        <f>IF([2]Entry!$J$1269="","",[2]Entry!$J$1269)</f>
        <v/>
      </c>
      <c r="N1266" t="str">
        <f>IF([2]Entry!$M$1269="","",[2]Entry!$M$1269)</f>
        <v/>
      </c>
      <c r="O1266" t="str">
        <f>IF([2]Entry!$N$1269="","",[2]Entry!$N$1269)</f>
        <v/>
      </c>
      <c r="P1266" t="str">
        <f>IF([2]Entry!$S$1269="","",[2]Entry!$S$1269)</f>
        <v/>
      </c>
    </row>
    <row r="1267" spans="12:16" x14ac:dyDescent="0.2">
      <c r="L1267" t="str">
        <f>IF([2]Entry!$C$1270="","",[2]Entry!$C$1270)</f>
        <v/>
      </c>
      <c r="M1267" t="str">
        <f>IF([2]Entry!$J$1270="","",[2]Entry!$J$1270)</f>
        <v/>
      </c>
      <c r="N1267" t="str">
        <f>IF([2]Entry!$M$1270="","",[2]Entry!$M$1270)</f>
        <v/>
      </c>
      <c r="O1267" t="str">
        <f>IF([2]Entry!$N$1270="","",[2]Entry!$N$1270)</f>
        <v/>
      </c>
      <c r="P1267" t="str">
        <f>IF([2]Entry!$S$1270="","",[2]Entry!$S$1270)</f>
        <v/>
      </c>
    </row>
    <row r="1268" spans="12:16" x14ac:dyDescent="0.2">
      <c r="L1268" t="str">
        <f>IF([2]Entry!$C$1271="","",[2]Entry!$C$1271)</f>
        <v/>
      </c>
      <c r="M1268" t="str">
        <f>IF([2]Entry!$J$1271="","",[2]Entry!$J$1271)</f>
        <v/>
      </c>
      <c r="N1268" t="str">
        <f>IF([2]Entry!$M$1271="","",[2]Entry!$M$1271)</f>
        <v/>
      </c>
      <c r="O1268" t="str">
        <f>IF([2]Entry!$N$1271="","",[2]Entry!$N$1271)</f>
        <v/>
      </c>
      <c r="P1268" t="str">
        <f>IF([2]Entry!$S$1271="","",[2]Entry!$S$1271)</f>
        <v/>
      </c>
    </row>
    <row r="1269" spans="12:16" x14ac:dyDescent="0.2">
      <c r="L1269" t="str">
        <f>IF([2]Entry!$C$1272="","",[2]Entry!$C$1272)</f>
        <v/>
      </c>
      <c r="M1269" t="str">
        <f>IF([2]Entry!$J$1272="","",[2]Entry!$J$1272)</f>
        <v/>
      </c>
      <c r="N1269" t="str">
        <f>IF([2]Entry!$M$1272="","",[2]Entry!$M$1272)</f>
        <v/>
      </c>
      <c r="O1269" t="str">
        <f>IF([2]Entry!$N$1272="","",[2]Entry!$N$1272)</f>
        <v/>
      </c>
      <c r="P1269" t="str">
        <f>IF([2]Entry!$S$1272="","",[2]Entry!$S$1272)</f>
        <v/>
      </c>
    </row>
    <row r="1270" spans="12:16" x14ac:dyDescent="0.2">
      <c r="L1270" t="str">
        <f>IF([2]Entry!$C$1273="","",[2]Entry!$C$1273)</f>
        <v/>
      </c>
      <c r="M1270" t="str">
        <f>IF([2]Entry!$J$1273="","",[2]Entry!$J$1273)</f>
        <v/>
      </c>
      <c r="N1270" t="str">
        <f>IF([2]Entry!$M$1273="","",[2]Entry!$M$1273)</f>
        <v/>
      </c>
      <c r="O1270" t="str">
        <f>IF([2]Entry!$N$1273="","",[2]Entry!$N$1273)</f>
        <v/>
      </c>
      <c r="P1270" t="str">
        <f>IF([2]Entry!$S$1273="","",[2]Entry!$S$1273)</f>
        <v/>
      </c>
    </row>
    <row r="1271" spans="12:16" x14ac:dyDescent="0.2">
      <c r="L1271" t="str">
        <f>IF([2]Entry!$C$1274="","",[2]Entry!$C$1274)</f>
        <v/>
      </c>
      <c r="M1271" t="str">
        <f>IF([2]Entry!$J$1274="","",[2]Entry!$J$1274)</f>
        <v/>
      </c>
      <c r="N1271" t="str">
        <f>IF([2]Entry!$M$1274="","",[2]Entry!$M$1274)</f>
        <v/>
      </c>
      <c r="O1271" t="str">
        <f>IF([2]Entry!$N$1274="","",[2]Entry!$N$1274)</f>
        <v/>
      </c>
      <c r="P1271" t="str">
        <f>IF([2]Entry!$S$1274="","",[2]Entry!$S$1274)</f>
        <v/>
      </c>
    </row>
    <row r="1272" spans="12:16" x14ac:dyDescent="0.2">
      <c r="L1272" t="str">
        <f>IF([2]Entry!$C$1275="","",[2]Entry!$C$1275)</f>
        <v/>
      </c>
      <c r="M1272" t="str">
        <f>IF([2]Entry!$J$1275="","",[2]Entry!$J$1275)</f>
        <v/>
      </c>
      <c r="N1272" t="str">
        <f>IF([2]Entry!$M$1275="","",[2]Entry!$M$1275)</f>
        <v/>
      </c>
      <c r="O1272" t="str">
        <f>IF([2]Entry!$N$1275="","",[2]Entry!$N$1275)</f>
        <v/>
      </c>
      <c r="P1272" t="str">
        <f>IF([2]Entry!$S$1275="","",[2]Entry!$S$1275)</f>
        <v/>
      </c>
    </row>
    <row r="1273" spans="12:16" x14ac:dyDescent="0.2">
      <c r="L1273" t="str">
        <f>IF([2]Entry!$C$1276="","",[2]Entry!$C$1276)</f>
        <v/>
      </c>
      <c r="M1273" t="str">
        <f>IF([2]Entry!$J$1276="","",[2]Entry!$J$1276)</f>
        <v/>
      </c>
      <c r="N1273" t="str">
        <f>IF([2]Entry!$M$1276="","",[2]Entry!$M$1276)</f>
        <v/>
      </c>
      <c r="O1273" t="str">
        <f>IF([2]Entry!$N$1276="","",[2]Entry!$N$1276)</f>
        <v/>
      </c>
      <c r="P1273" t="str">
        <f>IF([2]Entry!$S$1276="","",[2]Entry!$S$1276)</f>
        <v/>
      </c>
    </row>
    <row r="1274" spans="12:16" x14ac:dyDescent="0.2">
      <c r="L1274" t="str">
        <f>IF([2]Entry!$C$1277="","",[2]Entry!$C$1277)</f>
        <v/>
      </c>
      <c r="M1274" t="str">
        <f>IF([2]Entry!$J$1277="","",[2]Entry!$J$1277)</f>
        <v/>
      </c>
      <c r="N1274" t="str">
        <f>IF([2]Entry!$M$1277="","",[2]Entry!$M$1277)</f>
        <v/>
      </c>
      <c r="O1274" t="str">
        <f>IF([2]Entry!$N$1277="","",[2]Entry!$N$1277)</f>
        <v/>
      </c>
      <c r="P1274" t="str">
        <f>IF([2]Entry!$S$1277="","",[2]Entry!$S$1277)</f>
        <v/>
      </c>
    </row>
    <row r="1275" spans="12:16" x14ac:dyDescent="0.2">
      <c r="L1275" t="str">
        <f>IF([2]Entry!$C$1278="","",[2]Entry!$C$1278)</f>
        <v/>
      </c>
      <c r="M1275" t="str">
        <f>IF([2]Entry!$J$1278="","",[2]Entry!$J$1278)</f>
        <v/>
      </c>
      <c r="N1275" t="str">
        <f>IF([2]Entry!$M$1278="","",[2]Entry!$M$1278)</f>
        <v/>
      </c>
      <c r="O1275" t="str">
        <f>IF([2]Entry!$N$1278="","",[2]Entry!$N$1278)</f>
        <v/>
      </c>
      <c r="P1275" t="str">
        <f>IF([2]Entry!$S$1278="","",[2]Entry!$S$1278)</f>
        <v/>
      </c>
    </row>
    <row r="1276" spans="12:16" x14ac:dyDescent="0.2">
      <c r="L1276" t="str">
        <f>IF([2]Entry!$C$1279="","",[2]Entry!$C$1279)</f>
        <v/>
      </c>
      <c r="M1276" t="str">
        <f>IF([2]Entry!$J$1279="","",[2]Entry!$J$1279)</f>
        <v/>
      </c>
      <c r="N1276" t="str">
        <f>IF([2]Entry!$M$1279="","",[2]Entry!$M$1279)</f>
        <v/>
      </c>
      <c r="O1276" t="str">
        <f>IF([2]Entry!$N$1279="","",[2]Entry!$N$1279)</f>
        <v/>
      </c>
      <c r="P1276" t="str">
        <f>IF([2]Entry!$S$1279="","",[2]Entry!$S$1279)</f>
        <v/>
      </c>
    </row>
    <row r="1277" spans="12:16" x14ac:dyDescent="0.2">
      <c r="L1277" t="str">
        <f>IF([2]Entry!$C$1280="","",[2]Entry!$C$1280)</f>
        <v/>
      </c>
      <c r="M1277" t="str">
        <f>IF([2]Entry!$J$1280="","",[2]Entry!$J$1280)</f>
        <v/>
      </c>
      <c r="N1277" t="str">
        <f>IF([2]Entry!$M$1280="","",[2]Entry!$M$1280)</f>
        <v/>
      </c>
      <c r="O1277" t="str">
        <f>IF([2]Entry!$N$1280="","",[2]Entry!$N$1280)</f>
        <v/>
      </c>
      <c r="P1277" t="str">
        <f>IF([2]Entry!$S$1280="","",[2]Entry!$S$1280)</f>
        <v/>
      </c>
    </row>
    <row r="1278" spans="12:16" x14ac:dyDescent="0.2">
      <c r="L1278" t="str">
        <f>IF([2]Entry!$C$1281="","",[2]Entry!$C$1281)</f>
        <v/>
      </c>
      <c r="M1278" t="str">
        <f>IF([2]Entry!$J$1281="","",[2]Entry!$J$1281)</f>
        <v/>
      </c>
      <c r="N1278" t="str">
        <f>IF([2]Entry!$M$1281="","",[2]Entry!$M$1281)</f>
        <v/>
      </c>
      <c r="O1278" t="str">
        <f>IF([2]Entry!$N$1281="","",[2]Entry!$N$1281)</f>
        <v/>
      </c>
      <c r="P1278" t="str">
        <f>IF([2]Entry!$S$1281="","",[2]Entry!$S$1281)</f>
        <v/>
      </c>
    </row>
    <row r="1279" spans="12:16" x14ac:dyDescent="0.2">
      <c r="L1279" t="str">
        <f>IF([2]Entry!$C$1282="","",[2]Entry!$C$1282)</f>
        <v/>
      </c>
      <c r="M1279" t="str">
        <f>IF([2]Entry!$J$1282="","",[2]Entry!$J$1282)</f>
        <v/>
      </c>
      <c r="N1279" t="str">
        <f>IF([2]Entry!$M$1282="","",[2]Entry!$M$1282)</f>
        <v/>
      </c>
      <c r="O1279" t="str">
        <f>IF([2]Entry!$N$1282="","",[2]Entry!$N$1282)</f>
        <v/>
      </c>
      <c r="P1279" t="str">
        <f>IF([2]Entry!$S$1282="","",[2]Entry!$S$1282)</f>
        <v/>
      </c>
    </row>
    <row r="1280" spans="12:16" x14ac:dyDescent="0.2">
      <c r="L1280" t="str">
        <f>IF([2]Entry!$C$1283="","",[2]Entry!$C$1283)</f>
        <v/>
      </c>
      <c r="M1280" t="str">
        <f>IF([2]Entry!$J$1283="","",[2]Entry!$J$1283)</f>
        <v/>
      </c>
      <c r="N1280" t="str">
        <f>IF([2]Entry!$M$1283="","",[2]Entry!$M$1283)</f>
        <v/>
      </c>
      <c r="O1280" t="str">
        <f>IF([2]Entry!$N$1283="","",[2]Entry!$N$1283)</f>
        <v/>
      </c>
      <c r="P1280" t="str">
        <f>IF([2]Entry!$S$1283="","",[2]Entry!$S$1283)</f>
        <v/>
      </c>
    </row>
    <row r="1281" spans="12:16" x14ac:dyDescent="0.2">
      <c r="L1281" t="str">
        <f>IF([2]Entry!$C$1284="","",[2]Entry!$C$1284)</f>
        <v/>
      </c>
      <c r="M1281" t="str">
        <f>IF([2]Entry!$J$1284="","",[2]Entry!$J$1284)</f>
        <v/>
      </c>
      <c r="N1281" t="str">
        <f>IF([2]Entry!$M$1284="","",[2]Entry!$M$1284)</f>
        <v/>
      </c>
      <c r="O1281" t="str">
        <f>IF([2]Entry!$N$1284="","",[2]Entry!$N$1284)</f>
        <v/>
      </c>
      <c r="P1281" t="str">
        <f>IF([2]Entry!$S$1284="","",[2]Entry!$S$1284)</f>
        <v/>
      </c>
    </row>
    <row r="1282" spans="12:16" x14ac:dyDescent="0.2">
      <c r="L1282" t="str">
        <f>IF([2]Entry!$C$1285="","",[2]Entry!$C$1285)</f>
        <v/>
      </c>
      <c r="M1282" t="str">
        <f>IF([2]Entry!$J$1285="","",[2]Entry!$J$1285)</f>
        <v/>
      </c>
      <c r="N1282" t="str">
        <f>IF([2]Entry!$M$1285="","",[2]Entry!$M$1285)</f>
        <v/>
      </c>
      <c r="O1282" t="str">
        <f>IF([2]Entry!$N$1285="","",[2]Entry!$N$1285)</f>
        <v/>
      </c>
      <c r="P1282" t="str">
        <f>IF([2]Entry!$S$1285="","",[2]Entry!$S$1285)</f>
        <v/>
      </c>
    </row>
    <row r="1283" spans="12:16" x14ac:dyDescent="0.2">
      <c r="L1283" t="str">
        <f>IF([2]Entry!$C$1286="","",[2]Entry!$C$1286)</f>
        <v/>
      </c>
      <c r="M1283" t="str">
        <f>IF([2]Entry!$J$1286="","",[2]Entry!$J$1286)</f>
        <v/>
      </c>
      <c r="N1283" t="str">
        <f>IF([2]Entry!$M$1286="","",[2]Entry!$M$1286)</f>
        <v/>
      </c>
      <c r="O1283" t="str">
        <f>IF([2]Entry!$N$1286="","",[2]Entry!$N$1286)</f>
        <v/>
      </c>
      <c r="P1283" t="str">
        <f>IF([2]Entry!$S$1286="","",[2]Entry!$S$1286)</f>
        <v/>
      </c>
    </row>
    <row r="1284" spans="12:16" x14ac:dyDescent="0.2">
      <c r="L1284" t="str">
        <f>IF([2]Entry!$C$1287="","",[2]Entry!$C$1287)</f>
        <v/>
      </c>
      <c r="M1284" t="str">
        <f>IF([2]Entry!$J$1287="","",[2]Entry!$J$1287)</f>
        <v/>
      </c>
      <c r="N1284" t="str">
        <f>IF([2]Entry!$M$1287="","",[2]Entry!$M$1287)</f>
        <v/>
      </c>
      <c r="O1284" t="str">
        <f>IF([2]Entry!$N$1287="","",[2]Entry!$N$1287)</f>
        <v/>
      </c>
      <c r="P1284" t="str">
        <f>IF([2]Entry!$S$1287="","",[2]Entry!$S$1287)</f>
        <v/>
      </c>
    </row>
    <row r="1285" spans="12:16" x14ac:dyDescent="0.2">
      <c r="L1285" t="str">
        <f>IF([2]Entry!$C$1288="","",[2]Entry!$C$1288)</f>
        <v/>
      </c>
      <c r="M1285" t="str">
        <f>IF([2]Entry!$J$1288="","",[2]Entry!$J$1288)</f>
        <v/>
      </c>
      <c r="N1285" t="str">
        <f>IF([2]Entry!$M$1288="","",[2]Entry!$M$1288)</f>
        <v/>
      </c>
      <c r="O1285" t="str">
        <f>IF([2]Entry!$N$1288="","",[2]Entry!$N$1288)</f>
        <v/>
      </c>
      <c r="P1285" t="str">
        <f>IF([2]Entry!$S$1288="","",[2]Entry!$S$1288)</f>
        <v/>
      </c>
    </row>
    <row r="1286" spans="12:16" x14ac:dyDescent="0.2">
      <c r="L1286" t="str">
        <f>IF([2]Entry!$C$1289="","",[2]Entry!$C$1289)</f>
        <v/>
      </c>
      <c r="M1286" t="str">
        <f>IF([2]Entry!$J$1289="","",[2]Entry!$J$1289)</f>
        <v/>
      </c>
      <c r="N1286" t="str">
        <f>IF([2]Entry!$M$1289="","",[2]Entry!$M$1289)</f>
        <v/>
      </c>
      <c r="O1286" t="str">
        <f>IF([2]Entry!$N$1289="","",[2]Entry!$N$1289)</f>
        <v/>
      </c>
      <c r="P1286" t="str">
        <f>IF([2]Entry!$S$1289="","",[2]Entry!$S$1289)</f>
        <v/>
      </c>
    </row>
    <row r="1287" spans="12:16" x14ac:dyDescent="0.2">
      <c r="L1287" t="str">
        <f>IF([2]Entry!$C$1290="","",[2]Entry!$C$1290)</f>
        <v/>
      </c>
      <c r="M1287" t="str">
        <f>IF([2]Entry!$J$1290="","",[2]Entry!$J$1290)</f>
        <v/>
      </c>
      <c r="N1287" t="str">
        <f>IF([2]Entry!$M$1290="","",[2]Entry!$M$1290)</f>
        <v/>
      </c>
      <c r="O1287" t="str">
        <f>IF([2]Entry!$N$1290="","",[2]Entry!$N$1290)</f>
        <v/>
      </c>
      <c r="P1287" t="str">
        <f>IF([2]Entry!$S$1290="","",[2]Entry!$S$1290)</f>
        <v/>
      </c>
    </row>
    <row r="1288" spans="12:16" x14ac:dyDescent="0.2">
      <c r="L1288" t="str">
        <f>IF([2]Entry!$C$1291="","",[2]Entry!$C$1291)</f>
        <v/>
      </c>
      <c r="M1288" t="str">
        <f>IF([2]Entry!$J$1291="","",[2]Entry!$J$1291)</f>
        <v/>
      </c>
      <c r="N1288" t="str">
        <f>IF([2]Entry!$M$1291="","",[2]Entry!$M$1291)</f>
        <v/>
      </c>
      <c r="O1288" t="str">
        <f>IF([2]Entry!$N$1291="","",[2]Entry!$N$1291)</f>
        <v/>
      </c>
      <c r="P1288" t="str">
        <f>IF([2]Entry!$S$1291="","",[2]Entry!$S$1291)</f>
        <v/>
      </c>
    </row>
    <row r="1289" spans="12:16" x14ac:dyDescent="0.2">
      <c r="L1289" t="str">
        <f>IF([2]Entry!$C$1292="","",[2]Entry!$C$1292)</f>
        <v/>
      </c>
      <c r="M1289" t="str">
        <f>IF([2]Entry!$J$1292="","",[2]Entry!$J$1292)</f>
        <v/>
      </c>
      <c r="N1289" t="str">
        <f>IF([2]Entry!$M$1292="","",[2]Entry!$M$1292)</f>
        <v/>
      </c>
      <c r="O1289" t="str">
        <f>IF([2]Entry!$N$1292="","",[2]Entry!$N$1292)</f>
        <v/>
      </c>
      <c r="P1289" t="str">
        <f>IF([2]Entry!$S$1292="","",[2]Entry!$S$1292)</f>
        <v/>
      </c>
    </row>
    <row r="1290" spans="12:16" x14ac:dyDescent="0.2">
      <c r="L1290" t="str">
        <f>IF([2]Entry!$C$1293="","",[2]Entry!$C$1293)</f>
        <v/>
      </c>
      <c r="M1290" t="str">
        <f>IF([2]Entry!$J$1293="","",[2]Entry!$J$1293)</f>
        <v/>
      </c>
      <c r="N1290" t="str">
        <f>IF([2]Entry!$M$1293="","",[2]Entry!$M$1293)</f>
        <v/>
      </c>
      <c r="O1290" t="str">
        <f>IF([2]Entry!$N$1293="","",[2]Entry!$N$1293)</f>
        <v/>
      </c>
      <c r="P1290" t="str">
        <f>IF([2]Entry!$S$1293="","",[2]Entry!$S$1293)</f>
        <v/>
      </c>
    </row>
    <row r="1291" spans="12:16" x14ac:dyDescent="0.2">
      <c r="L1291" t="str">
        <f>IF([2]Entry!$C$1294="","",[2]Entry!$C$1294)</f>
        <v/>
      </c>
      <c r="M1291" t="str">
        <f>IF([2]Entry!$J$1294="","",[2]Entry!$J$1294)</f>
        <v/>
      </c>
      <c r="N1291" t="str">
        <f>IF([2]Entry!$M$1294="","",[2]Entry!$M$1294)</f>
        <v/>
      </c>
      <c r="O1291" t="str">
        <f>IF([2]Entry!$N$1294="","",[2]Entry!$N$1294)</f>
        <v/>
      </c>
      <c r="P1291" t="str">
        <f>IF([2]Entry!$S$1294="","",[2]Entry!$S$1294)</f>
        <v/>
      </c>
    </row>
    <row r="1292" spans="12:16" x14ac:dyDescent="0.2">
      <c r="L1292" t="str">
        <f>IF([2]Entry!$C$1295="","",[2]Entry!$C$1295)</f>
        <v/>
      </c>
      <c r="M1292" t="str">
        <f>IF([2]Entry!$J$1295="","",[2]Entry!$J$1295)</f>
        <v/>
      </c>
      <c r="N1292" t="str">
        <f>IF([2]Entry!$M$1295="","",[2]Entry!$M$1295)</f>
        <v/>
      </c>
      <c r="O1292" t="str">
        <f>IF([2]Entry!$N$1295="","",[2]Entry!$N$1295)</f>
        <v/>
      </c>
      <c r="P1292" t="str">
        <f>IF([2]Entry!$S$1295="","",[2]Entry!$S$1295)</f>
        <v/>
      </c>
    </row>
    <row r="1293" spans="12:16" x14ac:dyDescent="0.2">
      <c r="L1293" t="str">
        <f>IF([2]Entry!$C$1296="","",[2]Entry!$C$1296)</f>
        <v/>
      </c>
      <c r="M1293" t="str">
        <f>IF([2]Entry!$J$1296="","",[2]Entry!$J$1296)</f>
        <v/>
      </c>
      <c r="N1293" t="str">
        <f>IF([2]Entry!$M$1296="","",[2]Entry!$M$1296)</f>
        <v/>
      </c>
      <c r="O1293" t="str">
        <f>IF([2]Entry!$N$1296="","",[2]Entry!$N$1296)</f>
        <v/>
      </c>
      <c r="P1293" t="str">
        <f>IF([2]Entry!$S$1296="","",[2]Entry!$S$1296)</f>
        <v/>
      </c>
    </row>
    <row r="1294" spans="12:16" x14ac:dyDescent="0.2">
      <c r="L1294" t="str">
        <f>IF([2]Entry!$C$1297="","",[2]Entry!$C$1297)</f>
        <v/>
      </c>
      <c r="M1294" t="str">
        <f>IF([2]Entry!$J$1297="","",[2]Entry!$J$1297)</f>
        <v/>
      </c>
      <c r="N1294" t="str">
        <f>IF([2]Entry!$M$1297="","",[2]Entry!$M$1297)</f>
        <v/>
      </c>
      <c r="O1294" t="str">
        <f>IF([2]Entry!$N$1297="","",[2]Entry!$N$1297)</f>
        <v/>
      </c>
      <c r="P1294" t="str">
        <f>IF([2]Entry!$S$1297="","",[2]Entry!$S$1297)</f>
        <v/>
      </c>
    </row>
    <row r="1295" spans="12:16" x14ac:dyDescent="0.2">
      <c r="L1295" t="str">
        <f>IF([2]Entry!$C$1298="","",[2]Entry!$C$1298)</f>
        <v/>
      </c>
      <c r="M1295" t="str">
        <f>IF([2]Entry!$J$1298="","",[2]Entry!$J$1298)</f>
        <v/>
      </c>
      <c r="N1295" t="str">
        <f>IF([2]Entry!$M$1298="","",[2]Entry!$M$1298)</f>
        <v/>
      </c>
      <c r="O1295" t="str">
        <f>IF([2]Entry!$N$1298="","",[2]Entry!$N$1298)</f>
        <v/>
      </c>
      <c r="P1295" t="str">
        <f>IF([2]Entry!$S$1298="","",[2]Entry!$S$1298)</f>
        <v/>
      </c>
    </row>
    <row r="1296" spans="12:16" x14ac:dyDescent="0.2">
      <c r="L1296" t="str">
        <f>IF([2]Entry!$C$1299="","",[2]Entry!$C$1299)</f>
        <v/>
      </c>
      <c r="M1296" t="str">
        <f>IF([2]Entry!$J$1299="","",[2]Entry!$J$1299)</f>
        <v/>
      </c>
      <c r="N1296" t="str">
        <f>IF([2]Entry!$M$1299="","",[2]Entry!$M$1299)</f>
        <v/>
      </c>
      <c r="O1296" t="str">
        <f>IF([2]Entry!$N$1299="","",[2]Entry!$N$1299)</f>
        <v/>
      </c>
      <c r="P1296" t="str">
        <f>IF([2]Entry!$S$1299="","",[2]Entry!$S$1299)</f>
        <v/>
      </c>
    </row>
    <row r="1297" spans="12:16" x14ac:dyDescent="0.2">
      <c r="L1297" t="str">
        <f>IF([2]Entry!$C$1300="","",[2]Entry!$C$1300)</f>
        <v/>
      </c>
      <c r="M1297" t="str">
        <f>IF([2]Entry!$J$1300="","",[2]Entry!$J$1300)</f>
        <v/>
      </c>
      <c r="N1297" t="str">
        <f>IF([2]Entry!$M$1300="","",[2]Entry!$M$1300)</f>
        <v/>
      </c>
      <c r="O1297" t="str">
        <f>IF([2]Entry!$N$1300="","",[2]Entry!$N$1300)</f>
        <v/>
      </c>
      <c r="P1297" t="str">
        <f>IF([2]Entry!$S$1300="","",[2]Entry!$S$1300)</f>
        <v/>
      </c>
    </row>
    <row r="1298" spans="12:16" x14ac:dyDescent="0.2">
      <c r="L1298" t="str">
        <f>IF([2]Entry!$C$1301="","",[2]Entry!$C$1301)</f>
        <v/>
      </c>
      <c r="M1298" t="str">
        <f>IF([2]Entry!$J$1301="","",[2]Entry!$J$1301)</f>
        <v/>
      </c>
      <c r="N1298" t="str">
        <f>IF([2]Entry!$M$1301="","",[2]Entry!$M$1301)</f>
        <v/>
      </c>
      <c r="O1298" t="str">
        <f>IF([2]Entry!$N$1301="","",[2]Entry!$N$1301)</f>
        <v/>
      </c>
      <c r="P1298" t="str">
        <f>IF([2]Entry!$S$1301="","",[2]Entry!$S$1301)</f>
        <v/>
      </c>
    </row>
    <row r="1299" spans="12:16" x14ac:dyDescent="0.2">
      <c r="L1299" t="str">
        <f>IF([2]Entry!$C$1302="","",[2]Entry!$C$1302)</f>
        <v/>
      </c>
      <c r="M1299" t="str">
        <f>IF([2]Entry!$J$1302="","",[2]Entry!$J$1302)</f>
        <v/>
      </c>
      <c r="N1299" t="str">
        <f>IF([2]Entry!$M$1302="","",[2]Entry!$M$1302)</f>
        <v/>
      </c>
      <c r="O1299" t="str">
        <f>IF([2]Entry!$N$1302="","",[2]Entry!$N$1302)</f>
        <v/>
      </c>
      <c r="P1299" t="str">
        <f>IF([2]Entry!$S$1302="","",[2]Entry!$S$1302)</f>
        <v/>
      </c>
    </row>
    <row r="1300" spans="12:16" x14ac:dyDescent="0.2">
      <c r="L1300" t="str">
        <f>IF([2]Entry!$C$1303="","",[2]Entry!$C$1303)</f>
        <v/>
      </c>
      <c r="M1300" t="str">
        <f>IF([2]Entry!$J$1303="","",[2]Entry!$J$1303)</f>
        <v/>
      </c>
      <c r="N1300" t="str">
        <f>IF([2]Entry!$M$1303="","",[2]Entry!$M$1303)</f>
        <v/>
      </c>
      <c r="O1300" t="str">
        <f>IF([2]Entry!$N$1303="","",[2]Entry!$N$1303)</f>
        <v/>
      </c>
      <c r="P1300" t="str">
        <f>IF([2]Entry!$S$1303="","",[2]Entry!$S$1303)</f>
        <v/>
      </c>
    </row>
    <row r="1301" spans="12:16" x14ac:dyDescent="0.2">
      <c r="L1301" t="str">
        <f>IF([2]Entry!$C$1304="","",[2]Entry!$C$1304)</f>
        <v/>
      </c>
      <c r="M1301" t="str">
        <f>IF([2]Entry!$J$1304="","",[2]Entry!$J$1304)</f>
        <v/>
      </c>
      <c r="N1301" t="str">
        <f>IF([2]Entry!$M$1304="","",[2]Entry!$M$1304)</f>
        <v/>
      </c>
      <c r="O1301" t="str">
        <f>IF([2]Entry!$N$1304="","",[2]Entry!$N$1304)</f>
        <v/>
      </c>
      <c r="P1301" t="str">
        <f>IF([2]Entry!$S$1304="","",[2]Entry!$S$1304)</f>
        <v/>
      </c>
    </row>
    <row r="1302" spans="12:16" x14ac:dyDescent="0.2">
      <c r="L1302" t="str">
        <f>IF([2]Entry!$C$1305="","",[2]Entry!$C$1305)</f>
        <v/>
      </c>
      <c r="M1302" t="str">
        <f>IF([2]Entry!$J$1305="","",[2]Entry!$J$1305)</f>
        <v/>
      </c>
      <c r="N1302" t="str">
        <f>IF([2]Entry!$M$1305="","",[2]Entry!$M$1305)</f>
        <v/>
      </c>
      <c r="O1302" t="str">
        <f>IF([2]Entry!$N$1305="","",[2]Entry!$N$1305)</f>
        <v/>
      </c>
      <c r="P1302" t="str">
        <f>IF([2]Entry!$S$1305="","",[2]Entry!$S$1305)</f>
        <v/>
      </c>
    </row>
    <row r="1303" spans="12:16" x14ac:dyDescent="0.2">
      <c r="L1303" t="str">
        <f>IF([2]Entry!$C$1306="","",[2]Entry!$C$1306)</f>
        <v/>
      </c>
      <c r="M1303" t="str">
        <f>IF([2]Entry!$J$1306="","",[2]Entry!$J$1306)</f>
        <v/>
      </c>
      <c r="N1303" t="str">
        <f>IF([2]Entry!$M$1306="","",[2]Entry!$M$1306)</f>
        <v/>
      </c>
      <c r="O1303" t="str">
        <f>IF([2]Entry!$N$1306="","",[2]Entry!$N$1306)</f>
        <v/>
      </c>
      <c r="P1303" t="str">
        <f>IF([2]Entry!$S$1306="","",[2]Entry!$S$1306)</f>
        <v/>
      </c>
    </row>
    <row r="1304" spans="12:16" x14ac:dyDescent="0.2">
      <c r="L1304" t="str">
        <f>IF([2]Entry!$C$1307="","",[2]Entry!$C$1307)</f>
        <v/>
      </c>
      <c r="M1304" t="str">
        <f>IF([2]Entry!$J$1307="","",[2]Entry!$J$1307)</f>
        <v/>
      </c>
      <c r="N1304" t="str">
        <f>IF([2]Entry!$M$1307="","",[2]Entry!$M$1307)</f>
        <v/>
      </c>
      <c r="O1304" t="str">
        <f>IF([2]Entry!$N$1307="","",[2]Entry!$N$1307)</f>
        <v/>
      </c>
      <c r="P1304" t="str">
        <f>IF([2]Entry!$S$1307="","",[2]Entry!$S$1307)</f>
        <v/>
      </c>
    </row>
    <row r="1305" spans="12:16" x14ac:dyDescent="0.2">
      <c r="L1305" t="str">
        <f>IF([2]Entry!$C$1308="","",[2]Entry!$C$1308)</f>
        <v/>
      </c>
      <c r="M1305" t="str">
        <f>IF([2]Entry!$J$1308="","",[2]Entry!$J$1308)</f>
        <v/>
      </c>
      <c r="N1305" t="str">
        <f>IF([2]Entry!$M$1308="","",[2]Entry!$M$1308)</f>
        <v/>
      </c>
      <c r="O1305" t="str">
        <f>IF([2]Entry!$N$1308="","",[2]Entry!$N$1308)</f>
        <v/>
      </c>
      <c r="P1305" t="str">
        <f>IF([2]Entry!$S$1308="","",[2]Entry!$S$1308)</f>
        <v/>
      </c>
    </row>
    <row r="1306" spans="12:16" x14ac:dyDescent="0.2">
      <c r="L1306" t="str">
        <f>IF([2]Entry!$C$1309="","",[2]Entry!$C$1309)</f>
        <v/>
      </c>
      <c r="M1306" t="str">
        <f>IF([2]Entry!$J$1309="","",[2]Entry!$J$1309)</f>
        <v/>
      </c>
      <c r="N1306" t="str">
        <f>IF([2]Entry!$M$1309="","",[2]Entry!$M$1309)</f>
        <v/>
      </c>
      <c r="O1306" t="str">
        <f>IF([2]Entry!$N$1309="","",[2]Entry!$N$1309)</f>
        <v/>
      </c>
      <c r="P1306" t="str">
        <f>IF([2]Entry!$S$1309="","",[2]Entry!$S$1309)</f>
        <v/>
      </c>
    </row>
    <row r="1307" spans="12:16" x14ac:dyDescent="0.2">
      <c r="L1307" t="str">
        <f>IF([2]Entry!$C$1310="","",[2]Entry!$C$1310)</f>
        <v/>
      </c>
      <c r="M1307" t="str">
        <f>IF([2]Entry!$J$1310="","",[2]Entry!$J$1310)</f>
        <v/>
      </c>
      <c r="N1307" t="str">
        <f>IF([2]Entry!$M$1310="","",[2]Entry!$M$1310)</f>
        <v/>
      </c>
      <c r="O1307" t="str">
        <f>IF([2]Entry!$N$1310="","",[2]Entry!$N$1310)</f>
        <v/>
      </c>
      <c r="P1307" t="str">
        <f>IF([2]Entry!$S$1310="","",[2]Entry!$S$1310)</f>
        <v/>
      </c>
    </row>
    <row r="1308" spans="12:16" x14ac:dyDescent="0.2">
      <c r="L1308" t="str">
        <f>IF([2]Entry!$C$1311="","",[2]Entry!$C$1311)</f>
        <v/>
      </c>
      <c r="M1308" t="str">
        <f>IF([2]Entry!$J$1311="","",[2]Entry!$J$1311)</f>
        <v/>
      </c>
      <c r="N1308" t="str">
        <f>IF([2]Entry!$M$1311="","",[2]Entry!$M$1311)</f>
        <v/>
      </c>
      <c r="O1308" t="str">
        <f>IF([2]Entry!$N$1311="","",[2]Entry!$N$1311)</f>
        <v/>
      </c>
      <c r="P1308" t="str">
        <f>IF([2]Entry!$S$1311="","",[2]Entry!$S$1311)</f>
        <v/>
      </c>
    </row>
    <row r="1309" spans="12:16" x14ac:dyDescent="0.2">
      <c r="L1309" t="str">
        <f>IF([2]Entry!$C$1312="","",[2]Entry!$C$1312)</f>
        <v/>
      </c>
      <c r="M1309" t="str">
        <f>IF([2]Entry!$J$1312="","",[2]Entry!$J$1312)</f>
        <v/>
      </c>
      <c r="N1309" t="str">
        <f>IF([2]Entry!$M$1312="","",[2]Entry!$M$1312)</f>
        <v/>
      </c>
      <c r="O1309" t="str">
        <f>IF([2]Entry!$N$1312="","",[2]Entry!$N$1312)</f>
        <v/>
      </c>
      <c r="P1309" t="str">
        <f>IF([2]Entry!$S$1312="","",[2]Entry!$S$1312)</f>
        <v/>
      </c>
    </row>
    <row r="1310" spans="12:16" x14ac:dyDescent="0.2">
      <c r="L1310" t="str">
        <f>IF([2]Entry!$C$1313="","",[2]Entry!$C$1313)</f>
        <v/>
      </c>
      <c r="M1310" t="str">
        <f>IF([2]Entry!$J$1313="","",[2]Entry!$J$1313)</f>
        <v/>
      </c>
      <c r="N1310" t="str">
        <f>IF([2]Entry!$M$1313="","",[2]Entry!$M$1313)</f>
        <v/>
      </c>
      <c r="O1310" t="str">
        <f>IF([2]Entry!$N$1313="","",[2]Entry!$N$1313)</f>
        <v/>
      </c>
      <c r="P1310" t="str">
        <f>IF([2]Entry!$S$1313="","",[2]Entry!$S$1313)</f>
        <v/>
      </c>
    </row>
    <row r="1311" spans="12:16" x14ac:dyDescent="0.2">
      <c r="L1311" t="str">
        <f>IF([2]Entry!$C$1314="","",[2]Entry!$C$1314)</f>
        <v/>
      </c>
      <c r="M1311" t="str">
        <f>IF([2]Entry!$J$1314="","",[2]Entry!$J$1314)</f>
        <v/>
      </c>
      <c r="N1311" t="str">
        <f>IF([2]Entry!$M$1314="","",[2]Entry!$M$1314)</f>
        <v/>
      </c>
      <c r="O1311" t="str">
        <f>IF([2]Entry!$N$1314="","",[2]Entry!$N$1314)</f>
        <v/>
      </c>
      <c r="P1311" t="str">
        <f>IF([2]Entry!$S$1314="","",[2]Entry!$S$1314)</f>
        <v/>
      </c>
    </row>
    <row r="1312" spans="12:16" x14ac:dyDescent="0.2">
      <c r="L1312" t="str">
        <f>IF([2]Entry!$C$1315="","",[2]Entry!$C$1315)</f>
        <v/>
      </c>
      <c r="M1312" t="str">
        <f>IF([2]Entry!$J$1315="","",[2]Entry!$J$1315)</f>
        <v/>
      </c>
      <c r="N1312" t="str">
        <f>IF([2]Entry!$M$1315="","",[2]Entry!$M$1315)</f>
        <v/>
      </c>
      <c r="O1312" t="str">
        <f>IF([2]Entry!$N$1315="","",[2]Entry!$N$1315)</f>
        <v/>
      </c>
      <c r="P1312" t="str">
        <f>IF([2]Entry!$S$1315="","",[2]Entry!$S$1315)</f>
        <v/>
      </c>
    </row>
    <row r="1313" spans="12:16" x14ac:dyDescent="0.2">
      <c r="L1313" t="str">
        <f>IF([2]Entry!$C$1316="","",[2]Entry!$C$1316)</f>
        <v/>
      </c>
      <c r="M1313" t="str">
        <f>IF([2]Entry!$J$1316="","",[2]Entry!$J$1316)</f>
        <v/>
      </c>
      <c r="N1313" t="str">
        <f>IF([2]Entry!$M$1316="","",[2]Entry!$M$1316)</f>
        <v/>
      </c>
      <c r="O1313" t="str">
        <f>IF([2]Entry!$N$1316="","",[2]Entry!$N$1316)</f>
        <v/>
      </c>
      <c r="P1313" t="str">
        <f>IF([2]Entry!$S$1316="","",[2]Entry!$S$1316)</f>
        <v/>
      </c>
    </row>
    <row r="1314" spans="12:16" x14ac:dyDescent="0.2">
      <c r="L1314" t="str">
        <f>IF([2]Entry!$C$1317="","",[2]Entry!$C$1317)</f>
        <v/>
      </c>
      <c r="M1314" t="str">
        <f>IF([2]Entry!$J$1317="","",[2]Entry!$J$1317)</f>
        <v/>
      </c>
      <c r="N1314" t="str">
        <f>IF([2]Entry!$M$1317="","",[2]Entry!$M$1317)</f>
        <v/>
      </c>
      <c r="O1314" t="str">
        <f>IF([2]Entry!$N$1317="","",[2]Entry!$N$1317)</f>
        <v/>
      </c>
      <c r="P1314" t="str">
        <f>IF([2]Entry!$S$1317="","",[2]Entry!$S$1317)</f>
        <v/>
      </c>
    </row>
    <row r="1315" spans="12:16" x14ac:dyDescent="0.2">
      <c r="L1315" t="str">
        <f>IF([2]Entry!$C$1318="","",[2]Entry!$C$1318)</f>
        <v/>
      </c>
      <c r="M1315" t="str">
        <f>IF([2]Entry!$J$1318="","",[2]Entry!$J$1318)</f>
        <v/>
      </c>
      <c r="N1315" t="str">
        <f>IF([2]Entry!$M$1318="","",[2]Entry!$M$1318)</f>
        <v/>
      </c>
      <c r="O1315" t="str">
        <f>IF([2]Entry!$N$1318="","",[2]Entry!$N$1318)</f>
        <v/>
      </c>
      <c r="P1315" t="str">
        <f>IF([2]Entry!$S$1318="","",[2]Entry!$S$1318)</f>
        <v/>
      </c>
    </row>
    <row r="1316" spans="12:16" x14ac:dyDescent="0.2">
      <c r="L1316" t="str">
        <f>IF([2]Entry!$C$1319="","",[2]Entry!$C$1319)</f>
        <v/>
      </c>
      <c r="M1316" t="str">
        <f>IF([2]Entry!$J$1319="","",[2]Entry!$J$1319)</f>
        <v/>
      </c>
      <c r="N1316" t="str">
        <f>IF([2]Entry!$M$1319="","",[2]Entry!$M$1319)</f>
        <v/>
      </c>
      <c r="O1316" t="str">
        <f>IF([2]Entry!$N$1319="","",[2]Entry!$N$1319)</f>
        <v/>
      </c>
      <c r="P1316" t="str">
        <f>IF([2]Entry!$S$1319="","",[2]Entry!$S$1319)</f>
        <v/>
      </c>
    </row>
    <row r="1317" spans="12:16" x14ac:dyDescent="0.2">
      <c r="L1317" t="str">
        <f>IF([2]Entry!$C$1320="","",[2]Entry!$C$1320)</f>
        <v/>
      </c>
      <c r="M1317" t="str">
        <f>IF([2]Entry!$J$1320="","",[2]Entry!$J$1320)</f>
        <v/>
      </c>
      <c r="N1317" t="str">
        <f>IF([2]Entry!$M$1320="","",[2]Entry!$M$1320)</f>
        <v/>
      </c>
      <c r="O1317" t="str">
        <f>IF([2]Entry!$N$1320="","",[2]Entry!$N$1320)</f>
        <v/>
      </c>
      <c r="P1317" t="str">
        <f>IF([2]Entry!$S$1320="","",[2]Entry!$S$1320)</f>
        <v/>
      </c>
    </row>
    <row r="1318" spans="12:16" x14ac:dyDescent="0.2">
      <c r="L1318" t="str">
        <f>IF([2]Entry!$C$1321="","",[2]Entry!$C$1321)</f>
        <v/>
      </c>
      <c r="M1318" t="str">
        <f>IF([2]Entry!$J$1321="","",[2]Entry!$J$1321)</f>
        <v/>
      </c>
      <c r="N1318" t="str">
        <f>IF([2]Entry!$M$1321="","",[2]Entry!$M$1321)</f>
        <v/>
      </c>
      <c r="O1318" t="str">
        <f>IF([2]Entry!$N$1321="","",[2]Entry!$N$1321)</f>
        <v/>
      </c>
      <c r="P1318" t="str">
        <f>IF([2]Entry!$S$1321="","",[2]Entry!$S$1321)</f>
        <v/>
      </c>
    </row>
    <row r="1319" spans="12:16" x14ac:dyDescent="0.2">
      <c r="L1319" t="str">
        <f>IF([2]Entry!$C$1322="","",[2]Entry!$C$1322)</f>
        <v/>
      </c>
      <c r="M1319" t="str">
        <f>IF([2]Entry!$J$1322="","",[2]Entry!$J$1322)</f>
        <v/>
      </c>
      <c r="N1319" t="str">
        <f>IF([2]Entry!$M$1322="","",[2]Entry!$M$1322)</f>
        <v/>
      </c>
      <c r="O1319" t="str">
        <f>IF([2]Entry!$N$1322="","",[2]Entry!$N$1322)</f>
        <v/>
      </c>
      <c r="P1319" t="str">
        <f>IF([2]Entry!$S$1322="","",[2]Entry!$S$1322)</f>
        <v/>
      </c>
    </row>
    <row r="1320" spans="12:16" x14ac:dyDescent="0.2">
      <c r="L1320" t="str">
        <f>IF([2]Entry!$C$1323="","",[2]Entry!$C$1323)</f>
        <v/>
      </c>
      <c r="M1320" t="str">
        <f>IF([2]Entry!$J$1323="","",[2]Entry!$J$1323)</f>
        <v/>
      </c>
      <c r="N1320" t="str">
        <f>IF([2]Entry!$M$1323="","",[2]Entry!$M$1323)</f>
        <v/>
      </c>
      <c r="O1320" t="str">
        <f>IF([2]Entry!$N$1323="","",[2]Entry!$N$1323)</f>
        <v/>
      </c>
      <c r="P1320" t="str">
        <f>IF([2]Entry!$S$1323="","",[2]Entry!$S$1323)</f>
        <v/>
      </c>
    </row>
    <row r="1321" spans="12:16" x14ac:dyDescent="0.2">
      <c r="L1321" t="str">
        <f>IF([2]Entry!$C$1324="","",[2]Entry!$C$1324)</f>
        <v/>
      </c>
      <c r="M1321" t="str">
        <f>IF([2]Entry!$J$1324="","",[2]Entry!$J$1324)</f>
        <v/>
      </c>
      <c r="N1321" t="str">
        <f>IF([2]Entry!$M$1324="","",[2]Entry!$M$1324)</f>
        <v/>
      </c>
      <c r="O1321" t="str">
        <f>IF([2]Entry!$N$1324="","",[2]Entry!$N$1324)</f>
        <v/>
      </c>
      <c r="P1321" t="str">
        <f>IF([2]Entry!$S$1324="","",[2]Entry!$S$1324)</f>
        <v/>
      </c>
    </row>
    <row r="1322" spans="12:16" x14ac:dyDescent="0.2">
      <c r="L1322" t="str">
        <f>IF([2]Entry!$C$1325="","",[2]Entry!$C$1325)</f>
        <v/>
      </c>
      <c r="M1322" t="str">
        <f>IF([2]Entry!$J$1325="","",[2]Entry!$J$1325)</f>
        <v/>
      </c>
      <c r="N1322" t="str">
        <f>IF([2]Entry!$M$1325="","",[2]Entry!$M$1325)</f>
        <v/>
      </c>
      <c r="O1322" t="str">
        <f>IF([2]Entry!$N$1325="","",[2]Entry!$N$1325)</f>
        <v/>
      </c>
      <c r="P1322" t="str">
        <f>IF([2]Entry!$S$1325="","",[2]Entry!$S$1325)</f>
        <v/>
      </c>
    </row>
    <row r="1323" spans="12:16" x14ac:dyDescent="0.2">
      <c r="L1323" t="str">
        <f>IF([2]Entry!$C$1326="","",[2]Entry!$C$1326)</f>
        <v/>
      </c>
      <c r="M1323" t="str">
        <f>IF([2]Entry!$J$1326="","",[2]Entry!$J$1326)</f>
        <v/>
      </c>
      <c r="N1323" t="str">
        <f>IF([2]Entry!$M$1326="","",[2]Entry!$M$1326)</f>
        <v/>
      </c>
      <c r="O1323" t="str">
        <f>IF([2]Entry!$N$1326="","",[2]Entry!$N$1326)</f>
        <v/>
      </c>
      <c r="P1323" t="str">
        <f>IF([2]Entry!$S$1326="","",[2]Entry!$S$1326)</f>
        <v/>
      </c>
    </row>
    <row r="1324" spans="12:16" x14ac:dyDescent="0.2">
      <c r="L1324" t="str">
        <f>IF([2]Entry!$C$1327="","",[2]Entry!$C$1327)</f>
        <v/>
      </c>
      <c r="M1324" t="str">
        <f>IF([2]Entry!$J$1327="","",[2]Entry!$J$1327)</f>
        <v/>
      </c>
      <c r="N1324" t="str">
        <f>IF([2]Entry!$M$1327="","",[2]Entry!$M$1327)</f>
        <v/>
      </c>
      <c r="O1324" t="str">
        <f>IF([2]Entry!$N$1327="","",[2]Entry!$N$1327)</f>
        <v/>
      </c>
      <c r="P1324" t="str">
        <f>IF([2]Entry!$S$1327="","",[2]Entry!$S$1327)</f>
        <v/>
      </c>
    </row>
    <row r="1325" spans="12:16" x14ac:dyDescent="0.2">
      <c r="L1325" t="str">
        <f>IF([2]Entry!$C$1328="","",[2]Entry!$C$1328)</f>
        <v/>
      </c>
      <c r="M1325" t="str">
        <f>IF([2]Entry!$J$1328="","",[2]Entry!$J$1328)</f>
        <v/>
      </c>
      <c r="N1325" t="str">
        <f>IF([2]Entry!$M$1328="","",[2]Entry!$M$1328)</f>
        <v/>
      </c>
      <c r="O1325" t="str">
        <f>IF([2]Entry!$N$1328="","",[2]Entry!$N$1328)</f>
        <v/>
      </c>
      <c r="P1325" t="str">
        <f>IF([2]Entry!$S$1328="","",[2]Entry!$S$1328)</f>
        <v/>
      </c>
    </row>
    <row r="1326" spans="12:16" x14ac:dyDescent="0.2">
      <c r="L1326" t="str">
        <f>IF([2]Entry!$C$1329="","",[2]Entry!$C$1329)</f>
        <v/>
      </c>
      <c r="M1326" t="str">
        <f>IF([2]Entry!$J$1329="","",[2]Entry!$J$1329)</f>
        <v/>
      </c>
      <c r="N1326" t="str">
        <f>IF([2]Entry!$M$1329="","",[2]Entry!$M$1329)</f>
        <v/>
      </c>
      <c r="O1326" t="str">
        <f>IF([2]Entry!$N$1329="","",[2]Entry!$N$1329)</f>
        <v/>
      </c>
      <c r="P1326" t="str">
        <f>IF([2]Entry!$S$1329="","",[2]Entry!$S$1329)</f>
        <v/>
      </c>
    </row>
    <row r="1327" spans="12:16" x14ac:dyDescent="0.2">
      <c r="L1327" t="str">
        <f>IF([2]Entry!$C$1330="","",[2]Entry!$C$1330)</f>
        <v/>
      </c>
      <c r="M1327" t="str">
        <f>IF([2]Entry!$J$1330="","",[2]Entry!$J$1330)</f>
        <v/>
      </c>
      <c r="N1327" t="str">
        <f>IF([2]Entry!$M$1330="","",[2]Entry!$M$1330)</f>
        <v/>
      </c>
      <c r="O1327" t="str">
        <f>IF([2]Entry!$N$1330="","",[2]Entry!$N$1330)</f>
        <v/>
      </c>
      <c r="P1327" t="str">
        <f>IF([2]Entry!$S$1330="","",[2]Entry!$S$1330)</f>
        <v/>
      </c>
    </row>
    <row r="1328" spans="12:16" x14ac:dyDescent="0.2">
      <c r="L1328" t="str">
        <f>IF([2]Entry!$C$1331="","",[2]Entry!$C$1331)</f>
        <v/>
      </c>
      <c r="M1328" t="str">
        <f>IF([2]Entry!$J$1331="","",[2]Entry!$J$1331)</f>
        <v/>
      </c>
      <c r="N1328" t="str">
        <f>IF([2]Entry!$M$1331="","",[2]Entry!$M$1331)</f>
        <v/>
      </c>
      <c r="O1328" t="str">
        <f>IF([2]Entry!$N$1331="","",[2]Entry!$N$1331)</f>
        <v/>
      </c>
      <c r="P1328" t="str">
        <f>IF([2]Entry!$S$1331="","",[2]Entry!$S$1331)</f>
        <v/>
      </c>
    </row>
    <row r="1329" spans="12:16" x14ac:dyDescent="0.2">
      <c r="L1329" t="str">
        <f>IF([2]Entry!$C$1332="","",[2]Entry!$C$1332)</f>
        <v/>
      </c>
      <c r="M1329" t="str">
        <f>IF([2]Entry!$J$1332="","",[2]Entry!$J$1332)</f>
        <v/>
      </c>
      <c r="N1329" t="str">
        <f>IF([2]Entry!$M$1332="","",[2]Entry!$M$1332)</f>
        <v/>
      </c>
      <c r="O1329" t="str">
        <f>IF([2]Entry!$N$1332="","",[2]Entry!$N$1332)</f>
        <v/>
      </c>
      <c r="P1329" t="str">
        <f>IF([2]Entry!$S$1332="","",[2]Entry!$S$1332)</f>
        <v/>
      </c>
    </row>
    <row r="1330" spans="12:16" x14ac:dyDescent="0.2">
      <c r="L1330" t="str">
        <f>IF([2]Entry!$C$1333="","",[2]Entry!$C$1333)</f>
        <v/>
      </c>
      <c r="M1330" t="str">
        <f>IF([2]Entry!$J$1333="","",[2]Entry!$J$1333)</f>
        <v/>
      </c>
      <c r="N1330" t="str">
        <f>IF([2]Entry!$M$1333="","",[2]Entry!$M$1333)</f>
        <v/>
      </c>
      <c r="O1330" t="str">
        <f>IF([2]Entry!$N$1333="","",[2]Entry!$N$1333)</f>
        <v/>
      </c>
      <c r="P1330" t="str">
        <f>IF([2]Entry!$S$1333="","",[2]Entry!$S$1333)</f>
        <v/>
      </c>
    </row>
    <row r="1331" spans="12:16" x14ac:dyDescent="0.2">
      <c r="L1331" t="str">
        <f>IF([2]Entry!$C$1334="","",[2]Entry!$C$1334)</f>
        <v/>
      </c>
      <c r="M1331" t="str">
        <f>IF([2]Entry!$J$1334="","",[2]Entry!$J$1334)</f>
        <v/>
      </c>
      <c r="N1331" t="str">
        <f>IF([2]Entry!$M$1334="","",[2]Entry!$M$1334)</f>
        <v/>
      </c>
      <c r="O1331" t="str">
        <f>IF([2]Entry!$N$1334="","",[2]Entry!$N$1334)</f>
        <v/>
      </c>
      <c r="P1331" t="str">
        <f>IF([2]Entry!$S$1334="","",[2]Entry!$S$1334)</f>
        <v/>
      </c>
    </row>
    <row r="1332" spans="12:16" x14ac:dyDescent="0.2">
      <c r="L1332" t="str">
        <f>IF([2]Entry!$C$1335="","",[2]Entry!$C$1335)</f>
        <v/>
      </c>
      <c r="M1332" t="str">
        <f>IF([2]Entry!$J$1335="","",[2]Entry!$J$1335)</f>
        <v/>
      </c>
      <c r="N1332" t="str">
        <f>IF([2]Entry!$M$1335="","",[2]Entry!$M$1335)</f>
        <v/>
      </c>
      <c r="O1332" t="str">
        <f>IF([2]Entry!$N$1335="","",[2]Entry!$N$1335)</f>
        <v/>
      </c>
      <c r="P1332" t="str">
        <f>IF([2]Entry!$S$1335="","",[2]Entry!$S$1335)</f>
        <v/>
      </c>
    </row>
    <row r="1333" spans="12:16" x14ac:dyDescent="0.2">
      <c r="L1333" t="str">
        <f>IF([2]Entry!$C$1336="","",[2]Entry!$C$1336)</f>
        <v/>
      </c>
      <c r="M1333" t="str">
        <f>IF([2]Entry!$J$1336="","",[2]Entry!$J$1336)</f>
        <v/>
      </c>
      <c r="N1333" t="str">
        <f>IF([2]Entry!$M$1336="","",[2]Entry!$M$1336)</f>
        <v/>
      </c>
      <c r="O1333" t="str">
        <f>IF([2]Entry!$N$1336="","",[2]Entry!$N$1336)</f>
        <v/>
      </c>
      <c r="P1333" t="str">
        <f>IF([2]Entry!$S$1336="","",[2]Entry!$S$1336)</f>
        <v/>
      </c>
    </row>
    <row r="1334" spans="12:16" x14ac:dyDescent="0.2">
      <c r="L1334" t="str">
        <f>IF([2]Entry!$C$1337="","",[2]Entry!$C$1337)</f>
        <v/>
      </c>
      <c r="M1334" t="str">
        <f>IF([2]Entry!$J$1337="","",[2]Entry!$J$1337)</f>
        <v/>
      </c>
      <c r="N1334" t="str">
        <f>IF([2]Entry!$M$1337="","",[2]Entry!$M$1337)</f>
        <v/>
      </c>
      <c r="O1334" t="str">
        <f>IF([2]Entry!$N$1337="","",[2]Entry!$N$1337)</f>
        <v/>
      </c>
      <c r="P1334" t="str">
        <f>IF([2]Entry!$S$1337="","",[2]Entry!$S$1337)</f>
        <v/>
      </c>
    </row>
    <row r="1335" spans="12:16" x14ac:dyDescent="0.2">
      <c r="L1335" t="str">
        <f>IF([2]Entry!$C$1338="","",[2]Entry!$C$1338)</f>
        <v/>
      </c>
      <c r="M1335" t="str">
        <f>IF([2]Entry!$J$1338="","",[2]Entry!$J$1338)</f>
        <v/>
      </c>
      <c r="N1335" t="str">
        <f>IF([2]Entry!$M$1338="","",[2]Entry!$M$1338)</f>
        <v/>
      </c>
      <c r="O1335" t="str">
        <f>IF([2]Entry!$N$1338="","",[2]Entry!$N$1338)</f>
        <v/>
      </c>
      <c r="P1335" t="str">
        <f>IF([2]Entry!$S$1338="","",[2]Entry!$S$1338)</f>
        <v/>
      </c>
    </row>
    <row r="1336" spans="12:16" x14ac:dyDescent="0.2">
      <c r="L1336" t="str">
        <f>IF([2]Entry!$C$1339="","",[2]Entry!$C$1339)</f>
        <v/>
      </c>
      <c r="M1336" t="str">
        <f>IF([2]Entry!$J$1339="","",[2]Entry!$J$1339)</f>
        <v/>
      </c>
      <c r="N1336" t="str">
        <f>IF([2]Entry!$M$1339="","",[2]Entry!$M$1339)</f>
        <v/>
      </c>
      <c r="O1336" t="str">
        <f>IF([2]Entry!$N$1339="","",[2]Entry!$N$1339)</f>
        <v/>
      </c>
      <c r="P1336" t="str">
        <f>IF([2]Entry!$S$1339="","",[2]Entry!$S$1339)</f>
        <v/>
      </c>
    </row>
    <row r="1337" spans="12:16" x14ac:dyDescent="0.2">
      <c r="L1337" t="str">
        <f>IF([2]Entry!$C$1340="","",[2]Entry!$C$1340)</f>
        <v/>
      </c>
      <c r="M1337" t="str">
        <f>IF([2]Entry!$J$1340="","",[2]Entry!$J$1340)</f>
        <v/>
      </c>
      <c r="N1337" t="str">
        <f>IF([2]Entry!$M$1340="","",[2]Entry!$M$1340)</f>
        <v/>
      </c>
      <c r="O1337" t="str">
        <f>IF([2]Entry!$N$1340="","",[2]Entry!$N$1340)</f>
        <v/>
      </c>
      <c r="P1337" t="str">
        <f>IF([2]Entry!$S$1340="","",[2]Entry!$S$1340)</f>
        <v/>
      </c>
    </row>
    <row r="1338" spans="12:16" x14ac:dyDescent="0.2">
      <c r="L1338" t="str">
        <f>IF([2]Entry!$C$1341="","",[2]Entry!$C$1341)</f>
        <v/>
      </c>
      <c r="M1338" t="str">
        <f>IF([2]Entry!$J$1341="","",[2]Entry!$J$1341)</f>
        <v/>
      </c>
      <c r="N1338" t="str">
        <f>IF([2]Entry!$M$1341="","",[2]Entry!$M$1341)</f>
        <v/>
      </c>
      <c r="O1338" t="str">
        <f>IF([2]Entry!$N$1341="","",[2]Entry!$N$1341)</f>
        <v/>
      </c>
      <c r="P1338" t="str">
        <f>IF([2]Entry!$S$1341="","",[2]Entry!$S$1341)</f>
        <v/>
      </c>
    </row>
    <row r="1339" spans="12:16" x14ac:dyDescent="0.2">
      <c r="L1339" t="str">
        <f>IF([2]Entry!$C$1342="","",[2]Entry!$C$1342)</f>
        <v/>
      </c>
      <c r="M1339" t="str">
        <f>IF([2]Entry!$J$1342="","",[2]Entry!$J$1342)</f>
        <v/>
      </c>
      <c r="N1339" t="str">
        <f>IF([2]Entry!$M$1342="","",[2]Entry!$M$1342)</f>
        <v/>
      </c>
      <c r="O1339" t="str">
        <f>IF([2]Entry!$N$1342="","",[2]Entry!$N$1342)</f>
        <v/>
      </c>
      <c r="P1339" t="str">
        <f>IF([2]Entry!$S$1342="","",[2]Entry!$S$1342)</f>
        <v/>
      </c>
    </row>
    <row r="1340" spans="12:16" x14ac:dyDescent="0.2">
      <c r="L1340" t="str">
        <f>IF([2]Entry!$C$1343="","",[2]Entry!$C$1343)</f>
        <v/>
      </c>
      <c r="M1340" t="str">
        <f>IF([2]Entry!$J$1343="","",[2]Entry!$J$1343)</f>
        <v/>
      </c>
      <c r="N1340" t="str">
        <f>IF([2]Entry!$M$1343="","",[2]Entry!$M$1343)</f>
        <v/>
      </c>
      <c r="O1340" t="str">
        <f>IF([2]Entry!$N$1343="","",[2]Entry!$N$1343)</f>
        <v/>
      </c>
      <c r="P1340" t="str">
        <f>IF([2]Entry!$S$1343="","",[2]Entry!$S$1343)</f>
        <v/>
      </c>
    </row>
    <row r="1341" spans="12:16" x14ac:dyDescent="0.2">
      <c r="L1341" t="str">
        <f>IF([2]Entry!$C$1344="","",[2]Entry!$C$1344)</f>
        <v/>
      </c>
      <c r="M1341" t="str">
        <f>IF([2]Entry!$J$1344="","",[2]Entry!$J$1344)</f>
        <v/>
      </c>
      <c r="N1341" t="str">
        <f>IF([2]Entry!$M$1344="","",[2]Entry!$M$1344)</f>
        <v/>
      </c>
      <c r="O1341" t="str">
        <f>IF([2]Entry!$N$1344="","",[2]Entry!$N$1344)</f>
        <v/>
      </c>
      <c r="P1341" t="str">
        <f>IF([2]Entry!$S$1344="","",[2]Entry!$S$1344)</f>
        <v/>
      </c>
    </row>
    <row r="1342" spans="12:16" x14ac:dyDescent="0.2">
      <c r="L1342" t="str">
        <f>IF([2]Entry!$C$1345="","",[2]Entry!$C$1345)</f>
        <v/>
      </c>
      <c r="M1342" t="str">
        <f>IF([2]Entry!$J$1345="","",[2]Entry!$J$1345)</f>
        <v/>
      </c>
      <c r="N1342" t="str">
        <f>IF([2]Entry!$M$1345="","",[2]Entry!$M$1345)</f>
        <v/>
      </c>
      <c r="O1342" t="str">
        <f>IF([2]Entry!$N$1345="","",[2]Entry!$N$1345)</f>
        <v/>
      </c>
      <c r="P1342" t="str">
        <f>IF([2]Entry!$S$1345="","",[2]Entry!$S$1345)</f>
        <v/>
      </c>
    </row>
    <row r="1343" spans="12:16" x14ac:dyDescent="0.2">
      <c r="L1343" t="str">
        <f>IF([2]Entry!$C$1346="","",[2]Entry!$C$1346)</f>
        <v/>
      </c>
      <c r="M1343" t="str">
        <f>IF([2]Entry!$J$1346="","",[2]Entry!$J$1346)</f>
        <v/>
      </c>
      <c r="N1343" t="str">
        <f>IF([2]Entry!$M$1346="","",[2]Entry!$M$1346)</f>
        <v/>
      </c>
      <c r="O1343" t="str">
        <f>IF([2]Entry!$N$1346="","",[2]Entry!$N$1346)</f>
        <v/>
      </c>
      <c r="P1343" t="str">
        <f>IF([2]Entry!$S$1346="","",[2]Entry!$S$1346)</f>
        <v/>
      </c>
    </row>
    <row r="1344" spans="12:16" x14ac:dyDescent="0.2">
      <c r="L1344" t="str">
        <f>IF([2]Entry!$C$1347="","",[2]Entry!$C$1347)</f>
        <v/>
      </c>
      <c r="M1344" t="str">
        <f>IF([2]Entry!$J$1347="","",[2]Entry!$J$1347)</f>
        <v/>
      </c>
      <c r="N1344" t="str">
        <f>IF([2]Entry!$M$1347="","",[2]Entry!$M$1347)</f>
        <v/>
      </c>
      <c r="O1344" t="str">
        <f>IF([2]Entry!$N$1347="","",[2]Entry!$N$1347)</f>
        <v/>
      </c>
      <c r="P1344" t="str">
        <f>IF([2]Entry!$S$1347="","",[2]Entry!$S$1347)</f>
        <v/>
      </c>
    </row>
    <row r="1345" spans="12:16" x14ac:dyDescent="0.2">
      <c r="L1345" t="str">
        <f>IF([2]Entry!$C$1348="","",[2]Entry!$C$1348)</f>
        <v/>
      </c>
      <c r="M1345" t="str">
        <f>IF([2]Entry!$J$1348="","",[2]Entry!$J$1348)</f>
        <v/>
      </c>
      <c r="N1345" t="str">
        <f>IF([2]Entry!$M$1348="","",[2]Entry!$M$1348)</f>
        <v/>
      </c>
      <c r="O1345" t="str">
        <f>IF([2]Entry!$N$1348="","",[2]Entry!$N$1348)</f>
        <v/>
      </c>
      <c r="P1345" t="str">
        <f>IF([2]Entry!$S$1348="","",[2]Entry!$S$1348)</f>
        <v/>
      </c>
    </row>
    <row r="1346" spans="12:16" x14ac:dyDescent="0.2">
      <c r="L1346" t="str">
        <f>IF([2]Entry!$C$1349="","",[2]Entry!$C$1349)</f>
        <v/>
      </c>
      <c r="M1346" t="str">
        <f>IF([2]Entry!$J$1349="","",[2]Entry!$J$1349)</f>
        <v/>
      </c>
      <c r="N1346" t="str">
        <f>IF([2]Entry!$M$1349="","",[2]Entry!$M$1349)</f>
        <v/>
      </c>
      <c r="O1346" t="str">
        <f>IF([2]Entry!$N$1349="","",[2]Entry!$N$1349)</f>
        <v/>
      </c>
      <c r="P1346" t="str">
        <f>IF([2]Entry!$S$1349="","",[2]Entry!$S$1349)</f>
        <v/>
      </c>
    </row>
    <row r="1347" spans="12:16" x14ac:dyDescent="0.2">
      <c r="L1347" t="str">
        <f>IF([2]Entry!$C$1350="","",[2]Entry!$C$1350)</f>
        <v/>
      </c>
      <c r="M1347" t="str">
        <f>IF([2]Entry!$J$1350="","",[2]Entry!$J$1350)</f>
        <v/>
      </c>
      <c r="N1347" t="str">
        <f>IF([2]Entry!$M$1350="","",[2]Entry!$M$1350)</f>
        <v/>
      </c>
      <c r="O1347" t="str">
        <f>IF([2]Entry!$N$1350="","",[2]Entry!$N$1350)</f>
        <v/>
      </c>
      <c r="P1347" t="str">
        <f>IF([2]Entry!$S$1350="","",[2]Entry!$S$1350)</f>
        <v/>
      </c>
    </row>
    <row r="1348" spans="12:16" x14ac:dyDescent="0.2">
      <c r="L1348" t="str">
        <f>IF([2]Entry!$C$1351="","",[2]Entry!$C$1351)</f>
        <v/>
      </c>
      <c r="M1348" t="str">
        <f>IF([2]Entry!$J$1351="","",[2]Entry!$J$1351)</f>
        <v/>
      </c>
      <c r="N1348" t="str">
        <f>IF([2]Entry!$M$1351="","",[2]Entry!$M$1351)</f>
        <v/>
      </c>
      <c r="O1348" t="str">
        <f>IF([2]Entry!$N$1351="","",[2]Entry!$N$1351)</f>
        <v/>
      </c>
      <c r="P1348" t="str">
        <f>IF([2]Entry!$S$1351="","",[2]Entry!$S$1351)</f>
        <v/>
      </c>
    </row>
    <row r="1349" spans="12:16" x14ac:dyDescent="0.2">
      <c r="L1349" t="str">
        <f>IF([2]Entry!$C$1352="","",[2]Entry!$C$1352)</f>
        <v/>
      </c>
      <c r="M1349" t="str">
        <f>IF([2]Entry!$J$1352="","",[2]Entry!$J$1352)</f>
        <v/>
      </c>
      <c r="N1349" t="str">
        <f>IF([2]Entry!$M$1352="","",[2]Entry!$M$1352)</f>
        <v/>
      </c>
      <c r="O1349" t="str">
        <f>IF([2]Entry!$N$1352="","",[2]Entry!$N$1352)</f>
        <v/>
      </c>
      <c r="P1349" t="str">
        <f>IF([2]Entry!$S$1352="","",[2]Entry!$S$1352)</f>
        <v/>
      </c>
    </row>
    <row r="1350" spans="12:16" x14ac:dyDescent="0.2">
      <c r="L1350" t="str">
        <f>IF([2]Entry!$C$1353="","",[2]Entry!$C$1353)</f>
        <v/>
      </c>
      <c r="M1350" t="str">
        <f>IF([2]Entry!$J$1353="","",[2]Entry!$J$1353)</f>
        <v/>
      </c>
      <c r="N1350" t="str">
        <f>IF([2]Entry!$M$1353="","",[2]Entry!$M$1353)</f>
        <v/>
      </c>
      <c r="O1350" t="str">
        <f>IF([2]Entry!$N$1353="","",[2]Entry!$N$1353)</f>
        <v/>
      </c>
      <c r="P1350" t="str">
        <f>IF([2]Entry!$S$1353="","",[2]Entry!$S$1353)</f>
        <v/>
      </c>
    </row>
    <row r="1351" spans="12:16" x14ac:dyDescent="0.2">
      <c r="L1351" t="str">
        <f>IF([2]Entry!$C$1354="","",[2]Entry!$C$1354)</f>
        <v/>
      </c>
      <c r="M1351" t="str">
        <f>IF([2]Entry!$J$1354="","",[2]Entry!$J$1354)</f>
        <v/>
      </c>
      <c r="N1351" t="str">
        <f>IF([2]Entry!$M$1354="","",[2]Entry!$M$1354)</f>
        <v/>
      </c>
      <c r="O1351" t="str">
        <f>IF([2]Entry!$N$1354="","",[2]Entry!$N$1354)</f>
        <v/>
      </c>
      <c r="P1351" t="str">
        <f>IF([2]Entry!$S$1354="","",[2]Entry!$S$1354)</f>
        <v/>
      </c>
    </row>
    <row r="1352" spans="12:16" x14ac:dyDescent="0.2">
      <c r="L1352" t="str">
        <f>IF([2]Entry!$C$1355="","",[2]Entry!$C$1355)</f>
        <v/>
      </c>
      <c r="M1352" t="str">
        <f>IF([2]Entry!$J$1355="","",[2]Entry!$J$1355)</f>
        <v/>
      </c>
      <c r="N1352" t="str">
        <f>IF([2]Entry!$M$1355="","",[2]Entry!$M$1355)</f>
        <v/>
      </c>
      <c r="O1352" t="str">
        <f>IF([2]Entry!$N$1355="","",[2]Entry!$N$1355)</f>
        <v/>
      </c>
      <c r="P1352" t="str">
        <f>IF([2]Entry!$S$1355="","",[2]Entry!$S$1355)</f>
        <v/>
      </c>
    </row>
    <row r="1353" spans="12:16" x14ac:dyDescent="0.2">
      <c r="L1353" t="str">
        <f>IF([2]Entry!$C$1356="","",[2]Entry!$C$1356)</f>
        <v/>
      </c>
      <c r="M1353" t="str">
        <f>IF([2]Entry!$J$1356="","",[2]Entry!$J$1356)</f>
        <v/>
      </c>
      <c r="N1353" t="str">
        <f>IF([2]Entry!$M$1356="","",[2]Entry!$M$1356)</f>
        <v/>
      </c>
      <c r="O1353" t="str">
        <f>IF([2]Entry!$N$1356="","",[2]Entry!$N$1356)</f>
        <v/>
      </c>
      <c r="P1353" t="str">
        <f>IF([2]Entry!$S$1356="","",[2]Entry!$S$1356)</f>
        <v/>
      </c>
    </row>
    <row r="1354" spans="12:16" x14ac:dyDescent="0.2">
      <c r="L1354" t="str">
        <f>IF([2]Entry!$C$1357="","",[2]Entry!$C$1357)</f>
        <v/>
      </c>
      <c r="M1354" t="str">
        <f>IF([2]Entry!$J$1357="","",[2]Entry!$J$1357)</f>
        <v/>
      </c>
      <c r="N1354" t="str">
        <f>IF([2]Entry!$M$1357="","",[2]Entry!$M$1357)</f>
        <v/>
      </c>
      <c r="O1354" t="str">
        <f>IF([2]Entry!$N$1357="","",[2]Entry!$N$1357)</f>
        <v/>
      </c>
      <c r="P1354" t="str">
        <f>IF([2]Entry!$S$1357="","",[2]Entry!$S$1357)</f>
        <v/>
      </c>
    </row>
    <row r="1355" spans="12:16" x14ac:dyDescent="0.2">
      <c r="L1355" t="str">
        <f>IF([2]Entry!$C$1358="","",[2]Entry!$C$1358)</f>
        <v/>
      </c>
      <c r="M1355" t="str">
        <f>IF([2]Entry!$J$1358="","",[2]Entry!$J$1358)</f>
        <v/>
      </c>
      <c r="N1355" t="str">
        <f>IF([2]Entry!$M$1358="","",[2]Entry!$M$1358)</f>
        <v/>
      </c>
      <c r="O1355" t="str">
        <f>IF([2]Entry!$N$1358="","",[2]Entry!$N$1358)</f>
        <v/>
      </c>
      <c r="P1355" t="str">
        <f>IF([2]Entry!$S$1358="","",[2]Entry!$S$1358)</f>
        <v/>
      </c>
    </row>
    <row r="1356" spans="12:16" x14ac:dyDescent="0.2">
      <c r="L1356" t="str">
        <f>IF([2]Entry!$C$1359="","",[2]Entry!$C$1359)</f>
        <v/>
      </c>
      <c r="M1356" t="str">
        <f>IF([2]Entry!$J$1359="","",[2]Entry!$J$1359)</f>
        <v/>
      </c>
      <c r="N1356" t="str">
        <f>IF([2]Entry!$M$1359="","",[2]Entry!$M$1359)</f>
        <v/>
      </c>
      <c r="O1356" t="str">
        <f>IF([2]Entry!$N$1359="","",[2]Entry!$N$1359)</f>
        <v/>
      </c>
      <c r="P1356" t="str">
        <f>IF([2]Entry!$S$1359="","",[2]Entry!$S$1359)</f>
        <v/>
      </c>
    </row>
    <row r="1357" spans="12:16" x14ac:dyDescent="0.2">
      <c r="L1357" t="str">
        <f>IF([2]Entry!$C$1360="","",[2]Entry!$C$1360)</f>
        <v/>
      </c>
      <c r="M1357" t="str">
        <f>IF([2]Entry!$J$1360="","",[2]Entry!$J$1360)</f>
        <v/>
      </c>
      <c r="N1357" t="str">
        <f>IF([2]Entry!$M$1360="","",[2]Entry!$M$1360)</f>
        <v/>
      </c>
      <c r="O1357" t="str">
        <f>IF([2]Entry!$N$1360="","",[2]Entry!$N$1360)</f>
        <v/>
      </c>
      <c r="P1357" t="str">
        <f>IF([2]Entry!$S$1360="","",[2]Entry!$S$1360)</f>
        <v/>
      </c>
    </row>
    <row r="1358" spans="12:16" x14ac:dyDescent="0.2">
      <c r="L1358" t="str">
        <f>IF([2]Entry!$C$1361="","",[2]Entry!$C$1361)</f>
        <v/>
      </c>
      <c r="M1358" t="str">
        <f>IF([2]Entry!$J$1361="","",[2]Entry!$J$1361)</f>
        <v/>
      </c>
      <c r="N1358" t="str">
        <f>IF([2]Entry!$M$1361="","",[2]Entry!$M$1361)</f>
        <v/>
      </c>
      <c r="O1358" t="str">
        <f>IF([2]Entry!$N$1361="","",[2]Entry!$N$1361)</f>
        <v/>
      </c>
      <c r="P1358" t="str">
        <f>IF([2]Entry!$S$1361="","",[2]Entry!$S$1361)</f>
        <v/>
      </c>
    </row>
    <row r="1359" spans="12:16" x14ac:dyDescent="0.2">
      <c r="L1359" t="str">
        <f>IF([2]Entry!$C$1362="","",[2]Entry!$C$1362)</f>
        <v/>
      </c>
      <c r="M1359" t="str">
        <f>IF([2]Entry!$J$1362="","",[2]Entry!$J$1362)</f>
        <v/>
      </c>
      <c r="N1359" t="str">
        <f>IF([2]Entry!$M$1362="","",[2]Entry!$M$1362)</f>
        <v/>
      </c>
      <c r="O1359" t="str">
        <f>IF([2]Entry!$N$1362="","",[2]Entry!$N$1362)</f>
        <v/>
      </c>
      <c r="P1359" t="str">
        <f>IF([2]Entry!$S$1362="","",[2]Entry!$S$1362)</f>
        <v/>
      </c>
    </row>
    <row r="1360" spans="12:16" x14ac:dyDescent="0.2">
      <c r="L1360" t="str">
        <f>IF([2]Entry!$C$1363="","",[2]Entry!$C$1363)</f>
        <v/>
      </c>
      <c r="M1360" t="str">
        <f>IF([2]Entry!$J$1363="","",[2]Entry!$J$1363)</f>
        <v/>
      </c>
      <c r="N1360" t="str">
        <f>IF([2]Entry!$M$1363="","",[2]Entry!$M$1363)</f>
        <v/>
      </c>
      <c r="O1360" t="str">
        <f>IF([2]Entry!$N$1363="","",[2]Entry!$N$1363)</f>
        <v/>
      </c>
      <c r="P1360" t="str">
        <f>IF([2]Entry!$S$1363="","",[2]Entry!$S$1363)</f>
        <v/>
      </c>
    </row>
    <row r="1361" spans="12:16" x14ac:dyDescent="0.2">
      <c r="L1361" t="str">
        <f>IF([2]Entry!$C$1364="","",[2]Entry!$C$1364)</f>
        <v/>
      </c>
      <c r="M1361" t="str">
        <f>IF([2]Entry!$J$1364="","",[2]Entry!$J$1364)</f>
        <v/>
      </c>
      <c r="N1361" t="str">
        <f>IF([2]Entry!$M$1364="","",[2]Entry!$M$1364)</f>
        <v/>
      </c>
      <c r="O1361" t="str">
        <f>IF([2]Entry!$N$1364="","",[2]Entry!$N$1364)</f>
        <v/>
      </c>
      <c r="P1361" t="str">
        <f>IF([2]Entry!$S$1364="","",[2]Entry!$S$1364)</f>
        <v/>
      </c>
    </row>
    <row r="1362" spans="12:16" x14ac:dyDescent="0.2">
      <c r="L1362" t="str">
        <f>IF([2]Entry!$C$1365="","",[2]Entry!$C$1365)</f>
        <v/>
      </c>
      <c r="M1362" t="str">
        <f>IF([2]Entry!$J$1365="","",[2]Entry!$J$1365)</f>
        <v/>
      </c>
      <c r="N1362" t="str">
        <f>IF([2]Entry!$M$1365="","",[2]Entry!$M$1365)</f>
        <v/>
      </c>
      <c r="O1362" t="str">
        <f>IF([2]Entry!$N$1365="","",[2]Entry!$N$1365)</f>
        <v/>
      </c>
      <c r="P1362" t="str">
        <f>IF([2]Entry!$S$1365="","",[2]Entry!$S$1365)</f>
        <v/>
      </c>
    </row>
    <row r="1363" spans="12:16" x14ac:dyDescent="0.2">
      <c r="L1363" t="str">
        <f>IF([2]Entry!$C$1366="","",[2]Entry!$C$1366)</f>
        <v/>
      </c>
      <c r="M1363" t="str">
        <f>IF([2]Entry!$J$1366="","",[2]Entry!$J$1366)</f>
        <v/>
      </c>
      <c r="N1363" t="str">
        <f>IF([2]Entry!$M$1366="","",[2]Entry!$M$1366)</f>
        <v/>
      </c>
      <c r="O1363" t="str">
        <f>IF([2]Entry!$N$1366="","",[2]Entry!$N$1366)</f>
        <v/>
      </c>
      <c r="P1363" t="str">
        <f>IF([2]Entry!$S$1366="","",[2]Entry!$S$1366)</f>
        <v/>
      </c>
    </row>
    <row r="1364" spans="12:16" x14ac:dyDescent="0.2">
      <c r="L1364" t="str">
        <f>IF([2]Entry!$C$1367="","",[2]Entry!$C$1367)</f>
        <v/>
      </c>
      <c r="M1364" t="str">
        <f>IF([2]Entry!$J$1367="","",[2]Entry!$J$1367)</f>
        <v/>
      </c>
      <c r="N1364" t="str">
        <f>IF([2]Entry!$M$1367="","",[2]Entry!$M$1367)</f>
        <v/>
      </c>
      <c r="O1364" t="str">
        <f>IF([2]Entry!$N$1367="","",[2]Entry!$N$1367)</f>
        <v/>
      </c>
      <c r="P1364" t="str">
        <f>IF([2]Entry!$S$1367="","",[2]Entry!$S$1367)</f>
        <v/>
      </c>
    </row>
    <row r="1365" spans="12:16" x14ac:dyDescent="0.2">
      <c r="L1365" t="str">
        <f>IF([2]Entry!$C$1368="","",[2]Entry!$C$1368)</f>
        <v/>
      </c>
      <c r="M1365" t="str">
        <f>IF([2]Entry!$J$1368="","",[2]Entry!$J$1368)</f>
        <v/>
      </c>
      <c r="N1365" t="str">
        <f>IF([2]Entry!$M$1368="","",[2]Entry!$M$1368)</f>
        <v/>
      </c>
      <c r="O1365" t="str">
        <f>IF([2]Entry!$N$1368="","",[2]Entry!$N$1368)</f>
        <v/>
      </c>
      <c r="P1365" t="str">
        <f>IF([2]Entry!$S$1368="","",[2]Entry!$S$1368)</f>
        <v/>
      </c>
    </row>
    <row r="1366" spans="12:16" x14ac:dyDescent="0.2">
      <c r="L1366" t="str">
        <f>IF([2]Entry!$C$1369="","",[2]Entry!$C$1369)</f>
        <v/>
      </c>
      <c r="M1366" t="str">
        <f>IF([2]Entry!$J$1369="","",[2]Entry!$J$1369)</f>
        <v/>
      </c>
      <c r="N1366" t="str">
        <f>IF([2]Entry!$M$1369="","",[2]Entry!$M$1369)</f>
        <v/>
      </c>
      <c r="O1366" t="str">
        <f>IF([2]Entry!$N$1369="","",[2]Entry!$N$1369)</f>
        <v/>
      </c>
      <c r="P1366" t="str">
        <f>IF([2]Entry!$S$1369="","",[2]Entry!$S$1369)</f>
        <v/>
      </c>
    </row>
    <row r="1367" spans="12:16" x14ac:dyDescent="0.2">
      <c r="L1367" t="str">
        <f>IF([2]Entry!$C$1370="","",[2]Entry!$C$1370)</f>
        <v/>
      </c>
      <c r="M1367" t="str">
        <f>IF([2]Entry!$J$1370="","",[2]Entry!$J$1370)</f>
        <v/>
      </c>
      <c r="N1367" t="str">
        <f>IF([2]Entry!$M$1370="","",[2]Entry!$M$1370)</f>
        <v/>
      </c>
      <c r="O1367" t="str">
        <f>IF([2]Entry!$N$1370="","",[2]Entry!$N$1370)</f>
        <v/>
      </c>
      <c r="P1367" t="str">
        <f>IF([2]Entry!$S$1370="","",[2]Entry!$S$1370)</f>
        <v/>
      </c>
    </row>
    <row r="1368" spans="12:16" x14ac:dyDescent="0.2">
      <c r="L1368" t="str">
        <f>IF([2]Entry!$C$1371="","",[2]Entry!$C$1371)</f>
        <v/>
      </c>
      <c r="M1368" t="str">
        <f>IF([2]Entry!$J$1371="","",[2]Entry!$J$1371)</f>
        <v/>
      </c>
      <c r="N1368" t="str">
        <f>IF([2]Entry!$M$1371="","",[2]Entry!$M$1371)</f>
        <v/>
      </c>
      <c r="O1368" t="str">
        <f>IF([2]Entry!$N$1371="","",[2]Entry!$N$1371)</f>
        <v/>
      </c>
      <c r="P1368" t="str">
        <f>IF([2]Entry!$S$1371="","",[2]Entry!$S$1371)</f>
        <v/>
      </c>
    </row>
    <row r="1369" spans="12:16" x14ac:dyDescent="0.2">
      <c r="L1369" t="str">
        <f>IF([2]Entry!$C$1372="","",[2]Entry!$C$1372)</f>
        <v/>
      </c>
      <c r="M1369" t="str">
        <f>IF([2]Entry!$J$1372="","",[2]Entry!$J$1372)</f>
        <v/>
      </c>
      <c r="N1369" t="str">
        <f>IF([2]Entry!$M$1372="","",[2]Entry!$M$1372)</f>
        <v/>
      </c>
      <c r="O1369" t="str">
        <f>IF([2]Entry!$N$1372="","",[2]Entry!$N$1372)</f>
        <v/>
      </c>
      <c r="P1369" t="str">
        <f>IF([2]Entry!$S$1372="","",[2]Entry!$S$1372)</f>
        <v/>
      </c>
    </row>
    <row r="1370" spans="12:16" x14ac:dyDescent="0.2">
      <c r="L1370" t="str">
        <f>IF([2]Entry!$C$1373="","",[2]Entry!$C$1373)</f>
        <v/>
      </c>
      <c r="M1370" t="str">
        <f>IF([2]Entry!$J$1373="","",[2]Entry!$J$1373)</f>
        <v/>
      </c>
      <c r="N1370" t="str">
        <f>IF([2]Entry!$M$1373="","",[2]Entry!$M$1373)</f>
        <v/>
      </c>
      <c r="O1370" t="str">
        <f>IF([2]Entry!$N$1373="","",[2]Entry!$N$1373)</f>
        <v/>
      </c>
      <c r="P1370" t="str">
        <f>IF([2]Entry!$S$1373="","",[2]Entry!$S$1373)</f>
        <v/>
      </c>
    </row>
    <row r="1371" spans="12:16" x14ac:dyDescent="0.2">
      <c r="L1371" t="str">
        <f>IF([2]Entry!$C$1374="","",[2]Entry!$C$1374)</f>
        <v/>
      </c>
      <c r="M1371" t="str">
        <f>IF([2]Entry!$J$1374="","",[2]Entry!$J$1374)</f>
        <v/>
      </c>
      <c r="N1371" t="str">
        <f>IF([2]Entry!$M$1374="","",[2]Entry!$M$1374)</f>
        <v/>
      </c>
      <c r="O1371" t="str">
        <f>IF([2]Entry!$N$1374="","",[2]Entry!$N$1374)</f>
        <v/>
      </c>
      <c r="P1371" t="str">
        <f>IF([2]Entry!$S$1374="","",[2]Entry!$S$1374)</f>
        <v/>
      </c>
    </row>
    <row r="1372" spans="12:16" x14ac:dyDescent="0.2">
      <c r="L1372" t="str">
        <f>IF([2]Entry!$C$1375="","",[2]Entry!$C$1375)</f>
        <v/>
      </c>
      <c r="M1372" t="str">
        <f>IF([2]Entry!$J$1375="","",[2]Entry!$J$1375)</f>
        <v/>
      </c>
      <c r="N1372" t="str">
        <f>IF([2]Entry!$M$1375="","",[2]Entry!$M$1375)</f>
        <v/>
      </c>
      <c r="O1372" t="str">
        <f>IF([2]Entry!$N$1375="","",[2]Entry!$N$1375)</f>
        <v/>
      </c>
      <c r="P1372" t="str">
        <f>IF([2]Entry!$S$1375="","",[2]Entry!$S$1375)</f>
        <v/>
      </c>
    </row>
    <row r="1373" spans="12:16" x14ac:dyDescent="0.2">
      <c r="L1373" t="str">
        <f>IF([2]Entry!$C$1376="","",[2]Entry!$C$1376)</f>
        <v/>
      </c>
      <c r="M1373" t="str">
        <f>IF([2]Entry!$J$1376="","",[2]Entry!$J$1376)</f>
        <v/>
      </c>
      <c r="N1373" t="str">
        <f>IF([2]Entry!$M$1376="","",[2]Entry!$M$1376)</f>
        <v/>
      </c>
      <c r="O1373" t="str">
        <f>IF([2]Entry!$N$1376="","",[2]Entry!$N$1376)</f>
        <v/>
      </c>
      <c r="P1373" t="str">
        <f>IF([2]Entry!$S$1376="","",[2]Entry!$S$1376)</f>
        <v/>
      </c>
    </row>
    <row r="1374" spans="12:16" x14ac:dyDescent="0.2">
      <c r="L1374" t="str">
        <f>IF([2]Entry!$C$1377="","",[2]Entry!$C$1377)</f>
        <v/>
      </c>
      <c r="M1374" t="str">
        <f>IF([2]Entry!$J$1377="","",[2]Entry!$J$1377)</f>
        <v/>
      </c>
      <c r="N1374" t="str">
        <f>IF([2]Entry!$M$1377="","",[2]Entry!$M$1377)</f>
        <v/>
      </c>
      <c r="O1374" t="str">
        <f>IF([2]Entry!$N$1377="","",[2]Entry!$N$1377)</f>
        <v/>
      </c>
      <c r="P1374" t="str">
        <f>IF([2]Entry!$S$1377="","",[2]Entry!$S$1377)</f>
        <v/>
      </c>
    </row>
    <row r="1375" spans="12:16" x14ac:dyDescent="0.2">
      <c r="L1375" t="str">
        <f>IF([2]Entry!$C$1378="","",[2]Entry!$C$1378)</f>
        <v/>
      </c>
      <c r="M1375" t="str">
        <f>IF([2]Entry!$J$1378="","",[2]Entry!$J$1378)</f>
        <v/>
      </c>
      <c r="N1375" t="str">
        <f>IF([2]Entry!$M$1378="","",[2]Entry!$M$1378)</f>
        <v/>
      </c>
      <c r="O1375" t="str">
        <f>IF([2]Entry!$N$1378="","",[2]Entry!$N$1378)</f>
        <v/>
      </c>
      <c r="P1375" t="str">
        <f>IF([2]Entry!$S$1378="","",[2]Entry!$S$1378)</f>
        <v/>
      </c>
    </row>
    <row r="1376" spans="12:16" x14ac:dyDescent="0.2">
      <c r="L1376" t="str">
        <f>IF([2]Entry!$C$1379="","",[2]Entry!$C$1379)</f>
        <v/>
      </c>
      <c r="M1376" t="str">
        <f>IF([2]Entry!$J$1379="","",[2]Entry!$J$1379)</f>
        <v/>
      </c>
      <c r="N1376" t="str">
        <f>IF([2]Entry!$M$1379="","",[2]Entry!$M$1379)</f>
        <v/>
      </c>
      <c r="O1376" t="str">
        <f>IF([2]Entry!$N$1379="","",[2]Entry!$N$1379)</f>
        <v/>
      </c>
      <c r="P1376" t="str">
        <f>IF([2]Entry!$S$1379="","",[2]Entry!$S$1379)</f>
        <v/>
      </c>
    </row>
    <row r="1377" spans="12:16" x14ac:dyDescent="0.2">
      <c r="L1377" t="str">
        <f>IF([2]Entry!$C$1380="","",[2]Entry!$C$1380)</f>
        <v/>
      </c>
      <c r="M1377" t="str">
        <f>IF([2]Entry!$J$1380="","",[2]Entry!$J$1380)</f>
        <v/>
      </c>
      <c r="N1377" t="str">
        <f>IF([2]Entry!$M$1380="","",[2]Entry!$M$1380)</f>
        <v/>
      </c>
      <c r="O1377" t="str">
        <f>IF([2]Entry!$N$1380="","",[2]Entry!$N$1380)</f>
        <v/>
      </c>
      <c r="P1377" t="str">
        <f>IF([2]Entry!$S$1380="","",[2]Entry!$S$1380)</f>
        <v/>
      </c>
    </row>
    <row r="1378" spans="12:16" x14ac:dyDescent="0.2">
      <c r="L1378" t="str">
        <f>IF([2]Entry!$C$1381="","",[2]Entry!$C$1381)</f>
        <v/>
      </c>
      <c r="M1378" t="str">
        <f>IF([2]Entry!$J$1381="","",[2]Entry!$J$1381)</f>
        <v/>
      </c>
      <c r="N1378" t="str">
        <f>IF([2]Entry!$M$1381="","",[2]Entry!$M$1381)</f>
        <v/>
      </c>
      <c r="O1378" t="str">
        <f>IF([2]Entry!$N$1381="","",[2]Entry!$N$1381)</f>
        <v/>
      </c>
      <c r="P1378" t="str">
        <f>IF([2]Entry!$S$1381="","",[2]Entry!$S$1381)</f>
        <v/>
      </c>
    </row>
    <row r="1379" spans="12:16" x14ac:dyDescent="0.2">
      <c r="L1379" t="str">
        <f>IF([2]Entry!$C$1382="","",[2]Entry!$C$1382)</f>
        <v/>
      </c>
      <c r="M1379" t="str">
        <f>IF([2]Entry!$J$1382="","",[2]Entry!$J$1382)</f>
        <v/>
      </c>
      <c r="N1379" t="str">
        <f>IF([2]Entry!$M$1382="","",[2]Entry!$M$1382)</f>
        <v/>
      </c>
      <c r="O1379" t="str">
        <f>IF([2]Entry!$N$1382="","",[2]Entry!$N$1382)</f>
        <v/>
      </c>
      <c r="P1379" t="str">
        <f>IF([2]Entry!$S$1382="","",[2]Entry!$S$1382)</f>
        <v/>
      </c>
    </row>
    <row r="1380" spans="12:16" x14ac:dyDescent="0.2">
      <c r="L1380" t="str">
        <f>IF([2]Entry!$C$1383="","",[2]Entry!$C$1383)</f>
        <v/>
      </c>
      <c r="M1380" t="str">
        <f>IF([2]Entry!$J$1383="","",[2]Entry!$J$1383)</f>
        <v/>
      </c>
      <c r="N1380" t="str">
        <f>IF([2]Entry!$M$1383="","",[2]Entry!$M$1383)</f>
        <v/>
      </c>
      <c r="O1380" t="str">
        <f>IF([2]Entry!$N$1383="","",[2]Entry!$N$1383)</f>
        <v/>
      </c>
      <c r="P1380" t="str">
        <f>IF([2]Entry!$S$1383="","",[2]Entry!$S$1383)</f>
        <v/>
      </c>
    </row>
    <row r="1381" spans="12:16" x14ac:dyDescent="0.2">
      <c r="L1381" t="str">
        <f>IF([2]Entry!$C$1384="","",[2]Entry!$C$1384)</f>
        <v/>
      </c>
      <c r="M1381" t="str">
        <f>IF([2]Entry!$J$1384="","",[2]Entry!$J$1384)</f>
        <v/>
      </c>
      <c r="N1381" t="str">
        <f>IF([2]Entry!$M$1384="","",[2]Entry!$M$1384)</f>
        <v/>
      </c>
      <c r="O1381" t="str">
        <f>IF([2]Entry!$N$1384="","",[2]Entry!$N$1384)</f>
        <v/>
      </c>
      <c r="P1381" t="str">
        <f>IF([2]Entry!$S$1384="","",[2]Entry!$S$1384)</f>
        <v/>
      </c>
    </row>
    <row r="1382" spans="12:16" x14ac:dyDescent="0.2">
      <c r="L1382" t="str">
        <f>IF([2]Entry!$C$1385="","",[2]Entry!$C$1385)</f>
        <v/>
      </c>
      <c r="M1382" t="str">
        <f>IF([2]Entry!$J$1385="","",[2]Entry!$J$1385)</f>
        <v/>
      </c>
      <c r="N1382" t="str">
        <f>IF([2]Entry!$M$1385="","",[2]Entry!$M$1385)</f>
        <v/>
      </c>
      <c r="O1382" t="str">
        <f>IF([2]Entry!$N$1385="","",[2]Entry!$N$1385)</f>
        <v/>
      </c>
      <c r="P1382" t="str">
        <f>IF([2]Entry!$S$1385="","",[2]Entry!$S$1385)</f>
        <v/>
      </c>
    </row>
    <row r="1383" spans="12:16" x14ac:dyDescent="0.2">
      <c r="L1383" t="str">
        <f>IF([2]Entry!$C$1386="","",[2]Entry!$C$1386)</f>
        <v/>
      </c>
      <c r="M1383" t="str">
        <f>IF([2]Entry!$J$1386="","",[2]Entry!$J$1386)</f>
        <v/>
      </c>
      <c r="N1383" t="str">
        <f>IF([2]Entry!$M$1386="","",[2]Entry!$M$1386)</f>
        <v/>
      </c>
      <c r="O1383" t="str">
        <f>IF([2]Entry!$N$1386="","",[2]Entry!$N$1386)</f>
        <v/>
      </c>
      <c r="P1383" t="str">
        <f>IF([2]Entry!$S$1386="","",[2]Entry!$S$1386)</f>
        <v/>
      </c>
    </row>
    <row r="1384" spans="12:16" x14ac:dyDescent="0.2">
      <c r="L1384" t="str">
        <f>IF([2]Entry!$C$1387="","",[2]Entry!$C$1387)</f>
        <v/>
      </c>
      <c r="M1384" t="str">
        <f>IF([2]Entry!$J$1387="","",[2]Entry!$J$1387)</f>
        <v/>
      </c>
      <c r="N1384" t="str">
        <f>IF([2]Entry!$M$1387="","",[2]Entry!$M$1387)</f>
        <v/>
      </c>
      <c r="O1384" t="str">
        <f>IF([2]Entry!$N$1387="","",[2]Entry!$N$1387)</f>
        <v/>
      </c>
      <c r="P1384" t="str">
        <f>IF([2]Entry!$S$1387="","",[2]Entry!$S$1387)</f>
        <v/>
      </c>
    </row>
    <row r="1385" spans="12:16" x14ac:dyDescent="0.2">
      <c r="L1385" t="str">
        <f>IF([2]Entry!$C$1388="","",[2]Entry!$C$1388)</f>
        <v/>
      </c>
      <c r="M1385" t="str">
        <f>IF([2]Entry!$J$1388="","",[2]Entry!$J$1388)</f>
        <v/>
      </c>
      <c r="N1385" t="str">
        <f>IF([2]Entry!$M$1388="","",[2]Entry!$M$1388)</f>
        <v/>
      </c>
      <c r="O1385" t="str">
        <f>IF([2]Entry!$N$1388="","",[2]Entry!$N$1388)</f>
        <v/>
      </c>
      <c r="P1385" t="str">
        <f>IF([2]Entry!$S$1388="","",[2]Entry!$S$1388)</f>
        <v/>
      </c>
    </row>
    <row r="1386" spans="12:16" x14ac:dyDescent="0.2">
      <c r="L1386" t="str">
        <f>IF([2]Entry!$C$1389="","",[2]Entry!$C$1389)</f>
        <v/>
      </c>
      <c r="M1386" t="str">
        <f>IF([2]Entry!$J$1389="","",[2]Entry!$J$1389)</f>
        <v/>
      </c>
      <c r="N1386" t="str">
        <f>IF([2]Entry!$M$1389="","",[2]Entry!$M$1389)</f>
        <v/>
      </c>
      <c r="O1386" t="str">
        <f>IF([2]Entry!$N$1389="","",[2]Entry!$N$1389)</f>
        <v/>
      </c>
      <c r="P1386" t="str">
        <f>IF([2]Entry!$S$1389="","",[2]Entry!$S$1389)</f>
        <v/>
      </c>
    </row>
    <row r="1387" spans="12:16" x14ac:dyDescent="0.2">
      <c r="L1387" t="str">
        <f>IF([2]Entry!$C$1390="","",[2]Entry!$C$1390)</f>
        <v/>
      </c>
      <c r="M1387" t="str">
        <f>IF([2]Entry!$J$1390="","",[2]Entry!$J$1390)</f>
        <v/>
      </c>
      <c r="N1387" t="str">
        <f>IF([2]Entry!$M$1390="","",[2]Entry!$M$1390)</f>
        <v/>
      </c>
      <c r="O1387" t="str">
        <f>IF([2]Entry!$N$1390="","",[2]Entry!$N$1390)</f>
        <v/>
      </c>
      <c r="P1387" t="str">
        <f>IF([2]Entry!$S$1390="","",[2]Entry!$S$1390)</f>
        <v/>
      </c>
    </row>
    <row r="1388" spans="12:16" x14ac:dyDescent="0.2">
      <c r="L1388" t="str">
        <f>IF([2]Entry!$C$1391="","",[2]Entry!$C$1391)</f>
        <v/>
      </c>
      <c r="M1388" t="str">
        <f>IF([2]Entry!$J$1391="","",[2]Entry!$J$1391)</f>
        <v/>
      </c>
      <c r="N1388" t="str">
        <f>IF([2]Entry!$M$1391="","",[2]Entry!$M$1391)</f>
        <v/>
      </c>
      <c r="O1388" t="str">
        <f>IF([2]Entry!$N$1391="","",[2]Entry!$N$1391)</f>
        <v/>
      </c>
      <c r="P1388" t="str">
        <f>IF([2]Entry!$S$1391="","",[2]Entry!$S$1391)</f>
        <v/>
      </c>
    </row>
    <row r="1389" spans="12:16" x14ac:dyDescent="0.2">
      <c r="L1389" t="str">
        <f>IF([2]Entry!$C$1392="","",[2]Entry!$C$1392)</f>
        <v/>
      </c>
      <c r="M1389" t="str">
        <f>IF([2]Entry!$J$1392="","",[2]Entry!$J$1392)</f>
        <v/>
      </c>
      <c r="N1389" t="str">
        <f>IF([2]Entry!$M$1392="","",[2]Entry!$M$1392)</f>
        <v/>
      </c>
      <c r="O1389" t="str">
        <f>IF([2]Entry!$N$1392="","",[2]Entry!$N$1392)</f>
        <v/>
      </c>
      <c r="P1389" t="str">
        <f>IF([2]Entry!$S$1392="","",[2]Entry!$S$1392)</f>
        <v/>
      </c>
    </row>
    <row r="1390" spans="12:16" x14ac:dyDescent="0.2">
      <c r="L1390" t="str">
        <f>IF([2]Entry!$C$1393="","",[2]Entry!$C$1393)</f>
        <v/>
      </c>
      <c r="M1390" t="str">
        <f>IF([2]Entry!$J$1393="","",[2]Entry!$J$1393)</f>
        <v/>
      </c>
      <c r="N1390" t="str">
        <f>IF([2]Entry!$M$1393="","",[2]Entry!$M$1393)</f>
        <v/>
      </c>
      <c r="O1390" t="str">
        <f>IF([2]Entry!$N$1393="","",[2]Entry!$N$1393)</f>
        <v/>
      </c>
      <c r="P1390" t="str">
        <f>IF([2]Entry!$S$1393="","",[2]Entry!$S$1393)</f>
        <v/>
      </c>
    </row>
    <row r="1391" spans="12:16" x14ac:dyDescent="0.2">
      <c r="L1391" t="str">
        <f>IF([2]Entry!$C$1394="","",[2]Entry!$C$1394)</f>
        <v/>
      </c>
      <c r="M1391" t="str">
        <f>IF([2]Entry!$J$1394="","",[2]Entry!$J$1394)</f>
        <v/>
      </c>
      <c r="N1391" t="str">
        <f>IF([2]Entry!$M$1394="","",[2]Entry!$M$1394)</f>
        <v/>
      </c>
      <c r="O1391" t="str">
        <f>IF([2]Entry!$N$1394="","",[2]Entry!$N$1394)</f>
        <v/>
      </c>
      <c r="P1391" t="str">
        <f>IF([2]Entry!$S$1394="","",[2]Entry!$S$1394)</f>
        <v/>
      </c>
    </row>
    <row r="1392" spans="12:16" x14ac:dyDescent="0.2">
      <c r="L1392" t="str">
        <f>IF([2]Entry!$C$1395="","",[2]Entry!$C$1395)</f>
        <v/>
      </c>
      <c r="M1392" t="str">
        <f>IF([2]Entry!$J$1395="","",[2]Entry!$J$1395)</f>
        <v/>
      </c>
      <c r="N1392" t="str">
        <f>IF([2]Entry!$M$1395="","",[2]Entry!$M$1395)</f>
        <v/>
      </c>
      <c r="O1392" t="str">
        <f>IF([2]Entry!$N$1395="","",[2]Entry!$N$1395)</f>
        <v/>
      </c>
      <c r="P1392" t="str">
        <f>IF([2]Entry!$S$1395="","",[2]Entry!$S$1395)</f>
        <v/>
      </c>
    </row>
    <row r="1393" spans="12:16" x14ac:dyDescent="0.2">
      <c r="L1393" t="str">
        <f>IF([2]Entry!$C$1396="","",[2]Entry!$C$1396)</f>
        <v/>
      </c>
      <c r="M1393" t="str">
        <f>IF([2]Entry!$J$1396="","",[2]Entry!$J$1396)</f>
        <v/>
      </c>
      <c r="N1393" t="str">
        <f>IF([2]Entry!$M$1396="","",[2]Entry!$M$1396)</f>
        <v/>
      </c>
      <c r="O1393" t="str">
        <f>IF([2]Entry!$N$1396="","",[2]Entry!$N$1396)</f>
        <v/>
      </c>
      <c r="P1393" t="str">
        <f>IF([2]Entry!$S$1396="","",[2]Entry!$S$1396)</f>
        <v/>
      </c>
    </row>
    <row r="1394" spans="12:16" x14ac:dyDescent="0.2">
      <c r="L1394" t="str">
        <f>IF([2]Entry!$C$1397="","",[2]Entry!$C$1397)</f>
        <v/>
      </c>
      <c r="M1394" t="str">
        <f>IF([2]Entry!$J$1397="","",[2]Entry!$J$1397)</f>
        <v/>
      </c>
      <c r="N1394" t="str">
        <f>IF([2]Entry!$M$1397="","",[2]Entry!$M$1397)</f>
        <v/>
      </c>
      <c r="O1394" t="str">
        <f>IF([2]Entry!$N$1397="","",[2]Entry!$N$1397)</f>
        <v/>
      </c>
      <c r="P1394" t="str">
        <f>IF([2]Entry!$S$1397="","",[2]Entry!$S$1397)</f>
        <v/>
      </c>
    </row>
    <row r="1395" spans="12:16" x14ac:dyDescent="0.2">
      <c r="L1395" t="str">
        <f>IF([2]Entry!$C$1398="","",[2]Entry!$C$1398)</f>
        <v/>
      </c>
      <c r="M1395" t="str">
        <f>IF([2]Entry!$J$1398="","",[2]Entry!$J$1398)</f>
        <v/>
      </c>
      <c r="N1395" t="str">
        <f>IF([2]Entry!$M$1398="","",[2]Entry!$M$1398)</f>
        <v/>
      </c>
      <c r="O1395" t="str">
        <f>IF([2]Entry!$N$1398="","",[2]Entry!$N$1398)</f>
        <v/>
      </c>
      <c r="P1395" t="str">
        <f>IF([2]Entry!$S$1398="","",[2]Entry!$S$1398)</f>
        <v/>
      </c>
    </row>
    <row r="1396" spans="12:16" x14ac:dyDescent="0.2">
      <c r="L1396" t="str">
        <f>IF([2]Entry!$C$1399="","",[2]Entry!$C$1399)</f>
        <v/>
      </c>
      <c r="M1396" t="str">
        <f>IF([2]Entry!$J$1399="","",[2]Entry!$J$1399)</f>
        <v/>
      </c>
      <c r="N1396" t="str">
        <f>IF([2]Entry!$M$1399="","",[2]Entry!$M$1399)</f>
        <v/>
      </c>
      <c r="O1396" t="str">
        <f>IF([2]Entry!$N$1399="","",[2]Entry!$N$1399)</f>
        <v/>
      </c>
      <c r="P1396" t="str">
        <f>IF([2]Entry!$S$1399="","",[2]Entry!$S$1399)</f>
        <v/>
      </c>
    </row>
    <row r="1397" spans="12:16" x14ac:dyDescent="0.2">
      <c r="L1397" t="str">
        <f>IF([2]Entry!$C$1400="","",[2]Entry!$C$1400)</f>
        <v/>
      </c>
      <c r="M1397" t="str">
        <f>IF([2]Entry!$J$1400="","",[2]Entry!$J$1400)</f>
        <v/>
      </c>
      <c r="N1397" t="str">
        <f>IF([2]Entry!$M$1400="","",[2]Entry!$M$1400)</f>
        <v/>
      </c>
      <c r="O1397" t="str">
        <f>IF([2]Entry!$N$1400="","",[2]Entry!$N$1400)</f>
        <v/>
      </c>
      <c r="P1397" t="str">
        <f>IF([2]Entry!$S$1400="","",[2]Entry!$S$1400)</f>
        <v/>
      </c>
    </row>
    <row r="1398" spans="12:16" x14ac:dyDescent="0.2">
      <c r="L1398" t="str">
        <f>IF([2]Entry!$C$1401="","",[2]Entry!$C$1401)</f>
        <v/>
      </c>
      <c r="M1398" t="str">
        <f>IF([2]Entry!$J$1401="","",[2]Entry!$J$1401)</f>
        <v/>
      </c>
      <c r="N1398" t="str">
        <f>IF([2]Entry!$M$1401="","",[2]Entry!$M$1401)</f>
        <v/>
      </c>
      <c r="O1398" t="str">
        <f>IF([2]Entry!$N$1401="","",[2]Entry!$N$1401)</f>
        <v/>
      </c>
      <c r="P1398" t="str">
        <f>IF([2]Entry!$S$1401="","",[2]Entry!$S$1401)</f>
        <v/>
      </c>
    </row>
    <row r="1399" spans="12:16" x14ac:dyDescent="0.2">
      <c r="L1399" t="str">
        <f>IF([2]Entry!$C$1402="","",[2]Entry!$C$1402)</f>
        <v/>
      </c>
      <c r="M1399" t="str">
        <f>IF([2]Entry!$J$1402="","",[2]Entry!$J$1402)</f>
        <v/>
      </c>
      <c r="N1399" t="str">
        <f>IF([2]Entry!$M$1402="","",[2]Entry!$M$1402)</f>
        <v/>
      </c>
      <c r="O1399" t="str">
        <f>IF([2]Entry!$N$1402="","",[2]Entry!$N$1402)</f>
        <v/>
      </c>
      <c r="P1399" t="str">
        <f>IF([2]Entry!$S$1402="","",[2]Entry!$S$1402)</f>
        <v/>
      </c>
    </row>
    <row r="1400" spans="12:16" x14ac:dyDescent="0.2">
      <c r="L1400" t="str">
        <f>IF([2]Entry!$C$1403="","",[2]Entry!$C$1403)</f>
        <v/>
      </c>
      <c r="M1400" t="str">
        <f>IF([2]Entry!$J$1403="","",[2]Entry!$J$1403)</f>
        <v/>
      </c>
      <c r="N1400" t="str">
        <f>IF([2]Entry!$M$1403="","",[2]Entry!$M$1403)</f>
        <v/>
      </c>
      <c r="O1400" t="str">
        <f>IF([2]Entry!$N$1403="","",[2]Entry!$N$1403)</f>
        <v/>
      </c>
      <c r="P1400" t="str">
        <f>IF([2]Entry!$S$1403="","",[2]Entry!$S$1403)</f>
        <v/>
      </c>
    </row>
    <row r="1401" spans="12:16" x14ac:dyDescent="0.2">
      <c r="L1401" t="str">
        <f>IF([2]Entry!$C$1404="","",[2]Entry!$C$1404)</f>
        <v/>
      </c>
      <c r="M1401" t="str">
        <f>IF([2]Entry!$J$1404="","",[2]Entry!$J$1404)</f>
        <v/>
      </c>
      <c r="N1401" t="str">
        <f>IF([2]Entry!$M$1404="","",[2]Entry!$M$1404)</f>
        <v/>
      </c>
      <c r="O1401" t="str">
        <f>IF([2]Entry!$N$1404="","",[2]Entry!$N$1404)</f>
        <v/>
      </c>
      <c r="P1401" t="str">
        <f>IF([2]Entry!$S$1404="","",[2]Entry!$S$1404)</f>
        <v/>
      </c>
    </row>
    <row r="1402" spans="12:16" x14ac:dyDescent="0.2">
      <c r="L1402" t="str">
        <f>IF([2]Entry!$C$1405="","",[2]Entry!$C$1405)</f>
        <v/>
      </c>
      <c r="M1402" t="str">
        <f>IF([2]Entry!$J$1405="","",[2]Entry!$J$1405)</f>
        <v/>
      </c>
      <c r="N1402" t="str">
        <f>IF([2]Entry!$M$1405="","",[2]Entry!$M$1405)</f>
        <v/>
      </c>
      <c r="O1402" t="str">
        <f>IF([2]Entry!$N$1405="","",[2]Entry!$N$1405)</f>
        <v/>
      </c>
      <c r="P1402" t="str">
        <f>IF([2]Entry!$S$1405="","",[2]Entry!$S$1405)</f>
        <v/>
      </c>
    </row>
    <row r="1403" spans="12:16" x14ac:dyDescent="0.2">
      <c r="L1403" t="str">
        <f>IF([2]Entry!$C$1406="","",[2]Entry!$C$1406)</f>
        <v/>
      </c>
      <c r="M1403" t="str">
        <f>IF([2]Entry!$J$1406="","",[2]Entry!$J$1406)</f>
        <v/>
      </c>
      <c r="N1403" t="str">
        <f>IF([2]Entry!$M$1406="","",[2]Entry!$M$1406)</f>
        <v/>
      </c>
      <c r="O1403" t="str">
        <f>IF([2]Entry!$N$1406="","",[2]Entry!$N$1406)</f>
        <v/>
      </c>
      <c r="P1403" t="str">
        <f>IF([2]Entry!$S$1406="","",[2]Entry!$S$1406)</f>
        <v/>
      </c>
    </row>
    <row r="1404" spans="12:16" x14ac:dyDescent="0.2">
      <c r="L1404" t="str">
        <f>IF([2]Entry!$C$1407="","",[2]Entry!$C$1407)</f>
        <v/>
      </c>
      <c r="M1404" t="str">
        <f>IF([2]Entry!$J$1407="","",[2]Entry!$J$1407)</f>
        <v/>
      </c>
      <c r="N1404" t="str">
        <f>IF([2]Entry!$M$1407="","",[2]Entry!$M$1407)</f>
        <v/>
      </c>
      <c r="O1404" t="str">
        <f>IF([2]Entry!$N$1407="","",[2]Entry!$N$1407)</f>
        <v/>
      </c>
      <c r="P1404" t="str">
        <f>IF([2]Entry!$S$1407="","",[2]Entry!$S$1407)</f>
        <v/>
      </c>
    </row>
    <row r="1405" spans="12:16" x14ac:dyDescent="0.2">
      <c r="L1405" t="str">
        <f>IF([2]Entry!$C$1408="","",[2]Entry!$C$1408)</f>
        <v/>
      </c>
      <c r="M1405" t="str">
        <f>IF([2]Entry!$J$1408="","",[2]Entry!$J$1408)</f>
        <v/>
      </c>
      <c r="N1405" t="str">
        <f>IF([2]Entry!$M$1408="","",[2]Entry!$M$1408)</f>
        <v/>
      </c>
      <c r="O1405" t="str">
        <f>IF([2]Entry!$N$1408="","",[2]Entry!$N$1408)</f>
        <v/>
      </c>
      <c r="P1405" t="str">
        <f>IF([2]Entry!$S$1408="","",[2]Entry!$S$1408)</f>
        <v/>
      </c>
    </row>
    <row r="1406" spans="12:16" x14ac:dyDescent="0.2">
      <c r="L1406" t="str">
        <f>IF([2]Entry!$C$1409="","",[2]Entry!$C$1409)</f>
        <v/>
      </c>
      <c r="M1406" t="str">
        <f>IF([2]Entry!$J$1409="","",[2]Entry!$J$1409)</f>
        <v/>
      </c>
      <c r="N1406" t="str">
        <f>IF([2]Entry!$M$1409="","",[2]Entry!$M$1409)</f>
        <v/>
      </c>
      <c r="O1406" t="str">
        <f>IF([2]Entry!$N$1409="","",[2]Entry!$N$1409)</f>
        <v/>
      </c>
      <c r="P1406" t="str">
        <f>IF([2]Entry!$S$1409="","",[2]Entry!$S$1409)</f>
        <v/>
      </c>
    </row>
    <row r="1407" spans="12:16" x14ac:dyDescent="0.2">
      <c r="L1407" t="str">
        <f>IF([2]Entry!$C$1410="","",[2]Entry!$C$1410)</f>
        <v/>
      </c>
      <c r="M1407" t="str">
        <f>IF([2]Entry!$J$1410="","",[2]Entry!$J$1410)</f>
        <v/>
      </c>
      <c r="N1407" t="str">
        <f>IF([2]Entry!$M$1410="","",[2]Entry!$M$1410)</f>
        <v/>
      </c>
      <c r="O1407" t="str">
        <f>IF([2]Entry!$N$1410="","",[2]Entry!$N$1410)</f>
        <v/>
      </c>
      <c r="P1407" t="str">
        <f>IF([2]Entry!$S$1410="","",[2]Entry!$S$1410)</f>
        <v/>
      </c>
    </row>
    <row r="1408" spans="12:16" x14ac:dyDescent="0.2">
      <c r="L1408" t="str">
        <f>IF([2]Entry!$C$1411="","",[2]Entry!$C$1411)</f>
        <v/>
      </c>
      <c r="M1408" t="str">
        <f>IF([2]Entry!$J$1411="","",[2]Entry!$J$1411)</f>
        <v/>
      </c>
      <c r="N1408" t="str">
        <f>IF([2]Entry!$M$1411="","",[2]Entry!$M$1411)</f>
        <v/>
      </c>
      <c r="O1408" t="str">
        <f>IF([2]Entry!$N$1411="","",[2]Entry!$N$1411)</f>
        <v/>
      </c>
      <c r="P1408" t="str">
        <f>IF([2]Entry!$S$1411="","",[2]Entry!$S$1411)</f>
        <v/>
      </c>
    </row>
    <row r="1409" spans="12:16" x14ac:dyDescent="0.2">
      <c r="L1409" t="str">
        <f>IF([2]Entry!$C$1412="","",[2]Entry!$C$1412)</f>
        <v/>
      </c>
      <c r="M1409" t="str">
        <f>IF([2]Entry!$J$1412="","",[2]Entry!$J$1412)</f>
        <v/>
      </c>
      <c r="N1409" t="str">
        <f>IF([2]Entry!$M$1412="","",[2]Entry!$M$1412)</f>
        <v/>
      </c>
      <c r="O1409" t="str">
        <f>IF([2]Entry!$N$1412="","",[2]Entry!$N$1412)</f>
        <v/>
      </c>
      <c r="P1409" t="str">
        <f>IF([2]Entry!$S$1412="","",[2]Entry!$S$1412)</f>
        <v/>
      </c>
    </row>
    <row r="1410" spans="12:16" x14ac:dyDescent="0.2">
      <c r="L1410" t="str">
        <f>IF([2]Entry!$C$1413="","",[2]Entry!$C$1413)</f>
        <v/>
      </c>
      <c r="M1410" t="str">
        <f>IF([2]Entry!$J$1413="","",[2]Entry!$J$1413)</f>
        <v/>
      </c>
      <c r="N1410" t="str">
        <f>IF([2]Entry!$M$1413="","",[2]Entry!$M$1413)</f>
        <v/>
      </c>
      <c r="O1410" t="str">
        <f>IF([2]Entry!$N$1413="","",[2]Entry!$N$1413)</f>
        <v/>
      </c>
      <c r="P1410" t="str">
        <f>IF([2]Entry!$S$1413="","",[2]Entry!$S$1413)</f>
        <v/>
      </c>
    </row>
    <row r="1411" spans="12:16" x14ac:dyDescent="0.2">
      <c r="L1411" t="str">
        <f>IF([2]Entry!$C$1414="","",[2]Entry!$C$1414)</f>
        <v/>
      </c>
      <c r="M1411" t="str">
        <f>IF([2]Entry!$J$1414="","",[2]Entry!$J$1414)</f>
        <v/>
      </c>
      <c r="N1411" t="str">
        <f>IF([2]Entry!$M$1414="","",[2]Entry!$M$1414)</f>
        <v/>
      </c>
      <c r="O1411" t="str">
        <f>IF([2]Entry!$N$1414="","",[2]Entry!$N$1414)</f>
        <v/>
      </c>
      <c r="P1411" t="str">
        <f>IF([2]Entry!$S$1414="","",[2]Entry!$S$1414)</f>
        <v/>
      </c>
    </row>
    <row r="1412" spans="12:16" x14ac:dyDescent="0.2">
      <c r="L1412" t="str">
        <f>IF([2]Entry!$C$1415="","",[2]Entry!$C$1415)</f>
        <v/>
      </c>
      <c r="M1412" t="str">
        <f>IF([2]Entry!$J$1415="","",[2]Entry!$J$1415)</f>
        <v/>
      </c>
      <c r="N1412" t="str">
        <f>IF([2]Entry!$M$1415="","",[2]Entry!$M$1415)</f>
        <v/>
      </c>
      <c r="O1412" t="str">
        <f>IF([2]Entry!$N$1415="","",[2]Entry!$N$1415)</f>
        <v/>
      </c>
      <c r="P1412" t="str">
        <f>IF([2]Entry!$S$1415="","",[2]Entry!$S$1415)</f>
        <v/>
      </c>
    </row>
    <row r="1413" spans="12:16" x14ac:dyDescent="0.2">
      <c r="L1413" t="str">
        <f>IF([2]Entry!$C$1416="","",[2]Entry!$C$1416)</f>
        <v/>
      </c>
      <c r="M1413" t="str">
        <f>IF([2]Entry!$J$1416="","",[2]Entry!$J$1416)</f>
        <v/>
      </c>
      <c r="N1413" t="str">
        <f>IF([2]Entry!$M$1416="","",[2]Entry!$M$1416)</f>
        <v/>
      </c>
      <c r="O1413" t="str">
        <f>IF([2]Entry!$N$1416="","",[2]Entry!$N$1416)</f>
        <v/>
      </c>
      <c r="P1413" t="str">
        <f>IF([2]Entry!$S$1416="","",[2]Entry!$S$1416)</f>
        <v/>
      </c>
    </row>
    <row r="1414" spans="12:16" x14ac:dyDescent="0.2">
      <c r="L1414" t="str">
        <f>IF([2]Entry!$C$1417="","",[2]Entry!$C$1417)</f>
        <v/>
      </c>
      <c r="M1414" t="str">
        <f>IF([2]Entry!$J$1417="","",[2]Entry!$J$1417)</f>
        <v/>
      </c>
      <c r="N1414" t="str">
        <f>IF([2]Entry!$M$1417="","",[2]Entry!$M$1417)</f>
        <v/>
      </c>
      <c r="O1414" t="str">
        <f>IF([2]Entry!$N$1417="","",[2]Entry!$N$1417)</f>
        <v/>
      </c>
      <c r="P1414" t="str">
        <f>IF([2]Entry!$S$1417="","",[2]Entry!$S$1417)</f>
        <v/>
      </c>
    </row>
    <row r="1415" spans="12:16" x14ac:dyDescent="0.2">
      <c r="L1415" t="str">
        <f>IF([2]Entry!$C$1418="","",[2]Entry!$C$1418)</f>
        <v/>
      </c>
      <c r="M1415" t="str">
        <f>IF([2]Entry!$J$1418="","",[2]Entry!$J$1418)</f>
        <v/>
      </c>
      <c r="N1415" t="str">
        <f>IF([2]Entry!$M$1418="","",[2]Entry!$M$1418)</f>
        <v/>
      </c>
      <c r="O1415" t="str">
        <f>IF([2]Entry!$N$1418="","",[2]Entry!$N$1418)</f>
        <v/>
      </c>
      <c r="P1415" t="str">
        <f>IF([2]Entry!$S$1418="","",[2]Entry!$S$1418)</f>
        <v/>
      </c>
    </row>
    <row r="1416" spans="12:16" x14ac:dyDescent="0.2">
      <c r="L1416" t="str">
        <f>IF([2]Entry!$C$1419="","",[2]Entry!$C$1419)</f>
        <v/>
      </c>
      <c r="M1416" t="str">
        <f>IF([2]Entry!$J$1419="","",[2]Entry!$J$1419)</f>
        <v/>
      </c>
      <c r="N1416" t="str">
        <f>IF([2]Entry!$M$1419="","",[2]Entry!$M$1419)</f>
        <v/>
      </c>
      <c r="O1416" t="str">
        <f>IF([2]Entry!$N$1419="","",[2]Entry!$N$1419)</f>
        <v/>
      </c>
      <c r="P1416" t="str">
        <f>IF([2]Entry!$S$1419="","",[2]Entry!$S$1419)</f>
        <v/>
      </c>
    </row>
    <row r="1417" spans="12:16" x14ac:dyDescent="0.2">
      <c r="L1417" t="str">
        <f>IF([2]Entry!$C$1420="","",[2]Entry!$C$1420)</f>
        <v/>
      </c>
      <c r="M1417" t="str">
        <f>IF([2]Entry!$J$1420="","",[2]Entry!$J$1420)</f>
        <v/>
      </c>
      <c r="N1417" t="str">
        <f>IF([2]Entry!$M$1420="","",[2]Entry!$M$1420)</f>
        <v/>
      </c>
      <c r="O1417" t="str">
        <f>IF([2]Entry!$N$1420="","",[2]Entry!$N$1420)</f>
        <v/>
      </c>
      <c r="P1417" t="str">
        <f>IF([2]Entry!$S$1420="","",[2]Entry!$S$1420)</f>
        <v/>
      </c>
    </row>
    <row r="1418" spans="12:16" x14ac:dyDescent="0.2">
      <c r="L1418" t="str">
        <f>IF([2]Entry!$C$1421="","",[2]Entry!$C$1421)</f>
        <v/>
      </c>
      <c r="M1418" t="str">
        <f>IF([2]Entry!$J$1421="","",[2]Entry!$J$1421)</f>
        <v/>
      </c>
      <c r="N1418" t="str">
        <f>IF([2]Entry!$M$1421="","",[2]Entry!$M$1421)</f>
        <v/>
      </c>
      <c r="O1418" t="str">
        <f>IF([2]Entry!$N$1421="","",[2]Entry!$N$1421)</f>
        <v/>
      </c>
      <c r="P1418" t="str">
        <f>IF([2]Entry!$S$1421="","",[2]Entry!$S$1421)</f>
        <v/>
      </c>
    </row>
    <row r="1419" spans="12:16" x14ac:dyDescent="0.2">
      <c r="L1419" t="str">
        <f>IF([2]Entry!$C$1422="","",[2]Entry!$C$1422)</f>
        <v/>
      </c>
      <c r="M1419" t="str">
        <f>IF([2]Entry!$J$1422="","",[2]Entry!$J$1422)</f>
        <v/>
      </c>
      <c r="N1419" t="str">
        <f>IF([2]Entry!$M$1422="","",[2]Entry!$M$1422)</f>
        <v/>
      </c>
      <c r="O1419" t="str">
        <f>IF([2]Entry!$N$1422="","",[2]Entry!$N$1422)</f>
        <v/>
      </c>
      <c r="P1419" t="str">
        <f>IF([2]Entry!$S$1422="","",[2]Entry!$S$1422)</f>
        <v/>
      </c>
    </row>
    <row r="1420" spans="12:16" x14ac:dyDescent="0.2">
      <c r="L1420" t="str">
        <f>IF([2]Entry!$C$1423="","",[2]Entry!$C$1423)</f>
        <v/>
      </c>
      <c r="M1420" t="str">
        <f>IF([2]Entry!$J$1423="","",[2]Entry!$J$1423)</f>
        <v/>
      </c>
      <c r="N1420" t="str">
        <f>IF([2]Entry!$M$1423="","",[2]Entry!$M$1423)</f>
        <v/>
      </c>
      <c r="O1420" t="str">
        <f>IF([2]Entry!$N$1423="","",[2]Entry!$N$1423)</f>
        <v/>
      </c>
      <c r="P1420" t="str">
        <f>IF([2]Entry!$S$1423="","",[2]Entry!$S$1423)</f>
        <v/>
      </c>
    </row>
    <row r="1421" spans="12:16" x14ac:dyDescent="0.2">
      <c r="L1421" t="str">
        <f>IF([2]Entry!$C$1424="","",[2]Entry!$C$1424)</f>
        <v/>
      </c>
      <c r="M1421" t="str">
        <f>IF([2]Entry!$J$1424="","",[2]Entry!$J$1424)</f>
        <v/>
      </c>
      <c r="N1421" t="str">
        <f>IF([2]Entry!$M$1424="","",[2]Entry!$M$1424)</f>
        <v/>
      </c>
      <c r="O1421" t="str">
        <f>IF([2]Entry!$N$1424="","",[2]Entry!$N$1424)</f>
        <v/>
      </c>
      <c r="P1421" t="str">
        <f>IF([2]Entry!$S$1424="","",[2]Entry!$S$1424)</f>
        <v/>
      </c>
    </row>
    <row r="1422" spans="12:16" x14ac:dyDescent="0.2">
      <c r="L1422" t="str">
        <f>IF([2]Entry!$C$1425="","",[2]Entry!$C$1425)</f>
        <v/>
      </c>
      <c r="M1422" t="str">
        <f>IF([2]Entry!$J$1425="","",[2]Entry!$J$1425)</f>
        <v/>
      </c>
      <c r="N1422" t="str">
        <f>IF([2]Entry!$M$1425="","",[2]Entry!$M$1425)</f>
        <v/>
      </c>
      <c r="O1422" t="str">
        <f>IF([2]Entry!$N$1425="","",[2]Entry!$N$1425)</f>
        <v/>
      </c>
      <c r="P1422" t="str">
        <f>IF([2]Entry!$S$1425="","",[2]Entry!$S$1425)</f>
        <v/>
      </c>
    </row>
    <row r="1423" spans="12:16" x14ac:dyDescent="0.2">
      <c r="L1423" t="str">
        <f>IF([2]Entry!$C$1426="","",[2]Entry!$C$1426)</f>
        <v/>
      </c>
      <c r="M1423" t="str">
        <f>IF([2]Entry!$J$1426="","",[2]Entry!$J$1426)</f>
        <v/>
      </c>
      <c r="N1423" t="str">
        <f>IF([2]Entry!$M$1426="","",[2]Entry!$M$1426)</f>
        <v/>
      </c>
      <c r="O1423" t="str">
        <f>IF([2]Entry!$N$1426="","",[2]Entry!$N$1426)</f>
        <v/>
      </c>
      <c r="P1423" t="str">
        <f>IF([2]Entry!$S$1426="","",[2]Entry!$S$1426)</f>
        <v/>
      </c>
    </row>
    <row r="1424" spans="12:16" x14ac:dyDescent="0.2">
      <c r="L1424" t="str">
        <f>IF([2]Entry!$C$1427="","",[2]Entry!$C$1427)</f>
        <v/>
      </c>
      <c r="M1424" t="str">
        <f>IF([2]Entry!$J$1427="","",[2]Entry!$J$1427)</f>
        <v/>
      </c>
      <c r="N1424" t="str">
        <f>IF([2]Entry!$M$1427="","",[2]Entry!$M$1427)</f>
        <v/>
      </c>
      <c r="O1424" t="str">
        <f>IF([2]Entry!$N$1427="","",[2]Entry!$N$1427)</f>
        <v/>
      </c>
      <c r="P1424" t="str">
        <f>IF([2]Entry!$S$1427="","",[2]Entry!$S$1427)</f>
        <v/>
      </c>
    </row>
    <row r="1425" spans="12:16" x14ac:dyDescent="0.2">
      <c r="L1425" t="str">
        <f>IF([2]Entry!$C$1428="","",[2]Entry!$C$1428)</f>
        <v/>
      </c>
      <c r="M1425" t="str">
        <f>IF([2]Entry!$J$1428="","",[2]Entry!$J$1428)</f>
        <v/>
      </c>
      <c r="N1425" t="str">
        <f>IF([2]Entry!$M$1428="","",[2]Entry!$M$1428)</f>
        <v/>
      </c>
      <c r="O1425" t="str">
        <f>IF([2]Entry!$N$1428="","",[2]Entry!$N$1428)</f>
        <v/>
      </c>
      <c r="P1425" t="str">
        <f>IF([2]Entry!$S$1428="","",[2]Entry!$S$1428)</f>
        <v/>
      </c>
    </row>
    <row r="1426" spans="12:16" x14ac:dyDescent="0.2">
      <c r="L1426" t="str">
        <f>IF([2]Entry!$C$1429="","",[2]Entry!$C$1429)</f>
        <v/>
      </c>
      <c r="M1426" t="str">
        <f>IF([2]Entry!$J$1429="","",[2]Entry!$J$1429)</f>
        <v/>
      </c>
      <c r="N1426" t="str">
        <f>IF([2]Entry!$M$1429="","",[2]Entry!$M$1429)</f>
        <v/>
      </c>
      <c r="O1426" t="str">
        <f>IF([2]Entry!$N$1429="","",[2]Entry!$N$1429)</f>
        <v/>
      </c>
      <c r="P1426" t="str">
        <f>IF([2]Entry!$S$1429="","",[2]Entry!$S$1429)</f>
        <v/>
      </c>
    </row>
    <row r="1427" spans="12:16" x14ac:dyDescent="0.2">
      <c r="L1427" t="str">
        <f>IF([2]Entry!$C$1430="","",[2]Entry!$C$1430)</f>
        <v/>
      </c>
      <c r="M1427" t="str">
        <f>IF([2]Entry!$J$1430="","",[2]Entry!$J$1430)</f>
        <v/>
      </c>
      <c r="N1427" t="str">
        <f>IF([2]Entry!$M$1430="","",[2]Entry!$M$1430)</f>
        <v/>
      </c>
      <c r="O1427" t="str">
        <f>IF([2]Entry!$N$1430="","",[2]Entry!$N$1430)</f>
        <v/>
      </c>
      <c r="P1427" t="str">
        <f>IF([2]Entry!$S$1430="","",[2]Entry!$S$1430)</f>
        <v/>
      </c>
    </row>
    <row r="1428" spans="12:16" x14ac:dyDescent="0.2">
      <c r="L1428" t="str">
        <f>IF([2]Entry!$C$1431="","",[2]Entry!$C$1431)</f>
        <v/>
      </c>
      <c r="M1428" t="str">
        <f>IF([2]Entry!$J$1431="","",[2]Entry!$J$1431)</f>
        <v/>
      </c>
      <c r="N1428" t="str">
        <f>IF([2]Entry!$M$1431="","",[2]Entry!$M$1431)</f>
        <v/>
      </c>
      <c r="O1428" t="str">
        <f>IF([2]Entry!$N$1431="","",[2]Entry!$N$1431)</f>
        <v/>
      </c>
      <c r="P1428" t="str">
        <f>IF([2]Entry!$S$1431="","",[2]Entry!$S$1431)</f>
        <v/>
      </c>
    </row>
    <row r="1429" spans="12:16" x14ac:dyDescent="0.2">
      <c r="L1429" t="str">
        <f>IF([2]Entry!$C$1432="","",[2]Entry!$C$1432)</f>
        <v/>
      </c>
      <c r="M1429" t="str">
        <f>IF([2]Entry!$J$1432="","",[2]Entry!$J$1432)</f>
        <v/>
      </c>
      <c r="N1429" t="str">
        <f>IF([2]Entry!$M$1432="","",[2]Entry!$M$1432)</f>
        <v/>
      </c>
      <c r="O1429" t="str">
        <f>IF([2]Entry!$N$1432="","",[2]Entry!$N$1432)</f>
        <v/>
      </c>
      <c r="P1429" t="str">
        <f>IF([2]Entry!$S$1432="","",[2]Entry!$S$1432)</f>
        <v/>
      </c>
    </row>
    <row r="1430" spans="12:16" x14ac:dyDescent="0.2">
      <c r="L1430" t="str">
        <f>IF([2]Entry!$C$1433="","",[2]Entry!$C$1433)</f>
        <v/>
      </c>
      <c r="M1430" t="str">
        <f>IF([2]Entry!$J$1433="","",[2]Entry!$J$1433)</f>
        <v/>
      </c>
      <c r="N1430" t="str">
        <f>IF([2]Entry!$M$1433="","",[2]Entry!$M$1433)</f>
        <v/>
      </c>
      <c r="O1430" t="str">
        <f>IF([2]Entry!$N$1433="","",[2]Entry!$N$1433)</f>
        <v/>
      </c>
      <c r="P1430" t="str">
        <f>IF([2]Entry!$S$1433="","",[2]Entry!$S$1433)</f>
        <v/>
      </c>
    </row>
    <row r="1431" spans="12:16" x14ac:dyDescent="0.2">
      <c r="L1431" t="str">
        <f>IF([2]Entry!$C$1434="","",[2]Entry!$C$1434)</f>
        <v/>
      </c>
      <c r="M1431" t="str">
        <f>IF([2]Entry!$J$1434="","",[2]Entry!$J$1434)</f>
        <v/>
      </c>
      <c r="N1431" t="str">
        <f>IF([2]Entry!$M$1434="","",[2]Entry!$M$1434)</f>
        <v/>
      </c>
      <c r="O1431" t="str">
        <f>IF([2]Entry!$N$1434="","",[2]Entry!$N$1434)</f>
        <v/>
      </c>
      <c r="P1431" t="str">
        <f>IF([2]Entry!$S$1434="","",[2]Entry!$S$1434)</f>
        <v/>
      </c>
    </row>
    <row r="1432" spans="12:16" x14ac:dyDescent="0.2">
      <c r="L1432" t="str">
        <f>IF([2]Entry!$C$1435="","",[2]Entry!$C$1435)</f>
        <v/>
      </c>
      <c r="M1432" t="str">
        <f>IF([2]Entry!$J$1435="","",[2]Entry!$J$1435)</f>
        <v/>
      </c>
      <c r="N1432" t="str">
        <f>IF([2]Entry!$M$1435="","",[2]Entry!$M$1435)</f>
        <v/>
      </c>
      <c r="O1432" t="str">
        <f>IF([2]Entry!$N$1435="","",[2]Entry!$N$1435)</f>
        <v/>
      </c>
      <c r="P1432" t="str">
        <f>IF([2]Entry!$S$1435="","",[2]Entry!$S$1435)</f>
        <v/>
      </c>
    </row>
    <row r="1433" spans="12:16" x14ac:dyDescent="0.2">
      <c r="L1433" t="str">
        <f>IF([2]Entry!$C$1436="","",[2]Entry!$C$1436)</f>
        <v/>
      </c>
      <c r="M1433" t="str">
        <f>IF([2]Entry!$J$1436="","",[2]Entry!$J$1436)</f>
        <v/>
      </c>
      <c r="N1433" t="str">
        <f>IF([2]Entry!$M$1436="","",[2]Entry!$M$1436)</f>
        <v/>
      </c>
      <c r="O1433" t="str">
        <f>IF([2]Entry!$N$1436="","",[2]Entry!$N$1436)</f>
        <v/>
      </c>
      <c r="P1433" t="str">
        <f>IF([2]Entry!$S$1436="","",[2]Entry!$S$1436)</f>
        <v/>
      </c>
    </row>
    <row r="1434" spans="12:16" x14ac:dyDescent="0.2">
      <c r="L1434" t="str">
        <f>IF([2]Entry!$C$1437="","",[2]Entry!$C$1437)</f>
        <v/>
      </c>
      <c r="M1434" t="str">
        <f>IF([2]Entry!$J$1437="","",[2]Entry!$J$1437)</f>
        <v/>
      </c>
      <c r="N1434" t="str">
        <f>IF([2]Entry!$M$1437="","",[2]Entry!$M$1437)</f>
        <v/>
      </c>
      <c r="O1434" t="str">
        <f>IF([2]Entry!$N$1437="","",[2]Entry!$N$1437)</f>
        <v/>
      </c>
      <c r="P1434" t="str">
        <f>IF([2]Entry!$S$1437="","",[2]Entry!$S$1437)</f>
        <v/>
      </c>
    </row>
    <row r="1435" spans="12:16" x14ac:dyDescent="0.2">
      <c r="L1435" t="str">
        <f>IF([2]Entry!$C$1438="","",[2]Entry!$C$1438)</f>
        <v/>
      </c>
      <c r="M1435" t="str">
        <f>IF([2]Entry!$J$1438="","",[2]Entry!$J$1438)</f>
        <v/>
      </c>
      <c r="N1435" t="str">
        <f>IF([2]Entry!$M$1438="","",[2]Entry!$M$1438)</f>
        <v/>
      </c>
      <c r="O1435" t="str">
        <f>IF([2]Entry!$N$1438="","",[2]Entry!$N$1438)</f>
        <v/>
      </c>
      <c r="P1435" t="str">
        <f>IF([2]Entry!$S$1438="","",[2]Entry!$S$1438)</f>
        <v/>
      </c>
    </row>
    <row r="1436" spans="12:16" x14ac:dyDescent="0.2">
      <c r="L1436" t="str">
        <f>IF([2]Entry!$C$1439="","",[2]Entry!$C$1439)</f>
        <v/>
      </c>
      <c r="M1436" t="str">
        <f>IF([2]Entry!$J$1439="","",[2]Entry!$J$1439)</f>
        <v/>
      </c>
      <c r="N1436" t="str">
        <f>IF([2]Entry!$M$1439="","",[2]Entry!$M$1439)</f>
        <v/>
      </c>
      <c r="O1436" t="str">
        <f>IF([2]Entry!$N$1439="","",[2]Entry!$N$1439)</f>
        <v/>
      </c>
      <c r="P1436" t="str">
        <f>IF([2]Entry!$S$1439="","",[2]Entry!$S$1439)</f>
        <v/>
      </c>
    </row>
    <row r="1437" spans="12:16" x14ac:dyDescent="0.2">
      <c r="L1437" t="str">
        <f>IF([2]Entry!$C$1440="","",[2]Entry!$C$1440)</f>
        <v/>
      </c>
      <c r="M1437" t="str">
        <f>IF([2]Entry!$J$1440="","",[2]Entry!$J$1440)</f>
        <v/>
      </c>
      <c r="N1437" t="str">
        <f>IF([2]Entry!$M$1440="","",[2]Entry!$M$1440)</f>
        <v/>
      </c>
      <c r="O1437" t="str">
        <f>IF([2]Entry!$N$1440="","",[2]Entry!$N$1440)</f>
        <v/>
      </c>
      <c r="P1437" t="str">
        <f>IF([2]Entry!$S$1440="","",[2]Entry!$S$1440)</f>
        <v/>
      </c>
    </row>
    <row r="1438" spans="12:16" x14ac:dyDescent="0.2">
      <c r="L1438" t="str">
        <f>IF([2]Entry!$C$1441="","",[2]Entry!$C$1441)</f>
        <v/>
      </c>
      <c r="M1438" t="str">
        <f>IF([2]Entry!$J$1441="","",[2]Entry!$J$1441)</f>
        <v/>
      </c>
      <c r="N1438" t="str">
        <f>IF([2]Entry!$M$1441="","",[2]Entry!$M$1441)</f>
        <v/>
      </c>
      <c r="O1438" t="str">
        <f>IF([2]Entry!$N$1441="","",[2]Entry!$N$1441)</f>
        <v/>
      </c>
      <c r="P1438" t="str">
        <f>IF([2]Entry!$S$1441="","",[2]Entry!$S$1441)</f>
        <v/>
      </c>
    </row>
    <row r="1439" spans="12:16" x14ac:dyDescent="0.2">
      <c r="L1439" t="str">
        <f>IF([2]Entry!$C$1442="","",[2]Entry!$C$1442)</f>
        <v/>
      </c>
      <c r="M1439" t="str">
        <f>IF([2]Entry!$J$1442="","",[2]Entry!$J$1442)</f>
        <v/>
      </c>
      <c r="N1439" t="str">
        <f>IF([2]Entry!$M$1442="","",[2]Entry!$M$1442)</f>
        <v/>
      </c>
      <c r="O1439" t="str">
        <f>IF([2]Entry!$N$1442="","",[2]Entry!$N$1442)</f>
        <v/>
      </c>
      <c r="P1439" t="str">
        <f>IF([2]Entry!$S$1442="","",[2]Entry!$S$1442)</f>
        <v/>
      </c>
    </row>
    <row r="1440" spans="12:16" x14ac:dyDescent="0.2">
      <c r="L1440" t="str">
        <f>IF([2]Entry!$C$1443="","",[2]Entry!$C$1443)</f>
        <v/>
      </c>
      <c r="M1440" t="str">
        <f>IF([2]Entry!$J$1443="","",[2]Entry!$J$1443)</f>
        <v/>
      </c>
      <c r="N1440" t="str">
        <f>IF([2]Entry!$M$1443="","",[2]Entry!$M$1443)</f>
        <v/>
      </c>
      <c r="O1440" t="str">
        <f>IF([2]Entry!$N$1443="","",[2]Entry!$N$1443)</f>
        <v/>
      </c>
      <c r="P1440" t="str">
        <f>IF([2]Entry!$S$1443="","",[2]Entry!$S$1443)</f>
        <v/>
      </c>
    </row>
    <row r="1441" spans="12:16" x14ac:dyDescent="0.2">
      <c r="L1441" t="str">
        <f>IF([2]Entry!$C$1444="","",[2]Entry!$C$1444)</f>
        <v/>
      </c>
      <c r="M1441" t="str">
        <f>IF([2]Entry!$J$1444="","",[2]Entry!$J$1444)</f>
        <v/>
      </c>
      <c r="N1441" t="str">
        <f>IF([2]Entry!$M$1444="","",[2]Entry!$M$1444)</f>
        <v/>
      </c>
      <c r="O1441" t="str">
        <f>IF([2]Entry!$N$1444="","",[2]Entry!$N$1444)</f>
        <v/>
      </c>
      <c r="P1441" t="str">
        <f>IF([2]Entry!$S$1444="","",[2]Entry!$S$1444)</f>
        <v/>
      </c>
    </row>
    <row r="1442" spans="12:16" x14ac:dyDescent="0.2">
      <c r="L1442" t="str">
        <f>IF([2]Entry!$C$1445="","",[2]Entry!$C$1445)</f>
        <v/>
      </c>
      <c r="M1442" t="str">
        <f>IF([2]Entry!$J$1445="","",[2]Entry!$J$1445)</f>
        <v/>
      </c>
      <c r="N1442" t="str">
        <f>IF([2]Entry!$M$1445="","",[2]Entry!$M$1445)</f>
        <v/>
      </c>
      <c r="O1442" t="str">
        <f>IF([2]Entry!$N$1445="","",[2]Entry!$N$1445)</f>
        <v/>
      </c>
      <c r="P1442" t="str">
        <f>IF([2]Entry!$S$1445="","",[2]Entry!$S$1445)</f>
        <v/>
      </c>
    </row>
    <row r="1443" spans="12:16" x14ac:dyDescent="0.2">
      <c r="L1443" t="str">
        <f>IF([2]Entry!$C$1446="","",[2]Entry!$C$1446)</f>
        <v/>
      </c>
      <c r="M1443" t="str">
        <f>IF([2]Entry!$J$1446="","",[2]Entry!$J$1446)</f>
        <v/>
      </c>
      <c r="N1443" t="str">
        <f>IF([2]Entry!$M$1446="","",[2]Entry!$M$1446)</f>
        <v/>
      </c>
      <c r="O1443" t="str">
        <f>IF([2]Entry!$N$1446="","",[2]Entry!$N$1446)</f>
        <v/>
      </c>
      <c r="P1443" t="str">
        <f>IF([2]Entry!$S$1446="","",[2]Entry!$S$1446)</f>
        <v/>
      </c>
    </row>
    <row r="1444" spans="12:16" x14ac:dyDescent="0.2">
      <c r="L1444" t="str">
        <f>IF([2]Entry!$C$1447="","",[2]Entry!$C$1447)</f>
        <v/>
      </c>
      <c r="M1444" t="str">
        <f>IF([2]Entry!$J$1447="","",[2]Entry!$J$1447)</f>
        <v/>
      </c>
      <c r="N1444" t="str">
        <f>IF([2]Entry!$M$1447="","",[2]Entry!$M$1447)</f>
        <v/>
      </c>
      <c r="O1444" t="str">
        <f>IF([2]Entry!$N$1447="","",[2]Entry!$N$1447)</f>
        <v/>
      </c>
      <c r="P1444" t="str">
        <f>IF([2]Entry!$S$1447="","",[2]Entry!$S$1447)</f>
        <v/>
      </c>
    </row>
    <row r="1445" spans="12:16" x14ac:dyDescent="0.2">
      <c r="L1445" t="str">
        <f>IF([2]Entry!$C$1448="","",[2]Entry!$C$1448)</f>
        <v/>
      </c>
      <c r="M1445" t="str">
        <f>IF([2]Entry!$J$1448="","",[2]Entry!$J$1448)</f>
        <v/>
      </c>
      <c r="N1445" t="str">
        <f>IF([2]Entry!$M$1448="","",[2]Entry!$M$1448)</f>
        <v/>
      </c>
      <c r="O1445" t="str">
        <f>IF([2]Entry!$N$1448="","",[2]Entry!$N$1448)</f>
        <v/>
      </c>
      <c r="P1445" t="str">
        <f>IF([2]Entry!$S$1448="","",[2]Entry!$S$1448)</f>
        <v/>
      </c>
    </row>
    <row r="1446" spans="12:16" x14ac:dyDescent="0.2">
      <c r="L1446" t="str">
        <f>IF([2]Entry!$C$1449="","",[2]Entry!$C$1449)</f>
        <v/>
      </c>
      <c r="M1446" t="str">
        <f>IF([2]Entry!$J$1449="","",[2]Entry!$J$1449)</f>
        <v/>
      </c>
      <c r="N1446" t="str">
        <f>IF([2]Entry!$M$1449="","",[2]Entry!$M$1449)</f>
        <v/>
      </c>
      <c r="O1446" t="str">
        <f>IF([2]Entry!$N$1449="","",[2]Entry!$N$1449)</f>
        <v/>
      </c>
      <c r="P1446" t="str">
        <f>IF([2]Entry!$S$1449="","",[2]Entry!$S$1449)</f>
        <v/>
      </c>
    </row>
    <row r="1447" spans="12:16" x14ac:dyDescent="0.2">
      <c r="L1447" t="str">
        <f>IF([2]Entry!$C$1450="","",[2]Entry!$C$1450)</f>
        <v/>
      </c>
      <c r="M1447" t="str">
        <f>IF([2]Entry!$J$1450="","",[2]Entry!$J$1450)</f>
        <v/>
      </c>
      <c r="N1447" t="str">
        <f>IF([2]Entry!$M$1450="","",[2]Entry!$M$1450)</f>
        <v/>
      </c>
      <c r="O1447" t="str">
        <f>IF([2]Entry!$N$1450="","",[2]Entry!$N$1450)</f>
        <v/>
      </c>
      <c r="P1447" t="str">
        <f>IF([2]Entry!$S$1450="","",[2]Entry!$S$1450)</f>
        <v/>
      </c>
    </row>
    <row r="1448" spans="12:16" x14ac:dyDescent="0.2">
      <c r="L1448" t="str">
        <f>IF([2]Entry!$C$1451="","",[2]Entry!$C$1451)</f>
        <v/>
      </c>
      <c r="M1448" t="str">
        <f>IF([2]Entry!$J$1451="","",[2]Entry!$J$1451)</f>
        <v/>
      </c>
      <c r="N1448" t="str">
        <f>IF([2]Entry!$M$1451="","",[2]Entry!$M$1451)</f>
        <v/>
      </c>
      <c r="O1448" t="str">
        <f>IF([2]Entry!$N$1451="","",[2]Entry!$N$1451)</f>
        <v/>
      </c>
      <c r="P1448" t="str">
        <f>IF([2]Entry!$S$1451="","",[2]Entry!$S$1451)</f>
        <v/>
      </c>
    </row>
    <row r="1449" spans="12:16" x14ac:dyDescent="0.2">
      <c r="L1449" t="str">
        <f>IF([2]Entry!$C$1452="","",[2]Entry!$C$1452)</f>
        <v/>
      </c>
      <c r="M1449" t="str">
        <f>IF([2]Entry!$J$1452="","",[2]Entry!$J$1452)</f>
        <v/>
      </c>
      <c r="N1449" t="str">
        <f>IF([2]Entry!$M$1452="","",[2]Entry!$M$1452)</f>
        <v/>
      </c>
      <c r="O1449" t="str">
        <f>IF([2]Entry!$N$1452="","",[2]Entry!$N$1452)</f>
        <v/>
      </c>
      <c r="P1449" t="str">
        <f>IF([2]Entry!$S$1452="","",[2]Entry!$S$1452)</f>
        <v/>
      </c>
    </row>
    <row r="1450" spans="12:16" x14ac:dyDescent="0.2">
      <c r="L1450" t="str">
        <f>IF([2]Entry!$C$1453="","",[2]Entry!$C$1453)</f>
        <v/>
      </c>
      <c r="M1450" t="str">
        <f>IF([2]Entry!$J$1453="","",[2]Entry!$J$1453)</f>
        <v/>
      </c>
      <c r="N1450" t="str">
        <f>IF([2]Entry!$M$1453="","",[2]Entry!$M$1453)</f>
        <v/>
      </c>
      <c r="O1450" t="str">
        <f>IF([2]Entry!$N$1453="","",[2]Entry!$N$1453)</f>
        <v/>
      </c>
      <c r="P1450" t="str">
        <f>IF([2]Entry!$S$1453="","",[2]Entry!$S$1453)</f>
        <v/>
      </c>
    </row>
    <row r="1451" spans="12:16" x14ac:dyDescent="0.2">
      <c r="L1451" t="str">
        <f>IF([2]Entry!$C$1454="","",[2]Entry!$C$1454)</f>
        <v/>
      </c>
      <c r="M1451" t="str">
        <f>IF([2]Entry!$J$1454="","",[2]Entry!$J$1454)</f>
        <v/>
      </c>
      <c r="N1451" t="str">
        <f>IF([2]Entry!$M$1454="","",[2]Entry!$M$1454)</f>
        <v/>
      </c>
      <c r="O1451" t="str">
        <f>IF([2]Entry!$N$1454="","",[2]Entry!$N$1454)</f>
        <v/>
      </c>
      <c r="P1451" t="str">
        <f>IF([2]Entry!$S$1454="","",[2]Entry!$S$1454)</f>
        <v/>
      </c>
    </row>
    <row r="1452" spans="12:16" x14ac:dyDescent="0.2">
      <c r="L1452" t="str">
        <f>IF([2]Entry!$C$1455="","",[2]Entry!$C$1455)</f>
        <v/>
      </c>
      <c r="M1452" t="str">
        <f>IF([2]Entry!$J$1455="","",[2]Entry!$J$1455)</f>
        <v/>
      </c>
      <c r="N1452" t="str">
        <f>IF([2]Entry!$M$1455="","",[2]Entry!$M$1455)</f>
        <v/>
      </c>
      <c r="O1452" t="str">
        <f>IF([2]Entry!$N$1455="","",[2]Entry!$N$1455)</f>
        <v/>
      </c>
      <c r="P1452" t="str">
        <f>IF([2]Entry!$S$1455="","",[2]Entry!$S$1455)</f>
        <v/>
      </c>
    </row>
    <row r="1453" spans="12:16" x14ac:dyDescent="0.2">
      <c r="L1453" t="str">
        <f>IF([2]Entry!$C$1456="","",[2]Entry!$C$1456)</f>
        <v/>
      </c>
      <c r="M1453" t="str">
        <f>IF([2]Entry!$J$1456="","",[2]Entry!$J$1456)</f>
        <v/>
      </c>
      <c r="N1453" t="str">
        <f>IF([2]Entry!$M$1456="","",[2]Entry!$M$1456)</f>
        <v/>
      </c>
      <c r="O1453" t="str">
        <f>IF([2]Entry!$N$1456="","",[2]Entry!$N$1456)</f>
        <v/>
      </c>
      <c r="P1453" t="str">
        <f>IF([2]Entry!$S$1456="","",[2]Entry!$S$1456)</f>
        <v/>
      </c>
    </row>
    <row r="1454" spans="12:16" x14ac:dyDescent="0.2">
      <c r="L1454" t="str">
        <f>IF([2]Entry!$C$1457="","",[2]Entry!$C$1457)</f>
        <v/>
      </c>
      <c r="M1454" t="str">
        <f>IF([2]Entry!$J$1457="","",[2]Entry!$J$1457)</f>
        <v/>
      </c>
      <c r="N1454" t="str">
        <f>IF([2]Entry!$M$1457="","",[2]Entry!$M$1457)</f>
        <v/>
      </c>
      <c r="O1454" t="str">
        <f>IF([2]Entry!$N$1457="","",[2]Entry!$N$1457)</f>
        <v/>
      </c>
      <c r="P1454" t="str">
        <f>IF([2]Entry!$S$1457="","",[2]Entry!$S$1457)</f>
        <v/>
      </c>
    </row>
    <row r="1455" spans="12:16" x14ac:dyDescent="0.2">
      <c r="L1455" t="str">
        <f>IF([2]Entry!$C$1458="","",[2]Entry!$C$1458)</f>
        <v/>
      </c>
      <c r="M1455" t="str">
        <f>IF([2]Entry!$J$1458="","",[2]Entry!$J$1458)</f>
        <v/>
      </c>
      <c r="N1455" t="str">
        <f>IF([2]Entry!$M$1458="","",[2]Entry!$M$1458)</f>
        <v/>
      </c>
      <c r="O1455" t="str">
        <f>IF([2]Entry!$N$1458="","",[2]Entry!$N$1458)</f>
        <v/>
      </c>
      <c r="P1455" t="str">
        <f>IF([2]Entry!$S$1458="","",[2]Entry!$S$1458)</f>
        <v/>
      </c>
    </row>
    <row r="1456" spans="12:16" x14ac:dyDescent="0.2">
      <c r="L1456" t="str">
        <f>IF([2]Entry!$C$1459="","",[2]Entry!$C$1459)</f>
        <v/>
      </c>
      <c r="M1456" t="str">
        <f>IF([2]Entry!$J$1459="","",[2]Entry!$J$1459)</f>
        <v/>
      </c>
      <c r="N1456" t="str">
        <f>IF([2]Entry!$M$1459="","",[2]Entry!$M$1459)</f>
        <v/>
      </c>
      <c r="O1456" t="str">
        <f>IF([2]Entry!$N$1459="","",[2]Entry!$N$1459)</f>
        <v/>
      </c>
      <c r="P1456" t="str">
        <f>IF([2]Entry!$S$1459="","",[2]Entry!$S$1459)</f>
        <v/>
      </c>
    </row>
    <row r="1457" spans="12:16" x14ac:dyDescent="0.2">
      <c r="L1457" t="str">
        <f>IF([2]Entry!$C$1460="","",[2]Entry!$C$1460)</f>
        <v/>
      </c>
      <c r="M1457" t="str">
        <f>IF([2]Entry!$J$1460="","",[2]Entry!$J$1460)</f>
        <v/>
      </c>
      <c r="N1457" t="str">
        <f>IF([2]Entry!$M$1460="","",[2]Entry!$M$1460)</f>
        <v/>
      </c>
      <c r="O1457" t="str">
        <f>IF([2]Entry!$N$1460="","",[2]Entry!$N$1460)</f>
        <v/>
      </c>
      <c r="P1457" t="str">
        <f>IF([2]Entry!$S$1460="","",[2]Entry!$S$1460)</f>
        <v/>
      </c>
    </row>
    <row r="1458" spans="12:16" x14ac:dyDescent="0.2">
      <c r="L1458" t="str">
        <f>IF([2]Entry!$C$1461="","",[2]Entry!$C$1461)</f>
        <v/>
      </c>
      <c r="M1458" t="str">
        <f>IF([2]Entry!$J$1461="","",[2]Entry!$J$1461)</f>
        <v/>
      </c>
      <c r="N1458" t="str">
        <f>IF([2]Entry!$M$1461="","",[2]Entry!$M$1461)</f>
        <v/>
      </c>
      <c r="O1458" t="str">
        <f>IF([2]Entry!$N$1461="","",[2]Entry!$N$1461)</f>
        <v/>
      </c>
      <c r="P1458" t="str">
        <f>IF([2]Entry!$S$1461="","",[2]Entry!$S$1461)</f>
        <v/>
      </c>
    </row>
    <row r="1459" spans="12:16" x14ac:dyDescent="0.2">
      <c r="L1459" t="str">
        <f>IF([2]Entry!$C$1462="","",[2]Entry!$C$1462)</f>
        <v/>
      </c>
      <c r="M1459" t="str">
        <f>IF([2]Entry!$J$1462="","",[2]Entry!$J$1462)</f>
        <v/>
      </c>
      <c r="N1459" t="str">
        <f>IF([2]Entry!$M$1462="","",[2]Entry!$M$1462)</f>
        <v/>
      </c>
      <c r="O1459" t="str">
        <f>IF([2]Entry!$N$1462="","",[2]Entry!$N$1462)</f>
        <v/>
      </c>
      <c r="P1459" t="str">
        <f>IF([2]Entry!$S$1462="","",[2]Entry!$S$1462)</f>
        <v/>
      </c>
    </row>
    <row r="1460" spans="12:16" x14ac:dyDescent="0.2">
      <c r="L1460" t="str">
        <f>IF([2]Entry!$C$1463="","",[2]Entry!$C$1463)</f>
        <v/>
      </c>
      <c r="M1460" t="str">
        <f>IF([2]Entry!$J$1463="","",[2]Entry!$J$1463)</f>
        <v/>
      </c>
      <c r="N1460" t="str">
        <f>IF([2]Entry!$M$1463="","",[2]Entry!$M$1463)</f>
        <v/>
      </c>
      <c r="O1460" t="str">
        <f>IF([2]Entry!$N$1463="","",[2]Entry!$N$1463)</f>
        <v/>
      </c>
      <c r="P1460" t="str">
        <f>IF([2]Entry!$S$1463="","",[2]Entry!$S$1463)</f>
        <v/>
      </c>
    </row>
    <row r="1461" spans="12:16" x14ac:dyDescent="0.2">
      <c r="L1461" t="str">
        <f>IF([2]Entry!$C$1464="","",[2]Entry!$C$1464)</f>
        <v/>
      </c>
      <c r="M1461" t="str">
        <f>IF([2]Entry!$J$1464="","",[2]Entry!$J$1464)</f>
        <v/>
      </c>
      <c r="N1461" t="str">
        <f>IF([2]Entry!$M$1464="","",[2]Entry!$M$1464)</f>
        <v/>
      </c>
      <c r="O1461" t="str">
        <f>IF([2]Entry!$N$1464="","",[2]Entry!$N$1464)</f>
        <v/>
      </c>
      <c r="P1461" t="str">
        <f>IF([2]Entry!$S$1464="","",[2]Entry!$S$1464)</f>
        <v/>
      </c>
    </row>
    <row r="1462" spans="12:16" x14ac:dyDescent="0.2">
      <c r="L1462" t="str">
        <f>IF([2]Entry!$C$1465="","",[2]Entry!$C$1465)</f>
        <v/>
      </c>
      <c r="M1462" t="str">
        <f>IF([2]Entry!$J$1465="","",[2]Entry!$J$1465)</f>
        <v/>
      </c>
      <c r="N1462" t="str">
        <f>IF([2]Entry!$M$1465="","",[2]Entry!$M$1465)</f>
        <v/>
      </c>
      <c r="O1462" t="str">
        <f>IF([2]Entry!$N$1465="","",[2]Entry!$N$1465)</f>
        <v/>
      </c>
      <c r="P1462" t="str">
        <f>IF([2]Entry!$S$1465="","",[2]Entry!$S$1465)</f>
        <v/>
      </c>
    </row>
    <row r="1463" spans="12:16" x14ac:dyDescent="0.2">
      <c r="L1463" t="str">
        <f>IF([2]Entry!$C$1466="","",[2]Entry!$C$1466)</f>
        <v/>
      </c>
      <c r="M1463" t="str">
        <f>IF([2]Entry!$J$1466="","",[2]Entry!$J$1466)</f>
        <v/>
      </c>
      <c r="N1463" t="str">
        <f>IF([2]Entry!$M$1466="","",[2]Entry!$M$1466)</f>
        <v/>
      </c>
      <c r="O1463" t="str">
        <f>IF([2]Entry!$N$1466="","",[2]Entry!$N$1466)</f>
        <v/>
      </c>
      <c r="P1463" t="str">
        <f>IF([2]Entry!$S$1466="","",[2]Entry!$S$1466)</f>
        <v/>
      </c>
    </row>
    <row r="1464" spans="12:16" x14ac:dyDescent="0.2">
      <c r="L1464" t="str">
        <f>IF([2]Entry!$C$1467="","",[2]Entry!$C$1467)</f>
        <v/>
      </c>
      <c r="M1464" t="str">
        <f>IF([2]Entry!$J$1467="","",[2]Entry!$J$1467)</f>
        <v/>
      </c>
      <c r="N1464" t="str">
        <f>IF([2]Entry!$M$1467="","",[2]Entry!$M$1467)</f>
        <v/>
      </c>
      <c r="O1464" t="str">
        <f>IF([2]Entry!$N$1467="","",[2]Entry!$N$1467)</f>
        <v/>
      </c>
      <c r="P1464" t="str">
        <f>IF([2]Entry!$S$1467="","",[2]Entry!$S$1467)</f>
        <v/>
      </c>
    </row>
    <row r="1465" spans="12:16" x14ac:dyDescent="0.2">
      <c r="L1465" t="str">
        <f>IF([2]Entry!$C$1468="","",[2]Entry!$C$1468)</f>
        <v/>
      </c>
      <c r="M1465" t="str">
        <f>IF([2]Entry!$J$1468="","",[2]Entry!$J$1468)</f>
        <v/>
      </c>
      <c r="N1465" t="str">
        <f>IF([2]Entry!$M$1468="","",[2]Entry!$M$1468)</f>
        <v/>
      </c>
      <c r="O1465" t="str">
        <f>IF([2]Entry!$N$1468="","",[2]Entry!$N$1468)</f>
        <v/>
      </c>
      <c r="P1465" t="str">
        <f>IF([2]Entry!$S$1468="","",[2]Entry!$S$1468)</f>
        <v/>
      </c>
    </row>
    <row r="1466" spans="12:16" x14ac:dyDescent="0.2">
      <c r="L1466" t="str">
        <f>IF([2]Entry!$C$1469="","",[2]Entry!$C$1469)</f>
        <v/>
      </c>
      <c r="M1466" t="str">
        <f>IF([2]Entry!$J$1469="","",[2]Entry!$J$1469)</f>
        <v/>
      </c>
      <c r="N1466" t="str">
        <f>IF([2]Entry!$M$1469="","",[2]Entry!$M$1469)</f>
        <v/>
      </c>
      <c r="O1466" t="str">
        <f>IF([2]Entry!$N$1469="","",[2]Entry!$N$1469)</f>
        <v/>
      </c>
      <c r="P1466" t="str">
        <f>IF([2]Entry!$S$1469="","",[2]Entry!$S$1469)</f>
        <v/>
      </c>
    </row>
    <row r="1467" spans="12:16" x14ac:dyDescent="0.2">
      <c r="L1467" t="str">
        <f>IF([2]Entry!$C$1470="","",[2]Entry!$C$1470)</f>
        <v/>
      </c>
      <c r="M1467" t="str">
        <f>IF([2]Entry!$J$1470="","",[2]Entry!$J$1470)</f>
        <v/>
      </c>
      <c r="N1467" t="str">
        <f>IF([2]Entry!$M$1470="","",[2]Entry!$M$1470)</f>
        <v/>
      </c>
      <c r="O1467" t="str">
        <f>IF([2]Entry!$N$1470="","",[2]Entry!$N$1470)</f>
        <v/>
      </c>
      <c r="P1467" t="str">
        <f>IF([2]Entry!$S$1470="","",[2]Entry!$S$1470)</f>
        <v/>
      </c>
    </row>
    <row r="1468" spans="12:16" x14ac:dyDescent="0.2">
      <c r="L1468" t="str">
        <f>IF([2]Entry!$C$1471="","",[2]Entry!$C$1471)</f>
        <v/>
      </c>
      <c r="M1468" t="str">
        <f>IF([2]Entry!$J$1471="","",[2]Entry!$J$1471)</f>
        <v/>
      </c>
      <c r="N1468" t="str">
        <f>IF([2]Entry!$M$1471="","",[2]Entry!$M$1471)</f>
        <v/>
      </c>
      <c r="O1468" t="str">
        <f>IF([2]Entry!$N$1471="","",[2]Entry!$N$1471)</f>
        <v/>
      </c>
      <c r="P1468" t="str">
        <f>IF([2]Entry!$S$1471="","",[2]Entry!$S$1471)</f>
        <v/>
      </c>
    </row>
    <row r="1469" spans="12:16" x14ac:dyDescent="0.2">
      <c r="L1469" t="str">
        <f>IF([2]Entry!$C$1472="","",[2]Entry!$C$1472)</f>
        <v/>
      </c>
      <c r="M1469" t="str">
        <f>IF([2]Entry!$J$1472="","",[2]Entry!$J$1472)</f>
        <v/>
      </c>
      <c r="N1469" t="str">
        <f>IF([2]Entry!$M$1472="","",[2]Entry!$M$1472)</f>
        <v/>
      </c>
      <c r="O1469" t="str">
        <f>IF([2]Entry!$N$1472="","",[2]Entry!$N$1472)</f>
        <v/>
      </c>
      <c r="P1469" t="str">
        <f>IF([2]Entry!$S$1472="","",[2]Entry!$S$1472)</f>
        <v/>
      </c>
    </row>
    <row r="1470" spans="12:16" x14ac:dyDescent="0.2">
      <c r="L1470" t="str">
        <f>IF([2]Entry!$C$1473="","",[2]Entry!$C$1473)</f>
        <v/>
      </c>
      <c r="M1470" t="str">
        <f>IF([2]Entry!$J$1473="","",[2]Entry!$J$1473)</f>
        <v/>
      </c>
      <c r="N1470" t="str">
        <f>IF([2]Entry!$M$1473="","",[2]Entry!$M$1473)</f>
        <v/>
      </c>
      <c r="O1470" t="str">
        <f>IF([2]Entry!$N$1473="","",[2]Entry!$N$1473)</f>
        <v/>
      </c>
      <c r="P1470" t="str">
        <f>IF([2]Entry!$S$1473="","",[2]Entry!$S$1473)</f>
        <v/>
      </c>
    </row>
    <row r="1471" spans="12:16" x14ac:dyDescent="0.2">
      <c r="L1471" t="str">
        <f>IF([2]Entry!$C$1474="","",[2]Entry!$C$1474)</f>
        <v/>
      </c>
      <c r="M1471" t="str">
        <f>IF([2]Entry!$J$1474="","",[2]Entry!$J$1474)</f>
        <v/>
      </c>
      <c r="N1471" t="str">
        <f>IF([2]Entry!$M$1474="","",[2]Entry!$M$1474)</f>
        <v/>
      </c>
      <c r="O1471" t="str">
        <f>IF([2]Entry!$N$1474="","",[2]Entry!$N$1474)</f>
        <v/>
      </c>
      <c r="P1471" t="str">
        <f>IF([2]Entry!$S$1474="","",[2]Entry!$S$1474)</f>
        <v/>
      </c>
    </row>
    <row r="1472" spans="12:16" x14ac:dyDescent="0.2">
      <c r="L1472" t="str">
        <f>IF([2]Entry!$C$1475="","",[2]Entry!$C$1475)</f>
        <v/>
      </c>
      <c r="M1472" t="str">
        <f>IF([2]Entry!$J$1475="","",[2]Entry!$J$1475)</f>
        <v/>
      </c>
      <c r="N1472" t="str">
        <f>IF([2]Entry!$M$1475="","",[2]Entry!$M$1475)</f>
        <v/>
      </c>
      <c r="O1472" t="str">
        <f>IF([2]Entry!$N$1475="","",[2]Entry!$N$1475)</f>
        <v/>
      </c>
      <c r="P1472" t="str">
        <f>IF([2]Entry!$S$1475="","",[2]Entry!$S$1475)</f>
        <v/>
      </c>
    </row>
    <row r="1473" spans="12:16" x14ac:dyDescent="0.2">
      <c r="L1473" t="str">
        <f>IF([2]Entry!$C$1476="","",[2]Entry!$C$1476)</f>
        <v/>
      </c>
      <c r="M1473" t="str">
        <f>IF([2]Entry!$J$1476="","",[2]Entry!$J$1476)</f>
        <v/>
      </c>
      <c r="N1473" t="str">
        <f>IF([2]Entry!$M$1476="","",[2]Entry!$M$1476)</f>
        <v/>
      </c>
      <c r="O1473" t="str">
        <f>IF([2]Entry!$N$1476="","",[2]Entry!$N$1476)</f>
        <v/>
      </c>
      <c r="P1473" t="str">
        <f>IF([2]Entry!$S$1476="","",[2]Entry!$S$1476)</f>
        <v/>
      </c>
    </row>
    <row r="1474" spans="12:16" x14ac:dyDescent="0.2">
      <c r="L1474" t="str">
        <f>IF([2]Entry!$C$1477="","",[2]Entry!$C$1477)</f>
        <v/>
      </c>
      <c r="M1474" t="str">
        <f>IF([2]Entry!$J$1477="","",[2]Entry!$J$1477)</f>
        <v/>
      </c>
      <c r="N1474" t="str">
        <f>IF([2]Entry!$M$1477="","",[2]Entry!$M$1477)</f>
        <v/>
      </c>
      <c r="O1474" t="str">
        <f>IF([2]Entry!$N$1477="","",[2]Entry!$N$1477)</f>
        <v/>
      </c>
      <c r="P1474" t="str">
        <f>IF([2]Entry!$S$1477="","",[2]Entry!$S$1477)</f>
        <v/>
      </c>
    </row>
    <row r="1475" spans="12:16" x14ac:dyDescent="0.2">
      <c r="L1475" t="str">
        <f>IF([2]Entry!$C$1478="","",[2]Entry!$C$1478)</f>
        <v/>
      </c>
      <c r="M1475" t="str">
        <f>IF([2]Entry!$J$1478="","",[2]Entry!$J$1478)</f>
        <v/>
      </c>
      <c r="N1475" t="str">
        <f>IF([2]Entry!$M$1478="","",[2]Entry!$M$1478)</f>
        <v/>
      </c>
      <c r="O1475" t="str">
        <f>IF([2]Entry!$N$1478="","",[2]Entry!$N$1478)</f>
        <v/>
      </c>
      <c r="P1475" t="str">
        <f>IF([2]Entry!$S$1478="","",[2]Entry!$S$1478)</f>
        <v/>
      </c>
    </row>
    <row r="1476" spans="12:16" x14ac:dyDescent="0.2">
      <c r="L1476" t="str">
        <f>IF([2]Entry!$C$1479="","",[2]Entry!$C$1479)</f>
        <v/>
      </c>
      <c r="M1476" t="str">
        <f>IF([2]Entry!$J$1479="","",[2]Entry!$J$1479)</f>
        <v/>
      </c>
      <c r="N1476" t="str">
        <f>IF([2]Entry!$M$1479="","",[2]Entry!$M$1479)</f>
        <v/>
      </c>
      <c r="O1476" t="str">
        <f>IF([2]Entry!$N$1479="","",[2]Entry!$N$1479)</f>
        <v/>
      </c>
      <c r="P1476" t="str">
        <f>IF([2]Entry!$S$1479="","",[2]Entry!$S$1479)</f>
        <v/>
      </c>
    </row>
    <row r="1477" spans="12:16" x14ac:dyDescent="0.2">
      <c r="L1477" t="str">
        <f>IF([2]Entry!$C$1480="","",[2]Entry!$C$1480)</f>
        <v/>
      </c>
      <c r="M1477" t="str">
        <f>IF([2]Entry!$J$1480="","",[2]Entry!$J$1480)</f>
        <v/>
      </c>
      <c r="N1477" t="str">
        <f>IF([2]Entry!$M$1480="","",[2]Entry!$M$1480)</f>
        <v/>
      </c>
      <c r="O1477" t="str">
        <f>IF([2]Entry!$N$1480="","",[2]Entry!$N$1480)</f>
        <v/>
      </c>
      <c r="P1477" t="str">
        <f>IF([2]Entry!$S$1480="","",[2]Entry!$S$1480)</f>
        <v/>
      </c>
    </row>
    <row r="1478" spans="12:16" x14ac:dyDescent="0.2">
      <c r="L1478" t="str">
        <f>IF([2]Entry!$C$1481="","",[2]Entry!$C$1481)</f>
        <v/>
      </c>
      <c r="M1478" t="str">
        <f>IF([2]Entry!$J$1481="","",[2]Entry!$J$1481)</f>
        <v/>
      </c>
      <c r="N1478" t="str">
        <f>IF([2]Entry!$M$1481="","",[2]Entry!$M$1481)</f>
        <v/>
      </c>
      <c r="O1478" t="str">
        <f>IF([2]Entry!$N$1481="","",[2]Entry!$N$1481)</f>
        <v/>
      </c>
      <c r="P1478" t="str">
        <f>IF([2]Entry!$S$1481="","",[2]Entry!$S$1481)</f>
        <v/>
      </c>
    </row>
    <row r="1479" spans="12:16" x14ac:dyDescent="0.2">
      <c r="L1479" t="str">
        <f>IF([2]Entry!$C$1482="","",[2]Entry!$C$1482)</f>
        <v/>
      </c>
      <c r="M1479" t="str">
        <f>IF([2]Entry!$J$1482="","",[2]Entry!$J$1482)</f>
        <v/>
      </c>
      <c r="N1479" t="str">
        <f>IF([2]Entry!$M$1482="","",[2]Entry!$M$1482)</f>
        <v/>
      </c>
      <c r="O1479" t="str">
        <f>IF([2]Entry!$N$1482="","",[2]Entry!$N$1482)</f>
        <v/>
      </c>
      <c r="P1479" t="str">
        <f>IF([2]Entry!$S$1482="","",[2]Entry!$S$1482)</f>
        <v/>
      </c>
    </row>
    <row r="1480" spans="12:16" x14ac:dyDescent="0.2">
      <c r="L1480" t="str">
        <f>IF([2]Entry!$C$1483="","",[2]Entry!$C$1483)</f>
        <v/>
      </c>
      <c r="M1480" t="str">
        <f>IF([2]Entry!$J$1483="","",[2]Entry!$J$1483)</f>
        <v/>
      </c>
      <c r="N1480" t="str">
        <f>IF([2]Entry!$M$1483="","",[2]Entry!$M$1483)</f>
        <v/>
      </c>
      <c r="O1480" t="str">
        <f>IF([2]Entry!$N$1483="","",[2]Entry!$N$1483)</f>
        <v/>
      </c>
      <c r="P1480" t="str">
        <f>IF([2]Entry!$S$1483="","",[2]Entry!$S$1483)</f>
        <v/>
      </c>
    </row>
    <row r="1481" spans="12:16" x14ac:dyDescent="0.2">
      <c r="L1481" t="str">
        <f>IF([2]Entry!$C$1484="","",[2]Entry!$C$1484)</f>
        <v/>
      </c>
      <c r="M1481" t="str">
        <f>IF([2]Entry!$J$1484="","",[2]Entry!$J$1484)</f>
        <v/>
      </c>
      <c r="N1481" t="str">
        <f>IF([2]Entry!$M$1484="","",[2]Entry!$M$1484)</f>
        <v/>
      </c>
      <c r="O1481" t="str">
        <f>IF([2]Entry!$N$1484="","",[2]Entry!$N$1484)</f>
        <v/>
      </c>
      <c r="P1481" t="str">
        <f>IF([2]Entry!$S$1484="","",[2]Entry!$S$1484)</f>
        <v/>
      </c>
    </row>
    <row r="1482" spans="12:16" x14ac:dyDescent="0.2">
      <c r="L1482" t="str">
        <f>IF([2]Entry!$C$1485="","",[2]Entry!$C$1485)</f>
        <v/>
      </c>
      <c r="M1482" t="str">
        <f>IF([2]Entry!$J$1485="","",[2]Entry!$J$1485)</f>
        <v/>
      </c>
      <c r="N1482" t="str">
        <f>IF([2]Entry!$M$1485="","",[2]Entry!$M$1485)</f>
        <v/>
      </c>
      <c r="O1482" t="str">
        <f>IF([2]Entry!$N$1485="","",[2]Entry!$N$1485)</f>
        <v/>
      </c>
      <c r="P1482" t="str">
        <f>IF([2]Entry!$S$1485="","",[2]Entry!$S$1485)</f>
        <v/>
      </c>
    </row>
    <row r="1483" spans="12:16" x14ac:dyDescent="0.2">
      <c r="L1483" t="str">
        <f>IF([2]Entry!$C$1486="","",[2]Entry!$C$1486)</f>
        <v/>
      </c>
      <c r="M1483" t="str">
        <f>IF([2]Entry!$J$1486="","",[2]Entry!$J$1486)</f>
        <v/>
      </c>
      <c r="N1483" t="str">
        <f>IF([2]Entry!$M$1486="","",[2]Entry!$M$1486)</f>
        <v/>
      </c>
      <c r="O1483" t="str">
        <f>IF([2]Entry!$N$1486="","",[2]Entry!$N$1486)</f>
        <v/>
      </c>
      <c r="P1483" t="str">
        <f>IF([2]Entry!$S$1486="","",[2]Entry!$S$1486)</f>
        <v/>
      </c>
    </row>
    <row r="1484" spans="12:16" x14ac:dyDescent="0.2">
      <c r="L1484" t="str">
        <f>IF([2]Entry!$C$1487="","",[2]Entry!$C$1487)</f>
        <v/>
      </c>
      <c r="M1484" t="str">
        <f>IF([2]Entry!$J$1487="","",[2]Entry!$J$1487)</f>
        <v/>
      </c>
      <c r="N1484" t="str">
        <f>IF([2]Entry!$M$1487="","",[2]Entry!$M$1487)</f>
        <v/>
      </c>
      <c r="O1484" t="str">
        <f>IF([2]Entry!$N$1487="","",[2]Entry!$N$1487)</f>
        <v/>
      </c>
      <c r="P1484" t="str">
        <f>IF([2]Entry!$S$1487="","",[2]Entry!$S$1487)</f>
        <v/>
      </c>
    </row>
    <row r="1485" spans="12:16" x14ac:dyDescent="0.2">
      <c r="L1485" t="str">
        <f>IF([2]Entry!$C$1488="","",[2]Entry!$C$1488)</f>
        <v/>
      </c>
      <c r="M1485" t="str">
        <f>IF([2]Entry!$J$1488="","",[2]Entry!$J$1488)</f>
        <v/>
      </c>
      <c r="N1485" t="str">
        <f>IF([2]Entry!$M$1488="","",[2]Entry!$M$1488)</f>
        <v/>
      </c>
      <c r="O1485" t="str">
        <f>IF([2]Entry!$N$1488="","",[2]Entry!$N$1488)</f>
        <v/>
      </c>
      <c r="P1485" t="str">
        <f>IF([2]Entry!$S$1488="","",[2]Entry!$S$1488)</f>
        <v/>
      </c>
    </row>
    <row r="1486" spans="12:16" x14ac:dyDescent="0.2">
      <c r="L1486" t="str">
        <f>IF([2]Entry!$C$1489="","",[2]Entry!$C$1489)</f>
        <v/>
      </c>
      <c r="M1486" t="str">
        <f>IF([2]Entry!$J$1489="","",[2]Entry!$J$1489)</f>
        <v/>
      </c>
      <c r="N1486" t="str">
        <f>IF([2]Entry!$M$1489="","",[2]Entry!$M$1489)</f>
        <v/>
      </c>
      <c r="O1486" t="str">
        <f>IF([2]Entry!$N$1489="","",[2]Entry!$N$1489)</f>
        <v/>
      </c>
      <c r="P1486" t="str">
        <f>IF([2]Entry!$S$1489="","",[2]Entry!$S$1489)</f>
        <v/>
      </c>
    </row>
    <row r="1487" spans="12:16" x14ac:dyDescent="0.2">
      <c r="L1487" t="str">
        <f>IF([2]Entry!$C$1490="","",[2]Entry!$C$1490)</f>
        <v/>
      </c>
      <c r="M1487" t="str">
        <f>IF([2]Entry!$J$1490="","",[2]Entry!$J$1490)</f>
        <v/>
      </c>
      <c r="N1487" t="str">
        <f>IF([2]Entry!$M$1490="","",[2]Entry!$M$1490)</f>
        <v/>
      </c>
      <c r="O1487" t="str">
        <f>IF([2]Entry!$N$1490="","",[2]Entry!$N$1490)</f>
        <v/>
      </c>
      <c r="P1487" t="str">
        <f>IF([2]Entry!$S$1490="","",[2]Entry!$S$1490)</f>
        <v/>
      </c>
    </row>
    <row r="1488" spans="12:16" x14ac:dyDescent="0.2">
      <c r="L1488" t="str">
        <f>IF([2]Entry!$C$1491="","",[2]Entry!$C$1491)</f>
        <v/>
      </c>
      <c r="M1488" t="str">
        <f>IF([2]Entry!$J$1491="","",[2]Entry!$J$1491)</f>
        <v/>
      </c>
      <c r="N1488" t="str">
        <f>IF([2]Entry!$M$1491="","",[2]Entry!$M$1491)</f>
        <v/>
      </c>
      <c r="O1488" t="str">
        <f>IF([2]Entry!$N$1491="","",[2]Entry!$N$1491)</f>
        <v/>
      </c>
      <c r="P1488" t="str">
        <f>IF([2]Entry!$S$1491="","",[2]Entry!$S$1491)</f>
        <v/>
      </c>
    </row>
    <row r="1489" spans="12:16" x14ac:dyDescent="0.2">
      <c r="L1489" t="str">
        <f>IF([2]Entry!$C$1492="","",[2]Entry!$C$1492)</f>
        <v/>
      </c>
      <c r="M1489" t="str">
        <f>IF([2]Entry!$J$1492="","",[2]Entry!$J$1492)</f>
        <v/>
      </c>
      <c r="N1489" t="str">
        <f>IF([2]Entry!$M$1492="","",[2]Entry!$M$1492)</f>
        <v/>
      </c>
      <c r="O1489" t="str">
        <f>IF([2]Entry!$N$1492="","",[2]Entry!$N$1492)</f>
        <v/>
      </c>
      <c r="P1489" t="str">
        <f>IF([2]Entry!$S$1492="","",[2]Entry!$S$1492)</f>
        <v/>
      </c>
    </row>
    <row r="1490" spans="12:16" x14ac:dyDescent="0.2">
      <c r="L1490" t="str">
        <f>IF([2]Entry!$C$1493="","",[2]Entry!$C$1493)</f>
        <v/>
      </c>
      <c r="M1490" t="str">
        <f>IF([2]Entry!$J$1493="","",[2]Entry!$J$1493)</f>
        <v/>
      </c>
      <c r="N1490" t="str">
        <f>IF([2]Entry!$M$1493="","",[2]Entry!$M$1493)</f>
        <v/>
      </c>
      <c r="O1490" t="str">
        <f>IF([2]Entry!$N$1493="","",[2]Entry!$N$1493)</f>
        <v/>
      </c>
      <c r="P1490" t="str">
        <f>IF([2]Entry!$S$1493="","",[2]Entry!$S$1493)</f>
        <v/>
      </c>
    </row>
    <row r="1491" spans="12:16" x14ac:dyDescent="0.2">
      <c r="L1491" t="str">
        <f>IF([2]Entry!$C$1494="","",[2]Entry!$C$1494)</f>
        <v/>
      </c>
      <c r="M1491" t="str">
        <f>IF([2]Entry!$J$1494="","",[2]Entry!$J$1494)</f>
        <v/>
      </c>
      <c r="N1491" t="str">
        <f>IF([2]Entry!$M$1494="","",[2]Entry!$M$1494)</f>
        <v/>
      </c>
      <c r="O1491" t="str">
        <f>IF([2]Entry!$N$1494="","",[2]Entry!$N$1494)</f>
        <v/>
      </c>
      <c r="P1491" t="str">
        <f>IF([2]Entry!$S$1494="","",[2]Entry!$S$1494)</f>
        <v/>
      </c>
    </row>
    <row r="1492" spans="12:16" x14ac:dyDescent="0.2">
      <c r="L1492" t="str">
        <f>IF([2]Entry!$C$1495="","",[2]Entry!$C$1495)</f>
        <v/>
      </c>
      <c r="M1492" t="str">
        <f>IF([2]Entry!$J$1495="","",[2]Entry!$J$1495)</f>
        <v/>
      </c>
      <c r="N1492" t="str">
        <f>IF([2]Entry!$M$1495="","",[2]Entry!$M$1495)</f>
        <v/>
      </c>
      <c r="O1492" t="str">
        <f>IF([2]Entry!$N$1495="","",[2]Entry!$N$1495)</f>
        <v/>
      </c>
      <c r="P1492" t="str">
        <f>IF([2]Entry!$S$1495="","",[2]Entry!$S$1495)</f>
        <v/>
      </c>
    </row>
    <row r="1493" spans="12:16" x14ac:dyDescent="0.2">
      <c r="L1493" t="str">
        <f>IF([2]Entry!$C$1496="","",[2]Entry!$C$1496)</f>
        <v/>
      </c>
      <c r="M1493" t="str">
        <f>IF([2]Entry!$J$1496="","",[2]Entry!$J$1496)</f>
        <v/>
      </c>
      <c r="N1493" t="str">
        <f>IF([2]Entry!$M$1496="","",[2]Entry!$M$1496)</f>
        <v/>
      </c>
      <c r="O1493" t="str">
        <f>IF([2]Entry!$N$1496="","",[2]Entry!$N$1496)</f>
        <v/>
      </c>
      <c r="P1493" t="str">
        <f>IF([2]Entry!$S$1496="","",[2]Entry!$S$1496)</f>
        <v/>
      </c>
    </row>
    <row r="1494" spans="12:16" x14ac:dyDescent="0.2">
      <c r="L1494" t="str">
        <f>IF([2]Entry!$C$1497="","",[2]Entry!$C$1497)</f>
        <v/>
      </c>
      <c r="M1494" t="str">
        <f>IF([2]Entry!$J$1497="","",[2]Entry!$J$1497)</f>
        <v/>
      </c>
      <c r="N1494" t="str">
        <f>IF([2]Entry!$M$1497="","",[2]Entry!$M$1497)</f>
        <v/>
      </c>
      <c r="O1494" t="str">
        <f>IF([2]Entry!$N$1497="","",[2]Entry!$N$1497)</f>
        <v/>
      </c>
      <c r="P1494" t="str">
        <f>IF([2]Entry!$S$1497="","",[2]Entry!$S$1497)</f>
        <v/>
      </c>
    </row>
    <row r="1495" spans="12:16" x14ac:dyDescent="0.2">
      <c r="L1495" t="str">
        <f>IF([2]Entry!$C$1498="","",[2]Entry!$C$1498)</f>
        <v/>
      </c>
      <c r="M1495" t="str">
        <f>IF([2]Entry!$J$1498="","",[2]Entry!$J$1498)</f>
        <v/>
      </c>
      <c r="N1495" t="str">
        <f>IF([2]Entry!$M$1498="","",[2]Entry!$M$1498)</f>
        <v/>
      </c>
      <c r="O1495" t="str">
        <f>IF([2]Entry!$N$1498="","",[2]Entry!$N$1498)</f>
        <v/>
      </c>
      <c r="P1495" t="str">
        <f>IF([2]Entry!$S$1498="","",[2]Entry!$S$1498)</f>
        <v/>
      </c>
    </row>
    <row r="1496" spans="12:16" x14ac:dyDescent="0.2">
      <c r="L1496" t="str">
        <f>IF([2]Entry!$C$1499="","",[2]Entry!$C$1499)</f>
        <v/>
      </c>
      <c r="M1496" t="str">
        <f>IF([2]Entry!$J$1499="","",[2]Entry!$J$1499)</f>
        <v/>
      </c>
      <c r="N1496" t="str">
        <f>IF([2]Entry!$M$1499="","",[2]Entry!$M$1499)</f>
        <v/>
      </c>
      <c r="O1496" t="str">
        <f>IF([2]Entry!$N$1499="","",[2]Entry!$N$1499)</f>
        <v/>
      </c>
      <c r="P1496" t="str">
        <f>IF([2]Entry!$S$1499="","",[2]Entry!$S$1499)</f>
        <v/>
      </c>
    </row>
    <row r="1497" spans="12:16" x14ac:dyDescent="0.2">
      <c r="L1497" t="str">
        <f>IF([2]Entry!$C$1500="","",[2]Entry!$C$1500)</f>
        <v/>
      </c>
      <c r="M1497" t="str">
        <f>IF([2]Entry!$J$1500="","",[2]Entry!$J$1500)</f>
        <v/>
      </c>
      <c r="N1497" t="str">
        <f>IF([2]Entry!$M$1500="","",[2]Entry!$M$1500)</f>
        <v/>
      </c>
      <c r="O1497" t="str">
        <f>IF([2]Entry!$N$1500="","",[2]Entry!$N$1500)</f>
        <v/>
      </c>
      <c r="P1497" t="str">
        <f>IF([2]Entry!$S$1500="","",[2]Entry!$S$1500)</f>
        <v/>
      </c>
    </row>
    <row r="1498" spans="12:16" x14ac:dyDescent="0.2">
      <c r="L1498" t="str">
        <f>IF([2]Entry!$C$1501="","",[2]Entry!$C$1501)</f>
        <v/>
      </c>
      <c r="M1498" t="str">
        <f>IF([2]Entry!$J$1501="","",[2]Entry!$J$1501)</f>
        <v/>
      </c>
      <c r="N1498" t="str">
        <f>IF([2]Entry!$M$1501="","",[2]Entry!$M$1501)</f>
        <v/>
      </c>
      <c r="O1498" t="str">
        <f>IF([2]Entry!$N$1501="","",[2]Entry!$N$1501)</f>
        <v/>
      </c>
      <c r="P1498" t="str">
        <f>IF([2]Entry!$S$1501="","",[2]Entry!$S$1501)</f>
        <v/>
      </c>
    </row>
    <row r="1499" spans="12:16" x14ac:dyDescent="0.2">
      <c r="L1499" t="str">
        <f>IF([2]Entry!$C$1502="","",[2]Entry!$C$1502)</f>
        <v/>
      </c>
      <c r="M1499" t="str">
        <f>IF([2]Entry!$J$1502="","",[2]Entry!$J$1502)</f>
        <v/>
      </c>
      <c r="N1499" t="str">
        <f>IF([2]Entry!$M$1502="","",[2]Entry!$M$1502)</f>
        <v/>
      </c>
      <c r="O1499" t="str">
        <f>IF([2]Entry!$N$1502="","",[2]Entry!$N$1502)</f>
        <v/>
      </c>
      <c r="P1499" t="str">
        <f>IF([2]Entry!$S$1502="","",[2]Entry!$S$1502)</f>
        <v/>
      </c>
    </row>
    <row r="1500" spans="12:16" x14ac:dyDescent="0.2">
      <c r="L1500" t="str">
        <f>IF([2]Entry!$C$1503="","",[2]Entry!$C$1503)</f>
        <v/>
      </c>
      <c r="M1500" t="str">
        <f>IF([2]Entry!$J$1503="","",[2]Entry!$J$1503)</f>
        <v/>
      </c>
      <c r="N1500" t="str">
        <f>IF([2]Entry!$M$1503="","",[2]Entry!$M$1503)</f>
        <v/>
      </c>
      <c r="O1500" t="str">
        <f>IF([2]Entry!$N$1503="","",[2]Entry!$N$1503)</f>
        <v/>
      </c>
      <c r="P1500" t="str">
        <f>IF([2]Entry!$S$1503="","",[2]Entry!$S$1503)</f>
        <v/>
      </c>
    </row>
    <row r="1501" spans="12:16" x14ac:dyDescent="0.2">
      <c r="L1501" t="str">
        <f>IF([2]Entry!$C$1504="","",[2]Entry!$C$1504)</f>
        <v/>
      </c>
      <c r="M1501" t="str">
        <f>IF([2]Entry!$J$1504="","",[2]Entry!$J$1504)</f>
        <v/>
      </c>
      <c r="N1501" t="str">
        <f>IF([2]Entry!$M$1504="","",[2]Entry!$M$1504)</f>
        <v/>
      </c>
      <c r="O1501" t="str">
        <f>IF([2]Entry!$N$1504="","",[2]Entry!$N$1504)</f>
        <v/>
      </c>
      <c r="P1501" t="str">
        <f>IF([2]Entry!$S$1504="","",[2]Entry!$S$1504)</f>
        <v/>
      </c>
    </row>
    <row r="1502" spans="12:16" x14ac:dyDescent="0.2">
      <c r="L1502" t="str">
        <f>IF([2]Entry!$C$1505="","",[2]Entry!$C$1505)</f>
        <v/>
      </c>
      <c r="M1502" t="str">
        <f>IF([2]Entry!$J$1505="","",[2]Entry!$J$1505)</f>
        <v/>
      </c>
      <c r="N1502" t="str">
        <f>IF([2]Entry!$M$1505="","",[2]Entry!$M$1505)</f>
        <v/>
      </c>
      <c r="O1502" t="str">
        <f>IF([2]Entry!$N$1505="","",[2]Entry!$N$1505)</f>
        <v/>
      </c>
      <c r="P1502" t="str">
        <f>IF([2]Entry!$S$1505="","",[2]Entry!$S$1505)</f>
        <v/>
      </c>
    </row>
    <row r="1503" spans="12:16" x14ac:dyDescent="0.2">
      <c r="L1503" t="str">
        <f>IF([2]Entry!$C$1506="","",[2]Entry!$C$1506)</f>
        <v/>
      </c>
      <c r="M1503" t="str">
        <f>IF([2]Entry!$J$1506="","",[2]Entry!$J$1506)</f>
        <v/>
      </c>
      <c r="N1503" t="str">
        <f>IF([2]Entry!$M$1506="","",[2]Entry!$M$1506)</f>
        <v/>
      </c>
      <c r="O1503" t="str">
        <f>IF([2]Entry!$N$1506="","",[2]Entry!$N$1506)</f>
        <v/>
      </c>
      <c r="P1503" t="str">
        <f>IF([2]Entry!$S$1506="","",[2]Entry!$S$1506)</f>
        <v/>
      </c>
    </row>
    <row r="1504" spans="12:16" x14ac:dyDescent="0.2">
      <c r="L1504" t="str">
        <f>IF([2]Entry!$C$1507="","",[2]Entry!$C$1507)</f>
        <v/>
      </c>
      <c r="M1504" t="str">
        <f>IF([2]Entry!$J$1507="","",[2]Entry!$J$1507)</f>
        <v/>
      </c>
      <c r="N1504" t="str">
        <f>IF([2]Entry!$M$1507="","",[2]Entry!$M$1507)</f>
        <v/>
      </c>
      <c r="O1504" t="str">
        <f>IF([2]Entry!$N$1507="","",[2]Entry!$N$1507)</f>
        <v/>
      </c>
      <c r="P1504" t="str">
        <f>IF([2]Entry!$S$1507="","",[2]Entry!$S$1507)</f>
        <v/>
      </c>
    </row>
    <row r="1505" spans="12:16" x14ac:dyDescent="0.2">
      <c r="L1505" t="str">
        <f>IF([2]Entry!$C$1508="","",[2]Entry!$C$1508)</f>
        <v/>
      </c>
      <c r="M1505" t="str">
        <f>IF([2]Entry!$J$1508="","",[2]Entry!$J$1508)</f>
        <v/>
      </c>
      <c r="N1505" t="str">
        <f>IF([2]Entry!$M$1508="","",[2]Entry!$M$1508)</f>
        <v/>
      </c>
      <c r="O1505" t="str">
        <f>IF([2]Entry!$N$1508="","",[2]Entry!$N$1508)</f>
        <v/>
      </c>
      <c r="P1505" t="str">
        <f>IF([2]Entry!$S$1508="","",[2]Entry!$S$1508)</f>
        <v/>
      </c>
    </row>
    <row r="1506" spans="12:16" x14ac:dyDescent="0.2">
      <c r="L1506" t="str">
        <f>IF([2]Entry!$C$1509="","",[2]Entry!$C$1509)</f>
        <v/>
      </c>
      <c r="M1506" t="str">
        <f>IF([2]Entry!$J$1509="","",[2]Entry!$J$1509)</f>
        <v/>
      </c>
      <c r="N1506" t="str">
        <f>IF([2]Entry!$M$1509="","",[2]Entry!$M$1509)</f>
        <v/>
      </c>
      <c r="O1506" t="str">
        <f>IF([2]Entry!$N$1509="","",[2]Entry!$N$1509)</f>
        <v/>
      </c>
      <c r="P1506" t="str">
        <f>IF([2]Entry!$S$1509="","",[2]Entry!$S$1509)</f>
        <v/>
      </c>
    </row>
    <row r="1507" spans="12:16" x14ac:dyDescent="0.2">
      <c r="L1507" t="str">
        <f>IF([2]Entry!$C$1510="","",[2]Entry!$C$1510)</f>
        <v/>
      </c>
      <c r="M1507" t="str">
        <f>IF([2]Entry!$J$1510="","",[2]Entry!$J$1510)</f>
        <v/>
      </c>
      <c r="N1507" t="str">
        <f>IF([2]Entry!$M$1510="","",[2]Entry!$M$1510)</f>
        <v/>
      </c>
      <c r="O1507" t="str">
        <f>IF([2]Entry!$N$1510="","",[2]Entry!$N$1510)</f>
        <v/>
      </c>
      <c r="P1507" t="str">
        <f>IF([2]Entry!$S$1510="","",[2]Entry!$S$1510)</f>
        <v/>
      </c>
    </row>
    <row r="1508" spans="12:16" x14ac:dyDescent="0.2">
      <c r="L1508" t="str">
        <f>IF([2]Entry!$C$1511="","",[2]Entry!$C$1511)</f>
        <v/>
      </c>
      <c r="M1508" t="str">
        <f>IF([2]Entry!$J$1511="","",[2]Entry!$J$1511)</f>
        <v/>
      </c>
      <c r="N1508" t="str">
        <f>IF([2]Entry!$M$1511="","",[2]Entry!$M$1511)</f>
        <v/>
      </c>
      <c r="O1508" t="str">
        <f>IF([2]Entry!$N$1511="","",[2]Entry!$N$1511)</f>
        <v/>
      </c>
      <c r="P1508" t="str">
        <f>IF([2]Entry!$S$1511="","",[2]Entry!$S$1511)</f>
        <v/>
      </c>
    </row>
    <row r="1509" spans="12:16" x14ac:dyDescent="0.2">
      <c r="L1509" t="str">
        <f>IF([2]Entry!$C$1512="","",[2]Entry!$C$1512)</f>
        <v/>
      </c>
      <c r="M1509" t="str">
        <f>IF([2]Entry!$J$1512="","",[2]Entry!$J$1512)</f>
        <v/>
      </c>
      <c r="N1509" t="str">
        <f>IF([2]Entry!$M$1512="","",[2]Entry!$M$1512)</f>
        <v/>
      </c>
      <c r="O1509" t="str">
        <f>IF([2]Entry!$N$1512="","",[2]Entry!$N$1512)</f>
        <v/>
      </c>
      <c r="P1509" t="str">
        <f>IF([2]Entry!$S$1512="","",[2]Entry!$S$1512)</f>
        <v/>
      </c>
    </row>
    <row r="1510" spans="12:16" x14ac:dyDescent="0.2">
      <c r="L1510" t="str">
        <f>IF([2]Entry!$C$1513="","",[2]Entry!$C$1513)</f>
        <v/>
      </c>
      <c r="M1510" t="str">
        <f>IF([2]Entry!$J$1513="","",[2]Entry!$J$1513)</f>
        <v/>
      </c>
      <c r="N1510" t="str">
        <f>IF([2]Entry!$M$1513="","",[2]Entry!$M$1513)</f>
        <v/>
      </c>
      <c r="O1510" t="str">
        <f>IF([2]Entry!$N$1513="","",[2]Entry!$N$1513)</f>
        <v/>
      </c>
      <c r="P1510" t="str">
        <f>IF([2]Entry!$S$1513="","",[2]Entry!$S$1513)</f>
        <v/>
      </c>
    </row>
    <row r="1511" spans="12:16" x14ac:dyDescent="0.2">
      <c r="L1511" t="str">
        <f>IF([2]Entry!$C$1514="","",[2]Entry!$C$1514)</f>
        <v/>
      </c>
      <c r="M1511" t="str">
        <f>IF([2]Entry!$J$1514="","",[2]Entry!$J$1514)</f>
        <v/>
      </c>
      <c r="N1511" t="str">
        <f>IF([2]Entry!$M$1514="","",[2]Entry!$M$1514)</f>
        <v/>
      </c>
      <c r="O1511" t="str">
        <f>IF([2]Entry!$N$1514="","",[2]Entry!$N$1514)</f>
        <v/>
      </c>
      <c r="P1511" t="str">
        <f>IF([2]Entry!$S$1514="","",[2]Entry!$S$1514)</f>
        <v/>
      </c>
    </row>
    <row r="1512" spans="12:16" x14ac:dyDescent="0.2">
      <c r="L1512" t="str">
        <f>IF([2]Entry!$C$1515="","",[2]Entry!$C$1515)</f>
        <v/>
      </c>
      <c r="M1512" t="str">
        <f>IF([2]Entry!$J$1515="","",[2]Entry!$J$1515)</f>
        <v/>
      </c>
      <c r="N1512" t="str">
        <f>IF([2]Entry!$M$1515="","",[2]Entry!$M$1515)</f>
        <v/>
      </c>
      <c r="O1512" t="str">
        <f>IF([2]Entry!$N$1515="","",[2]Entry!$N$1515)</f>
        <v/>
      </c>
      <c r="P1512" t="str">
        <f>IF([2]Entry!$S$1515="","",[2]Entry!$S$1515)</f>
        <v/>
      </c>
    </row>
    <row r="1513" spans="12:16" x14ac:dyDescent="0.2">
      <c r="L1513" t="str">
        <f>IF([2]Entry!$C$1516="","",[2]Entry!$C$1516)</f>
        <v/>
      </c>
      <c r="M1513" t="str">
        <f>IF([2]Entry!$J$1516="","",[2]Entry!$J$1516)</f>
        <v/>
      </c>
      <c r="N1513" t="str">
        <f>IF([2]Entry!$M$1516="","",[2]Entry!$M$1516)</f>
        <v/>
      </c>
      <c r="O1513" t="str">
        <f>IF([2]Entry!$N$1516="","",[2]Entry!$N$1516)</f>
        <v/>
      </c>
      <c r="P1513" t="str">
        <f>IF([2]Entry!$S$1516="","",[2]Entry!$S$1516)</f>
        <v/>
      </c>
    </row>
    <row r="1514" spans="12:16" x14ac:dyDescent="0.2">
      <c r="L1514" t="str">
        <f>IF([2]Entry!$C$1517="","",[2]Entry!$C$1517)</f>
        <v/>
      </c>
      <c r="M1514" t="str">
        <f>IF([2]Entry!$J$1517="","",[2]Entry!$J$1517)</f>
        <v/>
      </c>
      <c r="N1514" t="str">
        <f>IF([2]Entry!$M$1517="","",[2]Entry!$M$1517)</f>
        <v/>
      </c>
      <c r="O1514" t="str">
        <f>IF([2]Entry!$N$1517="","",[2]Entry!$N$1517)</f>
        <v/>
      </c>
      <c r="P1514" t="str">
        <f>IF([2]Entry!$S$1517="","",[2]Entry!$S$1517)</f>
        <v/>
      </c>
    </row>
    <row r="1515" spans="12:16" x14ac:dyDescent="0.2">
      <c r="L1515" t="str">
        <f>IF([2]Entry!$C$1518="","",[2]Entry!$C$1518)</f>
        <v/>
      </c>
      <c r="M1515" t="str">
        <f>IF([2]Entry!$J$1518="","",[2]Entry!$J$1518)</f>
        <v/>
      </c>
      <c r="N1515" t="str">
        <f>IF([2]Entry!$M$1518="","",[2]Entry!$M$1518)</f>
        <v/>
      </c>
      <c r="O1515" t="str">
        <f>IF([2]Entry!$N$1518="","",[2]Entry!$N$1518)</f>
        <v/>
      </c>
      <c r="P1515" t="str">
        <f>IF([2]Entry!$S$1518="","",[2]Entry!$S$1518)</f>
        <v/>
      </c>
    </row>
    <row r="1516" spans="12:16" x14ac:dyDescent="0.2">
      <c r="L1516" t="str">
        <f>IF([2]Entry!$C$1519="","",[2]Entry!$C$1519)</f>
        <v/>
      </c>
      <c r="M1516" t="str">
        <f>IF([2]Entry!$J$1519="","",[2]Entry!$J$1519)</f>
        <v/>
      </c>
      <c r="N1516" t="str">
        <f>IF([2]Entry!$M$1519="","",[2]Entry!$M$1519)</f>
        <v/>
      </c>
      <c r="O1516" t="str">
        <f>IF([2]Entry!$N$1519="","",[2]Entry!$N$1519)</f>
        <v/>
      </c>
      <c r="P1516" t="str">
        <f>IF([2]Entry!$S$1519="","",[2]Entry!$S$1519)</f>
        <v/>
      </c>
    </row>
    <row r="1517" spans="12:16" x14ac:dyDescent="0.2">
      <c r="L1517" t="str">
        <f>IF([2]Entry!$C$1520="","",[2]Entry!$C$1520)</f>
        <v/>
      </c>
      <c r="M1517" t="str">
        <f>IF([2]Entry!$J$1520="","",[2]Entry!$J$1520)</f>
        <v/>
      </c>
      <c r="N1517" t="str">
        <f>IF([2]Entry!$M$1520="","",[2]Entry!$M$1520)</f>
        <v/>
      </c>
      <c r="O1517" t="str">
        <f>IF([2]Entry!$N$1520="","",[2]Entry!$N$1520)</f>
        <v/>
      </c>
      <c r="P1517" t="str">
        <f>IF([2]Entry!$S$1520="","",[2]Entry!$S$1520)</f>
        <v/>
      </c>
    </row>
    <row r="1518" spans="12:16" x14ac:dyDescent="0.2">
      <c r="L1518" t="str">
        <f>IF([2]Entry!$C$1521="","",[2]Entry!$C$1521)</f>
        <v/>
      </c>
      <c r="M1518" t="str">
        <f>IF([2]Entry!$J$1521="","",[2]Entry!$J$1521)</f>
        <v/>
      </c>
      <c r="N1518" t="str">
        <f>IF([2]Entry!$M$1521="","",[2]Entry!$M$1521)</f>
        <v/>
      </c>
      <c r="O1518" t="str">
        <f>IF([2]Entry!$N$1521="","",[2]Entry!$N$1521)</f>
        <v/>
      </c>
      <c r="P1518" t="str">
        <f>IF([2]Entry!$S$1521="","",[2]Entry!$S$1521)</f>
        <v/>
      </c>
    </row>
    <row r="1519" spans="12:16" x14ac:dyDescent="0.2">
      <c r="L1519" t="str">
        <f>IF([2]Entry!$C$1522="","",[2]Entry!$C$1522)</f>
        <v/>
      </c>
      <c r="M1519" t="str">
        <f>IF([2]Entry!$J$1522="","",[2]Entry!$J$1522)</f>
        <v/>
      </c>
      <c r="N1519" t="str">
        <f>IF([2]Entry!$M$1522="","",[2]Entry!$M$1522)</f>
        <v/>
      </c>
      <c r="O1519" t="str">
        <f>IF([2]Entry!$N$1522="","",[2]Entry!$N$1522)</f>
        <v/>
      </c>
      <c r="P1519" t="str">
        <f>IF([2]Entry!$S$1522="","",[2]Entry!$S$1522)</f>
        <v/>
      </c>
    </row>
    <row r="1520" spans="12:16" x14ac:dyDescent="0.2">
      <c r="L1520" t="str">
        <f>IF([2]Entry!$C$1523="","",[2]Entry!$C$1523)</f>
        <v/>
      </c>
      <c r="M1520" t="str">
        <f>IF([2]Entry!$J$1523="","",[2]Entry!$J$1523)</f>
        <v/>
      </c>
      <c r="N1520" t="str">
        <f>IF([2]Entry!$M$1523="","",[2]Entry!$M$1523)</f>
        <v/>
      </c>
      <c r="O1520" t="str">
        <f>IF([2]Entry!$N$1523="","",[2]Entry!$N$1523)</f>
        <v/>
      </c>
      <c r="P1520" t="str">
        <f>IF([2]Entry!$S$1523="","",[2]Entry!$S$1523)</f>
        <v/>
      </c>
    </row>
    <row r="1521" spans="12:16" x14ac:dyDescent="0.2">
      <c r="L1521" t="str">
        <f>IF([2]Entry!$C$1524="","",[2]Entry!$C$1524)</f>
        <v/>
      </c>
      <c r="M1521" t="str">
        <f>IF([2]Entry!$J$1524="","",[2]Entry!$J$1524)</f>
        <v/>
      </c>
      <c r="N1521" t="str">
        <f>IF([2]Entry!$M$1524="","",[2]Entry!$M$1524)</f>
        <v/>
      </c>
      <c r="O1521" t="str">
        <f>IF([2]Entry!$N$1524="","",[2]Entry!$N$1524)</f>
        <v/>
      </c>
      <c r="P1521" t="str">
        <f>IF([2]Entry!$S$1524="","",[2]Entry!$S$1524)</f>
        <v/>
      </c>
    </row>
    <row r="1522" spans="12:16" x14ac:dyDescent="0.2">
      <c r="L1522" t="str">
        <f>IF([2]Entry!$C$1525="","",[2]Entry!$C$1525)</f>
        <v/>
      </c>
      <c r="M1522" t="str">
        <f>IF([2]Entry!$J$1525="","",[2]Entry!$J$1525)</f>
        <v/>
      </c>
      <c r="N1522" t="str">
        <f>IF([2]Entry!$M$1525="","",[2]Entry!$M$1525)</f>
        <v/>
      </c>
      <c r="O1522" t="str">
        <f>IF([2]Entry!$N$1525="","",[2]Entry!$N$1525)</f>
        <v/>
      </c>
      <c r="P1522" t="str">
        <f>IF([2]Entry!$S$1525="","",[2]Entry!$S$1525)</f>
        <v/>
      </c>
    </row>
    <row r="1523" spans="12:16" x14ac:dyDescent="0.2">
      <c r="L1523" t="str">
        <f>IF([2]Entry!$C$1526="","",[2]Entry!$C$1526)</f>
        <v/>
      </c>
      <c r="M1523" t="str">
        <f>IF([2]Entry!$J$1526="","",[2]Entry!$J$1526)</f>
        <v/>
      </c>
      <c r="N1523" t="str">
        <f>IF([2]Entry!$M$1526="","",[2]Entry!$M$1526)</f>
        <v/>
      </c>
      <c r="O1523" t="str">
        <f>IF([2]Entry!$N$1526="","",[2]Entry!$N$1526)</f>
        <v/>
      </c>
      <c r="P1523" t="str">
        <f>IF([2]Entry!$S$1526="","",[2]Entry!$S$1526)</f>
        <v/>
      </c>
    </row>
    <row r="1524" spans="12:16" x14ac:dyDescent="0.2">
      <c r="L1524" t="str">
        <f>IF([2]Entry!$C$1527="","",[2]Entry!$C$1527)</f>
        <v/>
      </c>
      <c r="M1524" t="str">
        <f>IF([2]Entry!$J$1527="","",[2]Entry!$J$1527)</f>
        <v/>
      </c>
      <c r="N1524" t="str">
        <f>IF([2]Entry!$M$1527="","",[2]Entry!$M$1527)</f>
        <v/>
      </c>
      <c r="O1524" t="str">
        <f>IF([2]Entry!$N$1527="","",[2]Entry!$N$1527)</f>
        <v/>
      </c>
      <c r="P1524" t="str">
        <f>IF([2]Entry!$S$1527="","",[2]Entry!$S$1527)</f>
        <v/>
      </c>
    </row>
    <row r="1525" spans="12:16" x14ac:dyDescent="0.2">
      <c r="L1525" t="str">
        <f>IF([2]Entry!$C$1528="","",[2]Entry!$C$1528)</f>
        <v/>
      </c>
      <c r="M1525" t="str">
        <f>IF([2]Entry!$J$1528="","",[2]Entry!$J$1528)</f>
        <v/>
      </c>
      <c r="N1525" t="str">
        <f>IF([2]Entry!$M$1528="","",[2]Entry!$M$1528)</f>
        <v/>
      </c>
      <c r="O1525" t="str">
        <f>IF([2]Entry!$N$1528="","",[2]Entry!$N$1528)</f>
        <v/>
      </c>
      <c r="P1525" t="str">
        <f>IF([2]Entry!$S$1528="","",[2]Entry!$S$1528)</f>
        <v/>
      </c>
    </row>
    <row r="1526" spans="12:16" x14ac:dyDescent="0.2">
      <c r="L1526" t="str">
        <f>IF([2]Entry!$C$1529="","",[2]Entry!$C$1529)</f>
        <v/>
      </c>
      <c r="M1526" t="str">
        <f>IF([2]Entry!$J$1529="","",[2]Entry!$J$1529)</f>
        <v/>
      </c>
      <c r="N1526" t="str">
        <f>IF([2]Entry!$M$1529="","",[2]Entry!$M$1529)</f>
        <v/>
      </c>
      <c r="O1526" t="str">
        <f>IF([2]Entry!$N$1529="","",[2]Entry!$N$1529)</f>
        <v/>
      </c>
      <c r="P1526" t="str">
        <f>IF([2]Entry!$S$1529="","",[2]Entry!$S$1529)</f>
        <v/>
      </c>
    </row>
    <row r="1527" spans="12:16" x14ac:dyDescent="0.2">
      <c r="L1527" t="str">
        <f>IF([2]Entry!$C$1530="","",[2]Entry!$C$1530)</f>
        <v/>
      </c>
      <c r="M1527" t="str">
        <f>IF([2]Entry!$J$1530="","",[2]Entry!$J$1530)</f>
        <v/>
      </c>
      <c r="N1527" t="str">
        <f>IF([2]Entry!$M$1530="","",[2]Entry!$M$1530)</f>
        <v/>
      </c>
      <c r="O1527" t="str">
        <f>IF([2]Entry!$N$1530="","",[2]Entry!$N$1530)</f>
        <v/>
      </c>
      <c r="P1527" t="str">
        <f>IF([2]Entry!$S$1530="","",[2]Entry!$S$1530)</f>
        <v/>
      </c>
    </row>
    <row r="1528" spans="12:16" x14ac:dyDescent="0.2">
      <c r="L1528" t="str">
        <f>IF([2]Entry!$C$1531="","",[2]Entry!$C$1531)</f>
        <v/>
      </c>
      <c r="M1528" t="str">
        <f>IF([2]Entry!$J$1531="","",[2]Entry!$J$1531)</f>
        <v/>
      </c>
      <c r="N1528" t="str">
        <f>IF([2]Entry!$M$1531="","",[2]Entry!$M$1531)</f>
        <v/>
      </c>
      <c r="O1528" t="str">
        <f>IF([2]Entry!$N$1531="","",[2]Entry!$N$1531)</f>
        <v/>
      </c>
      <c r="P1528" t="str">
        <f>IF([2]Entry!$S$1531="","",[2]Entry!$S$1531)</f>
        <v/>
      </c>
    </row>
    <row r="1529" spans="12:16" x14ac:dyDescent="0.2">
      <c r="L1529" t="str">
        <f>IF([2]Entry!$C$1532="","",[2]Entry!$C$1532)</f>
        <v/>
      </c>
      <c r="M1529" t="str">
        <f>IF([2]Entry!$J$1532="","",[2]Entry!$J$1532)</f>
        <v/>
      </c>
      <c r="N1529" t="str">
        <f>IF([2]Entry!$M$1532="","",[2]Entry!$M$1532)</f>
        <v/>
      </c>
      <c r="O1529" t="str">
        <f>IF([2]Entry!$N$1532="","",[2]Entry!$N$1532)</f>
        <v/>
      </c>
      <c r="P1529" t="str">
        <f>IF([2]Entry!$S$1532="","",[2]Entry!$S$1532)</f>
        <v/>
      </c>
    </row>
    <row r="1530" spans="12:16" x14ac:dyDescent="0.2">
      <c r="L1530" t="str">
        <f>IF([2]Entry!$C$1533="","",[2]Entry!$C$1533)</f>
        <v/>
      </c>
      <c r="M1530" t="str">
        <f>IF([2]Entry!$J$1533="","",[2]Entry!$J$1533)</f>
        <v/>
      </c>
      <c r="N1530" t="str">
        <f>IF([2]Entry!$M$1533="","",[2]Entry!$M$1533)</f>
        <v/>
      </c>
      <c r="O1530" t="str">
        <f>IF([2]Entry!$N$1533="","",[2]Entry!$N$1533)</f>
        <v/>
      </c>
      <c r="P1530" t="str">
        <f>IF([2]Entry!$S$1533="","",[2]Entry!$S$1533)</f>
        <v/>
      </c>
    </row>
    <row r="1531" spans="12:16" x14ac:dyDescent="0.2">
      <c r="L1531" t="str">
        <f>IF([2]Entry!$C$1534="","",[2]Entry!$C$1534)</f>
        <v/>
      </c>
      <c r="M1531" t="str">
        <f>IF([2]Entry!$J$1534="","",[2]Entry!$J$1534)</f>
        <v/>
      </c>
      <c r="N1531" t="str">
        <f>IF([2]Entry!$M$1534="","",[2]Entry!$M$1534)</f>
        <v/>
      </c>
      <c r="O1531" t="str">
        <f>IF([2]Entry!$N$1534="","",[2]Entry!$N$1534)</f>
        <v/>
      </c>
      <c r="P1531" t="str">
        <f>IF([2]Entry!$S$1534="","",[2]Entry!$S$1534)</f>
        <v/>
      </c>
    </row>
    <row r="1532" spans="12:16" x14ac:dyDescent="0.2">
      <c r="L1532" t="str">
        <f>IF([2]Entry!$C$1535="","",[2]Entry!$C$1535)</f>
        <v/>
      </c>
      <c r="M1532" t="str">
        <f>IF([2]Entry!$J$1535="","",[2]Entry!$J$1535)</f>
        <v/>
      </c>
      <c r="N1532" t="str">
        <f>IF([2]Entry!$M$1535="","",[2]Entry!$M$1535)</f>
        <v/>
      </c>
      <c r="O1532" t="str">
        <f>IF([2]Entry!$N$1535="","",[2]Entry!$N$1535)</f>
        <v/>
      </c>
      <c r="P1532" t="str">
        <f>IF([2]Entry!$S$1535="","",[2]Entry!$S$1535)</f>
        <v/>
      </c>
    </row>
    <row r="1533" spans="12:16" x14ac:dyDescent="0.2">
      <c r="L1533" t="str">
        <f>IF([2]Entry!$C$1536="","",[2]Entry!$C$1536)</f>
        <v/>
      </c>
      <c r="M1533" t="str">
        <f>IF([2]Entry!$J$1536="","",[2]Entry!$J$1536)</f>
        <v/>
      </c>
      <c r="N1533" t="str">
        <f>IF([2]Entry!$M$1536="","",[2]Entry!$M$1536)</f>
        <v/>
      </c>
      <c r="O1533" t="str">
        <f>IF([2]Entry!$N$1536="","",[2]Entry!$N$1536)</f>
        <v/>
      </c>
      <c r="P1533" t="str">
        <f>IF([2]Entry!$S$1536="","",[2]Entry!$S$1536)</f>
        <v/>
      </c>
    </row>
    <row r="1534" spans="12:16" x14ac:dyDescent="0.2">
      <c r="L1534" t="str">
        <f>IF([2]Entry!$C$1537="","",[2]Entry!$C$1537)</f>
        <v/>
      </c>
      <c r="M1534" t="str">
        <f>IF([2]Entry!$J$1537="","",[2]Entry!$J$1537)</f>
        <v/>
      </c>
      <c r="N1534" t="str">
        <f>IF([2]Entry!$M$1537="","",[2]Entry!$M$1537)</f>
        <v/>
      </c>
      <c r="O1534" t="str">
        <f>IF([2]Entry!$N$1537="","",[2]Entry!$N$1537)</f>
        <v/>
      </c>
      <c r="P1534" t="str">
        <f>IF([2]Entry!$S$1537="","",[2]Entry!$S$1537)</f>
        <v/>
      </c>
    </row>
    <row r="1535" spans="12:16" x14ac:dyDescent="0.2">
      <c r="L1535" t="str">
        <f>IF([2]Entry!$C$1538="","",[2]Entry!$C$1538)</f>
        <v/>
      </c>
      <c r="M1535" t="str">
        <f>IF([2]Entry!$J$1538="","",[2]Entry!$J$1538)</f>
        <v/>
      </c>
      <c r="N1535" t="str">
        <f>IF([2]Entry!$M$1538="","",[2]Entry!$M$1538)</f>
        <v/>
      </c>
      <c r="O1535" t="str">
        <f>IF([2]Entry!$N$1538="","",[2]Entry!$N$1538)</f>
        <v/>
      </c>
      <c r="P1535" t="str">
        <f>IF([2]Entry!$S$1538="","",[2]Entry!$S$1538)</f>
        <v/>
      </c>
    </row>
    <row r="1536" spans="12:16" x14ac:dyDescent="0.2">
      <c r="L1536" t="str">
        <f>IF([2]Entry!$C$1539="","",[2]Entry!$C$1539)</f>
        <v/>
      </c>
      <c r="M1536" t="str">
        <f>IF([2]Entry!$J$1539="","",[2]Entry!$J$1539)</f>
        <v/>
      </c>
      <c r="N1536" t="str">
        <f>IF([2]Entry!$M$1539="","",[2]Entry!$M$1539)</f>
        <v/>
      </c>
      <c r="O1536" t="str">
        <f>IF([2]Entry!$N$1539="","",[2]Entry!$N$1539)</f>
        <v/>
      </c>
      <c r="P1536" t="str">
        <f>IF([2]Entry!$S$1539="","",[2]Entry!$S$1539)</f>
        <v/>
      </c>
    </row>
    <row r="1537" spans="12:16" x14ac:dyDescent="0.2">
      <c r="L1537" t="str">
        <f>IF([2]Entry!$C$1540="","",[2]Entry!$C$1540)</f>
        <v/>
      </c>
      <c r="M1537" t="str">
        <f>IF([2]Entry!$J$1540="","",[2]Entry!$J$1540)</f>
        <v/>
      </c>
      <c r="N1537" t="str">
        <f>IF([2]Entry!$M$1540="","",[2]Entry!$M$1540)</f>
        <v/>
      </c>
      <c r="O1537" t="str">
        <f>IF([2]Entry!$N$1540="","",[2]Entry!$N$1540)</f>
        <v/>
      </c>
      <c r="P1537" t="str">
        <f>IF([2]Entry!$S$1540="","",[2]Entry!$S$1540)</f>
        <v/>
      </c>
    </row>
    <row r="1538" spans="12:16" x14ac:dyDescent="0.2">
      <c r="L1538" t="str">
        <f>IF([2]Entry!$C$1541="","",[2]Entry!$C$1541)</f>
        <v/>
      </c>
      <c r="M1538" t="str">
        <f>IF([2]Entry!$J$1541="","",[2]Entry!$J$1541)</f>
        <v/>
      </c>
      <c r="N1538" t="str">
        <f>IF([2]Entry!$M$1541="","",[2]Entry!$M$1541)</f>
        <v/>
      </c>
      <c r="O1538" t="str">
        <f>IF([2]Entry!$N$1541="","",[2]Entry!$N$1541)</f>
        <v/>
      </c>
      <c r="P1538" t="str">
        <f>IF([2]Entry!$S$1541="","",[2]Entry!$S$1541)</f>
        <v/>
      </c>
    </row>
    <row r="1539" spans="12:16" x14ac:dyDescent="0.2">
      <c r="L1539" t="str">
        <f>IF([2]Entry!$C$1542="","",[2]Entry!$C$1542)</f>
        <v/>
      </c>
      <c r="M1539" t="str">
        <f>IF([2]Entry!$J$1542="","",[2]Entry!$J$1542)</f>
        <v/>
      </c>
      <c r="N1539" t="str">
        <f>IF([2]Entry!$M$1542="","",[2]Entry!$M$1542)</f>
        <v/>
      </c>
      <c r="O1539" t="str">
        <f>IF([2]Entry!$N$1542="","",[2]Entry!$N$1542)</f>
        <v/>
      </c>
      <c r="P1539" t="str">
        <f>IF([2]Entry!$S$1542="","",[2]Entry!$S$1542)</f>
        <v/>
      </c>
    </row>
    <row r="1540" spans="12:16" x14ac:dyDescent="0.2">
      <c r="L1540" t="str">
        <f>IF([2]Entry!$C$1543="","",[2]Entry!$C$1543)</f>
        <v/>
      </c>
      <c r="M1540" t="str">
        <f>IF([2]Entry!$J$1543="","",[2]Entry!$J$1543)</f>
        <v/>
      </c>
      <c r="N1540" t="str">
        <f>IF([2]Entry!$M$1543="","",[2]Entry!$M$1543)</f>
        <v/>
      </c>
      <c r="O1540" t="str">
        <f>IF([2]Entry!$N$1543="","",[2]Entry!$N$1543)</f>
        <v/>
      </c>
      <c r="P1540" t="str">
        <f>IF([2]Entry!$S$1543="","",[2]Entry!$S$1543)</f>
        <v/>
      </c>
    </row>
    <row r="1541" spans="12:16" x14ac:dyDescent="0.2">
      <c r="L1541" t="str">
        <f>IF([2]Entry!$C$1544="","",[2]Entry!$C$1544)</f>
        <v/>
      </c>
      <c r="M1541" t="str">
        <f>IF([2]Entry!$J$1544="","",[2]Entry!$J$1544)</f>
        <v/>
      </c>
      <c r="N1541" t="str">
        <f>IF([2]Entry!$M$1544="","",[2]Entry!$M$1544)</f>
        <v/>
      </c>
      <c r="O1541" t="str">
        <f>IF([2]Entry!$N$1544="","",[2]Entry!$N$1544)</f>
        <v/>
      </c>
      <c r="P1541" t="str">
        <f>IF([2]Entry!$S$1544="","",[2]Entry!$S$1544)</f>
        <v/>
      </c>
    </row>
    <row r="1542" spans="12:16" x14ac:dyDescent="0.2">
      <c r="L1542" t="str">
        <f>IF([2]Entry!$C$1545="","",[2]Entry!$C$1545)</f>
        <v/>
      </c>
      <c r="M1542" t="str">
        <f>IF([2]Entry!$J$1545="","",[2]Entry!$J$1545)</f>
        <v/>
      </c>
      <c r="N1542" t="str">
        <f>IF([2]Entry!$M$1545="","",[2]Entry!$M$1545)</f>
        <v/>
      </c>
      <c r="O1542" t="str">
        <f>IF([2]Entry!$N$1545="","",[2]Entry!$N$1545)</f>
        <v/>
      </c>
      <c r="P1542" t="str">
        <f>IF([2]Entry!$S$1545="","",[2]Entry!$S$1545)</f>
        <v/>
      </c>
    </row>
    <row r="1543" spans="12:16" x14ac:dyDescent="0.2">
      <c r="L1543" t="str">
        <f>IF([2]Entry!$C$1546="","",[2]Entry!$C$1546)</f>
        <v/>
      </c>
      <c r="M1543" t="str">
        <f>IF([2]Entry!$J$1546="","",[2]Entry!$J$1546)</f>
        <v/>
      </c>
      <c r="N1543" t="str">
        <f>IF([2]Entry!$M$1546="","",[2]Entry!$M$1546)</f>
        <v/>
      </c>
      <c r="O1543" t="str">
        <f>IF([2]Entry!$N$1546="","",[2]Entry!$N$1546)</f>
        <v/>
      </c>
      <c r="P1543" t="str">
        <f>IF([2]Entry!$S$1546="","",[2]Entry!$S$1546)</f>
        <v/>
      </c>
    </row>
    <row r="1544" spans="12:16" x14ac:dyDescent="0.2">
      <c r="L1544" t="str">
        <f>IF([2]Entry!$C$1547="","",[2]Entry!$C$1547)</f>
        <v/>
      </c>
      <c r="M1544" t="str">
        <f>IF([2]Entry!$J$1547="","",[2]Entry!$J$1547)</f>
        <v/>
      </c>
      <c r="N1544" t="str">
        <f>IF([2]Entry!$M$1547="","",[2]Entry!$M$1547)</f>
        <v/>
      </c>
      <c r="O1544" t="str">
        <f>IF([2]Entry!$N$1547="","",[2]Entry!$N$1547)</f>
        <v/>
      </c>
      <c r="P1544" t="str">
        <f>IF([2]Entry!$S$1547="","",[2]Entry!$S$1547)</f>
        <v/>
      </c>
    </row>
    <row r="1545" spans="12:16" x14ac:dyDescent="0.2">
      <c r="L1545" t="str">
        <f>IF([2]Entry!$C$1548="","",[2]Entry!$C$1548)</f>
        <v/>
      </c>
      <c r="M1545" t="str">
        <f>IF([2]Entry!$J$1548="","",[2]Entry!$J$1548)</f>
        <v/>
      </c>
      <c r="N1545" t="str">
        <f>IF([2]Entry!$M$1548="","",[2]Entry!$M$1548)</f>
        <v/>
      </c>
      <c r="O1545" t="str">
        <f>IF([2]Entry!$N$1548="","",[2]Entry!$N$1548)</f>
        <v/>
      </c>
      <c r="P1545" t="str">
        <f>IF([2]Entry!$S$1548="","",[2]Entry!$S$1548)</f>
        <v/>
      </c>
    </row>
    <row r="1546" spans="12:16" x14ac:dyDescent="0.2">
      <c r="L1546" t="str">
        <f>IF([2]Entry!$C$1549="","",[2]Entry!$C$1549)</f>
        <v/>
      </c>
      <c r="M1546" t="str">
        <f>IF([2]Entry!$J$1549="","",[2]Entry!$J$1549)</f>
        <v/>
      </c>
      <c r="N1546" t="str">
        <f>IF([2]Entry!$M$1549="","",[2]Entry!$M$1549)</f>
        <v/>
      </c>
      <c r="O1546" t="str">
        <f>IF([2]Entry!$N$1549="","",[2]Entry!$N$1549)</f>
        <v/>
      </c>
      <c r="P1546" t="str">
        <f>IF([2]Entry!$S$1549="","",[2]Entry!$S$1549)</f>
        <v/>
      </c>
    </row>
    <row r="1547" spans="12:16" x14ac:dyDescent="0.2">
      <c r="L1547" t="str">
        <f>IF([2]Entry!$C$1550="","",[2]Entry!$C$1550)</f>
        <v/>
      </c>
      <c r="M1547" t="str">
        <f>IF([2]Entry!$J$1550="","",[2]Entry!$J$1550)</f>
        <v/>
      </c>
      <c r="N1547" t="str">
        <f>IF([2]Entry!$M$1550="","",[2]Entry!$M$1550)</f>
        <v/>
      </c>
      <c r="O1547" t="str">
        <f>IF([2]Entry!$N$1550="","",[2]Entry!$N$1550)</f>
        <v/>
      </c>
      <c r="P1547" t="str">
        <f>IF([2]Entry!$S$1550="","",[2]Entry!$S$1550)</f>
        <v/>
      </c>
    </row>
    <row r="1548" spans="12:16" x14ac:dyDescent="0.2">
      <c r="L1548" t="str">
        <f>IF([2]Entry!$C$1551="","",[2]Entry!$C$1551)</f>
        <v/>
      </c>
      <c r="M1548" t="str">
        <f>IF([2]Entry!$J$1551="","",[2]Entry!$J$1551)</f>
        <v/>
      </c>
      <c r="N1548" t="str">
        <f>IF([2]Entry!$M$1551="","",[2]Entry!$M$1551)</f>
        <v/>
      </c>
      <c r="O1548" t="str">
        <f>IF([2]Entry!$N$1551="","",[2]Entry!$N$1551)</f>
        <v/>
      </c>
      <c r="P1548" t="str">
        <f>IF([2]Entry!$S$1551="","",[2]Entry!$S$1551)</f>
        <v/>
      </c>
    </row>
    <row r="1549" spans="12:16" x14ac:dyDescent="0.2">
      <c r="L1549" t="str">
        <f>IF([2]Entry!$C$1552="","",[2]Entry!$C$1552)</f>
        <v/>
      </c>
      <c r="M1549" t="str">
        <f>IF([2]Entry!$J$1552="","",[2]Entry!$J$1552)</f>
        <v/>
      </c>
      <c r="N1549" t="str">
        <f>IF([2]Entry!$M$1552="","",[2]Entry!$M$1552)</f>
        <v/>
      </c>
      <c r="O1549" t="str">
        <f>IF([2]Entry!$N$1552="","",[2]Entry!$N$1552)</f>
        <v/>
      </c>
      <c r="P1549" t="str">
        <f>IF([2]Entry!$S$1552="","",[2]Entry!$S$1552)</f>
        <v/>
      </c>
    </row>
    <row r="1550" spans="12:16" x14ac:dyDescent="0.2">
      <c r="L1550" t="str">
        <f>IF([2]Entry!$C$1553="","",[2]Entry!$C$1553)</f>
        <v/>
      </c>
      <c r="M1550" t="str">
        <f>IF([2]Entry!$J$1553="","",[2]Entry!$J$1553)</f>
        <v/>
      </c>
      <c r="N1550" t="str">
        <f>IF([2]Entry!$M$1553="","",[2]Entry!$M$1553)</f>
        <v/>
      </c>
      <c r="O1550" t="str">
        <f>IF([2]Entry!$N$1553="","",[2]Entry!$N$1553)</f>
        <v/>
      </c>
      <c r="P1550" t="str">
        <f>IF([2]Entry!$S$1553="","",[2]Entry!$S$1553)</f>
        <v/>
      </c>
    </row>
    <row r="1551" spans="12:16" x14ac:dyDescent="0.2">
      <c r="L1551" t="str">
        <f>IF([2]Entry!$C$1554="","",[2]Entry!$C$1554)</f>
        <v/>
      </c>
      <c r="M1551" t="str">
        <f>IF([2]Entry!$J$1554="","",[2]Entry!$J$1554)</f>
        <v/>
      </c>
      <c r="N1551" t="str">
        <f>IF([2]Entry!$M$1554="","",[2]Entry!$M$1554)</f>
        <v/>
      </c>
      <c r="O1551" t="str">
        <f>IF([2]Entry!$N$1554="","",[2]Entry!$N$1554)</f>
        <v/>
      </c>
      <c r="P1551" t="str">
        <f>IF([2]Entry!$S$1554="","",[2]Entry!$S$1554)</f>
        <v/>
      </c>
    </row>
    <row r="1552" spans="12:16" x14ac:dyDescent="0.2">
      <c r="L1552" t="str">
        <f>IF([2]Entry!$C$1555="","",[2]Entry!$C$1555)</f>
        <v/>
      </c>
      <c r="M1552" t="str">
        <f>IF([2]Entry!$J$1555="","",[2]Entry!$J$1555)</f>
        <v/>
      </c>
      <c r="N1552" t="str">
        <f>IF([2]Entry!$M$1555="","",[2]Entry!$M$1555)</f>
        <v/>
      </c>
      <c r="O1552" t="str">
        <f>IF([2]Entry!$N$1555="","",[2]Entry!$N$1555)</f>
        <v/>
      </c>
      <c r="P1552" t="str">
        <f>IF([2]Entry!$S$1555="","",[2]Entry!$S$1555)</f>
        <v/>
      </c>
    </row>
    <row r="1553" spans="12:16" x14ac:dyDescent="0.2">
      <c r="L1553" t="str">
        <f>IF([2]Entry!$C$1556="","",[2]Entry!$C$1556)</f>
        <v/>
      </c>
      <c r="M1553" t="str">
        <f>IF([2]Entry!$J$1556="","",[2]Entry!$J$1556)</f>
        <v/>
      </c>
      <c r="N1553" t="str">
        <f>IF([2]Entry!$M$1556="","",[2]Entry!$M$1556)</f>
        <v/>
      </c>
      <c r="O1553" t="str">
        <f>IF([2]Entry!$N$1556="","",[2]Entry!$N$1556)</f>
        <v/>
      </c>
      <c r="P1553" t="str">
        <f>IF([2]Entry!$S$1556="","",[2]Entry!$S$1556)</f>
        <v/>
      </c>
    </row>
    <row r="1554" spans="12:16" x14ac:dyDescent="0.2">
      <c r="L1554" t="str">
        <f>IF([2]Entry!$C$1557="","",[2]Entry!$C$1557)</f>
        <v/>
      </c>
      <c r="M1554" t="str">
        <f>IF([2]Entry!$J$1557="","",[2]Entry!$J$1557)</f>
        <v/>
      </c>
      <c r="N1554" t="str">
        <f>IF([2]Entry!$M$1557="","",[2]Entry!$M$1557)</f>
        <v/>
      </c>
      <c r="O1554" t="str">
        <f>IF([2]Entry!$N$1557="","",[2]Entry!$N$1557)</f>
        <v/>
      </c>
      <c r="P1554" t="str">
        <f>IF([2]Entry!$S$1557="","",[2]Entry!$S$1557)</f>
        <v/>
      </c>
    </row>
    <row r="1555" spans="12:16" x14ac:dyDescent="0.2">
      <c r="L1555" t="str">
        <f>IF([2]Entry!$C$1558="","",[2]Entry!$C$1558)</f>
        <v/>
      </c>
      <c r="M1555" t="str">
        <f>IF([2]Entry!$J$1558="","",[2]Entry!$J$1558)</f>
        <v/>
      </c>
      <c r="N1555" t="str">
        <f>IF([2]Entry!$M$1558="","",[2]Entry!$M$1558)</f>
        <v/>
      </c>
      <c r="O1555" t="str">
        <f>IF([2]Entry!$N$1558="","",[2]Entry!$N$1558)</f>
        <v/>
      </c>
      <c r="P1555" t="str">
        <f>IF([2]Entry!$S$1558="","",[2]Entry!$S$1558)</f>
        <v/>
      </c>
    </row>
    <row r="1556" spans="12:16" x14ac:dyDescent="0.2">
      <c r="L1556" t="str">
        <f>IF([2]Entry!$C$1559="","",[2]Entry!$C$1559)</f>
        <v/>
      </c>
      <c r="M1556" t="str">
        <f>IF([2]Entry!$J$1559="","",[2]Entry!$J$1559)</f>
        <v/>
      </c>
      <c r="N1556" t="str">
        <f>IF([2]Entry!$M$1559="","",[2]Entry!$M$1559)</f>
        <v/>
      </c>
      <c r="O1556" t="str">
        <f>IF([2]Entry!$N$1559="","",[2]Entry!$N$1559)</f>
        <v/>
      </c>
      <c r="P1556" t="str">
        <f>IF([2]Entry!$S$1559="","",[2]Entry!$S$1559)</f>
        <v/>
      </c>
    </row>
    <row r="1557" spans="12:16" x14ac:dyDescent="0.2">
      <c r="L1557" t="str">
        <f>IF([2]Entry!$C$1560="","",[2]Entry!$C$1560)</f>
        <v/>
      </c>
      <c r="M1557" t="str">
        <f>IF([2]Entry!$J$1560="","",[2]Entry!$J$1560)</f>
        <v/>
      </c>
      <c r="N1557" t="str">
        <f>IF([2]Entry!$M$1560="","",[2]Entry!$M$1560)</f>
        <v/>
      </c>
      <c r="O1557" t="str">
        <f>IF([2]Entry!$N$1560="","",[2]Entry!$N$1560)</f>
        <v/>
      </c>
      <c r="P1557" t="str">
        <f>IF([2]Entry!$S$1560="","",[2]Entry!$S$1560)</f>
        <v/>
      </c>
    </row>
    <row r="1558" spans="12:16" x14ac:dyDescent="0.2">
      <c r="L1558" t="str">
        <f>IF([2]Entry!$C$1561="","",[2]Entry!$C$1561)</f>
        <v/>
      </c>
      <c r="M1558" t="str">
        <f>IF([2]Entry!$J$1561="","",[2]Entry!$J$1561)</f>
        <v/>
      </c>
      <c r="N1558" t="str">
        <f>IF([2]Entry!$M$1561="","",[2]Entry!$M$1561)</f>
        <v/>
      </c>
      <c r="O1558" t="str">
        <f>IF([2]Entry!$N$1561="","",[2]Entry!$N$1561)</f>
        <v/>
      </c>
      <c r="P1558" t="str">
        <f>IF([2]Entry!$S$1561="","",[2]Entry!$S$1561)</f>
        <v/>
      </c>
    </row>
    <row r="1559" spans="12:16" x14ac:dyDescent="0.2">
      <c r="L1559" t="str">
        <f>IF([2]Entry!$C$1562="","",[2]Entry!$C$1562)</f>
        <v/>
      </c>
      <c r="M1559" t="str">
        <f>IF([2]Entry!$J$1562="","",[2]Entry!$J$1562)</f>
        <v/>
      </c>
      <c r="N1559" t="str">
        <f>IF([2]Entry!$M$1562="","",[2]Entry!$M$1562)</f>
        <v/>
      </c>
      <c r="O1559" t="str">
        <f>IF([2]Entry!$N$1562="","",[2]Entry!$N$1562)</f>
        <v/>
      </c>
      <c r="P1559" t="str">
        <f>IF([2]Entry!$S$1562="","",[2]Entry!$S$1562)</f>
        <v/>
      </c>
    </row>
    <row r="1560" spans="12:16" x14ac:dyDescent="0.2">
      <c r="L1560" t="str">
        <f>IF([2]Entry!$C$1563="","",[2]Entry!$C$1563)</f>
        <v/>
      </c>
      <c r="M1560" t="str">
        <f>IF([2]Entry!$J$1563="","",[2]Entry!$J$1563)</f>
        <v/>
      </c>
      <c r="N1560" t="str">
        <f>IF([2]Entry!$M$1563="","",[2]Entry!$M$1563)</f>
        <v/>
      </c>
      <c r="O1560" t="str">
        <f>IF([2]Entry!$N$1563="","",[2]Entry!$N$1563)</f>
        <v/>
      </c>
      <c r="P1560" t="str">
        <f>IF([2]Entry!$S$1563="","",[2]Entry!$S$1563)</f>
        <v/>
      </c>
    </row>
    <row r="1561" spans="12:16" x14ac:dyDescent="0.2">
      <c r="L1561" t="str">
        <f>IF([2]Entry!$C$1564="","",[2]Entry!$C$1564)</f>
        <v/>
      </c>
      <c r="M1561" t="str">
        <f>IF([2]Entry!$J$1564="","",[2]Entry!$J$1564)</f>
        <v/>
      </c>
      <c r="N1561" t="str">
        <f>IF([2]Entry!$M$1564="","",[2]Entry!$M$1564)</f>
        <v/>
      </c>
      <c r="O1561" t="str">
        <f>IF([2]Entry!$N$1564="","",[2]Entry!$N$1564)</f>
        <v/>
      </c>
      <c r="P1561" t="str">
        <f>IF([2]Entry!$S$1564="","",[2]Entry!$S$1564)</f>
        <v/>
      </c>
    </row>
    <row r="1562" spans="12:16" x14ac:dyDescent="0.2">
      <c r="L1562" t="str">
        <f>IF([2]Entry!$C$1565="","",[2]Entry!$C$1565)</f>
        <v/>
      </c>
      <c r="M1562" t="str">
        <f>IF([2]Entry!$J$1565="","",[2]Entry!$J$1565)</f>
        <v/>
      </c>
      <c r="N1562" t="str">
        <f>IF([2]Entry!$M$1565="","",[2]Entry!$M$1565)</f>
        <v/>
      </c>
      <c r="O1562" t="str">
        <f>IF([2]Entry!$N$1565="","",[2]Entry!$N$1565)</f>
        <v/>
      </c>
      <c r="P1562" t="str">
        <f>IF([2]Entry!$S$1565="","",[2]Entry!$S$1565)</f>
        <v/>
      </c>
    </row>
    <row r="1563" spans="12:16" x14ac:dyDescent="0.2">
      <c r="L1563" t="str">
        <f>IF([2]Entry!$C$1566="","",[2]Entry!$C$1566)</f>
        <v/>
      </c>
      <c r="M1563" t="str">
        <f>IF([2]Entry!$J$1566="","",[2]Entry!$J$1566)</f>
        <v/>
      </c>
      <c r="N1563" t="str">
        <f>IF([2]Entry!$M$1566="","",[2]Entry!$M$1566)</f>
        <v/>
      </c>
      <c r="O1563" t="str">
        <f>IF([2]Entry!$N$1566="","",[2]Entry!$N$1566)</f>
        <v/>
      </c>
      <c r="P1563" t="str">
        <f>IF([2]Entry!$S$1566="","",[2]Entry!$S$1566)</f>
        <v/>
      </c>
    </row>
    <row r="1564" spans="12:16" x14ac:dyDescent="0.2">
      <c r="L1564" t="str">
        <f>IF([2]Entry!$C$1567="","",[2]Entry!$C$1567)</f>
        <v/>
      </c>
      <c r="M1564" t="str">
        <f>IF([2]Entry!$J$1567="","",[2]Entry!$J$1567)</f>
        <v/>
      </c>
      <c r="N1564" t="str">
        <f>IF([2]Entry!$M$1567="","",[2]Entry!$M$1567)</f>
        <v/>
      </c>
      <c r="O1564" t="str">
        <f>IF([2]Entry!$N$1567="","",[2]Entry!$N$1567)</f>
        <v/>
      </c>
      <c r="P1564" t="str">
        <f>IF([2]Entry!$S$1567="","",[2]Entry!$S$1567)</f>
        <v/>
      </c>
    </row>
    <row r="1565" spans="12:16" x14ac:dyDescent="0.2">
      <c r="L1565" t="str">
        <f>IF([2]Entry!$C$1568="","",[2]Entry!$C$1568)</f>
        <v/>
      </c>
      <c r="M1565" t="str">
        <f>IF([2]Entry!$J$1568="","",[2]Entry!$J$1568)</f>
        <v/>
      </c>
      <c r="N1565" t="str">
        <f>IF([2]Entry!$M$1568="","",[2]Entry!$M$1568)</f>
        <v/>
      </c>
      <c r="O1565" t="str">
        <f>IF([2]Entry!$N$1568="","",[2]Entry!$N$1568)</f>
        <v/>
      </c>
      <c r="P1565" t="str">
        <f>IF([2]Entry!$S$1568="","",[2]Entry!$S$1568)</f>
        <v/>
      </c>
    </row>
    <row r="1566" spans="12:16" x14ac:dyDescent="0.2">
      <c r="L1566" t="str">
        <f>IF([2]Entry!$C$1569="","",[2]Entry!$C$1569)</f>
        <v/>
      </c>
      <c r="M1566" t="str">
        <f>IF([2]Entry!$J$1569="","",[2]Entry!$J$1569)</f>
        <v/>
      </c>
      <c r="N1566" t="str">
        <f>IF([2]Entry!$M$1569="","",[2]Entry!$M$1569)</f>
        <v/>
      </c>
      <c r="O1566" t="str">
        <f>IF([2]Entry!$N$1569="","",[2]Entry!$N$1569)</f>
        <v/>
      </c>
      <c r="P1566" t="str">
        <f>IF([2]Entry!$S$1569="","",[2]Entry!$S$1569)</f>
        <v/>
      </c>
    </row>
    <row r="1567" spans="12:16" x14ac:dyDescent="0.2">
      <c r="L1567" t="str">
        <f>IF([2]Entry!$C$1570="","",[2]Entry!$C$1570)</f>
        <v/>
      </c>
      <c r="M1567" t="str">
        <f>IF([2]Entry!$J$1570="","",[2]Entry!$J$1570)</f>
        <v/>
      </c>
      <c r="N1567" t="str">
        <f>IF([2]Entry!$M$1570="","",[2]Entry!$M$1570)</f>
        <v/>
      </c>
      <c r="O1567" t="str">
        <f>IF([2]Entry!$N$1570="","",[2]Entry!$N$1570)</f>
        <v/>
      </c>
      <c r="P1567" t="str">
        <f>IF([2]Entry!$S$1570="","",[2]Entry!$S$1570)</f>
        <v/>
      </c>
    </row>
    <row r="1568" spans="12:16" x14ac:dyDescent="0.2">
      <c r="L1568" t="str">
        <f>IF([2]Entry!$C$1571="","",[2]Entry!$C$1571)</f>
        <v/>
      </c>
      <c r="M1568" t="str">
        <f>IF([2]Entry!$J$1571="","",[2]Entry!$J$1571)</f>
        <v/>
      </c>
      <c r="N1568" t="str">
        <f>IF([2]Entry!$M$1571="","",[2]Entry!$M$1571)</f>
        <v/>
      </c>
      <c r="O1568" t="str">
        <f>IF([2]Entry!$N$1571="","",[2]Entry!$N$1571)</f>
        <v/>
      </c>
      <c r="P1568" t="str">
        <f>IF([2]Entry!$S$1571="","",[2]Entry!$S$1571)</f>
        <v/>
      </c>
    </row>
    <row r="1569" spans="12:16" x14ac:dyDescent="0.2">
      <c r="L1569" t="str">
        <f>IF([2]Entry!$C$1572="","",[2]Entry!$C$1572)</f>
        <v/>
      </c>
      <c r="M1569" t="str">
        <f>IF([2]Entry!$J$1572="","",[2]Entry!$J$1572)</f>
        <v/>
      </c>
      <c r="N1569" t="str">
        <f>IF([2]Entry!$M$1572="","",[2]Entry!$M$1572)</f>
        <v/>
      </c>
      <c r="O1569" t="str">
        <f>IF([2]Entry!$N$1572="","",[2]Entry!$N$1572)</f>
        <v/>
      </c>
      <c r="P1569" t="str">
        <f>IF([2]Entry!$S$1572="","",[2]Entry!$S$1572)</f>
        <v/>
      </c>
    </row>
    <row r="1570" spans="12:16" x14ac:dyDescent="0.2">
      <c r="L1570" t="str">
        <f>IF([2]Entry!$C$1573="","",[2]Entry!$C$1573)</f>
        <v/>
      </c>
      <c r="M1570" t="str">
        <f>IF([2]Entry!$J$1573="","",[2]Entry!$J$1573)</f>
        <v/>
      </c>
      <c r="N1570" t="str">
        <f>IF([2]Entry!$M$1573="","",[2]Entry!$M$1573)</f>
        <v/>
      </c>
      <c r="O1570" t="str">
        <f>IF([2]Entry!$N$1573="","",[2]Entry!$N$1573)</f>
        <v/>
      </c>
      <c r="P1570" t="str">
        <f>IF([2]Entry!$S$1573="","",[2]Entry!$S$1573)</f>
        <v/>
      </c>
    </row>
    <row r="1571" spans="12:16" x14ac:dyDescent="0.2">
      <c r="L1571" t="str">
        <f>IF([2]Entry!$C$1574="","",[2]Entry!$C$1574)</f>
        <v/>
      </c>
      <c r="M1571" t="str">
        <f>IF([2]Entry!$J$1574="","",[2]Entry!$J$1574)</f>
        <v/>
      </c>
      <c r="N1571" t="str">
        <f>IF([2]Entry!$M$1574="","",[2]Entry!$M$1574)</f>
        <v/>
      </c>
      <c r="O1571" t="str">
        <f>IF([2]Entry!$N$1574="","",[2]Entry!$N$1574)</f>
        <v/>
      </c>
      <c r="P1571" t="str">
        <f>IF([2]Entry!$S$1574="","",[2]Entry!$S$1574)</f>
        <v/>
      </c>
    </row>
    <row r="1572" spans="12:16" x14ac:dyDescent="0.2">
      <c r="L1572" t="str">
        <f>IF([2]Entry!$C$1575="","",[2]Entry!$C$1575)</f>
        <v/>
      </c>
      <c r="M1572" t="str">
        <f>IF([2]Entry!$J$1575="","",[2]Entry!$J$1575)</f>
        <v/>
      </c>
      <c r="N1572" t="str">
        <f>IF([2]Entry!$M$1575="","",[2]Entry!$M$1575)</f>
        <v/>
      </c>
      <c r="O1572" t="str">
        <f>IF([2]Entry!$N$1575="","",[2]Entry!$N$1575)</f>
        <v/>
      </c>
      <c r="P1572" t="str">
        <f>IF([2]Entry!$S$1575="","",[2]Entry!$S$1575)</f>
        <v/>
      </c>
    </row>
    <row r="1573" spans="12:16" x14ac:dyDescent="0.2">
      <c r="L1573" t="str">
        <f>IF([2]Entry!$C$1576="","",[2]Entry!$C$1576)</f>
        <v/>
      </c>
      <c r="M1573" t="str">
        <f>IF([2]Entry!$J$1576="","",[2]Entry!$J$1576)</f>
        <v/>
      </c>
      <c r="N1573" t="str">
        <f>IF([2]Entry!$M$1576="","",[2]Entry!$M$1576)</f>
        <v/>
      </c>
      <c r="O1573" t="str">
        <f>IF([2]Entry!$N$1576="","",[2]Entry!$N$1576)</f>
        <v/>
      </c>
      <c r="P1573" t="str">
        <f>IF([2]Entry!$S$1576="","",[2]Entry!$S$1576)</f>
        <v/>
      </c>
    </row>
    <row r="1574" spans="12:16" x14ac:dyDescent="0.2">
      <c r="L1574" t="str">
        <f>IF([2]Entry!$C$1577="","",[2]Entry!$C$1577)</f>
        <v/>
      </c>
      <c r="M1574" t="str">
        <f>IF([2]Entry!$J$1577="","",[2]Entry!$J$1577)</f>
        <v/>
      </c>
      <c r="N1574" t="str">
        <f>IF([2]Entry!$M$1577="","",[2]Entry!$M$1577)</f>
        <v/>
      </c>
      <c r="O1574" t="str">
        <f>IF([2]Entry!$N$1577="","",[2]Entry!$N$1577)</f>
        <v/>
      </c>
      <c r="P1574" t="str">
        <f>IF([2]Entry!$S$1577="","",[2]Entry!$S$1577)</f>
        <v/>
      </c>
    </row>
    <row r="1575" spans="12:16" x14ac:dyDescent="0.2">
      <c r="L1575" t="str">
        <f>IF([2]Entry!$C$1578="","",[2]Entry!$C$1578)</f>
        <v/>
      </c>
      <c r="M1575" t="str">
        <f>IF([2]Entry!$J$1578="","",[2]Entry!$J$1578)</f>
        <v/>
      </c>
      <c r="N1575" t="str">
        <f>IF([2]Entry!$M$1578="","",[2]Entry!$M$1578)</f>
        <v/>
      </c>
      <c r="O1575" t="str">
        <f>IF([2]Entry!$N$1578="","",[2]Entry!$N$1578)</f>
        <v/>
      </c>
      <c r="P1575" t="str">
        <f>IF([2]Entry!$S$1578="","",[2]Entry!$S$1578)</f>
        <v/>
      </c>
    </row>
    <row r="1576" spans="12:16" x14ac:dyDescent="0.2">
      <c r="L1576" t="str">
        <f>IF([2]Entry!$C$1579="","",[2]Entry!$C$1579)</f>
        <v/>
      </c>
      <c r="M1576" t="str">
        <f>IF([2]Entry!$J$1579="","",[2]Entry!$J$1579)</f>
        <v/>
      </c>
      <c r="N1576" t="str">
        <f>IF([2]Entry!$M$1579="","",[2]Entry!$M$1579)</f>
        <v/>
      </c>
      <c r="O1576" t="str">
        <f>IF([2]Entry!$N$1579="","",[2]Entry!$N$1579)</f>
        <v/>
      </c>
      <c r="P1576" t="str">
        <f>IF([2]Entry!$S$1579="","",[2]Entry!$S$1579)</f>
        <v/>
      </c>
    </row>
    <row r="1577" spans="12:16" x14ac:dyDescent="0.2">
      <c r="L1577" t="str">
        <f>IF([2]Entry!$C$1580="","",[2]Entry!$C$1580)</f>
        <v/>
      </c>
      <c r="M1577" t="str">
        <f>IF([2]Entry!$J$1580="","",[2]Entry!$J$1580)</f>
        <v/>
      </c>
      <c r="N1577" t="str">
        <f>IF([2]Entry!$M$1580="","",[2]Entry!$M$1580)</f>
        <v/>
      </c>
      <c r="O1577" t="str">
        <f>IF([2]Entry!$N$1580="","",[2]Entry!$N$1580)</f>
        <v/>
      </c>
      <c r="P1577" t="str">
        <f>IF([2]Entry!$S$1580="","",[2]Entry!$S$1580)</f>
        <v/>
      </c>
    </row>
    <row r="1578" spans="12:16" x14ac:dyDescent="0.2">
      <c r="L1578" t="str">
        <f>IF([2]Entry!$C$1581="","",[2]Entry!$C$1581)</f>
        <v/>
      </c>
      <c r="M1578" t="str">
        <f>IF([2]Entry!$J$1581="","",[2]Entry!$J$1581)</f>
        <v/>
      </c>
      <c r="N1578" t="str">
        <f>IF([2]Entry!$M$1581="","",[2]Entry!$M$1581)</f>
        <v/>
      </c>
      <c r="O1578" t="str">
        <f>IF([2]Entry!$N$1581="","",[2]Entry!$N$1581)</f>
        <v/>
      </c>
      <c r="P1578" t="str">
        <f>IF([2]Entry!$S$1581="","",[2]Entry!$S$1581)</f>
        <v/>
      </c>
    </row>
    <row r="1579" spans="12:16" x14ac:dyDescent="0.2">
      <c r="L1579" t="str">
        <f>IF([2]Entry!$C$1582="","",[2]Entry!$C$1582)</f>
        <v/>
      </c>
      <c r="M1579" t="str">
        <f>IF([2]Entry!$J$1582="","",[2]Entry!$J$1582)</f>
        <v/>
      </c>
      <c r="N1579" t="str">
        <f>IF([2]Entry!$M$1582="","",[2]Entry!$M$1582)</f>
        <v/>
      </c>
      <c r="O1579" t="str">
        <f>IF([2]Entry!$N$1582="","",[2]Entry!$N$1582)</f>
        <v/>
      </c>
      <c r="P1579" t="str">
        <f>IF([2]Entry!$S$1582="","",[2]Entry!$S$1582)</f>
        <v/>
      </c>
    </row>
    <row r="1580" spans="12:16" x14ac:dyDescent="0.2">
      <c r="L1580" t="str">
        <f>IF([2]Entry!$C$1583="","",[2]Entry!$C$1583)</f>
        <v/>
      </c>
      <c r="M1580" t="str">
        <f>IF([2]Entry!$J$1583="","",[2]Entry!$J$1583)</f>
        <v/>
      </c>
      <c r="N1580" t="str">
        <f>IF([2]Entry!$M$1583="","",[2]Entry!$M$1583)</f>
        <v/>
      </c>
      <c r="O1580" t="str">
        <f>IF([2]Entry!$N$1583="","",[2]Entry!$N$1583)</f>
        <v/>
      </c>
      <c r="P1580" t="str">
        <f>IF([2]Entry!$S$1583="","",[2]Entry!$S$1583)</f>
        <v/>
      </c>
    </row>
    <row r="1581" spans="12:16" x14ac:dyDescent="0.2">
      <c r="L1581" t="str">
        <f>IF([2]Entry!$C$1584="","",[2]Entry!$C$1584)</f>
        <v/>
      </c>
      <c r="M1581" t="str">
        <f>IF([2]Entry!$J$1584="","",[2]Entry!$J$1584)</f>
        <v/>
      </c>
      <c r="N1581" t="str">
        <f>IF([2]Entry!$M$1584="","",[2]Entry!$M$1584)</f>
        <v/>
      </c>
      <c r="O1581" t="str">
        <f>IF([2]Entry!$N$1584="","",[2]Entry!$N$1584)</f>
        <v/>
      </c>
      <c r="P1581" t="str">
        <f>IF([2]Entry!$S$1584="","",[2]Entry!$S$1584)</f>
        <v/>
      </c>
    </row>
    <row r="1582" spans="12:16" x14ac:dyDescent="0.2">
      <c r="L1582" t="str">
        <f>IF([2]Entry!$C$1585="","",[2]Entry!$C$1585)</f>
        <v/>
      </c>
      <c r="M1582" t="str">
        <f>IF([2]Entry!$J$1585="","",[2]Entry!$J$1585)</f>
        <v/>
      </c>
      <c r="N1582" t="str">
        <f>IF([2]Entry!$M$1585="","",[2]Entry!$M$1585)</f>
        <v/>
      </c>
      <c r="O1582" t="str">
        <f>IF([2]Entry!$N$1585="","",[2]Entry!$N$1585)</f>
        <v/>
      </c>
      <c r="P1582" t="str">
        <f>IF([2]Entry!$S$1585="","",[2]Entry!$S$1585)</f>
        <v/>
      </c>
    </row>
    <row r="1583" spans="12:16" x14ac:dyDescent="0.2">
      <c r="L1583" t="str">
        <f>IF([2]Entry!$C$1586="","",[2]Entry!$C$1586)</f>
        <v/>
      </c>
      <c r="M1583" t="str">
        <f>IF([2]Entry!$J$1586="","",[2]Entry!$J$1586)</f>
        <v/>
      </c>
      <c r="N1583" t="str">
        <f>IF([2]Entry!$M$1586="","",[2]Entry!$M$1586)</f>
        <v/>
      </c>
      <c r="O1583" t="str">
        <f>IF([2]Entry!$N$1586="","",[2]Entry!$N$1586)</f>
        <v/>
      </c>
      <c r="P1583" t="str">
        <f>IF([2]Entry!$S$1586="","",[2]Entry!$S$1586)</f>
        <v/>
      </c>
    </row>
    <row r="1584" spans="12:16" x14ac:dyDescent="0.2">
      <c r="L1584" t="str">
        <f>IF([2]Entry!$C$1587="","",[2]Entry!$C$1587)</f>
        <v/>
      </c>
      <c r="M1584" t="str">
        <f>IF([2]Entry!$J$1587="","",[2]Entry!$J$1587)</f>
        <v/>
      </c>
      <c r="N1584" t="str">
        <f>IF([2]Entry!$M$1587="","",[2]Entry!$M$1587)</f>
        <v/>
      </c>
      <c r="O1584" t="str">
        <f>IF([2]Entry!$N$1587="","",[2]Entry!$N$1587)</f>
        <v/>
      </c>
      <c r="P1584" t="str">
        <f>IF([2]Entry!$S$1587="","",[2]Entry!$S$1587)</f>
        <v/>
      </c>
    </row>
    <row r="1585" spans="12:16" x14ac:dyDescent="0.2">
      <c r="L1585" t="str">
        <f>IF([2]Entry!$C$1588="","",[2]Entry!$C$1588)</f>
        <v/>
      </c>
      <c r="M1585" t="str">
        <f>IF([2]Entry!$J$1588="","",[2]Entry!$J$1588)</f>
        <v/>
      </c>
      <c r="N1585" t="str">
        <f>IF([2]Entry!$M$1588="","",[2]Entry!$M$1588)</f>
        <v/>
      </c>
      <c r="O1585" t="str">
        <f>IF([2]Entry!$N$1588="","",[2]Entry!$N$1588)</f>
        <v/>
      </c>
      <c r="P1585" t="str">
        <f>IF([2]Entry!$S$1588="","",[2]Entry!$S$1588)</f>
        <v/>
      </c>
    </row>
    <row r="1586" spans="12:16" x14ac:dyDescent="0.2">
      <c r="L1586" t="str">
        <f>IF([2]Entry!$C$1589="","",[2]Entry!$C$1589)</f>
        <v/>
      </c>
      <c r="M1586" t="str">
        <f>IF([2]Entry!$J$1589="","",[2]Entry!$J$1589)</f>
        <v/>
      </c>
      <c r="N1586" t="str">
        <f>IF([2]Entry!$M$1589="","",[2]Entry!$M$1589)</f>
        <v/>
      </c>
      <c r="O1586" t="str">
        <f>IF([2]Entry!$N$1589="","",[2]Entry!$N$1589)</f>
        <v/>
      </c>
      <c r="P1586" t="str">
        <f>IF([2]Entry!$S$1589="","",[2]Entry!$S$1589)</f>
        <v/>
      </c>
    </row>
    <row r="1587" spans="12:16" x14ac:dyDescent="0.2">
      <c r="L1587" t="str">
        <f>IF([2]Entry!$C$1590="","",[2]Entry!$C$1590)</f>
        <v/>
      </c>
      <c r="M1587" t="str">
        <f>IF([2]Entry!$J$1590="","",[2]Entry!$J$1590)</f>
        <v/>
      </c>
      <c r="N1587" t="str">
        <f>IF([2]Entry!$M$1590="","",[2]Entry!$M$1590)</f>
        <v/>
      </c>
      <c r="O1587" t="str">
        <f>IF([2]Entry!$N$1590="","",[2]Entry!$N$1590)</f>
        <v/>
      </c>
      <c r="P1587" t="str">
        <f>IF([2]Entry!$S$1590="","",[2]Entry!$S$1590)</f>
        <v/>
      </c>
    </row>
    <row r="1588" spans="12:16" x14ac:dyDescent="0.2">
      <c r="L1588" t="str">
        <f>IF([2]Entry!$C$1591="","",[2]Entry!$C$1591)</f>
        <v/>
      </c>
      <c r="M1588" t="str">
        <f>IF([2]Entry!$J$1591="","",[2]Entry!$J$1591)</f>
        <v/>
      </c>
      <c r="N1588" t="str">
        <f>IF([2]Entry!$M$1591="","",[2]Entry!$M$1591)</f>
        <v/>
      </c>
      <c r="O1588" t="str">
        <f>IF([2]Entry!$N$1591="","",[2]Entry!$N$1591)</f>
        <v/>
      </c>
      <c r="P1588" t="str">
        <f>IF([2]Entry!$S$1591="","",[2]Entry!$S$1591)</f>
        <v/>
      </c>
    </row>
    <row r="1589" spans="12:16" x14ac:dyDescent="0.2">
      <c r="L1589" t="str">
        <f>IF([2]Entry!$C$1592="","",[2]Entry!$C$1592)</f>
        <v/>
      </c>
      <c r="M1589" t="str">
        <f>IF([2]Entry!$J$1592="","",[2]Entry!$J$1592)</f>
        <v/>
      </c>
      <c r="N1589" t="str">
        <f>IF([2]Entry!$M$1592="","",[2]Entry!$M$1592)</f>
        <v/>
      </c>
      <c r="O1589" t="str">
        <f>IF([2]Entry!$N$1592="","",[2]Entry!$N$1592)</f>
        <v/>
      </c>
      <c r="P1589" t="str">
        <f>IF([2]Entry!$S$1592="","",[2]Entry!$S$1592)</f>
        <v/>
      </c>
    </row>
    <row r="1590" spans="12:16" x14ac:dyDescent="0.2">
      <c r="L1590" t="str">
        <f>IF([2]Entry!$C$1593="","",[2]Entry!$C$1593)</f>
        <v/>
      </c>
      <c r="M1590" t="str">
        <f>IF([2]Entry!$J$1593="","",[2]Entry!$J$1593)</f>
        <v/>
      </c>
      <c r="N1590" t="str">
        <f>IF([2]Entry!$M$1593="","",[2]Entry!$M$1593)</f>
        <v/>
      </c>
      <c r="O1590" t="str">
        <f>IF([2]Entry!$N$1593="","",[2]Entry!$N$1593)</f>
        <v/>
      </c>
      <c r="P1590" t="str">
        <f>IF([2]Entry!$S$1593="","",[2]Entry!$S$1593)</f>
        <v/>
      </c>
    </row>
    <row r="1591" spans="12:16" x14ac:dyDescent="0.2">
      <c r="L1591" t="str">
        <f>IF([2]Entry!$C$1594="","",[2]Entry!$C$1594)</f>
        <v/>
      </c>
      <c r="M1591" t="str">
        <f>IF([2]Entry!$J$1594="","",[2]Entry!$J$1594)</f>
        <v/>
      </c>
      <c r="N1591" t="str">
        <f>IF([2]Entry!$M$1594="","",[2]Entry!$M$1594)</f>
        <v/>
      </c>
      <c r="O1591" t="str">
        <f>IF([2]Entry!$N$1594="","",[2]Entry!$N$1594)</f>
        <v/>
      </c>
      <c r="P1591" t="str">
        <f>IF([2]Entry!$S$1594="","",[2]Entry!$S$1594)</f>
        <v/>
      </c>
    </row>
    <row r="1592" spans="12:16" x14ac:dyDescent="0.2">
      <c r="L1592" t="str">
        <f>IF([2]Entry!$C$1595="","",[2]Entry!$C$1595)</f>
        <v/>
      </c>
      <c r="M1592" t="str">
        <f>IF([2]Entry!$J$1595="","",[2]Entry!$J$1595)</f>
        <v/>
      </c>
      <c r="N1592" t="str">
        <f>IF([2]Entry!$M$1595="","",[2]Entry!$M$1595)</f>
        <v/>
      </c>
      <c r="O1592" t="str">
        <f>IF([2]Entry!$N$1595="","",[2]Entry!$N$1595)</f>
        <v/>
      </c>
      <c r="P1592" t="str">
        <f>IF([2]Entry!$S$1595="","",[2]Entry!$S$1595)</f>
        <v/>
      </c>
    </row>
    <row r="1593" spans="12:16" x14ac:dyDescent="0.2">
      <c r="L1593" t="str">
        <f>IF([2]Entry!$C$1596="","",[2]Entry!$C$1596)</f>
        <v/>
      </c>
      <c r="M1593" t="str">
        <f>IF([2]Entry!$J$1596="","",[2]Entry!$J$1596)</f>
        <v/>
      </c>
      <c r="N1593" t="str">
        <f>IF([2]Entry!$M$1596="","",[2]Entry!$M$1596)</f>
        <v/>
      </c>
      <c r="O1593" t="str">
        <f>IF([2]Entry!$N$1596="","",[2]Entry!$N$1596)</f>
        <v/>
      </c>
      <c r="P1593" t="str">
        <f>IF([2]Entry!$S$1596="","",[2]Entry!$S$1596)</f>
        <v/>
      </c>
    </row>
    <row r="1594" spans="12:16" x14ac:dyDescent="0.2">
      <c r="L1594" t="str">
        <f>IF([2]Entry!$C$1597="","",[2]Entry!$C$1597)</f>
        <v/>
      </c>
      <c r="M1594" t="str">
        <f>IF([2]Entry!$J$1597="","",[2]Entry!$J$1597)</f>
        <v/>
      </c>
      <c r="N1594" t="str">
        <f>IF([2]Entry!$M$1597="","",[2]Entry!$M$1597)</f>
        <v/>
      </c>
      <c r="O1594" t="str">
        <f>IF([2]Entry!$N$1597="","",[2]Entry!$N$1597)</f>
        <v/>
      </c>
      <c r="P1594" t="str">
        <f>IF([2]Entry!$S$1597="","",[2]Entry!$S$1597)</f>
        <v/>
      </c>
    </row>
    <row r="1595" spans="12:16" x14ac:dyDescent="0.2">
      <c r="L1595" t="str">
        <f>IF([2]Entry!$C$1598="","",[2]Entry!$C$1598)</f>
        <v/>
      </c>
      <c r="M1595" t="str">
        <f>IF([2]Entry!$J$1598="","",[2]Entry!$J$1598)</f>
        <v/>
      </c>
      <c r="N1595" t="str">
        <f>IF([2]Entry!$M$1598="","",[2]Entry!$M$1598)</f>
        <v/>
      </c>
      <c r="O1595" t="str">
        <f>IF([2]Entry!$N$1598="","",[2]Entry!$N$1598)</f>
        <v/>
      </c>
      <c r="P1595" t="str">
        <f>IF([2]Entry!$S$1598="","",[2]Entry!$S$1598)</f>
        <v/>
      </c>
    </row>
    <row r="1596" spans="12:16" x14ac:dyDescent="0.2">
      <c r="L1596" t="str">
        <f>IF([2]Entry!$C$1599="","",[2]Entry!$C$1599)</f>
        <v/>
      </c>
      <c r="M1596" t="str">
        <f>IF([2]Entry!$J$1599="","",[2]Entry!$J$1599)</f>
        <v/>
      </c>
      <c r="N1596" t="str">
        <f>IF([2]Entry!$M$1599="","",[2]Entry!$M$1599)</f>
        <v/>
      </c>
      <c r="O1596" t="str">
        <f>IF([2]Entry!$N$1599="","",[2]Entry!$N$1599)</f>
        <v/>
      </c>
      <c r="P1596" t="str">
        <f>IF([2]Entry!$S$1599="","",[2]Entry!$S$1599)</f>
        <v/>
      </c>
    </row>
    <row r="1597" spans="12:16" x14ac:dyDescent="0.2">
      <c r="L1597" t="str">
        <f>IF([2]Entry!$C$1600="","",[2]Entry!$C$1600)</f>
        <v/>
      </c>
      <c r="M1597" t="str">
        <f>IF([2]Entry!$J$1600="","",[2]Entry!$J$1600)</f>
        <v/>
      </c>
      <c r="N1597" t="str">
        <f>IF([2]Entry!$M$1600="","",[2]Entry!$M$1600)</f>
        <v/>
      </c>
      <c r="O1597" t="str">
        <f>IF([2]Entry!$N$1600="","",[2]Entry!$N$1600)</f>
        <v/>
      </c>
      <c r="P1597" t="str">
        <f>IF([2]Entry!$S$1600="","",[2]Entry!$S$1600)</f>
        <v/>
      </c>
    </row>
    <row r="1598" spans="12:16" x14ac:dyDescent="0.2">
      <c r="L1598" t="str">
        <f>IF([2]Entry!$C$1601="","",[2]Entry!$C$1601)</f>
        <v/>
      </c>
      <c r="M1598" t="str">
        <f>IF([2]Entry!$J$1601="","",[2]Entry!$J$1601)</f>
        <v/>
      </c>
      <c r="N1598" t="str">
        <f>IF([2]Entry!$M$1601="","",[2]Entry!$M$1601)</f>
        <v/>
      </c>
      <c r="O1598" t="str">
        <f>IF([2]Entry!$N$1601="","",[2]Entry!$N$1601)</f>
        <v/>
      </c>
      <c r="P1598" t="str">
        <f>IF([2]Entry!$S$1601="","",[2]Entry!$S$1601)</f>
        <v/>
      </c>
    </row>
    <row r="1599" spans="12:16" x14ac:dyDescent="0.2">
      <c r="L1599" t="str">
        <f>IF([2]Entry!$C$1602="","",[2]Entry!$C$1602)</f>
        <v/>
      </c>
      <c r="M1599" t="str">
        <f>IF([2]Entry!$J$1602="","",[2]Entry!$J$1602)</f>
        <v/>
      </c>
      <c r="N1599" t="str">
        <f>IF([2]Entry!$M$1602="","",[2]Entry!$M$1602)</f>
        <v/>
      </c>
      <c r="O1599" t="str">
        <f>IF([2]Entry!$N$1602="","",[2]Entry!$N$1602)</f>
        <v/>
      </c>
      <c r="P1599" t="str">
        <f>IF([2]Entry!$S$1602="","",[2]Entry!$S$1602)</f>
        <v/>
      </c>
    </row>
    <row r="1600" spans="12:16" x14ac:dyDescent="0.2">
      <c r="L1600" t="str">
        <f>IF([2]Entry!$C$1603="","",[2]Entry!$C$1603)</f>
        <v/>
      </c>
      <c r="M1600" t="str">
        <f>IF([2]Entry!$J$1603="","",[2]Entry!$J$1603)</f>
        <v/>
      </c>
      <c r="N1600" t="str">
        <f>IF([2]Entry!$M$1603="","",[2]Entry!$M$1603)</f>
        <v/>
      </c>
      <c r="O1600" t="str">
        <f>IF([2]Entry!$N$1603="","",[2]Entry!$N$1603)</f>
        <v/>
      </c>
      <c r="P1600" t="str">
        <f>IF([2]Entry!$S$1603="","",[2]Entry!$S$1603)</f>
        <v/>
      </c>
    </row>
    <row r="1601" spans="12:16" x14ac:dyDescent="0.2">
      <c r="L1601" t="str">
        <f>IF([2]Entry!$C$1604="","",[2]Entry!$C$1604)</f>
        <v/>
      </c>
      <c r="M1601" t="str">
        <f>IF([2]Entry!$J$1604="","",[2]Entry!$J$1604)</f>
        <v/>
      </c>
      <c r="N1601" t="str">
        <f>IF([2]Entry!$M$1604="","",[2]Entry!$M$1604)</f>
        <v/>
      </c>
      <c r="O1601" t="str">
        <f>IF([2]Entry!$N$1604="","",[2]Entry!$N$1604)</f>
        <v/>
      </c>
      <c r="P1601" t="str">
        <f>IF([2]Entry!$S$1604="","",[2]Entry!$S$1604)</f>
        <v/>
      </c>
    </row>
    <row r="1602" spans="12:16" x14ac:dyDescent="0.2">
      <c r="L1602" t="str">
        <f>IF([2]Entry!$C$1605="","",[2]Entry!$C$1605)</f>
        <v/>
      </c>
      <c r="M1602" t="str">
        <f>IF([2]Entry!$J$1605="","",[2]Entry!$J$1605)</f>
        <v/>
      </c>
      <c r="N1602" t="str">
        <f>IF([2]Entry!$M$1605="","",[2]Entry!$M$1605)</f>
        <v/>
      </c>
      <c r="O1602" t="str">
        <f>IF([2]Entry!$N$1605="","",[2]Entry!$N$1605)</f>
        <v/>
      </c>
      <c r="P1602" t="str">
        <f>IF([2]Entry!$S$1605="","",[2]Entry!$S$1605)</f>
        <v/>
      </c>
    </row>
    <row r="1603" spans="12:16" x14ac:dyDescent="0.2">
      <c r="L1603" t="str">
        <f>IF([2]Entry!$C$1606="","",[2]Entry!$C$1606)</f>
        <v/>
      </c>
      <c r="M1603" t="str">
        <f>IF([2]Entry!$J$1606="","",[2]Entry!$J$1606)</f>
        <v/>
      </c>
      <c r="N1603" t="str">
        <f>IF([2]Entry!$M$1606="","",[2]Entry!$M$1606)</f>
        <v/>
      </c>
      <c r="O1603" t="str">
        <f>IF([2]Entry!$N$1606="","",[2]Entry!$N$1606)</f>
        <v/>
      </c>
      <c r="P1603" t="str">
        <f>IF([2]Entry!$S$1606="","",[2]Entry!$S$1606)</f>
        <v/>
      </c>
    </row>
    <row r="1604" spans="12:16" x14ac:dyDescent="0.2">
      <c r="L1604" t="str">
        <f>IF([2]Entry!$C$1607="","",[2]Entry!$C$1607)</f>
        <v/>
      </c>
      <c r="M1604" t="str">
        <f>IF([2]Entry!$J$1607="","",[2]Entry!$J$1607)</f>
        <v/>
      </c>
      <c r="N1604" t="str">
        <f>IF([2]Entry!$M$1607="","",[2]Entry!$M$1607)</f>
        <v/>
      </c>
      <c r="O1604" t="str">
        <f>IF([2]Entry!$N$1607="","",[2]Entry!$N$1607)</f>
        <v/>
      </c>
      <c r="P1604" t="str">
        <f>IF([2]Entry!$S$1607="","",[2]Entry!$S$1607)</f>
        <v/>
      </c>
    </row>
    <row r="1605" spans="12:16" x14ac:dyDescent="0.2">
      <c r="L1605" t="str">
        <f>IF([2]Entry!$C$1608="","",[2]Entry!$C$1608)</f>
        <v/>
      </c>
      <c r="M1605" t="str">
        <f>IF([2]Entry!$J$1608="","",[2]Entry!$J$1608)</f>
        <v/>
      </c>
      <c r="N1605" t="str">
        <f>IF([2]Entry!$M$1608="","",[2]Entry!$M$1608)</f>
        <v/>
      </c>
      <c r="O1605" t="str">
        <f>IF([2]Entry!$N$1608="","",[2]Entry!$N$1608)</f>
        <v/>
      </c>
      <c r="P1605" t="str">
        <f>IF([2]Entry!$S$1608="","",[2]Entry!$S$1608)</f>
        <v/>
      </c>
    </row>
    <row r="1606" spans="12:16" x14ac:dyDescent="0.2">
      <c r="L1606" t="str">
        <f>IF([2]Entry!$C$1609="","",[2]Entry!$C$1609)</f>
        <v/>
      </c>
      <c r="M1606" t="str">
        <f>IF([2]Entry!$J$1609="","",[2]Entry!$J$1609)</f>
        <v/>
      </c>
      <c r="N1606" t="str">
        <f>IF([2]Entry!$M$1609="","",[2]Entry!$M$1609)</f>
        <v/>
      </c>
      <c r="O1606" t="str">
        <f>IF([2]Entry!$N$1609="","",[2]Entry!$N$1609)</f>
        <v/>
      </c>
      <c r="P1606" t="str">
        <f>IF([2]Entry!$S$1609="","",[2]Entry!$S$1609)</f>
        <v/>
      </c>
    </row>
    <row r="1607" spans="12:16" x14ac:dyDescent="0.2">
      <c r="L1607" t="str">
        <f>IF([2]Entry!$C$1610="","",[2]Entry!$C$1610)</f>
        <v/>
      </c>
      <c r="M1607" t="str">
        <f>IF([2]Entry!$J$1610="","",[2]Entry!$J$1610)</f>
        <v/>
      </c>
      <c r="N1607" t="str">
        <f>IF([2]Entry!$M$1610="","",[2]Entry!$M$1610)</f>
        <v/>
      </c>
      <c r="O1607" t="str">
        <f>IF([2]Entry!$N$1610="","",[2]Entry!$N$1610)</f>
        <v/>
      </c>
      <c r="P1607" t="str">
        <f>IF([2]Entry!$S$1610="","",[2]Entry!$S$1610)</f>
        <v/>
      </c>
    </row>
    <row r="1608" spans="12:16" x14ac:dyDescent="0.2">
      <c r="L1608" t="str">
        <f>IF([2]Entry!$C$1611="","",[2]Entry!$C$1611)</f>
        <v/>
      </c>
      <c r="M1608" t="str">
        <f>IF([2]Entry!$J$1611="","",[2]Entry!$J$1611)</f>
        <v/>
      </c>
      <c r="N1608" t="str">
        <f>IF([2]Entry!$M$1611="","",[2]Entry!$M$1611)</f>
        <v/>
      </c>
      <c r="O1608" t="str">
        <f>IF([2]Entry!$N$1611="","",[2]Entry!$N$1611)</f>
        <v/>
      </c>
      <c r="P1608" t="str">
        <f>IF([2]Entry!$S$1611="","",[2]Entry!$S$1611)</f>
        <v/>
      </c>
    </row>
    <row r="1609" spans="12:16" x14ac:dyDescent="0.2">
      <c r="L1609" t="str">
        <f>IF([2]Entry!$C$1612="","",[2]Entry!$C$1612)</f>
        <v/>
      </c>
      <c r="M1609" t="str">
        <f>IF([2]Entry!$J$1612="","",[2]Entry!$J$1612)</f>
        <v/>
      </c>
      <c r="N1609" t="str">
        <f>IF([2]Entry!$M$1612="","",[2]Entry!$M$1612)</f>
        <v/>
      </c>
      <c r="O1609" t="str">
        <f>IF([2]Entry!$N$1612="","",[2]Entry!$N$1612)</f>
        <v/>
      </c>
      <c r="P1609" t="str">
        <f>IF([2]Entry!$S$1612="","",[2]Entry!$S$1612)</f>
        <v/>
      </c>
    </row>
    <row r="1610" spans="12:16" x14ac:dyDescent="0.2">
      <c r="L1610" t="str">
        <f>IF([2]Entry!$C$1613="","",[2]Entry!$C$1613)</f>
        <v/>
      </c>
      <c r="M1610" t="str">
        <f>IF([2]Entry!$J$1613="","",[2]Entry!$J$1613)</f>
        <v/>
      </c>
      <c r="N1610" t="str">
        <f>IF([2]Entry!$M$1613="","",[2]Entry!$M$1613)</f>
        <v/>
      </c>
      <c r="O1610" t="str">
        <f>IF([2]Entry!$N$1613="","",[2]Entry!$N$1613)</f>
        <v/>
      </c>
      <c r="P1610" t="str">
        <f>IF([2]Entry!$S$1613="","",[2]Entry!$S$1613)</f>
        <v/>
      </c>
    </row>
    <row r="1611" spans="12:16" x14ac:dyDescent="0.2">
      <c r="L1611" t="str">
        <f>IF([2]Entry!$C$1614="","",[2]Entry!$C$1614)</f>
        <v/>
      </c>
      <c r="M1611" t="str">
        <f>IF([2]Entry!$J$1614="","",[2]Entry!$J$1614)</f>
        <v/>
      </c>
      <c r="N1611" t="str">
        <f>IF([2]Entry!$M$1614="","",[2]Entry!$M$1614)</f>
        <v/>
      </c>
      <c r="O1611" t="str">
        <f>IF([2]Entry!$N$1614="","",[2]Entry!$N$1614)</f>
        <v/>
      </c>
      <c r="P1611" t="str">
        <f>IF([2]Entry!$S$1614="","",[2]Entry!$S$1614)</f>
        <v/>
      </c>
    </row>
    <row r="1612" spans="12:16" x14ac:dyDescent="0.2">
      <c r="L1612" t="str">
        <f>IF([2]Entry!$C$1615="","",[2]Entry!$C$1615)</f>
        <v/>
      </c>
      <c r="M1612" t="str">
        <f>IF([2]Entry!$J$1615="","",[2]Entry!$J$1615)</f>
        <v/>
      </c>
      <c r="N1612" t="str">
        <f>IF([2]Entry!$M$1615="","",[2]Entry!$M$1615)</f>
        <v/>
      </c>
      <c r="O1612" t="str">
        <f>IF([2]Entry!$N$1615="","",[2]Entry!$N$1615)</f>
        <v/>
      </c>
      <c r="P1612" t="str">
        <f>IF([2]Entry!$S$1615="","",[2]Entry!$S$1615)</f>
        <v/>
      </c>
    </row>
    <row r="1613" spans="12:16" x14ac:dyDescent="0.2">
      <c r="L1613" t="str">
        <f>IF([2]Entry!$C$1616="","",[2]Entry!$C$1616)</f>
        <v/>
      </c>
      <c r="M1613" t="str">
        <f>IF([2]Entry!$J$1616="","",[2]Entry!$J$1616)</f>
        <v/>
      </c>
      <c r="N1613" t="str">
        <f>IF([2]Entry!$M$1616="","",[2]Entry!$M$1616)</f>
        <v/>
      </c>
      <c r="O1613" t="str">
        <f>IF([2]Entry!$N$1616="","",[2]Entry!$N$1616)</f>
        <v/>
      </c>
      <c r="P1613" t="str">
        <f>IF([2]Entry!$S$1616="","",[2]Entry!$S$1616)</f>
        <v/>
      </c>
    </row>
    <row r="1614" spans="12:16" x14ac:dyDescent="0.2">
      <c r="L1614" t="str">
        <f>IF([2]Entry!$C$1617="","",[2]Entry!$C$1617)</f>
        <v/>
      </c>
      <c r="M1614" t="str">
        <f>IF([2]Entry!$J$1617="","",[2]Entry!$J$1617)</f>
        <v/>
      </c>
      <c r="N1614" t="str">
        <f>IF([2]Entry!$M$1617="","",[2]Entry!$M$1617)</f>
        <v/>
      </c>
      <c r="O1614" t="str">
        <f>IF([2]Entry!$N$1617="","",[2]Entry!$N$1617)</f>
        <v/>
      </c>
      <c r="P1614" t="str">
        <f>IF([2]Entry!$S$1617="","",[2]Entry!$S$1617)</f>
        <v/>
      </c>
    </row>
    <row r="1615" spans="12:16" x14ac:dyDescent="0.2">
      <c r="L1615" t="str">
        <f>IF([2]Entry!$C$1618="","",[2]Entry!$C$1618)</f>
        <v/>
      </c>
      <c r="M1615" t="str">
        <f>IF([2]Entry!$J$1618="","",[2]Entry!$J$1618)</f>
        <v/>
      </c>
      <c r="N1615" t="str">
        <f>IF([2]Entry!$M$1618="","",[2]Entry!$M$1618)</f>
        <v/>
      </c>
      <c r="O1615" t="str">
        <f>IF([2]Entry!$N$1618="","",[2]Entry!$N$1618)</f>
        <v/>
      </c>
      <c r="P1615" t="str">
        <f>IF([2]Entry!$S$1618="","",[2]Entry!$S$1618)</f>
        <v/>
      </c>
    </row>
    <row r="1616" spans="12:16" x14ac:dyDescent="0.2">
      <c r="L1616" t="str">
        <f>IF([2]Entry!$C$1619="","",[2]Entry!$C$1619)</f>
        <v/>
      </c>
      <c r="M1616" t="str">
        <f>IF([2]Entry!$J$1619="","",[2]Entry!$J$1619)</f>
        <v/>
      </c>
      <c r="N1616" t="str">
        <f>IF([2]Entry!$M$1619="","",[2]Entry!$M$1619)</f>
        <v/>
      </c>
      <c r="O1616" t="str">
        <f>IF([2]Entry!$N$1619="","",[2]Entry!$N$1619)</f>
        <v/>
      </c>
      <c r="P1616" t="str">
        <f>IF([2]Entry!$S$1619="","",[2]Entry!$S$1619)</f>
        <v/>
      </c>
    </row>
    <row r="1617" spans="12:16" x14ac:dyDescent="0.2">
      <c r="L1617" t="str">
        <f>IF([2]Entry!$C$1620="","",[2]Entry!$C$1620)</f>
        <v/>
      </c>
      <c r="M1617" t="str">
        <f>IF([2]Entry!$J$1620="","",[2]Entry!$J$1620)</f>
        <v/>
      </c>
      <c r="N1617" t="str">
        <f>IF([2]Entry!$M$1620="","",[2]Entry!$M$1620)</f>
        <v/>
      </c>
      <c r="O1617" t="str">
        <f>IF([2]Entry!$N$1620="","",[2]Entry!$N$1620)</f>
        <v/>
      </c>
      <c r="P1617" t="str">
        <f>IF([2]Entry!$S$1620="","",[2]Entry!$S$1620)</f>
        <v/>
      </c>
    </row>
    <row r="1618" spans="12:16" x14ac:dyDescent="0.2">
      <c r="L1618" t="str">
        <f>IF([2]Entry!$C$1621="","",[2]Entry!$C$1621)</f>
        <v/>
      </c>
      <c r="M1618" t="str">
        <f>IF([2]Entry!$J$1621="","",[2]Entry!$J$1621)</f>
        <v/>
      </c>
      <c r="N1618" t="str">
        <f>IF([2]Entry!$M$1621="","",[2]Entry!$M$1621)</f>
        <v/>
      </c>
      <c r="O1618" t="str">
        <f>IF([2]Entry!$N$1621="","",[2]Entry!$N$1621)</f>
        <v/>
      </c>
      <c r="P1618" t="str">
        <f>IF([2]Entry!$S$1621="","",[2]Entry!$S$1621)</f>
        <v/>
      </c>
    </row>
    <row r="1619" spans="12:16" x14ac:dyDescent="0.2">
      <c r="L1619" t="str">
        <f>IF([2]Entry!$C$1622="","",[2]Entry!$C$1622)</f>
        <v/>
      </c>
      <c r="M1619" t="str">
        <f>IF([2]Entry!$J$1622="","",[2]Entry!$J$1622)</f>
        <v/>
      </c>
      <c r="N1619" t="str">
        <f>IF([2]Entry!$M$1622="","",[2]Entry!$M$1622)</f>
        <v/>
      </c>
      <c r="O1619" t="str">
        <f>IF([2]Entry!$N$1622="","",[2]Entry!$N$1622)</f>
        <v/>
      </c>
      <c r="P1619" t="str">
        <f>IF([2]Entry!$S$1622="","",[2]Entry!$S$1622)</f>
        <v/>
      </c>
    </row>
    <row r="1620" spans="12:16" x14ac:dyDescent="0.2">
      <c r="L1620" t="str">
        <f>IF([2]Entry!$C$1623="","",[2]Entry!$C$1623)</f>
        <v/>
      </c>
      <c r="M1620" t="str">
        <f>IF([2]Entry!$J$1623="","",[2]Entry!$J$1623)</f>
        <v/>
      </c>
      <c r="N1620" t="str">
        <f>IF([2]Entry!$M$1623="","",[2]Entry!$M$1623)</f>
        <v/>
      </c>
      <c r="O1620" t="str">
        <f>IF([2]Entry!$N$1623="","",[2]Entry!$N$1623)</f>
        <v/>
      </c>
      <c r="P1620" t="str">
        <f>IF([2]Entry!$S$1623="","",[2]Entry!$S$1623)</f>
        <v/>
      </c>
    </row>
    <row r="1621" spans="12:16" x14ac:dyDescent="0.2">
      <c r="L1621" t="str">
        <f>IF([2]Entry!$C$1624="","",[2]Entry!$C$1624)</f>
        <v/>
      </c>
      <c r="M1621" t="str">
        <f>IF([2]Entry!$J$1624="","",[2]Entry!$J$1624)</f>
        <v/>
      </c>
      <c r="N1621" t="str">
        <f>IF([2]Entry!$M$1624="","",[2]Entry!$M$1624)</f>
        <v/>
      </c>
      <c r="O1621" t="str">
        <f>IF([2]Entry!$N$1624="","",[2]Entry!$N$1624)</f>
        <v/>
      </c>
      <c r="P1621" t="str">
        <f>IF([2]Entry!$S$1624="","",[2]Entry!$S$1624)</f>
        <v/>
      </c>
    </row>
    <row r="1622" spans="12:16" x14ac:dyDescent="0.2">
      <c r="L1622" t="str">
        <f>IF([2]Entry!$C$1625="","",[2]Entry!$C$1625)</f>
        <v/>
      </c>
      <c r="M1622" t="str">
        <f>IF([2]Entry!$J$1625="","",[2]Entry!$J$1625)</f>
        <v/>
      </c>
      <c r="N1622" t="str">
        <f>IF([2]Entry!$M$1625="","",[2]Entry!$M$1625)</f>
        <v/>
      </c>
      <c r="O1622" t="str">
        <f>IF([2]Entry!$N$1625="","",[2]Entry!$N$1625)</f>
        <v/>
      </c>
      <c r="P1622" t="str">
        <f>IF([2]Entry!$S$1625="","",[2]Entry!$S$1625)</f>
        <v/>
      </c>
    </row>
    <row r="1623" spans="12:16" x14ac:dyDescent="0.2">
      <c r="L1623" t="str">
        <f>IF([2]Entry!$C$1626="","",[2]Entry!$C$1626)</f>
        <v/>
      </c>
      <c r="M1623" t="str">
        <f>IF([2]Entry!$J$1626="","",[2]Entry!$J$1626)</f>
        <v/>
      </c>
      <c r="N1623" t="str">
        <f>IF([2]Entry!$M$1626="","",[2]Entry!$M$1626)</f>
        <v/>
      </c>
      <c r="O1623" t="str">
        <f>IF([2]Entry!$N$1626="","",[2]Entry!$N$1626)</f>
        <v/>
      </c>
      <c r="P1623" t="str">
        <f>IF([2]Entry!$S$1626="","",[2]Entry!$S$1626)</f>
        <v/>
      </c>
    </row>
    <row r="1624" spans="12:16" x14ac:dyDescent="0.2">
      <c r="L1624" t="str">
        <f>IF([2]Entry!$C$1627="","",[2]Entry!$C$1627)</f>
        <v/>
      </c>
      <c r="M1624" t="str">
        <f>IF([2]Entry!$J$1627="","",[2]Entry!$J$1627)</f>
        <v/>
      </c>
      <c r="N1624" t="str">
        <f>IF([2]Entry!$M$1627="","",[2]Entry!$M$1627)</f>
        <v/>
      </c>
      <c r="O1624" t="str">
        <f>IF([2]Entry!$N$1627="","",[2]Entry!$N$1627)</f>
        <v/>
      </c>
      <c r="P1624" t="str">
        <f>IF([2]Entry!$S$1627="","",[2]Entry!$S$1627)</f>
        <v/>
      </c>
    </row>
    <row r="1625" spans="12:16" x14ac:dyDescent="0.2">
      <c r="L1625" t="str">
        <f>IF([2]Entry!$C$1628="","",[2]Entry!$C$1628)</f>
        <v/>
      </c>
      <c r="M1625" t="str">
        <f>IF([2]Entry!$J$1628="","",[2]Entry!$J$1628)</f>
        <v/>
      </c>
      <c r="N1625" t="str">
        <f>IF([2]Entry!$M$1628="","",[2]Entry!$M$1628)</f>
        <v/>
      </c>
      <c r="O1625" t="str">
        <f>IF([2]Entry!$N$1628="","",[2]Entry!$N$1628)</f>
        <v/>
      </c>
      <c r="P1625" t="str">
        <f>IF([2]Entry!$S$1628="","",[2]Entry!$S$1628)</f>
        <v/>
      </c>
    </row>
    <row r="1626" spans="12:16" x14ac:dyDescent="0.2">
      <c r="L1626" t="str">
        <f>IF([2]Entry!$C$1629="","",[2]Entry!$C$1629)</f>
        <v/>
      </c>
      <c r="M1626" t="str">
        <f>IF([2]Entry!$J$1629="","",[2]Entry!$J$1629)</f>
        <v/>
      </c>
      <c r="N1626" t="str">
        <f>IF([2]Entry!$M$1629="","",[2]Entry!$M$1629)</f>
        <v/>
      </c>
      <c r="O1626" t="str">
        <f>IF([2]Entry!$N$1629="","",[2]Entry!$N$1629)</f>
        <v/>
      </c>
      <c r="P1626" t="str">
        <f>IF([2]Entry!$S$1629="","",[2]Entry!$S$1629)</f>
        <v/>
      </c>
    </row>
    <row r="1627" spans="12:16" x14ac:dyDescent="0.2">
      <c r="L1627" t="str">
        <f>IF([2]Entry!$C$1630="","",[2]Entry!$C$1630)</f>
        <v/>
      </c>
      <c r="M1627" t="str">
        <f>IF([2]Entry!$J$1630="","",[2]Entry!$J$1630)</f>
        <v/>
      </c>
      <c r="N1627" t="str">
        <f>IF([2]Entry!$M$1630="","",[2]Entry!$M$1630)</f>
        <v/>
      </c>
      <c r="O1627" t="str">
        <f>IF([2]Entry!$N$1630="","",[2]Entry!$N$1630)</f>
        <v/>
      </c>
      <c r="P1627" t="str">
        <f>IF([2]Entry!$S$1630="","",[2]Entry!$S$1630)</f>
        <v/>
      </c>
    </row>
    <row r="1628" spans="12:16" x14ac:dyDescent="0.2">
      <c r="L1628" t="str">
        <f>IF([2]Entry!$C$1631="","",[2]Entry!$C$1631)</f>
        <v/>
      </c>
      <c r="M1628" t="str">
        <f>IF([2]Entry!$J$1631="","",[2]Entry!$J$1631)</f>
        <v/>
      </c>
      <c r="N1628" t="str">
        <f>IF([2]Entry!$M$1631="","",[2]Entry!$M$1631)</f>
        <v/>
      </c>
      <c r="O1628" t="str">
        <f>IF([2]Entry!$N$1631="","",[2]Entry!$N$1631)</f>
        <v/>
      </c>
      <c r="P1628" t="str">
        <f>IF([2]Entry!$S$1631="","",[2]Entry!$S$1631)</f>
        <v/>
      </c>
    </row>
    <row r="1629" spans="12:16" x14ac:dyDescent="0.2">
      <c r="L1629" t="str">
        <f>IF([2]Entry!$C$1632="","",[2]Entry!$C$1632)</f>
        <v/>
      </c>
      <c r="M1629" t="str">
        <f>IF([2]Entry!$J$1632="","",[2]Entry!$J$1632)</f>
        <v/>
      </c>
      <c r="N1629" t="str">
        <f>IF([2]Entry!$M$1632="","",[2]Entry!$M$1632)</f>
        <v/>
      </c>
      <c r="O1629" t="str">
        <f>IF([2]Entry!$N$1632="","",[2]Entry!$N$1632)</f>
        <v/>
      </c>
      <c r="P1629" t="str">
        <f>IF([2]Entry!$S$1632="","",[2]Entry!$S$1632)</f>
        <v/>
      </c>
    </row>
    <row r="1630" spans="12:16" x14ac:dyDescent="0.2">
      <c r="L1630" t="str">
        <f>IF([2]Entry!$C$1633="","",[2]Entry!$C$1633)</f>
        <v/>
      </c>
      <c r="M1630" t="str">
        <f>IF([2]Entry!$J$1633="","",[2]Entry!$J$1633)</f>
        <v/>
      </c>
      <c r="N1630" t="str">
        <f>IF([2]Entry!$M$1633="","",[2]Entry!$M$1633)</f>
        <v/>
      </c>
      <c r="O1630" t="str">
        <f>IF([2]Entry!$N$1633="","",[2]Entry!$N$1633)</f>
        <v/>
      </c>
      <c r="P1630" t="str">
        <f>IF([2]Entry!$S$1633="","",[2]Entry!$S$1633)</f>
        <v/>
      </c>
    </row>
    <row r="1631" spans="12:16" x14ac:dyDescent="0.2">
      <c r="L1631" t="str">
        <f>IF([2]Entry!$C$1634="","",[2]Entry!$C$1634)</f>
        <v/>
      </c>
      <c r="M1631" t="str">
        <f>IF([2]Entry!$J$1634="","",[2]Entry!$J$1634)</f>
        <v/>
      </c>
      <c r="N1631" t="str">
        <f>IF([2]Entry!$M$1634="","",[2]Entry!$M$1634)</f>
        <v/>
      </c>
      <c r="O1631" t="str">
        <f>IF([2]Entry!$N$1634="","",[2]Entry!$N$1634)</f>
        <v/>
      </c>
      <c r="P1631" t="str">
        <f>IF([2]Entry!$S$1634="","",[2]Entry!$S$1634)</f>
        <v/>
      </c>
    </row>
    <row r="1632" spans="12:16" x14ac:dyDescent="0.2">
      <c r="L1632" t="str">
        <f>IF([2]Entry!$C$1635="","",[2]Entry!$C$1635)</f>
        <v/>
      </c>
      <c r="M1632" t="str">
        <f>IF([2]Entry!$J$1635="","",[2]Entry!$J$1635)</f>
        <v/>
      </c>
      <c r="N1632" t="str">
        <f>IF([2]Entry!$M$1635="","",[2]Entry!$M$1635)</f>
        <v/>
      </c>
      <c r="O1632" t="str">
        <f>IF([2]Entry!$N$1635="","",[2]Entry!$N$1635)</f>
        <v/>
      </c>
      <c r="P1632" t="str">
        <f>IF([2]Entry!$S$1635="","",[2]Entry!$S$1635)</f>
        <v/>
      </c>
    </row>
    <row r="1633" spans="12:16" x14ac:dyDescent="0.2">
      <c r="L1633" t="str">
        <f>IF([2]Entry!$C$1636="","",[2]Entry!$C$1636)</f>
        <v/>
      </c>
      <c r="M1633" t="str">
        <f>IF([2]Entry!$J$1636="","",[2]Entry!$J$1636)</f>
        <v/>
      </c>
      <c r="N1633" t="str">
        <f>IF([2]Entry!$M$1636="","",[2]Entry!$M$1636)</f>
        <v/>
      </c>
      <c r="O1633" t="str">
        <f>IF([2]Entry!$N$1636="","",[2]Entry!$N$1636)</f>
        <v/>
      </c>
      <c r="P1633" t="str">
        <f>IF([2]Entry!$S$1636="","",[2]Entry!$S$1636)</f>
        <v/>
      </c>
    </row>
    <row r="1634" spans="12:16" x14ac:dyDescent="0.2">
      <c r="L1634" t="str">
        <f>IF([2]Entry!$C$1637="","",[2]Entry!$C$1637)</f>
        <v/>
      </c>
      <c r="M1634" t="str">
        <f>IF([2]Entry!$J$1637="","",[2]Entry!$J$1637)</f>
        <v/>
      </c>
      <c r="N1634" t="str">
        <f>IF([2]Entry!$M$1637="","",[2]Entry!$M$1637)</f>
        <v/>
      </c>
      <c r="O1634" t="str">
        <f>IF([2]Entry!$N$1637="","",[2]Entry!$N$1637)</f>
        <v/>
      </c>
      <c r="P1634" t="str">
        <f>IF([2]Entry!$S$1637="","",[2]Entry!$S$1637)</f>
        <v/>
      </c>
    </row>
    <row r="1635" spans="12:16" x14ac:dyDescent="0.2">
      <c r="L1635" t="str">
        <f>IF([2]Entry!$C$1638="","",[2]Entry!$C$1638)</f>
        <v/>
      </c>
      <c r="M1635" t="str">
        <f>IF([2]Entry!$J$1638="","",[2]Entry!$J$1638)</f>
        <v/>
      </c>
      <c r="N1635" t="str">
        <f>IF([2]Entry!$M$1638="","",[2]Entry!$M$1638)</f>
        <v/>
      </c>
      <c r="O1635" t="str">
        <f>IF([2]Entry!$N$1638="","",[2]Entry!$N$1638)</f>
        <v/>
      </c>
      <c r="P1635" t="str">
        <f>IF([2]Entry!$S$1638="","",[2]Entry!$S$1638)</f>
        <v/>
      </c>
    </row>
    <row r="1636" spans="12:16" x14ac:dyDescent="0.2">
      <c r="L1636" t="str">
        <f>IF([2]Entry!$C$1639="","",[2]Entry!$C$1639)</f>
        <v/>
      </c>
      <c r="M1636" t="str">
        <f>IF([2]Entry!$J$1639="","",[2]Entry!$J$1639)</f>
        <v/>
      </c>
      <c r="N1636" t="str">
        <f>IF([2]Entry!$M$1639="","",[2]Entry!$M$1639)</f>
        <v/>
      </c>
      <c r="O1636" t="str">
        <f>IF([2]Entry!$N$1639="","",[2]Entry!$N$1639)</f>
        <v/>
      </c>
      <c r="P1636" t="str">
        <f>IF([2]Entry!$S$1639="","",[2]Entry!$S$1639)</f>
        <v/>
      </c>
    </row>
    <row r="1637" spans="12:16" x14ac:dyDescent="0.2">
      <c r="L1637" t="str">
        <f>IF([2]Entry!$C$1640="","",[2]Entry!$C$1640)</f>
        <v/>
      </c>
      <c r="M1637" t="str">
        <f>IF([2]Entry!$J$1640="","",[2]Entry!$J$1640)</f>
        <v/>
      </c>
      <c r="N1637" t="str">
        <f>IF([2]Entry!$M$1640="","",[2]Entry!$M$1640)</f>
        <v/>
      </c>
      <c r="O1637" t="str">
        <f>IF([2]Entry!$N$1640="","",[2]Entry!$N$1640)</f>
        <v/>
      </c>
      <c r="P1637" t="str">
        <f>IF([2]Entry!$S$1640="","",[2]Entry!$S$1640)</f>
        <v/>
      </c>
    </row>
    <row r="1638" spans="12:16" x14ac:dyDescent="0.2">
      <c r="L1638" t="str">
        <f>IF([2]Entry!$C$1641="","",[2]Entry!$C$1641)</f>
        <v/>
      </c>
      <c r="M1638" t="str">
        <f>IF([2]Entry!$J$1641="","",[2]Entry!$J$1641)</f>
        <v/>
      </c>
      <c r="N1638" t="str">
        <f>IF([2]Entry!$M$1641="","",[2]Entry!$M$1641)</f>
        <v/>
      </c>
      <c r="O1638" t="str">
        <f>IF([2]Entry!$N$1641="","",[2]Entry!$N$1641)</f>
        <v/>
      </c>
      <c r="P1638" t="str">
        <f>IF([2]Entry!$S$1641="","",[2]Entry!$S$1641)</f>
        <v/>
      </c>
    </row>
    <row r="1639" spans="12:16" x14ac:dyDescent="0.2">
      <c r="L1639" t="str">
        <f>IF([2]Entry!$C$1642="","",[2]Entry!$C$1642)</f>
        <v/>
      </c>
      <c r="M1639" t="str">
        <f>IF([2]Entry!$J$1642="","",[2]Entry!$J$1642)</f>
        <v/>
      </c>
      <c r="N1639" t="str">
        <f>IF([2]Entry!$M$1642="","",[2]Entry!$M$1642)</f>
        <v/>
      </c>
      <c r="O1639" t="str">
        <f>IF([2]Entry!$N$1642="","",[2]Entry!$N$1642)</f>
        <v/>
      </c>
      <c r="P1639" t="str">
        <f>IF([2]Entry!$S$1642="","",[2]Entry!$S$1642)</f>
        <v/>
      </c>
    </row>
    <row r="1640" spans="12:16" x14ac:dyDescent="0.2">
      <c r="L1640" t="str">
        <f>IF([2]Entry!$C$1643="","",[2]Entry!$C$1643)</f>
        <v/>
      </c>
      <c r="M1640" t="str">
        <f>IF([2]Entry!$J$1643="","",[2]Entry!$J$1643)</f>
        <v/>
      </c>
      <c r="N1640" t="str">
        <f>IF([2]Entry!$M$1643="","",[2]Entry!$M$1643)</f>
        <v/>
      </c>
      <c r="O1640" t="str">
        <f>IF([2]Entry!$N$1643="","",[2]Entry!$N$1643)</f>
        <v/>
      </c>
      <c r="P1640" t="str">
        <f>IF([2]Entry!$S$1643="","",[2]Entry!$S$1643)</f>
        <v/>
      </c>
    </row>
    <row r="1641" spans="12:16" x14ac:dyDescent="0.2">
      <c r="L1641" t="str">
        <f>IF([2]Entry!$C$1644="","",[2]Entry!$C$1644)</f>
        <v/>
      </c>
      <c r="M1641" t="str">
        <f>IF([2]Entry!$J$1644="","",[2]Entry!$J$1644)</f>
        <v/>
      </c>
      <c r="N1641" t="str">
        <f>IF([2]Entry!$M$1644="","",[2]Entry!$M$1644)</f>
        <v/>
      </c>
      <c r="O1641" t="str">
        <f>IF([2]Entry!$N$1644="","",[2]Entry!$N$1644)</f>
        <v/>
      </c>
      <c r="P1641" t="str">
        <f>IF([2]Entry!$S$1644="","",[2]Entry!$S$1644)</f>
        <v/>
      </c>
    </row>
    <row r="1642" spans="12:16" x14ac:dyDescent="0.2">
      <c r="L1642" t="str">
        <f>IF([2]Entry!$C$1645="","",[2]Entry!$C$1645)</f>
        <v/>
      </c>
      <c r="M1642" t="str">
        <f>IF([2]Entry!$J$1645="","",[2]Entry!$J$1645)</f>
        <v/>
      </c>
      <c r="N1642" t="str">
        <f>IF([2]Entry!$M$1645="","",[2]Entry!$M$1645)</f>
        <v/>
      </c>
      <c r="O1642" t="str">
        <f>IF([2]Entry!$N$1645="","",[2]Entry!$N$1645)</f>
        <v/>
      </c>
      <c r="P1642" t="str">
        <f>IF([2]Entry!$S$1645="","",[2]Entry!$S$1645)</f>
        <v/>
      </c>
    </row>
    <row r="1643" spans="12:16" x14ac:dyDescent="0.2">
      <c r="L1643" t="str">
        <f>IF([2]Entry!$C$1646="","",[2]Entry!$C$1646)</f>
        <v/>
      </c>
      <c r="M1643" t="str">
        <f>IF([2]Entry!$J$1646="","",[2]Entry!$J$1646)</f>
        <v/>
      </c>
      <c r="N1643" t="str">
        <f>IF([2]Entry!$M$1646="","",[2]Entry!$M$1646)</f>
        <v/>
      </c>
      <c r="O1643" t="str">
        <f>IF([2]Entry!$N$1646="","",[2]Entry!$N$1646)</f>
        <v/>
      </c>
      <c r="P1643" t="str">
        <f>IF([2]Entry!$S$1646="","",[2]Entry!$S$1646)</f>
        <v/>
      </c>
    </row>
    <row r="1644" spans="12:16" x14ac:dyDescent="0.2">
      <c r="L1644" t="str">
        <f>IF([2]Entry!$C$1647="","",[2]Entry!$C$1647)</f>
        <v/>
      </c>
      <c r="M1644" t="str">
        <f>IF([2]Entry!$J$1647="","",[2]Entry!$J$1647)</f>
        <v/>
      </c>
      <c r="N1644" t="str">
        <f>IF([2]Entry!$M$1647="","",[2]Entry!$M$1647)</f>
        <v/>
      </c>
      <c r="O1644" t="str">
        <f>IF([2]Entry!$N$1647="","",[2]Entry!$N$1647)</f>
        <v/>
      </c>
      <c r="P1644" t="str">
        <f>IF([2]Entry!$S$1647="","",[2]Entry!$S$1647)</f>
        <v/>
      </c>
    </row>
    <row r="1645" spans="12:16" x14ac:dyDescent="0.2">
      <c r="L1645" t="str">
        <f>IF([2]Entry!$C$1648="","",[2]Entry!$C$1648)</f>
        <v/>
      </c>
      <c r="M1645" t="str">
        <f>IF([2]Entry!$J$1648="","",[2]Entry!$J$1648)</f>
        <v/>
      </c>
      <c r="N1645" t="str">
        <f>IF([2]Entry!$M$1648="","",[2]Entry!$M$1648)</f>
        <v/>
      </c>
      <c r="O1645" t="str">
        <f>IF([2]Entry!$N$1648="","",[2]Entry!$N$1648)</f>
        <v/>
      </c>
      <c r="P1645" t="str">
        <f>IF([2]Entry!$S$1648="","",[2]Entry!$S$1648)</f>
        <v/>
      </c>
    </row>
    <row r="1646" spans="12:16" x14ac:dyDescent="0.2">
      <c r="L1646" t="str">
        <f>IF([2]Entry!$C$1649="","",[2]Entry!$C$1649)</f>
        <v/>
      </c>
      <c r="M1646" t="str">
        <f>IF([2]Entry!$J$1649="","",[2]Entry!$J$1649)</f>
        <v/>
      </c>
      <c r="N1646" t="str">
        <f>IF([2]Entry!$M$1649="","",[2]Entry!$M$1649)</f>
        <v/>
      </c>
      <c r="O1646" t="str">
        <f>IF([2]Entry!$N$1649="","",[2]Entry!$N$1649)</f>
        <v/>
      </c>
      <c r="P1646" t="str">
        <f>IF([2]Entry!$S$1649="","",[2]Entry!$S$1649)</f>
        <v/>
      </c>
    </row>
    <row r="1647" spans="12:16" x14ac:dyDescent="0.2">
      <c r="L1647" t="str">
        <f>IF([2]Entry!$C$1650="","",[2]Entry!$C$1650)</f>
        <v/>
      </c>
      <c r="M1647" t="str">
        <f>IF([2]Entry!$J$1650="","",[2]Entry!$J$1650)</f>
        <v/>
      </c>
      <c r="N1647" t="str">
        <f>IF([2]Entry!$M$1650="","",[2]Entry!$M$1650)</f>
        <v/>
      </c>
      <c r="O1647" t="str">
        <f>IF([2]Entry!$N$1650="","",[2]Entry!$N$1650)</f>
        <v/>
      </c>
      <c r="P1647" t="str">
        <f>IF([2]Entry!$S$1650="","",[2]Entry!$S$1650)</f>
        <v/>
      </c>
    </row>
    <row r="1648" spans="12:16" x14ac:dyDescent="0.2">
      <c r="L1648" t="str">
        <f>IF([2]Entry!$C$1651="","",[2]Entry!$C$1651)</f>
        <v/>
      </c>
      <c r="M1648" t="str">
        <f>IF([2]Entry!$J$1651="","",[2]Entry!$J$1651)</f>
        <v/>
      </c>
      <c r="N1648" t="str">
        <f>IF([2]Entry!$M$1651="","",[2]Entry!$M$1651)</f>
        <v/>
      </c>
      <c r="O1648" t="str">
        <f>IF([2]Entry!$N$1651="","",[2]Entry!$N$1651)</f>
        <v/>
      </c>
      <c r="P1648" t="str">
        <f>IF([2]Entry!$S$1651="","",[2]Entry!$S$1651)</f>
        <v/>
      </c>
    </row>
    <row r="1649" spans="12:16" x14ac:dyDescent="0.2">
      <c r="L1649" t="str">
        <f>IF([2]Entry!$C$1652="","",[2]Entry!$C$1652)</f>
        <v/>
      </c>
      <c r="M1649" t="str">
        <f>IF([2]Entry!$J$1652="","",[2]Entry!$J$1652)</f>
        <v/>
      </c>
      <c r="N1649" t="str">
        <f>IF([2]Entry!$M$1652="","",[2]Entry!$M$1652)</f>
        <v/>
      </c>
      <c r="O1649" t="str">
        <f>IF([2]Entry!$N$1652="","",[2]Entry!$N$1652)</f>
        <v/>
      </c>
      <c r="P1649" t="str">
        <f>IF([2]Entry!$S$1652="","",[2]Entry!$S$1652)</f>
        <v/>
      </c>
    </row>
    <row r="1650" spans="12:16" x14ac:dyDescent="0.2">
      <c r="L1650" t="str">
        <f>IF([2]Entry!$C$1653="","",[2]Entry!$C$1653)</f>
        <v/>
      </c>
      <c r="M1650" t="str">
        <f>IF([2]Entry!$J$1653="","",[2]Entry!$J$1653)</f>
        <v/>
      </c>
      <c r="N1650" t="str">
        <f>IF([2]Entry!$M$1653="","",[2]Entry!$M$1653)</f>
        <v/>
      </c>
      <c r="O1650" t="str">
        <f>IF([2]Entry!$N$1653="","",[2]Entry!$N$1653)</f>
        <v/>
      </c>
      <c r="P1650" t="str">
        <f>IF([2]Entry!$S$1653="","",[2]Entry!$S$1653)</f>
        <v/>
      </c>
    </row>
    <row r="1651" spans="12:16" x14ac:dyDescent="0.2">
      <c r="L1651" t="str">
        <f>IF([2]Entry!$C$1654="","",[2]Entry!$C$1654)</f>
        <v/>
      </c>
      <c r="M1651" t="str">
        <f>IF([2]Entry!$J$1654="","",[2]Entry!$J$1654)</f>
        <v/>
      </c>
      <c r="N1651" t="str">
        <f>IF([2]Entry!$M$1654="","",[2]Entry!$M$1654)</f>
        <v/>
      </c>
      <c r="O1651" t="str">
        <f>IF([2]Entry!$N$1654="","",[2]Entry!$N$1654)</f>
        <v/>
      </c>
      <c r="P1651" t="str">
        <f>IF([2]Entry!$S$1654="","",[2]Entry!$S$1654)</f>
        <v/>
      </c>
    </row>
    <row r="1652" spans="12:16" x14ac:dyDescent="0.2">
      <c r="L1652" t="str">
        <f>IF([2]Entry!$C$1655="","",[2]Entry!$C$1655)</f>
        <v/>
      </c>
      <c r="M1652" t="str">
        <f>IF([2]Entry!$J$1655="","",[2]Entry!$J$1655)</f>
        <v/>
      </c>
      <c r="N1652" t="str">
        <f>IF([2]Entry!$M$1655="","",[2]Entry!$M$1655)</f>
        <v/>
      </c>
      <c r="O1652" t="str">
        <f>IF([2]Entry!$N$1655="","",[2]Entry!$N$1655)</f>
        <v/>
      </c>
      <c r="P1652" t="str">
        <f>IF([2]Entry!$S$1655="","",[2]Entry!$S$1655)</f>
        <v/>
      </c>
    </row>
    <row r="1653" spans="12:16" x14ac:dyDescent="0.2">
      <c r="L1653" t="str">
        <f>IF([2]Entry!$C$1656="","",[2]Entry!$C$1656)</f>
        <v/>
      </c>
      <c r="M1653" t="str">
        <f>IF([2]Entry!$J$1656="","",[2]Entry!$J$1656)</f>
        <v/>
      </c>
      <c r="N1653" t="str">
        <f>IF([2]Entry!$M$1656="","",[2]Entry!$M$1656)</f>
        <v/>
      </c>
      <c r="O1653" t="str">
        <f>IF([2]Entry!$N$1656="","",[2]Entry!$N$1656)</f>
        <v/>
      </c>
      <c r="P1653" t="str">
        <f>IF([2]Entry!$S$1656="","",[2]Entry!$S$1656)</f>
        <v/>
      </c>
    </row>
    <row r="1654" spans="12:16" x14ac:dyDescent="0.2">
      <c r="L1654" t="str">
        <f>IF([2]Entry!$C$1657="","",[2]Entry!$C$1657)</f>
        <v/>
      </c>
      <c r="M1654" t="str">
        <f>IF([2]Entry!$J$1657="","",[2]Entry!$J$1657)</f>
        <v/>
      </c>
      <c r="N1654" t="str">
        <f>IF([2]Entry!$M$1657="","",[2]Entry!$M$1657)</f>
        <v/>
      </c>
      <c r="O1654" t="str">
        <f>IF([2]Entry!$N$1657="","",[2]Entry!$N$1657)</f>
        <v/>
      </c>
      <c r="P1654" t="str">
        <f>IF([2]Entry!$S$1657="","",[2]Entry!$S$1657)</f>
        <v/>
      </c>
    </row>
    <row r="1655" spans="12:16" x14ac:dyDescent="0.2">
      <c r="L1655" t="str">
        <f>IF([2]Entry!$C$1658="","",[2]Entry!$C$1658)</f>
        <v/>
      </c>
      <c r="M1655" t="str">
        <f>IF([2]Entry!$J$1658="","",[2]Entry!$J$1658)</f>
        <v/>
      </c>
      <c r="N1655" t="str">
        <f>IF([2]Entry!$M$1658="","",[2]Entry!$M$1658)</f>
        <v/>
      </c>
      <c r="O1655" t="str">
        <f>IF([2]Entry!$N$1658="","",[2]Entry!$N$1658)</f>
        <v/>
      </c>
      <c r="P1655" t="str">
        <f>IF([2]Entry!$S$1658="","",[2]Entry!$S$1658)</f>
        <v/>
      </c>
    </row>
    <row r="1656" spans="12:16" x14ac:dyDescent="0.2">
      <c r="L1656" t="str">
        <f>IF([2]Entry!$C$1659="","",[2]Entry!$C$1659)</f>
        <v/>
      </c>
      <c r="M1656" t="str">
        <f>IF([2]Entry!$J$1659="","",[2]Entry!$J$1659)</f>
        <v/>
      </c>
      <c r="N1656" t="str">
        <f>IF([2]Entry!$M$1659="","",[2]Entry!$M$1659)</f>
        <v/>
      </c>
      <c r="O1656" t="str">
        <f>IF([2]Entry!$N$1659="","",[2]Entry!$N$1659)</f>
        <v/>
      </c>
      <c r="P1656" t="str">
        <f>IF([2]Entry!$S$1659="","",[2]Entry!$S$1659)</f>
        <v/>
      </c>
    </row>
    <row r="1657" spans="12:16" x14ac:dyDescent="0.2">
      <c r="L1657" t="str">
        <f>IF([2]Entry!$C$1660="","",[2]Entry!$C$1660)</f>
        <v/>
      </c>
      <c r="M1657" t="str">
        <f>IF([2]Entry!$J$1660="","",[2]Entry!$J$1660)</f>
        <v/>
      </c>
      <c r="N1657" t="str">
        <f>IF([2]Entry!$M$1660="","",[2]Entry!$M$1660)</f>
        <v/>
      </c>
      <c r="O1657" t="str">
        <f>IF([2]Entry!$N$1660="","",[2]Entry!$N$1660)</f>
        <v/>
      </c>
      <c r="P1657" t="str">
        <f>IF([2]Entry!$S$1660="","",[2]Entry!$S$1660)</f>
        <v/>
      </c>
    </row>
    <row r="1658" spans="12:16" x14ac:dyDescent="0.2">
      <c r="L1658" t="str">
        <f>IF([2]Entry!$C$1661="","",[2]Entry!$C$1661)</f>
        <v/>
      </c>
      <c r="M1658" t="str">
        <f>IF([2]Entry!$J$1661="","",[2]Entry!$J$1661)</f>
        <v/>
      </c>
      <c r="N1658" t="str">
        <f>IF([2]Entry!$M$1661="","",[2]Entry!$M$1661)</f>
        <v/>
      </c>
      <c r="O1658" t="str">
        <f>IF([2]Entry!$N$1661="","",[2]Entry!$N$1661)</f>
        <v/>
      </c>
      <c r="P1658" t="str">
        <f>IF([2]Entry!$S$1661="","",[2]Entry!$S$1661)</f>
        <v/>
      </c>
    </row>
    <row r="1659" spans="12:16" x14ac:dyDescent="0.2">
      <c r="L1659" t="str">
        <f>IF([2]Entry!$C$1662="","",[2]Entry!$C$1662)</f>
        <v/>
      </c>
      <c r="M1659" t="str">
        <f>IF([2]Entry!$J$1662="","",[2]Entry!$J$1662)</f>
        <v/>
      </c>
      <c r="N1659" t="str">
        <f>IF([2]Entry!$M$1662="","",[2]Entry!$M$1662)</f>
        <v/>
      </c>
      <c r="O1659" t="str">
        <f>IF([2]Entry!$N$1662="","",[2]Entry!$N$1662)</f>
        <v/>
      </c>
      <c r="P1659" t="str">
        <f>IF([2]Entry!$S$1662="","",[2]Entry!$S$1662)</f>
        <v/>
      </c>
    </row>
    <row r="1660" spans="12:16" x14ac:dyDescent="0.2">
      <c r="L1660" t="str">
        <f>IF([2]Entry!$C$1663="","",[2]Entry!$C$1663)</f>
        <v/>
      </c>
      <c r="M1660" t="str">
        <f>IF([2]Entry!$J$1663="","",[2]Entry!$J$1663)</f>
        <v/>
      </c>
      <c r="N1660" t="str">
        <f>IF([2]Entry!$M$1663="","",[2]Entry!$M$1663)</f>
        <v/>
      </c>
      <c r="O1660" t="str">
        <f>IF([2]Entry!$N$1663="","",[2]Entry!$N$1663)</f>
        <v/>
      </c>
      <c r="P1660" t="str">
        <f>IF([2]Entry!$S$1663="","",[2]Entry!$S$1663)</f>
        <v/>
      </c>
    </row>
    <row r="1661" spans="12:16" x14ac:dyDescent="0.2">
      <c r="L1661" t="str">
        <f>IF([2]Entry!$C$1664="","",[2]Entry!$C$1664)</f>
        <v/>
      </c>
      <c r="M1661" t="str">
        <f>IF([2]Entry!$J$1664="","",[2]Entry!$J$1664)</f>
        <v/>
      </c>
      <c r="N1661" t="str">
        <f>IF([2]Entry!$M$1664="","",[2]Entry!$M$1664)</f>
        <v/>
      </c>
      <c r="O1661" t="str">
        <f>IF([2]Entry!$N$1664="","",[2]Entry!$N$1664)</f>
        <v/>
      </c>
      <c r="P1661" t="str">
        <f>IF([2]Entry!$S$1664="","",[2]Entry!$S$1664)</f>
        <v/>
      </c>
    </row>
    <row r="1662" spans="12:16" x14ac:dyDescent="0.2">
      <c r="L1662" t="str">
        <f>IF([2]Entry!$C$1665="","",[2]Entry!$C$1665)</f>
        <v/>
      </c>
      <c r="M1662" t="str">
        <f>IF([2]Entry!$J$1665="","",[2]Entry!$J$1665)</f>
        <v/>
      </c>
      <c r="N1662" t="str">
        <f>IF([2]Entry!$M$1665="","",[2]Entry!$M$1665)</f>
        <v/>
      </c>
      <c r="O1662" t="str">
        <f>IF([2]Entry!$N$1665="","",[2]Entry!$N$1665)</f>
        <v/>
      </c>
      <c r="P1662" t="str">
        <f>IF([2]Entry!$S$1665="","",[2]Entry!$S$1665)</f>
        <v/>
      </c>
    </row>
    <row r="1663" spans="12:16" x14ac:dyDescent="0.2">
      <c r="L1663" t="str">
        <f>IF([2]Entry!$C$1666="","",[2]Entry!$C$1666)</f>
        <v/>
      </c>
      <c r="M1663" t="str">
        <f>IF([2]Entry!$J$1666="","",[2]Entry!$J$1666)</f>
        <v/>
      </c>
      <c r="N1663" t="str">
        <f>IF([2]Entry!$M$1666="","",[2]Entry!$M$1666)</f>
        <v/>
      </c>
      <c r="O1663" t="str">
        <f>IF([2]Entry!$N$1666="","",[2]Entry!$N$1666)</f>
        <v/>
      </c>
      <c r="P1663" t="str">
        <f>IF([2]Entry!$S$1666="","",[2]Entry!$S$1666)</f>
        <v/>
      </c>
    </row>
    <row r="1664" spans="12:16" x14ac:dyDescent="0.2">
      <c r="L1664" t="str">
        <f>IF([2]Entry!$C$1667="","",[2]Entry!$C$1667)</f>
        <v/>
      </c>
      <c r="M1664" t="str">
        <f>IF([2]Entry!$J$1667="","",[2]Entry!$J$1667)</f>
        <v/>
      </c>
      <c r="N1664" t="str">
        <f>IF([2]Entry!$M$1667="","",[2]Entry!$M$1667)</f>
        <v/>
      </c>
      <c r="O1664" t="str">
        <f>IF([2]Entry!$N$1667="","",[2]Entry!$N$1667)</f>
        <v/>
      </c>
      <c r="P1664" t="str">
        <f>IF([2]Entry!$S$1667="","",[2]Entry!$S$1667)</f>
        <v/>
      </c>
    </row>
    <row r="1665" spans="12:16" x14ac:dyDescent="0.2">
      <c r="L1665" t="str">
        <f>IF([2]Entry!$C$1668="","",[2]Entry!$C$1668)</f>
        <v/>
      </c>
      <c r="M1665" t="str">
        <f>IF([2]Entry!$J$1668="","",[2]Entry!$J$1668)</f>
        <v/>
      </c>
      <c r="N1665" t="str">
        <f>IF([2]Entry!$M$1668="","",[2]Entry!$M$1668)</f>
        <v/>
      </c>
      <c r="O1665" t="str">
        <f>IF([2]Entry!$N$1668="","",[2]Entry!$N$1668)</f>
        <v/>
      </c>
      <c r="P1665" t="str">
        <f>IF([2]Entry!$S$1668="","",[2]Entry!$S$1668)</f>
        <v/>
      </c>
    </row>
    <row r="1666" spans="12:16" x14ac:dyDescent="0.2">
      <c r="L1666" t="str">
        <f>IF([2]Entry!$C$1669="","",[2]Entry!$C$1669)</f>
        <v/>
      </c>
      <c r="M1666" t="str">
        <f>IF([2]Entry!$J$1669="","",[2]Entry!$J$1669)</f>
        <v/>
      </c>
      <c r="N1666" t="str">
        <f>IF([2]Entry!$M$1669="","",[2]Entry!$M$1669)</f>
        <v/>
      </c>
      <c r="O1666" t="str">
        <f>IF([2]Entry!$N$1669="","",[2]Entry!$N$1669)</f>
        <v/>
      </c>
      <c r="P1666" t="str">
        <f>IF([2]Entry!$S$1669="","",[2]Entry!$S$1669)</f>
        <v/>
      </c>
    </row>
    <row r="1667" spans="12:16" x14ac:dyDescent="0.2">
      <c r="L1667" t="str">
        <f>IF([2]Entry!$C$1670="","",[2]Entry!$C$1670)</f>
        <v/>
      </c>
      <c r="M1667" t="str">
        <f>IF([2]Entry!$J$1670="","",[2]Entry!$J$1670)</f>
        <v/>
      </c>
      <c r="N1667" t="str">
        <f>IF([2]Entry!$M$1670="","",[2]Entry!$M$1670)</f>
        <v/>
      </c>
      <c r="O1667" t="str">
        <f>IF([2]Entry!$N$1670="","",[2]Entry!$N$1670)</f>
        <v/>
      </c>
      <c r="P1667" t="str">
        <f>IF([2]Entry!$S$1670="","",[2]Entry!$S$1670)</f>
        <v/>
      </c>
    </row>
    <row r="1668" spans="12:16" x14ac:dyDescent="0.2">
      <c r="L1668" t="str">
        <f>IF([2]Entry!$C$1671="","",[2]Entry!$C$1671)</f>
        <v/>
      </c>
      <c r="M1668" t="str">
        <f>IF([2]Entry!$J$1671="","",[2]Entry!$J$1671)</f>
        <v/>
      </c>
      <c r="N1668" t="str">
        <f>IF([2]Entry!$M$1671="","",[2]Entry!$M$1671)</f>
        <v/>
      </c>
      <c r="O1668" t="str">
        <f>IF([2]Entry!$N$1671="","",[2]Entry!$N$1671)</f>
        <v/>
      </c>
      <c r="P1668" t="str">
        <f>IF([2]Entry!$S$1671="","",[2]Entry!$S$1671)</f>
        <v/>
      </c>
    </row>
    <row r="1669" spans="12:16" x14ac:dyDescent="0.2">
      <c r="L1669" t="str">
        <f>IF([2]Entry!$C$1672="","",[2]Entry!$C$1672)</f>
        <v/>
      </c>
      <c r="M1669" t="str">
        <f>IF([2]Entry!$J$1672="","",[2]Entry!$J$1672)</f>
        <v/>
      </c>
      <c r="N1669" t="str">
        <f>IF([2]Entry!$M$1672="","",[2]Entry!$M$1672)</f>
        <v/>
      </c>
      <c r="O1669" t="str">
        <f>IF([2]Entry!$N$1672="","",[2]Entry!$N$1672)</f>
        <v/>
      </c>
      <c r="P1669" t="str">
        <f>IF([2]Entry!$S$1672="","",[2]Entry!$S$1672)</f>
        <v/>
      </c>
    </row>
    <row r="1670" spans="12:16" x14ac:dyDescent="0.2">
      <c r="L1670" t="str">
        <f>IF([2]Entry!$C$1673="","",[2]Entry!$C$1673)</f>
        <v/>
      </c>
      <c r="M1670" t="str">
        <f>IF([2]Entry!$J$1673="","",[2]Entry!$J$1673)</f>
        <v/>
      </c>
      <c r="N1670" t="str">
        <f>IF([2]Entry!$M$1673="","",[2]Entry!$M$1673)</f>
        <v/>
      </c>
      <c r="O1670" t="str">
        <f>IF([2]Entry!$N$1673="","",[2]Entry!$N$1673)</f>
        <v/>
      </c>
      <c r="P1670" t="str">
        <f>IF([2]Entry!$S$1673="","",[2]Entry!$S$1673)</f>
        <v/>
      </c>
    </row>
    <row r="1671" spans="12:16" x14ac:dyDescent="0.2">
      <c r="L1671" t="str">
        <f>IF([2]Entry!$C$1674="","",[2]Entry!$C$1674)</f>
        <v/>
      </c>
      <c r="M1671" t="str">
        <f>IF([2]Entry!$J$1674="","",[2]Entry!$J$1674)</f>
        <v/>
      </c>
      <c r="N1671" t="str">
        <f>IF([2]Entry!$M$1674="","",[2]Entry!$M$1674)</f>
        <v/>
      </c>
      <c r="O1671" t="str">
        <f>IF([2]Entry!$N$1674="","",[2]Entry!$N$1674)</f>
        <v/>
      </c>
      <c r="P1671" t="str">
        <f>IF([2]Entry!$S$1674="","",[2]Entry!$S$1674)</f>
        <v/>
      </c>
    </row>
    <row r="1672" spans="12:16" x14ac:dyDescent="0.2">
      <c r="L1672" t="str">
        <f>IF([2]Entry!$C$1675="","",[2]Entry!$C$1675)</f>
        <v/>
      </c>
      <c r="M1672" t="str">
        <f>IF([2]Entry!$J$1675="","",[2]Entry!$J$1675)</f>
        <v/>
      </c>
      <c r="N1672" t="str">
        <f>IF([2]Entry!$M$1675="","",[2]Entry!$M$1675)</f>
        <v/>
      </c>
      <c r="O1672" t="str">
        <f>IF([2]Entry!$N$1675="","",[2]Entry!$N$1675)</f>
        <v/>
      </c>
      <c r="P1672" t="str">
        <f>IF([2]Entry!$S$1675="","",[2]Entry!$S$1675)</f>
        <v/>
      </c>
    </row>
    <row r="1673" spans="12:16" x14ac:dyDescent="0.2">
      <c r="L1673" t="str">
        <f>IF([2]Entry!$C$1676="","",[2]Entry!$C$1676)</f>
        <v/>
      </c>
      <c r="M1673" t="str">
        <f>IF([2]Entry!$J$1676="","",[2]Entry!$J$1676)</f>
        <v/>
      </c>
      <c r="N1673" t="str">
        <f>IF([2]Entry!$M$1676="","",[2]Entry!$M$1676)</f>
        <v/>
      </c>
      <c r="O1673" t="str">
        <f>IF([2]Entry!$N$1676="","",[2]Entry!$N$1676)</f>
        <v/>
      </c>
      <c r="P1673" t="str">
        <f>IF([2]Entry!$S$1676="","",[2]Entry!$S$1676)</f>
        <v/>
      </c>
    </row>
    <row r="1674" spans="12:16" x14ac:dyDescent="0.2">
      <c r="L1674" t="str">
        <f>IF([2]Entry!$C$1677="","",[2]Entry!$C$1677)</f>
        <v/>
      </c>
      <c r="M1674" t="str">
        <f>IF([2]Entry!$J$1677="","",[2]Entry!$J$1677)</f>
        <v/>
      </c>
      <c r="N1674" t="str">
        <f>IF([2]Entry!$M$1677="","",[2]Entry!$M$1677)</f>
        <v/>
      </c>
      <c r="O1674" t="str">
        <f>IF([2]Entry!$N$1677="","",[2]Entry!$N$1677)</f>
        <v/>
      </c>
      <c r="P1674" t="str">
        <f>IF([2]Entry!$S$1677="","",[2]Entry!$S$1677)</f>
        <v/>
      </c>
    </row>
    <row r="1675" spans="12:16" x14ac:dyDescent="0.2">
      <c r="L1675" t="str">
        <f>IF([2]Entry!$C$1678="","",[2]Entry!$C$1678)</f>
        <v/>
      </c>
      <c r="M1675" t="str">
        <f>IF([2]Entry!$J$1678="","",[2]Entry!$J$1678)</f>
        <v/>
      </c>
      <c r="N1675" t="str">
        <f>IF([2]Entry!$M$1678="","",[2]Entry!$M$1678)</f>
        <v/>
      </c>
      <c r="O1675" t="str">
        <f>IF([2]Entry!$N$1678="","",[2]Entry!$N$1678)</f>
        <v/>
      </c>
      <c r="P1675" t="str">
        <f>IF([2]Entry!$S$1678="","",[2]Entry!$S$1678)</f>
        <v/>
      </c>
    </row>
    <row r="1676" spans="12:16" x14ac:dyDescent="0.2">
      <c r="L1676" t="str">
        <f>IF([2]Entry!$C$1679="","",[2]Entry!$C$1679)</f>
        <v/>
      </c>
      <c r="M1676" t="str">
        <f>IF([2]Entry!$J$1679="","",[2]Entry!$J$1679)</f>
        <v/>
      </c>
      <c r="N1676" t="str">
        <f>IF([2]Entry!$M$1679="","",[2]Entry!$M$1679)</f>
        <v/>
      </c>
      <c r="O1676" t="str">
        <f>IF([2]Entry!$N$1679="","",[2]Entry!$N$1679)</f>
        <v/>
      </c>
      <c r="P1676" t="str">
        <f>IF([2]Entry!$S$1679="","",[2]Entry!$S$1679)</f>
        <v/>
      </c>
    </row>
    <row r="1677" spans="12:16" x14ac:dyDescent="0.2">
      <c r="L1677" t="str">
        <f>IF([2]Entry!$C$1680="","",[2]Entry!$C$1680)</f>
        <v/>
      </c>
      <c r="M1677" t="str">
        <f>IF([2]Entry!$J$1680="","",[2]Entry!$J$1680)</f>
        <v/>
      </c>
      <c r="N1677" t="str">
        <f>IF([2]Entry!$M$1680="","",[2]Entry!$M$1680)</f>
        <v/>
      </c>
      <c r="O1677" t="str">
        <f>IF([2]Entry!$N$1680="","",[2]Entry!$N$1680)</f>
        <v/>
      </c>
      <c r="P1677" t="str">
        <f>IF([2]Entry!$S$1680="","",[2]Entry!$S$1680)</f>
        <v/>
      </c>
    </row>
    <row r="1678" spans="12:16" x14ac:dyDescent="0.2">
      <c r="L1678" t="str">
        <f>IF([2]Entry!$C$1681="","",[2]Entry!$C$1681)</f>
        <v/>
      </c>
      <c r="M1678" t="str">
        <f>IF([2]Entry!$J$1681="","",[2]Entry!$J$1681)</f>
        <v/>
      </c>
      <c r="N1678" t="str">
        <f>IF([2]Entry!$M$1681="","",[2]Entry!$M$1681)</f>
        <v/>
      </c>
      <c r="O1678" t="str">
        <f>IF([2]Entry!$N$1681="","",[2]Entry!$N$1681)</f>
        <v/>
      </c>
      <c r="P1678" t="str">
        <f>IF([2]Entry!$S$1681="","",[2]Entry!$S$1681)</f>
        <v/>
      </c>
    </row>
    <row r="1679" spans="12:16" x14ac:dyDescent="0.2">
      <c r="L1679" t="str">
        <f>IF([2]Entry!$C$1682="","",[2]Entry!$C$1682)</f>
        <v/>
      </c>
      <c r="M1679" t="str">
        <f>IF([2]Entry!$J$1682="","",[2]Entry!$J$1682)</f>
        <v/>
      </c>
      <c r="N1679" t="str">
        <f>IF([2]Entry!$M$1682="","",[2]Entry!$M$1682)</f>
        <v/>
      </c>
      <c r="O1679" t="str">
        <f>IF([2]Entry!$N$1682="","",[2]Entry!$N$1682)</f>
        <v/>
      </c>
      <c r="P1679" t="str">
        <f>IF([2]Entry!$S$1682="","",[2]Entry!$S$1682)</f>
        <v/>
      </c>
    </row>
    <row r="1680" spans="12:16" x14ac:dyDescent="0.2">
      <c r="L1680" t="str">
        <f>IF([2]Entry!$C$1683="","",[2]Entry!$C$1683)</f>
        <v/>
      </c>
      <c r="M1680" t="str">
        <f>IF([2]Entry!$J$1683="","",[2]Entry!$J$1683)</f>
        <v/>
      </c>
      <c r="N1680" t="str">
        <f>IF([2]Entry!$M$1683="","",[2]Entry!$M$1683)</f>
        <v/>
      </c>
      <c r="O1680" t="str">
        <f>IF([2]Entry!$N$1683="","",[2]Entry!$N$1683)</f>
        <v/>
      </c>
      <c r="P1680" t="str">
        <f>IF([2]Entry!$S$1683="","",[2]Entry!$S$1683)</f>
        <v/>
      </c>
    </row>
    <row r="1681" spans="12:16" x14ac:dyDescent="0.2">
      <c r="L1681" t="str">
        <f>IF([2]Entry!$C$1684="","",[2]Entry!$C$1684)</f>
        <v/>
      </c>
      <c r="M1681" t="str">
        <f>IF([2]Entry!$J$1684="","",[2]Entry!$J$1684)</f>
        <v/>
      </c>
      <c r="N1681" t="str">
        <f>IF([2]Entry!$M$1684="","",[2]Entry!$M$1684)</f>
        <v/>
      </c>
      <c r="O1681" t="str">
        <f>IF([2]Entry!$N$1684="","",[2]Entry!$N$1684)</f>
        <v/>
      </c>
      <c r="P1681" t="str">
        <f>IF([2]Entry!$S$1684="","",[2]Entry!$S$1684)</f>
        <v/>
      </c>
    </row>
    <row r="1682" spans="12:16" x14ac:dyDescent="0.2">
      <c r="L1682" t="str">
        <f>IF([2]Entry!$C$1685="","",[2]Entry!$C$1685)</f>
        <v/>
      </c>
      <c r="M1682" t="str">
        <f>IF([2]Entry!$J$1685="","",[2]Entry!$J$1685)</f>
        <v/>
      </c>
      <c r="N1682" t="str">
        <f>IF([2]Entry!$M$1685="","",[2]Entry!$M$1685)</f>
        <v/>
      </c>
      <c r="O1682" t="str">
        <f>IF([2]Entry!$N$1685="","",[2]Entry!$N$1685)</f>
        <v/>
      </c>
      <c r="P1682" t="str">
        <f>IF([2]Entry!$S$1685="","",[2]Entry!$S$1685)</f>
        <v/>
      </c>
    </row>
    <row r="1683" spans="12:16" x14ac:dyDescent="0.2">
      <c r="L1683" t="str">
        <f>IF([2]Entry!$C$1686="","",[2]Entry!$C$1686)</f>
        <v/>
      </c>
      <c r="M1683" t="str">
        <f>IF([2]Entry!$J$1686="","",[2]Entry!$J$1686)</f>
        <v/>
      </c>
      <c r="N1683" t="str">
        <f>IF([2]Entry!$M$1686="","",[2]Entry!$M$1686)</f>
        <v/>
      </c>
      <c r="O1683" t="str">
        <f>IF([2]Entry!$N$1686="","",[2]Entry!$N$1686)</f>
        <v/>
      </c>
      <c r="P1683" t="str">
        <f>IF([2]Entry!$S$1686="","",[2]Entry!$S$1686)</f>
        <v/>
      </c>
    </row>
    <row r="1684" spans="12:16" x14ac:dyDescent="0.2">
      <c r="L1684" t="str">
        <f>IF([2]Entry!$C$1687="","",[2]Entry!$C$1687)</f>
        <v/>
      </c>
      <c r="M1684" t="str">
        <f>IF([2]Entry!$J$1687="","",[2]Entry!$J$1687)</f>
        <v/>
      </c>
      <c r="N1684" t="str">
        <f>IF([2]Entry!$M$1687="","",[2]Entry!$M$1687)</f>
        <v/>
      </c>
      <c r="O1684" t="str">
        <f>IF([2]Entry!$N$1687="","",[2]Entry!$N$1687)</f>
        <v/>
      </c>
      <c r="P1684" t="str">
        <f>IF([2]Entry!$S$1687="","",[2]Entry!$S$1687)</f>
        <v/>
      </c>
    </row>
    <row r="1685" spans="12:16" x14ac:dyDescent="0.2">
      <c r="L1685" t="str">
        <f>IF([2]Entry!$C$1688="","",[2]Entry!$C$1688)</f>
        <v/>
      </c>
      <c r="M1685" t="str">
        <f>IF([2]Entry!$J$1688="","",[2]Entry!$J$1688)</f>
        <v/>
      </c>
      <c r="N1685" t="str">
        <f>IF([2]Entry!$M$1688="","",[2]Entry!$M$1688)</f>
        <v/>
      </c>
      <c r="O1685" t="str">
        <f>IF([2]Entry!$N$1688="","",[2]Entry!$N$1688)</f>
        <v/>
      </c>
      <c r="P1685" t="str">
        <f>IF([2]Entry!$S$1688="","",[2]Entry!$S$1688)</f>
        <v/>
      </c>
    </row>
    <row r="1686" spans="12:16" x14ac:dyDescent="0.2">
      <c r="L1686" t="str">
        <f>IF([2]Entry!$C$1689="","",[2]Entry!$C$1689)</f>
        <v/>
      </c>
      <c r="M1686" t="str">
        <f>IF([2]Entry!$J$1689="","",[2]Entry!$J$1689)</f>
        <v/>
      </c>
      <c r="N1686" t="str">
        <f>IF([2]Entry!$M$1689="","",[2]Entry!$M$1689)</f>
        <v/>
      </c>
      <c r="O1686" t="str">
        <f>IF([2]Entry!$N$1689="","",[2]Entry!$N$1689)</f>
        <v/>
      </c>
      <c r="P1686" t="str">
        <f>IF([2]Entry!$S$1689="","",[2]Entry!$S$1689)</f>
        <v/>
      </c>
    </row>
    <row r="1687" spans="12:16" x14ac:dyDescent="0.2">
      <c r="L1687" t="str">
        <f>IF([2]Entry!$C$1690="","",[2]Entry!$C$1690)</f>
        <v/>
      </c>
      <c r="M1687" t="str">
        <f>IF([2]Entry!$J$1690="","",[2]Entry!$J$1690)</f>
        <v/>
      </c>
      <c r="N1687" t="str">
        <f>IF([2]Entry!$M$1690="","",[2]Entry!$M$1690)</f>
        <v/>
      </c>
      <c r="O1687" t="str">
        <f>IF([2]Entry!$N$1690="","",[2]Entry!$N$1690)</f>
        <v/>
      </c>
      <c r="P1687" t="str">
        <f>IF([2]Entry!$S$1690="","",[2]Entry!$S$1690)</f>
        <v/>
      </c>
    </row>
    <row r="1688" spans="12:16" x14ac:dyDescent="0.2">
      <c r="L1688" t="str">
        <f>IF([2]Entry!$C$1691="","",[2]Entry!$C$1691)</f>
        <v/>
      </c>
      <c r="M1688" t="str">
        <f>IF([2]Entry!$J$1691="","",[2]Entry!$J$1691)</f>
        <v/>
      </c>
      <c r="N1688" t="str">
        <f>IF([2]Entry!$M$1691="","",[2]Entry!$M$1691)</f>
        <v/>
      </c>
      <c r="O1688" t="str">
        <f>IF([2]Entry!$N$1691="","",[2]Entry!$N$1691)</f>
        <v/>
      </c>
      <c r="P1688" t="str">
        <f>IF([2]Entry!$S$1691="","",[2]Entry!$S$1691)</f>
        <v/>
      </c>
    </row>
    <row r="1689" spans="12:16" x14ac:dyDescent="0.2">
      <c r="L1689" t="str">
        <f>IF([2]Entry!$C$1692="","",[2]Entry!$C$1692)</f>
        <v/>
      </c>
      <c r="M1689" t="str">
        <f>IF([2]Entry!$J$1692="","",[2]Entry!$J$1692)</f>
        <v/>
      </c>
      <c r="N1689" t="str">
        <f>IF([2]Entry!$M$1692="","",[2]Entry!$M$1692)</f>
        <v/>
      </c>
      <c r="O1689" t="str">
        <f>IF([2]Entry!$N$1692="","",[2]Entry!$N$1692)</f>
        <v/>
      </c>
      <c r="P1689" t="str">
        <f>IF([2]Entry!$S$1692="","",[2]Entry!$S$1692)</f>
        <v/>
      </c>
    </row>
    <row r="1690" spans="12:16" x14ac:dyDescent="0.2">
      <c r="L1690" t="str">
        <f>IF([2]Entry!$C$1693="","",[2]Entry!$C$1693)</f>
        <v/>
      </c>
      <c r="M1690" t="str">
        <f>IF([2]Entry!$J$1693="","",[2]Entry!$J$1693)</f>
        <v/>
      </c>
      <c r="N1690" t="str">
        <f>IF([2]Entry!$M$1693="","",[2]Entry!$M$1693)</f>
        <v/>
      </c>
      <c r="O1690" t="str">
        <f>IF([2]Entry!$N$1693="","",[2]Entry!$N$1693)</f>
        <v/>
      </c>
      <c r="P1690" t="str">
        <f>IF([2]Entry!$S$1693="","",[2]Entry!$S$1693)</f>
        <v/>
      </c>
    </row>
    <row r="1691" spans="12:16" x14ac:dyDescent="0.2">
      <c r="L1691" t="str">
        <f>IF([2]Entry!$C$1694="","",[2]Entry!$C$1694)</f>
        <v/>
      </c>
      <c r="M1691" t="str">
        <f>IF([2]Entry!$J$1694="","",[2]Entry!$J$1694)</f>
        <v/>
      </c>
      <c r="N1691" t="str">
        <f>IF([2]Entry!$M$1694="","",[2]Entry!$M$1694)</f>
        <v/>
      </c>
      <c r="O1691" t="str">
        <f>IF([2]Entry!$N$1694="","",[2]Entry!$N$1694)</f>
        <v/>
      </c>
      <c r="P1691" t="str">
        <f>IF([2]Entry!$S$1694="","",[2]Entry!$S$1694)</f>
        <v/>
      </c>
    </row>
    <row r="1692" spans="12:16" x14ac:dyDescent="0.2">
      <c r="L1692" t="str">
        <f>IF([2]Entry!$C$1695="","",[2]Entry!$C$1695)</f>
        <v/>
      </c>
      <c r="M1692" t="str">
        <f>IF([2]Entry!$J$1695="","",[2]Entry!$J$1695)</f>
        <v/>
      </c>
      <c r="N1692" t="str">
        <f>IF([2]Entry!$M$1695="","",[2]Entry!$M$1695)</f>
        <v/>
      </c>
      <c r="O1692" t="str">
        <f>IF([2]Entry!$N$1695="","",[2]Entry!$N$1695)</f>
        <v/>
      </c>
      <c r="P1692" t="str">
        <f>IF([2]Entry!$S$1695="","",[2]Entry!$S$1695)</f>
        <v/>
      </c>
    </row>
    <row r="1693" spans="12:16" x14ac:dyDescent="0.2">
      <c r="L1693" t="str">
        <f>IF([2]Entry!$C$1696="","",[2]Entry!$C$1696)</f>
        <v/>
      </c>
      <c r="M1693" t="str">
        <f>IF([2]Entry!$J$1696="","",[2]Entry!$J$1696)</f>
        <v/>
      </c>
      <c r="N1693" t="str">
        <f>IF([2]Entry!$M$1696="","",[2]Entry!$M$1696)</f>
        <v/>
      </c>
      <c r="O1693" t="str">
        <f>IF([2]Entry!$N$1696="","",[2]Entry!$N$1696)</f>
        <v/>
      </c>
      <c r="P1693" t="str">
        <f>IF([2]Entry!$S$1696="","",[2]Entry!$S$1696)</f>
        <v/>
      </c>
    </row>
    <row r="1694" spans="12:16" x14ac:dyDescent="0.2">
      <c r="L1694" t="str">
        <f>IF([2]Entry!$C$1697="","",[2]Entry!$C$1697)</f>
        <v/>
      </c>
      <c r="M1694" t="str">
        <f>IF([2]Entry!$J$1697="","",[2]Entry!$J$1697)</f>
        <v/>
      </c>
      <c r="N1694" t="str">
        <f>IF([2]Entry!$M$1697="","",[2]Entry!$M$1697)</f>
        <v/>
      </c>
      <c r="O1694" t="str">
        <f>IF([2]Entry!$N$1697="","",[2]Entry!$N$1697)</f>
        <v/>
      </c>
      <c r="P1694" t="str">
        <f>IF([2]Entry!$S$1697="","",[2]Entry!$S$1697)</f>
        <v/>
      </c>
    </row>
    <row r="1695" spans="12:16" x14ac:dyDescent="0.2">
      <c r="L1695" t="str">
        <f>IF([2]Entry!$C$1698="","",[2]Entry!$C$1698)</f>
        <v/>
      </c>
      <c r="M1695" t="str">
        <f>IF([2]Entry!$J$1698="","",[2]Entry!$J$1698)</f>
        <v/>
      </c>
      <c r="N1695" t="str">
        <f>IF([2]Entry!$M$1698="","",[2]Entry!$M$1698)</f>
        <v/>
      </c>
      <c r="O1695" t="str">
        <f>IF([2]Entry!$N$1698="","",[2]Entry!$N$1698)</f>
        <v/>
      </c>
      <c r="P1695" t="str">
        <f>IF([2]Entry!$S$1698="","",[2]Entry!$S$1698)</f>
        <v/>
      </c>
    </row>
    <row r="1696" spans="12:16" x14ac:dyDescent="0.2">
      <c r="L1696" t="str">
        <f>IF([2]Entry!$C$1699="","",[2]Entry!$C$1699)</f>
        <v/>
      </c>
      <c r="M1696" t="str">
        <f>IF([2]Entry!$J$1699="","",[2]Entry!$J$1699)</f>
        <v/>
      </c>
      <c r="N1696" t="str">
        <f>IF([2]Entry!$M$1699="","",[2]Entry!$M$1699)</f>
        <v/>
      </c>
      <c r="O1696" t="str">
        <f>IF([2]Entry!$N$1699="","",[2]Entry!$N$1699)</f>
        <v/>
      </c>
      <c r="P1696" t="str">
        <f>IF([2]Entry!$S$1699="","",[2]Entry!$S$1699)</f>
        <v/>
      </c>
    </row>
    <row r="1697" spans="12:16" x14ac:dyDescent="0.2">
      <c r="L1697" t="str">
        <f>IF([2]Entry!$C$1700="","",[2]Entry!$C$1700)</f>
        <v/>
      </c>
      <c r="M1697" t="str">
        <f>IF([2]Entry!$J$1700="","",[2]Entry!$J$1700)</f>
        <v/>
      </c>
      <c r="N1697" t="str">
        <f>IF([2]Entry!$M$1700="","",[2]Entry!$M$1700)</f>
        <v/>
      </c>
      <c r="O1697" t="str">
        <f>IF([2]Entry!$N$1700="","",[2]Entry!$N$1700)</f>
        <v/>
      </c>
      <c r="P1697" t="str">
        <f>IF([2]Entry!$S$1700="","",[2]Entry!$S$1700)</f>
        <v/>
      </c>
    </row>
    <row r="1698" spans="12:16" x14ac:dyDescent="0.2">
      <c r="L1698" t="str">
        <f>IF([2]Entry!$C$1701="","",[2]Entry!$C$1701)</f>
        <v/>
      </c>
      <c r="M1698" t="str">
        <f>IF([2]Entry!$J$1701="","",[2]Entry!$J$1701)</f>
        <v/>
      </c>
      <c r="N1698" t="str">
        <f>IF([2]Entry!$M$1701="","",[2]Entry!$M$1701)</f>
        <v/>
      </c>
      <c r="O1698" t="str">
        <f>IF([2]Entry!$N$1701="","",[2]Entry!$N$1701)</f>
        <v/>
      </c>
      <c r="P1698" t="str">
        <f>IF([2]Entry!$S$1701="","",[2]Entry!$S$1701)</f>
        <v/>
      </c>
    </row>
    <row r="1699" spans="12:16" x14ac:dyDescent="0.2">
      <c r="L1699" t="str">
        <f>IF([2]Entry!$C$1702="","",[2]Entry!$C$1702)</f>
        <v/>
      </c>
      <c r="M1699" t="str">
        <f>IF([2]Entry!$J$1702="","",[2]Entry!$J$1702)</f>
        <v/>
      </c>
      <c r="N1699" t="str">
        <f>IF([2]Entry!$M$1702="","",[2]Entry!$M$1702)</f>
        <v/>
      </c>
      <c r="O1699" t="str">
        <f>IF([2]Entry!$N$1702="","",[2]Entry!$N$1702)</f>
        <v/>
      </c>
      <c r="P1699" t="str">
        <f>IF([2]Entry!$S$1702="","",[2]Entry!$S$1702)</f>
        <v/>
      </c>
    </row>
    <row r="1700" spans="12:16" x14ac:dyDescent="0.2">
      <c r="L1700" t="str">
        <f>IF([2]Entry!$C$1703="","",[2]Entry!$C$1703)</f>
        <v/>
      </c>
      <c r="M1700" t="str">
        <f>IF([2]Entry!$J$1703="","",[2]Entry!$J$1703)</f>
        <v/>
      </c>
      <c r="N1700" t="str">
        <f>IF([2]Entry!$M$1703="","",[2]Entry!$M$1703)</f>
        <v/>
      </c>
      <c r="O1700" t="str">
        <f>IF([2]Entry!$N$1703="","",[2]Entry!$N$1703)</f>
        <v/>
      </c>
      <c r="P1700" t="str">
        <f>IF([2]Entry!$S$1703="","",[2]Entry!$S$1703)</f>
        <v/>
      </c>
    </row>
    <row r="1701" spans="12:16" x14ac:dyDescent="0.2">
      <c r="L1701" t="str">
        <f>IF([2]Entry!$C$1704="","",[2]Entry!$C$1704)</f>
        <v/>
      </c>
      <c r="M1701" t="str">
        <f>IF([2]Entry!$J$1704="","",[2]Entry!$J$1704)</f>
        <v/>
      </c>
      <c r="N1701" t="str">
        <f>IF([2]Entry!$M$1704="","",[2]Entry!$M$1704)</f>
        <v/>
      </c>
      <c r="O1701" t="str">
        <f>IF([2]Entry!$N$1704="","",[2]Entry!$N$1704)</f>
        <v/>
      </c>
      <c r="P1701" t="str">
        <f>IF([2]Entry!$S$1704="","",[2]Entry!$S$1704)</f>
        <v/>
      </c>
    </row>
    <row r="1702" spans="12:16" x14ac:dyDescent="0.2">
      <c r="L1702" t="str">
        <f>IF([2]Entry!$C$1705="","",[2]Entry!$C$1705)</f>
        <v/>
      </c>
      <c r="M1702" t="str">
        <f>IF([2]Entry!$J$1705="","",[2]Entry!$J$1705)</f>
        <v/>
      </c>
      <c r="N1702" t="str">
        <f>IF([2]Entry!$M$1705="","",[2]Entry!$M$1705)</f>
        <v/>
      </c>
      <c r="O1702" t="str">
        <f>IF([2]Entry!$N$1705="","",[2]Entry!$N$1705)</f>
        <v/>
      </c>
      <c r="P1702" t="str">
        <f>IF([2]Entry!$S$1705="","",[2]Entry!$S$1705)</f>
        <v/>
      </c>
    </row>
    <row r="1703" spans="12:16" x14ac:dyDescent="0.2">
      <c r="L1703" t="str">
        <f>IF([2]Entry!$C$1706="","",[2]Entry!$C$1706)</f>
        <v/>
      </c>
      <c r="M1703" t="str">
        <f>IF([2]Entry!$J$1706="","",[2]Entry!$J$1706)</f>
        <v/>
      </c>
      <c r="N1703" t="str">
        <f>IF([2]Entry!$M$1706="","",[2]Entry!$M$1706)</f>
        <v/>
      </c>
      <c r="O1703" t="str">
        <f>IF([2]Entry!$N$1706="","",[2]Entry!$N$1706)</f>
        <v/>
      </c>
      <c r="P1703" t="str">
        <f>IF([2]Entry!$S$1706="","",[2]Entry!$S$1706)</f>
        <v/>
      </c>
    </row>
    <row r="1704" spans="12:16" x14ac:dyDescent="0.2">
      <c r="L1704" t="str">
        <f>IF([2]Entry!$C$1707="","",[2]Entry!$C$1707)</f>
        <v/>
      </c>
      <c r="M1704" t="str">
        <f>IF([2]Entry!$J$1707="","",[2]Entry!$J$1707)</f>
        <v/>
      </c>
      <c r="N1704" t="str">
        <f>IF([2]Entry!$M$1707="","",[2]Entry!$M$1707)</f>
        <v/>
      </c>
      <c r="O1704" t="str">
        <f>IF([2]Entry!$N$1707="","",[2]Entry!$N$1707)</f>
        <v/>
      </c>
      <c r="P1704" t="str">
        <f>IF([2]Entry!$S$1707="","",[2]Entry!$S$1707)</f>
        <v/>
      </c>
    </row>
    <row r="1705" spans="12:16" x14ac:dyDescent="0.2">
      <c r="L1705" t="str">
        <f>IF([2]Entry!$C$1708="","",[2]Entry!$C$1708)</f>
        <v/>
      </c>
      <c r="M1705" t="str">
        <f>IF([2]Entry!$J$1708="","",[2]Entry!$J$1708)</f>
        <v/>
      </c>
      <c r="N1705" t="str">
        <f>IF([2]Entry!$M$1708="","",[2]Entry!$M$1708)</f>
        <v/>
      </c>
      <c r="O1705" t="str">
        <f>IF([2]Entry!$N$1708="","",[2]Entry!$N$1708)</f>
        <v/>
      </c>
      <c r="P1705" t="str">
        <f>IF([2]Entry!$S$1708="","",[2]Entry!$S$1708)</f>
        <v/>
      </c>
    </row>
    <row r="1706" spans="12:16" x14ac:dyDescent="0.2">
      <c r="L1706" t="str">
        <f>IF([2]Entry!$C$1709="","",[2]Entry!$C$1709)</f>
        <v/>
      </c>
      <c r="M1706" t="str">
        <f>IF([2]Entry!$J$1709="","",[2]Entry!$J$1709)</f>
        <v/>
      </c>
      <c r="N1706" t="str">
        <f>IF([2]Entry!$M$1709="","",[2]Entry!$M$1709)</f>
        <v/>
      </c>
      <c r="O1706" t="str">
        <f>IF([2]Entry!$N$1709="","",[2]Entry!$N$1709)</f>
        <v/>
      </c>
      <c r="P1706" t="str">
        <f>IF([2]Entry!$S$1709="","",[2]Entry!$S$1709)</f>
        <v/>
      </c>
    </row>
    <row r="1707" spans="12:16" x14ac:dyDescent="0.2">
      <c r="L1707" t="str">
        <f>IF([2]Entry!$C$1710="","",[2]Entry!$C$1710)</f>
        <v/>
      </c>
      <c r="M1707" t="str">
        <f>IF([2]Entry!$J$1710="","",[2]Entry!$J$1710)</f>
        <v/>
      </c>
      <c r="N1707" t="str">
        <f>IF([2]Entry!$M$1710="","",[2]Entry!$M$1710)</f>
        <v/>
      </c>
      <c r="O1707" t="str">
        <f>IF([2]Entry!$N$1710="","",[2]Entry!$N$1710)</f>
        <v/>
      </c>
      <c r="P1707" t="str">
        <f>IF([2]Entry!$S$1710="","",[2]Entry!$S$1710)</f>
        <v/>
      </c>
    </row>
    <row r="1708" spans="12:16" x14ac:dyDescent="0.2">
      <c r="L1708" t="str">
        <f>IF([2]Entry!$C$1711="","",[2]Entry!$C$1711)</f>
        <v/>
      </c>
      <c r="M1708" t="str">
        <f>IF([2]Entry!$J$1711="","",[2]Entry!$J$1711)</f>
        <v/>
      </c>
      <c r="N1708" t="str">
        <f>IF([2]Entry!$M$1711="","",[2]Entry!$M$1711)</f>
        <v/>
      </c>
      <c r="O1708" t="str">
        <f>IF([2]Entry!$N$1711="","",[2]Entry!$N$1711)</f>
        <v/>
      </c>
      <c r="P1708" t="str">
        <f>IF([2]Entry!$S$1711="","",[2]Entry!$S$1711)</f>
        <v/>
      </c>
    </row>
    <row r="1709" spans="12:16" x14ac:dyDescent="0.2">
      <c r="L1709" t="str">
        <f>IF([2]Entry!$C$1712="","",[2]Entry!$C$1712)</f>
        <v/>
      </c>
      <c r="M1709" t="str">
        <f>IF([2]Entry!$J$1712="","",[2]Entry!$J$1712)</f>
        <v/>
      </c>
      <c r="N1709" t="str">
        <f>IF([2]Entry!$M$1712="","",[2]Entry!$M$1712)</f>
        <v/>
      </c>
      <c r="O1709" t="str">
        <f>IF([2]Entry!$N$1712="","",[2]Entry!$N$1712)</f>
        <v/>
      </c>
      <c r="P1709" t="str">
        <f>IF([2]Entry!$S$1712="","",[2]Entry!$S$1712)</f>
        <v/>
      </c>
    </row>
    <row r="1710" spans="12:16" x14ac:dyDescent="0.2">
      <c r="L1710" t="str">
        <f>IF([2]Entry!$C$1713="","",[2]Entry!$C$1713)</f>
        <v/>
      </c>
      <c r="M1710" t="str">
        <f>IF([2]Entry!$J$1713="","",[2]Entry!$J$1713)</f>
        <v/>
      </c>
      <c r="N1710" t="str">
        <f>IF([2]Entry!$M$1713="","",[2]Entry!$M$1713)</f>
        <v/>
      </c>
      <c r="O1710" t="str">
        <f>IF([2]Entry!$N$1713="","",[2]Entry!$N$1713)</f>
        <v/>
      </c>
      <c r="P1710" t="str">
        <f>IF([2]Entry!$S$1713="","",[2]Entry!$S$1713)</f>
        <v/>
      </c>
    </row>
    <row r="1711" spans="12:16" x14ac:dyDescent="0.2">
      <c r="L1711" t="str">
        <f>IF([2]Entry!$C$1714="","",[2]Entry!$C$1714)</f>
        <v/>
      </c>
      <c r="M1711" t="str">
        <f>IF([2]Entry!$J$1714="","",[2]Entry!$J$1714)</f>
        <v/>
      </c>
      <c r="N1711" t="str">
        <f>IF([2]Entry!$M$1714="","",[2]Entry!$M$1714)</f>
        <v/>
      </c>
      <c r="O1711" t="str">
        <f>IF([2]Entry!$N$1714="","",[2]Entry!$N$1714)</f>
        <v/>
      </c>
      <c r="P1711" t="str">
        <f>IF([2]Entry!$S$1714="","",[2]Entry!$S$1714)</f>
        <v/>
      </c>
    </row>
    <row r="1712" spans="12:16" x14ac:dyDescent="0.2">
      <c r="L1712" t="str">
        <f>IF([2]Entry!$C$1715="","",[2]Entry!$C$1715)</f>
        <v/>
      </c>
      <c r="M1712" t="str">
        <f>IF([2]Entry!$J$1715="","",[2]Entry!$J$1715)</f>
        <v/>
      </c>
      <c r="N1712" t="str">
        <f>IF([2]Entry!$M$1715="","",[2]Entry!$M$1715)</f>
        <v/>
      </c>
      <c r="O1712" t="str">
        <f>IF([2]Entry!$N$1715="","",[2]Entry!$N$1715)</f>
        <v/>
      </c>
      <c r="P1712" t="str">
        <f>IF([2]Entry!$S$1715="","",[2]Entry!$S$1715)</f>
        <v/>
      </c>
    </row>
    <row r="1713" spans="12:16" x14ac:dyDescent="0.2">
      <c r="L1713" t="str">
        <f>IF([2]Entry!$C$1716="","",[2]Entry!$C$1716)</f>
        <v/>
      </c>
      <c r="M1713" t="str">
        <f>IF([2]Entry!$J$1716="","",[2]Entry!$J$1716)</f>
        <v/>
      </c>
      <c r="N1713" t="str">
        <f>IF([2]Entry!$M$1716="","",[2]Entry!$M$1716)</f>
        <v/>
      </c>
      <c r="O1713" t="str">
        <f>IF([2]Entry!$N$1716="","",[2]Entry!$N$1716)</f>
        <v/>
      </c>
      <c r="P1713" t="str">
        <f>IF([2]Entry!$S$1716="","",[2]Entry!$S$1716)</f>
        <v/>
      </c>
    </row>
    <row r="1714" spans="12:16" x14ac:dyDescent="0.2">
      <c r="L1714" t="str">
        <f>IF([2]Entry!$C$1717="","",[2]Entry!$C$1717)</f>
        <v/>
      </c>
      <c r="M1714" t="str">
        <f>IF([2]Entry!$J$1717="","",[2]Entry!$J$1717)</f>
        <v/>
      </c>
      <c r="N1714" t="str">
        <f>IF([2]Entry!$M$1717="","",[2]Entry!$M$1717)</f>
        <v/>
      </c>
      <c r="O1714" t="str">
        <f>IF([2]Entry!$N$1717="","",[2]Entry!$N$1717)</f>
        <v/>
      </c>
      <c r="P1714" t="str">
        <f>IF([2]Entry!$S$1717="","",[2]Entry!$S$1717)</f>
        <v/>
      </c>
    </row>
    <row r="1715" spans="12:16" x14ac:dyDescent="0.2">
      <c r="L1715" t="str">
        <f>IF([2]Entry!$C$1718="","",[2]Entry!$C$1718)</f>
        <v/>
      </c>
      <c r="M1715" t="str">
        <f>IF([2]Entry!$J$1718="","",[2]Entry!$J$1718)</f>
        <v/>
      </c>
      <c r="N1715" t="str">
        <f>IF([2]Entry!$M$1718="","",[2]Entry!$M$1718)</f>
        <v/>
      </c>
      <c r="O1715" t="str">
        <f>IF([2]Entry!$N$1718="","",[2]Entry!$N$1718)</f>
        <v/>
      </c>
      <c r="P1715" t="str">
        <f>IF([2]Entry!$S$1718="","",[2]Entry!$S$1718)</f>
        <v/>
      </c>
    </row>
    <row r="1716" spans="12:16" x14ac:dyDescent="0.2">
      <c r="L1716" t="str">
        <f>IF([2]Entry!$C$1719="","",[2]Entry!$C$1719)</f>
        <v/>
      </c>
      <c r="M1716" t="str">
        <f>IF([2]Entry!$J$1719="","",[2]Entry!$J$1719)</f>
        <v/>
      </c>
      <c r="N1716" t="str">
        <f>IF([2]Entry!$M$1719="","",[2]Entry!$M$1719)</f>
        <v/>
      </c>
      <c r="O1716" t="str">
        <f>IF([2]Entry!$N$1719="","",[2]Entry!$N$1719)</f>
        <v/>
      </c>
      <c r="P1716" t="str">
        <f>IF([2]Entry!$S$1719="","",[2]Entry!$S$1719)</f>
        <v/>
      </c>
    </row>
    <row r="1717" spans="12:16" x14ac:dyDescent="0.2">
      <c r="L1717" t="str">
        <f>IF([2]Entry!$C$1720="","",[2]Entry!$C$1720)</f>
        <v/>
      </c>
      <c r="M1717" t="str">
        <f>IF([2]Entry!$J$1720="","",[2]Entry!$J$1720)</f>
        <v/>
      </c>
      <c r="N1717" t="str">
        <f>IF([2]Entry!$M$1720="","",[2]Entry!$M$1720)</f>
        <v/>
      </c>
      <c r="O1717" t="str">
        <f>IF([2]Entry!$N$1720="","",[2]Entry!$N$1720)</f>
        <v/>
      </c>
      <c r="P1717" t="str">
        <f>IF([2]Entry!$S$1720="","",[2]Entry!$S$1720)</f>
        <v/>
      </c>
    </row>
    <row r="1718" spans="12:16" x14ac:dyDescent="0.2">
      <c r="L1718" t="str">
        <f>IF([2]Entry!$C$1721="","",[2]Entry!$C$1721)</f>
        <v/>
      </c>
      <c r="M1718" t="str">
        <f>IF([2]Entry!$J$1721="","",[2]Entry!$J$1721)</f>
        <v/>
      </c>
      <c r="N1718" t="str">
        <f>IF([2]Entry!$M$1721="","",[2]Entry!$M$1721)</f>
        <v/>
      </c>
      <c r="O1718" t="str">
        <f>IF([2]Entry!$N$1721="","",[2]Entry!$N$1721)</f>
        <v/>
      </c>
      <c r="P1718" t="str">
        <f>IF([2]Entry!$S$1721="","",[2]Entry!$S$1721)</f>
        <v/>
      </c>
    </row>
    <row r="1719" spans="12:16" x14ac:dyDescent="0.2">
      <c r="L1719" t="str">
        <f>IF([2]Entry!$C$1722="","",[2]Entry!$C$1722)</f>
        <v/>
      </c>
      <c r="M1719" t="str">
        <f>IF([2]Entry!$J$1722="","",[2]Entry!$J$1722)</f>
        <v/>
      </c>
      <c r="N1719" t="str">
        <f>IF([2]Entry!$M$1722="","",[2]Entry!$M$1722)</f>
        <v/>
      </c>
      <c r="O1719" t="str">
        <f>IF([2]Entry!$N$1722="","",[2]Entry!$N$1722)</f>
        <v/>
      </c>
      <c r="P1719" t="str">
        <f>IF([2]Entry!$S$1722="","",[2]Entry!$S$1722)</f>
        <v/>
      </c>
    </row>
    <row r="1720" spans="12:16" x14ac:dyDescent="0.2">
      <c r="L1720" t="str">
        <f>IF([2]Entry!$C$1723="","",[2]Entry!$C$1723)</f>
        <v/>
      </c>
      <c r="M1720" t="str">
        <f>IF([2]Entry!$J$1723="","",[2]Entry!$J$1723)</f>
        <v/>
      </c>
      <c r="N1720" t="str">
        <f>IF([2]Entry!$M$1723="","",[2]Entry!$M$1723)</f>
        <v/>
      </c>
      <c r="O1720" t="str">
        <f>IF([2]Entry!$N$1723="","",[2]Entry!$N$1723)</f>
        <v/>
      </c>
      <c r="P1720" t="str">
        <f>IF([2]Entry!$S$1723="","",[2]Entry!$S$1723)</f>
        <v/>
      </c>
    </row>
    <row r="1721" spans="12:16" x14ac:dyDescent="0.2">
      <c r="L1721" t="str">
        <f>IF([2]Entry!$C$1724="","",[2]Entry!$C$1724)</f>
        <v/>
      </c>
      <c r="M1721" t="str">
        <f>IF([2]Entry!$J$1724="","",[2]Entry!$J$1724)</f>
        <v/>
      </c>
      <c r="N1721" t="str">
        <f>IF([2]Entry!$M$1724="","",[2]Entry!$M$1724)</f>
        <v/>
      </c>
      <c r="O1721" t="str">
        <f>IF([2]Entry!$N$1724="","",[2]Entry!$N$1724)</f>
        <v/>
      </c>
      <c r="P1721" t="str">
        <f>IF([2]Entry!$S$1724="","",[2]Entry!$S$1724)</f>
        <v/>
      </c>
    </row>
    <row r="1722" spans="12:16" x14ac:dyDescent="0.2">
      <c r="L1722" t="str">
        <f>IF([2]Entry!$C$1725="","",[2]Entry!$C$1725)</f>
        <v/>
      </c>
      <c r="M1722" t="str">
        <f>IF([2]Entry!$J$1725="","",[2]Entry!$J$1725)</f>
        <v/>
      </c>
      <c r="N1722" t="str">
        <f>IF([2]Entry!$M$1725="","",[2]Entry!$M$1725)</f>
        <v/>
      </c>
      <c r="O1722" t="str">
        <f>IF([2]Entry!$N$1725="","",[2]Entry!$N$1725)</f>
        <v/>
      </c>
      <c r="P1722" t="str">
        <f>IF([2]Entry!$S$1725="","",[2]Entry!$S$1725)</f>
        <v/>
      </c>
    </row>
    <row r="1723" spans="12:16" x14ac:dyDescent="0.2">
      <c r="L1723" t="str">
        <f>IF([2]Entry!$C$1726="","",[2]Entry!$C$1726)</f>
        <v/>
      </c>
      <c r="M1723" t="str">
        <f>IF([2]Entry!$J$1726="","",[2]Entry!$J$1726)</f>
        <v/>
      </c>
      <c r="N1723" t="str">
        <f>IF([2]Entry!$M$1726="","",[2]Entry!$M$1726)</f>
        <v/>
      </c>
      <c r="O1723" t="str">
        <f>IF([2]Entry!$N$1726="","",[2]Entry!$N$1726)</f>
        <v/>
      </c>
      <c r="P1723" t="str">
        <f>IF([2]Entry!$S$1726="","",[2]Entry!$S$1726)</f>
        <v/>
      </c>
    </row>
    <row r="1724" spans="12:16" x14ac:dyDescent="0.2">
      <c r="L1724" t="str">
        <f>IF([2]Entry!$C$1727="","",[2]Entry!$C$1727)</f>
        <v/>
      </c>
      <c r="M1724" t="str">
        <f>IF([2]Entry!$J$1727="","",[2]Entry!$J$1727)</f>
        <v/>
      </c>
      <c r="N1724" t="str">
        <f>IF([2]Entry!$M$1727="","",[2]Entry!$M$1727)</f>
        <v/>
      </c>
      <c r="O1724" t="str">
        <f>IF([2]Entry!$N$1727="","",[2]Entry!$N$1727)</f>
        <v/>
      </c>
      <c r="P1724" t="str">
        <f>IF([2]Entry!$S$1727="","",[2]Entry!$S$1727)</f>
        <v/>
      </c>
    </row>
    <row r="1725" spans="12:16" x14ac:dyDescent="0.2">
      <c r="L1725" t="str">
        <f>IF([2]Entry!$C$1728="","",[2]Entry!$C$1728)</f>
        <v/>
      </c>
      <c r="M1725" t="str">
        <f>IF([2]Entry!$J$1728="","",[2]Entry!$J$1728)</f>
        <v/>
      </c>
      <c r="N1725" t="str">
        <f>IF([2]Entry!$M$1728="","",[2]Entry!$M$1728)</f>
        <v/>
      </c>
      <c r="O1725" t="str">
        <f>IF([2]Entry!$N$1728="","",[2]Entry!$N$1728)</f>
        <v/>
      </c>
      <c r="P1725" t="str">
        <f>IF([2]Entry!$S$1728="","",[2]Entry!$S$1728)</f>
        <v/>
      </c>
    </row>
    <row r="1726" spans="12:16" x14ac:dyDescent="0.2">
      <c r="L1726" t="str">
        <f>IF([2]Entry!$C$1729="","",[2]Entry!$C$1729)</f>
        <v/>
      </c>
      <c r="M1726" t="str">
        <f>IF([2]Entry!$J$1729="","",[2]Entry!$J$1729)</f>
        <v/>
      </c>
      <c r="N1726" t="str">
        <f>IF([2]Entry!$M$1729="","",[2]Entry!$M$1729)</f>
        <v/>
      </c>
      <c r="O1726" t="str">
        <f>IF([2]Entry!$N$1729="","",[2]Entry!$N$1729)</f>
        <v/>
      </c>
      <c r="P1726" t="str">
        <f>IF([2]Entry!$S$1729="","",[2]Entry!$S$1729)</f>
        <v/>
      </c>
    </row>
    <row r="1727" spans="12:16" x14ac:dyDescent="0.2">
      <c r="L1727" t="str">
        <f>IF([2]Entry!$C$1730="","",[2]Entry!$C$1730)</f>
        <v/>
      </c>
      <c r="M1727" t="str">
        <f>IF([2]Entry!$J$1730="","",[2]Entry!$J$1730)</f>
        <v/>
      </c>
      <c r="N1727" t="str">
        <f>IF([2]Entry!$M$1730="","",[2]Entry!$M$1730)</f>
        <v/>
      </c>
      <c r="O1727" t="str">
        <f>IF([2]Entry!$N$1730="","",[2]Entry!$N$1730)</f>
        <v/>
      </c>
      <c r="P1727" t="str">
        <f>IF([2]Entry!$S$1730="","",[2]Entry!$S$1730)</f>
        <v/>
      </c>
    </row>
    <row r="1728" spans="12:16" x14ac:dyDescent="0.2">
      <c r="L1728" t="str">
        <f>IF([2]Entry!$C$1731="","",[2]Entry!$C$1731)</f>
        <v/>
      </c>
      <c r="M1728" t="str">
        <f>IF([2]Entry!$J$1731="","",[2]Entry!$J$1731)</f>
        <v/>
      </c>
      <c r="N1728" t="str">
        <f>IF([2]Entry!$M$1731="","",[2]Entry!$M$1731)</f>
        <v/>
      </c>
      <c r="O1728" t="str">
        <f>IF([2]Entry!$N$1731="","",[2]Entry!$N$1731)</f>
        <v/>
      </c>
      <c r="P1728" t="str">
        <f>IF([2]Entry!$S$1731="","",[2]Entry!$S$1731)</f>
        <v/>
      </c>
    </row>
    <row r="1729" spans="12:16" x14ac:dyDescent="0.2">
      <c r="L1729" t="str">
        <f>IF([2]Entry!$C$1732="","",[2]Entry!$C$1732)</f>
        <v/>
      </c>
      <c r="M1729" t="str">
        <f>IF([2]Entry!$J$1732="","",[2]Entry!$J$1732)</f>
        <v/>
      </c>
      <c r="N1729" t="str">
        <f>IF([2]Entry!$M$1732="","",[2]Entry!$M$1732)</f>
        <v/>
      </c>
      <c r="O1729" t="str">
        <f>IF([2]Entry!$N$1732="","",[2]Entry!$N$1732)</f>
        <v/>
      </c>
      <c r="P1729" t="str">
        <f>IF([2]Entry!$S$1732="","",[2]Entry!$S$1732)</f>
        <v/>
      </c>
    </row>
    <row r="1730" spans="12:16" x14ac:dyDescent="0.2">
      <c r="L1730" t="str">
        <f>IF([2]Entry!$C$1733="","",[2]Entry!$C$1733)</f>
        <v/>
      </c>
      <c r="M1730" t="str">
        <f>IF([2]Entry!$J$1733="","",[2]Entry!$J$1733)</f>
        <v/>
      </c>
      <c r="N1730" t="str">
        <f>IF([2]Entry!$M$1733="","",[2]Entry!$M$1733)</f>
        <v/>
      </c>
      <c r="O1730" t="str">
        <f>IF([2]Entry!$N$1733="","",[2]Entry!$N$1733)</f>
        <v/>
      </c>
      <c r="P1730" t="str">
        <f>IF([2]Entry!$S$1733="","",[2]Entry!$S$1733)</f>
        <v/>
      </c>
    </row>
    <row r="1731" spans="12:16" x14ac:dyDescent="0.2">
      <c r="L1731" t="str">
        <f>IF([2]Entry!$C$1734="","",[2]Entry!$C$1734)</f>
        <v/>
      </c>
      <c r="M1731" t="str">
        <f>IF([2]Entry!$J$1734="","",[2]Entry!$J$1734)</f>
        <v/>
      </c>
      <c r="N1731" t="str">
        <f>IF([2]Entry!$M$1734="","",[2]Entry!$M$1734)</f>
        <v/>
      </c>
      <c r="O1731" t="str">
        <f>IF([2]Entry!$N$1734="","",[2]Entry!$N$1734)</f>
        <v/>
      </c>
      <c r="P1731" t="str">
        <f>IF([2]Entry!$S$1734="","",[2]Entry!$S$1734)</f>
        <v/>
      </c>
    </row>
    <row r="1732" spans="12:16" x14ac:dyDescent="0.2">
      <c r="L1732" t="str">
        <f>IF([2]Entry!$C$1735="","",[2]Entry!$C$1735)</f>
        <v/>
      </c>
      <c r="M1732" t="str">
        <f>IF([2]Entry!$J$1735="","",[2]Entry!$J$1735)</f>
        <v/>
      </c>
      <c r="N1732" t="str">
        <f>IF([2]Entry!$M$1735="","",[2]Entry!$M$1735)</f>
        <v/>
      </c>
      <c r="O1732" t="str">
        <f>IF([2]Entry!$N$1735="","",[2]Entry!$N$1735)</f>
        <v/>
      </c>
      <c r="P1732" t="str">
        <f>IF([2]Entry!$S$1735="","",[2]Entry!$S$1735)</f>
        <v/>
      </c>
    </row>
    <row r="1733" spans="12:16" x14ac:dyDescent="0.2">
      <c r="L1733" t="str">
        <f>IF([2]Entry!$C$1736="","",[2]Entry!$C$1736)</f>
        <v/>
      </c>
      <c r="M1733" t="str">
        <f>IF([2]Entry!$J$1736="","",[2]Entry!$J$1736)</f>
        <v/>
      </c>
      <c r="N1733" t="str">
        <f>IF([2]Entry!$M$1736="","",[2]Entry!$M$1736)</f>
        <v/>
      </c>
      <c r="O1733" t="str">
        <f>IF([2]Entry!$N$1736="","",[2]Entry!$N$1736)</f>
        <v/>
      </c>
      <c r="P1733" t="str">
        <f>IF([2]Entry!$S$1736="","",[2]Entry!$S$1736)</f>
        <v/>
      </c>
    </row>
    <row r="1734" spans="12:16" x14ac:dyDescent="0.2">
      <c r="L1734" t="str">
        <f>IF([2]Entry!$C$1737="","",[2]Entry!$C$1737)</f>
        <v/>
      </c>
      <c r="M1734" t="str">
        <f>IF([2]Entry!$J$1737="","",[2]Entry!$J$1737)</f>
        <v/>
      </c>
      <c r="N1734" t="str">
        <f>IF([2]Entry!$M$1737="","",[2]Entry!$M$1737)</f>
        <v/>
      </c>
      <c r="O1734" t="str">
        <f>IF([2]Entry!$N$1737="","",[2]Entry!$N$1737)</f>
        <v/>
      </c>
      <c r="P1734" t="str">
        <f>IF([2]Entry!$S$1737="","",[2]Entry!$S$1737)</f>
        <v/>
      </c>
    </row>
    <row r="1735" spans="12:16" x14ac:dyDescent="0.2">
      <c r="L1735" t="str">
        <f>IF([2]Entry!$C$1738="","",[2]Entry!$C$1738)</f>
        <v/>
      </c>
      <c r="M1735" t="str">
        <f>IF([2]Entry!$J$1738="","",[2]Entry!$J$1738)</f>
        <v/>
      </c>
      <c r="N1735" t="str">
        <f>IF([2]Entry!$M$1738="","",[2]Entry!$M$1738)</f>
        <v/>
      </c>
      <c r="O1735" t="str">
        <f>IF([2]Entry!$N$1738="","",[2]Entry!$N$1738)</f>
        <v/>
      </c>
      <c r="P1735" t="str">
        <f>IF([2]Entry!$S$1738="","",[2]Entry!$S$1738)</f>
        <v/>
      </c>
    </row>
    <row r="1736" spans="12:16" x14ac:dyDescent="0.2">
      <c r="L1736" t="str">
        <f>IF([2]Entry!$C$1739="","",[2]Entry!$C$1739)</f>
        <v/>
      </c>
      <c r="M1736" t="str">
        <f>IF([2]Entry!$J$1739="","",[2]Entry!$J$1739)</f>
        <v/>
      </c>
      <c r="N1736" t="str">
        <f>IF([2]Entry!$M$1739="","",[2]Entry!$M$1739)</f>
        <v/>
      </c>
      <c r="O1736" t="str">
        <f>IF([2]Entry!$N$1739="","",[2]Entry!$N$1739)</f>
        <v/>
      </c>
      <c r="P1736" t="str">
        <f>IF([2]Entry!$S$1739="","",[2]Entry!$S$1739)</f>
        <v/>
      </c>
    </row>
    <row r="1737" spans="12:16" x14ac:dyDescent="0.2">
      <c r="L1737" t="str">
        <f>IF([2]Entry!$C$1740="","",[2]Entry!$C$1740)</f>
        <v/>
      </c>
      <c r="M1737" t="str">
        <f>IF([2]Entry!$J$1740="","",[2]Entry!$J$1740)</f>
        <v/>
      </c>
      <c r="N1737" t="str">
        <f>IF([2]Entry!$M$1740="","",[2]Entry!$M$1740)</f>
        <v/>
      </c>
      <c r="O1737" t="str">
        <f>IF([2]Entry!$N$1740="","",[2]Entry!$N$1740)</f>
        <v/>
      </c>
      <c r="P1737" t="str">
        <f>IF([2]Entry!$S$1740="","",[2]Entry!$S$1740)</f>
        <v/>
      </c>
    </row>
    <row r="1738" spans="12:16" x14ac:dyDescent="0.2">
      <c r="L1738" t="str">
        <f>IF([2]Entry!$C$1741="","",[2]Entry!$C$1741)</f>
        <v/>
      </c>
      <c r="M1738" t="str">
        <f>IF([2]Entry!$J$1741="","",[2]Entry!$J$1741)</f>
        <v/>
      </c>
      <c r="N1738" t="str">
        <f>IF([2]Entry!$M$1741="","",[2]Entry!$M$1741)</f>
        <v/>
      </c>
      <c r="O1738" t="str">
        <f>IF([2]Entry!$N$1741="","",[2]Entry!$N$1741)</f>
        <v/>
      </c>
      <c r="P1738" t="str">
        <f>IF([2]Entry!$S$1741="","",[2]Entry!$S$1741)</f>
        <v/>
      </c>
    </row>
    <row r="1739" spans="12:16" x14ac:dyDescent="0.2">
      <c r="L1739" t="str">
        <f>IF([2]Entry!$C$1742="","",[2]Entry!$C$1742)</f>
        <v/>
      </c>
      <c r="M1739" t="str">
        <f>IF([2]Entry!$J$1742="","",[2]Entry!$J$1742)</f>
        <v/>
      </c>
      <c r="N1739" t="str">
        <f>IF([2]Entry!$M$1742="","",[2]Entry!$M$1742)</f>
        <v/>
      </c>
      <c r="O1739" t="str">
        <f>IF([2]Entry!$N$1742="","",[2]Entry!$N$1742)</f>
        <v/>
      </c>
      <c r="P1739" t="str">
        <f>IF([2]Entry!$S$1742="","",[2]Entry!$S$1742)</f>
        <v/>
      </c>
    </row>
    <row r="1740" spans="12:16" x14ac:dyDescent="0.2">
      <c r="L1740" t="str">
        <f>IF([2]Entry!$C$1743="","",[2]Entry!$C$1743)</f>
        <v/>
      </c>
      <c r="M1740" t="str">
        <f>IF([2]Entry!$J$1743="","",[2]Entry!$J$1743)</f>
        <v/>
      </c>
      <c r="N1740" t="str">
        <f>IF([2]Entry!$M$1743="","",[2]Entry!$M$1743)</f>
        <v/>
      </c>
      <c r="O1740" t="str">
        <f>IF([2]Entry!$N$1743="","",[2]Entry!$N$1743)</f>
        <v/>
      </c>
      <c r="P1740" t="str">
        <f>IF([2]Entry!$S$1743="","",[2]Entry!$S$1743)</f>
        <v/>
      </c>
    </row>
    <row r="1741" spans="12:16" x14ac:dyDescent="0.2">
      <c r="L1741" t="str">
        <f>IF([2]Entry!$C$1744="","",[2]Entry!$C$1744)</f>
        <v/>
      </c>
      <c r="M1741" t="str">
        <f>IF([2]Entry!$J$1744="","",[2]Entry!$J$1744)</f>
        <v/>
      </c>
      <c r="N1741" t="str">
        <f>IF([2]Entry!$M$1744="","",[2]Entry!$M$1744)</f>
        <v/>
      </c>
      <c r="O1741" t="str">
        <f>IF([2]Entry!$N$1744="","",[2]Entry!$N$1744)</f>
        <v/>
      </c>
      <c r="P1741" t="str">
        <f>IF([2]Entry!$S$1744="","",[2]Entry!$S$1744)</f>
        <v/>
      </c>
    </row>
    <row r="1742" spans="12:16" x14ac:dyDescent="0.2">
      <c r="L1742" t="str">
        <f>IF([2]Entry!$C$1745="","",[2]Entry!$C$1745)</f>
        <v/>
      </c>
      <c r="M1742" t="str">
        <f>IF([2]Entry!$J$1745="","",[2]Entry!$J$1745)</f>
        <v/>
      </c>
      <c r="N1742" t="str">
        <f>IF([2]Entry!$M$1745="","",[2]Entry!$M$1745)</f>
        <v/>
      </c>
      <c r="O1742" t="str">
        <f>IF([2]Entry!$N$1745="","",[2]Entry!$N$1745)</f>
        <v/>
      </c>
      <c r="P1742" t="str">
        <f>IF([2]Entry!$S$1745="","",[2]Entry!$S$1745)</f>
        <v/>
      </c>
    </row>
    <row r="1743" spans="12:16" x14ac:dyDescent="0.2">
      <c r="L1743" t="str">
        <f>IF([2]Entry!$C$1746="","",[2]Entry!$C$1746)</f>
        <v/>
      </c>
      <c r="M1743" t="str">
        <f>IF([2]Entry!$J$1746="","",[2]Entry!$J$1746)</f>
        <v/>
      </c>
      <c r="N1743" t="str">
        <f>IF([2]Entry!$M$1746="","",[2]Entry!$M$1746)</f>
        <v/>
      </c>
      <c r="O1743" t="str">
        <f>IF([2]Entry!$N$1746="","",[2]Entry!$N$1746)</f>
        <v/>
      </c>
      <c r="P1743" t="str">
        <f>IF([2]Entry!$S$1746="","",[2]Entry!$S$1746)</f>
        <v/>
      </c>
    </row>
    <row r="1744" spans="12:16" x14ac:dyDescent="0.2">
      <c r="L1744" t="str">
        <f>IF([2]Entry!$C$1747="","",[2]Entry!$C$1747)</f>
        <v/>
      </c>
      <c r="M1744" t="str">
        <f>IF([2]Entry!$J$1747="","",[2]Entry!$J$1747)</f>
        <v/>
      </c>
      <c r="N1744" t="str">
        <f>IF([2]Entry!$M$1747="","",[2]Entry!$M$1747)</f>
        <v/>
      </c>
      <c r="O1744" t="str">
        <f>IF([2]Entry!$N$1747="","",[2]Entry!$N$1747)</f>
        <v/>
      </c>
      <c r="P1744" t="str">
        <f>IF([2]Entry!$S$1747="","",[2]Entry!$S$1747)</f>
        <v/>
      </c>
    </row>
    <row r="1745" spans="12:16" x14ac:dyDescent="0.2">
      <c r="L1745" t="str">
        <f>IF([2]Entry!$C$1748="","",[2]Entry!$C$1748)</f>
        <v/>
      </c>
      <c r="M1745" t="str">
        <f>IF([2]Entry!$J$1748="","",[2]Entry!$J$1748)</f>
        <v/>
      </c>
      <c r="N1745" t="str">
        <f>IF([2]Entry!$M$1748="","",[2]Entry!$M$1748)</f>
        <v/>
      </c>
      <c r="O1745" t="str">
        <f>IF([2]Entry!$N$1748="","",[2]Entry!$N$1748)</f>
        <v/>
      </c>
      <c r="P1745" t="str">
        <f>IF([2]Entry!$S$1748="","",[2]Entry!$S$1748)</f>
        <v/>
      </c>
    </row>
    <row r="1746" spans="12:16" x14ac:dyDescent="0.2">
      <c r="L1746" t="str">
        <f>IF([2]Entry!$C$1749="","",[2]Entry!$C$1749)</f>
        <v/>
      </c>
      <c r="M1746" t="str">
        <f>IF([2]Entry!$J$1749="","",[2]Entry!$J$1749)</f>
        <v/>
      </c>
      <c r="N1746" t="str">
        <f>IF([2]Entry!$M$1749="","",[2]Entry!$M$1749)</f>
        <v/>
      </c>
      <c r="O1746" t="str">
        <f>IF([2]Entry!$N$1749="","",[2]Entry!$N$1749)</f>
        <v/>
      </c>
      <c r="P1746" t="str">
        <f>IF([2]Entry!$S$1749="","",[2]Entry!$S$1749)</f>
        <v/>
      </c>
    </row>
    <row r="1747" spans="12:16" x14ac:dyDescent="0.2">
      <c r="L1747" t="str">
        <f>IF([2]Entry!$C$1750="","",[2]Entry!$C$1750)</f>
        <v/>
      </c>
      <c r="M1747" t="str">
        <f>IF([2]Entry!$J$1750="","",[2]Entry!$J$1750)</f>
        <v/>
      </c>
      <c r="N1747" t="str">
        <f>IF([2]Entry!$M$1750="","",[2]Entry!$M$1750)</f>
        <v/>
      </c>
      <c r="O1747" t="str">
        <f>IF([2]Entry!$N$1750="","",[2]Entry!$N$1750)</f>
        <v/>
      </c>
      <c r="P1747" t="str">
        <f>IF([2]Entry!$S$1750="","",[2]Entry!$S$1750)</f>
        <v/>
      </c>
    </row>
    <row r="1748" spans="12:16" x14ac:dyDescent="0.2">
      <c r="L1748" t="str">
        <f>IF([2]Entry!$C$1751="","",[2]Entry!$C$1751)</f>
        <v/>
      </c>
      <c r="M1748" t="str">
        <f>IF([2]Entry!$J$1751="","",[2]Entry!$J$1751)</f>
        <v/>
      </c>
      <c r="N1748" t="str">
        <f>IF([2]Entry!$M$1751="","",[2]Entry!$M$1751)</f>
        <v/>
      </c>
      <c r="O1748" t="str">
        <f>IF([2]Entry!$N$1751="","",[2]Entry!$N$1751)</f>
        <v/>
      </c>
      <c r="P1748" t="str">
        <f>IF([2]Entry!$S$1751="","",[2]Entry!$S$1751)</f>
        <v/>
      </c>
    </row>
    <row r="1749" spans="12:16" x14ac:dyDescent="0.2">
      <c r="L1749" t="str">
        <f>IF([2]Entry!$C$1752="","",[2]Entry!$C$1752)</f>
        <v/>
      </c>
      <c r="M1749" t="str">
        <f>IF([2]Entry!$J$1752="","",[2]Entry!$J$1752)</f>
        <v/>
      </c>
      <c r="N1749" t="str">
        <f>IF([2]Entry!$M$1752="","",[2]Entry!$M$1752)</f>
        <v/>
      </c>
      <c r="O1749" t="str">
        <f>IF([2]Entry!$N$1752="","",[2]Entry!$N$1752)</f>
        <v/>
      </c>
      <c r="P1749" t="str">
        <f>IF([2]Entry!$S$1752="","",[2]Entry!$S$1752)</f>
        <v/>
      </c>
    </row>
    <row r="1750" spans="12:16" x14ac:dyDescent="0.2">
      <c r="L1750" t="str">
        <f>IF([2]Entry!$C$1753="","",[2]Entry!$C$1753)</f>
        <v/>
      </c>
      <c r="M1750" t="str">
        <f>IF([2]Entry!$J$1753="","",[2]Entry!$J$1753)</f>
        <v/>
      </c>
      <c r="N1750" t="str">
        <f>IF([2]Entry!$M$1753="","",[2]Entry!$M$1753)</f>
        <v/>
      </c>
      <c r="O1750" t="str">
        <f>IF([2]Entry!$N$1753="","",[2]Entry!$N$1753)</f>
        <v/>
      </c>
      <c r="P1750" t="str">
        <f>IF([2]Entry!$S$1753="","",[2]Entry!$S$1753)</f>
        <v/>
      </c>
    </row>
    <row r="1751" spans="12:16" x14ac:dyDescent="0.2">
      <c r="L1751" t="str">
        <f>IF([2]Entry!$C$1754="","",[2]Entry!$C$1754)</f>
        <v/>
      </c>
      <c r="M1751" t="str">
        <f>IF([2]Entry!$J$1754="","",[2]Entry!$J$1754)</f>
        <v/>
      </c>
      <c r="N1751" t="str">
        <f>IF([2]Entry!$M$1754="","",[2]Entry!$M$1754)</f>
        <v/>
      </c>
      <c r="O1751" t="str">
        <f>IF([2]Entry!$N$1754="","",[2]Entry!$N$1754)</f>
        <v/>
      </c>
      <c r="P1751" t="str">
        <f>IF([2]Entry!$S$1754="","",[2]Entry!$S$1754)</f>
        <v/>
      </c>
    </row>
    <row r="1752" spans="12:16" x14ac:dyDescent="0.2">
      <c r="L1752" t="str">
        <f>IF([2]Entry!$C$1755="","",[2]Entry!$C$1755)</f>
        <v/>
      </c>
      <c r="M1752" t="str">
        <f>IF([2]Entry!$J$1755="","",[2]Entry!$J$1755)</f>
        <v/>
      </c>
      <c r="N1752" t="str">
        <f>IF([2]Entry!$M$1755="","",[2]Entry!$M$1755)</f>
        <v/>
      </c>
      <c r="O1752" t="str">
        <f>IF([2]Entry!$N$1755="","",[2]Entry!$N$1755)</f>
        <v/>
      </c>
      <c r="P1752" t="str">
        <f>IF([2]Entry!$S$1755="","",[2]Entry!$S$1755)</f>
        <v/>
      </c>
    </row>
    <row r="1753" spans="12:16" x14ac:dyDescent="0.2">
      <c r="L1753" t="str">
        <f>IF([2]Entry!$C$1756="","",[2]Entry!$C$1756)</f>
        <v/>
      </c>
      <c r="M1753" t="str">
        <f>IF([2]Entry!$J$1756="","",[2]Entry!$J$1756)</f>
        <v/>
      </c>
      <c r="N1753" t="str">
        <f>IF([2]Entry!$M$1756="","",[2]Entry!$M$1756)</f>
        <v/>
      </c>
      <c r="O1753" t="str">
        <f>IF([2]Entry!$N$1756="","",[2]Entry!$N$1756)</f>
        <v/>
      </c>
      <c r="P1753" t="str">
        <f>IF([2]Entry!$S$1756="","",[2]Entry!$S$1756)</f>
        <v/>
      </c>
    </row>
    <row r="1754" spans="12:16" x14ac:dyDescent="0.2">
      <c r="L1754" t="str">
        <f>IF([2]Entry!$C$1757="","",[2]Entry!$C$1757)</f>
        <v/>
      </c>
      <c r="M1754" t="str">
        <f>IF([2]Entry!$J$1757="","",[2]Entry!$J$1757)</f>
        <v/>
      </c>
      <c r="N1754" t="str">
        <f>IF([2]Entry!$M$1757="","",[2]Entry!$M$1757)</f>
        <v/>
      </c>
      <c r="O1754" t="str">
        <f>IF([2]Entry!$N$1757="","",[2]Entry!$N$1757)</f>
        <v/>
      </c>
      <c r="P1754" t="str">
        <f>IF([2]Entry!$S$1757="","",[2]Entry!$S$1757)</f>
        <v/>
      </c>
    </row>
    <row r="1755" spans="12:16" x14ac:dyDescent="0.2">
      <c r="L1755" t="str">
        <f>IF([2]Entry!$C$1758="","",[2]Entry!$C$1758)</f>
        <v/>
      </c>
      <c r="M1755" t="str">
        <f>IF([2]Entry!$J$1758="","",[2]Entry!$J$1758)</f>
        <v/>
      </c>
      <c r="N1755" t="str">
        <f>IF([2]Entry!$M$1758="","",[2]Entry!$M$1758)</f>
        <v/>
      </c>
      <c r="O1755" t="str">
        <f>IF([2]Entry!$N$1758="","",[2]Entry!$N$1758)</f>
        <v/>
      </c>
      <c r="P1755" t="str">
        <f>IF([2]Entry!$S$1758="","",[2]Entry!$S$1758)</f>
        <v/>
      </c>
    </row>
    <row r="1756" spans="12:16" x14ac:dyDescent="0.2">
      <c r="L1756" t="str">
        <f>IF([2]Entry!$C$1759="","",[2]Entry!$C$1759)</f>
        <v/>
      </c>
      <c r="M1756" t="str">
        <f>IF([2]Entry!$J$1759="","",[2]Entry!$J$1759)</f>
        <v/>
      </c>
      <c r="N1756" t="str">
        <f>IF([2]Entry!$M$1759="","",[2]Entry!$M$1759)</f>
        <v/>
      </c>
      <c r="O1756" t="str">
        <f>IF([2]Entry!$N$1759="","",[2]Entry!$N$1759)</f>
        <v/>
      </c>
      <c r="P1756" t="str">
        <f>IF([2]Entry!$S$1759="","",[2]Entry!$S$1759)</f>
        <v/>
      </c>
    </row>
    <row r="1757" spans="12:16" x14ac:dyDescent="0.2">
      <c r="L1757" t="str">
        <f>IF([2]Entry!$C$1760="","",[2]Entry!$C$1760)</f>
        <v/>
      </c>
      <c r="M1757" t="str">
        <f>IF([2]Entry!$J$1760="","",[2]Entry!$J$1760)</f>
        <v/>
      </c>
      <c r="N1757" t="str">
        <f>IF([2]Entry!$M$1760="","",[2]Entry!$M$1760)</f>
        <v/>
      </c>
      <c r="O1757" t="str">
        <f>IF([2]Entry!$N$1760="","",[2]Entry!$N$1760)</f>
        <v/>
      </c>
      <c r="P1757" t="str">
        <f>IF([2]Entry!$S$1760="","",[2]Entry!$S$1760)</f>
        <v/>
      </c>
    </row>
    <row r="1758" spans="12:16" x14ac:dyDescent="0.2">
      <c r="L1758" t="str">
        <f>IF([2]Entry!$C$1761="","",[2]Entry!$C$1761)</f>
        <v/>
      </c>
      <c r="M1758" t="str">
        <f>IF([2]Entry!$J$1761="","",[2]Entry!$J$1761)</f>
        <v/>
      </c>
      <c r="N1758" t="str">
        <f>IF([2]Entry!$M$1761="","",[2]Entry!$M$1761)</f>
        <v/>
      </c>
      <c r="O1758" t="str">
        <f>IF([2]Entry!$N$1761="","",[2]Entry!$N$1761)</f>
        <v/>
      </c>
      <c r="P1758" t="str">
        <f>IF([2]Entry!$S$1761="","",[2]Entry!$S$1761)</f>
        <v/>
      </c>
    </row>
    <row r="1759" spans="12:16" x14ac:dyDescent="0.2">
      <c r="L1759" t="str">
        <f>IF([2]Entry!$C$1762="","",[2]Entry!$C$1762)</f>
        <v/>
      </c>
      <c r="M1759" t="str">
        <f>IF([2]Entry!$J$1762="","",[2]Entry!$J$1762)</f>
        <v/>
      </c>
      <c r="N1759" t="str">
        <f>IF([2]Entry!$M$1762="","",[2]Entry!$M$1762)</f>
        <v/>
      </c>
      <c r="O1759" t="str">
        <f>IF([2]Entry!$N$1762="","",[2]Entry!$N$1762)</f>
        <v/>
      </c>
      <c r="P1759" t="str">
        <f>IF([2]Entry!$S$1762="","",[2]Entry!$S$1762)</f>
        <v/>
      </c>
    </row>
    <row r="1760" spans="12:16" x14ac:dyDescent="0.2">
      <c r="L1760" t="str">
        <f>IF([2]Entry!$C$1763="","",[2]Entry!$C$1763)</f>
        <v/>
      </c>
      <c r="M1760" t="str">
        <f>IF([2]Entry!$J$1763="","",[2]Entry!$J$1763)</f>
        <v/>
      </c>
      <c r="N1760" t="str">
        <f>IF([2]Entry!$M$1763="","",[2]Entry!$M$1763)</f>
        <v/>
      </c>
      <c r="O1760" t="str">
        <f>IF([2]Entry!$N$1763="","",[2]Entry!$N$1763)</f>
        <v/>
      </c>
      <c r="P1760" t="str">
        <f>IF([2]Entry!$S$1763="","",[2]Entry!$S$1763)</f>
        <v/>
      </c>
    </row>
    <row r="1761" spans="12:16" x14ac:dyDescent="0.2">
      <c r="L1761" t="str">
        <f>IF([2]Entry!$C$1764="","",[2]Entry!$C$1764)</f>
        <v/>
      </c>
      <c r="M1761" t="str">
        <f>IF([2]Entry!$J$1764="","",[2]Entry!$J$1764)</f>
        <v/>
      </c>
      <c r="N1761" t="str">
        <f>IF([2]Entry!$M$1764="","",[2]Entry!$M$1764)</f>
        <v/>
      </c>
      <c r="O1761" t="str">
        <f>IF([2]Entry!$N$1764="","",[2]Entry!$N$1764)</f>
        <v/>
      </c>
      <c r="P1761" t="str">
        <f>IF([2]Entry!$S$1764="","",[2]Entry!$S$1764)</f>
        <v/>
      </c>
    </row>
    <row r="1762" spans="12:16" x14ac:dyDescent="0.2">
      <c r="L1762" t="str">
        <f>IF([2]Entry!$C$1765="","",[2]Entry!$C$1765)</f>
        <v/>
      </c>
      <c r="M1762" t="str">
        <f>IF([2]Entry!$J$1765="","",[2]Entry!$J$1765)</f>
        <v/>
      </c>
      <c r="N1762" t="str">
        <f>IF([2]Entry!$M$1765="","",[2]Entry!$M$1765)</f>
        <v/>
      </c>
      <c r="O1762" t="str">
        <f>IF([2]Entry!$N$1765="","",[2]Entry!$N$1765)</f>
        <v/>
      </c>
      <c r="P1762" t="str">
        <f>IF([2]Entry!$S$1765="","",[2]Entry!$S$1765)</f>
        <v/>
      </c>
    </row>
    <row r="1763" spans="12:16" x14ac:dyDescent="0.2">
      <c r="L1763" t="str">
        <f>IF([2]Entry!$C$1766="","",[2]Entry!$C$1766)</f>
        <v/>
      </c>
      <c r="M1763" t="str">
        <f>IF([2]Entry!$J$1766="","",[2]Entry!$J$1766)</f>
        <v/>
      </c>
      <c r="N1763" t="str">
        <f>IF([2]Entry!$M$1766="","",[2]Entry!$M$1766)</f>
        <v/>
      </c>
      <c r="O1763" t="str">
        <f>IF([2]Entry!$N$1766="","",[2]Entry!$N$1766)</f>
        <v/>
      </c>
      <c r="P1763" t="str">
        <f>IF([2]Entry!$S$1766="","",[2]Entry!$S$1766)</f>
        <v/>
      </c>
    </row>
    <row r="1764" spans="12:16" x14ac:dyDescent="0.2">
      <c r="L1764" t="str">
        <f>IF([2]Entry!$C$1767="","",[2]Entry!$C$1767)</f>
        <v/>
      </c>
      <c r="M1764" t="str">
        <f>IF([2]Entry!$J$1767="","",[2]Entry!$J$1767)</f>
        <v/>
      </c>
      <c r="N1764" t="str">
        <f>IF([2]Entry!$M$1767="","",[2]Entry!$M$1767)</f>
        <v/>
      </c>
      <c r="O1764" t="str">
        <f>IF([2]Entry!$N$1767="","",[2]Entry!$N$1767)</f>
        <v/>
      </c>
      <c r="P1764" t="str">
        <f>IF([2]Entry!$S$1767="","",[2]Entry!$S$1767)</f>
        <v/>
      </c>
    </row>
    <row r="1765" spans="12:16" x14ac:dyDescent="0.2">
      <c r="L1765" t="str">
        <f>IF([2]Entry!$C$1768="","",[2]Entry!$C$1768)</f>
        <v/>
      </c>
      <c r="M1765" t="str">
        <f>IF([2]Entry!$J$1768="","",[2]Entry!$J$1768)</f>
        <v/>
      </c>
      <c r="N1765" t="str">
        <f>IF([2]Entry!$M$1768="","",[2]Entry!$M$1768)</f>
        <v/>
      </c>
      <c r="O1765" t="str">
        <f>IF([2]Entry!$N$1768="","",[2]Entry!$N$1768)</f>
        <v/>
      </c>
      <c r="P1765" t="str">
        <f>IF([2]Entry!$S$1768="","",[2]Entry!$S$1768)</f>
        <v/>
      </c>
    </row>
    <row r="1766" spans="12:16" x14ac:dyDescent="0.2">
      <c r="L1766" t="str">
        <f>IF([2]Entry!$C$1769="","",[2]Entry!$C$1769)</f>
        <v/>
      </c>
      <c r="M1766" t="str">
        <f>IF([2]Entry!$J$1769="","",[2]Entry!$J$1769)</f>
        <v/>
      </c>
      <c r="N1766" t="str">
        <f>IF([2]Entry!$M$1769="","",[2]Entry!$M$1769)</f>
        <v/>
      </c>
      <c r="O1766" t="str">
        <f>IF([2]Entry!$N$1769="","",[2]Entry!$N$1769)</f>
        <v/>
      </c>
      <c r="P1766" t="str">
        <f>IF([2]Entry!$S$1769="","",[2]Entry!$S$1769)</f>
        <v/>
      </c>
    </row>
    <row r="1767" spans="12:16" x14ac:dyDescent="0.2">
      <c r="L1767" t="str">
        <f>IF([2]Entry!$C$1770="","",[2]Entry!$C$1770)</f>
        <v/>
      </c>
      <c r="M1767" t="str">
        <f>IF([2]Entry!$J$1770="","",[2]Entry!$J$1770)</f>
        <v/>
      </c>
      <c r="N1767" t="str">
        <f>IF([2]Entry!$M$1770="","",[2]Entry!$M$1770)</f>
        <v/>
      </c>
      <c r="O1767" t="str">
        <f>IF([2]Entry!$N$1770="","",[2]Entry!$N$1770)</f>
        <v/>
      </c>
      <c r="P1767" t="str">
        <f>IF([2]Entry!$S$1770="","",[2]Entry!$S$1770)</f>
        <v/>
      </c>
    </row>
    <row r="1768" spans="12:16" x14ac:dyDescent="0.2">
      <c r="L1768" t="str">
        <f>IF([2]Entry!$C$1771="","",[2]Entry!$C$1771)</f>
        <v/>
      </c>
      <c r="M1768" t="str">
        <f>IF([2]Entry!$J$1771="","",[2]Entry!$J$1771)</f>
        <v/>
      </c>
      <c r="N1768" t="str">
        <f>IF([2]Entry!$M$1771="","",[2]Entry!$M$1771)</f>
        <v/>
      </c>
      <c r="O1768" t="str">
        <f>IF([2]Entry!$N$1771="","",[2]Entry!$N$1771)</f>
        <v/>
      </c>
      <c r="P1768" t="str">
        <f>IF([2]Entry!$S$1771="","",[2]Entry!$S$1771)</f>
        <v/>
      </c>
    </row>
    <row r="1769" spans="12:16" x14ac:dyDescent="0.2">
      <c r="L1769" t="str">
        <f>IF([2]Entry!$C$1772="","",[2]Entry!$C$1772)</f>
        <v/>
      </c>
      <c r="M1769" t="str">
        <f>IF([2]Entry!$J$1772="","",[2]Entry!$J$1772)</f>
        <v/>
      </c>
      <c r="N1769" t="str">
        <f>IF([2]Entry!$M$1772="","",[2]Entry!$M$1772)</f>
        <v/>
      </c>
      <c r="O1769" t="str">
        <f>IF([2]Entry!$N$1772="","",[2]Entry!$N$1772)</f>
        <v/>
      </c>
      <c r="P1769" t="str">
        <f>IF([2]Entry!$S$1772="","",[2]Entry!$S$1772)</f>
        <v/>
      </c>
    </row>
    <row r="1770" spans="12:16" x14ac:dyDescent="0.2">
      <c r="L1770" t="str">
        <f>IF([2]Entry!$C$1773="","",[2]Entry!$C$1773)</f>
        <v/>
      </c>
      <c r="M1770" t="str">
        <f>IF([2]Entry!$J$1773="","",[2]Entry!$J$1773)</f>
        <v/>
      </c>
      <c r="N1770" t="str">
        <f>IF([2]Entry!$M$1773="","",[2]Entry!$M$1773)</f>
        <v/>
      </c>
      <c r="O1770" t="str">
        <f>IF([2]Entry!$N$1773="","",[2]Entry!$N$1773)</f>
        <v/>
      </c>
      <c r="P1770" t="str">
        <f>IF([2]Entry!$S$1773="","",[2]Entry!$S$1773)</f>
        <v/>
      </c>
    </row>
    <row r="1771" spans="12:16" x14ac:dyDescent="0.2">
      <c r="L1771" t="str">
        <f>IF([2]Entry!$C$1774="","",[2]Entry!$C$1774)</f>
        <v/>
      </c>
      <c r="M1771" t="str">
        <f>IF([2]Entry!$J$1774="","",[2]Entry!$J$1774)</f>
        <v/>
      </c>
      <c r="N1771" t="str">
        <f>IF([2]Entry!$M$1774="","",[2]Entry!$M$1774)</f>
        <v/>
      </c>
      <c r="O1771" t="str">
        <f>IF([2]Entry!$N$1774="","",[2]Entry!$N$1774)</f>
        <v/>
      </c>
      <c r="P1771" t="str">
        <f>IF([2]Entry!$S$1774="","",[2]Entry!$S$1774)</f>
        <v/>
      </c>
    </row>
    <row r="1772" spans="12:16" x14ac:dyDescent="0.2">
      <c r="L1772" t="str">
        <f>IF([2]Entry!$C$1775="","",[2]Entry!$C$1775)</f>
        <v/>
      </c>
      <c r="M1772" t="str">
        <f>IF([2]Entry!$J$1775="","",[2]Entry!$J$1775)</f>
        <v/>
      </c>
      <c r="N1772" t="str">
        <f>IF([2]Entry!$M$1775="","",[2]Entry!$M$1775)</f>
        <v/>
      </c>
      <c r="O1772" t="str">
        <f>IF([2]Entry!$N$1775="","",[2]Entry!$N$1775)</f>
        <v/>
      </c>
      <c r="P1772" t="str">
        <f>IF([2]Entry!$S$1775="","",[2]Entry!$S$1775)</f>
        <v/>
      </c>
    </row>
    <row r="1773" spans="12:16" x14ac:dyDescent="0.2">
      <c r="L1773" t="str">
        <f>IF([2]Entry!$C$1776="","",[2]Entry!$C$1776)</f>
        <v/>
      </c>
      <c r="M1773" t="str">
        <f>IF([2]Entry!$J$1776="","",[2]Entry!$J$1776)</f>
        <v/>
      </c>
      <c r="N1773" t="str">
        <f>IF([2]Entry!$M$1776="","",[2]Entry!$M$1776)</f>
        <v/>
      </c>
      <c r="O1773" t="str">
        <f>IF([2]Entry!$N$1776="","",[2]Entry!$N$1776)</f>
        <v/>
      </c>
      <c r="P1773" t="str">
        <f>IF([2]Entry!$S$1776="","",[2]Entry!$S$1776)</f>
        <v/>
      </c>
    </row>
    <row r="1774" spans="12:16" x14ac:dyDescent="0.2">
      <c r="L1774" t="str">
        <f>IF([2]Entry!$C$1777="","",[2]Entry!$C$1777)</f>
        <v/>
      </c>
      <c r="M1774" t="str">
        <f>IF([2]Entry!$J$1777="","",[2]Entry!$J$1777)</f>
        <v/>
      </c>
      <c r="N1774" t="str">
        <f>IF([2]Entry!$M$1777="","",[2]Entry!$M$1777)</f>
        <v/>
      </c>
      <c r="O1774" t="str">
        <f>IF([2]Entry!$N$1777="","",[2]Entry!$N$1777)</f>
        <v/>
      </c>
      <c r="P1774" t="str">
        <f>IF([2]Entry!$S$1777="","",[2]Entry!$S$1777)</f>
        <v/>
      </c>
    </row>
    <row r="1775" spans="12:16" x14ac:dyDescent="0.2">
      <c r="L1775" t="str">
        <f>IF([2]Entry!$C$1778="","",[2]Entry!$C$1778)</f>
        <v/>
      </c>
      <c r="M1775" t="str">
        <f>IF([2]Entry!$J$1778="","",[2]Entry!$J$1778)</f>
        <v/>
      </c>
      <c r="N1775" t="str">
        <f>IF([2]Entry!$M$1778="","",[2]Entry!$M$1778)</f>
        <v/>
      </c>
      <c r="O1775" t="str">
        <f>IF([2]Entry!$N$1778="","",[2]Entry!$N$1778)</f>
        <v/>
      </c>
      <c r="P1775" t="str">
        <f>IF([2]Entry!$S$1778="","",[2]Entry!$S$1778)</f>
        <v/>
      </c>
    </row>
    <row r="1776" spans="12:16" x14ac:dyDescent="0.2">
      <c r="L1776" t="str">
        <f>IF([2]Entry!$C$1779="","",[2]Entry!$C$1779)</f>
        <v/>
      </c>
      <c r="M1776" t="str">
        <f>IF([2]Entry!$J$1779="","",[2]Entry!$J$1779)</f>
        <v/>
      </c>
      <c r="N1776" t="str">
        <f>IF([2]Entry!$M$1779="","",[2]Entry!$M$1779)</f>
        <v/>
      </c>
      <c r="O1776" t="str">
        <f>IF([2]Entry!$N$1779="","",[2]Entry!$N$1779)</f>
        <v/>
      </c>
      <c r="P1776" t="str">
        <f>IF([2]Entry!$S$1779="","",[2]Entry!$S$1779)</f>
        <v/>
      </c>
    </row>
    <row r="1777" spans="12:16" x14ac:dyDescent="0.2">
      <c r="L1777" t="str">
        <f>IF([2]Entry!$C$1780="","",[2]Entry!$C$1780)</f>
        <v/>
      </c>
      <c r="M1777" t="str">
        <f>IF([2]Entry!$J$1780="","",[2]Entry!$J$1780)</f>
        <v/>
      </c>
      <c r="N1777" t="str">
        <f>IF([2]Entry!$M$1780="","",[2]Entry!$M$1780)</f>
        <v/>
      </c>
      <c r="O1777" t="str">
        <f>IF([2]Entry!$N$1780="","",[2]Entry!$N$1780)</f>
        <v/>
      </c>
      <c r="P1777" t="str">
        <f>IF([2]Entry!$S$1780="","",[2]Entry!$S$1780)</f>
        <v/>
      </c>
    </row>
    <row r="1778" spans="12:16" x14ac:dyDescent="0.2">
      <c r="L1778" t="str">
        <f>IF([2]Entry!$C$1781="","",[2]Entry!$C$1781)</f>
        <v/>
      </c>
      <c r="M1778" t="str">
        <f>IF([2]Entry!$J$1781="","",[2]Entry!$J$1781)</f>
        <v/>
      </c>
      <c r="N1778" t="str">
        <f>IF([2]Entry!$M$1781="","",[2]Entry!$M$1781)</f>
        <v/>
      </c>
      <c r="O1778" t="str">
        <f>IF([2]Entry!$N$1781="","",[2]Entry!$N$1781)</f>
        <v/>
      </c>
      <c r="P1778" t="str">
        <f>IF([2]Entry!$S$1781="","",[2]Entry!$S$1781)</f>
        <v/>
      </c>
    </row>
    <row r="1779" spans="12:16" x14ac:dyDescent="0.2">
      <c r="L1779" t="str">
        <f>IF([2]Entry!$C$1782="","",[2]Entry!$C$1782)</f>
        <v/>
      </c>
      <c r="M1779" t="str">
        <f>IF([2]Entry!$J$1782="","",[2]Entry!$J$1782)</f>
        <v/>
      </c>
      <c r="N1779" t="str">
        <f>IF([2]Entry!$M$1782="","",[2]Entry!$M$1782)</f>
        <v/>
      </c>
      <c r="O1779" t="str">
        <f>IF([2]Entry!$N$1782="","",[2]Entry!$N$1782)</f>
        <v/>
      </c>
      <c r="P1779" t="str">
        <f>IF([2]Entry!$S$1782="","",[2]Entry!$S$1782)</f>
        <v/>
      </c>
    </row>
    <row r="1780" spans="12:16" x14ac:dyDescent="0.2">
      <c r="L1780" t="str">
        <f>IF([2]Entry!$C$1783="","",[2]Entry!$C$1783)</f>
        <v/>
      </c>
      <c r="M1780" t="str">
        <f>IF([2]Entry!$J$1783="","",[2]Entry!$J$1783)</f>
        <v/>
      </c>
      <c r="N1780" t="str">
        <f>IF([2]Entry!$M$1783="","",[2]Entry!$M$1783)</f>
        <v/>
      </c>
      <c r="O1780" t="str">
        <f>IF([2]Entry!$N$1783="","",[2]Entry!$N$1783)</f>
        <v/>
      </c>
      <c r="P1780" t="str">
        <f>IF([2]Entry!$S$1783="","",[2]Entry!$S$1783)</f>
        <v/>
      </c>
    </row>
    <row r="1781" spans="12:16" x14ac:dyDescent="0.2">
      <c r="L1781" t="str">
        <f>IF([2]Entry!$C$1784="","",[2]Entry!$C$1784)</f>
        <v/>
      </c>
      <c r="M1781" t="str">
        <f>IF([2]Entry!$J$1784="","",[2]Entry!$J$1784)</f>
        <v/>
      </c>
      <c r="N1781" t="str">
        <f>IF([2]Entry!$M$1784="","",[2]Entry!$M$1784)</f>
        <v/>
      </c>
      <c r="O1781" t="str">
        <f>IF([2]Entry!$N$1784="","",[2]Entry!$N$1784)</f>
        <v/>
      </c>
      <c r="P1781" t="str">
        <f>IF([2]Entry!$S$1784="","",[2]Entry!$S$1784)</f>
        <v/>
      </c>
    </row>
    <row r="1782" spans="12:16" x14ac:dyDescent="0.2">
      <c r="L1782" t="str">
        <f>IF([2]Entry!$C$1785="","",[2]Entry!$C$1785)</f>
        <v/>
      </c>
      <c r="M1782" t="str">
        <f>IF([2]Entry!$J$1785="","",[2]Entry!$J$1785)</f>
        <v/>
      </c>
      <c r="N1782" t="str">
        <f>IF([2]Entry!$M$1785="","",[2]Entry!$M$1785)</f>
        <v/>
      </c>
      <c r="O1782" t="str">
        <f>IF([2]Entry!$N$1785="","",[2]Entry!$N$1785)</f>
        <v/>
      </c>
      <c r="P1782" t="str">
        <f>IF([2]Entry!$S$1785="","",[2]Entry!$S$1785)</f>
        <v/>
      </c>
    </row>
    <row r="1783" spans="12:16" x14ac:dyDescent="0.2">
      <c r="L1783" t="str">
        <f>IF([2]Entry!$C$1786="","",[2]Entry!$C$1786)</f>
        <v/>
      </c>
      <c r="M1783" t="str">
        <f>IF([2]Entry!$J$1786="","",[2]Entry!$J$1786)</f>
        <v/>
      </c>
      <c r="N1783" t="str">
        <f>IF([2]Entry!$M$1786="","",[2]Entry!$M$1786)</f>
        <v/>
      </c>
      <c r="O1783" t="str">
        <f>IF([2]Entry!$N$1786="","",[2]Entry!$N$1786)</f>
        <v/>
      </c>
      <c r="P1783" t="str">
        <f>IF([2]Entry!$S$1786="","",[2]Entry!$S$1786)</f>
        <v/>
      </c>
    </row>
    <row r="1784" spans="12:16" x14ac:dyDescent="0.2">
      <c r="L1784" t="str">
        <f>IF([2]Entry!$C$1787="","",[2]Entry!$C$1787)</f>
        <v/>
      </c>
      <c r="M1784" t="str">
        <f>IF([2]Entry!$J$1787="","",[2]Entry!$J$1787)</f>
        <v/>
      </c>
      <c r="N1784" t="str">
        <f>IF([2]Entry!$M$1787="","",[2]Entry!$M$1787)</f>
        <v/>
      </c>
      <c r="O1784" t="str">
        <f>IF([2]Entry!$N$1787="","",[2]Entry!$N$1787)</f>
        <v/>
      </c>
      <c r="P1784" t="str">
        <f>IF([2]Entry!$S$1787="","",[2]Entry!$S$1787)</f>
        <v/>
      </c>
    </row>
    <row r="1785" spans="12:16" x14ac:dyDescent="0.2">
      <c r="L1785" t="str">
        <f>IF([2]Entry!$C$1788="","",[2]Entry!$C$1788)</f>
        <v/>
      </c>
      <c r="M1785" t="str">
        <f>IF([2]Entry!$J$1788="","",[2]Entry!$J$1788)</f>
        <v/>
      </c>
      <c r="N1785" t="str">
        <f>IF([2]Entry!$M$1788="","",[2]Entry!$M$1788)</f>
        <v/>
      </c>
      <c r="O1785" t="str">
        <f>IF([2]Entry!$N$1788="","",[2]Entry!$N$1788)</f>
        <v/>
      </c>
      <c r="P1785" t="str">
        <f>IF([2]Entry!$S$1788="","",[2]Entry!$S$1788)</f>
        <v/>
      </c>
    </row>
    <row r="1786" spans="12:16" x14ac:dyDescent="0.2">
      <c r="L1786" t="str">
        <f>IF([2]Entry!$C$1789="","",[2]Entry!$C$1789)</f>
        <v/>
      </c>
      <c r="M1786" t="str">
        <f>IF([2]Entry!$J$1789="","",[2]Entry!$J$1789)</f>
        <v/>
      </c>
      <c r="N1786" t="str">
        <f>IF([2]Entry!$M$1789="","",[2]Entry!$M$1789)</f>
        <v/>
      </c>
      <c r="O1786" t="str">
        <f>IF([2]Entry!$N$1789="","",[2]Entry!$N$1789)</f>
        <v/>
      </c>
      <c r="P1786" t="str">
        <f>IF([2]Entry!$S$1789="","",[2]Entry!$S$1789)</f>
        <v/>
      </c>
    </row>
    <row r="1787" spans="12:16" x14ac:dyDescent="0.2">
      <c r="L1787" t="str">
        <f>IF([2]Entry!$C$1790="","",[2]Entry!$C$1790)</f>
        <v/>
      </c>
      <c r="M1787" t="str">
        <f>IF([2]Entry!$J$1790="","",[2]Entry!$J$1790)</f>
        <v/>
      </c>
      <c r="N1787" t="str">
        <f>IF([2]Entry!$M$1790="","",[2]Entry!$M$1790)</f>
        <v/>
      </c>
      <c r="O1787" t="str">
        <f>IF([2]Entry!$N$1790="","",[2]Entry!$N$1790)</f>
        <v/>
      </c>
      <c r="P1787" t="str">
        <f>IF([2]Entry!$S$1790="","",[2]Entry!$S$1790)</f>
        <v/>
      </c>
    </row>
    <row r="1788" spans="12:16" x14ac:dyDescent="0.2">
      <c r="L1788" t="str">
        <f>IF([2]Entry!$C$1791="","",[2]Entry!$C$1791)</f>
        <v/>
      </c>
      <c r="M1788" t="str">
        <f>IF([2]Entry!$J$1791="","",[2]Entry!$J$1791)</f>
        <v/>
      </c>
      <c r="N1788" t="str">
        <f>IF([2]Entry!$M$1791="","",[2]Entry!$M$1791)</f>
        <v/>
      </c>
      <c r="O1788" t="str">
        <f>IF([2]Entry!$N$1791="","",[2]Entry!$N$1791)</f>
        <v/>
      </c>
      <c r="P1788" t="str">
        <f>IF([2]Entry!$S$1791="","",[2]Entry!$S$1791)</f>
        <v/>
      </c>
    </row>
    <row r="1789" spans="12:16" x14ac:dyDescent="0.2">
      <c r="L1789" t="str">
        <f>IF([2]Entry!$C$1792="","",[2]Entry!$C$1792)</f>
        <v/>
      </c>
      <c r="M1789" t="str">
        <f>IF([2]Entry!$J$1792="","",[2]Entry!$J$1792)</f>
        <v/>
      </c>
      <c r="N1789" t="str">
        <f>IF([2]Entry!$M$1792="","",[2]Entry!$M$1792)</f>
        <v/>
      </c>
      <c r="O1789" t="str">
        <f>IF([2]Entry!$N$1792="","",[2]Entry!$N$1792)</f>
        <v/>
      </c>
      <c r="P1789" t="str">
        <f>IF([2]Entry!$S$1792="","",[2]Entry!$S$1792)</f>
        <v/>
      </c>
    </row>
    <row r="1790" spans="12:16" x14ac:dyDescent="0.2">
      <c r="L1790" t="str">
        <f>IF([2]Entry!$C$1793="","",[2]Entry!$C$1793)</f>
        <v/>
      </c>
      <c r="M1790" t="str">
        <f>IF([2]Entry!$J$1793="","",[2]Entry!$J$1793)</f>
        <v/>
      </c>
      <c r="N1790" t="str">
        <f>IF([2]Entry!$M$1793="","",[2]Entry!$M$1793)</f>
        <v/>
      </c>
      <c r="O1790" t="str">
        <f>IF([2]Entry!$N$1793="","",[2]Entry!$N$1793)</f>
        <v/>
      </c>
      <c r="P1790" t="str">
        <f>IF([2]Entry!$S$1793="","",[2]Entry!$S$1793)</f>
        <v/>
      </c>
    </row>
    <row r="1791" spans="12:16" x14ac:dyDescent="0.2">
      <c r="L1791" t="str">
        <f>IF([2]Entry!$C$1794="","",[2]Entry!$C$1794)</f>
        <v/>
      </c>
      <c r="M1791" t="str">
        <f>IF([2]Entry!$J$1794="","",[2]Entry!$J$1794)</f>
        <v/>
      </c>
      <c r="N1791" t="str">
        <f>IF([2]Entry!$M$1794="","",[2]Entry!$M$1794)</f>
        <v/>
      </c>
      <c r="O1791" t="str">
        <f>IF([2]Entry!$N$1794="","",[2]Entry!$N$1794)</f>
        <v/>
      </c>
      <c r="P1791" t="str">
        <f>IF([2]Entry!$S$1794="","",[2]Entry!$S$1794)</f>
        <v/>
      </c>
    </row>
    <row r="1792" spans="12:16" x14ac:dyDescent="0.2">
      <c r="L1792" t="str">
        <f>IF([2]Entry!$C$1795="","",[2]Entry!$C$1795)</f>
        <v/>
      </c>
      <c r="M1792" t="str">
        <f>IF([2]Entry!$J$1795="","",[2]Entry!$J$1795)</f>
        <v/>
      </c>
      <c r="N1792" t="str">
        <f>IF([2]Entry!$M$1795="","",[2]Entry!$M$1795)</f>
        <v/>
      </c>
      <c r="O1792" t="str">
        <f>IF([2]Entry!$N$1795="","",[2]Entry!$N$1795)</f>
        <v/>
      </c>
      <c r="P1792" t="str">
        <f>IF([2]Entry!$S$1795="","",[2]Entry!$S$1795)</f>
        <v/>
      </c>
    </row>
    <row r="1793" spans="12:16" x14ac:dyDescent="0.2">
      <c r="L1793" t="str">
        <f>IF([2]Entry!$C$1796="","",[2]Entry!$C$1796)</f>
        <v/>
      </c>
      <c r="M1793" t="str">
        <f>IF([2]Entry!$J$1796="","",[2]Entry!$J$1796)</f>
        <v/>
      </c>
      <c r="N1793" t="str">
        <f>IF([2]Entry!$M$1796="","",[2]Entry!$M$1796)</f>
        <v/>
      </c>
      <c r="O1793" t="str">
        <f>IF([2]Entry!$N$1796="","",[2]Entry!$N$1796)</f>
        <v/>
      </c>
      <c r="P1793" t="str">
        <f>IF([2]Entry!$S$1796="","",[2]Entry!$S$1796)</f>
        <v/>
      </c>
    </row>
    <row r="1794" spans="12:16" x14ac:dyDescent="0.2">
      <c r="L1794" t="str">
        <f>IF([2]Entry!$C$1797="","",[2]Entry!$C$1797)</f>
        <v/>
      </c>
      <c r="M1794" t="str">
        <f>IF([2]Entry!$J$1797="","",[2]Entry!$J$1797)</f>
        <v/>
      </c>
      <c r="N1794" t="str">
        <f>IF([2]Entry!$M$1797="","",[2]Entry!$M$1797)</f>
        <v/>
      </c>
      <c r="O1794" t="str">
        <f>IF([2]Entry!$N$1797="","",[2]Entry!$N$1797)</f>
        <v/>
      </c>
      <c r="P1794" t="str">
        <f>IF([2]Entry!$S$1797="","",[2]Entry!$S$1797)</f>
        <v/>
      </c>
    </row>
    <row r="1795" spans="12:16" x14ac:dyDescent="0.2">
      <c r="L1795" t="str">
        <f>IF([2]Entry!$C$1798="","",[2]Entry!$C$1798)</f>
        <v/>
      </c>
      <c r="M1795" t="str">
        <f>IF([2]Entry!$J$1798="","",[2]Entry!$J$1798)</f>
        <v/>
      </c>
      <c r="N1795" t="str">
        <f>IF([2]Entry!$M$1798="","",[2]Entry!$M$1798)</f>
        <v/>
      </c>
      <c r="O1795" t="str">
        <f>IF([2]Entry!$N$1798="","",[2]Entry!$N$1798)</f>
        <v/>
      </c>
      <c r="P1795" t="str">
        <f>IF([2]Entry!$S$1798="","",[2]Entry!$S$1798)</f>
        <v/>
      </c>
    </row>
    <row r="1796" spans="12:16" x14ac:dyDescent="0.2">
      <c r="L1796" t="str">
        <f>IF([2]Entry!$C$1799="","",[2]Entry!$C$1799)</f>
        <v/>
      </c>
      <c r="M1796" t="str">
        <f>IF([2]Entry!$J$1799="","",[2]Entry!$J$1799)</f>
        <v/>
      </c>
      <c r="N1796" t="str">
        <f>IF([2]Entry!$M$1799="","",[2]Entry!$M$1799)</f>
        <v/>
      </c>
      <c r="O1796" t="str">
        <f>IF([2]Entry!$N$1799="","",[2]Entry!$N$1799)</f>
        <v/>
      </c>
      <c r="P1796" t="str">
        <f>IF([2]Entry!$S$1799="","",[2]Entry!$S$1799)</f>
        <v/>
      </c>
    </row>
    <row r="1797" spans="12:16" x14ac:dyDescent="0.2">
      <c r="L1797" t="str">
        <f>IF([2]Entry!$C$1800="","",[2]Entry!$C$1800)</f>
        <v/>
      </c>
      <c r="M1797" t="str">
        <f>IF([2]Entry!$J$1800="","",[2]Entry!$J$1800)</f>
        <v/>
      </c>
      <c r="N1797" t="str">
        <f>IF([2]Entry!$M$1800="","",[2]Entry!$M$1800)</f>
        <v/>
      </c>
      <c r="O1797" t="str">
        <f>IF([2]Entry!$N$1800="","",[2]Entry!$N$1800)</f>
        <v/>
      </c>
      <c r="P1797" t="str">
        <f>IF([2]Entry!$S$1800="","",[2]Entry!$S$1800)</f>
        <v/>
      </c>
    </row>
    <row r="1798" spans="12:16" x14ac:dyDescent="0.2">
      <c r="L1798" t="str">
        <f>IF([2]Entry!$C$1801="","",[2]Entry!$C$1801)</f>
        <v/>
      </c>
      <c r="M1798" t="str">
        <f>IF([2]Entry!$J$1801="","",[2]Entry!$J$1801)</f>
        <v/>
      </c>
      <c r="N1798" t="str">
        <f>IF([2]Entry!$M$1801="","",[2]Entry!$M$1801)</f>
        <v/>
      </c>
      <c r="O1798" t="str">
        <f>IF([2]Entry!$N$1801="","",[2]Entry!$N$1801)</f>
        <v/>
      </c>
      <c r="P1798" t="str">
        <f>IF([2]Entry!$S$1801="","",[2]Entry!$S$1801)</f>
        <v/>
      </c>
    </row>
    <row r="1799" spans="12:16" x14ac:dyDescent="0.2">
      <c r="L1799" t="str">
        <f>IF([2]Entry!$C$1802="","",[2]Entry!$C$1802)</f>
        <v/>
      </c>
      <c r="M1799" t="str">
        <f>IF([2]Entry!$J$1802="","",[2]Entry!$J$1802)</f>
        <v/>
      </c>
      <c r="N1799" t="str">
        <f>IF([2]Entry!$M$1802="","",[2]Entry!$M$1802)</f>
        <v/>
      </c>
      <c r="O1799" t="str">
        <f>IF([2]Entry!$N$1802="","",[2]Entry!$N$1802)</f>
        <v/>
      </c>
      <c r="P1799" t="str">
        <f>IF([2]Entry!$S$1802="","",[2]Entry!$S$1802)</f>
        <v/>
      </c>
    </row>
    <row r="1800" spans="12:16" x14ac:dyDescent="0.2">
      <c r="L1800" t="str">
        <f>IF([2]Entry!$C$1803="","",[2]Entry!$C$1803)</f>
        <v/>
      </c>
      <c r="M1800" t="str">
        <f>IF([2]Entry!$J$1803="","",[2]Entry!$J$1803)</f>
        <v/>
      </c>
      <c r="N1800" t="str">
        <f>IF([2]Entry!$M$1803="","",[2]Entry!$M$1803)</f>
        <v/>
      </c>
      <c r="O1800" t="str">
        <f>IF([2]Entry!$N$1803="","",[2]Entry!$N$1803)</f>
        <v/>
      </c>
      <c r="P1800" t="str">
        <f>IF([2]Entry!$S$1803="","",[2]Entry!$S$1803)</f>
        <v/>
      </c>
    </row>
    <row r="1801" spans="12:16" x14ac:dyDescent="0.2">
      <c r="L1801" t="str">
        <f>IF([2]Entry!$C$1804="","",[2]Entry!$C$1804)</f>
        <v/>
      </c>
      <c r="M1801" t="str">
        <f>IF([2]Entry!$J$1804="","",[2]Entry!$J$1804)</f>
        <v/>
      </c>
      <c r="N1801" t="str">
        <f>IF([2]Entry!$M$1804="","",[2]Entry!$M$1804)</f>
        <v/>
      </c>
      <c r="O1801" t="str">
        <f>IF([2]Entry!$N$1804="","",[2]Entry!$N$1804)</f>
        <v/>
      </c>
      <c r="P1801" t="str">
        <f>IF([2]Entry!$S$1804="","",[2]Entry!$S$1804)</f>
        <v/>
      </c>
    </row>
    <row r="1802" spans="12:16" x14ac:dyDescent="0.2">
      <c r="L1802" t="str">
        <f>IF([2]Entry!$C$1805="","",[2]Entry!$C$1805)</f>
        <v/>
      </c>
      <c r="M1802" t="str">
        <f>IF([2]Entry!$J$1805="","",[2]Entry!$J$1805)</f>
        <v/>
      </c>
      <c r="N1802" t="str">
        <f>IF([2]Entry!$M$1805="","",[2]Entry!$M$1805)</f>
        <v/>
      </c>
      <c r="O1802" t="str">
        <f>IF([2]Entry!$N$1805="","",[2]Entry!$N$1805)</f>
        <v/>
      </c>
      <c r="P1802" t="str">
        <f>IF([2]Entry!$S$1805="","",[2]Entry!$S$1805)</f>
        <v/>
      </c>
    </row>
    <row r="1803" spans="12:16" x14ac:dyDescent="0.2">
      <c r="L1803" t="str">
        <f>IF([2]Entry!$C$1806="","",[2]Entry!$C$1806)</f>
        <v/>
      </c>
      <c r="M1803" t="str">
        <f>IF([2]Entry!$J$1806="","",[2]Entry!$J$1806)</f>
        <v/>
      </c>
      <c r="N1803" t="str">
        <f>IF([2]Entry!$M$1806="","",[2]Entry!$M$1806)</f>
        <v/>
      </c>
      <c r="O1803" t="str">
        <f>IF([2]Entry!$N$1806="","",[2]Entry!$N$1806)</f>
        <v/>
      </c>
      <c r="P1803" t="str">
        <f>IF([2]Entry!$S$1806="","",[2]Entry!$S$1806)</f>
        <v/>
      </c>
    </row>
    <row r="1804" spans="12:16" x14ac:dyDescent="0.2">
      <c r="L1804" t="str">
        <f>IF([2]Entry!$C$1807="","",[2]Entry!$C$1807)</f>
        <v/>
      </c>
      <c r="M1804" t="str">
        <f>IF([2]Entry!$J$1807="","",[2]Entry!$J$1807)</f>
        <v/>
      </c>
      <c r="N1804" t="str">
        <f>IF([2]Entry!$M$1807="","",[2]Entry!$M$1807)</f>
        <v/>
      </c>
      <c r="O1804" t="str">
        <f>IF([2]Entry!$N$1807="","",[2]Entry!$N$1807)</f>
        <v/>
      </c>
      <c r="P1804" t="str">
        <f>IF([2]Entry!$S$1807="","",[2]Entry!$S$1807)</f>
        <v/>
      </c>
    </row>
    <row r="1805" spans="12:16" x14ac:dyDescent="0.2">
      <c r="L1805" t="str">
        <f>IF([2]Entry!$C$1808="","",[2]Entry!$C$1808)</f>
        <v/>
      </c>
      <c r="M1805" t="str">
        <f>IF([2]Entry!$J$1808="","",[2]Entry!$J$1808)</f>
        <v/>
      </c>
      <c r="N1805" t="str">
        <f>IF([2]Entry!$M$1808="","",[2]Entry!$M$1808)</f>
        <v/>
      </c>
      <c r="O1805" t="str">
        <f>IF([2]Entry!$N$1808="","",[2]Entry!$N$1808)</f>
        <v/>
      </c>
      <c r="P1805" t="str">
        <f>IF([2]Entry!$S$1808="","",[2]Entry!$S$1808)</f>
        <v/>
      </c>
    </row>
    <row r="1806" spans="12:16" x14ac:dyDescent="0.2">
      <c r="L1806" t="str">
        <f>IF([2]Entry!$C$1809="","",[2]Entry!$C$1809)</f>
        <v/>
      </c>
      <c r="M1806" t="str">
        <f>IF([2]Entry!$J$1809="","",[2]Entry!$J$1809)</f>
        <v/>
      </c>
      <c r="N1806" t="str">
        <f>IF([2]Entry!$M$1809="","",[2]Entry!$M$1809)</f>
        <v/>
      </c>
      <c r="O1806" t="str">
        <f>IF([2]Entry!$N$1809="","",[2]Entry!$N$1809)</f>
        <v/>
      </c>
      <c r="P1806" t="str">
        <f>IF([2]Entry!$S$1809="","",[2]Entry!$S$1809)</f>
        <v/>
      </c>
    </row>
    <row r="1807" spans="12:16" x14ac:dyDescent="0.2">
      <c r="L1807" t="str">
        <f>IF([2]Entry!$C$1810="","",[2]Entry!$C$1810)</f>
        <v/>
      </c>
      <c r="M1807" t="str">
        <f>IF([2]Entry!$J$1810="","",[2]Entry!$J$1810)</f>
        <v/>
      </c>
      <c r="N1807" t="str">
        <f>IF([2]Entry!$M$1810="","",[2]Entry!$M$1810)</f>
        <v/>
      </c>
      <c r="O1807" t="str">
        <f>IF([2]Entry!$N$1810="","",[2]Entry!$N$1810)</f>
        <v/>
      </c>
      <c r="P1807" t="str">
        <f>IF([2]Entry!$S$1810="","",[2]Entry!$S$1810)</f>
        <v/>
      </c>
    </row>
    <row r="1808" spans="12:16" x14ac:dyDescent="0.2">
      <c r="L1808" t="str">
        <f>IF([2]Entry!$C$1811="","",[2]Entry!$C$1811)</f>
        <v/>
      </c>
      <c r="M1808" t="str">
        <f>IF([2]Entry!$J$1811="","",[2]Entry!$J$1811)</f>
        <v/>
      </c>
      <c r="N1808" t="str">
        <f>IF([2]Entry!$M$1811="","",[2]Entry!$M$1811)</f>
        <v/>
      </c>
      <c r="O1808" t="str">
        <f>IF([2]Entry!$N$1811="","",[2]Entry!$N$1811)</f>
        <v/>
      </c>
      <c r="P1808" t="str">
        <f>IF([2]Entry!$S$1811="","",[2]Entry!$S$1811)</f>
        <v/>
      </c>
    </row>
    <row r="1809" spans="12:16" x14ac:dyDescent="0.2">
      <c r="L1809" t="str">
        <f>IF([2]Entry!$C$1812="","",[2]Entry!$C$1812)</f>
        <v/>
      </c>
      <c r="M1809" t="str">
        <f>IF([2]Entry!$J$1812="","",[2]Entry!$J$1812)</f>
        <v/>
      </c>
      <c r="N1809" t="str">
        <f>IF([2]Entry!$M$1812="","",[2]Entry!$M$1812)</f>
        <v/>
      </c>
      <c r="O1809" t="str">
        <f>IF([2]Entry!$N$1812="","",[2]Entry!$N$1812)</f>
        <v/>
      </c>
      <c r="P1809" t="str">
        <f>IF([2]Entry!$S$1812="","",[2]Entry!$S$1812)</f>
        <v/>
      </c>
    </row>
    <row r="1810" spans="12:16" x14ac:dyDescent="0.2">
      <c r="L1810" t="str">
        <f>IF([2]Entry!$C$1813="","",[2]Entry!$C$1813)</f>
        <v/>
      </c>
      <c r="M1810" t="str">
        <f>IF([2]Entry!$J$1813="","",[2]Entry!$J$1813)</f>
        <v/>
      </c>
      <c r="N1810" t="str">
        <f>IF([2]Entry!$M$1813="","",[2]Entry!$M$1813)</f>
        <v/>
      </c>
      <c r="O1810" t="str">
        <f>IF([2]Entry!$N$1813="","",[2]Entry!$N$1813)</f>
        <v/>
      </c>
      <c r="P1810" t="str">
        <f>IF([2]Entry!$S$1813="","",[2]Entry!$S$1813)</f>
        <v/>
      </c>
    </row>
    <row r="1811" spans="12:16" x14ac:dyDescent="0.2">
      <c r="L1811" t="str">
        <f>IF([2]Entry!$C$1814="","",[2]Entry!$C$1814)</f>
        <v/>
      </c>
      <c r="M1811" t="str">
        <f>IF([2]Entry!$J$1814="","",[2]Entry!$J$1814)</f>
        <v/>
      </c>
      <c r="N1811" t="str">
        <f>IF([2]Entry!$M$1814="","",[2]Entry!$M$1814)</f>
        <v/>
      </c>
      <c r="O1811" t="str">
        <f>IF([2]Entry!$N$1814="","",[2]Entry!$N$1814)</f>
        <v/>
      </c>
      <c r="P1811" t="str">
        <f>IF([2]Entry!$S$1814="","",[2]Entry!$S$1814)</f>
        <v/>
      </c>
    </row>
    <row r="1812" spans="12:16" x14ac:dyDescent="0.2">
      <c r="L1812" t="str">
        <f>IF([2]Entry!$C$1815="","",[2]Entry!$C$1815)</f>
        <v/>
      </c>
      <c r="M1812" t="str">
        <f>IF([2]Entry!$J$1815="","",[2]Entry!$J$1815)</f>
        <v/>
      </c>
      <c r="N1812" t="str">
        <f>IF([2]Entry!$M$1815="","",[2]Entry!$M$1815)</f>
        <v/>
      </c>
      <c r="O1812" t="str">
        <f>IF([2]Entry!$N$1815="","",[2]Entry!$N$1815)</f>
        <v/>
      </c>
      <c r="P1812" t="str">
        <f>IF([2]Entry!$S$1815="","",[2]Entry!$S$1815)</f>
        <v/>
      </c>
    </row>
    <row r="1813" spans="12:16" x14ac:dyDescent="0.2">
      <c r="L1813" t="str">
        <f>IF([2]Entry!$C$1816="","",[2]Entry!$C$1816)</f>
        <v/>
      </c>
      <c r="M1813" t="str">
        <f>IF([2]Entry!$J$1816="","",[2]Entry!$J$1816)</f>
        <v/>
      </c>
      <c r="N1813" t="str">
        <f>IF([2]Entry!$M$1816="","",[2]Entry!$M$1816)</f>
        <v/>
      </c>
      <c r="O1813" t="str">
        <f>IF([2]Entry!$N$1816="","",[2]Entry!$N$1816)</f>
        <v/>
      </c>
      <c r="P1813" t="str">
        <f>IF([2]Entry!$S$1816="","",[2]Entry!$S$1816)</f>
        <v/>
      </c>
    </row>
    <row r="1814" spans="12:16" x14ac:dyDescent="0.2">
      <c r="L1814" t="str">
        <f>IF([2]Entry!$C$1817="","",[2]Entry!$C$1817)</f>
        <v/>
      </c>
      <c r="M1814" t="str">
        <f>IF([2]Entry!$J$1817="","",[2]Entry!$J$1817)</f>
        <v/>
      </c>
      <c r="N1814" t="str">
        <f>IF([2]Entry!$M$1817="","",[2]Entry!$M$1817)</f>
        <v/>
      </c>
      <c r="O1814" t="str">
        <f>IF([2]Entry!$N$1817="","",[2]Entry!$N$1817)</f>
        <v/>
      </c>
      <c r="P1814" t="str">
        <f>IF([2]Entry!$S$1817="","",[2]Entry!$S$1817)</f>
        <v/>
      </c>
    </row>
    <row r="1815" spans="12:16" x14ac:dyDescent="0.2">
      <c r="L1815" t="str">
        <f>IF([2]Entry!$C$1818="","",[2]Entry!$C$1818)</f>
        <v/>
      </c>
      <c r="M1815" t="str">
        <f>IF([2]Entry!$J$1818="","",[2]Entry!$J$1818)</f>
        <v/>
      </c>
      <c r="N1815" t="str">
        <f>IF([2]Entry!$M$1818="","",[2]Entry!$M$1818)</f>
        <v/>
      </c>
      <c r="O1815" t="str">
        <f>IF([2]Entry!$N$1818="","",[2]Entry!$N$1818)</f>
        <v/>
      </c>
      <c r="P1815" t="str">
        <f>IF([2]Entry!$S$1818="","",[2]Entry!$S$1818)</f>
        <v/>
      </c>
    </row>
    <row r="1816" spans="12:16" x14ac:dyDescent="0.2">
      <c r="L1816" t="str">
        <f>IF([2]Entry!$C$1819="","",[2]Entry!$C$1819)</f>
        <v/>
      </c>
      <c r="M1816" t="str">
        <f>IF([2]Entry!$J$1819="","",[2]Entry!$J$1819)</f>
        <v/>
      </c>
      <c r="N1816" t="str">
        <f>IF([2]Entry!$M$1819="","",[2]Entry!$M$1819)</f>
        <v/>
      </c>
      <c r="O1816" t="str">
        <f>IF([2]Entry!$N$1819="","",[2]Entry!$N$1819)</f>
        <v/>
      </c>
      <c r="P1816" t="str">
        <f>IF([2]Entry!$S$1819="","",[2]Entry!$S$1819)</f>
        <v/>
      </c>
    </row>
    <row r="1817" spans="12:16" x14ac:dyDescent="0.2">
      <c r="L1817" t="str">
        <f>IF([2]Entry!$C$1820="","",[2]Entry!$C$1820)</f>
        <v/>
      </c>
      <c r="M1817" t="str">
        <f>IF([2]Entry!$J$1820="","",[2]Entry!$J$1820)</f>
        <v/>
      </c>
      <c r="N1817" t="str">
        <f>IF([2]Entry!$M$1820="","",[2]Entry!$M$1820)</f>
        <v/>
      </c>
      <c r="O1817" t="str">
        <f>IF([2]Entry!$N$1820="","",[2]Entry!$N$1820)</f>
        <v/>
      </c>
      <c r="P1817" t="str">
        <f>IF([2]Entry!$S$1820="","",[2]Entry!$S$1820)</f>
        <v/>
      </c>
    </row>
    <row r="1818" spans="12:16" x14ac:dyDescent="0.2">
      <c r="L1818" t="str">
        <f>IF([2]Entry!$C$1821="","",[2]Entry!$C$1821)</f>
        <v/>
      </c>
      <c r="M1818" t="str">
        <f>IF([2]Entry!$J$1821="","",[2]Entry!$J$1821)</f>
        <v/>
      </c>
      <c r="N1818" t="str">
        <f>IF([2]Entry!$M$1821="","",[2]Entry!$M$1821)</f>
        <v/>
      </c>
      <c r="O1818" t="str">
        <f>IF([2]Entry!$N$1821="","",[2]Entry!$N$1821)</f>
        <v/>
      </c>
      <c r="P1818" t="str">
        <f>IF([2]Entry!$S$1821="","",[2]Entry!$S$1821)</f>
        <v/>
      </c>
    </row>
    <row r="1819" spans="12:16" x14ac:dyDescent="0.2">
      <c r="L1819" t="str">
        <f>IF([2]Entry!$C$1822="","",[2]Entry!$C$1822)</f>
        <v/>
      </c>
      <c r="M1819" t="str">
        <f>IF([2]Entry!$J$1822="","",[2]Entry!$J$1822)</f>
        <v/>
      </c>
      <c r="N1819" t="str">
        <f>IF([2]Entry!$M$1822="","",[2]Entry!$M$1822)</f>
        <v/>
      </c>
      <c r="O1819" t="str">
        <f>IF([2]Entry!$N$1822="","",[2]Entry!$N$1822)</f>
        <v/>
      </c>
      <c r="P1819" t="str">
        <f>IF([2]Entry!$S$1822="","",[2]Entry!$S$1822)</f>
        <v/>
      </c>
    </row>
    <row r="1820" spans="12:16" x14ac:dyDescent="0.2">
      <c r="L1820" t="str">
        <f>IF([2]Entry!$C$1823="","",[2]Entry!$C$1823)</f>
        <v/>
      </c>
      <c r="M1820" t="str">
        <f>IF([2]Entry!$J$1823="","",[2]Entry!$J$1823)</f>
        <v/>
      </c>
      <c r="N1820" t="str">
        <f>IF([2]Entry!$M$1823="","",[2]Entry!$M$1823)</f>
        <v/>
      </c>
      <c r="O1820" t="str">
        <f>IF([2]Entry!$N$1823="","",[2]Entry!$N$1823)</f>
        <v/>
      </c>
      <c r="P1820" t="str">
        <f>IF([2]Entry!$S$1823="","",[2]Entry!$S$1823)</f>
        <v/>
      </c>
    </row>
    <row r="1821" spans="12:16" x14ac:dyDescent="0.2">
      <c r="L1821" t="str">
        <f>IF([2]Entry!$C$1824="","",[2]Entry!$C$1824)</f>
        <v/>
      </c>
      <c r="M1821" t="str">
        <f>IF([2]Entry!$J$1824="","",[2]Entry!$J$1824)</f>
        <v/>
      </c>
      <c r="N1821" t="str">
        <f>IF([2]Entry!$M$1824="","",[2]Entry!$M$1824)</f>
        <v/>
      </c>
      <c r="O1821" t="str">
        <f>IF([2]Entry!$N$1824="","",[2]Entry!$N$1824)</f>
        <v/>
      </c>
      <c r="P1821" t="str">
        <f>IF([2]Entry!$S$1824="","",[2]Entry!$S$1824)</f>
        <v/>
      </c>
    </row>
    <row r="1822" spans="12:16" x14ac:dyDescent="0.2">
      <c r="L1822" t="str">
        <f>IF([2]Entry!$C$1825="","",[2]Entry!$C$1825)</f>
        <v/>
      </c>
      <c r="M1822" t="str">
        <f>IF([2]Entry!$J$1825="","",[2]Entry!$J$1825)</f>
        <v/>
      </c>
      <c r="N1822" t="str">
        <f>IF([2]Entry!$M$1825="","",[2]Entry!$M$1825)</f>
        <v/>
      </c>
      <c r="O1822" t="str">
        <f>IF([2]Entry!$N$1825="","",[2]Entry!$N$1825)</f>
        <v/>
      </c>
      <c r="P1822" t="str">
        <f>IF([2]Entry!$S$1825="","",[2]Entry!$S$1825)</f>
        <v/>
      </c>
    </row>
    <row r="1823" spans="12:16" x14ac:dyDescent="0.2">
      <c r="L1823" t="str">
        <f>IF([2]Entry!$C$1826="","",[2]Entry!$C$1826)</f>
        <v/>
      </c>
      <c r="M1823" t="str">
        <f>IF([2]Entry!$J$1826="","",[2]Entry!$J$1826)</f>
        <v/>
      </c>
      <c r="N1823" t="str">
        <f>IF([2]Entry!$M$1826="","",[2]Entry!$M$1826)</f>
        <v/>
      </c>
      <c r="O1823" t="str">
        <f>IF([2]Entry!$N$1826="","",[2]Entry!$N$1826)</f>
        <v/>
      </c>
      <c r="P1823" t="str">
        <f>IF([2]Entry!$S$1826="","",[2]Entry!$S$1826)</f>
        <v/>
      </c>
    </row>
    <row r="1824" spans="12:16" x14ac:dyDescent="0.2">
      <c r="L1824" t="str">
        <f>IF([2]Entry!$C$1827="","",[2]Entry!$C$1827)</f>
        <v/>
      </c>
      <c r="M1824" t="str">
        <f>IF([2]Entry!$J$1827="","",[2]Entry!$J$1827)</f>
        <v/>
      </c>
      <c r="N1824" t="str">
        <f>IF([2]Entry!$M$1827="","",[2]Entry!$M$1827)</f>
        <v/>
      </c>
      <c r="O1824" t="str">
        <f>IF([2]Entry!$N$1827="","",[2]Entry!$N$1827)</f>
        <v/>
      </c>
      <c r="P1824" t="str">
        <f>IF([2]Entry!$S$1827="","",[2]Entry!$S$1827)</f>
        <v/>
      </c>
    </row>
    <row r="1825" spans="12:16" x14ac:dyDescent="0.2">
      <c r="L1825" t="str">
        <f>IF([2]Entry!$C$1828="","",[2]Entry!$C$1828)</f>
        <v/>
      </c>
      <c r="M1825" t="str">
        <f>IF([2]Entry!$J$1828="","",[2]Entry!$J$1828)</f>
        <v/>
      </c>
      <c r="N1825" t="str">
        <f>IF([2]Entry!$M$1828="","",[2]Entry!$M$1828)</f>
        <v/>
      </c>
      <c r="O1825" t="str">
        <f>IF([2]Entry!$N$1828="","",[2]Entry!$N$1828)</f>
        <v/>
      </c>
      <c r="P1825" t="str">
        <f>IF([2]Entry!$S$1828="","",[2]Entry!$S$1828)</f>
        <v/>
      </c>
    </row>
    <row r="1826" spans="12:16" x14ac:dyDescent="0.2">
      <c r="L1826" t="str">
        <f>IF([2]Entry!$C$1829="","",[2]Entry!$C$1829)</f>
        <v/>
      </c>
      <c r="M1826" t="str">
        <f>IF([2]Entry!$J$1829="","",[2]Entry!$J$1829)</f>
        <v/>
      </c>
      <c r="N1826" t="str">
        <f>IF([2]Entry!$M$1829="","",[2]Entry!$M$1829)</f>
        <v/>
      </c>
      <c r="O1826" t="str">
        <f>IF([2]Entry!$N$1829="","",[2]Entry!$N$1829)</f>
        <v/>
      </c>
      <c r="P1826" t="str">
        <f>IF([2]Entry!$S$1829="","",[2]Entry!$S$1829)</f>
        <v/>
      </c>
    </row>
    <row r="1827" spans="12:16" x14ac:dyDescent="0.2">
      <c r="L1827" t="str">
        <f>IF([2]Entry!$C$1830="","",[2]Entry!$C$1830)</f>
        <v/>
      </c>
      <c r="M1827" t="str">
        <f>IF([2]Entry!$J$1830="","",[2]Entry!$J$1830)</f>
        <v/>
      </c>
      <c r="N1827" t="str">
        <f>IF([2]Entry!$M$1830="","",[2]Entry!$M$1830)</f>
        <v/>
      </c>
      <c r="O1827" t="str">
        <f>IF([2]Entry!$N$1830="","",[2]Entry!$N$1830)</f>
        <v/>
      </c>
      <c r="P1827" t="str">
        <f>IF([2]Entry!$S$1830="","",[2]Entry!$S$1830)</f>
        <v/>
      </c>
    </row>
    <row r="1828" spans="12:16" x14ac:dyDescent="0.2">
      <c r="L1828" t="str">
        <f>IF([2]Entry!$C$1831="","",[2]Entry!$C$1831)</f>
        <v/>
      </c>
      <c r="M1828" t="str">
        <f>IF([2]Entry!$J$1831="","",[2]Entry!$J$1831)</f>
        <v/>
      </c>
      <c r="N1828" t="str">
        <f>IF([2]Entry!$M$1831="","",[2]Entry!$M$1831)</f>
        <v/>
      </c>
      <c r="O1828" t="str">
        <f>IF([2]Entry!$N$1831="","",[2]Entry!$N$1831)</f>
        <v/>
      </c>
      <c r="P1828" t="str">
        <f>IF([2]Entry!$S$1831="","",[2]Entry!$S$1831)</f>
        <v/>
      </c>
    </row>
    <row r="1829" spans="12:16" x14ac:dyDescent="0.2">
      <c r="L1829" t="str">
        <f>IF([2]Entry!$C$1832="","",[2]Entry!$C$1832)</f>
        <v/>
      </c>
      <c r="M1829" t="str">
        <f>IF([2]Entry!$J$1832="","",[2]Entry!$J$1832)</f>
        <v/>
      </c>
      <c r="N1829" t="str">
        <f>IF([2]Entry!$M$1832="","",[2]Entry!$M$1832)</f>
        <v/>
      </c>
      <c r="O1829" t="str">
        <f>IF([2]Entry!$N$1832="","",[2]Entry!$N$1832)</f>
        <v/>
      </c>
      <c r="P1829" t="str">
        <f>IF([2]Entry!$S$1832="","",[2]Entry!$S$1832)</f>
        <v/>
      </c>
    </row>
    <row r="1830" spans="12:16" x14ac:dyDescent="0.2">
      <c r="L1830" t="str">
        <f>IF([2]Entry!$C$1833="","",[2]Entry!$C$1833)</f>
        <v/>
      </c>
      <c r="M1830" t="str">
        <f>IF([2]Entry!$J$1833="","",[2]Entry!$J$1833)</f>
        <v/>
      </c>
      <c r="N1830" t="str">
        <f>IF([2]Entry!$M$1833="","",[2]Entry!$M$1833)</f>
        <v/>
      </c>
      <c r="O1830" t="str">
        <f>IF([2]Entry!$N$1833="","",[2]Entry!$N$1833)</f>
        <v/>
      </c>
      <c r="P1830" t="str">
        <f>IF([2]Entry!$S$1833="","",[2]Entry!$S$1833)</f>
        <v/>
      </c>
    </row>
    <row r="1831" spans="12:16" x14ac:dyDescent="0.2">
      <c r="L1831" t="str">
        <f>IF([2]Entry!$C$1834="","",[2]Entry!$C$1834)</f>
        <v/>
      </c>
      <c r="M1831" t="str">
        <f>IF([2]Entry!$J$1834="","",[2]Entry!$J$1834)</f>
        <v/>
      </c>
      <c r="N1831" t="str">
        <f>IF([2]Entry!$M$1834="","",[2]Entry!$M$1834)</f>
        <v/>
      </c>
      <c r="O1831" t="str">
        <f>IF([2]Entry!$N$1834="","",[2]Entry!$N$1834)</f>
        <v/>
      </c>
      <c r="P1831" t="str">
        <f>IF([2]Entry!$S$1834="","",[2]Entry!$S$1834)</f>
        <v/>
      </c>
    </row>
    <row r="1832" spans="12:16" x14ac:dyDescent="0.2">
      <c r="L1832" t="str">
        <f>IF([2]Entry!$C$1835="","",[2]Entry!$C$1835)</f>
        <v/>
      </c>
      <c r="M1832" t="str">
        <f>IF([2]Entry!$J$1835="","",[2]Entry!$J$1835)</f>
        <v/>
      </c>
      <c r="N1832" t="str">
        <f>IF([2]Entry!$M$1835="","",[2]Entry!$M$1835)</f>
        <v/>
      </c>
      <c r="O1832" t="str">
        <f>IF([2]Entry!$N$1835="","",[2]Entry!$N$1835)</f>
        <v/>
      </c>
      <c r="P1832" t="str">
        <f>IF([2]Entry!$S$1835="","",[2]Entry!$S$1835)</f>
        <v/>
      </c>
    </row>
    <row r="1833" spans="12:16" x14ac:dyDescent="0.2">
      <c r="L1833" t="str">
        <f>IF([2]Entry!$C$1836="","",[2]Entry!$C$1836)</f>
        <v/>
      </c>
      <c r="M1833" t="str">
        <f>IF([2]Entry!$J$1836="","",[2]Entry!$J$1836)</f>
        <v/>
      </c>
      <c r="N1833" t="str">
        <f>IF([2]Entry!$M$1836="","",[2]Entry!$M$1836)</f>
        <v/>
      </c>
      <c r="O1833" t="str">
        <f>IF([2]Entry!$N$1836="","",[2]Entry!$N$1836)</f>
        <v/>
      </c>
      <c r="P1833" t="str">
        <f>IF([2]Entry!$S$1836="","",[2]Entry!$S$1836)</f>
        <v/>
      </c>
    </row>
    <row r="1834" spans="12:16" x14ac:dyDescent="0.2">
      <c r="L1834" t="str">
        <f>IF([2]Entry!$C$1837="","",[2]Entry!$C$1837)</f>
        <v/>
      </c>
      <c r="M1834" t="str">
        <f>IF([2]Entry!$J$1837="","",[2]Entry!$J$1837)</f>
        <v/>
      </c>
      <c r="N1834" t="str">
        <f>IF([2]Entry!$M$1837="","",[2]Entry!$M$1837)</f>
        <v/>
      </c>
      <c r="O1834" t="str">
        <f>IF([2]Entry!$N$1837="","",[2]Entry!$N$1837)</f>
        <v/>
      </c>
      <c r="P1834" t="str">
        <f>IF([2]Entry!$S$1837="","",[2]Entry!$S$1837)</f>
        <v/>
      </c>
    </row>
    <row r="1835" spans="12:16" x14ac:dyDescent="0.2">
      <c r="L1835" t="str">
        <f>IF([2]Entry!$C$1838="","",[2]Entry!$C$1838)</f>
        <v/>
      </c>
      <c r="M1835" t="str">
        <f>IF([2]Entry!$J$1838="","",[2]Entry!$J$1838)</f>
        <v/>
      </c>
      <c r="N1835" t="str">
        <f>IF([2]Entry!$M$1838="","",[2]Entry!$M$1838)</f>
        <v/>
      </c>
      <c r="O1835" t="str">
        <f>IF([2]Entry!$N$1838="","",[2]Entry!$N$1838)</f>
        <v/>
      </c>
      <c r="P1835" t="str">
        <f>IF([2]Entry!$S$1838="","",[2]Entry!$S$1838)</f>
        <v/>
      </c>
    </row>
    <row r="1836" spans="12:16" x14ac:dyDescent="0.2">
      <c r="L1836" t="str">
        <f>IF([2]Entry!$C$1839="","",[2]Entry!$C$1839)</f>
        <v/>
      </c>
      <c r="M1836" t="str">
        <f>IF([2]Entry!$J$1839="","",[2]Entry!$J$1839)</f>
        <v/>
      </c>
      <c r="N1836" t="str">
        <f>IF([2]Entry!$M$1839="","",[2]Entry!$M$1839)</f>
        <v/>
      </c>
      <c r="O1836" t="str">
        <f>IF([2]Entry!$N$1839="","",[2]Entry!$N$1839)</f>
        <v/>
      </c>
      <c r="P1836" t="str">
        <f>IF([2]Entry!$S$1839="","",[2]Entry!$S$1839)</f>
        <v/>
      </c>
    </row>
    <row r="1837" spans="12:16" x14ac:dyDescent="0.2">
      <c r="L1837" t="str">
        <f>IF([2]Entry!$C$1840="","",[2]Entry!$C$1840)</f>
        <v/>
      </c>
      <c r="M1837" t="str">
        <f>IF([2]Entry!$J$1840="","",[2]Entry!$J$1840)</f>
        <v/>
      </c>
      <c r="N1837" t="str">
        <f>IF([2]Entry!$M$1840="","",[2]Entry!$M$1840)</f>
        <v/>
      </c>
      <c r="O1837" t="str">
        <f>IF([2]Entry!$N$1840="","",[2]Entry!$N$1840)</f>
        <v/>
      </c>
      <c r="P1837" t="str">
        <f>IF([2]Entry!$S$1840="","",[2]Entry!$S$1840)</f>
        <v/>
      </c>
    </row>
    <row r="1838" spans="12:16" x14ac:dyDescent="0.2">
      <c r="L1838" t="str">
        <f>IF([2]Entry!$C$1841="","",[2]Entry!$C$1841)</f>
        <v/>
      </c>
      <c r="M1838" t="str">
        <f>IF([2]Entry!$J$1841="","",[2]Entry!$J$1841)</f>
        <v/>
      </c>
      <c r="N1838" t="str">
        <f>IF([2]Entry!$M$1841="","",[2]Entry!$M$1841)</f>
        <v/>
      </c>
      <c r="O1838" t="str">
        <f>IF([2]Entry!$N$1841="","",[2]Entry!$N$1841)</f>
        <v/>
      </c>
      <c r="P1838" t="str">
        <f>IF([2]Entry!$S$1841="","",[2]Entry!$S$1841)</f>
        <v/>
      </c>
    </row>
    <row r="1839" spans="12:16" x14ac:dyDescent="0.2">
      <c r="L1839" t="str">
        <f>IF([2]Entry!$C$1842="","",[2]Entry!$C$1842)</f>
        <v/>
      </c>
      <c r="M1839" t="str">
        <f>IF([2]Entry!$J$1842="","",[2]Entry!$J$1842)</f>
        <v/>
      </c>
      <c r="N1839" t="str">
        <f>IF([2]Entry!$M$1842="","",[2]Entry!$M$1842)</f>
        <v/>
      </c>
      <c r="O1839" t="str">
        <f>IF([2]Entry!$N$1842="","",[2]Entry!$N$1842)</f>
        <v/>
      </c>
      <c r="P1839" t="str">
        <f>IF([2]Entry!$S$1842="","",[2]Entry!$S$1842)</f>
        <v/>
      </c>
    </row>
    <row r="1840" spans="12:16" x14ac:dyDescent="0.2">
      <c r="L1840" t="str">
        <f>IF([2]Entry!$C$1843="","",[2]Entry!$C$1843)</f>
        <v/>
      </c>
      <c r="M1840" t="str">
        <f>IF([2]Entry!$J$1843="","",[2]Entry!$J$1843)</f>
        <v/>
      </c>
      <c r="N1840" t="str">
        <f>IF([2]Entry!$M$1843="","",[2]Entry!$M$1843)</f>
        <v/>
      </c>
      <c r="O1840" t="str">
        <f>IF([2]Entry!$N$1843="","",[2]Entry!$N$1843)</f>
        <v/>
      </c>
      <c r="P1840" t="str">
        <f>IF([2]Entry!$S$1843="","",[2]Entry!$S$1843)</f>
        <v/>
      </c>
    </row>
    <row r="1841" spans="12:16" x14ac:dyDescent="0.2">
      <c r="L1841" t="str">
        <f>IF([2]Entry!$C$1844="","",[2]Entry!$C$1844)</f>
        <v/>
      </c>
      <c r="M1841" t="str">
        <f>IF([2]Entry!$J$1844="","",[2]Entry!$J$1844)</f>
        <v/>
      </c>
      <c r="N1841" t="str">
        <f>IF([2]Entry!$M$1844="","",[2]Entry!$M$1844)</f>
        <v/>
      </c>
      <c r="O1841" t="str">
        <f>IF([2]Entry!$N$1844="","",[2]Entry!$N$1844)</f>
        <v/>
      </c>
      <c r="P1841" t="str">
        <f>IF([2]Entry!$S$1844="","",[2]Entry!$S$1844)</f>
        <v/>
      </c>
    </row>
    <row r="1842" spans="12:16" x14ac:dyDescent="0.2">
      <c r="L1842" t="str">
        <f>IF([2]Entry!$C$1845="","",[2]Entry!$C$1845)</f>
        <v/>
      </c>
      <c r="M1842" t="str">
        <f>IF([2]Entry!$J$1845="","",[2]Entry!$J$1845)</f>
        <v/>
      </c>
      <c r="N1842" t="str">
        <f>IF([2]Entry!$M$1845="","",[2]Entry!$M$1845)</f>
        <v/>
      </c>
      <c r="O1842" t="str">
        <f>IF([2]Entry!$N$1845="","",[2]Entry!$N$1845)</f>
        <v/>
      </c>
      <c r="P1842" t="str">
        <f>IF([2]Entry!$S$1845="","",[2]Entry!$S$1845)</f>
        <v/>
      </c>
    </row>
    <row r="1843" spans="12:16" x14ac:dyDescent="0.2">
      <c r="L1843" t="str">
        <f>IF([2]Entry!$C$1846="","",[2]Entry!$C$1846)</f>
        <v/>
      </c>
      <c r="M1843" t="str">
        <f>IF([2]Entry!$J$1846="","",[2]Entry!$J$1846)</f>
        <v/>
      </c>
      <c r="N1843" t="str">
        <f>IF([2]Entry!$M$1846="","",[2]Entry!$M$1846)</f>
        <v/>
      </c>
      <c r="O1843" t="str">
        <f>IF([2]Entry!$N$1846="","",[2]Entry!$N$1846)</f>
        <v/>
      </c>
      <c r="P1843" t="str">
        <f>IF([2]Entry!$S$1846="","",[2]Entry!$S$1846)</f>
        <v/>
      </c>
    </row>
    <row r="1844" spans="12:16" x14ac:dyDescent="0.2">
      <c r="L1844" t="str">
        <f>IF([2]Entry!$C$1847="","",[2]Entry!$C$1847)</f>
        <v/>
      </c>
      <c r="M1844" t="str">
        <f>IF([2]Entry!$J$1847="","",[2]Entry!$J$1847)</f>
        <v/>
      </c>
      <c r="N1844" t="str">
        <f>IF([2]Entry!$M$1847="","",[2]Entry!$M$1847)</f>
        <v/>
      </c>
      <c r="O1844" t="str">
        <f>IF([2]Entry!$N$1847="","",[2]Entry!$N$1847)</f>
        <v/>
      </c>
      <c r="P1844" t="str">
        <f>IF([2]Entry!$S$1847="","",[2]Entry!$S$1847)</f>
        <v/>
      </c>
    </row>
    <row r="1845" spans="12:16" x14ac:dyDescent="0.2">
      <c r="L1845" t="str">
        <f>IF([2]Entry!$C$1848="","",[2]Entry!$C$1848)</f>
        <v/>
      </c>
      <c r="M1845" t="str">
        <f>IF([2]Entry!$J$1848="","",[2]Entry!$J$1848)</f>
        <v/>
      </c>
      <c r="N1845" t="str">
        <f>IF([2]Entry!$M$1848="","",[2]Entry!$M$1848)</f>
        <v/>
      </c>
      <c r="O1845" t="str">
        <f>IF([2]Entry!$N$1848="","",[2]Entry!$N$1848)</f>
        <v/>
      </c>
      <c r="P1845" t="str">
        <f>IF([2]Entry!$S$1848="","",[2]Entry!$S$1848)</f>
        <v/>
      </c>
    </row>
    <row r="1846" spans="12:16" x14ac:dyDescent="0.2">
      <c r="L1846" t="str">
        <f>IF([2]Entry!$C$1849="","",[2]Entry!$C$1849)</f>
        <v/>
      </c>
      <c r="M1846" t="str">
        <f>IF([2]Entry!$J$1849="","",[2]Entry!$J$1849)</f>
        <v/>
      </c>
      <c r="N1846" t="str">
        <f>IF([2]Entry!$M$1849="","",[2]Entry!$M$1849)</f>
        <v/>
      </c>
      <c r="O1846" t="str">
        <f>IF([2]Entry!$N$1849="","",[2]Entry!$N$1849)</f>
        <v/>
      </c>
      <c r="P1846" t="str">
        <f>IF([2]Entry!$S$1849="","",[2]Entry!$S$1849)</f>
        <v/>
      </c>
    </row>
    <row r="1847" spans="12:16" x14ac:dyDescent="0.2">
      <c r="L1847" t="str">
        <f>IF([2]Entry!$C$1850="","",[2]Entry!$C$1850)</f>
        <v/>
      </c>
      <c r="M1847" t="str">
        <f>IF([2]Entry!$J$1850="","",[2]Entry!$J$1850)</f>
        <v/>
      </c>
      <c r="N1847" t="str">
        <f>IF([2]Entry!$M$1850="","",[2]Entry!$M$1850)</f>
        <v/>
      </c>
      <c r="O1847" t="str">
        <f>IF([2]Entry!$N$1850="","",[2]Entry!$N$1850)</f>
        <v/>
      </c>
      <c r="P1847" t="str">
        <f>IF([2]Entry!$S$1850="","",[2]Entry!$S$1850)</f>
        <v/>
      </c>
    </row>
    <row r="1848" spans="12:16" x14ac:dyDescent="0.2">
      <c r="L1848" t="str">
        <f>IF([2]Entry!$C$1851="","",[2]Entry!$C$1851)</f>
        <v/>
      </c>
      <c r="M1848" t="str">
        <f>IF([2]Entry!$J$1851="","",[2]Entry!$J$1851)</f>
        <v/>
      </c>
      <c r="N1848" t="str">
        <f>IF([2]Entry!$M$1851="","",[2]Entry!$M$1851)</f>
        <v/>
      </c>
      <c r="O1848" t="str">
        <f>IF([2]Entry!$N$1851="","",[2]Entry!$N$1851)</f>
        <v/>
      </c>
      <c r="P1848" t="str">
        <f>IF([2]Entry!$S$1851="","",[2]Entry!$S$1851)</f>
        <v/>
      </c>
    </row>
    <row r="1849" spans="12:16" x14ac:dyDescent="0.2">
      <c r="L1849" t="str">
        <f>IF([2]Entry!$C$1852="","",[2]Entry!$C$1852)</f>
        <v/>
      </c>
      <c r="M1849" t="str">
        <f>IF([2]Entry!$J$1852="","",[2]Entry!$J$1852)</f>
        <v/>
      </c>
      <c r="N1849" t="str">
        <f>IF([2]Entry!$M$1852="","",[2]Entry!$M$1852)</f>
        <v/>
      </c>
      <c r="O1849" t="str">
        <f>IF([2]Entry!$N$1852="","",[2]Entry!$N$1852)</f>
        <v/>
      </c>
      <c r="P1849" t="str">
        <f>IF([2]Entry!$S$1852="","",[2]Entry!$S$1852)</f>
        <v/>
      </c>
    </row>
    <row r="1850" spans="12:16" x14ac:dyDescent="0.2">
      <c r="L1850" t="str">
        <f>IF([2]Entry!$C$1853="","",[2]Entry!$C$1853)</f>
        <v/>
      </c>
      <c r="M1850" t="str">
        <f>IF([2]Entry!$J$1853="","",[2]Entry!$J$1853)</f>
        <v/>
      </c>
      <c r="N1850" t="str">
        <f>IF([2]Entry!$M$1853="","",[2]Entry!$M$1853)</f>
        <v/>
      </c>
      <c r="O1850" t="str">
        <f>IF([2]Entry!$N$1853="","",[2]Entry!$N$1853)</f>
        <v/>
      </c>
      <c r="P1850" t="str">
        <f>IF([2]Entry!$S$1853="","",[2]Entry!$S$1853)</f>
        <v/>
      </c>
    </row>
    <row r="1851" spans="12:16" x14ac:dyDescent="0.2">
      <c r="L1851" t="str">
        <f>IF([2]Entry!$C$1854="","",[2]Entry!$C$1854)</f>
        <v/>
      </c>
      <c r="M1851" t="str">
        <f>IF([2]Entry!$J$1854="","",[2]Entry!$J$1854)</f>
        <v/>
      </c>
      <c r="N1851" t="str">
        <f>IF([2]Entry!$M$1854="","",[2]Entry!$M$1854)</f>
        <v/>
      </c>
      <c r="O1851" t="str">
        <f>IF([2]Entry!$N$1854="","",[2]Entry!$N$1854)</f>
        <v/>
      </c>
      <c r="P1851" t="str">
        <f>IF([2]Entry!$S$1854="","",[2]Entry!$S$1854)</f>
        <v/>
      </c>
    </row>
    <row r="1852" spans="12:16" x14ac:dyDescent="0.2">
      <c r="L1852" t="str">
        <f>IF([2]Entry!$C$1855="","",[2]Entry!$C$1855)</f>
        <v/>
      </c>
      <c r="M1852" t="str">
        <f>IF([2]Entry!$J$1855="","",[2]Entry!$J$1855)</f>
        <v/>
      </c>
      <c r="N1852" t="str">
        <f>IF([2]Entry!$M$1855="","",[2]Entry!$M$1855)</f>
        <v/>
      </c>
      <c r="O1852" t="str">
        <f>IF([2]Entry!$N$1855="","",[2]Entry!$N$1855)</f>
        <v/>
      </c>
      <c r="P1852" t="str">
        <f>IF([2]Entry!$S$1855="","",[2]Entry!$S$1855)</f>
        <v/>
      </c>
    </row>
    <row r="1853" spans="12:16" x14ac:dyDescent="0.2">
      <c r="L1853" t="str">
        <f>IF([2]Entry!$C$1856="","",[2]Entry!$C$1856)</f>
        <v/>
      </c>
      <c r="M1853" t="str">
        <f>IF([2]Entry!$J$1856="","",[2]Entry!$J$1856)</f>
        <v/>
      </c>
      <c r="N1853" t="str">
        <f>IF([2]Entry!$M$1856="","",[2]Entry!$M$1856)</f>
        <v/>
      </c>
      <c r="O1853" t="str">
        <f>IF([2]Entry!$N$1856="","",[2]Entry!$N$1856)</f>
        <v/>
      </c>
      <c r="P1853" t="str">
        <f>IF([2]Entry!$S$1856="","",[2]Entry!$S$1856)</f>
        <v/>
      </c>
    </row>
    <row r="1854" spans="12:16" x14ac:dyDescent="0.2">
      <c r="L1854" t="str">
        <f>IF([2]Entry!$C$1857="","",[2]Entry!$C$1857)</f>
        <v/>
      </c>
      <c r="M1854" t="str">
        <f>IF([2]Entry!$J$1857="","",[2]Entry!$J$1857)</f>
        <v/>
      </c>
      <c r="N1854" t="str">
        <f>IF([2]Entry!$M$1857="","",[2]Entry!$M$1857)</f>
        <v/>
      </c>
      <c r="O1854" t="str">
        <f>IF([2]Entry!$N$1857="","",[2]Entry!$N$1857)</f>
        <v/>
      </c>
      <c r="P1854" t="str">
        <f>IF([2]Entry!$S$1857="","",[2]Entry!$S$1857)</f>
        <v/>
      </c>
    </row>
    <row r="1855" spans="12:16" x14ac:dyDescent="0.2">
      <c r="L1855" t="str">
        <f>IF([2]Entry!$C$1858="","",[2]Entry!$C$1858)</f>
        <v/>
      </c>
      <c r="M1855" t="str">
        <f>IF([2]Entry!$J$1858="","",[2]Entry!$J$1858)</f>
        <v/>
      </c>
      <c r="N1855" t="str">
        <f>IF([2]Entry!$M$1858="","",[2]Entry!$M$1858)</f>
        <v/>
      </c>
      <c r="O1855" t="str">
        <f>IF([2]Entry!$N$1858="","",[2]Entry!$N$1858)</f>
        <v/>
      </c>
      <c r="P1855" t="str">
        <f>IF([2]Entry!$S$1858="","",[2]Entry!$S$1858)</f>
        <v/>
      </c>
    </row>
    <row r="1856" spans="12:16" x14ac:dyDescent="0.2">
      <c r="L1856" t="str">
        <f>IF([2]Entry!$C$1859="","",[2]Entry!$C$1859)</f>
        <v/>
      </c>
      <c r="M1856" t="str">
        <f>IF([2]Entry!$J$1859="","",[2]Entry!$J$1859)</f>
        <v/>
      </c>
      <c r="N1856" t="str">
        <f>IF([2]Entry!$M$1859="","",[2]Entry!$M$1859)</f>
        <v/>
      </c>
      <c r="O1856" t="str">
        <f>IF([2]Entry!$N$1859="","",[2]Entry!$N$1859)</f>
        <v/>
      </c>
      <c r="P1856" t="str">
        <f>IF([2]Entry!$S$1859="","",[2]Entry!$S$1859)</f>
        <v/>
      </c>
    </row>
    <row r="1857" spans="12:16" x14ac:dyDescent="0.2">
      <c r="L1857" t="str">
        <f>IF([2]Entry!$C$1860="","",[2]Entry!$C$1860)</f>
        <v/>
      </c>
      <c r="M1857" t="str">
        <f>IF([2]Entry!$J$1860="","",[2]Entry!$J$1860)</f>
        <v/>
      </c>
      <c r="N1857" t="str">
        <f>IF([2]Entry!$M$1860="","",[2]Entry!$M$1860)</f>
        <v/>
      </c>
      <c r="O1857" t="str">
        <f>IF([2]Entry!$N$1860="","",[2]Entry!$N$1860)</f>
        <v/>
      </c>
      <c r="P1857" t="str">
        <f>IF([2]Entry!$S$1860="","",[2]Entry!$S$1860)</f>
        <v/>
      </c>
    </row>
    <row r="1858" spans="12:16" x14ac:dyDescent="0.2">
      <c r="L1858" t="str">
        <f>IF([2]Entry!$C$1861="","",[2]Entry!$C$1861)</f>
        <v/>
      </c>
      <c r="M1858" t="str">
        <f>IF([2]Entry!$J$1861="","",[2]Entry!$J$1861)</f>
        <v/>
      </c>
      <c r="N1858" t="str">
        <f>IF([2]Entry!$M$1861="","",[2]Entry!$M$1861)</f>
        <v/>
      </c>
      <c r="O1858" t="str">
        <f>IF([2]Entry!$N$1861="","",[2]Entry!$N$1861)</f>
        <v/>
      </c>
      <c r="P1858" t="str">
        <f>IF([2]Entry!$S$1861="","",[2]Entry!$S$1861)</f>
        <v/>
      </c>
    </row>
    <row r="1859" spans="12:16" x14ac:dyDescent="0.2">
      <c r="L1859" t="str">
        <f>IF([2]Entry!$C$1862="","",[2]Entry!$C$1862)</f>
        <v/>
      </c>
      <c r="M1859" t="str">
        <f>IF([2]Entry!$J$1862="","",[2]Entry!$J$1862)</f>
        <v/>
      </c>
      <c r="N1859" t="str">
        <f>IF([2]Entry!$M$1862="","",[2]Entry!$M$1862)</f>
        <v/>
      </c>
      <c r="O1859" t="str">
        <f>IF([2]Entry!$N$1862="","",[2]Entry!$N$1862)</f>
        <v/>
      </c>
      <c r="P1859" t="str">
        <f>IF([2]Entry!$S$1862="","",[2]Entry!$S$1862)</f>
        <v/>
      </c>
    </row>
    <row r="1860" spans="12:16" x14ac:dyDescent="0.2">
      <c r="L1860" t="str">
        <f>IF([2]Entry!$C$1863="","",[2]Entry!$C$1863)</f>
        <v/>
      </c>
      <c r="M1860" t="str">
        <f>IF([2]Entry!$J$1863="","",[2]Entry!$J$1863)</f>
        <v/>
      </c>
      <c r="N1860" t="str">
        <f>IF([2]Entry!$M$1863="","",[2]Entry!$M$1863)</f>
        <v/>
      </c>
      <c r="O1860" t="str">
        <f>IF([2]Entry!$N$1863="","",[2]Entry!$N$1863)</f>
        <v/>
      </c>
      <c r="P1860" t="str">
        <f>IF([2]Entry!$S$1863="","",[2]Entry!$S$1863)</f>
        <v/>
      </c>
    </row>
    <row r="1861" spans="12:16" x14ac:dyDescent="0.2">
      <c r="L1861" t="str">
        <f>IF([2]Entry!$C$1864="","",[2]Entry!$C$1864)</f>
        <v/>
      </c>
      <c r="M1861" t="str">
        <f>IF([2]Entry!$J$1864="","",[2]Entry!$J$1864)</f>
        <v/>
      </c>
      <c r="N1861" t="str">
        <f>IF([2]Entry!$M$1864="","",[2]Entry!$M$1864)</f>
        <v/>
      </c>
      <c r="O1861" t="str">
        <f>IF([2]Entry!$N$1864="","",[2]Entry!$N$1864)</f>
        <v/>
      </c>
      <c r="P1861" t="str">
        <f>IF([2]Entry!$S$1864="","",[2]Entry!$S$1864)</f>
        <v/>
      </c>
    </row>
    <row r="1862" spans="12:16" x14ac:dyDescent="0.2">
      <c r="L1862" t="str">
        <f>IF([2]Entry!$C$1865="","",[2]Entry!$C$1865)</f>
        <v/>
      </c>
      <c r="M1862" t="str">
        <f>IF([2]Entry!$J$1865="","",[2]Entry!$J$1865)</f>
        <v/>
      </c>
      <c r="N1862" t="str">
        <f>IF([2]Entry!$M$1865="","",[2]Entry!$M$1865)</f>
        <v/>
      </c>
      <c r="O1862" t="str">
        <f>IF([2]Entry!$N$1865="","",[2]Entry!$N$1865)</f>
        <v/>
      </c>
      <c r="P1862" t="str">
        <f>IF([2]Entry!$S$1865="","",[2]Entry!$S$1865)</f>
        <v/>
      </c>
    </row>
    <row r="1863" spans="12:16" x14ac:dyDescent="0.2">
      <c r="L1863" t="str">
        <f>IF([2]Entry!$C$1866="","",[2]Entry!$C$1866)</f>
        <v/>
      </c>
      <c r="M1863" t="str">
        <f>IF([2]Entry!$J$1866="","",[2]Entry!$J$1866)</f>
        <v/>
      </c>
      <c r="N1863" t="str">
        <f>IF([2]Entry!$M$1866="","",[2]Entry!$M$1866)</f>
        <v/>
      </c>
      <c r="O1863" t="str">
        <f>IF([2]Entry!$N$1866="","",[2]Entry!$N$1866)</f>
        <v/>
      </c>
      <c r="P1863" t="str">
        <f>IF([2]Entry!$S$1866="","",[2]Entry!$S$1866)</f>
        <v/>
      </c>
    </row>
    <row r="1864" spans="12:16" x14ac:dyDescent="0.2">
      <c r="L1864" t="str">
        <f>IF([2]Entry!$C$1867="","",[2]Entry!$C$1867)</f>
        <v/>
      </c>
      <c r="M1864" t="str">
        <f>IF([2]Entry!$J$1867="","",[2]Entry!$J$1867)</f>
        <v/>
      </c>
      <c r="N1864" t="str">
        <f>IF([2]Entry!$M$1867="","",[2]Entry!$M$1867)</f>
        <v/>
      </c>
      <c r="O1864" t="str">
        <f>IF([2]Entry!$N$1867="","",[2]Entry!$N$1867)</f>
        <v/>
      </c>
      <c r="P1864" t="str">
        <f>IF([2]Entry!$S$1867="","",[2]Entry!$S$1867)</f>
        <v/>
      </c>
    </row>
    <row r="1865" spans="12:16" x14ac:dyDescent="0.2">
      <c r="L1865" t="str">
        <f>IF([2]Entry!$C$1868="","",[2]Entry!$C$1868)</f>
        <v/>
      </c>
      <c r="M1865" t="str">
        <f>IF([2]Entry!$J$1868="","",[2]Entry!$J$1868)</f>
        <v/>
      </c>
      <c r="N1865" t="str">
        <f>IF([2]Entry!$M$1868="","",[2]Entry!$M$1868)</f>
        <v/>
      </c>
      <c r="O1865" t="str">
        <f>IF([2]Entry!$N$1868="","",[2]Entry!$N$1868)</f>
        <v/>
      </c>
      <c r="P1865" t="str">
        <f>IF([2]Entry!$S$1868="","",[2]Entry!$S$1868)</f>
        <v/>
      </c>
    </row>
    <row r="1866" spans="12:16" x14ac:dyDescent="0.2">
      <c r="L1866" t="str">
        <f>IF([2]Entry!$C$1869="","",[2]Entry!$C$1869)</f>
        <v/>
      </c>
      <c r="M1866" t="str">
        <f>IF([2]Entry!$J$1869="","",[2]Entry!$J$1869)</f>
        <v/>
      </c>
      <c r="N1866" t="str">
        <f>IF([2]Entry!$M$1869="","",[2]Entry!$M$1869)</f>
        <v/>
      </c>
      <c r="O1866" t="str">
        <f>IF([2]Entry!$N$1869="","",[2]Entry!$N$1869)</f>
        <v/>
      </c>
      <c r="P1866" t="str">
        <f>IF([2]Entry!$S$1869="","",[2]Entry!$S$1869)</f>
        <v/>
      </c>
    </row>
    <row r="1867" spans="12:16" x14ac:dyDescent="0.2">
      <c r="L1867" t="str">
        <f>IF([2]Entry!$C$1870="","",[2]Entry!$C$1870)</f>
        <v/>
      </c>
      <c r="M1867" t="str">
        <f>IF([2]Entry!$J$1870="","",[2]Entry!$J$1870)</f>
        <v/>
      </c>
      <c r="N1867" t="str">
        <f>IF([2]Entry!$M$1870="","",[2]Entry!$M$1870)</f>
        <v/>
      </c>
      <c r="O1867" t="str">
        <f>IF([2]Entry!$N$1870="","",[2]Entry!$N$1870)</f>
        <v/>
      </c>
      <c r="P1867" t="str">
        <f>IF([2]Entry!$S$1870="","",[2]Entry!$S$1870)</f>
        <v/>
      </c>
    </row>
    <row r="1868" spans="12:16" x14ac:dyDescent="0.2">
      <c r="L1868" t="str">
        <f>IF([2]Entry!$C$1871="","",[2]Entry!$C$1871)</f>
        <v/>
      </c>
      <c r="M1868" t="str">
        <f>IF([2]Entry!$J$1871="","",[2]Entry!$J$1871)</f>
        <v/>
      </c>
      <c r="N1868" t="str">
        <f>IF([2]Entry!$M$1871="","",[2]Entry!$M$1871)</f>
        <v/>
      </c>
      <c r="O1868" t="str">
        <f>IF([2]Entry!$N$1871="","",[2]Entry!$N$1871)</f>
        <v/>
      </c>
      <c r="P1868" t="str">
        <f>IF([2]Entry!$S$1871="","",[2]Entry!$S$1871)</f>
        <v/>
      </c>
    </row>
    <row r="1869" spans="12:16" x14ac:dyDescent="0.2">
      <c r="L1869" t="str">
        <f>IF([2]Entry!$C$1872="","",[2]Entry!$C$1872)</f>
        <v/>
      </c>
      <c r="M1869" t="str">
        <f>IF([2]Entry!$J$1872="","",[2]Entry!$J$1872)</f>
        <v/>
      </c>
      <c r="N1869" t="str">
        <f>IF([2]Entry!$M$1872="","",[2]Entry!$M$1872)</f>
        <v/>
      </c>
      <c r="O1869" t="str">
        <f>IF([2]Entry!$N$1872="","",[2]Entry!$N$1872)</f>
        <v/>
      </c>
      <c r="P1869" t="str">
        <f>IF([2]Entry!$S$1872="","",[2]Entry!$S$1872)</f>
        <v/>
      </c>
    </row>
    <row r="1870" spans="12:16" x14ac:dyDescent="0.2">
      <c r="L1870" t="str">
        <f>IF([2]Entry!$C$1873="","",[2]Entry!$C$1873)</f>
        <v/>
      </c>
      <c r="M1870" t="str">
        <f>IF([2]Entry!$J$1873="","",[2]Entry!$J$1873)</f>
        <v/>
      </c>
      <c r="N1870" t="str">
        <f>IF([2]Entry!$M$1873="","",[2]Entry!$M$1873)</f>
        <v/>
      </c>
      <c r="O1870" t="str">
        <f>IF([2]Entry!$N$1873="","",[2]Entry!$N$1873)</f>
        <v/>
      </c>
      <c r="P1870" t="str">
        <f>IF([2]Entry!$S$1873="","",[2]Entry!$S$1873)</f>
        <v/>
      </c>
    </row>
    <row r="1871" spans="12:16" x14ac:dyDescent="0.2">
      <c r="L1871" t="str">
        <f>IF([2]Entry!$C$1874="","",[2]Entry!$C$1874)</f>
        <v/>
      </c>
      <c r="M1871" t="str">
        <f>IF([2]Entry!$J$1874="","",[2]Entry!$J$1874)</f>
        <v/>
      </c>
      <c r="N1871" t="str">
        <f>IF([2]Entry!$M$1874="","",[2]Entry!$M$1874)</f>
        <v/>
      </c>
      <c r="O1871" t="str">
        <f>IF([2]Entry!$N$1874="","",[2]Entry!$N$1874)</f>
        <v/>
      </c>
      <c r="P1871" t="str">
        <f>IF([2]Entry!$S$1874="","",[2]Entry!$S$1874)</f>
        <v/>
      </c>
    </row>
    <row r="1872" spans="12:16" x14ac:dyDescent="0.2">
      <c r="L1872" t="str">
        <f>IF([2]Entry!$C$1875="","",[2]Entry!$C$1875)</f>
        <v/>
      </c>
      <c r="M1872" t="str">
        <f>IF([2]Entry!$J$1875="","",[2]Entry!$J$1875)</f>
        <v/>
      </c>
      <c r="N1872" t="str">
        <f>IF([2]Entry!$M$1875="","",[2]Entry!$M$1875)</f>
        <v/>
      </c>
      <c r="O1872" t="str">
        <f>IF([2]Entry!$N$1875="","",[2]Entry!$N$1875)</f>
        <v/>
      </c>
      <c r="P1872" t="str">
        <f>IF([2]Entry!$S$1875="","",[2]Entry!$S$1875)</f>
        <v/>
      </c>
    </row>
    <row r="1873" spans="12:16" x14ac:dyDescent="0.2">
      <c r="L1873" t="str">
        <f>IF([2]Entry!$C$1876="","",[2]Entry!$C$1876)</f>
        <v/>
      </c>
      <c r="M1873" t="str">
        <f>IF([2]Entry!$J$1876="","",[2]Entry!$J$1876)</f>
        <v/>
      </c>
      <c r="N1873" t="str">
        <f>IF([2]Entry!$M$1876="","",[2]Entry!$M$1876)</f>
        <v/>
      </c>
      <c r="O1873" t="str">
        <f>IF([2]Entry!$N$1876="","",[2]Entry!$N$1876)</f>
        <v/>
      </c>
      <c r="P1873" t="str">
        <f>IF([2]Entry!$S$1876="","",[2]Entry!$S$1876)</f>
        <v/>
      </c>
    </row>
    <row r="1874" spans="12:16" x14ac:dyDescent="0.2">
      <c r="L1874" t="str">
        <f>IF([2]Entry!$C$1877="","",[2]Entry!$C$1877)</f>
        <v/>
      </c>
      <c r="M1874" t="str">
        <f>IF([2]Entry!$J$1877="","",[2]Entry!$J$1877)</f>
        <v/>
      </c>
      <c r="N1874" t="str">
        <f>IF([2]Entry!$M$1877="","",[2]Entry!$M$1877)</f>
        <v/>
      </c>
      <c r="O1874" t="str">
        <f>IF([2]Entry!$N$1877="","",[2]Entry!$N$1877)</f>
        <v/>
      </c>
      <c r="P1874" t="str">
        <f>IF([2]Entry!$S$1877="","",[2]Entry!$S$1877)</f>
        <v/>
      </c>
    </row>
    <row r="1875" spans="12:16" x14ac:dyDescent="0.2">
      <c r="L1875" t="str">
        <f>IF([2]Entry!$C$1878="","",[2]Entry!$C$1878)</f>
        <v/>
      </c>
      <c r="M1875" t="str">
        <f>IF([2]Entry!$J$1878="","",[2]Entry!$J$1878)</f>
        <v/>
      </c>
      <c r="N1875" t="str">
        <f>IF([2]Entry!$M$1878="","",[2]Entry!$M$1878)</f>
        <v/>
      </c>
      <c r="O1875" t="str">
        <f>IF([2]Entry!$N$1878="","",[2]Entry!$N$1878)</f>
        <v/>
      </c>
      <c r="P1875" t="str">
        <f>IF([2]Entry!$S$1878="","",[2]Entry!$S$1878)</f>
        <v/>
      </c>
    </row>
    <row r="1876" spans="12:16" x14ac:dyDescent="0.2">
      <c r="L1876" t="str">
        <f>IF([2]Entry!$C$1879="","",[2]Entry!$C$1879)</f>
        <v/>
      </c>
      <c r="M1876" t="str">
        <f>IF([2]Entry!$J$1879="","",[2]Entry!$J$1879)</f>
        <v/>
      </c>
      <c r="N1876" t="str">
        <f>IF([2]Entry!$M$1879="","",[2]Entry!$M$1879)</f>
        <v/>
      </c>
      <c r="O1876" t="str">
        <f>IF([2]Entry!$N$1879="","",[2]Entry!$N$1879)</f>
        <v/>
      </c>
      <c r="P1876" t="str">
        <f>IF([2]Entry!$S$1879="","",[2]Entry!$S$1879)</f>
        <v/>
      </c>
    </row>
    <row r="1877" spans="12:16" x14ac:dyDescent="0.2">
      <c r="L1877" t="str">
        <f>IF([2]Entry!$C$1880="","",[2]Entry!$C$1880)</f>
        <v/>
      </c>
      <c r="M1877" t="str">
        <f>IF([2]Entry!$J$1880="","",[2]Entry!$J$1880)</f>
        <v/>
      </c>
      <c r="N1877" t="str">
        <f>IF([2]Entry!$M$1880="","",[2]Entry!$M$1880)</f>
        <v/>
      </c>
      <c r="O1877" t="str">
        <f>IF([2]Entry!$N$1880="","",[2]Entry!$N$1880)</f>
        <v/>
      </c>
      <c r="P1877" t="str">
        <f>IF([2]Entry!$S$1880="","",[2]Entry!$S$1880)</f>
        <v/>
      </c>
    </row>
    <row r="1878" spans="12:16" x14ac:dyDescent="0.2">
      <c r="L1878" t="str">
        <f>IF([2]Entry!$C$1881="","",[2]Entry!$C$1881)</f>
        <v/>
      </c>
      <c r="M1878" t="str">
        <f>IF([2]Entry!$J$1881="","",[2]Entry!$J$1881)</f>
        <v/>
      </c>
      <c r="N1878" t="str">
        <f>IF([2]Entry!$M$1881="","",[2]Entry!$M$1881)</f>
        <v/>
      </c>
      <c r="O1878" t="str">
        <f>IF([2]Entry!$N$1881="","",[2]Entry!$N$1881)</f>
        <v/>
      </c>
      <c r="P1878" t="str">
        <f>IF([2]Entry!$S$1881="","",[2]Entry!$S$1881)</f>
        <v/>
      </c>
    </row>
    <row r="1879" spans="12:16" x14ac:dyDescent="0.2">
      <c r="L1879" t="str">
        <f>IF([2]Entry!$C$1882="","",[2]Entry!$C$1882)</f>
        <v/>
      </c>
      <c r="M1879" t="str">
        <f>IF([2]Entry!$J$1882="","",[2]Entry!$J$1882)</f>
        <v/>
      </c>
      <c r="N1879" t="str">
        <f>IF([2]Entry!$M$1882="","",[2]Entry!$M$1882)</f>
        <v/>
      </c>
      <c r="O1879" t="str">
        <f>IF([2]Entry!$N$1882="","",[2]Entry!$N$1882)</f>
        <v/>
      </c>
      <c r="P1879" t="str">
        <f>IF([2]Entry!$S$1882="","",[2]Entry!$S$1882)</f>
        <v/>
      </c>
    </row>
    <row r="1880" spans="12:16" x14ac:dyDescent="0.2">
      <c r="L1880" t="str">
        <f>IF([2]Entry!$C$1883="","",[2]Entry!$C$1883)</f>
        <v/>
      </c>
      <c r="M1880" t="str">
        <f>IF([2]Entry!$J$1883="","",[2]Entry!$J$1883)</f>
        <v/>
      </c>
      <c r="N1880" t="str">
        <f>IF([2]Entry!$M$1883="","",[2]Entry!$M$1883)</f>
        <v/>
      </c>
      <c r="O1880" t="str">
        <f>IF([2]Entry!$N$1883="","",[2]Entry!$N$1883)</f>
        <v/>
      </c>
      <c r="P1880" t="str">
        <f>IF([2]Entry!$S$1883="","",[2]Entry!$S$1883)</f>
        <v/>
      </c>
    </row>
    <row r="1881" spans="12:16" x14ac:dyDescent="0.2">
      <c r="L1881" t="str">
        <f>IF([2]Entry!$C$1884="","",[2]Entry!$C$1884)</f>
        <v/>
      </c>
      <c r="M1881" t="str">
        <f>IF([2]Entry!$J$1884="","",[2]Entry!$J$1884)</f>
        <v/>
      </c>
      <c r="N1881" t="str">
        <f>IF([2]Entry!$M$1884="","",[2]Entry!$M$1884)</f>
        <v/>
      </c>
      <c r="O1881" t="str">
        <f>IF([2]Entry!$N$1884="","",[2]Entry!$N$1884)</f>
        <v/>
      </c>
      <c r="P1881" t="str">
        <f>IF([2]Entry!$S$1884="","",[2]Entry!$S$1884)</f>
        <v/>
      </c>
    </row>
    <row r="1882" spans="12:16" x14ac:dyDescent="0.2">
      <c r="L1882" t="str">
        <f>IF([2]Entry!$C$1885="","",[2]Entry!$C$1885)</f>
        <v/>
      </c>
      <c r="M1882" t="str">
        <f>IF([2]Entry!$J$1885="","",[2]Entry!$J$1885)</f>
        <v/>
      </c>
      <c r="N1882" t="str">
        <f>IF([2]Entry!$M$1885="","",[2]Entry!$M$1885)</f>
        <v/>
      </c>
      <c r="O1882" t="str">
        <f>IF([2]Entry!$N$1885="","",[2]Entry!$N$1885)</f>
        <v/>
      </c>
      <c r="P1882" t="str">
        <f>IF([2]Entry!$S$1885="","",[2]Entry!$S$1885)</f>
        <v/>
      </c>
    </row>
    <row r="1883" spans="12:16" x14ac:dyDescent="0.2">
      <c r="L1883" t="str">
        <f>IF([2]Entry!$C$1886="","",[2]Entry!$C$1886)</f>
        <v/>
      </c>
      <c r="M1883" t="str">
        <f>IF([2]Entry!$J$1886="","",[2]Entry!$J$1886)</f>
        <v/>
      </c>
      <c r="N1883" t="str">
        <f>IF([2]Entry!$M$1886="","",[2]Entry!$M$1886)</f>
        <v/>
      </c>
      <c r="O1883" t="str">
        <f>IF([2]Entry!$N$1886="","",[2]Entry!$N$1886)</f>
        <v/>
      </c>
      <c r="P1883" t="str">
        <f>IF([2]Entry!$S$1886="","",[2]Entry!$S$1886)</f>
        <v/>
      </c>
    </row>
    <row r="1884" spans="12:16" x14ac:dyDescent="0.2">
      <c r="L1884" t="str">
        <f>IF([2]Entry!$C$1887="","",[2]Entry!$C$1887)</f>
        <v/>
      </c>
      <c r="M1884" t="str">
        <f>IF([2]Entry!$J$1887="","",[2]Entry!$J$1887)</f>
        <v/>
      </c>
      <c r="N1884" t="str">
        <f>IF([2]Entry!$M$1887="","",[2]Entry!$M$1887)</f>
        <v/>
      </c>
      <c r="O1884" t="str">
        <f>IF([2]Entry!$N$1887="","",[2]Entry!$N$1887)</f>
        <v/>
      </c>
      <c r="P1884" t="str">
        <f>IF([2]Entry!$S$1887="","",[2]Entry!$S$1887)</f>
        <v/>
      </c>
    </row>
    <row r="1885" spans="12:16" x14ac:dyDescent="0.2">
      <c r="L1885" t="str">
        <f>IF([2]Entry!$C$1888="","",[2]Entry!$C$1888)</f>
        <v/>
      </c>
      <c r="M1885" t="str">
        <f>IF([2]Entry!$J$1888="","",[2]Entry!$J$1888)</f>
        <v/>
      </c>
      <c r="N1885" t="str">
        <f>IF([2]Entry!$M$1888="","",[2]Entry!$M$1888)</f>
        <v/>
      </c>
      <c r="O1885" t="str">
        <f>IF([2]Entry!$N$1888="","",[2]Entry!$N$1888)</f>
        <v/>
      </c>
      <c r="P1885" t="str">
        <f>IF([2]Entry!$S$1888="","",[2]Entry!$S$1888)</f>
        <v/>
      </c>
    </row>
    <row r="1886" spans="12:16" x14ac:dyDescent="0.2">
      <c r="L1886" t="str">
        <f>IF([2]Entry!$C$1889="","",[2]Entry!$C$1889)</f>
        <v/>
      </c>
      <c r="M1886" t="str">
        <f>IF([2]Entry!$J$1889="","",[2]Entry!$J$1889)</f>
        <v/>
      </c>
      <c r="N1886" t="str">
        <f>IF([2]Entry!$M$1889="","",[2]Entry!$M$1889)</f>
        <v/>
      </c>
      <c r="O1886" t="str">
        <f>IF([2]Entry!$N$1889="","",[2]Entry!$N$1889)</f>
        <v/>
      </c>
      <c r="P1886" t="str">
        <f>IF([2]Entry!$S$1889="","",[2]Entry!$S$1889)</f>
        <v/>
      </c>
    </row>
    <row r="1887" spans="12:16" x14ac:dyDescent="0.2">
      <c r="L1887" t="str">
        <f>IF([2]Entry!$C$1890="","",[2]Entry!$C$1890)</f>
        <v/>
      </c>
      <c r="M1887" t="str">
        <f>IF([2]Entry!$J$1890="","",[2]Entry!$J$1890)</f>
        <v/>
      </c>
      <c r="N1887" t="str">
        <f>IF([2]Entry!$M$1890="","",[2]Entry!$M$1890)</f>
        <v/>
      </c>
      <c r="O1887" t="str">
        <f>IF([2]Entry!$N$1890="","",[2]Entry!$N$1890)</f>
        <v/>
      </c>
      <c r="P1887" t="str">
        <f>IF([2]Entry!$S$1890="","",[2]Entry!$S$1890)</f>
        <v/>
      </c>
    </row>
    <row r="1888" spans="12:16" x14ac:dyDescent="0.2">
      <c r="L1888" t="str">
        <f>IF([2]Entry!$C$1891="","",[2]Entry!$C$1891)</f>
        <v/>
      </c>
      <c r="M1888" t="str">
        <f>IF([2]Entry!$J$1891="","",[2]Entry!$J$1891)</f>
        <v/>
      </c>
      <c r="N1888" t="str">
        <f>IF([2]Entry!$M$1891="","",[2]Entry!$M$1891)</f>
        <v/>
      </c>
      <c r="O1888" t="str">
        <f>IF([2]Entry!$N$1891="","",[2]Entry!$N$1891)</f>
        <v/>
      </c>
      <c r="P1888" t="str">
        <f>IF([2]Entry!$S$1891="","",[2]Entry!$S$1891)</f>
        <v/>
      </c>
    </row>
    <row r="1889" spans="12:16" x14ac:dyDescent="0.2">
      <c r="L1889" t="str">
        <f>IF([2]Entry!$C$1892="","",[2]Entry!$C$1892)</f>
        <v/>
      </c>
      <c r="M1889" t="str">
        <f>IF([2]Entry!$J$1892="","",[2]Entry!$J$1892)</f>
        <v/>
      </c>
      <c r="N1889" t="str">
        <f>IF([2]Entry!$M$1892="","",[2]Entry!$M$1892)</f>
        <v/>
      </c>
      <c r="O1889" t="str">
        <f>IF([2]Entry!$N$1892="","",[2]Entry!$N$1892)</f>
        <v/>
      </c>
      <c r="P1889" t="str">
        <f>IF([2]Entry!$S$1892="","",[2]Entry!$S$1892)</f>
        <v/>
      </c>
    </row>
    <row r="1890" spans="12:16" x14ac:dyDescent="0.2">
      <c r="L1890" t="str">
        <f>IF([2]Entry!$C$1893="","",[2]Entry!$C$1893)</f>
        <v/>
      </c>
      <c r="M1890" t="str">
        <f>IF([2]Entry!$J$1893="","",[2]Entry!$J$1893)</f>
        <v/>
      </c>
      <c r="N1890" t="str">
        <f>IF([2]Entry!$M$1893="","",[2]Entry!$M$1893)</f>
        <v/>
      </c>
      <c r="O1890" t="str">
        <f>IF([2]Entry!$N$1893="","",[2]Entry!$N$1893)</f>
        <v/>
      </c>
      <c r="P1890" t="str">
        <f>IF([2]Entry!$S$1893="","",[2]Entry!$S$1893)</f>
        <v/>
      </c>
    </row>
    <row r="1891" spans="12:16" x14ac:dyDescent="0.2">
      <c r="L1891" t="str">
        <f>IF([2]Entry!$C$1894="","",[2]Entry!$C$1894)</f>
        <v/>
      </c>
      <c r="M1891" t="str">
        <f>IF([2]Entry!$J$1894="","",[2]Entry!$J$1894)</f>
        <v/>
      </c>
      <c r="N1891" t="str">
        <f>IF([2]Entry!$M$1894="","",[2]Entry!$M$1894)</f>
        <v/>
      </c>
      <c r="O1891" t="str">
        <f>IF([2]Entry!$N$1894="","",[2]Entry!$N$1894)</f>
        <v/>
      </c>
      <c r="P1891" t="str">
        <f>IF([2]Entry!$S$1894="","",[2]Entry!$S$1894)</f>
        <v/>
      </c>
    </row>
    <row r="1892" spans="12:16" x14ac:dyDescent="0.2">
      <c r="L1892" t="str">
        <f>IF([2]Entry!$C$1895="","",[2]Entry!$C$1895)</f>
        <v/>
      </c>
      <c r="M1892" t="str">
        <f>IF([2]Entry!$J$1895="","",[2]Entry!$J$1895)</f>
        <v/>
      </c>
      <c r="N1892" t="str">
        <f>IF([2]Entry!$M$1895="","",[2]Entry!$M$1895)</f>
        <v/>
      </c>
      <c r="O1892" t="str">
        <f>IF([2]Entry!$N$1895="","",[2]Entry!$N$1895)</f>
        <v/>
      </c>
      <c r="P1892" t="str">
        <f>IF([2]Entry!$S$1895="","",[2]Entry!$S$1895)</f>
        <v/>
      </c>
    </row>
    <row r="1893" spans="12:16" x14ac:dyDescent="0.2">
      <c r="L1893" t="str">
        <f>IF([2]Entry!$C$1896="","",[2]Entry!$C$1896)</f>
        <v/>
      </c>
      <c r="M1893" t="str">
        <f>IF([2]Entry!$J$1896="","",[2]Entry!$J$1896)</f>
        <v/>
      </c>
      <c r="N1893" t="str">
        <f>IF([2]Entry!$M$1896="","",[2]Entry!$M$1896)</f>
        <v/>
      </c>
      <c r="O1893" t="str">
        <f>IF([2]Entry!$N$1896="","",[2]Entry!$N$1896)</f>
        <v/>
      </c>
      <c r="P1893" t="str">
        <f>IF([2]Entry!$S$1896="","",[2]Entry!$S$1896)</f>
        <v/>
      </c>
    </row>
    <row r="1894" spans="12:16" x14ac:dyDescent="0.2">
      <c r="L1894" t="str">
        <f>IF([2]Entry!$C$1897="","",[2]Entry!$C$1897)</f>
        <v/>
      </c>
      <c r="M1894" t="str">
        <f>IF([2]Entry!$J$1897="","",[2]Entry!$J$1897)</f>
        <v/>
      </c>
      <c r="N1894" t="str">
        <f>IF([2]Entry!$M$1897="","",[2]Entry!$M$1897)</f>
        <v/>
      </c>
      <c r="O1894" t="str">
        <f>IF([2]Entry!$N$1897="","",[2]Entry!$N$1897)</f>
        <v/>
      </c>
      <c r="P1894" t="str">
        <f>IF([2]Entry!$S$1897="","",[2]Entry!$S$1897)</f>
        <v/>
      </c>
    </row>
    <row r="1895" spans="12:16" x14ac:dyDescent="0.2">
      <c r="L1895" t="str">
        <f>IF([2]Entry!$C$1898="","",[2]Entry!$C$1898)</f>
        <v/>
      </c>
      <c r="M1895" t="str">
        <f>IF([2]Entry!$J$1898="","",[2]Entry!$J$1898)</f>
        <v/>
      </c>
      <c r="N1895" t="str">
        <f>IF([2]Entry!$M$1898="","",[2]Entry!$M$1898)</f>
        <v/>
      </c>
      <c r="O1895" t="str">
        <f>IF([2]Entry!$N$1898="","",[2]Entry!$N$1898)</f>
        <v/>
      </c>
      <c r="P1895" t="str">
        <f>IF([2]Entry!$S$1898="","",[2]Entry!$S$1898)</f>
        <v/>
      </c>
    </row>
    <row r="1896" spans="12:16" x14ac:dyDescent="0.2">
      <c r="L1896" t="str">
        <f>IF([2]Entry!$C$1899="","",[2]Entry!$C$1899)</f>
        <v/>
      </c>
      <c r="M1896" t="str">
        <f>IF([2]Entry!$J$1899="","",[2]Entry!$J$1899)</f>
        <v/>
      </c>
      <c r="N1896" t="str">
        <f>IF([2]Entry!$M$1899="","",[2]Entry!$M$1899)</f>
        <v/>
      </c>
      <c r="O1896" t="str">
        <f>IF([2]Entry!$N$1899="","",[2]Entry!$N$1899)</f>
        <v/>
      </c>
      <c r="P1896" t="str">
        <f>IF([2]Entry!$S$1899="","",[2]Entry!$S$1899)</f>
        <v/>
      </c>
    </row>
    <row r="1897" spans="12:16" x14ac:dyDescent="0.2">
      <c r="L1897" t="str">
        <f>IF([2]Entry!$C$1900="","",[2]Entry!$C$1900)</f>
        <v/>
      </c>
      <c r="M1897" t="str">
        <f>IF([2]Entry!$J$1900="","",[2]Entry!$J$1900)</f>
        <v/>
      </c>
      <c r="N1897" t="str">
        <f>IF([2]Entry!$M$1900="","",[2]Entry!$M$1900)</f>
        <v/>
      </c>
      <c r="O1897" t="str">
        <f>IF([2]Entry!$N$1900="","",[2]Entry!$N$1900)</f>
        <v/>
      </c>
      <c r="P1897" t="str">
        <f>IF([2]Entry!$S$1900="","",[2]Entry!$S$1900)</f>
        <v/>
      </c>
    </row>
    <row r="1898" spans="12:16" x14ac:dyDescent="0.2">
      <c r="L1898" t="str">
        <f>IF([2]Entry!$C$1901="","",[2]Entry!$C$1901)</f>
        <v/>
      </c>
      <c r="M1898" t="str">
        <f>IF([2]Entry!$J$1901="","",[2]Entry!$J$1901)</f>
        <v/>
      </c>
      <c r="N1898" t="str">
        <f>IF([2]Entry!$M$1901="","",[2]Entry!$M$1901)</f>
        <v/>
      </c>
      <c r="O1898" t="str">
        <f>IF([2]Entry!$N$1901="","",[2]Entry!$N$1901)</f>
        <v/>
      </c>
      <c r="P1898" t="str">
        <f>IF([2]Entry!$S$1901="","",[2]Entry!$S$1901)</f>
        <v/>
      </c>
    </row>
    <row r="1899" spans="12:16" x14ac:dyDescent="0.2">
      <c r="L1899" t="str">
        <f>IF([2]Entry!$C$1902="","",[2]Entry!$C$1902)</f>
        <v/>
      </c>
      <c r="M1899" t="str">
        <f>IF([2]Entry!$J$1902="","",[2]Entry!$J$1902)</f>
        <v/>
      </c>
      <c r="N1899" t="str">
        <f>IF([2]Entry!$M$1902="","",[2]Entry!$M$1902)</f>
        <v/>
      </c>
      <c r="O1899" t="str">
        <f>IF([2]Entry!$N$1902="","",[2]Entry!$N$1902)</f>
        <v/>
      </c>
      <c r="P1899" t="str">
        <f>IF([2]Entry!$S$1902="","",[2]Entry!$S$1902)</f>
        <v/>
      </c>
    </row>
    <row r="1900" spans="12:16" x14ac:dyDescent="0.2">
      <c r="L1900" t="str">
        <f>IF([2]Entry!$C$1903="","",[2]Entry!$C$1903)</f>
        <v/>
      </c>
      <c r="M1900" t="str">
        <f>IF([2]Entry!$J$1903="","",[2]Entry!$J$1903)</f>
        <v/>
      </c>
      <c r="N1900" t="str">
        <f>IF([2]Entry!$M$1903="","",[2]Entry!$M$1903)</f>
        <v/>
      </c>
      <c r="O1900" t="str">
        <f>IF([2]Entry!$N$1903="","",[2]Entry!$N$1903)</f>
        <v/>
      </c>
      <c r="P1900" t="str">
        <f>IF([2]Entry!$S$1903="","",[2]Entry!$S$1903)</f>
        <v/>
      </c>
    </row>
    <row r="1901" spans="12:16" x14ac:dyDescent="0.2">
      <c r="L1901" t="str">
        <f>IF([2]Entry!$C$1904="","",[2]Entry!$C$1904)</f>
        <v/>
      </c>
      <c r="M1901" t="str">
        <f>IF([2]Entry!$J$1904="","",[2]Entry!$J$1904)</f>
        <v/>
      </c>
      <c r="N1901" t="str">
        <f>IF([2]Entry!$M$1904="","",[2]Entry!$M$1904)</f>
        <v/>
      </c>
      <c r="O1901" t="str">
        <f>IF([2]Entry!$N$1904="","",[2]Entry!$N$1904)</f>
        <v/>
      </c>
      <c r="P1901" t="str">
        <f>IF([2]Entry!$S$1904="","",[2]Entry!$S$1904)</f>
        <v/>
      </c>
    </row>
    <row r="1902" spans="12:16" x14ac:dyDescent="0.2">
      <c r="L1902" t="str">
        <f>IF([2]Entry!$C$1905="","",[2]Entry!$C$1905)</f>
        <v/>
      </c>
      <c r="M1902" t="str">
        <f>IF([2]Entry!$J$1905="","",[2]Entry!$J$1905)</f>
        <v/>
      </c>
      <c r="N1902" t="str">
        <f>IF([2]Entry!$M$1905="","",[2]Entry!$M$1905)</f>
        <v/>
      </c>
      <c r="O1902" t="str">
        <f>IF([2]Entry!$N$1905="","",[2]Entry!$N$1905)</f>
        <v/>
      </c>
      <c r="P1902" t="str">
        <f>IF([2]Entry!$S$1905="","",[2]Entry!$S$1905)</f>
        <v/>
      </c>
    </row>
    <row r="1903" spans="12:16" x14ac:dyDescent="0.2">
      <c r="L1903" t="str">
        <f>IF([2]Entry!$C$1906="","",[2]Entry!$C$1906)</f>
        <v/>
      </c>
      <c r="M1903" t="str">
        <f>IF([2]Entry!$J$1906="","",[2]Entry!$J$1906)</f>
        <v/>
      </c>
      <c r="N1903" t="str">
        <f>IF([2]Entry!$M$1906="","",[2]Entry!$M$1906)</f>
        <v/>
      </c>
      <c r="O1903" t="str">
        <f>IF([2]Entry!$N$1906="","",[2]Entry!$N$1906)</f>
        <v/>
      </c>
      <c r="P1903" t="str">
        <f>IF([2]Entry!$S$1906="","",[2]Entry!$S$1906)</f>
        <v/>
      </c>
    </row>
    <row r="1904" spans="12:16" x14ac:dyDescent="0.2">
      <c r="L1904" t="str">
        <f>IF([2]Entry!$C$1907="","",[2]Entry!$C$1907)</f>
        <v/>
      </c>
      <c r="M1904" t="str">
        <f>IF([2]Entry!$J$1907="","",[2]Entry!$J$1907)</f>
        <v/>
      </c>
      <c r="N1904" t="str">
        <f>IF([2]Entry!$M$1907="","",[2]Entry!$M$1907)</f>
        <v/>
      </c>
      <c r="O1904" t="str">
        <f>IF([2]Entry!$N$1907="","",[2]Entry!$N$1907)</f>
        <v/>
      </c>
      <c r="P1904" t="str">
        <f>IF([2]Entry!$S$1907="","",[2]Entry!$S$1907)</f>
        <v/>
      </c>
    </row>
    <row r="1905" spans="12:16" x14ac:dyDescent="0.2">
      <c r="L1905" t="str">
        <f>IF([2]Entry!$C$1908="","",[2]Entry!$C$1908)</f>
        <v/>
      </c>
      <c r="M1905" t="str">
        <f>IF([2]Entry!$J$1908="","",[2]Entry!$J$1908)</f>
        <v/>
      </c>
      <c r="N1905" t="str">
        <f>IF([2]Entry!$M$1908="","",[2]Entry!$M$1908)</f>
        <v/>
      </c>
      <c r="O1905" t="str">
        <f>IF([2]Entry!$N$1908="","",[2]Entry!$N$1908)</f>
        <v/>
      </c>
      <c r="P1905" t="str">
        <f>IF([2]Entry!$S$1908="","",[2]Entry!$S$1908)</f>
        <v/>
      </c>
    </row>
    <row r="1906" spans="12:16" x14ac:dyDescent="0.2">
      <c r="L1906" t="str">
        <f>IF([2]Entry!$C$1909="","",[2]Entry!$C$1909)</f>
        <v/>
      </c>
      <c r="M1906" t="str">
        <f>IF([2]Entry!$J$1909="","",[2]Entry!$J$1909)</f>
        <v/>
      </c>
      <c r="N1906" t="str">
        <f>IF([2]Entry!$M$1909="","",[2]Entry!$M$1909)</f>
        <v/>
      </c>
      <c r="O1906" t="str">
        <f>IF([2]Entry!$N$1909="","",[2]Entry!$N$1909)</f>
        <v/>
      </c>
      <c r="P1906" t="str">
        <f>IF([2]Entry!$S$1909="","",[2]Entry!$S$1909)</f>
        <v/>
      </c>
    </row>
    <row r="1907" spans="12:16" x14ac:dyDescent="0.2">
      <c r="L1907" t="str">
        <f>IF([2]Entry!$C$1910="","",[2]Entry!$C$1910)</f>
        <v/>
      </c>
      <c r="M1907" t="str">
        <f>IF([2]Entry!$J$1910="","",[2]Entry!$J$1910)</f>
        <v/>
      </c>
      <c r="N1907" t="str">
        <f>IF([2]Entry!$M$1910="","",[2]Entry!$M$1910)</f>
        <v/>
      </c>
      <c r="O1907" t="str">
        <f>IF([2]Entry!$N$1910="","",[2]Entry!$N$1910)</f>
        <v/>
      </c>
      <c r="P1907" t="str">
        <f>IF([2]Entry!$S$1910="","",[2]Entry!$S$1910)</f>
        <v/>
      </c>
    </row>
    <row r="1908" spans="12:16" x14ac:dyDescent="0.2">
      <c r="L1908" t="str">
        <f>IF([2]Entry!$C$1911="","",[2]Entry!$C$1911)</f>
        <v/>
      </c>
      <c r="M1908" t="str">
        <f>IF([2]Entry!$J$1911="","",[2]Entry!$J$1911)</f>
        <v/>
      </c>
      <c r="N1908" t="str">
        <f>IF([2]Entry!$M$1911="","",[2]Entry!$M$1911)</f>
        <v/>
      </c>
      <c r="O1908" t="str">
        <f>IF([2]Entry!$N$1911="","",[2]Entry!$N$1911)</f>
        <v/>
      </c>
      <c r="P1908" t="str">
        <f>IF([2]Entry!$S$1911="","",[2]Entry!$S$1911)</f>
        <v/>
      </c>
    </row>
    <row r="1909" spans="12:16" x14ac:dyDescent="0.2">
      <c r="L1909" t="str">
        <f>IF([2]Entry!$C$1912="","",[2]Entry!$C$1912)</f>
        <v/>
      </c>
      <c r="M1909" t="str">
        <f>IF([2]Entry!$J$1912="","",[2]Entry!$J$1912)</f>
        <v/>
      </c>
      <c r="N1909" t="str">
        <f>IF([2]Entry!$M$1912="","",[2]Entry!$M$1912)</f>
        <v/>
      </c>
      <c r="O1909" t="str">
        <f>IF([2]Entry!$N$1912="","",[2]Entry!$N$1912)</f>
        <v/>
      </c>
      <c r="P1909" t="str">
        <f>IF([2]Entry!$S$1912="","",[2]Entry!$S$1912)</f>
        <v/>
      </c>
    </row>
    <row r="1910" spans="12:16" x14ac:dyDescent="0.2">
      <c r="L1910" t="str">
        <f>IF([2]Entry!$C$1913="","",[2]Entry!$C$1913)</f>
        <v/>
      </c>
      <c r="M1910" t="str">
        <f>IF([2]Entry!$J$1913="","",[2]Entry!$J$1913)</f>
        <v/>
      </c>
      <c r="N1910" t="str">
        <f>IF([2]Entry!$M$1913="","",[2]Entry!$M$1913)</f>
        <v/>
      </c>
      <c r="O1910" t="str">
        <f>IF([2]Entry!$N$1913="","",[2]Entry!$N$1913)</f>
        <v/>
      </c>
      <c r="P1910" t="str">
        <f>IF([2]Entry!$S$1913="","",[2]Entry!$S$1913)</f>
        <v/>
      </c>
    </row>
    <row r="1911" spans="12:16" x14ac:dyDescent="0.2">
      <c r="L1911" t="str">
        <f>IF([2]Entry!$C$1914="","",[2]Entry!$C$1914)</f>
        <v/>
      </c>
      <c r="M1911" t="str">
        <f>IF([2]Entry!$J$1914="","",[2]Entry!$J$1914)</f>
        <v/>
      </c>
      <c r="N1911" t="str">
        <f>IF([2]Entry!$M$1914="","",[2]Entry!$M$1914)</f>
        <v/>
      </c>
      <c r="O1911" t="str">
        <f>IF([2]Entry!$N$1914="","",[2]Entry!$N$1914)</f>
        <v/>
      </c>
      <c r="P1911" t="str">
        <f>IF([2]Entry!$S$1914="","",[2]Entry!$S$1914)</f>
        <v/>
      </c>
    </row>
    <row r="1912" spans="12:16" x14ac:dyDescent="0.2">
      <c r="L1912" t="str">
        <f>IF([2]Entry!$C$1915="","",[2]Entry!$C$1915)</f>
        <v/>
      </c>
      <c r="M1912" t="str">
        <f>IF([2]Entry!$J$1915="","",[2]Entry!$J$1915)</f>
        <v/>
      </c>
      <c r="N1912" t="str">
        <f>IF([2]Entry!$M$1915="","",[2]Entry!$M$1915)</f>
        <v/>
      </c>
      <c r="O1912" t="str">
        <f>IF([2]Entry!$N$1915="","",[2]Entry!$N$1915)</f>
        <v/>
      </c>
      <c r="P1912" t="str">
        <f>IF([2]Entry!$S$1915="","",[2]Entry!$S$1915)</f>
        <v/>
      </c>
    </row>
    <row r="1913" spans="12:16" x14ac:dyDescent="0.2">
      <c r="L1913" t="str">
        <f>IF([2]Entry!$C$1916="","",[2]Entry!$C$1916)</f>
        <v/>
      </c>
      <c r="M1913" t="str">
        <f>IF([2]Entry!$J$1916="","",[2]Entry!$J$1916)</f>
        <v/>
      </c>
      <c r="N1913" t="str">
        <f>IF([2]Entry!$M$1916="","",[2]Entry!$M$1916)</f>
        <v/>
      </c>
      <c r="O1913" t="str">
        <f>IF([2]Entry!$N$1916="","",[2]Entry!$N$1916)</f>
        <v/>
      </c>
      <c r="P1913" t="str">
        <f>IF([2]Entry!$S$1916="","",[2]Entry!$S$1916)</f>
        <v/>
      </c>
    </row>
    <row r="1914" spans="12:16" x14ac:dyDescent="0.2">
      <c r="L1914" t="str">
        <f>IF([2]Entry!$C$1917="","",[2]Entry!$C$1917)</f>
        <v/>
      </c>
      <c r="M1914" t="str">
        <f>IF([2]Entry!$J$1917="","",[2]Entry!$J$1917)</f>
        <v/>
      </c>
      <c r="N1914" t="str">
        <f>IF([2]Entry!$M$1917="","",[2]Entry!$M$1917)</f>
        <v/>
      </c>
      <c r="O1914" t="str">
        <f>IF([2]Entry!$N$1917="","",[2]Entry!$N$1917)</f>
        <v/>
      </c>
      <c r="P1914" t="str">
        <f>IF([2]Entry!$S$1917="","",[2]Entry!$S$1917)</f>
        <v/>
      </c>
    </row>
    <row r="1915" spans="12:16" x14ac:dyDescent="0.2">
      <c r="L1915" t="str">
        <f>IF([2]Entry!$C$1918="","",[2]Entry!$C$1918)</f>
        <v/>
      </c>
      <c r="M1915" t="str">
        <f>IF([2]Entry!$J$1918="","",[2]Entry!$J$1918)</f>
        <v/>
      </c>
      <c r="N1915" t="str">
        <f>IF([2]Entry!$M$1918="","",[2]Entry!$M$1918)</f>
        <v/>
      </c>
      <c r="O1915" t="str">
        <f>IF([2]Entry!$N$1918="","",[2]Entry!$N$1918)</f>
        <v/>
      </c>
      <c r="P1915" t="str">
        <f>IF([2]Entry!$S$1918="","",[2]Entry!$S$1918)</f>
        <v/>
      </c>
    </row>
    <row r="1916" spans="12:16" x14ac:dyDescent="0.2">
      <c r="L1916" t="str">
        <f>IF([2]Entry!$C$1919="","",[2]Entry!$C$1919)</f>
        <v/>
      </c>
      <c r="M1916" t="str">
        <f>IF([2]Entry!$J$1919="","",[2]Entry!$J$1919)</f>
        <v/>
      </c>
      <c r="N1916" t="str">
        <f>IF([2]Entry!$M$1919="","",[2]Entry!$M$1919)</f>
        <v/>
      </c>
      <c r="O1916" t="str">
        <f>IF([2]Entry!$N$1919="","",[2]Entry!$N$1919)</f>
        <v/>
      </c>
      <c r="P1916" t="str">
        <f>IF([2]Entry!$S$1919="","",[2]Entry!$S$1919)</f>
        <v/>
      </c>
    </row>
    <row r="1917" spans="12:16" x14ac:dyDescent="0.2">
      <c r="L1917" t="str">
        <f>IF([2]Entry!$C$1920="","",[2]Entry!$C$1920)</f>
        <v/>
      </c>
      <c r="M1917" t="str">
        <f>IF([2]Entry!$J$1920="","",[2]Entry!$J$1920)</f>
        <v/>
      </c>
      <c r="N1917" t="str">
        <f>IF([2]Entry!$M$1920="","",[2]Entry!$M$1920)</f>
        <v/>
      </c>
      <c r="O1917" t="str">
        <f>IF([2]Entry!$N$1920="","",[2]Entry!$N$1920)</f>
        <v/>
      </c>
      <c r="P1917" t="str">
        <f>IF([2]Entry!$S$1920="","",[2]Entry!$S$1920)</f>
        <v/>
      </c>
    </row>
    <row r="1918" spans="12:16" x14ac:dyDescent="0.2">
      <c r="L1918" t="str">
        <f>IF([2]Entry!$C$1921="","",[2]Entry!$C$1921)</f>
        <v/>
      </c>
      <c r="M1918" t="str">
        <f>IF([2]Entry!$J$1921="","",[2]Entry!$J$1921)</f>
        <v/>
      </c>
      <c r="N1918" t="str">
        <f>IF([2]Entry!$M$1921="","",[2]Entry!$M$1921)</f>
        <v/>
      </c>
      <c r="O1918" t="str">
        <f>IF([2]Entry!$N$1921="","",[2]Entry!$N$1921)</f>
        <v/>
      </c>
      <c r="P1918" t="str">
        <f>IF([2]Entry!$S$1921="","",[2]Entry!$S$1921)</f>
        <v/>
      </c>
    </row>
    <row r="1919" spans="12:16" x14ac:dyDescent="0.2">
      <c r="L1919" t="str">
        <f>IF([2]Entry!$C$1922="","",[2]Entry!$C$1922)</f>
        <v/>
      </c>
      <c r="M1919" t="str">
        <f>IF([2]Entry!$J$1922="","",[2]Entry!$J$1922)</f>
        <v/>
      </c>
      <c r="N1919" t="str">
        <f>IF([2]Entry!$M$1922="","",[2]Entry!$M$1922)</f>
        <v/>
      </c>
      <c r="O1919" t="str">
        <f>IF([2]Entry!$N$1922="","",[2]Entry!$N$1922)</f>
        <v/>
      </c>
      <c r="P1919" t="str">
        <f>IF([2]Entry!$S$1922="","",[2]Entry!$S$1922)</f>
        <v/>
      </c>
    </row>
    <row r="1920" spans="12:16" x14ac:dyDescent="0.2">
      <c r="L1920" t="str">
        <f>IF([2]Entry!$C$1923="","",[2]Entry!$C$1923)</f>
        <v/>
      </c>
      <c r="M1920" t="str">
        <f>IF([2]Entry!$J$1923="","",[2]Entry!$J$1923)</f>
        <v/>
      </c>
      <c r="N1920" t="str">
        <f>IF([2]Entry!$M$1923="","",[2]Entry!$M$1923)</f>
        <v/>
      </c>
      <c r="O1920" t="str">
        <f>IF([2]Entry!$N$1923="","",[2]Entry!$N$1923)</f>
        <v/>
      </c>
      <c r="P1920" t="str">
        <f>IF([2]Entry!$S$1923="","",[2]Entry!$S$1923)</f>
        <v/>
      </c>
    </row>
    <row r="1921" spans="12:16" x14ac:dyDescent="0.2">
      <c r="L1921" t="str">
        <f>IF([2]Entry!$C$1924="","",[2]Entry!$C$1924)</f>
        <v/>
      </c>
      <c r="M1921" t="str">
        <f>IF([2]Entry!$J$1924="","",[2]Entry!$J$1924)</f>
        <v/>
      </c>
      <c r="N1921" t="str">
        <f>IF([2]Entry!$M$1924="","",[2]Entry!$M$1924)</f>
        <v/>
      </c>
      <c r="O1921" t="str">
        <f>IF([2]Entry!$N$1924="","",[2]Entry!$N$1924)</f>
        <v/>
      </c>
      <c r="P1921" t="str">
        <f>IF([2]Entry!$S$1924="","",[2]Entry!$S$1924)</f>
        <v/>
      </c>
    </row>
    <row r="1922" spans="12:16" x14ac:dyDescent="0.2">
      <c r="L1922" t="str">
        <f>IF([2]Entry!$C$1925="","",[2]Entry!$C$1925)</f>
        <v/>
      </c>
      <c r="M1922" t="str">
        <f>IF([2]Entry!$J$1925="","",[2]Entry!$J$1925)</f>
        <v/>
      </c>
      <c r="N1922" t="str">
        <f>IF([2]Entry!$M$1925="","",[2]Entry!$M$1925)</f>
        <v/>
      </c>
      <c r="O1922" t="str">
        <f>IF([2]Entry!$N$1925="","",[2]Entry!$N$1925)</f>
        <v/>
      </c>
      <c r="P1922" t="str">
        <f>IF([2]Entry!$S$1925="","",[2]Entry!$S$1925)</f>
        <v/>
      </c>
    </row>
    <row r="1923" spans="12:16" x14ac:dyDescent="0.2">
      <c r="L1923" t="str">
        <f>IF([2]Entry!$C$1926="","",[2]Entry!$C$1926)</f>
        <v/>
      </c>
      <c r="M1923" t="str">
        <f>IF([2]Entry!$J$1926="","",[2]Entry!$J$1926)</f>
        <v/>
      </c>
      <c r="N1923" t="str">
        <f>IF([2]Entry!$M$1926="","",[2]Entry!$M$1926)</f>
        <v/>
      </c>
      <c r="O1923" t="str">
        <f>IF([2]Entry!$N$1926="","",[2]Entry!$N$1926)</f>
        <v/>
      </c>
      <c r="P1923" t="str">
        <f>IF([2]Entry!$S$1926="","",[2]Entry!$S$1926)</f>
        <v/>
      </c>
    </row>
    <row r="1924" spans="12:16" x14ac:dyDescent="0.2">
      <c r="L1924" t="str">
        <f>IF([2]Entry!$C$1927="","",[2]Entry!$C$1927)</f>
        <v/>
      </c>
      <c r="M1924" t="str">
        <f>IF([2]Entry!$J$1927="","",[2]Entry!$J$1927)</f>
        <v/>
      </c>
      <c r="N1924" t="str">
        <f>IF([2]Entry!$M$1927="","",[2]Entry!$M$1927)</f>
        <v/>
      </c>
      <c r="O1924" t="str">
        <f>IF([2]Entry!$N$1927="","",[2]Entry!$N$1927)</f>
        <v/>
      </c>
      <c r="P1924" t="str">
        <f>IF([2]Entry!$S$1927="","",[2]Entry!$S$1927)</f>
        <v/>
      </c>
    </row>
    <row r="1925" spans="12:16" x14ac:dyDescent="0.2">
      <c r="L1925" t="str">
        <f>IF([2]Entry!$C$1928="","",[2]Entry!$C$1928)</f>
        <v/>
      </c>
      <c r="M1925" t="str">
        <f>IF([2]Entry!$J$1928="","",[2]Entry!$J$1928)</f>
        <v/>
      </c>
      <c r="N1925" t="str">
        <f>IF([2]Entry!$M$1928="","",[2]Entry!$M$1928)</f>
        <v/>
      </c>
      <c r="O1925" t="str">
        <f>IF([2]Entry!$N$1928="","",[2]Entry!$N$1928)</f>
        <v/>
      </c>
      <c r="P1925" t="str">
        <f>IF([2]Entry!$S$1928="","",[2]Entry!$S$1928)</f>
        <v/>
      </c>
    </row>
    <row r="1926" spans="12:16" x14ac:dyDescent="0.2">
      <c r="L1926" t="str">
        <f>IF([2]Entry!$C$1929="","",[2]Entry!$C$1929)</f>
        <v/>
      </c>
      <c r="M1926" t="str">
        <f>IF([2]Entry!$J$1929="","",[2]Entry!$J$1929)</f>
        <v/>
      </c>
      <c r="N1926" t="str">
        <f>IF([2]Entry!$M$1929="","",[2]Entry!$M$1929)</f>
        <v/>
      </c>
      <c r="O1926" t="str">
        <f>IF([2]Entry!$N$1929="","",[2]Entry!$N$1929)</f>
        <v/>
      </c>
      <c r="P1926" t="str">
        <f>IF([2]Entry!$S$1929="","",[2]Entry!$S$1929)</f>
        <v/>
      </c>
    </row>
    <row r="1927" spans="12:16" x14ac:dyDescent="0.2">
      <c r="L1927" t="str">
        <f>IF([2]Entry!$C$1930="","",[2]Entry!$C$1930)</f>
        <v/>
      </c>
      <c r="M1927" t="str">
        <f>IF([2]Entry!$J$1930="","",[2]Entry!$J$1930)</f>
        <v/>
      </c>
      <c r="N1927" t="str">
        <f>IF([2]Entry!$M$1930="","",[2]Entry!$M$1930)</f>
        <v/>
      </c>
      <c r="O1927" t="str">
        <f>IF([2]Entry!$N$1930="","",[2]Entry!$N$1930)</f>
        <v/>
      </c>
      <c r="P1927" t="str">
        <f>IF([2]Entry!$S$1930="","",[2]Entry!$S$1930)</f>
        <v/>
      </c>
    </row>
    <row r="1928" spans="12:16" x14ac:dyDescent="0.2">
      <c r="L1928" t="str">
        <f>IF([2]Entry!$C$1931="","",[2]Entry!$C$1931)</f>
        <v/>
      </c>
      <c r="M1928" t="str">
        <f>IF([2]Entry!$J$1931="","",[2]Entry!$J$1931)</f>
        <v/>
      </c>
      <c r="N1928" t="str">
        <f>IF([2]Entry!$M$1931="","",[2]Entry!$M$1931)</f>
        <v/>
      </c>
      <c r="O1928" t="str">
        <f>IF([2]Entry!$N$1931="","",[2]Entry!$N$1931)</f>
        <v/>
      </c>
      <c r="P1928" t="str">
        <f>IF([2]Entry!$S$1931="","",[2]Entry!$S$1931)</f>
        <v/>
      </c>
    </row>
    <row r="1929" spans="12:16" x14ac:dyDescent="0.2">
      <c r="L1929" t="str">
        <f>IF([2]Entry!$C$1932="","",[2]Entry!$C$1932)</f>
        <v/>
      </c>
      <c r="M1929" t="str">
        <f>IF([2]Entry!$J$1932="","",[2]Entry!$J$1932)</f>
        <v/>
      </c>
      <c r="N1929" t="str">
        <f>IF([2]Entry!$M$1932="","",[2]Entry!$M$1932)</f>
        <v/>
      </c>
      <c r="O1929" t="str">
        <f>IF([2]Entry!$N$1932="","",[2]Entry!$N$1932)</f>
        <v/>
      </c>
      <c r="P1929" t="str">
        <f>IF([2]Entry!$S$1932="","",[2]Entry!$S$1932)</f>
        <v/>
      </c>
    </row>
    <row r="1930" spans="12:16" x14ac:dyDescent="0.2">
      <c r="L1930" t="str">
        <f>IF([2]Entry!$C$1933="","",[2]Entry!$C$1933)</f>
        <v/>
      </c>
      <c r="M1930" t="str">
        <f>IF([2]Entry!$J$1933="","",[2]Entry!$J$1933)</f>
        <v/>
      </c>
      <c r="N1930" t="str">
        <f>IF([2]Entry!$M$1933="","",[2]Entry!$M$1933)</f>
        <v/>
      </c>
      <c r="O1930" t="str">
        <f>IF([2]Entry!$N$1933="","",[2]Entry!$N$1933)</f>
        <v/>
      </c>
      <c r="P1930" t="str">
        <f>IF([2]Entry!$S$1933="","",[2]Entry!$S$1933)</f>
        <v/>
      </c>
    </row>
    <row r="1931" spans="12:16" x14ac:dyDescent="0.2">
      <c r="L1931" t="str">
        <f>IF([2]Entry!$C$1934="","",[2]Entry!$C$1934)</f>
        <v/>
      </c>
      <c r="M1931" t="str">
        <f>IF([2]Entry!$J$1934="","",[2]Entry!$J$1934)</f>
        <v/>
      </c>
      <c r="N1931" t="str">
        <f>IF([2]Entry!$M$1934="","",[2]Entry!$M$1934)</f>
        <v/>
      </c>
      <c r="O1931" t="str">
        <f>IF([2]Entry!$N$1934="","",[2]Entry!$N$1934)</f>
        <v/>
      </c>
      <c r="P1931" t="str">
        <f>IF([2]Entry!$S$1934="","",[2]Entry!$S$1934)</f>
        <v/>
      </c>
    </row>
    <row r="1932" spans="12:16" x14ac:dyDescent="0.2">
      <c r="L1932" t="str">
        <f>IF([2]Entry!$C$1935="","",[2]Entry!$C$1935)</f>
        <v/>
      </c>
      <c r="M1932" t="str">
        <f>IF([2]Entry!$J$1935="","",[2]Entry!$J$1935)</f>
        <v/>
      </c>
      <c r="N1932" t="str">
        <f>IF([2]Entry!$M$1935="","",[2]Entry!$M$1935)</f>
        <v/>
      </c>
      <c r="O1932" t="str">
        <f>IF([2]Entry!$N$1935="","",[2]Entry!$N$1935)</f>
        <v/>
      </c>
      <c r="P1932" t="str">
        <f>IF([2]Entry!$S$1935="","",[2]Entry!$S$1935)</f>
        <v/>
      </c>
    </row>
    <row r="1933" spans="12:16" x14ac:dyDescent="0.2">
      <c r="L1933" t="str">
        <f>IF([2]Entry!$C$1936="","",[2]Entry!$C$1936)</f>
        <v/>
      </c>
      <c r="M1933" t="str">
        <f>IF([2]Entry!$J$1936="","",[2]Entry!$J$1936)</f>
        <v/>
      </c>
      <c r="N1933" t="str">
        <f>IF([2]Entry!$M$1936="","",[2]Entry!$M$1936)</f>
        <v/>
      </c>
      <c r="O1933" t="str">
        <f>IF([2]Entry!$N$1936="","",[2]Entry!$N$1936)</f>
        <v/>
      </c>
      <c r="P1933" t="str">
        <f>IF([2]Entry!$S$1936="","",[2]Entry!$S$1936)</f>
        <v/>
      </c>
    </row>
    <row r="1934" spans="12:16" x14ac:dyDescent="0.2">
      <c r="L1934" t="str">
        <f>IF([2]Entry!$C$1937="","",[2]Entry!$C$1937)</f>
        <v/>
      </c>
      <c r="M1934" t="str">
        <f>IF([2]Entry!$J$1937="","",[2]Entry!$J$1937)</f>
        <v/>
      </c>
      <c r="N1934" t="str">
        <f>IF([2]Entry!$M$1937="","",[2]Entry!$M$1937)</f>
        <v/>
      </c>
      <c r="O1934" t="str">
        <f>IF([2]Entry!$N$1937="","",[2]Entry!$N$1937)</f>
        <v/>
      </c>
      <c r="P1934" t="str">
        <f>IF([2]Entry!$S$1937="","",[2]Entry!$S$1937)</f>
        <v/>
      </c>
    </row>
    <row r="1935" spans="12:16" x14ac:dyDescent="0.2">
      <c r="L1935" t="str">
        <f>IF([2]Entry!$C$1938="","",[2]Entry!$C$1938)</f>
        <v/>
      </c>
      <c r="M1935" t="str">
        <f>IF([2]Entry!$J$1938="","",[2]Entry!$J$1938)</f>
        <v/>
      </c>
      <c r="N1935" t="str">
        <f>IF([2]Entry!$M$1938="","",[2]Entry!$M$1938)</f>
        <v/>
      </c>
      <c r="O1935" t="str">
        <f>IF([2]Entry!$N$1938="","",[2]Entry!$N$1938)</f>
        <v/>
      </c>
      <c r="P1935" t="str">
        <f>IF([2]Entry!$S$1938="","",[2]Entry!$S$1938)</f>
        <v/>
      </c>
    </row>
    <row r="1936" spans="12:16" x14ac:dyDescent="0.2">
      <c r="L1936" t="str">
        <f>IF([2]Entry!$C$1939="","",[2]Entry!$C$1939)</f>
        <v/>
      </c>
      <c r="M1936" t="str">
        <f>IF([2]Entry!$J$1939="","",[2]Entry!$J$1939)</f>
        <v/>
      </c>
      <c r="N1936" t="str">
        <f>IF([2]Entry!$M$1939="","",[2]Entry!$M$1939)</f>
        <v/>
      </c>
      <c r="O1936" t="str">
        <f>IF([2]Entry!$N$1939="","",[2]Entry!$N$1939)</f>
        <v/>
      </c>
      <c r="P1936" t="str">
        <f>IF([2]Entry!$S$1939="","",[2]Entry!$S$1939)</f>
        <v/>
      </c>
    </row>
    <row r="1937" spans="12:16" x14ac:dyDescent="0.2">
      <c r="L1937" t="str">
        <f>IF([2]Entry!$C$1940="","",[2]Entry!$C$1940)</f>
        <v/>
      </c>
      <c r="M1937" t="str">
        <f>IF([2]Entry!$J$1940="","",[2]Entry!$J$1940)</f>
        <v/>
      </c>
      <c r="N1937" t="str">
        <f>IF([2]Entry!$M$1940="","",[2]Entry!$M$1940)</f>
        <v/>
      </c>
      <c r="O1937" t="str">
        <f>IF([2]Entry!$N$1940="","",[2]Entry!$N$1940)</f>
        <v/>
      </c>
      <c r="P1937" t="str">
        <f>IF([2]Entry!$S$1940="","",[2]Entry!$S$1940)</f>
        <v/>
      </c>
    </row>
    <row r="1938" spans="12:16" x14ac:dyDescent="0.2">
      <c r="L1938" t="str">
        <f>IF([2]Entry!$C$1941="","",[2]Entry!$C$1941)</f>
        <v/>
      </c>
      <c r="M1938" t="str">
        <f>IF([2]Entry!$J$1941="","",[2]Entry!$J$1941)</f>
        <v/>
      </c>
      <c r="N1938" t="str">
        <f>IF([2]Entry!$M$1941="","",[2]Entry!$M$1941)</f>
        <v/>
      </c>
      <c r="O1938" t="str">
        <f>IF([2]Entry!$N$1941="","",[2]Entry!$N$1941)</f>
        <v/>
      </c>
      <c r="P1938" t="str">
        <f>IF([2]Entry!$S$1941="","",[2]Entry!$S$1941)</f>
        <v/>
      </c>
    </row>
    <row r="1939" spans="12:16" x14ac:dyDescent="0.2">
      <c r="L1939" t="str">
        <f>IF([2]Entry!$C$1942="","",[2]Entry!$C$1942)</f>
        <v/>
      </c>
      <c r="M1939" t="str">
        <f>IF([2]Entry!$J$1942="","",[2]Entry!$J$1942)</f>
        <v/>
      </c>
      <c r="N1939" t="str">
        <f>IF([2]Entry!$M$1942="","",[2]Entry!$M$1942)</f>
        <v/>
      </c>
      <c r="O1939" t="str">
        <f>IF([2]Entry!$N$1942="","",[2]Entry!$N$1942)</f>
        <v/>
      </c>
      <c r="P1939" t="str">
        <f>IF([2]Entry!$S$1942="","",[2]Entry!$S$1942)</f>
        <v/>
      </c>
    </row>
    <row r="1940" spans="12:16" x14ac:dyDescent="0.2">
      <c r="L1940" t="str">
        <f>IF([2]Entry!$C$1943="","",[2]Entry!$C$1943)</f>
        <v/>
      </c>
      <c r="M1940" t="str">
        <f>IF([2]Entry!$J$1943="","",[2]Entry!$J$1943)</f>
        <v/>
      </c>
      <c r="N1940" t="str">
        <f>IF([2]Entry!$M$1943="","",[2]Entry!$M$1943)</f>
        <v/>
      </c>
      <c r="O1940" t="str">
        <f>IF([2]Entry!$N$1943="","",[2]Entry!$N$1943)</f>
        <v/>
      </c>
      <c r="P1940" t="str">
        <f>IF([2]Entry!$S$1943="","",[2]Entry!$S$1943)</f>
        <v/>
      </c>
    </row>
    <row r="1941" spans="12:16" x14ac:dyDescent="0.2">
      <c r="L1941" t="str">
        <f>IF([2]Entry!$C$1944="","",[2]Entry!$C$1944)</f>
        <v/>
      </c>
      <c r="M1941" t="str">
        <f>IF([2]Entry!$J$1944="","",[2]Entry!$J$1944)</f>
        <v/>
      </c>
      <c r="N1941" t="str">
        <f>IF([2]Entry!$M$1944="","",[2]Entry!$M$1944)</f>
        <v/>
      </c>
      <c r="O1941" t="str">
        <f>IF([2]Entry!$N$1944="","",[2]Entry!$N$1944)</f>
        <v/>
      </c>
      <c r="P1941" t="str">
        <f>IF([2]Entry!$S$1944="","",[2]Entry!$S$1944)</f>
        <v/>
      </c>
    </row>
    <row r="1942" spans="12:16" x14ac:dyDescent="0.2">
      <c r="L1942" t="str">
        <f>IF([2]Entry!$C$1945="","",[2]Entry!$C$1945)</f>
        <v/>
      </c>
      <c r="M1942" t="str">
        <f>IF([2]Entry!$J$1945="","",[2]Entry!$J$1945)</f>
        <v/>
      </c>
      <c r="N1942" t="str">
        <f>IF([2]Entry!$M$1945="","",[2]Entry!$M$1945)</f>
        <v/>
      </c>
      <c r="O1942" t="str">
        <f>IF([2]Entry!$N$1945="","",[2]Entry!$N$1945)</f>
        <v/>
      </c>
      <c r="P1942" t="str">
        <f>IF([2]Entry!$S$1945="","",[2]Entry!$S$1945)</f>
        <v/>
      </c>
    </row>
    <row r="1943" spans="12:16" x14ac:dyDescent="0.2">
      <c r="L1943" t="str">
        <f>IF([2]Entry!$C$1946="","",[2]Entry!$C$1946)</f>
        <v/>
      </c>
      <c r="M1943" t="str">
        <f>IF([2]Entry!$J$1946="","",[2]Entry!$J$1946)</f>
        <v/>
      </c>
      <c r="N1943" t="str">
        <f>IF([2]Entry!$M$1946="","",[2]Entry!$M$1946)</f>
        <v/>
      </c>
      <c r="O1943" t="str">
        <f>IF([2]Entry!$N$1946="","",[2]Entry!$N$1946)</f>
        <v/>
      </c>
      <c r="P1943" t="str">
        <f>IF([2]Entry!$S$1946="","",[2]Entry!$S$1946)</f>
        <v/>
      </c>
    </row>
    <row r="1944" spans="12:16" x14ac:dyDescent="0.2">
      <c r="L1944" t="str">
        <f>IF([2]Entry!$C$1947="","",[2]Entry!$C$1947)</f>
        <v/>
      </c>
      <c r="M1944" t="str">
        <f>IF([2]Entry!$J$1947="","",[2]Entry!$J$1947)</f>
        <v/>
      </c>
      <c r="N1944" t="str">
        <f>IF([2]Entry!$M$1947="","",[2]Entry!$M$1947)</f>
        <v/>
      </c>
      <c r="O1944" t="str">
        <f>IF([2]Entry!$N$1947="","",[2]Entry!$N$1947)</f>
        <v/>
      </c>
      <c r="P1944" t="str">
        <f>IF([2]Entry!$S$1947="","",[2]Entry!$S$1947)</f>
        <v/>
      </c>
    </row>
    <row r="1945" spans="12:16" x14ac:dyDescent="0.2">
      <c r="L1945" t="str">
        <f>IF([2]Entry!$C$1948="","",[2]Entry!$C$1948)</f>
        <v/>
      </c>
      <c r="M1945" t="str">
        <f>IF([2]Entry!$J$1948="","",[2]Entry!$J$1948)</f>
        <v/>
      </c>
      <c r="N1945" t="str">
        <f>IF([2]Entry!$M$1948="","",[2]Entry!$M$1948)</f>
        <v/>
      </c>
      <c r="O1945" t="str">
        <f>IF([2]Entry!$N$1948="","",[2]Entry!$N$1948)</f>
        <v/>
      </c>
      <c r="P1945" t="str">
        <f>IF([2]Entry!$S$1948="","",[2]Entry!$S$1948)</f>
        <v/>
      </c>
    </row>
    <row r="1946" spans="12:16" x14ac:dyDescent="0.2">
      <c r="L1946" t="str">
        <f>IF([2]Entry!$C$1949="","",[2]Entry!$C$1949)</f>
        <v/>
      </c>
      <c r="M1946" t="str">
        <f>IF([2]Entry!$J$1949="","",[2]Entry!$J$1949)</f>
        <v/>
      </c>
      <c r="N1946" t="str">
        <f>IF([2]Entry!$M$1949="","",[2]Entry!$M$1949)</f>
        <v/>
      </c>
      <c r="O1946" t="str">
        <f>IF([2]Entry!$N$1949="","",[2]Entry!$N$1949)</f>
        <v/>
      </c>
      <c r="P1946" t="str">
        <f>IF([2]Entry!$S$1949="","",[2]Entry!$S$1949)</f>
        <v/>
      </c>
    </row>
    <row r="1947" spans="12:16" x14ac:dyDescent="0.2">
      <c r="L1947" t="str">
        <f>IF([2]Entry!$C$1950="","",[2]Entry!$C$1950)</f>
        <v/>
      </c>
      <c r="M1947" t="str">
        <f>IF([2]Entry!$J$1950="","",[2]Entry!$J$1950)</f>
        <v/>
      </c>
      <c r="N1947" t="str">
        <f>IF([2]Entry!$M$1950="","",[2]Entry!$M$1950)</f>
        <v/>
      </c>
      <c r="O1947" t="str">
        <f>IF([2]Entry!$N$1950="","",[2]Entry!$N$1950)</f>
        <v/>
      </c>
      <c r="P1947" t="str">
        <f>IF([2]Entry!$S$1950="","",[2]Entry!$S$1950)</f>
        <v/>
      </c>
    </row>
    <row r="1948" spans="12:16" x14ac:dyDescent="0.2">
      <c r="L1948" t="str">
        <f>IF([2]Entry!$C$1951="","",[2]Entry!$C$1951)</f>
        <v/>
      </c>
      <c r="M1948" t="str">
        <f>IF([2]Entry!$J$1951="","",[2]Entry!$J$1951)</f>
        <v/>
      </c>
      <c r="N1948" t="str">
        <f>IF([2]Entry!$M$1951="","",[2]Entry!$M$1951)</f>
        <v/>
      </c>
      <c r="O1948" t="str">
        <f>IF([2]Entry!$N$1951="","",[2]Entry!$N$1951)</f>
        <v/>
      </c>
      <c r="P1948" t="str">
        <f>IF([2]Entry!$S$1951="","",[2]Entry!$S$1951)</f>
        <v/>
      </c>
    </row>
    <row r="1949" spans="12:16" x14ac:dyDescent="0.2">
      <c r="L1949" t="str">
        <f>IF([2]Entry!$C$1952="","",[2]Entry!$C$1952)</f>
        <v/>
      </c>
      <c r="M1949" t="str">
        <f>IF([2]Entry!$J$1952="","",[2]Entry!$J$1952)</f>
        <v/>
      </c>
      <c r="N1949" t="str">
        <f>IF([2]Entry!$M$1952="","",[2]Entry!$M$1952)</f>
        <v/>
      </c>
      <c r="O1949" t="str">
        <f>IF([2]Entry!$N$1952="","",[2]Entry!$N$1952)</f>
        <v/>
      </c>
      <c r="P1949" t="str">
        <f>IF([2]Entry!$S$1952="","",[2]Entry!$S$1952)</f>
        <v/>
      </c>
    </row>
    <row r="1950" spans="12:16" x14ac:dyDescent="0.2">
      <c r="L1950" t="str">
        <f>IF([2]Entry!$C$1953="","",[2]Entry!$C$1953)</f>
        <v/>
      </c>
      <c r="M1950" t="str">
        <f>IF([2]Entry!$J$1953="","",[2]Entry!$J$1953)</f>
        <v/>
      </c>
      <c r="N1950" t="str">
        <f>IF([2]Entry!$M$1953="","",[2]Entry!$M$1953)</f>
        <v/>
      </c>
      <c r="O1950" t="str">
        <f>IF([2]Entry!$N$1953="","",[2]Entry!$N$1953)</f>
        <v/>
      </c>
      <c r="P1950" t="str">
        <f>IF([2]Entry!$S$1953="","",[2]Entry!$S$1953)</f>
        <v/>
      </c>
    </row>
    <row r="1951" spans="12:16" x14ac:dyDescent="0.2">
      <c r="L1951" t="str">
        <f>IF([2]Entry!$C$1954="","",[2]Entry!$C$1954)</f>
        <v/>
      </c>
      <c r="M1951" t="str">
        <f>IF([2]Entry!$J$1954="","",[2]Entry!$J$1954)</f>
        <v/>
      </c>
      <c r="N1951" t="str">
        <f>IF([2]Entry!$M$1954="","",[2]Entry!$M$1954)</f>
        <v/>
      </c>
      <c r="O1951" t="str">
        <f>IF([2]Entry!$N$1954="","",[2]Entry!$N$1954)</f>
        <v/>
      </c>
      <c r="P1951" t="str">
        <f>IF([2]Entry!$S$1954="","",[2]Entry!$S$1954)</f>
        <v/>
      </c>
    </row>
    <row r="1952" spans="12:16" x14ac:dyDescent="0.2">
      <c r="L1952" t="str">
        <f>IF([2]Entry!$C$1955="","",[2]Entry!$C$1955)</f>
        <v/>
      </c>
      <c r="M1952" t="str">
        <f>IF([2]Entry!$J$1955="","",[2]Entry!$J$1955)</f>
        <v/>
      </c>
      <c r="N1952" t="str">
        <f>IF([2]Entry!$M$1955="","",[2]Entry!$M$1955)</f>
        <v/>
      </c>
      <c r="O1952" t="str">
        <f>IF([2]Entry!$N$1955="","",[2]Entry!$N$1955)</f>
        <v/>
      </c>
      <c r="P1952" t="str">
        <f>IF([2]Entry!$S$1955="","",[2]Entry!$S$1955)</f>
        <v/>
      </c>
    </row>
    <row r="1953" spans="12:16" x14ac:dyDescent="0.2">
      <c r="L1953" t="str">
        <f>IF([2]Entry!$C$1956="","",[2]Entry!$C$1956)</f>
        <v/>
      </c>
      <c r="M1953" t="str">
        <f>IF([2]Entry!$J$1956="","",[2]Entry!$J$1956)</f>
        <v/>
      </c>
      <c r="N1953" t="str">
        <f>IF([2]Entry!$M$1956="","",[2]Entry!$M$1956)</f>
        <v/>
      </c>
      <c r="O1953" t="str">
        <f>IF([2]Entry!$N$1956="","",[2]Entry!$N$1956)</f>
        <v/>
      </c>
      <c r="P1953" t="str">
        <f>IF([2]Entry!$S$1956="","",[2]Entry!$S$1956)</f>
        <v/>
      </c>
    </row>
    <row r="1954" spans="12:16" x14ac:dyDescent="0.2">
      <c r="L1954" t="str">
        <f>IF([2]Entry!$C$1957="","",[2]Entry!$C$1957)</f>
        <v/>
      </c>
      <c r="M1954" t="str">
        <f>IF([2]Entry!$J$1957="","",[2]Entry!$J$1957)</f>
        <v/>
      </c>
      <c r="N1954" t="str">
        <f>IF([2]Entry!$M$1957="","",[2]Entry!$M$1957)</f>
        <v/>
      </c>
      <c r="O1954" t="str">
        <f>IF([2]Entry!$N$1957="","",[2]Entry!$N$1957)</f>
        <v/>
      </c>
      <c r="P1954" t="str">
        <f>IF([2]Entry!$S$1957="","",[2]Entry!$S$1957)</f>
        <v/>
      </c>
    </row>
    <row r="1955" spans="12:16" x14ac:dyDescent="0.2">
      <c r="L1955" t="str">
        <f>IF([2]Entry!$C$1958="","",[2]Entry!$C$1958)</f>
        <v/>
      </c>
      <c r="M1955" t="str">
        <f>IF([2]Entry!$J$1958="","",[2]Entry!$J$1958)</f>
        <v/>
      </c>
      <c r="N1955" t="str">
        <f>IF([2]Entry!$M$1958="","",[2]Entry!$M$1958)</f>
        <v/>
      </c>
      <c r="O1955" t="str">
        <f>IF([2]Entry!$N$1958="","",[2]Entry!$N$1958)</f>
        <v/>
      </c>
      <c r="P1955" t="str">
        <f>IF([2]Entry!$S$1958="","",[2]Entry!$S$1958)</f>
        <v/>
      </c>
    </row>
    <row r="1956" spans="12:16" x14ac:dyDescent="0.2">
      <c r="L1956" t="str">
        <f>IF([2]Entry!$C$1959="","",[2]Entry!$C$1959)</f>
        <v/>
      </c>
      <c r="M1956" t="str">
        <f>IF([2]Entry!$J$1959="","",[2]Entry!$J$1959)</f>
        <v/>
      </c>
      <c r="N1956" t="str">
        <f>IF([2]Entry!$M$1959="","",[2]Entry!$M$1959)</f>
        <v/>
      </c>
      <c r="O1956" t="str">
        <f>IF([2]Entry!$N$1959="","",[2]Entry!$N$1959)</f>
        <v/>
      </c>
      <c r="P1956" t="str">
        <f>IF([2]Entry!$S$1959="","",[2]Entry!$S$1959)</f>
        <v/>
      </c>
    </row>
    <row r="1957" spans="12:16" x14ac:dyDescent="0.2">
      <c r="L1957" t="str">
        <f>IF([2]Entry!$C$1960="","",[2]Entry!$C$1960)</f>
        <v/>
      </c>
      <c r="M1957" t="str">
        <f>IF([2]Entry!$J$1960="","",[2]Entry!$J$1960)</f>
        <v/>
      </c>
      <c r="N1957" t="str">
        <f>IF([2]Entry!$M$1960="","",[2]Entry!$M$1960)</f>
        <v/>
      </c>
      <c r="O1957" t="str">
        <f>IF([2]Entry!$N$1960="","",[2]Entry!$N$1960)</f>
        <v/>
      </c>
      <c r="P1957" t="str">
        <f>IF([2]Entry!$S$1960="","",[2]Entry!$S$1960)</f>
        <v/>
      </c>
    </row>
    <row r="1958" spans="12:16" x14ac:dyDescent="0.2">
      <c r="L1958" t="str">
        <f>IF([2]Entry!$C$1961="","",[2]Entry!$C$1961)</f>
        <v/>
      </c>
      <c r="M1958" t="str">
        <f>IF([2]Entry!$J$1961="","",[2]Entry!$J$1961)</f>
        <v/>
      </c>
      <c r="N1958" t="str">
        <f>IF([2]Entry!$M$1961="","",[2]Entry!$M$1961)</f>
        <v/>
      </c>
      <c r="O1958" t="str">
        <f>IF([2]Entry!$N$1961="","",[2]Entry!$N$1961)</f>
        <v/>
      </c>
      <c r="P1958" t="str">
        <f>IF([2]Entry!$S$1961="","",[2]Entry!$S$1961)</f>
        <v/>
      </c>
    </row>
    <row r="1959" spans="12:16" x14ac:dyDescent="0.2">
      <c r="L1959" t="str">
        <f>IF([2]Entry!$C$1962="","",[2]Entry!$C$1962)</f>
        <v/>
      </c>
      <c r="M1959" t="str">
        <f>IF([2]Entry!$J$1962="","",[2]Entry!$J$1962)</f>
        <v/>
      </c>
      <c r="N1959" t="str">
        <f>IF([2]Entry!$M$1962="","",[2]Entry!$M$1962)</f>
        <v/>
      </c>
      <c r="O1959" t="str">
        <f>IF([2]Entry!$N$1962="","",[2]Entry!$N$1962)</f>
        <v/>
      </c>
      <c r="P1959" t="str">
        <f>IF([2]Entry!$S$1962="","",[2]Entry!$S$1962)</f>
        <v/>
      </c>
    </row>
    <row r="1960" spans="12:16" x14ac:dyDescent="0.2">
      <c r="L1960" t="str">
        <f>IF([2]Entry!$C$1963="","",[2]Entry!$C$1963)</f>
        <v/>
      </c>
      <c r="M1960" t="str">
        <f>IF([2]Entry!$J$1963="","",[2]Entry!$J$1963)</f>
        <v/>
      </c>
      <c r="N1960" t="str">
        <f>IF([2]Entry!$M$1963="","",[2]Entry!$M$1963)</f>
        <v/>
      </c>
      <c r="O1960" t="str">
        <f>IF([2]Entry!$N$1963="","",[2]Entry!$N$1963)</f>
        <v/>
      </c>
      <c r="P1960" t="str">
        <f>IF([2]Entry!$S$1963="","",[2]Entry!$S$1963)</f>
        <v/>
      </c>
    </row>
    <row r="1961" spans="12:16" x14ac:dyDescent="0.2">
      <c r="L1961" t="str">
        <f>IF([2]Entry!$C$1964="","",[2]Entry!$C$1964)</f>
        <v/>
      </c>
      <c r="M1961" t="str">
        <f>IF([2]Entry!$J$1964="","",[2]Entry!$J$1964)</f>
        <v/>
      </c>
      <c r="N1961" t="str">
        <f>IF([2]Entry!$M$1964="","",[2]Entry!$M$1964)</f>
        <v/>
      </c>
      <c r="O1961" t="str">
        <f>IF([2]Entry!$N$1964="","",[2]Entry!$N$1964)</f>
        <v/>
      </c>
      <c r="P1961" t="str">
        <f>IF([2]Entry!$S$1964="","",[2]Entry!$S$1964)</f>
        <v/>
      </c>
    </row>
    <row r="1962" spans="12:16" x14ac:dyDescent="0.2">
      <c r="L1962" t="str">
        <f>IF([2]Entry!$C$1965="","",[2]Entry!$C$1965)</f>
        <v/>
      </c>
      <c r="M1962" t="str">
        <f>IF([2]Entry!$J$1965="","",[2]Entry!$J$1965)</f>
        <v/>
      </c>
      <c r="N1962" t="str">
        <f>IF([2]Entry!$M$1965="","",[2]Entry!$M$1965)</f>
        <v/>
      </c>
      <c r="O1962" t="str">
        <f>IF([2]Entry!$N$1965="","",[2]Entry!$N$1965)</f>
        <v/>
      </c>
      <c r="P1962" t="str">
        <f>IF([2]Entry!$S$1965="","",[2]Entry!$S$1965)</f>
        <v/>
      </c>
    </row>
    <row r="1963" spans="12:16" x14ac:dyDescent="0.2">
      <c r="L1963" t="str">
        <f>IF([2]Entry!$C$1966="","",[2]Entry!$C$1966)</f>
        <v/>
      </c>
      <c r="M1963" t="str">
        <f>IF([2]Entry!$J$1966="","",[2]Entry!$J$1966)</f>
        <v/>
      </c>
      <c r="N1963" t="str">
        <f>IF([2]Entry!$M$1966="","",[2]Entry!$M$1966)</f>
        <v/>
      </c>
      <c r="O1963" t="str">
        <f>IF([2]Entry!$N$1966="","",[2]Entry!$N$1966)</f>
        <v/>
      </c>
      <c r="P1963" t="str">
        <f>IF([2]Entry!$S$1966="","",[2]Entry!$S$1966)</f>
        <v/>
      </c>
    </row>
    <row r="1964" spans="12:16" x14ac:dyDescent="0.2">
      <c r="L1964" t="str">
        <f>IF([2]Entry!$C$1967="","",[2]Entry!$C$1967)</f>
        <v/>
      </c>
      <c r="M1964" t="str">
        <f>IF([2]Entry!$J$1967="","",[2]Entry!$J$1967)</f>
        <v/>
      </c>
      <c r="N1964" t="str">
        <f>IF([2]Entry!$M$1967="","",[2]Entry!$M$1967)</f>
        <v/>
      </c>
      <c r="O1964" t="str">
        <f>IF([2]Entry!$N$1967="","",[2]Entry!$N$1967)</f>
        <v/>
      </c>
      <c r="P1964" t="str">
        <f>IF([2]Entry!$S$1967="","",[2]Entry!$S$1967)</f>
        <v/>
      </c>
    </row>
    <row r="1965" spans="12:16" x14ac:dyDescent="0.2">
      <c r="L1965" t="str">
        <f>IF([2]Entry!$C$1968="","",[2]Entry!$C$1968)</f>
        <v/>
      </c>
      <c r="M1965" t="str">
        <f>IF([2]Entry!$J$1968="","",[2]Entry!$J$1968)</f>
        <v/>
      </c>
      <c r="N1965" t="str">
        <f>IF([2]Entry!$M$1968="","",[2]Entry!$M$1968)</f>
        <v/>
      </c>
      <c r="O1965" t="str">
        <f>IF([2]Entry!$N$1968="","",[2]Entry!$N$1968)</f>
        <v/>
      </c>
      <c r="P1965" t="str">
        <f>IF([2]Entry!$S$1968="","",[2]Entry!$S$1968)</f>
        <v/>
      </c>
    </row>
    <row r="1966" spans="12:16" x14ac:dyDescent="0.2">
      <c r="L1966" t="str">
        <f>IF([2]Entry!$C$1969="","",[2]Entry!$C$1969)</f>
        <v/>
      </c>
      <c r="M1966" t="str">
        <f>IF([2]Entry!$J$1969="","",[2]Entry!$J$1969)</f>
        <v/>
      </c>
      <c r="N1966" t="str">
        <f>IF([2]Entry!$M$1969="","",[2]Entry!$M$1969)</f>
        <v/>
      </c>
      <c r="O1966" t="str">
        <f>IF([2]Entry!$N$1969="","",[2]Entry!$N$1969)</f>
        <v/>
      </c>
      <c r="P1966" t="str">
        <f>IF([2]Entry!$S$1969="","",[2]Entry!$S$1969)</f>
        <v/>
      </c>
    </row>
    <row r="1967" spans="12:16" x14ac:dyDescent="0.2">
      <c r="L1967" t="str">
        <f>IF([2]Entry!$C$1970="","",[2]Entry!$C$1970)</f>
        <v/>
      </c>
      <c r="M1967" t="str">
        <f>IF([2]Entry!$J$1970="","",[2]Entry!$J$1970)</f>
        <v/>
      </c>
      <c r="N1967" t="str">
        <f>IF([2]Entry!$M$1970="","",[2]Entry!$M$1970)</f>
        <v/>
      </c>
      <c r="O1967" t="str">
        <f>IF([2]Entry!$N$1970="","",[2]Entry!$N$1970)</f>
        <v/>
      </c>
      <c r="P1967" t="str">
        <f>IF([2]Entry!$S$1970="","",[2]Entry!$S$1970)</f>
        <v/>
      </c>
    </row>
    <row r="1968" spans="12:16" x14ac:dyDescent="0.2">
      <c r="L1968" t="str">
        <f>IF([2]Entry!$C$1971="","",[2]Entry!$C$1971)</f>
        <v/>
      </c>
      <c r="M1968" t="str">
        <f>IF([2]Entry!$J$1971="","",[2]Entry!$J$1971)</f>
        <v/>
      </c>
      <c r="N1968" t="str">
        <f>IF([2]Entry!$M$1971="","",[2]Entry!$M$1971)</f>
        <v/>
      </c>
      <c r="O1968" t="str">
        <f>IF([2]Entry!$N$1971="","",[2]Entry!$N$1971)</f>
        <v/>
      </c>
      <c r="P1968" t="str">
        <f>IF([2]Entry!$S$1971="","",[2]Entry!$S$1971)</f>
        <v/>
      </c>
    </row>
    <row r="1969" spans="12:16" x14ac:dyDescent="0.2">
      <c r="L1969" t="str">
        <f>IF([2]Entry!$C$1972="","",[2]Entry!$C$1972)</f>
        <v/>
      </c>
      <c r="M1969" t="str">
        <f>IF([2]Entry!$J$1972="","",[2]Entry!$J$1972)</f>
        <v/>
      </c>
      <c r="N1969" t="str">
        <f>IF([2]Entry!$M$1972="","",[2]Entry!$M$1972)</f>
        <v/>
      </c>
      <c r="O1969" t="str">
        <f>IF([2]Entry!$N$1972="","",[2]Entry!$N$1972)</f>
        <v/>
      </c>
      <c r="P1969" t="str">
        <f>IF([2]Entry!$S$1972="","",[2]Entry!$S$1972)</f>
        <v/>
      </c>
    </row>
    <row r="1970" spans="12:16" x14ac:dyDescent="0.2">
      <c r="L1970" t="str">
        <f>IF([2]Entry!$C$1973="","",[2]Entry!$C$1973)</f>
        <v/>
      </c>
      <c r="M1970" t="str">
        <f>IF([2]Entry!$J$1973="","",[2]Entry!$J$1973)</f>
        <v/>
      </c>
      <c r="N1970" t="str">
        <f>IF([2]Entry!$M$1973="","",[2]Entry!$M$1973)</f>
        <v/>
      </c>
      <c r="O1970" t="str">
        <f>IF([2]Entry!$N$1973="","",[2]Entry!$N$1973)</f>
        <v/>
      </c>
      <c r="P1970" t="str">
        <f>IF([2]Entry!$S$1973="","",[2]Entry!$S$1973)</f>
        <v/>
      </c>
    </row>
    <row r="1971" spans="12:16" x14ac:dyDescent="0.2">
      <c r="L1971" t="str">
        <f>IF([2]Entry!$C$1974="","",[2]Entry!$C$1974)</f>
        <v/>
      </c>
      <c r="M1971" t="str">
        <f>IF([2]Entry!$J$1974="","",[2]Entry!$J$1974)</f>
        <v/>
      </c>
      <c r="N1971" t="str">
        <f>IF([2]Entry!$M$1974="","",[2]Entry!$M$1974)</f>
        <v/>
      </c>
      <c r="O1971" t="str">
        <f>IF([2]Entry!$N$1974="","",[2]Entry!$N$1974)</f>
        <v/>
      </c>
      <c r="P1971" t="str">
        <f>IF([2]Entry!$S$1974="","",[2]Entry!$S$1974)</f>
        <v/>
      </c>
    </row>
    <row r="1972" spans="12:16" x14ac:dyDescent="0.2">
      <c r="L1972" t="str">
        <f>IF([2]Entry!$C$1975="","",[2]Entry!$C$1975)</f>
        <v/>
      </c>
      <c r="M1972" t="str">
        <f>IF([2]Entry!$J$1975="","",[2]Entry!$J$1975)</f>
        <v/>
      </c>
      <c r="N1972" t="str">
        <f>IF([2]Entry!$M$1975="","",[2]Entry!$M$1975)</f>
        <v/>
      </c>
      <c r="O1972" t="str">
        <f>IF([2]Entry!$N$1975="","",[2]Entry!$N$1975)</f>
        <v/>
      </c>
      <c r="P1972" t="str">
        <f>IF([2]Entry!$S$1975="","",[2]Entry!$S$1975)</f>
        <v/>
      </c>
    </row>
    <row r="1973" spans="12:16" x14ac:dyDescent="0.2">
      <c r="L1973" t="str">
        <f>IF([2]Entry!$C$1976="","",[2]Entry!$C$1976)</f>
        <v/>
      </c>
      <c r="M1973" t="str">
        <f>IF([2]Entry!$J$1976="","",[2]Entry!$J$1976)</f>
        <v/>
      </c>
      <c r="N1973" t="str">
        <f>IF([2]Entry!$M$1976="","",[2]Entry!$M$1976)</f>
        <v/>
      </c>
      <c r="O1973" t="str">
        <f>IF([2]Entry!$N$1976="","",[2]Entry!$N$1976)</f>
        <v/>
      </c>
      <c r="P1973" t="str">
        <f>IF([2]Entry!$S$1976="","",[2]Entry!$S$1976)</f>
        <v/>
      </c>
    </row>
    <row r="1974" spans="12:16" x14ac:dyDescent="0.2">
      <c r="L1974" t="str">
        <f>IF([2]Entry!$C$1977="","",[2]Entry!$C$1977)</f>
        <v/>
      </c>
      <c r="M1974" t="str">
        <f>IF([2]Entry!$J$1977="","",[2]Entry!$J$1977)</f>
        <v/>
      </c>
      <c r="N1974" t="str">
        <f>IF([2]Entry!$M$1977="","",[2]Entry!$M$1977)</f>
        <v/>
      </c>
      <c r="O1974" t="str">
        <f>IF([2]Entry!$N$1977="","",[2]Entry!$N$1977)</f>
        <v/>
      </c>
      <c r="P1974" t="str">
        <f>IF([2]Entry!$S$1977="","",[2]Entry!$S$1977)</f>
        <v/>
      </c>
    </row>
    <row r="1975" spans="12:16" x14ac:dyDescent="0.2">
      <c r="L1975" t="str">
        <f>IF([2]Entry!$C$1978="","",[2]Entry!$C$1978)</f>
        <v/>
      </c>
      <c r="M1975" t="str">
        <f>IF([2]Entry!$J$1978="","",[2]Entry!$J$1978)</f>
        <v/>
      </c>
      <c r="N1975" t="str">
        <f>IF([2]Entry!$M$1978="","",[2]Entry!$M$1978)</f>
        <v/>
      </c>
      <c r="O1975" t="str">
        <f>IF([2]Entry!$N$1978="","",[2]Entry!$N$1978)</f>
        <v/>
      </c>
      <c r="P1975" t="str">
        <f>IF([2]Entry!$S$1978="","",[2]Entry!$S$1978)</f>
        <v/>
      </c>
    </row>
    <row r="1976" spans="12:16" x14ac:dyDescent="0.2">
      <c r="L1976" t="str">
        <f>IF([2]Entry!$C$1979="","",[2]Entry!$C$1979)</f>
        <v/>
      </c>
      <c r="M1976" t="str">
        <f>IF([2]Entry!$J$1979="","",[2]Entry!$J$1979)</f>
        <v/>
      </c>
      <c r="N1976" t="str">
        <f>IF([2]Entry!$M$1979="","",[2]Entry!$M$1979)</f>
        <v/>
      </c>
      <c r="O1976" t="str">
        <f>IF([2]Entry!$N$1979="","",[2]Entry!$N$1979)</f>
        <v/>
      </c>
      <c r="P1976" t="str">
        <f>IF([2]Entry!$S$1979="","",[2]Entry!$S$1979)</f>
        <v/>
      </c>
    </row>
    <row r="1977" spans="12:16" x14ac:dyDescent="0.2">
      <c r="L1977" t="str">
        <f>IF([2]Entry!$C$1980="","",[2]Entry!$C$1980)</f>
        <v/>
      </c>
      <c r="M1977" t="str">
        <f>IF([2]Entry!$J$1980="","",[2]Entry!$J$1980)</f>
        <v/>
      </c>
      <c r="N1977" t="str">
        <f>IF([2]Entry!$M$1980="","",[2]Entry!$M$1980)</f>
        <v/>
      </c>
      <c r="O1977" t="str">
        <f>IF([2]Entry!$N$1980="","",[2]Entry!$N$1980)</f>
        <v/>
      </c>
      <c r="P1977" t="str">
        <f>IF([2]Entry!$S$1980="","",[2]Entry!$S$1980)</f>
        <v/>
      </c>
    </row>
    <row r="1978" spans="12:16" x14ac:dyDescent="0.2">
      <c r="L1978" t="str">
        <f>IF([2]Entry!$C$1981="","",[2]Entry!$C$1981)</f>
        <v/>
      </c>
      <c r="M1978" t="str">
        <f>IF([2]Entry!$J$1981="","",[2]Entry!$J$1981)</f>
        <v/>
      </c>
      <c r="N1978" t="str">
        <f>IF([2]Entry!$M$1981="","",[2]Entry!$M$1981)</f>
        <v/>
      </c>
      <c r="O1978" t="str">
        <f>IF([2]Entry!$N$1981="","",[2]Entry!$N$1981)</f>
        <v/>
      </c>
      <c r="P1978" t="str">
        <f>IF([2]Entry!$S$1981="","",[2]Entry!$S$1981)</f>
        <v/>
      </c>
    </row>
    <row r="1979" spans="12:16" x14ac:dyDescent="0.2">
      <c r="L1979" t="str">
        <f>IF([2]Entry!$C$1982="","",[2]Entry!$C$1982)</f>
        <v/>
      </c>
      <c r="M1979" t="str">
        <f>IF([2]Entry!$J$1982="","",[2]Entry!$J$1982)</f>
        <v/>
      </c>
      <c r="N1979" t="str">
        <f>IF([2]Entry!$M$1982="","",[2]Entry!$M$1982)</f>
        <v/>
      </c>
      <c r="O1979" t="str">
        <f>IF([2]Entry!$N$1982="","",[2]Entry!$N$1982)</f>
        <v/>
      </c>
      <c r="P1979" t="str">
        <f>IF([2]Entry!$S$1982="","",[2]Entry!$S$1982)</f>
        <v/>
      </c>
    </row>
    <row r="1980" spans="12:16" x14ac:dyDescent="0.2">
      <c r="L1980" t="str">
        <f>IF([2]Entry!$C$1983="","",[2]Entry!$C$1983)</f>
        <v/>
      </c>
      <c r="M1980" t="str">
        <f>IF([2]Entry!$J$1983="","",[2]Entry!$J$1983)</f>
        <v/>
      </c>
      <c r="N1980" t="str">
        <f>IF([2]Entry!$M$1983="","",[2]Entry!$M$1983)</f>
        <v/>
      </c>
      <c r="O1980" t="str">
        <f>IF([2]Entry!$N$1983="","",[2]Entry!$N$1983)</f>
        <v/>
      </c>
      <c r="P1980" t="str">
        <f>IF([2]Entry!$S$1983="","",[2]Entry!$S$1983)</f>
        <v/>
      </c>
    </row>
    <row r="1981" spans="12:16" x14ac:dyDescent="0.2">
      <c r="L1981" t="str">
        <f>IF([2]Entry!$C$1984="","",[2]Entry!$C$1984)</f>
        <v/>
      </c>
      <c r="M1981" t="str">
        <f>IF([2]Entry!$J$1984="","",[2]Entry!$J$1984)</f>
        <v/>
      </c>
      <c r="N1981" t="str">
        <f>IF([2]Entry!$M$1984="","",[2]Entry!$M$1984)</f>
        <v/>
      </c>
      <c r="O1981" t="str">
        <f>IF([2]Entry!$N$1984="","",[2]Entry!$N$1984)</f>
        <v/>
      </c>
      <c r="P1981" t="str">
        <f>IF([2]Entry!$S$1984="","",[2]Entry!$S$1984)</f>
        <v/>
      </c>
    </row>
    <row r="1982" spans="12:16" x14ac:dyDescent="0.2">
      <c r="L1982" t="str">
        <f>IF([2]Entry!$C$1985="","",[2]Entry!$C$1985)</f>
        <v/>
      </c>
      <c r="M1982" t="str">
        <f>IF([2]Entry!$J$1985="","",[2]Entry!$J$1985)</f>
        <v/>
      </c>
      <c r="N1982" t="str">
        <f>IF([2]Entry!$M$1985="","",[2]Entry!$M$1985)</f>
        <v/>
      </c>
      <c r="O1982" t="str">
        <f>IF([2]Entry!$N$1985="","",[2]Entry!$N$1985)</f>
        <v/>
      </c>
      <c r="P1982" t="str">
        <f>IF([2]Entry!$S$1985="","",[2]Entry!$S$1985)</f>
        <v/>
      </c>
    </row>
    <row r="1983" spans="12:16" x14ac:dyDescent="0.2">
      <c r="L1983" t="str">
        <f>IF([2]Entry!$C$1986="","",[2]Entry!$C$1986)</f>
        <v/>
      </c>
      <c r="M1983" t="str">
        <f>IF([2]Entry!$J$1986="","",[2]Entry!$J$1986)</f>
        <v/>
      </c>
      <c r="N1983" t="str">
        <f>IF([2]Entry!$M$1986="","",[2]Entry!$M$1986)</f>
        <v/>
      </c>
      <c r="O1983" t="str">
        <f>IF([2]Entry!$N$1986="","",[2]Entry!$N$1986)</f>
        <v/>
      </c>
      <c r="P1983" t="str">
        <f>IF([2]Entry!$S$1986="","",[2]Entry!$S$1986)</f>
        <v/>
      </c>
    </row>
    <row r="1984" spans="12:16" x14ac:dyDescent="0.2">
      <c r="L1984" t="str">
        <f>IF([2]Entry!$C$1987="","",[2]Entry!$C$1987)</f>
        <v/>
      </c>
      <c r="M1984" t="str">
        <f>IF([2]Entry!$J$1987="","",[2]Entry!$J$1987)</f>
        <v/>
      </c>
      <c r="N1984" t="str">
        <f>IF([2]Entry!$M$1987="","",[2]Entry!$M$1987)</f>
        <v/>
      </c>
      <c r="O1984" t="str">
        <f>IF([2]Entry!$N$1987="","",[2]Entry!$N$1987)</f>
        <v/>
      </c>
      <c r="P1984" t="str">
        <f>IF([2]Entry!$S$1987="","",[2]Entry!$S$1987)</f>
        <v/>
      </c>
    </row>
    <row r="1985" spans="12:16" x14ac:dyDescent="0.2">
      <c r="L1985" t="str">
        <f>IF([2]Entry!$C$1988="","",[2]Entry!$C$1988)</f>
        <v/>
      </c>
      <c r="M1985" t="str">
        <f>IF([2]Entry!$J$1988="","",[2]Entry!$J$1988)</f>
        <v/>
      </c>
      <c r="N1985" t="str">
        <f>IF([2]Entry!$M$1988="","",[2]Entry!$M$1988)</f>
        <v/>
      </c>
      <c r="O1985" t="str">
        <f>IF([2]Entry!$N$1988="","",[2]Entry!$N$1988)</f>
        <v/>
      </c>
      <c r="P1985" t="str">
        <f>IF([2]Entry!$S$1988="","",[2]Entry!$S$1988)</f>
        <v/>
      </c>
    </row>
    <row r="1986" spans="12:16" x14ac:dyDescent="0.2">
      <c r="L1986" t="str">
        <f>IF([2]Entry!$C$1989="","",[2]Entry!$C$1989)</f>
        <v/>
      </c>
      <c r="M1986" t="str">
        <f>IF([2]Entry!$J$1989="","",[2]Entry!$J$1989)</f>
        <v/>
      </c>
      <c r="N1986" t="str">
        <f>IF([2]Entry!$M$1989="","",[2]Entry!$M$1989)</f>
        <v/>
      </c>
      <c r="O1986" t="str">
        <f>IF([2]Entry!$N$1989="","",[2]Entry!$N$1989)</f>
        <v/>
      </c>
      <c r="P1986" t="str">
        <f>IF([2]Entry!$S$1989="","",[2]Entry!$S$1989)</f>
        <v/>
      </c>
    </row>
    <row r="1987" spans="12:16" x14ac:dyDescent="0.2">
      <c r="L1987" t="str">
        <f>IF([2]Entry!$C$1990="","",[2]Entry!$C$1990)</f>
        <v/>
      </c>
      <c r="M1987" t="str">
        <f>IF([2]Entry!$J$1990="","",[2]Entry!$J$1990)</f>
        <v/>
      </c>
      <c r="N1987" t="str">
        <f>IF([2]Entry!$M$1990="","",[2]Entry!$M$1990)</f>
        <v/>
      </c>
      <c r="O1987" t="str">
        <f>IF([2]Entry!$N$1990="","",[2]Entry!$N$1990)</f>
        <v/>
      </c>
      <c r="P1987" t="str">
        <f>IF([2]Entry!$S$1990="","",[2]Entry!$S$1990)</f>
        <v/>
      </c>
    </row>
    <row r="1988" spans="12:16" x14ac:dyDescent="0.2">
      <c r="L1988" t="str">
        <f>IF([2]Entry!$C$1991="","",[2]Entry!$C$1991)</f>
        <v/>
      </c>
      <c r="M1988" t="str">
        <f>IF([2]Entry!$J$1991="","",[2]Entry!$J$1991)</f>
        <v/>
      </c>
      <c r="N1988" t="str">
        <f>IF([2]Entry!$M$1991="","",[2]Entry!$M$1991)</f>
        <v/>
      </c>
      <c r="O1988" t="str">
        <f>IF([2]Entry!$N$1991="","",[2]Entry!$N$1991)</f>
        <v/>
      </c>
      <c r="P1988" t="str">
        <f>IF([2]Entry!$S$1991="","",[2]Entry!$S$1991)</f>
        <v/>
      </c>
    </row>
    <row r="1989" spans="12:16" x14ac:dyDescent="0.2">
      <c r="L1989" t="str">
        <f>IF([2]Entry!$C$1992="","",[2]Entry!$C$1992)</f>
        <v/>
      </c>
      <c r="M1989" t="str">
        <f>IF([2]Entry!$J$1992="","",[2]Entry!$J$1992)</f>
        <v/>
      </c>
      <c r="N1989" t="str">
        <f>IF([2]Entry!$M$1992="","",[2]Entry!$M$1992)</f>
        <v/>
      </c>
      <c r="O1989" t="str">
        <f>IF([2]Entry!$N$1992="","",[2]Entry!$N$1992)</f>
        <v/>
      </c>
      <c r="P1989" t="str">
        <f>IF([2]Entry!$S$1992="","",[2]Entry!$S$1992)</f>
        <v/>
      </c>
    </row>
    <row r="1990" spans="12:16" x14ac:dyDescent="0.2">
      <c r="L1990" t="str">
        <f>IF([2]Entry!$C$1993="","",[2]Entry!$C$1993)</f>
        <v/>
      </c>
      <c r="M1990" t="str">
        <f>IF([2]Entry!$J$1993="","",[2]Entry!$J$1993)</f>
        <v/>
      </c>
      <c r="N1990" t="str">
        <f>IF([2]Entry!$M$1993="","",[2]Entry!$M$1993)</f>
        <v/>
      </c>
      <c r="O1990" t="str">
        <f>IF([2]Entry!$N$1993="","",[2]Entry!$N$1993)</f>
        <v/>
      </c>
      <c r="P1990" t="str">
        <f>IF([2]Entry!$S$1993="","",[2]Entry!$S$1993)</f>
        <v/>
      </c>
    </row>
    <row r="1991" spans="12:16" x14ac:dyDescent="0.2">
      <c r="L1991" t="str">
        <f>IF([2]Entry!$C$1994="","",[2]Entry!$C$1994)</f>
        <v/>
      </c>
      <c r="M1991" t="str">
        <f>IF([2]Entry!$J$1994="","",[2]Entry!$J$1994)</f>
        <v/>
      </c>
      <c r="N1991" t="str">
        <f>IF([2]Entry!$M$1994="","",[2]Entry!$M$1994)</f>
        <v/>
      </c>
      <c r="O1991" t="str">
        <f>IF([2]Entry!$N$1994="","",[2]Entry!$N$1994)</f>
        <v/>
      </c>
      <c r="P1991" t="str">
        <f>IF([2]Entry!$S$1994="","",[2]Entry!$S$1994)</f>
        <v/>
      </c>
    </row>
    <row r="1992" spans="12:16" x14ac:dyDescent="0.2">
      <c r="L1992" t="str">
        <f>IF([2]Entry!$C$1995="","",[2]Entry!$C$1995)</f>
        <v/>
      </c>
      <c r="M1992" t="str">
        <f>IF([2]Entry!$J$1995="","",[2]Entry!$J$1995)</f>
        <v/>
      </c>
      <c r="N1992" t="str">
        <f>IF([2]Entry!$M$1995="","",[2]Entry!$M$1995)</f>
        <v/>
      </c>
      <c r="O1992" t="str">
        <f>IF([2]Entry!$N$1995="","",[2]Entry!$N$1995)</f>
        <v/>
      </c>
      <c r="P1992" t="str">
        <f>IF([2]Entry!$S$1995="","",[2]Entry!$S$1995)</f>
        <v/>
      </c>
    </row>
    <row r="1993" spans="12:16" x14ac:dyDescent="0.2">
      <c r="L1993" t="str">
        <f>IF([2]Entry!$C$1996="","",[2]Entry!$C$1996)</f>
        <v/>
      </c>
      <c r="M1993" t="str">
        <f>IF([2]Entry!$J$1996="","",[2]Entry!$J$1996)</f>
        <v/>
      </c>
      <c r="N1993" t="str">
        <f>IF([2]Entry!$M$1996="","",[2]Entry!$M$1996)</f>
        <v/>
      </c>
      <c r="O1993" t="str">
        <f>IF([2]Entry!$N$1996="","",[2]Entry!$N$1996)</f>
        <v/>
      </c>
      <c r="P1993" t="str">
        <f>IF([2]Entry!$S$1996="","",[2]Entry!$S$1996)</f>
        <v/>
      </c>
    </row>
    <row r="1994" spans="12:16" x14ac:dyDescent="0.2">
      <c r="L1994" t="str">
        <f>IF([2]Entry!$C$1997="","",[2]Entry!$C$1997)</f>
        <v/>
      </c>
      <c r="M1994" t="str">
        <f>IF([2]Entry!$J$1997="","",[2]Entry!$J$1997)</f>
        <v/>
      </c>
      <c r="N1994" t="str">
        <f>IF([2]Entry!$M$1997="","",[2]Entry!$M$1997)</f>
        <v/>
      </c>
      <c r="O1994" t="str">
        <f>IF([2]Entry!$N$1997="","",[2]Entry!$N$1997)</f>
        <v/>
      </c>
      <c r="P1994" t="str">
        <f>IF([2]Entry!$S$1997="","",[2]Entry!$S$1997)</f>
        <v/>
      </c>
    </row>
    <row r="1995" spans="12:16" x14ac:dyDescent="0.2">
      <c r="L1995" t="str">
        <f>IF([2]Entry!$C$1998="","",[2]Entry!$C$1998)</f>
        <v/>
      </c>
      <c r="M1995" t="str">
        <f>IF([2]Entry!$J$1998="","",[2]Entry!$J$1998)</f>
        <v/>
      </c>
      <c r="N1995" t="str">
        <f>IF([2]Entry!$M$1998="","",[2]Entry!$M$1998)</f>
        <v/>
      </c>
      <c r="O1995" t="str">
        <f>IF([2]Entry!$N$1998="","",[2]Entry!$N$1998)</f>
        <v/>
      </c>
      <c r="P1995" t="str">
        <f>IF([2]Entry!$S$1998="","",[2]Entry!$S$1998)</f>
        <v/>
      </c>
    </row>
    <row r="1996" spans="12:16" x14ac:dyDescent="0.2">
      <c r="L1996" t="str">
        <f>IF([2]Entry!$C$1999="","",[2]Entry!$C$1999)</f>
        <v/>
      </c>
      <c r="M1996" t="str">
        <f>IF([2]Entry!$J$1999="","",[2]Entry!$J$1999)</f>
        <v/>
      </c>
      <c r="N1996" t="str">
        <f>IF([2]Entry!$M$1999="","",[2]Entry!$M$1999)</f>
        <v/>
      </c>
      <c r="O1996" t="str">
        <f>IF([2]Entry!$N$1999="","",[2]Entry!$N$1999)</f>
        <v/>
      </c>
      <c r="P1996" t="str">
        <f>IF([2]Entry!$S$1999="","",[2]Entry!$S$1999)</f>
        <v/>
      </c>
    </row>
    <row r="1997" spans="12:16" x14ac:dyDescent="0.2">
      <c r="L1997" t="str">
        <f>IF([2]Entry!$C$2000="","",[2]Entry!$C$2000)</f>
        <v/>
      </c>
      <c r="M1997" t="str">
        <f>IF([2]Entry!$J$2000="","",[2]Entry!$J$2000)</f>
        <v/>
      </c>
      <c r="N1997" t="str">
        <f>IF([2]Entry!$M$2000="","",[2]Entry!$M$2000)</f>
        <v/>
      </c>
      <c r="O1997" t="str">
        <f>IF([2]Entry!$N$2000="","",[2]Entry!$N$2000)</f>
        <v/>
      </c>
      <c r="P1997" t="str">
        <f>IF([2]Entry!$S$2000="","",[2]Entry!$S$2000)</f>
        <v/>
      </c>
    </row>
    <row r="1998" spans="12:16" x14ac:dyDescent="0.2">
      <c r="L1998" t="str">
        <f>IF([2]Entry!$C$2001="","",[2]Entry!$C$2001)</f>
        <v/>
      </c>
      <c r="M1998" t="str">
        <f>IF([2]Entry!$J$2001="","",[2]Entry!$J$2001)</f>
        <v/>
      </c>
      <c r="N1998" t="str">
        <f>IF([2]Entry!$M$2001="","",[2]Entry!$M$2001)</f>
        <v/>
      </c>
      <c r="O1998" t="str">
        <f>IF([2]Entry!$N$2001="","",[2]Entry!$N$2001)</f>
        <v/>
      </c>
      <c r="P1998" t="str">
        <f>IF([2]Entry!$S$2001="","",[2]Entry!$S$2001)</f>
        <v/>
      </c>
    </row>
    <row r="1999" spans="12:16" x14ac:dyDescent="0.2">
      <c r="L1999" t="str">
        <f>IF([2]Entry!$C$2002="","",[2]Entry!$C$2002)</f>
        <v/>
      </c>
      <c r="M1999" t="str">
        <f>IF([2]Entry!$J$2002="","",[2]Entry!$J$2002)</f>
        <v/>
      </c>
      <c r="N1999" t="str">
        <f>IF([2]Entry!$M$2002="","",[2]Entry!$M$2002)</f>
        <v/>
      </c>
      <c r="O1999" t="str">
        <f>IF([2]Entry!$N$2002="","",[2]Entry!$N$2002)</f>
        <v/>
      </c>
      <c r="P1999" t="str">
        <f>IF([2]Entry!$S$2002="","",[2]Entry!$S$2002)</f>
        <v/>
      </c>
    </row>
    <row r="2000" spans="12:16" x14ac:dyDescent="0.2">
      <c r="L2000" t="str">
        <f>IF([2]Entry!$C$2003="","",[2]Entry!$C$2003)</f>
        <v/>
      </c>
      <c r="M2000" t="str">
        <f>IF([2]Entry!$J$2003="","",[2]Entry!$J$2003)</f>
        <v/>
      </c>
      <c r="N2000" t="str">
        <f>IF([2]Entry!$M$2003="","",[2]Entry!$M$2003)</f>
        <v/>
      </c>
      <c r="O2000" t="str">
        <f>IF([2]Entry!$N$2003="","",[2]Entry!$N$2003)</f>
        <v/>
      </c>
      <c r="P2000" t="str">
        <f>IF([2]Entry!$S$2003="","",[2]Entry!$S$2003)</f>
        <v/>
      </c>
    </row>
    <row r="2001" spans="12:16" x14ac:dyDescent="0.2">
      <c r="L2001" t="str">
        <f>IF([2]Entry!$C$2004="","",[2]Entry!$C$2004)</f>
        <v/>
      </c>
      <c r="M2001" t="str">
        <f>IF([2]Entry!$J$2004="","",[2]Entry!$J$2004)</f>
        <v/>
      </c>
      <c r="N2001" t="str">
        <f>IF([2]Entry!$M$2004="","",[2]Entry!$M$2004)</f>
        <v/>
      </c>
      <c r="O2001" t="str">
        <f>IF([2]Entry!$N$2004="","",[2]Entry!$N$2004)</f>
        <v/>
      </c>
      <c r="P2001" t="str">
        <f>IF([2]Entry!$S$2004="","",[2]Entry!$S$2004)</f>
        <v/>
      </c>
    </row>
    <row r="2002" spans="12:16" x14ac:dyDescent="0.2">
      <c r="L2002" t="str">
        <f>IF([2]Entry!$C$2005="","",[2]Entry!$C$2005)</f>
        <v/>
      </c>
      <c r="M2002" t="str">
        <f>IF([2]Entry!$J$2005="","",[2]Entry!$J$2005)</f>
        <v/>
      </c>
      <c r="N2002" t="str">
        <f>IF([2]Entry!$M$2005="","",[2]Entry!$M$2005)</f>
        <v/>
      </c>
      <c r="O2002" t="str">
        <f>IF([2]Entry!$N$2005="","",[2]Entry!$N$2005)</f>
        <v/>
      </c>
      <c r="P2002" t="str">
        <f>IF([2]Entry!$S$2005="","",[2]Entry!$S$2005)</f>
        <v/>
      </c>
    </row>
    <row r="2003" spans="12:16" x14ac:dyDescent="0.2">
      <c r="L2003" t="str">
        <f>IF([2]Entry!$C$2006="","",[2]Entry!$C$2006)</f>
        <v/>
      </c>
      <c r="M2003" t="str">
        <f>IF([2]Entry!$J$2006="","",[2]Entry!$J$2006)</f>
        <v/>
      </c>
      <c r="N2003" t="str">
        <f>IF([2]Entry!$M$2006="","",[2]Entry!$M$2006)</f>
        <v/>
      </c>
      <c r="O2003" t="str">
        <f>IF([2]Entry!$N$2006="","",[2]Entry!$N$2006)</f>
        <v/>
      </c>
      <c r="P2003" t="str">
        <f>IF([2]Entry!$S$2006="","",[2]Entry!$S$2006)</f>
        <v/>
      </c>
    </row>
    <row r="2004" spans="12:16" x14ac:dyDescent="0.2">
      <c r="L2004" t="str">
        <f>IF([2]Entry!$C$2007="","",[2]Entry!$C$2007)</f>
        <v/>
      </c>
      <c r="M2004" t="str">
        <f>IF([2]Entry!$J$2007="","",[2]Entry!$J$2007)</f>
        <v/>
      </c>
      <c r="N2004" t="str">
        <f>IF([2]Entry!$M$2007="","",[2]Entry!$M$2007)</f>
        <v/>
      </c>
      <c r="O2004" t="str">
        <f>IF([2]Entry!$N$2007="","",[2]Entry!$N$2007)</f>
        <v/>
      </c>
      <c r="P2004" t="str">
        <f>IF([2]Entry!$S$2007="","",[2]Entry!$S$2007)</f>
        <v/>
      </c>
    </row>
    <row r="2005" spans="12:16" x14ac:dyDescent="0.2">
      <c r="L2005" t="str">
        <f>IF([2]Entry!$C$2008="","",[2]Entry!$C$2008)</f>
        <v/>
      </c>
      <c r="M2005" t="str">
        <f>IF([2]Entry!$J$2008="","",[2]Entry!$J$2008)</f>
        <v/>
      </c>
      <c r="N2005" t="str">
        <f>IF([2]Entry!$M$2008="","",[2]Entry!$M$2008)</f>
        <v/>
      </c>
      <c r="O2005" t="str">
        <f>IF([2]Entry!$N$2008="","",[2]Entry!$N$2008)</f>
        <v/>
      </c>
      <c r="P2005" t="str">
        <f>IF([2]Entry!$S$2008="","",[2]Entry!$S$2008)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O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12" customWidth="1"/>
    <col min="5" max="5" width="12" customWidth="1"/>
    <col min="6" max="6" width="13" customWidth="1"/>
    <col min="8" max="8" width="11" customWidth="1"/>
    <col min="9" max="9" width="12" customWidth="1"/>
    <col min="11" max="11" width="15" customWidth="1"/>
    <col min="13" max="14" width="12" customWidth="1"/>
  </cols>
  <sheetData>
    <row r="1" spans="1:15" ht="26.1" customHeight="1" x14ac:dyDescent="0.2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4.1" customHeight="1" x14ac:dyDescent="0.2">
      <c r="A2" s="25" t="s">
        <v>53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">
      <c r="A3" s="31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5" spans="1:15" x14ac:dyDescent="0.2">
      <c r="A5" s="18" t="s">
        <v>67</v>
      </c>
      <c r="B5" s="18" t="s">
        <v>68</v>
      </c>
      <c r="C5" s="18" t="s">
        <v>69</v>
      </c>
      <c r="D5" s="18" t="s">
        <v>70</v>
      </c>
      <c r="E5" s="18" t="s">
        <v>71</v>
      </c>
      <c r="F5" s="18" t="s">
        <v>72</v>
      </c>
      <c r="G5" s="18" t="s">
        <v>73</v>
      </c>
      <c r="H5" s="18" t="s">
        <v>74</v>
      </c>
      <c r="I5" s="18" t="s">
        <v>75</v>
      </c>
      <c r="J5" s="18" t="s">
        <v>76</v>
      </c>
      <c r="K5" s="18" t="s">
        <v>77</v>
      </c>
      <c r="M5" s="19" t="s">
        <v>78</v>
      </c>
      <c r="N5" s="19" t="s">
        <v>79</v>
      </c>
    </row>
    <row r="6" spans="1:15" x14ac:dyDescent="0.2">
      <c r="A6" t="str">
        <f>IF(Issues!$B9="","",Issues!$B9)</f>
        <v>24012345</v>
      </c>
      <c r="B6">
        <f>IF($A6="","",IF(ISNUMBER(Issues!$C9),IF(AND(Issues!$C9&gt;=10000101,Issues!$C9&lt;=99991231),INT(Issues!$C9/10000),""),IFERROR(VALUE(TRIM(LEFT(Issues!$C9,FIND("/",Issues!$C9)-1))),"")))</f>
        <v>1405</v>
      </c>
      <c r="C6">
        <f>IF(OR($A6="",$B6=""),"",IF(ISNUMBER(Issues!$C9),INT(MOD(Issues!$C9,10000)/100),IFERROR(VALUE(TRIM(LEFT(MID(Issues!$C9,FIND("/",Issues!$C9)+1,20),FIND("/",MID(Issues!$C9,FIND("/",Issues!$C9)+1,20))-1))),"")))</f>
        <v>7</v>
      </c>
      <c r="D6">
        <f>IF(OR($A6="",$B6=""),"",IF(ISNUMBER(Issues!$C9),MOD(Issues!$C9,100),IFERROR(VALUE(TRIM(MID(MID(Issues!$C9,FIND("/",Issues!$C9)+1,20),FIND("/",MID(Issues!$C9,FIND("/",Issues!$C9)+1,20))+1,20))),"")))</f>
        <v>10</v>
      </c>
      <c r="E6" t="str">
        <f t="shared" ref="E6:E69" si="0">IF($A6="","",IF(OR($B6="",$C6="",$D6="",$B6&lt;1300,$B6&gt;1500,$C6&lt;1,$C6&gt;12,$D6&lt;1,$D6&gt;31),"نامعتبر",RIGHT("0000"&amp;$B6,4)&amp;"/"&amp;RIGHT("00"&amp;$C6,2)&amp;"/"&amp;RIGHT("00"&amp;$D6,2)))</f>
        <v>1405/07/10</v>
      </c>
      <c r="F6">
        <f>IF($A6="","",IF(Issues!$D9="",0,Issues!$D9))</f>
        <v>80000000</v>
      </c>
      <c r="G6" t="str">
        <f>IF($A6="","",Issues!$E9)</f>
        <v>S001</v>
      </c>
      <c r="H6" t="str">
        <f t="shared" ref="H6:H69" si="1">IF($A6="","",IF(COUNTIFS(ETxnType,"پاس چک",ETxnChk,$A6)&gt;0,"پاس شده","پاس نشده"))</f>
        <v>پاس شده</v>
      </c>
      <c r="I6" t="str">
        <f t="shared" ref="I6:I69" si="2">IF($A6="","",IFERROR(INDEX(BClrDate,MATCH($A6,BClrChk,0)),""))</f>
        <v>1405/07/15</v>
      </c>
      <c r="J6" t="str">
        <f>IF($A6="","",Issues!$G9)</f>
        <v>بابت خرید باغ — چک سررسید ۱۰ مهر (نمونه)</v>
      </c>
      <c r="K6" t="str">
        <f>IF(OR($E6="",$E6="نامعتبر"),"",LEFT($E6,4)&amp;MID($E6,6,2)&amp;RIGHT($E6,2)&amp;"|"&amp;RIGHT("00000"&amp;1,5))</f>
        <v>14050710|00001</v>
      </c>
      <c r="M6" t="str">
        <f>IF(Sync!$M6&lt;&gt;"پاس چک","",IF(Sync!$P6="","",Sync!$P6))</f>
        <v/>
      </c>
      <c r="N6" t="str">
        <f>IF($M6="","",IF(ISNUMBER(Sync!$L6),IF(AND(Sync!$L6&gt;=10000101,Sync!$L6&lt;=99991231),RIGHT("0000"&amp;INT(Sync!$L6/10000),4)&amp;"/"&amp;RIGHT("00"&amp;INT(MOD(Sync!$L6,10000)/100),2)&amp;"/"&amp;RIGHT("00"&amp;MOD(Sync!$L6,100),2),""),IFERROR(RIGHT("0000"&amp;VALUE(TRIM(LEFT(Sync!$L6,FIND("/",Sync!$L6)-1))),4)&amp;"/"&amp;RIGHT("00"&amp;VALUE(TRIM(LEFT(MID(Sync!$L6,FIND("/",Sync!$L6)+1,20),FIND("/",MID(Sync!$L6,FIND("/",Sync!$L6)+1,20))-1))),2)&amp;"/"&amp;RIGHT("00"&amp;VALUE(TRIM(MID(MID(Sync!$L6,FIND("/",Sync!$L6)+1,20),FIND("/",MID(Sync!$L6,FIND("/",Sync!$L6)+1,20))+1,20))),2),"")))</f>
        <v/>
      </c>
    </row>
    <row r="7" spans="1:15" x14ac:dyDescent="0.2">
      <c r="A7" t="str">
        <f>IF(Issues!$B10="","",Issues!$B10)</f>
        <v>24012346</v>
      </c>
      <c r="B7">
        <f>IF($A7="","",IF(ISNUMBER(Issues!$C10),IF(AND(Issues!$C10&gt;=10000101,Issues!$C10&lt;=99991231),INT(Issues!$C10/10000),""),IFERROR(VALUE(TRIM(LEFT(Issues!$C10,FIND("/",Issues!$C10)-1))),"")))</f>
        <v>1405</v>
      </c>
      <c r="C7">
        <f>IF(OR($A7="",$B7=""),"",IF(ISNUMBER(Issues!$C10),INT(MOD(Issues!$C10,10000)/100),IFERROR(VALUE(TRIM(LEFT(MID(Issues!$C10,FIND("/",Issues!$C10)+1,20),FIND("/",MID(Issues!$C10,FIND("/",Issues!$C10)+1,20))-1))),"")))</f>
        <v>7</v>
      </c>
      <c r="D7">
        <f>IF(OR($A7="",$B7=""),"",IF(ISNUMBER(Issues!$C10),MOD(Issues!$C10,100),IFERROR(VALUE(TRIM(MID(MID(Issues!$C10,FIND("/",Issues!$C10)+1,20),FIND("/",MID(Issues!$C10,FIND("/",Issues!$C10)+1,20))+1,20))),"")))</f>
        <v>20</v>
      </c>
      <c r="E7" t="str">
        <f t="shared" si="0"/>
        <v>1405/07/20</v>
      </c>
      <c r="F7">
        <f>IF($A7="","",IF(Issues!$D10="",0,Issues!$D10))</f>
        <v>45000000</v>
      </c>
      <c r="G7" t="str">
        <f>IF($A7="","",Issues!$E10)</f>
        <v>X002</v>
      </c>
      <c r="H7" t="str">
        <f t="shared" si="1"/>
        <v>پاس نشده</v>
      </c>
      <c r="I7" t="str">
        <f t="shared" si="2"/>
        <v/>
      </c>
      <c r="J7" t="str">
        <f>IF($A7="","",Issues!$G10)</f>
        <v>مالیات — چک سررسید ۲۰ مهر (نمونه)</v>
      </c>
      <c r="K7" t="str">
        <f>IF(OR($E7="",$E7="نامعتبر"),"",LEFT($E7,4)&amp;MID($E7,6,2)&amp;RIGHT($E7,2)&amp;"|"&amp;RIGHT("00000"&amp;2,5))</f>
        <v>14050720|00002</v>
      </c>
      <c r="M7" t="str">
        <f>IF(Sync!$M7&lt;&gt;"پاس چک","",IF(Sync!$P7="","",Sync!$P7))</f>
        <v/>
      </c>
      <c r="N7" t="str">
        <f>IF($M7="","",IF(ISNUMBER(Sync!$L7),IF(AND(Sync!$L7&gt;=10000101,Sync!$L7&lt;=99991231),RIGHT("0000"&amp;INT(Sync!$L7/10000),4)&amp;"/"&amp;RIGHT("00"&amp;INT(MOD(Sync!$L7,10000)/100),2)&amp;"/"&amp;RIGHT("00"&amp;MOD(Sync!$L7,100),2),""),IFERROR(RIGHT("0000"&amp;VALUE(TRIM(LEFT(Sync!$L7,FIND("/",Sync!$L7)-1))),4)&amp;"/"&amp;RIGHT("00"&amp;VALUE(TRIM(LEFT(MID(Sync!$L7,FIND("/",Sync!$L7)+1,20),FIND("/",MID(Sync!$L7,FIND("/",Sync!$L7)+1,20))-1))),2)&amp;"/"&amp;RIGHT("00"&amp;VALUE(TRIM(MID(MID(Sync!$L7,FIND("/",Sync!$L7)+1,20),FIND("/",MID(Sync!$L7,FIND("/",Sync!$L7)+1,20))+1,20))),2),"")))</f>
        <v/>
      </c>
    </row>
    <row r="8" spans="1:15" x14ac:dyDescent="0.2">
      <c r="A8" t="str">
        <f>IF(Issues!$B11="","",Issues!$B11)</f>
        <v>24012347</v>
      </c>
      <c r="B8">
        <f>IF($A8="","",IF(ISNUMBER(Issues!$C11),IF(AND(Issues!$C11&gt;=10000101,Issues!$C11&lt;=99991231),INT(Issues!$C11/10000),""),IFERROR(VALUE(TRIM(LEFT(Issues!$C11,FIND("/",Issues!$C11)-1))),"")))</f>
        <v>1405</v>
      </c>
      <c r="C8">
        <f>IF(OR($A8="",$B8=""),"",IF(ISNUMBER(Issues!$C11),INT(MOD(Issues!$C11,10000)/100),IFERROR(VALUE(TRIM(LEFT(MID(Issues!$C11,FIND("/",Issues!$C11)+1,20),FIND("/",MID(Issues!$C11,FIND("/",Issues!$C11)+1,20))-1))),"")))</f>
        <v>8</v>
      </c>
      <c r="D8">
        <f>IF(OR($A8="",$B8=""),"",IF(ISNUMBER(Issues!$C11),MOD(Issues!$C11,100),IFERROR(VALUE(TRIM(MID(MID(Issues!$C11,FIND("/",Issues!$C11)+1,20),FIND("/",MID(Issues!$C11,FIND("/",Issues!$C11)+1,20))+1,20))),"")))</f>
        <v>2</v>
      </c>
      <c r="E8" t="str">
        <f t="shared" si="0"/>
        <v>1405/08/02</v>
      </c>
      <c r="F8">
        <f>IF($A8="","",IF(Issues!$D11="",0,Issues!$D11))</f>
        <v>150000000</v>
      </c>
      <c r="G8" t="str">
        <f>IF($A8="","",Issues!$E11)</f>
        <v>S002</v>
      </c>
      <c r="H8" t="str">
        <f t="shared" si="1"/>
        <v>پاس نشده</v>
      </c>
      <c r="I8" t="str">
        <f t="shared" si="2"/>
        <v/>
      </c>
      <c r="J8" t="str">
        <f>IF($A8="","",Issues!$G11)</f>
        <v>خرید میدان بار — چک سررسید ۲ آبان (نمونه)</v>
      </c>
      <c r="K8" t="str">
        <f>IF(OR($E8="",$E8="نامعتبر"),"",LEFT($E8,4)&amp;MID($E8,6,2)&amp;RIGHT($E8,2)&amp;"|"&amp;RIGHT("00000"&amp;3,5))</f>
        <v>14050802|00003</v>
      </c>
      <c r="M8" t="str">
        <f>IF(Sync!$M8&lt;&gt;"پاس چک","",IF(Sync!$P8="","",Sync!$P8))</f>
        <v/>
      </c>
      <c r="N8" t="str">
        <f>IF($M8="","",IF(ISNUMBER(Sync!$L8),IF(AND(Sync!$L8&gt;=10000101,Sync!$L8&lt;=99991231),RIGHT("0000"&amp;INT(Sync!$L8/10000),4)&amp;"/"&amp;RIGHT("00"&amp;INT(MOD(Sync!$L8,10000)/100),2)&amp;"/"&amp;RIGHT("00"&amp;MOD(Sync!$L8,100),2),""),IFERROR(RIGHT("0000"&amp;VALUE(TRIM(LEFT(Sync!$L8,FIND("/",Sync!$L8)-1))),4)&amp;"/"&amp;RIGHT("00"&amp;VALUE(TRIM(LEFT(MID(Sync!$L8,FIND("/",Sync!$L8)+1,20),FIND("/",MID(Sync!$L8,FIND("/",Sync!$L8)+1,20))-1))),2)&amp;"/"&amp;RIGHT("00"&amp;VALUE(TRIM(MID(MID(Sync!$L8,FIND("/",Sync!$L8)+1,20),FIND("/",MID(Sync!$L8,FIND("/",Sync!$L8)+1,20))+1,20))),2),"")))</f>
        <v/>
      </c>
    </row>
    <row r="9" spans="1:15" x14ac:dyDescent="0.2">
      <c r="A9" t="str">
        <f>IF(Issues!$B12="","",Issues!$B12)</f>
        <v>24012348</v>
      </c>
      <c r="B9">
        <f>IF($A9="","",IF(ISNUMBER(Issues!$C12),IF(AND(Issues!$C12&gt;=10000101,Issues!$C12&lt;=99991231),INT(Issues!$C12/10000),""),IFERROR(VALUE(TRIM(LEFT(Issues!$C12,FIND("/",Issues!$C12)-1))),"")))</f>
        <v>1405</v>
      </c>
      <c r="C9">
        <f>IF(OR($A9="",$B9=""),"",IF(ISNUMBER(Issues!$C12),INT(MOD(Issues!$C12,10000)/100),IFERROR(VALUE(TRIM(LEFT(MID(Issues!$C12,FIND("/",Issues!$C12)+1,20),FIND("/",MID(Issues!$C12,FIND("/",Issues!$C12)+1,20))-1))),"")))</f>
        <v>8</v>
      </c>
      <c r="D9">
        <f>IF(OR($A9="",$B9=""),"",IF(ISNUMBER(Issues!$C12),MOD(Issues!$C12,100),IFERROR(VALUE(TRIM(MID(MID(Issues!$C12,FIND("/",Issues!$C12)+1,20),FIND("/",MID(Issues!$C12,FIND("/",Issues!$C12)+1,20))+1,20))),"")))</f>
        <v>5</v>
      </c>
      <c r="E9" t="str">
        <f t="shared" si="0"/>
        <v>1405/08/05</v>
      </c>
      <c r="F9">
        <f>IF($A9="","",IF(Issues!$D12="",0,Issues!$D12))</f>
        <v>60000000</v>
      </c>
      <c r="G9" t="str">
        <f>IF($A9="","",Issues!$E12)</f>
        <v>F001</v>
      </c>
      <c r="H9" t="str">
        <f t="shared" si="1"/>
        <v>پاس نشده</v>
      </c>
      <c r="I9" t="str">
        <f t="shared" si="2"/>
        <v/>
      </c>
      <c r="J9" t="str">
        <f>IF($A9="","",Issues!$G12)</f>
        <v>خرید زمین باغدشت با چک — دارایی ثابت (نمونه)</v>
      </c>
      <c r="K9" t="str">
        <f>IF(OR($E9="",$E9="نامعتبر"),"",LEFT($E9,4)&amp;MID($E9,6,2)&amp;RIGHT($E9,2)&amp;"|"&amp;RIGHT("00000"&amp;4,5))</f>
        <v>14050805|00004</v>
      </c>
      <c r="M9" t="str">
        <f>IF(Sync!$M9&lt;&gt;"پاس چک","",IF(Sync!$P9="","",Sync!$P9))</f>
        <v/>
      </c>
      <c r="N9" t="str">
        <f>IF($M9="","",IF(ISNUMBER(Sync!$L9),IF(AND(Sync!$L9&gt;=10000101,Sync!$L9&lt;=99991231),RIGHT("0000"&amp;INT(Sync!$L9/10000),4)&amp;"/"&amp;RIGHT("00"&amp;INT(MOD(Sync!$L9,10000)/100),2)&amp;"/"&amp;RIGHT("00"&amp;MOD(Sync!$L9,100),2),""),IFERROR(RIGHT("0000"&amp;VALUE(TRIM(LEFT(Sync!$L9,FIND("/",Sync!$L9)-1))),4)&amp;"/"&amp;RIGHT("00"&amp;VALUE(TRIM(LEFT(MID(Sync!$L9,FIND("/",Sync!$L9)+1,20),FIND("/",MID(Sync!$L9,FIND("/",Sync!$L9)+1,20))-1))),2)&amp;"/"&amp;RIGHT("00"&amp;VALUE(TRIM(MID(MID(Sync!$L9,FIND("/",Sync!$L9)+1,20),FIND("/",MID(Sync!$L9,FIND("/",Sync!$L9)+1,20))+1,20))),2),"")))</f>
        <v/>
      </c>
    </row>
    <row r="10" spans="1:15" x14ac:dyDescent="0.2">
      <c r="A10" t="str">
        <f>IF(Issues!$B13="","",Issues!$B13)</f>
        <v/>
      </c>
      <c r="B10" t="str">
        <f>IF($A10="","",IF(ISNUMBER(Issues!$C13),IF(AND(Issues!$C13&gt;=10000101,Issues!$C13&lt;=99991231),INT(Issues!$C13/10000),""),IFERROR(VALUE(TRIM(LEFT(Issues!$C13,FIND("/",Issues!$C13)-1))),"")))</f>
        <v/>
      </c>
      <c r="C10" t="str">
        <f>IF(OR($A10="",$B10=""),"",IF(ISNUMBER(Issues!$C13),INT(MOD(Issues!$C13,10000)/100),IFERROR(VALUE(TRIM(LEFT(MID(Issues!$C13,FIND("/",Issues!$C13)+1,20),FIND("/",MID(Issues!$C13,FIND("/",Issues!$C13)+1,20))-1))),"")))</f>
        <v/>
      </c>
      <c r="D10" t="str">
        <f>IF(OR($A10="",$B10=""),"",IF(ISNUMBER(Issues!$C13),MOD(Issues!$C13,100),IFERROR(VALUE(TRIM(MID(MID(Issues!$C13,FIND("/",Issues!$C13)+1,20),FIND("/",MID(Issues!$C13,FIND("/",Issues!$C13)+1,20))+1,20))),"")))</f>
        <v/>
      </c>
      <c r="E10" t="str">
        <f t="shared" si="0"/>
        <v/>
      </c>
      <c r="F10" t="str">
        <f>IF($A10="","",IF(Issues!$D13="",0,Issues!$D13))</f>
        <v/>
      </c>
      <c r="G10" t="str">
        <f>IF($A10="","",Issues!$E13)</f>
        <v/>
      </c>
      <c r="H10" t="str">
        <f t="shared" si="1"/>
        <v/>
      </c>
      <c r="I10" t="str">
        <f t="shared" si="2"/>
        <v/>
      </c>
      <c r="J10" t="str">
        <f>IF($A10="","",Issues!$G13)</f>
        <v/>
      </c>
      <c r="K10" t="str">
        <f>IF(OR($E10="",$E10="نامعتبر"),"",LEFT($E10,4)&amp;MID($E10,6,2)&amp;RIGHT($E10,2)&amp;"|"&amp;RIGHT("00000"&amp;5,5))</f>
        <v/>
      </c>
      <c r="M10" t="str">
        <f>IF(Sync!$M10&lt;&gt;"پاس چک","",IF(Sync!$P10="","",Sync!$P10))</f>
        <v/>
      </c>
      <c r="N10" t="str">
        <f>IF($M10="","",IF(ISNUMBER(Sync!$L10),IF(AND(Sync!$L10&gt;=10000101,Sync!$L10&lt;=99991231),RIGHT("0000"&amp;INT(Sync!$L10/10000),4)&amp;"/"&amp;RIGHT("00"&amp;INT(MOD(Sync!$L10,10000)/100),2)&amp;"/"&amp;RIGHT("00"&amp;MOD(Sync!$L10,100),2),""),IFERROR(RIGHT("0000"&amp;VALUE(TRIM(LEFT(Sync!$L10,FIND("/",Sync!$L10)-1))),4)&amp;"/"&amp;RIGHT("00"&amp;VALUE(TRIM(LEFT(MID(Sync!$L10,FIND("/",Sync!$L10)+1,20),FIND("/",MID(Sync!$L10,FIND("/",Sync!$L10)+1,20))-1))),2)&amp;"/"&amp;RIGHT("00"&amp;VALUE(TRIM(MID(MID(Sync!$L10,FIND("/",Sync!$L10)+1,20),FIND("/",MID(Sync!$L10,FIND("/",Sync!$L10)+1,20))+1,20))),2),"")))</f>
        <v/>
      </c>
    </row>
    <row r="11" spans="1:15" x14ac:dyDescent="0.2">
      <c r="A11" t="str">
        <f>IF(Issues!$B14="","",Issues!$B14)</f>
        <v/>
      </c>
      <c r="B11" t="str">
        <f>IF($A11="","",IF(ISNUMBER(Issues!$C14),IF(AND(Issues!$C14&gt;=10000101,Issues!$C14&lt;=99991231),INT(Issues!$C14/10000),""),IFERROR(VALUE(TRIM(LEFT(Issues!$C14,FIND("/",Issues!$C14)-1))),"")))</f>
        <v/>
      </c>
      <c r="C11" t="str">
        <f>IF(OR($A11="",$B11=""),"",IF(ISNUMBER(Issues!$C14),INT(MOD(Issues!$C14,10000)/100),IFERROR(VALUE(TRIM(LEFT(MID(Issues!$C14,FIND("/",Issues!$C14)+1,20),FIND("/",MID(Issues!$C14,FIND("/",Issues!$C14)+1,20))-1))),"")))</f>
        <v/>
      </c>
      <c r="D11" t="str">
        <f>IF(OR($A11="",$B11=""),"",IF(ISNUMBER(Issues!$C14),MOD(Issues!$C14,100),IFERROR(VALUE(TRIM(MID(MID(Issues!$C14,FIND("/",Issues!$C14)+1,20),FIND("/",MID(Issues!$C14,FIND("/",Issues!$C14)+1,20))+1,20))),"")))</f>
        <v/>
      </c>
      <c r="E11" t="str">
        <f t="shared" si="0"/>
        <v/>
      </c>
      <c r="F11" t="str">
        <f>IF($A11="","",IF(Issues!$D14="",0,Issues!$D14))</f>
        <v/>
      </c>
      <c r="G11" t="str">
        <f>IF($A11="","",Issues!$E14)</f>
        <v/>
      </c>
      <c r="H11" t="str">
        <f t="shared" si="1"/>
        <v/>
      </c>
      <c r="I11" t="str">
        <f t="shared" si="2"/>
        <v/>
      </c>
      <c r="J11" t="str">
        <f>IF($A11="","",Issues!$G14)</f>
        <v/>
      </c>
      <c r="K11" t="str">
        <f>IF(OR($E11="",$E11="نامعتبر"),"",LEFT($E11,4)&amp;MID($E11,6,2)&amp;RIGHT($E11,2)&amp;"|"&amp;RIGHT("00000"&amp;6,5))</f>
        <v/>
      </c>
      <c r="M11" t="str">
        <f>IF(Sync!$M11&lt;&gt;"پاس چک","",IF(Sync!$P11="","",Sync!$P11))</f>
        <v/>
      </c>
      <c r="N11" t="str">
        <f>IF($M11="","",IF(ISNUMBER(Sync!$L11),IF(AND(Sync!$L11&gt;=10000101,Sync!$L11&lt;=99991231),RIGHT("0000"&amp;INT(Sync!$L11/10000),4)&amp;"/"&amp;RIGHT("00"&amp;INT(MOD(Sync!$L11,10000)/100),2)&amp;"/"&amp;RIGHT("00"&amp;MOD(Sync!$L11,100),2),""),IFERROR(RIGHT("0000"&amp;VALUE(TRIM(LEFT(Sync!$L11,FIND("/",Sync!$L11)-1))),4)&amp;"/"&amp;RIGHT("00"&amp;VALUE(TRIM(LEFT(MID(Sync!$L11,FIND("/",Sync!$L11)+1,20),FIND("/",MID(Sync!$L11,FIND("/",Sync!$L11)+1,20))-1))),2)&amp;"/"&amp;RIGHT("00"&amp;VALUE(TRIM(MID(MID(Sync!$L11,FIND("/",Sync!$L11)+1,20),FIND("/",MID(Sync!$L11,FIND("/",Sync!$L11)+1,20))+1,20))),2),"")))</f>
        <v/>
      </c>
    </row>
    <row r="12" spans="1:15" x14ac:dyDescent="0.2">
      <c r="A12" t="str">
        <f>IF(Issues!$B15="","",Issues!$B15)</f>
        <v/>
      </c>
      <c r="B12" t="str">
        <f>IF($A12="","",IF(ISNUMBER(Issues!$C15),IF(AND(Issues!$C15&gt;=10000101,Issues!$C15&lt;=99991231),INT(Issues!$C15/10000),""),IFERROR(VALUE(TRIM(LEFT(Issues!$C15,FIND("/",Issues!$C15)-1))),"")))</f>
        <v/>
      </c>
      <c r="C12" t="str">
        <f>IF(OR($A12="",$B12=""),"",IF(ISNUMBER(Issues!$C15),INT(MOD(Issues!$C15,10000)/100),IFERROR(VALUE(TRIM(LEFT(MID(Issues!$C15,FIND("/",Issues!$C15)+1,20),FIND("/",MID(Issues!$C15,FIND("/",Issues!$C15)+1,20))-1))),"")))</f>
        <v/>
      </c>
      <c r="D12" t="str">
        <f>IF(OR($A12="",$B12=""),"",IF(ISNUMBER(Issues!$C15),MOD(Issues!$C15,100),IFERROR(VALUE(TRIM(MID(MID(Issues!$C15,FIND("/",Issues!$C15)+1,20),FIND("/",MID(Issues!$C15,FIND("/",Issues!$C15)+1,20))+1,20))),"")))</f>
        <v/>
      </c>
      <c r="E12" t="str">
        <f t="shared" si="0"/>
        <v/>
      </c>
      <c r="F12" t="str">
        <f>IF($A12="","",IF(Issues!$D15="",0,Issues!$D15))</f>
        <v/>
      </c>
      <c r="G12" t="str">
        <f>IF($A12="","",Issues!$E15)</f>
        <v/>
      </c>
      <c r="H12" t="str">
        <f t="shared" si="1"/>
        <v/>
      </c>
      <c r="I12" t="str">
        <f t="shared" si="2"/>
        <v/>
      </c>
      <c r="J12" t="str">
        <f>IF($A12="","",Issues!$G15)</f>
        <v/>
      </c>
      <c r="K12" t="str">
        <f>IF(OR($E12="",$E12="نامعتبر"),"",LEFT($E12,4)&amp;MID($E12,6,2)&amp;RIGHT($E12,2)&amp;"|"&amp;RIGHT("00000"&amp;7,5))</f>
        <v/>
      </c>
      <c r="M12" t="str">
        <f>IF(Sync!$M12&lt;&gt;"پاس چک","",IF(Sync!$P12="","",Sync!$P12))</f>
        <v/>
      </c>
      <c r="N12" t="str">
        <f>IF($M12="","",IF(ISNUMBER(Sync!$L12),IF(AND(Sync!$L12&gt;=10000101,Sync!$L12&lt;=99991231),RIGHT("0000"&amp;INT(Sync!$L12/10000),4)&amp;"/"&amp;RIGHT("00"&amp;INT(MOD(Sync!$L12,10000)/100),2)&amp;"/"&amp;RIGHT("00"&amp;MOD(Sync!$L12,100),2),""),IFERROR(RIGHT("0000"&amp;VALUE(TRIM(LEFT(Sync!$L12,FIND("/",Sync!$L12)-1))),4)&amp;"/"&amp;RIGHT("00"&amp;VALUE(TRIM(LEFT(MID(Sync!$L12,FIND("/",Sync!$L12)+1,20),FIND("/",MID(Sync!$L12,FIND("/",Sync!$L12)+1,20))-1))),2)&amp;"/"&amp;RIGHT("00"&amp;VALUE(TRIM(MID(MID(Sync!$L12,FIND("/",Sync!$L12)+1,20),FIND("/",MID(Sync!$L12,FIND("/",Sync!$L12)+1,20))+1,20))),2),"")))</f>
        <v/>
      </c>
    </row>
    <row r="13" spans="1:15" x14ac:dyDescent="0.2">
      <c r="A13" t="str">
        <f>IF(Issues!$B16="","",Issues!$B16)</f>
        <v/>
      </c>
      <c r="B13" t="str">
        <f>IF($A13="","",IF(ISNUMBER(Issues!$C16),IF(AND(Issues!$C16&gt;=10000101,Issues!$C16&lt;=99991231),INT(Issues!$C16/10000),""),IFERROR(VALUE(TRIM(LEFT(Issues!$C16,FIND("/",Issues!$C16)-1))),"")))</f>
        <v/>
      </c>
      <c r="C13" t="str">
        <f>IF(OR($A13="",$B13=""),"",IF(ISNUMBER(Issues!$C16),INT(MOD(Issues!$C16,10000)/100),IFERROR(VALUE(TRIM(LEFT(MID(Issues!$C16,FIND("/",Issues!$C16)+1,20),FIND("/",MID(Issues!$C16,FIND("/",Issues!$C16)+1,20))-1))),"")))</f>
        <v/>
      </c>
      <c r="D13" t="str">
        <f>IF(OR($A13="",$B13=""),"",IF(ISNUMBER(Issues!$C16),MOD(Issues!$C16,100),IFERROR(VALUE(TRIM(MID(MID(Issues!$C16,FIND("/",Issues!$C16)+1,20),FIND("/",MID(Issues!$C16,FIND("/",Issues!$C16)+1,20))+1,20))),"")))</f>
        <v/>
      </c>
      <c r="E13" t="str">
        <f t="shared" si="0"/>
        <v/>
      </c>
      <c r="F13" t="str">
        <f>IF($A13="","",IF(Issues!$D16="",0,Issues!$D16))</f>
        <v/>
      </c>
      <c r="G13" t="str">
        <f>IF($A13="","",Issues!$E16)</f>
        <v/>
      </c>
      <c r="H13" t="str">
        <f t="shared" si="1"/>
        <v/>
      </c>
      <c r="I13" t="str">
        <f t="shared" si="2"/>
        <v/>
      </c>
      <c r="J13" t="str">
        <f>IF($A13="","",Issues!$G16)</f>
        <v/>
      </c>
      <c r="K13" t="str">
        <f>IF(OR($E13="",$E13="نامعتبر"),"",LEFT($E13,4)&amp;MID($E13,6,2)&amp;RIGHT($E13,2)&amp;"|"&amp;RIGHT("00000"&amp;8,5))</f>
        <v/>
      </c>
      <c r="M13" t="str">
        <f>IF(Sync!$M13&lt;&gt;"پاس چک","",IF(Sync!$P13="","",Sync!$P13))</f>
        <v/>
      </c>
      <c r="N13" t="str">
        <f>IF($M13="","",IF(ISNUMBER(Sync!$L13),IF(AND(Sync!$L13&gt;=10000101,Sync!$L13&lt;=99991231),RIGHT("0000"&amp;INT(Sync!$L13/10000),4)&amp;"/"&amp;RIGHT("00"&amp;INT(MOD(Sync!$L13,10000)/100),2)&amp;"/"&amp;RIGHT("00"&amp;MOD(Sync!$L13,100),2),""),IFERROR(RIGHT("0000"&amp;VALUE(TRIM(LEFT(Sync!$L13,FIND("/",Sync!$L13)-1))),4)&amp;"/"&amp;RIGHT("00"&amp;VALUE(TRIM(LEFT(MID(Sync!$L13,FIND("/",Sync!$L13)+1,20),FIND("/",MID(Sync!$L13,FIND("/",Sync!$L13)+1,20))-1))),2)&amp;"/"&amp;RIGHT("00"&amp;VALUE(TRIM(MID(MID(Sync!$L13,FIND("/",Sync!$L13)+1,20),FIND("/",MID(Sync!$L13,FIND("/",Sync!$L13)+1,20))+1,20))),2),"")))</f>
        <v/>
      </c>
    </row>
    <row r="14" spans="1:15" x14ac:dyDescent="0.2">
      <c r="A14" t="str">
        <f>IF(Issues!$B17="","",Issues!$B17)</f>
        <v/>
      </c>
      <c r="B14" t="str">
        <f>IF($A14="","",IF(ISNUMBER(Issues!$C17),IF(AND(Issues!$C17&gt;=10000101,Issues!$C17&lt;=99991231),INT(Issues!$C17/10000),""),IFERROR(VALUE(TRIM(LEFT(Issues!$C17,FIND("/",Issues!$C17)-1))),"")))</f>
        <v/>
      </c>
      <c r="C14" t="str">
        <f>IF(OR($A14="",$B14=""),"",IF(ISNUMBER(Issues!$C17),INT(MOD(Issues!$C17,10000)/100),IFERROR(VALUE(TRIM(LEFT(MID(Issues!$C17,FIND("/",Issues!$C17)+1,20),FIND("/",MID(Issues!$C17,FIND("/",Issues!$C17)+1,20))-1))),"")))</f>
        <v/>
      </c>
      <c r="D14" t="str">
        <f>IF(OR($A14="",$B14=""),"",IF(ISNUMBER(Issues!$C17),MOD(Issues!$C17,100),IFERROR(VALUE(TRIM(MID(MID(Issues!$C17,FIND("/",Issues!$C17)+1,20),FIND("/",MID(Issues!$C17,FIND("/",Issues!$C17)+1,20))+1,20))),"")))</f>
        <v/>
      </c>
      <c r="E14" t="str">
        <f t="shared" si="0"/>
        <v/>
      </c>
      <c r="F14" t="str">
        <f>IF($A14="","",IF(Issues!$D17="",0,Issues!$D17))</f>
        <v/>
      </c>
      <c r="G14" t="str">
        <f>IF($A14="","",Issues!$E17)</f>
        <v/>
      </c>
      <c r="H14" t="str">
        <f t="shared" si="1"/>
        <v/>
      </c>
      <c r="I14" t="str">
        <f t="shared" si="2"/>
        <v/>
      </c>
      <c r="J14" t="str">
        <f>IF($A14="","",Issues!$G17)</f>
        <v/>
      </c>
      <c r="K14" t="str">
        <f>IF(OR($E14="",$E14="نامعتبر"),"",LEFT($E14,4)&amp;MID($E14,6,2)&amp;RIGHT($E14,2)&amp;"|"&amp;RIGHT("00000"&amp;9,5))</f>
        <v/>
      </c>
      <c r="M14" t="str">
        <f>IF(Sync!$M14&lt;&gt;"پاس چک","",IF(Sync!$P14="","",Sync!$P14))</f>
        <v/>
      </c>
      <c r="N14" t="str">
        <f>IF($M14="","",IF(ISNUMBER(Sync!$L14),IF(AND(Sync!$L14&gt;=10000101,Sync!$L14&lt;=99991231),RIGHT("0000"&amp;INT(Sync!$L14/10000),4)&amp;"/"&amp;RIGHT("00"&amp;INT(MOD(Sync!$L14,10000)/100),2)&amp;"/"&amp;RIGHT("00"&amp;MOD(Sync!$L14,100),2),""),IFERROR(RIGHT("0000"&amp;VALUE(TRIM(LEFT(Sync!$L14,FIND("/",Sync!$L14)-1))),4)&amp;"/"&amp;RIGHT("00"&amp;VALUE(TRIM(LEFT(MID(Sync!$L14,FIND("/",Sync!$L14)+1,20),FIND("/",MID(Sync!$L14,FIND("/",Sync!$L14)+1,20))-1))),2)&amp;"/"&amp;RIGHT("00"&amp;VALUE(TRIM(MID(MID(Sync!$L14,FIND("/",Sync!$L14)+1,20),FIND("/",MID(Sync!$L14,FIND("/",Sync!$L14)+1,20))+1,20))),2),"")))</f>
        <v/>
      </c>
    </row>
    <row r="15" spans="1:15" x14ac:dyDescent="0.2">
      <c r="A15" t="str">
        <f>IF(Issues!$B18="","",Issues!$B18)</f>
        <v/>
      </c>
      <c r="B15" t="str">
        <f>IF($A15="","",IF(ISNUMBER(Issues!$C18),IF(AND(Issues!$C18&gt;=10000101,Issues!$C18&lt;=99991231),INT(Issues!$C18/10000),""),IFERROR(VALUE(TRIM(LEFT(Issues!$C18,FIND("/",Issues!$C18)-1))),"")))</f>
        <v/>
      </c>
      <c r="C15" t="str">
        <f>IF(OR($A15="",$B15=""),"",IF(ISNUMBER(Issues!$C18),INT(MOD(Issues!$C18,10000)/100),IFERROR(VALUE(TRIM(LEFT(MID(Issues!$C18,FIND("/",Issues!$C18)+1,20),FIND("/",MID(Issues!$C18,FIND("/",Issues!$C18)+1,20))-1))),"")))</f>
        <v/>
      </c>
      <c r="D15" t="str">
        <f>IF(OR($A15="",$B15=""),"",IF(ISNUMBER(Issues!$C18),MOD(Issues!$C18,100),IFERROR(VALUE(TRIM(MID(MID(Issues!$C18,FIND("/",Issues!$C18)+1,20),FIND("/",MID(Issues!$C18,FIND("/",Issues!$C18)+1,20))+1,20))),"")))</f>
        <v/>
      </c>
      <c r="E15" t="str">
        <f t="shared" si="0"/>
        <v/>
      </c>
      <c r="F15" t="str">
        <f>IF($A15="","",IF(Issues!$D18="",0,Issues!$D18))</f>
        <v/>
      </c>
      <c r="G15" t="str">
        <f>IF($A15="","",Issues!$E18)</f>
        <v/>
      </c>
      <c r="H15" t="str">
        <f t="shared" si="1"/>
        <v/>
      </c>
      <c r="I15" t="str">
        <f t="shared" si="2"/>
        <v/>
      </c>
      <c r="J15" t="str">
        <f>IF($A15="","",Issues!$G18)</f>
        <v/>
      </c>
      <c r="K15" t="str">
        <f>IF(OR($E15="",$E15="نامعتبر"),"",LEFT($E15,4)&amp;MID($E15,6,2)&amp;RIGHT($E15,2)&amp;"|"&amp;RIGHT("00000"&amp;10,5))</f>
        <v/>
      </c>
      <c r="M15" t="str">
        <f>IF(Sync!$M15&lt;&gt;"پاس چک","",IF(Sync!$P15="","",Sync!$P15))</f>
        <v/>
      </c>
      <c r="N15" t="str">
        <f>IF($M15="","",IF(ISNUMBER(Sync!$L15),IF(AND(Sync!$L15&gt;=10000101,Sync!$L15&lt;=99991231),RIGHT("0000"&amp;INT(Sync!$L15/10000),4)&amp;"/"&amp;RIGHT("00"&amp;INT(MOD(Sync!$L15,10000)/100),2)&amp;"/"&amp;RIGHT("00"&amp;MOD(Sync!$L15,100),2),""),IFERROR(RIGHT("0000"&amp;VALUE(TRIM(LEFT(Sync!$L15,FIND("/",Sync!$L15)-1))),4)&amp;"/"&amp;RIGHT("00"&amp;VALUE(TRIM(LEFT(MID(Sync!$L15,FIND("/",Sync!$L15)+1,20),FIND("/",MID(Sync!$L15,FIND("/",Sync!$L15)+1,20))-1))),2)&amp;"/"&amp;RIGHT("00"&amp;VALUE(TRIM(MID(MID(Sync!$L15,FIND("/",Sync!$L15)+1,20),FIND("/",MID(Sync!$L15,FIND("/",Sync!$L15)+1,20))+1,20))),2),"")))</f>
        <v/>
      </c>
    </row>
    <row r="16" spans="1:15" x14ac:dyDescent="0.2">
      <c r="A16" t="str">
        <f>IF(Issues!$B19="","",Issues!$B19)</f>
        <v/>
      </c>
      <c r="B16" t="str">
        <f>IF($A16="","",IF(ISNUMBER(Issues!$C19),IF(AND(Issues!$C19&gt;=10000101,Issues!$C19&lt;=99991231),INT(Issues!$C19/10000),""),IFERROR(VALUE(TRIM(LEFT(Issues!$C19,FIND("/",Issues!$C19)-1))),"")))</f>
        <v/>
      </c>
      <c r="C16" t="str">
        <f>IF(OR($A16="",$B16=""),"",IF(ISNUMBER(Issues!$C19),INT(MOD(Issues!$C19,10000)/100),IFERROR(VALUE(TRIM(LEFT(MID(Issues!$C19,FIND("/",Issues!$C19)+1,20),FIND("/",MID(Issues!$C19,FIND("/",Issues!$C19)+1,20))-1))),"")))</f>
        <v/>
      </c>
      <c r="D16" t="str">
        <f>IF(OR($A16="",$B16=""),"",IF(ISNUMBER(Issues!$C19),MOD(Issues!$C19,100),IFERROR(VALUE(TRIM(MID(MID(Issues!$C19,FIND("/",Issues!$C19)+1,20),FIND("/",MID(Issues!$C19,FIND("/",Issues!$C19)+1,20))+1,20))),"")))</f>
        <v/>
      </c>
      <c r="E16" t="str">
        <f t="shared" si="0"/>
        <v/>
      </c>
      <c r="F16" t="str">
        <f>IF($A16="","",IF(Issues!$D19="",0,Issues!$D19))</f>
        <v/>
      </c>
      <c r="G16" t="str">
        <f>IF($A16="","",Issues!$E19)</f>
        <v/>
      </c>
      <c r="H16" t="str">
        <f t="shared" si="1"/>
        <v/>
      </c>
      <c r="I16" t="str">
        <f t="shared" si="2"/>
        <v/>
      </c>
      <c r="J16" t="str">
        <f>IF($A16="","",Issues!$G19)</f>
        <v/>
      </c>
      <c r="K16" t="str">
        <f>IF(OR($E16="",$E16="نامعتبر"),"",LEFT($E16,4)&amp;MID($E16,6,2)&amp;RIGHT($E16,2)&amp;"|"&amp;RIGHT("00000"&amp;11,5))</f>
        <v/>
      </c>
      <c r="M16" t="str">
        <f>IF(Sync!$M16&lt;&gt;"پاس چک","",IF(Sync!$P16="","",Sync!$P16))</f>
        <v/>
      </c>
      <c r="N16" t="str">
        <f>IF($M16="","",IF(ISNUMBER(Sync!$L16),IF(AND(Sync!$L16&gt;=10000101,Sync!$L16&lt;=99991231),RIGHT("0000"&amp;INT(Sync!$L16/10000),4)&amp;"/"&amp;RIGHT("00"&amp;INT(MOD(Sync!$L16,10000)/100),2)&amp;"/"&amp;RIGHT("00"&amp;MOD(Sync!$L16,100),2),""),IFERROR(RIGHT("0000"&amp;VALUE(TRIM(LEFT(Sync!$L16,FIND("/",Sync!$L16)-1))),4)&amp;"/"&amp;RIGHT("00"&amp;VALUE(TRIM(LEFT(MID(Sync!$L16,FIND("/",Sync!$L16)+1,20),FIND("/",MID(Sync!$L16,FIND("/",Sync!$L16)+1,20))-1))),2)&amp;"/"&amp;RIGHT("00"&amp;VALUE(TRIM(MID(MID(Sync!$L16,FIND("/",Sync!$L16)+1,20),FIND("/",MID(Sync!$L16,FIND("/",Sync!$L16)+1,20))+1,20))),2),"")))</f>
        <v/>
      </c>
    </row>
    <row r="17" spans="1:14" x14ac:dyDescent="0.2">
      <c r="A17" t="str">
        <f>IF(Issues!$B20="","",Issues!$B20)</f>
        <v/>
      </c>
      <c r="B17" t="str">
        <f>IF($A17="","",IF(ISNUMBER(Issues!$C20),IF(AND(Issues!$C20&gt;=10000101,Issues!$C20&lt;=99991231),INT(Issues!$C20/10000),""),IFERROR(VALUE(TRIM(LEFT(Issues!$C20,FIND("/",Issues!$C20)-1))),"")))</f>
        <v/>
      </c>
      <c r="C17" t="str">
        <f>IF(OR($A17="",$B17=""),"",IF(ISNUMBER(Issues!$C20),INT(MOD(Issues!$C20,10000)/100),IFERROR(VALUE(TRIM(LEFT(MID(Issues!$C20,FIND("/",Issues!$C20)+1,20),FIND("/",MID(Issues!$C20,FIND("/",Issues!$C20)+1,20))-1))),"")))</f>
        <v/>
      </c>
      <c r="D17" t="str">
        <f>IF(OR($A17="",$B17=""),"",IF(ISNUMBER(Issues!$C20),MOD(Issues!$C20,100),IFERROR(VALUE(TRIM(MID(MID(Issues!$C20,FIND("/",Issues!$C20)+1,20),FIND("/",MID(Issues!$C20,FIND("/",Issues!$C20)+1,20))+1,20))),"")))</f>
        <v/>
      </c>
      <c r="E17" t="str">
        <f t="shared" si="0"/>
        <v/>
      </c>
      <c r="F17" t="str">
        <f>IF($A17="","",IF(Issues!$D20="",0,Issues!$D20))</f>
        <v/>
      </c>
      <c r="G17" t="str">
        <f>IF($A17="","",Issues!$E20)</f>
        <v/>
      </c>
      <c r="H17" t="str">
        <f t="shared" si="1"/>
        <v/>
      </c>
      <c r="I17" t="str">
        <f t="shared" si="2"/>
        <v/>
      </c>
      <c r="J17" t="str">
        <f>IF($A17="","",Issues!$G20)</f>
        <v/>
      </c>
      <c r="K17" t="str">
        <f>IF(OR($E17="",$E17="نامعتبر"),"",LEFT($E17,4)&amp;MID($E17,6,2)&amp;RIGHT($E17,2)&amp;"|"&amp;RIGHT("00000"&amp;12,5))</f>
        <v/>
      </c>
      <c r="M17" t="str">
        <f>IF(Sync!$M17&lt;&gt;"پاس چک","",IF(Sync!$P17="","",Sync!$P17))</f>
        <v/>
      </c>
      <c r="N17" t="str">
        <f>IF($M17="","",IF(ISNUMBER(Sync!$L17),IF(AND(Sync!$L17&gt;=10000101,Sync!$L17&lt;=99991231),RIGHT("0000"&amp;INT(Sync!$L17/10000),4)&amp;"/"&amp;RIGHT("00"&amp;INT(MOD(Sync!$L17,10000)/100),2)&amp;"/"&amp;RIGHT("00"&amp;MOD(Sync!$L17,100),2),""),IFERROR(RIGHT("0000"&amp;VALUE(TRIM(LEFT(Sync!$L17,FIND("/",Sync!$L17)-1))),4)&amp;"/"&amp;RIGHT("00"&amp;VALUE(TRIM(LEFT(MID(Sync!$L17,FIND("/",Sync!$L17)+1,20),FIND("/",MID(Sync!$L17,FIND("/",Sync!$L17)+1,20))-1))),2)&amp;"/"&amp;RIGHT("00"&amp;VALUE(TRIM(MID(MID(Sync!$L17,FIND("/",Sync!$L17)+1,20),FIND("/",MID(Sync!$L17,FIND("/",Sync!$L17)+1,20))+1,20))),2),"")))</f>
        <v/>
      </c>
    </row>
    <row r="18" spans="1:14" x14ac:dyDescent="0.2">
      <c r="A18" t="str">
        <f>IF(Issues!$B21="","",Issues!$B21)</f>
        <v/>
      </c>
      <c r="B18" t="str">
        <f>IF($A18="","",IF(ISNUMBER(Issues!$C21),IF(AND(Issues!$C21&gt;=10000101,Issues!$C21&lt;=99991231),INT(Issues!$C21/10000),""),IFERROR(VALUE(TRIM(LEFT(Issues!$C21,FIND("/",Issues!$C21)-1))),"")))</f>
        <v/>
      </c>
      <c r="C18" t="str">
        <f>IF(OR($A18="",$B18=""),"",IF(ISNUMBER(Issues!$C21),INT(MOD(Issues!$C21,10000)/100),IFERROR(VALUE(TRIM(LEFT(MID(Issues!$C21,FIND("/",Issues!$C21)+1,20),FIND("/",MID(Issues!$C21,FIND("/",Issues!$C21)+1,20))-1))),"")))</f>
        <v/>
      </c>
      <c r="D18" t="str">
        <f>IF(OR($A18="",$B18=""),"",IF(ISNUMBER(Issues!$C21),MOD(Issues!$C21,100),IFERROR(VALUE(TRIM(MID(MID(Issues!$C21,FIND("/",Issues!$C21)+1,20),FIND("/",MID(Issues!$C21,FIND("/",Issues!$C21)+1,20))+1,20))),"")))</f>
        <v/>
      </c>
      <c r="E18" t="str">
        <f t="shared" si="0"/>
        <v/>
      </c>
      <c r="F18" t="str">
        <f>IF($A18="","",IF(Issues!$D21="",0,Issues!$D21))</f>
        <v/>
      </c>
      <c r="G18" t="str">
        <f>IF($A18="","",Issues!$E21)</f>
        <v/>
      </c>
      <c r="H18" t="str">
        <f t="shared" si="1"/>
        <v/>
      </c>
      <c r="I18" t="str">
        <f t="shared" si="2"/>
        <v/>
      </c>
      <c r="J18" t="str">
        <f>IF($A18="","",Issues!$G21)</f>
        <v/>
      </c>
      <c r="K18" t="str">
        <f>IF(OR($E18="",$E18="نامعتبر"),"",LEFT($E18,4)&amp;MID($E18,6,2)&amp;RIGHT($E18,2)&amp;"|"&amp;RIGHT("00000"&amp;13,5))</f>
        <v/>
      </c>
      <c r="M18" t="str">
        <f>IF(Sync!$M18&lt;&gt;"پاس چک","",IF(Sync!$P18="","",Sync!$P18))</f>
        <v/>
      </c>
      <c r="N18" t="str">
        <f>IF($M18="","",IF(ISNUMBER(Sync!$L18),IF(AND(Sync!$L18&gt;=10000101,Sync!$L18&lt;=99991231),RIGHT("0000"&amp;INT(Sync!$L18/10000),4)&amp;"/"&amp;RIGHT("00"&amp;INT(MOD(Sync!$L18,10000)/100),2)&amp;"/"&amp;RIGHT("00"&amp;MOD(Sync!$L18,100),2),""),IFERROR(RIGHT("0000"&amp;VALUE(TRIM(LEFT(Sync!$L18,FIND("/",Sync!$L18)-1))),4)&amp;"/"&amp;RIGHT("00"&amp;VALUE(TRIM(LEFT(MID(Sync!$L18,FIND("/",Sync!$L18)+1,20),FIND("/",MID(Sync!$L18,FIND("/",Sync!$L18)+1,20))-1))),2)&amp;"/"&amp;RIGHT("00"&amp;VALUE(TRIM(MID(MID(Sync!$L18,FIND("/",Sync!$L18)+1,20),FIND("/",MID(Sync!$L18,FIND("/",Sync!$L18)+1,20))+1,20))),2),"")))</f>
        <v/>
      </c>
    </row>
    <row r="19" spans="1:14" x14ac:dyDescent="0.2">
      <c r="A19" t="str">
        <f>IF(Issues!$B22="","",Issues!$B22)</f>
        <v/>
      </c>
      <c r="B19" t="str">
        <f>IF($A19="","",IF(ISNUMBER(Issues!$C22),IF(AND(Issues!$C22&gt;=10000101,Issues!$C22&lt;=99991231),INT(Issues!$C22/10000),""),IFERROR(VALUE(TRIM(LEFT(Issues!$C22,FIND("/",Issues!$C22)-1))),"")))</f>
        <v/>
      </c>
      <c r="C19" t="str">
        <f>IF(OR($A19="",$B19=""),"",IF(ISNUMBER(Issues!$C22),INT(MOD(Issues!$C22,10000)/100),IFERROR(VALUE(TRIM(LEFT(MID(Issues!$C22,FIND("/",Issues!$C22)+1,20),FIND("/",MID(Issues!$C22,FIND("/",Issues!$C22)+1,20))-1))),"")))</f>
        <v/>
      </c>
      <c r="D19" t="str">
        <f>IF(OR($A19="",$B19=""),"",IF(ISNUMBER(Issues!$C22),MOD(Issues!$C22,100),IFERROR(VALUE(TRIM(MID(MID(Issues!$C22,FIND("/",Issues!$C22)+1,20),FIND("/",MID(Issues!$C22,FIND("/",Issues!$C22)+1,20))+1,20))),"")))</f>
        <v/>
      </c>
      <c r="E19" t="str">
        <f t="shared" si="0"/>
        <v/>
      </c>
      <c r="F19" t="str">
        <f>IF($A19="","",IF(Issues!$D22="",0,Issues!$D22))</f>
        <v/>
      </c>
      <c r="G19" t="str">
        <f>IF($A19="","",Issues!$E22)</f>
        <v/>
      </c>
      <c r="H19" t="str">
        <f t="shared" si="1"/>
        <v/>
      </c>
      <c r="I19" t="str">
        <f t="shared" si="2"/>
        <v/>
      </c>
      <c r="J19" t="str">
        <f>IF($A19="","",Issues!$G22)</f>
        <v/>
      </c>
      <c r="K19" t="str">
        <f>IF(OR($E19="",$E19="نامعتبر"),"",LEFT($E19,4)&amp;MID($E19,6,2)&amp;RIGHT($E19,2)&amp;"|"&amp;RIGHT("00000"&amp;14,5))</f>
        <v/>
      </c>
      <c r="M19" t="str">
        <f>IF(Sync!$M19&lt;&gt;"پاس چک","",IF(Sync!$P19="","",Sync!$P19))</f>
        <v>24012345</v>
      </c>
      <c r="N19" t="str">
        <f>IF($M19="","",IF(ISNUMBER(Sync!$L19),IF(AND(Sync!$L19&gt;=10000101,Sync!$L19&lt;=99991231),RIGHT("0000"&amp;INT(Sync!$L19/10000),4)&amp;"/"&amp;RIGHT("00"&amp;INT(MOD(Sync!$L19,10000)/100),2)&amp;"/"&amp;RIGHT("00"&amp;MOD(Sync!$L19,100),2),""),IFERROR(RIGHT("0000"&amp;VALUE(TRIM(LEFT(Sync!$L19,FIND("/",Sync!$L19)-1))),4)&amp;"/"&amp;RIGHT("00"&amp;VALUE(TRIM(LEFT(MID(Sync!$L19,FIND("/",Sync!$L19)+1,20),FIND("/",MID(Sync!$L19,FIND("/",Sync!$L19)+1,20))-1))),2)&amp;"/"&amp;RIGHT("00"&amp;VALUE(TRIM(MID(MID(Sync!$L19,FIND("/",Sync!$L19)+1,20),FIND("/",MID(Sync!$L19,FIND("/",Sync!$L19)+1,20))+1,20))),2),"")))</f>
        <v>1405/07/15</v>
      </c>
    </row>
    <row r="20" spans="1:14" x14ac:dyDescent="0.2">
      <c r="A20" t="str">
        <f>IF(Issues!$B23="","",Issues!$B23)</f>
        <v/>
      </c>
      <c r="B20" t="str">
        <f>IF($A20="","",IF(ISNUMBER(Issues!$C23),IF(AND(Issues!$C23&gt;=10000101,Issues!$C23&lt;=99991231),INT(Issues!$C23/10000),""),IFERROR(VALUE(TRIM(LEFT(Issues!$C23,FIND("/",Issues!$C23)-1))),"")))</f>
        <v/>
      </c>
      <c r="C20" t="str">
        <f>IF(OR($A20="",$B20=""),"",IF(ISNUMBER(Issues!$C23),INT(MOD(Issues!$C23,10000)/100),IFERROR(VALUE(TRIM(LEFT(MID(Issues!$C23,FIND("/",Issues!$C23)+1,20),FIND("/",MID(Issues!$C23,FIND("/",Issues!$C23)+1,20))-1))),"")))</f>
        <v/>
      </c>
      <c r="D20" t="str">
        <f>IF(OR($A20="",$B20=""),"",IF(ISNUMBER(Issues!$C23),MOD(Issues!$C23,100),IFERROR(VALUE(TRIM(MID(MID(Issues!$C23,FIND("/",Issues!$C23)+1,20),FIND("/",MID(Issues!$C23,FIND("/",Issues!$C23)+1,20))+1,20))),"")))</f>
        <v/>
      </c>
      <c r="E20" t="str">
        <f t="shared" si="0"/>
        <v/>
      </c>
      <c r="F20" t="str">
        <f>IF($A20="","",IF(Issues!$D23="",0,Issues!$D23))</f>
        <v/>
      </c>
      <c r="G20" t="str">
        <f>IF($A20="","",Issues!$E23)</f>
        <v/>
      </c>
      <c r="H20" t="str">
        <f t="shared" si="1"/>
        <v/>
      </c>
      <c r="I20" t="str">
        <f t="shared" si="2"/>
        <v/>
      </c>
      <c r="J20" t="str">
        <f>IF($A20="","",Issues!$G23)</f>
        <v/>
      </c>
      <c r="K20" t="str">
        <f>IF(OR($E20="",$E20="نامعتبر"),"",LEFT($E20,4)&amp;MID($E20,6,2)&amp;RIGHT($E20,2)&amp;"|"&amp;RIGHT("00000"&amp;15,5))</f>
        <v/>
      </c>
      <c r="M20" t="str">
        <f>IF(Sync!$M20&lt;&gt;"پاس چک","",IF(Sync!$P20="","",Sync!$P20))</f>
        <v/>
      </c>
      <c r="N20" t="str">
        <f>IF($M20="","",IF(ISNUMBER(Sync!$L20),IF(AND(Sync!$L20&gt;=10000101,Sync!$L20&lt;=99991231),RIGHT("0000"&amp;INT(Sync!$L20/10000),4)&amp;"/"&amp;RIGHT("00"&amp;INT(MOD(Sync!$L20,10000)/100),2)&amp;"/"&amp;RIGHT("00"&amp;MOD(Sync!$L20,100),2),""),IFERROR(RIGHT("0000"&amp;VALUE(TRIM(LEFT(Sync!$L20,FIND("/",Sync!$L20)-1))),4)&amp;"/"&amp;RIGHT("00"&amp;VALUE(TRIM(LEFT(MID(Sync!$L20,FIND("/",Sync!$L20)+1,20),FIND("/",MID(Sync!$L20,FIND("/",Sync!$L20)+1,20))-1))),2)&amp;"/"&amp;RIGHT("00"&amp;VALUE(TRIM(MID(MID(Sync!$L20,FIND("/",Sync!$L20)+1,20),FIND("/",MID(Sync!$L20,FIND("/",Sync!$L20)+1,20))+1,20))),2),"")))</f>
        <v/>
      </c>
    </row>
    <row r="21" spans="1:14" x14ac:dyDescent="0.2">
      <c r="A21" t="str">
        <f>IF(Issues!$B24="","",Issues!$B24)</f>
        <v/>
      </c>
      <c r="B21" t="str">
        <f>IF($A21="","",IF(ISNUMBER(Issues!$C24),IF(AND(Issues!$C24&gt;=10000101,Issues!$C24&lt;=99991231),INT(Issues!$C24/10000),""),IFERROR(VALUE(TRIM(LEFT(Issues!$C24,FIND("/",Issues!$C24)-1))),"")))</f>
        <v/>
      </c>
      <c r="C21" t="str">
        <f>IF(OR($A21="",$B21=""),"",IF(ISNUMBER(Issues!$C24),INT(MOD(Issues!$C24,10000)/100),IFERROR(VALUE(TRIM(LEFT(MID(Issues!$C24,FIND("/",Issues!$C24)+1,20),FIND("/",MID(Issues!$C24,FIND("/",Issues!$C24)+1,20))-1))),"")))</f>
        <v/>
      </c>
      <c r="D21" t="str">
        <f>IF(OR($A21="",$B21=""),"",IF(ISNUMBER(Issues!$C24),MOD(Issues!$C24,100),IFERROR(VALUE(TRIM(MID(MID(Issues!$C24,FIND("/",Issues!$C24)+1,20),FIND("/",MID(Issues!$C24,FIND("/",Issues!$C24)+1,20))+1,20))),"")))</f>
        <v/>
      </c>
      <c r="E21" t="str">
        <f t="shared" si="0"/>
        <v/>
      </c>
      <c r="F21" t="str">
        <f>IF($A21="","",IF(Issues!$D24="",0,Issues!$D24))</f>
        <v/>
      </c>
      <c r="G21" t="str">
        <f>IF($A21="","",Issues!$E24)</f>
        <v/>
      </c>
      <c r="H21" t="str">
        <f t="shared" si="1"/>
        <v/>
      </c>
      <c r="I21" t="str">
        <f t="shared" si="2"/>
        <v/>
      </c>
      <c r="J21" t="str">
        <f>IF($A21="","",Issues!$G24)</f>
        <v/>
      </c>
      <c r="K21" t="str">
        <f>IF(OR($E21="",$E21="نامعتبر"),"",LEFT($E21,4)&amp;MID($E21,6,2)&amp;RIGHT($E21,2)&amp;"|"&amp;RIGHT("00000"&amp;16,5))</f>
        <v/>
      </c>
      <c r="M21" t="str">
        <f>IF(Sync!$M21&lt;&gt;"پاس چک","",IF(Sync!$P21="","",Sync!$P21))</f>
        <v/>
      </c>
      <c r="N21" t="str">
        <f>IF($M21="","",IF(ISNUMBER(Sync!$L21),IF(AND(Sync!$L21&gt;=10000101,Sync!$L21&lt;=99991231),RIGHT("0000"&amp;INT(Sync!$L21/10000),4)&amp;"/"&amp;RIGHT("00"&amp;INT(MOD(Sync!$L21,10000)/100),2)&amp;"/"&amp;RIGHT("00"&amp;MOD(Sync!$L21,100),2),""),IFERROR(RIGHT("0000"&amp;VALUE(TRIM(LEFT(Sync!$L21,FIND("/",Sync!$L21)-1))),4)&amp;"/"&amp;RIGHT("00"&amp;VALUE(TRIM(LEFT(MID(Sync!$L21,FIND("/",Sync!$L21)+1,20),FIND("/",MID(Sync!$L21,FIND("/",Sync!$L21)+1,20))-1))),2)&amp;"/"&amp;RIGHT("00"&amp;VALUE(TRIM(MID(MID(Sync!$L21,FIND("/",Sync!$L21)+1,20),FIND("/",MID(Sync!$L21,FIND("/",Sync!$L21)+1,20))+1,20))),2),"")))</f>
        <v/>
      </c>
    </row>
    <row r="22" spans="1:14" x14ac:dyDescent="0.2">
      <c r="A22" t="str">
        <f>IF(Issues!$B25="","",Issues!$B25)</f>
        <v/>
      </c>
      <c r="B22" t="str">
        <f>IF($A22="","",IF(ISNUMBER(Issues!$C25),IF(AND(Issues!$C25&gt;=10000101,Issues!$C25&lt;=99991231),INT(Issues!$C25/10000),""),IFERROR(VALUE(TRIM(LEFT(Issues!$C25,FIND("/",Issues!$C25)-1))),"")))</f>
        <v/>
      </c>
      <c r="C22" t="str">
        <f>IF(OR($A22="",$B22=""),"",IF(ISNUMBER(Issues!$C25),INT(MOD(Issues!$C25,10000)/100),IFERROR(VALUE(TRIM(LEFT(MID(Issues!$C25,FIND("/",Issues!$C25)+1,20),FIND("/",MID(Issues!$C25,FIND("/",Issues!$C25)+1,20))-1))),"")))</f>
        <v/>
      </c>
      <c r="D22" t="str">
        <f>IF(OR($A22="",$B22=""),"",IF(ISNUMBER(Issues!$C25),MOD(Issues!$C25,100),IFERROR(VALUE(TRIM(MID(MID(Issues!$C25,FIND("/",Issues!$C25)+1,20),FIND("/",MID(Issues!$C25,FIND("/",Issues!$C25)+1,20))+1,20))),"")))</f>
        <v/>
      </c>
      <c r="E22" t="str">
        <f t="shared" si="0"/>
        <v/>
      </c>
      <c r="F22" t="str">
        <f>IF($A22="","",IF(Issues!$D25="",0,Issues!$D25))</f>
        <v/>
      </c>
      <c r="G22" t="str">
        <f>IF($A22="","",Issues!$E25)</f>
        <v/>
      </c>
      <c r="H22" t="str">
        <f t="shared" si="1"/>
        <v/>
      </c>
      <c r="I22" t="str">
        <f t="shared" si="2"/>
        <v/>
      </c>
      <c r="J22" t="str">
        <f>IF($A22="","",Issues!$G25)</f>
        <v/>
      </c>
      <c r="K22" t="str">
        <f>IF(OR($E22="",$E22="نامعتبر"),"",LEFT($E22,4)&amp;MID($E22,6,2)&amp;RIGHT($E22,2)&amp;"|"&amp;RIGHT("00000"&amp;17,5))</f>
        <v/>
      </c>
      <c r="M22" t="str">
        <f>IF(Sync!$M22&lt;&gt;"پاس چک","",IF(Sync!$P22="","",Sync!$P22))</f>
        <v/>
      </c>
      <c r="N22" t="str">
        <f>IF($M22="","",IF(ISNUMBER(Sync!$L22),IF(AND(Sync!$L22&gt;=10000101,Sync!$L22&lt;=99991231),RIGHT("0000"&amp;INT(Sync!$L22/10000),4)&amp;"/"&amp;RIGHT("00"&amp;INT(MOD(Sync!$L22,10000)/100),2)&amp;"/"&amp;RIGHT("00"&amp;MOD(Sync!$L22,100),2),""),IFERROR(RIGHT("0000"&amp;VALUE(TRIM(LEFT(Sync!$L22,FIND("/",Sync!$L22)-1))),4)&amp;"/"&amp;RIGHT("00"&amp;VALUE(TRIM(LEFT(MID(Sync!$L22,FIND("/",Sync!$L22)+1,20),FIND("/",MID(Sync!$L22,FIND("/",Sync!$L22)+1,20))-1))),2)&amp;"/"&amp;RIGHT("00"&amp;VALUE(TRIM(MID(MID(Sync!$L22,FIND("/",Sync!$L22)+1,20),FIND("/",MID(Sync!$L22,FIND("/",Sync!$L22)+1,20))+1,20))),2),"")))</f>
        <v/>
      </c>
    </row>
    <row r="23" spans="1:14" x14ac:dyDescent="0.2">
      <c r="A23" t="str">
        <f>IF(Issues!$B26="","",Issues!$B26)</f>
        <v/>
      </c>
      <c r="B23" t="str">
        <f>IF($A23="","",IF(ISNUMBER(Issues!$C26),IF(AND(Issues!$C26&gt;=10000101,Issues!$C26&lt;=99991231),INT(Issues!$C26/10000),""),IFERROR(VALUE(TRIM(LEFT(Issues!$C26,FIND("/",Issues!$C26)-1))),"")))</f>
        <v/>
      </c>
      <c r="C23" t="str">
        <f>IF(OR($A23="",$B23=""),"",IF(ISNUMBER(Issues!$C26),INT(MOD(Issues!$C26,10000)/100),IFERROR(VALUE(TRIM(LEFT(MID(Issues!$C26,FIND("/",Issues!$C26)+1,20),FIND("/",MID(Issues!$C26,FIND("/",Issues!$C26)+1,20))-1))),"")))</f>
        <v/>
      </c>
      <c r="D23" t="str">
        <f>IF(OR($A23="",$B23=""),"",IF(ISNUMBER(Issues!$C26),MOD(Issues!$C26,100),IFERROR(VALUE(TRIM(MID(MID(Issues!$C26,FIND("/",Issues!$C26)+1,20),FIND("/",MID(Issues!$C26,FIND("/",Issues!$C26)+1,20))+1,20))),"")))</f>
        <v/>
      </c>
      <c r="E23" t="str">
        <f t="shared" si="0"/>
        <v/>
      </c>
      <c r="F23" t="str">
        <f>IF($A23="","",IF(Issues!$D26="",0,Issues!$D26))</f>
        <v/>
      </c>
      <c r="G23" t="str">
        <f>IF($A23="","",Issues!$E26)</f>
        <v/>
      </c>
      <c r="H23" t="str">
        <f t="shared" si="1"/>
        <v/>
      </c>
      <c r="I23" t="str">
        <f t="shared" si="2"/>
        <v/>
      </c>
      <c r="J23" t="str">
        <f>IF($A23="","",Issues!$G26)</f>
        <v/>
      </c>
      <c r="K23" t="str">
        <f>IF(OR($E23="",$E23="نامعتبر"),"",LEFT($E23,4)&amp;MID($E23,6,2)&amp;RIGHT($E23,2)&amp;"|"&amp;RIGHT("00000"&amp;18,5))</f>
        <v/>
      </c>
      <c r="M23" t="str">
        <f>IF(Sync!$M23&lt;&gt;"پاس چک","",IF(Sync!$P23="","",Sync!$P23))</f>
        <v/>
      </c>
      <c r="N23" t="str">
        <f>IF($M23="","",IF(ISNUMBER(Sync!$L23),IF(AND(Sync!$L23&gt;=10000101,Sync!$L23&lt;=99991231),RIGHT("0000"&amp;INT(Sync!$L23/10000),4)&amp;"/"&amp;RIGHT("00"&amp;INT(MOD(Sync!$L23,10000)/100),2)&amp;"/"&amp;RIGHT("00"&amp;MOD(Sync!$L23,100),2),""),IFERROR(RIGHT("0000"&amp;VALUE(TRIM(LEFT(Sync!$L23,FIND("/",Sync!$L23)-1))),4)&amp;"/"&amp;RIGHT("00"&amp;VALUE(TRIM(LEFT(MID(Sync!$L23,FIND("/",Sync!$L23)+1,20),FIND("/",MID(Sync!$L23,FIND("/",Sync!$L23)+1,20))-1))),2)&amp;"/"&amp;RIGHT("00"&amp;VALUE(TRIM(MID(MID(Sync!$L23,FIND("/",Sync!$L23)+1,20),FIND("/",MID(Sync!$L23,FIND("/",Sync!$L23)+1,20))+1,20))),2),"")))</f>
        <v/>
      </c>
    </row>
    <row r="24" spans="1:14" x14ac:dyDescent="0.2">
      <c r="A24" t="str">
        <f>IF(Issues!$B27="","",Issues!$B27)</f>
        <v/>
      </c>
      <c r="B24" t="str">
        <f>IF($A24="","",IF(ISNUMBER(Issues!$C27),IF(AND(Issues!$C27&gt;=10000101,Issues!$C27&lt;=99991231),INT(Issues!$C27/10000),""),IFERROR(VALUE(TRIM(LEFT(Issues!$C27,FIND("/",Issues!$C27)-1))),"")))</f>
        <v/>
      </c>
      <c r="C24" t="str">
        <f>IF(OR($A24="",$B24=""),"",IF(ISNUMBER(Issues!$C27),INT(MOD(Issues!$C27,10000)/100),IFERROR(VALUE(TRIM(LEFT(MID(Issues!$C27,FIND("/",Issues!$C27)+1,20),FIND("/",MID(Issues!$C27,FIND("/",Issues!$C27)+1,20))-1))),"")))</f>
        <v/>
      </c>
      <c r="D24" t="str">
        <f>IF(OR($A24="",$B24=""),"",IF(ISNUMBER(Issues!$C27),MOD(Issues!$C27,100),IFERROR(VALUE(TRIM(MID(MID(Issues!$C27,FIND("/",Issues!$C27)+1,20),FIND("/",MID(Issues!$C27,FIND("/",Issues!$C27)+1,20))+1,20))),"")))</f>
        <v/>
      </c>
      <c r="E24" t="str">
        <f t="shared" si="0"/>
        <v/>
      </c>
      <c r="F24" t="str">
        <f>IF($A24="","",IF(Issues!$D27="",0,Issues!$D27))</f>
        <v/>
      </c>
      <c r="G24" t="str">
        <f>IF($A24="","",Issues!$E27)</f>
        <v/>
      </c>
      <c r="H24" t="str">
        <f t="shared" si="1"/>
        <v/>
      </c>
      <c r="I24" t="str">
        <f t="shared" si="2"/>
        <v/>
      </c>
      <c r="J24" t="str">
        <f>IF($A24="","",Issues!$G27)</f>
        <v/>
      </c>
      <c r="K24" t="str">
        <f>IF(OR($E24="",$E24="نامعتبر"),"",LEFT($E24,4)&amp;MID($E24,6,2)&amp;RIGHT($E24,2)&amp;"|"&amp;RIGHT("00000"&amp;19,5))</f>
        <v/>
      </c>
      <c r="M24" t="str">
        <f>IF(Sync!$M24&lt;&gt;"پاس چک","",IF(Sync!$P24="","",Sync!$P24))</f>
        <v/>
      </c>
      <c r="N24" t="str">
        <f>IF($M24="","",IF(ISNUMBER(Sync!$L24),IF(AND(Sync!$L24&gt;=10000101,Sync!$L24&lt;=99991231),RIGHT("0000"&amp;INT(Sync!$L24/10000),4)&amp;"/"&amp;RIGHT("00"&amp;INT(MOD(Sync!$L24,10000)/100),2)&amp;"/"&amp;RIGHT("00"&amp;MOD(Sync!$L24,100),2),""),IFERROR(RIGHT("0000"&amp;VALUE(TRIM(LEFT(Sync!$L24,FIND("/",Sync!$L24)-1))),4)&amp;"/"&amp;RIGHT("00"&amp;VALUE(TRIM(LEFT(MID(Sync!$L24,FIND("/",Sync!$L24)+1,20),FIND("/",MID(Sync!$L24,FIND("/",Sync!$L24)+1,20))-1))),2)&amp;"/"&amp;RIGHT("00"&amp;VALUE(TRIM(MID(MID(Sync!$L24,FIND("/",Sync!$L24)+1,20),FIND("/",MID(Sync!$L24,FIND("/",Sync!$L24)+1,20))+1,20))),2),"")))</f>
        <v/>
      </c>
    </row>
    <row r="25" spans="1:14" x14ac:dyDescent="0.2">
      <c r="A25" t="str">
        <f>IF(Issues!$B28="","",Issues!$B28)</f>
        <v/>
      </c>
      <c r="B25" t="str">
        <f>IF($A25="","",IF(ISNUMBER(Issues!$C28),IF(AND(Issues!$C28&gt;=10000101,Issues!$C28&lt;=99991231),INT(Issues!$C28/10000),""),IFERROR(VALUE(TRIM(LEFT(Issues!$C28,FIND("/",Issues!$C28)-1))),"")))</f>
        <v/>
      </c>
      <c r="C25" t="str">
        <f>IF(OR($A25="",$B25=""),"",IF(ISNUMBER(Issues!$C28),INT(MOD(Issues!$C28,10000)/100),IFERROR(VALUE(TRIM(LEFT(MID(Issues!$C28,FIND("/",Issues!$C28)+1,20),FIND("/",MID(Issues!$C28,FIND("/",Issues!$C28)+1,20))-1))),"")))</f>
        <v/>
      </c>
      <c r="D25" t="str">
        <f>IF(OR($A25="",$B25=""),"",IF(ISNUMBER(Issues!$C28),MOD(Issues!$C28,100),IFERROR(VALUE(TRIM(MID(MID(Issues!$C28,FIND("/",Issues!$C28)+1,20),FIND("/",MID(Issues!$C28,FIND("/",Issues!$C28)+1,20))+1,20))),"")))</f>
        <v/>
      </c>
      <c r="E25" t="str">
        <f t="shared" si="0"/>
        <v/>
      </c>
      <c r="F25" t="str">
        <f>IF($A25="","",IF(Issues!$D28="",0,Issues!$D28))</f>
        <v/>
      </c>
      <c r="G25" t="str">
        <f>IF($A25="","",Issues!$E28)</f>
        <v/>
      </c>
      <c r="H25" t="str">
        <f t="shared" si="1"/>
        <v/>
      </c>
      <c r="I25" t="str">
        <f t="shared" si="2"/>
        <v/>
      </c>
      <c r="J25" t="str">
        <f>IF($A25="","",Issues!$G28)</f>
        <v/>
      </c>
      <c r="K25" t="str">
        <f>IF(OR($E25="",$E25="نامعتبر"),"",LEFT($E25,4)&amp;MID($E25,6,2)&amp;RIGHT($E25,2)&amp;"|"&amp;RIGHT("00000"&amp;20,5))</f>
        <v/>
      </c>
      <c r="M25" t="str">
        <f>IF(Sync!$M25&lt;&gt;"پاس چک","",IF(Sync!$P25="","",Sync!$P25))</f>
        <v/>
      </c>
      <c r="N25" t="str">
        <f>IF($M25="","",IF(ISNUMBER(Sync!$L25),IF(AND(Sync!$L25&gt;=10000101,Sync!$L25&lt;=99991231),RIGHT("0000"&amp;INT(Sync!$L25/10000),4)&amp;"/"&amp;RIGHT("00"&amp;INT(MOD(Sync!$L25,10000)/100),2)&amp;"/"&amp;RIGHT("00"&amp;MOD(Sync!$L25,100),2),""),IFERROR(RIGHT("0000"&amp;VALUE(TRIM(LEFT(Sync!$L25,FIND("/",Sync!$L25)-1))),4)&amp;"/"&amp;RIGHT("00"&amp;VALUE(TRIM(LEFT(MID(Sync!$L25,FIND("/",Sync!$L25)+1,20),FIND("/",MID(Sync!$L25,FIND("/",Sync!$L25)+1,20))-1))),2)&amp;"/"&amp;RIGHT("00"&amp;VALUE(TRIM(MID(MID(Sync!$L25,FIND("/",Sync!$L25)+1,20),FIND("/",MID(Sync!$L25,FIND("/",Sync!$L25)+1,20))+1,20))),2),"")))</f>
        <v/>
      </c>
    </row>
    <row r="26" spans="1:14" x14ac:dyDescent="0.2">
      <c r="A26" t="str">
        <f>IF(Issues!$B29="","",Issues!$B29)</f>
        <v/>
      </c>
      <c r="B26" t="str">
        <f>IF($A26="","",IF(ISNUMBER(Issues!$C29),IF(AND(Issues!$C29&gt;=10000101,Issues!$C29&lt;=99991231),INT(Issues!$C29/10000),""),IFERROR(VALUE(TRIM(LEFT(Issues!$C29,FIND("/",Issues!$C29)-1))),"")))</f>
        <v/>
      </c>
      <c r="C26" t="str">
        <f>IF(OR($A26="",$B26=""),"",IF(ISNUMBER(Issues!$C29),INT(MOD(Issues!$C29,10000)/100),IFERROR(VALUE(TRIM(LEFT(MID(Issues!$C29,FIND("/",Issues!$C29)+1,20),FIND("/",MID(Issues!$C29,FIND("/",Issues!$C29)+1,20))-1))),"")))</f>
        <v/>
      </c>
      <c r="D26" t="str">
        <f>IF(OR($A26="",$B26=""),"",IF(ISNUMBER(Issues!$C29),MOD(Issues!$C29,100),IFERROR(VALUE(TRIM(MID(MID(Issues!$C29,FIND("/",Issues!$C29)+1,20),FIND("/",MID(Issues!$C29,FIND("/",Issues!$C29)+1,20))+1,20))),"")))</f>
        <v/>
      </c>
      <c r="E26" t="str">
        <f t="shared" si="0"/>
        <v/>
      </c>
      <c r="F26" t="str">
        <f>IF($A26="","",IF(Issues!$D29="",0,Issues!$D29))</f>
        <v/>
      </c>
      <c r="G26" t="str">
        <f>IF($A26="","",Issues!$E29)</f>
        <v/>
      </c>
      <c r="H26" t="str">
        <f t="shared" si="1"/>
        <v/>
      </c>
      <c r="I26" t="str">
        <f t="shared" si="2"/>
        <v/>
      </c>
      <c r="J26" t="str">
        <f>IF($A26="","",Issues!$G29)</f>
        <v/>
      </c>
      <c r="K26" t="str">
        <f>IF(OR($E26="",$E26="نامعتبر"),"",LEFT($E26,4)&amp;MID($E26,6,2)&amp;RIGHT($E26,2)&amp;"|"&amp;RIGHT("00000"&amp;21,5))</f>
        <v/>
      </c>
      <c r="M26" t="str">
        <f>IF(Sync!$M26&lt;&gt;"پاس چک","",IF(Sync!$P26="","",Sync!$P26))</f>
        <v/>
      </c>
      <c r="N26" t="str">
        <f>IF($M26="","",IF(ISNUMBER(Sync!$L26),IF(AND(Sync!$L26&gt;=10000101,Sync!$L26&lt;=99991231),RIGHT("0000"&amp;INT(Sync!$L26/10000),4)&amp;"/"&amp;RIGHT("00"&amp;INT(MOD(Sync!$L26,10000)/100),2)&amp;"/"&amp;RIGHT("00"&amp;MOD(Sync!$L26,100),2),""),IFERROR(RIGHT("0000"&amp;VALUE(TRIM(LEFT(Sync!$L26,FIND("/",Sync!$L26)-1))),4)&amp;"/"&amp;RIGHT("00"&amp;VALUE(TRIM(LEFT(MID(Sync!$L26,FIND("/",Sync!$L26)+1,20),FIND("/",MID(Sync!$L26,FIND("/",Sync!$L26)+1,20))-1))),2)&amp;"/"&amp;RIGHT("00"&amp;VALUE(TRIM(MID(MID(Sync!$L26,FIND("/",Sync!$L26)+1,20),FIND("/",MID(Sync!$L26,FIND("/",Sync!$L26)+1,20))+1,20))),2),"")))</f>
        <v/>
      </c>
    </row>
    <row r="27" spans="1:14" x14ac:dyDescent="0.2">
      <c r="A27" t="str">
        <f>IF(Issues!$B30="","",Issues!$B30)</f>
        <v/>
      </c>
      <c r="B27" t="str">
        <f>IF($A27="","",IF(ISNUMBER(Issues!$C30),IF(AND(Issues!$C30&gt;=10000101,Issues!$C30&lt;=99991231),INT(Issues!$C30/10000),""),IFERROR(VALUE(TRIM(LEFT(Issues!$C30,FIND("/",Issues!$C30)-1))),"")))</f>
        <v/>
      </c>
      <c r="C27" t="str">
        <f>IF(OR($A27="",$B27=""),"",IF(ISNUMBER(Issues!$C30),INT(MOD(Issues!$C30,10000)/100),IFERROR(VALUE(TRIM(LEFT(MID(Issues!$C30,FIND("/",Issues!$C30)+1,20),FIND("/",MID(Issues!$C30,FIND("/",Issues!$C30)+1,20))-1))),"")))</f>
        <v/>
      </c>
      <c r="D27" t="str">
        <f>IF(OR($A27="",$B27=""),"",IF(ISNUMBER(Issues!$C30),MOD(Issues!$C30,100),IFERROR(VALUE(TRIM(MID(MID(Issues!$C30,FIND("/",Issues!$C30)+1,20),FIND("/",MID(Issues!$C30,FIND("/",Issues!$C30)+1,20))+1,20))),"")))</f>
        <v/>
      </c>
      <c r="E27" t="str">
        <f t="shared" si="0"/>
        <v/>
      </c>
      <c r="F27" t="str">
        <f>IF($A27="","",IF(Issues!$D30="",0,Issues!$D30))</f>
        <v/>
      </c>
      <c r="G27" t="str">
        <f>IF($A27="","",Issues!$E30)</f>
        <v/>
      </c>
      <c r="H27" t="str">
        <f t="shared" si="1"/>
        <v/>
      </c>
      <c r="I27" t="str">
        <f t="shared" si="2"/>
        <v/>
      </c>
      <c r="J27" t="str">
        <f>IF($A27="","",Issues!$G30)</f>
        <v/>
      </c>
      <c r="K27" t="str">
        <f>IF(OR($E27="",$E27="نامعتبر"),"",LEFT($E27,4)&amp;MID($E27,6,2)&amp;RIGHT($E27,2)&amp;"|"&amp;RIGHT("00000"&amp;22,5))</f>
        <v/>
      </c>
      <c r="M27" t="str">
        <f>IF(Sync!$M27&lt;&gt;"پاس چک","",IF(Sync!$P27="","",Sync!$P27))</f>
        <v/>
      </c>
      <c r="N27" t="str">
        <f>IF($M27="","",IF(ISNUMBER(Sync!$L27),IF(AND(Sync!$L27&gt;=10000101,Sync!$L27&lt;=99991231),RIGHT("0000"&amp;INT(Sync!$L27/10000),4)&amp;"/"&amp;RIGHT("00"&amp;INT(MOD(Sync!$L27,10000)/100),2)&amp;"/"&amp;RIGHT("00"&amp;MOD(Sync!$L27,100),2),""),IFERROR(RIGHT("0000"&amp;VALUE(TRIM(LEFT(Sync!$L27,FIND("/",Sync!$L27)-1))),4)&amp;"/"&amp;RIGHT("00"&amp;VALUE(TRIM(LEFT(MID(Sync!$L27,FIND("/",Sync!$L27)+1,20),FIND("/",MID(Sync!$L27,FIND("/",Sync!$L27)+1,20))-1))),2)&amp;"/"&amp;RIGHT("00"&amp;VALUE(TRIM(MID(MID(Sync!$L27,FIND("/",Sync!$L27)+1,20),FIND("/",MID(Sync!$L27,FIND("/",Sync!$L27)+1,20))+1,20))),2),"")))</f>
        <v/>
      </c>
    </row>
    <row r="28" spans="1:14" x14ac:dyDescent="0.2">
      <c r="A28" t="str">
        <f>IF(Issues!$B31="","",Issues!$B31)</f>
        <v/>
      </c>
      <c r="B28" t="str">
        <f>IF($A28="","",IF(ISNUMBER(Issues!$C31),IF(AND(Issues!$C31&gt;=10000101,Issues!$C31&lt;=99991231),INT(Issues!$C31/10000),""),IFERROR(VALUE(TRIM(LEFT(Issues!$C31,FIND("/",Issues!$C31)-1))),"")))</f>
        <v/>
      </c>
      <c r="C28" t="str">
        <f>IF(OR($A28="",$B28=""),"",IF(ISNUMBER(Issues!$C31),INT(MOD(Issues!$C31,10000)/100),IFERROR(VALUE(TRIM(LEFT(MID(Issues!$C31,FIND("/",Issues!$C31)+1,20),FIND("/",MID(Issues!$C31,FIND("/",Issues!$C31)+1,20))-1))),"")))</f>
        <v/>
      </c>
      <c r="D28" t="str">
        <f>IF(OR($A28="",$B28=""),"",IF(ISNUMBER(Issues!$C31),MOD(Issues!$C31,100),IFERROR(VALUE(TRIM(MID(MID(Issues!$C31,FIND("/",Issues!$C31)+1,20),FIND("/",MID(Issues!$C31,FIND("/",Issues!$C31)+1,20))+1,20))),"")))</f>
        <v/>
      </c>
      <c r="E28" t="str">
        <f t="shared" si="0"/>
        <v/>
      </c>
      <c r="F28" t="str">
        <f>IF($A28="","",IF(Issues!$D31="",0,Issues!$D31))</f>
        <v/>
      </c>
      <c r="G28" t="str">
        <f>IF($A28="","",Issues!$E31)</f>
        <v/>
      </c>
      <c r="H28" t="str">
        <f t="shared" si="1"/>
        <v/>
      </c>
      <c r="I28" t="str">
        <f t="shared" si="2"/>
        <v/>
      </c>
      <c r="J28" t="str">
        <f>IF($A28="","",Issues!$G31)</f>
        <v/>
      </c>
      <c r="K28" t="str">
        <f>IF(OR($E28="",$E28="نامعتبر"),"",LEFT($E28,4)&amp;MID($E28,6,2)&amp;RIGHT($E28,2)&amp;"|"&amp;RIGHT("00000"&amp;23,5))</f>
        <v/>
      </c>
      <c r="M28" t="str">
        <f>IF(Sync!$M28&lt;&gt;"پاس چک","",IF(Sync!$P28="","",Sync!$P28))</f>
        <v/>
      </c>
      <c r="N28" t="str">
        <f>IF($M28="","",IF(ISNUMBER(Sync!$L28),IF(AND(Sync!$L28&gt;=10000101,Sync!$L28&lt;=99991231),RIGHT("0000"&amp;INT(Sync!$L28/10000),4)&amp;"/"&amp;RIGHT("00"&amp;INT(MOD(Sync!$L28,10000)/100),2)&amp;"/"&amp;RIGHT("00"&amp;MOD(Sync!$L28,100),2),""),IFERROR(RIGHT("0000"&amp;VALUE(TRIM(LEFT(Sync!$L28,FIND("/",Sync!$L28)-1))),4)&amp;"/"&amp;RIGHT("00"&amp;VALUE(TRIM(LEFT(MID(Sync!$L28,FIND("/",Sync!$L28)+1,20),FIND("/",MID(Sync!$L28,FIND("/",Sync!$L28)+1,20))-1))),2)&amp;"/"&amp;RIGHT("00"&amp;VALUE(TRIM(MID(MID(Sync!$L28,FIND("/",Sync!$L28)+1,20),FIND("/",MID(Sync!$L28,FIND("/",Sync!$L28)+1,20))+1,20))),2),"")))</f>
        <v/>
      </c>
    </row>
    <row r="29" spans="1:14" x14ac:dyDescent="0.2">
      <c r="A29" t="str">
        <f>IF(Issues!$B32="","",Issues!$B32)</f>
        <v/>
      </c>
      <c r="B29" t="str">
        <f>IF($A29="","",IF(ISNUMBER(Issues!$C32),IF(AND(Issues!$C32&gt;=10000101,Issues!$C32&lt;=99991231),INT(Issues!$C32/10000),""),IFERROR(VALUE(TRIM(LEFT(Issues!$C32,FIND("/",Issues!$C32)-1))),"")))</f>
        <v/>
      </c>
      <c r="C29" t="str">
        <f>IF(OR($A29="",$B29=""),"",IF(ISNUMBER(Issues!$C32),INT(MOD(Issues!$C32,10000)/100),IFERROR(VALUE(TRIM(LEFT(MID(Issues!$C32,FIND("/",Issues!$C32)+1,20),FIND("/",MID(Issues!$C32,FIND("/",Issues!$C32)+1,20))-1))),"")))</f>
        <v/>
      </c>
      <c r="D29" t="str">
        <f>IF(OR($A29="",$B29=""),"",IF(ISNUMBER(Issues!$C32),MOD(Issues!$C32,100),IFERROR(VALUE(TRIM(MID(MID(Issues!$C32,FIND("/",Issues!$C32)+1,20),FIND("/",MID(Issues!$C32,FIND("/",Issues!$C32)+1,20))+1,20))),"")))</f>
        <v/>
      </c>
      <c r="E29" t="str">
        <f t="shared" si="0"/>
        <v/>
      </c>
      <c r="F29" t="str">
        <f>IF($A29="","",IF(Issues!$D32="",0,Issues!$D32))</f>
        <v/>
      </c>
      <c r="G29" t="str">
        <f>IF($A29="","",Issues!$E32)</f>
        <v/>
      </c>
      <c r="H29" t="str">
        <f t="shared" si="1"/>
        <v/>
      </c>
      <c r="I29" t="str">
        <f t="shared" si="2"/>
        <v/>
      </c>
      <c r="J29" t="str">
        <f>IF($A29="","",Issues!$G32)</f>
        <v/>
      </c>
      <c r="K29" t="str">
        <f>IF(OR($E29="",$E29="نامعتبر"),"",LEFT($E29,4)&amp;MID($E29,6,2)&amp;RIGHT($E29,2)&amp;"|"&amp;RIGHT("00000"&amp;24,5))</f>
        <v/>
      </c>
      <c r="M29" t="str">
        <f>IF(Sync!$M29&lt;&gt;"پاس چک","",IF(Sync!$P29="","",Sync!$P29))</f>
        <v/>
      </c>
      <c r="N29" t="str">
        <f>IF($M29="","",IF(ISNUMBER(Sync!$L29),IF(AND(Sync!$L29&gt;=10000101,Sync!$L29&lt;=99991231),RIGHT("0000"&amp;INT(Sync!$L29/10000),4)&amp;"/"&amp;RIGHT("00"&amp;INT(MOD(Sync!$L29,10000)/100),2)&amp;"/"&amp;RIGHT("00"&amp;MOD(Sync!$L29,100),2),""),IFERROR(RIGHT("0000"&amp;VALUE(TRIM(LEFT(Sync!$L29,FIND("/",Sync!$L29)-1))),4)&amp;"/"&amp;RIGHT("00"&amp;VALUE(TRIM(LEFT(MID(Sync!$L29,FIND("/",Sync!$L29)+1,20),FIND("/",MID(Sync!$L29,FIND("/",Sync!$L29)+1,20))-1))),2)&amp;"/"&amp;RIGHT("00"&amp;VALUE(TRIM(MID(MID(Sync!$L29,FIND("/",Sync!$L29)+1,20),FIND("/",MID(Sync!$L29,FIND("/",Sync!$L29)+1,20))+1,20))),2),"")))</f>
        <v/>
      </c>
    </row>
    <row r="30" spans="1:14" x14ac:dyDescent="0.2">
      <c r="A30" t="str">
        <f>IF(Issues!$B33="","",Issues!$B33)</f>
        <v/>
      </c>
      <c r="B30" t="str">
        <f>IF($A30="","",IF(ISNUMBER(Issues!$C33),IF(AND(Issues!$C33&gt;=10000101,Issues!$C33&lt;=99991231),INT(Issues!$C33/10000),""),IFERROR(VALUE(TRIM(LEFT(Issues!$C33,FIND("/",Issues!$C33)-1))),"")))</f>
        <v/>
      </c>
      <c r="C30" t="str">
        <f>IF(OR($A30="",$B30=""),"",IF(ISNUMBER(Issues!$C33),INT(MOD(Issues!$C33,10000)/100),IFERROR(VALUE(TRIM(LEFT(MID(Issues!$C33,FIND("/",Issues!$C33)+1,20),FIND("/",MID(Issues!$C33,FIND("/",Issues!$C33)+1,20))-1))),"")))</f>
        <v/>
      </c>
      <c r="D30" t="str">
        <f>IF(OR($A30="",$B30=""),"",IF(ISNUMBER(Issues!$C33),MOD(Issues!$C33,100),IFERROR(VALUE(TRIM(MID(MID(Issues!$C33,FIND("/",Issues!$C33)+1,20),FIND("/",MID(Issues!$C33,FIND("/",Issues!$C33)+1,20))+1,20))),"")))</f>
        <v/>
      </c>
      <c r="E30" t="str">
        <f t="shared" si="0"/>
        <v/>
      </c>
      <c r="F30" t="str">
        <f>IF($A30="","",IF(Issues!$D33="",0,Issues!$D33))</f>
        <v/>
      </c>
      <c r="G30" t="str">
        <f>IF($A30="","",Issues!$E33)</f>
        <v/>
      </c>
      <c r="H30" t="str">
        <f t="shared" si="1"/>
        <v/>
      </c>
      <c r="I30" t="str">
        <f t="shared" si="2"/>
        <v/>
      </c>
      <c r="J30" t="str">
        <f>IF($A30="","",Issues!$G33)</f>
        <v/>
      </c>
      <c r="K30" t="str">
        <f>IF(OR($E30="",$E30="نامعتبر"),"",LEFT($E30,4)&amp;MID($E30,6,2)&amp;RIGHT($E30,2)&amp;"|"&amp;RIGHT("00000"&amp;25,5))</f>
        <v/>
      </c>
      <c r="M30" t="str">
        <f>IF(Sync!$M30&lt;&gt;"پاس چک","",IF(Sync!$P30="","",Sync!$P30))</f>
        <v/>
      </c>
      <c r="N30" t="str">
        <f>IF($M30="","",IF(ISNUMBER(Sync!$L30),IF(AND(Sync!$L30&gt;=10000101,Sync!$L30&lt;=99991231),RIGHT("0000"&amp;INT(Sync!$L30/10000),4)&amp;"/"&amp;RIGHT("00"&amp;INT(MOD(Sync!$L30,10000)/100),2)&amp;"/"&amp;RIGHT("00"&amp;MOD(Sync!$L30,100),2),""),IFERROR(RIGHT("0000"&amp;VALUE(TRIM(LEFT(Sync!$L30,FIND("/",Sync!$L30)-1))),4)&amp;"/"&amp;RIGHT("00"&amp;VALUE(TRIM(LEFT(MID(Sync!$L30,FIND("/",Sync!$L30)+1,20),FIND("/",MID(Sync!$L30,FIND("/",Sync!$L30)+1,20))-1))),2)&amp;"/"&amp;RIGHT("00"&amp;VALUE(TRIM(MID(MID(Sync!$L30,FIND("/",Sync!$L30)+1,20),FIND("/",MID(Sync!$L30,FIND("/",Sync!$L30)+1,20))+1,20))),2),"")))</f>
        <v/>
      </c>
    </row>
    <row r="31" spans="1:14" x14ac:dyDescent="0.2">
      <c r="A31" t="str">
        <f>IF(Issues!$B34="","",Issues!$B34)</f>
        <v/>
      </c>
      <c r="B31" t="str">
        <f>IF($A31="","",IF(ISNUMBER(Issues!$C34),IF(AND(Issues!$C34&gt;=10000101,Issues!$C34&lt;=99991231),INT(Issues!$C34/10000),""),IFERROR(VALUE(TRIM(LEFT(Issues!$C34,FIND("/",Issues!$C34)-1))),"")))</f>
        <v/>
      </c>
      <c r="C31" t="str">
        <f>IF(OR($A31="",$B31=""),"",IF(ISNUMBER(Issues!$C34),INT(MOD(Issues!$C34,10000)/100),IFERROR(VALUE(TRIM(LEFT(MID(Issues!$C34,FIND("/",Issues!$C34)+1,20),FIND("/",MID(Issues!$C34,FIND("/",Issues!$C34)+1,20))-1))),"")))</f>
        <v/>
      </c>
      <c r="D31" t="str">
        <f>IF(OR($A31="",$B31=""),"",IF(ISNUMBER(Issues!$C34),MOD(Issues!$C34,100),IFERROR(VALUE(TRIM(MID(MID(Issues!$C34,FIND("/",Issues!$C34)+1,20),FIND("/",MID(Issues!$C34,FIND("/",Issues!$C34)+1,20))+1,20))),"")))</f>
        <v/>
      </c>
      <c r="E31" t="str">
        <f t="shared" si="0"/>
        <v/>
      </c>
      <c r="F31" t="str">
        <f>IF($A31="","",IF(Issues!$D34="",0,Issues!$D34))</f>
        <v/>
      </c>
      <c r="G31" t="str">
        <f>IF($A31="","",Issues!$E34)</f>
        <v/>
      </c>
      <c r="H31" t="str">
        <f t="shared" si="1"/>
        <v/>
      </c>
      <c r="I31" t="str">
        <f t="shared" si="2"/>
        <v/>
      </c>
      <c r="J31" t="str">
        <f>IF($A31="","",Issues!$G34)</f>
        <v/>
      </c>
      <c r="K31" t="str">
        <f>IF(OR($E31="",$E31="نامعتبر"),"",LEFT($E31,4)&amp;MID($E31,6,2)&amp;RIGHT($E31,2)&amp;"|"&amp;RIGHT("00000"&amp;26,5))</f>
        <v/>
      </c>
      <c r="M31" t="str">
        <f>IF(Sync!$M31&lt;&gt;"پاس چک","",IF(Sync!$P31="","",Sync!$P31))</f>
        <v/>
      </c>
      <c r="N31" t="str">
        <f>IF($M31="","",IF(ISNUMBER(Sync!$L31),IF(AND(Sync!$L31&gt;=10000101,Sync!$L31&lt;=99991231),RIGHT("0000"&amp;INT(Sync!$L31/10000),4)&amp;"/"&amp;RIGHT("00"&amp;INT(MOD(Sync!$L31,10000)/100),2)&amp;"/"&amp;RIGHT("00"&amp;MOD(Sync!$L31,100),2),""),IFERROR(RIGHT("0000"&amp;VALUE(TRIM(LEFT(Sync!$L31,FIND("/",Sync!$L31)-1))),4)&amp;"/"&amp;RIGHT("00"&amp;VALUE(TRIM(LEFT(MID(Sync!$L31,FIND("/",Sync!$L31)+1,20),FIND("/",MID(Sync!$L31,FIND("/",Sync!$L31)+1,20))-1))),2)&amp;"/"&amp;RIGHT("00"&amp;VALUE(TRIM(MID(MID(Sync!$L31,FIND("/",Sync!$L31)+1,20),FIND("/",MID(Sync!$L31,FIND("/",Sync!$L31)+1,20))+1,20))),2),"")))</f>
        <v/>
      </c>
    </row>
    <row r="32" spans="1:14" x14ac:dyDescent="0.2">
      <c r="A32" t="str">
        <f>IF(Issues!$B35="","",Issues!$B35)</f>
        <v/>
      </c>
      <c r="B32" t="str">
        <f>IF($A32="","",IF(ISNUMBER(Issues!$C35),IF(AND(Issues!$C35&gt;=10000101,Issues!$C35&lt;=99991231),INT(Issues!$C35/10000),""),IFERROR(VALUE(TRIM(LEFT(Issues!$C35,FIND("/",Issues!$C35)-1))),"")))</f>
        <v/>
      </c>
      <c r="C32" t="str">
        <f>IF(OR($A32="",$B32=""),"",IF(ISNUMBER(Issues!$C35),INT(MOD(Issues!$C35,10000)/100),IFERROR(VALUE(TRIM(LEFT(MID(Issues!$C35,FIND("/",Issues!$C35)+1,20),FIND("/",MID(Issues!$C35,FIND("/",Issues!$C35)+1,20))-1))),"")))</f>
        <v/>
      </c>
      <c r="D32" t="str">
        <f>IF(OR($A32="",$B32=""),"",IF(ISNUMBER(Issues!$C35),MOD(Issues!$C35,100),IFERROR(VALUE(TRIM(MID(MID(Issues!$C35,FIND("/",Issues!$C35)+1,20),FIND("/",MID(Issues!$C35,FIND("/",Issues!$C35)+1,20))+1,20))),"")))</f>
        <v/>
      </c>
      <c r="E32" t="str">
        <f t="shared" si="0"/>
        <v/>
      </c>
      <c r="F32" t="str">
        <f>IF($A32="","",IF(Issues!$D35="",0,Issues!$D35))</f>
        <v/>
      </c>
      <c r="G32" t="str">
        <f>IF($A32="","",Issues!$E35)</f>
        <v/>
      </c>
      <c r="H32" t="str">
        <f t="shared" si="1"/>
        <v/>
      </c>
      <c r="I32" t="str">
        <f t="shared" si="2"/>
        <v/>
      </c>
      <c r="J32" t="str">
        <f>IF($A32="","",Issues!$G35)</f>
        <v/>
      </c>
      <c r="K32" t="str">
        <f>IF(OR($E32="",$E32="نامعتبر"),"",LEFT($E32,4)&amp;MID($E32,6,2)&amp;RIGHT($E32,2)&amp;"|"&amp;RIGHT("00000"&amp;27,5))</f>
        <v/>
      </c>
      <c r="M32" t="str">
        <f>IF(Sync!$M32&lt;&gt;"پاس چک","",IF(Sync!$P32="","",Sync!$P32))</f>
        <v/>
      </c>
      <c r="N32" t="str">
        <f>IF($M32="","",IF(ISNUMBER(Sync!$L32),IF(AND(Sync!$L32&gt;=10000101,Sync!$L32&lt;=99991231),RIGHT("0000"&amp;INT(Sync!$L32/10000),4)&amp;"/"&amp;RIGHT("00"&amp;INT(MOD(Sync!$L32,10000)/100),2)&amp;"/"&amp;RIGHT("00"&amp;MOD(Sync!$L32,100),2),""),IFERROR(RIGHT("0000"&amp;VALUE(TRIM(LEFT(Sync!$L32,FIND("/",Sync!$L32)-1))),4)&amp;"/"&amp;RIGHT("00"&amp;VALUE(TRIM(LEFT(MID(Sync!$L32,FIND("/",Sync!$L32)+1,20),FIND("/",MID(Sync!$L32,FIND("/",Sync!$L32)+1,20))-1))),2)&amp;"/"&amp;RIGHT("00"&amp;VALUE(TRIM(MID(MID(Sync!$L32,FIND("/",Sync!$L32)+1,20),FIND("/",MID(Sync!$L32,FIND("/",Sync!$L32)+1,20))+1,20))),2),"")))</f>
        <v/>
      </c>
    </row>
    <row r="33" spans="1:14" x14ac:dyDescent="0.2">
      <c r="A33" t="str">
        <f>IF(Issues!$B36="","",Issues!$B36)</f>
        <v/>
      </c>
      <c r="B33" t="str">
        <f>IF($A33="","",IF(ISNUMBER(Issues!$C36),IF(AND(Issues!$C36&gt;=10000101,Issues!$C36&lt;=99991231),INT(Issues!$C36/10000),""),IFERROR(VALUE(TRIM(LEFT(Issues!$C36,FIND("/",Issues!$C36)-1))),"")))</f>
        <v/>
      </c>
      <c r="C33" t="str">
        <f>IF(OR($A33="",$B33=""),"",IF(ISNUMBER(Issues!$C36),INT(MOD(Issues!$C36,10000)/100),IFERROR(VALUE(TRIM(LEFT(MID(Issues!$C36,FIND("/",Issues!$C36)+1,20),FIND("/",MID(Issues!$C36,FIND("/",Issues!$C36)+1,20))-1))),"")))</f>
        <v/>
      </c>
      <c r="D33" t="str">
        <f>IF(OR($A33="",$B33=""),"",IF(ISNUMBER(Issues!$C36),MOD(Issues!$C36,100),IFERROR(VALUE(TRIM(MID(MID(Issues!$C36,FIND("/",Issues!$C36)+1,20),FIND("/",MID(Issues!$C36,FIND("/",Issues!$C36)+1,20))+1,20))),"")))</f>
        <v/>
      </c>
      <c r="E33" t="str">
        <f t="shared" si="0"/>
        <v/>
      </c>
      <c r="F33" t="str">
        <f>IF($A33="","",IF(Issues!$D36="",0,Issues!$D36))</f>
        <v/>
      </c>
      <c r="G33" t="str">
        <f>IF($A33="","",Issues!$E36)</f>
        <v/>
      </c>
      <c r="H33" t="str">
        <f t="shared" si="1"/>
        <v/>
      </c>
      <c r="I33" t="str">
        <f t="shared" si="2"/>
        <v/>
      </c>
      <c r="J33" t="str">
        <f>IF($A33="","",Issues!$G36)</f>
        <v/>
      </c>
      <c r="K33" t="str">
        <f>IF(OR($E33="",$E33="نامعتبر"),"",LEFT($E33,4)&amp;MID($E33,6,2)&amp;RIGHT($E33,2)&amp;"|"&amp;RIGHT("00000"&amp;28,5))</f>
        <v/>
      </c>
      <c r="M33" t="str">
        <f>IF(Sync!$M33&lt;&gt;"پاس چک","",IF(Sync!$P33="","",Sync!$P33))</f>
        <v/>
      </c>
      <c r="N33" t="str">
        <f>IF($M33="","",IF(ISNUMBER(Sync!$L33),IF(AND(Sync!$L33&gt;=10000101,Sync!$L33&lt;=99991231),RIGHT("0000"&amp;INT(Sync!$L33/10000),4)&amp;"/"&amp;RIGHT("00"&amp;INT(MOD(Sync!$L33,10000)/100),2)&amp;"/"&amp;RIGHT("00"&amp;MOD(Sync!$L33,100),2),""),IFERROR(RIGHT("0000"&amp;VALUE(TRIM(LEFT(Sync!$L33,FIND("/",Sync!$L33)-1))),4)&amp;"/"&amp;RIGHT("00"&amp;VALUE(TRIM(LEFT(MID(Sync!$L33,FIND("/",Sync!$L33)+1,20),FIND("/",MID(Sync!$L33,FIND("/",Sync!$L33)+1,20))-1))),2)&amp;"/"&amp;RIGHT("00"&amp;VALUE(TRIM(MID(MID(Sync!$L33,FIND("/",Sync!$L33)+1,20),FIND("/",MID(Sync!$L33,FIND("/",Sync!$L33)+1,20))+1,20))),2),"")))</f>
        <v/>
      </c>
    </row>
    <row r="34" spans="1:14" x14ac:dyDescent="0.2">
      <c r="A34" t="str">
        <f>IF(Issues!$B37="","",Issues!$B37)</f>
        <v/>
      </c>
      <c r="B34" t="str">
        <f>IF($A34="","",IF(ISNUMBER(Issues!$C37),IF(AND(Issues!$C37&gt;=10000101,Issues!$C37&lt;=99991231),INT(Issues!$C37/10000),""),IFERROR(VALUE(TRIM(LEFT(Issues!$C37,FIND("/",Issues!$C37)-1))),"")))</f>
        <v/>
      </c>
      <c r="C34" t="str">
        <f>IF(OR($A34="",$B34=""),"",IF(ISNUMBER(Issues!$C37),INT(MOD(Issues!$C37,10000)/100),IFERROR(VALUE(TRIM(LEFT(MID(Issues!$C37,FIND("/",Issues!$C37)+1,20),FIND("/",MID(Issues!$C37,FIND("/",Issues!$C37)+1,20))-1))),"")))</f>
        <v/>
      </c>
      <c r="D34" t="str">
        <f>IF(OR($A34="",$B34=""),"",IF(ISNUMBER(Issues!$C37),MOD(Issues!$C37,100),IFERROR(VALUE(TRIM(MID(MID(Issues!$C37,FIND("/",Issues!$C37)+1,20),FIND("/",MID(Issues!$C37,FIND("/",Issues!$C37)+1,20))+1,20))),"")))</f>
        <v/>
      </c>
      <c r="E34" t="str">
        <f t="shared" si="0"/>
        <v/>
      </c>
      <c r="F34" t="str">
        <f>IF($A34="","",IF(Issues!$D37="",0,Issues!$D37))</f>
        <v/>
      </c>
      <c r="G34" t="str">
        <f>IF($A34="","",Issues!$E37)</f>
        <v/>
      </c>
      <c r="H34" t="str">
        <f t="shared" si="1"/>
        <v/>
      </c>
      <c r="I34" t="str">
        <f t="shared" si="2"/>
        <v/>
      </c>
      <c r="J34" t="str">
        <f>IF($A34="","",Issues!$G37)</f>
        <v/>
      </c>
      <c r="K34" t="str">
        <f>IF(OR($E34="",$E34="نامعتبر"),"",LEFT($E34,4)&amp;MID($E34,6,2)&amp;RIGHT($E34,2)&amp;"|"&amp;RIGHT("00000"&amp;29,5))</f>
        <v/>
      </c>
      <c r="M34" t="str">
        <f>IF(Sync!$M34&lt;&gt;"پاس چک","",IF(Sync!$P34="","",Sync!$P34))</f>
        <v/>
      </c>
      <c r="N34" t="str">
        <f>IF($M34="","",IF(ISNUMBER(Sync!$L34),IF(AND(Sync!$L34&gt;=10000101,Sync!$L34&lt;=99991231),RIGHT("0000"&amp;INT(Sync!$L34/10000),4)&amp;"/"&amp;RIGHT("00"&amp;INT(MOD(Sync!$L34,10000)/100),2)&amp;"/"&amp;RIGHT("00"&amp;MOD(Sync!$L34,100),2),""),IFERROR(RIGHT("0000"&amp;VALUE(TRIM(LEFT(Sync!$L34,FIND("/",Sync!$L34)-1))),4)&amp;"/"&amp;RIGHT("00"&amp;VALUE(TRIM(LEFT(MID(Sync!$L34,FIND("/",Sync!$L34)+1,20),FIND("/",MID(Sync!$L34,FIND("/",Sync!$L34)+1,20))-1))),2)&amp;"/"&amp;RIGHT("00"&amp;VALUE(TRIM(MID(MID(Sync!$L34,FIND("/",Sync!$L34)+1,20),FIND("/",MID(Sync!$L34,FIND("/",Sync!$L34)+1,20))+1,20))),2),"")))</f>
        <v/>
      </c>
    </row>
    <row r="35" spans="1:14" x14ac:dyDescent="0.2">
      <c r="A35" t="str">
        <f>IF(Issues!$B38="","",Issues!$B38)</f>
        <v/>
      </c>
      <c r="B35" t="str">
        <f>IF($A35="","",IF(ISNUMBER(Issues!$C38),IF(AND(Issues!$C38&gt;=10000101,Issues!$C38&lt;=99991231),INT(Issues!$C38/10000),""),IFERROR(VALUE(TRIM(LEFT(Issues!$C38,FIND("/",Issues!$C38)-1))),"")))</f>
        <v/>
      </c>
      <c r="C35" t="str">
        <f>IF(OR($A35="",$B35=""),"",IF(ISNUMBER(Issues!$C38),INT(MOD(Issues!$C38,10000)/100),IFERROR(VALUE(TRIM(LEFT(MID(Issues!$C38,FIND("/",Issues!$C38)+1,20),FIND("/",MID(Issues!$C38,FIND("/",Issues!$C38)+1,20))-1))),"")))</f>
        <v/>
      </c>
      <c r="D35" t="str">
        <f>IF(OR($A35="",$B35=""),"",IF(ISNUMBER(Issues!$C38),MOD(Issues!$C38,100),IFERROR(VALUE(TRIM(MID(MID(Issues!$C38,FIND("/",Issues!$C38)+1,20),FIND("/",MID(Issues!$C38,FIND("/",Issues!$C38)+1,20))+1,20))),"")))</f>
        <v/>
      </c>
      <c r="E35" t="str">
        <f t="shared" si="0"/>
        <v/>
      </c>
      <c r="F35" t="str">
        <f>IF($A35="","",IF(Issues!$D38="",0,Issues!$D38))</f>
        <v/>
      </c>
      <c r="G35" t="str">
        <f>IF($A35="","",Issues!$E38)</f>
        <v/>
      </c>
      <c r="H35" t="str">
        <f t="shared" si="1"/>
        <v/>
      </c>
      <c r="I35" t="str">
        <f t="shared" si="2"/>
        <v/>
      </c>
      <c r="J35" t="str">
        <f>IF($A35="","",Issues!$G38)</f>
        <v/>
      </c>
      <c r="K35" t="str">
        <f>IF(OR($E35="",$E35="نامعتبر"),"",LEFT($E35,4)&amp;MID($E35,6,2)&amp;RIGHT($E35,2)&amp;"|"&amp;RIGHT("00000"&amp;30,5))</f>
        <v/>
      </c>
      <c r="M35" t="str">
        <f>IF(Sync!$M35&lt;&gt;"پاس چک","",IF(Sync!$P35="","",Sync!$P35))</f>
        <v/>
      </c>
      <c r="N35" t="str">
        <f>IF($M35="","",IF(ISNUMBER(Sync!$L35),IF(AND(Sync!$L35&gt;=10000101,Sync!$L35&lt;=99991231),RIGHT("0000"&amp;INT(Sync!$L35/10000),4)&amp;"/"&amp;RIGHT("00"&amp;INT(MOD(Sync!$L35,10000)/100),2)&amp;"/"&amp;RIGHT("00"&amp;MOD(Sync!$L35,100),2),""),IFERROR(RIGHT("0000"&amp;VALUE(TRIM(LEFT(Sync!$L35,FIND("/",Sync!$L35)-1))),4)&amp;"/"&amp;RIGHT("00"&amp;VALUE(TRIM(LEFT(MID(Sync!$L35,FIND("/",Sync!$L35)+1,20),FIND("/",MID(Sync!$L35,FIND("/",Sync!$L35)+1,20))-1))),2)&amp;"/"&amp;RIGHT("00"&amp;VALUE(TRIM(MID(MID(Sync!$L35,FIND("/",Sync!$L35)+1,20),FIND("/",MID(Sync!$L35,FIND("/",Sync!$L35)+1,20))+1,20))),2),"")))</f>
        <v/>
      </c>
    </row>
    <row r="36" spans="1:14" x14ac:dyDescent="0.2">
      <c r="A36" t="str">
        <f>IF(Issues!$B39="","",Issues!$B39)</f>
        <v/>
      </c>
      <c r="B36" t="str">
        <f>IF($A36="","",IF(ISNUMBER(Issues!$C39),IF(AND(Issues!$C39&gt;=10000101,Issues!$C39&lt;=99991231),INT(Issues!$C39/10000),""),IFERROR(VALUE(TRIM(LEFT(Issues!$C39,FIND("/",Issues!$C39)-1))),"")))</f>
        <v/>
      </c>
      <c r="C36" t="str">
        <f>IF(OR($A36="",$B36=""),"",IF(ISNUMBER(Issues!$C39),INT(MOD(Issues!$C39,10000)/100),IFERROR(VALUE(TRIM(LEFT(MID(Issues!$C39,FIND("/",Issues!$C39)+1,20),FIND("/",MID(Issues!$C39,FIND("/",Issues!$C39)+1,20))-1))),"")))</f>
        <v/>
      </c>
      <c r="D36" t="str">
        <f>IF(OR($A36="",$B36=""),"",IF(ISNUMBER(Issues!$C39),MOD(Issues!$C39,100),IFERROR(VALUE(TRIM(MID(MID(Issues!$C39,FIND("/",Issues!$C39)+1,20),FIND("/",MID(Issues!$C39,FIND("/",Issues!$C39)+1,20))+1,20))),"")))</f>
        <v/>
      </c>
      <c r="E36" t="str">
        <f t="shared" si="0"/>
        <v/>
      </c>
      <c r="F36" t="str">
        <f>IF($A36="","",IF(Issues!$D39="",0,Issues!$D39))</f>
        <v/>
      </c>
      <c r="G36" t="str">
        <f>IF($A36="","",Issues!$E39)</f>
        <v/>
      </c>
      <c r="H36" t="str">
        <f t="shared" si="1"/>
        <v/>
      </c>
      <c r="I36" t="str">
        <f t="shared" si="2"/>
        <v/>
      </c>
      <c r="J36" t="str">
        <f>IF($A36="","",Issues!$G39)</f>
        <v/>
      </c>
      <c r="K36" t="str">
        <f>IF(OR($E36="",$E36="نامعتبر"),"",LEFT($E36,4)&amp;MID($E36,6,2)&amp;RIGHT($E36,2)&amp;"|"&amp;RIGHT("00000"&amp;31,5))</f>
        <v/>
      </c>
      <c r="M36" t="str">
        <f>IF(Sync!$M36&lt;&gt;"پاس چک","",IF(Sync!$P36="","",Sync!$P36))</f>
        <v/>
      </c>
      <c r="N36" t="str">
        <f>IF($M36="","",IF(ISNUMBER(Sync!$L36),IF(AND(Sync!$L36&gt;=10000101,Sync!$L36&lt;=99991231),RIGHT("0000"&amp;INT(Sync!$L36/10000),4)&amp;"/"&amp;RIGHT("00"&amp;INT(MOD(Sync!$L36,10000)/100),2)&amp;"/"&amp;RIGHT("00"&amp;MOD(Sync!$L36,100),2),""),IFERROR(RIGHT("0000"&amp;VALUE(TRIM(LEFT(Sync!$L36,FIND("/",Sync!$L36)-1))),4)&amp;"/"&amp;RIGHT("00"&amp;VALUE(TRIM(LEFT(MID(Sync!$L36,FIND("/",Sync!$L36)+1,20),FIND("/",MID(Sync!$L36,FIND("/",Sync!$L36)+1,20))-1))),2)&amp;"/"&amp;RIGHT("00"&amp;VALUE(TRIM(MID(MID(Sync!$L36,FIND("/",Sync!$L36)+1,20),FIND("/",MID(Sync!$L36,FIND("/",Sync!$L36)+1,20))+1,20))),2),"")))</f>
        <v/>
      </c>
    </row>
    <row r="37" spans="1:14" x14ac:dyDescent="0.2">
      <c r="A37" t="str">
        <f>IF(Issues!$B40="","",Issues!$B40)</f>
        <v/>
      </c>
      <c r="B37" t="str">
        <f>IF($A37="","",IF(ISNUMBER(Issues!$C40),IF(AND(Issues!$C40&gt;=10000101,Issues!$C40&lt;=99991231),INT(Issues!$C40/10000),""),IFERROR(VALUE(TRIM(LEFT(Issues!$C40,FIND("/",Issues!$C40)-1))),"")))</f>
        <v/>
      </c>
      <c r="C37" t="str">
        <f>IF(OR($A37="",$B37=""),"",IF(ISNUMBER(Issues!$C40),INT(MOD(Issues!$C40,10000)/100),IFERROR(VALUE(TRIM(LEFT(MID(Issues!$C40,FIND("/",Issues!$C40)+1,20),FIND("/",MID(Issues!$C40,FIND("/",Issues!$C40)+1,20))-1))),"")))</f>
        <v/>
      </c>
      <c r="D37" t="str">
        <f>IF(OR($A37="",$B37=""),"",IF(ISNUMBER(Issues!$C40),MOD(Issues!$C40,100),IFERROR(VALUE(TRIM(MID(MID(Issues!$C40,FIND("/",Issues!$C40)+1,20),FIND("/",MID(Issues!$C40,FIND("/",Issues!$C40)+1,20))+1,20))),"")))</f>
        <v/>
      </c>
      <c r="E37" t="str">
        <f t="shared" si="0"/>
        <v/>
      </c>
      <c r="F37" t="str">
        <f>IF($A37="","",IF(Issues!$D40="",0,Issues!$D40))</f>
        <v/>
      </c>
      <c r="G37" t="str">
        <f>IF($A37="","",Issues!$E40)</f>
        <v/>
      </c>
      <c r="H37" t="str">
        <f t="shared" si="1"/>
        <v/>
      </c>
      <c r="I37" t="str">
        <f t="shared" si="2"/>
        <v/>
      </c>
      <c r="J37" t="str">
        <f>IF($A37="","",Issues!$G40)</f>
        <v/>
      </c>
      <c r="K37" t="str">
        <f>IF(OR($E37="",$E37="نامعتبر"),"",LEFT($E37,4)&amp;MID($E37,6,2)&amp;RIGHT($E37,2)&amp;"|"&amp;RIGHT("00000"&amp;32,5))</f>
        <v/>
      </c>
      <c r="M37" t="str">
        <f>IF(Sync!$M37&lt;&gt;"پاس چک","",IF(Sync!$P37="","",Sync!$P37))</f>
        <v/>
      </c>
      <c r="N37" t="str">
        <f>IF($M37="","",IF(ISNUMBER(Sync!$L37),IF(AND(Sync!$L37&gt;=10000101,Sync!$L37&lt;=99991231),RIGHT("0000"&amp;INT(Sync!$L37/10000),4)&amp;"/"&amp;RIGHT("00"&amp;INT(MOD(Sync!$L37,10000)/100),2)&amp;"/"&amp;RIGHT("00"&amp;MOD(Sync!$L37,100),2),""),IFERROR(RIGHT("0000"&amp;VALUE(TRIM(LEFT(Sync!$L37,FIND("/",Sync!$L37)-1))),4)&amp;"/"&amp;RIGHT("00"&amp;VALUE(TRIM(LEFT(MID(Sync!$L37,FIND("/",Sync!$L37)+1,20),FIND("/",MID(Sync!$L37,FIND("/",Sync!$L37)+1,20))-1))),2)&amp;"/"&amp;RIGHT("00"&amp;VALUE(TRIM(MID(MID(Sync!$L37,FIND("/",Sync!$L37)+1,20),FIND("/",MID(Sync!$L37,FIND("/",Sync!$L37)+1,20))+1,20))),2),"")))</f>
        <v/>
      </c>
    </row>
    <row r="38" spans="1:14" x14ac:dyDescent="0.2">
      <c r="A38" t="str">
        <f>IF(Issues!$B41="","",Issues!$B41)</f>
        <v/>
      </c>
      <c r="B38" t="str">
        <f>IF($A38="","",IF(ISNUMBER(Issues!$C41),IF(AND(Issues!$C41&gt;=10000101,Issues!$C41&lt;=99991231),INT(Issues!$C41/10000),""),IFERROR(VALUE(TRIM(LEFT(Issues!$C41,FIND("/",Issues!$C41)-1))),"")))</f>
        <v/>
      </c>
      <c r="C38" t="str">
        <f>IF(OR($A38="",$B38=""),"",IF(ISNUMBER(Issues!$C41),INT(MOD(Issues!$C41,10000)/100),IFERROR(VALUE(TRIM(LEFT(MID(Issues!$C41,FIND("/",Issues!$C41)+1,20),FIND("/",MID(Issues!$C41,FIND("/",Issues!$C41)+1,20))-1))),"")))</f>
        <v/>
      </c>
      <c r="D38" t="str">
        <f>IF(OR($A38="",$B38=""),"",IF(ISNUMBER(Issues!$C41),MOD(Issues!$C41,100),IFERROR(VALUE(TRIM(MID(MID(Issues!$C41,FIND("/",Issues!$C41)+1,20),FIND("/",MID(Issues!$C41,FIND("/",Issues!$C41)+1,20))+1,20))),"")))</f>
        <v/>
      </c>
      <c r="E38" t="str">
        <f t="shared" si="0"/>
        <v/>
      </c>
      <c r="F38" t="str">
        <f>IF($A38="","",IF(Issues!$D41="",0,Issues!$D41))</f>
        <v/>
      </c>
      <c r="G38" t="str">
        <f>IF($A38="","",Issues!$E41)</f>
        <v/>
      </c>
      <c r="H38" t="str">
        <f t="shared" si="1"/>
        <v/>
      </c>
      <c r="I38" t="str">
        <f t="shared" si="2"/>
        <v/>
      </c>
      <c r="J38" t="str">
        <f>IF($A38="","",Issues!$G41)</f>
        <v/>
      </c>
      <c r="K38" t="str">
        <f>IF(OR($E38="",$E38="نامعتبر"),"",LEFT($E38,4)&amp;MID($E38,6,2)&amp;RIGHT($E38,2)&amp;"|"&amp;RIGHT("00000"&amp;33,5))</f>
        <v/>
      </c>
      <c r="M38" t="str">
        <f>IF(Sync!$M38&lt;&gt;"پاس چک","",IF(Sync!$P38="","",Sync!$P38))</f>
        <v/>
      </c>
      <c r="N38" t="str">
        <f>IF($M38="","",IF(ISNUMBER(Sync!$L38),IF(AND(Sync!$L38&gt;=10000101,Sync!$L38&lt;=99991231),RIGHT("0000"&amp;INT(Sync!$L38/10000),4)&amp;"/"&amp;RIGHT("00"&amp;INT(MOD(Sync!$L38,10000)/100),2)&amp;"/"&amp;RIGHT("00"&amp;MOD(Sync!$L38,100),2),""),IFERROR(RIGHT("0000"&amp;VALUE(TRIM(LEFT(Sync!$L38,FIND("/",Sync!$L38)-1))),4)&amp;"/"&amp;RIGHT("00"&amp;VALUE(TRIM(LEFT(MID(Sync!$L38,FIND("/",Sync!$L38)+1,20),FIND("/",MID(Sync!$L38,FIND("/",Sync!$L38)+1,20))-1))),2)&amp;"/"&amp;RIGHT("00"&amp;VALUE(TRIM(MID(MID(Sync!$L38,FIND("/",Sync!$L38)+1,20),FIND("/",MID(Sync!$L38,FIND("/",Sync!$L38)+1,20))+1,20))),2),"")))</f>
        <v/>
      </c>
    </row>
    <row r="39" spans="1:14" x14ac:dyDescent="0.2">
      <c r="A39" t="str">
        <f>IF(Issues!$B42="","",Issues!$B42)</f>
        <v/>
      </c>
      <c r="B39" t="str">
        <f>IF($A39="","",IF(ISNUMBER(Issues!$C42),IF(AND(Issues!$C42&gt;=10000101,Issues!$C42&lt;=99991231),INT(Issues!$C42/10000),""),IFERROR(VALUE(TRIM(LEFT(Issues!$C42,FIND("/",Issues!$C42)-1))),"")))</f>
        <v/>
      </c>
      <c r="C39" t="str">
        <f>IF(OR($A39="",$B39=""),"",IF(ISNUMBER(Issues!$C42),INT(MOD(Issues!$C42,10000)/100),IFERROR(VALUE(TRIM(LEFT(MID(Issues!$C42,FIND("/",Issues!$C42)+1,20),FIND("/",MID(Issues!$C42,FIND("/",Issues!$C42)+1,20))-1))),"")))</f>
        <v/>
      </c>
      <c r="D39" t="str">
        <f>IF(OR($A39="",$B39=""),"",IF(ISNUMBER(Issues!$C42),MOD(Issues!$C42,100),IFERROR(VALUE(TRIM(MID(MID(Issues!$C42,FIND("/",Issues!$C42)+1,20),FIND("/",MID(Issues!$C42,FIND("/",Issues!$C42)+1,20))+1,20))),"")))</f>
        <v/>
      </c>
      <c r="E39" t="str">
        <f t="shared" si="0"/>
        <v/>
      </c>
      <c r="F39" t="str">
        <f>IF($A39="","",IF(Issues!$D42="",0,Issues!$D42))</f>
        <v/>
      </c>
      <c r="G39" t="str">
        <f>IF($A39="","",Issues!$E42)</f>
        <v/>
      </c>
      <c r="H39" t="str">
        <f t="shared" si="1"/>
        <v/>
      </c>
      <c r="I39" t="str">
        <f t="shared" si="2"/>
        <v/>
      </c>
      <c r="J39" t="str">
        <f>IF($A39="","",Issues!$G42)</f>
        <v/>
      </c>
      <c r="K39" t="str">
        <f>IF(OR($E39="",$E39="نامعتبر"),"",LEFT($E39,4)&amp;MID($E39,6,2)&amp;RIGHT($E39,2)&amp;"|"&amp;RIGHT("00000"&amp;34,5))</f>
        <v/>
      </c>
      <c r="M39" t="str">
        <f>IF(Sync!$M39&lt;&gt;"پاس چک","",IF(Sync!$P39="","",Sync!$P39))</f>
        <v/>
      </c>
      <c r="N39" t="str">
        <f>IF($M39="","",IF(ISNUMBER(Sync!$L39),IF(AND(Sync!$L39&gt;=10000101,Sync!$L39&lt;=99991231),RIGHT("0000"&amp;INT(Sync!$L39/10000),4)&amp;"/"&amp;RIGHT("00"&amp;INT(MOD(Sync!$L39,10000)/100),2)&amp;"/"&amp;RIGHT("00"&amp;MOD(Sync!$L39,100),2),""),IFERROR(RIGHT("0000"&amp;VALUE(TRIM(LEFT(Sync!$L39,FIND("/",Sync!$L39)-1))),4)&amp;"/"&amp;RIGHT("00"&amp;VALUE(TRIM(LEFT(MID(Sync!$L39,FIND("/",Sync!$L39)+1,20),FIND("/",MID(Sync!$L39,FIND("/",Sync!$L39)+1,20))-1))),2)&amp;"/"&amp;RIGHT("00"&amp;VALUE(TRIM(MID(MID(Sync!$L39,FIND("/",Sync!$L39)+1,20),FIND("/",MID(Sync!$L39,FIND("/",Sync!$L39)+1,20))+1,20))),2),"")))</f>
        <v/>
      </c>
    </row>
    <row r="40" spans="1:14" x14ac:dyDescent="0.2">
      <c r="A40" t="str">
        <f>IF(Issues!$B43="","",Issues!$B43)</f>
        <v/>
      </c>
      <c r="B40" t="str">
        <f>IF($A40="","",IF(ISNUMBER(Issues!$C43),IF(AND(Issues!$C43&gt;=10000101,Issues!$C43&lt;=99991231),INT(Issues!$C43/10000),""),IFERROR(VALUE(TRIM(LEFT(Issues!$C43,FIND("/",Issues!$C43)-1))),"")))</f>
        <v/>
      </c>
      <c r="C40" t="str">
        <f>IF(OR($A40="",$B40=""),"",IF(ISNUMBER(Issues!$C43),INT(MOD(Issues!$C43,10000)/100),IFERROR(VALUE(TRIM(LEFT(MID(Issues!$C43,FIND("/",Issues!$C43)+1,20),FIND("/",MID(Issues!$C43,FIND("/",Issues!$C43)+1,20))-1))),"")))</f>
        <v/>
      </c>
      <c r="D40" t="str">
        <f>IF(OR($A40="",$B40=""),"",IF(ISNUMBER(Issues!$C43),MOD(Issues!$C43,100),IFERROR(VALUE(TRIM(MID(MID(Issues!$C43,FIND("/",Issues!$C43)+1,20),FIND("/",MID(Issues!$C43,FIND("/",Issues!$C43)+1,20))+1,20))),"")))</f>
        <v/>
      </c>
      <c r="E40" t="str">
        <f t="shared" si="0"/>
        <v/>
      </c>
      <c r="F40" t="str">
        <f>IF($A40="","",IF(Issues!$D43="",0,Issues!$D43))</f>
        <v/>
      </c>
      <c r="G40" t="str">
        <f>IF($A40="","",Issues!$E43)</f>
        <v/>
      </c>
      <c r="H40" t="str">
        <f t="shared" si="1"/>
        <v/>
      </c>
      <c r="I40" t="str">
        <f t="shared" si="2"/>
        <v/>
      </c>
      <c r="J40" t="str">
        <f>IF($A40="","",Issues!$G43)</f>
        <v/>
      </c>
      <c r="K40" t="str">
        <f>IF(OR($E40="",$E40="نامعتبر"),"",LEFT($E40,4)&amp;MID($E40,6,2)&amp;RIGHT($E40,2)&amp;"|"&amp;RIGHT("00000"&amp;35,5))</f>
        <v/>
      </c>
      <c r="M40" t="str">
        <f>IF(Sync!$M40&lt;&gt;"پاس چک","",IF(Sync!$P40="","",Sync!$P40))</f>
        <v/>
      </c>
      <c r="N40" t="str">
        <f>IF($M40="","",IF(ISNUMBER(Sync!$L40),IF(AND(Sync!$L40&gt;=10000101,Sync!$L40&lt;=99991231),RIGHT("0000"&amp;INT(Sync!$L40/10000),4)&amp;"/"&amp;RIGHT("00"&amp;INT(MOD(Sync!$L40,10000)/100),2)&amp;"/"&amp;RIGHT("00"&amp;MOD(Sync!$L40,100),2),""),IFERROR(RIGHT("0000"&amp;VALUE(TRIM(LEFT(Sync!$L40,FIND("/",Sync!$L40)-1))),4)&amp;"/"&amp;RIGHT("00"&amp;VALUE(TRIM(LEFT(MID(Sync!$L40,FIND("/",Sync!$L40)+1,20),FIND("/",MID(Sync!$L40,FIND("/",Sync!$L40)+1,20))-1))),2)&amp;"/"&amp;RIGHT("00"&amp;VALUE(TRIM(MID(MID(Sync!$L40,FIND("/",Sync!$L40)+1,20),FIND("/",MID(Sync!$L40,FIND("/",Sync!$L40)+1,20))+1,20))),2),"")))</f>
        <v/>
      </c>
    </row>
    <row r="41" spans="1:14" x14ac:dyDescent="0.2">
      <c r="A41" t="str">
        <f>IF(Issues!$B44="","",Issues!$B44)</f>
        <v/>
      </c>
      <c r="B41" t="str">
        <f>IF($A41="","",IF(ISNUMBER(Issues!$C44),IF(AND(Issues!$C44&gt;=10000101,Issues!$C44&lt;=99991231),INT(Issues!$C44/10000),""),IFERROR(VALUE(TRIM(LEFT(Issues!$C44,FIND("/",Issues!$C44)-1))),"")))</f>
        <v/>
      </c>
      <c r="C41" t="str">
        <f>IF(OR($A41="",$B41=""),"",IF(ISNUMBER(Issues!$C44),INT(MOD(Issues!$C44,10000)/100),IFERROR(VALUE(TRIM(LEFT(MID(Issues!$C44,FIND("/",Issues!$C44)+1,20),FIND("/",MID(Issues!$C44,FIND("/",Issues!$C44)+1,20))-1))),"")))</f>
        <v/>
      </c>
      <c r="D41" t="str">
        <f>IF(OR($A41="",$B41=""),"",IF(ISNUMBER(Issues!$C44),MOD(Issues!$C44,100),IFERROR(VALUE(TRIM(MID(MID(Issues!$C44,FIND("/",Issues!$C44)+1,20),FIND("/",MID(Issues!$C44,FIND("/",Issues!$C44)+1,20))+1,20))),"")))</f>
        <v/>
      </c>
      <c r="E41" t="str">
        <f t="shared" si="0"/>
        <v/>
      </c>
      <c r="F41" t="str">
        <f>IF($A41="","",IF(Issues!$D44="",0,Issues!$D44))</f>
        <v/>
      </c>
      <c r="G41" t="str">
        <f>IF($A41="","",Issues!$E44)</f>
        <v/>
      </c>
      <c r="H41" t="str">
        <f t="shared" si="1"/>
        <v/>
      </c>
      <c r="I41" t="str">
        <f t="shared" si="2"/>
        <v/>
      </c>
      <c r="J41" t="str">
        <f>IF($A41="","",Issues!$G44)</f>
        <v/>
      </c>
      <c r="K41" t="str">
        <f>IF(OR($E41="",$E41="نامعتبر"),"",LEFT($E41,4)&amp;MID($E41,6,2)&amp;RIGHT($E41,2)&amp;"|"&amp;RIGHT("00000"&amp;36,5))</f>
        <v/>
      </c>
      <c r="M41" t="str">
        <f>IF(Sync!$M41&lt;&gt;"پاس چک","",IF(Sync!$P41="","",Sync!$P41))</f>
        <v/>
      </c>
      <c r="N41" t="str">
        <f>IF($M41="","",IF(ISNUMBER(Sync!$L41),IF(AND(Sync!$L41&gt;=10000101,Sync!$L41&lt;=99991231),RIGHT("0000"&amp;INT(Sync!$L41/10000),4)&amp;"/"&amp;RIGHT("00"&amp;INT(MOD(Sync!$L41,10000)/100),2)&amp;"/"&amp;RIGHT("00"&amp;MOD(Sync!$L41,100),2),""),IFERROR(RIGHT("0000"&amp;VALUE(TRIM(LEFT(Sync!$L41,FIND("/",Sync!$L41)-1))),4)&amp;"/"&amp;RIGHT("00"&amp;VALUE(TRIM(LEFT(MID(Sync!$L41,FIND("/",Sync!$L41)+1,20),FIND("/",MID(Sync!$L41,FIND("/",Sync!$L41)+1,20))-1))),2)&amp;"/"&amp;RIGHT("00"&amp;VALUE(TRIM(MID(MID(Sync!$L41,FIND("/",Sync!$L41)+1,20),FIND("/",MID(Sync!$L41,FIND("/",Sync!$L41)+1,20))+1,20))),2),"")))</f>
        <v/>
      </c>
    </row>
    <row r="42" spans="1:14" x14ac:dyDescent="0.2">
      <c r="A42" t="str">
        <f>IF(Issues!$B45="","",Issues!$B45)</f>
        <v/>
      </c>
      <c r="B42" t="str">
        <f>IF($A42="","",IF(ISNUMBER(Issues!$C45),IF(AND(Issues!$C45&gt;=10000101,Issues!$C45&lt;=99991231),INT(Issues!$C45/10000),""),IFERROR(VALUE(TRIM(LEFT(Issues!$C45,FIND("/",Issues!$C45)-1))),"")))</f>
        <v/>
      </c>
      <c r="C42" t="str">
        <f>IF(OR($A42="",$B42=""),"",IF(ISNUMBER(Issues!$C45),INT(MOD(Issues!$C45,10000)/100),IFERROR(VALUE(TRIM(LEFT(MID(Issues!$C45,FIND("/",Issues!$C45)+1,20),FIND("/",MID(Issues!$C45,FIND("/",Issues!$C45)+1,20))-1))),"")))</f>
        <v/>
      </c>
      <c r="D42" t="str">
        <f>IF(OR($A42="",$B42=""),"",IF(ISNUMBER(Issues!$C45),MOD(Issues!$C45,100),IFERROR(VALUE(TRIM(MID(MID(Issues!$C45,FIND("/",Issues!$C45)+1,20),FIND("/",MID(Issues!$C45,FIND("/",Issues!$C45)+1,20))+1,20))),"")))</f>
        <v/>
      </c>
      <c r="E42" t="str">
        <f t="shared" si="0"/>
        <v/>
      </c>
      <c r="F42" t="str">
        <f>IF($A42="","",IF(Issues!$D45="",0,Issues!$D45))</f>
        <v/>
      </c>
      <c r="G42" t="str">
        <f>IF($A42="","",Issues!$E45)</f>
        <v/>
      </c>
      <c r="H42" t="str">
        <f t="shared" si="1"/>
        <v/>
      </c>
      <c r="I42" t="str">
        <f t="shared" si="2"/>
        <v/>
      </c>
      <c r="J42" t="str">
        <f>IF($A42="","",Issues!$G45)</f>
        <v/>
      </c>
      <c r="K42" t="str">
        <f>IF(OR($E42="",$E42="نامعتبر"),"",LEFT($E42,4)&amp;MID($E42,6,2)&amp;RIGHT($E42,2)&amp;"|"&amp;RIGHT("00000"&amp;37,5))</f>
        <v/>
      </c>
      <c r="M42" t="str">
        <f>IF(Sync!$M42&lt;&gt;"پاس چک","",IF(Sync!$P42="","",Sync!$P42))</f>
        <v/>
      </c>
      <c r="N42" t="str">
        <f>IF($M42="","",IF(ISNUMBER(Sync!$L42),IF(AND(Sync!$L42&gt;=10000101,Sync!$L42&lt;=99991231),RIGHT("0000"&amp;INT(Sync!$L42/10000),4)&amp;"/"&amp;RIGHT("00"&amp;INT(MOD(Sync!$L42,10000)/100),2)&amp;"/"&amp;RIGHT("00"&amp;MOD(Sync!$L42,100),2),""),IFERROR(RIGHT("0000"&amp;VALUE(TRIM(LEFT(Sync!$L42,FIND("/",Sync!$L42)-1))),4)&amp;"/"&amp;RIGHT("00"&amp;VALUE(TRIM(LEFT(MID(Sync!$L42,FIND("/",Sync!$L42)+1,20),FIND("/",MID(Sync!$L42,FIND("/",Sync!$L42)+1,20))-1))),2)&amp;"/"&amp;RIGHT("00"&amp;VALUE(TRIM(MID(MID(Sync!$L42,FIND("/",Sync!$L42)+1,20),FIND("/",MID(Sync!$L42,FIND("/",Sync!$L42)+1,20))+1,20))),2),"")))</f>
        <v/>
      </c>
    </row>
    <row r="43" spans="1:14" x14ac:dyDescent="0.2">
      <c r="A43" t="str">
        <f>IF(Issues!$B46="","",Issues!$B46)</f>
        <v/>
      </c>
      <c r="B43" t="str">
        <f>IF($A43="","",IF(ISNUMBER(Issues!$C46),IF(AND(Issues!$C46&gt;=10000101,Issues!$C46&lt;=99991231),INT(Issues!$C46/10000),""),IFERROR(VALUE(TRIM(LEFT(Issues!$C46,FIND("/",Issues!$C46)-1))),"")))</f>
        <v/>
      </c>
      <c r="C43" t="str">
        <f>IF(OR($A43="",$B43=""),"",IF(ISNUMBER(Issues!$C46),INT(MOD(Issues!$C46,10000)/100),IFERROR(VALUE(TRIM(LEFT(MID(Issues!$C46,FIND("/",Issues!$C46)+1,20),FIND("/",MID(Issues!$C46,FIND("/",Issues!$C46)+1,20))-1))),"")))</f>
        <v/>
      </c>
      <c r="D43" t="str">
        <f>IF(OR($A43="",$B43=""),"",IF(ISNUMBER(Issues!$C46),MOD(Issues!$C46,100),IFERROR(VALUE(TRIM(MID(MID(Issues!$C46,FIND("/",Issues!$C46)+1,20),FIND("/",MID(Issues!$C46,FIND("/",Issues!$C46)+1,20))+1,20))),"")))</f>
        <v/>
      </c>
      <c r="E43" t="str">
        <f t="shared" si="0"/>
        <v/>
      </c>
      <c r="F43" t="str">
        <f>IF($A43="","",IF(Issues!$D46="",0,Issues!$D46))</f>
        <v/>
      </c>
      <c r="G43" t="str">
        <f>IF($A43="","",Issues!$E46)</f>
        <v/>
      </c>
      <c r="H43" t="str">
        <f t="shared" si="1"/>
        <v/>
      </c>
      <c r="I43" t="str">
        <f t="shared" si="2"/>
        <v/>
      </c>
      <c r="J43" t="str">
        <f>IF($A43="","",Issues!$G46)</f>
        <v/>
      </c>
      <c r="K43" t="str">
        <f>IF(OR($E43="",$E43="نامعتبر"),"",LEFT($E43,4)&amp;MID($E43,6,2)&amp;RIGHT($E43,2)&amp;"|"&amp;RIGHT("00000"&amp;38,5))</f>
        <v/>
      </c>
      <c r="M43" t="str">
        <f>IF(Sync!$M43&lt;&gt;"پاس چک","",IF(Sync!$P43="","",Sync!$P43))</f>
        <v/>
      </c>
      <c r="N43" t="str">
        <f>IF($M43="","",IF(ISNUMBER(Sync!$L43),IF(AND(Sync!$L43&gt;=10000101,Sync!$L43&lt;=99991231),RIGHT("0000"&amp;INT(Sync!$L43/10000),4)&amp;"/"&amp;RIGHT("00"&amp;INT(MOD(Sync!$L43,10000)/100),2)&amp;"/"&amp;RIGHT("00"&amp;MOD(Sync!$L43,100),2),""),IFERROR(RIGHT("0000"&amp;VALUE(TRIM(LEFT(Sync!$L43,FIND("/",Sync!$L43)-1))),4)&amp;"/"&amp;RIGHT("00"&amp;VALUE(TRIM(LEFT(MID(Sync!$L43,FIND("/",Sync!$L43)+1,20),FIND("/",MID(Sync!$L43,FIND("/",Sync!$L43)+1,20))-1))),2)&amp;"/"&amp;RIGHT("00"&amp;VALUE(TRIM(MID(MID(Sync!$L43,FIND("/",Sync!$L43)+1,20),FIND("/",MID(Sync!$L43,FIND("/",Sync!$L43)+1,20))+1,20))),2),"")))</f>
        <v/>
      </c>
    </row>
    <row r="44" spans="1:14" x14ac:dyDescent="0.2">
      <c r="A44" t="str">
        <f>IF(Issues!$B47="","",Issues!$B47)</f>
        <v/>
      </c>
      <c r="B44" t="str">
        <f>IF($A44="","",IF(ISNUMBER(Issues!$C47),IF(AND(Issues!$C47&gt;=10000101,Issues!$C47&lt;=99991231),INT(Issues!$C47/10000),""),IFERROR(VALUE(TRIM(LEFT(Issues!$C47,FIND("/",Issues!$C47)-1))),"")))</f>
        <v/>
      </c>
      <c r="C44" t="str">
        <f>IF(OR($A44="",$B44=""),"",IF(ISNUMBER(Issues!$C47),INT(MOD(Issues!$C47,10000)/100),IFERROR(VALUE(TRIM(LEFT(MID(Issues!$C47,FIND("/",Issues!$C47)+1,20),FIND("/",MID(Issues!$C47,FIND("/",Issues!$C47)+1,20))-1))),"")))</f>
        <v/>
      </c>
      <c r="D44" t="str">
        <f>IF(OR($A44="",$B44=""),"",IF(ISNUMBER(Issues!$C47),MOD(Issues!$C47,100),IFERROR(VALUE(TRIM(MID(MID(Issues!$C47,FIND("/",Issues!$C47)+1,20),FIND("/",MID(Issues!$C47,FIND("/",Issues!$C47)+1,20))+1,20))),"")))</f>
        <v/>
      </c>
      <c r="E44" t="str">
        <f t="shared" si="0"/>
        <v/>
      </c>
      <c r="F44" t="str">
        <f>IF($A44="","",IF(Issues!$D47="",0,Issues!$D47))</f>
        <v/>
      </c>
      <c r="G44" t="str">
        <f>IF($A44="","",Issues!$E47)</f>
        <v/>
      </c>
      <c r="H44" t="str">
        <f t="shared" si="1"/>
        <v/>
      </c>
      <c r="I44" t="str">
        <f t="shared" si="2"/>
        <v/>
      </c>
      <c r="J44" t="str">
        <f>IF($A44="","",Issues!$G47)</f>
        <v/>
      </c>
      <c r="K44" t="str">
        <f>IF(OR($E44="",$E44="نامعتبر"),"",LEFT($E44,4)&amp;MID($E44,6,2)&amp;RIGHT($E44,2)&amp;"|"&amp;RIGHT("00000"&amp;39,5))</f>
        <v/>
      </c>
      <c r="M44" t="str">
        <f>IF(Sync!$M44&lt;&gt;"پاس چک","",IF(Sync!$P44="","",Sync!$P44))</f>
        <v/>
      </c>
      <c r="N44" t="str">
        <f>IF($M44="","",IF(ISNUMBER(Sync!$L44),IF(AND(Sync!$L44&gt;=10000101,Sync!$L44&lt;=99991231),RIGHT("0000"&amp;INT(Sync!$L44/10000),4)&amp;"/"&amp;RIGHT("00"&amp;INT(MOD(Sync!$L44,10000)/100),2)&amp;"/"&amp;RIGHT("00"&amp;MOD(Sync!$L44,100),2),""),IFERROR(RIGHT("0000"&amp;VALUE(TRIM(LEFT(Sync!$L44,FIND("/",Sync!$L44)-1))),4)&amp;"/"&amp;RIGHT("00"&amp;VALUE(TRIM(LEFT(MID(Sync!$L44,FIND("/",Sync!$L44)+1,20),FIND("/",MID(Sync!$L44,FIND("/",Sync!$L44)+1,20))-1))),2)&amp;"/"&amp;RIGHT("00"&amp;VALUE(TRIM(MID(MID(Sync!$L44,FIND("/",Sync!$L44)+1,20),FIND("/",MID(Sync!$L44,FIND("/",Sync!$L44)+1,20))+1,20))),2),"")))</f>
        <v/>
      </c>
    </row>
    <row r="45" spans="1:14" x14ac:dyDescent="0.2">
      <c r="A45" t="str">
        <f>IF(Issues!$B48="","",Issues!$B48)</f>
        <v/>
      </c>
      <c r="B45" t="str">
        <f>IF($A45="","",IF(ISNUMBER(Issues!$C48),IF(AND(Issues!$C48&gt;=10000101,Issues!$C48&lt;=99991231),INT(Issues!$C48/10000),""),IFERROR(VALUE(TRIM(LEFT(Issues!$C48,FIND("/",Issues!$C48)-1))),"")))</f>
        <v/>
      </c>
      <c r="C45" t="str">
        <f>IF(OR($A45="",$B45=""),"",IF(ISNUMBER(Issues!$C48),INT(MOD(Issues!$C48,10000)/100),IFERROR(VALUE(TRIM(LEFT(MID(Issues!$C48,FIND("/",Issues!$C48)+1,20),FIND("/",MID(Issues!$C48,FIND("/",Issues!$C48)+1,20))-1))),"")))</f>
        <v/>
      </c>
      <c r="D45" t="str">
        <f>IF(OR($A45="",$B45=""),"",IF(ISNUMBER(Issues!$C48),MOD(Issues!$C48,100),IFERROR(VALUE(TRIM(MID(MID(Issues!$C48,FIND("/",Issues!$C48)+1,20),FIND("/",MID(Issues!$C48,FIND("/",Issues!$C48)+1,20))+1,20))),"")))</f>
        <v/>
      </c>
      <c r="E45" t="str">
        <f t="shared" si="0"/>
        <v/>
      </c>
      <c r="F45" t="str">
        <f>IF($A45="","",IF(Issues!$D48="",0,Issues!$D48))</f>
        <v/>
      </c>
      <c r="G45" t="str">
        <f>IF($A45="","",Issues!$E48)</f>
        <v/>
      </c>
      <c r="H45" t="str">
        <f t="shared" si="1"/>
        <v/>
      </c>
      <c r="I45" t="str">
        <f t="shared" si="2"/>
        <v/>
      </c>
      <c r="J45" t="str">
        <f>IF($A45="","",Issues!$G48)</f>
        <v/>
      </c>
      <c r="K45" t="str">
        <f>IF(OR($E45="",$E45="نامعتبر"),"",LEFT($E45,4)&amp;MID($E45,6,2)&amp;RIGHT($E45,2)&amp;"|"&amp;RIGHT("00000"&amp;40,5))</f>
        <v/>
      </c>
      <c r="M45" t="str">
        <f>IF(Sync!$M45&lt;&gt;"پاس چک","",IF(Sync!$P45="","",Sync!$P45))</f>
        <v/>
      </c>
      <c r="N45" t="str">
        <f>IF($M45="","",IF(ISNUMBER(Sync!$L45),IF(AND(Sync!$L45&gt;=10000101,Sync!$L45&lt;=99991231),RIGHT("0000"&amp;INT(Sync!$L45/10000),4)&amp;"/"&amp;RIGHT("00"&amp;INT(MOD(Sync!$L45,10000)/100),2)&amp;"/"&amp;RIGHT("00"&amp;MOD(Sync!$L45,100),2),""),IFERROR(RIGHT("0000"&amp;VALUE(TRIM(LEFT(Sync!$L45,FIND("/",Sync!$L45)-1))),4)&amp;"/"&amp;RIGHT("00"&amp;VALUE(TRIM(LEFT(MID(Sync!$L45,FIND("/",Sync!$L45)+1,20),FIND("/",MID(Sync!$L45,FIND("/",Sync!$L45)+1,20))-1))),2)&amp;"/"&amp;RIGHT("00"&amp;VALUE(TRIM(MID(MID(Sync!$L45,FIND("/",Sync!$L45)+1,20),FIND("/",MID(Sync!$L45,FIND("/",Sync!$L45)+1,20))+1,20))),2),"")))</f>
        <v/>
      </c>
    </row>
    <row r="46" spans="1:14" x14ac:dyDescent="0.2">
      <c r="A46" t="str">
        <f>IF(Issues!$B49="","",Issues!$B49)</f>
        <v/>
      </c>
      <c r="B46" t="str">
        <f>IF($A46="","",IF(ISNUMBER(Issues!$C49),IF(AND(Issues!$C49&gt;=10000101,Issues!$C49&lt;=99991231),INT(Issues!$C49/10000),""),IFERROR(VALUE(TRIM(LEFT(Issues!$C49,FIND("/",Issues!$C49)-1))),"")))</f>
        <v/>
      </c>
      <c r="C46" t="str">
        <f>IF(OR($A46="",$B46=""),"",IF(ISNUMBER(Issues!$C49),INT(MOD(Issues!$C49,10000)/100),IFERROR(VALUE(TRIM(LEFT(MID(Issues!$C49,FIND("/",Issues!$C49)+1,20),FIND("/",MID(Issues!$C49,FIND("/",Issues!$C49)+1,20))-1))),"")))</f>
        <v/>
      </c>
      <c r="D46" t="str">
        <f>IF(OR($A46="",$B46=""),"",IF(ISNUMBER(Issues!$C49),MOD(Issues!$C49,100),IFERROR(VALUE(TRIM(MID(MID(Issues!$C49,FIND("/",Issues!$C49)+1,20),FIND("/",MID(Issues!$C49,FIND("/",Issues!$C49)+1,20))+1,20))),"")))</f>
        <v/>
      </c>
      <c r="E46" t="str">
        <f t="shared" si="0"/>
        <v/>
      </c>
      <c r="F46" t="str">
        <f>IF($A46="","",IF(Issues!$D49="",0,Issues!$D49))</f>
        <v/>
      </c>
      <c r="G46" t="str">
        <f>IF($A46="","",Issues!$E49)</f>
        <v/>
      </c>
      <c r="H46" t="str">
        <f t="shared" si="1"/>
        <v/>
      </c>
      <c r="I46" t="str">
        <f t="shared" si="2"/>
        <v/>
      </c>
      <c r="J46" t="str">
        <f>IF($A46="","",Issues!$G49)</f>
        <v/>
      </c>
      <c r="K46" t="str">
        <f>IF(OR($E46="",$E46="نامعتبر"),"",LEFT($E46,4)&amp;MID($E46,6,2)&amp;RIGHT($E46,2)&amp;"|"&amp;RIGHT("00000"&amp;41,5))</f>
        <v/>
      </c>
      <c r="M46" t="str">
        <f>IF(Sync!$M46&lt;&gt;"پاس چک","",IF(Sync!$P46="","",Sync!$P46))</f>
        <v/>
      </c>
      <c r="N46" t="str">
        <f>IF($M46="","",IF(ISNUMBER(Sync!$L46),IF(AND(Sync!$L46&gt;=10000101,Sync!$L46&lt;=99991231),RIGHT("0000"&amp;INT(Sync!$L46/10000),4)&amp;"/"&amp;RIGHT("00"&amp;INT(MOD(Sync!$L46,10000)/100),2)&amp;"/"&amp;RIGHT("00"&amp;MOD(Sync!$L46,100),2),""),IFERROR(RIGHT("0000"&amp;VALUE(TRIM(LEFT(Sync!$L46,FIND("/",Sync!$L46)-1))),4)&amp;"/"&amp;RIGHT("00"&amp;VALUE(TRIM(LEFT(MID(Sync!$L46,FIND("/",Sync!$L46)+1,20),FIND("/",MID(Sync!$L46,FIND("/",Sync!$L46)+1,20))-1))),2)&amp;"/"&amp;RIGHT("00"&amp;VALUE(TRIM(MID(MID(Sync!$L46,FIND("/",Sync!$L46)+1,20),FIND("/",MID(Sync!$L46,FIND("/",Sync!$L46)+1,20))+1,20))),2),"")))</f>
        <v/>
      </c>
    </row>
    <row r="47" spans="1:14" x14ac:dyDescent="0.2">
      <c r="A47" t="str">
        <f>IF(Issues!$B50="","",Issues!$B50)</f>
        <v/>
      </c>
      <c r="B47" t="str">
        <f>IF($A47="","",IF(ISNUMBER(Issues!$C50),IF(AND(Issues!$C50&gt;=10000101,Issues!$C50&lt;=99991231),INT(Issues!$C50/10000),""),IFERROR(VALUE(TRIM(LEFT(Issues!$C50,FIND("/",Issues!$C50)-1))),"")))</f>
        <v/>
      </c>
      <c r="C47" t="str">
        <f>IF(OR($A47="",$B47=""),"",IF(ISNUMBER(Issues!$C50),INT(MOD(Issues!$C50,10000)/100),IFERROR(VALUE(TRIM(LEFT(MID(Issues!$C50,FIND("/",Issues!$C50)+1,20),FIND("/",MID(Issues!$C50,FIND("/",Issues!$C50)+1,20))-1))),"")))</f>
        <v/>
      </c>
      <c r="D47" t="str">
        <f>IF(OR($A47="",$B47=""),"",IF(ISNUMBER(Issues!$C50),MOD(Issues!$C50,100),IFERROR(VALUE(TRIM(MID(MID(Issues!$C50,FIND("/",Issues!$C50)+1,20),FIND("/",MID(Issues!$C50,FIND("/",Issues!$C50)+1,20))+1,20))),"")))</f>
        <v/>
      </c>
      <c r="E47" t="str">
        <f t="shared" si="0"/>
        <v/>
      </c>
      <c r="F47" t="str">
        <f>IF($A47="","",IF(Issues!$D50="",0,Issues!$D50))</f>
        <v/>
      </c>
      <c r="G47" t="str">
        <f>IF($A47="","",Issues!$E50)</f>
        <v/>
      </c>
      <c r="H47" t="str">
        <f t="shared" si="1"/>
        <v/>
      </c>
      <c r="I47" t="str">
        <f t="shared" si="2"/>
        <v/>
      </c>
      <c r="J47" t="str">
        <f>IF($A47="","",Issues!$G50)</f>
        <v/>
      </c>
      <c r="K47" t="str">
        <f>IF(OR($E47="",$E47="نامعتبر"),"",LEFT($E47,4)&amp;MID($E47,6,2)&amp;RIGHT($E47,2)&amp;"|"&amp;RIGHT("00000"&amp;42,5))</f>
        <v/>
      </c>
      <c r="M47" t="str">
        <f>IF(Sync!$M47&lt;&gt;"پاس چک","",IF(Sync!$P47="","",Sync!$P47))</f>
        <v/>
      </c>
      <c r="N47" t="str">
        <f>IF($M47="","",IF(ISNUMBER(Sync!$L47),IF(AND(Sync!$L47&gt;=10000101,Sync!$L47&lt;=99991231),RIGHT("0000"&amp;INT(Sync!$L47/10000),4)&amp;"/"&amp;RIGHT("00"&amp;INT(MOD(Sync!$L47,10000)/100),2)&amp;"/"&amp;RIGHT("00"&amp;MOD(Sync!$L47,100),2),""),IFERROR(RIGHT("0000"&amp;VALUE(TRIM(LEFT(Sync!$L47,FIND("/",Sync!$L47)-1))),4)&amp;"/"&amp;RIGHT("00"&amp;VALUE(TRIM(LEFT(MID(Sync!$L47,FIND("/",Sync!$L47)+1,20),FIND("/",MID(Sync!$L47,FIND("/",Sync!$L47)+1,20))-1))),2)&amp;"/"&amp;RIGHT("00"&amp;VALUE(TRIM(MID(MID(Sync!$L47,FIND("/",Sync!$L47)+1,20),FIND("/",MID(Sync!$L47,FIND("/",Sync!$L47)+1,20))+1,20))),2),"")))</f>
        <v/>
      </c>
    </row>
    <row r="48" spans="1:14" x14ac:dyDescent="0.2">
      <c r="A48" t="str">
        <f>IF(Issues!$B51="","",Issues!$B51)</f>
        <v/>
      </c>
      <c r="B48" t="str">
        <f>IF($A48="","",IF(ISNUMBER(Issues!$C51),IF(AND(Issues!$C51&gt;=10000101,Issues!$C51&lt;=99991231),INT(Issues!$C51/10000),""),IFERROR(VALUE(TRIM(LEFT(Issues!$C51,FIND("/",Issues!$C51)-1))),"")))</f>
        <v/>
      </c>
      <c r="C48" t="str">
        <f>IF(OR($A48="",$B48=""),"",IF(ISNUMBER(Issues!$C51),INT(MOD(Issues!$C51,10000)/100),IFERROR(VALUE(TRIM(LEFT(MID(Issues!$C51,FIND("/",Issues!$C51)+1,20),FIND("/",MID(Issues!$C51,FIND("/",Issues!$C51)+1,20))-1))),"")))</f>
        <v/>
      </c>
      <c r="D48" t="str">
        <f>IF(OR($A48="",$B48=""),"",IF(ISNUMBER(Issues!$C51),MOD(Issues!$C51,100),IFERROR(VALUE(TRIM(MID(MID(Issues!$C51,FIND("/",Issues!$C51)+1,20),FIND("/",MID(Issues!$C51,FIND("/",Issues!$C51)+1,20))+1,20))),"")))</f>
        <v/>
      </c>
      <c r="E48" t="str">
        <f t="shared" si="0"/>
        <v/>
      </c>
      <c r="F48" t="str">
        <f>IF($A48="","",IF(Issues!$D51="",0,Issues!$D51))</f>
        <v/>
      </c>
      <c r="G48" t="str">
        <f>IF($A48="","",Issues!$E51)</f>
        <v/>
      </c>
      <c r="H48" t="str">
        <f t="shared" si="1"/>
        <v/>
      </c>
      <c r="I48" t="str">
        <f t="shared" si="2"/>
        <v/>
      </c>
      <c r="J48" t="str">
        <f>IF($A48="","",Issues!$G51)</f>
        <v/>
      </c>
      <c r="K48" t="str">
        <f>IF(OR($E48="",$E48="نامعتبر"),"",LEFT($E48,4)&amp;MID($E48,6,2)&amp;RIGHT($E48,2)&amp;"|"&amp;RIGHT("00000"&amp;43,5))</f>
        <v/>
      </c>
      <c r="M48" t="str">
        <f>IF(Sync!$M48&lt;&gt;"پاس چک","",IF(Sync!$P48="","",Sync!$P48))</f>
        <v/>
      </c>
      <c r="N48" t="str">
        <f>IF($M48="","",IF(ISNUMBER(Sync!$L48),IF(AND(Sync!$L48&gt;=10000101,Sync!$L48&lt;=99991231),RIGHT("0000"&amp;INT(Sync!$L48/10000),4)&amp;"/"&amp;RIGHT("00"&amp;INT(MOD(Sync!$L48,10000)/100),2)&amp;"/"&amp;RIGHT("00"&amp;MOD(Sync!$L48,100),2),""),IFERROR(RIGHT("0000"&amp;VALUE(TRIM(LEFT(Sync!$L48,FIND("/",Sync!$L48)-1))),4)&amp;"/"&amp;RIGHT("00"&amp;VALUE(TRIM(LEFT(MID(Sync!$L48,FIND("/",Sync!$L48)+1,20),FIND("/",MID(Sync!$L48,FIND("/",Sync!$L48)+1,20))-1))),2)&amp;"/"&amp;RIGHT("00"&amp;VALUE(TRIM(MID(MID(Sync!$L48,FIND("/",Sync!$L48)+1,20),FIND("/",MID(Sync!$L48,FIND("/",Sync!$L48)+1,20))+1,20))),2),"")))</f>
        <v/>
      </c>
    </row>
    <row r="49" spans="1:14" x14ac:dyDescent="0.2">
      <c r="A49" t="str">
        <f>IF(Issues!$B52="","",Issues!$B52)</f>
        <v/>
      </c>
      <c r="B49" t="str">
        <f>IF($A49="","",IF(ISNUMBER(Issues!$C52),IF(AND(Issues!$C52&gt;=10000101,Issues!$C52&lt;=99991231),INT(Issues!$C52/10000),""),IFERROR(VALUE(TRIM(LEFT(Issues!$C52,FIND("/",Issues!$C52)-1))),"")))</f>
        <v/>
      </c>
      <c r="C49" t="str">
        <f>IF(OR($A49="",$B49=""),"",IF(ISNUMBER(Issues!$C52),INT(MOD(Issues!$C52,10000)/100),IFERROR(VALUE(TRIM(LEFT(MID(Issues!$C52,FIND("/",Issues!$C52)+1,20),FIND("/",MID(Issues!$C52,FIND("/",Issues!$C52)+1,20))-1))),"")))</f>
        <v/>
      </c>
      <c r="D49" t="str">
        <f>IF(OR($A49="",$B49=""),"",IF(ISNUMBER(Issues!$C52),MOD(Issues!$C52,100),IFERROR(VALUE(TRIM(MID(MID(Issues!$C52,FIND("/",Issues!$C52)+1,20),FIND("/",MID(Issues!$C52,FIND("/",Issues!$C52)+1,20))+1,20))),"")))</f>
        <v/>
      </c>
      <c r="E49" t="str">
        <f t="shared" si="0"/>
        <v/>
      </c>
      <c r="F49" t="str">
        <f>IF($A49="","",IF(Issues!$D52="",0,Issues!$D52))</f>
        <v/>
      </c>
      <c r="G49" t="str">
        <f>IF($A49="","",Issues!$E52)</f>
        <v/>
      </c>
      <c r="H49" t="str">
        <f t="shared" si="1"/>
        <v/>
      </c>
      <c r="I49" t="str">
        <f t="shared" si="2"/>
        <v/>
      </c>
      <c r="J49" t="str">
        <f>IF($A49="","",Issues!$G52)</f>
        <v/>
      </c>
      <c r="K49" t="str">
        <f>IF(OR($E49="",$E49="نامعتبر"),"",LEFT($E49,4)&amp;MID($E49,6,2)&amp;RIGHT($E49,2)&amp;"|"&amp;RIGHT("00000"&amp;44,5))</f>
        <v/>
      </c>
      <c r="M49" t="str">
        <f>IF(Sync!$M49&lt;&gt;"پاس چک","",IF(Sync!$P49="","",Sync!$P49))</f>
        <v/>
      </c>
      <c r="N49" t="str">
        <f>IF($M49="","",IF(ISNUMBER(Sync!$L49),IF(AND(Sync!$L49&gt;=10000101,Sync!$L49&lt;=99991231),RIGHT("0000"&amp;INT(Sync!$L49/10000),4)&amp;"/"&amp;RIGHT("00"&amp;INT(MOD(Sync!$L49,10000)/100),2)&amp;"/"&amp;RIGHT("00"&amp;MOD(Sync!$L49,100),2),""),IFERROR(RIGHT("0000"&amp;VALUE(TRIM(LEFT(Sync!$L49,FIND("/",Sync!$L49)-1))),4)&amp;"/"&amp;RIGHT("00"&amp;VALUE(TRIM(LEFT(MID(Sync!$L49,FIND("/",Sync!$L49)+1,20),FIND("/",MID(Sync!$L49,FIND("/",Sync!$L49)+1,20))-1))),2)&amp;"/"&amp;RIGHT("00"&amp;VALUE(TRIM(MID(MID(Sync!$L49,FIND("/",Sync!$L49)+1,20),FIND("/",MID(Sync!$L49,FIND("/",Sync!$L49)+1,20))+1,20))),2),"")))</f>
        <v/>
      </c>
    </row>
    <row r="50" spans="1:14" x14ac:dyDescent="0.2">
      <c r="A50" t="str">
        <f>IF(Issues!$B53="","",Issues!$B53)</f>
        <v/>
      </c>
      <c r="B50" t="str">
        <f>IF($A50="","",IF(ISNUMBER(Issues!$C53),IF(AND(Issues!$C53&gt;=10000101,Issues!$C53&lt;=99991231),INT(Issues!$C53/10000),""),IFERROR(VALUE(TRIM(LEFT(Issues!$C53,FIND("/",Issues!$C53)-1))),"")))</f>
        <v/>
      </c>
      <c r="C50" t="str">
        <f>IF(OR($A50="",$B50=""),"",IF(ISNUMBER(Issues!$C53),INT(MOD(Issues!$C53,10000)/100),IFERROR(VALUE(TRIM(LEFT(MID(Issues!$C53,FIND("/",Issues!$C53)+1,20),FIND("/",MID(Issues!$C53,FIND("/",Issues!$C53)+1,20))-1))),"")))</f>
        <v/>
      </c>
      <c r="D50" t="str">
        <f>IF(OR($A50="",$B50=""),"",IF(ISNUMBER(Issues!$C53),MOD(Issues!$C53,100),IFERROR(VALUE(TRIM(MID(MID(Issues!$C53,FIND("/",Issues!$C53)+1,20),FIND("/",MID(Issues!$C53,FIND("/",Issues!$C53)+1,20))+1,20))),"")))</f>
        <v/>
      </c>
      <c r="E50" t="str">
        <f t="shared" si="0"/>
        <v/>
      </c>
      <c r="F50" t="str">
        <f>IF($A50="","",IF(Issues!$D53="",0,Issues!$D53))</f>
        <v/>
      </c>
      <c r="G50" t="str">
        <f>IF($A50="","",Issues!$E53)</f>
        <v/>
      </c>
      <c r="H50" t="str">
        <f t="shared" si="1"/>
        <v/>
      </c>
      <c r="I50" t="str">
        <f t="shared" si="2"/>
        <v/>
      </c>
      <c r="J50" t="str">
        <f>IF($A50="","",Issues!$G53)</f>
        <v/>
      </c>
      <c r="K50" t="str">
        <f>IF(OR($E50="",$E50="نامعتبر"),"",LEFT($E50,4)&amp;MID($E50,6,2)&amp;RIGHT($E50,2)&amp;"|"&amp;RIGHT("00000"&amp;45,5))</f>
        <v/>
      </c>
      <c r="M50" t="str">
        <f>IF(Sync!$M50&lt;&gt;"پاس چک","",IF(Sync!$P50="","",Sync!$P50))</f>
        <v/>
      </c>
      <c r="N50" t="str">
        <f>IF($M50="","",IF(ISNUMBER(Sync!$L50),IF(AND(Sync!$L50&gt;=10000101,Sync!$L50&lt;=99991231),RIGHT("0000"&amp;INT(Sync!$L50/10000),4)&amp;"/"&amp;RIGHT("00"&amp;INT(MOD(Sync!$L50,10000)/100),2)&amp;"/"&amp;RIGHT("00"&amp;MOD(Sync!$L50,100),2),""),IFERROR(RIGHT("0000"&amp;VALUE(TRIM(LEFT(Sync!$L50,FIND("/",Sync!$L50)-1))),4)&amp;"/"&amp;RIGHT("00"&amp;VALUE(TRIM(LEFT(MID(Sync!$L50,FIND("/",Sync!$L50)+1,20),FIND("/",MID(Sync!$L50,FIND("/",Sync!$L50)+1,20))-1))),2)&amp;"/"&amp;RIGHT("00"&amp;VALUE(TRIM(MID(MID(Sync!$L50,FIND("/",Sync!$L50)+1,20),FIND("/",MID(Sync!$L50,FIND("/",Sync!$L50)+1,20))+1,20))),2),"")))</f>
        <v/>
      </c>
    </row>
    <row r="51" spans="1:14" x14ac:dyDescent="0.2">
      <c r="A51" t="str">
        <f>IF(Issues!$B54="","",Issues!$B54)</f>
        <v/>
      </c>
      <c r="B51" t="str">
        <f>IF($A51="","",IF(ISNUMBER(Issues!$C54),IF(AND(Issues!$C54&gt;=10000101,Issues!$C54&lt;=99991231),INT(Issues!$C54/10000),""),IFERROR(VALUE(TRIM(LEFT(Issues!$C54,FIND("/",Issues!$C54)-1))),"")))</f>
        <v/>
      </c>
      <c r="C51" t="str">
        <f>IF(OR($A51="",$B51=""),"",IF(ISNUMBER(Issues!$C54),INT(MOD(Issues!$C54,10000)/100),IFERROR(VALUE(TRIM(LEFT(MID(Issues!$C54,FIND("/",Issues!$C54)+1,20),FIND("/",MID(Issues!$C54,FIND("/",Issues!$C54)+1,20))-1))),"")))</f>
        <v/>
      </c>
      <c r="D51" t="str">
        <f>IF(OR($A51="",$B51=""),"",IF(ISNUMBER(Issues!$C54),MOD(Issues!$C54,100),IFERROR(VALUE(TRIM(MID(MID(Issues!$C54,FIND("/",Issues!$C54)+1,20),FIND("/",MID(Issues!$C54,FIND("/",Issues!$C54)+1,20))+1,20))),"")))</f>
        <v/>
      </c>
      <c r="E51" t="str">
        <f t="shared" si="0"/>
        <v/>
      </c>
      <c r="F51" t="str">
        <f>IF($A51="","",IF(Issues!$D54="",0,Issues!$D54))</f>
        <v/>
      </c>
      <c r="G51" t="str">
        <f>IF($A51="","",Issues!$E54)</f>
        <v/>
      </c>
      <c r="H51" t="str">
        <f t="shared" si="1"/>
        <v/>
      </c>
      <c r="I51" t="str">
        <f t="shared" si="2"/>
        <v/>
      </c>
      <c r="J51" t="str">
        <f>IF($A51="","",Issues!$G54)</f>
        <v/>
      </c>
      <c r="K51" t="str">
        <f>IF(OR($E51="",$E51="نامعتبر"),"",LEFT($E51,4)&amp;MID($E51,6,2)&amp;RIGHT($E51,2)&amp;"|"&amp;RIGHT("00000"&amp;46,5))</f>
        <v/>
      </c>
      <c r="M51" t="str">
        <f>IF(Sync!$M51&lt;&gt;"پاس چک","",IF(Sync!$P51="","",Sync!$P51))</f>
        <v/>
      </c>
      <c r="N51" t="str">
        <f>IF($M51="","",IF(ISNUMBER(Sync!$L51),IF(AND(Sync!$L51&gt;=10000101,Sync!$L51&lt;=99991231),RIGHT("0000"&amp;INT(Sync!$L51/10000),4)&amp;"/"&amp;RIGHT("00"&amp;INT(MOD(Sync!$L51,10000)/100),2)&amp;"/"&amp;RIGHT("00"&amp;MOD(Sync!$L51,100),2),""),IFERROR(RIGHT("0000"&amp;VALUE(TRIM(LEFT(Sync!$L51,FIND("/",Sync!$L51)-1))),4)&amp;"/"&amp;RIGHT("00"&amp;VALUE(TRIM(LEFT(MID(Sync!$L51,FIND("/",Sync!$L51)+1,20),FIND("/",MID(Sync!$L51,FIND("/",Sync!$L51)+1,20))-1))),2)&amp;"/"&amp;RIGHT("00"&amp;VALUE(TRIM(MID(MID(Sync!$L51,FIND("/",Sync!$L51)+1,20),FIND("/",MID(Sync!$L51,FIND("/",Sync!$L51)+1,20))+1,20))),2),"")))</f>
        <v/>
      </c>
    </row>
    <row r="52" spans="1:14" x14ac:dyDescent="0.2">
      <c r="A52" t="str">
        <f>IF(Issues!$B55="","",Issues!$B55)</f>
        <v/>
      </c>
      <c r="B52" t="str">
        <f>IF($A52="","",IF(ISNUMBER(Issues!$C55),IF(AND(Issues!$C55&gt;=10000101,Issues!$C55&lt;=99991231),INT(Issues!$C55/10000),""),IFERROR(VALUE(TRIM(LEFT(Issues!$C55,FIND("/",Issues!$C55)-1))),"")))</f>
        <v/>
      </c>
      <c r="C52" t="str">
        <f>IF(OR($A52="",$B52=""),"",IF(ISNUMBER(Issues!$C55),INT(MOD(Issues!$C55,10000)/100),IFERROR(VALUE(TRIM(LEFT(MID(Issues!$C55,FIND("/",Issues!$C55)+1,20),FIND("/",MID(Issues!$C55,FIND("/",Issues!$C55)+1,20))-1))),"")))</f>
        <v/>
      </c>
      <c r="D52" t="str">
        <f>IF(OR($A52="",$B52=""),"",IF(ISNUMBER(Issues!$C55),MOD(Issues!$C55,100),IFERROR(VALUE(TRIM(MID(MID(Issues!$C55,FIND("/",Issues!$C55)+1,20),FIND("/",MID(Issues!$C55,FIND("/",Issues!$C55)+1,20))+1,20))),"")))</f>
        <v/>
      </c>
      <c r="E52" t="str">
        <f t="shared" si="0"/>
        <v/>
      </c>
      <c r="F52" t="str">
        <f>IF($A52="","",IF(Issues!$D55="",0,Issues!$D55))</f>
        <v/>
      </c>
      <c r="G52" t="str">
        <f>IF($A52="","",Issues!$E55)</f>
        <v/>
      </c>
      <c r="H52" t="str">
        <f t="shared" si="1"/>
        <v/>
      </c>
      <c r="I52" t="str">
        <f t="shared" si="2"/>
        <v/>
      </c>
      <c r="J52" t="str">
        <f>IF($A52="","",Issues!$G55)</f>
        <v/>
      </c>
      <c r="K52" t="str">
        <f>IF(OR($E52="",$E52="نامعتبر"),"",LEFT($E52,4)&amp;MID($E52,6,2)&amp;RIGHT($E52,2)&amp;"|"&amp;RIGHT("00000"&amp;47,5))</f>
        <v/>
      </c>
      <c r="M52" t="str">
        <f>IF(Sync!$M52&lt;&gt;"پاس چک","",IF(Sync!$P52="","",Sync!$P52))</f>
        <v/>
      </c>
      <c r="N52" t="str">
        <f>IF($M52="","",IF(ISNUMBER(Sync!$L52),IF(AND(Sync!$L52&gt;=10000101,Sync!$L52&lt;=99991231),RIGHT("0000"&amp;INT(Sync!$L52/10000),4)&amp;"/"&amp;RIGHT("00"&amp;INT(MOD(Sync!$L52,10000)/100),2)&amp;"/"&amp;RIGHT("00"&amp;MOD(Sync!$L52,100),2),""),IFERROR(RIGHT("0000"&amp;VALUE(TRIM(LEFT(Sync!$L52,FIND("/",Sync!$L52)-1))),4)&amp;"/"&amp;RIGHT("00"&amp;VALUE(TRIM(LEFT(MID(Sync!$L52,FIND("/",Sync!$L52)+1,20),FIND("/",MID(Sync!$L52,FIND("/",Sync!$L52)+1,20))-1))),2)&amp;"/"&amp;RIGHT("00"&amp;VALUE(TRIM(MID(MID(Sync!$L52,FIND("/",Sync!$L52)+1,20),FIND("/",MID(Sync!$L52,FIND("/",Sync!$L52)+1,20))+1,20))),2),"")))</f>
        <v/>
      </c>
    </row>
    <row r="53" spans="1:14" x14ac:dyDescent="0.2">
      <c r="A53" t="str">
        <f>IF(Issues!$B56="","",Issues!$B56)</f>
        <v/>
      </c>
      <c r="B53" t="str">
        <f>IF($A53="","",IF(ISNUMBER(Issues!$C56),IF(AND(Issues!$C56&gt;=10000101,Issues!$C56&lt;=99991231),INT(Issues!$C56/10000),""),IFERROR(VALUE(TRIM(LEFT(Issues!$C56,FIND("/",Issues!$C56)-1))),"")))</f>
        <v/>
      </c>
      <c r="C53" t="str">
        <f>IF(OR($A53="",$B53=""),"",IF(ISNUMBER(Issues!$C56),INT(MOD(Issues!$C56,10000)/100),IFERROR(VALUE(TRIM(LEFT(MID(Issues!$C56,FIND("/",Issues!$C56)+1,20),FIND("/",MID(Issues!$C56,FIND("/",Issues!$C56)+1,20))-1))),"")))</f>
        <v/>
      </c>
      <c r="D53" t="str">
        <f>IF(OR($A53="",$B53=""),"",IF(ISNUMBER(Issues!$C56),MOD(Issues!$C56,100),IFERROR(VALUE(TRIM(MID(MID(Issues!$C56,FIND("/",Issues!$C56)+1,20),FIND("/",MID(Issues!$C56,FIND("/",Issues!$C56)+1,20))+1,20))),"")))</f>
        <v/>
      </c>
      <c r="E53" t="str">
        <f t="shared" si="0"/>
        <v/>
      </c>
      <c r="F53" t="str">
        <f>IF($A53="","",IF(Issues!$D56="",0,Issues!$D56))</f>
        <v/>
      </c>
      <c r="G53" t="str">
        <f>IF($A53="","",Issues!$E56)</f>
        <v/>
      </c>
      <c r="H53" t="str">
        <f t="shared" si="1"/>
        <v/>
      </c>
      <c r="I53" t="str">
        <f t="shared" si="2"/>
        <v/>
      </c>
      <c r="J53" t="str">
        <f>IF($A53="","",Issues!$G56)</f>
        <v/>
      </c>
      <c r="K53" t="str">
        <f>IF(OR($E53="",$E53="نامعتبر"),"",LEFT($E53,4)&amp;MID($E53,6,2)&amp;RIGHT($E53,2)&amp;"|"&amp;RIGHT("00000"&amp;48,5))</f>
        <v/>
      </c>
      <c r="M53" t="str">
        <f>IF(Sync!$M53&lt;&gt;"پاس چک","",IF(Sync!$P53="","",Sync!$P53))</f>
        <v/>
      </c>
      <c r="N53" t="str">
        <f>IF($M53="","",IF(ISNUMBER(Sync!$L53),IF(AND(Sync!$L53&gt;=10000101,Sync!$L53&lt;=99991231),RIGHT("0000"&amp;INT(Sync!$L53/10000),4)&amp;"/"&amp;RIGHT("00"&amp;INT(MOD(Sync!$L53,10000)/100),2)&amp;"/"&amp;RIGHT("00"&amp;MOD(Sync!$L53,100),2),""),IFERROR(RIGHT("0000"&amp;VALUE(TRIM(LEFT(Sync!$L53,FIND("/",Sync!$L53)-1))),4)&amp;"/"&amp;RIGHT("00"&amp;VALUE(TRIM(LEFT(MID(Sync!$L53,FIND("/",Sync!$L53)+1,20),FIND("/",MID(Sync!$L53,FIND("/",Sync!$L53)+1,20))-1))),2)&amp;"/"&amp;RIGHT("00"&amp;VALUE(TRIM(MID(MID(Sync!$L53,FIND("/",Sync!$L53)+1,20),FIND("/",MID(Sync!$L53,FIND("/",Sync!$L53)+1,20))+1,20))),2),"")))</f>
        <v/>
      </c>
    </row>
    <row r="54" spans="1:14" x14ac:dyDescent="0.2">
      <c r="A54" t="str">
        <f>IF(Issues!$B57="","",Issues!$B57)</f>
        <v/>
      </c>
      <c r="B54" t="str">
        <f>IF($A54="","",IF(ISNUMBER(Issues!$C57),IF(AND(Issues!$C57&gt;=10000101,Issues!$C57&lt;=99991231),INT(Issues!$C57/10000),""),IFERROR(VALUE(TRIM(LEFT(Issues!$C57,FIND("/",Issues!$C57)-1))),"")))</f>
        <v/>
      </c>
      <c r="C54" t="str">
        <f>IF(OR($A54="",$B54=""),"",IF(ISNUMBER(Issues!$C57),INT(MOD(Issues!$C57,10000)/100),IFERROR(VALUE(TRIM(LEFT(MID(Issues!$C57,FIND("/",Issues!$C57)+1,20),FIND("/",MID(Issues!$C57,FIND("/",Issues!$C57)+1,20))-1))),"")))</f>
        <v/>
      </c>
      <c r="D54" t="str">
        <f>IF(OR($A54="",$B54=""),"",IF(ISNUMBER(Issues!$C57),MOD(Issues!$C57,100),IFERROR(VALUE(TRIM(MID(MID(Issues!$C57,FIND("/",Issues!$C57)+1,20),FIND("/",MID(Issues!$C57,FIND("/",Issues!$C57)+1,20))+1,20))),"")))</f>
        <v/>
      </c>
      <c r="E54" t="str">
        <f t="shared" si="0"/>
        <v/>
      </c>
      <c r="F54" t="str">
        <f>IF($A54="","",IF(Issues!$D57="",0,Issues!$D57))</f>
        <v/>
      </c>
      <c r="G54" t="str">
        <f>IF($A54="","",Issues!$E57)</f>
        <v/>
      </c>
      <c r="H54" t="str">
        <f t="shared" si="1"/>
        <v/>
      </c>
      <c r="I54" t="str">
        <f t="shared" si="2"/>
        <v/>
      </c>
      <c r="J54" t="str">
        <f>IF($A54="","",Issues!$G57)</f>
        <v/>
      </c>
      <c r="K54" t="str">
        <f>IF(OR($E54="",$E54="نامعتبر"),"",LEFT($E54,4)&amp;MID($E54,6,2)&amp;RIGHT($E54,2)&amp;"|"&amp;RIGHT("00000"&amp;49,5))</f>
        <v/>
      </c>
      <c r="M54" t="str">
        <f>IF(Sync!$M54&lt;&gt;"پاس چک","",IF(Sync!$P54="","",Sync!$P54))</f>
        <v/>
      </c>
      <c r="N54" t="str">
        <f>IF($M54="","",IF(ISNUMBER(Sync!$L54),IF(AND(Sync!$L54&gt;=10000101,Sync!$L54&lt;=99991231),RIGHT("0000"&amp;INT(Sync!$L54/10000),4)&amp;"/"&amp;RIGHT("00"&amp;INT(MOD(Sync!$L54,10000)/100),2)&amp;"/"&amp;RIGHT("00"&amp;MOD(Sync!$L54,100),2),""),IFERROR(RIGHT("0000"&amp;VALUE(TRIM(LEFT(Sync!$L54,FIND("/",Sync!$L54)-1))),4)&amp;"/"&amp;RIGHT("00"&amp;VALUE(TRIM(LEFT(MID(Sync!$L54,FIND("/",Sync!$L54)+1,20),FIND("/",MID(Sync!$L54,FIND("/",Sync!$L54)+1,20))-1))),2)&amp;"/"&amp;RIGHT("00"&amp;VALUE(TRIM(MID(MID(Sync!$L54,FIND("/",Sync!$L54)+1,20),FIND("/",MID(Sync!$L54,FIND("/",Sync!$L54)+1,20))+1,20))),2),"")))</f>
        <v/>
      </c>
    </row>
    <row r="55" spans="1:14" x14ac:dyDescent="0.2">
      <c r="A55" t="str">
        <f>IF(Issues!$B58="","",Issues!$B58)</f>
        <v/>
      </c>
      <c r="B55" t="str">
        <f>IF($A55="","",IF(ISNUMBER(Issues!$C58),IF(AND(Issues!$C58&gt;=10000101,Issues!$C58&lt;=99991231),INT(Issues!$C58/10000),""),IFERROR(VALUE(TRIM(LEFT(Issues!$C58,FIND("/",Issues!$C58)-1))),"")))</f>
        <v/>
      </c>
      <c r="C55" t="str">
        <f>IF(OR($A55="",$B55=""),"",IF(ISNUMBER(Issues!$C58),INT(MOD(Issues!$C58,10000)/100),IFERROR(VALUE(TRIM(LEFT(MID(Issues!$C58,FIND("/",Issues!$C58)+1,20),FIND("/",MID(Issues!$C58,FIND("/",Issues!$C58)+1,20))-1))),"")))</f>
        <v/>
      </c>
      <c r="D55" t="str">
        <f>IF(OR($A55="",$B55=""),"",IF(ISNUMBER(Issues!$C58),MOD(Issues!$C58,100),IFERROR(VALUE(TRIM(MID(MID(Issues!$C58,FIND("/",Issues!$C58)+1,20),FIND("/",MID(Issues!$C58,FIND("/",Issues!$C58)+1,20))+1,20))),"")))</f>
        <v/>
      </c>
      <c r="E55" t="str">
        <f t="shared" si="0"/>
        <v/>
      </c>
      <c r="F55" t="str">
        <f>IF($A55="","",IF(Issues!$D58="",0,Issues!$D58))</f>
        <v/>
      </c>
      <c r="G55" t="str">
        <f>IF($A55="","",Issues!$E58)</f>
        <v/>
      </c>
      <c r="H55" t="str">
        <f t="shared" si="1"/>
        <v/>
      </c>
      <c r="I55" t="str">
        <f t="shared" si="2"/>
        <v/>
      </c>
      <c r="J55" t="str">
        <f>IF($A55="","",Issues!$G58)</f>
        <v/>
      </c>
      <c r="K55" t="str">
        <f>IF(OR($E55="",$E55="نامعتبر"),"",LEFT($E55,4)&amp;MID($E55,6,2)&amp;RIGHT($E55,2)&amp;"|"&amp;RIGHT("00000"&amp;50,5))</f>
        <v/>
      </c>
      <c r="M55" t="str">
        <f>IF(Sync!$M55&lt;&gt;"پاس چک","",IF(Sync!$P55="","",Sync!$P55))</f>
        <v/>
      </c>
      <c r="N55" t="str">
        <f>IF($M55="","",IF(ISNUMBER(Sync!$L55),IF(AND(Sync!$L55&gt;=10000101,Sync!$L55&lt;=99991231),RIGHT("0000"&amp;INT(Sync!$L55/10000),4)&amp;"/"&amp;RIGHT("00"&amp;INT(MOD(Sync!$L55,10000)/100),2)&amp;"/"&amp;RIGHT("00"&amp;MOD(Sync!$L55,100),2),""),IFERROR(RIGHT("0000"&amp;VALUE(TRIM(LEFT(Sync!$L55,FIND("/",Sync!$L55)-1))),4)&amp;"/"&amp;RIGHT("00"&amp;VALUE(TRIM(LEFT(MID(Sync!$L55,FIND("/",Sync!$L55)+1,20),FIND("/",MID(Sync!$L55,FIND("/",Sync!$L55)+1,20))-1))),2)&amp;"/"&amp;RIGHT("00"&amp;VALUE(TRIM(MID(MID(Sync!$L55,FIND("/",Sync!$L55)+1,20),FIND("/",MID(Sync!$L55,FIND("/",Sync!$L55)+1,20))+1,20))),2),"")))</f>
        <v/>
      </c>
    </row>
    <row r="56" spans="1:14" x14ac:dyDescent="0.2">
      <c r="A56" t="str">
        <f>IF(Issues!$B59="","",Issues!$B59)</f>
        <v/>
      </c>
      <c r="B56" t="str">
        <f>IF($A56="","",IF(ISNUMBER(Issues!$C59),IF(AND(Issues!$C59&gt;=10000101,Issues!$C59&lt;=99991231),INT(Issues!$C59/10000),""),IFERROR(VALUE(TRIM(LEFT(Issues!$C59,FIND("/",Issues!$C59)-1))),"")))</f>
        <v/>
      </c>
      <c r="C56" t="str">
        <f>IF(OR($A56="",$B56=""),"",IF(ISNUMBER(Issues!$C59),INT(MOD(Issues!$C59,10000)/100),IFERROR(VALUE(TRIM(LEFT(MID(Issues!$C59,FIND("/",Issues!$C59)+1,20),FIND("/",MID(Issues!$C59,FIND("/",Issues!$C59)+1,20))-1))),"")))</f>
        <v/>
      </c>
      <c r="D56" t="str">
        <f>IF(OR($A56="",$B56=""),"",IF(ISNUMBER(Issues!$C59),MOD(Issues!$C59,100),IFERROR(VALUE(TRIM(MID(MID(Issues!$C59,FIND("/",Issues!$C59)+1,20),FIND("/",MID(Issues!$C59,FIND("/",Issues!$C59)+1,20))+1,20))),"")))</f>
        <v/>
      </c>
      <c r="E56" t="str">
        <f t="shared" si="0"/>
        <v/>
      </c>
      <c r="F56" t="str">
        <f>IF($A56="","",IF(Issues!$D59="",0,Issues!$D59))</f>
        <v/>
      </c>
      <c r="G56" t="str">
        <f>IF($A56="","",Issues!$E59)</f>
        <v/>
      </c>
      <c r="H56" t="str">
        <f t="shared" si="1"/>
        <v/>
      </c>
      <c r="I56" t="str">
        <f t="shared" si="2"/>
        <v/>
      </c>
      <c r="J56" t="str">
        <f>IF($A56="","",Issues!$G59)</f>
        <v/>
      </c>
      <c r="K56" t="str">
        <f>IF(OR($E56="",$E56="نامعتبر"),"",LEFT($E56,4)&amp;MID($E56,6,2)&amp;RIGHT($E56,2)&amp;"|"&amp;RIGHT("00000"&amp;51,5))</f>
        <v/>
      </c>
      <c r="M56" t="str">
        <f>IF(Sync!$M56&lt;&gt;"پاس چک","",IF(Sync!$P56="","",Sync!$P56))</f>
        <v/>
      </c>
      <c r="N56" t="str">
        <f>IF($M56="","",IF(ISNUMBER(Sync!$L56),IF(AND(Sync!$L56&gt;=10000101,Sync!$L56&lt;=99991231),RIGHT("0000"&amp;INT(Sync!$L56/10000),4)&amp;"/"&amp;RIGHT("00"&amp;INT(MOD(Sync!$L56,10000)/100),2)&amp;"/"&amp;RIGHT("00"&amp;MOD(Sync!$L56,100),2),""),IFERROR(RIGHT("0000"&amp;VALUE(TRIM(LEFT(Sync!$L56,FIND("/",Sync!$L56)-1))),4)&amp;"/"&amp;RIGHT("00"&amp;VALUE(TRIM(LEFT(MID(Sync!$L56,FIND("/",Sync!$L56)+1,20),FIND("/",MID(Sync!$L56,FIND("/",Sync!$L56)+1,20))-1))),2)&amp;"/"&amp;RIGHT("00"&amp;VALUE(TRIM(MID(MID(Sync!$L56,FIND("/",Sync!$L56)+1,20),FIND("/",MID(Sync!$L56,FIND("/",Sync!$L56)+1,20))+1,20))),2),"")))</f>
        <v/>
      </c>
    </row>
    <row r="57" spans="1:14" x14ac:dyDescent="0.2">
      <c r="A57" t="str">
        <f>IF(Issues!$B60="","",Issues!$B60)</f>
        <v/>
      </c>
      <c r="B57" t="str">
        <f>IF($A57="","",IF(ISNUMBER(Issues!$C60),IF(AND(Issues!$C60&gt;=10000101,Issues!$C60&lt;=99991231),INT(Issues!$C60/10000),""),IFERROR(VALUE(TRIM(LEFT(Issues!$C60,FIND("/",Issues!$C60)-1))),"")))</f>
        <v/>
      </c>
      <c r="C57" t="str">
        <f>IF(OR($A57="",$B57=""),"",IF(ISNUMBER(Issues!$C60),INT(MOD(Issues!$C60,10000)/100),IFERROR(VALUE(TRIM(LEFT(MID(Issues!$C60,FIND("/",Issues!$C60)+1,20),FIND("/",MID(Issues!$C60,FIND("/",Issues!$C60)+1,20))-1))),"")))</f>
        <v/>
      </c>
      <c r="D57" t="str">
        <f>IF(OR($A57="",$B57=""),"",IF(ISNUMBER(Issues!$C60),MOD(Issues!$C60,100),IFERROR(VALUE(TRIM(MID(MID(Issues!$C60,FIND("/",Issues!$C60)+1,20),FIND("/",MID(Issues!$C60,FIND("/",Issues!$C60)+1,20))+1,20))),"")))</f>
        <v/>
      </c>
      <c r="E57" t="str">
        <f t="shared" si="0"/>
        <v/>
      </c>
      <c r="F57" t="str">
        <f>IF($A57="","",IF(Issues!$D60="",0,Issues!$D60))</f>
        <v/>
      </c>
      <c r="G57" t="str">
        <f>IF($A57="","",Issues!$E60)</f>
        <v/>
      </c>
      <c r="H57" t="str">
        <f t="shared" si="1"/>
        <v/>
      </c>
      <c r="I57" t="str">
        <f t="shared" si="2"/>
        <v/>
      </c>
      <c r="J57" t="str">
        <f>IF($A57="","",Issues!$G60)</f>
        <v/>
      </c>
      <c r="K57" t="str">
        <f>IF(OR($E57="",$E57="نامعتبر"),"",LEFT($E57,4)&amp;MID($E57,6,2)&amp;RIGHT($E57,2)&amp;"|"&amp;RIGHT("00000"&amp;52,5))</f>
        <v/>
      </c>
      <c r="M57" t="str">
        <f>IF(Sync!$M57&lt;&gt;"پاس چک","",IF(Sync!$P57="","",Sync!$P57))</f>
        <v/>
      </c>
      <c r="N57" t="str">
        <f>IF($M57="","",IF(ISNUMBER(Sync!$L57),IF(AND(Sync!$L57&gt;=10000101,Sync!$L57&lt;=99991231),RIGHT("0000"&amp;INT(Sync!$L57/10000),4)&amp;"/"&amp;RIGHT("00"&amp;INT(MOD(Sync!$L57,10000)/100),2)&amp;"/"&amp;RIGHT("00"&amp;MOD(Sync!$L57,100),2),""),IFERROR(RIGHT("0000"&amp;VALUE(TRIM(LEFT(Sync!$L57,FIND("/",Sync!$L57)-1))),4)&amp;"/"&amp;RIGHT("00"&amp;VALUE(TRIM(LEFT(MID(Sync!$L57,FIND("/",Sync!$L57)+1,20),FIND("/",MID(Sync!$L57,FIND("/",Sync!$L57)+1,20))-1))),2)&amp;"/"&amp;RIGHT("00"&amp;VALUE(TRIM(MID(MID(Sync!$L57,FIND("/",Sync!$L57)+1,20),FIND("/",MID(Sync!$L57,FIND("/",Sync!$L57)+1,20))+1,20))),2),"")))</f>
        <v/>
      </c>
    </row>
    <row r="58" spans="1:14" x14ac:dyDescent="0.2">
      <c r="A58" t="str">
        <f>IF(Issues!$B61="","",Issues!$B61)</f>
        <v/>
      </c>
      <c r="B58" t="str">
        <f>IF($A58="","",IF(ISNUMBER(Issues!$C61),IF(AND(Issues!$C61&gt;=10000101,Issues!$C61&lt;=99991231),INT(Issues!$C61/10000),""),IFERROR(VALUE(TRIM(LEFT(Issues!$C61,FIND("/",Issues!$C61)-1))),"")))</f>
        <v/>
      </c>
      <c r="C58" t="str">
        <f>IF(OR($A58="",$B58=""),"",IF(ISNUMBER(Issues!$C61),INT(MOD(Issues!$C61,10000)/100),IFERROR(VALUE(TRIM(LEFT(MID(Issues!$C61,FIND("/",Issues!$C61)+1,20),FIND("/",MID(Issues!$C61,FIND("/",Issues!$C61)+1,20))-1))),"")))</f>
        <v/>
      </c>
      <c r="D58" t="str">
        <f>IF(OR($A58="",$B58=""),"",IF(ISNUMBER(Issues!$C61),MOD(Issues!$C61,100),IFERROR(VALUE(TRIM(MID(MID(Issues!$C61,FIND("/",Issues!$C61)+1,20),FIND("/",MID(Issues!$C61,FIND("/",Issues!$C61)+1,20))+1,20))),"")))</f>
        <v/>
      </c>
      <c r="E58" t="str">
        <f t="shared" si="0"/>
        <v/>
      </c>
      <c r="F58" t="str">
        <f>IF($A58="","",IF(Issues!$D61="",0,Issues!$D61))</f>
        <v/>
      </c>
      <c r="G58" t="str">
        <f>IF($A58="","",Issues!$E61)</f>
        <v/>
      </c>
      <c r="H58" t="str">
        <f t="shared" si="1"/>
        <v/>
      </c>
      <c r="I58" t="str">
        <f t="shared" si="2"/>
        <v/>
      </c>
      <c r="J58" t="str">
        <f>IF($A58="","",Issues!$G61)</f>
        <v/>
      </c>
      <c r="K58" t="str">
        <f>IF(OR($E58="",$E58="نامعتبر"),"",LEFT($E58,4)&amp;MID($E58,6,2)&amp;RIGHT($E58,2)&amp;"|"&amp;RIGHT("00000"&amp;53,5))</f>
        <v/>
      </c>
      <c r="M58" t="str">
        <f>IF(Sync!$M58&lt;&gt;"پاس چک","",IF(Sync!$P58="","",Sync!$P58))</f>
        <v/>
      </c>
      <c r="N58" t="str">
        <f>IF($M58="","",IF(ISNUMBER(Sync!$L58),IF(AND(Sync!$L58&gt;=10000101,Sync!$L58&lt;=99991231),RIGHT("0000"&amp;INT(Sync!$L58/10000),4)&amp;"/"&amp;RIGHT("00"&amp;INT(MOD(Sync!$L58,10000)/100),2)&amp;"/"&amp;RIGHT("00"&amp;MOD(Sync!$L58,100),2),""),IFERROR(RIGHT("0000"&amp;VALUE(TRIM(LEFT(Sync!$L58,FIND("/",Sync!$L58)-1))),4)&amp;"/"&amp;RIGHT("00"&amp;VALUE(TRIM(LEFT(MID(Sync!$L58,FIND("/",Sync!$L58)+1,20),FIND("/",MID(Sync!$L58,FIND("/",Sync!$L58)+1,20))-1))),2)&amp;"/"&amp;RIGHT("00"&amp;VALUE(TRIM(MID(MID(Sync!$L58,FIND("/",Sync!$L58)+1,20),FIND("/",MID(Sync!$L58,FIND("/",Sync!$L58)+1,20))+1,20))),2),"")))</f>
        <v/>
      </c>
    </row>
    <row r="59" spans="1:14" x14ac:dyDescent="0.2">
      <c r="A59" t="str">
        <f>IF(Issues!$B62="","",Issues!$B62)</f>
        <v/>
      </c>
      <c r="B59" t="str">
        <f>IF($A59="","",IF(ISNUMBER(Issues!$C62),IF(AND(Issues!$C62&gt;=10000101,Issues!$C62&lt;=99991231),INT(Issues!$C62/10000),""),IFERROR(VALUE(TRIM(LEFT(Issues!$C62,FIND("/",Issues!$C62)-1))),"")))</f>
        <v/>
      </c>
      <c r="C59" t="str">
        <f>IF(OR($A59="",$B59=""),"",IF(ISNUMBER(Issues!$C62),INT(MOD(Issues!$C62,10000)/100),IFERROR(VALUE(TRIM(LEFT(MID(Issues!$C62,FIND("/",Issues!$C62)+1,20),FIND("/",MID(Issues!$C62,FIND("/",Issues!$C62)+1,20))-1))),"")))</f>
        <v/>
      </c>
      <c r="D59" t="str">
        <f>IF(OR($A59="",$B59=""),"",IF(ISNUMBER(Issues!$C62),MOD(Issues!$C62,100),IFERROR(VALUE(TRIM(MID(MID(Issues!$C62,FIND("/",Issues!$C62)+1,20),FIND("/",MID(Issues!$C62,FIND("/",Issues!$C62)+1,20))+1,20))),"")))</f>
        <v/>
      </c>
      <c r="E59" t="str">
        <f t="shared" si="0"/>
        <v/>
      </c>
      <c r="F59" t="str">
        <f>IF($A59="","",IF(Issues!$D62="",0,Issues!$D62))</f>
        <v/>
      </c>
      <c r="G59" t="str">
        <f>IF($A59="","",Issues!$E62)</f>
        <v/>
      </c>
      <c r="H59" t="str">
        <f t="shared" si="1"/>
        <v/>
      </c>
      <c r="I59" t="str">
        <f t="shared" si="2"/>
        <v/>
      </c>
      <c r="J59" t="str">
        <f>IF($A59="","",Issues!$G62)</f>
        <v/>
      </c>
      <c r="K59" t="str">
        <f>IF(OR($E59="",$E59="نامعتبر"),"",LEFT($E59,4)&amp;MID($E59,6,2)&amp;RIGHT($E59,2)&amp;"|"&amp;RIGHT("00000"&amp;54,5))</f>
        <v/>
      </c>
      <c r="M59" t="str">
        <f>IF(Sync!$M59&lt;&gt;"پاس چک","",IF(Sync!$P59="","",Sync!$P59))</f>
        <v/>
      </c>
      <c r="N59" t="str">
        <f>IF($M59="","",IF(ISNUMBER(Sync!$L59),IF(AND(Sync!$L59&gt;=10000101,Sync!$L59&lt;=99991231),RIGHT("0000"&amp;INT(Sync!$L59/10000),4)&amp;"/"&amp;RIGHT("00"&amp;INT(MOD(Sync!$L59,10000)/100),2)&amp;"/"&amp;RIGHT("00"&amp;MOD(Sync!$L59,100),2),""),IFERROR(RIGHT("0000"&amp;VALUE(TRIM(LEFT(Sync!$L59,FIND("/",Sync!$L59)-1))),4)&amp;"/"&amp;RIGHT("00"&amp;VALUE(TRIM(LEFT(MID(Sync!$L59,FIND("/",Sync!$L59)+1,20),FIND("/",MID(Sync!$L59,FIND("/",Sync!$L59)+1,20))-1))),2)&amp;"/"&amp;RIGHT("00"&amp;VALUE(TRIM(MID(MID(Sync!$L59,FIND("/",Sync!$L59)+1,20),FIND("/",MID(Sync!$L59,FIND("/",Sync!$L59)+1,20))+1,20))),2),"")))</f>
        <v/>
      </c>
    </row>
    <row r="60" spans="1:14" x14ac:dyDescent="0.2">
      <c r="A60" t="str">
        <f>IF(Issues!$B63="","",Issues!$B63)</f>
        <v/>
      </c>
      <c r="B60" t="str">
        <f>IF($A60="","",IF(ISNUMBER(Issues!$C63),IF(AND(Issues!$C63&gt;=10000101,Issues!$C63&lt;=99991231),INT(Issues!$C63/10000),""),IFERROR(VALUE(TRIM(LEFT(Issues!$C63,FIND("/",Issues!$C63)-1))),"")))</f>
        <v/>
      </c>
      <c r="C60" t="str">
        <f>IF(OR($A60="",$B60=""),"",IF(ISNUMBER(Issues!$C63),INT(MOD(Issues!$C63,10000)/100),IFERROR(VALUE(TRIM(LEFT(MID(Issues!$C63,FIND("/",Issues!$C63)+1,20),FIND("/",MID(Issues!$C63,FIND("/",Issues!$C63)+1,20))-1))),"")))</f>
        <v/>
      </c>
      <c r="D60" t="str">
        <f>IF(OR($A60="",$B60=""),"",IF(ISNUMBER(Issues!$C63),MOD(Issues!$C63,100),IFERROR(VALUE(TRIM(MID(MID(Issues!$C63,FIND("/",Issues!$C63)+1,20),FIND("/",MID(Issues!$C63,FIND("/",Issues!$C63)+1,20))+1,20))),"")))</f>
        <v/>
      </c>
      <c r="E60" t="str">
        <f t="shared" si="0"/>
        <v/>
      </c>
      <c r="F60" t="str">
        <f>IF($A60="","",IF(Issues!$D63="",0,Issues!$D63))</f>
        <v/>
      </c>
      <c r="G60" t="str">
        <f>IF($A60="","",Issues!$E63)</f>
        <v/>
      </c>
      <c r="H60" t="str">
        <f t="shared" si="1"/>
        <v/>
      </c>
      <c r="I60" t="str">
        <f t="shared" si="2"/>
        <v/>
      </c>
      <c r="J60" t="str">
        <f>IF($A60="","",Issues!$G63)</f>
        <v/>
      </c>
      <c r="K60" t="str">
        <f>IF(OR($E60="",$E60="نامعتبر"),"",LEFT($E60,4)&amp;MID($E60,6,2)&amp;RIGHT($E60,2)&amp;"|"&amp;RIGHT("00000"&amp;55,5))</f>
        <v/>
      </c>
      <c r="M60" t="str">
        <f>IF(Sync!$M60&lt;&gt;"پاس چک","",IF(Sync!$P60="","",Sync!$P60))</f>
        <v/>
      </c>
      <c r="N60" t="str">
        <f>IF($M60="","",IF(ISNUMBER(Sync!$L60),IF(AND(Sync!$L60&gt;=10000101,Sync!$L60&lt;=99991231),RIGHT("0000"&amp;INT(Sync!$L60/10000),4)&amp;"/"&amp;RIGHT("00"&amp;INT(MOD(Sync!$L60,10000)/100),2)&amp;"/"&amp;RIGHT("00"&amp;MOD(Sync!$L60,100),2),""),IFERROR(RIGHT("0000"&amp;VALUE(TRIM(LEFT(Sync!$L60,FIND("/",Sync!$L60)-1))),4)&amp;"/"&amp;RIGHT("00"&amp;VALUE(TRIM(LEFT(MID(Sync!$L60,FIND("/",Sync!$L60)+1,20),FIND("/",MID(Sync!$L60,FIND("/",Sync!$L60)+1,20))-1))),2)&amp;"/"&amp;RIGHT("00"&amp;VALUE(TRIM(MID(MID(Sync!$L60,FIND("/",Sync!$L60)+1,20),FIND("/",MID(Sync!$L60,FIND("/",Sync!$L60)+1,20))+1,20))),2),"")))</f>
        <v/>
      </c>
    </row>
    <row r="61" spans="1:14" x14ac:dyDescent="0.2">
      <c r="A61" t="str">
        <f>IF(Issues!$B64="","",Issues!$B64)</f>
        <v/>
      </c>
      <c r="B61" t="str">
        <f>IF($A61="","",IF(ISNUMBER(Issues!$C64),IF(AND(Issues!$C64&gt;=10000101,Issues!$C64&lt;=99991231),INT(Issues!$C64/10000),""),IFERROR(VALUE(TRIM(LEFT(Issues!$C64,FIND("/",Issues!$C64)-1))),"")))</f>
        <v/>
      </c>
      <c r="C61" t="str">
        <f>IF(OR($A61="",$B61=""),"",IF(ISNUMBER(Issues!$C64),INT(MOD(Issues!$C64,10000)/100),IFERROR(VALUE(TRIM(LEFT(MID(Issues!$C64,FIND("/",Issues!$C64)+1,20),FIND("/",MID(Issues!$C64,FIND("/",Issues!$C64)+1,20))-1))),"")))</f>
        <v/>
      </c>
      <c r="D61" t="str">
        <f>IF(OR($A61="",$B61=""),"",IF(ISNUMBER(Issues!$C64),MOD(Issues!$C64,100),IFERROR(VALUE(TRIM(MID(MID(Issues!$C64,FIND("/",Issues!$C64)+1,20),FIND("/",MID(Issues!$C64,FIND("/",Issues!$C64)+1,20))+1,20))),"")))</f>
        <v/>
      </c>
      <c r="E61" t="str">
        <f t="shared" si="0"/>
        <v/>
      </c>
      <c r="F61" t="str">
        <f>IF($A61="","",IF(Issues!$D64="",0,Issues!$D64))</f>
        <v/>
      </c>
      <c r="G61" t="str">
        <f>IF($A61="","",Issues!$E64)</f>
        <v/>
      </c>
      <c r="H61" t="str">
        <f t="shared" si="1"/>
        <v/>
      </c>
      <c r="I61" t="str">
        <f t="shared" si="2"/>
        <v/>
      </c>
      <c r="J61" t="str">
        <f>IF($A61="","",Issues!$G64)</f>
        <v/>
      </c>
      <c r="K61" t="str">
        <f>IF(OR($E61="",$E61="نامعتبر"),"",LEFT($E61,4)&amp;MID($E61,6,2)&amp;RIGHT($E61,2)&amp;"|"&amp;RIGHT("00000"&amp;56,5))</f>
        <v/>
      </c>
      <c r="M61" t="str">
        <f>IF(Sync!$M61&lt;&gt;"پاس چک","",IF(Sync!$P61="","",Sync!$P61))</f>
        <v/>
      </c>
      <c r="N61" t="str">
        <f>IF($M61="","",IF(ISNUMBER(Sync!$L61),IF(AND(Sync!$L61&gt;=10000101,Sync!$L61&lt;=99991231),RIGHT("0000"&amp;INT(Sync!$L61/10000),4)&amp;"/"&amp;RIGHT("00"&amp;INT(MOD(Sync!$L61,10000)/100),2)&amp;"/"&amp;RIGHT("00"&amp;MOD(Sync!$L61,100),2),""),IFERROR(RIGHT("0000"&amp;VALUE(TRIM(LEFT(Sync!$L61,FIND("/",Sync!$L61)-1))),4)&amp;"/"&amp;RIGHT("00"&amp;VALUE(TRIM(LEFT(MID(Sync!$L61,FIND("/",Sync!$L61)+1,20),FIND("/",MID(Sync!$L61,FIND("/",Sync!$L61)+1,20))-1))),2)&amp;"/"&amp;RIGHT("00"&amp;VALUE(TRIM(MID(MID(Sync!$L61,FIND("/",Sync!$L61)+1,20),FIND("/",MID(Sync!$L61,FIND("/",Sync!$L61)+1,20))+1,20))),2),"")))</f>
        <v/>
      </c>
    </row>
    <row r="62" spans="1:14" x14ac:dyDescent="0.2">
      <c r="A62" t="str">
        <f>IF(Issues!$B65="","",Issues!$B65)</f>
        <v/>
      </c>
      <c r="B62" t="str">
        <f>IF($A62="","",IF(ISNUMBER(Issues!$C65),IF(AND(Issues!$C65&gt;=10000101,Issues!$C65&lt;=99991231),INT(Issues!$C65/10000),""),IFERROR(VALUE(TRIM(LEFT(Issues!$C65,FIND("/",Issues!$C65)-1))),"")))</f>
        <v/>
      </c>
      <c r="C62" t="str">
        <f>IF(OR($A62="",$B62=""),"",IF(ISNUMBER(Issues!$C65),INT(MOD(Issues!$C65,10000)/100),IFERROR(VALUE(TRIM(LEFT(MID(Issues!$C65,FIND("/",Issues!$C65)+1,20),FIND("/",MID(Issues!$C65,FIND("/",Issues!$C65)+1,20))-1))),"")))</f>
        <v/>
      </c>
      <c r="D62" t="str">
        <f>IF(OR($A62="",$B62=""),"",IF(ISNUMBER(Issues!$C65),MOD(Issues!$C65,100),IFERROR(VALUE(TRIM(MID(MID(Issues!$C65,FIND("/",Issues!$C65)+1,20),FIND("/",MID(Issues!$C65,FIND("/",Issues!$C65)+1,20))+1,20))),"")))</f>
        <v/>
      </c>
      <c r="E62" t="str">
        <f t="shared" si="0"/>
        <v/>
      </c>
      <c r="F62" t="str">
        <f>IF($A62="","",IF(Issues!$D65="",0,Issues!$D65))</f>
        <v/>
      </c>
      <c r="G62" t="str">
        <f>IF($A62="","",Issues!$E65)</f>
        <v/>
      </c>
      <c r="H62" t="str">
        <f t="shared" si="1"/>
        <v/>
      </c>
      <c r="I62" t="str">
        <f t="shared" si="2"/>
        <v/>
      </c>
      <c r="J62" t="str">
        <f>IF($A62="","",Issues!$G65)</f>
        <v/>
      </c>
      <c r="K62" t="str">
        <f>IF(OR($E62="",$E62="نامعتبر"),"",LEFT($E62,4)&amp;MID($E62,6,2)&amp;RIGHT($E62,2)&amp;"|"&amp;RIGHT("00000"&amp;57,5))</f>
        <v/>
      </c>
      <c r="M62" t="str">
        <f>IF(Sync!$M62&lt;&gt;"پاس چک","",IF(Sync!$P62="","",Sync!$P62))</f>
        <v/>
      </c>
      <c r="N62" t="str">
        <f>IF($M62="","",IF(ISNUMBER(Sync!$L62),IF(AND(Sync!$L62&gt;=10000101,Sync!$L62&lt;=99991231),RIGHT("0000"&amp;INT(Sync!$L62/10000),4)&amp;"/"&amp;RIGHT("00"&amp;INT(MOD(Sync!$L62,10000)/100),2)&amp;"/"&amp;RIGHT("00"&amp;MOD(Sync!$L62,100),2),""),IFERROR(RIGHT("0000"&amp;VALUE(TRIM(LEFT(Sync!$L62,FIND("/",Sync!$L62)-1))),4)&amp;"/"&amp;RIGHT("00"&amp;VALUE(TRIM(LEFT(MID(Sync!$L62,FIND("/",Sync!$L62)+1,20),FIND("/",MID(Sync!$L62,FIND("/",Sync!$L62)+1,20))-1))),2)&amp;"/"&amp;RIGHT("00"&amp;VALUE(TRIM(MID(MID(Sync!$L62,FIND("/",Sync!$L62)+1,20),FIND("/",MID(Sync!$L62,FIND("/",Sync!$L62)+1,20))+1,20))),2),"")))</f>
        <v/>
      </c>
    </row>
    <row r="63" spans="1:14" x14ac:dyDescent="0.2">
      <c r="A63" t="str">
        <f>IF(Issues!$B66="","",Issues!$B66)</f>
        <v/>
      </c>
      <c r="B63" t="str">
        <f>IF($A63="","",IF(ISNUMBER(Issues!$C66),IF(AND(Issues!$C66&gt;=10000101,Issues!$C66&lt;=99991231),INT(Issues!$C66/10000),""),IFERROR(VALUE(TRIM(LEFT(Issues!$C66,FIND("/",Issues!$C66)-1))),"")))</f>
        <v/>
      </c>
      <c r="C63" t="str">
        <f>IF(OR($A63="",$B63=""),"",IF(ISNUMBER(Issues!$C66),INT(MOD(Issues!$C66,10000)/100),IFERROR(VALUE(TRIM(LEFT(MID(Issues!$C66,FIND("/",Issues!$C66)+1,20),FIND("/",MID(Issues!$C66,FIND("/",Issues!$C66)+1,20))-1))),"")))</f>
        <v/>
      </c>
      <c r="D63" t="str">
        <f>IF(OR($A63="",$B63=""),"",IF(ISNUMBER(Issues!$C66),MOD(Issues!$C66,100),IFERROR(VALUE(TRIM(MID(MID(Issues!$C66,FIND("/",Issues!$C66)+1,20),FIND("/",MID(Issues!$C66,FIND("/",Issues!$C66)+1,20))+1,20))),"")))</f>
        <v/>
      </c>
      <c r="E63" t="str">
        <f t="shared" si="0"/>
        <v/>
      </c>
      <c r="F63" t="str">
        <f>IF($A63="","",IF(Issues!$D66="",0,Issues!$D66))</f>
        <v/>
      </c>
      <c r="G63" t="str">
        <f>IF($A63="","",Issues!$E66)</f>
        <v/>
      </c>
      <c r="H63" t="str">
        <f t="shared" si="1"/>
        <v/>
      </c>
      <c r="I63" t="str">
        <f t="shared" si="2"/>
        <v/>
      </c>
      <c r="J63" t="str">
        <f>IF($A63="","",Issues!$G66)</f>
        <v/>
      </c>
      <c r="K63" t="str">
        <f>IF(OR($E63="",$E63="نامعتبر"),"",LEFT($E63,4)&amp;MID($E63,6,2)&amp;RIGHT($E63,2)&amp;"|"&amp;RIGHT("00000"&amp;58,5))</f>
        <v/>
      </c>
      <c r="M63" t="str">
        <f>IF(Sync!$M63&lt;&gt;"پاس چک","",IF(Sync!$P63="","",Sync!$P63))</f>
        <v/>
      </c>
      <c r="N63" t="str">
        <f>IF($M63="","",IF(ISNUMBER(Sync!$L63),IF(AND(Sync!$L63&gt;=10000101,Sync!$L63&lt;=99991231),RIGHT("0000"&amp;INT(Sync!$L63/10000),4)&amp;"/"&amp;RIGHT("00"&amp;INT(MOD(Sync!$L63,10000)/100),2)&amp;"/"&amp;RIGHT("00"&amp;MOD(Sync!$L63,100),2),""),IFERROR(RIGHT("0000"&amp;VALUE(TRIM(LEFT(Sync!$L63,FIND("/",Sync!$L63)-1))),4)&amp;"/"&amp;RIGHT("00"&amp;VALUE(TRIM(LEFT(MID(Sync!$L63,FIND("/",Sync!$L63)+1,20),FIND("/",MID(Sync!$L63,FIND("/",Sync!$L63)+1,20))-1))),2)&amp;"/"&amp;RIGHT("00"&amp;VALUE(TRIM(MID(MID(Sync!$L63,FIND("/",Sync!$L63)+1,20),FIND("/",MID(Sync!$L63,FIND("/",Sync!$L63)+1,20))+1,20))),2),"")))</f>
        <v/>
      </c>
    </row>
    <row r="64" spans="1:14" x14ac:dyDescent="0.2">
      <c r="A64" t="str">
        <f>IF(Issues!$B67="","",Issues!$B67)</f>
        <v/>
      </c>
      <c r="B64" t="str">
        <f>IF($A64="","",IF(ISNUMBER(Issues!$C67),IF(AND(Issues!$C67&gt;=10000101,Issues!$C67&lt;=99991231),INT(Issues!$C67/10000),""),IFERROR(VALUE(TRIM(LEFT(Issues!$C67,FIND("/",Issues!$C67)-1))),"")))</f>
        <v/>
      </c>
      <c r="C64" t="str">
        <f>IF(OR($A64="",$B64=""),"",IF(ISNUMBER(Issues!$C67),INT(MOD(Issues!$C67,10000)/100),IFERROR(VALUE(TRIM(LEFT(MID(Issues!$C67,FIND("/",Issues!$C67)+1,20),FIND("/",MID(Issues!$C67,FIND("/",Issues!$C67)+1,20))-1))),"")))</f>
        <v/>
      </c>
      <c r="D64" t="str">
        <f>IF(OR($A64="",$B64=""),"",IF(ISNUMBER(Issues!$C67),MOD(Issues!$C67,100),IFERROR(VALUE(TRIM(MID(MID(Issues!$C67,FIND("/",Issues!$C67)+1,20),FIND("/",MID(Issues!$C67,FIND("/",Issues!$C67)+1,20))+1,20))),"")))</f>
        <v/>
      </c>
      <c r="E64" t="str">
        <f t="shared" si="0"/>
        <v/>
      </c>
      <c r="F64" t="str">
        <f>IF($A64="","",IF(Issues!$D67="",0,Issues!$D67))</f>
        <v/>
      </c>
      <c r="G64" t="str">
        <f>IF($A64="","",Issues!$E67)</f>
        <v/>
      </c>
      <c r="H64" t="str">
        <f t="shared" si="1"/>
        <v/>
      </c>
      <c r="I64" t="str">
        <f t="shared" si="2"/>
        <v/>
      </c>
      <c r="J64" t="str">
        <f>IF($A64="","",Issues!$G67)</f>
        <v/>
      </c>
      <c r="K64" t="str">
        <f>IF(OR($E64="",$E64="نامعتبر"),"",LEFT($E64,4)&amp;MID($E64,6,2)&amp;RIGHT($E64,2)&amp;"|"&amp;RIGHT("00000"&amp;59,5))</f>
        <v/>
      </c>
      <c r="M64" t="str">
        <f>IF(Sync!$M64&lt;&gt;"پاس چک","",IF(Sync!$P64="","",Sync!$P64))</f>
        <v/>
      </c>
      <c r="N64" t="str">
        <f>IF($M64="","",IF(ISNUMBER(Sync!$L64),IF(AND(Sync!$L64&gt;=10000101,Sync!$L64&lt;=99991231),RIGHT("0000"&amp;INT(Sync!$L64/10000),4)&amp;"/"&amp;RIGHT("00"&amp;INT(MOD(Sync!$L64,10000)/100),2)&amp;"/"&amp;RIGHT("00"&amp;MOD(Sync!$L64,100),2),""),IFERROR(RIGHT("0000"&amp;VALUE(TRIM(LEFT(Sync!$L64,FIND("/",Sync!$L64)-1))),4)&amp;"/"&amp;RIGHT("00"&amp;VALUE(TRIM(LEFT(MID(Sync!$L64,FIND("/",Sync!$L64)+1,20),FIND("/",MID(Sync!$L64,FIND("/",Sync!$L64)+1,20))-1))),2)&amp;"/"&amp;RIGHT("00"&amp;VALUE(TRIM(MID(MID(Sync!$L64,FIND("/",Sync!$L64)+1,20),FIND("/",MID(Sync!$L64,FIND("/",Sync!$L64)+1,20))+1,20))),2),"")))</f>
        <v/>
      </c>
    </row>
    <row r="65" spans="1:14" x14ac:dyDescent="0.2">
      <c r="A65" t="str">
        <f>IF(Issues!$B68="","",Issues!$B68)</f>
        <v/>
      </c>
      <c r="B65" t="str">
        <f>IF($A65="","",IF(ISNUMBER(Issues!$C68),IF(AND(Issues!$C68&gt;=10000101,Issues!$C68&lt;=99991231),INT(Issues!$C68/10000),""),IFERROR(VALUE(TRIM(LEFT(Issues!$C68,FIND("/",Issues!$C68)-1))),"")))</f>
        <v/>
      </c>
      <c r="C65" t="str">
        <f>IF(OR($A65="",$B65=""),"",IF(ISNUMBER(Issues!$C68),INT(MOD(Issues!$C68,10000)/100),IFERROR(VALUE(TRIM(LEFT(MID(Issues!$C68,FIND("/",Issues!$C68)+1,20),FIND("/",MID(Issues!$C68,FIND("/",Issues!$C68)+1,20))-1))),"")))</f>
        <v/>
      </c>
      <c r="D65" t="str">
        <f>IF(OR($A65="",$B65=""),"",IF(ISNUMBER(Issues!$C68),MOD(Issues!$C68,100),IFERROR(VALUE(TRIM(MID(MID(Issues!$C68,FIND("/",Issues!$C68)+1,20),FIND("/",MID(Issues!$C68,FIND("/",Issues!$C68)+1,20))+1,20))),"")))</f>
        <v/>
      </c>
      <c r="E65" t="str">
        <f t="shared" si="0"/>
        <v/>
      </c>
      <c r="F65" t="str">
        <f>IF($A65="","",IF(Issues!$D68="",0,Issues!$D68))</f>
        <v/>
      </c>
      <c r="G65" t="str">
        <f>IF($A65="","",Issues!$E68)</f>
        <v/>
      </c>
      <c r="H65" t="str">
        <f t="shared" si="1"/>
        <v/>
      </c>
      <c r="I65" t="str">
        <f t="shared" si="2"/>
        <v/>
      </c>
      <c r="J65" t="str">
        <f>IF($A65="","",Issues!$G68)</f>
        <v/>
      </c>
      <c r="K65" t="str">
        <f>IF(OR($E65="",$E65="نامعتبر"),"",LEFT($E65,4)&amp;MID($E65,6,2)&amp;RIGHT($E65,2)&amp;"|"&amp;RIGHT("00000"&amp;60,5))</f>
        <v/>
      </c>
      <c r="M65" t="str">
        <f>IF(Sync!$M65&lt;&gt;"پاس چک","",IF(Sync!$P65="","",Sync!$P65))</f>
        <v/>
      </c>
      <c r="N65" t="str">
        <f>IF($M65="","",IF(ISNUMBER(Sync!$L65),IF(AND(Sync!$L65&gt;=10000101,Sync!$L65&lt;=99991231),RIGHT("0000"&amp;INT(Sync!$L65/10000),4)&amp;"/"&amp;RIGHT("00"&amp;INT(MOD(Sync!$L65,10000)/100),2)&amp;"/"&amp;RIGHT("00"&amp;MOD(Sync!$L65,100),2),""),IFERROR(RIGHT("0000"&amp;VALUE(TRIM(LEFT(Sync!$L65,FIND("/",Sync!$L65)-1))),4)&amp;"/"&amp;RIGHT("00"&amp;VALUE(TRIM(LEFT(MID(Sync!$L65,FIND("/",Sync!$L65)+1,20),FIND("/",MID(Sync!$L65,FIND("/",Sync!$L65)+1,20))-1))),2)&amp;"/"&amp;RIGHT("00"&amp;VALUE(TRIM(MID(MID(Sync!$L65,FIND("/",Sync!$L65)+1,20),FIND("/",MID(Sync!$L65,FIND("/",Sync!$L65)+1,20))+1,20))),2),"")))</f>
        <v/>
      </c>
    </row>
    <row r="66" spans="1:14" x14ac:dyDescent="0.2">
      <c r="A66" t="str">
        <f>IF(Issues!$B69="","",Issues!$B69)</f>
        <v/>
      </c>
      <c r="B66" t="str">
        <f>IF($A66="","",IF(ISNUMBER(Issues!$C69),IF(AND(Issues!$C69&gt;=10000101,Issues!$C69&lt;=99991231),INT(Issues!$C69/10000),""),IFERROR(VALUE(TRIM(LEFT(Issues!$C69,FIND("/",Issues!$C69)-1))),"")))</f>
        <v/>
      </c>
      <c r="C66" t="str">
        <f>IF(OR($A66="",$B66=""),"",IF(ISNUMBER(Issues!$C69),INT(MOD(Issues!$C69,10000)/100),IFERROR(VALUE(TRIM(LEFT(MID(Issues!$C69,FIND("/",Issues!$C69)+1,20),FIND("/",MID(Issues!$C69,FIND("/",Issues!$C69)+1,20))-1))),"")))</f>
        <v/>
      </c>
      <c r="D66" t="str">
        <f>IF(OR($A66="",$B66=""),"",IF(ISNUMBER(Issues!$C69),MOD(Issues!$C69,100),IFERROR(VALUE(TRIM(MID(MID(Issues!$C69,FIND("/",Issues!$C69)+1,20),FIND("/",MID(Issues!$C69,FIND("/",Issues!$C69)+1,20))+1,20))),"")))</f>
        <v/>
      </c>
      <c r="E66" t="str">
        <f t="shared" si="0"/>
        <v/>
      </c>
      <c r="F66" t="str">
        <f>IF($A66="","",IF(Issues!$D69="",0,Issues!$D69))</f>
        <v/>
      </c>
      <c r="G66" t="str">
        <f>IF($A66="","",Issues!$E69)</f>
        <v/>
      </c>
      <c r="H66" t="str">
        <f t="shared" si="1"/>
        <v/>
      </c>
      <c r="I66" t="str">
        <f t="shared" si="2"/>
        <v/>
      </c>
      <c r="J66" t="str">
        <f>IF($A66="","",Issues!$G69)</f>
        <v/>
      </c>
      <c r="K66" t="str">
        <f>IF(OR($E66="",$E66="نامعتبر"),"",LEFT($E66,4)&amp;MID($E66,6,2)&amp;RIGHT($E66,2)&amp;"|"&amp;RIGHT("00000"&amp;61,5))</f>
        <v/>
      </c>
      <c r="M66" t="str">
        <f>IF(Sync!$M66&lt;&gt;"پاس چک","",IF(Sync!$P66="","",Sync!$P66))</f>
        <v/>
      </c>
      <c r="N66" t="str">
        <f>IF($M66="","",IF(ISNUMBER(Sync!$L66),IF(AND(Sync!$L66&gt;=10000101,Sync!$L66&lt;=99991231),RIGHT("0000"&amp;INT(Sync!$L66/10000),4)&amp;"/"&amp;RIGHT("00"&amp;INT(MOD(Sync!$L66,10000)/100),2)&amp;"/"&amp;RIGHT("00"&amp;MOD(Sync!$L66,100),2),""),IFERROR(RIGHT("0000"&amp;VALUE(TRIM(LEFT(Sync!$L66,FIND("/",Sync!$L66)-1))),4)&amp;"/"&amp;RIGHT("00"&amp;VALUE(TRIM(LEFT(MID(Sync!$L66,FIND("/",Sync!$L66)+1,20),FIND("/",MID(Sync!$L66,FIND("/",Sync!$L66)+1,20))-1))),2)&amp;"/"&amp;RIGHT("00"&amp;VALUE(TRIM(MID(MID(Sync!$L66,FIND("/",Sync!$L66)+1,20),FIND("/",MID(Sync!$L66,FIND("/",Sync!$L66)+1,20))+1,20))),2),"")))</f>
        <v/>
      </c>
    </row>
    <row r="67" spans="1:14" x14ac:dyDescent="0.2">
      <c r="A67" t="str">
        <f>IF(Issues!$B70="","",Issues!$B70)</f>
        <v/>
      </c>
      <c r="B67" t="str">
        <f>IF($A67="","",IF(ISNUMBER(Issues!$C70),IF(AND(Issues!$C70&gt;=10000101,Issues!$C70&lt;=99991231),INT(Issues!$C70/10000),""),IFERROR(VALUE(TRIM(LEFT(Issues!$C70,FIND("/",Issues!$C70)-1))),"")))</f>
        <v/>
      </c>
      <c r="C67" t="str">
        <f>IF(OR($A67="",$B67=""),"",IF(ISNUMBER(Issues!$C70),INT(MOD(Issues!$C70,10000)/100),IFERROR(VALUE(TRIM(LEFT(MID(Issues!$C70,FIND("/",Issues!$C70)+1,20),FIND("/",MID(Issues!$C70,FIND("/",Issues!$C70)+1,20))-1))),"")))</f>
        <v/>
      </c>
      <c r="D67" t="str">
        <f>IF(OR($A67="",$B67=""),"",IF(ISNUMBER(Issues!$C70),MOD(Issues!$C70,100),IFERROR(VALUE(TRIM(MID(MID(Issues!$C70,FIND("/",Issues!$C70)+1,20),FIND("/",MID(Issues!$C70,FIND("/",Issues!$C70)+1,20))+1,20))),"")))</f>
        <v/>
      </c>
      <c r="E67" t="str">
        <f t="shared" si="0"/>
        <v/>
      </c>
      <c r="F67" t="str">
        <f>IF($A67="","",IF(Issues!$D70="",0,Issues!$D70))</f>
        <v/>
      </c>
      <c r="G67" t="str">
        <f>IF($A67="","",Issues!$E70)</f>
        <v/>
      </c>
      <c r="H67" t="str">
        <f t="shared" si="1"/>
        <v/>
      </c>
      <c r="I67" t="str">
        <f t="shared" si="2"/>
        <v/>
      </c>
      <c r="J67" t="str">
        <f>IF($A67="","",Issues!$G70)</f>
        <v/>
      </c>
      <c r="K67" t="str">
        <f>IF(OR($E67="",$E67="نامعتبر"),"",LEFT($E67,4)&amp;MID($E67,6,2)&amp;RIGHT($E67,2)&amp;"|"&amp;RIGHT("00000"&amp;62,5))</f>
        <v/>
      </c>
      <c r="M67" t="str">
        <f>IF(Sync!$M67&lt;&gt;"پاس چک","",IF(Sync!$P67="","",Sync!$P67))</f>
        <v/>
      </c>
      <c r="N67" t="str">
        <f>IF($M67="","",IF(ISNUMBER(Sync!$L67),IF(AND(Sync!$L67&gt;=10000101,Sync!$L67&lt;=99991231),RIGHT("0000"&amp;INT(Sync!$L67/10000),4)&amp;"/"&amp;RIGHT("00"&amp;INT(MOD(Sync!$L67,10000)/100),2)&amp;"/"&amp;RIGHT("00"&amp;MOD(Sync!$L67,100),2),""),IFERROR(RIGHT("0000"&amp;VALUE(TRIM(LEFT(Sync!$L67,FIND("/",Sync!$L67)-1))),4)&amp;"/"&amp;RIGHT("00"&amp;VALUE(TRIM(LEFT(MID(Sync!$L67,FIND("/",Sync!$L67)+1,20),FIND("/",MID(Sync!$L67,FIND("/",Sync!$L67)+1,20))-1))),2)&amp;"/"&amp;RIGHT("00"&amp;VALUE(TRIM(MID(MID(Sync!$L67,FIND("/",Sync!$L67)+1,20),FIND("/",MID(Sync!$L67,FIND("/",Sync!$L67)+1,20))+1,20))),2),"")))</f>
        <v/>
      </c>
    </row>
    <row r="68" spans="1:14" x14ac:dyDescent="0.2">
      <c r="A68" t="str">
        <f>IF(Issues!$B71="","",Issues!$B71)</f>
        <v/>
      </c>
      <c r="B68" t="str">
        <f>IF($A68="","",IF(ISNUMBER(Issues!$C71),IF(AND(Issues!$C71&gt;=10000101,Issues!$C71&lt;=99991231),INT(Issues!$C71/10000),""),IFERROR(VALUE(TRIM(LEFT(Issues!$C71,FIND("/",Issues!$C71)-1))),"")))</f>
        <v/>
      </c>
      <c r="C68" t="str">
        <f>IF(OR($A68="",$B68=""),"",IF(ISNUMBER(Issues!$C71),INT(MOD(Issues!$C71,10000)/100),IFERROR(VALUE(TRIM(LEFT(MID(Issues!$C71,FIND("/",Issues!$C71)+1,20),FIND("/",MID(Issues!$C71,FIND("/",Issues!$C71)+1,20))-1))),"")))</f>
        <v/>
      </c>
      <c r="D68" t="str">
        <f>IF(OR($A68="",$B68=""),"",IF(ISNUMBER(Issues!$C71),MOD(Issues!$C71,100),IFERROR(VALUE(TRIM(MID(MID(Issues!$C71,FIND("/",Issues!$C71)+1,20),FIND("/",MID(Issues!$C71,FIND("/",Issues!$C71)+1,20))+1,20))),"")))</f>
        <v/>
      </c>
      <c r="E68" t="str">
        <f t="shared" si="0"/>
        <v/>
      </c>
      <c r="F68" t="str">
        <f>IF($A68="","",IF(Issues!$D71="",0,Issues!$D71))</f>
        <v/>
      </c>
      <c r="G68" t="str">
        <f>IF($A68="","",Issues!$E71)</f>
        <v/>
      </c>
      <c r="H68" t="str">
        <f t="shared" si="1"/>
        <v/>
      </c>
      <c r="I68" t="str">
        <f t="shared" si="2"/>
        <v/>
      </c>
      <c r="J68" t="str">
        <f>IF($A68="","",Issues!$G71)</f>
        <v/>
      </c>
      <c r="K68" t="str">
        <f>IF(OR($E68="",$E68="نامعتبر"),"",LEFT($E68,4)&amp;MID($E68,6,2)&amp;RIGHT($E68,2)&amp;"|"&amp;RIGHT("00000"&amp;63,5))</f>
        <v/>
      </c>
      <c r="M68" t="str">
        <f>IF(Sync!$M68&lt;&gt;"پاس چک","",IF(Sync!$P68="","",Sync!$P68))</f>
        <v/>
      </c>
      <c r="N68" t="str">
        <f>IF($M68="","",IF(ISNUMBER(Sync!$L68),IF(AND(Sync!$L68&gt;=10000101,Sync!$L68&lt;=99991231),RIGHT("0000"&amp;INT(Sync!$L68/10000),4)&amp;"/"&amp;RIGHT("00"&amp;INT(MOD(Sync!$L68,10000)/100),2)&amp;"/"&amp;RIGHT("00"&amp;MOD(Sync!$L68,100),2),""),IFERROR(RIGHT("0000"&amp;VALUE(TRIM(LEFT(Sync!$L68,FIND("/",Sync!$L68)-1))),4)&amp;"/"&amp;RIGHT("00"&amp;VALUE(TRIM(LEFT(MID(Sync!$L68,FIND("/",Sync!$L68)+1,20),FIND("/",MID(Sync!$L68,FIND("/",Sync!$L68)+1,20))-1))),2)&amp;"/"&amp;RIGHT("00"&amp;VALUE(TRIM(MID(MID(Sync!$L68,FIND("/",Sync!$L68)+1,20),FIND("/",MID(Sync!$L68,FIND("/",Sync!$L68)+1,20))+1,20))),2),"")))</f>
        <v/>
      </c>
    </row>
    <row r="69" spans="1:14" x14ac:dyDescent="0.2">
      <c r="A69" t="str">
        <f>IF(Issues!$B72="","",Issues!$B72)</f>
        <v/>
      </c>
      <c r="B69" t="str">
        <f>IF($A69="","",IF(ISNUMBER(Issues!$C72),IF(AND(Issues!$C72&gt;=10000101,Issues!$C72&lt;=99991231),INT(Issues!$C72/10000),""),IFERROR(VALUE(TRIM(LEFT(Issues!$C72,FIND("/",Issues!$C72)-1))),"")))</f>
        <v/>
      </c>
      <c r="C69" t="str">
        <f>IF(OR($A69="",$B69=""),"",IF(ISNUMBER(Issues!$C72),INT(MOD(Issues!$C72,10000)/100),IFERROR(VALUE(TRIM(LEFT(MID(Issues!$C72,FIND("/",Issues!$C72)+1,20),FIND("/",MID(Issues!$C72,FIND("/",Issues!$C72)+1,20))-1))),"")))</f>
        <v/>
      </c>
      <c r="D69" t="str">
        <f>IF(OR($A69="",$B69=""),"",IF(ISNUMBER(Issues!$C72),MOD(Issues!$C72,100),IFERROR(VALUE(TRIM(MID(MID(Issues!$C72,FIND("/",Issues!$C72)+1,20),FIND("/",MID(Issues!$C72,FIND("/",Issues!$C72)+1,20))+1,20))),"")))</f>
        <v/>
      </c>
      <c r="E69" t="str">
        <f t="shared" si="0"/>
        <v/>
      </c>
      <c r="F69" t="str">
        <f>IF($A69="","",IF(Issues!$D72="",0,Issues!$D72))</f>
        <v/>
      </c>
      <c r="G69" t="str">
        <f>IF($A69="","",Issues!$E72)</f>
        <v/>
      </c>
      <c r="H69" t="str">
        <f t="shared" si="1"/>
        <v/>
      </c>
      <c r="I69" t="str">
        <f t="shared" si="2"/>
        <v/>
      </c>
      <c r="J69" t="str">
        <f>IF($A69="","",Issues!$G72)</f>
        <v/>
      </c>
      <c r="K69" t="str">
        <f>IF(OR($E69="",$E69="نامعتبر"),"",LEFT($E69,4)&amp;MID($E69,6,2)&amp;RIGHT($E69,2)&amp;"|"&amp;RIGHT("00000"&amp;64,5))</f>
        <v/>
      </c>
      <c r="M69" t="str">
        <f>IF(Sync!$M69&lt;&gt;"پاس چک","",IF(Sync!$P69="","",Sync!$P69))</f>
        <v/>
      </c>
      <c r="N69" t="str">
        <f>IF($M69="","",IF(ISNUMBER(Sync!$L69),IF(AND(Sync!$L69&gt;=10000101,Sync!$L69&lt;=99991231),RIGHT("0000"&amp;INT(Sync!$L69/10000),4)&amp;"/"&amp;RIGHT("00"&amp;INT(MOD(Sync!$L69,10000)/100),2)&amp;"/"&amp;RIGHT("00"&amp;MOD(Sync!$L69,100),2),""),IFERROR(RIGHT("0000"&amp;VALUE(TRIM(LEFT(Sync!$L69,FIND("/",Sync!$L69)-1))),4)&amp;"/"&amp;RIGHT("00"&amp;VALUE(TRIM(LEFT(MID(Sync!$L69,FIND("/",Sync!$L69)+1,20),FIND("/",MID(Sync!$L69,FIND("/",Sync!$L69)+1,20))-1))),2)&amp;"/"&amp;RIGHT("00"&amp;VALUE(TRIM(MID(MID(Sync!$L69,FIND("/",Sync!$L69)+1,20),FIND("/",MID(Sync!$L69,FIND("/",Sync!$L69)+1,20))+1,20))),2),"")))</f>
        <v/>
      </c>
    </row>
    <row r="70" spans="1:14" x14ac:dyDescent="0.2">
      <c r="A70" t="str">
        <f>IF(Issues!$B73="","",Issues!$B73)</f>
        <v/>
      </c>
      <c r="B70" t="str">
        <f>IF($A70="","",IF(ISNUMBER(Issues!$C73),IF(AND(Issues!$C73&gt;=10000101,Issues!$C73&lt;=99991231),INT(Issues!$C73/10000),""),IFERROR(VALUE(TRIM(LEFT(Issues!$C73,FIND("/",Issues!$C73)-1))),"")))</f>
        <v/>
      </c>
      <c r="C70" t="str">
        <f>IF(OR($A70="",$B70=""),"",IF(ISNUMBER(Issues!$C73),INT(MOD(Issues!$C73,10000)/100),IFERROR(VALUE(TRIM(LEFT(MID(Issues!$C73,FIND("/",Issues!$C73)+1,20),FIND("/",MID(Issues!$C73,FIND("/",Issues!$C73)+1,20))-1))),"")))</f>
        <v/>
      </c>
      <c r="D70" t="str">
        <f>IF(OR($A70="",$B70=""),"",IF(ISNUMBER(Issues!$C73),MOD(Issues!$C73,100),IFERROR(VALUE(TRIM(MID(MID(Issues!$C73,FIND("/",Issues!$C73)+1,20),FIND("/",MID(Issues!$C73,FIND("/",Issues!$C73)+1,20))+1,20))),"")))</f>
        <v/>
      </c>
      <c r="E70" t="str">
        <f t="shared" ref="E70:E133" si="3">IF($A70="","",IF(OR($B70="",$C70="",$D70="",$B70&lt;1300,$B70&gt;1500,$C70&lt;1,$C70&gt;12,$D70&lt;1,$D70&gt;31),"نامعتبر",RIGHT("0000"&amp;$B70,4)&amp;"/"&amp;RIGHT("00"&amp;$C70,2)&amp;"/"&amp;RIGHT("00"&amp;$D70,2)))</f>
        <v/>
      </c>
      <c r="F70" t="str">
        <f>IF($A70="","",IF(Issues!$D73="",0,Issues!$D73))</f>
        <v/>
      </c>
      <c r="G70" t="str">
        <f>IF($A70="","",Issues!$E73)</f>
        <v/>
      </c>
      <c r="H70" t="str">
        <f t="shared" ref="H70:H133" si="4">IF($A70="","",IF(COUNTIFS(ETxnType,"پاس چک",ETxnChk,$A70)&gt;0,"پاس شده","پاس نشده"))</f>
        <v/>
      </c>
      <c r="I70" t="str">
        <f t="shared" ref="I70:I133" si="5">IF($A70="","",IFERROR(INDEX(BClrDate,MATCH($A70,BClrChk,0)),""))</f>
        <v/>
      </c>
      <c r="J70" t="str">
        <f>IF($A70="","",Issues!$G73)</f>
        <v/>
      </c>
      <c r="K70" t="str">
        <f>IF(OR($E70="",$E70="نامعتبر"),"",LEFT($E70,4)&amp;MID($E70,6,2)&amp;RIGHT($E70,2)&amp;"|"&amp;RIGHT("00000"&amp;65,5))</f>
        <v/>
      </c>
      <c r="M70" t="str">
        <f>IF(Sync!$M70&lt;&gt;"پاس چک","",IF(Sync!$P70="","",Sync!$P70))</f>
        <v/>
      </c>
      <c r="N70" t="str">
        <f>IF($M70="","",IF(ISNUMBER(Sync!$L70),IF(AND(Sync!$L70&gt;=10000101,Sync!$L70&lt;=99991231),RIGHT("0000"&amp;INT(Sync!$L70/10000),4)&amp;"/"&amp;RIGHT("00"&amp;INT(MOD(Sync!$L70,10000)/100),2)&amp;"/"&amp;RIGHT("00"&amp;MOD(Sync!$L70,100),2),""),IFERROR(RIGHT("0000"&amp;VALUE(TRIM(LEFT(Sync!$L70,FIND("/",Sync!$L70)-1))),4)&amp;"/"&amp;RIGHT("00"&amp;VALUE(TRIM(LEFT(MID(Sync!$L70,FIND("/",Sync!$L70)+1,20),FIND("/",MID(Sync!$L70,FIND("/",Sync!$L70)+1,20))-1))),2)&amp;"/"&amp;RIGHT("00"&amp;VALUE(TRIM(MID(MID(Sync!$L70,FIND("/",Sync!$L70)+1,20),FIND("/",MID(Sync!$L70,FIND("/",Sync!$L70)+1,20))+1,20))),2),"")))</f>
        <v/>
      </c>
    </row>
    <row r="71" spans="1:14" x14ac:dyDescent="0.2">
      <c r="A71" t="str">
        <f>IF(Issues!$B74="","",Issues!$B74)</f>
        <v/>
      </c>
      <c r="B71" t="str">
        <f>IF($A71="","",IF(ISNUMBER(Issues!$C74),IF(AND(Issues!$C74&gt;=10000101,Issues!$C74&lt;=99991231),INT(Issues!$C74/10000),""),IFERROR(VALUE(TRIM(LEFT(Issues!$C74,FIND("/",Issues!$C74)-1))),"")))</f>
        <v/>
      </c>
      <c r="C71" t="str">
        <f>IF(OR($A71="",$B71=""),"",IF(ISNUMBER(Issues!$C74),INT(MOD(Issues!$C74,10000)/100),IFERROR(VALUE(TRIM(LEFT(MID(Issues!$C74,FIND("/",Issues!$C74)+1,20),FIND("/",MID(Issues!$C74,FIND("/",Issues!$C74)+1,20))-1))),"")))</f>
        <v/>
      </c>
      <c r="D71" t="str">
        <f>IF(OR($A71="",$B71=""),"",IF(ISNUMBER(Issues!$C74),MOD(Issues!$C74,100),IFERROR(VALUE(TRIM(MID(MID(Issues!$C74,FIND("/",Issues!$C74)+1,20),FIND("/",MID(Issues!$C74,FIND("/",Issues!$C74)+1,20))+1,20))),"")))</f>
        <v/>
      </c>
      <c r="E71" t="str">
        <f t="shared" si="3"/>
        <v/>
      </c>
      <c r="F71" t="str">
        <f>IF($A71="","",IF(Issues!$D74="",0,Issues!$D74))</f>
        <v/>
      </c>
      <c r="G71" t="str">
        <f>IF($A71="","",Issues!$E74)</f>
        <v/>
      </c>
      <c r="H71" t="str">
        <f t="shared" si="4"/>
        <v/>
      </c>
      <c r="I71" t="str">
        <f t="shared" si="5"/>
        <v/>
      </c>
      <c r="J71" t="str">
        <f>IF($A71="","",Issues!$G74)</f>
        <v/>
      </c>
      <c r="K71" t="str">
        <f>IF(OR($E71="",$E71="نامعتبر"),"",LEFT($E71,4)&amp;MID($E71,6,2)&amp;RIGHT($E71,2)&amp;"|"&amp;RIGHT("00000"&amp;66,5))</f>
        <v/>
      </c>
      <c r="M71" t="str">
        <f>IF(Sync!$M71&lt;&gt;"پاس چک","",IF(Sync!$P71="","",Sync!$P71))</f>
        <v/>
      </c>
      <c r="N71" t="str">
        <f>IF($M71="","",IF(ISNUMBER(Sync!$L71),IF(AND(Sync!$L71&gt;=10000101,Sync!$L71&lt;=99991231),RIGHT("0000"&amp;INT(Sync!$L71/10000),4)&amp;"/"&amp;RIGHT("00"&amp;INT(MOD(Sync!$L71,10000)/100),2)&amp;"/"&amp;RIGHT("00"&amp;MOD(Sync!$L71,100),2),""),IFERROR(RIGHT("0000"&amp;VALUE(TRIM(LEFT(Sync!$L71,FIND("/",Sync!$L71)-1))),4)&amp;"/"&amp;RIGHT("00"&amp;VALUE(TRIM(LEFT(MID(Sync!$L71,FIND("/",Sync!$L71)+1,20),FIND("/",MID(Sync!$L71,FIND("/",Sync!$L71)+1,20))-1))),2)&amp;"/"&amp;RIGHT("00"&amp;VALUE(TRIM(MID(MID(Sync!$L71,FIND("/",Sync!$L71)+1,20),FIND("/",MID(Sync!$L71,FIND("/",Sync!$L71)+1,20))+1,20))),2),"")))</f>
        <v/>
      </c>
    </row>
    <row r="72" spans="1:14" x14ac:dyDescent="0.2">
      <c r="A72" t="str">
        <f>IF(Issues!$B75="","",Issues!$B75)</f>
        <v/>
      </c>
      <c r="B72" t="str">
        <f>IF($A72="","",IF(ISNUMBER(Issues!$C75),IF(AND(Issues!$C75&gt;=10000101,Issues!$C75&lt;=99991231),INT(Issues!$C75/10000),""),IFERROR(VALUE(TRIM(LEFT(Issues!$C75,FIND("/",Issues!$C75)-1))),"")))</f>
        <v/>
      </c>
      <c r="C72" t="str">
        <f>IF(OR($A72="",$B72=""),"",IF(ISNUMBER(Issues!$C75),INT(MOD(Issues!$C75,10000)/100),IFERROR(VALUE(TRIM(LEFT(MID(Issues!$C75,FIND("/",Issues!$C75)+1,20),FIND("/",MID(Issues!$C75,FIND("/",Issues!$C75)+1,20))-1))),"")))</f>
        <v/>
      </c>
      <c r="D72" t="str">
        <f>IF(OR($A72="",$B72=""),"",IF(ISNUMBER(Issues!$C75),MOD(Issues!$C75,100),IFERROR(VALUE(TRIM(MID(MID(Issues!$C75,FIND("/",Issues!$C75)+1,20),FIND("/",MID(Issues!$C75,FIND("/",Issues!$C75)+1,20))+1,20))),"")))</f>
        <v/>
      </c>
      <c r="E72" t="str">
        <f t="shared" si="3"/>
        <v/>
      </c>
      <c r="F72" t="str">
        <f>IF($A72="","",IF(Issues!$D75="",0,Issues!$D75))</f>
        <v/>
      </c>
      <c r="G72" t="str">
        <f>IF($A72="","",Issues!$E75)</f>
        <v/>
      </c>
      <c r="H72" t="str">
        <f t="shared" si="4"/>
        <v/>
      </c>
      <c r="I72" t="str">
        <f t="shared" si="5"/>
        <v/>
      </c>
      <c r="J72" t="str">
        <f>IF($A72="","",Issues!$G75)</f>
        <v/>
      </c>
      <c r="K72" t="str">
        <f>IF(OR($E72="",$E72="نامعتبر"),"",LEFT($E72,4)&amp;MID($E72,6,2)&amp;RIGHT($E72,2)&amp;"|"&amp;RIGHT("00000"&amp;67,5))</f>
        <v/>
      </c>
      <c r="M72" t="str">
        <f>IF(Sync!$M72&lt;&gt;"پاس چک","",IF(Sync!$P72="","",Sync!$P72))</f>
        <v/>
      </c>
      <c r="N72" t="str">
        <f>IF($M72="","",IF(ISNUMBER(Sync!$L72),IF(AND(Sync!$L72&gt;=10000101,Sync!$L72&lt;=99991231),RIGHT("0000"&amp;INT(Sync!$L72/10000),4)&amp;"/"&amp;RIGHT("00"&amp;INT(MOD(Sync!$L72,10000)/100),2)&amp;"/"&amp;RIGHT("00"&amp;MOD(Sync!$L72,100),2),""),IFERROR(RIGHT("0000"&amp;VALUE(TRIM(LEFT(Sync!$L72,FIND("/",Sync!$L72)-1))),4)&amp;"/"&amp;RIGHT("00"&amp;VALUE(TRIM(LEFT(MID(Sync!$L72,FIND("/",Sync!$L72)+1,20),FIND("/",MID(Sync!$L72,FIND("/",Sync!$L72)+1,20))-1))),2)&amp;"/"&amp;RIGHT("00"&amp;VALUE(TRIM(MID(MID(Sync!$L72,FIND("/",Sync!$L72)+1,20),FIND("/",MID(Sync!$L72,FIND("/",Sync!$L72)+1,20))+1,20))),2),"")))</f>
        <v/>
      </c>
    </row>
    <row r="73" spans="1:14" x14ac:dyDescent="0.2">
      <c r="A73" t="str">
        <f>IF(Issues!$B76="","",Issues!$B76)</f>
        <v/>
      </c>
      <c r="B73" t="str">
        <f>IF($A73="","",IF(ISNUMBER(Issues!$C76),IF(AND(Issues!$C76&gt;=10000101,Issues!$C76&lt;=99991231),INT(Issues!$C76/10000),""),IFERROR(VALUE(TRIM(LEFT(Issues!$C76,FIND("/",Issues!$C76)-1))),"")))</f>
        <v/>
      </c>
      <c r="C73" t="str">
        <f>IF(OR($A73="",$B73=""),"",IF(ISNUMBER(Issues!$C76),INT(MOD(Issues!$C76,10000)/100),IFERROR(VALUE(TRIM(LEFT(MID(Issues!$C76,FIND("/",Issues!$C76)+1,20),FIND("/",MID(Issues!$C76,FIND("/",Issues!$C76)+1,20))-1))),"")))</f>
        <v/>
      </c>
      <c r="D73" t="str">
        <f>IF(OR($A73="",$B73=""),"",IF(ISNUMBER(Issues!$C76),MOD(Issues!$C76,100),IFERROR(VALUE(TRIM(MID(MID(Issues!$C76,FIND("/",Issues!$C76)+1,20),FIND("/",MID(Issues!$C76,FIND("/",Issues!$C76)+1,20))+1,20))),"")))</f>
        <v/>
      </c>
      <c r="E73" t="str">
        <f t="shared" si="3"/>
        <v/>
      </c>
      <c r="F73" t="str">
        <f>IF($A73="","",IF(Issues!$D76="",0,Issues!$D76))</f>
        <v/>
      </c>
      <c r="G73" t="str">
        <f>IF($A73="","",Issues!$E76)</f>
        <v/>
      </c>
      <c r="H73" t="str">
        <f t="shared" si="4"/>
        <v/>
      </c>
      <c r="I73" t="str">
        <f t="shared" si="5"/>
        <v/>
      </c>
      <c r="J73" t="str">
        <f>IF($A73="","",Issues!$G76)</f>
        <v/>
      </c>
      <c r="K73" t="str">
        <f>IF(OR($E73="",$E73="نامعتبر"),"",LEFT($E73,4)&amp;MID($E73,6,2)&amp;RIGHT($E73,2)&amp;"|"&amp;RIGHT("00000"&amp;68,5))</f>
        <v/>
      </c>
      <c r="M73" t="str">
        <f>IF(Sync!$M73&lt;&gt;"پاس چک","",IF(Sync!$P73="","",Sync!$P73))</f>
        <v/>
      </c>
      <c r="N73" t="str">
        <f>IF($M73="","",IF(ISNUMBER(Sync!$L73),IF(AND(Sync!$L73&gt;=10000101,Sync!$L73&lt;=99991231),RIGHT("0000"&amp;INT(Sync!$L73/10000),4)&amp;"/"&amp;RIGHT("00"&amp;INT(MOD(Sync!$L73,10000)/100),2)&amp;"/"&amp;RIGHT("00"&amp;MOD(Sync!$L73,100),2),""),IFERROR(RIGHT("0000"&amp;VALUE(TRIM(LEFT(Sync!$L73,FIND("/",Sync!$L73)-1))),4)&amp;"/"&amp;RIGHT("00"&amp;VALUE(TRIM(LEFT(MID(Sync!$L73,FIND("/",Sync!$L73)+1,20),FIND("/",MID(Sync!$L73,FIND("/",Sync!$L73)+1,20))-1))),2)&amp;"/"&amp;RIGHT("00"&amp;VALUE(TRIM(MID(MID(Sync!$L73,FIND("/",Sync!$L73)+1,20),FIND("/",MID(Sync!$L73,FIND("/",Sync!$L73)+1,20))+1,20))),2),"")))</f>
        <v/>
      </c>
    </row>
    <row r="74" spans="1:14" x14ac:dyDescent="0.2">
      <c r="A74" t="str">
        <f>IF(Issues!$B77="","",Issues!$B77)</f>
        <v/>
      </c>
      <c r="B74" t="str">
        <f>IF($A74="","",IF(ISNUMBER(Issues!$C77),IF(AND(Issues!$C77&gt;=10000101,Issues!$C77&lt;=99991231),INT(Issues!$C77/10000),""),IFERROR(VALUE(TRIM(LEFT(Issues!$C77,FIND("/",Issues!$C77)-1))),"")))</f>
        <v/>
      </c>
      <c r="C74" t="str">
        <f>IF(OR($A74="",$B74=""),"",IF(ISNUMBER(Issues!$C77),INT(MOD(Issues!$C77,10000)/100),IFERROR(VALUE(TRIM(LEFT(MID(Issues!$C77,FIND("/",Issues!$C77)+1,20),FIND("/",MID(Issues!$C77,FIND("/",Issues!$C77)+1,20))-1))),"")))</f>
        <v/>
      </c>
      <c r="D74" t="str">
        <f>IF(OR($A74="",$B74=""),"",IF(ISNUMBER(Issues!$C77),MOD(Issues!$C77,100),IFERROR(VALUE(TRIM(MID(MID(Issues!$C77,FIND("/",Issues!$C77)+1,20),FIND("/",MID(Issues!$C77,FIND("/",Issues!$C77)+1,20))+1,20))),"")))</f>
        <v/>
      </c>
      <c r="E74" t="str">
        <f t="shared" si="3"/>
        <v/>
      </c>
      <c r="F74" t="str">
        <f>IF($A74="","",IF(Issues!$D77="",0,Issues!$D77))</f>
        <v/>
      </c>
      <c r="G74" t="str">
        <f>IF($A74="","",Issues!$E77)</f>
        <v/>
      </c>
      <c r="H74" t="str">
        <f t="shared" si="4"/>
        <v/>
      </c>
      <c r="I74" t="str">
        <f t="shared" si="5"/>
        <v/>
      </c>
      <c r="J74" t="str">
        <f>IF($A74="","",Issues!$G77)</f>
        <v/>
      </c>
      <c r="K74" t="str">
        <f>IF(OR($E74="",$E74="نامعتبر"),"",LEFT($E74,4)&amp;MID($E74,6,2)&amp;RIGHT($E74,2)&amp;"|"&amp;RIGHT("00000"&amp;69,5))</f>
        <v/>
      </c>
      <c r="M74" t="str">
        <f>IF(Sync!$M74&lt;&gt;"پاس چک","",IF(Sync!$P74="","",Sync!$P74))</f>
        <v/>
      </c>
      <c r="N74" t="str">
        <f>IF($M74="","",IF(ISNUMBER(Sync!$L74),IF(AND(Sync!$L74&gt;=10000101,Sync!$L74&lt;=99991231),RIGHT("0000"&amp;INT(Sync!$L74/10000),4)&amp;"/"&amp;RIGHT("00"&amp;INT(MOD(Sync!$L74,10000)/100),2)&amp;"/"&amp;RIGHT("00"&amp;MOD(Sync!$L74,100),2),""),IFERROR(RIGHT("0000"&amp;VALUE(TRIM(LEFT(Sync!$L74,FIND("/",Sync!$L74)-1))),4)&amp;"/"&amp;RIGHT("00"&amp;VALUE(TRIM(LEFT(MID(Sync!$L74,FIND("/",Sync!$L74)+1,20),FIND("/",MID(Sync!$L74,FIND("/",Sync!$L74)+1,20))-1))),2)&amp;"/"&amp;RIGHT("00"&amp;VALUE(TRIM(MID(MID(Sync!$L74,FIND("/",Sync!$L74)+1,20),FIND("/",MID(Sync!$L74,FIND("/",Sync!$L74)+1,20))+1,20))),2),"")))</f>
        <v/>
      </c>
    </row>
    <row r="75" spans="1:14" x14ac:dyDescent="0.2">
      <c r="A75" t="str">
        <f>IF(Issues!$B78="","",Issues!$B78)</f>
        <v/>
      </c>
      <c r="B75" t="str">
        <f>IF($A75="","",IF(ISNUMBER(Issues!$C78),IF(AND(Issues!$C78&gt;=10000101,Issues!$C78&lt;=99991231),INT(Issues!$C78/10000),""),IFERROR(VALUE(TRIM(LEFT(Issues!$C78,FIND("/",Issues!$C78)-1))),"")))</f>
        <v/>
      </c>
      <c r="C75" t="str">
        <f>IF(OR($A75="",$B75=""),"",IF(ISNUMBER(Issues!$C78),INT(MOD(Issues!$C78,10000)/100),IFERROR(VALUE(TRIM(LEFT(MID(Issues!$C78,FIND("/",Issues!$C78)+1,20),FIND("/",MID(Issues!$C78,FIND("/",Issues!$C78)+1,20))-1))),"")))</f>
        <v/>
      </c>
      <c r="D75" t="str">
        <f>IF(OR($A75="",$B75=""),"",IF(ISNUMBER(Issues!$C78),MOD(Issues!$C78,100),IFERROR(VALUE(TRIM(MID(MID(Issues!$C78,FIND("/",Issues!$C78)+1,20),FIND("/",MID(Issues!$C78,FIND("/",Issues!$C78)+1,20))+1,20))),"")))</f>
        <v/>
      </c>
      <c r="E75" t="str">
        <f t="shared" si="3"/>
        <v/>
      </c>
      <c r="F75" t="str">
        <f>IF($A75="","",IF(Issues!$D78="",0,Issues!$D78))</f>
        <v/>
      </c>
      <c r="G75" t="str">
        <f>IF($A75="","",Issues!$E78)</f>
        <v/>
      </c>
      <c r="H75" t="str">
        <f t="shared" si="4"/>
        <v/>
      </c>
      <c r="I75" t="str">
        <f t="shared" si="5"/>
        <v/>
      </c>
      <c r="J75" t="str">
        <f>IF($A75="","",Issues!$G78)</f>
        <v/>
      </c>
      <c r="K75" t="str">
        <f>IF(OR($E75="",$E75="نامعتبر"),"",LEFT($E75,4)&amp;MID($E75,6,2)&amp;RIGHT($E75,2)&amp;"|"&amp;RIGHT("00000"&amp;70,5))</f>
        <v/>
      </c>
      <c r="M75" t="str">
        <f>IF(Sync!$M75&lt;&gt;"پاس چک","",IF(Sync!$P75="","",Sync!$P75))</f>
        <v/>
      </c>
      <c r="N75" t="str">
        <f>IF($M75="","",IF(ISNUMBER(Sync!$L75),IF(AND(Sync!$L75&gt;=10000101,Sync!$L75&lt;=99991231),RIGHT("0000"&amp;INT(Sync!$L75/10000),4)&amp;"/"&amp;RIGHT("00"&amp;INT(MOD(Sync!$L75,10000)/100),2)&amp;"/"&amp;RIGHT("00"&amp;MOD(Sync!$L75,100),2),""),IFERROR(RIGHT("0000"&amp;VALUE(TRIM(LEFT(Sync!$L75,FIND("/",Sync!$L75)-1))),4)&amp;"/"&amp;RIGHT("00"&amp;VALUE(TRIM(LEFT(MID(Sync!$L75,FIND("/",Sync!$L75)+1,20),FIND("/",MID(Sync!$L75,FIND("/",Sync!$L75)+1,20))-1))),2)&amp;"/"&amp;RIGHT("00"&amp;VALUE(TRIM(MID(MID(Sync!$L75,FIND("/",Sync!$L75)+1,20),FIND("/",MID(Sync!$L75,FIND("/",Sync!$L75)+1,20))+1,20))),2),"")))</f>
        <v/>
      </c>
    </row>
    <row r="76" spans="1:14" x14ac:dyDescent="0.2">
      <c r="A76" t="str">
        <f>IF(Issues!$B79="","",Issues!$B79)</f>
        <v/>
      </c>
      <c r="B76" t="str">
        <f>IF($A76="","",IF(ISNUMBER(Issues!$C79),IF(AND(Issues!$C79&gt;=10000101,Issues!$C79&lt;=99991231),INT(Issues!$C79/10000),""),IFERROR(VALUE(TRIM(LEFT(Issues!$C79,FIND("/",Issues!$C79)-1))),"")))</f>
        <v/>
      </c>
      <c r="C76" t="str">
        <f>IF(OR($A76="",$B76=""),"",IF(ISNUMBER(Issues!$C79),INT(MOD(Issues!$C79,10000)/100),IFERROR(VALUE(TRIM(LEFT(MID(Issues!$C79,FIND("/",Issues!$C79)+1,20),FIND("/",MID(Issues!$C79,FIND("/",Issues!$C79)+1,20))-1))),"")))</f>
        <v/>
      </c>
      <c r="D76" t="str">
        <f>IF(OR($A76="",$B76=""),"",IF(ISNUMBER(Issues!$C79),MOD(Issues!$C79,100),IFERROR(VALUE(TRIM(MID(MID(Issues!$C79,FIND("/",Issues!$C79)+1,20),FIND("/",MID(Issues!$C79,FIND("/",Issues!$C79)+1,20))+1,20))),"")))</f>
        <v/>
      </c>
      <c r="E76" t="str">
        <f t="shared" si="3"/>
        <v/>
      </c>
      <c r="F76" t="str">
        <f>IF($A76="","",IF(Issues!$D79="",0,Issues!$D79))</f>
        <v/>
      </c>
      <c r="G76" t="str">
        <f>IF($A76="","",Issues!$E79)</f>
        <v/>
      </c>
      <c r="H76" t="str">
        <f t="shared" si="4"/>
        <v/>
      </c>
      <c r="I76" t="str">
        <f t="shared" si="5"/>
        <v/>
      </c>
      <c r="J76" t="str">
        <f>IF($A76="","",Issues!$G79)</f>
        <v/>
      </c>
      <c r="K76" t="str">
        <f>IF(OR($E76="",$E76="نامعتبر"),"",LEFT($E76,4)&amp;MID($E76,6,2)&amp;RIGHT($E76,2)&amp;"|"&amp;RIGHT("00000"&amp;71,5))</f>
        <v/>
      </c>
      <c r="M76" t="str">
        <f>IF(Sync!$M76&lt;&gt;"پاس چک","",IF(Sync!$P76="","",Sync!$P76))</f>
        <v/>
      </c>
      <c r="N76" t="str">
        <f>IF($M76="","",IF(ISNUMBER(Sync!$L76),IF(AND(Sync!$L76&gt;=10000101,Sync!$L76&lt;=99991231),RIGHT("0000"&amp;INT(Sync!$L76/10000),4)&amp;"/"&amp;RIGHT("00"&amp;INT(MOD(Sync!$L76,10000)/100),2)&amp;"/"&amp;RIGHT("00"&amp;MOD(Sync!$L76,100),2),""),IFERROR(RIGHT("0000"&amp;VALUE(TRIM(LEFT(Sync!$L76,FIND("/",Sync!$L76)-1))),4)&amp;"/"&amp;RIGHT("00"&amp;VALUE(TRIM(LEFT(MID(Sync!$L76,FIND("/",Sync!$L76)+1,20),FIND("/",MID(Sync!$L76,FIND("/",Sync!$L76)+1,20))-1))),2)&amp;"/"&amp;RIGHT("00"&amp;VALUE(TRIM(MID(MID(Sync!$L76,FIND("/",Sync!$L76)+1,20),FIND("/",MID(Sync!$L76,FIND("/",Sync!$L76)+1,20))+1,20))),2),"")))</f>
        <v/>
      </c>
    </row>
    <row r="77" spans="1:14" x14ac:dyDescent="0.2">
      <c r="A77" t="str">
        <f>IF(Issues!$B80="","",Issues!$B80)</f>
        <v/>
      </c>
      <c r="B77" t="str">
        <f>IF($A77="","",IF(ISNUMBER(Issues!$C80),IF(AND(Issues!$C80&gt;=10000101,Issues!$C80&lt;=99991231),INT(Issues!$C80/10000),""),IFERROR(VALUE(TRIM(LEFT(Issues!$C80,FIND("/",Issues!$C80)-1))),"")))</f>
        <v/>
      </c>
      <c r="C77" t="str">
        <f>IF(OR($A77="",$B77=""),"",IF(ISNUMBER(Issues!$C80),INT(MOD(Issues!$C80,10000)/100),IFERROR(VALUE(TRIM(LEFT(MID(Issues!$C80,FIND("/",Issues!$C80)+1,20),FIND("/",MID(Issues!$C80,FIND("/",Issues!$C80)+1,20))-1))),"")))</f>
        <v/>
      </c>
      <c r="D77" t="str">
        <f>IF(OR($A77="",$B77=""),"",IF(ISNUMBER(Issues!$C80),MOD(Issues!$C80,100),IFERROR(VALUE(TRIM(MID(MID(Issues!$C80,FIND("/",Issues!$C80)+1,20),FIND("/",MID(Issues!$C80,FIND("/",Issues!$C80)+1,20))+1,20))),"")))</f>
        <v/>
      </c>
      <c r="E77" t="str">
        <f t="shared" si="3"/>
        <v/>
      </c>
      <c r="F77" t="str">
        <f>IF($A77="","",IF(Issues!$D80="",0,Issues!$D80))</f>
        <v/>
      </c>
      <c r="G77" t="str">
        <f>IF($A77="","",Issues!$E80)</f>
        <v/>
      </c>
      <c r="H77" t="str">
        <f t="shared" si="4"/>
        <v/>
      </c>
      <c r="I77" t="str">
        <f t="shared" si="5"/>
        <v/>
      </c>
      <c r="J77" t="str">
        <f>IF($A77="","",Issues!$G80)</f>
        <v/>
      </c>
      <c r="K77" t="str">
        <f>IF(OR($E77="",$E77="نامعتبر"),"",LEFT($E77,4)&amp;MID($E77,6,2)&amp;RIGHT($E77,2)&amp;"|"&amp;RIGHT("00000"&amp;72,5))</f>
        <v/>
      </c>
      <c r="M77" t="str">
        <f>IF(Sync!$M77&lt;&gt;"پاس چک","",IF(Sync!$P77="","",Sync!$P77))</f>
        <v/>
      </c>
      <c r="N77" t="str">
        <f>IF($M77="","",IF(ISNUMBER(Sync!$L77),IF(AND(Sync!$L77&gt;=10000101,Sync!$L77&lt;=99991231),RIGHT("0000"&amp;INT(Sync!$L77/10000),4)&amp;"/"&amp;RIGHT("00"&amp;INT(MOD(Sync!$L77,10000)/100),2)&amp;"/"&amp;RIGHT("00"&amp;MOD(Sync!$L77,100),2),""),IFERROR(RIGHT("0000"&amp;VALUE(TRIM(LEFT(Sync!$L77,FIND("/",Sync!$L77)-1))),4)&amp;"/"&amp;RIGHT("00"&amp;VALUE(TRIM(LEFT(MID(Sync!$L77,FIND("/",Sync!$L77)+1,20),FIND("/",MID(Sync!$L77,FIND("/",Sync!$L77)+1,20))-1))),2)&amp;"/"&amp;RIGHT("00"&amp;VALUE(TRIM(MID(MID(Sync!$L77,FIND("/",Sync!$L77)+1,20),FIND("/",MID(Sync!$L77,FIND("/",Sync!$L77)+1,20))+1,20))),2),"")))</f>
        <v/>
      </c>
    </row>
    <row r="78" spans="1:14" x14ac:dyDescent="0.2">
      <c r="A78" t="str">
        <f>IF(Issues!$B81="","",Issues!$B81)</f>
        <v/>
      </c>
      <c r="B78" t="str">
        <f>IF($A78="","",IF(ISNUMBER(Issues!$C81),IF(AND(Issues!$C81&gt;=10000101,Issues!$C81&lt;=99991231),INT(Issues!$C81/10000),""),IFERROR(VALUE(TRIM(LEFT(Issues!$C81,FIND("/",Issues!$C81)-1))),"")))</f>
        <v/>
      </c>
      <c r="C78" t="str">
        <f>IF(OR($A78="",$B78=""),"",IF(ISNUMBER(Issues!$C81),INT(MOD(Issues!$C81,10000)/100),IFERROR(VALUE(TRIM(LEFT(MID(Issues!$C81,FIND("/",Issues!$C81)+1,20),FIND("/",MID(Issues!$C81,FIND("/",Issues!$C81)+1,20))-1))),"")))</f>
        <v/>
      </c>
      <c r="D78" t="str">
        <f>IF(OR($A78="",$B78=""),"",IF(ISNUMBER(Issues!$C81),MOD(Issues!$C81,100),IFERROR(VALUE(TRIM(MID(MID(Issues!$C81,FIND("/",Issues!$C81)+1,20),FIND("/",MID(Issues!$C81,FIND("/",Issues!$C81)+1,20))+1,20))),"")))</f>
        <v/>
      </c>
      <c r="E78" t="str">
        <f t="shared" si="3"/>
        <v/>
      </c>
      <c r="F78" t="str">
        <f>IF($A78="","",IF(Issues!$D81="",0,Issues!$D81))</f>
        <v/>
      </c>
      <c r="G78" t="str">
        <f>IF($A78="","",Issues!$E81)</f>
        <v/>
      </c>
      <c r="H78" t="str">
        <f t="shared" si="4"/>
        <v/>
      </c>
      <c r="I78" t="str">
        <f t="shared" si="5"/>
        <v/>
      </c>
      <c r="J78" t="str">
        <f>IF($A78="","",Issues!$G81)</f>
        <v/>
      </c>
      <c r="K78" t="str">
        <f>IF(OR($E78="",$E78="نامعتبر"),"",LEFT($E78,4)&amp;MID($E78,6,2)&amp;RIGHT($E78,2)&amp;"|"&amp;RIGHT("00000"&amp;73,5))</f>
        <v/>
      </c>
      <c r="M78" t="str">
        <f>IF(Sync!$M78&lt;&gt;"پاس چک","",IF(Sync!$P78="","",Sync!$P78))</f>
        <v/>
      </c>
      <c r="N78" t="str">
        <f>IF($M78="","",IF(ISNUMBER(Sync!$L78),IF(AND(Sync!$L78&gt;=10000101,Sync!$L78&lt;=99991231),RIGHT("0000"&amp;INT(Sync!$L78/10000),4)&amp;"/"&amp;RIGHT("00"&amp;INT(MOD(Sync!$L78,10000)/100),2)&amp;"/"&amp;RIGHT("00"&amp;MOD(Sync!$L78,100),2),""),IFERROR(RIGHT("0000"&amp;VALUE(TRIM(LEFT(Sync!$L78,FIND("/",Sync!$L78)-1))),4)&amp;"/"&amp;RIGHT("00"&amp;VALUE(TRIM(LEFT(MID(Sync!$L78,FIND("/",Sync!$L78)+1,20),FIND("/",MID(Sync!$L78,FIND("/",Sync!$L78)+1,20))-1))),2)&amp;"/"&amp;RIGHT("00"&amp;VALUE(TRIM(MID(MID(Sync!$L78,FIND("/",Sync!$L78)+1,20),FIND("/",MID(Sync!$L78,FIND("/",Sync!$L78)+1,20))+1,20))),2),"")))</f>
        <v/>
      </c>
    </row>
    <row r="79" spans="1:14" x14ac:dyDescent="0.2">
      <c r="A79" t="str">
        <f>IF(Issues!$B82="","",Issues!$B82)</f>
        <v/>
      </c>
      <c r="B79" t="str">
        <f>IF($A79="","",IF(ISNUMBER(Issues!$C82),IF(AND(Issues!$C82&gt;=10000101,Issues!$C82&lt;=99991231),INT(Issues!$C82/10000),""),IFERROR(VALUE(TRIM(LEFT(Issues!$C82,FIND("/",Issues!$C82)-1))),"")))</f>
        <v/>
      </c>
      <c r="C79" t="str">
        <f>IF(OR($A79="",$B79=""),"",IF(ISNUMBER(Issues!$C82),INT(MOD(Issues!$C82,10000)/100),IFERROR(VALUE(TRIM(LEFT(MID(Issues!$C82,FIND("/",Issues!$C82)+1,20),FIND("/",MID(Issues!$C82,FIND("/",Issues!$C82)+1,20))-1))),"")))</f>
        <v/>
      </c>
      <c r="D79" t="str">
        <f>IF(OR($A79="",$B79=""),"",IF(ISNUMBER(Issues!$C82),MOD(Issues!$C82,100),IFERROR(VALUE(TRIM(MID(MID(Issues!$C82,FIND("/",Issues!$C82)+1,20),FIND("/",MID(Issues!$C82,FIND("/",Issues!$C82)+1,20))+1,20))),"")))</f>
        <v/>
      </c>
      <c r="E79" t="str">
        <f t="shared" si="3"/>
        <v/>
      </c>
      <c r="F79" t="str">
        <f>IF($A79="","",IF(Issues!$D82="",0,Issues!$D82))</f>
        <v/>
      </c>
      <c r="G79" t="str">
        <f>IF($A79="","",Issues!$E82)</f>
        <v/>
      </c>
      <c r="H79" t="str">
        <f t="shared" si="4"/>
        <v/>
      </c>
      <c r="I79" t="str">
        <f t="shared" si="5"/>
        <v/>
      </c>
      <c r="J79" t="str">
        <f>IF($A79="","",Issues!$G82)</f>
        <v/>
      </c>
      <c r="K79" t="str">
        <f>IF(OR($E79="",$E79="نامعتبر"),"",LEFT($E79,4)&amp;MID($E79,6,2)&amp;RIGHT($E79,2)&amp;"|"&amp;RIGHT("00000"&amp;74,5))</f>
        <v/>
      </c>
      <c r="M79" t="str">
        <f>IF(Sync!$M79&lt;&gt;"پاس چک","",IF(Sync!$P79="","",Sync!$P79))</f>
        <v/>
      </c>
      <c r="N79" t="str">
        <f>IF($M79="","",IF(ISNUMBER(Sync!$L79),IF(AND(Sync!$L79&gt;=10000101,Sync!$L79&lt;=99991231),RIGHT("0000"&amp;INT(Sync!$L79/10000),4)&amp;"/"&amp;RIGHT("00"&amp;INT(MOD(Sync!$L79,10000)/100),2)&amp;"/"&amp;RIGHT("00"&amp;MOD(Sync!$L79,100),2),""),IFERROR(RIGHT("0000"&amp;VALUE(TRIM(LEFT(Sync!$L79,FIND("/",Sync!$L79)-1))),4)&amp;"/"&amp;RIGHT("00"&amp;VALUE(TRIM(LEFT(MID(Sync!$L79,FIND("/",Sync!$L79)+1,20),FIND("/",MID(Sync!$L79,FIND("/",Sync!$L79)+1,20))-1))),2)&amp;"/"&amp;RIGHT("00"&amp;VALUE(TRIM(MID(MID(Sync!$L79,FIND("/",Sync!$L79)+1,20),FIND("/",MID(Sync!$L79,FIND("/",Sync!$L79)+1,20))+1,20))),2),"")))</f>
        <v/>
      </c>
    </row>
    <row r="80" spans="1:14" x14ac:dyDescent="0.2">
      <c r="A80" t="str">
        <f>IF(Issues!$B83="","",Issues!$B83)</f>
        <v/>
      </c>
      <c r="B80" t="str">
        <f>IF($A80="","",IF(ISNUMBER(Issues!$C83),IF(AND(Issues!$C83&gt;=10000101,Issues!$C83&lt;=99991231),INT(Issues!$C83/10000),""),IFERROR(VALUE(TRIM(LEFT(Issues!$C83,FIND("/",Issues!$C83)-1))),"")))</f>
        <v/>
      </c>
      <c r="C80" t="str">
        <f>IF(OR($A80="",$B80=""),"",IF(ISNUMBER(Issues!$C83),INT(MOD(Issues!$C83,10000)/100),IFERROR(VALUE(TRIM(LEFT(MID(Issues!$C83,FIND("/",Issues!$C83)+1,20),FIND("/",MID(Issues!$C83,FIND("/",Issues!$C83)+1,20))-1))),"")))</f>
        <v/>
      </c>
      <c r="D80" t="str">
        <f>IF(OR($A80="",$B80=""),"",IF(ISNUMBER(Issues!$C83),MOD(Issues!$C83,100),IFERROR(VALUE(TRIM(MID(MID(Issues!$C83,FIND("/",Issues!$C83)+1,20),FIND("/",MID(Issues!$C83,FIND("/",Issues!$C83)+1,20))+1,20))),"")))</f>
        <v/>
      </c>
      <c r="E80" t="str">
        <f t="shared" si="3"/>
        <v/>
      </c>
      <c r="F80" t="str">
        <f>IF($A80="","",IF(Issues!$D83="",0,Issues!$D83))</f>
        <v/>
      </c>
      <c r="G80" t="str">
        <f>IF($A80="","",Issues!$E83)</f>
        <v/>
      </c>
      <c r="H80" t="str">
        <f t="shared" si="4"/>
        <v/>
      </c>
      <c r="I80" t="str">
        <f t="shared" si="5"/>
        <v/>
      </c>
      <c r="J80" t="str">
        <f>IF($A80="","",Issues!$G83)</f>
        <v/>
      </c>
      <c r="K80" t="str">
        <f>IF(OR($E80="",$E80="نامعتبر"),"",LEFT($E80,4)&amp;MID($E80,6,2)&amp;RIGHT($E80,2)&amp;"|"&amp;RIGHT("00000"&amp;75,5))</f>
        <v/>
      </c>
      <c r="M80" t="str">
        <f>IF(Sync!$M80&lt;&gt;"پاس چک","",IF(Sync!$P80="","",Sync!$P80))</f>
        <v/>
      </c>
      <c r="N80" t="str">
        <f>IF($M80="","",IF(ISNUMBER(Sync!$L80),IF(AND(Sync!$L80&gt;=10000101,Sync!$L80&lt;=99991231),RIGHT("0000"&amp;INT(Sync!$L80/10000),4)&amp;"/"&amp;RIGHT("00"&amp;INT(MOD(Sync!$L80,10000)/100),2)&amp;"/"&amp;RIGHT("00"&amp;MOD(Sync!$L80,100),2),""),IFERROR(RIGHT("0000"&amp;VALUE(TRIM(LEFT(Sync!$L80,FIND("/",Sync!$L80)-1))),4)&amp;"/"&amp;RIGHT("00"&amp;VALUE(TRIM(LEFT(MID(Sync!$L80,FIND("/",Sync!$L80)+1,20),FIND("/",MID(Sync!$L80,FIND("/",Sync!$L80)+1,20))-1))),2)&amp;"/"&amp;RIGHT("00"&amp;VALUE(TRIM(MID(MID(Sync!$L80,FIND("/",Sync!$L80)+1,20),FIND("/",MID(Sync!$L80,FIND("/",Sync!$L80)+1,20))+1,20))),2),"")))</f>
        <v/>
      </c>
    </row>
    <row r="81" spans="1:14" x14ac:dyDescent="0.2">
      <c r="A81" t="str">
        <f>IF(Issues!$B84="","",Issues!$B84)</f>
        <v/>
      </c>
      <c r="B81" t="str">
        <f>IF($A81="","",IF(ISNUMBER(Issues!$C84),IF(AND(Issues!$C84&gt;=10000101,Issues!$C84&lt;=99991231),INT(Issues!$C84/10000),""),IFERROR(VALUE(TRIM(LEFT(Issues!$C84,FIND("/",Issues!$C84)-1))),"")))</f>
        <v/>
      </c>
      <c r="C81" t="str">
        <f>IF(OR($A81="",$B81=""),"",IF(ISNUMBER(Issues!$C84),INT(MOD(Issues!$C84,10000)/100),IFERROR(VALUE(TRIM(LEFT(MID(Issues!$C84,FIND("/",Issues!$C84)+1,20),FIND("/",MID(Issues!$C84,FIND("/",Issues!$C84)+1,20))-1))),"")))</f>
        <v/>
      </c>
      <c r="D81" t="str">
        <f>IF(OR($A81="",$B81=""),"",IF(ISNUMBER(Issues!$C84),MOD(Issues!$C84,100),IFERROR(VALUE(TRIM(MID(MID(Issues!$C84,FIND("/",Issues!$C84)+1,20),FIND("/",MID(Issues!$C84,FIND("/",Issues!$C84)+1,20))+1,20))),"")))</f>
        <v/>
      </c>
      <c r="E81" t="str">
        <f t="shared" si="3"/>
        <v/>
      </c>
      <c r="F81" t="str">
        <f>IF($A81="","",IF(Issues!$D84="",0,Issues!$D84))</f>
        <v/>
      </c>
      <c r="G81" t="str">
        <f>IF($A81="","",Issues!$E84)</f>
        <v/>
      </c>
      <c r="H81" t="str">
        <f t="shared" si="4"/>
        <v/>
      </c>
      <c r="I81" t="str">
        <f t="shared" si="5"/>
        <v/>
      </c>
      <c r="J81" t="str">
        <f>IF($A81="","",Issues!$G84)</f>
        <v/>
      </c>
      <c r="K81" t="str">
        <f>IF(OR($E81="",$E81="نامعتبر"),"",LEFT($E81,4)&amp;MID($E81,6,2)&amp;RIGHT($E81,2)&amp;"|"&amp;RIGHT("00000"&amp;76,5))</f>
        <v/>
      </c>
      <c r="M81" t="str">
        <f>IF(Sync!$M81&lt;&gt;"پاس چک","",IF(Sync!$P81="","",Sync!$P81))</f>
        <v/>
      </c>
      <c r="N81" t="str">
        <f>IF($M81="","",IF(ISNUMBER(Sync!$L81),IF(AND(Sync!$L81&gt;=10000101,Sync!$L81&lt;=99991231),RIGHT("0000"&amp;INT(Sync!$L81/10000),4)&amp;"/"&amp;RIGHT("00"&amp;INT(MOD(Sync!$L81,10000)/100),2)&amp;"/"&amp;RIGHT("00"&amp;MOD(Sync!$L81,100),2),""),IFERROR(RIGHT("0000"&amp;VALUE(TRIM(LEFT(Sync!$L81,FIND("/",Sync!$L81)-1))),4)&amp;"/"&amp;RIGHT("00"&amp;VALUE(TRIM(LEFT(MID(Sync!$L81,FIND("/",Sync!$L81)+1,20),FIND("/",MID(Sync!$L81,FIND("/",Sync!$L81)+1,20))-1))),2)&amp;"/"&amp;RIGHT("00"&amp;VALUE(TRIM(MID(MID(Sync!$L81,FIND("/",Sync!$L81)+1,20),FIND("/",MID(Sync!$L81,FIND("/",Sync!$L81)+1,20))+1,20))),2),"")))</f>
        <v/>
      </c>
    </row>
    <row r="82" spans="1:14" x14ac:dyDescent="0.2">
      <c r="A82" t="str">
        <f>IF(Issues!$B85="","",Issues!$B85)</f>
        <v/>
      </c>
      <c r="B82" t="str">
        <f>IF($A82="","",IF(ISNUMBER(Issues!$C85),IF(AND(Issues!$C85&gt;=10000101,Issues!$C85&lt;=99991231),INT(Issues!$C85/10000),""),IFERROR(VALUE(TRIM(LEFT(Issues!$C85,FIND("/",Issues!$C85)-1))),"")))</f>
        <v/>
      </c>
      <c r="C82" t="str">
        <f>IF(OR($A82="",$B82=""),"",IF(ISNUMBER(Issues!$C85),INT(MOD(Issues!$C85,10000)/100),IFERROR(VALUE(TRIM(LEFT(MID(Issues!$C85,FIND("/",Issues!$C85)+1,20),FIND("/",MID(Issues!$C85,FIND("/",Issues!$C85)+1,20))-1))),"")))</f>
        <v/>
      </c>
      <c r="D82" t="str">
        <f>IF(OR($A82="",$B82=""),"",IF(ISNUMBER(Issues!$C85),MOD(Issues!$C85,100),IFERROR(VALUE(TRIM(MID(MID(Issues!$C85,FIND("/",Issues!$C85)+1,20),FIND("/",MID(Issues!$C85,FIND("/",Issues!$C85)+1,20))+1,20))),"")))</f>
        <v/>
      </c>
      <c r="E82" t="str">
        <f t="shared" si="3"/>
        <v/>
      </c>
      <c r="F82" t="str">
        <f>IF($A82="","",IF(Issues!$D85="",0,Issues!$D85))</f>
        <v/>
      </c>
      <c r="G82" t="str">
        <f>IF($A82="","",Issues!$E85)</f>
        <v/>
      </c>
      <c r="H82" t="str">
        <f t="shared" si="4"/>
        <v/>
      </c>
      <c r="I82" t="str">
        <f t="shared" si="5"/>
        <v/>
      </c>
      <c r="J82" t="str">
        <f>IF($A82="","",Issues!$G85)</f>
        <v/>
      </c>
      <c r="K82" t="str">
        <f>IF(OR($E82="",$E82="نامعتبر"),"",LEFT($E82,4)&amp;MID($E82,6,2)&amp;RIGHT($E82,2)&amp;"|"&amp;RIGHT("00000"&amp;77,5))</f>
        <v/>
      </c>
      <c r="M82" t="str">
        <f>IF(Sync!$M82&lt;&gt;"پاس چک","",IF(Sync!$P82="","",Sync!$P82))</f>
        <v/>
      </c>
      <c r="N82" t="str">
        <f>IF($M82="","",IF(ISNUMBER(Sync!$L82),IF(AND(Sync!$L82&gt;=10000101,Sync!$L82&lt;=99991231),RIGHT("0000"&amp;INT(Sync!$L82/10000),4)&amp;"/"&amp;RIGHT("00"&amp;INT(MOD(Sync!$L82,10000)/100),2)&amp;"/"&amp;RIGHT("00"&amp;MOD(Sync!$L82,100),2),""),IFERROR(RIGHT("0000"&amp;VALUE(TRIM(LEFT(Sync!$L82,FIND("/",Sync!$L82)-1))),4)&amp;"/"&amp;RIGHT("00"&amp;VALUE(TRIM(LEFT(MID(Sync!$L82,FIND("/",Sync!$L82)+1,20),FIND("/",MID(Sync!$L82,FIND("/",Sync!$L82)+1,20))-1))),2)&amp;"/"&amp;RIGHT("00"&amp;VALUE(TRIM(MID(MID(Sync!$L82,FIND("/",Sync!$L82)+1,20),FIND("/",MID(Sync!$L82,FIND("/",Sync!$L82)+1,20))+1,20))),2),"")))</f>
        <v/>
      </c>
    </row>
    <row r="83" spans="1:14" x14ac:dyDescent="0.2">
      <c r="A83" t="str">
        <f>IF(Issues!$B86="","",Issues!$B86)</f>
        <v/>
      </c>
      <c r="B83" t="str">
        <f>IF($A83="","",IF(ISNUMBER(Issues!$C86),IF(AND(Issues!$C86&gt;=10000101,Issues!$C86&lt;=99991231),INT(Issues!$C86/10000),""),IFERROR(VALUE(TRIM(LEFT(Issues!$C86,FIND("/",Issues!$C86)-1))),"")))</f>
        <v/>
      </c>
      <c r="C83" t="str">
        <f>IF(OR($A83="",$B83=""),"",IF(ISNUMBER(Issues!$C86),INT(MOD(Issues!$C86,10000)/100),IFERROR(VALUE(TRIM(LEFT(MID(Issues!$C86,FIND("/",Issues!$C86)+1,20),FIND("/",MID(Issues!$C86,FIND("/",Issues!$C86)+1,20))-1))),"")))</f>
        <v/>
      </c>
      <c r="D83" t="str">
        <f>IF(OR($A83="",$B83=""),"",IF(ISNUMBER(Issues!$C86),MOD(Issues!$C86,100),IFERROR(VALUE(TRIM(MID(MID(Issues!$C86,FIND("/",Issues!$C86)+1,20),FIND("/",MID(Issues!$C86,FIND("/",Issues!$C86)+1,20))+1,20))),"")))</f>
        <v/>
      </c>
      <c r="E83" t="str">
        <f t="shared" si="3"/>
        <v/>
      </c>
      <c r="F83" t="str">
        <f>IF($A83="","",IF(Issues!$D86="",0,Issues!$D86))</f>
        <v/>
      </c>
      <c r="G83" t="str">
        <f>IF($A83="","",Issues!$E86)</f>
        <v/>
      </c>
      <c r="H83" t="str">
        <f t="shared" si="4"/>
        <v/>
      </c>
      <c r="I83" t="str">
        <f t="shared" si="5"/>
        <v/>
      </c>
      <c r="J83" t="str">
        <f>IF($A83="","",Issues!$G86)</f>
        <v/>
      </c>
      <c r="K83" t="str">
        <f>IF(OR($E83="",$E83="نامعتبر"),"",LEFT($E83,4)&amp;MID($E83,6,2)&amp;RIGHT($E83,2)&amp;"|"&amp;RIGHT("00000"&amp;78,5))</f>
        <v/>
      </c>
      <c r="M83" t="str">
        <f>IF(Sync!$M83&lt;&gt;"پاس چک","",IF(Sync!$P83="","",Sync!$P83))</f>
        <v/>
      </c>
      <c r="N83" t="str">
        <f>IF($M83="","",IF(ISNUMBER(Sync!$L83),IF(AND(Sync!$L83&gt;=10000101,Sync!$L83&lt;=99991231),RIGHT("0000"&amp;INT(Sync!$L83/10000),4)&amp;"/"&amp;RIGHT("00"&amp;INT(MOD(Sync!$L83,10000)/100),2)&amp;"/"&amp;RIGHT("00"&amp;MOD(Sync!$L83,100),2),""),IFERROR(RIGHT("0000"&amp;VALUE(TRIM(LEFT(Sync!$L83,FIND("/",Sync!$L83)-1))),4)&amp;"/"&amp;RIGHT("00"&amp;VALUE(TRIM(LEFT(MID(Sync!$L83,FIND("/",Sync!$L83)+1,20),FIND("/",MID(Sync!$L83,FIND("/",Sync!$L83)+1,20))-1))),2)&amp;"/"&amp;RIGHT("00"&amp;VALUE(TRIM(MID(MID(Sync!$L83,FIND("/",Sync!$L83)+1,20),FIND("/",MID(Sync!$L83,FIND("/",Sync!$L83)+1,20))+1,20))),2),"")))</f>
        <v/>
      </c>
    </row>
    <row r="84" spans="1:14" x14ac:dyDescent="0.2">
      <c r="A84" t="str">
        <f>IF(Issues!$B87="","",Issues!$B87)</f>
        <v/>
      </c>
      <c r="B84" t="str">
        <f>IF($A84="","",IF(ISNUMBER(Issues!$C87),IF(AND(Issues!$C87&gt;=10000101,Issues!$C87&lt;=99991231),INT(Issues!$C87/10000),""),IFERROR(VALUE(TRIM(LEFT(Issues!$C87,FIND("/",Issues!$C87)-1))),"")))</f>
        <v/>
      </c>
      <c r="C84" t="str">
        <f>IF(OR($A84="",$B84=""),"",IF(ISNUMBER(Issues!$C87),INT(MOD(Issues!$C87,10000)/100),IFERROR(VALUE(TRIM(LEFT(MID(Issues!$C87,FIND("/",Issues!$C87)+1,20),FIND("/",MID(Issues!$C87,FIND("/",Issues!$C87)+1,20))-1))),"")))</f>
        <v/>
      </c>
      <c r="D84" t="str">
        <f>IF(OR($A84="",$B84=""),"",IF(ISNUMBER(Issues!$C87),MOD(Issues!$C87,100),IFERROR(VALUE(TRIM(MID(MID(Issues!$C87,FIND("/",Issues!$C87)+1,20),FIND("/",MID(Issues!$C87,FIND("/",Issues!$C87)+1,20))+1,20))),"")))</f>
        <v/>
      </c>
      <c r="E84" t="str">
        <f t="shared" si="3"/>
        <v/>
      </c>
      <c r="F84" t="str">
        <f>IF($A84="","",IF(Issues!$D87="",0,Issues!$D87))</f>
        <v/>
      </c>
      <c r="G84" t="str">
        <f>IF($A84="","",Issues!$E87)</f>
        <v/>
      </c>
      <c r="H84" t="str">
        <f t="shared" si="4"/>
        <v/>
      </c>
      <c r="I84" t="str">
        <f t="shared" si="5"/>
        <v/>
      </c>
      <c r="J84" t="str">
        <f>IF($A84="","",Issues!$G87)</f>
        <v/>
      </c>
      <c r="K84" t="str">
        <f>IF(OR($E84="",$E84="نامعتبر"),"",LEFT($E84,4)&amp;MID($E84,6,2)&amp;RIGHT($E84,2)&amp;"|"&amp;RIGHT("00000"&amp;79,5))</f>
        <v/>
      </c>
      <c r="M84" t="str">
        <f>IF(Sync!$M84&lt;&gt;"پاس چک","",IF(Sync!$P84="","",Sync!$P84))</f>
        <v/>
      </c>
      <c r="N84" t="str">
        <f>IF($M84="","",IF(ISNUMBER(Sync!$L84),IF(AND(Sync!$L84&gt;=10000101,Sync!$L84&lt;=99991231),RIGHT("0000"&amp;INT(Sync!$L84/10000),4)&amp;"/"&amp;RIGHT("00"&amp;INT(MOD(Sync!$L84,10000)/100),2)&amp;"/"&amp;RIGHT("00"&amp;MOD(Sync!$L84,100),2),""),IFERROR(RIGHT("0000"&amp;VALUE(TRIM(LEFT(Sync!$L84,FIND("/",Sync!$L84)-1))),4)&amp;"/"&amp;RIGHT("00"&amp;VALUE(TRIM(LEFT(MID(Sync!$L84,FIND("/",Sync!$L84)+1,20),FIND("/",MID(Sync!$L84,FIND("/",Sync!$L84)+1,20))-1))),2)&amp;"/"&amp;RIGHT("00"&amp;VALUE(TRIM(MID(MID(Sync!$L84,FIND("/",Sync!$L84)+1,20),FIND("/",MID(Sync!$L84,FIND("/",Sync!$L84)+1,20))+1,20))),2),"")))</f>
        <v/>
      </c>
    </row>
    <row r="85" spans="1:14" x14ac:dyDescent="0.2">
      <c r="A85" t="str">
        <f>IF(Issues!$B88="","",Issues!$B88)</f>
        <v/>
      </c>
      <c r="B85" t="str">
        <f>IF($A85="","",IF(ISNUMBER(Issues!$C88),IF(AND(Issues!$C88&gt;=10000101,Issues!$C88&lt;=99991231),INT(Issues!$C88/10000),""),IFERROR(VALUE(TRIM(LEFT(Issues!$C88,FIND("/",Issues!$C88)-1))),"")))</f>
        <v/>
      </c>
      <c r="C85" t="str">
        <f>IF(OR($A85="",$B85=""),"",IF(ISNUMBER(Issues!$C88),INT(MOD(Issues!$C88,10000)/100),IFERROR(VALUE(TRIM(LEFT(MID(Issues!$C88,FIND("/",Issues!$C88)+1,20),FIND("/",MID(Issues!$C88,FIND("/",Issues!$C88)+1,20))-1))),"")))</f>
        <v/>
      </c>
      <c r="D85" t="str">
        <f>IF(OR($A85="",$B85=""),"",IF(ISNUMBER(Issues!$C88),MOD(Issues!$C88,100),IFERROR(VALUE(TRIM(MID(MID(Issues!$C88,FIND("/",Issues!$C88)+1,20),FIND("/",MID(Issues!$C88,FIND("/",Issues!$C88)+1,20))+1,20))),"")))</f>
        <v/>
      </c>
      <c r="E85" t="str">
        <f t="shared" si="3"/>
        <v/>
      </c>
      <c r="F85" t="str">
        <f>IF($A85="","",IF(Issues!$D88="",0,Issues!$D88))</f>
        <v/>
      </c>
      <c r="G85" t="str">
        <f>IF($A85="","",Issues!$E88)</f>
        <v/>
      </c>
      <c r="H85" t="str">
        <f t="shared" si="4"/>
        <v/>
      </c>
      <c r="I85" t="str">
        <f t="shared" si="5"/>
        <v/>
      </c>
      <c r="J85" t="str">
        <f>IF($A85="","",Issues!$G88)</f>
        <v/>
      </c>
      <c r="K85" t="str">
        <f>IF(OR($E85="",$E85="نامعتبر"),"",LEFT($E85,4)&amp;MID($E85,6,2)&amp;RIGHT($E85,2)&amp;"|"&amp;RIGHT("00000"&amp;80,5))</f>
        <v/>
      </c>
      <c r="M85" t="str">
        <f>IF(Sync!$M85&lt;&gt;"پاس چک","",IF(Sync!$P85="","",Sync!$P85))</f>
        <v/>
      </c>
      <c r="N85" t="str">
        <f>IF($M85="","",IF(ISNUMBER(Sync!$L85),IF(AND(Sync!$L85&gt;=10000101,Sync!$L85&lt;=99991231),RIGHT("0000"&amp;INT(Sync!$L85/10000),4)&amp;"/"&amp;RIGHT("00"&amp;INT(MOD(Sync!$L85,10000)/100),2)&amp;"/"&amp;RIGHT("00"&amp;MOD(Sync!$L85,100),2),""),IFERROR(RIGHT("0000"&amp;VALUE(TRIM(LEFT(Sync!$L85,FIND("/",Sync!$L85)-1))),4)&amp;"/"&amp;RIGHT("00"&amp;VALUE(TRIM(LEFT(MID(Sync!$L85,FIND("/",Sync!$L85)+1,20),FIND("/",MID(Sync!$L85,FIND("/",Sync!$L85)+1,20))-1))),2)&amp;"/"&amp;RIGHT("00"&amp;VALUE(TRIM(MID(MID(Sync!$L85,FIND("/",Sync!$L85)+1,20),FIND("/",MID(Sync!$L85,FIND("/",Sync!$L85)+1,20))+1,20))),2),"")))</f>
        <v/>
      </c>
    </row>
    <row r="86" spans="1:14" x14ac:dyDescent="0.2">
      <c r="A86" t="str">
        <f>IF(Issues!$B89="","",Issues!$B89)</f>
        <v/>
      </c>
      <c r="B86" t="str">
        <f>IF($A86="","",IF(ISNUMBER(Issues!$C89),IF(AND(Issues!$C89&gt;=10000101,Issues!$C89&lt;=99991231),INT(Issues!$C89/10000),""),IFERROR(VALUE(TRIM(LEFT(Issues!$C89,FIND("/",Issues!$C89)-1))),"")))</f>
        <v/>
      </c>
      <c r="C86" t="str">
        <f>IF(OR($A86="",$B86=""),"",IF(ISNUMBER(Issues!$C89),INT(MOD(Issues!$C89,10000)/100),IFERROR(VALUE(TRIM(LEFT(MID(Issues!$C89,FIND("/",Issues!$C89)+1,20),FIND("/",MID(Issues!$C89,FIND("/",Issues!$C89)+1,20))-1))),"")))</f>
        <v/>
      </c>
      <c r="D86" t="str">
        <f>IF(OR($A86="",$B86=""),"",IF(ISNUMBER(Issues!$C89),MOD(Issues!$C89,100),IFERROR(VALUE(TRIM(MID(MID(Issues!$C89,FIND("/",Issues!$C89)+1,20),FIND("/",MID(Issues!$C89,FIND("/",Issues!$C89)+1,20))+1,20))),"")))</f>
        <v/>
      </c>
      <c r="E86" t="str">
        <f t="shared" si="3"/>
        <v/>
      </c>
      <c r="F86" t="str">
        <f>IF($A86="","",IF(Issues!$D89="",0,Issues!$D89))</f>
        <v/>
      </c>
      <c r="G86" t="str">
        <f>IF($A86="","",Issues!$E89)</f>
        <v/>
      </c>
      <c r="H86" t="str">
        <f t="shared" si="4"/>
        <v/>
      </c>
      <c r="I86" t="str">
        <f t="shared" si="5"/>
        <v/>
      </c>
      <c r="J86" t="str">
        <f>IF($A86="","",Issues!$G89)</f>
        <v/>
      </c>
      <c r="K86" t="str">
        <f>IF(OR($E86="",$E86="نامعتبر"),"",LEFT($E86,4)&amp;MID($E86,6,2)&amp;RIGHT($E86,2)&amp;"|"&amp;RIGHT("00000"&amp;81,5))</f>
        <v/>
      </c>
      <c r="M86" t="str">
        <f>IF(Sync!$M86&lt;&gt;"پاس چک","",IF(Sync!$P86="","",Sync!$P86))</f>
        <v/>
      </c>
      <c r="N86" t="str">
        <f>IF($M86="","",IF(ISNUMBER(Sync!$L86),IF(AND(Sync!$L86&gt;=10000101,Sync!$L86&lt;=99991231),RIGHT("0000"&amp;INT(Sync!$L86/10000),4)&amp;"/"&amp;RIGHT("00"&amp;INT(MOD(Sync!$L86,10000)/100),2)&amp;"/"&amp;RIGHT("00"&amp;MOD(Sync!$L86,100),2),""),IFERROR(RIGHT("0000"&amp;VALUE(TRIM(LEFT(Sync!$L86,FIND("/",Sync!$L86)-1))),4)&amp;"/"&amp;RIGHT("00"&amp;VALUE(TRIM(LEFT(MID(Sync!$L86,FIND("/",Sync!$L86)+1,20),FIND("/",MID(Sync!$L86,FIND("/",Sync!$L86)+1,20))-1))),2)&amp;"/"&amp;RIGHT("00"&amp;VALUE(TRIM(MID(MID(Sync!$L86,FIND("/",Sync!$L86)+1,20),FIND("/",MID(Sync!$L86,FIND("/",Sync!$L86)+1,20))+1,20))),2),"")))</f>
        <v/>
      </c>
    </row>
    <row r="87" spans="1:14" x14ac:dyDescent="0.2">
      <c r="A87" t="str">
        <f>IF(Issues!$B90="","",Issues!$B90)</f>
        <v/>
      </c>
      <c r="B87" t="str">
        <f>IF($A87="","",IF(ISNUMBER(Issues!$C90),IF(AND(Issues!$C90&gt;=10000101,Issues!$C90&lt;=99991231),INT(Issues!$C90/10000),""),IFERROR(VALUE(TRIM(LEFT(Issues!$C90,FIND("/",Issues!$C90)-1))),"")))</f>
        <v/>
      </c>
      <c r="C87" t="str">
        <f>IF(OR($A87="",$B87=""),"",IF(ISNUMBER(Issues!$C90),INT(MOD(Issues!$C90,10000)/100),IFERROR(VALUE(TRIM(LEFT(MID(Issues!$C90,FIND("/",Issues!$C90)+1,20),FIND("/",MID(Issues!$C90,FIND("/",Issues!$C90)+1,20))-1))),"")))</f>
        <v/>
      </c>
      <c r="D87" t="str">
        <f>IF(OR($A87="",$B87=""),"",IF(ISNUMBER(Issues!$C90),MOD(Issues!$C90,100),IFERROR(VALUE(TRIM(MID(MID(Issues!$C90,FIND("/",Issues!$C90)+1,20),FIND("/",MID(Issues!$C90,FIND("/",Issues!$C90)+1,20))+1,20))),"")))</f>
        <v/>
      </c>
      <c r="E87" t="str">
        <f t="shared" si="3"/>
        <v/>
      </c>
      <c r="F87" t="str">
        <f>IF($A87="","",IF(Issues!$D90="",0,Issues!$D90))</f>
        <v/>
      </c>
      <c r="G87" t="str">
        <f>IF($A87="","",Issues!$E90)</f>
        <v/>
      </c>
      <c r="H87" t="str">
        <f t="shared" si="4"/>
        <v/>
      </c>
      <c r="I87" t="str">
        <f t="shared" si="5"/>
        <v/>
      </c>
      <c r="J87" t="str">
        <f>IF($A87="","",Issues!$G90)</f>
        <v/>
      </c>
      <c r="K87" t="str">
        <f>IF(OR($E87="",$E87="نامعتبر"),"",LEFT($E87,4)&amp;MID($E87,6,2)&amp;RIGHT($E87,2)&amp;"|"&amp;RIGHT("00000"&amp;82,5))</f>
        <v/>
      </c>
      <c r="M87" t="str">
        <f>IF(Sync!$M87&lt;&gt;"پاس چک","",IF(Sync!$P87="","",Sync!$P87))</f>
        <v/>
      </c>
      <c r="N87" t="str">
        <f>IF($M87="","",IF(ISNUMBER(Sync!$L87),IF(AND(Sync!$L87&gt;=10000101,Sync!$L87&lt;=99991231),RIGHT("0000"&amp;INT(Sync!$L87/10000),4)&amp;"/"&amp;RIGHT("00"&amp;INT(MOD(Sync!$L87,10000)/100),2)&amp;"/"&amp;RIGHT("00"&amp;MOD(Sync!$L87,100),2),""),IFERROR(RIGHT("0000"&amp;VALUE(TRIM(LEFT(Sync!$L87,FIND("/",Sync!$L87)-1))),4)&amp;"/"&amp;RIGHT("00"&amp;VALUE(TRIM(LEFT(MID(Sync!$L87,FIND("/",Sync!$L87)+1,20),FIND("/",MID(Sync!$L87,FIND("/",Sync!$L87)+1,20))-1))),2)&amp;"/"&amp;RIGHT("00"&amp;VALUE(TRIM(MID(MID(Sync!$L87,FIND("/",Sync!$L87)+1,20),FIND("/",MID(Sync!$L87,FIND("/",Sync!$L87)+1,20))+1,20))),2),"")))</f>
        <v/>
      </c>
    </row>
    <row r="88" spans="1:14" x14ac:dyDescent="0.2">
      <c r="A88" t="str">
        <f>IF(Issues!$B91="","",Issues!$B91)</f>
        <v/>
      </c>
      <c r="B88" t="str">
        <f>IF($A88="","",IF(ISNUMBER(Issues!$C91),IF(AND(Issues!$C91&gt;=10000101,Issues!$C91&lt;=99991231),INT(Issues!$C91/10000),""),IFERROR(VALUE(TRIM(LEFT(Issues!$C91,FIND("/",Issues!$C91)-1))),"")))</f>
        <v/>
      </c>
      <c r="C88" t="str">
        <f>IF(OR($A88="",$B88=""),"",IF(ISNUMBER(Issues!$C91),INT(MOD(Issues!$C91,10000)/100),IFERROR(VALUE(TRIM(LEFT(MID(Issues!$C91,FIND("/",Issues!$C91)+1,20),FIND("/",MID(Issues!$C91,FIND("/",Issues!$C91)+1,20))-1))),"")))</f>
        <v/>
      </c>
      <c r="D88" t="str">
        <f>IF(OR($A88="",$B88=""),"",IF(ISNUMBER(Issues!$C91),MOD(Issues!$C91,100),IFERROR(VALUE(TRIM(MID(MID(Issues!$C91,FIND("/",Issues!$C91)+1,20),FIND("/",MID(Issues!$C91,FIND("/",Issues!$C91)+1,20))+1,20))),"")))</f>
        <v/>
      </c>
      <c r="E88" t="str">
        <f t="shared" si="3"/>
        <v/>
      </c>
      <c r="F88" t="str">
        <f>IF($A88="","",IF(Issues!$D91="",0,Issues!$D91))</f>
        <v/>
      </c>
      <c r="G88" t="str">
        <f>IF($A88="","",Issues!$E91)</f>
        <v/>
      </c>
      <c r="H88" t="str">
        <f t="shared" si="4"/>
        <v/>
      </c>
      <c r="I88" t="str">
        <f t="shared" si="5"/>
        <v/>
      </c>
      <c r="J88" t="str">
        <f>IF($A88="","",Issues!$G91)</f>
        <v/>
      </c>
      <c r="K88" t="str">
        <f>IF(OR($E88="",$E88="نامعتبر"),"",LEFT($E88,4)&amp;MID($E88,6,2)&amp;RIGHT($E88,2)&amp;"|"&amp;RIGHT("00000"&amp;83,5))</f>
        <v/>
      </c>
      <c r="M88" t="str">
        <f>IF(Sync!$M88&lt;&gt;"پاس چک","",IF(Sync!$P88="","",Sync!$P88))</f>
        <v/>
      </c>
      <c r="N88" t="str">
        <f>IF($M88="","",IF(ISNUMBER(Sync!$L88),IF(AND(Sync!$L88&gt;=10000101,Sync!$L88&lt;=99991231),RIGHT("0000"&amp;INT(Sync!$L88/10000),4)&amp;"/"&amp;RIGHT("00"&amp;INT(MOD(Sync!$L88,10000)/100),2)&amp;"/"&amp;RIGHT("00"&amp;MOD(Sync!$L88,100),2),""),IFERROR(RIGHT("0000"&amp;VALUE(TRIM(LEFT(Sync!$L88,FIND("/",Sync!$L88)-1))),4)&amp;"/"&amp;RIGHT("00"&amp;VALUE(TRIM(LEFT(MID(Sync!$L88,FIND("/",Sync!$L88)+1,20),FIND("/",MID(Sync!$L88,FIND("/",Sync!$L88)+1,20))-1))),2)&amp;"/"&amp;RIGHT("00"&amp;VALUE(TRIM(MID(MID(Sync!$L88,FIND("/",Sync!$L88)+1,20),FIND("/",MID(Sync!$L88,FIND("/",Sync!$L88)+1,20))+1,20))),2),"")))</f>
        <v/>
      </c>
    </row>
    <row r="89" spans="1:14" x14ac:dyDescent="0.2">
      <c r="A89" t="str">
        <f>IF(Issues!$B92="","",Issues!$B92)</f>
        <v/>
      </c>
      <c r="B89" t="str">
        <f>IF($A89="","",IF(ISNUMBER(Issues!$C92),IF(AND(Issues!$C92&gt;=10000101,Issues!$C92&lt;=99991231),INT(Issues!$C92/10000),""),IFERROR(VALUE(TRIM(LEFT(Issues!$C92,FIND("/",Issues!$C92)-1))),"")))</f>
        <v/>
      </c>
      <c r="C89" t="str">
        <f>IF(OR($A89="",$B89=""),"",IF(ISNUMBER(Issues!$C92),INT(MOD(Issues!$C92,10000)/100),IFERROR(VALUE(TRIM(LEFT(MID(Issues!$C92,FIND("/",Issues!$C92)+1,20),FIND("/",MID(Issues!$C92,FIND("/",Issues!$C92)+1,20))-1))),"")))</f>
        <v/>
      </c>
      <c r="D89" t="str">
        <f>IF(OR($A89="",$B89=""),"",IF(ISNUMBER(Issues!$C92),MOD(Issues!$C92,100),IFERROR(VALUE(TRIM(MID(MID(Issues!$C92,FIND("/",Issues!$C92)+1,20),FIND("/",MID(Issues!$C92,FIND("/",Issues!$C92)+1,20))+1,20))),"")))</f>
        <v/>
      </c>
      <c r="E89" t="str">
        <f t="shared" si="3"/>
        <v/>
      </c>
      <c r="F89" t="str">
        <f>IF($A89="","",IF(Issues!$D92="",0,Issues!$D92))</f>
        <v/>
      </c>
      <c r="G89" t="str">
        <f>IF($A89="","",Issues!$E92)</f>
        <v/>
      </c>
      <c r="H89" t="str">
        <f t="shared" si="4"/>
        <v/>
      </c>
      <c r="I89" t="str">
        <f t="shared" si="5"/>
        <v/>
      </c>
      <c r="J89" t="str">
        <f>IF($A89="","",Issues!$G92)</f>
        <v/>
      </c>
      <c r="K89" t="str">
        <f>IF(OR($E89="",$E89="نامعتبر"),"",LEFT($E89,4)&amp;MID($E89,6,2)&amp;RIGHT($E89,2)&amp;"|"&amp;RIGHT("00000"&amp;84,5))</f>
        <v/>
      </c>
      <c r="M89" t="str">
        <f>IF(Sync!$M89&lt;&gt;"پاس چک","",IF(Sync!$P89="","",Sync!$P89))</f>
        <v/>
      </c>
      <c r="N89" t="str">
        <f>IF($M89="","",IF(ISNUMBER(Sync!$L89),IF(AND(Sync!$L89&gt;=10000101,Sync!$L89&lt;=99991231),RIGHT("0000"&amp;INT(Sync!$L89/10000),4)&amp;"/"&amp;RIGHT("00"&amp;INT(MOD(Sync!$L89,10000)/100),2)&amp;"/"&amp;RIGHT("00"&amp;MOD(Sync!$L89,100),2),""),IFERROR(RIGHT("0000"&amp;VALUE(TRIM(LEFT(Sync!$L89,FIND("/",Sync!$L89)-1))),4)&amp;"/"&amp;RIGHT("00"&amp;VALUE(TRIM(LEFT(MID(Sync!$L89,FIND("/",Sync!$L89)+1,20),FIND("/",MID(Sync!$L89,FIND("/",Sync!$L89)+1,20))-1))),2)&amp;"/"&amp;RIGHT("00"&amp;VALUE(TRIM(MID(MID(Sync!$L89,FIND("/",Sync!$L89)+1,20),FIND("/",MID(Sync!$L89,FIND("/",Sync!$L89)+1,20))+1,20))),2),"")))</f>
        <v/>
      </c>
    </row>
    <row r="90" spans="1:14" x14ac:dyDescent="0.2">
      <c r="A90" t="str">
        <f>IF(Issues!$B93="","",Issues!$B93)</f>
        <v/>
      </c>
      <c r="B90" t="str">
        <f>IF($A90="","",IF(ISNUMBER(Issues!$C93),IF(AND(Issues!$C93&gt;=10000101,Issues!$C93&lt;=99991231),INT(Issues!$C93/10000),""),IFERROR(VALUE(TRIM(LEFT(Issues!$C93,FIND("/",Issues!$C93)-1))),"")))</f>
        <v/>
      </c>
      <c r="C90" t="str">
        <f>IF(OR($A90="",$B90=""),"",IF(ISNUMBER(Issues!$C93),INT(MOD(Issues!$C93,10000)/100),IFERROR(VALUE(TRIM(LEFT(MID(Issues!$C93,FIND("/",Issues!$C93)+1,20),FIND("/",MID(Issues!$C93,FIND("/",Issues!$C93)+1,20))-1))),"")))</f>
        <v/>
      </c>
      <c r="D90" t="str">
        <f>IF(OR($A90="",$B90=""),"",IF(ISNUMBER(Issues!$C93),MOD(Issues!$C93,100),IFERROR(VALUE(TRIM(MID(MID(Issues!$C93,FIND("/",Issues!$C93)+1,20),FIND("/",MID(Issues!$C93,FIND("/",Issues!$C93)+1,20))+1,20))),"")))</f>
        <v/>
      </c>
      <c r="E90" t="str">
        <f t="shared" si="3"/>
        <v/>
      </c>
      <c r="F90" t="str">
        <f>IF($A90="","",IF(Issues!$D93="",0,Issues!$D93))</f>
        <v/>
      </c>
      <c r="G90" t="str">
        <f>IF($A90="","",Issues!$E93)</f>
        <v/>
      </c>
      <c r="H90" t="str">
        <f t="shared" si="4"/>
        <v/>
      </c>
      <c r="I90" t="str">
        <f t="shared" si="5"/>
        <v/>
      </c>
      <c r="J90" t="str">
        <f>IF($A90="","",Issues!$G93)</f>
        <v/>
      </c>
      <c r="K90" t="str">
        <f>IF(OR($E90="",$E90="نامعتبر"),"",LEFT($E90,4)&amp;MID($E90,6,2)&amp;RIGHT($E90,2)&amp;"|"&amp;RIGHT("00000"&amp;85,5))</f>
        <v/>
      </c>
      <c r="M90" t="str">
        <f>IF(Sync!$M90&lt;&gt;"پاس چک","",IF(Sync!$P90="","",Sync!$P90))</f>
        <v/>
      </c>
      <c r="N90" t="str">
        <f>IF($M90="","",IF(ISNUMBER(Sync!$L90),IF(AND(Sync!$L90&gt;=10000101,Sync!$L90&lt;=99991231),RIGHT("0000"&amp;INT(Sync!$L90/10000),4)&amp;"/"&amp;RIGHT("00"&amp;INT(MOD(Sync!$L90,10000)/100),2)&amp;"/"&amp;RIGHT("00"&amp;MOD(Sync!$L90,100),2),""),IFERROR(RIGHT("0000"&amp;VALUE(TRIM(LEFT(Sync!$L90,FIND("/",Sync!$L90)-1))),4)&amp;"/"&amp;RIGHT("00"&amp;VALUE(TRIM(LEFT(MID(Sync!$L90,FIND("/",Sync!$L90)+1,20),FIND("/",MID(Sync!$L90,FIND("/",Sync!$L90)+1,20))-1))),2)&amp;"/"&amp;RIGHT("00"&amp;VALUE(TRIM(MID(MID(Sync!$L90,FIND("/",Sync!$L90)+1,20),FIND("/",MID(Sync!$L90,FIND("/",Sync!$L90)+1,20))+1,20))),2),"")))</f>
        <v/>
      </c>
    </row>
    <row r="91" spans="1:14" x14ac:dyDescent="0.2">
      <c r="A91" t="str">
        <f>IF(Issues!$B94="","",Issues!$B94)</f>
        <v/>
      </c>
      <c r="B91" t="str">
        <f>IF($A91="","",IF(ISNUMBER(Issues!$C94),IF(AND(Issues!$C94&gt;=10000101,Issues!$C94&lt;=99991231),INT(Issues!$C94/10000),""),IFERROR(VALUE(TRIM(LEFT(Issues!$C94,FIND("/",Issues!$C94)-1))),"")))</f>
        <v/>
      </c>
      <c r="C91" t="str">
        <f>IF(OR($A91="",$B91=""),"",IF(ISNUMBER(Issues!$C94),INT(MOD(Issues!$C94,10000)/100),IFERROR(VALUE(TRIM(LEFT(MID(Issues!$C94,FIND("/",Issues!$C94)+1,20),FIND("/",MID(Issues!$C94,FIND("/",Issues!$C94)+1,20))-1))),"")))</f>
        <v/>
      </c>
      <c r="D91" t="str">
        <f>IF(OR($A91="",$B91=""),"",IF(ISNUMBER(Issues!$C94),MOD(Issues!$C94,100),IFERROR(VALUE(TRIM(MID(MID(Issues!$C94,FIND("/",Issues!$C94)+1,20),FIND("/",MID(Issues!$C94,FIND("/",Issues!$C94)+1,20))+1,20))),"")))</f>
        <v/>
      </c>
      <c r="E91" t="str">
        <f t="shared" si="3"/>
        <v/>
      </c>
      <c r="F91" t="str">
        <f>IF($A91="","",IF(Issues!$D94="",0,Issues!$D94))</f>
        <v/>
      </c>
      <c r="G91" t="str">
        <f>IF($A91="","",Issues!$E94)</f>
        <v/>
      </c>
      <c r="H91" t="str">
        <f t="shared" si="4"/>
        <v/>
      </c>
      <c r="I91" t="str">
        <f t="shared" si="5"/>
        <v/>
      </c>
      <c r="J91" t="str">
        <f>IF($A91="","",Issues!$G94)</f>
        <v/>
      </c>
      <c r="K91" t="str">
        <f>IF(OR($E91="",$E91="نامعتبر"),"",LEFT($E91,4)&amp;MID($E91,6,2)&amp;RIGHT($E91,2)&amp;"|"&amp;RIGHT("00000"&amp;86,5))</f>
        <v/>
      </c>
      <c r="M91" t="str">
        <f>IF(Sync!$M91&lt;&gt;"پاس چک","",IF(Sync!$P91="","",Sync!$P91))</f>
        <v/>
      </c>
      <c r="N91" t="str">
        <f>IF($M91="","",IF(ISNUMBER(Sync!$L91),IF(AND(Sync!$L91&gt;=10000101,Sync!$L91&lt;=99991231),RIGHT("0000"&amp;INT(Sync!$L91/10000),4)&amp;"/"&amp;RIGHT("00"&amp;INT(MOD(Sync!$L91,10000)/100),2)&amp;"/"&amp;RIGHT("00"&amp;MOD(Sync!$L91,100),2),""),IFERROR(RIGHT("0000"&amp;VALUE(TRIM(LEFT(Sync!$L91,FIND("/",Sync!$L91)-1))),4)&amp;"/"&amp;RIGHT("00"&amp;VALUE(TRIM(LEFT(MID(Sync!$L91,FIND("/",Sync!$L91)+1,20),FIND("/",MID(Sync!$L91,FIND("/",Sync!$L91)+1,20))-1))),2)&amp;"/"&amp;RIGHT("00"&amp;VALUE(TRIM(MID(MID(Sync!$L91,FIND("/",Sync!$L91)+1,20),FIND("/",MID(Sync!$L91,FIND("/",Sync!$L91)+1,20))+1,20))),2),"")))</f>
        <v/>
      </c>
    </row>
    <row r="92" spans="1:14" x14ac:dyDescent="0.2">
      <c r="A92" t="str">
        <f>IF(Issues!$B95="","",Issues!$B95)</f>
        <v/>
      </c>
      <c r="B92" t="str">
        <f>IF($A92="","",IF(ISNUMBER(Issues!$C95),IF(AND(Issues!$C95&gt;=10000101,Issues!$C95&lt;=99991231),INT(Issues!$C95/10000),""),IFERROR(VALUE(TRIM(LEFT(Issues!$C95,FIND("/",Issues!$C95)-1))),"")))</f>
        <v/>
      </c>
      <c r="C92" t="str">
        <f>IF(OR($A92="",$B92=""),"",IF(ISNUMBER(Issues!$C95),INT(MOD(Issues!$C95,10000)/100),IFERROR(VALUE(TRIM(LEFT(MID(Issues!$C95,FIND("/",Issues!$C95)+1,20),FIND("/",MID(Issues!$C95,FIND("/",Issues!$C95)+1,20))-1))),"")))</f>
        <v/>
      </c>
      <c r="D92" t="str">
        <f>IF(OR($A92="",$B92=""),"",IF(ISNUMBER(Issues!$C95),MOD(Issues!$C95,100),IFERROR(VALUE(TRIM(MID(MID(Issues!$C95,FIND("/",Issues!$C95)+1,20),FIND("/",MID(Issues!$C95,FIND("/",Issues!$C95)+1,20))+1,20))),"")))</f>
        <v/>
      </c>
      <c r="E92" t="str">
        <f t="shared" si="3"/>
        <v/>
      </c>
      <c r="F92" t="str">
        <f>IF($A92="","",IF(Issues!$D95="",0,Issues!$D95))</f>
        <v/>
      </c>
      <c r="G92" t="str">
        <f>IF($A92="","",Issues!$E95)</f>
        <v/>
      </c>
      <c r="H92" t="str">
        <f t="shared" si="4"/>
        <v/>
      </c>
      <c r="I92" t="str">
        <f t="shared" si="5"/>
        <v/>
      </c>
      <c r="J92" t="str">
        <f>IF($A92="","",Issues!$G95)</f>
        <v/>
      </c>
      <c r="K92" t="str">
        <f>IF(OR($E92="",$E92="نامعتبر"),"",LEFT($E92,4)&amp;MID($E92,6,2)&amp;RIGHT($E92,2)&amp;"|"&amp;RIGHT("00000"&amp;87,5))</f>
        <v/>
      </c>
      <c r="M92" t="str">
        <f>IF(Sync!$M92&lt;&gt;"پاس چک","",IF(Sync!$P92="","",Sync!$P92))</f>
        <v/>
      </c>
      <c r="N92" t="str">
        <f>IF($M92="","",IF(ISNUMBER(Sync!$L92),IF(AND(Sync!$L92&gt;=10000101,Sync!$L92&lt;=99991231),RIGHT("0000"&amp;INT(Sync!$L92/10000),4)&amp;"/"&amp;RIGHT("00"&amp;INT(MOD(Sync!$L92,10000)/100),2)&amp;"/"&amp;RIGHT("00"&amp;MOD(Sync!$L92,100),2),""),IFERROR(RIGHT("0000"&amp;VALUE(TRIM(LEFT(Sync!$L92,FIND("/",Sync!$L92)-1))),4)&amp;"/"&amp;RIGHT("00"&amp;VALUE(TRIM(LEFT(MID(Sync!$L92,FIND("/",Sync!$L92)+1,20),FIND("/",MID(Sync!$L92,FIND("/",Sync!$L92)+1,20))-1))),2)&amp;"/"&amp;RIGHT("00"&amp;VALUE(TRIM(MID(MID(Sync!$L92,FIND("/",Sync!$L92)+1,20),FIND("/",MID(Sync!$L92,FIND("/",Sync!$L92)+1,20))+1,20))),2),"")))</f>
        <v/>
      </c>
    </row>
    <row r="93" spans="1:14" x14ac:dyDescent="0.2">
      <c r="A93" t="str">
        <f>IF(Issues!$B96="","",Issues!$B96)</f>
        <v/>
      </c>
      <c r="B93" t="str">
        <f>IF($A93="","",IF(ISNUMBER(Issues!$C96),IF(AND(Issues!$C96&gt;=10000101,Issues!$C96&lt;=99991231),INT(Issues!$C96/10000),""),IFERROR(VALUE(TRIM(LEFT(Issues!$C96,FIND("/",Issues!$C96)-1))),"")))</f>
        <v/>
      </c>
      <c r="C93" t="str">
        <f>IF(OR($A93="",$B93=""),"",IF(ISNUMBER(Issues!$C96),INT(MOD(Issues!$C96,10000)/100),IFERROR(VALUE(TRIM(LEFT(MID(Issues!$C96,FIND("/",Issues!$C96)+1,20),FIND("/",MID(Issues!$C96,FIND("/",Issues!$C96)+1,20))-1))),"")))</f>
        <v/>
      </c>
      <c r="D93" t="str">
        <f>IF(OR($A93="",$B93=""),"",IF(ISNUMBER(Issues!$C96),MOD(Issues!$C96,100),IFERROR(VALUE(TRIM(MID(MID(Issues!$C96,FIND("/",Issues!$C96)+1,20),FIND("/",MID(Issues!$C96,FIND("/",Issues!$C96)+1,20))+1,20))),"")))</f>
        <v/>
      </c>
      <c r="E93" t="str">
        <f t="shared" si="3"/>
        <v/>
      </c>
      <c r="F93" t="str">
        <f>IF($A93="","",IF(Issues!$D96="",0,Issues!$D96))</f>
        <v/>
      </c>
      <c r="G93" t="str">
        <f>IF($A93="","",Issues!$E96)</f>
        <v/>
      </c>
      <c r="H93" t="str">
        <f t="shared" si="4"/>
        <v/>
      </c>
      <c r="I93" t="str">
        <f t="shared" si="5"/>
        <v/>
      </c>
      <c r="J93" t="str">
        <f>IF($A93="","",Issues!$G96)</f>
        <v/>
      </c>
      <c r="K93" t="str">
        <f>IF(OR($E93="",$E93="نامعتبر"),"",LEFT($E93,4)&amp;MID($E93,6,2)&amp;RIGHT($E93,2)&amp;"|"&amp;RIGHT("00000"&amp;88,5))</f>
        <v/>
      </c>
      <c r="M93" t="str">
        <f>IF(Sync!$M93&lt;&gt;"پاس چک","",IF(Sync!$P93="","",Sync!$P93))</f>
        <v/>
      </c>
      <c r="N93" t="str">
        <f>IF($M93="","",IF(ISNUMBER(Sync!$L93),IF(AND(Sync!$L93&gt;=10000101,Sync!$L93&lt;=99991231),RIGHT("0000"&amp;INT(Sync!$L93/10000),4)&amp;"/"&amp;RIGHT("00"&amp;INT(MOD(Sync!$L93,10000)/100),2)&amp;"/"&amp;RIGHT("00"&amp;MOD(Sync!$L93,100),2),""),IFERROR(RIGHT("0000"&amp;VALUE(TRIM(LEFT(Sync!$L93,FIND("/",Sync!$L93)-1))),4)&amp;"/"&amp;RIGHT("00"&amp;VALUE(TRIM(LEFT(MID(Sync!$L93,FIND("/",Sync!$L93)+1,20),FIND("/",MID(Sync!$L93,FIND("/",Sync!$L93)+1,20))-1))),2)&amp;"/"&amp;RIGHT("00"&amp;VALUE(TRIM(MID(MID(Sync!$L93,FIND("/",Sync!$L93)+1,20),FIND("/",MID(Sync!$L93,FIND("/",Sync!$L93)+1,20))+1,20))),2),"")))</f>
        <v/>
      </c>
    </row>
    <row r="94" spans="1:14" x14ac:dyDescent="0.2">
      <c r="A94" t="str">
        <f>IF(Issues!$B97="","",Issues!$B97)</f>
        <v/>
      </c>
      <c r="B94" t="str">
        <f>IF($A94="","",IF(ISNUMBER(Issues!$C97),IF(AND(Issues!$C97&gt;=10000101,Issues!$C97&lt;=99991231),INT(Issues!$C97/10000),""),IFERROR(VALUE(TRIM(LEFT(Issues!$C97,FIND("/",Issues!$C97)-1))),"")))</f>
        <v/>
      </c>
      <c r="C94" t="str">
        <f>IF(OR($A94="",$B94=""),"",IF(ISNUMBER(Issues!$C97),INT(MOD(Issues!$C97,10000)/100),IFERROR(VALUE(TRIM(LEFT(MID(Issues!$C97,FIND("/",Issues!$C97)+1,20),FIND("/",MID(Issues!$C97,FIND("/",Issues!$C97)+1,20))-1))),"")))</f>
        <v/>
      </c>
      <c r="D94" t="str">
        <f>IF(OR($A94="",$B94=""),"",IF(ISNUMBER(Issues!$C97),MOD(Issues!$C97,100),IFERROR(VALUE(TRIM(MID(MID(Issues!$C97,FIND("/",Issues!$C97)+1,20),FIND("/",MID(Issues!$C97,FIND("/",Issues!$C97)+1,20))+1,20))),"")))</f>
        <v/>
      </c>
      <c r="E94" t="str">
        <f t="shared" si="3"/>
        <v/>
      </c>
      <c r="F94" t="str">
        <f>IF($A94="","",IF(Issues!$D97="",0,Issues!$D97))</f>
        <v/>
      </c>
      <c r="G94" t="str">
        <f>IF($A94="","",Issues!$E97)</f>
        <v/>
      </c>
      <c r="H94" t="str">
        <f t="shared" si="4"/>
        <v/>
      </c>
      <c r="I94" t="str">
        <f t="shared" si="5"/>
        <v/>
      </c>
      <c r="J94" t="str">
        <f>IF($A94="","",Issues!$G97)</f>
        <v/>
      </c>
      <c r="K94" t="str">
        <f>IF(OR($E94="",$E94="نامعتبر"),"",LEFT($E94,4)&amp;MID($E94,6,2)&amp;RIGHT($E94,2)&amp;"|"&amp;RIGHT("00000"&amp;89,5))</f>
        <v/>
      </c>
      <c r="M94" t="str">
        <f>IF(Sync!$M94&lt;&gt;"پاس چک","",IF(Sync!$P94="","",Sync!$P94))</f>
        <v/>
      </c>
      <c r="N94" t="str">
        <f>IF($M94="","",IF(ISNUMBER(Sync!$L94),IF(AND(Sync!$L94&gt;=10000101,Sync!$L94&lt;=99991231),RIGHT("0000"&amp;INT(Sync!$L94/10000),4)&amp;"/"&amp;RIGHT("00"&amp;INT(MOD(Sync!$L94,10000)/100),2)&amp;"/"&amp;RIGHT("00"&amp;MOD(Sync!$L94,100),2),""),IFERROR(RIGHT("0000"&amp;VALUE(TRIM(LEFT(Sync!$L94,FIND("/",Sync!$L94)-1))),4)&amp;"/"&amp;RIGHT("00"&amp;VALUE(TRIM(LEFT(MID(Sync!$L94,FIND("/",Sync!$L94)+1,20),FIND("/",MID(Sync!$L94,FIND("/",Sync!$L94)+1,20))-1))),2)&amp;"/"&amp;RIGHT("00"&amp;VALUE(TRIM(MID(MID(Sync!$L94,FIND("/",Sync!$L94)+1,20),FIND("/",MID(Sync!$L94,FIND("/",Sync!$L94)+1,20))+1,20))),2),"")))</f>
        <v/>
      </c>
    </row>
    <row r="95" spans="1:14" x14ac:dyDescent="0.2">
      <c r="A95" t="str">
        <f>IF(Issues!$B98="","",Issues!$B98)</f>
        <v/>
      </c>
      <c r="B95" t="str">
        <f>IF($A95="","",IF(ISNUMBER(Issues!$C98),IF(AND(Issues!$C98&gt;=10000101,Issues!$C98&lt;=99991231),INT(Issues!$C98/10000),""),IFERROR(VALUE(TRIM(LEFT(Issues!$C98,FIND("/",Issues!$C98)-1))),"")))</f>
        <v/>
      </c>
      <c r="C95" t="str">
        <f>IF(OR($A95="",$B95=""),"",IF(ISNUMBER(Issues!$C98),INT(MOD(Issues!$C98,10000)/100),IFERROR(VALUE(TRIM(LEFT(MID(Issues!$C98,FIND("/",Issues!$C98)+1,20),FIND("/",MID(Issues!$C98,FIND("/",Issues!$C98)+1,20))-1))),"")))</f>
        <v/>
      </c>
      <c r="D95" t="str">
        <f>IF(OR($A95="",$B95=""),"",IF(ISNUMBER(Issues!$C98),MOD(Issues!$C98,100),IFERROR(VALUE(TRIM(MID(MID(Issues!$C98,FIND("/",Issues!$C98)+1,20),FIND("/",MID(Issues!$C98,FIND("/",Issues!$C98)+1,20))+1,20))),"")))</f>
        <v/>
      </c>
      <c r="E95" t="str">
        <f t="shared" si="3"/>
        <v/>
      </c>
      <c r="F95" t="str">
        <f>IF($A95="","",IF(Issues!$D98="",0,Issues!$D98))</f>
        <v/>
      </c>
      <c r="G95" t="str">
        <f>IF($A95="","",Issues!$E98)</f>
        <v/>
      </c>
      <c r="H95" t="str">
        <f t="shared" si="4"/>
        <v/>
      </c>
      <c r="I95" t="str">
        <f t="shared" si="5"/>
        <v/>
      </c>
      <c r="J95" t="str">
        <f>IF($A95="","",Issues!$G98)</f>
        <v/>
      </c>
      <c r="K95" t="str">
        <f>IF(OR($E95="",$E95="نامعتبر"),"",LEFT($E95,4)&amp;MID($E95,6,2)&amp;RIGHT($E95,2)&amp;"|"&amp;RIGHT("00000"&amp;90,5))</f>
        <v/>
      </c>
      <c r="M95" t="str">
        <f>IF(Sync!$M95&lt;&gt;"پاس چک","",IF(Sync!$P95="","",Sync!$P95))</f>
        <v/>
      </c>
      <c r="N95" t="str">
        <f>IF($M95="","",IF(ISNUMBER(Sync!$L95),IF(AND(Sync!$L95&gt;=10000101,Sync!$L95&lt;=99991231),RIGHT("0000"&amp;INT(Sync!$L95/10000),4)&amp;"/"&amp;RIGHT("00"&amp;INT(MOD(Sync!$L95,10000)/100),2)&amp;"/"&amp;RIGHT("00"&amp;MOD(Sync!$L95,100),2),""),IFERROR(RIGHT("0000"&amp;VALUE(TRIM(LEFT(Sync!$L95,FIND("/",Sync!$L95)-1))),4)&amp;"/"&amp;RIGHT("00"&amp;VALUE(TRIM(LEFT(MID(Sync!$L95,FIND("/",Sync!$L95)+1,20),FIND("/",MID(Sync!$L95,FIND("/",Sync!$L95)+1,20))-1))),2)&amp;"/"&amp;RIGHT("00"&amp;VALUE(TRIM(MID(MID(Sync!$L95,FIND("/",Sync!$L95)+1,20),FIND("/",MID(Sync!$L95,FIND("/",Sync!$L95)+1,20))+1,20))),2),"")))</f>
        <v/>
      </c>
    </row>
    <row r="96" spans="1:14" x14ac:dyDescent="0.2">
      <c r="A96" t="str">
        <f>IF(Issues!$B99="","",Issues!$B99)</f>
        <v/>
      </c>
      <c r="B96" t="str">
        <f>IF($A96="","",IF(ISNUMBER(Issues!$C99),IF(AND(Issues!$C99&gt;=10000101,Issues!$C99&lt;=99991231),INT(Issues!$C99/10000),""),IFERROR(VALUE(TRIM(LEFT(Issues!$C99,FIND("/",Issues!$C99)-1))),"")))</f>
        <v/>
      </c>
      <c r="C96" t="str">
        <f>IF(OR($A96="",$B96=""),"",IF(ISNUMBER(Issues!$C99),INT(MOD(Issues!$C99,10000)/100),IFERROR(VALUE(TRIM(LEFT(MID(Issues!$C99,FIND("/",Issues!$C99)+1,20),FIND("/",MID(Issues!$C99,FIND("/",Issues!$C99)+1,20))-1))),"")))</f>
        <v/>
      </c>
      <c r="D96" t="str">
        <f>IF(OR($A96="",$B96=""),"",IF(ISNUMBER(Issues!$C99),MOD(Issues!$C99,100),IFERROR(VALUE(TRIM(MID(MID(Issues!$C99,FIND("/",Issues!$C99)+1,20),FIND("/",MID(Issues!$C99,FIND("/",Issues!$C99)+1,20))+1,20))),"")))</f>
        <v/>
      </c>
      <c r="E96" t="str">
        <f t="shared" si="3"/>
        <v/>
      </c>
      <c r="F96" t="str">
        <f>IF($A96="","",IF(Issues!$D99="",0,Issues!$D99))</f>
        <v/>
      </c>
      <c r="G96" t="str">
        <f>IF($A96="","",Issues!$E99)</f>
        <v/>
      </c>
      <c r="H96" t="str">
        <f t="shared" si="4"/>
        <v/>
      </c>
      <c r="I96" t="str">
        <f t="shared" si="5"/>
        <v/>
      </c>
      <c r="J96" t="str">
        <f>IF($A96="","",Issues!$G99)</f>
        <v/>
      </c>
      <c r="K96" t="str">
        <f>IF(OR($E96="",$E96="نامعتبر"),"",LEFT($E96,4)&amp;MID($E96,6,2)&amp;RIGHT($E96,2)&amp;"|"&amp;RIGHT("00000"&amp;91,5))</f>
        <v/>
      </c>
      <c r="M96" t="str">
        <f>IF(Sync!$M96&lt;&gt;"پاس چک","",IF(Sync!$P96="","",Sync!$P96))</f>
        <v/>
      </c>
      <c r="N96" t="str">
        <f>IF($M96="","",IF(ISNUMBER(Sync!$L96),IF(AND(Sync!$L96&gt;=10000101,Sync!$L96&lt;=99991231),RIGHT("0000"&amp;INT(Sync!$L96/10000),4)&amp;"/"&amp;RIGHT("00"&amp;INT(MOD(Sync!$L96,10000)/100),2)&amp;"/"&amp;RIGHT("00"&amp;MOD(Sync!$L96,100),2),""),IFERROR(RIGHT("0000"&amp;VALUE(TRIM(LEFT(Sync!$L96,FIND("/",Sync!$L96)-1))),4)&amp;"/"&amp;RIGHT("00"&amp;VALUE(TRIM(LEFT(MID(Sync!$L96,FIND("/",Sync!$L96)+1,20),FIND("/",MID(Sync!$L96,FIND("/",Sync!$L96)+1,20))-1))),2)&amp;"/"&amp;RIGHT("00"&amp;VALUE(TRIM(MID(MID(Sync!$L96,FIND("/",Sync!$L96)+1,20),FIND("/",MID(Sync!$L96,FIND("/",Sync!$L96)+1,20))+1,20))),2),"")))</f>
        <v/>
      </c>
    </row>
    <row r="97" spans="1:14" x14ac:dyDescent="0.2">
      <c r="A97" t="str">
        <f>IF(Issues!$B100="","",Issues!$B100)</f>
        <v/>
      </c>
      <c r="B97" t="str">
        <f>IF($A97="","",IF(ISNUMBER(Issues!$C100),IF(AND(Issues!$C100&gt;=10000101,Issues!$C100&lt;=99991231),INT(Issues!$C100/10000),""),IFERROR(VALUE(TRIM(LEFT(Issues!$C100,FIND("/",Issues!$C100)-1))),"")))</f>
        <v/>
      </c>
      <c r="C97" t="str">
        <f>IF(OR($A97="",$B97=""),"",IF(ISNUMBER(Issues!$C100),INT(MOD(Issues!$C100,10000)/100),IFERROR(VALUE(TRIM(LEFT(MID(Issues!$C100,FIND("/",Issues!$C100)+1,20),FIND("/",MID(Issues!$C100,FIND("/",Issues!$C100)+1,20))-1))),"")))</f>
        <v/>
      </c>
      <c r="D97" t="str">
        <f>IF(OR($A97="",$B97=""),"",IF(ISNUMBER(Issues!$C100),MOD(Issues!$C100,100),IFERROR(VALUE(TRIM(MID(MID(Issues!$C100,FIND("/",Issues!$C100)+1,20),FIND("/",MID(Issues!$C100,FIND("/",Issues!$C100)+1,20))+1,20))),"")))</f>
        <v/>
      </c>
      <c r="E97" t="str">
        <f t="shared" si="3"/>
        <v/>
      </c>
      <c r="F97" t="str">
        <f>IF($A97="","",IF(Issues!$D100="",0,Issues!$D100))</f>
        <v/>
      </c>
      <c r="G97" t="str">
        <f>IF($A97="","",Issues!$E100)</f>
        <v/>
      </c>
      <c r="H97" t="str">
        <f t="shared" si="4"/>
        <v/>
      </c>
      <c r="I97" t="str">
        <f t="shared" si="5"/>
        <v/>
      </c>
      <c r="J97" t="str">
        <f>IF($A97="","",Issues!$G100)</f>
        <v/>
      </c>
      <c r="K97" t="str">
        <f>IF(OR($E97="",$E97="نامعتبر"),"",LEFT($E97,4)&amp;MID($E97,6,2)&amp;RIGHT($E97,2)&amp;"|"&amp;RIGHT("00000"&amp;92,5))</f>
        <v/>
      </c>
      <c r="M97" t="str">
        <f>IF(Sync!$M97&lt;&gt;"پاس چک","",IF(Sync!$P97="","",Sync!$P97))</f>
        <v/>
      </c>
      <c r="N97" t="str">
        <f>IF($M97="","",IF(ISNUMBER(Sync!$L97),IF(AND(Sync!$L97&gt;=10000101,Sync!$L97&lt;=99991231),RIGHT("0000"&amp;INT(Sync!$L97/10000),4)&amp;"/"&amp;RIGHT("00"&amp;INT(MOD(Sync!$L97,10000)/100),2)&amp;"/"&amp;RIGHT("00"&amp;MOD(Sync!$L97,100),2),""),IFERROR(RIGHT("0000"&amp;VALUE(TRIM(LEFT(Sync!$L97,FIND("/",Sync!$L97)-1))),4)&amp;"/"&amp;RIGHT("00"&amp;VALUE(TRIM(LEFT(MID(Sync!$L97,FIND("/",Sync!$L97)+1,20),FIND("/",MID(Sync!$L97,FIND("/",Sync!$L97)+1,20))-1))),2)&amp;"/"&amp;RIGHT("00"&amp;VALUE(TRIM(MID(MID(Sync!$L97,FIND("/",Sync!$L97)+1,20),FIND("/",MID(Sync!$L97,FIND("/",Sync!$L97)+1,20))+1,20))),2),"")))</f>
        <v/>
      </c>
    </row>
    <row r="98" spans="1:14" x14ac:dyDescent="0.2">
      <c r="A98" t="str">
        <f>IF(Issues!$B101="","",Issues!$B101)</f>
        <v/>
      </c>
      <c r="B98" t="str">
        <f>IF($A98="","",IF(ISNUMBER(Issues!$C101),IF(AND(Issues!$C101&gt;=10000101,Issues!$C101&lt;=99991231),INT(Issues!$C101/10000),""),IFERROR(VALUE(TRIM(LEFT(Issues!$C101,FIND("/",Issues!$C101)-1))),"")))</f>
        <v/>
      </c>
      <c r="C98" t="str">
        <f>IF(OR($A98="",$B98=""),"",IF(ISNUMBER(Issues!$C101),INT(MOD(Issues!$C101,10000)/100),IFERROR(VALUE(TRIM(LEFT(MID(Issues!$C101,FIND("/",Issues!$C101)+1,20),FIND("/",MID(Issues!$C101,FIND("/",Issues!$C101)+1,20))-1))),"")))</f>
        <v/>
      </c>
      <c r="D98" t="str">
        <f>IF(OR($A98="",$B98=""),"",IF(ISNUMBER(Issues!$C101),MOD(Issues!$C101,100),IFERROR(VALUE(TRIM(MID(MID(Issues!$C101,FIND("/",Issues!$C101)+1,20),FIND("/",MID(Issues!$C101,FIND("/",Issues!$C101)+1,20))+1,20))),"")))</f>
        <v/>
      </c>
      <c r="E98" t="str">
        <f t="shared" si="3"/>
        <v/>
      </c>
      <c r="F98" t="str">
        <f>IF($A98="","",IF(Issues!$D101="",0,Issues!$D101))</f>
        <v/>
      </c>
      <c r="G98" t="str">
        <f>IF($A98="","",Issues!$E101)</f>
        <v/>
      </c>
      <c r="H98" t="str">
        <f t="shared" si="4"/>
        <v/>
      </c>
      <c r="I98" t="str">
        <f t="shared" si="5"/>
        <v/>
      </c>
      <c r="J98" t="str">
        <f>IF($A98="","",Issues!$G101)</f>
        <v/>
      </c>
      <c r="K98" t="str">
        <f>IF(OR($E98="",$E98="نامعتبر"),"",LEFT($E98,4)&amp;MID($E98,6,2)&amp;RIGHT($E98,2)&amp;"|"&amp;RIGHT("00000"&amp;93,5))</f>
        <v/>
      </c>
      <c r="M98" t="str">
        <f>IF(Sync!$M98&lt;&gt;"پاس چک","",IF(Sync!$P98="","",Sync!$P98))</f>
        <v/>
      </c>
      <c r="N98" t="str">
        <f>IF($M98="","",IF(ISNUMBER(Sync!$L98),IF(AND(Sync!$L98&gt;=10000101,Sync!$L98&lt;=99991231),RIGHT("0000"&amp;INT(Sync!$L98/10000),4)&amp;"/"&amp;RIGHT("00"&amp;INT(MOD(Sync!$L98,10000)/100),2)&amp;"/"&amp;RIGHT("00"&amp;MOD(Sync!$L98,100),2),""),IFERROR(RIGHT("0000"&amp;VALUE(TRIM(LEFT(Sync!$L98,FIND("/",Sync!$L98)-1))),4)&amp;"/"&amp;RIGHT("00"&amp;VALUE(TRIM(LEFT(MID(Sync!$L98,FIND("/",Sync!$L98)+1,20),FIND("/",MID(Sync!$L98,FIND("/",Sync!$L98)+1,20))-1))),2)&amp;"/"&amp;RIGHT("00"&amp;VALUE(TRIM(MID(MID(Sync!$L98,FIND("/",Sync!$L98)+1,20),FIND("/",MID(Sync!$L98,FIND("/",Sync!$L98)+1,20))+1,20))),2),"")))</f>
        <v/>
      </c>
    </row>
    <row r="99" spans="1:14" x14ac:dyDescent="0.2">
      <c r="A99" t="str">
        <f>IF(Issues!$B102="","",Issues!$B102)</f>
        <v/>
      </c>
      <c r="B99" t="str">
        <f>IF($A99="","",IF(ISNUMBER(Issues!$C102),IF(AND(Issues!$C102&gt;=10000101,Issues!$C102&lt;=99991231),INT(Issues!$C102/10000),""),IFERROR(VALUE(TRIM(LEFT(Issues!$C102,FIND("/",Issues!$C102)-1))),"")))</f>
        <v/>
      </c>
      <c r="C99" t="str">
        <f>IF(OR($A99="",$B99=""),"",IF(ISNUMBER(Issues!$C102),INT(MOD(Issues!$C102,10000)/100),IFERROR(VALUE(TRIM(LEFT(MID(Issues!$C102,FIND("/",Issues!$C102)+1,20),FIND("/",MID(Issues!$C102,FIND("/",Issues!$C102)+1,20))-1))),"")))</f>
        <v/>
      </c>
      <c r="D99" t="str">
        <f>IF(OR($A99="",$B99=""),"",IF(ISNUMBER(Issues!$C102),MOD(Issues!$C102,100),IFERROR(VALUE(TRIM(MID(MID(Issues!$C102,FIND("/",Issues!$C102)+1,20),FIND("/",MID(Issues!$C102,FIND("/",Issues!$C102)+1,20))+1,20))),"")))</f>
        <v/>
      </c>
      <c r="E99" t="str">
        <f t="shared" si="3"/>
        <v/>
      </c>
      <c r="F99" t="str">
        <f>IF($A99="","",IF(Issues!$D102="",0,Issues!$D102))</f>
        <v/>
      </c>
      <c r="G99" t="str">
        <f>IF($A99="","",Issues!$E102)</f>
        <v/>
      </c>
      <c r="H99" t="str">
        <f t="shared" si="4"/>
        <v/>
      </c>
      <c r="I99" t="str">
        <f t="shared" si="5"/>
        <v/>
      </c>
      <c r="J99" t="str">
        <f>IF($A99="","",Issues!$G102)</f>
        <v/>
      </c>
      <c r="K99" t="str">
        <f>IF(OR($E99="",$E99="نامعتبر"),"",LEFT($E99,4)&amp;MID($E99,6,2)&amp;RIGHT($E99,2)&amp;"|"&amp;RIGHT("00000"&amp;94,5))</f>
        <v/>
      </c>
      <c r="M99" t="str">
        <f>IF(Sync!$M99&lt;&gt;"پاس چک","",IF(Sync!$P99="","",Sync!$P99))</f>
        <v/>
      </c>
      <c r="N99" t="str">
        <f>IF($M99="","",IF(ISNUMBER(Sync!$L99),IF(AND(Sync!$L99&gt;=10000101,Sync!$L99&lt;=99991231),RIGHT("0000"&amp;INT(Sync!$L99/10000),4)&amp;"/"&amp;RIGHT("00"&amp;INT(MOD(Sync!$L99,10000)/100),2)&amp;"/"&amp;RIGHT("00"&amp;MOD(Sync!$L99,100),2),""),IFERROR(RIGHT("0000"&amp;VALUE(TRIM(LEFT(Sync!$L99,FIND("/",Sync!$L99)-1))),4)&amp;"/"&amp;RIGHT("00"&amp;VALUE(TRIM(LEFT(MID(Sync!$L99,FIND("/",Sync!$L99)+1,20),FIND("/",MID(Sync!$L99,FIND("/",Sync!$L99)+1,20))-1))),2)&amp;"/"&amp;RIGHT("00"&amp;VALUE(TRIM(MID(MID(Sync!$L99,FIND("/",Sync!$L99)+1,20),FIND("/",MID(Sync!$L99,FIND("/",Sync!$L99)+1,20))+1,20))),2),"")))</f>
        <v/>
      </c>
    </row>
    <row r="100" spans="1:14" x14ac:dyDescent="0.2">
      <c r="A100" t="str">
        <f>IF(Issues!$B103="","",Issues!$B103)</f>
        <v/>
      </c>
      <c r="B100" t="str">
        <f>IF($A100="","",IF(ISNUMBER(Issues!$C103),IF(AND(Issues!$C103&gt;=10000101,Issues!$C103&lt;=99991231),INT(Issues!$C103/10000),""),IFERROR(VALUE(TRIM(LEFT(Issues!$C103,FIND("/",Issues!$C103)-1))),"")))</f>
        <v/>
      </c>
      <c r="C100" t="str">
        <f>IF(OR($A100="",$B100=""),"",IF(ISNUMBER(Issues!$C103),INT(MOD(Issues!$C103,10000)/100),IFERROR(VALUE(TRIM(LEFT(MID(Issues!$C103,FIND("/",Issues!$C103)+1,20),FIND("/",MID(Issues!$C103,FIND("/",Issues!$C103)+1,20))-1))),"")))</f>
        <v/>
      </c>
      <c r="D100" t="str">
        <f>IF(OR($A100="",$B100=""),"",IF(ISNUMBER(Issues!$C103),MOD(Issues!$C103,100),IFERROR(VALUE(TRIM(MID(MID(Issues!$C103,FIND("/",Issues!$C103)+1,20),FIND("/",MID(Issues!$C103,FIND("/",Issues!$C103)+1,20))+1,20))),"")))</f>
        <v/>
      </c>
      <c r="E100" t="str">
        <f t="shared" si="3"/>
        <v/>
      </c>
      <c r="F100" t="str">
        <f>IF($A100="","",IF(Issues!$D103="",0,Issues!$D103))</f>
        <v/>
      </c>
      <c r="G100" t="str">
        <f>IF($A100="","",Issues!$E103)</f>
        <v/>
      </c>
      <c r="H100" t="str">
        <f t="shared" si="4"/>
        <v/>
      </c>
      <c r="I100" t="str">
        <f t="shared" si="5"/>
        <v/>
      </c>
      <c r="J100" t="str">
        <f>IF($A100="","",Issues!$G103)</f>
        <v/>
      </c>
      <c r="K100" t="str">
        <f>IF(OR($E100="",$E100="نامعتبر"),"",LEFT($E100,4)&amp;MID($E100,6,2)&amp;RIGHT($E100,2)&amp;"|"&amp;RIGHT("00000"&amp;95,5))</f>
        <v/>
      </c>
      <c r="M100" t="str">
        <f>IF(Sync!$M100&lt;&gt;"پاس چک","",IF(Sync!$P100="","",Sync!$P100))</f>
        <v/>
      </c>
      <c r="N100" t="str">
        <f>IF($M100="","",IF(ISNUMBER(Sync!$L100),IF(AND(Sync!$L100&gt;=10000101,Sync!$L100&lt;=99991231),RIGHT("0000"&amp;INT(Sync!$L100/10000),4)&amp;"/"&amp;RIGHT("00"&amp;INT(MOD(Sync!$L100,10000)/100),2)&amp;"/"&amp;RIGHT("00"&amp;MOD(Sync!$L100,100),2),""),IFERROR(RIGHT("0000"&amp;VALUE(TRIM(LEFT(Sync!$L100,FIND("/",Sync!$L100)-1))),4)&amp;"/"&amp;RIGHT("00"&amp;VALUE(TRIM(LEFT(MID(Sync!$L100,FIND("/",Sync!$L100)+1,20),FIND("/",MID(Sync!$L100,FIND("/",Sync!$L100)+1,20))-1))),2)&amp;"/"&amp;RIGHT("00"&amp;VALUE(TRIM(MID(MID(Sync!$L100,FIND("/",Sync!$L100)+1,20),FIND("/",MID(Sync!$L100,FIND("/",Sync!$L100)+1,20))+1,20))),2),"")))</f>
        <v/>
      </c>
    </row>
    <row r="101" spans="1:14" x14ac:dyDescent="0.2">
      <c r="A101" t="str">
        <f>IF(Issues!$B104="","",Issues!$B104)</f>
        <v/>
      </c>
      <c r="B101" t="str">
        <f>IF($A101="","",IF(ISNUMBER(Issues!$C104),IF(AND(Issues!$C104&gt;=10000101,Issues!$C104&lt;=99991231),INT(Issues!$C104/10000),""),IFERROR(VALUE(TRIM(LEFT(Issues!$C104,FIND("/",Issues!$C104)-1))),"")))</f>
        <v/>
      </c>
      <c r="C101" t="str">
        <f>IF(OR($A101="",$B101=""),"",IF(ISNUMBER(Issues!$C104),INT(MOD(Issues!$C104,10000)/100),IFERROR(VALUE(TRIM(LEFT(MID(Issues!$C104,FIND("/",Issues!$C104)+1,20),FIND("/",MID(Issues!$C104,FIND("/",Issues!$C104)+1,20))-1))),"")))</f>
        <v/>
      </c>
      <c r="D101" t="str">
        <f>IF(OR($A101="",$B101=""),"",IF(ISNUMBER(Issues!$C104),MOD(Issues!$C104,100),IFERROR(VALUE(TRIM(MID(MID(Issues!$C104,FIND("/",Issues!$C104)+1,20),FIND("/",MID(Issues!$C104,FIND("/",Issues!$C104)+1,20))+1,20))),"")))</f>
        <v/>
      </c>
      <c r="E101" t="str">
        <f t="shared" si="3"/>
        <v/>
      </c>
      <c r="F101" t="str">
        <f>IF($A101="","",IF(Issues!$D104="",0,Issues!$D104))</f>
        <v/>
      </c>
      <c r="G101" t="str">
        <f>IF($A101="","",Issues!$E104)</f>
        <v/>
      </c>
      <c r="H101" t="str">
        <f t="shared" si="4"/>
        <v/>
      </c>
      <c r="I101" t="str">
        <f t="shared" si="5"/>
        <v/>
      </c>
      <c r="J101" t="str">
        <f>IF($A101="","",Issues!$G104)</f>
        <v/>
      </c>
      <c r="K101" t="str">
        <f>IF(OR($E101="",$E101="نامعتبر"),"",LEFT($E101,4)&amp;MID($E101,6,2)&amp;RIGHT($E101,2)&amp;"|"&amp;RIGHT("00000"&amp;96,5))</f>
        <v/>
      </c>
      <c r="M101" t="str">
        <f>IF(Sync!$M101&lt;&gt;"پاس چک","",IF(Sync!$P101="","",Sync!$P101))</f>
        <v/>
      </c>
      <c r="N101" t="str">
        <f>IF($M101="","",IF(ISNUMBER(Sync!$L101),IF(AND(Sync!$L101&gt;=10000101,Sync!$L101&lt;=99991231),RIGHT("0000"&amp;INT(Sync!$L101/10000),4)&amp;"/"&amp;RIGHT("00"&amp;INT(MOD(Sync!$L101,10000)/100),2)&amp;"/"&amp;RIGHT("00"&amp;MOD(Sync!$L101,100),2),""),IFERROR(RIGHT("0000"&amp;VALUE(TRIM(LEFT(Sync!$L101,FIND("/",Sync!$L101)-1))),4)&amp;"/"&amp;RIGHT("00"&amp;VALUE(TRIM(LEFT(MID(Sync!$L101,FIND("/",Sync!$L101)+1,20),FIND("/",MID(Sync!$L101,FIND("/",Sync!$L101)+1,20))-1))),2)&amp;"/"&amp;RIGHT("00"&amp;VALUE(TRIM(MID(MID(Sync!$L101,FIND("/",Sync!$L101)+1,20),FIND("/",MID(Sync!$L101,FIND("/",Sync!$L101)+1,20))+1,20))),2),"")))</f>
        <v/>
      </c>
    </row>
    <row r="102" spans="1:14" x14ac:dyDescent="0.2">
      <c r="A102" t="str">
        <f>IF(Issues!$B105="","",Issues!$B105)</f>
        <v/>
      </c>
      <c r="B102" t="str">
        <f>IF($A102="","",IF(ISNUMBER(Issues!$C105),IF(AND(Issues!$C105&gt;=10000101,Issues!$C105&lt;=99991231),INT(Issues!$C105/10000),""),IFERROR(VALUE(TRIM(LEFT(Issues!$C105,FIND("/",Issues!$C105)-1))),"")))</f>
        <v/>
      </c>
      <c r="C102" t="str">
        <f>IF(OR($A102="",$B102=""),"",IF(ISNUMBER(Issues!$C105),INT(MOD(Issues!$C105,10000)/100),IFERROR(VALUE(TRIM(LEFT(MID(Issues!$C105,FIND("/",Issues!$C105)+1,20),FIND("/",MID(Issues!$C105,FIND("/",Issues!$C105)+1,20))-1))),"")))</f>
        <v/>
      </c>
      <c r="D102" t="str">
        <f>IF(OR($A102="",$B102=""),"",IF(ISNUMBER(Issues!$C105),MOD(Issues!$C105,100),IFERROR(VALUE(TRIM(MID(MID(Issues!$C105,FIND("/",Issues!$C105)+1,20),FIND("/",MID(Issues!$C105,FIND("/",Issues!$C105)+1,20))+1,20))),"")))</f>
        <v/>
      </c>
      <c r="E102" t="str">
        <f t="shared" si="3"/>
        <v/>
      </c>
      <c r="F102" t="str">
        <f>IF($A102="","",IF(Issues!$D105="",0,Issues!$D105))</f>
        <v/>
      </c>
      <c r="G102" t="str">
        <f>IF($A102="","",Issues!$E105)</f>
        <v/>
      </c>
      <c r="H102" t="str">
        <f t="shared" si="4"/>
        <v/>
      </c>
      <c r="I102" t="str">
        <f t="shared" si="5"/>
        <v/>
      </c>
      <c r="J102" t="str">
        <f>IF($A102="","",Issues!$G105)</f>
        <v/>
      </c>
      <c r="K102" t="str">
        <f>IF(OR($E102="",$E102="نامعتبر"),"",LEFT($E102,4)&amp;MID($E102,6,2)&amp;RIGHT($E102,2)&amp;"|"&amp;RIGHT("00000"&amp;97,5))</f>
        <v/>
      </c>
      <c r="M102" t="str">
        <f>IF(Sync!$M102&lt;&gt;"پاس چک","",IF(Sync!$P102="","",Sync!$P102))</f>
        <v/>
      </c>
      <c r="N102" t="str">
        <f>IF($M102="","",IF(ISNUMBER(Sync!$L102),IF(AND(Sync!$L102&gt;=10000101,Sync!$L102&lt;=99991231),RIGHT("0000"&amp;INT(Sync!$L102/10000),4)&amp;"/"&amp;RIGHT("00"&amp;INT(MOD(Sync!$L102,10000)/100),2)&amp;"/"&amp;RIGHT("00"&amp;MOD(Sync!$L102,100),2),""),IFERROR(RIGHT("0000"&amp;VALUE(TRIM(LEFT(Sync!$L102,FIND("/",Sync!$L102)-1))),4)&amp;"/"&amp;RIGHT("00"&amp;VALUE(TRIM(LEFT(MID(Sync!$L102,FIND("/",Sync!$L102)+1,20),FIND("/",MID(Sync!$L102,FIND("/",Sync!$L102)+1,20))-1))),2)&amp;"/"&amp;RIGHT("00"&amp;VALUE(TRIM(MID(MID(Sync!$L102,FIND("/",Sync!$L102)+1,20),FIND("/",MID(Sync!$L102,FIND("/",Sync!$L102)+1,20))+1,20))),2),"")))</f>
        <v/>
      </c>
    </row>
    <row r="103" spans="1:14" x14ac:dyDescent="0.2">
      <c r="A103" t="str">
        <f>IF(Issues!$B106="","",Issues!$B106)</f>
        <v/>
      </c>
      <c r="B103" t="str">
        <f>IF($A103="","",IF(ISNUMBER(Issues!$C106),IF(AND(Issues!$C106&gt;=10000101,Issues!$C106&lt;=99991231),INT(Issues!$C106/10000),""),IFERROR(VALUE(TRIM(LEFT(Issues!$C106,FIND("/",Issues!$C106)-1))),"")))</f>
        <v/>
      </c>
      <c r="C103" t="str">
        <f>IF(OR($A103="",$B103=""),"",IF(ISNUMBER(Issues!$C106),INT(MOD(Issues!$C106,10000)/100),IFERROR(VALUE(TRIM(LEFT(MID(Issues!$C106,FIND("/",Issues!$C106)+1,20),FIND("/",MID(Issues!$C106,FIND("/",Issues!$C106)+1,20))-1))),"")))</f>
        <v/>
      </c>
      <c r="D103" t="str">
        <f>IF(OR($A103="",$B103=""),"",IF(ISNUMBER(Issues!$C106),MOD(Issues!$C106,100),IFERROR(VALUE(TRIM(MID(MID(Issues!$C106,FIND("/",Issues!$C106)+1,20),FIND("/",MID(Issues!$C106,FIND("/",Issues!$C106)+1,20))+1,20))),"")))</f>
        <v/>
      </c>
      <c r="E103" t="str">
        <f t="shared" si="3"/>
        <v/>
      </c>
      <c r="F103" t="str">
        <f>IF($A103="","",IF(Issues!$D106="",0,Issues!$D106))</f>
        <v/>
      </c>
      <c r="G103" t="str">
        <f>IF($A103="","",Issues!$E106)</f>
        <v/>
      </c>
      <c r="H103" t="str">
        <f t="shared" si="4"/>
        <v/>
      </c>
      <c r="I103" t="str">
        <f t="shared" si="5"/>
        <v/>
      </c>
      <c r="J103" t="str">
        <f>IF($A103="","",Issues!$G106)</f>
        <v/>
      </c>
      <c r="K103" t="str">
        <f>IF(OR($E103="",$E103="نامعتبر"),"",LEFT($E103,4)&amp;MID($E103,6,2)&amp;RIGHT($E103,2)&amp;"|"&amp;RIGHT("00000"&amp;98,5))</f>
        <v/>
      </c>
      <c r="M103" t="str">
        <f>IF(Sync!$M103&lt;&gt;"پاس چک","",IF(Sync!$P103="","",Sync!$P103))</f>
        <v/>
      </c>
      <c r="N103" t="str">
        <f>IF($M103="","",IF(ISNUMBER(Sync!$L103),IF(AND(Sync!$L103&gt;=10000101,Sync!$L103&lt;=99991231),RIGHT("0000"&amp;INT(Sync!$L103/10000),4)&amp;"/"&amp;RIGHT("00"&amp;INT(MOD(Sync!$L103,10000)/100),2)&amp;"/"&amp;RIGHT("00"&amp;MOD(Sync!$L103,100),2),""),IFERROR(RIGHT("0000"&amp;VALUE(TRIM(LEFT(Sync!$L103,FIND("/",Sync!$L103)-1))),4)&amp;"/"&amp;RIGHT("00"&amp;VALUE(TRIM(LEFT(MID(Sync!$L103,FIND("/",Sync!$L103)+1,20),FIND("/",MID(Sync!$L103,FIND("/",Sync!$L103)+1,20))-1))),2)&amp;"/"&amp;RIGHT("00"&amp;VALUE(TRIM(MID(MID(Sync!$L103,FIND("/",Sync!$L103)+1,20),FIND("/",MID(Sync!$L103,FIND("/",Sync!$L103)+1,20))+1,20))),2),"")))</f>
        <v/>
      </c>
    </row>
    <row r="104" spans="1:14" x14ac:dyDescent="0.2">
      <c r="A104" t="str">
        <f>IF(Issues!$B107="","",Issues!$B107)</f>
        <v/>
      </c>
      <c r="B104" t="str">
        <f>IF($A104="","",IF(ISNUMBER(Issues!$C107),IF(AND(Issues!$C107&gt;=10000101,Issues!$C107&lt;=99991231),INT(Issues!$C107/10000),""),IFERROR(VALUE(TRIM(LEFT(Issues!$C107,FIND("/",Issues!$C107)-1))),"")))</f>
        <v/>
      </c>
      <c r="C104" t="str">
        <f>IF(OR($A104="",$B104=""),"",IF(ISNUMBER(Issues!$C107),INT(MOD(Issues!$C107,10000)/100),IFERROR(VALUE(TRIM(LEFT(MID(Issues!$C107,FIND("/",Issues!$C107)+1,20),FIND("/",MID(Issues!$C107,FIND("/",Issues!$C107)+1,20))-1))),"")))</f>
        <v/>
      </c>
      <c r="D104" t="str">
        <f>IF(OR($A104="",$B104=""),"",IF(ISNUMBER(Issues!$C107),MOD(Issues!$C107,100),IFERROR(VALUE(TRIM(MID(MID(Issues!$C107,FIND("/",Issues!$C107)+1,20),FIND("/",MID(Issues!$C107,FIND("/",Issues!$C107)+1,20))+1,20))),"")))</f>
        <v/>
      </c>
      <c r="E104" t="str">
        <f t="shared" si="3"/>
        <v/>
      </c>
      <c r="F104" t="str">
        <f>IF($A104="","",IF(Issues!$D107="",0,Issues!$D107))</f>
        <v/>
      </c>
      <c r="G104" t="str">
        <f>IF($A104="","",Issues!$E107)</f>
        <v/>
      </c>
      <c r="H104" t="str">
        <f t="shared" si="4"/>
        <v/>
      </c>
      <c r="I104" t="str">
        <f t="shared" si="5"/>
        <v/>
      </c>
      <c r="J104" t="str">
        <f>IF($A104="","",Issues!$G107)</f>
        <v/>
      </c>
      <c r="K104" t="str">
        <f>IF(OR($E104="",$E104="نامعتبر"),"",LEFT($E104,4)&amp;MID($E104,6,2)&amp;RIGHT($E104,2)&amp;"|"&amp;RIGHT("00000"&amp;99,5))</f>
        <v/>
      </c>
      <c r="M104" t="str">
        <f>IF(Sync!$M104&lt;&gt;"پاس چک","",IF(Sync!$P104="","",Sync!$P104))</f>
        <v/>
      </c>
      <c r="N104" t="str">
        <f>IF($M104="","",IF(ISNUMBER(Sync!$L104),IF(AND(Sync!$L104&gt;=10000101,Sync!$L104&lt;=99991231),RIGHT("0000"&amp;INT(Sync!$L104/10000),4)&amp;"/"&amp;RIGHT("00"&amp;INT(MOD(Sync!$L104,10000)/100),2)&amp;"/"&amp;RIGHT("00"&amp;MOD(Sync!$L104,100),2),""),IFERROR(RIGHT("0000"&amp;VALUE(TRIM(LEFT(Sync!$L104,FIND("/",Sync!$L104)-1))),4)&amp;"/"&amp;RIGHT("00"&amp;VALUE(TRIM(LEFT(MID(Sync!$L104,FIND("/",Sync!$L104)+1,20),FIND("/",MID(Sync!$L104,FIND("/",Sync!$L104)+1,20))-1))),2)&amp;"/"&amp;RIGHT("00"&amp;VALUE(TRIM(MID(MID(Sync!$L104,FIND("/",Sync!$L104)+1,20),FIND("/",MID(Sync!$L104,FIND("/",Sync!$L104)+1,20))+1,20))),2),"")))</f>
        <v/>
      </c>
    </row>
    <row r="105" spans="1:14" x14ac:dyDescent="0.2">
      <c r="A105" t="str">
        <f>IF(Issues!$B108="","",Issues!$B108)</f>
        <v/>
      </c>
      <c r="B105" t="str">
        <f>IF($A105="","",IF(ISNUMBER(Issues!$C108),IF(AND(Issues!$C108&gt;=10000101,Issues!$C108&lt;=99991231),INT(Issues!$C108/10000),""),IFERROR(VALUE(TRIM(LEFT(Issues!$C108,FIND("/",Issues!$C108)-1))),"")))</f>
        <v/>
      </c>
      <c r="C105" t="str">
        <f>IF(OR($A105="",$B105=""),"",IF(ISNUMBER(Issues!$C108),INT(MOD(Issues!$C108,10000)/100),IFERROR(VALUE(TRIM(LEFT(MID(Issues!$C108,FIND("/",Issues!$C108)+1,20),FIND("/",MID(Issues!$C108,FIND("/",Issues!$C108)+1,20))-1))),"")))</f>
        <v/>
      </c>
      <c r="D105" t="str">
        <f>IF(OR($A105="",$B105=""),"",IF(ISNUMBER(Issues!$C108),MOD(Issues!$C108,100),IFERROR(VALUE(TRIM(MID(MID(Issues!$C108,FIND("/",Issues!$C108)+1,20),FIND("/",MID(Issues!$C108,FIND("/",Issues!$C108)+1,20))+1,20))),"")))</f>
        <v/>
      </c>
      <c r="E105" t="str">
        <f t="shared" si="3"/>
        <v/>
      </c>
      <c r="F105" t="str">
        <f>IF($A105="","",IF(Issues!$D108="",0,Issues!$D108))</f>
        <v/>
      </c>
      <c r="G105" t="str">
        <f>IF($A105="","",Issues!$E108)</f>
        <v/>
      </c>
      <c r="H105" t="str">
        <f t="shared" si="4"/>
        <v/>
      </c>
      <c r="I105" t="str">
        <f t="shared" si="5"/>
        <v/>
      </c>
      <c r="J105" t="str">
        <f>IF($A105="","",Issues!$G108)</f>
        <v/>
      </c>
      <c r="K105" t="str">
        <f>IF(OR($E105="",$E105="نامعتبر"),"",LEFT($E105,4)&amp;MID($E105,6,2)&amp;RIGHT($E105,2)&amp;"|"&amp;RIGHT("00000"&amp;100,5))</f>
        <v/>
      </c>
      <c r="M105" t="str">
        <f>IF(Sync!$M105&lt;&gt;"پاس چک","",IF(Sync!$P105="","",Sync!$P105))</f>
        <v/>
      </c>
      <c r="N105" t="str">
        <f>IF($M105="","",IF(ISNUMBER(Sync!$L105),IF(AND(Sync!$L105&gt;=10000101,Sync!$L105&lt;=99991231),RIGHT("0000"&amp;INT(Sync!$L105/10000),4)&amp;"/"&amp;RIGHT("00"&amp;INT(MOD(Sync!$L105,10000)/100),2)&amp;"/"&amp;RIGHT("00"&amp;MOD(Sync!$L105,100),2),""),IFERROR(RIGHT("0000"&amp;VALUE(TRIM(LEFT(Sync!$L105,FIND("/",Sync!$L105)-1))),4)&amp;"/"&amp;RIGHT("00"&amp;VALUE(TRIM(LEFT(MID(Sync!$L105,FIND("/",Sync!$L105)+1,20),FIND("/",MID(Sync!$L105,FIND("/",Sync!$L105)+1,20))-1))),2)&amp;"/"&amp;RIGHT("00"&amp;VALUE(TRIM(MID(MID(Sync!$L105,FIND("/",Sync!$L105)+1,20),FIND("/",MID(Sync!$L105,FIND("/",Sync!$L105)+1,20))+1,20))),2),"")))</f>
        <v/>
      </c>
    </row>
    <row r="106" spans="1:14" x14ac:dyDescent="0.2">
      <c r="A106" t="str">
        <f>IF(Issues!$B109="","",Issues!$B109)</f>
        <v/>
      </c>
      <c r="B106" t="str">
        <f>IF($A106="","",IF(ISNUMBER(Issues!$C109),IF(AND(Issues!$C109&gt;=10000101,Issues!$C109&lt;=99991231),INT(Issues!$C109/10000),""),IFERROR(VALUE(TRIM(LEFT(Issues!$C109,FIND("/",Issues!$C109)-1))),"")))</f>
        <v/>
      </c>
      <c r="C106" t="str">
        <f>IF(OR($A106="",$B106=""),"",IF(ISNUMBER(Issues!$C109),INT(MOD(Issues!$C109,10000)/100),IFERROR(VALUE(TRIM(LEFT(MID(Issues!$C109,FIND("/",Issues!$C109)+1,20),FIND("/",MID(Issues!$C109,FIND("/",Issues!$C109)+1,20))-1))),"")))</f>
        <v/>
      </c>
      <c r="D106" t="str">
        <f>IF(OR($A106="",$B106=""),"",IF(ISNUMBER(Issues!$C109),MOD(Issues!$C109,100),IFERROR(VALUE(TRIM(MID(MID(Issues!$C109,FIND("/",Issues!$C109)+1,20),FIND("/",MID(Issues!$C109,FIND("/",Issues!$C109)+1,20))+1,20))),"")))</f>
        <v/>
      </c>
      <c r="E106" t="str">
        <f t="shared" si="3"/>
        <v/>
      </c>
      <c r="F106" t="str">
        <f>IF($A106="","",IF(Issues!$D109="",0,Issues!$D109))</f>
        <v/>
      </c>
      <c r="G106" t="str">
        <f>IF($A106="","",Issues!$E109)</f>
        <v/>
      </c>
      <c r="H106" t="str">
        <f t="shared" si="4"/>
        <v/>
      </c>
      <c r="I106" t="str">
        <f t="shared" si="5"/>
        <v/>
      </c>
      <c r="J106" t="str">
        <f>IF($A106="","",Issues!$G109)</f>
        <v/>
      </c>
      <c r="K106" t="str">
        <f>IF(OR($E106="",$E106="نامعتبر"),"",LEFT($E106,4)&amp;MID($E106,6,2)&amp;RIGHT($E106,2)&amp;"|"&amp;RIGHT("00000"&amp;101,5))</f>
        <v/>
      </c>
      <c r="M106" t="str">
        <f>IF(Sync!$M106&lt;&gt;"پاس چک","",IF(Sync!$P106="","",Sync!$P106))</f>
        <v/>
      </c>
      <c r="N106" t="str">
        <f>IF($M106="","",IF(ISNUMBER(Sync!$L106),IF(AND(Sync!$L106&gt;=10000101,Sync!$L106&lt;=99991231),RIGHT("0000"&amp;INT(Sync!$L106/10000),4)&amp;"/"&amp;RIGHT("00"&amp;INT(MOD(Sync!$L106,10000)/100),2)&amp;"/"&amp;RIGHT("00"&amp;MOD(Sync!$L106,100),2),""),IFERROR(RIGHT("0000"&amp;VALUE(TRIM(LEFT(Sync!$L106,FIND("/",Sync!$L106)-1))),4)&amp;"/"&amp;RIGHT("00"&amp;VALUE(TRIM(LEFT(MID(Sync!$L106,FIND("/",Sync!$L106)+1,20),FIND("/",MID(Sync!$L106,FIND("/",Sync!$L106)+1,20))-1))),2)&amp;"/"&amp;RIGHT("00"&amp;VALUE(TRIM(MID(MID(Sync!$L106,FIND("/",Sync!$L106)+1,20),FIND("/",MID(Sync!$L106,FIND("/",Sync!$L106)+1,20))+1,20))),2),"")))</f>
        <v/>
      </c>
    </row>
    <row r="107" spans="1:14" x14ac:dyDescent="0.2">
      <c r="A107" t="str">
        <f>IF(Issues!$B110="","",Issues!$B110)</f>
        <v/>
      </c>
      <c r="B107" t="str">
        <f>IF($A107="","",IF(ISNUMBER(Issues!$C110),IF(AND(Issues!$C110&gt;=10000101,Issues!$C110&lt;=99991231),INT(Issues!$C110/10000),""),IFERROR(VALUE(TRIM(LEFT(Issues!$C110,FIND("/",Issues!$C110)-1))),"")))</f>
        <v/>
      </c>
      <c r="C107" t="str">
        <f>IF(OR($A107="",$B107=""),"",IF(ISNUMBER(Issues!$C110),INT(MOD(Issues!$C110,10000)/100),IFERROR(VALUE(TRIM(LEFT(MID(Issues!$C110,FIND("/",Issues!$C110)+1,20),FIND("/",MID(Issues!$C110,FIND("/",Issues!$C110)+1,20))-1))),"")))</f>
        <v/>
      </c>
      <c r="D107" t="str">
        <f>IF(OR($A107="",$B107=""),"",IF(ISNUMBER(Issues!$C110),MOD(Issues!$C110,100),IFERROR(VALUE(TRIM(MID(MID(Issues!$C110,FIND("/",Issues!$C110)+1,20),FIND("/",MID(Issues!$C110,FIND("/",Issues!$C110)+1,20))+1,20))),"")))</f>
        <v/>
      </c>
      <c r="E107" t="str">
        <f t="shared" si="3"/>
        <v/>
      </c>
      <c r="F107" t="str">
        <f>IF($A107="","",IF(Issues!$D110="",0,Issues!$D110))</f>
        <v/>
      </c>
      <c r="G107" t="str">
        <f>IF($A107="","",Issues!$E110)</f>
        <v/>
      </c>
      <c r="H107" t="str">
        <f t="shared" si="4"/>
        <v/>
      </c>
      <c r="I107" t="str">
        <f t="shared" si="5"/>
        <v/>
      </c>
      <c r="J107" t="str">
        <f>IF($A107="","",Issues!$G110)</f>
        <v/>
      </c>
      <c r="K107" t="str">
        <f>IF(OR($E107="",$E107="نامعتبر"),"",LEFT($E107,4)&amp;MID($E107,6,2)&amp;RIGHT($E107,2)&amp;"|"&amp;RIGHT("00000"&amp;102,5))</f>
        <v/>
      </c>
      <c r="M107" t="str">
        <f>IF(Sync!$M107&lt;&gt;"پاس چک","",IF(Sync!$P107="","",Sync!$P107))</f>
        <v/>
      </c>
      <c r="N107" t="str">
        <f>IF($M107="","",IF(ISNUMBER(Sync!$L107),IF(AND(Sync!$L107&gt;=10000101,Sync!$L107&lt;=99991231),RIGHT("0000"&amp;INT(Sync!$L107/10000),4)&amp;"/"&amp;RIGHT("00"&amp;INT(MOD(Sync!$L107,10000)/100),2)&amp;"/"&amp;RIGHT("00"&amp;MOD(Sync!$L107,100),2),""),IFERROR(RIGHT("0000"&amp;VALUE(TRIM(LEFT(Sync!$L107,FIND("/",Sync!$L107)-1))),4)&amp;"/"&amp;RIGHT("00"&amp;VALUE(TRIM(LEFT(MID(Sync!$L107,FIND("/",Sync!$L107)+1,20),FIND("/",MID(Sync!$L107,FIND("/",Sync!$L107)+1,20))-1))),2)&amp;"/"&amp;RIGHT("00"&amp;VALUE(TRIM(MID(MID(Sync!$L107,FIND("/",Sync!$L107)+1,20),FIND("/",MID(Sync!$L107,FIND("/",Sync!$L107)+1,20))+1,20))),2),"")))</f>
        <v/>
      </c>
    </row>
    <row r="108" spans="1:14" x14ac:dyDescent="0.2">
      <c r="A108" t="str">
        <f>IF(Issues!$B111="","",Issues!$B111)</f>
        <v/>
      </c>
      <c r="B108" t="str">
        <f>IF($A108="","",IF(ISNUMBER(Issues!$C111),IF(AND(Issues!$C111&gt;=10000101,Issues!$C111&lt;=99991231),INT(Issues!$C111/10000),""),IFERROR(VALUE(TRIM(LEFT(Issues!$C111,FIND("/",Issues!$C111)-1))),"")))</f>
        <v/>
      </c>
      <c r="C108" t="str">
        <f>IF(OR($A108="",$B108=""),"",IF(ISNUMBER(Issues!$C111),INT(MOD(Issues!$C111,10000)/100),IFERROR(VALUE(TRIM(LEFT(MID(Issues!$C111,FIND("/",Issues!$C111)+1,20),FIND("/",MID(Issues!$C111,FIND("/",Issues!$C111)+1,20))-1))),"")))</f>
        <v/>
      </c>
      <c r="D108" t="str">
        <f>IF(OR($A108="",$B108=""),"",IF(ISNUMBER(Issues!$C111),MOD(Issues!$C111,100),IFERROR(VALUE(TRIM(MID(MID(Issues!$C111,FIND("/",Issues!$C111)+1,20),FIND("/",MID(Issues!$C111,FIND("/",Issues!$C111)+1,20))+1,20))),"")))</f>
        <v/>
      </c>
      <c r="E108" t="str">
        <f t="shared" si="3"/>
        <v/>
      </c>
      <c r="F108" t="str">
        <f>IF($A108="","",IF(Issues!$D111="",0,Issues!$D111))</f>
        <v/>
      </c>
      <c r="G108" t="str">
        <f>IF($A108="","",Issues!$E111)</f>
        <v/>
      </c>
      <c r="H108" t="str">
        <f t="shared" si="4"/>
        <v/>
      </c>
      <c r="I108" t="str">
        <f t="shared" si="5"/>
        <v/>
      </c>
      <c r="J108" t="str">
        <f>IF($A108="","",Issues!$G111)</f>
        <v/>
      </c>
      <c r="K108" t="str">
        <f>IF(OR($E108="",$E108="نامعتبر"),"",LEFT($E108,4)&amp;MID($E108,6,2)&amp;RIGHT($E108,2)&amp;"|"&amp;RIGHT("00000"&amp;103,5))</f>
        <v/>
      </c>
      <c r="M108" t="str">
        <f>IF(Sync!$M108&lt;&gt;"پاس چک","",IF(Sync!$P108="","",Sync!$P108))</f>
        <v/>
      </c>
      <c r="N108" t="str">
        <f>IF($M108="","",IF(ISNUMBER(Sync!$L108),IF(AND(Sync!$L108&gt;=10000101,Sync!$L108&lt;=99991231),RIGHT("0000"&amp;INT(Sync!$L108/10000),4)&amp;"/"&amp;RIGHT("00"&amp;INT(MOD(Sync!$L108,10000)/100),2)&amp;"/"&amp;RIGHT("00"&amp;MOD(Sync!$L108,100),2),""),IFERROR(RIGHT("0000"&amp;VALUE(TRIM(LEFT(Sync!$L108,FIND("/",Sync!$L108)-1))),4)&amp;"/"&amp;RIGHT("00"&amp;VALUE(TRIM(LEFT(MID(Sync!$L108,FIND("/",Sync!$L108)+1,20),FIND("/",MID(Sync!$L108,FIND("/",Sync!$L108)+1,20))-1))),2)&amp;"/"&amp;RIGHT("00"&amp;VALUE(TRIM(MID(MID(Sync!$L108,FIND("/",Sync!$L108)+1,20),FIND("/",MID(Sync!$L108,FIND("/",Sync!$L108)+1,20))+1,20))),2),"")))</f>
        <v/>
      </c>
    </row>
    <row r="109" spans="1:14" x14ac:dyDescent="0.2">
      <c r="A109" t="str">
        <f>IF(Issues!$B112="","",Issues!$B112)</f>
        <v/>
      </c>
      <c r="B109" t="str">
        <f>IF($A109="","",IF(ISNUMBER(Issues!$C112),IF(AND(Issues!$C112&gt;=10000101,Issues!$C112&lt;=99991231),INT(Issues!$C112/10000),""),IFERROR(VALUE(TRIM(LEFT(Issues!$C112,FIND("/",Issues!$C112)-1))),"")))</f>
        <v/>
      </c>
      <c r="C109" t="str">
        <f>IF(OR($A109="",$B109=""),"",IF(ISNUMBER(Issues!$C112),INT(MOD(Issues!$C112,10000)/100),IFERROR(VALUE(TRIM(LEFT(MID(Issues!$C112,FIND("/",Issues!$C112)+1,20),FIND("/",MID(Issues!$C112,FIND("/",Issues!$C112)+1,20))-1))),"")))</f>
        <v/>
      </c>
      <c r="D109" t="str">
        <f>IF(OR($A109="",$B109=""),"",IF(ISNUMBER(Issues!$C112),MOD(Issues!$C112,100),IFERROR(VALUE(TRIM(MID(MID(Issues!$C112,FIND("/",Issues!$C112)+1,20),FIND("/",MID(Issues!$C112,FIND("/",Issues!$C112)+1,20))+1,20))),"")))</f>
        <v/>
      </c>
      <c r="E109" t="str">
        <f t="shared" si="3"/>
        <v/>
      </c>
      <c r="F109" t="str">
        <f>IF($A109="","",IF(Issues!$D112="",0,Issues!$D112))</f>
        <v/>
      </c>
      <c r="G109" t="str">
        <f>IF($A109="","",Issues!$E112)</f>
        <v/>
      </c>
      <c r="H109" t="str">
        <f t="shared" si="4"/>
        <v/>
      </c>
      <c r="I109" t="str">
        <f t="shared" si="5"/>
        <v/>
      </c>
      <c r="J109" t="str">
        <f>IF($A109="","",Issues!$G112)</f>
        <v/>
      </c>
      <c r="K109" t="str">
        <f>IF(OR($E109="",$E109="نامعتبر"),"",LEFT($E109,4)&amp;MID($E109,6,2)&amp;RIGHT($E109,2)&amp;"|"&amp;RIGHT("00000"&amp;104,5))</f>
        <v/>
      </c>
      <c r="M109" t="str">
        <f>IF(Sync!$M109&lt;&gt;"پاس چک","",IF(Sync!$P109="","",Sync!$P109))</f>
        <v/>
      </c>
      <c r="N109" t="str">
        <f>IF($M109="","",IF(ISNUMBER(Sync!$L109),IF(AND(Sync!$L109&gt;=10000101,Sync!$L109&lt;=99991231),RIGHT("0000"&amp;INT(Sync!$L109/10000),4)&amp;"/"&amp;RIGHT("00"&amp;INT(MOD(Sync!$L109,10000)/100),2)&amp;"/"&amp;RIGHT("00"&amp;MOD(Sync!$L109,100),2),""),IFERROR(RIGHT("0000"&amp;VALUE(TRIM(LEFT(Sync!$L109,FIND("/",Sync!$L109)-1))),4)&amp;"/"&amp;RIGHT("00"&amp;VALUE(TRIM(LEFT(MID(Sync!$L109,FIND("/",Sync!$L109)+1,20),FIND("/",MID(Sync!$L109,FIND("/",Sync!$L109)+1,20))-1))),2)&amp;"/"&amp;RIGHT("00"&amp;VALUE(TRIM(MID(MID(Sync!$L109,FIND("/",Sync!$L109)+1,20),FIND("/",MID(Sync!$L109,FIND("/",Sync!$L109)+1,20))+1,20))),2),"")))</f>
        <v/>
      </c>
    </row>
    <row r="110" spans="1:14" x14ac:dyDescent="0.2">
      <c r="A110" t="str">
        <f>IF(Issues!$B113="","",Issues!$B113)</f>
        <v/>
      </c>
      <c r="B110" t="str">
        <f>IF($A110="","",IF(ISNUMBER(Issues!$C113),IF(AND(Issues!$C113&gt;=10000101,Issues!$C113&lt;=99991231),INT(Issues!$C113/10000),""),IFERROR(VALUE(TRIM(LEFT(Issues!$C113,FIND("/",Issues!$C113)-1))),"")))</f>
        <v/>
      </c>
      <c r="C110" t="str">
        <f>IF(OR($A110="",$B110=""),"",IF(ISNUMBER(Issues!$C113),INT(MOD(Issues!$C113,10000)/100),IFERROR(VALUE(TRIM(LEFT(MID(Issues!$C113,FIND("/",Issues!$C113)+1,20),FIND("/",MID(Issues!$C113,FIND("/",Issues!$C113)+1,20))-1))),"")))</f>
        <v/>
      </c>
      <c r="D110" t="str">
        <f>IF(OR($A110="",$B110=""),"",IF(ISNUMBER(Issues!$C113),MOD(Issues!$C113,100),IFERROR(VALUE(TRIM(MID(MID(Issues!$C113,FIND("/",Issues!$C113)+1,20),FIND("/",MID(Issues!$C113,FIND("/",Issues!$C113)+1,20))+1,20))),"")))</f>
        <v/>
      </c>
      <c r="E110" t="str">
        <f t="shared" si="3"/>
        <v/>
      </c>
      <c r="F110" t="str">
        <f>IF($A110="","",IF(Issues!$D113="",0,Issues!$D113))</f>
        <v/>
      </c>
      <c r="G110" t="str">
        <f>IF($A110="","",Issues!$E113)</f>
        <v/>
      </c>
      <c r="H110" t="str">
        <f t="shared" si="4"/>
        <v/>
      </c>
      <c r="I110" t="str">
        <f t="shared" si="5"/>
        <v/>
      </c>
      <c r="J110" t="str">
        <f>IF($A110="","",Issues!$G113)</f>
        <v/>
      </c>
      <c r="K110" t="str">
        <f>IF(OR($E110="",$E110="نامعتبر"),"",LEFT($E110,4)&amp;MID($E110,6,2)&amp;RIGHT($E110,2)&amp;"|"&amp;RIGHT("00000"&amp;105,5))</f>
        <v/>
      </c>
      <c r="M110" t="str">
        <f>IF(Sync!$M110&lt;&gt;"پاس چک","",IF(Sync!$P110="","",Sync!$P110))</f>
        <v/>
      </c>
      <c r="N110" t="str">
        <f>IF($M110="","",IF(ISNUMBER(Sync!$L110),IF(AND(Sync!$L110&gt;=10000101,Sync!$L110&lt;=99991231),RIGHT("0000"&amp;INT(Sync!$L110/10000),4)&amp;"/"&amp;RIGHT("00"&amp;INT(MOD(Sync!$L110,10000)/100),2)&amp;"/"&amp;RIGHT("00"&amp;MOD(Sync!$L110,100),2),""),IFERROR(RIGHT("0000"&amp;VALUE(TRIM(LEFT(Sync!$L110,FIND("/",Sync!$L110)-1))),4)&amp;"/"&amp;RIGHT("00"&amp;VALUE(TRIM(LEFT(MID(Sync!$L110,FIND("/",Sync!$L110)+1,20),FIND("/",MID(Sync!$L110,FIND("/",Sync!$L110)+1,20))-1))),2)&amp;"/"&amp;RIGHT("00"&amp;VALUE(TRIM(MID(MID(Sync!$L110,FIND("/",Sync!$L110)+1,20),FIND("/",MID(Sync!$L110,FIND("/",Sync!$L110)+1,20))+1,20))),2),"")))</f>
        <v/>
      </c>
    </row>
    <row r="111" spans="1:14" x14ac:dyDescent="0.2">
      <c r="A111" t="str">
        <f>IF(Issues!$B114="","",Issues!$B114)</f>
        <v/>
      </c>
      <c r="B111" t="str">
        <f>IF($A111="","",IF(ISNUMBER(Issues!$C114),IF(AND(Issues!$C114&gt;=10000101,Issues!$C114&lt;=99991231),INT(Issues!$C114/10000),""),IFERROR(VALUE(TRIM(LEFT(Issues!$C114,FIND("/",Issues!$C114)-1))),"")))</f>
        <v/>
      </c>
      <c r="C111" t="str">
        <f>IF(OR($A111="",$B111=""),"",IF(ISNUMBER(Issues!$C114),INT(MOD(Issues!$C114,10000)/100),IFERROR(VALUE(TRIM(LEFT(MID(Issues!$C114,FIND("/",Issues!$C114)+1,20),FIND("/",MID(Issues!$C114,FIND("/",Issues!$C114)+1,20))-1))),"")))</f>
        <v/>
      </c>
      <c r="D111" t="str">
        <f>IF(OR($A111="",$B111=""),"",IF(ISNUMBER(Issues!$C114),MOD(Issues!$C114,100),IFERROR(VALUE(TRIM(MID(MID(Issues!$C114,FIND("/",Issues!$C114)+1,20),FIND("/",MID(Issues!$C114,FIND("/",Issues!$C114)+1,20))+1,20))),"")))</f>
        <v/>
      </c>
      <c r="E111" t="str">
        <f t="shared" si="3"/>
        <v/>
      </c>
      <c r="F111" t="str">
        <f>IF($A111="","",IF(Issues!$D114="",0,Issues!$D114))</f>
        <v/>
      </c>
      <c r="G111" t="str">
        <f>IF($A111="","",Issues!$E114)</f>
        <v/>
      </c>
      <c r="H111" t="str">
        <f t="shared" si="4"/>
        <v/>
      </c>
      <c r="I111" t="str">
        <f t="shared" si="5"/>
        <v/>
      </c>
      <c r="J111" t="str">
        <f>IF($A111="","",Issues!$G114)</f>
        <v/>
      </c>
      <c r="K111" t="str">
        <f>IF(OR($E111="",$E111="نامعتبر"),"",LEFT($E111,4)&amp;MID($E111,6,2)&amp;RIGHT($E111,2)&amp;"|"&amp;RIGHT("00000"&amp;106,5))</f>
        <v/>
      </c>
      <c r="M111" t="str">
        <f>IF(Sync!$M111&lt;&gt;"پاس چک","",IF(Sync!$P111="","",Sync!$P111))</f>
        <v/>
      </c>
      <c r="N111" t="str">
        <f>IF($M111="","",IF(ISNUMBER(Sync!$L111),IF(AND(Sync!$L111&gt;=10000101,Sync!$L111&lt;=99991231),RIGHT("0000"&amp;INT(Sync!$L111/10000),4)&amp;"/"&amp;RIGHT("00"&amp;INT(MOD(Sync!$L111,10000)/100),2)&amp;"/"&amp;RIGHT("00"&amp;MOD(Sync!$L111,100),2),""),IFERROR(RIGHT("0000"&amp;VALUE(TRIM(LEFT(Sync!$L111,FIND("/",Sync!$L111)-1))),4)&amp;"/"&amp;RIGHT("00"&amp;VALUE(TRIM(LEFT(MID(Sync!$L111,FIND("/",Sync!$L111)+1,20),FIND("/",MID(Sync!$L111,FIND("/",Sync!$L111)+1,20))-1))),2)&amp;"/"&amp;RIGHT("00"&amp;VALUE(TRIM(MID(MID(Sync!$L111,FIND("/",Sync!$L111)+1,20),FIND("/",MID(Sync!$L111,FIND("/",Sync!$L111)+1,20))+1,20))),2),"")))</f>
        <v/>
      </c>
    </row>
    <row r="112" spans="1:14" x14ac:dyDescent="0.2">
      <c r="A112" t="str">
        <f>IF(Issues!$B115="","",Issues!$B115)</f>
        <v/>
      </c>
      <c r="B112" t="str">
        <f>IF($A112="","",IF(ISNUMBER(Issues!$C115),IF(AND(Issues!$C115&gt;=10000101,Issues!$C115&lt;=99991231),INT(Issues!$C115/10000),""),IFERROR(VALUE(TRIM(LEFT(Issues!$C115,FIND("/",Issues!$C115)-1))),"")))</f>
        <v/>
      </c>
      <c r="C112" t="str">
        <f>IF(OR($A112="",$B112=""),"",IF(ISNUMBER(Issues!$C115),INT(MOD(Issues!$C115,10000)/100),IFERROR(VALUE(TRIM(LEFT(MID(Issues!$C115,FIND("/",Issues!$C115)+1,20),FIND("/",MID(Issues!$C115,FIND("/",Issues!$C115)+1,20))-1))),"")))</f>
        <v/>
      </c>
      <c r="D112" t="str">
        <f>IF(OR($A112="",$B112=""),"",IF(ISNUMBER(Issues!$C115),MOD(Issues!$C115,100),IFERROR(VALUE(TRIM(MID(MID(Issues!$C115,FIND("/",Issues!$C115)+1,20),FIND("/",MID(Issues!$C115,FIND("/",Issues!$C115)+1,20))+1,20))),"")))</f>
        <v/>
      </c>
      <c r="E112" t="str">
        <f t="shared" si="3"/>
        <v/>
      </c>
      <c r="F112" t="str">
        <f>IF($A112="","",IF(Issues!$D115="",0,Issues!$D115))</f>
        <v/>
      </c>
      <c r="G112" t="str">
        <f>IF($A112="","",Issues!$E115)</f>
        <v/>
      </c>
      <c r="H112" t="str">
        <f t="shared" si="4"/>
        <v/>
      </c>
      <c r="I112" t="str">
        <f t="shared" si="5"/>
        <v/>
      </c>
      <c r="J112" t="str">
        <f>IF($A112="","",Issues!$G115)</f>
        <v/>
      </c>
      <c r="K112" t="str">
        <f>IF(OR($E112="",$E112="نامعتبر"),"",LEFT($E112,4)&amp;MID($E112,6,2)&amp;RIGHT($E112,2)&amp;"|"&amp;RIGHT("00000"&amp;107,5))</f>
        <v/>
      </c>
      <c r="M112" t="str">
        <f>IF(Sync!$M112&lt;&gt;"پاس چک","",IF(Sync!$P112="","",Sync!$P112))</f>
        <v/>
      </c>
      <c r="N112" t="str">
        <f>IF($M112="","",IF(ISNUMBER(Sync!$L112),IF(AND(Sync!$L112&gt;=10000101,Sync!$L112&lt;=99991231),RIGHT("0000"&amp;INT(Sync!$L112/10000),4)&amp;"/"&amp;RIGHT("00"&amp;INT(MOD(Sync!$L112,10000)/100),2)&amp;"/"&amp;RIGHT("00"&amp;MOD(Sync!$L112,100),2),""),IFERROR(RIGHT("0000"&amp;VALUE(TRIM(LEFT(Sync!$L112,FIND("/",Sync!$L112)-1))),4)&amp;"/"&amp;RIGHT("00"&amp;VALUE(TRIM(LEFT(MID(Sync!$L112,FIND("/",Sync!$L112)+1,20),FIND("/",MID(Sync!$L112,FIND("/",Sync!$L112)+1,20))-1))),2)&amp;"/"&amp;RIGHT("00"&amp;VALUE(TRIM(MID(MID(Sync!$L112,FIND("/",Sync!$L112)+1,20),FIND("/",MID(Sync!$L112,FIND("/",Sync!$L112)+1,20))+1,20))),2),"")))</f>
        <v/>
      </c>
    </row>
    <row r="113" spans="1:14" x14ac:dyDescent="0.2">
      <c r="A113" t="str">
        <f>IF(Issues!$B116="","",Issues!$B116)</f>
        <v/>
      </c>
      <c r="B113" t="str">
        <f>IF($A113="","",IF(ISNUMBER(Issues!$C116),IF(AND(Issues!$C116&gt;=10000101,Issues!$C116&lt;=99991231),INT(Issues!$C116/10000),""),IFERROR(VALUE(TRIM(LEFT(Issues!$C116,FIND("/",Issues!$C116)-1))),"")))</f>
        <v/>
      </c>
      <c r="C113" t="str">
        <f>IF(OR($A113="",$B113=""),"",IF(ISNUMBER(Issues!$C116),INT(MOD(Issues!$C116,10000)/100),IFERROR(VALUE(TRIM(LEFT(MID(Issues!$C116,FIND("/",Issues!$C116)+1,20),FIND("/",MID(Issues!$C116,FIND("/",Issues!$C116)+1,20))-1))),"")))</f>
        <v/>
      </c>
      <c r="D113" t="str">
        <f>IF(OR($A113="",$B113=""),"",IF(ISNUMBER(Issues!$C116),MOD(Issues!$C116,100),IFERROR(VALUE(TRIM(MID(MID(Issues!$C116,FIND("/",Issues!$C116)+1,20),FIND("/",MID(Issues!$C116,FIND("/",Issues!$C116)+1,20))+1,20))),"")))</f>
        <v/>
      </c>
      <c r="E113" t="str">
        <f t="shared" si="3"/>
        <v/>
      </c>
      <c r="F113" t="str">
        <f>IF($A113="","",IF(Issues!$D116="",0,Issues!$D116))</f>
        <v/>
      </c>
      <c r="G113" t="str">
        <f>IF($A113="","",Issues!$E116)</f>
        <v/>
      </c>
      <c r="H113" t="str">
        <f t="shared" si="4"/>
        <v/>
      </c>
      <c r="I113" t="str">
        <f t="shared" si="5"/>
        <v/>
      </c>
      <c r="J113" t="str">
        <f>IF($A113="","",Issues!$G116)</f>
        <v/>
      </c>
      <c r="K113" t="str">
        <f>IF(OR($E113="",$E113="نامعتبر"),"",LEFT($E113,4)&amp;MID($E113,6,2)&amp;RIGHT($E113,2)&amp;"|"&amp;RIGHT("00000"&amp;108,5))</f>
        <v/>
      </c>
      <c r="M113" t="str">
        <f>IF(Sync!$M113&lt;&gt;"پاس چک","",IF(Sync!$P113="","",Sync!$P113))</f>
        <v/>
      </c>
      <c r="N113" t="str">
        <f>IF($M113="","",IF(ISNUMBER(Sync!$L113),IF(AND(Sync!$L113&gt;=10000101,Sync!$L113&lt;=99991231),RIGHT("0000"&amp;INT(Sync!$L113/10000),4)&amp;"/"&amp;RIGHT("00"&amp;INT(MOD(Sync!$L113,10000)/100),2)&amp;"/"&amp;RIGHT("00"&amp;MOD(Sync!$L113,100),2),""),IFERROR(RIGHT("0000"&amp;VALUE(TRIM(LEFT(Sync!$L113,FIND("/",Sync!$L113)-1))),4)&amp;"/"&amp;RIGHT("00"&amp;VALUE(TRIM(LEFT(MID(Sync!$L113,FIND("/",Sync!$L113)+1,20),FIND("/",MID(Sync!$L113,FIND("/",Sync!$L113)+1,20))-1))),2)&amp;"/"&amp;RIGHT("00"&amp;VALUE(TRIM(MID(MID(Sync!$L113,FIND("/",Sync!$L113)+1,20),FIND("/",MID(Sync!$L113,FIND("/",Sync!$L113)+1,20))+1,20))),2),"")))</f>
        <v/>
      </c>
    </row>
    <row r="114" spans="1:14" x14ac:dyDescent="0.2">
      <c r="A114" t="str">
        <f>IF(Issues!$B117="","",Issues!$B117)</f>
        <v/>
      </c>
      <c r="B114" t="str">
        <f>IF($A114="","",IF(ISNUMBER(Issues!$C117),IF(AND(Issues!$C117&gt;=10000101,Issues!$C117&lt;=99991231),INT(Issues!$C117/10000),""),IFERROR(VALUE(TRIM(LEFT(Issues!$C117,FIND("/",Issues!$C117)-1))),"")))</f>
        <v/>
      </c>
      <c r="C114" t="str">
        <f>IF(OR($A114="",$B114=""),"",IF(ISNUMBER(Issues!$C117),INT(MOD(Issues!$C117,10000)/100),IFERROR(VALUE(TRIM(LEFT(MID(Issues!$C117,FIND("/",Issues!$C117)+1,20),FIND("/",MID(Issues!$C117,FIND("/",Issues!$C117)+1,20))-1))),"")))</f>
        <v/>
      </c>
      <c r="D114" t="str">
        <f>IF(OR($A114="",$B114=""),"",IF(ISNUMBER(Issues!$C117),MOD(Issues!$C117,100),IFERROR(VALUE(TRIM(MID(MID(Issues!$C117,FIND("/",Issues!$C117)+1,20),FIND("/",MID(Issues!$C117,FIND("/",Issues!$C117)+1,20))+1,20))),"")))</f>
        <v/>
      </c>
      <c r="E114" t="str">
        <f t="shared" si="3"/>
        <v/>
      </c>
      <c r="F114" t="str">
        <f>IF($A114="","",IF(Issues!$D117="",0,Issues!$D117))</f>
        <v/>
      </c>
      <c r="G114" t="str">
        <f>IF($A114="","",Issues!$E117)</f>
        <v/>
      </c>
      <c r="H114" t="str">
        <f t="shared" si="4"/>
        <v/>
      </c>
      <c r="I114" t="str">
        <f t="shared" si="5"/>
        <v/>
      </c>
      <c r="J114" t="str">
        <f>IF($A114="","",Issues!$G117)</f>
        <v/>
      </c>
      <c r="K114" t="str">
        <f>IF(OR($E114="",$E114="نامعتبر"),"",LEFT($E114,4)&amp;MID($E114,6,2)&amp;RIGHT($E114,2)&amp;"|"&amp;RIGHT("00000"&amp;109,5))</f>
        <v/>
      </c>
      <c r="M114" t="str">
        <f>IF(Sync!$M114&lt;&gt;"پاس چک","",IF(Sync!$P114="","",Sync!$P114))</f>
        <v/>
      </c>
      <c r="N114" t="str">
        <f>IF($M114="","",IF(ISNUMBER(Sync!$L114),IF(AND(Sync!$L114&gt;=10000101,Sync!$L114&lt;=99991231),RIGHT("0000"&amp;INT(Sync!$L114/10000),4)&amp;"/"&amp;RIGHT("00"&amp;INT(MOD(Sync!$L114,10000)/100),2)&amp;"/"&amp;RIGHT("00"&amp;MOD(Sync!$L114,100),2),""),IFERROR(RIGHT("0000"&amp;VALUE(TRIM(LEFT(Sync!$L114,FIND("/",Sync!$L114)-1))),4)&amp;"/"&amp;RIGHT("00"&amp;VALUE(TRIM(LEFT(MID(Sync!$L114,FIND("/",Sync!$L114)+1,20),FIND("/",MID(Sync!$L114,FIND("/",Sync!$L114)+1,20))-1))),2)&amp;"/"&amp;RIGHT("00"&amp;VALUE(TRIM(MID(MID(Sync!$L114,FIND("/",Sync!$L114)+1,20),FIND("/",MID(Sync!$L114,FIND("/",Sync!$L114)+1,20))+1,20))),2),"")))</f>
        <v/>
      </c>
    </row>
    <row r="115" spans="1:14" x14ac:dyDescent="0.2">
      <c r="A115" t="str">
        <f>IF(Issues!$B118="","",Issues!$B118)</f>
        <v/>
      </c>
      <c r="B115" t="str">
        <f>IF($A115="","",IF(ISNUMBER(Issues!$C118),IF(AND(Issues!$C118&gt;=10000101,Issues!$C118&lt;=99991231),INT(Issues!$C118/10000),""),IFERROR(VALUE(TRIM(LEFT(Issues!$C118,FIND("/",Issues!$C118)-1))),"")))</f>
        <v/>
      </c>
      <c r="C115" t="str">
        <f>IF(OR($A115="",$B115=""),"",IF(ISNUMBER(Issues!$C118),INT(MOD(Issues!$C118,10000)/100),IFERROR(VALUE(TRIM(LEFT(MID(Issues!$C118,FIND("/",Issues!$C118)+1,20),FIND("/",MID(Issues!$C118,FIND("/",Issues!$C118)+1,20))-1))),"")))</f>
        <v/>
      </c>
      <c r="D115" t="str">
        <f>IF(OR($A115="",$B115=""),"",IF(ISNUMBER(Issues!$C118),MOD(Issues!$C118,100),IFERROR(VALUE(TRIM(MID(MID(Issues!$C118,FIND("/",Issues!$C118)+1,20),FIND("/",MID(Issues!$C118,FIND("/",Issues!$C118)+1,20))+1,20))),"")))</f>
        <v/>
      </c>
      <c r="E115" t="str">
        <f t="shared" si="3"/>
        <v/>
      </c>
      <c r="F115" t="str">
        <f>IF($A115="","",IF(Issues!$D118="",0,Issues!$D118))</f>
        <v/>
      </c>
      <c r="G115" t="str">
        <f>IF($A115="","",Issues!$E118)</f>
        <v/>
      </c>
      <c r="H115" t="str">
        <f t="shared" si="4"/>
        <v/>
      </c>
      <c r="I115" t="str">
        <f t="shared" si="5"/>
        <v/>
      </c>
      <c r="J115" t="str">
        <f>IF($A115="","",Issues!$G118)</f>
        <v/>
      </c>
      <c r="K115" t="str">
        <f>IF(OR($E115="",$E115="نامعتبر"),"",LEFT($E115,4)&amp;MID($E115,6,2)&amp;RIGHT($E115,2)&amp;"|"&amp;RIGHT("00000"&amp;110,5))</f>
        <v/>
      </c>
      <c r="M115" t="str">
        <f>IF(Sync!$M115&lt;&gt;"پاس چک","",IF(Sync!$P115="","",Sync!$P115))</f>
        <v/>
      </c>
      <c r="N115" t="str">
        <f>IF($M115="","",IF(ISNUMBER(Sync!$L115),IF(AND(Sync!$L115&gt;=10000101,Sync!$L115&lt;=99991231),RIGHT("0000"&amp;INT(Sync!$L115/10000),4)&amp;"/"&amp;RIGHT("00"&amp;INT(MOD(Sync!$L115,10000)/100),2)&amp;"/"&amp;RIGHT("00"&amp;MOD(Sync!$L115,100),2),""),IFERROR(RIGHT("0000"&amp;VALUE(TRIM(LEFT(Sync!$L115,FIND("/",Sync!$L115)-1))),4)&amp;"/"&amp;RIGHT("00"&amp;VALUE(TRIM(LEFT(MID(Sync!$L115,FIND("/",Sync!$L115)+1,20),FIND("/",MID(Sync!$L115,FIND("/",Sync!$L115)+1,20))-1))),2)&amp;"/"&amp;RIGHT("00"&amp;VALUE(TRIM(MID(MID(Sync!$L115,FIND("/",Sync!$L115)+1,20),FIND("/",MID(Sync!$L115,FIND("/",Sync!$L115)+1,20))+1,20))),2),"")))</f>
        <v/>
      </c>
    </row>
    <row r="116" spans="1:14" x14ac:dyDescent="0.2">
      <c r="A116" t="str">
        <f>IF(Issues!$B119="","",Issues!$B119)</f>
        <v/>
      </c>
      <c r="B116" t="str">
        <f>IF($A116="","",IF(ISNUMBER(Issues!$C119),IF(AND(Issues!$C119&gt;=10000101,Issues!$C119&lt;=99991231),INT(Issues!$C119/10000),""),IFERROR(VALUE(TRIM(LEFT(Issues!$C119,FIND("/",Issues!$C119)-1))),"")))</f>
        <v/>
      </c>
      <c r="C116" t="str">
        <f>IF(OR($A116="",$B116=""),"",IF(ISNUMBER(Issues!$C119),INT(MOD(Issues!$C119,10000)/100),IFERROR(VALUE(TRIM(LEFT(MID(Issues!$C119,FIND("/",Issues!$C119)+1,20),FIND("/",MID(Issues!$C119,FIND("/",Issues!$C119)+1,20))-1))),"")))</f>
        <v/>
      </c>
      <c r="D116" t="str">
        <f>IF(OR($A116="",$B116=""),"",IF(ISNUMBER(Issues!$C119),MOD(Issues!$C119,100),IFERROR(VALUE(TRIM(MID(MID(Issues!$C119,FIND("/",Issues!$C119)+1,20),FIND("/",MID(Issues!$C119,FIND("/",Issues!$C119)+1,20))+1,20))),"")))</f>
        <v/>
      </c>
      <c r="E116" t="str">
        <f t="shared" si="3"/>
        <v/>
      </c>
      <c r="F116" t="str">
        <f>IF($A116="","",IF(Issues!$D119="",0,Issues!$D119))</f>
        <v/>
      </c>
      <c r="G116" t="str">
        <f>IF($A116="","",Issues!$E119)</f>
        <v/>
      </c>
      <c r="H116" t="str">
        <f t="shared" si="4"/>
        <v/>
      </c>
      <c r="I116" t="str">
        <f t="shared" si="5"/>
        <v/>
      </c>
      <c r="J116" t="str">
        <f>IF($A116="","",Issues!$G119)</f>
        <v/>
      </c>
      <c r="K116" t="str">
        <f>IF(OR($E116="",$E116="نامعتبر"),"",LEFT($E116,4)&amp;MID($E116,6,2)&amp;RIGHT($E116,2)&amp;"|"&amp;RIGHT("00000"&amp;111,5))</f>
        <v/>
      </c>
      <c r="M116" t="str">
        <f>IF(Sync!$M116&lt;&gt;"پاس چک","",IF(Sync!$P116="","",Sync!$P116))</f>
        <v/>
      </c>
      <c r="N116" t="str">
        <f>IF($M116="","",IF(ISNUMBER(Sync!$L116),IF(AND(Sync!$L116&gt;=10000101,Sync!$L116&lt;=99991231),RIGHT("0000"&amp;INT(Sync!$L116/10000),4)&amp;"/"&amp;RIGHT("00"&amp;INT(MOD(Sync!$L116,10000)/100),2)&amp;"/"&amp;RIGHT("00"&amp;MOD(Sync!$L116,100),2),""),IFERROR(RIGHT("0000"&amp;VALUE(TRIM(LEFT(Sync!$L116,FIND("/",Sync!$L116)-1))),4)&amp;"/"&amp;RIGHT("00"&amp;VALUE(TRIM(LEFT(MID(Sync!$L116,FIND("/",Sync!$L116)+1,20),FIND("/",MID(Sync!$L116,FIND("/",Sync!$L116)+1,20))-1))),2)&amp;"/"&amp;RIGHT("00"&amp;VALUE(TRIM(MID(MID(Sync!$L116,FIND("/",Sync!$L116)+1,20),FIND("/",MID(Sync!$L116,FIND("/",Sync!$L116)+1,20))+1,20))),2),"")))</f>
        <v/>
      </c>
    </row>
    <row r="117" spans="1:14" x14ac:dyDescent="0.2">
      <c r="A117" t="str">
        <f>IF(Issues!$B120="","",Issues!$B120)</f>
        <v/>
      </c>
      <c r="B117" t="str">
        <f>IF($A117="","",IF(ISNUMBER(Issues!$C120),IF(AND(Issues!$C120&gt;=10000101,Issues!$C120&lt;=99991231),INT(Issues!$C120/10000),""),IFERROR(VALUE(TRIM(LEFT(Issues!$C120,FIND("/",Issues!$C120)-1))),"")))</f>
        <v/>
      </c>
      <c r="C117" t="str">
        <f>IF(OR($A117="",$B117=""),"",IF(ISNUMBER(Issues!$C120),INT(MOD(Issues!$C120,10000)/100),IFERROR(VALUE(TRIM(LEFT(MID(Issues!$C120,FIND("/",Issues!$C120)+1,20),FIND("/",MID(Issues!$C120,FIND("/",Issues!$C120)+1,20))-1))),"")))</f>
        <v/>
      </c>
      <c r="D117" t="str">
        <f>IF(OR($A117="",$B117=""),"",IF(ISNUMBER(Issues!$C120),MOD(Issues!$C120,100),IFERROR(VALUE(TRIM(MID(MID(Issues!$C120,FIND("/",Issues!$C120)+1,20),FIND("/",MID(Issues!$C120,FIND("/",Issues!$C120)+1,20))+1,20))),"")))</f>
        <v/>
      </c>
      <c r="E117" t="str">
        <f t="shared" si="3"/>
        <v/>
      </c>
      <c r="F117" t="str">
        <f>IF($A117="","",IF(Issues!$D120="",0,Issues!$D120))</f>
        <v/>
      </c>
      <c r="G117" t="str">
        <f>IF($A117="","",Issues!$E120)</f>
        <v/>
      </c>
      <c r="H117" t="str">
        <f t="shared" si="4"/>
        <v/>
      </c>
      <c r="I117" t="str">
        <f t="shared" si="5"/>
        <v/>
      </c>
      <c r="J117" t="str">
        <f>IF($A117="","",Issues!$G120)</f>
        <v/>
      </c>
      <c r="K117" t="str">
        <f>IF(OR($E117="",$E117="نامعتبر"),"",LEFT($E117,4)&amp;MID($E117,6,2)&amp;RIGHT($E117,2)&amp;"|"&amp;RIGHT("00000"&amp;112,5))</f>
        <v/>
      </c>
      <c r="M117" t="str">
        <f>IF(Sync!$M117&lt;&gt;"پاس چک","",IF(Sync!$P117="","",Sync!$P117))</f>
        <v/>
      </c>
      <c r="N117" t="str">
        <f>IF($M117="","",IF(ISNUMBER(Sync!$L117),IF(AND(Sync!$L117&gt;=10000101,Sync!$L117&lt;=99991231),RIGHT("0000"&amp;INT(Sync!$L117/10000),4)&amp;"/"&amp;RIGHT("00"&amp;INT(MOD(Sync!$L117,10000)/100),2)&amp;"/"&amp;RIGHT("00"&amp;MOD(Sync!$L117,100),2),""),IFERROR(RIGHT("0000"&amp;VALUE(TRIM(LEFT(Sync!$L117,FIND("/",Sync!$L117)-1))),4)&amp;"/"&amp;RIGHT("00"&amp;VALUE(TRIM(LEFT(MID(Sync!$L117,FIND("/",Sync!$L117)+1,20),FIND("/",MID(Sync!$L117,FIND("/",Sync!$L117)+1,20))-1))),2)&amp;"/"&amp;RIGHT("00"&amp;VALUE(TRIM(MID(MID(Sync!$L117,FIND("/",Sync!$L117)+1,20),FIND("/",MID(Sync!$L117,FIND("/",Sync!$L117)+1,20))+1,20))),2),"")))</f>
        <v/>
      </c>
    </row>
    <row r="118" spans="1:14" x14ac:dyDescent="0.2">
      <c r="A118" t="str">
        <f>IF(Issues!$B121="","",Issues!$B121)</f>
        <v/>
      </c>
      <c r="B118" t="str">
        <f>IF($A118="","",IF(ISNUMBER(Issues!$C121),IF(AND(Issues!$C121&gt;=10000101,Issues!$C121&lt;=99991231),INT(Issues!$C121/10000),""),IFERROR(VALUE(TRIM(LEFT(Issues!$C121,FIND("/",Issues!$C121)-1))),"")))</f>
        <v/>
      </c>
      <c r="C118" t="str">
        <f>IF(OR($A118="",$B118=""),"",IF(ISNUMBER(Issues!$C121),INT(MOD(Issues!$C121,10000)/100),IFERROR(VALUE(TRIM(LEFT(MID(Issues!$C121,FIND("/",Issues!$C121)+1,20),FIND("/",MID(Issues!$C121,FIND("/",Issues!$C121)+1,20))-1))),"")))</f>
        <v/>
      </c>
      <c r="D118" t="str">
        <f>IF(OR($A118="",$B118=""),"",IF(ISNUMBER(Issues!$C121),MOD(Issues!$C121,100),IFERROR(VALUE(TRIM(MID(MID(Issues!$C121,FIND("/",Issues!$C121)+1,20),FIND("/",MID(Issues!$C121,FIND("/",Issues!$C121)+1,20))+1,20))),"")))</f>
        <v/>
      </c>
      <c r="E118" t="str">
        <f t="shared" si="3"/>
        <v/>
      </c>
      <c r="F118" t="str">
        <f>IF($A118="","",IF(Issues!$D121="",0,Issues!$D121))</f>
        <v/>
      </c>
      <c r="G118" t="str">
        <f>IF($A118="","",Issues!$E121)</f>
        <v/>
      </c>
      <c r="H118" t="str">
        <f t="shared" si="4"/>
        <v/>
      </c>
      <c r="I118" t="str">
        <f t="shared" si="5"/>
        <v/>
      </c>
      <c r="J118" t="str">
        <f>IF($A118="","",Issues!$G121)</f>
        <v/>
      </c>
      <c r="K118" t="str">
        <f>IF(OR($E118="",$E118="نامعتبر"),"",LEFT($E118,4)&amp;MID($E118,6,2)&amp;RIGHT($E118,2)&amp;"|"&amp;RIGHT("00000"&amp;113,5))</f>
        <v/>
      </c>
      <c r="M118" t="str">
        <f>IF(Sync!$M118&lt;&gt;"پاس چک","",IF(Sync!$P118="","",Sync!$P118))</f>
        <v/>
      </c>
      <c r="N118" t="str">
        <f>IF($M118="","",IF(ISNUMBER(Sync!$L118),IF(AND(Sync!$L118&gt;=10000101,Sync!$L118&lt;=99991231),RIGHT("0000"&amp;INT(Sync!$L118/10000),4)&amp;"/"&amp;RIGHT("00"&amp;INT(MOD(Sync!$L118,10000)/100),2)&amp;"/"&amp;RIGHT("00"&amp;MOD(Sync!$L118,100),2),""),IFERROR(RIGHT("0000"&amp;VALUE(TRIM(LEFT(Sync!$L118,FIND("/",Sync!$L118)-1))),4)&amp;"/"&amp;RIGHT("00"&amp;VALUE(TRIM(LEFT(MID(Sync!$L118,FIND("/",Sync!$L118)+1,20),FIND("/",MID(Sync!$L118,FIND("/",Sync!$L118)+1,20))-1))),2)&amp;"/"&amp;RIGHT("00"&amp;VALUE(TRIM(MID(MID(Sync!$L118,FIND("/",Sync!$L118)+1,20),FIND("/",MID(Sync!$L118,FIND("/",Sync!$L118)+1,20))+1,20))),2),"")))</f>
        <v/>
      </c>
    </row>
    <row r="119" spans="1:14" x14ac:dyDescent="0.2">
      <c r="A119" t="str">
        <f>IF(Issues!$B122="","",Issues!$B122)</f>
        <v/>
      </c>
      <c r="B119" t="str">
        <f>IF($A119="","",IF(ISNUMBER(Issues!$C122),IF(AND(Issues!$C122&gt;=10000101,Issues!$C122&lt;=99991231),INT(Issues!$C122/10000),""),IFERROR(VALUE(TRIM(LEFT(Issues!$C122,FIND("/",Issues!$C122)-1))),"")))</f>
        <v/>
      </c>
      <c r="C119" t="str">
        <f>IF(OR($A119="",$B119=""),"",IF(ISNUMBER(Issues!$C122),INT(MOD(Issues!$C122,10000)/100),IFERROR(VALUE(TRIM(LEFT(MID(Issues!$C122,FIND("/",Issues!$C122)+1,20),FIND("/",MID(Issues!$C122,FIND("/",Issues!$C122)+1,20))-1))),"")))</f>
        <v/>
      </c>
      <c r="D119" t="str">
        <f>IF(OR($A119="",$B119=""),"",IF(ISNUMBER(Issues!$C122),MOD(Issues!$C122,100),IFERROR(VALUE(TRIM(MID(MID(Issues!$C122,FIND("/",Issues!$C122)+1,20),FIND("/",MID(Issues!$C122,FIND("/",Issues!$C122)+1,20))+1,20))),"")))</f>
        <v/>
      </c>
      <c r="E119" t="str">
        <f t="shared" si="3"/>
        <v/>
      </c>
      <c r="F119" t="str">
        <f>IF($A119="","",IF(Issues!$D122="",0,Issues!$D122))</f>
        <v/>
      </c>
      <c r="G119" t="str">
        <f>IF($A119="","",Issues!$E122)</f>
        <v/>
      </c>
      <c r="H119" t="str">
        <f t="shared" si="4"/>
        <v/>
      </c>
      <c r="I119" t="str">
        <f t="shared" si="5"/>
        <v/>
      </c>
      <c r="J119" t="str">
        <f>IF($A119="","",Issues!$G122)</f>
        <v/>
      </c>
      <c r="K119" t="str">
        <f>IF(OR($E119="",$E119="نامعتبر"),"",LEFT($E119,4)&amp;MID($E119,6,2)&amp;RIGHT($E119,2)&amp;"|"&amp;RIGHT("00000"&amp;114,5))</f>
        <v/>
      </c>
      <c r="M119" t="str">
        <f>IF(Sync!$M119&lt;&gt;"پاس چک","",IF(Sync!$P119="","",Sync!$P119))</f>
        <v/>
      </c>
      <c r="N119" t="str">
        <f>IF($M119="","",IF(ISNUMBER(Sync!$L119),IF(AND(Sync!$L119&gt;=10000101,Sync!$L119&lt;=99991231),RIGHT("0000"&amp;INT(Sync!$L119/10000),4)&amp;"/"&amp;RIGHT("00"&amp;INT(MOD(Sync!$L119,10000)/100),2)&amp;"/"&amp;RIGHT("00"&amp;MOD(Sync!$L119,100),2),""),IFERROR(RIGHT("0000"&amp;VALUE(TRIM(LEFT(Sync!$L119,FIND("/",Sync!$L119)-1))),4)&amp;"/"&amp;RIGHT("00"&amp;VALUE(TRIM(LEFT(MID(Sync!$L119,FIND("/",Sync!$L119)+1,20),FIND("/",MID(Sync!$L119,FIND("/",Sync!$L119)+1,20))-1))),2)&amp;"/"&amp;RIGHT("00"&amp;VALUE(TRIM(MID(MID(Sync!$L119,FIND("/",Sync!$L119)+1,20),FIND("/",MID(Sync!$L119,FIND("/",Sync!$L119)+1,20))+1,20))),2),"")))</f>
        <v/>
      </c>
    </row>
    <row r="120" spans="1:14" x14ac:dyDescent="0.2">
      <c r="A120" t="str">
        <f>IF(Issues!$B123="","",Issues!$B123)</f>
        <v/>
      </c>
      <c r="B120" t="str">
        <f>IF($A120="","",IF(ISNUMBER(Issues!$C123),IF(AND(Issues!$C123&gt;=10000101,Issues!$C123&lt;=99991231),INT(Issues!$C123/10000),""),IFERROR(VALUE(TRIM(LEFT(Issues!$C123,FIND("/",Issues!$C123)-1))),"")))</f>
        <v/>
      </c>
      <c r="C120" t="str">
        <f>IF(OR($A120="",$B120=""),"",IF(ISNUMBER(Issues!$C123),INT(MOD(Issues!$C123,10000)/100),IFERROR(VALUE(TRIM(LEFT(MID(Issues!$C123,FIND("/",Issues!$C123)+1,20),FIND("/",MID(Issues!$C123,FIND("/",Issues!$C123)+1,20))-1))),"")))</f>
        <v/>
      </c>
      <c r="D120" t="str">
        <f>IF(OR($A120="",$B120=""),"",IF(ISNUMBER(Issues!$C123),MOD(Issues!$C123,100),IFERROR(VALUE(TRIM(MID(MID(Issues!$C123,FIND("/",Issues!$C123)+1,20),FIND("/",MID(Issues!$C123,FIND("/",Issues!$C123)+1,20))+1,20))),"")))</f>
        <v/>
      </c>
      <c r="E120" t="str">
        <f t="shared" si="3"/>
        <v/>
      </c>
      <c r="F120" t="str">
        <f>IF($A120="","",IF(Issues!$D123="",0,Issues!$D123))</f>
        <v/>
      </c>
      <c r="G120" t="str">
        <f>IF($A120="","",Issues!$E123)</f>
        <v/>
      </c>
      <c r="H120" t="str">
        <f t="shared" si="4"/>
        <v/>
      </c>
      <c r="I120" t="str">
        <f t="shared" si="5"/>
        <v/>
      </c>
      <c r="J120" t="str">
        <f>IF($A120="","",Issues!$G123)</f>
        <v/>
      </c>
      <c r="K120" t="str">
        <f>IF(OR($E120="",$E120="نامعتبر"),"",LEFT($E120,4)&amp;MID($E120,6,2)&amp;RIGHT($E120,2)&amp;"|"&amp;RIGHT("00000"&amp;115,5))</f>
        <v/>
      </c>
      <c r="M120" t="str">
        <f>IF(Sync!$M120&lt;&gt;"پاس چک","",IF(Sync!$P120="","",Sync!$P120))</f>
        <v/>
      </c>
      <c r="N120" t="str">
        <f>IF($M120="","",IF(ISNUMBER(Sync!$L120),IF(AND(Sync!$L120&gt;=10000101,Sync!$L120&lt;=99991231),RIGHT("0000"&amp;INT(Sync!$L120/10000),4)&amp;"/"&amp;RIGHT("00"&amp;INT(MOD(Sync!$L120,10000)/100),2)&amp;"/"&amp;RIGHT("00"&amp;MOD(Sync!$L120,100),2),""),IFERROR(RIGHT("0000"&amp;VALUE(TRIM(LEFT(Sync!$L120,FIND("/",Sync!$L120)-1))),4)&amp;"/"&amp;RIGHT("00"&amp;VALUE(TRIM(LEFT(MID(Sync!$L120,FIND("/",Sync!$L120)+1,20),FIND("/",MID(Sync!$L120,FIND("/",Sync!$L120)+1,20))-1))),2)&amp;"/"&amp;RIGHT("00"&amp;VALUE(TRIM(MID(MID(Sync!$L120,FIND("/",Sync!$L120)+1,20),FIND("/",MID(Sync!$L120,FIND("/",Sync!$L120)+1,20))+1,20))),2),"")))</f>
        <v/>
      </c>
    </row>
    <row r="121" spans="1:14" x14ac:dyDescent="0.2">
      <c r="A121" t="str">
        <f>IF(Issues!$B124="","",Issues!$B124)</f>
        <v/>
      </c>
      <c r="B121" t="str">
        <f>IF($A121="","",IF(ISNUMBER(Issues!$C124),IF(AND(Issues!$C124&gt;=10000101,Issues!$C124&lt;=99991231),INT(Issues!$C124/10000),""),IFERROR(VALUE(TRIM(LEFT(Issues!$C124,FIND("/",Issues!$C124)-1))),"")))</f>
        <v/>
      </c>
      <c r="C121" t="str">
        <f>IF(OR($A121="",$B121=""),"",IF(ISNUMBER(Issues!$C124),INT(MOD(Issues!$C124,10000)/100),IFERROR(VALUE(TRIM(LEFT(MID(Issues!$C124,FIND("/",Issues!$C124)+1,20),FIND("/",MID(Issues!$C124,FIND("/",Issues!$C124)+1,20))-1))),"")))</f>
        <v/>
      </c>
      <c r="D121" t="str">
        <f>IF(OR($A121="",$B121=""),"",IF(ISNUMBER(Issues!$C124),MOD(Issues!$C124,100),IFERROR(VALUE(TRIM(MID(MID(Issues!$C124,FIND("/",Issues!$C124)+1,20),FIND("/",MID(Issues!$C124,FIND("/",Issues!$C124)+1,20))+1,20))),"")))</f>
        <v/>
      </c>
      <c r="E121" t="str">
        <f t="shared" si="3"/>
        <v/>
      </c>
      <c r="F121" t="str">
        <f>IF($A121="","",IF(Issues!$D124="",0,Issues!$D124))</f>
        <v/>
      </c>
      <c r="G121" t="str">
        <f>IF($A121="","",Issues!$E124)</f>
        <v/>
      </c>
      <c r="H121" t="str">
        <f t="shared" si="4"/>
        <v/>
      </c>
      <c r="I121" t="str">
        <f t="shared" si="5"/>
        <v/>
      </c>
      <c r="J121" t="str">
        <f>IF($A121="","",Issues!$G124)</f>
        <v/>
      </c>
      <c r="K121" t="str">
        <f>IF(OR($E121="",$E121="نامعتبر"),"",LEFT($E121,4)&amp;MID($E121,6,2)&amp;RIGHT($E121,2)&amp;"|"&amp;RIGHT("00000"&amp;116,5))</f>
        <v/>
      </c>
      <c r="M121" t="str">
        <f>IF(Sync!$M121&lt;&gt;"پاس چک","",IF(Sync!$P121="","",Sync!$P121))</f>
        <v/>
      </c>
      <c r="N121" t="str">
        <f>IF($M121="","",IF(ISNUMBER(Sync!$L121),IF(AND(Sync!$L121&gt;=10000101,Sync!$L121&lt;=99991231),RIGHT("0000"&amp;INT(Sync!$L121/10000),4)&amp;"/"&amp;RIGHT("00"&amp;INT(MOD(Sync!$L121,10000)/100),2)&amp;"/"&amp;RIGHT("00"&amp;MOD(Sync!$L121,100),2),""),IFERROR(RIGHT("0000"&amp;VALUE(TRIM(LEFT(Sync!$L121,FIND("/",Sync!$L121)-1))),4)&amp;"/"&amp;RIGHT("00"&amp;VALUE(TRIM(LEFT(MID(Sync!$L121,FIND("/",Sync!$L121)+1,20),FIND("/",MID(Sync!$L121,FIND("/",Sync!$L121)+1,20))-1))),2)&amp;"/"&amp;RIGHT("00"&amp;VALUE(TRIM(MID(MID(Sync!$L121,FIND("/",Sync!$L121)+1,20),FIND("/",MID(Sync!$L121,FIND("/",Sync!$L121)+1,20))+1,20))),2),"")))</f>
        <v/>
      </c>
    </row>
    <row r="122" spans="1:14" x14ac:dyDescent="0.2">
      <c r="A122" t="str">
        <f>IF(Issues!$B125="","",Issues!$B125)</f>
        <v/>
      </c>
      <c r="B122" t="str">
        <f>IF($A122="","",IF(ISNUMBER(Issues!$C125),IF(AND(Issues!$C125&gt;=10000101,Issues!$C125&lt;=99991231),INT(Issues!$C125/10000),""),IFERROR(VALUE(TRIM(LEFT(Issues!$C125,FIND("/",Issues!$C125)-1))),"")))</f>
        <v/>
      </c>
      <c r="C122" t="str">
        <f>IF(OR($A122="",$B122=""),"",IF(ISNUMBER(Issues!$C125),INT(MOD(Issues!$C125,10000)/100),IFERROR(VALUE(TRIM(LEFT(MID(Issues!$C125,FIND("/",Issues!$C125)+1,20),FIND("/",MID(Issues!$C125,FIND("/",Issues!$C125)+1,20))-1))),"")))</f>
        <v/>
      </c>
      <c r="D122" t="str">
        <f>IF(OR($A122="",$B122=""),"",IF(ISNUMBER(Issues!$C125),MOD(Issues!$C125,100),IFERROR(VALUE(TRIM(MID(MID(Issues!$C125,FIND("/",Issues!$C125)+1,20),FIND("/",MID(Issues!$C125,FIND("/",Issues!$C125)+1,20))+1,20))),"")))</f>
        <v/>
      </c>
      <c r="E122" t="str">
        <f t="shared" si="3"/>
        <v/>
      </c>
      <c r="F122" t="str">
        <f>IF($A122="","",IF(Issues!$D125="",0,Issues!$D125))</f>
        <v/>
      </c>
      <c r="G122" t="str">
        <f>IF($A122="","",Issues!$E125)</f>
        <v/>
      </c>
      <c r="H122" t="str">
        <f t="shared" si="4"/>
        <v/>
      </c>
      <c r="I122" t="str">
        <f t="shared" si="5"/>
        <v/>
      </c>
      <c r="J122" t="str">
        <f>IF($A122="","",Issues!$G125)</f>
        <v/>
      </c>
      <c r="K122" t="str">
        <f>IF(OR($E122="",$E122="نامعتبر"),"",LEFT($E122,4)&amp;MID($E122,6,2)&amp;RIGHT($E122,2)&amp;"|"&amp;RIGHT("00000"&amp;117,5))</f>
        <v/>
      </c>
      <c r="M122" t="str">
        <f>IF(Sync!$M122&lt;&gt;"پاس چک","",IF(Sync!$P122="","",Sync!$P122))</f>
        <v/>
      </c>
      <c r="N122" t="str">
        <f>IF($M122="","",IF(ISNUMBER(Sync!$L122),IF(AND(Sync!$L122&gt;=10000101,Sync!$L122&lt;=99991231),RIGHT("0000"&amp;INT(Sync!$L122/10000),4)&amp;"/"&amp;RIGHT("00"&amp;INT(MOD(Sync!$L122,10000)/100),2)&amp;"/"&amp;RIGHT("00"&amp;MOD(Sync!$L122,100),2),""),IFERROR(RIGHT("0000"&amp;VALUE(TRIM(LEFT(Sync!$L122,FIND("/",Sync!$L122)-1))),4)&amp;"/"&amp;RIGHT("00"&amp;VALUE(TRIM(LEFT(MID(Sync!$L122,FIND("/",Sync!$L122)+1,20),FIND("/",MID(Sync!$L122,FIND("/",Sync!$L122)+1,20))-1))),2)&amp;"/"&amp;RIGHT("00"&amp;VALUE(TRIM(MID(MID(Sync!$L122,FIND("/",Sync!$L122)+1,20),FIND("/",MID(Sync!$L122,FIND("/",Sync!$L122)+1,20))+1,20))),2),"")))</f>
        <v/>
      </c>
    </row>
    <row r="123" spans="1:14" x14ac:dyDescent="0.2">
      <c r="A123" t="str">
        <f>IF(Issues!$B126="","",Issues!$B126)</f>
        <v/>
      </c>
      <c r="B123" t="str">
        <f>IF($A123="","",IF(ISNUMBER(Issues!$C126),IF(AND(Issues!$C126&gt;=10000101,Issues!$C126&lt;=99991231),INT(Issues!$C126/10000),""),IFERROR(VALUE(TRIM(LEFT(Issues!$C126,FIND("/",Issues!$C126)-1))),"")))</f>
        <v/>
      </c>
      <c r="C123" t="str">
        <f>IF(OR($A123="",$B123=""),"",IF(ISNUMBER(Issues!$C126),INT(MOD(Issues!$C126,10000)/100),IFERROR(VALUE(TRIM(LEFT(MID(Issues!$C126,FIND("/",Issues!$C126)+1,20),FIND("/",MID(Issues!$C126,FIND("/",Issues!$C126)+1,20))-1))),"")))</f>
        <v/>
      </c>
      <c r="D123" t="str">
        <f>IF(OR($A123="",$B123=""),"",IF(ISNUMBER(Issues!$C126),MOD(Issues!$C126,100),IFERROR(VALUE(TRIM(MID(MID(Issues!$C126,FIND("/",Issues!$C126)+1,20),FIND("/",MID(Issues!$C126,FIND("/",Issues!$C126)+1,20))+1,20))),"")))</f>
        <v/>
      </c>
      <c r="E123" t="str">
        <f t="shared" si="3"/>
        <v/>
      </c>
      <c r="F123" t="str">
        <f>IF($A123="","",IF(Issues!$D126="",0,Issues!$D126))</f>
        <v/>
      </c>
      <c r="G123" t="str">
        <f>IF($A123="","",Issues!$E126)</f>
        <v/>
      </c>
      <c r="H123" t="str">
        <f t="shared" si="4"/>
        <v/>
      </c>
      <c r="I123" t="str">
        <f t="shared" si="5"/>
        <v/>
      </c>
      <c r="J123" t="str">
        <f>IF($A123="","",Issues!$G126)</f>
        <v/>
      </c>
      <c r="K123" t="str">
        <f>IF(OR($E123="",$E123="نامعتبر"),"",LEFT($E123,4)&amp;MID($E123,6,2)&amp;RIGHT($E123,2)&amp;"|"&amp;RIGHT("00000"&amp;118,5))</f>
        <v/>
      </c>
      <c r="M123" t="str">
        <f>IF(Sync!$M123&lt;&gt;"پاس چک","",IF(Sync!$P123="","",Sync!$P123))</f>
        <v/>
      </c>
      <c r="N123" t="str">
        <f>IF($M123="","",IF(ISNUMBER(Sync!$L123),IF(AND(Sync!$L123&gt;=10000101,Sync!$L123&lt;=99991231),RIGHT("0000"&amp;INT(Sync!$L123/10000),4)&amp;"/"&amp;RIGHT("00"&amp;INT(MOD(Sync!$L123,10000)/100),2)&amp;"/"&amp;RIGHT("00"&amp;MOD(Sync!$L123,100),2),""),IFERROR(RIGHT("0000"&amp;VALUE(TRIM(LEFT(Sync!$L123,FIND("/",Sync!$L123)-1))),4)&amp;"/"&amp;RIGHT("00"&amp;VALUE(TRIM(LEFT(MID(Sync!$L123,FIND("/",Sync!$L123)+1,20),FIND("/",MID(Sync!$L123,FIND("/",Sync!$L123)+1,20))-1))),2)&amp;"/"&amp;RIGHT("00"&amp;VALUE(TRIM(MID(MID(Sync!$L123,FIND("/",Sync!$L123)+1,20),FIND("/",MID(Sync!$L123,FIND("/",Sync!$L123)+1,20))+1,20))),2),"")))</f>
        <v/>
      </c>
    </row>
    <row r="124" spans="1:14" x14ac:dyDescent="0.2">
      <c r="A124" t="str">
        <f>IF(Issues!$B127="","",Issues!$B127)</f>
        <v/>
      </c>
      <c r="B124" t="str">
        <f>IF($A124="","",IF(ISNUMBER(Issues!$C127),IF(AND(Issues!$C127&gt;=10000101,Issues!$C127&lt;=99991231),INT(Issues!$C127/10000),""),IFERROR(VALUE(TRIM(LEFT(Issues!$C127,FIND("/",Issues!$C127)-1))),"")))</f>
        <v/>
      </c>
      <c r="C124" t="str">
        <f>IF(OR($A124="",$B124=""),"",IF(ISNUMBER(Issues!$C127),INT(MOD(Issues!$C127,10000)/100),IFERROR(VALUE(TRIM(LEFT(MID(Issues!$C127,FIND("/",Issues!$C127)+1,20),FIND("/",MID(Issues!$C127,FIND("/",Issues!$C127)+1,20))-1))),"")))</f>
        <v/>
      </c>
      <c r="D124" t="str">
        <f>IF(OR($A124="",$B124=""),"",IF(ISNUMBER(Issues!$C127),MOD(Issues!$C127,100),IFERROR(VALUE(TRIM(MID(MID(Issues!$C127,FIND("/",Issues!$C127)+1,20),FIND("/",MID(Issues!$C127,FIND("/",Issues!$C127)+1,20))+1,20))),"")))</f>
        <v/>
      </c>
      <c r="E124" t="str">
        <f t="shared" si="3"/>
        <v/>
      </c>
      <c r="F124" t="str">
        <f>IF($A124="","",IF(Issues!$D127="",0,Issues!$D127))</f>
        <v/>
      </c>
      <c r="G124" t="str">
        <f>IF($A124="","",Issues!$E127)</f>
        <v/>
      </c>
      <c r="H124" t="str">
        <f t="shared" si="4"/>
        <v/>
      </c>
      <c r="I124" t="str">
        <f t="shared" si="5"/>
        <v/>
      </c>
      <c r="J124" t="str">
        <f>IF($A124="","",Issues!$G127)</f>
        <v/>
      </c>
      <c r="K124" t="str">
        <f>IF(OR($E124="",$E124="نامعتبر"),"",LEFT($E124,4)&amp;MID($E124,6,2)&amp;RIGHT($E124,2)&amp;"|"&amp;RIGHT("00000"&amp;119,5))</f>
        <v/>
      </c>
      <c r="M124" t="str">
        <f>IF(Sync!$M124&lt;&gt;"پاس چک","",IF(Sync!$P124="","",Sync!$P124))</f>
        <v/>
      </c>
      <c r="N124" t="str">
        <f>IF($M124="","",IF(ISNUMBER(Sync!$L124),IF(AND(Sync!$L124&gt;=10000101,Sync!$L124&lt;=99991231),RIGHT("0000"&amp;INT(Sync!$L124/10000),4)&amp;"/"&amp;RIGHT("00"&amp;INT(MOD(Sync!$L124,10000)/100),2)&amp;"/"&amp;RIGHT("00"&amp;MOD(Sync!$L124,100),2),""),IFERROR(RIGHT("0000"&amp;VALUE(TRIM(LEFT(Sync!$L124,FIND("/",Sync!$L124)-1))),4)&amp;"/"&amp;RIGHT("00"&amp;VALUE(TRIM(LEFT(MID(Sync!$L124,FIND("/",Sync!$L124)+1,20),FIND("/",MID(Sync!$L124,FIND("/",Sync!$L124)+1,20))-1))),2)&amp;"/"&amp;RIGHT("00"&amp;VALUE(TRIM(MID(MID(Sync!$L124,FIND("/",Sync!$L124)+1,20),FIND("/",MID(Sync!$L124,FIND("/",Sync!$L124)+1,20))+1,20))),2),"")))</f>
        <v/>
      </c>
    </row>
    <row r="125" spans="1:14" x14ac:dyDescent="0.2">
      <c r="A125" t="str">
        <f>IF(Issues!$B128="","",Issues!$B128)</f>
        <v/>
      </c>
      <c r="B125" t="str">
        <f>IF($A125="","",IF(ISNUMBER(Issues!$C128),IF(AND(Issues!$C128&gt;=10000101,Issues!$C128&lt;=99991231),INT(Issues!$C128/10000),""),IFERROR(VALUE(TRIM(LEFT(Issues!$C128,FIND("/",Issues!$C128)-1))),"")))</f>
        <v/>
      </c>
      <c r="C125" t="str">
        <f>IF(OR($A125="",$B125=""),"",IF(ISNUMBER(Issues!$C128),INT(MOD(Issues!$C128,10000)/100),IFERROR(VALUE(TRIM(LEFT(MID(Issues!$C128,FIND("/",Issues!$C128)+1,20),FIND("/",MID(Issues!$C128,FIND("/",Issues!$C128)+1,20))-1))),"")))</f>
        <v/>
      </c>
      <c r="D125" t="str">
        <f>IF(OR($A125="",$B125=""),"",IF(ISNUMBER(Issues!$C128),MOD(Issues!$C128,100),IFERROR(VALUE(TRIM(MID(MID(Issues!$C128,FIND("/",Issues!$C128)+1,20),FIND("/",MID(Issues!$C128,FIND("/",Issues!$C128)+1,20))+1,20))),"")))</f>
        <v/>
      </c>
      <c r="E125" t="str">
        <f t="shared" si="3"/>
        <v/>
      </c>
      <c r="F125" t="str">
        <f>IF($A125="","",IF(Issues!$D128="",0,Issues!$D128))</f>
        <v/>
      </c>
      <c r="G125" t="str">
        <f>IF($A125="","",Issues!$E128)</f>
        <v/>
      </c>
      <c r="H125" t="str">
        <f t="shared" si="4"/>
        <v/>
      </c>
      <c r="I125" t="str">
        <f t="shared" si="5"/>
        <v/>
      </c>
      <c r="J125" t="str">
        <f>IF($A125="","",Issues!$G128)</f>
        <v/>
      </c>
      <c r="K125" t="str">
        <f>IF(OR($E125="",$E125="نامعتبر"),"",LEFT($E125,4)&amp;MID($E125,6,2)&amp;RIGHT($E125,2)&amp;"|"&amp;RIGHT("00000"&amp;120,5))</f>
        <v/>
      </c>
      <c r="M125" t="str">
        <f>IF(Sync!$M125&lt;&gt;"پاس چک","",IF(Sync!$P125="","",Sync!$P125))</f>
        <v/>
      </c>
      <c r="N125" t="str">
        <f>IF($M125="","",IF(ISNUMBER(Sync!$L125),IF(AND(Sync!$L125&gt;=10000101,Sync!$L125&lt;=99991231),RIGHT("0000"&amp;INT(Sync!$L125/10000),4)&amp;"/"&amp;RIGHT("00"&amp;INT(MOD(Sync!$L125,10000)/100),2)&amp;"/"&amp;RIGHT("00"&amp;MOD(Sync!$L125,100),2),""),IFERROR(RIGHT("0000"&amp;VALUE(TRIM(LEFT(Sync!$L125,FIND("/",Sync!$L125)-1))),4)&amp;"/"&amp;RIGHT("00"&amp;VALUE(TRIM(LEFT(MID(Sync!$L125,FIND("/",Sync!$L125)+1,20),FIND("/",MID(Sync!$L125,FIND("/",Sync!$L125)+1,20))-1))),2)&amp;"/"&amp;RIGHT("00"&amp;VALUE(TRIM(MID(MID(Sync!$L125,FIND("/",Sync!$L125)+1,20),FIND("/",MID(Sync!$L125,FIND("/",Sync!$L125)+1,20))+1,20))),2),"")))</f>
        <v/>
      </c>
    </row>
    <row r="126" spans="1:14" x14ac:dyDescent="0.2">
      <c r="A126" t="str">
        <f>IF(Issues!$B129="","",Issues!$B129)</f>
        <v/>
      </c>
      <c r="B126" t="str">
        <f>IF($A126="","",IF(ISNUMBER(Issues!$C129),IF(AND(Issues!$C129&gt;=10000101,Issues!$C129&lt;=99991231),INT(Issues!$C129/10000),""),IFERROR(VALUE(TRIM(LEFT(Issues!$C129,FIND("/",Issues!$C129)-1))),"")))</f>
        <v/>
      </c>
      <c r="C126" t="str">
        <f>IF(OR($A126="",$B126=""),"",IF(ISNUMBER(Issues!$C129),INT(MOD(Issues!$C129,10000)/100),IFERROR(VALUE(TRIM(LEFT(MID(Issues!$C129,FIND("/",Issues!$C129)+1,20),FIND("/",MID(Issues!$C129,FIND("/",Issues!$C129)+1,20))-1))),"")))</f>
        <v/>
      </c>
      <c r="D126" t="str">
        <f>IF(OR($A126="",$B126=""),"",IF(ISNUMBER(Issues!$C129),MOD(Issues!$C129,100),IFERROR(VALUE(TRIM(MID(MID(Issues!$C129,FIND("/",Issues!$C129)+1,20),FIND("/",MID(Issues!$C129,FIND("/",Issues!$C129)+1,20))+1,20))),"")))</f>
        <v/>
      </c>
      <c r="E126" t="str">
        <f t="shared" si="3"/>
        <v/>
      </c>
      <c r="F126" t="str">
        <f>IF($A126="","",IF(Issues!$D129="",0,Issues!$D129))</f>
        <v/>
      </c>
      <c r="G126" t="str">
        <f>IF($A126="","",Issues!$E129)</f>
        <v/>
      </c>
      <c r="H126" t="str">
        <f t="shared" si="4"/>
        <v/>
      </c>
      <c r="I126" t="str">
        <f t="shared" si="5"/>
        <v/>
      </c>
      <c r="J126" t="str">
        <f>IF($A126="","",Issues!$G129)</f>
        <v/>
      </c>
      <c r="K126" t="str">
        <f>IF(OR($E126="",$E126="نامعتبر"),"",LEFT($E126,4)&amp;MID($E126,6,2)&amp;RIGHT($E126,2)&amp;"|"&amp;RIGHT("00000"&amp;121,5))</f>
        <v/>
      </c>
      <c r="M126" t="str">
        <f>IF(Sync!$M126&lt;&gt;"پاس چک","",IF(Sync!$P126="","",Sync!$P126))</f>
        <v/>
      </c>
      <c r="N126" t="str">
        <f>IF($M126="","",IF(ISNUMBER(Sync!$L126),IF(AND(Sync!$L126&gt;=10000101,Sync!$L126&lt;=99991231),RIGHT("0000"&amp;INT(Sync!$L126/10000),4)&amp;"/"&amp;RIGHT("00"&amp;INT(MOD(Sync!$L126,10000)/100),2)&amp;"/"&amp;RIGHT("00"&amp;MOD(Sync!$L126,100),2),""),IFERROR(RIGHT("0000"&amp;VALUE(TRIM(LEFT(Sync!$L126,FIND("/",Sync!$L126)-1))),4)&amp;"/"&amp;RIGHT("00"&amp;VALUE(TRIM(LEFT(MID(Sync!$L126,FIND("/",Sync!$L126)+1,20),FIND("/",MID(Sync!$L126,FIND("/",Sync!$L126)+1,20))-1))),2)&amp;"/"&amp;RIGHT("00"&amp;VALUE(TRIM(MID(MID(Sync!$L126,FIND("/",Sync!$L126)+1,20),FIND("/",MID(Sync!$L126,FIND("/",Sync!$L126)+1,20))+1,20))),2),"")))</f>
        <v/>
      </c>
    </row>
    <row r="127" spans="1:14" x14ac:dyDescent="0.2">
      <c r="A127" t="str">
        <f>IF(Issues!$B130="","",Issues!$B130)</f>
        <v/>
      </c>
      <c r="B127" t="str">
        <f>IF($A127="","",IF(ISNUMBER(Issues!$C130),IF(AND(Issues!$C130&gt;=10000101,Issues!$C130&lt;=99991231),INT(Issues!$C130/10000),""),IFERROR(VALUE(TRIM(LEFT(Issues!$C130,FIND("/",Issues!$C130)-1))),"")))</f>
        <v/>
      </c>
      <c r="C127" t="str">
        <f>IF(OR($A127="",$B127=""),"",IF(ISNUMBER(Issues!$C130),INT(MOD(Issues!$C130,10000)/100),IFERROR(VALUE(TRIM(LEFT(MID(Issues!$C130,FIND("/",Issues!$C130)+1,20),FIND("/",MID(Issues!$C130,FIND("/",Issues!$C130)+1,20))-1))),"")))</f>
        <v/>
      </c>
      <c r="D127" t="str">
        <f>IF(OR($A127="",$B127=""),"",IF(ISNUMBER(Issues!$C130),MOD(Issues!$C130,100),IFERROR(VALUE(TRIM(MID(MID(Issues!$C130,FIND("/",Issues!$C130)+1,20),FIND("/",MID(Issues!$C130,FIND("/",Issues!$C130)+1,20))+1,20))),"")))</f>
        <v/>
      </c>
      <c r="E127" t="str">
        <f t="shared" si="3"/>
        <v/>
      </c>
      <c r="F127" t="str">
        <f>IF($A127="","",IF(Issues!$D130="",0,Issues!$D130))</f>
        <v/>
      </c>
      <c r="G127" t="str">
        <f>IF($A127="","",Issues!$E130)</f>
        <v/>
      </c>
      <c r="H127" t="str">
        <f t="shared" si="4"/>
        <v/>
      </c>
      <c r="I127" t="str">
        <f t="shared" si="5"/>
        <v/>
      </c>
      <c r="J127" t="str">
        <f>IF($A127="","",Issues!$G130)</f>
        <v/>
      </c>
      <c r="K127" t="str">
        <f>IF(OR($E127="",$E127="نامعتبر"),"",LEFT($E127,4)&amp;MID($E127,6,2)&amp;RIGHT($E127,2)&amp;"|"&amp;RIGHT("00000"&amp;122,5))</f>
        <v/>
      </c>
      <c r="M127" t="str">
        <f>IF(Sync!$M127&lt;&gt;"پاس چک","",IF(Sync!$P127="","",Sync!$P127))</f>
        <v/>
      </c>
      <c r="N127" t="str">
        <f>IF($M127="","",IF(ISNUMBER(Sync!$L127),IF(AND(Sync!$L127&gt;=10000101,Sync!$L127&lt;=99991231),RIGHT("0000"&amp;INT(Sync!$L127/10000),4)&amp;"/"&amp;RIGHT("00"&amp;INT(MOD(Sync!$L127,10000)/100),2)&amp;"/"&amp;RIGHT("00"&amp;MOD(Sync!$L127,100),2),""),IFERROR(RIGHT("0000"&amp;VALUE(TRIM(LEFT(Sync!$L127,FIND("/",Sync!$L127)-1))),4)&amp;"/"&amp;RIGHT("00"&amp;VALUE(TRIM(LEFT(MID(Sync!$L127,FIND("/",Sync!$L127)+1,20),FIND("/",MID(Sync!$L127,FIND("/",Sync!$L127)+1,20))-1))),2)&amp;"/"&amp;RIGHT("00"&amp;VALUE(TRIM(MID(MID(Sync!$L127,FIND("/",Sync!$L127)+1,20),FIND("/",MID(Sync!$L127,FIND("/",Sync!$L127)+1,20))+1,20))),2),"")))</f>
        <v/>
      </c>
    </row>
    <row r="128" spans="1:14" x14ac:dyDescent="0.2">
      <c r="A128" t="str">
        <f>IF(Issues!$B131="","",Issues!$B131)</f>
        <v/>
      </c>
      <c r="B128" t="str">
        <f>IF($A128="","",IF(ISNUMBER(Issues!$C131),IF(AND(Issues!$C131&gt;=10000101,Issues!$C131&lt;=99991231),INT(Issues!$C131/10000),""),IFERROR(VALUE(TRIM(LEFT(Issues!$C131,FIND("/",Issues!$C131)-1))),"")))</f>
        <v/>
      </c>
      <c r="C128" t="str">
        <f>IF(OR($A128="",$B128=""),"",IF(ISNUMBER(Issues!$C131),INT(MOD(Issues!$C131,10000)/100),IFERROR(VALUE(TRIM(LEFT(MID(Issues!$C131,FIND("/",Issues!$C131)+1,20),FIND("/",MID(Issues!$C131,FIND("/",Issues!$C131)+1,20))-1))),"")))</f>
        <v/>
      </c>
      <c r="D128" t="str">
        <f>IF(OR($A128="",$B128=""),"",IF(ISNUMBER(Issues!$C131),MOD(Issues!$C131,100),IFERROR(VALUE(TRIM(MID(MID(Issues!$C131,FIND("/",Issues!$C131)+1,20),FIND("/",MID(Issues!$C131,FIND("/",Issues!$C131)+1,20))+1,20))),"")))</f>
        <v/>
      </c>
      <c r="E128" t="str">
        <f t="shared" si="3"/>
        <v/>
      </c>
      <c r="F128" t="str">
        <f>IF($A128="","",IF(Issues!$D131="",0,Issues!$D131))</f>
        <v/>
      </c>
      <c r="G128" t="str">
        <f>IF($A128="","",Issues!$E131)</f>
        <v/>
      </c>
      <c r="H128" t="str">
        <f t="shared" si="4"/>
        <v/>
      </c>
      <c r="I128" t="str">
        <f t="shared" si="5"/>
        <v/>
      </c>
      <c r="J128" t="str">
        <f>IF($A128="","",Issues!$G131)</f>
        <v/>
      </c>
      <c r="K128" t="str">
        <f>IF(OR($E128="",$E128="نامعتبر"),"",LEFT($E128,4)&amp;MID($E128,6,2)&amp;RIGHT($E128,2)&amp;"|"&amp;RIGHT("00000"&amp;123,5))</f>
        <v/>
      </c>
      <c r="M128" t="str">
        <f>IF(Sync!$M128&lt;&gt;"پاس چک","",IF(Sync!$P128="","",Sync!$P128))</f>
        <v/>
      </c>
      <c r="N128" t="str">
        <f>IF($M128="","",IF(ISNUMBER(Sync!$L128),IF(AND(Sync!$L128&gt;=10000101,Sync!$L128&lt;=99991231),RIGHT("0000"&amp;INT(Sync!$L128/10000),4)&amp;"/"&amp;RIGHT("00"&amp;INT(MOD(Sync!$L128,10000)/100),2)&amp;"/"&amp;RIGHT("00"&amp;MOD(Sync!$L128,100),2),""),IFERROR(RIGHT("0000"&amp;VALUE(TRIM(LEFT(Sync!$L128,FIND("/",Sync!$L128)-1))),4)&amp;"/"&amp;RIGHT("00"&amp;VALUE(TRIM(LEFT(MID(Sync!$L128,FIND("/",Sync!$L128)+1,20),FIND("/",MID(Sync!$L128,FIND("/",Sync!$L128)+1,20))-1))),2)&amp;"/"&amp;RIGHT("00"&amp;VALUE(TRIM(MID(MID(Sync!$L128,FIND("/",Sync!$L128)+1,20),FIND("/",MID(Sync!$L128,FIND("/",Sync!$L128)+1,20))+1,20))),2),"")))</f>
        <v/>
      </c>
    </row>
    <row r="129" spans="1:14" x14ac:dyDescent="0.2">
      <c r="A129" t="str">
        <f>IF(Issues!$B132="","",Issues!$B132)</f>
        <v/>
      </c>
      <c r="B129" t="str">
        <f>IF($A129="","",IF(ISNUMBER(Issues!$C132),IF(AND(Issues!$C132&gt;=10000101,Issues!$C132&lt;=99991231),INT(Issues!$C132/10000),""),IFERROR(VALUE(TRIM(LEFT(Issues!$C132,FIND("/",Issues!$C132)-1))),"")))</f>
        <v/>
      </c>
      <c r="C129" t="str">
        <f>IF(OR($A129="",$B129=""),"",IF(ISNUMBER(Issues!$C132),INT(MOD(Issues!$C132,10000)/100),IFERROR(VALUE(TRIM(LEFT(MID(Issues!$C132,FIND("/",Issues!$C132)+1,20),FIND("/",MID(Issues!$C132,FIND("/",Issues!$C132)+1,20))-1))),"")))</f>
        <v/>
      </c>
      <c r="D129" t="str">
        <f>IF(OR($A129="",$B129=""),"",IF(ISNUMBER(Issues!$C132),MOD(Issues!$C132,100),IFERROR(VALUE(TRIM(MID(MID(Issues!$C132,FIND("/",Issues!$C132)+1,20),FIND("/",MID(Issues!$C132,FIND("/",Issues!$C132)+1,20))+1,20))),"")))</f>
        <v/>
      </c>
      <c r="E129" t="str">
        <f t="shared" si="3"/>
        <v/>
      </c>
      <c r="F129" t="str">
        <f>IF($A129="","",IF(Issues!$D132="",0,Issues!$D132))</f>
        <v/>
      </c>
      <c r="G129" t="str">
        <f>IF($A129="","",Issues!$E132)</f>
        <v/>
      </c>
      <c r="H129" t="str">
        <f t="shared" si="4"/>
        <v/>
      </c>
      <c r="I129" t="str">
        <f t="shared" si="5"/>
        <v/>
      </c>
      <c r="J129" t="str">
        <f>IF($A129="","",Issues!$G132)</f>
        <v/>
      </c>
      <c r="K129" t="str">
        <f>IF(OR($E129="",$E129="نامعتبر"),"",LEFT($E129,4)&amp;MID($E129,6,2)&amp;RIGHT($E129,2)&amp;"|"&amp;RIGHT("00000"&amp;124,5))</f>
        <v/>
      </c>
      <c r="M129" t="str">
        <f>IF(Sync!$M129&lt;&gt;"پاس چک","",IF(Sync!$P129="","",Sync!$P129))</f>
        <v/>
      </c>
      <c r="N129" t="str">
        <f>IF($M129="","",IF(ISNUMBER(Sync!$L129),IF(AND(Sync!$L129&gt;=10000101,Sync!$L129&lt;=99991231),RIGHT("0000"&amp;INT(Sync!$L129/10000),4)&amp;"/"&amp;RIGHT("00"&amp;INT(MOD(Sync!$L129,10000)/100),2)&amp;"/"&amp;RIGHT("00"&amp;MOD(Sync!$L129,100),2),""),IFERROR(RIGHT("0000"&amp;VALUE(TRIM(LEFT(Sync!$L129,FIND("/",Sync!$L129)-1))),4)&amp;"/"&amp;RIGHT("00"&amp;VALUE(TRIM(LEFT(MID(Sync!$L129,FIND("/",Sync!$L129)+1,20),FIND("/",MID(Sync!$L129,FIND("/",Sync!$L129)+1,20))-1))),2)&amp;"/"&amp;RIGHT("00"&amp;VALUE(TRIM(MID(MID(Sync!$L129,FIND("/",Sync!$L129)+1,20),FIND("/",MID(Sync!$L129,FIND("/",Sync!$L129)+1,20))+1,20))),2),"")))</f>
        <v/>
      </c>
    </row>
    <row r="130" spans="1:14" x14ac:dyDescent="0.2">
      <c r="A130" t="str">
        <f>IF(Issues!$B133="","",Issues!$B133)</f>
        <v/>
      </c>
      <c r="B130" t="str">
        <f>IF($A130="","",IF(ISNUMBER(Issues!$C133),IF(AND(Issues!$C133&gt;=10000101,Issues!$C133&lt;=99991231),INT(Issues!$C133/10000),""),IFERROR(VALUE(TRIM(LEFT(Issues!$C133,FIND("/",Issues!$C133)-1))),"")))</f>
        <v/>
      </c>
      <c r="C130" t="str">
        <f>IF(OR($A130="",$B130=""),"",IF(ISNUMBER(Issues!$C133),INT(MOD(Issues!$C133,10000)/100),IFERROR(VALUE(TRIM(LEFT(MID(Issues!$C133,FIND("/",Issues!$C133)+1,20),FIND("/",MID(Issues!$C133,FIND("/",Issues!$C133)+1,20))-1))),"")))</f>
        <v/>
      </c>
      <c r="D130" t="str">
        <f>IF(OR($A130="",$B130=""),"",IF(ISNUMBER(Issues!$C133),MOD(Issues!$C133,100),IFERROR(VALUE(TRIM(MID(MID(Issues!$C133,FIND("/",Issues!$C133)+1,20),FIND("/",MID(Issues!$C133,FIND("/",Issues!$C133)+1,20))+1,20))),"")))</f>
        <v/>
      </c>
      <c r="E130" t="str">
        <f t="shared" si="3"/>
        <v/>
      </c>
      <c r="F130" t="str">
        <f>IF($A130="","",IF(Issues!$D133="",0,Issues!$D133))</f>
        <v/>
      </c>
      <c r="G130" t="str">
        <f>IF($A130="","",Issues!$E133)</f>
        <v/>
      </c>
      <c r="H130" t="str">
        <f t="shared" si="4"/>
        <v/>
      </c>
      <c r="I130" t="str">
        <f t="shared" si="5"/>
        <v/>
      </c>
      <c r="J130" t="str">
        <f>IF($A130="","",Issues!$G133)</f>
        <v/>
      </c>
      <c r="K130" t="str">
        <f>IF(OR($E130="",$E130="نامعتبر"),"",LEFT($E130,4)&amp;MID($E130,6,2)&amp;RIGHT($E130,2)&amp;"|"&amp;RIGHT("00000"&amp;125,5))</f>
        <v/>
      </c>
      <c r="M130" t="str">
        <f>IF(Sync!$M130&lt;&gt;"پاس چک","",IF(Sync!$P130="","",Sync!$P130))</f>
        <v/>
      </c>
      <c r="N130" t="str">
        <f>IF($M130="","",IF(ISNUMBER(Sync!$L130),IF(AND(Sync!$L130&gt;=10000101,Sync!$L130&lt;=99991231),RIGHT("0000"&amp;INT(Sync!$L130/10000),4)&amp;"/"&amp;RIGHT("00"&amp;INT(MOD(Sync!$L130,10000)/100),2)&amp;"/"&amp;RIGHT("00"&amp;MOD(Sync!$L130,100),2),""),IFERROR(RIGHT("0000"&amp;VALUE(TRIM(LEFT(Sync!$L130,FIND("/",Sync!$L130)-1))),4)&amp;"/"&amp;RIGHT("00"&amp;VALUE(TRIM(LEFT(MID(Sync!$L130,FIND("/",Sync!$L130)+1,20),FIND("/",MID(Sync!$L130,FIND("/",Sync!$L130)+1,20))-1))),2)&amp;"/"&amp;RIGHT("00"&amp;VALUE(TRIM(MID(MID(Sync!$L130,FIND("/",Sync!$L130)+1,20),FIND("/",MID(Sync!$L130,FIND("/",Sync!$L130)+1,20))+1,20))),2),"")))</f>
        <v/>
      </c>
    </row>
    <row r="131" spans="1:14" x14ac:dyDescent="0.2">
      <c r="A131" t="str">
        <f>IF(Issues!$B134="","",Issues!$B134)</f>
        <v/>
      </c>
      <c r="B131" t="str">
        <f>IF($A131="","",IF(ISNUMBER(Issues!$C134),IF(AND(Issues!$C134&gt;=10000101,Issues!$C134&lt;=99991231),INT(Issues!$C134/10000),""),IFERROR(VALUE(TRIM(LEFT(Issues!$C134,FIND("/",Issues!$C134)-1))),"")))</f>
        <v/>
      </c>
      <c r="C131" t="str">
        <f>IF(OR($A131="",$B131=""),"",IF(ISNUMBER(Issues!$C134),INT(MOD(Issues!$C134,10000)/100),IFERROR(VALUE(TRIM(LEFT(MID(Issues!$C134,FIND("/",Issues!$C134)+1,20),FIND("/",MID(Issues!$C134,FIND("/",Issues!$C134)+1,20))-1))),"")))</f>
        <v/>
      </c>
      <c r="D131" t="str">
        <f>IF(OR($A131="",$B131=""),"",IF(ISNUMBER(Issues!$C134),MOD(Issues!$C134,100),IFERROR(VALUE(TRIM(MID(MID(Issues!$C134,FIND("/",Issues!$C134)+1,20),FIND("/",MID(Issues!$C134,FIND("/",Issues!$C134)+1,20))+1,20))),"")))</f>
        <v/>
      </c>
      <c r="E131" t="str">
        <f t="shared" si="3"/>
        <v/>
      </c>
      <c r="F131" t="str">
        <f>IF($A131="","",IF(Issues!$D134="",0,Issues!$D134))</f>
        <v/>
      </c>
      <c r="G131" t="str">
        <f>IF($A131="","",Issues!$E134)</f>
        <v/>
      </c>
      <c r="H131" t="str">
        <f t="shared" si="4"/>
        <v/>
      </c>
      <c r="I131" t="str">
        <f t="shared" si="5"/>
        <v/>
      </c>
      <c r="J131" t="str">
        <f>IF($A131="","",Issues!$G134)</f>
        <v/>
      </c>
      <c r="K131" t="str">
        <f>IF(OR($E131="",$E131="نامعتبر"),"",LEFT($E131,4)&amp;MID($E131,6,2)&amp;RIGHT($E131,2)&amp;"|"&amp;RIGHT("00000"&amp;126,5))</f>
        <v/>
      </c>
      <c r="M131" t="str">
        <f>IF(Sync!$M131&lt;&gt;"پاس چک","",IF(Sync!$P131="","",Sync!$P131))</f>
        <v/>
      </c>
      <c r="N131" t="str">
        <f>IF($M131="","",IF(ISNUMBER(Sync!$L131),IF(AND(Sync!$L131&gt;=10000101,Sync!$L131&lt;=99991231),RIGHT("0000"&amp;INT(Sync!$L131/10000),4)&amp;"/"&amp;RIGHT("00"&amp;INT(MOD(Sync!$L131,10000)/100),2)&amp;"/"&amp;RIGHT("00"&amp;MOD(Sync!$L131,100),2),""),IFERROR(RIGHT("0000"&amp;VALUE(TRIM(LEFT(Sync!$L131,FIND("/",Sync!$L131)-1))),4)&amp;"/"&amp;RIGHT("00"&amp;VALUE(TRIM(LEFT(MID(Sync!$L131,FIND("/",Sync!$L131)+1,20),FIND("/",MID(Sync!$L131,FIND("/",Sync!$L131)+1,20))-1))),2)&amp;"/"&amp;RIGHT("00"&amp;VALUE(TRIM(MID(MID(Sync!$L131,FIND("/",Sync!$L131)+1,20),FIND("/",MID(Sync!$L131,FIND("/",Sync!$L131)+1,20))+1,20))),2),"")))</f>
        <v/>
      </c>
    </row>
    <row r="132" spans="1:14" x14ac:dyDescent="0.2">
      <c r="A132" t="str">
        <f>IF(Issues!$B135="","",Issues!$B135)</f>
        <v/>
      </c>
      <c r="B132" t="str">
        <f>IF($A132="","",IF(ISNUMBER(Issues!$C135),IF(AND(Issues!$C135&gt;=10000101,Issues!$C135&lt;=99991231),INT(Issues!$C135/10000),""),IFERROR(VALUE(TRIM(LEFT(Issues!$C135,FIND("/",Issues!$C135)-1))),"")))</f>
        <v/>
      </c>
      <c r="C132" t="str">
        <f>IF(OR($A132="",$B132=""),"",IF(ISNUMBER(Issues!$C135),INT(MOD(Issues!$C135,10000)/100),IFERROR(VALUE(TRIM(LEFT(MID(Issues!$C135,FIND("/",Issues!$C135)+1,20),FIND("/",MID(Issues!$C135,FIND("/",Issues!$C135)+1,20))-1))),"")))</f>
        <v/>
      </c>
      <c r="D132" t="str">
        <f>IF(OR($A132="",$B132=""),"",IF(ISNUMBER(Issues!$C135),MOD(Issues!$C135,100),IFERROR(VALUE(TRIM(MID(MID(Issues!$C135,FIND("/",Issues!$C135)+1,20),FIND("/",MID(Issues!$C135,FIND("/",Issues!$C135)+1,20))+1,20))),"")))</f>
        <v/>
      </c>
      <c r="E132" t="str">
        <f t="shared" si="3"/>
        <v/>
      </c>
      <c r="F132" t="str">
        <f>IF($A132="","",IF(Issues!$D135="",0,Issues!$D135))</f>
        <v/>
      </c>
      <c r="G132" t="str">
        <f>IF($A132="","",Issues!$E135)</f>
        <v/>
      </c>
      <c r="H132" t="str">
        <f t="shared" si="4"/>
        <v/>
      </c>
      <c r="I132" t="str">
        <f t="shared" si="5"/>
        <v/>
      </c>
      <c r="J132" t="str">
        <f>IF($A132="","",Issues!$G135)</f>
        <v/>
      </c>
      <c r="K132" t="str">
        <f>IF(OR($E132="",$E132="نامعتبر"),"",LEFT($E132,4)&amp;MID($E132,6,2)&amp;RIGHT($E132,2)&amp;"|"&amp;RIGHT("00000"&amp;127,5))</f>
        <v/>
      </c>
      <c r="M132" t="str">
        <f>IF(Sync!$M132&lt;&gt;"پاس چک","",IF(Sync!$P132="","",Sync!$P132))</f>
        <v/>
      </c>
      <c r="N132" t="str">
        <f>IF($M132="","",IF(ISNUMBER(Sync!$L132),IF(AND(Sync!$L132&gt;=10000101,Sync!$L132&lt;=99991231),RIGHT("0000"&amp;INT(Sync!$L132/10000),4)&amp;"/"&amp;RIGHT("00"&amp;INT(MOD(Sync!$L132,10000)/100),2)&amp;"/"&amp;RIGHT("00"&amp;MOD(Sync!$L132,100),2),""),IFERROR(RIGHT("0000"&amp;VALUE(TRIM(LEFT(Sync!$L132,FIND("/",Sync!$L132)-1))),4)&amp;"/"&amp;RIGHT("00"&amp;VALUE(TRIM(LEFT(MID(Sync!$L132,FIND("/",Sync!$L132)+1,20),FIND("/",MID(Sync!$L132,FIND("/",Sync!$L132)+1,20))-1))),2)&amp;"/"&amp;RIGHT("00"&amp;VALUE(TRIM(MID(MID(Sync!$L132,FIND("/",Sync!$L132)+1,20),FIND("/",MID(Sync!$L132,FIND("/",Sync!$L132)+1,20))+1,20))),2),"")))</f>
        <v/>
      </c>
    </row>
    <row r="133" spans="1:14" x14ac:dyDescent="0.2">
      <c r="A133" t="str">
        <f>IF(Issues!$B136="","",Issues!$B136)</f>
        <v/>
      </c>
      <c r="B133" t="str">
        <f>IF($A133="","",IF(ISNUMBER(Issues!$C136),IF(AND(Issues!$C136&gt;=10000101,Issues!$C136&lt;=99991231),INT(Issues!$C136/10000),""),IFERROR(VALUE(TRIM(LEFT(Issues!$C136,FIND("/",Issues!$C136)-1))),"")))</f>
        <v/>
      </c>
      <c r="C133" t="str">
        <f>IF(OR($A133="",$B133=""),"",IF(ISNUMBER(Issues!$C136),INT(MOD(Issues!$C136,10000)/100),IFERROR(VALUE(TRIM(LEFT(MID(Issues!$C136,FIND("/",Issues!$C136)+1,20),FIND("/",MID(Issues!$C136,FIND("/",Issues!$C136)+1,20))-1))),"")))</f>
        <v/>
      </c>
      <c r="D133" t="str">
        <f>IF(OR($A133="",$B133=""),"",IF(ISNUMBER(Issues!$C136),MOD(Issues!$C136,100),IFERROR(VALUE(TRIM(MID(MID(Issues!$C136,FIND("/",Issues!$C136)+1,20),FIND("/",MID(Issues!$C136,FIND("/",Issues!$C136)+1,20))+1,20))),"")))</f>
        <v/>
      </c>
      <c r="E133" t="str">
        <f t="shared" si="3"/>
        <v/>
      </c>
      <c r="F133" t="str">
        <f>IF($A133="","",IF(Issues!$D136="",0,Issues!$D136))</f>
        <v/>
      </c>
      <c r="G133" t="str">
        <f>IF($A133="","",Issues!$E136)</f>
        <v/>
      </c>
      <c r="H133" t="str">
        <f t="shared" si="4"/>
        <v/>
      </c>
      <c r="I133" t="str">
        <f t="shared" si="5"/>
        <v/>
      </c>
      <c r="J133" t="str">
        <f>IF($A133="","",Issues!$G136)</f>
        <v/>
      </c>
      <c r="K133" t="str">
        <f>IF(OR($E133="",$E133="نامعتبر"),"",LEFT($E133,4)&amp;MID($E133,6,2)&amp;RIGHT($E133,2)&amp;"|"&amp;RIGHT("00000"&amp;128,5))</f>
        <v/>
      </c>
      <c r="M133" t="str">
        <f>IF(Sync!$M133&lt;&gt;"پاس چک","",IF(Sync!$P133="","",Sync!$P133))</f>
        <v/>
      </c>
      <c r="N133" t="str">
        <f>IF($M133="","",IF(ISNUMBER(Sync!$L133),IF(AND(Sync!$L133&gt;=10000101,Sync!$L133&lt;=99991231),RIGHT("0000"&amp;INT(Sync!$L133/10000),4)&amp;"/"&amp;RIGHT("00"&amp;INT(MOD(Sync!$L133,10000)/100),2)&amp;"/"&amp;RIGHT("00"&amp;MOD(Sync!$L133,100),2),""),IFERROR(RIGHT("0000"&amp;VALUE(TRIM(LEFT(Sync!$L133,FIND("/",Sync!$L133)-1))),4)&amp;"/"&amp;RIGHT("00"&amp;VALUE(TRIM(LEFT(MID(Sync!$L133,FIND("/",Sync!$L133)+1,20),FIND("/",MID(Sync!$L133,FIND("/",Sync!$L133)+1,20))-1))),2)&amp;"/"&amp;RIGHT("00"&amp;VALUE(TRIM(MID(MID(Sync!$L133,FIND("/",Sync!$L133)+1,20),FIND("/",MID(Sync!$L133,FIND("/",Sync!$L133)+1,20))+1,20))),2),"")))</f>
        <v/>
      </c>
    </row>
    <row r="134" spans="1:14" x14ac:dyDescent="0.2">
      <c r="A134" t="str">
        <f>IF(Issues!$B137="","",Issues!$B137)</f>
        <v/>
      </c>
      <c r="B134" t="str">
        <f>IF($A134="","",IF(ISNUMBER(Issues!$C137),IF(AND(Issues!$C137&gt;=10000101,Issues!$C137&lt;=99991231),INT(Issues!$C137/10000),""),IFERROR(VALUE(TRIM(LEFT(Issues!$C137,FIND("/",Issues!$C137)-1))),"")))</f>
        <v/>
      </c>
      <c r="C134" t="str">
        <f>IF(OR($A134="",$B134=""),"",IF(ISNUMBER(Issues!$C137),INT(MOD(Issues!$C137,10000)/100),IFERROR(VALUE(TRIM(LEFT(MID(Issues!$C137,FIND("/",Issues!$C137)+1,20),FIND("/",MID(Issues!$C137,FIND("/",Issues!$C137)+1,20))-1))),"")))</f>
        <v/>
      </c>
      <c r="D134" t="str">
        <f>IF(OR($A134="",$B134=""),"",IF(ISNUMBER(Issues!$C137),MOD(Issues!$C137,100),IFERROR(VALUE(TRIM(MID(MID(Issues!$C137,FIND("/",Issues!$C137)+1,20),FIND("/",MID(Issues!$C137,FIND("/",Issues!$C137)+1,20))+1,20))),"")))</f>
        <v/>
      </c>
      <c r="E134" t="str">
        <f t="shared" ref="E134:E197" si="6"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 t="str">
        <f>IF($A134="","",IF(Issues!$D137="",0,Issues!$D137))</f>
        <v/>
      </c>
      <c r="G134" t="str">
        <f>IF($A134="","",Issues!$E137)</f>
        <v/>
      </c>
      <c r="H134" t="str">
        <f t="shared" ref="H134:H197" si="7">IF($A134="","",IF(COUNTIFS(ETxnType,"پاس چک",ETxnChk,$A134)&gt;0,"پاس شده","پاس نشده"))</f>
        <v/>
      </c>
      <c r="I134" t="str">
        <f t="shared" ref="I134:I197" si="8">IF($A134="","",IFERROR(INDEX(BClrDate,MATCH($A134,BClrChk,0)),""))</f>
        <v/>
      </c>
      <c r="J134" t="str">
        <f>IF($A134="","",Issues!$G137)</f>
        <v/>
      </c>
      <c r="K134" t="str">
        <f>IF(OR($E134="",$E134="نامعتبر"),"",LEFT($E134,4)&amp;MID($E134,6,2)&amp;RIGHT($E134,2)&amp;"|"&amp;RIGHT("00000"&amp;129,5))</f>
        <v/>
      </c>
      <c r="M134" t="str">
        <f>IF(Sync!$M134&lt;&gt;"پاس چک","",IF(Sync!$P134="","",Sync!$P134))</f>
        <v/>
      </c>
      <c r="N134" t="str">
        <f>IF($M134="","",IF(ISNUMBER(Sync!$L134),IF(AND(Sync!$L134&gt;=10000101,Sync!$L134&lt;=99991231),RIGHT("0000"&amp;INT(Sync!$L134/10000),4)&amp;"/"&amp;RIGHT("00"&amp;INT(MOD(Sync!$L134,10000)/100),2)&amp;"/"&amp;RIGHT("00"&amp;MOD(Sync!$L134,100),2),""),IFERROR(RIGHT("0000"&amp;VALUE(TRIM(LEFT(Sync!$L134,FIND("/",Sync!$L134)-1))),4)&amp;"/"&amp;RIGHT("00"&amp;VALUE(TRIM(LEFT(MID(Sync!$L134,FIND("/",Sync!$L134)+1,20),FIND("/",MID(Sync!$L134,FIND("/",Sync!$L134)+1,20))-1))),2)&amp;"/"&amp;RIGHT("00"&amp;VALUE(TRIM(MID(MID(Sync!$L134,FIND("/",Sync!$L134)+1,20),FIND("/",MID(Sync!$L134,FIND("/",Sync!$L134)+1,20))+1,20))),2),"")))</f>
        <v/>
      </c>
    </row>
    <row r="135" spans="1:14" x14ac:dyDescent="0.2">
      <c r="A135" t="str">
        <f>IF(Issues!$B138="","",Issues!$B138)</f>
        <v/>
      </c>
      <c r="B135" t="str">
        <f>IF($A135="","",IF(ISNUMBER(Issues!$C138),IF(AND(Issues!$C138&gt;=10000101,Issues!$C138&lt;=99991231),INT(Issues!$C138/10000),""),IFERROR(VALUE(TRIM(LEFT(Issues!$C138,FIND("/",Issues!$C138)-1))),"")))</f>
        <v/>
      </c>
      <c r="C135" t="str">
        <f>IF(OR($A135="",$B135=""),"",IF(ISNUMBER(Issues!$C138),INT(MOD(Issues!$C138,10000)/100),IFERROR(VALUE(TRIM(LEFT(MID(Issues!$C138,FIND("/",Issues!$C138)+1,20),FIND("/",MID(Issues!$C138,FIND("/",Issues!$C138)+1,20))-1))),"")))</f>
        <v/>
      </c>
      <c r="D135" t="str">
        <f>IF(OR($A135="",$B135=""),"",IF(ISNUMBER(Issues!$C138),MOD(Issues!$C138,100),IFERROR(VALUE(TRIM(MID(MID(Issues!$C138,FIND("/",Issues!$C138)+1,20),FIND("/",MID(Issues!$C138,FIND("/",Issues!$C138)+1,20))+1,20))),"")))</f>
        <v/>
      </c>
      <c r="E135" t="str">
        <f t="shared" si="6"/>
        <v/>
      </c>
      <c r="F135" t="str">
        <f>IF($A135="","",IF(Issues!$D138="",0,Issues!$D138))</f>
        <v/>
      </c>
      <c r="G135" t="str">
        <f>IF($A135="","",Issues!$E138)</f>
        <v/>
      </c>
      <c r="H135" t="str">
        <f t="shared" si="7"/>
        <v/>
      </c>
      <c r="I135" t="str">
        <f t="shared" si="8"/>
        <v/>
      </c>
      <c r="J135" t="str">
        <f>IF($A135="","",Issues!$G138)</f>
        <v/>
      </c>
      <c r="K135" t="str">
        <f>IF(OR($E135="",$E135="نامعتبر"),"",LEFT($E135,4)&amp;MID($E135,6,2)&amp;RIGHT($E135,2)&amp;"|"&amp;RIGHT("00000"&amp;130,5))</f>
        <v/>
      </c>
      <c r="M135" t="str">
        <f>IF(Sync!$M135&lt;&gt;"پاس چک","",IF(Sync!$P135="","",Sync!$P135))</f>
        <v/>
      </c>
      <c r="N135" t="str">
        <f>IF($M135="","",IF(ISNUMBER(Sync!$L135),IF(AND(Sync!$L135&gt;=10000101,Sync!$L135&lt;=99991231),RIGHT("0000"&amp;INT(Sync!$L135/10000),4)&amp;"/"&amp;RIGHT("00"&amp;INT(MOD(Sync!$L135,10000)/100),2)&amp;"/"&amp;RIGHT("00"&amp;MOD(Sync!$L135,100),2),""),IFERROR(RIGHT("0000"&amp;VALUE(TRIM(LEFT(Sync!$L135,FIND("/",Sync!$L135)-1))),4)&amp;"/"&amp;RIGHT("00"&amp;VALUE(TRIM(LEFT(MID(Sync!$L135,FIND("/",Sync!$L135)+1,20),FIND("/",MID(Sync!$L135,FIND("/",Sync!$L135)+1,20))-1))),2)&amp;"/"&amp;RIGHT("00"&amp;VALUE(TRIM(MID(MID(Sync!$L135,FIND("/",Sync!$L135)+1,20),FIND("/",MID(Sync!$L135,FIND("/",Sync!$L135)+1,20))+1,20))),2),"")))</f>
        <v/>
      </c>
    </row>
    <row r="136" spans="1:14" x14ac:dyDescent="0.2">
      <c r="A136" t="str">
        <f>IF(Issues!$B139="","",Issues!$B139)</f>
        <v/>
      </c>
      <c r="B136" t="str">
        <f>IF($A136="","",IF(ISNUMBER(Issues!$C139),IF(AND(Issues!$C139&gt;=10000101,Issues!$C139&lt;=99991231),INT(Issues!$C139/10000),""),IFERROR(VALUE(TRIM(LEFT(Issues!$C139,FIND("/",Issues!$C139)-1))),"")))</f>
        <v/>
      </c>
      <c r="C136" t="str">
        <f>IF(OR($A136="",$B136=""),"",IF(ISNUMBER(Issues!$C139),INT(MOD(Issues!$C139,10000)/100),IFERROR(VALUE(TRIM(LEFT(MID(Issues!$C139,FIND("/",Issues!$C139)+1,20),FIND("/",MID(Issues!$C139,FIND("/",Issues!$C139)+1,20))-1))),"")))</f>
        <v/>
      </c>
      <c r="D136" t="str">
        <f>IF(OR($A136="",$B136=""),"",IF(ISNUMBER(Issues!$C139),MOD(Issues!$C139,100),IFERROR(VALUE(TRIM(MID(MID(Issues!$C139,FIND("/",Issues!$C139)+1,20),FIND("/",MID(Issues!$C139,FIND("/",Issues!$C139)+1,20))+1,20))),"")))</f>
        <v/>
      </c>
      <c r="E136" t="str">
        <f t="shared" si="6"/>
        <v/>
      </c>
      <c r="F136" t="str">
        <f>IF($A136="","",IF(Issues!$D139="",0,Issues!$D139))</f>
        <v/>
      </c>
      <c r="G136" t="str">
        <f>IF($A136="","",Issues!$E139)</f>
        <v/>
      </c>
      <c r="H136" t="str">
        <f t="shared" si="7"/>
        <v/>
      </c>
      <c r="I136" t="str">
        <f t="shared" si="8"/>
        <v/>
      </c>
      <c r="J136" t="str">
        <f>IF($A136="","",Issues!$G139)</f>
        <v/>
      </c>
      <c r="K136" t="str">
        <f>IF(OR($E136="",$E136="نامعتبر"),"",LEFT($E136,4)&amp;MID($E136,6,2)&amp;RIGHT($E136,2)&amp;"|"&amp;RIGHT("00000"&amp;131,5))</f>
        <v/>
      </c>
      <c r="M136" t="str">
        <f>IF(Sync!$M136&lt;&gt;"پاس چک","",IF(Sync!$P136="","",Sync!$P136))</f>
        <v/>
      </c>
      <c r="N136" t="str">
        <f>IF($M136="","",IF(ISNUMBER(Sync!$L136),IF(AND(Sync!$L136&gt;=10000101,Sync!$L136&lt;=99991231),RIGHT("0000"&amp;INT(Sync!$L136/10000),4)&amp;"/"&amp;RIGHT("00"&amp;INT(MOD(Sync!$L136,10000)/100),2)&amp;"/"&amp;RIGHT("00"&amp;MOD(Sync!$L136,100),2),""),IFERROR(RIGHT("0000"&amp;VALUE(TRIM(LEFT(Sync!$L136,FIND("/",Sync!$L136)-1))),4)&amp;"/"&amp;RIGHT("00"&amp;VALUE(TRIM(LEFT(MID(Sync!$L136,FIND("/",Sync!$L136)+1,20),FIND("/",MID(Sync!$L136,FIND("/",Sync!$L136)+1,20))-1))),2)&amp;"/"&amp;RIGHT("00"&amp;VALUE(TRIM(MID(MID(Sync!$L136,FIND("/",Sync!$L136)+1,20),FIND("/",MID(Sync!$L136,FIND("/",Sync!$L136)+1,20))+1,20))),2),"")))</f>
        <v/>
      </c>
    </row>
    <row r="137" spans="1:14" x14ac:dyDescent="0.2">
      <c r="A137" t="str">
        <f>IF(Issues!$B140="","",Issues!$B140)</f>
        <v/>
      </c>
      <c r="B137" t="str">
        <f>IF($A137="","",IF(ISNUMBER(Issues!$C140),IF(AND(Issues!$C140&gt;=10000101,Issues!$C140&lt;=99991231),INT(Issues!$C140/10000),""),IFERROR(VALUE(TRIM(LEFT(Issues!$C140,FIND("/",Issues!$C140)-1))),"")))</f>
        <v/>
      </c>
      <c r="C137" t="str">
        <f>IF(OR($A137="",$B137=""),"",IF(ISNUMBER(Issues!$C140),INT(MOD(Issues!$C140,10000)/100),IFERROR(VALUE(TRIM(LEFT(MID(Issues!$C140,FIND("/",Issues!$C140)+1,20),FIND("/",MID(Issues!$C140,FIND("/",Issues!$C140)+1,20))-1))),"")))</f>
        <v/>
      </c>
      <c r="D137" t="str">
        <f>IF(OR($A137="",$B137=""),"",IF(ISNUMBER(Issues!$C140),MOD(Issues!$C140,100),IFERROR(VALUE(TRIM(MID(MID(Issues!$C140,FIND("/",Issues!$C140)+1,20),FIND("/",MID(Issues!$C140,FIND("/",Issues!$C140)+1,20))+1,20))),"")))</f>
        <v/>
      </c>
      <c r="E137" t="str">
        <f t="shared" si="6"/>
        <v/>
      </c>
      <c r="F137" t="str">
        <f>IF($A137="","",IF(Issues!$D140="",0,Issues!$D140))</f>
        <v/>
      </c>
      <c r="G137" t="str">
        <f>IF($A137="","",Issues!$E140)</f>
        <v/>
      </c>
      <c r="H137" t="str">
        <f t="shared" si="7"/>
        <v/>
      </c>
      <c r="I137" t="str">
        <f t="shared" si="8"/>
        <v/>
      </c>
      <c r="J137" t="str">
        <f>IF($A137="","",Issues!$G140)</f>
        <v/>
      </c>
      <c r="K137" t="str">
        <f>IF(OR($E137="",$E137="نامعتبر"),"",LEFT($E137,4)&amp;MID($E137,6,2)&amp;RIGHT($E137,2)&amp;"|"&amp;RIGHT("00000"&amp;132,5))</f>
        <v/>
      </c>
      <c r="M137" t="str">
        <f>IF(Sync!$M137&lt;&gt;"پاس چک","",IF(Sync!$P137="","",Sync!$P137))</f>
        <v/>
      </c>
      <c r="N137" t="str">
        <f>IF($M137="","",IF(ISNUMBER(Sync!$L137),IF(AND(Sync!$L137&gt;=10000101,Sync!$L137&lt;=99991231),RIGHT("0000"&amp;INT(Sync!$L137/10000),4)&amp;"/"&amp;RIGHT("00"&amp;INT(MOD(Sync!$L137,10000)/100),2)&amp;"/"&amp;RIGHT("00"&amp;MOD(Sync!$L137,100),2),""),IFERROR(RIGHT("0000"&amp;VALUE(TRIM(LEFT(Sync!$L137,FIND("/",Sync!$L137)-1))),4)&amp;"/"&amp;RIGHT("00"&amp;VALUE(TRIM(LEFT(MID(Sync!$L137,FIND("/",Sync!$L137)+1,20),FIND("/",MID(Sync!$L137,FIND("/",Sync!$L137)+1,20))-1))),2)&amp;"/"&amp;RIGHT("00"&amp;VALUE(TRIM(MID(MID(Sync!$L137,FIND("/",Sync!$L137)+1,20),FIND("/",MID(Sync!$L137,FIND("/",Sync!$L137)+1,20))+1,20))),2),"")))</f>
        <v/>
      </c>
    </row>
    <row r="138" spans="1:14" x14ac:dyDescent="0.2">
      <c r="A138" t="str">
        <f>IF(Issues!$B141="","",Issues!$B141)</f>
        <v/>
      </c>
      <c r="B138" t="str">
        <f>IF($A138="","",IF(ISNUMBER(Issues!$C141),IF(AND(Issues!$C141&gt;=10000101,Issues!$C141&lt;=99991231),INT(Issues!$C141/10000),""),IFERROR(VALUE(TRIM(LEFT(Issues!$C141,FIND("/",Issues!$C141)-1))),"")))</f>
        <v/>
      </c>
      <c r="C138" t="str">
        <f>IF(OR($A138="",$B138=""),"",IF(ISNUMBER(Issues!$C141),INT(MOD(Issues!$C141,10000)/100),IFERROR(VALUE(TRIM(LEFT(MID(Issues!$C141,FIND("/",Issues!$C141)+1,20),FIND("/",MID(Issues!$C141,FIND("/",Issues!$C141)+1,20))-1))),"")))</f>
        <v/>
      </c>
      <c r="D138" t="str">
        <f>IF(OR($A138="",$B138=""),"",IF(ISNUMBER(Issues!$C141),MOD(Issues!$C141,100),IFERROR(VALUE(TRIM(MID(MID(Issues!$C141,FIND("/",Issues!$C141)+1,20),FIND("/",MID(Issues!$C141,FIND("/",Issues!$C141)+1,20))+1,20))),"")))</f>
        <v/>
      </c>
      <c r="E138" t="str">
        <f t="shared" si="6"/>
        <v/>
      </c>
      <c r="F138" t="str">
        <f>IF($A138="","",IF(Issues!$D141="",0,Issues!$D141))</f>
        <v/>
      </c>
      <c r="G138" t="str">
        <f>IF($A138="","",Issues!$E141)</f>
        <v/>
      </c>
      <c r="H138" t="str">
        <f t="shared" si="7"/>
        <v/>
      </c>
      <c r="I138" t="str">
        <f t="shared" si="8"/>
        <v/>
      </c>
      <c r="J138" t="str">
        <f>IF($A138="","",Issues!$G141)</f>
        <v/>
      </c>
      <c r="K138" t="str">
        <f>IF(OR($E138="",$E138="نامعتبر"),"",LEFT($E138,4)&amp;MID($E138,6,2)&amp;RIGHT($E138,2)&amp;"|"&amp;RIGHT("00000"&amp;133,5))</f>
        <v/>
      </c>
      <c r="M138" t="str">
        <f>IF(Sync!$M138&lt;&gt;"پاس چک","",IF(Sync!$P138="","",Sync!$P138))</f>
        <v/>
      </c>
      <c r="N138" t="str">
        <f>IF($M138="","",IF(ISNUMBER(Sync!$L138),IF(AND(Sync!$L138&gt;=10000101,Sync!$L138&lt;=99991231),RIGHT("0000"&amp;INT(Sync!$L138/10000),4)&amp;"/"&amp;RIGHT("00"&amp;INT(MOD(Sync!$L138,10000)/100),2)&amp;"/"&amp;RIGHT("00"&amp;MOD(Sync!$L138,100),2),""),IFERROR(RIGHT("0000"&amp;VALUE(TRIM(LEFT(Sync!$L138,FIND("/",Sync!$L138)-1))),4)&amp;"/"&amp;RIGHT("00"&amp;VALUE(TRIM(LEFT(MID(Sync!$L138,FIND("/",Sync!$L138)+1,20),FIND("/",MID(Sync!$L138,FIND("/",Sync!$L138)+1,20))-1))),2)&amp;"/"&amp;RIGHT("00"&amp;VALUE(TRIM(MID(MID(Sync!$L138,FIND("/",Sync!$L138)+1,20),FIND("/",MID(Sync!$L138,FIND("/",Sync!$L138)+1,20))+1,20))),2),"")))</f>
        <v/>
      </c>
    </row>
    <row r="139" spans="1:14" x14ac:dyDescent="0.2">
      <c r="A139" t="str">
        <f>IF(Issues!$B142="","",Issues!$B142)</f>
        <v/>
      </c>
      <c r="B139" t="str">
        <f>IF($A139="","",IF(ISNUMBER(Issues!$C142),IF(AND(Issues!$C142&gt;=10000101,Issues!$C142&lt;=99991231),INT(Issues!$C142/10000),""),IFERROR(VALUE(TRIM(LEFT(Issues!$C142,FIND("/",Issues!$C142)-1))),"")))</f>
        <v/>
      </c>
      <c r="C139" t="str">
        <f>IF(OR($A139="",$B139=""),"",IF(ISNUMBER(Issues!$C142),INT(MOD(Issues!$C142,10000)/100),IFERROR(VALUE(TRIM(LEFT(MID(Issues!$C142,FIND("/",Issues!$C142)+1,20),FIND("/",MID(Issues!$C142,FIND("/",Issues!$C142)+1,20))-1))),"")))</f>
        <v/>
      </c>
      <c r="D139" t="str">
        <f>IF(OR($A139="",$B139=""),"",IF(ISNUMBER(Issues!$C142),MOD(Issues!$C142,100),IFERROR(VALUE(TRIM(MID(MID(Issues!$C142,FIND("/",Issues!$C142)+1,20),FIND("/",MID(Issues!$C142,FIND("/",Issues!$C142)+1,20))+1,20))),"")))</f>
        <v/>
      </c>
      <c r="E139" t="str">
        <f t="shared" si="6"/>
        <v/>
      </c>
      <c r="F139" t="str">
        <f>IF($A139="","",IF(Issues!$D142="",0,Issues!$D142))</f>
        <v/>
      </c>
      <c r="G139" t="str">
        <f>IF($A139="","",Issues!$E142)</f>
        <v/>
      </c>
      <c r="H139" t="str">
        <f t="shared" si="7"/>
        <v/>
      </c>
      <c r="I139" t="str">
        <f t="shared" si="8"/>
        <v/>
      </c>
      <c r="J139" t="str">
        <f>IF($A139="","",Issues!$G142)</f>
        <v/>
      </c>
      <c r="K139" t="str">
        <f>IF(OR($E139="",$E139="نامعتبر"),"",LEFT($E139,4)&amp;MID($E139,6,2)&amp;RIGHT($E139,2)&amp;"|"&amp;RIGHT("00000"&amp;134,5))</f>
        <v/>
      </c>
      <c r="M139" t="str">
        <f>IF(Sync!$M139&lt;&gt;"پاس چک","",IF(Sync!$P139="","",Sync!$P139))</f>
        <v/>
      </c>
      <c r="N139" t="str">
        <f>IF($M139="","",IF(ISNUMBER(Sync!$L139),IF(AND(Sync!$L139&gt;=10000101,Sync!$L139&lt;=99991231),RIGHT("0000"&amp;INT(Sync!$L139/10000),4)&amp;"/"&amp;RIGHT("00"&amp;INT(MOD(Sync!$L139,10000)/100),2)&amp;"/"&amp;RIGHT("00"&amp;MOD(Sync!$L139,100),2),""),IFERROR(RIGHT("0000"&amp;VALUE(TRIM(LEFT(Sync!$L139,FIND("/",Sync!$L139)-1))),4)&amp;"/"&amp;RIGHT("00"&amp;VALUE(TRIM(LEFT(MID(Sync!$L139,FIND("/",Sync!$L139)+1,20),FIND("/",MID(Sync!$L139,FIND("/",Sync!$L139)+1,20))-1))),2)&amp;"/"&amp;RIGHT("00"&amp;VALUE(TRIM(MID(MID(Sync!$L139,FIND("/",Sync!$L139)+1,20),FIND("/",MID(Sync!$L139,FIND("/",Sync!$L139)+1,20))+1,20))),2),"")))</f>
        <v/>
      </c>
    </row>
    <row r="140" spans="1:14" x14ac:dyDescent="0.2">
      <c r="A140" t="str">
        <f>IF(Issues!$B143="","",Issues!$B143)</f>
        <v/>
      </c>
      <c r="B140" t="str">
        <f>IF($A140="","",IF(ISNUMBER(Issues!$C143),IF(AND(Issues!$C143&gt;=10000101,Issues!$C143&lt;=99991231),INT(Issues!$C143/10000),""),IFERROR(VALUE(TRIM(LEFT(Issues!$C143,FIND("/",Issues!$C143)-1))),"")))</f>
        <v/>
      </c>
      <c r="C140" t="str">
        <f>IF(OR($A140="",$B140=""),"",IF(ISNUMBER(Issues!$C143),INT(MOD(Issues!$C143,10000)/100),IFERROR(VALUE(TRIM(LEFT(MID(Issues!$C143,FIND("/",Issues!$C143)+1,20),FIND("/",MID(Issues!$C143,FIND("/",Issues!$C143)+1,20))-1))),"")))</f>
        <v/>
      </c>
      <c r="D140" t="str">
        <f>IF(OR($A140="",$B140=""),"",IF(ISNUMBER(Issues!$C143),MOD(Issues!$C143,100),IFERROR(VALUE(TRIM(MID(MID(Issues!$C143,FIND("/",Issues!$C143)+1,20),FIND("/",MID(Issues!$C143,FIND("/",Issues!$C143)+1,20))+1,20))),"")))</f>
        <v/>
      </c>
      <c r="E140" t="str">
        <f t="shared" si="6"/>
        <v/>
      </c>
      <c r="F140" t="str">
        <f>IF($A140="","",IF(Issues!$D143="",0,Issues!$D143))</f>
        <v/>
      </c>
      <c r="G140" t="str">
        <f>IF($A140="","",Issues!$E143)</f>
        <v/>
      </c>
      <c r="H140" t="str">
        <f t="shared" si="7"/>
        <v/>
      </c>
      <c r="I140" t="str">
        <f t="shared" si="8"/>
        <v/>
      </c>
      <c r="J140" t="str">
        <f>IF($A140="","",Issues!$G143)</f>
        <v/>
      </c>
      <c r="K140" t="str">
        <f>IF(OR($E140="",$E140="نامعتبر"),"",LEFT($E140,4)&amp;MID($E140,6,2)&amp;RIGHT($E140,2)&amp;"|"&amp;RIGHT("00000"&amp;135,5))</f>
        <v/>
      </c>
      <c r="M140" t="str">
        <f>IF(Sync!$M140&lt;&gt;"پاس چک","",IF(Sync!$P140="","",Sync!$P140))</f>
        <v/>
      </c>
      <c r="N140" t="str">
        <f>IF($M140="","",IF(ISNUMBER(Sync!$L140),IF(AND(Sync!$L140&gt;=10000101,Sync!$L140&lt;=99991231),RIGHT("0000"&amp;INT(Sync!$L140/10000),4)&amp;"/"&amp;RIGHT("00"&amp;INT(MOD(Sync!$L140,10000)/100),2)&amp;"/"&amp;RIGHT("00"&amp;MOD(Sync!$L140,100),2),""),IFERROR(RIGHT("0000"&amp;VALUE(TRIM(LEFT(Sync!$L140,FIND("/",Sync!$L140)-1))),4)&amp;"/"&amp;RIGHT("00"&amp;VALUE(TRIM(LEFT(MID(Sync!$L140,FIND("/",Sync!$L140)+1,20),FIND("/",MID(Sync!$L140,FIND("/",Sync!$L140)+1,20))-1))),2)&amp;"/"&amp;RIGHT("00"&amp;VALUE(TRIM(MID(MID(Sync!$L140,FIND("/",Sync!$L140)+1,20),FIND("/",MID(Sync!$L140,FIND("/",Sync!$L140)+1,20))+1,20))),2),"")))</f>
        <v/>
      </c>
    </row>
    <row r="141" spans="1:14" x14ac:dyDescent="0.2">
      <c r="A141" t="str">
        <f>IF(Issues!$B144="","",Issues!$B144)</f>
        <v/>
      </c>
      <c r="B141" t="str">
        <f>IF($A141="","",IF(ISNUMBER(Issues!$C144),IF(AND(Issues!$C144&gt;=10000101,Issues!$C144&lt;=99991231),INT(Issues!$C144/10000),""),IFERROR(VALUE(TRIM(LEFT(Issues!$C144,FIND("/",Issues!$C144)-1))),"")))</f>
        <v/>
      </c>
      <c r="C141" t="str">
        <f>IF(OR($A141="",$B141=""),"",IF(ISNUMBER(Issues!$C144),INT(MOD(Issues!$C144,10000)/100),IFERROR(VALUE(TRIM(LEFT(MID(Issues!$C144,FIND("/",Issues!$C144)+1,20),FIND("/",MID(Issues!$C144,FIND("/",Issues!$C144)+1,20))-1))),"")))</f>
        <v/>
      </c>
      <c r="D141" t="str">
        <f>IF(OR($A141="",$B141=""),"",IF(ISNUMBER(Issues!$C144),MOD(Issues!$C144,100),IFERROR(VALUE(TRIM(MID(MID(Issues!$C144,FIND("/",Issues!$C144)+1,20),FIND("/",MID(Issues!$C144,FIND("/",Issues!$C144)+1,20))+1,20))),"")))</f>
        <v/>
      </c>
      <c r="E141" t="str">
        <f t="shared" si="6"/>
        <v/>
      </c>
      <c r="F141" t="str">
        <f>IF($A141="","",IF(Issues!$D144="",0,Issues!$D144))</f>
        <v/>
      </c>
      <c r="G141" t="str">
        <f>IF($A141="","",Issues!$E144)</f>
        <v/>
      </c>
      <c r="H141" t="str">
        <f t="shared" si="7"/>
        <v/>
      </c>
      <c r="I141" t="str">
        <f t="shared" si="8"/>
        <v/>
      </c>
      <c r="J141" t="str">
        <f>IF($A141="","",Issues!$G144)</f>
        <v/>
      </c>
      <c r="K141" t="str">
        <f>IF(OR($E141="",$E141="نامعتبر"),"",LEFT($E141,4)&amp;MID($E141,6,2)&amp;RIGHT($E141,2)&amp;"|"&amp;RIGHT("00000"&amp;136,5))</f>
        <v/>
      </c>
      <c r="M141" t="str">
        <f>IF(Sync!$M141&lt;&gt;"پاس چک","",IF(Sync!$P141="","",Sync!$P141))</f>
        <v/>
      </c>
      <c r="N141" t="str">
        <f>IF($M141="","",IF(ISNUMBER(Sync!$L141),IF(AND(Sync!$L141&gt;=10000101,Sync!$L141&lt;=99991231),RIGHT("0000"&amp;INT(Sync!$L141/10000),4)&amp;"/"&amp;RIGHT("00"&amp;INT(MOD(Sync!$L141,10000)/100),2)&amp;"/"&amp;RIGHT("00"&amp;MOD(Sync!$L141,100),2),""),IFERROR(RIGHT("0000"&amp;VALUE(TRIM(LEFT(Sync!$L141,FIND("/",Sync!$L141)-1))),4)&amp;"/"&amp;RIGHT("00"&amp;VALUE(TRIM(LEFT(MID(Sync!$L141,FIND("/",Sync!$L141)+1,20),FIND("/",MID(Sync!$L141,FIND("/",Sync!$L141)+1,20))-1))),2)&amp;"/"&amp;RIGHT("00"&amp;VALUE(TRIM(MID(MID(Sync!$L141,FIND("/",Sync!$L141)+1,20),FIND("/",MID(Sync!$L141,FIND("/",Sync!$L141)+1,20))+1,20))),2),"")))</f>
        <v/>
      </c>
    </row>
    <row r="142" spans="1:14" x14ac:dyDescent="0.2">
      <c r="A142" t="str">
        <f>IF(Issues!$B145="","",Issues!$B145)</f>
        <v/>
      </c>
      <c r="B142" t="str">
        <f>IF($A142="","",IF(ISNUMBER(Issues!$C145),IF(AND(Issues!$C145&gt;=10000101,Issues!$C145&lt;=99991231),INT(Issues!$C145/10000),""),IFERROR(VALUE(TRIM(LEFT(Issues!$C145,FIND("/",Issues!$C145)-1))),"")))</f>
        <v/>
      </c>
      <c r="C142" t="str">
        <f>IF(OR($A142="",$B142=""),"",IF(ISNUMBER(Issues!$C145),INT(MOD(Issues!$C145,10000)/100),IFERROR(VALUE(TRIM(LEFT(MID(Issues!$C145,FIND("/",Issues!$C145)+1,20),FIND("/",MID(Issues!$C145,FIND("/",Issues!$C145)+1,20))-1))),"")))</f>
        <v/>
      </c>
      <c r="D142" t="str">
        <f>IF(OR($A142="",$B142=""),"",IF(ISNUMBER(Issues!$C145),MOD(Issues!$C145,100),IFERROR(VALUE(TRIM(MID(MID(Issues!$C145,FIND("/",Issues!$C145)+1,20),FIND("/",MID(Issues!$C145,FIND("/",Issues!$C145)+1,20))+1,20))),"")))</f>
        <v/>
      </c>
      <c r="E142" t="str">
        <f t="shared" si="6"/>
        <v/>
      </c>
      <c r="F142" t="str">
        <f>IF($A142="","",IF(Issues!$D145="",0,Issues!$D145))</f>
        <v/>
      </c>
      <c r="G142" t="str">
        <f>IF($A142="","",Issues!$E145)</f>
        <v/>
      </c>
      <c r="H142" t="str">
        <f t="shared" si="7"/>
        <v/>
      </c>
      <c r="I142" t="str">
        <f t="shared" si="8"/>
        <v/>
      </c>
      <c r="J142" t="str">
        <f>IF($A142="","",Issues!$G145)</f>
        <v/>
      </c>
      <c r="K142" t="str">
        <f>IF(OR($E142="",$E142="نامعتبر"),"",LEFT($E142,4)&amp;MID($E142,6,2)&amp;RIGHT($E142,2)&amp;"|"&amp;RIGHT("00000"&amp;137,5))</f>
        <v/>
      </c>
      <c r="M142" t="str">
        <f>IF(Sync!$M142&lt;&gt;"پاس چک","",IF(Sync!$P142="","",Sync!$P142))</f>
        <v/>
      </c>
      <c r="N142" t="str">
        <f>IF($M142="","",IF(ISNUMBER(Sync!$L142),IF(AND(Sync!$L142&gt;=10000101,Sync!$L142&lt;=99991231),RIGHT("0000"&amp;INT(Sync!$L142/10000),4)&amp;"/"&amp;RIGHT("00"&amp;INT(MOD(Sync!$L142,10000)/100),2)&amp;"/"&amp;RIGHT("00"&amp;MOD(Sync!$L142,100),2),""),IFERROR(RIGHT("0000"&amp;VALUE(TRIM(LEFT(Sync!$L142,FIND("/",Sync!$L142)-1))),4)&amp;"/"&amp;RIGHT("00"&amp;VALUE(TRIM(LEFT(MID(Sync!$L142,FIND("/",Sync!$L142)+1,20),FIND("/",MID(Sync!$L142,FIND("/",Sync!$L142)+1,20))-1))),2)&amp;"/"&amp;RIGHT("00"&amp;VALUE(TRIM(MID(MID(Sync!$L142,FIND("/",Sync!$L142)+1,20),FIND("/",MID(Sync!$L142,FIND("/",Sync!$L142)+1,20))+1,20))),2),"")))</f>
        <v/>
      </c>
    </row>
    <row r="143" spans="1:14" x14ac:dyDescent="0.2">
      <c r="A143" t="str">
        <f>IF(Issues!$B146="","",Issues!$B146)</f>
        <v/>
      </c>
      <c r="B143" t="str">
        <f>IF($A143="","",IF(ISNUMBER(Issues!$C146),IF(AND(Issues!$C146&gt;=10000101,Issues!$C146&lt;=99991231),INT(Issues!$C146/10000),""),IFERROR(VALUE(TRIM(LEFT(Issues!$C146,FIND("/",Issues!$C146)-1))),"")))</f>
        <v/>
      </c>
      <c r="C143" t="str">
        <f>IF(OR($A143="",$B143=""),"",IF(ISNUMBER(Issues!$C146),INT(MOD(Issues!$C146,10000)/100),IFERROR(VALUE(TRIM(LEFT(MID(Issues!$C146,FIND("/",Issues!$C146)+1,20),FIND("/",MID(Issues!$C146,FIND("/",Issues!$C146)+1,20))-1))),"")))</f>
        <v/>
      </c>
      <c r="D143" t="str">
        <f>IF(OR($A143="",$B143=""),"",IF(ISNUMBER(Issues!$C146),MOD(Issues!$C146,100),IFERROR(VALUE(TRIM(MID(MID(Issues!$C146,FIND("/",Issues!$C146)+1,20),FIND("/",MID(Issues!$C146,FIND("/",Issues!$C146)+1,20))+1,20))),"")))</f>
        <v/>
      </c>
      <c r="E143" t="str">
        <f t="shared" si="6"/>
        <v/>
      </c>
      <c r="F143" t="str">
        <f>IF($A143="","",IF(Issues!$D146="",0,Issues!$D146))</f>
        <v/>
      </c>
      <c r="G143" t="str">
        <f>IF($A143="","",Issues!$E146)</f>
        <v/>
      </c>
      <c r="H143" t="str">
        <f t="shared" si="7"/>
        <v/>
      </c>
      <c r="I143" t="str">
        <f t="shared" si="8"/>
        <v/>
      </c>
      <c r="J143" t="str">
        <f>IF($A143="","",Issues!$G146)</f>
        <v/>
      </c>
      <c r="K143" t="str">
        <f>IF(OR($E143="",$E143="نامعتبر"),"",LEFT($E143,4)&amp;MID($E143,6,2)&amp;RIGHT($E143,2)&amp;"|"&amp;RIGHT("00000"&amp;138,5))</f>
        <v/>
      </c>
      <c r="M143" t="str">
        <f>IF(Sync!$M143&lt;&gt;"پاس چک","",IF(Sync!$P143="","",Sync!$P143))</f>
        <v/>
      </c>
      <c r="N143" t="str">
        <f>IF($M143="","",IF(ISNUMBER(Sync!$L143),IF(AND(Sync!$L143&gt;=10000101,Sync!$L143&lt;=99991231),RIGHT("0000"&amp;INT(Sync!$L143/10000),4)&amp;"/"&amp;RIGHT("00"&amp;INT(MOD(Sync!$L143,10000)/100),2)&amp;"/"&amp;RIGHT("00"&amp;MOD(Sync!$L143,100),2),""),IFERROR(RIGHT("0000"&amp;VALUE(TRIM(LEFT(Sync!$L143,FIND("/",Sync!$L143)-1))),4)&amp;"/"&amp;RIGHT("00"&amp;VALUE(TRIM(LEFT(MID(Sync!$L143,FIND("/",Sync!$L143)+1,20),FIND("/",MID(Sync!$L143,FIND("/",Sync!$L143)+1,20))-1))),2)&amp;"/"&amp;RIGHT("00"&amp;VALUE(TRIM(MID(MID(Sync!$L143,FIND("/",Sync!$L143)+1,20),FIND("/",MID(Sync!$L143,FIND("/",Sync!$L143)+1,20))+1,20))),2),"")))</f>
        <v/>
      </c>
    </row>
    <row r="144" spans="1:14" x14ac:dyDescent="0.2">
      <c r="A144" t="str">
        <f>IF(Issues!$B147="","",Issues!$B147)</f>
        <v/>
      </c>
      <c r="B144" t="str">
        <f>IF($A144="","",IF(ISNUMBER(Issues!$C147),IF(AND(Issues!$C147&gt;=10000101,Issues!$C147&lt;=99991231),INT(Issues!$C147/10000),""),IFERROR(VALUE(TRIM(LEFT(Issues!$C147,FIND("/",Issues!$C147)-1))),"")))</f>
        <v/>
      </c>
      <c r="C144" t="str">
        <f>IF(OR($A144="",$B144=""),"",IF(ISNUMBER(Issues!$C147),INT(MOD(Issues!$C147,10000)/100),IFERROR(VALUE(TRIM(LEFT(MID(Issues!$C147,FIND("/",Issues!$C147)+1,20),FIND("/",MID(Issues!$C147,FIND("/",Issues!$C147)+1,20))-1))),"")))</f>
        <v/>
      </c>
      <c r="D144" t="str">
        <f>IF(OR($A144="",$B144=""),"",IF(ISNUMBER(Issues!$C147),MOD(Issues!$C147,100),IFERROR(VALUE(TRIM(MID(MID(Issues!$C147,FIND("/",Issues!$C147)+1,20),FIND("/",MID(Issues!$C147,FIND("/",Issues!$C147)+1,20))+1,20))),"")))</f>
        <v/>
      </c>
      <c r="E144" t="str">
        <f t="shared" si="6"/>
        <v/>
      </c>
      <c r="F144" t="str">
        <f>IF($A144="","",IF(Issues!$D147="",0,Issues!$D147))</f>
        <v/>
      </c>
      <c r="G144" t="str">
        <f>IF($A144="","",Issues!$E147)</f>
        <v/>
      </c>
      <c r="H144" t="str">
        <f t="shared" si="7"/>
        <v/>
      </c>
      <c r="I144" t="str">
        <f t="shared" si="8"/>
        <v/>
      </c>
      <c r="J144" t="str">
        <f>IF($A144="","",Issues!$G147)</f>
        <v/>
      </c>
      <c r="K144" t="str">
        <f>IF(OR($E144="",$E144="نامعتبر"),"",LEFT($E144,4)&amp;MID($E144,6,2)&amp;RIGHT($E144,2)&amp;"|"&amp;RIGHT("00000"&amp;139,5))</f>
        <v/>
      </c>
      <c r="M144" t="str">
        <f>IF(Sync!$M144&lt;&gt;"پاس چک","",IF(Sync!$P144="","",Sync!$P144))</f>
        <v/>
      </c>
      <c r="N144" t="str">
        <f>IF($M144="","",IF(ISNUMBER(Sync!$L144),IF(AND(Sync!$L144&gt;=10000101,Sync!$L144&lt;=99991231),RIGHT("0000"&amp;INT(Sync!$L144/10000),4)&amp;"/"&amp;RIGHT("00"&amp;INT(MOD(Sync!$L144,10000)/100),2)&amp;"/"&amp;RIGHT("00"&amp;MOD(Sync!$L144,100),2),""),IFERROR(RIGHT("0000"&amp;VALUE(TRIM(LEFT(Sync!$L144,FIND("/",Sync!$L144)-1))),4)&amp;"/"&amp;RIGHT("00"&amp;VALUE(TRIM(LEFT(MID(Sync!$L144,FIND("/",Sync!$L144)+1,20),FIND("/",MID(Sync!$L144,FIND("/",Sync!$L144)+1,20))-1))),2)&amp;"/"&amp;RIGHT("00"&amp;VALUE(TRIM(MID(MID(Sync!$L144,FIND("/",Sync!$L144)+1,20),FIND("/",MID(Sync!$L144,FIND("/",Sync!$L144)+1,20))+1,20))),2),"")))</f>
        <v/>
      </c>
    </row>
    <row r="145" spans="1:14" x14ac:dyDescent="0.2">
      <c r="A145" t="str">
        <f>IF(Issues!$B148="","",Issues!$B148)</f>
        <v/>
      </c>
      <c r="B145" t="str">
        <f>IF($A145="","",IF(ISNUMBER(Issues!$C148),IF(AND(Issues!$C148&gt;=10000101,Issues!$C148&lt;=99991231),INT(Issues!$C148/10000),""),IFERROR(VALUE(TRIM(LEFT(Issues!$C148,FIND("/",Issues!$C148)-1))),"")))</f>
        <v/>
      </c>
      <c r="C145" t="str">
        <f>IF(OR($A145="",$B145=""),"",IF(ISNUMBER(Issues!$C148),INT(MOD(Issues!$C148,10000)/100),IFERROR(VALUE(TRIM(LEFT(MID(Issues!$C148,FIND("/",Issues!$C148)+1,20),FIND("/",MID(Issues!$C148,FIND("/",Issues!$C148)+1,20))-1))),"")))</f>
        <v/>
      </c>
      <c r="D145" t="str">
        <f>IF(OR($A145="",$B145=""),"",IF(ISNUMBER(Issues!$C148),MOD(Issues!$C148,100),IFERROR(VALUE(TRIM(MID(MID(Issues!$C148,FIND("/",Issues!$C148)+1,20),FIND("/",MID(Issues!$C148,FIND("/",Issues!$C148)+1,20))+1,20))),"")))</f>
        <v/>
      </c>
      <c r="E145" t="str">
        <f t="shared" si="6"/>
        <v/>
      </c>
      <c r="F145" t="str">
        <f>IF($A145="","",IF(Issues!$D148="",0,Issues!$D148))</f>
        <v/>
      </c>
      <c r="G145" t="str">
        <f>IF($A145="","",Issues!$E148)</f>
        <v/>
      </c>
      <c r="H145" t="str">
        <f t="shared" si="7"/>
        <v/>
      </c>
      <c r="I145" t="str">
        <f t="shared" si="8"/>
        <v/>
      </c>
      <c r="J145" t="str">
        <f>IF($A145="","",Issues!$G148)</f>
        <v/>
      </c>
      <c r="K145" t="str">
        <f>IF(OR($E145="",$E145="نامعتبر"),"",LEFT($E145,4)&amp;MID($E145,6,2)&amp;RIGHT($E145,2)&amp;"|"&amp;RIGHT("00000"&amp;140,5))</f>
        <v/>
      </c>
      <c r="M145" t="str">
        <f>IF(Sync!$M145&lt;&gt;"پاس چک","",IF(Sync!$P145="","",Sync!$P145))</f>
        <v/>
      </c>
      <c r="N145" t="str">
        <f>IF($M145="","",IF(ISNUMBER(Sync!$L145),IF(AND(Sync!$L145&gt;=10000101,Sync!$L145&lt;=99991231),RIGHT("0000"&amp;INT(Sync!$L145/10000),4)&amp;"/"&amp;RIGHT("00"&amp;INT(MOD(Sync!$L145,10000)/100),2)&amp;"/"&amp;RIGHT("00"&amp;MOD(Sync!$L145,100),2),""),IFERROR(RIGHT("0000"&amp;VALUE(TRIM(LEFT(Sync!$L145,FIND("/",Sync!$L145)-1))),4)&amp;"/"&amp;RIGHT("00"&amp;VALUE(TRIM(LEFT(MID(Sync!$L145,FIND("/",Sync!$L145)+1,20),FIND("/",MID(Sync!$L145,FIND("/",Sync!$L145)+1,20))-1))),2)&amp;"/"&amp;RIGHT("00"&amp;VALUE(TRIM(MID(MID(Sync!$L145,FIND("/",Sync!$L145)+1,20),FIND("/",MID(Sync!$L145,FIND("/",Sync!$L145)+1,20))+1,20))),2),"")))</f>
        <v/>
      </c>
    </row>
    <row r="146" spans="1:14" x14ac:dyDescent="0.2">
      <c r="A146" t="str">
        <f>IF(Issues!$B149="","",Issues!$B149)</f>
        <v/>
      </c>
      <c r="B146" t="str">
        <f>IF($A146="","",IF(ISNUMBER(Issues!$C149),IF(AND(Issues!$C149&gt;=10000101,Issues!$C149&lt;=99991231),INT(Issues!$C149/10000),""),IFERROR(VALUE(TRIM(LEFT(Issues!$C149,FIND("/",Issues!$C149)-1))),"")))</f>
        <v/>
      </c>
      <c r="C146" t="str">
        <f>IF(OR($A146="",$B146=""),"",IF(ISNUMBER(Issues!$C149),INT(MOD(Issues!$C149,10000)/100),IFERROR(VALUE(TRIM(LEFT(MID(Issues!$C149,FIND("/",Issues!$C149)+1,20),FIND("/",MID(Issues!$C149,FIND("/",Issues!$C149)+1,20))-1))),"")))</f>
        <v/>
      </c>
      <c r="D146" t="str">
        <f>IF(OR($A146="",$B146=""),"",IF(ISNUMBER(Issues!$C149),MOD(Issues!$C149,100),IFERROR(VALUE(TRIM(MID(MID(Issues!$C149,FIND("/",Issues!$C149)+1,20),FIND("/",MID(Issues!$C149,FIND("/",Issues!$C149)+1,20))+1,20))),"")))</f>
        <v/>
      </c>
      <c r="E146" t="str">
        <f t="shared" si="6"/>
        <v/>
      </c>
      <c r="F146" t="str">
        <f>IF($A146="","",IF(Issues!$D149="",0,Issues!$D149))</f>
        <v/>
      </c>
      <c r="G146" t="str">
        <f>IF($A146="","",Issues!$E149)</f>
        <v/>
      </c>
      <c r="H146" t="str">
        <f t="shared" si="7"/>
        <v/>
      </c>
      <c r="I146" t="str">
        <f t="shared" si="8"/>
        <v/>
      </c>
      <c r="J146" t="str">
        <f>IF($A146="","",Issues!$G149)</f>
        <v/>
      </c>
      <c r="K146" t="str">
        <f>IF(OR($E146="",$E146="نامعتبر"),"",LEFT($E146,4)&amp;MID($E146,6,2)&amp;RIGHT($E146,2)&amp;"|"&amp;RIGHT("00000"&amp;141,5))</f>
        <v/>
      </c>
      <c r="M146" t="str">
        <f>IF(Sync!$M146&lt;&gt;"پاس چک","",IF(Sync!$P146="","",Sync!$P146))</f>
        <v/>
      </c>
      <c r="N146" t="str">
        <f>IF($M146="","",IF(ISNUMBER(Sync!$L146),IF(AND(Sync!$L146&gt;=10000101,Sync!$L146&lt;=99991231),RIGHT("0000"&amp;INT(Sync!$L146/10000),4)&amp;"/"&amp;RIGHT("00"&amp;INT(MOD(Sync!$L146,10000)/100),2)&amp;"/"&amp;RIGHT("00"&amp;MOD(Sync!$L146,100),2),""),IFERROR(RIGHT("0000"&amp;VALUE(TRIM(LEFT(Sync!$L146,FIND("/",Sync!$L146)-1))),4)&amp;"/"&amp;RIGHT("00"&amp;VALUE(TRIM(LEFT(MID(Sync!$L146,FIND("/",Sync!$L146)+1,20),FIND("/",MID(Sync!$L146,FIND("/",Sync!$L146)+1,20))-1))),2)&amp;"/"&amp;RIGHT("00"&amp;VALUE(TRIM(MID(MID(Sync!$L146,FIND("/",Sync!$L146)+1,20),FIND("/",MID(Sync!$L146,FIND("/",Sync!$L146)+1,20))+1,20))),2),"")))</f>
        <v/>
      </c>
    </row>
    <row r="147" spans="1:14" x14ac:dyDescent="0.2">
      <c r="A147" t="str">
        <f>IF(Issues!$B150="","",Issues!$B150)</f>
        <v/>
      </c>
      <c r="B147" t="str">
        <f>IF($A147="","",IF(ISNUMBER(Issues!$C150),IF(AND(Issues!$C150&gt;=10000101,Issues!$C150&lt;=99991231),INT(Issues!$C150/10000),""),IFERROR(VALUE(TRIM(LEFT(Issues!$C150,FIND("/",Issues!$C150)-1))),"")))</f>
        <v/>
      </c>
      <c r="C147" t="str">
        <f>IF(OR($A147="",$B147=""),"",IF(ISNUMBER(Issues!$C150),INT(MOD(Issues!$C150,10000)/100),IFERROR(VALUE(TRIM(LEFT(MID(Issues!$C150,FIND("/",Issues!$C150)+1,20),FIND("/",MID(Issues!$C150,FIND("/",Issues!$C150)+1,20))-1))),"")))</f>
        <v/>
      </c>
      <c r="D147" t="str">
        <f>IF(OR($A147="",$B147=""),"",IF(ISNUMBER(Issues!$C150),MOD(Issues!$C150,100),IFERROR(VALUE(TRIM(MID(MID(Issues!$C150,FIND("/",Issues!$C150)+1,20),FIND("/",MID(Issues!$C150,FIND("/",Issues!$C150)+1,20))+1,20))),"")))</f>
        <v/>
      </c>
      <c r="E147" t="str">
        <f t="shared" si="6"/>
        <v/>
      </c>
      <c r="F147" t="str">
        <f>IF($A147="","",IF(Issues!$D150="",0,Issues!$D150))</f>
        <v/>
      </c>
      <c r="G147" t="str">
        <f>IF($A147="","",Issues!$E150)</f>
        <v/>
      </c>
      <c r="H147" t="str">
        <f t="shared" si="7"/>
        <v/>
      </c>
      <c r="I147" t="str">
        <f t="shared" si="8"/>
        <v/>
      </c>
      <c r="J147" t="str">
        <f>IF($A147="","",Issues!$G150)</f>
        <v/>
      </c>
      <c r="K147" t="str">
        <f>IF(OR($E147="",$E147="نامعتبر"),"",LEFT($E147,4)&amp;MID($E147,6,2)&amp;RIGHT($E147,2)&amp;"|"&amp;RIGHT("00000"&amp;142,5))</f>
        <v/>
      </c>
      <c r="M147" t="str">
        <f>IF(Sync!$M147&lt;&gt;"پاس چک","",IF(Sync!$P147="","",Sync!$P147))</f>
        <v/>
      </c>
      <c r="N147" t="str">
        <f>IF($M147="","",IF(ISNUMBER(Sync!$L147),IF(AND(Sync!$L147&gt;=10000101,Sync!$L147&lt;=99991231),RIGHT("0000"&amp;INT(Sync!$L147/10000),4)&amp;"/"&amp;RIGHT("00"&amp;INT(MOD(Sync!$L147,10000)/100),2)&amp;"/"&amp;RIGHT("00"&amp;MOD(Sync!$L147,100),2),""),IFERROR(RIGHT("0000"&amp;VALUE(TRIM(LEFT(Sync!$L147,FIND("/",Sync!$L147)-1))),4)&amp;"/"&amp;RIGHT("00"&amp;VALUE(TRIM(LEFT(MID(Sync!$L147,FIND("/",Sync!$L147)+1,20),FIND("/",MID(Sync!$L147,FIND("/",Sync!$L147)+1,20))-1))),2)&amp;"/"&amp;RIGHT("00"&amp;VALUE(TRIM(MID(MID(Sync!$L147,FIND("/",Sync!$L147)+1,20),FIND("/",MID(Sync!$L147,FIND("/",Sync!$L147)+1,20))+1,20))),2),"")))</f>
        <v/>
      </c>
    </row>
    <row r="148" spans="1:14" x14ac:dyDescent="0.2">
      <c r="A148" t="str">
        <f>IF(Issues!$B151="","",Issues!$B151)</f>
        <v/>
      </c>
      <c r="B148" t="str">
        <f>IF($A148="","",IF(ISNUMBER(Issues!$C151),IF(AND(Issues!$C151&gt;=10000101,Issues!$C151&lt;=99991231),INT(Issues!$C151/10000),""),IFERROR(VALUE(TRIM(LEFT(Issues!$C151,FIND("/",Issues!$C151)-1))),"")))</f>
        <v/>
      </c>
      <c r="C148" t="str">
        <f>IF(OR($A148="",$B148=""),"",IF(ISNUMBER(Issues!$C151),INT(MOD(Issues!$C151,10000)/100),IFERROR(VALUE(TRIM(LEFT(MID(Issues!$C151,FIND("/",Issues!$C151)+1,20),FIND("/",MID(Issues!$C151,FIND("/",Issues!$C151)+1,20))-1))),"")))</f>
        <v/>
      </c>
      <c r="D148" t="str">
        <f>IF(OR($A148="",$B148=""),"",IF(ISNUMBER(Issues!$C151),MOD(Issues!$C151,100),IFERROR(VALUE(TRIM(MID(MID(Issues!$C151,FIND("/",Issues!$C151)+1,20),FIND("/",MID(Issues!$C151,FIND("/",Issues!$C151)+1,20))+1,20))),"")))</f>
        <v/>
      </c>
      <c r="E148" t="str">
        <f t="shared" si="6"/>
        <v/>
      </c>
      <c r="F148" t="str">
        <f>IF($A148="","",IF(Issues!$D151="",0,Issues!$D151))</f>
        <v/>
      </c>
      <c r="G148" t="str">
        <f>IF($A148="","",Issues!$E151)</f>
        <v/>
      </c>
      <c r="H148" t="str">
        <f t="shared" si="7"/>
        <v/>
      </c>
      <c r="I148" t="str">
        <f t="shared" si="8"/>
        <v/>
      </c>
      <c r="J148" t="str">
        <f>IF($A148="","",Issues!$G151)</f>
        <v/>
      </c>
      <c r="K148" t="str">
        <f>IF(OR($E148="",$E148="نامعتبر"),"",LEFT($E148,4)&amp;MID($E148,6,2)&amp;RIGHT($E148,2)&amp;"|"&amp;RIGHT("00000"&amp;143,5))</f>
        <v/>
      </c>
      <c r="M148" t="str">
        <f>IF(Sync!$M148&lt;&gt;"پاس چک","",IF(Sync!$P148="","",Sync!$P148))</f>
        <v/>
      </c>
      <c r="N148" t="str">
        <f>IF($M148="","",IF(ISNUMBER(Sync!$L148),IF(AND(Sync!$L148&gt;=10000101,Sync!$L148&lt;=99991231),RIGHT("0000"&amp;INT(Sync!$L148/10000),4)&amp;"/"&amp;RIGHT("00"&amp;INT(MOD(Sync!$L148,10000)/100),2)&amp;"/"&amp;RIGHT("00"&amp;MOD(Sync!$L148,100),2),""),IFERROR(RIGHT("0000"&amp;VALUE(TRIM(LEFT(Sync!$L148,FIND("/",Sync!$L148)-1))),4)&amp;"/"&amp;RIGHT("00"&amp;VALUE(TRIM(LEFT(MID(Sync!$L148,FIND("/",Sync!$L148)+1,20),FIND("/",MID(Sync!$L148,FIND("/",Sync!$L148)+1,20))-1))),2)&amp;"/"&amp;RIGHT("00"&amp;VALUE(TRIM(MID(MID(Sync!$L148,FIND("/",Sync!$L148)+1,20),FIND("/",MID(Sync!$L148,FIND("/",Sync!$L148)+1,20))+1,20))),2),"")))</f>
        <v/>
      </c>
    </row>
    <row r="149" spans="1:14" x14ac:dyDescent="0.2">
      <c r="A149" t="str">
        <f>IF(Issues!$B152="","",Issues!$B152)</f>
        <v/>
      </c>
      <c r="B149" t="str">
        <f>IF($A149="","",IF(ISNUMBER(Issues!$C152),IF(AND(Issues!$C152&gt;=10000101,Issues!$C152&lt;=99991231),INT(Issues!$C152/10000),""),IFERROR(VALUE(TRIM(LEFT(Issues!$C152,FIND("/",Issues!$C152)-1))),"")))</f>
        <v/>
      </c>
      <c r="C149" t="str">
        <f>IF(OR($A149="",$B149=""),"",IF(ISNUMBER(Issues!$C152),INT(MOD(Issues!$C152,10000)/100),IFERROR(VALUE(TRIM(LEFT(MID(Issues!$C152,FIND("/",Issues!$C152)+1,20),FIND("/",MID(Issues!$C152,FIND("/",Issues!$C152)+1,20))-1))),"")))</f>
        <v/>
      </c>
      <c r="D149" t="str">
        <f>IF(OR($A149="",$B149=""),"",IF(ISNUMBER(Issues!$C152),MOD(Issues!$C152,100),IFERROR(VALUE(TRIM(MID(MID(Issues!$C152,FIND("/",Issues!$C152)+1,20),FIND("/",MID(Issues!$C152,FIND("/",Issues!$C152)+1,20))+1,20))),"")))</f>
        <v/>
      </c>
      <c r="E149" t="str">
        <f t="shared" si="6"/>
        <v/>
      </c>
      <c r="F149" t="str">
        <f>IF($A149="","",IF(Issues!$D152="",0,Issues!$D152))</f>
        <v/>
      </c>
      <c r="G149" t="str">
        <f>IF($A149="","",Issues!$E152)</f>
        <v/>
      </c>
      <c r="H149" t="str">
        <f t="shared" si="7"/>
        <v/>
      </c>
      <c r="I149" t="str">
        <f t="shared" si="8"/>
        <v/>
      </c>
      <c r="J149" t="str">
        <f>IF($A149="","",Issues!$G152)</f>
        <v/>
      </c>
      <c r="K149" t="str">
        <f>IF(OR($E149="",$E149="نامعتبر"),"",LEFT($E149,4)&amp;MID($E149,6,2)&amp;RIGHT($E149,2)&amp;"|"&amp;RIGHT("00000"&amp;144,5))</f>
        <v/>
      </c>
      <c r="M149" t="str">
        <f>IF(Sync!$M149&lt;&gt;"پاس چک","",IF(Sync!$P149="","",Sync!$P149))</f>
        <v/>
      </c>
      <c r="N149" t="str">
        <f>IF($M149="","",IF(ISNUMBER(Sync!$L149),IF(AND(Sync!$L149&gt;=10000101,Sync!$L149&lt;=99991231),RIGHT("0000"&amp;INT(Sync!$L149/10000),4)&amp;"/"&amp;RIGHT("00"&amp;INT(MOD(Sync!$L149,10000)/100),2)&amp;"/"&amp;RIGHT("00"&amp;MOD(Sync!$L149,100),2),""),IFERROR(RIGHT("0000"&amp;VALUE(TRIM(LEFT(Sync!$L149,FIND("/",Sync!$L149)-1))),4)&amp;"/"&amp;RIGHT("00"&amp;VALUE(TRIM(LEFT(MID(Sync!$L149,FIND("/",Sync!$L149)+1,20),FIND("/",MID(Sync!$L149,FIND("/",Sync!$L149)+1,20))-1))),2)&amp;"/"&amp;RIGHT("00"&amp;VALUE(TRIM(MID(MID(Sync!$L149,FIND("/",Sync!$L149)+1,20),FIND("/",MID(Sync!$L149,FIND("/",Sync!$L149)+1,20))+1,20))),2),"")))</f>
        <v/>
      </c>
    </row>
    <row r="150" spans="1:14" x14ac:dyDescent="0.2">
      <c r="A150" t="str">
        <f>IF(Issues!$B153="","",Issues!$B153)</f>
        <v/>
      </c>
      <c r="B150" t="str">
        <f>IF($A150="","",IF(ISNUMBER(Issues!$C153),IF(AND(Issues!$C153&gt;=10000101,Issues!$C153&lt;=99991231),INT(Issues!$C153/10000),""),IFERROR(VALUE(TRIM(LEFT(Issues!$C153,FIND("/",Issues!$C153)-1))),"")))</f>
        <v/>
      </c>
      <c r="C150" t="str">
        <f>IF(OR($A150="",$B150=""),"",IF(ISNUMBER(Issues!$C153),INT(MOD(Issues!$C153,10000)/100),IFERROR(VALUE(TRIM(LEFT(MID(Issues!$C153,FIND("/",Issues!$C153)+1,20),FIND("/",MID(Issues!$C153,FIND("/",Issues!$C153)+1,20))-1))),"")))</f>
        <v/>
      </c>
      <c r="D150" t="str">
        <f>IF(OR($A150="",$B150=""),"",IF(ISNUMBER(Issues!$C153),MOD(Issues!$C153,100),IFERROR(VALUE(TRIM(MID(MID(Issues!$C153,FIND("/",Issues!$C153)+1,20),FIND("/",MID(Issues!$C153,FIND("/",Issues!$C153)+1,20))+1,20))),"")))</f>
        <v/>
      </c>
      <c r="E150" t="str">
        <f t="shared" si="6"/>
        <v/>
      </c>
      <c r="F150" t="str">
        <f>IF($A150="","",IF(Issues!$D153="",0,Issues!$D153))</f>
        <v/>
      </c>
      <c r="G150" t="str">
        <f>IF($A150="","",Issues!$E153)</f>
        <v/>
      </c>
      <c r="H150" t="str">
        <f t="shared" si="7"/>
        <v/>
      </c>
      <c r="I150" t="str">
        <f t="shared" si="8"/>
        <v/>
      </c>
      <c r="J150" t="str">
        <f>IF($A150="","",Issues!$G153)</f>
        <v/>
      </c>
      <c r="K150" t="str">
        <f>IF(OR($E150="",$E150="نامعتبر"),"",LEFT($E150,4)&amp;MID($E150,6,2)&amp;RIGHT($E150,2)&amp;"|"&amp;RIGHT("00000"&amp;145,5))</f>
        <v/>
      </c>
      <c r="M150" t="str">
        <f>IF(Sync!$M150&lt;&gt;"پاس چک","",IF(Sync!$P150="","",Sync!$P150))</f>
        <v/>
      </c>
      <c r="N150" t="str">
        <f>IF($M150="","",IF(ISNUMBER(Sync!$L150),IF(AND(Sync!$L150&gt;=10000101,Sync!$L150&lt;=99991231),RIGHT("0000"&amp;INT(Sync!$L150/10000),4)&amp;"/"&amp;RIGHT("00"&amp;INT(MOD(Sync!$L150,10000)/100),2)&amp;"/"&amp;RIGHT("00"&amp;MOD(Sync!$L150,100),2),""),IFERROR(RIGHT("0000"&amp;VALUE(TRIM(LEFT(Sync!$L150,FIND("/",Sync!$L150)-1))),4)&amp;"/"&amp;RIGHT("00"&amp;VALUE(TRIM(LEFT(MID(Sync!$L150,FIND("/",Sync!$L150)+1,20),FIND("/",MID(Sync!$L150,FIND("/",Sync!$L150)+1,20))-1))),2)&amp;"/"&amp;RIGHT("00"&amp;VALUE(TRIM(MID(MID(Sync!$L150,FIND("/",Sync!$L150)+1,20),FIND("/",MID(Sync!$L150,FIND("/",Sync!$L150)+1,20))+1,20))),2),"")))</f>
        <v/>
      </c>
    </row>
    <row r="151" spans="1:14" x14ac:dyDescent="0.2">
      <c r="A151" t="str">
        <f>IF(Issues!$B154="","",Issues!$B154)</f>
        <v/>
      </c>
      <c r="B151" t="str">
        <f>IF($A151="","",IF(ISNUMBER(Issues!$C154),IF(AND(Issues!$C154&gt;=10000101,Issues!$C154&lt;=99991231),INT(Issues!$C154/10000),""),IFERROR(VALUE(TRIM(LEFT(Issues!$C154,FIND("/",Issues!$C154)-1))),"")))</f>
        <v/>
      </c>
      <c r="C151" t="str">
        <f>IF(OR($A151="",$B151=""),"",IF(ISNUMBER(Issues!$C154),INT(MOD(Issues!$C154,10000)/100),IFERROR(VALUE(TRIM(LEFT(MID(Issues!$C154,FIND("/",Issues!$C154)+1,20),FIND("/",MID(Issues!$C154,FIND("/",Issues!$C154)+1,20))-1))),"")))</f>
        <v/>
      </c>
      <c r="D151" t="str">
        <f>IF(OR($A151="",$B151=""),"",IF(ISNUMBER(Issues!$C154),MOD(Issues!$C154,100),IFERROR(VALUE(TRIM(MID(MID(Issues!$C154,FIND("/",Issues!$C154)+1,20),FIND("/",MID(Issues!$C154,FIND("/",Issues!$C154)+1,20))+1,20))),"")))</f>
        <v/>
      </c>
      <c r="E151" t="str">
        <f t="shared" si="6"/>
        <v/>
      </c>
      <c r="F151" t="str">
        <f>IF($A151="","",IF(Issues!$D154="",0,Issues!$D154))</f>
        <v/>
      </c>
      <c r="G151" t="str">
        <f>IF($A151="","",Issues!$E154)</f>
        <v/>
      </c>
      <c r="H151" t="str">
        <f t="shared" si="7"/>
        <v/>
      </c>
      <c r="I151" t="str">
        <f t="shared" si="8"/>
        <v/>
      </c>
      <c r="J151" t="str">
        <f>IF($A151="","",Issues!$G154)</f>
        <v/>
      </c>
      <c r="K151" t="str">
        <f>IF(OR($E151="",$E151="نامعتبر"),"",LEFT($E151,4)&amp;MID($E151,6,2)&amp;RIGHT($E151,2)&amp;"|"&amp;RIGHT("00000"&amp;146,5))</f>
        <v/>
      </c>
      <c r="M151" t="str">
        <f>IF(Sync!$M151&lt;&gt;"پاس چک","",IF(Sync!$P151="","",Sync!$P151))</f>
        <v/>
      </c>
      <c r="N151" t="str">
        <f>IF($M151="","",IF(ISNUMBER(Sync!$L151),IF(AND(Sync!$L151&gt;=10000101,Sync!$L151&lt;=99991231),RIGHT("0000"&amp;INT(Sync!$L151/10000),4)&amp;"/"&amp;RIGHT("00"&amp;INT(MOD(Sync!$L151,10000)/100),2)&amp;"/"&amp;RIGHT("00"&amp;MOD(Sync!$L151,100),2),""),IFERROR(RIGHT("0000"&amp;VALUE(TRIM(LEFT(Sync!$L151,FIND("/",Sync!$L151)-1))),4)&amp;"/"&amp;RIGHT("00"&amp;VALUE(TRIM(LEFT(MID(Sync!$L151,FIND("/",Sync!$L151)+1,20),FIND("/",MID(Sync!$L151,FIND("/",Sync!$L151)+1,20))-1))),2)&amp;"/"&amp;RIGHT("00"&amp;VALUE(TRIM(MID(MID(Sync!$L151,FIND("/",Sync!$L151)+1,20),FIND("/",MID(Sync!$L151,FIND("/",Sync!$L151)+1,20))+1,20))),2),"")))</f>
        <v/>
      </c>
    </row>
    <row r="152" spans="1:14" x14ac:dyDescent="0.2">
      <c r="A152" t="str">
        <f>IF(Issues!$B155="","",Issues!$B155)</f>
        <v/>
      </c>
      <c r="B152" t="str">
        <f>IF($A152="","",IF(ISNUMBER(Issues!$C155),IF(AND(Issues!$C155&gt;=10000101,Issues!$C155&lt;=99991231),INT(Issues!$C155/10000),""),IFERROR(VALUE(TRIM(LEFT(Issues!$C155,FIND("/",Issues!$C155)-1))),"")))</f>
        <v/>
      </c>
      <c r="C152" t="str">
        <f>IF(OR($A152="",$B152=""),"",IF(ISNUMBER(Issues!$C155),INT(MOD(Issues!$C155,10000)/100),IFERROR(VALUE(TRIM(LEFT(MID(Issues!$C155,FIND("/",Issues!$C155)+1,20),FIND("/",MID(Issues!$C155,FIND("/",Issues!$C155)+1,20))-1))),"")))</f>
        <v/>
      </c>
      <c r="D152" t="str">
        <f>IF(OR($A152="",$B152=""),"",IF(ISNUMBER(Issues!$C155),MOD(Issues!$C155,100),IFERROR(VALUE(TRIM(MID(MID(Issues!$C155,FIND("/",Issues!$C155)+1,20),FIND("/",MID(Issues!$C155,FIND("/",Issues!$C155)+1,20))+1,20))),"")))</f>
        <v/>
      </c>
      <c r="E152" t="str">
        <f t="shared" si="6"/>
        <v/>
      </c>
      <c r="F152" t="str">
        <f>IF($A152="","",IF(Issues!$D155="",0,Issues!$D155))</f>
        <v/>
      </c>
      <c r="G152" t="str">
        <f>IF($A152="","",Issues!$E155)</f>
        <v/>
      </c>
      <c r="H152" t="str">
        <f t="shared" si="7"/>
        <v/>
      </c>
      <c r="I152" t="str">
        <f t="shared" si="8"/>
        <v/>
      </c>
      <c r="J152" t="str">
        <f>IF($A152="","",Issues!$G155)</f>
        <v/>
      </c>
      <c r="K152" t="str">
        <f>IF(OR($E152="",$E152="نامعتبر"),"",LEFT($E152,4)&amp;MID($E152,6,2)&amp;RIGHT($E152,2)&amp;"|"&amp;RIGHT("00000"&amp;147,5))</f>
        <v/>
      </c>
      <c r="M152" t="str">
        <f>IF(Sync!$M152&lt;&gt;"پاس چک","",IF(Sync!$P152="","",Sync!$P152))</f>
        <v/>
      </c>
      <c r="N152" t="str">
        <f>IF($M152="","",IF(ISNUMBER(Sync!$L152),IF(AND(Sync!$L152&gt;=10000101,Sync!$L152&lt;=99991231),RIGHT("0000"&amp;INT(Sync!$L152/10000),4)&amp;"/"&amp;RIGHT("00"&amp;INT(MOD(Sync!$L152,10000)/100),2)&amp;"/"&amp;RIGHT("00"&amp;MOD(Sync!$L152,100),2),""),IFERROR(RIGHT("0000"&amp;VALUE(TRIM(LEFT(Sync!$L152,FIND("/",Sync!$L152)-1))),4)&amp;"/"&amp;RIGHT("00"&amp;VALUE(TRIM(LEFT(MID(Sync!$L152,FIND("/",Sync!$L152)+1,20),FIND("/",MID(Sync!$L152,FIND("/",Sync!$L152)+1,20))-1))),2)&amp;"/"&amp;RIGHT("00"&amp;VALUE(TRIM(MID(MID(Sync!$L152,FIND("/",Sync!$L152)+1,20),FIND("/",MID(Sync!$L152,FIND("/",Sync!$L152)+1,20))+1,20))),2),"")))</f>
        <v/>
      </c>
    </row>
    <row r="153" spans="1:14" x14ac:dyDescent="0.2">
      <c r="A153" t="str">
        <f>IF(Issues!$B156="","",Issues!$B156)</f>
        <v/>
      </c>
      <c r="B153" t="str">
        <f>IF($A153="","",IF(ISNUMBER(Issues!$C156),IF(AND(Issues!$C156&gt;=10000101,Issues!$C156&lt;=99991231),INT(Issues!$C156/10000),""),IFERROR(VALUE(TRIM(LEFT(Issues!$C156,FIND("/",Issues!$C156)-1))),"")))</f>
        <v/>
      </c>
      <c r="C153" t="str">
        <f>IF(OR($A153="",$B153=""),"",IF(ISNUMBER(Issues!$C156),INT(MOD(Issues!$C156,10000)/100),IFERROR(VALUE(TRIM(LEFT(MID(Issues!$C156,FIND("/",Issues!$C156)+1,20),FIND("/",MID(Issues!$C156,FIND("/",Issues!$C156)+1,20))-1))),"")))</f>
        <v/>
      </c>
      <c r="D153" t="str">
        <f>IF(OR($A153="",$B153=""),"",IF(ISNUMBER(Issues!$C156),MOD(Issues!$C156,100),IFERROR(VALUE(TRIM(MID(MID(Issues!$C156,FIND("/",Issues!$C156)+1,20),FIND("/",MID(Issues!$C156,FIND("/",Issues!$C156)+1,20))+1,20))),"")))</f>
        <v/>
      </c>
      <c r="E153" t="str">
        <f t="shared" si="6"/>
        <v/>
      </c>
      <c r="F153" t="str">
        <f>IF($A153="","",IF(Issues!$D156="",0,Issues!$D156))</f>
        <v/>
      </c>
      <c r="G153" t="str">
        <f>IF($A153="","",Issues!$E156)</f>
        <v/>
      </c>
      <c r="H153" t="str">
        <f t="shared" si="7"/>
        <v/>
      </c>
      <c r="I153" t="str">
        <f t="shared" si="8"/>
        <v/>
      </c>
      <c r="J153" t="str">
        <f>IF($A153="","",Issues!$G156)</f>
        <v/>
      </c>
      <c r="K153" t="str">
        <f>IF(OR($E153="",$E153="نامعتبر"),"",LEFT($E153,4)&amp;MID($E153,6,2)&amp;RIGHT($E153,2)&amp;"|"&amp;RIGHT("00000"&amp;148,5))</f>
        <v/>
      </c>
      <c r="M153" t="str">
        <f>IF(Sync!$M153&lt;&gt;"پاس چک","",IF(Sync!$P153="","",Sync!$P153))</f>
        <v/>
      </c>
      <c r="N153" t="str">
        <f>IF($M153="","",IF(ISNUMBER(Sync!$L153),IF(AND(Sync!$L153&gt;=10000101,Sync!$L153&lt;=99991231),RIGHT("0000"&amp;INT(Sync!$L153/10000),4)&amp;"/"&amp;RIGHT("00"&amp;INT(MOD(Sync!$L153,10000)/100),2)&amp;"/"&amp;RIGHT("00"&amp;MOD(Sync!$L153,100),2),""),IFERROR(RIGHT("0000"&amp;VALUE(TRIM(LEFT(Sync!$L153,FIND("/",Sync!$L153)-1))),4)&amp;"/"&amp;RIGHT("00"&amp;VALUE(TRIM(LEFT(MID(Sync!$L153,FIND("/",Sync!$L153)+1,20),FIND("/",MID(Sync!$L153,FIND("/",Sync!$L153)+1,20))-1))),2)&amp;"/"&amp;RIGHT("00"&amp;VALUE(TRIM(MID(MID(Sync!$L153,FIND("/",Sync!$L153)+1,20),FIND("/",MID(Sync!$L153,FIND("/",Sync!$L153)+1,20))+1,20))),2),"")))</f>
        <v/>
      </c>
    </row>
    <row r="154" spans="1:14" x14ac:dyDescent="0.2">
      <c r="A154" t="str">
        <f>IF(Issues!$B157="","",Issues!$B157)</f>
        <v/>
      </c>
      <c r="B154" t="str">
        <f>IF($A154="","",IF(ISNUMBER(Issues!$C157),IF(AND(Issues!$C157&gt;=10000101,Issues!$C157&lt;=99991231),INT(Issues!$C157/10000),""),IFERROR(VALUE(TRIM(LEFT(Issues!$C157,FIND("/",Issues!$C157)-1))),"")))</f>
        <v/>
      </c>
      <c r="C154" t="str">
        <f>IF(OR($A154="",$B154=""),"",IF(ISNUMBER(Issues!$C157),INT(MOD(Issues!$C157,10000)/100),IFERROR(VALUE(TRIM(LEFT(MID(Issues!$C157,FIND("/",Issues!$C157)+1,20),FIND("/",MID(Issues!$C157,FIND("/",Issues!$C157)+1,20))-1))),"")))</f>
        <v/>
      </c>
      <c r="D154" t="str">
        <f>IF(OR($A154="",$B154=""),"",IF(ISNUMBER(Issues!$C157),MOD(Issues!$C157,100),IFERROR(VALUE(TRIM(MID(MID(Issues!$C157,FIND("/",Issues!$C157)+1,20),FIND("/",MID(Issues!$C157,FIND("/",Issues!$C157)+1,20))+1,20))),"")))</f>
        <v/>
      </c>
      <c r="E154" t="str">
        <f t="shared" si="6"/>
        <v/>
      </c>
      <c r="F154" t="str">
        <f>IF($A154="","",IF(Issues!$D157="",0,Issues!$D157))</f>
        <v/>
      </c>
      <c r="G154" t="str">
        <f>IF($A154="","",Issues!$E157)</f>
        <v/>
      </c>
      <c r="H154" t="str">
        <f t="shared" si="7"/>
        <v/>
      </c>
      <c r="I154" t="str">
        <f t="shared" si="8"/>
        <v/>
      </c>
      <c r="J154" t="str">
        <f>IF($A154="","",Issues!$G157)</f>
        <v/>
      </c>
      <c r="K154" t="str">
        <f>IF(OR($E154="",$E154="نامعتبر"),"",LEFT($E154,4)&amp;MID($E154,6,2)&amp;RIGHT($E154,2)&amp;"|"&amp;RIGHT("00000"&amp;149,5))</f>
        <v/>
      </c>
      <c r="M154" t="str">
        <f>IF(Sync!$M154&lt;&gt;"پاس چک","",IF(Sync!$P154="","",Sync!$P154))</f>
        <v/>
      </c>
      <c r="N154" t="str">
        <f>IF($M154="","",IF(ISNUMBER(Sync!$L154),IF(AND(Sync!$L154&gt;=10000101,Sync!$L154&lt;=99991231),RIGHT("0000"&amp;INT(Sync!$L154/10000),4)&amp;"/"&amp;RIGHT("00"&amp;INT(MOD(Sync!$L154,10000)/100),2)&amp;"/"&amp;RIGHT("00"&amp;MOD(Sync!$L154,100),2),""),IFERROR(RIGHT("0000"&amp;VALUE(TRIM(LEFT(Sync!$L154,FIND("/",Sync!$L154)-1))),4)&amp;"/"&amp;RIGHT("00"&amp;VALUE(TRIM(LEFT(MID(Sync!$L154,FIND("/",Sync!$L154)+1,20),FIND("/",MID(Sync!$L154,FIND("/",Sync!$L154)+1,20))-1))),2)&amp;"/"&amp;RIGHT("00"&amp;VALUE(TRIM(MID(MID(Sync!$L154,FIND("/",Sync!$L154)+1,20),FIND("/",MID(Sync!$L154,FIND("/",Sync!$L154)+1,20))+1,20))),2),"")))</f>
        <v/>
      </c>
    </row>
    <row r="155" spans="1:14" x14ac:dyDescent="0.2">
      <c r="A155" t="str">
        <f>IF(Issues!$B158="","",Issues!$B158)</f>
        <v/>
      </c>
      <c r="B155" t="str">
        <f>IF($A155="","",IF(ISNUMBER(Issues!$C158),IF(AND(Issues!$C158&gt;=10000101,Issues!$C158&lt;=99991231),INT(Issues!$C158/10000),""),IFERROR(VALUE(TRIM(LEFT(Issues!$C158,FIND("/",Issues!$C158)-1))),"")))</f>
        <v/>
      </c>
      <c r="C155" t="str">
        <f>IF(OR($A155="",$B155=""),"",IF(ISNUMBER(Issues!$C158),INT(MOD(Issues!$C158,10000)/100),IFERROR(VALUE(TRIM(LEFT(MID(Issues!$C158,FIND("/",Issues!$C158)+1,20),FIND("/",MID(Issues!$C158,FIND("/",Issues!$C158)+1,20))-1))),"")))</f>
        <v/>
      </c>
      <c r="D155" t="str">
        <f>IF(OR($A155="",$B155=""),"",IF(ISNUMBER(Issues!$C158),MOD(Issues!$C158,100),IFERROR(VALUE(TRIM(MID(MID(Issues!$C158,FIND("/",Issues!$C158)+1,20),FIND("/",MID(Issues!$C158,FIND("/",Issues!$C158)+1,20))+1,20))),"")))</f>
        <v/>
      </c>
      <c r="E155" t="str">
        <f t="shared" si="6"/>
        <v/>
      </c>
      <c r="F155" t="str">
        <f>IF($A155="","",IF(Issues!$D158="",0,Issues!$D158))</f>
        <v/>
      </c>
      <c r="G155" t="str">
        <f>IF($A155="","",Issues!$E158)</f>
        <v/>
      </c>
      <c r="H155" t="str">
        <f t="shared" si="7"/>
        <v/>
      </c>
      <c r="I155" t="str">
        <f t="shared" si="8"/>
        <v/>
      </c>
      <c r="J155" t="str">
        <f>IF($A155="","",Issues!$G158)</f>
        <v/>
      </c>
      <c r="K155" t="str">
        <f>IF(OR($E155="",$E155="نامعتبر"),"",LEFT($E155,4)&amp;MID($E155,6,2)&amp;RIGHT($E155,2)&amp;"|"&amp;RIGHT("00000"&amp;150,5))</f>
        <v/>
      </c>
      <c r="M155" t="str">
        <f>IF(Sync!$M155&lt;&gt;"پاس چک","",IF(Sync!$P155="","",Sync!$P155))</f>
        <v/>
      </c>
      <c r="N155" t="str">
        <f>IF($M155="","",IF(ISNUMBER(Sync!$L155),IF(AND(Sync!$L155&gt;=10000101,Sync!$L155&lt;=99991231),RIGHT("0000"&amp;INT(Sync!$L155/10000),4)&amp;"/"&amp;RIGHT("00"&amp;INT(MOD(Sync!$L155,10000)/100),2)&amp;"/"&amp;RIGHT("00"&amp;MOD(Sync!$L155,100),2),""),IFERROR(RIGHT("0000"&amp;VALUE(TRIM(LEFT(Sync!$L155,FIND("/",Sync!$L155)-1))),4)&amp;"/"&amp;RIGHT("00"&amp;VALUE(TRIM(LEFT(MID(Sync!$L155,FIND("/",Sync!$L155)+1,20),FIND("/",MID(Sync!$L155,FIND("/",Sync!$L155)+1,20))-1))),2)&amp;"/"&amp;RIGHT("00"&amp;VALUE(TRIM(MID(MID(Sync!$L155,FIND("/",Sync!$L155)+1,20),FIND("/",MID(Sync!$L155,FIND("/",Sync!$L155)+1,20))+1,20))),2),"")))</f>
        <v/>
      </c>
    </row>
    <row r="156" spans="1:14" x14ac:dyDescent="0.2">
      <c r="A156" t="str">
        <f>IF(Issues!$B159="","",Issues!$B159)</f>
        <v/>
      </c>
      <c r="B156" t="str">
        <f>IF($A156="","",IF(ISNUMBER(Issues!$C159),IF(AND(Issues!$C159&gt;=10000101,Issues!$C159&lt;=99991231),INT(Issues!$C159/10000),""),IFERROR(VALUE(TRIM(LEFT(Issues!$C159,FIND("/",Issues!$C159)-1))),"")))</f>
        <v/>
      </c>
      <c r="C156" t="str">
        <f>IF(OR($A156="",$B156=""),"",IF(ISNUMBER(Issues!$C159),INT(MOD(Issues!$C159,10000)/100),IFERROR(VALUE(TRIM(LEFT(MID(Issues!$C159,FIND("/",Issues!$C159)+1,20),FIND("/",MID(Issues!$C159,FIND("/",Issues!$C159)+1,20))-1))),"")))</f>
        <v/>
      </c>
      <c r="D156" t="str">
        <f>IF(OR($A156="",$B156=""),"",IF(ISNUMBER(Issues!$C159),MOD(Issues!$C159,100),IFERROR(VALUE(TRIM(MID(MID(Issues!$C159,FIND("/",Issues!$C159)+1,20),FIND("/",MID(Issues!$C159,FIND("/",Issues!$C159)+1,20))+1,20))),"")))</f>
        <v/>
      </c>
      <c r="E156" t="str">
        <f t="shared" si="6"/>
        <v/>
      </c>
      <c r="F156" t="str">
        <f>IF($A156="","",IF(Issues!$D159="",0,Issues!$D159))</f>
        <v/>
      </c>
      <c r="G156" t="str">
        <f>IF($A156="","",Issues!$E159)</f>
        <v/>
      </c>
      <c r="H156" t="str">
        <f t="shared" si="7"/>
        <v/>
      </c>
      <c r="I156" t="str">
        <f t="shared" si="8"/>
        <v/>
      </c>
      <c r="J156" t="str">
        <f>IF($A156="","",Issues!$G159)</f>
        <v/>
      </c>
      <c r="K156" t="str">
        <f>IF(OR($E156="",$E156="نامعتبر"),"",LEFT($E156,4)&amp;MID($E156,6,2)&amp;RIGHT($E156,2)&amp;"|"&amp;RIGHT("00000"&amp;151,5))</f>
        <v/>
      </c>
      <c r="M156" t="str">
        <f>IF(Sync!$M156&lt;&gt;"پاس چک","",IF(Sync!$P156="","",Sync!$P156))</f>
        <v/>
      </c>
      <c r="N156" t="str">
        <f>IF($M156="","",IF(ISNUMBER(Sync!$L156),IF(AND(Sync!$L156&gt;=10000101,Sync!$L156&lt;=99991231),RIGHT("0000"&amp;INT(Sync!$L156/10000),4)&amp;"/"&amp;RIGHT("00"&amp;INT(MOD(Sync!$L156,10000)/100),2)&amp;"/"&amp;RIGHT("00"&amp;MOD(Sync!$L156,100),2),""),IFERROR(RIGHT("0000"&amp;VALUE(TRIM(LEFT(Sync!$L156,FIND("/",Sync!$L156)-1))),4)&amp;"/"&amp;RIGHT("00"&amp;VALUE(TRIM(LEFT(MID(Sync!$L156,FIND("/",Sync!$L156)+1,20),FIND("/",MID(Sync!$L156,FIND("/",Sync!$L156)+1,20))-1))),2)&amp;"/"&amp;RIGHT("00"&amp;VALUE(TRIM(MID(MID(Sync!$L156,FIND("/",Sync!$L156)+1,20),FIND("/",MID(Sync!$L156,FIND("/",Sync!$L156)+1,20))+1,20))),2),"")))</f>
        <v/>
      </c>
    </row>
    <row r="157" spans="1:14" x14ac:dyDescent="0.2">
      <c r="A157" t="str">
        <f>IF(Issues!$B160="","",Issues!$B160)</f>
        <v/>
      </c>
      <c r="B157" t="str">
        <f>IF($A157="","",IF(ISNUMBER(Issues!$C160),IF(AND(Issues!$C160&gt;=10000101,Issues!$C160&lt;=99991231),INT(Issues!$C160/10000),""),IFERROR(VALUE(TRIM(LEFT(Issues!$C160,FIND("/",Issues!$C160)-1))),"")))</f>
        <v/>
      </c>
      <c r="C157" t="str">
        <f>IF(OR($A157="",$B157=""),"",IF(ISNUMBER(Issues!$C160),INT(MOD(Issues!$C160,10000)/100),IFERROR(VALUE(TRIM(LEFT(MID(Issues!$C160,FIND("/",Issues!$C160)+1,20),FIND("/",MID(Issues!$C160,FIND("/",Issues!$C160)+1,20))-1))),"")))</f>
        <v/>
      </c>
      <c r="D157" t="str">
        <f>IF(OR($A157="",$B157=""),"",IF(ISNUMBER(Issues!$C160),MOD(Issues!$C160,100),IFERROR(VALUE(TRIM(MID(MID(Issues!$C160,FIND("/",Issues!$C160)+1,20),FIND("/",MID(Issues!$C160,FIND("/",Issues!$C160)+1,20))+1,20))),"")))</f>
        <v/>
      </c>
      <c r="E157" t="str">
        <f t="shared" si="6"/>
        <v/>
      </c>
      <c r="F157" t="str">
        <f>IF($A157="","",IF(Issues!$D160="",0,Issues!$D160))</f>
        <v/>
      </c>
      <c r="G157" t="str">
        <f>IF($A157="","",Issues!$E160)</f>
        <v/>
      </c>
      <c r="H157" t="str">
        <f t="shared" si="7"/>
        <v/>
      </c>
      <c r="I157" t="str">
        <f t="shared" si="8"/>
        <v/>
      </c>
      <c r="J157" t="str">
        <f>IF($A157="","",Issues!$G160)</f>
        <v/>
      </c>
      <c r="K157" t="str">
        <f>IF(OR($E157="",$E157="نامعتبر"),"",LEFT($E157,4)&amp;MID($E157,6,2)&amp;RIGHT($E157,2)&amp;"|"&amp;RIGHT("00000"&amp;152,5))</f>
        <v/>
      </c>
      <c r="M157" t="str">
        <f>IF(Sync!$M157&lt;&gt;"پاس چک","",IF(Sync!$P157="","",Sync!$P157))</f>
        <v/>
      </c>
      <c r="N157" t="str">
        <f>IF($M157="","",IF(ISNUMBER(Sync!$L157),IF(AND(Sync!$L157&gt;=10000101,Sync!$L157&lt;=99991231),RIGHT("0000"&amp;INT(Sync!$L157/10000),4)&amp;"/"&amp;RIGHT("00"&amp;INT(MOD(Sync!$L157,10000)/100),2)&amp;"/"&amp;RIGHT("00"&amp;MOD(Sync!$L157,100),2),""),IFERROR(RIGHT("0000"&amp;VALUE(TRIM(LEFT(Sync!$L157,FIND("/",Sync!$L157)-1))),4)&amp;"/"&amp;RIGHT("00"&amp;VALUE(TRIM(LEFT(MID(Sync!$L157,FIND("/",Sync!$L157)+1,20),FIND("/",MID(Sync!$L157,FIND("/",Sync!$L157)+1,20))-1))),2)&amp;"/"&amp;RIGHT("00"&amp;VALUE(TRIM(MID(MID(Sync!$L157,FIND("/",Sync!$L157)+1,20),FIND("/",MID(Sync!$L157,FIND("/",Sync!$L157)+1,20))+1,20))),2),"")))</f>
        <v/>
      </c>
    </row>
    <row r="158" spans="1:14" x14ac:dyDescent="0.2">
      <c r="A158" t="str">
        <f>IF(Issues!$B161="","",Issues!$B161)</f>
        <v/>
      </c>
      <c r="B158" t="str">
        <f>IF($A158="","",IF(ISNUMBER(Issues!$C161),IF(AND(Issues!$C161&gt;=10000101,Issues!$C161&lt;=99991231),INT(Issues!$C161/10000),""),IFERROR(VALUE(TRIM(LEFT(Issues!$C161,FIND("/",Issues!$C161)-1))),"")))</f>
        <v/>
      </c>
      <c r="C158" t="str">
        <f>IF(OR($A158="",$B158=""),"",IF(ISNUMBER(Issues!$C161),INT(MOD(Issues!$C161,10000)/100),IFERROR(VALUE(TRIM(LEFT(MID(Issues!$C161,FIND("/",Issues!$C161)+1,20),FIND("/",MID(Issues!$C161,FIND("/",Issues!$C161)+1,20))-1))),"")))</f>
        <v/>
      </c>
      <c r="D158" t="str">
        <f>IF(OR($A158="",$B158=""),"",IF(ISNUMBER(Issues!$C161),MOD(Issues!$C161,100),IFERROR(VALUE(TRIM(MID(MID(Issues!$C161,FIND("/",Issues!$C161)+1,20),FIND("/",MID(Issues!$C161,FIND("/",Issues!$C161)+1,20))+1,20))),"")))</f>
        <v/>
      </c>
      <c r="E158" t="str">
        <f t="shared" si="6"/>
        <v/>
      </c>
      <c r="F158" t="str">
        <f>IF($A158="","",IF(Issues!$D161="",0,Issues!$D161))</f>
        <v/>
      </c>
      <c r="G158" t="str">
        <f>IF($A158="","",Issues!$E161)</f>
        <v/>
      </c>
      <c r="H158" t="str">
        <f t="shared" si="7"/>
        <v/>
      </c>
      <c r="I158" t="str">
        <f t="shared" si="8"/>
        <v/>
      </c>
      <c r="J158" t="str">
        <f>IF($A158="","",Issues!$G161)</f>
        <v/>
      </c>
      <c r="K158" t="str">
        <f>IF(OR($E158="",$E158="نامعتبر"),"",LEFT($E158,4)&amp;MID($E158,6,2)&amp;RIGHT($E158,2)&amp;"|"&amp;RIGHT("00000"&amp;153,5))</f>
        <v/>
      </c>
      <c r="M158" t="str">
        <f>IF(Sync!$M158&lt;&gt;"پاس چک","",IF(Sync!$P158="","",Sync!$P158))</f>
        <v/>
      </c>
      <c r="N158" t="str">
        <f>IF($M158="","",IF(ISNUMBER(Sync!$L158),IF(AND(Sync!$L158&gt;=10000101,Sync!$L158&lt;=99991231),RIGHT("0000"&amp;INT(Sync!$L158/10000),4)&amp;"/"&amp;RIGHT("00"&amp;INT(MOD(Sync!$L158,10000)/100),2)&amp;"/"&amp;RIGHT("00"&amp;MOD(Sync!$L158,100),2),""),IFERROR(RIGHT("0000"&amp;VALUE(TRIM(LEFT(Sync!$L158,FIND("/",Sync!$L158)-1))),4)&amp;"/"&amp;RIGHT("00"&amp;VALUE(TRIM(LEFT(MID(Sync!$L158,FIND("/",Sync!$L158)+1,20),FIND("/",MID(Sync!$L158,FIND("/",Sync!$L158)+1,20))-1))),2)&amp;"/"&amp;RIGHT("00"&amp;VALUE(TRIM(MID(MID(Sync!$L158,FIND("/",Sync!$L158)+1,20),FIND("/",MID(Sync!$L158,FIND("/",Sync!$L158)+1,20))+1,20))),2),"")))</f>
        <v/>
      </c>
    </row>
    <row r="159" spans="1:14" x14ac:dyDescent="0.2">
      <c r="A159" t="str">
        <f>IF(Issues!$B162="","",Issues!$B162)</f>
        <v/>
      </c>
      <c r="B159" t="str">
        <f>IF($A159="","",IF(ISNUMBER(Issues!$C162),IF(AND(Issues!$C162&gt;=10000101,Issues!$C162&lt;=99991231),INT(Issues!$C162/10000),""),IFERROR(VALUE(TRIM(LEFT(Issues!$C162,FIND("/",Issues!$C162)-1))),"")))</f>
        <v/>
      </c>
      <c r="C159" t="str">
        <f>IF(OR($A159="",$B159=""),"",IF(ISNUMBER(Issues!$C162),INT(MOD(Issues!$C162,10000)/100),IFERROR(VALUE(TRIM(LEFT(MID(Issues!$C162,FIND("/",Issues!$C162)+1,20),FIND("/",MID(Issues!$C162,FIND("/",Issues!$C162)+1,20))-1))),"")))</f>
        <v/>
      </c>
      <c r="D159" t="str">
        <f>IF(OR($A159="",$B159=""),"",IF(ISNUMBER(Issues!$C162),MOD(Issues!$C162,100),IFERROR(VALUE(TRIM(MID(MID(Issues!$C162,FIND("/",Issues!$C162)+1,20),FIND("/",MID(Issues!$C162,FIND("/",Issues!$C162)+1,20))+1,20))),"")))</f>
        <v/>
      </c>
      <c r="E159" t="str">
        <f t="shared" si="6"/>
        <v/>
      </c>
      <c r="F159" t="str">
        <f>IF($A159="","",IF(Issues!$D162="",0,Issues!$D162))</f>
        <v/>
      </c>
      <c r="G159" t="str">
        <f>IF($A159="","",Issues!$E162)</f>
        <v/>
      </c>
      <c r="H159" t="str">
        <f t="shared" si="7"/>
        <v/>
      </c>
      <c r="I159" t="str">
        <f t="shared" si="8"/>
        <v/>
      </c>
      <c r="J159" t="str">
        <f>IF($A159="","",Issues!$G162)</f>
        <v/>
      </c>
      <c r="K159" t="str">
        <f>IF(OR($E159="",$E159="نامعتبر"),"",LEFT($E159,4)&amp;MID($E159,6,2)&amp;RIGHT($E159,2)&amp;"|"&amp;RIGHT("00000"&amp;154,5))</f>
        <v/>
      </c>
      <c r="M159" t="str">
        <f>IF(Sync!$M159&lt;&gt;"پاس چک","",IF(Sync!$P159="","",Sync!$P159))</f>
        <v/>
      </c>
      <c r="N159" t="str">
        <f>IF($M159="","",IF(ISNUMBER(Sync!$L159),IF(AND(Sync!$L159&gt;=10000101,Sync!$L159&lt;=99991231),RIGHT("0000"&amp;INT(Sync!$L159/10000),4)&amp;"/"&amp;RIGHT("00"&amp;INT(MOD(Sync!$L159,10000)/100),2)&amp;"/"&amp;RIGHT("00"&amp;MOD(Sync!$L159,100),2),""),IFERROR(RIGHT("0000"&amp;VALUE(TRIM(LEFT(Sync!$L159,FIND("/",Sync!$L159)-1))),4)&amp;"/"&amp;RIGHT("00"&amp;VALUE(TRIM(LEFT(MID(Sync!$L159,FIND("/",Sync!$L159)+1,20),FIND("/",MID(Sync!$L159,FIND("/",Sync!$L159)+1,20))-1))),2)&amp;"/"&amp;RIGHT("00"&amp;VALUE(TRIM(MID(MID(Sync!$L159,FIND("/",Sync!$L159)+1,20),FIND("/",MID(Sync!$L159,FIND("/",Sync!$L159)+1,20))+1,20))),2),"")))</f>
        <v/>
      </c>
    </row>
    <row r="160" spans="1:14" x14ac:dyDescent="0.2">
      <c r="A160" t="str">
        <f>IF(Issues!$B163="","",Issues!$B163)</f>
        <v/>
      </c>
      <c r="B160" t="str">
        <f>IF($A160="","",IF(ISNUMBER(Issues!$C163),IF(AND(Issues!$C163&gt;=10000101,Issues!$C163&lt;=99991231),INT(Issues!$C163/10000),""),IFERROR(VALUE(TRIM(LEFT(Issues!$C163,FIND("/",Issues!$C163)-1))),"")))</f>
        <v/>
      </c>
      <c r="C160" t="str">
        <f>IF(OR($A160="",$B160=""),"",IF(ISNUMBER(Issues!$C163),INT(MOD(Issues!$C163,10000)/100),IFERROR(VALUE(TRIM(LEFT(MID(Issues!$C163,FIND("/",Issues!$C163)+1,20),FIND("/",MID(Issues!$C163,FIND("/",Issues!$C163)+1,20))-1))),"")))</f>
        <v/>
      </c>
      <c r="D160" t="str">
        <f>IF(OR($A160="",$B160=""),"",IF(ISNUMBER(Issues!$C163),MOD(Issues!$C163,100),IFERROR(VALUE(TRIM(MID(MID(Issues!$C163,FIND("/",Issues!$C163)+1,20),FIND("/",MID(Issues!$C163,FIND("/",Issues!$C163)+1,20))+1,20))),"")))</f>
        <v/>
      </c>
      <c r="E160" t="str">
        <f t="shared" si="6"/>
        <v/>
      </c>
      <c r="F160" t="str">
        <f>IF($A160="","",IF(Issues!$D163="",0,Issues!$D163))</f>
        <v/>
      </c>
      <c r="G160" t="str">
        <f>IF($A160="","",Issues!$E163)</f>
        <v/>
      </c>
      <c r="H160" t="str">
        <f t="shared" si="7"/>
        <v/>
      </c>
      <c r="I160" t="str">
        <f t="shared" si="8"/>
        <v/>
      </c>
      <c r="J160" t="str">
        <f>IF($A160="","",Issues!$G163)</f>
        <v/>
      </c>
      <c r="K160" t="str">
        <f>IF(OR($E160="",$E160="نامعتبر"),"",LEFT($E160,4)&amp;MID($E160,6,2)&amp;RIGHT($E160,2)&amp;"|"&amp;RIGHT("00000"&amp;155,5))</f>
        <v/>
      </c>
      <c r="M160" t="str">
        <f>IF(Sync!$M160&lt;&gt;"پاس چک","",IF(Sync!$P160="","",Sync!$P160))</f>
        <v/>
      </c>
      <c r="N160" t="str">
        <f>IF($M160="","",IF(ISNUMBER(Sync!$L160),IF(AND(Sync!$L160&gt;=10000101,Sync!$L160&lt;=99991231),RIGHT("0000"&amp;INT(Sync!$L160/10000),4)&amp;"/"&amp;RIGHT("00"&amp;INT(MOD(Sync!$L160,10000)/100),2)&amp;"/"&amp;RIGHT("00"&amp;MOD(Sync!$L160,100),2),""),IFERROR(RIGHT("0000"&amp;VALUE(TRIM(LEFT(Sync!$L160,FIND("/",Sync!$L160)-1))),4)&amp;"/"&amp;RIGHT("00"&amp;VALUE(TRIM(LEFT(MID(Sync!$L160,FIND("/",Sync!$L160)+1,20),FIND("/",MID(Sync!$L160,FIND("/",Sync!$L160)+1,20))-1))),2)&amp;"/"&amp;RIGHT("00"&amp;VALUE(TRIM(MID(MID(Sync!$L160,FIND("/",Sync!$L160)+1,20),FIND("/",MID(Sync!$L160,FIND("/",Sync!$L160)+1,20))+1,20))),2),"")))</f>
        <v/>
      </c>
    </row>
    <row r="161" spans="1:14" x14ac:dyDescent="0.2">
      <c r="A161" t="str">
        <f>IF(Issues!$B164="","",Issues!$B164)</f>
        <v/>
      </c>
      <c r="B161" t="str">
        <f>IF($A161="","",IF(ISNUMBER(Issues!$C164),IF(AND(Issues!$C164&gt;=10000101,Issues!$C164&lt;=99991231),INT(Issues!$C164/10000),""),IFERROR(VALUE(TRIM(LEFT(Issues!$C164,FIND("/",Issues!$C164)-1))),"")))</f>
        <v/>
      </c>
      <c r="C161" t="str">
        <f>IF(OR($A161="",$B161=""),"",IF(ISNUMBER(Issues!$C164),INT(MOD(Issues!$C164,10000)/100),IFERROR(VALUE(TRIM(LEFT(MID(Issues!$C164,FIND("/",Issues!$C164)+1,20),FIND("/",MID(Issues!$C164,FIND("/",Issues!$C164)+1,20))-1))),"")))</f>
        <v/>
      </c>
      <c r="D161" t="str">
        <f>IF(OR($A161="",$B161=""),"",IF(ISNUMBER(Issues!$C164),MOD(Issues!$C164,100),IFERROR(VALUE(TRIM(MID(MID(Issues!$C164,FIND("/",Issues!$C164)+1,20),FIND("/",MID(Issues!$C164,FIND("/",Issues!$C164)+1,20))+1,20))),"")))</f>
        <v/>
      </c>
      <c r="E161" t="str">
        <f t="shared" si="6"/>
        <v/>
      </c>
      <c r="F161" t="str">
        <f>IF($A161="","",IF(Issues!$D164="",0,Issues!$D164))</f>
        <v/>
      </c>
      <c r="G161" t="str">
        <f>IF($A161="","",Issues!$E164)</f>
        <v/>
      </c>
      <c r="H161" t="str">
        <f t="shared" si="7"/>
        <v/>
      </c>
      <c r="I161" t="str">
        <f t="shared" si="8"/>
        <v/>
      </c>
      <c r="J161" t="str">
        <f>IF($A161="","",Issues!$G164)</f>
        <v/>
      </c>
      <c r="K161" t="str">
        <f>IF(OR($E161="",$E161="نامعتبر"),"",LEFT($E161,4)&amp;MID($E161,6,2)&amp;RIGHT($E161,2)&amp;"|"&amp;RIGHT("00000"&amp;156,5))</f>
        <v/>
      </c>
      <c r="M161" t="str">
        <f>IF(Sync!$M161&lt;&gt;"پاس چک","",IF(Sync!$P161="","",Sync!$P161))</f>
        <v/>
      </c>
      <c r="N161" t="str">
        <f>IF($M161="","",IF(ISNUMBER(Sync!$L161),IF(AND(Sync!$L161&gt;=10000101,Sync!$L161&lt;=99991231),RIGHT("0000"&amp;INT(Sync!$L161/10000),4)&amp;"/"&amp;RIGHT("00"&amp;INT(MOD(Sync!$L161,10000)/100),2)&amp;"/"&amp;RIGHT("00"&amp;MOD(Sync!$L161,100),2),""),IFERROR(RIGHT("0000"&amp;VALUE(TRIM(LEFT(Sync!$L161,FIND("/",Sync!$L161)-1))),4)&amp;"/"&amp;RIGHT("00"&amp;VALUE(TRIM(LEFT(MID(Sync!$L161,FIND("/",Sync!$L161)+1,20),FIND("/",MID(Sync!$L161,FIND("/",Sync!$L161)+1,20))-1))),2)&amp;"/"&amp;RIGHT("00"&amp;VALUE(TRIM(MID(MID(Sync!$L161,FIND("/",Sync!$L161)+1,20),FIND("/",MID(Sync!$L161,FIND("/",Sync!$L161)+1,20))+1,20))),2),"")))</f>
        <v/>
      </c>
    </row>
    <row r="162" spans="1:14" x14ac:dyDescent="0.2">
      <c r="A162" t="str">
        <f>IF(Issues!$B165="","",Issues!$B165)</f>
        <v/>
      </c>
      <c r="B162" t="str">
        <f>IF($A162="","",IF(ISNUMBER(Issues!$C165),IF(AND(Issues!$C165&gt;=10000101,Issues!$C165&lt;=99991231),INT(Issues!$C165/10000),""),IFERROR(VALUE(TRIM(LEFT(Issues!$C165,FIND("/",Issues!$C165)-1))),"")))</f>
        <v/>
      </c>
      <c r="C162" t="str">
        <f>IF(OR($A162="",$B162=""),"",IF(ISNUMBER(Issues!$C165),INT(MOD(Issues!$C165,10000)/100),IFERROR(VALUE(TRIM(LEFT(MID(Issues!$C165,FIND("/",Issues!$C165)+1,20),FIND("/",MID(Issues!$C165,FIND("/",Issues!$C165)+1,20))-1))),"")))</f>
        <v/>
      </c>
      <c r="D162" t="str">
        <f>IF(OR($A162="",$B162=""),"",IF(ISNUMBER(Issues!$C165),MOD(Issues!$C165,100),IFERROR(VALUE(TRIM(MID(MID(Issues!$C165,FIND("/",Issues!$C165)+1,20),FIND("/",MID(Issues!$C165,FIND("/",Issues!$C165)+1,20))+1,20))),"")))</f>
        <v/>
      </c>
      <c r="E162" t="str">
        <f t="shared" si="6"/>
        <v/>
      </c>
      <c r="F162" t="str">
        <f>IF($A162="","",IF(Issues!$D165="",0,Issues!$D165))</f>
        <v/>
      </c>
      <c r="G162" t="str">
        <f>IF($A162="","",Issues!$E165)</f>
        <v/>
      </c>
      <c r="H162" t="str">
        <f t="shared" si="7"/>
        <v/>
      </c>
      <c r="I162" t="str">
        <f t="shared" si="8"/>
        <v/>
      </c>
      <c r="J162" t="str">
        <f>IF($A162="","",Issues!$G165)</f>
        <v/>
      </c>
      <c r="K162" t="str">
        <f>IF(OR($E162="",$E162="نامعتبر"),"",LEFT($E162,4)&amp;MID($E162,6,2)&amp;RIGHT($E162,2)&amp;"|"&amp;RIGHT("00000"&amp;157,5))</f>
        <v/>
      </c>
      <c r="M162" t="str">
        <f>IF(Sync!$M162&lt;&gt;"پاس چک","",IF(Sync!$P162="","",Sync!$P162))</f>
        <v/>
      </c>
      <c r="N162" t="str">
        <f>IF($M162="","",IF(ISNUMBER(Sync!$L162),IF(AND(Sync!$L162&gt;=10000101,Sync!$L162&lt;=99991231),RIGHT("0000"&amp;INT(Sync!$L162/10000),4)&amp;"/"&amp;RIGHT("00"&amp;INT(MOD(Sync!$L162,10000)/100),2)&amp;"/"&amp;RIGHT("00"&amp;MOD(Sync!$L162,100),2),""),IFERROR(RIGHT("0000"&amp;VALUE(TRIM(LEFT(Sync!$L162,FIND("/",Sync!$L162)-1))),4)&amp;"/"&amp;RIGHT("00"&amp;VALUE(TRIM(LEFT(MID(Sync!$L162,FIND("/",Sync!$L162)+1,20),FIND("/",MID(Sync!$L162,FIND("/",Sync!$L162)+1,20))-1))),2)&amp;"/"&amp;RIGHT("00"&amp;VALUE(TRIM(MID(MID(Sync!$L162,FIND("/",Sync!$L162)+1,20),FIND("/",MID(Sync!$L162,FIND("/",Sync!$L162)+1,20))+1,20))),2),"")))</f>
        <v/>
      </c>
    </row>
    <row r="163" spans="1:14" x14ac:dyDescent="0.2">
      <c r="A163" t="str">
        <f>IF(Issues!$B166="","",Issues!$B166)</f>
        <v/>
      </c>
      <c r="B163" t="str">
        <f>IF($A163="","",IF(ISNUMBER(Issues!$C166),IF(AND(Issues!$C166&gt;=10000101,Issues!$C166&lt;=99991231),INT(Issues!$C166/10000),""),IFERROR(VALUE(TRIM(LEFT(Issues!$C166,FIND("/",Issues!$C166)-1))),"")))</f>
        <v/>
      </c>
      <c r="C163" t="str">
        <f>IF(OR($A163="",$B163=""),"",IF(ISNUMBER(Issues!$C166),INT(MOD(Issues!$C166,10000)/100),IFERROR(VALUE(TRIM(LEFT(MID(Issues!$C166,FIND("/",Issues!$C166)+1,20),FIND("/",MID(Issues!$C166,FIND("/",Issues!$C166)+1,20))-1))),"")))</f>
        <v/>
      </c>
      <c r="D163" t="str">
        <f>IF(OR($A163="",$B163=""),"",IF(ISNUMBER(Issues!$C166),MOD(Issues!$C166,100),IFERROR(VALUE(TRIM(MID(MID(Issues!$C166,FIND("/",Issues!$C166)+1,20),FIND("/",MID(Issues!$C166,FIND("/",Issues!$C166)+1,20))+1,20))),"")))</f>
        <v/>
      </c>
      <c r="E163" t="str">
        <f t="shared" si="6"/>
        <v/>
      </c>
      <c r="F163" t="str">
        <f>IF($A163="","",IF(Issues!$D166="",0,Issues!$D166))</f>
        <v/>
      </c>
      <c r="G163" t="str">
        <f>IF($A163="","",Issues!$E166)</f>
        <v/>
      </c>
      <c r="H163" t="str">
        <f t="shared" si="7"/>
        <v/>
      </c>
      <c r="I163" t="str">
        <f t="shared" si="8"/>
        <v/>
      </c>
      <c r="J163" t="str">
        <f>IF($A163="","",Issues!$G166)</f>
        <v/>
      </c>
      <c r="K163" t="str">
        <f>IF(OR($E163="",$E163="نامعتبر"),"",LEFT($E163,4)&amp;MID($E163,6,2)&amp;RIGHT($E163,2)&amp;"|"&amp;RIGHT("00000"&amp;158,5))</f>
        <v/>
      </c>
      <c r="M163" t="str">
        <f>IF(Sync!$M163&lt;&gt;"پاس چک","",IF(Sync!$P163="","",Sync!$P163))</f>
        <v/>
      </c>
      <c r="N163" t="str">
        <f>IF($M163="","",IF(ISNUMBER(Sync!$L163),IF(AND(Sync!$L163&gt;=10000101,Sync!$L163&lt;=99991231),RIGHT("0000"&amp;INT(Sync!$L163/10000),4)&amp;"/"&amp;RIGHT("00"&amp;INT(MOD(Sync!$L163,10000)/100),2)&amp;"/"&amp;RIGHT("00"&amp;MOD(Sync!$L163,100),2),""),IFERROR(RIGHT("0000"&amp;VALUE(TRIM(LEFT(Sync!$L163,FIND("/",Sync!$L163)-1))),4)&amp;"/"&amp;RIGHT("00"&amp;VALUE(TRIM(LEFT(MID(Sync!$L163,FIND("/",Sync!$L163)+1,20),FIND("/",MID(Sync!$L163,FIND("/",Sync!$L163)+1,20))-1))),2)&amp;"/"&amp;RIGHT("00"&amp;VALUE(TRIM(MID(MID(Sync!$L163,FIND("/",Sync!$L163)+1,20),FIND("/",MID(Sync!$L163,FIND("/",Sync!$L163)+1,20))+1,20))),2),"")))</f>
        <v/>
      </c>
    </row>
    <row r="164" spans="1:14" x14ac:dyDescent="0.2">
      <c r="A164" t="str">
        <f>IF(Issues!$B167="","",Issues!$B167)</f>
        <v/>
      </c>
      <c r="B164" t="str">
        <f>IF($A164="","",IF(ISNUMBER(Issues!$C167),IF(AND(Issues!$C167&gt;=10000101,Issues!$C167&lt;=99991231),INT(Issues!$C167/10000),""),IFERROR(VALUE(TRIM(LEFT(Issues!$C167,FIND("/",Issues!$C167)-1))),"")))</f>
        <v/>
      </c>
      <c r="C164" t="str">
        <f>IF(OR($A164="",$B164=""),"",IF(ISNUMBER(Issues!$C167),INT(MOD(Issues!$C167,10000)/100),IFERROR(VALUE(TRIM(LEFT(MID(Issues!$C167,FIND("/",Issues!$C167)+1,20),FIND("/",MID(Issues!$C167,FIND("/",Issues!$C167)+1,20))-1))),"")))</f>
        <v/>
      </c>
      <c r="D164" t="str">
        <f>IF(OR($A164="",$B164=""),"",IF(ISNUMBER(Issues!$C167),MOD(Issues!$C167,100),IFERROR(VALUE(TRIM(MID(MID(Issues!$C167,FIND("/",Issues!$C167)+1,20),FIND("/",MID(Issues!$C167,FIND("/",Issues!$C167)+1,20))+1,20))),"")))</f>
        <v/>
      </c>
      <c r="E164" t="str">
        <f t="shared" si="6"/>
        <v/>
      </c>
      <c r="F164" t="str">
        <f>IF($A164="","",IF(Issues!$D167="",0,Issues!$D167))</f>
        <v/>
      </c>
      <c r="G164" t="str">
        <f>IF($A164="","",Issues!$E167)</f>
        <v/>
      </c>
      <c r="H164" t="str">
        <f t="shared" si="7"/>
        <v/>
      </c>
      <c r="I164" t="str">
        <f t="shared" si="8"/>
        <v/>
      </c>
      <c r="J164" t="str">
        <f>IF($A164="","",Issues!$G167)</f>
        <v/>
      </c>
      <c r="K164" t="str">
        <f>IF(OR($E164="",$E164="نامعتبر"),"",LEFT($E164,4)&amp;MID($E164,6,2)&amp;RIGHT($E164,2)&amp;"|"&amp;RIGHT("00000"&amp;159,5))</f>
        <v/>
      </c>
      <c r="M164" t="str">
        <f>IF(Sync!$M164&lt;&gt;"پاس چک","",IF(Sync!$P164="","",Sync!$P164))</f>
        <v/>
      </c>
      <c r="N164" t="str">
        <f>IF($M164="","",IF(ISNUMBER(Sync!$L164),IF(AND(Sync!$L164&gt;=10000101,Sync!$L164&lt;=99991231),RIGHT("0000"&amp;INT(Sync!$L164/10000),4)&amp;"/"&amp;RIGHT("00"&amp;INT(MOD(Sync!$L164,10000)/100),2)&amp;"/"&amp;RIGHT("00"&amp;MOD(Sync!$L164,100),2),""),IFERROR(RIGHT("0000"&amp;VALUE(TRIM(LEFT(Sync!$L164,FIND("/",Sync!$L164)-1))),4)&amp;"/"&amp;RIGHT("00"&amp;VALUE(TRIM(LEFT(MID(Sync!$L164,FIND("/",Sync!$L164)+1,20),FIND("/",MID(Sync!$L164,FIND("/",Sync!$L164)+1,20))-1))),2)&amp;"/"&amp;RIGHT("00"&amp;VALUE(TRIM(MID(MID(Sync!$L164,FIND("/",Sync!$L164)+1,20),FIND("/",MID(Sync!$L164,FIND("/",Sync!$L164)+1,20))+1,20))),2),"")))</f>
        <v/>
      </c>
    </row>
    <row r="165" spans="1:14" x14ac:dyDescent="0.2">
      <c r="A165" t="str">
        <f>IF(Issues!$B168="","",Issues!$B168)</f>
        <v/>
      </c>
      <c r="B165" t="str">
        <f>IF($A165="","",IF(ISNUMBER(Issues!$C168),IF(AND(Issues!$C168&gt;=10000101,Issues!$C168&lt;=99991231),INT(Issues!$C168/10000),""),IFERROR(VALUE(TRIM(LEFT(Issues!$C168,FIND("/",Issues!$C168)-1))),"")))</f>
        <v/>
      </c>
      <c r="C165" t="str">
        <f>IF(OR($A165="",$B165=""),"",IF(ISNUMBER(Issues!$C168),INT(MOD(Issues!$C168,10000)/100),IFERROR(VALUE(TRIM(LEFT(MID(Issues!$C168,FIND("/",Issues!$C168)+1,20),FIND("/",MID(Issues!$C168,FIND("/",Issues!$C168)+1,20))-1))),"")))</f>
        <v/>
      </c>
      <c r="D165" t="str">
        <f>IF(OR($A165="",$B165=""),"",IF(ISNUMBER(Issues!$C168),MOD(Issues!$C168,100),IFERROR(VALUE(TRIM(MID(MID(Issues!$C168,FIND("/",Issues!$C168)+1,20),FIND("/",MID(Issues!$C168,FIND("/",Issues!$C168)+1,20))+1,20))),"")))</f>
        <v/>
      </c>
      <c r="E165" t="str">
        <f t="shared" si="6"/>
        <v/>
      </c>
      <c r="F165" t="str">
        <f>IF($A165="","",IF(Issues!$D168="",0,Issues!$D168))</f>
        <v/>
      </c>
      <c r="G165" t="str">
        <f>IF($A165="","",Issues!$E168)</f>
        <v/>
      </c>
      <c r="H165" t="str">
        <f t="shared" si="7"/>
        <v/>
      </c>
      <c r="I165" t="str">
        <f t="shared" si="8"/>
        <v/>
      </c>
      <c r="J165" t="str">
        <f>IF($A165="","",Issues!$G168)</f>
        <v/>
      </c>
      <c r="K165" t="str">
        <f>IF(OR($E165="",$E165="نامعتبر"),"",LEFT($E165,4)&amp;MID($E165,6,2)&amp;RIGHT($E165,2)&amp;"|"&amp;RIGHT("00000"&amp;160,5))</f>
        <v/>
      </c>
      <c r="M165" t="str">
        <f>IF(Sync!$M165&lt;&gt;"پاس چک","",IF(Sync!$P165="","",Sync!$P165))</f>
        <v/>
      </c>
      <c r="N165" t="str">
        <f>IF($M165="","",IF(ISNUMBER(Sync!$L165),IF(AND(Sync!$L165&gt;=10000101,Sync!$L165&lt;=99991231),RIGHT("0000"&amp;INT(Sync!$L165/10000),4)&amp;"/"&amp;RIGHT("00"&amp;INT(MOD(Sync!$L165,10000)/100),2)&amp;"/"&amp;RIGHT("00"&amp;MOD(Sync!$L165,100),2),""),IFERROR(RIGHT("0000"&amp;VALUE(TRIM(LEFT(Sync!$L165,FIND("/",Sync!$L165)-1))),4)&amp;"/"&amp;RIGHT("00"&amp;VALUE(TRIM(LEFT(MID(Sync!$L165,FIND("/",Sync!$L165)+1,20),FIND("/",MID(Sync!$L165,FIND("/",Sync!$L165)+1,20))-1))),2)&amp;"/"&amp;RIGHT("00"&amp;VALUE(TRIM(MID(MID(Sync!$L165,FIND("/",Sync!$L165)+1,20),FIND("/",MID(Sync!$L165,FIND("/",Sync!$L165)+1,20))+1,20))),2),"")))</f>
        <v/>
      </c>
    </row>
    <row r="166" spans="1:14" x14ac:dyDescent="0.2">
      <c r="A166" t="str">
        <f>IF(Issues!$B169="","",Issues!$B169)</f>
        <v/>
      </c>
      <c r="B166" t="str">
        <f>IF($A166="","",IF(ISNUMBER(Issues!$C169),IF(AND(Issues!$C169&gt;=10000101,Issues!$C169&lt;=99991231),INT(Issues!$C169/10000),""),IFERROR(VALUE(TRIM(LEFT(Issues!$C169,FIND("/",Issues!$C169)-1))),"")))</f>
        <v/>
      </c>
      <c r="C166" t="str">
        <f>IF(OR($A166="",$B166=""),"",IF(ISNUMBER(Issues!$C169),INT(MOD(Issues!$C169,10000)/100),IFERROR(VALUE(TRIM(LEFT(MID(Issues!$C169,FIND("/",Issues!$C169)+1,20),FIND("/",MID(Issues!$C169,FIND("/",Issues!$C169)+1,20))-1))),"")))</f>
        <v/>
      </c>
      <c r="D166" t="str">
        <f>IF(OR($A166="",$B166=""),"",IF(ISNUMBER(Issues!$C169),MOD(Issues!$C169,100),IFERROR(VALUE(TRIM(MID(MID(Issues!$C169,FIND("/",Issues!$C169)+1,20),FIND("/",MID(Issues!$C169,FIND("/",Issues!$C169)+1,20))+1,20))),"")))</f>
        <v/>
      </c>
      <c r="E166" t="str">
        <f t="shared" si="6"/>
        <v/>
      </c>
      <c r="F166" t="str">
        <f>IF($A166="","",IF(Issues!$D169="",0,Issues!$D169))</f>
        <v/>
      </c>
      <c r="G166" t="str">
        <f>IF($A166="","",Issues!$E169)</f>
        <v/>
      </c>
      <c r="H166" t="str">
        <f t="shared" si="7"/>
        <v/>
      </c>
      <c r="I166" t="str">
        <f t="shared" si="8"/>
        <v/>
      </c>
      <c r="J166" t="str">
        <f>IF($A166="","",Issues!$G169)</f>
        <v/>
      </c>
      <c r="K166" t="str">
        <f>IF(OR($E166="",$E166="نامعتبر"),"",LEFT($E166,4)&amp;MID($E166,6,2)&amp;RIGHT($E166,2)&amp;"|"&amp;RIGHT("00000"&amp;161,5))</f>
        <v/>
      </c>
      <c r="M166" t="str">
        <f>IF(Sync!$M166&lt;&gt;"پاس چک","",IF(Sync!$P166="","",Sync!$P166))</f>
        <v/>
      </c>
      <c r="N166" t="str">
        <f>IF($M166="","",IF(ISNUMBER(Sync!$L166),IF(AND(Sync!$L166&gt;=10000101,Sync!$L166&lt;=99991231),RIGHT("0000"&amp;INT(Sync!$L166/10000),4)&amp;"/"&amp;RIGHT("00"&amp;INT(MOD(Sync!$L166,10000)/100),2)&amp;"/"&amp;RIGHT("00"&amp;MOD(Sync!$L166,100),2),""),IFERROR(RIGHT("0000"&amp;VALUE(TRIM(LEFT(Sync!$L166,FIND("/",Sync!$L166)-1))),4)&amp;"/"&amp;RIGHT("00"&amp;VALUE(TRIM(LEFT(MID(Sync!$L166,FIND("/",Sync!$L166)+1,20),FIND("/",MID(Sync!$L166,FIND("/",Sync!$L166)+1,20))-1))),2)&amp;"/"&amp;RIGHT("00"&amp;VALUE(TRIM(MID(MID(Sync!$L166,FIND("/",Sync!$L166)+1,20),FIND("/",MID(Sync!$L166,FIND("/",Sync!$L166)+1,20))+1,20))),2),"")))</f>
        <v/>
      </c>
    </row>
    <row r="167" spans="1:14" x14ac:dyDescent="0.2">
      <c r="A167" t="str">
        <f>IF(Issues!$B170="","",Issues!$B170)</f>
        <v/>
      </c>
      <c r="B167" t="str">
        <f>IF($A167="","",IF(ISNUMBER(Issues!$C170),IF(AND(Issues!$C170&gt;=10000101,Issues!$C170&lt;=99991231),INT(Issues!$C170/10000),""),IFERROR(VALUE(TRIM(LEFT(Issues!$C170,FIND("/",Issues!$C170)-1))),"")))</f>
        <v/>
      </c>
      <c r="C167" t="str">
        <f>IF(OR($A167="",$B167=""),"",IF(ISNUMBER(Issues!$C170),INT(MOD(Issues!$C170,10000)/100),IFERROR(VALUE(TRIM(LEFT(MID(Issues!$C170,FIND("/",Issues!$C170)+1,20),FIND("/",MID(Issues!$C170,FIND("/",Issues!$C170)+1,20))-1))),"")))</f>
        <v/>
      </c>
      <c r="D167" t="str">
        <f>IF(OR($A167="",$B167=""),"",IF(ISNUMBER(Issues!$C170),MOD(Issues!$C170,100),IFERROR(VALUE(TRIM(MID(MID(Issues!$C170,FIND("/",Issues!$C170)+1,20),FIND("/",MID(Issues!$C170,FIND("/",Issues!$C170)+1,20))+1,20))),"")))</f>
        <v/>
      </c>
      <c r="E167" t="str">
        <f t="shared" si="6"/>
        <v/>
      </c>
      <c r="F167" t="str">
        <f>IF($A167="","",IF(Issues!$D170="",0,Issues!$D170))</f>
        <v/>
      </c>
      <c r="G167" t="str">
        <f>IF($A167="","",Issues!$E170)</f>
        <v/>
      </c>
      <c r="H167" t="str">
        <f t="shared" si="7"/>
        <v/>
      </c>
      <c r="I167" t="str">
        <f t="shared" si="8"/>
        <v/>
      </c>
      <c r="J167" t="str">
        <f>IF($A167="","",Issues!$G170)</f>
        <v/>
      </c>
      <c r="K167" t="str">
        <f>IF(OR($E167="",$E167="نامعتبر"),"",LEFT($E167,4)&amp;MID($E167,6,2)&amp;RIGHT($E167,2)&amp;"|"&amp;RIGHT("00000"&amp;162,5))</f>
        <v/>
      </c>
      <c r="M167" t="str">
        <f>IF(Sync!$M167&lt;&gt;"پاس چک","",IF(Sync!$P167="","",Sync!$P167))</f>
        <v/>
      </c>
      <c r="N167" t="str">
        <f>IF($M167="","",IF(ISNUMBER(Sync!$L167),IF(AND(Sync!$L167&gt;=10000101,Sync!$L167&lt;=99991231),RIGHT("0000"&amp;INT(Sync!$L167/10000),4)&amp;"/"&amp;RIGHT("00"&amp;INT(MOD(Sync!$L167,10000)/100),2)&amp;"/"&amp;RIGHT("00"&amp;MOD(Sync!$L167,100),2),""),IFERROR(RIGHT("0000"&amp;VALUE(TRIM(LEFT(Sync!$L167,FIND("/",Sync!$L167)-1))),4)&amp;"/"&amp;RIGHT("00"&amp;VALUE(TRIM(LEFT(MID(Sync!$L167,FIND("/",Sync!$L167)+1,20),FIND("/",MID(Sync!$L167,FIND("/",Sync!$L167)+1,20))-1))),2)&amp;"/"&amp;RIGHT("00"&amp;VALUE(TRIM(MID(MID(Sync!$L167,FIND("/",Sync!$L167)+1,20),FIND("/",MID(Sync!$L167,FIND("/",Sync!$L167)+1,20))+1,20))),2),"")))</f>
        <v/>
      </c>
    </row>
    <row r="168" spans="1:14" x14ac:dyDescent="0.2">
      <c r="A168" t="str">
        <f>IF(Issues!$B171="","",Issues!$B171)</f>
        <v/>
      </c>
      <c r="B168" t="str">
        <f>IF($A168="","",IF(ISNUMBER(Issues!$C171),IF(AND(Issues!$C171&gt;=10000101,Issues!$C171&lt;=99991231),INT(Issues!$C171/10000),""),IFERROR(VALUE(TRIM(LEFT(Issues!$C171,FIND("/",Issues!$C171)-1))),"")))</f>
        <v/>
      </c>
      <c r="C168" t="str">
        <f>IF(OR($A168="",$B168=""),"",IF(ISNUMBER(Issues!$C171),INT(MOD(Issues!$C171,10000)/100),IFERROR(VALUE(TRIM(LEFT(MID(Issues!$C171,FIND("/",Issues!$C171)+1,20),FIND("/",MID(Issues!$C171,FIND("/",Issues!$C171)+1,20))-1))),"")))</f>
        <v/>
      </c>
      <c r="D168" t="str">
        <f>IF(OR($A168="",$B168=""),"",IF(ISNUMBER(Issues!$C171),MOD(Issues!$C171,100),IFERROR(VALUE(TRIM(MID(MID(Issues!$C171,FIND("/",Issues!$C171)+1,20),FIND("/",MID(Issues!$C171,FIND("/",Issues!$C171)+1,20))+1,20))),"")))</f>
        <v/>
      </c>
      <c r="E168" t="str">
        <f t="shared" si="6"/>
        <v/>
      </c>
      <c r="F168" t="str">
        <f>IF($A168="","",IF(Issues!$D171="",0,Issues!$D171))</f>
        <v/>
      </c>
      <c r="G168" t="str">
        <f>IF($A168="","",Issues!$E171)</f>
        <v/>
      </c>
      <c r="H168" t="str">
        <f t="shared" si="7"/>
        <v/>
      </c>
      <c r="I168" t="str">
        <f t="shared" si="8"/>
        <v/>
      </c>
      <c r="J168" t="str">
        <f>IF($A168="","",Issues!$G171)</f>
        <v/>
      </c>
      <c r="K168" t="str">
        <f>IF(OR($E168="",$E168="نامعتبر"),"",LEFT($E168,4)&amp;MID($E168,6,2)&amp;RIGHT($E168,2)&amp;"|"&amp;RIGHT("00000"&amp;163,5))</f>
        <v/>
      </c>
      <c r="M168" t="str">
        <f>IF(Sync!$M168&lt;&gt;"پاس چک","",IF(Sync!$P168="","",Sync!$P168))</f>
        <v/>
      </c>
      <c r="N168" t="str">
        <f>IF($M168="","",IF(ISNUMBER(Sync!$L168),IF(AND(Sync!$L168&gt;=10000101,Sync!$L168&lt;=99991231),RIGHT("0000"&amp;INT(Sync!$L168/10000),4)&amp;"/"&amp;RIGHT("00"&amp;INT(MOD(Sync!$L168,10000)/100),2)&amp;"/"&amp;RIGHT("00"&amp;MOD(Sync!$L168,100),2),""),IFERROR(RIGHT("0000"&amp;VALUE(TRIM(LEFT(Sync!$L168,FIND("/",Sync!$L168)-1))),4)&amp;"/"&amp;RIGHT("00"&amp;VALUE(TRIM(LEFT(MID(Sync!$L168,FIND("/",Sync!$L168)+1,20),FIND("/",MID(Sync!$L168,FIND("/",Sync!$L168)+1,20))-1))),2)&amp;"/"&amp;RIGHT("00"&amp;VALUE(TRIM(MID(MID(Sync!$L168,FIND("/",Sync!$L168)+1,20),FIND("/",MID(Sync!$L168,FIND("/",Sync!$L168)+1,20))+1,20))),2),"")))</f>
        <v/>
      </c>
    </row>
    <row r="169" spans="1:14" x14ac:dyDescent="0.2">
      <c r="A169" t="str">
        <f>IF(Issues!$B172="","",Issues!$B172)</f>
        <v/>
      </c>
      <c r="B169" t="str">
        <f>IF($A169="","",IF(ISNUMBER(Issues!$C172),IF(AND(Issues!$C172&gt;=10000101,Issues!$C172&lt;=99991231),INT(Issues!$C172/10000),""),IFERROR(VALUE(TRIM(LEFT(Issues!$C172,FIND("/",Issues!$C172)-1))),"")))</f>
        <v/>
      </c>
      <c r="C169" t="str">
        <f>IF(OR($A169="",$B169=""),"",IF(ISNUMBER(Issues!$C172),INT(MOD(Issues!$C172,10000)/100),IFERROR(VALUE(TRIM(LEFT(MID(Issues!$C172,FIND("/",Issues!$C172)+1,20),FIND("/",MID(Issues!$C172,FIND("/",Issues!$C172)+1,20))-1))),"")))</f>
        <v/>
      </c>
      <c r="D169" t="str">
        <f>IF(OR($A169="",$B169=""),"",IF(ISNUMBER(Issues!$C172),MOD(Issues!$C172,100),IFERROR(VALUE(TRIM(MID(MID(Issues!$C172,FIND("/",Issues!$C172)+1,20),FIND("/",MID(Issues!$C172,FIND("/",Issues!$C172)+1,20))+1,20))),"")))</f>
        <v/>
      </c>
      <c r="E169" t="str">
        <f t="shared" si="6"/>
        <v/>
      </c>
      <c r="F169" t="str">
        <f>IF($A169="","",IF(Issues!$D172="",0,Issues!$D172))</f>
        <v/>
      </c>
      <c r="G169" t="str">
        <f>IF($A169="","",Issues!$E172)</f>
        <v/>
      </c>
      <c r="H169" t="str">
        <f t="shared" si="7"/>
        <v/>
      </c>
      <c r="I169" t="str">
        <f t="shared" si="8"/>
        <v/>
      </c>
      <c r="J169" t="str">
        <f>IF($A169="","",Issues!$G172)</f>
        <v/>
      </c>
      <c r="K169" t="str">
        <f>IF(OR($E169="",$E169="نامعتبر"),"",LEFT($E169,4)&amp;MID($E169,6,2)&amp;RIGHT($E169,2)&amp;"|"&amp;RIGHT("00000"&amp;164,5))</f>
        <v/>
      </c>
      <c r="M169" t="str">
        <f>IF(Sync!$M169&lt;&gt;"پاس چک","",IF(Sync!$P169="","",Sync!$P169))</f>
        <v/>
      </c>
      <c r="N169" t="str">
        <f>IF($M169="","",IF(ISNUMBER(Sync!$L169),IF(AND(Sync!$L169&gt;=10000101,Sync!$L169&lt;=99991231),RIGHT("0000"&amp;INT(Sync!$L169/10000),4)&amp;"/"&amp;RIGHT("00"&amp;INT(MOD(Sync!$L169,10000)/100),2)&amp;"/"&amp;RIGHT("00"&amp;MOD(Sync!$L169,100),2),""),IFERROR(RIGHT("0000"&amp;VALUE(TRIM(LEFT(Sync!$L169,FIND("/",Sync!$L169)-1))),4)&amp;"/"&amp;RIGHT("00"&amp;VALUE(TRIM(LEFT(MID(Sync!$L169,FIND("/",Sync!$L169)+1,20),FIND("/",MID(Sync!$L169,FIND("/",Sync!$L169)+1,20))-1))),2)&amp;"/"&amp;RIGHT("00"&amp;VALUE(TRIM(MID(MID(Sync!$L169,FIND("/",Sync!$L169)+1,20),FIND("/",MID(Sync!$L169,FIND("/",Sync!$L169)+1,20))+1,20))),2),"")))</f>
        <v/>
      </c>
    </row>
    <row r="170" spans="1:14" x14ac:dyDescent="0.2">
      <c r="A170" t="str">
        <f>IF(Issues!$B173="","",Issues!$B173)</f>
        <v/>
      </c>
      <c r="B170" t="str">
        <f>IF($A170="","",IF(ISNUMBER(Issues!$C173),IF(AND(Issues!$C173&gt;=10000101,Issues!$C173&lt;=99991231),INT(Issues!$C173/10000),""),IFERROR(VALUE(TRIM(LEFT(Issues!$C173,FIND("/",Issues!$C173)-1))),"")))</f>
        <v/>
      </c>
      <c r="C170" t="str">
        <f>IF(OR($A170="",$B170=""),"",IF(ISNUMBER(Issues!$C173),INT(MOD(Issues!$C173,10000)/100),IFERROR(VALUE(TRIM(LEFT(MID(Issues!$C173,FIND("/",Issues!$C173)+1,20),FIND("/",MID(Issues!$C173,FIND("/",Issues!$C173)+1,20))-1))),"")))</f>
        <v/>
      </c>
      <c r="D170" t="str">
        <f>IF(OR($A170="",$B170=""),"",IF(ISNUMBER(Issues!$C173),MOD(Issues!$C173,100),IFERROR(VALUE(TRIM(MID(MID(Issues!$C173,FIND("/",Issues!$C173)+1,20),FIND("/",MID(Issues!$C173,FIND("/",Issues!$C173)+1,20))+1,20))),"")))</f>
        <v/>
      </c>
      <c r="E170" t="str">
        <f t="shared" si="6"/>
        <v/>
      </c>
      <c r="F170" t="str">
        <f>IF($A170="","",IF(Issues!$D173="",0,Issues!$D173))</f>
        <v/>
      </c>
      <c r="G170" t="str">
        <f>IF($A170="","",Issues!$E173)</f>
        <v/>
      </c>
      <c r="H170" t="str">
        <f t="shared" si="7"/>
        <v/>
      </c>
      <c r="I170" t="str">
        <f t="shared" si="8"/>
        <v/>
      </c>
      <c r="J170" t="str">
        <f>IF($A170="","",Issues!$G173)</f>
        <v/>
      </c>
      <c r="K170" t="str">
        <f>IF(OR($E170="",$E170="نامعتبر"),"",LEFT($E170,4)&amp;MID($E170,6,2)&amp;RIGHT($E170,2)&amp;"|"&amp;RIGHT("00000"&amp;165,5))</f>
        <v/>
      </c>
      <c r="M170" t="str">
        <f>IF(Sync!$M170&lt;&gt;"پاس چک","",IF(Sync!$P170="","",Sync!$P170))</f>
        <v/>
      </c>
      <c r="N170" t="str">
        <f>IF($M170="","",IF(ISNUMBER(Sync!$L170),IF(AND(Sync!$L170&gt;=10000101,Sync!$L170&lt;=99991231),RIGHT("0000"&amp;INT(Sync!$L170/10000),4)&amp;"/"&amp;RIGHT("00"&amp;INT(MOD(Sync!$L170,10000)/100),2)&amp;"/"&amp;RIGHT("00"&amp;MOD(Sync!$L170,100),2),""),IFERROR(RIGHT("0000"&amp;VALUE(TRIM(LEFT(Sync!$L170,FIND("/",Sync!$L170)-1))),4)&amp;"/"&amp;RIGHT("00"&amp;VALUE(TRIM(LEFT(MID(Sync!$L170,FIND("/",Sync!$L170)+1,20),FIND("/",MID(Sync!$L170,FIND("/",Sync!$L170)+1,20))-1))),2)&amp;"/"&amp;RIGHT("00"&amp;VALUE(TRIM(MID(MID(Sync!$L170,FIND("/",Sync!$L170)+1,20),FIND("/",MID(Sync!$L170,FIND("/",Sync!$L170)+1,20))+1,20))),2),"")))</f>
        <v/>
      </c>
    </row>
    <row r="171" spans="1:14" x14ac:dyDescent="0.2">
      <c r="A171" t="str">
        <f>IF(Issues!$B174="","",Issues!$B174)</f>
        <v/>
      </c>
      <c r="B171" t="str">
        <f>IF($A171="","",IF(ISNUMBER(Issues!$C174),IF(AND(Issues!$C174&gt;=10000101,Issues!$C174&lt;=99991231),INT(Issues!$C174/10000),""),IFERROR(VALUE(TRIM(LEFT(Issues!$C174,FIND("/",Issues!$C174)-1))),"")))</f>
        <v/>
      </c>
      <c r="C171" t="str">
        <f>IF(OR($A171="",$B171=""),"",IF(ISNUMBER(Issues!$C174),INT(MOD(Issues!$C174,10000)/100),IFERROR(VALUE(TRIM(LEFT(MID(Issues!$C174,FIND("/",Issues!$C174)+1,20),FIND("/",MID(Issues!$C174,FIND("/",Issues!$C174)+1,20))-1))),"")))</f>
        <v/>
      </c>
      <c r="D171" t="str">
        <f>IF(OR($A171="",$B171=""),"",IF(ISNUMBER(Issues!$C174),MOD(Issues!$C174,100),IFERROR(VALUE(TRIM(MID(MID(Issues!$C174,FIND("/",Issues!$C174)+1,20),FIND("/",MID(Issues!$C174,FIND("/",Issues!$C174)+1,20))+1,20))),"")))</f>
        <v/>
      </c>
      <c r="E171" t="str">
        <f t="shared" si="6"/>
        <v/>
      </c>
      <c r="F171" t="str">
        <f>IF($A171="","",IF(Issues!$D174="",0,Issues!$D174))</f>
        <v/>
      </c>
      <c r="G171" t="str">
        <f>IF($A171="","",Issues!$E174)</f>
        <v/>
      </c>
      <c r="H171" t="str">
        <f t="shared" si="7"/>
        <v/>
      </c>
      <c r="I171" t="str">
        <f t="shared" si="8"/>
        <v/>
      </c>
      <c r="J171" t="str">
        <f>IF($A171="","",Issues!$G174)</f>
        <v/>
      </c>
      <c r="K171" t="str">
        <f>IF(OR($E171="",$E171="نامعتبر"),"",LEFT($E171,4)&amp;MID($E171,6,2)&amp;RIGHT($E171,2)&amp;"|"&amp;RIGHT("00000"&amp;166,5))</f>
        <v/>
      </c>
      <c r="M171" t="str">
        <f>IF(Sync!$M171&lt;&gt;"پاس چک","",IF(Sync!$P171="","",Sync!$P171))</f>
        <v/>
      </c>
      <c r="N171" t="str">
        <f>IF($M171="","",IF(ISNUMBER(Sync!$L171),IF(AND(Sync!$L171&gt;=10000101,Sync!$L171&lt;=99991231),RIGHT("0000"&amp;INT(Sync!$L171/10000),4)&amp;"/"&amp;RIGHT("00"&amp;INT(MOD(Sync!$L171,10000)/100),2)&amp;"/"&amp;RIGHT("00"&amp;MOD(Sync!$L171,100),2),""),IFERROR(RIGHT("0000"&amp;VALUE(TRIM(LEFT(Sync!$L171,FIND("/",Sync!$L171)-1))),4)&amp;"/"&amp;RIGHT("00"&amp;VALUE(TRIM(LEFT(MID(Sync!$L171,FIND("/",Sync!$L171)+1,20),FIND("/",MID(Sync!$L171,FIND("/",Sync!$L171)+1,20))-1))),2)&amp;"/"&amp;RIGHT("00"&amp;VALUE(TRIM(MID(MID(Sync!$L171,FIND("/",Sync!$L171)+1,20),FIND("/",MID(Sync!$L171,FIND("/",Sync!$L171)+1,20))+1,20))),2),"")))</f>
        <v/>
      </c>
    </row>
    <row r="172" spans="1:14" x14ac:dyDescent="0.2">
      <c r="A172" t="str">
        <f>IF(Issues!$B175="","",Issues!$B175)</f>
        <v/>
      </c>
      <c r="B172" t="str">
        <f>IF($A172="","",IF(ISNUMBER(Issues!$C175),IF(AND(Issues!$C175&gt;=10000101,Issues!$C175&lt;=99991231),INT(Issues!$C175/10000),""),IFERROR(VALUE(TRIM(LEFT(Issues!$C175,FIND("/",Issues!$C175)-1))),"")))</f>
        <v/>
      </c>
      <c r="C172" t="str">
        <f>IF(OR($A172="",$B172=""),"",IF(ISNUMBER(Issues!$C175),INT(MOD(Issues!$C175,10000)/100),IFERROR(VALUE(TRIM(LEFT(MID(Issues!$C175,FIND("/",Issues!$C175)+1,20),FIND("/",MID(Issues!$C175,FIND("/",Issues!$C175)+1,20))-1))),"")))</f>
        <v/>
      </c>
      <c r="D172" t="str">
        <f>IF(OR($A172="",$B172=""),"",IF(ISNUMBER(Issues!$C175),MOD(Issues!$C175,100),IFERROR(VALUE(TRIM(MID(MID(Issues!$C175,FIND("/",Issues!$C175)+1,20),FIND("/",MID(Issues!$C175,FIND("/",Issues!$C175)+1,20))+1,20))),"")))</f>
        <v/>
      </c>
      <c r="E172" t="str">
        <f t="shared" si="6"/>
        <v/>
      </c>
      <c r="F172" t="str">
        <f>IF($A172="","",IF(Issues!$D175="",0,Issues!$D175))</f>
        <v/>
      </c>
      <c r="G172" t="str">
        <f>IF($A172="","",Issues!$E175)</f>
        <v/>
      </c>
      <c r="H172" t="str">
        <f t="shared" si="7"/>
        <v/>
      </c>
      <c r="I172" t="str">
        <f t="shared" si="8"/>
        <v/>
      </c>
      <c r="J172" t="str">
        <f>IF($A172="","",Issues!$G175)</f>
        <v/>
      </c>
      <c r="K172" t="str">
        <f>IF(OR($E172="",$E172="نامعتبر"),"",LEFT($E172,4)&amp;MID($E172,6,2)&amp;RIGHT($E172,2)&amp;"|"&amp;RIGHT("00000"&amp;167,5))</f>
        <v/>
      </c>
      <c r="M172" t="str">
        <f>IF(Sync!$M172&lt;&gt;"پاس چک","",IF(Sync!$P172="","",Sync!$P172))</f>
        <v/>
      </c>
      <c r="N172" t="str">
        <f>IF($M172="","",IF(ISNUMBER(Sync!$L172),IF(AND(Sync!$L172&gt;=10000101,Sync!$L172&lt;=99991231),RIGHT("0000"&amp;INT(Sync!$L172/10000),4)&amp;"/"&amp;RIGHT("00"&amp;INT(MOD(Sync!$L172,10000)/100),2)&amp;"/"&amp;RIGHT("00"&amp;MOD(Sync!$L172,100),2),""),IFERROR(RIGHT("0000"&amp;VALUE(TRIM(LEFT(Sync!$L172,FIND("/",Sync!$L172)-1))),4)&amp;"/"&amp;RIGHT("00"&amp;VALUE(TRIM(LEFT(MID(Sync!$L172,FIND("/",Sync!$L172)+1,20),FIND("/",MID(Sync!$L172,FIND("/",Sync!$L172)+1,20))-1))),2)&amp;"/"&amp;RIGHT("00"&amp;VALUE(TRIM(MID(MID(Sync!$L172,FIND("/",Sync!$L172)+1,20),FIND("/",MID(Sync!$L172,FIND("/",Sync!$L172)+1,20))+1,20))),2),"")))</f>
        <v/>
      </c>
    </row>
    <row r="173" spans="1:14" x14ac:dyDescent="0.2">
      <c r="A173" t="str">
        <f>IF(Issues!$B176="","",Issues!$B176)</f>
        <v/>
      </c>
      <c r="B173" t="str">
        <f>IF($A173="","",IF(ISNUMBER(Issues!$C176),IF(AND(Issues!$C176&gt;=10000101,Issues!$C176&lt;=99991231),INT(Issues!$C176/10000),""),IFERROR(VALUE(TRIM(LEFT(Issues!$C176,FIND("/",Issues!$C176)-1))),"")))</f>
        <v/>
      </c>
      <c r="C173" t="str">
        <f>IF(OR($A173="",$B173=""),"",IF(ISNUMBER(Issues!$C176),INT(MOD(Issues!$C176,10000)/100),IFERROR(VALUE(TRIM(LEFT(MID(Issues!$C176,FIND("/",Issues!$C176)+1,20),FIND("/",MID(Issues!$C176,FIND("/",Issues!$C176)+1,20))-1))),"")))</f>
        <v/>
      </c>
      <c r="D173" t="str">
        <f>IF(OR($A173="",$B173=""),"",IF(ISNUMBER(Issues!$C176),MOD(Issues!$C176,100),IFERROR(VALUE(TRIM(MID(MID(Issues!$C176,FIND("/",Issues!$C176)+1,20),FIND("/",MID(Issues!$C176,FIND("/",Issues!$C176)+1,20))+1,20))),"")))</f>
        <v/>
      </c>
      <c r="E173" t="str">
        <f t="shared" si="6"/>
        <v/>
      </c>
      <c r="F173" t="str">
        <f>IF($A173="","",IF(Issues!$D176="",0,Issues!$D176))</f>
        <v/>
      </c>
      <c r="G173" t="str">
        <f>IF($A173="","",Issues!$E176)</f>
        <v/>
      </c>
      <c r="H173" t="str">
        <f t="shared" si="7"/>
        <v/>
      </c>
      <c r="I173" t="str">
        <f t="shared" si="8"/>
        <v/>
      </c>
      <c r="J173" t="str">
        <f>IF($A173="","",Issues!$G176)</f>
        <v/>
      </c>
      <c r="K173" t="str">
        <f>IF(OR($E173="",$E173="نامعتبر"),"",LEFT($E173,4)&amp;MID($E173,6,2)&amp;RIGHT($E173,2)&amp;"|"&amp;RIGHT("00000"&amp;168,5))</f>
        <v/>
      </c>
      <c r="M173" t="str">
        <f>IF(Sync!$M173&lt;&gt;"پاس چک","",IF(Sync!$P173="","",Sync!$P173))</f>
        <v/>
      </c>
      <c r="N173" t="str">
        <f>IF($M173="","",IF(ISNUMBER(Sync!$L173),IF(AND(Sync!$L173&gt;=10000101,Sync!$L173&lt;=99991231),RIGHT("0000"&amp;INT(Sync!$L173/10000),4)&amp;"/"&amp;RIGHT("00"&amp;INT(MOD(Sync!$L173,10000)/100),2)&amp;"/"&amp;RIGHT("00"&amp;MOD(Sync!$L173,100),2),""),IFERROR(RIGHT("0000"&amp;VALUE(TRIM(LEFT(Sync!$L173,FIND("/",Sync!$L173)-1))),4)&amp;"/"&amp;RIGHT("00"&amp;VALUE(TRIM(LEFT(MID(Sync!$L173,FIND("/",Sync!$L173)+1,20),FIND("/",MID(Sync!$L173,FIND("/",Sync!$L173)+1,20))-1))),2)&amp;"/"&amp;RIGHT("00"&amp;VALUE(TRIM(MID(MID(Sync!$L173,FIND("/",Sync!$L173)+1,20),FIND("/",MID(Sync!$L173,FIND("/",Sync!$L173)+1,20))+1,20))),2),"")))</f>
        <v/>
      </c>
    </row>
    <row r="174" spans="1:14" x14ac:dyDescent="0.2">
      <c r="A174" t="str">
        <f>IF(Issues!$B177="","",Issues!$B177)</f>
        <v/>
      </c>
      <c r="B174" t="str">
        <f>IF($A174="","",IF(ISNUMBER(Issues!$C177),IF(AND(Issues!$C177&gt;=10000101,Issues!$C177&lt;=99991231),INT(Issues!$C177/10000),""),IFERROR(VALUE(TRIM(LEFT(Issues!$C177,FIND("/",Issues!$C177)-1))),"")))</f>
        <v/>
      </c>
      <c r="C174" t="str">
        <f>IF(OR($A174="",$B174=""),"",IF(ISNUMBER(Issues!$C177),INT(MOD(Issues!$C177,10000)/100),IFERROR(VALUE(TRIM(LEFT(MID(Issues!$C177,FIND("/",Issues!$C177)+1,20),FIND("/",MID(Issues!$C177,FIND("/",Issues!$C177)+1,20))-1))),"")))</f>
        <v/>
      </c>
      <c r="D174" t="str">
        <f>IF(OR($A174="",$B174=""),"",IF(ISNUMBER(Issues!$C177),MOD(Issues!$C177,100),IFERROR(VALUE(TRIM(MID(MID(Issues!$C177,FIND("/",Issues!$C177)+1,20),FIND("/",MID(Issues!$C177,FIND("/",Issues!$C177)+1,20))+1,20))),"")))</f>
        <v/>
      </c>
      <c r="E174" t="str">
        <f t="shared" si="6"/>
        <v/>
      </c>
      <c r="F174" t="str">
        <f>IF($A174="","",IF(Issues!$D177="",0,Issues!$D177))</f>
        <v/>
      </c>
      <c r="G174" t="str">
        <f>IF($A174="","",Issues!$E177)</f>
        <v/>
      </c>
      <c r="H174" t="str">
        <f t="shared" si="7"/>
        <v/>
      </c>
      <c r="I174" t="str">
        <f t="shared" si="8"/>
        <v/>
      </c>
      <c r="J174" t="str">
        <f>IF($A174="","",Issues!$G177)</f>
        <v/>
      </c>
      <c r="K174" t="str">
        <f>IF(OR($E174="",$E174="نامعتبر"),"",LEFT($E174,4)&amp;MID($E174,6,2)&amp;RIGHT($E174,2)&amp;"|"&amp;RIGHT("00000"&amp;169,5))</f>
        <v/>
      </c>
      <c r="M174" t="str">
        <f>IF(Sync!$M174&lt;&gt;"پاس چک","",IF(Sync!$P174="","",Sync!$P174))</f>
        <v/>
      </c>
      <c r="N174" t="str">
        <f>IF($M174="","",IF(ISNUMBER(Sync!$L174),IF(AND(Sync!$L174&gt;=10000101,Sync!$L174&lt;=99991231),RIGHT("0000"&amp;INT(Sync!$L174/10000),4)&amp;"/"&amp;RIGHT("00"&amp;INT(MOD(Sync!$L174,10000)/100),2)&amp;"/"&amp;RIGHT("00"&amp;MOD(Sync!$L174,100),2),""),IFERROR(RIGHT("0000"&amp;VALUE(TRIM(LEFT(Sync!$L174,FIND("/",Sync!$L174)-1))),4)&amp;"/"&amp;RIGHT("00"&amp;VALUE(TRIM(LEFT(MID(Sync!$L174,FIND("/",Sync!$L174)+1,20),FIND("/",MID(Sync!$L174,FIND("/",Sync!$L174)+1,20))-1))),2)&amp;"/"&amp;RIGHT("00"&amp;VALUE(TRIM(MID(MID(Sync!$L174,FIND("/",Sync!$L174)+1,20),FIND("/",MID(Sync!$L174,FIND("/",Sync!$L174)+1,20))+1,20))),2),"")))</f>
        <v/>
      </c>
    </row>
    <row r="175" spans="1:14" x14ac:dyDescent="0.2">
      <c r="A175" t="str">
        <f>IF(Issues!$B178="","",Issues!$B178)</f>
        <v/>
      </c>
      <c r="B175" t="str">
        <f>IF($A175="","",IF(ISNUMBER(Issues!$C178),IF(AND(Issues!$C178&gt;=10000101,Issues!$C178&lt;=99991231),INT(Issues!$C178/10000),""),IFERROR(VALUE(TRIM(LEFT(Issues!$C178,FIND("/",Issues!$C178)-1))),"")))</f>
        <v/>
      </c>
      <c r="C175" t="str">
        <f>IF(OR($A175="",$B175=""),"",IF(ISNUMBER(Issues!$C178),INT(MOD(Issues!$C178,10000)/100),IFERROR(VALUE(TRIM(LEFT(MID(Issues!$C178,FIND("/",Issues!$C178)+1,20),FIND("/",MID(Issues!$C178,FIND("/",Issues!$C178)+1,20))-1))),"")))</f>
        <v/>
      </c>
      <c r="D175" t="str">
        <f>IF(OR($A175="",$B175=""),"",IF(ISNUMBER(Issues!$C178),MOD(Issues!$C178,100),IFERROR(VALUE(TRIM(MID(MID(Issues!$C178,FIND("/",Issues!$C178)+1,20),FIND("/",MID(Issues!$C178,FIND("/",Issues!$C178)+1,20))+1,20))),"")))</f>
        <v/>
      </c>
      <c r="E175" t="str">
        <f t="shared" si="6"/>
        <v/>
      </c>
      <c r="F175" t="str">
        <f>IF($A175="","",IF(Issues!$D178="",0,Issues!$D178))</f>
        <v/>
      </c>
      <c r="G175" t="str">
        <f>IF($A175="","",Issues!$E178)</f>
        <v/>
      </c>
      <c r="H175" t="str">
        <f t="shared" si="7"/>
        <v/>
      </c>
      <c r="I175" t="str">
        <f t="shared" si="8"/>
        <v/>
      </c>
      <c r="J175" t="str">
        <f>IF($A175="","",Issues!$G178)</f>
        <v/>
      </c>
      <c r="K175" t="str">
        <f>IF(OR($E175="",$E175="نامعتبر"),"",LEFT($E175,4)&amp;MID($E175,6,2)&amp;RIGHT($E175,2)&amp;"|"&amp;RIGHT("00000"&amp;170,5))</f>
        <v/>
      </c>
      <c r="M175" t="str">
        <f>IF(Sync!$M175&lt;&gt;"پاس چک","",IF(Sync!$P175="","",Sync!$P175))</f>
        <v/>
      </c>
      <c r="N175" t="str">
        <f>IF($M175="","",IF(ISNUMBER(Sync!$L175),IF(AND(Sync!$L175&gt;=10000101,Sync!$L175&lt;=99991231),RIGHT("0000"&amp;INT(Sync!$L175/10000),4)&amp;"/"&amp;RIGHT("00"&amp;INT(MOD(Sync!$L175,10000)/100),2)&amp;"/"&amp;RIGHT("00"&amp;MOD(Sync!$L175,100),2),""),IFERROR(RIGHT("0000"&amp;VALUE(TRIM(LEFT(Sync!$L175,FIND("/",Sync!$L175)-1))),4)&amp;"/"&amp;RIGHT("00"&amp;VALUE(TRIM(LEFT(MID(Sync!$L175,FIND("/",Sync!$L175)+1,20),FIND("/",MID(Sync!$L175,FIND("/",Sync!$L175)+1,20))-1))),2)&amp;"/"&amp;RIGHT("00"&amp;VALUE(TRIM(MID(MID(Sync!$L175,FIND("/",Sync!$L175)+1,20),FIND("/",MID(Sync!$L175,FIND("/",Sync!$L175)+1,20))+1,20))),2),"")))</f>
        <v/>
      </c>
    </row>
    <row r="176" spans="1:14" x14ac:dyDescent="0.2">
      <c r="A176" t="str">
        <f>IF(Issues!$B179="","",Issues!$B179)</f>
        <v/>
      </c>
      <c r="B176" t="str">
        <f>IF($A176="","",IF(ISNUMBER(Issues!$C179),IF(AND(Issues!$C179&gt;=10000101,Issues!$C179&lt;=99991231),INT(Issues!$C179/10000),""),IFERROR(VALUE(TRIM(LEFT(Issues!$C179,FIND("/",Issues!$C179)-1))),"")))</f>
        <v/>
      </c>
      <c r="C176" t="str">
        <f>IF(OR($A176="",$B176=""),"",IF(ISNUMBER(Issues!$C179),INT(MOD(Issues!$C179,10000)/100),IFERROR(VALUE(TRIM(LEFT(MID(Issues!$C179,FIND("/",Issues!$C179)+1,20),FIND("/",MID(Issues!$C179,FIND("/",Issues!$C179)+1,20))-1))),"")))</f>
        <v/>
      </c>
      <c r="D176" t="str">
        <f>IF(OR($A176="",$B176=""),"",IF(ISNUMBER(Issues!$C179),MOD(Issues!$C179,100),IFERROR(VALUE(TRIM(MID(MID(Issues!$C179,FIND("/",Issues!$C179)+1,20),FIND("/",MID(Issues!$C179,FIND("/",Issues!$C179)+1,20))+1,20))),"")))</f>
        <v/>
      </c>
      <c r="E176" t="str">
        <f t="shared" si="6"/>
        <v/>
      </c>
      <c r="F176" t="str">
        <f>IF($A176="","",IF(Issues!$D179="",0,Issues!$D179))</f>
        <v/>
      </c>
      <c r="G176" t="str">
        <f>IF($A176="","",Issues!$E179)</f>
        <v/>
      </c>
      <c r="H176" t="str">
        <f t="shared" si="7"/>
        <v/>
      </c>
      <c r="I176" t="str">
        <f t="shared" si="8"/>
        <v/>
      </c>
      <c r="J176" t="str">
        <f>IF($A176="","",Issues!$G179)</f>
        <v/>
      </c>
      <c r="K176" t="str">
        <f>IF(OR($E176="",$E176="نامعتبر"),"",LEFT($E176,4)&amp;MID($E176,6,2)&amp;RIGHT($E176,2)&amp;"|"&amp;RIGHT("00000"&amp;171,5))</f>
        <v/>
      </c>
      <c r="M176" t="str">
        <f>IF(Sync!$M176&lt;&gt;"پاس چک","",IF(Sync!$P176="","",Sync!$P176))</f>
        <v/>
      </c>
      <c r="N176" t="str">
        <f>IF($M176="","",IF(ISNUMBER(Sync!$L176),IF(AND(Sync!$L176&gt;=10000101,Sync!$L176&lt;=99991231),RIGHT("0000"&amp;INT(Sync!$L176/10000),4)&amp;"/"&amp;RIGHT("00"&amp;INT(MOD(Sync!$L176,10000)/100),2)&amp;"/"&amp;RIGHT("00"&amp;MOD(Sync!$L176,100),2),""),IFERROR(RIGHT("0000"&amp;VALUE(TRIM(LEFT(Sync!$L176,FIND("/",Sync!$L176)-1))),4)&amp;"/"&amp;RIGHT("00"&amp;VALUE(TRIM(LEFT(MID(Sync!$L176,FIND("/",Sync!$L176)+1,20),FIND("/",MID(Sync!$L176,FIND("/",Sync!$L176)+1,20))-1))),2)&amp;"/"&amp;RIGHT("00"&amp;VALUE(TRIM(MID(MID(Sync!$L176,FIND("/",Sync!$L176)+1,20),FIND("/",MID(Sync!$L176,FIND("/",Sync!$L176)+1,20))+1,20))),2),"")))</f>
        <v/>
      </c>
    </row>
    <row r="177" spans="1:14" x14ac:dyDescent="0.2">
      <c r="A177" t="str">
        <f>IF(Issues!$B180="","",Issues!$B180)</f>
        <v/>
      </c>
      <c r="B177" t="str">
        <f>IF($A177="","",IF(ISNUMBER(Issues!$C180),IF(AND(Issues!$C180&gt;=10000101,Issues!$C180&lt;=99991231),INT(Issues!$C180/10000),""),IFERROR(VALUE(TRIM(LEFT(Issues!$C180,FIND("/",Issues!$C180)-1))),"")))</f>
        <v/>
      </c>
      <c r="C177" t="str">
        <f>IF(OR($A177="",$B177=""),"",IF(ISNUMBER(Issues!$C180),INT(MOD(Issues!$C180,10000)/100),IFERROR(VALUE(TRIM(LEFT(MID(Issues!$C180,FIND("/",Issues!$C180)+1,20),FIND("/",MID(Issues!$C180,FIND("/",Issues!$C180)+1,20))-1))),"")))</f>
        <v/>
      </c>
      <c r="D177" t="str">
        <f>IF(OR($A177="",$B177=""),"",IF(ISNUMBER(Issues!$C180),MOD(Issues!$C180,100),IFERROR(VALUE(TRIM(MID(MID(Issues!$C180,FIND("/",Issues!$C180)+1,20),FIND("/",MID(Issues!$C180,FIND("/",Issues!$C180)+1,20))+1,20))),"")))</f>
        <v/>
      </c>
      <c r="E177" t="str">
        <f t="shared" si="6"/>
        <v/>
      </c>
      <c r="F177" t="str">
        <f>IF($A177="","",IF(Issues!$D180="",0,Issues!$D180))</f>
        <v/>
      </c>
      <c r="G177" t="str">
        <f>IF($A177="","",Issues!$E180)</f>
        <v/>
      </c>
      <c r="H177" t="str">
        <f t="shared" si="7"/>
        <v/>
      </c>
      <c r="I177" t="str">
        <f t="shared" si="8"/>
        <v/>
      </c>
      <c r="J177" t="str">
        <f>IF($A177="","",Issues!$G180)</f>
        <v/>
      </c>
      <c r="K177" t="str">
        <f>IF(OR($E177="",$E177="نامعتبر"),"",LEFT($E177,4)&amp;MID($E177,6,2)&amp;RIGHT($E177,2)&amp;"|"&amp;RIGHT("00000"&amp;172,5))</f>
        <v/>
      </c>
      <c r="M177" t="str">
        <f>IF(Sync!$M177&lt;&gt;"پاس چک","",IF(Sync!$P177="","",Sync!$P177))</f>
        <v/>
      </c>
      <c r="N177" t="str">
        <f>IF($M177="","",IF(ISNUMBER(Sync!$L177),IF(AND(Sync!$L177&gt;=10000101,Sync!$L177&lt;=99991231),RIGHT("0000"&amp;INT(Sync!$L177/10000),4)&amp;"/"&amp;RIGHT("00"&amp;INT(MOD(Sync!$L177,10000)/100),2)&amp;"/"&amp;RIGHT("00"&amp;MOD(Sync!$L177,100),2),""),IFERROR(RIGHT("0000"&amp;VALUE(TRIM(LEFT(Sync!$L177,FIND("/",Sync!$L177)-1))),4)&amp;"/"&amp;RIGHT("00"&amp;VALUE(TRIM(LEFT(MID(Sync!$L177,FIND("/",Sync!$L177)+1,20),FIND("/",MID(Sync!$L177,FIND("/",Sync!$L177)+1,20))-1))),2)&amp;"/"&amp;RIGHT("00"&amp;VALUE(TRIM(MID(MID(Sync!$L177,FIND("/",Sync!$L177)+1,20),FIND("/",MID(Sync!$L177,FIND("/",Sync!$L177)+1,20))+1,20))),2),"")))</f>
        <v/>
      </c>
    </row>
    <row r="178" spans="1:14" x14ac:dyDescent="0.2">
      <c r="A178" t="str">
        <f>IF(Issues!$B181="","",Issues!$B181)</f>
        <v/>
      </c>
      <c r="B178" t="str">
        <f>IF($A178="","",IF(ISNUMBER(Issues!$C181),IF(AND(Issues!$C181&gt;=10000101,Issues!$C181&lt;=99991231),INT(Issues!$C181/10000),""),IFERROR(VALUE(TRIM(LEFT(Issues!$C181,FIND("/",Issues!$C181)-1))),"")))</f>
        <v/>
      </c>
      <c r="C178" t="str">
        <f>IF(OR($A178="",$B178=""),"",IF(ISNUMBER(Issues!$C181),INT(MOD(Issues!$C181,10000)/100),IFERROR(VALUE(TRIM(LEFT(MID(Issues!$C181,FIND("/",Issues!$C181)+1,20),FIND("/",MID(Issues!$C181,FIND("/",Issues!$C181)+1,20))-1))),"")))</f>
        <v/>
      </c>
      <c r="D178" t="str">
        <f>IF(OR($A178="",$B178=""),"",IF(ISNUMBER(Issues!$C181),MOD(Issues!$C181,100),IFERROR(VALUE(TRIM(MID(MID(Issues!$C181,FIND("/",Issues!$C181)+1,20),FIND("/",MID(Issues!$C181,FIND("/",Issues!$C181)+1,20))+1,20))),"")))</f>
        <v/>
      </c>
      <c r="E178" t="str">
        <f t="shared" si="6"/>
        <v/>
      </c>
      <c r="F178" t="str">
        <f>IF($A178="","",IF(Issues!$D181="",0,Issues!$D181))</f>
        <v/>
      </c>
      <c r="G178" t="str">
        <f>IF($A178="","",Issues!$E181)</f>
        <v/>
      </c>
      <c r="H178" t="str">
        <f t="shared" si="7"/>
        <v/>
      </c>
      <c r="I178" t="str">
        <f t="shared" si="8"/>
        <v/>
      </c>
      <c r="J178" t="str">
        <f>IF($A178="","",Issues!$G181)</f>
        <v/>
      </c>
      <c r="K178" t="str">
        <f>IF(OR($E178="",$E178="نامعتبر"),"",LEFT($E178,4)&amp;MID($E178,6,2)&amp;RIGHT($E178,2)&amp;"|"&amp;RIGHT("00000"&amp;173,5))</f>
        <v/>
      </c>
      <c r="M178" t="str">
        <f>IF(Sync!$M178&lt;&gt;"پاس چک","",IF(Sync!$P178="","",Sync!$P178))</f>
        <v/>
      </c>
      <c r="N178" t="str">
        <f>IF($M178="","",IF(ISNUMBER(Sync!$L178),IF(AND(Sync!$L178&gt;=10000101,Sync!$L178&lt;=99991231),RIGHT("0000"&amp;INT(Sync!$L178/10000),4)&amp;"/"&amp;RIGHT("00"&amp;INT(MOD(Sync!$L178,10000)/100),2)&amp;"/"&amp;RIGHT("00"&amp;MOD(Sync!$L178,100),2),""),IFERROR(RIGHT("0000"&amp;VALUE(TRIM(LEFT(Sync!$L178,FIND("/",Sync!$L178)-1))),4)&amp;"/"&amp;RIGHT("00"&amp;VALUE(TRIM(LEFT(MID(Sync!$L178,FIND("/",Sync!$L178)+1,20),FIND("/",MID(Sync!$L178,FIND("/",Sync!$L178)+1,20))-1))),2)&amp;"/"&amp;RIGHT("00"&amp;VALUE(TRIM(MID(MID(Sync!$L178,FIND("/",Sync!$L178)+1,20),FIND("/",MID(Sync!$L178,FIND("/",Sync!$L178)+1,20))+1,20))),2),"")))</f>
        <v/>
      </c>
    </row>
    <row r="179" spans="1:14" x14ac:dyDescent="0.2">
      <c r="A179" t="str">
        <f>IF(Issues!$B182="","",Issues!$B182)</f>
        <v/>
      </c>
      <c r="B179" t="str">
        <f>IF($A179="","",IF(ISNUMBER(Issues!$C182),IF(AND(Issues!$C182&gt;=10000101,Issues!$C182&lt;=99991231),INT(Issues!$C182/10000),""),IFERROR(VALUE(TRIM(LEFT(Issues!$C182,FIND("/",Issues!$C182)-1))),"")))</f>
        <v/>
      </c>
      <c r="C179" t="str">
        <f>IF(OR($A179="",$B179=""),"",IF(ISNUMBER(Issues!$C182),INT(MOD(Issues!$C182,10000)/100),IFERROR(VALUE(TRIM(LEFT(MID(Issues!$C182,FIND("/",Issues!$C182)+1,20),FIND("/",MID(Issues!$C182,FIND("/",Issues!$C182)+1,20))-1))),"")))</f>
        <v/>
      </c>
      <c r="D179" t="str">
        <f>IF(OR($A179="",$B179=""),"",IF(ISNUMBER(Issues!$C182),MOD(Issues!$C182,100),IFERROR(VALUE(TRIM(MID(MID(Issues!$C182,FIND("/",Issues!$C182)+1,20),FIND("/",MID(Issues!$C182,FIND("/",Issues!$C182)+1,20))+1,20))),"")))</f>
        <v/>
      </c>
      <c r="E179" t="str">
        <f t="shared" si="6"/>
        <v/>
      </c>
      <c r="F179" t="str">
        <f>IF($A179="","",IF(Issues!$D182="",0,Issues!$D182))</f>
        <v/>
      </c>
      <c r="G179" t="str">
        <f>IF($A179="","",Issues!$E182)</f>
        <v/>
      </c>
      <c r="H179" t="str">
        <f t="shared" si="7"/>
        <v/>
      </c>
      <c r="I179" t="str">
        <f t="shared" si="8"/>
        <v/>
      </c>
      <c r="J179" t="str">
        <f>IF($A179="","",Issues!$G182)</f>
        <v/>
      </c>
      <c r="K179" t="str">
        <f>IF(OR($E179="",$E179="نامعتبر"),"",LEFT($E179,4)&amp;MID($E179,6,2)&amp;RIGHT($E179,2)&amp;"|"&amp;RIGHT("00000"&amp;174,5))</f>
        <v/>
      </c>
      <c r="M179" t="str">
        <f>IF(Sync!$M179&lt;&gt;"پاس چک","",IF(Sync!$P179="","",Sync!$P179))</f>
        <v/>
      </c>
      <c r="N179" t="str">
        <f>IF($M179="","",IF(ISNUMBER(Sync!$L179),IF(AND(Sync!$L179&gt;=10000101,Sync!$L179&lt;=99991231),RIGHT("0000"&amp;INT(Sync!$L179/10000),4)&amp;"/"&amp;RIGHT("00"&amp;INT(MOD(Sync!$L179,10000)/100),2)&amp;"/"&amp;RIGHT("00"&amp;MOD(Sync!$L179,100),2),""),IFERROR(RIGHT("0000"&amp;VALUE(TRIM(LEFT(Sync!$L179,FIND("/",Sync!$L179)-1))),4)&amp;"/"&amp;RIGHT("00"&amp;VALUE(TRIM(LEFT(MID(Sync!$L179,FIND("/",Sync!$L179)+1,20),FIND("/",MID(Sync!$L179,FIND("/",Sync!$L179)+1,20))-1))),2)&amp;"/"&amp;RIGHT("00"&amp;VALUE(TRIM(MID(MID(Sync!$L179,FIND("/",Sync!$L179)+1,20),FIND("/",MID(Sync!$L179,FIND("/",Sync!$L179)+1,20))+1,20))),2),"")))</f>
        <v/>
      </c>
    </row>
    <row r="180" spans="1:14" x14ac:dyDescent="0.2">
      <c r="A180" t="str">
        <f>IF(Issues!$B183="","",Issues!$B183)</f>
        <v/>
      </c>
      <c r="B180" t="str">
        <f>IF($A180="","",IF(ISNUMBER(Issues!$C183),IF(AND(Issues!$C183&gt;=10000101,Issues!$C183&lt;=99991231),INT(Issues!$C183/10000),""),IFERROR(VALUE(TRIM(LEFT(Issues!$C183,FIND("/",Issues!$C183)-1))),"")))</f>
        <v/>
      </c>
      <c r="C180" t="str">
        <f>IF(OR($A180="",$B180=""),"",IF(ISNUMBER(Issues!$C183),INT(MOD(Issues!$C183,10000)/100),IFERROR(VALUE(TRIM(LEFT(MID(Issues!$C183,FIND("/",Issues!$C183)+1,20),FIND("/",MID(Issues!$C183,FIND("/",Issues!$C183)+1,20))-1))),"")))</f>
        <v/>
      </c>
      <c r="D180" t="str">
        <f>IF(OR($A180="",$B180=""),"",IF(ISNUMBER(Issues!$C183),MOD(Issues!$C183,100),IFERROR(VALUE(TRIM(MID(MID(Issues!$C183,FIND("/",Issues!$C183)+1,20),FIND("/",MID(Issues!$C183,FIND("/",Issues!$C183)+1,20))+1,20))),"")))</f>
        <v/>
      </c>
      <c r="E180" t="str">
        <f t="shared" si="6"/>
        <v/>
      </c>
      <c r="F180" t="str">
        <f>IF($A180="","",IF(Issues!$D183="",0,Issues!$D183))</f>
        <v/>
      </c>
      <c r="G180" t="str">
        <f>IF($A180="","",Issues!$E183)</f>
        <v/>
      </c>
      <c r="H180" t="str">
        <f t="shared" si="7"/>
        <v/>
      </c>
      <c r="I180" t="str">
        <f t="shared" si="8"/>
        <v/>
      </c>
      <c r="J180" t="str">
        <f>IF($A180="","",Issues!$G183)</f>
        <v/>
      </c>
      <c r="K180" t="str">
        <f>IF(OR($E180="",$E180="نامعتبر"),"",LEFT($E180,4)&amp;MID($E180,6,2)&amp;RIGHT($E180,2)&amp;"|"&amp;RIGHT("00000"&amp;175,5))</f>
        <v/>
      </c>
      <c r="M180" t="str">
        <f>IF(Sync!$M180&lt;&gt;"پاس چک","",IF(Sync!$P180="","",Sync!$P180))</f>
        <v/>
      </c>
      <c r="N180" t="str">
        <f>IF($M180="","",IF(ISNUMBER(Sync!$L180),IF(AND(Sync!$L180&gt;=10000101,Sync!$L180&lt;=99991231),RIGHT("0000"&amp;INT(Sync!$L180/10000),4)&amp;"/"&amp;RIGHT("00"&amp;INT(MOD(Sync!$L180,10000)/100),2)&amp;"/"&amp;RIGHT("00"&amp;MOD(Sync!$L180,100),2),""),IFERROR(RIGHT("0000"&amp;VALUE(TRIM(LEFT(Sync!$L180,FIND("/",Sync!$L180)-1))),4)&amp;"/"&amp;RIGHT("00"&amp;VALUE(TRIM(LEFT(MID(Sync!$L180,FIND("/",Sync!$L180)+1,20),FIND("/",MID(Sync!$L180,FIND("/",Sync!$L180)+1,20))-1))),2)&amp;"/"&amp;RIGHT("00"&amp;VALUE(TRIM(MID(MID(Sync!$L180,FIND("/",Sync!$L180)+1,20),FIND("/",MID(Sync!$L180,FIND("/",Sync!$L180)+1,20))+1,20))),2),"")))</f>
        <v/>
      </c>
    </row>
    <row r="181" spans="1:14" x14ac:dyDescent="0.2">
      <c r="A181" t="str">
        <f>IF(Issues!$B184="","",Issues!$B184)</f>
        <v/>
      </c>
      <c r="B181" t="str">
        <f>IF($A181="","",IF(ISNUMBER(Issues!$C184),IF(AND(Issues!$C184&gt;=10000101,Issues!$C184&lt;=99991231),INT(Issues!$C184/10000),""),IFERROR(VALUE(TRIM(LEFT(Issues!$C184,FIND("/",Issues!$C184)-1))),"")))</f>
        <v/>
      </c>
      <c r="C181" t="str">
        <f>IF(OR($A181="",$B181=""),"",IF(ISNUMBER(Issues!$C184),INT(MOD(Issues!$C184,10000)/100),IFERROR(VALUE(TRIM(LEFT(MID(Issues!$C184,FIND("/",Issues!$C184)+1,20),FIND("/",MID(Issues!$C184,FIND("/",Issues!$C184)+1,20))-1))),"")))</f>
        <v/>
      </c>
      <c r="D181" t="str">
        <f>IF(OR($A181="",$B181=""),"",IF(ISNUMBER(Issues!$C184),MOD(Issues!$C184,100),IFERROR(VALUE(TRIM(MID(MID(Issues!$C184,FIND("/",Issues!$C184)+1,20),FIND("/",MID(Issues!$C184,FIND("/",Issues!$C184)+1,20))+1,20))),"")))</f>
        <v/>
      </c>
      <c r="E181" t="str">
        <f t="shared" si="6"/>
        <v/>
      </c>
      <c r="F181" t="str">
        <f>IF($A181="","",IF(Issues!$D184="",0,Issues!$D184))</f>
        <v/>
      </c>
      <c r="G181" t="str">
        <f>IF($A181="","",Issues!$E184)</f>
        <v/>
      </c>
      <c r="H181" t="str">
        <f t="shared" si="7"/>
        <v/>
      </c>
      <c r="I181" t="str">
        <f t="shared" si="8"/>
        <v/>
      </c>
      <c r="J181" t="str">
        <f>IF($A181="","",Issues!$G184)</f>
        <v/>
      </c>
      <c r="K181" t="str">
        <f>IF(OR($E181="",$E181="نامعتبر"),"",LEFT($E181,4)&amp;MID($E181,6,2)&amp;RIGHT($E181,2)&amp;"|"&amp;RIGHT("00000"&amp;176,5))</f>
        <v/>
      </c>
      <c r="M181" t="str">
        <f>IF(Sync!$M181&lt;&gt;"پاس چک","",IF(Sync!$P181="","",Sync!$P181))</f>
        <v/>
      </c>
      <c r="N181" t="str">
        <f>IF($M181="","",IF(ISNUMBER(Sync!$L181),IF(AND(Sync!$L181&gt;=10000101,Sync!$L181&lt;=99991231),RIGHT("0000"&amp;INT(Sync!$L181/10000),4)&amp;"/"&amp;RIGHT("00"&amp;INT(MOD(Sync!$L181,10000)/100),2)&amp;"/"&amp;RIGHT("00"&amp;MOD(Sync!$L181,100),2),""),IFERROR(RIGHT("0000"&amp;VALUE(TRIM(LEFT(Sync!$L181,FIND("/",Sync!$L181)-1))),4)&amp;"/"&amp;RIGHT("00"&amp;VALUE(TRIM(LEFT(MID(Sync!$L181,FIND("/",Sync!$L181)+1,20),FIND("/",MID(Sync!$L181,FIND("/",Sync!$L181)+1,20))-1))),2)&amp;"/"&amp;RIGHT("00"&amp;VALUE(TRIM(MID(MID(Sync!$L181,FIND("/",Sync!$L181)+1,20),FIND("/",MID(Sync!$L181,FIND("/",Sync!$L181)+1,20))+1,20))),2),"")))</f>
        <v/>
      </c>
    </row>
    <row r="182" spans="1:14" x14ac:dyDescent="0.2">
      <c r="A182" t="str">
        <f>IF(Issues!$B185="","",Issues!$B185)</f>
        <v/>
      </c>
      <c r="B182" t="str">
        <f>IF($A182="","",IF(ISNUMBER(Issues!$C185),IF(AND(Issues!$C185&gt;=10000101,Issues!$C185&lt;=99991231),INT(Issues!$C185/10000),""),IFERROR(VALUE(TRIM(LEFT(Issues!$C185,FIND("/",Issues!$C185)-1))),"")))</f>
        <v/>
      </c>
      <c r="C182" t="str">
        <f>IF(OR($A182="",$B182=""),"",IF(ISNUMBER(Issues!$C185),INT(MOD(Issues!$C185,10000)/100),IFERROR(VALUE(TRIM(LEFT(MID(Issues!$C185,FIND("/",Issues!$C185)+1,20),FIND("/",MID(Issues!$C185,FIND("/",Issues!$C185)+1,20))-1))),"")))</f>
        <v/>
      </c>
      <c r="D182" t="str">
        <f>IF(OR($A182="",$B182=""),"",IF(ISNUMBER(Issues!$C185),MOD(Issues!$C185,100),IFERROR(VALUE(TRIM(MID(MID(Issues!$C185,FIND("/",Issues!$C185)+1,20),FIND("/",MID(Issues!$C185,FIND("/",Issues!$C185)+1,20))+1,20))),"")))</f>
        <v/>
      </c>
      <c r="E182" t="str">
        <f t="shared" si="6"/>
        <v/>
      </c>
      <c r="F182" t="str">
        <f>IF($A182="","",IF(Issues!$D185="",0,Issues!$D185))</f>
        <v/>
      </c>
      <c r="G182" t="str">
        <f>IF($A182="","",Issues!$E185)</f>
        <v/>
      </c>
      <c r="H182" t="str">
        <f t="shared" si="7"/>
        <v/>
      </c>
      <c r="I182" t="str">
        <f t="shared" si="8"/>
        <v/>
      </c>
      <c r="J182" t="str">
        <f>IF($A182="","",Issues!$G185)</f>
        <v/>
      </c>
      <c r="K182" t="str">
        <f>IF(OR($E182="",$E182="نامعتبر"),"",LEFT($E182,4)&amp;MID($E182,6,2)&amp;RIGHT($E182,2)&amp;"|"&amp;RIGHT("00000"&amp;177,5))</f>
        <v/>
      </c>
      <c r="M182" t="str">
        <f>IF(Sync!$M182&lt;&gt;"پاس چک","",IF(Sync!$P182="","",Sync!$P182))</f>
        <v/>
      </c>
      <c r="N182" t="str">
        <f>IF($M182="","",IF(ISNUMBER(Sync!$L182),IF(AND(Sync!$L182&gt;=10000101,Sync!$L182&lt;=99991231),RIGHT("0000"&amp;INT(Sync!$L182/10000),4)&amp;"/"&amp;RIGHT("00"&amp;INT(MOD(Sync!$L182,10000)/100),2)&amp;"/"&amp;RIGHT("00"&amp;MOD(Sync!$L182,100),2),""),IFERROR(RIGHT("0000"&amp;VALUE(TRIM(LEFT(Sync!$L182,FIND("/",Sync!$L182)-1))),4)&amp;"/"&amp;RIGHT("00"&amp;VALUE(TRIM(LEFT(MID(Sync!$L182,FIND("/",Sync!$L182)+1,20),FIND("/",MID(Sync!$L182,FIND("/",Sync!$L182)+1,20))-1))),2)&amp;"/"&amp;RIGHT("00"&amp;VALUE(TRIM(MID(MID(Sync!$L182,FIND("/",Sync!$L182)+1,20),FIND("/",MID(Sync!$L182,FIND("/",Sync!$L182)+1,20))+1,20))),2),"")))</f>
        <v/>
      </c>
    </row>
    <row r="183" spans="1:14" x14ac:dyDescent="0.2">
      <c r="A183" t="str">
        <f>IF(Issues!$B186="","",Issues!$B186)</f>
        <v/>
      </c>
      <c r="B183" t="str">
        <f>IF($A183="","",IF(ISNUMBER(Issues!$C186),IF(AND(Issues!$C186&gt;=10000101,Issues!$C186&lt;=99991231),INT(Issues!$C186/10000),""),IFERROR(VALUE(TRIM(LEFT(Issues!$C186,FIND("/",Issues!$C186)-1))),"")))</f>
        <v/>
      </c>
      <c r="C183" t="str">
        <f>IF(OR($A183="",$B183=""),"",IF(ISNUMBER(Issues!$C186),INT(MOD(Issues!$C186,10000)/100),IFERROR(VALUE(TRIM(LEFT(MID(Issues!$C186,FIND("/",Issues!$C186)+1,20),FIND("/",MID(Issues!$C186,FIND("/",Issues!$C186)+1,20))-1))),"")))</f>
        <v/>
      </c>
      <c r="D183" t="str">
        <f>IF(OR($A183="",$B183=""),"",IF(ISNUMBER(Issues!$C186),MOD(Issues!$C186,100),IFERROR(VALUE(TRIM(MID(MID(Issues!$C186,FIND("/",Issues!$C186)+1,20),FIND("/",MID(Issues!$C186,FIND("/",Issues!$C186)+1,20))+1,20))),"")))</f>
        <v/>
      </c>
      <c r="E183" t="str">
        <f t="shared" si="6"/>
        <v/>
      </c>
      <c r="F183" t="str">
        <f>IF($A183="","",IF(Issues!$D186="",0,Issues!$D186))</f>
        <v/>
      </c>
      <c r="G183" t="str">
        <f>IF($A183="","",Issues!$E186)</f>
        <v/>
      </c>
      <c r="H183" t="str">
        <f t="shared" si="7"/>
        <v/>
      </c>
      <c r="I183" t="str">
        <f t="shared" si="8"/>
        <v/>
      </c>
      <c r="J183" t="str">
        <f>IF($A183="","",Issues!$G186)</f>
        <v/>
      </c>
      <c r="K183" t="str">
        <f>IF(OR($E183="",$E183="نامعتبر"),"",LEFT($E183,4)&amp;MID($E183,6,2)&amp;RIGHT($E183,2)&amp;"|"&amp;RIGHT("00000"&amp;178,5))</f>
        <v/>
      </c>
      <c r="M183" t="str">
        <f>IF(Sync!$M183&lt;&gt;"پاس چک","",IF(Sync!$P183="","",Sync!$P183))</f>
        <v/>
      </c>
      <c r="N183" t="str">
        <f>IF($M183="","",IF(ISNUMBER(Sync!$L183),IF(AND(Sync!$L183&gt;=10000101,Sync!$L183&lt;=99991231),RIGHT("0000"&amp;INT(Sync!$L183/10000),4)&amp;"/"&amp;RIGHT("00"&amp;INT(MOD(Sync!$L183,10000)/100),2)&amp;"/"&amp;RIGHT("00"&amp;MOD(Sync!$L183,100),2),""),IFERROR(RIGHT("0000"&amp;VALUE(TRIM(LEFT(Sync!$L183,FIND("/",Sync!$L183)-1))),4)&amp;"/"&amp;RIGHT("00"&amp;VALUE(TRIM(LEFT(MID(Sync!$L183,FIND("/",Sync!$L183)+1,20),FIND("/",MID(Sync!$L183,FIND("/",Sync!$L183)+1,20))-1))),2)&amp;"/"&amp;RIGHT("00"&amp;VALUE(TRIM(MID(MID(Sync!$L183,FIND("/",Sync!$L183)+1,20),FIND("/",MID(Sync!$L183,FIND("/",Sync!$L183)+1,20))+1,20))),2),"")))</f>
        <v/>
      </c>
    </row>
    <row r="184" spans="1:14" x14ac:dyDescent="0.2">
      <c r="A184" t="str">
        <f>IF(Issues!$B187="","",Issues!$B187)</f>
        <v/>
      </c>
      <c r="B184" t="str">
        <f>IF($A184="","",IF(ISNUMBER(Issues!$C187),IF(AND(Issues!$C187&gt;=10000101,Issues!$C187&lt;=99991231),INT(Issues!$C187/10000),""),IFERROR(VALUE(TRIM(LEFT(Issues!$C187,FIND("/",Issues!$C187)-1))),"")))</f>
        <v/>
      </c>
      <c r="C184" t="str">
        <f>IF(OR($A184="",$B184=""),"",IF(ISNUMBER(Issues!$C187),INT(MOD(Issues!$C187,10000)/100),IFERROR(VALUE(TRIM(LEFT(MID(Issues!$C187,FIND("/",Issues!$C187)+1,20),FIND("/",MID(Issues!$C187,FIND("/",Issues!$C187)+1,20))-1))),"")))</f>
        <v/>
      </c>
      <c r="D184" t="str">
        <f>IF(OR($A184="",$B184=""),"",IF(ISNUMBER(Issues!$C187),MOD(Issues!$C187,100),IFERROR(VALUE(TRIM(MID(MID(Issues!$C187,FIND("/",Issues!$C187)+1,20),FIND("/",MID(Issues!$C187,FIND("/",Issues!$C187)+1,20))+1,20))),"")))</f>
        <v/>
      </c>
      <c r="E184" t="str">
        <f t="shared" si="6"/>
        <v/>
      </c>
      <c r="F184" t="str">
        <f>IF($A184="","",IF(Issues!$D187="",0,Issues!$D187))</f>
        <v/>
      </c>
      <c r="G184" t="str">
        <f>IF($A184="","",Issues!$E187)</f>
        <v/>
      </c>
      <c r="H184" t="str">
        <f t="shared" si="7"/>
        <v/>
      </c>
      <c r="I184" t="str">
        <f t="shared" si="8"/>
        <v/>
      </c>
      <c r="J184" t="str">
        <f>IF($A184="","",Issues!$G187)</f>
        <v/>
      </c>
      <c r="K184" t="str">
        <f>IF(OR($E184="",$E184="نامعتبر"),"",LEFT($E184,4)&amp;MID($E184,6,2)&amp;RIGHT($E184,2)&amp;"|"&amp;RIGHT("00000"&amp;179,5))</f>
        <v/>
      </c>
      <c r="M184" t="str">
        <f>IF(Sync!$M184&lt;&gt;"پاس چک","",IF(Sync!$P184="","",Sync!$P184))</f>
        <v/>
      </c>
      <c r="N184" t="str">
        <f>IF($M184="","",IF(ISNUMBER(Sync!$L184),IF(AND(Sync!$L184&gt;=10000101,Sync!$L184&lt;=99991231),RIGHT("0000"&amp;INT(Sync!$L184/10000),4)&amp;"/"&amp;RIGHT("00"&amp;INT(MOD(Sync!$L184,10000)/100),2)&amp;"/"&amp;RIGHT("00"&amp;MOD(Sync!$L184,100),2),""),IFERROR(RIGHT("0000"&amp;VALUE(TRIM(LEFT(Sync!$L184,FIND("/",Sync!$L184)-1))),4)&amp;"/"&amp;RIGHT("00"&amp;VALUE(TRIM(LEFT(MID(Sync!$L184,FIND("/",Sync!$L184)+1,20),FIND("/",MID(Sync!$L184,FIND("/",Sync!$L184)+1,20))-1))),2)&amp;"/"&amp;RIGHT("00"&amp;VALUE(TRIM(MID(MID(Sync!$L184,FIND("/",Sync!$L184)+1,20),FIND("/",MID(Sync!$L184,FIND("/",Sync!$L184)+1,20))+1,20))),2),"")))</f>
        <v/>
      </c>
    </row>
    <row r="185" spans="1:14" x14ac:dyDescent="0.2">
      <c r="A185" t="str">
        <f>IF(Issues!$B188="","",Issues!$B188)</f>
        <v/>
      </c>
      <c r="B185" t="str">
        <f>IF($A185="","",IF(ISNUMBER(Issues!$C188),IF(AND(Issues!$C188&gt;=10000101,Issues!$C188&lt;=99991231),INT(Issues!$C188/10000),""),IFERROR(VALUE(TRIM(LEFT(Issues!$C188,FIND("/",Issues!$C188)-1))),"")))</f>
        <v/>
      </c>
      <c r="C185" t="str">
        <f>IF(OR($A185="",$B185=""),"",IF(ISNUMBER(Issues!$C188),INT(MOD(Issues!$C188,10000)/100),IFERROR(VALUE(TRIM(LEFT(MID(Issues!$C188,FIND("/",Issues!$C188)+1,20),FIND("/",MID(Issues!$C188,FIND("/",Issues!$C188)+1,20))-1))),"")))</f>
        <v/>
      </c>
      <c r="D185" t="str">
        <f>IF(OR($A185="",$B185=""),"",IF(ISNUMBER(Issues!$C188),MOD(Issues!$C188,100),IFERROR(VALUE(TRIM(MID(MID(Issues!$C188,FIND("/",Issues!$C188)+1,20),FIND("/",MID(Issues!$C188,FIND("/",Issues!$C188)+1,20))+1,20))),"")))</f>
        <v/>
      </c>
      <c r="E185" t="str">
        <f t="shared" si="6"/>
        <v/>
      </c>
      <c r="F185" t="str">
        <f>IF($A185="","",IF(Issues!$D188="",0,Issues!$D188))</f>
        <v/>
      </c>
      <c r="G185" t="str">
        <f>IF($A185="","",Issues!$E188)</f>
        <v/>
      </c>
      <c r="H185" t="str">
        <f t="shared" si="7"/>
        <v/>
      </c>
      <c r="I185" t="str">
        <f t="shared" si="8"/>
        <v/>
      </c>
      <c r="J185" t="str">
        <f>IF($A185="","",Issues!$G188)</f>
        <v/>
      </c>
      <c r="K185" t="str">
        <f>IF(OR($E185="",$E185="نامعتبر"),"",LEFT($E185,4)&amp;MID($E185,6,2)&amp;RIGHT($E185,2)&amp;"|"&amp;RIGHT("00000"&amp;180,5))</f>
        <v/>
      </c>
      <c r="M185" t="str">
        <f>IF(Sync!$M185&lt;&gt;"پاس چک","",IF(Sync!$P185="","",Sync!$P185))</f>
        <v/>
      </c>
      <c r="N185" t="str">
        <f>IF($M185="","",IF(ISNUMBER(Sync!$L185),IF(AND(Sync!$L185&gt;=10000101,Sync!$L185&lt;=99991231),RIGHT("0000"&amp;INT(Sync!$L185/10000),4)&amp;"/"&amp;RIGHT("00"&amp;INT(MOD(Sync!$L185,10000)/100),2)&amp;"/"&amp;RIGHT("00"&amp;MOD(Sync!$L185,100),2),""),IFERROR(RIGHT("0000"&amp;VALUE(TRIM(LEFT(Sync!$L185,FIND("/",Sync!$L185)-1))),4)&amp;"/"&amp;RIGHT("00"&amp;VALUE(TRIM(LEFT(MID(Sync!$L185,FIND("/",Sync!$L185)+1,20),FIND("/",MID(Sync!$L185,FIND("/",Sync!$L185)+1,20))-1))),2)&amp;"/"&amp;RIGHT("00"&amp;VALUE(TRIM(MID(MID(Sync!$L185,FIND("/",Sync!$L185)+1,20),FIND("/",MID(Sync!$L185,FIND("/",Sync!$L185)+1,20))+1,20))),2),"")))</f>
        <v/>
      </c>
    </row>
    <row r="186" spans="1:14" x14ac:dyDescent="0.2">
      <c r="A186" t="str">
        <f>IF(Issues!$B189="","",Issues!$B189)</f>
        <v/>
      </c>
      <c r="B186" t="str">
        <f>IF($A186="","",IF(ISNUMBER(Issues!$C189),IF(AND(Issues!$C189&gt;=10000101,Issues!$C189&lt;=99991231),INT(Issues!$C189/10000),""),IFERROR(VALUE(TRIM(LEFT(Issues!$C189,FIND("/",Issues!$C189)-1))),"")))</f>
        <v/>
      </c>
      <c r="C186" t="str">
        <f>IF(OR($A186="",$B186=""),"",IF(ISNUMBER(Issues!$C189),INT(MOD(Issues!$C189,10000)/100),IFERROR(VALUE(TRIM(LEFT(MID(Issues!$C189,FIND("/",Issues!$C189)+1,20),FIND("/",MID(Issues!$C189,FIND("/",Issues!$C189)+1,20))-1))),"")))</f>
        <v/>
      </c>
      <c r="D186" t="str">
        <f>IF(OR($A186="",$B186=""),"",IF(ISNUMBER(Issues!$C189),MOD(Issues!$C189,100),IFERROR(VALUE(TRIM(MID(MID(Issues!$C189,FIND("/",Issues!$C189)+1,20),FIND("/",MID(Issues!$C189,FIND("/",Issues!$C189)+1,20))+1,20))),"")))</f>
        <v/>
      </c>
      <c r="E186" t="str">
        <f t="shared" si="6"/>
        <v/>
      </c>
      <c r="F186" t="str">
        <f>IF($A186="","",IF(Issues!$D189="",0,Issues!$D189))</f>
        <v/>
      </c>
      <c r="G186" t="str">
        <f>IF($A186="","",Issues!$E189)</f>
        <v/>
      </c>
      <c r="H186" t="str">
        <f t="shared" si="7"/>
        <v/>
      </c>
      <c r="I186" t="str">
        <f t="shared" si="8"/>
        <v/>
      </c>
      <c r="J186" t="str">
        <f>IF($A186="","",Issues!$G189)</f>
        <v/>
      </c>
      <c r="K186" t="str">
        <f>IF(OR($E186="",$E186="نامعتبر"),"",LEFT($E186,4)&amp;MID($E186,6,2)&amp;RIGHT($E186,2)&amp;"|"&amp;RIGHT("00000"&amp;181,5))</f>
        <v/>
      </c>
      <c r="M186" t="str">
        <f>IF(Sync!$M186&lt;&gt;"پاس چک","",IF(Sync!$P186="","",Sync!$P186))</f>
        <v/>
      </c>
      <c r="N186" t="str">
        <f>IF($M186="","",IF(ISNUMBER(Sync!$L186),IF(AND(Sync!$L186&gt;=10000101,Sync!$L186&lt;=99991231),RIGHT("0000"&amp;INT(Sync!$L186/10000),4)&amp;"/"&amp;RIGHT("00"&amp;INT(MOD(Sync!$L186,10000)/100),2)&amp;"/"&amp;RIGHT("00"&amp;MOD(Sync!$L186,100),2),""),IFERROR(RIGHT("0000"&amp;VALUE(TRIM(LEFT(Sync!$L186,FIND("/",Sync!$L186)-1))),4)&amp;"/"&amp;RIGHT("00"&amp;VALUE(TRIM(LEFT(MID(Sync!$L186,FIND("/",Sync!$L186)+1,20),FIND("/",MID(Sync!$L186,FIND("/",Sync!$L186)+1,20))-1))),2)&amp;"/"&amp;RIGHT("00"&amp;VALUE(TRIM(MID(MID(Sync!$L186,FIND("/",Sync!$L186)+1,20),FIND("/",MID(Sync!$L186,FIND("/",Sync!$L186)+1,20))+1,20))),2),"")))</f>
        <v/>
      </c>
    </row>
    <row r="187" spans="1:14" x14ac:dyDescent="0.2">
      <c r="A187" t="str">
        <f>IF(Issues!$B190="","",Issues!$B190)</f>
        <v/>
      </c>
      <c r="B187" t="str">
        <f>IF($A187="","",IF(ISNUMBER(Issues!$C190),IF(AND(Issues!$C190&gt;=10000101,Issues!$C190&lt;=99991231),INT(Issues!$C190/10000),""),IFERROR(VALUE(TRIM(LEFT(Issues!$C190,FIND("/",Issues!$C190)-1))),"")))</f>
        <v/>
      </c>
      <c r="C187" t="str">
        <f>IF(OR($A187="",$B187=""),"",IF(ISNUMBER(Issues!$C190),INT(MOD(Issues!$C190,10000)/100),IFERROR(VALUE(TRIM(LEFT(MID(Issues!$C190,FIND("/",Issues!$C190)+1,20),FIND("/",MID(Issues!$C190,FIND("/",Issues!$C190)+1,20))-1))),"")))</f>
        <v/>
      </c>
      <c r="D187" t="str">
        <f>IF(OR($A187="",$B187=""),"",IF(ISNUMBER(Issues!$C190),MOD(Issues!$C190,100),IFERROR(VALUE(TRIM(MID(MID(Issues!$C190,FIND("/",Issues!$C190)+1,20),FIND("/",MID(Issues!$C190,FIND("/",Issues!$C190)+1,20))+1,20))),"")))</f>
        <v/>
      </c>
      <c r="E187" t="str">
        <f t="shared" si="6"/>
        <v/>
      </c>
      <c r="F187" t="str">
        <f>IF($A187="","",IF(Issues!$D190="",0,Issues!$D190))</f>
        <v/>
      </c>
      <c r="G187" t="str">
        <f>IF($A187="","",Issues!$E190)</f>
        <v/>
      </c>
      <c r="H187" t="str">
        <f t="shared" si="7"/>
        <v/>
      </c>
      <c r="I187" t="str">
        <f t="shared" si="8"/>
        <v/>
      </c>
      <c r="J187" t="str">
        <f>IF($A187="","",Issues!$G190)</f>
        <v/>
      </c>
      <c r="K187" t="str">
        <f>IF(OR($E187="",$E187="نامعتبر"),"",LEFT($E187,4)&amp;MID($E187,6,2)&amp;RIGHT($E187,2)&amp;"|"&amp;RIGHT("00000"&amp;182,5))</f>
        <v/>
      </c>
      <c r="M187" t="str">
        <f>IF(Sync!$M187&lt;&gt;"پاس چک","",IF(Sync!$P187="","",Sync!$P187))</f>
        <v/>
      </c>
      <c r="N187" t="str">
        <f>IF($M187="","",IF(ISNUMBER(Sync!$L187),IF(AND(Sync!$L187&gt;=10000101,Sync!$L187&lt;=99991231),RIGHT("0000"&amp;INT(Sync!$L187/10000),4)&amp;"/"&amp;RIGHT("00"&amp;INT(MOD(Sync!$L187,10000)/100),2)&amp;"/"&amp;RIGHT("00"&amp;MOD(Sync!$L187,100),2),""),IFERROR(RIGHT("0000"&amp;VALUE(TRIM(LEFT(Sync!$L187,FIND("/",Sync!$L187)-1))),4)&amp;"/"&amp;RIGHT("00"&amp;VALUE(TRIM(LEFT(MID(Sync!$L187,FIND("/",Sync!$L187)+1,20),FIND("/",MID(Sync!$L187,FIND("/",Sync!$L187)+1,20))-1))),2)&amp;"/"&amp;RIGHT("00"&amp;VALUE(TRIM(MID(MID(Sync!$L187,FIND("/",Sync!$L187)+1,20),FIND("/",MID(Sync!$L187,FIND("/",Sync!$L187)+1,20))+1,20))),2),"")))</f>
        <v/>
      </c>
    </row>
    <row r="188" spans="1:14" x14ac:dyDescent="0.2">
      <c r="A188" t="str">
        <f>IF(Issues!$B191="","",Issues!$B191)</f>
        <v/>
      </c>
      <c r="B188" t="str">
        <f>IF($A188="","",IF(ISNUMBER(Issues!$C191),IF(AND(Issues!$C191&gt;=10000101,Issues!$C191&lt;=99991231),INT(Issues!$C191/10000),""),IFERROR(VALUE(TRIM(LEFT(Issues!$C191,FIND("/",Issues!$C191)-1))),"")))</f>
        <v/>
      </c>
      <c r="C188" t="str">
        <f>IF(OR($A188="",$B188=""),"",IF(ISNUMBER(Issues!$C191),INT(MOD(Issues!$C191,10000)/100),IFERROR(VALUE(TRIM(LEFT(MID(Issues!$C191,FIND("/",Issues!$C191)+1,20),FIND("/",MID(Issues!$C191,FIND("/",Issues!$C191)+1,20))-1))),"")))</f>
        <v/>
      </c>
      <c r="D188" t="str">
        <f>IF(OR($A188="",$B188=""),"",IF(ISNUMBER(Issues!$C191),MOD(Issues!$C191,100),IFERROR(VALUE(TRIM(MID(MID(Issues!$C191,FIND("/",Issues!$C191)+1,20),FIND("/",MID(Issues!$C191,FIND("/",Issues!$C191)+1,20))+1,20))),"")))</f>
        <v/>
      </c>
      <c r="E188" t="str">
        <f t="shared" si="6"/>
        <v/>
      </c>
      <c r="F188" t="str">
        <f>IF($A188="","",IF(Issues!$D191="",0,Issues!$D191))</f>
        <v/>
      </c>
      <c r="G188" t="str">
        <f>IF($A188="","",Issues!$E191)</f>
        <v/>
      </c>
      <c r="H188" t="str">
        <f t="shared" si="7"/>
        <v/>
      </c>
      <c r="I188" t="str">
        <f t="shared" si="8"/>
        <v/>
      </c>
      <c r="J188" t="str">
        <f>IF($A188="","",Issues!$G191)</f>
        <v/>
      </c>
      <c r="K188" t="str">
        <f>IF(OR($E188="",$E188="نامعتبر"),"",LEFT($E188,4)&amp;MID($E188,6,2)&amp;RIGHT($E188,2)&amp;"|"&amp;RIGHT("00000"&amp;183,5))</f>
        <v/>
      </c>
      <c r="M188" t="str">
        <f>IF(Sync!$M188&lt;&gt;"پاس چک","",IF(Sync!$P188="","",Sync!$P188))</f>
        <v/>
      </c>
      <c r="N188" t="str">
        <f>IF($M188="","",IF(ISNUMBER(Sync!$L188),IF(AND(Sync!$L188&gt;=10000101,Sync!$L188&lt;=99991231),RIGHT("0000"&amp;INT(Sync!$L188/10000),4)&amp;"/"&amp;RIGHT("00"&amp;INT(MOD(Sync!$L188,10000)/100),2)&amp;"/"&amp;RIGHT("00"&amp;MOD(Sync!$L188,100),2),""),IFERROR(RIGHT("0000"&amp;VALUE(TRIM(LEFT(Sync!$L188,FIND("/",Sync!$L188)-1))),4)&amp;"/"&amp;RIGHT("00"&amp;VALUE(TRIM(LEFT(MID(Sync!$L188,FIND("/",Sync!$L188)+1,20),FIND("/",MID(Sync!$L188,FIND("/",Sync!$L188)+1,20))-1))),2)&amp;"/"&amp;RIGHT("00"&amp;VALUE(TRIM(MID(MID(Sync!$L188,FIND("/",Sync!$L188)+1,20),FIND("/",MID(Sync!$L188,FIND("/",Sync!$L188)+1,20))+1,20))),2),"")))</f>
        <v/>
      </c>
    </row>
    <row r="189" spans="1:14" x14ac:dyDescent="0.2">
      <c r="A189" t="str">
        <f>IF(Issues!$B192="","",Issues!$B192)</f>
        <v/>
      </c>
      <c r="B189" t="str">
        <f>IF($A189="","",IF(ISNUMBER(Issues!$C192),IF(AND(Issues!$C192&gt;=10000101,Issues!$C192&lt;=99991231),INT(Issues!$C192/10000),""),IFERROR(VALUE(TRIM(LEFT(Issues!$C192,FIND("/",Issues!$C192)-1))),"")))</f>
        <v/>
      </c>
      <c r="C189" t="str">
        <f>IF(OR($A189="",$B189=""),"",IF(ISNUMBER(Issues!$C192),INT(MOD(Issues!$C192,10000)/100),IFERROR(VALUE(TRIM(LEFT(MID(Issues!$C192,FIND("/",Issues!$C192)+1,20),FIND("/",MID(Issues!$C192,FIND("/",Issues!$C192)+1,20))-1))),"")))</f>
        <v/>
      </c>
      <c r="D189" t="str">
        <f>IF(OR($A189="",$B189=""),"",IF(ISNUMBER(Issues!$C192),MOD(Issues!$C192,100),IFERROR(VALUE(TRIM(MID(MID(Issues!$C192,FIND("/",Issues!$C192)+1,20),FIND("/",MID(Issues!$C192,FIND("/",Issues!$C192)+1,20))+1,20))),"")))</f>
        <v/>
      </c>
      <c r="E189" t="str">
        <f t="shared" si="6"/>
        <v/>
      </c>
      <c r="F189" t="str">
        <f>IF($A189="","",IF(Issues!$D192="",0,Issues!$D192))</f>
        <v/>
      </c>
      <c r="G189" t="str">
        <f>IF($A189="","",Issues!$E192)</f>
        <v/>
      </c>
      <c r="H189" t="str">
        <f t="shared" si="7"/>
        <v/>
      </c>
      <c r="I189" t="str">
        <f t="shared" si="8"/>
        <v/>
      </c>
      <c r="J189" t="str">
        <f>IF($A189="","",Issues!$G192)</f>
        <v/>
      </c>
      <c r="K189" t="str">
        <f>IF(OR($E189="",$E189="نامعتبر"),"",LEFT($E189,4)&amp;MID($E189,6,2)&amp;RIGHT($E189,2)&amp;"|"&amp;RIGHT("00000"&amp;184,5))</f>
        <v/>
      </c>
      <c r="M189" t="str">
        <f>IF(Sync!$M189&lt;&gt;"پاس چک","",IF(Sync!$P189="","",Sync!$P189))</f>
        <v/>
      </c>
      <c r="N189" t="str">
        <f>IF($M189="","",IF(ISNUMBER(Sync!$L189),IF(AND(Sync!$L189&gt;=10000101,Sync!$L189&lt;=99991231),RIGHT("0000"&amp;INT(Sync!$L189/10000),4)&amp;"/"&amp;RIGHT("00"&amp;INT(MOD(Sync!$L189,10000)/100),2)&amp;"/"&amp;RIGHT("00"&amp;MOD(Sync!$L189,100),2),""),IFERROR(RIGHT("0000"&amp;VALUE(TRIM(LEFT(Sync!$L189,FIND("/",Sync!$L189)-1))),4)&amp;"/"&amp;RIGHT("00"&amp;VALUE(TRIM(LEFT(MID(Sync!$L189,FIND("/",Sync!$L189)+1,20),FIND("/",MID(Sync!$L189,FIND("/",Sync!$L189)+1,20))-1))),2)&amp;"/"&amp;RIGHT("00"&amp;VALUE(TRIM(MID(MID(Sync!$L189,FIND("/",Sync!$L189)+1,20),FIND("/",MID(Sync!$L189,FIND("/",Sync!$L189)+1,20))+1,20))),2),"")))</f>
        <v/>
      </c>
    </row>
    <row r="190" spans="1:14" x14ac:dyDescent="0.2">
      <c r="A190" t="str">
        <f>IF(Issues!$B193="","",Issues!$B193)</f>
        <v/>
      </c>
      <c r="B190" t="str">
        <f>IF($A190="","",IF(ISNUMBER(Issues!$C193),IF(AND(Issues!$C193&gt;=10000101,Issues!$C193&lt;=99991231),INT(Issues!$C193/10000),""),IFERROR(VALUE(TRIM(LEFT(Issues!$C193,FIND("/",Issues!$C193)-1))),"")))</f>
        <v/>
      </c>
      <c r="C190" t="str">
        <f>IF(OR($A190="",$B190=""),"",IF(ISNUMBER(Issues!$C193),INT(MOD(Issues!$C193,10000)/100),IFERROR(VALUE(TRIM(LEFT(MID(Issues!$C193,FIND("/",Issues!$C193)+1,20),FIND("/",MID(Issues!$C193,FIND("/",Issues!$C193)+1,20))-1))),"")))</f>
        <v/>
      </c>
      <c r="D190" t="str">
        <f>IF(OR($A190="",$B190=""),"",IF(ISNUMBER(Issues!$C193),MOD(Issues!$C193,100),IFERROR(VALUE(TRIM(MID(MID(Issues!$C193,FIND("/",Issues!$C193)+1,20),FIND("/",MID(Issues!$C193,FIND("/",Issues!$C193)+1,20))+1,20))),"")))</f>
        <v/>
      </c>
      <c r="E190" t="str">
        <f t="shared" si="6"/>
        <v/>
      </c>
      <c r="F190" t="str">
        <f>IF($A190="","",IF(Issues!$D193="",0,Issues!$D193))</f>
        <v/>
      </c>
      <c r="G190" t="str">
        <f>IF($A190="","",Issues!$E193)</f>
        <v/>
      </c>
      <c r="H190" t="str">
        <f t="shared" si="7"/>
        <v/>
      </c>
      <c r="I190" t="str">
        <f t="shared" si="8"/>
        <v/>
      </c>
      <c r="J190" t="str">
        <f>IF($A190="","",Issues!$G193)</f>
        <v/>
      </c>
      <c r="K190" t="str">
        <f>IF(OR($E190="",$E190="نامعتبر"),"",LEFT($E190,4)&amp;MID($E190,6,2)&amp;RIGHT($E190,2)&amp;"|"&amp;RIGHT("00000"&amp;185,5))</f>
        <v/>
      </c>
      <c r="M190" t="str">
        <f>IF(Sync!$M190&lt;&gt;"پاس چک","",IF(Sync!$P190="","",Sync!$P190))</f>
        <v/>
      </c>
      <c r="N190" t="str">
        <f>IF($M190="","",IF(ISNUMBER(Sync!$L190),IF(AND(Sync!$L190&gt;=10000101,Sync!$L190&lt;=99991231),RIGHT("0000"&amp;INT(Sync!$L190/10000),4)&amp;"/"&amp;RIGHT("00"&amp;INT(MOD(Sync!$L190,10000)/100),2)&amp;"/"&amp;RIGHT("00"&amp;MOD(Sync!$L190,100),2),""),IFERROR(RIGHT("0000"&amp;VALUE(TRIM(LEFT(Sync!$L190,FIND("/",Sync!$L190)-1))),4)&amp;"/"&amp;RIGHT("00"&amp;VALUE(TRIM(LEFT(MID(Sync!$L190,FIND("/",Sync!$L190)+1,20),FIND("/",MID(Sync!$L190,FIND("/",Sync!$L190)+1,20))-1))),2)&amp;"/"&amp;RIGHT("00"&amp;VALUE(TRIM(MID(MID(Sync!$L190,FIND("/",Sync!$L190)+1,20),FIND("/",MID(Sync!$L190,FIND("/",Sync!$L190)+1,20))+1,20))),2),"")))</f>
        <v/>
      </c>
    </row>
    <row r="191" spans="1:14" x14ac:dyDescent="0.2">
      <c r="A191" t="str">
        <f>IF(Issues!$B194="","",Issues!$B194)</f>
        <v/>
      </c>
      <c r="B191" t="str">
        <f>IF($A191="","",IF(ISNUMBER(Issues!$C194),IF(AND(Issues!$C194&gt;=10000101,Issues!$C194&lt;=99991231),INT(Issues!$C194/10000),""),IFERROR(VALUE(TRIM(LEFT(Issues!$C194,FIND("/",Issues!$C194)-1))),"")))</f>
        <v/>
      </c>
      <c r="C191" t="str">
        <f>IF(OR($A191="",$B191=""),"",IF(ISNUMBER(Issues!$C194),INT(MOD(Issues!$C194,10000)/100),IFERROR(VALUE(TRIM(LEFT(MID(Issues!$C194,FIND("/",Issues!$C194)+1,20),FIND("/",MID(Issues!$C194,FIND("/",Issues!$C194)+1,20))-1))),"")))</f>
        <v/>
      </c>
      <c r="D191" t="str">
        <f>IF(OR($A191="",$B191=""),"",IF(ISNUMBER(Issues!$C194),MOD(Issues!$C194,100),IFERROR(VALUE(TRIM(MID(MID(Issues!$C194,FIND("/",Issues!$C194)+1,20),FIND("/",MID(Issues!$C194,FIND("/",Issues!$C194)+1,20))+1,20))),"")))</f>
        <v/>
      </c>
      <c r="E191" t="str">
        <f t="shared" si="6"/>
        <v/>
      </c>
      <c r="F191" t="str">
        <f>IF($A191="","",IF(Issues!$D194="",0,Issues!$D194))</f>
        <v/>
      </c>
      <c r="G191" t="str">
        <f>IF($A191="","",Issues!$E194)</f>
        <v/>
      </c>
      <c r="H191" t="str">
        <f t="shared" si="7"/>
        <v/>
      </c>
      <c r="I191" t="str">
        <f t="shared" si="8"/>
        <v/>
      </c>
      <c r="J191" t="str">
        <f>IF($A191="","",Issues!$G194)</f>
        <v/>
      </c>
      <c r="K191" t="str">
        <f>IF(OR($E191="",$E191="نامعتبر"),"",LEFT($E191,4)&amp;MID($E191,6,2)&amp;RIGHT($E191,2)&amp;"|"&amp;RIGHT("00000"&amp;186,5))</f>
        <v/>
      </c>
      <c r="M191" t="str">
        <f>IF(Sync!$M191&lt;&gt;"پاس چک","",IF(Sync!$P191="","",Sync!$P191))</f>
        <v/>
      </c>
      <c r="N191" t="str">
        <f>IF($M191="","",IF(ISNUMBER(Sync!$L191),IF(AND(Sync!$L191&gt;=10000101,Sync!$L191&lt;=99991231),RIGHT("0000"&amp;INT(Sync!$L191/10000),4)&amp;"/"&amp;RIGHT("00"&amp;INT(MOD(Sync!$L191,10000)/100),2)&amp;"/"&amp;RIGHT("00"&amp;MOD(Sync!$L191,100),2),""),IFERROR(RIGHT("0000"&amp;VALUE(TRIM(LEFT(Sync!$L191,FIND("/",Sync!$L191)-1))),4)&amp;"/"&amp;RIGHT("00"&amp;VALUE(TRIM(LEFT(MID(Sync!$L191,FIND("/",Sync!$L191)+1,20),FIND("/",MID(Sync!$L191,FIND("/",Sync!$L191)+1,20))-1))),2)&amp;"/"&amp;RIGHT("00"&amp;VALUE(TRIM(MID(MID(Sync!$L191,FIND("/",Sync!$L191)+1,20),FIND("/",MID(Sync!$L191,FIND("/",Sync!$L191)+1,20))+1,20))),2),"")))</f>
        <v/>
      </c>
    </row>
    <row r="192" spans="1:14" x14ac:dyDescent="0.2">
      <c r="A192" t="str">
        <f>IF(Issues!$B195="","",Issues!$B195)</f>
        <v/>
      </c>
      <c r="B192" t="str">
        <f>IF($A192="","",IF(ISNUMBER(Issues!$C195),IF(AND(Issues!$C195&gt;=10000101,Issues!$C195&lt;=99991231),INT(Issues!$C195/10000),""),IFERROR(VALUE(TRIM(LEFT(Issues!$C195,FIND("/",Issues!$C195)-1))),"")))</f>
        <v/>
      </c>
      <c r="C192" t="str">
        <f>IF(OR($A192="",$B192=""),"",IF(ISNUMBER(Issues!$C195),INT(MOD(Issues!$C195,10000)/100),IFERROR(VALUE(TRIM(LEFT(MID(Issues!$C195,FIND("/",Issues!$C195)+1,20),FIND("/",MID(Issues!$C195,FIND("/",Issues!$C195)+1,20))-1))),"")))</f>
        <v/>
      </c>
      <c r="D192" t="str">
        <f>IF(OR($A192="",$B192=""),"",IF(ISNUMBER(Issues!$C195),MOD(Issues!$C195,100),IFERROR(VALUE(TRIM(MID(MID(Issues!$C195,FIND("/",Issues!$C195)+1,20),FIND("/",MID(Issues!$C195,FIND("/",Issues!$C195)+1,20))+1,20))),"")))</f>
        <v/>
      </c>
      <c r="E192" t="str">
        <f t="shared" si="6"/>
        <v/>
      </c>
      <c r="F192" t="str">
        <f>IF($A192="","",IF(Issues!$D195="",0,Issues!$D195))</f>
        <v/>
      </c>
      <c r="G192" t="str">
        <f>IF($A192="","",Issues!$E195)</f>
        <v/>
      </c>
      <c r="H192" t="str">
        <f t="shared" si="7"/>
        <v/>
      </c>
      <c r="I192" t="str">
        <f t="shared" si="8"/>
        <v/>
      </c>
      <c r="J192" t="str">
        <f>IF($A192="","",Issues!$G195)</f>
        <v/>
      </c>
      <c r="K192" t="str">
        <f>IF(OR($E192="",$E192="نامعتبر"),"",LEFT($E192,4)&amp;MID($E192,6,2)&amp;RIGHT($E192,2)&amp;"|"&amp;RIGHT("00000"&amp;187,5))</f>
        <v/>
      </c>
      <c r="M192" t="str">
        <f>IF(Sync!$M192&lt;&gt;"پاس چک","",IF(Sync!$P192="","",Sync!$P192))</f>
        <v/>
      </c>
      <c r="N192" t="str">
        <f>IF($M192="","",IF(ISNUMBER(Sync!$L192),IF(AND(Sync!$L192&gt;=10000101,Sync!$L192&lt;=99991231),RIGHT("0000"&amp;INT(Sync!$L192/10000),4)&amp;"/"&amp;RIGHT("00"&amp;INT(MOD(Sync!$L192,10000)/100),2)&amp;"/"&amp;RIGHT("00"&amp;MOD(Sync!$L192,100),2),""),IFERROR(RIGHT("0000"&amp;VALUE(TRIM(LEFT(Sync!$L192,FIND("/",Sync!$L192)-1))),4)&amp;"/"&amp;RIGHT("00"&amp;VALUE(TRIM(LEFT(MID(Sync!$L192,FIND("/",Sync!$L192)+1,20),FIND("/",MID(Sync!$L192,FIND("/",Sync!$L192)+1,20))-1))),2)&amp;"/"&amp;RIGHT("00"&amp;VALUE(TRIM(MID(MID(Sync!$L192,FIND("/",Sync!$L192)+1,20),FIND("/",MID(Sync!$L192,FIND("/",Sync!$L192)+1,20))+1,20))),2),"")))</f>
        <v/>
      </c>
    </row>
    <row r="193" spans="1:14" x14ac:dyDescent="0.2">
      <c r="A193" t="str">
        <f>IF(Issues!$B196="","",Issues!$B196)</f>
        <v/>
      </c>
      <c r="B193" t="str">
        <f>IF($A193="","",IF(ISNUMBER(Issues!$C196),IF(AND(Issues!$C196&gt;=10000101,Issues!$C196&lt;=99991231),INT(Issues!$C196/10000),""),IFERROR(VALUE(TRIM(LEFT(Issues!$C196,FIND("/",Issues!$C196)-1))),"")))</f>
        <v/>
      </c>
      <c r="C193" t="str">
        <f>IF(OR($A193="",$B193=""),"",IF(ISNUMBER(Issues!$C196),INT(MOD(Issues!$C196,10000)/100),IFERROR(VALUE(TRIM(LEFT(MID(Issues!$C196,FIND("/",Issues!$C196)+1,20),FIND("/",MID(Issues!$C196,FIND("/",Issues!$C196)+1,20))-1))),"")))</f>
        <v/>
      </c>
      <c r="D193" t="str">
        <f>IF(OR($A193="",$B193=""),"",IF(ISNUMBER(Issues!$C196),MOD(Issues!$C196,100),IFERROR(VALUE(TRIM(MID(MID(Issues!$C196,FIND("/",Issues!$C196)+1,20),FIND("/",MID(Issues!$C196,FIND("/",Issues!$C196)+1,20))+1,20))),"")))</f>
        <v/>
      </c>
      <c r="E193" t="str">
        <f t="shared" si="6"/>
        <v/>
      </c>
      <c r="F193" t="str">
        <f>IF($A193="","",IF(Issues!$D196="",0,Issues!$D196))</f>
        <v/>
      </c>
      <c r="G193" t="str">
        <f>IF($A193="","",Issues!$E196)</f>
        <v/>
      </c>
      <c r="H193" t="str">
        <f t="shared" si="7"/>
        <v/>
      </c>
      <c r="I193" t="str">
        <f t="shared" si="8"/>
        <v/>
      </c>
      <c r="J193" t="str">
        <f>IF($A193="","",Issues!$G196)</f>
        <v/>
      </c>
      <c r="K193" t="str">
        <f>IF(OR($E193="",$E193="نامعتبر"),"",LEFT($E193,4)&amp;MID($E193,6,2)&amp;RIGHT($E193,2)&amp;"|"&amp;RIGHT("00000"&amp;188,5))</f>
        <v/>
      </c>
      <c r="M193" t="str">
        <f>IF(Sync!$M193&lt;&gt;"پاس چک","",IF(Sync!$P193="","",Sync!$P193))</f>
        <v/>
      </c>
      <c r="N193" t="str">
        <f>IF($M193="","",IF(ISNUMBER(Sync!$L193),IF(AND(Sync!$L193&gt;=10000101,Sync!$L193&lt;=99991231),RIGHT("0000"&amp;INT(Sync!$L193/10000),4)&amp;"/"&amp;RIGHT("00"&amp;INT(MOD(Sync!$L193,10000)/100),2)&amp;"/"&amp;RIGHT("00"&amp;MOD(Sync!$L193,100),2),""),IFERROR(RIGHT("0000"&amp;VALUE(TRIM(LEFT(Sync!$L193,FIND("/",Sync!$L193)-1))),4)&amp;"/"&amp;RIGHT("00"&amp;VALUE(TRIM(LEFT(MID(Sync!$L193,FIND("/",Sync!$L193)+1,20),FIND("/",MID(Sync!$L193,FIND("/",Sync!$L193)+1,20))-1))),2)&amp;"/"&amp;RIGHT("00"&amp;VALUE(TRIM(MID(MID(Sync!$L193,FIND("/",Sync!$L193)+1,20),FIND("/",MID(Sync!$L193,FIND("/",Sync!$L193)+1,20))+1,20))),2),"")))</f>
        <v/>
      </c>
    </row>
    <row r="194" spans="1:14" x14ac:dyDescent="0.2">
      <c r="A194" t="str">
        <f>IF(Issues!$B197="","",Issues!$B197)</f>
        <v/>
      </c>
      <c r="B194" t="str">
        <f>IF($A194="","",IF(ISNUMBER(Issues!$C197),IF(AND(Issues!$C197&gt;=10000101,Issues!$C197&lt;=99991231),INT(Issues!$C197/10000),""),IFERROR(VALUE(TRIM(LEFT(Issues!$C197,FIND("/",Issues!$C197)-1))),"")))</f>
        <v/>
      </c>
      <c r="C194" t="str">
        <f>IF(OR($A194="",$B194=""),"",IF(ISNUMBER(Issues!$C197),INT(MOD(Issues!$C197,10000)/100),IFERROR(VALUE(TRIM(LEFT(MID(Issues!$C197,FIND("/",Issues!$C197)+1,20),FIND("/",MID(Issues!$C197,FIND("/",Issues!$C197)+1,20))-1))),"")))</f>
        <v/>
      </c>
      <c r="D194" t="str">
        <f>IF(OR($A194="",$B194=""),"",IF(ISNUMBER(Issues!$C197),MOD(Issues!$C197,100),IFERROR(VALUE(TRIM(MID(MID(Issues!$C197,FIND("/",Issues!$C197)+1,20),FIND("/",MID(Issues!$C197,FIND("/",Issues!$C197)+1,20))+1,20))),"")))</f>
        <v/>
      </c>
      <c r="E194" t="str">
        <f t="shared" si="6"/>
        <v/>
      </c>
      <c r="F194" t="str">
        <f>IF($A194="","",IF(Issues!$D197="",0,Issues!$D197))</f>
        <v/>
      </c>
      <c r="G194" t="str">
        <f>IF($A194="","",Issues!$E197)</f>
        <v/>
      </c>
      <c r="H194" t="str">
        <f t="shared" si="7"/>
        <v/>
      </c>
      <c r="I194" t="str">
        <f t="shared" si="8"/>
        <v/>
      </c>
      <c r="J194" t="str">
        <f>IF($A194="","",Issues!$G197)</f>
        <v/>
      </c>
      <c r="K194" t="str">
        <f>IF(OR($E194="",$E194="نامعتبر"),"",LEFT($E194,4)&amp;MID($E194,6,2)&amp;RIGHT($E194,2)&amp;"|"&amp;RIGHT("00000"&amp;189,5))</f>
        <v/>
      </c>
      <c r="M194" t="str">
        <f>IF(Sync!$M194&lt;&gt;"پاس چک","",IF(Sync!$P194="","",Sync!$P194))</f>
        <v/>
      </c>
      <c r="N194" t="str">
        <f>IF($M194="","",IF(ISNUMBER(Sync!$L194),IF(AND(Sync!$L194&gt;=10000101,Sync!$L194&lt;=99991231),RIGHT("0000"&amp;INT(Sync!$L194/10000),4)&amp;"/"&amp;RIGHT("00"&amp;INT(MOD(Sync!$L194,10000)/100),2)&amp;"/"&amp;RIGHT("00"&amp;MOD(Sync!$L194,100),2),""),IFERROR(RIGHT("0000"&amp;VALUE(TRIM(LEFT(Sync!$L194,FIND("/",Sync!$L194)-1))),4)&amp;"/"&amp;RIGHT("00"&amp;VALUE(TRIM(LEFT(MID(Sync!$L194,FIND("/",Sync!$L194)+1,20),FIND("/",MID(Sync!$L194,FIND("/",Sync!$L194)+1,20))-1))),2)&amp;"/"&amp;RIGHT("00"&amp;VALUE(TRIM(MID(MID(Sync!$L194,FIND("/",Sync!$L194)+1,20),FIND("/",MID(Sync!$L194,FIND("/",Sync!$L194)+1,20))+1,20))),2),"")))</f>
        <v/>
      </c>
    </row>
    <row r="195" spans="1:14" x14ac:dyDescent="0.2">
      <c r="A195" t="str">
        <f>IF(Issues!$B198="","",Issues!$B198)</f>
        <v/>
      </c>
      <c r="B195" t="str">
        <f>IF($A195="","",IF(ISNUMBER(Issues!$C198),IF(AND(Issues!$C198&gt;=10000101,Issues!$C198&lt;=99991231),INT(Issues!$C198/10000),""),IFERROR(VALUE(TRIM(LEFT(Issues!$C198,FIND("/",Issues!$C198)-1))),"")))</f>
        <v/>
      </c>
      <c r="C195" t="str">
        <f>IF(OR($A195="",$B195=""),"",IF(ISNUMBER(Issues!$C198),INT(MOD(Issues!$C198,10000)/100),IFERROR(VALUE(TRIM(LEFT(MID(Issues!$C198,FIND("/",Issues!$C198)+1,20),FIND("/",MID(Issues!$C198,FIND("/",Issues!$C198)+1,20))-1))),"")))</f>
        <v/>
      </c>
      <c r="D195" t="str">
        <f>IF(OR($A195="",$B195=""),"",IF(ISNUMBER(Issues!$C198),MOD(Issues!$C198,100),IFERROR(VALUE(TRIM(MID(MID(Issues!$C198,FIND("/",Issues!$C198)+1,20),FIND("/",MID(Issues!$C198,FIND("/",Issues!$C198)+1,20))+1,20))),"")))</f>
        <v/>
      </c>
      <c r="E195" t="str">
        <f t="shared" si="6"/>
        <v/>
      </c>
      <c r="F195" t="str">
        <f>IF($A195="","",IF(Issues!$D198="",0,Issues!$D198))</f>
        <v/>
      </c>
      <c r="G195" t="str">
        <f>IF($A195="","",Issues!$E198)</f>
        <v/>
      </c>
      <c r="H195" t="str">
        <f t="shared" si="7"/>
        <v/>
      </c>
      <c r="I195" t="str">
        <f t="shared" si="8"/>
        <v/>
      </c>
      <c r="J195" t="str">
        <f>IF($A195="","",Issues!$G198)</f>
        <v/>
      </c>
      <c r="K195" t="str">
        <f>IF(OR($E195="",$E195="نامعتبر"),"",LEFT($E195,4)&amp;MID($E195,6,2)&amp;RIGHT($E195,2)&amp;"|"&amp;RIGHT("00000"&amp;190,5))</f>
        <v/>
      </c>
      <c r="M195" t="str">
        <f>IF(Sync!$M195&lt;&gt;"پاس چک","",IF(Sync!$P195="","",Sync!$P195))</f>
        <v/>
      </c>
      <c r="N195" t="str">
        <f>IF($M195="","",IF(ISNUMBER(Sync!$L195),IF(AND(Sync!$L195&gt;=10000101,Sync!$L195&lt;=99991231),RIGHT("0000"&amp;INT(Sync!$L195/10000),4)&amp;"/"&amp;RIGHT("00"&amp;INT(MOD(Sync!$L195,10000)/100),2)&amp;"/"&amp;RIGHT("00"&amp;MOD(Sync!$L195,100),2),""),IFERROR(RIGHT("0000"&amp;VALUE(TRIM(LEFT(Sync!$L195,FIND("/",Sync!$L195)-1))),4)&amp;"/"&amp;RIGHT("00"&amp;VALUE(TRIM(LEFT(MID(Sync!$L195,FIND("/",Sync!$L195)+1,20),FIND("/",MID(Sync!$L195,FIND("/",Sync!$L195)+1,20))-1))),2)&amp;"/"&amp;RIGHT("00"&amp;VALUE(TRIM(MID(MID(Sync!$L195,FIND("/",Sync!$L195)+1,20),FIND("/",MID(Sync!$L195,FIND("/",Sync!$L195)+1,20))+1,20))),2),"")))</f>
        <v/>
      </c>
    </row>
    <row r="196" spans="1:14" x14ac:dyDescent="0.2">
      <c r="A196" t="str">
        <f>IF(Issues!$B199="","",Issues!$B199)</f>
        <v/>
      </c>
      <c r="B196" t="str">
        <f>IF($A196="","",IF(ISNUMBER(Issues!$C199),IF(AND(Issues!$C199&gt;=10000101,Issues!$C199&lt;=99991231),INT(Issues!$C199/10000),""),IFERROR(VALUE(TRIM(LEFT(Issues!$C199,FIND("/",Issues!$C199)-1))),"")))</f>
        <v/>
      </c>
      <c r="C196" t="str">
        <f>IF(OR($A196="",$B196=""),"",IF(ISNUMBER(Issues!$C199),INT(MOD(Issues!$C199,10000)/100),IFERROR(VALUE(TRIM(LEFT(MID(Issues!$C199,FIND("/",Issues!$C199)+1,20),FIND("/",MID(Issues!$C199,FIND("/",Issues!$C199)+1,20))-1))),"")))</f>
        <v/>
      </c>
      <c r="D196" t="str">
        <f>IF(OR($A196="",$B196=""),"",IF(ISNUMBER(Issues!$C199),MOD(Issues!$C199,100),IFERROR(VALUE(TRIM(MID(MID(Issues!$C199,FIND("/",Issues!$C199)+1,20),FIND("/",MID(Issues!$C199,FIND("/",Issues!$C199)+1,20))+1,20))),"")))</f>
        <v/>
      </c>
      <c r="E196" t="str">
        <f t="shared" si="6"/>
        <v/>
      </c>
      <c r="F196" t="str">
        <f>IF($A196="","",IF(Issues!$D199="",0,Issues!$D199))</f>
        <v/>
      </c>
      <c r="G196" t="str">
        <f>IF($A196="","",Issues!$E199)</f>
        <v/>
      </c>
      <c r="H196" t="str">
        <f t="shared" si="7"/>
        <v/>
      </c>
      <c r="I196" t="str">
        <f t="shared" si="8"/>
        <v/>
      </c>
      <c r="J196" t="str">
        <f>IF($A196="","",Issues!$G199)</f>
        <v/>
      </c>
      <c r="K196" t="str">
        <f>IF(OR($E196="",$E196="نامعتبر"),"",LEFT($E196,4)&amp;MID($E196,6,2)&amp;RIGHT($E196,2)&amp;"|"&amp;RIGHT("00000"&amp;191,5))</f>
        <v/>
      </c>
      <c r="M196" t="str">
        <f>IF(Sync!$M196&lt;&gt;"پاس چک","",IF(Sync!$P196="","",Sync!$P196))</f>
        <v/>
      </c>
      <c r="N196" t="str">
        <f>IF($M196="","",IF(ISNUMBER(Sync!$L196),IF(AND(Sync!$L196&gt;=10000101,Sync!$L196&lt;=99991231),RIGHT("0000"&amp;INT(Sync!$L196/10000),4)&amp;"/"&amp;RIGHT("00"&amp;INT(MOD(Sync!$L196,10000)/100),2)&amp;"/"&amp;RIGHT("00"&amp;MOD(Sync!$L196,100),2),""),IFERROR(RIGHT("0000"&amp;VALUE(TRIM(LEFT(Sync!$L196,FIND("/",Sync!$L196)-1))),4)&amp;"/"&amp;RIGHT("00"&amp;VALUE(TRIM(LEFT(MID(Sync!$L196,FIND("/",Sync!$L196)+1,20),FIND("/",MID(Sync!$L196,FIND("/",Sync!$L196)+1,20))-1))),2)&amp;"/"&amp;RIGHT("00"&amp;VALUE(TRIM(MID(MID(Sync!$L196,FIND("/",Sync!$L196)+1,20),FIND("/",MID(Sync!$L196,FIND("/",Sync!$L196)+1,20))+1,20))),2),"")))</f>
        <v/>
      </c>
    </row>
    <row r="197" spans="1:14" x14ac:dyDescent="0.2">
      <c r="A197" t="str">
        <f>IF(Issues!$B200="","",Issues!$B200)</f>
        <v/>
      </c>
      <c r="B197" t="str">
        <f>IF($A197="","",IF(ISNUMBER(Issues!$C200),IF(AND(Issues!$C200&gt;=10000101,Issues!$C200&lt;=99991231),INT(Issues!$C200/10000),""),IFERROR(VALUE(TRIM(LEFT(Issues!$C200,FIND("/",Issues!$C200)-1))),"")))</f>
        <v/>
      </c>
      <c r="C197" t="str">
        <f>IF(OR($A197="",$B197=""),"",IF(ISNUMBER(Issues!$C200),INT(MOD(Issues!$C200,10000)/100),IFERROR(VALUE(TRIM(LEFT(MID(Issues!$C200,FIND("/",Issues!$C200)+1,20),FIND("/",MID(Issues!$C200,FIND("/",Issues!$C200)+1,20))-1))),"")))</f>
        <v/>
      </c>
      <c r="D197" t="str">
        <f>IF(OR($A197="",$B197=""),"",IF(ISNUMBER(Issues!$C200),MOD(Issues!$C200,100),IFERROR(VALUE(TRIM(MID(MID(Issues!$C200,FIND("/",Issues!$C200)+1,20),FIND("/",MID(Issues!$C200,FIND("/",Issues!$C200)+1,20))+1,20))),"")))</f>
        <v/>
      </c>
      <c r="E197" t="str">
        <f t="shared" si="6"/>
        <v/>
      </c>
      <c r="F197" t="str">
        <f>IF($A197="","",IF(Issues!$D200="",0,Issues!$D200))</f>
        <v/>
      </c>
      <c r="G197" t="str">
        <f>IF($A197="","",Issues!$E200)</f>
        <v/>
      </c>
      <c r="H197" t="str">
        <f t="shared" si="7"/>
        <v/>
      </c>
      <c r="I197" t="str">
        <f t="shared" si="8"/>
        <v/>
      </c>
      <c r="J197" t="str">
        <f>IF($A197="","",Issues!$G200)</f>
        <v/>
      </c>
      <c r="K197" t="str">
        <f>IF(OR($E197="",$E197="نامعتبر"),"",LEFT($E197,4)&amp;MID($E197,6,2)&amp;RIGHT($E197,2)&amp;"|"&amp;RIGHT("00000"&amp;192,5))</f>
        <v/>
      </c>
      <c r="M197" t="str">
        <f>IF(Sync!$M197&lt;&gt;"پاس چک","",IF(Sync!$P197="","",Sync!$P197))</f>
        <v/>
      </c>
      <c r="N197" t="str">
        <f>IF($M197="","",IF(ISNUMBER(Sync!$L197),IF(AND(Sync!$L197&gt;=10000101,Sync!$L197&lt;=99991231),RIGHT("0000"&amp;INT(Sync!$L197/10000),4)&amp;"/"&amp;RIGHT("00"&amp;INT(MOD(Sync!$L197,10000)/100),2)&amp;"/"&amp;RIGHT("00"&amp;MOD(Sync!$L197,100),2),""),IFERROR(RIGHT("0000"&amp;VALUE(TRIM(LEFT(Sync!$L197,FIND("/",Sync!$L197)-1))),4)&amp;"/"&amp;RIGHT("00"&amp;VALUE(TRIM(LEFT(MID(Sync!$L197,FIND("/",Sync!$L197)+1,20),FIND("/",MID(Sync!$L197,FIND("/",Sync!$L197)+1,20))-1))),2)&amp;"/"&amp;RIGHT("00"&amp;VALUE(TRIM(MID(MID(Sync!$L197,FIND("/",Sync!$L197)+1,20),FIND("/",MID(Sync!$L197,FIND("/",Sync!$L197)+1,20))+1,20))),2),"")))</f>
        <v/>
      </c>
    </row>
    <row r="198" spans="1:14" x14ac:dyDescent="0.2">
      <c r="A198" t="str">
        <f>IF(Issues!$B201="","",Issues!$B201)</f>
        <v/>
      </c>
      <c r="B198" t="str">
        <f>IF($A198="","",IF(ISNUMBER(Issues!$C201),IF(AND(Issues!$C201&gt;=10000101,Issues!$C201&lt;=99991231),INT(Issues!$C201/10000),""),IFERROR(VALUE(TRIM(LEFT(Issues!$C201,FIND("/",Issues!$C201)-1))),"")))</f>
        <v/>
      </c>
      <c r="C198" t="str">
        <f>IF(OR($A198="",$B198=""),"",IF(ISNUMBER(Issues!$C201),INT(MOD(Issues!$C201,10000)/100),IFERROR(VALUE(TRIM(LEFT(MID(Issues!$C201,FIND("/",Issues!$C201)+1,20),FIND("/",MID(Issues!$C201,FIND("/",Issues!$C201)+1,20))-1))),"")))</f>
        <v/>
      </c>
      <c r="D198" t="str">
        <f>IF(OR($A198="",$B198=""),"",IF(ISNUMBER(Issues!$C201),MOD(Issues!$C201,100),IFERROR(VALUE(TRIM(MID(MID(Issues!$C201,FIND("/",Issues!$C201)+1,20),FIND("/",MID(Issues!$C201,FIND("/",Issues!$C201)+1,20))+1,20))),"")))</f>
        <v/>
      </c>
      <c r="E198" t="str">
        <f t="shared" ref="E198:E261" si="9"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 t="str">
        <f>IF($A198="","",IF(Issues!$D201="",0,Issues!$D201))</f>
        <v/>
      </c>
      <c r="G198" t="str">
        <f>IF($A198="","",Issues!$E201)</f>
        <v/>
      </c>
      <c r="H198" t="str">
        <f t="shared" ref="H198:H261" si="10">IF($A198="","",IF(COUNTIFS(ETxnType,"پاس چک",ETxnChk,$A198)&gt;0,"پاس شده","پاس نشده"))</f>
        <v/>
      </c>
      <c r="I198" t="str">
        <f t="shared" ref="I198:I261" si="11">IF($A198="","",IFERROR(INDEX(BClrDate,MATCH($A198,BClrChk,0)),""))</f>
        <v/>
      </c>
      <c r="J198" t="str">
        <f>IF($A198="","",Issues!$G201)</f>
        <v/>
      </c>
      <c r="K198" t="str">
        <f>IF(OR($E198="",$E198="نامعتبر"),"",LEFT($E198,4)&amp;MID($E198,6,2)&amp;RIGHT($E198,2)&amp;"|"&amp;RIGHT("00000"&amp;193,5))</f>
        <v/>
      </c>
      <c r="M198" t="str">
        <f>IF(Sync!$M198&lt;&gt;"پاس چک","",IF(Sync!$P198="","",Sync!$P198))</f>
        <v/>
      </c>
      <c r="N198" t="str">
        <f>IF($M198="","",IF(ISNUMBER(Sync!$L198),IF(AND(Sync!$L198&gt;=10000101,Sync!$L198&lt;=99991231),RIGHT("0000"&amp;INT(Sync!$L198/10000),4)&amp;"/"&amp;RIGHT("00"&amp;INT(MOD(Sync!$L198,10000)/100),2)&amp;"/"&amp;RIGHT("00"&amp;MOD(Sync!$L198,100),2),""),IFERROR(RIGHT("0000"&amp;VALUE(TRIM(LEFT(Sync!$L198,FIND("/",Sync!$L198)-1))),4)&amp;"/"&amp;RIGHT("00"&amp;VALUE(TRIM(LEFT(MID(Sync!$L198,FIND("/",Sync!$L198)+1,20),FIND("/",MID(Sync!$L198,FIND("/",Sync!$L198)+1,20))-1))),2)&amp;"/"&amp;RIGHT("00"&amp;VALUE(TRIM(MID(MID(Sync!$L198,FIND("/",Sync!$L198)+1,20),FIND("/",MID(Sync!$L198,FIND("/",Sync!$L198)+1,20))+1,20))),2),"")))</f>
        <v/>
      </c>
    </row>
    <row r="199" spans="1:14" x14ac:dyDescent="0.2">
      <c r="A199" t="str">
        <f>IF(Issues!$B202="","",Issues!$B202)</f>
        <v/>
      </c>
      <c r="B199" t="str">
        <f>IF($A199="","",IF(ISNUMBER(Issues!$C202),IF(AND(Issues!$C202&gt;=10000101,Issues!$C202&lt;=99991231),INT(Issues!$C202/10000),""),IFERROR(VALUE(TRIM(LEFT(Issues!$C202,FIND("/",Issues!$C202)-1))),"")))</f>
        <v/>
      </c>
      <c r="C199" t="str">
        <f>IF(OR($A199="",$B199=""),"",IF(ISNUMBER(Issues!$C202),INT(MOD(Issues!$C202,10000)/100),IFERROR(VALUE(TRIM(LEFT(MID(Issues!$C202,FIND("/",Issues!$C202)+1,20),FIND("/",MID(Issues!$C202,FIND("/",Issues!$C202)+1,20))-1))),"")))</f>
        <v/>
      </c>
      <c r="D199" t="str">
        <f>IF(OR($A199="",$B199=""),"",IF(ISNUMBER(Issues!$C202),MOD(Issues!$C202,100),IFERROR(VALUE(TRIM(MID(MID(Issues!$C202,FIND("/",Issues!$C202)+1,20),FIND("/",MID(Issues!$C202,FIND("/",Issues!$C202)+1,20))+1,20))),"")))</f>
        <v/>
      </c>
      <c r="E199" t="str">
        <f t="shared" si="9"/>
        <v/>
      </c>
      <c r="F199" t="str">
        <f>IF($A199="","",IF(Issues!$D202="",0,Issues!$D202))</f>
        <v/>
      </c>
      <c r="G199" t="str">
        <f>IF($A199="","",Issues!$E202)</f>
        <v/>
      </c>
      <c r="H199" t="str">
        <f t="shared" si="10"/>
        <v/>
      </c>
      <c r="I199" t="str">
        <f t="shared" si="11"/>
        <v/>
      </c>
      <c r="J199" t="str">
        <f>IF($A199="","",Issues!$G202)</f>
        <v/>
      </c>
      <c r="K199" t="str">
        <f>IF(OR($E199="",$E199="نامعتبر"),"",LEFT($E199,4)&amp;MID($E199,6,2)&amp;RIGHT($E199,2)&amp;"|"&amp;RIGHT("00000"&amp;194,5))</f>
        <v/>
      </c>
      <c r="M199" t="str">
        <f>IF(Sync!$M199&lt;&gt;"پاس چک","",IF(Sync!$P199="","",Sync!$P199))</f>
        <v/>
      </c>
      <c r="N199" t="str">
        <f>IF($M199="","",IF(ISNUMBER(Sync!$L199),IF(AND(Sync!$L199&gt;=10000101,Sync!$L199&lt;=99991231),RIGHT("0000"&amp;INT(Sync!$L199/10000),4)&amp;"/"&amp;RIGHT("00"&amp;INT(MOD(Sync!$L199,10000)/100),2)&amp;"/"&amp;RIGHT("00"&amp;MOD(Sync!$L199,100),2),""),IFERROR(RIGHT("0000"&amp;VALUE(TRIM(LEFT(Sync!$L199,FIND("/",Sync!$L199)-1))),4)&amp;"/"&amp;RIGHT("00"&amp;VALUE(TRIM(LEFT(MID(Sync!$L199,FIND("/",Sync!$L199)+1,20),FIND("/",MID(Sync!$L199,FIND("/",Sync!$L199)+1,20))-1))),2)&amp;"/"&amp;RIGHT("00"&amp;VALUE(TRIM(MID(MID(Sync!$L199,FIND("/",Sync!$L199)+1,20),FIND("/",MID(Sync!$L199,FIND("/",Sync!$L199)+1,20))+1,20))),2),"")))</f>
        <v/>
      </c>
    </row>
    <row r="200" spans="1:14" x14ac:dyDescent="0.2">
      <c r="A200" t="str">
        <f>IF(Issues!$B203="","",Issues!$B203)</f>
        <v/>
      </c>
      <c r="B200" t="str">
        <f>IF($A200="","",IF(ISNUMBER(Issues!$C203),IF(AND(Issues!$C203&gt;=10000101,Issues!$C203&lt;=99991231),INT(Issues!$C203/10000),""),IFERROR(VALUE(TRIM(LEFT(Issues!$C203,FIND("/",Issues!$C203)-1))),"")))</f>
        <v/>
      </c>
      <c r="C200" t="str">
        <f>IF(OR($A200="",$B200=""),"",IF(ISNUMBER(Issues!$C203),INT(MOD(Issues!$C203,10000)/100),IFERROR(VALUE(TRIM(LEFT(MID(Issues!$C203,FIND("/",Issues!$C203)+1,20),FIND("/",MID(Issues!$C203,FIND("/",Issues!$C203)+1,20))-1))),"")))</f>
        <v/>
      </c>
      <c r="D200" t="str">
        <f>IF(OR($A200="",$B200=""),"",IF(ISNUMBER(Issues!$C203),MOD(Issues!$C203,100),IFERROR(VALUE(TRIM(MID(MID(Issues!$C203,FIND("/",Issues!$C203)+1,20),FIND("/",MID(Issues!$C203,FIND("/",Issues!$C203)+1,20))+1,20))),"")))</f>
        <v/>
      </c>
      <c r="E200" t="str">
        <f t="shared" si="9"/>
        <v/>
      </c>
      <c r="F200" t="str">
        <f>IF($A200="","",IF(Issues!$D203="",0,Issues!$D203))</f>
        <v/>
      </c>
      <c r="G200" t="str">
        <f>IF($A200="","",Issues!$E203)</f>
        <v/>
      </c>
      <c r="H200" t="str">
        <f t="shared" si="10"/>
        <v/>
      </c>
      <c r="I200" t="str">
        <f t="shared" si="11"/>
        <v/>
      </c>
      <c r="J200" t="str">
        <f>IF($A200="","",Issues!$G203)</f>
        <v/>
      </c>
      <c r="K200" t="str">
        <f>IF(OR($E200="",$E200="نامعتبر"),"",LEFT($E200,4)&amp;MID($E200,6,2)&amp;RIGHT($E200,2)&amp;"|"&amp;RIGHT("00000"&amp;195,5))</f>
        <v/>
      </c>
      <c r="M200" t="str">
        <f>IF(Sync!$M200&lt;&gt;"پاس چک","",IF(Sync!$P200="","",Sync!$P200))</f>
        <v/>
      </c>
      <c r="N200" t="str">
        <f>IF($M200="","",IF(ISNUMBER(Sync!$L200),IF(AND(Sync!$L200&gt;=10000101,Sync!$L200&lt;=99991231),RIGHT("0000"&amp;INT(Sync!$L200/10000),4)&amp;"/"&amp;RIGHT("00"&amp;INT(MOD(Sync!$L200,10000)/100),2)&amp;"/"&amp;RIGHT("00"&amp;MOD(Sync!$L200,100),2),""),IFERROR(RIGHT("0000"&amp;VALUE(TRIM(LEFT(Sync!$L200,FIND("/",Sync!$L200)-1))),4)&amp;"/"&amp;RIGHT("00"&amp;VALUE(TRIM(LEFT(MID(Sync!$L200,FIND("/",Sync!$L200)+1,20),FIND("/",MID(Sync!$L200,FIND("/",Sync!$L200)+1,20))-1))),2)&amp;"/"&amp;RIGHT("00"&amp;VALUE(TRIM(MID(MID(Sync!$L200,FIND("/",Sync!$L200)+1,20),FIND("/",MID(Sync!$L200,FIND("/",Sync!$L200)+1,20))+1,20))),2),"")))</f>
        <v/>
      </c>
    </row>
    <row r="201" spans="1:14" x14ac:dyDescent="0.2">
      <c r="A201" t="str">
        <f>IF(Issues!$B204="","",Issues!$B204)</f>
        <v/>
      </c>
      <c r="B201" t="str">
        <f>IF($A201="","",IF(ISNUMBER(Issues!$C204),IF(AND(Issues!$C204&gt;=10000101,Issues!$C204&lt;=99991231),INT(Issues!$C204/10000),""),IFERROR(VALUE(TRIM(LEFT(Issues!$C204,FIND("/",Issues!$C204)-1))),"")))</f>
        <v/>
      </c>
      <c r="C201" t="str">
        <f>IF(OR($A201="",$B201=""),"",IF(ISNUMBER(Issues!$C204),INT(MOD(Issues!$C204,10000)/100),IFERROR(VALUE(TRIM(LEFT(MID(Issues!$C204,FIND("/",Issues!$C204)+1,20),FIND("/",MID(Issues!$C204,FIND("/",Issues!$C204)+1,20))-1))),"")))</f>
        <v/>
      </c>
      <c r="D201" t="str">
        <f>IF(OR($A201="",$B201=""),"",IF(ISNUMBER(Issues!$C204),MOD(Issues!$C204,100),IFERROR(VALUE(TRIM(MID(MID(Issues!$C204,FIND("/",Issues!$C204)+1,20),FIND("/",MID(Issues!$C204,FIND("/",Issues!$C204)+1,20))+1,20))),"")))</f>
        <v/>
      </c>
      <c r="E201" t="str">
        <f t="shared" si="9"/>
        <v/>
      </c>
      <c r="F201" t="str">
        <f>IF($A201="","",IF(Issues!$D204="",0,Issues!$D204))</f>
        <v/>
      </c>
      <c r="G201" t="str">
        <f>IF($A201="","",Issues!$E204)</f>
        <v/>
      </c>
      <c r="H201" t="str">
        <f t="shared" si="10"/>
        <v/>
      </c>
      <c r="I201" t="str">
        <f t="shared" si="11"/>
        <v/>
      </c>
      <c r="J201" t="str">
        <f>IF($A201="","",Issues!$G204)</f>
        <v/>
      </c>
      <c r="K201" t="str">
        <f>IF(OR($E201="",$E201="نامعتبر"),"",LEFT($E201,4)&amp;MID($E201,6,2)&amp;RIGHT($E201,2)&amp;"|"&amp;RIGHT("00000"&amp;196,5))</f>
        <v/>
      </c>
      <c r="M201" t="str">
        <f>IF(Sync!$M201&lt;&gt;"پاس چک","",IF(Sync!$P201="","",Sync!$P201))</f>
        <v/>
      </c>
      <c r="N201" t="str">
        <f>IF($M201="","",IF(ISNUMBER(Sync!$L201),IF(AND(Sync!$L201&gt;=10000101,Sync!$L201&lt;=99991231),RIGHT("0000"&amp;INT(Sync!$L201/10000),4)&amp;"/"&amp;RIGHT("00"&amp;INT(MOD(Sync!$L201,10000)/100),2)&amp;"/"&amp;RIGHT("00"&amp;MOD(Sync!$L201,100),2),""),IFERROR(RIGHT("0000"&amp;VALUE(TRIM(LEFT(Sync!$L201,FIND("/",Sync!$L201)-1))),4)&amp;"/"&amp;RIGHT("00"&amp;VALUE(TRIM(LEFT(MID(Sync!$L201,FIND("/",Sync!$L201)+1,20),FIND("/",MID(Sync!$L201,FIND("/",Sync!$L201)+1,20))-1))),2)&amp;"/"&amp;RIGHT("00"&amp;VALUE(TRIM(MID(MID(Sync!$L201,FIND("/",Sync!$L201)+1,20),FIND("/",MID(Sync!$L201,FIND("/",Sync!$L201)+1,20))+1,20))),2),"")))</f>
        <v/>
      </c>
    </row>
    <row r="202" spans="1:14" x14ac:dyDescent="0.2">
      <c r="A202" t="str">
        <f>IF(Issues!$B205="","",Issues!$B205)</f>
        <v/>
      </c>
      <c r="B202" t="str">
        <f>IF($A202="","",IF(ISNUMBER(Issues!$C205),IF(AND(Issues!$C205&gt;=10000101,Issues!$C205&lt;=99991231),INT(Issues!$C205/10000),""),IFERROR(VALUE(TRIM(LEFT(Issues!$C205,FIND("/",Issues!$C205)-1))),"")))</f>
        <v/>
      </c>
      <c r="C202" t="str">
        <f>IF(OR($A202="",$B202=""),"",IF(ISNUMBER(Issues!$C205),INT(MOD(Issues!$C205,10000)/100),IFERROR(VALUE(TRIM(LEFT(MID(Issues!$C205,FIND("/",Issues!$C205)+1,20),FIND("/",MID(Issues!$C205,FIND("/",Issues!$C205)+1,20))-1))),"")))</f>
        <v/>
      </c>
      <c r="D202" t="str">
        <f>IF(OR($A202="",$B202=""),"",IF(ISNUMBER(Issues!$C205),MOD(Issues!$C205,100),IFERROR(VALUE(TRIM(MID(MID(Issues!$C205,FIND("/",Issues!$C205)+1,20),FIND("/",MID(Issues!$C205,FIND("/",Issues!$C205)+1,20))+1,20))),"")))</f>
        <v/>
      </c>
      <c r="E202" t="str">
        <f t="shared" si="9"/>
        <v/>
      </c>
      <c r="F202" t="str">
        <f>IF($A202="","",IF(Issues!$D205="",0,Issues!$D205))</f>
        <v/>
      </c>
      <c r="G202" t="str">
        <f>IF($A202="","",Issues!$E205)</f>
        <v/>
      </c>
      <c r="H202" t="str">
        <f t="shared" si="10"/>
        <v/>
      </c>
      <c r="I202" t="str">
        <f t="shared" si="11"/>
        <v/>
      </c>
      <c r="J202" t="str">
        <f>IF($A202="","",Issues!$G205)</f>
        <v/>
      </c>
      <c r="K202" t="str">
        <f>IF(OR($E202="",$E202="نامعتبر"),"",LEFT($E202,4)&amp;MID($E202,6,2)&amp;RIGHT($E202,2)&amp;"|"&amp;RIGHT("00000"&amp;197,5))</f>
        <v/>
      </c>
      <c r="M202" t="str">
        <f>IF(Sync!$M202&lt;&gt;"پاس چک","",IF(Sync!$P202="","",Sync!$P202))</f>
        <v/>
      </c>
      <c r="N202" t="str">
        <f>IF($M202="","",IF(ISNUMBER(Sync!$L202),IF(AND(Sync!$L202&gt;=10000101,Sync!$L202&lt;=99991231),RIGHT("0000"&amp;INT(Sync!$L202/10000),4)&amp;"/"&amp;RIGHT("00"&amp;INT(MOD(Sync!$L202,10000)/100),2)&amp;"/"&amp;RIGHT("00"&amp;MOD(Sync!$L202,100),2),""),IFERROR(RIGHT("0000"&amp;VALUE(TRIM(LEFT(Sync!$L202,FIND("/",Sync!$L202)-1))),4)&amp;"/"&amp;RIGHT("00"&amp;VALUE(TRIM(LEFT(MID(Sync!$L202,FIND("/",Sync!$L202)+1,20),FIND("/",MID(Sync!$L202,FIND("/",Sync!$L202)+1,20))-1))),2)&amp;"/"&amp;RIGHT("00"&amp;VALUE(TRIM(MID(MID(Sync!$L202,FIND("/",Sync!$L202)+1,20),FIND("/",MID(Sync!$L202,FIND("/",Sync!$L202)+1,20))+1,20))),2),"")))</f>
        <v/>
      </c>
    </row>
    <row r="203" spans="1:14" x14ac:dyDescent="0.2">
      <c r="A203" t="str">
        <f>IF(Issues!$B206="","",Issues!$B206)</f>
        <v/>
      </c>
      <c r="B203" t="str">
        <f>IF($A203="","",IF(ISNUMBER(Issues!$C206),IF(AND(Issues!$C206&gt;=10000101,Issues!$C206&lt;=99991231),INT(Issues!$C206/10000),""),IFERROR(VALUE(TRIM(LEFT(Issues!$C206,FIND("/",Issues!$C206)-1))),"")))</f>
        <v/>
      </c>
      <c r="C203" t="str">
        <f>IF(OR($A203="",$B203=""),"",IF(ISNUMBER(Issues!$C206),INT(MOD(Issues!$C206,10000)/100),IFERROR(VALUE(TRIM(LEFT(MID(Issues!$C206,FIND("/",Issues!$C206)+1,20),FIND("/",MID(Issues!$C206,FIND("/",Issues!$C206)+1,20))-1))),"")))</f>
        <v/>
      </c>
      <c r="D203" t="str">
        <f>IF(OR($A203="",$B203=""),"",IF(ISNUMBER(Issues!$C206),MOD(Issues!$C206,100),IFERROR(VALUE(TRIM(MID(MID(Issues!$C206,FIND("/",Issues!$C206)+1,20),FIND("/",MID(Issues!$C206,FIND("/",Issues!$C206)+1,20))+1,20))),"")))</f>
        <v/>
      </c>
      <c r="E203" t="str">
        <f t="shared" si="9"/>
        <v/>
      </c>
      <c r="F203" t="str">
        <f>IF($A203="","",IF(Issues!$D206="",0,Issues!$D206))</f>
        <v/>
      </c>
      <c r="G203" t="str">
        <f>IF($A203="","",Issues!$E206)</f>
        <v/>
      </c>
      <c r="H203" t="str">
        <f t="shared" si="10"/>
        <v/>
      </c>
      <c r="I203" t="str">
        <f t="shared" si="11"/>
        <v/>
      </c>
      <c r="J203" t="str">
        <f>IF($A203="","",Issues!$G206)</f>
        <v/>
      </c>
      <c r="K203" t="str">
        <f>IF(OR($E203="",$E203="نامعتبر"),"",LEFT($E203,4)&amp;MID($E203,6,2)&amp;RIGHT($E203,2)&amp;"|"&amp;RIGHT("00000"&amp;198,5))</f>
        <v/>
      </c>
      <c r="M203" t="str">
        <f>IF(Sync!$M203&lt;&gt;"پاس چک","",IF(Sync!$P203="","",Sync!$P203))</f>
        <v/>
      </c>
      <c r="N203" t="str">
        <f>IF($M203="","",IF(ISNUMBER(Sync!$L203),IF(AND(Sync!$L203&gt;=10000101,Sync!$L203&lt;=99991231),RIGHT("0000"&amp;INT(Sync!$L203/10000),4)&amp;"/"&amp;RIGHT("00"&amp;INT(MOD(Sync!$L203,10000)/100),2)&amp;"/"&amp;RIGHT("00"&amp;MOD(Sync!$L203,100),2),""),IFERROR(RIGHT("0000"&amp;VALUE(TRIM(LEFT(Sync!$L203,FIND("/",Sync!$L203)-1))),4)&amp;"/"&amp;RIGHT("00"&amp;VALUE(TRIM(LEFT(MID(Sync!$L203,FIND("/",Sync!$L203)+1,20),FIND("/",MID(Sync!$L203,FIND("/",Sync!$L203)+1,20))-1))),2)&amp;"/"&amp;RIGHT("00"&amp;VALUE(TRIM(MID(MID(Sync!$L203,FIND("/",Sync!$L203)+1,20),FIND("/",MID(Sync!$L203,FIND("/",Sync!$L203)+1,20))+1,20))),2),"")))</f>
        <v/>
      </c>
    </row>
    <row r="204" spans="1:14" x14ac:dyDescent="0.2">
      <c r="A204" t="str">
        <f>IF(Issues!$B207="","",Issues!$B207)</f>
        <v/>
      </c>
      <c r="B204" t="str">
        <f>IF($A204="","",IF(ISNUMBER(Issues!$C207),IF(AND(Issues!$C207&gt;=10000101,Issues!$C207&lt;=99991231),INT(Issues!$C207/10000),""),IFERROR(VALUE(TRIM(LEFT(Issues!$C207,FIND("/",Issues!$C207)-1))),"")))</f>
        <v/>
      </c>
      <c r="C204" t="str">
        <f>IF(OR($A204="",$B204=""),"",IF(ISNUMBER(Issues!$C207),INT(MOD(Issues!$C207,10000)/100),IFERROR(VALUE(TRIM(LEFT(MID(Issues!$C207,FIND("/",Issues!$C207)+1,20),FIND("/",MID(Issues!$C207,FIND("/",Issues!$C207)+1,20))-1))),"")))</f>
        <v/>
      </c>
      <c r="D204" t="str">
        <f>IF(OR($A204="",$B204=""),"",IF(ISNUMBER(Issues!$C207),MOD(Issues!$C207,100),IFERROR(VALUE(TRIM(MID(MID(Issues!$C207,FIND("/",Issues!$C207)+1,20),FIND("/",MID(Issues!$C207,FIND("/",Issues!$C207)+1,20))+1,20))),"")))</f>
        <v/>
      </c>
      <c r="E204" t="str">
        <f t="shared" si="9"/>
        <v/>
      </c>
      <c r="F204" t="str">
        <f>IF($A204="","",IF(Issues!$D207="",0,Issues!$D207))</f>
        <v/>
      </c>
      <c r="G204" t="str">
        <f>IF($A204="","",Issues!$E207)</f>
        <v/>
      </c>
      <c r="H204" t="str">
        <f t="shared" si="10"/>
        <v/>
      </c>
      <c r="I204" t="str">
        <f t="shared" si="11"/>
        <v/>
      </c>
      <c r="J204" t="str">
        <f>IF($A204="","",Issues!$G207)</f>
        <v/>
      </c>
      <c r="K204" t="str">
        <f>IF(OR($E204="",$E204="نامعتبر"),"",LEFT($E204,4)&amp;MID($E204,6,2)&amp;RIGHT($E204,2)&amp;"|"&amp;RIGHT("00000"&amp;199,5))</f>
        <v/>
      </c>
      <c r="M204" t="str">
        <f>IF(Sync!$M204&lt;&gt;"پاس چک","",IF(Sync!$P204="","",Sync!$P204))</f>
        <v/>
      </c>
      <c r="N204" t="str">
        <f>IF($M204="","",IF(ISNUMBER(Sync!$L204),IF(AND(Sync!$L204&gt;=10000101,Sync!$L204&lt;=99991231),RIGHT("0000"&amp;INT(Sync!$L204/10000),4)&amp;"/"&amp;RIGHT("00"&amp;INT(MOD(Sync!$L204,10000)/100),2)&amp;"/"&amp;RIGHT("00"&amp;MOD(Sync!$L204,100),2),""),IFERROR(RIGHT("0000"&amp;VALUE(TRIM(LEFT(Sync!$L204,FIND("/",Sync!$L204)-1))),4)&amp;"/"&amp;RIGHT("00"&amp;VALUE(TRIM(LEFT(MID(Sync!$L204,FIND("/",Sync!$L204)+1,20),FIND("/",MID(Sync!$L204,FIND("/",Sync!$L204)+1,20))-1))),2)&amp;"/"&amp;RIGHT("00"&amp;VALUE(TRIM(MID(MID(Sync!$L204,FIND("/",Sync!$L204)+1,20),FIND("/",MID(Sync!$L204,FIND("/",Sync!$L204)+1,20))+1,20))),2),"")))</f>
        <v/>
      </c>
    </row>
    <row r="205" spans="1:14" x14ac:dyDescent="0.2">
      <c r="A205" t="str">
        <f>IF(Issues!$B208="","",Issues!$B208)</f>
        <v/>
      </c>
      <c r="B205" t="str">
        <f>IF($A205="","",IF(ISNUMBER(Issues!$C208),IF(AND(Issues!$C208&gt;=10000101,Issues!$C208&lt;=99991231),INT(Issues!$C208/10000),""),IFERROR(VALUE(TRIM(LEFT(Issues!$C208,FIND("/",Issues!$C208)-1))),"")))</f>
        <v/>
      </c>
      <c r="C205" t="str">
        <f>IF(OR($A205="",$B205=""),"",IF(ISNUMBER(Issues!$C208),INT(MOD(Issues!$C208,10000)/100),IFERROR(VALUE(TRIM(LEFT(MID(Issues!$C208,FIND("/",Issues!$C208)+1,20),FIND("/",MID(Issues!$C208,FIND("/",Issues!$C208)+1,20))-1))),"")))</f>
        <v/>
      </c>
      <c r="D205" t="str">
        <f>IF(OR($A205="",$B205=""),"",IF(ISNUMBER(Issues!$C208),MOD(Issues!$C208,100),IFERROR(VALUE(TRIM(MID(MID(Issues!$C208,FIND("/",Issues!$C208)+1,20),FIND("/",MID(Issues!$C208,FIND("/",Issues!$C208)+1,20))+1,20))),"")))</f>
        <v/>
      </c>
      <c r="E205" t="str">
        <f t="shared" si="9"/>
        <v/>
      </c>
      <c r="F205" t="str">
        <f>IF($A205="","",IF(Issues!$D208="",0,Issues!$D208))</f>
        <v/>
      </c>
      <c r="G205" t="str">
        <f>IF($A205="","",Issues!$E208)</f>
        <v/>
      </c>
      <c r="H205" t="str">
        <f t="shared" si="10"/>
        <v/>
      </c>
      <c r="I205" t="str">
        <f t="shared" si="11"/>
        <v/>
      </c>
      <c r="J205" t="str">
        <f>IF($A205="","",Issues!$G208)</f>
        <v/>
      </c>
      <c r="K205" t="str">
        <f>IF(OR($E205="",$E205="نامعتبر"),"",LEFT($E205,4)&amp;MID($E205,6,2)&amp;RIGHT($E205,2)&amp;"|"&amp;RIGHT("00000"&amp;200,5))</f>
        <v/>
      </c>
      <c r="M205" t="str">
        <f>IF(Sync!$M205&lt;&gt;"پاس چک","",IF(Sync!$P205="","",Sync!$P205))</f>
        <v/>
      </c>
      <c r="N205" t="str">
        <f>IF($M205="","",IF(ISNUMBER(Sync!$L205),IF(AND(Sync!$L205&gt;=10000101,Sync!$L205&lt;=99991231),RIGHT("0000"&amp;INT(Sync!$L205/10000),4)&amp;"/"&amp;RIGHT("00"&amp;INT(MOD(Sync!$L205,10000)/100),2)&amp;"/"&amp;RIGHT("00"&amp;MOD(Sync!$L205,100),2),""),IFERROR(RIGHT("0000"&amp;VALUE(TRIM(LEFT(Sync!$L205,FIND("/",Sync!$L205)-1))),4)&amp;"/"&amp;RIGHT("00"&amp;VALUE(TRIM(LEFT(MID(Sync!$L205,FIND("/",Sync!$L205)+1,20),FIND("/",MID(Sync!$L205,FIND("/",Sync!$L205)+1,20))-1))),2)&amp;"/"&amp;RIGHT("00"&amp;VALUE(TRIM(MID(MID(Sync!$L205,FIND("/",Sync!$L205)+1,20),FIND("/",MID(Sync!$L205,FIND("/",Sync!$L205)+1,20))+1,20))),2),"")))</f>
        <v/>
      </c>
    </row>
    <row r="206" spans="1:14" x14ac:dyDescent="0.2">
      <c r="A206" t="str">
        <f>IF(Issues!$B209="","",Issues!$B209)</f>
        <v/>
      </c>
      <c r="B206" t="str">
        <f>IF($A206="","",IF(ISNUMBER(Issues!$C209),IF(AND(Issues!$C209&gt;=10000101,Issues!$C209&lt;=99991231),INT(Issues!$C209/10000),""),IFERROR(VALUE(TRIM(LEFT(Issues!$C209,FIND("/",Issues!$C209)-1))),"")))</f>
        <v/>
      </c>
      <c r="C206" t="str">
        <f>IF(OR($A206="",$B206=""),"",IF(ISNUMBER(Issues!$C209),INT(MOD(Issues!$C209,10000)/100),IFERROR(VALUE(TRIM(LEFT(MID(Issues!$C209,FIND("/",Issues!$C209)+1,20),FIND("/",MID(Issues!$C209,FIND("/",Issues!$C209)+1,20))-1))),"")))</f>
        <v/>
      </c>
      <c r="D206" t="str">
        <f>IF(OR($A206="",$B206=""),"",IF(ISNUMBER(Issues!$C209),MOD(Issues!$C209,100),IFERROR(VALUE(TRIM(MID(MID(Issues!$C209,FIND("/",Issues!$C209)+1,20),FIND("/",MID(Issues!$C209,FIND("/",Issues!$C209)+1,20))+1,20))),"")))</f>
        <v/>
      </c>
      <c r="E206" t="str">
        <f t="shared" si="9"/>
        <v/>
      </c>
      <c r="F206" t="str">
        <f>IF($A206="","",IF(Issues!$D209="",0,Issues!$D209))</f>
        <v/>
      </c>
      <c r="G206" t="str">
        <f>IF($A206="","",Issues!$E209)</f>
        <v/>
      </c>
      <c r="H206" t="str">
        <f t="shared" si="10"/>
        <v/>
      </c>
      <c r="I206" t="str">
        <f t="shared" si="11"/>
        <v/>
      </c>
      <c r="J206" t="str">
        <f>IF($A206="","",Issues!$G209)</f>
        <v/>
      </c>
      <c r="K206" t="str">
        <f>IF(OR($E206="",$E206="نامعتبر"),"",LEFT($E206,4)&amp;MID($E206,6,2)&amp;RIGHT($E206,2)&amp;"|"&amp;RIGHT("00000"&amp;201,5))</f>
        <v/>
      </c>
      <c r="M206" t="str">
        <f>IF(Sync!$M206&lt;&gt;"پاس چک","",IF(Sync!$P206="","",Sync!$P206))</f>
        <v/>
      </c>
      <c r="N206" t="str">
        <f>IF($M206="","",IF(ISNUMBER(Sync!$L206),IF(AND(Sync!$L206&gt;=10000101,Sync!$L206&lt;=99991231),RIGHT("0000"&amp;INT(Sync!$L206/10000),4)&amp;"/"&amp;RIGHT("00"&amp;INT(MOD(Sync!$L206,10000)/100),2)&amp;"/"&amp;RIGHT("00"&amp;MOD(Sync!$L206,100),2),""),IFERROR(RIGHT("0000"&amp;VALUE(TRIM(LEFT(Sync!$L206,FIND("/",Sync!$L206)-1))),4)&amp;"/"&amp;RIGHT("00"&amp;VALUE(TRIM(LEFT(MID(Sync!$L206,FIND("/",Sync!$L206)+1,20),FIND("/",MID(Sync!$L206,FIND("/",Sync!$L206)+1,20))-1))),2)&amp;"/"&amp;RIGHT("00"&amp;VALUE(TRIM(MID(MID(Sync!$L206,FIND("/",Sync!$L206)+1,20),FIND("/",MID(Sync!$L206,FIND("/",Sync!$L206)+1,20))+1,20))),2),"")))</f>
        <v/>
      </c>
    </row>
    <row r="207" spans="1:14" x14ac:dyDescent="0.2">
      <c r="A207" t="str">
        <f>IF(Issues!$B210="","",Issues!$B210)</f>
        <v/>
      </c>
      <c r="B207" t="str">
        <f>IF($A207="","",IF(ISNUMBER(Issues!$C210),IF(AND(Issues!$C210&gt;=10000101,Issues!$C210&lt;=99991231),INT(Issues!$C210/10000),""),IFERROR(VALUE(TRIM(LEFT(Issues!$C210,FIND("/",Issues!$C210)-1))),"")))</f>
        <v/>
      </c>
      <c r="C207" t="str">
        <f>IF(OR($A207="",$B207=""),"",IF(ISNUMBER(Issues!$C210),INT(MOD(Issues!$C210,10000)/100),IFERROR(VALUE(TRIM(LEFT(MID(Issues!$C210,FIND("/",Issues!$C210)+1,20),FIND("/",MID(Issues!$C210,FIND("/",Issues!$C210)+1,20))-1))),"")))</f>
        <v/>
      </c>
      <c r="D207" t="str">
        <f>IF(OR($A207="",$B207=""),"",IF(ISNUMBER(Issues!$C210),MOD(Issues!$C210,100),IFERROR(VALUE(TRIM(MID(MID(Issues!$C210,FIND("/",Issues!$C210)+1,20),FIND("/",MID(Issues!$C210,FIND("/",Issues!$C210)+1,20))+1,20))),"")))</f>
        <v/>
      </c>
      <c r="E207" t="str">
        <f t="shared" si="9"/>
        <v/>
      </c>
      <c r="F207" t="str">
        <f>IF($A207="","",IF(Issues!$D210="",0,Issues!$D210))</f>
        <v/>
      </c>
      <c r="G207" t="str">
        <f>IF($A207="","",Issues!$E210)</f>
        <v/>
      </c>
      <c r="H207" t="str">
        <f t="shared" si="10"/>
        <v/>
      </c>
      <c r="I207" t="str">
        <f t="shared" si="11"/>
        <v/>
      </c>
      <c r="J207" t="str">
        <f>IF($A207="","",Issues!$G210)</f>
        <v/>
      </c>
      <c r="K207" t="str">
        <f>IF(OR($E207="",$E207="نامعتبر"),"",LEFT($E207,4)&amp;MID($E207,6,2)&amp;RIGHT($E207,2)&amp;"|"&amp;RIGHT("00000"&amp;202,5))</f>
        <v/>
      </c>
      <c r="M207" t="str">
        <f>IF(Sync!$M207&lt;&gt;"پاس چک","",IF(Sync!$P207="","",Sync!$P207))</f>
        <v/>
      </c>
      <c r="N207" t="str">
        <f>IF($M207="","",IF(ISNUMBER(Sync!$L207),IF(AND(Sync!$L207&gt;=10000101,Sync!$L207&lt;=99991231),RIGHT("0000"&amp;INT(Sync!$L207/10000),4)&amp;"/"&amp;RIGHT("00"&amp;INT(MOD(Sync!$L207,10000)/100),2)&amp;"/"&amp;RIGHT("00"&amp;MOD(Sync!$L207,100),2),""),IFERROR(RIGHT("0000"&amp;VALUE(TRIM(LEFT(Sync!$L207,FIND("/",Sync!$L207)-1))),4)&amp;"/"&amp;RIGHT("00"&amp;VALUE(TRIM(LEFT(MID(Sync!$L207,FIND("/",Sync!$L207)+1,20),FIND("/",MID(Sync!$L207,FIND("/",Sync!$L207)+1,20))-1))),2)&amp;"/"&amp;RIGHT("00"&amp;VALUE(TRIM(MID(MID(Sync!$L207,FIND("/",Sync!$L207)+1,20),FIND("/",MID(Sync!$L207,FIND("/",Sync!$L207)+1,20))+1,20))),2),"")))</f>
        <v/>
      </c>
    </row>
    <row r="208" spans="1:14" x14ac:dyDescent="0.2">
      <c r="A208" t="str">
        <f>IF(Issues!$B211="","",Issues!$B211)</f>
        <v/>
      </c>
      <c r="B208" t="str">
        <f>IF($A208="","",IF(ISNUMBER(Issues!$C211),IF(AND(Issues!$C211&gt;=10000101,Issues!$C211&lt;=99991231),INT(Issues!$C211/10000),""),IFERROR(VALUE(TRIM(LEFT(Issues!$C211,FIND("/",Issues!$C211)-1))),"")))</f>
        <v/>
      </c>
      <c r="C208" t="str">
        <f>IF(OR($A208="",$B208=""),"",IF(ISNUMBER(Issues!$C211),INT(MOD(Issues!$C211,10000)/100),IFERROR(VALUE(TRIM(LEFT(MID(Issues!$C211,FIND("/",Issues!$C211)+1,20),FIND("/",MID(Issues!$C211,FIND("/",Issues!$C211)+1,20))-1))),"")))</f>
        <v/>
      </c>
      <c r="D208" t="str">
        <f>IF(OR($A208="",$B208=""),"",IF(ISNUMBER(Issues!$C211),MOD(Issues!$C211,100),IFERROR(VALUE(TRIM(MID(MID(Issues!$C211,FIND("/",Issues!$C211)+1,20),FIND("/",MID(Issues!$C211,FIND("/",Issues!$C211)+1,20))+1,20))),"")))</f>
        <v/>
      </c>
      <c r="E208" t="str">
        <f t="shared" si="9"/>
        <v/>
      </c>
      <c r="F208" t="str">
        <f>IF($A208="","",IF(Issues!$D211="",0,Issues!$D211))</f>
        <v/>
      </c>
      <c r="G208" t="str">
        <f>IF($A208="","",Issues!$E211)</f>
        <v/>
      </c>
      <c r="H208" t="str">
        <f t="shared" si="10"/>
        <v/>
      </c>
      <c r="I208" t="str">
        <f t="shared" si="11"/>
        <v/>
      </c>
      <c r="J208" t="str">
        <f>IF($A208="","",Issues!$G211)</f>
        <v/>
      </c>
      <c r="K208" t="str">
        <f>IF(OR($E208="",$E208="نامعتبر"),"",LEFT($E208,4)&amp;MID($E208,6,2)&amp;RIGHT($E208,2)&amp;"|"&amp;RIGHT("00000"&amp;203,5))</f>
        <v/>
      </c>
      <c r="M208" t="str">
        <f>IF(Sync!$M208&lt;&gt;"پاس چک","",IF(Sync!$P208="","",Sync!$P208))</f>
        <v/>
      </c>
      <c r="N208" t="str">
        <f>IF($M208="","",IF(ISNUMBER(Sync!$L208),IF(AND(Sync!$L208&gt;=10000101,Sync!$L208&lt;=99991231),RIGHT("0000"&amp;INT(Sync!$L208/10000),4)&amp;"/"&amp;RIGHT("00"&amp;INT(MOD(Sync!$L208,10000)/100),2)&amp;"/"&amp;RIGHT("00"&amp;MOD(Sync!$L208,100),2),""),IFERROR(RIGHT("0000"&amp;VALUE(TRIM(LEFT(Sync!$L208,FIND("/",Sync!$L208)-1))),4)&amp;"/"&amp;RIGHT("00"&amp;VALUE(TRIM(LEFT(MID(Sync!$L208,FIND("/",Sync!$L208)+1,20),FIND("/",MID(Sync!$L208,FIND("/",Sync!$L208)+1,20))-1))),2)&amp;"/"&amp;RIGHT("00"&amp;VALUE(TRIM(MID(MID(Sync!$L208,FIND("/",Sync!$L208)+1,20),FIND("/",MID(Sync!$L208,FIND("/",Sync!$L208)+1,20))+1,20))),2),"")))</f>
        <v/>
      </c>
    </row>
    <row r="209" spans="1:14" x14ac:dyDescent="0.2">
      <c r="A209" t="str">
        <f>IF(Issues!$B212="","",Issues!$B212)</f>
        <v/>
      </c>
      <c r="B209" t="str">
        <f>IF($A209="","",IF(ISNUMBER(Issues!$C212),IF(AND(Issues!$C212&gt;=10000101,Issues!$C212&lt;=99991231),INT(Issues!$C212/10000),""),IFERROR(VALUE(TRIM(LEFT(Issues!$C212,FIND("/",Issues!$C212)-1))),"")))</f>
        <v/>
      </c>
      <c r="C209" t="str">
        <f>IF(OR($A209="",$B209=""),"",IF(ISNUMBER(Issues!$C212),INT(MOD(Issues!$C212,10000)/100),IFERROR(VALUE(TRIM(LEFT(MID(Issues!$C212,FIND("/",Issues!$C212)+1,20),FIND("/",MID(Issues!$C212,FIND("/",Issues!$C212)+1,20))-1))),"")))</f>
        <v/>
      </c>
      <c r="D209" t="str">
        <f>IF(OR($A209="",$B209=""),"",IF(ISNUMBER(Issues!$C212),MOD(Issues!$C212,100),IFERROR(VALUE(TRIM(MID(MID(Issues!$C212,FIND("/",Issues!$C212)+1,20),FIND("/",MID(Issues!$C212,FIND("/",Issues!$C212)+1,20))+1,20))),"")))</f>
        <v/>
      </c>
      <c r="E209" t="str">
        <f t="shared" si="9"/>
        <v/>
      </c>
      <c r="F209" t="str">
        <f>IF($A209="","",IF(Issues!$D212="",0,Issues!$D212))</f>
        <v/>
      </c>
      <c r="G209" t="str">
        <f>IF($A209="","",Issues!$E212)</f>
        <v/>
      </c>
      <c r="H209" t="str">
        <f t="shared" si="10"/>
        <v/>
      </c>
      <c r="I209" t="str">
        <f t="shared" si="11"/>
        <v/>
      </c>
      <c r="J209" t="str">
        <f>IF($A209="","",Issues!$G212)</f>
        <v/>
      </c>
      <c r="K209" t="str">
        <f>IF(OR($E209="",$E209="نامعتبر"),"",LEFT($E209,4)&amp;MID($E209,6,2)&amp;RIGHT($E209,2)&amp;"|"&amp;RIGHT("00000"&amp;204,5))</f>
        <v/>
      </c>
      <c r="M209" t="str">
        <f>IF(Sync!$M209&lt;&gt;"پاس چک","",IF(Sync!$P209="","",Sync!$P209))</f>
        <v/>
      </c>
      <c r="N209" t="str">
        <f>IF($M209="","",IF(ISNUMBER(Sync!$L209),IF(AND(Sync!$L209&gt;=10000101,Sync!$L209&lt;=99991231),RIGHT("0000"&amp;INT(Sync!$L209/10000),4)&amp;"/"&amp;RIGHT("00"&amp;INT(MOD(Sync!$L209,10000)/100),2)&amp;"/"&amp;RIGHT("00"&amp;MOD(Sync!$L209,100),2),""),IFERROR(RIGHT("0000"&amp;VALUE(TRIM(LEFT(Sync!$L209,FIND("/",Sync!$L209)-1))),4)&amp;"/"&amp;RIGHT("00"&amp;VALUE(TRIM(LEFT(MID(Sync!$L209,FIND("/",Sync!$L209)+1,20),FIND("/",MID(Sync!$L209,FIND("/",Sync!$L209)+1,20))-1))),2)&amp;"/"&amp;RIGHT("00"&amp;VALUE(TRIM(MID(MID(Sync!$L209,FIND("/",Sync!$L209)+1,20),FIND("/",MID(Sync!$L209,FIND("/",Sync!$L209)+1,20))+1,20))),2),"")))</f>
        <v/>
      </c>
    </row>
    <row r="210" spans="1:14" x14ac:dyDescent="0.2">
      <c r="A210" t="str">
        <f>IF(Issues!$B213="","",Issues!$B213)</f>
        <v/>
      </c>
      <c r="B210" t="str">
        <f>IF($A210="","",IF(ISNUMBER(Issues!$C213),IF(AND(Issues!$C213&gt;=10000101,Issues!$C213&lt;=99991231),INT(Issues!$C213/10000),""),IFERROR(VALUE(TRIM(LEFT(Issues!$C213,FIND("/",Issues!$C213)-1))),"")))</f>
        <v/>
      </c>
      <c r="C210" t="str">
        <f>IF(OR($A210="",$B210=""),"",IF(ISNUMBER(Issues!$C213),INT(MOD(Issues!$C213,10000)/100),IFERROR(VALUE(TRIM(LEFT(MID(Issues!$C213,FIND("/",Issues!$C213)+1,20),FIND("/",MID(Issues!$C213,FIND("/",Issues!$C213)+1,20))-1))),"")))</f>
        <v/>
      </c>
      <c r="D210" t="str">
        <f>IF(OR($A210="",$B210=""),"",IF(ISNUMBER(Issues!$C213),MOD(Issues!$C213,100),IFERROR(VALUE(TRIM(MID(MID(Issues!$C213,FIND("/",Issues!$C213)+1,20),FIND("/",MID(Issues!$C213,FIND("/",Issues!$C213)+1,20))+1,20))),"")))</f>
        <v/>
      </c>
      <c r="E210" t="str">
        <f t="shared" si="9"/>
        <v/>
      </c>
      <c r="F210" t="str">
        <f>IF($A210="","",IF(Issues!$D213="",0,Issues!$D213))</f>
        <v/>
      </c>
      <c r="G210" t="str">
        <f>IF($A210="","",Issues!$E213)</f>
        <v/>
      </c>
      <c r="H210" t="str">
        <f t="shared" si="10"/>
        <v/>
      </c>
      <c r="I210" t="str">
        <f t="shared" si="11"/>
        <v/>
      </c>
      <c r="J210" t="str">
        <f>IF($A210="","",Issues!$G213)</f>
        <v/>
      </c>
      <c r="K210" t="str">
        <f>IF(OR($E210="",$E210="نامعتبر"),"",LEFT($E210,4)&amp;MID($E210,6,2)&amp;RIGHT($E210,2)&amp;"|"&amp;RIGHT("00000"&amp;205,5))</f>
        <v/>
      </c>
      <c r="M210" t="str">
        <f>IF(Sync!$M210&lt;&gt;"پاس چک","",IF(Sync!$P210="","",Sync!$P210))</f>
        <v/>
      </c>
      <c r="N210" t="str">
        <f>IF($M210="","",IF(ISNUMBER(Sync!$L210),IF(AND(Sync!$L210&gt;=10000101,Sync!$L210&lt;=99991231),RIGHT("0000"&amp;INT(Sync!$L210/10000),4)&amp;"/"&amp;RIGHT("00"&amp;INT(MOD(Sync!$L210,10000)/100),2)&amp;"/"&amp;RIGHT("00"&amp;MOD(Sync!$L210,100),2),""),IFERROR(RIGHT("0000"&amp;VALUE(TRIM(LEFT(Sync!$L210,FIND("/",Sync!$L210)-1))),4)&amp;"/"&amp;RIGHT("00"&amp;VALUE(TRIM(LEFT(MID(Sync!$L210,FIND("/",Sync!$L210)+1,20),FIND("/",MID(Sync!$L210,FIND("/",Sync!$L210)+1,20))-1))),2)&amp;"/"&amp;RIGHT("00"&amp;VALUE(TRIM(MID(MID(Sync!$L210,FIND("/",Sync!$L210)+1,20),FIND("/",MID(Sync!$L210,FIND("/",Sync!$L210)+1,20))+1,20))),2),"")))</f>
        <v/>
      </c>
    </row>
    <row r="211" spans="1:14" x14ac:dyDescent="0.2">
      <c r="A211" t="str">
        <f>IF(Issues!$B214="","",Issues!$B214)</f>
        <v/>
      </c>
      <c r="B211" t="str">
        <f>IF($A211="","",IF(ISNUMBER(Issues!$C214),IF(AND(Issues!$C214&gt;=10000101,Issues!$C214&lt;=99991231),INT(Issues!$C214/10000),""),IFERROR(VALUE(TRIM(LEFT(Issues!$C214,FIND("/",Issues!$C214)-1))),"")))</f>
        <v/>
      </c>
      <c r="C211" t="str">
        <f>IF(OR($A211="",$B211=""),"",IF(ISNUMBER(Issues!$C214),INT(MOD(Issues!$C214,10000)/100),IFERROR(VALUE(TRIM(LEFT(MID(Issues!$C214,FIND("/",Issues!$C214)+1,20),FIND("/",MID(Issues!$C214,FIND("/",Issues!$C214)+1,20))-1))),"")))</f>
        <v/>
      </c>
      <c r="D211" t="str">
        <f>IF(OR($A211="",$B211=""),"",IF(ISNUMBER(Issues!$C214),MOD(Issues!$C214,100),IFERROR(VALUE(TRIM(MID(MID(Issues!$C214,FIND("/",Issues!$C214)+1,20),FIND("/",MID(Issues!$C214,FIND("/",Issues!$C214)+1,20))+1,20))),"")))</f>
        <v/>
      </c>
      <c r="E211" t="str">
        <f t="shared" si="9"/>
        <v/>
      </c>
      <c r="F211" t="str">
        <f>IF($A211="","",IF(Issues!$D214="",0,Issues!$D214))</f>
        <v/>
      </c>
      <c r="G211" t="str">
        <f>IF($A211="","",Issues!$E214)</f>
        <v/>
      </c>
      <c r="H211" t="str">
        <f t="shared" si="10"/>
        <v/>
      </c>
      <c r="I211" t="str">
        <f t="shared" si="11"/>
        <v/>
      </c>
      <c r="J211" t="str">
        <f>IF($A211="","",Issues!$G214)</f>
        <v/>
      </c>
      <c r="K211" t="str">
        <f>IF(OR($E211="",$E211="نامعتبر"),"",LEFT($E211,4)&amp;MID($E211,6,2)&amp;RIGHT($E211,2)&amp;"|"&amp;RIGHT("00000"&amp;206,5))</f>
        <v/>
      </c>
      <c r="M211" t="str">
        <f>IF(Sync!$M211&lt;&gt;"پاس چک","",IF(Sync!$P211="","",Sync!$P211))</f>
        <v/>
      </c>
      <c r="N211" t="str">
        <f>IF($M211="","",IF(ISNUMBER(Sync!$L211),IF(AND(Sync!$L211&gt;=10000101,Sync!$L211&lt;=99991231),RIGHT("0000"&amp;INT(Sync!$L211/10000),4)&amp;"/"&amp;RIGHT("00"&amp;INT(MOD(Sync!$L211,10000)/100),2)&amp;"/"&amp;RIGHT("00"&amp;MOD(Sync!$L211,100),2),""),IFERROR(RIGHT("0000"&amp;VALUE(TRIM(LEFT(Sync!$L211,FIND("/",Sync!$L211)-1))),4)&amp;"/"&amp;RIGHT("00"&amp;VALUE(TRIM(LEFT(MID(Sync!$L211,FIND("/",Sync!$L211)+1,20),FIND("/",MID(Sync!$L211,FIND("/",Sync!$L211)+1,20))-1))),2)&amp;"/"&amp;RIGHT("00"&amp;VALUE(TRIM(MID(MID(Sync!$L211,FIND("/",Sync!$L211)+1,20),FIND("/",MID(Sync!$L211,FIND("/",Sync!$L211)+1,20))+1,20))),2),"")))</f>
        <v/>
      </c>
    </row>
    <row r="212" spans="1:14" x14ac:dyDescent="0.2">
      <c r="A212" t="str">
        <f>IF(Issues!$B215="","",Issues!$B215)</f>
        <v/>
      </c>
      <c r="B212" t="str">
        <f>IF($A212="","",IF(ISNUMBER(Issues!$C215),IF(AND(Issues!$C215&gt;=10000101,Issues!$C215&lt;=99991231),INT(Issues!$C215/10000),""),IFERROR(VALUE(TRIM(LEFT(Issues!$C215,FIND("/",Issues!$C215)-1))),"")))</f>
        <v/>
      </c>
      <c r="C212" t="str">
        <f>IF(OR($A212="",$B212=""),"",IF(ISNUMBER(Issues!$C215),INT(MOD(Issues!$C215,10000)/100),IFERROR(VALUE(TRIM(LEFT(MID(Issues!$C215,FIND("/",Issues!$C215)+1,20),FIND("/",MID(Issues!$C215,FIND("/",Issues!$C215)+1,20))-1))),"")))</f>
        <v/>
      </c>
      <c r="D212" t="str">
        <f>IF(OR($A212="",$B212=""),"",IF(ISNUMBER(Issues!$C215),MOD(Issues!$C215,100),IFERROR(VALUE(TRIM(MID(MID(Issues!$C215,FIND("/",Issues!$C215)+1,20),FIND("/",MID(Issues!$C215,FIND("/",Issues!$C215)+1,20))+1,20))),"")))</f>
        <v/>
      </c>
      <c r="E212" t="str">
        <f t="shared" si="9"/>
        <v/>
      </c>
      <c r="F212" t="str">
        <f>IF($A212="","",IF(Issues!$D215="",0,Issues!$D215))</f>
        <v/>
      </c>
      <c r="G212" t="str">
        <f>IF($A212="","",Issues!$E215)</f>
        <v/>
      </c>
      <c r="H212" t="str">
        <f t="shared" si="10"/>
        <v/>
      </c>
      <c r="I212" t="str">
        <f t="shared" si="11"/>
        <v/>
      </c>
      <c r="J212" t="str">
        <f>IF($A212="","",Issues!$G215)</f>
        <v/>
      </c>
      <c r="K212" t="str">
        <f>IF(OR($E212="",$E212="نامعتبر"),"",LEFT($E212,4)&amp;MID($E212,6,2)&amp;RIGHT($E212,2)&amp;"|"&amp;RIGHT("00000"&amp;207,5))</f>
        <v/>
      </c>
      <c r="M212" t="str">
        <f>IF(Sync!$M212&lt;&gt;"پاس چک","",IF(Sync!$P212="","",Sync!$P212))</f>
        <v/>
      </c>
      <c r="N212" t="str">
        <f>IF($M212="","",IF(ISNUMBER(Sync!$L212),IF(AND(Sync!$L212&gt;=10000101,Sync!$L212&lt;=99991231),RIGHT("0000"&amp;INT(Sync!$L212/10000),4)&amp;"/"&amp;RIGHT("00"&amp;INT(MOD(Sync!$L212,10000)/100),2)&amp;"/"&amp;RIGHT("00"&amp;MOD(Sync!$L212,100),2),""),IFERROR(RIGHT("0000"&amp;VALUE(TRIM(LEFT(Sync!$L212,FIND("/",Sync!$L212)-1))),4)&amp;"/"&amp;RIGHT("00"&amp;VALUE(TRIM(LEFT(MID(Sync!$L212,FIND("/",Sync!$L212)+1,20),FIND("/",MID(Sync!$L212,FIND("/",Sync!$L212)+1,20))-1))),2)&amp;"/"&amp;RIGHT("00"&amp;VALUE(TRIM(MID(MID(Sync!$L212,FIND("/",Sync!$L212)+1,20),FIND("/",MID(Sync!$L212,FIND("/",Sync!$L212)+1,20))+1,20))),2),"")))</f>
        <v/>
      </c>
    </row>
    <row r="213" spans="1:14" x14ac:dyDescent="0.2">
      <c r="A213" t="str">
        <f>IF(Issues!$B216="","",Issues!$B216)</f>
        <v/>
      </c>
      <c r="B213" t="str">
        <f>IF($A213="","",IF(ISNUMBER(Issues!$C216),IF(AND(Issues!$C216&gt;=10000101,Issues!$C216&lt;=99991231),INT(Issues!$C216/10000),""),IFERROR(VALUE(TRIM(LEFT(Issues!$C216,FIND("/",Issues!$C216)-1))),"")))</f>
        <v/>
      </c>
      <c r="C213" t="str">
        <f>IF(OR($A213="",$B213=""),"",IF(ISNUMBER(Issues!$C216),INT(MOD(Issues!$C216,10000)/100),IFERROR(VALUE(TRIM(LEFT(MID(Issues!$C216,FIND("/",Issues!$C216)+1,20),FIND("/",MID(Issues!$C216,FIND("/",Issues!$C216)+1,20))-1))),"")))</f>
        <v/>
      </c>
      <c r="D213" t="str">
        <f>IF(OR($A213="",$B213=""),"",IF(ISNUMBER(Issues!$C216),MOD(Issues!$C216,100),IFERROR(VALUE(TRIM(MID(MID(Issues!$C216,FIND("/",Issues!$C216)+1,20),FIND("/",MID(Issues!$C216,FIND("/",Issues!$C216)+1,20))+1,20))),"")))</f>
        <v/>
      </c>
      <c r="E213" t="str">
        <f t="shared" si="9"/>
        <v/>
      </c>
      <c r="F213" t="str">
        <f>IF($A213="","",IF(Issues!$D216="",0,Issues!$D216))</f>
        <v/>
      </c>
      <c r="G213" t="str">
        <f>IF($A213="","",Issues!$E216)</f>
        <v/>
      </c>
      <c r="H213" t="str">
        <f t="shared" si="10"/>
        <v/>
      </c>
      <c r="I213" t="str">
        <f t="shared" si="11"/>
        <v/>
      </c>
      <c r="J213" t="str">
        <f>IF($A213="","",Issues!$G216)</f>
        <v/>
      </c>
      <c r="K213" t="str">
        <f>IF(OR($E213="",$E213="نامعتبر"),"",LEFT($E213,4)&amp;MID($E213,6,2)&amp;RIGHT($E213,2)&amp;"|"&amp;RIGHT("00000"&amp;208,5))</f>
        <v/>
      </c>
      <c r="M213" t="str">
        <f>IF(Sync!$M213&lt;&gt;"پاس چک","",IF(Sync!$P213="","",Sync!$P213))</f>
        <v/>
      </c>
      <c r="N213" t="str">
        <f>IF($M213="","",IF(ISNUMBER(Sync!$L213),IF(AND(Sync!$L213&gt;=10000101,Sync!$L213&lt;=99991231),RIGHT("0000"&amp;INT(Sync!$L213/10000),4)&amp;"/"&amp;RIGHT("00"&amp;INT(MOD(Sync!$L213,10000)/100),2)&amp;"/"&amp;RIGHT("00"&amp;MOD(Sync!$L213,100),2),""),IFERROR(RIGHT("0000"&amp;VALUE(TRIM(LEFT(Sync!$L213,FIND("/",Sync!$L213)-1))),4)&amp;"/"&amp;RIGHT("00"&amp;VALUE(TRIM(LEFT(MID(Sync!$L213,FIND("/",Sync!$L213)+1,20),FIND("/",MID(Sync!$L213,FIND("/",Sync!$L213)+1,20))-1))),2)&amp;"/"&amp;RIGHT("00"&amp;VALUE(TRIM(MID(MID(Sync!$L213,FIND("/",Sync!$L213)+1,20),FIND("/",MID(Sync!$L213,FIND("/",Sync!$L213)+1,20))+1,20))),2),"")))</f>
        <v/>
      </c>
    </row>
    <row r="214" spans="1:14" x14ac:dyDescent="0.2">
      <c r="A214" t="str">
        <f>IF(Issues!$B217="","",Issues!$B217)</f>
        <v/>
      </c>
      <c r="B214" t="str">
        <f>IF($A214="","",IF(ISNUMBER(Issues!$C217),IF(AND(Issues!$C217&gt;=10000101,Issues!$C217&lt;=99991231),INT(Issues!$C217/10000),""),IFERROR(VALUE(TRIM(LEFT(Issues!$C217,FIND("/",Issues!$C217)-1))),"")))</f>
        <v/>
      </c>
      <c r="C214" t="str">
        <f>IF(OR($A214="",$B214=""),"",IF(ISNUMBER(Issues!$C217),INT(MOD(Issues!$C217,10000)/100),IFERROR(VALUE(TRIM(LEFT(MID(Issues!$C217,FIND("/",Issues!$C217)+1,20),FIND("/",MID(Issues!$C217,FIND("/",Issues!$C217)+1,20))-1))),"")))</f>
        <v/>
      </c>
      <c r="D214" t="str">
        <f>IF(OR($A214="",$B214=""),"",IF(ISNUMBER(Issues!$C217),MOD(Issues!$C217,100),IFERROR(VALUE(TRIM(MID(MID(Issues!$C217,FIND("/",Issues!$C217)+1,20),FIND("/",MID(Issues!$C217,FIND("/",Issues!$C217)+1,20))+1,20))),"")))</f>
        <v/>
      </c>
      <c r="E214" t="str">
        <f t="shared" si="9"/>
        <v/>
      </c>
      <c r="F214" t="str">
        <f>IF($A214="","",IF(Issues!$D217="",0,Issues!$D217))</f>
        <v/>
      </c>
      <c r="G214" t="str">
        <f>IF($A214="","",Issues!$E217)</f>
        <v/>
      </c>
      <c r="H214" t="str">
        <f t="shared" si="10"/>
        <v/>
      </c>
      <c r="I214" t="str">
        <f t="shared" si="11"/>
        <v/>
      </c>
      <c r="J214" t="str">
        <f>IF($A214="","",Issues!$G217)</f>
        <v/>
      </c>
      <c r="K214" t="str">
        <f>IF(OR($E214="",$E214="نامعتبر"),"",LEFT($E214,4)&amp;MID($E214,6,2)&amp;RIGHT($E214,2)&amp;"|"&amp;RIGHT("00000"&amp;209,5))</f>
        <v/>
      </c>
      <c r="M214" t="str">
        <f>IF(Sync!$M214&lt;&gt;"پاس چک","",IF(Sync!$P214="","",Sync!$P214))</f>
        <v/>
      </c>
      <c r="N214" t="str">
        <f>IF($M214="","",IF(ISNUMBER(Sync!$L214),IF(AND(Sync!$L214&gt;=10000101,Sync!$L214&lt;=99991231),RIGHT("0000"&amp;INT(Sync!$L214/10000),4)&amp;"/"&amp;RIGHT("00"&amp;INT(MOD(Sync!$L214,10000)/100),2)&amp;"/"&amp;RIGHT("00"&amp;MOD(Sync!$L214,100),2),""),IFERROR(RIGHT("0000"&amp;VALUE(TRIM(LEFT(Sync!$L214,FIND("/",Sync!$L214)-1))),4)&amp;"/"&amp;RIGHT("00"&amp;VALUE(TRIM(LEFT(MID(Sync!$L214,FIND("/",Sync!$L214)+1,20),FIND("/",MID(Sync!$L214,FIND("/",Sync!$L214)+1,20))-1))),2)&amp;"/"&amp;RIGHT("00"&amp;VALUE(TRIM(MID(MID(Sync!$L214,FIND("/",Sync!$L214)+1,20),FIND("/",MID(Sync!$L214,FIND("/",Sync!$L214)+1,20))+1,20))),2),"")))</f>
        <v/>
      </c>
    </row>
    <row r="215" spans="1:14" x14ac:dyDescent="0.2">
      <c r="A215" t="str">
        <f>IF(Issues!$B218="","",Issues!$B218)</f>
        <v/>
      </c>
      <c r="B215" t="str">
        <f>IF($A215="","",IF(ISNUMBER(Issues!$C218),IF(AND(Issues!$C218&gt;=10000101,Issues!$C218&lt;=99991231),INT(Issues!$C218/10000),""),IFERROR(VALUE(TRIM(LEFT(Issues!$C218,FIND("/",Issues!$C218)-1))),"")))</f>
        <v/>
      </c>
      <c r="C215" t="str">
        <f>IF(OR($A215="",$B215=""),"",IF(ISNUMBER(Issues!$C218),INT(MOD(Issues!$C218,10000)/100),IFERROR(VALUE(TRIM(LEFT(MID(Issues!$C218,FIND("/",Issues!$C218)+1,20),FIND("/",MID(Issues!$C218,FIND("/",Issues!$C218)+1,20))-1))),"")))</f>
        <v/>
      </c>
      <c r="D215" t="str">
        <f>IF(OR($A215="",$B215=""),"",IF(ISNUMBER(Issues!$C218),MOD(Issues!$C218,100),IFERROR(VALUE(TRIM(MID(MID(Issues!$C218,FIND("/",Issues!$C218)+1,20),FIND("/",MID(Issues!$C218,FIND("/",Issues!$C218)+1,20))+1,20))),"")))</f>
        <v/>
      </c>
      <c r="E215" t="str">
        <f t="shared" si="9"/>
        <v/>
      </c>
      <c r="F215" t="str">
        <f>IF($A215="","",IF(Issues!$D218="",0,Issues!$D218))</f>
        <v/>
      </c>
      <c r="G215" t="str">
        <f>IF($A215="","",Issues!$E218)</f>
        <v/>
      </c>
      <c r="H215" t="str">
        <f t="shared" si="10"/>
        <v/>
      </c>
      <c r="I215" t="str">
        <f t="shared" si="11"/>
        <v/>
      </c>
      <c r="J215" t="str">
        <f>IF($A215="","",Issues!$G218)</f>
        <v/>
      </c>
      <c r="K215" t="str">
        <f>IF(OR($E215="",$E215="نامعتبر"),"",LEFT($E215,4)&amp;MID($E215,6,2)&amp;RIGHT($E215,2)&amp;"|"&amp;RIGHT("00000"&amp;210,5))</f>
        <v/>
      </c>
      <c r="M215" t="str">
        <f>IF(Sync!$M215&lt;&gt;"پاس چک","",IF(Sync!$P215="","",Sync!$P215))</f>
        <v/>
      </c>
      <c r="N215" t="str">
        <f>IF($M215="","",IF(ISNUMBER(Sync!$L215),IF(AND(Sync!$L215&gt;=10000101,Sync!$L215&lt;=99991231),RIGHT("0000"&amp;INT(Sync!$L215/10000),4)&amp;"/"&amp;RIGHT("00"&amp;INT(MOD(Sync!$L215,10000)/100),2)&amp;"/"&amp;RIGHT("00"&amp;MOD(Sync!$L215,100),2),""),IFERROR(RIGHT("0000"&amp;VALUE(TRIM(LEFT(Sync!$L215,FIND("/",Sync!$L215)-1))),4)&amp;"/"&amp;RIGHT("00"&amp;VALUE(TRIM(LEFT(MID(Sync!$L215,FIND("/",Sync!$L215)+1,20),FIND("/",MID(Sync!$L215,FIND("/",Sync!$L215)+1,20))-1))),2)&amp;"/"&amp;RIGHT("00"&amp;VALUE(TRIM(MID(MID(Sync!$L215,FIND("/",Sync!$L215)+1,20),FIND("/",MID(Sync!$L215,FIND("/",Sync!$L215)+1,20))+1,20))),2),"")))</f>
        <v/>
      </c>
    </row>
    <row r="216" spans="1:14" x14ac:dyDescent="0.2">
      <c r="A216" t="str">
        <f>IF(Issues!$B219="","",Issues!$B219)</f>
        <v/>
      </c>
      <c r="B216" t="str">
        <f>IF($A216="","",IF(ISNUMBER(Issues!$C219),IF(AND(Issues!$C219&gt;=10000101,Issues!$C219&lt;=99991231),INT(Issues!$C219/10000),""),IFERROR(VALUE(TRIM(LEFT(Issues!$C219,FIND("/",Issues!$C219)-1))),"")))</f>
        <v/>
      </c>
      <c r="C216" t="str">
        <f>IF(OR($A216="",$B216=""),"",IF(ISNUMBER(Issues!$C219),INT(MOD(Issues!$C219,10000)/100),IFERROR(VALUE(TRIM(LEFT(MID(Issues!$C219,FIND("/",Issues!$C219)+1,20),FIND("/",MID(Issues!$C219,FIND("/",Issues!$C219)+1,20))-1))),"")))</f>
        <v/>
      </c>
      <c r="D216" t="str">
        <f>IF(OR($A216="",$B216=""),"",IF(ISNUMBER(Issues!$C219),MOD(Issues!$C219,100),IFERROR(VALUE(TRIM(MID(MID(Issues!$C219,FIND("/",Issues!$C219)+1,20),FIND("/",MID(Issues!$C219,FIND("/",Issues!$C219)+1,20))+1,20))),"")))</f>
        <v/>
      </c>
      <c r="E216" t="str">
        <f t="shared" si="9"/>
        <v/>
      </c>
      <c r="F216" t="str">
        <f>IF($A216="","",IF(Issues!$D219="",0,Issues!$D219))</f>
        <v/>
      </c>
      <c r="G216" t="str">
        <f>IF($A216="","",Issues!$E219)</f>
        <v/>
      </c>
      <c r="H216" t="str">
        <f t="shared" si="10"/>
        <v/>
      </c>
      <c r="I216" t="str">
        <f t="shared" si="11"/>
        <v/>
      </c>
      <c r="J216" t="str">
        <f>IF($A216="","",Issues!$G219)</f>
        <v/>
      </c>
      <c r="K216" t="str">
        <f>IF(OR($E216="",$E216="نامعتبر"),"",LEFT($E216,4)&amp;MID($E216,6,2)&amp;RIGHT($E216,2)&amp;"|"&amp;RIGHT("00000"&amp;211,5))</f>
        <v/>
      </c>
      <c r="M216" t="str">
        <f>IF(Sync!$M216&lt;&gt;"پاس چک","",IF(Sync!$P216="","",Sync!$P216))</f>
        <v/>
      </c>
      <c r="N216" t="str">
        <f>IF($M216="","",IF(ISNUMBER(Sync!$L216),IF(AND(Sync!$L216&gt;=10000101,Sync!$L216&lt;=99991231),RIGHT("0000"&amp;INT(Sync!$L216/10000),4)&amp;"/"&amp;RIGHT("00"&amp;INT(MOD(Sync!$L216,10000)/100),2)&amp;"/"&amp;RIGHT("00"&amp;MOD(Sync!$L216,100),2),""),IFERROR(RIGHT("0000"&amp;VALUE(TRIM(LEFT(Sync!$L216,FIND("/",Sync!$L216)-1))),4)&amp;"/"&amp;RIGHT("00"&amp;VALUE(TRIM(LEFT(MID(Sync!$L216,FIND("/",Sync!$L216)+1,20),FIND("/",MID(Sync!$L216,FIND("/",Sync!$L216)+1,20))-1))),2)&amp;"/"&amp;RIGHT("00"&amp;VALUE(TRIM(MID(MID(Sync!$L216,FIND("/",Sync!$L216)+1,20),FIND("/",MID(Sync!$L216,FIND("/",Sync!$L216)+1,20))+1,20))),2),"")))</f>
        <v/>
      </c>
    </row>
    <row r="217" spans="1:14" x14ac:dyDescent="0.2">
      <c r="A217" t="str">
        <f>IF(Issues!$B220="","",Issues!$B220)</f>
        <v/>
      </c>
      <c r="B217" t="str">
        <f>IF($A217="","",IF(ISNUMBER(Issues!$C220),IF(AND(Issues!$C220&gt;=10000101,Issues!$C220&lt;=99991231),INT(Issues!$C220/10000),""),IFERROR(VALUE(TRIM(LEFT(Issues!$C220,FIND("/",Issues!$C220)-1))),"")))</f>
        <v/>
      </c>
      <c r="C217" t="str">
        <f>IF(OR($A217="",$B217=""),"",IF(ISNUMBER(Issues!$C220),INT(MOD(Issues!$C220,10000)/100),IFERROR(VALUE(TRIM(LEFT(MID(Issues!$C220,FIND("/",Issues!$C220)+1,20),FIND("/",MID(Issues!$C220,FIND("/",Issues!$C220)+1,20))-1))),"")))</f>
        <v/>
      </c>
      <c r="D217" t="str">
        <f>IF(OR($A217="",$B217=""),"",IF(ISNUMBER(Issues!$C220),MOD(Issues!$C220,100),IFERROR(VALUE(TRIM(MID(MID(Issues!$C220,FIND("/",Issues!$C220)+1,20),FIND("/",MID(Issues!$C220,FIND("/",Issues!$C220)+1,20))+1,20))),"")))</f>
        <v/>
      </c>
      <c r="E217" t="str">
        <f t="shared" si="9"/>
        <v/>
      </c>
      <c r="F217" t="str">
        <f>IF($A217="","",IF(Issues!$D220="",0,Issues!$D220))</f>
        <v/>
      </c>
      <c r="G217" t="str">
        <f>IF($A217="","",Issues!$E220)</f>
        <v/>
      </c>
      <c r="H217" t="str">
        <f t="shared" si="10"/>
        <v/>
      </c>
      <c r="I217" t="str">
        <f t="shared" si="11"/>
        <v/>
      </c>
      <c r="J217" t="str">
        <f>IF($A217="","",Issues!$G220)</f>
        <v/>
      </c>
      <c r="K217" t="str">
        <f>IF(OR($E217="",$E217="نامعتبر"),"",LEFT($E217,4)&amp;MID($E217,6,2)&amp;RIGHT($E217,2)&amp;"|"&amp;RIGHT("00000"&amp;212,5))</f>
        <v/>
      </c>
      <c r="M217" t="str">
        <f>IF(Sync!$M217&lt;&gt;"پاس چک","",IF(Sync!$P217="","",Sync!$P217))</f>
        <v/>
      </c>
      <c r="N217" t="str">
        <f>IF($M217="","",IF(ISNUMBER(Sync!$L217),IF(AND(Sync!$L217&gt;=10000101,Sync!$L217&lt;=99991231),RIGHT("0000"&amp;INT(Sync!$L217/10000),4)&amp;"/"&amp;RIGHT("00"&amp;INT(MOD(Sync!$L217,10000)/100),2)&amp;"/"&amp;RIGHT("00"&amp;MOD(Sync!$L217,100),2),""),IFERROR(RIGHT("0000"&amp;VALUE(TRIM(LEFT(Sync!$L217,FIND("/",Sync!$L217)-1))),4)&amp;"/"&amp;RIGHT("00"&amp;VALUE(TRIM(LEFT(MID(Sync!$L217,FIND("/",Sync!$L217)+1,20),FIND("/",MID(Sync!$L217,FIND("/",Sync!$L217)+1,20))-1))),2)&amp;"/"&amp;RIGHT("00"&amp;VALUE(TRIM(MID(MID(Sync!$L217,FIND("/",Sync!$L217)+1,20),FIND("/",MID(Sync!$L217,FIND("/",Sync!$L217)+1,20))+1,20))),2),"")))</f>
        <v/>
      </c>
    </row>
    <row r="218" spans="1:14" x14ac:dyDescent="0.2">
      <c r="A218" t="str">
        <f>IF(Issues!$B221="","",Issues!$B221)</f>
        <v/>
      </c>
      <c r="B218" t="str">
        <f>IF($A218="","",IF(ISNUMBER(Issues!$C221),IF(AND(Issues!$C221&gt;=10000101,Issues!$C221&lt;=99991231),INT(Issues!$C221/10000),""),IFERROR(VALUE(TRIM(LEFT(Issues!$C221,FIND("/",Issues!$C221)-1))),"")))</f>
        <v/>
      </c>
      <c r="C218" t="str">
        <f>IF(OR($A218="",$B218=""),"",IF(ISNUMBER(Issues!$C221),INT(MOD(Issues!$C221,10000)/100),IFERROR(VALUE(TRIM(LEFT(MID(Issues!$C221,FIND("/",Issues!$C221)+1,20),FIND("/",MID(Issues!$C221,FIND("/",Issues!$C221)+1,20))-1))),"")))</f>
        <v/>
      </c>
      <c r="D218" t="str">
        <f>IF(OR($A218="",$B218=""),"",IF(ISNUMBER(Issues!$C221),MOD(Issues!$C221,100),IFERROR(VALUE(TRIM(MID(MID(Issues!$C221,FIND("/",Issues!$C221)+1,20),FIND("/",MID(Issues!$C221,FIND("/",Issues!$C221)+1,20))+1,20))),"")))</f>
        <v/>
      </c>
      <c r="E218" t="str">
        <f t="shared" si="9"/>
        <v/>
      </c>
      <c r="F218" t="str">
        <f>IF($A218="","",IF(Issues!$D221="",0,Issues!$D221))</f>
        <v/>
      </c>
      <c r="G218" t="str">
        <f>IF($A218="","",Issues!$E221)</f>
        <v/>
      </c>
      <c r="H218" t="str">
        <f t="shared" si="10"/>
        <v/>
      </c>
      <c r="I218" t="str">
        <f t="shared" si="11"/>
        <v/>
      </c>
      <c r="J218" t="str">
        <f>IF($A218="","",Issues!$G221)</f>
        <v/>
      </c>
      <c r="K218" t="str">
        <f>IF(OR($E218="",$E218="نامعتبر"),"",LEFT($E218,4)&amp;MID($E218,6,2)&amp;RIGHT($E218,2)&amp;"|"&amp;RIGHT("00000"&amp;213,5))</f>
        <v/>
      </c>
      <c r="M218" t="str">
        <f>IF(Sync!$M218&lt;&gt;"پاس چک","",IF(Sync!$P218="","",Sync!$P218))</f>
        <v/>
      </c>
      <c r="N218" t="str">
        <f>IF($M218="","",IF(ISNUMBER(Sync!$L218),IF(AND(Sync!$L218&gt;=10000101,Sync!$L218&lt;=99991231),RIGHT("0000"&amp;INT(Sync!$L218/10000),4)&amp;"/"&amp;RIGHT("00"&amp;INT(MOD(Sync!$L218,10000)/100),2)&amp;"/"&amp;RIGHT("00"&amp;MOD(Sync!$L218,100),2),""),IFERROR(RIGHT("0000"&amp;VALUE(TRIM(LEFT(Sync!$L218,FIND("/",Sync!$L218)-1))),4)&amp;"/"&amp;RIGHT("00"&amp;VALUE(TRIM(LEFT(MID(Sync!$L218,FIND("/",Sync!$L218)+1,20),FIND("/",MID(Sync!$L218,FIND("/",Sync!$L218)+1,20))-1))),2)&amp;"/"&amp;RIGHT("00"&amp;VALUE(TRIM(MID(MID(Sync!$L218,FIND("/",Sync!$L218)+1,20),FIND("/",MID(Sync!$L218,FIND("/",Sync!$L218)+1,20))+1,20))),2),"")))</f>
        <v/>
      </c>
    </row>
    <row r="219" spans="1:14" x14ac:dyDescent="0.2">
      <c r="A219" t="str">
        <f>IF(Issues!$B222="","",Issues!$B222)</f>
        <v/>
      </c>
      <c r="B219" t="str">
        <f>IF($A219="","",IF(ISNUMBER(Issues!$C222),IF(AND(Issues!$C222&gt;=10000101,Issues!$C222&lt;=99991231),INT(Issues!$C222/10000),""),IFERROR(VALUE(TRIM(LEFT(Issues!$C222,FIND("/",Issues!$C222)-1))),"")))</f>
        <v/>
      </c>
      <c r="C219" t="str">
        <f>IF(OR($A219="",$B219=""),"",IF(ISNUMBER(Issues!$C222),INT(MOD(Issues!$C222,10000)/100),IFERROR(VALUE(TRIM(LEFT(MID(Issues!$C222,FIND("/",Issues!$C222)+1,20),FIND("/",MID(Issues!$C222,FIND("/",Issues!$C222)+1,20))-1))),"")))</f>
        <v/>
      </c>
      <c r="D219" t="str">
        <f>IF(OR($A219="",$B219=""),"",IF(ISNUMBER(Issues!$C222),MOD(Issues!$C222,100),IFERROR(VALUE(TRIM(MID(MID(Issues!$C222,FIND("/",Issues!$C222)+1,20),FIND("/",MID(Issues!$C222,FIND("/",Issues!$C222)+1,20))+1,20))),"")))</f>
        <v/>
      </c>
      <c r="E219" t="str">
        <f t="shared" si="9"/>
        <v/>
      </c>
      <c r="F219" t="str">
        <f>IF($A219="","",IF(Issues!$D222="",0,Issues!$D222))</f>
        <v/>
      </c>
      <c r="G219" t="str">
        <f>IF($A219="","",Issues!$E222)</f>
        <v/>
      </c>
      <c r="H219" t="str">
        <f t="shared" si="10"/>
        <v/>
      </c>
      <c r="I219" t="str">
        <f t="shared" si="11"/>
        <v/>
      </c>
      <c r="J219" t="str">
        <f>IF($A219="","",Issues!$G222)</f>
        <v/>
      </c>
      <c r="K219" t="str">
        <f>IF(OR($E219="",$E219="نامعتبر"),"",LEFT($E219,4)&amp;MID($E219,6,2)&amp;RIGHT($E219,2)&amp;"|"&amp;RIGHT("00000"&amp;214,5))</f>
        <v/>
      </c>
      <c r="M219" t="str">
        <f>IF(Sync!$M219&lt;&gt;"پاس چک","",IF(Sync!$P219="","",Sync!$P219))</f>
        <v/>
      </c>
      <c r="N219" t="str">
        <f>IF($M219="","",IF(ISNUMBER(Sync!$L219),IF(AND(Sync!$L219&gt;=10000101,Sync!$L219&lt;=99991231),RIGHT("0000"&amp;INT(Sync!$L219/10000),4)&amp;"/"&amp;RIGHT("00"&amp;INT(MOD(Sync!$L219,10000)/100),2)&amp;"/"&amp;RIGHT("00"&amp;MOD(Sync!$L219,100),2),""),IFERROR(RIGHT("0000"&amp;VALUE(TRIM(LEFT(Sync!$L219,FIND("/",Sync!$L219)-1))),4)&amp;"/"&amp;RIGHT("00"&amp;VALUE(TRIM(LEFT(MID(Sync!$L219,FIND("/",Sync!$L219)+1,20),FIND("/",MID(Sync!$L219,FIND("/",Sync!$L219)+1,20))-1))),2)&amp;"/"&amp;RIGHT("00"&amp;VALUE(TRIM(MID(MID(Sync!$L219,FIND("/",Sync!$L219)+1,20),FIND("/",MID(Sync!$L219,FIND("/",Sync!$L219)+1,20))+1,20))),2),"")))</f>
        <v/>
      </c>
    </row>
    <row r="220" spans="1:14" x14ac:dyDescent="0.2">
      <c r="A220" t="str">
        <f>IF(Issues!$B223="","",Issues!$B223)</f>
        <v/>
      </c>
      <c r="B220" t="str">
        <f>IF($A220="","",IF(ISNUMBER(Issues!$C223),IF(AND(Issues!$C223&gt;=10000101,Issues!$C223&lt;=99991231),INT(Issues!$C223/10000),""),IFERROR(VALUE(TRIM(LEFT(Issues!$C223,FIND("/",Issues!$C223)-1))),"")))</f>
        <v/>
      </c>
      <c r="C220" t="str">
        <f>IF(OR($A220="",$B220=""),"",IF(ISNUMBER(Issues!$C223),INT(MOD(Issues!$C223,10000)/100),IFERROR(VALUE(TRIM(LEFT(MID(Issues!$C223,FIND("/",Issues!$C223)+1,20),FIND("/",MID(Issues!$C223,FIND("/",Issues!$C223)+1,20))-1))),"")))</f>
        <v/>
      </c>
      <c r="D220" t="str">
        <f>IF(OR($A220="",$B220=""),"",IF(ISNUMBER(Issues!$C223),MOD(Issues!$C223,100),IFERROR(VALUE(TRIM(MID(MID(Issues!$C223,FIND("/",Issues!$C223)+1,20),FIND("/",MID(Issues!$C223,FIND("/",Issues!$C223)+1,20))+1,20))),"")))</f>
        <v/>
      </c>
      <c r="E220" t="str">
        <f t="shared" si="9"/>
        <v/>
      </c>
      <c r="F220" t="str">
        <f>IF($A220="","",IF(Issues!$D223="",0,Issues!$D223))</f>
        <v/>
      </c>
      <c r="G220" t="str">
        <f>IF($A220="","",Issues!$E223)</f>
        <v/>
      </c>
      <c r="H220" t="str">
        <f t="shared" si="10"/>
        <v/>
      </c>
      <c r="I220" t="str">
        <f t="shared" si="11"/>
        <v/>
      </c>
      <c r="J220" t="str">
        <f>IF($A220="","",Issues!$G223)</f>
        <v/>
      </c>
      <c r="K220" t="str">
        <f>IF(OR($E220="",$E220="نامعتبر"),"",LEFT($E220,4)&amp;MID($E220,6,2)&amp;RIGHT($E220,2)&amp;"|"&amp;RIGHT("00000"&amp;215,5))</f>
        <v/>
      </c>
      <c r="M220" t="str">
        <f>IF(Sync!$M220&lt;&gt;"پاس چک","",IF(Sync!$P220="","",Sync!$P220))</f>
        <v/>
      </c>
      <c r="N220" t="str">
        <f>IF($M220="","",IF(ISNUMBER(Sync!$L220),IF(AND(Sync!$L220&gt;=10000101,Sync!$L220&lt;=99991231),RIGHT("0000"&amp;INT(Sync!$L220/10000),4)&amp;"/"&amp;RIGHT("00"&amp;INT(MOD(Sync!$L220,10000)/100),2)&amp;"/"&amp;RIGHT("00"&amp;MOD(Sync!$L220,100),2),""),IFERROR(RIGHT("0000"&amp;VALUE(TRIM(LEFT(Sync!$L220,FIND("/",Sync!$L220)-1))),4)&amp;"/"&amp;RIGHT("00"&amp;VALUE(TRIM(LEFT(MID(Sync!$L220,FIND("/",Sync!$L220)+1,20),FIND("/",MID(Sync!$L220,FIND("/",Sync!$L220)+1,20))-1))),2)&amp;"/"&amp;RIGHT("00"&amp;VALUE(TRIM(MID(MID(Sync!$L220,FIND("/",Sync!$L220)+1,20),FIND("/",MID(Sync!$L220,FIND("/",Sync!$L220)+1,20))+1,20))),2),"")))</f>
        <v/>
      </c>
    </row>
    <row r="221" spans="1:14" x14ac:dyDescent="0.2">
      <c r="A221" t="str">
        <f>IF(Issues!$B224="","",Issues!$B224)</f>
        <v/>
      </c>
      <c r="B221" t="str">
        <f>IF($A221="","",IF(ISNUMBER(Issues!$C224),IF(AND(Issues!$C224&gt;=10000101,Issues!$C224&lt;=99991231),INT(Issues!$C224/10000),""),IFERROR(VALUE(TRIM(LEFT(Issues!$C224,FIND("/",Issues!$C224)-1))),"")))</f>
        <v/>
      </c>
      <c r="C221" t="str">
        <f>IF(OR($A221="",$B221=""),"",IF(ISNUMBER(Issues!$C224),INT(MOD(Issues!$C224,10000)/100),IFERROR(VALUE(TRIM(LEFT(MID(Issues!$C224,FIND("/",Issues!$C224)+1,20),FIND("/",MID(Issues!$C224,FIND("/",Issues!$C224)+1,20))-1))),"")))</f>
        <v/>
      </c>
      <c r="D221" t="str">
        <f>IF(OR($A221="",$B221=""),"",IF(ISNUMBER(Issues!$C224),MOD(Issues!$C224,100),IFERROR(VALUE(TRIM(MID(MID(Issues!$C224,FIND("/",Issues!$C224)+1,20),FIND("/",MID(Issues!$C224,FIND("/",Issues!$C224)+1,20))+1,20))),"")))</f>
        <v/>
      </c>
      <c r="E221" t="str">
        <f t="shared" si="9"/>
        <v/>
      </c>
      <c r="F221" t="str">
        <f>IF($A221="","",IF(Issues!$D224="",0,Issues!$D224))</f>
        <v/>
      </c>
      <c r="G221" t="str">
        <f>IF($A221="","",Issues!$E224)</f>
        <v/>
      </c>
      <c r="H221" t="str">
        <f t="shared" si="10"/>
        <v/>
      </c>
      <c r="I221" t="str">
        <f t="shared" si="11"/>
        <v/>
      </c>
      <c r="J221" t="str">
        <f>IF($A221="","",Issues!$G224)</f>
        <v/>
      </c>
      <c r="K221" t="str">
        <f>IF(OR($E221="",$E221="نامعتبر"),"",LEFT($E221,4)&amp;MID($E221,6,2)&amp;RIGHT($E221,2)&amp;"|"&amp;RIGHT("00000"&amp;216,5))</f>
        <v/>
      </c>
      <c r="M221" t="str">
        <f>IF(Sync!$M221&lt;&gt;"پاس چک","",IF(Sync!$P221="","",Sync!$P221))</f>
        <v/>
      </c>
      <c r="N221" t="str">
        <f>IF($M221="","",IF(ISNUMBER(Sync!$L221),IF(AND(Sync!$L221&gt;=10000101,Sync!$L221&lt;=99991231),RIGHT("0000"&amp;INT(Sync!$L221/10000),4)&amp;"/"&amp;RIGHT("00"&amp;INT(MOD(Sync!$L221,10000)/100),2)&amp;"/"&amp;RIGHT("00"&amp;MOD(Sync!$L221,100),2),""),IFERROR(RIGHT("0000"&amp;VALUE(TRIM(LEFT(Sync!$L221,FIND("/",Sync!$L221)-1))),4)&amp;"/"&amp;RIGHT("00"&amp;VALUE(TRIM(LEFT(MID(Sync!$L221,FIND("/",Sync!$L221)+1,20),FIND("/",MID(Sync!$L221,FIND("/",Sync!$L221)+1,20))-1))),2)&amp;"/"&amp;RIGHT("00"&amp;VALUE(TRIM(MID(MID(Sync!$L221,FIND("/",Sync!$L221)+1,20),FIND("/",MID(Sync!$L221,FIND("/",Sync!$L221)+1,20))+1,20))),2),"")))</f>
        <v/>
      </c>
    </row>
    <row r="222" spans="1:14" x14ac:dyDescent="0.2">
      <c r="A222" t="str">
        <f>IF(Issues!$B225="","",Issues!$B225)</f>
        <v/>
      </c>
      <c r="B222" t="str">
        <f>IF($A222="","",IF(ISNUMBER(Issues!$C225),IF(AND(Issues!$C225&gt;=10000101,Issues!$C225&lt;=99991231),INT(Issues!$C225/10000),""),IFERROR(VALUE(TRIM(LEFT(Issues!$C225,FIND("/",Issues!$C225)-1))),"")))</f>
        <v/>
      </c>
      <c r="C222" t="str">
        <f>IF(OR($A222="",$B222=""),"",IF(ISNUMBER(Issues!$C225),INT(MOD(Issues!$C225,10000)/100),IFERROR(VALUE(TRIM(LEFT(MID(Issues!$C225,FIND("/",Issues!$C225)+1,20),FIND("/",MID(Issues!$C225,FIND("/",Issues!$C225)+1,20))-1))),"")))</f>
        <v/>
      </c>
      <c r="D222" t="str">
        <f>IF(OR($A222="",$B222=""),"",IF(ISNUMBER(Issues!$C225),MOD(Issues!$C225,100),IFERROR(VALUE(TRIM(MID(MID(Issues!$C225,FIND("/",Issues!$C225)+1,20),FIND("/",MID(Issues!$C225,FIND("/",Issues!$C225)+1,20))+1,20))),"")))</f>
        <v/>
      </c>
      <c r="E222" t="str">
        <f t="shared" si="9"/>
        <v/>
      </c>
      <c r="F222" t="str">
        <f>IF($A222="","",IF(Issues!$D225="",0,Issues!$D225))</f>
        <v/>
      </c>
      <c r="G222" t="str">
        <f>IF($A222="","",Issues!$E225)</f>
        <v/>
      </c>
      <c r="H222" t="str">
        <f t="shared" si="10"/>
        <v/>
      </c>
      <c r="I222" t="str">
        <f t="shared" si="11"/>
        <v/>
      </c>
      <c r="J222" t="str">
        <f>IF($A222="","",Issues!$G225)</f>
        <v/>
      </c>
      <c r="K222" t="str">
        <f>IF(OR($E222="",$E222="نامعتبر"),"",LEFT($E222,4)&amp;MID($E222,6,2)&amp;RIGHT($E222,2)&amp;"|"&amp;RIGHT("00000"&amp;217,5))</f>
        <v/>
      </c>
      <c r="M222" t="str">
        <f>IF(Sync!$M222&lt;&gt;"پاس چک","",IF(Sync!$P222="","",Sync!$P222))</f>
        <v/>
      </c>
      <c r="N222" t="str">
        <f>IF($M222="","",IF(ISNUMBER(Sync!$L222),IF(AND(Sync!$L222&gt;=10000101,Sync!$L222&lt;=99991231),RIGHT("0000"&amp;INT(Sync!$L222/10000),4)&amp;"/"&amp;RIGHT("00"&amp;INT(MOD(Sync!$L222,10000)/100),2)&amp;"/"&amp;RIGHT("00"&amp;MOD(Sync!$L222,100),2),""),IFERROR(RIGHT("0000"&amp;VALUE(TRIM(LEFT(Sync!$L222,FIND("/",Sync!$L222)-1))),4)&amp;"/"&amp;RIGHT("00"&amp;VALUE(TRIM(LEFT(MID(Sync!$L222,FIND("/",Sync!$L222)+1,20),FIND("/",MID(Sync!$L222,FIND("/",Sync!$L222)+1,20))-1))),2)&amp;"/"&amp;RIGHT("00"&amp;VALUE(TRIM(MID(MID(Sync!$L222,FIND("/",Sync!$L222)+1,20),FIND("/",MID(Sync!$L222,FIND("/",Sync!$L222)+1,20))+1,20))),2),"")))</f>
        <v/>
      </c>
    </row>
    <row r="223" spans="1:14" x14ac:dyDescent="0.2">
      <c r="A223" t="str">
        <f>IF(Issues!$B226="","",Issues!$B226)</f>
        <v/>
      </c>
      <c r="B223" t="str">
        <f>IF($A223="","",IF(ISNUMBER(Issues!$C226),IF(AND(Issues!$C226&gt;=10000101,Issues!$C226&lt;=99991231),INT(Issues!$C226/10000),""),IFERROR(VALUE(TRIM(LEFT(Issues!$C226,FIND("/",Issues!$C226)-1))),"")))</f>
        <v/>
      </c>
      <c r="C223" t="str">
        <f>IF(OR($A223="",$B223=""),"",IF(ISNUMBER(Issues!$C226),INT(MOD(Issues!$C226,10000)/100),IFERROR(VALUE(TRIM(LEFT(MID(Issues!$C226,FIND("/",Issues!$C226)+1,20),FIND("/",MID(Issues!$C226,FIND("/",Issues!$C226)+1,20))-1))),"")))</f>
        <v/>
      </c>
      <c r="D223" t="str">
        <f>IF(OR($A223="",$B223=""),"",IF(ISNUMBER(Issues!$C226),MOD(Issues!$C226,100),IFERROR(VALUE(TRIM(MID(MID(Issues!$C226,FIND("/",Issues!$C226)+1,20),FIND("/",MID(Issues!$C226,FIND("/",Issues!$C226)+1,20))+1,20))),"")))</f>
        <v/>
      </c>
      <c r="E223" t="str">
        <f t="shared" si="9"/>
        <v/>
      </c>
      <c r="F223" t="str">
        <f>IF($A223="","",IF(Issues!$D226="",0,Issues!$D226))</f>
        <v/>
      </c>
      <c r="G223" t="str">
        <f>IF($A223="","",Issues!$E226)</f>
        <v/>
      </c>
      <c r="H223" t="str">
        <f t="shared" si="10"/>
        <v/>
      </c>
      <c r="I223" t="str">
        <f t="shared" si="11"/>
        <v/>
      </c>
      <c r="J223" t="str">
        <f>IF($A223="","",Issues!$G226)</f>
        <v/>
      </c>
      <c r="K223" t="str">
        <f>IF(OR($E223="",$E223="نامعتبر"),"",LEFT($E223,4)&amp;MID($E223,6,2)&amp;RIGHT($E223,2)&amp;"|"&amp;RIGHT("00000"&amp;218,5))</f>
        <v/>
      </c>
      <c r="M223" t="str">
        <f>IF(Sync!$M223&lt;&gt;"پاس چک","",IF(Sync!$P223="","",Sync!$P223))</f>
        <v/>
      </c>
      <c r="N223" t="str">
        <f>IF($M223="","",IF(ISNUMBER(Sync!$L223),IF(AND(Sync!$L223&gt;=10000101,Sync!$L223&lt;=99991231),RIGHT("0000"&amp;INT(Sync!$L223/10000),4)&amp;"/"&amp;RIGHT("00"&amp;INT(MOD(Sync!$L223,10000)/100),2)&amp;"/"&amp;RIGHT("00"&amp;MOD(Sync!$L223,100),2),""),IFERROR(RIGHT("0000"&amp;VALUE(TRIM(LEFT(Sync!$L223,FIND("/",Sync!$L223)-1))),4)&amp;"/"&amp;RIGHT("00"&amp;VALUE(TRIM(LEFT(MID(Sync!$L223,FIND("/",Sync!$L223)+1,20),FIND("/",MID(Sync!$L223,FIND("/",Sync!$L223)+1,20))-1))),2)&amp;"/"&amp;RIGHT("00"&amp;VALUE(TRIM(MID(MID(Sync!$L223,FIND("/",Sync!$L223)+1,20),FIND("/",MID(Sync!$L223,FIND("/",Sync!$L223)+1,20))+1,20))),2),"")))</f>
        <v/>
      </c>
    </row>
    <row r="224" spans="1:14" x14ac:dyDescent="0.2">
      <c r="A224" t="str">
        <f>IF(Issues!$B227="","",Issues!$B227)</f>
        <v/>
      </c>
      <c r="B224" t="str">
        <f>IF($A224="","",IF(ISNUMBER(Issues!$C227),IF(AND(Issues!$C227&gt;=10000101,Issues!$C227&lt;=99991231),INT(Issues!$C227/10000),""),IFERROR(VALUE(TRIM(LEFT(Issues!$C227,FIND("/",Issues!$C227)-1))),"")))</f>
        <v/>
      </c>
      <c r="C224" t="str">
        <f>IF(OR($A224="",$B224=""),"",IF(ISNUMBER(Issues!$C227),INT(MOD(Issues!$C227,10000)/100),IFERROR(VALUE(TRIM(LEFT(MID(Issues!$C227,FIND("/",Issues!$C227)+1,20),FIND("/",MID(Issues!$C227,FIND("/",Issues!$C227)+1,20))-1))),"")))</f>
        <v/>
      </c>
      <c r="D224" t="str">
        <f>IF(OR($A224="",$B224=""),"",IF(ISNUMBER(Issues!$C227),MOD(Issues!$C227,100),IFERROR(VALUE(TRIM(MID(MID(Issues!$C227,FIND("/",Issues!$C227)+1,20),FIND("/",MID(Issues!$C227,FIND("/",Issues!$C227)+1,20))+1,20))),"")))</f>
        <v/>
      </c>
      <c r="E224" t="str">
        <f t="shared" si="9"/>
        <v/>
      </c>
      <c r="F224" t="str">
        <f>IF($A224="","",IF(Issues!$D227="",0,Issues!$D227))</f>
        <v/>
      </c>
      <c r="G224" t="str">
        <f>IF($A224="","",Issues!$E227)</f>
        <v/>
      </c>
      <c r="H224" t="str">
        <f t="shared" si="10"/>
        <v/>
      </c>
      <c r="I224" t="str">
        <f t="shared" si="11"/>
        <v/>
      </c>
      <c r="J224" t="str">
        <f>IF($A224="","",Issues!$G227)</f>
        <v/>
      </c>
      <c r="K224" t="str">
        <f>IF(OR($E224="",$E224="نامعتبر"),"",LEFT($E224,4)&amp;MID($E224,6,2)&amp;RIGHT($E224,2)&amp;"|"&amp;RIGHT("00000"&amp;219,5))</f>
        <v/>
      </c>
      <c r="M224" t="str">
        <f>IF(Sync!$M224&lt;&gt;"پاس چک","",IF(Sync!$P224="","",Sync!$P224))</f>
        <v/>
      </c>
      <c r="N224" t="str">
        <f>IF($M224="","",IF(ISNUMBER(Sync!$L224),IF(AND(Sync!$L224&gt;=10000101,Sync!$L224&lt;=99991231),RIGHT("0000"&amp;INT(Sync!$L224/10000),4)&amp;"/"&amp;RIGHT("00"&amp;INT(MOD(Sync!$L224,10000)/100),2)&amp;"/"&amp;RIGHT("00"&amp;MOD(Sync!$L224,100),2),""),IFERROR(RIGHT("0000"&amp;VALUE(TRIM(LEFT(Sync!$L224,FIND("/",Sync!$L224)-1))),4)&amp;"/"&amp;RIGHT("00"&amp;VALUE(TRIM(LEFT(MID(Sync!$L224,FIND("/",Sync!$L224)+1,20),FIND("/",MID(Sync!$L224,FIND("/",Sync!$L224)+1,20))-1))),2)&amp;"/"&amp;RIGHT("00"&amp;VALUE(TRIM(MID(MID(Sync!$L224,FIND("/",Sync!$L224)+1,20),FIND("/",MID(Sync!$L224,FIND("/",Sync!$L224)+1,20))+1,20))),2),"")))</f>
        <v/>
      </c>
    </row>
    <row r="225" spans="1:14" x14ac:dyDescent="0.2">
      <c r="A225" t="str">
        <f>IF(Issues!$B228="","",Issues!$B228)</f>
        <v/>
      </c>
      <c r="B225" t="str">
        <f>IF($A225="","",IF(ISNUMBER(Issues!$C228),IF(AND(Issues!$C228&gt;=10000101,Issues!$C228&lt;=99991231),INT(Issues!$C228/10000),""),IFERROR(VALUE(TRIM(LEFT(Issues!$C228,FIND("/",Issues!$C228)-1))),"")))</f>
        <v/>
      </c>
      <c r="C225" t="str">
        <f>IF(OR($A225="",$B225=""),"",IF(ISNUMBER(Issues!$C228),INT(MOD(Issues!$C228,10000)/100),IFERROR(VALUE(TRIM(LEFT(MID(Issues!$C228,FIND("/",Issues!$C228)+1,20),FIND("/",MID(Issues!$C228,FIND("/",Issues!$C228)+1,20))-1))),"")))</f>
        <v/>
      </c>
      <c r="D225" t="str">
        <f>IF(OR($A225="",$B225=""),"",IF(ISNUMBER(Issues!$C228),MOD(Issues!$C228,100),IFERROR(VALUE(TRIM(MID(MID(Issues!$C228,FIND("/",Issues!$C228)+1,20),FIND("/",MID(Issues!$C228,FIND("/",Issues!$C228)+1,20))+1,20))),"")))</f>
        <v/>
      </c>
      <c r="E225" t="str">
        <f t="shared" si="9"/>
        <v/>
      </c>
      <c r="F225" t="str">
        <f>IF($A225="","",IF(Issues!$D228="",0,Issues!$D228))</f>
        <v/>
      </c>
      <c r="G225" t="str">
        <f>IF($A225="","",Issues!$E228)</f>
        <v/>
      </c>
      <c r="H225" t="str">
        <f t="shared" si="10"/>
        <v/>
      </c>
      <c r="I225" t="str">
        <f t="shared" si="11"/>
        <v/>
      </c>
      <c r="J225" t="str">
        <f>IF($A225="","",Issues!$G228)</f>
        <v/>
      </c>
      <c r="K225" t="str">
        <f>IF(OR($E225="",$E225="نامعتبر"),"",LEFT($E225,4)&amp;MID($E225,6,2)&amp;RIGHT($E225,2)&amp;"|"&amp;RIGHT("00000"&amp;220,5))</f>
        <v/>
      </c>
      <c r="M225" t="str">
        <f>IF(Sync!$M225&lt;&gt;"پاس چک","",IF(Sync!$P225="","",Sync!$P225))</f>
        <v/>
      </c>
      <c r="N225" t="str">
        <f>IF($M225="","",IF(ISNUMBER(Sync!$L225),IF(AND(Sync!$L225&gt;=10000101,Sync!$L225&lt;=99991231),RIGHT("0000"&amp;INT(Sync!$L225/10000),4)&amp;"/"&amp;RIGHT("00"&amp;INT(MOD(Sync!$L225,10000)/100),2)&amp;"/"&amp;RIGHT("00"&amp;MOD(Sync!$L225,100),2),""),IFERROR(RIGHT("0000"&amp;VALUE(TRIM(LEFT(Sync!$L225,FIND("/",Sync!$L225)-1))),4)&amp;"/"&amp;RIGHT("00"&amp;VALUE(TRIM(LEFT(MID(Sync!$L225,FIND("/",Sync!$L225)+1,20),FIND("/",MID(Sync!$L225,FIND("/",Sync!$L225)+1,20))-1))),2)&amp;"/"&amp;RIGHT("00"&amp;VALUE(TRIM(MID(MID(Sync!$L225,FIND("/",Sync!$L225)+1,20),FIND("/",MID(Sync!$L225,FIND("/",Sync!$L225)+1,20))+1,20))),2),"")))</f>
        <v/>
      </c>
    </row>
    <row r="226" spans="1:14" x14ac:dyDescent="0.2">
      <c r="A226" t="str">
        <f>IF(Issues!$B229="","",Issues!$B229)</f>
        <v/>
      </c>
      <c r="B226" t="str">
        <f>IF($A226="","",IF(ISNUMBER(Issues!$C229),IF(AND(Issues!$C229&gt;=10000101,Issues!$C229&lt;=99991231),INT(Issues!$C229/10000),""),IFERROR(VALUE(TRIM(LEFT(Issues!$C229,FIND("/",Issues!$C229)-1))),"")))</f>
        <v/>
      </c>
      <c r="C226" t="str">
        <f>IF(OR($A226="",$B226=""),"",IF(ISNUMBER(Issues!$C229),INT(MOD(Issues!$C229,10000)/100),IFERROR(VALUE(TRIM(LEFT(MID(Issues!$C229,FIND("/",Issues!$C229)+1,20),FIND("/",MID(Issues!$C229,FIND("/",Issues!$C229)+1,20))-1))),"")))</f>
        <v/>
      </c>
      <c r="D226" t="str">
        <f>IF(OR($A226="",$B226=""),"",IF(ISNUMBER(Issues!$C229),MOD(Issues!$C229,100),IFERROR(VALUE(TRIM(MID(MID(Issues!$C229,FIND("/",Issues!$C229)+1,20),FIND("/",MID(Issues!$C229,FIND("/",Issues!$C229)+1,20))+1,20))),"")))</f>
        <v/>
      </c>
      <c r="E226" t="str">
        <f t="shared" si="9"/>
        <v/>
      </c>
      <c r="F226" t="str">
        <f>IF($A226="","",IF(Issues!$D229="",0,Issues!$D229))</f>
        <v/>
      </c>
      <c r="G226" t="str">
        <f>IF($A226="","",Issues!$E229)</f>
        <v/>
      </c>
      <c r="H226" t="str">
        <f t="shared" si="10"/>
        <v/>
      </c>
      <c r="I226" t="str">
        <f t="shared" si="11"/>
        <v/>
      </c>
      <c r="J226" t="str">
        <f>IF($A226="","",Issues!$G229)</f>
        <v/>
      </c>
      <c r="K226" t="str">
        <f>IF(OR($E226="",$E226="نامعتبر"),"",LEFT($E226,4)&amp;MID($E226,6,2)&amp;RIGHT($E226,2)&amp;"|"&amp;RIGHT("00000"&amp;221,5))</f>
        <v/>
      </c>
      <c r="M226" t="str">
        <f>IF(Sync!$M226&lt;&gt;"پاس چک","",IF(Sync!$P226="","",Sync!$P226))</f>
        <v/>
      </c>
      <c r="N226" t="str">
        <f>IF($M226="","",IF(ISNUMBER(Sync!$L226),IF(AND(Sync!$L226&gt;=10000101,Sync!$L226&lt;=99991231),RIGHT("0000"&amp;INT(Sync!$L226/10000),4)&amp;"/"&amp;RIGHT("00"&amp;INT(MOD(Sync!$L226,10000)/100),2)&amp;"/"&amp;RIGHT("00"&amp;MOD(Sync!$L226,100),2),""),IFERROR(RIGHT("0000"&amp;VALUE(TRIM(LEFT(Sync!$L226,FIND("/",Sync!$L226)-1))),4)&amp;"/"&amp;RIGHT("00"&amp;VALUE(TRIM(LEFT(MID(Sync!$L226,FIND("/",Sync!$L226)+1,20),FIND("/",MID(Sync!$L226,FIND("/",Sync!$L226)+1,20))-1))),2)&amp;"/"&amp;RIGHT("00"&amp;VALUE(TRIM(MID(MID(Sync!$L226,FIND("/",Sync!$L226)+1,20),FIND("/",MID(Sync!$L226,FIND("/",Sync!$L226)+1,20))+1,20))),2),"")))</f>
        <v/>
      </c>
    </row>
    <row r="227" spans="1:14" x14ac:dyDescent="0.2">
      <c r="A227" t="str">
        <f>IF(Issues!$B230="","",Issues!$B230)</f>
        <v/>
      </c>
      <c r="B227" t="str">
        <f>IF($A227="","",IF(ISNUMBER(Issues!$C230),IF(AND(Issues!$C230&gt;=10000101,Issues!$C230&lt;=99991231),INT(Issues!$C230/10000),""),IFERROR(VALUE(TRIM(LEFT(Issues!$C230,FIND("/",Issues!$C230)-1))),"")))</f>
        <v/>
      </c>
      <c r="C227" t="str">
        <f>IF(OR($A227="",$B227=""),"",IF(ISNUMBER(Issues!$C230),INT(MOD(Issues!$C230,10000)/100),IFERROR(VALUE(TRIM(LEFT(MID(Issues!$C230,FIND("/",Issues!$C230)+1,20),FIND("/",MID(Issues!$C230,FIND("/",Issues!$C230)+1,20))-1))),"")))</f>
        <v/>
      </c>
      <c r="D227" t="str">
        <f>IF(OR($A227="",$B227=""),"",IF(ISNUMBER(Issues!$C230),MOD(Issues!$C230,100),IFERROR(VALUE(TRIM(MID(MID(Issues!$C230,FIND("/",Issues!$C230)+1,20),FIND("/",MID(Issues!$C230,FIND("/",Issues!$C230)+1,20))+1,20))),"")))</f>
        <v/>
      </c>
      <c r="E227" t="str">
        <f t="shared" si="9"/>
        <v/>
      </c>
      <c r="F227" t="str">
        <f>IF($A227="","",IF(Issues!$D230="",0,Issues!$D230))</f>
        <v/>
      </c>
      <c r="G227" t="str">
        <f>IF($A227="","",Issues!$E230)</f>
        <v/>
      </c>
      <c r="H227" t="str">
        <f t="shared" si="10"/>
        <v/>
      </c>
      <c r="I227" t="str">
        <f t="shared" si="11"/>
        <v/>
      </c>
      <c r="J227" t="str">
        <f>IF($A227="","",Issues!$G230)</f>
        <v/>
      </c>
      <c r="K227" t="str">
        <f>IF(OR($E227="",$E227="نامعتبر"),"",LEFT($E227,4)&amp;MID($E227,6,2)&amp;RIGHT($E227,2)&amp;"|"&amp;RIGHT("00000"&amp;222,5))</f>
        <v/>
      </c>
      <c r="M227" t="str">
        <f>IF(Sync!$M227&lt;&gt;"پاس چک","",IF(Sync!$P227="","",Sync!$P227))</f>
        <v/>
      </c>
      <c r="N227" t="str">
        <f>IF($M227="","",IF(ISNUMBER(Sync!$L227),IF(AND(Sync!$L227&gt;=10000101,Sync!$L227&lt;=99991231),RIGHT("0000"&amp;INT(Sync!$L227/10000),4)&amp;"/"&amp;RIGHT("00"&amp;INT(MOD(Sync!$L227,10000)/100),2)&amp;"/"&amp;RIGHT("00"&amp;MOD(Sync!$L227,100),2),""),IFERROR(RIGHT("0000"&amp;VALUE(TRIM(LEFT(Sync!$L227,FIND("/",Sync!$L227)-1))),4)&amp;"/"&amp;RIGHT("00"&amp;VALUE(TRIM(LEFT(MID(Sync!$L227,FIND("/",Sync!$L227)+1,20),FIND("/",MID(Sync!$L227,FIND("/",Sync!$L227)+1,20))-1))),2)&amp;"/"&amp;RIGHT("00"&amp;VALUE(TRIM(MID(MID(Sync!$L227,FIND("/",Sync!$L227)+1,20),FIND("/",MID(Sync!$L227,FIND("/",Sync!$L227)+1,20))+1,20))),2),"")))</f>
        <v/>
      </c>
    </row>
    <row r="228" spans="1:14" x14ac:dyDescent="0.2">
      <c r="A228" t="str">
        <f>IF(Issues!$B231="","",Issues!$B231)</f>
        <v/>
      </c>
      <c r="B228" t="str">
        <f>IF($A228="","",IF(ISNUMBER(Issues!$C231),IF(AND(Issues!$C231&gt;=10000101,Issues!$C231&lt;=99991231),INT(Issues!$C231/10000),""),IFERROR(VALUE(TRIM(LEFT(Issues!$C231,FIND("/",Issues!$C231)-1))),"")))</f>
        <v/>
      </c>
      <c r="C228" t="str">
        <f>IF(OR($A228="",$B228=""),"",IF(ISNUMBER(Issues!$C231),INT(MOD(Issues!$C231,10000)/100),IFERROR(VALUE(TRIM(LEFT(MID(Issues!$C231,FIND("/",Issues!$C231)+1,20),FIND("/",MID(Issues!$C231,FIND("/",Issues!$C231)+1,20))-1))),"")))</f>
        <v/>
      </c>
      <c r="D228" t="str">
        <f>IF(OR($A228="",$B228=""),"",IF(ISNUMBER(Issues!$C231),MOD(Issues!$C231,100),IFERROR(VALUE(TRIM(MID(MID(Issues!$C231,FIND("/",Issues!$C231)+1,20),FIND("/",MID(Issues!$C231,FIND("/",Issues!$C231)+1,20))+1,20))),"")))</f>
        <v/>
      </c>
      <c r="E228" t="str">
        <f t="shared" si="9"/>
        <v/>
      </c>
      <c r="F228" t="str">
        <f>IF($A228="","",IF(Issues!$D231="",0,Issues!$D231))</f>
        <v/>
      </c>
      <c r="G228" t="str">
        <f>IF($A228="","",Issues!$E231)</f>
        <v/>
      </c>
      <c r="H228" t="str">
        <f t="shared" si="10"/>
        <v/>
      </c>
      <c r="I228" t="str">
        <f t="shared" si="11"/>
        <v/>
      </c>
      <c r="J228" t="str">
        <f>IF($A228="","",Issues!$G231)</f>
        <v/>
      </c>
      <c r="K228" t="str">
        <f>IF(OR($E228="",$E228="نامعتبر"),"",LEFT($E228,4)&amp;MID($E228,6,2)&amp;RIGHT($E228,2)&amp;"|"&amp;RIGHT("00000"&amp;223,5))</f>
        <v/>
      </c>
      <c r="M228" t="str">
        <f>IF(Sync!$M228&lt;&gt;"پاس چک","",IF(Sync!$P228="","",Sync!$P228))</f>
        <v/>
      </c>
      <c r="N228" t="str">
        <f>IF($M228="","",IF(ISNUMBER(Sync!$L228),IF(AND(Sync!$L228&gt;=10000101,Sync!$L228&lt;=99991231),RIGHT("0000"&amp;INT(Sync!$L228/10000),4)&amp;"/"&amp;RIGHT("00"&amp;INT(MOD(Sync!$L228,10000)/100),2)&amp;"/"&amp;RIGHT("00"&amp;MOD(Sync!$L228,100),2),""),IFERROR(RIGHT("0000"&amp;VALUE(TRIM(LEFT(Sync!$L228,FIND("/",Sync!$L228)-1))),4)&amp;"/"&amp;RIGHT("00"&amp;VALUE(TRIM(LEFT(MID(Sync!$L228,FIND("/",Sync!$L228)+1,20),FIND("/",MID(Sync!$L228,FIND("/",Sync!$L228)+1,20))-1))),2)&amp;"/"&amp;RIGHT("00"&amp;VALUE(TRIM(MID(MID(Sync!$L228,FIND("/",Sync!$L228)+1,20),FIND("/",MID(Sync!$L228,FIND("/",Sync!$L228)+1,20))+1,20))),2),"")))</f>
        <v/>
      </c>
    </row>
    <row r="229" spans="1:14" x14ac:dyDescent="0.2">
      <c r="A229" t="str">
        <f>IF(Issues!$B232="","",Issues!$B232)</f>
        <v/>
      </c>
      <c r="B229" t="str">
        <f>IF($A229="","",IF(ISNUMBER(Issues!$C232),IF(AND(Issues!$C232&gt;=10000101,Issues!$C232&lt;=99991231),INT(Issues!$C232/10000),""),IFERROR(VALUE(TRIM(LEFT(Issues!$C232,FIND("/",Issues!$C232)-1))),"")))</f>
        <v/>
      </c>
      <c r="C229" t="str">
        <f>IF(OR($A229="",$B229=""),"",IF(ISNUMBER(Issues!$C232),INT(MOD(Issues!$C232,10000)/100),IFERROR(VALUE(TRIM(LEFT(MID(Issues!$C232,FIND("/",Issues!$C232)+1,20),FIND("/",MID(Issues!$C232,FIND("/",Issues!$C232)+1,20))-1))),"")))</f>
        <v/>
      </c>
      <c r="D229" t="str">
        <f>IF(OR($A229="",$B229=""),"",IF(ISNUMBER(Issues!$C232),MOD(Issues!$C232,100),IFERROR(VALUE(TRIM(MID(MID(Issues!$C232,FIND("/",Issues!$C232)+1,20),FIND("/",MID(Issues!$C232,FIND("/",Issues!$C232)+1,20))+1,20))),"")))</f>
        <v/>
      </c>
      <c r="E229" t="str">
        <f t="shared" si="9"/>
        <v/>
      </c>
      <c r="F229" t="str">
        <f>IF($A229="","",IF(Issues!$D232="",0,Issues!$D232))</f>
        <v/>
      </c>
      <c r="G229" t="str">
        <f>IF($A229="","",Issues!$E232)</f>
        <v/>
      </c>
      <c r="H229" t="str">
        <f t="shared" si="10"/>
        <v/>
      </c>
      <c r="I229" t="str">
        <f t="shared" si="11"/>
        <v/>
      </c>
      <c r="J229" t="str">
        <f>IF($A229="","",Issues!$G232)</f>
        <v/>
      </c>
      <c r="K229" t="str">
        <f>IF(OR($E229="",$E229="نامعتبر"),"",LEFT($E229,4)&amp;MID($E229,6,2)&amp;RIGHT($E229,2)&amp;"|"&amp;RIGHT("00000"&amp;224,5))</f>
        <v/>
      </c>
      <c r="M229" t="str">
        <f>IF(Sync!$M229&lt;&gt;"پاس چک","",IF(Sync!$P229="","",Sync!$P229))</f>
        <v/>
      </c>
      <c r="N229" t="str">
        <f>IF($M229="","",IF(ISNUMBER(Sync!$L229),IF(AND(Sync!$L229&gt;=10000101,Sync!$L229&lt;=99991231),RIGHT("0000"&amp;INT(Sync!$L229/10000),4)&amp;"/"&amp;RIGHT("00"&amp;INT(MOD(Sync!$L229,10000)/100),2)&amp;"/"&amp;RIGHT("00"&amp;MOD(Sync!$L229,100),2),""),IFERROR(RIGHT("0000"&amp;VALUE(TRIM(LEFT(Sync!$L229,FIND("/",Sync!$L229)-1))),4)&amp;"/"&amp;RIGHT("00"&amp;VALUE(TRIM(LEFT(MID(Sync!$L229,FIND("/",Sync!$L229)+1,20),FIND("/",MID(Sync!$L229,FIND("/",Sync!$L229)+1,20))-1))),2)&amp;"/"&amp;RIGHT("00"&amp;VALUE(TRIM(MID(MID(Sync!$L229,FIND("/",Sync!$L229)+1,20),FIND("/",MID(Sync!$L229,FIND("/",Sync!$L229)+1,20))+1,20))),2),"")))</f>
        <v/>
      </c>
    </row>
    <row r="230" spans="1:14" x14ac:dyDescent="0.2">
      <c r="A230" t="str">
        <f>IF(Issues!$B233="","",Issues!$B233)</f>
        <v/>
      </c>
      <c r="B230" t="str">
        <f>IF($A230="","",IF(ISNUMBER(Issues!$C233),IF(AND(Issues!$C233&gt;=10000101,Issues!$C233&lt;=99991231),INT(Issues!$C233/10000),""),IFERROR(VALUE(TRIM(LEFT(Issues!$C233,FIND("/",Issues!$C233)-1))),"")))</f>
        <v/>
      </c>
      <c r="C230" t="str">
        <f>IF(OR($A230="",$B230=""),"",IF(ISNUMBER(Issues!$C233),INT(MOD(Issues!$C233,10000)/100),IFERROR(VALUE(TRIM(LEFT(MID(Issues!$C233,FIND("/",Issues!$C233)+1,20),FIND("/",MID(Issues!$C233,FIND("/",Issues!$C233)+1,20))-1))),"")))</f>
        <v/>
      </c>
      <c r="D230" t="str">
        <f>IF(OR($A230="",$B230=""),"",IF(ISNUMBER(Issues!$C233),MOD(Issues!$C233,100),IFERROR(VALUE(TRIM(MID(MID(Issues!$C233,FIND("/",Issues!$C233)+1,20),FIND("/",MID(Issues!$C233,FIND("/",Issues!$C233)+1,20))+1,20))),"")))</f>
        <v/>
      </c>
      <c r="E230" t="str">
        <f t="shared" si="9"/>
        <v/>
      </c>
      <c r="F230" t="str">
        <f>IF($A230="","",IF(Issues!$D233="",0,Issues!$D233))</f>
        <v/>
      </c>
      <c r="G230" t="str">
        <f>IF($A230="","",Issues!$E233)</f>
        <v/>
      </c>
      <c r="H230" t="str">
        <f t="shared" si="10"/>
        <v/>
      </c>
      <c r="I230" t="str">
        <f t="shared" si="11"/>
        <v/>
      </c>
      <c r="J230" t="str">
        <f>IF($A230="","",Issues!$G233)</f>
        <v/>
      </c>
      <c r="K230" t="str">
        <f>IF(OR($E230="",$E230="نامعتبر"),"",LEFT($E230,4)&amp;MID($E230,6,2)&amp;RIGHT($E230,2)&amp;"|"&amp;RIGHT("00000"&amp;225,5))</f>
        <v/>
      </c>
      <c r="M230" t="str">
        <f>IF(Sync!$M230&lt;&gt;"پاس چک","",IF(Sync!$P230="","",Sync!$P230))</f>
        <v/>
      </c>
      <c r="N230" t="str">
        <f>IF($M230="","",IF(ISNUMBER(Sync!$L230),IF(AND(Sync!$L230&gt;=10000101,Sync!$L230&lt;=99991231),RIGHT("0000"&amp;INT(Sync!$L230/10000),4)&amp;"/"&amp;RIGHT("00"&amp;INT(MOD(Sync!$L230,10000)/100),2)&amp;"/"&amp;RIGHT("00"&amp;MOD(Sync!$L230,100),2),""),IFERROR(RIGHT("0000"&amp;VALUE(TRIM(LEFT(Sync!$L230,FIND("/",Sync!$L230)-1))),4)&amp;"/"&amp;RIGHT("00"&amp;VALUE(TRIM(LEFT(MID(Sync!$L230,FIND("/",Sync!$L230)+1,20),FIND("/",MID(Sync!$L230,FIND("/",Sync!$L230)+1,20))-1))),2)&amp;"/"&amp;RIGHT("00"&amp;VALUE(TRIM(MID(MID(Sync!$L230,FIND("/",Sync!$L230)+1,20),FIND("/",MID(Sync!$L230,FIND("/",Sync!$L230)+1,20))+1,20))),2),"")))</f>
        <v/>
      </c>
    </row>
    <row r="231" spans="1:14" x14ac:dyDescent="0.2">
      <c r="A231" t="str">
        <f>IF(Issues!$B234="","",Issues!$B234)</f>
        <v/>
      </c>
      <c r="B231" t="str">
        <f>IF($A231="","",IF(ISNUMBER(Issues!$C234),IF(AND(Issues!$C234&gt;=10000101,Issues!$C234&lt;=99991231),INT(Issues!$C234/10000),""),IFERROR(VALUE(TRIM(LEFT(Issues!$C234,FIND("/",Issues!$C234)-1))),"")))</f>
        <v/>
      </c>
      <c r="C231" t="str">
        <f>IF(OR($A231="",$B231=""),"",IF(ISNUMBER(Issues!$C234),INT(MOD(Issues!$C234,10000)/100),IFERROR(VALUE(TRIM(LEFT(MID(Issues!$C234,FIND("/",Issues!$C234)+1,20),FIND("/",MID(Issues!$C234,FIND("/",Issues!$C234)+1,20))-1))),"")))</f>
        <v/>
      </c>
      <c r="D231" t="str">
        <f>IF(OR($A231="",$B231=""),"",IF(ISNUMBER(Issues!$C234),MOD(Issues!$C234,100),IFERROR(VALUE(TRIM(MID(MID(Issues!$C234,FIND("/",Issues!$C234)+1,20),FIND("/",MID(Issues!$C234,FIND("/",Issues!$C234)+1,20))+1,20))),"")))</f>
        <v/>
      </c>
      <c r="E231" t="str">
        <f t="shared" si="9"/>
        <v/>
      </c>
      <c r="F231" t="str">
        <f>IF($A231="","",IF(Issues!$D234="",0,Issues!$D234))</f>
        <v/>
      </c>
      <c r="G231" t="str">
        <f>IF($A231="","",Issues!$E234)</f>
        <v/>
      </c>
      <c r="H231" t="str">
        <f t="shared" si="10"/>
        <v/>
      </c>
      <c r="I231" t="str">
        <f t="shared" si="11"/>
        <v/>
      </c>
      <c r="J231" t="str">
        <f>IF($A231="","",Issues!$G234)</f>
        <v/>
      </c>
      <c r="K231" t="str">
        <f>IF(OR($E231="",$E231="نامعتبر"),"",LEFT($E231,4)&amp;MID($E231,6,2)&amp;RIGHT($E231,2)&amp;"|"&amp;RIGHT("00000"&amp;226,5))</f>
        <v/>
      </c>
      <c r="M231" t="str">
        <f>IF(Sync!$M231&lt;&gt;"پاس چک","",IF(Sync!$P231="","",Sync!$P231))</f>
        <v/>
      </c>
      <c r="N231" t="str">
        <f>IF($M231="","",IF(ISNUMBER(Sync!$L231),IF(AND(Sync!$L231&gt;=10000101,Sync!$L231&lt;=99991231),RIGHT("0000"&amp;INT(Sync!$L231/10000),4)&amp;"/"&amp;RIGHT("00"&amp;INT(MOD(Sync!$L231,10000)/100),2)&amp;"/"&amp;RIGHT("00"&amp;MOD(Sync!$L231,100),2),""),IFERROR(RIGHT("0000"&amp;VALUE(TRIM(LEFT(Sync!$L231,FIND("/",Sync!$L231)-1))),4)&amp;"/"&amp;RIGHT("00"&amp;VALUE(TRIM(LEFT(MID(Sync!$L231,FIND("/",Sync!$L231)+1,20),FIND("/",MID(Sync!$L231,FIND("/",Sync!$L231)+1,20))-1))),2)&amp;"/"&amp;RIGHT("00"&amp;VALUE(TRIM(MID(MID(Sync!$L231,FIND("/",Sync!$L231)+1,20),FIND("/",MID(Sync!$L231,FIND("/",Sync!$L231)+1,20))+1,20))),2),"")))</f>
        <v/>
      </c>
    </row>
    <row r="232" spans="1:14" x14ac:dyDescent="0.2">
      <c r="A232" t="str">
        <f>IF(Issues!$B235="","",Issues!$B235)</f>
        <v/>
      </c>
      <c r="B232" t="str">
        <f>IF($A232="","",IF(ISNUMBER(Issues!$C235),IF(AND(Issues!$C235&gt;=10000101,Issues!$C235&lt;=99991231),INT(Issues!$C235/10000),""),IFERROR(VALUE(TRIM(LEFT(Issues!$C235,FIND("/",Issues!$C235)-1))),"")))</f>
        <v/>
      </c>
      <c r="C232" t="str">
        <f>IF(OR($A232="",$B232=""),"",IF(ISNUMBER(Issues!$C235),INT(MOD(Issues!$C235,10000)/100),IFERROR(VALUE(TRIM(LEFT(MID(Issues!$C235,FIND("/",Issues!$C235)+1,20),FIND("/",MID(Issues!$C235,FIND("/",Issues!$C235)+1,20))-1))),"")))</f>
        <v/>
      </c>
      <c r="D232" t="str">
        <f>IF(OR($A232="",$B232=""),"",IF(ISNUMBER(Issues!$C235),MOD(Issues!$C235,100),IFERROR(VALUE(TRIM(MID(MID(Issues!$C235,FIND("/",Issues!$C235)+1,20),FIND("/",MID(Issues!$C235,FIND("/",Issues!$C235)+1,20))+1,20))),"")))</f>
        <v/>
      </c>
      <c r="E232" t="str">
        <f t="shared" si="9"/>
        <v/>
      </c>
      <c r="F232" t="str">
        <f>IF($A232="","",IF(Issues!$D235="",0,Issues!$D235))</f>
        <v/>
      </c>
      <c r="G232" t="str">
        <f>IF($A232="","",Issues!$E235)</f>
        <v/>
      </c>
      <c r="H232" t="str">
        <f t="shared" si="10"/>
        <v/>
      </c>
      <c r="I232" t="str">
        <f t="shared" si="11"/>
        <v/>
      </c>
      <c r="J232" t="str">
        <f>IF($A232="","",Issues!$G235)</f>
        <v/>
      </c>
      <c r="K232" t="str">
        <f>IF(OR($E232="",$E232="نامعتبر"),"",LEFT($E232,4)&amp;MID($E232,6,2)&amp;RIGHT($E232,2)&amp;"|"&amp;RIGHT("00000"&amp;227,5))</f>
        <v/>
      </c>
      <c r="M232" t="str">
        <f>IF(Sync!$M232&lt;&gt;"پاس چک","",IF(Sync!$P232="","",Sync!$P232))</f>
        <v/>
      </c>
      <c r="N232" t="str">
        <f>IF($M232="","",IF(ISNUMBER(Sync!$L232),IF(AND(Sync!$L232&gt;=10000101,Sync!$L232&lt;=99991231),RIGHT("0000"&amp;INT(Sync!$L232/10000),4)&amp;"/"&amp;RIGHT("00"&amp;INT(MOD(Sync!$L232,10000)/100),2)&amp;"/"&amp;RIGHT("00"&amp;MOD(Sync!$L232,100),2),""),IFERROR(RIGHT("0000"&amp;VALUE(TRIM(LEFT(Sync!$L232,FIND("/",Sync!$L232)-1))),4)&amp;"/"&amp;RIGHT("00"&amp;VALUE(TRIM(LEFT(MID(Sync!$L232,FIND("/",Sync!$L232)+1,20),FIND("/",MID(Sync!$L232,FIND("/",Sync!$L232)+1,20))-1))),2)&amp;"/"&amp;RIGHT("00"&amp;VALUE(TRIM(MID(MID(Sync!$L232,FIND("/",Sync!$L232)+1,20),FIND("/",MID(Sync!$L232,FIND("/",Sync!$L232)+1,20))+1,20))),2),"")))</f>
        <v/>
      </c>
    </row>
    <row r="233" spans="1:14" x14ac:dyDescent="0.2">
      <c r="A233" t="str">
        <f>IF(Issues!$B236="","",Issues!$B236)</f>
        <v/>
      </c>
      <c r="B233" t="str">
        <f>IF($A233="","",IF(ISNUMBER(Issues!$C236),IF(AND(Issues!$C236&gt;=10000101,Issues!$C236&lt;=99991231),INT(Issues!$C236/10000),""),IFERROR(VALUE(TRIM(LEFT(Issues!$C236,FIND("/",Issues!$C236)-1))),"")))</f>
        <v/>
      </c>
      <c r="C233" t="str">
        <f>IF(OR($A233="",$B233=""),"",IF(ISNUMBER(Issues!$C236),INT(MOD(Issues!$C236,10000)/100),IFERROR(VALUE(TRIM(LEFT(MID(Issues!$C236,FIND("/",Issues!$C236)+1,20),FIND("/",MID(Issues!$C236,FIND("/",Issues!$C236)+1,20))-1))),"")))</f>
        <v/>
      </c>
      <c r="D233" t="str">
        <f>IF(OR($A233="",$B233=""),"",IF(ISNUMBER(Issues!$C236),MOD(Issues!$C236,100),IFERROR(VALUE(TRIM(MID(MID(Issues!$C236,FIND("/",Issues!$C236)+1,20),FIND("/",MID(Issues!$C236,FIND("/",Issues!$C236)+1,20))+1,20))),"")))</f>
        <v/>
      </c>
      <c r="E233" t="str">
        <f t="shared" si="9"/>
        <v/>
      </c>
      <c r="F233" t="str">
        <f>IF($A233="","",IF(Issues!$D236="",0,Issues!$D236))</f>
        <v/>
      </c>
      <c r="G233" t="str">
        <f>IF($A233="","",Issues!$E236)</f>
        <v/>
      </c>
      <c r="H233" t="str">
        <f t="shared" si="10"/>
        <v/>
      </c>
      <c r="I233" t="str">
        <f t="shared" si="11"/>
        <v/>
      </c>
      <c r="J233" t="str">
        <f>IF($A233="","",Issues!$G236)</f>
        <v/>
      </c>
      <c r="K233" t="str">
        <f>IF(OR($E233="",$E233="نامعتبر"),"",LEFT($E233,4)&amp;MID($E233,6,2)&amp;RIGHT($E233,2)&amp;"|"&amp;RIGHT("00000"&amp;228,5))</f>
        <v/>
      </c>
      <c r="M233" t="str">
        <f>IF(Sync!$M233&lt;&gt;"پاس چک","",IF(Sync!$P233="","",Sync!$P233))</f>
        <v/>
      </c>
      <c r="N233" t="str">
        <f>IF($M233="","",IF(ISNUMBER(Sync!$L233),IF(AND(Sync!$L233&gt;=10000101,Sync!$L233&lt;=99991231),RIGHT("0000"&amp;INT(Sync!$L233/10000),4)&amp;"/"&amp;RIGHT("00"&amp;INT(MOD(Sync!$L233,10000)/100),2)&amp;"/"&amp;RIGHT("00"&amp;MOD(Sync!$L233,100),2),""),IFERROR(RIGHT("0000"&amp;VALUE(TRIM(LEFT(Sync!$L233,FIND("/",Sync!$L233)-1))),4)&amp;"/"&amp;RIGHT("00"&amp;VALUE(TRIM(LEFT(MID(Sync!$L233,FIND("/",Sync!$L233)+1,20),FIND("/",MID(Sync!$L233,FIND("/",Sync!$L233)+1,20))-1))),2)&amp;"/"&amp;RIGHT("00"&amp;VALUE(TRIM(MID(MID(Sync!$L233,FIND("/",Sync!$L233)+1,20),FIND("/",MID(Sync!$L233,FIND("/",Sync!$L233)+1,20))+1,20))),2),"")))</f>
        <v/>
      </c>
    </row>
    <row r="234" spans="1:14" x14ac:dyDescent="0.2">
      <c r="A234" t="str">
        <f>IF(Issues!$B237="","",Issues!$B237)</f>
        <v/>
      </c>
      <c r="B234" t="str">
        <f>IF($A234="","",IF(ISNUMBER(Issues!$C237),IF(AND(Issues!$C237&gt;=10000101,Issues!$C237&lt;=99991231),INT(Issues!$C237/10000),""),IFERROR(VALUE(TRIM(LEFT(Issues!$C237,FIND("/",Issues!$C237)-1))),"")))</f>
        <v/>
      </c>
      <c r="C234" t="str">
        <f>IF(OR($A234="",$B234=""),"",IF(ISNUMBER(Issues!$C237),INT(MOD(Issues!$C237,10000)/100),IFERROR(VALUE(TRIM(LEFT(MID(Issues!$C237,FIND("/",Issues!$C237)+1,20),FIND("/",MID(Issues!$C237,FIND("/",Issues!$C237)+1,20))-1))),"")))</f>
        <v/>
      </c>
      <c r="D234" t="str">
        <f>IF(OR($A234="",$B234=""),"",IF(ISNUMBER(Issues!$C237),MOD(Issues!$C237,100),IFERROR(VALUE(TRIM(MID(MID(Issues!$C237,FIND("/",Issues!$C237)+1,20),FIND("/",MID(Issues!$C237,FIND("/",Issues!$C237)+1,20))+1,20))),"")))</f>
        <v/>
      </c>
      <c r="E234" t="str">
        <f t="shared" si="9"/>
        <v/>
      </c>
      <c r="F234" t="str">
        <f>IF($A234="","",IF(Issues!$D237="",0,Issues!$D237))</f>
        <v/>
      </c>
      <c r="G234" t="str">
        <f>IF($A234="","",Issues!$E237)</f>
        <v/>
      </c>
      <c r="H234" t="str">
        <f t="shared" si="10"/>
        <v/>
      </c>
      <c r="I234" t="str">
        <f t="shared" si="11"/>
        <v/>
      </c>
      <c r="J234" t="str">
        <f>IF($A234="","",Issues!$G237)</f>
        <v/>
      </c>
      <c r="K234" t="str">
        <f>IF(OR($E234="",$E234="نامعتبر"),"",LEFT($E234,4)&amp;MID($E234,6,2)&amp;RIGHT($E234,2)&amp;"|"&amp;RIGHT("00000"&amp;229,5))</f>
        <v/>
      </c>
      <c r="M234" t="str">
        <f>IF(Sync!$M234&lt;&gt;"پاس چک","",IF(Sync!$P234="","",Sync!$P234))</f>
        <v/>
      </c>
      <c r="N234" t="str">
        <f>IF($M234="","",IF(ISNUMBER(Sync!$L234),IF(AND(Sync!$L234&gt;=10000101,Sync!$L234&lt;=99991231),RIGHT("0000"&amp;INT(Sync!$L234/10000),4)&amp;"/"&amp;RIGHT("00"&amp;INT(MOD(Sync!$L234,10000)/100),2)&amp;"/"&amp;RIGHT("00"&amp;MOD(Sync!$L234,100),2),""),IFERROR(RIGHT("0000"&amp;VALUE(TRIM(LEFT(Sync!$L234,FIND("/",Sync!$L234)-1))),4)&amp;"/"&amp;RIGHT("00"&amp;VALUE(TRIM(LEFT(MID(Sync!$L234,FIND("/",Sync!$L234)+1,20),FIND("/",MID(Sync!$L234,FIND("/",Sync!$L234)+1,20))-1))),2)&amp;"/"&amp;RIGHT("00"&amp;VALUE(TRIM(MID(MID(Sync!$L234,FIND("/",Sync!$L234)+1,20),FIND("/",MID(Sync!$L234,FIND("/",Sync!$L234)+1,20))+1,20))),2),"")))</f>
        <v/>
      </c>
    </row>
    <row r="235" spans="1:14" x14ac:dyDescent="0.2">
      <c r="A235" t="str">
        <f>IF(Issues!$B238="","",Issues!$B238)</f>
        <v/>
      </c>
      <c r="B235" t="str">
        <f>IF($A235="","",IF(ISNUMBER(Issues!$C238),IF(AND(Issues!$C238&gt;=10000101,Issues!$C238&lt;=99991231),INT(Issues!$C238/10000),""),IFERROR(VALUE(TRIM(LEFT(Issues!$C238,FIND("/",Issues!$C238)-1))),"")))</f>
        <v/>
      </c>
      <c r="C235" t="str">
        <f>IF(OR($A235="",$B235=""),"",IF(ISNUMBER(Issues!$C238),INT(MOD(Issues!$C238,10000)/100),IFERROR(VALUE(TRIM(LEFT(MID(Issues!$C238,FIND("/",Issues!$C238)+1,20),FIND("/",MID(Issues!$C238,FIND("/",Issues!$C238)+1,20))-1))),"")))</f>
        <v/>
      </c>
      <c r="D235" t="str">
        <f>IF(OR($A235="",$B235=""),"",IF(ISNUMBER(Issues!$C238),MOD(Issues!$C238,100),IFERROR(VALUE(TRIM(MID(MID(Issues!$C238,FIND("/",Issues!$C238)+1,20),FIND("/",MID(Issues!$C238,FIND("/",Issues!$C238)+1,20))+1,20))),"")))</f>
        <v/>
      </c>
      <c r="E235" t="str">
        <f t="shared" si="9"/>
        <v/>
      </c>
      <c r="F235" t="str">
        <f>IF($A235="","",IF(Issues!$D238="",0,Issues!$D238))</f>
        <v/>
      </c>
      <c r="G235" t="str">
        <f>IF($A235="","",Issues!$E238)</f>
        <v/>
      </c>
      <c r="H235" t="str">
        <f t="shared" si="10"/>
        <v/>
      </c>
      <c r="I235" t="str">
        <f t="shared" si="11"/>
        <v/>
      </c>
      <c r="J235" t="str">
        <f>IF($A235="","",Issues!$G238)</f>
        <v/>
      </c>
      <c r="K235" t="str">
        <f>IF(OR($E235="",$E235="نامعتبر"),"",LEFT($E235,4)&amp;MID($E235,6,2)&amp;RIGHT($E235,2)&amp;"|"&amp;RIGHT("00000"&amp;230,5))</f>
        <v/>
      </c>
      <c r="M235" t="str">
        <f>IF(Sync!$M235&lt;&gt;"پاس چک","",IF(Sync!$P235="","",Sync!$P235))</f>
        <v/>
      </c>
      <c r="N235" t="str">
        <f>IF($M235="","",IF(ISNUMBER(Sync!$L235),IF(AND(Sync!$L235&gt;=10000101,Sync!$L235&lt;=99991231),RIGHT("0000"&amp;INT(Sync!$L235/10000),4)&amp;"/"&amp;RIGHT("00"&amp;INT(MOD(Sync!$L235,10000)/100),2)&amp;"/"&amp;RIGHT("00"&amp;MOD(Sync!$L235,100),2),""),IFERROR(RIGHT("0000"&amp;VALUE(TRIM(LEFT(Sync!$L235,FIND("/",Sync!$L235)-1))),4)&amp;"/"&amp;RIGHT("00"&amp;VALUE(TRIM(LEFT(MID(Sync!$L235,FIND("/",Sync!$L235)+1,20),FIND("/",MID(Sync!$L235,FIND("/",Sync!$L235)+1,20))-1))),2)&amp;"/"&amp;RIGHT("00"&amp;VALUE(TRIM(MID(MID(Sync!$L235,FIND("/",Sync!$L235)+1,20),FIND("/",MID(Sync!$L235,FIND("/",Sync!$L235)+1,20))+1,20))),2),"")))</f>
        <v/>
      </c>
    </row>
    <row r="236" spans="1:14" x14ac:dyDescent="0.2">
      <c r="A236" t="str">
        <f>IF(Issues!$B239="","",Issues!$B239)</f>
        <v/>
      </c>
      <c r="B236" t="str">
        <f>IF($A236="","",IF(ISNUMBER(Issues!$C239),IF(AND(Issues!$C239&gt;=10000101,Issues!$C239&lt;=99991231),INT(Issues!$C239/10000),""),IFERROR(VALUE(TRIM(LEFT(Issues!$C239,FIND("/",Issues!$C239)-1))),"")))</f>
        <v/>
      </c>
      <c r="C236" t="str">
        <f>IF(OR($A236="",$B236=""),"",IF(ISNUMBER(Issues!$C239),INT(MOD(Issues!$C239,10000)/100),IFERROR(VALUE(TRIM(LEFT(MID(Issues!$C239,FIND("/",Issues!$C239)+1,20),FIND("/",MID(Issues!$C239,FIND("/",Issues!$C239)+1,20))-1))),"")))</f>
        <v/>
      </c>
      <c r="D236" t="str">
        <f>IF(OR($A236="",$B236=""),"",IF(ISNUMBER(Issues!$C239),MOD(Issues!$C239,100),IFERROR(VALUE(TRIM(MID(MID(Issues!$C239,FIND("/",Issues!$C239)+1,20),FIND("/",MID(Issues!$C239,FIND("/",Issues!$C239)+1,20))+1,20))),"")))</f>
        <v/>
      </c>
      <c r="E236" t="str">
        <f t="shared" si="9"/>
        <v/>
      </c>
      <c r="F236" t="str">
        <f>IF($A236="","",IF(Issues!$D239="",0,Issues!$D239))</f>
        <v/>
      </c>
      <c r="G236" t="str">
        <f>IF($A236="","",Issues!$E239)</f>
        <v/>
      </c>
      <c r="H236" t="str">
        <f t="shared" si="10"/>
        <v/>
      </c>
      <c r="I236" t="str">
        <f t="shared" si="11"/>
        <v/>
      </c>
      <c r="J236" t="str">
        <f>IF($A236="","",Issues!$G239)</f>
        <v/>
      </c>
      <c r="K236" t="str">
        <f>IF(OR($E236="",$E236="نامعتبر"),"",LEFT($E236,4)&amp;MID($E236,6,2)&amp;RIGHT($E236,2)&amp;"|"&amp;RIGHT("00000"&amp;231,5))</f>
        <v/>
      </c>
      <c r="M236" t="str">
        <f>IF(Sync!$M236&lt;&gt;"پاس چک","",IF(Sync!$P236="","",Sync!$P236))</f>
        <v/>
      </c>
      <c r="N236" t="str">
        <f>IF($M236="","",IF(ISNUMBER(Sync!$L236),IF(AND(Sync!$L236&gt;=10000101,Sync!$L236&lt;=99991231),RIGHT("0000"&amp;INT(Sync!$L236/10000),4)&amp;"/"&amp;RIGHT("00"&amp;INT(MOD(Sync!$L236,10000)/100),2)&amp;"/"&amp;RIGHT("00"&amp;MOD(Sync!$L236,100),2),""),IFERROR(RIGHT("0000"&amp;VALUE(TRIM(LEFT(Sync!$L236,FIND("/",Sync!$L236)-1))),4)&amp;"/"&amp;RIGHT("00"&amp;VALUE(TRIM(LEFT(MID(Sync!$L236,FIND("/",Sync!$L236)+1,20),FIND("/",MID(Sync!$L236,FIND("/",Sync!$L236)+1,20))-1))),2)&amp;"/"&amp;RIGHT("00"&amp;VALUE(TRIM(MID(MID(Sync!$L236,FIND("/",Sync!$L236)+1,20),FIND("/",MID(Sync!$L236,FIND("/",Sync!$L236)+1,20))+1,20))),2),"")))</f>
        <v/>
      </c>
    </row>
    <row r="237" spans="1:14" x14ac:dyDescent="0.2">
      <c r="A237" t="str">
        <f>IF(Issues!$B240="","",Issues!$B240)</f>
        <v/>
      </c>
      <c r="B237" t="str">
        <f>IF($A237="","",IF(ISNUMBER(Issues!$C240),IF(AND(Issues!$C240&gt;=10000101,Issues!$C240&lt;=99991231),INT(Issues!$C240/10000),""),IFERROR(VALUE(TRIM(LEFT(Issues!$C240,FIND("/",Issues!$C240)-1))),"")))</f>
        <v/>
      </c>
      <c r="C237" t="str">
        <f>IF(OR($A237="",$B237=""),"",IF(ISNUMBER(Issues!$C240),INT(MOD(Issues!$C240,10000)/100),IFERROR(VALUE(TRIM(LEFT(MID(Issues!$C240,FIND("/",Issues!$C240)+1,20),FIND("/",MID(Issues!$C240,FIND("/",Issues!$C240)+1,20))-1))),"")))</f>
        <v/>
      </c>
      <c r="D237" t="str">
        <f>IF(OR($A237="",$B237=""),"",IF(ISNUMBER(Issues!$C240),MOD(Issues!$C240,100),IFERROR(VALUE(TRIM(MID(MID(Issues!$C240,FIND("/",Issues!$C240)+1,20),FIND("/",MID(Issues!$C240,FIND("/",Issues!$C240)+1,20))+1,20))),"")))</f>
        <v/>
      </c>
      <c r="E237" t="str">
        <f t="shared" si="9"/>
        <v/>
      </c>
      <c r="F237" t="str">
        <f>IF($A237="","",IF(Issues!$D240="",0,Issues!$D240))</f>
        <v/>
      </c>
      <c r="G237" t="str">
        <f>IF($A237="","",Issues!$E240)</f>
        <v/>
      </c>
      <c r="H237" t="str">
        <f t="shared" si="10"/>
        <v/>
      </c>
      <c r="I237" t="str">
        <f t="shared" si="11"/>
        <v/>
      </c>
      <c r="J237" t="str">
        <f>IF($A237="","",Issues!$G240)</f>
        <v/>
      </c>
      <c r="K237" t="str">
        <f>IF(OR($E237="",$E237="نامعتبر"),"",LEFT($E237,4)&amp;MID($E237,6,2)&amp;RIGHT($E237,2)&amp;"|"&amp;RIGHT("00000"&amp;232,5))</f>
        <v/>
      </c>
      <c r="M237" t="str">
        <f>IF(Sync!$M237&lt;&gt;"پاس چک","",IF(Sync!$P237="","",Sync!$P237))</f>
        <v/>
      </c>
      <c r="N237" t="str">
        <f>IF($M237="","",IF(ISNUMBER(Sync!$L237),IF(AND(Sync!$L237&gt;=10000101,Sync!$L237&lt;=99991231),RIGHT("0000"&amp;INT(Sync!$L237/10000),4)&amp;"/"&amp;RIGHT("00"&amp;INT(MOD(Sync!$L237,10000)/100),2)&amp;"/"&amp;RIGHT("00"&amp;MOD(Sync!$L237,100),2),""),IFERROR(RIGHT("0000"&amp;VALUE(TRIM(LEFT(Sync!$L237,FIND("/",Sync!$L237)-1))),4)&amp;"/"&amp;RIGHT("00"&amp;VALUE(TRIM(LEFT(MID(Sync!$L237,FIND("/",Sync!$L237)+1,20),FIND("/",MID(Sync!$L237,FIND("/",Sync!$L237)+1,20))-1))),2)&amp;"/"&amp;RIGHT("00"&amp;VALUE(TRIM(MID(MID(Sync!$L237,FIND("/",Sync!$L237)+1,20),FIND("/",MID(Sync!$L237,FIND("/",Sync!$L237)+1,20))+1,20))),2),"")))</f>
        <v/>
      </c>
    </row>
    <row r="238" spans="1:14" x14ac:dyDescent="0.2">
      <c r="A238" t="str">
        <f>IF(Issues!$B241="","",Issues!$B241)</f>
        <v/>
      </c>
      <c r="B238" t="str">
        <f>IF($A238="","",IF(ISNUMBER(Issues!$C241),IF(AND(Issues!$C241&gt;=10000101,Issues!$C241&lt;=99991231),INT(Issues!$C241/10000),""),IFERROR(VALUE(TRIM(LEFT(Issues!$C241,FIND("/",Issues!$C241)-1))),"")))</f>
        <v/>
      </c>
      <c r="C238" t="str">
        <f>IF(OR($A238="",$B238=""),"",IF(ISNUMBER(Issues!$C241),INT(MOD(Issues!$C241,10000)/100),IFERROR(VALUE(TRIM(LEFT(MID(Issues!$C241,FIND("/",Issues!$C241)+1,20),FIND("/",MID(Issues!$C241,FIND("/",Issues!$C241)+1,20))-1))),"")))</f>
        <v/>
      </c>
      <c r="D238" t="str">
        <f>IF(OR($A238="",$B238=""),"",IF(ISNUMBER(Issues!$C241),MOD(Issues!$C241,100),IFERROR(VALUE(TRIM(MID(MID(Issues!$C241,FIND("/",Issues!$C241)+1,20),FIND("/",MID(Issues!$C241,FIND("/",Issues!$C241)+1,20))+1,20))),"")))</f>
        <v/>
      </c>
      <c r="E238" t="str">
        <f t="shared" si="9"/>
        <v/>
      </c>
      <c r="F238" t="str">
        <f>IF($A238="","",IF(Issues!$D241="",0,Issues!$D241))</f>
        <v/>
      </c>
      <c r="G238" t="str">
        <f>IF($A238="","",Issues!$E241)</f>
        <v/>
      </c>
      <c r="H238" t="str">
        <f t="shared" si="10"/>
        <v/>
      </c>
      <c r="I238" t="str">
        <f t="shared" si="11"/>
        <v/>
      </c>
      <c r="J238" t="str">
        <f>IF($A238="","",Issues!$G241)</f>
        <v/>
      </c>
      <c r="K238" t="str">
        <f>IF(OR($E238="",$E238="نامعتبر"),"",LEFT($E238,4)&amp;MID($E238,6,2)&amp;RIGHT($E238,2)&amp;"|"&amp;RIGHT("00000"&amp;233,5))</f>
        <v/>
      </c>
      <c r="M238" t="str">
        <f>IF(Sync!$M238&lt;&gt;"پاس چک","",IF(Sync!$P238="","",Sync!$P238))</f>
        <v/>
      </c>
      <c r="N238" t="str">
        <f>IF($M238="","",IF(ISNUMBER(Sync!$L238),IF(AND(Sync!$L238&gt;=10000101,Sync!$L238&lt;=99991231),RIGHT("0000"&amp;INT(Sync!$L238/10000),4)&amp;"/"&amp;RIGHT("00"&amp;INT(MOD(Sync!$L238,10000)/100),2)&amp;"/"&amp;RIGHT("00"&amp;MOD(Sync!$L238,100),2),""),IFERROR(RIGHT("0000"&amp;VALUE(TRIM(LEFT(Sync!$L238,FIND("/",Sync!$L238)-1))),4)&amp;"/"&amp;RIGHT("00"&amp;VALUE(TRIM(LEFT(MID(Sync!$L238,FIND("/",Sync!$L238)+1,20),FIND("/",MID(Sync!$L238,FIND("/",Sync!$L238)+1,20))-1))),2)&amp;"/"&amp;RIGHT("00"&amp;VALUE(TRIM(MID(MID(Sync!$L238,FIND("/",Sync!$L238)+1,20),FIND("/",MID(Sync!$L238,FIND("/",Sync!$L238)+1,20))+1,20))),2),"")))</f>
        <v/>
      </c>
    </row>
    <row r="239" spans="1:14" x14ac:dyDescent="0.2">
      <c r="A239" t="str">
        <f>IF(Issues!$B242="","",Issues!$B242)</f>
        <v/>
      </c>
      <c r="B239" t="str">
        <f>IF($A239="","",IF(ISNUMBER(Issues!$C242),IF(AND(Issues!$C242&gt;=10000101,Issues!$C242&lt;=99991231),INT(Issues!$C242/10000),""),IFERROR(VALUE(TRIM(LEFT(Issues!$C242,FIND("/",Issues!$C242)-1))),"")))</f>
        <v/>
      </c>
      <c r="C239" t="str">
        <f>IF(OR($A239="",$B239=""),"",IF(ISNUMBER(Issues!$C242),INT(MOD(Issues!$C242,10000)/100),IFERROR(VALUE(TRIM(LEFT(MID(Issues!$C242,FIND("/",Issues!$C242)+1,20),FIND("/",MID(Issues!$C242,FIND("/",Issues!$C242)+1,20))-1))),"")))</f>
        <v/>
      </c>
      <c r="D239" t="str">
        <f>IF(OR($A239="",$B239=""),"",IF(ISNUMBER(Issues!$C242),MOD(Issues!$C242,100),IFERROR(VALUE(TRIM(MID(MID(Issues!$C242,FIND("/",Issues!$C242)+1,20),FIND("/",MID(Issues!$C242,FIND("/",Issues!$C242)+1,20))+1,20))),"")))</f>
        <v/>
      </c>
      <c r="E239" t="str">
        <f t="shared" si="9"/>
        <v/>
      </c>
      <c r="F239" t="str">
        <f>IF($A239="","",IF(Issues!$D242="",0,Issues!$D242))</f>
        <v/>
      </c>
      <c r="G239" t="str">
        <f>IF($A239="","",Issues!$E242)</f>
        <v/>
      </c>
      <c r="H239" t="str">
        <f t="shared" si="10"/>
        <v/>
      </c>
      <c r="I239" t="str">
        <f t="shared" si="11"/>
        <v/>
      </c>
      <c r="J239" t="str">
        <f>IF($A239="","",Issues!$G242)</f>
        <v/>
      </c>
      <c r="K239" t="str">
        <f>IF(OR($E239="",$E239="نامعتبر"),"",LEFT($E239,4)&amp;MID($E239,6,2)&amp;RIGHT($E239,2)&amp;"|"&amp;RIGHT("00000"&amp;234,5))</f>
        <v/>
      </c>
      <c r="M239" t="str">
        <f>IF(Sync!$M239&lt;&gt;"پاس چک","",IF(Sync!$P239="","",Sync!$P239))</f>
        <v/>
      </c>
      <c r="N239" t="str">
        <f>IF($M239="","",IF(ISNUMBER(Sync!$L239),IF(AND(Sync!$L239&gt;=10000101,Sync!$L239&lt;=99991231),RIGHT("0000"&amp;INT(Sync!$L239/10000),4)&amp;"/"&amp;RIGHT("00"&amp;INT(MOD(Sync!$L239,10000)/100),2)&amp;"/"&amp;RIGHT("00"&amp;MOD(Sync!$L239,100),2),""),IFERROR(RIGHT("0000"&amp;VALUE(TRIM(LEFT(Sync!$L239,FIND("/",Sync!$L239)-1))),4)&amp;"/"&amp;RIGHT("00"&amp;VALUE(TRIM(LEFT(MID(Sync!$L239,FIND("/",Sync!$L239)+1,20),FIND("/",MID(Sync!$L239,FIND("/",Sync!$L239)+1,20))-1))),2)&amp;"/"&amp;RIGHT("00"&amp;VALUE(TRIM(MID(MID(Sync!$L239,FIND("/",Sync!$L239)+1,20),FIND("/",MID(Sync!$L239,FIND("/",Sync!$L239)+1,20))+1,20))),2),"")))</f>
        <v/>
      </c>
    </row>
    <row r="240" spans="1:14" x14ac:dyDescent="0.2">
      <c r="A240" t="str">
        <f>IF(Issues!$B243="","",Issues!$B243)</f>
        <v/>
      </c>
      <c r="B240" t="str">
        <f>IF($A240="","",IF(ISNUMBER(Issues!$C243),IF(AND(Issues!$C243&gt;=10000101,Issues!$C243&lt;=99991231),INT(Issues!$C243/10000),""),IFERROR(VALUE(TRIM(LEFT(Issues!$C243,FIND("/",Issues!$C243)-1))),"")))</f>
        <v/>
      </c>
      <c r="C240" t="str">
        <f>IF(OR($A240="",$B240=""),"",IF(ISNUMBER(Issues!$C243),INT(MOD(Issues!$C243,10000)/100),IFERROR(VALUE(TRIM(LEFT(MID(Issues!$C243,FIND("/",Issues!$C243)+1,20),FIND("/",MID(Issues!$C243,FIND("/",Issues!$C243)+1,20))-1))),"")))</f>
        <v/>
      </c>
      <c r="D240" t="str">
        <f>IF(OR($A240="",$B240=""),"",IF(ISNUMBER(Issues!$C243),MOD(Issues!$C243,100),IFERROR(VALUE(TRIM(MID(MID(Issues!$C243,FIND("/",Issues!$C243)+1,20),FIND("/",MID(Issues!$C243,FIND("/",Issues!$C243)+1,20))+1,20))),"")))</f>
        <v/>
      </c>
      <c r="E240" t="str">
        <f t="shared" si="9"/>
        <v/>
      </c>
      <c r="F240" t="str">
        <f>IF($A240="","",IF(Issues!$D243="",0,Issues!$D243))</f>
        <v/>
      </c>
      <c r="G240" t="str">
        <f>IF($A240="","",Issues!$E243)</f>
        <v/>
      </c>
      <c r="H240" t="str">
        <f t="shared" si="10"/>
        <v/>
      </c>
      <c r="I240" t="str">
        <f t="shared" si="11"/>
        <v/>
      </c>
      <c r="J240" t="str">
        <f>IF($A240="","",Issues!$G243)</f>
        <v/>
      </c>
      <c r="K240" t="str">
        <f>IF(OR($E240="",$E240="نامعتبر"),"",LEFT($E240,4)&amp;MID($E240,6,2)&amp;RIGHT($E240,2)&amp;"|"&amp;RIGHT("00000"&amp;235,5))</f>
        <v/>
      </c>
      <c r="M240" t="str">
        <f>IF(Sync!$M240&lt;&gt;"پاس چک","",IF(Sync!$P240="","",Sync!$P240))</f>
        <v/>
      </c>
      <c r="N240" t="str">
        <f>IF($M240="","",IF(ISNUMBER(Sync!$L240),IF(AND(Sync!$L240&gt;=10000101,Sync!$L240&lt;=99991231),RIGHT("0000"&amp;INT(Sync!$L240/10000),4)&amp;"/"&amp;RIGHT("00"&amp;INT(MOD(Sync!$L240,10000)/100),2)&amp;"/"&amp;RIGHT("00"&amp;MOD(Sync!$L240,100),2),""),IFERROR(RIGHT("0000"&amp;VALUE(TRIM(LEFT(Sync!$L240,FIND("/",Sync!$L240)-1))),4)&amp;"/"&amp;RIGHT("00"&amp;VALUE(TRIM(LEFT(MID(Sync!$L240,FIND("/",Sync!$L240)+1,20),FIND("/",MID(Sync!$L240,FIND("/",Sync!$L240)+1,20))-1))),2)&amp;"/"&amp;RIGHT("00"&amp;VALUE(TRIM(MID(MID(Sync!$L240,FIND("/",Sync!$L240)+1,20),FIND("/",MID(Sync!$L240,FIND("/",Sync!$L240)+1,20))+1,20))),2),"")))</f>
        <v/>
      </c>
    </row>
    <row r="241" spans="1:14" x14ac:dyDescent="0.2">
      <c r="A241" t="str">
        <f>IF(Issues!$B244="","",Issues!$B244)</f>
        <v/>
      </c>
      <c r="B241" t="str">
        <f>IF($A241="","",IF(ISNUMBER(Issues!$C244),IF(AND(Issues!$C244&gt;=10000101,Issues!$C244&lt;=99991231),INT(Issues!$C244/10000),""),IFERROR(VALUE(TRIM(LEFT(Issues!$C244,FIND("/",Issues!$C244)-1))),"")))</f>
        <v/>
      </c>
      <c r="C241" t="str">
        <f>IF(OR($A241="",$B241=""),"",IF(ISNUMBER(Issues!$C244),INT(MOD(Issues!$C244,10000)/100),IFERROR(VALUE(TRIM(LEFT(MID(Issues!$C244,FIND("/",Issues!$C244)+1,20),FIND("/",MID(Issues!$C244,FIND("/",Issues!$C244)+1,20))-1))),"")))</f>
        <v/>
      </c>
      <c r="D241" t="str">
        <f>IF(OR($A241="",$B241=""),"",IF(ISNUMBER(Issues!$C244),MOD(Issues!$C244,100),IFERROR(VALUE(TRIM(MID(MID(Issues!$C244,FIND("/",Issues!$C244)+1,20),FIND("/",MID(Issues!$C244,FIND("/",Issues!$C244)+1,20))+1,20))),"")))</f>
        <v/>
      </c>
      <c r="E241" t="str">
        <f t="shared" si="9"/>
        <v/>
      </c>
      <c r="F241" t="str">
        <f>IF($A241="","",IF(Issues!$D244="",0,Issues!$D244))</f>
        <v/>
      </c>
      <c r="G241" t="str">
        <f>IF($A241="","",Issues!$E244)</f>
        <v/>
      </c>
      <c r="H241" t="str">
        <f t="shared" si="10"/>
        <v/>
      </c>
      <c r="I241" t="str">
        <f t="shared" si="11"/>
        <v/>
      </c>
      <c r="J241" t="str">
        <f>IF($A241="","",Issues!$G244)</f>
        <v/>
      </c>
      <c r="K241" t="str">
        <f>IF(OR($E241="",$E241="نامعتبر"),"",LEFT($E241,4)&amp;MID($E241,6,2)&amp;RIGHT($E241,2)&amp;"|"&amp;RIGHT("00000"&amp;236,5))</f>
        <v/>
      </c>
      <c r="M241" t="str">
        <f>IF(Sync!$M241&lt;&gt;"پاس چک","",IF(Sync!$P241="","",Sync!$P241))</f>
        <v/>
      </c>
      <c r="N241" t="str">
        <f>IF($M241="","",IF(ISNUMBER(Sync!$L241),IF(AND(Sync!$L241&gt;=10000101,Sync!$L241&lt;=99991231),RIGHT("0000"&amp;INT(Sync!$L241/10000),4)&amp;"/"&amp;RIGHT("00"&amp;INT(MOD(Sync!$L241,10000)/100),2)&amp;"/"&amp;RIGHT("00"&amp;MOD(Sync!$L241,100),2),""),IFERROR(RIGHT("0000"&amp;VALUE(TRIM(LEFT(Sync!$L241,FIND("/",Sync!$L241)-1))),4)&amp;"/"&amp;RIGHT("00"&amp;VALUE(TRIM(LEFT(MID(Sync!$L241,FIND("/",Sync!$L241)+1,20),FIND("/",MID(Sync!$L241,FIND("/",Sync!$L241)+1,20))-1))),2)&amp;"/"&amp;RIGHT("00"&amp;VALUE(TRIM(MID(MID(Sync!$L241,FIND("/",Sync!$L241)+1,20),FIND("/",MID(Sync!$L241,FIND("/",Sync!$L241)+1,20))+1,20))),2),"")))</f>
        <v/>
      </c>
    </row>
    <row r="242" spans="1:14" x14ac:dyDescent="0.2">
      <c r="A242" t="str">
        <f>IF(Issues!$B245="","",Issues!$B245)</f>
        <v/>
      </c>
      <c r="B242" t="str">
        <f>IF($A242="","",IF(ISNUMBER(Issues!$C245),IF(AND(Issues!$C245&gt;=10000101,Issues!$C245&lt;=99991231),INT(Issues!$C245/10000),""),IFERROR(VALUE(TRIM(LEFT(Issues!$C245,FIND("/",Issues!$C245)-1))),"")))</f>
        <v/>
      </c>
      <c r="C242" t="str">
        <f>IF(OR($A242="",$B242=""),"",IF(ISNUMBER(Issues!$C245),INT(MOD(Issues!$C245,10000)/100),IFERROR(VALUE(TRIM(LEFT(MID(Issues!$C245,FIND("/",Issues!$C245)+1,20),FIND("/",MID(Issues!$C245,FIND("/",Issues!$C245)+1,20))-1))),"")))</f>
        <v/>
      </c>
      <c r="D242" t="str">
        <f>IF(OR($A242="",$B242=""),"",IF(ISNUMBER(Issues!$C245),MOD(Issues!$C245,100),IFERROR(VALUE(TRIM(MID(MID(Issues!$C245,FIND("/",Issues!$C245)+1,20),FIND("/",MID(Issues!$C245,FIND("/",Issues!$C245)+1,20))+1,20))),"")))</f>
        <v/>
      </c>
      <c r="E242" t="str">
        <f t="shared" si="9"/>
        <v/>
      </c>
      <c r="F242" t="str">
        <f>IF($A242="","",IF(Issues!$D245="",0,Issues!$D245))</f>
        <v/>
      </c>
      <c r="G242" t="str">
        <f>IF($A242="","",Issues!$E245)</f>
        <v/>
      </c>
      <c r="H242" t="str">
        <f t="shared" si="10"/>
        <v/>
      </c>
      <c r="I242" t="str">
        <f t="shared" si="11"/>
        <v/>
      </c>
      <c r="J242" t="str">
        <f>IF($A242="","",Issues!$G245)</f>
        <v/>
      </c>
      <c r="K242" t="str">
        <f>IF(OR($E242="",$E242="نامعتبر"),"",LEFT($E242,4)&amp;MID($E242,6,2)&amp;RIGHT($E242,2)&amp;"|"&amp;RIGHT("00000"&amp;237,5))</f>
        <v/>
      </c>
      <c r="M242" t="str">
        <f>IF(Sync!$M242&lt;&gt;"پاس چک","",IF(Sync!$P242="","",Sync!$P242))</f>
        <v/>
      </c>
      <c r="N242" t="str">
        <f>IF($M242="","",IF(ISNUMBER(Sync!$L242),IF(AND(Sync!$L242&gt;=10000101,Sync!$L242&lt;=99991231),RIGHT("0000"&amp;INT(Sync!$L242/10000),4)&amp;"/"&amp;RIGHT("00"&amp;INT(MOD(Sync!$L242,10000)/100),2)&amp;"/"&amp;RIGHT("00"&amp;MOD(Sync!$L242,100),2),""),IFERROR(RIGHT("0000"&amp;VALUE(TRIM(LEFT(Sync!$L242,FIND("/",Sync!$L242)-1))),4)&amp;"/"&amp;RIGHT("00"&amp;VALUE(TRIM(LEFT(MID(Sync!$L242,FIND("/",Sync!$L242)+1,20),FIND("/",MID(Sync!$L242,FIND("/",Sync!$L242)+1,20))-1))),2)&amp;"/"&amp;RIGHT("00"&amp;VALUE(TRIM(MID(MID(Sync!$L242,FIND("/",Sync!$L242)+1,20),FIND("/",MID(Sync!$L242,FIND("/",Sync!$L242)+1,20))+1,20))),2),"")))</f>
        <v/>
      </c>
    </row>
    <row r="243" spans="1:14" x14ac:dyDescent="0.2">
      <c r="A243" t="str">
        <f>IF(Issues!$B246="","",Issues!$B246)</f>
        <v/>
      </c>
      <c r="B243" t="str">
        <f>IF($A243="","",IF(ISNUMBER(Issues!$C246),IF(AND(Issues!$C246&gt;=10000101,Issues!$C246&lt;=99991231),INT(Issues!$C246/10000),""),IFERROR(VALUE(TRIM(LEFT(Issues!$C246,FIND("/",Issues!$C246)-1))),"")))</f>
        <v/>
      </c>
      <c r="C243" t="str">
        <f>IF(OR($A243="",$B243=""),"",IF(ISNUMBER(Issues!$C246),INT(MOD(Issues!$C246,10000)/100),IFERROR(VALUE(TRIM(LEFT(MID(Issues!$C246,FIND("/",Issues!$C246)+1,20),FIND("/",MID(Issues!$C246,FIND("/",Issues!$C246)+1,20))-1))),"")))</f>
        <v/>
      </c>
      <c r="D243" t="str">
        <f>IF(OR($A243="",$B243=""),"",IF(ISNUMBER(Issues!$C246),MOD(Issues!$C246,100),IFERROR(VALUE(TRIM(MID(MID(Issues!$C246,FIND("/",Issues!$C246)+1,20),FIND("/",MID(Issues!$C246,FIND("/",Issues!$C246)+1,20))+1,20))),"")))</f>
        <v/>
      </c>
      <c r="E243" t="str">
        <f t="shared" si="9"/>
        <v/>
      </c>
      <c r="F243" t="str">
        <f>IF($A243="","",IF(Issues!$D246="",0,Issues!$D246))</f>
        <v/>
      </c>
      <c r="G243" t="str">
        <f>IF($A243="","",Issues!$E246)</f>
        <v/>
      </c>
      <c r="H243" t="str">
        <f t="shared" si="10"/>
        <v/>
      </c>
      <c r="I243" t="str">
        <f t="shared" si="11"/>
        <v/>
      </c>
      <c r="J243" t="str">
        <f>IF($A243="","",Issues!$G246)</f>
        <v/>
      </c>
      <c r="K243" t="str">
        <f>IF(OR($E243="",$E243="نامعتبر"),"",LEFT($E243,4)&amp;MID($E243,6,2)&amp;RIGHT($E243,2)&amp;"|"&amp;RIGHT("00000"&amp;238,5))</f>
        <v/>
      </c>
      <c r="M243" t="str">
        <f>IF(Sync!$M243&lt;&gt;"پاس چک","",IF(Sync!$P243="","",Sync!$P243))</f>
        <v/>
      </c>
      <c r="N243" t="str">
        <f>IF($M243="","",IF(ISNUMBER(Sync!$L243),IF(AND(Sync!$L243&gt;=10000101,Sync!$L243&lt;=99991231),RIGHT("0000"&amp;INT(Sync!$L243/10000),4)&amp;"/"&amp;RIGHT("00"&amp;INT(MOD(Sync!$L243,10000)/100),2)&amp;"/"&amp;RIGHT("00"&amp;MOD(Sync!$L243,100),2),""),IFERROR(RIGHT("0000"&amp;VALUE(TRIM(LEFT(Sync!$L243,FIND("/",Sync!$L243)-1))),4)&amp;"/"&amp;RIGHT("00"&amp;VALUE(TRIM(LEFT(MID(Sync!$L243,FIND("/",Sync!$L243)+1,20),FIND("/",MID(Sync!$L243,FIND("/",Sync!$L243)+1,20))-1))),2)&amp;"/"&amp;RIGHT("00"&amp;VALUE(TRIM(MID(MID(Sync!$L243,FIND("/",Sync!$L243)+1,20),FIND("/",MID(Sync!$L243,FIND("/",Sync!$L243)+1,20))+1,20))),2),"")))</f>
        <v/>
      </c>
    </row>
    <row r="244" spans="1:14" x14ac:dyDescent="0.2">
      <c r="A244" t="str">
        <f>IF(Issues!$B247="","",Issues!$B247)</f>
        <v/>
      </c>
      <c r="B244" t="str">
        <f>IF($A244="","",IF(ISNUMBER(Issues!$C247),IF(AND(Issues!$C247&gt;=10000101,Issues!$C247&lt;=99991231),INT(Issues!$C247/10000),""),IFERROR(VALUE(TRIM(LEFT(Issues!$C247,FIND("/",Issues!$C247)-1))),"")))</f>
        <v/>
      </c>
      <c r="C244" t="str">
        <f>IF(OR($A244="",$B244=""),"",IF(ISNUMBER(Issues!$C247),INT(MOD(Issues!$C247,10000)/100),IFERROR(VALUE(TRIM(LEFT(MID(Issues!$C247,FIND("/",Issues!$C247)+1,20),FIND("/",MID(Issues!$C247,FIND("/",Issues!$C247)+1,20))-1))),"")))</f>
        <v/>
      </c>
      <c r="D244" t="str">
        <f>IF(OR($A244="",$B244=""),"",IF(ISNUMBER(Issues!$C247),MOD(Issues!$C247,100),IFERROR(VALUE(TRIM(MID(MID(Issues!$C247,FIND("/",Issues!$C247)+1,20),FIND("/",MID(Issues!$C247,FIND("/",Issues!$C247)+1,20))+1,20))),"")))</f>
        <v/>
      </c>
      <c r="E244" t="str">
        <f t="shared" si="9"/>
        <v/>
      </c>
      <c r="F244" t="str">
        <f>IF($A244="","",IF(Issues!$D247="",0,Issues!$D247))</f>
        <v/>
      </c>
      <c r="G244" t="str">
        <f>IF($A244="","",Issues!$E247)</f>
        <v/>
      </c>
      <c r="H244" t="str">
        <f t="shared" si="10"/>
        <v/>
      </c>
      <c r="I244" t="str">
        <f t="shared" si="11"/>
        <v/>
      </c>
      <c r="J244" t="str">
        <f>IF($A244="","",Issues!$G247)</f>
        <v/>
      </c>
      <c r="K244" t="str">
        <f>IF(OR($E244="",$E244="نامعتبر"),"",LEFT($E244,4)&amp;MID($E244,6,2)&amp;RIGHT($E244,2)&amp;"|"&amp;RIGHT("00000"&amp;239,5))</f>
        <v/>
      </c>
      <c r="M244" t="str">
        <f>IF(Sync!$M244&lt;&gt;"پاس چک","",IF(Sync!$P244="","",Sync!$P244))</f>
        <v/>
      </c>
      <c r="N244" t="str">
        <f>IF($M244="","",IF(ISNUMBER(Sync!$L244),IF(AND(Sync!$L244&gt;=10000101,Sync!$L244&lt;=99991231),RIGHT("0000"&amp;INT(Sync!$L244/10000),4)&amp;"/"&amp;RIGHT("00"&amp;INT(MOD(Sync!$L244,10000)/100),2)&amp;"/"&amp;RIGHT("00"&amp;MOD(Sync!$L244,100),2),""),IFERROR(RIGHT("0000"&amp;VALUE(TRIM(LEFT(Sync!$L244,FIND("/",Sync!$L244)-1))),4)&amp;"/"&amp;RIGHT("00"&amp;VALUE(TRIM(LEFT(MID(Sync!$L244,FIND("/",Sync!$L244)+1,20),FIND("/",MID(Sync!$L244,FIND("/",Sync!$L244)+1,20))-1))),2)&amp;"/"&amp;RIGHT("00"&amp;VALUE(TRIM(MID(MID(Sync!$L244,FIND("/",Sync!$L244)+1,20),FIND("/",MID(Sync!$L244,FIND("/",Sync!$L244)+1,20))+1,20))),2),"")))</f>
        <v/>
      </c>
    </row>
    <row r="245" spans="1:14" x14ac:dyDescent="0.2">
      <c r="A245" t="str">
        <f>IF(Issues!$B248="","",Issues!$B248)</f>
        <v/>
      </c>
      <c r="B245" t="str">
        <f>IF($A245="","",IF(ISNUMBER(Issues!$C248),IF(AND(Issues!$C248&gt;=10000101,Issues!$C248&lt;=99991231),INT(Issues!$C248/10000),""),IFERROR(VALUE(TRIM(LEFT(Issues!$C248,FIND("/",Issues!$C248)-1))),"")))</f>
        <v/>
      </c>
      <c r="C245" t="str">
        <f>IF(OR($A245="",$B245=""),"",IF(ISNUMBER(Issues!$C248),INT(MOD(Issues!$C248,10000)/100),IFERROR(VALUE(TRIM(LEFT(MID(Issues!$C248,FIND("/",Issues!$C248)+1,20),FIND("/",MID(Issues!$C248,FIND("/",Issues!$C248)+1,20))-1))),"")))</f>
        <v/>
      </c>
      <c r="D245" t="str">
        <f>IF(OR($A245="",$B245=""),"",IF(ISNUMBER(Issues!$C248),MOD(Issues!$C248,100),IFERROR(VALUE(TRIM(MID(MID(Issues!$C248,FIND("/",Issues!$C248)+1,20),FIND("/",MID(Issues!$C248,FIND("/",Issues!$C248)+1,20))+1,20))),"")))</f>
        <v/>
      </c>
      <c r="E245" t="str">
        <f t="shared" si="9"/>
        <v/>
      </c>
      <c r="F245" t="str">
        <f>IF($A245="","",IF(Issues!$D248="",0,Issues!$D248))</f>
        <v/>
      </c>
      <c r="G245" t="str">
        <f>IF($A245="","",Issues!$E248)</f>
        <v/>
      </c>
      <c r="H245" t="str">
        <f t="shared" si="10"/>
        <v/>
      </c>
      <c r="I245" t="str">
        <f t="shared" si="11"/>
        <v/>
      </c>
      <c r="J245" t="str">
        <f>IF($A245="","",Issues!$G248)</f>
        <v/>
      </c>
      <c r="K245" t="str">
        <f>IF(OR($E245="",$E245="نامعتبر"),"",LEFT($E245,4)&amp;MID($E245,6,2)&amp;RIGHT($E245,2)&amp;"|"&amp;RIGHT("00000"&amp;240,5))</f>
        <v/>
      </c>
      <c r="M245" t="str">
        <f>IF(Sync!$M245&lt;&gt;"پاس چک","",IF(Sync!$P245="","",Sync!$P245))</f>
        <v/>
      </c>
      <c r="N245" t="str">
        <f>IF($M245="","",IF(ISNUMBER(Sync!$L245),IF(AND(Sync!$L245&gt;=10000101,Sync!$L245&lt;=99991231),RIGHT("0000"&amp;INT(Sync!$L245/10000),4)&amp;"/"&amp;RIGHT("00"&amp;INT(MOD(Sync!$L245,10000)/100),2)&amp;"/"&amp;RIGHT("00"&amp;MOD(Sync!$L245,100),2),""),IFERROR(RIGHT("0000"&amp;VALUE(TRIM(LEFT(Sync!$L245,FIND("/",Sync!$L245)-1))),4)&amp;"/"&amp;RIGHT("00"&amp;VALUE(TRIM(LEFT(MID(Sync!$L245,FIND("/",Sync!$L245)+1,20),FIND("/",MID(Sync!$L245,FIND("/",Sync!$L245)+1,20))-1))),2)&amp;"/"&amp;RIGHT("00"&amp;VALUE(TRIM(MID(MID(Sync!$L245,FIND("/",Sync!$L245)+1,20),FIND("/",MID(Sync!$L245,FIND("/",Sync!$L245)+1,20))+1,20))),2),"")))</f>
        <v/>
      </c>
    </row>
    <row r="246" spans="1:14" x14ac:dyDescent="0.2">
      <c r="A246" t="str">
        <f>IF(Issues!$B249="","",Issues!$B249)</f>
        <v/>
      </c>
      <c r="B246" t="str">
        <f>IF($A246="","",IF(ISNUMBER(Issues!$C249),IF(AND(Issues!$C249&gt;=10000101,Issues!$C249&lt;=99991231),INT(Issues!$C249/10000),""),IFERROR(VALUE(TRIM(LEFT(Issues!$C249,FIND("/",Issues!$C249)-1))),"")))</f>
        <v/>
      </c>
      <c r="C246" t="str">
        <f>IF(OR($A246="",$B246=""),"",IF(ISNUMBER(Issues!$C249),INT(MOD(Issues!$C249,10000)/100),IFERROR(VALUE(TRIM(LEFT(MID(Issues!$C249,FIND("/",Issues!$C249)+1,20),FIND("/",MID(Issues!$C249,FIND("/",Issues!$C249)+1,20))-1))),"")))</f>
        <v/>
      </c>
      <c r="D246" t="str">
        <f>IF(OR($A246="",$B246=""),"",IF(ISNUMBER(Issues!$C249),MOD(Issues!$C249,100),IFERROR(VALUE(TRIM(MID(MID(Issues!$C249,FIND("/",Issues!$C249)+1,20),FIND("/",MID(Issues!$C249,FIND("/",Issues!$C249)+1,20))+1,20))),"")))</f>
        <v/>
      </c>
      <c r="E246" t="str">
        <f t="shared" si="9"/>
        <v/>
      </c>
      <c r="F246" t="str">
        <f>IF($A246="","",IF(Issues!$D249="",0,Issues!$D249))</f>
        <v/>
      </c>
      <c r="G246" t="str">
        <f>IF($A246="","",Issues!$E249)</f>
        <v/>
      </c>
      <c r="H246" t="str">
        <f t="shared" si="10"/>
        <v/>
      </c>
      <c r="I246" t="str">
        <f t="shared" si="11"/>
        <v/>
      </c>
      <c r="J246" t="str">
        <f>IF($A246="","",Issues!$G249)</f>
        <v/>
      </c>
      <c r="K246" t="str">
        <f>IF(OR($E246="",$E246="نامعتبر"),"",LEFT($E246,4)&amp;MID($E246,6,2)&amp;RIGHT($E246,2)&amp;"|"&amp;RIGHT("00000"&amp;241,5))</f>
        <v/>
      </c>
      <c r="M246" t="str">
        <f>IF(Sync!$M246&lt;&gt;"پاس چک","",IF(Sync!$P246="","",Sync!$P246))</f>
        <v/>
      </c>
      <c r="N246" t="str">
        <f>IF($M246="","",IF(ISNUMBER(Sync!$L246),IF(AND(Sync!$L246&gt;=10000101,Sync!$L246&lt;=99991231),RIGHT("0000"&amp;INT(Sync!$L246/10000),4)&amp;"/"&amp;RIGHT("00"&amp;INT(MOD(Sync!$L246,10000)/100),2)&amp;"/"&amp;RIGHT("00"&amp;MOD(Sync!$L246,100),2),""),IFERROR(RIGHT("0000"&amp;VALUE(TRIM(LEFT(Sync!$L246,FIND("/",Sync!$L246)-1))),4)&amp;"/"&amp;RIGHT("00"&amp;VALUE(TRIM(LEFT(MID(Sync!$L246,FIND("/",Sync!$L246)+1,20),FIND("/",MID(Sync!$L246,FIND("/",Sync!$L246)+1,20))-1))),2)&amp;"/"&amp;RIGHT("00"&amp;VALUE(TRIM(MID(MID(Sync!$L246,FIND("/",Sync!$L246)+1,20),FIND("/",MID(Sync!$L246,FIND("/",Sync!$L246)+1,20))+1,20))),2),"")))</f>
        <v/>
      </c>
    </row>
    <row r="247" spans="1:14" x14ac:dyDescent="0.2">
      <c r="A247" t="str">
        <f>IF(Issues!$B250="","",Issues!$B250)</f>
        <v/>
      </c>
      <c r="B247" t="str">
        <f>IF($A247="","",IF(ISNUMBER(Issues!$C250),IF(AND(Issues!$C250&gt;=10000101,Issues!$C250&lt;=99991231),INT(Issues!$C250/10000),""),IFERROR(VALUE(TRIM(LEFT(Issues!$C250,FIND("/",Issues!$C250)-1))),"")))</f>
        <v/>
      </c>
      <c r="C247" t="str">
        <f>IF(OR($A247="",$B247=""),"",IF(ISNUMBER(Issues!$C250),INT(MOD(Issues!$C250,10000)/100),IFERROR(VALUE(TRIM(LEFT(MID(Issues!$C250,FIND("/",Issues!$C250)+1,20),FIND("/",MID(Issues!$C250,FIND("/",Issues!$C250)+1,20))-1))),"")))</f>
        <v/>
      </c>
      <c r="D247" t="str">
        <f>IF(OR($A247="",$B247=""),"",IF(ISNUMBER(Issues!$C250),MOD(Issues!$C250,100),IFERROR(VALUE(TRIM(MID(MID(Issues!$C250,FIND("/",Issues!$C250)+1,20),FIND("/",MID(Issues!$C250,FIND("/",Issues!$C250)+1,20))+1,20))),"")))</f>
        <v/>
      </c>
      <c r="E247" t="str">
        <f t="shared" si="9"/>
        <v/>
      </c>
      <c r="F247" t="str">
        <f>IF($A247="","",IF(Issues!$D250="",0,Issues!$D250))</f>
        <v/>
      </c>
      <c r="G247" t="str">
        <f>IF($A247="","",Issues!$E250)</f>
        <v/>
      </c>
      <c r="H247" t="str">
        <f t="shared" si="10"/>
        <v/>
      </c>
      <c r="I247" t="str">
        <f t="shared" si="11"/>
        <v/>
      </c>
      <c r="J247" t="str">
        <f>IF($A247="","",Issues!$G250)</f>
        <v/>
      </c>
      <c r="K247" t="str">
        <f>IF(OR($E247="",$E247="نامعتبر"),"",LEFT($E247,4)&amp;MID($E247,6,2)&amp;RIGHT($E247,2)&amp;"|"&amp;RIGHT("00000"&amp;242,5))</f>
        <v/>
      </c>
      <c r="M247" t="str">
        <f>IF(Sync!$M247&lt;&gt;"پاس چک","",IF(Sync!$P247="","",Sync!$P247))</f>
        <v/>
      </c>
      <c r="N247" t="str">
        <f>IF($M247="","",IF(ISNUMBER(Sync!$L247),IF(AND(Sync!$L247&gt;=10000101,Sync!$L247&lt;=99991231),RIGHT("0000"&amp;INT(Sync!$L247/10000),4)&amp;"/"&amp;RIGHT("00"&amp;INT(MOD(Sync!$L247,10000)/100),2)&amp;"/"&amp;RIGHT("00"&amp;MOD(Sync!$L247,100),2),""),IFERROR(RIGHT("0000"&amp;VALUE(TRIM(LEFT(Sync!$L247,FIND("/",Sync!$L247)-1))),4)&amp;"/"&amp;RIGHT("00"&amp;VALUE(TRIM(LEFT(MID(Sync!$L247,FIND("/",Sync!$L247)+1,20),FIND("/",MID(Sync!$L247,FIND("/",Sync!$L247)+1,20))-1))),2)&amp;"/"&amp;RIGHT("00"&amp;VALUE(TRIM(MID(MID(Sync!$L247,FIND("/",Sync!$L247)+1,20),FIND("/",MID(Sync!$L247,FIND("/",Sync!$L247)+1,20))+1,20))),2),"")))</f>
        <v/>
      </c>
    </row>
    <row r="248" spans="1:14" x14ac:dyDescent="0.2">
      <c r="A248" t="str">
        <f>IF(Issues!$B251="","",Issues!$B251)</f>
        <v/>
      </c>
      <c r="B248" t="str">
        <f>IF($A248="","",IF(ISNUMBER(Issues!$C251),IF(AND(Issues!$C251&gt;=10000101,Issues!$C251&lt;=99991231),INT(Issues!$C251/10000),""),IFERROR(VALUE(TRIM(LEFT(Issues!$C251,FIND("/",Issues!$C251)-1))),"")))</f>
        <v/>
      </c>
      <c r="C248" t="str">
        <f>IF(OR($A248="",$B248=""),"",IF(ISNUMBER(Issues!$C251),INT(MOD(Issues!$C251,10000)/100),IFERROR(VALUE(TRIM(LEFT(MID(Issues!$C251,FIND("/",Issues!$C251)+1,20),FIND("/",MID(Issues!$C251,FIND("/",Issues!$C251)+1,20))-1))),"")))</f>
        <v/>
      </c>
      <c r="D248" t="str">
        <f>IF(OR($A248="",$B248=""),"",IF(ISNUMBER(Issues!$C251),MOD(Issues!$C251,100),IFERROR(VALUE(TRIM(MID(MID(Issues!$C251,FIND("/",Issues!$C251)+1,20),FIND("/",MID(Issues!$C251,FIND("/",Issues!$C251)+1,20))+1,20))),"")))</f>
        <v/>
      </c>
      <c r="E248" t="str">
        <f t="shared" si="9"/>
        <v/>
      </c>
      <c r="F248" t="str">
        <f>IF($A248="","",IF(Issues!$D251="",0,Issues!$D251))</f>
        <v/>
      </c>
      <c r="G248" t="str">
        <f>IF($A248="","",Issues!$E251)</f>
        <v/>
      </c>
      <c r="H248" t="str">
        <f t="shared" si="10"/>
        <v/>
      </c>
      <c r="I248" t="str">
        <f t="shared" si="11"/>
        <v/>
      </c>
      <c r="J248" t="str">
        <f>IF($A248="","",Issues!$G251)</f>
        <v/>
      </c>
      <c r="K248" t="str">
        <f>IF(OR($E248="",$E248="نامعتبر"),"",LEFT($E248,4)&amp;MID($E248,6,2)&amp;RIGHT($E248,2)&amp;"|"&amp;RIGHT("00000"&amp;243,5))</f>
        <v/>
      </c>
      <c r="M248" t="str">
        <f>IF(Sync!$M248&lt;&gt;"پاس چک","",IF(Sync!$P248="","",Sync!$P248))</f>
        <v/>
      </c>
      <c r="N248" t="str">
        <f>IF($M248="","",IF(ISNUMBER(Sync!$L248),IF(AND(Sync!$L248&gt;=10000101,Sync!$L248&lt;=99991231),RIGHT("0000"&amp;INT(Sync!$L248/10000),4)&amp;"/"&amp;RIGHT("00"&amp;INT(MOD(Sync!$L248,10000)/100),2)&amp;"/"&amp;RIGHT("00"&amp;MOD(Sync!$L248,100),2),""),IFERROR(RIGHT("0000"&amp;VALUE(TRIM(LEFT(Sync!$L248,FIND("/",Sync!$L248)-1))),4)&amp;"/"&amp;RIGHT("00"&amp;VALUE(TRIM(LEFT(MID(Sync!$L248,FIND("/",Sync!$L248)+1,20),FIND("/",MID(Sync!$L248,FIND("/",Sync!$L248)+1,20))-1))),2)&amp;"/"&amp;RIGHT("00"&amp;VALUE(TRIM(MID(MID(Sync!$L248,FIND("/",Sync!$L248)+1,20),FIND("/",MID(Sync!$L248,FIND("/",Sync!$L248)+1,20))+1,20))),2),"")))</f>
        <v/>
      </c>
    </row>
    <row r="249" spans="1:14" x14ac:dyDescent="0.2">
      <c r="A249" t="str">
        <f>IF(Issues!$B252="","",Issues!$B252)</f>
        <v/>
      </c>
      <c r="B249" t="str">
        <f>IF($A249="","",IF(ISNUMBER(Issues!$C252),IF(AND(Issues!$C252&gt;=10000101,Issues!$C252&lt;=99991231),INT(Issues!$C252/10000),""),IFERROR(VALUE(TRIM(LEFT(Issues!$C252,FIND("/",Issues!$C252)-1))),"")))</f>
        <v/>
      </c>
      <c r="C249" t="str">
        <f>IF(OR($A249="",$B249=""),"",IF(ISNUMBER(Issues!$C252),INT(MOD(Issues!$C252,10000)/100),IFERROR(VALUE(TRIM(LEFT(MID(Issues!$C252,FIND("/",Issues!$C252)+1,20),FIND("/",MID(Issues!$C252,FIND("/",Issues!$C252)+1,20))-1))),"")))</f>
        <v/>
      </c>
      <c r="D249" t="str">
        <f>IF(OR($A249="",$B249=""),"",IF(ISNUMBER(Issues!$C252),MOD(Issues!$C252,100),IFERROR(VALUE(TRIM(MID(MID(Issues!$C252,FIND("/",Issues!$C252)+1,20),FIND("/",MID(Issues!$C252,FIND("/",Issues!$C252)+1,20))+1,20))),"")))</f>
        <v/>
      </c>
      <c r="E249" t="str">
        <f t="shared" si="9"/>
        <v/>
      </c>
      <c r="F249" t="str">
        <f>IF($A249="","",IF(Issues!$D252="",0,Issues!$D252))</f>
        <v/>
      </c>
      <c r="G249" t="str">
        <f>IF($A249="","",Issues!$E252)</f>
        <v/>
      </c>
      <c r="H249" t="str">
        <f t="shared" si="10"/>
        <v/>
      </c>
      <c r="I249" t="str">
        <f t="shared" si="11"/>
        <v/>
      </c>
      <c r="J249" t="str">
        <f>IF($A249="","",Issues!$G252)</f>
        <v/>
      </c>
      <c r="K249" t="str">
        <f>IF(OR($E249="",$E249="نامعتبر"),"",LEFT($E249,4)&amp;MID($E249,6,2)&amp;RIGHT($E249,2)&amp;"|"&amp;RIGHT("00000"&amp;244,5))</f>
        <v/>
      </c>
      <c r="M249" t="str">
        <f>IF(Sync!$M249&lt;&gt;"پاس چک","",IF(Sync!$P249="","",Sync!$P249))</f>
        <v/>
      </c>
      <c r="N249" t="str">
        <f>IF($M249="","",IF(ISNUMBER(Sync!$L249),IF(AND(Sync!$L249&gt;=10000101,Sync!$L249&lt;=99991231),RIGHT("0000"&amp;INT(Sync!$L249/10000),4)&amp;"/"&amp;RIGHT("00"&amp;INT(MOD(Sync!$L249,10000)/100),2)&amp;"/"&amp;RIGHT("00"&amp;MOD(Sync!$L249,100),2),""),IFERROR(RIGHT("0000"&amp;VALUE(TRIM(LEFT(Sync!$L249,FIND("/",Sync!$L249)-1))),4)&amp;"/"&amp;RIGHT("00"&amp;VALUE(TRIM(LEFT(MID(Sync!$L249,FIND("/",Sync!$L249)+1,20),FIND("/",MID(Sync!$L249,FIND("/",Sync!$L249)+1,20))-1))),2)&amp;"/"&amp;RIGHT("00"&amp;VALUE(TRIM(MID(MID(Sync!$L249,FIND("/",Sync!$L249)+1,20),FIND("/",MID(Sync!$L249,FIND("/",Sync!$L249)+1,20))+1,20))),2),"")))</f>
        <v/>
      </c>
    </row>
    <row r="250" spans="1:14" x14ac:dyDescent="0.2">
      <c r="A250" t="str">
        <f>IF(Issues!$B253="","",Issues!$B253)</f>
        <v/>
      </c>
      <c r="B250" t="str">
        <f>IF($A250="","",IF(ISNUMBER(Issues!$C253),IF(AND(Issues!$C253&gt;=10000101,Issues!$C253&lt;=99991231),INT(Issues!$C253/10000),""),IFERROR(VALUE(TRIM(LEFT(Issues!$C253,FIND("/",Issues!$C253)-1))),"")))</f>
        <v/>
      </c>
      <c r="C250" t="str">
        <f>IF(OR($A250="",$B250=""),"",IF(ISNUMBER(Issues!$C253),INT(MOD(Issues!$C253,10000)/100),IFERROR(VALUE(TRIM(LEFT(MID(Issues!$C253,FIND("/",Issues!$C253)+1,20),FIND("/",MID(Issues!$C253,FIND("/",Issues!$C253)+1,20))-1))),"")))</f>
        <v/>
      </c>
      <c r="D250" t="str">
        <f>IF(OR($A250="",$B250=""),"",IF(ISNUMBER(Issues!$C253),MOD(Issues!$C253,100),IFERROR(VALUE(TRIM(MID(MID(Issues!$C253,FIND("/",Issues!$C253)+1,20),FIND("/",MID(Issues!$C253,FIND("/",Issues!$C253)+1,20))+1,20))),"")))</f>
        <v/>
      </c>
      <c r="E250" t="str">
        <f t="shared" si="9"/>
        <v/>
      </c>
      <c r="F250" t="str">
        <f>IF($A250="","",IF(Issues!$D253="",0,Issues!$D253))</f>
        <v/>
      </c>
      <c r="G250" t="str">
        <f>IF($A250="","",Issues!$E253)</f>
        <v/>
      </c>
      <c r="H250" t="str">
        <f t="shared" si="10"/>
        <v/>
      </c>
      <c r="I250" t="str">
        <f t="shared" si="11"/>
        <v/>
      </c>
      <c r="J250" t="str">
        <f>IF($A250="","",Issues!$G253)</f>
        <v/>
      </c>
      <c r="K250" t="str">
        <f>IF(OR($E250="",$E250="نامعتبر"),"",LEFT($E250,4)&amp;MID($E250,6,2)&amp;RIGHT($E250,2)&amp;"|"&amp;RIGHT("00000"&amp;245,5))</f>
        <v/>
      </c>
      <c r="M250" t="str">
        <f>IF(Sync!$M250&lt;&gt;"پاس چک","",IF(Sync!$P250="","",Sync!$P250))</f>
        <v/>
      </c>
      <c r="N250" t="str">
        <f>IF($M250="","",IF(ISNUMBER(Sync!$L250),IF(AND(Sync!$L250&gt;=10000101,Sync!$L250&lt;=99991231),RIGHT("0000"&amp;INT(Sync!$L250/10000),4)&amp;"/"&amp;RIGHT("00"&amp;INT(MOD(Sync!$L250,10000)/100),2)&amp;"/"&amp;RIGHT("00"&amp;MOD(Sync!$L250,100),2),""),IFERROR(RIGHT("0000"&amp;VALUE(TRIM(LEFT(Sync!$L250,FIND("/",Sync!$L250)-1))),4)&amp;"/"&amp;RIGHT("00"&amp;VALUE(TRIM(LEFT(MID(Sync!$L250,FIND("/",Sync!$L250)+1,20),FIND("/",MID(Sync!$L250,FIND("/",Sync!$L250)+1,20))-1))),2)&amp;"/"&amp;RIGHT("00"&amp;VALUE(TRIM(MID(MID(Sync!$L250,FIND("/",Sync!$L250)+1,20),FIND("/",MID(Sync!$L250,FIND("/",Sync!$L250)+1,20))+1,20))),2),"")))</f>
        <v/>
      </c>
    </row>
    <row r="251" spans="1:14" x14ac:dyDescent="0.2">
      <c r="A251" t="str">
        <f>IF(Issues!$B254="","",Issues!$B254)</f>
        <v/>
      </c>
      <c r="B251" t="str">
        <f>IF($A251="","",IF(ISNUMBER(Issues!$C254),IF(AND(Issues!$C254&gt;=10000101,Issues!$C254&lt;=99991231),INT(Issues!$C254/10000),""),IFERROR(VALUE(TRIM(LEFT(Issues!$C254,FIND("/",Issues!$C254)-1))),"")))</f>
        <v/>
      </c>
      <c r="C251" t="str">
        <f>IF(OR($A251="",$B251=""),"",IF(ISNUMBER(Issues!$C254),INT(MOD(Issues!$C254,10000)/100),IFERROR(VALUE(TRIM(LEFT(MID(Issues!$C254,FIND("/",Issues!$C254)+1,20),FIND("/",MID(Issues!$C254,FIND("/",Issues!$C254)+1,20))-1))),"")))</f>
        <v/>
      </c>
      <c r="D251" t="str">
        <f>IF(OR($A251="",$B251=""),"",IF(ISNUMBER(Issues!$C254),MOD(Issues!$C254,100),IFERROR(VALUE(TRIM(MID(MID(Issues!$C254,FIND("/",Issues!$C254)+1,20),FIND("/",MID(Issues!$C254,FIND("/",Issues!$C254)+1,20))+1,20))),"")))</f>
        <v/>
      </c>
      <c r="E251" t="str">
        <f t="shared" si="9"/>
        <v/>
      </c>
      <c r="F251" t="str">
        <f>IF($A251="","",IF(Issues!$D254="",0,Issues!$D254))</f>
        <v/>
      </c>
      <c r="G251" t="str">
        <f>IF($A251="","",Issues!$E254)</f>
        <v/>
      </c>
      <c r="H251" t="str">
        <f t="shared" si="10"/>
        <v/>
      </c>
      <c r="I251" t="str">
        <f t="shared" si="11"/>
        <v/>
      </c>
      <c r="J251" t="str">
        <f>IF($A251="","",Issues!$G254)</f>
        <v/>
      </c>
      <c r="K251" t="str">
        <f>IF(OR($E251="",$E251="نامعتبر"),"",LEFT($E251,4)&amp;MID($E251,6,2)&amp;RIGHT($E251,2)&amp;"|"&amp;RIGHT("00000"&amp;246,5))</f>
        <v/>
      </c>
      <c r="M251" t="str">
        <f>IF(Sync!$M251&lt;&gt;"پاس چک","",IF(Sync!$P251="","",Sync!$P251))</f>
        <v/>
      </c>
      <c r="N251" t="str">
        <f>IF($M251="","",IF(ISNUMBER(Sync!$L251),IF(AND(Sync!$L251&gt;=10000101,Sync!$L251&lt;=99991231),RIGHT("0000"&amp;INT(Sync!$L251/10000),4)&amp;"/"&amp;RIGHT("00"&amp;INT(MOD(Sync!$L251,10000)/100),2)&amp;"/"&amp;RIGHT("00"&amp;MOD(Sync!$L251,100),2),""),IFERROR(RIGHT("0000"&amp;VALUE(TRIM(LEFT(Sync!$L251,FIND("/",Sync!$L251)-1))),4)&amp;"/"&amp;RIGHT("00"&amp;VALUE(TRIM(LEFT(MID(Sync!$L251,FIND("/",Sync!$L251)+1,20),FIND("/",MID(Sync!$L251,FIND("/",Sync!$L251)+1,20))-1))),2)&amp;"/"&amp;RIGHT("00"&amp;VALUE(TRIM(MID(MID(Sync!$L251,FIND("/",Sync!$L251)+1,20),FIND("/",MID(Sync!$L251,FIND("/",Sync!$L251)+1,20))+1,20))),2),"")))</f>
        <v/>
      </c>
    </row>
    <row r="252" spans="1:14" x14ac:dyDescent="0.2">
      <c r="A252" t="str">
        <f>IF(Issues!$B255="","",Issues!$B255)</f>
        <v/>
      </c>
      <c r="B252" t="str">
        <f>IF($A252="","",IF(ISNUMBER(Issues!$C255),IF(AND(Issues!$C255&gt;=10000101,Issues!$C255&lt;=99991231),INT(Issues!$C255/10000),""),IFERROR(VALUE(TRIM(LEFT(Issues!$C255,FIND("/",Issues!$C255)-1))),"")))</f>
        <v/>
      </c>
      <c r="C252" t="str">
        <f>IF(OR($A252="",$B252=""),"",IF(ISNUMBER(Issues!$C255),INT(MOD(Issues!$C255,10000)/100),IFERROR(VALUE(TRIM(LEFT(MID(Issues!$C255,FIND("/",Issues!$C255)+1,20),FIND("/",MID(Issues!$C255,FIND("/",Issues!$C255)+1,20))-1))),"")))</f>
        <v/>
      </c>
      <c r="D252" t="str">
        <f>IF(OR($A252="",$B252=""),"",IF(ISNUMBER(Issues!$C255),MOD(Issues!$C255,100),IFERROR(VALUE(TRIM(MID(MID(Issues!$C255,FIND("/",Issues!$C255)+1,20),FIND("/",MID(Issues!$C255,FIND("/",Issues!$C255)+1,20))+1,20))),"")))</f>
        <v/>
      </c>
      <c r="E252" t="str">
        <f t="shared" si="9"/>
        <v/>
      </c>
      <c r="F252" t="str">
        <f>IF($A252="","",IF(Issues!$D255="",0,Issues!$D255))</f>
        <v/>
      </c>
      <c r="G252" t="str">
        <f>IF($A252="","",Issues!$E255)</f>
        <v/>
      </c>
      <c r="H252" t="str">
        <f t="shared" si="10"/>
        <v/>
      </c>
      <c r="I252" t="str">
        <f t="shared" si="11"/>
        <v/>
      </c>
      <c r="J252" t="str">
        <f>IF($A252="","",Issues!$G255)</f>
        <v/>
      </c>
      <c r="K252" t="str">
        <f>IF(OR($E252="",$E252="نامعتبر"),"",LEFT($E252,4)&amp;MID($E252,6,2)&amp;RIGHT($E252,2)&amp;"|"&amp;RIGHT("00000"&amp;247,5))</f>
        <v/>
      </c>
      <c r="M252" t="str">
        <f>IF(Sync!$M252&lt;&gt;"پاس چک","",IF(Sync!$P252="","",Sync!$P252))</f>
        <v/>
      </c>
      <c r="N252" t="str">
        <f>IF($M252="","",IF(ISNUMBER(Sync!$L252),IF(AND(Sync!$L252&gt;=10000101,Sync!$L252&lt;=99991231),RIGHT("0000"&amp;INT(Sync!$L252/10000),4)&amp;"/"&amp;RIGHT("00"&amp;INT(MOD(Sync!$L252,10000)/100),2)&amp;"/"&amp;RIGHT("00"&amp;MOD(Sync!$L252,100),2),""),IFERROR(RIGHT("0000"&amp;VALUE(TRIM(LEFT(Sync!$L252,FIND("/",Sync!$L252)-1))),4)&amp;"/"&amp;RIGHT("00"&amp;VALUE(TRIM(LEFT(MID(Sync!$L252,FIND("/",Sync!$L252)+1,20),FIND("/",MID(Sync!$L252,FIND("/",Sync!$L252)+1,20))-1))),2)&amp;"/"&amp;RIGHT("00"&amp;VALUE(TRIM(MID(MID(Sync!$L252,FIND("/",Sync!$L252)+1,20),FIND("/",MID(Sync!$L252,FIND("/",Sync!$L252)+1,20))+1,20))),2),"")))</f>
        <v/>
      </c>
    </row>
    <row r="253" spans="1:14" x14ac:dyDescent="0.2">
      <c r="A253" t="str">
        <f>IF(Issues!$B256="","",Issues!$B256)</f>
        <v/>
      </c>
      <c r="B253" t="str">
        <f>IF($A253="","",IF(ISNUMBER(Issues!$C256),IF(AND(Issues!$C256&gt;=10000101,Issues!$C256&lt;=99991231),INT(Issues!$C256/10000),""),IFERROR(VALUE(TRIM(LEFT(Issues!$C256,FIND("/",Issues!$C256)-1))),"")))</f>
        <v/>
      </c>
      <c r="C253" t="str">
        <f>IF(OR($A253="",$B253=""),"",IF(ISNUMBER(Issues!$C256),INT(MOD(Issues!$C256,10000)/100),IFERROR(VALUE(TRIM(LEFT(MID(Issues!$C256,FIND("/",Issues!$C256)+1,20),FIND("/",MID(Issues!$C256,FIND("/",Issues!$C256)+1,20))-1))),"")))</f>
        <v/>
      </c>
      <c r="D253" t="str">
        <f>IF(OR($A253="",$B253=""),"",IF(ISNUMBER(Issues!$C256),MOD(Issues!$C256,100),IFERROR(VALUE(TRIM(MID(MID(Issues!$C256,FIND("/",Issues!$C256)+1,20),FIND("/",MID(Issues!$C256,FIND("/",Issues!$C256)+1,20))+1,20))),"")))</f>
        <v/>
      </c>
      <c r="E253" t="str">
        <f t="shared" si="9"/>
        <v/>
      </c>
      <c r="F253" t="str">
        <f>IF($A253="","",IF(Issues!$D256="",0,Issues!$D256))</f>
        <v/>
      </c>
      <c r="G253" t="str">
        <f>IF($A253="","",Issues!$E256)</f>
        <v/>
      </c>
      <c r="H253" t="str">
        <f t="shared" si="10"/>
        <v/>
      </c>
      <c r="I253" t="str">
        <f t="shared" si="11"/>
        <v/>
      </c>
      <c r="J253" t="str">
        <f>IF($A253="","",Issues!$G256)</f>
        <v/>
      </c>
      <c r="K253" t="str">
        <f>IF(OR($E253="",$E253="نامعتبر"),"",LEFT($E253,4)&amp;MID($E253,6,2)&amp;RIGHT($E253,2)&amp;"|"&amp;RIGHT("00000"&amp;248,5))</f>
        <v/>
      </c>
      <c r="M253" t="str">
        <f>IF(Sync!$M253&lt;&gt;"پاس چک","",IF(Sync!$P253="","",Sync!$P253))</f>
        <v/>
      </c>
      <c r="N253" t="str">
        <f>IF($M253="","",IF(ISNUMBER(Sync!$L253),IF(AND(Sync!$L253&gt;=10000101,Sync!$L253&lt;=99991231),RIGHT("0000"&amp;INT(Sync!$L253/10000),4)&amp;"/"&amp;RIGHT("00"&amp;INT(MOD(Sync!$L253,10000)/100),2)&amp;"/"&amp;RIGHT("00"&amp;MOD(Sync!$L253,100),2),""),IFERROR(RIGHT("0000"&amp;VALUE(TRIM(LEFT(Sync!$L253,FIND("/",Sync!$L253)-1))),4)&amp;"/"&amp;RIGHT("00"&amp;VALUE(TRIM(LEFT(MID(Sync!$L253,FIND("/",Sync!$L253)+1,20),FIND("/",MID(Sync!$L253,FIND("/",Sync!$L253)+1,20))-1))),2)&amp;"/"&amp;RIGHT("00"&amp;VALUE(TRIM(MID(MID(Sync!$L253,FIND("/",Sync!$L253)+1,20),FIND("/",MID(Sync!$L253,FIND("/",Sync!$L253)+1,20))+1,20))),2),"")))</f>
        <v/>
      </c>
    </row>
    <row r="254" spans="1:14" x14ac:dyDescent="0.2">
      <c r="A254" t="str">
        <f>IF(Issues!$B257="","",Issues!$B257)</f>
        <v/>
      </c>
      <c r="B254" t="str">
        <f>IF($A254="","",IF(ISNUMBER(Issues!$C257),IF(AND(Issues!$C257&gt;=10000101,Issues!$C257&lt;=99991231),INT(Issues!$C257/10000),""),IFERROR(VALUE(TRIM(LEFT(Issues!$C257,FIND("/",Issues!$C257)-1))),"")))</f>
        <v/>
      </c>
      <c r="C254" t="str">
        <f>IF(OR($A254="",$B254=""),"",IF(ISNUMBER(Issues!$C257),INT(MOD(Issues!$C257,10000)/100),IFERROR(VALUE(TRIM(LEFT(MID(Issues!$C257,FIND("/",Issues!$C257)+1,20),FIND("/",MID(Issues!$C257,FIND("/",Issues!$C257)+1,20))-1))),"")))</f>
        <v/>
      </c>
      <c r="D254" t="str">
        <f>IF(OR($A254="",$B254=""),"",IF(ISNUMBER(Issues!$C257),MOD(Issues!$C257,100),IFERROR(VALUE(TRIM(MID(MID(Issues!$C257,FIND("/",Issues!$C257)+1,20),FIND("/",MID(Issues!$C257,FIND("/",Issues!$C257)+1,20))+1,20))),"")))</f>
        <v/>
      </c>
      <c r="E254" t="str">
        <f t="shared" si="9"/>
        <v/>
      </c>
      <c r="F254" t="str">
        <f>IF($A254="","",IF(Issues!$D257="",0,Issues!$D257))</f>
        <v/>
      </c>
      <c r="G254" t="str">
        <f>IF($A254="","",Issues!$E257)</f>
        <v/>
      </c>
      <c r="H254" t="str">
        <f t="shared" si="10"/>
        <v/>
      </c>
      <c r="I254" t="str">
        <f t="shared" si="11"/>
        <v/>
      </c>
      <c r="J254" t="str">
        <f>IF($A254="","",Issues!$G257)</f>
        <v/>
      </c>
      <c r="K254" t="str">
        <f>IF(OR($E254="",$E254="نامعتبر"),"",LEFT($E254,4)&amp;MID($E254,6,2)&amp;RIGHT($E254,2)&amp;"|"&amp;RIGHT("00000"&amp;249,5))</f>
        <v/>
      </c>
      <c r="M254" t="str">
        <f>IF(Sync!$M254&lt;&gt;"پاس چک","",IF(Sync!$P254="","",Sync!$P254))</f>
        <v/>
      </c>
      <c r="N254" t="str">
        <f>IF($M254="","",IF(ISNUMBER(Sync!$L254),IF(AND(Sync!$L254&gt;=10000101,Sync!$L254&lt;=99991231),RIGHT("0000"&amp;INT(Sync!$L254/10000),4)&amp;"/"&amp;RIGHT("00"&amp;INT(MOD(Sync!$L254,10000)/100),2)&amp;"/"&amp;RIGHT("00"&amp;MOD(Sync!$L254,100),2),""),IFERROR(RIGHT("0000"&amp;VALUE(TRIM(LEFT(Sync!$L254,FIND("/",Sync!$L254)-1))),4)&amp;"/"&amp;RIGHT("00"&amp;VALUE(TRIM(LEFT(MID(Sync!$L254,FIND("/",Sync!$L254)+1,20),FIND("/",MID(Sync!$L254,FIND("/",Sync!$L254)+1,20))-1))),2)&amp;"/"&amp;RIGHT("00"&amp;VALUE(TRIM(MID(MID(Sync!$L254,FIND("/",Sync!$L254)+1,20),FIND("/",MID(Sync!$L254,FIND("/",Sync!$L254)+1,20))+1,20))),2),"")))</f>
        <v/>
      </c>
    </row>
    <row r="255" spans="1:14" x14ac:dyDescent="0.2">
      <c r="A255" t="str">
        <f>IF(Issues!$B258="","",Issues!$B258)</f>
        <v/>
      </c>
      <c r="B255" t="str">
        <f>IF($A255="","",IF(ISNUMBER(Issues!$C258),IF(AND(Issues!$C258&gt;=10000101,Issues!$C258&lt;=99991231),INT(Issues!$C258/10000),""),IFERROR(VALUE(TRIM(LEFT(Issues!$C258,FIND("/",Issues!$C258)-1))),"")))</f>
        <v/>
      </c>
      <c r="C255" t="str">
        <f>IF(OR($A255="",$B255=""),"",IF(ISNUMBER(Issues!$C258),INT(MOD(Issues!$C258,10000)/100),IFERROR(VALUE(TRIM(LEFT(MID(Issues!$C258,FIND("/",Issues!$C258)+1,20),FIND("/",MID(Issues!$C258,FIND("/",Issues!$C258)+1,20))-1))),"")))</f>
        <v/>
      </c>
      <c r="D255" t="str">
        <f>IF(OR($A255="",$B255=""),"",IF(ISNUMBER(Issues!$C258),MOD(Issues!$C258,100),IFERROR(VALUE(TRIM(MID(MID(Issues!$C258,FIND("/",Issues!$C258)+1,20),FIND("/",MID(Issues!$C258,FIND("/",Issues!$C258)+1,20))+1,20))),"")))</f>
        <v/>
      </c>
      <c r="E255" t="str">
        <f t="shared" si="9"/>
        <v/>
      </c>
      <c r="F255" t="str">
        <f>IF($A255="","",IF(Issues!$D258="",0,Issues!$D258))</f>
        <v/>
      </c>
      <c r="G255" t="str">
        <f>IF($A255="","",Issues!$E258)</f>
        <v/>
      </c>
      <c r="H255" t="str">
        <f t="shared" si="10"/>
        <v/>
      </c>
      <c r="I255" t="str">
        <f t="shared" si="11"/>
        <v/>
      </c>
      <c r="J255" t="str">
        <f>IF($A255="","",Issues!$G258)</f>
        <v/>
      </c>
      <c r="K255" t="str">
        <f>IF(OR($E255="",$E255="نامعتبر"),"",LEFT($E255,4)&amp;MID($E255,6,2)&amp;RIGHT($E255,2)&amp;"|"&amp;RIGHT("00000"&amp;250,5))</f>
        <v/>
      </c>
      <c r="M255" t="str">
        <f>IF(Sync!$M255&lt;&gt;"پاس چک","",IF(Sync!$P255="","",Sync!$P255))</f>
        <v/>
      </c>
      <c r="N255" t="str">
        <f>IF($M255="","",IF(ISNUMBER(Sync!$L255),IF(AND(Sync!$L255&gt;=10000101,Sync!$L255&lt;=99991231),RIGHT("0000"&amp;INT(Sync!$L255/10000),4)&amp;"/"&amp;RIGHT("00"&amp;INT(MOD(Sync!$L255,10000)/100),2)&amp;"/"&amp;RIGHT("00"&amp;MOD(Sync!$L255,100),2),""),IFERROR(RIGHT("0000"&amp;VALUE(TRIM(LEFT(Sync!$L255,FIND("/",Sync!$L255)-1))),4)&amp;"/"&amp;RIGHT("00"&amp;VALUE(TRIM(LEFT(MID(Sync!$L255,FIND("/",Sync!$L255)+1,20),FIND("/",MID(Sync!$L255,FIND("/",Sync!$L255)+1,20))-1))),2)&amp;"/"&amp;RIGHT("00"&amp;VALUE(TRIM(MID(MID(Sync!$L255,FIND("/",Sync!$L255)+1,20),FIND("/",MID(Sync!$L255,FIND("/",Sync!$L255)+1,20))+1,20))),2),"")))</f>
        <v/>
      </c>
    </row>
    <row r="256" spans="1:14" x14ac:dyDescent="0.2">
      <c r="A256" t="str">
        <f>IF(Issues!$B259="","",Issues!$B259)</f>
        <v/>
      </c>
      <c r="B256" t="str">
        <f>IF($A256="","",IF(ISNUMBER(Issues!$C259),IF(AND(Issues!$C259&gt;=10000101,Issues!$C259&lt;=99991231),INT(Issues!$C259/10000),""),IFERROR(VALUE(TRIM(LEFT(Issues!$C259,FIND("/",Issues!$C259)-1))),"")))</f>
        <v/>
      </c>
      <c r="C256" t="str">
        <f>IF(OR($A256="",$B256=""),"",IF(ISNUMBER(Issues!$C259),INT(MOD(Issues!$C259,10000)/100),IFERROR(VALUE(TRIM(LEFT(MID(Issues!$C259,FIND("/",Issues!$C259)+1,20),FIND("/",MID(Issues!$C259,FIND("/",Issues!$C259)+1,20))-1))),"")))</f>
        <v/>
      </c>
      <c r="D256" t="str">
        <f>IF(OR($A256="",$B256=""),"",IF(ISNUMBER(Issues!$C259),MOD(Issues!$C259,100),IFERROR(VALUE(TRIM(MID(MID(Issues!$C259,FIND("/",Issues!$C259)+1,20),FIND("/",MID(Issues!$C259,FIND("/",Issues!$C259)+1,20))+1,20))),"")))</f>
        <v/>
      </c>
      <c r="E256" t="str">
        <f t="shared" si="9"/>
        <v/>
      </c>
      <c r="F256" t="str">
        <f>IF($A256="","",IF(Issues!$D259="",0,Issues!$D259))</f>
        <v/>
      </c>
      <c r="G256" t="str">
        <f>IF($A256="","",Issues!$E259)</f>
        <v/>
      </c>
      <c r="H256" t="str">
        <f t="shared" si="10"/>
        <v/>
      </c>
      <c r="I256" t="str">
        <f t="shared" si="11"/>
        <v/>
      </c>
      <c r="J256" t="str">
        <f>IF($A256="","",Issues!$G259)</f>
        <v/>
      </c>
      <c r="K256" t="str">
        <f>IF(OR($E256="",$E256="نامعتبر"),"",LEFT($E256,4)&amp;MID($E256,6,2)&amp;RIGHT($E256,2)&amp;"|"&amp;RIGHT("00000"&amp;251,5))</f>
        <v/>
      </c>
      <c r="M256" t="str">
        <f>IF(Sync!$M256&lt;&gt;"پاس چک","",IF(Sync!$P256="","",Sync!$P256))</f>
        <v/>
      </c>
      <c r="N256" t="str">
        <f>IF($M256="","",IF(ISNUMBER(Sync!$L256),IF(AND(Sync!$L256&gt;=10000101,Sync!$L256&lt;=99991231),RIGHT("0000"&amp;INT(Sync!$L256/10000),4)&amp;"/"&amp;RIGHT("00"&amp;INT(MOD(Sync!$L256,10000)/100),2)&amp;"/"&amp;RIGHT("00"&amp;MOD(Sync!$L256,100),2),""),IFERROR(RIGHT("0000"&amp;VALUE(TRIM(LEFT(Sync!$L256,FIND("/",Sync!$L256)-1))),4)&amp;"/"&amp;RIGHT("00"&amp;VALUE(TRIM(LEFT(MID(Sync!$L256,FIND("/",Sync!$L256)+1,20),FIND("/",MID(Sync!$L256,FIND("/",Sync!$L256)+1,20))-1))),2)&amp;"/"&amp;RIGHT("00"&amp;VALUE(TRIM(MID(MID(Sync!$L256,FIND("/",Sync!$L256)+1,20),FIND("/",MID(Sync!$L256,FIND("/",Sync!$L256)+1,20))+1,20))),2),"")))</f>
        <v/>
      </c>
    </row>
    <row r="257" spans="1:14" x14ac:dyDescent="0.2">
      <c r="A257" t="str">
        <f>IF(Issues!$B260="","",Issues!$B260)</f>
        <v/>
      </c>
      <c r="B257" t="str">
        <f>IF($A257="","",IF(ISNUMBER(Issues!$C260),IF(AND(Issues!$C260&gt;=10000101,Issues!$C260&lt;=99991231),INT(Issues!$C260/10000),""),IFERROR(VALUE(TRIM(LEFT(Issues!$C260,FIND("/",Issues!$C260)-1))),"")))</f>
        <v/>
      </c>
      <c r="C257" t="str">
        <f>IF(OR($A257="",$B257=""),"",IF(ISNUMBER(Issues!$C260),INT(MOD(Issues!$C260,10000)/100),IFERROR(VALUE(TRIM(LEFT(MID(Issues!$C260,FIND("/",Issues!$C260)+1,20),FIND("/",MID(Issues!$C260,FIND("/",Issues!$C260)+1,20))-1))),"")))</f>
        <v/>
      </c>
      <c r="D257" t="str">
        <f>IF(OR($A257="",$B257=""),"",IF(ISNUMBER(Issues!$C260),MOD(Issues!$C260,100),IFERROR(VALUE(TRIM(MID(MID(Issues!$C260,FIND("/",Issues!$C260)+1,20),FIND("/",MID(Issues!$C260,FIND("/",Issues!$C260)+1,20))+1,20))),"")))</f>
        <v/>
      </c>
      <c r="E257" t="str">
        <f t="shared" si="9"/>
        <v/>
      </c>
      <c r="F257" t="str">
        <f>IF($A257="","",IF(Issues!$D260="",0,Issues!$D260))</f>
        <v/>
      </c>
      <c r="G257" t="str">
        <f>IF($A257="","",Issues!$E260)</f>
        <v/>
      </c>
      <c r="H257" t="str">
        <f t="shared" si="10"/>
        <v/>
      </c>
      <c r="I257" t="str">
        <f t="shared" si="11"/>
        <v/>
      </c>
      <c r="J257" t="str">
        <f>IF($A257="","",Issues!$G260)</f>
        <v/>
      </c>
      <c r="K257" t="str">
        <f>IF(OR($E257="",$E257="نامعتبر"),"",LEFT($E257,4)&amp;MID($E257,6,2)&amp;RIGHT($E257,2)&amp;"|"&amp;RIGHT("00000"&amp;252,5))</f>
        <v/>
      </c>
      <c r="M257" t="str">
        <f>IF(Sync!$M257&lt;&gt;"پاس چک","",IF(Sync!$P257="","",Sync!$P257))</f>
        <v/>
      </c>
      <c r="N257" t="str">
        <f>IF($M257="","",IF(ISNUMBER(Sync!$L257),IF(AND(Sync!$L257&gt;=10000101,Sync!$L257&lt;=99991231),RIGHT("0000"&amp;INT(Sync!$L257/10000),4)&amp;"/"&amp;RIGHT("00"&amp;INT(MOD(Sync!$L257,10000)/100),2)&amp;"/"&amp;RIGHT("00"&amp;MOD(Sync!$L257,100),2),""),IFERROR(RIGHT("0000"&amp;VALUE(TRIM(LEFT(Sync!$L257,FIND("/",Sync!$L257)-1))),4)&amp;"/"&amp;RIGHT("00"&amp;VALUE(TRIM(LEFT(MID(Sync!$L257,FIND("/",Sync!$L257)+1,20),FIND("/",MID(Sync!$L257,FIND("/",Sync!$L257)+1,20))-1))),2)&amp;"/"&amp;RIGHT("00"&amp;VALUE(TRIM(MID(MID(Sync!$L257,FIND("/",Sync!$L257)+1,20),FIND("/",MID(Sync!$L257,FIND("/",Sync!$L257)+1,20))+1,20))),2),"")))</f>
        <v/>
      </c>
    </row>
    <row r="258" spans="1:14" x14ac:dyDescent="0.2">
      <c r="A258" t="str">
        <f>IF(Issues!$B261="","",Issues!$B261)</f>
        <v/>
      </c>
      <c r="B258" t="str">
        <f>IF($A258="","",IF(ISNUMBER(Issues!$C261),IF(AND(Issues!$C261&gt;=10000101,Issues!$C261&lt;=99991231),INT(Issues!$C261/10000),""),IFERROR(VALUE(TRIM(LEFT(Issues!$C261,FIND("/",Issues!$C261)-1))),"")))</f>
        <v/>
      </c>
      <c r="C258" t="str">
        <f>IF(OR($A258="",$B258=""),"",IF(ISNUMBER(Issues!$C261),INT(MOD(Issues!$C261,10000)/100),IFERROR(VALUE(TRIM(LEFT(MID(Issues!$C261,FIND("/",Issues!$C261)+1,20),FIND("/",MID(Issues!$C261,FIND("/",Issues!$C261)+1,20))-1))),"")))</f>
        <v/>
      </c>
      <c r="D258" t="str">
        <f>IF(OR($A258="",$B258=""),"",IF(ISNUMBER(Issues!$C261),MOD(Issues!$C261,100),IFERROR(VALUE(TRIM(MID(MID(Issues!$C261,FIND("/",Issues!$C261)+1,20),FIND("/",MID(Issues!$C261,FIND("/",Issues!$C261)+1,20))+1,20))),"")))</f>
        <v/>
      </c>
      <c r="E258" t="str">
        <f t="shared" si="9"/>
        <v/>
      </c>
      <c r="F258" t="str">
        <f>IF($A258="","",IF(Issues!$D261="",0,Issues!$D261))</f>
        <v/>
      </c>
      <c r="G258" t="str">
        <f>IF($A258="","",Issues!$E261)</f>
        <v/>
      </c>
      <c r="H258" t="str">
        <f t="shared" si="10"/>
        <v/>
      </c>
      <c r="I258" t="str">
        <f t="shared" si="11"/>
        <v/>
      </c>
      <c r="J258" t="str">
        <f>IF($A258="","",Issues!$G261)</f>
        <v/>
      </c>
      <c r="K258" t="str">
        <f>IF(OR($E258="",$E258="نامعتبر"),"",LEFT($E258,4)&amp;MID($E258,6,2)&amp;RIGHT($E258,2)&amp;"|"&amp;RIGHT("00000"&amp;253,5))</f>
        <v/>
      </c>
      <c r="M258" t="str">
        <f>IF(Sync!$M258&lt;&gt;"پاس چک","",IF(Sync!$P258="","",Sync!$P258))</f>
        <v/>
      </c>
      <c r="N258" t="str">
        <f>IF($M258="","",IF(ISNUMBER(Sync!$L258),IF(AND(Sync!$L258&gt;=10000101,Sync!$L258&lt;=99991231),RIGHT("0000"&amp;INT(Sync!$L258/10000),4)&amp;"/"&amp;RIGHT("00"&amp;INT(MOD(Sync!$L258,10000)/100),2)&amp;"/"&amp;RIGHT("00"&amp;MOD(Sync!$L258,100),2),""),IFERROR(RIGHT("0000"&amp;VALUE(TRIM(LEFT(Sync!$L258,FIND("/",Sync!$L258)-1))),4)&amp;"/"&amp;RIGHT("00"&amp;VALUE(TRIM(LEFT(MID(Sync!$L258,FIND("/",Sync!$L258)+1,20),FIND("/",MID(Sync!$L258,FIND("/",Sync!$L258)+1,20))-1))),2)&amp;"/"&amp;RIGHT("00"&amp;VALUE(TRIM(MID(MID(Sync!$L258,FIND("/",Sync!$L258)+1,20),FIND("/",MID(Sync!$L258,FIND("/",Sync!$L258)+1,20))+1,20))),2),"")))</f>
        <v/>
      </c>
    </row>
    <row r="259" spans="1:14" x14ac:dyDescent="0.2">
      <c r="A259" t="str">
        <f>IF(Issues!$B262="","",Issues!$B262)</f>
        <v/>
      </c>
      <c r="B259" t="str">
        <f>IF($A259="","",IF(ISNUMBER(Issues!$C262),IF(AND(Issues!$C262&gt;=10000101,Issues!$C262&lt;=99991231),INT(Issues!$C262/10000),""),IFERROR(VALUE(TRIM(LEFT(Issues!$C262,FIND("/",Issues!$C262)-1))),"")))</f>
        <v/>
      </c>
      <c r="C259" t="str">
        <f>IF(OR($A259="",$B259=""),"",IF(ISNUMBER(Issues!$C262),INT(MOD(Issues!$C262,10000)/100),IFERROR(VALUE(TRIM(LEFT(MID(Issues!$C262,FIND("/",Issues!$C262)+1,20),FIND("/",MID(Issues!$C262,FIND("/",Issues!$C262)+1,20))-1))),"")))</f>
        <v/>
      </c>
      <c r="D259" t="str">
        <f>IF(OR($A259="",$B259=""),"",IF(ISNUMBER(Issues!$C262),MOD(Issues!$C262,100),IFERROR(VALUE(TRIM(MID(MID(Issues!$C262,FIND("/",Issues!$C262)+1,20),FIND("/",MID(Issues!$C262,FIND("/",Issues!$C262)+1,20))+1,20))),"")))</f>
        <v/>
      </c>
      <c r="E259" t="str">
        <f t="shared" si="9"/>
        <v/>
      </c>
      <c r="F259" t="str">
        <f>IF($A259="","",IF(Issues!$D262="",0,Issues!$D262))</f>
        <v/>
      </c>
      <c r="G259" t="str">
        <f>IF($A259="","",Issues!$E262)</f>
        <v/>
      </c>
      <c r="H259" t="str">
        <f t="shared" si="10"/>
        <v/>
      </c>
      <c r="I259" t="str">
        <f t="shared" si="11"/>
        <v/>
      </c>
      <c r="J259" t="str">
        <f>IF($A259="","",Issues!$G262)</f>
        <v/>
      </c>
      <c r="K259" t="str">
        <f>IF(OR($E259="",$E259="نامعتبر"),"",LEFT($E259,4)&amp;MID($E259,6,2)&amp;RIGHT($E259,2)&amp;"|"&amp;RIGHT("00000"&amp;254,5))</f>
        <v/>
      </c>
      <c r="M259" t="str">
        <f>IF(Sync!$M259&lt;&gt;"پاس چک","",IF(Sync!$P259="","",Sync!$P259))</f>
        <v/>
      </c>
      <c r="N259" t="str">
        <f>IF($M259="","",IF(ISNUMBER(Sync!$L259),IF(AND(Sync!$L259&gt;=10000101,Sync!$L259&lt;=99991231),RIGHT("0000"&amp;INT(Sync!$L259/10000),4)&amp;"/"&amp;RIGHT("00"&amp;INT(MOD(Sync!$L259,10000)/100),2)&amp;"/"&amp;RIGHT("00"&amp;MOD(Sync!$L259,100),2),""),IFERROR(RIGHT("0000"&amp;VALUE(TRIM(LEFT(Sync!$L259,FIND("/",Sync!$L259)-1))),4)&amp;"/"&amp;RIGHT("00"&amp;VALUE(TRIM(LEFT(MID(Sync!$L259,FIND("/",Sync!$L259)+1,20),FIND("/",MID(Sync!$L259,FIND("/",Sync!$L259)+1,20))-1))),2)&amp;"/"&amp;RIGHT("00"&amp;VALUE(TRIM(MID(MID(Sync!$L259,FIND("/",Sync!$L259)+1,20),FIND("/",MID(Sync!$L259,FIND("/",Sync!$L259)+1,20))+1,20))),2),"")))</f>
        <v/>
      </c>
    </row>
    <row r="260" spans="1:14" x14ac:dyDescent="0.2">
      <c r="A260" t="str">
        <f>IF(Issues!$B263="","",Issues!$B263)</f>
        <v/>
      </c>
      <c r="B260" t="str">
        <f>IF($A260="","",IF(ISNUMBER(Issues!$C263),IF(AND(Issues!$C263&gt;=10000101,Issues!$C263&lt;=99991231),INT(Issues!$C263/10000),""),IFERROR(VALUE(TRIM(LEFT(Issues!$C263,FIND("/",Issues!$C263)-1))),"")))</f>
        <v/>
      </c>
      <c r="C260" t="str">
        <f>IF(OR($A260="",$B260=""),"",IF(ISNUMBER(Issues!$C263),INT(MOD(Issues!$C263,10000)/100),IFERROR(VALUE(TRIM(LEFT(MID(Issues!$C263,FIND("/",Issues!$C263)+1,20),FIND("/",MID(Issues!$C263,FIND("/",Issues!$C263)+1,20))-1))),"")))</f>
        <v/>
      </c>
      <c r="D260" t="str">
        <f>IF(OR($A260="",$B260=""),"",IF(ISNUMBER(Issues!$C263),MOD(Issues!$C263,100),IFERROR(VALUE(TRIM(MID(MID(Issues!$C263,FIND("/",Issues!$C263)+1,20),FIND("/",MID(Issues!$C263,FIND("/",Issues!$C263)+1,20))+1,20))),"")))</f>
        <v/>
      </c>
      <c r="E260" t="str">
        <f t="shared" si="9"/>
        <v/>
      </c>
      <c r="F260" t="str">
        <f>IF($A260="","",IF(Issues!$D263="",0,Issues!$D263))</f>
        <v/>
      </c>
      <c r="G260" t="str">
        <f>IF($A260="","",Issues!$E263)</f>
        <v/>
      </c>
      <c r="H260" t="str">
        <f t="shared" si="10"/>
        <v/>
      </c>
      <c r="I260" t="str">
        <f t="shared" si="11"/>
        <v/>
      </c>
      <c r="J260" t="str">
        <f>IF($A260="","",Issues!$G263)</f>
        <v/>
      </c>
      <c r="K260" t="str">
        <f>IF(OR($E260="",$E260="نامعتبر"),"",LEFT($E260,4)&amp;MID($E260,6,2)&amp;RIGHT($E260,2)&amp;"|"&amp;RIGHT("00000"&amp;255,5))</f>
        <v/>
      </c>
      <c r="M260" t="str">
        <f>IF(Sync!$M260&lt;&gt;"پاس چک","",IF(Sync!$P260="","",Sync!$P260))</f>
        <v/>
      </c>
      <c r="N260" t="str">
        <f>IF($M260="","",IF(ISNUMBER(Sync!$L260),IF(AND(Sync!$L260&gt;=10000101,Sync!$L260&lt;=99991231),RIGHT("0000"&amp;INT(Sync!$L260/10000),4)&amp;"/"&amp;RIGHT("00"&amp;INT(MOD(Sync!$L260,10000)/100),2)&amp;"/"&amp;RIGHT("00"&amp;MOD(Sync!$L260,100),2),""),IFERROR(RIGHT("0000"&amp;VALUE(TRIM(LEFT(Sync!$L260,FIND("/",Sync!$L260)-1))),4)&amp;"/"&amp;RIGHT("00"&amp;VALUE(TRIM(LEFT(MID(Sync!$L260,FIND("/",Sync!$L260)+1,20),FIND("/",MID(Sync!$L260,FIND("/",Sync!$L260)+1,20))-1))),2)&amp;"/"&amp;RIGHT("00"&amp;VALUE(TRIM(MID(MID(Sync!$L260,FIND("/",Sync!$L260)+1,20),FIND("/",MID(Sync!$L260,FIND("/",Sync!$L260)+1,20))+1,20))),2),"")))</f>
        <v/>
      </c>
    </row>
    <row r="261" spans="1:14" x14ac:dyDescent="0.2">
      <c r="A261" t="str">
        <f>IF(Issues!$B264="","",Issues!$B264)</f>
        <v/>
      </c>
      <c r="B261" t="str">
        <f>IF($A261="","",IF(ISNUMBER(Issues!$C264),IF(AND(Issues!$C264&gt;=10000101,Issues!$C264&lt;=99991231),INT(Issues!$C264/10000),""),IFERROR(VALUE(TRIM(LEFT(Issues!$C264,FIND("/",Issues!$C264)-1))),"")))</f>
        <v/>
      </c>
      <c r="C261" t="str">
        <f>IF(OR($A261="",$B261=""),"",IF(ISNUMBER(Issues!$C264),INT(MOD(Issues!$C264,10000)/100),IFERROR(VALUE(TRIM(LEFT(MID(Issues!$C264,FIND("/",Issues!$C264)+1,20),FIND("/",MID(Issues!$C264,FIND("/",Issues!$C264)+1,20))-1))),"")))</f>
        <v/>
      </c>
      <c r="D261" t="str">
        <f>IF(OR($A261="",$B261=""),"",IF(ISNUMBER(Issues!$C264),MOD(Issues!$C264,100),IFERROR(VALUE(TRIM(MID(MID(Issues!$C264,FIND("/",Issues!$C264)+1,20),FIND("/",MID(Issues!$C264,FIND("/",Issues!$C264)+1,20))+1,20))),"")))</f>
        <v/>
      </c>
      <c r="E261" t="str">
        <f t="shared" si="9"/>
        <v/>
      </c>
      <c r="F261" t="str">
        <f>IF($A261="","",IF(Issues!$D264="",0,Issues!$D264))</f>
        <v/>
      </c>
      <c r="G261" t="str">
        <f>IF($A261="","",Issues!$E264)</f>
        <v/>
      </c>
      <c r="H261" t="str">
        <f t="shared" si="10"/>
        <v/>
      </c>
      <c r="I261" t="str">
        <f t="shared" si="11"/>
        <v/>
      </c>
      <c r="J261" t="str">
        <f>IF($A261="","",Issues!$G264)</f>
        <v/>
      </c>
      <c r="K261" t="str">
        <f>IF(OR($E261="",$E261="نامعتبر"),"",LEFT($E261,4)&amp;MID($E261,6,2)&amp;RIGHT($E261,2)&amp;"|"&amp;RIGHT("00000"&amp;256,5))</f>
        <v/>
      </c>
      <c r="M261" t="str">
        <f>IF(Sync!$M261&lt;&gt;"پاس چک","",IF(Sync!$P261="","",Sync!$P261))</f>
        <v/>
      </c>
      <c r="N261" t="str">
        <f>IF($M261="","",IF(ISNUMBER(Sync!$L261),IF(AND(Sync!$L261&gt;=10000101,Sync!$L261&lt;=99991231),RIGHT("0000"&amp;INT(Sync!$L261/10000),4)&amp;"/"&amp;RIGHT("00"&amp;INT(MOD(Sync!$L261,10000)/100),2)&amp;"/"&amp;RIGHT("00"&amp;MOD(Sync!$L261,100),2),""),IFERROR(RIGHT("0000"&amp;VALUE(TRIM(LEFT(Sync!$L261,FIND("/",Sync!$L261)-1))),4)&amp;"/"&amp;RIGHT("00"&amp;VALUE(TRIM(LEFT(MID(Sync!$L261,FIND("/",Sync!$L261)+1,20),FIND("/",MID(Sync!$L261,FIND("/",Sync!$L261)+1,20))-1))),2)&amp;"/"&amp;RIGHT("00"&amp;VALUE(TRIM(MID(MID(Sync!$L261,FIND("/",Sync!$L261)+1,20),FIND("/",MID(Sync!$L261,FIND("/",Sync!$L261)+1,20))+1,20))),2),"")))</f>
        <v/>
      </c>
    </row>
    <row r="262" spans="1:14" x14ac:dyDescent="0.2">
      <c r="A262" t="str">
        <f>IF(Issues!$B265="","",Issues!$B265)</f>
        <v/>
      </c>
      <c r="B262" t="str">
        <f>IF($A262="","",IF(ISNUMBER(Issues!$C265),IF(AND(Issues!$C265&gt;=10000101,Issues!$C265&lt;=99991231),INT(Issues!$C265/10000),""),IFERROR(VALUE(TRIM(LEFT(Issues!$C265,FIND("/",Issues!$C265)-1))),"")))</f>
        <v/>
      </c>
      <c r="C262" t="str">
        <f>IF(OR($A262="",$B262=""),"",IF(ISNUMBER(Issues!$C265),INT(MOD(Issues!$C265,10000)/100),IFERROR(VALUE(TRIM(LEFT(MID(Issues!$C265,FIND("/",Issues!$C265)+1,20),FIND("/",MID(Issues!$C265,FIND("/",Issues!$C265)+1,20))-1))),"")))</f>
        <v/>
      </c>
      <c r="D262" t="str">
        <f>IF(OR($A262="",$B262=""),"",IF(ISNUMBER(Issues!$C265),MOD(Issues!$C265,100),IFERROR(VALUE(TRIM(MID(MID(Issues!$C265,FIND("/",Issues!$C265)+1,20),FIND("/",MID(Issues!$C265,FIND("/",Issues!$C265)+1,20))+1,20))),"")))</f>
        <v/>
      </c>
      <c r="E262" t="str">
        <f t="shared" ref="E262:E325" si="12"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 t="str">
        <f>IF($A262="","",IF(Issues!$D265="",0,Issues!$D265))</f>
        <v/>
      </c>
      <c r="G262" t="str">
        <f>IF($A262="","",Issues!$E265)</f>
        <v/>
      </c>
      <c r="H262" t="str">
        <f t="shared" ref="H262:H325" si="13">IF($A262="","",IF(COUNTIFS(ETxnType,"پاس چک",ETxnChk,$A262)&gt;0,"پاس شده","پاس نشده"))</f>
        <v/>
      </c>
      <c r="I262" t="str">
        <f t="shared" ref="I262:I325" si="14">IF($A262="","",IFERROR(INDEX(BClrDate,MATCH($A262,BClrChk,0)),""))</f>
        <v/>
      </c>
      <c r="J262" t="str">
        <f>IF($A262="","",Issues!$G265)</f>
        <v/>
      </c>
      <c r="K262" t="str">
        <f>IF(OR($E262="",$E262="نامعتبر"),"",LEFT($E262,4)&amp;MID($E262,6,2)&amp;RIGHT($E262,2)&amp;"|"&amp;RIGHT("00000"&amp;257,5))</f>
        <v/>
      </c>
      <c r="M262" t="str">
        <f>IF(Sync!$M262&lt;&gt;"پاس چک","",IF(Sync!$P262="","",Sync!$P262))</f>
        <v/>
      </c>
      <c r="N262" t="str">
        <f>IF($M262="","",IF(ISNUMBER(Sync!$L262),IF(AND(Sync!$L262&gt;=10000101,Sync!$L262&lt;=99991231),RIGHT("0000"&amp;INT(Sync!$L262/10000),4)&amp;"/"&amp;RIGHT("00"&amp;INT(MOD(Sync!$L262,10000)/100),2)&amp;"/"&amp;RIGHT("00"&amp;MOD(Sync!$L262,100),2),""),IFERROR(RIGHT("0000"&amp;VALUE(TRIM(LEFT(Sync!$L262,FIND("/",Sync!$L262)-1))),4)&amp;"/"&amp;RIGHT("00"&amp;VALUE(TRIM(LEFT(MID(Sync!$L262,FIND("/",Sync!$L262)+1,20),FIND("/",MID(Sync!$L262,FIND("/",Sync!$L262)+1,20))-1))),2)&amp;"/"&amp;RIGHT("00"&amp;VALUE(TRIM(MID(MID(Sync!$L262,FIND("/",Sync!$L262)+1,20),FIND("/",MID(Sync!$L262,FIND("/",Sync!$L262)+1,20))+1,20))),2),"")))</f>
        <v/>
      </c>
    </row>
    <row r="263" spans="1:14" x14ac:dyDescent="0.2">
      <c r="A263" t="str">
        <f>IF(Issues!$B266="","",Issues!$B266)</f>
        <v/>
      </c>
      <c r="B263" t="str">
        <f>IF($A263="","",IF(ISNUMBER(Issues!$C266),IF(AND(Issues!$C266&gt;=10000101,Issues!$C266&lt;=99991231),INT(Issues!$C266/10000),""),IFERROR(VALUE(TRIM(LEFT(Issues!$C266,FIND("/",Issues!$C266)-1))),"")))</f>
        <v/>
      </c>
      <c r="C263" t="str">
        <f>IF(OR($A263="",$B263=""),"",IF(ISNUMBER(Issues!$C266),INT(MOD(Issues!$C266,10000)/100),IFERROR(VALUE(TRIM(LEFT(MID(Issues!$C266,FIND("/",Issues!$C266)+1,20),FIND("/",MID(Issues!$C266,FIND("/",Issues!$C266)+1,20))-1))),"")))</f>
        <v/>
      </c>
      <c r="D263" t="str">
        <f>IF(OR($A263="",$B263=""),"",IF(ISNUMBER(Issues!$C266),MOD(Issues!$C266,100),IFERROR(VALUE(TRIM(MID(MID(Issues!$C266,FIND("/",Issues!$C266)+1,20),FIND("/",MID(Issues!$C266,FIND("/",Issues!$C266)+1,20))+1,20))),"")))</f>
        <v/>
      </c>
      <c r="E263" t="str">
        <f t="shared" si="12"/>
        <v/>
      </c>
      <c r="F263" t="str">
        <f>IF($A263="","",IF(Issues!$D266="",0,Issues!$D266))</f>
        <v/>
      </c>
      <c r="G263" t="str">
        <f>IF($A263="","",Issues!$E266)</f>
        <v/>
      </c>
      <c r="H263" t="str">
        <f t="shared" si="13"/>
        <v/>
      </c>
      <c r="I263" t="str">
        <f t="shared" si="14"/>
        <v/>
      </c>
      <c r="J263" t="str">
        <f>IF($A263="","",Issues!$G266)</f>
        <v/>
      </c>
      <c r="K263" t="str">
        <f>IF(OR($E263="",$E263="نامعتبر"),"",LEFT($E263,4)&amp;MID($E263,6,2)&amp;RIGHT($E263,2)&amp;"|"&amp;RIGHT("00000"&amp;258,5))</f>
        <v/>
      </c>
      <c r="M263" t="str">
        <f>IF(Sync!$M263&lt;&gt;"پاس چک","",IF(Sync!$P263="","",Sync!$P263))</f>
        <v/>
      </c>
      <c r="N263" t="str">
        <f>IF($M263="","",IF(ISNUMBER(Sync!$L263),IF(AND(Sync!$L263&gt;=10000101,Sync!$L263&lt;=99991231),RIGHT("0000"&amp;INT(Sync!$L263/10000),4)&amp;"/"&amp;RIGHT("00"&amp;INT(MOD(Sync!$L263,10000)/100),2)&amp;"/"&amp;RIGHT("00"&amp;MOD(Sync!$L263,100),2),""),IFERROR(RIGHT("0000"&amp;VALUE(TRIM(LEFT(Sync!$L263,FIND("/",Sync!$L263)-1))),4)&amp;"/"&amp;RIGHT("00"&amp;VALUE(TRIM(LEFT(MID(Sync!$L263,FIND("/",Sync!$L263)+1,20),FIND("/",MID(Sync!$L263,FIND("/",Sync!$L263)+1,20))-1))),2)&amp;"/"&amp;RIGHT("00"&amp;VALUE(TRIM(MID(MID(Sync!$L263,FIND("/",Sync!$L263)+1,20),FIND("/",MID(Sync!$L263,FIND("/",Sync!$L263)+1,20))+1,20))),2),"")))</f>
        <v/>
      </c>
    </row>
    <row r="264" spans="1:14" x14ac:dyDescent="0.2">
      <c r="A264" t="str">
        <f>IF(Issues!$B267="","",Issues!$B267)</f>
        <v/>
      </c>
      <c r="B264" t="str">
        <f>IF($A264="","",IF(ISNUMBER(Issues!$C267),IF(AND(Issues!$C267&gt;=10000101,Issues!$C267&lt;=99991231),INT(Issues!$C267/10000),""),IFERROR(VALUE(TRIM(LEFT(Issues!$C267,FIND("/",Issues!$C267)-1))),"")))</f>
        <v/>
      </c>
      <c r="C264" t="str">
        <f>IF(OR($A264="",$B264=""),"",IF(ISNUMBER(Issues!$C267),INT(MOD(Issues!$C267,10000)/100),IFERROR(VALUE(TRIM(LEFT(MID(Issues!$C267,FIND("/",Issues!$C267)+1,20),FIND("/",MID(Issues!$C267,FIND("/",Issues!$C267)+1,20))-1))),"")))</f>
        <v/>
      </c>
      <c r="D264" t="str">
        <f>IF(OR($A264="",$B264=""),"",IF(ISNUMBER(Issues!$C267),MOD(Issues!$C267,100),IFERROR(VALUE(TRIM(MID(MID(Issues!$C267,FIND("/",Issues!$C267)+1,20),FIND("/",MID(Issues!$C267,FIND("/",Issues!$C267)+1,20))+1,20))),"")))</f>
        <v/>
      </c>
      <c r="E264" t="str">
        <f t="shared" si="12"/>
        <v/>
      </c>
      <c r="F264" t="str">
        <f>IF($A264="","",IF(Issues!$D267="",0,Issues!$D267))</f>
        <v/>
      </c>
      <c r="G264" t="str">
        <f>IF($A264="","",Issues!$E267)</f>
        <v/>
      </c>
      <c r="H264" t="str">
        <f t="shared" si="13"/>
        <v/>
      </c>
      <c r="I264" t="str">
        <f t="shared" si="14"/>
        <v/>
      </c>
      <c r="J264" t="str">
        <f>IF($A264="","",Issues!$G267)</f>
        <v/>
      </c>
      <c r="K264" t="str">
        <f>IF(OR($E264="",$E264="نامعتبر"),"",LEFT($E264,4)&amp;MID($E264,6,2)&amp;RIGHT($E264,2)&amp;"|"&amp;RIGHT("00000"&amp;259,5))</f>
        <v/>
      </c>
      <c r="M264" t="str">
        <f>IF(Sync!$M264&lt;&gt;"پاس چک","",IF(Sync!$P264="","",Sync!$P264))</f>
        <v/>
      </c>
      <c r="N264" t="str">
        <f>IF($M264="","",IF(ISNUMBER(Sync!$L264),IF(AND(Sync!$L264&gt;=10000101,Sync!$L264&lt;=99991231),RIGHT("0000"&amp;INT(Sync!$L264/10000),4)&amp;"/"&amp;RIGHT("00"&amp;INT(MOD(Sync!$L264,10000)/100),2)&amp;"/"&amp;RIGHT("00"&amp;MOD(Sync!$L264,100),2),""),IFERROR(RIGHT("0000"&amp;VALUE(TRIM(LEFT(Sync!$L264,FIND("/",Sync!$L264)-1))),4)&amp;"/"&amp;RIGHT("00"&amp;VALUE(TRIM(LEFT(MID(Sync!$L264,FIND("/",Sync!$L264)+1,20),FIND("/",MID(Sync!$L264,FIND("/",Sync!$L264)+1,20))-1))),2)&amp;"/"&amp;RIGHT("00"&amp;VALUE(TRIM(MID(MID(Sync!$L264,FIND("/",Sync!$L264)+1,20),FIND("/",MID(Sync!$L264,FIND("/",Sync!$L264)+1,20))+1,20))),2),"")))</f>
        <v/>
      </c>
    </row>
    <row r="265" spans="1:14" x14ac:dyDescent="0.2">
      <c r="A265" t="str">
        <f>IF(Issues!$B268="","",Issues!$B268)</f>
        <v/>
      </c>
      <c r="B265" t="str">
        <f>IF($A265="","",IF(ISNUMBER(Issues!$C268),IF(AND(Issues!$C268&gt;=10000101,Issues!$C268&lt;=99991231),INT(Issues!$C268/10000),""),IFERROR(VALUE(TRIM(LEFT(Issues!$C268,FIND("/",Issues!$C268)-1))),"")))</f>
        <v/>
      </c>
      <c r="C265" t="str">
        <f>IF(OR($A265="",$B265=""),"",IF(ISNUMBER(Issues!$C268),INT(MOD(Issues!$C268,10000)/100),IFERROR(VALUE(TRIM(LEFT(MID(Issues!$C268,FIND("/",Issues!$C268)+1,20),FIND("/",MID(Issues!$C268,FIND("/",Issues!$C268)+1,20))-1))),"")))</f>
        <v/>
      </c>
      <c r="D265" t="str">
        <f>IF(OR($A265="",$B265=""),"",IF(ISNUMBER(Issues!$C268),MOD(Issues!$C268,100),IFERROR(VALUE(TRIM(MID(MID(Issues!$C268,FIND("/",Issues!$C268)+1,20),FIND("/",MID(Issues!$C268,FIND("/",Issues!$C268)+1,20))+1,20))),"")))</f>
        <v/>
      </c>
      <c r="E265" t="str">
        <f t="shared" si="12"/>
        <v/>
      </c>
      <c r="F265" t="str">
        <f>IF($A265="","",IF(Issues!$D268="",0,Issues!$D268))</f>
        <v/>
      </c>
      <c r="G265" t="str">
        <f>IF($A265="","",Issues!$E268)</f>
        <v/>
      </c>
      <c r="H265" t="str">
        <f t="shared" si="13"/>
        <v/>
      </c>
      <c r="I265" t="str">
        <f t="shared" si="14"/>
        <v/>
      </c>
      <c r="J265" t="str">
        <f>IF($A265="","",Issues!$G268)</f>
        <v/>
      </c>
      <c r="K265" t="str">
        <f>IF(OR($E265="",$E265="نامعتبر"),"",LEFT($E265,4)&amp;MID($E265,6,2)&amp;RIGHT($E265,2)&amp;"|"&amp;RIGHT("00000"&amp;260,5))</f>
        <v/>
      </c>
      <c r="M265" t="str">
        <f>IF(Sync!$M265&lt;&gt;"پاس چک","",IF(Sync!$P265="","",Sync!$P265))</f>
        <v/>
      </c>
      <c r="N265" t="str">
        <f>IF($M265="","",IF(ISNUMBER(Sync!$L265),IF(AND(Sync!$L265&gt;=10000101,Sync!$L265&lt;=99991231),RIGHT("0000"&amp;INT(Sync!$L265/10000),4)&amp;"/"&amp;RIGHT("00"&amp;INT(MOD(Sync!$L265,10000)/100),2)&amp;"/"&amp;RIGHT("00"&amp;MOD(Sync!$L265,100),2),""),IFERROR(RIGHT("0000"&amp;VALUE(TRIM(LEFT(Sync!$L265,FIND("/",Sync!$L265)-1))),4)&amp;"/"&amp;RIGHT("00"&amp;VALUE(TRIM(LEFT(MID(Sync!$L265,FIND("/",Sync!$L265)+1,20),FIND("/",MID(Sync!$L265,FIND("/",Sync!$L265)+1,20))-1))),2)&amp;"/"&amp;RIGHT("00"&amp;VALUE(TRIM(MID(MID(Sync!$L265,FIND("/",Sync!$L265)+1,20),FIND("/",MID(Sync!$L265,FIND("/",Sync!$L265)+1,20))+1,20))),2),"")))</f>
        <v/>
      </c>
    </row>
    <row r="266" spans="1:14" x14ac:dyDescent="0.2">
      <c r="A266" t="str">
        <f>IF(Issues!$B269="","",Issues!$B269)</f>
        <v/>
      </c>
      <c r="B266" t="str">
        <f>IF($A266="","",IF(ISNUMBER(Issues!$C269),IF(AND(Issues!$C269&gt;=10000101,Issues!$C269&lt;=99991231),INT(Issues!$C269/10000),""),IFERROR(VALUE(TRIM(LEFT(Issues!$C269,FIND("/",Issues!$C269)-1))),"")))</f>
        <v/>
      </c>
      <c r="C266" t="str">
        <f>IF(OR($A266="",$B266=""),"",IF(ISNUMBER(Issues!$C269),INT(MOD(Issues!$C269,10000)/100),IFERROR(VALUE(TRIM(LEFT(MID(Issues!$C269,FIND("/",Issues!$C269)+1,20),FIND("/",MID(Issues!$C269,FIND("/",Issues!$C269)+1,20))-1))),"")))</f>
        <v/>
      </c>
      <c r="D266" t="str">
        <f>IF(OR($A266="",$B266=""),"",IF(ISNUMBER(Issues!$C269),MOD(Issues!$C269,100),IFERROR(VALUE(TRIM(MID(MID(Issues!$C269,FIND("/",Issues!$C269)+1,20),FIND("/",MID(Issues!$C269,FIND("/",Issues!$C269)+1,20))+1,20))),"")))</f>
        <v/>
      </c>
      <c r="E266" t="str">
        <f t="shared" si="12"/>
        <v/>
      </c>
      <c r="F266" t="str">
        <f>IF($A266="","",IF(Issues!$D269="",0,Issues!$D269))</f>
        <v/>
      </c>
      <c r="G266" t="str">
        <f>IF($A266="","",Issues!$E269)</f>
        <v/>
      </c>
      <c r="H266" t="str">
        <f t="shared" si="13"/>
        <v/>
      </c>
      <c r="I266" t="str">
        <f t="shared" si="14"/>
        <v/>
      </c>
      <c r="J266" t="str">
        <f>IF($A266="","",Issues!$G269)</f>
        <v/>
      </c>
      <c r="K266" t="str">
        <f>IF(OR($E266="",$E266="نامعتبر"),"",LEFT($E266,4)&amp;MID($E266,6,2)&amp;RIGHT($E266,2)&amp;"|"&amp;RIGHT("00000"&amp;261,5))</f>
        <v/>
      </c>
      <c r="M266" t="str">
        <f>IF(Sync!$M266&lt;&gt;"پاس چک","",IF(Sync!$P266="","",Sync!$P266))</f>
        <v/>
      </c>
      <c r="N266" t="str">
        <f>IF($M266="","",IF(ISNUMBER(Sync!$L266),IF(AND(Sync!$L266&gt;=10000101,Sync!$L266&lt;=99991231),RIGHT("0000"&amp;INT(Sync!$L266/10000),4)&amp;"/"&amp;RIGHT("00"&amp;INT(MOD(Sync!$L266,10000)/100),2)&amp;"/"&amp;RIGHT("00"&amp;MOD(Sync!$L266,100),2),""),IFERROR(RIGHT("0000"&amp;VALUE(TRIM(LEFT(Sync!$L266,FIND("/",Sync!$L266)-1))),4)&amp;"/"&amp;RIGHT("00"&amp;VALUE(TRIM(LEFT(MID(Sync!$L266,FIND("/",Sync!$L266)+1,20),FIND("/",MID(Sync!$L266,FIND("/",Sync!$L266)+1,20))-1))),2)&amp;"/"&amp;RIGHT("00"&amp;VALUE(TRIM(MID(MID(Sync!$L266,FIND("/",Sync!$L266)+1,20),FIND("/",MID(Sync!$L266,FIND("/",Sync!$L266)+1,20))+1,20))),2),"")))</f>
        <v/>
      </c>
    </row>
    <row r="267" spans="1:14" x14ac:dyDescent="0.2">
      <c r="A267" t="str">
        <f>IF(Issues!$B270="","",Issues!$B270)</f>
        <v/>
      </c>
      <c r="B267" t="str">
        <f>IF($A267="","",IF(ISNUMBER(Issues!$C270),IF(AND(Issues!$C270&gt;=10000101,Issues!$C270&lt;=99991231),INT(Issues!$C270/10000),""),IFERROR(VALUE(TRIM(LEFT(Issues!$C270,FIND("/",Issues!$C270)-1))),"")))</f>
        <v/>
      </c>
      <c r="C267" t="str">
        <f>IF(OR($A267="",$B267=""),"",IF(ISNUMBER(Issues!$C270),INT(MOD(Issues!$C270,10000)/100),IFERROR(VALUE(TRIM(LEFT(MID(Issues!$C270,FIND("/",Issues!$C270)+1,20),FIND("/",MID(Issues!$C270,FIND("/",Issues!$C270)+1,20))-1))),"")))</f>
        <v/>
      </c>
      <c r="D267" t="str">
        <f>IF(OR($A267="",$B267=""),"",IF(ISNUMBER(Issues!$C270),MOD(Issues!$C270,100),IFERROR(VALUE(TRIM(MID(MID(Issues!$C270,FIND("/",Issues!$C270)+1,20),FIND("/",MID(Issues!$C270,FIND("/",Issues!$C270)+1,20))+1,20))),"")))</f>
        <v/>
      </c>
      <c r="E267" t="str">
        <f t="shared" si="12"/>
        <v/>
      </c>
      <c r="F267" t="str">
        <f>IF($A267="","",IF(Issues!$D270="",0,Issues!$D270))</f>
        <v/>
      </c>
      <c r="G267" t="str">
        <f>IF($A267="","",Issues!$E270)</f>
        <v/>
      </c>
      <c r="H267" t="str">
        <f t="shared" si="13"/>
        <v/>
      </c>
      <c r="I267" t="str">
        <f t="shared" si="14"/>
        <v/>
      </c>
      <c r="J267" t="str">
        <f>IF($A267="","",Issues!$G270)</f>
        <v/>
      </c>
      <c r="K267" t="str">
        <f>IF(OR($E267="",$E267="نامعتبر"),"",LEFT($E267,4)&amp;MID($E267,6,2)&amp;RIGHT($E267,2)&amp;"|"&amp;RIGHT("00000"&amp;262,5))</f>
        <v/>
      </c>
      <c r="M267" t="str">
        <f>IF(Sync!$M267&lt;&gt;"پاس چک","",IF(Sync!$P267="","",Sync!$P267))</f>
        <v/>
      </c>
      <c r="N267" t="str">
        <f>IF($M267="","",IF(ISNUMBER(Sync!$L267),IF(AND(Sync!$L267&gt;=10000101,Sync!$L267&lt;=99991231),RIGHT("0000"&amp;INT(Sync!$L267/10000),4)&amp;"/"&amp;RIGHT("00"&amp;INT(MOD(Sync!$L267,10000)/100),2)&amp;"/"&amp;RIGHT("00"&amp;MOD(Sync!$L267,100),2),""),IFERROR(RIGHT("0000"&amp;VALUE(TRIM(LEFT(Sync!$L267,FIND("/",Sync!$L267)-1))),4)&amp;"/"&amp;RIGHT("00"&amp;VALUE(TRIM(LEFT(MID(Sync!$L267,FIND("/",Sync!$L267)+1,20),FIND("/",MID(Sync!$L267,FIND("/",Sync!$L267)+1,20))-1))),2)&amp;"/"&amp;RIGHT("00"&amp;VALUE(TRIM(MID(MID(Sync!$L267,FIND("/",Sync!$L267)+1,20),FIND("/",MID(Sync!$L267,FIND("/",Sync!$L267)+1,20))+1,20))),2),"")))</f>
        <v/>
      </c>
    </row>
    <row r="268" spans="1:14" x14ac:dyDescent="0.2">
      <c r="A268" t="str">
        <f>IF(Issues!$B271="","",Issues!$B271)</f>
        <v/>
      </c>
      <c r="B268" t="str">
        <f>IF($A268="","",IF(ISNUMBER(Issues!$C271),IF(AND(Issues!$C271&gt;=10000101,Issues!$C271&lt;=99991231),INT(Issues!$C271/10000),""),IFERROR(VALUE(TRIM(LEFT(Issues!$C271,FIND("/",Issues!$C271)-1))),"")))</f>
        <v/>
      </c>
      <c r="C268" t="str">
        <f>IF(OR($A268="",$B268=""),"",IF(ISNUMBER(Issues!$C271),INT(MOD(Issues!$C271,10000)/100),IFERROR(VALUE(TRIM(LEFT(MID(Issues!$C271,FIND("/",Issues!$C271)+1,20),FIND("/",MID(Issues!$C271,FIND("/",Issues!$C271)+1,20))-1))),"")))</f>
        <v/>
      </c>
      <c r="D268" t="str">
        <f>IF(OR($A268="",$B268=""),"",IF(ISNUMBER(Issues!$C271),MOD(Issues!$C271,100),IFERROR(VALUE(TRIM(MID(MID(Issues!$C271,FIND("/",Issues!$C271)+1,20),FIND("/",MID(Issues!$C271,FIND("/",Issues!$C271)+1,20))+1,20))),"")))</f>
        <v/>
      </c>
      <c r="E268" t="str">
        <f t="shared" si="12"/>
        <v/>
      </c>
      <c r="F268" t="str">
        <f>IF($A268="","",IF(Issues!$D271="",0,Issues!$D271))</f>
        <v/>
      </c>
      <c r="G268" t="str">
        <f>IF($A268="","",Issues!$E271)</f>
        <v/>
      </c>
      <c r="H268" t="str">
        <f t="shared" si="13"/>
        <v/>
      </c>
      <c r="I268" t="str">
        <f t="shared" si="14"/>
        <v/>
      </c>
      <c r="J268" t="str">
        <f>IF($A268="","",Issues!$G271)</f>
        <v/>
      </c>
      <c r="K268" t="str">
        <f>IF(OR($E268="",$E268="نامعتبر"),"",LEFT($E268,4)&amp;MID($E268,6,2)&amp;RIGHT($E268,2)&amp;"|"&amp;RIGHT("00000"&amp;263,5))</f>
        <v/>
      </c>
      <c r="M268" t="str">
        <f>IF(Sync!$M268&lt;&gt;"پاس چک","",IF(Sync!$P268="","",Sync!$P268))</f>
        <v/>
      </c>
      <c r="N268" t="str">
        <f>IF($M268="","",IF(ISNUMBER(Sync!$L268),IF(AND(Sync!$L268&gt;=10000101,Sync!$L268&lt;=99991231),RIGHT("0000"&amp;INT(Sync!$L268/10000),4)&amp;"/"&amp;RIGHT("00"&amp;INT(MOD(Sync!$L268,10000)/100),2)&amp;"/"&amp;RIGHT("00"&amp;MOD(Sync!$L268,100),2),""),IFERROR(RIGHT("0000"&amp;VALUE(TRIM(LEFT(Sync!$L268,FIND("/",Sync!$L268)-1))),4)&amp;"/"&amp;RIGHT("00"&amp;VALUE(TRIM(LEFT(MID(Sync!$L268,FIND("/",Sync!$L268)+1,20),FIND("/",MID(Sync!$L268,FIND("/",Sync!$L268)+1,20))-1))),2)&amp;"/"&amp;RIGHT("00"&amp;VALUE(TRIM(MID(MID(Sync!$L268,FIND("/",Sync!$L268)+1,20),FIND("/",MID(Sync!$L268,FIND("/",Sync!$L268)+1,20))+1,20))),2),"")))</f>
        <v/>
      </c>
    </row>
    <row r="269" spans="1:14" x14ac:dyDescent="0.2">
      <c r="A269" t="str">
        <f>IF(Issues!$B272="","",Issues!$B272)</f>
        <v/>
      </c>
      <c r="B269" t="str">
        <f>IF($A269="","",IF(ISNUMBER(Issues!$C272),IF(AND(Issues!$C272&gt;=10000101,Issues!$C272&lt;=99991231),INT(Issues!$C272/10000),""),IFERROR(VALUE(TRIM(LEFT(Issues!$C272,FIND("/",Issues!$C272)-1))),"")))</f>
        <v/>
      </c>
      <c r="C269" t="str">
        <f>IF(OR($A269="",$B269=""),"",IF(ISNUMBER(Issues!$C272),INT(MOD(Issues!$C272,10000)/100),IFERROR(VALUE(TRIM(LEFT(MID(Issues!$C272,FIND("/",Issues!$C272)+1,20),FIND("/",MID(Issues!$C272,FIND("/",Issues!$C272)+1,20))-1))),"")))</f>
        <v/>
      </c>
      <c r="D269" t="str">
        <f>IF(OR($A269="",$B269=""),"",IF(ISNUMBER(Issues!$C272),MOD(Issues!$C272,100),IFERROR(VALUE(TRIM(MID(MID(Issues!$C272,FIND("/",Issues!$C272)+1,20),FIND("/",MID(Issues!$C272,FIND("/",Issues!$C272)+1,20))+1,20))),"")))</f>
        <v/>
      </c>
      <c r="E269" t="str">
        <f t="shared" si="12"/>
        <v/>
      </c>
      <c r="F269" t="str">
        <f>IF($A269="","",IF(Issues!$D272="",0,Issues!$D272))</f>
        <v/>
      </c>
      <c r="G269" t="str">
        <f>IF($A269="","",Issues!$E272)</f>
        <v/>
      </c>
      <c r="H269" t="str">
        <f t="shared" si="13"/>
        <v/>
      </c>
      <c r="I269" t="str">
        <f t="shared" si="14"/>
        <v/>
      </c>
      <c r="J269" t="str">
        <f>IF($A269="","",Issues!$G272)</f>
        <v/>
      </c>
      <c r="K269" t="str">
        <f>IF(OR($E269="",$E269="نامعتبر"),"",LEFT($E269,4)&amp;MID($E269,6,2)&amp;RIGHT($E269,2)&amp;"|"&amp;RIGHT("00000"&amp;264,5))</f>
        <v/>
      </c>
      <c r="M269" t="str">
        <f>IF(Sync!$M269&lt;&gt;"پاس چک","",IF(Sync!$P269="","",Sync!$P269))</f>
        <v/>
      </c>
      <c r="N269" t="str">
        <f>IF($M269="","",IF(ISNUMBER(Sync!$L269),IF(AND(Sync!$L269&gt;=10000101,Sync!$L269&lt;=99991231),RIGHT("0000"&amp;INT(Sync!$L269/10000),4)&amp;"/"&amp;RIGHT("00"&amp;INT(MOD(Sync!$L269,10000)/100),2)&amp;"/"&amp;RIGHT("00"&amp;MOD(Sync!$L269,100),2),""),IFERROR(RIGHT("0000"&amp;VALUE(TRIM(LEFT(Sync!$L269,FIND("/",Sync!$L269)-1))),4)&amp;"/"&amp;RIGHT("00"&amp;VALUE(TRIM(LEFT(MID(Sync!$L269,FIND("/",Sync!$L269)+1,20),FIND("/",MID(Sync!$L269,FIND("/",Sync!$L269)+1,20))-1))),2)&amp;"/"&amp;RIGHT("00"&amp;VALUE(TRIM(MID(MID(Sync!$L269,FIND("/",Sync!$L269)+1,20),FIND("/",MID(Sync!$L269,FIND("/",Sync!$L269)+1,20))+1,20))),2),"")))</f>
        <v/>
      </c>
    </row>
    <row r="270" spans="1:14" x14ac:dyDescent="0.2">
      <c r="A270" t="str">
        <f>IF(Issues!$B273="","",Issues!$B273)</f>
        <v/>
      </c>
      <c r="B270" t="str">
        <f>IF($A270="","",IF(ISNUMBER(Issues!$C273),IF(AND(Issues!$C273&gt;=10000101,Issues!$C273&lt;=99991231),INT(Issues!$C273/10000),""),IFERROR(VALUE(TRIM(LEFT(Issues!$C273,FIND("/",Issues!$C273)-1))),"")))</f>
        <v/>
      </c>
      <c r="C270" t="str">
        <f>IF(OR($A270="",$B270=""),"",IF(ISNUMBER(Issues!$C273),INT(MOD(Issues!$C273,10000)/100),IFERROR(VALUE(TRIM(LEFT(MID(Issues!$C273,FIND("/",Issues!$C273)+1,20),FIND("/",MID(Issues!$C273,FIND("/",Issues!$C273)+1,20))-1))),"")))</f>
        <v/>
      </c>
      <c r="D270" t="str">
        <f>IF(OR($A270="",$B270=""),"",IF(ISNUMBER(Issues!$C273),MOD(Issues!$C273,100),IFERROR(VALUE(TRIM(MID(MID(Issues!$C273,FIND("/",Issues!$C273)+1,20),FIND("/",MID(Issues!$C273,FIND("/",Issues!$C273)+1,20))+1,20))),"")))</f>
        <v/>
      </c>
      <c r="E270" t="str">
        <f t="shared" si="12"/>
        <v/>
      </c>
      <c r="F270" t="str">
        <f>IF($A270="","",IF(Issues!$D273="",0,Issues!$D273))</f>
        <v/>
      </c>
      <c r="G270" t="str">
        <f>IF($A270="","",Issues!$E273)</f>
        <v/>
      </c>
      <c r="H270" t="str">
        <f t="shared" si="13"/>
        <v/>
      </c>
      <c r="I270" t="str">
        <f t="shared" si="14"/>
        <v/>
      </c>
      <c r="J270" t="str">
        <f>IF($A270="","",Issues!$G273)</f>
        <v/>
      </c>
      <c r="K270" t="str">
        <f>IF(OR($E270="",$E270="نامعتبر"),"",LEFT($E270,4)&amp;MID($E270,6,2)&amp;RIGHT($E270,2)&amp;"|"&amp;RIGHT("00000"&amp;265,5))</f>
        <v/>
      </c>
      <c r="M270" t="str">
        <f>IF(Sync!$M270&lt;&gt;"پاس چک","",IF(Sync!$P270="","",Sync!$P270))</f>
        <v/>
      </c>
      <c r="N270" t="str">
        <f>IF($M270="","",IF(ISNUMBER(Sync!$L270),IF(AND(Sync!$L270&gt;=10000101,Sync!$L270&lt;=99991231),RIGHT("0000"&amp;INT(Sync!$L270/10000),4)&amp;"/"&amp;RIGHT("00"&amp;INT(MOD(Sync!$L270,10000)/100),2)&amp;"/"&amp;RIGHT("00"&amp;MOD(Sync!$L270,100),2),""),IFERROR(RIGHT("0000"&amp;VALUE(TRIM(LEFT(Sync!$L270,FIND("/",Sync!$L270)-1))),4)&amp;"/"&amp;RIGHT("00"&amp;VALUE(TRIM(LEFT(MID(Sync!$L270,FIND("/",Sync!$L270)+1,20),FIND("/",MID(Sync!$L270,FIND("/",Sync!$L270)+1,20))-1))),2)&amp;"/"&amp;RIGHT("00"&amp;VALUE(TRIM(MID(MID(Sync!$L270,FIND("/",Sync!$L270)+1,20),FIND("/",MID(Sync!$L270,FIND("/",Sync!$L270)+1,20))+1,20))),2),"")))</f>
        <v/>
      </c>
    </row>
    <row r="271" spans="1:14" x14ac:dyDescent="0.2">
      <c r="A271" t="str">
        <f>IF(Issues!$B274="","",Issues!$B274)</f>
        <v/>
      </c>
      <c r="B271" t="str">
        <f>IF($A271="","",IF(ISNUMBER(Issues!$C274),IF(AND(Issues!$C274&gt;=10000101,Issues!$C274&lt;=99991231),INT(Issues!$C274/10000),""),IFERROR(VALUE(TRIM(LEFT(Issues!$C274,FIND("/",Issues!$C274)-1))),"")))</f>
        <v/>
      </c>
      <c r="C271" t="str">
        <f>IF(OR($A271="",$B271=""),"",IF(ISNUMBER(Issues!$C274),INT(MOD(Issues!$C274,10000)/100),IFERROR(VALUE(TRIM(LEFT(MID(Issues!$C274,FIND("/",Issues!$C274)+1,20),FIND("/",MID(Issues!$C274,FIND("/",Issues!$C274)+1,20))-1))),"")))</f>
        <v/>
      </c>
      <c r="D271" t="str">
        <f>IF(OR($A271="",$B271=""),"",IF(ISNUMBER(Issues!$C274),MOD(Issues!$C274,100),IFERROR(VALUE(TRIM(MID(MID(Issues!$C274,FIND("/",Issues!$C274)+1,20),FIND("/",MID(Issues!$C274,FIND("/",Issues!$C274)+1,20))+1,20))),"")))</f>
        <v/>
      </c>
      <c r="E271" t="str">
        <f t="shared" si="12"/>
        <v/>
      </c>
      <c r="F271" t="str">
        <f>IF($A271="","",IF(Issues!$D274="",0,Issues!$D274))</f>
        <v/>
      </c>
      <c r="G271" t="str">
        <f>IF($A271="","",Issues!$E274)</f>
        <v/>
      </c>
      <c r="H271" t="str">
        <f t="shared" si="13"/>
        <v/>
      </c>
      <c r="I271" t="str">
        <f t="shared" si="14"/>
        <v/>
      </c>
      <c r="J271" t="str">
        <f>IF($A271="","",Issues!$G274)</f>
        <v/>
      </c>
      <c r="K271" t="str">
        <f>IF(OR($E271="",$E271="نامعتبر"),"",LEFT($E271,4)&amp;MID($E271,6,2)&amp;RIGHT($E271,2)&amp;"|"&amp;RIGHT("00000"&amp;266,5))</f>
        <v/>
      </c>
      <c r="M271" t="str">
        <f>IF(Sync!$M271&lt;&gt;"پاس چک","",IF(Sync!$P271="","",Sync!$P271))</f>
        <v/>
      </c>
      <c r="N271" t="str">
        <f>IF($M271="","",IF(ISNUMBER(Sync!$L271),IF(AND(Sync!$L271&gt;=10000101,Sync!$L271&lt;=99991231),RIGHT("0000"&amp;INT(Sync!$L271/10000),4)&amp;"/"&amp;RIGHT("00"&amp;INT(MOD(Sync!$L271,10000)/100),2)&amp;"/"&amp;RIGHT("00"&amp;MOD(Sync!$L271,100),2),""),IFERROR(RIGHT("0000"&amp;VALUE(TRIM(LEFT(Sync!$L271,FIND("/",Sync!$L271)-1))),4)&amp;"/"&amp;RIGHT("00"&amp;VALUE(TRIM(LEFT(MID(Sync!$L271,FIND("/",Sync!$L271)+1,20),FIND("/",MID(Sync!$L271,FIND("/",Sync!$L271)+1,20))-1))),2)&amp;"/"&amp;RIGHT("00"&amp;VALUE(TRIM(MID(MID(Sync!$L271,FIND("/",Sync!$L271)+1,20),FIND("/",MID(Sync!$L271,FIND("/",Sync!$L271)+1,20))+1,20))),2),"")))</f>
        <v/>
      </c>
    </row>
    <row r="272" spans="1:14" x14ac:dyDescent="0.2">
      <c r="A272" t="str">
        <f>IF(Issues!$B275="","",Issues!$B275)</f>
        <v/>
      </c>
      <c r="B272" t="str">
        <f>IF($A272="","",IF(ISNUMBER(Issues!$C275),IF(AND(Issues!$C275&gt;=10000101,Issues!$C275&lt;=99991231),INT(Issues!$C275/10000),""),IFERROR(VALUE(TRIM(LEFT(Issues!$C275,FIND("/",Issues!$C275)-1))),"")))</f>
        <v/>
      </c>
      <c r="C272" t="str">
        <f>IF(OR($A272="",$B272=""),"",IF(ISNUMBER(Issues!$C275),INT(MOD(Issues!$C275,10000)/100),IFERROR(VALUE(TRIM(LEFT(MID(Issues!$C275,FIND("/",Issues!$C275)+1,20),FIND("/",MID(Issues!$C275,FIND("/",Issues!$C275)+1,20))-1))),"")))</f>
        <v/>
      </c>
      <c r="D272" t="str">
        <f>IF(OR($A272="",$B272=""),"",IF(ISNUMBER(Issues!$C275),MOD(Issues!$C275,100),IFERROR(VALUE(TRIM(MID(MID(Issues!$C275,FIND("/",Issues!$C275)+1,20),FIND("/",MID(Issues!$C275,FIND("/",Issues!$C275)+1,20))+1,20))),"")))</f>
        <v/>
      </c>
      <c r="E272" t="str">
        <f t="shared" si="12"/>
        <v/>
      </c>
      <c r="F272" t="str">
        <f>IF($A272="","",IF(Issues!$D275="",0,Issues!$D275))</f>
        <v/>
      </c>
      <c r="G272" t="str">
        <f>IF($A272="","",Issues!$E275)</f>
        <v/>
      </c>
      <c r="H272" t="str">
        <f t="shared" si="13"/>
        <v/>
      </c>
      <c r="I272" t="str">
        <f t="shared" si="14"/>
        <v/>
      </c>
      <c r="J272" t="str">
        <f>IF($A272="","",Issues!$G275)</f>
        <v/>
      </c>
      <c r="K272" t="str">
        <f>IF(OR($E272="",$E272="نامعتبر"),"",LEFT($E272,4)&amp;MID($E272,6,2)&amp;RIGHT($E272,2)&amp;"|"&amp;RIGHT("00000"&amp;267,5))</f>
        <v/>
      </c>
      <c r="M272" t="str">
        <f>IF(Sync!$M272&lt;&gt;"پاس چک","",IF(Sync!$P272="","",Sync!$P272))</f>
        <v/>
      </c>
      <c r="N272" t="str">
        <f>IF($M272="","",IF(ISNUMBER(Sync!$L272),IF(AND(Sync!$L272&gt;=10000101,Sync!$L272&lt;=99991231),RIGHT("0000"&amp;INT(Sync!$L272/10000),4)&amp;"/"&amp;RIGHT("00"&amp;INT(MOD(Sync!$L272,10000)/100),2)&amp;"/"&amp;RIGHT("00"&amp;MOD(Sync!$L272,100),2),""),IFERROR(RIGHT("0000"&amp;VALUE(TRIM(LEFT(Sync!$L272,FIND("/",Sync!$L272)-1))),4)&amp;"/"&amp;RIGHT("00"&amp;VALUE(TRIM(LEFT(MID(Sync!$L272,FIND("/",Sync!$L272)+1,20),FIND("/",MID(Sync!$L272,FIND("/",Sync!$L272)+1,20))-1))),2)&amp;"/"&amp;RIGHT("00"&amp;VALUE(TRIM(MID(MID(Sync!$L272,FIND("/",Sync!$L272)+1,20),FIND("/",MID(Sync!$L272,FIND("/",Sync!$L272)+1,20))+1,20))),2),"")))</f>
        <v/>
      </c>
    </row>
    <row r="273" spans="1:14" x14ac:dyDescent="0.2">
      <c r="A273" t="str">
        <f>IF(Issues!$B276="","",Issues!$B276)</f>
        <v/>
      </c>
      <c r="B273" t="str">
        <f>IF($A273="","",IF(ISNUMBER(Issues!$C276),IF(AND(Issues!$C276&gt;=10000101,Issues!$C276&lt;=99991231),INT(Issues!$C276/10000),""),IFERROR(VALUE(TRIM(LEFT(Issues!$C276,FIND("/",Issues!$C276)-1))),"")))</f>
        <v/>
      </c>
      <c r="C273" t="str">
        <f>IF(OR($A273="",$B273=""),"",IF(ISNUMBER(Issues!$C276),INT(MOD(Issues!$C276,10000)/100),IFERROR(VALUE(TRIM(LEFT(MID(Issues!$C276,FIND("/",Issues!$C276)+1,20),FIND("/",MID(Issues!$C276,FIND("/",Issues!$C276)+1,20))-1))),"")))</f>
        <v/>
      </c>
      <c r="D273" t="str">
        <f>IF(OR($A273="",$B273=""),"",IF(ISNUMBER(Issues!$C276),MOD(Issues!$C276,100),IFERROR(VALUE(TRIM(MID(MID(Issues!$C276,FIND("/",Issues!$C276)+1,20),FIND("/",MID(Issues!$C276,FIND("/",Issues!$C276)+1,20))+1,20))),"")))</f>
        <v/>
      </c>
      <c r="E273" t="str">
        <f t="shared" si="12"/>
        <v/>
      </c>
      <c r="F273" t="str">
        <f>IF($A273="","",IF(Issues!$D276="",0,Issues!$D276))</f>
        <v/>
      </c>
      <c r="G273" t="str">
        <f>IF($A273="","",Issues!$E276)</f>
        <v/>
      </c>
      <c r="H273" t="str">
        <f t="shared" si="13"/>
        <v/>
      </c>
      <c r="I273" t="str">
        <f t="shared" si="14"/>
        <v/>
      </c>
      <c r="J273" t="str">
        <f>IF($A273="","",Issues!$G276)</f>
        <v/>
      </c>
      <c r="K273" t="str">
        <f>IF(OR($E273="",$E273="نامعتبر"),"",LEFT($E273,4)&amp;MID($E273,6,2)&amp;RIGHT($E273,2)&amp;"|"&amp;RIGHT("00000"&amp;268,5))</f>
        <v/>
      </c>
      <c r="M273" t="str">
        <f>IF(Sync!$M273&lt;&gt;"پاس چک","",IF(Sync!$P273="","",Sync!$P273))</f>
        <v/>
      </c>
      <c r="N273" t="str">
        <f>IF($M273="","",IF(ISNUMBER(Sync!$L273),IF(AND(Sync!$L273&gt;=10000101,Sync!$L273&lt;=99991231),RIGHT("0000"&amp;INT(Sync!$L273/10000),4)&amp;"/"&amp;RIGHT("00"&amp;INT(MOD(Sync!$L273,10000)/100),2)&amp;"/"&amp;RIGHT("00"&amp;MOD(Sync!$L273,100),2),""),IFERROR(RIGHT("0000"&amp;VALUE(TRIM(LEFT(Sync!$L273,FIND("/",Sync!$L273)-1))),4)&amp;"/"&amp;RIGHT("00"&amp;VALUE(TRIM(LEFT(MID(Sync!$L273,FIND("/",Sync!$L273)+1,20),FIND("/",MID(Sync!$L273,FIND("/",Sync!$L273)+1,20))-1))),2)&amp;"/"&amp;RIGHT("00"&amp;VALUE(TRIM(MID(MID(Sync!$L273,FIND("/",Sync!$L273)+1,20),FIND("/",MID(Sync!$L273,FIND("/",Sync!$L273)+1,20))+1,20))),2),"")))</f>
        <v/>
      </c>
    </row>
    <row r="274" spans="1:14" x14ac:dyDescent="0.2">
      <c r="A274" t="str">
        <f>IF(Issues!$B277="","",Issues!$B277)</f>
        <v/>
      </c>
      <c r="B274" t="str">
        <f>IF($A274="","",IF(ISNUMBER(Issues!$C277),IF(AND(Issues!$C277&gt;=10000101,Issues!$C277&lt;=99991231),INT(Issues!$C277/10000),""),IFERROR(VALUE(TRIM(LEFT(Issues!$C277,FIND("/",Issues!$C277)-1))),"")))</f>
        <v/>
      </c>
      <c r="C274" t="str">
        <f>IF(OR($A274="",$B274=""),"",IF(ISNUMBER(Issues!$C277),INT(MOD(Issues!$C277,10000)/100),IFERROR(VALUE(TRIM(LEFT(MID(Issues!$C277,FIND("/",Issues!$C277)+1,20),FIND("/",MID(Issues!$C277,FIND("/",Issues!$C277)+1,20))-1))),"")))</f>
        <v/>
      </c>
      <c r="D274" t="str">
        <f>IF(OR($A274="",$B274=""),"",IF(ISNUMBER(Issues!$C277),MOD(Issues!$C277,100),IFERROR(VALUE(TRIM(MID(MID(Issues!$C277,FIND("/",Issues!$C277)+1,20),FIND("/",MID(Issues!$C277,FIND("/",Issues!$C277)+1,20))+1,20))),"")))</f>
        <v/>
      </c>
      <c r="E274" t="str">
        <f t="shared" si="12"/>
        <v/>
      </c>
      <c r="F274" t="str">
        <f>IF($A274="","",IF(Issues!$D277="",0,Issues!$D277))</f>
        <v/>
      </c>
      <c r="G274" t="str">
        <f>IF($A274="","",Issues!$E277)</f>
        <v/>
      </c>
      <c r="H274" t="str">
        <f t="shared" si="13"/>
        <v/>
      </c>
      <c r="I274" t="str">
        <f t="shared" si="14"/>
        <v/>
      </c>
      <c r="J274" t="str">
        <f>IF($A274="","",Issues!$G277)</f>
        <v/>
      </c>
      <c r="K274" t="str">
        <f>IF(OR($E274="",$E274="نامعتبر"),"",LEFT($E274,4)&amp;MID($E274,6,2)&amp;RIGHT($E274,2)&amp;"|"&amp;RIGHT("00000"&amp;269,5))</f>
        <v/>
      </c>
      <c r="M274" t="str">
        <f>IF(Sync!$M274&lt;&gt;"پاس چک","",IF(Sync!$P274="","",Sync!$P274))</f>
        <v/>
      </c>
      <c r="N274" t="str">
        <f>IF($M274="","",IF(ISNUMBER(Sync!$L274),IF(AND(Sync!$L274&gt;=10000101,Sync!$L274&lt;=99991231),RIGHT("0000"&amp;INT(Sync!$L274/10000),4)&amp;"/"&amp;RIGHT("00"&amp;INT(MOD(Sync!$L274,10000)/100),2)&amp;"/"&amp;RIGHT("00"&amp;MOD(Sync!$L274,100),2),""),IFERROR(RIGHT("0000"&amp;VALUE(TRIM(LEFT(Sync!$L274,FIND("/",Sync!$L274)-1))),4)&amp;"/"&amp;RIGHT("00"&amp;VALUE(TRIM(LEFT(MID(Sync!$L274,FIND("/",Sync!$L274)+1,20),FIND("/",MID(Sync!$L274,FIND("/",Sync!$L274)+1,20))-1))),2)&amp;"/"&amp;RIGHT("00"&amp;VALUE(TRIM(MID(MID(Sync!$L274,FIND("/",Sync!$L274)+1,20),FIND("/",MID(Sync!$L274,FIND("/",Sync!$L274)+1,20))+1,20))),2),"")))</f>
        <v/>
      </c>
    </row>
    <row r="275" spans="1:14" x14ac:dyDescent="0.2">
      <c r="A275" t="str">
        <f>IF(Issues!$B278="","",Issues!$B278)</f>
        <v/>
      </c>
      <c r="B275" t="str">
        <f>IF($A275="","",IF(ISNUMBER(Issues!$C278),IF(AND(Issues!$C278&gt;=10000101,Issues!$C278&lt;=99991231),INT(Issues!$C278/10000),""),IFERROR(VALUE(TRIM(LEFT(Issues!$C278,FIND("/",Issues!$C278)-1))),"")))</f>
        <v/>
      </c>
      <c r="C275" t="str">
        <f>IF(OR($A275="",$B275=""),"",IF(ISNUMBER(Issues!$C278),INT(MOD(Issues!$C278,10000)/100),IFERROR(VALUE(TRIM(LEFT(MID(Issues!$C278,FIND("/",Issues!$C278)+1,20),FIND("/",MID(Issues!$C278,FIND("/",Issues!$C278)+1,20))-1))),"")))</f>
        <v/>
      </c>
      <c r="D275" t="str">
        <f>IF(OR($A275="",$B275=""),"",IF(ISNUMBER(Issues!$C278),MOD(Issues!$C278,100),IFERROR(VALUE(TRIM(MID(MID(Issues!$C278,FIND("/",Issues!$C278)+1,20),FIND("/",MID(Issues!$C278,FIND("/",Issues!$C278)+1,20))+1,20))),"")))</f>
        <v/>
      </c>
      <c r="E275" t="str">
        <f t="shared" si="12"/>
        <v/>
      </c>
      <c r="F275" t="str">
        <f>IF($A275="","",IF(Issues!$D278="",0,Issues!$D278))</f>
        <v/>
      </c>
      <c r="G275" t="str">
        <f>IF($A275="","",Issues!$E278)</f>
        <v/>
      </c>
      <c r="H275" t="str">
        <f t="shared" si="13"/>
        <v/>
      </c>
      <c r="I275" t="str">
        <f t="shared" si="14"/>
        <v/>
      </c>
      <c r="J275" t="str">
        <f>IF($A275="","",Issues!$G278)</f>
        <v/>
      </c>
      <c r="K275" t="str">
        <f>IF(OR($E275="",$E275="نامعتبر"),"",LEFT($E275,4)&amp;MID($E275,6,2)&amp;RIGHT($E275,2)&amp;"|"&amp;RIGHT("00000"&amp;270,5))</f>
        <v/>
      </c>
      <c r="M275" t="str">
        <f>IF(Sync!$M275&lt;&gt;"پاس چک","",IF(Sync!$P275="","",Sync!$P275))</f>
        <v/>
      </c>
      <c r="N275" t="str">
        <f>IF($M275="","",IF(ISNUMBER(Sync!$L275),IF(AND(Sync!$L275&gt;=10000101,Sync!$L275&lt;=99991231),RIGHT("0000"&amp;INT(Sync!$L275/10000),4)&amp;"/"&amp;RIGHT("00"&amp;INT(MOD(Sync!$L275,10000)/100),2)&amp;"/"&amp;RIGHT("00"&amp;MOD(Sync!$L275,100),2),""),IFERROR(RIGHT("0000"&amp;VALUE(TRIM(LEFT(Sync!$L275,FIND("/",Sync!$L275)-1))),4)&amp;"/"&amp;RIGHT("00"&amp;VALUE(TRIM(LEFT(MID(Sync!$L275,FIND("/",Sync!$L275)+1,20),FIND("/",MID(Sync!$L275,FIND("/",Sync!$L275)+1,20))-1))),2)&amp;"/"&amp;RIGHT("00"&amp;VALUE(TRIM(MID(MID(Sync!$L275,FIND("/",Sync!$L275)+1,20),FIND("/",MID(Sync!$L275,FIND("/",Sync!$L275)+1,20))+1,20))),2),"")))</f>
        <v/>
      </c>
    </row>
    <row r="276" spans="1:14" x14ac:dyDescent="0.2">
      <c r="A276" t="str">
        <f>IF(Issues!$B279="","",Issues!$B279)</f>
        <v/>
      </c>
      <c r="B276" t="str">
        <f>IF($A276="","",IF(ISNUMBER(Issues!$C279),IF(AND(Issues!$C279&gt;=10000101,Issues!$C279&lt;=99991231),INT(Issues!$C279/10000),""),IFERROR(VALUE(TRIM(LEFT(Issues!$C279,FIND("/",Issues!$C279)-1))),"")))</f>
        <v/>
      </c>
      <c r="C276" t="str">
        <f>IF(OR($A276="",$B276=""),"",IF(ISNUMBER(Issues!$C279),INT(MOD(Issues!$C279,10000)/100),IFERROR(VALUE(TRIM(LEFT(MID(Issues!$C279,FIND("/",Issues!$C279)+1,20),FIND("/",MID(Issues!$C279,FIND("/",Issues!$C279)+1,20))-1))),"")))</f>
        <v/>
      </c>
      <c r="D276" t="str">
        <f>IF(OR($A276="",$B276=""),"",IF(ISNUMBER(Issues!$C279),MOD(Issues!$C279,100),IFERROR(VALUE(TRIM(MID(MID(Issues!$C279,FIND("/",Issues!$C279)+1,20),FIND("/",MID(Issues!$C279,FIND("/",Issues!$C279)+1,20))+1,20))),"")))</f>
        <v/>
      </c>
      <c r="E276" t="str">
        <f t="shared" si="12"/>
        <v/>
      </c>
      <c r="F276" t="str">
        <f>IF($A276="","",IF(Issues!$D279="",0,Issues!$D279))</f>
        <v/>
      </c>
      <c r="G276" t="str">
        <f>IF($A276="","",Issues!$E279)</f>
        <v/>
      </c>
      <c r="H276" t="str">
        <f t="shared" si="13"/>
        <v/>
      </c>
      <c r="I276" t="str">
        <f t="shared" si="14"/>
        <v/>
      </c>
      <c r="J276" t="str">
        <f>IF($A276="","",Issues!$G279)</f>
        <v/>
      </c>
      <c r="K276" t="str">
        <f>IF(OR($E276="",$E276="نامعتبر"),"",LEFT($E276,4)&amp;MID($E276,6,2)&amp;RIGHT($E276,2)&amp;"|"&amp;RIGHT("00000"&amp;271,5))</f>
        <v/>
      </c>
      <c r="M276" t="str">
        <f>IF(Sync!$M276&lt;&gt;"پاس چک","",IF(Sync!$P276="","",Sync!$P276))</f>
        <v/>
      </c>
      <c r="N276" t="str">
        <f>IF($M276="","",IF(ISNUMBER(Sync!$L276),IF(AND(Sync!$L276&gt;=10000101,Sync!$L276&lt;=99991231),RIGHT("0000"&amp;INT(Sync!$L276/10000),4)&amp;"/"&amp;RIGHT("00"&amp;INT(MOD(Sync!$L276,10000)/100),2)&amp;"/"&amp;RIGHT("00"&amp;MOD(Sync!$L276,100),2),""),IFERROR(RIGHT("0000"&amp;VALUE(TRIM(LEFT(Sync!$L276,FIND("/",Sync!$L276)-1))),4)&amp;"/"&amp;RIGHT("00"&amp;VALUE(TRIM(LEFT(MID(Sync!$L276,FIND("/",Sync!$L276)+1,20),FIND("/",MID(Sync!$L276,FIND("/",Sync!$L276)+1,20))-1))),2)&amp;"/"&amp;RIGHT("00"&amp;VALUE(TRIM(MID(MID(Sync!$L276,FIND("/",Sync!$L276)+1,20),FIND("/",MID(Sync!$L276,FIND("/",Sync!$L276)+1,20))+1,20))),2),"")))</f>
        <v/>
      </c>
    </row>
    <row r="277" spans="1:14" x14ac:dyDescent="0.2">
      <c r="A277" t="str">
        <f>IF(Issues!$B280="","",Issues!$B280)</f>
        <v/>
      </c>
      <c r="B277" t="str">
        <f>IF($A277="","",IF(ISNUMBER(Issues!$C280),IF(AND(Issues!$C280&gt;=10000101,Issues!$C280&lt;=99991231),INT(Issues!$C280/10000),""),IFERROR(VALUE(TRIM(LEFT(Issues!$C280,FIND("/",Issues!$C280)-1))),"")))</f>
        <v/>
      </c>
      <c r="C277" t="str">
        <f>IF(OR($A277="",$B277=""),"",IF(ISNUMBER(Issues!$C280),INT(MOD(Issues!$C280,10000)/100),IFERROR(VALUE(TRIM(LEFT(MID(Issues!$C280,FIND("/",Issues!$C280)+1,20),FIND("/",MID(Issues!$C280,FIND("/",Issues!$C280)+1,20))-1))),"")))</f>
        <v/>
      </c>
      <c r="D277" t="str">
        <f>IF(OR($A277="",$B277=""),"",IF(ISNUMBER(Issues!$C280),MOD(Issues!$C280,100),IFERROR(VALUE(TRIM(MID(MID(Issues!$C280,FIND("/",Issues!$C280)+1,20),FIND("/",MID(Issues!$C280,FIND("/",Issues!$C280)+1,20))+1,20))),"")))</f>
        <v/>
      </c>
      <c r="E277" t="str">
        <f t="shared" si="12"/>
        <v/>
      </c>
      <c r="F277" t="str">
        <f>IF($A277="","",IF(Issues!$D280="",0,Issues!$D280))</f>
        <v/>
      </c>
      <c r="G277" t="str">
        <f>IF($A277="","",Issues!$E280)</f>
        <v/>
      </c>
      <c r="H277" t="str">
        <f t="shared" si="13"/>
        <v/>
      </c>
      <c r="I277" t="str">
        <f t="shared" si="14"/>
        <v/>
      </c>
      <c r="J277" t="str">
        <f>IF($A277="","",Issues!$G280)</f>
        <v/>
      </c>
      <c r="K277" t="str">
        <f>IF(OR($E277="",$E277="نامعتبر"),"",LEFT($E277,4)&amp;MID($E277,6,2)&amp;RIGHT($E277,2)&amp;"|"&amp;RIGHT("00000"&amp;272,5))</f>
        <v/>
      </c>
      <c r="M277" t="str">
        <f>IF(Sync!$M277&lt;&gt;"پاس چک","",IF(Sync!$P277="","",Sync!$P277))</f>
        <v/>
      </c>
      <c r="N277" t="str">
        <f>IF($M277="","",IF(ISNUMBER(Sync!$L277),IF(AND(Sync!$L277&gt;=10000101,Sync!$L277&lt;=99991231),RIGHT("0000"&amp;INT(Sync!$L277/10000),4)&amp;"/"&amp;RIGHT("00"&amp;INT(MOD(Sync!$L277,10000)/100),2)&amp;"/"&amp;RIGHT("00"&amp;MOD(Sync!$L277,100),2),""),IFERROR(RIGHT("0000"&amp;VALUE(TRIM(LEFT(Sync!$L277,FIND("/",Sync!$L277)-1))),4)&amp;"/"&amp;RIGHT("00"&amp;VALUE(TRIM(LEFT(MID(Sync!$L277,FIND("/",Sync!$L277)+1,20),FIND("/",MID(Sync!$L277,FIND("/",Sync!$L277)+1,20))-1))),2)&amp;"/"&amp;RIGHT("00"&amp;VALUE(TRIM(MID(MID(Sync!$L277,FIND("/",Sync!$L277)+1,20),FIND("/",MID(Sync!$L277,FIND("/",Sync!$L277)+1,20))+1,20))),2),"")))</f>
        <v/>
      </c>
    </row>
    <row r="278" spans="1:14" x14ac:dyDescent="0.2">
      <c r="A278" t="str">
        <f>IF(Issues!$B281="","",Issues!$B281)</f>
        <v/>
      </c>
      <c r="B278" t="str">
        <f>IF($A278="","",IF(ISNUMBER(Issues!$C281),IF(AND(Issues!$C281&gt;=10000101,Issues!$C281&lt;=99991231),INT(Issues!$C281/10000),""),IFERROR(VALUE(TRIM(LEFT(Issues!$C281,FIND("/",Issues!$C281)-1))),"")))</f>
        <v/>
      </c>
      <c r="C278" t="str">
        <f>IF(OR($A278="",$B278=""),"",IF(ISNUMBER(Issues!$C281),INT(MOD(Issues!$C281,10000)/100),IFERROR(VALUE(TRIM(LEFT(MID(Issues!$C281,FIND("/",Issues!$C281)+1,20),FIND("/",MID(Issues!$C281,FIND("/",Issues!$C281)+1,20))-1))),"")))</f>
        <v/>
      </c>
      <c r="D278" t="str">
        <f>IF(OR($A278="",$B278=""),"",IF(ISNUMBER(Issues!$C281),MOD(Issues!$C281,100),IFERROR(VALUE(TRIM(MID(MID(Issues!$C281,FIND("/",Issues!$C281)+1,20),FIND("/",MID(Issues!$C281,FIND("/",Issues!$C281)+1,20))+1,20))),"")))</f>
        <v/>
      </c>
      <c r="E278" t="str">
        <f t="shared" si="12"/>
        <v/>
      </c>
      <c r="F278" t="str">
        <f>IF($A278="","",IF(Issues!$D281="",0,Issues!$D281))</f>
        <v/>
      </c>
      <c r="G278" t="str">
        <f>IF($A278="","",Issues!$E281)</f>
        <v/>
      </c>
      <c r="H278" t="str">
        <f t="shared" si="13"/>
        <v/>
      </c>
      <c r="I278" t="str">
        <f t="shared" si="14"/>
        <v/>
      </c>
      <c r="J278" t="str">
        <f>IF($A278="","",Issues!$G281)</f>
        <v/>
      </c>
      <c r="K278" t="str">
        <f>IF(OR($E278="",$E278="نامعتبر"),"",LEFT($E278,4)&amp;MID($E278,6,2)&amp;RIGHT($E278,2)&amp;"|"&amp;RIGHT("00000"&amp;273,5))</f>
        <v/>
      </c>
      <c r="M278" t="str">
        <f>IF(Sync!$M278&lt;&gt;"پاس چک","",IF(Sync!$P278="","",Sync!$P278))</f>
        <v/>
      </c>
      <c r="N278" t="str">
        <f>IF($M278="","",IF(ISNUMBER(Sync!$L278),IF(AND(Sync!$L278&gt;=10000101,Sync!$L278&lt;=99991231),RIGHT("0000"&amp;INT(Sync!$L278/10000),4)&amp;"/"&amp;RIGHT("00"&amp;INT(MOD(Sync!$L278,10000)/100),2)&amp;"/"&amp;RIGHT("00"&amp;MOD(Sync!$L278,100),2),""),IFERROR(RIGHT("0000"&amp;VALUE(TRIM(LEFT(Sync!$L278,FIND("/",Sync!$L278)-1))),4)&amp;"/"&amp;RIGHT("00"&amp;VALUE(TRIM(LEFT(MID(Sync!$L278,FIND("/",Sync!$L278)+1,20),FIND("/",MID(Sync!$L278,FIND("/",Sync!$L278)+1,20))-1))),2)&amp;"/"&amp;RIGHT("00"&amp;VALUE(TRIM(MID(MID(Sync!$L278,FIND("/",Sync!$L278)+1,20),FIND("/",MID(Sync!$L278,FIND("/",Sync!$L278)+1,20))+1,20))),2),"")))</f>
        <v/>
      </c>
    </row>
    <row r="279" spans="1:14" x14ac:dyDescent="0.2">
      <c r="A279" t="str">
        <f>IF(Issues!$B282="","",Issues!$B282)</f>
        <v/>
      </c>
      <c r="B279" t="str">
        <f>IF($A279="","",IF(ISNUMBER(Issues!$C282),IF(AND(Issues!$C282&gt;=10000101,Issues!$C282&lt;=99991231),INT(Issues!$C282/10000),""),IFERROR(VALUE(TRIM(LEFT(Issues!$C282,FIND("/",Issues!$C282)-1))),"")))</f>
        <v/>
      </c>
      <c r="C279" t="str">
        <f>IF(OR($A279="",$B279=""),"",IF(ISNUMBER(Issues!$C282),INT(MOD(Issues!$C282,10000)/100),IFERROR(VALUE(TRIM(LEFT(MID(Issues!$C282,FIND("/",Issues!$C282)+1,20),FIND("/",MID(Issues!$C282,FIND("/",Issues!$C282)+1,20))-1))),"")))</f>
        <v/>
      </c>
      <c r="D279" t="str">
        <f>IF(OR($A279="",$B279=""),"",IF(ISNUMBER(Issues!$C282),MOD(Issues!$C282,100),IFERROR(VALUE(TRIM(MID(MID(Issues!$C282,FIND("/",Issues!$C282)+1,20),FIND("/",MID(Issues!$C282,FIND("/",Issues!$C282)+1,20))+1,20))),"")))</f>
        <v/>
      </c>
      <c r="E279" t="str">
        <f t="shared" si="12"/>
        <v/>
      </c>
      <c r="F279" t="str">
        <f>IF($A279="","",IF(Issues!$D282="",0,Issues!$D282))</f>
        <v/>
      </c>
      <c r="G279" t="str">
        <f>IF($A279="","",Issues!$E282)</f>
        <v/>
      </c>
      <c r="H279" t="str">
        <f t="shared" si="13"/>
        <v/>
      </c>
      <c r="I279" t="str">
        <f t="shared" si="14"/>
        <v/>
      </c>
      <c r="J279" t="str">
        <f>IF($A279="","",Issues!$G282)</f>
        <v/>
      </c>
      <c r="K279" t="str">
        <f>IF(OR($E279="",$E279="نامعتبر"),"",LEFT($E279,4)&amp;MID($E279,6,2)&amp;RIGHT($E279,2)&amp;"|"&amp;RIGHT("00000"&amp;274,5))</f>
        <v/>
      </c>
      <c r="M279" t="str">
        <f>IF(Sync!$M279&lt;&gt;"پاس چک","",IF(Sync!$P279="","",Sync!$P279))</f>
        <v/>
      </c>
      <c r="N279" t="str">
        <f>IF($M279="","",IF(ISNUMBER(Sync!$L279),IF(AND(Sync!$L279&gt;=10000101,Sync!$L279&lt;=99991231),RIGHT("0000"&amp;INT(Sync!$L279/10000),4)&amp;"/"&amp;RIGHT("00"&amp;INT(MOD(Sync!$L279,10000)/100),2)&amp;"/"&amp;RIGHT("00"&amp;MOD(Sync!$L279,100),2),""),IFERROR(RIGHT("0000"&amp;VALUE(TRIM(LEFT(Sync!$L279,FIND("/",Sync!$L279)-1))),4)&amp;"/"&amp;RIGHT("00"&amp;VALUE(TRIM(LEFT(MID(Sync!$L279,FIND("/",Sync!$L279)+1,20),FIND("/",MID(Sync!$L279,FIND("/",Sync!$L279)+1,20))-1))),2)&amp;"/"&amp;RIGHT("00"&amp;VALUE(TRIM(MID(MID(Sync!$L279,FIND("/",Sync!$L279)+1,20),FIND("/",MID(Sync!$L279,FIND("/",Sync!$L279)+1,20))+1,20))),2),"")))</f>
        <v/>
      </c>
    </row>
    <row r="280" spans="1:14" x14ac:dyDescent="0.2">
      <c r="A280" t="str">
        <f>IF(Issues!$B283="","",Issues!$B283)</f>
        <v/>
      </c>
      <c r="B280" t="str">
        <f>IF($A280="","",IF(ISNUMBER(Issues!$C283),IF(AND(Issues!$C283&gt;=10000101,Issues!$C283&lt;=99991231),INT(Issues!$C283/10000),""),IFERROR(VALUE(TRIM(LEFT(Issues!$C283,FIND("/",Issues!$C283)-1))),"")))</f>
        <v/>
      </c>
      <c r="C280" t="str">
        <f>IF(OR($A280="",$B280=""),"",IF(ISNUMBER(Issues!$C283),INT(MOD(Issues!$C283,10000)/100),IFERROR(VALUE(TRIM(LEFT(MID(Issues!$C283,FIND("/",Issues!$C283)+1,20),FIND("/",MID(Issues!$C283,FIND("/",Issues!$C283)+1,20))-1))),"")))</f>
        <v/>
      </c>
      <c r="D280" t="str">
        <f>IF(OR($A280="",$B280=""),"",IF(ISNUMBER(Issues!$C283),MOD(Issues!$C283,100),IFERROR(VALUE(TRIM(MID(MID(Issues!$C283,FIND("/",Issues!$C283)+1,20),FIND("/",MID(Issues!$C283,FIND("/",Issues!$C283)+1,20))+1,20))),"")))</f>
        <v/>
      </c>
      <c r="E280" t="str">
        <f t="shared" si="12"/>
        <v/>
      </c>
      <c r="F280" t="str">
        <f>IF($A280="","",IF(Issues!$D283="",0,Issues!$D283))</f>
        <v/>
      </c>
      <c r="G280" t="str">
        <f>IF($A280="","",Issues!$E283)</f>
        <v/>
      </c>
      <c r="H280" t="str">
        <f t="shared" si="13"/>
        <v/>
      </c>
      <c r="I280" t="str">
        <f t="shared" si="14"/>
        <v/>
      </c>
      <c r="J280" t="str">
        <f>IF($A280="","",Issues!$G283)</f>
        <v/>
      </c>
      <c r="K280" t="str">
        <f>IF(OR($E280="",$E280="نامعتبر"),"",LEFT($E280,4)&amp;MID($E280,6,2)&amp;RIGHT($E280,2)&amp;"|"&amp;RIGHT("00000"&amp;275,5))</f>
        <v/>
      </c>
      <c r="M280" t="str">
        <f>IF(Sync!$M280&lt;&gt;"پاس چک","",IF(Sync!$P280="","",Sync!$P280))</f>
        <v/>
      </c>
      <c r="N280" t="str">
        <f>IF($M280="","",IF(ISNUMBER(Sync!$L280),IF(AND(Sync!$L280&gt;=10000101,Sync!$L280&lt;=99991231),RIGHT("0000"&amp;INT(Sync!$L280/10000),4)&amp;"/"&amp;RIGHT("00"&amp;INT(MOD(Sync!$L280,10000)/100),2)&amp;"/"&amp;RIGHT("00"&amp;MOD(Sync!$L280,100),2),""),IFERROR(RIGHT("0000"&amp;VALUE(TRIM(LEFT(Sync!$L280,FIND("/",Sync!$L280)-1))),4)&amp;"/"&amp;RIGHT("00"&amp;VALUE(TRIM(LEFT(MID(Sync!$L280,FIND("/",Sync!$L280)+1,20),FIND("/",MID(Sync!$L280,FIND("/",Sync!$L280)+1,20))-1))),2)&amp;"/"&amp;RIGHT("00"&amp;VALUE(TRIM(MID(MID(Sync!$L280,FIND("/",Sync!$L280)+1,20),FIND("/",MID(Sync!$L280,FIND("/",Sync!$L280)+1,20))+1,20))),2),"")))</f>
        <v/>
      </c>
    </row>
    <row r="281" spans="1:14" x14ac:dyDescent="0.2">
      <c r="A281" t="str">
        <f>IF(Issues!$B284="","",Issues!$B284)</f>
        <v/>
      </c>
      <c r="B281" t="str">
        <f>IF($A281="","",IF(ISNUMBER(Issues!$C284),IF(AND(Issues!$C284&gt;=10000101,Issues!$C284&lt;=99991231),INT(Issues!$C284/10000),""),IFERROR(VALUE(TRIM(LEFT(Issues!$C284,FIND("/",Issues!$C284)-1))),"")))</f>
        <v/>
      </c>
      <c r="C281" t="str">
        <f>IF(OR($A281="",$B281=""),"",IF(ISNUMBER(Issues!$C284),INT(MOD(Issues!$C284,10000)/100),IFERROR(VALUE(TRIM(LEFT(MID(Issues!$C284,FIND("/",Issues!$C284)+1,20),FIND("/",MID(Issues!$C284,FIND("/",Issues!$C284)+1,20))-1))),"")))</f>
        <v/>
      </c>
      <c r="D281" t="str">
        <f>IF(OR($A281="",$B281=""),"",IF(ISNUMBER(Issues!$C284),MOD(Issues!$C284,100),IFERROR(VALUE(TRIM(MID(MID(Issues!$C284,FIND("/",Issues!$C284)+1,20),FIND("/",MID(Issues!$C284,FIND("/",Issues!$C284)+1,20))+1,20))),"")))</f>
        <v/>
      </c>
      <c r="E281" t="str">
        <f t="shared" si="12"/>
        <v/>
      </c>
      <c r="F281" t="str">
        <f>IF($A281="","",IF(Issues!$D284="",0,Issues!$D284))</f>
        <v/>
      </c>
      <c r="G281" t="str">
        <f>IF($A281="","",Issues!$E284)</f>
        <v/>
      </c>
      <c r="H281" t="str">
        <f t="shared" si="13"/>
        <v/>
      </c>
      <c r="I281" t="str">
        <f t="shared" si="14"/>
        <v/>
      </c>
      <c r="J281" t="str">
        <f>IF($A281="","",Issues!$G284)</f>
        <v/>
      </c>
      <c r="K281" t="str">
        <f>IF(OR($E281="",$E281="نامعتبر"),"",LEFT($E281,4)&amp;MID($E281,6,2)&amp;RIGHT($E281,2)&amp;"|"&amp;RIGHT("00000"&amp;276,5))</f>
        <v/>
      </c>
      <c r="M281" t="str">
        <f>IF(Sync!$M281&lt;&gt;"پاس چک","",IF(Sync!$P281="","",Sync!$P281))</f>
        <v/>
      </c>
      <c r="N281" t="str">
        <f>IF($M281="","",IF(ISNUMBER(Sync!$L281),IF(AND(Sync!$L281&gt;=10000101,Sync!$L281&lt;=99991231),RIGHT("0000"&amp;INT(Sync!$L281/10000),4)&amp;"/"&amp;RIGHT("00"&amp;INT(MOD(Sync!$L281,10000)/100),2)&amp;"/"&amp;RIGHT("00"&amp;MOD(Sync!$L281,100),2),""),IFERROR(RIGHT("0000"&amp;VALUE(TRIM(LEFT(Sync!$L281,FIND("/",Sync!$L281)-1))),4)&amp;"/"&amp;RIGHT("00"&amp;VALUE(TRIM(LEFT(MID(Sync!$L281,FIND("/",Sync!$L281)+1,20),FIND("/",MID(Sync!$L281,FIND("/",Sync!$L281)+1,20))-1))),2)&amp;"/"&amp;RIGHT("00"&amp;VALUE(TRIM(MID(MID(Sync!$L281,FIND("/",Sync!$L281)+1,20),FIND("/",MID(Sync!$L281,FIND("/",Sync!$L281)+1,20))+1,20))),2),"")))</f>
        <v/>
      </c>
    </row>
    <row r="282" spans="1:14" x14ac:dyDescent="0.2">
      <c r="A282" t="str">
        <f>IF(Issues!$B285="","",Issues!$B285)</f>
        <v/>
      </c>
      <c r="B282" t="str">
        <f>IF($A282="","",IF(ISNUMBER(Issues!$C285),IF(AND(Issues!$C285&gt;=10000101,Issues!$C285&lt;=99991231),INT(Issues!$C285/10000),""),IFERROR(VALUE(TRIM(LEFT(Issues!$C285,FIND("/",Issues!$C285)-1))),"")))</f>
        <v/>
      </c>
      <c r="C282" t="str">
        <f>IF(OR($A282="",$B282=""),"",IF(ISNUMBER(Issues!$C285),INT(MOD(Issues!$C285,10000)/100),IFERROR(VALUE(TRIM(LEFT(MID(Issues!$C285,FIND("/",Issues!$C285)+1,20),FIND("/",MID(Issues!$C285,FIND("/",Issues!$C285)+1,20))-1))),"")))</f>
        <v/>
      </c>
      <c r="D282" t="str">
        <f>IF(OR($A282="",$B282=""),"",IF(ISNUMBER(Issues!$C285),MOD(Issues!$C285,100),IFERROR(VALUE(TRIM(MID(MID(Issues!$C285,FIND("/",Issues!$C285)+1,20),FIND("/",MID(Issues!$C285,FIND("/",Issues!$C285)+1,20))+1,20))),"")))</f>
        <v/>
      </c>
      <c r="E282" t="str">
        <f t="shared" si="12"/>
        <v/>
      </c>
      <c r="F282" t="str">
        <f>IF($A282="","",IF(Issues!$D285="",0,Issues!$D285))</f>
        <v/>
      </c>
      <c r="G282" t="str">
        <f>IF($A282="","",Issues!$E285)</f>
        <v/>
      </c>
      <c r="H282" t="str">
        <f t="shared" si="13"/>
        <v/>
      </c>
      <c r="I282" t="str">
        <f t="shared" si="14"/>
        <v/>
      </c>
      <c r="J282" t="str">
        <f>IF($A282="","",Issues!$G285)</f>
        <v/>
      </c>
      <c r="K282" t="str">
        <f>IF(OR($E282="",$E282="نامعتبر"),"",LEFT($E282,4)&amp;MID($E282,6,2)&amp;RIGHT($E282,2)&amp;"|"&amp;RIGHT("00000"&amp;277,5))</f>
        <v/>
      </c>
      <c r="M282" t="str">
        <f>IF(Sync!$M282&lt;&gt;"پاس چک","",IF(Sync!$P282="","",Sync!$P282))</f>
        <v/>
      </c>
      <c r="N282" t="str">
        <f>IF($M282="","",IF(ISNUMBER(Sync!$L282),IF(AND(Sync!$L282&gt;=10000101,Sync!$L282&lt;=99991231),RIGHT("0000"&amp;INT(Sync!$L282/10000),4)&amp;"/"&amp;RIGHT("00"&amp;INT(MOD(Sync!$L282,10000)/100),2)&amp;"/"&amp;RIGHT("00"&amp;MOD(Sync!$L282,100),2),""),IFERROR(RIGHT("0000"&amp;VALUE(TRIM(LEFT(Sync!$L282,FIND("/",Sync!$L282)-1))),4)&amp;"/"&amp;RIGHT("00"&amp;VALUE(TRIM(LEFT(MID(Sync!$L282,FIND("/",Sync!$L282)+1,20),FIND("/",MID(Sync!$L282,FIND("/",Sync!$L282)+1,20))-1))),2)&amp;"/"&amp;RIGHT("00"&amp;VALUE(TRIM(MID(MID(Sync!$L282,FIND("/",Sync!$L282)+1,20),FIND("/",MID(Sync!$L282,FIND("/",Sync!$L282)+1,20))+1,20))),2),"")))</f>
        <v/>
      </c>
    </row>
    <row r="283" spans="1:14" x14ac:dyDescent="0.2">
      <c r="A283" t="str">
        <f>IF(Issues!$B286="","",Issues!$B286)</f>
        <v/>
      </c>
      <c r="B283" t="str">
        <f>IF($A283="","",IF(ISNUMBER(Issues!$C286),IF(AND(Issues!$C286&gt;=10000101,Issues!$C286&lt;=99991231),INT(Issues!$C286/10000),""),IFERROR(VALUE(TRIM(LEFT(Issues!$C286,FIND("/",Issues!$C286)-1))),"")))</f>
        <v/>
      </c>
      <c r="C283" t="str">
        <f>IF(OR($A283="",$B283=""),"",IF(ISNUMBER(Issues!$C286),INT(MOD(Issues!$C286,10000)/100),IFERROR(VALUE(TRIM(LEFT(MID(Issues!$C286,FIND("/",Issues!$C286)+1,20),FIND("/",MID(Issues!$C286,FIND("/",Issues!$C286)+1,20))-1))),"")))</f>
        <v/>
      </c>
      <c r="D283" t="str">
        <f>IF(OR($A283="",$B283=""),"",IF(ISNUMBER(Issues!$C286),MOD(Issues!$C286,100),IFERROR(VALUE(TRIM(MID(MID(Issues!$C286,FIND("/",Issues!$C286)+1,20),FIND("/",MID(Issues!$C286,FIND("/",Issues!$C286)+1,20))+1,20))),"")))</f>
        <v/>
      </c>
      <c r="E283" t="str">
        <f t="shared" si="12"/>
        <v/>
      </c>
      <c r="F283" t="str">
        <f>IF($A283="","",IF(Issues!$D286="",0,Issues!$D286))</f>
        <v/>
      </c>
      <c r="G283" t="str">
        <f>IF($A283="","",Issues!$E286)</f>
        <v/>
      </c>
      <c r="H283" t="str">
        <f t="shared" si="13"/>
        <v/>
      </c>
      <c r="I283" t="str">
        <f t="shared" si="14"/>
        <v/>
      </c>
      <c r="J283" t="str">
        <f>IF($A283="","",Issues!$G286)</f>
        <v/>
      </c>
      <c r="K283" t="str">
        <f>IF(OR($E283="",$E283="نامعتبر"),"",LEFT($E283,4)&amp;MID($E283,6,2)&amp;RIGHT($E283,2)&amp;"|"&amp;RIGHT("00000"&amp;278,5))</f>
        <v/>
      </c>
      <c r="M283" t="str">
        <f>IF(Sync!$M283&lt;&gt;"پاس چک","",IF(Sync!$P283="","",Sync!$P283))</f>
        <v/>
      </c>
      <c r="N283" t="str">
        <f>IF($M283="","",IF(ISNUMBER(Sync!$L283),IF(AND(Sync!$L283&gt;=10000101,Sync!$L283&lt;=99991231),RIGHT("0000"&amp;INT(Sync!$L283/10000),4)&amp;"/"&amp;RIGHT("00"&amp;INT(MOD(Sync!$L283,10000)/100),2)&amp;"/"&amp;RIGHT("00"&amp;MOD(Sync!$L283,100),2),""),IFERROR(RIGHT("0000"&amp;VALUE(TRIM(LEFT(Sync!$L283,FIND("/",Sync!$L283)-1))),4)&amp;"/"&amp;RIGHT("00"&amp;VALUE(TRIM(LEFT(MID(Sync!$L283,FIND("/",Sync!$L283)+1,20),FIND("/",MID(Sync!$L283,FIND("/",Sync!$L283)+1,20))-1))),2)&amp;"/"&amp;RIGHT("00"&amp;VALUE(TRIM(MID(MID(Sync!$L283,FIND("/",Sync!$L283)+1,20),FIND("/",MID(Sync!$L283,FIND("/",Sync!$L283)+1,20))+1,20))),2),"")))</f>
        <v/>
      </c>
    </row>
    <row r="284" spans="1:14" x14ac:dyDescent="0.2">
      <c r="A284" t="str">
        <f>IF(Issues!$B287="","",Issues!$B287)</f>
        <v/>
      </c>
      <c r="B284" t="str">
        <f>IF($A284="","",IF(ISNUMBER(Issues!$C287),IF(AND(Issues!$C287&gt;=10000101,Issues!$C287&lt;=99991231),INT(Issues!$C287/10000),""),IFERROR(VALUE(TRIM(LEFT(Issues!$C287,FIND("/",Issues!$C287)-1))),"")))</f>
        <v/>
      </c>
      <c r="C284" t="str">
        <f>IF(OR($A284="",$B284=""),"",IF(ISNUMBER(Issues!$C287),INT(MOD(Issues!$C287,10000)/100),IFERROR(VALUE(TRIM(LEFT(MID(Issues!$C287,FIND("/",Issues!$C287)+1,20),FIND("/",MID(Issues!$C287,FIND("/",Issues!$C287)+1,20))-1))),"")))</f>
        <v/>
      </c>
      <c r="D284" t="str">
        <f>IF(OR($A284="",$B284=""),"",IF(ISNUMBER(Issues!$C287),MOD(Issues!$C287,100),IFERROR(VALUE(TRIM(MID(MID(Issues!$C287,FIND("/",Issues!$C287)+1,20),FIND("/",MID(Issues!$C287,FIND("/",Issues!$C287)+1,20))+1,20))),"")))</f>
        <v/>
      </c>
      <c r="E284" t="str">
        <f t="shared" si="12"/>
        <v/>
      </c>
      <c r="F284" t="str">
        <f>IF($A284="","",IF(Issues!$D287="",0,Issues!$D287))</f>
        <v/>
      </c>
      <c r="G284" t="str">
        <f>IF($A284="","",Issues!$E287)</f>
        <v/>
      </c>
      <c r="H284" t="str">
        <f t="shared" si="13"/>
        <v/>
      </c>
      <c r="I284" t="str">
        <f t="shared" si="14"/>
        <v/>
      </c>
      <c r="J284" t="str">
        <f>IF($A284="","",Issues!$G287)</f>
        <v/>
      </c>
      <c r="K284" t="str">
        <f>IF(OR($E284="",$E284="نامعتبر"),"",LEFT($E284,4)&amp;MID($E284,6,2)&amp;RIGHT($E284,2)&amp;"|"&amp;RIGHT("00000"&amp;279,5))</f>
        <v/>
      </c>
      <c r="M284" t="str">
        <f>IF(Sync!$M284&lt;&gt;"پاس چک","",IF(Sync!$P284="","",Sync!$P284))</f>
        <v/>
      </c>
      <c r="N284" t="str">
        <f>IF($M284="","",IF(ISNUMBER(Sync!$L284),IF(AND(Sync!$L284&gt;=10000101,Sync!$L284&lt;=99991231),RIGHT("0000"&amp;INT(Sync!$L284/10000),4)&amp;"/"&amp;RIGHT("00"&amp;INT(MOD(Sync!$L284,10000)/100),2)&amp;"/"&amp;RIGHT("00"&amp;MOD(Sync!$L284,100),2),""),IFERROR(RIGHT("0000"&amp;VALUE(TRIM(LEFT(Sync!$L284,FIND("/",Sync!$L284)-1))),4)&amp;"/"&amp;RIGHT("00"&amp;VALUE(TRIM(LEFT(MID(Sync!$L284,FIND("/",Sync!$L284)+1,20),FIND("/",MID(Sync!$L284,FIND("/",Sync!$L284)+1,20))-1))),2)&amp;"/"&amp;RIGHT("00"&amp;VALUE(TRIM(MID(MID(Sync!$L284,FIND("/",Sync!$L284)+1,20),FIND("/",MID(Sync!$L284,FIND("/",Sync!$L284)+1,20))+1,20))),2),"")))</f>
        <v/>
      </c>
    </row>
    <row r="285" spans="1:14" x14ac:dyDescent="0.2">
      <c r="A285" t="str">
        <f>IF(Issues!$B288="","",Issues!$B288)</f>
        <v/>
      </c>
      <c r="B285" t="str">
        <f>IF($A285="","",IF(ISNUMBER(Issues!$C288),IF(AND(Issues!$C288&gt;=10000101,Issues!$C288&lt;=99991231),INT(Issues!$C288/10000),""),IFERROR(VALUE(TRIM(LEFT(Issues!$C288,FIND("/",Issues!$C288)-1))),"")))</f>
        <v/>
      </c>
      <c r="C285" t="str">
        <f>IF(OR($A285="",$B285=""),"",IF(ISNUMBER(Issues!$C288),INT(MOD(Issues!$C288,10000)/100),IFERROR(VALUE(TRIM(LEFT(MID(Issues!$C288,FIND("/",Issues!$C288)+1,20),FIND("/",MID(Issues!$C288,FIND("/",Issues!$C288)+1,20))-1))),"")))</f>
        <v/>
      </c>
      <c r="D285" t="str">
        <f>IF(OR($A285="",$B285=""),"",IF(ISNUMBER(Issues!$C288),MOD(Issues!$C288,100),IFERROR(VALUE(TRIM(MID(MID(Issues!$C288,FIND("/",Issues!$C288)+1,20),FIND("/",MID(Issues!$C288,FIND("/",Issues!$C288)+1,20))+1,20))),"")))</f>
        <v/>
      </c>
      <c r="E285" t="str">
        <f t="shared" si="12"/>
        <v/>
      </c>
      <c r="F285" t="str">
        <f>IF($A285="","",IF(Issues!$D288="",0,Issues!$D288))</f>
        <v/>
      </c>
      <c r="G285" t="str">
        <f>IF($A285="","",Issues!$E288)</f>
        <v/>
      </c>
      <c r="H285" t="str">
        <f t="shared" si="13"/>
        <v/>
      </c>
      <c r="I285" t="str">
        <f t="shared" si="14"/>
        <v/>
      </c>
      <c r="J285" t="str">
        <f>IF($A285="","",Issues!$G288)</f>
        <v/>
      </c>
      <c r="K285" t="str">
        <f>IF(OR($E285="",$E285="نامعتبر"),"",LEFT($E285,4)&amp;MID($E285,6,2)&amp;RIGHT($E285,2)&amp;"|"&amp;RIGHT("00000"&amp;280,5))</f>
        <v/>
      </c>
      <c r="M285" t="str">
        <f>IF(Sync!$M285&lt;&gt;"پاس چک","",IF(Sync!$P285="","",Sync!$P285))</f>
        <v/>
      </c>
      <c r="N285" t="str">
        <f>IF($M285="","",IF(ISNUMBER(Sync!$L285),IF(AND(Sync!$L285&gt;=10000101,Sync!$L285&lt;=99991231),RIGHT("0000"&amp;INT(Sync!$L285/10000),4)&amp;"/"&amp;RIGHT("00"&amp;INT(MOD(Sync!$L285,10000)/100),2)&amp;"/"&amp;RIGHT("00"&amp;MOD(Sync!$L285,100),2),""),IFERROR(RIGHT("0000"&amp;VALUE(TRIM(LEFT(Sync!$L285,FIND("/",Sync!$L285)-1))),4)&amp;"/"&amp;RIGHT("00"&amp;VALUE(TRIM(LEFT(MID(Sync!$L285,FIND("/",Sync!$L285)+1,20),FIND("/",MID(Sync!$L285,FIND("/",Sync!$L285)+1,20))-1))),2)&amp;"/"&amp;RIGHT("00"&amp;VALUE(TRIM(MID(MID(Sync!$L285,FIND("/",Sync!$L285)+1,20),FIND("/",MID(Sync!$L285,FIND("/",Sync!$L285)+1,20))+1,20))),2),"")))</f>
        <v/>
      </c>
    </row>
    <row r="286" spans="1:14" x14ac:dyDescent="0.2">
      <c r="A286" t="str">
        <f>IF(Issues!$B289="","",Issues!$B289)</f>
        <v/>
      </c>
      <c r="B286" t="str">
        <f>IF($A286="","",IF(ISNUMBER(Issues!$C289),IF(AND(Issues!$C289&gt;=10000101,Issues!$C289&lt;=99991231),INT(Issues!$C289/10000),""),IFERROR(VALUE(TRIM(LEFT(Issues!$C289,FIND("/",Issues!$C289)-1))),"")))</f>
        <v/>
      </c>
      <c r="C286" t="str">
        <f>IF(OR($A286="",$B286=""),"",IF(ISNUMBER(Issues!$C289),INT(MOD(Issues!$C289,10000)/100),IFERROR(VALUE(TRIM(LEFT(MID(Issues!$C289,FIND("/",Issues!$C289)+1,20),FIND("/",MID(Issues!$C289,FIND("/",Issues!$C289)+1,20))-1))),"")))</f>
        <v/>
      </c>
      <c r="D286" t="str">
        <f>IF(OR($A286="",$B286=""),"",IF(ISNUMBER(Issues!$C289),MOD(Issues!$C289,100),IFERROR(VALUE(TRIM(MID(MID(Issues!$C289,FIND("/",Issues!$C289)+1,20),FIND("/",MID(Issues!$C289,FIND("/",Issues!$C289)+1,20))+1,20))),"")))</f>
        <v/>
      </c>
      <c r="E286" t="str">
        <f t="shared" si="12"/>
        <v/>
      </c>
      <c r="F286" t="str">
        <f>IF($A286="","",IF(Issues!$D289="",0,Issues!$D289))</f>
        <v/>
      </c>
      <c r="G286" t="str">
        <f>IF($A286="","",Issues!$E289)</f>
        <v/>
      </c>
      <c r="H286" t="str">
        <f t="shared" si="13"/>
        <v/>
      </c>
      <c r="I286" t="str">
        <f t="shared" si="14"/>
        <v/>
      </c>
      <c r="J286" t="str">
        <f>IF($A286="","",Issues!$G289)</f>
        <v/>
      </c>
      <c r="K286" t="str">
        <f>IF(OR($E286="",$E286="نامعتبر"),"",LEFT($E286,4)&amp;MID($E286,6,2)&amp;RIGHT($E286,2)&amp;"|"&amp;RIGHT("00000"&amp;281,5))</f>
        <v/>
      </c>
      <c r="M286" t="str">
        <f>IF(Sync!$M286&lt;&gt;"پاس چک","",IF(Sync!$P286="","",Sync!$P286))</f>
        <v/>
      </c>
      <c r="N286" t="str">
        <f>IF($M286="","",IF(ISNUMBER(Sync!$L286),IF(AND(Sync!$L286&gt;=10000101,Sync!$L286&lt;=99991231),RIGHT("0000"&amp;INT(Sync!$L286/10000),4)&amp;"/"&amp;RIGHT("00"&amp;INT(MOD(Sync!$L286,10000)/100),2)&amp;"/"&amp;RIGHT("00"&amp;MOD(Sync!$L286,100),2),""),IFERROR(RIGHT("0000"&amp;VALUE(TRIM(LEFT(Sync!$L286,FIND("/",Sync!$L286)-1))),4)&amp;"/"&amp;RIGHT("00"&amp;VALUE(TRIM(LEFT(MID(Sync!$L286,FIND("/",Sync!$L286)+1,20),FIND("/",MID(Sync!$L286,FIND("/",Sync!$L286)+1,20))-1))),2)&amp;"/"&amp;RIGHT("00"&amp;VALUE(TRIM(MID(MID(Sync!$L286,FIND("/",Sync!$L286)+1,20),FIND("/",MID(Sync!$L286,FIND("/",Sync!$L286)+1,20))+1,20))),2),"")))</f>
        <v/>
      </c>
    </row>
    <row r="287" spans="1:14" x14ac:dyDescent="0.2">
      <c r="A287" t="str">
        <f>IF(Issues!$B290="","",Issues!$B290)</f>
        <v/>
      </c>
      <c r="B287" t="str">
        <f>IF($A287="","",IF(ISNUMBER(Issues!$C290),IF(AND(Issues!$C290&gt;=10000101,Issues!$C290&lt;=99991231),INT(Issues!$C290/10000),""),IFERROR(VALUE(TRIM(LEFT(Issues!$C290,FIND("/",Issues!$C290)-1))),"")))</f>
        <v/>
      </c>
      <c r="C287" t="str">
        <f>IF(OR($A287="",$B287=""),"",IF(ISNUMBER(Issues!$C290),INT(MOD(Issues!$C290,10000)/100),IFERROR(VALUE(TRIM(LEFT(MID(Issues!$C290,FIND("/",Issues!$C290)+1,20),FIND("/",MID(Issues!$C290,FIND("/",Issues!$C290)+1,20))-1))),"")))</f>
        <v/>
      </c>
      <c r="D287" t="str">
        <f>IF(OR($A287="",$B287=""),"",IF(ISNUMBER(Issues!$C290),MOD(Issues!$C290,100),IFERROR(VALUE(TRIM(MID(MID(Issues!$C290,FIND("/",Issues!$C290)+1,20),FIND("/",MID(Issues!$C290,FIND("/",Issues!$C290)+1,20))+1,20))),"")))</f>
        <v/>
      </c>
      <c r="E287" t="str">
        <f t="shared" si="12"/>
        <v/>
      </c>
      <c r="F287" t="str">
        <f>IF($A287="","",IF(Issues!$D290="",0,Issues!$D290))</f>
        <v/>
      </c>
      <c r="G287" t="str">
        <f>IF($A287="","",Issues!$E290)</f>
        <v/>
      </c>
      <c r="H287" t="str">
        <f t="shared" si="13"/>
        <v/>
      </c>
      <c r="I287" t="str">
        <f t="shared" si="14"/>
        <v/>
      </c>
      <c r="J287" t="str">
        <f>IF($A287="","",Issues!$G290)</f>
        <v/>
      </c>
      <c r="K287" t="str">
        <f>IF(OR($E287="",$E287="نامعتبر"),"",LEFT($E287,4)&amp;MID($E287,6,2)&amp;RIGHT($E287,2)&amp;"|"&amp;RIGHT("00000"&amp;282,5))</f>
        <v/>
      </c>
      <c r="M287" t="str">
        <f>IF(Sync!$M287&lt;&gt;"پاس چک","",IF(Sync!$P287="","",Sync!$P287))</f>
        <v/>
      </c>
      <c r="N287" t="str">
        <f>IF($M287="","",IF(ISNUMBER(Sync!$L287),IF(AND(Sync!$L287&gt;=10000101,Sync!$L287&lt;=99991231),RIGHT("0000"&amp;INT(Sync!$L287/10000),4)&amp;"/"&amp;RIGHT("00"&amp;INT(MOD(Sync!$L287,10000)/100),2)&amp;"/"&amp;RIGHT("00"&amp;MOD(Sync!$L287,100),2),""),IFERROR(RIGHT("0000"&amp;VALUE(TRIM(LEFT(Sync!$L287,FIND("/",Sync!$L287)-1))),4)&amp;"/"&amp;RIGHT("00"&amp;VALUE(TRIM(LEFT(MID(Sync!$L287,FIND("/",Sync!$L287)+1,20),FIND("/",MID(Sync!$L287,FIND("/",Sync!$L287)+1,20))-1))),2)&amp;"/"&amp;RIGHT("00"&amp;VALUE(TRIM(MID(MID(Sync!$L287,FIND("/",Sync!$L287)+1,20),FIND("/",MID(Sync!$L287,FIND("/",Sync!$L287)+1,20))+1,20))),2),"")))</f>
        <v/>
      </c>
    </row>
    <row r="288" spans="1:14" x14ac:dyDescent="0.2">
      <c r="A288" t="str">
        <f>IF(Issues!$B291="","",Issues!$B291)</f>
        <v/>
      </c>
      <c r="B288" t="str">
        <f>IF($A288="","",IF(ISNUMBER(Issues!$C291),IF(AND(Issues!$C291&gt;=10000101,Issues!$C291&lt;=99991231),INT(Issues!$C291/10000),""),IFERROR(VALUE(TRIM(LEFT(Issues!$C291,FIND("/",Issues!$C291)-1))),"")))</f>
        <v/>
      </c>
      <c r="C288" t="str">
        <f>IF(OR($A288="",$B288=""),"",IF(ISNUMBER(Issues!$C291),INT(MOD(Issues!$C291,10000)/100),IFERROR(VALUE(TRIM(LEFT(MID(Issues!$C291,FIND("/",Issues!$C291)+1,20),FIND("/",MID(Issues!$C291,FIND("/",Issues!$C291)+1,20))-1))),"")))</f>
        <v/>
      </c>
      <c r="D288" t="str">
        <f>IF(OR($A288="",$B288=""),"",IF(ISNUMBER(Issues!$C291),MOD(Issues!$C291,100),IFERROR(VALUE(TRIM(MID(MID(Issues!$C291,FIND("/",Issues!$C291)+1,20),FIND("/",MID(Issues!$C291,FIND("/",Issues!$C291)+1,20))+1,20))),"")))</f>
        <v/>
      </c>
      <c r="E288" t="str">
        <f t="shared" si="12"/>
        <v/>
      </c>
      <c r="F288" t="str">
        <f>IF($A288="","",IF(Issues!$D291="",0,Issues!$D291))</f>
        <v/>
      </c>
      <c r="G288" t="str">
        <f>IF($A288="","",Issues!$E291)</f>
        <v/>
      </c>
      <c r="H288" t="str">
        <f t="shared" si="13"/>
        <v/>
      </c>
      <c r="I288" t="str">
        <f t="shared" si="14"/>
        <v/>
      </c>
      <c r="J288" t="str">
        <f>IF($A288="","",Issues!$G291)</f>
        <v/>
      </c>
      <c r="K288" t="str">
        <f>IF(OR($E288="",$E288="نامعتبر"),"",LEFT($E288,4)&amp;MID($E288,6,2)&amp;RIGHT($E288,2)&amp;"|"&amp;RIGHT("00000"&amp;283,5))</f>
        <v/>
      </c>
      <c r="M288" t="str">
        <f>IF(Sync!$M288&lt;&gt;"پاس چک","",IF(Sync!$P288="","",Sync!$P288))</f>
        <v/>
      </c>
      <c r="N288" t="str">
        <f>IF($M288="","",IF(ISNUMBER(Sync!$L288),IF(AND(Sync!$L288&gt;=10000101,Sync!$L288&lt;=99991231),RIGHT("0000"&amp;INT(Sync!$L288/10000),4)&amp;"/"&amp;RIGHT("00"&amp;INT(MOD(Sync!$L288,10000)/100),2)&amp;"/"&amp;RIGHT("00"&amp;MOD(Sync!$L288,100),2),""),IFERROR(RIGHT("0000"&amp;VALUE(TRIM(LEFT(Sync!$L288,FIND("/",Sync!$L288)-1))),4)&amp;"/"&amp;RIGHT("00"&amp;VALUE(TRIM(LEFT(MID(Sync!$L288,FIND("/",Sync!$L288)+1,20),FIND("/",MID(Sync!$L288,FIND("/",Sync!$L288)+1,20))-1))),2)&amp;"/"&amp;RIGHT("00"&amp;VALUE(TRIM(MID(MID(Sync!$L288,FIND("/",Sync!$L288)+1,20),FIND("/",MID(Sync!$L288,FIND("/",Sync!$L288)+1,20))+1,20))),2),"")))</f>
        <v/>
      </c>
    </row>
    <row r="289" spans="1:14" x14ac:dyDescent="0.2">
      <c r="A289" t="str">
        <f>IF(Issues!$B292="","",Issues!$B292)</f>
        <v/>
      </c>
      <c r="B289" t="str">
        <f>IF($A289="","",IF(ISNUMBER(Issues!$C292),IF(AND(Issues!$C292&gt;=10000101,Issues!$C292&lt;=99991231),INT(Issues!$C292/10000),""),IFERROR(VALUE(TRIM(LEFT(Issues!$C292,FIND("/",Issues!$C292)-1))),"")))</f>
        <v/>
      </c>
      <c r="C289" t="str">
        <f>IF(OR($A289="",$B289=""),"",IF(ISNUMBER(Issues!$C292),INT(MOD(Issues!$C292,10000)/100),IFERROR(VALUE(TRIM(LEFT(MID(Issues!$C292,FIND("/",Issues!$C292)+1,20),FIND("/",MID(Issues!$C292,FIND("/",Issues!$C292)+1,20))-1))),"")))</f>
        <v/>
      </c>
      <c r="D289" t="str">
        <f>IF(OR($A289="",$B289=""),"",IF(ISNUMBER(Issues!$C292),MOD(Issues!$C292,100),IFERROR(VALUE(TRIM(MID(MID(Issues!$C292,FIND("/",Issues!$C292)+1,20),FIND("/",MID(Issues!$C292,FIND("/",Issues!$C292)+1,20))+1,20))),"")))</f>
        <v/>
      </c>
      <c r="E289" t="str">
        <f t="shared" si="12"/>
        <v/>
      </c>
      <c r="F289" t="str">
        <f>IF($A289="","",IF(Issues!$D292="",0,Issues!$D292))</f>
        <v/>
      </c>
      <c r="G289" t="str">
        <f>IF($A289="","",Issues!$E292)</f>
        <v/>
      </c>
      <c r="H289" t="str">
        <f t="shared" si="13"/>
        <v/>
      </c>
      <c r="I289" t="str">
        <f t="shared" si="14"/>
        <v/>
      </c>
      <c r="J289" t="str">
        <f>IF($A289="","",Issues!$G292)</f>
        <v/>
      </c>
      <c r="K289" t="str">
        <f>IF(OR($E289="",$E289="نامعتبر"),"",LEFT($E289,4)&amp;MID($E289,6,2)&amp;RIGHT($E289,2)&amp;"|"&amp;RIGHT("00000"&amp;284,5))</f>
        <v/>
      </c>
      <c r="M289" t="str">
        <f>IF(Sync!$M289&lt;&gt;"پاس چک","",IF(Sync!$P289="","",Sync!$P289))</f>
        <v/>
      </c>
      <c r="N289" t="str">
        <f>IF($M289="","",IF(ISNUMBER(Sync!$L289),IF(AND(Sync!$L289&gt;=10000101,Sync!$L289&lt;=99991231),RIGHT("0000"&amp;INT(Sync!$L289/10000),4)&amp;"/"&amp;RIGHT("00"&amp;INT(MOD(Sync!$L289,10000)/100),2)&amp;"/"&amp;RIGHT("00"&amp;MOD(Sync!$L289,100),2),""),IFERROR(RIGHT("0000"&amp;VALUE(TRIM(LEFT(Sync!$L289,FIND("/",Sync!$L289)-1))),4)&amp;"/"&amp;RIGHT("00"&amp;VALUE(TRIM(LEFT(MID(Sync!$L289,FIND("/",Sync!$L289)+1,20),FIND("/",MID(Sync!$L289,FIND("/",Sync!$L289)+1,20))-1))),2)&amp;"/"&amp;RIGHT("00"&amp;VALUE(TRIM(MID(MID(Sync!$L289,FIND("/",Sync!$L289)+1,20),FIND("/",MID(Sync!$L289,FIND("/",Sync!$L289)+1,20))+1,20))),2),"")))</f>
        <v/>
      </c>
    </row>
    <row r="290" spans="1:14" x14ac:dyDescent="0.2">
      <c r="A290" t="str">
        <f>IF(Issues!$B293="","",Issues!$B293)</f>
        <v/>
      </c>
      <c r="B290" t="str">
        <f>IF($A290="","",IF(ISNUMBER(Issues!$C293),IF(AND(Issues!$C293&gt;=10000101,Issues!$C293&lt;=99991231),INT(Issues!$C293/10000),""),IFERROR(VALUE(TRIM(LEFT(Issues!$C293,FIND("/",Issues!$C293)-1))),"")))</f>
        <v/>
      </c>
      <c r="C290" t="str">
        <f>IF(OR($A290="",$B290=""),"",IF(ISNUMBER(Issues!$C293),INT(MOD(Issues!$C293,10000)/100),IFERROR(VALUE(TRIM(LEFT(MID(Issues!$C293,FIND("/",Issues!$C293)+1,20),FIND("/",MID(Issues!$C293,FIND("/",Issues!$C293)+1,20))-1))),"")))</f>
        <v/>
      </c>
      <c r="D290" t="str">
        <f>IF(OR($A290="",$B290=""),"",IF(ISNUMBER(Issues!$C293),MOD(Issues!$C293,100),IFERROR(VALUE(TRIM(MID(MID(Issues!$C293,FIND("/",Issues!$C293)+1,20),FIND("/",MID(Issues!$C293,FIND("/",Issues!$C293)+1,20))+1,20))),"")))</f>
        <v/>
      </c>
      <c r="E290" t="str">
        <f t="shared" si="12"/>
        <v/>
      </c>
      <c r="F290" t="str">
        <f>IF($A290="","",IF(Issues!$D293="",0,Issues!$D293))</f>
        <v/>
      </c>
      <c r="G290" t="str">
        <f>IF($A290="","",Issues!$E293)</f>
        <v/>
      </c>
      <c r="H290" t="str">
        <f t="shared" si="13"/>
        <v/>
      </c>
      <c r="I290" t="str">
        <f t="shared" si="14"/>
        <v/>
      </c>
      <c r="J290" t="str">
        <f>IF($A290="","",Issues!$G293)</f>
        <v/>
      </c>
      <c r="K290" t="str">
        <f>IF(OR($E290="",$E290="نامعتبر"),"",LEFT($E290,4)&amp;MID($E290,6,2)&amp;RIGHT($E290,2)&amp;"|"&amp;RIGHT("00000"&amp;285,5))</f>
        <v/>
      </c>
      <c r="M290" t="str">
        <f>IF(Sync!$M290&lt;&gt;"پاس چک","",IF(Sync!$P290="","",Sync!$P290))</f>
        <v/>
      </c>
      <c r="N290" t="str">
        <f>IF($M290="","",IF(ISNUMBER(Sync!$L290),IF(AND(Sync!$L290&gt;=10000101,Sync!$L290&lt;=99991231),RIGHT("0000"&amp;INT(Sync!$L290/10000),4)&amp;"/"&amp;RIGHT("00"&amp;INT(MOD(Sync!$L290,10000)/100),2)&amp;"/"&amp;RIGHT("00"&amp;MOD(Sync!$L290,100),2),""),IFERROR(RIGHT("0000"&amp;VALUE(TRIM(LEFT(Sync!$L290,FIND("/",Sync!$L290)-1))),4)&amp;"/"&amp;RIGHT("00"&amp;VALUE(TRIM(LEFT(MID(Sync!$L290,FIND("/",Sync!$L290)+1,20),FIND("/",MID(Sync!$L290,FIND("/",Sync!$L290)+1,20))-1))),2)&amp;"/"&amp;RIGHT("00"&amp;VALUE(TRIM(MID(MID(Sync!$L290,FIND("/",Sync!$L290)+1,20),FIND("/",MID(Sync!$L290,FIND("/",Sync!$L290)+1,20))+1,20))),2),"")))</f>
        <v/>
      </c>
    </row>
    <row r="291" spans="1:14" x14ac:dyDescent="0.2">
      <c r="A291" t="str">
        <f>IF(Issues!$B294="","",Issues!$B294)</f>
        <v/>
      </c>
      <c r="B291" t="str">
        <f>IF($A291="","",IF(ISNUMBER(Issues!$C294),IF(AND(Issues!$C294&gt;=10000101,Issues!$C294&lt;=99991231),INT(Issues!$C294/10000),""),IFERROR(VALUE(TRIM(LEFT(Issues!$C294,FIND("/",Issues!$C294)-1))),"")))</f>
        <v/>
      </c>
      <c r="C291" t="str">
        <f>IF(OR($A291="",$B291=""),"",IF(ISNUMBER(Issues!$C294),INT(MOD(Issues!$C294,10000)/100),IFERROR(VALUE(TRIM(LEFT(MID(Issues!$C294,FIND("/",Issues!$C294)+1,20),FIND("/",MID(Issues!$C294,FIND("/",Issues!$C294)+1,20))-1))),"")))</f>
        <v/>
      </c>
      <c r="D291" t="str">
        <f>IF(OR($A291="",$B291=""),"",IF(ISNUMBER(Issues!$C294),MOD(Issues!$C294,100),IFERROR(VALUE(TRIM(MID(MID(Issues!$C294,FIND("/",Issues!$C294)+1,20),FIND("/",MID(Issues!$C294,FIND("/",Issues!$C294)+1,20))+1,20))),"")))</f>
        <v/>
      </c>
      <c r="E291" t="str">
        <f t="shared" si="12"/>
        <v/>
      </c>
      <c r="F291" t="str">
        <f>IF($A291="","",IF(Issues!$D294="",0,Issues!$D294))</f>
        <v/>
      </c>
      <c r="G291" t="str">
        <f>IF($A291="","",Issues!$E294)</f>
        <v/>
      </c>
      <c r="H291" t="str">
        <f t="shared" si="13"/>
        <v/>
      </c>
      <c r="I291" t="str">
        <f t="shared" si="14"/>
        <v/>
      </c>
      <c r="J291" t="str">
        <f>IF($A291="","",Issues!$G294)</f>
        <v/>
      </c>
      <c r="K291" t="str">
        <f>IF(OR($E291="",$E291="نامعتبر"),"",LEFT($E291,4)&amp;MID($E291,6,2)&amp;RIGHT($E291,2)&amp;"|"&amp;RIGHT("00000"&amp;286,5))</f>
        <v/>
      </c>
      <c r="M291" t="str">
        <f>IF(Sync!$M291&lt;&gt;"پاس چک","",IF(Sync!$P291="","",Sync!$P291))</f>
        <v/>
      </c>
      <c r="N291" t="str">
        <f>IF($M291="","",IF(ISNUMBER(Sync!$L291),IF(AND(Sync!$L291&gt;=10000101,Sync!$L291&lt;=99991231),RIGHT("0000"&amp;INT(Sync!$L291/10000),4)&amp;"/"&amp;RIGHT("00"&amp;INT(MOD(Sync!$L291,10000)/100),2)&amp;"/"&amp;RIGHT("00"&amp;MOD(Sync!$L291,100),2),""),IFERROR(RIGHT("0000"&amp;VALUE(TRIM(LEFT(Sync!$L291,FIND("/",Sync!$L291)-1))),4)&amp;"/"&amp;RIGHT("00"&amp;VALUE(TRIM(LEFT(MID(Sync!$L291,FIND("/",Sync!$L291)+1,20),FIND("/",MID(Sync!$L291,FIND("/",Sync!$L291)+1,20))-1))),2)&amp;"/"&amp;RIGHT("00"&amp;VALUE(TRIM(MID(MID(Sync!$L291,FIND("/",Sync!$L291)+1,20),FIND("/",MID(Sync!$L291,FIND("/",Sync!$L291)+1,20))+1,20))),2),"")))</f>
        <v/>
      </c>
    </row>
    <row r="292" spans="1:14" x14ac:dyDescent="0.2">
      <c r="A292" t="str">
        <f>IF(Issues!$B295="","",Issues!$B295)</f>
        <v/>
      </c>
      <c r="B292" t="str">
        <f>IF($A292="","",IF(ISNUMBER(Issues!$C295),IF(AND(Issues!$C295&gt;=10000101,Issues!$C295&lt;=99991231),INT(Issues!$C295/10000),""),IFERROR(VALUE(TRIM(LEFT(Issues!$C295,FIND("/",Issues!$C295)-1))),"")))</f>
        <v/>
      </c>
      <c r="C292" t="str">
        <f>IF(OR($A292="",$B292=""),"",IF(ISNUMBER(Issues!$C295),INT(MOD(Issues!$C295,10000)/100),IFERROR(VALUE(TRIM(LEFT(MID(Issues!$C295,FIND("/",Issues!$C295)+1,20),FIND("/",MID(Issues!$C295,FIND("/",Issues!$C295)+1,20))-1))),"")))</f>
        <v/>
      </c>
      <c r="D292" t="str">
        <f>IF(OR($A292="",$B292=""),"",IF(ISNUMBER(Issues!$C295),MOD(Issues!$C295,100),IFERROR(VALUE(TRIM(MID(MID(Issues!$C295,FIND("/",Issues!$C295)+1,20),FIND("/",MID(Issues!$C295,FIND("/",Issues!$C295)+1,20))+1,20))),"")))</f>
        <v/>
      </c>
      <c r="E292" t="str">
        <f t="shared" si="12"/>
        <v/>
      </c>
      <c r="F292" t="str">
        <f>IF($A292="","",IF(Issues!$D295="",0,Issues!$D295))</f>
        <v/>
      </c>
      <c r="G292" t="str">
        <f>IF($A292="","",Issues!$E295)</f>
        <v/>
      </c>
      <c r="H292" t="str">
        <f t="shared" si="13"/>
        <v/>
      </c>
      <c r="I292" t="str">
        <f t="shared" si="14"/>
        <v/>
      </c>
      <c r="J292" t="str">
        <f>IF($A292="","",Issues!$G295)</f>
        <v/>
      </c>
      <c r="K292" t="str">
        <f>IF(OR($E292="",$E292="نامعتبر"),"",LEFT($E292,4)&amp;MID($E292,6,2)&amp;RIGHT($E292,2)&amp;"|"&amp;RIGHT("00000"&amp;287,5))</f>
        <v/>
      </c>
      <c r="M292" t="str">
        <f>IF(Sync!$M292&lt;&gt;"پاس چک","",IF(Sync!$P292="","",Sync!$P292))</f>
        <v/>
      </c>
      <c r="N292" t="str">
        <f>IF($M292="","",IF(ISNUMBER(Sync!$L292),IF(AND(Sync!$L292&gt;=10000101,Sync!$L292&lt;=99991231),RIGHT("0000"&amp;INT(Sync!$L292/10000),4)&amp;"/"&amp;RIGHT("00"&amp;INT(MOD(Sync!$L292,10000)/100),2)&amp;"/"&amp;RIGHT("00"&amp;MOD(Sync!$L292,100),2),""),IFERROR(RIGHT("0000"&amp;VALUE(TRIM(LEFT(Sync!$L292,FIND("/",Sync!$L292)-1))),4)&amp;"/"&amp;RIGHT("00"&amp;VALUE(TRIM(LEFT(MID(Sync!$L292,FIND("/",Sync!$L292)+1,20),FIND("/",MID(Sync!$L292,FIND("/",Sync!$L292)+1,20))-1))),2)&amp;"/"&amp;RIGHT("00"&amp;VALUE(TRIM(MID(MID(Sync!$L292,FIND("/",Sync!$L292)+1,20),FIND("/",MID(Sync!$L292,FIND("/",Sync!$L292)+1,20))+1,20))),2),"")))</f>
        <v/>
      </c>
    </row>
    <row r="293" spans="1:14" x14ac:dyDescent="0.2">
      <c r="A293" t="str">
        <f>IF(Issues!$B296="","",Issues!$B296)</f>
        <v/>
      </c>
      <c r="B293" t="str">
        <f>IF($A293="","",IF(ISNUMBER(Issues!$C296),IF(AND(Issues!$C296&gt;=10000101,Issues!$C296&lt;=99991231),INT(Issues!$C296/10000),""),IFERROR(VALUE(TRIM(LEFT(Issues!$C296,FIND("/",Issues!$C296)-1))),"")))</f>
        <v/>
      </c>
      <c r="C293" t="str">
        <f>IF(OR($A293="",$B293=""),"",IF(ISNUMBER(Issues!$C296),INT(MOD(Issues!$C296,10000)/100),IFERROR(VALUE(TRIM(LEFT(MID(Issues!$C296,FIND("/",Issues!$C296)+1,20),FIND("/",MID(Issues!$C296,FIND("/",Issues!$C296)+1,20))-1))),"")))</f>
        <v/>
      </c>
      <c r="D293" t="str">
        <f>IF(OR($A293="",$B293=""),"",IF(ISNUMBER(Issues!$C296),MOD(Issues!$C296,100),IFERROR(VALUE(TRIM(MID(MID(Issues!$C296,FIND("/",Issues!$C296)+1,20),FIND("/",MID(Issues!$C296,FIND("/",Issues!$C296)+1,20))+1,20))),"")))</f>
        <v/>
      </c>
      <c r="E293" t="str">
        <f t="shared" si="12"/>
        <v/>
      </c>
      <c r="F293" t="str">
        <f>IF($A293="","",IF(Issues!$D296="",0,Issues!$D296))</f>
        <v/>
      </c>
      <c r="G293" t="str">
        <f>IF($A293="","",Issues!$E296)</f>
        <v/>
      </c>
      <c r="H293" t="str">
        <f t="shared" si="13"/>
        <v/>
      </c>
      <c r="I293" t="str">
        <f t="shared" si="14"/>
        <v/>
      </c>
      <c r="J293" t="str">
        <f>IF($A293="","",Issues!$G296)</f>
        <v/>
      </c>
      <c r="K293" t="str">
        <f>IF(OR($E293="",$E293="نامعتبر"),"",LEFT($E293,4)&amp;MID($E293,6,2)&amp;RIGHT($E293,2)&amp;"|"&amp;RIGHT("00000"&amp;288,5))</f>
        <v/>
      </c>
      <c r="M293" t="str">
        <f>IF(Sync!$M293&lt;&gt;"پاس چک","",IF(Sync!$P293="","",Sync!$P293))</f>
        <v/>
      </c>
      <c r="N293" t="str">
        <f>IF($M293="","",IF(ISNUMBER(Sync!$L293),IF(AND(Sync!$L293&gt;=10000101,Sync!$L293&lt;=99991231),RIGHT("0000"&amp;INT(Sync!$L293/10000),4)&amp;"/"&amp;RIGHT("00"&amp;INT(MOD(Sync!$L293,10000)/100),2)&amp;"/"&amp;RIGHT("00"&amp;MOD(Sync!$L293,100),2),""),IFERROR(RIGHT("0000"&amp;VALUE(TRIM(LEFT(Sync!$L293,FIND("/",Sync!$L293)-1))),4)&amp;"/"&amp;RIGHT("00"&amp;VALUE(TRIM(LEFT(MID(Sync!$L293,FIND("/",Sync!$L293)+1,20),FIND("/",MID(Sync!$L293,FIND("/",Sync!$L293)+1,20))-1))),2)&amp;"/"&amp;RIGHT("00"&amp;VALUE(TRIM(MID(MID(Sync!$L293,FIND("/",Sync!$L293)+1,20),FIND("/",MID(Sync!$L293,FIND("/",Sync!$L293)+1,20))+1,20))),2),"")))</f>
        <v/>
      </c>
    </row>
    <row r="294" spans="1:14" x14ac:dyDescent="0.2">
      <c r="A294" t="str">
        <f>IF(Issues!$B297="","",Issues!$B297)</f>
        <v/>
      </c>
      <c r="B294" t="str">
        <f>IF($A294="","",IF(ISNUMBER(Issues!$C297),IF(AND(Issues!$C297&gt;=10000101,Issues!$C297&lt;=99991231),INT(Issues!$C297/10000),""),IFERROR(VALUE(TRIM(LEFT(Issues!$C297,FIND("/",Issues!$C297)-1))),"")))</f>
        <v/>
      </c>
      <c r="C294" t="str">
        <f>IF(OR($A294="",$B294=""),"",IF(ISNUMBER(Issues!$C297),INT(MOD(Issues!$C297,10000)/100),IFERROR(VALUE(TRIM(LEFT(MID(Issues!$C297,FIND("/",Issues!$C297)+1,20),FIND("/",MID(Issues!$C297,FIND("/",Issues!$C297)+1,20))-1))),"")))</f>
        <v/>
      </c>
      <c r="D294" t="str">
        <f>IF(OR($A294="",$B294=""),"",IF(ISNUMBER(Issues!$C297),MOD(Issues!$C297,100),IFERROR(VALUE(TRIM(MID(MID(Issues!$C297,FIND("/",Issues!$C297)+1,20),FIND("/",MID(Issues!$C297,FIND("/",Issues!$C297)+1,20))+1,20))),"")))</f>
        <v/>
      </c>
      <c r="E294" t="str">
        <f t="shared" si="12"/>
        <v/>
      </c>
      <c r="F294" t="str">
        <f>IF($A294="","",IF(Issues!$D297="",0,Issues!$D297))</f>
        <v/>
      </c>
      <c r="G294" t="str">
        <f>IF($A294="","",Issues!$E297)</f>
        <v/>
      </c>
      <c r="H294" t="str">
        <f t="shared" si="13"/>
        <v/>
      </c>
      <c r="I294" t="str">
        <f t="shared" si="14"/>
        <v/>
      </c>
      <c r="J294" t="str">
        <f>IF($A294="","",Issues!$G297)</f>
        <v/>
      </c>
      <c r="K294" t="str">
        <f>IF(OR($E294="",$E294="نامعتبر"),"",LEFT($E294,4)&amp;MID($E294,6,2)&amp;RIGHT($E294,2)&amp;"|"&amp;RIGHT("00000"&amp;289,5))</f>
        <v/>
      </c>
      <c r="M294" t="str">
        <f>IF(Sync!$M294&lt;&gt;"پاس چک","",IF(Sync!$P294="","",Sync!$P294))</f>
        <v/>
      </c>
      <c r="N294" t="str">
        <f>IF($M294="","",IF(ISNUMBER(Sync!$L294),IF(AND(Sync!$L294&gt;=10000101,Sync!$L294&lt;=99991231),RIGHT("0000"&amp;INT(Sync!$L294/10000),4)&amp;"/"&amp;RIGHT("00"&amp;INT(MOD(Sync!$L294,10000)/100),2)&amp;"/"&amp;RIGHT("00"&amp;MOD(Sync!$L294,100),2),""),IFERROR(RIGHT("0000"&amp;VALUE(TRIM(LEFT(Sync!$L294,FIND("/",Sync!$L294)-1))),4)&amp;"/"&amp;RIGHT("00"&amp;VALUE(TRIM(LEFT(MID(Sync!$L294,FIND("/",Sync!$L294)+1,20),FIND("/",MID(Sync!$L294,FIND("/",Sync!$L294)+1,20))-1))),2)&amp;"/"&amp;RIGHT("00"&amp;VALUE(TRIM(MID(MID(Sync!$L294,FIND("/",Sync!$L294)+1,20),FIND("/",MID(Sync!$L294,FIND("/",Sync!$L294)+1,20))+1,20))),2),"")))</f>
        <v/>
      </c>
    </row>
    <row r="295" spans="1:14" x14ac:dyDescent="0.2">
      <c r="A295" t="str">
        <f>IF(Issues!$B298="","",Issues!$B298)</f>
        <v/>
      </c>
      <c r="B295" t="str">
        <f>IF($A295="","",IF(ISNUMBER(Issues!$C298),IF(AND(Issues!$C298&gt;=10000101,Issues!$C298&lt;=99991231),INT(Issues!$C298/10000),""),IFERROR(VALUE(TRIM(LEFT(Issues!$C298,FIND("/",Issues!$C298)-1))),"")))</f>
        <v/>
      </c>
      <c r="C295" t="str">
        <f>IF(OR($A295="",$B295=""),"",IF(ISNUMBER(Issues!$C298),INT(MOD(Issues!$C298,10000)/100),IFERROR(VALUE(TRIM(LEFT(MID(Issues!$C298,FIND("/",Issues!$C298)+1,20),FIND("/",MID(Issues!$C298,FIND("/",Issues!$C298)+1,20))-1))),"")))</f>
        <v/>
      </c>
      <c r="D295" t="str">
        <f>IF(OR($A295="",$B295=""),"",IF(ISNUMBER(Issues!$C298),MOD(Issues!$C298,100),IFERROR(VALUE(TRIM(MID(MID(Issues!$C298,FIND("/",Issues!$C298)+1,20),FIND("/",MID(Issues!$C298,FIND("/",Issues!$C298)+1,20))+1,20))),"")))</f>
        <v/>
      </c>
      <c r="E295" t="str">
        <f t="shared" si="12"/>
        <v/>
      </c>
      <c r="F295" t="str">
        <f>IF($A295="","",IF(Issues!$D298="",0,Issues!$D298))</f>
        <v/>
      </c>
      <c r="G295" t="str">
        <f>IF($A295="","",Issues!$E298)</f>
        <v/>
      </c>
      <c r="H295" t="str">
        <f t="shared" si="13"/>
        <v/>
      </c>
      <c r="I295" t="str">
        <f t="shared" si="14"/>
        <v/>
      </c>
      <c r="J295" t="str">
        <f>IF($A295="","",Issues!$G298)</f>
        <v/>
      </c>
      <c r="K295" t="str">
        <f>IF(OR($E295="",$E295="نامعتبر"),"",LEFT($E295,4)&amp;MID($E295,6,2)&amp;RIGHT($E295,2)&amp;"|"&amp;RIGHT("00000"&amp;290,5))</f>
        <v/>
      </c>
      <c r="M295" t="str">
        <f>IF(Sync!$M295&lt;&gt;"پاس چک","",IF(Sync!$P295="","",Sync!$P295))</f>
        <v/>
      </c>
      <c r="N295" t="str">
        <f>IF($M295="","",IF(ISNUMBER(Sync!$L295),IF(AND(Sync!$L295&gt;=10000101,Sync!$L295&lt;=99991231),RIGHT("0000"&amp;INT(Sync!$L295/10000),4)&amp;"/"&amp;RIGHT("00"&amp;INT(MOD(Sync!$L295,10000)/100),2)&amp;"/"&amp;RIGHT("00"&amp;MOD(Sync!$L295,100),2),""),IFERROR(RIGHT("0000"&amp;VALUE(TRIM(LEFT(Sync!$L295,FIND("/",Sync!$L295)-1))),4)&amp;"/"&amp;RIGHT("00"&amp;VALUE(TRIM(LEFT(MID(Sync!$L295,FIND("/",Sync!$L295)+1,20),FIND("/",MID(Sync!$L295,FIND("/",Sync!$L295)+1,20))-1))),2)&amp;"/"&amp;RIGHT("00"&amp;VALUE(TRIM(MID(MID(Sync!$L295,FIND("/",Sync!$L295)+1,20),FIND("/",MID(Sync!$L295,FIND("/",Sync!$L295)+1,20))+1,20))),2),"")))</f>
        <v/>
      </c>
    </row>
    <row r="296" spans="1:14" x14ac:dyDescent="0.2">
      <c r="A296" t="str">
        <f>IF(Issues!$B299="","",Issues!$B299)</f>
        <v/>
      </c>
      <c r="B296" t="str">
        <f>IF($A296="","",IF(ISNUMBER(Issues!$C299),IF(AND(Issues!$C299&gt;=10000101,Issues!$C299&lt;=99991231),INT(Issues!$C299/10000),""),IFERROR(VALUE(TRIM(LEFT(Issues!$C299,FIND("/",Issues!$C299)-1))),"")))</f>
        <v/>
      </c>
      <c r="C296" t="str">
        <f>IF(OR($A296="",$B296=""),"",IF(ISNUMBER(Issues!$C299),INT(MOD(Issues!$C299,10000)/100),IFERROR(VALUE(TRIM(LEFT(MID(Issues!$C299,FIND("/",Issues!$C299)+1,20),FIND("/",MID(Issues!$C299,FIND("/",Issues!$C299)+1,20))-1))),"")))</f>
        <v/>
      </c>
      <c r="D296" t="str">
        <f>IF(OR($A296="",$B296=""),"",IF(ISNUMBER(Issues!$C299),MOD(Issues!$C299,100),IFERROR(VALUE(TRIM(MID(MID(Issues!$C299,FIND("/",Issues!$C299)+1,20),FIND("/",MID(Issues!$C299,FIND("/",Issues!$C299)+1,20))+1,20))),"")))</f>
        <v/>
      </c>
      <c r="E296" t="str">
        <f t="shared" si="12"/>
        <v/>
      </c>
      <c r="F296" t="str">
        <f>IF($A296="","",IF(Issues!$D299="",0,Issues!$D299))</f>
        <v/>
      </c>
      <c r="G296" t="str">
        <f>IF($A296="","",Issues!$E299)</f>
        <v/>
      </c>
      <c r="H296" t="str">
        <f t="shared" si="13"/>
        <v/>
      </c>
      <c r="I296" t="str">
        <f t="shared" si="14"/>
        <v/>
      </c>
      <c r="J296" t="str">
        <f>IF($A296="","",Issues!$G299)</f>
        <v/>
      </c>
      <c r="K296" t="str">
        <f>IF(OR($E296="",$E296="نامعتبر"),"",LEFT($E296,4)&amp;MID($E296,6,2)&amp;RIGHT($E296,2)&amp;"|"&amp;RIGHT("00000"&amp;291,5))</f>
        <v/>
      </c>
      <c r="M296" t="str">
        <f>IF(Sync!$M296&lt;&gt;"پاس چک","",IF(Sync!$P296="","",Sync!$P296))</f>
        <v/>
      </c>
      <c r="N296" t="str">
        <f>IF($M296="","",IF(ISNUMBER(Sync!$L296),IF(AND(Sync!$L296&gt;=10000101,Sync!$L296&lt;=99991231),RIGHT("0000"&amp;INT(Sync!$L296/10000),4)&amp;"/"&amp;RIGHT("00"&amp;INT(MOD(Sync!$L296,10000)/100),2)&amp;"/"&amp;RIGHT("00"&amp;MOD(Sync!$L296,100),2),""),IFERROR(RIGHT("0000"&amp;VALUE(TRIM(LEFT(Sync!$L296,FIND("/",Sync!$L296)-1))),4)&amp;"/"&amp;RIGHT("00"&amp;VALUE(TRIM(LEFT(MID(Sync!$L296,FIND("/",Sync!$L296)+1,20),FIND("/",MID(Sync!$L296,FIND("/",Sync!$L296)+1,20))-1))),2)&amp;"/"&amp;RIGHT("00"&amp;VALUE(TRIM(MID(MID(Sync!$L296,FIND("/",Sync!$L296)+1,20),FIND("/",MID(Sync!$L296,FIND("/",Sync!$L296)+1,20))+1,20))),2),"")))</f>
        <v/>
      </c>
    </row>
    <row r="297" spans="1:14" x14ac:dyDescent="0.2">
      <c r="A297" t="str">
        <f>IF(Issues!$B300="","",Issues!$B300)</f>
        <v/>
      </c>
      <c r="B297" t="str">
        <f>IF($A297="","",IF(ISNUMBER(Issues!$C300),IF(AND(Issues!$C300&gt;=10000101,Issues!$C300&lt;=99991231),INT(Issues!$C300/10000),""),IFERROR(VALUE(TRIM(LEFT(Issues!$C300,FIND("/",Issues!$C300)-1))),"")))</f>
        <v/>
      </c>
      <c r="C297" t="str">
        <f>IF(OR($A297="",$B297=""),"",IF(ISNUMBER(Issues!$C300),INT(MOD(Issues!$C300,10000)/100),IFERROR(VALUE(TRIM(LEFT(MID(Issues!$C300,FIND("/",Issues!$C300)+1,20),FIND("/",MID(Issues!$C300,FIND("/",Issues!$C300)+1,20))-1))),"")))</f>
        <v/>
      </c>
      <c r="D297" t="str">
        <f>IF(OR($A297="",$B297=""),"",IF(ISNUMBER(Issues!$C300),MOD(Issues!$C300,100),IFERROR(VALUE(TRIM(MID(MID(Issues!$C300,FIND("/",Issues!$C300)+1,20),FIND("/",MID(Issues!$C300,FIND("/",Issues!$C300)+1,20))+1,20))),"")))</f>
        <v/>
      </c>
      <c r="E297" t="str">
        <f t="shared" si="12"/>
        <v/>
      </c>
      <c r="F297" t="str">
        <f>IF($A297="","",IF(Issues!$D300="",0,Issues!$D300))</f>
        <v/>
      </c>
      <c r="G297" t="str">
        <f>IF($A297="","",Issues!$E300)</f>
        <v/>
      </c>
      <c r="H297" t="str">
        <f t="shared" si="13"/>
        <v/>
      </c>
      <c r="I297" t="str">
        <f t="shared" si="14"/>
        <v/>
      </c>
      <c r="J297" t="str">
        <f>IF($A297="","",Issues!$G300)</f>
        <v/>
      </c>
      <c r="K297" t="str">
        <f>IF(OR($E297="",$E297="نامعتبر"),"",LEFT($E297,4)&amp;MID($E297,6,2)&amp;RIGHT($E297,2)&amp;"|"&amp;RIGHT("00000"&amp;292,5))</f>
        <v/>
      </c>
      <c r="M297" t="str">
        <f>IF(Sync!$M297&lt;&gt;"پاس چک","",IF(Sync!$P297="","",Sync!$P297))</f>
        <v/>
      </c>
      <c r="N297" t="str">
        <f>IF($M297="","",IF(ISNUMBER(Sync!$L297),IF(AND(Sync!$L297&gt;=10000101,Sync!$L297&lt;=99991231),RIGHT("0000"&amp;INT(Sync!$L297/10000),4)&amp;"/"&amp;RIGHT("00"&amp;INT(MOD(Sync!$L297,10000)/100),2)&amp;"/"&amp;RIGHT("00"&amp;MOD(Sync!$L297,100),2),""),IFERROR(RIGHT("0000"&amp;VALUE(TRIM(LEFT(Sync!$L297,FIND("/",Sync!$L297)-1))),4)&amp;"/"&amp;RIGHT("00"&amp;VALUE(TRIM(LEFT(MID(Sync!$L297,FIND("/",Sync!$L297)+1,20),FIND("/",MID(Sync!$L297,FIND("/",Sync!$L297)+1,20))-1))),2)&amp;"/"&amp;RIGHT("00"&amp;VALUE(TRIM(MID(MID(Sync!$L297,FIND("/",Sync!$L297)+1,20),FIND("/",MID(Sync!$L297,FIND("/",Sync!$L297)+1,20))+1,20))),2),"")))</f>
        <v/>
      </c>
    </row>
    <row r="298" spans="1:14" x14ac:dyDescent="0.2">
      <c r="A298" t="str">
        <f>IF(Issues!$B301="","",Issues!$B301)</f>
        <v/>
      </c>
      <c r="B298" t="str">
        <f>IF($A298="","",IF(ISNUMBER(Issues!$C301),IF(AND(Issues!$C301&gt;=10000101,Issues!$C301&lt;=99991231),INT(Issues!$C301/10000),""),IFERROR(VALUE(TRIM(LEFT(Issues!$C301,FIND("/",Issues!$C301)-1))),"")))</f>
        <v/>
      </c>
      <c r="C298" t="str">
        <f>IF(OR($A298="",$B298=""),"",IF(ISNUMBER(Issues!$C301),INT(MOD(Issues!$C301,10000)/100),IFERROR(VALUE(TRIM(LEFT(MID(Issues!$C301,FIND("/",Issues!$C301)+1,20),FIND("/",MID(Issues!$C301,FIND("/",Issues!$C301)+1,20))-1))),"")))</f>
        <v/>
      </c>
      <c r="D298" t="str">
        <f>IF(OR($A298="",$B298=""),"",IF(ISNUMBER(Issues!$C301),MOD(Issues!$C301,100),IFERROR(VALUE(TRIM(MID(MID(Issues!$C301,FIND("/",Issues!$C301)+1,20),FIND("/",MID(Issues!$C301,FIND("/",Issues!$C301)+1,20))+1,20))),"")))</f>
        <v/>
      </c>
      <c r="E298" t="str">
        <f t="shared" si="12"/>
        <v/>
      </c>
      <c r="F298" t="str">
        <f>IF($A298="","",IF(Issues!$D301="",0,Issues!$D301))</f>
        <v/>
      </c>
      <c r="G298" t="str">
        <f>IF($A298="","",Issues!$E301)</f>
        <v/>
      </c>
      <c r="H298" t="str">
        <f t="shared" si="13"/>
        <v/>
      </c>
      <c r="I298" t="str">
        <f t="shared" si="14"/>
        <v/>
      </c>
      <c r="J298" t="str">
        <f>IF($A298="","",Issues!$G301)</f>
        <v/>
      </c>
      <c r="K298" t="str">
        <f>IF(OR($E298="",$E298="نامعتبر"),"",LEFT($E298,4)&amp;MID($E298,6,2)&amp;RIGHT($E298,2)&amp;"|"&amp;RIGHT("00000"&amp;293,5))</f>
        <v/>
      </c>
      <c r="M298" t="str">
        <f>IF(Sync!$M298&lt;&gt;"پاس چک","",IF(Sync!$P298="","",Sync!$P298))</f>
        <v/>
      </c>
      <c r="N298" t="str">
        <f>IF($M298="","",IF(ISNUMBER(Sync!$L298),IF(AND(Sync!$L298&gt;=10000101,Sync!$L298&lt;=99991231),RIGHT("0000"&amp;INT(Sync!$L298/10000),4)&amp;"/"&amp;RIGHT("00"&amp;INT(MOD(Sync!$L298,10000)/100),2)&amp;"/"&amp;RIGHT("00"&amp;MOD(Sync!$L298,100),2),""),IFERROR(RIGHT("0000"&amp;VALUE(TRIM(LEFT(Sync!$L298,FIND("/",Sync!$L298)-1))),4)&amp;"/"&amp;RIGHT("00"&amp;VALUE(TRIM(LEFT(MID(Sync!$L298,FIND("/",Sync!$L298)+1,20),FIND("/",MID(Sync!$L298,FIND("/",Sync!$L298)+1,20))-1))),2)&amp;"/"&amp;RIGHT("00"&amp;VALUE(TRIM(MID(MID(Sync!$L298,FIND("/",Sync!$L298)+1,20),FIND("/",MID(Sync!$L298,FIND("/",Sync!$L298)+1,20))+1,20))),2),"")))</f>
        <v/>
      </c>
    </row>
    <row r="299" spans="1:14" x14ac:dyDescent="0.2">
      <c r="A299" t="str">
        <f>IF(Issues!$B302="","",Issues!$B302)</f>
        <v/>
      </c>
      <c r="B299" t="str">
        <f>IF($A299="","",IF(ISNUMBER(Issues!$C302),IF(AND(Issues!$C302&gt;=10000101,Issues!$C302&lt;=99991231),INT(Issues!$C302/10000),""),IFERROR(VALUE(TRIM(LEFT(Issues!$C302,FIND("/",Issues!$C302)-1))),"")))</f>
        <v/>
      </c>
      <c r="C299" t="str">
        <f>IF(OR($A299="",$B299=""),"",IF(ISNUMBER(Issues!$C302),INT(MOD(Issues!$C302,10000)/100),IFERROR(VALUE(TRIM(LEFT(MID(Issues!$C302,FIND("/",Issues!$C302)+1,20),FIND("/",MID(Issues!$C302,FIND("/",Issues!$C302)+1,20))-1))),"")))</f>
        <v/>
      </c>
      <c r="D299" t="str">
        <f>IF(OR($A299="",$B299=""),"",IF(ISNUMBER(Issues!$C302),MOD(Issues!$C302,100),IFERROR(VALUE(TRIM(MID(MID(Issues!$C302,FIND("/",Issues!$C302)+1,20),FIND("/",MID(Issues!$C302,FIND("/",Issues!$C302)+1,20))+1,20))),"")))</f>
        <v/>
      </c>
      <c r="E299" t="str">
        <f t="shared" si="12"/>
        <v/>
      </c>
      <c r="F299" t="str">
        <f>IF($A299="","",IF(Issues!$D302="",0,Issues!$D302))</f>
        <v/>
      </c>
      <c r="G299" t="str">
        <f>IF($A299="","",Issues!$E302)</f>
        <v/>
      </c>
      <c r="H299" t="str">
        <f t="shared" si="13"/>
        <v/>
      </c>
      <c r="I299" t="str">
        <f t="shared" si="14"/>
        <v/>
      </c>
      <c r="J299" t="str">
        <f>IF($A299="","",Issues!$G302)</f>
        <v/>
      </c>
      <c r="K299" t="str">
        <f>IF(OR($E299="",$E299="نامعتبر"),"",LEFT($E299,4)&amp;MID($E299,6,2)&amp;RIGHT($E299,2)&amp;"|"&amp;RIGHT("00000"&amp;294,5))</f>
        <v/>
      </c>
      <c r="M299" t="str">
        <f>IF(Sync!$M299&lt;&gt;"پاس چک","",IF(Sync!$P299="","",Sync!$P299))</f>
        <v/>
      </c>
      <c r="N299" t="str">
        <f>IF($M299="","",IF(ISNUMBER(Sync!$L299),IF(AND(Sync!$L299&gt;=10000101,Sync!$L299&lt;=99991231),RIGHT("0000"&amp;INT(Sync!$L299/10000),4)&amp;"/"&amp;RIGHT("00"&amp;INT(MOD(Sync!$L299,10000)/100),2)&amp;"/"&amp;RIGHT("00"&amp;MOD(Sync!$L299,100),2),""),IFERROR(RIGHT("0000"&amp;VALUE(TRIM(LEFT(Sync!$L299,FIND("/",Sync!$L299)-1))),4)&amp;"/"&amp;RIGHT("00"&amp;VALUE(TRIM(LEFT(MID(Sync!$L299,FIND("/",Sync!$L299)+1,20),FIND("/",MID(Sync!$L299,FIND("/",Sync!$L299)+1,20))-1))),2)&amp;"/"&amp;RIGHT("00"&amp;VALUE(TRIM(MID(MID(Sync!$L299,FIND("/",Sync!$L299)+1,20),FIND("/",MID(Sync!$L299,FIND("/",Sync!$L299)+1,20))+1,20))),2),"")))</f>
        <v/>
      </c>
    </row>
    <row r="300" spans="1:14" x14ac:dyDescent="0.2">
      <c r="A300" t="str">
        <f>IF(Issues!$B303="","",Issues!$B303)</f>
        <v/>
      </c>
      <c r="B300" t="str">
        <f>IF($A300="","",IF(ISNUMBER(Issues!$C303),IF(AND(Issues!$C303&gt;=10000101,Issues!$C303&lt;=99991231),INT(Issues!$C303/10000),""),IFERROR(VALUE(TRIM(LEFT(Issues!$C303,FIND("/",Issues!$C303)-1))),"")))</f>
        <v/>
      </c>
      <c r="C300" t="str">
        <f>IF(OR($A300="",$B300=""),"",IF(ISNUMBER(Issues!$C303),INT(MOD(Issues!$C303,10000)/100),IFERROR(VALUE(TRIM(LEFT(MID(Issues!$C303,FIND("/",Issues!$C303)+1,20),FIND("/",MID(Issues!$C303,FIND("/",Issues!$C303)+1,20))-1))),"")))</f>
        <v/>
      </c>
      <c r="D300" t="str">
        <f>IF(OR($A300="",$B300=""),"",IF(ISNUMBER(Issues!$C303),MOD(Issues!$C303,100),IFERROR(VALUE(TRIM(MID(MID(Issues!$C303,FIND("/",Issues!$C303)+1,20),FIND("/",MID(Issues!$C303,FIND("/",Issues!$C303)+1,20))+1,20))),"")))</f>
        <v/>
      </c>
      <c r="E300" t="str">
        <f t="shared" si="12"/>
        <v/>
      </c>
      <c r="F300" t="str">
        <f>IF($A300="","",IF(Issues!$D303="",0,Issues!$D303))</f>
        <v/>
      </c>
      <c r="G300" t="str">
        <f>IF($A300="","",Issues!$E303)</f>
        <v/>
      </c>
      <c r="H300" t="str">
        <f t="shared" si="13"/>
        <v/>
      </c>
      <c r="I300" t="str">
        <f t="shared" si="14"/>
        <v/>
      </c>
      <c r="J300" t="str">
        <f>IF($A300="","",Issues!$G303)</f>
        <v/>
      </c>
      <c r="K300" t="str">
        <f>IF(OR($E300="",$E300="نامعتبر"),"",LEFT($E300,4)&amp;MID($E300,6,2)&amp;RIGHT($E300,2)&amp;"|"&amp;RIGHT("00000"&amp;295,5))</f>
        <v/>
      </c>
      <c r="M300" t="str">
        <f>IF(Sync!$M300&lt;&gt;"پاس چک","",IF(Sync!$P300="","",Sync!$P300))</f>
        <v/>
      </c>
      <c r="N300" t="str">
        <f>IF($M300="","",IF(ISNUMBER(Sync!$L300),IF(AND(Sync!$L300&gt;=10000101,Sync!$L300&lt;=99991231),RIGHT("0000"&amp;INT(Sync!$L300/10000),4)&amp;"/"&amp;RIGHT("00"&amp;INT(MOD(Sync!$L300,10000)/100),2)&amp;"/"&amp;RIGHT("00"&amp;MOD(Sync!$L300,100),2),""),IFERROR(RIGHT("0000"&amp;VALUE(TRIM(LEFT(Sync!$L300,FIND("/",Sync!$L300)-1))),4)&amp;"/"&amp;RIGHT("00"&amp;VALUE(TRIM(LEFT(MID(Sync!$L300,FIND("/",Sync!$L300)+1,20),FIND("/",MID(Sync!$L300,FIND("/",Sync!$L300)+1,20))-1))),2)&amp;"/"&amp;RIGHT("00"&amp;VALUE(TRIM(MID(MID(Sync!$L300,FIND("/",Sync!$L300)+1,20),FIND("/",MID(Sync!$L300,FIND("/",Sync!$L300)+1,20))+1,20))),2),"")))</f>
        <v/>
      </c>
    </row>
    <row r="301" spans="1:14" x14ac:dyDescent="0.2">
      <c r="A301" t="str">
        <f>IF(Issues!$B304="","",Issues!$B304)</f>
        <v/>
      </c>
      <c r="B301" t="str">
        <f>IF($A301="","",IF(ISNUMBER(Issues!$C304),IF(AND(Issues!$C304&gt;=10000101,Issues!$C304&lt;=99991231),INT(Issues!$C304/10000),""),IFERROR(VALUE(TRIM(LEFT(Issues!$C304,FIND("/",Issues!$C304)-1))),"")))</f>
        <v/>
      </c>
      <c r="C301" t="str">
        <f>IF(OR($A301="",$B301=""),"",IF(ISNUMBER(Issues!$C304),INT(MOD(Issues!$C304,10000)/100),IFERROR(VALUE(TRIM(LEFT(MID(Issues!$C304,FIND("/",Issues!$C304)+1,20),FIND("/",MID(Issues!$C304,FIND("/",Issues!$C304)+1,20))-1))),"")))</f>
        <v/>
      </c>
      <c r="D301" t="str">
        <f>IF(OR($A301="",$B301=""),"",IF(ISNUMBER(Issues!$C304),MOD(Issues!$C304,100),IFERROR(VALUE(TRIM(MID(MID(Issues!$C304,FIND("/",Issues!$C304)+1,20),FIND("/",MID(Issues!$C304,FIND("/",Issues!$C304)+1,20))+1,20))),"")))</f>
        <v/>
      </c>
      <c r="E301" t="str">
        <f t="shared" si="12"/>
        <v/>
      </c>
      <c r="F301" t="str">
        <f>IF($A301="","",IF(Issues!$D304="",0,Issues!$D304))</f>
        <v/>
      </c>
      <c r="G301" t="str">
        <f>IF($A301="","",Issues!$E304)</f>
        <v/>
      </c>
      <c r="H301" t="str">
        <f t="shared" si="13"/>
        <v/>
      </c>
      <c r="I301" t="str">
        <f t="shared" si="14"/>
        <v/>
      </c>
      <c r="J301" t="str">
        <f>IF($A301="","",Issues!$G304)</f>
        <v/>
      </c>
      <c r="K301" t="str">
        <f>IF(OR($E301="",$E301="نامعتبر"),"",LEFT($E301,4)&amp;MID($E301,6,2)&amp;RIGHT($E301,2)&amp;"|"&amp;RIGHT("00000"&amp;296,5))</f>
        <v/>
      </c>
      <c r="M301" t="str">
        <f>IF(Sync!$M301&lt;&gt;"پاس چک","",IF(Sync!$P301="","",Sync!$P301))</f>
        <v/>
      </c>
      <c r="N301" t="str">
        <f>IF($M301="","",IF(ISNUMBER(Sync!$L301),IF(AND(Sync!$L301&gt;=10000101,Sync!$L301&lt;=99991231),RIGHT("0000"&amp;INT(Sync!$L301/10000),4)&amp;"/"&amp;RIGHT("00"&amp;INT(MOD(Sync!$L301,10000)/100),2)&amp;"/"&amp;RIGHT("00"&amp;MOD(Sync!$L301,100),2),""),IFERROR(RIGHT("0000"&amp;VALUE(TRIM(LEFT(Sync!$L301,FIND("/",Sync!$L301)-1))),4)&amp;"/"&amp;RIGHT("00"&amp;VALUE(TRIM(LEFT(MID(Sync!$L301,FIND("/",Sync!$L301)+1,20),FIND("/",MID(Sync!$L301,FIND("/",Sync!$L301)+1,20))-1))),2)&amp;"/"&amp;RIGHT("00"&amp;VALUE(TRIM(MID(MID(Sync!$L301,FIND("/",Sync!$L301)+1,20),FIND("/",MID(Sync!$L301,FIND("/",Sync!$L301)+1,20))+1,20))),2),"")))</f>
        <v/>
      </c>
    </row>
    <row r="302" spans="1:14" x14ac:dyDescent="0.2">
      <c r="A302" t="str">
        <f>IF(Issues!$B305="","",Issues!$B305)</f>
        <v/>
      </c>
      <c r="B302" t="str">
        <f>IF($A302="","",IF(ISNUMBER(Issues!$C305),IF(AND(Issues!$C305&gt;=10000101,Issues!$C305&lt;=99991231),INT(Issues!$C305/10000),""),IFERROR(VALUE(TRIM(LEFT(Issues!$C305,FIND("/",Issues!$C305)-1))),"")))</f>
        <v/>
      </c>
      <c r="C302" t="str">
        <f>IF(OR($A302="",$B302=""),"",IF(ISNUMBER(Issues!$C305),INT(MOD(Issues!$C305,10000)/100),IFERROR(VALUE(TRIM(LEFT(MID(Issues!$C305,FIND("/",Issues!$C305)+1,20),FIND("/",MID(Issues!$C305,FIND("/",Issues!$C305)+1,20))-1))),"")))</f>
        <v/>
      </c>
      <c r="D302" t="str">
        <f>IF(OR($A302="",$B302=""),"",IF(ISNUMBER(Issues!$C305),MOD(Issues!$C305,100),IFERROR(VALUE(TRIM(MID(MID(Issues!$C305,FIND("/",Issues!$C305)+1,20),FIND("/",MID(Issues!$C305,FIND("/",Issues!$C305)+1,20))+1,20))),"")))</f>
        <v/>
      </c>
      <c r="E302" t="str">
        <f t="shared" si="12"/>
        <v/>
      </c>
      <c r="F302" t="str">
        <f>IF($A302="","",IF(Issues!$D305="",0,Issues!$D305))</f>
        <v/>
      </c>
      <c r="G302" t="str">
        <f>IF($A302="","",Issues!$E305)</f>
        <v/>
      </c>
      <c r="H302" t="str">
        <f t="shared" si="13"/>
        <v/>
      </c>
      <c r="I302" t="str">
        <f t="shared" si="14"/>
        <v/>
      </c>
      <c r="J302" t="str">
        <f>IF($A302="","",Issues!$G305)</f>
        <v/>
      </c>
      <c r="K302" t="str">
        <f>IF(OR($E302="",$E302="نامعتبر"),"",LEFT($E302,4)&amp;MID($E302,6,2)&amp;RIGHT($E302,2)&amp;"|"&amp;RIGHT("00000"&amp;297,5))</f>
        <v/>
      </c>
      <c r="M302" t="str">
        <f>IF(Sync!$M302&lt;&gt;"پاس چک","",IF(Sync!$P302="","",Sync!$P302))</f>
        <v/>
      </c>
      <c r="N302" t="str">
        <f>IF($M302="","",IF(ISNUMBER(Sync!$L302),IF(AND(Sync!$L302&gt;=10000101,Sync!$L302&lt;=99991231),RIGHT("0000"&amp;INT(Sync!$L302/10000),4)&amp;"/"&amp;RIGHT("00"&amp;INT(MOD(Sync!$L302,10000)/100),2)&amp;"/"&amp;RIGHT("00"&amp;MOD(Sync!$L302,100),2),""),IFERROR(RIGHT("0000"&amp;VALUE(TRIM(LEFT(Sync!$L302,FIND("/",Sync!$L302)-1))),4)&amp;"/"&amp;RIGHT("00"&amp;VALUE(TRIM(LEFT(MID(Sync!$L302,FIND("/",Sync!$L302)+1,20),FIND("/",MID(Sync!$L302,FIND("/",Sync!$L302)+1,20))-1))),2)&amp;"/"&amp;RIGHT("00"&amp;VALUE(TRIM(MID(MID(Sync!$L302,FIND("/",Sync!$L302)+1,20),FIND("/",MID(Sync!$L302,FIND("/",Sync!$L302)+1,20))+1,20))),2),"")))</f>
        <v/>
      </c>
    </row>
    <row r="303" spans="1:14" x14ac:dyDescent="0.2">
      <c r="A303" t="str">
        <f>IF(Issues!$B306="","",Issues!$B306)</f>
        <v/>
      </c>
      <c r="B303" t="str">
        <f>IF($A303="","",IF(ISNUMBER(Issues!$C306),IF(AND(Issues!$C306&gt;=10000101,Issues!$C306&lt;=99991231),INT(Issues!$C306/10000),""),IFERROR(VALUE(TRIM(LEFT(Issues!$C306,FIND("/",Issues!$C306)-1))),"")))</f>
        <v/>
      </c>
      <c r="C303" t="str">
        <f>IF(OR($A303="",$B303=""),"",IF(ISNUMBER(Issues!$C306),INT(MOD(Issues!$C306,10000)/100),IFERROR(VALUE(TRIM(LEFT(MID(Issues!$C306,FIND("/",Issues!$C306)+1,20),FIND("/",MID(Issues!$C306,FIND("/",Issues!$C306)+1,20))-1))),"")))</f>
        <v/>
      </c>
      <c r="D303" t="str">
        <f>IF(OR($A303="",$B303=""),"",IF(ISNUMBER(Issues!$C306),MOD(Issues!$C306,100),IFERROR(VALUE(TRIM(MID(MID(Issues!$C306,FIND("/",Issues!$C306)+1,20),FIND("/",MID(Issues!$C306,FIND("/",Issues!$C306)+1,20))+1,20))),"")))</f>
        <v/>
      </c>
      <c r="E303" t="str">
        <f t="shared" si="12"/>
        <v/>
      </c>
      <c r="F303" t="str">
        <f>IF($A303="","",IF(Issues!$D306="",0,Issues!$D306))</f>
        <v/>
      </c>
      <c r="G303" t="str">
        <f>IF($A303="","",Issues!$E306)</f>
        <v/>
      </c>
      <c r="H303" t="str">
        <f t="shared" si="13"/>
        <v/>
      </c>
      <c r="I303" t="str">
        <f t="shared" si="14"/>
        <v/>
      </c>
      <c r="J303" t="str">
        <f>IF($A303="","",Issues!$G306)</f>
        <v/>
      </c>
      <c r="K303" t="str">
        <f>IF(OR($E303="",$E303="نامعتبر"),"",LEFT($E303,4)&amp;MID($E303,6,2)&amp;RIGHT($E303,2)&amp;"|"&amp;RIGHT("00000"&amp;298,5))</f>
        <v/>
      </c>
      <c r="M303" t="str">
        <f>IF(Sync!$M303&lt;&gt;"پاس چک","",IF(Sync!$P303="","",Sync!$P303))</f>
        <v/>
      </c>
      <c r="N303" t="str">
        <f>IF($M303="","",IF(ISNUMBER(Sync!$L303),IF(AND(Sync!$L303&gt;=10000101,Sync!$L303&lt;=99991231),RIGHT("0000"&amp;INT(Sync!$L303/10000),4)&amp;"/"&amp;RIGHT("00"&amp;INT(MOD(Sync!$L303,10000)/100),2)&amp;"/"&amp;RIGHT("00"&amp;MOD(Sync!$L303,100),2),""),IFERROR(RIGHT("0000"&amp;VALUE(TRIM(LEFT(Sync!$L303,FIND("/",Sync!$L303)-1))),4)&amp;"/"&amp;RIGHT("00"&amp;VALUE(TRIM(LEFT(MID(Sync!$L303,FIND("/",Sync!$L303)+1,20),FIND("/",MID(Sync!$L303,FIND("/",Sync!$L303)+1,20))-1))),2)&amp;"/"&amp;RIGHT("00"&amp;VALUE(TRIM(MID(MID(Sync!$L303,FIND("/",Sync!$L303)+1,20),FIND("/",MID(Sync!$L303,FIND("/",Sync!$L303)+1,20))+1,20))),2),"")))</f>
        <v/>
      </c>
    </row>
    <row r="304" spans="1:14" x14ac:dyDescent="0.2">
      <c r="A304" t="str">
        <f>IF(Issues!$B307="","",Issues!$B307)</f>
        <v/>
      </c>
      <c r="B304" t="str">
        <f>IF($A304="","",IF(ISNUMBER(Issues!$C307),IF(AND(Issues!$C307&gt;=10000101,Issues!$C307&lt;=99991231),INT(Issues!$C307/10000),""),IFERROR(VALUE(TRIM(LEFT(Issues!$C307,FIND("/",Issues!$C307)-1))),"")))</f>
        <v/>
      </c>
      <c r="C304" t="str">
        <f>IF(OR($A304="",$B304=""),"",IF(ISNUMBER(Issues!$C307),INT(MOD(Issues!$C307,10000)/100),IFERROR(VALUE(TRIM(LEFT(MID(Issues!$C307,FIND("/",Issues!$C307)+1,20),FIND("/",MID(Issues!$C307,FIND("/",Issues!$C307)+1,20))-1))),"")))</f>
        <v/>
      </c>
      <c r="D304" t="str">
        <f>IF(OR($A304="",$B304=""),"",IF(ISNUMBER(Issues!$C307),MOD(Issues!$C307,100),IFERROR(VALUE(TRIM(MID(MID(Issues!$C307,FIND("/",Issues!$C307)+1,20),FIND("/",MID(Issues!$C307,FIND("/",Issues!$C307)+1,20))+1,20))),"")))</f>
        <v/>
      </c>
      <c r="E304" t="str">
        <f t="shared" si="12"/>
        <v/>
      </c>
      <c r="F304" t="str">
        <f>IF($A304="","",IF(Issues!$D307="",0,Issues!$D307))</f>
        <v/>
      </c>
      <c r="G304" t="str">
        <f>IF($A304="","",Issues!$E307)</f>
        <v/>
      </c>
      <c r="H304" t="str">
        <f t="shared" si="13"/>
        <v/>
      </c>
      <c r="I304" t="str">
        <f t="shared" si="14"/>
        <v/>
      </c>
      <c r="J304" t="str">
        <f>IF($A304="","",Issues!$G307)</f>
        <v/>
      </c>
      <c r="K304" t="str">
        <f>IF(OR($E304="",$E304="نامعتبر"),"",LEFT($E304,4)&amp;MID($E304,6,2)&amp;RIGHT($E304,2)&amp;"|"&amp;RIGHT("00000"&amp;299,5))</f>
        <v/>
      </c>
      <c r="M304" t="str">
        <f>IF(Sync!$M304&lt;&gt;"پاس چک","",IF(Sync!$P304="","",Sync!$P304))</f>
        <v/>
      </c>
      <c r="N304" t="str">
        <f>IF($M304="","",IF(ISNUMBER(Sync!$L304),IF(AND(Sync!$L304&gt;=10000101,Sync!$L304&lt;=99991231),RIGHT("0000"&amp;INT(Sync!$L304/10000),4)&amp;"/"&amp;RIGHT("00"&amp;INT(MOD(Sync!$L304,10000)/100),2)&amp;"/"&amp;RIGHT("00"&amp;MOD(Sync!$L304,100),2),""),IFERROR(RIGHT("0000"&amp;VALUE(TRIM(LEFT(Sync!$L304,FIND("/",Sync!$L304)-1))),4)&amp;"/"&amp;RIGHT("00"&amp;VALUE(TRIM(LEFT(MID(Sync!$L304,FIND("/",Sync!$L304)+1,20),FIND("/",MID(Sync!$L304,FIND("/",Sync!$L304)+1,20))-1))),2)&amp;"/"&amp;RIGHT("00"&amp;VALUE(TRIM(MID(MID(Sync!$L304,FIND("/",Sync!$L304)+1,20),FIND("/",MID(Sync!$L304,FIND("/",Sync!$L304)+1,20))+1,20))),2),"")))</f>
        <v/>
      </c>
    </row>
    <row r="305" spans="1:14" x14ac:dyDescent="0.2">
      <c r="A305" t="str">
        <f>IF(Issues!$B308="","",Issues!$B308)</f>
        <v/>
      </c>
      <c r="B305" t="str">
        <f>IF($A305="","",IF(ISNUMBER(Issues!$C308),IF(AND(Issues!$C308&gt;=10000101,Issues!$C308&lt;=99991231),INT(Issues!$C308/10000),""),IFERROR(VALUE(TRIM(LEFT(Issues!$C308,FIND("/",Issues!$C308)-1))),"")))</f>
        <v/>
      </c>
      <c r="C305" t="str">
        <f>IF(OR($A305="",$B305=""),"",IF(ISNUMBER(Issues!$C308),INT(MOD(Issues!$C308,10000)/100),IFERROR(VALUE(TRIM(LEFT(MID(Issues!$C308,FIND("/",Issues!$C308)+1,20),FIND("/",MID(Issues!$C308,FIND("/",Issues!$C308)+1,20))-1))),"")))</f>
        <v/>
      </c>
      <c r="D305" t="str">
        <f>IF(OR($A305="",$B305=""),"",IF(ISNUMBER(Issues!$C308),MOD(Issues!$C308,100),IFERROR(VALUE(TRIM(MID(MID(Issues!$C308,FIND("/",Issues!$C308)+1,20),FIND("/",MID(Issues!$C308,FIND("/",Issues!$C308)+1,20))+1,20))),"")))</f>
        <v/>
      </c>
      <c r="E305" t="str">
        <f t="shared" si="12"/>
        <v/>
      </c>
      <c r="F305" t="str">
        <f>IF($A305="","",IF(Issues!$D308="",0,Issues!$D308))</f>
        <v/>
      </c>
      <c r="G305" t="str">
        <f>IF($A305="","",Issues!$E308)</f>
        <v/>
      </c>
      <c r="H305" t="str">
        <f t="shared" si="13"/>
        <v/>
      </c>
      <c r="I305" t="str">
        <f t="shared" si="14"/>
        <v/>
      </c>
      <c r="J305" t="str">
        <f>IF($A305="","",Issues!$G308)</f>
        <v/>
      </c>
      <c r="K305" t="str">
        <f>IF(OR($E305="",$E305="نامعتبر"),"",LEFT($E305,4)&amp;MID($E305,6,2)&amp;RIGHT($E305,2)&amp;"|"&amp;RIGHT("00000"&amp;300,5))</f>
        <v/>
      </c>
      <c r="M305" t="str">
        <f>IF(Sync!$M305&lt;&gt;"پاس چک","",IF(Sync!$P305="","",Sync!$P305))</f>
        <v/>
      </c>
      <c r="N305" t="str">
        <f>IF($M305="","",IF(ISNUMBER(Sync!$L305),IF(AND(Sync!$L305&gt;=10000101,Sync!$L305&lt;=99991231),RIGHT("0000"&amp;INT(Sync!$L305/10000),4)&amp;"/"&amp;RIGHT("00"&amp;INT(MOD(Sync!$L305,10000)/100),2)&amp;"/"&amp;RIGHT("00"&amp;MOD(Sync!$L305,100),2),""),IFERROR(RIGHT("0000"&amp;VALUE(TRIM(LEFT(Sync!$L305,FIND("/",Sync!$L305)-1))),4)&amp;"/"&amp;RIGHT("00"&amp;VALUE(TRIM(LEFT(MID(Sync!$L305,FIND("/",Sync!$L305)+1,20),FIND("/",MID(Sync!$L305,FIND("/",Sync!$L305)+1,20))-1))),2)&amp;"/"&amp;RIGHT("00"&amp;VALUE(TRIM(MID(MID(Sync!$L305,FIND("/",Sync!$L305)+1,20),FIND("/",MID(Sync!$L305,FIND("/",Sync!$L305)+1,20))+1,20))),2),"")))</f>
        <v/>
      </c>
    </row>
    <row r="306" spans="1:14" x14ac:dyDescent="0.2">
      <c r="A306" t="str">
        <f>IF(Issues!$B309="","",Issues!$B309)</f>
        <v/>
      </c>
      <c r="B306" t="str">
        <f>IF($A306="","",IF(ISNUMBER(Issues!$C309),IF(AND(Issues!$C309&gt;=10000101,Issues!$C309&lt;=99991231),INT(Issues!$C309/10000),""),IFERROR(VALUE(TRIM(LEFT(Issues!$C309,FIND("/",Issues!$C309)-1))),"")))</f>
        <v/>
      </c>
      <c r="C306" t="str">
        <f>IF(OR($A306="",$B306=""),"",IF(ISNUMBER(Issues!$C309),INT(MOD(Issues!$C309,10000)/100),IFERROR(VALUE(TRIM(LEFT(MID(Issues!$C309,FIND("/",Issues!$C309)+1,20),FIND("/",MID(Issues!$C309,FIND("/",Issues!$C309)+1,20))-1))),"")))</f>
        <v/>
      </c>
      <c r="D306" t="str">
        <f>IF(OR($A306="",$B306=""),"",IF(ISNUMBER(Issues!$C309),MOD(Issues!$C309,100),IFERROR(VALUE(TRIM(MID(MID(Issues!$C309,FIND("/",Issues!$C309)+1,20),FIND("/",MID(Issues!$C309,FIND("/",Issues!$C309)+1,20))+1,20))),"")))</f>
        <v/>
      </c>
      <c r="E306" t="str">
        <f t="shared" si="12"/>
        <v/>
      </c>
      <c r="F306" t="str">
        <f>IF($A306="","",IF(Issues!$D309="",0,Issues!$D309))</f>
        <v/>
      </c>
      <c r="G306" t="str">
        <f>IF($A306="","",Issues!$E309)</f>
        <v/>
      </c>
      <c r="H306" t="str">
        <f t="shared" si="13"/>
        <v/>
      </c>
      <c r="I306" t="str">
        <f t="shared" si="14"/>
        <v/>
      </c>
      <c r="J306" t="str">
        <f>IF($A306="","",Issues!$G309)</f>
        <v/>
      </c>
      <c r="K306" t="str">
        <f>IF(OR($E306="",$E306="نامعتبر"),"",LEFT($E306,4)&amp;MID($E306,6,2)&amp;RIGHT($E306,2)&amp;"|"&amp;RIGHT("00000"&amp;301,5))</f>
        <v/>
      </c>
      <c r="M306" t="str">
        <f>IF(Sync!$M306&lt;&gt;"پاس چک","",IF(Sync!$P306="","",Sync!$P306))</f>
        <v/>
      </c>
      <c r="N306" t="str">
        <f>IF($M306="","",IF(ISNUMBER(Sync!$L306),IF(AND(Sync!$L306&gt;=10000101,Sync!$L306&lt;=99991231),RIGHT("0000"&amp;INT(Sync!$L306/10000),4)&amp;"/"&amp;RIGHT("00"&amp;INT(MOD(Sync!$L306,10000)/100),2)&amp;"/"&amp;RIGHT("00"&amp;MOD(Sync!$L306,100),2),""),IFERROR(RIGHT("0000"&amp;VALUE(TRIM(LEFT(Sync!$L306,FIND("/",Sync!$L306)-1))),4)&amp;"/"&amp;RIGHT("00"&amp;VALUE(TRIM(LEFT(MID(Sync!$L306,FIND("/",Sync!$L306)+1,20),FIND("/",MID(Sync!$L306,FIND("/",Sync!$L306)+1,20))-1))),2)&amp;"/"&amp;RIGHT("00"&amp;VALUE(TRIM(MID(MID(Sync!$L306,FIND("/",Sync!$L306)+1,20),FIND("/",MID(Sync!$L306,FIND("/",Sync!$L306)+1,20))+1,20))),2),"")))</f>
        <v/>
      </c>
    </row>
    <row r="307" spans="1:14" x14ac:dyDescent="0.2">
      <c r="A307" t="str">
        <f>IF(Issues!$B310="","",Issues!$B310)</f>
        <v/>
      </c>
      <c r="B307" t="str">
        <f>IF($A307="","",IF(ISNUMBER(Issues!$C310),IF(AND(Issues!$C310&gt;=10000101,Issues!$C310&lt;=99991231),INT(Issues!$C310/10000),""),IFERROR(VALUE(TRIM(LEFT(Issues!$C310,FIND("/",Issues!$C310)-1))),"")))</f>
        <v/>
      </c>
      <c r="C307" t="str">
        <f>IF(OR($A307="",$B307=""),"",IF(ISNUMBER(Issues!$C310),INT(MOD(Issues!$C310,10000)/100),IFERROR(VALUE(TRIM(LEFT(MID(Issues!$C310,FIND("/",Issues!$C310)+1,20),FIND("/",MID(Issues!$C310,FIND("/",Issues!$C310)+1,20))-1))),"")))</f>
        <v/>
      </c>
      <c r="D307" t="str">
        <f>IF(OR($A307="",$B307=""),"",IF(ISNUMBER(Issues!$C310),MOD(Issues!$C310,100),IFERROR(VALUE(TRIM(MID(MID(Issues!$C310,FIND("/",Issues!$C310)+1,20),FIND("/",MID(Issues!$C310,FIND("/",Issues!$C310)+1,20))+1,20))),"")))</f>
        <v/>
      </c>
      <c r="E307" t="str">
        <f t="shared" si="12"/>
        <v/>
      </c>
      <c r="F307" t="str">
        <f>IF($A307="","",IF(Issues!$D310="",0,Issues!$D310))</f>
        <v/>
      </c>
      <c r="G307" t="str">
        <f>IF($A307="","",Issues!$E310)</f>
        <v/>
      </c>
      <c r="H307" t="str">
        <f t="shared" si="13"/>
        <v/>
      </c>
      <c r="I307" t="str">
        <f t="shared" si="14"/>
        <v/>
      </c>
      <c r="J307" t="str">
        <f>IF($A307="","",Issues!$G310)</f>
        <v/>
      </c>
      <c r="K307" t="str">
        <f>IF(OR($E307="",$E307="نامعتبر"),"",LEFT($E307,4)&amp;MID($E307,6,2)&amp;RIGHT($E307,2)&amp;"|"&amp;RIGHT("00000"&amp;302,5))</f>
        <v/>
      </c>
      <c r="M307" t="str">
        <f>IF(Sync!$M307&lt;&gt;"پاس چک","",IF(Sync!$P307="","",Sync!$P307))</f>
        <v/>
      </c>
      <c r="N307" t="str">
        <f>IF($M307="","",IF(ISNUMBER(Sync!$L307),IF(AND(Sync!$L307&gt;=10000101,Sync!$L307&lt;=99991231),RIGHT("0000"&amp;INT(Sync!$L307/10000),4)&amp;"/"&amp;RIGHT("00"&amp;INT(MOD(Sync!$L307,10000)/100),2)&amp;"/"&amp;RIGHT("00"&amp;MOD(Sync!$L307,100),2),""),IFERROR(RIGHT("0000"&amp;VALUE(TRIM(LEFT(Sync!$L307,FIND("/",Sync!$L307)-1))),4)&amp;"/"&amp;RIGHT("00"&amp;VALUE(TRIM(LEFT(MID(Sync!$L307,FIND("/",Sync!$L307)+1,20),FIND("/",MID(Sync!$L307,FIND("/",Sync!$L307)+1,20))-1))),2)&amp;"/"&amp;RIGHT("00"&amp;VALUE(TRIM(MID(MID(Sync!$L307,FIND("/",Sync!$L307)+1,20),FIND("/",MID(Sync!$L307,FIND("/",Sync!$L307)+1,20))+1,20))),2),"")))</f>
        <v/>
      </c>
    </row>
    <row r="308" spans="1:14" x14ac:dyDescent="0.2">
      <c r="A308" t="str">
        <f>IF(Issues!$B311="","",Issues!$B311)</f>
        <v/>
      </c>
      <c r="B308" t="str">
        <f>IF($A308="","",IF(ISNUMBER(Issues!$C311),IF(AND(Issues!$C311&gt;=10000101,Issues!$C311&lt;=99991231),INT(Issues!$C311/10000),""),IFERROR(VALUE(TRIM(LEFT(Issues!$C311,FIND("/",Issues!$C311)-1))),"")))</f>
        <v/>
      </c>
      <c r="C308" t="str">
        <f>IF(OR($A308="",$B308=""),"",IF(ISNUMBER(Issues!$C311),INT(MOD(Issues!$C311,10000)/100),IFERROR(VALUE(TRIM(LEFT(MID(Issues!$C311,FIND("/",Issues!$C311)+1,20),FIND("/",MID(Issues!$C311,FIND("/",Issues!$C311)+1,20))-1))),"")))</f>
        <v/>
      </c>
      <c r="D308" t="str">
        <f>IF(OR($A308="",$B308=""),"",IF(ISNUMBER(Issues!$C311),MOD(Issues!$C311,100),IFERROR(VALUE(TRIM(MID(MID(Issues!$C311,FIND("/",Issues!$C311)+1,20),FIND("/",MID(Issues!$C311,FIND("/",Issues!$C311)+1,20))+1,20))),"")))</f>
        <v/>
      </c>
      <c r="E308" t="str">
        <f t="shared" si="12"/>
        <v/>
      </c>
      <c r="F308" t="str">
        <f>IF($A308="","",IF(Issues!$D311="",0,Issues!$D311))</f>
        <v/>
      </c>
      <c r="G308" t="str">
        <f>IF($A308="","",Issues!$E311)</f>
        <v/>
      </c>
      <c r="H308" t="str">
        <f t="shared" si="13"/>
        <v/>
      </c>
      <c r="I308" t="str">
        <f t="shared" si="14"/>
        <v/>
      </c>
      <c r="J308" t="str">
        <f>IF($A308="","",Issues!$G311)</f>
        <v/>
      </c>
      <c r="K308" t="str">
        <f>IF(OR($E308="",$E308="نامعتبر"),"",LEFT($E308,4)&amp;MID($E308,6,2)&amp;RIGHT($E308,2)&amp;"|"&amp;RIGHT("00000"&amp;303,5))</f>
        <v/>
      </c>
      <c r="M308" t="str">
        <f>IF(Sync!$M308&lt;&gt;"پاس چک","",IF(Sync!$P308="","",Sync!$P308))</f>
        <v/>
      </c>
      <c r="N308" t="str">
        <f>IF($M308="","",IF(ISNUMBER(Sync!$L308),IF(AND(Sync!$L308&gt;=10000101,Sync!$L308&lt;=99991231),RIGHT("0000"&amp;INT(Sync!$L308/10000),4)&amp;"/"&amp;RIGHT("00"&amp;INT(MOD(Sync!$L308,10000)/100),2)&amp;"/"&amp;RIGHT("00"&amp;MOD(Sync!$L308,100),2),""),IFERROR(RIGHT("0000"&amp;VALUE(TRIM(LEFT(Sync!$L308,FIND("/",Sync!$L308)-1))),4)&amp;"/"&amp;RIGHT("00"&amp;VALUE(TRIM(LEFT(MID(Sync!$L308,FIND("/",Sync!$L308)+1,20),FIND("/",MID(Sync!$L308,FIND("/",Sync!$L308)+1,20))-1))),2)&amp;"/"&amp;RIGHT("00"&amp;VALUE(TRIM(MID(MID(Sync!$L308,FIND("/",Sync!$L308)+1,20),FIND("/",MID(Sync!$L308,FIND("/",Sync!$L308)+1,20))+1,20))),2),"")))</f>
        <v/>
      </c>
    </row>
    <row r="309" spans="1:14" x14ac:dyDescent="0.2">
      <c r="A309" t="str">
        <f>IF(Issues!$B312="","",Issues!$B312)</f>
        <v/>
      </c>
      <c r="B309" t="str">
        <f>IF($A309="","",IF(ISNUMBER(Issues!$C312),IF(AND(Issues!$C312&gt;=10000101,Issues!$C312&lt;=99991231),INT(Issues!$C312/10000),""),IFERROR(VALUE(TRIM(LEFT(Issues!$C312,FIND("/",Issues!$C312)-1))),"")))</f>
        <v/>
      </c>
      <c r="C309" t="str">
        <f>IF(OR($A309="",$B309=""),"",IF(ISNUMBER(Issues!$C312),INT(MOD(Issues!$C312,10000)/100),IFERROR(VALUE(TRIM(LEFT(MID(Issues!$C312,FIND("/",Issues!$C312)+1,20),FIND("/",MID(Issues!$C312,FIND("/",Issues!$C312)+1,20))-1))),"")))</f>
        <v/>
      </c>
      <c r="D309" t="str">
        <f>IF(OR($A309="",$B309=""),"",IF(ISNUMBER(Issues!$C312),MOD(Issues!$C312,100),IFERROR(VALUE(TRIM(MID(MID(Issues!$C312,FIND("/",Issues!$C312)+1,20),FIND("/",MID(Issues!$C312,FIND("/",Issues!$C312)+1,20))+1,20))),"")))</f>
        <v/>
      </c>
      <c r="E309" t="str">
        <f t="shared" si="12"/>
        <v/>
      </c>
      <c r="F309" t="str">
        <f>IF($A309="","",IF(Issues!$D312="",0,Issues!$D312))</f>
        <v/>
      </c>
      <c r="G309" t="str">
        <f>IF($A309="","",Issues!$E312)</f>
        <v/>
      </c>
      <c r="H309" t="str">
        <f t="shared" si="13"/>
        <v/>
      </c>
      <c r="I309" t="str">
        <f t="shared" si="14"/>
        <v/>
      </c>
      <c r="J309" t="str">
        <f>IF($A309="","",Issues!$G312)</f>
        <v/>
      </c>
      <c r="K309" t="str">
        <f>IF(OR($E309="",$E309="نامعتبر"),"",LEFT($E309,4)&amp;MID($E309,6,2)&amp;RIGHT($E309,2)&amp;"|"&amp;RIGHT("00000"&amp;304,5))</f>
        <v/>
      </c>
      <c r="M309" t="str">
        <f>IF(Sync!$M309&lt;&gt;"پاس چک","",IF(Sync!$P309="","",Sync!$P309))</f>
        <v/>
      </c>
      <c r="N309" t="str">
        <f>IF($M309="","",IF(ISNUMBER(Sync!$L309),IF(AND(Sync!$L309&gt;=10000101,Sync!$L309&lt;=99991231),RIGHT("0000"&amp;INT(Sync!$L309/10000),4)&amp;"/"&amp;RIGHT("00"&amp;INT(MOD(Sync!$L309,10000)/100),2)&amp;"/"&amp;RIGHT("00"&amp;MOD(Sync!$L309,100),2),""),IFERROR(RIGHT("0000"&amp;VALUE(TRIM(LEFT(Sync!$L309,FIND("/",Sync!$L309)-1))),4)&amp;"/"&amp;RIGHT("00"&amp;VALUE(TRIM(LEFT(MID(Sync!$L309,FIND("/",Sync!$L309)+1,20),FIND("/",MID(Sync!$L309,FIND("/",Sync!$L309)+1,20))-1))),2)&amp;"/"&amp;RIGHT("00"&amp;VALUE(TRIM(MID(MID(Sync!$L309,FIND("/",Sync!$L309)+1,20),FIND("/",MID(Sync!$L309,FIND("/",Sync!$L309)+1,20))+1,20))),2),"")))</f>
        <v/>
      </c>
    </row>
    <row r="310" spans="1:14" x14ac:dyDescent="0.2">
      <c r="A310" t="str">
        <f>IF(Issues!$B313="","",Issues!$B313)</f>
        <v/>
      </c>
      <c r="B310" t="str">
        <f>IF($A310="","",IF(ISNUMBER(Issues!$C313),IF(AND(Issues!$C313&gt;=10000101,Issues!$C313&lt;=99991231),INT(Issues!$C313/10000),""),IFERROR(VALUE(TRIM(LEFT(Issues!$C313,FIND("/",Issues!$C313)-1))),"")))</f>
        <v/>
      </c>
      <c r="C310" t="str">
        <f>IF(OR($A310="",$B310=""),"",IF(ISNUMBER(Issues!$C313),INT(MOD(Issues!$C313,10000)/100),IFERROR(VALUE(TRIM(LEFT(MID(Issues!$C313,FIND("/",Issues!$C313)+1,20),FIND("/",MID(Issues!$C313,FIND("/",Issues!$C313)+1,20))-1))),"")))</f>
        <v/>
      </c>
      <c r="D310" t="str">
        <f>IF(OR($A310="",$B310=""),"",IF(ISNUMBER(Issues!$C313),MOD(Issues!$C313,100),IFERROR(VALUE(TRIM(MID(MID(Issues!$C313,FIND("/",Issues!$C313)+1,20),FIND("/",MID(Issues!$C313,FIND("/",Issues!$C313)+1,20))+1,20))),"")))</f>
        <v/>
      </c>
      <c r="E310" t="str">
        <f t="shared" si="12"/>
        <v/>
      </c>
      <c r="F310" t="str">
        <f>IF($A310="","",IF(Issues!$D313="",0,Issues!$D313))</f>
        <v/>
      </c>
      <c r="G310" t="str">
        <f>IF($A310="","",Issues!$E313)</f>
        <v/>
      </c>
      <c r="H310" t="str">
        <f t="shared" si="13"/>
        <v/>
      </c>
      <c r="I310" t="str">
        <f t="shared" si="14"/>
        <v/>
      </c>
      <c r="J310" t="str">
        <f>IF($A310="","",Issues!$G313)</f>
        <v/>
      </c>
      <c r="K310" t="str">
        <f>IF(OR($E310="",$E310="نامعتبر"),"",LEFT($E310,4)&amp;MID($E310,6,2)&amp;RIGHT($E310,2)&amp;"|"&amp;RIGHT("00000"&amp;305,5))</f>
        <v/>
      </c>
      <c r="M310" t="str">
        <f>IF(Sync!$M310&lt;&gt;"پاس چک","",IF(Sync!$P310="","",Sync!$P310))</f>
        <v/>
      </c>
      <c r="N310" t="str">
        <f>IF($M310="","",IF(ISNUMBER(Sync!$L310),IF(AND(Sync!$L310&gt;=10000101,Sync!$L310&lt;=99991231),RIGHT("0000"&amp;INT(Sync!$L310/10000),4)&amp;"/"&amp;RIGHT("00"&amp;INT(MOD(Sync!$L310,10000)/100),2)&amp;"/"&amp;RIGHT("00"&amp;MOD(Sync!$L310,100),2),""),IFERROR(RIGHT("0000"&amp;VALUE(TRIM(LEFT(Sync!$L310,FIND("/",Sync!$L310)-1))),4)&amp;"/"&amp;RIGHT("00"&amp;VALUE(TRIM(LEFT(MID(Sync!$L310,FIND("/",Sync!$L310)+1,20),FIND("/",MID(Sync!$L310,FIND("/",Sync!$L310)+1,20))-1))),2)&amp;"/"&amp;RIGHT("00"&amp;VALUE(TRIM(MID(MID(Sync!$L310,FIND("/",Sync!$L310)+1,20),FIND("/",MID(Sync!$L310,FIND("/",Sync!$L310)+1,20))+1,20))),2),"")))</f>
        <v/>
      </c>
    </row>
    <row r="311" spans="1:14" x14ac:dyDescent="0.2">
      <c r="A311" t="str">
        <f>IF(Issues!$B314="","",Issues!$B314)</f>
        <v/>
      </c>
      <c r="B311" t="str">
        <f>IF($A311="","",IF(ISNUMBER(Issues!$C314),IF(AND(Issues!$C314&gt;=10000101,Issues!$C314&lt;=99991231),INT(Issues!$C314/10000),""),IFERROR(VALUE(TRIM(LEFT(Issues!$C314,FIND("/",Issues!$C314)-1))),"")))</f>
        <v/>
      </c>
      <c r="C311" t="str">
        <f>IF(OR($A311="",$B311=""),"",IF(ISNUMBER(Issues!$C314),INT(MOD(Issues!$C314,10000)/100),IFERROR(VALUE(TRIM(LEFT(MID(Issues!$C314,FIND("/",Issues!$C314)+1,20),FIND("/",MID(Issues!$C314,FIND("/",Issues!$C314)+1,20))-1))),"")))</f>
        <v/>
      </c>
      <c r="D311" t="str">
        <f>IF(OR($A311="",$B311=""),"",IF(ISNUMBER(Issues!$C314),MOD(Issues!$C314,100),IFERROR(VALUE(TRIM(MID(MID(Issues!$C314,FIND("/",Issues!$C314)+1,20),FIND("/",MID(Issues!$C314,FIND("/",Issues!$C314)+1,20))+1,20))),"")))</f>
        <v/>
      </c>
      <c r="E311" t="str">
        <f t="shared" si="12"/>
        <v/>
      </c>
      <c r="F311" t="str">
        <f>IF($A311="","",IF(Issues!$D314="",0,Issues!$D314))</f>
        <v/>
      </c>
      <c r="G311" t="str">
        <f>IF($A311="","",Issues!$E314)</f>
        <v/>
      </c>
      <c r="H311" t="str">
        <f t="shared" si="13"/>
        <v/>
      </c>
      <c r="I311" t="str">
        <f t="shared" si="14"/>
        <v/>
      </c>
      <c r="J311" t="str">
        <f>IF($A311="","",Issues!$G314)</f>
        <v/>
      </c>
      <c r="K311" t="str">
        <f>IF(OR($E311="",$E311="نامعتبر"),"",LEFT($E311,4)&amp;MID($E311,6,2)&amp;RIGHT($E311,2)&amp;"|"&amp;RIGHT("00000"&amp;306,5))</f>
        <v/>
      </c>
      <c r="M311" t="str">
        <f>IF(Sync!$M311&lt;&gt;"پاس چک","",IF(Sync!$P311="","",Sync!$P311))</f>
        <v/>
      </c>
      <c r="N311" t="str">
        <f>IF($M311="","",IF(ISNUMBER(Sync!$L311),IF(AND(Sync!$L311&gt;=10000101,Sync!$L311&lt;=99991231),RIGHT("0000"&amp;INT(Sync!$L311/10000),4)&amp;"/"&amp;RIGHT("00"&amp;INT(MOD(Sync!$L311,10000)/100),2)&amp;"/"&amp;RIGHT("00"&amp;MOD(Sync!$L311,100),2),""),IFERROR(RIGHT("0000"&amp;VALUE(TRIM(LEFT(Sync!$L311,FIND("/",Sync!$L311)-1))),4)&amp;"/"&amp;RIGHT("00"&amp;VALUE(TRIM(LEFT(MID(Sync!$L311,FIND("/",Sync!$L311)+1,20),FIND("/",MID(Sync!$L311,FIND("/",Sync!$L311)+1,20))-1))),2)&amp;"/"&amp;RIGHT("00"&amp;VALUE(TRIM(MID(MID(Sync!$L311,FIND("/",Sync!$L311)+1,20),FIND("/",MID(Sync!$L311,FIND("/",Sync!$L311)+1,20))+1,20))),2),"")))</f>
        <v/>
      </c>
    </row>
    <row r="312" spans="1:14" x14ac:dyDescent="0.2">
      <c r="A312" t="str">
        <f>IF(Issues!$B315="","",Issues!$B315)</f>
        <v/>
      </c>
      <c r="B312" t="str">
        <f>IF($A312="","",IF(ISNUMBER(Issues!$C315),IF(AND(Issues!$C315&gt;=10000101,Issues!$C315&lt;=99991231),INT(Issues!$C315/10000),""),IFERROR(VALUE(TRIM(LEFT(Issues!$C315,FIND("/",Issues!$C315)-1))),"")))</f>
        <v/>
      </c>
      <c r="C312" t="str">
        <f>IF(OR($A312="",$B312=""),"",IF(ISNUMBER(Issues!$C315),INT(MOD(Issues!$C315,10000)/100),IFERROR(VALUE(TRIM(LEFT(MID(Issues!$C315,FIND("/",Issues!$C315)+1,20),FIND("/",MID(Issues!$C315,FIND("/",Issues!$C315)+1,20))-1))),"")))</f>
        <v/>
      </c>
      <c r="D312" t="str">
        <f>IF(OR($A312="",$B312=""),"",IF(ISNUMBER(Issues!$C315),MOD(Issues!$C315,100),IFERROR(VALUE(TRIM(MID(MID(Issues!$C315,FIND("/",Issues!$C315)+1,20),FIND("/",MID(Issues!$C315,FIND("/",Issues!$C315)+1,20))+1,20))),"")))</f>
        <v/>
      </c>
      <c r="E312" t="str">
        <f t="shared" si="12"/>
        <v/>
      </c>
      <c r="F312" t="str">
        <f>IF($A312="","",IF(Issues!$D315="",0,Issues!$D315))</f>
        <v/>
      </c>
      <c r="G312" t="str">
        <f>IF($A312="","",Issues!$E315)</f>
        <v/>
      </c>
      <c r="H312" t="str">
        <f t="shared" si="13"/>
        <v/>
      </c>
      <c r="I312" t="str">
        <f t="shared" si="14"/>
        <v/>
      </c>
      <c r="J312" t="str">
        <f>IF($A312="","",Issues!$G315)</f>
        <v/>
      </c>
      <c r="K312" t="str">
        <f>IF(OR($E312="",$E312="نامعتبر"),"",LEFT($E312,4)&amp;MID($E312,6,2)&amp;RIGHT($E312,2)&amp;"|"&amp;RIGHT("00000"&amp;307,5))</f>
        <v/>
      </c>
      <c r="M312" t="str">
        <f>IF(Sync!$M312&lt;&gt;"پاس چک","",IF(Sync!$P312="","",Sync!$P312))</f>
        <v/>
      </c>
      <c r="N312" t="str">
        <f>IF($M312="","",IF(ISNUMBER(Sync!$L312),IF(AND(Sync!$L312&gt;=10000101,Sync!$L312&lt;=99991231),RIGHT("0000"&amp;INT(Sync!$L312/10000),4)&amp;"/"&amp;RIGHT("00"&amp;INT(MOD(Sync!$L312,10000)/100),2)&amp;"/"&amp;RIGHT("00"&amp;MOD(Sync!$L312,100),2),""),IFERROR(RIGHT("0000"&amp;VALUE(TRIM(LEFT(Sync!$L312,FIND("/",Sync!$L312)-1))),4)&amp;"/"&amp;RIGHT("00"&amp;VALUE(TRIM(LEFT(MID(Sync!$L312,FIND("/",Sync!$L312)+1,20),FIND("/",MID(Sync!$L312,FIND("/",Sync!$L312)+1,20))-1))),2)&amp;"/"&amp;RIGHT("00"&amp;VALUE(TRIM(MID(MID(Sync!$L312,FIND("/",Sync!$L312)+1,20),FIND("/",MID(Sync!$L312,FIND("/",Sync!$L312)+1,20))+1,20))),2),"")))</f>
        <v/>
      </c>
    </row>
    <row r="313" spans="1:14" x14ac:dyDescent="0.2">
      <c r="A313" t="str">
        <f>IF(Issues!$B316="","",Issues!$B316)</f>
        <v/>
      </c>
      <c r="B313" t="str">
        <f>IF($A313="","",IF(ISNUMBER(Issues!$C316),IF(AND(Issues!$C316&gt;=10000101,Issues!$C316&lt;=99991231),INT(Issues!$C316/10000),""),IFERROR(VALUE(TRIM(LEFT(Issues!$C316,FIND("/",Issues!$C316)-1))),"")))</f>
        <v/>
      </c>
      <c r="C313" t="str">
        <f>IF(OR($A313="",$B313=""),"",IF(ISNUMBER(Issues!$C316),INT(MOD(Issues!$C316,10000)/100),IFERROR(VALUE(TRIM(LEFT(MID(Issues!$C316,FIND("/",Issues!$C316)+1,20),FIND("/",MID(Issues!$C316,FIND("/",Issues!$C316)+1,20))-1))),"")))</f>
        <v/>
      </c>
      <c r="D313" t="str">
        <f>IF(OR($A313="",$B313=""),"",IF(ISNUMBER(Issues!$C316),MOD(Issues!$C316,100),IFERROR(VALUE(TRIM(MID(MID(Issues!$C316,FIND("/",Issues!$C316)+1,20),FIND("/",MID(Issues!$C316,FIND("/",Issues!$C316)+1,20))+1,20))),"")))</f>
        <v/>
      </c>
      <c r="E313" t="str">
        <f t="shared" si="12"/>
        <v/>
      </c>
      <c r="F313" t="str">
        <f>IF($A313="","",IF(Issues!$D316="",0,Issues!$D316))</f>
        <v/>
      </c>
      <c r="G313" t="str">
        <f>IF($A313="","",Issues!$E316)</f>
        <v/>
      </c>
      <c r="H313" t="str">
        <f t="shared" si="13"/>
        <v/>
      </c>
      <c r="I313" t="str">
        <f t="shared" si="14"/>
        <v/>
      </c>
      <c r="J313" t="str">
        <f>IF($A313="","",Issues!$G316)</f>
        <v/>
      </c>
      <c r="K313" t="str">
        <f>IF(OR($E313="",$E313="نامعتبر"),"",LEFT($E313,4)&amp;MID($E313,6,2)&amp;RIGHT($E313,2)&amp;"|"&amp;RIGHT("00000"&amp;308,5))</f>
        <v/>
      </c>
      <c r="M313" t="str">
        <f>IF(Sync!$M313&lt;&gt;"پاس چک","",IF(Sync!$P313="","",Sync!$P313))</f>
        <v/>
      </c>
      <c r="N313" t="str">
        <f>IF($M313="","",IF(ISNUMBER(Sync!$L313),IF(AND(Sync!$L313&gt;=10000101,Sync!$L313&lt;=99991231),RIGHT("0000"&amp;INT(Sync!$L313/10000),4)&amp;"/"&amp;RIGHT("00"&amp;INT(MOD(Sync!$L313,10000)/100),2)&amp;"/"&amp;RIGHT("00"&amp;MOD(Sync!$L313,100),2),""),IFERROR(RIGHT("0000"&amp;VALUE(TRIM(LEFT(Sync!$L313,FIND("/",Sync!$L313)-1))),4)&amp;"/"&amp;RIGHT("00"&amp;VALUE(TRIM(LEFT(MID(Sync!$L313,FIND("/",Sync!$L313)+1,20),FIND("/",MID(Sync!$L313,FIND("/",Sync!$L313)+1,20))-1))),2)&amp;"/"&amp;RIGHT("00"&amp;VALUE(TRIM(MID(MID(Sync!$L313,FIND("/",Sync!$L313)+1,20),FIND("/",MID(Sync!$L313,FIND("/",Sync!$L313)+1,20))+1,20))),2),"")))</f>
        <v/>
      </c>
    </row>
    <row r="314" spans="1:14" x14ac:dyDescent="0.2">
      <c r="A314" t="str">
        <f>IF(Issues!$B317="","",Issues!$B317)</f>
        <v/>
      </c>
      <c r="B314" t="str">
        <f>IF($A314="","",IF(ISNUMBER(Issues!$C317),IF(AND(Issues!$C317&gt;=10000101,Issues!$C317&lt;=99991231),INT(Issues!$C317/10000),""),IFERROR(VALUE(TRIM(LEFT(Issues!$C317,FIND("/",Issues!$C317)-1))),"")))</f>
        <v/>
      </c>
      <c r="C314" t="str">
        <f>IF(OR($A314="",$B314=""),"",IF(ISNUMBER(Issues!$C317),INT(MOD(Issues!$C317,10000)/100),IFERROR(VALUE(TRIM(LEFT(MID(Issues!$C317,FIND("/",Issues!$C317)+1,20),FIND("/",MID(Issues!$C317,FIND("/",Issues!$C317)+1,20))-1))),"")))</f>
        <v/>
      </c>
      <c r="D314" t="str">
        <f>IF(OR($A314="",$B314=""),"",IF(ISNUMBER(Issues!$C317),MOD(Issues!$C317,100),IFERROR(VALUE(TRIM(MID(MID(Issues!$C317,FIND("/",Issues!$C317)+1,20),FIND("/",MID(Issues!$C317,FIND("/",Issues!$C317)+1,20))+1,20))),"")))</f>
        <v/>
      </c>
      <c r="E314" t="str">
        <f t="shared" si="12"/>
        <v/>
      </c>
      <c r="F314" t="str">
        <f>IF($A314="","",IF(Issues!$D317="",0,Issues!$D317))</f>
        <v/>
      </c>
      <c r="G314" t="str">
        <f>IF($A314="","",Issues!$E317)</f>
        <v/>
      </c>
      <c r="H314" t="str">
        <f t="shared" si="13"/>
        <v/>
      </c>
      <c r="I314" t="str">
        <f t="shared" si="14"/>
        <v/>
      </c>
      <c r="J314" t="str">
        <f>IF($A314="","",Issues!$G317)</f>
        <v/>
      </c>
      <c r="K314" t="str">
        <f>IF(OR($E314="",$E314="نامعتبر"),"",LEFT($E314,4)&amp;MID($E314,6,2)&amp;RIGHT($E314,2)&amp;"|"&amp;RIGHT("00000"&amp;309,5))</f>
        <v/>
      </c>
      <c r="M314" t="str">
        <f>IF(Sync!$M314&lt;&gt;"پاس چک","",IF(Sync!$P314="","",Sync!$P314))</f>
        <v/>
      </c>
      <c r="N314" t="str">
        <f>IF($M314="","",IF(ISNUMBER(Sync!$L314),IF(AND(Sync!$L314&gt;=10000101,Sync!$L314&lt;=99991231),RIGHT("0000"&amp;INT(Sync!$L314/10000),4)&amp;"/"&amp;RIGHT("00"&amp;INT(MOD(Sync!$L314,10000)/100),2)&amp;"/"&amp;RIGHT("00"&amp;MOD(Sync!$L314,100),2),""),IFERROR(RIGHT("0000"&amp;VALUE(TRIM(LEFT(Sync!$L314,FIND("/",Sync!$L314)-1))),4)&amp;"/"&amp;RIGHT("00"&amp;VALUE(TRIM(LEFT(MID(Sync!$L314,FIND("/",Sync!$L314)+1,20),FIND("/",MID(Sync!$L314,FIND("/",Sync!$L314)+1,20))-1))),2)&amp;"/"&amp;RIGHT("00"&amp;VALUE(TRIM(MID(MID(Sync!$L314,FIND("/",Sync!$L314)+1,20),FIND("/",MID(Sync!$L314,FIND("/",Sync!$L314)+1,20))+1,20))),2),"")))</f>
        <v/>
      </c>
    </row>
    <row r="315" spans="1:14" x14ac:dyDescent="0.2">
      <c r="A315" t="str">
        <f>IF(Issues!$B318="","",Issues!$B318)</f>
        <v/>
      </c>
      <c r="B315" t="str">
        <f>IF($A315="","",IF(ISNUMBER(Issues!$C318),IF(AND(Issues!$C318&gt;=10000101,Issues!$C318&lt;=99991231),INT(Issues!$C318/10000),""),IFERROR(VALUE(TRIM(LEFT(Issues!$C318,FIND("/",Issues!$C318)-1))),"")))</f>
        <v/>
      </c>
      <c r="C315" t="str">
        <f>IF(OR($A315="",$B315=""),"",IF(ISNUMBER(Issues!$C318),INT(MOD(Issues!$C318,10000)/100),IFERROR(VALUE(TRIM(LEFT(MID(Issues!$C318,FIND("/",Issues!$C318)+1,20),FIND("/",MID(Issues!$C318,FIND("/",Issues!$C318)+1,20))-1))),"")))</f>
        <v/>
      </c>
      <c r="D315" t="str">
        <f>IF(OR($A315="",$B315=""),"",IF(ISNUMBER(Issues!$C318),MOD(Issues!$C318,100),IFERROR(VALUE(TRIM(MID(MID(Issues!$C318,FIND("/",Issues!$C318)+1,20),FIND("/",MID(Issues!$C318,FIND("/",Issues!$C318)+1,20))+1,20))),"")))</f>
        <v/>
      </c>
      <c r="E315" t="str">
        <f t="shared" si="12"/>
        <v/>
      </c>
      <c r="F315" t="str">
        <f>IF($A315="","",IF(Issues!$D318="",0,Issues!$D318))</f>
        <v/>
      </c>
      <c r="G315" t="str">
        <f>IF($A315="","",Issues!$E318)</f>
        <v/>
      </c>
      <c r="H315" t="str">
        <f t="shared" si="13"/>
        <v/>
      </c>
      <c r="I315" t="str">
        <f t="shared" si="14"/>
        <v/>
      </c>
      <c r="J315" t="str">
        <f>IF($A315="","",Issues!$G318)</f>
        <v/>
      </c>
      <c r="K315" t="str">
        <f>IF(OR($E315="",$E315="نامعتبر"),"",LEFT($E315,4)&amp;MID($E315,6,2)&amp;RIGHT($E315,2)&amp;"|"&amp;RIGHT("00000"&amp;310,5))</f>
        <v/>
      </c>
      <c r="M315" t="str">
        <f>IF(Sync!$M315&lt;&gt;"پاس چک","",IF(Sync!$P315="","",Sync!$P315))</f>
        <v/>
      </c>
      <c r="N315" t="str">
        <f>IF($M315="","",IF(ISNUMBER(Sync!$L315),IF(AND(Sync!$L315&gt;=10000101,Sync!$L315&lt;=99991231),RIGHT("0000"&amp;INT(Sync!$L315/10000),4)&amp;"/"&amp;RIGHT("00"&amp;INT(MOD(Sync!$L315,10000)/100),2)&amp;"/"&amp;RIGHT("00"&amp;MOD(Sync!$L315,100),2),""),IFERROR(RIGHT("0000"&amp;VALUE(TRIM(LEFT(Sync!$L315,FIND("/",Sync!$L315)-1))),4)&amp;"/"&amp;RIGHT("00"&amp;VALUE(TRIM(LEFT(MID(Sync!$L315,FIND("/",Sync!$L315)+1,20),FIND("/",MID(Sync!$L315,FIND("/",Sync!$L315)+1,20))-1))),2)&amp;"/"&amp;RIGHT("00"&amp;VALUE(TRIM(MID(MID(Sync!$L315,FIND("/",Sync!$L315)+1,20),FIND("/",MID(Sync!$L315,FIND("/",Sync!$L315)+1,20))+1,20))),2),"")))</f>
        <v/>
      </c>
    </row>
    <row r="316" spans="1:14" x14ac:dyDescent="0.2">
      <c r="A316" t="str">
        <f>IF(Issues!$B319="","",Issues!$B319)</f>
        <v/>
      </c>
      <c r="B316" t="str">
        <f>IF($A316="","",IF(ISNUMBER(Issues!$C319),IF(AND(Issues!$C319&gt;=10000101,Issues!$C319&lt;=99991231),INT(Issues!$C319/10000),""),IFERROR(VALUE(TRIM(LEFT(Issues!$C319,FIND("/",Issues!$C319)-1))),"")))</f>
        <v/>
      </c>
      <c r="C316" t="str">
        <f>IF(OR($A316="",$B316=""),"",IF(ISNUMBER(Issues!$C319),INT(MOD(Issues!$C319,10000)/100),IFERROR(VALUE(TRIM(LEFT(MID(Issues!$C319,FIND("/",Issues!$C319)+1,20),FIND("/",MID(Issues!$C319,FIND("/",Issues!$C319)+1,20))-1))),"")))</f>
        <v/>
      </c>
      <c r="D316" t="str">
        <f>IF(OR($A316="",$B316=""),"",IF(ISNUMBER(Issues!$C319),MOD(Issues!$C319,100),IFERROR(VALUE(TRIM(MID(MID(Issues!$C319,FIND("/",Issues!$C319)+1,20),FIND("/",MID(Issues!$C319,FIND("/",Issues!$C319)+1,20))+1,20))),"")))</f>
        <v/>
      </c>
      <c r="E316" t="str">
        <f t="shared" si="12"/>
        <v/>
      </c>
      <c r="F316" t="str">
        <f>IF($A316="","",IF(Issues!$D319="",0,Issues!$D319))</f>
        <v/>
      </c>
      <c r="G316" t="str">
        <f>IF($A316="","",Issues!$E319)</f>
        <v/>
      </c>
      <c r="H316" t="str">
        <f t="shared" si="13"/>
        <v/>
      </c>
      <c r="I316" t="str">
        <f t="shared" si="14"/>
        <v/>
      </c>
      <c r="J316" t="str">
        <f>IF($A316="","",Issues!$G319)</f>
        <v/>
      </c>
      <c r="K316" t="str">
        <f>IF(OR($E316="",$E316="نامعتبر"),"",LEFT($E316,4)&amp;MID($E316,6,2)&amp;RIGHT($E316,2)&amp;"|"&amp;RIGHT("00000"&amp;311,5))</f>
        <v/>
      </c>
      <c r="M316" t="str">
        <f>IF(Sync!$M316&lt;&gt;"پاس چک","",IF(Sync!$P316="","",Sync!$P316))</f>
        <v/>
      </c>
      <c r="N316" t="str">
        <f>IF($M316="","",IF(ISNUMBER(Sync!$L316),IF(AND(Sync!$L316&gt;=10000101,Sync!$L316&lt;=99991231),RIGHT("0000"&amp;INT(Sync!$L316/10000),4)&amp;"/"&amp;RIGHT("00"&amp;INT(MOD(Sync!$L316,10000)/100),2)&amp;"/"&amp;RIGHT("00"&amp;MOD(Sync!$L316,100),2),""),IFERROR(RIGHT("0000"&amp;VALUE(TRIM(LEFT(Sync!$L316,FIND("/",Sync!$L316)-1))),4)&amp;"/"&amp;RIGHT("00"&amp;VALUE(TRIM(LEFT(MID(Sync!$L316,FIND("/",Sync!$L316)+1,20),FIND("/",MID(Sync!$L316,FIND("/",Sync!$L316)+1,20))-1))),2)&amp;"/"&amp;RIGHT("00"&amp;VALUE(TRIM(MID(MID(Sync!$L316,FIND("/",Sync!$L316)+1,20),FIND("/",MID(Sync!$L316,FIND("/",Sync!$L316)+1,20))+1,20))),2),"")))</f>
        <v/>
      </c>
    </row>
    <row r="317" spans="1:14" x14ac:dyDescent="0.2">
      <c r="A317" t="str">
        <f>IF(Issues!$B320="","",Issues!$B320)</f>
        <v/>
      </c>
      <c r="B317" t="str">
        <f>IF($A317="","",IF(ISNUMBER(Issues!$C320),IF(AND(Issues!$C320&gt;=10000101,Issues!$C320&lt;=99991231),INT(Issues!$C320/10000),""),IFERROR(VALUE(TRIM(LEFT(Issues!$C320,FIND("/",Issues!$C320)-1))),"")))</f>
        <v/>
      </c>
      <c r="C317" t="str">
        <f>IF(OR($A317="",$B317=""),"",IF(ISNUMBER(Issues!$C320),INT(MOD(Issues!$C320,10000)/100),IFERROR(VALUE(TRIM(LEFT(MID(Issues!$C320,FIND("/",Issues!$C320)+1,20),FIND("/",MID(Issues!$C320,FIND("/",Issues!$C320)+1,20))-1))),"")))</f>
        <v/>
      </c>
      <c r="D317" t="str">
        <f>IF(OR($A317="",$B317=""),"",IF(ISNUMBER(Issues!$C320),MOD(Issues!$C320,100),IFERROR(VALUE(TRIM(MID(MID(Issues!$C320,FIND("/",Issues!$C320)+1,20),FIND("/",MID(Issues!$C320,FIND("/",Issues!$C320)+1,20))+1,20))),"")))</f>
        <v/>
      </c>
      <c r="E317" t="str">
        <f t="shared" si="12"/>
        <v/>
      </c>
      <c r="F317" t="str">
        <f>IF($A317="","",IF(Issues!$D320="",0,Issues!$D320))</f>
        <v/>
      </c>
      <c r="G317" t="str">
        <f>IF($A317="","",Issues!$E320)</f>
        <v/>
      </c>
      <c r="H317" t="str">
        <f t="shared" si="13"/>
        <v/>
      </c>
      <c r="I317" t="str">
        <f t="shared" si="14"/>
        <v/>
      </c>
      <c r="J317" t="str">
        <f>IF($A317="","",Issues!$G320)</f>
        <v/>
      </c>
      <c r="K317" t="str">
        <f>IF(OR($E317="",$E317="نامعتبر"),"",LEFT($E317,4)&amp;MID($E317,6,2)&amp;RIGHT($E317,2)&amp;"|"&amp;RIGHT("00000"&amp;312,5))</f>
        <v/>
      </c>
      <c r="M317" t="str">
        <f>IF(Sync!$M317&lt;&gt;"پاس چک","",IF(Sync!$P317="","",Sync!$P317))</f>
        <v/>
      </c>
      <c r="N317" t="str">
        <f>IF($M317="","",IF(ISNUMBER(Sync!$L317),IF(AND(Sync!$L317&gt;=10000101,Sync!$L317&lt;=99991231),RIGHT("0000"&amp;INT(Sync!$L317/10000),4)&amp;"/"&amp;RIGHT("00"&amp;INT(MOD(Sync!$L317,10000)/100),2)&amp;"/"&amp;RIGHT("00"&amp;MOD(Sync!$L317,100),2),""),IFERROR(RIGHT("0000"&amp;VALUE(TRIM(LEFT(Sync!$L317,FIND("/",Sync!$L317)-1))),4)&amp;"/"&amp;RIGHT("00"&amp;VALUE(TRIM(LEFT(MID(Sync!$L317,FIND("/",Sync!$L317)+1,20),FIND("/",MID(Sync!$L317,FIND("/",Sync!$L317)+1,20))-1))),2)&amp;"/"&amp;RIGHT("00"&amp;VALUE(TRIM(MID(MID(Sync!$L317,FIND("/",Sync!$L317)+1,20),FIND("/",MID(Sync!$L317,FIND("/",Sync!$L317)+1,20))+1,20))),2),"")))</f>
        <v/>
      </c>
    </row>
    <row r="318" spans="1:14" x14ac:dyDescent="0.2">
      <c r="A318" t="str">
        <f>IF(Issues!$B321="","",Issues!$B321)</f>
        <v/>
      </c>
      <c r="B318" t="str">
        <f>IF($A318="","",IF(ISNUMBER(Issues!$C321),IF(AND(Issues!$C321&gt;=10000101,Issues!$C321&lt;=99991231),INT(Issues!$C321/10000),""),IFERROR(VALUE(TRIM(LEFT(Issues!$C321,FIND("/",Issues!$C321)-1))),"")))</f>
        <v/>
      </c>
      <c r="C318" t="str">
        <f>IF(OR($A318="",$B318=""),"",IF(ISNUMBER(Issues!$C321),INT(MOD(Issues!$C321,10000)/100),IFERROR(VALUE(TRIM(LEFT(MID(Issues!$C321,FIND("/",Issues!$C321)+1,20),FIND("/",MID(Issues!$C321,FIND("/",Issues!$C321)+1,20))-1))),"")))</f>
        <v/>
      </c>
      <c r="D318" t="str">
        <f>IF(OR($A318="",$B318=""),"",IF(ISNUMBER(Issues!$C321),MOD(Issues!$C321,100),IFERROR(VALUE(TRIM(MID(MID(Issues!$C321,FIND("/",Issues!$C321)+1,20),FIND("/",MID(Issues!$C321,FIND("/",Issues!$C321)+1,20))+1,20))),"")))</f>
        <v/>
      </c>
      <c r="E318" t="str">
        <f t="shared" si="12"/>
        <v/>
      </c>
      <c r="F318" t="str">
        <f>IF($A318="","",IF(Issues!$D321="",0,Issues!$D321))</f>
        <v/>
      </c>
      <c r="G318" t="str">
        <f>IF($A318="","",Issues!$E321)</f>
        <v/>
      </c>
      <c r="H318" t="str">
        <f t="shared" si="13"/>
        <v/>
      </c>
      <c r="I318" t="str">
        <f t="shared" si="14"/>
        <v/>
      </c>
      <c r="J318" t="str">
        <f>IF($A318="","",Issues!$G321)</f>
        <v/>
      </c>
      <c r="K318" t="str">
        <f>IF(OR($E318="",$E318="نامعتبر"),"",LEFT($E318,4)&amp;MID($E318,6,2)&amp;RIGHT($E318,2)&amp;"|"&amp;RIGHT("00000"&amp;313,5))</f>
        <v/>
      </c>
      <c r="M318" t="str">
        <f>IF(Sync!$M318&lt;&gt;"پاس چک","",IF(Sync!$P318="","",Sync!$P318))</f>
        <v/>
      </c>
      <c r="N318" t="str">
        <f>IF($M318="","",IF(ISNUMBER(Sync!$L318),IF(AND(Sync!$L318&gt;=10000101,Sync!$L318&lt;=99991231),RIGHT("0000"&amp;INT(Sync!$L318/10000),4)&amp;"/"&amp;RIGHT("00"&amp;INT(MOD(Sync!$L318,10000)/100),2)&amp;"/"&amp;RIGHT("00"&amp;MOD(Sync!$L318,100),2),""),IFERROR(RIGHT("0000"&amp;VALUE(TRIM(LEFT(Sync!$L318,FIND("/",Sync!$L318)-1))),4)&amp;"/"&amp;RIGHT("00"&amp;VALUE(TRIM(LEFT(MID(Sync!$L318,FIND("/",Sync!$L318)+1,20),FIND("/",MID(Sync!$L318,FIND("/",Sync!$L318)+1,20))-1))),2)&amp;"/"&amp;RIGHT("00"&amp;VALUE(TRIM(MID(MID(Sync!$L318,FIND("/",Sync!$L318)+1,20),FIND("/",MID(Sync!$L318,FIND("/",Sync!$L318)+1,20))+1,20))),2),"")))</f>
        <v/>
      </c>
    </row>
    <row r="319" spans="1:14" x14ac:dyDescent="0.2">
      <c r="A319" t="str">
        <f>IF(Issues!$B322="","",Issues!$B322)</f>
        <v/>
      </c>
      <c r="B319" t="str">
        <f>IF($A319="","",IF(ISNUMBER(Issues!$C322),IF(AND(Issues!$C322&gt;=10000101,Issues!$C322&lt;=99991231),INT(Issues!$C322/10000),""),IFERROR(VALUE(TRIM(LEFT(Issues!$C322,FIND("/",Issues!$C322)-1))),"")))</f>
        <v/>
      </c>
      <c r="C319" t="str">
        <f>IF(OR($A319="",$B319=""),"",IF(ISNUMBER(Issues!$C322),INT(MOD(Issues!$C322,10000)/100),IFERROR(VALUE(TRIM(LEFT(MID(Issues!$C322,FIND("/",Issues!$C322)+1,20),FIND("/",MID(Issues!$C322,FIND("/",Issues!$C322)+1,20))-1))),"")))</f>
        <v/>
      </c>
      <c r="D319" t="str">
        <f>IF(OR($A319="",$B319=""),"",IF(ISNUMBER(Issues!$C322),MOD(Issues!$C322,100),IFERROR(VALUE(TRIM(MID(MID(Issues!$C322,FIND("/",Issues!$C322)+1,20),FIND("/",MID(Issues!$C322,FIND("/",Issues!$C322)+1,20))+1,20))),"")))</f>
        <v/>
      </c>
      <c r="E319" t="str">
        <f t="shared" si="12"/>
        <v/>
      </c>
      <c r="F319" t="str">
        <f>IF($A319="","",IF(Issues!$D322="",0,Issues!$D322))</f>
        <v/>
      </c>
      <c r="G319" t="str">
        <f>IF($A319="","",Issues!$E322)</f>
        <v/>
      </c>
      <c r="H319" t="str">
        <f t="shared" si="13"/>
        <v/>
      </c>
      <c r="I319" t="str">
        <f t="shared" si="14"/>
        <v/>
      </c>
      <c r="J319" t="str">
        <f>IF($A319="","",Issues!$G322)</f>
        <v/>
      </c>
      <c r="K319" t="str">
        <f>IF(OR($E319="",$E319="نامعتبر"),"",LEFT($E319,4)&amp;MID($E319,6,2)&amp;RIGHT($E319,2)&amp;"|"&amp;RIGHT("00000"&amp;314,5))</f>
        <v/>
      </c>
      <c r="M319" t="str">
        <f>IF(Sync!$M319&lt;&gt;"پاس چک","",IF(Sync!$P319="","",Sync!$P319))</f>
        <v/>
      </c>
      <c r="N319" t="str">
        <f>IF($M319="","",IF(ISNUMBER(Sync!$L319),IF(AND(Sync!$L319&gt;=10000101,Sync!$L319&lt;=99991231),RIGHT("0000"&amp;INT(Sync!$L319/10000),4)&amp;"/"&amp;RIGHT("00"&amp;INT(MOD(Sync!$L319,10000)/100),2)&amp;"/"&amp;RIGHT("00"&amp;MOD(Sync!$L319,100),2),""),IFERROR(RIGHT("0000"&amp;VALUE(TRIM(LEFT(Sync!$L319,FIND("/",Sync!$L319)-1))),4)&amp;"/"&amp;RIGHT("00"&amp;VALUE(TRIM(LEFT(MID(Sync!$L319,FIND("/",Sync!$L319)+1,20),FIND("/",MID(Sync!$L319,FIND("/",Sync!$L319)+1,20))-1))),2)&amp;"/"&amp;RIGHT("00"&amp;VALUE(TRIM(MID(MID(Sync!$L319,FIND("/",Sync!$L319)+1,20),FIND("/",MID(Sync!$L319,FIND("/",Sync!$L319)+1,20))+1,20))),2),"")))</f>
        <v/>
      </c>
    </row>
    <row r="320" spans="1:14" x14ac:dyDescent="0.2">
      <c r="A320" t="str">
        <f>IF(Issues!$B323="","",Issues!$B323)</f>
        <v/>
      </c>
      <c r="B320" t="str">
        <f>IF($A320="","",IF(ISNUMBER(Issues!$C323),IF(AND(Issues!$C323&gt;=10000101,Issues!$C323&lt;=99991231),INT(Issues!$C323/10000),""),IFERROR(VALUE(TRIM(LEFT(Issues!$C323,FIND("/",Issues!$C323)-1))),"")))</f>
        <v/>
      </c>
      <c r="C320" t="str">
        <f>IF(OR($A320="",$B320=""),"",IF(ISNUMBER(Issues!$C323),INT(MOD(Issues!$C323,10000)/100),IFERROR(VALUE(TRIM(LEFT(MID(Issues!$C323,FIND("/",Issues!$C323)+1,20),FIND("/",MID(Issues!$C323,FIND("/",Issues!$C323)+1,20))-1))),"")))</f>
        <v/>
      </c>
      <c r="D320" t="str">
        <f>IF(OR($A320="",$B320=""),"",IF(ISNUMBER(Issues!$C323),MOD(Issues!$C323,100),IFERROR(VALUE(TRIM(MID(MID(Issues!$C323,FIND("/",Issues!$C323)+1,20),FIND("/",MID(Issues!$C323,FIND("/",Issues!$C323)+1,20))+1,20))),"")))</f>
        <v/>
      </c>
      <c r="E320" t="str">
        <f t="shared" si="12"/>
        <v/>
      </c>
      <c r="F320" t="str">
        <f>IF($A320="","",IF(Issues!$D323="",0,Issues!$D323))</f>
        <v/>
      </c>
      <c r="G320" t="str">
        <f>IF($A320="","",Issues!$E323)</f>
        <v/>
      </c>
      <c r="H320" t="str">
        <f t="shared" si="13"/>
        <v/>
      </c>
      <c r="I320" t="str">
        <f t="shared" si="14"/>
        <v/>
      </c>
      <c r="J320" t="str">
        <f>IF($A320="","",Issues!$G323)</f>
        <v/>
      </c>
      <c r="K320" t="str">
        <f>IF(OR($E320="",$E320="نامعتبر"),"",LEFT($E320,4)&amp;MID($E320,6,2)&amp;RIGHT($E320,2)&amp;"|"&amp;RIGHT("00000"&amp;315,5))</f>
        <v/>
      </c>
      <c r="M320" t="str">
        <f>IF(Sync!$M320&lt;&gt;"پاس چک","",IF(Sync!$P320="","",Sync!$P320))</f>
        <v/>
      </c>
      <c r="N320" t="str">
        <f>IF($M320="","",IF(ISNUMBER(Sync!$L320),IF(AND(Sync!$L320&gt;=10000101,Sync!$L320&lt;=99991231),RIGHT("0000"&amp;INT(Sync!$L320/10000),4)&amp;"/"&amp;RIGHT("00"&amp;INT(MOD(Sync!$L320,10000)/100),2)&amp;"/"&amp;RIGHT("00"&amp;MOD(Sync!$L320,100),2),""),IFERROR(RIGHT("0000"&amp;VALUE(TRIM(LEFT(Sync!$L320,FIND("/",Sync!$L320)-1))),4)&amp;"/"&amp;RIGHT("00"&amp;VALUE(TRIM(LEFT(MID(Sync!$L320,FIND("/",Sync!$L320)+1,20),FIND("/",MID(Sync!$L320,FIND("/",Sync!$L320)+1,20))-1))),2)&amp;"/"&amp;RIGHT("00"&amp;VALUE(TRIM(MID(MID(Sync!$L320,FIND("/",Sync!$L320)+1,20),FIND("/",MID(Sync!$L320,FIND("/",Sync!$L320)+1,20))+1,20))),2),"")))</f>
        <v/>
      </c>
    </row>
    <row r="321" spans="1:14" x14ac:dyDescent="0.2">
      <c r="A321" t="str">
        <f>IF(Issues!$B324="","",Issues!$B324)</f>
        <v/>
      </c>
      <c r="B321" t="str">
        <f>IF($A321="","",IF(ISNUMBER(Issues!$C324),IF(AND(Issues!$C324&gt;=10000101,Issues!$C324&lt;=99991231),INT(Issues!$C324/10000),""),IFERROR(VALUE(TRIM(LEFT(Issues!$C324,FIND("/",Issues!$C324)-1))),"")))</f>
        <v/>
      </c>
      <c r="C321" t="str">
        <f>IF(OR($A321="",$B321=""),"",IF(ISNUMBER(Issues!$C324),INT(MOD(Issues!$C324,10000)/100),IFERROR(VALUE(TRIM(LEFT(MID(Issues!$C324,FIND("/",Issues!$C324)+1,20),FIND("/",MID(Issues!$C324,FIND("/",Issues!$C324)+1,20))-1))),"")))</f>
        <v/>
      </c>
      <c r="D321" t="str">
        <f>IF(OR($A321="",$B321=""),"",IF(ISNUMBER(Issues!$C324),MOD(Issues!$C324,100),IFERROR(VALUE(TRIM(MID(MID(Issues!$C324,FIND("/",Issues!$C324)+1,20),FIND("/",MID(Issues!$C324,FIND("/",Issues!$C324)+1,20))+1,20))),"")))</f>
        <v/>
      </c>
      <c r="E321" t="str">
        <f t="shared" si="12"/>
        <v/>
      </c>
      <c r="F321" t="str">
        <f>IF($A321="","",IF(Issues!$D324="",0,Issues!$D324))</f>
        <v/>
      </c>
      <c r="G321" t="str">
        <f>IF($A321="","",Issues!$E324)</f>
        <v/>
      </c>
      <c r="H321" t="str">
        <f t="shared" si="13"/>
        <v/>
      </c>
      <c r="I321" t="str">
        <f t="shared" si="14"/>
        <v/>
      </c>
      <c r="J321" t="str">
        <f>IF($A321="","",Issues!$G324)</f>
        <v/>
      </c>
      <c r="K321" t="str">
        <f>IF(OR($E321="",$E321="نامعتبر"),"",LEFT($E321,4)&amp;MID($E321,6,2)&amp;RIGHT($E321,2)&amp;"|"&amp;RIGHT("00000"&amp;316,5))</f>
        <v/>
      </c>
      <c r="M321" t="str">
        <f>IF(Sync!$M321&lt;&gt;"پاس چک","",IF(Sync!$P321="","",Sync!$P321))</f>
        <v/>
      </c>
      <c r="N321" t="str">
        <f>IF($M321="","",IF(ISNUMBER(Sync!$L321),IF(AND(Sync!$L321&gt;=10000101,Sync!$L321&lt;=99991231),RIGHT("0000"&amp;INT(Sync!$L321/10000),4)&amp;"/"&amp;RIGHT("00"&amp;INT(MOD(Sync!$L321,10000)/100),2)&amp;"/"&amp;RIGHT("00"&amp;MOD(Sync!$L321,100),2),""),IFERROR(RIGHT("0000"&amp;VALUE(TRIM(LEFT(Sync!$L321,FIND("/",Sync!$L321)-1))),4)&amp;"/"&amp;RIGHT("00"&amp;VALUE(TRIM(LEFT(MID(Sync!$L321,FIND("/",Sync!$L321)+1,20),FIND("/",MID(Sync!$L321,FIND("/",Sync!$L321)+1,20))-1))),2)&amp;"/"&amp;RIGHT("00"&amp;VALUE(TRIM(MID(MID(Sync!$L321,FIND("/",Sync!$L321)+1,20),FIND("/",MID(Sync!$L321,FIND("/",Sync!$L321)+1,20))+1,20))),2),"")))</f>
        <v/>
      </c>
    </row>
    <row r="322" spans="1:14" x14ac:dyDescent="0.2">
      <c r="A322" t="str">
        <f>IF(Issues!$B325="","",Issues!$B325)</f>
        <v/>
      </c>
      <c r="B322" t="str">
        <f>IF($A322="","",IF(ISNUMBER(Issues!$C325),IF(AND(Issues!$C325&gt;=10000101,Issues!$C325&lt;=99991231),INT(Issues!$C325/10000),""),IFERROR(VALUE(TRIM(LEFT(Issues!$C325,FIND("/",Issues!$C325)-1))),"")))</f>
        <v/>
      </c>
      <c r="C322" t="str">
        <f>IF(OR($A322="",$B322=""),"",IF(ISNUMBER(Issues!$C325),INT(MOD(Issues!$C325,10000)/100),IFERROR(VALUE(TRIM(LEFT(MID(Issues!$C325,FIND("/",Issues!$C325)+1,20),FIND("/",MID(Issues!$C325,FIND("/",Issues!$C325)+1,20))-1))),"")))</f>
        <v/>
      </c>
      <c r="D322" t="str">
        <f>IF(OR($A322="",$B322=""),"",IF(ISNUMBER(Issues!$C325),MOD(Issues!$C325,100),IFERROR(VALUE(TRIM(MID(MID(Issues!$C325,FIND("/",Issues!$C325)+1,20),FIND("/",MID(Issues!$C325,FIND("/",Issues!$C325)+1,20))+1,20))),"")))</f>
        <v/>
      </c>
      <c r="E322" t="str">
        <f t="shared" si="12"/>
        <v/>
      </c>
      <c r="F322" t="str">
        <f>IF($A322="","",IF(Issues!$D325="",0,Issues!$D325))</f>
        <v/>
      </c>
      <c r="G322" t="str">
        <f>IF($A322="","",Issues!$E325)</f>
        <v/>
      </c>
      <c r="H322" t="str">
        <f t="shared" si="13"/>
        <v/>
      </c>
      <c r="I322" t="str">
        <f t="shared" si="14"/>
        <v/>
      </c>
      <c r="J322" t="str">
        <f>IF($A322="","",Issues!$G325)</f>
        <v/>
      </c>
      <c r="K322" t="str">
        <f>IF(OR($E322="",$E322="نامعتبر"),"",LEFT($E322,4)&amp;MID($E322,6,2)&amp;RIGHT($E322,2)&amp;"|"&amp;RIGHT("00000"&amp;317,5))</f>
        <v/>
      </c>
      <c r="M322" t="str">
        <f>IF(Sync!$M322&lt;&gt;"پاس چک","",IF(Sync!$P322="","",Sync!$P322))</f>
        <v/>
      </c>
      <c r="N322" t="str">
        <f>IF($M322="","",IF(ISNUMBER(Sync!$L322),IF(AND(Sync!$L322&gt;=10000101,Sync!$L322&lt;=99991231),RIGHT("0000"&amp;INT(Sync!$L322/10000),4)&amp;"/"&amp;RIGHT("00"&amp;INT(MOD(Sync!$L322,10000)/100),2)&amp;"/"&amp;RIGHT("00"&amp;MOD(Sync!$L322,100),2),""),IFERROR(RIGHT("0000"&amp;VALUE(TRIM(LEFT(Sync!$L322,FIND("/",Sync!$L322)-1))),4)&amp;"/"&amp;RIGHT("00"&amp;VALUE(TRIM(LEFT(MID(Sync!$L322,FIND("/",Sync!$L322)+1,20),FIND("/",MID(Sync!$L322,FIND("/",Sync!$L322)+1,20))-1))),2)&amp;"/"&amp;RIGHT("00"&amp;VALUE(TRIM(MID(MID(Sync!$L322,FIND("/",Sync!$L322)+1,20),FIND("/",MID(Sync!$L322,FIND("/",Sync!$L322)+1,20))+1,20))),2),"")))</f>
        <v/>
      </c>
    </row>
    <row r="323" spans="1:14" x14ac:dyDescent="0.2">
      <c r="A323" t="str">
        <f>IF(Issues!$B326="","",Issues!$B326)</f>
        <v/>
      </c>
      <c r="B323" t="str">
        <f>IF($A323="","",IF(ISNUMBER(Issues!$C326),IF(AND(Issues!$C326&gt;=10000101,Issues!$C326&lt;=99991231),INT(Issues!$C326/10000),""),IFERROR(VALUE(TRIM(LEFT(Issues!$C326,FIND("/",Issues!$C326)-1))),"")))</f>
        <v/>
      </c>
      <c r="C323" t="str">
        <f>IF(OR($A323="",$B323=""),"",IF(ISNUMBER(Issues!$C326),INT(MOD(Issues!$C326,10000)/100),IFERROR(VALUE(TRIM(LEFT(MID(Issues!$C326,FIND("/",Issues!$C326)+1,20),FIND("/",MID(Issues!$C326,FIND("/",Issues!$C326)+1,20))-1))),"")))</f>
        <v/>
      </c>
      <c r="D323" t="str">
        <f>IF(OR($A323="",$B323=""),"",IF(ISNUMBER(Issues!$C326),MOD(Issues!$C326,100),IFERROR(VALUE(TRIM(MID(MID(Issues!$C326,FIND("/",Issues!$C326)+1,20),FIND("/",MID(Issues!$C326,FIND("/",Issues!$C326)+1,20))+1,20))),"")))</f>
        <v/>
      </c>
      <c r="E323" t="str">
        <f t="shared" si="12"/>
        <v/>
      </c>
      <c r="F323" t="str">
        <f>IF($A323="","",IF(Issues!$D326="",0,Issues!$D326))</f>
        <v/>
      </c>
      <c r="G323" t="str">
        <f>IF($A323="","",Issues!$E326)</f>
        <v/>
      </c>
      <c r="H323" t="str">
        <f t="shared" si="13"/>
        <v/>
      </c>
      <c r="I323" t="str">
        <f t="shared" si="14"/>
        <v/>
      </c>
      <c r="J323" t="str">
        <f>IF($A323="","",Issues!$G326)</f>
        <v/>
      </c>
      <c r="K323" t="str">
        <f>IF(OR($E323="",$E323="نامعتبر"),"",LEFT($E323,4)&amp;MID($E323,6,2)&amp;RIGHT($E323,2)&amp;"|"&amp;RIGHT("00000"&amp;318,5))</f>
        <v/>
      </c>
      <c r="M323" t="str">
        <f>IF(Sync!$M323&lt;&gt;"پاس چک","",IF(Sync!$P323="","",Sync!$P323))</f>
        <v/>
      </c>
      <c r="N323" t="str">
        <f>IF($M323="","",IF(ISNUMBER(Sync!$L323),IF(AND(Sync!$L323&gt;=10000101,Sync!$L323&lt;=99991231),RIGHT("0000"&amp;INT(Sync!$L323/10000),4)&amp;"/"&amp;RIGHT("00"&amp;INT(MOD(Sync!$L323,10000)/100),2)&amp;"/"&amp;RIGHT("00"&amp;MOD(Sync!$L323,100),2),""),IFERROR(RIGHT("0000"&amp;VALUE(TRIM(LEFT(Sync!$L323,FIND("/",Sync!$L323)-1))),4)&amp;"/"&amp;RIGHT("00"&amp;VALUE(TRIM(LEFT(MID(Sync!$L323,FIND("/",Sync!$L323)+1,20),FIND("/",MID(Sync!$L323,FIND("/",Sync!$L323)+1,20))-1))),2)&amp;"/"&amp;RIGHT("00"&amp;VALUE(TRIM(MID(MID(Sync!$L323,FIND("/",Sync!$L323)+1,20),FIND("/",MID(Sync!$L323,FIND("/",Sync!$L323)+1,20))+1,20))),2),"")))</f>
        <v/>
      </c>
    </row>
    <row r="324" spans="1:14" x14ac:dyDescent="0.2">
      <c r="A324" t="str">
        <f>IF(Issues!$B327="","",Issues!$B327)</f>
        <v/>
      </c>
      <c r="B324" t="str">
        <f>IF($A324="","",IF(ISNUMBER(Issues!$C327),IF(AND(Issues!$C327&gt;=10000101,Issues!$C327&lt;=99991231),INT(Issues!$C327/10000),""),IFERROR(VALUE(TRIM(LEFT(Issues!$C327,FIND("/",Issues!$C327)-1))),"")))</f>
        <v/>
      </c>
      <c r="C324" t="str">
        <f>IF(OR($A324="",$B324=""),"",IF(ISNUMBER(Issues!$C327),INT(MOD(Issues!$C327,10000)/100),IFERROR(VALUE(TRIM(LEFT(MID(Issues!$C327,FIND("/",Issues!$C327)+1,20),FIND("/",MID(Issues!$C327,FIND("/",Issues!$C327)+1,20))-1))),"")))</f>
        <v/>
      </c>
      <c r="D324" t="str">
        <f>IF(OR($A324="",$B324=""),"",IF(ISNUMBER(Issues!$C327),MOD(Issues!$C327,100),IFERROR(VALUE(TRIM(MID(MID(Issues!$C327,FIND("/",Issues!$C327)+1,20),FIND("/",MID(Issues!$C327,FIND("/",Issues!$C327)+1,20))+1,20))),"")))</f>
        <v/>
      </c>
      <c r="E324" t="str">
        <f t="shared" si="12"/>
        <v/>
      </c>
      <c r="F324" t="str">
        <f>IF($A324="","",IF(Issues!$D327="",0,Issues!$D327))</f>
        <v/>
      </c>
      <c r="G324" t="str">
        <f>IF($A324="","",Issues!$E327)</f>
        <v/>
      </c>
      <c r="H324" t="str">
        <f t="shared" si="13"/>
        <v/>
      </c>
      <c r="I324" t="str">
        <f t="shared" si="14"/>
        <v/>
      </c>
      <c r="J324" t="str">
        <f>IF($A324="","",Issues!$G327)</f>
        <v/>
      </c>
      <c r="K324" t="str">
        <f>IF(OR($E324="",$E324="نامعتبر"),"",LEFT($E324,4)&amp;MID($E324,6,2)&amp;RIGHT($E324,2)&amp;"|"&amp;RIGHT("00000"&amp;319,5))</f>
        <v/>
      </c>
      <c r="M324" t="str">
        <f>IF(Sync!$M324&lt;&gt;"پاس چک","",IF(Sync!$P324="","",Sync!$P324))</f>
        <v/>
      </c>
      <c r="N324" t="str">
        <f>IF($M324="","",IF(ISNUMBER(Sync!$L324),IF(AND(Sync!$L324&gt;=10000101,Sync!$L324&lt;=99991231),RIGHT("0000"&amp;INT(Sync!$L324/10000),4)&amp;"/"&amp;RIGHT("00"&amp;INT(MOD(Sync!$L324,10000)/100),2)&amp;"/"&amp;RIGHT("00"&amp;MOD(Sync!$L324,100),2),""),IFERROR(RIGHT("0000"&amp;VALUE(TRIM(LEFT(Sync!$L324,FIND("/",Sync!$L324)-1))),4)&amp;"/"&amp;RIGHT("00"&amp;VALUE(TRIM(LEFT(MID(Sync!$L324,FIND("/",Sync!$L324)+1,20),FIND("/",MID(Sync!$L324,FIND("/",Sync!$L324)+1,20))-1))),2)&amp;"/"&amp;RIGHT("00"&amp;VALUE(TRIM(MID(MID(Sync!$L324,FIND("/",Sync!$L324)+1,20),FIND("/",MID(Sync!$L324,FIND("/",Sync!$L324)+1,20))+1,20))),2),"")))</f>
        <v/>
      </c>
    </row>
    <row r="325" spans="1:14" x14ac:dyDescent="0.2">
      <c r="A325" t="str">
        <f>IF(Issues!$B328="","",Issues!$B328)</f>
        <v/>
      </c>
      <c r="B325" t="str">
        <f>IF($A325="","",IF(ISNUMBER(Issues!$C328),IF(AND(Issues!$C328&gt;=10000101,Issues!$C328&lt;=99991231),INT(Issues!$C328/10000),""),IFERROR(VALUE(TRIM(LEFT(Issues!$C328,FIND("/",Issues!$C328)-1))),"")))</f>
        <v/>
      </c>
      <c r="C325" t="str">
        <f>IF(OR($A325="",$B325=""),"",IF(ISNUMBER(Issues!$C328),INT(MOD(Issues!$C328,10000)/100),IFERROR(VALUE(TRIM(LEFT(MID(Issues!$C328,FIND("/",Issues!$C328)+1,20),FIND("/",MID(Issues!$C328,FIND("/",Issues!$C328)+1,20))-1))),"")))</f>
        <v/>
      </c>
      <c r="D325" t="str">
        <f>IF(OR($A325="",$B325=""),"",IF(ISNUMBER(Issues!$C328),MOD(Issues!$C328,100),IFERROR(VALUE(TRIM(MID(MID(Issues!$C328,FIND("/",Issues!$C328)+1,20),FIND("/",MID(Issues!$C328,FIND("/",Issues!$C328)+1,20))+1,20))),"")))</f>
        <v/>
      </c>
      <c r="E325" t="str">
        <f t="shared" si="12"/>
        <v/>
      </c>
      <c r="F325" t="str">
        <f>IF($A325="","",IF(Issues!$D328="",0,Issues!$D328))</f>
        <v/>
      </c>
      <c r="G325" t="str">
        <f>IF($A325="","",Issues!$E328)</f>
        <v/>
      </c>
      <c r="H325" t="str">
        <f t="shared" si="13"/>
        <v/>
      </c>
      <c r="I325" t="str">
        <f t="shared" si="14"/>
        <v/>
      </c>
      <c r="J325" t="str">
        <f>IF($A325="","",Issues!$G328)</f>
        <v/>
      </c>
      <c r="K325" t="str">
        <f>IF(OR($E325="",$E325="نامعتبر"),"",LEFT($E325,4)&amp;MID($E325,6,2)&amp;RIGHT($E325,2)&amp;"|"&amp;RIGHT("00000"&amp;320,5))</f>
        <v/>
      </c>
      <c r="M325" t="str">
        <f>IF(Sync!$M325&lt;&gt;"پاس چک","",IF(Sync!$P325="","",Sync!$P325))</f>
        <v/>
      </c>
      <c r="N325" t="str">
        <f>IF($M325="","",IF(ISNUMBER(Sync!$L325),IF(AND(Sync!$L325&gt;=10000101,Sync!$L325&lt;=99991231),RIGHT("0000"&amp;INT(Sync!$L325/10000),4)&amp;"/"&amp;RIGHT("00"&amp;INT(MOD(Sync!$L325,10000)/100),2)&amp;"/"&amp;RIGHT("00"&amp;MOD(Sync!$L325,100),2),""),IFERROR(RIGHT("0000"&amp;VALUE(TRIM(LEFT(Sync!$L325,FIND("/",Sync!$L325)-1))),4)&amp;"/"&amp;RIGHT("00"&amp;VALUE(TRIM(LEFT(MID(Sync!$L325,FIND("/",Sync!$L325)+1,20),FIND("/",MID(Sync!$L325,FIND("/",Sync!$L325)+1,20))-1))),2)&amp;"/"&amp;RIGHT("00"&amp;VALUE(TRIM(MID(MID(Sync!$L325,FIND("/",Sync!$L325)+1,20),FIND("/",MID(Sync!$L325,FIND("/",Sync!$L325)+1,20))+1,20))),2),"")))</f>
        <v/>
      </c>
    </row>
    <row r="326" spans="1:14" x14ac:dyDescent="0.2">
      <c r="A326" t="str">
        <f>IF(Issues!$B329="","",Issues!$B329)</f>
        <v/>
      </c>
      <c r="B326" t="str">
        <f>IF($A326="","",IF(ISNUMBER(Issues!$C329),IF(AND(Issues!$C329&gt;=10000101,Issues!$C329&lt;=99991231),INT(Issues!$C329/10000),""),IFERROR(VALUE(TRIM(LEFT(Issues!$C329,FIND("/",Issues!$C329)-1))),"")))</f>
        <v/>
      </c>
      <c r="C326" t="str">
        <f>IF(OR($A326="",$B326=""),"",IF(ISNUMBER(Issues!$C329),INT(MOD(Issues!$C329,10000)/100),IFERROR(VALUE(TRIM(LEFT(MID(Issues!$C329,FIND("/",Issues!$C329)+1,20),FIND("/",MID(Issues!$C329,FIND("/",Issues!$C329)+1,20))-1))),"")))</f>
        <v/>
      </c>
      <c r="D326" t="str">
        <f>IF(OR($A326="",$B326=""),"",IF(ISNUMBER(Issues!$C329),MOD(Issues!$C329,100),IFERROR(VALUE(TRIM(MID(MID(Issues!$C329,FIND("/",Issues!$C329)+1,20),FIND("/",MID(Issues!$C329,FIND("/",Issues!$C329)+1,20))+1,20))),"")))</f>
        <v/>
      </c>
      <c r="E326" t="str">
        <f t="shared" ref="E326:E389" si="15"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 t="str">
        <f>IF($A326="","",IF(Issues!$D329="",0,Issues!$D329))</f>
        <v/>
      </c>
      <c r="G326" t="str">
        <f>IF($A326="","",Issues!$E329)</f>
        <v/>
      </c>
      <c r="H326" t="str">
        <f t="shared" ref="H326:H389" si="16">IF($A326="","",IF(COUNTIFS(ETxnType,"پاس چک",ETxnChk,$A326)&gt;0,"پاس شده","پاس نشده"))</f>
        <v/>
      </c>
      <c r="I326" t="str">
        <f t="shared" ref="I326:I389" si="17">IF($A326="","",IFERROR(INDEX(BClrDate,MATCH($A326,BClrChk,0)),""))</f>
        <v/>
      </c>
      <c r="J326" t="str">
        <f>IF($A326="","",Issues!$G329)</f>
        <v/>
      </c>
      <c r="K326" t="str">
        <f>IF(OR($E326="",$E326="نامعتبر"),"",LEFT($E326,4)&amp;MID($E326,6,2)&amp;RIGHT($E326,2)&amp;"|"&amp;RIGHT("00000"&amp;321,5))</f>
        <v/>
      </c>
      <c r="M326" t="str">
        <f>IF(Sync!$M326&lt;&gt;"پاس چک","",IF(Sync!$P326="","",Sync!$P326))</f>
        <v/>
      </c>
      <c r="N326" t="str">
        <f>IF($M326="","",IF(ISNUMBER(Sync!$L326),IF(AND(Sync!$L326&gt;=10000101,Sync!$L326&lt;=99991231),RIGHT("0000"&amp;INT(Sync!$L326/10000),4)&amp;"/"&amp;RIGHT("00"&amp;INT(MOD(Sync!$L326,10000)/100),2)&amp;"/"&amp;RIGHT("00"&amp;MOD(Sync!$L326,100),2),""),IFERROR(RIGHT("0000"&amp;VALUE(TRIM(LEFT(Sync!$L326,FIND("/",Sync!$L326)-1))),4)&amp;"/"&amp;RIGHT("00"&amp;VALUE(TRIM(LEFT(MID(Sync!$L326,FIND("/",Sync!$L326)+1,20),FIND("/",MID(Sync!$L326,FIND("/",Sync!$L326)+1,20))-1))),2)&amp;"/"&amp;RIGHT("00"&amp;VALUE(TRIM(MID(MID(Sync!$L326,FIND("/",Sync!$L326)+1,20),FIND("/",MID(Sync!$L326,FIND("/",Sync!$L326)+1,20))+1,20))),2),"")))</f>
        <v/>
      </c>
    </row>
    <row r="327" spans="1:14" x14ac:dyDescent="0.2">
      <c r="A327" t="str">
        <f>IF(Issues!$B330="","",Issues!$B330)</f>
        <v/>
      </c>
      <c r="B327" t="str">
        <f>IF($A327="","",IF(ISNUMBER(Issues!$C330),IF(AND(Issues!$C330&gt;=10000101,Issues!$C330&lt;=99991231),INT(Issues!$C330/10000),""),IFERROR(VALUE(TRIM(LEFT(Issues!$C330,FIND("/",Issues!$C330)-1))),"")))</f>
        <v/>
      </c>
      <c r="C327" t="str">
        <f>IF(OR($A327="",$B327=""),"",IF(ISNUMBER(Issues!$C330),INT(MOD(Issues!$C330,10000)/100),IFERROR(VALUE(TRIM(LEFT(MID(Issues!$C330,FIND("/",Issues!$C330)+1,20),FIND("/",MID(Issues!$C330,FIND("/",Issues!$C330)+1,20))-1))),"")))</f>
        <v/>
      </c>
      <c r="D327" t="str">
        <f>IF(OR($A327="",$B327=""),"",IF(ISNUMBER(Issues!$C330),MOD(Issues!$C330,100),IFERROR(VALUE(TRIM(MID(MID(Issues!$C330,FIND("/",Issues!$C330)+1,20),FIND("/",MID(Issues!$C330,FIND("/",Issues!$C330)+1,20))+1,20))),"")))</f>
        <v/>
      </c>
      <c r="E327" t="str">
        <f t="shared" si="15"/>
        <v/>
      </c>
      <c r="F327" t="str">
        <f>IF($A327="","",IF(Issues!$D330="",0,Issues!$D330))</f>
        <v/>
      </c>
      <c r="G327" t="str">
        <f>IF($A327="","",Issues!$E330)</f>
        <v/>
      </c>
      <c r="H327" t="str">
        <f t="shared" si="16"/>
        <v/>
      </c>
      <c r="I327" t="str">
        <f t="shared" si="17"/>
        <v/>
      </c>
      <c r="J327" t="str">
        <f>IF($A327="","",Issues!$G330)</f>
        <v/>
      </c>
      <c r="K327" t="str">
        <f>IF(OR($E327="",$E327="نامعتبر"),"",LEFT($E327,4)&amp;MID($E327,6,2)&amp;RIGHT($E327,2)&amp;"|"&amp;RIGHT("00000"&amp;322,5))</f>
        <v/>
      </c>
      <c r="M327" t="str">
        <f>IF(Sync!$M327&lt;&gt;"پاس چک","",IF(Sync!$P327="","",Sync!$P327))</f>
        <v/>
      </c>
      <c r="N327" t="str">
        <f>IF($M327="","",IF(ISNUMBER(Sync!$L327),IF(AND(Sync!$L327&gt;=10000101,Sync!$L327&lt;=99991231),RIGHT("0000"&amp;INT(Sync!$L327/10000),4)&amp;"/"&amp;RIGHT("00"&amp;INT(MOD(Sync!$L327,10000)/100),2)&amp;"/"&amp;RIGHT("00"&amp;MOD(Sync!$L327,100),2),""),IFERROR(RIGHT("0000"&amp;VALUE(TRIM(LEFT(Sync!$L327,FIND("/",Sync!$L327)-1))),4)&amp;"/"&amp;RIGHT("00"&amp;VALUE(TRIM(LEFT(MID(Sync!$L327,FIND("/",Sync!$L327)+1,20),FIND("/",MID(Sync!$L327,FIND("/",Sync!$L327)+1,20))-1))),2)&amp;"/"&amp;RIGHT("00"&amp;VALUE(TRIM(MID(MID(Sync!$L327,FIND("/",Sync!$L327)+1,20),FIND("/",MID(Sync!$L327,FIND("/",Sync!$L327)+1,20))+1,20))),2),"")))</f>
        <v/>
      </c>
    </row>
    <row r="328" spans="1:14" x14ac:dyDescent="0.2">
      <c r="A328" t="str">
        <f>IF(Issues!$B331="","",Issues!$B331)</f>
        <v/>
      </c>
      <c r="B328" t="str">
        <f>IF($A328="","",IF(ISNUMBER(Issues!$C331),IF(AND(Issues!$C331&gt;=10000101,Issues!$C331&lt;=99991231),INT(Issues!$C331/10000),""),IFERROR(VALUE(TRIM(LEFT(Issues!$C331,FIND("/",Issues!$C331)-1))),"")))</f>
        <v/>
      </c>
      <c r="C328" t="str">
        <f>IF(OR($A328="",$B328=""),"",IF(ISNUMBER(Issues!$C331),INT(MOD(Issues!$C331,10000)/100),IFERROR(VALUE(TRIM(LEFT(MID(Issues!$C331,FIND("/",Issues!$C331)+1,20),FIND("/",MID(Issues!$C331,FIND("/",Issues!$C331)+1,20))-1))),"")))</f>
        <v/>
      </c>
      <c r="D328" t="str">
        <f>IF(OR($A328="",$B328=""),"",IF(ISNUMBER(Issues!$C331),MOD(Issues!$C331,100),IFERROR(VALUE(TRIM(MID(MID(Issues!$C331,FIND("/",Issues!$C331)+1,20),FIND("/",MID(Issues!$C331,FIND("/",Issues!$C331)+1,20))+1,20))),"")))</f>
        <v/>
      </c>
      <c r="E328" t="str">
        <f t="shared" si="15"/>
        <v/>
      </c>
      <c r="F328" t="str">
        <f>IF($A328="","",IF(Issues!$D331="",0,Issues!$D331))</f>
        <v/>
      </c>
      <c r="G328" t="str">
        <f>IF($A328="","",Issues!$E331)</f>
        <v/>
      </c>
      <c r="H328" t="str">
        <f t="shared" si="16"/>
        <v/>
      </c>
      <c r="I328" t="str">
        <f t="shared" si="17"/>
        <v/>
      </c>
      <c r="J328" t="str">
        <f>IF($A328="","",Issues!$G331)</f>
        <v/>
      </c>
      <c r="K328" t="str">
        <f>IF(OR($E328="",$E328="نامعتبر"),"",LEFT($E328,4)&amp;MID($E328,6,2)&amp;RIGHT($E328,2)&amp;"|"&amp;RIGHT("00000"&amp;323,5))</f>
        <v/>
      </c>
      <c r="M328" t="str">
        <f>IF(Sync!$M328&lt;&gt;"پاس چک","",IF(Sync!$P328="","",Sync!$P328))</f>
        <v/>
      </c>
      <c r="N328" t="str">
        <f>IF($M328="","",IF(ISNUMBER(Sync!$L328),IF(AND(Sync!$L328&gt;=10000101,Sync!$L328&lt;=99991231),RIGHT("0000"&amp;INT(Sync!$L328/10000),4)&amp;"/"&amp;RIGHT("00"&amp;INT(MOD(Sync!$L328,10000)/100),2)&amp;"/"&amp;RIGHT("00"&amp;MOD(Sync!$L328,100),2),""),IFERROR(RIGHT("0000"&amp;VALUE(TRIM(LEFT(Sync!$L328,FIND("/",Sync!$L328)-1))),4)&amp;"/"&amp;RIGHT("00"&amp;VALUE(TRIM(LEFT(MID(Sync!$L328,FIND("/",Sync!$L328)+1,20),FIND("/",MID(Sync!$L328,FIND("/",Sync!$L328)+1,20))-1))),2)&amp;"/"&amp;RIGHT("00"&amp;VALUE(TRIM(MID(MID(Sync!$L328,FIND("/",Sync!$L328)+1,20),FIND("/",MID(Sync!$L328,FIND("/",Sync!$L328)+1,20))+1,20))),2),"")))</f>
        <v/>
      </c>
    </row>
    <row r="329" spans="1:14" x14ac:dyDescent="0.2">
      <c r="A329" t="str">
        <f>IF(Issues!$B332="","",Issues!$B332)</f>
        <v/>
      </c>
      <c r="B329" t="str">
        <f>IF($A329="","",IF(ISNUMBER(Issues!$C332),IF(AND(Issues!$C332&gt;=10000101,Issues!$C332&lt;=99991231),INT(Issues!$C332/10000),""),IFERROR(VALUE(TRIM(LEFT(Issues!$C332,FIND("/",Issues!$C332)-1))),"")))</f>
        <v/>
      </c>
      <c r="C329" t="str">
        <f>IF(OR($A329="",$B329=""),"",IF(ISNUMBER(Issues!$C332),INT(MOD(Issues!$C332,10000)/100),IFERROR(VALUE(TRIM(LEFT(MID(Issues!$C332,FIND("/",Issues!$C332)+1,20),FIND("/",MID(Issues!$C332,FIND("/",Issues!$C332)+1,20))-1))),"")))</f>
        <v/>
      </c>
      <c r="D329" t="str">
        <f>IF(OR($A329="",$B329=""),"",IF(ISNUMBER(Issues!$C332),MOD(Issues!$C332,100),IFERROR(VALUE(TRIM(MID(MID(Issues!$C332,FIND("/",Issues!$C332)+1,20),FIND("/",MID(Issues!$C332,FIND("/",Issues!$C332)+1,20))+1,20))),"")))</f>
        <v/>
      </c>
      <c r="E329" t="str">
        <f t="shared" si="15"/>
        <v/>
      </c>
      <c r="F329" t="str">
        <f>IF($A329="","",IF(Issues!$D332="",0,Issues!$D332))</f>
        <v/>
      </c>
      <c r="G329" t="str">
        <f>IF($A329="","",Issues!$E332)</f>
        <v/>
      </c>
      <c r="H329" t="str">
        <f t="shared" si="16"/>
        <v/>
      </c>
      <c r="I329" t="str">
        <f t="shared" si="17"/>
        <v/>
      </c>
      <c r="J329" t="str">
        <f>IF($A329="","",Issues!$G332)</f>
        <v/>
      </c>
      <c r="K329" t="str">
        <f>IF(OR($E329="",$E329="نامعتبر"),"",LEFT($E329,4)&amp;MID($E329,6,2)&amp;RIGHT($E329,2)&amp;"|"&amp;RIGHT("00000"&amp;324,5))</f>
        <v/>
      </c>
      <c r="M329" t="str">
        <f>IF(Sync!$M329&lt;&gt;"پاس چک","",IF(Sync!$P329="","",Sync!$P329))</f>
        <v/>
      </c>
      <c r="N329" t="str">
        <f>IF($M329="","",IF(ISNUMBER(Sync!$L329),IF(AND(Sync!$L329&gt;=10000101,Sync!$L329&lt;=99991231),RIGHT("0000"&amp;INT(Sync!$L329/10000),4)&amp;"/"&amp;RIGHT("00"&amp;INT(MOD(Sync!$L329,10000)/100),2)&amp;"/"&amp;RIGHT("00"&amp;MOD(Sync!$L329,100),2),""),IFERROR(RIGHT("0000"&amp;VALUE(TRIM(LEFT(Sync!$L329,FIND("/",Sync!$L329)-1))),4)&amp;"/"&amp;RIGHT("00"&amp;VALUE(TRIM(LEFT(MID(Sync!$L329,FIND("/",Sync!$L329)+1,20),FIND("/",MID(Sync!$L329,FIND("/",Sync!$L329)+1,20))-1))),2)&amp;"/"&amp;RIGHT("00"&amp;VALUE(TRIM(MID(MID(Sync!$L329,FIND("/",Sync!$L329)+1,20),FIND("/",MID(Sync!$L329,FIND("/",Sync!$L329)+1,20))+1,20))),2),"")))</f>
        <v/>
      </c>
    </row>
    <row r="330" spans="1:14" x14ac:dyDescent="0.2">
      <c r="A330" t="str">
        <f>IF(Issues!$B333="","",Issues!$B333)</f>
        <v/>
      </c>
      <c r="B330" t="str">
        <f>IF($A330="","",IF(ISNUMBER(Issues!$C333),IF(AND(Issues!$C333&gt;=10000101,Issues!$C333&lt;=99991231),INT(Issues!$C333/10000),""),IFERROR(VALUE(TRIM(LEFT(Issues!$C333,FIND("/",Issues!$C333)-1))),"")))</f>
        <v/>
      </c>
      <c r="C330" t="str">
        <f>IF(OR($A330="",$B330=""),"",IF(ISNUMBER(Issues!$C333),INT(MOD(Issues!$C333,10000)/100),IFERROR(VALUE(TRIM(LEFT(MID(Issues!$C333,FIND("/",Issues!$C333)+1,20),FIND("/",MID(Issues!$C333,FIND("/",Issues!$C333)+1,20))-1))),"")))</f>
        <v/>
      </c>
      <c r="D330" t="str">
        <f>IF(OR($A330="",$B330=""),"",IF(ISNUMBER(Issues!$C333),MOD(Issues!$C333,100),IFERROR(VALUE(TRIM(MID(MID(Issues!$C333,FIND("/",Issues!$C333)+1,20),FIND("/",MID(Issues!$C333,FIND("/",Issues!$C333)+1,20))+1,20))),"")))</f>
        <v/>
      </c>
      <c r="E330" t="str">
        <f t="shared" si="15"/>
        <v/>
      </c>
      <c r="F330" t="str">
        <f>IF($A330="","",IF(Issues!$D333="",0,Issues!$D333))</f>
        <v/>
      </c>
      <c r="G330" t="str">
        <f>IF($A330="","",Issues!$E333)</f>
        <v/>
      </c>
      <c r="H330" t="str">
        <f t="shared" si="16"/>
        <v/>
      </c>
      <c r="I330" t="str">
        <f t="shared" si="17"/>
        <v/>
      </c>
      <c r="J330" t="str">
        <f>IF($A330="","",Issues!$G333)</f>
        <v/>
      </c>
      <c r="K330" t="str">
        <f>IF(OR($E330="",$E330="نامعتبر"),"",LEFT($E330,4)&amp;MID($E330,6,2)&amp;RIGHT($E330,2)&amp;"|"&amp;RIGHT("00000"&amp;325,5))</f>
        <v/>
      </c>
      <c r="M330" t="str">
        <f>IF(Sync!$M330&lt;&gt;"پاس چک","",IF(Sync!$P330="","",Sync!$P330))</f>
        <v/>
      </c>
      <c r="N330" t="str">
        <f>IF($M330="","",IF(ISNUMBER(Sync!$L330),IF(AND(Sync!$L330&gt;=10000101,Sync!$L330&lt;=99991231),RIGHT("0000"&amp;INT(Sync!$L330/10000),4)&amp;"/"&amp;RIGHT("00"&amp;INT(MOD(Sync!$L330,10000)/100),2)&amp;"/"&amp;RIGHT("00"&amp;MOD(Sync!$L330,100),2),""),IFERROR(RIGHT("0000"&amp;VALUE(TRIM(LEFT(Sync!$L330,FIND("/",Sync!$L330)-1))),4)&amp;"/"&amp;RIGHT("00"&amp;VALUE(TRIM(LEFT(MID(Sync!$L330,FIND("/",Sync!$L330)+1,20),FIND("/",MID(Sync!$L330,FIND("/",Sync!$L330)+1,20))-1))),2)&amp;"/"&amp;RIGHT("00"&amp;VALUE(TRIM(MID(MID(Sync!$L330,FIND("/",Sync!$L330)+1,20),FIND("/",MID(Sync!$L330,FIND("/",Sync!$L330)+1,20))+1,20))),2),"")))</f>
        <v/>
      </c>
    </row>
    <row r="331" spans="1:14" x14ac:dyDescent="0.2">
      <c r="A331" t="str">
        <f>IF(Issues!$B334="","",Issues!$B334)</f>
        <v/>
      </c>
      <c r="B331" t="str">
        <f>IF($A331="","",IF(ISNUMBER(Issues!$C334),IF(AND(Issues!$C334&gt;=10000101,Issues!$C334&lt;=99991231),INT(Issues!$C334/10000),""),IFERROR(VALUE(TRIM(LEFT(Issues!$C334,FIND("/",Issues!$C334)-1))),"")))</f>
        <v/>
      </c>
      <c r="C331" t="str">
        <f>IF(OR($A331="",$B331=""),"",IF(ISNUMBER(Issues!$C334),INT(MOD(Issues!$C334,10000)/100),IFERROR(VALUE(TRIM(LEFT(MID(Issues!$C334,FIND("/",Issues!$C334)+1,20),FIND("/",MID(Issues!$C334,FIND("/",Issues!$C334)+1,20))-1))),"")))</f>
        <v/>
      </c>
      <c r="D331" t="str">
        <f>IF(OR($A331="",$B331=""),"",IF(ISNUMBER(Issues!$C334),MOD(Issues!$C334,100),IFERROR(VALUE(TRIM(MID(MID(Issues!$C334,FIND("/",Issues!$C334)+1,20),FIND("/",MID(Issues!$C334,FIND("/",Issues!$C334)+1,20))+1,20))),"")))</f>
        <v/>
      </c>
      <c r="E331" t="str">
        <f t="shared" si="15"/>
        <v/>
      </c>
      <c r="F331" t="str">
        <f>IF($A331="","",IF(Issues!$D334="",0,Issues!$D334))</f>
        <v/>
      </c>
      <c r="G331" t="str">
        <f>IF($A331="","",Issues!$E334)</f>
        <v/>
      </c>
      <c r="H331" t="str">
        <f t="shared" si="16"/>
        <v/>
      </c>
      <c r="I331" t="str">
        <f t="shared" si="17"/>
        <v/>
      </c>
      <c r="J331" t="str">
        <f>IF($A331="","",Issues!$G334)</f>
        <v/>
      </c>
      <c r="K331" t="str">
        <f>IF(OR($E331="",$E331="نامعتبر"),"",LEFT($E331,4)&amp;MID($E331,6,2)&amp;RIGHT($E331,2)&amp;"|"&amp;RIGHT("00000"&amp;326,5))</f>
        <v/>
      </c>
      <c r="M331" t="str">
        <f>IF(Sync!$M331&lt;&gt;"پاس چک","",IF(Sync!$P331="","",Sync!$P331))</f>
        <v/>
      </c>
      <c r="N331" t="str">
        <f>IF($M331="","",IF(ISNUMBER(Sync!$L331),IF(AND(Sync!$L331&gt;=10000101,Sync!$L331&lt;=99991231),RIGHT("0000"&amp;INT(Sync!$L331/10000),4)&amp;"/"&amp;RIGHT("00"&amp;INT(MOD(Sync!$L331,10000)/100),2)&amp;"/"&amp;RIGHT("00"&amp;MOD(Sync!$L331,100),2),""),IFERROR(RIGHT("0000"&amp;VALUE(TRIM(LEFT(Sync!$L331,FIND("/",Sync!$L331)-1))),4)&amp;"/"&amp;RIGHT("00"&amp;VALUE(TRIM(LEFT(MID(Sync!$L331,FIND("/",Sync!$L331)+1,20),FIND("/",MID(Sync!$L331,FIND("/",Sync!$L331)+1,20))-1))),2)&amp;"/"&amp;RIGHT("00"&amp;VALUE(TRIM(MID(MID(Sync!$L331,FIND("/",Sync!$L331)+1,20),FIND("/",MID(Sync!$L331,FIND("/",Sync!$L331)+1,20))+1,20))),2),"")))</f>
        <v/>
      </c>
    </row>
    <row r="332" spans="1:14" x14ac:dyDescent="0.2">
      <c r="A332" t="str">
        <f>IF(Issues!$B335="","",Issues!$B335)</f>
        <v/>
      </c>
      <c r="B332" t="str">
        <f>IF($A332="","",IF(ISNUMBER(Issues!$C335),IF(AND(Issues!$C335&gt;=10000101,Issues!$C335&lt;=99991231),INT(Issues!$C335/10000),""),IFERROR(VALUE(TRIM(LEFT(Issues!$C335,FIND("/",Issues!$C335)-1))),"")))</f>
        <v/>
      </c>
      <c r="C332" t="str">
        <f>IF(OR($A332="",$B332=""),"",IF(ISNUMBER(Issues!$C335),INT(MOD(Issues!$C335,10000)/100),IFERROR(VALUE(TRIM(LEFT(MID(Issues!$C335,FIND("/",Issues!$C335)+1,20),FIND("/",MID(Issues!$C335,FIND("/",Issues!$C335)+1,20))-1))),"")))</f>
        <v/>
      </c>
      <c r="D332" t="str">
        <f>IF(OR($A332="",$B332=""),"",IF(ISNUMBER(Issues!$C335),MOD(Issues!$C335,100),IFERROR(VALUE(TRIM(MID(MID(Issues!$C335,FIND("/",Issues!$C335)+1,20),FIND("/",MID(Issues!$C335,FIND("/",Issues!$C335)+1,20))+1,20))),"")))</f>
        <v/>
      </c>
      <c r="E332" t="str">
        <f t="shared" si="15"/>
        <v/>
      </c>
      <c r="F332" t="str">
        <f>IF($A332="","",IF(Issues!$D335="",0,Issues!$D335))</f>
        <v/>
      </c>
      <c r="G332" t="str">
        <f>IF($A332="","",Issues!$E335)</f>
        <v/>
      </c>
      <c r="H332" t="str">
        <f t="shared" si="16"/>
        <v/>
      </c>
      <c r="I332" t="str">
        <f t="shared" si="17"/>
        <v/>
      </c>
      <c r="J332" t="str">
        <f>IF($A332="","",Issues!$G335)</f>
        <v/>
      </c>
      <c r="K332" t="str">
        <f>IF(OR($E332="",$E332="نامعتبر"),"",LEFT($E332,4)&amp;MID($E332,6,2)&amp;RIGHT($E332,2)&amp;"|"&amp;RIGHT("00000"&amp;327,5))</f>
        <v/>
      </c>
      <c r="M332" t="str">
        <f>IF(Sync!$M332&lt;&gt;"پاس چک","",IF(Sync!$P332="","",Sync!$P332))</f>
        <v/>
      </c>
      <c r="N332" t="str">
        <f>IF($M332="","",IF(ISNUMBER(Sync!$L332),IF(AND(Sync!$L332&gt;=10000101,Sync!$L332&lt;=99991231),RIGHT("0000"&amp;INT(Sync!$L332/10000),4)&amp;"/"&amp;RIGHT("00"&amp;INT(MOD(Sync!$L332,10000)/100),2)&amp;"/"&amp;RIGHT("00"&amp;MOD(Sync!$L332,100),2),""),IFERROR(RIGHT("0000"&amp;VALUE(TRIM(LEFT(Sync!$L332,FIND("/",Sync!$L332)-1))),4)&amp;"/"&amp;RIGHT("00"&amp;VALUE(TRIM(LEFT(MID(Sync!$L332,FIND("/",Sync!$L332)+1,20),FIND("/",MID(Sync!$L332,FIND("/",Sync!$L332)+1,20))-1))),2)&amp;"/"&amp;RIGHT("00"&amp;VALUE(TRIM(MID(MID(Sync!$L332,FIND("/",Sync!$L332)+1,20),FIND("/",MID(Sync!$L332,FIND("/",Sync!$L332)+1,20))+1,20))),2),"")))</f>
        <v/>
      </c>
    </row>
    <row r="333" spans="1:14" x14ac:dyDescent="0.2">
      <c r="A333" t="str">
        <f>IF(Issues!$B336="","",Issues!$B336)</f>
        <v/>
      </c>
      <c r="B333" t="str">
        <f>IF($A333="","",IF(ISNUMBER(Issues!$C336),IF(AND(Issues!$C336&gt;=10000101,Issues!$C336&lt;=99991231),INT(Issues!$C336/10000),""),IFERROR(VALUE(TRIM(LEFT(Issues!$C336,FIND("/",Issues!$C336)-1))),"")))</f>
        <v/>
      </c>
      <c r="C333" t="str">
        <f>IF(OR($A333="",$B333=""),"",IF(ISNUMBER(Issues!$C336),INT(MOD(Issues!$C336,10000)/100),IFERROR(VALUE(TRIM(LEFT(MID(Issues!$C336,FIND("/",Issues!$C336)+1,20),FIND("/",MID(Issues!$C336,FIND("/",Issues!$C336)+1,20))-1))),"")))</f>
        <v/>
      </c>
      <c r="D333" t="str">
        <f>IF(OR($A333="",$B333=""),"",IF(ISNUMBER(Issues!$C336),MOD(Issues!$C336,100),IFERROR(VALUE(TRIM(MID(MID(Issues!$C336,FIND("/",Issues!$C336)+1,20),FIND("/",MID(Issues!$C336,FIND("/",Issues!$C336)+1,20))+1,20))),"")))</f>
        <v/>
      </c>
      <c r="E333" t="str">
        <f t="shared" si="15"/>
        <v/>
      </c>
      <c r="F333" t="str">
        <f>IF($A333="","",IF(Issues!$D336="",0,Issues!$D336))</f>
        <v/>
      </c>
      <c r="G333" t="str">
        <f>IF($A333="","",Issues!$E336)</f>
        <v/>
      </c>
      <c r="H333" t="str">
        <f t="shared" si="16"/>
        <v/>
      </c>
      <c r="I333" t="str">
        <f t="shared" si="17"/>
        <v/>
      </c>
      <c r="J333" t="str">
        <f>IF($A333="","",Issues!$G336)</f>
        <v/>
      </c>
      <c r="K333" t="str">
        <f>IF(OR($E333="",$E333="نامعتبر"),"",LEFT($E333,4)&amp;MID($E333,6,2)&amp;RIGHT($E333,2)&amp;"|"&amp;RIGHT("00000"&amp;328,5))</f>
        <v/>
      </c>
      <c r="M333" t="str">
        <f>IF(Sync!$M333&lt;&gt;"پاس چک","",IF(Sync!$P333="","",Sync!$P333))</f>
        <v/>
      </c>
      <c r="N333" t="str">
        <f>IF($M333="","",IF(ISNUMBER(Sync!$L333),IF(AND(Sync!$L333&gt;=10000101,Sync!$L333&lt;=99991231),RIGHT("0000"&amp;INT(Sync!$L333/10000),4)&amp;"/"&amp;RIGHT("00"&amp;INT(MOD(Sync!$L333,10000)/100),2)&amp;"/"&amp;RIGHT("00"&amp;MOD(Sync!$L333,100),2),""),IFERROR(RIGHT("0000"&amp;VALUE(TRIM(LEFT(Sync!$L333,FIND("/",Sync!$L333)-1))),4)&amp;"/"&amp;RIGHT("00"&amp;VALUE(TRIM(LEFT(MID(Sync!$L333,FIND("/",Sync!$L333)+1,20),FIND("/",MID(Sync!$L333,FIND("/",Sync!$L333)+1,20))-1))),2)&amp;"/"&amp;RIGHT("00"&amp;VALUE(TRIM(MID(MID(Sync!$L333,FIND("/",Sync!$L333)+1,20),FIND("/",MID(Sync!$L333,FIND("/",Sync!$L333)+1,20))+1,20))),2),"")))</f>
        <v/>
      </c>
    </row>
    <row r="334" spans="1:14" x14ac:dyDescent="0.2">
      <c r="A334" t="str">
        <f>IF(Issues!$B337="","",Issues!$B337)</f>
        <v/>
      </c>
      <c r="B334" t="str">
        <f>IF($A334="","",IF(ISNUMBER(Issues!$C337),IF(AND(Issues!$C337&gt;=10000101,Issues!$C337&lt;=99991231),INT(Issues!$C337/10000),""),IFERROR(VALUE(TRIM(LEFT(Issues!$C337,FIND("/",Issues!$C337)-1))),"")))</f>
        <v/>
      </c>
      <c r="C334" t="str">
        <f>IF(OR($A334="",$B334=""),"",IF(ISNUMBER(Issues!$C337),INT(MOD(Issues!$C337,10000)/100),IFERROR(VALUE(TRIM(LEFT(MID(Issues!$C337,FIND("/",Issues!$C337)+1,20),FIND("/",MID(Issues!$C337,FIND("/",Issues!$C337)+1,20))-1))),"")))</f>
        <v/>
      </c>
      <c r="D334" t="str">
        <f>IF(OR($A334="",$B334=""),"",IF(ISNUMBER(Issues!$C337),MOD(Issues!$C337,100),IFERROR(VALUE(TRIM(MID(MID(Issues!$C337,FIND("/",Issues!$C337)+1,20),FIND("/",MID(Issues!$C337,FIND("/",Issues!$C337)+1,20))+1,20))),"")))</f>
        <v/>
      </c>
      <c r="E334" t="str">
        <f t="shared" si="15"/>
        <v/>
      </c>
      <c r="F334" t="str">
        <f>IF($A334="","",IF(Issues!$D337="",0,Issues!$D337))</f>
        <v/>
      </c>
      <c r="G334" t="str">
        <f>IF($A334="","",Issues!$E337)</f>
        <v/>
      </c>
      <c r="H334" t="str">
        <f t="shared" si="16"/>
        <v/>
      </c>
      <c r="I334" t="str">
        <f t="shared" si="17"/>
        <v/>
      </c>
      <c r="J334" t="str">
        <f>IF($A334="","",Issues!$G337)</f>
        <v/>
      </c>
      <c r="K334" t="str">
        <f>IF(OR($E334="",$E334="نامعتبر"),"",LEFT($E334,4)&amp;MID($E334,6,2)&amp;RIGHT($E334,2)&amp;"|"&amp;RIGHT("00000"&amp;329,5))</f>
        <v/>
      </c>
      <c r="M334" t="str">
        <f>IF(Sync!$M334&lt;&gt;"پاس چک","",IF(Sync!$P334="","",Sync!$P334))</f>
        <v/>
      </c>
      <c r="N334" t="str">
        <f>IF($M334="","",IF(ISNUMBER(Sync!$L334),IF(AND(Sync!$L334&gt;=10000101,Sync!$L334&lt;=99991231),RIGHT("0000"&amp;INT(Sync!$L334/10000),4)&amp;"/"&amp;RIGHT("00"&amp;INT(MOD(Sync!$L334,10000)/100),2)&amp;"/"&amp;RIGHT("00"&amp;MOD(Sync!$L334,100),2),""),IFERROR(RIGHT("0000"&amp;VALUE(TRIM(LEFT(Sync!$L334,FIND("/",Sync!$L334)-1))),4)&amp;"/"&amp;RIGHT("00"&amp;VALUE(TRIM(LEFT(MID(Sync!$L334,FIND("/",Sync!$L334)+1,20),FIND("/",MID(Sync!$L334,FIND("/",Sync!$L334)+1,20))-1))),2)&amp;"/"&amp;RIGHT("00"&amp;VALUE(TRIM(MID(MID(Sync!$L334,FIND("/",Sync!$L334)+1,20),FIND("/",MID(Sync!$L334,FIND("/",Sync!$L334)+1,20))+1,20))),2),"")))</f>
        <v/>
      </c>
    </row>
    <row r="335" spans="1:14" x14ac:dyDescent="0.2">
      <c r="A335" t="str">
        <f>IF(Issues!$B338="","",Issues!$B338)</f>
        <v/>
      </c>
      <c r="B335" t="str">
        <f>IF($A335="","",IF(ISNUMBER(Issues!$C338),IF(AND(Issues!$C338&gt;=10000101,Issues!$C338&lt;=99991231),INT(Issues!$C338/10000),""),IFERROR(VALUE(TRIM(LEFT(Issues!$C338,FIND("/",Issues!$C338)-1))),"")))</f>
        <v/>
      </c>
      <c r="C335" t="str">
        <f>IF(OR($A335="",$B335=""),"",IF(ISNUMBER(Issues!$C338),INT(MOD(Issues!$C338,10000)/100),IFERROR(VALUE(TRIM(LEFT(MID(Issues!$C338,FIND("/",Issues!$C338)+1,20),FIND("/",MID(Issues!$C338,FIND("/",Issues!$C338)+1,20))-1))),"")))</f>
        <v/>
      </c>
      <c r="D335" t="str">
        <f>IF(OR($A335="",$B335=""),"",IF(ISNUMBER(Issues!$C338),MOD(Issues!$C338,100),IFERROR(VALUE(TRIM(MID(MID(Issues!$C338,FIND("/",Issues!$C338)+1,20),FIND("/",MID(Issues!$C338,FIND("/",Issues!$C338)+1,20))+1,20))),"")))</f>
        <v/>
      </c>
      <c r="E335" t="str">
        <f t="shared" si="15"/>
        <v/>
      </c>
      <c r="F335" t="str">
        <f>IF($A335="","",IF(Issues!$D338="",0,Issues!$D338))</f>
        <v/>
      </c>
      <c r="G335" t="str">
        <f>IF($A335="","",Issues!$E338)</f>
        <v/>
      </c>
      <c r="H335" t="str">
        <f t="shared" si="16"/>
        <v/>
      </c>
      <c r="I335" t="str">
        <f t="shared" si="17"/>
        <v/>
      </c>
      <c r="J335" t="str">
        <f>IF($A335="","",Issues!$G338)</f>
        <v/>
      </c>
      <c r="K335" t="str">
        <f>IF(OR($E335="",$E335="نامعتبر"),"",LEFT($E335,4)&amp;MID($E335,6,2)&amp;RIGHT($E335,2)&amp;"|"&amp;RIGHT("00000"&amp;330,5))</f>
        <v/>
      </c>
      <c r="M335" t="str">
        <f>IF(Sync!$M335&lt;&gt;"پاس چک","",IF(Sync!$P335="","",Sync!$P335))</f>
        <v/>
      </c>
      <c r="N335" t="str">
        <f>IF($M335="","",IF(ISNUMBER(Sync!$L335),IF(AND(Sync!$L335&gt;=10000101,Sync!$L335&lt;=99991231),RIGHT("0000"&amp;INT(Sync!$L335/10000),4)&amp;"/"&amp;RIGHT("00"&amp;INT(MOD(Sync!$L335,10000)/100),2)&amp;"/"&amp;RIGHT("00"&amp;MOD(Sync!$L335,100),2),""),IFERROR(RIGHT("0000"&amp;VALUE(TRIM(LEFT(Sync!$L335,FIND("/",Sync!$L335)-1))),4)&amp;"/"&amp;RIGHT("00"&amp;VALUE(TRIM(LEFT(MID(Sync!$L335,FIND("/",Sync!$L335)+1,20),FIND("/",MID(Sync!$L335,FIND("/",Sync!$L335)+1,20))-1))),2)&amp;"/"&amp;RIGHT("00"&amp;VALUE(TRIM(MID(MID(Sync!$L335,FIND("/",Sync!$L335)+1,20),FIND("/",MID(Sync!$L335,FIND("/",Sync!$L335)+1,20))+1,20))),2),"")))</f>
        <v/>
      </c>
    </row>
    <row r="336" spans="1:14" x14ac:dyDescent="0.2">
      <c r="A336" t="str">
        <f>IF(Issues!$B339="","",Issues!$B339)</f>
        <v/>
      </c>
      <c r="B336" t="str">
        <f>IF($A336="","",IF(ISNUMBER(Issues!$C339),IF(AND(Issues!$C339&gt;=10000101,Issues!$C339&lt;=99991231),INT(Issues!$C339/10000),""),IFERROR(VALUE(TRIM(LEFT(Issues!$C339,FIND("/",Issues!$C339)-1))),"")))</f>
        <v/>
      </c>
      <c r="C336" t="str">
        <f>IF(OR($A336="",$B336=""),"",IF(ISNUMBER(Issues!$C339),INT(MOD(Issues!$C339,10000)/100),IFERROR(VALUE(TRIM(LEFT(MID(Issues!$C339,FIND("/",Issues!$C339)+1,20),FIND("/",MID(Issues!$C339,FIND("/",Issues!$C339)+1,20))-1))),"")))</f>
        <v/>
      </c>
      <c r="D336" t="str">
        <f>IF(OR($A336="",$B336=""),"",IF(ISNUMBER(Issues!$C339),MOD(Issues!$C339,100),IFERROR(VALUE(TRIM(MID(MID(Issues!$C339,FIND("/",Issues!$C339)+1,20),FIND("/",MID(Issues!$C339,FIND("/",Issues!$C339)+1,20))+1,20))),"")))</f>
        <v/>
      </c>
      <c r="E336" t="str">
        <f t="shared" si="15"/>
        <v/>
      </c>
      <c r="F336" t="str">
        <f>IF($A336="","",IF(Issues!$D339="",0,Issues!$D339))</f>
        <v/>
      </c>
      <c r="G336" t="str">
        <f>IF($A336="","",Issues!$E339)</f>
        <v/>
      </c>
      <c r="H336" t="str">
        <f t="shared" si="16"/>
        <v/>
      </c>
      <c r="I336" t="str">
        <f t="shared" si="17"/>
        <v/>
      </c>
      <c r="J336" t="str">
        <f>IF($A336="","",Issues!$G339)</f>
        <v/>
      </c>
      <c r="K336" t="str">
        <f>IF(OR($E336="",$E336="نامعتبر"),"",LEFT($E336,4)&amp;MID($E336,6,2)&amp;RIGHT($E336,2)&amp;"|"&amp;RIGHT("00000"&amp;331,5))</f>
        <v/>
      </c>
      <c r="M336" t="str">
        <f>IF(Sync!$M336&lt;&gt;"پاس چک","",IF(Sync!$P336="","",Sync!$P336))</f>
        <v/>
      </c>
      <c r="N336" t="str">
        <f>IF($M336="","",IF(ISNUMBER(Sync!$L336),IF(AND(Sync!$L336&gt;=10000101,Sync!$L336&lt;=99991231),RIGHT("0000"&amp;INT(Sync!$L336/10000),4)&amp;"/"&amp;RIGHT("00"&amp;INT(MOD(Sync!$L336,10000)/100),2)&amp;"/"&amp;RIGHT("00"&amp;MOD(Sync!$L336,100),2),""),IFERROR(RIGHT("0000"&amp;VALUE(TRIM(LEFT(Sync!$L336,FIND("/",Sync!$L336)-1))),4)&amp;"/"&amp;RIGHT("00"&amp;VALUE(TRIM(LEFT(MID(Sync!$L336,FIND("/",Sync!$L336)+1,20),FIND("/",MID(Sync!$L336,FIND("/",Sync!$L336)+1,20))-1))),2)&amp;"/"&amp;RIGHT("00"&amp;VALUE(TRIM(MID(MID(Sync!$L336,FIND("/",Sync!$L336)+1,20),FIND("/",MID(Sync!$L336,FIND("/",Sync!$L336)+1,20))+1,20))),2),"")))</f>
        <v/>
      </c>
    </row>
    <row r="337" spans="1:14" x14ac:dyDescent="0.2">
      <c r="A337" t="str">
        <f>IF(Issues!$B340="","",Issues!$B340)</f>
        <v/>
      </c>
      <c r="B337" t="str">
        <f>IF($A337="","",IF(ISNUMBER(Issues!$C340),IF(AND(Issues!$C340&gt;=10000101,Issues!$C340&lt;=99991231),INT(Issues!$C340/10000),""),IFERROR(VALUE(TRIM(LEFT(Issues!$C340,FIND("/",Issues!$C340)-1))),"")))</f>
        <v/>
      </c>
      <c r="C337" t="str">
        <f>IF(OR($A337="",$B337=""),"",IF(ISNUMBER(Issues!$C340),INT(MOD(Issues!$C340,10000)/100),IFERROR(VALUE(TRIM(LEFT(MID(Issues!$C340,FIND("/",Issues!$C340)+1,20),FIND("/",MID(Issues!$C340,FIND("/",Issues!$C340)+1,20))-1))),"")))</f>
        <v/>
      </c>
      <c r="D337" t="str">
        <f>IF(OR($A337="",$B337=""),"",IF(ISNUMBER(Issues!$C340),MOD(Issues!$C340,100),IFERROR(VALUE(TRIM(MID(MID(Issues!$C340,FIND("/",Issues!$C340)+1,20),FIND("/",MID(Issues!$C340,FIND("/",Issues!$C340)+1,20))+1,20))),"")))</f>
        <v/>
      </c>
      <c r="E337" t="str">
        <f t="shared" si="15"/>
        <v/>
      </c>
      <c r="F337" t="str">
        <f>IF($A337="","",IF(Issues!$D340="",0,Issues!$D340))</f>
        <v/>
      </c>
      <c r="G337" t="str">
        <f>IF($A337="","",Issues!$E340)</f>
        <v/>
      </c>
      <c r="H337" t="str">
        <f t="shared" si="16"/>
        <v/>
      </c>
      <c r="I337" t="str">
        <f t="shared" si="17"/>
        <v/>
      </c>
      <c r="J337" t="str">
        <f>IF($A337="","",Issues!$G340)</f>
        <v/>
      </c>
      <c r="K337" t="str">
        <f>IF(OR($E337="",$E337="نامعتبر"),"",LEFT($E337,4)&amp;MID($E337,6,2)&amp;RIGHT($E337,2)&amp;"|"&amp;RIGHT("00000"&amp;332,5))</f>
        <v/>
      </c>
      <c r="M337" t="str">
        <f>IF(Sync!$M337&lt;&gt;"پاس چک","",IF(Sync!$P337="","",Sync!$P337))</f>
        <v/>
      </c>
      <c r="N337" t="str">
        <f>IF($M337="","",IF(ISNUMBER(Sync!$L337),IF(AND(Sync!$L337&gt;=10000101,Sync!$L337&lt;=99991231),RIGHT("0000"&amp;INT(Sync!$L337/10000),4)&amp;"/"&amp;RIGHT("00"&amp;INT(MOD(Sync!$L337,10000)/100),2)&amp;"/"&amp;RIGHT("00"&amp;MOD(Sync!$L337,100),2),""),IFERROR(RIGHT("0000"&amp;VALUE(TRIM(LEFT(Sync!$L337,FIND("/",Sync!$L337)-1))),4)&amp;"/"&amp;RIGHT("00"&amp;VALUE(TRIM(LEFT(MID(Sync!$L337,FIND("/",Sync!$L337)+1,20),FIND("/",MID(Sync!$L337,FIND("/",Sync!$L337)+1,20))-1))),2)&amp;"/"&amp;RIGHT("00"&amp;VALUE(TRIM(MID(MID(Sync!$L337,FIND("/",Sync!$L337)+1,20),FIND("/",MID(Sync!$L337,FIND("/",Sync!$L337)+1,20))+1,20))),2),"")))</f>
        <v/>
      </c>
    </row>
    <row r="338" spans="1:14" x14ac:dyDescent="0.2">
      <c r="A338" t="str">
        <f>IF(Issues!$B341="","",Issues!$B341)</f>
        <v/>
      </c>
      <c r="B338" t="str">
        <f>IF($A338="","",IF(ISNUMBER(Issues!$C341),IF(AND(Issues!$C341&gt;=10000101,Issues!$C341&lt;=99991231),INT(Issues!$C341/10000),""),IFERROR(VALUE(TRIM(LEFT(Issues!$C341,FIND("/",Issues!$C341)-1))),"")))</f>
        <v/>
      </c>
      <c r="C338" t="str">
        <f>IF(OR($A338="",$B338=""),"",IF(ISNUMBER(Issues!$C341),INT(MOD(Issues!$C341,10000)/100),IFERROR(VALUE(TRIM(LEFT(MID(Issues!$C341,FIND("/",Issues!$C341)+1,20),FIND("/",MID(Issues!$C341,FIND("/",Issues!$C341)+1,20))-1))),"")))</f>
        <v/>
      </c>
      <c r="D338" t="str">
        <f>IF(OR($A338="",$B338=""),"",IF(ISNUMBER(Issues!$C341),MOD(Issues!$C341,100),IFERROR(VALUE(TRIM(MID(MID(Issues!$C341,FIND("/",Issues!$C341)+1,20),FIND("/",MID(Issues!$C341,FIND("/",Issues!$C341)+1,20))+1,20))),"")))</f>
        <v/>
      </c>
      <c r="E338" t="str">
        <f t="shared" si="15"/>
        <v/>
      </c>
      <c r="F338" t="str">
        <f>IF($A338="","",IF(Issues!$D341="",0,Issues!$D341))</f>
        <v/>
      </c>
      <c r="G338" t="str">
        <f>IF($A338="","",Issues!$E341)</f>
        <v/>
      </c>
      <c r="H338" t="str">
        <f t="shared" si="16"/>
        <v/>
      </c>
      <c r="I338" t="str">
        <f t="shared" si="17"/>
        <v/>
      </c>
      <c r="J338" t="str">
        <f>IF($A338="","",Issues!$G341)</f>
        <v/>
      </c>
      <c r="K338" t="str">
        <f>IF(OR($E338="",$E338="نامعتبر"),"",LEFT($E338,4)&amp;MID($E338,6,2)&amp;RIGHT($E338,2)&amp;"|"&amp;RIGHT("00000"&amp;333,5))</f>
        <v/>
      </c>
      <c r="M338" t="str">
        <f>IF(Sync!$M338&lt;&gt;"پاس چک","",IF(Sync!$P338="","",Sync!$P338))</f>
        <v/>
      </c>
      <c r="N338" t="str">
        <f>IF($M338="","",IF(ISNUMBER(Sync!$L338),IF(AND(Sync!$L338&gt;=10000101,Sync!$L338&lt;=99991231),RIGHT("0000"&amp;INT(Sync!$L338/10000),4)&amp;"/"&amp;RIGHT("00"&amp;INT(MOD(Sync!$L338,10000)/100),2)&amp;"/"&amp;RIGHT("00"&amp;MOD(Sync!$L338,100),2),""),IFERROR(RIGHT("0000"&amp;VALUE(TRIM(LEFT(Sync!$L338,FIND("/",Sync!$L338)-1))),4)&amp;"/"&amp;RIGHT("00"&amp;VALUE(TRIM(LEFT(MID(Sync!$L338,FIND("/",Sync!$L338)+1,20),FIND("/",MID(Sync!$L338,FIND("/",Sync!$L338)+1,20))-1))),2)&amp;"/"&amp;RIGHT("00"&amp;VALUE(TRIM(MID(MID(Sync!$L338,FIND("/",Sync!$L338)+1,20),FIND("/",MID(Sync!$L338,FIND("/",Sync!$L338)+1,20))+1,20))),2),"")))</f>
        <v/>
      </c>
    </row>
    <row r="339" spans="1:14" x14ac:dyDescent="0.2">
      <c r="A339" t="str">
        <f>IF(Issues!$B342="","",Issues!$B342)</f>
        <v/>
      </c>
      <c r="B339" t="str">
        <f>IF($A339="","",IF(ISNUMBER(Issues!$C342),IF(AND(Issues!$C342&gt;=10000101,Issues!$C342&lt;=99991231),INT(Issues!$C342/10000),""),IFERROR(VALUE(TRIM(LEFT(Issues!$C342,FIND("/",Issues!$C342)-1))),"")))</f>
        <v/>
      </c>
      <c r="C339" t="str">
        <f>IF(OR($A339="",$B339=""),"",IF(ISNUMBER(Issues!$C342),INT(MOD(Issues!$C342,10000)/100),IFERROR(VALUE(TRIM(LEFT(MID(Issues!$C342,FIND("/",Issues!$C342)+1,20),FIND("/",MID(Issues!$C342,FIND("/",Issues!$C342)+1,20))-1))),"")))</f>
        <v/>
      </c>
      <c r="D339" t="str">
        <f>IF(OR($A339="",$B339=""),"",IF(ISNUMBER(Issues!$C342),MOD(Issues!$C342,100),IFERROR(VALUE(TRIM(MID(MID(Issues!$C342,FIND("/",Issues!$C342)+1,20),FIND("/",MID(Issues!$C342,FIND("/",Issues!$C342)+1,20))+1,20))),"")))</f>
        <v/>
      </c>
      <c r="E339" t="str">
        <f t="shared" si="15"/>
        <v/>
      </c>
      <c r="F339" t="str">
        <f>IF($A339="","",IF(Issues!$D342="",0,Issues!$D342))</f>
        <v/>
      </c>
      <c r="G339" t="str">
        <f>IF($A339="","",Issues!$E342)</f>
        <v/>
      </c>
      <c r="H339" t="str">
        <f t="shared" si="16"/>
        <v/>
      </c>
      <c r="I339" t="str">
        <f t="shared" si="17"/>
        <v/>
      </c>
      <c r="J339" t="str">
        <f>IF($A339="","",Issues!$G342)</f>
        <v/>
      </c>
      <c r="K339" t="str">
        <f>IF(OR($E339="",$E339="نامعتبر"),"",LEFT($E339,4)&amp;MID($E339,6,2)&amp;RIGHT($E339,2)&amp;"|"&amp;RIGHT("00000"&amp;334,5))</f>
        <v/>
      </c>
      <c r="M339" t="str">
        <f>IF(Sync!$M339&lt;&gt;"پاس چک","",IF(Sync!$P339="","",Sync!$P339))</f>
        <v/>
      </c>
      <c r="N339" t="str">
        <f>IF($M339="","",IF(ISNUMBER(Sync!$L339),IF(AND(Sync!$L339&gt;=10000101,Sync!$L339&lt;=99991231),RIGHT("0000"&amp;INT(Sync!$L339/10000),4)&amp;"/"&amp;RIGHT("00"&amp;INT(MOD(Sync!$L339,10000)/100),2)&amp;"/"&amp;RIGHT("00"&amp;MOD(Sync!$L339,100),2),""),IFERROR(RIGHT("0000"&amp;VALUE(TRIM(LEFT(Sync!$L339,FIND("/",Sync!$L339)-1))),4)&amp;"/"&amp;RIGHT("00"&amp;VALUE(TRIM(LEFT(MID(Sync!$L339,FIND("/",Sync!$L339)+1,20),FIND("/",MID(Sync!$L339,FIND("/",Sync!$L339)+1,20))-1))),2)&amp;"/"&amp;RIGHT("00"&amp;VALUE(TRIM(MID(MID(Sync!$L339,FIND("/",Sync!$L339)+1,20),FIND("/",MID(Sync!$L339,FIND("/",Sync!$L339)+1,20))+1,20))),2),"")))</f>
        <v/>
      </c>
    </row>
    <row r="340" spans="1:14" x14ac:dyDescent="0.2">
      <c r="A340" t="str">
        <f>IF(Issues!$B343="","",Issues!$B343)</f>
        <v/>
      </c>
      <c r="B340" t="str">
        <f>IF($A340="","",IF(ISNUMBER(Issues!$C343),IF(AND(Issues!$C343&gt;=10000101,Issues!$C343&lt;=99991231),INT(Issues!$C343/10000),""),IFERROR(VALUE(TRIM(LEFT(Issues!$C343,FIND("/",Issues!$C343)-1))),"")))</f>
        <v/>
      </c>
      <c r="C340" t="str">
        <f>IF(OR($A340="",$B340=""),"",IF(ISNUMBER(Issues!$C343),INT(MOD(Issues!$C343,10000)/100),IFERROR(VALUE(TRIM(LEFT(MID(Issues!$C343,FIND("/",Issues!$C343)+1,20),FIND("/",MID(Issues!$C343,FIND("/",Issues!$C343)+1,20))-1))),"")))</f>
        <v/>
      </c>
      <c r="D340" t="str">
        <f>IF(OR($A340="",$B340=""),"",IF(ISNUMBER(Issues!$C343),MOD(Issues!$C343,100),IFERROR(VALUE(TRIM(MID(MID(Issues!$C343,FIND("/",Issues!$C343)+1,20),FIND("/",MID(Issues!$C343,FIND("/",Issues!$C343)+1,20))+1,20))),"")))</f>
        <v/>
      </c>
      <c r="E340" t="str">
        <f t="shared" si="15"/>
        <v/>
      </c>
      <c r="F340" t="str">
        <f>IF($A340="","",IF(Issues!$D343="",0,Issues!$D343))</f>
        <v/>
      </c>
      <c r="G340" t="str">
        <f>IF($A340="","",Issues!$E343)</f>
        <v/>
      </c>
      <c r="H340" t="str">
        <f t="shared" si="16"/>
        <v/>
      </c>
      <c r="I340" t="str">
        <f t="shared" si="17"/>
        <v/>
      </c>
      <c r="J340" t="str">
        <f>IF($A340="","",Issues!$G343)</f>
        <v/>
      </c>
      <c r="K340" t="str">
        <f>IF(OR($E340="",$E340="نامعتبر"),"",LEFT($E340,4)&amp;MID($E340,6,2)&amp;RIGHT($E340,2)&amp;"|"&amp;RIGHT("00000"&amp;335,5))</f>
        <v/>
      </c>
      <c r="M340" t="str">
        <f>IF(Sync!$M340&lt;&gt;"پاس چک","",IF(Sync!$P340="","",Sync!$P340))</f>
        <v/>
      </c>
      <c r="N340" t="str">
        <f>IF($M340="","",IF(ISNUMBER(Sync!$L340),IF(AND(Sync!$L340&gt;=10000101,Sync!$L340&lt;=99991231),RIGHT("0000"&amp;INT(Sync!$L340/10000),4)&amp;"/"&amp;RIGHT("00"&amp;INT(MOD(Sync!$L340,10000)/100),2)&amp;"/"&amp;RIGHT("00"&amp;MOD(Sync!$L340,100),2),""),IFERROR(RIGHT("0000"&amp;VALUE(TRIM(LEFT(Sync!$L340,FIND("/",Sync!$L340)-1))),4)&amp;"/"&amp;RIGHT("00"&amp;VALUE(TRIM(LEFT(MID(Sync!$L340,FIND("/",Sync!$L340)+1,20),FIND("/",MID(Sync!$L340,FIND("/",Sync!$L340)+1,20))-1))),2)&amp;"/"&amp;RIGHT("00"&amp;VALUE(TRIM(MID(MID(Sync!$L340,FIND("/",Sync!$L340)+1,20),FIND("/",MID(Sync!$L340,FIND("/",Sync!$L340)+1,20))+1,20))),2),"")))</f>
        <v/>
      </c>
    </row>
    <row r="341" spans="1:14" x14ac:dyDescent="0.2">
      <c r="A341" t="str">
        <f>IF(Issues!$B344="","",Issues!$B344)</f>
        <v/>
      </c>
      <c r="B341" t="str">
        <f>IF($A341="","",IF(ISNUMBER(Issues!$C344),IF(AND(Issues!$C344&gt;=10000101,Issues!$C344&lt;=99991231),INT(Issues!$C344/10000),""),IFERROR(VALUE(TRIM(LEFT(Issues!$C344,FIND("/",Issues!$C344)-1))),"")))</f>
        <v/>
      </c>
      <c r="C341" t="str">
        <f>IF(OR($A341="",$B341=""),"",IF(ISNUMBER(Issues!$C344),INT(MOD(Issues!$C344,10000)/100),IFERROR(VALUE(TRIM(LEFT(MID(Issues!$C344,FIND("/",Issues!$C344)+1,20),FIND("/",MID(Issues!$C344,FIND("/",Issues!$C344)+1,20))-1))),"")))</f>
        <v/>
      </c>
      <c r="D341" t="str">
        <f>IF(OR($A341="",$B341=""),"",IF(ISNUMBER(Issues!$C344),MOD(Issues!$C344,100),IFERROR(VALUE(TRIM(MID(MID(Issues!$C344,FIND("/",Issues!$C344)+1,20),FIND("/",MID(Issues!$C344,FIND("/",Issues!$C344)+1,20))+1,20))),"")))</f>
        <v/>
      </c>
      <c r="E341" t="str">
        <f t="shared" si="15"/>
        <v/>
      </c>
      <c r="F341" t="str">
        <f>IF($A341="","",IF(Issues!$D344="",0,Issues!$D344))</f>
        <v/>
      </c>
      <c r="G341" t="str">
        <f>IF($A341="","",Issues!$E344)</f>
        <v/>
      </c>
      <c r="H341" t="str">
        <f t="shared" si="16"/>
        <v/>
      </c>
      <c r="I341" t="str">
        <f t="shared" si="17"/>
        <v/>
      </c>
      <c r="J341" t="str">
        <f>IF($A341="","",Issues!$G344)</f>
        <v/>
      </c>
      <c r="K341" t="str">
        <f>IF(OR($E341="",$E341="نامعتبر"),"",LEFT($E341,4)&amp;MID($E341,6,2)&amp;RIGHT($E341,2)&amp;"|"&amp;RIGHT("00000"&amp;336,5))</f>
        <v/>
      </c>
      <c r="M341" t="str">
        <f>IF(Sync!$M341&lt;&gt;"پاس چک","",IF(Sync!$P341="","",Sync!$P341))</f>
        <v/>
      </c>
      <c r="N341" t="str">
        <f>IF($M341="","",IF(ISNUMBER(Sync!$L341),IF(AND(Sync!$L341&gt;=10000101,Sync!$L341&lt;=99991231),RIGHT("0000"&amp;INT(Sync!$L341/10000),4)&amp;"/"&amp;RIGHT("00"&amp;INT(MOD(Sync!$L341,10000)/100),2)&amp;"/"&amp;RIGHT("00"&amp;MOD(Sync!$L341,100),2),""),IFERROR(RIGHT("0000"&amp;VALUE(TRIM(LEFT(Sync!$L341,FIND("/",Sync!$L341)-1))),4)&amp;"/"&amp;RIGHT("00"&amp;VALUE(TRIM(LEFT(MID(Sync!$L341,FIND("/",Sync!$L341)+1,20),FIND("/",MID(Sync!$L341,FIND("/",Sync!$L341)+1,20))-1))),2)&amp;"/"&amp;RIGHT("00"&amp;VALUE(TRIM(MID(MID(Sync!$L341,FIND("/",Sync!$L341)+1,20),FIND("/",MID(Sync!$L341,FIND("/",Sync!$L341)+1,20))+1,20))),2),"")))</f>
        <v/>
      </c>
    </row>
    <row r="342" spans="1:14" x14ac:dyDescent="0.2">
      <c r="A342" t="str">
        <f>IF(Issues!$B345="","",Issues!$B345)</f>
        <v/>
      </c>
      <c r="B342" t="str">
        <f>IF($A342="","",IF(ISNUMBER(Issues!$C345),IF(AND(Issues!$C345&gt;=10000101,Issues!$C345&lt;=99991231),INT(Issues!$C345/10000),""),IFERROR(VALUE(TRIM(LEFT(Issues!$C345,FIND("/",Issues!$C345)-1))),"")))</f>
        <v/>
      </c>
      <c r="C342" t="str">
        <f>IF(OR($A342="",$B342=""),"",IF(ISNUMBER(Issues!$C345),INT(MOD(Issues!$C345,10000)/100),IFERROR(VALUE(TRIM(LEFT(MID(Issues!$C345,FIND("/",Issues!$C345)+1,20),FIND("/",MID(Issues!$C345,FIND("/",Issues!$C345)+1,20))-1))),"")))</f>
        <v/>
      </c>
      <c r="D342" t="str">
        <f>IF(OR($A342="",$B342=""),"",IF(ISNUMBER(Issues!$C345),MOD(Issues!$C345,100),IFERROR(VALUE(TRIM(MID(MID(Issues!$C345,FIND("/",Issues!$C345)+1,20),FIND("/",MID(Issues!$C345,FIND("/",Issues!$C345)+1,20))+1,20))),"")))</f>
        <v/>
      </c>
      <c r="E342" t="str">
        <f t="shared" si="15"/>
        <v/>
      </c>
      <c r="F342" t="str">
        <f>IF($A342="","",IF(Issues!$D345="",0,Issues!$D345))</f>
        <v/>
      </c>
      <c r="G342" t="str">
        <f>IF($A342="","",Issues!$E345)</f>
        <v/>
      </c>
      <c r="H342" t="str">
        <f t="shared" si="16"/>
        <v/>
      </c>
      <c r="I342" t="str">
        <f t="shared" si="17"/>
        <v/>
      </c>
      <c r="J342" t="str">
        <f>IF($A342="","",Issues!$G345)</f>
        <v/>
      </c>
      <c r="K342" t="str">
        <f>IF(OR($E342="",$E342="نامعتبر"),"",LEFT($E342,4)&amp;MID($E342,6,2)&amp;RIGHT($E342,2)&amp;"|"&amp;RIGHT("00000"&amp;337,5))</f>
        <v/>
      </c>
      <c r="M342" t="str">
        <f>IF(Sync!$M342&lt;&gt;"پاس چک","",IF(Sync!$P342="","",Sync!$P342))</f>
        <v/>
      </c>
      <c r="N342" t="str">
        <f>IF($M342="","",IF(ISNUMBER(Sync!$L342),IF(AND(Sync!$L342&gt;=10000101,Sync!$L342&lt;=99991231),RIGHT("0000"&amp;INT(Sync!$L342/10000),4)&amp;"/"&amp;RIGHT("00"&amp;INT(MOD(Sync!$L342,10000)/100),2)&amp;"/"&amp;RIGHT("00"&amp;MOD(Sync!$L342,100),2),""),IFERROR(RIGHT("0000"&amp;VALUE(TRIM(LEFT(Sync!$L342,FIND("/",Sync!$L342)-1))),4)&amp;"/"&amp;RIGHT("00"&amp;VALUE(TRIM(LEFT(MID(Sync!$L342,FIND("/",Sync!$L342)+1,20),FIND("/",MID(Sync!$L342,FIND("/",Sync!$L342)+1,20))-1))),2)&amp;"/"&amp;RIGHT("00"&amp;VALUE(TRIM(MID(MID(Sync!$L342,FIND("/",Sync!$L342)+1,20),FIND("/",MID(Sync!$L342,FIND("/",Sync!$L342)+1,20))+1,20))),2),"")))</f>
        <v/>
      </c>
    </row>
    <row r="343" spans="1:14" x14ac:dyDescent="0.2">
      <c r="A343" t="str">
        <f>IF(Issues!$B346="","",Issues!$B346)</f>
        <v/>
      </c>
      <c r="B343" t="str">
        <f>IF($A343="","",IF(ISNUMBER(Issues!$C346),IF(AND(Issues!$C346&gt;=10000101,Issues!$C346&lt;=99991231),INT(Issues!$C346/10000),""),IFERROR(VALUE(TRIM(LEFT(Issues!$C346,FIND("/",Issues!$C346)-1))),"")))</f>
        <v/>
      </c>
      <c r="C343" t="str">
        <f>IF(OR($A343="",$B343=""),"",IF(ISNUMBER(Issues!$C346),INT(MOD(Issues!$C346,10000)/100),IFERROR(VALUE(TRIM(LEFT(MID(Issues!$C346,FIND("/",Issues!$C346)+1,20),FIND("/",MID(Issues!$C346,FIND("/",Issues!$C346)+1,20))-1))),"")))</f>
        <v/>
      </c>
      <c r="D343" t="str">
        <f>IF(OR($A343="",$B343=""),"",IF(ISNUMBER(Issues!$C346),MOD(Issues!$C346,100),IFERROR(VALUE(TRIM(MID(MID(Issues!$C346,FIND("/",Issues!$C346)+1,20),FIND("/",MID(Issues!$C346,FIND("/",Issues!$C346)+1,20))+1,20))),"")))</f>
        <v/>
      </c>
      <c r="E343" t="str">
        <f t="shared" si="15"/>
        <v/>
      </c>
      <c r="F343" t="str">
        <f>IF($A343="","",IF(Issues!$D346="",0,Issues!$D346))</f>
        <v/>
      </c>
      <c r="G343" t="str">
        <f>IF($A343="","",Issues!$E346)</f>
        <v/>
      </c>
      <c r="H343" t="str">
        <f t="shared" si="16"/>
        <v/>
      </c>
      <c r="I343" t="str">
        <f t="shared" si="17"/>
        <v/>
      </c>
      <c r="J343" t="str">
        <f>IF($A343="","",Issues!$G346)</f>
        <v/>
      </c>
      <c r="K343" t="str">
        <f>IF(OR($E343="",$E343="نامعتبر"),"",LEFT($E343,4)&amp;MID($E343,6,2)&amp;RIGHT($E343,2)&amp;"|"&amp;RIGHT("00000"&amp;338,5))</f>
        <v/>
      </c>
      <c r="M343" t="str">
        <f>IF(Sync!$M343&lt;&gt;"پاس چک","",IF(Sync!$P343="","",Sync!$P343))</f>
        <v/>
      </c>
      <c r="N343" t="str">
        <f>IF($M343="","",IF(ISNUMBER(Sync!$L343),IF(AND(Sync!$L343&gt;=10000101,Sync!$L343&lt;=99991231),RIGHT("0000"&amp;INT(Sync!$L343/10000),4)&amp;"/"&amp;RIGHT("00"&amp;INT(MOD(Sync!$L343,10000)/100),2)&amp;"/"&amp;RIGHT("00"&amp;MOD(Sync!$L343,100),2),""),IFERROR(RIGHT("0000"&amp;VALUE(TRIM(LEFT(Sync!$L343,FIND("/",Sync!$L343)-1))),4)&amp;"/"&amp;RIGHT("00"&amp;VALUE(TRIM(LEFT(MID(Sync!$L343,FIND("/",Sync!$L343)+1,20),FIND("/",MID(Sync!$L343,FIND("/",Sync!$L343)+1,20))-1))),2)&amp;"/"&amp;RIGHT("00"&amp;VALUE(TRIM(MID(MID(Sync!$L343,FIND("/",Sync!$L343)+1,20),FIND("/",MID(Sync!$L343,FIND("/",Sync!$L343)+1,20))+1,20))),2),"")))</f>
        <v/>
      </c>
    </row>
    <row r="344" spans="1:14" x14ac:dyDescent="0.2">
      <c r="A344" t="str">
        <f>IF(Issues!$B347="","",Issues!$B347)</f>
        <v/>
      </c>
      <c r="B344" t="str">
        <f>IF($A344="","",IF(ISNUMBER(Issues!$C347),IF(AND(Issues!$C347&gt;=10000101,Issues!$C347&lt;=99991231),INT(Issues!$C347/10000),""),IFERROR(VALUE(TRIM(LEFT(Issues!$C347,FIND("/",Issues!$C347)-1))),"")))</f>
        <v/>
      </c>
      <c r="C344" t="str">
        <f>IF(OR($A344="",$B344=""),"",IF(ISNUMBER(Issues!$C347),INT(MOD(Issues!$C347,10000)/100),IFERROR(VALUE(TRIM(LEFT(MID(Issues!$C347,FIND("/",Issues!$C347)+1,20),FIND("/",MID(Issues!$C347,FIND("/",Issues!$C347)+1,20))-1))),"")))</f>
        <v/>
      </c>
      <c r="D344" t="str">
        <f>IF(OR($A344="",$B344=""),"",IF(ISNUMBER(Issues!$C347),MOD(Issues!$C347,100),IFERROR(VALUE(TRIM(MID(MID(Issues!$C347,FIND("/",Issues!$C347)+1,20),FIND("/",MID(Issues!$C347,FIND("/",Issues!$C347)+1,20))+1,20))),"")))</f>
        <v/>
      </c>
      <c r="E344" t="str">
        <f t="shared" si="15"/>
        <v/>
      </c>
      <c r="F344" t="str">
        <f>IF($A344="","",IF(Issues!$D347="",0,Issues!$D347))</f>
        <v/>
      </c>
      <c r="G344" t="str">
        <f>IF($A344="","",Issues!$E347)</f>
        <v/>
      </c>
      <c r="H344" t="str">
        <f t="shared" si="16"/>
        <v/>
      </c>
      <c r="I344" t="str">
        <f t="shared" si="17"/>
        <v/>
      </c>
      <c r="J344" t="str">
        <f>IF($A344="","",Issues!$G347)</f>
        <v/>
      </c>
      <c r="K344" t="str">
        <f>IF(OR($E344="",$E344="نامعتبر"),"",LEFT($E344,4)&amp;MID($E344,6,2)&amp;RIGHT($E344,2)&amp;"|"&amp;RIGHT("00000"&amp;339,5))</f>
        <v/>
      </c>
      <c r="M344" t="str">
        <f>IF(Sync!$M344&lt;&gt;"پاس چک","",IF(Sync!$P344="","",Sync!$P344))</f>
        <v/>
      </c>
      <c r="N344" t="str">
        <f>IF($M344="","",IF(ISNUMBER(Sync!$L344),IF(AND(Sync!$L344&gt;=10000101,Sync!$L344&lt;=99991231),RIGHT("0000"&amp;INT(Sync!$L344/10000),4)&amp;"/"&amp;RIGHT("00"&amp;INT(MOD(Sync!$L344,10000)/100),2)&amp;"/"&amp;RIGHT("00"&amp;MOD(Sync!$L344,100),2),""),IFERROR(RIGHT("0000"&amp;VALUE(TRIM(LEFT(Sync!$L344,FIND("/",Sync!$L344)-1))),4)&amp;"/"&amp;RIGHT("00"&amp;VALUE(TRIM(LEFT(MID(Sync!$L344,FIND("/",Sync!$L344)+1,20),FIND("/",MID(Sync!$L344,FIND("/",Sync!$L344)+1,20))-1))),2)&amp;"/"&amp;RIGHT("00"&amp;VALUE(TRIM(MID(MID(Sync!$L344,FIND("/",Sync!$L344)+1,20),FIND("/",MID(Sync!$L344,FIND("/",Sync!$L344)+1,20))+1,20))),2),"")))</f>
        <v/>
      </c>
    </row>
    <row r="345" spans="1:14" x14ac:dyDescent="0.2">
      <c r="A345" t="str">
        <f>IF(Issues!$B348="","",Issues!$B348)</f>
        <v/>
      </c>
      <c r="B345" t="str">
        <f>IF($A345="","",IF(ISNUMBER(Issues!$C348),IF(AND(Issues!$C348&gt;=10000101,Issues!$C348&lt;=99991231),INT(Issues!$C348/10000),""),IFERROR(VALUE(TRIM(LEFT(Issues!$C348,FIND("/",Issues!$C348)-1))),"")))</f>
        <v/>
      </c>
      <c r="C345" t="str">
        <f>IF(OR($A345="",$B345=""),"",IF(ISNUMBER(Issues!$C348),INT(MOD(Issues!$C348,10000)/100),IFERROR(VALUE(TRIM(LEFT(MID(Issues!$C348,FIND("/",Issues!$C348)+1,20),FIND("/",MID(Issues!$C348,FIND("/",Issues!$C348)+1,20))-1))),"")))</f>
        <v/>
      </c>
      <c r="D345" t="str">
        <f>IF(OR($A345="",$B345=""),"",IF(ISNUMBER(Issues!$C348),MOD(Issues!$C348,100),IFERROR(VALUE(TRIM(MID(MID(Issues!$C348,FIND("/",Issues!$C348)+1,20),FIND("/",MID(Issues!$C348,FIND("/",Issues!$C348)+1,20))+1,20))),"")))</f>
        <v/>
      </c>
      <c r="E345" t="str">
        <f t="shared" si="15"/>
        <v/>
      </c>
      <c r="F345" t="str">
        <f>IF($A345="","",IF(Issues!$D348="",0,Issues!$D348))</f>
        <v/>
      </c>
      <c r="G345" t="str">
        <f>IF($A345="","",Issues!$E348)</f>
        <v/>
      </c>
      <c r="H345" t="str">
        <f t="shared" si="16"/>
        <v/>
      </c>
      <c r="I345" t="str">
        <f t="shared" si="17"/>
        <v/>
      </c>
      <c r="J345" t="str">
        <f>IF($A345="","",Issues!$G348)</f>
        <v/>
      </c>
      <c r="K345" t="str">
        <f>IF(OR($E345="",$E345="نامعتبر"),"",LEFT($E345,4)&amp;MID($E345,6,2)&amp;RIGHT($E345,2)&amp;"|"&amp;RIGHT("00000"&amp;340,5))</f>
        <v/>
      </c>
      <c r="M345" t="str">
        <f>IF(Sync!$M345&lt;&gt;"پاس چک","",IF(Sync!$P345="","",Sync!$P345))</f>
        <v/>
      </c>
      <c r="N345" t="str">
        <f>IF($M345="","",IF(ISNUMBER(Sync!$L345),IF(AND(Sync!$L345&gt;=10000101,Sync!$L345&lt;=99991231),RIGHT("0000"&amp;INT(Sync!$L345/10000),4)&amp;"/"&amp;RIGHT("00"&amp;INT(MOD(Sync!$L345,10000)/100),2)&amp;"/"&amp;RIGHT("00"&amp;MOD(Sync!$L345,100),2),""),IFERROR(RIGHT("0000"&amp;VALUE(TRIM(LEFT(Sync!$L345,FIND("/",Sync!$L345)-1))),4)&amp;"/"&amp;RIGHT("00"&amp;VALUE(TRIM(LEFT(MID(Sync!$L345,FIND("/",Sync!$L345)+1,20),FIND("/",MID(Sync!$L345,FIND("/",Sync!$L345)+1,20))-1))),2)&amp;"/"&amp;RIGHT("00"&amp;VALUE(TRIM(MID(MID(Sync!$L345,FIND("/",Sync!$L345)+1,20),FIND("/",MID(Sync!$L345,FIND("/",Sync!$L345)+1,20))+1,20))),2),"")))</f>
        <v/>
      </c>
    </row>
    <row r="346" spans="1:14" x14ac:dyDescent="0.2">
      <c r="A346" t="str">
        <f>IF(Issues!$B349="","",Issues!$B349)</f>
        <v/>
      </c>
      <c r="B346" t="str">
        <f>IF($A346="","",IF(ISNUMBER(Issues!$C349),IF(AND(Issues!$C349&gt;=10000101,Issues!$C349&lt;=99991231),INT(Issues!$C349/10000),""),IFERROR(VALUE(TRIM(LEFT(Issues!$C349,FIND("/",Issues!$C349)-1))),"")))</f>
        <v/>
      </c>
      <c r="C346" t="str">
        <f>IF(OR($A346="",$B346=""),"",IF(ISNUMBER(Issues!$C349),INT(MOD(Issues!$C349,10000)/100),IFERROR(VALUE(TRIM(LEFT(MID(Issues!$C349,FIND("/",Issues!$C349)+1,20),FIND("/",MID(Issues!$C349,FIND("/",Issues!$C349)+1,20))-1))),"")))</f>
        <v/>
      </c>
      <c r="D346" t="str">
        <f>IF(OR($A346="",$B346=""),"",IF(ISNUMBER(Issues!$C349),MOD(Issues!$C349,100),IFERROR(VALUE(TRIM(MID(MID(Issues!$C349,FIND("/",Issues!$C349)+1,20),FIND("/",MID(Issues!$C349,FIND("/",Issues!$C349)+1,20))+1,20))),"")))</f>
        <v/>
      </c>
      <c r="E346" t="str">
        <f t="shared" si="15"/>
        <v/>
      </c>
      <c r="F346" t="str">
        <f>IF($A346="","",IF(Issues!$D349="",0,Issues!$D349))</f>
        <v/>
      </c>
      <c r="G346" t="str">
        <f>IF($A346="","",Issues!$E349)</f>
        <v/>
      </c>
      <c r="H346" t="str">
        <f t="shared" si="16"/>
        <v/>
      </c>
      <c r="I346" t="str">
        <f t="shared" si="17"/>
        <v/>
      </c>
      <c r="J346" t="str">
        <f>IF($A346="","",Issues!$G349)</f>
        <v/>
      </c>
      <c r="K346" t="str">
        <f>IF(OR($E346="",$E346="نامعتبر"),"",LEFT($E346,4)&amp;MID($E346,6,2)&amp;RIGHT($E346,2)&amp;"|"&amp;RIGHT("00000"&amp;341,5))</f>
        <v/>
      </c>
      <c r="M346" t="str">
        <f>IF(Sync!$M346&lt;&gt;"پاس چک","",IF(Sync!$P346="","",Sync!$P346))</f>
        <v/>
      </c>
      <c r="N346" t="str">
        <f>IF($M346="","",IF(ISNUMBER(Sync!$L346),IF(AND(Sync!$L346&gt;=10000101,Sync!$L346&lt;=99991231),RIGHT("0000"&amp;INT(Sync!$L346/10000),4)&amp;"/"&amp;RIGHT("00"&amp;INT(MOD(Sync!$L346,10000)/100),2)&amp;"/"&amp;RIGHT("00"&amp;MOD(Sync!$L346,100),2),""),IFERROR(RIGHT("0000"&amp;VALUE(TRIM(LEFT(Sync!$L346,FIND("/",Sync!$L346)-1))),4)&amp;"/"&amp;RIGHT("00"&amp;VALUE(TRIM(LEFT(MID(Sync!$L346,FIND("/",Sync!$L346)+1,20),FIND("/",MID(Sync!$L346,FIND("/",Sync!$L346)+1,20))-1))),2)&amp;"/"&amp;RIGHT("00"&amp;VALUE(TRIM(MID(MID(Sync!$L346,FIND("/",Sync!$L346)+1,20),FIND("/",MID(Sync!$L346,FIND("/",Sync!$L346)+1,20))+1,20))),2),"")))</f>
        <v/>
      </c>
    </row>
    <row r="347" spans="1:14" x14ac:dyDescent="0.2">
      <c r="A347" t="str">
        <f>IF(Issues!$B350="","",Issues!$B350)</f>
        <v/>
      </c>
      <c r="B347" t="str">
        <f>IF($A347="","",IF(ISNUMBER(Issues!$C350),IF(AND(Issues!$C350&gt;=10000101,Issues!$C350&lt;=99991231),INT(Issues!$C350/10000),""),IFERROR(VALUE(TRIM(LEFT(Issues!$C350,FIND("/",Issues!$C350)-1))),"")))</f>
        <v/>
      </c>
      <c r="C347" t="str">
        <f>IF(OR($A347="",$B347=""),"",IF(ISNUMBER(Issues!$C350),INT(MOD(Issues!$C350,10000)/100),IFERROR(VALUE(TRIM(LEFT(MID(Issues!$C350,FIND("/",Issues!$C350)+1,20),FIND("/",MID(Issues!$C350,FIND("/",Issues!$C350)+1,20))-1))),"")))</f>
        <v/>
      </c>
      <c r="D347" t="str">
        <f>IF(OR($A347="",$B347=""),"",IF(ISNUMBER(Issues!$C350),MOD(Issues!$C350,100),IFERROR(VALUE(TRIM(MID(MID(Issues!$C350,FIND("/",Issues!$C350)+1,20),FIND("/",MID(Issues!$C350,FIND("/",Issues!$C350)+1,20))+1,20))),"")))</f>
        <v/>
      </c>
      <c r="E347" t="str">
        <f t="shared" si="15"/>
        <v/>
      </c>
      <c r="F347" t="str">
        <f>IF($A347="","",IF(Issues!$D350="",0,Issues!$D350))</f>
        <v/>
      </c>
      <c r="G347" t="str">
        <f>IF($A347="","",Issues!$E350)</f>
        <v/>
      </c>
      <c r="H347" t="str">
        <f t="shared" si="16"/>
        <v/>
      </c>
      <c r="I347" t="str">
        <f t="shared" si="17"/>
        <v/>
      </c>
      <c r="J347" t="str">
        <f>IF($A347="","",Issues!$G350)</f>
        <v/>
      </c>
      <c r="K347" t="str">
        <f>IF(OR($E347="",$E347="نامعتبر"),"",LEFT($E347,4)&amp;MID($E347,6,2)&amp;RIGHT($E347,2)&amp;"|"&amp;RIGHT("00000"&amp;342,5))</f>
        <v/>
      </c>
      <c r="M347" t="str">
        <f>IF(Sync!$M347&lt;&gt;"پاس چک","",IF(Sync!$P347="","",Sync!$P347))</f>
        <v/>
      </c>
      <c r="N347" t="str">
        <f>IF($M347="","",IF(ISNUMBER(Sync!$L347),IF(AND(Sync!$L347&gt;=10000101,Sync!$L347&lt;=99991231),RIGHT("0000"&amp;INT(Sync!$L347/10000),4)&amp;"/"&amp;RIGHT("00"&amp;INT(MOD(Sync!$L347,10000)/100),2)&amp;"/"&amp;RIGHT("00"&amp;MOD(Sync!$L347,100),2),""),IFERROR(RIGHT("0000"&amp;VALUE(TRIM(LEFT(Sync!$L347,FIND("/",Sync!$L347)-1))),4)&amp;"/"&amp;RIGHT("00"&amp;VALUE(TRIM(LEFT(MID(Sync!$L347,FIND("/",Sync!$L347)+1,20),FIND("/",MID(Sync!$L347,FIND("/",Sync!$L347)+1,20))-1))),2)&amp;"/"&amp;RIGHT("00"&amp;VALUE(TRIM(MID(MID(Sync!$L347,FIND("/",Sync!$L347)+1,20),FIND("/",MID(Sync!$L347,FIND("/",Sync!$L347)+1,20))+1,20))),2),"")))</f>
        <v/>
      </c>
    </row>
    <row r="348" spans="1:14" x14ac:dyDescent="0.2">
      <c r="A348" t="str">
        <f>IF(Issues!$B351="","",Issues!$B351)</f>
        <v/>
      </c>
      <c r="B348" t="str">
        <f>IF($A348="","",IF(ISNUMBER(Issues!$C351),IF(AND(Issues!$C351&gt;=10000101,Issues!$C351&lt;=99991231),INT(Issues!$C351/10000),""),IFERROR(VALUE(TRIM(LEFT(Issues!$C351,FIND("/",Issues!$C351)-1))),"")))</f>
        <v/>
      </c>
      <c r="C348" t="str">
        <f>IF(OR($A348="",$B348=""),"",IF(ISNUMBER(Issues!$C351),INT(MOD(Issues!$C351,10000)/100),IFERROR(VALUE(TRIM(LEFT(MID(Issues!$C351,FIND("/",Issues!$C351)+1,20),FIND("/",MID(Issues!$C351,FIND("/",Issues!$C351)+1,20))-1))),"")))</f>
        <v/>
      </c>
      <c r="D348" t="str">
        <f>IF(OR($A348="",$B348=""),"",IF(ISNUMBER(Issues!$C351),MOD(Issues!$C351,100),IFERROR(VALUE(TRIM(MID(MID(Issues!$C351,FIND("/",Issues!$C351)+1,20),FIND("/",MID(Issues!$C351,FIND("/",Issues!$C351)+1,20))+1,20))),"")))</f>
        <v/>
      </c>
      <c r="E348" t="str">
        <f t="shared" si="15"/>
        <v/>
      </c>
      <c r="F348" t="str">
        <f>IF($A348="","",IF(Issues!$D351="",0,Issues!$D351))</f>
        <v/>
      </c>
      <c r="G348" t="str">
        <f>IF($A348="","",Issues!$E351)</f>
        <v/>
      </c>
      <c r="H348" t="str">
        <f t="shared" si="16"/>
        <v/>
      </c>
      <c r="I348" t="str">
        <f t="shared" si="17"/>
        <v/>
      </c>
      <c r="J348" t="str">
        <f>IF($A348="","",Issues!$G351)</f>
        <v/>
      </c>
      <c r="K348" t="str">
        <f>IF(OR($E348="",$E348="نامعتبر"),"",LEFT($E348,4)&amp;MID($E348,6,2)&amp;RIGHT($E348,2)&amp;"|"&amp;RIGHT("00000"&amp;343,5))</f>
        <v/>
      </c>
      <c r="M348" t="str">
        <f>IF(Sync!$M348&lt;&gt;"پاس چک","",IF(Sync!$P348="","",Sync!$P348))</f>
        <v/>
      </c>
      <c r="N348" t="str">
        <f>IF($M348="","",IF(ISNUMBER(Sync!$L348),IF(AND(Sync!$L348&gt;=10000101,Sync!$L348&lt;=99991231),RIGHT("0000"&amp;INT(Sync!$L348/10000),4)&amp;"/"&amp;RIGHT("00"&amp;INT(MOD(Sync!$L348,10000)/100),2)&amp;"/"&amp;RIGHT("00"&amp;MOD(Sync!$L348,100),2),""),IFERROR(RIGHT("0000"&amp;VALUE(TRIM(LEFT(Sync!$L348,FIND("/",Sync!$L348)-1))),4)&amp;"/"&amp;RIGHT("00"&amp;VALUE(TRIM(LEFT(MID(Sync!$L348,FIND("/",Sync!$L348)+1,20),FIND("/",MID(Sync!$L348,FIND("/",Sync!$L348)+1,20))-1))),2)&amp;"/"&amp;RIGHT("00"&amp;VALUE(TRIM(MID(MID(Sync!$L348,FIND("/",Sync!$L348)+1,20),FIND("/",MID(Sync!$L348,FIND("/",Sync!$L348)+1,20))+1,20))),2),"")))</f>
        <v/>
      </c>
    </row>
    <row r="349" spans="1:14" x14ac:dyDescent="0.2">
      <c r="A349" t="str">
        <f>IF(Issues!$B352="","",Issues!$B352)</f>
        <v/>
      </c>
      <c r="B349" t="str">
        <f>IF($A349="","",IF(ISNUMBER(Issues!$C352),IF(AND(Issues!$C352&gt;=10000101,Issues!$C352&lt;=99991231),INT(Issues!$C352/10000),""),IFERROR(VALUE(TRIM(LEFT(Issues!$C352,FIND("/",Issues!$C352)-1))),"")))</f>
        <v/>
      </c>
      <c r="C349" t="str">
        <f>IF(OR($A349="",$B349=""),"",IF(ISNUMBER(Issues!$C352),INT(MOD(Issues!$C352,10000)/100),IFERROR(VALUE(TRIM(LEFT(MID(Issues!$C352,FIND("/",Issues!$C352)+1,20),FIND("/",MID(Issues!$C352,FIND("/",Issues!$C352)+1,20))-1))),"")))</f>
        <v/>
      </c>
      <c r="D349" t="str">
        <f>IF(OR($A349="",$B349=""),"",IF(ISNUMBER(Issues!$C352),MOD(Issues!$C352,100),IFERROR(VALUE(TRIM(MID(MID(Issues!$C352,FIND("/",Issues!$C352)+1,20),FIND("/",MID(Issues!$C352,FIND("/",Issues!$C352)+1,20))+1,20))),"")))</f>
        <v/>
      </c>
      <c r="E349" t="str">
        <f t="shared" si="15"/>
        <v/>
      </c>
      <c r="F349" t="str">
        <f>IF($A349="","",IF(Issues!$D352="",0,Issues!$D352))</f>
        <v/>
      </c>
      <c r="G349" t="str">
        <f>IF($A349="","",Issues!$E352)</f>
        <v/>
      </c>
      <c r="H349" t="str">
        <f t="shared" si="16"/>
        <v/>
      </c>
      <c r="I349" t="str">
        <f t="shared" si="17"/>
        <v/>
      </c>
      <c r="J349" t="str">
        <f>IF($A349="","",Issues!$G352)</f>
        <v/>
      </c>
      <c r="K349" t="str">
        <f>IF(OR($E349="",$E349="نامعتبر"),"",LEFT($E349,4)&amp;MID($E349,6,2)&amp;RIGHT($E349,2)&amp;"|"&amp;RIGHT("00000"&amp;344,5))</f>
        <v/>
      </c>
      <c r="M349" t="str">
        <f>IF(Sync!$M349&lt;&gt;"پاس چک","",IF(Sync!$P349="","",Sync!$P349))</f>
        <v/>
      </c>
      <c r="N349" t="str">
        <f>IF($M349="","",IF(ISNUMBER(Sync!$L349),IF(AND(Sync!$L349&gt;=10000101,Sync!$L349&lt;=99991231),RIGHT("0000"&amp;INT(Sync!$L349/10000),4)&amp;"/"&amp;RIGHT("00"&amp;INT(MOD(Sync!$L349,10000)/100),2)&amp;"/"&amp;RIGHT("00"&amp;MOD(Sync!$L349,100),2),""),IFERROR(RIGHT("0000"&amp;VALUE(TRIM(LEFT(Sync!$L349,FIND("/",Sync!$L349)-1))),4)&amp;"/"&amp;RIGHT("00"&amp;VALUE(TRIM(LEFT(MID(Sync!$L349,FIND("/",Sync!$L349)+1,20),FIND("/",MID(Sync!$L349,FIND("/",Sync!$L349)+1,20))-1))),2)&amp;"/"&amp;RIGHT("00"&amp;VALUE(TRIM(MID(MID(Sync!$L349,FIND("/",Sync!$L349)+1,20),FIND("/",MID(Sync!$L349,FIND("/",Sync!$L349)+1,20))+1,20))),2),"")))</f>
        <v/>
      </c>
    </row>
    <row r="350" spans="1:14" x14ac:dyDescent="0.2">
      <c r="A350" t="str">
        <f>IF(Issues!$B353="","",Issues!$B353)</f>
        <v/>
      </c>
      <c r="B350" t="str">
        <f>IF($A350="","",IF(ISNUMBER(Issues!$C353),IF(AND(Issues!$C353&gt;=10000101,Issues!$C353&lt;=99991231),INT(Issues!$C353/10000),""),IFERROR(VALUE(TRIM(LEFT(Issues!$C353,FIND("/",Issues!$C353)-1))),"")))</f>
        <v/>
      </c>
      <c r="C350" t="str">
        <f>IF(OR($A350="",$B350=""),"",IF(ISNUMBER(Issues!$C353),INT(MOD(Issues!$C353,10000)/100),IFERROR(VALUE(TRIM(LEFT(MID(Issues!$C353,FIND("/",Issues!$C353)+1,20),FIND("/",MID(Issues!$C353,FIND("/",Issues!$C353)+1,20))-1))),"")))</f>
        <v/>
      </c>
      <c r="D350" t="str">
        <f>IF(OR($A350="",$B350=""),"",IF(ISNUMBER(Issues!$C353),MOD(Issues!$C353,100),IFERROR(VALUE(TRIM(MID(MID(Issues!$C353,FIND("/",Issues!$C353)+1,20),FIND("/",MID(Issues!$C353,FIND("/",Issues!$C353)+1,20))+1,20))),"")))</f>
        <v/>
      </c>
      <c r="E350" t="str">
        <f t="shared" si="15"/>
        <v/>
      </c>
      <c r="F350" t="str">
        <f>IF($A350="","",IF(Issues!$D353="",0,Issues!$D353))</f>
        <v/>
      </c>
      <c r="G350" t="str">
        <f>IF($A350="","",Issues!$E353)</f>
        <v/>
      </c>
      <c r="H350" t="str">
        <f t="shared" si="16"/>
        <v/>
      </c>
      <c r="I350" t="str">
        <f t="shared" si="17"/>
        <v/>
      </c>
      <c r="J350" t="str">
        <f>IF($A350="","",Issues!$G353)</f>
        <v/>
      </c>
      <c r="K350" t="str">
        <f>IF(OR($E350="",$E350="نامعتبر"),"",LEFT($E350,4)&amp;MID($E350,6,2)&amp;RIGHT($E350,2)&amp;"|"&amp;RIGHT("00000"&amp;345,5))</f>
        <v/>
      </c>
      <c r="M350" t="str">
        <f>IF(Sync!$M350&lt;&gt;"پاس چک","",IF(Sync!$P350="","",Sync!$P350))</f>
        <v/>
      </c>
      <c r="N350" t="str">
        <f>IF($M350="","",IF(ISNUMBER(Sync!$L350),IF(AND(Sync!$L350&gt;=10000101,Sync!$L350&lt;=99991231),RIGHT("0000"&amp;INT(Sync!$L350/10000),4)&amp;"/"&amp;RIGHT("00"&amp;INT(MOD(Sync!$L350,10000)/100),2)&amp;"/"&amp;RIGHT("00"&amp;MOD(Sync!$L350,100),2),""),IFERROR(RIGHT("0000"&amp;VALUE(TRIM(LEFT(Sync!$L350,FIND("/",Sync!$L350)-1))),4)&amp;"/"&amp;RIGHT("00"&amp;VALUE(TRIM(LEFT(MID(Sync!$L350,FIND("/",Sync!$L350)+1,20),FIND("/",MID(Sync!$L350,FIND("/",Sync!$L350)+1,20))-1))),2)&amp;"/"&amp;RIGHT("00"&amp;VALUE(TRIM(MID(MID(Sync!$L350,FIND("/",Sync!$L350)+1,20),FIND("/",MID(Sync!$L350,FIND("/",Sync!$L350)+1,20))+1,20))),2),"")))</f>
        <v/>
      </c>
    </row>
    <row r="351" spans="1:14" x14ac:dyDescent="0.2">
      <c r="A351" t="str">
        <f>IF(Issues!$B354="","",Issues!$B354)</f>
        <v/>
      </c>
      <c r="B351" t="str">
        <f>IF($A351="","",IF(ISNUMBER(Issues!$C354),IF(AND(Issues!$C354&gt;=10000101,Issues!$C354&lt;=99991231),INT(Issues!$C354/10000),""),IFERROR(VALUE(TRIM(LEFT(Issues!$C354,FIND("/",Issues!$C354)-1))),"")))</f>
        <v/>
      </c>
      <c r="C351" t="str">
        <f>IF(OR($A351="",$B351=""),"",IF(ISNUMBER(Issues!$C354),INT(MOD(Issues!$C354,10000)/100),IFERROR(VALUE(TRIM(LEFT(MID(Issues!$C354,FIND("/",Issues!$C354)+1,20),FIND("/",MID(Issues!$C354,FIND("/",Issues!$C354)+1,20))-1))),"")))</f>
        <v/>
      </c>
      <c r="D351" t="str">
        <f>IF(OR($A351="",$B351=""),"",IF(ISNUMBER(Issues!$C354),MOD(Issues!$C354,100),IFERROR(VALUE(TRIM(MID(MID(Issues!$C354,FIND("/",Issues!$C354)+1,20),FIND("/",MID(Issues!$C354,FIND("/",Issues!$C354)+1,20))+1,20))),"")))</f>
        <v/>
      </c>
      <c r="E351" t="str">
        <f t="shared" si="15"/>
        <v/>
      </c>
      <c r="F351" t="str">
        <f>IF($A351="","",IF(Issues!$D354="",0,Issues!$D354))</f>
        <v/>
      </c>
      <c r="G351" t="str">
        <f>IF($A351="","",Issues!$E354)</f>
        <v/>
      </c>
      <c r="H351" t="str">
        <f t="shared" si="16"/>
        <v/>
      </c>
      <c r="I351" t="str">
        <f t="shared" si="17"/>
        <v/>
      </c>
      <c r="J351" t="str">
        <f>IF($A351="","",Issues!$G354)</f>
        <v/>
      </c>
      <c r="K351" t="str">
        <f>IF(OR($E351="",$E351="نامعتبر"),"",LEFT($E351,4)&amp;MID($E351,6,2)&amp;RIGHT($E351,2)&amp;"|"&amp;RIGHT("00000"&amp;346,5))</f>
        <v/>
      </c>
      <c r="M351" t="str">
        <f>IF(Sync!$M351&lt;&gt;"پاس چک","",IF(Sync!$P351="","",Sync!$P351))</f>
        <v/>
      </c>
      <c r="N351" t="str">
        <f>IF($M351="","",IF(ISNUMBER(Sync!$L351),IF(AND(Sync!$L351&gt;=10000101,Sync!$L351&lt;=99991231),RIGHT("0000"&amp;INT(Sync!$L351/10000),4)&amp;"/"&amp;RIGHT("00"&amp;INT(MOD(Sync!$L351,10000)/100),2)&amp;"/"&amp;RIGHT("00"&amp;MOD(Sync!$L351,100),2),""),IFERROR(RIGHT("0000"&amp;VALUE(TRIM(LEFT(Sync!$L351,FIND("/",Sync!$L351)-1))),4)&amp;"/"&amp;RIGHT("00"&amp;VALUE(TRIM(LEFT(MID(Sync!$L351,FIND("/",Sync!$L351)+1,20),FIND("/",MID(Sync!$L351,FIND("/",Sync!$L351)+1,20))-1))),2)&amp;"/"&amp;RIGHT("00"&amp;VALUE(TRIM(MID(MID(Sync!$L351,FIND("/",Sync!$L351)+1,20),FIND("/",MID(Sync!$L351,FIND("/",Sync!$L351)+1,20))+1,20))),2),"")))</f>
        <v/>
      </c>
    </row>
    <row r="352" spans="1:14" x14ac:dyDescent="0.2">
      <c r="A352" t="str">
        <f>IF(Issues!$B355="","",Issues!$B355)</f>
        <v/>
      </c>
      <c r="B352" t="str">
        <f>IF($A352="","",IF(ISNUMBER(Issues!$C355),IF(AND(Issues!$C355&gt;=10000101,Issues!$C355&lt;=99991231),INT(Issues!$C355/10000),""),IFERROR(VALUE(TRIM(LEFT(Issues!$C355,FIND("/",Issues!$C355)-1))),"")))</f>
        <v/>
      </c>
      <c r="C352" t="str">
        <f>IF(OR($A352="",$B352=""),"",IF(ISNUMBER(Issues!$C355),INT(MOD(Issues!$C355,10000)/100),IFERROR(VALUE(TRIM(LEFT(MID(Issues!$C355,FIND("/",Issues!$C355)+1,20),FIND("/",MID(Issues!$C355,FIND("/",Issues!$C355)+1,20))-1))),"")))</f>
        <v/>
      </c>
      <c r="D352" t="str">
        <f>IF(OR($A352="",$B352=""),"",IF(ISNUMBER(Issues!$C355),MOD(Issues!$C355,100),IFERROR(VALUE(TRIM(MID(MID(Issues!$C355,FIND("/",Issues!$C355)+1,20),FIND("/",MID(Issues!$C355,FIND("/",Issues!$C355)+1,20))+1,20))),"")))</f>
        <v/>
      </c>
      <c r="E352" t="str">
        <f t="shared" si="15"/>
        <v/>
      </c>
      <c r="F352" t="str">
        <f>IF($A352="","",IF(Issues!$D355="",0,Issues!$D355))</f>
        <v/>
      </c>
      <c r="G352" t="str">
        <f>IF($A352="","",Issues!$E355)</f>
        <v/>
      </c>
      <c r="H352" t="str">
        <f t="shared" si="16"/>
        <v/>
      </c>
      <c r="I352" t="str">
        <f t="shared" si="17"/>
        <v/>
      </c>
      <c r="J352" t="str">
        <f>IF($A352="","",Issues!$G355)</f>
        <v/>
      </c>
      <c r="K352" t="str">
        <f>IF(OR($E352="",$E352="نامعتبر"),"",LEFT($E352,4)&amp;MID($E352,6,2)&amp;RIGHT($E352,2)&amp;"|"&amp;RIGHT("00000"&amp;347,5))</f>
        <v/>
      </c>
      <c r="M352" t="str">
        <f>IF(Sync!$M352&lt;&gt;"پاس چک","",IF(Sync!$P352="","",Sync!$P352))</f>
        <v/>
      </c>
      <c r="N352" t="str">
        <f>IF($M352="","",IF(ISNUMBER(Sync!$L352),IF(AND(Sync!$L352&gt;=10000101,Sync!$L352&lt;=99991231),RIGHT("0000"&amp;INT(Sync!$L352/10000),4)&amp;"/"&amp;RIGHT("00"&amp;INT(MOD(Sync!$L352,10000)/100),2)&amp;"/"&amp;RIGHT("00"&amp;MOD(Sync!$L352,100),2),""),IFERROR(RIGHT("0000"&amp;VALUE(TRIM(LEFT(Sync!$L352,FIND("/",Sync!$L352)-1))),4)&amp;"/"&amp;RIGHT("00"&amp;VALUE(TRIM(LEFT(MID(Sync!$L352,FIND("/",Sync!$L352)+1,20),FIND("/",MID(Sync!$L352,FIND("/",Sync!$L352)+1,20))-1))),2)&amp;"/"&amp;RIGHT("00"&amp;VALUE(TRIM(MID(MID(Sync!$L352,FIND("/",Sync!$L352)+1,20),FIND("/",MID(Sync!$L352,FIND("/",Sync!$L352)+1,20))+1,20))),2),"")))</f>
        <v/>
      </c>
    </row>
    <row r="353" spans="1:14" x14ac:dyDescent="0.2">
      <c r="A353" t="str">
        <f>IF(Issues!$B356="","",Issues!$B356)</f>
        <v/>
      </c>
      <c r="B353" t="str">
        <f>IF($A353="","",IF(ISNUMBER(Issues!$C356),IF(AND(Issues!$C356&gt;=10000101,Issues!$C356&lt;=99991231),INT(Issues!$C356/10000),""),IFERROR(VALUE(TRIM(LEFT(Issues!$C356,FIND("/",Issues!$C356)-1))),"")))</f>
        <v/>
      </c>
      <c r="C353" t="str">
        <f>IF(OR($A353="",$B353=""),"",IF(ISNUMBER(Issues!$C356),INT(MOD(Issues!$C356,10000)/100),IFERROR(VALUE(TRIM(LEFT(MID(Issues!$C356,FIND("/",Issues!$C356)+1,20),FIND("/",MID(Issues!$C356,FIND("/",Issues!$C356)+1,20))-1))),"")))</f>
        <v/>
      </c>
      <c r="D353" t="str">
        <f>IF(OR($A353="",$B353=""),"",IF(ISNUMBER(Issues!$C356),MOD(Issues!$C356,100),IFERROR(VALUE(TRIM(MID(MID(Issues!$C356,FIND("/",Issues!$C356)+1,20),FIND("/",MID(Issues!$C356,FIND("/",Issues!$C356)+1,20))+1,20))),"")))</f>
        <v/>
      </c>
      <c r="E353" t="str">
        <f t="shared" si="15"/>
        <v/>
      </c>
      <c r="F353" t="str">
        <f>IF($A353="","",IF(Issues!$D356="",0,Issues!$D356))</f>
        <v/>
      </c>
      <c r="G353" t="str">
        <f>IF($A353="","",Issues!$E356)</f>
        <v/>
      </c>
      <c r="H353" t="str">
        <f t="shared" si="16"/>
        <v/>
      </c>
      <c r="I353" t="str">
        <f t="shared" si="17"/>
        <v/>
      </c>
      <c r="J353" t="str">
        <f>IF($A353="","",Issues!$G356)</f>
        <v/>
      </c>
      <c r="K353" t="str">
        <f>IF(OR($E353="",$E353="نامعتبر"),"",LEFT($E353,4)&amp;MID($E353,6,2)&amp;RIGHT($E353,2)&amp;"|"&amp;RIGHT("00000"&amp;348,5))</f>
        <v/>
      </c>
      <c r="M353" t="str">
        <f>IF(Sync!$M353&lt;&gt;"پاس چک","",IF(Sync!$P353="","",Sync!$P353))</f>
        <v/>
      </c>
      <c r="N353" t="str">
        <f>IF($M353="","",IF(ISNUMBER(Sync!$L353),IF(AND(Sync!$L353&gt;=10000101,Sync!$L353&lt;=99991231),RIGHT("0000"&amp;INT(Sync!$L353/10000),4)&amp;"/"&amp;RIGHT("00"&amp;INT(MOD(Sync!$L353,10000)/100),2)&amp;"/"&amp;RIGHT("00"&amp;MOD(Sync!$L353,100),2),""),IFERROR(RIGHT("0000"&amp;VALUE(TRIM(LEFT(Sync!$L353,FIND("/",Sync!$L353)-1))),4)&amp;"/"&amp;RIGHT("00"&amp;VALUE(TRIM(LEFT(MID(Sync!$L353,FIND("/",Sync!$L353)+1,20),FIND("/",MID(Sync!$L353,FIND("/",Sync!$L353)+1,20))-1))),2)&amp;"/"&amp;RIGHT("00"&amp;VALUE(TRIM(MID(MID(Sync!$L353,FIND("/",Sync!$L353)+1,20),FIND("/",MID(Sync!$L353,FIND("/",Sync!$L353)+1,20))+1,20))),2),"")))</f>
        <v/>
      </c>
    </row>
    <row r="354" spans="1:14" x14ac:dyDescent="0.2">
      <c r="A354" t="str">
        <f>IF(Issues!$B357="","",Issues!$B357)</f>
        <v/>
      </c>
      <c r="B354" t="str">
        <f>IF($A354="","",IF(ISNUMBER(Issues!$C357),IF(AND(Issues!$C357&gt;=10000101,Issues!$C357&lt;=99991231),INT(Issues!$C357/10000),""),IFERROR(VALUE(TRIM(LEFT(Issues!$C357,FIND("/",Issues!$C357)-1))),"")))</f>
        <v/>
      </c>
      <c r="C354" t="str">
        <f>IF(OR($A354="",$B354=""),"",IF(ISNUMBER(Issues!$C357),INT(MOD(Issues!$C357,10000)/100),IFERROR(VALUE(TRIM(LEFT(MID(Issues!$C357,FIND("/",Issues!$C357)+1,20),FIND("/",MID(Issues!$C357,FIND("/",Issues!$C357)+1,20))-1))),"")))</f>
        <v/>
      </c>
      <c r="D354" t="str">
        <f>IF(OR($A354="",$B354=""),"",IF(ISNUMBER(Issues!$C357),MOD(Issues!$C357,100),IFERROR(VALUE(TRIM(MID(MID(Issues!$C357,FIND("/",Issues!$C357)+1,20),FIND("/",MID(Issues!$C357,FIND("/",Issues!$C357)+1,20))+1,20))),"")))</f>
        <v/>
      </c>
      <c r="E354" t="str">
        <f t="shared" si="15"/>
        <v/>
      </c>
      <c r="F354" t="str">
        <f>IF($A354="","",IF(Issues!$D357="",0,Issues!$D357))</f>
        <v/>
      </c>
      <c r="G354" t="str">
        <f>IF($A354="","",Issues!$E357)</f>
        <v/>
      </c>
      <c r="H354" t="str">
        <f t="shared" si="16"/>
        <v/>
      </c>
      <c r="I354" t="str">
        <f t="shared" si="17"/>
        <v/>
      </c>
      <c r="J354" t="str">
        <f>IF($A354="","",Issues!$G357)</f>
        <v/>
      </c>
      <c r="K354" t="str">
        <f>IF(OR($E354="",$E354="نامعتبر"),"",LEFT($E354,4)&amp;MID($E354,6,2)&amp;RIGHT($E354,2)&amp;"|"&amp;RIGHT("00000"&amp;349,5))</f>
        <v/>
      </c>
      <c r="M354" t="str">
        <f>IF(Sync!$M354&lt;&gt;"پاس چک","",IF(Sync!$P354="","",Sync!$P354))</f>
        <v/>
      </c>
      <c r="N354" t="str">
        <f>IF($M354="","",IF(ISNUMBER(Sync!$L354),IF(AND(Sync!$L354&gt;=10000101,Sync!$L354&lt;=99991231),RIGHT("0000"&amp;INT(Sync!$L354/10000),4)&amp;"/"&amp;RIGHT("00"&amp;INT(MOD(Sync!$L354,10000)/100),2)&amp;"/"&amp;RIGHT("00"&amp;MOD(Sync!$L354,100),2),""),IFERROR(RIGHT("0000"&amp;VALUE(TRIM(LEFT(Sync!$L354,FIND("/",Sync!$L354)-1))),4)&amp;"/"&amp;RIGHT("00"&amp;VALUE(TRIM(LEFT(MID(Sync!$L354,FIND("/",Sync!$L354)+1,20),FIND("/",MID(Sync!$L354,FIND("/",Sync!$L354)+1,20))-1))),2)&amp;"/"&amp;RIGHT("00"&amp;VALUE(TRIM(MID(MID(Sync!$L354,FIND("/",Sync!$L354)+1,20),FIND("/",MID(Sync!$L354,FIND("/",Sync!$L354)+1,20))+1,20))),2),"")))</f>
        <v/>
      </c>
    </row>
    <row r="355" spans="1:14" x14ac:dyDescent="0.2">
      <c r="A355" t="str">
        <f>IF(Issues!$B358="","",Issues!$B358)</f>
        <v/>
      </c>
      <c r="B355" t="str">
        <f>IF($A355="","",IF(ISNUMBER(Issues!$C358),IF(AND(Issues!$C358&gt;=10000101,Issues!$C358&lt;=99991231),INT(Issues!$C358/10000),""),IFERROR(VALUE(TRIM(LEFT(Issues!$C358,FIND("/",Issues!$C358)-1))),"")))</f>
        <v/>
      </c>
      <c r="C355" t="str">
        <f>IF(OR($A355="",$B355=""),"",IF(ISNUMBER(Issues!$C358),INT(MOD(Issues!$C358,10000)/100),IFERROR(VALUE(TRIM(LEFT(MID(Issues!$C358,FIND("/",Issues!$C358)+1,20),FIND("/",MID(Issues!$C358,FIND("/",Issues!$C358)+1,20))-1))),"")))</f>
        <v/>
      </c>
      <c r="D355" t="str">
        <f>IF(OR($A355="",$B355=""),"",IF(ISNUMBER(Issues!$C358),MOD(Issues!$C358,100),IFERROR(VALUE(TRIM(MID(MID(Issues!$C358,FIND("/",Issues!$C358)+1,20),FIND("/",MID(Issues!$C358,FIND("/",Issues!$C358)+1,20))+1,20))),"")))</f>
        <v/>
      </c>
      <c r="E355" t="str">
        <f t="shared" si="15"/>
        <v/>
      </c>
      <c r="F355" t="str">
        <f>IF($A355="","",IF(Issues!$D358="",0,Issues!$D358))</f>
        <v/>
      </c>
      <c r="G355" t="str">
        <f>IF($A355="","",Issues!$E358)</f>
        <v/>
      </c>
      <c r="H355" t="str">
        <f t="shared" si="16"/>
        <v/>
      </c>
      <c r="I355" t="str">
        <f t="shared" si="17"/>
        <v/>
      </c>
      <c r="J355" t="str">
        <f>IF($A355="","",Issues!$G358)</f>
        <v/>
      </c>
      <c r="K355" t="str">
        <f>IF(OR($E355="",$E355="نامعتبر"),"",LEFT($E355,4)&amp;MID($E355,6,2)&amp;RIGHT($E355,2)&amp;"|"&amp;RIGHT("00000"&amp;350,5))</f>
        <v/>
      </c>
      <c r="M355" t="str">
        <f>IF(Sync!$M355&lt;&gt;"پاس چک","",IF(Sync!$P355="","",Sync!$P355))</f>
        <v/>
      </c>
      <c r="N355" t="str">
        <f>IF($M355="","",IF(ISNUMBER(Sync!$L355),IF(AND(Sync!$L355&gt;=10000101,Sync!$L355&lt;=99991231),RIGHT("0000"&amp;INT(Sync!$L355/10000),4)&amp;"/"&amp;RIGHT("00"&amp;INT(MOD(Sync!$L355,10000)/100),2)&amp;"/"&amp;RIGHT("00"&amp;MOD(Sync!$L355,100),2),""),IFERROR(RIGHT("0000"&amp;VALUE(TRIM(LEFT(Sync!$L355,FIND("/",Sync!$L355)-1))),4)&amp;"/"&amp;RIGHT("00"&amp;VALUE(TRIM(LEFT(MID(Sync!$L355,FIND("/",Sync!$L355)+1,20),FIND("/",MID(Sync!$L355,FIND("/",Sync!$L355)+1,20))-1))),2)&amp;"/"&amp;RIGHT("00"&amp;VALUE(TRIM(MID(MID(Sync!$L355,FIND("/",Sync!$L355)+1,20),FIND("/",MID(Sync!$L355,FIND("/",Sync!$L355)+1,20))+1,20))),2),"")))</f>
        <v/>
      </c>
    </row>
    <row r="356" spans="1:14" x14ac:dyDescent="0.2">
      <c r="A356" t="str">
        <f>IF(Issues!$B359="","",Issues!$B359)</f>
        <v/>
      </c>
      <c r="B356" t="str">
        <f>IF($A356="","",IF(ISNUMBER(Issues!$C359),IF(AND(Issues!$C359&gt;=10000101,Issues!$C359&lt;=99991231),INT(Issues!$C359/10000),""),IFERROR(VALUE(TRIM(LEFT(Issues!$C359,FIND("/",Issues!$C359)-1))),"")))</f>
        <v/>
      </c>
      <c r="C356" t="str">
        <f>IF(OR($A356="",$B356=""),"",IF(ISNUMBER(Issues!$C359),INT(MOD(Issues!$C359,10000)/100),IFERROR(VALUE(TRIM(LEFT(MID(Issues!$C359,FIND("/",Issues!$C359)+1,20),FIND("/",MID(Issues!$C359,FIND("/",Issues!$C359)+1,20))-1))),"")))</f>
        <v/>
      </c>
      <c r="D356" t="str">
        <f>IF(OR($A356="",$B356=""),"",IF(ISNUMBER(Issues!$C359),MOD(Issues!$C359,100),IFERROR(VALUE(TRIM(MID(MID(Issues!$C359,FIND("/",Issues!$C359)+1,20),FIND("/",MID(Issues!$C359,FIND("/",Issues!$C359)+1,20))+1,20))),"")))</f>
        <v/>
      </c>
      <c r="E356" t="str">
        <f t="shared" si="15"/>
        <v/>
      </c>
      <c r="F356" t="str">
        <f>IF($A356="","",IF(Issues!$D359="",0,Issues!$D359))</f>
        <v/>
      </c>
      <c r="G356" t="str">
        <f>IF($A356="","",Issues!$E359)</f>
        <v/>
      </c>
      <c r="H356" t="str">
        <f t="shared" si="16"/>
        <v/>
      </c>
      <c r="I356" t="str">
        <f t="shared" si="17"/>
        <v/>
      </c>
      <c r="J356" t="str">
        <f>IF($A356="","",Issues!$G359)</f>
        <v/>
      </c>
      <c r="K356" t="str">
        <f>IF(OR($E356="",$E356="نامعتبر"),"",LEFT($E356,4)&amp;MID($E356,6,2)&amp;RIGHT($E356,2)&amp;"|"&amp;RIGHT("00000"&amp;351,5))</f>
        <v/>
      </c>
      <c r="M356" t="str">
        <f>IF(Sync!$M356&lt;&gt;"پاس چک","",IF(Sync!$P356="","",Sync!$P356))</f>
        <v/>
      </c>
      <c r="N356" t="str">
        <f>IF($M356="","",IF(ISNUMBER(Sync!$L356),IF(AND(Sync!$L356&gt;=10000101,Sync!$L356&lt;=99991231),RIGHT("0000"&amp;INT(Sync!$L356/10000),4)&amp;"/"&amp;RIGHT("00"&amp;INT(MOD(Sync!$L356,10000)/100),2)&amp;"/"&amp;RIGHT("00"&amp;MOD(Sync!$L356,100),2),""),IFERROR(RIGHT("0000"&amp;VALUE(TRIM(LEFT(Sync!$L356,FIND("/",Sync!$L356)-1))),4)&amp;"/"&amp;RIGHT("00"&amp;VALUE(TRIM(LEFT(MID(Sync!$L356,FIND("/",Sync!$L356)+1,20),FIND("/",MID(Sync!$L356,FIND("/",Sync!$L356)+1,20))-1))),2)&amp;"/"&amp;RIGHT("00"&amp;VALUE(TRIM(MID(MID(Sync!$L356,FIND("/",Sync!$L356)+1,20),FIND("/",MID(Sync!$L356,FIND("/",Sync!$L356)+1,20))+1,20))),2),"")))</f>
        <v/>
      </c>
    </row>
    <row r="357" spans="1:14" x14ac:dyDescent="0.2">
      <c r="A357" t="str">
        <f>IF(Issues!$B360="","",Issues!$B360)</f>
        <v/>
      </c>
      <c r="B357" t="str">
        <f>IF($A357="","",IF(ISNUMBER(Issues!$C360),IF(AND(Issues!$C360&gt;=10000101,Issues!$C360&lt;=99991231),INT(Issues!$C360/10000),""),IFERROR(VALUE(TRIM(LEFT(Issues!$C360,FIND("/",Issues!$C360)-1))),"")))</f>
        <v/>
      </c>
      <c r="C357" t="str">
        <f>IF(OR($A357="",$B357=""),"",IF(ISNUMBER(Issues!$C360),INT(MOD(Issues!$C360,10000)/100),IFERROR(VALUE(TRIM(LEFT(MID(Issues!$C360,FIND("/",Issues!$C360)+1,20),FIND("/",MID(Issues!$C360,FIND("/",Issues!$C360)+1,20))-1))),"")))</f>
        <v/>
      </c>
      <c r="D357" t="str">
        <f>IF(OR($A357="",$B357=""),"",IF(ISNUMBER(Issues!$C360),MOD(Issues!$C360,100),IFERROR(VALUE(TRIM(MID(MID(Issues!$C360,FIND("/",Issues!$C360)+1,20),FIND("/",MID(Issues!$C360,FIND("/",Issues!$C360)+1,20))+1,20))),"")))</f>
        <v/>
      </c>
      <c r="E357" t="str">
        <f t="shared" si="15"/>
        <v/>
      </c>
      <c r="F357" t="str">
        <f>IF($A357="","",IF(Issues!$D360="",0,Issues!$D360))</f>
        <v/>
      </c>
      <c r="G357" t="str">
        <f>IF($A357="","",Issues!$E360)</f>
        <v/>
      </c>
      <c r="H357" t="str">
        <f t="shared" si="16"/>
        <v/>
      </c>
      <c r="I357" t="str">
        <f t="shared" si="17"/>
        <v/>
      </c>
      <c r="J357" t="str">
        <f>IF($A357="","",Issues!$G360)</f>
        <v/>
      </c>
      <c r="K357" t="str">
        <f>IF(OR($E357="",$E357="نامعتبر"),"",LEFT($E357,4)&amp;MID($E357,6,2)&amp;RIGHT($E357,2)&amp;"|"&amp;RIGHT("00000"&amp;352,5))</f>
        <v/>
      </c>
      <c r="M357" t="str">
        <f>IF(Sync!$M357&lt;&gt;"پاس چک","",IF(Sync!$P357="","",Sync!$P357))</f>
        <v/>
      </c>
      <c r="N357" t="str">
        <f>IF($M357="","",IF(ISNUMBER(Sync!$L357),IF(AND(Sync!$L357&gt;=10000101,Sync!$L357&lt;=99991231),RIGHT("0000"&amp;INT(Sync!$L357/10000),4)&amp;"/"&amp;RIGHT("00"&amp;INT(MOD(Sync!$L357,10000)/100),2)&amp;"/"&amp;RIGHT("00"&amp;MOD(Sync!$L357,100),2),""),IFERROR(RIGHT("0000"&amp;VALUE(TRIM(LEFT(Sync!$L357,FIND("/",Sync!$L357)-1))),4)&amp;"/"&amp;RIGHT("00"&amp;VALUE(TRIM(LEFT(MID(Sync!$L357,FIND("/",Sync!$L357)+1,20),FIND("/",MID(Sync!$L357,FIND("/",Sync!$L357)+1,20))-1))),2)&amp;"/"&amp;RIGHT("00"&amp;VALUE(TRIM(MID(MID(Sync!$L357,FIND("/",Sync!$L357)+1,20),FIND("/",MID(Sync!$L357,FIND("/",Sync!$L357)+1,20))+1,20))),2),"")))</f>
        <v/>
      </c>
    </row>
    <row r="358" spans="1:14" x14ac:dyDescent="0.2">
      <c r="A358" t="str">
        <f>IF(Issues!$B361="","",Issues!$B361)</f>
        <v/>
      </c>
      <c r="B358" t="str">
        <f>IF($A358="","",IF(ISNUMBER(Issues!$C361),IF(AND(Issues!$C361&gt;=10000101,Issues!$C361&lt;=99991231),INT(Issues!$C361/10000),""),IFERROR(VALUE(TRIM(LEFT(Issues!$C361,FIND("/",Issues!$C361)-1))),"")))</f>
        <v/>
      </c>
      <c r="C358" t="str">
        <f>IF(OR($A358="",$B358=""),"",IF(ISNUMBER(Issues!$C361),INT(MOD(Issues!$C361,10000)/100),IFERROR(VALUE(TRIM(LEFT(MID(Issues!$C361,FIND("/",Issues!$C361)+1,20),FIND("/",MID(Issues!$C361,FIND("/",Issues!$C361)+1,20))-1))),"")))</f>
        <v/>
      </c>
      <c r="D358" t="str">
        <f>IF(OR($A358="",$B358=""),"",IF(ISNUMBER(Issues!$C361),MOD(Issues!$C361,100),IFERROR(VALUE(TRIM(MID(MID(Issues!$C361,FIND("/",Issues!$C361)+1,20),FIND("/",MID(Issues!$C361,FIND("/",Issues!$C361)+1,20))+1,20))),"")))</f>
        <v/>
      </c>
      <c r="E358" t="str">
        <f t="shared" si="15"/>
        <v/>
      </c>
      <c r="F358" t="str">
        <f>IF($A358="","",IF(Issues!$D361="",0,Issues!$D361))</f>
        <v/>
      </c>
      <c r="G358" t="str">
        <f>IF($A358="","",Issues!$E361)</f>
        <v/>
      </c>
      <c r="H358" t="str">
        <f t="shared" si="16"/>
        <v/>
      </c>
      <c r="I358" t="str">
        <f t="shared" si="17"/>
        <v/>
      </c>
      <c r="J358" t="str">
        <f>IF($A358="","",Issues!$G361)</f>
        <v/>
      </c>
      <c r="K358" t="str">
        <f>IF(OR($E358="",$E358="نامعتبر"),"",LEFT($E358,4)&amp;MID($E358,6,2)&amp;RIGHT($E358,2)&amp;"|"&amp;RIGHT("00000"&amp;353,5))</f>
        <v/>
      </c>
      <c r="M358" t="str">
        <f>IF(Sync!$M358&lt;&gt;"پاس چک","",IF(Sync!$P358="","",Sync!$P358))</f>
        <v/>
      </c>
      <c r="N358" t="str">
        <f>IF($M358="","",IF(ISNUMBER(Sync!$L358),IF(AND(Sync!$L358&gt;=10000101,Sync!$L358&lt;=99991231),RIGHT("0000"&amp;INT(Sync!$L358/10000),4)&amp;"/"&amp;RIGHT("00"&amp;INT(MOD(Sync!$L358,10000)/100),2)&amp;"/"&amp;RIGHT("00"&amp;MOD(Sync!$L358,100),2),""),IFERROR(RIGHT("0000"&amp;VALUE(TRIM(LEFT(Sync!$L358,FIND("/",Sync!$L358)-1))),4)&amp;"/"&amp;RIGHT("00"&amp;VALUE(TRIM(LEFT(MID(Sync!$L358,FIND("/",Sync!$L358)+1,20),FIND("/",MID(Sync!$L358,FIND("/",Sync!$L358)+1,20))-1))),2)&amp;"/"&amp;RIGHT("00"&amp;VALUE(TRIM(MID(MID(Sync!$L358,FIND("/",Sync!$L358)+1,20),FIND("/",MID(Sync!$L358,FIND("/",Sync!$L358)+1,20))+1,20))),2),"")))</f>
        <v/>
      </c>
    </row>
    <row r="359" spans="1:14" x14ac:dyDescent="0.2">
      <c r="A359" t="str">
        <f>IF(Issues!$B362="","",Issues!$B362)</f>
        <v/>
      </c>
      <c r="B359" t="str">
        <f>IF($A359="","",IF(ISNUMBER(Issues!$C362),IF(AND(Issues!$C362&gt;=10000101,Issues!$C362&lt;=99991231),INT(Issues!$C362/10000),""),IFERROR(VALUE(TRIM(LEFT(Issues!$C362,FIND("/",Issues!$C362)-1))),"")))</f>
        <v/>
      </c>
      <c r="C359" t="str">
        <f>IF(OR($A359="",$B359=""),"",IF(ISNUMBER(Issues!$C362),INT(MOD(Issues!$C362,10000)/100),IFERROR(VALUE(TRIM(LEFT(MID(Issues!$C362,FIND("/",Issues!$C362)+1,20),FIND("/",MID(Issues!$C362,FIND("/",Issues!$C362)+1,20))-1))),"")))</f>
        <v/>
      </c>
      <c r="D359" t="str">
        <f>IF(OR($A359="",$B359=""),"",IF(ISNUMBER(Issues!$C362),MOD(Issues!$C362,100),IFERROR(VALUE(TRIM(MID(MID(Issues!$C362,FIND("/",Issues!$C362)+1,20),FIND("/",MID(Issues!$C362,FIND("/",Issues!$C362)+1,20))+1,20))),"")))</f>
        <v/>
      </c>
      <c r="E359" t="str">
        <f t="shared" si="15"/>
        <v/>
      </c>
      <c r="F359" t="str">
        <f>IF($A359="","",IF(Issues!$D362="",0,Issues!$D362))</f>
        <v/>
      </c>
      <c r="G359" t="str">
        <f>IF($A359="","",Issues!$E362)</f>
        <v/>
      </c>
      <c r="H359" t="str">
        <f t="shared" si="16"/>
        <v/>
      </c>
      <c r="I359" t="str">
        <f t="shared" si="17"/>
        <v/>
      </c>
      <c r="J359" t="str">
        <f>IF($A359="","",Issues!$G362)</f>
        <v/>
      </c>
      <c r="K359" t="str">
        <f>IF(OR($E359="",$E359="نامعتبر"),"",LEFT($E359,4)&amp;MID($E359,6,2)&amp;RIGHT($E359,2)&amp;"|"&amp;RIGHT("00000"&amp;354,5))</f>
        <v/>
      </c>
      <c r="M359" t="str">
        <f>IF(Sync!$M359&lt;&gt;"پاس چک","",IF(Sync!$P359="","",Sync!$P359))</f>
        <v/>
      </c>
      <c r="N359" t="str">
        <f>IF($M359="","",IF(ISNUMBER(Sync!$L359),IF(AND(Sync!$L359&gt;=10000101,Sync!$L359&lt;=99991231),RIGHT("0000"&amp;INT(Sync!$L359/10000),4)&amp;"/"&amp;RIGHT("00"&amp;INT(MOD(Sync!$L359,10000)/100),2)&amp;"/"&amp;RIGHT("00"&amp;MOD(Sync!$L359,100),2),""),IFERROR(RIGHT("0000"&amp;VALUE(TRIM(LEFT(Sync!$L359,FIND("/",Sync!$L359)-1))),4)&amp;"/"&amp;RIGHT("00"&amp;VALUE(TRIM(LEFT(MID(Sync!$L359,FIND("/",Sync!$L359)+1,20),FIND("/",MID(Sync!$L359,FIND("/",Sync!$L359)+1,20))-1))),2)&amp;"/"&amp;RIGHT("00"&amp;VALUE(TRIM(MID(MID(Sync!$L359,FIND("/",Sync!$L359)+1,20),FIND("/",MID(Sync!$L359,FIND("/",Sync!$L359)+1,20))+1,20))),2),"")))</f>
        <v/>
      </c>
    </row>
    <row r="360" spans="1:14" x14ac:dyDescent="0.2">
      <c r="A360" t="str">
        <f>IF(Issues!$B363="","",Issues!$B363)</f>
        <v/>
      </c>
      <c r="B360" t="str">
        <f>IF($A360="","",IF(ISNUMBER(Issues!$C363),IF(AND(Issues!$C363&gt;=10000101,Issues!$C363&lt;=99991231),INT(Issues!$C363/10000),""),IFERROR(VALUE(TRIM(LEFT(Issues!$C363,FIND("/",Issues!$C363)-1))),"")))</f>
        <v/>
      </c>
      <c r="C360" t="str">
        <f>IF(OR($A360="",$B360=""),"",IF(ISNUMBER(Issues!$C363),INT(MOD(Issues!$C363,10000)/100),IFERROR(VALUE(TRIM(LEFT(MID(Issues!$C363,FIND("/",Issues!$C363)+1,20),FIND("/",MID(Issues!$C363,FIND("/",Issues!$C363)+1,20))-1))),"")))</f>
        <v/>
      </c>
      <c r="D360" t="str">
        <f>IF(OR($A360="",$B360=""),"",IF(ISNUMBER(Issues!$C363),MOD(Issues!$C363,100),IFERROR(VALUE(TRIM(MID(MID(Issues!$C363,FIND("/",Issues!$C363)+1,20),FIND("/",MID(Issues!$C363,FIND("/",Issues!$C363)+1,20))+1,20))),"")))</f>
        <v/>
      </c>
      <c r="E360" t="str">
        <f t="shared" si="15"/>
        <v/>
      </c>
      <c r="F360" t="str">
        <f>IF($A360="","",IF(Issues!$D363="",0,Issues!$D363))</f>
        <v/>
      </c>
      <c r="G360" t="str">
        <f>IF($A360="","",Issues!$E363)</f>
        <v/>
      </c>
      <c r="H360" t="str">
        <f t="shared" si="16"/>
        <v/>
      </c>
      <c r="I360" t="str">
        <f t="shared" si="17"/>
        <v/>
      </c>
      <c r="J360" t="str">
        <f>IF($A360="","",Issues!$G363)</f>
        <v/>
      </c>
      <c r="K360" t="str">
        <f>IF(OR($E360="",$E360="نامعتبر"),"",LEFT($E360,4)&amp;MID($E360,6,2)&amp;RIGHT($E360,2)&amp;"|"&amp;RIGHT("00000"&amp;355,5))</f>
        <v/>
      </c>
      <c r="M360" t="str">
        <f>IF(Sync!$M360&lt;&gt;"پاس چک","",IF(Sync!$P360="","",Sync!$P360))</f>
        <v/>
      </c>
      <c r="N360" t="str">
        <f>IF($M360="","",IF(ISNUMBER(Sync!$L360),IF(AND(Sync!$L360&gt;=10000101,Sync!$L360&lt;=99991231),RIGHT("0000"&amp;INT(Sync!$L360/10000),4)&amp;"/"&amp;RIGHT("00"&amp;INT(MOD(Sync!$L360,10000)/100),2)&amp;"/"&amp;RIGHT("00"&amp;MOD(Sync!$L360,100),2),""),IFERROR(RIGHT("0000"&amp;VALUE(TRIM(LEFT(Sync!$L360,FIND("/",Sync!$L360)-1))),4)&amp;"/"&amp;RIGHT("00"&amp;VALUE(TRIM(LEFT(MID(Sync!$L360,FIND("/",Sync!$L360)+1,20),FIND("/",MID(Sync!$L360,FIND("/",Sync!$L360)+1,20))-1))),2)&amp;"/"&amp;RIGHT("00"&amp;VALUE(TRIM(MID(MID(Sync!$L360,FIND("/",Sync!$L360)+1,20),FIND("/",MID(Sync!$L360,FIND("/",Sync!$L360)+1,20))+1,20))),2),"")))</f>
        <v/>
      </c>
    </row>
    <row r="361" spans="1:14" x14ac:dyDescent="0.2">
      <c r="A361" t="str">
        <f>IF(Issues!$B364="","",Issues!$B364)</f>
        <v/>
      </c>
      <c r="B361" t="str">
        <f>IF($A361="","",IF(ISNUMBER(Issues!$C364),IF(AND(Issues!$C364&gt;=10000101,Issues!$C364&lt;=99991231),INT(Issues!$C364/10000),""),IFERROR(VALUE(TRIM(LEFT(Issues!$C364,FIND("/",Issues!$C364)-1))),"")))</f>
        <v/>
      </c>
      <c r="C361" t="str">
        <f>IF(OR($A361="",$B361=""),"",IF(ISNUMBER(Issues!$C364),INT(MOD(Issues!$C364,10000)/100),IFERROR(VALUE(TRIM(LEFT(MID(Issues!$C364,FIND("/",Issues!$C364)+1,20),FIND("/",MID(Issues!$C364,FIND("/",Issues!$C364)+1,20))-1))),"")))</f>
        <v/>
      </c>
      <c r="D361" t="str">
        <f>IF(OR($A361="",$B361=""),"",IF(ISNUMBER(Issues!$C364),MOD(Issues!$C364,100),IFERROR(VALUE(TRIM(MID(MID(Issues!$C364,FIND("/",Issues!$C364)+1,20),FIND("/",MID(Issues!$C364,FIND("/",Issues!$C364)+1,20))+1,20))),"")))</f>
        <v/>
      </c>
      <c r="E361" t="str">
        <f t="shared" si="15"/>
        <v/>
      </c>
      <c r="F361" t="str">
        <f>IF($A361="","",IF(Issues!$D364="",0,Issues!$D364))</f>
        <v/>
      </c>
      <c r="G361" t="str">
        <f>IF($A361="","",Issues!$E364)</f>
        <v/>
      </c>
      <c r="H361" t="str">
        <f t="shared" si="16"/>
        <v/>
      </c>
      <c r="I361" t="str">
        <f t="shared" si="17"/>
        <v/>
      </c>
      <c r="J361" t="str">
        <f>IF($A361="","",Issues!$G364)</f>
        <v/>
      </c>
      <c r="K361" t="str">
        <f>IF(OR($E361="",$E361="نامعتبر"),"",LEFT($E361,4)&amp;MID($E361,6,2)&amp;RIGHT($E361,2)&amp;"|"&amp;RIGHT("00000"&amp;356,5))</f>
        <v/>
      </c>
      <c r="M361" t="str">
        <f>IF(Sync!$M361&lt;&gt;"پاس چک","",IF(Sync!$P361="","",Sync!$P361))</f>
        <v/>
      </c>
      <c r="N361" t="str">
        <f>IF($M361="","",IF(ISNUMBER(Sync!$L361),IF(AND(Sync!$L361&gt;=10000101,Sync!$L361&lt;=99991231),RIGHT("0000"&amp;INT(Sync!$L361/10000),4)&amp;"/"&amp;RIGHT("00"&amp;INT(MOD(Sync!$L361,10000)/100),2)&amp;"/"&amp;RIGHT("00"&amp;MOD(Sync!$L361,100),2),""),IFERROR(RIGHT("0000"&amp;VALUE(TRIM(LEFT(Sync!$L361,FIND("/",Sync!$L361)-1))),4)&amp;"/"&amp;RIGHT("00"&amp;VALUE(TRIM(LEFT(MID(Sync!$L361,FIND("/",Sync!$L361)+1,20),FIND("/",MID(Sync!$L361,FIND("/",Sync!$L361)+1,20))-1))),2)&amp;"/"&amp;RIGHT("00"&amp;VALUE(TRIM(MID(MID(Sync!$L361,FIND("/",Sync!$L361)+1,20),FIND("/",MID(Sync!$L361,FIND("/",Sync!$L361)+1,20))+1,20))),2),"")))</f>
        <v/>
      </c>
    </row>
    <row r="362" spans="1:14" x14ac:dyDescent="0.2">
      <c r="A362" t="str">
        <f>IF(Issues!$B365="","",Issues!$B365)</f>
        <v/>
      </c>
      <c r="B362" t="str">
        <f>IF($A362="","",IF(ISNUMBER(Issues!$C365),IF(AND(Issues!$C365&gt;=10000101,Issues!$C365&lt;=99991231),INT(Issues!$C365/10000),""),IFERROR(VALUE(TRIM(LEFT(Issues!$C365,FIND("/",Issues!$C365)-1))),"")))</f>
        <v/>
      </c>
      <c r="C362" t="str">
        <f>IF(OR($A362="",$B362=""),"",IF(ISNUMBER(Issues!$C365),INT(MOD(Issues!$C365,10000)/100),IFERROR(VALUE(TRIM(LEFT(MID(Issues!$C365,FIND("/",Issues!$C365)+1,20),FIND("/",MID(Issues!$C365,FIND("/",Issues!$C365)+1,20))-1))),"")))</f>
        <v/>
      </c>
      <c r="D362" t="str">
        <f>IF(OR($A362="",$B362=""),"",IF(ISNUMBER(Issues!$C365),MOD(Issues!$C365,100),IFERROR(VALUE(TRIM(MID(MID(Issues!$C365,FIND("/",Issues!$C365)+1,20),FIND("/",MID(Issues!$C365,FIND("/",Issues!$C365)+1,20))+1,20))),"")))</f>
        <v/>
      </c>
      <c r="E362" t="str">
        <f t="shared" si="15"/>
        <v/>
      </c>
      <c r="F362" t="str">
        <f>IF($A362="","",IF(Issues!$D365="",0,Issues!$D365))</f>
        <v/>
      </c>
      <c r="G362" t="str">
        <f>IF($A362="","",Issues!$E365)</f>
        <v/>
      </c>
      <c r="H362" t="str">
        <f t="shared" si="16"/>
        <v/>
      </c>
      <c r="I362" t="str">
        <f t="shared" si="17"/>
        <v/>
      </c>
      <c r="J362" t="str">
        <f>IF($A362="","",Issues!$G365)</f>
        <v/>
      </c>
      <c r="K362" t="str">
        <f>IF(OR($E362="",$E362="نامعتبر"),"",LEFT($E362,4)&amp;MID($E362,6,2)&amp;RIGHT($E362,2)&amp;"|"&amp;RIGHT("00000"&amp;357,5))</f>
        <v/>
      </c>
      <c r="M362" t="str">
        <f>IF(Sync!$M362&lt;&gt;"پاس چک","",IF(Sync!$P362="","",Sync!$P362))</f>
        <v/>
      </c>
      <c r="N362" t="str">
        <f>IF($M362="","",IF(ISNUMBER(Sync!$L362),IF(AND(Sync!$L362&gt;=10000101,Sync!$L362&lt;=99991231),RIGHT("0000"&amp;INT(Sync!$L362/10000),4)&amp;"/"&amp;RIGHT("00"&amp;INT(MOD(Sync!$L362,10000)/100),2)&amp;"/"&amp;RIGHT("00"&amp;MOD(Sync!$L362,100),2),""),IFERROR(RIGHT("0000"&amp;VALUE(TRIM(LEFT(Sync!$L362,FIND("/",Sync!$L362)-1))),4)&amp;"/"&amp;RIGHT("00"&amp;VALUE(TRIM(LEFT(MID(Sync!$L362,FIND("/",Sync!$L362)+1,20),FIND("/",MID(Sync!$L362,FIND("/",Sync!$L362)+1,20))-1))),2)&amp;"/"&amp;RIGHT("00"&amp;VALUE(TRIM(MID(MID(Sync!$L362,FIND("/",Sync!$L362)+1,20),FIND("/",MID(Sync!$L362,FIND("/",Sync!$L362)+1,20))+1,20))),2),"")))</f>
        <v/>
      </c>
    </row>
    <row r="363" spans="1:14" x14ac:dyDescent="0.2">
      <c r="A363" t="str">
        <f>IF(Issues!$B366="","",Issues!$B366)</f>
        <v/>
      </c>
      <c r="B363" t="str">
        <f>IF($A363="","",IF(ISNUMBER(Issues!$C366),IF(AND(Issues!$C366&gt;=10000101,Issues!$C366&lt;=99991231),INT(Issues!$C366/10000),""),IFERROR(VALUE(TRIM(LEFT(Issues!$C366,FIND("/",Issues!$C366)-1))),"")))</f>
        <v/>
      </c>
      <c r="C363" t="str">
        <f>IF(OR($A363="",$B363=""),"",IF(ISNUMBER(Issues!$C366),INT(MOD(Issues!$C366,10000)/100),IFERROR(VALUE(TRIM(LEFT(MID(Issues!$C366,FIND("/",Issues!$C366)+1,20),FIND("/",MID(Issues!$C366,FIND("/",Issues!$C366)+1,20))-1))),"")))</f>
        <v/>
      </c>
      <c r="D363" t="str">
        <f>IF(OR($A363="",$B363=""),"",IF(ISNUMBER(Issues!$C366),MOD(Issues!$C366,100),IFERROR(VALUE(TRIM(MID(MID(Issues!$C366,FIND("/",Issues!$C366)+1,20),FIND("/",MID(Issues!$C366,FIND("/",Issues!$C366)+1,20))+1,20))),"")))</f>
        <v/>
      </c>
      <c r="E363" t="str">
        <f t="shared" si="15"/>
        <v/>
      </c>
      <c r="F363" t="str">
        <f>IF($A363="","",IF(Issues!$D366="",0,Issues!$D366))</f>
        <v/>
      </c>
      <c r="G363" t="str">
        <f>IF($A363="","",Issues!$E366)</f>
        <v/>
      </c>
      <c r="H363" t="str">
        <f t="shared" si="16"/>
        <v/>
      </c>
      <c r="I363" t="str">
        <f t="shared" si="17"/>
        <v/>
      </c>
      <c r="J363" t="str">
        <f>IF($A363="","",Issues!$G366)</f>
        <v/>
      </c>
      <c r="K363" t="str">
        <f>IF(OR($E363="",$E363="نامعتبر"),"",LEFT($E363,4)&amp;MID($E363,6,2)&amp;RIGHT($E363,2)&amp;"|"&amp;RIGHT("00000"&amp;358,5))</f>
        <v/>
      </c>
      <c r="M363" t="str">
        <f>IF(Sync!$M363&lt;&gt;"پاس چک","",IF(Sync!$P363="","",Sync!$P363))</f>
        <v/>
      </c>
      <c r="N363" t="str">
        <f>IF($M363="","",IF(ISNUMBER(Sync!$L363),IF(AND(Sync!$L363&gt;=10000101,Sync!$L363&lt;=99991231),RIGHT("0000"&amp;INT(Sync!$L363/10000),4)&amp;"/"&amp;RIGHT("00"&amp;INT(MOD(Sync!$L363,10000)/100),2)&amp;"/"&amp;RIGHT("00"&amp;MOD(Sync!$L363,100),2),""),IFERROR(RIGHT("0000"&amp;VALUE(TRIM(LEFT(Sync!$L363,FIND("/",Sync!$L363)-1))),4)&amp;"/"&amp;RIGHT("00"&amp;VALUE(TRIM(LEFT(MID(Sync!$L363,FIND("/",Sync!$L363)+1,20),FIND("/",MID(Sync!$L363,FIND("/",Sync!$L363)+1,20))-1))),2)&amp;"/"&amp;RIGHT("00"&amp;VALUE(TRIM(MID(MID(Sync!$L363,FIND("/",Sync!$L363)+1,20),FIND("/",MID(Sync!$L363,FIND("/",Sync!$L363)+1,20))+1,20))),2),"")))</f>
        <v/>
      </c>
    </row>
    <row r="364" spans="1:14" x14ac:dyDescent="0.2">
      <c r="A364" t="str">
        <f>IF(Issues!$B367="","",Issues!$B367)</f>
        <v/>
      </c>
      <c r="B364" t="str">
        <f>IF($A364="","",IF(ISNUMBER(Issues!$C367),IF(AND(Issues!$C367&gt;=10000101,Issues!$C367&lt;=99991231),INT(Issues!$C367/10000),""),IFERROR(VALUE(TRIM(LEFT(Issues!$C367,FIND("/",Issues!$C367)-1))),"")))</f>
        <v/>
      </c>
      <c r="C364" t="str">
        <f>IF(OR($A364="",$B364=""),"",IF(ISNUMBER(Issues!$C367),INT(MOD(Issues!$C367,10000)/100),IFERROR(VALUE(TRIM(LEFT(MID(Issues!$C367,FIND("/",Issues!$C367)+1,20),FIND("/",MID(Issues!$C367,FIND("/",Issues!$C367)+1,20))-1))),"")))</f>
        <v/>
      </c>
      <c r="D364" t="str">
        <f>IF(OR($A364="",$B364=""),"",IF(ISNUMBER(Issues!$C367),MOD(Issues!$C367,100),IFERROR(VALUE(TRIM(MID(MID(Issues!$C367,FIND("/",Issues!$C367)+1,20),FIND("/",MID(Issues!$C367,FIND("/",Issues!$C367)+1,20))+1,20))),"")))</f>
        <v/>
      </c>
      <c r="E364" t="str">
        <f t="shared" si="15"/>
        <v/>
      </c>
      <c r="F364" t="str">
        <f>IF($A364="","",IF(Issues!$D367="",0,Issues!$D367))</f>
        <v/>
      </c>
      <c r="G364" t="str">
        <f>IF($A364="","",Issues!$E367)</f>
        <v/>
      </c>
      <c r="H364" t="str">
        <f t="shared" si="16"/>
        <v/>
      </c>
      <c r="I364" t="str">
        <f t="shared" si="17"/>
        <v/>
      </c>
      <c r="J364" t="str">
        <f>IF($A364="","",Issues!$G367)</f>
        <v/>
      </c>
      <c r="K364" t="str">
        <f>IF(OR($E364="",$E364="نامعتبر"),"",LEFT($E364,4)&amp;MID($E364,6,2)&amp;RIGHT($E364,2)&amp;"|"&amp;RIGHT("00000"&amp;359,5))</f>
        <v/>
      </c>
      <c r="M364" t="str">
        <f>IF(Sync!$M364&lt;&gt;"پاس چک","",IF(Sync!$P364="","",Sync!$P364))</f>
        <v/>
      </c>
      <c r="N364" t="str">
        <f>IF($M364="","",IF(ISNUMBER(Sync!$L364),IF(AND(Sync!$L364&gt;=10000101,Sync!$L364&lt;=99991231),RIGHT("0000"&amp;INT(Sync!$L364/10000),4)&amp;"/"&amp;RIGHT("00"&amp;INT(MOD(Sync!$L364,10000)/100),2)&amp;"/"&amp;RIGHT("00"&amp;MOD(Sync!$L364,100),2),""),IFERROR(RIGHT("0000"&amp;VALUE(TRIM(LEFT(Sync!$L364,FIND("/",Sync!$L364)-1))),4)&amp;"/"&amp;RIGHT("00"&amp;VALUE(TRIM(LEFT(MID(Sync!$L364,FIND("/",Sync!$L364)+1,20),FIND("/",MID(Sync!$L364,FIND("/",Sync!$L364)+1,20))-1))),2)&amp;"/"&amp;RIGHT("00"&amp;VALUE(TRIM(MID(MID(Sync!$L364,FIND("/",Sync!$L364)+1,20),FIND("/",MID(Sync!$L364,FIND("/",Sync!$L364)+1,20))+1,20))),2),"")))</f>
        <v/>
      </c>
    </row>
    <row r="365" spans="1:14" x14ac:dyDescent="0.2">
      <c r="A365" t="str">
        <f>IF(Issues!$B368="","",Issues!$B368)</f>
        <v/>
      </c>
      <c r="B365" t="str">
        <f>IF($A365="","",IF(ISNUMBER(Issues!$C368),IF(AND(Issues!$C368&gt;=10000101,Issues!$C368&lt;=99991231),INT(Issues!$C368/10000),""),IFERROR(VALUE(TRIM(LEFT(Issues!$C368,FIND("/",Issues!$C368)-1))),"")))</f>
        <v/>
      </c>
      <c r="C365" t="str">
        <f>IF(OR($A365="",$B365=""),"",IF(ISNUMBER(Issues!$C368),INT(MOD(Issues!$C368,10000)/100),IFERROR(VALUE(TRIM(LEFT(MID(Issues!$C368,FIND("/",Issues!$C368)+1,20),FIND("/",MID(Issues!$C368,FIND("/",Issues!$C368)+1,20))-1))),"")))</f>
        <v/>
      </c>
      <c r="D365" t="str">
        <f>IF(OR($A365="",$B365=""),"",IF(ISNUMBER(Issues!$C368),MOD(Issues!$C368,100),IFERROR(VALUE(TRIM(MID(MID(Issues!$C368,FIND("/",Issues!$C368)+1,20),FIND("/",MID(Issues!$C368,FIND("/",Issues!$C368)+1,20))+1,20))),"")))</f>
        <v/>
      </c>
      <c r="E365" t="str">
        <f t="shared" si="15"/>
        <v/>
      </c>
      <c r="F365" t="str">
        <f>IF($A365="","",IF(Issues!$D368="",0,Issues!$D368))</f>
        <v/>
      </c>
      <c r="G365" t="str">
        <f>IF($A365="","",Issues!$E368)</f>
        <v/>
      </c>
      <c r="H365" t="str">
        <f t="shared" si="16"/>
        <v/>
      </c>
      <c r="I365" t="str">
        <f t="shared" si="17"/>
        <v/>
      </c>
      <c r="J365" t="str">
        <f>IF($A365="","",Issues!$G368)</f>
        <v/>
      </c>
      <c r="K365" t="str">
        <f>IF(OR($E365="",$E365="نامعتبر"),"",LEFT($E365,4)&amp;MID($E365,6,2)&amp;RIGHT($E365,2)&amp;"|"&amp;RIGHT("00000"&amp;360,5))</f>
        <v/>
      </c>
      <c r="M365" t="str">
        <f>IF(Sync!$M365&lt;&gt;"پاس چک","",IF(Sync!$P365="","",Sync!$P365))</f>
        <v/>
      </c>
      <c r="N365" t="str">
        <f>IF($M365="","",IF(ISNUMBER(Sync!$L365),IF(AND(Sync!$L365&gt;=10000101,Sync!$L365&lt;=99991231),RIGHT("0000"&amp;INT(Sync!$L365/10000),4)&amp;"/"&amp;RIGHT("00"&amp;INT(MOD(Sync!$L365,10000)/100),2)&amp;"/"&amp;RIGHT("00"&amp;MOD(Sync!$L365,100),2),""),IFERROR(RIGHT("0000"&amp;VALUE(TRIM(LEFT(Sync!$L365,FIND("/",Sync!$L365)-1))),4)&amp;"/"&amp;RIGHT("00"&amp;VALUE(TRIM(LEFT(MID(Sync!$L365,FIND("/",Sync!$L365)+1,20),FIND("/",MID(Sync!$L365,FIND("/",Sync!$L365)+1,20))-1))),2)&amp;"/"&amp;RIGHT("00"&amp;VALUE(TRIM(MID(MID(Sync!$L365,FIND("/",Sync!$L365)+1,20),FIND("/",MID(Sync!$L365,FIND("/",Sync!$L365)+1,20))+1,20))),2),"")))</f>
        <v/>
      </c>
    </row>
    <row r="366" spans="1:14" x14ac:dyDescent="0.2">
      <c r="A366" t="str">
        <f>IF(Issues!$B369="","",Issues!$B369)</f>
        <v/>
      </c>
      <c r="B366" t="str">
        <f>IF($A366="","",IF(ISNUMBER(Issues!$C369),IF(AND(Issues!$C369&gt;=10000101,Issues!$C369&lt;=99991231),INT(Issues!$C369/10000),""),IFERROR(VALUE(TRIM(LEFT(Issues!$C369,FIND("/",Issues!$C369)-1))),"")))</f>
        <v/>
      </c>
      <c r="C366" t="str">
        <f>IF(OR($A366="",$B366=""),"",IF(ISNUMBER(Issues!$C369),INT(MOD(Issues!$C369,10000)/100),IFERROR(VALUE(TRIM(LEFT(MID(Issues!$C369,FIND("/",Issues!$C369)+1,20),FIND("/",MID(Issues!$C369,FIND("/",Issues!$C369)+1,20))-1))),"")))</f>
        <v/>
      </c>
      <c r="D366" t="str">
        <f>IF(OR($A366="",$B366=""),"",IF(ISNUMBER(Issues!$C369),MOD(Issues!$C369,100),IFERROR(VALUE(TRIM(MID(MID(Issues!$C369,FIND("/",Issues!$C369)+1,20),FIND("/",MID(Issues!$C369,FIND("/",Issues!$C369)+1,20))+1,20))),"")))</f>
        <v/>
      </c>
      <c r="E366" t="str">
        <f t="shared" si="15"/>
        <v/>
      </c>
      <c r="F366" t="str">
        <f>IF($A366="","",IF(Issues!$D369="",0,Issues!$D369))</f>
        <v/>
      </c>
      <c r="G366" t="str">
        <f>IF($A366="","",Issues!$E369)</f>
        <v/>
      </c>
      <c r="H366" t="str">
        <f t="shared" si="16"/>
        <v/>
      </c>
      <c r="I366" t="str">
        <f t="shared" si="17"/>
        <v/>
      </c>
      <c r="J366" t="str">
        <f>IF($A366="","",Issues!$G369)</f>
        <v/>
      </c>
      <c r="K366" t="str">
        <f>IF(OR($E366="",$E366="نامعتبر"),"",LEFT($E366,4)&amp;MID($E366,6,2)&amp;RIGHT($E366,2)&amp;"|"&amp;RIGHT("00000"&amp;361,5))</f>
        <v/>
      </c>
      <c r="M366" t="str">
        <f>IF(Sync!$M366&lt;&gt;"پاس چک","",IF(Sync!$P366="","",Sync!$P366))</f>
        <v/>
      </c>
      <c r="N366" t="str">
        <f>IF($M366="","",IF(ISNUMBER(Sync!$L366),IF(AND(Sync!$L366&gt;=10000101,Sync!$L366&lt;=99991231),RIGHT("0000"&amp;INT(Sync!$L366/10000),4)&amp;"/"&amp;RIGHT("00"&amp;INT(MOD(Sync!$L366,10000)/100),2)&amp;"/"&amp;RIGHT("00"&amp;MOD(Sync!$L366,100),2),""),IFERROR(RIGHT("0000"&amp;VALUE(TRIM(LEFT(Sync!$L366,FIND("/",Sync!$L366)-1))),4)&amp;"/"&amp;RIGHT("00"&amp;VALUE(TRIM(LEFT(MID(Sync!$L366,FIND("/",Sync!$L366)+1,20),FIND("/",MID(Sync!$L366,FIND("/",Sync!$L366)+1,20))-1))),2)&amp;"/"&amp;RIGHT("00"&amp;VALUE(TRIM(MID(MID(Sync!$L366,FIND("/",Sync!$L366)+1,20),FIND("/",MID(Sync!$L366,FIND("/",Sync!$L366)+1,20))+1,20))),2),"")))</f>
        <v/>
      </c>
    </row>
    <row r="367" spans="1:14" x14ac:dyDescent="0.2">
      <c r="A367" t="str">
        <f>IF(Issues!$B370="","",Issues!$B370)</f>
        <v/>
      </c>
      <c r="B367" t="str">
        <f>IF($A367="","",IF(ISNUMBER(Issues!$C370),IF(AND(Issues!$C370&gt;=10000101,Issues!$C370&lt;=99991231),INT(Issues!$C370/10000),""),IFERROR(VALUE(TRIM(LEFT(Issues!$C370,FIND("/",Issues!$C370)-1))),"")))</f>
        <v/>
      </c>
      <c r="C367" t="str">
        <f>IF(OR($A367="",$B367=""),"",IF(ISNUMBER(Issues!$C370),INT(MOD(Issues!$C370,10000)/100),IFERROR(VALUE(TRIM(LEFT(MID(Issues!$C370,FIND("/",Issues!$C370)+1,20),FIND("/",MID(Issues!$C370,FIND("/",Issues!$C370)+1,20))-1))),"")))</f>
        <v/>
      </c>
      <c r="D367" t="str">
        <f>IF(OR($A367="",$B367=""),"",IF(ISNUMBER(Issues!$C370),MOD(Issues!$C370,100),IFERROR(VALUE(TRIM(MID(MID(Issues!$C370,FIND("/",Issues!$C370)+1,20),FIND("/",MID(Issues!$C370,FIND("/",Issues!$C370)+1,20))+1,20))),"")))</f>
        <v/>
      </c>
      <c r="E367" t="str">
        <f t="shared" si="15"/>
        <v/>
      </c>
      <c r="F367" t="str">
        <f>IF($A367="","",IF(Issues!$D370="",0,Issues!$D370))</f>
        <v/>
      </c>
      <c r="G367" t="str">
        <f>IF($A367="","",Issues!$E370)</f>
        <v/>
      </c>
      <c r="H367" t="str">
        <f t="shared" si="16"/>
        <v/>
      </c>
      <c r="I367" t="str">
        <f t="shared" si="17"/>
        <v/>
      </c>
      <c r="J367" t="str">
        <f>IF($A367="","",Issues!$G370)</f>
        <v/>
      </c>
      <c r="K367" t="str">
        <f>IF(OR($E367="",$E367="نامعتبر"),"",LEFT($E367,4)&amp;MID($E367,6,2)&amp;RIGHT($E367,2)&amp;"|"&amp;RIGHT("00000"&amp;362,5))</f>
        <v/>
      </c>
      <c r="M367" t="str">
        <f>IF(Sync!$M367&lt;&gt;"پاس چک","",IF(Sync!$P367="","",Sync!$P367))</f>
        <v/>
      </c>
      <c r="N367" t="str">
        <f>IF($M367="","",IF(ISNUMBER(Sync!$L367),IF(AND(Sync!$L367&gt;=10000101,Sync!$L367&lt;=99991231),RIGHT("0000"&amp;INT(Sync!$L367/10000),4)&amp;"/"&amp;RIGHT("00"&amp;INT(MOD(Sync!$L367,10000)/100),2)&amp;"/"&amp;RIGHT("00"&amp;MOD(Sync!$L367,100),2),""),IFERROR(RIGHT("0000"&amp;VALUE(TRIM(LEFT(Sync!$L367,FIND("/",Sync!$L367)-1))),4)&amp;"/"&amp;RIGHT("00"&amp;VALUE(TRIM(LEFT(MID(Sync!$L367,FIND("/",Sync!$L367)+1,20),FIND("/",MID(Sync!$L367,FIND("/",Sync!$L367)+1,20))-1))),2)&amp;"/"&amp;RIGHT("00"&amp;VALUE(TRIM(MID(MID(Sync!$L367,FIND("/",Sync!$L367)+1,20),FIND("/",MID(Sync!$L367,FIND("/",Sync!$L367)+1,20))+1,20))),2),"")))</f>
        <v/>
      </c>
    </row>
    <row r="368" spans="1:14" x14ac:dyDescent="0.2">
      <c r="A368" t="str">
        <f>IF(Issues!$B371="","",Issues!$B371)</f>
        <v/>
      </c>
      <c r="B368" t="str">
        <f>IF($A368="","",IF(ISNUMBER(Issues!$C371),IF(AND(Issues!$C371&gt;=10000101,Issues!$C371&lt;=99991231),INT(Issues!$C371/10000),""),IFERROR(VALUE(TRIM(LEFT(Issues!$C371,FIND("/",Issues!$C371)-1))),"")))</f>
        <v/>
      </c>
      <c r="C368" t="str">
        <f>IF(OR($A368="",$B368=""),"",IF(ISNUMBER(Issues!$C371),INT(MOD(Issues!$C371,10000)/100),IFERROR(VALUE(TRIM(LEFT(MID(Issues!$C371,FIND("/",Issues!$C371)+1,20),FIND("/",MID(Issues!$C371,FIND("/",Issues!$C371)+1,20))-1))),"")))</f>
        <v/>
      </c>
      <c r="D368" t="str">
        <f>IF(OR($A368="",$B368=""),"",IF(ISNUMBER(Issues!$C371),MOD(Issues!$C371,100),IFERROR(VALUE(TRIM(MID(MID(Issues!$C371,FIND("/",Issues!$C371)+1,20),FIND("/",MID(Issues!$C371,FIND("/",Issues!$C371)+1,20))+1,20))),"")))</f>
        <v/>
      </c>
      <c r="E368" t="str">
        <f t="shared" si="15"/>
        <v/>
      </c>
      <c r="F368" t="str">
        <f>IF($A368="","",IF(Issues!$D371="",0,Issues!$D371))</f>
        <v/>
      </c>
      <c r="G368" t="str">
        <f>IF($A368="","",Issues!$E371)</f>
        <v/>
      </c>
      <c r="H368" t="str">
        <f t="shared" si="16"/>
        <v/>
      </c>
      <c r="I368" t="str">
        <f t="shared" si="17"/>
        <v/>
      </c>
      <c r="J368" t="str">
        <f>IF($A368="","",Issues!$G371)</f>
        <v/>
      </c>
      <c r="K368" t="str">
        <f>IF(OR($E368="",$E368="نامعتبر"),"",LEFT($E368,4)&amp;MID($E368,6,2)&amp;RIGHT($E368,2)&amp;"|"&amp;RIGHT("00000"&amp;363,5))</f>
        <v/>
      </c>
      <c r="M368" t="str">
        <f>IF(Sync!$M368&lt;&gt;"پاس چک","",IF(Sync!$P368="","",Sync!$P368))</f>
        <v/>
      </c>
      <c r="N368" t="str">
        <f>IF($M368="","",IF(ISNUMBER(Sync!$L368),IF(AND(Sync!$L368&gt;=10000101,Sync!$L368&lt;=99991231),RIGHT("0000"&amp;INT(Sync!$L368/10000),4)&amp;"/"&amp;RIGHT("00"&amp;INT(MOD(Sync!$L368,10000)/100),2)&amp;"/"&amp;RIGHT("00"&amp;MOD(Sync!$L368,100),2),""),IFERROR(RIGHT("0000"&amp;VALUE(TRIM(LEFT(Sync!$L368,FIND("/",Sync!$L368)-1))),4)&amp;"/"&amp;RIGHT("00"&amp;VALUE(TRIM(LEFT(MID(Sync!$L368,FIND("/",Sync!$L368)+1,20),FIND("/",MID(Sync!$L368,FIND("/",Sync!$L368)+1,20))-1))),2)&amp;"/"&amp;RIGHT("00"&amp;VALUE(TRIM(MID(MID(Sync!$L368,FIND("/",Sync!$L368)+1,20),FIND("/",MID(Sync!$L368,FIND("/",Sync!$L368)+1,20))+1,20))),2),"")))</f>
        <v/>
      </c>
    </row>
    <row r="369" spans="1:14" x14ac:dyDescent="0.2">
      <c r="A369" t="str">
        <f>IF(Issues!$B372="","",Issues!$B372)</f>
        <v/>
      </c>
      <c r="B369" t="str">
        <f>IF($A369="","",IF(ISNUMBER(Issues!$C372),IF(AND(Issues!$C372&gt;=10000101,Issues!$C372&lt;=99991231),INT(Issues!$C372/10000),""),IFERROR(VALUE(TRIM(LEFT(Issues!$C372,FIND("/",Issues!$C372)-1))),"")))</f>
        <v/>
      </c>
      <c r="C369" t="str">
        <f>IF(OR($A369="",$B369=""),"",IF(ISNUMBER(Issues!$C372),INT(MOD(Issues!$C372,10000)/100),IFERROR(VALUE(TRIM(LEFT(MID(Issues!$C372,FIND("/",Issues!$C372)+1,20),FIND("/",MID(Issues!$C372,FIND("/",Issues!$C372)+1,20))-1))),"")))</f>
        <v/>
      </c>
      <c r="D369" t="str">
        <f>IF(OR($A369="",$B369=""),"",IF(ISNUMBER(Issues!$C372),MOD(Issues!$C372,100),IFERROR(VALUE(TRIM(MID(MID(Issues!$C372,FIND("/",Issues!$C372)+1,20),FIND("/",MID(Issues!$C372,FIND("/",Issues!$C372)+1,20))+1,20))),"")))</f>
        <v/>
      </c>
      <c r="E369" t="str">
        <f t="shared" si="15"/>
        <v/>
      </c>
      <c r="F369" t="str">
        <f>IF($A369="","",IF(Issues!$D372="",0,Issues!$D372))</f>
        <v/>
      </c>
      <c r="G369" t="str">
        <f>IF($A369="","",Issues!$E372)</f>
        <v/>
      </c>
      <c r="H369" t="str">
        <f t="shared" si="16"/>
        <v/>
      </c>
      <c r="I369" t="str">
        <f t="shared" si="17"/>
        <v/>
      </c>
      <c r="J369" t="str">
        <f>IF($A369="","",Issues!$G372)</f>
        <v/>
      </c>
      <c r="K369" t="str">
        <f>IF(OR($E369="",$E369="نامعتبر"),"",LEFT($E369,4)&amp;MID($E369,6,2)&amp;RIGHT($E369,2)&amp;"|"&amp;RIGHT("00000"&amp;364,5))</f>
        <v/>
      </c>
      <c r="M369" t="str">
        <f>IF(Sync!$M369&lt;&gt;"پاس چک","",IF(Sync!$P369="","",Sync!$P369))</f>
        <v/>
      </c>
      <c r="N369" t="str">
        <f>IF($M369="","",IF(ISNUMBER(Sync!$L369),IF(AND(Sync!$L369&gt;=10000101,Sync!$L369&lt;=99991231),RIGHT("0000"&amp;INT(Sync!$L369/10000),4)&amp;"/"&amp;RIGHT("00"&amp;INT(MOD(Sync!$L369,10000)/100),2)&amp;"/"&amp;RIGHT("00"&amp;MOD(Sync!$L369,100),2),""),IFERROR(RIGHT("0000"&amp;VALUE(TRIM(LEFT(Sync!$L369,FIND("/",Sync!$L369)-1))),4)&amp;"/"&amp;RIGHT("00"&amp;VALUE(TRIM(LEFT(MID(Sync!$L369,FIND("/",Sync!$L369)+1,20),FIND("/",MID(Sync!$L369,FIND("/",Sync!$L369)+1,20))-1))),2)&amp;"/"&amp;RIGHT("00"&amp;VALUE(TRIM(MID(MID(Sync!$L369,FIND("/",Sync!$L369)+1,20),FIND("/",MID(Sync!$L369,FIND("/",Sync!$L369)+1,20))+1,20))),2),"")))</f>
        <v/>
      </c>
    </row>
    <row r="370" spans="1:14" x14ac:dyDescent="0.2">
      <c r="A370" t="str">
        <f>IF(Issues!$B373="","",Issues!$B373)</f>
        <v/>
      </c>
      <c r="B370" t="str">
        <f>IF($A370="","",IF(ISNUMBER(Issues!$C373),IF(AND(Issues!$C373&gt;=10000101,Issues!$C373&lt;=99991231),INT(Issues!$C373/10000),""),IFERROR(VALUE(TRIM(LEFT(Issues!$C373,FIND("/",Issues!$C373)-1))),"")))</f>
        <v/>
      </c>
      <c r="C370" t="str">
        <f>IF(OR($A370="",$B370=""),"",IF(ISNUMBER(Issues!$C373),INT(MOD(Issues!$C373,10000)/100),IFERROR(VALUE(TRIM(LEFT(MID(Issues!$C373,FIND("/",Issues!$C373)+1,20),FIND("/",MID(Issues!$C373,FIND("/",Issues!$C373)+1,20))-1))),"")))</f>
        <v/>
      </c>
      <c r="D370" t="str">
        <f>IF(OR($A370="",$B370=""),"",IF(ISNUMBER(Issues!$C373),MOD(Issues!$C373,100),IFERROR(VALUE(TRIM(MID(MID(Issues!$C373,FIND("/",Issues!$C373)+1,20),FIND("/",MID(Issues!$C373,FIND("/",Issues!$C373)+1,20))+1,20))),"")))</f>
        <v/>
      </c>
      <c r="E370" t="str">
        <f t="shared" si="15"/>
        <v/>
      </c>
      <c r="F370" t="str">
        <f>IF($A370="","",IF(Issues!$D373="",0,Issues!$D373))</f>
        <v/>
      </c>
      <c r="G370" t="str">
        <f>IF($A370="","",Issues!$E373)</f>
        <v/>
      </c>
      <c r="H370" t="str">
        <f t="shared" si="16"/>
        <v/>
      </c>
      <c r="I370" t="str">
        <f t="shared" si="17"/>
        <v/>
      </c>
      <c r="J370" t="str">
        <f>IF($A370="","",Issues!$G373)</f>
        <v/>
      </c>
      <c r="K370" t="str">
        <f>IF(OR($E370="",$E370="نامعتبر"),"",LEFT($E370,4)&amp;MID($E370,6,2)&amp;RIGHT($E370,2)&amp;"|"&amp;RIGHT("00000"&amp;365,5))</f>
        <v/>
      </c>
      <c r="M370" t="str">
        <f>IF(Sync!$M370&lt;&gt;"پاس چک","",IF(Sync!$P370="","",Sync!$P370))</f>
        <v/>
      </c>
      <c r="N370" t="str">
        <f>IF($M370="","",IF(ISNUMBER(Sync!$L370),IF(AND(Sync!$L370&gt;=10000101,Sync!$L370&lt;=99991231),RIGHT("0000"&amp;INT(Sync!$L370/10000),4)&amp;"/"&amp;RIGHT("00"&amp;INT(MOD(Sync!$L370,10000)/100),2)&amp;"/"&amp;RIGHT("00"&amp;MOD(Sync!$L370,100),2),""),IFERROR(RIGHT("0000"&amp;VALUE(TRIM(LEFT(Sync!$L370,FIND("/",Sync!$L370)-1))),4)&amp;"/"&amp;RIGHT("00"&amp;VALUE(TRIM(LEFT(MID(Sync!$L370,FIND("/",Sync!$L370)+1,20),FIND("/",MID(Sync!$L370,FIND("/",Sync!$L370)+1,20))-1))),2)&amp;"/"&amp;RIGHT("00"&amp;VALUE(TRIM(MID(MID(Sync!$L370,FIND("/",Sync!$L370)+1,20),FIND("/",MID(Sync!$L370,FIND("/",Sync!$L370)+1,20))+1,20))),2),"")))</f>
        <v/>
      </c>
    </row>
    <row r="371" spans="1:14" x14ac:dyDescent="0.2">
      <c r="A371" t="str">
        <f>IF(Issues!$B374="","",Issues!$B374)</f>
        <v/>
      </c>
      <c r="B371" t="str">
        <f>IF($A371="","",IF(ISNUMBER(Issues!$C374),IF(AND(Issues!$C374&gt;=10000101,Issues!$C374&lt;=99991231),INT(Issues!$C374/10000),""),IFERROR(VALUE(TRIM(LEFT(Issues!$C374,FIND("/",Issues!$C374)-1))),"")))</f>
        <v/>
      </c>
      <c r="C371" t="str">
        <f>IF(OR($A371="",$B371=""),"",IF(ISNUMBER(Issues!$C374),INT(MOD(Issues!$C374,10000)/100),IFERROR(VALUE(TRIM(LEFT(MID(Issues!$C374,FIND("/",Issues!$C374)+1,20),FIND("/",MID(Issues!$C374,FIND("/",Issues!$C374)+1,20))-1))),"")))</f>
        <v/>
      </c>
      <c r="D371" t="str">
        <f>IF(OR($A371="",$B371=""),"",IF(ISNUMBER(Issues!$C374),MOD(Issues!$C374,100),IFERROR(VALUE(TRIM(MID(MID(Issues!$C374,FIND("/",Issues!$C374)+1,20),FIND("/",MID(Issues!$C374,FIND("/",Issues!$C374)+1,20))+1,20))),"")))</f>
        <v/>
      </c>
      <c r="E371" t="str">
        <f t="shared" si="15"/>
        <v/>
      </c>
      <c r="F371" t="str">
        <f>IF($A371="","",IF(Issues!$D374="",0,Issues!$D374))</f>
        <v/>
      </c>
      <c r="G371" t="str">
        <f>IF($A371="","",Issues!$E374)</f>
        <v/>
      </c>
      <c r="H371" t="str">
        <f t="shared" si="16"/>
        <v/>
      </c>
      <c r="I371" t="str">
        <f t="shared" si="17"/>
        <v/>
      </c>
      <c r="J371" t="str">
        <f>IF($A371="","",Issues!$G374)</f>
        <v/>
      </c>
      <c r="K371" t="str">
        <f>IF(OR($E371="",$E371="نامعتبر"),"",LEFT($E371,4)&amp;MID($E371,6,2)&amp;RIGHT($E371,2)&amp;"|"&amp;RIGHT("00000"&amp;366,5))</f>
        <v/>
      </c>
      <c r="M371" t="str">
        <f>IF(Sync!$M371&lt;&gt;"پاس چک","",IF(Sync!$P371="","",Sync!$P371))</f>
        <v/>
      </c>
      <c r="N371" t="str">
        <f>IF($M371="","",IF(ISNUMBER(Sync!$L371),IF(AND(Sync!$L371&gt;=10000101,Sync!$L371&lt;=99991231),RIGHT("0000"&amp;INT(Sync!$L371/10000),4)&amp;"/"&amp;RIGHT("00"&amp;INT(MOD(Sync!$L371,10000)/100),2)&amp;"/"&amp;RIGHT("00"&amp;MOD(Sync!$L371,100),2),""),IFERROR(RIGHT("0000"&amp;VALUE(TRIM(LEFT(Sync!$L371,FIND("/",Sync!$L371)-1))),4)&amp;"/"&amp;RIGHT("00"&amp;VALUE(TRIM(LEFT(MID(Sync!$L371,FIND("/",Sync!$L371)+1,20),FIND("/",MID(Sync!$L371,FIND("/",Sync!$L371)+1,20))-1))),2)&amp;"/"&amp;RIGHT("00"&amp;VALUE(TRIM(MID(MID(Sync!$L371,FIND("/",Sync!$L371)+1,20),FIND("/",MID(Sync!$L371,FIND("/",Sync!$L371)+1,20))+1,20))),2),"")))</f>
        <v/>
      </c>
    </row>
    <row r="372" spans="1:14" x14ac:dyDescent="0.2">
      <c r="A372" t="str">
        <f>IF(Issues!$B375="","",Issues!$B375)</f>
        <v/>
      </c>
      <c r="B372" t="str">
        <f>IF($A372="","",IF(ISNUMBER(Issues!$C375),IF(AND(Issues!$C375&gt;=10000101,Issues!$C375&lt;=99991231),INT(Issues!$C375/10000),""),IFERROR(VALUE(TRIM(LEFT(Issues!$C375,FIND("/",Issues!$C375)-1))),"")))</f>
        <v/>
      </c>
      <c r="C372" t="str">
        <f>IF(OR($A372="",$B372=""),"",IF(ISNUMBER(Issues!$C375),INT(MOD(Issues!$C375,10000)/100),IFERROR(VALUE(TRIM(LEFT(MID(Issues!$C375,FIND("/",Issues!$C375)+1,20),FIND("/",MID(Issues!$C375,FIND("/",Issues!$C375)+1,20))-1))),"")))</f>
        <v/>
      </c>
      <c r="D372" t="str">
        <f>IF(OR($A372="",$B372=""),"",IF(ISNUMBER(Issues!$C375),MOD(Issues!$C375,100),IFERROR(VALUE(TRIM(MID(MID(Issues!$C375,FIND("/",Issues!$C375)+1,20),FIND("/",MID(Issues!$C375,FIND("/",Issues!$C375)+1,20))+1,20))),"")))</f>
        <v/>
      </c>
      <c r="E372" t="str">
        <f t="shared" si="15"/>
        <v/>
      </c>
      <c r="F372" t="str">
        <f>IF($A372="","",IF(Issues!$D375="",0,Issues!$D375))</f>
        <v/>
      </c>
      <c r="G372" t="str">
        <f>IF($A372="","",Issues!$E375)</f>
        <v/>
      </c>
      <c r="H372" t="str">
        <f t="shared" si="16"/>
        <v/>
      </c>
      <c r="I372" t="str">
        <f t="shared" si="17"/>
        <v/>
      </c>
      <c r="J372" t="str">
        <f>IF($A372="","",Issues!$G375)</f>
        <v/>
      </c>
      <c r="K372" t="str">
        <f>IF(OR($E372="",$E372="نامعتبر"),"",LEFT($E372,4)&amp;MID($E372,6,2)&amp;RIGHT($E372,2)&amp;"|"&amp;RIGHT("00000"&amp;367,5))</f>
        <v/>
      </c>
      <c r="M372" t="str">
        <f>IF(Sync!$M372&lt;&gt;"پاس چک","",IF(Sync!$P372="","",Sync!$P372))</f>
        <v/>
      </c>
      <c r="N372" t="str">
        <f>IF($M372="","",IF(ISNUMBER(Sync!$L372),IF(AND(Sync!$L372&gt;=10000101,Sync!$L372&lt;=99991231),RIGHT("0000"&amp;INT(Sync!$L372/10000),4)&amp;"/"&amp;RIGHT("00"&amp;INT(MOD(Sync!$L372,10000)/100),2)&amp;"/"&amp;RIGHT("00"&amp;MOD(Sync!$L372,100),2),""),IFERROR(RIGHT("0000"&amp;VALUE(TRIM(LEFT(Sync!$L372,FIND("/",Sync!$L372)-1))),4)&amp;"/"&amp;RIGHT("00"&amp;VALUE(TRIM(LEFT(MID(Sync!$L372,FIND("/",Sync!$L372)+1,20),FIND("/",MID(Sync!$L372,FIND("/",Sync!$L372)+1,20))-1))),2)&amp;"/"&amp;RIGHT("00"&amp;VALUE(TRIM(MID(MID(Sync!$L372,FIND("/",Sync!$L372)+1,20),FIND("/",MID(Sync!$L372,FIND("/",Sync!$L372)+1,20))+1,20))),2),"")))</f>
        <v/>
      </c>
    </row>
    <row r="373" spans="1:14" x14ac:dyDescent="0.2">
      <c r="A373" t="str">
        <f>IF(Issues!$B376="","",Issues!$B376)</f>
        <v/>
      </c>
      <c r="B373" t="str">
        <f>IF($A373="","",IF(ISNUMBER(Issues!$C376),IF(AND(Issues!$C376&gt;=10000101,Issues!$C376&lt;=99991231),INT(Issues!$C376/10000),""),IFERROR(VALUE(TRIM(LEFT(Issues!$C376,FIND("/",Issues!$C376)-1))),"")))</f>
        <v/>
      </c>
      <c r="C373" t="str">
        <f>IF(OR($A373="",$B373=""),"",IF(ISNUMBER(Issues!$C376),INT(MOD(Issues!$C376,10000)/100),IFERROR(VALUE(TRIM(LEFT(MID(Issues!$C376,FIND("/",Issues!$C376)+1,20),FIND("/",MID(Issues!$C376,FIND("/",Issues!$C376)+1,20))-1))),"")))</f>
        <v/>
      </c>
      <c r="D373" t="str">
        <f>IF(OR($A373="",$B373=""),"",IF(ISNUMBER(Issues!$C376),MOD(Issues!$C376,100),IFERROR(VALUE(TRIM(MID(MID(Issues!$C376,FIND("/",Issues!$C376)+1,20),FIND("/",MID(Issues!$C376,FIND("/",Issues!$C376)+1,20))+1,20))),"")))</f>
        <v/>
      </c>
      <c r="E373" t="str">
        <f t="shared" si="15"/>
        <v/>
      </c>
      <c r="F373" t="str">
        <f>IF($A373="","",IF(Issues!$D376="",0,Issues!$D376))</f>
        <v/>
      </c>
      <c r="G373" t="str">
        <f>IF($A373="","",Issues!$E376)</f>
        <v/>
      </c>
      <c r="H373" t="str">
        <f t="shared" si="16"/>
        <v/>
      </c>
      <c r="I373" t="str">
        <f t="shared" si="17"/>
        <v/>
      </c>
      <c r="J373" t="str">
        <f>IF($A373="","",Issues!$G376)</f>
        <v/>
      </c>
      <c r="K373" t="str">
        <f>IF(OR($E373="",$E373="نامعتبر"),"",LEFT($E373,4)&amp;MID($E373,6,2)&amp;RIGHT($E373,2)&amp;"|"&amp;RIGHT("00000"&amp;368,5))</f>
        <v/>
      </c>
      <c r="M373" t="str">
        <f>IF(Sync!$M373&lt;&gt;"پاس چک","",IF(Sync!$P373="","",Sync!$P373))</f>
        <v/>
      </c>
      <c r="N373" t="str">
        <f>IF($M373="","",IF(ISNUMBER(Sync!$L373),IF(AND(Sync!$L373&gt;=10000101,Sync!$L373&lt;=99991231),RIGHT("0000"&amp;INT(Sync!$L373/10000),4)&amp;"/"&amp;RIGHT("00"&amp;INT(MOD(Sync!$L373,10000)/100),2)&amp;"/"&amp;RIGHT("00"&amp;MOD(Sync!$L373,100),2),""),IFERROR(RIGHT("0000"&amp;VALUE(TRIM(LEFT(Sync!$L373,FIND("/",Sync!$L373)-1))),4)&amp;"/"&amp;RIGHT("00"&amp;VALUE(TRIM(LEFT(MID(Sync!$L373,FIND("/",Sync!$L373)+1,20),FIND("/",MID(Sync!$L373,FIND("/",Sync!$L373)+1,20))-1))),2)&amp;"/"&amp;RIGHT("00"&amp;VALUE(TRIM(MID(MID(Sync!$L373,FIND("/",Sync!$L373)+1,20),FIND("/",MID(Sync!$L373,FIND("/",Sync!$L373)+1,20))+1,20))),2),"")))</f>
        <v/>
      </c>
    </row>
    <row r="374" spans="1:14" x14ac:dyDescent="0.2">
      <c r="A374" t="str">
        <f>IF(Issues!$B377="","",Issues!$B377)</f>
        <v/>
      </c>
      <c r="B374" t="str">
        <f>IF($A374="","",IF(ISNUMBER(Issues!$C377),IF(AND(Issues!$C377&gt;=10000101,Issues!$C377&lt;=99991231),INT(Issues!$C377/10000),""),IFERROR(VALUE(TRIM(LEFT(Issues!$C377,FIND("/",Issues!$C377)-1))),"")))</f>
        <v/>
      </c>
      <c r="C374" t="str">
        <f>IF(OR($A374="",$B374=""),"",IF(ISNUMBER(Issues!$C377),INT(MOD(Issues!$C377,10000)/100),IFERROR(VALUE(TRIM(LEFT(MID(Issues!$C377,FIND("/",Issues!$C377)+1,20),FIND("/",MID(Issues!$C377,FIND("/",Issues!$C377)+1,20))-1))),"")))</f>
        <v/>
      </c>
      <c r="D374" t="str">
        <f>IF(OR($A374="",$B374=""),"",IF(ISNUMBER(Issues!$C377),MOD(Issues!$C377,100),IFERROR(VALUE(TRIM(MID(MID(Issues!$C377,FIND("/",Issues!$C377)+1,20),FIND("/",MID(Issues!$C377,FIND("/",Issues!$C377)+1,20))+1,20))),"")))</f>
        <v/>
      </c>
      <c r="E374" t="str">
        <f t="shared" si="15"/>
        <v/>
      </c>
      <c r="F374" t="str">
        <f>IF($A374="","",IF(Issues!$D377="",0,Issues!$D377))</f>
        <v/>
      </c>
      <c r="G374" t="str">
        <f>IF($A374="","",Issues!$E377)</f>
        <v/>
      </c>
      <c r="H374" t="str">
        <f t="shared" si="16"/>
        <v/>
      </c>
      <c r="I374" t="str">
        <f t="shared" si="17"/>
        <v/>
      </c>
      <c r="J374" t="str">
        <f>IF($A374="","",Issues!$G377)</f>
        <v/>
      </c>
      <c r="K374" t="str">
        <f>IF(OR($E374="",$E374="نامعتبر"),"",LEFT($E374,4)&amp;MID($E374,6,2)&amp;RIGHT($E374,2)&amp;"|"&amp;RIGHT("00000"&amp;369,5))</f>
        <v/>
      </c>
      <c r="M374" t="str">
        <f>IF(Sync!$M374&lt;&gt;"پاس چک","",IF(Sync!$P374="","",Sync!$P374))</f>
        <v/>
      </c>
      <c r="N374" t="str">
        <f>IF($M374="","",IF(ISNUMBER(Sync!$L374),IF(AND(Sync!$L374&gt;=10000101,Sync!$L374&lt;=99991231),RIGHT("0000"&amp;INT(Sync!$L374/10000),4)&amp;"/"&amp;RIGHT("00"&amp;INT(MOD(Sync!$L374,10000)/100),2)&amp;"/"&amp;RIGHT("00"&amp;MOD(Sync!$L374,100),2),""),IFERROR(RIGHT("0000"&amp;VALUE(TRIM(LEFT(Sync!$L374,FIND("/",Sync!$L374)-1))),4)&amp;"/"&amp;RIGHT("00"&amp;VALUE(TRIM(LEFT(MID(Sync!$L374,FIND("/",Sync!$L374)+1,20),FIND("/",MID(Sync!$L374,FIND("/",Sync!$L374)+1,20))-1))),2)&amp;"/"&amp;RIGHT("00"&amp;VALUE(TRIM(MID(MID(Sync!$L374,FIND("/",Sync!$L374)+1,20),FIND("/",MID(Sync!$L374,FIND("/",Sync!$L374)+1,20))+1,20))),2),"")))</f>
        <v/>
      </c>
    </row>
    <row r="375" spans="1:14" x14ac:dyDescent="0.2">
      <c r="A375" t="str">
        <f>IF(Issues!$B378="","",Issues!$B378)</f>
        <v/>
      </c>
      <c r="B375" t="str">
        <f>IF($A375="","",IF(ISNUMBER(Issues!$C378),IF(AND(Issues!$C378&gt;=10000101,Issues!$C378&lt;=99991231),INT(Issues!$C378/10000),""),IFERROR(VALUE(TRIM(LEFT(Issues!$C378,FIND("/",Issues!$C378)-1))),"")))</f>
        <v/>
      </c>
      <c r="C375" t="str">
        <f>IF(OR($A375="",$B375=""),"",IF(ISNUMBER(Issues!$C378),INT(MOD(Issues!$C378,10000)/100),IFERROR(VALUE(TRIM(LEFT(MID(Issues!$C378,FIND("/",Issues!$C378)+1,20),FIND("/",MID(Issues!$C378,FIND("/",Issues!$C378)+1,20))-1))),"")))</f>
        <v/>
      </c>
      <c r="D375" t="str">
        <f>IF(OR($A375="",$B375=""),"",IF(ISNUMBER(Issues!$C378),MOD(Issues!$C378,100),IFERROR(VALUE(TRIM(MID(MID(Issues!$C378,FIND("/",Issues!$C378)+1,20),FIND("/",MID(Issues!$C378,FIND("/",Issues!$C378)+1,20))+1,20))),"")))</f>
        <v/>
      </c>
      <c r="E375" t="str">
        <f t="shared" si="15"/>
        <v/>
      </c>
      <c r="F375" t="str">
        <f>IF($A375="","",IF(Issues!$D378="",0,Issues!$D378))</f>
        <v/>
      </c>
      <c r="G375" t="str">
        <f>IF($A375="","",Issues!$E378)</f>
        <v/>
      </c>
      <c r="H375" t="str">
        <f t="shared" si="16"/>
        <v/>
      </c>
      <c r="I375" t="str">
        <f t="shared" si="17"/>
        <v/>
      </c>
      <c r="J375" t="str">
        <f>IF($A375="","",Issues!$G378)</f>
        <v/>
      </c>
      <c r="K375" t="str">
        <f>IF(OR($E375="",$E375="نامعتبر"),"",LEFT($E375,4)&amp;MID($E375,6,2)&amp;RIGHT($E375,2)&amp;"|"&amp;RIGHT("00000"&amp;370,5))</f>
        <v/>
      </c>
      <c r="M375" t="str">
        <f>IF(Sync!$M375&lt;&gt;"پاس چک","",IF(Sync!$P375="","",Sync!$P375))</f>
        <v/>
      </c>
      <c r="N375" t="str">
        <f>IF($M375="","",IF(ISNUMBER(Sync!$L375),IF(AND(Sync!$L375&gt;=10000101,Sync!$L375&lt;=99991231),RIGHT("0000"&amp;INT(Sync!$L375/10000),4)&amp;"/"&amp;RIGHT("00"&amp;INT(MOD(Sync!$L375,10000)/100),2)&amp;"/"&amp;RIGHT("00"&amp;MOD(Sync!$L375,100),2),""),IFERROR(RIGHT("0000"&amp;VALUE(TRIM(LEFT(Sync!$L375,FIND("/",Sync!$L375)-1))),4)&amp;"/"&amp;RIGHT("00"&amp;VALUE(TRIM(LEFT(MID(Sync!$L375,FIND("/",Sync!$L375)+1,20),FIND("/",MID(Sync!$L375,FIND("/",Sync!$L375)+1,20))-1))),2)&amp;"/"&amp;RIGHT("00"&amp;VALUE(TRIM(MID(MID(Sync!$L375,FIND("/",Sync!$L375)+1,20),FIND("/",MID(Sync!$L375,FIND("/",Sync!$L375)+1,20))+1,20))),2),"")))</f>
        <v/>
      </c>
    </row>
    <row r="376" spans="1:14" x14ac:dyDescent="0.2">
      <c r="A376" t="str">
        <f>IF(Issues!$B379="","",Issues!$B379)</f>
        <v/>
      </c>
      <c r="B376" t="str">
        <f>IF($A376="","",IF(ISNUMBER(Issues!$C379),IF(AND(Issues!$C379&gt;=10000101,Issues!$C379&lt;=99991231),INT(Issues!$C379/10000),""),IFERROR(VALUE(TRIM(LEFT(Issues!$C379,FIND("/",Issues!$C379)-1))),"")))</f>
        <v/>
      </c>
      <c r="C376" t="str">
        <f>IF(OR($A376="",$B376=""),"",IF(ISNUMBER(Issues!$C379),INT(MOD(Issues!$C379,10000)/100),IFERROR(VALUE(TRIM(LEFT(MID(Issues!$C379,FIND("/",Issues!$C379)+1,20),FIND("/",MID(Issues!$C379,FIND("/",Issues!$C379)+1,20))-1))),"")))</f>
        <v/>
      </c>
      <c r="D376" t="str">
        <f>IF(OR($A376="",$B376=""),"",IF(ISNUMBER(Issues!$C379),MOD(Issues!$C379,100),IFERROR(VALUE(TRIM(MID(MID(Issues!$C379,FIND("/",Issues!$C379)+1,20),FIND("/",MID(Issues!$C379,FIND("/",Issues!$C379)+1,20))+1,20))),"")))</f>
        <v/>
      </c>
      <c r="E376" t="str">
        <f t="shared" si="15"/>
        <v/>
      </c>
      <c r="F376" t="str">
        <f>IF($A376="","",IF(Issues!$D379="",0,Issues!$D379))</f>
        <v/>
      </c>
      <c r="G376" t="str">
        <f>IF($A376="","",Issues!$E379)</f>
        <v/>
      </c>
      <c r="H376" t="str">
        <f t="shared" si="16"/>
        <v/>
      </c>
      <c r="I376" t="str">
        <f t="shared" si="17"/>
        <v/>
      </c>
      <c r="J376" t="str">
        <f>IF($A376="","",Issues!$G379)</f>
        <v/>
      </c>
      <c r="K376" t="str">
        <f>IF(OR($E376="",$E376="نامعتبر"),"",LEFT($E376,4)&amp;MID($E376,6,2)&amp;RIGHT($E376,2)&amp;"|"&amp;RIGHT("00000"&amp;371,5))</f>
        <v/>
      </c>
      <c r="M376" t="str">
        <f>IF(Sync!$M376&lt;&gt;"پاس چک","",IF(Sync!$P376="","",Sync!$P376))</f>
        <v/>
      </c>
      <c r="N376" t="str">
        <f>IF($M376="","",IF(ISNUMBER(Sync!$L376),IF(AND(Sync!$L376&gt;=10000101,Sync!$L376&lt;=99991231),RIGHT("0000"&amp;INT(Sync!$L376/10000),4)&amp;"/"&amp;RIGHT("00"&amp;INT(MOD(Sync!$L376,10000)/100),2)&amp;"/"&amp;RIGHT("00"&amp;MOD(Sync!$L376,100),2),""),IFERROR(RIGHT("0000"&amp;VALUE(TRIM(LEFT(Sync!$L376,FIND("/",Sync!$L376)-1))),4)&amp;"/"&amp;RIGHT("00"&amp;VALUE(TRIM(LEFT(MID(Sync!$L376,FIND("/",Sync!$L376)+1,20),FIND("/",MID(Sync!$L376,FIND("/",Sync!$L376)+1,20))-1))),2)&amp;"/"&amp;RIGHT("00"&amp;VALUE(TRIM(MID(MID(Sync!$L376,FIND("/",Sync!$L376)+1,20),FIND("/",MID(Sync!$L376,FIND("/",Sync!$L376)+1,20))+1,20))),2),"")))</f>
        <v/>
      </c>
    </row>
    <row r="377" spans="1:14" x14ac:dyDescent="0.2">
      <c r="A377" t="str">
        <f>IF(Issues!$B380="","",Issues!$B380)</f>
        <v/>
      </c>
      <c r="B377" t="str">
        <f>IF($A377="","",IF(ISNUMBER(Issues!$C380),IF(AND(Issues!$C380&gt;=10000101,Issues!$C380&lt;=99991231),INT(Issues!$C380/10000),""),IFERROR(VALUE(TRIM(LEFT(Issues!$C380,FIND("/",Issues!$C380)-1))),"")))</f>
        <v/>
      </c>
      <c r="C377" t="str">
        <f>IF(OR($A377="",$B377=""),"",IF(ISNUMBER(Issues!$C380),INT(MOD(Issues!$C380,10000)/100),IFERROR(VALUE(TRIM(LEFT(MID(Issues!$C380,FIND("/",Issues!$C380)+1,20),FIND("/",MID(Issues!$C380,FIND("/",Issues!$C380)+1,20))-1))),"")))</f>
        <v/>
      </c>
      <c r="D377" t="str">
        <f>IF(OR($A377="",$B377=""),"",IF(ISNUMBER(Issues!$C380),MOD(Issues!$C380,100),IFERROR(VALUE(TRIM(MID(MID(Issues!$C380,FIND("/",Issues!$C380)+1,20),FIND("/",MID(Issues!$C380,FIND("/",Issues!$C380)+1,20))+1,20))),"")))</f>
        <v/>
      </c>
      <c r="E377" t="str">
        <f t="shared" si="15"/>
        <v/>
      </c>
      <c r="F377" t="str">
        <f>IF($A377="","",IF(Issues!$D380="",0,Issues!$D380))</f>
        <v/>
      </c>
      <c r="G377" t="str">
        <f>IF($A377="","",Issues!$E380)</f>
        <v/>
      </c>
      <c r="H377" t="str">
        <f t="shared" si="16"/>
        <v/>
      </c>
      <c r="I377" t="str">
        <f t="shared" si="17"/>
        <v/>
      </c>
      <c r="J377" t="str">
        <f>IF($A377="","",Issues!$G380)</f>
        <v/>
      </c>
      <c r="K377" t="str">
        <f>IF(OR($E377="",$E377="نامعتبر"),"",LEFT($E377,4)&amp;MID($E377,6,2)&amp;RIGHT($E377,2)&amp;"|"&amp;RIGHT("00000"&amp;372,5))</f>
        <v/>
      </c>
      <c r="M377" t="str">
        <f>IF(Sync!$M377&lt;&gt;"پاس چک","",IF(Sync!$P377="","",Sync!$P377))</f>
        <v/>
      </c>
      <c r="N377" t="str">
        <f>IF($M377="","",IF(ISNUMBER(Sync!$L377),IF(AND(Sync!$L377&gt;=10000101,Sync!$L377&lt;=99991231),RIGHT("0000"&amp;INT(Sync!$L377/10000),4)&amp;"/"&amp;RIGHT("00"&amp;INT(MOD(Sync!$L377,10000)/100),2)&amp;"/"&amp;RIGHT("00"&amp;MOD(Sync!$L377,100),2),""),IFERROR(RIGHT("0000"&amp;VALUE(TRIM(LEFT(Sync!$L377,FIND("/",Sync!$L377)-1))),4)&amp;"/"&amp;RIGHT("00"&amp;VALUE(TRIM(LEFT(MID(Sync!$L377,FIND("/",Sync!$L377)+1,20),FIND("/",MID(Sync!$L377,FIND("/",Sync!$L377)+1,20))-1))),2)&amp;"/"&amp;RIGHT("00"&amp;VALUE(TRIM(MID(MID(Sync!$L377,FIND("/",Sync!$L377)+1,20),FIND("/",MID(Sync!$L377,FIND("/",Sync!$L377)+1,20))+1,20))),2),"")))</f>
        <v/>
      </c>
    </row>
    <row r="378" spans="1:14" x14ac:dyDescent="0.2">
      <c r="A378" t="str">
        <f>IF(Issues!$B381="","",Issues!$B381)</f>
        <v/>
      </c>
      <c r="B378" t="str">
        <f>IF($A378="","",IF(ISNUMBER(Issues!$C381),IF(AND(Issues!$C381&gt;=10000101,Issues!$C381&lt;=99991231),INT(Issues!$C381/10000),""),IFERROR(VALUE(TRIM(LEFT(Issues!$C381,FIND("/",Issues!$C381)-1))),"")))</f>
        <v/>
      </c>
      <c r="C378" t="str">
        <f>IF(OR($A378="",$B378=""),"",IF(ISNUMBER(Issues!$C381),INT(MOD(Issues!$C381,10000)/100),IFERROR(VALUE(TRIM(LEFT(MID(Issues!$C381,FIND("/",Issues!$C381)+1,20),FIND("/",MID(Issues!$C381,FIND("/",Issues!$C381)+1,20))-1))),"")))</f>
        <v/>
      </c>
      <c r="D378" t="str">
        <f>IF(OR($A378="",$B378=""),"",IF(ISNUMBER(Issues!$C381),MOD(Issues!$C381,100),IFERROR(VALUE(TRIM(MID(MID(Issues!$C381,FIND("/",Issues!$C381)+1,20),FIND("/",MID(Issues!$C381,FIND("/",Issues!$C381)+1,20))+1,20))),"")))</f>
        <v/>
      </c>
      <c r="E378" t="str">
        <f t="shared" si="15"/>
        <v/>
      </c>
      <c r="F378" t="str">
        <f>IF($A378="","",IF(Issues!$D381="",0,Issues!$D381))</f>
        <v/>
      </c>
      <c r="G378" t="str">
        <f>IF($A378="","",Issues!$E381)</f>
        <v/>
      </c>
      <c r="H378" t="str">
        <f t="shared" si="16"/>
        <v/>
      </c>
      <c r="I378" t="str">
        <f t="shared" si="17"/>
        <v/>
      </c>
      <c r="J378" t="str">
        <f>IF($A378="","",Issues!$G381)</f>
        <v/>
      </c>
      <c r="K378" t="str">
        <f>IF(OR($E378="",$E378="نامعتبر"),"",LEFT($E378,4)&amp;MID($E378,6,2)&amp;RIGHT($E378,2)&amp;"|"&amp;RIGHT("00000"&amp;373,5))</f>
        <v/>
      </c>
      <c r="M378" t="str">
        <f>IF(Sync!$M378&lt;&gt;"پاس چک","",IF(Sync!$P378="","",Sync!$P378))</f>
        <v/>
      </c>
      <c r="N378" t="str">
        <f>IF($M378="","",IF(ISNUMBER(Sync!$L378),IF(AND(Sync!$L378&gt;=10000101,Sync!$L378&lt;=99991231),RIGHT("0000"&amp;INT(Sync!$L378/10000),4)&amp;"/"&amp;RIGHT("00"&amp;INT(MOD(Sync!$L378,10000)/100),2)&amp;"/"&amp;RIGHT("00"&amp;MOD(Sync!$L378,100),2),""),IFERROR(RIGHT("0000"&amp;VALUE(TRIM(LEFT(Sync!$L378,FIND("/",Sync!$L378)-1))),4)&amp;"/"&amp;RIGHT("00"&amp;VALUE(TRIM(LEFT(MID(Sync!$L378,FIND("/",Sync!$L378)+1,20),FIND("/",MID(Sync!$L378,FIND("/",Sync!$L378)+1,20))-1))),2)&amp;"/"&amp;RIGHT("00"&amp;VALUE(TRIM(MID(MID(Sync!$L378,FIND("/",Sync!$L378)+1,20),FIND("/",MID(Sync!$L378,FIND("/",Sync!$L378)+1,20))+1,20))),2),"")))</f>
        <v/>
      </c>
    </row>
    <row r="379" spans="1:14" x14ac:dyDescent="0.2">
      <c r="A379" t="str">
        <f>IF(Issues!$B382="","",Issues!$B382)</f>
        <v/>
      </c>
      <c r="B379" t="str">
        <f>IF($A379="","",IF(ISNUMBER(Issues!$C382),IF(AND(Issues!$C382&gt;=10000101,Issues!$C382&lt;=99991231),INT(Issues!$C382/10000),""),IFERROR(VALUE(TRIM(LEFT(Issues!$C382,FIND("/",Issues!$C382)-1))),"")))</f>
        <v/>
      </c>
      <c r="C379" t="str">
        <f>IF(OR($A379="",$B379=""),"",IF(ISNUMBER(Issues!$C382),INT(MOD(Issues!$C382,10000)/100),IFERROR(VALUE(TRIM(LEFT(MID(Issues!$C382,FIND("/",Issues!$C382)+1,20),FIND("/",MID(Issues!$C382,FIND("/",Issues!$C382)+1,20))-1))),"")))</f>
        <v/>
      </c>
      <c r="D379" t="str">
        <f>IF(OR($A379="",$B379=""),"",IF(ISNUMBER(Issues!$C382),MOD(Issues!$C382,100),IFERROR(VALUE(TRIM(MID(MID(Issues!$C382,FIND("/",Issues!$C382)+1,20),FIND("/",MID(Issues!$C382,FIND("/",Issues!$C382)+1,20))+1,20))),"")))</f>
        <v/>
      </c>
      <c r="E379" t="str">
        <f t="shared" si="15"/>
        <v/>
      </c>
      <c r="F379" t="str">
        <f>IF($A379="","",IF(Issues!$D382="",0,Issues!$D382))</f>
        <v/>
      </c>
      <c r="G379" t="str">
        <f>IF($A379="","",Issues!$E382)</f>
        <v/>
      </c>
      <c r="H379" t="str">
        <f t="shared" si="16"/>
        <v/>
      </c>
      <c r="I379" t="str">
        <f t="shared" si="17"/>
        <v/>
      </c>
      <c r="J379" t="str">
        <f>IF($A379="","",Issues!$G382)</f>
        <v/>
      </c>
      <c r="K379" t="str">
        <f>IF(OR($E379="",$E379="نامعتبر"),"",LEFT($E379,4)&amp;MID($E379,6,2)&amp;RIGHT($E379,2)&amp;"|"&amp;RIGHT("00000"&amp;374,5))</f>
        <v/>
      </c>
      <c r="M379" t="str">
        <f>IF(Sync!$M379&lt;&gt;"پاس چک","",IF(Sync!$P379="","",Sync!$P379))</f>
        <v/>
      </c>
      <c r="N379" t="str">
        <f>IF($M379="","",IF(ISNUMBER(Sync!$L379),IF(AND(Sync!$L379&gt;=10000101,Sync!$L379&lt;=99991231),RIGHT("0000"&amp;INT(Sync!$L379/10000),4)&amp;"/"&amp;RIGHT("00"&amp;INT(MOD(Sync!$L379,10000)/100),2)&amp;"/"&amp;RIGHT("00"&amp;MOD(Sync!$L379,100),2),""),IFERROR(RIGHT("0000"&amp;VALUE(TRIM(LEFT(Sync!$L379,FIND("/",Sync!$L379)-1))),4)&amp;"/"&amp;RIGHT("00"&amp;VALUE(TRIM(LEFT(MID(Sync!$L379,FIND("/",Sync!$L379)+1,20),FIND("/",MID(Sync!$L379,FIND("/",Sync!$L379)+1,20))-1))),2)&amp;"/"&amp;RIGHT("00"&amp;VALUE(TRIM(MID(MID(Sync!$L379,FIND("/",Sync!$L379)+1,20),FIND("/",MID(Sync!$L379,FIND("/",Sync!$L379)+1,20))+1,20))),2),"")))</f>
        <v/>
      </c>
    </row>
    <row r="380" spans="1:14" x14ac:dyDescent="0.2">
      <c r="A380" t="str">
        <f>IF(Issues!$B383="","",Issues!$B383)</f>
        <v/>
      </c>
      <c r="B380" t="str">
        <f>IF($A380="","",IF(ISNUMBER(Issues!$C383),IF(AND(Issues!$C383&gt;=10000101,Issues!$C383&lt;=99991231),INT(Issues!$C383/10000),""),IFERROR(VALUE(TRIM(LEFT(Issues!$C383,FIND("/",Issues!$C383)-1))),"")))</f>
        <v/>
      </c>
      <c r="C380" t="str">
        <f>IF(OR($A380="",$B380=""),"",IF(ISNUMBER(Issues!$C383),INT(MOD(Issues!$C383,10000)/100),IFERROR(VALUE(TRIM(LEFT(MID(Issues!$C383,FIND("/",Issues!$C383)+1,20),FIND("/",MID(Issues!$C383,FIND("/",Issues!$C383)+1,20))-1))),"")))</f>
        <v/>
      </c>
      <c r="D380" t="str">
        <f>IF(OR($A380="",$B380=""),"",IF(ISNUMBER(Issues!$C383),MOD(Issues!$C383,100),IFERROR(VALUE(TRIM(MID(MID(Issues!$C383,FIND("/",Issues!$C383)+1,20),FIND("/",MID(Issues!$C383,FIND("/",Issues!$C383)+1,20))+1,20))),"")))</f>
        <v/>
      </c>
      <c r="E380" t="str">
        <f t="shared" si="15"/>
        <v/>
      </c>
      <c r="F380" t="str">
        <f>IF($A380="","",IF(Issues!$D383="",0,Issues!$D383))</f>
        <v/>
      </c>
      <c r="G380" t="str">
        <f>IF($A380="","",Issues!$E383)</f>
        <v/>
      </c>
      <c r="H380" t="str">
        <f t="shared" si="16"/>
        <v/>
      </c>
      <c r="I380" t="str">
        <f t="shared" si="17"/>
        <v/>
      </c>
      <c r="J380" t="str">
        <f>IF($A380="","",Issues!$G383)</f>
        <v/>
      </c>
      <c r="K380" t="str">
        <f>IF(OR($E380="",$E380="نامعتبر"),"",LEFT($E380,4)&amp;MID($E380,6,2)&amp;RIGHT($E380,2)&amp;"|"&amp;RIGHT("00000"&amp;375,5))</f>
        <v/>
      </c>
      <c r="M380" t="str">
        <f>IF(Sync!$M380&lt;&gt;"پاس چک","",IF(Sync!$P380="","",Sync!$P380))</f>
        <v/>
      </c>
      <c r="N380" t="str">
        <f>IF($M380="","",IF(ISNUMBER(Sync!$L380),IF(AND(Sync!$L380&gt;=10000101,Sync!$L380&lt;=99991231),RIGHT("0000"&amp;INT(Sync!$L380/10000),4)&amp;"/"&amp;RIGHT("00"&amp;INT(MOD(Sync!$L380,10000)/100),2)&amp;"/"&amp;RIGHT("00"&amp;MOD(Sync!$L380,100),2),""),IFERROR(RIGHT("0000"&amp;VALUE(TRIM(LEFT(Sync!$L380,FIND("/",Sync!$L380)-1))),4)&amp;"/"&amp;RIGHT("00"&amp;VALUE(TRIM(LEFT(MID(Sync!$L380,FIND("/",Sync!$L380)+1,20),FIND("/",MID(Sync!$L380,FIND("/",Sync!$L380)+1,20))-1))),2)&amp;"/"&amp;RIGHT("00"&amp;VALUE(TRIM(MID(MID(Sync!$L380,FIND("/",Sync!$L380)+1,20),FIND("/",MID(Sync!$L380,FIND("/",Sync!$L380)+1,20))+1,20))),2),"")))</f>
        <v/>
      </c>
    </row>
    <row r="381" spans="1:14" x14ac:dyDescent="0.2">
      <c r="A381" t="str">
        <f>IF(Issues!$B384="","",Issues!$B384)</f>
        <v/>
      </c>
      <c r="B381" t="str">
        <f>IF($A381="","",IF(ISNUMBER(Issues!$C384),IF(AND(Issues!$C384&gt;=10000101,Issues!$C384&lt;=99991231),INT(Issues!$C384/10000),""),IFERROR(VALUE(TRIM(LEFT(Issues!$C384,FIND("/",Issues!$C384)-1))),"")))</f>
        <v/>
      </c>
      <c r="C381" t="str">
        <f>IF(OR($A381="",$B381=""),"",IF(ISNUMBER(Issues!$C384),INT(MOD(Issues!$C384,10000)/100),IFERROR(VALUE(TRIM(LEFT(MID(Issues!$C384,FIND("/",Issues!$C384)+1,20),FIND("/",MID(Issues!$C384,FIND("/",Issues!$C384)+1,20))-1))),"")))</f>
        <v/>
      </c>
      <c r="D381" t="str">
        <f>IF(OR($A381="",$B381=""),"",IF(ISNUMBER(Issues!$C384),MOD(Issues!$C384,100),IFERROR(VALUE(TRIM(MID(MID(Issues!$C384,FIND("/",Issues!$C384)+1,20),FIND("/",MID(Issues!$C384,FIND("/",Issues!$C384)+1,20))+1,20))),"")))</f>
        <v/>
      </c>
      <c r="E381" t="str">
        <f t="shared" si="15"/>
        <v/>
      </c>
      <c r="F381" t="str">
        <f>IF($A381="","",IF(Issues!$D384="",0,Issues!$D384))</f>
        <v/>
      </c>
      <c r="G381" t="str">
        <f>IF($A381="","",Issues!$E384)</f>
        <v/>
      </c>
      <c r="H381" t="str">
        <f t="shared" si="16"/>
        <v/>
      </c>
      <c r="I381" t="str">
        <f t="shared" si="17"/>
        <v/>
      </c>
      <c r="J381" t="str">
        <f>IF($A381="","",Issues!$G384)</f>
        <v/>
      </c>
      <c r="K381" t="str">
        <f>IF(OR($E381="",$E381="نامعتبر"),"",LEFT($E381,4)&amp;MID($E381,6,2)&amp;RIGHT($E381,2)&amp;"|"&amp;RIGHT("00000"&amp;376,5))</f>
        <v/>
      </c>
      <c r="M381" t="str">
        <f>IF(Sync!$M381&lt;&gt;"پاس چک","",IF(Sync!$P381="","",Sync!$P381))</f>
        <v/>
      </c>
      <c r="N381" t="str">
        <f>IF($M381="","",IF(ISNUMBER(Sync!$L381),IF(AND(Sync!$L381&gt;=10000101,Sync!$L381&lt;=99991231),RIGHT("0000"&amp;INT(Sync!$L381/10000),4)&amp;"/"&amp;RIGHT("00"&amp;INT(MOD(Sync!$L381,10000)/100),2)&amp;"/"&amp;RIGHT("00"&amp;MOD(Sync!$L381,100),2),""),IFERROR(RIGHT("0000"&amp;VALUE(TRIM(LEFT(Sync!$L381,FIND("/",Sync!$L381)-1))),4)&amp;"/"&amp;RIGHT("00"&amp;VALUE(TRIM(LEFT(MID(Sync!$L381,FIND("/",Sync!$L381)+1,20),FIND("/",MID(Sync!$L381,FIND("/",Sync!$L381)+1,20))-1))),2)&amp;"/"&amp;RIGHT("00"&amp;VALUE(TRIM(MID(MID(Sync!$L381,FIND("/",Sync!$L381)+1,20),FIND("/",MID(Sync!$L381,FIND("/",Sync!$L381)+1,20))+1,20))),2),"")))</f>
        <v/>
      </c>
    </row>
    <row r="382" spans="1:14" x14ac:dyDescent="0.2">
      <c r="A382" t="str">
        <f>IF(Issues!$B385="","",Issues!$B385)</f>
        <v/>
      </c>
      <c r="B382" t="str">
        <f>IF($A382="","",IF(ISNUMBER(Issues!$C385),IF(AND(Issues!$C385&gt;=10000101,Issues!$C385&lt;=99991231),INT(Issues!$C385/10000),""),IFERROR(VALUE(TRIM(LEFT(Issues!$C385,FIND("/",Issues!$C385)-1))),"")))</f>
        <v/>
      </c>
      <c r="C382" t="str">
        <f>IF(OR($A382="",$B382=""),"",IF(ISNUMBER(Issues!$C385),INT(MOD(Issues!$C385,10000)/100),IFERROR(VALUE(TRIM(LEFT(MID(Issues!$C385,FIND("/",Issues!$C385)+1,20),FIND("/",MID(Issues!$C385,FIND("/",Issues!$C385)+1,20))-1))),"")))</f>
        <v/>
      </c>
      <c r="D382" t="str">
        <f>IF(OR($A382="",$B382=""),"",IF(ISNUMBER(Issues!$C385),MOD(Issues!$C385,100),IFERROR(VALUE(TRIM(MID(MID(Issues!$C385,FIND("/",Issues!$C385)+1,20),FIND("/",MID(Issues!$C385,FIND("/",Issues!$C385)+1,20))+1,20))),"")))</f>
        <v/>
      </c>
      <c r="E382" t="str">
        <f t="shared" si="15"/>
        <v/>
      </c>
      <c r="F382" t="str">
        <f>IF($A382="","",IF(Issues!$D385="",0,Issues!$D385))</f>
        <v/>
      </c>
      <c r="G382" t="str">
        <f>IF($A382="","",Issues!$E385)</f>
        <v/>
      </c>
      <c r="H382" t="str">
        <f t="shared" si="16"/>
        <v/>
      </c>
      <c r="I382" t="str">
        <f t="shared" si="17"/>
        <v/>
      </c>
      <c r="J382" t="str">
        <f>IF($A382="","",Issues!$G385)</f>
        <v/>
      </c>
      <c r="K382" t="str">
        <f>IF(OR($E382="",$E382="نامعتبر"),"",LEFT($E382,4)&amp;MID($E382,6,2)&amp;RIGHT($E382,2)&amp;"|"&amp;RIGHT("00000"&amp;377,5))</f>
        <v/>
      </c>
      <c r="M382" t="str">
        <f>IF(Sync!$M382&lt;&gt;"پاس چک","",IF(Sync!$P382="","",Sync!$P382))</f>
        <v/>
      </c>
      <c r="N382" t="str">
        <f>IF($M382="","",IF(ISNUMBER(Sync!$L382),IF(AND(Sync!$L382&gt;=10000101,Sync!$L382&lt;=99991231),RIGHT("0000"&amp;INT(Sync!$L382/10000),4)&amp;"/"&amp;RIGHT("00"&amp;INT(MOD(Sync!$L382,10000)/100),2)&amp;"/"&amp;RIGHT("00"&amp;MOD(Sync!$L382,100),2),""),IFERROR(RIGHT("0000"&amp;VALUE(TRIM(LEFT(Sync!$L382,FIND("/",Sync!$L382)-1))),4)&amp;"/"&amp;RIGHT("00"&amp;VALUE(TRIM(LEFT(MID(Sync!$L382,FIND("/",Sync!$L382)+1,20),FIND("/",MID(Sync!$L382,FIND("/",Sync!$L382)+1,20))-1))),2)&amp;"/"&amp;RIGHT("00"&amp;VALUE(TRIM(MID(MID(Sync!$L382,FIND("/",Sync!$L382)+1,20),FIND("/",MID(Sync!$L382,FIND("/",Sync!$L382)+1,20))+1,20))),2),"")))</f>
        <v/>
      </c>
    </row>
    <row r="383" spans="1:14" x14ac:dyDescent="0.2">
      <c r="A383" t="str">
        <f>IF(Issues!$B386="","",Issues!$B386)</f>
        <v/>
      </c>
      <c r="B383" t="str">
        <f>IF($A383="","",IF(ISNUMBER(Issues!$C386),IF(AND(Issues!$C386&gt;=10000101,Issues!$C386&lt;=99991231),INT(Issues!$C386/10000),""),IFERROR(VALUE(TRIM(LEFT(Issues!$C386,FIND("/",Issues!$C386)-1))),"")))</f>
        <v/>
      </c>
      <c r="C383" t="str">
        <f>IF(OR($A383="",$B383=""),"",IF(ISNUMBER(Issues!$C386),INT(MOD(Issues!$C386,10000)/100),IFERROR(VALUE(TRIM(LEFT(MID(Issues!$C386,FIND("/",Issues!$C386)+1,20),FIND("/",MID(Issues!$C386,FIND("/",Issues!$C386)+1,20))-1))),"")))</f>
        <v/>
      </c>
      <c r="D383" t="str">
        <f>IF(OR($A383="",$B383=""),"",IF(ISNUMBER(Issues!$C386),MOD(Issues!$C386,100),IFERROR(VALUE(TRIM(MID(MID(Issues!$C386,FIND("/",Issues!$C386)+1,20),FIND("/",MID(Issues!$C386,FIND("/",Issues!$C386)+1,20))+1,20))),"")))</f>
        <v/>
      </c>
      <c r="E383" t="str">
        <f t="shared" si="15"/>
        <v/>
      </c>
      <c r="F383" t="str">
        <f>IF($A383="","",IF(Issues!$D386="",0,Issues!$D386))</f>
        <v/>
      </c>
      <c r="G383" t="str">
        <f>IF($A383="","",Issues!$E386)</f>
        <v/>
      </c>
      <c r="H383" t="str">
        <f t="shared" si="16"/>
        <v/>
      </c>
      <c r="I383" t="str">
        <f t="shared" si="17"/>
        <v/>
      </c>
      <c r="J383" t="str">
        <f>IF($A383="","",Issues!$G386)</f>
        <v/>
      </c>
      <c r="K383" t="str">
        <f>IF(OR($E383="",$E383="نامعتبر"),"",LEFT($E383,4)&amp;MID($E383,6,2)&amp;RIGHT($E383,2)&amp;"|"&amp;RIGHT("00000"&amp;378,5))</f>
        <v/>
      </c>
      <c r="M383" t="str">
        <f>IF(Sync!$M383&lt;&gt;"پاس چک","",IF(Sync!$P383="","",Sync!$P383))</f>
        <v/>
      </c>
      <c r="N383" t="str">
        <f>IF($M383="","",IF(ISNUMBER(Sync!$L383),IF(AND(Sync!$L383&gt;=10000101,Sync!$L383&lt;=99991231),RIGHT("0000"&amp;INT(Sync!$L383/10000),4)&amp;"/"&amp;RIGHT("00"&amp;INT(MOD(Sync!$L383,10000)/100),2)&amp;"/"&amp;RIGHT("00"&amp;MOD(Sync!$L383,100),2),""),IFERROR(RIGHT("0000"&amp;VALUE(TRIM(LEFT(Sync!$L383,FIND("/",Sync!$L383)-1))),4)&amp;"/"&amp;RIGHT("00"&amp;VALUE(TRIM(LEFT(MID(Sync!$L383,FIND("/",Sync!$L383)+1,20),FIND("/",MID(Sync!$L383,FIND("/",Sync!$L383)+1,20))-1))),2)&amp;"/"&amp;RIGHT("00"&amp;VALUE(TRIM(MID(MID(Sync!$L383,FIND("/",Sync!$L383)+1,20),FIND("/",MID(Sync!$L383,FIND("/",Sync!$L383)+1,20))+1,20))),2),"")))</f>
        <v/>
      </c>
    </row>
    <row r="384" spans="1:14" x14ac:dyDescent="0.2">
      <c r="A384" t="str">
        <f>IF(Issues!$B387="","",Issues!$B387)</f>
        <v/>
      </c>
      <c r="B384" t="str">
        <f>IF($A384="","",IF(ISNUMBER(Issues!$C387),IF(AND(Issues!$C387&gt;=10000101,Issues!$C387&lt;=99991231),INT(Issues!$C387/10000),""),IFERROR(VALUE(TRIM(LEFT(Issues!$C387,FIND("/",Issues!$C387)-1))),"")))</f>
        <v/>
      </c>
      <c r="C384" t="str">
        <f>IF(OR($A384="",$B384=""),"",IF(ISNUMBER(Issues!$C387),INT(MOD(Issues!$C387,10000)/100),IFERROR(VALUE(TRIM(LEFT(MID(Issues!$C387,FIND("/",Issues!$C387)+1,20),FIND("/",MID(Issues!$C387,FIND("/",Issues!$C387)+1,20))-1))),"")))</f>
        <v/>
      </c>
      <c r="D384" t="str">
        <f>IF(OR($A384="",$B384=""),"",IF(ISNUMBER(Issues!$C387),MOD(Issues!$C387,100),IFERROR(VALUE(TRIM(MID(MID(Issues!$C387,FIND("/",Issues!$C387)+1,20),FIND("/",MID(Issues!$C387,FIND("/",Issues!$C387)+1,20))+1,20))),"")))</f>
        <v/>
      </c>
      <c r="E384" t="str">
        <f t="shared" si="15"/>
        <v/>
      </c>
      <c r="F384" t="str">
        <f>IF($A384="","",IF(Issues!$D387="",0,Issues!$D387))</f>
        <v/>
      </c>
      <c r="G384" t="str">
        <f>IF($A384="","",Issues!$E387)</f>
        <v/>
      </c>
      <c r="H384" t="str">
        <f t="shared" si="16"/>
        <v/>
      </c>
      <c r="I384" t="str">
        <f t="shared" si="17"/>
        <v/>
      </c>
      <c r="J384" t="str">
        <f>IF($A384="","",Issues!$G387)</f>
        <v/>
      </c>
      <c r="K384" t="str">
        <f>IF(OR($E384="",$E384="نامعتبر"),"",LEFT($E384,4)&amp;MID($E384,6,2)&amp;RIGHT($E384,2)&amp;"|"&amp;RIGHT("00000"&amp;379,5))</f>
        <v/>
      </c>
      <c r="M384" t="str">
        <f>IF(Sync!$M384&lt;&gt;"پاس چک","",IF(Sync!$P384="","",Sync!$P384))</f>
        <v/>
      </c>
      <c r="N384" t="str">
        <f>IF($M384="","",IF(ISNUMBER(Sync!$L384),IF(AND(Sync!$L384&gt;=10000101,Sync!$L384&lt;=99991231),RIGHT("0000"&amp;INT(Sync!$L384/10000),4)&amp;"/"&amp;RIGHT("00"&amp;INT(MOD(Sync!$L384,10000)/100),2)&amp;"/"&amp;RIGHT("00"&amp;MOD(Sync!$L384,100),2),""),IFERROR(RIGHT("0000"&amp;VALUE(TRIM(LEFT(Sync!$L384,FIND("/",Sync!$L384)-1))),4)&amp;"/"&amp;RIGHT("00"&amp;VALUE(TRIM(LEFT(MID(Sync!$L384,FIND("/",Sync!$L384)+1,20),FIND("/",MID(Sync!$L384,FIND("/",Sync!$L384)+1,20))-1))),2)&amp;"/"&amp;RIGHT("00"&amp;VALUE(TRIM(MID(MID(Sync!$L384,FIND("/",Sync!$L384)+1,20),FIND("/",MID(Sync!$L384,FIND("/",Sync!$L384)+1,20))+1,20))),2),"")))</f>
        <v/>
      </c>
    </row>
    <row r="385" spans="1:14" x14ac:dyDescent="0.2">
      <c r="A385" t="str">
        <f>IF(Issues!$B388="","",Issues!$B388)</f>
        <v/>
      </c>
      <c r="B385" t="str">
        <f>IF($A385="","",IF(ISNUMBER(Issues!$C388),IF(AND(Issues!$C388&gt;=10000101,Issues!$C388&lt;=99991231),INT(Issues!$C388/10000),""),IFERROR(VALUE(TRIM(LEFT(Issues!$C388,FIND("/",Issues!$C388)-1))),"")))</f>
        <v/>
      </c>
      <c r="C385" t="str">
        <f>IF(OR($A385="",$B385=""),"",IF(ISNUMBER(Issues!$C388),INT(MOD(Issues!$C388,10000)/100),IFERROR(VALUE(TRIM(LEFT(MID(Issues!$C388,FIND("/",Issues!$C388)+1,20),FIND("/",MID(Issues!$C388,FIND("/",Issues!$C388)+1,20))-1))),"")))</f>
        <v/>
      </c>
      <c r="D385" t="str">
        <f>IF(OR($A385="",$B385=""),"",IF(ISNUMBER(Issues!$C388),MOD(Issues!$C388,100),IFERROR(VALUE(TRIM(MID(MID(Issues!$C388,FIND("/",Issues!$C388)+1,20),FIND("/",MID(Issues!$C388,FIND("/",Issues!$C388)+1,20))+1,20))),"")))</f>
        <v/>
      </c>
      <c r="E385" t="str">
        <f t="shared" si="15"/>
        <v/>
      </c>
      <c r="F385" t="str">
        <f>IF($A385="","",IF(Issues!$D388="",0,Issues!$D388))</f>
        <v/>
      </c>
      <c r="G385" t="str">
        <f>IF($A385="","",Issues!$E388)</f>
        <v/>
      </c>
      <c r="H385" t="str">
        <f t="shared" si="16"/>
        <v/>
      </c>
      <c r="I385" t="str">
        <f t="shared" si="17"/>
        <v/>
      </c>
      <c r="J385" t="str">
        <f>IF($A385="","",Issues!$G388)</f>
        <v/>
      </c>
      <c r="K385" t="str">
        <f>IF(OR($E385="",$E385="نامعتبر"),"",LEFT($E385,4)&amp;MID($E385,6,2)&amp;RIGHT($E385,2)&amp;"|"&amp;RIGHT("00000"&amp;380,5))</f>
        <v/>
      </c>
      <c r="M385" t="str">
        <f>IF(Sync!$M385&lt;&gt;"پاس چک","",IF(Sync!$P385="","",Sync!$P385))</f>
        <v/>
      </c>
      <c r="N385" t="str">
        <f>IF($M385="","",IF(ISNUMBER(Sync!$L385),IF(AND(Sync!$L385&gt;=10000101,Sync!$L385&lt;=99991231),RIGHT("0000"&amp;INT(Sync!$L385/10000),4)&amp;"/"&amp;RIGHT("00"&amp;INT(MOD(Sync!$L385,10000)/100),2)&amp;"/"&amp;RIGHT("00"&amp;MOD(Sync!$L385,100),2),""),IFERROR(RIGHT("0000"&amp;VALUE(TRIM(LEFT(Sync!$L385,FIND("/",Sync!$L385)-1))),4)&amp;"/"&amp;RIGHT("00"&amp;VALUE(TRIM(LEFT(MID(Sync!$L385,FIND("/",Sync!$L385)+1,20),FIND("/",MID(Sync!$L385,FIND("/",Sync!$L385)+1,20))-1))),2)&amp;"/"&amp;RIGHT("00"&amp;VALUE(TRIM(MID(MID(Sync!$L385,FIND("/",Sync!$L385)+1,20),FIND("/",MID(Sync!$L385,FIND("/",Sync!$L385)+1,20))+1,20))),2),"")))</f>
        <v/>
      </c>
    </row>
    <row r="386" spans="1:14" x14ac:dyDescent="0.2">
      <c r="A386" t="str">
        <f>IF(Issues!$B389="","",Issues!$B389)</f>
        <v/>
      </c>
      <c r="B386" t="str">
        <f>IF($A386="","",IF(ISNUMBER(Issues!$C389),IF(AND(Issues!$C389&gt;=10000101,Issues!$C389&lt;=99991231),INT(Issues!$C389/10000),""),IFERROR(VALUE(TRIM(LEFT(Issues!$C389,FIND("/",Issues!$C389)-1))),"")))</f>
        <v/>
      </c>
      <c r="C386" t="str">
        <f>IF(OR($A386="",$B386=""),"",IF(ISNUMBER(Issues!$C389),INT(MOD(Issues!$C389,10000)/100),IFERROR(VALUE(TRIM(LEFT(MID(Issues!$C389,FIND("/",Issues!$C389)+1,20),FIND("/",MID(Issues!$C389,FIND("/",Issues!$C389)+1,20))-1))),"")))</f>
        <v/>
      </c>
      <c r="D386" t="str">
        <f>IF(OR($A386="",$B386=""),"",IF(ISNUMBER(Issues!$C389),MOD(Issues!$C389,100),IFERROR(VALUE(TRIM(MID(MID(Issues!$C389,FIND("/",Issues!$C389)+1,20),FIND("/",MID(Issues!$C389,FIND("/",Issues!$C389)+1,20))+1,20))),"")))</f>
        <v/>
      </c>
      <c r="E386" t="str">
        <f t="shared" si="15"/>
        <v/>
      </c>
      <c r="F386" t="str">
        <f>IF($A386="","",IF(Issues!$D389="",0,Issues!$D389))</f>
        <v/>
      </c>
      <c r="G386" t="str">
        <f>IF($A386="","",Issues!$E389)</f>
        <v/>
      </c>
      <c r="H386" t="str">
        <f t="shared" si="16"/>
        <v/>
      </c>
      <c r="I386" t="str">
        <f t="shared" si="17"/>
        <v/>
      </c>
      <c r="J386" t="str">
        <f>IF($A386="","",Issues!$G389)</f>
        <v/>
      </c>
      <c r="K386" t="str">
        <f>IF(OR($E386="",$E386="نامعتبر"),"",LEFT($E386,4)&amp;MID($E386,6,2)&amp;RIGHT($E386,2)&amp;"|"&amp;RIGHT("00000"&amp;381,5))</f>
        <v/>
      </c>
      <c r="M386" t="str">
        <f>IF(Sync!$M386&lt;&gt;"پاس چک","",IF(Sync!$P386="","",Sync!$P386))</f>
        <v/>
      </c>
      <c r="N386" t="str">
        <f>IF($M386="","",IF(ISNUMBER(Sync!$L386),IF(AND(Sync!$L386&gt;=10000101,Sync!$L386&lt;=99991231),RIGHT("0000"&amp;INT(Sync!$L386/10000),4)&amp;"/"&amp;RIGHT("00"&amp;INT(MOD(Sync!$L386,10000)/100),2)&amp;"/"&amp;RIGHT("00"&amp;MOD(Sync!$L386,100),2),""),IFERROR(RIGHT("0000"&amp;VALUE(TRIM(LEFT(Sync!$L386,FIND("/",Sync!$L386)-1))),4)&amp;"/"&amp;RIGHT("00"&amp;VALUE(TRIM(LEFT(MID(Sync!$L386,FIND("/",Sync!$L386)+1,20),FIND("/",MID(Sync!$L386,FIND("/",Sync!$L386)+1,20))-1))),2)&amp;"/"&amp;RIGHT("00"&amp;VALUE(TRIM(MID(MID(Sync!$L386,FIND("/",Sync!$L386)+1,20),FIND("/",MID(Sync!$L386,FIND("/",Sync!$L386)+1,20))+1,20))),2),"")))</f>
        <v/>
      </c>
    </row>
    <row r="387" spans="1:14" x14ac:dyDescent="0.2">
      <c r="A387" t="str">
        <f>IF(Issues!$B390="","",Issues!$B390)</f>
        <v/>
      </c>
      <c r="B387" t="str">
        <f>IF($A387="","",IF(ISNUMBER(Issues!$C390),IF(AND(Issues!$C390&gt;=10000101,Issues!$C390&lt;=99991231),INT(Issues!$C390/10000),""),IFERROR(VALUE(TRIM(LEFT(Issues!$C390,FIND("/",Issues!$C390)-1))),"")))</f>
        <v/>
      </c>
      <c r="C387" t="str">
        <f>IF(OR($A387="",$B387=""),"",IF(ISNUMBER(Issues!$C390),INT(MOD(Issues!$C390,10000)/100),IFERROR(VALUE(TRIM(LEFT(MID(Issues!$C390,FIND("/",Issues!$C390)+1,20),FIND("/",MID(Issues!$C390,FIND("/",Issues!$C390)+1,20))-1))),"")))</f>
        <v/>
      </c>
      <c r="D387" t="str">
        <f>IF(OR($A387="",$B387=""),"",IF(ISNUMBER(Issues!$C390),MOD(Issues!$C390,100),IFERROR(VALUE(TRIM(MID(MID(Issues!$C390,FIND("/",Issues!$C390)+1,20),FIND("/",MID(Issues!$C390,FIND("/",Issues!$C390)+1,20))+1,20))),"")))</f>
        <v/>
      </c>
      <c r="E387" t="str">
        <f t="shared" si="15"/>
        <v/>
      </c>
      <c r="F387" t="str">
        <f>IF($A387="","",IF(Issues!$D390="",0,Issues!$D390))</f>
        <v/>
      </c>
      <c r="G387" t="str">
        <f>IF($A387="","",Issues!$E390)</f>
        <v/>
      </c>
      <c r="H387" t="str">
        <f t="shared" si="16"/>
        <v/>
      </c>
      <c r="I387" t="str">
        <f t="shared" si="17"/>
        <v/>
      </c>
      <c r="J387" t="str">
        <f>IF($A387="","",Issues!$G390)</f>
        <v/>
      </c>
      <c r="K387" t="str">
        <f>IF(OR($E387="",$E387="نامعتبر"),"",LEFT($E387,4)&amp;MID($E387,6,2)&amp;RIGHT($E387,2)&amp;"|"&amp;RIGHT("00000"&amp;382,5))</f>
        <v/>
      </c>
      <c r="M387" t="str">
        <f>IF(Sync!$M387&lt;&gt;"پاس چک","",IF(Sync!$P387="","",Sync!$P387))</f>
        <v/>
      </c>
      <c r="N387" t="str">
        <f>IF($M387="","",IF(ISNUMBER(Sync!$L387),IF(AND(Sync!$L387&gt;=10000101,Sync!$L387&lt;=99991231),RIGHT("0000"&amp;INT(Sync!$L387/10000),4)&amp;"/"&amp;RIGHT("00"&amp;INT(MOD(Sync!$L387,10000)/100),2)&amp;"/"&amp;RIGHT("00"&amp;MOD(Sync!$L387,100),2),""),IFERROR(RIGHT("0000"&amp;VALUE(TRIM(LEFT(Sync!$L387,FIND("/",Sync!$L387)-1))),4)&amp;"/"&amp;RIGHT("00"&amp;VALUE(TRIM(LEFT(MID(Sync!$L387,FIND("/",Sync!$L387)+1,20),FIND("/",MID(Sync!$L387,FIND("/",Sync!$L387)+1,20))-1))),2)&amp;"/"&amp;RIGHT("00"&amp;VALUE(TRIM(MID(MID(Sync!$L387,FIND("/",Sync!$L387)+1,20),FIND("/",MID(Sync!$L387,FIND("/",Sync!$L387)+1,20))+1,20))),2),"")))</f>
        <v/>
      </c>
    </row>
    <row r="388" spans="1:14" x14ac:dyDescent="0.2">
      <c r="A388" t="str">
        <f>IF(Issues!$B391="","",Issues!$B391)</f>
        <v/>
      </c>
      <c r="B388" t="str">
        <f>IF($A388="","",IF(ISNUMBER(Issues!$C391),IF(AND(Issues!$C391&gt;=10000101,Issues!$C391&lt;=99991231),INT(Issues!$C391/10000),""),IFERROR(VALUE(TRIM(LEFT(Issues!$C391,FIND("/",Issues!$C391)-1))),"")))</f>
        <v/>
      </c>
      <c r="C388" t="str">
        <f>IF(OR($A388="",$B388=""),"",IF(ISNUMBER(Issues!$C391),INT(MOD(Issues!$C391,10000)/100),IFERROR(VALUE(TRIM(LEFT(MID(Issues!$C391,FIND("/",Issues!$C391)+1,20),FIND("/",MID(Issues!$C391,FIND("/",Issues!$C391)+1,20))-1))),"")))</f>
        <v/>
      </c>
      <c r="D388" t="str">
        <f>IF(OR($A388="",$B388=""),"",IF(ISNUMBER(Issues!$C391),MOD(Issues!$C391,100),IFERROR(VALUE(TRIM(MID(MID(Issues!$C391,FIND("/",Issues!$C391)+1,20),FIND("/",MID(Issues!$C391,FIND("/",Issues!$C391)+1,20))+1,20))),"")))</f>
        <v/>
      </c>
      <c r="E388" t="str">
        <f t="shared" si="15"/>
        <v/>
      </c>
      <c r="F388" t="str">
        <f>IF($A388="","",IF(Issues!$D391="",0,Issues!$D391))</f>
        <v/>
      </c>
      <c r="G388" t="str">
        <f>IF($A388="","",Issues!$E391)</f>
        <v/>
      </c>
      <c r="H388" t="str">
        <f t="shared" si="16"/>
        <v/>
      </c>
      <c r="I388" t="str">
        <f t="shared" si="17"/>
        <v/>
      </c>
      <c r="J388" t="str">
        <f>IF($A388="","",Issues!$G391)</f>
        <v/>
      </c>
      <c r="K388" t="str">
        <f>IF(OR($E388="",$E388="نامعتبر"),"",LEFT($E388,4)&amp;MID($E388,6,2)&amp;RIGHT($E388,2)&amp;"|"&amp;RIGHT("00000"&amp;383,5))</f>
        <v/>
      </c>
      <c r="M388" t="str">
        <f>IF(Sync!$M388&lt;&gt;"پاس چک","",IF(Sync!$P388="","",Sync!$P388))</f>
        <v/>
      </c>
      <c r="N388" t="str">
        <f>IF($M388="","",IF(ISNUMBER(Sync!$L388),IF(AND(Sync!$L388&gt;=10000101,Sync!$L388&lt;=99991231),RIGHT("0000"&amp;INT(Sync!$L388/10000),4)&amp;"/"&amp;RIGHT("00"&amp;INT(MOD(Sync!$L388,10000)/100),2)&amp;"/"&amp;RIGHT("00"&amp;MOD(Sync!$L388,100),2),""),IFERROR(RIGHT("0000"&amp;VALUE(TRIM(LEFT(Sync!$L388,FIND("/",Sync!$L388)-1))),4)&amp;"/"&amp;RIGHT("00"&amp;VALUE(TRIM(LEFT(MID(Sync!$L388,FIND("/",Sync!$L388)+1,20),FIND("/",MID(Sync!$L388,FIND("/",Sync!$L388)+1,20))-1))),2)&amp;"/"&amp;RIGHT("00"&amp;VALUE(TRIM(MID(MID(Sync!$L388,FIND("/",Sync!$L388)+1,20),FIND("/",MID(Sync!$L388,FIND("/",Sync!$L388)+1,20))+1,20))),2),"")))</f>
        <v/>
      </c>
    </row>
    <row r="389" spans="1:14" x14ac:dyDescent="0.2">
      <c r="A389" t="str">
        <f>IF(Issues!$B392="","",Issues!$B392)</f>
        <v/>
      </c>
      <c r="B389" t="str">
        <f>IF($A389="","",IF(ISNUMBER(Issues!$C392),IF(AND(Issues!$C392&gt;=10000101,Issues!$C392&lt;=99991231),INT(Issues!$C392/10000),""),IFERROR(VALUE(TRIM(LEFT(Issues!$C392,FIND("/",Issues!$C392)-1))),"")))</f>
        <v/>
      </c>
      <c r="C389" t="str">
        <f>IF(OR($A389="",$B389=""),"",IF(ISNUMBER(Issues!$C392),INT(MOD(Issues!$C392,10000)/100),IFERROR(VALUE(TRIM(LEFT(MID(Issues!$C392,FIND("/",Issues!$C392)+1,20),FIND("/",MID(Issues!$C392,FIND("/",Issues!$C392)+1,20))-1))),"")))</f>
        <v/>
      </c>
      <c r="D389" t="str">
        <f>IF(OR($A389="",$B389=""),"",IF(ISNUMBER(Issues!$C392),MOD(Issues!$C392,100),IFERROR(VALUE(TRIM(MID(MID(Issues!$C392,FIND("/",Issues!$C392)+1,20),FIND("/",MID(Issues!$C392,FIND("/",Issues!$C392)+1,20))+1,20))),"")))</f>
        <v/>
      </c>
      <c r="E389" t="str">
        <f t="shared" si="15"/>
        <v/>
      </c>
      <c r="F389" t="str">
        <f>IF($A389="","",IF(Issues!$D392="",0,Issues!$D392))</f>
        <v/>
      </c>
      <c r="G389" t="str">
        <f>IF($A389="","",Issues!$E392)</f>
        <v/>
      </c>
      <c r="H389" t="str">
        <f t="shared" si="16"/>
        <v/>
      </c>
      <c r="I389" t="str">
        <f t="shared" si="17"/>
        <v/>
      </c>
      <c r="J389" t="str">
        <f>IF($A389="","",Issues!$G392)</f>
        <v/>
      </c>
      <c r="K389" t="str">
        <f>IF(OR($E389="",$E389="نامعتبر"),"",LEFT($E389,4)&amp;MID($E389,6,2)&amp;RIGHT($E389,2)&amp;"|"&amp;RIGHT("00000"&amp;384,5))</f>
        <v/>
      </c>
      <c r="M389" t="str">
        <f>IF(Sync!$M389&lt;&gt;"پاس چک","",IF(Sync!$P389="","",Sync!$P389))</f>
        <v/>
      </c>
      <c r="N389" t="str">
        <f>IF($M389="","",IF(ISNUMBER(Sync!$L389),IF(AND(Sync!$L389&gt;=10000101,Sync!$L389&lt;=99991231),RIGHT("0000"&amp;INT(Sync!$L389/10000),4)&amp;"/"&amp;RIGHT("00"&amp;INT(MOD(Sync!$L389,10000)/100),2)&amp;"/"&amp;RIGHT("00"&amp;MOD(Sync!$L389,100),2),""),IFERROR(RIGHT("0000"&amp;VALUE(TRIM(LEFT(Sync!$L389,FIND("/",Sync!$L389)-1))),4)&amp;"/"&amp;RIGHT("00"&amp;VALUE(TRIM(LEFT(MID(Sync!$L389,FIND("/",Sync!$L389)+1,20),FIND("/",MID(Sync!$L389,FIND("/",Sync!$L389)+1,20))-1))),2)&amp;"/"&amp;RIGHT("00"&amp;VALUE(TRIM(MID(MID(Sync!$L389,FIND("/",Sync!$L389)+1,20),FIND("/",MID(Sync!$L389,FIND("/",Sync!$L389)+1,20))+1,20))),2),"")))</f>
        <v/>
      </c>
    </row>
    <row r="390" spans="1:14" x14ac:dyDescent="0.2">
      <c r="A390" t="str">
        <f>IF(Issues!$B393="","",Issues!$B393)</f>
        <v/>
      </c>
      <c r="B390" t="str">
        <f>IF($A390="","",IF(ISNUMBER(Issues!$C393),IF(AND(Issues!$C393&gt;=10000101,Issues!$C393&lt;=99991231),INT(Issues!$C393/10000),""),IFERROR(VALUE(TRIM(LEFT(Issues!$C393,FIND("/",Issues!$C393)-1))),"")))</f>
        <v/>
      </c>
      <c r="C390" t="str">
        <f>IF(OR($A390="",$B390=""),"",IF(ISNUMBER(Issues!$C393),INT(MOD(Issues!$C393,10000)/100),IFERROR(VALUE(TRIM(LEFT(MID(Issues!$C393,FIND("/",Issues!$C393)+1,20),FIND("/",MID(Issues!$C393,FIND("/",Issues!$C393)+1,20))-1))),"")))</f>
        <v/>
      </c>
      <c r="D390" t="str">
        <f>IF(OR($A390="",$B390=""),"",IF(ISNUMBER(Issues!$C393),MOD(Issues!$C393,100),IFERROR(VALUE(TRIM(MID(MID(Issues!$C393,FIND("/",Issues!$C393)+1,20),FIND("/",MID(Issues!$C393,FIND("/",Issues!$C393)+1,20))+1,20))),"")))</f>
        <v/>
      </c>
      <c r="E390" t="str">
        <f t="shared" ref="E390:E453" si="18"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 t="str">
        <f>IF($A390="","",IF(Issues!$D393="",0,Issues!$D393))</f>
        <v/>
      </c>
      <c r="G390" t="str">
        <f>IF($A390="","",Issues!$E393)</f>
        <v/>
      </c>
      <c r="H390" t="str">
        <f t="shared" ref="H390:H453" si="19">IF($A390="","",IF(COUNTIFS(ETxnType,"پاس چک",ETxnChk,$A390)&gt;0,"پاس شده","پاس نشده"))</f>
        <v/>
      </c>
      <c r="I390" t="str">
        <f t="shared" ref="I390:I453" si="20">IF($A390="","",IFERROR(INDEX(BClrDate,MATCH($A390,BClrChk,0)),""))</f>
        <v/>
      </c>
      <c r="J390" t="str">
        <f>IF($A390="","",Issues!$G393)</f>
        <v/>
      </c>
      <c r="K390" t="str">
        <f>IF(OR($E390="",$E390="نامعتبر"),"",LEFT($E390,4)&amp;MID($E390,6,2)&amp;RIGHT($E390,2)&amp;"|"&amp;RIGHT("00000"&amp;385,5))</f>
        <v/>
      </c>
      <c r="M390" t="str">
        <f>IF(Sync!$M390&lt;&gt;"پاس چک","",IF(Sync!$P390="","",Sync!$P390))</f>
        <v/>
      </c>
      <c r="N390" t="str">
        <f>IF($M390="","",IF(ISNUMBER(Sync!$L390),IF(AND(Sync!$L390&gt;=10000101,Sync!$L390&lt;=99991231),RIGHT("0000"&amp;INT(Sync!$L390/10000),4)&amp;"/"&amp;RIGHT("00"&amp;INT(MOD(Sync!$L390,10000)/100),2)&amp;"/"&amp;RIGHT("00"&amp;MOD(Sync!$L390,100),2),""),IFERROR(RIGHT("0000"&amp;VALUE(TRIM(LEFT(Sync!$L390,FIND("/",Sync!$L390)-1))),4)&amp;"/"&amp;RIGHT("00"&amp;VALUE(TRIM(LEFT(MID(Sync!$L390,FIND("/",Sync!$L390)+1,20),FIND("/",MID(Sync!$L390,FIND("/",Sync!$L390)+1,20))-1))),2)&amp;"/"&amp;RIGHT("00"&amp;VALUE(TRIM(MID(MID(Sync!$L390,FIND("/",Sync!$L390)+1,20),FIND("/",MID(Sync!$L390,FIND("/",Sync!$L390)+1,20))+1,20))),2),"")))</f>
        <v/>
      </c>
    </row>
    <row r="391" spans="1:14" x14ac:dyDescent="0.2">
      <c r="A391" t="str">
        <f>IF(Issues!$B394="","",Issues!$B394)</f>
        <v/>
      </c>
      <c r="B391" t="str">
        <f>IF($A391="","",IF(ISNUMBER(Issues!$C394),IF(AND(Issues!$C394&gt;=10000101,Issues!$C394&lt;=99991231),INT(Issues!$C394/10000),""),IFERROR(VALUE(TRIM(LEFT(Issues!$C394,FIND("/",Issues!$C394)-1))),"")))</f>
        <v/>
      </c>
      <c r="C391" t="str">
        <f>IF(OR($A391="",$B391=""),"",IF(ISNUMBER(Issues!$C394),INT(MOD(Issues!$C394,10000)/100),IFERROR(VALUE(TRIM(LEFT(MID(Issues!$C394,FIND("/",Issues!$C394)+1,20),FIND("/",MID(Issues!$C394,FIND("/",Issues!$C394)+1,20))-1))),"")))</f>
        <v/>
      </c>
      <c r="D391" t="str">
        <f>IF(OR($A391="",$B391=""),"",IF(ISNUMBER(Issues!$C394),MOD(Issues!$C394,100),IFERROR(VALUE(TRIM(MID(MID(Issues!$C394,FIND("/",Issues!$C394)+1,20),FIND("/",MID(Issues!$C394,FIND("/",Issues!$C394)+1,20))+1,20))),"")))</f>
        <v/>
      </c>
      <c r="E391" t="str">
        <f t="shared" si="18"/>
        <v/>
      </c>
      <c r="F391" t="str">
        <f>IF($A391="","",IF(Issues!$D394="",0,Issues!$D394))</f>
        <v/>
      </c>
      <c r="G391" t="str">
        <f>IF($A391="","",Issues!$E394)</f>
        <v/>
      </c>
      <c r="H391" t="str">
        <f t="shared" si="19"/>
        <v/>
      </c>
      <c r="I391" t="str">
        <f t="shared" si="20"/>
        <v/>
      </c>
      <c r="J391" t="str">
        <f>IF($A391="","",Issues!$G394)</f>
        <v/>
      </c>
      <c r="K391" t="str">
        <f>IF(OR($E391="",$E391="نامعتبر"),"",LEFT($E391,4)&amp;MID($E391,6,2)&amp;RIGHT($E391,2)&amp;"|"&amp;RIGHT("00000"&amp;386,5))</f>
        <v/>
      </c>
      <c r="M391" t="str">
        <f>IF(Sync!$M391&lt;&gt;"پاس چک","",IF(Sync!$P391="","",Sync!$P391))</f>
        <v/>
      </c>
      <c r="N391" t="str">
        <f>IF($M391="","",IF(ISNUMBER(Sync!$L391),IF(AND(Sync!$L391&gt;=10000101,Sync!$L391&lt;=99991231),RIGHT("0000"&amp;INT(Sync!$L391/10000),4)&amp;"/"&amp;RIGHT("00"&amp;INT(MOD(Sync!$L391,10000)/100),2)&amp;"/"&amp;RIGHT("00"&amp;MOD(Sync!$L391,100),2),""),IFERROR(RIGHT("0000"&amp;VALUE(TRIM(LEFT(Sync!$L391,FIND("/",Sync!$L391)-1))),4)&amp;"/"&amp;RIGHT("00"&amp;VALUE(TRIM(LEFT(MID(Sync!$L391,FIND("/",Sync!$L391)+1,20),FIND("/",MID(Sync!$L391,FIND("/",Sync!$L391)+1,20))-1))),2)&amp;"/"&amp;RIGHT("00"&amp;VALUE(TRIM(MID(MID(Sync!$L391,FIND("/",Sync!$L391)+1,20),FIND("/",MID(Sync!$L391,FIND("/",Sync!$L391)+1,20))+1,20))),2),"")))</f>
        <v/>
      </c>
    </row>
    <row r="392" spans="1:14" x14ac:dyDescent="0.2">
      <c r="A392" t="str">
        <f>IF(Issues!$B395="","",Issues!$B395)</f>
        <v/>
      </c>
      <c r="B392" t="str">
        <f>IF($A392="","",IF(ISNUMBER(Issues!$C395),IF(AND(Issues!$C395&gt;=10000101,Issues!$C395&lt;=99991231),INT(Issues!$C395/10000),""),IFERROR(VALUE(TRIM(LEFT(Issues!$C395,FIND("/",Issues!$C395)-1))),"")))</f>
        <v/>
      </c>
      <c r="C392" t="str">
        <f>IF(OR($A392="",$B392=""),"",IF(ISNUMBER(Issues!$C395),INT(MOD(Issues!$C395,10000)/100),IFERROR(VALUE(TRIM(LEFT(MID(Issues!$C395,FIND("/",Issues!$C395)+1,20),FIND("/",MID(Issues!$C395,FIND("/",Issues!$C395)+1,20))-1))),"")))</f>
        <v/>
      </c>
      <c r="D392" t="str">
        <f>IF(OR($A392="",$B392=""),"",IF(ISNUMBER(Issues!$C395),MOD(Issues!$C395,100),IFERROR(VALUE(TRIM(MID(MID(Issues!$C395,FIND("/",Issues!$C395)+1,20),FIND("/",MID(Issues!$C395,FIND("/",Issues!$C395)+1,20))+1,20))),"")))</f>
        <v/>
      </c>
      <c r="E392" t="str">
        <f t="shared" si="18"/>
        <v/>
      </c>
      <c r="F392" t="str">
        <f>IF($A392="","",IF(Issues!$D395="",0,Issues!$D395))</f>
        <v/>
      </c>
      <c r="G392" t="str">
        <f>IF($A392="","",Issues!$E395)</f>
        <v/>
      </c>
      <c r="H392" t="str">
        <f t="shared" si="19"/>
        <v/>
      </c>
      <c r="I392" t="str">
        <f t="shared" si="20"/>
        <v/>
      </c>
      <c r="J392" t="str">
        <f>IF($A392="","",Issues!$G395)</f>
        <v/>
      </c>
      <c r="K392" t="str">
        <f>IF(OR($E392="",$E392="نامعتبر"),"",LEFT($E392,4)&amp;MID($E392,6,2)&amp;RIGHT($E392,2)&amp;"|"&amp;RIGHT("00000"&amp;387,5))</f>
        <v/>
      </c>
      <c r="M392" t="str">
        <f>IF(Sync!$M392&lt;&gt;"پاس چک","",IF(Sync!$P392="","",Sync!$P392))</f>
        <v/>
      </c>
      <c r="N392" t="str">
        <f>IF($M392="","",IF(ISNUMBER(Sync!$L392),IF(AND(Sync!$L392&gt;=10000101,Sync!$L392&lt;=99991231),RIGHT("0000"&amp;INT(Sync!$L392/10000),4)&amp;"/"&amp;RIGHT("00"&amp;INT(MOD(Sync!$L392,10000)/100),2)&amp;"/"&amp;RIGHT("00"&amp;MOD(Sync!$L392,100),2),""),IFERROR(RIGHT("0000"&amp;VALUE(TRIM(LEFT(Sync!$L392,FIND("/",Sync!$L392)-1))),4)&amp;"/"&amp;RIGHT("00"&amp;VALUE(TRIM(LEFT(MID(Sync!$L392,FIND("/",Sync!$L392)+1,20),FIND("/",MID(Sync!$L392,FIND("/",Sync!$L392)+1,20))-1))),2)&amp;"/"&amp;RIGHT("00"&amp;VALUE(TRIM(MID(MID(Sync!$L392,FIND("/",Sync!$L392)+1,20),FIND("/",MID(Sync!$L392,FIND("/",Sync!$L392)+1,20))+1,20))),2),"")))</f>
        <v/>
      </c>
    </row>
    <row r="393" spans="1:14" x14ac:dyDescent="0.2">
      <c r="A393" t="str">
        <f>IF(Issues!$B396="","",Issues!$B396)</f>
        <v/>
      </c>
      <c r="B393" t="str">
        <f>IF($A393="","",IF(ISNUMBER(Issues!$C396),IF(AND(Issues!$C396&gt;=10000101,Issues!$C396&lt;=99991231),INT(Issues!$C396/10000),""),IFERROR(VALUE(TRIM(LEFT(Issues!$C396,FIND("/",Issues!$C396)-1))),"")))</f>
        <v/>
      </c>
      <c r="C393" t="str">
        <f>IF(OR($A393="",$B393=""),"",IF(ISNUMBER(Issues!$C396),INT(MOD(Issues!$C396,10000)/100),IFERROR(VALUE(TRIM(LEFT(MID(Issues!$C396,FIND("/",Issues!$C396)+1,20),FIND("/",MID(Issues!$C396,FIND("/",Issues!$C396)+1,20))-1))),"")))</f>
        <v/>
      </c>
      <c r="D393" t="str">
        <f>IF(OR($A393="",$B393=""),"",IF(ISNUMBER(Issues!$C396),MOD(Issues!$C396,100),IFERROR(VALUE(TRIM(MID(MID(Issues!$C396,FIND("/",Issues!$C396)+1,20),FIND("/",MID(Issues!$C396,FIND("/",Issues!$C396)+1,20))+1,20))),"")))</f>
        <v/>
      </c>
      <c r="E393" t="str">
        <f t="shared" si="18"/>
        <v/>
      </c>
      <c r="F393" t="str">
        <f>IF($A393="","",IF(Issues!$D396="",0,Issues!$D396))</f>
        <v/>
      </c>
      <c r="G393" t="str">
        <f>IF($A393="","",Issues!$E396)</f>
        <v/>
      </c>
      <c r="H393" t="str">
        <f t="shared" si="19"/>
        <v/>
      </c>
      <c r="I393" t="str">
        <f t="shared" si="20"/>
        <v/>
      </c>
      <c r="J393" t="str">
        <f>IF($A393="","",Issues!$G396)</f>
        <v/>
      </c>
      <c r="K393" t="str">
        <f>IF(OR($E393="",$E393="نامعتبر"),"",LEFT($E393,4)&amp;MID($E393,6,2)&amp;RIGHT($E393,2)&amp;"|"&amp;RIGHT("00000"&amp;388,5))</f>
        <v/>
      </c>
      <c r="M393" t="str">
        <f>IF(Sync!$M393&lt;&gt;"پاس چک","",IF(Sync!$P393="","",Sync!$P393))</f>
        <v/>
      </c>
      <c r="N393" t="str">
        <f>IF($M393="","",IF(ISNUMBER(Sync!$L393),IF(AND(Sync!$L393&gt;=10000101,Sync!$L393&lt;=99991231),RIGHT("0000"&amp;INT(Sync!$L393/10000),4)&amp;"/"&amp;RIGHT("00"&amp;INT(MOD(Sync!$L393,10000)/100),2)&amp;"/"&amp;RIGHT("00"&amp;MOD(Sync!$L393,100),2),""),IFERROR(RIGHT("0000"&amp;VALUE(TRIM(LEFT(Sync!$L393,FIND("/",Sync!$L393)-1))),4)&amp;"/"&amp;RIGHT("00"&amp;VALUE(TRIM(LEFT(MID(Sync!$L393,FIND("/",Sync!$L393)+1,20),FIND("/",MID(Sync!$L393,FIND("/",Sync!$L393)+1,20))-1))),2)&amp;"/"&amp;RIGHT("00"&amp;VALUE(TRIM(MID(MID(Sync!$L393,FIND("/",Sync!$L393)+1,20),FIND("/",MID(Sync!$L393,FIND("/",Sync!$L393)+1,20))+1,20))),2),"")))</f>
        <v/>
      </c>
    </row>
    <row r="394" spans="1:14" x14ac:dyDescent="0.2">
      <c r="A394" t="str">
        <f>IF(Issues!$B397="","",Issues!$B397)</f>
        <v/>
      </c>
      <c r="B394" t="str">
        <f>IF($A394="","",IF(ISNUMBER(Issues!$C397),IF(AND(Issues!$C397&gt;=10000101,Issues!$C397&lt;=99991231),INT(Issues!$C397/10000),""),IFERROR(VALUE(TRIM(LEFT(Issues!$C397,FIND("/",Issues!$C397)-1))),"")))</f>
        <v/>
      </c>
      <c r="C394" t="str">
        <f>IF(OR($A394="",$B394=""),"",IF(ISNUMBER(Issues!$C397),INT(MOD(Issues!$C397,10000)/100),IFERROR(VALUE(TRIM(LEFT(MID(Issues!$C397,FIND("/",Issues!$C397)+1,20),FIND("/",MID(Issues!$C397,FIND("/",Issues!$C397)+1,20))-1))),"")))</f>
        <v/>
      </c>
      <c r="D394" t="str">
        <f>IF(OR($A394="",$B394=""),"",IF(ISNUMBER(Issues!$C397),MOD(Issues!$C397,100),IFERROR(VALUE(TRIM(MID(MID(Issues!$C397,FIND("/",Issues!$C397)+1,20),FIND("/",MID(Issues!$C397,FIND("/",Issues!$C397)+1,20))+1,20))),"")))</f>
        <v/>
      </c>
      <c r="E394" t="str">
        <f t="shared" si="18"/>
        <v/>
      </c>
      <c r="F394" t="str">
        <f>IF($A394="","",IF(Issues!$D397="",0,Issues!$D397))</f>
        <v/>
      </c>
      <c r="G394" t="str">
        <f>IF($A394="","",Issues!$E397)</f>
        <v/>
      </c>
      <c r="H394" t="str">
        <f t="shared" si="19"/>
        <v/>
      </c>
      <c r="I394" t="str">
        <f t="shared" si="20"/>
        <v/>
      </c>
      <c r="J394" t="str">
        <f>IF($A394="","",Issues!$G397)</f>
        <v/>
      </c>
      <c r="K394" t="str">
        <f>IF(OR($E394="",$E394="نامعتبر"),"",LEFT($E394,4)&amp;MID($E394,6,2)&amp;RIGHT($E394,2)&amp;"|"&amp;RIGHT("00000"&amp;389,5))</f>
        <v/>
      </c>
      <c r="M394" t="str">
        <f>IF(Sync!$M394&lt;&gt;"پاس چک","",IF(Sync!$P394="","",Sync!$P394))</f>
        <v/>
      </c>
      <c r="N394" t="str">
        <f>IF($M394="","",IF(ISNUMBER(Sync!$L394),IF(AND(Sync!$L394&gt;=10000101,Sync!$L394&lt;=99991231),RIGHT("0000"&amp;INT(Sync!$L394/10000),4)&amp;"/"&amp;RIGHT("00"&amp;INT(MOD(Sync!$L394,10000)/100),2)&amp;"/"&amp;RIGHT("00"&amp;MOD(Sync!$L394,100),2),""),IFERROR(RIGHT("0000"&amp;VALUE(TRIM(LEFT(Sync!$L394,FIND("/",Sync!$L394)-1))),4)&amp;"/"&amp;RIGHT("00"&amp;VALUE(TRIM(LEFT(MID(Sync!$L394,FIND("/",Sync!$L394)+1,20),FIND("/",MID(Sync!$L394,FIND("/",Sync!$L394)+1,20))-1))),2)&amp;"/"&amp;RIGHT("00"&amp;VALUE(TRIM(MID(MID(Sync!$L394,FIND("/",Sync!$L394)+1,20),FIND("/",MID(Sync!$L394,FIND("/",Sync!$L394)+1,20))+1,20))),2),"")))</f>
        <v/>
      </c>
    </row>
    <row r="395" spans="1:14" x14ac:dyDescent="0.2">
      <c r="A395" t="str">
        <f>IF(Issues!$B398="","",Issues!$B398)</f>
        <v/>
      </c>
      <c r="B395" t="str">
        <f>IF($A395="","",IF(ISNUMBER(Issues!$C398),IF(AND(Issues!$C398&gt;=10000101,Issues!$C398&lt;=99991231),INT(Issues!$C398/10000),""),IFERROR(VALUE(TRIM(LEFT(Issues!$C398,FIND("/",Issues!$C398)-1))),"")))</f>
        <v/>
      </c>
      <c r="C395" t="str">
        <f>IF(OR($A395="",$B395=""),"",IF(ISNUMBER(Issues!$C398),INT(MOD(Issues!$C398,10000)/100),IFERROR(VALUE(TRIM(LEFT(MID(Issues!$C398,FIND("/",Issues!$C398)+1,20),FIND("/",MID(Issues!$C398,FIND("/",Issues!$C398)+1,20))-1))),"")))</f>
        <v/>
      </c>
      <c r="D395" t="str">
        <f>IF(OR($A395="",$B395=""),"",IF(ISNUMBER(Issues!$C398),MOD(Issues!$C398,100),IFERROR(VALUE(TRIM(MID(MID(Issues!$C398,FIND("/",Issues!$C398)+1,20),FIND("/",MID(Issues!$C398,FIND("/",Issues!$C398)+1,20))+1,20))),"")))</f>
        <v/>
      </c>
      <c r="E395" t="str">
        <f t="shared" si="18"/>
        <v/>
      </c>
      <c r="F395" t="str">
        <f>IF($A395="","",IF(Issues!$D398="",0,Issues!$D398))</f>
        <v/>
      </c>
      <c r="G395" t="str">
        <f>IF($A395="","",Issues!$E398)</f>
        <v/>
      </c>
      <c r="H395" t="str">
        <f t="shared" si="19"/>
        <v/>
      </c>
      <c r="I395" t="str">
        <f t="shared" si="20"/>
        <v/>
      </c>
      <c r="J395" t="str">
        <f>IF($A395="","",Issues!$G398)</f>
        <v/>
      </c>
      <c r="K395" t="str">
        <f>IF(OR($E395="",$E395="نامعتبر"),"",LEFT($E395,4)&amp;MID($E395,6,2)&amp;RIGHT($E395,2)&amp;"|"&amp;RIGHT("00000"&amp;390,5))</f>
        <v/>
      </c>
      <c r="M395" t="str">
        <f>IF(Sync!$M395&lt;&gt;"پاس چک","",IF(Sync!$P395="","",Sync!$P395))</f>
        <v/>
      </c>
      <c r="N395" t="str">
        <f>IF($M395="","",IF(ISNUMBER(Sync!$L395),IF(AND(Sync!$L395&gt;=10000101,Sync!$L395&lt;=99991231),RIGHT("0000"&amp;INT(Sync!$L395/10000),4)&amp;"/"&amp;RIGHT("00"&amp;INT(MOD(Sync!$L395,10000)/100),2)&amp;"/"&amp;RIGHT("00"&amp;MOD(Sync!$L395,100),2),""),IFERROR(RIGHT("0000"&amp;VALUE(TRIM(LEFT(Sync!$L395,FIND("/",Sync!$L395)-1))),4)&amp;"/"&amp;RIGHT("00"&amp;VALUE(TRIM(LEFT(MID(Sync!$L395,FIND("/",Sync!$L395)+1,20),FIND("/",MID(Sync!$L395,FIND("/",Sync!$L395)+1,20))-1))),2)&amp;"/"&amp;RIGHT("00"&amp;VALUE(TRIM(MID(MID(Sync!$L395,FIND("/",Sync!$L395)+1,20),FIND("/",MID(Sync!$L395,FIND("/",Sync!$L395)+1,20))+1,20))),2),"")))</f>
        <v/>
      </c>
    </row>
    <row r="396" spans="1:14" x14ac:dyDescent="0.2">
      <c r="A396" t="str">
        <f>IF(Issues!$B399="","",Issues!$B399)</f>
        <v/>
      </c>
      <c r="B396" t="str">
        <f>IF($A396="","",IF(ISNUMBER(Issues!$C399),IF(AND(Issues!$C399&gt;=10000101,Issues!$C399&lt;=99991231),INT(Issues!$C399/10000),""),IFERROR(VALUE(TRIM(LEFT(Issues!$C399,FIND("/",Issues!$C399)-1))),"")))</f>
        <v/>
      </c>
      <c r="C396" t="str">
        <f>IF(OR($A396="",$B396=""),"",IF(ISNUMBER(Issues!$C399),INT(MOD(Issues!$C399,10000)/100),IFERROR(VALUE(TRIM(LEFT(MID(Issues!$C399,FIND("/",Issues!$C399)+1,20),FIND("/",MID(Issues!$C399,FIND("/",Issues!$C399)+1,20))-1))),"")))</f>
        <v/>
      </c>
      <c r="D396" t="str">
        <f>IF(OR($A396="",$B396=""),"",IF(ISNUMBER(Issues!$C399),MOD(Issues!$C399,100),IFERROR(VALUE(TRIM(MID(MID(Issues!$C399,FIND("/",Issues!$C399)+1,20),FIND("/",MID(Issues!$C399,FIND("/",Issues!$C399)+1,20))+1,20))),"")))</f>
        <v/>
      </c>
      <c r="E396" t="str">
        <f t="shared" si="18"/>
        <v/>
      </c>
      <c r="F396" t="str">
        <f>IF($A396="","",IF(Issues!$D399="",0,Issues!$D399))</f>
        <v/>
      </c>
      <c r="G396" t="str">
        <f>IF($A396="","",Issues!$E399)</f>
        <v/>
      </c>
      <c r="H396" t="str">
        <f t="shared" si="19"/>
        <v/>
      </c>
      <c r="I396" t="str">
        <f t="shared" si="20"/>
        <v/>
      </c>
      <c r="J396" t="str">
        <f>IF($A396="","",Issues!$G399)</f>
        <v/>
      </c>
      <c r="K396" t="str">
        <f>IF(OR($E396="",$E396="نامعتبر"),"",LEFT($E396,4)&amp;MID($E396,6,2)&amp;RIGHT($E396,2)&amp;"|"&amp;RIGHT("00000"&amp;391,5))</f>
        <v/>
      </c>
      <c r="M396" t="str">
        <f>IF(Sync!$M396&lt;&gt;"پاس چک","",IF(Sync!$P396="","",Sync!$P396))</f>
        <v/>
      </c>
      <c r="N396" t="str">
        <f>IF($M396="","",IF(ISNUMBER(Sync!$L396),IF(AND(Sync!$L396&gt;=10000101,Sync!$L396&lt;=99991231),RIGHT("0000"&amp;INT(Sync!$L396/10000),4)&amp;"/"&amp;RIGHT("00"&amp;INT(MOD(Sync!$L396,10000)/100),2)&amp;"/"&amp;RIGHT("00"&amp;MOD(Sync!$L396,100),2),""),IFERROR(RIGHT("0000"&amp;VALUE(TRIM(LEFT(Sync!$L396,FIND("/",Sync!$L396)-1))),4)&amp;"/"&amp;RIGHT("00"&amp;VALUE(TRIM(LEFT(MID(Sync!$L396,FIND("/",Sync!$L396)+1,20),FIND("/",MID(Sync!$L396,FIND("/",Sync!$L396)+1,20))-1))),2)&amp;"/"&amp;RIGHT("00"&amp;VALUE(TRIM(MID(MID(Sync!$L396,FIND("/",Sync!$L396)+1,20),FIND("/",MID(Sync!$L396,FIND("/",Sync!$L396)+1,20))+1,20))),2),"")))</f>
        <v/>
      </c>
    </row>
    <row r="397" spans="1:14" x14ac:dyDescent="0.2">
      <c r="A397" t="str">
        <f>IF(Issues!$B400="","",Issues!$B400)</f>
        <v/>
      </c>
      <c r="B397" t="str">
        <f>IF($A397="","",IF(ISNUMBER(Issues!$C400),IF(AND(Issues!$C400&gt;=10000101,Issues!$C400&lt;=99991231),INT(Issues!$C400/10000),""),IFERROR(VALUE(TRIM(LEFT(Issues!$C400,FIND("/",Issues!$C400)-1))),"")))</f>
        <v/>
      </c>
      <c r="C397" t="str">
        <f>IF(OR($A397="",$B397=""),"",IF(ISNUMBER(Issues!$C400),INT(MOD(Issues!$C400,10000)/100),IFERROR(VALUE(TRIM(LEFT(MID(Issues!$C400,FIND("/",Issues!$C400)+1,20),FIND("/",MID(Issues!$C400,FIND("/",Issues!$C400)+1,20))-1))),"")))</f>
        <v/>
      </c>
      <c r="D397" t="str">
        <f>IF(OR($A397="",$B397=""),"",IF(ISNUMBER(Issues!$C400),MOD(Issues!$C400,100),IFERROR(VALUE(TRIM(MID(MID(Issues!$C400,FIND("/",Issues!$C400)+1,20),FIND("/",MID(Issues!$C400,FIND("/",Issues!$C400)+1,20))+1,20))),"")))</f>
        <v/>
      </c>
      <c r="E397" t="str">
        <f t="shared" si="18"/>
        <v/>
      </c>
      <c r="F397" t="str">
        <f>IF($A397="","",IF(Issues!$D400="",0,Issues!$D400))</f>
        <v/>
      </c>
      <c r="G397" t="str">
        <f>IF($A397="","",Issues!$E400)</f>
        <v/>
      </c>
      <c r="H397" t="str">
        <f t="shared" si="19"/>
        <v/>
      </c>
      <c r="I397" t="str">
        <f t="shared" si="20"/>
        <v/>
      </c>
      <c r="J397" t="str">
        <f>IF($A397="","",Issues!$G400)</f>
        <v/>
      </c>
      <c r="K397" t="str">
        <f>IF(OR($E397="",$E397="نامعتبر"),"",LEFT($E397,4)&amp;MID($E397,6,2)&amp;RIGHT($E397,2)&amp;"|"&amp;RIGHT("00000"&amp;392,5))</f>
        <v/>
      </c>
      <c r="M397" t="str">
        <f>IF(Sync!$M397&lt;&gt;"پاس چک","",IF(Sync!$P397="","",Sync!$P397))</f>
        <v/>
      </c>
      <c r="N397" t="str">
        <f>IF($M397="","",IF(ISNUMBER(Sync!$L397),IF(AND(Sync!$L397&gt;=10000101,Sync!$L397&lt;=99991231),RIGHT("0000"&amp;INT(Sync!$L397/10000),4)&amp;"/"&amp;RIGHT("00"&amp;INT(MOD(Sync!$L397,10000)/100),2)&amp;"/"&amp;RIGHT("00"&amp;MOD(Sync!$L397,100),2),""),IFERROR(RIGHT("0000"&amp;VALUE(TRIM(LEFT(Sync!$L397,FIND("/",Sync!$L397)-1))),4)&amp;"/"&amp;RIGHT("00"&amp;VALUE(TRIM(LEFT(MID(Sync!$L397,FIND("/",Sync!$L397)+1,20),FIND("/",MID(Sync!$L397,FIND("/",Sync!$L397)+1,20))-1))),2)&amp;"/"&amp;RIGHT("00"&amp;VALUE(TRIM(MID(MID(Sync!$L397,FIND("/",Sync!$L397)+1,20),FIND("/",MID(Sync!$L397,FIND("/",Sync!$L397)+1,20))+1,20))),2),"")))</f>
        <v/>
      </c>
    </row>
    <row r="398" spans="1:14" x14ac:dyDescent="0.2">
      <c r="A398" t="str">
        <f>IF(Issues!$B401="","",Issues!$B401)</f>
        <v/>
      </c>
      <c r="B398" t="str">
        <f>IF($A398="","",IF(ISNUMBER(Issues!$C401),IF(AND(Issues!$C401&gt;=10000101,Issues!$C401&lt;=99991231),INT(Issues!$C401/10000),""),IFERROR(VALUE(TRIM(LEFT(Issues!$C401,FIND("/",Issues!$C401)-1))),"")))</f>
        <v/>
      </c>
      <c r="C398" t="str">
        <f>IF(OR($A398="",$B398=""),"",IF(ISNUMBER(Issues!$C401),INT(MOD(Issues!$C401,10000)/100),IFERROR(VALUE(TRIM(LEFT(MID(Issues!$C401,FIND("/",Issues!$C401)+1,20),FIND("/",MID(Issues!$C401,FIND("/",Issues!$C401)+1,20))-1))),"")))</f>
        <v/>
      </c>
      <c r="D398" t="str">
        <f>IF(OR($A398="",$B398=""),"",IF(ISNUMBER(Issues!$C401),MOD(Issues!$C401,100),IFERROR(VALUE(TRIM(MID(MID(Issues!$C401,FIND("/",Issues!$C401)+1,20),FIND("/",MID(Issues!$C401,FIND("/",Issues!$C401)+1,20))+1,20))),"")))</f>
        <v/>
      </c>
      <c r="E398" t="str">
        <f t="shared" si="18"/>
        <v/>
      </c>
      <c r="F398" t="str">
        <f>IF($A398="","",IF(Issues!$D401="",0,Issues!$D401))</f>
        <v/>
      </c>
      <c r="G398" t="str">
        <f>IF($A398="","",Issues!$E401)</f>
        <v/>
      </c>
      <c r="H398" t="str">
        <f t="shared" si="19"/>
        <v/>
      </c>
      <c r="I398" t="str">
        <f t="shared" si="20"/>
        <v/>
      </c>
      <c r="J398" t="str">
        <f>IF($A398="","",Issues!$G401)</f>
        <v/>
      </c>
      <c r="K398" t="str">
        <f>IF(OR($E398="",$E398="نامعتبر"),"",LEFT($E398,4)&amp;MID($E398,6,2)&amp;RIGHT($E398,2)&amp;"|"&amp;RIGHT("00000"&amp;393,5))</f>
        <v/>
      </c>
      <c r="M398" t="str">
        <f>IF(Sync!$M398&lt;&gt;"پاس چک","",IF(Sync!$P398="","",Sync!$P398))</f>
        <v/>
      </c>
      <c r="N398" t="str">
        <f>IF($M398="","",IF(ISNUMBER(Sync!$L398),IF(AND(Sync!$L398&gt;=10000101,Sync!$L398&lt;=99991231),RIGHT("0000"&amp;INT(Sync!$L398/10000),4)&amp;"/"&amp;RIGHT("00"&amp;INT(MOD(Sync!$L398,10000)/100),2)&amp;"/"&amp;RIGHT("00"&amp;MOD(Sync!$L398,100),2),""),IFERROR(RIGHT("0000"&amp;VALUE(TRIM(LEFT(Sync!$L398,FIND("/",Sync!$L398)-1))),4)&amp;"/"&amp;RIGHT("00"&amp;VALUE(TRIM(LEFT(MID(Sync!$L398,FIND("/",Sync!$L398)+1,20),FIND("/",MID(Sync!$L398,FIND("/",Sync!$L398)+1,20))-1))),2)&amp;"/"&amp;RIGHT("00"&amp;VALUE(TRIM(MID(MID(Sync!$L398,FIND("/",Sync!$L398)+1,20),FIND("/",MID(Sync!$L398,FIND("/",Sync!$L398)+1,20))+1,20))),2),"")))</f>
        <v/>
      </c>
    </row>
    <row r="399" spans="1:14" x14ac:dyDescent="0.2">
      <c r="A399" t="str">
        <f>IF(Issues!$B402="","",Issues!$B402)</f>
        <v/>
      </c>
      <c r="B399" t="str">
        <f>IF($A399="","",IF(ISNUMBER(Issues!$C402),IF(AND(Issues!$C402&gt;=10000101,Issues!$C402&lt;=99991231),INT(Issues!$C402/10000),""),IFERROR(VALUE(TRIM(LEFT(Issues!$C402,FIND("/",Issues!$C402)-1))),"")))</f>
        <v/>
      </c>
      <c r="C399" t="str">
        <f>IF(OR($A399="",$B399=""),"",IF(ISNUMBER(Issues!$C402),INT(MOD(Issues!$C402,10000)/100),IFERROR(VALUE(TRIM(LEFT(MID(Issues!$C402,FIND("/",Issues!$C402)+1,20),FIND("/",MID(Issues!$C402,FIND("/",Issues!$C402)+1,20))-1))),"")))</f>
        <v/>
      </c>
      <c r="D399" t="str">
        <f>IF(OR($A399="",$B399=""),"",IF(ISNUMBER(Issues!$C402),MOD(Issues!$C402,100),IFERROR(VALUE(TRIM(MID(MID(Issues!$C402,FIND("/",Issues!$C402)+1,20),FIND("/",MID(Issues!$C402,FIND("/",Issues!$C402)+1,20))+1,20))),"")))</f>
        <v/>
      </c>
      <c r="E399" t="str">
        <f t="shared" si="18"/>
        <v/>
      </c>
      <c r="F399" t="str">
        <f>IF($A399="","",IF(Issues!$D402="",0,Issues!$D402))</f>
        <v/>
      </c>
      <c r="G399" t="str">
        <f>IF($A399="","",Issues!$E402)</f>
        <v/>
      </c>
      <c r="H399" t="str">
        <f t="shared" si="19"/>
        <v/>
      </c>
      <c r="I399" t="str">
        <f t="shared" si="20"/>
        <v/>
      </c>
      <c r="J399" t="str">
        <f>IF($A399="","",Issues!$G402)</f>
        <v/>
      </c>
      <c r="K399" t="str">
        <f>IF(OR($E399="",$E399="نامعتبر"),"",LEFT($E399,4)&amp;MID($E399,6,2)&amp;RIGHT($E399,2)&amp;"|"&amp;RIGHT("00000"&amp;394,5))</f>
        <v/>
      </c>
      <c r="M399" t="str">
        <f>IF(Sync!$M399&lt;&gt;"پاس چک","",IF(Sync!$P399="","",Sync!$P399))</f>
        <v/>
      </c>
      <c r="N399" t="str">
        <f>IF($M399="","",IF(ISNUMBER(Sync!$L399),IF(AND(Sync!$L399&gt;=10000101,Sync!$L399&lt;=99991231),RIGHT("0000"&amp;INT(Sync!$L399/10000),4)&amp;"/"&amp;RIGHT("00"&amp;INT(MOD(Sync!$L399,10000)/100),2)&amp;"/"&amp;RIGHT("00"&amp;MOD(Sync!$L399,100),2),""),IFERROR(RIGHT("0000"&amp;VALUE(TRIM(LEFT(Sync!$L399,FIND("/",Sync!$L399)-1))),4)&amp;"/"&amp;RIGHT("00"&amp;VALUE(TRIM(LEFT(MID(Sync!$L399,FIND("/",Sync!$L399)+1,20),FIND("/",MID(Sync!$L399,FIND("/",Sync!$L399)+1,20))-1))),2)&amp;"/"&amp;RIGHT("00"&amp;VALUE(TRIM(MID(MID(Sync!$L399,FIND("/",Sync!$L399)+1,20),FIND("/",MID(Sync!$L399,FIND("/",Sync!$L399)+1,20))+1,20))),2),"")))</f>
        <v/>
      </c>
    </row>
    <row r="400" spans="1:14" x14ac:dyDescent="0.2">
      <c r="A400" t="str">
        <f>IF(Issues!$B403="","",Issues!$B403)</f>
        <v/>
      </c>
      <c r="B400" t="str">
        <f>IF($A400="","",IF(ISNUMBER(Issues!$C403),IF(AND(Issues!$C403&gt;=10000101,Issues!$C403&lt;=99991231),INT(Issues!$C403/10000),""),IFERROR(VALUE(TRIM(LEFT(Issues!$C403,FIND("/",Issues!$C403)-1))),"")))</f>
        <v/>
      </c>
      <c r="C400" t="str">
        <f>IF(OR($A400="",$B400=""),"",IF(ISNUMBER(Issues!$C403),INT(MOD(Issues!$C403,10000)/100),IFERROR(VALUE(TRIM(LEFT(MID(Issues!$C403,FIND("/",Issues!$C403)+1,20),FIND("/",MID(Issues!$C403,FIND("/",Issues!$C403)+1,20))-1))),"")))</f>
        <v/>
      </c>
      <c r="D400" t="str">
        <f>IF(OR($A400="",$B400=""),"",IF(ISNUMBER(Issues!$C403),MOD(Issues!$C403,100),IFERROR(VALUE(TRIM(MID(MID(Issues!$C403,FIND("/",Issues!$C403)+1,20),FIND("/",MID(Issues!$C403,FIND("/",Issues!$C403)+1,20))+1,20))),"")))</f>
        <v/>
      </c>
      <c r="E400" t="str">
        <f t="shared" si="18"/>
        <v/>
      </c>
      <c r="F400" t="str">
        <f>IF($A400="","",IF(Issues!$D403="",0,Issues!$D403))</f>
        <v/>
      </c>
      <c r="G400" t="str">
        <f>IF($A400="","",Issues!$E403)</f>
        <v/>
      </c>
      <c r="H400" t="str">
        <f t="shared" si="19"/>
        <v/>
      </c>
      <c r="I400" t="str">
        <f t="shared" si="20"/>
        <v/>
      </c>
      <c r="J400" t="str">
        <f>IF($A400="","",Issues!$G403)</f>
        <v/>
      </c>
      <c r="K400" t="str">
        <f>IF(OR($E400="",$E400="نامعتبر"),"",LEFT($E400,4)&amp;MID($E400,6,2)&amp;RIGHT($E400,2)&amp;"|"&amp;RIGHT("00000"&amp;395,5))</f>
        <v/>
      </c>
      <c r="M400" t="str">
        <f>IF(Sync!$M400&lt;&gt;"پاس چک","",IF(Sync!$P400="","",Sync!$P400))</f>
        <v/>
      </c>
      <c r="N400" t="str">
        <f>IF($M400="","",IF(ISNUMBER(Sync!$L400),IF(AND(Sync!$L400&gt;=10000101,Sync!$L400&lt;=99991231),RIGHT("0000"&amp;INT(Sync!$L400/10000),4)&amp;"/"&amp;RIGHT("00"&amp;INT(MOD(Sync!$L400,10000)/100),2)&amp;"/"&amp;RIGHT("00"&amp;MOD(Sync!$L400,100),2),""),IFERROR(RIGHT("0000"&amp;VALUE(TRIM(LEFT(Sync!$L400,FIND("/",Sync!$L400)-1))),4)&amp;"/"&amp;RIGHT("00"&amp;VALUE(TRIM(LEFT(MID(Sync!$L400,FIND("/",Sync!$L400)+1,20),FIND("/",MID(Sync!$L400,FIND("/",Sync!$L400)+1,20))-1))),2)&amp;"/"&amp;RIGHT("00"&amp;VALUE(TRIM(MID(MID(Sync!$L400,FIND("/",Sync!$L400)+1,20),FIND("/",MID(Sync!$L400,FIND("/",Sync!$L400)+1,20))+1,20))),2),"")))</f>
        <v/>
      </c>
    </row>
    <row r="401" spans="1:14" x14ac:dyDescent="0.2">
      <c r="A401" t="str">
        <f>IF(Issues!$B404="","",Issues!$B404)</f>
        <v/>
      </c>
      <c r="B401" t="str">
        <f>IF($A401="","",IF(ISNUMBER(Issues!$C404),IF(AND(Issues!$C404&gt;=10000101,Issues!$C404&lt;=99991231),INT(Issues!$C404/10000),""),IFERROR(VALUE(TRIM(LEFT(Issues!$C404,FIND("/",Issues!$C404)-1))),"")))</f>
        <v/>
      </c>
      <c r="C401" t="str">
        <f>IF(OR($A401="",$B401=""),"",IF(ISNUMBER(Issues!$C404),INT(MOD(Issues!$C404,10000)/100),IFERROR(VALUE(TRIM(LEFT(MID(Issues!$C404,FIND("/",Issues!$C404)+1,20),FIND("/",MID(Issues!$C404,FIND("/",Issues!$C404)+1,20))-1))),"")))</f>
        <v/>
      </c>
      <c r="D401" t="str">
        <f>IF(OR($A401="",$B401=""),"",IF(ISNUMBER(Issues!$C404),MOD(Issues!$C404,100),IFERROR(VALUE(TRIM(MID(MID(Issues!$C404,FIND("/",Issues!$C404)+1,20),FIND("/",MID(Issues!$C404,FIND("/",Issues!$C404)+1,20))+1,20))),"")))</f>
        <v/>
      </c>
      <c r="E401" t="str">
        <f t="shared" si="18"/>
        <v/>
      </c>
      <c r="F401" t="str">
        <f>IF($A401="","",IF(Issues!$D404="",0,Issues!$D404))</f>
        <v/>
      </c>
      <c r="G401" t="str">
        <f>IF($A401="","",Issues!$E404)</f>
        <v/>
      </c>
      <c r="H401" t="str">
        <f t="shared" si="19"/>
        <v/>
      </c>
      <c r="I401" t="str">
        <f t="shared" si="20"/>
        <v/>
      </c>
      <c r="J401" t="str">
        <f>IF($A401="","",Issues!$G404)</f>
        <v/>
      </c>
      <c r="K401" t="str">
        <f>IF(OR($E401="",$E401="نامعتبر"),"",LEFT($E401,4)&amp;MID($E401,6,2)&amp;RIGHT($E401,2)&amp;"|"&amp;RIGHT("00000"&amp;396,5))</f>
        <v/>
      </c>
      <c r="M401" t="str">
        <f>IF(Sync!$M401&lt;&gt;"پاس چک","",IF(Sync!$P401="","",Sync!$P401))</f>
        <v/>
      </c>
      <c r="N401" t="str">
        <f>IF($M401="","",IF(ISNUMBER(Sync!$L401),IF(AND(Sync!$L401&gt;=10000101,Sync!$L401&lt;=99991231),RIGHT("0000"&amp;INT(Sync!$L401/10000),4)&amp;"/"&amp;RIGHT("00"&amp;INT(MOD(Sync!$L401,10000)/100),2)&amp;"/"&amp;RIGHT("00"&amp;MOD(Sync!$L401,100),2),""),IFERROR(RIGHT("0000"&amp;VALUE(TRIM(LEFT(Sync!$L401,FIND("/",Sync!$L401)-1))),4)&amp;"/"&amp;RIGHT("00"&amp;VALUE(TRIM(LEFT(MID(Sync!$L401,FIND("/",Sync!$L401)+1,20),FIND("/",MID(Sync!$L401,FIND("/",Sync!$L401)+1,20))-1))),2)&amp;"/"&amp;RIGHT("00"&amp;VALUE(TRIM(MID(MID(Sync!$L401,FIND("/",Sync!$L401)+1,20),FIND("/",MID(Sync!$L401,FIND("/",Sync!$L401)+1,20))+1,20))),2),"")))</f>
        <v/>
      </c>
    </row>
    <row r="402" spans="1:14" x14ac:dyDescent="0.2">
      <c r="A402" t="str">
        <f>IF(Issues!$B405="","",Issues!$B405)</f>
        <v/>
      </c>
      <c r="B402" t="str">
        <f>IF($A402="","",IF(ISNUMBER(Issues!$C405),IF(AND(Issues!$C405&gt;=10000101,Issues!$C405&lt;=99991231),INT(Issues!$C405/10000),""),IFERROR(VALUE(TRIM(LEFT(Issues!$C405,FIND("/",Issues!$C405)-1))),"")))</f>
        <v/>
      </c>
      <c r="C402" t="str">
        <f>IF(OR($A402="",$B402=""),"",IF(ISNUMBER(Issues!$C405),INT(MOD(Issues!$C405,10000)/100),IFERROR(VALUE(TRIM(LEFT(MID(Issues!$C405,FIND("/",Issues!$C405)+1,20),FIND("/",MID(Issues!$C405,FIND("/",Issues!$C405)+1,20))-1))),"")))</f>
        <v/>
      </c>
      <c r="D402" t="str">
        <f>IF(OR($A402="",$B402=""),"",IF(ISNUMBER(Issues!$C405),MOD(Issues!$C405,100),IFERROR(VALUE(TRIM(MID(MID(Issues!$C405,FIND("/",Issues!$C405)+1,20),FIND("/",MID(Issues!$C405,FIND("/",Issues!$C405)+1,20))+1,20))),"")))</f>
        <v/>
      </c>
      <c r="E402" t="str">
        <f t="shared" si="18"/>
        <v/>
      </c>
      <c r="F402" t="str">
        <f>IF($A402="","",IF(Issues!$D405="",0,Issues!$D405))</f>
        <v/>
      </c>
      <c r="G402" t="str">
        <f>IF($A402="","",Issues!$E405)</f>
        <v/>
      </c>
      <c r="H402" t="str">
        <f t="shared" si="19"/>
        <v/>
      </c>
      <c r="I402" t="str">
        <f t="shared" si="20"/>
        <v/>
      </c>
      <c r="J402" t="str">
        <f>IF($A402="","",Issues!$G405)</f>
        <v/>
      </c>
      <c r="K402" t="str">
        <f>IF(OR($E402="",$E402="نامعتبر"),"",LEFT($E402,4)&amp;MID($E402,6,2)&amp;RIGHT($E402,2)&amp;"|"&amp;RIGHT("00000"&amp;397,5))</f>
        <v/>
      </c>
      <c r="M402" t="str">
        <f>IF(Sync!$M402&lt;&gt;"پاس چک","",IF(Sync!$P402="","",Sync!$P402))</f>
        <v/>
      </c>
      <c r="N402" t="str">
        <f>IF($M402="","",IF(ISNUMBER(Sync!$L402),IF(AND(Sync!$L402&gt;=10000101,Sync!$L402&lt;=99991231),RIGHT("0000"&amp;INT(Sync!$L402/10000),4)&amp;"/"&amp;RIGHT("00"&amp;INT(MOD(Sync!$L402,10000)/100),2)&amp;"/"&amp;RIGHT("00"&amp;MOD(Sync!$L402,100),2),""),IFERROR(RIGHT("0000"&amp;VALUE(TRIM(LEFT(Sync!$L402,FIND("/",Sync!$L402)-1))),4)&amp;"/"&amp;RIGHT("00"&amp;VALUE(TRIM(LEFT(MID(Sync!$L402,FIND("/",Sync!$L402)+1,20),FIND("/",MID(Sync!$L402,FIND("/",Sync!$L402)+1,20))-1))),2)&amp;"/"&amp;RIGHT("00"&amp;VALUE(TRIM(MID(MID(Sync!$L402,FIND("/",Sync!$L402)+1,20),FIND("/",MID(Sync!$L402,FIND("/",Sync!$L402)+1,20))+1,20))),2),"")))</f>
        <v/>
      </c>
    </row>
    <row r="403" spans="1:14" x14ac:dyDescent="0.2">
      <c r="A403" t="str">
        <f>IF(Issues!$B406="","",Issues!$B406)</f>
        <v/>
      </c>
      <c r="B403" t="str">
        <f>IF($A403="","",IF(ISNUMBER(Issues!$C406),IF(AND(Issues!$C406&gt;=10000101,Issues!$C406&lt;=99991231),INT(Issues!$C406/10000),""),IFERROR(VALUE(TRIM(LEFT(Issues!$C406,FIND("/",Issues!$C406)-1))),"")))</f>
        <v/>
      </c>
      <c r="C403" t="str">
        <f>IF(OR($A403="",$B403=""),"",IF(ISNUMBER(Issues!$C406),INT(MOD(Issues!$C406,10000)/100),IFERROR(VALUE(TRIM(LEFT(MID(Issues!$C406,FIND("/",Issues!$C406)+1,20),FIND("/",MID(Issues!$C406,FIND("/",Issues!$C406)+1,20))-1))),"")))</f>
        <v/>
      </c>
      <c r="D403" t="str">
        <f>IF(OR($A403="",$B403=""),"",IF(ISNUMBER(Issues!$C406),MOD(Issues!$C406,100),IFERROR(VALUE(TRIM(MID(MID(Issues!$C406,FIND("/",Issues!$C406)+1,20),FIND("/",MID(Issues!$C406,FIND("/",Issues!$C406)+1,20))+1,20))),"")))</f>
        <v/>
      </c>
      <c r="E403" t="str">
        <f t="shared" si="18"/>
        <v/>
      </c>
      <c r="F403" t="str">
        <f>IF($A403="","",IF(Issues!$D406="",0,Issues!$D406))</f>
        <v/>
      </c>
      <c r="G403" t="str">
        <f>IF($A403="","",Issues!$E406)</f>
        <v/>
      </c>
      <c r="H403" t="str">
        <f t="shared" si="19"/>
        <v/>
      </c>
      <c r="I403" t="str">
        <f t="shared" si="20"/>
        <v/>
      </c>
      <c r="J403" t="str">
        <f>IF($A403="","",Issues!$G406)</f>
        <v/>
      </c>
      <c r="K403" t="str">
        <f>IF(OR($E403="",$E403="نامعتبر"),"",LEFT($E403,4)&amp;MID($E403,6,2)&amp;RIGHT($E403,2)&amp;"|"&amp;RIGHT("00000"&amp;398,5))</f>
        <v/>
      </c>
      <c r="M403" t="str">
        <f>IF(Sync!$M403&lt;&gt;"پاس چک","",IF(Sync!$P403="","",Sync!$P403))</f>
        <v/>
      </c>
      <c r="N403" t="str">
        <f>IF($M403="","",IF(ISNUMBER(Sync!$L403),IF(AND(Sync!$L403&gt;=10000101,Sync!$L403&lt;=99991231),RIGHT("0000"&amp;INT(Sync!$L403/10000),4)&amp;"/"&amp;RIGHT("00"&amp;INT(MOD(Sync!$L403,10000)/100),2)&amp;"/"&amp;RIGHT("00"&amp;MOD(Sync!$L403,100),2),""),IFERROR(RIGHT("0000"&amp;VALUE(TRIM(LEFT(Sync!$L403,FIND("/",Sync!$L403)-1))),4)&amp;"/"&amp;RIGHT("00"&amp;VALUE(TRIM(LEFT(MID(Sync!$L403,FIND("/",Sync!$L403)+1,20),FIND("/",MID(Sync!$L403,FIND("/",Sync!$L403)+1,20))-1))),2)&amp;"/"&amp;RIGHT("00"&amp;VALUE(TRIM(MID(MID(Sync!$L403,FIND("/",Sync!$L403)+1,20),FIND("/",MID(Sync!$L403,FIND("/",Sync!$L403)+1,20))+1,20))),2),"")))</f>
        <v/>
      </c>
    </row>
    <row r="404" spans="1:14" x14ac:dyDescent="0.2">
      <c r="A404" t="str">
        <f>IF(Issues!$B407="","",Issues!$B407)</f>
        <v/>
      </c>
      <c r="B404" t="str">
        <f>IF($A404="","",IF(ISNUMBER(Issues!$C407),IF(AND(Issues!$C407&gt;=10000101,Issues!$C407&lt;=99991231),INT(Issues!$C407/10000),""),IFERROR(VALUE(TRIM(LEFT(Issues!$C407,FIND("/",Issues!$C407)-1))),"")))</f>
        <v/>
      </c>
      <c r="C404" t="str">
        <f>IF(OR($A404="",$B404=""),"",IF(ISNUMBER(Issues!$C407),INT(MOD(Issues!$C407,10000)/100),IFERROR(VALUE(TRIM(LEFT(MID(Issues!$C407,FIND("/",Issues!$C407)+1,20),FIND("/",MID(Issues!$C407,FIND("/",Issues!$C407)+1,20))-1))),"")))</f>
        <v/>
      </c>
      <c r="D404" t="str">
        <f>IF(OR($A404="",$B404=""),"",IF(ISNUMBER(Issues!$C407),MOD(Issues!$C407,100),IFERROR(VALUE(TRIM(MID(MID(Issues!$C407,FIND("/",Issues!$C407)+1,20),FIND("/",MID(Issues!$C407,FIND("/",Issues!$C407)+1,20))+1,20))),"")))</f>
        <v/>
      </c>
      <c r="E404" t="str">
        <f t="shared" si="18"/>
        <v/>
      </c>
      <c r="F404" t="str">
        <f>IF($A404="","",IF(Issues!$D407="",0,Issues!$D407))</f>
        <v/>
      </c>
      <c r="G404" t="str">
        <f>IF($A404="","",Issues!$E407)</f>
        <v/>
      </c>
      <c r="H404" t="str">
        <f t="shared" si="19"/>
        <v/>
      </c>
      <c r="I404" t="str">
        <f t="shared" si="20"/>
        <v/>
      </c>
      <c r="J404" t="str">
        <f>IF($A404="","",Issues!$G407)</f>
        <v/>
      </c>
      <c r="K404" t="str">
        <f>IF(OR($E404="",$E404="نامعتبر"),"",LEFT($E404,4)&amp;MID($E404,6,2)&amp;RIGHT($E404,2)&amp;"|"&amp;RIGHT("00000"&amp;399,5))</f>
        <v/>
      </c>
      <c r="M404" t="str">
        <f>IF(Sync!$M404&lt;&gt;"پاس چک","",IF(Sync!$P404="","",Sync!$P404))</f>
        <v/>
      </c>
      <c r="N404" t="str">
        <f>IF($M404="","",IF(ISNUMBER(Sync!$L404),IF(AND(Sync!$L404&gt;=10000101,Sync!$L404&lt;=99991231),RIGHT("0000"&amp;INT(Sync!$L404/10000),4)&amp;"/"&amp;RIGHT("00"&amp;INT(MOD(Sync!$L404,10000)/100),2)&amp;"/"&amp;RIGHT("00"&amp;MOD(Sync!$L404,100),2),""),IFERROR(RIGHT("0000"&amp;VALUE(TRIM(LEFT(Sync!$L404,FIND("/",Sync!$L404)-1))),4)&amp;"/"&amp;RIGHT("00"&amp;VALUE(TRIM(LEFT(MID(Sync!$L404,FIND("/",Sync!$L404)+1,20),FIND("/",MID(Sync!$L404,FIND("/",Sync!$L404)+1,20))-1))),2)&amp;"/"&amp;RIGHT("00"&amp;VALUE(TRIM(MID(MID(Sync!$L404,FIND("/",Sync!$L404)+1,20),FIND("/",MID(Sync!$L404,FIND("/",Sync!$L404)+1,20))+1,20))),2),"")))</f>
        <v/>
      </c>
    </row>
    <row r="405" spans="1:14" x14ac:dyDescent="0.2">
      <c r="A405" t="str">
        <f>IF(Issues!$B408="","",Issues!$B408)</f>
        <v/>
      </c>
      <c r="B405" t="str">
        <f>IF($A405="","",IF(ISNUMBER(Issues!$C408),IF(AND(Issues!$C408&gt;=10000101,Issues!$C408&lt;=99991231),INT(Issues!$C408/10000),""),IFERROR(VALUE(TRIM(LEFT(Issues!$C408,FIND("/",Issues!$C408)-1))),"")))</f>
        <v/>
      </c>
      <c r="C405" t="str">
        <f>IF(OR($A405="",$B405=""),"",IF(ISNUMBER(Issues!$C408),INT(MOD(Issues!$C408,10000)/100),IFERROR(VALUE(TRIM(LEFT(MID(Issues!$C408,FIND("/",Issues!$C408)+1,20),FIND("/",MID(Issues!$C408,FIND("/",Issues!$C408)+1,20))-1))),"")))</f>
        <v/>
      </c>
      <c r="D405" t="str">
        <f>IF(OR($A405="",$B405=""),"",IF(ISNUMBER(Issues!$C408),MOD(Issues!$C408,100),IFERROR(VALUE(TRIM(MID(MID(Issues!$C408,FIND("/",Issues!$C408)+1,20),FIND("/",MID(Issues!$C408,FIND("/",Issues!$C408)+1,20))+1,20))),"")))</f>
        <v/>
      </c>
      <c r="E405" t="str">
        <f t="shared" si="18"/>
        <v/>
      </c>
      <c r="F405" t="str">
        <f>IF($A405="","",IF(Issues!$D408="",0,Issues!$D408))</f>
        <v/>
      </c>
      <c r="G405" t="str">
        <f>IF($A405="","",Issues!$E408)</f>
        <v/>
      </c>
      <c r="H405" t="str">
        <f t="shared" si="19"/>
        <v/>
      </c>
      <c r="I405" t="str">
        <f t="shared" si="20"/>
        <v/>
      </c>
      <c r="J405" t="str">
        <f>IF($A405="","",Issues!$G408)</f>
        <v/>
      </c>
      <c r="K405" t="str">
        <f>IF(OR($E405="",$E405="نامعتبر"),"",LEFT($E405,4)&amp;MID($E405,6,2)&amp;RIGHT($E405,2)&amp;"|"&amp;RIGHT("00000"&amp;400,5))</f>
        <v/>
      </c>
      <c r="M405" t="str">
        <f>IF(Sync!$M405&lt;&gt;"پاس چک","",IF(Sync!$P405="","",Sync!$P405))</f>
        <v/>
      </c>
      <c r="N405" t="str">
        <f>IF($M405="","",IF(ISNUMBER(Sync!$L405),IF(AND(Sync!$L405&gt;=10000101,Sync!$L405&lt;=99991231),RIGHT("0000"&amp;INT(Sync!$L405/10000),4)&amp;"/"&amp;RIGHT("00"&amp;INT(MOD(Sync!$L405,10000)/100),2)&amp;"/"&amp;RIGHT("00"&amp;MOD(Sync!$L405,100),2),""),IFERROR(RIGHT("0000"&amp;VALUE(TRIM(LEFT(Sync!$L405,FIND("/",Sync!$L405)-1))),4)&amp;"/"&amp;RIGHT("00"&amp;VALUE(TRIM(LEFT(MID(Sync!$L405,FIND("/",Sync!$L405)+1,20),FIND("/",MID(Sync!$L405,FIND("/",Sync!$L405)+1,20))-1))),2)&amp;"/"&amp;RIGHT("00"&amp;VALUE(TRIM(MID(MID(Sync!$L405,FIND("/",Sync!$L405)+1,20),FIND("/",MID(Sync!$L405,FIND("/",Sync!$L405)+1,20))+1,20))),2),"")))</f>
        <v/>
      </c>
    </row>
    <row r="406" spans="1:14" x14ac:dyDescent="0.2">
      <c r="A406" t="str">
        <f>IF(Issues!$B409="","",Issues!$B409)</f>
        <v/>
      </c>
      <c r="B406" t="str">
        <f>IF($A406="","",IF(ISNUMBER(Issues!$C409),IF(AND(Issues!$C409&gt;=10000101,Issues!$C409&lt;=99991231),INT(Issues!$C409/10000),""),IFERROR(VALUE(TRIM(LEFT(Issues!$C409,FIND("/",Issues!$C409)-1))),"")))</f>
        <v/>
      </c>
      <c r="C406" t="str">
        <f>IF(OR($A406="",$B406=""),"",IF(ISNUMBER(Issues!$C409),INT(MOD(Issues!$C409,10000)/100),IFERROR(VALUE(TRIM(LEFT(MID(Issues!$C409,FIND("/",Issues!$C409)+1,20),FIND("/",MID(Issues!$C409,FIND("/",Issues!$C409)+1,20))-1))),"")))</f>
        <v/>
      </c>
      <c r="D406" t="str">
        <f>IF(OR($A406="",$B406=""),"",IF(ISNUMBER(Issues!$C409),MOD(Issues!$C409,100),IFERROR(VALUE(TRIM(MID(MID(Issues!$C409,FIND("/",Issues!$C409)+1,20),FIND("/",MID(Issues!$C409,FIND("/",Issues!$C409)+1,20))+1,20))),"")))</f>
        <v/>
      </c>
      <c r="E406" t="str">
        <f t="shared" si="18"/>
        <v/>
      </c>
      <c r="F406" t="str">
        <f>IF($A406="","",IF(Issues!$D409="",0,Issues!$D409))</f>
        <v/>
      </c>
      <c r="G406" t="str">
        <f>IF($A406="","",Issues!$E409)</f>
        <v/>
      </c>
      <c r="H406" t="str">
        <f t="shared" si="19"/>
        <v/>
      </c>
      <c r="I406" t="str">
        <f t="shared" si="20"/>
        <v/>
      </c>
      <c r="J406" t="str">
        <f>IF($A406="","",Issues!$G409)</f>
        <v/>
      </c>
      <c r="K406" t="str">
        <f>IF(OR($E406="",$E406="نامعتبر"),"",LEFT($E406,4)&amp;MID($E406,6,2)&amp;RIGHT($E406,2)&amp;"|"&amp;RIGHT("00000"&amp;401,5))</f>
        <v/>
      </c>
      <c r="M406" t="str">
        <f>IF(Sync!$M406&lt;&gt;"پاس چک","",IF(Sync!$P406="","",Sync!$P406))</f>
        <v/>
      </c>
      <c r="N406" t="str">
        <f>IF($M406="","",IF(ISNUMBER(Sync!$L406),IF(AND(Sync!$L406&gt;=10000101,Sync!$L406&lt;=99991231),RIGHT("0000"&amp;INT(Sync!$L406/10000),4)&amp;"/"&amp;RIGHT("00"&amp;INT(MOD(Sync!$L406,10000)/100),2)&amp;"/"&amp;RIGHT("00"&amp;MOD(Sync!$L406,100),2),""),IFERROR(RIGHT("0000"&amp;VALUE(TRIM(LEFT(Sync!$L406,FIND("/",Sync!$L406)-1))),4)&amp;"/"&amp;RIGHT("00"&amp;VALUE(TRIM(LEFT(MID(Sync!$L406,FIND("/",Sync!$L406)+1,20),FIND("/",MID(Sync!$L406,FIND("/",Sync!$L406)+1,20))-1))),2)&amp;"/"&amp;RIGHT("00"&amp;VALUE(TRIM(MID(MID(Sync!$L406,FIND("/",Sync!$L406)+1,20),FIND("/",MID(Sync!$L406,FIND("/",Sync!$L406)+1,20))+1,20))),2),"")))</f>
        <v/>
      </c>
    </row>
    <row r="407" spans="1:14" x14ac:dyDescent="0.2">
      <c r="A407" t="str">
        <f>IF(Issues!$B410="","",Issues!$B410)</f>
        <v/>
      </c>
      <c r="B407" t="str">
        <f>IF($A407="","",IF(ISNUMBER(Issues!$C410),IF(AND(Issues!$C410&gt;=10000101,Issues!$C410&lt;=99991231),INT(Issues!$C410/10000),""),IFERROR(VALUE(TRIM(LEFT(Issues!$C410,FIND("/",Issues!$C410)-1))),"")))</f>
        <v/>
      </c>
      <c r="C407" t="str">
        <f>IF(OR($A407="",$B407=""),"",IF(ISNUMBER(Issues!$C410),INT(MOD(Issues!$C410,10000)/100),IFERROR(VALUE(TRIM(LEFT(MID(Issues!$C410,FIND("/",Issues!$C410)+1,20),FIND("/",MID(Issues!$C410,FIND("/",Issues!$C410)+1,20))-1))),"")))</f>
        <v/>
      </c>
      <c r="D407" t="str">
        <f>IF(OR($A407="",$B407=""),"",IF(ISNUMBER(Issues!$C410),MOD(Issues!$C410,100),IFERROR(VALUE(TRIM(MID(MID(Issues!$C410,FIND("/",Issues!$C410)+1,20),FIND("/",MID(Issues!$C410,FIND("/",Issues!$C410)+1,20))+1,20))),"")))</f>
        <v/>
      </c>
      <c r="E407" t="str">
        <f t="shared" si="18"/>
        <v/>
      </c>
      <c r="F407" t="str">
        <f>IF($A407="","",IF(Issues!$D410="",0,Issues!$D410))</f>
        <v/>
      </c>
      <c r="G407" t="str">
        <f>IF($A407="","",Issues!$E410)</f>
        <v/>
      </c>
      <c r="H407" t="str">
        <f t="shared" si="19"/>
        <v/>
      </c>
      <c r="I407" t="str">
        <f t="shared" si="20"/>
        <v/>
      </c>
      <c r="J407" t="str">
        <f>IF($A407="","",Issues!$G410)</f>
        <v/>
      </c>
      <c r="K407" t="str">
        <f>IF(OR($E407="",$E407="نامعتبر"),"",LEFT($E407,4)&amp;MID($E407,6,2)&amp;RIGHT($E407,2)&amp;"|"&amp;RIGHT("00000"&amp;402,5))</f>
        <v/>
      </c>
      <c r="M407" t="str">
        <f>IF(Sync!$M407&lt;&gt;"پاس چک","",IF(Sync!$P407="","",Sync!$P407))</f>
        <v/>
      </c>
      <c r="N407" t="str">
        <f>IF($M407="","",IF(ISNUMBER(Sync!$L407),IF(AND(Sync!$L407&gt;=10000101,Sync!$L407&lt;=99991231),RIGHT("0000"&amp;INT(Sync!$L407/10000),4)&amp;"/"&amp;RIGHT("00"&amp;INT(MOD(Sync!$L407,10000)/100),2)&amp;"/"&amp;RIGHT("00"&amp;MOD(Sync!$L407,100),2),""),IFERROR(RIGHT("0000"&amp;VALUE(TRIM(LEFT(Sync!$L407,FIND("/",Sync!$L407)-1))),4)&amp;"/"&amp;RIGHT("00"&amp;VALUE(TRIM(LEFT(MID(Sync!$L407,FIND("/",Sync!$L407)+1,20),FIND("/",MID(Sync!$L407,FIND("/",Sync!$L407)+1,20))-1))),2)&amp;"/"&amp;RIGHT("00"&amp;VALUE(TRIM(MID(MID(Sync!$L407,FIND("/",Sync!$L407)+1,20),FIND("/",MID(Sync!$L407,FIND("/",Sync!$L407)+1,20))+1,20))),2),"")))</f>
        <v/>
      </c>
    </row>
    <row r="408" spans="1:14" x14ac:dyDescent="0.2">
      <c r="A408" t="str">
        <f>IF(Issues!$B411="","",Issues!$B411)</f>
        <v/>
      </c>
      <c r="B408" t="str">
        <f>IF($A408="","",IF(ISNUMBER(Issues!$C411),IF(AND(Issues!$C411&gt;=10000101,Issues!$C411&lt;=99991231),INT(Issues!$C411/10000),""),IFERROR(VALUE(TRIM(LEFT(Issues!$C411,FIND("/",Issues!$C411)-1))),"")))</f>
        <v/>
      </c>
      <c r="C408" t="str">
        <f>IF(OR($A408="",$B408=""),"",IF(ISNUMBER(Issues!$C411),INT(MOD(Issues!$C411,10000)/100),IFERROR(VALUE(TRIM(LEFT(MID(Issues!$C411,FIND("/",Issues!$C411)+1,20),FIND("/",MID(Issues!$C411,FIND("/",Issues!$C411)+1,20))-1))),"")))</f>
        <v/>
      </c>
      <c r="D408" t="str">
        <f>IF(OR($A408="",$B408=""),"",IF(ISNUMBER(Issues!$C411),MOD(Issues!$C411,100),IFERROR(VALUE(TRIM(MID(MID(Issues!$C411,FIND("/",Issues!$C411)+1,20),FIND("/",MID(Issues!$C411,FIND("/",Issues!$C411)+1,20))+1,20))),"")))</f>
        <v/>
      </c>
      <c r="E408" t="str">
        <f t="shared" si="18"/>
        <v/>
      </c>
      <c r="F408" t="str">
        <f>IF($A408="","",IF(Issues!$D411="",0,Issues!$D411))</f>
        <v/>
      </c>
      <c r="G408" t="str">
        <f>IF($A408="","",Issues!$E411)</f>
        <v/>
      </c>
      <c r="H408" t="str">
        <f t="shared" si="19"/>
        <v/>
      </c>
      <c r="I408" t="str">
        <f t="shared" si="20"/>
        <v/>
      </c>
      <c r="J408" t="str">
        <f>IF($A408="","",Issues!$G411)</f>
        <v/>
      </c>
      <c r="K408" t="str">
        <f>IF(OR($E408="",$E408="نامعتبر"),"",LEFT($E408,4)&amp;MID($E408,6,2)&amp;RIGHT($E408,2)&amp;"|"&amp;RIGHT("00000"&amp;403,5))</f>
        <v/>
      </c>
      <c r="M408" t="str">
        <f>IF(Sync!$M408&lt;&gt;"پاس چک","",IF(Sync!$P408="","",Sync!$P408))</f>
        <v/>
      </c>
      <c r="N408" t="str">
        <f>IF($M408="","",IF(ISNUMBER(Sync!$L408),IF(AND(Sync!$L408&gt;=10000101,Sync!$L408&lt;=99991231),RIGHT("0000"&amp;INT(Sync!$L408/10000),4)&amp;"/"&amp;RIGHT("00"&amp;INT(MOD(Sync!$L408,10000)/100),2)&amp;"/"&amp;RIGHT("00"&amp;MOD(Sync!$L408,100),2),""),IFERROR(RIGHT("0000"&amp;VALUE(TRIM(LEFT(Sync!$L408,FIND("/",Sync!$L408)-1))),4)&amp;"/"&amp;RIGHT("00"&amp;VALUE(TRIM(LEFT(MID(Sync!$L408,FIND("/",Sync!$L408)+1,20),FIND("/",MID(Sync!$L408,FIND("/",Sync!$L408)+1,20))-1))),2)&amp;"/"&amp;RIGHT("00"&amp;VALUE(TRIM(MID(MID(Sync!$L408,FIND("/",Sync!$L408)+1,20),FIND("/",MID(Sync!$L408,FIND("/",Sync!$L408)+1,20))+1,20))),2),"")))</f>
        <v/>
      </c>
    </row>
    <row r="409" spans="1:14" x14ac:dyDescent="0.2">
      <c r="A409" t="str">
        <f>IF(Issues!$B412="","",Issues!$B412)</f>
        <v/>
      </c>
      <c r="B409" t="str">
        <f>IF($A409="","",IF(ISNUMBER(Issues!$C412),IF(AND(Issues!$C412&gt;=10000101,Issues!$C412&lt;=99991231),INT(Issues!$C412/10000),""),IFERROR(VALUE(TRIM(LEFT(Issues!$C412,FIND("/",Issues!$C412)-1))),"")))</f>
        <v/>
      </c>
      <c r="C409" t="str">
        <f>IF(OR($A409="",$B409=""),"",IF(ISNUMBER(Issues!$C412),INT(MOD(Issues!$C412,10000)/100),IFERROR(VALUE(TRIM(LEFT(MID(Issues!$C412,FIND("/",Issues!$C412)+1,20),FIND("/",MID(Issues!$C412,FIND("/",Issues!$C412)+1,20))-1))),"")))</f>
        <v/>
      </c>
      <c r="D409" t="str">
        <f>IF(OR($A409="",$B409=""),"",IF(ISNUMBER(Issues!$C412),MOD(Issues!$C412,100),IFERROR(VALUE(TRIM(MID(MID(Issues!$C412,FIND("/",Issues!$C412)+1,20),FIND("/",MID(Issues!$C412,FIND("/",Issues!$C412)+1,20))+1,20))),"")))</f>
        <v/>
      </c>
      <c r="E409" t="str">
        <f t="shared" si="18"/>
        <v/>
      </c>
      <c r="F409" t="str">
        <f>IF($A409="","",IF(Issues!$D412="",0,Issues!$D412))</f>
        <v/>
      </c>
      <c r="G409" t="str">
        <f>IF($A409="","",Issues!$E412)</f>
        <v/>
      </c>
      <c r="H409" t="str">
        <f t="shared" si="19"/>
        <v/>
      </c>
      <c r="I409" t="str">
        <f t="shared" si="20"/>
        <v/>
      </c>
      <c r="J409" t="str">
        <f>IF($A409="","",Issues!$G412)</f>
        <v/>
      </c>
      <c r="K409" t="str">
        <f>IF(OR($E409="",$E409="نامعتبر"),"",LEFT($E409,4)&amp;MID($E409,6,2)&amp;RIGHT($E409,2)&amp;"|"&amp;RIGHT("00000"&amp;404,5))</f>
        <v/>
      </c>
      <c r="M409" t="str">
        <f>IF(Sync!$M409&lt;&gt;"پاس چک","",IF(Sync!$P409="","",Sync!$P409))</f>
        <v/>
      </c>
      <c r="N409" t="str">
        <f>IF($M409="","",IF(ISNUMBER(Sync!$L409),IF(AND(Sync!$L409&gt;=10000101,Sync!$L409&lt;=99991231),RIGHT("0000"&amp;INT(Sync!$L409/10000),4)&amp;"/"&amp;RIGHT("00"&amp;INT(MOD(Sync!$L409,10000)/100),2)&amp;"/"&amp;RIGHT("00"&amp;MOD(Sync!$L409,100),2),""),IFERROR(RIGHT("0000"&amp;VALUE(TRIM(LEFT(Sync!$L409,FIND("/",Sync!$L409)-1))),4)&amp;"/"&amp;RIGHT("00"&amp;VALUE(TRIM(LEFT(MID(Sync!$L409,FIND("/",Sync!$L409)+1,20),FIND("/",MID(Sync!$L409,FIND("/",Sync!$L409)+1,20))-1))),2)&amp;"/"&amp;RIGHT("00"&amp;VALUE(TRIM(MID(MID(Sync!$L409,FIND("/",Sync!$L409)+1,20),FIND("/",MID(Sync!$L409,FIND("/",Sync!$L409)+1,20))+1,20))),2),"")))</f>
        <v/>
      </c>
    </row>
    <row r="410" spans="1:14" x14ac:dyDescent="0.2">
      <c r="A410" t="str">
        <f>IF(Issues!$B413="","",Issues!$B413)</f>
        <v/>
      </c>
      <c r="B410" t="str">
        <f>IF($A410="","",IF(ISNUMBER(Issues!$C413),IF(AND(Issues!$C413&gt;=10000101,Issues!$C413&lt;=99991231),INT(Issues!$C413/10000),""),IFERROR(VALUE(TRIM(LEFT(Issues!$C413,FIND("/",Issues!$C413)-1))),"")))</f>
        <v/>
      </c>
      <c r="C410" t="str">
        <f>IF(OR($A410="",$B410=""),"",IF(ISNUMBER(Issues!$C413),INT(MOD(Issues!$C413,10000)/100),IFERROR(VALUE(TRIM(LEFT(MID(Issues!$C413,FIND("/",Issues!$C413)+1,20),FIND("/",MID(Issues!$C413,FIND("/",Issues!$C413)+1,20))-1))),"")))</f>
        <v/>
      </c>
      <c r="D410" t="str">
        <f>IF(OR($A410="",$B410=""),"",IF(ISNUMBER(Issues!$C413),MOD(Issues!$C413,100),IFERROR(VALUE(TRIM(MID(MID(Issues!$C413,FIND("/",Issues!$C413)+1,20),FIND("/",MID(Issues!$C413,FIND("/",Issues!$C413)+1,20))+1,20))),"")))</f>
        <v/>
      </c>
      <c r="E410" t="str">
        <f t="shared" si="18"/>
        <v/>
      </c>
      <c r="F410" t="str">
        <f>IF($A410="","",IF(Issues!$D413="",0,Issues!$D413))</f>
        <v/>
      </c>
      <c r="G410" t="str">
        <f>IF($A410="","",Issues!$E413)</f>
        <v/>
      </c>
      <c r="H410" t="str">
        <f t="shared" si="19"/>
        <v/>
      </c>
      <c r="I410" t="str">
        <f t="shared" si="20"/>
        <v/>
      </c>
      <c r="J410" t="str">
        <f>IF($A410="","",Issues!$G413)</f>
        <v/>
      </c>
      <c r="K410" t="str">
        <f>IF(OR($E410="",$E410="نامعتبر"),"",LEFT($E410,4)&amp;MID($E410,6,2)&amp;RIGHT($E410,2)&amp;"|"&amp;RIGHT("00000"&amp;405,5))</f>
        <v/>
      </c>
      <c r="M410" t="str">
        <f>IF(Sync!$M410&lt;&gt;"پاس چک","",IF(Sync!$P410="","",Sync!$P410))</f>
        <v/>
      </c>
      <c r="N410" t="str">
        <f>IF($M410="","",IF(ISNUMBER(Sync!$L410),IF(AND(Sync!$L410&gt;=10000101,Sync!$L410&lt;=99991231),RIGHT("0000"&amp;INT(Sync!$L410/10000),4)&amp;"/"&amp;RIGHT("00"&amp;INT(MOD(Sync!$L410,10000)/100),2)&amp;"/"&amp;RIGHT("00"&amp;MOD(Sync!$L410,100),2),""),IFERROR(RIGHT("0000"&amp;VALUE(TRIM(LEFT(Sync!$L410,FIND("/",Sync!$L410)-1))),4)&amp;"/"&amp;RIGHT("00"&amp;VALUE(TRIM(LEFT(MID(Sync!$L410,FIND("/",Sync!$L410)+1,20),FIND("/",MID(Sync!$L410,FIND("/",Sync!$L410)+1,20))-1))),2)&amp;"/"&amp;RIGHT("00"&amp;VALUE(TRIM(MID(MID(Sync!$L410,FIND("/",Sync!$L410)+1,20),FIND("/",MID(Sync!$L410,FIND("/",Sync!$L410)+1,20))+1,20))),2),"")))</f>
        <v/>
      </c>
    </row>
    <row r="411" spans="1:14" x14ac:dyDescent="0.2">
      <c r="A411" t="str">
        <f>IF(Issues!$B414="","",Issues!$B414)</f>
        <v/>
      </c>
      <c r="B411" t="str">
        <f>IF($A411="","",IF(ISNUMBER(Issues!$C414),IF(AND(Issues!$C414&gt;=10000101,Issues!$C414&lt;=99991231),INT(Issues!$C414/10000),""),IFERROR(VALUE(TRIM(LEFT(Issues!$C414,FIND("/",Issues!$C414)-1))),"")))</f>
        <v/>
      </c>
      <c r="C411" t="str">
        <f>IF(OR($A411="",$B411=""),"",IF(ISNUMBER(Issues!$C414),INT(MOD(Issues!$C414,10000)/100),IFERROR(VALUE(TRIM(LEFT(MID(Issues!$C414,FIND("/",Issues!$C414)+1,20),FIND("/",MID(Issues!$C414,FIND("/",Issues!$C414)+1,20))-1))),"")))</f>
        <v/>
      </c>
      <c r="D411" t="str">
        <f>IF(OR($A411="",$B411=""),"",IF(ISNUMBER(Issues!$C414),MOD(Issues!$C414,100),IFERROR(VALUE(TRIM(MID(MID(Issues!$C414,FIND("/",Issues!$C414)+1,20),FIND("/",MID(Issues!$C414,FIND("/",Issues!$C414)+1,20))+1,20))),"")))</f>
        <v/>
      </c>
      <c r="E411" t="str">
        <f t="shared" si="18"/>
        <v/>
      </c>
      <c r="F411" t="str">
        <f>IF($A411="","",IF(Issues!$D414="",0,Issues!$D414))</f>
        <v/>
      </c>
      <c r="G411" t="str">
        <f>IF($A411="","",Issues!$E414)</f>
        <v/>
      </c>
      <c r="H411" t="str">
        <f t="shared" si="19"/>
        <v/>
      </c>
      <c r="I411" t="str">
        <f t="shared" si="20"/>
        <v/>
      </c>
      <c r="J411" t="str">
        <f>IF($A411="","",Issues!$G414)</f>
        <v/>
      </c>
      <c r="K411" t="str">
        <f>IF(OR($E411="",$E411="نامعتبر"),"",LEFT($E411,4)&amp;MID($E411,6,2)&amp;RIGHT($E411,2)&amp;"|"&amp;RIGHT("00000"&amp;406,5))</f>
        <v/>
      </c>
      <c r="M411" t="str">
        <f>IF(Sync!$M411&lt;&gt;"پاس چک","",IF(Sync!$P411="","",Sync!$P411))</f>
        <v/>
      </c>
      <c r="N411" t="str">
        <f>IF($M411="","",IF(ISNUMBER(Sync!$L411),IF(AND(Sync!$L411&gt;=10000101,Sync!$L411&lt;=99991231),RIGHT("0000"&amp;INT(Sync!$L411/10000),4)&amp;"/"&amp;RIGHT("00"&amp;INT(MOD(Sync!$L411,10000)/100),2)&amp;"/"&amp;RIGHT("00"&amp;MOD(Sync!$L411,100),2),""),IFERROR(RIGHT("0000"&amp;VALUE(TRIM(LEFT(Sync!$L411,FIND("/",Sync!$L411)-1))),4)&amp;"/"&amp;RIGHT("00"&amp;VALUE(TRIM(LEFT(MID(Sync!$L411,FIND("/",Sync!$L411)+1,20),FIND("/",MID(Sync!$L411,FIND("/",Sync!$L411)+1,20))-1))),2)&amp;"/"&amp;RIGHT("00"&amp;VALUE(TRIM(MID(MID(Sync!$L411,FIND("/",Sync!$L411)+1,20),FIND("/",MID(Sync!$L411,FIND("/",Sync!$L411)+1,20))+1,20))),2),"")))</f>
        <v/>
      </c>
    </row>
    <row r="412" spans="1:14" x14ac:dyDescent="0.2">
      <c r="A412" t="str">
        <f>IF(Issues!$B415="","",Issues!$B415)</f>
        <v/>
      </c>
      <c r="B412" t="str">
        <f>IF($A412="","",IF(ISNUMBER(Issues!$C415),IF(AND(Issues!$C415&gt;=10000101,Issues!$C415&lt;=99991231),INT(Issues!$C415/10000),""),IFERROR(VALUE(TRIM(LEFT(Issues!$C415,FIND("/",Issues!$C415)-1))),"")))</f>
        <v/>
      </c>
      <c r="C412" t="str">
        <f>IF(OR($A412="",$B412=""),"",IF(ISNUMBER(Issues!$C415),INT(MOD(Issues!$C415,10000)/100),IFERROR(VALUE(TRIM(LEFT(MID(Issues!$C415,FIND("/",Issues!$C415)+1,20),FIND("/",MID(Issues!$C415,FIND("/",Issues!$C415)+1,20))-1))),"")))</f>
        <v/>
      </c>
      <c r="D412" t="str">
        <f>IF(OR($A412="",$B412=""),"",IF(ISNUMBER(Issues!$C415),MOD(Issues!$C415,100),IFERROR(VALUE(TRIM(MID(MID(Issues!$C415,FIND("/",Issues!$C415)+1,20),FIND("/",MID(Issues!$C415,FIND("/",Issues!$C415)+1,20))+1,20))),"")))</f>
        <v/>
      </c>
      <c r="E412" t="str">
        <f t="shared" si="18"/>
        <v/>
      </c>
      <c r="F412" t="str">
        <f>IF($A412="","",IF(Issues!$D415="",0,Issues!$D415))</f>
        <v/>
      </c>
      <c r="G412" t="str">
        <f>IF($A412="","",Issues!$E415)</f>
        <v/>
      </c>
      <c r="H412" t="str">
        <f t="shared" si="19"/>
        <v/>
      </c>
      <c r="I412" t="str">
        <f t="shared" si="20"/>
        <v/>
      </c>
      <c r="J412" t="str">
        <f>IF($A412="","",Issues!$G415)</f>
        <v/>
      </c>
      <c r="K412" t="str">
        <f>IF(OR($E412="",$E412="نامعتبر"),"",LEFT($E412,4)&amp;MID($E412,6,2)&amp;RIGHT($E412,2)&amp;"|"&amp;RIGHT("00000"&amp;407,5))</f>
        <v/>
      </c>
      <c r="M412" t="str">
        <f>IF(Sync!$M412&lt;&gt;"پاس چک","",IF(Sync!$P412="","",Sync!$P412))</f>
        <v/>
      </c>
      <c r="N412" t="str">
        <f>IF($M412="","",IF(ISNUMBER(Sync!$L412),IF(AND(Sync!$L412&gt;=10000101,Sync!$L412&lt;=99991231),RIGHT("0000"&amp;INT(Sync!$L412/10000),4)&amp;"/"&amp;RIGHT("00"&amp;INT(MOD(Sync!$L412,10000)/100),2)&amp;"/"&amp;RIGHT("00"&amp;MOD(Sync!$L412,100),2),""),IFERROR(RIGHT("0000"&amp;VALUE(TRIM(LEFT(Sync!$L412,FIND("/",Sync!$L412)-1))),4)&amp;"/"&amp;RIGHT("00"&amp;VALUE(TRIM(LEFT(MID(Sync!$L412,FIND("/",Sync!$L412)+1,20),FIND("/",MID(Sync!$L412,FIND("/",Sync!$L412)+1,20))-1))),2)&amp;"/"&amp;RIGHT("00"&amp;VALUE(TRIM(MID(MID(Sync!$L412,FIND("/",Sync!$L412)+1,20),FIND("/",MID(Sync!$L412,FIND("/",Sync!$L412)+1,20))+1,20))),2),"")))</f>
        <v/>
      </c>
    </row>
    <row r="413" spans="1:14" x14ac:dyDescent="0.2">
      <c r="A413" t="str">
        <f>IF(Issues!$B416="","",Issues!$B416)</f>
        <v/>
      </c>
      <c r="B413" t="str">
        <f>IF($A413="","",IF(ISNUMBER(Issues!$C416),IF(AND(Issues!$C416&gt;=10000101,Issues!$C416&lt;=99991231),INT(Issues!$C416/10000),""),IFERROR(VALUE(TRIM(LEFT(Issues!$C416,FIND("/",Issues!$C416)-1))),"")))</f>
        <v/>
      </c>
      <c r="C413" t="str">
        <f>IF(OR($A413="",$B413=""),"",IF(ISNUMBER(Issues!$C416),INT(MOD(Issues!$C416,10000)/100),IFERROR(VALUE(TRIM(LEFT(MID(Issues!$C416,FIND("/",Issues!$C416)+1,20),FIND("/",MID(Issues!$C416,FIND("/",Issues!$C416)+1,20))-1))),"")))</f>
        <v/>
      </c>
      <c r="D413" t="str">
        <f>IF(OR($A413="",$B413=""),"",IF(ISNUMBER(Issues!$C416),MOD(Issues!$C416,100),IFERROR(VALUE(TRIM(MID(MID(Issues!$C416,FIND("/",Issues!$C416)+1,20),FIND("/",MID(Issues!$C416,FIND("/",Issues!$C416)+1,20))+1,20))),"")))</f>
        <v/>
      </c>
      <c r="E413" t="str">
        <f t="shared" si="18"/>
        <v/>
      </c>
      <c r="F413" t="str">
        <f>IF($A413="","",IF(Issues!$D416="",0,Issues!$D416))</f>
        <v/>
      </c>
      <c r="G413" t="str">
        <f>IF($A413="","",Issues!$E416)</f>
        <v/>
      </c>
      <c r="H413" t="str">
        <f t="shared" si="19"/>
        <v/>
      </c>
      <c r="I413" t="str">
        <f t="shared" si="20"/>
        <v/>
      </c>
      <c r="J413" t="str">
        <f>IF($A413="","",Issues!$G416)</f>
        <v/>
      </c>
      <c r="K413" t="str">
        <f>IF(OR($E413="",$E413="نامعتبر"),"",LEFT($E413,4)&amp;MID($E413,6,2)&amp;RIGHT($E413,2)&amp;"|"&amp;RIGHT("00000"&amp;408,5))</f>
        <v/>
      </c>
      <c r="M413" t="str">
        <f>IF(Sync!$M413&lt;&gt;"پاس چک","",IF(Sync!$P413="","",Sync!$P413))</f>
        <v/>
      </c>
      <c r="N413" t="str">
        <f>IF($M413="","",IF(ISNUMBER(Sync!$L413),IF(AND(Sync!$L413&gt;=10000101,Sync!$L413&lt;=99991231),RIGHT("0000"&amp;INT(Sync!$L413/10000),4)&amp;"/"&amp;RIGHT("00"&amp;INT(MOD(Sync!$L413,10000)/100),2)&amp;"/"&amp;RIGHT("00"&amp;MOD(Sync!$L413,100),2),""),IFERROR(RIGHT("0000"&amp;VALUE(TRIM(LEFT(Sync!$L413,FIND("/",Sync!$L413)-1))),4)&amp;"/"&amp;RIGHT("00"&amp;VALUE(TRIM(LEFT(MID(Sync!$L413,FIND("/",Sync!$L413)+1,20),FIND("/",MID(Sync!$L413,FIND("/",Sync!$L413)+1,20))-1))),2)&amp;"/"&amp;RIGHT("00"&amp;VALUE(TRIM(MID(MID(Sync!$L413,FIND("/",Sync!$L413)+1,20),FIND("/",MID(Sync!$L413,FIND("/",Sync!$L413)+1,20))+1,20))),2),"")))</f>
        <v/>
      </c>
    </row>
    <row r="414" spans="1:14" x14ac:dyDescent="0.2">
      <c r="A414" t="str">
        <f>IF(Issues!$B417="","",Issues!$B417)</f>
        <v/>
      </c>
      <c r="B414" t="str">
        <f>IF($A414="","",IF(ISNUMBER(Issues!$C417),IF(AND(Issues!$C417&gt;=10000101,Issues!$C417&lt;=99991231),INT(Issues!$C417/10000),""),IFERROR(VALUE(TRIM(LEFT(Issues!$C417,FIND("/",Issues!$C417)-1))),"")))</f>
        <v/>
      </c>
      <c r="C414" t="str">
        <f>IF(OR($A414="",$B414=""),"",IF(ISNUMBER(Issues!$C417),INT(MOD(Issues!$C417,10000)/100),IFERROR(VALUE(TRIM(LEFT(MID(Issues!$C417,FIND("/",Issues!$C417)+1,20),FIND("/",MID(Issues!$C417,FIND("/",Issues!$C417)+1,20))-1))),"")))</f>
        <v/>
      </c>
      <c r="D414" t="str">
        <f>IF(OR($A414="",$B414=""),"",IF(ISNUMBER(Issues!$C417),MOD(Issues!$C417,100),IFERROR(VALUE(TRIM(MID(MID(Issues!$C417,FIND("/",Issues!$C417)+1,20),FIND("/",MID(Issues!$C417,FIND("/",Issues!$C417)+1,20))+1,20))),"")))</f>
        <v/>
      </c>
      <c r="E414" t="str">
        <f t="shared" si="18"/>
        <v/>
      </c>
      <c r="F414" t="str">
        <f>IF($A414="","",IF(Issues!$D417="",0,Issues!$D417))</f>
        <v/>
      </c>
      <c r="G414" t="str">
        <f>IF($A414="","",Issues!$E417)</f>
        <v/>
      </c>
      <c r="H414" t="str">
        <f t="shared" si="19"/>
        <v/>
      </c>
      <c r="I414" t="str">
        <f t="shared" si="20"/>
        <v/>
      </c>
      <c r="J414" t="str">
        <f>IF($A414="","",Issues!$G417)</f>
        <v/>
      </c>
      <c r="K414" t="str">
        <f>IF(OR($E414="",$E414="نامعتبر"),"",LEFT($E414,4)&amp;MID($E414,6,2)&amp;RIGHT($E414,2)&amp;"|"&amp;RIGHT("00000"&amp;409,5))</f>
        <v/>
      </c>
      <c r="M414" t="str">
        <f>IF(Sync!$M414&lt;&gt;"پاس چک","",IF(Sync!$P414="","",Sync!$P414))</f>
        <v/>
      </c>
      <c r="N414" t="str">
        <f>IF($M414="","",IF(ISNUMBER(Sync!$L414),IF(AND(Sync!$L414&gt;=10000101,Sync!$L414&lt;=99991231),RIGHT("0000"&amp;INT(Sync!$L414/10000),4)&amp;"/"&amp;RIGHT("00"&amp;INT(MOD(Sync!$L414,10000)/100),2)&amp;"/"&amp;RIGHT("00"&amp;MOD(Sync!$L414,100),2),""),IFERROR(RIGHT("0000"&amp;VALUE(TRIM(LEFT(Sync!$L414,FIND("/",Sync!$L414)-1))),4)&amp;"/"&amp;RIGHT("00"&amp;VALUE(TRIM(LEFT(MID(Sync!$L414,FIND("/",Sync!$L414)+1,20),FIND("/",MID(Sync!$L414,FIND("/",Sync!$L414)+1,20))-1))),2)&amp;"/"&amp;RIGHT("00"&amp;VALUE(TRIM(MID(MID(Sync!$L414,FIND("/",Sync!$L414)+1,20),FIND("/",MID(Sync!$L414,FIND("/",Sync!$L414)+1,20))+1,20))),2),"")))</f>
        <v/>
      </c>
    </row>
    <row r="415" spans="1:14" x14ac:dyDescent="0.2">
      <c r="A415" t="str">
        <f>IF(Issues!$B418="","",Issues!$B418)</f>
        <v/>
      </c>
      <c r="B415" t="str">
        <f>IF($A415="","",IF(ISNUMBER(Issues!$C418),IF(AND(Issues!$C418&gt;=10000101,Issues!$C418&lt;=99991231),INT(Issues!$C418/10000),""),IFERROR(VALUE(TRIM(LEFT(Issues!$C418,FIND("/",Issues!$C418)-1))),"")))</f>
        <v/>
      </c>
      <c r="C415" t="str">
        <f>IF(OR($A415="",$B415=""),"",IF(ISNUMBER(Issues!$C418),INT(MOD(Issues!$C418,10000)/100),IFERROR(VALUE(TRIM(LEFT(MID(Issues!$C418,FIND("/",Issues!$C418)+1,20),FIND("/",MID(Issues!$C418,FIND("/",Issues!$C418)+1,20))-1))),"")))</f>
        <v/>
      </c>
      <c r="D415" t="str">
        <f>IF(OR($A415="",$B415=""),"",IF(ISNUMBER(Issues!$C418),MOD(Issues!$C418,100),IFERROR(VALUE(TRIM(MID(MID(Issues!$C418,FIND("/",Issues!$C418)+1,20),FIND("/",MID(Issues!$C418,FIND("/",Issues!$C418)+1,20))+1,20))),"")))</f>
        <v/>
      </c>
      <c r="E415" t="str">
        <f t="shared" si="18"/>
        <v/>
      </c>
      <c r="F415" t="str">
        <f>IF($A415="","",IF(Issues!$D418="",0,Issues!$D418))</f>
        <v/>
      </c>
      <c r="G415" t="str">
        <f>IF($A415="","",Issues!$E418)</f>
        <v/>
      </c>
      <c r="H415" t="str">
        <f t="shared" si="19"/>
        <v/>
      </c>
      <c r="I415" t="str">
        <f t="shared" si="20"/>
        <v/>
      </c>
      <c r="J415" t="str">
        <f>IF($A415="","",Issues!$G418)</f>
        <v/>
      </c>
      <c r="K415" t="str">
        <f>IF(OR($E415="",$E415="نامعتبر"),"",LEFT($E415,4)&amp;MID($E415,6,2)&amp;RIGHT($E415,2)&amp;"|"&amp;RIGHT("00000"&amp;410,5))</f>
        <v/>
      </c>
      <c r="M415" t="str">
        <f>IF(Sync!$M415&lt;&gt;"پاس چک","",IF(Sync!$P415="","",Sync!$P415))</f>
        <v/>
      </c>
      <c r="N415" t="str">
        <f>IF($M415="","",IF(ISNUMBER(Sync!$L415),IF(AND(Sync!$L415&gt;=10000101,Sync!$L415&lt;=99991231),RIGHT("0000"&amp;INT(Sync!$L415/10000),4)&amp;"/"&amp;RIGHT("00"&amp;INT(MOD(Sync!$L415,10000)/100),2)&amp;"/"&amp;RIGHT("00"&amp;MOD(Sync!$L415,100),2),""),IFERROR(RIGHT("0000"&amp;VALUE(TRIM(LEFT(Sync!$L415,FIND("/",Sync!$L415)-1))),4)&amp;"/"&amp;RIGHT("00"&amp;VALUE(TRIM(LEFT(MID(Sync!$L415,FIND("/",Sync!$L415)+1,20),FIND("/",MID(Sync!$L415,FIND("/",Sync!$L415)+1,20))-1))),2)&amp;"/"&amp;RIGHT("00"&amp;VALUE(TRIM(MID(MID(Sync!$L415,FIND("/",Sync!$L415)+1,20),FIND("/",MID(Sync!$L415,FIND("/",Sync!$L415)+1,20))+1,20))),2),"")))</f>
        <v/>
      </c>
    </row>
    <row r="416" spans="1:14" x14ac:dyDescent="0.2">
      <c r="A416" t="str">
        <f>IF(Issues!$B419="","",Issues!$B419)</f>
        <v/>
      </c>
      <c r="B416" t="str">
        <f>IF($A416="","",IF(ISNUMBER(Issues!$C419),IF(AND(Issues!$C419&gt;=10000101,Issues!$C419&lt;=99991231),INT(Issues!$C419/10000),""),IFERROR(VALUE(TRIM(LEFT(Issues!$C419,FIND("/",Issues!$C419)-1))),"")))</f>
        <v/>
      </c>
      <c r="C416" t="str">
        <f>IF(OR($A416="",$B416=""),"",IF(ISNUMBER(Issues!$C419),INT(MOD(Issues!$C419,10000)/100),IFERROR(VALUE(TRIM(LEFT(MID(Issues!$C419,FIND("/",Issues!$C419)+1,20),FIND("/",MID(Issues!$C419,FIND("/",Issues!$C419)+1,20))-1))),"")))</f>
        <v/>
      </c>
      <c r="D416" t="str">
        <f>IF(OR($A416="",$B416=""),"",IF(ISNUMBER(Issues!$C419),MOD(Issues!$C419,100),IFERROR(VALUE(TRIM(MID(MID(Issues!$C419,FIND("/",Issues!$C419)+1,20),FIND("/",MID(Issues!$C419,FIND("/",Issues!$C419)+1,20))+1,20))),"")))</f>
        <v/>
      </c>
      <c r="E416" t="str">
        <f t="shared" si="18"/>
        <v/>
      </c>
      <c r="F416" t="str">
        <f>IF($A416="","",IF(Issues!$D419="",0,Issues!$D419))</f>
        <v/>
      </c>
      <c r="G416" t="str">
        <f>IF($A416="","",Issues!$E419)</f>
        <v/>
      </c>
      <c r="H416" t="str">
        <f t="shared" si="19"/>
        <v/>
      </c>
      <c r="I416" t="str">
        <f t="shared" si="20"/>
        <v/>
      </c>
      <c r="J416" t="str">
        <f>IF($A416="","",Issues!$G419)</f>
        <v/>
      </c>
      <c r="K416" t="str">
        <f>IF(OR($E416="",$E416="نامعتبر"),"",LEFT($E416,4)&amp;MID($E416,6,2)&amp;RIGHT($E416,2)&amp;"|"&amp;RIGHT("00000"&amp;411,5))</f>
        <v/>
      </c>
      <c r="M416" t="str">
        <f>IF(Sync!$M416&lt;&gt;"پاس چک","",IF(Sync!$P416="","",Sync!$P416))</f>
        <v/>
      </c>
      <c r="N416" t="str">
        <f>IF($M416="","",IF(ISNUMBER(Sync!$L416),IF(AND(Sync!$L416&gt;=10000101,Sync!$L416&lt;=99991231),RIGHT("0000"&amp;INT(Sync!$L416/10000),4)&amp;"/"&amp;RIGHT("00"&amp;INT(MOD(Sync!$L416,10000)/100),2)&amp;"/"&amp;RIGHT("00"&amp;MOD(Sync!$L416,100),2),""),IFERROR(RIGHT("0000"&amp;VALUE(TRIM(LEFT(Sync!$L416,FIND("/",Sync!$L416)-1))),4)&amp;"/"&amp;RIGHT("00"&amp;VALUE(TRIM(LEFT(MID(Sync!$L416,FIND("/",Sync!$L416)+1,20),FIND("/",MID(Sync!$L416,FIND("/",Sync!$L416)+1,20))-1))),2)&amp;"/"&amp;RIGHT("00"&amp;VALUE(TRIM(MID(MID(Sync!$L416,FIND("/",Sync!$L416)+1,20),FIND("/",MID(Sync!$L416,FIND("/",Sync!$L416)+1,20))+1,20))),2),"")))</f>
        <v/>
      </c>
    </row>
    <row r="417" spans="1:14" x14ac:dyDescent="0.2">
      <c r="A417" t="str">
        <f>IF(Issues!$B420="","",Issues!$B420)</f>
        <v/>
      </c>
      <c r="B417" t="str">
        <f>IF($A417="","",IF(ISNUMBER(Issues!$C420),IF(AND(Issues!$C420&gt;=10000101,Issues!$C420&lt;=99991231),INT(Issues!$C420/10000),""),IFERROR(VALUE(TRIM(LEFT(Issues!$C420,FIND("/",Issues!$C420)-1))),"")))</f>
        <v/>
      </c>
      <c r="C417" t="str">
        <f>IF(OR($A417="",$B417=""),"",IF(ISNUMBER(Issues!$C420),INT(MOD(Issues!$C420,10000)/100),IFERROR(VALUE(TRIM(LEFT(MID(Issues!$C420,FIND("/",Issues!$C420)+1,20),FIND("/",MID(Issues!$C420,FIND("/",Issues!$C420)+1,20))-1))),"")))</f>
        <v/>
      </c>
      <c r="D417" t="str">
        <f>IF(OR($A417="",$B417=""),"",IF(ISNUMBER(Issues!$C420),MOD(Issues!$C420,100),IFERROR(VALUE(TRIM(MID(MID(Issues!$C420,FIND("/",Issues!$C420)+1,20),FIND("/",MID(Issues!$C420,FIND("/",Issues!$C420)+1,20))+1,20))),"")))</f>
        <v/>
      </c>
      <c r="E417" t="str">
        <f t="shared" si="18"/>
        <v/>
      </c>
      <c r="F417" t="str">
        <f>IF($A417="","",IF(Issues!$D420="",0,Issues!$D420))</f>
        <v/>
      </c>
      <c r="G417" t="str">
        <f>IF($A417="","",Issues!$E420)</f>
        <v/>
      </c>
      <c r="H417" t="str">
        <f t="shared" si="19"/>
        <v/>
      </c>
      <c r="I417" t="str">
        <f t="shared" si="20"/>
        <v/>
      </c>
      <c r="J417" t="str">
        <f>IF($A417="","",Issues!$G420)</f>
        <v/>
      </c>
      <c r="K417" t="str">
        <f>IF(OR($E417="",$E417="نامعتبر"),"",LEFT($E417,4)&amp;MID($E417,6,2)&amp;RIGHT($E417,2)&amp;"|"&amp;RIGHT("00000"&amp;412,5))</f>
        <v/>
      </c>
      <c r="M417" t="str">
        <f>IF(Sync!$M417&lt;&gt;"پاس چک","",IF(Sync!$P417="","",Sync!$P417))</f>
        <v/>
      </c>
      <c r="N417" t="str">
        <f>IF($M417="","",IF(ISNUMBER(Sync!$L417),IF(AND(Sync!$L417&gt;=10000101,Sync!$L417&lt;=99991231),RIGHT("0000"&amp;INT(Sync!$L417/10000),4)&amp;"/"&amp;RIGHT("00"&amp;INT(MOD(Sync!$L417,10000)/100),2)&amp;"/"&amp;RIGHT("00"&amp;MOD(Sync!$L417,100),2),""),IFERROR(RIGHT("0000"&amp;VALUE(TRIM(LEFT(Sync!$L417,FIND("/",Sync!$L417)-1))),4)&amp;"/"&amp;RIGHT("00"&amp;VALUE(TRIM(LEFT(MID(Sync!$L417,FIND("/",Sync!$L417)+1,20),FIND("/",MID(Sync!$L417,FIND("/",Sync!$L417)+1,20))-1))),2)&amp;"/"&amp;RIGHT("00"&amp;VALUE(TRIM(MID(MID(Sync!$L417,FIND("/",Sync!$L417)+1,20),FIND("/",MID(Sync!$L417,FIND("/",Sync!$L417)+1,20))+1,20))),2),"")))</f>
        <v/>
      </c>
    </row>
    <row r="418" spans="1:14" x14ac:dyDescent="0.2">
      <c r="A418" t="str">
        <f>IF(Issues!$B421="","",Issues!$B421)</f>
        <v/>
      </c>
      <c r="B418" t="str">
        <f>IF($A418="","",IF(ISNUMBER(Issues!$C421),IF(AND(Issues!$C421&gt;=10000101,Issues!$C421&lt;=99991231),INT(Issues!$C421/10000),""),IFERROR(VALUE(TRIM(LEFT(Issues!$C421,FIND("/",Issues!$C421)-1))),"")))</f>
        <v/>
      </c>
      <c r="C418" t="str">
        <f>IF(OR($A418="",$B418=""),"",IF(ISNUMBER(Issues!$C421),INT(MOD(Issues!$C421,10000)/100),IFERROR(VALUE(TRIM(LEFT(MID(Issues!$C421,FIND("/",Issues!$C421)+1,20),FIND("/",MID(Issues!$C421,FIND("/",Issues!$C421)+1,20))-1))),"")))</f>
        <v/>
      </c>
      <c r="D418" t="str">
        <f>IF(OR($A418="",$B418=""),"",IF(ISNUMBER(Issues!$C421),MOD(Issues!$C421,100),IFERROR(VALUE(TRIM(MID(MID(Issues!$C421,FIND("/",Issues!$C421)+1,20),FIND("/",MID(Issues!$C421,FIND("/",Issues!$C421)+1,20))+1,20))),"")))</f>
        <v/>
      </c>
      <c r="E418" t="str">
        <f t="shared" si="18"/>
        <v/>
      </c>
      <c r="F418" t="str">
        <f>IF($A418="","",IF(Issues!$D421="",0,Issues!$D421))</f>
        <v/>
      </c>
      <c r="G418" t="str">
        <f>IF($A418="","",Issues!$E421)</f>
        <v/>
      </c>
      <c r="H418" t="str">
        <f t="shared" si="19"/>
        <v/>
      </c>
      <c r="I418" t="str">
        <f t="shared" si="20"/>
        <v/>
      </c>
      <c r="J418" t="str">
        <f>IF($A418="","",Issues!$G421)</f>
        <v/>
      </c>
      <c r="K418" t="str">
        <f>IF(OR($E418="",$E418="نامعتبر"),"",LEFT($E418,4)&amp;MID($E418,6,2)&amp;RIGHT($E418,2)&amp;"|"&amp;RIGHT("00000"&amp;413,5))</f>
        <v/>
      </c>
      <c r="M418" t="str">
        <f>IF(Sync!$M418&lt;&gt;"پاس چک","",IF(Sync!$P418="","",Sync!$P418))</f>
        <v/>
      </c>
      <c r="N418" t="str">
        <f>IF($M418="","",IF(ISNUMBER(Sync!$L418),IF(AND(Sync!$L418&gt;=10000101,Sync!$L418&lt;=99991231),RIGHT("0000"&amp;INT(Sync!$L418/10000),4)&amp;"/"&amp;RIGHT("00"&amp;INT(MOD(Sync!$L418,10000)/100),2)&amp;"/"&amp;RIGHT("00"&amp;MOD(Sync!$L418,100),2),""),IFERROR(RIGHT("0000"&amp;VALUE(TRIM(LEFT(Sync!$L418,FIND("/",Sync!$L418)-1))),4)&amp;"/"&amp;RIGHT("00"&amp;VALUE(TRIM(LEFT(MID(Sync!$L418,FIND("/",Sync!$L418)+1,20),FIND("/",MID(Sync!$L418,FIND("/",Sync!$L418)+1,20))-1))),2)&amp;"/"&amp;RIGHT("00"&amp;VALUE(TRIM(MID(MID(Sync!$L418,FIND("/",Sync!$L418)+1,20),FIND("/",MID(Sync!$L418,FIND("/",Sync!$L418)+1,20))+1,20))),2),"")))</f>
        <v/>
      </c>
    </row>
    <row r="419" spans="1:14" x14ac:dyDescent="0.2">
      <c r="A419" t="str">
        <f>IF(Issues!$B422="","",Issues!$B422)</f>
        <v/>
      </c>
      <c r="B419" t="str">
        <f>IF($A419="","",IF(ISNUMBER(Issues!$C422),IF(AND(Issues!$C422&gt;=10000101,Issues!$C422&lt;=99991231),INT(Issues!$C422/10000),""),IFERROR(VALUE(TRIM(LEFT(Issues!$C422,FIND("/",Issues!$C422)-1))),"")))</f>
        <v/>
      </c>
      <c r="C419" t="str">
        <f>IF(OR($A419="",$B419=""),"",IF(ISNUMBER(Issues!$C422),INT(MOD(Issues!$C422,10000)/100),IFERROR(VALUE(TRIM(LEFT(MID(Issues!$C422,FIND("/",Issues!$C422)+1,20),FIND("/",MID(Issues!$C422,FIND("/",Issues!$C422)+1,20))-1))),"")))</f>
        <v/>
      </c>
      <c r="D419" t="str">
        <f>IF(OR($A419="",$B419=""),"",IF(ISNUMBER(Issues!$C422),MOD(Issues!$C422,100),IFERROR(VALUE(TRIM(MID(MID(Issues!$C422,FIND("/",Issues!$C422)+1,20),FIND("/",MID(Issues!$C422,FIND("/",Issues!$C422)+1,20))+1,20))),"")))</f>
        <v/>
      </c>
      <c r="E419" t="str">
        <f t="shared" si="18"/>
        <v/>
      </c>
      <c r="F419" t="str">
        <f>IF($A419="","",IF(Issues!$D422="",0,Issues!$D422))</f>
        <v/>
      </c>
      <c r="G419" t="str">
        <f>IF($A419="","",Issues!$E422)</f>
        <v/>
      </c>
      <c r="H419" t="str">
        <f t="shared" si="19"/>
        <v/>
      </c>
      <c r="I419" t="str">
        <f t="shared" si="20"/>
        <v/>
      </c>
      <c r="J419" t="str">
        <f>IF($A419="","",Issues!$G422)</f>
        <v/>
      </c>
      <c r="K419" t="str">
        <f>IF(OR($E419="",$E419="نامعتبر"),"",LEFT($E419,4)&amp;MID($E419,6,2)&amp;RIGHT($E419,2)&amp;"|"&amp;RIGHT("00000"&amp;414,5))</f>
        <v/>
      </c>
      <c r="M419" t="str">
        <f>IF(Sync!$M419&lt;&gt;"پاس چک","",IF(Sync!$P419="","",Sync!$P419))</f>
        <v/>
      </c>
      <c r="N419" t="str">
        <f>IF($M419="","",IF(ISNUMBER(Sync!$L419),IF(AND(Sync!$L419&gt;=10000101,Sync!$L419&lt;=99991231),RIGHT("0000"&amp;INT(Sync!$L419/10000),4)&amp;"/"&amp;RIGHT("00"&amp;INT(MOD(Sync!$L419,10000)/100),2)&amp;"/"&amp;RIGHT("00"&amp;MOD(Sync!$L419,100),2),""),IFERROR(RIGHT("0000"&amp;VALUE(TRIM(LEFT(Sync!$L419,FIND("/",Sync!$L419)-1))),4)&amp;"/"&amp;RIGHT("00"&amp;VALUE(TRIM(LEFT(MID(Sync!$L419,FIND("/",Sync!$L419)+1,20),FIND("/",MID(Sync!$L419,FIND("/",Sync!$L419)+1,20))-1))),2)&amp;"/"&amp;RIGHT("00"&amp;VALUE(TRIM(MID(MID(Sync!$L419,FIND("/",Sync!$L419)+1,20),FIND("/",MID(Sync!$L419,FIND("/",Sync!$L419)+1,20))+1,20))),2),"")))</f>
        <v/>
      </c>
    </row>
    <row r="420" spans="1:14" x14ac:dyDescent="0.2">
      <c r="A420" t="str">
        <f>IF(Issues!$B423="","",Issues!$B423)</f>
        <v/>
      </c>
      <c r="B420" t="str">
        <f>IF($A420="","",IF(ISNUMBER(Issues!$C423),IF(AND(Issues!$C423&gt;=10000101,Issues!$C423&lt;=99991231),INT(Issues!$C423/10000),""),IFERROR(VALUE(TRIM(LEFT(Issues!$C423,FIND("/",Issues!$C423)-1))),"")))</f>
        <v/>
      </c>
      <c r="C420" t="str">
        <f>IF(OR($A420="",$B420=""),"",IF(ISNUMBER(Issues!$C423),INT(MOD(Issues!$C423,10000)/100),IFERROR(VALUE(TRIM(LEFT(MID(Issues!$C423,FIND("/",Issues!$C423)+1,20),FIND("/",MID(Issues!$C423,FIND("/",Issues!$C423)+1,20))-1))),"")))</f>
        <v/>
      </c>
      <c r="D420" t="str">
        <f>IF(OR($A420="",$B420=""),"",IF(ISNUMBER(Issues!$C423),MOD(Issues!$C423,100),IFERROR(VALUE(TRIM(MID(MID(Issues!$C423,FIND("/",Issues!$C423)+1,20),FIND("/",MID(Issues!$C423,FIND("/",Issues!$C423)+1,20))+1,20))),"")))</f>
        <v/>
      </c>
      <c r="E420" t="str">
        <f t="shared" si="18"/>
        <v/>
      </c>
      <c r="F420" t="str">
        <f>IF($A420="","",IF(Issues!$D423="",0,Issues!$D423))</f>
        <v/>
      </c>
      <c r="G420" t="str">
        <f>IF($A420="","",Issues!$E423)</f>
        <v/>
      </c>
      <c r="H420" t="str">
        <f t="shared" si="19"/>
        <v/>
      </c>
      <c r="I420" t="str">
        <f t="shared" si="20"/>
        <v/>
      </c>
      <c r="J420" t="str">
        <f>IF($A420="","",Issues!$G423)</f>
        <v/>
      </c>
      <c r="K420" t="str">
        <f>IF(OR($E420="",$E420="نامعتبر"),"",LEFT($E420,4)&amp;MID($E420,6,2)&amp;RIGHT($E420,2)&amp;"|"&amp;RIGHT("00000"&amp;415,5))</f>
        <v/>
      </c>
      <c r="M420" t="str">
        <f>IF(Sync!$M420&lt;&gt;"پاس چک","",IF(Sync!$P420="","",Sync!$P420))</f>
        <v/>
      </c>
      <c r="N420" t="str">
        <f>IF($M420="","",IF(ISNUMBER(Sync!$L420),IF(AND(Sync!$L420&gt;=10000101,Sync!$L420&lt;=99991231),RIGHT("0000"&amp;INT(Sync!$L420/10000),4)&amp;"/"&amp;RIGHT("00"&amp;INT(MOD(Sync!$L420,10000)/100),2)&amp;"/"&amp;RIGHT("00"&amp;MOD(Sync!$L420,100),2),""),IFERROR(RIGHT("0000"&amp;VALUE(TRIM(LEFT(Sync!$L420,FIND("/",Sync!$L420)-1))),4)&amp;"/"&amp;RIGHT("00"&amp;VALUE(TRIM(LEFT(MID(Sync!$L420,FIND("/",Sync!$L420)+1,20),FIND("/",MID(Sync!$L420,FIND("/",Sync!$L420)+1,20))-1))),2)&amp;"/"&amp;RIGHT("00"&amp;VALUE(TRIM(MID(MID(Sync!$L420,FIND("/",Sync!$L420)+1,20),FIND("/",MID(Sync!$L420,FIND("/",Sync!$L420)+1,20))+1,20))),2),"")))</f>
        <v/>
      </c>
    </row>
    <row r="421" spans="1:14" x14ac:dyDescent="0.2">
      <c r="A421" t="str">
        <f>IF(Issues!$B424="","",Issues!$B424)</f>
        <v/>
      </c>
      <c r="B421" t="str">
        <f>IF($A421="","",IF(ISNUMBER(Issues!$C424),IF(AND(Issues!$C424&gt;=10000101,Issues!$C424&lt;=99991231),INT(Issues!$C424/10000),""),IFERROR(VALUE(TRIM(LEFT(Issues!$C424,FIND("/",Issues!$C424)-1))),"")))</f>
        <v/>
      </c>
      <c r="C421" t="str">
        <f>IF(OR($A421="",$B421=""),"",IF(ISNUMBER(Issues!$C424),INT(MOD(Issues!$C424,10000)/100),IFERROR(VALUE(TRIM(LEFT(MID(Issues!$C424,FIND("/",Issues!$C424)+1,20),FIND("/",MID(Issues!$C424,FIND("/",Issues!$C424)+1,20))-1))),"")))</f>
        <v/>
      </c>
      <c r="D421" t="str">
        <f>IF(OR($A421="",$B421=""),"",IF(ISNUMBER(Issues!$C424),MOD(Issues!$C424,100),IFERROR(VALUE(TRIM(MID(MID(Issues!$C424,FIND("/",Issues!$C424)+1,20),FIND("/",MID(Issues!$C424,FIND("/",Issues!$C424)+1,20))+1,20))),"")))</f>
        <v/>
      </c>
      <c r="E421" t="str">
        <f t="shared" si="18"/>
        <v/>
      </c>
      <c r="F421" t="str">
        <f>IF($A421="","",IF(Issues!$D424="",0,Issues!$D424))</f>
        <v/>
      </c>
      <c r="G421" t="str">
        <f>IF($A421="","",Issues!$E424)</f>
        <v/>
      </c>
      <c r="H421" t="str">
        <f t="shared" si="19"/>
        <v/>
      </c>
      <c r="I421" t="str">
        <f t="shared" si="20"/>
        <v/>
      </c>
      <c r="J421" t="str">
        <f>IF($A421="","",Issues!$G424)</f>
        <v/>
      </c>
      <c r="K421" t="str">
        <f>IF(OR($E421="",$E421="نامعتبر"),"",LEFT($E421,4)&amp;MID($E421,6,2)&amp;RIGHT($E421,2)&amp;"|"&amp;RIGHT("00000"&amp;416,5))</f>
        <v/>
      </c>
      <c r="M421" t="str">
        <f>IF(Sync!$M421&lt;&gt;"پاس چک","",IF(Sync!$P421="","",Sync!$P421))</f>
        <v/>
      </c>
      <c r="N421" t="str">
        <f>IF($M421="","",IF(ISNUMBER(Sync!$L421),IF(AND(Sync!$L421&gt;=10000101,Sync!$L421&lt;=99991231),RIGHT("0000"&amp;INT(Sync!$L421/10000),4)&amp;"/"&amp;RIGHT("00"&amp;INT(MOD(Sync!$L421,10000)/100),2)&amp;"/"&amp;RIGHT("00"&amp;MOD(Sync!$L421,100),2),""),IFERROR(RIGHT("0000"&amp;VALUE(TRIM(LEFT(Sync!$L421,FIND("/",Sync!$L421)-1))),4)&amp;"/"&amp;RIGHT("00"&amp;VALUE(TRIM(LEFT(MID(Sync!$L421,FIND("/",Sync!$L421)+1,20),FIND("/",MID(Sync!$L421,FIND("/",Sync!$L421)+1,20))-1))),2)&amp;"/"&amp;RIGHT("00"&amp;VALUE(TRIM(MID(MID(Sync!$L421,FIND("/",Sync!$L421)+1,20),FIND("/",MID(Sync!$L421,FIND("/",Sync!$L421)+1,20))+1,20))),2),"")))</f>
        <v/>
      </c>
    </row>
    <row r="422" spans="1:14" x14ac:dyDescent="0.2">
      <c r="A422" t="str">
        <f>IF(Issues!$B425="","",Issues!$B425)</f>
        <v/>
      </c>
      <c r="B422" t="str">
        <f>IF($A422="","",IF(ISNUMBER(Issues!$C425),IF(AND(Issues!$C425&gt;=10000101,Issues!$C425&lt;=99991231),INT(Issues!$C425/10000),""),IFERROR(VALUE(TRIM(LEFT(Issues!$C425,FIND("/",Issues!$C425)-1))),"")))</f>
        <v/>
      </c>
      <c r="C422" t="str">
        <f>IF(OR($A422="",$B422=""),"",IF(ISNUMBER(Issues!$C425),INT(MOD(Issues!$C425,10000)/100),IFERROR(VALUE(TRIM(LEFT(MID(Issues!$C425,FIND("/",Issues!$C425)+1,20),FIND("/",MID(Issues!$C425,FIND("/",Issues!$C425)+1,20))-1))),"")))</f>
        <v/>
      </c>
      <c r="D422" t="str">
        <f>IF(OR($A422="",$B422=""),"",IF(ISNUMBER(Issues!$C425),MOD(Issues!$C425,100),IFERROR(VALUE(TRIM(MID(MID(Issues!$C425,FIND("/",Issues!$C425)+1,20),FIND("/",MID(Issues!$C425,FIND("/",Issues!$C425)+1,20))+1,20))),"")))</f>
        <v/>
      </c>
      <c r="E422" t="str">
        <f t="shared" si="18"/>
        <v/>
      </c>
      <c r="F422" t="str">
        <f>IF($A422="","",IF(Issues!$D425="",0,Issues!$D425))</f>
        <v/>
      </c>
      <c r="G422" t="str">
        <f>IF($A422="","",Issues!$E425)</f>
        <v/>
      </c>
      <c r="H422" t="str">
        <f t="shared" si="19"/>
        <v/>
      </c>
      <c r="I422" t="str">
        <f t="shared" si="20"/>
        <v/>
      </c>
      <c r="J422" t="str">
        <f>IF($A422="","",Issues!$G425)</f>
        <v/>
      </c>
      <c r="K422" t="str">
        <f>IF(OR($E422="",$E422="نامعتبر"),"",LEFT($E422,4)&amp;MID($E422,6,2)&amp;RIGHT($E422,2)&amp;"|"&amp;RIGHT("00000"&amp;417,5))</f>
        <v/>
      </c>
      <c r="M422" t="str">
        <f>IF(Sync!$M422&lt;&gt;"پاس چک","",IF(Sync!$P422="","",Sync!$P422))</f>
        <v/>
      </c>
      <c r="N422" t="str">
        <f>IF($M422="","",IF(ISNUMBER(Sync!$L422),IF(AND(Sync!$L422&gt;=10000101,Sync!$L422&lt;=99991231),RIGHT("0000"&amp;INT(Sync!$L422/10000),4)&amp;"/"&amp;RIGHT("00"&amp;INT(MOD(Sync!$L422,10000)/100),2)&amp;"/"&amp;RIGHT("00"&amp;MOD(Sync!$L422,100),2),""),IFERROR(RIGHT("0000"&amp;VALUE(TRIM(LEFT(Sync!$L422,FIND("/",Sync!$L422)-1))),4)&amp;"/"&amp;RIGHT("00"&amp;VALUE(TRIM(LEFT(MID(Sync!$L422,FIND("/",Sync!$L422)+1,20),FIND("/",MID(Sync!$L422,FIND("/",Sync!$L422)+1,20))-1))),2)&amp;"/"&amp;RIGHT("00"&amp;VALUE(TRIM(MID(MID(Sync!$L422,FIND("/",Sync!$L422)+1,20),FIND("/",MID(Sync!$L422,FIND("/",Sync!$L422)+1,20))+1,20))),2),"")))</f>
        <v/>
      </c>
    </row>
    <row r="423" spans="1:14" x14ac:dyDescent="0.2">
      <c r="A423" t="str">
        <f>IF(Issues!$B426="","",Issues!$B426)</f>
        <v/>
      </c>
      <c r="B423" t="str">
        <f>IF($A423="","",IF(ISNUMBER(Issues!$C426),IF(AND(Issues!$C426&gt;=10000101,Issues!$C426&lt;=99991231),INT(Issues!$C426/10000),""),IFERROR(VALUE(TRIM(LEFT(Issues!$C426,FIND("/",Issues!$C426)-1))),"")))</f>
        <v/>
      </c>
      <c r="C423" t="str">
        <f>IF(OR($A423="",$B423=""),"",IF(ISNUMBER(Issues!$C426),INT(MOD(Issues!$C426,10000)/100),IFERROR(VALUE(TRIM(LEFT(MID(Issues!$C426,FIND("/",Issues!$C426)+1,20),FIND("/",MID(Issues!$C426,FIND("/",Issues!$C426)+1,20))-1))),"")))</f>
        <v/>
      </c>
      <c r="D423" t="str">
        <f>IF(OR($A423="",$B423=""),"",IF(ISNUMBER(Issues!$C426),MOD(Issues!$C426,100),IFERROR(VALUE(TRIM(MID(MID(Issues!$C426,FIND("/",Issues!$C426)+1,20),FIND("/",MID(Issues!$C426,FIND("/",Issues!$C426)+1,20))+1,20))),"")))</f>
        <v/>
      </c>
      <c r="E423" t="str">
        <f t="shared" si="18"/>
        <v/>
      </c>
      <c r="F423" t="str">
        <f>IF($A423="","",IF(Issues!$D426="",0,Issues!$D426))</f>
        <v/>
      </c>
      <c r="G423" t="str">
        <f>IF($A423="","",Issues!$E426)</f>
        <v/>
      </c>
      <c r="H423" t="str">
        <f t="shared" si="19"/>
        <v/>
      </c>
      <c r="I423" t="str">
        <f t="shared" si="20"/>
        <v/>
      </c>
      <c r="J423" t="str">
        <f>IF($A423="","",Issues!$G426)</f>
        <v/>
      </c>
      <c r="K423" t="str">
        <f>IF(OR($E423="",$E423="نامعتبر"),"",LEFT($E423,4)&amp;MID($E423,6,2)&amp;RIGHT($E423,2)&amp;"|"&amp;RIGHT("00000"&amp;418,5))</f>
        <v/>
      </c>
      <c r="M423" t="str">
        <f>IF(Sync!$M423&lt;&gt;"پاس چک","",IF(Sync!$P423="","",Sync!$P423))</f>
        <v/>
      </c>
      <c r="N423" t="str">
        <f>IF($M423="","",IF(ISNUMBER(Sync!$L423),IF(AND(Sync!$L423&gt;=10000101,Sync!$L423&lt;=99991231),RIGHT("0000"&amp;INT(Sync!$L423/10000),4)&amp;"/"&amp;RIGHT("00"&amp;INT(MOD(Sync!$L423,10000)/100),2)&amp;"/"&amp;RIGHT("00"&amp;MOD(Sync!$L423,100),2),""),IFERROR(RIGHT("0000"&amp;VALUE(TRIM(LEFT(Sync!$L423,FIND("/",Sync!$L423)-1))),4)&amp;"/"&amp;RIGHT("00"&amp;VALUE(TRIM(LEFT(MID(Sync!$L423,FIND("/",Sync!$L423)+1,20),FIND("/",MID(Sync!$L423,FIND("/",Sync!$L423)+1,20))-1))),2)&amp;"/"&amp;RIGHT("00"&amp;VALUE(TRIM(MID(MID(Sync!$L423,FIND("/",Sync!$L423)+1,20),FIND("/",MID(Sync!$L423,FIND("/",Sync!$L423)+1,20))+1,20))),2),"")))</f>
        <v/>
      </c>
    </row>
    <row r="424" spans="1:14" x14ac:dyDescent="0.2">
      <c r="A424" t="str">
        <f>IF(Issues!$B427="","",Issues!$B427)</f>
        <v/>
      </c>
      <c r="B424" t="str">
        <f>IF($A424="","",IF(ISNUMBER(Issues!$C427),IF(AND(Issues!$C427&gt;=10000101,Issues!$C427&lt;=99991231),INT(Issues!$C427/10000),""),IFERROR(VALUE(TRIM(LEFT(Issues!$C427,FIND("/",Issues!$C427)-1))),"")))</f>
        <v/>
      </c>
      <c r="C424" t="str">
        <f>IF(OR($A424="",$B424=""),"",IF(ISNUMBER(Issues!$C427),INT(MOD(Issues!$C427,10000)/100),IFERROR(VALUE(TRIM(LEFT(MID(Issues!$C427,FIND("/",Issues!$C427)+1,20),FIND("/",MID(Issues!$C427,FIND("/",Issues!$C427)+1,20))-1))),"")))</f>
        <v/>
      </c>
      <c r="D424" t="str">
        <f>IF(OR($A424="",$B424=""),"",IF(ISNUMBER(Issues!$C427),MOD(Issues!$C427,100),IFERROR(VALUE(TRIM(MID(MID(Issues!$C427,FIND("/",Issues!$C427)+1,20),FIND("/",MID(Issues!$C427,FIND("/",Issues!$C427)+1,20))+1,20))),"")))</f>
        <v/>
      </c>
      <c r="E424" t="str">
        <f t="shared" si="18"/>
        <v/>
      </c>
      <c r="F424" t="str">
        <f>IF($A424="","",IF(Issues!$D427="",0,Issues!$D427))</f>
        <v/>
      </c>
      <c r="G424" t="str">
        <f>IF($A424="","",Issues!$E427)</f>
        <v/>
      </c>
      <c r="H424" t="str">
        <f t="shared" si="19"/>
        <v/>
      </c>
      <c r="I424" t="str">
        <f t="shared" si="20"/>
        <v/>
      </c>
      <c r="J424" t="str">
        <f>IF($A424="","",Issues!$G427)</f>
        <v/>
      </c>
      <c r="K424" t="str">
        <f>IF(OR($E424="",$E424="نامعتبر"),"",LEFT($E424,4)&amp;MID($E424,6,2)&amp;RIGHT($E424,2)&amp;"|"&amp;RIGHT("00000"&amp;419,5))</f>
        <v/>
      </c>
      <c r="M424" t="str">
        <f>IF(Sync!$M424&lt;&gt;"پاس چک","",IF(Sync!$P424="","",Sync!$P424))</f>
        <v/>
      </c>
      <c r="N424" t="str">
        <f>IF($M424="","",IF(ISNUMBER(Sync!$L424),IF(AND(Sync!$L424&gt;=10000101,Sync!$L424&lt;=99991231),RIGHT("0000"&amp;INT(Sync!$L424/10000),4)&amp;"/"&amp;RIGHT("00"&amp;INT(MOD(Sync!$L424,10000)/100),2)&amp;"/"&amp;RIGHT("00"&amp;MOD(Sync!$L424,100),2),""),IFERROR(RIGHT("0000"&amp;VALUE(TRIM(LEFT(Sync!$L424,FIND("/",Sync!$L424)-1))),4)&amp;"/"&amp;RIGHT("00"&amp;VALUE(TRIM(LEFT(MID(Sync!$L424,FIND("/",Sync!$L424)+1,20),FIND("/",MID(Sync!$L424,FIND("/",Sync!$L424)+1,20))-1))),2)&amp;"/"&amp;RIGHT("00"&amp;VALUE(TRIM(MID(MID(Sync!$L424,FIND("/",Sync!$L424)+1,20),FIND("/",MID(Sync!$L424,FIND("/",Sync!$L424)+1,20))+1,20))),2),"")))</f>
        <v/>
      </c>
    </row>
    <row r="425" spans="1:14" x14ac:dyDescent="0.2">
      <c r="A425" t="str">
        <f>IF(Issues!$B428="","",Issues!$B428)</f>
        <v/>
      </c>
      <c r="B425" t="str">
        <f>IF($A425="","",IF(ISNUMBER(Issues!$C428),IF(AND(Issues!$C428&gt;=10000101,Issues!$C428&lt;=99991231),INT(Issues!$C428/10000),""),IFERROR(VALUE(TRIM(LEFT(Issues!$C428,FIND("/",Issues!$C428)-1))),"")))</f>
        <v/>
      </c>
      <c r="C425" t="str">
        <f>IF(OR($A425="",$B425=""),"",IF(ISNUMBER(Issues!$C428),INT(MOD(Issues!$C428,10000)/100),IFERROR(VALUE(TRIM(LEFT(MID(Issues!$C428,FIND("/",Issues!$C428)+1,20),FIND("/",MID(Issues!$C428,FIND("/",Issues!$C428)+1,20))-1))),"")))</f>
        <v/>
      </c>
      <c r="D425" t="str">
        <f>IF(OR($A425="",$B425=""),"",IF(ISNUMBER(Issues!$C428),MOD(Issues!$C428,100),IFERROR(VALUE(TRIM(MID(MID(Issues!$C428,FIND("/",Issues!$C428)+1,20),FIND("/",MID(Issues!$C428,FIND("/",Issues!$C428)+1,20))+1,20))),"")))</f>
        <v/>
      </c>
      <c r="E425" t="str">
        <f t="shared" si="18"/>
        <v/>
      </c>
      <c r="F425" t="str">
        <f>IF($A425="","",IF(Issues!$D428="",0,Issues!$D428))</f>
        <v/>
      </c>
      <c r="G425" t="str">
        <f>IF($A425="","",Issues!$E428)</f>
        <v/>
      </c>
      <c r="H425" t="str">
        <f t="shared" si="19"/>
        <v/>
      </c>
      <c r="I425" t="str">
        <f t="shared" si="20"/>
        <v/>
      </c>
      <c r="J425" t="str">
        <f>IF($A425="","",Issues!$G428)</f>
        <v/>
      </c>
      <c r="K425" t="str">
        <f>IF(OR($E425="",$E425="نامعتبر"),"",LEFT($E425,4)&amp;MID($E425,6,2)&amp;RIGHT($E425,2)&amp;"|"&amp;RIGHT("00000"&amp;420,5))</f>
        <v/>
      </c>
      <c r="M425" t="str">
        <f>IF(Sync!$M425&lt;&gt;"پاس چک","",IF(Sync!$P425="","",Sync!$P425))</f>
        <v/>
      </c>
      <c r="N425" t="str">
        <f>IF($M425="","",IF(ISNUMBER(Sync!$L425),IF(AND(Sync!$L425&gt;=10000101,Sync!$L425&lt;=99991231),RIGHT("0000"&amp;INT(Sync!$L425/10000),4)&amp;"/"&amp;RIGHT("00"&amp;INT(MOD(Sync!$L425,10000)/100),2)&amp;"/"&amp;RIGHT("00"&amp;MOD(Sync!$L425,100),2),""),IFERROR(RIGHT("0000"&amp;VALUE(TRIM(LEFT(Sync!$L425,FIND("/",Sync!$L425)-1))),4)&amp;"/"&amp;RIGHT("00"&amp;VALUE(TRIM(LEFT(MID(Sync!$L425,FIND("/",Sync!$L425)+1,20),FIND("/",MID(Sync!$L425,FIND("/",Sync!$L425)+1,20))-1))),2)&amp;"/"&amp;RIGHT("00"&amp;VALUE(TRIM(MID(MID(Sync!$L425,FIND("/",Sync!$L425)+1,20),FIND("/",MID(Sync!$L425,FIND("/",Sync!$L425)+1,20))+1,20))),2),"")))</f>
        <v/>
      </c>
    </row>
    <row r="426" spans="1:14" x14ac:dyDescent="0.2">
      <c r="A426" t="str">
        <f>IF(Issues!$B429="","",Issues!$B429)</f>
        <v/>
      </c>
      <c r="B426" t="str">
        <f>IF($A426="","",IF(ISNUMBER(Issues!$C429),IF(AND(Issues!$C429&gt;=10000101,Issues!$C429&lt;=99991231),INT(Issues!$C429/10000),""),IFERROR(VALUE(TRIM(LEFT(Issues!$C429,FIND("/",Issues!$C429)-1))),"")))</f>
        <v/>
      </c>
      <c r="C426" t="str">
        <f>IF(OR($A426="",$B426=""),"",IF(ISNUMBER(Issues!$C429),INT(MOD(Issues!$C429,10000)/100),IFERROR(VALUE(TRIM(LEFT(MID(Issues!$C429,FIND("/",Issues!$C429)+1,20),FIND("/",MID(Issues!$C429,FIND("/",Issues!$C429)+1,20))-1))),"")))</f>
        <v/>
      </c>
      <c r="D426" t="str">
        <f>IF(OR($A426="",$B426=""),"",IF(ISNUMBER(Issues!$C429),MOD(Issues!$C429,100),IFERROR(VALUE(TRIM(MID(MID(Issues!$C429,FIND("/",Issues!$C429)+1,20),FIND("/",MID(Issues!$C429,FIND("/",Issues!$C429)+1,20))+1,20))),"")))</f>
        <v/>
      </c>
      <c r="E426" t="str">
        <f t="shared" si="18"/>
        <v/>
      </c>
      <c r="F426" t="str">
        <f>IF($A426="","",IF(Issues!$D429="",0,Issues!$D429))</f>
        <v/>
      </c>
      <c r="G426" t="str">
        <f>IF($A426="","",Issues!$E429)</f>
        <v/>
      </c>
      <c r="H426" t="str">
        <f t="shared" si="19"/>
        <v/>
      </c>
      <c r="I426" t="str">
        <f t="shared" si="20"/>
        <v/>
      </c>
      <c r="J426" t="str">
        <f>IF($A426="","",Issues!$G429)</f>
        <v/>
      </c>
      <c r="K426" t="str">
        <f>IF(OR($E426="",$E426="نامعتبر"),"",LEFT($E426,4)&amp;MID($E426,6,2)&amp;RIGHT($E426,2)&amp;"|"&amp;RIGHT("00000"&amp;421,5))</f>
        <v/>
      </c>
      <c r="M426" t="str">
        <f>IF(Sync!$M426&lt;&gt;"پاس چک","",IF(Sync!$P426="","",Sync!$P426))</f>
        <v/>
      </c>
      <c r="N426" t="str">
        <f>IF($M426="","",IF(ISNUMBER(Sync!$L426),IF(AND(Sync!$L426&gt;=10000101,Sync!$L426&lt;=99991231),RIGHT("0000"&amp;INT(Sync!$L426/10000),4)&amp;"/"&amp;RIGHT("00"&amp;INT(MOD(Sync!$L426,10000)/100),2)&amp;"/"&amp;RIGHT("00"&amp;MOD(Sync!$L426,100),2),""),IFERROR(RIGHT("0000"&amp;VALUE(TRIM(LEFT(Sync!$L426,FIND("/",Sync!$L426)-1))),4)&amp;"/"&amp;RIGHT("00"&amp;VALUE(TRIM(LEFT(MID(Sync!$L426,FIND("/",Sync!$L426)+1,20),FIND("/",MID(Sync!$L426,FIND("/",Sync!$L426)+1,20))-1))),2)&amp;"/"&amp;RIGHT("00"&amp;VALUE(TRIM(MID(MID(Sync!$L426,FIND("/",Sync!$L426)+1,20),FIND("/",MID(Sync!$L426,FIND("/",Sync!$L426)+1,20))+1,20))),2),"")))</f>
        <v/>
      </c>
    </row>
    <row r="427" spans="1:14" x14ac:dyDescent="0.2">
      <c r="A427" t="str">
        <f>IF(Issues!$B430="","",Issues!$B430)</f>
        <v/>
      </c>
      <c r="B427" t="str">
        <f>IF($A427="","",IF(ISNUMBER(Issues!$C430),IF(AND(Issues!$C430&gt;=10000101,Issues!$C430&lt;=99991231),INT(Issues!$C430/10000),""),IFERROR(VALUE(TRIM(LEFT(Issues!$C430,FIND("/",Issues!$C430)-1))),"")))</f>
        <v/>
      </c>
      <c r="C427" t="str">
        <f>IF(OR($A427="",$B427=""),"",IF(ISNUMBER(Issues!$C430),INT(MOD(Issues!$C430,10000)/100),IFERROR(VALUE(TRIM(LEFT(MID(Issues!$C430,FIND("/",Issues!$C430)+1,20),FIND("/",MID(Issues!$C430,FIND("/",Issues!$C430)+1,20))-1))),"")))</f>
        <v/>
      </c>
      <c r="D427" t="str">
        <f>IF(OR($A427="",$B427=""),"",IF(ISNUMBER(Issues!$C430),MOD(Issues!$C430,100),IFERROR(VALUE(TRIM(MID(MID(Issues!$C430,FIND("/",Issues!$C430)+1,20),FIND("/",MID(Issues!$C430,FIND("/",Issues!$C430)+1,20))+1,20))),"")))</f>
        <v/>
      </c>
      <c r="E427" t="str">
        <f t="shared" si="18"/>
        <v/>
      </c>
      <c r="F427" t="str">
        <f>IF($A427="","",IF(Issues!$D430="",0,Issues!$D430))</f>
        <v/>
      </c>
      <c r="G427" t="str">
        <f>IF($A427="","",Issues!$E430)</f>
        <v/>
      </c>
      <c r="H427" t="str">
        <f t="shared" si="19"/>
        <v/>
      </c>
      <c r="I427" t="str">
        <f t="shared" si="20"/>
        <v/>
      </c>
      <c r="J427" t="str">
        <f>IF($A427="","",Issues!$G430)</f>
        <v/>
      </c>
      <c r="K427" t="str">
        <f>IF(OR($E427="",$E427="نامعتبر"),"",LEFT($E427,4)&amp;MID($E427,6,2)&amp;RIGHT($E427,2)&amp;"|"&amp;RIGHT("00000"&amp;422,5))</f>
        <v/>
      </c>
      <c r="M427" t="str">
        <f>IF(Sync!$M427&lt;&gt;"پاس چک","",IF(Sync!$P427="","",Sync!$P427))</f>
        <v/>
      </c>
      <c r="N427" t="str">
        <f>IF($M427="","",IF(ISNUMBER(Sync!$L427),IF(AND(Sync!$L427&gt;=10000101,Sync!$L427&lt;=99991231),RIGHT("0000"&amp;INT(Sync!$L427/10000),4)&amp;"/"&amp;RIGHT("00"&amp;INT(MOD(Sync!$L427,10000)/100),2)&amp;"/"&amp;RIGHT("00"&amp;MOD(Sync!$L427,100),2),""),IFERROR(RIGHT("0000"&amp;VALUE(TRIM(LEFT(Sync!$L427,FIND("/",Sync!$L427)-1))),4)&amp;"/"&amp;RIGHT("00"&amp;VALUE(TRIM(LEFT(MID(Sync!$L427,FIND("/",Sync!$L427)+1,20),FIND("/",MID(Sync!$L427,FIND("/",Sync!$L427)+1,20))-1))),2)&amp;"/"&amp;RIGHT("00"&amp;VALUE(TRIM(MID(MID(Sync!$L427,FIND("/",Sync!$L427)+1,20),FIND("/",MID(Sync!$L427,FIND("/",Sync!$L427)+1,20))+1,20))),2),"")))</f>
        <v/>
      </c>
    </row>
    <row r="428" spans="1:14" x14ac:dyDescent="0.2">
      <c r="A428" t="str">
        <f>IF(Issues!$B431="","",Issues!$B431)</f>
        <v/>
      </c>
      <c r="B428" t="str">
        <f>IF($A428="","",IF(ISNUMBER(Issues!$C431),IF(AND(Issues!$C431&gt;=10000101,Issues!$C431&lt;=99991231),INT(Issues!$C431/10000),""),IFERROR(VALUE(TRIM(LEFT(Issues!$C431,FIND("/",Issues!$C431)-1))),"")))</f>
        <v/>
      </c>
      <c r="C428" t="str">
        <f>IF(OR($A428="",$B428=""),"",IF(ISNUMBER(Issues!$C431),INT(MOD(Issues!$C431,10000)/100),IFERROR(VALUE(TRIM(LEFT(MID(Issues!$C431,FIND("/",Issues!$C431)+1,20),FIND("/",MID(Issues!$C431,FIND("/",Issues!$C431)+1,20))-1))),"")))</f>
        <v/>
      </c>
      <c r="D428" t="str">
        <f>IF(OR($A428="",$B428=""),"",IF(ISNUMBER(Issues!$C431),MOD(Issues!$C431,100),IFERROR(VALUE(TRIM(MID(MID(Issues!$C431,FIND("/",Issues!$C431)+1,20),FIND("/",MID(Issues!$C431,FIND("/",Issues!$C431)+1,20))+1,20))),"")))</f>
        <v/>
      </c>
      <c r="E428" t="str">
        <f t="shared" si="18"/>
        <v/>
      </c>
      <c r="F428" t="str">
        <f>IF($A428="","",IF(Issues!$D431="",0,Issues!$D431))</f>
        <v/>
      </c>
      <c r="G428" t="str">
        <f>IF($A428="","",Issues!$E431)</f>
        <v/>
      </c>
      <c r="H428" t="str">
        <f t="shared" si="19"/>
        <v/>
      </c>
      <c r="I428" t="str">
        <f t="shared" si="20"/>
        <v/>
      </c>
      <c r="J428" t="str">
        <f>IF($A428="","",Issues!$G431)</f>
        <v/>
      </c>
      <c r="K428" t="str">
        <f>IF(OR($E428="",$E428="نامعتبر"),"",LEFT($E428,4)&amp;MID($E428,6,2)&amp;RIGHT($E428,2)&amp;"|"&amp;RIGHT("00000"&amp;423,5))</f>
        <v/>
      </c>
      <c r="M428" t="str">
        <f>IF(Sync!$M428&lt;&gt;"پاس چک","",IF(Sync!$P428="","",Sync!$P428))</f>
        <v/>
      </c>
      <c r="N428" t="str">
        <f>IF($M428="","",IF(ISNUMBER(Sync!$L428),IF(AND(Sync!$L428&gt;=10000101,Sync!$L428&lt;=99991231),RIGHT("0000"&amp;INT(Sync!$L428/10000),4)&amp;"/"&amp;RIGHT("00"&amp;INT(MOD(Sync!$L428,10000)/100),2)&amp;"/"&amp;RIGHT("00"&amp;MOD(Sync!$L428,100),2),""),IFERROR(RIGHT("0000"&amp;VALUE(TRIM(LEFT(Sync!$L428,FIND("/",Sync!$L428)-1))),4)&amp;"/"&amp;RIGHT("00"&amp;VALUE(TRIM(LEFT(MID(Sync!$L428,FIND("/",Sync!$L428)+1,20),FIND("/",MID(Sync!$L428,FIND("/",Sync!$L428)+1,20))-1))),2)&amp;"/"&amp;RIGHT("00"&amp;VALUE(TRIM(MID(MID(Sync!$L428,FIND("/",Sync!$L428)+1,20),FIND("/",MID(Sync!$L428,FIND("/",Sync!$L428)+1,20))+1,20))),2),"")))</f>
        <v/>
      </c>
    </row>
    <row r="429" spans="1:14" x14ac:dyDescent="0.2">
      <c r="A429" t="str">
        <f>IF(Issues!$B432="","",Issues!$B432)</f>
        <v/>
      </c>
      <c r="B429" t="str">
        <f>IF($A429="","",IF(ISNUMBER(Issues!$C432),IF(AND(Issues!$C432&gt;=10000101,Issues!$C432&lt;=99991231),INT(Issues!$C432/10000),""),IFERROR(VALUE(TRIM(LEFT(Issues!$C432,FIND("/",Issues!$C432)-1))),"")))</f>
        <v/>
      </c>
      <c r="C429" t="str">
        <f>IF(OR($A429="",$B429=""),"",IF(ISNUMBER(Issues!$C432),INT(MOD(Issues!$C432,10000)/100),IFERROR(VALUE(TRIM(LEFT(MID(Issues!$C432,FIND("/",Issues!$C432)+1,20),FIND("/",MID(Issues!$C432,FIND("/",Issues!$C432)+1,20))-1))),"")))</f>
        <v/>
      </c>
      <c r="D429" t="str">
        <f>IF(OR($A429="",$B429=""),"",IF(ISNUMBER(Issues!$C432),MOD(Issues!$C432,100),IFERROR(VALUE(TRIM(MID(MID(Issues!$C432,FIND("/",Issues!$C432)+1,20),FIND("/",MID(Issues!$C432,FIND("/",Issues!$C432)+1,20))+1,20))),"")))</f>
        <v/>
      </c>
      <c r="E429" t="str">
        <f t="shared" si="18"/>
        <v/>
      </c>
      <c r="F429" t="str">
        <f>IF($A429="","",IF(Issues!$D432="",0,Issues!$D432))</f>
        <v/>
      </c>
      <c r="G429" t="str">
        <f>IF($A429="","",Issues!$E432)</f>
        <v/>
      </c>
      <c r="H429" t="str">
        <f t="shared" si="19"/>
        <v/>
      </c>
      <c r="I429" t="str">
        <f t="shared" si="20"/>
        <v/>
      </c>
      <c r="J429" t="str">
        <f>IF($A429="","",Issues!$G432)</f>
        <v/>
      </c>
      <c r="K429" t="str">
        <f>IF(OR($E429="",$E429="نامعتبر"),"",LEFT($E429,4)&amp;MID($E429,6,2)&amp;RIGHT($E429,2)&amp;"|"&amp;RIGHT("00000"&amp;424,5))</f>
        <v/>
      </c>
      <c r="M429" t="str">
        <f>IF(Sync!$M429&lt;&gt;"پاس چک","",IF(Sync!$P429="","",Sync!$P429))</f>
        <v/>
      </c>
      <c r="N429" t="str">
        <f>IF($M429="","",IF(ISNUMBER(Sync!$L429),IF(AND(Sync!$L429&gt;=10000101,Sync!$L429&lt;=99991231),RIGHT("0000"&amp;INT(Sync!$L429/10000),4)&amp;"/"&amp;RIGHT("00"&amp;INT(MOD(Sync!$L429,10000)/100),2)&amp;"/"&amp;RIGHT("00"&amp;MOD(Sync!$L429,100),2),""),IFERROR(RIGHT("0000"&amp;VALUE(TRIM(LEFT(Sync!$L429,FIND("/",Sync!$L429)-1))),4)&amp;"/"&amp;RIGHT("00"&amp;VALUE(TRIM(LEFT(MID(Sync!$L429,FIND("/",Sync!$L429)+1,20),FIND("/",MID(Sync!$L429,FIND("/",Sync!$L429)+1,20))-1))),2)&amp;"/"&amp;RIGHT("00"&amp;VALUE(TRIM(MID(MID(Sync!$L429,FIND("/",Sync!$L429)+1,20),FIND("/",MID(Sync!$L429,FIND("/",Sync!$L429)+1,20))+1,20))),2),"")))</f>
        <v/>
      </c>
    </row>
    <row r="430" spans="1:14" x14ac:dyDescent="0.2">
      <c r="A430" t="str">
        <f>IF(Issues!$B433="","",Issues!$B433)</f>
        <v/>
      </c>
      <c r="B430" t="str">
        <f>IF($A430="","",IF(ISNUMBER(Issues!$C433),IF(AND(Issues!$C433&gt;=10000101,Issues!$C433&lt;=99991231),INT(Issues!$C433/10000),""),IFERROR(VALUE(TRIM(LEFT(Issues!$C433,FIND("/",Issues!$C433)-1))),"")))</f>
        <v/>
      </c>
      <c r="C430" t="str">
        <f>IF(OR($A430="",$B430=""),"",IF(ISNUMBER(Issues!$C433),INT(MOD(Issues!$C433,10000)/100),IFERROR(VALUE(TRIM(LEFT(MID(Issues!$C433,FIND("/",Issues!$C433)+1,20),FIND("/",MID(Issues!$C433,FIND("/",Issues!$C433)+1,20))-1))),"")))</f>
        <v/>
      </c>
      <c r="D430" t="str">
        <f>IF(OR($A430="",$B430=""),"",IF(ISNUMBER(Issues!$C433),MOD(Issues!$C433,100),IFERROR(VALUE(TRIM(MID(MID(Issues!$C433,FIND("/",Issues!$C433)+1,20),FIND("/",MID(Issues!$C433,FIND("/",Issues!$C433)+1,20))+1,20))),"")))</f>
        <v/>
      </c>
      <c r="E430" t="str">
        <f t="shared" si="18"/>
        <v/>
      </c>
      <c r="F430" t="str">
        <f>IF($A430="","",IF(Issues!$D433="",0,Issues!$D433))</f>
        <v/>
      </c>
      <c r="G430" t="str">
        <f>IF($A430="","",Issues!$E433)</f>
        <v/>
      </c>
      <c r="H430" t="str">
        <f t="shared" si="19"/>
        <v/>
      </c>
      <c r="I430" t="str">
        <f t="shared" si="20"/>
        <v/>
      </c>
      <c r="J430" t="str">
        <f>IF($A430="","",Issues!$G433)</f>
        <v/>
      </c>
      <c r="K430" t="str">
        <f>IF(OR($E430="",$E430="نامعتبر"),"",LEFT($E430,4)&amp;MID($E430,6,2)&amp;RIGHT($E430,2)&amp;"|"&amp;RIGHT("00000"&amp;425,5))</f>
        <v/>
      </c>
      <c r="M430" t="str">
        <f>IF(Sync!$M430&lt;&gt;"پاس چک","",IF(Sync!$P430="","",Sync!$P430))</f>
        <v/>
      </c>
      <c r="N430" t="str">
        <f>IF($M430="","",IF(ISNUMBER(Sync!$L430),IF(AND(Sync!$L430&gt;=10000101,Sync!$L430&lt;=99991231),RIGHT("0000"&amp;INT(Sync!$L430/10000),4)&amp;"/"&amp;RIGHT("00"&amp;INT(MOD(Sync!$L430,10000)/100),2)&amp;"/"&amp;RIGHT("00"&amp;MOD(Sync!$L430,100),2),""),IFERROR(RIGHT("0000"&amp;VALUE(TRIM(LEFT(Sync!$L430,FIND("/",Sync!$L430)-1))),4)&amp;"/"&amp;RIGHT("00"&amp;VALUE(TRIM(LEFT(MID(Sync!$L430,FIND("/",Sync!$L430)+1,20),FIND("/",MID(Sync!$L430,FIND("/",Sync!$L430)+1,20))-1))),2)&amp;"/"&amp;RIGHT("00"&amp;VALUE(TRIM(MID(MID(Sync!$L430,FIND("/",Sync!$L430)+1,20),FIND("/",MID(Sync!$L430,FIND("/",Sync!$L430)+1,20))+1,20))),2),"")))</f>
        <v/>
      </c>
    </row>
    <row r="431" spans="1:14" x14ac:dyDescent="0.2">
      <c r="A431" t="str">
        <f>IF(Issues!$B434="","",Issues!$B434)</f>
        <v/>
      </c>
      <c r="B431" t="str">
        <f>IF($A431="","",IF(ISNUMBER(Issues!$C434),IF(AND(Issues!$C434&gt;=10000101,Issues!$C434&lt;=99991231),INT(Issues!$C434/10000),""),IFERROR(VALUE(TRIM(LEFT(Issues!$C434,FIND("/",Issues!$C434)-1))),"")))</f>
        <v/>
      </c>
      <c r="C431" t="str">
        <f>IF(OR($A431="",$B431=""),"",IF(ISNUMBER(Issues!$C434),INT(MOD(Issues!$C434,10000)/100),IFERROR(VALUE(TRIM(LEFT(MID(Issues!$C434,FIND("/",Issues!$C434)+1,20),FIND("/",MID(Issues!$C434,FIND("/",Issues!$C434)+1,20))-1))),"")))</f>
        <v/>
      </c>
      <c r="D431" t="str">
        <f>IF(OR($A431="",$B431=""),"",IF(ISNUMBER(Issues!$C434),MOD(Issues!$C434,100),IFERROR(VALUE(TRIM(MID(MID(Issues!$C434,FIND("/",Issues!$C434)+1,20),FIND("/",MID(Issues!$C434,FIND("/",Issues!$C434)+1,20))+1,20))),"")))</f>
        <v/>
      </c>
      <c r="E431" t="str">
        <f t="shared" si="18"/>
        <v/>
      </c>
      <c r="F431" t="str">
        <f>IF($A431="","",IF(Issues!$D434="",0,Issues!$D434))</f>
        <v/>
      </c>
      <c r="G431" t="str">
        <f>IF($A431="","",Issues!$E434)</f>
        <v/>
      </c>
      <c r="H431" t="str">
        <f t="shared" si="19"/>
        <v/>
      </c>
      <c r="I431" t="str">
        <f t="shared" si="20"/>
        <v/>
      </c>
      <c r="J431" t="str">
        <f>IF($A431="","",Issues!$G434)</f>
        <v/>
      </c>
      <c r="K431" t="str">
        <f>IF(OR($E431="",$E431="نامعتبر"),"",LEFT($E431,4)&amp;MID($E431,6,2)&amp;RIGHT($E431,2)&amp;"|"&amp;RIGHT("00000"&amp;426,5))</f>
        <v/>
      </c>
      <c r="M431" t="str">
        <f>IF(Sync!$M431&lt;&gt;"پاس چک","",IF(Sync!$P431="","",Sync!$P431))</f>
        <v/>
      </c>
      <c r="N431" t="str">
        <f>IF($M431="","",IF(ISNUMBER(Sync!$L431),IF(AND(Sync!$L431&gt;=10000101,Sync!$L431&lt;=99991231),RIGHT("0000"&amp;INT(Sync!$L431/10000),4)&amp;"/"&amp;RIGHT("00"&amp;INT(MOD(Sync!$L431,10000)/100),2)&amp;"/"&amp;RIGHT("00"&amp;MOD(Sync!$L431,100),2),""),IFERROR(RIGHT("0000"&amp;VALUE(TRIM(LEFT(Sync!$L431,FIND("/",Sync!$L431)-1))),4)&amp;"/"&amp;RIGHT("00"&amp;VALUE(TRIM(LEFT(MID(Sync!$L431,FIND("/",Sync!$L431)+1,20),FIND("/",MID(Sync!$L431,FIND("/",Sync!$L431)+1,20))-1))),2)&amp;"/"&amp;RIGHT("00"&amp;VALUE(TRIM(MID(MID(Sync!$L431,FIND("/",Sync!$L431)+1,20),FIND("/",MID(Sync!$L431,FIND("/",Sync!$L431)+1,20))+1,20))),2),"")))</f>
        <v/>
      </c>
    </row>
    <row r="432" spans="1:14" x14ac:dyDescent="0.2">
      <c r="A432" t="str">
        <f>IF(Issues!$B435="","",Issues!$B435)</f>
        <v/>
      </c>
      <c r="B432" t="str">
        <f>IF($A432="","",IF(ISNUMBER(Issues!$C435),IF(AND(Issues!$C435&gt;=10000101,Issues!$C435&lt;=99991231),INT(Issues!$C435/10000),""),IFERROR(VALUE(TRIM(LEFT(Issues!$C435,FIND("/",Issues!$C435)-1))),"")))</f>
        <v/>
      </c>
      <c r="C432" t="str">
        <f>IF(OR($A432="",$B432=""),"",IF(ISNUMBER(Issues!$C435),INT(MOD(Issues!$C435,10000)/100),IFERROR(VALUE(TRIM(LEFT(MID(Issues!$C435,FIND("/",Issues!$C435)+1,20),FIND("/",MID(Issues!$C435,FIND("/",Issues!$C435)+1,20))-1))),"")))</f>
        <v/>
      </c>
      <c r="D432" t="str">
        <f>IF(OR($A432="",$B432=""),"",IF(ISNUMBER(Issues!$C435),MOD(Issues!$C435,100),IFERROR(VALUE(TRIM(MID(MID(Issues!$C435,FIND("/",Issues!$C435)+1,20),FIND("/",MID(Issues!$C435,FIND("/",Issues!$C435)+1,20))+1,20))),"")))</f>
        <v/>
      </c>
      <c r="E432" t="str">
        <f t="shared" si="18"/>
        <v/>
      </c>
      <c r="F432" t="str">
        <f>IF($A432="","",IF(Issues!$D435="",0,Issues!$D435))</f>
        <v/>
      </c>
      <c r="G432" t="str">
        <f>IF($A432="","",Issues!$E435)</f>
        <v/>
      </c>
      <c r="H432" t="str">
        <f t="shared" si="19"/>
        <v/>
      </c>
      <c r="I432" t="str">
        <f t="shared" si="20"/>
        <v/>
      </c>
      <c r="J432" t="str">
        <f>IF($A432="","",Issues!$G435)</f>
        <v/>
      </c>
      <c r="K432" t="str">
        <f>IF(OR($E432="",$E432="نامعتبر"),"",LEFT($E432,4)&amp;MID($E432,6,2)&amp;RIGHT($E432,2)&amp;"|"&amp;RIGHT("00000"&amp;427,5))</f>
        <v/>
      </c>
      <c r="M432" t="str">
        <f>IF(Sync!$M432&lt;&gt;"پاس چک","",IF(Sync!$P432="","",Sync!$P432))</f>
        <v/>
      </c>
      <c r="N432" t="str">
        <f>IF($M432="","",IF(ISNUMBER(Sync!$L432),IF(AND(Sync!$L432&gt;=10000101,Sync!$L432&lt;=99991231),RIGHT("0000"&amp;INT(Sync!$L432/10000),4)&amp;"/"&amp;RIGHT("00"&amp;INT(MOD(Sync!$L432,10000)/100),2)&amp;"/"&amp;RIGHT("00"&amp;MOD(Sync!$L432,100),2),""),IFERROR(RIGHT("0000"&amp;VALUE(TRIM(LEFT(Sync!$L432,FIND("/",Sync!$L432)-1))),4)&amp;"/"&amp;RIGHT("00"&amp;VALUE(TRIM(LEFT(MID(Sync!$L432,FIND("/",Sync!$L432)+1,20),FIND("/",MID(Sync!$L432,FIND("/",Sync!$L432)+1,20))-1))),2)&amp;"/"&amp;RIGHT("00"&amp;VALUE(TRIM(MID(MID(Sync!$L432,FIND("/",Sync!$L432)+1,20),FIND("/",MID(Sync!$L432,FIND("/",Sync!$L432)+1,20))+1,20))),2),"")))</f>
        <v/>
      </c>
    </row>
    <row r="433" spans="1:14" x14ac:dyDescent="0.2">
      <c r="A433" t="str">
        <f>IF(Issues!$B436="","",Issues!$B436)</f>
        <v/>
      </c>
      <c r="B433" t="str">
        <f>IF($A433="","",IF(ISNUMBER(Issues!$C436),IF(AND(Issues!$C436&gt;=10000101,Issues!$C436&lt;=99991231),INT(Issues!$C436/10000),""),IFERROR(VALUE(TRIM(LEFT(Issues!$C436,FIND("/",Issues!$C436)-1))),"")))</f>
        <v/>
      </c>
      <c r="C433" t="str">
        <f>IF(OR($A433="",$B433=""),"",IF(ISNUMBER(Issues!$C436),INT(MOD(Issues!$C436,10000)/100),IFERROR(VALUE(TRIM(LEFT(MID(Issues!$C436,FIND("/",Issues!$C436)+1,20),FIND("/",MID(Issues!$C436,FIND("/",Issues!$C436)+1,20))-1))),"")))</f>
        <v/>
      </c>
      <c r="D433" t="str">
        <f>IF(OR($A433="",$B433=""),"",IF(ISNUMBER(Issues!$C436),MOD(Issues!$C436,100),IFERROR(VALUE(TRIM(MID(MID(Issues!$C436,FIND("/",Issues!$C436)+1,20),FIND("/",MID(Issues!$C436,FIND("/",Issues!$C436)+1,20))+1,20))),"")))</f>
        <v/>
      </c>
      <c r="E433" t="str">
        <f t="shared" si="18"/>
        <v/>
      </c>
      <c r="F433" t="str">
        <f>IF($A433="","",IF(Issues!$D436="",0,Issues!$D436))</f>
        <v/>
      </c>
      <c r="G433" t="str">
        <f>IF($A433="","",Issues!$E436)</f>
        <v/>
      </c>
      <c r="H433" t="str">
        <f t="shared" si="19"/>
        <v/>
      </c>
      <c r="I433" t="str">
        <f t="shared" si="20"/>
        <v/>
      </c>
      <c r="J433" t="str">
        <f>IF($A433="","",Issues!$G436)</f>
        <v/>
      </c>
      <c r="K433" t="str">
        <f>IF(OR($E433="",$E433="نامعتبر"),"",LEFT($E433,4)&amp;MID($E433,6,2)&amp;RIGHT($E433,2)&amp;"|"&amp;RIGHT("00000"&amp;428,5))</f>
        <v/>
      </c>
      <c r="M433" t="str">
        <f>IF(Sync!$M433&lt;&gt;"پاس چک","",IF(Sync!$P433="","",Sync!$P433))</f>
        <v/>
      </c>
      <c r="N433" t="str">
        <f>IF($M433="","",IF(ISNUMBER(Sync!$L433),IF(AND(Sync!$L433&gt;=10000101,Sync!$L433&lt;=99991231),RIGHT("0000"&amp;INT(Sync!$L433/10000),4)&amp;"/"&amp;RIGHT("00"&amp;INT(MOD(Sync!$L433,10000)/100),2)&amp;"/"&amp;RIGHT("00"&amp;MOD(Sync!$L433,100),2),""),IFERROR(RIGHT("0000"&amp;VALUE(TRIM(LEFT(Sync!$L433,FIND("/",Sync!$L433)-1))),4)&amp;"/"&amp;RIGHT("00"&amp;VALUE(TRIM(LEFT(MID(Sync!$L433,FIND("/",Sync!$L433)+1,20),FIND("/",MID(Sync!$L433,FIND("/",Sync!$L433)+1,20))-1))),2)&amp;"/"&amp;RIGHT("00"&amp;VALUE(TRIM(MID(MID(Sync!$L433,FIND("/",Sync!$L433)+1,20),FIND("/",MID(Sync!$L433,FIND("/",Sync!$L433)+1,20))+1,20))),2),"")))</f>
        <v/>
      </c>
    </row>
    <row r="434" spans="1:14" x14ac:dyDescent="0.2">
      <c r="A434" t="str">
        <f>IF(Issues!$B437="","",Issues!$B437)</f>
        <v/>
      </c>
      <c r="B434" t="str">
        <f>IF($A434="","",IF(ISNUMBER(Issues!$C437),IF(AND(Issues!$C437&gt;=10000101,Issues!$C437&lt;=99991231),INT(Issues!$C437/10000),""),IFERROR(VALUE(TRIM(LEFT(Issues!$C437,FIND("/",Issues!$C437)-1))),"")))</f>
        <v/>
      </c>
      <c r="C434" t="str">
        <f>IF(OR($A434="",$B434=""),"",IF(ISNUMBER(Issues!$C437),INT(MOD(Issues!$C437,10000)/100),IFERROR(VALUE(TRIM(LEFT(MID(Issues!$C437,FIND("/",Issues!$C437)+1,20),FIND("/",MID(Issues!$C437,FIND("/",Issues!$C437)+1,20))-1))),"")))</f>
        <v/>
      </c>
      <c r="D434" t="str">
        <f>IF(OR($A434="",$B434=""),"",IF(ISNUMBER(Issues!$C437),MOD(Issues!$C437,100),IFERROR(VALUE(TRIM(MID(MID(Issues!$C437,FIND("/",Issues!$C437)+1,20),FIND("/",MID(Issues!$C437,FIND("/",Issues!$C437)+1,20))+1,20))),"")))</f>
        <v/>
      </c>
      <c r="E434" t="str">
        <f t="shared" si="18"/>
        <v/>
      </c>
      <c r="F434" t="str">
        <f>IF($A434="","",IF(Issues!$D437="",0,Issues!$D437))</f>
        <v/>
      </c>
      <c r="G434" t="str">
        <f>IF($A434="","",Issues!$E437)</f>
        <v/>
      </c>
      <c r="H434" t="str">
        <f t="shared" si="19"/>
        <v/>
      </c>
      <c r="I434" t="str">
        <f t="shared" si="20"/>
        <v/>
      </c>
      <c r="J434" t="str">
        <f>IF($A434="","",Issues!$G437)</f>
        <v/>
      </c>
      <c r="K434" t="str">
        <f>IF(OR($E434="",$E434="نامعتبر"),"",LEFT($E434,4)&amp;MID($E434,6,2)&amp;RIGHT($E434,2)&amp;"|"&amp;RIGHT("00000"&amp;429,5))</f>
        <v/>
      </c>
      <c r="M434" t="str">
        <f>IF(Sync!$M434&lt;&gt;"پاس چک","",IF(Sync!$P434="","",Sync!$P434))</f>
        <v/>
      </c>
      <c r="N434" t="str">
        <f>IF($M434="","",IF(ISNUMBER(Sync!$L434),IF(AND(Sync!$L434&gt;=10000101,Sync!$L434&lt;=99991231),RIGHT("0000"&amp;INT(Sync!$L434/10000),4)&amp;"/"&amp;RIGHT("00"&amp;INT(MOD(Sync!$L434,10000)/100),2)&amp;"/"&amp;RIGHT("00"&amp;MOD(Sync!$L434,100),2),""),IFERROR(RIGHT("0000"&amp;VALUE(TRIM(LEFT(Sync!$L434,FIND("/",Sync!$L434)-1))),4)&amp;"/"&amp;RIGHT("00"&amp;VALUE(TRIM(LEFT(MID(Sync!$L434,FIND("/",Sync!$L434)+1,20),FIND("/",MID(Sync!$L434,FIND("/",Sync!$L434)+1,20))-1))),2)&amp;"/"&amp;RIGHT("00"&amp;VALUE(TRIM(MID(MID(Sync!$L434,FIND("/",Sync!$L434)+1,20),FIND("/",MID(Sync!$L434,FIND("/",Sync!$L434)+1,20))+1,20))),2),"")))</f>
        <v/>
      </c>
    </row>
    <row r="435" spans="1:14" x14ac:dyDescent="0.2">
      <c r="A435" t="str">
        <f>IF(Issues!$B438="","",Issues!$B438)</f>
        <v/>
      </c>
      <c r="B435" t="str">
        <f>IF($A435="","",IF(ISNUMBER(Issues!$C438),IF(AND(Issues!$C438&gt;=10000101,Issues!$C438&lt;=99991231),INT(Issues!$C438/10000),""),IFERROR(VALUE(TRIM(LEFT(Issues!$C438,FIND("/",Issues!$C438)-1))),"")))</f>
        <v/>
      </c>
      <c r="C435" t="str">
        <f>IF(OR($A435="",$B435=""),"",IF(ISNUMBER(Issues!$C438),INT(MOD(Issues!$C438,10000)/100),IFERROR(VALUE(TRIM(LEFT(MID(Issues!$C438,FIND("/",Issues!$C438)+1,20),FIND("/",MID(Issues!$C438,FIND("/",Issues!$C438)+1,20))-1))),"")))</f>
        <v/>
      </c>
      <c r="D435" t="str">
        <f>IF(OR($A435="",$B435=""),"",IF(ISNUMBER(Issues!$C438),MOD(Issues!$C438,100),IFERROR(VALUE(TRIM(MID(MID(Issues!$C438,FIND("/",Issues!$C438)+1,20),FIND("/",MID(Issues!$C438,FIND("/",Issues!$C438)+1,20))+1,20))),"")))</f>
        <v/>
      </c>
      <c r="E435" t="str">
        <f t="shared" si="18"/>
        <v/>
      </c>
      <c r="F435" t="str">
        <f>IF($A435="","",IF(Issues!$D438="",0,Issues!$D438))</f>
        <v/>
      </c>
      <c r="G435" t="str">
        <f>IF($A435="","",Issues!$E438)</f>
        <v/>
      </c>
      <c r="H435" t="str">
        <f t="shared" si="19"/>
        <v/>
      </c>
      <c r="I435" t="str">
        <f t="shared" si="20"/>
        <v/>
      </c>
      <c r="J435" t="str">
        <f>IF($A435="","",Issues!$G438)</f>
        <v/>
      </c>
      <c r="K435" t="str">
        <f>IF(OR($E435="",$E435="نامعتبر"),"",LEFT($E435,4)&amp;MID($E435,6,2)&amp;RIGHT($E435,2)&amp;"|"&amp;RIGHT("00000"&amp;430,5))</f>
        <v/>
      </c>
      <c r="M435" t="str">
        <f>IF(Sync!$M435&lt;&gt;"پاس چک","",IF(Sync!$P435="","",Sync!$P435))</f>
        <v/>
      </c>
      <c r="N435" t="str">
        <f>IF($M435="","",IF(ISNUMBER(Sync!$L435),IF(AND(Sync!$L435&gt;=10000101,Sync!$L435&lt;=99991231),RIGHT("0000"&amp;INT(Sync!$L435/10000),4)&amp;"/"&amp;RIGHT("00"&amp;INT(MOD(Sync!$L435,10000)/100),2)&amp;"/"&amp;RIGHT("00"&amp;MOD(Sync!$L435,100),2),""),IFERROR(RIGHT("0000"&amp;VALUE(TRIM(LEFT(Sync!$L435,FIND("/",Sync!$L435)-1))),4)&amp;"/"&amp;RIGHT("00"&amp;VALUE(TRIM(LEFT(MID(Sync!$L435,FIND("/",Sync!$L435)+1,20),FIND("/",MID(Sync!$L435,FIND("/",Sync!$L435)+1,20))-1))),2)&amp;"/"&amp;RIGHT("00"&amp;VALUE(TRIM(MID(MID(Sync!$L435,FIND("/",Sync!$L435)+1,20),FIND("/",MID(Sync!$L435,FIND("/",Sync!$L435)+1,20))+1,20))),2),"")))</f>
        <v/>
      </c>
    </row>
    <row r="436" spans="1:14" x14ac:dyDescent="0.2">
      <c r="A436" t="str">
        <f>IF(Issues!$B439="","",Issues!$B439)</f>
        <v/>
      </c>
      <c r="B436" t="str">
        <f>IF($A436="","",IF(ISNUMBER(Issues!$C439),IF(AND(Issues!$C439&gt;=10000101,Issues!$C439&lt;=99991231),INT(Issues!$C439/10000),""),IFERROR(VALUE(TRIM(LEFT(Issues!$C439,FIND("/",Issues!$C439)-1))),"")))</f>
        <v/>
      </c>
      <c r="C436" t="str">
        <f>IF(OR($A436="",$B436=""),"",IF(ISNUMBER(Issues!$C439),INT(MOD(Issues!$C439,10000)/100),IFERROR(VALUE(TRIM(LEFT(MID(Issues!$C439,FIND("/",Issues!$C439)+1,20),FIND("/",MID(Issues!$C439,FIND("/",Issues!$C439)+1,20))-1))),"")))</f>
        <v/>
      </c>
      <c r="D436" t="str">
        <f>IF(OR($A436="",$B436=""),"",IF(ISNUMBER(Issues!$C439),MOD(Issues!$C439,100),IFERROR(VALUE(TRIM(MID(MID(Issues!$C439,FIND("/",Issues!$C439)+1,20),FIND("/",MID(Issues!$C439,FIND("/",Issues!$C439)+1,20))+1,20))),"")))</f>
        <v/>
      </c>
      <c r="E436" t="str">
        <f t="shared" si="18"/>
        <v/>
      </c>
      <c r="F436" t="str">
        <f>IF($A436="","",IF(Issues!$D439="",0,Issues!$D439))</f>
        <v/>
      </c>
      <c r="G436" t="str">
        <f>IF($A436="","",Issues!$E439)</f>
        <v/>
      </c>
      <c r="H436" t="str">
        <f t="shared" si="19"/>
        <v/>
      </c>
      <c r="I436" t="str">
        <f t="shared" si="20"/>
        <v/>
      </c>
      <c r="J436" t="str">
        <f>IF($A436="","",Issues!$G439)</f>
        <v/>
      </c>
      <c r="K436" t="str">
        <f>IF(OR($E436="",$E436="نامعتبر"),"",LEFT($E436,4)&amp;MID($E436,6,2)&amp;RIGHT($E436,2)&amp;"|"&amp;RIGHT("00000"&amp;431,5))</f>
        <v/>
      </c>
      <c r="M436" t="str">
        <f>IF(Sync!$M436&lt;&gt;"پاس چک","",IF(Sync!$P436="","",Sync!$P436))</f>
        <v/>
      </c>
      <c r="N436" t="str">
        <f>IF($M436="","",IF(ISNUMBER(Sync!$L436),IF(AND(Sync!$L436&gt;=10000101,Sync!$L436&lt;=99991231),RIGHT("0000"&amp;INT(Sync!$L436/10000),4)&amp;"/"&amp;RIGHT("00"&amp;INT(MOD(Sync!$L436,10000)/100),2)&amp;"/"&amp;RIGHT("00"&amp;MOD(Sync!$L436,100),2),""),IFERROR(RIGHT("0000"&amp;VALUE(TRIM(LEFT(Sync!$L436,FIND("/",Sync!$L436)-1))),4)&amp;"/"&amp;RIGHT("00"&amp;VALUE(TRIM(LEFT(MID(Sync!$L436,FIND("/",Sync!$L436)+1,20),FIND("/",MID(Sync!$L436,FIND("/",Sync!$L436)+1,20))-1))),2)&amp;"/"&amp;RIGHT("00"&amp;VALUE(TRIM(MID(MID(Sync!$L436,FIND("/",Sync!$L436)+1,20),FIND("/",MID(Sync!$L436,FIND("/",Sync!$L436)+1,20))+1,20))),2),"")))</f>
        <v/>
      </c>
    </row>
    <row r="437" spans="1:14" x14ac:dyDescent="0.2">
      <c r="A437" t="str">
        <f>IF(Issues!$B440="","",Issues!$B440)</f>
        <v/>
      </c>
      <c r="B437" t="str">
        <f>IF($A437="","",IF(ISNUMBER(Issues!$C440),IF(AND(Issues!$C440&gt;=10000101,Issues!$C440&lt;=99991231),INT(Issues!$C440/10000),""),IFERROR(VALUE(TRIM(LEFT(Issues!$C440,FIND("/",Issues!$C440)-1))),"")))</f>
        <v/>
      </c>
      <c r="C437" t="str">
        <f>IF(OR($A437="",$B437=""),"",IF(ISNUMBER(Issues!$C440),INT(MOD(Issues!$C440,10000)/100),IFERROR(VALUE(TRIM(LEFT(MID(Issues!$C440,FIND("/",Issues!$C440)+1,20),FIND("/",MID(Issues!$C440,FIND("/",Issues!$C440)+1,20))-1))),"")))</f>
        <v/>
      </c>
      <c r="D437" t="str">
        <f>IF(OR($A437="",$B437=""),"",IF(ISNUMBER(Issues!$C440),MOD(Issues!$C440,100),IFERROR(VALUE(TRIM(MID(MID(Issues!$C440,FIND("/",Issues!$C440)+1,20),FIND("/",MID(Issues!$C440,FIND("/",Issues!$C440)+1,20))+1,20))),"")))</f>
        <v/>
      </c>
      <c r="E437" t="str">
        <f t="shared" si="18"/>
        <v/>
      </c>
      <c r="F437" t="str">
        <f>IF($A437="","",IF(Issues!$D440="",0,Issues!$D440))</f>
        <v/>
      </c>
      <c r="G437" t="str">
        <f>IF($A437="","",Issues!$E440)</f>
        <v/>
      </c>
      <c r="H437" t="str">
        <f t="shared" si="19"/>
        <v/>
      </c>
      <c r="I437" t="str">
        <f t="shared" si="20"/>
        <v/>
      </c>
      <c r="J437" t="str">
        <f>IF($A437="","",Issues!$G440)</f>
        <v/>
      </c>
      <c r="K437" t="str">
        <f>IF(OR($E437="",$E437="نامعتبر"),"",LEFT($E437,4)&amp;MID($E437,6,2)&amp;RIGHT($E437,2)&amp;"|"&amp;RIGHT("00000"&amp;432,5))</f>
        <v/>
      </c>
      <c r="M437" t="str">
        <f>IF(Sync!$M437&lt;&gt;"پاس چک","",IF(Sync!$P437="","",Sync!$P437))</f>
        <v/>
      </c>
      <c r="N437" t="str">
        <f>IF($M437="","",IF(ISNUMBER(Sync!$L437),IF(AND(Sync!$L437&gt;=10000101,Sync!$L437&lt;=99991231),RIGHT("0000"&amp;INT(Sync!$L437/10000),4)&amp;"/"&amp;RIGHT("00"&amp;INT(MOD(Sync!$L437,10000)/100),2)&amp;"/"&amp;RIGHT("00"&amp;MOD(Sync!$L437,100),2),""),IFERROR(RIGHT("0000"&amp;VALUE(TRIM(LEFT(Sync!$L437,FIND("/",Sync!$L437)-1))),4)&amp;"/"&amp;RIGHT("00"&amp;VALUE(TRIM(LEFT(MID(Sync!$L437,FIND("/",Sync!$L437)+1,20),FIND("/",MID(Sync!$L437,FIND("/",Sync!$L437)+1,20))-1))),2)&amp;"/"&amp;RIGHT("00"&amp;VALUE(TRIM(MID(MID(Sync!$L437,FIND("/",Sync!$L437)+1,20),FIND("/",MID(Sync!$L437,FIND("/",Sync!$L437)+1,20))+1,20))),2),"")))</f>
        <v/>
      </c>
    </row>
    <row r="438" spans="1:14" x14ac:dyDescent="0.2">
      <c r="A438" t="str">
        <f>IF(Issues!$B441="","",Issues!$B441)</f>
        <v/>
      </c>
      <c r="B438" t="str">
        <f>IF($A438="","",IF(ISNUMBER(Issues!$C441),IF(AND(Issues!$C441&gt;=10000101,Issues!$C441&lt;=99991231),INT(Issues!$C441/10000),""),IFERROR(VALUE(TRIM(LEFT(Issues!$C441,FIND("/",Issues!$C441)-1))),"")))</f>
        <v/>
      </c>
      <c r="C438" t="str">
        <f>IF(OR($A438="",$B438=""),"",IF(ISNUMBER(Issues!$C441),INT(MOD(Issues!$C441,10000)/100),IFERROR(VALUE(TRIM(LEFT(MID(Issues!$C441,FIND("/",Issues!$C441)+1,20),FIND("/",MID(Issues!$C441,FIND("/",Issues!$C441)+1,20))-1))),"")))</f>
        <v/>
      </c>
      <c r="D438" t="str">
        <f>IF(OR($A438="",$B438=""),"",IF(ISNUMBER(Issues!$C441),MOD(Issues!$C441,100),IFERROR(VALUE(TRIM(MID(MID(Issues!$C441,FIND("/",Issues!$C441)+1,20),FIND("/",MID(Issues!$C441,FIND("/",Issues!$C441)+1,20))+1,20))),"")))</f>
        <v/>
      </c>
      <c r="E438" t="str">
        <f t="shared" si="18"/>
        <v/>
      </c>
      <c r="F438" t="str">
        <f>IF($A438="","",IF(Issues!$D441="",0,Issues!$D441))</f>
        <v/>
      </c>
      <c r="G438" t="str">
        <f>IF($A438="","",Issues!$E441)</f>
        <v/>
      </c>
      <c r="H438" t="str">
        <f t="shared" si="19"/>
        <v/>
      </c>
      <c r="I438" t="str">
        <f t="shared" si="20"/>
        <v/>
      </c>
      <c r="J438" t="str">
        <f>IF($A438="","",Issues!$G441)</f>
        <v/>
      </c>
      <c r="K438" t="str">
        <f>IF(OR($E438="",$E438="نامعتبر"),"",LEFT($E438,4)&amp;MID($E438,6,2)&amp;RIGHT($E438,2)&amp;"|"&amp;RIGHT("00000"&amp;433,5))</f>
        <v/>
      </c>
      <c r="M438" t="str">
        <f>IF(Sync!$M438&lt;&gt;"پاس چک","",IF(Sync!$P438="","",Sync!$P438))</f>
        <v/>
      </c>
      <c r="N438" t="str">
        <f>IF($M438="","",IF(ISNUMBER(Sync!$L438),IF(AND(Sync!$L438&gt;=10000101,Sync!$L438&lt;=99991231),RIGHT("0000"&amp;INT(Sync!$L438/10000),4)&amp;"/"&amp;RIGHT("00"&amp;INT(MOD(Sync!$L438,10000)/100),2)&amp;"/"&amp;RIGHT("00"&amp;MOD(Sync!$L438,100),2),""),IFERROR(RIGHT("0000"&amp;VALUE(TRIM(LEFT(Sync!$L438,FIND("/",Sync!$L438)-1))),4)&amp;"/"&amp;RIGHT("00"&amp;VALUE(TRIM(LEFT(MID(Sync!$L438,FIND("/",Sync!$L438)+1,20),FIND("/",MID(Sync!$L438,FIND("/",Sync!$L438)+1,20))-1))),2)&amp;"/"&amp;RIGHT("00"&amp;VALUE(TRIM(MID(MID(Sync!$L438,FIND("/",Sync!$L438)+1,20),FIND("/",MID(Sync!$L438,FIND("/",Sync!$L438)+1,20))+1,20))),2),"")))</f>
        <v/>
      </c>
    </row>
    <row r="439" spans="1:14" x14ac:dyDescent="0.2">
      <c r="A439" t="str">
        <f>IF(Issues!$B442="","",Issues!$B442)</f>
        <v/>
      </c>
      <c r="B439" t="str">
        <f>IF($A439="","",IF(ISNUMBER(Issues!$C442),IF(AND(Issues!$C442&gt;=10000101,Issues!$C442&lt;=99991231),INT(Issues!$C442/10000),""),IFERROR(VALUE(TRIM(LEFT(Issues!$C442,FIND("/",Issues!$C442)-1))),"")))</f>
        <v/>
      </c>
      <c r="C439" t="str">
        <f>IF(OR($A439="",$B439=""),"",IF(ISNUMBER(Issues!$C442),INT(MOD(Issues!$C442,10000)/100),IFERROR(VALUE(TRIM(LEFT(MID(Issues!$C442,FIND("/",Issues!$C442)+1,20),FIND("/",MID(Issues!$C442,FIND("/",Issues!$C442)+1,20))-1))),"")))</f>
        <v/>
      </c>
      <c r="D439" t="str">
        <f>IF(OR($A439="",$B439=""),"",IF(ISNUMBER(Issues!$C442),MOD(Issues!$C442,100),IFERROR(VALUE(TRIM(MID(MID(Issues!$C442,FIND("/",Issues!$C442)+1,20),FIND("/",MID(Issues!$C442,FIND("/",Issues!$C442)+1,20))+1,20))),"")))</f>
        <v/>
      </c>
      <c r="E439" t="str">
        <f t="shared" si="18"/>
        <v/>
      </c>
      <c r="F439" t="str">
        <f>IF($A439="","",IF(Issues!$D442="",0,Issues!$D442))</f>
        <v/>
      </c>
      <c r="G439" t="str">
        <f>IF($A439="","",Issues!$E442)</f>
        <v/>
      </c>
      <c r="H439" t="str">
        <f t="shared" si="19"/>
        <v/>
      </c>
      <c r="I439" t="str">
        <f t="shared" si="20"/>
        <v/>
      </c>
      <c r="J439" t="str">
        <f>IF($A439="","",Issues!$G442)</f>
        <v/>
      </c>
      <c r="K439" t="str">
        <f>IF(OR($E439="",$E439="نامعتبر"),"",LEFT($E439,4)&amp;MID($E439,6,2)&amp;RIGHT($E439,2)&amp;"|"&amp;RIGHT("00000"&amp;434,5))</f>
        <v/>
      </c>
      <c r="M439" t="str">
        <f>IF(Sync!$M439&lt;&gt;"پاس چک","",IF(Sync!$P439="","",Sync!$P439))</f>
        <v/>
      </c>
      <c r="N439" t="str">
        <f>IF($M439="","",IF(ISNUMBER(Sync!$L439),IF(AND(Sync!$L439&gt;=10000101,Sync!$L439&lt;=99991231),RIGHT("0000"&amp;INT(Sync!$L439/10000),4)&amp;"/"&amp;RIGHT("00"&amp;INT(MOD(Sync!$L439,10000)/100),2)&amp;"/"&amp;RIGHT("00"&amp;MOD(Sync!$L439,100),2),""),IFERROR(RIGHT("0000"&amp;VALUE(TRIM(LEFT(Sync!$L439,FIND("/",Sync!$L439)-1))),4)&amp;"/"&amp;RIGHT("00"&amp;VALUE(TRIM(LEFT(MID(Sync!$L439,FIND("/",Sync!$L439)+1,20),FIND("/",MID(Sync!$L439,FIND("/",Sync!$L439)+1,20))-1))),2)&amp;"/"&amp;RIGHT("00"&amp;VALUE(TRIM(MID(MID(Sync!$L439,FIND("/",Sync!$L439)+1,20),FIND("/",MID(Sync!$L439,FIND("/",Sync!$L439)+1,20))+1,20))),2),"")))</f>
        <v/>
      </c>
    </row>
    <row r="440" spans="1:14" x14ac:dyDescent="0.2">
      <c r="A440" t="str">
        <f>IF(Issues!$B443="","",Issues!$B443)</f>
        <v/>
      </c>
      <c r="B440" t="str">
        <f>IF($A440="","",IF(ISNUMBER(Issues!$C443),IF(AND(Issues!$C443&gt;=10000101,Issues!$C443&lt;=99991231),INT(Issues!$C443/10000),""),IFERROR(VALUE(TRIM(LEFT(Issues!$C443,FIND("/",Issues!$C443)-1))),"")))</f>
        <v/>
      </c>
      <c r="C440" t="str">
        <f>IF(OR($A440="",$B440=""),"",IF(ISNUMBER(Issues!$C443),INT(MOD(Issues!$C443,10000)/100),IFERROR(VALUE(TRIM(LEFT(MID(Issues!$C443,FIND("/",Issues!$C443)+1,20),FIND("/",MID(Issues!$C443,FIND("/",Issues!$C443)+1,20))-1))),"")))</f>
        <v/>
      </c>
      <c r="D440" t="str">
        <f>IF(OR($A440="",$B440=""),"",IF(ISNUMBER(Issues!$C443),MOD(Issues!$C443,100),IFERROR(VALUE(TRIM(MID(MID(Issues!$C443,FIND("/",Issues!$C443)+1,20),FIND("/",MID(Issues!$C443,FIND("/",Issues!$C443)+1,20))+1,20))),"")))</f>
        <v/>
      </c>
      <c r="E440" t="str">
        <f t="shared" si="18"/>
        <v/>
      </c>
      <c r="F440" t="str">
        <f>IF($A440="","",IF(Issues!$D443="",0,Issues!$D443))</f>
        <v/>
      </c>
      <c r="G440" t="str">
        <f>IF($A440="","",Issues!$E443)</f>
        <v/>
      </c>
      <c r="H440" t="str">
        <f t="shared" si="19"/>
        <v/>
      </c>
      <c r="I440" t="str">
        <f t="shared" si="20"/>
        <v/>
      </c>
      <c r="J440" t="str">
        <f>IF($A440="","",Issues!$G443)</f>
        <v/>
      </c>
      <c r="K440" t="str">
        <f>IF(OR($E440="",$E440="نامعتبر"),"",LEFT($E440,4)&amp;MID($E440,6,2)&amp;RIGHT($E440,2)&amp;"|"&amp;RIGHT("00000"&amp;435,5))</f>
        <v/>
      </c>
      <c r="M440" t="str">
        <f>IF(Sync!$M440&lt;&gt;"پاس چک","",IF(Sync!$P440="","",Sync!$P440))</f>
        <v/>
      </c>
      <c r="N440" t="str">
        <f>IF($M440="","",IF(ISNUMBER(Sync!$L440),IF(AND(Sync!$L440&gt;=10000101,Sync!$L440&lt;=99991231),RIGHT("0000"&amp;INT(Sync!$L440/10000),4)&amp;"/"&amp;RIGHT("00"&amp;INT(MOD(Sync!$L440,10000)/100),2)&amp;"/"&amp;RIGHT("00"&amp;MOD(Sync!$L440,100),2),""),IFERROR(RIGHT("0000"&amp;VALUE(TRIM(LEFT(Sync!$L440,FIND("/",Sync!$L440)-1))),4)&amp;"/"&amp;RIGHT("00"&amp;VALUE(TRIM(LEFT(MID(Sync!$L440,FIND("/",Sync!$L440)+1,20),FIND("/",MID(Sync!$L440,FIND("/",Sync!$L440)+1,20))-1))),2)&amp;"/"&amp;RIGHT("00"&amp;VALUE(TRIM(MID(MID(Sync!$L440,FIND("/",Sync!$L440)+1,20),FIND("/",MID(Sync!$L440,FIND("/",Sync!$L440)+1,20))+1,20))),2),"")))</f>
        <v/>
      </c>
    </row>
    <row r="441" spans="1:14" x14ac:dyDescent="0.2">
      <c r="A441" t="str">
        <f>IF(Issues!$B444="","",Issues!$B444)</f>
        <v/>
      </c>
      <c r="B441" t="str">
        <f>IF($A441="","",IF(ISNUMBER(Issues!$C444),IF(AND(Issues!$C444&gt;=10000101,Issues!$C444&lt;=99991231),INT(Issues!$C444/10000),""),IFERROR(VALUE(TRIM(LEFT(Issues!$C444,FIND("/",Issues!$C444)-1))),"")))</f>
        <v/>
      </c>
      <c r="C441" t="str">
        <f>IF(OR($A441="",$B441=""),"",IF(ISNUMBER(Issues!$C444),INT(MOD(Issues!$C444,10000)/100),IFERROR(VALUE(TRIM(LEFT(MID(Issues!$C444,FIND("/",Issues!$C444)+1,20),FIND("/",MID(Issues!$C444,FIND("/",Issues!$C444)+1,20))-1))),"")))</f>
        <v/>
      </c>
      <c r="D441" t="str">
        <f>IF(OR($A441="",$B441=""),"",IF(ISNUMBER(Issues!$C444),MOD(Issues!$C444,100),IFERROR(VALUE(TRIM(MID(MID(Issues!$C444,FIND("/",Issues!$C444)+1,20),FIND("/",MID(Issues!$C444,FIND("/",Issues!$C444)+1,20))+1,20))),"")))</f>
        <v/>
      </c>
      <c r="E441" t="str">
        <f t="shared" si="18"/>
        <v/>
      </c>
      <c r="F441" t="str">
        <f>IF($A441="","",IF(Issues!$D444="",0,Issues!$D444))</f>
        <v/>
      </c>
      <c r="G441" t="str">
        <f>IF($A441="","",Issues!$E444)</f>
        <v/>
      </c>
      <c r="H441" t="str">
        <f t="shared" si="19"/>
        <v/>
      </c>
      <c r="I441" t="str">
        <f t="shared" si="20"/>
        <v/>
      </c>
      <c r="J441" t="str">
        <f>IF($A441="","",Issues!$G444)</f>
        <v/>
      </c>
      <c r="K441" t="str">
        <f>IF(OR($E441="",$E441="نامعتبر"),"",LEFT($E441,4)&amp;MID($E441,6,2)&amp;RIGHT($E441,2)&amp;"|"&amp;RIGHT("00000"&amp;436,5))</f>
        <v/>
      </c>
      <c r="M441" t="str">
        <f>IF(Sync!$M441&lt;&gt;"پاس چک","",IF(Sync!$P441="","",Sync!$P441))</f>
        <v/>
      </c>
      <c r="N441" t="str">
        <f>IF($M441="","",IF(ISNUMBER(Sync!$L441),IF(AND(Sync!$L441&gt;=10000101,Sync!$L441&lt;=99991231),RIGHT("0000"&amp;INT(Sync!$L441/10000),4)&amp;"/"&amp;RIGHT("00"&amp;INT(MOD(Sync!$L441,10000)/100),2)&amp;"/"&amp;RIGHT("00"&amp;MOD(Sync!$L441,100),2),""),IFERROR(RIGHT("0000"&amp;VALUE(TRIM(LEFT(Sync!$L441,FIND("/",Sync!$L441)-1))),4)&amp;"/"&amp;RIGHT("00"&amp;VALUE(TRIM(LEFT(MID(Sync!$L441,FIND("/",Sync!$L441)+1,20),FIND("/",MID(Sync!$L441,FIND("/",Sync!$L441)+1,20))-1))),2)&amp;"/"&amp;RIGHT("00"&amp;VALUE(TRIM(MID(MID(Sync!$L441,FIND("/",Sync!$L441)+1,20),FIND("/",MID(Sync!$L441,FIND("/",Sync!$L441)+1,20))+1,20))),2),"")))</f>
        <v/>
      </c>
    </row>
    <row r="442" spans="1:14" x14ac:dyDescent="0.2">
      <c r="A442" t="str">
        <f>IF(Issues!$B445="","",Issues!$B445)</f>
        <v/>
      </c>
      <c r="B442" t="str">
        <f>IF($A442="","",IF(ISNUMBER(Issues!$C445),IF(AND(Issues!$C445&gt;=10000101,Issues!$C445&lt;=99991231),INT(Issues!$C445/10000),""),IFERROR(VALUE(TRIM(LEFT(Issues!$C445,FIND("/",Issues!$C445)-1))),"")))</f>
        <v/>
      </c>
      <c r="C442" t="str">
        <f>IF(OR($A442="",$B442=""),"",IF(ISNUMBER(Issues!$C445),INT(MOD(Issues!$C445,10000)/100),IFERROR(VALUE(TRIM(LEFT(MID(Issues!$C445,FIND("/",Issues!$C445)+1,20),FIND("/",MID(Issues!$C445,FIND("/",Issues!$C445)+1,20))-1))),"")))</f>
        <v/>
      </c>
      <c r="D442" t="str">
        <f>IF(OR($A442="",$B442=""),"",IF(ISNUMBER(Issues!$C445),MOD(Issues!$C445,100),IFERROR(VALUE(TRIM(MID(MID(Issues!$C445,FIND("/",Issues!$C445)+1,20),FIND("/",MID(Issues!$C445,FIND("/",Issues!$C445)+1,20))+1,20))),"")))</f>
        <v/>
      </c>
      <c r="E442" t="str">
        <f t="shared" si="18"/>
        <v/>
      </c>
      <c r="F442" t="str">
        <f>IF($A442="","",IF(Issues!$D445="",0,Issues!$D445))</f>
        <v/>
      </c>
      <c r="G442" t="str">
        <f>IF($A442="","",Issues!$E445)</f>
        <v/>
      </c>
      <c r="H442" t="str">
        <f t="shared" si="19"/>
        <v/>
      </c>
      <c r="I442" t="str">
        <f t="shared" si="20"/>
        <v/>
      </c>
      <c r="J442" t="str">
        <f>IF($A442="","",Issues!$G445)</f>
        <v/>
      </c>
      <c r="K442" t="str">
        <f>IF(OR($E442="",$E442="نامعتبر"),"",LEFT($E442,4)&amp;MID($E442,6,2)&amp;RIGHT($E442,2)&amp;"|"&amp;RIGHT("00000"&amp;437,5))</f>
        <v/>
      </c>
      <c r="M442" t="str">
        <f>IF(Sync!$M442&lt;&gt;"پاس چک","",IF(Sync!$P442="","",Sync!$P442))</f>
        <v/>
      </c>
      <c r="N442" t="str">
        <f>IF($M442="","",IF(ISNUMBER(Sync!$L442),IF(AND(Sync!$L442&gt;=10000101,Sync!$L442&lt;=99991231),RIGHT("0000"&amp;INT(Sync!$L442/10000),4)&amp;"/"&amp;RIGHT("00"&amp;INT(MOD(Sync!$L442,10000)/100),2)&amp;"/"&amp;RIGHT("00"&amp;MOD(Sync!$L442,100),2),""),IFERROR(RIGHT("0000"&amp;VALUE(TRIM(LEFT(Sync!$L442,FIND("/",Sync!$L442)-1))),4)&amp;"/"&amp;RIGHT("00"&amp;VALUE(TRIM(LEFT(MID(Sync!$L442,FIND("/",Sync!$L442)+1,20),FIND("/",MID(Sync!$L442,FIND("/",Sync!$L442)+1,20))-1))),2)&amp;"/"&amp;RIGHT("00"&amp;VALUE(TRIM(MID(MID(Sync!$L442,FIND("/",Sync!$L442)+1,20),FIND("/",MID(Sync!$L442,FIND("/",Sync!$L442)+1,20))+1,20))),2),"")))</f>
        <v/>
      </c>
    </row>
    <row r="443" spans="1:14" x14ac:dyDescent="0.2">
      <c r="A443" t="str">
        <f>IF(Issues!$B446="","",Issues!$B446)</f>
        <v/>
      </c>
      <c r="B443" t="str">
        <f>IF($A443="","",IF(ISNUMBER(Issues!$C446),IF(AND(Issues!$C446&gt;=10000101,Issues!$C446&lt;=99991231),INT(Issues!$C446/10000),""),IFERROR(VALUE(TRIM(LEFT(Issues!$C446,FIND("/",Issues!$C446)-1))),"")))</f>
        <v/>
      </c>
      <c r="C443" t="str">
        <f>IF(OR($A443="",$B443=""),"",IF(ISNUMBER(Issues!$C446),INT(MOD(Issues!$C446,10000)/100),IFERROR(VALUE(TRIM(LEFT(MID(Issues!$C446,FIND("/",Issues!$C446)+1,20),FIND("/",MID(Issues!$C446,FIND("/",Issues!$C446)+1,20))-1))),"")))</f>
        <v/>
      </c>
      <c r="D443" t="str">
        <f>IF(OR($A443="",$B443=""),"",IF(ISNUMBER(Issues!$C446),MOD(Issues!$C446,100),IFERROR(VALUE(TRIM(MID(MID(Issues!$C446,FIND("/",Issues!$C446)+1,20),FIND("/",MID(Issues!$C446,FIND("/",Issues!$C446)+1,20))+1,20))),"")))</f>
        <v/>
      </c>
      <c r="E443" t="str">
        <f t="shared" si="18"/>
        <v/>
      </c>
      <c r="F443" t="str">
        <f>IF($A443="","",IF(Issues!$D446="",0,Issues!$D446))</f>
        <v/>
      </c>
      <c r="G443" t="str">
        <f>IF($A443="","",Issues!$E446)</f>
        <v/>
      </c>
      <c r="H443" t="str">
        <f t="shared" si="19"/>
        <v/>
      </c>
      <c r="I443" t="str">
        <f t="shared" si="20"/>
        <v/>
      </c>
      <c r="J443" t="str">
        <f>IF($A443="","",Issues!$G446)</f>
        <v/>
      </c>
      <c r="K443" t="str">
        <f>IF(OR($E443="",$E443="نامعتبر"),"",LEFT($E443,4)&amp;MID($E443,6,2)&amp;RIGHT($E443,2)&amp;"|"&amp;RIGHT("00000"&amp;438,5))</f>
        <v/>
      </c>
      <c r="M443" t="str">
        <f>IF(Sync!$M443&lt;&gt;"پاس چک","",IF(Sync!$P443="","",Sync!$P443))</f>
        <v/>
      </c>
      <c r="N443" t="str">
        <f>IF($M443="","",IF(ISNUMBER(Sync!$L443),IF(AND(Sync!$L443&gt;=10000101,Sync!$L443&lt;=99991231),RIGHT("0000"&amp;INT(Sync!$L443/10000),4)&amp;"/"&amp;RIGHT("00"&amp;INT(MOD(Sync!$L443,10000)/100),2)&amp;"/"&amp;RIGHT("00"&amp;MOD(Sync!$L443,100),2),""),IFERROR(RIGHT("0000"&amp;VALUE(TRIM(LEFT(Sync!$L443,FIND("/",Sync!$L443)-1))),4)&amp;"/"&amp;RIGHT("00"&amp;VALUE(TRIM(LEFT(MID(Sync!$L443,FIND("/",Sync!$L443)+1,20),FIND("/",MID(Sync!$L443,FIND("/",Sync!$L443)+1,20))-1))),2)&amp;"/"&amp;RIGHT("00"&amp;VALUE(TRIM(MID(MID(Sync!$L443,FIND("/",Sync!$L443)+1,20),FIND("/",MID(Sync!$L443,FIND("/",Sync!$L443)+1,20))+1,20))),2),"")))</f>
        <v/>
      </c>
    </row>
    <row r="444" spans="1:14" x14ac:dyDescent="0.2">
      <c r="A444" t="str">
        <f>IF(Issues!$B447="","",Issues!$B447)</f>
        <v/>
      </c>
      <c r="B444" t="str">
        <f>IF($A444="","",IF(ISNUMBER(Issues!$C447),IF(AND(Issues!$C447&gt;=10000101,Issues!$C447&lt;=99991231),INT(Issues!$C447/10000),""),IFERROR(VALUE(TRIM(LEFT(Issues!$C447,FIND("/",Issues!$C447)-1))),"")))</f>
        <v/>
      </c>
      <c r="C444" t="str">
        <f>IF(OR($A444="",$B444=""),"",IF(ISNUMBER(Issues!$C447),INT(MOD(Issues!$C447,10000)/100),IFERROR(VALUE(TRIM(LEFT(MID(Issues!$C447,FIND("/",Issues!$C447)+1,20),FIND("/",MID(Issues!$C447,FIND("/",Issues!$C447)+1,20))-1))),"")))</f>
        <v/>
      </c>
      <c r="D444" t="str">
        <f>IF(OR($A444="",$B444=""),"",IF(ISNUMBER(Issues!$C447),MOD(Issues!$C447,100),IFERROR(VALUE(TRIM(MID(MID(Issues!$C447,FIND("/",Issues!$C447)+1,20),FIND("/",MID(Issues!$C447,FIND("/",Issues!$C447)+1,20))+1,20))),"")))</f>
        <v/>
      </c>
      <c r="E444" t="str">
        <f t="shared" si="18"/>
        <v/>
      </c>
      <c r="F444" t="str">
        <f>IF($A444="","",IF(Issues!$D447="",0,Issues!$D447))</f>
        <v/>
      </c>
      <c r="G444" t="str">
        <f>IF($A444="","",Issues!$E447)</f>
        <v/>
      </c>
      <c r="H444" t="str">
        <f t="shared" si="19"/>
        <v/>
      </c>
      <c r="I444" t="str">
        <f t="shared" si="20"/>
        <v/>
      </c>
      <c r="J444" t="str">
        <f>IF($A444="","",Issues!$G447)</f>
        <v/>
      </c>
      <c r="K444" t="str">
        <f>IF(OR($E444="",$E444="نامعتبر"),"",LEFT($E444,4)&amp;MID($E444,6,2)&amp;RIGHT($E444,2)&amp;"|"&amp;RIGHT("00000"&amp;439,5))</f>
        <v/>
      </c>
      <c r="M444" t="str">
        <f>IF(Sync!$M444&lt;&gt;"پاس چک","",IF(Sync!$P444="","",Sync!$P444))</f>
        <v/>
      </c>
      <c r="N444" t="str">
        <f>IF($M444="","",IF(ISNUMBER(Sync!$L444),IF(AND(Sync!$L444&gt;=10000101,Sync!$L444&lt;=99991231),RIGHT("0000"&amp;INT(Sync!$L444/10000),4)&amp;"/"&amp;RIGHT("00"&amp;INT(MOD(Sync!$L444,10000)/100),2)&amp;"/"&amp;RIGHT("00"&amp;MOD(Sync!$L444,100),2),""),IFERROR(RIGHT("0000"&amp;VALUE(TRIM(LEFT(Sync!$L444,FIND("/",Sync!$L444)-1))),4)&amp;"/"&amp;RIGHT("00"&amp;VALUE(TRIM(LEFT(MID(Sync!$L444,FIND("/",Sync!$L444)+1,20),FIND("/",MID(Sync!$L444,FIND("/",Sync!$L444)+1,20))-1))),2)&amp;"/"&amp;RIGHT("00"&amp;VALUE(TRIM(MID(MID(Sync!$L444,FIND("/",Sync!$L444)+1,20),FIND("/",MID(Sync!$L444,FIND("/",Sync!$L444)+1,20))+1,20))),2),"")))</f>
        <v/>
      </c>
    </row>
    <row r="445" spans="1:14" x14ac:dyDescent="0.2">
      <c r="A445" t="str">
        <f>IF(Issues!$B448="","",Issues!$B448)</f>
        <v/>
      </c>
      <c r="B445" t="str">
        <f>IF($A445="","",IF(ISNUMBER(Issues!$C448),IF(AND(Issues!$C448&gt;=10000101,Issues!$C448&lt;=99991231),INT(Issues!$C448/10000),""),IFERROR(VALUE(TRIM(LEFT(Issues!$C448,FIND("/",Issues!$C448)-1))),"")))</f>
        <v/>
      </c>
      <c r="C445" t="str">
        <f>IF(OR($A445="",$B445=""),"",IF(ISNUMBER(Issues!$C448),INT(MOD(Issues!$C448,10000)/100),IFERROR(VALUE(TRIM(LEFT(MID(Issues!$C448,FIND("/",Issues!$C448)+1,20),FIND("/",MID(Issues!$C448,FIND("/",Issues!$C448)+1,20))-1))),"")))</f>
        <v/>
      </c>
      <c r="D445" t="str">
        <f>IF(OR($A445="",$B445=""),"",IF(ISNUMBER(Issues!$C448),MOD(Issues!$C448,100),IFERROR(VALUE(TRIM(MID(MID(Issues!$C448,FIND("/",Issues!$C448)+1,20),FIND("/",MID(Issues!$C448,FIND("/",Issues!$C448)+1,20))+1,20))),"")))</f>
        <v/>
      </c>
      <c r="E445" t="str">
        <f t="shared" si="18"/>
        <v/>
      </c>
      <c r="F445" t="str">
        <f>IF($A445="","",IF(Issues!$D448="",0,Issues!$D448))</f>
        <v/>
      </c>
      <c r="G445" t="str">
        <f>IF($A445="","",Issues!$E448)</f>
        <v/>
      </c>
      <c r="H445" t="str">
        <f t="shared" si="19"/>
        <v/>
      </c>
      <c r="I445" t="str">
        <f t="shared" si="20"/>
        <v/>
      </c>
      <c r="J445" t="str">
        <f>IF($A445="","",Issues!$G448)</f>
        <v/>
      </c>
      <c r="K445" t="str">
        <f>IF(OR($E445="",$E445="نامعتبر"),"",LEFT($E445,4)&amp;MID($E445,6,2)&amp;RIGHT($E445,2)&amp;"|"&amp;RIGHT("00000"&amp;440,5))</f>
        <v/>
      </c>
      <c r="M445" t="str">
        <f>IF(Sync!$M445&lt;&gt;"پاس چک","",IF(Sync!$P445="","",Sync!$P445))</f>
        <v/>
      </c>
      <c r="N445" t="str">
        <f>IF($M445="","",IF(ISNUMBER(Sync!$L445),IF(AND(Sync!$L445&gt;=10000101,Sync!$L445&lt;=99991231),RIGHT("0000"&amp;INT(Sync!$L445/10000),4)&amp;"/"&amp;RIGHT("00"&amp;INT(MOD(Sync!$L445,10000)/100),2)&amp;"/"&amp;RIGHT("00"&amp;MOD(Sync!$L445,100),2),""),IFERROR(RIGHT("0000"&amp;VALUE(TRIM(LEFT(Sync!$L445,FIND("/",Sync!$L445)-1))),4)&amp;"/"&amp;RIGHT("00"&amp;VALUE(TRIM(LEFT(MID(Sync!$L445,FIND("/",Sync!$L445)+1,20),FIND("/",MID(Sync!$L445,FIND("/",Sync!$L445)+1,20))-1))),2)&amp;"/"&amp;RIGHT("00"&amp;VALUE(TRIM(MID(MID(Sync!$L445,FIND("/",Sync!$L445)+1,20),FIND("/",MID(Sync!$L445,FIND("/",Sync!$L445)+1,20))+1,20))),2),"")))</f>
        <v/>
      </c>
    </row>
    <row r="446" spans="1:14" x14ac:dyDescent="0.2">
      <c r="A446" t="str">
        <f>IF(Issues!$B449="","",Issues!$B449)</f>
        <v/>
      </c>
      <c r="B446" t="str">
        <f>IF($A446="","",IF(ISNUMBER(Issues!$C449),IF(AND(Issues!$C449&gt;=10000101,Issues!$C449&lt;=99991231),INT(Issues!$C449/10000),""),IFERROR(VALUE(TRIM(LEFT(Issues!$C449,FIND("/",Issues!$C449)-1))),"")))</f>
        <v/>
      </c>
      <c r="C446" t="str">
        <f>IF(OR($A446="",$B446=""),"",IF(ISNUMBER(Issues!$C449),INT(MOD(Issues!$C449,10000)/100),IFERROR(VALUE(TRIM(LEFT(MID(Issues!$C449,FIND("/",Issues!$C449)+1,20),FIND("/",MID(Issues!$C449,FIND("/",Issues!$C449)+1,20))-1))),"")))</f>
        <v/>
      </c>
      <c r="D446" t="str">
        <f>IF(OR($A446="",$B446=""),"",IF(ISNUMBER(Issues!$C449),MOD(Issues!$C449,100),IFERROR(VALUE(TRIM(MID(MID(Issues!$C449,FIND("/",Issues!$C449)+1,20),FIND("/",MID(Issues!$C449,FIND("/",Issues!$C449)+1,20))+1,20))),"")))</f>
        <v/>
      </c>
      <c r="E446" t="str">
        <f t="shared" si="18"/>
        <v/>
      </c>
      <c r="F446" t="str">
        <f>IF($A446="","",IF(Issues!$D449="",0,Issues!$D449))</f>
        <v/>
      </c>
      <c r="G446" t="str">
        <f>IF($A446="","",Issues!$E449)</f>
        <v/>
      </c>
      <c r="H446" t="str">
        <f t="shared" si="19"/>
        <v/>
      </c>
      <c r="I446" t="str">
        <f t="shared" si="20"/>
        <v/>
      </c>
      <c r="J446" t="str">
        <f>IF($A446="","",Issues!$G449)</f>
        <v/>
      </c>
      <c r="K446" t="str">
        <f>IF(OR($E446="",$E446="نامعتبر"),"",LEFT($E446,4)&amp;MID($E446,6,2)&amp;RIGHT($E446,2)&amp;"|"&amp;RIGHT("00000"&amp;441,5))</f>
        <v/>
      </c>
      <c r="M446" t="str">
        <f>IF(Sync!$M446&lt;&gt;"پاس چک","",IF(Sync!$P446="","",Sync!$P446))</f>
        <v/>
      </c>
      <c r="N446" t="str">
        <f>IF($M446="","",IF(ISNUMBER(Sync!$L446),IF(AND(Sync!$L446&gt;=10000101,Sync!$L446&lt;=99991231),RIGHT("0000"&amp;INT(Sync!$L446/10000),4)&amp;"/"&amp;RIGHT("00"&amp;INT(MOD(Sync!$L446,10000)/100),2)&amp;"/"&amp;RIGHT("00"&amp;MOD(Sync!$L446,100),2),""),IFERROR(RIGHT("0000"&amp;VALUE(TRIM(LEFT(Sync!$L446,FIND("/",Sync!$L446)-1))),4)&amp;"/"&amp;RIGHT("00"&amp;VALUE(TRIM(LEFT(MID(Sync!$L446,FIND("/",Sync!$L446)+1,20),FIND("/",MID(Sync!$L446,FIND("/",Sync!$L446)+1,20))-1))),2)&amp;"/"&amp;RIGHT("00"&amp;VALUE(TRIM(MID(MID(Sync!$L446,FIND("/",Sync!$L446)+1,20),FIND("/",MID(Sync!$L446,FIND("/",Sync!$L446)+1,20))+1,20))),2),"")))</f>
        <v/>
      </c>
    </row>
    <row r="447" spans="1:14" x14ac:dyDescent="0.2">
      <c r="A447" t="str">
        <f>IF(Issues!$B450="","",Issues!$B450)</f>
        <v/>
      </c>
      <c r="B447" t="str">
        <f>IF($A447="","",IF(ISNUMBER(Issues!$C450),IF(AND(Issues!$C450&gt;=10000101,Issues!$C450&lt;=99991231),INT(Issues!$C450/10000),""),IFERROR(VALUE(TRIM(LEFT(Issues!$C450,FIND("/",Issues!$C450)-1))),"")))</f>
        <v/>
      </c>
      <c r="C447" t="str">
        <f>IF(OR($A447="",$B447=""),"",IF(ISNUMBER(Issues!$C450),INT(MOD(Issues!$C450,10000)/100),IFERROR(VALUE(TRIM(LEFT(MID(Issues!$C450,FIND("/",Issues!$C450)+1,20),FIND("/",MID(Issues!$C450,FIND("/",Issues!$C450)+1,20))-1))),"")))</f>
        <v/>
      </c>
      <c r="D447" t="str">
        <f>IF(OR($A447="",$B447=""),"",IF(ISNUMBER(Issues!$C450),MOD(Issues!$C450,100),IFERROR(VALUE(TRIM(MID(MID(Issues!$C450,FIND("/",Issues!$C450)+1,20),FIND("/",MID(Issues!$C450,FIND("/",Issues!$C450)+1,20))+1,20))),"")))</f>
        <v/>
      </c>
      <c r="E447" t="str">
        <f t="shared" si="18"/>
        <v/>
      </c>
      <c r="F447" t="str">
        <f>IF($A447="","",IF(Issues!$D450="",0,Issues!$D450))</f>
        <v/>
      </c>
      <c r="G447" t="str">
        <f>IF($A447="","",Issues!$E450)</f>
        <v/>
      </c>
      <c r="H447" t="str">
        <f t="shared" si="19"/>
        <v/>
      </c>
      <c r="I447" t="str">
        <f t="shared" si="20"/>
        <v/>
      </c>
      <c r="J447" t="str">
        <f>IF($A447="","",Issues!$G450)</f>
        <v/>
      </c>
      <c r="K447" t="str">
        <f>IF(OR($E447="",$E447="نامعتبر"),"",LEFT($E447,4)&amp;MID($E447,6,2)&amp;RIGHT($E447,2)&amp;"|"&amp;RIGHT("00000"&amp;442,5))</f>
        <v/>
      </c>
      <c r="M447" t="str">
        <f>IF(Sync!$M447&lt;&gt;"پاس چک","",IF(Sync!$P447="","",Sync!$P447))</f>
        <v/>
      </c>
      <c r="N447" t="str">
        <f>IF($M447="","",IF(ISNUMBER(Sync!$L447),IF(AND(Sync!$L447&gt;=10000101,Sync!$L447&lt;=99991231),RIGHT("0000"&amp;INT(Sync!$L447/10000),4)&amp;"/"&amp;RIGHT("00"&amp;INT(MOD(Sync!$L447,10000)/100),2)&amp;"/"&amp;RIGHT("00"&amp;MOD(Sync!$L447,100),2),""),IFERROR(RIGHT("0000"&amp;VALUE(TRIM(LEFT(Sync!$L447,FIND("/",Sync!$L447)-1))),4)&amp;"/"&amp;RIGHT("00"&amp;VALUE(TRIM(LEFT(MID(Sync!$L447,FIND("/",Sync!$L447)+1,20),FIND("/",MID(Sync!$L447,FIND("/",Sync!$L447)+1,20))-1))),2)&amp;"/"&amp;RIGHT("00"&amp;VALUE(TRIM(MID(MID(Sync!$L447,FIND("/",Sync!$L447)+1,20),FIND("/",MID(Sync!$L447,FIND("/",Sync!$L447)+1,20))+1,20))),2),"")))</f>
        <v/>
      </c>
    </row>
    <row r="448" spans="1:14" x14ac:dyDescent="0.2">
      <c r="A448" t="str">
        <f>IF(Issues!$B451="","",Issues!$B451)</f>
        <v/>
      </c>
      <c r="B448" t="str">
        <f>IF($A448="","",IF(ISNUMBER(Issues!$C451),IF(AND(Issues!$C451&gt;=10000101,Issues!$C451&lt;=99991231),INT(Issues!$C451/10000),""),IFERROR(VALUE(TRIM(LEFT(Issues!$C451,FIND("/",Issues!$C451)-1))),"")))</f>
        <v/>
      </c>
      <c r="C448" t="str">
        <f>IF(OR($A448="",$B448=""),"",IF(ISNUMBER(Issues!$C451),INT(MOD(Issues!$C451,10000)/100),IFERROR(VALUE(TRIM(LEFT(MID(Issues!$C451,FIND("/",Issues!$C451)+1,20),FIND("/",MID(Issues!$C451,FIND("/",Issues!$C451)+1,20))-1))),"")))</f>
        <v/>
      </c>
      <c r="D448" t="str">
        <f>IF(OR($A448="",$B448=""),"",IF(ISNUMBER(Issues!$C451),MOD(Issues!$C451,100),IFERROR(VALUE(TRIM(MID(MID(Issues!$C451,FIND("/",Issues!$C451)+1,20),FIND("/",MID(Issues!$C451,FIND("/",Issues!$C451)+1,20))+1,20))),"")))</f>
        <v/>
      </c>
      <c r="E448" t="str">
        <f t="shared" si="18"/>
        <v/>
      </c>
      <c r="F448" t="str">
        <f>IF($A448="","",IF(Issues!$D451="",0,Issues!$D451))</f>
        <v/>
      </c>
      <c r="G448" t="str">
        <f>IF($A448="","",Issues!$E451)</f>
        <v/>
      </c>
      <c r="H448" t="str">
        <f t="shared" si="19"/>
        <v/>
      </c>
      <c r="I448" t="str">
        <f t="shared" si="20"/>
        <v/>
      </c>
      <c r="J448" t="str">
        <f>IF($A448="","",Issues!$G451)</f>
        <v/>
      </c>
      <c r="K448" t="str">
        <f>IF(OR($E448="",$E448="نامعتبر"),"",LEFT($E448,4)&amp;MID($E448,6,2)&amp;RIGHT($E448,2)&amp;"|"&amp;RIGHT("00000"&amp;443,5))</f>
        <v/>
      </c>
      <c r="M448" t="str">
        <f>IF(Sync!$M448&lt;&gt;"پاس چک","",IF(Sync!$P448="","",Sync!$P448))</f>
        <v/>
      </c>
      <c r="N448" t="str">
        <f>IF($M448="","",IF(ISNUMBER(Sync!$L448),IF(AND(Sync!$L448&gt;=10000101,Sync!$L448&lt;=99991231),RIGHT("0000"&amp;INT(Sync!$L448/10000),4)&amp;"/"&amp;RIGHT("00"&amp;INT(MOD(Sync!$L448,10000)/100),2)&amp;"/"&amp;RIGHT("00"&amp;MOD(Sync!$L448,100),2),""),IFERROR(RIGHT("0000"&amp;VALUE(TRIM(LEFT(Sync!$L448,FIND("/",Sync!$L448)-1))),4)&amp;"/"&amp;RIGHT("00"&amp;VALUE(TRIM(LEFT(MID(Sync!$L448,FIND("/",Sync!$L448)+1,20),FIND("/",MID(Sync!$L448,FIND("/",Sync!$L448)+1,20))-1))),2)&amp;"/"&amp;RIGHT("00"&amp;VALUE(TRIM(MID(MID(Sync!$L448,FIND("/",Sync!$L448)+1,20),FIND("/",MID(Sync!$L448,FIND("/",Sync!$L448)+1,20))+1,20))),2),"")))</f>
        <v/>
      </c>
    </row>
    <row r="449" spans="1:14" x14ac:dyDescent="0.2">
      <c r="A449" t="str">
        <f>IF(Issues!$B452="","",Issues!$B452)</f>
        <v/>
      </c>
      <c r="B449" t="str">
        <f>IF($A449="","",IF(ISNUMBER(Issues!$C452),IF(AND(Issues!$C452&gt;=10000101,Issues!$C452&lt;=99991231),INT(Issues!$C452/10000),""),IFERROR(VALUE(TRIM(LEFT(Issues!$C452,FIND("/",Issues!$C452)-1))),"")))</f>
        <v/>
      </c>
      <c r="C449" t="str">
        <f>IF(OR($A449="",$B449=""),"",IF(ISNUMBER(Issues!$C452),INT(MOD(Issues!$C452,10000)/100),IFERROR(VALUE(TRIM(LEFT(MID(Issues!$C452,FIND("/",Issues!$C452)+1,20),FIND("/",MID(Issues!$C452,FIND("/",Issues!$C452)+1,20))-1))),"")))</f>
        <v/>
      </c>
      <c r="D449" t="str">
        <f>IF(OR($A449="",$B449=""),"",IF(ISNUMBER(Issues!$C452),MOD(Issues!$C452,100),IFERROR(VALUE(TRIM(MID(MID(Issues!$C452,FIND("/",Issues!$C452)+1,20),FIND("/",MID(Issues!$C452,FIND("/",Issues!$C452)+1,20))+1,20))),"")))</f>
        <v/>
      </c>
      <c r="E449" t="str">
        <f t="shared" si="18"/>
        <v/>
      </c>
      <c r="F449" t="str">
        <f>IF($A449="","",IF(Issues!$D452="",0,Issues!$D452))</f>
        <v/>
      </c>
      <c r="G449" t="str">
        <f>IF($A449="","",Issues!$E452)</f>
        <v/>
      </c>
      <c r="H449" t="str">
        <f t="shared" si="19"/>
        <v/>
      </c>
      <c r="I449" t="str">
        <f t="shared" si="20"/>
        <v/>
      </c>
      <c r="J449" t="str">
        <f>IF($A449="","",Issues!$G452)</f>
        <v/>
      </c>
      <c r="K449" t="str">
        <f>IF(OR($E449="",$E449="نامعتبر"),"",LEFT($E449,4)&amp;MID($E449,6,2)&amp;RIGHT($E449,2)&amp;"|"&amp;RIGHT("00000"&amp;444,5))</f>
        <v/>
      </c>
      <c r="M449" t="str">
        <f>IF(Sync!$M449&lt;&gt;"پاس چک","",IF(Sync!$P449="","",Sync!$P449))</f>
        <v/>
      </c>
      <c r="N449" t="str">
        <f>IF($M449="","",IF(ISNUMBER(Sync!$L449),IF(AND(Sync!$L449&gt;=10000101,Sync!$L449&lt;=99991231),RIGHT("0000"&amp;INT(Sync!$L449/10000),4)&amp;"/"&amp;RIGHT("00"&amp;INT(MOD(Sync!$L449,10000)/100),2)&amp;"/"&amp;RIGHT("00"&amp;MOD(Sync!$L449,100),2),""),IFERROR(RIGHT("0000"&amp;VALUE(TRIM(LEFT(Sync!$L449,FIND("/",Sync!$L449)-1))),4)&amp;"/"&amp;RIGHT("00"&amp;VALUE(TRIM(LEFT(MID(Sync!$L449,FIND("/",Sync!$L449)+1,20),FIND("/",MID(Sync!$L449,FIND("/",Sync!$L449)+1,20))-1))),2)&amp;"/"&amp;RIGHT("00"&amp;VALUE(TRIM(MID(MID(Sync!$L449,FIND("/",Sync!$L449)+1,20),FIND("/",MID(Sync!$L449,FIND("/",Sync!$L449)+1,20))+1,20))),2),"")))</f>
        <v/>
      </c>
    </row>
    <row r="450" spans="1:14" x14ac:dyDescent="0.2">
      <c r="A450" t="str">
        <f>IF(Issues!$B453="","",Issues!$B453)</f>
        <v/>
      </c>
      <c r="B450" t="str">
        <f>IF($A450="","",IF(ISNUMBER(Issues!$C453),IF(AND(Issues!$C453&gt;=10000101,Issues!$C453&lt;=99991231),INT(Issues!$C453/10000),""),IFERROR(VALUE(TRIM(LEFT(Issues!$C453,FIND("/",Issues!$C453)-1))),"")))</f>
        <v/>
      </c>
      <c r="C450" t="str">
        <f>IF(OR($A450="",$B450=""),"",IF(ISNUMBER(Issues!$C453),INT(MOD(Issues!$C453,10000)/100),IFERROR(VALUE(TRIM(LEFT(MID(Issues!$C453,FIND("/",Issues!$C453)+1,20),FIND("/",MID(Issues!$C453,FIND("/",Issues!$C453)+1,20))-1))),"")))</f>
        <v/>
      </c>
      <c r="D450" t="str">
        <f>IF(OR($A450="",$B450=""),"",IF(ISNUMBER(Issues!$C453),MOD(Issues!$C453,100),IFERROR(VALUE(TRIM(MID(MID(Issues!$C453,FIND("/",Issues!$C453)+1,20),FIND("/",MID(Issues!$C453,FIND("/",Issues!$C453)+1,20))+1,20))),"")))</f>
        <v/>
      </c>
      <c r="E450" t="str">
        <f t="shared" si="18"/>
        <v/>
      </c>
      <c r="F450" t="str">
        <f>IF($A450="","",IF(Issues!$D453="",0,Issues!$D453))</f>
        <v/>
      </c>
      <c r="G450" t="str">
        <f>IF($A450="","",Issues!$E453)</f>
        <v/>
      </c>
      <c r="H450" t="str">
        <f t="shared" si="19"/>
        <v/>
      </c>
      <c r="I450" t="str">
        <f t="shared" si="20"/>
        <v/>
      </c>
      <c r="J450" t="str">
        <f>IF($A450="","",Issues!$G453)</f>
        <v/>
      </c>
      <c r="K450" t="str">
        <f>IF(OR($E450="",$E450="نامعتبر"),"",LEFT($E450,4)&amp;MID($E450,6,2)&amp;RIGHT($E450,2)&amp;"|"&amp;RIGHT("00000"&amp;445,5))</f>
        <v/>
      </c>
      <c r="M450" t="str">
        <f>IF(Sync!$M450&lt;&gt;"پاس چک","",IF(Sync!$P450="","",Sync!$P450))</f>
        <v/>
      </c>
      <c r="N450" t="str">
        <f>IF($M450="","",IF(ISNUMBER(Sync!$L450),IF(AND(Sync!$L450&gt;=10000101,Sync!$L450&lt;=99991231),RIGHT("0000"&amp;INT(Sync!$L450/10000),4)&amp;"/"&amp;RIGHT("00"&amp;INT(MOD(Sync!$L450,10000)/100),2)&amp;"/"&amp;RIGHT("00"&amp;MOD(Sync!$L450,100),2),""),IFERROR(RIGHT("0000"&amp;VALUE(TRIM(LEFT(Sync!$L450,FIND("/",Sync!$L450)-1))),4)&amp;"/"&amp;RIGHT("00"&amp;VALUE(TRIM(LEFT(MID(Sync!$L450,FIND("/",Sync!$L450)+1,20),FIND("/",MID(Sync!$L450,FIND("/",Sync!$L450)+1,20))-1))),2)&amp;"/"&amp;RIGHT("00"&amp;VALUE(TRIM(MID(MID(Sync!$L450,FIND("/",Sync!$L450)+1,20),FIND("/",MID(Sync!$L450,FIND("/",Sync!$L450)+1,20))+1,20))),2),"")))</f>
        <v/>
      </c>
    </row>
    <row r="451" spans="1:14" x14ac:dyDescent="0.2">
      <c r="A451" t="str">
        <f>IF(Issues!$B454="","",Issues!$B454)</f>
        <v/>
      </c>
      <c r="B451" t="str">
        <f>IF($A451="","",IF(ISNUMBER(Issues!$C454),IF(AND(Issues!$C454&gt;=10000101,Issues!$C454&lt;=99991231),INT(Issues!$C454/10000),""),IFERROR(VALUE(TRIM(LEFT(Issues!$C454,FIND("/",Issues!$C454)-1))),"")))</f>
        <v/>
      </c>
      <c r="C451" t="str">
        <f>IF(OR($A451="",$B451=""),"",IF(ISNUMBER(Issues!$C454),INT(MOD(Issues!$C454,10000)/100),IFERROR(VALUE(TRIM(LEFT(MID(Issues!$C454,FIND("/",Issues!$C454)+1,20),FIND("/",MID(Issues!$C454,FIND("/",Issues!$C454)+1,20))-1))),"")))</f>
        <v/>
      </c>
      <c r="D451" t="str">
        <f>IF(OR($A451="",$B451=""),"",IF(ISNUMBER(Issues!$C454),MOD(Issues!$C454,100),IFERROR(VALUE(TRIM(MID(MID(Issues!$C454,FIND("/",Issues!$C454)+1,20),FIND("/",MID(Issues!$C454,FIND("/",Issues!$C454)+1,20))+1,20))),"")))</f>
        <v/>
      </c>
      <c r="E451" t="str">
        <f t="shared" si="18"/>
        <v/>
      </c>
      <c r="F451" t="str">
        <f>IF($A451="","",IF(Issues!$D454="",0,Issues!$D454))</f>
        <v/>
      </c>
      <c r="G451" t="str">
        <f>IF($A451="","",Issues!$E454)</f>
        <v/>
      </c>
      <c r="H451" t="str">
        <f t="shared" si="19"/>
        <v/>
      </c>
      <c r="I451" t="str">
        <f t="shared" si="20"/>
        <v/>
      </c>
      <c r="J451" t="str">
        <f>IF($A451="","",Issues!$G454)</f>
        <v/>
      </c>
      <c r="K451" t="str">
        <f>IF(OR($E451="",$E451="نامعتبر"),"",LEFT($E451,4)&amp;MID($E451,6,2)&amp;RIGHT($E451,2)&amp;"|"&amp;RIGHT("00000"&amp;446,5))</f>
        <v/>
      </c>
      <c r="M451" t="str">
        <f>IF(Sync!$M451&lt;&gt;"پاس چک","",IF(Sync!$P451="","",Sync!$P451))</f>
        <v/>
      </c>
      <c r="N451" t="str">
        <f>IF($M451="","",IF(ISNUMBER(Sync!$L451),IF(AND(Sync!$L451&gt;=10000101,Sync!$L451&lt;=99991231),RIGHT("0000"&amp;INT(Sync!$L451/10000),4)&amp;"/"&amp;RIGHT("00"&amp;INT(MOD(Sync!$L451,10000)/100),2)&amp;"/"&amp;RIGHT("00"&amp;MOD(Sync!$L451,100),2),""),IFERROR(RIGHT("0000"&amp;VALUE(TRIM(LEFT(Sync!$L451,FIND("/",Sync!$L451)-1))),4)&amp;"/"&amp;RIGHT("00"&amp;VALUE(TRIM(LEFT(MID(Sync!$L451,FIND("/",Sync!$L451)+1,20),FIND("/",MID(Sync!$L451,FIND("/",Sync!$L451)+1,20))-1))),2)&amp;"/"&amp;RIGHT("00"&amp;VALUE(TRIM(MID(MID(Sync!$L451,FIND("/",Sync!$L451)+1,20),FIND("/",MID(Sync!$L451,FIND("/",Sync!$L451)+1,20))+1,20))),2),"")))</f>
        <v/>
      </c>
    </row>
    <row r="452" spans="1:14" x14ac:dyDescent="0.2">
      <c r="A452" t="str">
        <f>IF(Issues!$B455="","",Issues!$B455)</f>
        <v/>
      </c>
      <c r="B452" t="str">
        <f>IF($A452="","",IF(ISNUMBER(Issues!$C455),IF(AND(Issues!$C455&gt;=10000101,Issues!$C455&lt;=99991231),INT(Issues!$C455/10000),""),IFERROR(VALUE(TRIM(LEFT(Issues!$C455,FIND("/",Issues!$C455)-1))),"")))</f>
        <v/>
      </c>
      <c r="C452" t="str">
        <f>IF(OR($A452="",$B452=""),"",IF(ISNUMBER(Issues!$C455),INT(MOD(Issues!$C455,10000)/100),IFERROR(VALUE(TRIM(LEFT(MID(Issues!$C455,FIND("/",Issues!$C455)+1,20),FIND("/",MID(Issues!$C455,FIND("/",Issues!$C455)+1,20))-1))),"")))</f>
        <v/>
      </c>
      <c r="D452" t="str">
        <f>IF(OR($A452="",$B452=""),"",IF(ISNUMBER(Issues!$C455),MOD(Issues!$C455,100),IFERROR(VALUE(TRIM(MID(MID(Issues!$C455,FIND("/",Issues!$C455)+1,20),FIND("/",MID(Issues!$C455,FIND("/",Issues!$C455)+1,20))+1,20))),"")))</f>
        <v/>
      </c>
      <c r="E452" t="str">
        <f t="shared" si="18"/>
        <v/>
      </c>
      <c r="F452" t="str">
        <f>IF($A452="","",IF(Issues!$D455="",0,Issues!$D455))</f>
        <v/>
      </c>
      <c r="G452" t="str">
        <f>IF($A452="","",Issues!$E455)</f>
        <v/>
      </c>
      <c r="H452" t="str">
        <f t="shared" si="19"/>
        <v/>
      </c>
      <c r="I452" t="str">
        <f t="shared" si="20"/>
        <v/>
      </c>
      <c r="J452" t="str">
        <f>IF($A452="","",Issues!$G455)</f>
        <v/>
      </c>
      <c r="K452" t="str">
        <f>IF(OR($E452="",$E452="نامعتبر"),"",LEFT($E452,4)&amp;MID($E452,6,2)&amp;RIGHT($E452,2)&amp;"|"&amp;RIGHT("00000"&amp;447,5))</f>
        <v/>
      </c>
      <c r="M452" t="str">
        <f>IF(Sync!$M452&lt;&gt;"پاس چک","",IF(Sync!$P452="","",Sync!$P452))</f>
        <v/>
      </c>
      <c r="N452" t="str">
        <f>IF($M452="","",IF(ISNUMBER(Sync!$L452),IF(AND(Sync!$L452&gt;=10000101,Sync!$L452&lt;=99991231),RIGHT("0000"&amp;INT(Sync!$L452/10000),4)&amp;"/"&amp;RIGHT("00"&amp;INT(MOD(Sync!$L452,10000)/100),2)&amp;"/"&amp;RIGHT("00"&amp;MOD(Sync!$L452,100),2),""),IFERROR(RIGHT("0000"&amp;VALUE(TRIM(LEFT(Sync!$L452,FIND("/",Sync!$L452)-1))),4)&amp;"/"&amp;RIGHT("00"&amp;VALUE(TRIM(LEFT(MID(Sync!$L452,FIND("/",Sync!$L452)+1,20),FIND("/",MID(Sync!$L452,FIND("/",Sync!$L452)+1,20))-1))),2)&amp;"/"&amp;RIGHT("00"&amp;VALUE(TRIM(MID(MID(Sync!$L452,FIND("/",Sync!$L452)+1,20),FIND("/",MID(Sync!$L452,FIND("/",Sync!$L452)+1,20))+1,20))),2),"")))</f>
        <v/>
      </c>
    </row>
    <row r="453" spans="1:14" x14ac:dyDescent="0.2">
      <c r="A453" t="str">
        <f>IF(Issues!$B456="","",Issues!$B456)</f>
        <v/>
      </c>
      <c r="B453" t="str">
        <f>IF($A453="","",IF(ISNUMBER(Issues!$C456),IF(AND(Issues!$C456&gt;=10000101,Issues!$C456&lt;=99991231),INT(Issues!$C456/10000),""),IFERROR(VALUE(TRIM(LEFT(Issues!$C456,FIND("/",Issues!$C456)-1))),"")))</f>
        <v/>
      </c>
      <c r="C453" t="str">
        <f>IF(OR($A453="",$B453=""),"",IF(ISNUMBER(Issues!$C456),INT(MOD(Issues!$C456,10000)/100),IFERROR(VALUE(TRIM(LEFT(MID(Issues!$C456,FIND("/",Issues!$C456)+1,20),FIND("/",MID(Issues!$C456,FIND("/",Issues!$C456)+1,20))-1))),"")))</f>
        <v/>
      </c>
      <c r="D453" t="str">
        <f>IF(OR($A453="",$B453=""),"",IF(ISNUMBER(Issues!$C456),MOD(Issues!$C456,100),IFERROR(VALUE(TRIM(MID(MID(Issues!$C456,FIND("/",Issues!$C456)+1,20),FIND("/",MID(Issues!$C456,FIND("/",Issues!$C456)+1,20))+1,20))),"")))</f>
        <v/>
      </c>
      <c r="E453" t="str">
        <f t="shared" si="18"/>
        <v/>
      </c>
      <c r="F453" t="str">
        <f>IF($A453="","",IF(Issues!$D456="",0,Issues!$D456))</f>
        <v/>
      </c>
      <c r="G453" t="str">
        <f>IF($A453="","",Issues!$E456)</f>
        <v/>
      </c>
      <c r="H453" t="str">
        <f t="shared" si="19"/>
        <v/>
      </c>
      <c r="I453" t="str">
        <f t="shared" si="20"/>
        <v/>
      </c>
      <c r="J453" t="str">
        <f>IF($A453="","",Issues!$G456)</f>
        <v/>
      </c>
      <c r="K453" t="str">
        <f>IF(OR($E453="",$E453="نامعتبر"),"",LEFT($E453,4)&amp;MID($E453,6,2)&amp;RIGHT($E453,2)&amp;"|"&amp;RIGHT("00000"&amp;448,5))</f>
        <v/>
      </c>
      <c r="M453" t="str">
        <f>IF(Sync!$M453&lt;&gt;"پاس چک","",IF(Sync!$P453="","",Sync!$P453))</f>
        <v/>
      </c>
      <c r="N453" t="str">
        <f>IF($M453="","",IF(ISNUMBER(Sync!$L453),IF(AND(Sync!$L453&gt;=10000101,Sync!$L453&lt;=99991231),RIGHT("0000"&amp;INT(Sync!$L453/10000),4)&amp;"/"&amp;RIGHT("00"&amp;INT(MOD(Sync!$L453,10000)/100),2)&amp;"/"&amp;RIGHT("00"&amp;MOD(Sync!$L453,100),2),""),IFERROR(RIGHT("0000"&amp;VALUE(TRIM(LEFT(Sync!$L453,FIND("/",Sync!$L453)-1))),4)&amp;"/"&amp;RIGHT("00"&amp;VALUE(TRIM(LEFT(MID(Sync!$L453,FIND("/",Sync!$L453)+1,20),FIND("/",MID(Sync!$L453,FIND("/",Sync!$L453)+1,20))-1))),2)&amp;"/"&amp;RIGHT("00"&amp;VALUE(TRIM(MID(MID(Sync!$L453,FIND("/",Sync!$L453)+1,20),FIND("/",MID(Sync!$L453,FIND("/",Sync!$L453)+1,20))+1,20))),2),"")))</f>
        <v/>
      </c>
    </row>
    <row r="454" spans="1:14" x14ac:dyDescent="0.2">
      <c r="A454" t="str">
        <f>IF(Issues!$B457="","",Issues!$B457)</f>
        <v/>
      </c>
      <c r="B454" t="str">
        <f>IF($A454="","",IF(ISNUMBER(Issues!$C457),IF(AND(Issues!$C457&gt;=10000101,Issues!$C457&lt;=99991231),INT(Issues!$C457/10000),""),IFERROR(VALUE(TRIM(LEFT(Issues!$C457,FIND("/",Issues!$C457)-1))),"")))</f>
        <v/>
      </c>
      <c r="C454" t="str">
        <f>IF(OR($A454="",$B454=""),"",IF(ISNUMBER(Issues!$C457),INT(MOD(Issues!$C457,10000)/100),IFERROR(VALUE(TRIM(LEFT(MID(Issues!$C457,FIND("/",Issues!$C457)+1,20),FIND("/",MID(Issues!$C457,FIND("/",Issues!$C457)+1,20))-1))),"")))</f>
        <v/>
      </c>
      <c r="D454" t="str">
        <f>IF(OR($A454="",$B454=""),"",IF(ISNUMBER(Issues!$C457),MOD(Issues!$C457,100),IFERROR(VALUE(TRIM(MID(MID(Issues!$C457,FIND("/",Issues!$C457)+1,20),FIND("/",MID(Issues!$C457,FIND("/",Issues!$C457)+1,20))+1,20))),"")))</f>
        <v/>
      </c>
      <c r="E454" t="str">
        <f t="shared" ref="E454:E505" si="21"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 t="str">
        <f>IF($A454="","",IF(Issues!$D457="",0,Issues!$D457))</f>
        <v/>
      </c>
      <c r="G454" t="str">
        <f>IF($A454="","",Issues!$E457)</f>
        <v/>
      </c>
      <c r="H454" t="str">
        <f t="shared" ref="H454:H505" si="22">IF($A454="","",IF(COUNTIFS(ETxnType,"پاس چک",ETxnChk,$A454)&gt;0,"پاس شده","پاس نشده"))</f>
        <v/>
      </c>
      <c r="I454" t="str">
        <f t="shared" ref="I454:I505" si="23">IF($A454="","",IFERROR(INDEX(BClrDate,MATCH($A454,BClrChk,0)),""))</f>
        <v/>
      </c>
      <c r="J454" t="str">
        <f>IF($A454="","",Issues!$G457)</f>
        <v/>
      </c>
      <c r="K454" t="str">
        <f>IF(OR($E454="",$E454="نامعتبر"),"",LEFT($E454,4)&amp;MID($E454,6,2)&amp;RIGHT($E454,2)&amp;"|"&amp;RIGHT("00000"&amp;449,5))</f>
        <v/>
      </c>
      <c r="M454" t="str">
        <f>IF(Sync!$M454&lt;&gt;"پاس چک","",IF(Sync!$P454="","",Sync!$P454))</f>
        <v/>
      </c>
      <c r="N454" t="str">
        <f>IF($M454="","",IF(ISNUMBER(Sync!$L454),IF(AND(Sync!$L454&gt;=10000101,Sync!$L454&lt;=99991231),RIGHT("0000"&amp;INT(Sync!$L454/10000),4)&amp;"/"&amp;RIGHT("00"&amp;INT(MOD(Sync!$L454,10000)/100),2)&amp;"/"&amp;RIGHT("00"&amp;MOD(Sync!$L454,100),2),""),IFERROR(RIGHT("0000"&amp;VALUE(TRIM(LEFT(Sync!$L454,FIND("/",Sync!$L454)-1))),4)&amp;"/"&amp;RIGHT("00"&amp;VALUE(TRIM(LEFT(MID(Sync!$L454,FIND("/",Sync!$L454)+1,20),FIND("/",MID(Sync!$L454,FIND("/",Sync!$L454)+1,20))-1))),2)&amp;"/"&amp;RIGHT("00"&amp;VALUE(TRIM(MID(MID(Sync!$L454,FIND("/",Sync!$L454)+1,20),FIND("/",MID(Sync!$L454,FIND("/",Sync!$L454)+1,20))+1,20))),2),"")))</f>
        <v/>
      </c>
    </row>
    <row r="455" spans="1:14" x14ac:dyDescent="0.2">
      <c r="A455" t="str">
        <f>IF(Issues!$B458="","",Issues!$B458)</f>
        <v/>
      </c>
      <c r="B455" t="str">
        <f>IF($A455="","",IF(ISNUMBER(Issues!$C458),IF(AND(Issues!$C458&gt;=10000101,Issues!$C458&lt;=99991231),INT(Issues!$C458/10000),""),IFERROR(VALUE(TRIM(LEFT(Issues!$C458,FIND("/",Issues!$C458)-1))),"")))</f>
        <v/>
      </c>
      <c r="C455" t="str">
        <f>IF(OR($A455="",$B455=""),"",IF(ISNUMBER(Issues!$C458),INT(MOD(Issues!$C458,10000)/100),IFERROR(VALUE(TRIM(LEFT(MID(Issues!$C458,FIND("/",Issues!$C458)+1,20),FIND("/",MID(Issues!$C458,FIND("/",Issues!$C458)+1,20))-1))),"")))</f>
        <v/>
      </c>
      <c r="D455" t="str">
        <f>IF(OR($A455="",$B455=""),"",IF(ISNUMBER(Issues!$C458),MOD(Issues!$C458,100),IFERROR(VALUE(TRIM(MID(MID(Issues!$C458,FIND("/",Issues!$C458)+1,20),FIND("/",MID(Issues!$C458,FIND("/",Issues!$C458)+1,20))+1,20))),"")))</f>
        <v/>
      </c>
      <c r="E455" t="str">
        <f t="shared" si="21"/>
        <v/>
      </c>
      <c r="F455" t="str">
        <f>IF($A455="","",IF(Issues!$D458="",0,Issues!$D458))</f>
        <v/>
      </c>
      <c r="G455" t="str">
        <f>IF($A455="","",Issues!$E458)</f>
        <v/>
      </c>
      <c r="H455" t="str">
        <f t="shared" si="22"/>
        <v/>
      </c>
      <c r="I455" t="str">
        <f t="shared" si="23"/>
        <v/>
      </c>
      <c r="J455" t="str">
        <f>IF($A455="","",Issues!$G458)</f>
        <v/>
      </c>
      <c r="K455" t="str">
        <f>IF(OR($E455="",$E455="نامعتبر"),"",LEFT($E455,4)&amp;MID($E455,6,2)&amp;RIGHT($E455,2)&amp;"|"&amp;RIGHT("00000"&amp;450,5))</f>
        <v/>
      </c>
      <c r="M455" t="str">
        <f>IF(Sync!$M455&lt;&gt;"پاس چک","",IF(Sync!$P455="","",Sync!$P455))</f>
        <v/>
      </c>
      <c r="N455" t="str">
        <f>IF($M455="","",IF(ISNUMBER(Sync!$L455),IF(AND(Sync!$L455&gt;=10000101,Sync!$L455&lt;=99991231),RIGHT("0000"&amp;INT(Sync!$L455/10000),4)&amp;"/"&amp;RIGHT("00"&amp;INT(MOD(Sync!$L455,10000)/100),2)&amp;"/"&amp;RIGHT("00"&amp;MOD(Sync!$L455,100),2),""),IFERROR(RIGHT("0000"&amp;VALUE(TRIM(LEFT(Sync!$L455,FIND("/",Sync!$L455)-1))),4)&amp;"/"&amp;RIGHT("00"&amp;VALUE(TRIM(LEFT(MID(Sync!$L455,FIND("/",Sync!$L455)+1,20),FIND("/",MID(Sync!$L455,FIND("/",Sync!$L455)+1,20))-1))),2)&amp;"/"&amp;RIGHT("00"&amp;VALUE(TRIM(MID(MID(Sync!$L455,FIND("/",Sync!$L455)+1,20),FIND("/",MID(Sync!$L455,FIND("/",Sync!$L455)+1,20))+1,20))),2),"")))</f>
        <v/>
      </c>
    </row>
    <row r="456" spans="1:14" x14ac:dyDescent="0.2">
      <c r="A456" t="str">
        <f>IF(Issues!$B459="","",Issues!$B459)</f>
        <v/>
      </c>
      <c r="B456" t="str">
        <f>IF($A456="","",IF(ISNUMBER(Issues!$C459),IF(AND(Issues!$C459&gt;=10000101,Issues!$C459&lt;=99991231),INT(Issues!$C459/10000),""),IFERROR(VALUE(TRIM(LEFT(Issues!$C459,FIND("/",Issues!$C459)-1))),"")))</f>
        <v/>
      </c>
      <c r="C456" t="str">
        <f>IF(OR($A456="",$B456=""),"",IF(ISNUMBER(Issues!$C459),INT(MOD(Issues!$C459,10000)/100),IFERROR(VALUE(TRIM(LEFT(MID(Issues!$C459,FIND("/",Issues!$C459)+1,20),FIND("/",MID(Issues!$C459,FIND("/",Issues!$C459)+1,20))-1))),"")))</f>
        <v/>
      </c>
      <c r="D456" t="str">
        <f>IF(OR($A456="",$B456=""),"",IF(ISNUMBER(Issues!$C459),MOD(Issues!$C459,100),IFERROR(VALUE(TRIM(MID(MID(Issues!$C459,FIND("/",Issues!$C459)+1,20),FIND("/",MID(Issues!$C459,FIND("/",Issues!$C459)+1,20))+1,20))),"")))</f>
        <v/>
      </c>
      <c r="E456" t="str">
        <f t="shared" si="21"/>
        <v/>
      </c>
      <c r="F456" t="str">
        <f>IF($A456="","",IF(Issues!$D459="",0,Issues!$D459))</f>
        <v/>
      </c>
      <c r="G456" t="str">
        <f>IF($A456="","",Issues!$E459)</f>
        <v/>
      </c>
      <c r="H456" t="str">
        <f t="shared" si="22"/>
        <v/>
      </c>
      <c r="I456" t="str">
        <f t="shared" si="23"/>
        <v/>
      </c>
      <c r="J456" t="str">
        <f>IF($A456="","",Issues!$G459)</f>
        <v/>
      </c>
      <c r="K456" t="str">
        <f>IF(OR($E456="",$E456="نامعتبر"),"",LEFT($E456,4)&amp;MID($E456,6,2)&amp;RIGHT($E456,2)&amp;"|"&amp;RIGHT("00000"&amp;451,5))</f>
        <v/>
      </c>
      <c r="M456" t="str">
        <f>IF(Sync!$M456&lt;&gt;"پاس چک","",IF(Sync!$P456="","",Sync!$P456))</f>
        <v/>
      </c>
      <c r="N456" t="str">
        <f>IF($M456="","",IF(ISNUMBER(Sync!$L456),IF(AND(Sync!$L456&gt;=10000101,Sync!$L456&lt;=99991231),RIGHT("0000"&amp;INT(Sync!$L456/10000),4)&amp;"/"&amp;RIGHT("00"&amp;INT(MOD(Sync!$L456,10000)/100),2)&amp;"/"&amp;RIGHT("00"&amp;MOD(Sync!$L456,100),2),""),IFERROR(RIGHT("0000"&amp;VALUE(TRIM(LEFT(Sync!$L456,FIND("/",Sync!$L456)-1))),4)&amp;"/"&amp;RIGHT("00"&amp;VALUE(TRIM(LEFT(MID(Sync!$L456,FIND("/",Sync!$L456)+1,20),FIND("/",MID(Sync!$L456,FIND("/",Sync!$L456)+1,20))-1))),2)&amp;"/"&amp;RIGHT("00"&amp;VALUE(TRIM(MID(MID(Sync!$L456,FIND("/",Sync!$L456)+1,20),FIND("/",MID(Sync!$L456,FIND("/",Sync!$L456)+1,20))+1,20))),2),"")))</f>
        <v/>
      </c>
    </row>
    <row r="457" spans="1:14" x14ac:dyDescent="0.2">
      <c r="A457" t="str">
        <f>IF(Issues!$B460="","",Issues!$B460)</f>
        <v/>
      </c>
      <c r="B457" t="str">
        <f>IF($A457="","",IF(ISNUMBER(Issues!$C460),IF(AND(Issues!$C460&gt;=10000101,Issues!$C460&lt;=99991231),INT(Issues!$C460/10000),""),IFERROR(VALUE(TRIM(LEFT(Issues!$C460,FIND("/",Issues!$C460)-1))),"")))</f>
        <v/>
      </c>
      <c r="C457" t="str">
        <f>IF(OR($A457="",$B457=""),"",IF(ISNUMBER(Issues!$C460),INT(MOD(Issues!$C460,10000)/100),IFERROR(VALUE(TRIM(LEFT(MID(Issues!$C460,FIND("/",Issues!$C460)+1,20),FIND("/",MID(Issues!$C460,FIND("/",Issues!$C460)+1,20))-1))),"")))</f>
        <v/>
      </c>
      <c r="D457" t="str">
        <f>IF(OR($A457="",$B457=""),"",IF(ISNUMBER(Issues!$C460),MOD(Issues!$C460,100),IFERROR(VALUE(TRIM(MID(MID(Issues!$C460,FIND("/",Issues!$C460)+1,20),FIND("/",MID(Issues!$C460,FIND("/",Issues!$C460)+1,20))+1,20))),"")))</f>
        <v/>
      </c>
      <c r="E457" t="str">
        <f t="shared" si="21"/>
        <v/>
      </c>
      <c r="F457" t="str">
        <f>IF($A457="","",IF(Issues!$D460="",0,Issues!$D460))</f>
        <v/>
      </c>
      <c r="G457" t="str">
        <f>IF($A457="","",Issues!$E460)</f>
        <v/>
      </c>
      <c r="H457" t="str">
        <f t="shared" si="22"/>
        <v/>
      </c>
      <c r="I457" t="str">
        <f t="shared" si="23"/>
        <v/>
      </c>
      <c r="J457" t="str">
        <f>IF($A457="","",Issues!$G460)</f>
        <v/>
      </c>
      <c r="K457" t="str">
        <f>IF(OR($E457="",$E457="نامعتبر"),"",LEFT($E457,4)&amp;MID($E457,6,2)&amp;RIGHT($E457,2)&amp;"|"&amp;RIGHT("00000"&amp;452,5))</f>
        <v/>
      </c>
      <c r="M457" t="str">
        <f>IF(Sync!$M457&lt;&gt;"پاس چک","",IF(Sync!$P457="","",Sync!$P457))</f>
        <v/>
      </c>
      <c r="N457" t="str">
        <f>IF($M457="","",IF(ISNUMBER(Sync!$L457),IF(AND(Sync!$L457&gt;=10000101,Sync!$L457&lt;=99991231),RIGHT("0000"&amp;INT(Sync!$L457/10000),4)&amp;"/"&amp;RIGHT("00"&amp;INT(MOD(Sync!$L457,10000)/100),2)&amp;"/"&amp;RIGHT("00"&amp;MOD(Sync!$L457,100),2),""),IFERROR(RIGHT("0000"&amp;VALUE(TRIM(LEFT(Sync!$L457,FIND("/",Sync!$L457)-1))),4)&amp;"/"&amp;RIGHT("00"&amp;VALUE(TRIM(LEFT(MID(Sync!$L457,FIND("/",Sync!$L457)+1,20),FIND("/",MID(Sync!$L457,FIND("/",Sync!$L457)+1,20))-1))),2)&amp;"/"&amp;RIGHT("00"&amp;VALUE(TRIM(MID(MID(Sync!$L457,FIND("/",Sync!$L457)+1,20),FIND("/",MID(Sync!$L457,FIND("/",Sync!$L457)+1,20))+1,20))),2),"")))</f>
        <v/>
      </c>
    </row>
    <row r="458" spans="1:14" x14ac:dyDescent="0.2">
      <c r="A458" t="str">
        <f>IF(Issues!$B461="","",Issues!$B461)</f>
        <v/>
      </c>
      <c r="B458" t="str">
        <f>IF($A458="","",IF(ISNUMBER(Issues!$C461),IF(AND(Issues!$C461&gt;=10000101,Issues!$C461&lt;=99991231),INT(Issues!$C461/10000),""),IFERROR(VALUE(TRIM(LEFT(Issues!$C461,FIND("/",Issues!$C461)-1))),"")))</f>
        <v/>
      </c>
      <c r="C458" t="str">
        <f>IF(OR($A458="",$B458=""),"",IF(ISNUMBER(Issues!$C461),INT(MOD(Issues!$C461,10000)/100),IFERROR(VALUE(TRIM(LEFT(MID(Issues!$C461,FIND("/",Issues!$C461)+1,20),FIND("/",MID(Issues!$C461,FIND("/",Issues!$C461)+1,20))-1))),"")))</f>
        <v/>
      </c>
      <c r="D458" t="str">
        <f>IF(OR($A458="",$B458=""),"",IF(ISNUMBER(Issues!$C461),MOD(Issues!$C461,100),IFERROR(VALUE(TRIM(MID(MID(Issues!$C461,FIND("/",Issues!$C461)+1,20),FIND("/",MID(Issues!$C461,FIND("/",Issues!$C461)+1,20))+1,20))),"")))</f>
        <v/>
      </c>
      <c r="E458" t="str">
        <f t="shared" si="21"/>
        <v/>
      </c>
      <c r="F458" t="str">
        <f>IF($A458="","",IF(Issues!$D461="",0,Issues!$D461))</f>
        <v/>
      </c>
      <c r="G458" t="str">
        <f>IF($A458="","",Issues!$E461)</f>
        <v/>
      </c>
      <c r="H458" t="str">
        <f t="shared" si="22"/>
        <v/>
      </c>
      <c r="I458" t="str">
        <f t="shared" si="23"/>
        <v/>
      </c>
      <c r="J458" t="str">
        <f>IF($A458="","",Issues!$G461)</f>
        <v/>
      </c>
      <c r="K458" t="str">
        <f>IF(OR($E458="",$E458="نامعتبر"),"",LEFT($E458,4)&amp;MID($E458,6,2)&amp;RIGHT($E458,2)&amp;"|"&amp;RIGHT("00000"&amp;453,5))</f>
        <v/>
      </c>
      <c r="M458" t="str">
        <f>IF(Sync!$M458&lt;&gt;"پاس چک","",IF(Sync!$P458="","",Sync!$P458))</f>
        <v/>
      </c>
      <c r="N458" t="str">
        <f>IF($M458="","",IF(ISNUMBER(Sync!$L458),IF(AND(Sync!$L458&gt;=10000101,Sync!$L458&lt;=99991231),RIGHT("0000"&amp;INT(Sync!$L458/10000),4)&amp;"/"&amp;RIGHT("00"&amp;INT(MOD(Sync!$L458,10000)/100),2)&amp;"/"&amp;RIGHT("00"&amp;MOD(Sync!$L458,100),2),""),IFERROR(RIGHT("0000"&amp;VALUE(TRIM(LEFT(Sync!$L458,FIND("/",Sync!$L458)-1))),4)&amp;"/"&amp;RIGHT("00"&amp;VALUE(TRIM(LEFT(MID(Sync!$L458,FIND("/",Sync!$L458)+1,20),FIND("/",MID(Sync!$L458,FIND("/",Sync!$L458)+1,20))-1))),2)&amp;"/"&amp;RIGHT("00"&amp;VALUE(TRIM(MID(MID(Sync!$L458,FIND("/",Sync!$L458)+1,20),FIND("/",MID(Sync!$L458,FIND("/",Sync!$L458)+1,20))+1,20))),2),"")))</f>
        <v/>
      </c>
    </row>
    <row r="459" spans="1:14" x14ac:dyDescent="0.2">
      <c r="A459" t="str">
        <f>IF(Issues!$B462="","",Issues!$B462)</f>
        <v/>
      </c>
      <c r="B459" t="str">
        <f>IF($A459="","",IF(ISNUMBER(Issues!$C462),IF(AND(Issues!$C462&gt;=10000101,Issues!$C462&lt;=99991231),INT(Issues!$C462/10000),""),IFERROR(VALUE(TRIM(LEFT(Issues!$C462,FIND("/",Issues!$C462)-1))),"")))</f>
        <v/>
      </c>
      <c r="C459" t="str">
        <f>IF(OR($A459="",$B459=""),"",IF(ISNUMBER(Issues!$C462),INT(MOD(Issues!$C462,10000)/100),IFERROR(VALUE(TRIM(LEFT(MID(Issues!$C462,FIND("/",Issues!$C462)+1,20),FIND("/",MID(Issues!$C462,FIND("/",Issues!$C462)+1,20))-1))),"")))</f>
        <v/>
      </c>
      <c r="D459" t="str">
        <f>IF(OR($A459="",$B459=""),"",IF(ISNUMBER(Issues!$C462),MOD(Issues!$C462,100),IFERROR(VALUE(TRIM(MID(MID(Issues!$C462,FIND("/",Issues!$C462)+1,20),FIND("/",MID(Issues!$C462,FIND("/",Issues!$C462)+1,20))+1,20))),"")))</f>
        <v/>
      </c>
      <c r="E459" t="str">
        <f t="shared" si="21"/>
        <v/>
      </c>
      <c r="F459" t="str">
        <f>IF($A459="","",IF(Issues!$D462="",0,Issues!$D462))</f>
        <v/>
      </c>
      <c r="G459" t="str">
        <f>IF($A459="","",Issues!$E462)</f>
        <v/>
      </c>
      <c r="H459" t="str">
        <f t="shared" si="22"/>
        <v/>
      </c>
      <c r="I459" t="str">
        <f t="shared" si="23"/>
        <v/>
      </c>
      <c r="J459" t="str">
        <f>IF($A459="","",Issues!$G462)</f>
        <v/>
      </c>
      <c r="K459" t="str">
        <f>IF(OR($E459="",$E459="نامعتبر"),"",LEFT($E459,4)&amp;MID($E459,6,2)&amp;RIGHT($E459,2)&amp;"|"&amp;RIGHT("00000"&amp;454,5))</f>
        <v/>
      </c>
      <c r="M459" t="str">
        <f>IF(Sync!$M459&lt;&gt;"پاس چک","",IF(Sync!$P459="","",Sync!$P459))</f>
        <v/>
      </c>
      <c r="N459" t="str">
        <f>IF($M459="","",IF(ISNUMBER(Sync!$L459),IF(AND(Sync!$L459&gt;=10000101,Sync!$L459&lt;=99991231),RIGHT("0000"&amp;INT(Sync!$L459/10000),4)&amp;"/"&amp;RIGHT("00"&amp;INT(MOD(Sync!$L459,10000)/100),2)&amp;"/"&amp;RIGHT("00"&amp;MOD(Sync!$L459,100),2),""),IFERROR(RIGHT("0000"&amp;VALUE(TRIM(LEFT(Sync!$L459,FIND("/",Sync!$L459)-1))),4)&amp;"/"&amp;RIGHT("00"&amp;VALUE(TRIM(LEFT(MID(Sync!$L459,FIND("/",Sync!$L459)+1,20),FIND("/",MID(Sync!$L459,FIND("/",Sync!$L459)+1,20))-1))),2)&amp;"/"&amp;RIGHT("00"&amp;VALUE(TRIM(MID(MID(Sync!$L459,FIND("/",Sync!$L459)+1,20),FIND("/",MID(Sync!$L459,FIND("/",Sync!$L459)+1,20))+1,20))),2),"")))</f>
        <v/>
      </c>
    </row>
    <row r="460" spans="1:14" x14ac:dyDescent="0.2">
      <c r="A460" t="str">
        <f>IF(Issues!$B463="","",Issues!$B463)</f>
        <v/>
      </c>
      <c r="B460" t="str">
        <f>IF($A460="","",IF(ISNUMBER(Issues!$C463),IF(AND(Issues!$C463&gt;=10000101,Issues!$C463&lt;=99991231),INT(Issues!$C463/10000),""),IFERROR(VALUE(TRIM(LEFT(Issues!$C463,FIND("/",Issues!$C463)-1))),"")))</f>
        <v/>
      </c>
      <c r="C460" t="str">
        <f>IF(OR($A460="",$B460=""),"",IF(ISNUMBER(Issues!$C463),INT(MOD(Issues!$C463,10000)/100),IFERROR(VALUE(TRIM(LEFT(MID(Issues!$C463,FIND("/",Issues!$C463)+1,20),FIND("/",MID(Issues!$C463,FIND("/",Issues!$C463)+1,20))-1))),"")))</f>
        <v/>
      </c>
      <c r="D460" t="str">
        <f>IF(OR($A460="",$B460=""),"",IF(ISNUMBER(Issues!$C463),MOD(Issues!$C463,100),IFERROR(VALUE(TRIM(MID(MID(Issues!$C463,FIND("/",Issues!$C463)+1,20),FIND("/",MID(Issues!$C463,FIND("/",Issues!$C463)+1,20))+1,20))),"")))</f>
        <v/>
      </c>
      <c r="E460" t="str">
        <f t="shared" si="21"/>
        <v/>
      </c>
      <c r="F460" t="str">
        <f>IF($A460="","",IF(Issues!$D463="",0,Issues!$D463))</f>
        <v/>
      </c>
      <c r="G460" t="str">
        <f>IF($A460="","",Issues!$E463)</f>
        <v/>
      </c>
      <c r="H460" t="str">
        <f t="shared" si="22"/>
        <v/>
      </c>
      <c r="I460" t="str">
        <f t="shared" si="23"/>
        <v/>
      </c>
      <c r="J460" t="str">
        <f>IF($A460="","",Issues!$G463)</f>
        <v/>
      </c>
      <c r="K460" t="str">
        <f>IF(OR($E460="",$E460="نامعتبر"),"",LEFT($E460,4)&amp;MID($E460,6,2)&amp;RIGHT($E460,2)&amp;"|"&amp;RIGHT("00000"&amp;455,5))</f>
        <v/>
      </c>
      <c r="M460" t="str">
        <f>IF(Sync!$M460&lt;&gt;"پاس چک","",IF(Sync!$P460="","",Sync!$P460))</f>
        <v/>
      </c>
      <c r="N460" t="str">
        <f>IF($M460="","",IF(ISNUMBER(Sync!$L460),IF(AND(Sync!$L460&gt;=10000101,Sync!$L460&lt;=99991231),RIGHT("0000"&amp;INT(Sync!$L460/10000),4)&amp;"/"&amp;RIGHT("00"&amp;INT(MOD(Sync!$L460,10000)/100),2)&amp;"/"&amp;RIGHT("00"&amp;MOD(Sync!$L460,100),2),""),IFERROR(RIGHT("0000"&amp;VALUE(TRIM(LEFT(Sync!$L460,FIND("/",Sync!$L460)-1))),4)&amp;"/"&amp;RIGHT("00"&amp;VALUE(TRIM(LEFT(MID(Sync!$L460,FIND("/",Sync!$L460)+1,20),FIND("/",MID(Sync!$L460,FIND("/",Sync!$L460)+1,20))-1))),2)&amp;"/"&amp;RIGHT("00"&amp;VALUE(TRIM(MID(MID(Sync!$L460,FIND("/",Sync!$L460)+1,20),FIND("/",MID(Sync!$L460,FIND("/",Sync!$L460)+1,20))+1,20))),2),"")))</f>
        <v/>
      </c>
    </row>
    <row r="461" spans="1:14" x14ac:dyDescent="0.2">
      <c r="A461" t="str">
        <f>IF(Issues!$B464="","",Issues!$B464)</f>
        <v/>
      </c>
      <c r="B461" t="str">
        <f>IF($A461="","",IF(ISNUMBER(Issues!$C464),IF(AND(Issues!$C464&gt;=10000101,Issues!$C464&lt;=99991231),INT(Issues!$C464/10000),""),IFERROR(VALUE(TRIM(LEFT(Issues!$C464,FIND("/",Issues!$C464)-1))),"")))</f>
        <v/>
      </c>
      <c r="C461" t="str">
        <f>IF(OR($A461="",$B461=""),"",IF(ISNUMBER(Issues!$C464),INT(MOD(Issues!$C464,10000)/100),IFERROR(VALUE(TRIM(LEFT(MID(Issues!$C464,FIND("/",Issues!$C464)+1,20),FIND("/",MID(Issues!$C464,FIND("/",Issues!$C464)+1,20))-1))),"")))</f>
        <v/>
      </c>
      <c r="D461" t="str">
        <f>IF(OR($A461="",$B461=""),"",IF(ISNUMBER(Issues!$C464),MOD(Issues!$C464,100),IFERROR(VALUE(TRIM(MID(MID(Issues!$C464,FIND("/",Issues!$C464)+1,20),FIND("/",MID(Issues!$C464,FIND("/",Issues!$C464)+1,20))+1,20))),"")))</f>
        <v/>
      </c>
      <c r="E461" t="str">
        <f t="shared" si="21"/>
        <v/>
      </c>
      <c r="F461" t="str">
        <f>IF($A461="","",IF(Issues!$D464="",0,Issues!$D464))</f>
        <v/>
      </c>
      <c r="G461" t="str">
        <f>IF($A461="","",Issues!$E464)</f>
        <v/>
      </c>
      <c r="H461" t="str">
        <f t="shared" si="22"/>
        <v/>
      </c>
      <c r="I461" t="str">
        <f t="shared" si="23"/>
        <v/>
      </c>
      <c r="J461" t="str">
        <f>IF($A461="","",Issues!$G464)</f>
        <v/>
      </c>
      <c r="K461" t="str">
        <f>IF(OR($E461="",$E461="نامعتبر"),"",LEFT($E461,4)&amp;MID($E461,6,2)&amp;RIGHT($E461,2)&amp;"|"&amp;RIGHT("00000"&amp;456,5))</f>
        <v/>
      </c>
      <c r="M461" t="str">
        <f>IF(Sync!$M461&lt;&gt;"پاس چک","",IF(Sync!$P461="","",Sync!$P461))</f>
        <v/>
      </c>
      <c r="N461" t="str">
        <f>IF($M461="","",IF(ISNUMBER(Sync!$L461),IF(AND(Sync!$L461&gt;=10000101,Sync!$L461&lt;=99991231),RIGHT("0000"&amp;INT(Sync!$L461/10000),4)&amp;"/"&amp;RIGHT("00"&amp;INT(MOD(Sync!$L461,10000)/100),2)&amp;"/"&amp;RIGHT("00"&amp;MOD(Sync!$L461,100),2),""),IFERROR(RIGHT("0000"&amp;VALUE(TRIM(LEFT(Sync!$L461,FIND("/",Sync!$L461)-1))),4)&amp;"/"&amp;RIGHT("00"&amp;VALUE(TRIM(LEFT(MID(Sync!$L461,FIND("/",Sync!$L461)+1,20),FIND("/",MID(Sync!$L461,FIND("/",Sync!$L461)+1,20))-1))),2)&amp;"/"&amp;RIGHT("00"&amp;VALUE(TRIM(MID(MID(Sync!$L461,FIND("/",Sync!$L461)+1,20),FIND("/",MID(Sync!$L461,FIND("/",Sync!$L461)+1,20))+1,20))),2),"")))</f>
        <v/>
      </c>
    </row>
    <row r="462" spans="1:14" x14ac:dyDescent="0.2">
      <c r="A462" t="str">
        <f>IF(Issues!$B465="","",Issues!$B465)</f>
        <v/>
      </c>
      <c r="B462" t="str">
        <f>IF($A462="","",IF(ISNUMBER(Issues!$C465),IF(AND(Issues!$C465&gt;=10000101,Issues!$C465&lt;=99991231),INT(Issues!$C465/10000),""),IFERROR(VALUE(TRIM(LEFT(Issues!$C465,FIND("/",Issues!$C465)-1))),"")))</f>
        <v/>
      </c>
      <c r="C462" t="str">
        <f>IF(OR($A462="",$B462=""),"",IF(ISNUMBER(Issues!$C465),INT(MOD(Issues!$C465,10000)/100),IFERROR(VALUE(TRIM(LEFT(MID(Issues!$C465,FIND("/",Issues!$C465)+1,20),FIND("/",MID(Issues!$C465,FIND("/",Issues!$C465)+1,20))-1))),"")))</f>
        <v/>
      </c>
      <c r="D462" t="str">
        <f>IF(OR($A462="",$B462=""),"",IF(ISNUMBER(Issues!$C465),MOD(Issues!$C465,100),IFERROR(VALUE(TRIM(MID(MID(Issues!$C465,FIND("/",Issues!$C465)+1,20),FIND("/",MID(Issues!$C465,FIND("/",Issues!$C465)+1,20))+1,20))),"")))</f>
        <v/>
      </c>
      <c r="E462" t="str">
        <f t="shared" si="21"/>
        <v/>
      </c>
      <c r="F462" t="str">
        <f>IF($A462="","",IF(Issues!$D465="",0,Issues!$D465))</f>
        <v/>
      </c>
      <c r="G462" t="str">
        <f>IF($A462="","",Issues!$E465)</f>
        <v/>
      </c>
      <c r="H462" t="str">
        <f t="shared" si="22"/>
        <v/>
      </c>
      <c r="I462" t="str">
        <f t="shared" si="23"/>
        <v/>
      </c>
      <c r="J462" t="str">
        <f>IF($A462="","",Issues!$G465)</f>
        <v/>
      </c>
      <c r="K462" t="str">
        <f>IF(OR($E462="",$E462="نامعتبر"),"",LEFT($E462,4)&amp;MID($E462,6,2)&amp;RIGHT($E462,2)&amp;"|"&amp;RIGHT("00000"&amp;457,5))</f>
        <v/>
      </c>
      <c r="M462" t="str">
        <f>IF(Sync!$M462&lt;&gt;"پاس چک","",IF(Sync!$P462="","",Sync!$P462))</f>
        <v/>
      </c>
      <c r="N462" t="str">
        <f>IF($M462="","",IF(ISNUMBER(Sync!$L462),IF(AND(Sync!$L462&gt;=10000101,Sync!$L462&lt;=99991231),RIGHT("0000"&amp;INT(Sync!$L462/10000),4)&amp;"/"&amp;RIGHT("00"&amp;INT(MOD(Sync!$L462,10000)/100),2)&amp;"/"&amp;RIGHT("00"&amp;MOD(Sync!$L462,100),2),""),IFERROR(RIGHT("0000"&amp;VALUE(TRIM(LEFT(Sync!$L462,FIND("/",Sync!$L462)-1))),4)&amp;"/"&amp;RIGHT("00"&amp;VALUE(TRIM(LEFT(MID(Sync!$L462,FIND("/",Sync!$L462)+1,20),FIND("/",MID(Sync!$L462,FIND("/",Sync!$L462)+1,20))-1))),2)&amp;"/"&amp;RIGHT("00"&amp;VALUE(TRIM(MID(MID(Sync!$L462,FIND("/",Sync!$L462)+1,20),FIND("/",MID(Sync!$L462,FIND("/",Sync!$L462)+1,20))+1,20))),2),"")))</f>
        <v/>
      </c>
    </row>
    <row r="463" spans="1:14" x14ac:dyDescent="0.2">
      <c r="A463" t="str">
        <f>IF(Issues!$B466="","",Issues!$B466)</f>
        <v/>
      </c>
      <c r="B463" t="str">
        <f>IF($A463="","",IF(ISNUMBER(Issues!$C466),IF(AND(Issues!$C466&gt;=10000101,Issues!$C466&lt;=99991231),INT(Issues!$C466/10000),""),IFERROR(VALUE(TRIM(LEFT(Issues!$C466,FIND("/",Issues!$C466)-1))),"")))</f>
        <v/>
      </c>
      <c r="C463" t="str">
        <f>IF(OR($A463="",$B463=""),"",IF(ISNUMBER(Issues!$C466),INT(MOD(Issues!$C466,10000)/100),IFERROR(VALUE(TRIM(LEFT(MID(Issues!$C466,FIND("/",Issues!$C466)+1,20),FIND("/",MID(Issues!$C466,FIND("/",Issues!$C466)+1,20))-1))),"")))</f>
        <v/>
      </c>
      <c r="D463" t="str">
        <f>IF(OR($A463="",$B463=""),"",IF(ISNUMBER(Issues!$C466),MOD(Issues!$C466,100),IFERROR(VALUE(TRIM(MID(MID(Issues!$C466,FIND("/",Issues!$C466)+1,20),FIND("/",MID(Issues!$C466,FIND("/",Issues!$C466)+1,20))+1,20))),"")))</f>
        <v/>
      </c>
      <c r="E463" t="str">
        <f t="shared" si="21"/>
        <v/>
      </c>
      <c r="F463" t="str">
        <f>IF($A463="","",IF(Issues!$D466="",0,Issues!$D466))</f>
        <v/>
      </c>
      <c r="G463" t="str">
        <f>IF($A463="","",Issues!$E466)</f>
        <v/>
      </c>
      <c r="H463" t="str">
        <f t="shared" si="22"/>
        <v/>
      </c>
      <c r="I463" t="str">
        <f t="shared" si="23"/>
        <v/>
      </c>
      <c r="J463" t="str">
        <f>IF($A463="","",Issues!$G466)</f>
        <v/>
      </c>
      <c r="K463" t="str">
        <f>IF(OR($E463="",$E463="نامعتبر"),"",LEFT($E463,4)&amp;MID($E463,6,2)&amp;RIGHT($E463,2)&amp;"|"&amp;RIGHT("00000"&amp;458,5))</f>
        <v/>
      </c>
      <c r="M463" t="str">
        <f>IF(Sync!$M463&lt;&gt;"پاس چک","",IF(Sync!$P463="","",Sync!$P463))</f>
        <v/>
      </c>
      <c r="N463" t="str">
        <f>IF($M463="","",IF(ISNUMBER(Sync!$L463),IF(AND(Sync!$L463&gt;=10000101,Sync!$L463&lt;=99991231),RIGHT("0000"&amp;INT(Sync!$L463/10000),4)&amp;"/"&amp;RIGHT("00"&amp;INT(MOD(Sync!$L463,10000)/100),2)&amp;"/"&amp;RIGHT("00"&amp;MOD(Sync!$L463,100),2),""),IFERROR(RIGHT("0000"&amp;VALUE(TRIM(LEFT(Sync!$L463,FIND("/",Sync!$L463)-1))),4)&amp;"/"&amp;RIGHT("00"&amp;VALUE(TRIM(LEFT(MID(Sync!$L463,FIND("/",Sync!$L463)+1,20),FIND("/",MID(Sync!$L463,FIND("/",Sync!$L463)+1,20))-1))),2)&amp;"/"&amp;RIGHT("00"&amp;VALUE(TRIM(MID(MID(Sync!$L463,FIND("/",Sync!$L463)+1,20),FIND("/",MID(Sync!$L463,FIND("/",Sync!$L463)+1,20))+1,20))),2),"")))</f>
        <v/>
      </c>
    </row>
    <row r="464" spans="1:14" x14ac:dyDescent="0.2">
      <c r="A464" t="str">
        <f>IF(Issues!$B467="","",Issues!$B467)</f>
        <v/>
      </c>
      <c r="B464" t="str">
        <f>IF($A464="","",IF(ISNUMBER(Issues!$C467),IF(AND(Issues!$C467&gt;=10000101,Issues!$C467&lt;=99991231),INT(Issues!$C467/10000),""),IFERROR(VALUE(TRIM(LEFT(Issues!$C467,FIND("/",Issues!$C467)-1))),"")))</f>
        <v/>
      </c>
      <c r="C464" t="str">
        <f>IF(OR($A464="",$B464=""),"",IF(ISNUMBER(Issues!$C467),INT(MOD(Issues!$C467,10000)/100),IFERROR(VALUE(TRIM(LEFT(MID(Issues!$C467,FIND("/",Issues!$C467)+1,20),FIND("/",MID(Issues!$C467,FIND("/",Issues!$C467)+1,20))-1))),"")))</f>
        <v/>
      </c>
      <c r="D464" t="str">
        <f>IF(OR($A464="",$B464=""),"",IF(ISNUMBER(Issues!$C467),MOD(Issues!$C467,100),IFERROR(VALUE(TRIM(MID(MID(Issues!$C467,FIND("/",Issues!$C467)+1,20),FIND("/",MID(Issues!$C467,FIND("/",Issues!$C467)+1,20))+1,20))),"")))</f>
        <v/>
      </c>
      <c r="E464" t="str">
        <f t="shared" si="21"/>
        <v/>
      </c>
      <c r="F464" t="str">
        <f>IF($A464="","",IF(Issues!$D467="",0,Issues!$D467))</f>
        <v/>
      </c>
      <c r="G464" t="str">
        <f>IF($A464="","",Issues!$E467)</f>
        <v/>
      </c>
      <c r="H464" t="str">
        <f t="shared" si="22"/>
        <v/>
      </c>
      <c r="I464" t="str">
        <f t="shared" si="23"/>
        <v/>
      </c>
      <c r="J464" t="str">
        <f>IF($A464="","",Issues!$G467)</f>
        <v/>
      </c>
      <c r="K464" t="str">
        <f>IF(OR($E464="",$E464="نامعتبر"),"",LEFT($E464,4)&amp;MID($E464,6,2)&amp;RIGHT($E464,2)&amp;"|"&amp;RIGHT("00000"&amp;459,5))</f>
        <v/>
      </c>
      <c r="M464" t="str">
        <f>IF(Sync!$M464&lt;&gt;"پاس چک","",IF(Sync!$P464="","",Sync!$P464))</f>
        <v/>
      </c>
      <c r="N464" t="str">
        <f>IF($M464="","",IF(ISNUMBER(Sync!$L464),IF(AND(Sync!$L464&gt;=10000101,Sync!$L464&lt;=99991231),RIGHT("0000"&amp;INT(Sync!$L464/10000),4)&amp;"/"&amp;RIGHT("00"&amp;INT(MOD(Sync!$L464,10000)/100),2)&amp;"/"&amp;RIGHT("00"&amp;MOD(Sync!$L464,100),2),""),IFERROR(RIGHT("0000"&amp;VALUE(TRIM(LEFT(Sync!$L464,FIND("/",Sync!$L464)-1))),4)&amp;"/"&amp;RIGHT("00"&amp;VALUE(TRIM(LEFT(MID(Sync!$L464,FIND("/",Sync!$L464)+1,20),FIND("/",MID(Sync!$L464,FIND("/",Sync!$L464)+1,20))-1))),2)&amp;"/"&amp;RIGHT("00"&amp;VALUE(TRIM(MID(MID(Sync!$L464,FIND("/",Sync!$L464)+1,20),FIND("/",MID(Sync!$L464,FIND("/",Sync!$L464)+1,20))+1,20))),2),"")))</f>
        <v/>
      </c>
    </row>
    <row r="465" spans="1:14" x14ac:dyDescent="0.2">
      <c r="A465" t="str">
        <f>IF(Issues!$B468="","",Issues!$B468)</f>
        <v/>
      </c>
      <c r="B465" t="str">
        <f>IF($A465="","",IF(ISNUMBER(Issues!$C468),IF(AND(Issues!$C468&gt;=10000101,Issues!$C468&lt;=99991231),INT(Issues!$C468/10000),""),IFERROR(VALUE(TRIM(LEFT(Issues!$C468,FIND("/",Issues!$C468)-1))),"")))</f>
        <v/>
      </c>
      <c r="C465" t="str">
        <f>IF(OR($A465="",$B465=""),"",IF(ISNUMBER(Issues!$C468),INT(MOD(Issues!$C468,10000)/100),IFERROR(VALUE(TRIM(LEFT(MID(Issues!$C468,FIND("/",Issues!$C468)+1,20),FIND("/",MID(Issues!$C468,FIND("/",Issues!$C468)+1,20))-1))),"")))</f>
        <v/>
      </c>
      <c r="D465" t="str">
        <f>IF(OR($A465="",$B465=""),"",IF(ISNUMBER(Issues!$C468),MOD(Issues!$C468,100),IFERROR(VALUE(TRIM(MID(MID(Issues!$C468,FIND("/",Issues!$C468)+1,20),FIND("/",MID(Issues!$C468,FIND("/",Issues!$C468)+1,20))+1,20))),"")))</f>
        <v/>
      </c>
      <c r="E465" t="str">
        <f t="shared" si="21"/>
        <v/>
      </c>
      <c r="F465" t="str">
        <f>IF($A465="","",IF(Issues!$D468="",0,Issues!$D468))</f>
        <v/>
      </c>
      <c r="G465" t="str">
        <f>IF($A465="","",Issues!$E468)</f>
        <v/>
      </c>
      <c r="H465" t="str">
        <f t="shared" si="22"/>
        <v/>
      </c>
      <c r="I465" t="str">
        <f t="shared" si="23"/>
        <v/>
      </c>
      <c r="J465" t="str">
        <f>IF($A465="","",Issues!$G468)</f>
        <v/>
      </c>
      <c r="K465" t="str">
        <f>IF(OR($E465="",$E465="نامعتبر"),"",LEFT($E465,4)&amp;MID($E465,6,2)&amp;RIGHT($E465,2)&amp;"|"&amp;RIGHT("00000"&amp;460,5))</f>
        <v/>
      </c>
      <c r="M465" t="str">
        <f>IF(Sync!$M465&lt;&gt;"پاس چک","",IF(Sync!$P465="","",Sync!$P465))</f>
        <v/>
      </c>
      <c r="N465" t="str">
        <f>IF($M465="","",IF(ISNUMBER(Sync!$L465),IF(AND(Sync!$L465&gt;=10000101,Sync!$L465&lt;=99991231),RIGHT("0000"&amp;INT(Sync!$L465/10000),4)&amp;"/"&amp;RIGHT("00"&amp;INT(MOD(Sync!$L465,10000)/100),2)&amp;"/"&amp;RIGHT("00"&amp;MOD(Sync!$L465,100),2),""),IFERROR(RIGHT("0000"&amp;VALUE(TRIM(LEFT(Sync!$L465,FIND("/",Sync!$L465)-1))),4)&amp;"/"&amp;RIGHT("00"&amp;VALUE(TRIM(LEFT(MID(Sync!$L465,FIND("/",Sync!$L465)+1,20),FIND("/",MID(Sync!$L465,FIND("/",Sync!$L465)+1,20))-1))),2)&amp;"/"&amp;RIGHT("00"&amp;VALUE(TRIM(MID(MID(Sync!$L465,FIND("/",Sync!$L465)+1,20),FIND("/",MID(Sync!$L465,FIND("/",Sync!$L465)+1,20))+1,20))),2),"")))</f>
        <v/>
      </c>
    </row>
    <row r="466" spans="1:14" x14ac:dyDescent="0.2">
      <c r="A466" t="str">
        <f>IF(Issues!$B469="","",Issues!$B469)</f>
        <v/>
      </c>
      <c r="B466" t="str">
        <f>IF($A466="","",IF(ISNUMBER(Issues!$C469),IF(AND(Issues!$C469&gt;=10000101,Issues!$C469&lt;=99991231),INT(Issues!$C469/10000),""),IFERROR(VALUE(TRIM(LEFT(Issues!$C469,FIND("/",Issues!$C469)-1))),"")))</f>
        <v/>
      </c>
      <c r="C466" t="str">
        <f>IF(OR($A466="",$B466=""),"",IF(ISNUMBER(Issues!$C469),INT(MOD(Issues!$C469,10000)/100),IFERROR(VALUE(TRIM(LEFT(MID(Issues!$C469,FIND("/",Issues!$C469)+1,20),FIND("/",MID(Issues!$C469,FIND("/",Issues!$C469)+1,20))-1))),"")))</f>
        <v/>
      </c>
      <c r="D466" t="str">
        <f>IF(OR($A466="",$B466=""),"",IF(ISNUMBER(Issues!$C469),MOD(Issues!$C469,100),IFERROR(VALUE(TRIM(MID(MID(Issues!$C469,FIND("/",Issues!$C469)+1,20),FIND("/",MID(Issues!$C469,FIND("/",Issues!$C469)+1,20))+1,20))),"")))</f>
        <v/>
      </c>
      <c r="E466" t="str">
        <f t="shared" si="21"/>
        <v/>
      </c>
      <c r="F466" t="str">
        <f>IF($A466="","",IF(Issues!$D469="",0,Issues!$D469))</f>
        <v/>
      </c>
      <c r="G466" t="str">
        <f>IF($A466="","",Issues!$E469)</f>
        <v/>
      </c>
      <c r="H466" t="str">
        <f t="shared" si="22"/>
        <v/>
      </c>
      <c r="I466" t="str">
        <f t="shared" si="23"/>
        <v/>
      </c>
      <c r="J466" t="str">
        <f>IF($A466="","",Issues!$G469)</f>
        <v/>
      </c>
      <c r="K466" t="str">
        <f>IF(OR($E466="",$E466="نامعتبر"),"",LEFT($E466,4)&amp;MID($E466,6,2)&amp;RIGHT($E466,2)&amp;"|"&amp;RIGHT("00000"&amp;461,5))</f>
        <v/>
      </c>
      <c r="M466" t="str">
        <f>IF(Sync!$M466&lt;&gt;"پاس چک","",IF(Sync!$P466="","",Sync!$P466))</f>
        <v/>
      </c>
      <c r="N466" t="str">
        <f>IF($M466="","",IF(ISNUMBER(Sync!$L466),IF(AND(Sync!$L466&gt;=10000101,Sync!$L466&lt;=99991231),RIGHT("0000"&amp;INT(Sync!$L466/10000),4)&amp;"/"&amp;RIGHT("00"&amp;INT(MOD(Sync!$L466,10000)/100),2)&amp;"/"&amp;RIGHT("00"&amp;MOD(Sync!$L466,100),2),""),IFERROR(RIGHT("0000"&amp;VALUE(TRIM(LEFT(Sync!$L466,FIND("/",Sync!$L466)-1))),4)&amp;"/"&amp;RIGHT("00"&amp;VALUE(TRIM(LEFT(MID(Sync!$L466,FIND("/",Sync!$L466)+1,20),FIND("/",MID(Sync!$L466,FIND("/",Sync!$L466)+1,20))-1))),2)&amp;"/"&amp;RIGHT("00"&amp;VALUE(TRIM(MID(MID(Sync!$L466,FIND("/",Sync!$L466)+1,20),FIND("/",MID(Sync!$L466,FIND("/",Sync!$L466)+1,20))+1,20))),2),"")))</f>
        <v/>
      </c>
    </row>
    <row r="467" spans="1:14" x14ac:dyDescent="0.2">
      <c r="A467" t="str">
        <f>IF(Issues!$B470="","",Issues!$B470)</f>
        <v/>
      </c>
      <c r="B467" t="str">
        <f>IF($A467="","",IF(ISNUMBER(Issues!$C470),IF(AND(Issues!$C470&gt;=10000101,Issues!$C470&lt;=99991231),INT(Issues!$C470/10000),""),IFERROR(VALUE(TRIM(LEFT(Issues!$C470,FIND("/",Issues!$C470)-1))),"")))</f>
        <v/>
      </c>
      <c r="C467" t="str">
        <f>IF(OR($A467="",$B467=""),"",IF(ISNUMBER(Issues!$C470),INT(MOD(Issues!$C470,10000)/100),IFERROR(VALUE(TRIM(LEFT(MID(Issues!$C470,FIND("/",Issues!$C470)+1,20),FIND("/",MID(Issues!$C470,FIND("/",Issues!$C470)+1,20))-1))),"")))</f>
        <v/>
      </c>
      <c r="D467" t="str">
        <f>IF(OR($A467="",$B467=""),"",IF(ISNUMBER(Issues!$C470),MOD(Issues!$C470,100),IFERROR(VALUE(TRIM(MID(MID(Issues!$C470,FIND("/",Issues!$C470)+1,20),FIND("/",MID(Issues!$C470,FIND("/",Issues!$C470)+1,20))+1,20))),"")))</f>
        <v/>
      </c>
      <c r="E467" t="str">
        <f t="shared" si="21"/>
        <v/>
      </c>
      <c r="F467" t="str">
        <f>IF($A467="","",IF(Issues!$D470="",0,Issues!$D470))</f>
        <v/>
      </c>
      <c r="G467" t="str">
        <f>IF($A467="","",Issues!$E470)</f>
        <v/>
      </c>
      <c r="H467" t="str">
        <f t="shared" si="22"/>
        <v/>
      </c>
      <c r="I467" t="str">
        <f t="shared" si="23"/>
        <v/>
      </c>
      <c r="J467" t="str">
        <f>IF($A467="","",Issues!$G470)</f>
        <v/>
      </c>
      <c r="K467" t="str">
        <f>IF(OR($E467="",$E467="نامعتبر"),"",LEFT($E467,4)&amp;MID($E467,6,2)&amp;RIGHT($E467,2)&amp;"|"&amp;RIGHT("00000"&amp;462,5))</f>
        <v/>
      </c>
      <c r="M467" t="str">
        <f>IF(Sync!$M467&lt;&gt;"پاس چک","",IF(Sync!$P467="","",Sync!$P467))</f>
        <v/>
      </c>
      <c r="N467" t="str">
        <f>IF($M467="","",IF(ISNUMBER(Sync!$L467),IF(AND(Sync!$L467&gt;=10000101,Sync!$L467&lt;=99991231),RIGHT("0000"&amp;INT(Sync!$L467/10000),4)&amp;"/"&amp;RIGHT("00"&amp;INT(MOD(Sync!$L467,10000)/100),2)&amp;"/"&amp;RIGHT("00"&amp;MOD(Sync!$L467,100),2),""),IFERROR(RIGHT("0000"&amp;VALUE(TRIM(LEFT(Sync!$L467,FIND("/",Sync!$L467)-1))),4)&amp;"/"&amp;RIGHT("00"&amp;VALUE(TRIM(LEFT(MID(Sync!$L467,FIND("/",Sync!$L467)+1,20),FIND("/",MID(Sync!$L467,FIND("/",Sync!$L467)+1,20))-1))),2)&amp;"/"&amp;RIGHT("00"&amp;VALUE(TRIM(MID(MID(Sync!$L467,FIND("/",Sync!$L467)+1,20),FIND("/",MID(Sync!$L467,FIND("/",Sync!$L467)+1,20))+1,20))),2),"")))</f>
        <v/>
      </c>
    </row>
    <row r="468" spans="1:14" x14ac:dyDescent="0.2">
      <c r="A468" t="str">
        <f>IF(Issues!$B471="","",Issues!$B471)</f>
        <v/>
      </c>
      <c r="B468" t="str">
        <f>IF($A468="","",IF(ISNUMBER(Issues!$C471),IF(AND(Issues!$C471&gt;=10000101,Issues!$C471&lt;=99991231),INT(Issues!$C471/10000),""),IFERROR(VALUE(TRIM(LEFT(Issues!$C471,FIND("/",Issues!$C471)-1))),"")))</f>
        <v/>
      </c>
      <c r="C468" t="str">
        <f>IF(OR($A468="",$B468=""),"",IF(ISNUMBER(Issues!$C471),INT(MOD(Issues!$C471,10000)/100),IFERROR(VALUE(TRIM(LEFT(MID(Issues!$C471,FIND("/",Issues!$C471)+1,20),FIND("/",MID(Issues!$C471,FIND("/",Issues!$C471)+1,20))-1))),"")))</f>
        <v/>
      </c>
      <c r="D468" t="str">
        <f>IF(OR($A468="",$B468=""),"",IF(ISNUMBER(Issues!$C471),MOD(Issues!$C471,100),IFERROR(VALUE(TRIM(MID(MID(Issues!$C471,FIND("/",Issues!$C471)+1,20),FIND("/",MID(Issues!$C471,FIND("/",Issues!$C471)+1,20))+1,20))),"")))</f>
        <v/>
      </c>
      <c r="E468" t="str">
        <f t="shared" si="21"/>
        <v/>
      </c>
      <c r="F468" t="str">
        <f>IF($A468="","",IF(Issues!$D471="",0,Issues!$D471))</f>
        <v/>
      </c>
      <c r="G468" t="str">
        <f>IF($A468="","",Issues!$E471)</f>
        <v/>
      </c>
      <c r="H468" t="str">
        <f t="shared" si="22"/>
        <v/>
      </c>
      <c r="I468" t="str">
        <f t="shared" si="23"/>
        <v/>
      </c>
      <c r="J468" t="str">
        <f>IF($A468="","",Issues!$G471)</f>
        <v/>
      </c>
      <c r="K468" t="str">
        <f>IF(OR($E468="",$E468="نامعتبر"),"",LEFT($E468,4)&amp;MID($E468,6,2)&amp;RIGHT($E468,2)&amp;"|"&amp;RIGHT("00000"&amp;463,5))</f>
        <v/>
      </c>
      <c r="M468" t="str">
        <f>IF(Sync!$M468&lt;&gt;"پاس چک","",IF(Sync!$P468="","",Sync!$P468))</f>
        <v/>
      </c>
      <c r="N468" t="str">
        <f>IF($M468="","",IF(ISNUMBER(Sync!$L468),IF(AND(Sync!$L468&gt;=10000101,Sync!$L468&lt;=99991231),RIGHT("0000"&amp;INT(Sync!$L468/10000),4)&amp;"/"&amp;RIGHT("00"&amp;INT(MOD(Sync!$L468,10000)/100),2)&amp;"/"&amp;RIGHT("00"&amp;MOD(Sync!$L468,100),2),""),IFERROR(RIGHT("0000"&amp;VALUE(TRIM(LEFT(Sync!$L468,FIND("/",Sync!$L468)-1))),4)&amp;"/"&amp;RIGHT("00"&amp;VALUE(TRIM(LEFT(MID(Sync!$L468,FIND("/",Sync!$L468)+1,20),FIND("/",MID(Sync!$L468,FIND("/",Sync!$L468)+1,20))-1))),2)&amp;"/"&amp;RIGHT("00"&amp;VALUE(TRIM(MID(MID(Sync!$L468,FIND("/",Sync!$L468)+1,20),FIND("/",MID(Sync!$L468,FIND("/",Sync!$L468)+1,20))+1,20))),2),"")))</f>
        <v/>
      </c>
    </row>
    <row r="469" spans="1:14" x14ac:dyDescent="0.2">
      <c r="A469" t="str">
        <f>IF(Issues!$B472="","",Issues!$B472)</f>
        <v/>
      </c>
      <c r="B469" t="str">
        <f>IF($A469="","",IF(ISNUMBER(Issues!$C472),IF(AND(Issues!$C472&gt;=10000101,Issues!$C472&lt;=99991231),INT(Issues!$C472/10000),""),IFERROR(VALUE(TRIM(LEFT(Issues!$C472,FIND("/",Issues!$C472)-1))),"")))</f>
        <v/>
      </c>
      <c r="C469" t="str">
        <f>IF(OR($A469="",$B469=""),"",IF(ISNUMBER(Issues!$C472),INT(MOD(Issues!$C472,10000)/100),IFERROR(VALUE(TRIM(LEFT(MID(Issues!$C472,FIND("/",Issues!$C472)+1,20),FIND("/",MID(Issues!$C472,FIND("/",Issues!$C472)+1,20))-1))),"")))</f>
        <v/>
      </c>
      <c r="D469" t="str">
        <f>IF(OR($A469="",$B469=""),"",IF(ISNUMBER(Issues!$C472),MOD(Issues!$C472,100),IFERROR(VALUE(TRIM(MID(MID(Issues!$C472,FIND("/",Issues!$C472)+1,20),FIND("/",MID(Issues!$C472,FIND("/",Issues!$C472)+1,20))+1,20))),"")))</f>
        <v/>
      </c>
      <c r="E469" t="str">
        <f t="shared" si="21"/>
        <v/>
      </c>
      <c r="F469" t="str">
        <f>IF($A469="","",IF(Issues!$D472="",0,Issues!$D472))</f>
        <v/>
      </c>
      <c r="G469" t="str">
        <f>IF($A469="","",Issues!$E472)</f>
        <v/>
      </c>
      <c r="H469" t="str">
        <f t="shared" si="22"/>
        <v/>
      </c>
      <c r="I469" t="str">
        <f t="shared" si="23"/>
        <v/>
      </c>
      <c r="J469" t="str">
        <f>IF($A469="","",Issues!$G472)</f>
        <v/>
      </c>
      <c r="K469" t="str">
        <f>IF(OR($E469="",$E469="نامعتبر"),"",LEFT($E469,4)&amp;MID($E469,6,2)&amp;RIGHT($E469,2)&amp;"|"&amp;RIGHT("00000"&amp;464,5))</f>
        <v/>
      </c>
      <c r="M469" t="str">
        <f>IF(Sync!$M469&lt;&gt;"پاس چک","",IF(Sync!$P469="","",Sync!$P469))</f>
        <v/>
      </c>
      <c r="N469" t="str">
        <f>IF($M469="","",IF(ISNUMBER(Sync!$L469),IF(AND(Sync!$L469&gt;=10000101,Sync!$L469&lt;=99991231),RIGHT("0000"&amp;INT(Sync!$L469/10000),4)&amp;"/"&amp;RIGHT("00"&amp;INT(MOD(Sync!$L469,10000)/100),2)&amp;"/"&amp;RIGHT("00"&amp;MOD(Sync!$L469,100),2),""),IFERROR(RIGHT("0000"&amp;VALUE(TRIM(LEFT(Sync!$L469,FIND("/",Sync!$L469)-1))),4)&amp;"/"&amp;RIGHT("00"&amp;VALUE(TRIM(LEFT(MID(Sync!$L469,FIND("/",Sync!$L469)+1,20),FIND("/",MID(Sync!$L469,FIND("/",Sync!$L469)+1,20))-1))),2)&amp;"/"&amp;RIGHT("00"&amp;VALUE(TRIM(MID(MID(Sync!$L469,FIND("/",Sync!$L469)+1,20),FIND("/",MID(Sync!$L469,FIND("/",Sync!$L469)+1,20))+1,20))),2),"")))</f>
        <v/>
      </c>
    </row>
    <row r="470" spans="1:14" x14ac:dyDescent="0.2">
      <c r="A470" t="str">
        <f>IF(Issues!$B473="","",Issues!$B473)</f>
        <v/>
      </c>
      <c r="B470" t="str">
        <f>IF($A470="","",IF(ISNUMBER(Issues!$C473),IF(AND(Issues!$C473&gt;=10000101,Issues!$C473&lt;=99991231),INT(Issues!$C473/10000),""),IFERROR(VALUE(TRIM(LEFT(Issues!$C473,FIND("/",Issues!$C473)-1))),"")))</f>
        <v/>
      </c>
      <c r="C470" t="str">
        <f>IF(OR($A470="",$B470=""),"",IF(ISNUMBER(Issues!$C473),INT(MOD(Issues!$C473,10000)/100),IFERROR(VALUE(TRIM(LEFT(MID(Issues!$C473,FIND("/",Issues!$C473)+1,20),FIND("/",MID(Issues!$C473,FIND("/",Issues!$C473)+1,20))-1))),"")))</f>
        <v/>
      </c>
      <c r="D470" t="str">
        <f>IF(OR($A470="",$B470=""),"",IF(ISNUMBER(Issues!$C473),MOD(Issues!$C473,100),IFERROR(VALUE(TRIM(MID(MID(Issues!$C473,FIND("/",Issues!$C473)+1,20),FIND("/",MID(Issues!$C473,FIND("/",Issues!$C473)+1,20))+1,20))),"")))</f>
        <v/>
      </c>
      <c r="E470" t="str">
        <f t="shared" si="21"/>
        <v/>
      </c>
      <c r="F470" t="str">
        <f>IF($A470="","",IF(Issues!$D473="",0,Issues!$D473))</f>
        <v/>
      </c>
      <c r="G470" t="str">
        <f>IF($A470="","",Issues!$E473)</f>
        <v/>
      </c>
      <c r="H470" t="str">
        <f t="shared" si="22"/>
        <v/>
      </c>
      <c r="I470" t="str">
        <f t="shared" si="23"/>
        <v/>
      </c>
      <c r="J470" t="str">
        <f>IF($A470="","",Issues!$G473)</f>
        <v/>
      </c>
      <c r="K470" t="str">
        <f>IF(OR($E470="",$E470="نامعتبر"),"",LEFT($E470,4)&amp;MID($E470,6,2)&amp;RIGHT($E470,2)&amp;"|"&amp;RIGHT("00000"&amp;465,5))</f>
        <v/>
      </c>
      <c r="M470" t="str">
        <f>IF(Sync!$M470&lt;&gt;"پاس چک","",IF(Sync!$P470="","",Sync!$P470))</f>
        <v/>
      </c>
      <c r="N470" t="str">
        <f>IF($M470="","",IF(ISNUMBER(Sync!$L470),IF(AND(Sync!$L470&gt;=10000101,Sync!$L470&lt;=99991231),RIGHT("0000"&amp;INT(Sync!$L470/10000),4)&amp;"/"&amp;RIGHT("00"&amp;INT(MOD(Sync!$L470,10000)/100),2)&amp;"/"&amp;RIGHT("00"&amp;MOD(Sync!$L470,100),2),""),IFERROR(RIGHT("0000"&amp;VALUE(TRIM(LEFT(Sync!$L470,FIND("/",Sync!$L470)-1))),4)&amp;"/"&amp;RIGHT("00"&amp;VALUE(TRIM(LEFT(MID(Sync!$L470,FIND("/",Sync!$L470)+1,20),FIND("/",MID(Sync!$L470,FIND("/",Sync!$L470)+1,20))-1))),2)&amp;"/"&amp;RIGHT("00"&amp;VALUE(TRIM(MID(MID(Sync!$L470,FIND("/",Sync!$L470)+1,20),FIND("/",MID(Sync!$L470,FIND("/",Sync!$L470)+1,20))+1,20))),2),"")))</f>
        <v/>
      </c>
    </row>
    <row r="471" spans="1:14" x14ac:dyDescent="0.2">
      <c r="A471" t="str">
        <f>IF(Issues!$B474="","",Issues!$B474)</f>
        <v/>
      </c>
      <c r="B471" t="str">
        <f>IF($A471="","",IF(ISNUMBER(Issues!$C474),IF(AND(Issues!$C474&gt;=10000101,Issues!$C474&lt;=99991231),INT(Issues!$C474/10000),""),IFERROR(VALUE(TRIM(LEFT(Issues!$C474,FIND("/",Issues!$C474)-1))),"")))</f>
        <v/>
      </c>
      <c r="C471" t="str">
        <f>IF(OR($A471="",$B471=""),"",IF(ISNUMBER(Issues!$C474),INT(MOD(Issues!$C474,10000)/100),IFERROR(VALUE(TRIM(LEFT(MID(Issues!$C474,FIND("/",Issues!$C474)+1,20),FIND("/",MID(Issues!$C474,FIND("/",Issues!$C474)+1,20))-1))),"")))</f>
        <v/>
      </c>
      <c r="D471" t="str">
        <f>IF(OR($A471="",$B471=""),"",IF(ISNUMBER(Issues!$C474),MOD(Issues!$C474,100),IFERROR(VALUE(TRIM(MID(MID(Issues!$C474,FIND("/",Issues!$C474)+1,20),FIND("/",MID(Issues!$C474,FIND("/",Issues!$C474)+1,20))+1,20))),"")))</f>
        <v/>
      </c>
      <c r="E471" t="str">
        <f t="shared" si="21"/>
        <v/>
      </c>
      <c r="F471" t="str">
        <f>IF($A471="","",IF(Issues!$D474="",0,Issues!$D474))</f>
        <v/>
      </c>
      <c r="G471" t="str">
        <f>IF($A471="","",Issues!$E474)</f>
        <v/>
      </c>
      <c r="H471" t="str">
        <f t="shared" si="22"/>
        <v/>
      </c>
      <c r="I471" t="str">
        <f t="shared" si="23"/>
        <v/>
      </c>
      <c r="J471" t="str">
        <f>IF($A471="","",Issues!$G474)</f>
        <v/>
      </c>
      <c r="K471" t="str">
        <f>IF(OR($E471="",$E471="نامعتبر"),"",LEFT($E471,4)&amp;MID($E471,6,2)&amp;RIGHT($E471,2)&amp;"|"&amp;RIGHT("00000"&amp;466,5))</f>
        <v/>
      </c>
      <c r="M471" t="str">
        <f>IF(Sync!$M471&lt;&gt;"پاس چک","",IF(Sync!$P471="","",Sync!$P471))</f>
        <v/>
      </c>
      <c r="N471" t="str">
        <f>IF($M471="","",IF(ISNUMBER(Sync!$L471),IF(AND(Sync!$L471&gt;=10000101,Sync!$L471&lt;=99991231),RIGHT("0000"&amp;INT(Sync!$L471/10000),4)&amp;"/"&amp;RIGHT("00"&amp;INT(MOD(Sync!$L471,10000)/100),2)&amp;"/"&amp;RIGHT("00"&amp;MOD(Sync!$L471,100),2),""),IFERROR(RIGHT("0000"&amp;VALUE(TRIM(LEFT(Sync!$L471,FIND("/",Sync!$L471)-1))),4)&amp;"/"&amp;RIGHT("00"&amp;VALUE(TRIM(LEFT(MID(Sync!$L471,FIND("/",Sync!$L471)+1,20),FIND("/",MID(Sync!$L471,FIND("/",Sync!$L471)+1,20))-1))),2)&amp;"/"&amp;RIGHT("00"&amp;VALUE(TRIM(MID(MID(Sync!$L471,FIND("/",Sync!$L471)+1,20),FIND("/",MID(Sync!$L471,FIND("/",Sync!$L471)+1,20))+1,20))),2),"")))</f>
        <v/>
      </c>
    </row>
    <row r="472" spans="1:14" x14ac:dyDescent="0.2">
      <c r="A472" t="str">
        <f>IF(Issues!$B475="","",Issues!$B475)</f>
        <v/>
      </c>
      <c r="B472" t="str">
        <f>IF($A472="","",IF(ISNUMBER(Issues!$C475),IF(AND(Issues!$C475&gt;=10000101,Issues!$C475&lt;=99991231),INT(Issues!$C475/10000),""),IFERROR(VALUE(TRIM(LEFT(Issues!$C475,FIND("/",Issues!$C475)-1))),"")))</f>
        <v/>
      </c>
      <c r="C472" t="str">
        <f>IF(OR($A472="",$B472=""),"",IF(ISNUMBER(Issues!$C475),INT(MOD(Issues!$C475,10000)/100),IFERROR(VALUE(TRIM(LEFT(MID(Issues!$C475,FIND("/",Issues!$C475)+1,20),FIND("/",MID(Issues!$C475,FIND("/",Issues!$C475)+1,20))-1))),"")))</f>
        <v/>
      </c>
      <c r="D472" t="str">
        <f>IF(OR($A472="",$B472=""),"",IF(ISNUMBER(Issues!$C475),MOD(Issues!$C475,100),IFERROR(VALUE(TRIM(MID(MID(Issues!$C475,FIND("/",Issues!$C475)+1,20),FIND("/",MID(Issues!$C475,FIND("/",Issues!$C475)+1,20))+1,20))),"")))</f>
        <v/>
      </c>
      <c r="E472" t="str">
        <f t="shared" si="21"/>
        <v/>
      </c>
      <c r="F472" t="str">
        <f>IF($A472="","",IF(Issues!$D475="",0,Issues!$D475))</f>
        <v/>
      </c>
      <c r="G472" t="str">
        <f>IF($A472="","",Issues!$E475)</f>
        <v/>
      </c>
      <c r="H472" t="str">
        <f t="shared" si="22"/>
        <v/>
      </c>
      <c r="I472" t="str">
        <f t="shared" si="23"/>
        <v/>
      </c>
      <c r="J472" t="str">
        <f>IF($A472="","",Issues!$G475)</f>
        <v/>
      </c>
      <c r="K472" t="str">
        <f>IF(OR($E472="",$E472="نامعتبر"),"",LEFT($E472,4)&amp;MID($E472,6,2)&amp;RIGHT($E472,2)&amp;"|"&amp;RIGHT("00000"&amp;467,5))</f>
        <v/>
      </c>
      <c r="M472" t="str">
        <f>IF(Sync!$M472&lt;&gt;"پاس چک","",IF(Sync!$P472="","",Sync!$P472))</f>
        <v/>
      </c>
      <c r="N472" t="str">
        <f>IF($M472="","",IF(ISNUMBER(Sync!$L472),IF(AND(Sync!$L472&gt;=10000101,Sync!$L472&lt;=99991231),RIGHT("0000"&amp;INT(Sync!$L472/10000),4)&amp;"/"&amp;RIGHT("00"&amp;INT(MOD(Sync!$L472,10000)/100),2)&amp;"/"&amp;RIGHT("00"&amp;MOD(Sync!$L472,100),2),""),IFERROR(RIGHT("0000"&amp;VALUE(TRIM(LEFT(Sync!$L472,FIND("/",Sync!$L472)-1))),4)&amp;"/"&amp;RIGHT("00"&amp;VALUE(TRIM(LEFT(MID(Sync!$L472,FIND("/",Sync!$L472)+1,20),FIND("/",MID(Sync!$L472,FIND("/",Sync!$L472)+1,20))-1))),2)&amp;"/"&amp;RIGHT("00"&amp;VALUE(TRIM(MID(MID(Sync!$L472,FIND("/",Sync!$L472)+1,20),FIND("/",MID(Sync!$L472,FIND("/",Sync!$L472)+1,20))+1,20))),2),"")))</f>
        <v/>
      </c>
    </row>
    <row r="473" spans="1:14" x14ac:dyDescent="0.2">
      <c r="A473" t="str">
        <f>IF(Issues!$B476="","",Issues!$B476)</f>
        <v/>
      </c>
      <c r="B473" t="str">
        <f>IF($A473="","",IF(ISNUMBER(Issues!$C476),IF(AND(Issues!$C476&gt;=10000101,Issues!$C476&lt;=99991231),INT(Issues!$C476/10000),""),IFERROR(VALUE(TRIM(LEFT(Issues!$C476,FIND("/",Issues!$C476)-1))),"")))</f>
        <v/>
      </c>
      <c r="C473" t="str">
        <f>IF(OR($A473="",$B473=""),"",IF(ISNUMBER(Issues!$C476),INT(MOD(Issues!$C476,10000)/100),IFERROR(VALUE(TRIM(LEFT(MID(Issues!$C476,FIND("/",Issues!$C476)+1,20),FIND("/",MID(Issues!$C476,FIND("/",Issues!$C476)+1,20))-1))),"")))</f>
        <v/>
      </c>
      <c r="D473" t="str">
        <f>IF(OR($A473="",$B473=""),"",IF(ISNUMBER(Issues!$C476),MOD(Issues!$C476,100),IFERROR(VALUE(TRIM(MID(MID(Issues!$C476,FIND("/",Issues!$C476)+1,20),FIND("/",MID(Issues!$C476,FIND("/",Issues!$C476)+1,20))+1,20))),"")))</f>
        <v/>
      </c>
      <c r="E473" t="str">
        <f t="shared" si="21"/>
        <v/>
      </c>
      <c r="F473" t="str">
        <f>IF($A473="","",IF(Issues!$D476="",0,Issues!$D476))</f>
        <v/>
      </c>
      <c r="G473" t="str">
        <f>IF($A473="","",Issues!$E476)</f>
        <v/>
      </c>
      <c r="H473" t="str">
        <f t="shared" si="22"/>
        <v/>
      </c>
      <c r="I473" t="str">
        <f t="shared" si="23"/>
        <v/>
      </c>
      <c r="J473" t="str">
        <f>IF($A473="","",Issues!$G476)</f>
        <v/>
      </c>
      <c r="K473" t="str">
        <f>IF(OR($E473="",$E473="نامعتبر"),"",LEFT($E473,4)&amp;MID($E473,6,2)&amp;RIGHT($E473,2)&amp;"|"&amp;RIGHT("00000"&amp;468,5))</f>
        <v/>
      </c>
      <c r="M473" t="str">
        <f>IF(Sync!$M473&lt;&gt;"پاس چک","",IF(Sync!$P473="","",Sync!$P473))</f>
        <v/>
      </c>
      <c r="N473" t="str">
        <f>IF($M473="","",IF(ISNUMBER(Sync!$L473),IF(AND(Sync!$L473&gt;=10000101,Sync!$L473&lt;=99991231),RIGHT("0000"&amp;INT(Sync!$L473/10000),4)&amp;"/"&amp;RIGHT("00"&amp;INT(MOD(Sync!$L473,10000)/100),2)&amp;"/"&amp;RIGHT("00"&amp;MOD(Sync!$L473,100),2),""),IFERROR(RIGHT("0000"&amp;VALUE(TRIM(LEFT(Sync!$L473,FIND("/",Sync!$L473)-1))),4)&amp;"/"&amp;RIGHT("00"&amp;VALUE(TRIM(LEFT(MID(Sync!$L473,FIND("/",Sync!$L473)+1,20),FIND("/",MID(Sync!$L473,FIND("/",Sync!$L473)+1,20))-1))),2)&amp;"/"&amp;RIGHT("00"&amp;VALUE(TRIM(MID(MID(Sync!$L473,FIND("/",Sync!$L473)+1,20),FIND("/",MID(Sync!$L473,FIND("/",Sync!$L473)+1,20))+1,20))),2),"")))</f>
        <v/>
      </c>
    </row>
    <row r="474" spans="1:14" x14ac:dyDescent="0.2">
      <c r="A474" t="str">
        <f>IF(Issues!$B477="","",Issues!$B477)</f>
        <v/>
      </c>
      <c r="B474" t="str">
        <f>IF($A474="","",IF(ISNUMBER(Issues!$C477),IF(AND(Issues!$C477&gt;=10000101,Issues!$C477&lt;=99991231),INT(Issues!$C477/10000),""),IFERROR(VALUE(TRIM(LEFT(Issues!$C477,FIND("/",Issues!$C477)-1))),"")))</f>
        <v/>
      </c>
      <c r="C474" t="str">
        <f>IF(OR($A474="",$B474=""),"",IF(ISNUMBER(Issues!$C477),INT(MOD(Issues!$C477,10000)/100),IFERROR(VALUE(TRIM(LEFT(MID(Issues!$C477,FIND("/",Issues!$C477)+1,20),FIND("/",MID(Issues!$C477,FIND("/",Issues!$C477)+1,20))-1))),"")))</f>
        <v/>
      </c>
      <c r="D474" t="str">
        <f>IF(OR($A474="",$B474=""),"",IF(ISNUMBER(Issues!$C477),MOD(Issues!$C477,100),IFERROR(VALUE(TRIM(MID(MID(Issues!$C477,FIND("/",Issues!$C477)+1,20),FIND("/",MID(Issues!$C477,FIND("/",Issues!$C477)+1,20))+1,20))),"")))</f>
        <v/>
      </c>
      <c r="E474" t="str">
        <f t="shared" si="21"/>
        <v/>
      </c>
      <c r="F474" t="str">
        <f>IF($A474="","",IF(Issues!$D477="",0,Issues!$D477))</f>
        <v/>
      </c>
      <c r="G474" t="str">
        <f>IF($A474="","",Issues!$E477)</f>
        <v/>
      </c>
      <c r="H474" t="str">
        <f t="shared" si="22"/>
        <v/>
      </c>
      <c r="I474" t="str">
        <f t="shared" si="23"/>
        <v/>
      </c>
      <c r="J474" t="str">
        <f>IF($A474="","",Issues!$G477)</f>
        <v/>
      </c>
      <c r="K474" t="str">
        <f>IF(OR($E474="",$E474="نامعتبر"),"",LEFT($E474,4)&amp;MID($E474,6,2)&amp;RIGHT($E474,2)&amp;"|"&amp;RIGHT("00000"&amp;469,5))</f>
        <v/>
      </c>
      <c r="M474" t="str">
        <f>IF(Sync!$M474&lt;&gt;"پاس چک","",IF(Sync!$P474="","",Sync!$P474))</f>
        <v/>
      </c>
      <c r="N474" t="str">
        <f>IF($M474="","",IF(ISNUMBER(Sync!$L474),IF(AND(Sync!$L474&gt;=10000101,Sync!$L474&lt;=99991231),RIGHT("0000"&amp;INT(Sync!$L474/10000),4)&amp;"/"&amp;RIGHT("00"&amp;INT(MOD(Sync!$L474,10000)/100),2)&amp;"/"&amp;RIGHT("00"&amp;MOD(Sync!$L474,100),2),""),IFERROR(RIGHT("0000"&amp;VALUE(TRIM(LEFT(Sync!$L474,FIND("/",Sync!$L474)-1))),4)&amp;"/"&amp;RIGHT("00"&amp;VALUE(TRIM(LEFT(MID(Sync!$L474,FIND("/",Sync!$L474)+1,20),FIND("/",MID(Sync!$L474,FIND("/",Sync!$L474)+1,20))-1))),2)&amp;"/"&amp;RIGHT("00"&amp;VALUE(TRIM(MID(MID(Sync!$L474,FIND("/",Sync!$L474)+1,20),FIND("/",MID(Sync!$L474,FIND("/",Sync!$L474)+1,20))+1,20))),2),"")))</f>
        <v/>
      </c>
    </row>
    <row r="475" spans="1:14" x14ac:dyDescent="0.2">
      <c r="A475" t="str">
        <f>IF(Issues!$B478="","",Issues!$B478)</f>
        <v/>
      </c>
      <c r="B475" t="str">
        <f>IF($A475="","",IF(ISNUMBER(Issues!$C478),IF(AND(Issues!$C478&gt;=10000101,Issues!$C478&lt;=99991231),INT(Issues!$C478/10000),""),IFERROR(VALUE(TRIM(LEFT(Issues!$C478,FIND("/",Issues!$C478)-1))),"")))</f>
        <v/>
      </c>
      <c r="C475" t="str">
        <f>IF(OR($A475="",$B475=""),"",IF(ISNUMBER(Issues!$C478),INT(MOD(Issues!$C478,10000)/100),IFERROR(VALUE(TRIM(LEFT(MID(Issues!$C478,FIND("/",Issues!$C478)+1,20),FIND("/",MID(Issues!$C478,FIND("/",Issues!$C478)+1,20))-1))),"")))</f>
        <v/>
      </c>
      <c r="D475" t="str">
        <f>IF(OR($A475="",$B475=""),"",IF(ISNUMBER(Issues!$C478),MOD(Issues!$C478,100),IFERROR(VALUE(TRIM(MID(MID(Issues!$C478,FIND("/",Issues!$C478)+1,20),FIND("/",MID(Issues!$C478,FIND("/",Issues!$C478)+1,20))+1,20))),"")))</f>
        <v/>
      </c>
      <c r="E475" t="str">
        <f t="shared" si="21"/>
        <v/>
      </c>
      <c r="F475" t="str">
        <f>IF($A475="","",IF(Issues!$D478="",0,Issues!$D478))</f>
        <v/>
      </c>
      <c r="G475" t="str">
        <f>IF($A475="","",Issues!$E478)</f>
        <v/>
      </c>
      <c r="H475" t="str">
        <f t="shared" si="22"/>
        <v/>
      </c>
      <c r="I475" t="str">
        <f t="shared" si="23"/>
        <v/>
      </c>
      <c r="J475" t="str">
        <f>IF($A475="","",Issues!$G478)</f>
        <v/>
      </c>
      <c r="K475" t="str">
        <f>IF(OR($E475="",$E475="نامعتبر"),"",LEFT($E475,4)&amp;MID($E475,6,2)&amp;RIGHT($E475,2)&amp;"|"&amp;RIGHT("00000"&amp;470,5))</f>
        <v/>
      </c>
      <c r="M475" t="str">
        <f>IF(Sync!$M475&lt;&gt;"پاس چک","",IF(Sync!$P475="","",Sync!$P475))</f>
        <v/>
      </c>
      <c r="N475" t="str">
        <f>IF($M475="","",IF(ISNUMBER(Sync!$L475),IF(AND(Sync!$L475&gt;=10000101,Sync!$L475&lt;=99991231),RIGHT("0000"&amp;INT(Sync!$L475/10000),4)&amp;"/"&amp;RIGHT("00"&amp;INT(MOD(Sync!$L475,10000)/100),2)&amp;"/"&amp;RIGHT("00"&amp;MOD(Sync!$L475,100),2),""),IFERROR(RIGHT("0000"&amp;VALUE(TRIM(LEFT(Sync!$L475,FIND("/",Sync!$L475)-1))),4)&amp;"/"&amp;RIGHT("00"&amp;VALUE(TRIM(LEFT(MID(Sync!$L475,FIND("/",Sync!$L475)+1,20),FIND("/",MID(Sync!$L475,FIND("/",Sync!$L475)+1,20))-1))),2)&amp;"/"&amp;RIGHT("00"&amp;VALUE(TRIM(MID(MID(Sync!$L475,FIND("/",Sync!$L475)+1,20),FIND("/",MID(Sync!$L475,FIND("/",Sync!$L475)+1,20))+1,20))),2),"")))</f>
        <v/>
      </c>
    </row>
    <row r="476" spans="1:14" x14ac:dyDescent="0.2">
      <c r="A476" t="str">
        <f>IF(Issues!$B479="","",Issues!$B479)</f>
        <v/>
      </c>
      <c r="B476" t="str">
        <f>IF($A476="","",IF(ISNUMBER(Issues!$C479),IF(AND(Issues!$C479&gt;=10000101,Issues!$C479&lt;=99991231),INT(Issues!$C479/10000),""),IFERROR(VALUE(TRIM(LEFT(Issues!$C479,FIND("/",Issues!$C479)-1))),"")))</f>
        <v/>
      </c>
      <c r="C476" t="str">
        <f>IF(OR($A476="",$B476=""),"",IF(ISNUMBER(Issues!$C479),INT(MOD(Issues!$C479,10000)/100),IFERROR(VALUE(TRIM(LEFT(MID(Issues!$C479,FIND("/",Issues!$C479)+1,20),FIND("/",MID(Issues!$C479,FIND("/",Issues!$C479)+1,20))-1))),"")))</f>
        <v/>
      </c>
      <c r="D476" t="str">
        <f>IF(OR($A476="",$B476=""),"",IF(ISNUMBER(Issues!$C479),MOD(Issues!$C479,100),IFERROR(VALUE(TRIM(MID(MID(Issues!$C479,FIND("/",Issues!$C479)+1,20),FIND("/",MID(Issues!$C479,FIND("/",Issues!$C479)+1,20))+1,20))),"")))</f>
        <v/>
      </c>
      <c r="E476" t="str">
        <f t="shared" si="21"/>
        <v/>
      </c>
      <c r="F476" t="str">
        <f>IF($A476="","",IF(Issues!$D479="",0,Issues!$D479))</f>
        <v/>
      </c>
      <c r="G476" t="str">
        <f>IF($A476="","",Issues!$E479)</f>
        <v/>
      </c>
      <c r="H476" t="str">
        <f t="shared" si="22"/>
        <v/>
      </c>
      <c r="I476" t="str">
        <f t="shared" si="23"/>
        <v/>
      </c>
      <c r="J476" t="str">
        <f>IF($A476="","",Issues!$G479)</f>
        <v/>
      </c>
      <c r="K476" t="str">
        <f>IF(OR($E476="",$E476="نامعتبر"),"",LEFT($E476,4)&amp;MID($E476,6,2)&amp;RIGHT($E476,2)&amp;"|"&amp;RIGHT("00000"&amp;471,5))</f>
        <v/>
      </c>
      <c r="M476" t="str">
        <f>IF(Sync!$M476&lt;&gt;"پاس چک","",IF(Sync!$P476="","",Sync!$P476))</f>
        <v/>
      </c>
      <c r="N476" t="str">
        <f>IF($M476="","",IF(ISNUMBER(Sync!$L476),IF(AND(Sync!$L476&gt;=10000101,Sync!$L476&lt;=99991231),RIGHT("0000"&amp;INT(Sync!$L476/10000),4)&amp;"/"&amp;RIGHT("00"&amp;INT(MOD(Sync!$L476,10000)/100),2)&amp;"/"&amp;RIGHT("00"&amp;MOD(Sync!$L476,100),2),""),IFERROR(RIGHT("0000"&amp;VALUE(TRIM(LEFT(Sync!$L476,FIND("/",Sync!$L476)-1))),4)&amp;"/"&amp;RIGHT("00"&amp;VALUE(TRIM(LEFT(MID(Sync!$L476,FIND("/",Sync!$L476)+1,20),FIND("/",MID(Sync!$L476,FIND("/",Sync!$L476)+1,20))-1))),2)&amp;"/"&amp;RIGHT("00"&amp;VALUE(TRIM(MID(MID(Sync!$L476,FIND("/",Sync!$L476)+1,20),FIND("/",MID(Sync!$L476,FIND("/",Sync!$L476)+1,20))+1,20))),2),"")))</f>
        <v/>
      </c>
    </row>
    <row r="477" spans="1:14" x14ac:dyDescent="0.2">
      <c r="A477" t="str">
        <f>IF(Issues!$B480="","",Issues!$B480)</f>
        <v/>
      </c>
      <c r="B477" t="str">
        <f>IF($A477="","",IF(ISNUMBER(Issues!$C480),IF(AND(Issues!$C480&gt;=10000101,Issues!$C480&lt;=99991231),INT(Issues!$C480/10000),""),IFERROR(VALUE(TRIM(LEFT(Issues!$C480,FIND("/",Issues!$C480)-1))),"")))</f>
        <v/>
      </c>
      <c r="C477" t="str">
        <f>IF(OR($A477="",$B477=""),"",IF(ISNUMBER(Issues!$C480),INT(MOD(Issues!$C480,10000)/100),IFERROR(VALUE(TRIM(LEFT(MID(Issues!$C480,FIND("/",Issues!$C480)+1,20),FIND("/",MID(Issues!$C480,FIND("/",Issues!$C480)+1,20))-1))),"")))</f>
        <v/>
      </c>
      <c r="D477" t="str">
        <f>IF(OR($A477="",$B477=""),"",IF(ISNUMBER(Issues!$C480),MOD(Issues!$C480,100),IFERROR(VALUE(TRIM(MID(MID(Issues!$C480,FIND("/",Issues!$C480)+1,20),FIND("/",MID(Issues!$C480,FIND("/",Issues!$C480)+1,20))+1,20))),"")))</f>
        <v/>
      </c>
      <c r="E477" t="str">
        <f t="shared" si="21"/>
        <v/>
      </c>
      <c r="F477" t="str">
        <f>IF($A477="","",IF(Issues!$D480="",0,Issues!$D480))</f>
        <v/>
      </c>
      <c r="G477" t="str">
        <f>IF($A477="","",Issues!$E480)</f>
        <v/>
      </c>
      <c r="H477" t="str">
        <f t="shared" si="22"/>
        <v/>
      </c>
      <c r="I477" t="str">
        <f t="shared" si="23"/>
        <v/>
      </c>
      <c r="J477" t="str">
        <f>IF($A477="","",Issues!$G480)</f>
        <v/>
      </c>
      <c r="K477" t="str">
        <f>IF(OR($E477="",$E477="نامعتبر"),"",LEFT($E477,4)&amp;MID($E477,6,2)&amp;RIGHT($E477,2)&amp;"|"&amp;RIGHT("00000"&amp;472,5))</f>
        <v/>
      </c>
      <c r="M477" t="str">
        <f>IF(Sync!$M477&lt;&gt;"پاس چک","",IF(Sync!$P477="","",Sync!$P477))</f>
        <v/>
      </c>
      <c r="N477" t="str">
        <f>IF($M477="","",IF(ISNUMBER(Sync!$L477),IF(AND(Sync!$L477&gt;=10000101,Sync!$L477&lt;=99991231),RIGHT("0000"&amp;INT(Sync!$L477/10000),4)&amp;"/"&amp;RIGHT("00"&amp;INT(MOD(Sync!$L477,10000)/100),2)&amp;"/"&amp;RIGHT("00"&amp;MOD(Sync!$L477,100),2),""),IFERROR(RIGHT("0000"&amp;VALUE(TRIM(LEFT(Sync!$L477,FIND("/",Sync!$L477)-1))),4)&amp;"/"&amp;RIGHT("00"&amp;VALUE(TRIM(LEFT(MID(Sync!$L477,FIND("/",Sync!$L477)+1,20),FIND("/",MID(Sync!$L477,FIND("/",Sync!$L477)+1,20))-1))),2)&amp;"/"&amp;RIGHT("00"&amp;VALUE(TRIM(MID(MID(Sync!$L477,FIND("/",Sync!$L477)+1,20),FIND("/",MID(Sync!$L477,FIND("/",Sync!$L477)+1,20))+1,20))),2),"")))</f>
        <v/>
      </c>
    </row>
    <row r="478" spans="1:14" x14ac:dyDescent="0.2">
      <c r="A478" t="str">
        <f>IF(Issues!$B481="","",Issues!$B481)</f>
        <v/>
      </c>
      <c r="B478" t="str">
        <f>IF($A478="","",IF(ISNUMBER(Issues!$C481),IF(AND(Issues!$C481&gt;=10000101,Issues!$C481&lt;=99991231),INT(Issues!$C481/10000),""),IFERROR(VALUE(TRIM(LEFT(Issues!$C481,FIND("/",Issues!$C481)-1))),"")))</f>
        <v/>
      </c>
      <c r="C478" t="str">
        <f>IF(OR($A478="",$B478=""),"",IF(ISNUMBER(Issues!$C481),INT(MOD(Issues!$C481,10000)/100),IFERROR(VALUE(TRIM(LEFT(MID(Issues!$C481,FIND("/",Issues!$C481)+1,20),FIND("/",MID(Issues!$C481,FIND("/",Issues!$C481)+1,20))-1))),"")))</f>
        <v/>
      </c>
      <c r="D478" t="str">
        <f>IF(OR($A478="",$B478=""),"",IF(ISNUMBER(Issues!$C481),MOD(Issues!$C481,100),IFERROR(VALUE(TRIM(MID(MID(Issues!$C481,FIND("/",Issues!$C481)+1,20),FIND("/",MID(Issues!$C481,FIND("/",Issues!$C481)+1,20))+1,20))),"")))</f>
        <v/>
      </c>
      <c r="E478" t="str">
        <f t="shared" si="21"/>
        <v/>
      </c>
      <c r="F478" t="str">
        <f>IF($A478="","",IF(Issues!$D481="",0,Issues!$D481))</f>
        <v/>
      </c>
      <c r="G478" t="str">
        <f>IF($A478="","",Issues!$E481)</f>
        <v/>
      </c>
      <c r="H478" t="str">
        <f t="shared" si="22"/>
        <v/>
      </c>
      <c r="I478" t="str">
        <f t="shared" si="23"/>
        <v/>
      </c>
      <c r="J478" t="str">
        <f>IF($A478="","",Issues!$G481)</f>
        <v/>
      </c>
      <c r="K478" t="str">
        <f>IF(OR($E478="",$E478="نامعتبر"),"",LEFT($E478,4)&amp;MID($E478,6,2)&amp;RIGHT($E478,2)&amp;"|"&amp;RIGHT("00000"&amp;473,5))</f>
        <v/>
      </c>
      <c r="M478" t="str">
        <f>IF(Sync!$M478&lt;&gt;"پاس چک","",IF(Sync!$P478="","",Sync!$P478))</f>
        <v/>
      </c>
      <c r="N478" t="str">
        <f>IF($M478="","",IF(ISNUMBER(Sync!$L478),IF(AND(Sync!$L478&gt;=10000101,Sync!$L478&lt;=99991231),RIGHT("0000"&amp;INT(Sync!$L478/10000),4)&amp;"/"&amp;RIGHT("00"&amp;INT(MOD(Sync!$L478,10000)/100),2)&amp;"/"&amp;RIGHT("00"&amp;MOD(Sync!$L478,100),2),""),IFERROR(RIGHT("0000"&amp;VALUE(TRIM(LEFT(Sync!$L478,FIND("/",Sync!$L478)-1))),4)&amp;"/"&amp;RIGHT("00"&amp;VALUE(TRIM(LEFT(MID(Sync!$L478,FIND("/",Sync!$L478)+1,20),FIND("/",MID(Sync!$L478,FIND("/",Sync!$L478)+1,20))-1))),2)&amp;"/"&amp;RIGHT("00"&amp;VALUE(TRIM(MID(MID(Sync!$L478,FIND("/",Sync!$L478)+1,20),FIND("/",MID(Sync!$L478,FIND("/",Sync!$L478)+1,20))+1,20))),2),"")))</f>
        <v/>
      </c>
    </row>
    <row r="479" spans="1:14" x14ac:dyDescent="0.2">
      <c r="A479" t="str">
        <f>IF(Issues!$B482="","",Issues!$B482)</f>
        <v/>
      </c>
      <c r="B479" t="str">
        <f>IF($A479="","",IF(ISNUMBER(Issues!$C482),IF(AND(Issues!$C482&gt;=10000101,Issues!$C482&lt;=99991231),INT(Issues!$C482/10000),""),IFERROR(VALUE(TRIM(LEFT(Issues!$C482,FIND("/",Issues!$C482)-1))),"")))</f>
        <v/>
      </c>
      <c r="C479" t="str">
        <f>IF(OR($A479="",$B479=""),"",IF(ISNUMBER(Issues!$C482),INT(MOD(Issues!$C482,10000)/100),IFERROR(VALUE(TRIM(LEFT(MID(Issues!$C482,FIND("/",Issues!$C482)+1,20),FIND("/",MID(Issues!$C482,FIND("/",Issues!$C482)+1,20))-1))),"")))</f>
        <v/>
      </c>
      <c r="D479" t="str">
        <f>IF(OR($A479="",$B479=""),"",IF(ISNUMBER(Issues!$C482),MOD(Issues!$C482,100),IFERROR(VALUE(TRIM(MID(MID(Issues!$C482,FIND("/",Issues!$C482)+1,20),FIND("/",MID(Issues!$C482,FIND("/",Issues!$C482)+1,20))+1,20))),"")))</f>
        <v/>
      </c>
      <c r="E479" t="str">
        <f t="shared" si="21"/>
        <v/>
      </c>
      <c r="F479" t="str">
        <f>IF($A479="","",IF(Issues!$D482="",0,Issues!$D482))</f>
        <v/>
      </c>
      <c r="G479" t="str">
        <f>IF($A479="","",Issues!$E482)</f>
        <v/>
      </c>
      <c r="H479" t="str">
        <f t="shared" si="22"/>
        <v/>
      </c>
      <c r="I479" t="str">
        <f t="shared" si="23"/>
        <v/>
      </c>
      <c r="J479" t="str">
        <f>IF($A479="","",Issues!$G482)</f>
        <v/>
      </c>
      <c r="K479" t="str">
        <f>IF(OR($E479="",$E479="نامعتبر"),"",LEFT($E479,4)&amp;MID($E479,6,2)&amp;RIGHT($E479,2)&amp;"|"&amp;RIGHT("00000"&amp;474,5))</f>
        <v/>
      </c>
      <c r="M479" t="str">
        <f>IF(Sync!$M479&lt;&gt;"پاس چک","",IF(Sync!$P479="","",Sync!$P479))</f>
        <v/>
      </c>
      <c r="N479" t="str">
        <f>IF($M479="","",IF(ISNUMBER(Sync!$L479),IF(AND(Sync!$L479&gt;=10000101,Sync!$L479&lt;=99991231),RIGHT("0000"&amp;INT(Sync!$L479/10000),4)&amp;"/"&amp;RIGHT("00"&amp;INT(MOD(Sync!$L479,10000)/100),2)&amp;"/"&amp;RIGHT("00"&amp;MOD(Sync!$L479,100),2),""),IFERROR(RIGHT("0000"&amp;VALUE(TRIM(LEFT(Sync!$L479,FIND("/",Sync!$L479)-1))),4)&amp;"/"&amp;RIGHT("00"&amp;VALUE(TRIM(LEFT(MID(Sync!$L479,FIND("/",Sync!$L479)+1,20),FIND("/",MID(Sync!$L479,FIND("/",Sync!$L479)+1,20))-1))),2)&amp;"/"&amp;RIGHT("00"&amp;VALUE(TRIM(MID(MID(Sync!$L479,FIND("/",Sync!$L479)+1,20),FIND("/",MID(Sync!$L479,FIND("/",Sync!$L479)+1,20))+1,20))),2),"")))</f>
        <v/>
      </c>
    </row>
    <row r="480" spans="1:14" x14ac:dyDescent="0.2">
      <c r="A480" t="str">
        <f>IF(Issues!$B483="","",Issues!$B483)</f>
        <v/>
      </c>
      <c r="B480" t="str">
        <f>IF($A480="","",IF(ISNUMBER(Issues!$C483),IF(AND(Issues!$C483&gt;=10000101,Issues!$C483&lt;=99991231),INT(Issues!$C483/10000),""),IFERROR(VALUE(TRIM(LEFT(Issues!$C483,FIND("/",Issues!$C483)-1))),"")))</f>
        <v/>
      </c>
      <c r="C480" t="str">
        <f>IF(OR($A480="",$B480=""),"",IF(ISNUMBER(Issues!$C483),INT(MOD(Issues!$C483,10000)/100),IFERROR(VALUE(TRIM(LEFT(MID(Issues!$C483,FIND("/",Issues!$C483)+1,20),FIND("/",MID(Issues!$C483,FIND("/",Issues!$C483)+1,20))-1))),"")))</f>
        <v/>
      </c>
      <c r="D480" t="str">
        <f>IF(OR($A480="",$B480=""),"",IF(ISNUMBER(Issues!$C483),MOD(Issues!$C483,100),IFERROR(VALUE(TRIM(MID(MID(Issues!$C483,FIND("/",Issues!$C483)+1,20),FIND("/",MID(Issues!$C483,FIND("/",Issues!$C483)+1,20))+1,20))),"")))</f>
        <v/>
      </c>
      <c r="E480" t="str">
        <f t="shared" si="21"/>
        <v/>
      </c>
      <c r="F480" t="str">
        <f>IF($A480="","",IF(Issues!$D483="",0,Issues!$D483))</f>
        <v/>
      </c>
      <c r="G480" t="str">
        <f>IF($A480="","",Issues!$E483)</f>
        <v/>
      </c>
      <c r="H480" t="str">
        <f t="shared" si="22"/>
        <v/>
      </c>
      <c r="I480" t="str">
        <f t="shared" si="23"/>
        <v/>
      </c>
      <c r="J480" t="str">
        <f>IF($A480="","",Issues!$G483)</f>
        <v/>
      </c>
      <c r="K480" t="str">
        <f>IF(OR($E480="",$E480="نامعتبر"),"",LEFT($E480,4)&amp;MID($E480,6,2)&amp;RIGHT($E480,2)&amp;"|"&amp;RIGHT("00000"&amp;475,5))</f>
        <v/>
      </c>
      <c r="M480" t="str">
        <f>IF(Sync!$M480&lt;&gt;"پاس چک","",IF(Sync!$P480="","",Sync!$P480))</f>
        <v/>
      </c>
      <c r="N480" t="str">
        <f>IF($M480="","",IF(ISNUMBER(Sync!$L480),IF(AND(Sync!$L480&gt;=10000101,Sync!$L480&lt;=99991231),RIGHT("0000"&amp;INT(Sync!$L480/10000),4)&amp;"/"&amp;RIGHT("00"&amp;INT(MOD(Sync!$L480,10000)/100),2)&amp;"/"&amp;RIGHT("00"&amp;MOD(Sync!$L480,100),2),""),IFERROR(RIGHT("0000"&amp;VALUE(TRIM(LEFT(Sync!$L480,FIND("/",Sync!$L480)-1))),4)&amp;"/"&amp;RIGHT("00"&amp;VALUE(TRIM(LEFT(MID(Sync!$L480,FIND("/",Sync!$L480)+1,20),FIND("/",MID(Sync!$L480,FIND("/",Sync!$L480)+1,20))-1))),2)&amp;"/"&amp;RIGHT("00"&amp;VALUE(TRIM(MID(MID(Sync!$L480,FIND("/",Sync!$L480)+1,20),FIND("/",MID(Sync!$L480,FIND("/",Sync!$L480)+1,20))+1,20))),2),"")))</f>
        <v/>
      </c>
    </row>
    <row r="481" spans="1:14" x14ac:dyDescent="0.2">
      <c r="A481" t="str">
        <f>IF(Issues!$B484="","",Issues!$B484)</f>
        <v/>
      </c>
      <c r="B481" t="str">
        <f>IF($A481="","",IF(ISNUMBER(Issues!$C484),IF(AND(Issues!$C484&gt;=10000101,Issues!$C484&lt;=99991231),INT(Issues!$C484/10000),""),IFERROR(VALUE(TRIM(LEFT(Issues!$C484,FIND("/",Issues!$C484)-1))),"")))</f>
        <v/>
      </c>
      <c r="C481" t="str">
        <f>IF(OR($A481="",$B481=""),"",IF(ISNUMBER(Issues!$C484),INT(MOD(Issues!$C484,10000)/100),IFERROR(VALUE(TRIM(LEFT(MID(Issues!$C484,FIND("/",Issues!$C484)+1,20),FIND("/",MID(Issues!$C484,FIND("/",Issues!$C484)+1,20))-1))),"")))</f>
        <v/>
      </c>
      <c r="D481" t="str">
        <f>IF(OR($A481="",$B481=""),"",IF(ISNUMBER(Issues!$C484),MOD(Issues!$C484,100),IFERROR(VALUE(TRIM(MID(MID(Issues!$C484,FIND("/",Issues!$C484)+1,20),FIND("/",MID(Issues!$C484,FIND("/",Issues!$C484)+1,20))+1,20))),"")))</f>
        <v/>
      </c>
      <c r="E481" t="str">
        <f t="shared" si="21"/>
        <v/>
      </c>
      <c r="F481" t="str">
        <f>IF($A481="","",IF(Issues!$D484="",0,Issues!$D484))</f>
        <v/>
      </c>
      <c r="G481" t="str">
        <f>IF($A481="","",Issues!$E484)</f>
        <v/>
      </c>
      <c r="H481" t="str">
        <f t="shared" si="22"/>
        <v/>
      </c>
      <c r="I481" t="str">
        <f t="shared" si="23"/>
        <v/>
      </c>
      <c r="J481" t="str">
        <f>IF($A481="","",Issues!$G484)</f>
        <v/>
      </c>
      <c r="K481" t="str">
        <f>IF(OR($E481="",$E481="نامعتبر"),"",LEFT($E481,4)&amp;MID($E481,6,2)&amp;RIGHT($E481,2)&amp;"|"&amp;RIGHT("00000"&amp;476,5))</f>
        <v/>
      </c>
      <c r="M481" t="str">
        <f>IF(Sync!$M481&lt;&gt;"پاس چک","",IF(Sync!$P481="","",Sync!$P481))</f>
        <v/>
      </c>
      <c r="N481" t="str">
        <f>IF($M481="","",IF(ISNUMBER(Sync!$L481),IF(AND(Sync!$L481&gt;=10000101,Sync!$L481&lt;=99991231),RIGHT("0000"&amp;INT(Sync!$L481/10000),4)&amp;"/"&amp;RIGHT("00"&amp;INT(MOD(Sync!$L481,10000)/100),2)&amp;"/"&amp;RIGHT("00"&amp;MOD(Sync!$L481,100),2),""),IFERROR(RIGHT("0000"&amp;VALUE(TRIM(LEFT(Sync!$L481,FIND("/",Sync!$L481)-1))),4)&amp;"/"&amp;RIGHT("00"&amp;VALUE(TRIM(LEFT(MID(Sync!$L481,FIND("/",Sync!$L481)+1,20),FIND("/",MID(Sync!$L481,FIND("/",Sync!$L481)+1,20))-1))),2)&amp;"/"&amp;RIGHT("00"&amp;VALUE(TRIM(MID(MID(Sync!$L481,FIND("/",Sync!$L481)+1,20),FIND("/",MID(Sync!$L481,FIND("/",Sync!$L481)+1,20))+1,20))),2),"")))</f>
        <v/>
      </c>
    </row>
    <row r="482" spans="1:14" x14ac:dyDescent="0.2">
      <c r="A482" t="str">
        <f>IF(Issues!$B485="","",Issues!$B485)</f>
        <v/>
      </c>
      <c r="B482" t="str">
        <f>IF($A482="","",IF(ISNUMBER(Issues!$C485),IF(AND(Issues!$C485&gt;=10000101,Issues!$C485&lt;=99991231),INT(Issues!$C485/10000),""),IFERROR(VALUE(TRIM(LEFT(Issues!$C485,FIND("/",Issues!$C485)-1))),"")))</f>
        <v/>
      </c>
      <c r="C482" t="str">
        <f>IF(OR($A482="",$B482=""),"",IF(ISNUMBER(Issues!$C485),INT(MOD(Issues!$C485,10000)/100),IFERROR(VALUE(TRIM(LEFT(MID(Issues!$C485,FIND("/",Issues!$C485)+1,20),FIND("/",MID(Issues!$C485,FIND("/",Issues!$C485)+1,20))-1))),"")))</f>
        <v/>
      </c>
      <c r="D482" t="str">
        <f>IF(OR($A482="",$B482=""),"",IF(ISNUMBER(Issues!$C485),MOD(Issues!$C485,100),IFERROR(VALUE(TRIM(MID(MID(Issues!$C485,FIND("/",Issues!$C485)+1,20),FIND("/",MID(Issues!$C485,FIND("/",Issues!$C485)+1,20))+1,20))),"")))</f>
        <v/>
      </c>
      <c r="E482" t="str">
        <f t="shared" si="21"/>
        <v/>
      </c>
      <c r="F482" t="str">
        <f>IF($A482="","",IF(Issues!$D485="",0,Issues!$D485))</f>
        <v/>
      </c>
      <c r="G482" t="str">
        <f>IF($A482="","",Issues!$E485)</f>
        <v/>
      </c>
      <c r="H482" t="str">
        <f t="shared" si="22"/>
        <v/>
      </c>
      <c r="I482" t="str">
        <f t="shared" si="23"/>
        <v/>
      </c>
      <c r="J482" t="str">
        <f>IF($A482="","",Issues!$G485)</f>
        <v/>
      </c>
      <c r="K482" t="str">
        <f>IF(OR($E482="",$E482="نامعتبر"),"",LEFT($E482,4)&amp;MID($E482,6,2)&amp;RIGHT($E482,2)&amp;"|"&amp;RIGHT("00000"&amp;477,5))</f>
        <v/>
      </c>
      <c r="M482" t="str">
        <f>IF(Sync!$M482&lt;&gt;"پاس چک","",IF(Sync!$P482="","",Sync!$P482))</f>
        <v/>
      </c>
      <c r="N482" t="str">
        <f>IF($M482="","",IF(ISNUMBER(Sync!$L482),IF(AND(Sync!$L482&gt;=10000101,Sync!$L482&lt;=99991231),RIGHT("0000"&amp;INT(Sync!$L482/10000),4)&amp;"/"&amp;RIGHT("00"&amp;INT(MOD(Sync!$L482,10000)/100),2)&amp;"/"&amp;RIGHT("00"&amp;MOD(Sync!$L482,100),2),""),IFERROR(RIGHT("0000"&amp;VALUE(TRIM(LEFT(Sync!$L482,FIND("/",Sync!$L482)-1))),4)&amp;"/"&amp;RIGHT("00"&amp;VALUE(TRIM(LEFT(MID(Sync!$L482,FIND("/",Sync!$L482)+1,20),FIND("/",MID(Sync!$L482,FIND("/",Sync!$L482)+1,20))-1))),2)&amp;"/"&amp;RIGHT("00"&amp;VALUE(TRIM(MID(MID(Sync!$L482,FIND("/",Sync!$L482)+1,20),FIND("/",MID(Sync!$L482,FIND("/",Sync!$L482)+1,20))+1,20))),2),"")))</f>
        <v/>
      </c>
    </row>
    <row r="483" spans="1:14" x14ac:dyDescent="0.2">
      <c r="A483" t="str">
        <f>IF(Issues!$B486="","",Issues!$B486)</f>
        <v/>
      </c>
      <c r="B483" t="str">
        <f>IF($A483="","",IF(ISNUMBER(Issues!$C486),IF(AND(Issues!$C486&gt;=10000101,Issues!$C486&lt;=99991231),INT(Issues!$C486/10000),""),IFERROR(VALUE(TRIM(LEFT(Issues!$C486,FIND("/",Issues!$C486)-1))),"")))</f>
        <v/>
      </c>
      <c r="C483" t="str">
        <f>IF(OR($A483="",$B483=""),"",IF(ISNUMBER(Issues!$C486),INT(MOD(Issues!$C486,10000)/100),IFERROR(VALUE(TRIM(LEFT(MID(Issues!$C486,FIND("/",Issues!$C486)+1,20),FIND("/",MID(Issues!$C486,FIND("/",Issues!$C486)+1,20))-1))),"")))</f>
        <v/>
      </c>
      <c r="D483" t="str">
        <f>IF(OR($A483="",$B483=""),"",IF(ISNUMBER(Issues!$C486),MOD(Issues!$C486,100),IFERROR(VALUE(TRIM(MID(MID(Issues!$C486,FIND("/",Issues!$C486)+1,20),FIND("/",MID(Issues!$C486,FIND("/",Issues!$C486)+1,20))+1,20))),"")))</f>
        <v/>
      </c>
      <c r="E483" t="str">
        <f t="shared" si="21"/>
        <v/>
      </c>
      <c r="F483" t="str">
        <f>IF($A483="","",IF(Issues!$D486="",0,Issues!$D486))</f>
        <v/>
      </c>
      <c r="G483" t="str">
        <f>IF($A483="","",Issues!$E486)</f>
        <v/>
      </c>
      <c r="H483" t="str">
        <f t="shared" si="22"/>
        <v/>
      </c>
      <c r="I483" t="str">
        <f t="shared" si="23"/>
        <v/>
      </c>
      <c r="J483" t="str">
        <f>IF($A483="","",Issues!$G486)</f>
        <v/>
      </c>
      <c r="K483" t="str">
        <f>IF(OR($E483="",$E483="نامعتبر"),"",LEFT($E483,4)&amp;MID($E483,6,2)&amp;RIGHT($E483,2)&amp;"|"&amp;RIGHT("00000"&amp;478,5))</f>
        <v/>
      </c>
      <c r="M483" t="str">
        <f>IF(Sync!$M483&lt;&gt;"پاس چک","",IF(Sync!$P483="","",Sync!$P483))</f>
        <v/>
      </c>
      <c r="N483" t="str">
        <f>IF($M483="","",IF(ISNUMBER(Sync!$L483),IF(AND(Sync!$L483&gt;=10000101,Sync!$L483&lt;=99991231),RIGHT("0000"&amp;INT(Sync!$L483/10000),4)&amp;"/"&amp;RIGHT("00"&amp;INT(MOD(Sync!$L483,10000)/100),2)&amp;"/"&amp;RIGHT("00"&amp;MOD(Sync!$L483,100),2),""),IFERROR(RIGHT("0000"&amp;VALUE(TRIM(LEFT(Sync!$L483,FIND("/",Sync!$L483)-1))),4)&amp;"/"&amp;RIGHT("00"&amp;VALUE(TRIM(LEFT(MID(Sync!$L483,FIND("/",Sync!$L483)+1,20),FIND("/",MID(Sync!$L483,FIND("/",Sync!$L483)+1,20))-1))),2)&amp;"/"&amp;RIGHT("00"&amp;VALUE(TRIM(MID(MID(Sync!$L483,FIND("/",Sync!$L483)+1,20),FIND("/",MID(Sync!$L483,FIND("/",Sync!$L483)+1,20))+1,20))),2),"")))</f>
        <v/>
      </c>
    </row>
    <row r="484" spans="1:14" x14ac:dyDescent="0.2">
      <c r="A484" t="str">
        <f>IF(Issues!$B487="","",Issues!$B487)</f>
        <v/>
      </c>
      <c r="B484" t="str">
        <f>IF($A484="","",IF(ISNUMBER(Issues!$C487),IF(AND(Issues!$C487&gt;=10000101,Issues!$C487&lt;=99991231),INT(Issues!$C487/10000),""),IFERROR(VALUE(TRIM(LEFT(Issues!$C487,FIND("/",Issues!$C487)-1))),"")))</f>
        <v/>
      </c>
      <c r="C484" t="str">
        <f>IF(OR($A484="",$B484=""),"",IF(ISNUMBER(Issues!$C487),INT(MOD(Issues!$C487,10000)/100),IFERROR(VALUE(TRIM(LEFT(MID(Issues!$C487,FIND("/",Issues!$C487)+1,20),FIND("/",MID(Issues!$C487,FIND("/",Issues!$C487)+1,20))-1))),"")))</f>
        <v/>
      </c>
      <c r="D484" t="str">
        <f>IF(OR($A484="",$B484=""),"",IF(ISNUMBER(Issues!$C487),MOD(Issues!$C487,100),IFERROR(VALUE(TRIM(MID(MID(Issues!$C487,FIND("/",Issues!$C487)+1,20),FIND("/",MID(Issues!$C487,FIND("/",Issues!$C487)+1,20))+1,20))),"")))</f>
        <v/>
      </c>
      <c r="E484" t="str">
        <f t="shared" si="21"/>
        <v/>
      </c>
      <c r="F484" t="str">
        <f>IF($A484="","",IF(Issues!$D487="",0,Issues!$D487))</f>
        <v/>
      </c>
      <c r="G484" t="str">
        <f>IF($A484="","",Issues!$E487)</f>
        <v/>
      </c>
      <c r="H484" t="str">
        <f t="shared" si="22"/>
        <v/>
      </c>
      <c r="I484" t="str">
        <f t="shared" si="23"/>
        <v/>
      </c>
      <c r="J484" t="str">
        <f>IF($A484="","",Issues!$G487)</f>
        <v/>
      </c>
      <c r="K484" t="str">
        <f>IF(OR($E484="",$E484="نامعتبر"),"",LEFT($E484,4)&amp;MID($E484,6,2)&amp;RIGHT($E484,2)&amp;"|"&amp;RIGHT("00000"&amp;479,5))</f>
        <v/>
      </c>
      <c r="M484" t="str">
        <f>IF(Sync!$M484&lt;&gt;"پاس چک","",IF(Sync!$P484="","",Sync!$P484))</f>
        <v/>
      </c>
      <c r="N484" t="str">
        <f>IF($M484="","",IF(ISNUMBER(Sync!$L484),IF(AND(Sync!$L484&gt;=10000101,Sync!$L484&lt;=99991231),RIGHT("0000"&amp;INT(Sync!$L484/10000),4)&amp;"/"&amp;RIGHT("00"&amp;INT(MOD(Sync!$L484,10000)/100),2)&amp;"/"&amp;RIGHT("00"&amp;MOD(Sync!$L484,100),2),""),IFERROR(RIGHT("0000"&amp;VALUE(TRIM(LEFT(Sync!$L484,FIND("/",Sync!$L484)-1))),4)&amp;"/"&amp;RIGHT("00"&amp;VALUE(TRIM(LEFT(MID(Sync!$L484,FIND("/",Sync!$L484)+1,20),FIND("/",MID(Sync!$L484,FIND("/",Sync!$L484)+1,20))-1))),2)&amp;"/"&amp;RIGHT("00"&amp;VALUE(TRIM(MID(MID(Sync!$L484,FIND("/",Sync!$L484)+1,20),FIND("/",MID(Sync!$L484,FIND("/",Sync!$L484)+1,20))+1,20))),2),"")))</f>
        <v/>
      </c>
    </row>
    <row r="485" spans="1:14" x14ac:dyDescent="0.2">
      <c r="A485" t="str">
        <f>IF(Issues!$B488="","",Issues!$B488)</f>
        <v/>
      </c>
      <c r="B485" t="str">
        <f>IF($A485="","",IF(ISNUMBER(Issues!$C488),IF(AND(Issues!$C488&gt;=10000101,Issues!$C488&lt;=99991231),INT(Issues!$C488/10000),""),IFERROR(VALUE(TRIM(LEFT(Issues!$C488,FIND("/",Issues!$C488)-1))),"")))</f>
        <v/>
      </c>
      <c r="C485" t="str">
        <f>IF(OR($A485="",$B485=""),"",IF(ISNUMBER(Issues!$C488),INT(MOD(Issues!$C488,10000)/100),IFERROR(VALUE(TRIM(LEFT(MID(Issues!$C488,FIND("/",Issues!$C488)+1,20),FIND("/",MID(Issues!$C488,FIND("/",Issues!$C488)+1,20))-1))),"")))</f>
        <v/>
      </c>
      <c r="D485" t="str">
        <f>IF(OR($A485="",$B485=""),"",IF(ISNUMBER(Issues!$C488),MOD(Issues!$C488,100),IFERROR(VALUE(TRIM(MID(MID(Issues!$C488,FIND("/",Issues!$C488)+1,20),FIND("/",MID(Issues!$C488,FIND("/",Issues!$C488)+1,20))+1,20))),"")))</f>
        <v/>
      </c>
      <c r="E485" t="str">
        <f t="shared" si="21"/>
        <v/>
      </c>
      <c r="F485" t="str">
        <f>IF($A485="","",IF(Issues!$D488="",0,Issues!$D488))</f>
        <v/>
      </c>
      <c r="G485" t="str">
        <f>IF($A485="","",Issues!$E488)</f>
        <v/>
      </c>
      <c r="H485" t="str">
        <f t="shared" si="22"/>
        <v/>
      </c>
      <c r="I485" t="str">
        <f t="shared" si="23"/>
        <v/>
      </c>
      <c r="J485" t="str">
        <f>IF($A485="","",Issues!$G488)</f>
        <v/>
      </c>
      <c r="K485" t="str">
        <f>IF(OR($E485="",$E485="نامعتبر"),"",LEFT($E485,4)&amp;MID($E485,6,2)&amp;RIGHT($E485,2)&amp;"|"&amp;RIGHT("00000"&amp;480,5))</f>
        <v/>
      </c>
      <c r="M485" t="str">
        <f>IF(Sync!$M485&lt;&gt;"پاس چک","",IF(Sync!$P485="","",Sync!$P485))</f>
        <v/>
      </c>
      <c r="N485" t="str">
        <f>IF($M485="","",IF(ISNUMBER(Sync!$L485),IF(AND(Sync!$L485&gt;=10000101,Sync!$L485&lt;=99991231),RIGHT("0000"&amp;INT(Sync!$L485/10000),4)&amp;"/"&amp;RIGHT("00"&amp;INT(MOD(Sync!$L485,10000)/100),2)&amp;"/"&amp;RIGHT("00"&amp;MOD(Sync!$L485,100),2),""),IFERROR(RIGHT("0000"&amp;VALUE(TRIM(LEFT(Sync!$L485,FIND("/",Sync!$L485)-1))),4)&amp;"/"&amp;RIGHT("00"&amp;VALUE(TRIM(LEFT(MID(Sync!$L485,FIND("/",Sync!$L485)+1,20),FIND("/",MID(Sync!$L485,FIND("/",Sync!$L485)+1,20))-1))),2)&amp;"/"&amp;RIGHT("00"&amp;VALUE(TRIM(MID(MID(Sync!$L485,FIND("/",Sync!$L485)+1,20),FIND("/",MID(Sync!$L485,FIND("/",Sync!$L485)+1,20))+1,20))),2),"")))</f>
        <v/>
      </c>
    </row>
    <row r="486" spans="1:14" x14ac:dyDescent="0.2">
      <c r="A486" t="str">
        <f>IF(Issues!$B489="","",Issues!$B489)</f>
        <v/>
      </c>
      <c r="B486" t="str">
        <f>IF($A486="","",IF(ISNUMBER(Issues!$C489),IF(AND(Issues!$C489&gt;=10000101,Issues!$C489&lt;=99991231),INT(Issues!$C489/10000),""),IFERROR(VALUE(TRIM(LEFT(Issues!$C489,FIND("/",Issues!$C489)-1))),"")))</f>
        <v/>
      </c>
      <c r="C486" t="str">
        <f>IF(OR($A486="",$B486=""),"",IF(ISNUMBER(Issues!$C489),INT(MOD(Issues!$C489,10000)/100),IFERROR(VALUE(TRIM(LEFT(MID(Issues!$C489,FIND("/",Issues!$C489)+1,20),FIND("/",MID(Issues!$C489,FIND("/",Issues!$C489)+1,20))-1))),"")))</f>
        <v/>
      </c>
      <c r="D486" t="str">
        <f>IF(OR($A486="",$B486=""),"",IF(ISNUMBER(Issues!$C489),MOD(Issues!$C489,100),IFERROR(VALUE(TRIM(MID(MID(Issues!$C489,FIND("/",Issues!$C489)+1,20),FIND("/",MID(Issues!$C489,FIND("/",Issues!$C489)+1,20))+1,20))),"")))</f>
        <v/>
      </c>
      <c r="E486" t="str">
        <f t="shared" si="21"/>
        <v/>
      </c>
      <c r="F486" t="str">
        <f>IF($A486="","",IF(Issues!$D489="",0,Issues!$D489))</f>
        <v/>
      </c>
      <c r="G486" t="str">
        <f>IF($A486="","",Issues!$E489)</f>
        <v/>
      </c>
      <c r="H486" t="str">
        <f t="shared" si="22"/>
        <v/>
      </c>
      <c r="I486" t="str">
        <f t="shared" si="23"/>
        <v/>
      </c>
      <c r="J486" t="str">
        <f>IF($A486="","",Issues!$G489)</f>
        <v/>
      </c>
      <c r="K486" t="str">
        <f>IF(OR($E486="",$E486="نامعتبر"),"",LEFT($E486,4)&amp;MID($E486,6,2)&amp;RIGHT($E486,2)&amp;"|"&amp;RIGHT("00000"&amp;481,5))</f>
        <v/>
      </c>
      <c r="M486" t="str">
        <f>IF(Sync!$M486&lt;&gt;"پاس چک","",IF(Sync!$P486="","",Sync!$P486))</f>
        <v/>
      </c>
      <c r="N486" t="str">
        <f>IF($M486="","",IF(ISNUMBER(Sync!$L486),IF(AND(Sync!$L486&gt;=10000101,Sync!$L486&lt;=99991231),RIGHT("0000"&amp;INT(Sync!$L486/10000),4)&amp;"/"&amp;RIGHT("00"&amp;INT(MOD(Sync!$L486,10000)/100),2)&amp;"/"&amp;RIGHT("00"&amp;MOD(Sync!$L486,100),2),""),IFERROR(RIGHT("0000"&amp;VALUE(TRIM(LEFT(Sync!$L486,FIND("/",Sync!$L486)-1))),4)&amp;"/"&amp;RIGHT("00"&amp;VALUE(TRIM(LEFT(MID(Sync!$L486,FIND("/",Sync!$L486)+1,20),FIND("/",MID(Sync!$L486,FIND("/",Sync!$L486)+1,20))-1))),2)&amp;"/"&amp;RIGHT("00"&amp;VALUE(TRIM(MID(MID(Sync!$L486,FIND("/",Sync!$L486)+1,20),FIND("/",MID(Sync!$L486,FIND("/",Sync!$L486)+1,20))+1,20))),2),"")))</f>
        <v/>
      </c>
    </row>
    <row r="487" spans="1:14" x14ac:dyDescent="0.2">
      <c r="A487" t="str">
        <f>IF(Issues!$B490="","",Issues!$B490)</f>
        <v/>
      </c>
      <c r="B487" t="str">
        <f>IF($A487="","",IF(ISNUMBER(Issues!$C490),IF(AND(Issues!$C490&gt;=10000101,Issues!$C490&lt;=99991231),INT(Issues!$C490/10000),""),IFERROR(VALUE(TRIM(LEFT(Issues!$C490,FIND("/",Issues!$C490)-1))),"")))</f>
        <v/>
      </c>
      <c r="C487" t="str">
        <f>IF(OR($A487="",$B487=""),"",IF(ISNUMBER(Issues!$C490),INT(MOD(Issues!$C490,10000)/100),IFERROR(VALUE(TRIM(LEFT(MID(Issues!$C490,FIND("/",Issues!$C490)+1,20),FIND("/",MID(Issues!$C490,FIND("/",Issues!$C490)+1,20))-1))),"")))</f>
        <v/>
      </c>
      <c r="D487" t="str">
        <f>IF(OR($A487="",$B487=""),"",IF(ISNUMBER(Issues!$C490),MOD(Issues!$C490,100),IFERROR(VALUE(TRIM(MID(MID(Issues!$C490,FIND("/",Issues!$C490)+1,20),FIND("/",MID(Issues!$C490,FIND("/",Issues!$C490)+1,20))+1,20))),"")))</f>
        <v/>
      </c>
      <c r="E487" t="str">
        <f t="shared" si="21"/>
        <v/>
      </c>
      <c r="F487" t="str">
        <f>IF($A487="","",IF(Issues!$D490="",0,Issues!$D490))</f>
        <v/>
      </c>
      <c r="G487" t="str">
        <f>IF($A487="","",Issues!$E490)</f>
        <v/>
      </c>
      <c r="H487" t="str">
        <f t="shared" si="22"/>
        <v/>
      </c>
      <c r="I487" t="str">
        <f t="shared" si="23"/>
        <v/>
      </c>
      <c r="J487" t="str">
        <f>IF($A487="","",Issues!$G490)</f>
        <v/>
      </c>
      <c r="K487" t="str">
        <f>IF(OR($E487="",$E487="نامعتبر"),"",LEFT($E487,4)&amp;MID($E487,6,2)&amp;RIGHT($E487,2)&amp;"|"&amp;RIGHT("00000"&amp;482,5))</f>
        <v/>
      </c>
      <c r="M487" t="str">
        <f>IF(Sync!$M487&lt;&gt;"پاس چک","",IF(Sync!$P487="","",Sync!$P487))</f>
        <v/>
      </c>
      <c r="N487" t="str">
        <f>IF($M487="","",IF(ISNUMBER(Sync!$L487),IF(AND(Sync!$L487&gt;=10000101,Sync!$L487&lt;=99991231),RIGHT("0000"&amp;INT(Sync!$L487/10000),4)&amp;"/"&amp;RIGHT("00"&amp;INT(MOD(Sync!$L487,10000)/100),2)&amp;"/"&amp;RIGHT("00"&amp;MOD(Sync!$L487,100),2),""),IFERROR(RIGHT("0000"&amp;VALUE(TRIM(LEFT(Sync!$L487,FIND("/",Sync!$L487)-1))),4)&amp;"/"&amp;RIGHT("00"&amp;VALUE(TRIM(LEFT(MID(Sync!$L487,FIND("/",Sync!$L487)+1,20),FIND("/",MID(Sync!$L487,FIND("/",Sync!$L487)+1,20))-1))),2)&amp;"/"&amp;RIGHT("00"&amp;VALUE(TRIM(MID(MID(Sync!$L487,FIND("/",Sync!$L487)+1,20),FIND("/",MID(Sync!$L487,FIND("/",Sync!$L487)+1,20))+1,20))),2),"")))</f>
        <v/>
      </c>
    </row>
    <row r="488" spans="1:14" x14ac:dyDescent="0.2">
      <c r="A488" t="str">
        <f>IF(Issues!$B491="","",Issues!$B491)</f>
        <v/>
      </c>
      <c r="B488" t="str">
        <f>IF($A488="","",IF(ISNUMBER(Issues!$C491),IF(AND(Issues!$C491&gt;=10000101,Issues!$C491&lt;=99991231),INT(Issues!$C491/10000),""),IFERROR(VALUE(TRIM(LEFT(Issues!$C491,FIND("/",Issues!$C491)-1))),"")))</f>
        <v/>
      </c>
      <c r="C488" t="str">
        <f>IF(OR($A488="",$B488=""),"",IF(ISNUMBER(Issues!$C491),INT(MOD(Issues!$C491,10000)/100),IFERROR(VALUE(TRIM(LEFT(MID(Issues!$C491,FIND("/",Issues!$C491)+1,20),FIND("/",MID(Issues!$C491,FIND("/",Issues!$C491)+1,20))-1))),"")))</f>
        <v/>
      </c>
      <c r="D488" t="str">
        <f>IF(OR($A488="",$B488=""),"",IF(ISNUMBER(Issues!$C491),MOD(Issues!$C491,100),IFERROR(VALUE(TRIM(MID(MID(Issues!$C491,FIND("/",Issues!$C491)+1,20),FIND("/",MID(Issues!$C491,FIND("/",Issues!$C491)+1,20))+1,20))),"")))</f>
        <v/>
      </c>
      <c r="E488" t="str">
        <f t="shared" si="21"/>
        <v/>
      </c>
      <c r="F488" t="str">
        <f>IF($A488="","",IF(Issues!$D491="",0,Issues!$D491))</f>
        <v/>
      </c>
      <c r="G488" t="str">
        <f>IF($A488="","",Issues!$E491)</f>
        <v/>
      </c>
      <c r="H488" t="str">
        <f t="shared" si="22"/>
        <v/>
      </c>
      <c r="I488" t="str">
        <f t="shared" si="23"/>
        <v/>
      </c>
      <c r="J488" t="str">
        <f>IF($A488="","",Issues!$G491)</f>
        <v/>
      </c>
      <c r="K488" t="str">
        <f>IF(OR($E488="",$E488="نامعتبر"),"",LEFT($E488,4)&amp;MID($E488,6,2)&amp;RIGHT($E488,2)&amp;"|"&amp;RIGHT("00000"&amp;483,5))</f>
        <v/>
      </c>
      <c r="M488" t="str">
        <f>IF(Sync!$M488&lt;&gt;"پاس چک","",IF(Sync!$P488="","",Sync!$P488))</f>
        <v/>
      </c>
      <c r="N488" t="str">
        <f>IF($M488="","",IF(ISNUMBER(Sync!$L488),IF(AND(Sync!$L488&gt;=10000101,Sync!$L488&lt;=99991231),RIGHT("0000"&amp;INT(Sync!$L488/10000),4)&amp;"/"&amp;RIGHT("00"&amp;INT(MOD(Sync!$L488,10000)/100),2)&amp;"/"&amp;RIGHT("00"&amp;MOD(Sync!$L488,100),2),""),IFERROR(RIGHT("0000"&amp;VALUE(TRIM(LEFT(Sync!$L488,FIND("/",Sync!$L488)-1))),4)&amp;"/"&amp;RIGHT("00"&amp;VALUE(TRIM(LEFT(MID(Sync!$L488,FIND("/",Sync!$L488)+1,20),FIND("/",MID(Sync!$L488,FIND("/",Sync!$L488)+1,20))-1))),2)&amp;"/"&amp;RIGHT("00"&amp;VALUE(TRIM(MID(MID(Sync!$L488,FIND("/",Sync!$L488)+1,20),FIND("/",MID(Sync!$L488,FIND("/",Sync!$L488)+1,20))+1,20))),2),"")))</f>
        <v/>
      </c>
    </row>
    <row r="489" spans="1:14" x14ac:dyDescent="0.2">
      <c r="A489" t="str">
        <f>IF(Issues!$B492="","",Issues!$B492)</f>
        <v/>
      </c>
      <c r="B489" t="str">
        <f>IF($A489="","",IF(ISNUMBER(Issues!$C492),IF(AND(Issues!$C492&gt;=10000101,Issues!$C492&lt;=99991231),INT(Issues!$C492/10000),""),IFERROR(VALUE(TRIM(LEFT(Issues!$C492,FIND("/",Issues!$C492)-1))),"")))</f>
        <v/>
      </c>
      <c r="C489" t="str">
        <f>IF(OR($A489="",$B489=""),"",IF(ISNUMBER(Issues!$C492),INT(MOD(Issues!$C492,10000)/100),IFERROR(VALUE(TRIM(LEFT(MID(Issues!$C492,FIND("/",Issues!$C492)+1,20),FIND("/",MID(Issues!$C492,FIND("/",Issues!$C492)+1,20))-1))),"")))</f>
        <v/>
      </c>
      <c r="D489" t="str">
        <f>IF(OR($A489="",$B489=""),"",IF(ISNUMBER(Issues!$C492),MOD(Issues!$C492,100),IFERROR(VALUE(TRIM(MID(MID(Issues!$C492,FIND("/",Issues!$C492)+1,20),FIND("/",MID(Issues!$C492,FIND("/",Issues!$C492)+1,20))+1,20))),"")))</f>
        <v/>
      </c>
      <c r="E489" t="str">
        <f t="shared" si="21"/>
        <v/>
      </c>
      <c r="F489" t="str">
        <f>IF($A489="","",IF(Issues!$D492="",0,Issues!$D492))</f>
        <v/>
      </c>
      <c r="G489" t="str">
        <f>IF($A489="","",Issues!$E492)</f>
        <v/>
      </c>
      <c r="H489" t="str">
        <f t="shared" si="22"/>
        <v/>
      </c>
      <c r="I489" t="str">
        <f t="shared" si="23"/>
        <v/>
      </c>
      <c r="J489" t="str">
        <f>IF($A489="","",Issues!$G492)</f>
        <v/>
      </c>
      <c r="K489" t="str">
        <f>IF(OR($E489="",$E489="نامعتبر"),"",LEFT($E489,4)&amp;MID($E489,6,2)&amp;RIGHT($E489,2)&amp;"|"&amp;RIGHT("00000"&amp;484,5))</f>
        <v/>
      </c>
      <c r="M489" t="str">
        <f>IF(Sync!$M489&lt;&gt;"پاس چک","",IF(Sync!$P489="","",Sync!$P489))</f>
        <v/>
      </c>
      <c r="N489" t="str">
        <f>IF($M489="","",IF(ISNUMBER(Sync!$L489),IF(AND(Sync!$L489&gt;=10000101,Sync!$L489&lt;=99991231),RIGHT("0000"&amp;INT(Sync!$L489/10000),4)&amp;"/"&amp;RIGHT("00"&amp;INT(MOD(Sync!$L489,10000)/100),2)&amp;"/"&amp;RIGHT("00"&amp;MOD(Sync!$L489,100),2),""),IFERROR(RIGHT("0000"&amp;VALUE(TRIM(LEFT(Sync!$L489,FIND("/",Sync!$L489)-1))),4)&amp;"/"&amp;RIGHT("00"&amp;VALUE(TRIM(LEFT(MID(Sync!$L489,FIND("/",Sync!$L489)+1,20),FIND("/",MID(Sync!$L489,FIND("/",Sync!$L489)+1,20))-1))),2)&amp;"/"&amp;RIGHT("00"&amp;VALUE(TRIM(MID(MID(Sync!$L489,FIND("/",Sync!$L489)+1,20),FIND("/",MID(Sync!$L489,FIND("/",Sync!$L489)+1,20))+1,20))),2),"")))</f>
        <v/>
      </c>
    </row>
    <row r="490" spans="1:14" x14ac:dyDescent="0.2">
      <c r="A490" t="str">
        <f>IF(Issues!$B493="","",Issues!$B493)</f>
        <v/>
      </c>
      <c r="B490" t="str">
        <f>IF($A490="","",IF(ISNUMBER(Issues!$C493),IF(AND(Issues!$C493&gt;=10000101,Issues!$C493&lt;=99991231),INT(Issues!$C493/10000),""),IFERROR(VALUE(TRIM(LEFT(Issues!$C493,FIND("/",Issues!$C493)-1))),"")))</f>
        <v/>
      </c>
      <c r="C490" t="str">
        <f>IF(OR($A490="",$B490=""),"",IF(ISNUMBER(Issues!$C493),INT(MOD(Issues!$C493,10000)/100),IFERROR(VALUE(TRIM(LEFT(MID(Issues!$C493,FIND("/",Issues!$C493)+1,20),FIND("/",MID(Issues!$C493,FIND("/",Issues!$C493)+1,20))-1))),"")))</f>
        <v/>
      </c>
      <c r="D490" t="str">
        <f>IF(OR($A490="",$B490=""),"",IF(ISNUMBER(Issues!$C493),MOD(Issues!$C493,100),IFERROR(VALUE(TRIM(MID(MID(Issues!$C493,FIND("/",Issues!$C493)+1,20),FIND("/",MID(Issues!$C493,FIND("/",Issues!$C493)+1,20))+1,20))),"")))</f>
        <v/>
      </c>
      <c r="E490" t="str">
        <f t="shared" si="21"/>
        <v/>
      </c>
      <c r="F490" t="str">
        <f>IF($A490="","",IF(Issues!$D493="",0,Issues!$D493))</f>
        <v/>
      </c>
      <c r="G490" t="str">
        <f>IF($A490="","",Issues!$E493)</f>
        <v/>
      </c>
      <c r="H490" t="str">
        <f t="shared" si="22"/>
        <v/>
      </c>
      <c r="I490" t="str">
        <f t="shared" si="23"/>
        <v/>
      </c>
      <c r="J490" t="str">
        <f>IF($A490="","",Issues!$G493)</f>
        <v/>
      </c>
      <c r="K490" t="str">
        <f>IF(OR($E490="",$E490="نامعتبر"),"",LEFT($E490,4)&amp;MID($E490,6,2)&amp;RIGHT($E490,2)&amp;"|"&amp;RIGHT("00000"&amp;485,5))</f>
        <v/>
      </c>
      <c r="M490" t="str">
        <f>IF(Sync!$M490&lt;&gt;"پاس چک","",IF(Sync!$P490="","",Sync!$P490))</f>
        <v/>
      </c>
      <c r="N490" t="str">
        <f>IF($M490="","",IF(ISNUMBER(Sync!$L490),IF(AND(Sync!$L490&gt;=10000101,Sync!$L490&lt;=99991231),RIGHT("0000"&amp;INT(Sync!$L490/10000),4)&amp;"/"&amp;RIGHT("00"&amp;INT(MOD(Sync!$L490,10000)/100),2)&amp;"/"&amp;RIGHT("00"&amp;MOD(Sync!$L490,100),2),""),IFERROR(RIGHT("0000"&amp;VALUE(TRIM(LEFT(Sync!$L490,FIND("/",Sync!$L490)-1))),4)&amp;"/"&amp;RIGHT("00"&amp;VALUE(TRIM(LEFT(MID(Sync!$L490,FIND("/",Sync!$L490)+1,20),FIND("/",MID(Sync!$L490,FIND("/",Sync!$L490)+1,20))-1))),2)&amp;"/"&amp;RIGHT("00"&amp;VALUE(TRIM(MID(MID(Sync!$L490,FIND("/",Sync!$L490)+1,20),FIND("/",MID(Sync!$L490,FIND("/",Sync!$L490)+1,20))+1,20))),2),"")))</f>
        <v/>
      </c>
    </row>
    <row r="491" spans="1:14" x14ac:dyDescent="0.2">
      <c r="A491" t="str">
        <f>IF(Issues!$B494="","",Issues!$B494)</f>
        <v/>
      </c>
      <c r="B491" t="str">
        <f>IF($A491="","",IF(ISNUMBER(Issues!$C494),IF(AND(Issues!$C494&gt;=10000101,Issues!$C494&lt;=99991231),INT(Issues!$C494/10000),""),IFERROR(VALUE(TRIM(LEFT(Issues!$C494,FIND("/",Issues!$C494)-1))),"")))</f>
        <v/>
      </c>
      <c r="C491" t="str">
        <f>IF(OR($A491="",$B491=""),"",IF(ISNUMBER(Issues!$C494),INT(MOD(Issues!$C494,10000)/100),IFERROR(VALUE(TRIM(LEFT(MID(Issues!$C494,FIND("/",Issues!$C494)+1,20),FIND("/",MID(Issues!$C494,FIND("/",Issues!$C494)+1,20))-1))),"")))</f>
        <v/>
      </c>
      <c r="D491" t="str">
        <f>IF(OR($A491="",$B491=""),"",IF(ISNUMBER(Issues!$C494),MOD(Issues!$C494,100),IFERROR(VALUE(TRIM(MID(MID(Issues!$C494,FIND("/",Issues!$C494)+1,20),FIND("/",MID(Issues!$C494,FIND("/",Issues!$C494)+1,20))+1,20))),"")))</f>
        <v/>
      </c>
      <c r="E491" t="str">
        <f t="shared" si="21"/>
        <v/>
      </c>
      <c r="F491" t="str">
        <f>IF($A491="","",IF(Issues!$D494="",0,Issues!$D494))</f>
        <v/>
      </c>
      <c r="G491" t="str">
        <f>IF($A491="","",Issues!$E494)</f>
        <v/>
      </c>
      <c r="H491" t="str">
        <f t="shared" si="22"/>
        <v/>
      </c>
      <c r="I491" t="str">
        <f t="shared" si="23"/>
        <v/>
      </c>
      <c r="J491" t="str">
        <f>IF($A491="","",Issues!$G494)</f>
        <v/>
      </c>
      <c r="K491" t="str">
        <f>IF(OR($E491="",$E491="نامعتبر"),"",LEFT($E491,4)&amp;MID($E491,6,2)&amp;RIGHT($E491,2)&amp;"|"&amp;RIGHT("00000"&amp;486,5))</f>
        <v/>
      </c>
      <c r="M491" t="str">
        <f>IF(Sync!$M491&lt;&gt;"پاس چک","",IF(Sync!$P491="","",Sync!$P491))</f>
        <v/>
      </c>
      <c r="N491" t="str">
        <f>IF($M491="","",IF(ISNUMBER(Sync!$L491),IF(AND(Sync!$L491&gt;=10000101,Sync!$L491&lt;=99991231),RIGHT("0000"&amp;INT(Sync!$L491/10000),4)&amp;"/"&amp;RIGHT("00"&amp;INT(MOD(Sync!$L491,10000)/100),2)&amp;"/"&amp;RIGHT("00"&amp;MOD(Sync!$L491,100),2),""),IFERROR(RIGHT("0000"&amp;VALUE(TRIM(LEFT(Sync!$L491,FIND("/",Sync!$L491)-1))),4)&amp;"/"&amp;RIGHT("00"&amp;VALUE(TRIM(LEFT(MID(Sync!$L491,FIND("/",Sync!$L491)+1,20),FIND("/",MID(Sync!$L491,FIND("/",Sync!$L491)+1,20))-1))),2)&amp;"/"&amp;RIGHT("00"&amp;VALUE(TRIM(MID(MID(Sync!$L491,FIND("/",Sync!$L491)+1,20),FIND("/",MID(Sync!$L491,FIND("/",Sync!$L491)+1,20))+1,20))),2),"")))</f>
        <v/>
      </c>
    </row>
    <row r="492" spans="1:14" x14ac:dyDescent="0.2">
      <c r="A492" t="str">
        <f>IF(Issues!$B495="","",Issues!$B495)</f>
        <v/>
      </c>
      <c r="B492" t="str">
        <f>IF($A492="","",IF(ISNUMBER(Issues!$C495),IF(AND(Issues!$C495&gt;=10000101,Issues!$C495&lt;=99991231),INT(Issues!$C495/10000),""),IFERROR(VALUE(TRIM(LEFT(Issues!$C495,FIND("/",Issues!$C495)-1))),"")))</f>
        <v/>
      </c>
      <c r="C492" t="str">
        <f>IF(OR($A492="",$B492=""),"",IF(ISNUMBER(Issues!$C495),INT(MOD(Issues!$C495,10000)/100),IFERROR(VALUE(TRIM(LEFT(MID(Issues!$C495,FIND("/",Issues!$C495)+1,20),FIND("/",MID(Issues!$C495,FIND("/",Issues!$C495)+1,20))-1))),"")))</f>
        <v/>
      </c>
      <c r="D492" t="str">
        <f>IF(OR($A492="",$B492=""),"",IF(ISNUMBER(Issues!$C495),MOD(Issues!$C495,100),IFERROR(VALUE(TRIM(MID(MID(Issues!$C495,FIND("/",Issues!$C495)+1,20),FIND("/",MID(Issues!$C495,FIND("/",Issues!$C495)+1,20))+1,20))),"")))</f>
        <v/>
      </c>
      <c r="E492" t="str">
        <f t="shared" si="21"/>
        <v/>
      </c>
      <c r="F492" t="str">
        <f>IF($A492="","",IF(Issues!$D495="",0,Issues!$D495))</f>
        <v/>
      </c>
      <c r="G492" t="str">
        <f>IF($A492="","",Issues!$E495)</f>
        <v/>
      </c>
      <c r="H492" t="str">
        <f t="shared" si="22"/>
        <v/>
      </c>
      <c r="I492" t="str">
        <f t="shared" si="23"/>
        <v/>
      </c>
      <c r="J492" t="str">
        <f>IF($A492="","",Issues!$G495)</f>
        <v/>
      </c>
      <c r="K492" t="str">
        <f>IF(OR($E492="",$E492="نامعتبر"),"",LEFT($E492,4)&amp;MID($E492,6,2)&amp;RIGHT($E492,2)&amp;"|"&amp;RIGHT("00000"&amp;487,5))</f>
        <v/>
      </c>
      <c r="M492" t="str">
        <f>IF(Sync!$M492&lt;&gt;"پاس چک","",IF(Sync!$P492="","",Sync!$P492))</f>
        <v/>
      </c>
      <c r="N492" t="str">
        <f>IF($M492="","",IF(ISNUMBER(Sync!$L492),IF(AND(Sync!$L492&gt;=10000101,Sync!$L492&lt;=99991231),RIGHT("0000"&amp;INT(Sync!$L492/10000),4)&amp;"/"&amp;RIGHT("00"&amp;INT(MOD(Sync!$L492,10000)/100),2)&amp;"/"&amp;RIGHT("00"&amp;MOD(Sync!$L492,100),2),""),IFERROR(RIGHT("0000"&amp;VALUE(TRIM(LEFT(Sync!$L492,FIND("/",Sync!$L492)-1))),4)&amp;"/"&amp;RIGHT("00"&amp;VALUE(TRIM(LEFT(MID(Sync!$L492,FIND("/",Sync!$L492)+1,20),FIND("/",MID(Sync!$L492,FIND("/",Sync!$L492)+1,20))-1))),2)&amp;"/"&amp;RIGHT("00"&amp;VALUE(TRIM(MID(MID(Sync!$L492,FIND("/",Sync!$L492)+1,20),FIND("/",MID(Sync!$L492,FIND("/",Sync!$L492)+1,20))+1,20))),2),"")))</f>
        <v/>
      </c>
    </row>
    <row r="493" spans="1:14" x14ac:dyDescent="0.2">
      <c r="A493" t="str">
        <f>IF(Issues!$B496="","",Issues!$B496)</f>
        <v/>
      </c>
      <c r="B493" t="str">
        <f>IF($A493="","",IF(ISNUMBER(Issues!$C496),IF(AND(Issues!$C496&gt;=10000101,Issues!$C496&lt;=99991231),INT(Issues!$C496/10000),""),IFERROR(VALUE(TRIM(LEFT(Issues!$C496,FIND("/",Issues!$C496)-1))),"")))</f>
        <v/>
      </c>
      <c r="C493" t="str">
        <f>IF(OR($A493="",$B493=""),"",IF(ISNUMBER(Issues!$C496),INT(MOD(Issues!$C496,10000)/100),IFERROR(VALUE(TRIM(LEFT(MID(Issues!$C496,FIND("/",Issues!$C496)+1,20),FIND("/",MID(Issues!$C496,FIND("/",Issues!$C496)+1,20))-1))),"")))</f>
        <v/>
      </c>
      <c r="D493" t="str">
        <f>IF(OR($A493="",$B493=""),"",IF(ISNUMBER(Issues!$C496),MOD(Issues!$C496,100),IFERROR(VALUE(TRIM(MID(MID(Issues!$C496,FIND("/",Issues!$C496)+1,20),FIND("/",MID(Issues!$C496,FIND("/",Issues!$C496)+1,20))+1,20))),"")))</f>
        <v/>
      </c>
      <c r="E493" t="str">
        <f t="shared" si="21"/>
        <v/>
      </c>
      <c r="F493" t="str">
        <f>IF($A493="","",IF(Issues!$D496="",0,Issues!$D496))</f>
        <v/>
      </c>
      <c r="G493" t="str">
        <f>IF($A493="","",Issues!$E496)</f>
        <v/>
      </c>
      <c r="H493" t="str">
        <f t="shared" si="22"/>
        <v/>
      </c>
      <c r="I493" t="str">
        <f t="shared" si="23"/>
        <v/>
      </c>
      <c r="J493" t="str">
        <f>IF($A493="","",Issues!$G496)</f>
        <v/>
      </c>
      <c r="K493" t="str">
        <f>IF(OR($E493="",$E493="نامعتبر"),"",LEFT($E493,4)&amp;MID($E493,6,2)&amp;RIGHT($E493,2)&amp;"|"&amp;RIGHT("00000"&amp;488,5))</f>
        <v/>
      </c>
      <c r="M493" t="str">
        <f>IF(Sync!$M493&lt;&gt;"پاس چک","",IF(Sync!$P493="","",Sync!$P493))</f>
        <v/>
      </c>
      <c r="N493" t="str">
        <f>IF($M493="","",IF(ISNUMBER(Sync!$L493),IF(AND(Sync!$L493&gt;=10000101,Sync!$L493&lt;=99991231),RIGHT("0000"&amp;INT(Sync!$L493/10000),4)&amp;"/"&amp;RIGHT("00"&amp;INT(MOD(Sync!$L493,10000)/100),2)&amp;"/"&amp;RIGHT("00"&amp;MOD(Sync!$L493,100),2),""),IFERROR(RIGHT("0000"&amp;VALUE(TRIM(LEFT(Sync!$L493,FIND("/",Sync!$L493)-1))),4)&amp;"/"&amp;RIGHT("00"&amp;VALUE(TRIM(LEFT(MID(Sync!$L493,FIND("/",Sync!$L493)+1,20),FIND("/",MID(Sync!$L493,FIND("/",Sync!$L493)+1,20))-1))),2)&amp;"/"&amp;RIGHT("00"&amp;VALUE(TRIM(MID(MID(Sync!$L493,FIND("/",Sync!$L493)+1,20),FIND("/",MID(Sync!$L493,FIND("/",Sync!$L493)+1,20))+1,20))),2),"")))</f>
        <v/>
      </c>
    </row>
    <row r="494" spans="1:14" x14ac:dyDescent="0.2">
      <c r="A494" t="str">
        <f>IF(Issues!$B497="","",Issues!$B497)</f>
        <v/>
      </c>
      <c r="B494" t="str">
        <f>IF($A494="","",IF(ISNUMBER(Issues!$C497),IF(AND(Issues!$C497&gt;=10000101,Issues!$C497&lt;=99991231),INT(Issues!$C497/10000),""),IFERROR(VALUE(TRIM(LEFT(Issues!$C497,FIND("/",Issues!$C497)-1))),"")))</f>
        <v/>
      </c>
      <c r="C494" t="str">
        <f>IF(OR($A494="",$B494=""),"",IF(ISNUMBER(Issues!$C497),INT(MOD(Issues!$C497,10000)/100),IFERROR(VALUE(TRIM(LEFT(MID(Issues!$C497,FIND("/",Issues!$C497)+1,20),FIND("/",MID(Issues!$C497,FIND("/",Issues!$C497)+1,20))-1))),"")))</f>
        <v/>
      </c>
      <c r="D494" t="str">
        <f>IF(OR($A494="",$B494=""),"",IF(ISNUMBER(Issues!$C497),MOD(Issues!$C497,100),IFERROR(VALUE(TRIM(MID(MID(Issues!$C497,FIND("/",Issues!$C497)+1,20),FIND("/",MID(Issues!$C497,FIND("/",Issues!$C497)+1,20))+1,20))),"")))</f>
        <v/>
      </c>
      <c r="E494" t="str">
        <f t="shared" si="21"/>
        <v/>
      </c>
      <c r="F494" t="str">
        <f>IF($A494="","",IF(Issues!$D497="",0,Issues!$D497))</f>
        <v/>
      </c>
      <c r="G494" t="str">
        <f>IF($A494="","",Issues!$E497)</f>
        <v/>
      </c>
      <c r="H494" t="str">
        <f t="shared" si="22"/>
        <v/>
      </c>
      <c r="I494" t="str">
        <f t="shared" si="23"/>
        <v/>
      </c>
      <c r="J494" t="str">
        <f>IF($A494="","",Issues!$G497)</f>
        <v/>
      </c>
      <c r="K494" t="str">
        <f>IF(OR($E494="",$E494="نامعتبر"),"",LEFT($E494,4)&amp;MID($E494,6,2)&amp;RIGHT($E494,2)&amp;"|"&amp;RIGHT("00000"&amp;489,5))</f>
        <v/>
      </c>
      <c r="M494" t="str">
        <f>IF(Sync!$M494&lt;&gt;"پاس چک","",IF(Sync!$P494="","",Sync!$P494))</f>
        <v/>
      </c>
      <c r="N494" t="str">
        <f>IF($M494="","",IF(ISNUMBER(Sync!$L494),IF(AND(Sync!$L494&gt;=10000101,Sync!$L494&lt;=99991231),RIGHT("0000"&amp;INT(Sync!$L494/10000),4)&amp;"/"&amp;RIGHT("00"&amp;INT(MOD(Sync!$L494,10000)/100),2)&amp;"/"&amp;RIGHT("00"&amp;MOD(Sync!$L494,100),2),""),IFERROR(RIGHT("0000"&amp;VALUE(TRIM(LEFT(Sync!$L494,FIND("/",Sync!$L494)-1))),4)&amp;"/"&amp;RIGHT("00"&amp;VALUE(TRIM(LEFT(MID(Sync!$L494,FIND("/",Sync!$L494)+1,20),FIND("/",MID(Sync!$L494,FIND("/",Sync!$L494)+1,20))-1))),2)&amp;"/"&amp;RIGHT("00"&amp;VALUE(TRIM(MID(MID(Sync!$L494,FIND("/",Sync!$L494)+1,20),FIND("/",MID(Sync!$L494,FIND("/",Sync!$L494)+1,20))+1,20))),2),"")))</f>
        <v/>
      </c>
    </row>
    <row r="495" spans="1:14" x14ac:dyDescent="0.2">
      <c r="A495" t="str">
        <f>IF(Issues!$B498="","",Issues!$B498)</f>
        <v/>
      </c>
      <c r="B495" t="str">
        <f>IF($A495="","",IF(ISNUMBER(Issues!$C498),IF(AND(Issues!$C498&gt;=10000101,Issues!$C498&lt;=99991231),INT(Issues!$C498/10000),""),IFERROR(VALUE(TRIM(LEFT(Issues!$C498,FIND("/",Issues!$C498)-1))),"")))</f>
        <v/>
      </c>
      <c r="C495" t="str">
        <f>IF(OR($A495="",$B495=""),"",IF(ISNUMBER(Issues!$C498),INT(MOD(Issues!$C498,10000)/100),IFERROR(VALUE(TRIM(LEFT(MID(Issues!$C498,FIND("/",Issues!$C498)+1,20),FIND("/",MID(Issues!$C498,FIND("/",Issues!$C498)+1,20))-1))),"")))</f>
        <v/>
      </c>
      <c r="D495" t="str">
        <f>IF(OR($A495="",$B495=""),"",IF(ISNUMBER(Issues!$C498),MOD(Issues!$C498,100),IFERROR(VALUE(TRIM(MID(MID(Issues!$C498,FIND("/",Issues!$C498)+1,20),FIND("/",MID(Issues!$C498,FIND("/",Issues!$C498)+1,20))+1,20))),"")))</f>
        <v/>
      </c>
      <c r="E495" t="str">
        <f t="shared" si="21"/>
        <v/>
      </c>
      <c r="F495" t="str">
        <f>IF($A495="","",IF(Issues!$D498="",0,Issues!$D498))</f>
        <v/>
      </c>
      <c r="G495" t="str">
        <f>IF($A495="","",Issues!$E498)</f>
        <v/>
      </c>
      <c r="H495" t="str">
        <f t="shared" si="22"/>
        <v/>
      </c>
      <c r="I495" t="str">
        <f t="shared" si="23"/>
        <v/>
      </c>
      <c r="J495" t="str">
        <f>IF($A495="","",Issues!$G498)</f>
        <v/>
      </c>
      <c r="K495" t="str">
        <f>IF(OR($E495="",$E495="نامعتبر"),"",LEFT($E495,4)&amp;MID($E495,6,2)&amp;RIGHT($E495,2)&amp;"|"&amp;RIGHT("00000"&amp;490,5))</f>
        <v/>
      </c>
      <c r="M495" t="str">
        <f>IF(Sync!$M495&lt;&gt;"پاس چک","",IF(Sync!$P495="","",Sync!$P495))</f>
        <v/>
      </c>
      <c r="N495" t="str">
        <f>IF($M495="","",IF(ISNUMBER(Sync!$L495),IF(AND(Sync!$L495&gt;=10000101,Sync!$L495&lt;=99991231),RIGHT("0000"&amp;INT(Sync!$L495/10000),4)&amp;"/"&amp;RIGHT("00"&amp;INT(MOD(Sync!$L495,10000)/100),2)&amp;"/"&amp;RIGHT("00"&amp;MOD(Sync!$L495,100),2),""),IFERROR(RIGHT("0000"&amp;VALUE(TRIM(LEFT(Sync!$L495,FIND("/",Sync!$L495)-1))),4)&amp;"/"&amp;RIGHT("00"&amp;VALUE(TRIM(LEFT(MID(Sync!$L495,FIND("/",Sync!$L495)+1,20),FIND("/",MID(Sync!$L495,FIND("/",Sync!$L495)+1,20))-1))),2)&amp;"/"&amp;RIGHT("00"&amp;VALUE(TRIM(MID(MID(Sync!$L495,FIND("/",Sync!$L495)+1,20),FIND("/",MID(Sync!$L495,FIND("/",Sync!$L495)+1,20))+1,20))),2),"")))</f>
        <v/>
      </c>
    </row>
    <row r="496" spans="1:14" x14ac:dyDescent="0.2">
      <c r="A496" t="str">
        <f>IF(Issues!$B499="","",Issues!$B499)</f>
        <v/>
      </c>
      <c r="B496" t="str">
        <f>IF($A496="","",IF(ISNUMBER(Issues!$C499),IF(AND(Issues!$C499&gt;=10000101,Issues!$C499&lt;=99991231),INT(Issues!$C499/10000),""),IFERROR(VALUE(TRIM(LEFT(Issues!$C499,FIND("/",Issues!$C499)-1))),"")))</f>
        <v/>
      </c>
      <c r="C496" t="str">
        <f>IF(OR($A496="",$B496=""),"",IF(ISNUMBER(Issues!$C499),INT(MOD(Issues!$C499,10000)/100),IFERROR(VALUE(TRIM(LEFT(MID(Issues!$C499,FIND("/",Issues!$C499)+1,20),FIND("/",MID(Issues!$C499,FIND("/",Issues!$C499)+1,20))-1))),"")))</f>
        <v/>
      </c>
      <c r="D496" t="str">
        <f>IF(OR($A496="",$B496=""),"",IF(ISNUMBER(Issues!$C499),MOD(Issues!$C499,100),IFERROR(VALUE(TRIM(MID(MID(Issues!$C499,FIND("/",Issues!$C499)+1,20),FIND("/",MID(Issues!$C499,FIND("/",Issues!$C499)+1,20))+1,20))),"")))</f>
        <v/>
      </c>
      <c r="E496" t="str">
        <f t="shared" si="21"/>
        <v/>
      </c>
      <c r="F496" t="str">
        <f>IF($A496="","",IF(Issues!$D499="",0,Issues!$D499))</f>
        <v/>
      </c>
      <c r="G496" t="str">
        <f>IF($A496="","",Issues!$E499)</f>
        <v/>
      </c>
      <c r="H496" t="str">
        <f t="shared" si="22"/>
        <v/>
      </c>
      <c r="I496" t="str">
        <f t="shared" si="23"/>
        <v/>
      </c>
      <c r="J496" t="str">
        <f>IF($A496="","",Issues!$G499)</f>
        <v/>
      </c>
      <c r="K496" t="str">
        <f>IF(OR($E496="",$E496="نامعتبر"),"",LEFT($E496,4)&amp;MID($E496,6,2)&amp;RIGHT($E496,2)&amp;"|"&amp;RIGHT("00000"&amp;491,5))</f>
        <v/>
      </c>
      <c r="M496" t="str">
        <f>IF(Sync!$M496&lt;&gt;"پاس چک","",IF(Sync!$P496="","",Sync!$P496))</f>
        <v/>
      </c>
      <c r="N496" t="str">
        <f>IF($M496="","",IF(ISNUMBER(Sync!$L496),IF(AND(Sync!$L496&gt;=10000101,Sync!$L496&lt;=99991231),RIGHT("0000"&amp;INT(Sync!$L496/10000),4)&amp;"/"&amp;RIGHT("00"&amp;INT(MOD(Sync!$L496,10000)/100),2)&amp;"/"&amp;RIGHT("00"&amp;MOD(Sync!$L496,100),2),""),IFERROR(RIGHT("0000"&amp;VALUE(TRIM(LEFT(Sync!$L496,FIND("/",Sync!$L496)-1))),4)&amp;"/"&amp;RIGHT("00"&amp;VALUE(TRIM(LEFT(MID(Sync!$L496,FIND("/",Sync!$L496)+1,20),FIND("/",MID(Sync!$L496,FIND("/",Sync!$L496)+1,20))-1))),2)&amp;"/"&amp;RIGHT("00"&amp;VALUE(TRIM(MID(MID(Sync!$L496,FIND("/",Sync!$L496)+1,20),FIND("/",MID(Sync!$L496,FIND("/",Sync!$L496)+1,20))+1,20))),2),"")))</f>
        <v/>
      </c>
    </row>
    <row r="497" spans="1:14" x14ac:dyDescent="0.2">
      <c r="A497" t="str">
        <f>IF(Issues!$B500="","",Issues!$B500)</f>
        <v/>
      </c>
      <c r="B497" t="str">
        <f>IF($A497="","",IF(ISNUMBER(Issues!$C500),IF(AND(Issues!$C500&gt;=10000101,Issues!$C500&lt;=99991231),INT(Issues!$C500/10000),""),IFERROR(VALUE(TRIM(LEFT(Issues!$C500,FIND("/",Issues!$C500)-1))),"")))</f>
        <v/>
      </c>
      <c r="C497" t="str">
        <f>IF(OR($A497="",$B497=""),"",IF(ISNUMBER(Issues!$C500),INT(MOD(Issues!$C500,10000)/100),IFERROR(VALUE(TRIM(LEFT(MID(Issues!$C500,FIND("/",Issues!$C500)+1,20),FIND("/",MID(Issues!$C500,FIND("/",Issues!$C500)+1,20))-1))),"")))</f>
        <v/>
      </c>
      <c r="D497" t="str">
        <f>IF(OR($A497="",$B497=""),"",IF(ISNUMBER(Issues!$C500),MOD(Issues!$C500,100),IFERROR(VALUE(TRIM(MID(MID(Issues!$C500,FIND("/",Issues!$C500)+1,20),FIND("/",MID(Issues!$C500,FIND("/",Issues!$C500)+1,20))+1,20))),"")))</f>
        <v/>
      </c>
      <c r="E497" t="str">
        <f t="shared" si="21"/>
        <v/>
      </c>
      <c r="F497" t="str">
        <f>IF($A497="","",IF(Issues!$D500="",0,Issues!$D500))</f>
        <v/>
      </c>
      <c r="G497" t="str">
        <f>IF($A497="","",Issues!$E500)</f>
        <v/>
      </c>
      <c r="H497" t="str">
        <f t="shared" si="22"/>
        <v/>
      </c>
      <c r="I497" t="str">
        <f t="shared" si="23"/>
        <v/>
      </c>
      <c r="J497" t="str">
        <f>IF($A497="","",Issues!$G500)</f>
        <v/>
      </c>
      <c r="K497" t="str">
        <f>IF(OR($E497="",$E497="نامعتبر"),"",LEFT($E497,4)&amp;MID($E497,6,2)&amp;RIGHT($E497,2)&amp;"|"&amp;RIGHT("00000"&amp;492,5))</f>
        <v/>
      </c>
      <c r="M497" t="str">
        <f>IF(Sync!$M497&lt;&gt;"پاس چک","",IF(Sync!$P497="","",Sync!$P497))</f>
        <v/>
      </c>
      <c r="N497" t="str">
        <f>IF($M497="","",IF(ISNUMBER(Sync!$L497),IF(AND(Sync!$L497&gt;=10000101,Sync!$L497&lt;=99991231),RIGHT("0000"&amp;INT(Sync!$L497/10000),4)&amp;"/"&amp;RIGHT("00"&amp;INT(MOD(Sync!$L497,10000)/100),2)&amp;"/"&amp;RIGHT("00"&amp;MOD(Sync!$L497,100),2),""),IFERROR(RIGHT("0000"&amp;VALUE(TRIM(LEFT(Sync!$L497,FIND("/",Sync!$L497)-1))),4)&amp;"/"&amp;RIGHT("00"&amp;VALUE(TRIM(LEFT(MID(Sync!$L497,FIND("/",Sync!$L497)+1,20),FIND("/",MID(Sync!$L497,FIND("/",Sync!$L497)+1,20))-1))),2)&amp;"/"&amp;RIGHT("00"&amp;VALUE(TRIM(MID(MID(Sync!$L497,FIND("/",Sync!$L497)+1,20),FIND("/",MID(Sync!$L497,FIND("/",Sync!$L497)+1,20))+1,20))),2),"")))</f>
        <v/>
      </c>
    </row>
    <row r="498" spans="1:14" x14ac:dyDescent="0.2">
      <c r="A498" t="str">
        <f>IF(Issues!$B501="","",Issues!$B501)</f>
        <v/>
      </c>
      <c r="B498" t="str">
        <f>IF($A498="","",IF(ISNUMBER(Issues!$C501),IF(AND(Issues!$C501&gt;=10000101,Issues!$C501&lt;=99991231),INT(Issues!$C501/10000),""),IFERROR(VALUE(TRIM(LEFT(Issues!$C501,FIND("/",Issues!$C501)-1))),"")))</f>
        <v/>
      </c>
      <c r="C498" t="str">
        <f>IF(OR($A498="",$B498=""),"",IF(ISNUMBER(Issues!$C501),INT(MOD(Issues!$C501,10000)/100),IFERROR(VALUE(TRIM(LEFT(MID(Issues!$C501,FIND("/",Issues!$C501)+1,20),FIND("/",MID(Issues!$C501,FIND("/",Issues!$C501)+1,20))-1))),"")))</f>
        <v/>
      </c>
      <c r="D498" t="str">
        <f>IF(OR($A498="",$B498=""),"",IF(ISNUMBER(Issues!$C501),MOD(Issues!$C501,100),IFERROR(VALUE(TRIM(MID(MID(Issues!$C501,FIND("/",Issues!$C501)+1,20),FIND("/",MID(Issues!$C501,FIND("/",Issues!$C501)+1,20))+1,20))),"")))</f>
        <v/>
      </c>
      <c r="E498" t="str">
        <f t="shared" si="21"/>
        <v/>
      </c>
      <c r="F498" t="str">
        <f>IF($A498="","",IF(Issues!$D501="",0,Issues!$D501))</f>
        <v/>
      </c>
      <c r="G498" t="str">
        <f>IF($A498="","",Issues!$E501)</f>
        <v/>
      </c>
      <c r="H498" t="str">
        <f t="shared" si="22"/>
        <v/>
      </c>
      <c r="I498" t="str">
        <f t="shared" si="23"/>
        <v/>
      </c>
      <c r="J498" t="str">
        <f>IF($A498="","",Issues!$G501)</f>
        <v/>
      </c>
      <c r="K498" t="str">
        <f>IF(OR($E498="",$E498="نامعتبر"),"",LEFT($E498,4)&amp;MID($E498,6,2)&amp;RIGHT($E498,2)&amp;"|"&amp;RIGHT("00000"&amp;493,5))</f>
        <v/>
      </c>
      <c r="M498" t="str">
        <f>IF(Sync!$M498&lt;&gt;"پاس چک","",IF(Sync!$P498="","",Sync!$P498))</f>
        <v/>
      </c>
      <c r="N498" t="str">
        <f>IF($M498="","",IF(ISNUMBER(Sync!$L498),IF(AND(Sync!$L498&gt;=10000101,Sync!$L498&lt;=99991231),RIGHT("0000"&amp;INT(Sync!$L498/10000),4)&amp;"/"&amp;RIGHT("00"&amp;INT(MOD(Sync!$L498,10000)/100),2)&amp;"/"&amp;RIGHT("00"&amp;MOD(Sync!$L498,100),2),""),IFERROR(RIGHT("0000"&amp;VALUE(TRIM(LEFT(Sync!$L498,FIND("/",Sync!$L498)-1))),4)&amp;"/"&amp;RIGHT("00"&amp;VALUE(TRIM(LEFT(MID(Sync!$L498,FIND("/",Sync!$L498)+1,20),FIND("/",MID(Sync!$L498,FIND("/",Sync!$L498)+1,20))-1))),2)&amp;"/"&amp;RIGHT("00"&amp;VALUE(TRIM(MID(MID(Sync!$L498,FIND("/",Sync!$L498)+1,20),FIND("/",MID(Sync!$L498,FIND("/",Sync!$L498)+1,20))+1,20))),2),"")))</f>
        <v/>
      </c>
    </row>
    <row r="499" spans="1:14" x14ac:dyDescent="0.2">
      <c r="A499" t="str">
        <f>IF(Issues!$B502="","",Issues!$B502)</f>
        <v/>
      </c>
      <c r="B499" t="str">
        <f>IF($A499="","",IF(ISNUMBER(Issues!$C502),IF(AND(Issues!$C502&gt;=10000101,Issues!$C502&lt;=99991231),INT(Issues!$C502/10000),""),IFERROR(VALUE(TRIM(LEFT(Issues!$C502,FIND("/",Issues!$C502)-1))),"")))</f>
        <v/>
      </c>
      <c r="C499" t="str">
        <f>IF(OR($A499="",$B499=""),"",IF(ISNUMBER(Issues!$C502),INT(MOD(Issues!$C502,10000)/100),IFERROR(VALUE(TRIM(LEFT(MID(Issues!$C502,FIND("/",Issues!$C502)+1,20),FIND("/",MID(Issues!$C502,FIND("/",Issues!$C502)+1,20))-1))),"")))</f>
        <v/>
      </c>
      <c r="D499" t="str">
        <f>IF(OR($A499="",$B499=""),"",IF(ISNUMBER(Issues!$C502),MOD(Issues!$C502,100),IFERROR(VALUE(TRIM(MID(MID(Issues!$C502,FIND("/",Issues!$C502)+1,20),FIND("/",MID(Issues!$C502,FIND("/",Issues!$C502)+1,20))+1,20))),"")))</f>
        <v/>
      </c>
      <c r="E499" t="str">
        <f t="shared" si="21"/>
        <v/>
      </c>
      <c r="F499" t="str">
        <f>IF($A499="","",IF(Issues!$D502="",0,Issues!$D502))</f>
        <v/>
      </c>
      <c r="G499" t="str">
        <f>IF($A499="","",Issues!$E502)</f>
        <v/>
      </c>
      <c r="H499" t="str">
        <f t="shared" si="22"/>
        <v/>
      </c>
      <c r="I499" t="str">
        <f t="shared" si="23"/>
        <v/>
      </c>
      <c r="J499" t="str">
        <f>IF($A499="","",Issues!$G502)</f>
        <v/>
      </c>
      <c r="K499" t="str">
        <f>IF(OR($E499="",$E499="نامعتبر"),"",LEFT($E499,4)&amp;MID($E499,6,2)&amp;RIGHT($E499,2)&amp;"|"&amp;RIGHT("00000"&amp;494,5))</f>
        <v/>
      </c>
      <c r="M499" t="str">
        <f>IF(Sync!$M499&lt;&gt;"پاس چک","",IF(Sync!$P499="","",Sync!$P499))</f>
        <v/>
      </c>
      <c r="N499" t="str">
        <f>IF($M499="","",IF(ISNUMBER(Sync!$L499),IF(AND(Sync!$L499&gt;=10000101,Sync!$L499&lt;=99991231),RIGHT("0000"&amp;INT(Sync!$L499/10000),4)&amp;"/"&amp;RIGHT("00"&amp;INT(MOD(Sync!$L499,10000)/100),2)&amp;"/"&amp;RIGHT("00"&amp;MOD(Sync!$L499,100),2),""),IFERROR(RIGHT("0000"&amp;VALUE(TRIM(LEFT(Sync!$L499,FIND("/",Sync!$L499)-1))),4)&amp;"/"&amp;RIGHT("00"&amp;VALUE(TRIM(LEFT(MID(Sync!$L499,FIND("/",Sync!$L499)+1,20),FIND("/",MID(Sync!$L499,FIND("/",Sync!$L499)+1,20))-1))),2)&amp;"/"&amp;RIGHT("00"&amp;VALUE(TRIM(MID(MID(Sync!$L499,FIND("/",Sync!$L499)+1,20),FIND("/",MID(Sync!$L499,FIND("/",Sync!$L499)+1,20))+1,20))),2),"")))</f>
        <v/>
      </c>
    </row>
    <row r="500" spans="1:14" x14ac:dyDescent="0.2">
      <c r="A500" t="str">
        <f>IF(Issues!$B503="","",Issues!$B503)</f>
        <v/>
      </c>
      <c r="B500" t="str">
        <f>IF($A500="","",IF(ISNUMBER(Issues!$C503),IF(AND(Issues!$C503&gt;=10000101,Issues!$C503&lt;=99991231),INT(Issues!$C503/10000),""),IFERROR(VALUE(TRIM(LEFT(Issues!$C503,FIND("/",Issues!$C503)-1))),"")))</f>
        <v/>
      </c>
      <c r="C500" t="str">
        <f>IF(OR($A500="",$B500=""),"",IF(ISNUMBER(Issues!$C503),INT(MOD(Issues!$C503,10000)/100),IFERROR(VALUE(TRIM(LEFT(MID(Issues!$C503,FIND("/",Issues!$C503)+1,20),FIND("/",MID(Issues!$C503,FIND("/",Issues!$C503)+1,20))-1))),"")))</f>
        <v/>
      </c>
      <c r="D500" t="str">
        <f>IF(OR($A500="",$B500=""),"",IF(ISNUMBER(Issues!$C503),MOD(Issues!$C503,100),IFERROR(VALUE(TRIM(MID(MID(Issues!$C503,FIND("/",Issues!$C503)+1,20),FIND("/",MID(Issues!$C503,FIND("/",Issues!$C503)+1,20))+1,20))),"")))</f>
        <v/>
      </c>
      <c r="E500" t="str">
        <f t="shared" si="21"/>
        <v/>
      </c>
      <c r="F500" t="str">
        <f>IF($A500="","",IF(Issues!$D503="",0,Issues!$D503))</f>
        <v/>
      </c>
      <c r="G500" t="str">
        <f>IF($A500="","",Issues!$E503)</f>
        <v/>
      </c>
      <c r="H500" t="str">
        <f t="shared" si="22"/>
        <v/>
      </c>
      <c r="I500" t="str">
        <f t="shared" si="23"/>
        <v/>
      </c>
      <c r="J500" t="str">
        <f>IF($A500="","",Issues!$G503)</f>
        <v/>
      </c>
      <c r="K500" t="str">
        <f>IF(OR($E500="",$E500="نامعتبر"),"",LEFT($E500,4)&amp;MID($E500,6,2)&amp;RIGHT($E500,2)&amp;"|"&amp;RIGHT("00000"&amp;495,5))</f>
        <v/>
      </c>
      <c r="M500" t="str">
        <f>IF(Sync!$M500&lt;&gt;"پاس چک","",IF(Sync!$P500="","",Sync!$P500))</f>
        <v/>
      </c>
      <c r="N500" t="str">
        <f>IF($M500="","",IF(ISNUMBER(Sync!$L500),IF(AND(Sync!$L500&gt;=10000101,Sync!$L500&lt;=99991231),RIGHT("0000"&amp;INT(Sync!$L500/10000),4)&amp;"/"&amp;RIGHT("00"&amp;INT(MOD(Sync!$L500,10000)/100),2)&amp;"/"&amp;RIGHT("00"&amp;MOD(Sync!$L500,100),2),""),IFERROR(RIGHT("0000"&amp;VALUE(TRIM(LEFT(Sync!$L500,FIND("/",Sync!$L500)-1))),4)&amp;"/"&amp;RIGHT("00"&amp;VALUE(TRIM(LEFT(MID(Sync!$L500,FIND("/",Sync!$L500)+1,20),FIND("/",MID(Sync!$L500,FIND("/",Sync!$L500)+1,20))-1))),2)&amp;"/"&amp;RIGHT("00"&amp;VALUE(TRIM(MID(MID(Sync!$L500,FIND("/",Sync!$L500)+1,20),FIND("/",MID(Sync!$L500,FIND("/",Sync!$L500)+1,20))+1,20))),2),"")))</f>
        <v/>
      </c>
    </row>
    <row r="501" spans="1:14" x14ac:dyDescent="0.2">
      <c r="A501" t="str">
        <f>IF(Issues!$B504="","",Issues!$B504)</f>
        <v/>
      </c>
      <c r="B501" t="str">
        <f>IF($A501="","",IF(ISNUMBER(Issues!$C504),IF(AND(Issues!$C504&gt;=10000101,Issues!$C504&lt;=99991231),INT(Issues!$C504/10000),""),IFERROR(VALUE(TRIM(LEFT(Issues!$C504,FIND("/",Issues!$C504)-1))),"")))</f>
        <v/>
      </c>
      <c r="C501" t="str">
        <f>IF(OR($A501="",$B501=""),"",IF(ISNUMBER(Issues!$C504),INT(MOD(Issues!$C504,10000)/100),IFERROR(VALUE(TRIM(LEFT(MID(Issues!$C504,FIND("/",Issues!$C504)+1,20),FIND("/",MID(Issues!$C504,FIND("/",Issues!$C504)+1,20))-1))),"")))</f>
        <v/>
      </c>
      <c r="D501" t="str">
        <f>IF(OR($A501="",$B501=""),"",IF(ISNUMBER(Issues!$C504),MOD(Issues!$C504,100),IFERROR(VALUE(TRIM(MID(MID(Issues!$C504,FIND("/",Issues!$C504)+1,20),FIND("/",MID(Issues!$C504,FIND("/",Issues!$C504)+1,20))+1,20))),"")))</f>
        <v/>
      </c>
      <c r="E501" t="str">
        <f t="shared" si="21"/>
        <v/>
      </c>
      <c r="F501" t="str">
        <f>IF($A501="","",IF(Issues!$D504="",0,Issues!$D504))</f>
        <v/>
      </c>
      <c r="G501" t="str">
        <f>IF($A501="","",Issues!$E504)</f>
        <v/>
      </c>
      <c r="H501" t="str">
        <f t="shared" si="22"/>
        <v/>
      </c>
      <c r="I501" t="str">
        <f t="shared" si="23"/>
        <v/>
      </c>
      <c r="J501" t="str">
        <f>IF($A501="","",Issues!$G504)</f>
        <v/>
      </c>
      <c r="K501" t="str">
        <f>IF(OR($E501="",$E501="نامعتبر"),"",LEFT($E501,4)&amp;MID($E501,6,2)&amp;RIGHT($E501,2)&amp;"|"&amp;RIGHT("00000"&amp;496,5))</f>
        <v/>
      </c>
      <c r="M501" t="str">
        <f>IF(Sync!$M501&lt;&gt;"پاس چک","",IF(Sync!$P501="","",Sync!$P501))</f>
        <v/>
      </c>
      <c r="N501" t="str">
        <f>IF($M501="","",IF(ISNUMBER(Sync!$L501),IF(AND(Sync!$L501&gt;=10000101,Sync!$L501&lt;=99991231),RIGHT("0000"&amp;INT(Sync!$L501/10000),4)&amp;"/"&amp;RIGHT("00"&amp;INT(MOD(Sync!$L501,10000)/100),2)&amp;"/"&amp;RIGHT("00"&amp;MOD(Sync!$L501,100),2),""),IFERROR(RIGHT("0000"&amp;VALUE(TRIM(LEFT(Sync!$L501,FIND("/",Sync!$L501)-1))),4)&amp;"/"&amp;RIGHT("00"&amp;VALUE(TRIM(LEFT(MID(Sync!$L501,FIND("/",Sync!$L501)+1,20),FIND("/",MID(Sync!$L501,FIND("/",Sync!$L501)+1,20))-1))),2)&amp;"/"&amp;RIGHT("00"&amp;VALUE(TRIM(MID(MID(Sync!$L501,FIND("/",Sync!$L501)+1,20),FIND("/",MID(Sync!$L501,FIND("/",Sync!$L501)+1,20))+1,20))),2),"")))</f>
        <v/>
      </c>
    </row>
    <row r="502" spans="1:14" x14ac:dyDescent="0.2">
      <c r="A502" t="str">
        <f>IF(Issues!$B505="","",Issues!$B505)</f>
        <v/>
      </c>
      <c r="B502" t="str">
        <f>IF($A502="","",IF(ISNUMBER(Issues!$C505),IF(AND(Issues!$C505&gt;=10000101,Issues!$C505&lt;=99991231),INT(Issues!$C505/10000),""),IFERROR(VALUE(TRIM(LEFT(Issues!$C505,FIND("/",Issues!$C505)-1))),"")))</f>
        <v/>
      </c>
      <c r="C502" t="str">
        <f>IF(OR($A502="",$B502=""),"",IF(ISNUMBER(Issues!$C505),INT(MOD(Issues!$C505,10000)/100),IFERROR(VALUE(TRIM(LEFT(MID(Issues!$C505,FIND("/",Issues!$C505)+1,20),FIND("/",MID(Issues!$C505,FIND("/",Issues!$C505)+1,20))-1))),"")))</f>
        <v/>
      </c>
      <c r="D502" t="str">
        <f>IF(OR($A502="",$B502=""),"",IF(ISNUMBER(Issues!$C505),MOD(Issues!$C505,100),IFERROR(VALUE(TRIM(MID(MID(Issues!$C505,FIND("/",Issues!$C505)+1,20),FIND("/",MID(Issues!$C505,FIND("/",Issues!$C505)+1,20))+1,20))),"")))</f>
        <v/>
      </c>
      <c r="E502" t="str">
        <f t="shared" si="21"/>
        <v/>
      </c>
      <c r="F502" t="str">
        <f>IF($A502="","",IF(Issues!$D505="",0,Issues!$D505))</f>
        <v/>
      </c>
      <c r="G502" t="str">
        <f>IF($A502="","",Issues!$E505)</f>
        <v/>
      </c>
      <c r="H502" t="str">
        <f t="shared" si="22"/>
        <v/>
      </c>
      <c r="I502" t="str">
        <f t="shared" si="23"/>
        <v/>
      </c>
      <c r="J502" t="str">
        <f>IF($A502="","",Issues!$G505)</f>
        <v/>
      </c>
      <c r="K502" t="str">
        <f>IF(OR($E502="",$E502="نامعتبر"),"",LEFT($E502,4)&amp;MID($E502,6,2)&amp;RIGHT($E502,2)&amp;"|"&amp;RIGHT("00000"&amp;497,5))</f>
        <v/>
      </c>
      <c r="M502" t="str">
        <f>IF(Sync!$M502&lt;&gt;"پاس چک","",IF(Sync!$P502="","",Sync!$P502))</f>
        <v/>
      </c>
      <c r="N502" t="str">
        <f>IF($M502="","",IF(ISNUMBER(Sync!$L502),IF(AND(Sync!$L502&gt;=10000101,Sync!$L502&lt;=99991231),RIGHT("0000"&amp;INT(Sync!$L502/10000),4)&amp;"/"&amp;RIGHT("00"&amp;INT(MOD(Sync!$L502,10000)/100),2)&amp;"/"&amp;RIGHT("00"&amp;MOD(Sync!$L502,100),2),""),IFERROR(RIGHT("0000"&amp;VALUE(TRIM(LEFT(Sync!$L502,FIND("/",Sync!$L502)-1))),4)&amp;"/"&amp;RIGHT("00"&amp;VALUE(TRIM(LEFT(MID(Sync!$L502,FIND("/",Sync!$L502)+1,20),FIND("/",MID(Sync!$L502,FIND("/",Sync!$L502)+1,20))-1))),2)&amp;"/"&amp;RIGHT("00"&amp;VALUE(TRIM(MID(MID(Sync!$L502,FIND("/",Sync!$L502)+1,20),FIND("/",MID(Sync!$L502,FIND("/",Sync!$L502)+1,20))+1,20))),2),"")))</f>
        <v/>
      </c>
    </row>
    <row r="503" spans="1:14" x14ac:dyDescent="0.2">
      <c r="A503" t="str">
        <f>IF(Issues!$B506="","",Issues!$B506)</f>
        <v/>
      </c>
      <c r="B503" t="str">
        <f>IF($A503="","",IF(ISNUMBER(Issues!$C506),IF(AND(Issues!$C506&gt;=10000101,Issues!$C506&lt;=99991231),INT(Issues!$C506/10000),""),IFERROR(VALUE(TRIM(LEFT(Issues!$C506,FIND("/",Issues!$C506)-1))),"")))</f>
        <v/>
      </c>
      <c r="C503" t="str">
        <f>IF(OR($A503="",$B503=""),"",IF(ISNUMBER(Issues!$C506),INT(MOD(Issues!$C506,10000)/100),IFERROR(VALUE(TRIM(LEFT(MID(Issues!$C506,FIND("/",Issues!$C506)+1,20),FIND("/",MID(Issues!$C506,FIND("/",Issues!$C506)+1,20))-1))),"")))</f>
        <v/>
      </c>
      <c r="D503" t="str">
        <f>IF(OR($A503="",$B503=""),"",IF(ISNUMBER(Issues!$C506),MOD(Issues!$C506,100),IFERROR(VALUE(TRIM(MID(MID(Issues!$C506,FIND("/",Issues!$C506)+1,20),FIND("/",MID(Issues!$C506,FIND("/",Issues!$C506)+1,20))+1,20))),"")))</f>
        <v/>
      </c>
      <c r="E503" t="str">
        <f t="shared" si="21"/>
        <v/>
      </c>
      <c r="F503" t="str">
        <f>IF($A503="","",IF(Issues!$D506="",0,Issues!$D506))</f>
        <v/>
      </c>
      <c r="G503" t="str">
        <f>IF($A503="","",Issues!$E506)</f>
        <v/>
      </c>
      <c r="H503" t="str">
        <f t="shared" si="22"/>
        <v/>
      </c>
      <c r="I503" t="str">
        <f t="shared" si="23"/>
        <v/>
      </c>
      <c r="J503" t="str">
        <f>IF($A503="","",Issues!$G506)</f>
        <v/>
      </c>
      <c r="K503" t="str">
        <f>IF(OR($E503="",$E503="نامعتبر"),"",LEFT($E503,4)&amp;MID($E503,6,2)&amp;RIGHT($E503,2)&amp;"|"&amp;RIGHT("00000"&amp;498,5))</f>
        <v/>
      </c>
      <c r="M503" t="str">
        <f>IF(Sync!$M503&lt;&gt;"پاس چک","",IF(Sync!$P503="","",Sync!$P503))</f>
        <v/>
      </c>
      <c r="N503" t="str">
        <f>IF($M503="","",IF(ISNUMBER(Sync!$L503),IF(AND(Sync!$L503&gt;=10000101,Sync!$L503&lt;=99991231),RIGHT("0000"&amp;INT(Sync!$L503/10000),4)&amp;"/"&amp;RIGHT("00"&amp;INT(MOD(Sync!$L503,10000)/100),2)&amp;"/"&amp;RIGHT("00"&amp;MOD(Sync!$L503,100),2),""),IFERROR(RIGHT("0000"&amp;VALUE(TRIM(LEFT(Sync!$L503,FIND("/",Sync!$L503)-1))),4)&amp;"/"&amp;RIGHT("00"&amp;VALUE(TRIM(LEFT(MID(Sync!$L503,FIND("/",Sync!$L503)+1,20),FIND("/",MID(Sync!$L503,FIND("/",Sync!$L503)+1,20))-1))),2)&amp;"/"&amp;RIGHT("00"&amp;VALUE(TRIM(MID(MID(Sync!$L503,FIND("/",Sync!$L503)+1,20),FIND("/",MID(Sync!$L503,FIND("/",Sync!$L503)+1,20))+1,20))),2),"")))</f>
        <v/>
      </c>
    </row>
    <row r="504" spans="1:14" x14ac:dyDescent="0.2">
      <c r="A504" t="str">
        <f>IF(Issues!$B507="","",Issues!$B507)</f>
        <v/>
      </c>
      <c r="B504" t="str">
        <f>IF($A504="","",IF(ISNUMBER(Issues!$C507),IF(AND(Issues!$C507&gt;=10000101,Issues!$C507&lt;=99991231),INT(Issues!$C507/10000),""),IFERROR(VALUE(TRIM(LEFT(Issues!$C507,FIND("/",Issues!$C507)-1))),"")))</f>
        <v/>
      </c>
      <c r="C504" t="str">
        <f>IF(OR($A504="",$B504=""),"",IF(ISNUMBER(Issues!$C507),INT(MOD(Issues!$C507,10000)/100),IFERROR(VALUE(TRIM(LEFT(MID(Issues!$C507,FIND("/",Issues!$C507)+1,20),FIND("/",MID(Issues!$C507,FIND("/",Issues!$C507)+1,20))-1))),"")))</f>
        <v/>
      </c>
      <c r="D504" t="str">
        <f>IF(OR($A504="",$B504=""),"",IF(ISNUMBER(Issues!$C507),MOD(Issues!$C507,100),IFERROR(VALUE(TRIM(MID(MID(Issues!$C507,FIND("/",Issues!$C507)+1,20),FIND("/",MID(Issues!$C507,FIND("/",Issues!$C507)+1,20))+1,20))),"")))</f>
        <v/>
      </c>
      <c r="E504" t="str">
        <f t="shared" si="21"/>
        <v/>
      </c>
      <c r="F504" t="str">
        <f>IF($A504="","",IF(Issues!$D507="",0,Issues!$D507))</f>
        <v/>
      </c>
      <c r="G504" t="str">
        <f>IF($A504="","",Issues!$E507)</f>
        <v/>
      </c>
      <c r="H504" t="str">
        <f t="shared" si="22"/>
        <v/>
      </c>
      <c r="I504" t="str">
        <f t="shared" si="23"/>
        <v/>
      </c>
      <c r="J504" t="str">
        <f>IF($A504="","",Issues!$G507)</f>
        <v/>
      </c>
      <c r="K504" t="str">
        <f>IF(OR($E504="",$E504="نامعتبر"),"",LEFT($E504,4)&amp;MID($E504,6,2)&amp;RIGHT($E504,2)&amp;"|"&amp;RIGHT("00000"&amp;499,5))</f>
        <v/>
      </c>
      <c r="M504" t="str">
        <f>IF(Sync!$M504&lt;&gt;"پاس چک","",IF(Sync!$P504="","",Sync!$P504))</f>
        <v/>
      </c>
      <c r="N504" t="str">
        <f>IF($M504="","",IF(ISNUMBER(Sync!$L504),IF(AND(Sync!$L504&gt;=10000101,Sync!$L504&lt;=99991231),RIGHT("0000"&amp;INT(Sync!$L504/10000),4)&amp;"/"&amp;RIGHT("00"&amp;INT(MOD(Sync!$L504,10000)/100),2)&amp;"/"&amp;RIGHT("00"&amp;MOD(Sync!$L504,100),2),""),IFERROR(RIGHT("0000"&amp;VALUE(TRIM(LEFT(Sync!$L504,FIND("/",Sync!$L504)-1))),4)&amp;"/"&amp;RIGHT("00"&amp;VALUE(TRIM(LEFT(MID(Sync!$L504,FIND("/",Sync!$L504)+1,20),FIND("/",MID(Sync!$L504,FIND("/",Sync!$L504)+1,20))-1))),2)&amp;"/"&amp;RIGHT("00"&amp;VALUE(TRIM(MID(MID(Sync!$L504,FIND("/",Sync!$L504)+1,20),FIND("/",MID(Sync!$L504,FIND("/",Sync!$L504)+1,20))+1,20))),2),"")))</f>
        <v/>
      </c>
    </row>
    <row r="505" spans="1:14" x14ac:dyDescent="0.2">
      <c r="A505" t="str">
        <f>IF(Issues!$B508="","",Issues!$B508)</f>
        <v/>
      </c>
      <c r="B505" t="str">
        <f>IF($A505="","",IF(ISNUMBER(Issues!$C508),IF(AND(Issues!$C508&gt;=10000101,Issues!$C508&lt;=99991231),INT(Issues!$C508/10000),""),IFERROR(VALUE(TRIM(LEFT(Issues!$C508,FIND("/",Issues!$C508)-1))),"")))</f>
        <v/>
      </c>
      <c r="C505" t="str">
        <f>IF(OR($A505="",$B505=""),"",IF(ISNUMBER(Issues!$C508),INT(MOD(Issues!$C508,10000)/100),IFERROR(VALUE(TRIM(LEFT(MID(Issues!$C508,FIND("/",Issues!$C508)+1,20),FIND("/",MID(Issues!$C508,FIND("/",Issues!$C508)+1,20))-1))),"")))</f>
        <v/>
      </c>
      <c r="D505" t="str">
        <f>IF(OR($A505="",$B505=""),"",IF(ISNUMBER(Issues!$C508),MOD(Issues!$C508,100),IFERROR(VALUE(TRIM(MID(MID(Issues!$C508,FIND("/",Issues!$C508)+1,20),FIND("/",MID(Issues!$C508,FIND("/",Issues!$C508)+1,20))+1,20))),"")))</f>
        <v/>
      </c>
      <c r="E505" t="str">
        <f t="shared" si="21"/>
        <v/>
      </c>
      <c r="F505" t="str">
        <f>IF($A505="","",IF(Issues!$D508="",0,Issues!$D508))</f>
        <v/>
      </c>
      <c r="G505" t="str">
        <f>IF($A505="","",Issues!$E508)</f>
        <v/>
      </c>
      <c r="H505" t="str">
        <f t="shared" si="22"/>
        <v/>
      </c>
      <c r="I505" t="str">
        <f t="shared" si="23"/>
        <v/>
      </c>
      <c r="J505" t="str">
        <f>IF($A505="","",Issues!$G508)</f>
        <v/>
      </c>
      <c r="K505" t="str">
        <f>IF(OR($E505="",$E505="نامعتبر"),"",LEFT($E505,4)&amp;MID($E505,6,2)&amp;RIGHT($E505,2)&amp;"|"&amp;RIGHT("00000"&amp;500,5))</f>
        <v/>
      </c>
      <c r="M505" t="str">
        <f>IF(Sync!$M505&lt;&gt;"پاس چک","",IF(Sync!$P505="","",Sync!$P505))</f>
        <v/>
      </c>
      <c r="N505" t="str">
        <f>IF($M505="","",IF(ISNUMBER(Sync!$L505),IF(AND(Sync!$L505&gt;=10000101,Sync!$L505&lt;=99991231),RIGHT("0000"&amp;INT(Sync!$L505/10000),4)&amp;"/"&amp;RIGHT("00"&amp;INT(MOD(Sync!$L505,10000)/100),2)&amp;"/"&amp;RIGHT("00"&amp;MOD(Sync!$L505,100),2),""),IFERROR(RIGHT("0000"&amp;VALUE(TRIM(LEFT(Sync!$L505,FIND("/",Sync!$L505)-1))),4)&amp;"/"&amp;RIGHT("00"&amp;VALUE(TRIM(LEFT(MID(Sync!$L505,FIND("/",Sync!$L505)+1,20),FIND("/",MID(Sync!$L505,FIND("/",Sync!$L505)+1,20))-1))),2)&amp;"/"&amp;RIGHT("00"&amp;VALUE(TRIM(MID(MID(Sync!$L505,FIND("/",Sync!$L505)+1,20),FIND("/",MID(Sync!$L505,FIND("/",Sync!$L505)+1,20))+1,20))),2),"")))</f>
        <v/>
      </c>
    </row>
    <row r="506" spans="1:14" x14ac:dyDescent="0.2">
      <c r="M506" t="str">
        <f>IF(Sync!$M506&lt;&gt;"پاس چک","",IF(Sync!$P506="","",Sync!$P506))</f>
        <v/>
      </c>
      <c r="N506" t="str">
        <f>IF($M506="","",IF(ISNUMBER(Sync!$L506),IF(AND(Sync!$L506&gt;=10000101,Sync!$L506&lt;=99991231),RIGHT("0000"&amp;INT(Sync!$L506/10000),4)&amp;"/"&amp;RIGHT("00"&amp;INT(MOD(Sync!$L506,10000)/100),2)&amp;"/"&amp;RIGHT("00"&amp;MOD(Sync!$L506,100),2),""),IFERROR(RIGHT("0000"&amp;VALUE(TRIM(LEFT(Sync!$L506,FIND("/",Sync!$L506)-1))),4)&amp;"/"&amp;RIGHT("00"&amp;VALUE(TRIM(LEFT(MID(Sync!$L506,FIND("/",Sync!$L506)+1,20),FIND("/",MID(Sync!$L506,FIND("/",Sync!$L506)+1,20))-1))),2)&amp;"/"&amp;RIGHT("00"&amp;VALUE(TRIM(MID(MID(Sync!$L506,FIND("/",Sync!$L506)+1,20),FIND("/",MID(Sync!$L506,FIND("/",Sync!$L506)+1,20))+1,20))),2),"")))</f>
        <v/>
      </c>
    </row>
    <row r="507" spans="1:14" x14ac:dyDescent="0.2">
      <c r="M507" t="str">
        <f>IF(Sync!$M507&lt;&gt;"پاس چک","",IF(Sync!$P507="","",Sync!$P507))</f>
        <v/>
      </c>
      <c r="N507" t="str">
        <f>IF($M507="","",IF(ISNUMBER(Sync!$L507),IF(AND(Sync!$L507&gt;=10000101,Sync!$L507&lt;=99991231),RIGHT("0000"&amp;INT(Sync!$L507/10000),4)&amp;"/"&amp;RIGHT("00"&amp;INT(MOD(Sync!$L507,10000)/100),2)&amp;"/"&amp;RIGHT("00"&amp;MOD(Sync!$L507,100),2),""),IFERROR(RIGHT("0000"&amp;VALUE(TRIM(LEFT(Sync!$L507,FIND("/",Sync!$L507)-1))),4)&amp;"/"&amp;RIGHT("00"&amp;VALUE(TRIM(LEFT(MID(Sync!$L507,FIND("/",Sync!$L507)+1,20),FIND("/",MID(Sync!$L507,FIND("/",Sync!$L507)+1,20))-1))),2)&amp;"/"&amp;RIGHT("00"&amp;VALUE(TRIM(MID(MID(Sync!$L507,FIND("/",Sync!$L507)+1,20),FIND("/",MID(Sync!$L507,FIND("/",Sync!$L507)+1,20))+1,20))),2),"")))</f>
        <v/>
      </c>
    </row>
    <row r="508" spans="1:14" x14ac:dyDescent="0.2">
      <c r="M508" t="str">
        <f>IF(Sync!$M508&lt;&gt;"پاس چک","",IF(Sync!$P508="","",Sync!$P508))</f>
        <v/>
      </c>
      <c r="N508" t="str">
        <f>IF($M508="","",IF(ISNUMBER(Sync!$L508),IF(AND(Sync!$L508&gt;=10000101,Sync!$L508&lt;=99991231),RIGHT("0000"&amp;INT(Sync!$L508/10000),4)&amp;"/"&amp;RIGHT("00"&amp;INT(MOD(Sync!$L508,10000)/100),2)&amp;"/"&amp;RIGHT("00"&amp;MOD(Sync!$L508,100),2),""),IFERROR(RIGHT("0000"&amp;VALUE(TRIM(LEFT(Sync!$L508,FIND("/",Sync!$L508)-1))),4)&amp;"/"&amp;RIGHT("00"&amp;VALUE(TRIM(LEFT(MID(Sync!$L508,FIND("/",Sync!$L508)+1,20),FIND("/",MID(Sync!$L508,FIND("/",Sync!$L508)+1,20))-1))),2)&amp;"/"&amp;RIGHT("00"&amp;VALUE(TRIM(MID(MID(Sync!$L508,FIND("/",Sync!$L508)+1,20),FIND("/",MID(Sync!$L508,FIND("/",Sync!$L508)+1,20))+1,20))),2),"")))</f>
        <v/>
      </c>
    </row>
    <row r="509" spans="1:14" x14ac:dyDescent="0.2">
      <c r="M509" t="str">
        <f>IF(Sync!$M509&lt;&gt;"پاس چک","",IF(Sync!$P509="","",Sync!$P509))</f>
        <v/>
      </c>
      <c r="N509" t="str">
        <f>IF($M509="","",IF(ISNUMBER(Sync!$L509),IF(AND(Sync!$L509&gt;=10000101,Sync!$L509&lt;=99991231),RIGHT("0000"&amp;INT(Sync!$L509/10000),4)&amp;"/"&amp;RIGHT("00"&amp;INT(MOD(Sync!$L509,10000)/100),2)&amp;"/"&amp;RIGHT("00"&amp;MOD(Sync!$L509,100),2),""),IFERROR(RIGHT("0000"&amp;VALUE(TRIM(LEFT(Sync!$L509,FIND("/",Sync!$L509)-1))),4)&amp;"/"&amp;RIGHT("00"&amp;VALUE(TRIM(LEFT(MID(Sync!$L509,FIND("/",Sync!$L509)+1,20),FIND("/",MID(Sync!$L509,FIND("/",Sync!$L509)+1,20))-1))),2)&amp;"/"&amp;RIGHT("00"&amp;VALUE(TRIM(MID(MID(Sync!$L509,FIND("/",Sync!$L509)+1,20),FIND("/",MID(Sync!$L509,FIND("/",Sync!$L509)+1,20))+1,20))),2),"")))</f>
        <v/>
      </c>
    </row>
    <row r="510" spans="1:14" x14ac:dyDescent="0.2">
      <c r="M510" t="str">
        <f>IF(Sync!$M510&lt;&gt;"پاس چک","",IF(Sync!$P510="","",Sync!$P510))</f>
        <v/>
      </c>
      <c r="N510" t="str">
        <f>IF($M510="","",IF(ISNUMBER(Sync!$L510),IF(AND(Sync!$L510&gt;=10000101,Sync!$L510&lt;=99991231),RIGHT("0000"&amp;INT(Sync!$L510/10000),4)&amp;"/"&amp;RIGHT("00"&amp;INT(MOD(Sync!$L510,10000)/100),2)&amp;"/"&amp;RIGHT("00"&amp;MOD(Sync!$L510,100),2),""),IFERROR(RIGHT("0000"&amp;VALUE(TRIM(LEFT(Sync!$L510,FIND("/",Sync!$L510)-1))),4)&amp;"/"&amp;RIGHT("00"&amp;VALUE(TRIM(LEFT(MID(Sync!$L510,FIND("/",Sync!$L510)+1,20),FIND("/",MID(Sync!$L510,FIND("/",Sync!$L510)+1,20))-1))),2)&amp;"/"&amp;RIGHT("00"&amp;VALUE(TRIM(MID(MID(Sync!$L510,FIND("/",Sync!$L510)+1,20),FIND("/",MID(Sync!$L510,FIND("/",Sync!$L510)+1,20))+1,20))),2),"")))</f>
        <v/>
      </c>
    </row>
    <row r="511" spans="1:14" x14ac:dyDescent="0.2">
      <c r="M511" t="str">
        <f>IF(Sync!$M511&lt;&gt;"پاس چک","",IF(Sync!$P511="","",Sync!$P511))</f>
        <v/>
      </c>
      <c r="N511" t="str">
        <f>IF($M511="","",IF(ISNUMBER(Sync!$L511),IF(AND(Sync!$L511&gt;=10000101,Sync!$L511&lt;=99991231),RIGHT("0000"&amp;INT(Sync!$L511/10000),4)&amp;"/"&amp;RIGHT("00"&amp;INT(MOD(Sync!$L511,10000)/100),2)&amp;"/"&amp;RIGHT("00"&amp;MOD(Sync!$L511,100),2),""),IFERROR(RIGHT("0000"&amp;VALUE(TRIM(LEFT(Sync!$L511,FIND("/",Sync!$L511)-1))),4)&amp;"/"&amp;RIGHT("00"&amp;VALUE(TRIM(LEFT(MID(Sync!$L511,FIND("/",Sync!$L511)+1,20),FIND("/",MID(Sync!$L511,FIND("/",Sync!$L511)+1,20))-1))),2)&amp;"/"&amp;RIGHT("00"&amp;VALUE(TRIM(MID(MID(Sync!$L511,FIND("/",Sync!$L511)+1,20),FIND("/",MID(Sync!$L511,FIND("/",Sync!$L511)+1,20))+1,20))),2),"")))</f>
        <v/>
      </c>
    </row>
    <row r="512" spans="1:14" x14ac:dyDescent="0.2">
      <c r="M512" t="str">
        <f>IF(Sync!$M512&lt;&gt;"پاس چک","",IF(Sync!$P512="","",Sync!$P512))</f>
        <v/>
      </c>
      <c r="N512" t="str">
        <f>IF($M512="","",IF(ISNUMBER(Sync!$L512),IF(AND(Sync!$L512&gt;=10000101,Sync!$L512&lt;=99991231),RIGHT("0000"&amp;INT(Sync!$L512/10000),4)&amp;"/"&amp;RIGHT("00"&amp;INT(MOD(Sync!$L512,10000)/100),2)&amp;"/"&amp;RIGHT("00"&amp;MOD(Sync!$L512,100),2),""),IFERROR(RIGHT("0000"&amp;VALUE(TRIM(LEFT(Sync!$L512,FIND("/",Sync!$L512)-1))),4)&amp;"/"&amp;RIGHT("00"&amp;VALUE(TRIM(LEFT(MID(Sync!$L512,FIND("/",Sync!$L512)+1,20),FIND("/",MID(Sync!$L512,FIND("/",Sync!$L512)+1,20))-1))),2)&amp;"/"&amp;RIGHT("00"&amp;VALUE(TRIM(MID(MID(Sync!$L512,FIND("/",Sync!$L512)+1,20),FIND("/",MID(Sync!$L512,FIND("/",Sync!$L512)+1,20))+1,20))),2),"")))</f>
        <v/>
      </c>
    </row>
    <row r="513" spans="13:14" x14ac:dyDescent="0.2">
      <c r="M513" t="str">
        <f>IF(Sync!$M513&lt;&gt;"پاس چک","",IF(Sync!$P513="","",Sync!$P513))</f>
        <v/>
      </c>
      <c r="N513" t="str">
        <f>IF($M513="","",IF(ISNUMBER(Sync!$L513),IF(AND(Sync!$L513&gt;=10000101,Sync!$L513&lt;=99991231),RIGHT("0000"&amp;INT(Sync!$L513/10000),4)&amp;"/"&amp;RIGHT("00"&amp;INT(MOD(Sync!$L513,10000)/100),2)&amp;"/"&amp;RIGHT("00"&amp;MOD(Sync!$L513,100),2),""),IFERROR(RIGHT("0000"&amp;VALUE(TRIM(LEFT(Sync!$L513,FIND("/",Sync!$L513)-1))),4)&amp;"/"&amp;RIGHT("00"&amp;VALUE(TRIM(LEFT(MID(Sync!$L513,FIND("/",Sync!$L513)+1,20),FIND("/",MID(Sync!$L513,FIND("/",Sync!$L513)+1,20))-1))),2)&amp;"/"&amp;RIGHT("00"&amp;VALUE(TRIM(MID(MID(Sync!$L513,FIND("/",Sync!$L513)+1,20),FIND("/",MID(Sync!$L513,FIND("/",Sync!$L513)+1,20))+1,20))),2),"")))</f>
        <v/>
      </c>
    </row>
    <row r="514" spans="13:14" x14ac:dyDescent="0.2">
      <c r="M514" t="str">
        <f>IF(Sync!$M514&lt;&gt;"پاس چک","",IF(Sync!$P514="","",Sync!$P514))</f>
        <v/>
      </c>
      <c r="N514" t="str">
        <f>IF($M514="","",IF(ISNUMBER(Sync!$L514),IF(AND(Sync!$L514&gt;=10000101,Sync!$L514&lt;=99991231),RIGHT("0000"&amp;INT(Sync!$L514/10000),4)&amp;"/"&amp;RIGHT("00"&amp;INT(MOD(Sync!$L514,10000)/100),2)&amp;"/"&amp;RIGHT("00"&amp;MOD(Sync!$L514,100),2),""),IFERROR(RIGHT("0000"&amp;VALUE(TRIM(LEFT(Sync!$L514,FIND("/",Sync!$L514)-1))),4)&amp;"/"&amp;RIGHT("00"&amp;VALUE(TRIM(LEFT(MID(Sync!$L514,FIND("/",Sync!$L514)+1,20),FIND("/",MID(Sync!$L514,FIND("/",Sync!$L514)+1,20))-1))),2)&amp;"/"&amp;RIGHT("00"&amp;VALUE(TRIM(MID(MID(Sync!$L514,FIND("/",Sync!$L514)+1,20),FIND("/",MID(Sync!$L514,FIND("/",Sync!$L514)+1,20))+1,20))),2),"")))</f>
        <v/>
      </c>
    </row>
    <row r="515" spans="13:14" x14ac:dyDescent="0.2">
      <c r="M515" t="str">
        <f>IF(Sync!$M515&lt;&gt;"پاس چک","",IF(Sync!$P515="","",Sync!$P515))</f>
        <v/>
      </c>
      <c r="N515" t="str">
        <f>IF($M515="","",IF(ISNUMBER(Sync!$L515),IF(AND(Sync!$L515&gt;=10000101,Sync!$L515&lt;=99991231),RIGHT("0000"&amp;INT(Sync!$L515/10000),4)&amp;"/"&amp;RIGHT("00"&amp;INT(MOD(Sync!$L515,10000)/100),2)&amp;"/"&amp;RIGHT("00"&amp;MOD(Sync!$L515,100),2),""),IFERROR(RIGHT("0000"&amp;VALUE(TRIM(LEFT(Sync!$L515,FIND("/",Sync!$L515)-1))),4)&amp;"/"&amp;RIGHT("00"&amp;VALUE(TRIM(LEFT(MID(Sync!$L515,FIND("/",Sync!$L515)+1,20),FIND("/",MID(Sync!$L515,FIND("/",Sync!$L515)+1,20))-1))),2)&amp;"/"&amp;RIGHT("00"&amp;VALUE(TRIM(MID(MID(Sync!$L515,FIND("/",Sync!$L515)+1,20),FIND("/",MID(Sync!$L515,FIND("/",Sync!$L515)+1,20))+1,20))),2),"")))</f>
        <v/>
      </c>
    </row>
    <row r="516" spans="13:14" x14ac:dyDescent="0.2">
      <c r="M516" t="str">
        <f>IF(Sync!$M516&lt;&gt;"پاس چک","",IF(Sync!$P516="","",Sync!$P516))</f>
        <v/>
      </c>
      <c r="N516" t="str">
        <f>IF($M516="","",IF(ISNUMBER(Sync!$L516),IF(AND(Sync!$L516&gt;=10000101,Sync!$L516&lt;=99991231),RIGHT("0000"&amp;INT(Sync!$L516/10000),4)&amp;"/"&amp;RIGHT("00"&amp;INT(MOD(Sync!$L516,10000)/100),2)&amp;"/"&amp;RIGHT("00"&amp;MOD(Sync!$L516,100),2),""),IFERROR(RIGHT("0000"&amp;VALUE(TRIM(LEFT(Sync!$L516,FIND("/",Sync!$L516)-1))),4)&amp;"/"&amp;RIGHT("00"&amp;VALUE(TRIM(LEFT(MID(Sync!$L516,FIND("/",Sync!$L516)+1,20),FIND("/",MID(Sync!$L516,FIND("/",Sync!$L516)+1,20))-1))),2)&amp;"/"&amp;RIGHT("00"&amp;VALUE(TRIM(MID(MID(Sync!$L516,FIND("/",Sync!$L516)+1,20),FIND("/",MID(Sync!$L516,FIND("/",Sync!$L516)+1,20))+1,20))),2),"")))</f>
        <v/>
      </c>
    </row>
    <row r="517" spans="13:14" x14ac:dyDescent="0.2">
      <c r="M517" t="str">
        <f>IF(Sync!$M517&lt;&gt;"پاس چک","",IF(Sync!$P517="","",Sync!$P517))</f>
        <v/>
      </c>
      <c r="N517" t="str">
        <f>IF($M517="","",IF(ISNUMBER(Sync!$L517),IF(AND(Sync!$L517&gt;=10000101,Sync!$L517&lt;=99991231),RIGHT("0000"&amp;INT(Sync!$L517/10000),4)&amp;"/"&amp;RIGHT("00"&amp;INT(MOD(Sync!$L517,10000)/100),2)&amp;"/"&amp;RIGHT("00"&amp;MOD(Sync!$L517,100),2),""),IFERROR(RIGHT("0000"&amp;VALUE(TRIM(LEFT(Sync!$L517,FIND("/",Sync!$L517)-1))),4)&amp;"/"&amp;RIGHT("00"&amp;VALUE(TRIM(LEFT(MID(Sync!$L517,FIND("/",Sync!$L517)+1,20),FIND("/",MID(Sync!$L517,FIND("/",Sync!$L517)+1,20))-1))),2)&amp;"/"&amp;RIGHT("00"&amp;VALUE(TRIM(MID(MID(Sync!$L517,FIND("/",Sync!$L517)+1,20),FIND("/",MID(Sync!$L517,FIND("/",Sync!$L517)+1,20))+1,20))),2),"")))</f>
        <v/>
      </c>
    </row>
    <row r="518" spans="13:14" x14ac:dyDescent="0.2">
      <c r="M518" t="str">
        <f>IF(Sync!$M518&lt;&gt;"پاس چک","",IF(Sync!$P518="","",Sync!$P518))</f>
        <v/>
      </c>
      <c r="N518" t="str">
        <f>IF($M518="","",IF(ISNUMBER(Sync!$L518),IF(AND(Sync!$L518&gt;=10000101,Sync!$L518&lt;=99991231),RIGHT("0000"&amp;INT(Sync!$L518/10000),4)&amp;"/"&amp;RIGHT("00"&amp;INT(MOD(Sync!$L518,10000)/100),2)&amp;"/"&amp;RIGHT("00"&amp;MOD(Sync!$L518,100),2),""),IFERROR(RIGHT("0000"&amp;VALUE(TRIM(LEFT(Sync!$L518,FIND("/",Sync!$L518)-1))),4)&amp;"/"&amp;RIGHT("00"&amp;VALUE(TRIM(LEFT(MID(Sync!$L518,FIND("/",Sync!$L518)+1,20),FIND("/",MID(Sync!$L518,FIND("/",Sync!$L518)+1,20))-1))),2)&amp;"/"&amp;RIGHT("00"&amp;VALUE(TRIM(MID(MID(Sync!$L518,FIND("/",Sync!$L518)+1,20),FIND("/",MID(Sync!$L518,FIND("/",Sync!$L518)+1,20))+1,20))),2),"")))</f>
        <v/>
      </c>
    </row>
    <row r="519" spans="13:14" x14ac:dyDescent="0.2">
      <c r="M519" t="str">
        <f>IF(Sync!$M519&lt;&gt;"پاس چک","",IF(Sync!$P519="","",Sync!$P519))</f>
        <v/>
      </c>
      <c r="N519" t="str">
        <f>IF($M519="","",IF(ISNUMBER(Sync!$L519),IF(AND(Sync!$L519&gt;=10000101,Sync!$L519&lt;=99991231),RIGHT("0000"&amp;INT(Sync!$L519/10000),4)&amp;"/"&amp;RIGHT("00"&amp;INT(MOD(Sync!$L519,10000)/100),2)&amp;"/"&amp;RIGHT("00"&amp;MOD(Sync!$L519,100),2),""),IFERROR(RIGHT("0000"&amp;VALUE(TRIM(LEFT(Sync!$L519,FIND("/",Sync!$L519)-1))),4)&amp;"/"&amp;RIGHT("00"&amp;VALUE(TRIM(LEFT(MID(Sync!$L519,FIND("/",Sync!$L519)+1,20),FIND("/",MID(Sync!$L519,FIND("/",Sync!$L519)+1,20))-1))),2)&amp;"/"&amp;RIGHT("00"&amp;VALUE(TRIM(MID(MID(Sync!$L519,FIND("/",Sync!$L519)+1,20),FIND("/",MID(Sync!$L519,FIND("/",Sync!$L519)+1,20))+1,20))),2),"")))</f>
        <v/>
      </c>
    </row>
    <row r="520" spans="13:14" x14ac:dyDescent="0.2">
      <c r="M520" t="str">
        <f>IF(Sync!$M520&lt;&gt;"پاس چک","",IF(Sync!$P520="","",Sync!$P520))</f>
        <v/>
      </c>
      <c r="N520" t="str">
        <f>IF($M520="","",IF(ISNUMBER(Sync!$L520),IF(AND(Sync!$L520&gt;=10000101,Sync!$L520&lt;=99991231),RIGHT("0000"&amp;INT(Sync!$L520/10000),4)&amp;"/"&amp;RIGHT("00"&amp;INT(MOD(Sync!$L520,10000)/100),2)&amp;"/"&amp;RIGHT("00"&amp;MOD(Sync!$L520,100),2),""),IFERROR(RIGHT("0000"&amp;VALUE(TRIM(LEFT(Sync!$L520,FIND("/",Sync!$L520)-1))),4)&amp;"/"&amp;RIGHT("00"&amp;VALUE(TRIM(LEFT(MID(Sync!$L520,FIND("/",Sync!$L520)+1,20),FIND("/",MID(Sync!$L520,FIND("/",Sync!$L520)+1,20))-1))),2)&amp;"/"&amp;RIGHT("00"&amp;VALUE(TRIM(MID(MID(Sync!$L520,FIND("/",Sync!$L520)+1,20),FIND("/",MID(Sync!$L520,FIND("/",Sync!$L520)+1,20))+1,20))),2),"")))</f>
        <v/>
      </c>
    </row>
    <row r="521" spans="13:14" x14ac:dyDescent="0.2">
      <c r="M521" t="str">
        <f>IF(Sync!$M521&lt;&gt;"پاس چک","",IF(Sync!$P521="","",Sync!$P521))</f>
        <v/>
      </c>
      <c r="N521" t="str">
        <f>IF($M521="","",IF(ISNUMBER(Sync!$L521),IF(AND(Sync!$L521&gt;=10000101,Sync!$L521&lt;=99991231),RIGHT("0000"&amp;INT(Sync!$L521/10000),4)&amp;"/"&amp;RIGHT("00"&amp;INT(MOD(Sync!$L521,10000)/100),2)&amp;"/"&amp;RIGHT("00"&amp;MOD(Sync!$L521,100),2),""),IFERROR(RIGHT("0000"&amp;VALUE(TRIM(LEFT(Sync!$L521,FIND("/",Sync!$L521)-1))),4)&amp;"/"&amp;RIGHT("00"&amp;VALUE(TRIM(LEFT(MID(Sync!$L521,FIND("/",Sync!$L521)+1,20),FIND("/",MID(Sync!$L521,FIND("/",Sync!$L521)+1,20))-1))),2)&amp;"/"&amp;RIGHT("00"&amp;VALUE(TRIM(MID(MID(Sync!$L521,FIND("/",Sync!$L521)+1,20),FIND("/",MID(Sync!$L521,FIND("/",Sync!$L521)+1,20))+1,20))),2),"")))</f>
        <v/>
      </c>
    </row>
    <row r="522" spans="13:14" x14ac:dyDescent="0.2">
      <c r="M522" t="str">
        <f>IF(Sync!$M522&lt;&gt;"پاس چک","",IF(Sync!$P522="","",Sync!$P522))</f>
        <v/>
      </c>
      <c r="N522" t="str">
        <f>IF($M522="","",IF(ISNUMBER(Sync!$L522),IF(AND(Sync!$L522&gt;=10000101,Sync!$L522&lt;=99991231),RIGHT("0000"&amp;INT(Sync!$L522/10000),4)&amp;"/"&amp;RIGHT("00"&amp;INT(MOD(Sync!$L522,10000)/100),2)&amp;"/"&amp;RIGHT("00"&amp;MOD(Sync!$L522,100),2),""),IFERROR(RIGHT("0000"&amp;VALUE(TRIM(LEFT(Sync!$L522,FIND("/",Sync!$L522)-1))),4)&amp;"/"&amp;RIGHT("00"&amp;VALUE(TRIM(LEFT(MID(Sync!$L522,FIND("/",Sync!$L522)+1,20),FIND("/",MID(Sync!$L522,FIND("/",Sync!$L522)+1,20))-1))),2)&amp;"/"&amp;RIGHT("00"&amp;VALUE(TRIM(MID(MID(Sync!$L522,FIND("/",Sync!$L522)+1,20),FIND("/",MID(Sync!$L522,FIND("/",Sync!$L522)+1,20))+1,20))),2),"")))</f>
        <v/>
      </c>
    </row>
    <row r="523" spans="13:14" x14ac:dyDescent="0.2">
      <c r="M523" t="str">
        <f>IF(Sync!$M523&lt;&gt;"پاس چک","",IF(Sync!$P523="","",Sync!$P523))</f>
        <v/>
      </c>
      <c r="N523" t="str">
        <f>IF($M523="","",IF(ISNUMBER(Sync!$L523),IF(AND(Sync!$L523&gt;=10000101,Sync!$L523&lt;=99991231),RIGHT("0000"&amp;INT(Sync!$L523/10000),4)&amp;"/"&amp;RIGHT("00"&amp;INT(MOD(Sync!$L523,10000)/100),2)&amp;"/"&amp;RIGHT("00"&amp;MOD(Sync!$L523,100),2),""),IFERROR(RIGHT("0000"&amp;VALUE(TRIM(LEFT(Sync!$L523,FIND("/",Sync!$L523)-1))),4)&amp;"/"&amp;RIGHT("00"&amp;VALUE(TRIM(LEFT(MID(Sync!$L523,FIND("/",Sync!$L523)+1,20),FIND("/",MID(Sync!$L523,FIND("/",Sync!$L523)+1,20))-1))),2)&amp;"/"&amp;RIGHT("00"&amp;VALUE(TRIM(MID(MID(Sync!$L523,FIND("/",Sync!$L523)+1,20),FIND("/",MID(Sync!$L523,FIND("/",Sync!$L523)+1,20))+1,20))),2),"")))</f>
        <v/>
      </c>
    </row>
    <row r="524" spans="13:14" x14ac:dyDescent="0.2">
      <c r="M524" t="str">
        <f>IF(Sync!$M524&lt;&gt;"پاس چک","",IF(Sync!$P524="","",Sync!$P524))</f>
        <v/>
      </c>
      <c r="N524" t="str">
        <f>IF($M524="","",IF(ISNUMBER(Sync!$L524),IF(AND(Sync!$L524&gt;=10000101,Sync!$L524&lt;=99991231),RIGHT("0000"&amp;INT(Sync!$L524/10000),4)&amp;"/"&amp;RIGHT("00"&amp;INT(MOD(Sync!$L524,10000)/100),2)&amp;"/"&amp;RIGHT("00"&amp;MOD(Sync!$L524,100),2),""),IFERROR(RIGHT("0000"&amp;VALUE(TRIM(LEFT(Sync!$L524,FIND("/",Sync!$L524)-1))),4)&amp;"/"&amp;RIGHT("00"&amp;VALUE(TRIM(LEFT(MID(Sync!$L524,FIND("/",Sync!$L524)+1,20),FIND("/",MID(Sync!$L524,FIND("/",Sync!$L524)+1,20))-1))),2)&amp;"/"&amp;RIGHT("00"&amp;VALUE(TRIM(MID(MID(Sync!$L524,FIND("/",Sync!$L524)+1,20),FIND("/",MID(Sync!$L524,FIND("/",Sync!$L524)+1,20))+1,20))),2),"")))</f>
        <v/>
      </c>
    </row>
    <row r="525" spans="13:14" x14ac:dyDescent="0.2">
      <c r="M525" t="str">
        <f>IF(Sync!$M525&lt;&gt;"پاس چک","",IF(Sync!$P525="","",Sync!$P525))</f>
        <v/>
      </c>
      <c r="N525" t="str">
        <f>IF($M525="","",IF(ISNUMBER(Sync!$L525),IF(AND(Sync!$L525&gt;=10000101,Sync!$L525&lt;=99991231),RIGHT("0000"&amp;INT(Sync!$L525/10000),4)&amp;"/"&amp;RIGHT("00"&amp;INT(MOD(Sync!$L525,10000)/100),2)&amp;"/"&amp;RIGHT("00"&amp;MOD(Sync!$L525,100),2),""),IFERROR(RIGHT("0000"&amp;VALUE(TRIM(LEFT(Sync!$L525,FIND("/",Sync!$L525)-1))),4)&amp;"/"&amp;RIGHT("00"&amp;VALUE(TRIM(LEFT(MID(Sync!$L525,FIND("/",Sync!$L525)+1,20),FIND("/",MID(Sync!$L525,FIND("/",Sync!$L525)+1,20))-1))),2)&amp;"/"&amp;RIGHT("00"&amp;VALUE(TRIM(MID(MID(Sync!$L525,FIND("/",Sync!$L525)+1,20),FIND("/",MID(Sync!$L525,FIND("/",Sync!$L525)+1,20))+1,20))),2),"")))</f>
        <v/>
      </c>
    </row>
    <row r="526" spans="13:14" x14ac:dyDescent="0.2">
      <c r="M526" t="str">
        <f>IF(Sync!$M526&lt;&gt;"پاس چک","",IF(Sync!$P526="","",Sync!$P526))</f>
        <v/>
      </c>
      <c r="N526" t="str">
        <f>IF($M526="","",IF(ISNUMBER(Sync!$L526),IF(AND(Sync!$L526&gt;=10000101,Sync!$L526&lt;=99991231),RIGHT("0000"&amp;INT(Sync!$L526/10000),4)&amp;"/"&amp;RIGHT("00"&amp;INT(MOD(Sync!$L526,10000)/100),2)&amp;"/"&amp;RIGHT("00"&amp;MOD(Sync!$L526,100),2),""),IFERROR(RIGHT("0000"&amp;VALUE(TRIM(LEFT(Sync!$L526,FIND("/",Sync!$L526)-1))),4)&amp;"/"&amp;RIGHT("00"&amp;VALUE(TRIM(LEFT(MID(Sync!$L526,FIND("/",Sync!$L526)+1,20),FIND("/",MID(Sync!$L526,FIND("/",Sync!$L526)+1,20))-1))),2)&amp;"/"&amp;RIGHT("00"&amp;VALUE(TRIM(MID(MID(Sync!$L526,FIND("/",Sync!$L526)+1,20),FIND("/",MID(Sync!$L526,FIND("/",Sync!$L526)+1,20))+1,20))),2),"")))</f>
        <v/>
      </c>
    </row>
    <row r="527" spans="13:14" x14ac:dyDescent="0.2">
      <c r="M527" t="str">
        <f>IF(Sync!$M527&lt;&gt;"پاس چک","",IF(Sync!$P527="","",Sync!$P527))</f>
        <v/>
      </c>
      <c r="N527" t="str">
        <f>IF($M527="","",IF(ISNUMBER(Sync!$L527),IF(AND(Sync!$L527&gt;=10000101,Sync!$L527&lt;=99991231),RIGHT("0000"&amp;INT(Sync!$L527/10000),4)&amp;"/"&amp;RIGHT("00"&amp;INT(MOD(Sync!$L527,10000)/100),2)&amp;"/"&amp;RIGHT("00"&amp;MOD(Sync!$L527,100),2),""),IFERROR(RIGHT("0000"&amp;VALUE(TRIM(LEFT(Sync!$L527,FIND("/",Sync!$L527)-1))),4)&amp;"/"&amp;RIGHT("00"&amp;VALUE(TRIM(LEFT(MID(Sync!$L527,FIND("/",Sync!$L527)+1,20),FIND("/",MID(Sync!$L527,FIND("/",Sync!$L527)+1,20))-1))),2)&amp;"/"&amp;RIGHT("00"&amp;VALUE(TRIM(MID(MID(Sync!$L527,FIND("/",Sync!$L527)+1,20),FIND("/",MID(Sync!$L527,FIND("/",Sync!$L527)+1,20))+1,20))),2),"")))</f>
        <v/>
      </c>
    </row>
    <row r="528" spans="13:14" x14ac:dyDescent="0.2">
      <c r="M528" t="str">
        <f>IF(Sync!$M528&lt;&gt;"پاس چک","",IF(Sync!$P528="","",Sync!$P528))</f>
        <v/>
      </c>
      <c r="N528" t="str">
        <f>IF($M528="","",IF(ISNUMBER(Sync!$L528),IF(AND(Sync!$L528&gt;=10000101,Sync!$L528&lt;=99991231),RIGHT("0000"&amp;INT(Sync!$L528/10000),4)&amp;"/"&amp;RIGHT("00"&amp;INT(MOD(Sync!$L528,10000)/100),2)&amp;"/"&amp;RIGHT("00"&amp;MOD(Sync!$L528,100),2),""),IFERROR(RIGHT("0000"&amp;VALUE(TRIM(LEFT(Sync!$L528,FIND("/",Sync!$L528)-1))),4)&amp;"/"&amp;RIGHT("00"&amp;VALUE(TRIM(LEFT(MID(Sync!$L528,FIND("/",Sync!$L528)+1,20),FIND("/",MID(Sync!$L528,FIND("/",Sync!$L528)+1,20))-1))),2)&amp;"/"&amp;RIGHT("00"&amp;VALUE(TRIM(MID(MID(Sync!$L528,FIND("/",Sync!$L528)+1,20),FIND("/",MID(Sync!$L528,FIND("/",Sync!$L528)+1,20))+1,20))),2),"")))</f>
        <v/>
      </c>
    </row>
    <row r="529" spans="13:14" x14ac:dyDescent="0.2">
      <c r="M529" t="str">
        <f>IF(Sync!$M529&lt;&gt;"پاس چک","",IF(Sync!$P529="","",Sync!$P529))</f>
        <v/>
      </c>
      <c r="N529" t="str">
        <f>IF($M529="","",IF(ISNUMBER(Sync!$L529),IF(AND(Sync!$L529&gt;=10000101,Sync!$L529&lt;=99991231),RIGHT("0000"&amp;INT(Sync!$L529/10000),4)&amp;"/"&amp;RIGHT("00"&amp;INT(MOD(Sync!$L529,10000)/100),2)&amp;"/"&amp;RIGHT("00"&amp;MOD(Sync!$L529,100),2),""),IFERROR(RIGHT("0000"&amp;VALUE(TRIM(LEFT(Sync!$L529,FIND("/",Sync!$L529)-1))),4)&amp;"/"&amp;RIGHT("00"&amp;VALUE(TRIM(LEFT(MID(Sync!$L529,FIND("/",Sync!$L529)+1,20),FIND("/",MID(Sync!$L529,FIND("/",Sync!$L529)+1,20))-1))),2)&amp;"/"&amp;RIGHT("00"&amp;VALUE(TRIM(MID(MID(Sync!$L529,FIND("/",Sync!$L529)+1,20),FIND("/",MID(Sync!$L529,FIND("/",Sync!$L529)+1,20))+1,20))),2),"")))</f>
        <v/>
      </c>
    </row>
    <row r="530" spans="13:14" x14ac:dyDescent="0.2">
      <c r="M530" t="str">
        <f>IF(Sync!$M530&lt;&gt;"پاس چک","",IF(Sync!$P530="","",Sync!$P530))</f>
        <v/>
      </c>
      <c r="N530" t="str">
        <f>IF($M530="","",IF(ISNUMBER(Sync!$L530),IF(AND(Sync!$L530&gt;=10000101,Sync!$L530&lt;=99991231),RIGHT("0000"&amp;INT(Sync!$L530/10000),4)&amp;"/"&amp;RIGHT("00"&amp;INT(MOD(Sync!$L530,10000)/100),2)&amp;"/"&amp;RIGHT("00"&amp;MOD(Sync!$L530,100),2),""),IFERROR(RIGHT("0000"&amp;VALUE(TRIM(LEFT(Sync!$L530,FIND("/",Sync!$L530)-1))),4)&amp;"/"&amp;RIGHT("00"&amp;VALUE(TRIM(LEFT(MID(Sync!$L530,FIND("/",Sync!$L530)+1,20),FIND("/",MID(Sync!$L530,FIND("/",Sync!$L530)+1,20))-1))),2)&amp;"/"&amp;RIGHT("00"&amp;VALUE(TRIM(MID(MID(Sync!$L530,FIND("/",Sync!$L530)+1,20),FIND("/",MID(Sync!$L530,FIND("/",Sync!$L530)+1,20))+1,20))),2),"")))</f>
        <v/>
      </c>
    </row>
    <row r="531" spans="13:14" x14ac:dyDescent="0.2">
      <c r="M531" t="str">
        <f>IF(Sync!$M531&lt;&gt;"پاس چک","",IF(Sync!$P531="","",Sync!$P531))</f>
        <v/>
      </c>
      <c r="N531" t="str">
        <f>IF($M531="","",IF(ISNUMBER(Sync!$L531),IF(AND(Sync!$L531&gt;=10000101,Sync!$L531&lt;=99991231),RIGHT("0000"&amp;INT(Sync!$L531/10000),4)&amp;"/"&amp;RIGHT("00"&amp;INT(MOD(Sync!$L531,10000)/100),2)&amp;"/"&amp;RIGHT("00"&amp;MOD(Sync!$L531,100),2),""),IFERROR(RIGHT("0000"&amp;VALUE(TRIM(LEFT(Sync!$L531,FIND("/",Sync!$L531)-1))),4)&amp;"/"&amp;RIGHT("00"&amp;VALUE(TRIM(LEFT(MID(Sync!$L531,FIND("/",Sync!$L531)+1,20),FIND("/",MID(Sync!$L531,FIND("/",Sync!$L531)+1,20))-1))),2)&amp;"/"&amp;RIGHT("00"&amp;VALUE(TRIM(MID(MID(Sync!$L531,FIND("/",Sync!$L531)+1,20),FIND("/",MID(Sync!$L531,FIND("/",Sync!$L531)+1,20))+1,20))),2),"")))</f>
        <v/>
      </c>
    </row>
    <row r="532" spans="13:14" x14ac:dyDescent="0.2">
      <c r="M532" t="str">
        <f>IF(Sync!$M532&lt;&gt;"پاس چک","",IF(Sync!$P532="","",Sync!$P532))</f>
        <v/>
      </c>
      <c r="N532" t="str">
        <f>IF($M532="","",IF(ISNUMBER(Sync!$L532),IF(AND(Sync!$L532&gt;=10000101,Sync!$L532&lt;=99991231),RIGHT("0000"&amp;INT(Sync!$L532/10000),4)&amp;"/"&amp;RIGHT("00"&amp;INT(MOD(Sync!$L532,10000)/100),2)&amp;"/"&amp;RIGHT("00"&amp;MOD(Sync!$L532,100),2),""),IFERROR(RIGHT("0000"&amp;VALUE(TRIM(LEFT(Sync!$L532,FIND("/",Sync!$L532)-1))),4)&amp;"/"&amp;RIGHT("00"&amp;VALUE(TRIM(LEFT(MID(Sync!$L532,FIND("/",Sync!$L532)+1,20),FIND("/",MID(Sync!$L532,FIND("/",Sync!$L532)+1,20))-1))),2)&amp;"/"&amp;RIGHT("00"&amp;VALUE(TRIM(MID(MID(Sync!$L532,FIND("/",Sync!$L532)+1,20),FIND("/",MID(Sync!$L532,FIND("/",Sync!$L532)+1,20))+1,20))),2),"")))</f>
        <v/>
      </c>
    </row>
    <row r="533" spans="13:14" x14ac:dyDescent="0.2">
      <c r="M533" t="str">
        <f>IF(Sync!$M533&lt;&gt;"پاس چک","",IF(Sync!$P533="","",Sync!$P533))</f>
        <v/>
      </c>
      <c r="N533" t="str">
        <f>IF($M533="","",IF(ISNUMBER(Sync!$L533),IF(AND(Sync!$L533&gt;=10000101,Sync!$L533&lt;=99991231),RIGHT("0000"&amp;INT(Sync!$L533/10000),4)&amp;"/"&amp;RIGHT("00"&amp;INT(MOD(Sync!$L533,10000)/100),2)&amp;"/"&amp;RIGHT("00"&amp;MOD(Sync!$L533,100),2),""),IFERROR(RIGHT("0000"&amp;VALUE(TRIM(LEFT(Sync!$L533,FIND("/",Sync!$L533)-1))),4)&amp;"/"&amp;RIGHT("00"&amp;VALUE(TRIM(LEFT(MID(Sync!$L533,FIND("/",Sync!$L533)+1,20),FIND("/",MID(Sync!$L533,FIND("/",Sync!$L533)+1,20))-1))),2)&amp;"/"&amp;RIGHT("00"&amp;VALUE(TRIM(MID(MID(Sync!$L533,FIND("/",Sync!$L533)+1,20),FIND("/",MID(Sync!$L533,FIND("/",Sync!$L533)+1,20))+1,20))),2),"")))</f>
        <v/>
      </c>
    </row>
    <row r="534" spans="13:14" x14ac:dyDescent="0.2">
      <c r="M534" t="str">
        <f>IF(Sync!$M534&lt;&gt;"پاس چک","",IF(Sync!$P534="","",Sync!$P534))</f>
        <v/>
      </c>
      <c r="N534" t="str">
        <f>IF($M534="","",IF(ISNUMBER(Sync!$L534),IF(AND(Sync!$L534&gt;=10000101,Sync!$L534&lt;=99991231),RIGHT("0000"&amp;INT(Sync!$L534/10000),4)&amp;"/"&amp;RIGHT("00"&amp;INT(MOD(Sync!$L534,10000)/100),2)&amp;"/"&amp;RIGHT("00"&amp;MOD(Sync!$L534,100),2),""),IFERROR(RIGHT("0000"&amp;VALUE(TRIM(LEFT(Sync!$L534,FIND("/",Sync!$L534)-1))),4)&amp;"/"&amp;RIGHT("00"&amp;VALUE(TRIM(LEFT(MID(Sync!$L534,FIND("/",Sync!$L534)+1,20),FIND("/",MID(Sync!$L534,FIND("/",Sync!$L534)+1,20))-1))),2)&amp;"/"&amp;RIGHT("00"&amp;VALUE(TRIM(MID(MID(Sync!$L534,FIND("/",Sync!$L534)+1,20),FIND("/",MID(Sync!$L534,FIND("/",Sync!$L534)+1,20))+1,20))),2),"")))</f>
        <v/>
      </c>
    </row>
    <row r="535" spans="13:14" x14ac:dyDescent="0.2">
      <c r="M535" t="str">
        <f>IF(Sync!$M535&lt;&gt;"پاس چک","",IF(Sync!$P535="","",Sync!$P535))</f>
        <v/>
      </c>
      <c r="N535" t="str">
        <f>IF($M535="","",IF(ISNUMBER(Sync!$L535),IF(AND(Sync!$L535&gt;=10000101,Sync!$L535&lt;=99991231),RIGHT("0000"&amp;INT(Sync!$L535/10000),4)&amp;"/"&amp;RIGHT("00"&amp;INT(MOD(Sync!$L535,10000)/100),2)&amp;"/"&amp;RIGHT("00"&amp;MOD(Sync!$L535,100),2),""),IFERROR(RIGHT("0000"&amp;VALUE(TRIM(LEFT(Sync!$L535,FIND("/",Sync!$L535)-1))),4)&amp;"/"&amp;RIGHT("00"&amp;VALUE(TRIM(LEFT(MID(Sync!$L535,FIND("/",Sync!$L535)+1,20),FIND("/",MID(Sync!$L535,FIND("/",Sync!$L535)+1,20))-1))),2)&amp;"/"&amp;RIGHT("00"&amp;VALUE(TRIM(MID(MID(Sync!$L535,FIND("/",Sync!$L535)+1,20),FIND("/",MID(Sync!$L535,FIND("/",Sync!$L535)+1,20))+1,20))),2),"")))</f>
        <v/>
      </c>
    </row>
    <row r="536" spans="13:14" x14ac:dyDescent="0.2">
      <c r="M536" t="str">
        <f>IF(Sync!$M536&lt;&gt;"پاس چک","",IF(Sync!$P536="","",Sync!$P536))</f>
        <v/>
      </c>
      <c r="N536" t="str">
        <f>IF($M536="","",IF(ISNUMBER(Sync!$L536),IF(AND(Sync!$L536&gt;=10000101,Sync!$L536&lt;=99991231),RIGHT("0000"&amp;INT(Sync!$L536/10000),4)&amp;"/"&amp;RIGHT("00"&amp;INT(MOD(Sync!$L536,10000)/100),2)&amp;"/"&amp;RIGHT("00"&amp;MOD(Sync!$L536,100),2),""),IFERROR(RIGHT("0000"&amp;VALUE(TRIM(LEFT(Sync!$L536,FIND("/",Sync!$L536)-1))),4)&amp;"/"&amp;RIGHT("00"&amp;VALUE(TRIM(LEFT(MID(Sync!$L536,FIND("/",Sync!$L536)+1,20),FIND("/",MID(Sync!$L536,FIND("/",Sync!$L536)+1,20))-1))),2)&amp;"/"&amp;RIGHT("00"&amp;VALUE(TRIM(MID(MID(Sync!$L536,FIND("/",Sync!$L536)+1,20),FIND("/",MID(Sync!$L536,FIND("/",Sync!$L536)+1,20))+1,20))),2),"")))</f>
        <v/>
      </c>
    </row>
    <row r="537" spans="13:14" x14ac:dyDescent="0.2">
      <c r="M537" t="str">
        <f>IF(Sync!$M537&lt;&gt;"پاس چک","",IF(Sync!$P537="","",Sync!$P537))</f>
        <v/>
      </c>
      <c r="N537" t="str">
        <f>IF($M537="","",IF(ISNUMBER(Sync!$L537),IF(AND(Sync!$L537&gt;=10000101,Sync!$L537&lt;=99991231),RIGHT("0000"&amp;INT(Sync!$L537/10000),4)&amp;"/"&amp;RIGHT("00"&amp;INT(MOD(Sync!$L537,10000)/100),2)&amp;"/"&amp;RIGHT("00"&amp;MOD(Sync!$L537,100),2),""),IFERROR(RIGHT("0000"&amp;VALUE(TRIM(LEFT(Sync!$L537,FIND("/",Sync!$L537)-1))),4)&amp;"/"&amp;RIGHT("00"&amp;VALUE(TRIM(LEFT(MID(Sync!$L537,FIND("/",Sync!$L537)+1,20),FIND("/",MID(Sync!$L537,FIND("/",Sync!$L537)+1,20))-1))),2)&amp;"/"&amp;RIGHT("00"&amp;VALUE(TRIM(MID(MID(Sync!$L537,FIND("/",Sync!$L537)+1,20),FIND("/",MID(Sync!$L537,FIND("/",Sync!$L537)+1,20))+1,20))),2),"")))</f>
        <v/>
      </c>
    </row>
    <row r="538" spans="13:14" x14ac:dyDescent="0.2">
      <c r="M538" t="str">
        <f>IF(Sync!$M538&lt;&gt;"پاس چک","",IF(Sync!$P538="","",Sync!$P538))</f>
        <v/>
      </c>
      <c r="N538" t="str">
        <f>IF($M538="","",IF(ISNUMBER(Sync!$L538),IF(AND(Sync!$L538&gt;=10000101,Sync!$L538&lt;=99991231),RIGHT("0000"&amp;INT(Sync!$L538/10000),4)&amp;"/"&amp;RIGHT("00"&amp;INT(MOD(Sync!$L538,10000)/100),2)&amp;"/"&amp;RIGHT("00"&amp;MOD(Sync!$L538,100),2),""),IFERROR(RIGHT("0000"&amp;VALUE(TRIM(LEFT(Sync!$L538,FIND("/",Sync!$L538)-1))),4)&amp;"/"&amp;RIGHT("00"&amp;VALUE(TRIM(LEFT(MID(Sync!$L538,FIND("/",Sync!$L538)+1,20),FIND("/",MID(Sync!$L538,FIND("/",Sync!$L538)+1,20))-1))),2)&amp;"/"&amp;RIGHT("00"&amp;VALUE(TRIM(MID(MID(Sync!$L538,FIND("/",Sync!$L538)+1,20),FIND("/",MID(Sync!$L538,FIND("/",Sync!$L538)+1,20))+1,20))),2),"")))</f>
        <v/>
      </c>
    </row>
    <row r="539" spans="13:14" x14ac:dyDescent="0.2">
      <c r="M539" t="str">
        <f>IF(Sync!$M539&lt;&gt;"پاس چک","",IF(Sync!$P539="","",Sync!$P539))</f>
        <v/>
      </c>
      <c r="N539" t="str">
        <f>IF($M539="","",IF(ISNUMBER(Sync!$L539),IF(AND(Sync!$L539&gt;=10000101,Sync!$L539&lt;=99991231),RIGHT("0000"&amp;INT(Sync!$L539/10000),4)&amp;"/"&amp;RIGHT("00"&amp;INT(MOD(Sync!$L539,10000)/100),2)&amp;"/"&amp;RIGHT("00"&amp;MOD(Sync!$L539,100),2),""),IFERROR(RIGHT("0000"&amp;VALUE(TRIM(LEFT(Sync!$L539,FIND("/",Sync!$L539)-1))),4)&amp;"/"&amp;RIGHT("00"&amp;VALUE(TRIM(LEFT(MID(Sync!$L539,FIND("/",Sync!$L539)+1,20),FIND("/",MID(Sync!$L539,FIND("/",Sync!$L539)+1,20))-1))),2)&amp;"/"&amp;RIGHT("00"&amp;VALUE(TRIM(MID(MID(Sync!$L539,FIND("/",Sync!$L539)+1,20),FIND("/",MID(Sync!$L539,FIND("/",Sync!$L539)+1,20))+1,20))),2),"")))</f>
        <v/>
      </c>
    </row>
    <row r="540" spans="13:14" x14ac:dyDescent="0.2">
      <c r="M540" t="str">
        <f>IF(Sync!$M540&lt;&gt;"پاس چک","",IF(Sync!$P540="","",Sync!$P540))</f>
        <v/>
      </c>
      <c r="N540" t="str">
        <f>IF($M540="","",IF(ISNUMBER(Sync!$L540),IF(AND(Sync!$L540&gt;=10000101,Sync!$L540&lt;=99991231),RIGHT("0000"&amp;INT(Sync!$L540/10000),4)&amp;"/"&amp;RIGHT("00"&amp;INT(MOD(Sync!$L540,10000)/100),2)&amp;"/"&amp;RIGHT("00"&amp;MOD(Sync!$L540,100),2),""),IFERROR(RIGHT("0000"&amp;VALUE(TRIM(LEFT(Sync!$L540,FIND("/",Sync!$L540)-1))),4)&amp;"/"&amp;RIGHT("00"&amp;VALUE(TRIM(LEFT(MID(Sync!$L540,FIND("/",Sync!$L540)+1,20),FIND("/",MID(Sync!$L540,FIND("/",Sync!$L540)+1,20))-1))),2)&amp;"/"&amp;RIGHT("00"&amp;VALUE(TRIM(MID(MID(Sync!$L540,FIND("/",Sync!$L540)+1,20),FIND("/",MID(Sync!$L540,FIND("/",Sync!$L540)+1,20))+1,20))),2),"")))</f>
        <v/>
      </c>
    </row>
    <row r="541" spans="13:14" x14ac:dyDescent="0.2">
      <c r="M541" t="str">
        <f>IF(Sync!$M541&lt;&gt;"پاس چک","",IF(Sync!$P541="","",Sync!$P541))</f>
        <v/>
      </c>
      <c r="N541" t="str">
        <f>IF($M541="","",IF(ISNUMBER(Sync!$L541),IF(AND(Sync!$L541&gt;=10000101,Sync!$L541&lt;=99991231),RIGHT("0000"&amp;INT(Sync!$L541/10000),4)&amp;"/"&amp;RIGHT("00"&amp;INT(MOD(Sync!$L541,10000)/100),2)&amp;"/"&amp;RIGHT("00"&amp;MOD(Sync!$L541,100),2),""),IFERROR(RIGHT("0000"&amp;VALUE(TRIM(LEFT(Sync!$L541,FIND("/",Sync!$L541)-1))),4)&amp;"/"&amp;RIGHT("00"&amp;VALUE(TRIM(LEFT(MID(Sync!$L541,FIND("/",Sync!$L541)+1,20),FIND("/",MID(Sync!$L541,FIND("/",Sync!$L541)+1,20))-1))),2)&amp;"/"&amp;RIGHT("00"&amp;VALUE(TRIM(MID(MID(Sync!$L541,FIND("/",Sync!$L541)+1,20),FIND("/",MID(Sync!$L541,FIND("/",Sync!$L541)+1,20))+1,20))),2),"")))</f>
        <v/>
      </c>
    </row>
    <row r="542" spans="13:14" x14ac:dyDescent="0.2">
      <c r="M542" t="str">
        <f>IF(Sync!$M542&lt;&gt;"پاس چک","",IF(Sync!$P542="","",Sync!$P542))</f>
        <v/>
      </c>
      <c r="N542" t="str">
        <f>IF($M542="","",IF(ISNUMBER(Sync!$L542),IF(AND(Sync!$L542&gt;=10000101,Sync!$L542&lt;=99991231),RIGHT("0000"&amp;INT(Sync!$L542/10000),4)&amp;"/"&amp;RIGHT("00"&amp;INT(MOD(Sync!$L542,10000)/100),2)&amp;"/"&amp;RIGHT("00"&amp;MOD(Sync!$L542,100),2),""),IFERROR(RIGHT("0000"&amp;VALUE(TRIM(LEFT(Sync!$L542,FIND("/",Sync!$L542)-1))),4)&amp;"/"&amp;RIGHT("00"&amp;VALUE(TRIM(LEFT(MID(Sync!$L542,FIND("/",Sync!$L542)+1,20),FIND("/",MID(Sync!$L542,FIND("/",Sync!$L542)+1,20))-1))),2)&amp;"/"&amp;RIGHT("00"&amp;VALUE(TRIM(MID(MID(Sync!$L542,FIND("/",Sync!$L542)+1,20),FIND("/",MID(Sync!$L542,FIND("/",Sync!$L542)+1,20))+1,20))),2),"")))</f>
        <v/>
      </c>
    </row>
    <row r="543" spans="13:14" x14ac:dyDescent="0.2">
      <c r="M543" t="str">
        <f>IF(Sync!$M543&lt;&gt;"پاس چک","",IF(Sync!$P543="","",Sync!$P543))</f>
        <v/>
      </c>
      <c r="N543" t="str">
        <f>IF($M543="","",IF(ISNUMBER(Sync!$L543),IF(AND(Sync!$L543&gt;=10000101,Sync!$L543&lt;=99991231),RIGHT("0000"&amp;INT(Sync!$L543/10000),4)&amp;"/"&amp;RIGHT("00"&amp;INT(MOD(Sync!$L543,10000)/100),2)&amp;"/"&amp;RIGHT("00"&amp;MOD(Sync!$L543,100),2),""),IFERROR(RIGHT("0000"&amp;VALUE(TRIM(LEFT(Sync!$L543,FIND("/",Sync!$L543)-1))),4)&amp;"/"&amp;RIGHT("00"&amp;VALUE(TRIM(LEFT(MID(Sync!$L543,FIND("/",Sync!$L543)+1,20),FIND("/",MID(Sync!$L543,FIND("/",Sync!$L543)+1,20))-1))),2)&amp;"/"&amp;RIGHT("00"&amp;VALUE(TRIM(MID(MID(Sync!$L543,FIND("/",Sync!$L543)+1,20),FIND("/",MID(Sync!$L543,FIND("/",Sync!$L543)+1,20))+1,20))),2),"")))</f>
        <v/>
      </c>
    </row>
    <row r="544" spans="13:14" x14ac:dyDescent="0.2">
      <c r="M544" t="str">
        <f>IF(Sync!$M544&lt;&gt;"پاس چک","",IF(Sync!$P544="","",Sync!$P544))</f>
        <v/>
      </c>
      <c r="N544" t="str">
        <f>IF($M544="","",IF(ISNUMBER(Sync!$L544),IF(AND(Sync!$L544&gt;=10000101,Sync!$L544&lt;=99991231),RIGHT("0000"&amp;INT(Sync!$L544/10000),4)&amp;"/"&amp;RIGHT("00"&amp;INT(MOD(Sync!$L544,10000)/100),2)&amp;"/"&amp;RIGHT("00"&amp;MOD(Sync!$L544,100),2),""),IFERROR(RIGHT("0000"&amp;VALUE(TRIM(LEFT(Sync!$L544,FIND("/",Sync!$L544)-1))),4)&amp;"/"&amp;RIGHT("00"&amp;VALUE(TRIM(LEFT(MID(Sync!$L544,FIND("/",Sync!$L544)+1,20),FIND("/",MID(Sync!$L544,FIND("/",Sync!$L544)+1,20))-1))),2)&amp;"/"&amp;RIGHT("00"&amp;VALUE(TRIM(MID(MID(Sync!$L544,FIND("/",Sync!$L544)+1,20),FIND("/",MID(Sync!$L544,FIND("/",Sync!$L544)+1,20))+1,20))),2),"")))</f>
        <v/>
      </c>
    </row>
    <row r="545" spans="13:14" x14ac:dyDescent="0.2">
      <c r="M545" t="str">
        <f>IF(Sync!$M545&lt;&gt;"پاس چک","",IF(Sync!$P545="","",Sync!$P545))</f>
        <v/>
      </c>
      <c r="N545" t="str">
        <f>IF($M545="","",IF(ISNUMBER(Sync!$L545),IF(AND(Sync!$L545&gt;=10000101,Sync!$L545&lt;=99991231),RIGHT("0000"&amp;INT(Sync!$L545/10000),4)&amp;"/"&amp;RIGHT("00"&amp;INT(MOD(Sync!$L545,10000)/100),2)&amp;"/"&amp;RIGHT("00"&amp;MOD(Sync!$L545,100),2),""),IFERROR(RIGHT("0000"&amp;VALUE(TRIM(LEFT(Sync!$L545,FIND("/",Sync!$L545)-1))),4)&amp;"/"&amp;RIGHT("00"&amp;VALUE(TRIM(LEFT(MID(Sync!$L545,FIND("/",Sync!$L545)+1,20),FIND("/",MID(Sync!$L545,FIND("/",Sync!$L545)+1,20))-1))),2)&amp;"/"&amp;RIGHT("00"&amp;VALUE(TRIM(MID(MID(Sync!$L545,FIND("/",Sync!$L545)+1,20),FIND("/",MID(Sync!$L545,FIND("/",Sync!$L545)+1,20))+1,20))),2),"")))</f>
        <v/>
      </c>
    </row>
    <row r="546" spans="13:14" x14ac:dyDescent="0.2">
      <c r="M546" t="str">
        <f>IF(Sync!$M546&lt;&gt;"پاس چک","",IF(Sync!$P546="","",Sync!$P546))</f>
        <v/>
      </c>
      <c r="N546" t="str">
        <f>IF($M546="","",IF(ISNUMBER(Sync!$L546),IF(AND(Sync!$L546&gt;=10000101,Sync!$L546&lt;=99991231),RIGHT("0000"&amp;INT(Sync!$L546/10000),4)&amp;"/"&amp;RIGHT("00"&amp;INT(MOD(Sync!$L546,10000)/100),2)&amp;"/"&amp;RIGHT("00"&amp;MOD(Sync!$L546,100),2),""),IFERROR(RIGHT("0000"&amp;VALUE(TRIM(LEFT(Sync!$L546,FIND("/",Sync!$L546)-1))),4)&amp;"/"&amp;RIGHT("00"&amp;VALUE(TRIM(LEFT(MID(Sync!$L546,FIND("/",Sync!$L546)+1,20),FIND("/",MID(Sync!$L546,FIND("/",Sync!$L546)+1,20))-1))),2)&amp;"/"&amp;RIGHT("00"&amp;VALUE(TRIM(MID(MID(Sync!$L546,FIND("/",Sync!$L546)+1,20),FIND("/",MID(Sync!$L546,FIND("/",Sync!$L546)+1,20))+1,20))),2),"")))</f>
        <v/>
      </c>
    </row>
    <row r="547" spans="13:14" x14ac:dyDescent="0.2">
      <c r="M547" t="str">
        <f>IF(Sync!$M547&lt;&gt;"پاس چک","",IF(Sync!$P547="","",Sync!$P547))</f>
        <v/>
      </c>
      <c r="N547" t="str">
        <f>IF($M547="","",IF(ISNUMBER(Sync!$L547),IF(AND(Sync!$L547&gt;=10000101,Sync!$L547&lt;=99991231),RIGHT("0000"&amp;INT(Sync!$L547/10000),4)&amp;"/"&amp;RIGHT("00"&amp;INT(MOD(Sync!$L547,10000)/100),2)&amp;"/"&amp;RIGHT("00"&amp;MOD(Sync!$L547,100),2),""),IFERROR(RIGHT("0000"&amp;VALUE(TRIM(LEFT(Sync!$L547,FIND("/",Sync!$L547)-1))),4)&amp;"/"&amp;RIGHT("00"&amp;VALUE(TRIM(LEFT(MID(Sync!$L547,FIND("/",Sync!$L547)+1,20),FIND("/",MID(Sync!$L547,FIND("/",Sync!$L547)+1,20))-1))),2)&amp;"/"&amp;RIGHT("00"&amp;VALUE(TRIM(MID(MID(Sync!$L547,FIND("/",Sync!$L547)+1,20),FIND("/",MID(Sync!$L547,FIND("/",Sync!$L547)+1,20))+1,20))),2),"")))</f>
        <v/>
      </c>
    </row>
    <row r="548" spans="13:14" x14ac:dyDescent="0.2">
      <c r="M548" t="str">
        <f>IF(Sync!$M548&lt;&gt;"پاس چک","",IF(Sync!$P548="","",Sync!$P548))</f>
        <v/>
      </c>
      <c r="N548" t="str">
        <f>IF($M548="","",IF(ISNUMBER(Sync!$L548),IF(AND(Sync!$L548&gt;=10000101,Sync!$L548&lt;=99991231),RIGHT("0000"&amp;INT(Sync!$L548/10000),4)&amp;"/"&amp;RIGHT("00"&amp;INT(MOD(Sync!$L548,10000)/100),2)&amp;"/"&amp;RIGHT("00"&amp;MOD(Sync!$L548,100),2),""),IFERROR(RIGHT("0000"&amp;VALUE(TRIM(LEFT(Sync!$L548,FIND("/",Sync!$L548)-1))),4)&amp;"/"&amp;RIGHT("00"&amp;VALUE(TRIM(LEFT(MID(Sync!$L548,FIND("/",Sync!$L548)+1,20),FIND("/",MID(Sync!$L548,FIND("/",Sync!$L548)+1,20))-1))),2)&amp;"/"&amp;RIGHT("00"&amp;VALUE(TRIM(MID(MID(Sync!$L548,FIND("/",Sync!$L548)+1,20),FIND("/",MID(Sync!$L548,FIND("/",Sync!$L548)+1,20))+1,20))),2),"")))</f>
        <v/>
      </c>
    </row>
    <row r="549" spans="13:14" x14ac:dyDescent="0.2">
      <c r="M549" t="str">
        <f>IF(Sync!$M549&lt;&gt;"پاس چک","",IF(Sync!$P549="","",Sync!$P549))</f>
        <v/>
      </c>
      <c r="N549" t="str">
        <f>IF($M549="","",IF(ISNUMBER(Sync!$L549),IF(AND(Sync!$L549&gt;=10000101,Sync!$L549&lt;=99991231),RIGHT("0000"&amp;INT(Sync!$L549/10000),4)&amp;"/"&amp;RIGHT("00"&amp;INT(MOD(Sync!$L549,10000)/100),2)&amp;"/"&amp;RIGHT("00"&amp;MOD(Sync!$L549,100),2),""),IFERROR(RIGHT("0000"&amp;VALUE(TRIM(LEFT(Sync!$L549,FIND("/",Sync!$L549)-1))),4)&amp;"/"&amp;RIGHT("00"&amp;VALUE(TRIM(LEFT(MID(Sync!$L549,FIND("/",Sync!$L549)+1,20),FIND("/",MID(Sync!$L549,FIND("/",Sync!$L549)+1,20))-1))),2)&amp;"/"&amp;RIGHT("00"&amp;VALUE(TRIM(MID(MID(Sync!$L549,FIND("/",Sync!$L549)+1,20),FIND("/",MID(Sync!$L549,FIND("/",Sync!$L549)+1,20))+1,20))),2),"")))</f>
        <v/>
      </c>
    </row>
    <row r="550" spans="13:14" x14ac:dyDescent="0.2">
      <c r="M550" t="str">
        <f>IF(Sync!$M550&lt;&gt;"پاس چک","",IF(Sync!$P550="","",Sync!$P550))</f>
        <v/>
      </c>
      <c r="N550" t="str">
        <f>IF($M550="","",IF(ISNUMBER(Sync!$L550),IF(AND(Sync!$L550&gt;=10000101,Sync!$L550&lt;=99991231),RIGHT("0000"&amp;INT(Sync!$L550/10000),4)&amp;"/"&amp;RIGHT("00"&amp;INT(MOD(Sync!$L550,10000)/100),2)&amp;"/"&amp;RIGHT("00"&amp;MOD(Sync!$L550,100),2),""),IFERROR(RIGHT("0000"&amp;VALUE(TRIM(LEFT(Sync!$L550,FIND("/",Sync!$L550)-1))),4)&amp;"/"&amp;RIGHT("00"&amp;VALUE(TRIM(LEFT(MID(Sync!$L550,FIND("/",Sync!$L550)+1,20),FIND("/",MID(Sync!$L550,FIND("/",Sync!$L550)+1,20))-1))),2)&amp;"/"&amp;RIGHT("00"&amp;VALUE(TRIM(MID(MID(Sync!$L550,FIND("/",Sync!$L550)+1,20),FIND("/",MID(Sync!$L550,FIND("/",Sync!$L550)+1,20))+1,20))),2),"")))</f>
        <v/>
      </c>
    </row>
    <row r="551" spans="13:14" x14ac:dyDescent="0.2">
      <c r="M551" t="str">
        <f>IF(Sync!$M551&lt;&gt;"پاس چک","",IF(Sync!$P551="","",Sync!$P551))</f>
        <v/>
      </c>
      <c r="N551" t="str">
        <f>IF($M551="","",IF(ISNUMBER(Sync!$L551),IF(AND(Sync!$L551&gt;=10000101,Sync!$L551&lt;=99991231),RIGHT("0000"&amp;INT(Sync!$L551/10000),4)&amp;"/"&amp;RIGHT("00"&amp;INT(MOD(Sync!$L551,10000)/100),2)&amp;"/"&amp;RIGHT("00"&amp;MOD(Sync!$L551,100),2),""),IFERROR(RIGHT("0000"&amp;VALUE(TRIM(LEFT(Sync!$L551,FIND("/",Sync!$L551)-1))),4)&amp;"/"&amp;RIGHT("00"&amp;VALUE(TRIM(LEFT(MID(Sync!$L551,FIND("/",Sync!$L551)+1,20),FIND("/",MID(Sync!$L551,FIND("/",Sync!$L551)+1,20))-1))),2)&amp;"/"&amp;RIGHT("00"&amp;VALUE(TRIM(MID(MID(Sync!$L551,FIND("/",Sync!$L551)+1,20),FIND("/",MID(Sync!$L551,FIND("/",Sync!$L551)+1,20))+1,20))),2),"")))</f>
        <v/>
      </c>
    </row>
    <row r="552" spans="13:14" x14ac:dyDescent="0.2">
      <c r="M552" t="str">
        <f>IF(Sync!$M552&lt;&gt;"پاس چک","",IF(Sync!$P552="","",Sync!$P552))</f>
        <v/>
      </c>
      <c r="N552" t="str">
        <f>IF($M552="","",IF(ISNUMBER(Sync!$L552),IF(AND(Sync!$L552&gt;=10000101,Sync!$L552&lt;=99991231),RIGHT("0000"&amp;INT(Sync!$L552/10000),4)&amp;"/"&amp;RIGHT("00"&amp;INT(MOD(Sync!$L552,10000)/100),2)&amp;"/"&amp;RIGHT("00"&amp;MOD(Sync!$L552,100),2),""),IFERROR(RIGHT("0000"&amp;VALUE(TRIM(LEFT(Sync!$L552,FIND("/",Sync!$L552)-1))),4)&amp;"/"&amp;RIGHT("00"&amp;VALUE(TRIM(LEFT(MID(Sync!$L552,FIND("/",Sync!$L552)+1,20),FIND("/",MID(Sync!$L552,FIND("/",Sync!$L552)+1,20))-1))),2)&amp;"/"&amp;RIGHT("00"&amp;VALUE(TRIM(MID(MID(Sync!$L552,FIND("/",Sync!$L552)+1,20),FIND("/",MID(Sync!$L552,FIND("/",Sync!$L552)+1,20))+1,20))),2),"")))</f>
        <v/>
      </c>
    </row>
    <row r="553" spans="13:14" x14ac:dyDescent="0.2">
      <c r="M553" t="str">
        <f>IF(Sync!$M553&lt;&gt;"پاس چک","",IF(Sync!$P553="","",Sync!$P553))</f>
        <v/>
      </c>
      <c r="N553" t="str">
        <f>IF($M553="","",IF(ISNUMBER(Sync!$L553),IF(AND(Sync!$L553&gt;=10000101,Sync!$L553&lt;=99991231),RIGHT("0000"&amp;INT(Sync!$L553/10000),4)&amp;"/"&amp;RIGHT("00"&amp;INT(MOD(Sync!$L553,10000)/100),2)&amp;"/"&amp;RIGHT("00"&amp;MOD(Sync!$L553,100),2),""),IFERROR(RIGHT("0000"&amp;VALUE(TRIM(LEFT(Sync!$L553,FIND("/",Sync!$L553)-1))),4)&amp;"/"&amp;RIGHT("00"&amp;VALUE(TRIM(LEFT(MID(Sync!$L553,FIND("/",Sync!$L553)+1,20),FIND("/",MID(Sync!$L553,FIND("/",Sync!$L553)+1,20))-1))),2)&amp;"/"&amp;RIGHT("00"&amp;VALUE(TRIM(MID(MID(Sync!$L553,FIND("/",Sync!$L553)+1,20),FIND("/",MID(Sync!$L553,FIND("/",Sync!$L553)+1,20))+1,20))),2),"")))</f>
        <v/>
      </c>
    </row>
    <row r="554" spans="13:14" x14ac:dyDescent="0.2">
      <c r="M554" t="str">
        <f>IF(Sync!$M554&lt;&gt;"پاس چک","",IF(Sync!$P554="","",Sync!$P554))</f>
        <v/>
      </c>
      <c r="N554" t="str">
        <f>IF($M554="","",IF(ISNUMBER(Sync!$L554),IF(AND(Sync!$L554&gt;=10000101,Sync!$L554&lt;=99991231),RIGHT("0000"&amp;INT(Sync!$L554/10000),4)&amp;"/"&amp;RIGHT("00"&amp;INT(MOD(Sync!$L554,10000)/100),2)&amp;"/"&amp;RIGHT("00"&amp;MOD(Sync!$L554,100),2),""),IFERROR(RIGHT("0000"&amp;VALUE(TRIM(LEFT(Sync!$L554,FIND("/",Sync!$L554)-1))),4)&amp;"/"&amp;RIGHT("00"&amp;VALUE(TRIM(LEFT(MID(Sync!$L554,FIND("/",Sync!$L554)+1,20),FIND("/",MID(Sync!$L554,FIND("/",Sync!$L554)+1,20))-1))),2)&amp;"/"&amp;RIGHT("00"&amp;VALUE(TRIM(MID(MID(Sync!$L554,FIND("/",Sync!$L554)+1,20),FIND("/",MID(Sync!$L554,FIND("/",Sync!$L554)+1,20))+1,20))),2),"")))</f>
        <v/>
      </c>
    </row>
    <row r="555" spans="13:14" x14ac:dyDescent="0.2">
      <c r="M555" t="str">
        <f>IF(Sync!$M555&lt;&gt;"پاس چک","",IF(Sync!$P555="","",Sync!$P555))</f>
        <v/>
      </c>
      <c r="N555" t="str">
        <f>IF($M555="","",IF(ISNUMBER(Sync!$L555),IF(AND(Sync!$L555&gt;=10000101,Sync!$L555&lt;=99991231),RIGHT("0000"&amp;INT(Sync!$L555/10000),4)&amp;"/"&amp;RIGHT("00"&amp;INT(MOD(Sync!$L555,10000)/100),2)&amp;"/"&amp;RIGHT("00"&amp;MOD(Sync!$L555,100),2),""),IFERROR(RIGHT("0000"&amp;VALUE(TRIM(LEFT(Sync!$L555,FIND("/",Sync!$L555)-1))),4)&amp;"/"&amp;RIGHT("00"&amp;VALUE(TRIM(LEFT(MID(Sync!$L555,FIND("/",Sync!$L555)+1,20),FIND("/",MID(Sync!$L555,FIND("/",Sync!$L555)+1,20))-1))),2)&amp;"/"&amp;RIGHT("00"&amp;VALUE(TRIM(MID(MID(Sync!$L555,FIND("/",Sync!$L555)+1,20),FIND("/",MID(Sync!$L555,FIND("/",Sync!$L555)+1,20))+1,20))),2),"")))</f>
        <v/>
      </c>
    </row>
    <row r="556" spans="13:14" x14ac:dyDescent="0.2">
      <c r="M556" t="str">
        <f>IF(Sync!$M556&lt;&gt;"پاس چک","",IF(Sync!$P556="","",Sync!$P556))</f>
        <v/>
      </c>
      <c r="N556" t="str">
        <f>IF($M556="","",IF(ISNUMBER(Sync!$L556),IF(AND(Sync!$L556&gt;=10000101,Sync!$L556&lt;=99991231),RIGHT("0000"&amp;INT(Sync!$L556/10000),4)&amp;"/"&amp;RIGHT("00"&amp;INT(MOD(Sync!$L556,10000)/100),2)&amp;"/"&amp;RIGHT("00"&amp;MOD(Sync!$L556,100),2),""),IFERROR(RIGHT("0000"&amp;VALUE(TRIM(LEFT(Sync!$L556,FIND("/",Sync!$L556)-1))),4)&amp;"/"&amp;RIGHT("00"&amp;VALUE(TRIM(LEFT(MID(Sync!$L556,FIND("/",Sync!$L556)+1,20),FIND("/",MID(Sync!$L556,FIND("/",Sync!$L556)+1,20))-1))),2)&amp;"/"&amp;RIGHT("00"&amp;VALUE(TRIM(MID(MID(Sync!$L556,FIND("/",Sync!$L556)+1,20),FIND("/",MID(Sync!$L556,FIND("/",Sync!$L556)+1,20))+1,20))),2),"")))</f>
        <v/>
      </c>
    </row>
    <row r="557" spans="13:14" x14ac:dyDescent="0.2">
      <c r="M557" t="str">
        <f>IF(Sync!$M557&lt;&gt;"پاس چک","",IF(Sync!$P557="","",Sync!$P557))</f>
        <v/>
      </c>
      <c r="N557" t="str">
        <f>IF($M557="","",IF(ISNUMBER(Sync!$L557),IF(AND(Sync!$L557&gt;=10000101,Sync!$L557&lt;=99991231),RIGHT("0000"&amp;INT(Sync!$L557/10000),4)&amp;"/"&amp;RIGHT("00"&amp;INT(MOD(Sync!$L557,10000)/100),2)&amp;"/"&amp;RIGHT("00"&amp;MOD(Sync!$L557,100),2),""),IFERROR(RIGHT("0000"&amp;VALUE(TRIM(LEFT(Sync!$L557,FIND("/",Sync!$L557)-1))),4)&amp;"/"&amp;RIGHT("00"&amp;VALUE(TRIM(LEFT(MID(Sync!$L557,FIND("/",Sync!$L557)+1,20),FIND("/",MID(Sync!$L557,FIND("/",Sync!$L557)+1,20))-1))),2)&amp;"/"&amp;RIGHT("00"&amp;VALUE(TRIM(MID(MID(Sync!$L557,FIND("/",Sync!$L557)+1,20),FIND("/",MID(Sync!$L557,FIND("/",Sync!$L557)+1,20))+1,20))),2),"")))</f>
        <v/>
      </c>
    </row>
    <row r="558" spans="13:14" x14ac:dyDescent="0.2">
      <c r="M558" t="str">
        <f>IF(Sync!$M558&lt;&gt;"پاس چک","",IF(Sync!$P558="","",Sync!$P558))</f>
        <v/>
      </c>
      <c r="N558" t="str">
        <f>IF($M558="","",IF(ISNUMBER(Sync!$L558),IF(AND(Sync!$L558&gt;=10000101,Sync!$L558&lt;=99991231),RIGHT("0000"&amp;INT(Sync!$L558/10000),4)&amp;"/"&amp;RIGHT("00"&amp;INT(MOD(Sync!$L558,10000)/100),2)&amp;"/"&amp;RIGHT("00"&amp;MOD(Sync!$L558,100),2),""),IFERROR(RIGHT("0000"&amp;VALUE(TRIM(LEFT(Sync!$L558,FIND("/",Sync!$L558)-1))),4)&amp;"/"&amp;RIGHT("00"&amp;VALUE(TRIM(LEFT(MID(Sync!$L558,FIND("/",Sync!$L558)+1,20),FIND("/",MID(Sync!$L558,FIND("/",Sync!$L558)+1,20))-1))),2)&amp;"/"&amp;RIGHT("00"&amp;VALUE(TRIM(MID(MID(Sync!$L558,FIND("/",Sync!$L558)+1,20),FIND("/",MID(Sync!$L558,FIND("/",Sync!$L558)+1,20))+1,20))),2),"")))</f>
        <v/>
      </c>
    </row>
    <row r="559" spans="13:14" x14ac:dyDescent="0.2">
      <c r="M559" t="str">
        <f>IF(Sync!$M559&lt;&gt;"پاس چک","",IF(Sync!$P559="","",Sync!$P559))</f>
        <v/>
      </c>
      <c r="N559" t="str">
        <f>IF($M559="","",IF(ISNUMBER(Sync!$L559),IF(AND(Sync!$L559&gt;=10000101,Sync!$L559&lt;=99991231),RIGHT("0000"&amp;INT(Sync!$L559/10000),4)&amp;"/"&amp;RIGHT("00"&amp;INT(MOD(Sync!$L559,10000)/100),2)&amp;"/"&amp;RIGHT("00"&amp;MOD(Sync!$L559,100),2),""),IFERROR(RIGHT("0000"&amp;VALUE(TRIM(LEFT(Sync!$L559,FIND("/",Sync!$L559)-1))),4)&amp;"/"&amp;RIGHT("00"&amp;VALUE(TRIM(LEFT(MID(Sync!$L559,FIND("/",Sync!$L559)+1,20),FIND("/",MID(Sync!$L559,FIND("/",Sync!$L559)+1,20))-1))),2)&amp;"/"&amp;RIGHT("00"&amp;VALUE(TRIM(MID(MID(Sync!$L559,FIND("/",Sync!$L559)+1,20),FIND("/",MID(Sync!$L559,FIND("/",Sync!$L559)+1,20))+1,20))),2),"")))</f>
        <v/>
      </c>
    </row>
    <row r="560" spans="13:14" x14ac:dyDescent="0.2">
      <c r="M560" t="str">
        <f>IF(Sync!$M560&lt;&gt;"پاس چک","",IF(Sync!$P560="","",Sync!$P560))</f>
        <v/>
      </c>
      <c r="N560" t="str">
        <f>IF($M560="","",IF(ISNUMBER(Sync!$L560),IF(AND(Sync!$L560&gt;=10000101,Sync!$L560&lt;=99991231),RIGHT("0000"&amp;INT(Sync!$L560/10000),4)&amp;"/"&amp;RIGHT("00"&amp;INT(MOD(Sync!$L560,10000)/100),2)&amp;"/"&amp;RIGHT("00"&amp;MOD(Sync!$L560,100),2),""),IFERROR(RIGHT("0000"&amp;VALUE(TRIM(LEFT(Sync!$L560,FIND("/",Sync!$L560)-1))),4)&amp;"/"&amp;RIGHT("00"&amp;VALUE(TRIM(LEFT(MID(Sync!$L560,FIND("/",Sync!$L560)+1,20),FIND("/",MID(Sync!$L560,FIND("/",Sync!$L560)+1,20))-1))),2)&amp;"/"&amp;RIGHT("00"&amp;VALUE(TRIM(MID(MID(Sync!$L560,FIND("/",Sync!$L560)+1,20),FIND("/",MID(Sync!$L560,FIND("/",Sync!$L560)+1,20))+1,20))),2),"")))</f>
        <v/>
      </c>
    </row>
    <row r="561" spans="13:14" x14ac:dyDescent="0.2">
      <c r="M561" t="str">
        <f>IF(Sync!$M561&lt;&gt;"پاس چک","",IF(Sync!$P561="","",Sync!$P561))</f>
        <v/>
      </c>
      <c r="N561" t="str">
        <f>IF($M561="","",IF(ISNUMBER(Sync!$L561),IF(AND(Sync!$L561&gt;=10000101,Sync!$L561&lt;=99991231),RIGHT("0000"&amp;INT(Sync!$L561/10000),4)&amp;"/"&amp;RIGHT("00"&amp;INT(MOD(Sync!$L561,10000)/100),2)&amp;"/"&amp;RIGHT("00"&amp;MOD(Sync!$L561,100),2),""),IFERROR(RIGHT("0000"&amp;VALUE(TRIM(LEFT(Sync!$L561,FIND("/",Sync!$L561)-1))),4)&amp;"/"&amp;RIGHT("00"&amp;VALUE(TRIM(LEFT(MID(Sync!$L561,FIND("/",Sync!$L561)+1,20),FIND("/",MID(Sync!$L561,FIND("/",Sync!$L561)+1,20))-1))),2)&amp;"/"&amp;RIGHT("00"&amp;VALUE(TRIM(MID(MID(Sync!$L561,FIND("/",Sync!$L561)+1,20),FIND("/",MID(Sync!$L561,FIND("/",Sync!$L561)+1,20))+1,20))),2),"")))</f>
        <v/>
      </c>
    </row>
    <row r="562" spans="13:14" x14ac:dyDescent="0.2">
      <c r="M562" t="str">
        <f>IF(Sync!$M562&lt;&gt;"پاس چک","",IF(Sync!$P562="","",Sync!$P562))</f>
        <v/>
      </c>
      <c r="N562" t="str">
        <f>IF($M562="","",IF(ISNUMBER(Sync!$L562),IF(AND(Sync!$L562&gt;=10000101,Sync!$L562&lt;=99991231),RIGHT("0000"&amp;INT(Sync!$L562/10000),4)&amp;"/"&amp;RIGHT("00"&amp;INT(MOD(Sync!$L562,10000)/100),2)&amp;"/"&amp;RIGHT("00"&amp;MOD(Sync!$L562,100),2),""),IFERROR(RIGHT("0000"&amp;VALUE(TRIM(LEFT(Sync!$L562,FIND("/",Sync!$L562)-1))),4)&amp;"/"&amp;RIGHT("00"&amp;VALUE(TRIM(LEFT(MID(Sync!$L562,FIND("/",Sync!$L562)+1,20),FIND("/",MID(Sync!$L562,FIND("/",Sync!$L562)+1,20))-1))),2)&amp;"/"&amp;RIGHT("00"&amp;VALUE(TRIM(MID(MID(Sync!$L562,FIND("/",Sync!$L562)+1,20),FIND("/",MID(Sync!$L562,FIND("/",Sync!$L562)+1,20))+1,20))),2),"")))</f>
        <v/>
      </c>
    </row>
    <row r="563" spans="13:14" x14ac:dyDescent="0.2">
      <c r="M563" t="str">
        <f>IF(Sync!$M563&lt;&gt;"پاس چک","",IF(Sync!$P563="","",Sync!$P563))</f>
        <v/>
      </c>
      <c r="N563" t="str">
        <f>IF($M563="","",IF(ISNUMBER(Sync!$L563),IF(AND(Sync!$L563&gt;=10000101,Sync!$L563&lt;=99991231),RIGHT("0000"&amp;INT(Sync!$L563/10000),4)&amp;"/"&amp;RIGHT("00"&amp;INT(MOD(Sync!$L563,10000)/100),2)&amp;"/"&amp;RIGHT("00"&amp;MOD(Sync!$L563,100),2),""),IFERROR(RIGHT("0000"&amp;VALUE(TRIM(LEFT(Sync!$L563,FIND("/",Sync!$L563)-1))),4)&amp;"/"&amp;RIGHT("00"&amp;VALUE(TRIM(LEFT(MID(Sync!$L563,FIND("/",Sync!$L563)+1,20),FIND("/",MID(Sync!$L563,FIND("/",Sync!$L563)+1,20))-1))),2)&amp;"/"&amp;RIGHT("00"&amp;VALUE(TRIM(MID(MID(Sync!$L563,FIND("/",Sync!$L563)+1,20),FIND("/",MID(Sync!$L563,FIND("/",Sync!$L563)+1,20))+1,20))),2),"")))</f>
        <v/>
      </c>
    </row>
    <row r="564" spans="13:14" x14ac:dyDescent="0.2">
      <c r="M564" t="str">
        <f>IF(Sync!$M564&lt;&gt;"پاس چک","",IF(Sync!$P564="","",Sync!$P564))</f>
        <v/>
      </c>
      <c r="N564" t="str">
        <f>IF($M564="","",IF(ISNUMBER(Sync!$L564),IF(AND(Sync!$L564&gt;=10000101,Sync!$L564&lt;=99991231),RIGHT("0000"&amp;INT(Sync!$L564/10000),4)&amp;"/"&amp;RIGHT("00"&amp;INT(MOD(Sync!$L564,10000)/100),2)&amp;"/"&amp;RIGHT("00"&amp;MOD(Sync!$L564,100),2),""),IFERROR(RIGHT("0000"&amp;VALUE(TRIM(LEFT(Sync!$L564,FIND("/",Sync!$L564)-1))),4)&amp;"/"&amp;RIGHT("00"&amp;VALUE(TRIM(LEFT(MID(Sync!$L564,FIND("/",Sync!$L564)+1,20),FIND("/",MID(Sync!$L564,FIND("/",Sync!$L564)+1,20))-1))),2)&amp;"/"&amp;RIGHT("00"&amp;VALUE(TRIM(MID(MID(Sync!$L564,FIND("/",Sync!$L564)+1,20),FIND("/",MID(Sync!$L564,FIND("/",Sync!$L564)+1,20))+1,20))),2),"")))</f>
        <v/>
      </c>
    </row>
    <row r="565" spans="13:14" x14ac:dyDescent="0.2">
      <c r="M565" t="str">
        <f>IF(Sync!$M565&lt;&gt;"پاس چک","",IF(Sync!$P565="","",Sync!$P565))</f>
        <v/>
      </c>
      <c r="N565" t="str">
        <f>IF($M565="","",IF(ISNUMBER(Sync!$L565),IF(AND(Sync!$L565&gt;=10000101,Sync!$L565&lt;=99991231),RIGHT("0000"&amp;INT(Sync!$L565/10000),4)&amp;"/"&amp;RIGHT("00"&amp;INT(MOD(Sync!$L565,10000)/100),2)&amp;"/"&amp;RIGHT("00"&amp;MOD(Sync!$L565,100),2),""),IFERROR(RIGHT("0000"&amp;VALUE(TRIM(LEFT(Sync!$L565,FIND("/",Sync!$L565)-1))),4)&amp;"/"&amp;RIGHT("00"&amp;VALUE(TRIM(LEFT(MID(Sync!$L565,FIND("/",Sync!$L565)+1,20),FIND("/",MID(Sync!$L565,FIND("/",Sync!$L565)+1,20))-1))),2)&amp;"/"&amp;RIGHT("00"&amp;VALUE(TRIM(MID(MID(Sync!$L565,FIND("/",Sync!$L565)+1,20),FIND("/",MID(Sync!$L565,FIND("/",Sync!$L565)+1,20))+1,20))),2),"")))</f>
        <v/>
      </c>
    </row>
    <row r="566" spans="13:14" x14ac:dyDescent="0.2">
      <c r="M566" t="str">
        <f>IF(Sync!$M566&lt;&gt;"پاس چک","",IF(Sync!$P566="","",Sync!$P566))</f>
        <v/>
      </c>
      <c r="N566" t="str">
        <f>IF($M566="","",IF(ISNUMBER(Sync!$L566),IF(AND(Sync!$L566&gt;=10000101,Sync!$L566&lt;=99991231),RIGHT("0000"&amp;INT(Sync!$L566/10000),4)&amp;"/"&amp;RIGHT("00"&amp;INT(MOD(Sync!$L566,10000)/100),2)&amp;"/"&amp;RIGHT("00"&amp;MOD(Sync!$L566,100),2),""),IFERROR(RIGHT("0000"&amp;VALUE(TRIM(LEFT(Sync!$L566,FIND("/",Sync!$L566)-1))),4)&amp;"/"&amp;RIGHT("00"&amp;VALUE(TRIM(LEFT(MID(Sync!$L566,FIND("/",Sync!$L566)+1,20),FIND("/",MID(Sync!$L566,FIND("/",Sync!$L566)+1,20))-1))),2)&amp;"/"&amp;RIGHT("00"&amp;VALUE(TRIM(MID(MID(Sync!$L566,FIND("/",Sync!$L566)+1,20),FIND("/",MID(Sync!$L566,FIND("/",Sync!$L566)+1,20))+1,20))),2),"")))</f>
        <v/>
      </c>
    </row>
    <row r="567" spans="13:14" x14ac:dyDescent="0.2">
      <c r="M567" t="str">
        <f>IF(Sync!$M567&lt;&gt;"پاس چک","",IF(Sync!$P567="","",Sync!$P567))</f>
        <v/>
      </c>
      <c r="N567" t="str">
        <f>IF($M567="","",IF(ISNUMBER(Sync!$L567),IF(AND(Sync!$L567&gt;=10000101,Sync!$L567&lt;=99991231),RIGHT("0000"&amp;INT(Sync!$L567/10000),4)&amp;"/"&amp;RIGHT("00"&amp;INT(MOD(Sync!$L567,10000)/100),2)&amp;"/"&amp;RIGHT("00"&amp;MOD(Sync!$L567,100),2),""),IFERROR(RIGHT("0000"&amp;VALUE(TRIM(LEFT(Sync!$L567,FIND("/",Sync!$L567)-1))),4)&amp;"/"&amp;RIGHT("00"&amp;VALUE(TRIM(LEFT(MID(Sync!$L567,FIND("/",Sync!$L567)+1,20),FIND("/",MID(Sync!$L567,FIND("/",Sync!$L567)+1,20))-1))),2)&amp;"/"&amp;RIGHT("00"&amp;VALUE(TRIM(MID(MID(Sync!$L567,FIND("/",Sync!$L567)+1,20),FIND("/",MID(Sync!$L567,FIND("/",Sync!$L567)+1,20))+1,20))),2),"")))</f>
        <v/>
      </c>
    </row>
    <row r="568" spans="13:14" x14ac:dyDescent="0.2">
      <c r="M568" t="str">
        <f>IF(Sync!$M568&lt;&gt;"پاس چک","",IF(Sync!$P568="","",Sync!$P568))</f>
        <v/>
      </c>
      <c r="N568" t="str">
        <f>IF($M568="","",IF(ISNUMBER(Sync!$L568),IF(AND(Sync!$L568&gt;=10000101,Sync!$L568&lt;=99991231),RIGHT("0000"&amp;INT(Sync!$L568/10000),4)&amp;"/"&amp;RIGHT("00"&amp;INT(MOD(Sync!$L568,10000)/100),2)&amp;"/"&amp;RIGHT("00"&amp;MOD(Sync!$L568,100),2),""),IFERROR(RIGHT("0000"&amp;VALUE(TRIM(LEFT(Sync!$L568,FIND("/",Sync!$L568)-1))),4)&amp;"/"&amp;RIGHT("00"&amp;VALUE(TRIM(LEFT(MID(Sync!$L568,FIND("/",Sync!$L568)+1,20),FIND("/",MID(Sync!$L568,FIND("/",Sync!$L568)+1,20))-1))),2)&amp;"/"&amp;RIGHT("00"&amp;VALUE(TRIM(MID(MID(Sync!$L568,FIND("/",Sync!$L568)+1,20),FIND("/",MID(Sync!$L568,FIND("/",Sync!$L568)+1,20))+1,20))),2),"")))</f>
        <v/>
      </c>
    </row>
    <row r="569" spans="13:14" x14ac:dyDescent="0.2">
      <c r="M569" t="str">
        <f>IF(Sync!$M569&lt;&gt;"پاس چک","",IF(Sync!$P569="","",Sync!$P569))</f>
        <v/>
      </c>
      <c r="N569" t="str">
        <f>IF($M569="","",IF(ISNUMBER(Sync!$L569),IF(AND(Sync!$L569&gt;=10000101,Sync!$L569&lt;=99991231),RIGHT("0000"&amp;INT(Sync!$L569/10000),4)&amp;"/"&amp;RIGHT("00"&amp;INT(MOD(Sync!$L569,10000)/100),2)&amp;"/"&amp;RIGHT("00"&amp;MOD(Sync!$L569,100),2),""),IFERROR(RIGHT("0000"&amp;VALUE(TRIM(LEFT(Sync!$L569,FIND("/",Sync!$L569)-1))),4)&amp;"/"&amp;RIGHT("00"&amp;VALUE(TRIM(LEFT(MID(Sync!$L569,FIND("/",Sync!$L569)+1,20),FIND("/",MID(Sync!$L569,FIND("/",Sync!$L569)+1,20))-1))),2)&amp;"/"&amp;RIGHT("00"&amp;VALUE(TRIM(MID(MID(Sync!$L569,FIND("/",Sync!$L569)+1,20),FIND("/",MID(Sync!$L569,FIND("/",Sync!$L569)+1,20))+1,20))),2),"")))</f>
        <v/>
      </c>
    </row>
    <row r="570" spans="13:14" x14ac:dyDescent="0.2">
      <c r="M570" t="str">
        <f>IF(Sync!$M570&lt;&gt;"پاس چک","",IF(Sync!$P570="","",Sync!$P570))</f>
        <v/>
      </c>
      <c r="N570" t="str">
        <f>IF($M570="","",IF(ISNUMBER(Sync!$L570),IF(AND(Sync!$L570&gt;=10000101,Sync!$L570&lt;=99991231),RIGHT("0000"&amp;INT(Sync!$L570/10000),4)&amp;"/"&amp;RIGHT("00"&amp;INT(MOD(Sync!$L570,10000)/100),2)&amp;"/"&amp;RIGHT("00"&amp;MOD(Sync!$L570,100),2),""),IFERROR(RIGHT("0000"&amp;VALUE(TRIM(LEFT(Sync!$L570,FIND("/",Sync!$L570)-1))),4)&amp;"/"&amp;RIGHT("00"&amp;VALUE(TRIM(LEFT(MID(Sync!$L570,FIND("/",Sync!$L570)+1,20),FIND("/",MID(Sync!$L570,FIND("/",Sync!$L570)+1,20))-1))),2)&amp;"/"&amp;RIGHT("00"&amp;VALUE(TRIM(MID(MID(Sync!$L570,FIND("/",Sync!$L570)+1,20),FIND("/",MID(Sync!$L570,FIND("/",Sync!$L570)+1,20))+1,20))),2),"")))</f>
        <v/>
      </c>
    </row>
    <row r="571" spans="13:14" x14ac:dyDescent="0.2">
      <c r="M571" t="str">
        <f>IF(Sync!$M571&lt;&gt;"پاس چک","",IF(Sync!$P571="","",Sync!$P571))</f>
        <v/>
      </c>
      <c r="N571" t="str">
        <f>IF($M571="","",IF(ISNUMBER(Sync!$L571),IF(AND(Sync!$L571&gt;=10000101,Sync!$L571&lt;=99991231),RIGHT("0000"&amp;INT(Sync!$L571/10000),4)&amp;"/"&amp;RIGHT("00"&amp;INT(MOD(Sync!$L571,10000)/100),2)&amp;"/"&amp;RIGHT("00"&amp;MOD(Sync!$L571,100),2),""),IFERROR(RIGHT("0000"&amp;VALUE(TRIM(LEFT(Sync!$L571,FIND("/",Sync!$L571)-1))),4)&amp;"/"&amp;RIGHT("00"&amp;VALUE(TRIM(LEFT(MID(Sync!$L571,FIND("/",Sync!$L571)+1,20),FIND("/",MID(Sync!$L571,FIND("/",Sync!$L571)+1,20))-1))),2)&amp;"/"&amp;RIGHT("00"&amp;VALUE(TRIM(MID(MID(Sync!$L571,FIND("/",Sync!$L571)+1,20),FIND("/",MID(Sync!$L571,FIND("/",Sync!$L571)+1,20))+1,20))),2),"")))</f>
        <v/>
      </c>
    </row>
    <row r="572" spans="13:14" x14ac:dyDescent="0.2">
      <c r="M572" t="str">
        <f>IF(Sync!$M572&lt;&gt;"پاس چک","",IF(Sync!$P572="","",Sync!$P572))</f>
        <v/>
      </c>
      <c r="N572" t="str">
        <f>IF($M572="","",IF(ISNUMBER(Sync!$L572),IF(AND(Sync!$L572&gt;=10000101,Sync!$L572&lt;=99991231),RIGHT("0000"&amp;INT(Sync!$L572/10000),4)&amp;"/"&amp;RIGHT("00"&amp;INT(MOD(Sync!$L572,10000)/100),2)&amp;"/"&amp;RIGHT("00"&amp;MOD(Sync!$L572,100),2),""),IFERROR(RIGHT("0000"&amp;VALUE(TRIM(LEFT(Sync!$L572,FIND("/",Sync!$L572)-1))),4)&amp;"/"&amp;RIGHT("00"&amp;VALUE(TRIM(LEFT(MID(Sync!$L572,FIND("/",Sync!$L572)+1,20),FIND("/",MID(Sync!$L572,FIND("/",Sync!$L572)+1,20))-1))),2)&amp;"/"&amp;RIGHT("00"&amp;VALUE(TRIM(MID(MID(Sync!$L572,FIND("/",Sync!$L572)+1,20),FIND("/",MID(Sync!$L572,FIND("/",Sync!$L572)+1,20))+1,20))),2),"")))</f>
        <v/>
      </c>
    </row>
    <row r="573" spans="13:14" x14ac:dyDescent="0.2">
      <c r="M573" t="str">
        <f>IF(Sync!$M573&lt;&gt;"پاس چک","",IF(Sync!$P573="","",Sync!$P573))</f>
        <v/>
      </c>
      <c r="N573" t="str">
        <f>IF($M573="","",IF(ISNUMBER(Sync!$L573),IF(AND(Sync!$L573&gt;=10000101,Sync!$L573&lt;=99991231),RIGHT("0000"&amp;INT(Sync!$L573/10000),4)&amp;"/"&amp;RIGHT("00"&amp;INT(MOD(Sync!$L573,10000)/100),2)&amp;"/"&amp;RIGHT("00"&amp;MOD(Sync!$L573,100),2),""),IFERROR(RIGHT("0000"&amp;VALUE(TRIM(LEFT(Sync!$L573,FIND("/",Sync!$L573)-1))),4)&amp;"/"&amp;RIGHT("00"&amp;VALUE(TRIM(LEFT(MID(Sync!$L573,FIND("/",Sync!$L573)+1,20),FIND("/",MID(Sync!$L573,FIND("/",Sync!$L573)+1,20))-1))),2)&amp;"/"&amp;RIGHT("00"&amp;VALUE(TRIM(MID(MID(Sync!$L573,FIND("/",Sync!$L573)+1,20),FIND("/",MID(Sync!$L573,FIND("/",Sync!$L573)+1,20))+1,20))),2),"")))</f>
        <v/>
      </c>
    </row>
    <row r="574" spans="13:14" x14ac:dyDescent="0.2">
      <c r="M574" t="str">
        <f>IF(Sync!$M574&lt;&gt;"پاس چک","",IF(Sync!$P574="","",Sync!$P574))</f>
        <v/>
      </c>
      <c r="N574" t="str">
        <f>IF($M574="","",IF(ISNUMBER(Sync!$L574),IF(AND(Sync!$L574&gt;=10000101,Sync!$L574&lt;=99991231),RIGHT("0000"&amp;INT(Sync!$L574/10000),4)&amp;"/"&amp;RIGHT("00"&amp;INT(MOD(Sync!$L574,10000)/100),2)&amp;"/"&amp;RIGHT("00"&amp;MOD(Sync!$L574,100),2),""),IFERROR(RIGHT("0000"&amp;VALUE(TRIM(LEFT(Sync!$L574,FIND("/",Sync!$L574)-1))),4)&amp;"/"&amp;RIGHT("00"&amp;VALUE(TRIM(LEFT(MID(Sync!$L574,FIND("/",Sync!$L574)+1,20),FIND("/",MID(Sync!$L574,FIND("/",Sync!$L574)+1,20))-1))),2)&amp;"/"&amp;RIGHT("00"&amp;VALUE(TRIM(MID(MID(Sync!$L574,FIND("/",Sync!$L574)+1,20),FIND("/",MID(Sync!$L574,FIND("/",Sync!$L574)+1,20))+1,20))),2),"")))</f>
        <v/>
      </c>
    </row>
    <row r="575" spans="13:14" x14ac:dyDescent="0.2">
      <c r="M575" t="str">
        <f>IF(Sync!$M575&lt;&gt;"پاس چک","",IF(Sync!$P575="","",Sync!$P575))</f>
        <v/>
      </c>
      <c r="N575" t="str">
        <f>IF($M575="","",IF(ISNUMBER(Sync!$L575),IF(AND(Sync!$L575&gt;=10000101,Sync!$L575&lt;=99991231),RIGHT("0000"&amp;INT(Sync!$L575/10000),4)&amp;"/"&amp;RIGHT("00"&amp;INT(MOD(Sync!$L575,10000)/100),2)&amp;"/"&amp;RIGHT("00"&amp;MOD(Sync!$L575,100),2),""),IFERROR(RIGHT("0000"&amp;VALUE(TRIM(LEFT(Sync!$L575,FIND("/",Sync!$L575)-1))),4)&amp;"/"&amp;RIGHT("00"&amp;VALUE(TRIM(LEFT(MID(Sync!$L575,FIND("/",Sync!$L575)+1,20),FIND("/",MID(Sync!$L575,FIND("/",Sync!$L575)+1,20))-1))),2)&amp;"/"&amp;RIGHT("00"&amp;VALUE(TRIM(MID(MID(Sync!$L575,FIND("/",Sync!$L575)+1,20),FIND("/",MID(Sync!$L575,FIND("/",Sync!$L575)+1,20))+1,20))),2),"")))</f>
        <v/>
      </c>
    </row>
    <row r="576" spans="13:14" x14ac:dyDescent="0.2">
      <c r="M576" t="str">
        <f>IF(Sync!$M576&lt;&gt;"پاس چک","",IF(Sync!$P576="","",Sync!$P576))</f>
        <v/>
      </c>
      <c r="N576" t="str">
        <f>IF($M576="","",IF(ISNUMBER(Sync!$L576),IF(AND(Sync!$L576&gt;=10000101,Sync!$L576&lt;=99991231),RIGHT("0000"&amp;INT(Sync!$L576/10000),4)&amp;"/"&amp;RIGHT("00"&amp;INT(MOD(Sync!$L576,10000)/100),2)&amp;"/"&amp;RIGHT("00"&amp;MOD(Sync!$L576,100),2),""),IFERROR(RIGHT("0000"&amp;VALUE(TRIM(LEFT(Sync!$L576,FIND("/",Sync!$L576)-1))),4)&amp;"/"&amp;RIGHT("00"&amp;VALUE(TRIM(LEFT(MID(Sync!$L576,FIND("/",Sync!$L576)+1,20),FIND("/",MID(Sync!$L576,FIND("/",Sync!$L576)+1,20))-1))),2)&amp;"/"&amp;RIGHT("00"&amp;VALUE(TRIM(MID(MID(Sync!$L576,FIND("/",Sync!$L576)+1,20),FIND("/",MID(Sync!$L576,FIND("/",Sync!$L576)+1,20))+1,20))),2),"")))</f>
        <v/>
      </c>
    </row>
    <row r="577" spans="13:14" x14ac:dyDescent="0.2">
      <c r="M577" t="str">
        <f>IF(Sync!$M577&lt;&gt;"پاس چک","",IF(Sync!$P577="","",Sync!$P577))</f>
        <v/>
      </c>
      <c r="N577" t="str">
        <f>IF($M577="","",IF(ISNUMBER(Sync!$L577),IF(AND(Sync!$L577&gt;=10000101,Sync!$L577&lt;=99991231),RIGHT("0000"&amp;INT(Sync!$L577/10000),4)&amp;"/"&amp;RIGHT("00"&amp;INT(MOD(Sync!$L577,10000)/100),2)&amp;"/"&amp;RIGHT("00"&amp;MOD(Sync!$L577,100),2),""),IFERROR(RIGHT("0000"&amp;VALUE(TRIM(LEFT(Sync!$L577,FIND("/",Sync!$L577)-1))),4)&amp;"/"&amp;RIGHT("00"&amp;VALUE(TRIM(LEFT(MID(Sync!$L577,FIND("/",Sync!$L577)+1,20),FIND("/",MID(Sync!$L577,FIND("/",Sync!$L577)+1,20))-1))),2)&amp;"/"&amp;RIGHT("00"&amp;VALUE(TRIM(MID(MID(Sync!$L577,FIND("/",Sync!$L577)+1,20),FIND("/",MID(Sync!$L577,FIND("/",Sync!$L577)+1,20))+1,20))),2),"")))</f>
        <v/>
      </c>
    </row>
    <row r="578" spans="13:14" x14ac:dyDescent="0.2">
      <c r="M578" t="str">
        <f>IF(Sync!$M578&lt;&gt;"پاس چک","",IF(Sync!$P578="","",Sync!$P578))</f>
        <v/>
      </c>
      <c r="N578" t="str">
        <f>IF($M578="","",IF(ISNUMBER(Sync!$L578),IF(AND(Sync!$L578&gt;=10000101,Sync!$L578&lt;=99991231),RIGHT("0000"&amp;INT(Sync!$L578/10000),4)&amp;"/"&amp;RIGHT("00"&amp;INT(MOD(Sync!$L578,10000)/100),2)&amp;"/"&amp;RIGHT("00"&amp;MOD(Sync!$L578,100),2),""),IFERROR(RIGHT("0000"&amp;VALUE(TRIM(LEFT(Sync!$L578,FIND("/",Sync!$L578)-1))),4)&amp;"/"&amp;RIGHT("00"&amp;VALUE(TRIM(LEFT(MID(Sync!$L578,FIND("/",Sync!$L578)+1,20),FIND("/",MID(Sync!$L578,FIND("/",Sync!$L578)+1,20))-1))),2)&amp;"/"&amp;RIGHT("00"&amp;VALUE(TRIM(MID(MID(Sync!$L578,FIND("/",Sync!$L578)+1,20),FIND("/",MID(Sync!$L578,FIND("/",Sync!$L578)+1,20))+1,20))),2),"")))</f>
        <v/>
      </c>
    </row>
    <row r="579" spans="13:14" x14ac:dyDescent="0.2">
      <c r="M579" t="str">
        <f>IF(Sync!$M579&lt;&gt;"پاس چک","",IF(Sync!$P579="","",Sync!$P579))</f>
        <v/>
      </c>
      <c r="N579" t="str">
        <f>IF($M579="","",IF(ISNUMBER(Sync!$L579),IF(AND(Sync!$L579&gt;=10000101,Sync!$L579&lt;=99991231),RIGHT("0000"&amp;INT(Sync!$L579/10000),4)&amp;"/"&amp;RIGHT("00"&amp;INT(MOD(Sync!$L579,10000)/100),2)&amp;"/"&amp;RIGHT("00"&amp;MOD(Sync!$L579,100),2),""),IFERROR(RIGHT("0000"&amp;VALUE(TRIM(LEFT(Sync!$L579,FIND("/",Sync!$L579)-1))),4)&amp;"/"&amp;RIGHT("00"&amp;VALUE(TRIM(LEFT(MID(Sync!$L579,FIND("/",Sync!$L579)+1,20),FIND("/",MID(Sync!$L579,FIND("/",Sync!$L579)+1,20))-1))),2)&amp;"/"&amp;RIGHT("00"&amp;VALUE(TRIM(MID(MID(Sync!$L579,FIND("/",Sync!$L579)+1,20),FIND("/",MID(Sync!$L579,FIND("/",Sync!$L579)+1,20))+1,20))),2),"")))</f>
        <v/>
      </c>
    </row>
    <row r="580" spans="13:14" x14ac:dyDescent="0.2">
      <c r="M580" t="str">
        <f>IF(Sync!$M580&lt;&gt;"پاس چک","",IF(Sync!$P580="","",Sync!$P580))</f>
        <v/>
      </c>
      <c r="N580" t="str">
        <f>IF($M580="","",IF(ISNUMBER(Sync!$L580),IF(AND(Sync!$L580&gt;=10000101,Sync!$L580&lt;=99991231),RIGHT("0000"&amp;INT(Sync!$L580/10000),4)&amp;"/"&amp;RIGHT("00"&amp;INT(MOD(Sync!$L580,10000)/100),2)&amp;"/"&amp;RIGHT("00"&amp;MOD(Sync!$L580,100),2),""),IFERROR(RIGHT("0000"&amp;VALUE(TRIM(LEFT(Sync!$L580,FIND("/",Sync!$L580)-1))),4)&amp;"/"&amp;RIGHT("00"&amp;VALUE(TRIM(LEFT(MID(Sync!$L580,FIND("/",Sync!$L580)+1,20),FIND("/",MID(Sync!$L580,FIND("/",Sync!$L580)+1,20))-1))),2)&amp;"/"&amp;RIGHT("00"&amp;VALUE(TRIM(MID(MID(Sync!$L580,FIND("/",Sync!$L580)+1,20),FIND("/",MID(Sync!$L580,FIND("/",Sync!$L580)+1,20))+1,20))),2),"")))</f>
        <v/>
      </c>
    </row>
    <row r="581" spans="13:14" x14ac:dyDescent="0.2">
      <c r="M581" t="str">
        <f>IF(Sync!$M581&lt;&gt;"پاس چک","",IF(Sync!$P581="","",Sync!$P581))</f>
        <v/>
      </c>
      <c r="N581" t="str">
        <f>IF($M581="","",IF(ISNUMBER(Sync!$L581),IF(AND(Sync!$L581&gt;=10000101,Sync!$L581&lt;=99991231),RIGHT("0000"&amp;INT(Sync!$L581/10000),4)&amp;"/"&amp;RIGHT("00"&amp;INT(MOD(Sync!$L581,10000)/100),2)&amp;"/"&amp;RIGHT("00"&amp;MOD(Sync!$L581,100),2),""),IFERROR(RIGHT("0000"&amp;VALUE(TRIM(LEFT(Sync!$L581,FIND("/",Sync!$L581)-1))),4)&amp;"/"&amp;RIGHT("00"&amp;VALUE(TRIM(LEFT(MID(Sync!$L581,FIND("/",Sync!$L581)+1,20),FIND("/",MID(Sync!$L581,FIND("/",Sync!$L581)+1,20))-1))),2)&amp;"/"&amp;RIGHT("00"&amp;VALUE(TRIM(MID(MID(Sync!$L581,FIND("/",Sync!$L581)+1,20),FIND("/",MID(Sync!$L581,FIND("/",Sync!$L581)+1,20))+1,20))),2),"")))</f>
        <v/>
      </c>
    </row>
    <row r="582" spans="13:14" x14ac:dyDescent="0.2">
      <c r="M582" t="str">
        <f>IF(Sync!$M582&lt;&gt;"پاس چک","",IF(Sync!$P582="","",Sync!$P582))</f>
        <v/>
      </c>
      <c r="N582" t="str">
        <f>IF($M582="","",IF(ISNUMBER(Sync!$L582),IF(AND(Sync!$L582&gt;=10000101,Sync!$L582&lt;=99991231),RIGHT("0000"&amp;INT(Sync!$L582/10000),4)&amp;"/"&amp;RIGHT("00"&amp;INT(MOD(Sync!$L582,10000)/100),2)&amp;"/"&amp;RIGHT("00"&amp;MOD(Sync!$L582,100),2),""),IFERROR(RIGHT("0000"&amp;VALUE(TRIM(LEFT(Sync!$L582,FIND("/",Sync!$L582)-1))),4)&amp;"/"&amp;RIGHT("00"&amp;VALUE(TRIM(LEFT(MID(Sync!$L582,FIND("/",Sync!$L582)+1,20),FIND("/",MID(Sync!$L582,FIND("/",Sync!$L582)+1,20))-1))),2)&amp;"/"&amp;RIGHT("00"&amp;VALUE(TRIM(MID(MID(Sync!$L582,FIND("/",Sync!$L582)+1,20),FIND("/",MID(Sync!$L582,FIND("/",Sync!$L582)+1,20))+1,20))),2),"")))</f>
        <v/>
      </c>
    </row>
    <row r="583" spans="13:14" x14ac:dyDescent="0.2">
      <c r="M583" t="str">
        <f>IF(Sync!$M583&lt;&gt;"پاس چک","",IF(Sync!$P583="","",Sync!$P583))</f>
        <v/>
      </c>
      <c r="N583" t="str">
        <f>IF($M583="","",IF(ISNUMBER(Sync!$L583),IF(AND(Sync!$L583&gt;=10000101,Sync!$L583&lt;=99991231),RIGHT("0000"&amp;INT(Sync!$L583/10000),4)&amp;"/"&amp;RIGHT("00"&amp;INT(MOD(Sync!$L583,10000)/100),2)&amp;"/"&amp;RIGHT("00"&amp;MOD(Sync!$L583,100),2),""),IFERROR(RIGHT("0000"&amp;VALUE(TRIM(LEFT(Sync!$L583,FIND("/",Sync!$L583)-1))),4)&amp;"/"&amp;RIGHT("00"&amp;VALUE(TRIM(LEFT(MID(Sync!$L583,FIND("/",Sync!$L583)+1,20),FIND("/",MID(Sync!$L583,FIND("/",Sync!$L583)+1,20))-1))),2)&amp;"/"&amp;RIGHT("00"&amp;VALUE(TRIM(MID(MID(Sync!$L583,FIND("/",Sync!$L583)+1,20),FIND("/",MID(Sync!$L583,FIND("/",Sync!$L583)+1,20))+1,20))),2),"")))</f>
        <v/>
      </c>
    </row>
    <row r="584" spans="13:14" x14ac:dyDescent="0.2">
      <c r="M584" t="str">
        <f>IF(Sync!$M584&lt;&gt;"پاس چک","",IF(Sync!$P584="","",Sync!$P584))</f>
        <v/>
      </c>
      <c r="N584" t="str">
        <f>IF($M584="","",IF(ISNUMBER(Sync!$L584),IF(AND(Sync!$L584&gt;=10000101,Sync!$L584&lt;=99991231),RIGHT("0000"&amp;INT(Sync!$L584/10000),4)&amp;"/"&amp;RIGHT("00"&amp;INT(MOD(Sync!$L584,10000)/100),2)&amp;"/"&amp;RIGHT("00"&amp;MOD(Sync!$L584,100),2),""),IFERROR(RIGHT("0000"&amp;VALUE(TRIM(LEFT(Sync!$L584,FIND("/",Sync!$L584)-1))),4)&amp;"/"&amp;RIGHT("00"&amp;VALUE(TRIM(LEFT(MID(Sync!$L584,FIND("/",Sync!$L584)+1,20),FIND("/",MID(Sync!$L584,FIND("/",Sync!$L584)+1,20))-1))),2)&amp;"/"&amp;RIGHT("00"&amp;VALUE(TRIM(MID(MID(Sync!$L584,FIND("/",Sync!$L584)+1,20),FIND("/",MID(Sync!$L584,FIND("/",Sync!$L584)+1,20))+1,20))),2),"")))</f>
        <v/>
      </c>
    </row>
    <row r="585" spans="13:14" x14ac:dyDescent="0.2">
      <c r="M585" t="str">
        <f>IF(Sync!$M585&lt;&gt;"پاس چک","",IF(Sync!$P585="","",Sync!$P585))</f>
        <v/>
      </c>
      <c r="N585" t="str">
        <f>IF($M585="","",IF(ISNUMBER(Sync!$L585),IF(AND(Sync!$L585&gt;=10000101,Sync!$L585&lt;=99991231),RIGHT("0000"&amp;INT(Sync!$L585/10000),4)&amp;"/"&amp;RIGHT("00"&amp;INT(MOD(Sync!$L585,10000)/100),2)&amp;"/"&amp;RIGHT("00"&amp;MOD(Sync!$L585,100),2),""),IFERROR(RIGHT("0000"&amp;VALUE(TRIM(LEFT(Sync!$L585,FIND("/",Sync!$L585)-1))),4)&amp;"/"&amp;RIGHT("00"&amp;VALUE(TRIM(LEFT(MID(Sync!$L585,FIND("/",Sync!$L585)+1,20),FIND("/",MID(Sync!$L585,FIND("/",Sync!$L585)+1,20))-1))),2)&amp;"/"&amp;RIGHT("00"&amp;VALUE(TRIM(MID(MID(Sync!$L585,FIND("/",Sync!$L585)+1,20),FIND("/",MID(Sync!$L585,FIND("/",Sync!$L585)+1,20))+1,20))),2),"")))</f>
        <v/>
      </c>
    </row>
    <row r="586" spans="13:14" x14ac:dyDescent="0.2">
      <c r="M586" t="str">
        <f>IF(Sync!$M586&lt;&gt;"پاس چک","",IF(Sync!$P586="","",Sync!$P586))</f>
        <v/>
      </c>
      <c r="N586" t="str">
        <f>IF($M586="","",IF(ISNUMBER(Sync!$L586),IF(AND(Sync!$L586&gt;=10000101,Sync!$L586&lt;=99991231),RIGHT("0000"&amp;INT(Sync!$L586/10000),4)&amp;"/"&amp;RIGHT("00"&amp;INT(MOD(Sync!$L586,10000)/100),2)&amp;"/"&amp;RIGHT("00"&amp;MOD(Sync!$L586,100),2),""),IFERROR(RIGHT("0000"&amp;VALUE(TRIM(LEFT(Sync!$L586,FIND("/",Sync!$L586)-1))),4)&amp;"/"&amp;RIGHT("00"&amp;VALUE(TRIM(LEFT(MID(Sync!$L586,FIND("/",Sync!$L586)+1,20),FIND("/",MID(Sync!$L586,FIND("/",Sync!$L586)+1,20))-1))),2)&amp;"/"&amp;RIGHT("00"&amp;VALUE(TRIM(MID(MID(Sync!$L586,FIND("/",Sync!$L586)+1,20),FIND("/",MID(Sync!$L586,FIND("/",Sync!$L586)+1,20))+1,20))),2),"")))</f>
        <v/>
      </c>
    </row>
    <row r="587" spans="13:14" x14ac:dyDescent="0.2">
      <c r="M587" t="str">
        <f>IF(Sync!$M587&lt;&gt;"پاس چک","",IF(Sync!$P587="","",Sync!$P587))</f>
        <v/>
      </c>
      <c r="N587" t="str">
        <f>IF($M587="","",IF(ISNUMBER(Sync!$L587),IF(AND(Sync!$L587&gt;=10000101,Sync!$L587&lt;=99991231),RIGHT("0000"&amp;INT(Sync!$L587/10000),4)&amp;"/"&amp;RIGHT("00"&amp;INT(MOD(Sync!$L587,10000)/100),2)&amp;"/"&amp;RIGHT("00"&amp;MOD(Sync!$L587,100),2),""),IFERROR(RIGHT("0000"&amp;VALUE(TRIM(LEFT(Sync!$L587,FIND("/",Sync!$L587)-1))),4)&amp;"/"&amp;RIGHT("00"&amp;VALUE(TRIM(LEFT(MID(Sync!$L587,FIND("/",Sync!$L587)+1,20),FIND("/",MID(Sync!$L587,FIND("/",Sync!$L587)+1,20))-1))),2)&amp;"/"&amp;RIGHT("00"&amp;VALUE(TRIM(MID(MID(Sync!$L587,FIND("/",Sync!$L587)+1,20),FIND("/",MID(Sync!$L587,FIND("/",Sync!$L587)+1,20))+1,20))),2),"")))</f>
        <v/>
      </c>
    </row>
    <row r="588" spans="13:14" x14ac:dyDescent="0.2">
      <c r="M588" t="str">
        <f>IF(Sync!$M588&lt;&gt;"پاس چک","",IF(Sync!$P588="","",Sync!$P588))</f>
        <v/>
      </c>
      <c r="N588" t="str">
        <f>IF($M588="","",IF(ISNUMBER(Sync!$L588),IF(AND(Sync!$L588&gt;=10000101,Sync!$L588&lt;=99991231),RIGHT("0000"&amp;INT(Sync!$L588/10000),4)&amp;"/"&amp;RIGHT("00"&amp;INT(MOD(Sync!$L588,10000)/100),2)&amp;"/"&amp;RIGHT("00"&amp;MOD(Sync!$L588,100),2),""),IFERROR(RIGHT("0000"&amp;VALUE(TRIM(LEFT(Sync!$L588,FIND("/",Sync!$L588)-1))),4)&amp;"/"&amp;RIGHT("00"&amp;VALUE(TRIM(LEFT(MID(Sync!$L588,FIND("/",Sync!$L588)+1,20),FIND("/",MID(Sync!$L588,FIND("/",Sync!$L588)+1,20))-1))),2)&amp;"/"&amp;RIGHT("00"&amp;VALUE(TRIM(MID(MID(Sync!$L588,FIND("/",Sync!$L588)+1,20),FIND("/",MID(Sync!$L588,FIND("/",Sync!$L588)+1,20))+1,20))),2),"")))</f>
        <v/>
      </c>
    </row>
    <row r="589" spans="13:14" x14ac:dyDescent="0.2">
      <c r="M589" t="str">
        <f>IF(Sync!$M589&lt;&gt;"پاس چک","",IF(Sync!$P589="","",Sync!$P589))</f>
        <v/>
      </c>
      <c r="N589" t="str">
        <f>IF($M589="","",IF(ISNUMBER(Sync!$L589),IF(AND(Sync!$L589&gt;=10000101,Sync!$L589&lt;=99991231),RIGHT("0000"&amp;INT(Sync!$L589/10000),4)&amp;"/"&amp;RIGHT("00"&amp;INT(MOD(Sync!$L589,10000)/100),2)&amp;"/"&amp;RIGHT("00"&amp;MOD(Sync!$L589,100),2),""),IFERROR(RIGHT("0000"&amp;VALUE(TRIM(LEFT(Sync!$L589,FIND("/",Sync!$L589)-1))),4)&amp;"/"&amp;RIGHT("00"&amp;VALUE(TRIM(LEFT(MID(Sync!$L589,FIND("/",Sync!$L589)+1,20),FIND("/",MID(Sync!$L589,FIND("/",Sync!$L589)+1,20))-1))),2)&amp;"/"&amp;RIGHT("00"&amp;VALUE(TRIM(MID(MID(Sync!$L589,FIND("/",Sync!$L589)+1,20),FIND("/",MID(Sync!$L589,FIND("/",Sync!$L589)+1,20))+1,20))),2),"")))</f>
        <v/>
      </c>
    </row>
    <row r="590" spans="13:14" x14ac:dyDescent="0.2">
      <c r="M590" t="str">
        <f>IF(Sync!$M590&lt;&gt;"پاس چک","",IF(Sync!$P590="","",Sync!$P590))</f>
        <v/>
      </c>
      <c r="N590" t="str">
        <f>IF($M590="","",IF(ISNUMBER(Sync!$L590),IF(AND(Sync!$L590&gt;=10000101,Sync!$L590&lt;=99991231),RIGHT("0000"&amp;INT(Sync!$L590/10000),4)&amp;"/"&amp;RIGHT("00"&amp;INT(MOD(Sync!$L590,10000)/100),2)&amp;"/"&amp;RIGHT("00"&amp;MOD(Sync!$L590,100),2),""),IFERROR(RIGHT("0000"&amp;VALUE(TRIM(LEFT(Sync!$L590,FIND("/",Sync!$L590)-1))),4)&amp;"/"&amp;RIGHT("00"&amp;VALUE(TRIM(LEFT(MID(Sync!$L590,FIND("/",Sync!$L590)+1,20),FIND("/",MID(Sync!$L590,FIND("/",Sync!$L590)+1,20))-1))),2)&amp;"/"&amp;RIGHT("00"&amp;VALUE(TRIM(MID(MID(Sync!$L590,FIND("/",Sync!$L590)+1,20),FIND("/",MID(Sync!$L590,FIND("/",Sync!$L590)+1,20))+1,20))),2),"")))</f>
        <v/>
      </c>
    </row>
    <row r="591" spans="13:14" x14ac:dyDescent="0.2">
      <c r="M591" t="str">
        <f>IF(Sync!$M591&lt;&gt;"پاس چک","",IF(Sync!$P591="","",Sync!$P591))</f>
        <v/>
      </c>
      <c r="N591" t="str">
        <f>IF($M591="","",IF(ISNUMBER(Sync!$L591),IF(AND(Sync!$L591&gt;=10000101,Sync!$L591&lt;=99991231),RIGHT("0000"&amp;INT(Sync!$L591/10000),4)&amp;"/"&amp;RIGHT("00"&amp;INT(MOD(Sync!$L591,10000)/100),2)&amp;"/"&amp;RIGHT("00"&amp;MOD(Sync!$L591,100),2),""),IFERROR(RIGHT("0000"&amp;VALUE(TRIM(LEFT(Sync!$L591,FIND("/",Sync!$L591)-1))),4)&amp;"/"&amp;RIGHT("00"&amp;VALUE(TRIM(LEFT(MID(Sync!$L591,FIND("/",Sync!$L591)+1,20),FIND("/",MID(Sync!$L591,FIND("/",Sync!$L591)+1,20))-1))),2)&amp;"/"&amp;RIGHT("00"&amp;VALUE(TRIM(MID(MID(Sync!$L591,FIND("/",Sync!$L591)+1,20),FIND("/",MID(Sync!$L591,FIND("/",Sync!$L591)+1,20))+1,20))),2),"")))</f>
        <v/>
      </c>
    </row>
    <row r="592" spans="13:14" x14ac:dyDescent="0.2">
      <c r="M592" t="str">
        <f>IF(Sync!$M592&lt;&gt;"پاس چک","",IF(Sync!$P592="","",Sync!$P592))</f>
        <v/>
      </c>
      <c r="N592" t="str">
        <f>IF($M592="","",IF(ISNUMBER(Sync!$L592),IF(AND(Sync!$L592&gt;=10000101,Sync!$L592&lt;=99991231),RIGHT("0000"&amp;INT(Sync!$L592/10000),4)&amp;"/"&amp;RIGHT("00"&amp;INT(MOD(Sync!$L592,10000)/100),2)&amp;"/"&amp;RIGHT("00"&amp;MOD(Sync!$L592,100),2),""),IFERROR(RIGHT("0000"&amp;VALUE(TRIM(LEFT(Sync!$L592,FIND("/",Sync!$L592)-1))),4)&amp;"/"&amp;RIGHT("00"&amp;VALUE(TRIM(LEFT(MID(Sync!$L592,FIND("/",Sync!$L592)+1,20),FIND("/",MID(Sync!$L592,FIND("/",Sync!$L592)+1,20))-1))),2)&amp;"/"&amp;RIGHT("00"&amp;VALUE(TRIM(MID(MID(Sync!$L592,FIND("/",Sync!$L592)+1,20),FIND("/",MID(Sync!$L592,FIND("/",Sync!$L592)+1,20))+1,20))),2),"")))</f>
        <v/>
      </c>
    </row>
    <row r="593" spans="13:14" x14ac:dyDescent="0.2">
      <c r="M593" t="str">
        <f>IF(Sync!$M593&lt;&gt;"پاس چک","",IF(Sync!$P593="","",Sync!$P593))</f>
        <v/>
      </c>
      <c r="N593" t="str">
        <f>IF($M593="","",IF(ISNUMBER(Sync!$L593),IF(AND(Sync!$L593&gt;=10000101,Sync!$L593&lt;=99991231),RIGHT("0000"&amp;INT(Sync!$L593/10000),4)&amp;"/"&amp;RIGHT("00"&amp;INT(MOD(Sync!$L593,10000)/100),2)&amp;"/"&amp;RIGHT("00"&amp;MOD(Sync!$L593,100),2),""),IFERROR(RIGHT("0000"&amp;VALUE(TRIM(LEFT(Sync!$L593,FIND("/",Sync!$L593)-1))),4)&amp;"/"&amp;RIGHT("00"&amp;VALUE(TRIM(LEFT(MID(Sync!$L593,FIND("/",Sync!$L593)+1,20),FIND("/",MID(Sync!$L593,FIND("/",Sync!$L593)+1,20))-1))),2)&amp;"/"&amp;RIGHT("00"&amp;VALUE(TRIM(MID(MID(Sync!$L593,FIND("/",Sync!$L593)+1,20),FIND("/",MID(Sync!$L593,FIND("/",Sync!$L593)+1,20))+1,20))),2),"")))</f>
        <v/>
      </c>
    </row>
    <row r="594" spans="13:14" x14ac:dyDescent="0.2">
      <c r="M594" t="str">
        <f>IF(Sync!$M594&lt;&gt;"پاس چک","",IF(Sync!$P594="","",Sync!$P594))</f>
        <v/>
      </c>
      <c r="N594" t="str">
        <f>IF($M594="","",IF(ISNUMBER(Sync!$L594),IF(AND(Sync!$L594&gt;=10000101,Sync!$L594&lt;=99991231),RIGHT("0000"&amp;INT(Sync!$L594/10000),4)&amp;"/"&amp;RIGHT("00"&amp;INT(MOD(Sync!$L594,10000)/100),2)&amp;"/"&amp;RIGHT("00"&amp;MOD(Sync!$L594,100),2),""),IFERROR(RIGHT("0000"&amp;VALUE(TRIM(LEFT(Sync!$L594,FIND("/",Sync!$L594)-1))),4)&amp;"/"&amp;RIGHT("00"&amp;VALUE(TRIM(LEFT(MID(Sync!$L594,FIND("/",Sync!$L594)+1,20),FIND("/",MID(Sync!$L594,FIND("/",Sync!$L594)+1,20))-1))),2)&amp;"/"&amp;RIGHT("00"&amp;VALUE(TRIM(MID(MID(Sync!$L594,FIND("/",Sync!$L594)+1,20),FIND("/",MID(Sync!$L594,FIND("/",Sync!$L594)+1,20))+1,20))),2),"")))</f>
        <v/>
      </c>
    </row>
    <row r="595" spans="13:14" x14ac:dyDescent="0.2">
      <c r="M595" t="str">
        <f>IF(Sync!$M595&lt;&gt;"پاس چک","",IF(Sync!$P595="","",Sync!$P595))</f>
        <v/>
      </c>
      <c r="N595" t="str">
        <f>IF($M595="","",IF(ISNUMBER(Sync!$L595),IF(AND(Sync!$L595&gt;=10000101,Sync!$L595&lt;=99991231),RIGHT("0000"&amp;INT(Sync!$L595/10000),4)&amp;"/"&amp;RIGHT("00"&amp;INT(MOD(Sync!$L595,10000)/100),2)&amp;"/"&amp;RIGHT("00"&amp;MOD(Sync!$L595,100),2),""),IFERROR(RIGHT("0000"&amp;VALUE(TRIM(LEFT(Sync!$L595,FIND("/",Sync!$L595)-1))),4)&amp;"/"&amp;RIGHT("00"&amp;VALUE(TRIM(LEFT(MID(Sync!$L595,FIND("/",Sync!$L595)+1,20),FIND("/",MID(Sync!$L595,FIND("/",Sync!$L595)+1,20))-1))),2)&amp;"/"&amp;RIGHT("00"&amp;VALUE(TRIM(MID(MID(Sync!$L595,FIND("/",Sync!$L595)+1,20),FIND("/",MID(Sync!$L595,FIND("/",Sync!$L595)+1,20))+1,20))),2),"")))</f>
        <v/>
      </c>
    </row>
    <row r="596" spans="13:14" x14ac:dyDescent="0.2">
      <c r="M596" t="str">
        <f>IF(Sync!$M596&lt;&gt;"پاس چک","",IF(Sync!$P596="","",Sync!$P596))</f>
        <v/>
      </c>
      <c r="N596" t="str">
        <f>IF($M596="","",IF(ISNUMBER(Sync!$L596),IF(AND(Sync!$L596&gt;=10000101,Sync!$L596&lt;=99991231),RIGHT("0000"&amp;INT(Sync!$L596/10000),4)&amp;"/"&amp;RIGHT("00"&amp;INT(MOD(Sync!$L596,10000)/100),2)&amp;"/"&amp;RIGHT("00"&amp;MOD(Sync!$L596,100),2),""),IFERROR(RIGHT("0000"&amp;VALUE(TRIM(LEFT(Sync!$L596,FIND("/",Sync!$L596)-1))),4)&amp;"/"&amp;RIGHT("00"&amp;VALUE(TRIM(LEFT(MID(Sync!$L596,FIND("/",Sync!$L596)+1,20),FIND("/",MID(Sync!$L596,FIND("/",Sync!$L596)+1,20))-1))),2)&amp;"/"&amp;RIGHT("00"&amp;VALUE(TRIM(MID(MID(Sync!$L596,FIND("/",Sync!$L596)+1,20),FIND("/",MID(Sync!$L596,FIND("/",Sync!$L596)+1,20))+1,20))),2),"")))</f>
        <v/>
      </c>
    </row>
    <row r="597" spans="13:14" x14ac:dyDescent="0.2">
      <c r="M597" t="str">
        <f>IF(Sync!$M597&lt;&gt;"پاس چک","",IF(Sync!$P597="","",Sync!$P597))</f>
        <v/>
      </c>
      <c r="N597" t="str">
        <f>IF($M597="","",IF(ISNUMBER(Sync!$L597),IF(AND(Sync!$L597&gt;=10000101,Sync!$L597&lt;=99991231),RIGHT("0000"&amp;INT(Sync!$L597/10000),4)&amp;"/"&amp;RIGHT("00"&amp;INT(MOD(Sync!$L597,10000)/100),2)&amp;"/"&amp;RIGHT("00"&amp;MOD(Sync!$L597,100),2),""),IFERROR(RIGHT("0000"&amp;VALUE(TRIM(LEFT(Sync!$L597,FIND("/",Sync!$L597)-1))),4)&amp;"/"&amp;RIGHT("00"&amp;VALUE(TRIM(LEFT(MID(Sync!$L597,FIND("/",Sync!$L597)+1,20),FIND("/",MID(Sync!$L597,FIND("/",Sync!$L597)+1,20))-1))),2)&amp;"/"&amp;RIGHT("00"&amp;VALUE(TRIM(MID(MID(Sync!$L597,FIND("/",Sync!$L597)+1,20),FIND("/",MID(Sync!$L597,FIND("/",Sync!$L597)+1,20))+1,20))),2),"")))</f>
        <v/>
      </c>
    </row>
    <row r="598" spans="13:14" x14ac:dyDescent="0.2">
      <c r="M598" t="str">
        <f>IF(Sync!$M598&lt;&gt;"پاس چک","",IF(Sync!$P598="","",Sync!$P598))</f>
        <v/>
      </c>
      <c r="N598" t="str">
        <f>IF($M598="","",IF(ISNUMBER(Sync!$L598),IF(AND(Sync!$L598&gt;=10000101,Sync!$L598&lt;=99991231),RIGHT("0000"&amp;INT(Sync!$L598/10000),4)&amp;"/"&amp;RIGHT("00"&amp;INT(MOD(Sync!$L598,10000)/100),2)&amp;"/"&amp;RIGHT("00"&amp;MOD(Sync!$L598,100),2),""),IFERROR(RIGHT("0000"&amp;VALUE(TRIM(LEFT(Sync!$L598,FIND("/",Sync!$L598)-1))),4)&amp;"/"&amp;RIGHT("00"&amp;VALUE(TRIM(LEFT(MID(Sync!$L598,FIND("/",Sync!$L598)+1,20),FIND("/",MID(Sync!$L598,FIND("/",Sync!$L598)+1,20))-1))),2)&amp;"/"&amp;RIGHT("00"&amp;VALUE(TRIM(MID(MID(Sync!$L598,FIND("/",Sync!$L598)+1,20),FIND("/",MID(Sync!$L598,FIND("/",Sync!$L598)+1,20))+1,20))),2),"")))</f>
        <v/>
      </c>
    </row>
    <row r="599" spans="13:14" x14ac:dyDescent="0.2">
      <c r="M599" t="str">
        <f>IF(Sync!$M599&lt;&gt;"پاس چک","",IF(Sync!$P599="","",Sync!$P599))</f>
        <v/>
      </c>
      <c r="N599" t="str">
        <f>IF($M599="","",IF(ISNUMBER(Sync!$L599),IF(AND(Sync!$L599&gt;=10000101,Sync!$L599&lt;=99991231),RIGHT("0000"&amp;INT(Sync!$L599/10000),4)&amp;"/"&amp;RIGHT("00"&amp;INT(MOD(Sync!$L599,10000)/100),2)&amp;"/"&amp;RIGHT("00"&amp;MOD(Sync!$L599,100),2),""),IFERROR(RIGHT("0000"&amp;VALUE(TRIM(LEFT(Sync!$L599,FIND("/",Sync!$L599)-1))),4)&amp;"/"&amp;RIGHT("00"&amp;VALUE(TRIM(LEFT(MID(Sync!$L599,FIND("/",Sync!$L599)+1,20),FIND("/",MID(Sync!$L599,FIND("/",Sync!$L599)+1,20))-1))),2)&amp;"/"&amp;RIGHT("00"&amp;VALUE(TRIM(MID(MID(Sync!$L599,FIND("/",Sync!$L599)+1,20),FIND("/",MID(Sync!$L599,FIND("/",Sync!$L599)+1,20))+1,20))),2),"")))</f>
        <v/>
      </c>
    </row>
    <row r="600" spans="13:14" x14ac:dyDescent="0.2">
      <c r="M600" t="str">
        <f>IF(Sync!$M600&lt;&gt;"پاس چک","",IF(Sync!$P600="","",Sync!$P600))</f>
        <v/>
      </c>
      <c r="N600" t="str">
        <f>IF($M600="","",IF(ISNUMBER(Sync!$L600),IF(AND(Sync!$L600&gt;=10000101,Sync!$L600&lt;=99991231),RIGHT("0000"&amp;INT(Sync!$L600/10000),4)&amp;"/"&amp;RIGHT("00"&amp;INT(MOD(Sync!$L600,10000)/100),2)&amp;"/"&amp;RIGHT("00"&amp;MOD(Sync!$L600,100),2),""),IFERROR(RIGHT("0000"&amp;VALUE(TRIM(LEFT(Sync!$L600,FIND("/",Sync!$L600)-1))),4)&amp;"/"&amp;RIGHT("00"&amp;VALUE(TRIM(LEFT(MID(Sync!$L600,FIND("/",Sync!$L600)+1,20),FIND("/",MID(Sync!$L600,FIND("/",Sync!$L600)+1,20))-1))),2)&amp;"/"&amp;RIGHT("00"&amp;VALUE(TRIM(MID(MID(Sync!$L600,FIND("/",Sync!$L600)+1,20),FIND("/",MID(Sync!$L600,FIND("/",Sync!$L600)+1,20))+1,20))),2),"")))</f>
        <v/>
      </c>
    </row>
    <row r="601" spans="13:14" x14ac:dyDescent="0.2">
      <c r="M601" t="str">
        <f>IF(Sync!$M601&lt;&gt;"پاس چک","",IF(Sync!$P601="","",Sync!$P601))</f>
        <v/>
      </c>
      <c r="N601" t="str">
        <f>IF($M601="","",IF(ISNUMBER(Sync!$L601),IF(AND(Sync!$L601&gt;=10000101,Sync!$L601&lt;=99991231),RIGHT("0000"&amp;INT(Sync!$L601/10000),4)&amp;"/"&amp;RIGHT("00"&amp;INT(MOD(Sync!$L601,10000)/100),2)&amp;"/"&amp;RIGHT("00"&amp;MOD(Sync!$L601,100),2),""),IFERROR(RIGHT("0000"&amp;VALUE(TRIM(LEFT(Sync!$L601,FIND("/",Sync!$L601)-1))),4)&amp;"/"&amp;RIGHT("00"&amp;VALUE(TRIM(LEFT(MID(Sync!$L601,FIND("/",Sync!$L601)+1,20),FIND("/",MID(Sync!$L601,FIND("/",Sync!$L601)+1,20))-1))),2)&amp;"/"&amp;RIGHT("00"&amp;VALUE(TRIM(MID(MID(Sync!$L601,FIND("/",Sync!$L601)+1,20),FIND("/",MID(Sync!$L601,FIND("/",Sync!$L601)+1,20))+1,20))),2),"")))</f>
        <v/>
      </c>
    </row>
    <row r="602" spans="13:14" x14ac:dyDescent="0.2">
      <c r="M602" t="str">
        <f>IF(Sync!$M602&lt;&gt;"پاس چک","",IF(Sync!$P602="","",Sync!$P602))</f>
        <v/>
      </c>
      <c r="N602" t="str">
        <f>IF($M602="","",IF(ISNUMBER(Sync!$L602),IF(AND(Sync!$L602&gt;=10000101,Sync!$L602&lt;=99991231),RIGHT("0000"&amp;INT(Sync!$L602/10000),4)&amp;"/"&amp;RIGHT("00"&amp;INT(MOD(Sync!$L602,10000)/100),2)&amp;"/"&amp;RIGHT("00"&amp;MOD(Sync!$L602,100),2),""),IFERROR(RIGHT("0000"&amp;VALUE(TRIM(LEFT(Sync!$L602,FIND("/",Sync!$L602)-1))),4)&amp;"/"&amp;RIGHT("00"&amp;VALUE(TRIM(LEFT(MID(Sync!$L602,FIND("/",Sync!$L602)+1,20),FIND("/",MID(Sync!$L602,FIND("/",Sync!$L602)+1,20))-1))),2)&amp;"/"&amp;RIGHT("00"&amp;VALUE(TRIM(MID(MID(Sync!$L602,FIND("/",Sync!$L602)+1,20),FIND("/",MID(Sync!$L602,FIND("/",Sync!$L602)+1,20))+1,20))),2),"")))</f>
        <v/>
      </c>
    </row>
    <row r="603" spans="13:14" x14ac:dyDescent="0.2">
      <c r="M603" t="str">
        <f>IF(Sync!$M603&lt;&gt;"پاس چک","",IF(Sync!$P603="","",Sync!$P603))</f>
        <v/>
      </c>
      <c r="N603" t="str">
        <f>IF($M603="","",IF(ISNUMBER(Sync!$L603),IF(AND(Sync!$L603&gt;=10000101,Sync!$L603&lt;=99991231),RIGHT("0000"&amp;INT(Sync!$L603/10000),4)&amp;"/"&amp;RIGHT("00"&amp;INT(MOD(Sync!$L603,10000)/100),2)&amp;"/"&amp;RIGHT("00"&amp;MOD(Sync!$L603,100),2),""),IFERROR(RIGHT("0000"&amp;VALUE(TRIM(LEFT(Sync!$L603,FIND("/",Sync!$L603)-1))),4)&amp;"/"&amp;RIGHT("00"&amp;VALUE(TRIM(LEFT(MID(Sync!$L603,FIND("/",Sync!$L603)+1,20),FIND("/",MID(Sync!$L603,FIND("/",Sync!$L603)+1,20))-1))),2)&amp;"/"&amp;RIGHT("00"&amp;VALUE(TRIM(MID(MID(Sync!$L603,FIND("/",Sync!$L603)+1,20),FIND("/",MID(Sync!$L603,FIND("/",Sync!$L603)+1,20))+1,20))),2),"")))</f>
        <v/>
      </c>
    </row>
    <row r="604" spans="13:14" x14ac:dyDescent="0.2">
      <c r="M604" t="str">
        <f>IF(Sync!$M604&lt;&gt;"پاس چک","",IF(Sync!$P604="","",Sync!$P604))</f>
        <v/>
      </c>
      <c r="N604" t="str">
        <f>IF($M604="","",IF(ISNUMBER(Sync!$L604),IF(AND(Sync!$L604&gt;=10000101,Sync!$L604&lt;=99991231),RIGHT("0000"&amp;INT(Sync!$L604/10000),4)&amp;"/"&amp;RIGHT("00"&amp;INT(MOD(Sync!$L604,10000)/100),2)&amp;"/"&amp;RIGHT("00"&amp;MOD(Sync!$L604,100),2),""),IFERROR(RIGHT("0000"&amp;VALUE(TRIM(LEFT(Sync!$L604,FIND("/",Sync!$L604)-1))),4)&amp;"/"&amp;RIGHT("00"&amp;VALUE(TRIM(LEFT(MID(Sync!$L604,FIND("/",Sync!$L604)+1,20),FIND("/",MID(Sync!$L604,FIND("/",Sync!$L604)+1,20))-1))),2)&amp;"/"&amp;RIGHT("00"&amp;VALUE(TRIM(MID(MID(Sync!$L604,FIND("/",Sync!$L604)+1,20),FIND("/",MID(Sync!$L604,FIND("/",Sync!$L604)+1,20))+1,20))),2),"")))</f>
        <v/>
      </c>
    </row>
    <row r="605" spans="13:14" x14ac:dyDescent="0.2">
      <c r="M605" t="str">
        <f>IF(Sync!$M605&lt;&gt;"پاس چک","",IF(Sync!$P605="","",Sync!$P605))</f>
        <v/>
      </c>
      <c r="N605" t="str">
        <f>IF($M605="","",IF(ISNUMBER(Sync!$L605),IF(AND(Sync!$L605&gt;=10000101,Sync!$L605&lt;=99991231),RIGHT("0000"&amp;INT(Sync!$L605/10000),4)&amp;"/"&amp;RIGHT("00"&amp;INT(MOD(Sync!$L605,10000)/100),2)&amp;"/"&amp;RIGHT("00"&amp;MOD(Sync!$L605,100),2),""),IFERROR(RIGHT("0000"&amp;VALUE(TRIM(LEFT(Sync!$L605,FIND("/",Sync!$L605)-1))),4)&amp;"/"&amp;RIGHT("00"&amp;VALUE(TRIM(LEFT(MID(Sync!$L605,FIND("/",Sync!$L605)+1,20),FIND("/",MID(Sync!$L605,FIND("/",Sync!$L605)+1,20))-1))),2)&amp;"/"&amp;RIGHT("00"&amp;VALUE(TRIM(MID(MID(Sync!$L605,FIND("/",Sync!$L605)+1,20),FIND("/",MID(Sync!$L605,FIND("/",Sync!$L605)+1,20))+1,20))),2),"")))</f>
        <v/>
      </c>
    </row>
    <row r="606" spans="13:14" x14ac:dyDescent="0.2">
      <c r="M606" t="str">
        <f>IF(Sync!$M606&lt;&gt;"پاس چک","",IF(Sync!$P606="","",Sync!$P606))</f>
        <v/>
      </c>
      <c r="N606" t="str">
        <f>IF($M606="","",IF(ISNUMBER(Sync!$L606),IF(AND(Sync!$L606&gt;=10000101,Sync!$L606&lt;=99991231),RIGHT("0000"&amp;INT(Sync!$L606/10000),4)&amp;"/"&amp;RIGHT("00"&amp;INT(MOD(Sync!$L606,10000)/100),2)&amp;"/"&amp;RIGHT("00"&amp;MOD(Sync!$L606,100),2),""),IFERROR(RIGHT("0000"&amp;VALUE(TRIM(LEFT(Sync!$L606,FIND("/",Sync!$L606)-1))),4)&amp;"/"&amp;RIGHT("00"&amp;VALUE(TRIM(LEFT(MID(Sync!$L606,FIND("/",Sync!$L606)+1,20),FIND("/",MID(Sync!$L606,FIND("/",Sync!$L606)+1,20))-1))),2)&amp;"/"&amp;RIGHT("00"&amp;VALUE(TRIM(MID(MID(Sync!$L606,FIND("/",Sync!$L606)+1,20),FIND("/",MID(Sync!$L606,FIND("/",Sync!$L606)+1,20))+1,20))),2),"")))</f>
        <v/>
      </c>
    </row>
    <row r="607" spans="13:14" x14ac:dyDescent="0.2">
      <c r="M607" t="str">
        <f>IF(Sync!$M607&lt;&gt;"پاس چک","",IF(Sync!$P607="","",Sync!$P607))</f>
        <v/>
      </c>
      <c r="N607" t="str">
        <f>IF($M607="","",IF(ISNUMBER(Sync!$L607),IF(AND(Sync!$L607&gt;=10000101,Sync!$L607&lt;=99991231),RIGHT("0000"&amp;INT(Sync!$L607/10000),4)&amp;"/"&amp;RIGHT("00"&amp;INT(MOD(Sync!$L607,10000)/100),2)&amp;"/"&amp;RIGHT("00"&amp;MOD(Sync!$L607,100),2),""),IFERROR(RIGHT("0000"&amp;VALUE(TRIM(LEFT(Sync!$L607,FIND("/",Sync!$L607)-1))),4)&amp;"/"&amp;RIGHT("00"&amp;VALUE(TRIM(LEFT(MID(Sync!$L607,FIND("/",Sync!$L607)+1,20),FIND("/",MID(Sync!$L607,FIND("/",Sync!$L607)+1,20))-1))),2)&amp;"/"&amp;RIGHT("00"&amp;VALUE(TRIM(MID(MID(Sync!$L607,FIND("/",Sync!$L607)+1,20),FIND("/",MID(Sync!$L607,FIND("/",Sync!$L607)+1,20))+1,20))),2),"")))</f>
        <v/>
      </c>
    </row>
    <row r="608" spans="13:14" x14ac:dyDescent="0.2">
      <c r="M608" t="str">
        <f>IF(Sync!$M608&lt;&gt;"پاس چک","",IF(Sync!$P608="","",Sync!$P608))</f>
        <v/>
      </c>
      <c r="N608" t="str">
        <f>IF($M608="","",IF(ISNUMBER(Sync!$L608),IF(AND(Sync!$L608&gt;=10000101,Sync!$L608&lt;=99991231),RIGHT("0000"&amp;INT(Sync!$L608/10000),4)&amp;"/"&amp;RIGHT("00"&amp;INT(MOD(Sync!$L608,10000)/100),2)&amp;"/"&amp;RIGHT("00"&amp;MOD(Sync!$L608,100),2),""),IFERROR(RIGHT("0000"&amp;VALUE(TRIM(LEFT(Sync!$L608,FIND("/",Sync!$L608)-1))),4)&amp;"/"&amp;RIGHT("00"&amp;VALUE(TRIM(LEFT(MID(Sync!$L608,FIND("/",Sync!$L608)+1,20),FIND("/",MID(Sync!$L608,FIND("/",Sync!$L608)+1,20))-1))),2)&amp;"/"&amp;RIGHT("00"&amp;VALUE(TRIM(MID(MID(Sync!$L608,FIND("/",Sync!$L608)+1,20),FIND("/",MID(Sync!$L608,FIND("/",Sync!$L608)+1,20))+1,20))),2),"")))</f>
        <v/>
      </c>
    </row>
    <row r="609" spans="13:14" x14ac:dyDescent="0.2">
      <c r="M609" t="str">
        <f>IF(Sync!$M609&lt;&gt;"پاس چک","",IF(Sync!$P609="","",Sync!$P609))</f>
        <v/>
      </c>
      <c r="N609" t="str">
        <f>IF($M609="","",IF(ISNUMBER(Sync!$L609),IF(AND(Sync!$L609&gt;=10000101,Sync!$L609&lt;=99991231),RIGHT("0000"&amp;INT(Sync!$L609/10000),4)&amp;"/"&amp;RIGHT("00"&amp;INT(MOD(Sync!$L609,10000)/100),2)&amp;"/"&amp;RIGHT("00"&amp;MOD(Sync!$L609,100),2),""),IFERROR(RIGHT("0000"&amp;VALUE(TRIM(LEFT(Sync!$L609,FIND("/",Sync!$L609)-1))),4)&amp;"/"&amp;RIGHT("00"&amp;VALUE(TRIM(LEFT(MID(Sync!$L609,FIND("/",Sync!$L609)+1,20),FIND("/",MID(Sync!$L609,FIND("/",Sync!$L609)+1,20))-1))),2)&amp;"/"&amp;RIGHT("00"&amp;VALUE(TRIM(MID(MID(Sync!$L609,FIND("/",Sync!$L609)+1,20),FIND("/",MID(Sync!$L609,FIND("/",Sync!$L609)+1,20))+1,20))),2),"")))</f>
        <v/>
      </c>
    </row>
    <row r="610" spans="13:14" x14ac:dyDescent="0.2">
      <c r="M610" t="str">
        <f>IF(Sync!$M610&lt;&gt;"پاس چک","",IF(Sync!$P610="","",Sync!$P610))</f>
        <v/>
      </c>
      <c r="N610" t="str">
        <f>IF($M610="","",IF(ISNUMBER(Sync!$L610),IF(AND(Sync!$L610&gt;=10000101,Sync!$L610&lt;=99991231),RIGHT("0000"&amp;INT(Sync!$L610/10000),4)&amp;"/"&amp;RIGHT("00"&amp;INT(MOD(Sync!$L610,10000)/100),2)&amp;"/"&amp;RIGHT("00"&amp;MOD(Sync!$L610,100),2),""),IFERROR(RIGHT("0000"&amp;VALUE(TRIM(LEFT(Sync!$L610,FIND("/",Sync!$L610)-1))),4)&amp;"/"&amp;RIGHT("00"&amp;VALUE(TRIM(LEFT(MID(Sync!$L610,FIND("/",Sync!$L610)+1,20),FIND("/",MID(Sync!$L610,FIND("/",Sync!$L610)+1,20))-1))),2)&amp;"/"&amp;RIGHT("00"&amp;VALUE(TRIM(MID(MID(Sync!$L610,FIND("/",Sync!$L610)+1,20),FIND("/",MID(Sync!$L610,FIND("/",Sync!$L610)+1,20))+1,20))),2),"")))</f>
        <v/>
      </c>
    </row>
    <row r="611" spans="13:14" x14ac:dyDescent="0.2">
      <c r="M611" t="str">
        <f>IF(Sync!$M611&lt;&gt;"پاس چک","",IF(Sync!$P611="","",Sync!$P611))</f>
        <v/>
      </c>
      <c r="N611" t="str">
        <f>IF($M611="","",IF(ISNUMBER(Sync!$L611),IF(AND(Sync!$L611&gt;=10000101,Sync!$L611&lt;=99991231),RIGHT("0000"&amp;INT(Sync!$L611/10000),4)&amp;"/"&amp;RIGHT("00"&amp;INT(MOD(Sync!$L611,10000)/100),2)&amp;"/"&amp;RIGHT("00"&amp;MOD(Sync!$L611,100),2),""),IFERROR(RIGHT("0000"&amp;VALUE(TRIM(LEFT(Sync!$L611,FIND("/",Sync!$L611)-1))),4)&amp;"/"&amp;RIGHT("00"&amp;VALUE(TRIM(LEFT(MID(Sync!$L611,FIND("/",Sync!$L611)+1,20),FIND("/",MID(Sync!$L611,FIND("/",Sync!$L611)+1,20))-1))),2)&amp;"/"&amp;RIGHT("00"&amp;VALUE(TRIM(MID(MID(Sync!$L611,FIND("/",Sync!$L611)+1,20),FIND("/",MID(Sync!$L611,FIND("/",Sync!$L611)+1,20))+1,20))),2),"")))</f>
        <v/>
      </c>
    </row>
    <row r="612" spans="13:14" x14ac:dyDescent="0.2">
      <c r="M612" t="str">
        <f>IF(Sync!$M612&lt;&gt;"پاس چک","",IF(Sync!$P612="","",Sync!$P612))</f>
        <v/>
      </c>
      <c r="N612" t="str">
        <f>IF($M612="","",IF(ISNUMBER(Sync!$L612),IF(AND(Sync!$L612&gt;=10000101,Sync!$L612&lt;=99991231),RIGHT("0000"&amp;INT(Sync!$L612/10000),4)&amp;"/"&amp;RIGHT("00"&amp;INT(MOD(Sync!$L612,10000)/100),2)&amp;"/"&amp;RIGHT("00"&amp;MOD(Sync!$L612,100),2),""),IFERROR(RIGHT("0000"&amp;VALUE(TRIM(LEFT(Sync!$L612,FIND("/",Sync!$L612)-1))),4)&amp;"/"&amp;RIGHT("00"&amp;VALUE(TRIM(LEFT(MID(Sync!$L612,FIND("/",Sync!$L612)+1,20),FIND("/",MID(Sync!$L612,FIND("/",Sync!$L612)+1,20))-1))),2)&amp;"/"&amp;RIGHT("00"&amp;VALUE(TRIM(MID(MID(Sync!$L612,FIND("/",Sync!$L612)+1,20),FIND("/",MID(Sync!$L612,FIND("/",Sync!$L612)+1,20))+1,20))),2),"")))</f>
        <v/>
      </c>
    </row>
    <row r="613" spans="13:14" x14ac:dyDescent="0.2">
      <c r="M613" t="str">
        <f>IF(Sync!$M613&lt;&gt;"پاس چک","",IF(Sync!$P613="","",Sync!$P613))</f>
        <v/>
      </c>
      <c r="N613" t="str">
        <f>IF($M613="","",IF(ISNUMBER(Sync!$L613),IF(AND(Sync!$L613&gt;=10000101,Sync!$L613&lt;=99991231),RIGHT("0000"&amp;INT(Sync!$L613/10000),4)&amp;"/"&amp;RIGHT("00"&amp;INT(MOD(Sync!$L613,10000)/100),2)&amp;"/"&amp;RIGHT("00"&amp;MOD(Sync!$L613,100),2),""),IFERROR(RIGHT("0000"&amp;VALUE(TRIM(LEFT(Sync!$L613,FIND("/",Sync!$L613)-1))),4)&amp;"/"&amp;RIGHT("00"&amp;VALUE(TRIM(LEFT(MID(Sync!$L613,FIND("/",Sync!$L613)+1,20),FIND("/",MID(Sync!$L613,FIND("/",Sync!$L613)+1,20))-1))),2)&amp;"/"&amp;RIGHT("00"&amp;VALUE(TRIM(MID(MID(Sync!$L613,FIND("/",Sync!$L613)+1,20),FIND("/",MID(Sync!$L613,FIND("/",Sync!$L613)+1,20))+1,20))),2),"")))</f>
        <v/>
      </c>
    </row>
    <row r="614" spans="13:14" x14ac:dyDescent="0.2">
      <c r="M614" t="str">
        <f>IF(Sync!$M614&lt;&gt;"پاس چک","",IF(Sync!$P614="","",Sync!$P614))</f>
        <v/>
      </c>
      <c r="N614" t="str">
        <f>IF($M614="","",IF(ISNUMBER(Sync!$L614),IF(AND(Sync!$L614&gt;=10000101,Sync!$L614&lt;=99991231),RIGHT("0000"&amp;INT(Sync!$L614/10000),4)&amp;"/"&amp;RIGHT("00"&amp;INT(MOD(Sync!$L614,10000)/100),2)&amp;"/"&amp;RIGHT("00"&amp;MOD(Sync!$L614,100),2),""),IFERROR(RIGHT("0000"&amp;VALUE(TRIM(LEFT(Sync!$L614,FIND("/",Sync!$L614)-1))),4)&amp;"/"&amp;RIGHT("00"&amp;VALUE(TRIM(LEFT(MID(Sync!$L614,FIND("/",Sync!$L614)+1,20),FIND("/",MID(Sync!$L614,FIND("/",Sync!$L614)+1,20))-1))),2)&amp;"/"&amp;RIGHT("00"&amp;VALUE(TRIM(MID(MID(Sync!$L614,FIND("/",Sync!$L614)+1,20),FIND("/",MID(Sync!$L614,FIND("/",Sync!$L614)+1,20))+1,20))),2),"")))</f>
        <v/>
      </c>
    </row>
    <row r="615" spans="13:14" x14ac:dyDescent="0.2">
      <c r="M615" t="str">
        <f>IF(Sync!$M615&lt;&gt;"پاس چک","",IF(Sync!$P615="","",Sync!$P615))</f>
        <v/>
      </c>
      <c r="N615" t="str">
        <f>IF($M615="","",IF(ISNUMBER(Sync!$L615),IF(AND(Sync!$L615&gt;=10000101,Sync!$L615&lt;=99991231),RIGHT("0000"&amp;INT(Sync!$L615/10000),4)&amp;"/"&amp;RIGHT("00"&amp;INT(MOD(Sync!$L615,10000)/100),2)&amp;"/"&amp;RIGHT("00"&amp;MOD(Sync!$L615,100),2),""),IFERROR(RIGHT("0000"&amp;VALUE(TRIM(LEFT(Sync!$L615,FIND("/",Sync!$L615)-1))),4)&amp;"/"&amp;RIGHT("00"&amp;VALUE(TRIM(LEFT(MID(Sync!$L615,FIND("/",Sync!$L615)+1,20),FIND("/",MID(Sync!$L615,FIND("/",Sync!$L615)+1,20))-1))),2)&amp;"/"&amp;RIGHT("00"&amp;VALUE(TRIM(MID(MID(Sync!$L615,FIND("/",Sync!$L615)+1,20),FIND("/",MID(Sync!$L615,FIND("/",Sync!$L615)+1,20))+1,20))),2),"")))</f>
        <v/>
      </c>
    </row>
    <row r="616" spans="13:14" x14ac:dyDescent="0.2">
      <c r="M616" t="str">
        <f>IF(Sync!$M616&lt;&gt;"پاس چک","",IF(Sync!$P616="","",Sync!$P616))</f>
        <v/>
      </c>
      <c r="N616" t="str">
        <f>IF($M616="","",IF(ISNUMBER(Sync!$L616),IF(AND(Sync!$L616&gt;=10000101,Sync!$L616&lt;=99991231),RIGHT("0000"&amp;INT(Sync!$L616/10000),4)&amp;"/"&amp;RIGHT("00"&amp;INT(MOD(Sync!$L616,10000)/100),2)&amp;"/"&amp;RIGHT("00"&amp;MOD(Sync!$L616,100),2),""),IFERROR(RIGHT("0000"&amp;VALUE(TRIM(LEFT(Sync!$L616,FIND("/",Sync!$L616)-1))),4)&amp;"/"&amp;RIGHT("00"&amp;VALUE(TRIM(LEFT(MID(Sync!$L616,FIND("/",Sync!$L616)+1,20),FIND("/",MID(Sync!$L616,FIND("/",Sync!$L616)+1,20))-1))),2)&amp;"/"&amp;RIGHT("00"&amp;VALUE(TRIM(MID(MID(Sync!$L616,FIND("/",Sync!$L616)+1,20),FIND("/",MID(Sync!$L616,FIND("/",Sync!$L616)+1,20))+1,20))),2),"")))</f>
        <v/>
      </c>
    </row>
    <row r="617" spans="13:14" x14ac:dyDescent="0.2">
      <c r="M617" t="str">
        <f>IF(Sync!$M617&lt;&gt;"پاس چک","",IF(Sync!$P617="","",Sync!$P617))</f>
        <v/>
      </c>
      <c r="N617" t="str">
        <f>IF($M617="","",IF(ISNUMBER(Sync!$L617),IF(AND(Sync!$L617&gt;=10000101,Sync!$L617&lt;=99991231),RIGHT("0000"&amp;INT(Sync!$L617/10000),4)&amp;"/"&amp;RIGHT("00"&amp;INT(MOD(Sync!$L617,10000)/100),2)&amp;"/"&amp;RIGHT("00"&amp;MOD(Sync!$L617,100),2),""),IFERROR(RIGHT("0000"&amp;VALUE(TRIM(LEFT(Sync!$L617,FIND("/",Sync!$L617)-1))),4)&amp;"/"&amp;RIGHT("00"&amp;VALUE(TRIM(LEFT(MID(Sync!$L617,FIND("/",Sync!$L617)+1,20),FIND("/",MID(Sync!$L617,FIND("/",Sync!$L617)+1,20))-1))),2)&amp;"/"&amp;RIGHT("00"&amp;VALUE(TRIM(MID(MID(Sync!$L617,FIND("/",Sync!$L617)+1,20),FIND("/",MID(Sync!$L617,FIND("/",Sync!$L617)+1,20))+1,20))),2),"")))</f>
        <v/>
      </c>
    </row>
    <row r="618" spans="13:14" x14ac:dyDescent="0.2">
      <c r="M618" t="str">
        <f>IF(Sync!$M618&lt;&gt;"پاس چک","",IF(Sync!$P618="","",Sync!$P618))</f>
        <v/>
      </c>
      <c r="N618" t="str">
        <f>IF($M618="","",IF(ISNUMBER(Sync!$L618),IF(AND(Sync!$L618&gt;=10000101,Sync!$L618&lt;=99991231),RIGHT("0000"&amp;INT(Sync!$L618/10000),4)&amp;"/"&amp;RIGHT("00"&amp;INT(MOD(Sync!$L618,10000)/100),2)&amp;"/"&amp;RIGHT("00"&amp;MOD(Sync!$L618,100),2),""),IFERROR(RIGHT("0000"&amp;VALUE(TRIM(LEFT(Sync!$L618,FIND("/",Sync!$L618)-1))),4)&amp;"/"&amp;RIGHT("00"&amp;VALUE(TRIM(LEFT(MID(Sync!$L618,FIND("/",Sync!$L618)+1,20),FIND("/",MID(Sync!$L618,FIND("/",Sync!$L618)+1,20))-1))),2)&amp;"/"&amp;RIGHT("00"&amp;VALUE(TRIM(MID(MID(Sync!$L618,FIND("/",Sync!$L618)+1,20),FIND("/",MID(Sync!$L618,FIND("/",Sync!$L618)+1,20))+1,20))),2),"")))</f>
        <v/>
      </c>
    </row>
    <row r="619" spans="13:14" x14ac:dyDescent="0.2">
      <c r="M619" t="str">
        <f>IF(Sync!$M619&lt;&gt;"پاس چک","",IF(Sync!$P619="","",Sync!$P619))</f>
        <v/>
      </c>
      <c r="N619" t="str">
        <f>IF($M619="","",IF(ISNUMBER(Sync!$L619),IF(AND(Sync!$L619&gt;=10000101,Sync!$L619&lt;=99991231),RIGHT("0000"&amp;INT(Sync!$L619/10000),4)&amp;"/"&amp;RIGHT("00"&amp;INT(MOD(Sync!$L619,10000)/100),2)&amp;"/"&amp;RIGHT("00"&amp;MOD(Sync!$L619,100),2),""),IFERROR(RIGHT("0000"&amp;VALUE(TRIM(LEFT(Sync!$L619,FIND("/",Sync!$L619)-1))),4)&amp;"/"&amp;RIGHT("00"&amp;VALUE(TRIM(LEFT(MID(Sync!$L619,FIND("/",Sync!$L619)+1,20),FIND("/",MID(Sync!$L619,FIND("/",Sync!$L619)+1,20))-1))),2)&amp;"/"&amp;RIGHT("00"&amp;VALUE(TRIM(MID(MID(Sync!$L619,FIND("/",Sync!$L619)+1,20),FIND("/",MID(Sync!$L619,FIND("/",Sync!$L619)+1,20))+1,20))),2),"")))</f>
        <v/>
      </c>
    </row>
    <row r="620" spans="13:14" x14ac:dyDescent="0.2">
      <c r="M620" t="str">
        <f>IF(Sync!$M620&lt;&gt;"پاس چک","",IF(Sync!$P620="","",Sync!$P620))</f>
        <v/>
      </c>
      <c r="N620" t="str">
        <f>IF($M620="","",IF(ISNUMBER(Sync!$L620),IF(AND(Sync!$L620&gt;=10000101,Sync!$L620&lt;=99991231),RIGHT("0000"&amp;INT(Sync!$L620/10000),4)&amp;"/"&amp;RIGHT("00"&amp;INT(MOD(Sync!$L620,10000)/100),2)&amp;"/"&amp;RIGHT("00"&amp;MOD(Sync!$L620,100),2),""),IFERROR(RIGHT("0000"&amp;VALUE(TRIM(LEFT(Sync!$L620,FIND("/",Sync!$L620)-1))),4)&amp;"/"&amp;RIGHT("00"&amp;VALUE(TRIM(LEFT(MID(Sync!$L620,FIND("/",Sync!$L620)+1,20),FIND("/",MID(Sync!$L620,FIND("/",Sync!$L620)+1,20))-1))),2)&amp;"/"&amp;RIGHT("00"&amp;VALUE(TRIM(MID(MID(Sync!$L620,FIND("/",Sync!$L620)+1,20),FIND("/",MID(Sync!$L620,FIND("/",Sync!$L620)+1,20))+1,20))),2),"")))</f>
        <v/>
      </c>
    </row>
    <row r="621" spans="13:14" x14ac:dyDescent="0.2">
      <c r="M621" t="str">
        <f>IF(Sync!$M621&lt;&gt;"پاس چک","",IF(Sync!$P621="","",Sync!$P621))</f>
        <v/>
      </c>
      <c r="N621" t="str">
        <f>IF($M621="","",IF(ISNUMBER(Sync!$L621),IF(AND(Sync!$L621&gt;=10000101,Sync!$L621&lt;=99991231),RIGHT("0000"&amp;INT(Sync!$L621/10000),4)&amp;"/"&amp;RIGHT("00"&amp;INT(MOD(Sync!$L621,10000)/100),2)&amp;"/"&amp;RIGHT("00"&amp;MOD(Sync!$L621,100),2),""),IFERROR(RIGHT("0000"&amp;VALUE(TRIM(LEFT(Sync!$L621,FIND("/",Sync!$L621)-1))),4)&amp;"/"&amp;RIGHT("00"&amp;VALUE(TRIM(LEFT(MID(Sync!$L621,FIND("/",Sync!$L621)+1,20),FIND("/",MID(Sync!$L621,FIND("/",Sync!$L621)+1,20))-1))),2)&amp;"/"&amp;RIGHT("00"&amp;VALUE(TRIM(MID(MID(Sync!$L621,FIND("/",Sync!$L621)+1,20),FIND("/",MID(Sync!$L621,FIND("/",Sync!$L621)+1,20))+1,20))),2),"")))</f>
        <v/>
      </c>
    </row>
    <row r="622" spans="13:14" x14ac:dyDescent="0.2">
      <c r="M622" t="str">
        <f>IF(Sync!$M622&lt;&gt;"پاس چک","",IF(Sync!$P622="","",Sync!$P622))</f>
        <v/>
      </c>
      <c r="N622" t="str">
        <f>IF($M622="","",IF(ISNUMBER(Sync!$L622),IF(AND(Sync!$L622&gt;=10000101,Sync!$L622&lt;=99991231),RIGHT("0000"&amp;INT(Sync!$L622/10000),4)&amp;"/"&amp;RIGHT("00"&amp;INT(MOD(Sync!$L622,10000)/100),2)&amp;"/"&amp;RIGHT("00"&amp;MOD(Sync!$L622,100),2),""),IFERROR(RIGHT("0000"&amp;VALUE(TRIM(LEFT(Sync!$L622,FIND("/",Sync!$L622)-1))),4)&amp;"/"&amp;RIGHT("00"&amp;VALUE(TRIM(LEFT(MID(Sync!$L622,FIND("/",Sync!$L622)+1,20),FIND("/",MID(Sync!$L622,FIND("/",Sync!$L622)+1,20))-1))),2)&amp;"/"&amp;RIGHT("00"&amp;VALUE(TRIM(MID(MID(Sync!$L622,FIND("/",Sync!$L622)+1,20),FIND("/",MID(Sync!$L622,FIND("/",Sync!$L622)+1,20))+1,20))),2),"")))</f>
        <v/>
      </c>
    </row>
    <row r="623" spans="13:14" x14ac:dyDescent="0.2">
      <c r="M623" t="str">
        <f>IF(Sync!$M623&lt;&gt;"پاس چک","",IF(Sync!$P623="","",Sync!$P623))</f>
        <v/>
      </c>
      <c r="N623" t="str">
        <f>IF($M623="","",IF(ISNUMBER(Sync!$L623),IF(AND(Sync!$L623&gt;=10000101,Sync!$L623&lt;=99991231),RIGHT("0000"&amp;INT(Sync!$L623/10000),4)&amp;"/"&amp;RIGHT("00"&amp;INT(MOD(Sync!$L623,10000)/100),2)&amp;"/"&amp;RIGHT("00"&amp;MOD(Sync!$L623,100),2),""),IFERROR(RIGHT("0000"&amp;VALUE(TRIM(LEFT(Sync!$L623,FIND("/",Sync!$L623)-1))),4)&amp;"/"&amp;RIGHT("00"&amp;VALUE(TRIM(LEFT(MID(Sync!$L623,FIND("/",Sync!$L623)+1,20),FIND("/",MID(Sync!$L623,FIND("/",Sync!$L623)+1,20))-1))),2)&amp;"/"&amp;RIGHT("00"&amp;VALUE(TRIM(MID(MID(Sync!$L623,FIND("/",Sync!$L623)+1,20),FIND("/",MID(Sync!$L623,FIND("/",Sync!$L623)+1,20))+1,20))),2),"")))</f>
        <v/>
      </c>
    </row>
    <row r="624" spans="13:14" x14ac:dyDescent="0.2">
      <c r="M624" t="str">
        <f>IF(Sync!$M624&lt;&gt;"پاس چک","",IF(Sync!$P624="","",Sync!$P624))</f>
        <v/>
      </c>
      <c r="N624" t="str">
        <f>IF($M624="","",IF(ISNUMBER(Sync!$L624),IF(AND(Sync!$L624&gt;=10000101,Sync!$L624&lt;=99991231),RIGHT("0000"&amp;INT(Sync!$L624/10000),4)&amp;"/"&amp;RIGHT("00"&amp;INT(MOD(Sync!$L624,10000)/100),2)&amp;"/"&amp;RIGHT("00"&amp;MOD(Sync!$L624,100),2),""),IFERROR(RIGHT("0000"&amp;VALUE(TRIM(LEFT(Sync!$L624,FIND("/",Sync!$L624)-1))),4)&amp;"/"&amp;RIGHT("00"&amp;VALUE(TRIM(LEFT(MID(Sync!$L624,FIND("/",Sync!$L624)+1,20),FIND("/",MID(Sync!$L624,FIND("/",Sync!$L624)+1,20))-1))),2)&amp;"/"&amp;RIGHT("00"&amp;VALUE(TRIM(MID(MID(Sync!$L624,FIND("/",Sync!$L624)+1,20),FIND("/",MID(Sync!$L624,FIND("/",Sync!$L624)+1,20))+1,20))),2),"")))</f>
        <v/>
      </c>
    </row>
    <row r="625" spans="13:14" x14ac:dyDescent="0.2">
      <c r="M625" t="str">
        <f>IF(Sync!$M625&lt;&gt;"پاس چک","",IF(Sync!$P625="","",Sync!$P625))</f>
        <v/>
      </c>
      <c r="N625" t="str">
        <f>IF($M625="","",IF(ISNUMBER(Sync!$L625),IF(AND(Sync!$L625&gt;=10000101,Sync!$L625&lt;=99991231),RIGHT("0000"&amp;INT(Sync!$L625/10000),4)&amp;"/"&amp;RIGHT("00"&amp;INT(MOD(Sync!$L625,10000)/100),2)&amp;"/"&amp;RIGHT("00"&amp;MOD(Sync!$L625,100),2),""),IFERROR(RIGHT("0000"&amp;VALUE(TRIM(LEFT(Sync!$L625,FIND("/",Sync!$L625)-1))),4)&amp;"/"&amp;RIGHT("00"&amp;VALUE(TRIM(LEFT(MID(Sync!$L625,FIND("/",Sync!$L625)+1,20),FIND("/",MID(Sync!$L625,FIND("/",Sync!$L625)+1,20))-1))),2)&amp;"/"&amp;RIGHT("00"&amp;VALUE(TRIM(MID(MID(Sync!$L625,FIND("/",Sync!$L625)+1,20),FIND("/",MID(Sync!$L625,FIND("/",Sync!$L625)+1,20))+1,20))),2),"")))</f>
        <v/>
      </c>
    </row>
    <row r="626" spans="13:14" x14ac:dyDescent="0.2">
      <c r="M626" t="str">
        <f>IF(Sync!$M626&lt;&gt;"پاس چک","",IF(Sync!$P626="","",Sync!$P626))</f>
        <v/>
      </c>
      <c r="N626" t="str">
        <f>IF($M626="","",IF(ISNUMBER(Sync!$L626),IF(AND(Sync!$L626&gt;=10000101,Sync!$L626&lt;=99991231),RIGHT("0000"&amp;INT(Sync!$L626/10000),4)&amp;"/"&amp;RIGHT("00"&amp;INT(MOD(Sync!$L626,10000)/100),2)&amp;"/"&amp;RIGHT("00"&amp;MOD(Sync!$L626,100),2),""),IFERROR(RIGHT("0000"&amp;VALUE(TRIM(LEFT(Sync!$L626,FIND("/",Sync!$L626)-1))),4)&amp;"/"&amp;RIGHT("00"&amp;VALUE(TRIM(LEFT(MID(Sync!$L626,FIND("/",Sync!$L626)+1,20),FIND("/",MID(Sync!$L626,FIND("/",Sync!$L626)+1,20))-1))),2)&amp;"/"&amp;RIGHT("00"&amp;VALUE(TRIM(MID(MID(Sync!$L626,FIND("/",Sync!$L626)+1,20),FIND("/",MID(Sync!$L626,FIND("/",Sync!$L626)+1,20))+1,20))),2),"")))</f>
        <v/>
      </c>
    </row>
    <row r="627" spans="13:14" x14ac:dyDescent="0.2">
      <c r="M627" t="str">
        <f>IF(Sync!$M627&lt;&gt;"پاس چک","",IF(Sync!$P627="","",Sync!$P627))</f>
        <v/>
      </c>
      <c r="N627" t="str">
        <f>IF($M627="","",IF(ISNUMBER(Sync!$L627),IF(AND(Sync!$L627&gt;=10000101,Sync!$L627&lt;=99991231),RIGHT("0000"&amp;INT(Sync!$L627/10000),4)&amp;"/"&amp;RIGHT("00"&amp;INT(MOD(Sync!$L627,10000)/100),2)&amp;"/"&amp;RIGHT("00"&amp;MOD(Sync!$L627,100),2),""),IFERROR(RIGHT("0000"&amp;VALUE(TRIM(LEFT(Sync!$L627,FIND("/",Sync!$L627)-1))),4)&amp;"/"&amp;RIGHT("00"&amp;VALUE(TRIM(LEFT(MID(Sync!$L627,FIND("/",Sync!$L627)+1,20),FIND("/",MID(Sync!$L627,FIND("/",Sync!$L627)+1,20))-1))),2)&amp;"/"&amp;RIGHT("00"&amp;VALUE(TRIM(MID(MID(Sync!$L627,FIND("/",Sync!$L627)+1,20),FIND("/",MID(Sync!$L627,FIND("/",Sync!$L627)+1,20))+1,20))),2),"")))</f>
        <v/>
      </c>
    </row>
    <row r="628" spans="13:14" x14ac:dyDescent="0.2">
      <c r="M628" t="str">
        <f>IF(Sync!$M628&lt;&gt;"پاس چک","",IF(Sync!$P628="","",Sync!$P628))</f>
        <v/>
      </c>
      <c r="N628" t="str">
        <f>IF($M628="","",IF(ISNUMBER(Sync!$L628),IF(AND(Sync!$L628&gt;=10000101,Sync!$L628&lt;=99991231),RIGHT("0000"&amp;INT(Sync!$L628/10000),4)&amp;"/"&amp;RIGHT("00"&amp;INT(MOD(Sync!$L628,10000)/100),2)&amp;"/"&amp;RIGHT("00"&amp;MOD(Sync!$L628,100),2),""),IFERROR(RIGHT("0000"&amp;VALUE(TRIM(LEFT(Sync!$L628,FIND("/",Sync!$L628)-1))),4)&amp;"/"&amp;RIGHT("00"&amp;VALUE(TRIM(LEFT(MID(Sync!$L628,FIND("/",Sync!$L628)+1,20),FIND("/",MID(Sync!$L628,FIND("/",Sync!$L628)+1,20))-1))),2)&amp;"/"&amp;RIGHT("00"&amp;VALUE(TRIM(MID(MID(Sync!$L628,FIND("/",Sync!$L628)+1,20),FIND("/",MID(Sync!$L628,FIND("/",Sync!$L628)+1,20))+1,20))),2),"")))</f>
        <v/>
      </c>
    </row>
    <row r="629" spans="13:14" x14ac:dyDescent="0.2">
      <c r="M629" t="str">
        <f>IF(Sync!$M629&lt;&gt;"پاس چک","",IF(Sync!$P629="","",Sync!$P629))</f>
        <v/>
      </c>
      <c r="N629" t="str">
        <f>IF($M629="","",IF(ISNUMBER(Sync!$L629),IF(AND(Sync!$L629&gt;=10000101,Sync!$L629&lt;=99991231),RIGHT("0000"&amp;INT(Sync!$L629/10000),4)&amp;"/"&amp;RIGHT("00"&amp;INT(MOD(Sync!$L629,10000)/100),2)&amp;"/"&amp;RIGHT("00"&amp;MOD(Sync!$L629,100),2),""),IFERROR(RIGHT("0000"&amp;VALUE(TRIM(LEFT(Sync!$L629,FIND("/",Sync!$L629)-1))),4)&amp;"/"&amp;RIGHT("00"&amp;VALUE(TRIM(LEFT(MID(Sync!$L629,FIND("/",Sync!$L629)+1,20),FIND("/",MID(Sync!$L629,FIND("/",Sync!$L629)+1,20))-1))),2)&amp;"/"&amp;RIGHT("00"&amp;VALUE(TRIM(MID(MID(Sync!$L629,FIND("/",Sync!$L629)+1,20),FIND("/",MID(Sync!$L629,FIND("/",Sync!$L629)+1,20))+1,20))),2),"")))</f>
        <v/>
      </c>
    </row>
    <row r="630" spans="13:14" x14ac:dyDescent="0.2">
      <c r="M630" t="str">
        <f>IF(Sync!$M630&lt;&gt;"پاس چک","",IF(Sync!$P630="","",Sync!$P630))</f>
        <v/>
      </c>
      <c r="N630" t="str">
        <f>IF($M630="","",IF(ISNUMBER(Sync!$L630),IF(AND(Sync!$L630&gt;=10000101,Sync!$L630&lt;=99991231),RIGHT("0000"&amp;INT(Sync!$L630/10000),4)&amp;"/"&amp;RIGHT("00"&amp;INT(MOD(Sync!$L630,10000)/100),2)&amp;"/"&amp;RIGHT("00"&amp;MOD(Sync!$L630,100),2),""),IFERROR(RIGHT("0000"&amp;VALUE(TRIM(LEFT(Sync!$L630,FIND("/",Sync!$L630)-1))),4)&amp;"/"&amp;RIGHT("00"&amp;VALUE(TRIM(LEFT(MID(Sync!$L630,FIND("/",Sync!$L630)+1,20),FIND("/",MID(Sync!$L630,FIND("/",Sync!$L630)+1,20))-1))),2)&amp;"/"&amp;RIGHT("00"&amp;VALUE(TRIM(MID(MID(Sync!$L630,FIND("/",Sync!$L630)+1,20),FIND("/",MID(Sync!$L630,FIND("/",Sync!$L630)+1,20))+1,20))),2),"")))</f>
        <v/>
      </c>
    </row>
    <row r="631" spans="13:14" x14ac:dyDescent="0.2">
      <c r="M631" t="str">
        <f>IF(Sync!$M631&lt;&gt;"پاس چک","",IF(Sync!$P631="","",Sync!$P631))</f>
        <v/>
      </c>
      <c r="N631" t="str">
        <f>IF($M631="","",IF(ISNUMBER(Sync!$L631),IF(AND(Sync!$L631&gt;=10000101,Sync!$L631&lt;=99991231),RIGHT("0000"&amp;INT(Sync!$L631/10000),4)&amp;"/"&amp;RIGHT("00"&amp;INT(MOD(Sync!$L631,10000)/100),2)&amp;"/"&amp;RIGHT("00"&amp;MOD(Sync!$L631,100),2),""),IFERROR(RIGHT("0000"&amp;VALUE(TRIM(LEFT(Sync!$L631,FIND("/",Sync!$L631)-1))),4)&amp;"/"&amp;RIGHT("00"&amp;VALUE(TRIM(LEFT(MID(Sync!$L631,FIND("/",Sync!$L631)+1,20),FIND("/",MID(Sync!$L631,FIND("/",Sync!$L631)+1,20))-1))),2)&amp;"/"&amp;RIGHT("00"&amp;VALUE(TRIM(MID(MID(Sync!$L631,FIND("/",Sync!$L631)+1,20),FIND("/",MID(Sync!$L631,FIND("/",Sync!$L631)+1,20))+1,20))),2),"")))</f>
        <v/>
      </c>
    </row>
    <row r="632" spans="13:14" x14ac:dyDescent="0.2">
      <c r="M632" t="str">
        <f>IF(Sync!$M632&lt;&gt;"پاس چک","",IF(Sync!$P632="","",Sync!$P632))</f>
        <v/>
      </c>
      <c r="N632" t="str">
        <f>IF($M632="","",IF(ISNUMBER(Sync!$L632),IF(AND(Sync!$L632&gt;=10000101,Sync!$L632&lt;=99991231),RIGHT("0000"&amp;INT(Sync!$L632/10000),4)&amp;"/"&amp;RIGHT("00"&amp;INT(MOD(Sync!$L632,10000)/100),2)&amp;"/"&amp;RIGHT("00"&amp;MOD(Sync!$L632,100),2),""),IFERROR(RIGHT("0000"&amp;VALUE(TRIM(LEFT(Sync!$L632,FIND("/",Sync!$L632)-1))),4)&amp;"/"&amp;RIGHT("00"&amp;VALUE(TRIM(LEFT(MID(Sync!$L632,FIND("/",Sync!$L632)+1,20),FIND("/",MID(Sync!$L632,FIND("/",Sync!$L632)+1,20))-1))),2)&amp;"/"&amp;RIGHT("00"&amp;VALUE(TRIM(MID(MID(Sync!$L632,FIND("/",Sync!$L632)+1,20),FIND("/",MID(Sync!$L632,FIND("/",Sync!$L632)+1,20))+1,20))),2),"")))</f>
        <v/>
      </c>
    </row>
    <row r="633" spans="13:14" x14ac:dyDescent="0.2">
      <c r="M633" t="str">
        <f>IF(Sync!$M633&lt;&gt;"پاس چک","",IF(Sync!$P633="","",Sync!$P633))</f>
        <v/>
      </c>
      <c r="N633" t="str">
        <f>IF($M633="","",IF(ISNUMBER(Sync!$L633),IF(AND(Sync!$L633&gt;=10000101,Sync!$L633&lt;=99991231),RIGHT("0000"&amp;INT(Sync!$L633/10000),4)&amp;"/"&amp;RIGHT("00"&amp;INT(MOD(Sync!$L633,10000)/100),2)&amp;"/"&amp;RIGHT("00"&amp;MOD(Sync!$L633,100),2),""),IFERROR(RIGHT("0000"&amp;VALUE(TRIM(LEFT(Sync!$L633,FIND("/",Sync!$L633)-1))),4)&amp;"/"&amp;RIGHT("00"&amp;VALUE(TRIM(LEFT(MID(Sync!$L633,FIND("/",Sync!$L633)+1,20),FIND("/",MID(Sync!$L633,FIND("/",Sync!$L633)+1,20))-1))),2)&amp;"/"&amp;RIGHT("00"&amp;VALUE(TRIM(MID(MID(Sync!$L633,FIND("/",Sync!$L633)+1,20),FIND("/",MID(Sync!$L633,FIND("/",Sync!$L633)+1,20))+1,20))),2),"")))</f>
        <v/>
      </c>
    </row>
    <row r="634" spans="13:14" x14ac:dyDescent="0.2">
      <c r="M634" t="str">
        <f>IF(Sync!$M634&lt;&gt;"پاس چک","",IF(Sync!$P634="","",Sync!$P634))</f>
        <v/>
      </c>
      <c r="N634" t="str">
        <f>IF($M634="","",IF(ISNUMBER(Sync!$L634),IF(AND(Sync!$L634&gt;=10000101,Sync!$L634&lt;=99991231),RIGHT("0000"&amp;INT(Sync!$L634/10000),4)&amp;"/"&amp;RIGHT("00"&amp;INT(MOD(Sync!$L634,10000)/100),2)&amp;"/"&amp;RIGHT("00"&amp;MOD(Sync!$L634,100),2),""),IFERROR(RIGHT("0000"&amp;VALUE(TRIM(LEFT(Sync!$L634,FIND("/",Sync!$L634)-1))),4)&amp;"/"&amp;RIGHT("00"&amp;VALUE(TRIM(LEFT(MID(Sync!$L634,FIND("/",Sync!$L634)+1,20),FIND("/",MID(Sync!$L634,FIND("/",Sync!$L634)+1,20))-1))),2)&amp;"/"&amp;RIGHT("00"&amp;VALUE(TRIM(MID(MID(Sync!$L634,FIND("/",Sync!$L634)+1,20),FIND("/",MID(Sync!$L634,FIND("/",Sync!$L634)+1,20))+1,20))),2),"")))</f>
        <v/>
      </c>
    </row>
    <row r="635" spans="13:14" x14ac:dyDescent="0.2">
      <c r="M635" t="str">
        <f>IF(Sync!$M635&lt;&gt;"پاس چک","",IF(Sync!$P635="","",Sync!$P635))</f>
        <v/>
      </c>
      <c r="N635" t="str">
        <f>IF($M635="","",IF(ISNUMBER(Sync!$L635),IF(AND(Sync!$L635&gt;=10000101,Sync!$L635&lt;=99991231),RIGHT("0000"&amp;INT(Sync!$L635/10000),4)&amp;"/"&amp;RIGHT("00"&amp;INT(MOD(Sync!$L635,10000)/100),2)&amp;"/"&amp;RIGHT("00"&amp;MOD(Sync!$L635,100),2),""),IFERROR(RIGHT("0000"&amp;VALUE(TRIM(LEFT(Sync!$L635,FIND("/",Sync!$L635)-1))),4)&amp;"/"&amp;RIGHT("00"&amp;VALUE(TRIM(LEFT(MID(Sync!$L635,FIND("/",Sync!$L635)+1,20),FIND("/",MID(Sync!$L635,FIND("/",Sync!$L635)+1,20))-1))),2)&amp;"/"&amp;RIGHT("00"&amp;VALUE(TRIM(MID(MID(Sync!$L635,FIND("/",Sync!$L635)+1,20),FIND("/",MID(Sync!$L635,FIND("/",Sync!$L635)+1,20))+1,20))),2),"")))</f>
        <v/>
      </c>
    </row>
    <row r="636" spans="13:14" x14ac:dyDescent="0.2">
      <c r="M636" t="str">
        <f>IF(Sync!$M636&lt;&gt;"پاس چک","",IF(Sync!$P636="","",Sync!$P636))</f>
        <v/>
      </c>
      <c r="N636" t="str">
        <f>IF($M636="","",IF(ISNUMBER(Sync!$L636),IF(AND(Sync!$L636&gt;=10000101,Sync!$L636&lt;=99991231),RIGHT("0000"&amp;INT(Sync!$L636/10000),4)&amp;"/"&amp;RIGHT("00"&amp;INT(MOD(Sync!$L636,10000)/100),2)&amp;"/"&amp;RIGHT("00"&amp;MOD(Sync!$L636,100),2),""),IFERROR(RIGHT("0000"&amp;VALUE(TRIM(LEFT(Sync!$L636,FIND("/",Sync!$L636)-1))),4)&amp;"/"&amp;RIGHT("00"&amp;VALUE(TRIM(LEFT(MID(Sync!$L636,FIND("/",Sync!$L636)+1,20),FIND("/",MID(Sync!$L636,FIND("/",Sync!$L636)+1,20))-1))),2)&amp;"/"&amp;RIGHT("00"&amp;VALUE(TRIM(MID(MID(Sync!$L636,FIND("/",Sync!$L636)+1,20),FIND("/",MID(Sync!$L636,FIND("/",Sync!$L636)+1,20))+1,20))),2),"")))</f>
        <v/>
      </c>
    </row>
    <row r="637" spans="13:14" x14ac:dyDescent="0.2">
      <c r="M637" t="str">
        <f>IF(Sync!$M637&lt;&gt;"پاس چک","",IF(Sync!$P637="","",Sync!$P637))</f>
        <v/>
      </c>
      <c r="N637" t="str">
        <f>IF($M637="","",IF(ISNUMBER(Sync!$L637),IF(AND(Sync!$L637&gt;=10000101,Sync!$L637&lt;=99991231),RIGHT("0000"&amp;INT(Sync!$L637/10000),4)&amp;"/"&amp;RIGHT("00"&amp;INT(MOD(Sync!$L637,10000)/100),2)&amp;"/"&amp;RIGHT("00"&amp;MOD(Sync!$L637,100),2),""),IFERROR(RIGHT("0000"&amp;VALUE(TRIM(LEFT(Sync!$L637,FIND("/",Sync!$L637)-1))),4)&amp;"/"&amp;RIGHT("00"&amp;VALUE(TRIM(LEFT(MID(Sync!$L637,FIND("/",Sync!$L637)+1,20),FIND("/",MID(Sync!$L637,FIND("/",Sync!$L637)+1,20))-1))),2)&amp;"/"&amp;RIGHT("00"&amp;VALUE(TRIM(MID(MID(Sync!$L637,FIND("/",Sync!$L637)+1,20),FIND("/",MID(Sync!$L637,FIND("/",Sync!$L637)+1,20))+1,20))),2),"")))</f>
        <v/>
      </c>
    </row>
    <row r="638" spans="13:14" x14ac:dyDescent="0.2">
      <c r="M638" t="str">
        <f>IF(Sync!$M638&lt;&gt;"پاس چک","",IF(Sync!$P638="","",Sync!$P638))</f>
        <v/>
      </c>
      <c r="N638" t="str">
        <f>IF($M638="","",IF(ISNUMBER(Sync!$L638),IF(AND(Sync!$L638&gt;=10000101,Sync!$L638&lt;=99991231),RIGHT("0000"&amp;INT(Sync!$L638/10000),4)&amp;"/"&amp;RIGHT("00"&amp;INT(MOD(Sync!$L638,10000)/100),2)&amp;"/"&amp;RIGHT("00"&amp;MOD(Sync!$L638,100),2),""),IFERROR(RIGHT("0000"&amp;VALUE(TRIM(LEFT(Sync!$L638,FIND("/",Sync!$L638)-1))),4)&amp;"/"&amp;RIGHT("00"&amp;VALUE(TRIM(LEFT(MID(Sync!$L638,FIND("/",Sync!$L638)+1,20),FIND("/",MID(Sync!$L638,FIND("/",Sync!$L638)+1,20))-1))),2)&amp;"/"&amp;RIGHT("00"&amp;VALUE(TRIM(MID(MID(Sync!$L638,FIND("/",Sync!$L638)+1,20),FIND("/",MID(Sync!$L638,FIND("/",Sync!$L638)+1,20))+1,20))),2),"")))</f>
        <v/>
      </c>
    </row>
    <row r="639" spans="13:14" x14ac:dyDescent="0.2">
      <c r="M639" t="str">
        <f>IF(Sync!$M639&lt;&gt;"پاس چک","",IF(Sync!$P639="","",Sync!$P639))</f>
        <v/>
      </c>
      <c r="N639" t="str">
        <f>IF($M639="","",IF(ISNUMBER(Sync!$L639),IF(AND(Sync!$L639&gt;=10000101,Sync!$L639&lt;=99991231),RIGHT("0000"&amp;INT(Sync!$L639/10000),4)&amp;"/"&amp;RIGHT("00"&amp;INT(MOD(Sync!$L639,10000)/100),2)&amp;"/"&amp;RIGHT("00"&amp;MOD(Sync!$L639,100),2),""),IFERROR(RIGHT("0000"&amp;VALUE(TRIM(LEFT(Sync!$L639,FIND("/",Sync!$L639)-1))),4)&amp;"/"&amp;RIGHT("00"&amp;VALUE(TRIM(LEFT(MID(Sync!$L639,FIND("/",Sync!$L639)+1,20),FIND("/",MID(Sync!$L639,FIND("/",Sync!$L639)+1,20))-1))),2)&amp;"/"&amp;RIGHT("00"&amp;VALUE(TRIM(MID(MID(Sync!$L639,FIND("/",Sync!$L639)+1,20),FIND("/",MID(Sync!$L639,FIND("/",Sync!$L639)+1,20))+1,20))),2),"")))</f>
        <v/>
      </c>
    </row>
    <row r="640" spans="13:14" x14ac:dyDescent="0.2">
      <c r="M640" t="str">
        <f>IF(Sync!$M640&lt;&gt;"پاس چک","",IF(Sync!$P640="","",Sync!$P640))</f>
        <v/>
      </c>
      <c r="N640" t="str">
        <f>IF($M640="","",IF(ISNUMBER(Sync!$L640),IF(AND(Sync!$L640&gt;=10000101,Sync!$L640&lt;=99991231),RIGHT("0000"&amp;INT(Sync!$L640/10000),4)&amp;"/"&amp;RIGHT("00"&amp;INT(MOD(Sync!$L640,10000)/100),2)&amp;"/"&amp;RIGHT("00"&amp;MOD(Sync!$L640,100),2),""),IFERROR(RIGHT("0000"&amp;VALUE(TRIM(LEFT(Sync!$L640,FIND("/",Sync!$L640)-1))),4)&amp;"/"&amp;RIGHT("00"&amp;VALUE(TRIM(LEFT(MID(Sync!$L640,FIND("/",Sync!$L640)+1,20),FIND("/",MID(Sync!$L640,FIND("/",Sync!$L640)+1,20))-1))),2)&amp;"/"&amp;RIGHT("00"&amp;VALUE(TRIM(MID(MID(Sync!$L640,FIND("/",Sync!$L640)+1,20),FIND("/",MID(Sync!$L640,FIND("/",Sync!$L640)+1,20))+1,20))),2),"")))</f>
        <v/>
      </c>
    </row>
    <row r="641" spans="13:14" x14ac:dyDescent="0.2">
      <c r="M641" t="str">
        <f>IF(Sync!$M641&lt;&gt;"پاس چک","",IF(Sync!$P641="","",Sync!$P641))</f>
        <v/>
      </c>
      <c r="N641" t="str">
        <f>IF($M641="","",IF(ISNUMBER(Sync!$L641),IF(AND(Sync!$L641&gt;=10000101,Sync!$L641&lt;=99991231),RIGHT("0000"&amp;INT(Sync!$L641/10000),4)&amp;"/"&amp;RIGHT("00"&amp;INT(MOD(Sync!$L641,10000)/100),2)&amp;"/"&amp;RIGHT("00"&amp;MOD(Sync!$L641,100),2),""),IFERROR(RIGHT("0000"&amp;VALUE(TRIM(LEFT(Sync!$L641,FIND("/",Sync!$L641)-1))),4)&amp;"/"&amp;RIGHT("00"&amp;VALUE(TRIM(LEFT(MID(Sync!$L641,FIND("/",Sync!$L641)+1,20),FIND("/",MID(Sync!$L641,FIND("/",Sync!$L641)+1,20))-1))),2)&amp;"/"&amp;RIGHT("00"&amp;VALUE(TRIM(MID(MID(Sync!$L641,FIND("/",Sync!$L641)+1,20),FIND("/",MID(Sync!$L641,FIND("/",Sync!$L641)+1,20))+1,20))),2),"")))</f>
        <v/>
      </c>
    </row>
    <row r="642" spans="13:14" x14ac:dyDescent="0.2">
      <c r="M642" t="str">
        <f>IF(Sync!$M642&lt;&gt;"پاس چک","",IF(Sync!$P642="","",Sync!$P642))</f>
        <v/>
      </c>
      <c r="N642" t="str">
        <f>IF($M642="","",IF(ISNUMBER(Sync!$L642),IF(AND(Sync!$L642&gt;=10000101,Sync!$L642&lt;=99991231),RIGHT("0000"&amp;INT(Sync!$L642/10000),4)&amp;"/"&amp;RIGHT("00"&amp;INT(MOD(Sync!$L642,10000)/100),2)&amp;"/"&amp;RIGHT("00"&amp;MOD(Sync!$L642,100),2),""),IFERROR(RIGHT("0000"&amp;VALUE(TRIM(LEFT(Sync!$L642,FIND("/",Sync!$L642)-1))),4)&amp;"/"&amp;RIGHT("00"&amp;VALUE(TRIM(LEFT(MID(Sync!$L642,FIND("/",Sync!$L642)+1,20),FIND("/",MID(Sync!$L642,FIND("/",Sync!$L642)+1,20))-1))),2)&amp;"/"&amp;RIGHT("00"&amp;VALUE(TRIM(MID(MID(Sync!$L642,FIND("/",Sync!$L642)+1,20),FIND("/",MID(Sync!$L642,FIND("/",Sync!$L642)+1,20))+1,20))),2),"")))</f>
        <v/>
      </c>
    </row>
    <row r="643" spans="13:14" x14ac:dyDescent="0.2">
      <c r="M643" t="str">
        <f>IF(Sync!$M643&lt;&gt;"پاس چک","",IF(Sync!$P643="","",Sync!$P643))</f>
        <v/>
      </c>
      <c r="N643" t="str">
        <f>IF($M643="","",IF(ISNUMBER(Sync!$L643),IF(AND(Sync!$L643&gt;=10000101,Sync!$L643&lt;=99991231),RIGHT("0000"&amp;INT(Sync!$L643/10000),4)&amp;"/"&amp;RIGHT("00"&amp;INT(MOD(Sync!$L643,10000)/100),2)&amp;"/"&amp;RIGHT("00"&amp;MOD(Sync!$L643,100),2),""),IFERROR(RIGHT("0000"&amp;VALUE(TRIM(LEFT(Sync!$L643,FIND("/",Sync!$L643)-1))),4)&amp;"/"&amp;RIGHT("00"&amp;VALUE(TRIM(LEFT(MID(Sync!$L643,FIND("/",Sync!$L643)+1,20),FIND("/",MID(Sync!$L643,FIND("/",Sync!$L643)+1,20))-1))),2)&amp;"/"&amp;RIGHT("00"&amp;VALUE(TRIM(MID(MID(Sync!$L643,FIND("/",Sync!$L643)+1,20),FIND("/",MID(Sync!$L643,FIND("/",Sync!$L643)+1,20))+1,20))),2),"")))</f>
        <v/>
      </c>
    </row>
    <row r="644" spans="13:14" x14ac:dyDescent="0.2">
      <c r="M644" t="str">
        <f>IF(Sync!$M644&lt;&gt;"پاس چک","",IF(Sync!$P644="","",Sync!$P644))</f>
        <v/>
      </c>
      <c r="N644" t="str">
        <f>IF($M644="","",IF(ISNUMBER(Sync!$L644),IF(AND(Sync!$L644&gt;=10000101,Sync!$L644&lt;=99991231),RIGHT("0000"&amp;INT(Sync!$L644/10000),4)&amp;"/"&amp;RIGHT("00"&amp;INT(MOD(Sync!$L644,10000)/100),2)&amp;"/"&amp;RIGHT("00"&amp;MOD(Sync!$L644,100),2),""),IFERROR(RIGHT("0000"&amp;VALUE(TRIM(LEFT(Sync!$L644,FIND("/",Sync!$L644)-1))),4)&amp;"/"&amp;RIGHT("00"&amp;VALUE(TRIM(LEFT(MID(Sync!$L644,FIND("/",Sync!$L644)+1,20),FIND("/",MID(Sync!$L644,FIND("/",Sync!$L644)+1,20))-1))),2)&amp;"/"&amp;RIGHT("00"&amp;VALUE(TRIM(MID(MID(Sync!$L644,FIND("/",Sync!$L644)+1,20),FIND("/",MID(Sync!$L644,FIND("/",Sync!$L644)+1,20))+1,20))),2),"")))</f>
        <v/>
      </c>
    </row>
    <row r="645" spans="13:14" x14ac:dyDescent="0.2">
      <c r="M645" t="str">
        <f>IF(Sync!$M645&lt;&gt;"پاس چک","",IF(Sync!$P645="","",Sync!$P645))</f>
        <v/>
      </c>
      <c r="N645" t="str">
        <f>IF($M645="","",IF(ISNUMBER(Sync!$L645),IF(AND(Sync!$L645&gt;=10000101,Sync!$L645&lt;=99991231),RIGHT("0000"&amp;INT(Sync!$L645/10000),4)&amp;"/"&amp;RIGHT("00"&amp;INT(MOD(Sync!$L645,10000)/100),2)&amp;"/"&amp;RIGHT("00"&amp;MOD(Sync!$L645,100),2),""),IFERROR(RIGHT("0000"&amp;VALUE(TRIM(LEFT(Sync!$L645,FIND("/",Sync!$L645)-1))),4)&amp;"/"&amp;RIGHT("00"&amp;VALUE(TRIM(LEFT(MID(Sync!$L645,FIND("/",Sync!$L645)+1,20),FIND("/",MID(Sync!$L645,FIND("/",Sync!$L645)+1,20))-1))),2)&amp;"/"&amp;RIGHT("00"&amp;VALUE(TRIM(MID(MID(Sync!$L645,FIND("/",Sync!$L645)+1,20),FIND("/",MID(Sync!$L645,FIND("/",Sync!$L645)+1,20))+1,20))),2),"")))</f>
        <v/>
      </c>
    </row>
    <row r="646" spans="13:14" x14ac:dyDescent="0.2">
      <c r="M646" t="str">
        <f>IF(Sync!$M646&lt;&gt;"پاس چک","",IF(Sync!$P646="","",Sync!$P646))</f>
        <v/>
      </c>
      <c r="N646" t="str">
        <f>IF($M646="","",IF(ISNUMBER(Sync!$L646),IF(AND(Sync!$L646&gt;=10000101,Sync!$L646&lt;=99991231),RIGHT("0000"&amp;INT(Sync!$L646/10000),4)&amp;"/"&amp;RIGHT("00"&amp;INT(MOD(Sync!$L646,10000)/100),2)&amp;"/"&amp;RIGHT("00"&amp;MOD(Sync!$L646,100),2),""),IFERROR(RIGHT("0000"&amp;VALUE(TRIM(LEFT(Sync!$L646,FIND("/",Sync!$L646)-1))),4)&amp;"/"&amp;RIGHT("00"&amp;VALUE(TRIM(LEFT(MID(Sync!$L646,FIND("/",Sync!$L646)+1,20),FIND("/",MID(Sync!$L646,FIND("/",Sync!$L646)+1,20))-1))),2)&amp;"/"&amp;RIGHT("00"&amp;VALUE(TRIM(MID(MID(Sync!$L646,FIND("/",Sync!$L646)+1,20),FIND("/",MID(Sync!$L646,FIND("/",Sync!$L646)+1,20))+1,20))),2),"")))</f>
        <v/>
      </c>
    </row>
    <row r="647" spans="13:14" x14ac:dyDescent="0.2">
      <c r="M647" t="str">
        <f>IF(Sync!$M647&lt;&gt;"پاس چک","",IF(Sync!$P647="","",Sync!$P647))</f>
        <v/>
      </c>
      <c r="N647" t="str">
        <f>IF($M647="","",IF(ISNUMBER(Sync!$L647),IF(AND(Sync!$L647&gt;=10000101,Sync!$L647&lt;=99991231),RIGHT("0000"&amp;INT(Sync!$L647/10000),4)&amp;"/"&amp;RIGHT("00"&amp;INT(MOD(Sync!$L647,10000)/100),2)&amp;"/"&amp;RIGHT("00"&amp;MOD(Sync!$L647,100),2),""),IFERROR(RIGHT("0000"&amp;VALUE(TRIM(LEFT(Sync!$L647,FIND("/",Sync!$L647)-1))),4)&amp;"/"&amp;RIGHT("00"&amp;VALUE(TRIM(LEFT(MID(Sync!$L647,FIND("/",Sync!$L647)+1,20),FIND("/",MID(Sync!$L647,FIND("/",Sync!$L647)+1,20))-1))),2)&amp;"/"&amp;RIGHT("00"&amp;VALUE(TRIM(MID(MID(Sync!$L647,FIND("/",Sync!$L647)+1,20),FIND("/",MID(Sync!$L647,FIND("/",Sync!$L647)+1,20))+1,20))),2),"")))</f>
        <v/>
      </c>
    </row>
    <row r="648" spans="13:14" x14ac:dyDescent="0.2">
      <c r="M648" t="str">
        <f>IF(Sync!$M648&lt;&gt;"پاس چک","",IF(Sync!$P648="","",Sync!$P648))</f>
        <v/>
      </c>
      <c r="N648" t="str">
        <f>IF($M648="","",IF(ISNUMBER(Sync!$L648),IF(AND(Sync!$L648&gt;=10000101,Sync!$L648&lt;=99991231),RIGHT("0000"&amp;INT(Sync!$L648/10000),4)&amp;"/"&amp;RIGHT("00"&amp;INT(MOD(Sync!$L648,10000)/100),2)&amp;"/"&amp;RIGHT("00"&amp;MOD(Sync!$L648,100),2),""),IFERROR(RIGHT("0000"&amp;VALUE(TRIM(LEFT(Sync!$L648,FIND("/",Sync!$L648)-1))),4)&amp;"/"&amp;RIGHT("00"&amp;VALUE(TRIM(LEFT(MID(Sync!$L648,FIND("/",Sync!$L648)+1,20),FIND("/",MID(Sync!$L648,FIND("/",Sync!$L648)+1,20))-1))),2)&amp;"/"&amp;RIGHT("00"&amp;VALUE(TRIM(MID(MID(Sync!$L648,FIND("/",Sync!$L648)+1,20),FIND("/",MID(Sync!$L648,FIND("/",Sync!$L648)+1,20))+1,20))),2),"")))</f>
        <v/>
      </c>
    </row>
    <row r="649" spans="13:14" x14ac:dyDescent="0.2">
      <c r="M649" t="str">
        <f>IF(Sync!$M649&lt;&gt;"پاس چک","",IF(Sync!$P649="","",Sync!$P649))</f>
        <v/>
      </c>
      <c r="N649" t="str">
        <f>IF($M649="","",IF(ISNUMBER(Sync!$L649),IF(AND(Sync!$L649&gt;=10000101,Sync!$L649&lt;=99991231),RIGHT("0000"&amp;INT(Sync!$L649/10000),4)&amp;"/"&amp;RIGHT("00"&amp;INT(MOD(Sync!$L649,10000)/100),2)&amp;"/"&amp;RIGHT("00"&amp;MOD(Sync!$L649,100),2),""),IFERROR(RIGHT("0000"&amp;VALUE(TRIM(LEFT(Sync!$L649,FIND("/",Sync!$L649)-1))),4)&amp;"/"&amp;RIGHT("00"&amp;VALUE(TRIM(LEFT(MID(Sync!$L649,FIND("/",Sync!$L649)+1,20),FIND("/",MID(Sync!$L649,FIND("/",Sync!$L649)+1,20))-1))),2)&amp;"/"&amp;RIGHT("00"&amp;VALUE(TRIM(MID(MID(Sync!$L649,FIND("/",Sync!$L649)+1,20),FIND("/",MID(Sync!$L649,FIND("/",Sync!$L649)+1,20))+1,20))),2),"")))</f>
        <v/>
      </c>
    </row>
    <row r="650" spans="13:14" x14ac:dyDescent="0.2">
      <c r="M650" t="str">
        <f>IF(Sync!$M650&lt;&gt;"پاس چک","",IF(Sync!$P650="","",Sync!$P650))</f>
        <v/>
      </c>
      <c r="N650" t="str">
        <f>IF($M650="","",IF(ISNUMBER(Sync!$L650),IF(AND(Sync!$L650&gt;=10000101,Sync!$L650&lt;=99991231),RIGHT("0000"&amp;INT(Sync!$L650/10000),4)&amp;"/"&amp;RIGHT("00"&amp;INT(MOD(Sync!$L650,10000)/100),2)&amp;"/"&amp;RIGHT("00"&amp;MOD(Sync!$L650,100),2),""),IFERROR(RIGHT("0000"&amp;VALUE(TRIM(LEFT(Sync!$L650,FIND("/",Sync!$L650)-1))),4)&amp;"/"&amp;RIGHT("00"&amp;VALUE(TRIM(LEFT(MID(Sync!$L650,FIND("/",Sync!$L650)+1,20),FIND("/",MID(Sync!$L650,FIND("/",Sync!$L650)+1,20))-1))),2)&amp;"/"&amp;RIGHT("00"&amp;VALUE(TRIM(MID(MID(Sync!$L650,FIND("/",Sync!$L650)+1,20),FIND("/",MID(Sync!$L650,FIND("/",Sync!$L650)+1,20))+1,20))),2),"")))</f>
        <v/>
      </c>
    </row>
    <row r="651" spans="13:14" x14ac:dyDescent="0.2">
      <c r="M651" t="str">
        <f>IF(Sync!$M651&lt;&gt;"پاس چک","",IF(Sync!$P651="","",Sync!$P651))</f>
        <v/>
      </c>
      <c r="N651" t="str">
        <f>IF($M651="","",IF(ISNUMBER(Sync!$L651),IF(AND(Sync!$L651&gt;=10000101,Sync!$L651&lt;=99991231),RIGHT("0000"&amp;INT(Sync!$L651/10000),4)&amp;"/"&amp;RIGHT("00"&amp;INT(MOD(Sync!$L651,10000)/100),2)&amp;"/"&amp;RIGHT("00"&amp;MOD(Sync!$L651,100),2),""),IFERROR(RIGHT("0000"&amp;VALUE(TRIM(LEFT(Sync!$L651,FIND("/",Sync!$L651)-1))),4)&amp;"/"&amp;RIGHT("00"&amp;VALUE(TRIM(LEFT(MID(Sync!$L651,FIND("/",Sync!$L651)+1,20),FIND("/",MID(Sync!$L651,FIND("/",Sync!$L651)+1,20))-1))),2)&amp;"/"&amp;RIGHT("00"&amp;VALUE(TRIM(MID(MID(Sync!$L651,FIND("/",Sync!$L651)+1,20),FIND("/",MID(Sync!$L651,FIND("/",Sync!$L651)+1,20))+1,20))),2),"")))</f>
        <v/>
      </c>
    </row>
    <row r="652" spans="13:14" x14ac:dyDescent="0.2">
      <c r="M652" t="str">
        <f>IF(Sync!$M652&lt;&gt;"پاس چک","",IF(Sync!$P652="","",Sync!$P652))</f>
        <v/>
      </c>
      <c r="N652" t="str">
        <f>IF($M652="","",IF(ISNUMBER(Sync!$L652),IF(AND(Sync!$L652&gt;=10000101,Sync!$L652&lt;=99991231),RIGHT("0000"&amp;INT(Sync!$L652/10000),4)&amp;"/"&amp;RIGHT("00"&amp;INT(MOD(Sync!$L652,10000)/100),2)&amp;"/"&amp;RIGHT("00"&amp;MOD(Sync!$L652,100),2),""),IFERROR(RIGHT("0000"&amp;VALUE(TRIM(LEFT(Sync!$L652,FIND("/",Sync!$L652)-1))),4)&amp;"/"&amp;RIGHT("00"&amp;VALUE(TRIM(LEFT(MID(Sync!$L652,FIND("/",Sync!$L652)+1,20),FIND("/",MID(Sync!$L652,FIND("/",Sync!$L652)+1,20))-1))),2)&amp;"/"&amp;RIGHT("00"&amp;VALUE(TRIM(MID(MID(Sync!$L652,FIND("/",Sync!$L652)+1,20),FIND("/",MID(Sync!$L652,FIND("/",Sync!$L652)+1,20))+1,20))),2),"")))</f>
        <v/>
      </c>
    </row>
    <row r="653" spans="13:14" x14ac:dyDescent="0.2">
      <c r="M653" t="str">
        <f>IF(Sync!$M653&lt;&gt;"پاس چک","",IF(Sync!$P653="","",Sync!$P653))</f>
        <v/>
      </c>
      <c r="N653" t="str">
        <f>IF($M653="","",IF(ISNUMBER(Sync!$L653),IF(AND(Sync!$L653&gt;=10000101,Sync!$L653&lt;=99991231),RIGHT("0000"&amp;INT(Sync!$L653/10000),4)&amp;"/"&amp;RIGHT("00"&amp;INT(MOD(Sync!$L653,10000)/100),2)&amp;"/"&amp;RIGHT("00"&amp;MOD(Sync!$L653,100),2),""),IFERROR(RIGHT("0000"&amp;VALUE(TRIM(LEFT(Sync!$L653,FIND("/",Sync!$L653)-1))),4)&amp;"/"&amp;RIGHT("00"&amp;VALUE(TRIM(LEFT(MID(Sync!$L653,FIND("/",Sync!$L653)+1,20),FIND("/",MID(Sync!$L653,FIND("/",Sync!$L653)+1,20))-1))),2)&amp;"/"&amp;RIGHT("00"&amp;VALUE(TRIM(MID(MID(Sync!$L653,FIND("/",Sync!$L653)+1,20),FIND("/",MID(Sync!$L653,FIND("/",Sync!$L653)+1,20))+1,20))),2),"")))</f>
        <v/>
      </c>
    </row>
    <row r="654" spans="13:14" x14ac:dyDescent="0.2">
      <c r="M654" t="str">
        <f>IF(Sync!$M654&lt;&gt;"پاس چک","",IF(Sync!$P654="","",Sync!$P654))</f>
        <v/>
      </c>
      <c r="N654" t="str">
        <f>IF($M654="","",IF(ISNUMBER(Sync!$L654),IF(AND(Sync!$L654&gt;=10000101,Sync!$L654&lt;=99991231),RIGHT("0000"&amp;INT(Sync!$L654/10000),4)&amp;"/"&amp;RIGHT("00"&amp;INT(MOD(Sync!$L654,10000)/100),2)&amp;"/"&amp;RIGHT("00"&amp;MOD(Sync!$L654,100),2),""),IFERROR(RIGHT("0000"&amp;VALUE(TRIM(LEFT(Sync!$L654,FIND("/",Sync!$L654)-1))),4)&amp;"/"&amp;RIGHT("00"&amp;VALUE(TRIM(LEFT(MID(Sync!$L654,FIND("/",Sync!$L654)+1,20),FIND("/",MID(Sync!$L654,FIND("/",Sync!$L654)+1,20))-1))),2)&amp;"/"&amp;RIGHT("00"&amp;VALUE(TRIM(MID(MID(Sync!$L654,FIND("/",Sync!$L654)+1,20),FIND("/",MID(Sync!$L654,FIND("/",Sync!$L654)+1,20))+1,20))),2),"")))</f>
        <v/>
      </c>
    </row>
    <row r="655" spans="13:14" x14ac:dyDescent="0.2">
      <c r="M655" t="str">
        <f>IF(Sync!$M655&lt;&gt;"پاس چک","",IF(Sync!$P655="","",Sync!$P655))</f>
        <v/>
      </c>
      <c r="N655" t="str">
        <f>IF($M655="","",IF(ISNUMBER(Sync!$L655),IF(AND(Sync!$L655&gt;=10000101,Sync!$L655&lt;=99991231),RIGHT("0000"&amp;INT(Sync!$L655/10000),4)&amp;"/"&amp;RIGHT("00"&amp;INT(MOD(Sync!$L655,10000)/100),2)&amp;"/"&amp;RIGHT("00"&amp;MOD(Sync!$L655,100),2),""),IFERROR(RIGHT("0000"&amp;VALUE(TRIM(LEFT(Sync!$L655,FIND("/",Sync!$L655)-1))),4)&amp;"/"&amp;RIGHT("00"&amp;VALUE(TRIM(LEFT(MID(Sync!$L655,FIND("/",Sync!$L655)+1,20),FIND("/",MID(Sync!$L655,FIND("/",Sync!$L655)+1,20))-1))),2)&amp;"/"&amp;RIGHT("00"&amp;VALUE(TRIM(MID(MID(Sync!$L655,FIND("/",Sync!$L655)+1,20),FIND("/",MID(Sync!$L655,FIND("/",Sync!$L655)+1,20))+1,20))),2),"")))</f>
        <v/>
      </c>
    </row>
    <row r="656" spans="13:14" x14ac:dyDescent="0.2">
      <c r="M656" t="str">
        <f>IF(Sync!$M656&lt;&gt;"پاس چک","",IF(Sync!$P656="","",Sync!$P656))</f>
        <v/>
      </c>
      <c r="N656" t="str">
        <f>IF($M656="","",IF(ISNUMBER(Sync!$L656),IF(AND(Sync!$L656&gt;=10000101,Sync!$L656&lt;=99991231),RIGHT("0000"&amp;INT(Sync!$L656/10000),4)&amp;"/"&amp;RIGHT("00"&amp;INT(MOD(Sync!$L656,10000)/100),2)&amp;"/"&amp;RIGHT("00"&amp;MOD(Sync!$L656,100),2),""),IFERROR(RIGHT("0000"&amp;VALUE(TRIM(LEFT(Sync!$L656,FIND("/",Sync!$L656)-1))),4)&amp;"/"&amp;RIGHT("00"&amp;VALUE(TRIM(LEFT(MID(Sync!$L656,FIND("/",Sync!$L656)+1,20),FIND("/",MID(Sync!$L656,FIND("/",Sync!$L656)+1,20))-1))),2)&amp;"/"&amp;RIGHT("00"&amp;VALUE(TRIM(MID(MID(Sync!$L656,FIND("/",Sync!$L656)+1,20),FIND("/",MID(Sync!$L656,FIND("/",Sync!$L656)+1,20))+1,20))),2),"")))</f>
        <v/>
      </c>
    </row>
    <row r="657" spans="13:14" x14ac:dyDescent="0.2">
      <c r="M657" t="str">
        <f>IF(Sync!$M657&lt;&gt;"پاس چک","",IF(Sync!$P657="","",Sync!$P657))</f>
        <v/>
      </c>
      <c r="N657" t="str">
        <f>IF($M657="","",IF(ISNUMBER(Sync!$L657),IF(AND(Sync!$L657&gt;=10000101,Sync!$L657&lt;=99991231),RIGHT("0000"&amp;INT(Sync!$L657/10000),4)&amp;"/"&amp;RIGHT("00"&amp;INT(MOD(Sync!$L657,10000)/100),2)&amp;"/"&amp;RIGHT("00"&amp;MOD(Sync!$L657,100),2),""),IFERROR(RIGHT("0000"&amp;VALUE(TRIM(LEFT(Sync!$L657,FIND("/",Sync!$L657)-1))),4)&amp;"/"&amp;RIGHT("00"&amp;VALUE(TRIM(LEFT(MID(Sync!$L657,FIND("/",Sync!$L657)+1,20),FIND("/",MID(Sync!$L657,FIND("/",Sync!$L657)+1,20))-1))),2)&amp;"/"&amp;RIGHT("00"&amp;VALUE(TRIM(MID(MID(Sync!$L657,FIND("/",Sync!$L657)+1,20),FIND("/",MID(Sync!$L657,FIND("/",Sync!$L657)+1,20))+1,20))),2),"")))</f>
        <v/>
      </c>
    </row>
    <row r="658" spans="13:14" x14ac:dyDescent="0.2">
      <c r="M658" t="str">
        <f>IF(Sync!$M658&lt;&gt;"پاس چک","",IF(Sync!$P658="","",Sync!$P658))</f>
        <v/>
      </c>
      <c r="N658" t="str">
        <f>IF($M658="","",IF(ISNUMBER(Sync!$L658),IF(AND(Sync!$L658&gt;=10000101,Sync!$L658&lt;=99991231),RIGHT("0000"&amp;INT(Sync!$L658/10000),4)&amp;"/"&amp;RIGHT("00"&amp;INT(MOD(Sync!$L658,10000)/100),2)&amp;"/"&amp;RIGHT("00"&amp;MOD(Sync!$L658,100),2),""),IFERROR(RIGHT("0000"&amp;VALUE(TRIM(LEFT(Sync!$L658,FIND("/",Sync!$L658)-1))),4)&amp;"/"&amp;RIGHT("00"&amp;VALUE(TRIM(LEFT(MID(Sync!$L658,FIND("/",Sync!$L658)+1,20),FIND("/",MID(Sync!$L658,FIND("/",Sync!$L658)+1,20))-1))),2)&amp;"/"&amp;RIGHT("00"&amp;VALUE(TRIM(MID(MID(Sync!$L658,FIND("/",Sync!$L658)+1,20),FIND("/",MID(Sync!$L658,FIND("/",Sync!$L658)+1,20))+1,20))),2),"")))</f>
        <v/>
      </c>
    </row>
    <row r="659" spans="13:14" x14ac:dyDescent="0.2">
      <c r="M659" t="str">
        <f>IF(Sync!$M659&lt;&gt;"پاس چک","",IF(Sync!$P659="","",Sync!$P659))</f>
        <v/>
      </c>
      <c r="N659" t="str">
        <f>IF($M659="","",IF(ISNUMBER(Sync!$L659),IF(AND(Sync!$L659&gt;=10000101,Sync!$L659&lt;=99991231),RIGHT("0000"&amp;INT(Sync!$L659/10000),4)&amp;"/"&amp;RIGHT("00"&amp;INT(MOD(Sync!$L659,10000)/100),2)&amp;"/"&amp;RIGHT("00"&amp;MOD(Sync!$L659,100),2),""),IFERROR(RIGHT("0000"&amp;VALUE(TRIM(LEFT(Sync!$L659,FIND("/",Sync!$L659)-1))),4)&amp;"/"&amp;RIGHT("00"&amp;VALUE(TRIM(LEFT(MID(Sync!$L659,FIND("/",Sync!$L659)+1,20),FIND("/",MID(Sync!$L659,FIND("/",Sync!$L659)+1,20))-1))),2)&amp;"/"&amp;RIGHT("00"&amp;VALUE(TRIM(MID(MID(Sync!$L659,FIND("/",Sync!$L659)+1,20),FIND("/",MID(Sync!$L659,FIND("/",Sync!$L659)+1,20))+1,20))),2),"")))</f>
        <v/>
      </c>
    </row>
    <row r="660" spans="13:14" x14ac:dyDescent="0.2">
      <c r="M660" t="str">
        <f>IF(Sync!$M660&lt;&gt;"پاس چک","",IF(Sync!$P660="","",Sync!$P660))</f>
        <v/>
      </c>
      <c r="N660" t="str">
        <f>IF($M660="","",IF(ISNUMBER(Sync!$L660),IF(AND(Sync!$L660&gt;=10000101,Sync!$L660&lt;=99991231),RIGHT("0000"&amp;INT(Sync!$L660/10000),4)&amp;"/"&amp;RIGHT("00"&amp;INT(MOD(Sync!$L660,10000)/100),2)&amp;"/"&amp;RIGHT("00"&amp;MOD(Sync!$L660,100),2),""),IFERROR(RIGHT("0000"&amp;VALUE(TRIM(LEFT(Sync!$L660,FIND("/",Sync!$L660)-1))),4)&amp;"/"&amp;RIGHT("00"&amp;VALUE(TRIM(LEFT(MID(Sync!$L660,FIND("/",Sync!$L660)+1,20),FIND("/",MID(Sync!$L660,FIND("/",Sync!$L660)+1,20))-1))),2)&amp;"/"&amp;RIGHT("00"&amp;VALUE(TRIM(MID(MID(Sync!$L660,FIND("/",Sync!$L660)+1,20),FIND("/",MID(Sync!$L660,FIND("/",Sync!$L660)+1,20))+1,20))),2),"")))</f>
        <v/>
      </c>
    </row>
    <row r="661" spans="13:14" x14ac:dyDescent="0.2">
      <c r="M661" t="str">
        <f>IF(Sync!$M661&lt;&gt;"پاس چک","",IF(Sync!$P661="","",Sync!$P661))</f>
        <v/>
      </c>
      <c r="N661" t="str">
        <f>IF($M661="","",IF(ISNUMBER(Sync!$L661),IF(AND(Sync!$L661&gt;=10000101,Sync!$L661&lt;=99991231),RIGHT("0000"&amp;INT(Sync!$L661/10000),4)&amp;"/"&amp;RIGHT("00"&amp;INT(MOD(Sync!$L661,10000)/100),2)&amp;"/"&amp;RIGHT("00"&amp;MOD(Sync!$L661,100),2),""),IFERROR(RIGHT("0000"&amp;VALUE(TRIM(LEFT(Sync!$L661,FIND("/",Sync!$L661)-1))),4)&amp;"/"&amp;RIGHT("00"&amp;VALUE(TRIM(LEFT(MID(Sync!$L661,FIND("/",Sync!$L661)+1,20),FIND("/",MID(Sync!$L661,FIND("/",Sync!$L661)+1,20))-1))),2)&amp;"/"&amp;RIGHT("00"&amp;VALUE(TRIM(MID(MID(Sync!$L661,FIND("/",Sync!$L661)+1,20),FIND("/",MID(Sync!$L661,FIND("/",Sync!$L661)+1,20))+1,20))),2),"")))</f>
        <v/>
      </c>
    </row>
    <row r="662" spans="13:14" x14ac:dyDescent="0.2">
      <c r="M662" t="str">
        <f>IF(Sync!$M662&lt;&gt;"پاس چک","",IF(Sync!$P662="","",Sync!$P662))</f>
        <v/>
      </c>
      <c r="N662" t="str">
        <f>IF($M662="","",IF(ISNUMBER(Sync!$L662),IF(AND(Sync!$L662&gt;=10000101,Sync!$L662&lt;=99991231),RIGHT("0000"&amp;INT(Sync!$L662/10000),4)&amp;"/"&amp;RIGHT("00"&amp;INT(MOD(Sync!$L662,10000)/100),2)&amp;"/"&amp;RIGHT("00"&amp;MOD(Sync!$L662,100),2),""),IFERROR(RIGHT("0000"&amp;VALUE(TRIM(LEFT(Sync!$L662,FIND("/",Sync!$L662)-1))),4)&amp;"/"&amp;RIGHT("00"&amp;VALUE(TRIM(LEFT(MID(Sync!$L662,FIND("/",Sync!$L662)+1,20),FIND("/",MID(Sync!$L662,FIND("/",Sync!$L662)+1,20))-1))),2)&amp;"/"&amp;RIGHT("00"&amp;VALUE(TRIM(MID(MID(Sync!$L662,FIND("/",Sync!$L662)+1,20),FIND("/",MID(Sync!$L662,FIND("/",Sync!$L662)+1,20))+1,20))),2),"")))</f>
        <v/>
      </c>
    </row>
    <row r="663" spans="13:14" x14ac:dyDescent="0.2">
      <c r="M663" t="str">
        <f>IF(Sync!$M663&lt;&gt;"پاس چک","",IF(Sync!$P663="","",Sync!$P663))</f>
        <v/>
      </c>
      <c r="N663" t="str">
        <f>IF($M663="","",IF(ISNUMBER(Sync!$L663),IF(AND(Sync!$L663&gt;=10000101,Sync!$L663&lt;=99991231),RIGHT("0000"&amp;INT(Sync!$L663/10000),4)&amp;"/"&amp;RIGHT("00"&amp;INT(MOD(Sync!$L663,10000)/100),2)&amp;"/"&amp;RIGHT("00"&amp;MOD(Sync!$L663,100),2),""),IFERROR(RIGHT("0000"&amp;VALUE(TRIM(LEFT(Sync!$L663,FIND("/",Sync!$L663)-1))),4)&amp;"/"&amp;RIGHT("00"&amp;VALUE(TRIM(LEFT(MID(Sync!$L663,FIND("/",Sync!$L663)+1,20),FIND("/",MID(Sync!$L663,FIND("/",Sync!$L663)+1,20))-1))),2)&amp;"/"&amp;RIGHT("00"&amp;VALUE(TRIM(MID(MID(Sync!$L663,FIND("/",Sync!$L663)+1,20),FIND("/",MID(Sync!$L663,FIND("/",Sync!$L663)+1,20))+1,20))),2),"")))</f>
        <v/>
      </c>
    </row>
    <row r="664" spans="13:14" x14ac:dyDescent="0.2">
      <c r="M664" t="str">
        <f>IF(Sync!$M664&lt;&gt;"پاس چک","",IF(Sync!$P664="","",Sync!$P664))</f>
        <v/>
      </c>
      <c r="N664" t="str">
        <f>IF($M664="","",IF(ISNUMBER(Sync!$L664),IF(AND(Sync!$L664&gt;=10000101,Sync!$L664&lt;=99991231),RIGHT("0000"&amp;INT(Sync!$L664/10000),4)&amp;"/"&amp;RIGHT("00"&amp;INT(MOD(Sync!$L664,10000)/100),2)&amp;"/"&amp;RIGHT("00"&amp;MOD(Sync!$L664,100),2),""),IFERROR(RIGHT("0000"&amp;VALUE(TRIM(LEFT(Sync!$L664,FIND("/",Sync!$L664)-1))),4)&amp;"/"&amp;RIGHT("00"&amp;VALUE(TRIM(LEFT(MID(Sync!$L664,FIND("/",Sync!$L664)+1,20),FIND("/",MID(Sync!$L664,FIND("/",Sync!$L664)+1,20))-1))),2)&amp;"/"&amp;RIGHT("00"&amp;VALUE(TRIM(MID(MID(Sync!$L664,FIND("/",Sync!$L664)+1,20),FIND("/",MID(Sync!$L664,FIND("/",Sync!$L664)+1,20))+1,20))),2),"")))</f>
        <v/>
      </c>
    </row>
    <row r="665" spans="13:14" x14ac:dyDescent="0.2">
      <c r="M665" t="str">
        <f>IF(Sync!$M665&lt;&gt;"پاس چک","",IF(Sync!$P665="","",Sync!$P665))</f>
        <v/>
      </c>
      <c r="N665" t="str">
        <f>IF($M665="","",IF(ISNUMBER(Sync!$L665),IF(AND(Sync!$L665&gt;=10000101,Sync!$L665&lt;=99991231),RIGHT("0000"&amp;INT(Sync!$L665/10000),4)&amp;"/"&amp;RIGHT("00"&amp;INT(MOD(Sync!$L665,10000)/100),2)&amp;"/"&amp;RIGHT("00"&amp;MOD(Sync!$L665,100),2),""),IFERROR(RIGHT("0000"&amp;VALUE(TRIM(LEFT(Sync!$L665,FIND("/",Sync!$L665)-1))),4)&amp;"/"&amp;RIGHT("00"&amp;VALUE(TRIM(LEFT(MID(Sync!$L665,FIND("/",Sync!$L665)+1,20),FIND("/",MID(Sync!$L665,FIND("/",Sync!$L665)+1,20))-1))),2)&amp;"/"&amp;RIGHT("00"&amp;VALUE(TRIM(MID(MID(Sync!$L665,FIND("/",Sync!$L665)+1,20),FIND("/",MID(Sync!$L665,FIND("/",Sync!$L665)+1,20))+1,20))),2),"")))</f>
        <v/>
      </c>
    </row>
    <row r="666" spans="13:14" x14ac:dyDescent="0.2">
      <c r="M666" t="str">
        <f>IF(Sync!$M666&lt;&gt;"پاس چک","",IF(Sync!$P666="","",Sync!$P666))</f>
        <v/>
      </c>
      <c r="N666" t="str">
        <f>IF($M666="","",IF(ISNUMBER(Sync!$L666),IF(AND(Sync!$L666&gt;=10000101,Sync!$L666&lt;=99991231),RIGHT("0000"&amp;INT(Sync!$L666/10000),4)&amp;"/"&amp;RIGHT("00"&amp;INT(MOD(Sync!$L666,10000)/100),2)&amp;"/"&amp;RIGHT("00"&amp;MOD(Sync!$L666,100),2),""),IFERROR(RIGHT("0000"&amp;VALUE(TRIM(LEFT(Sync!$L666,FIND("/",Sync!$L666)-1))),4)&amp;"/"&amp;RIGHT("00"&amp;VALUE(TRIM(LEFT(MID(Sync!$L666,FIND("/",Sync!$L666)+1,20),FIND("/",MID(Sync!$L666,FIND("/",Sync!$L666)+1,20))-1))),2)&amp;"/"&amp;RIGHT("00"&amp;VALUE(TRIM(MID(MID(Sync!$L666,FIND("/",Sync!$L666)+1,20),FIND("/",MID(Sync!$L666,FIND("/",Sync!$L666)+1,20))+1,20))),2),"")))</f>
        <v/>
      </c>
    </row>
    <row r="667" spans="13:14" x14ac:dyDescent="0.2">
      <c r="M667" t="str">
        <f>IF(Sync!$M667&lt;&gt;"پاس چک","",IF(Sync!$P667="","",Sync!$P667))</f>
        <v/>
      </c>
      <c r="N667" t="str">
        <f>IF($M667="","",IF(ISNUMBER(Sync!$L667),IF(AND(Sync!$L667&gt;=10000101,Sync!$L667&lt;=99991231),RIGHT("0000"&amp;INT(Sync!$L667/10000),4)&amp;"/"&amp;RIGHT("00"&amp;INT(MOD(Sync!$L667,10000)/100),2)&amp;"/"&amp;RIGHT("00"&amp;MOD(Sync!$L667,100),2),""),IFERROR(RIGHT("0000"&amp;VALUE(TRIM(LEFT(Sync!$L667,FIND("/",Sync!$L667)-1))),4)&amp;"/"&amp;RIGHT("00"&amp;VALUE(TRIM(LEFT(MID(Sync!$L667,FIND("/",Sync!$L667)+1,20),FIND("/",MID(Sync!$L667,FIND("/",Sync!$L667)+1,20))-1))),2)&amp;"/"&amp;RIGHT("00"&amp;VALUE(TRIM(MID(MID(Sync!$L667,FIND("/",Sync!$L667)+1,20),FIND("/",MID(Sync!$L667,FIND("/",Sync!$L667)+1,20))+1,20))),2),"")))</f>
        <v/>
      </c>
    </row>
    <row r="668" spans="13:14" x14ac:dyDescent="0.2">
      <c r="M668" t="str">
        <f>IF(Sync!$M668&lt;&gt;"پاس چک","",IF(Sync!$P668="","",Sync!$P668))</f>
        <v/>
      </c>
      <c r="N668" t="str">
        <f>IF($M668="","",IF(ISNUMBER(Sync!$L668),IF(AND(Sync!$L668&gt;=10000101,Sync!$L668&lt;=99991231),RIGHT("0000"&amp;INT(Sync!$L668/10000),4)&amp;"/"&amp;RIGHT("00"&amp;INT(MOD(Sync!$L668,10000)/100),2)&amp;"/"&amp;RIGHT("00"&amp;MOD(Sync!$L668,100),2),""),IFERROR(RIGHT("0000"&amp;VALUE(TRIM(LEFT(Sync!$L668,FIND("/",Sync!$L668)-1))),4)&amp;"/"&amp;RIGHT("00"&amp;VALUE(TRIM(LEFT(MID(Sync!$L668,FIND("/",Sync!$L668)+1,20),FIND("/",MID(Sync!$L668,FIND("/",Sync!$L668)+1,20))-1))),2)&amp;"/"&amp;RIGHT("00"&amp;VALUE(TRIM(MID(MID(Sync!$L668,FIND("/",Sync!$L668)+1,20),FIND("/",MID(Sync!$L668,FIND("/",Sync!$L668)+1,20))+1,20))),2),"")))</f>
        <v/>
      </c>
    </row>
    <row r="669" spans="13:14" x14ac:dyDescent="0.2">
      <c r="M669" t="str">
        <f>IF(Sync!$M669&lt;&gt;"پاس چک","",IF(Sync!$P669="","",Sync!$P669))</f>
        <v/>
      </c>
      <c r="N669" t="str">
        <f>IF($M669="","",IF(ISNUMBER(Sync!$L669),IF(AND(Sync!$L669&gt;=10000101,Sync!$L669&lt;=99991231),RIGHT("0000"&amp;INT(Sync!$L669/10000),4)&amp;"/"&amp;RIGHT("00"&amp;INT(MOD(Sync!$L669,10000)/100),2)&amp;"/"&amp;RIGHT("00"&amp;MOD(Sync!$L669,100),2),""),IFERROR(RIGHT("0000"&amp;VALUE(TRIM(LEFT(Sync!$L669,FIND("/",Sync!$L669)-1))),4)&amp;"/"&amp;RIGHT("00"&amp;VALUE(TRIM(LEFT(MID(Sync!$L669,FIND("/",Sync!$L669)+1,20),FIND("/",MID(Sync!$L669,FIND("/",Sync!$L669)+1,20))-1))),2)&amp;"/"&amp;RIGHT("00"&amp;VALUE(TRIM(MID(MID(Sync!$L669,FIND("/",Sync!$L669)+1,20),FIND("/",MID(Sync!$L669,FIND("/",Sync!$L669)+1,20))+1,20))),2),"")))</f>
        <v/>
      </c>
    </row>
    <row r="670" spans="13:14" x14ac:dyDescent="0.2">
      <c r="M670" t="str">
        <f>IF(Sync!$M670&lt;&gt;"پاس چک","",IF(Sync!$P670="","",Sync!$P670))</f>
        <v/>
      </c>
      <c r="N670" t="str">
        <f>IF($M670="","",IF(ISNUMBER(Sync!$L670),IF(AND(Sync!$L670&gt;=10000101,Sync!$L670&lt;=99991231),RIGHT("0000"&amp;INT(Sync!$L670/10000),4)&amp;"/"&amp;RIGHT("00"&amp;INT(MOD(Sync!$L670,10000)/100),2)&amp;"/"&amp;RIGHT("00"&amp;MOD(Sync!$L670,100),2),""),IFERROR(RIGHT("0000"&amp;VALUE(TRIM(LEFT(Sync!$L670,FIND("/",Sync!$L670)-1))),4)&amp;"/"&amp;RIGHT("00"&amp;VALUE(TRIM(LEFT(MID(Sync!$L670,FIND("/",Sync!$L670)+1,20),FIND("/",MID(Sync!$L670,FIND("/",Sync!$L670)+1,20))-1))),2)&amp;"/"&amp;RIGHT("00"&amp;VALUE(TRIM(MID(MID(Sync!$L670,FIND("/",Sync!$L670)+1,20),FIND("/",MID(Sync!$L670,FIND("/",Sync!$L670)+1,20))+1,20))),2),"")))</f>
        <v/>
      </c>
    </row>
    <row r="671" spans="13:14" x14ac:dyDescent="0.2">
      <c r="M671" t="str">
        <f>IF(Sync!$M671&lt;&gt;"پاس چک","",IF(Sync!$P671="","",Sync!$P671))</f>
        <v/>
      </c>
      <c r="N671" t="str">
        <f>IF($M671="","",IF(ISNUMBER(Sync!$L671),IF(AND(Sync!$L671&gt;=10000101,Sync!$L671&lt;=99991231),RIGHT("0000"&amp;INT(Sync!$L671/10000),4)&amp;"/"&amp;RIGHT("00"&amp;INT(MOD(Sync!$L671,10000)/100),2)&amp;"/"&amp;RIGHT("00"&amp;MOD(Sync!$L671,100),2),""),IFERROR(RIGHT("0000"&amp;VALUE(TRIM(LEFT(Sync!$L671,FIND("/",Sync!$L671)-1))),4)&amp;"/"&amp;RIGHT("00"&amp;VALUE(TRIM(LEFT(MID(Sync!$L671,FIND("/",Sync!$L671)+1,20),FIND("/",MID(Sync!$L671,FIND("/",Sync!$L671)+1,20))-1))),2)&amp;"/"&amp;RIGHT("00"&amp;VALUE(TRIM(MID(MID(Sync!$L671,FIND("/",Sync!$L671)+1,20),FIND("/",MID(Sync!$L671,FIND("/",Sync!$L671)+1,20))+1,20))),2),"")))</f>
        <v/>
      </c>
    </row>
    <row r="672" spans="13:14" x14ac:dyDescent="0.2">
      <c r="M672" t="str">
        <f>IF(Sync!$M672&lt;&gt;"پاس چک","",IF(Sync!$P672="","",Sync!$P672))</f>
        <v/>
      </c>
      <c r="N672" t="str">
        <f>IF($M672="","",IF(ISNUMBER(Sync!$L672),IF(AND(Sync!$L672&gt;=10000101,Sync!$L672&lt;=99991231),RIGHT("0000"&amp;INT(Sync!$L672/10000),4)&amp;"/"&amp;RIGHT("00"&amp;INT(MOD(Sync!$L672,10000)/100),2)&amp;"/"&amp;RIGHT("00"&amp;MOD(Sync!$L672,100),2),""),IFERROR(RIGHT("0000"&amp;VALUE(TRIM(LEFT(Sync!$L672,FIND("/",Sync!$L672)-1))),4)&amp;"/"&amp;RIGHT("00"&amp;VALUE(TRIM(LEFT(MID(Sync!$L672,FIND("/",Sync!$L672)+1,20),FIND("/",MID(Sync!$L672,FIND("/",Sync!$L672)+1,20))-1))),2)&amp;"/"&amp;RIGHT("00"&amp;VALUE(TRIM(MID(MID(Sync!$L672,FIND("/",Sync!$L672)+1,20),FIND("/",MID(Sync!$L672,FIND("/",Sync!$L672)+1,20))+1,20))),2),"")))</f>
        <v/>
      </c>
    </row>
    <row r="673" spans="13:14" x14ac:dyDescent="0.2">
      <c r="M673" t="str">
        <f>IF(Sync!$M673&lt;&gt;"پاس چک","",IF(Sync!$P673="","",Sync!$P673))</f>
        <v/>
      </c>
      <c r="N673" t="str">
        <f>IF($M673="","",IF(ISNUMBER(Sync!$L673),IF(AND(Sync!$L673&gt;=10000101,Sync!$L673&lt;=99991231),RIGHT("0000"&amp;INT(Sync!$L673/10000),4)&amp;"/"&amp;RIGHT("00"&amp;INT(MOD(Sync!$L673,10000)/100),2)&amp;"/"&amp;RIGHT("00"&amp;MOD(Sync!$L673,100),2),""),IFERROR(RIGHT("0000"&amp;VALUE(TRIM(LEFT(Sync!$L673,FIND("/",Sync!$L673)-1))),4)&amp;"/"&amp;RIGHT("00"&amp;VALUE(TRIM(LEFT(MID(Sync!$L673,FIND("/",Sync!$L673)+1,20),FIND("/",MID(Sync!$L673,FIND("/",Sync!$L673)+1,20))-1))),2)&amp;"/"&amp;RIGHT("00"&amp;VALUE(TRIM(MID(MID(Sync!$L673,FIND("/",Sync!$L673)+1,20),FIND("/",MID(Sync!$L673,FIND("/",Sync!$L673)+1,20))+1,20))),2),"")))</f>
        <v/>
      </c>
    </row>
    <row r="674" spans="13:14" x14ac:dyDescent="0.2">
      <c r="M674" t="str">
        <f>IF(Sync!$M674&lt;&gt;"پاس چک","",IF(Sync!$P674="","",Sync!$P674))</f>
        <v/>
      </c>
      <c r="N674" t="str">
        <f>IF($M674="","",IF(ISNUMBER(Sync!$L674),IF(AND(Sync!$L674&gt;=10000101,Sync!$L674&lt;=99991231),RIGHT("0000"&amp;INT(Sync!$L674/10000),4)&amp;"/"&amp;RIGHT("00"&amp;INT(MOD(Sync!$L674,10000)/100),2)&amp;"/"&amp;RIGHT("00"&amp;MOD(Sync!$L674,100),2),""),IFERROR(RIGHT("0000"&amp;VALUE(TRIM(LEFT(Sync!$L674,FIND("/",Sync!$L674)-1))),4)&amp;"/"&amp;RIGHT("00"&amp;VALUE(TRIM(LEFT(MID(Sync!$L674,FIND("/",Sync!$L674)+1,20),FIND("/",MID(Sync!$L674,FIND("/",Sync!$L674)+1,20))-1))),2)&amp;"/"&amp;RIGHT("00"&amp;VALUE(TRIM(MID(MID(Sync!$L674,FIND("/",Sync!$L674)+1,20),FIND("/",MID(Sync!$L674,FIND("/",Sync!$L674)+1,20))+1,20))),2),"")))</f>
        <v/>
      </c>
    </row>
    <row r="675" spans="13:14" x14ac:dyDescent="0.2">
      <c r="M675" t="str">
        <f>IF(Sync!$M675&lt;&gt;"پاس چک","",IF(Sync!$P675="","",Sync!$P675))</f>
        <v/>
      </c>
      <c r="N675" t="str">
        <f>IF($M675="","",IF(ISNUMBER(Sync!$L675),IF(AND(Sync!$L675&gt;=10000101,Sync!$L675&lt;=99991231),RIGHT("0000"&amp;INT(Sync!$L675/10000),4)&amp;"/"&amp;RIGHT("00"&amp;INT(MOD(Sync!$L675,10000)/100),2)&amp;"/"&amp;RIGHT("00"&amp;MOD(Sync!$L675,100),2),""),IFERROR(RIGHT("0000"&amp;VALUE(TRIM(LEFT(Sync!$L675,FIND("/",Sync!$L675)-1))),4)&amp;"/"&amp;RIGHT("00"&amp;VALUE(TRIM(LEFT(MID(Sync!$L675,FIND("/",Sync!$L675)+1,20),FIND("/",MID(Sync!$L675,FIND("/",Sync!$L675)+1,20))-1))),2)&amp;"/"&amp;RIGHT("00"&amp;VALUE(TRIM(MID(MID(Sync!$L675,FIND("/",Sync!$L675)+1,20),FIND("/",MID(Sync!$L675,FIND("/",Sync!$L675)+1,20))+1,20))),2),"")))</f>
        <v/>
      </c>
    </row>
    <row r="676" spans="13:14" x14ac:dyDescent="0.2">
      <c r="M676" t="str">
        <f>IF(Sync!$M676&lt;&gt;"پاس چک","",IF(Sync!$P676="","",Sync!$P676))</f>
        <v/>
      </c>
      <c r="N676" t="str">
        <f>IF($M676="","",IF(ISNUMBER(Sync!$L676),IF(AND(Sync!$L676&gt;=10000101,Sync!$L676&lt;=99991231),RIGHT("0000"&amp;INT(Sync!$L676/10000),4)&amp;"/"&amp;RIGHT("00"&amp;INT(MOD(Sync!$L676,10000)/100),2)&amp;"/"&amp;RIGHT("00"&amp;MOD(Sync!$L676,100),2),""),IFERROR(RIGHT("0000"&amp;VALUE(TRIM(LEFT(Sync!$L676,FIND("/",Sync!$L676)-1))),4)&amp;"/"&amp;RIGHT("00"&amp;VALUE(TRIM(LEFT(MID(Sync!$L676,FIND("/",Sync!$L676)+1,20),FIND("/",MID(Sync!$L676,FIND("/",Sync!$L676)+1,20))-1))),2)&amp;"/"&amp;RIGHT("00"&amp;VALUE(TRIM(MID(MID(Sync!$L676,FIND("/",Sync!$L676)+1,20),FIND("/",MID(Sync!$L676,FIND("/",Sync!$L676)+1,20))+1,20))),2),"")))</f>
        <v/>
      </c>
    </row>
    <row r="677" spans="13:14" x14ac:dyDescent="0.2">
      <c r="M677" t="str">
        <f>IF(Sync!$M677&lt;&gt;"پاس چک","",IF(Sync!$P677="","",Sync!$P677))</f>
        <v/>
      </c>
      <c r="N677" t="str">
        <f>IF($M677="","",IF(ISNUMBER(Sync!$L677),IF(AND(Sync!$L677&gt;=10000101,Sync!$L677&lt;=99991231),RIGHT("0000"&amp;INT(Sync!$L677/10000),4)&amp;"/"&amp;RIGHT("00"&amp;INT(MOD(Sync!$L677,10000)/100),2)&amp;"/"&amp;RIGHT("00"&amp;MOD(Sync!$L677,100),2),""),IFERROR(RIGHT("0000"&amp;VALUE(TRIM(LEFT(Sync!$L677,FIND("/",Sync!$L677)-1))),4)&amp;"/"&amp;RIGHT("00"&amp;VALUE(TRIM(LEFT(MID(Sync!$L677,FIND("/",Sync!$L677)+1,20),FIND("/",MID(Sync!$L677,FIND("/",Sync!$L677)+1,20))-1))),2)&amp;"/"&amp;RIGHT("00"&amp;VALUE(TRIM(MID(MID(Sync!$L677,FIND("/",Sync!$L677)+1,20),FIND("/",MID(Sync!$L677,FIND("/",Sync!$L677)+1,20))+1,20))),2),"")))</f>
        <v/>
      </c>
    </row>
    <row r="678" spans="13:14" x14ac:dyDescent="0.2">
      <c r="M678" t="str">
        <f>IF(Sync!$M678&lt;&gt;"پاس چک","",IF(Sync!$P678="","",Sync!$P678))</f>
        <v/>
      </c>
      <c r="N678" t="str">
        <f>IF($M678="","",IF(ISNUMBER(Sync!$L678),IF(AND(Sync!$L678&gt;=10000101,Sync!$L678&lt;=99991231),RIGHT("0000"&amp;INT(Sync!$L678/10000),4)&amp;"/"&amp;RIGHT("00"&amp;INT(MOD(Sync!$L678,10000)/100),2)&amp;"/"&amp;RIGHT("00"&amp;MOD(Sync!$L678,100),2),""),IFERROR(RIGHT("0000"&amp;VALUE(TRIM(LEFT(Sync!$L678,FIND("/",Sync!$L678)-1))),4)&amp;"/"&amp;RIGHT("00"&amp;VALUE(TRIM(LEFT(MID(Sync!$L678,FIND("/",Sync!$L678)+1,20),FIND("/",MID(Sync!$L678,FIND("/",Sync!$L678)+1,20))-1))),2)&amp;"/"&amp;RIGHT("00"&amp;VALUE(TRIM(MID(MID(Sync!$L678,FIND("/",Sync!$L678)+1,20),FIND("/",MID(Sync!$L678,FIND("/",Sync!$L678)+1,20))+1,20))),2),"")))</f>
        <v/>
      </c>
    </row>
    <row r="679" spans="13:14" x14ac:dyDescent="0.2">
      <c r="M679" t="str">
        <f>IF(Sync!$M679&lt;&gt;"پاس چک","",IF(Sync!$P679="","",Sync!$P679))</f>
        <v/>
      </c>
      <c r="N679" t="str">
        <f>IF($M679="","",IF(ISNUMBER(Sync!$L679),IF(AND(Sync!$L679&gt;=10000101,Sync!$L679&lt;=99991231),RIGHT("0000"&amp;INT(Sync!$L679/10000),4)&amp;"/"&amp;RIGHT("00"&amp;INT(MOD(Sync!$L679,10000)/100),2)&amp;"/"&amp;RIGHT("00"&amp;MOD(Sync!$L679,100),2),""),IFERROR(RIGHT("0000"&amp;VALUE(TRIM(LEFT(Sync!$L679,FIND("/",Sync!$L679)-1))),4)&amp;"/"&amp;RIGHT("00"&amp;VALUE(TRIM(LEFT(MID(Sync!$L679,FIND("/",Sync!$L679)+1,20),FIND("/",MID(Sync!$L679,FIND("/",Sync!$L679)+1,20))-1))),2)&amp;"/"&amp;RIGHT("00"&amp;VALUE(TRIM(MID(MID(Sync!$L679,FIND("/",Sync!$L679)+1,20),FIND("/",MID(Sync!$L679,FIND("/",Sync!$L679)+1,20))+1,20))),2),"")))</f>
        <v/>
      </c>
    </row>
    <row r="680" spans="13:14" x14ac:dyDescent="0.2">
      <c r="M680" t="str">
        <f>IF(Sync!$M680&lt;&gt;"پاس چک","",IF(Sync!$P680="","",Sync!$P680))</f>
        <v/>
      </c>
      <c r="N680" t="str">
        <f>IF($M680="","",IF(ISNUMBER(Sync!$L680),IF(AND(Sync!$L680&gt;=10000101,Sync!$L680&lt;=99991231),RIGHT("0000"&amp;INT(Sync!$L680/10000),4)&amp;"/"&amp;RIGHT("00"&amp;INT(MOD(Sync!$L680,10000)/100),2)&amp;"/"&amp;RIGHT("00"&amp;MOD(Sync!$L680,100),2),""),IFERROR(RIGHT("0000"&amp;VALUE(TRIM(LEFT(Sync!$L680,FIND("/",Sync!$L680)-1))),4)&amp;"/"&amp;RIGHT("00"&amp;VALUE(TRIM(LEFT(MID(Sync!$L680,FIND("/",Sync!$L680)+1,20),FIND("/",MID(Sync!$L680,FIND("/",Sync!$L680)+1,20))-1))),2)&amp;"/"&amp;RIGHT("00"&amp;VALUE(TRIM(MID(MID(Sync!$L680,FIND("/",Sync!$L680)+1,20),FIND("/",MID(Sync!$L680,FIND("/",Sync!$L680)+1,20))+1,20))),2),"")))</f>
        <v/>
      </c>
    </row>
    <row r="681" spans="13:14" x14ac:dyDescent="0.2">
      <c r="M681" t="str">
        <f>IF(Sync!$M681&lt;&gt;"پاس چک","",IF(Sync!$P681="","",Sync!$P681))</f>
        <v/>
      </c>
      <c r="N681" t="str">
        <f>IF($M681="","",IF(ISNUMBER(Sync!$L681),IF(AND(Sync!$L681&gt;=10000101,Sync!$L681&lt;=99991231),RIGHT("0000"&amp;INT(Sync!$L681/10000),4)&amp;"/"&amp;RIGHT("00"&amp;INT(MOD(Sync!$L681,10000)/100),2)&amp;"/"&amp;RIGHT("00"&amp;MOD(Sync!$L681,100),2),""),IFERROR(RIGHT("0000"&amp;VALUE(TRIM(LEFT(Sync!$L681,FIND("/",Sync!$L681)-1))),4)&amp;"/"&amp;RIGHT("00"&amp;VALUE(TRIM(LEFT(MID(Sync!$L681,FIND("/",Sync!$L681)+1,20),FIND("/",MID(Sync!$L681,FIND("/",Sync!$L681)+1,20))-1))),2)&amp;"/"&amp;RIGHT("00"&amp;VALUE(TRIM(MID(MID(Sync!$L681,FIND("/",Sync!$L681)+1,20),FIND("/",MID(Sync!$L681,FIND("/",Sync!$L681)+1,20))+1,20))),2),"")))</f>
        <v/>
      </c>
    </row>
    <row r="682" spans="13:14" x14ac:dyDescent="0.2">
      <c r="M682" t="str">
        <f>IF(Sync!$M682&lt;&gt;"پاس چک","",IF(Sync!$P682="","",Sync!$P682))</f>
        <v/>
      </c>
      <c r="N682" t="str">
        <f>IF($M682="","",IF(ISNUMBER(Sync!$L682),IF(AND(Sync!$L682&gt;=10000101,Sync!$L682&lt;=99991231),RIGHT("0000"&amp;INT(Sync!$L682/10000),4)&amp;"/"&amp;RIGHT("00"&amp;INT(MOD(Sync!$L682,10000)/100),2)&amp;"/"&amp;RIGHT("00"&amp;MOD(Sync!$L682,100),2),""),IFERROR(RIGHT("0000"&amp;VALUE(TRIM(LEFT(Sync!$L682,FIND("/",Sync!$L682)-1))),4)&amp;"/"&amp;RIGHT("00"&amp;VALUE(TRIM(LEFT(MID(Sync!$L682,FIND("/",Sync!$L682)+1,20),FIND("/",MID(Sync!$L682,FIND("/",Sync!$L682)+1,20))-1))),2)&amp;"/"&amp;RIGHT("00"&amp;VALUE(TRIM(MID(MID(Sync!$L682,FIND("/",Sync!$L682)+1,20),FIND("/",MID(Sync!$L682,FIND("/",Sync!$L682)+1,20))+1,20))),2),"")))</f>
        <v/>
      </c>
    </row>
    <row r="683" spans="13:14" x14ac:dyDescent="0.2">
      <c r="M683" t="str">
        <f>IF(Sync!$M683&lt;&gt;"پاس چک","",IF(Sync!$P683="","",Sync!$P683))</f>
        <v/>
      </c>
      <c r="N683" t="str">
        <f>IF($M683="","",IF(ISNUMBER(Sync!$L683),IF(AND(Sync!$L683&gt;=10000101,Sync!$L683&lt;=99991231),RIGHT("0000"&amp;INT(Sync!$L683/10000),4)&amp;"/"&amp;RIGHT("00"&amp;INT(MOD(Sync!$L683,10000)/100),2)&amp;"/"&amp;RIGHT("00"&amp;MOD(Sync!$L683,100),2),""),IFERROR(RIGHT("0000"&amp;VALUE(TRIM(LEFT(Sync!$L683,FIND("/",Sync!$L683)-1))),4)&amp;"/"&amp;RIGHT("00"&amp;VALUE(TRIM(LEFT(MID(Sync!$L683,FIND("/",Sync!$L683)+1,20),FIND("/",MID(Sync!$L683,FIND("/",Sync!$L683)+1,20))-1))),2)&amp;"/"&amp;RIGHT("00"&amp;VALUE(TRIM(MID(MID(Sync!$L683,FIND("/",Sync!$L683)+1,20),FIND("/",MID(Sync!$L683,FIND("/",Sync!$L683)+1,20))+1,20))),2),"")))</f>
        <v/>
      </c>
    </row>
    <row r="684" spans="13:14" x14ac:dyDescent="0.2">
      <c r="M684" t="str">
        <f>IF(Sync!$M684&lt;&gt;"پاس چک","",IF(Sync!$P684="","",Sync!$P684))</f>
        <v/>
      </c>
      <c r="N684" t="str">
        <f>IF($M684="","",IF(ISNUMBER(Sync!$L684),IF(AND(Sync!$L684&gt;=10000101,Sync!$L684&lt;=99991231),RIGHT("0000"&amp;INT(Sync!$L684/10000),4)&amp;"/"&amp;RIGHT("00"&amp;INT(MOD(Sync!$L684,10000)/100),2)&amp;"/"&amp;RIGHT("00"&amp;MOD(Sync!$L684,100),2),""),IFERROR(RIGHT("0000"&amp;VALUE(TRIM(LEFT(Sync!$L684,FIND("/",Sync!$L684)-1))),4)&amp;"/"&amp;RIGHT("00"&amp;VALUE(TRIM(LEFT(MID(Sync!$L684,FIND("/",Sync!$L684)+1,20),FIND("/",MID(Sync!$L684,FIND("/",Sync!$L684)+1,20))-1))),2)&amp;"/"&amp;RIGHT("00"&amp;VALUE(TRIM(MID(MID(Sync!$L684,FIND("/",Sync!$L684)+1,20),FIND("/",MID(Sync!$L684,FIND("/",Sync!$L684)+1,20))+1,20))),2),"")))</f>
        <v/>
      </c>
    </row>
    <row r="685" spans="13:14" x14ac:dyDescent="0.2">
      <c r="M685" t="str">
        <f>IF(Sync!$M685&lt;&gt;"پاس چک","",IF(Sync!$P685="","",Sync!$P685))</f>
        <v/>
      </c>
      <c r="N685" t="str">
        <f>IF($M685="","",IF(ISNUMBER(Sync!$L685),IF(AND(Sync!$L685&gt;=10000101,Sync!$L685&lt;=99991231),RIGHT("0000"&amp;INT(Sync!$L685/10000),4)&amp;"/"&amp;RIGHT("00"&amp;INT(MOD(Sync!$L685,10000)/100),2)&amp;"/"&amp;RIGHT("00"&amp;MOD(Sync!$L685,100),2),""),IFERROR(RIGHT("0000"&amp;VALUE(TRIM(LEFT(Sync!$L685,FIND("/",Sync!$L685)-1))),4)&amp;"/"&amp;RIGHT("00"&amp;VALUE(TRIM(LEFT(MID(Sync!$L685,FIND("/",Sync!$L685)+1,20),FIND("/",MID(Sync!$L685,FIND("/",Sync!$L685)+1,20))-1))),2)&amp;"/"&amp;RIGHT("00"&amp;VALUE(TRIM(MID(MID(Sync!$L685,FIND("/",Sync!$L685)+1,20),FIND("/",MID(Sync!$L685,FIND("/",Sync!$L685)+1,20))+1,20))),2),"")))</f>
        <v/>
      </c>
    </row>
    <row r="686" spans="13:14" x14ac:dyDescent="0.2">
      <c r="M686" t="str">
        <f>IF(Sync!$M686&lt;&gt;"پاس چک","",IF(Sync!$P686="","",Sync!$P686))</f>
        <v/>
      </c>
      <c r="N686" t="str">
        <f>IF($M686="","",IF(ISNUMBER(Sync!$L686),IF(AND(Sync!$L686&gt;=10000101,Sync!$L686&lt;=99991231),RIGHT("0000"&amp;INT(Sync!$L686/10000),4)&amp;"/"&amp;RIGHT("00"&amp;INT(MOD(Sync!$L686,10000)/100),2)&amp;"/"&amp;RIGHT("00"&amp;MOD(Sync!$L686,100),2),""),IFERROR(RIGHT("0000"&amp;VALUE(TRIM(LEFT(Sync!$L686,FIND("/",Sync!$L686)-1))),4)&amp;"/"&amp;RIGHT("00"&amp;VALUE(TRIM(LEFT(MID(Sync!$L686,FIND("/",Sync!$L686)+1,20),FIND("/",MID(Sync!$L686,FIND("/",Sync!$L686)+1,20))-1))),2)&amp;"/"&amp;RIGHT("00"&amp;VALUE(TRIM(MID(MID(Sync!$L686,FIND("/",Sync!$L686)+1,20),FIND("/",MID(Sync!$L686,FIND("/",Sync!$L686)+1,20))+1,20))),2),"")))</f>
        <v/>
      </c>
    </row>
    <row r="687" spans="13:14" x14ac:dyDescent="0.2">
      <c r="M687" t="str">
        <f>IF(Sync!$M687&lt;&gt;"پاس چک","",IF(Sync!$P687="","",Sync!$P687))</f>
        <v/>
      </c>
      <c r="N687" t="str">
        <f>IF($M687="","",IF(ISNUMBER(Sync!$L687),IF(AND(Sync!$L687&gt;=10000101,Sync!$L687&lt;=99991231),RIGHT("0000"&amp;INT(Sync!$L687/10000),4)&amp;"/"&amp;RIGHT("00"&amp;INT(MOD(Sync!$L687,10000)/100),2)&amp;"/"&amp;RIGHT("00"&amp;MOD(Sync!$L687,100),2),""),IFERROR(RIGHT("0000"&amp;VALUE(TRIM(LEFT(Sync!$L687,FIND("/",Sync!$L687)-1))),4)&amp;"/"&amp;RIGHT("00"&amp;VALUE(TRIM(LEFT(MID(Sync!$L687,FIND("/",Sync!$L687)+1,20),FIND("/",MID(Sync!$L687,FIND("/",Sync!$L687)+1,20))-1))),2)&amp;"/"&amp;RIGHT("00"&amp;VALUE(TRIM(MID(MID(Sync!$L687,FIND("/",Sync!$L687)+1,20),FIND("/",MID(Sync!$L687,FIND("/",Sync!$L687)+1,20))+1,20))),2),"")))</f>
        <v/>
      </c>
    </row>
    <row r="688" spans="13:14" x14ac:dyDescent="0.2">
      <c r="M688" t="str">
        <f>IF(Sync!$M688&lt;&gt;"پاس چک","",IF(Sync!$P688="","",Sync!$P688))</f>
        <v/>
      </c>
      <c r="N688" t="str">
        <f>IF($M688="","",IF(ISNUMBER(Sync!$L688),IF(AND(Sync!$L688&gt;=10000101,Sync!$L688&lt;=99991231),RIGHT("0000"&amp;INT(Sync!$L688/10000),4)&amp;"/"&amp;RIGHT("00"&amp;INT(MOD(Sync!$L688,10000)/100),2)&amp;"/"&amp;RIGHT("00"&amp;MOD(Sync!$L688,100),2),""),IFERROR(RIGHT("0000"&amp;VALUE(TRIM(LEFT(Sync!$L688,FIND("/",Sync!$L688)-1))),4)&amp;"/"&amp;RIGHT("00"&amp;VALUE(TRIM(LEFT(MID(Sync!$L688,FIND("/",Sync!$L688)+1,20),FIND("/",MID(Sync!$L688,FIND("/",Sync!$L688)+1,20))-1))),2)&amp;"/"&amp;RIGHT("00"&amp;VALUE(TRIM(MID(MID(Sync!$L688,FIND("/",Sync!$L688)+1,20),FIND("/",MID(Sync!$L688,FIND("/",Sync!$L688)+1,20))+1,20))),2),"")))</f>
        <v/>
      </c>
    </row>
    <row r="689" spans="13:14" x14ac:dyDescent="0.2">
      <c r="M689" t="str">
        <f>IF(Sync!$M689&lt;&gt;"پاس چک","",IF(Sync!$P689="","",Sync!$P689))</f>
        <v/>
      </c>
      <c r="N689" t="str">
        <f>IF($M689="","",IF(ISNUMBER(Sync!$L689),IF(AND(Sync!$L689&gt;=10000101,Sync!$L689&lt;=99991231),RIGHT("0000"&amp;INT(Sync!$L689/10000),4)&amp;"/"&amp;RIGHT("00"&amp;INT(MOD(Sync!$L689,10000)/100),2)&amp;"/"&amp;RIGHT("00"&amp;MOD(Sync!$L689,100),2),""),IFERROR(RIGHT("0000"&amp;VALUE(TRIM(LEFT(Sync!$L689,FIND("/",Sync!$L689)-1))),4)&amp;"/"&amp;RIGHT("00"&amp;VALUE(TRIM(LEFT(MID(Sync!$L689,FIND("/",Sync!$L689)+1,20),FIND("/",MID(Sync!$L689,FIND("/",Sync!$L689)+1,20))-1))),2)&amp;"/"&amp;RIGHT("00"&amp;VALUE(TRIM(MID(MID(Sync!$L689,FIND("/",Sync!$L689)+1,20),FIND("/",MID(Sync!$L689,FIND("/",Sync!$L689)+1,20))+1,20))),2),"")))</f>
        <v/>
      </c>
    </row>
    <row r="690" spans="13:14" x14ac:dyDescent="0.2">
      <c r="M690" t="str">
        <f>IF(Sync!$M690&lt;&gt;"پاس چک","",IF(Sync!$P690="","",Sync!$P690))</f>
        <v/>
      </c>
      <c r="N690" t="str">
        <f>IF($M690="","",IF(ISNUMBER(Sync!$L690),IF(AND(Sync!$L690&gt;=10000101,Sync!$L690&lt;=99991231),RIGHT("0000"&amp;INT(Sync!$L690/10000),4)&amp;"/"&amp;RIGHT("00"&amp;INT(MOD(Sync!$L690,10000)/100),2)&amp;"/"&amp;RIGHT("00"&amp;MOD(Sync!$L690,100),2),""),IFERROR(RIGHT("0000"&amp;VALUE(TRIM(LEFT(Sync!$L690,FIND("/",Sync!$L690)-1))),4)&amp;"/"&amp;RIGHT("00"&amp;VALUE(TRIM(LEFT(MID(Sync!$L690,FIND("/",Sync!$L690)+1,20),FIND("/",MID(Sync!$L690,FIND("/",Sync!$L690)+1,20))-1))),2)&amp;"/"&amp;RIGHT("00"&amp;VALUE(TRIM(MID(MID(Sync!$L690,FIND("/",Sync!$L690)+1,20),FIND("/",MID(Sync!$L690,FIND("/",Sync!$L690)+1,20))+1,20))),2),"")))</f>
        <v/>
      </c>
    </row>
    <row r="691" spans="13:14" x14ac:dyDescent="0.2">
      <c r="M691" t="str">
        <f>IF(Sync!$M691&lt;&gt;"پاس چک","",IF(Sync!$P691="","",Sync!$P691))</f>
        <v/>
      </c>
      <c r="N691" t="str">
        <f>IF($M691="","",IF(ISNUMBER(Sync!$L691),IF(AND(Sync!$L691&gt;=10000101,Sync!$L691&lt;=99991231),RIGHT("0000"&amp;INT(Sync!$L691/10000),4)&amp;"/"&amp;RIGHT("00"&amp;INT(MOD(Sync!$L691,10000)/100),2)&amp;"/"&amp;RIGHT("00"&amp;MOD(Sync!$L691,100),2),""),IFERROR(RIGHT("0000"&amp;VALUE(TRIM(LEFT(Sync!$L691,FIND("/",Sync!$L691)-1))),4)&amp;"/"&amp;RIGHT("00"&amp;VALUE(TRIM(LEFT(MID(Sync!$L691,FIND("/",Sync!$L691)+1,20),FIND("/",MID(Sync!$L691,FIND("/",Sync!$L691)+1,20))-1))),2)&amp;"/"&amp;RIGHT("00"&amp;VALUE(TRIM(MID(MID(Sync!$L691,FIND("/",Sync!$L691)+1,20),FIND("/",MID(Sync!$L691,FIND("/",Sync!$L691)+1,20))+1,20))),2),"")))</f>
        <v/>
      </c>
    </row>
    <row r="692" spans="13:14" x14ac:dyDescent="0.2">
      <c r="M692" t="str">
        <f>IF(Sync!$M692&lt;&gt;"پاس چک","",IF(Sync!$P692="","",Sync!$P692))</f>
        <v/>
      </c>
      <c r="N692" t="str">
        <f>IF($M692="","",IF(ISNUMBER(Sync!$L692),IF(AND(Sync!$L692&gt;=10000101,Sync!$L692&lt;=99991231),RIGHT("0000"&amp;INT(Sync!$L692/10000),4)&amp;"/"&amp;RIGHT("00"&amp;INT(MOD(Sync!$L692,10000)/100),2)&amp;"/"&amp;RIGHT("00"&amp;MOD(Sync!$L692,100),2),""),IFERROR(RIGHT("0000"&amp;VALUE(TRIM(LEFT(Sync!$L692,FIND("/",Sync!$L692)-1))),4)&amp;"/"&amp;RIGHT("00"&amp;VALUE(TRIM(LEFT(MID(Sync!$L692,FIND("/",Sync!$L692)+1,20),FIND("/",MID(Sync!$L692,FIND("/",Sync!$L692)+1,20))-1))),2)&amp;"/"&amp;RIGHT("00"&amp;VALUE(TRIM(MID(MID(Sync!$L692,FIND("/",Sync!$L692)+1,20),FIND("/",MID(Sync!$L692,FIND("/",Sync!$L692)+1,20))+1,20))),2),"")))</f>
        <v/>
      </c>
    </row>
    <row r="693" spans="13:14" x14ac:dyDescent="0.2">
      <c r="M693" t="str">
        <f>IF(Sync!$M693&lt;&gt;"پاس چک","",IF(Sync!$P693="","",Sync!$P693))</f>
        <v/>
      </c>
      <c r="N693" t="str">
        <f>IF($M693="","",IF(ISNUMBER(Sync!$L693),IF(AND(Sync!$L693&gt;=10000101,Sync!$L693&lt;=99991231),RIGHT("0000"&amp;INT(Sync!$L693/10000),4)&amp;"/"&amp;RIGHT("00"&amp;INT(MOD(Sync!$L693,10000)/100),2)&amp;"/"&amp;RIGHT("00"&amp;MOD(Sync!$L693,100),2),""),IFERROR(RIGHT("0000"&amp;VALUE(TRIM(LEFT(Sync!$L693,FIND("/",Sync!$L693)-1))),4)&amp;"/"&amp;RIGHT("00"&amp;VALUE(TRIM(LEFT(MID(Sync!$L693,FIND("/",Sync!$L693)+1,20),FIND("/",MID(Sync!$L693,FIND("/",Sync!$L693)+1,20))-1))),2)&amp;"/"&amp;RIGHT("00"&amp;VALUE(TRIM(MID(MID(Sync!$L693,FIND("/",Sync!$L693)+1,20),FIND("/",MID(Sync!$L693,FIND("/",Sync!$L693)+1,20))+1,20))),2),"")))</f>
        <v/>
      </c>
    </row>
    <row r="694" spans="13:14" x14ac:dyDescent="0.2">
      <c r="M694" t="str">
        <f>IF(Sync!$M694&lt;&gt;"پاس چک","",IF(Sync!$P694="","",Sync!$P694))</f>
        <v/>
      </c>
      <c r="N694" t="str">
        <f>IF($M694="","",IF(ISNUMBER(Sync!$L694),IF(AND(Sync!$L694&gt;=10000101,Sync!$L694&lt;=99991231),RIGHT("0000"&amp;INT(Sync!$L694/10000),4)&amp;"/"&amp;RIGHT("00"&amp;INT(MOD(Sync!$L694,10000)/100),2)&amp;"/"&amp;RIGHT("00"&amp;MOD(Sync!$L694,100),2),""),IFERROR(RIGHT("0000"&amp;VALUE(TRIM(LEFT(Sync!$L694,FIND("/",Sync!$L694)-1))),4)&amp;"/"&amp;RIGHT("00"&amp;VALUE(TRIM(LEFT(MID(Sync!$L694,FIND("/",Sync!$L694)+1,20),FIND("/",MID(Sync!$L694,FIND("/",Sync!$L694)+1,20))-1))),2)&amp;"/"&amp;RIGHT("00"&amp;VALUE(TRIM(MID(MID(Sync!$L694,FIND("/",Sync!$L694)+1,20),FIND("/",MID(Sync!$L694,FIND("/",Sync!$L694)+1,20))+1,20))),2),"")))</f>
        <v/>
      </c>
    </row>
    <row r="695" spans="13:14" x14ac:dyDescent="0.2">
      <c r="M695" t="str">
        <f>IF(Sync!$M695&lt;&gt;"پاس چک","",IF(Sync!$P695="","",Sync!$P695))</f>
        <v/>
      </c>
      <c r="N695" t="str">
        <f>IF($M695="","",IF(ISNUMBER(Sync!$L695),IF(AND(Sync!$L695&gt;=10000101,Sync!$L695&lt;=99991231),RIGHT("0000"&amp;INT(Sync!$L695/10000),4)&amp;"/"&amp;RIGHT("00"&amp;INT(MOD(Sync!$L695,10000)/100),2)&amp;"/"&amp;RIGHT("00"&amp;MOD(Sync!$L695,100),2),""),IFERROR(RIGHT("0000"&amp;VALUE(TRIM(LEFT(Sync!$L695,FIND("/",Sync!$L695)-1))),4)&amp;"/"&amp;RIGHT("00"&amp;VALUE(TRIM(LEFT(MID(Sync!$L695,FIND("/",Sync!$L695)+1,20),FIND("/",MID(Sync!$L695,FIND("/",Sync!$L695)+1,20))-1))),2)&amp;"/"&amp;RIGHT("00"&amp;VALUE(TRIM(MID(MID(Sync!$L695,FIND("/",Sync!$L695)+1,20),FIND("/",MID(Sync!$L695,FIND("/",Sync!$L695)+1,20))+1,20))),2),"")))</f>
        <v/>
      </c>
    </row>
    <row r="696" spans="13:14" x14ac:dyDescent="0.2">
      <c r="M696" t="str">
        <f>IF(Sync!$M696&lt;&gt;"پاس چک","",IF(Sync!$P696="","",Sync!$P696))</f>
        <v/>
      </c>
      <c r="N696" t="str">
        <f>IF($M696="","",IF(ISNUMBER(Sync!$L696),IF(AND(Sync!$L696&gt;=10000101,Sync!$L696&lt;=99991231),RIGHT("0000"&amp;INT(Sync!$L696/10000),4)&amp;"/"&amp;RIGHT("00"&amp;INT(MOD(Sync!$L696,10000)/100),2)&amp;"/"&amp;RIGHT("00"&amp;MOD(Sync!$L696,100),2),""),IFERROR(RIGHT("0000"&amp;VALUE(TRIM(LEFT(Sync!$L696,FIND("/",Sync!$L696)-1))),4)&amp;"/"&amp;RIGHT("00"&amp;VALUE(TRIM(LEFT(MID(Sync!$L696,FIND("/",Sync!$L696)+1,20),FIND("/",MID(Sync!$L696,FIND("/",Sync!$L696)+1,20))-1))),2)&amp;"/"&amp;RIGHT("00"&amp;VALUE(TRIM(MID(MID(Sync!$L696,FIND("/",Sync!$L696)+1,20),FIND("/",MID(Sync!$L696,FIND("/",Sync!$L696)+1,20))+1,20))),2),"")))</f>
        <v/>
      </c>
    </row>
    <row r="697" spans="13:14" x14ac:dyDescent="0.2">
      <c r="M697" t="str">
        <f>IF(Sync!$M697&lt;&gt;"پاس چک","",IF(Sync!$P697="","",Sync!$P697))</f>
        <v/>
      </c>
      <c r="N697" t="str">
        <f>IF($M697="","",IF(ISNUMBER(Sync!$L697),IF(AND(Sync!$L697&gt;=10000101,Sync!$L697&lt;=99991231),RIGHT("0000"&amp;INT(Sync!$L697/10000),4)&amp;"/"&amp;RIGHT("00"&amp;INT(MOD(Sync!$L697,10000)/100),2)&amp;"/"&amp;RIGHT("00"&amp;MOD(Sync!$L697,100),2),""),IFERROR(RIGHT("0000"&amp;VALUE(TRIM(LEFT(Sync!$L697,FIND("/",Sync!$L697)-1))),4)&amp;"/"&amp;RIGHT("00"&amp;VALUE(TRIM(LEFT(MID(Sync!$L697,FIND("/",Sync!$L697)+1,20),FIND("/",MID(Sync!$L697,FIND("/",Sync!$L697)+1,20))-1))),2)&amp;"/"&amp;RIGHT("00"&amp;VALUE(TRIM(MID(MID(Sync!$L697,FIND("/",Sync!$L697)+1,20),FIND("/",MID(Sync!$L697,FIND("/",Sync!$L697)+1,20))+1,20))),2),"")))</f>
        <v/>
      </c>
    </row>
    <row r="698" spans="13:14" x14ac:dyDescent="0.2">
      <c r="M698" t="str">
        <f>IF(Sync!$M698&lt;&gt;"پاس چک","",IF(Sync!$P698="","",Sync!$P698))</f>
        <v/>
      </c>
      <c r="N698" t="str">
        <f>IF($M698="","",IF(ISNUMBER(Sync!$L698),IF(AND(Sync!$L698&gt;=10000101,Sync!$L698&lt;=99991231),RIGHT("0000"&amp;INT(Sync!$L698/10000),4)&amp;"/"&amp;RIGHT("00"&amp;INT(MOD(Sync!$L698,10000)/100),2)&amp;"/"&amp;RIGHT("00"&amp;MOD(Sync!$L698,100),2),""),IFERROR(RIGHT("0000"&amp;VALUE(TRIM(LEFT(Sync!$L698,FIND("/",Sync!$L698)-1))),4)&amp;"/"&amp;RIGHT("00"&amp;VALUE(TRIM(LEFT(MID(Sync!$L698,FIND("/",Sync!$L698)+1,20),FIND("/",MID(Sync!$L698,FIND("/",Sync!$L698)+1,20))-1))),2)&amp;"/"&amp;RIGHT("00"&amp;VALUE(TRIM(MID(MID(Sync!$L698,FIND("/",Sync!$L698)+1,20),FIND("/",MID(Sync!$L698,FIND("/",Sync!$L698)+1,20))+1,20))),2),"")))</f>
        <v/>
      </c>
    </row>
    <row r="699" spans="13:14" x14ac:dyDescent="0.2">
      <c r="M699" t="str">
        <f>IF(Sync!$M699&lt;&gt;"پاس چک","",IF(Sync!$P699="","",Sync!$P699))</f>
        <v/>
      </c>
      <c r="N699" t="str">
        <f>IF($M699="","",IF(ISNUMBER(Sync!$L699),IF(AND(Sync!$L699&gt;=10000101,Sync!$L699&lt;=99991231),RIGHT("0000"&amp;INT(Sync!$L699/10000),4)&amp;"/"&amp;RIGHT("00"&amp;INT(MOD(Sync!$L699,10000)/100),2)&amp;"/"&amp;RIGHT("00"&amp;MOD(Sync!$L699,100),2),""),IFERROR(RIGHT("0000"&amp;VALUE(TRIM(LEFT(Sync!$L699,FIND("/",Sync!$L699)-1))),4)&amp;"/"&amp;RIGHT("00"&amp;VALUE(TRIM(LEFT(MID(Sync!$L699,FIND("/",Sync!$L699)+1,20),FIND("/",MID(Sync!$L699,FIND("/",Sync!$L699)+1,20))-1))),2)&amp;"/"&amp;RIGHT("00"&amp;VALUE(TRIM(MID(MID(Sync!$L699,FIND("/",Sync!$L699)+1,20),FIND("/",MID(Sync!$L699,FIND("/",Sync!$L699)+1,20))+1,20))),2),"")))</f>
        <v/>
      </c>
    </row>
    <row r="700" spans="13:14" x14ac:dyDescent="0.2">
      <c r="M700" t="str">
        <f>IF(Sync!$M700&lt;&gt;"پاس چک","",IF(Sync!$P700="","",Sync!$P700))</f>
        <v/>
      </c>
      <c r="N700" t="str">
        <f>IF($M700="","",IF(ISNUMBER(Sync!$L700),IF(AND(Sync!$L700&gt;=10000101,Sync!$L700&lt;=99991231),RIGHT("0000"&amp;INT(Sync!$L700/10000),4)&amp;"/"&amp;RIGHT("00"&amp;INT(MOD(Sync!$L700,10000)/100),2)&amp;"/"&amp;RIGHT("00"&amp;MOD(Sync!$L700,100),2),""),IFERROR(RIGHT("0000"&amp;VALUE(TRIM(LEFT(Sync!$L700,FIND("/",Sync!$L700)-1))),4)&amp;"/"&amp;RIGHT("00"&amp;VALUE(TRIM(LEFT(MID(Sync!$L700,FIND("/",Sync!$L700)+1,20),FIND("/",MID(Sync!$L700,FIND("/",Sync!$L700)+1,20))-1))),2)&amp;"/"&amp;RIGHT("00"&amp;VALUE(TRIM(MID(MID(Sync!$L700,FIND("/",Sync!$L700)+1,20),FIND("/",MID(Sync!$L700,FIND("/",Sync!$L700)+1,20))+1,20))),2),"")))</f>
        <v/>
      </c>
    </row>
    <row r="701" spans="13:14" x14ac:dyDescent="0.2">
      <c r="M701" t="str">
        <f>IF(Sync!$M701&lt;&gt;"پاس چک","",IF(Sync!$P701="","",Sync!$P701))</f>
        <v/>
      </c>
      <c r="N701" t="str">
        <f>IF($M701="","",IF(ISNUMBER(Sync!$L701),IF(AND(Sync!$L701&gt;=10000101,Sync!$L701&lt;=99991231),RIGHT("0000"&amp;INT(Sync!$L701/10000),4)&amp;"/"&amp;RIGHT("00"&amp;INT(MOD(Sync!$L701,10000)/100),2)&amp;"/"&amp;RIGHT("00"&amp;MOD(Sync!$L701,100),2),""),IFERROR(RIGHT("0000"&amp;VALUE(TRIM(LEFT(Sync!$L701,FIND("/",Sync!$L701)-1))),4)&amp;"/"&amp;RIGHT("00"&amp;VALUE(TRIM(LEFT(MID(Sync!$L701,FIND("/",Sync!$L701)+1,20),FIND("/",MID(Sync!$L701,FIND("/",Sync!$L701)+1,20))-1))),2)&amp;"/"&amp;RIGHT("00"&amp;VALUE(TRIM(MID(MID(Sync!$L701,FIND("/",Sync!$L701)+1,20),FIND("/",MID(Sync!$L701,FIND("/",Sync!$L701)+1,20))+1,20))),2),"")))</f>
        <v/>
      </c>
    </row>
    <row r="702" spans="13:14" x14ac:dyDescent="0.2">
      <c r="M702" t="str">
        <f>IF(Sync!$M702&lt;&gt;"پاس چک","",IF(Sync!$P702="","",Sync!$P702))</f>
        <v/>
      </c>
      <c r="N702" t="str">
        <f>IF($M702="","",IF(ISNUMBER(Sync!$L702),IF(AND(Sync!$L702&gt;=10000101,Sync!$L702&lt;=99991231),RIGHT("0000"&amp;INT(Sync!$L702/10000),4)&amp;"/"&amp;RIGHT("00"&amp;INT(MOD(Sync!$L702,10000)/100),2)&amp;"/"&amp;RIGHT("00"&amp;MOD(Sync!$L702,100),2),""),IFERROR(RIGHT("0000"&amp;VALUE(TRIM(LEFT(Sync!$L702,FIND("/",Sync!$L702)-1))),4)&amp;"/"&amp;RIGHT("00"&amp;VALUE(TRIM(LEFT(MID(Sync!$L702,FIND("/",Sync!$L702)+1,20),FIND("/",MID(Sync!$L702,FIND("/",Sync!$L702)+1,20))-1))),2)&amp;"/"&amp;RIGHT("00"&amp;VALUE(TRIM(MID(MID(Sync!$L702,FIND("/",Sync!$L702)+1,20),FIND("/",MID(Sync!$L702,FIND("/",Sync!$L702)+1,20))+1,20))),2),"")))</f>
        <v/>
      </c>
    </row>
    <row r="703" spans="13:14" x14ac:dyDescent="0.2">
      <c r="M703" t="str">
        <f>IF(Sync!$M703&lt;&gt;"پاس چک","",IF(Sync!$P703="","",Sync!$P703))</f>
        <v/>
      </c>
      <c r="N703" t="str">
        <f>IF($M703="","",IF(ISNUMBER(Sync!$L703),IF(AND(Sync!$L703&gt;=10000101,Sync!$L703&lt;=99991231),RIGHT("0000"&amp;INT(Sync!$L703/10000),4)&amp;"/"&amp;RIGHT("00"&amp;INT(MOD(Sync!$L703,10000)/100),2)&amp;"/"&amp;RIGHT("00"&amp;MOD(Sync!$L703,100),2),""),IFERROR(RIGHT("0000"&amp;VALUE(TRIM(LEFT(Sync!$L703,FIND("/",Sync!$L703)-1))),4)&amp;"/"&amp;RIGHT("00"&amp;VALUE(TRIM(LEFT(MID(Sync!$L703,FIND("/",Sync!$L703)+1,20),FIND("/",MID(Sync!$L703,FIND("/",Sync!$L703)+1,20))-1))),2)&amp;"/"&amp;RIGHT("00"&amp;VALUE(TRIM(MID(MID(Sync!$L703,FIND("/",Sync!$L703)+1,20),FIND("/",MID(Sync!$L703,FIND("/",Sync!$L703)+1,20))+1,20))),2),"")))</f>
        <v/>
      </c>
    </row>
    <row r="704" spans="13:14" x14ac:dyDescent="0.2">
      <c r="M704" t="str">
        <f>IF(Sync!$M704&lt;&gt;"پاس چک","",IF(Sync!$P704="","",Sync!$P704))</f>
        <v/>
      </c>
      <c r="N704" t="str">
        <f>IF($M704="","",IF(ISNUMBER(Sync!$L704),IF(AND(Sync!$L704&gt;=10000101,Sync!$L704&lt;=99991231),RIGHT("0000"&amp;INT(Sync!$L704/10000),4)&amp;"/"&amp;RIGHT("00"&amp;INT(MOD(Sync!$L704,10000)/100),2)&amp;"/"&amp;RIGHT("00"&amp;MOD(Sync!$L704,100),2),""),IFERROR(RIGHT("0000"&amp;VALUE(TRIM(LEFT(Sync!$L704,FIND("/",Sync!$L704)-1))),4)&amp;"/"&amp;RIGHT("00"&amp;VALUE(TRIM(LEFT(MID(Sync!$L704,FIND("/",Sync!$L704)+1,20),FIND("/",MID(Sync!$L704,FIND("/",Sync!$L704)+1,20))-1))),2)&amp;"/"&amp;RIGHT("00"&amp;VALUE(TRIM(MID(MID(Sync!$L704,FIND("/",Sync!$L704)+1,20),FIND("/",MID(Sync!$L704,FIND("/",Sync!$L704)+1,20))+1,20))),2),"")))</f>
        <v/>
      </c>
    </row>
    <row r="705" spans="13:14" x14ac:dyDescent="0.2">
      <c r="M705" t="str">
        <f>IF(Sync!$M705&lt;&gt;"پاس چک","",IF(Sync!$P705="","",Sync!$P705))</f>
        <v/>
      </c>
      <c r="N705" t="str">
        <f>IF($M705="","",IF(ISNUMBER(Sync!$L705),IF(AND(Sync!$L705&gt;=10000101,Sync!$L705&lt;=99991231),RIGHT("0000"&amp;INT(Sync!$L705/10000),4)&amp;"/"&amp;RIGHT("00"&amp;INT(MOD(Sync!$L705,10000)/100),2)&amp;"/"&amp;RIGHT("00"&amp;MOD(Sync!$L705,100),2),""),IFERROR(RIGHT("0000"&amp;VALUE(TRIM(LEFT(Sync!$L705,FIND("/",Sync!$L705)-1))),4)&amp;"/"&amp;RIGHT("00"&amp;VALUE(TRIM(LEFT(MID(Sync!$L705,FIND("/",Sync!$L705)+1,20),FIND("/",MID(Sync!$L705,FIND("/",Sync!$L705)+1,20))-1))),2)&amp;"/"&amp;RIGHT("00"&amp;VALUE(TRIM(MID(MID(Sync!$L705,FIND("/",Sync!$L705)+1,20),FIND("/",MID(Sync!$L705,FIND("/",Sync!$L705)+1,20))+1,20))),2),"")))</f>
        <v/>
      </c>
    </row>
    <row r="706" spans="13:14" x14ac:dyDescent="0.2">
      <c r="M706" t="str">
        <f>IF(Sync!$M706&lt;&gt;"پاس چک","",IF(Sync!$P706="","",Sync!$P706))</f>
        <v/>
      </c>
      <c r="N706" t="str">
        <f>IF($M706="","",IF(ISNUMBER(Sync!$L706),IF(AND(Sync!$L706&gt;=10000101,Sync!$L706&lt;=99991231),RIGHT("0000"&amp;INT(Sync!$L706/10000),4)&amp;"/"&amp;RIGHT("00"&amp;INT(MOD(Sync!$L706,10000)/100),2)&amp;"/"&amp;RIGHT("00"&amp;MOD(Sync!$L706,100),2),""),IFERROR(RIGHT("0000"&amp;VALUE(TRIM(LEFT(Sync!$L706,FIND("/",Sync!$L706)-1))),4)&amp;"/"&amp;RIGHT("00"&amp;VALUE(TRIM(LEFT(MID(Sync!$L706,FIND("/",Sync!$L706)+1,20),FIND("/",MID(Sync!$L706,FIND("/",Sync!$L706)+1,20))-1))),2)&amp;"/"&amp;RIGHT("00"&amp;VALUE(TRIM(MID(MID(Sync!$L706,FIND("/",Sync!$L706)+1,20),FIND("/",MID(Sync!$L706,FIND("/",Sync!$L706)+1,20))+1,20))),2),"")))</f>
        <v/>
      </c>
    </row>
    <row r="707" spans="13:14" x14ac:dyDescent="0.2">
      <c r="M707" t="str">
        <f>IF(Sync!$M707&lt;&gt;"پاس چک","",IF(Sync!$P707="","",Sync!$P707))</f>
        <v/>
      </c>
      <c r="N707" t="str">
        <f>IF($M707="","",IF(ISNUMBER(Sync!$L707),IF(AND(Sync!$L707&gt;=10000101,Sync!$L707&lt;=99991231),RIGHT("0000"&amp;INT(Sync!$L707/10000),4)&amp;"/"&amp;RIGHT("00"&amp;INT(MOD(Sync!$L707,10000)/100),2)&amp;"/"&amp;RIGHT("00"&amp;MOD(Sync!$L707,100),2),""),IFERROR(RIGHT("0000"&amp;VALUE(TRIM(LEFT(Sync!$L707,FIND("/",Sync!$L707)-1))),4)&amp;"/"&amp;RIGHT("00"&amp;VALUE(TRIM(LEFT(MID(Sync!$L707,FIND("/",Sync!$L707)+1,20),FIND("/",MID(Sync!$L707,FIND("/",Sync!$L707)+1,20))-1))),2)&amp;"/"&amp;RIGHT("00"&amp;VALUE(TRIM(MID(MID(Sync!$L707,FIND("/",Sync!$L707)+1,20),FIND("/",MID(Sync!$L707,FIND("/",Sync!$L707)+1,20))+1,20))),2),"")))</f>
        <v/>
      </c>
    </row>
    <row r="708" spans="13:14" x14ac:dyDescent="0.2">
      <c r="M708" t="str">
        <f>IF(Sync!$M708&lt;&gt;"پاس چک","",IF(Sync!$P708="","",Sync!$P708))</f>
        <v/>
      </c>
      <c r="N708" t="str">
        <f>IF($M708="","",IF(ISNUMBER(Sync!$L708),IF(AND(Sync!$L708&gt;=10000101,Sync!$L708&lt;=99991231),RIGHT("0000"&amp;INT(Sync!$L708/10000),4)&amp;"/"&amp;RIGHT("00"&amp;INT(MOD(Sync!$L708,10000)/100),2)&amp;"/"&amp;RIGHT("00"&amp;MOD(Sync!$L708,100),2),""),IFERROR(RIGHT("0000"&amp;VALUE(TRIM(LEFT(Sync!$L708,FIND("/",Sync!$L708)-1))),4)&amp;"/"&amp;RIGHT("00"&amp;VALUE(TRIM(LEFT(MID(Sync!$L708,FIND("/",Sync!$L708)+1,20),FIND("/",MID(Sync!$L708,FIND("/",Sync!$L708)+1,20))-1))),2)&amp;"/"&amp;RIGHT("00"&amp;VALUE(TRIM(MID(MID(Sync!$L708,FIND("/",Sync!$L708)+1,20),FIND("/",MID(Sync!$L708,FIND("/",Sync!$L708)+1,20))+1,20))),2),"")))</f>
        <v/>
      </c>
    </row>
    <row r="709" spans="13:14" x14ac:dyDescent="0.2">
      <c r="M709" t="str">
        <f>IF(Sync!$M709&lt;&gt;"پاس چک","",IF(Sync!$P709="","",Sync!$P709))</f>
        <v/>
      </c>
      <c r="N709" t="str">
        <f>IF($M709="","",IF(ISNUMBER(Sync!$L709),IF(AND(Sync!$L709&gt;=10000101,Sync!$L709&lt;=99991231),RIGHT("0000"&amp;INT(Sync!$L709/10000),4)&amp;"/"&amp;RIGHT("00"&amp;INT(MOD(Sync!$L709,10000)/100),2)&amp;"/"&amp;RIGHT("00"&amp;MOD(Sync!$L709,100),2),""),IFERROR(RIGHT("0000"&amp;VALUE(TRIM(LEFT(Sync!$L709,FIND("/",Sync!$L709)-1))),4)&amp;"/"&amp;RIGHT("00"&amp;VALUE(TRIM(LEFT(MID(Sync!$L709,FIND("/",Sync!$L709)+1,20),FIND("/",MID(Sync!$L709,FIND("/",Sync!$L709)+1,20))-1))),2)&amp;"/"&amp;RIGHT("00"&amp;VALUE(TRIM(MID(MID(Sync!$L709,FIND("/",Sync!$L709)+1,20),FIND("/",MID(Sync!$L709,FIND("/",Sync!$L709)+1,20))+1,20))),2),"")))</f>
        <v/>
      </c>
    </row>
    <row r="710" spans="13:14" x14ac:dyDescent="0.2">
      <c r="M710" t="str">
        <f>IF(Sync!$M710&lt;&gt;"پاس چک","",IF(Sync!$P710="","",Sync!$P710))</f>
        <v/>
      </c>
      <c r="N710" t="str">
        <f>IF($M710="","",IF(ISNUMBER(Sync!$L710),IF(AND(Sync!$L710&gt;=10000101,Sync!$L710&lt;=99991231),RIGHT("0000"&amp;INT(Sync!$L710/10000),4)&amp;"/"&amp;RIGHT("00"&amp;INT(MOD(Sync!$L710,10000)/100),2)&amp;"/"&amp;RIGHT("00"&amp;MOD(Sync!$L710,100),2),""),IFERROR(RIGHT("0000"&amp;VALUE(TRIM(LEFT(Sync!$L710,FIND("/",Sync!$L710)-1))),4)&amp;"/"&amp;RIGHT("00"&amp;VALUE(TRIM(LEFT(MID(Sync!$L710,FIND("/",Sync!$L710)+1,20),FIND("/",MID(Sync!$L710,FIND("/",Sync!$L710)+1,20))-1))),2)&amp;"/"&amp;RIGHT("00"&amp;VALUE(TRIM(MID(MID(Sync!$L710,FIND("/",Sync!$L710)+1,20),FIND("/",MID(Sync!$L710,FIND("/",Sync!$L710)+1,20))+1,20))),2),"")))</f>
        <v/>
      </c>
    </row>
    <row r="711" spans="13:14" x14ac:dyDescent="0.2">
      <c r="M711" t="str">
        <f>IF(Sync!$M711&lt;&gt;"پاس چک","",IF(Sync!$P711="","",Sync!$P711))</f>
        <v/>
      </c>
      <c r="N711" t="str">
        <f>IF($M711="","",IF(ISNUMBER(Sync!$L711),IF(AND(Sync!$L711&gt;=10000101,Sync!$L711&lt;=99991231),RIGHT("0000"&amp;INT(Sync!$L711/10000),4)&amp;"/"&amp;RIGHT("00"&amp;INT(MOD(Sync!$L711,10000)/100),2)&amp;"/"&amp;RIGHT("00"&amp;MOD(Sync!$L711,100),2),""),IFERROR(RIGHT("0000"&amp;VALUE(TRIM(LEFT(Sync!$L711,FIND("/",Sync!$L711)-1))),4)&amp;"/"&amp;RIGHT("00"&amp;VALUE(TRIM(LEFT(MID(Sync!$L711,FIND("/",Sync!$L711)+1,20),FIND("/",MID(Sync!$L711,FIND("/",Sync!$L711)+1,20))-1))),2)&amp;"/"&amp;RIGHT("00"&amp;VALUE(TRIM(MID(MID(Sync!$L711,FIND("/",Sync!$L711)+1,20),FIND("/",MID(Sync!$L711,FIND("/",Sync!$L711)+1,20))+1,20))),2),"")))</f>
        <v/>
      </c>
    </row>
    <row r="712" spans="13:14" x14ac:dyDescent="0.2">
      <c r="M712" t="str">
        <f>IF(Sync!$M712&lt;&gt;"پاس چک","",IF(Sync!$P712="","",Sync!$P712))</f>
        <v/>
      </c>
      <c r="N712" t="str">
        <f>IF($M712="","",IF(ISNUMBER(Sync!$L712),IF(AND(Sync!$L712&gt;=10000101,Sync!$L712&lt;=99991231),RIGHT("0000"&amp;INT(Sync!$L712/10000),4)&amp;"/"&amp;RIGHT("00"&amp;INT(MOD(Sync!$L712,10000)/100),2)&amp;"/"&amp;RIGHT("00"&amp;MOD(Sync!$L712,100),2),""),IFERROR(RIGHT("0000"&amp;VALUE(TRIM(LEFT(Sync!$L712,FIND("/",Sync!$L712)-1))),4)&amp;"/"&amp;RIGHT("00"&amp;VALUE(TRIM(LEFT(MID(Sync!$L712,FIND("/",Sync!$L712)+1,20),FIND("/",MID(Sync!$L712,FIND("/",Sync!$L712)+1,20))-1))),2)&amp;"/"&amp;RIGHT("00"&amp;VALUE(TRIM(MID(MID(Sync!$L712,FIND("/",Sync!$L712)+1,20),FIND("/",MID(Sync!$L712,FIND("/",Sync!$L712)+1,20))+1,20))),2),"")))</f>
        <v/>
      </c>
    </row>
    <row r="713" spans="13:14" x14ac:dyDescent="0.2">
      <c r="M713" t="str">
        <f>IF(Sync!$M713&lt;&gt;"پاس چک","",IF(Sync!$P713="","",Sync!$P713))</f>
        <v/>
      </c>
      <c r="N713" t="str">
        <f>IF($M713="","",IF(ISNUMBER(Sync!$L713),IF(AND(Sync!$L713&gt;=10000101,Sync!$L713&lt;=99991231),RIGHT("0000"&amp;INT(Sync!$L713/10000),4)&amp;"/"&amp;RIGHT("00"&amp;INT(MOD(Sync!$L713,10000)/100),2)&amp;"/"&amp;RIGHT("00"&amp;MOD(Sync!$L713,100),2),""),IFERROR(RIGHT("0000"&amp;VALUE(TRIM(LEFT(Sync!$L713,FIND("/",Sync!$L713)-1))),4)&amp;"/"&amp;RIGHT("00"&amp;VALUE(TRIM(LEFT(MID(Sync!$L713,FIND("/",Sync!$L713)+1,20),FIND("/",MID(Sync!$L713,FIND("/",Sync!$L713)+1,20))-1))),2)&amp;"/"&amp;RIGHT("00"&amp;VALUE(TRIM(MID(MID(Sync!$L713,FIND("/",Sync!$L713)+1,20),FIND("/",MID(Sync!$L713,FIND("/",Sync!$L713)+1,20))+1,20))),2),"")))</f>
        <v/>
      </c>
    </row>
    <row r="714" spans="13:14" x14ac:dyDescent="0.2">
      <c r="M714" t="str">
        <f>IF(Sync!$M714&lt;&gt;"پاس چک","",IF(Sync!$P714="","",Sync!$P714))</f>
        <v/>
      </c>
      <c r="N714" t="str">
        <f>IF($M714="","",IF(ISNUMBER(Sync!$L714),IF(AND(Sync!$L714&gt;=10000101,Sync!$L714&lt;=99991231),RIGHT("0000"&amp;INT(Sync!$L714/10000),4)&amp;"/"&amp;RIGHT("00"&amp;INT(MOD(Sync!$L714,10000)/100),2)&amp;"/"&amp;RIGHT("00"&amp;MOD(Sync!$L714,100),2),""),IFERROR(RIGHT("0000"&amp;VALUE(TRIM(LEFT(Sync!$L714,FIND("/",Sync!$L714)-1))),4)&amp;"/"&amp;RIGHT("00"&amp;VALUE(TRIM(LEFT(MID(Sync!$L714,FIND("/",Sync!$L714)+1,20),FIND("/",MID(Sync!$L714,FIND("/",Sync!$L714)+1,20))-1))),2)&amp;"/"&amp;RIGHT("00"&amp;VALUE(TRIM(MID(MID(Sync!$L714,FIND("/",Sync!$L714)+1,20),FIND("/",MID(Sync!$L714,FIND("/",Sync!$L714)+1,20))+1,20))),2),"")))</f>
        <v/>
      </c>
    </row>
    <row r="715" spans="13:14" x14ac:dyDescent="0.2">
      <c r="M715" t="str">
        <f>IF(Sync!$M715&lt;&gt;"پاس چک","",IF(Sync!$P715="","",Sync!$P715))</f>
        <v/>
      </c>
      <c r="N715" t="str">
        <f>IF($M715="","",IF(ISNUMBER(Sync!$L715),IF(AND(Sync!$L715&gt;=10000101,Sync!$L715&lt;=99991231),RIGHT("0000"&amp;INT(Sync!$L715/10000),4)&amp;"/"&amp;RIGHT("00"&amp;INT(MOD(Sync!$L715,10000)/100),2)&amp;"/"&amp;RIGHT("00"&amp;MOD(Sync!$L715,100),2),""),IFERROR(RIGHT("0000"&amp;VALUE(TRIM(LEFT(Sync!$L715,FIND("/",Sync!$L715)-1))),4)&amp;"/"&amp;RIGHT("00"&amp;VALUE(TRIM(LEFT(MID(Sync!$L715,FIND("/",Sync!$L715)+1,20),FIND("/",MID(Sync!$L715,FIND("/",Sync!$L715)+1,20))-1))),2)&amp;"/"&amp;RIGHT("00"&amp;VALUE(TRIM(MID(MID(Sync!$L715,FIND("/",Sync!$L715)+1,20),FIND("/",MID(Sync!$L715,FIND("/",Sync!$L715)+1,20))+1,20))),2),"")))</f>
        <v/>
      </c>
    </row>
    <row r="716" spans="13:14" x14ac:dyDescent="0.2">
      <c r="M716" t="str">
        <f>IF(Sync!$M716&lt;&gt;"پاس چک","",IF(Sync!$P716="","",Sync!$P716))</f>
        <v/>
      </c>
      <c r="N716" t="str">
        <f>IF($M716="","",IF(ISNUMBER(Sync!$L716),IF(AND(Sync!$L716&gt;=10000101,Sync!$L716&lt;=99991231),RIGHT("0000"&amp;INT(Sync!$L716/10000),4)&amp;"/"&amp;RIGHT("00"&amp;INT(MOD(Sync!$L716,10000)/100),2)&amp;"/"&amp;RIGHT("00"&amp;MOD(Sync!$L716,100),2),""),IFERROR(RIGHT("0000"&amp;VALUE(TRIM(LEFT(Sync!$L716,FIND("/",Sync!$L716)-1))),4)&amp;"/"&amp;RIGHT("00"&amp;VALUE(TRIM(LEFT(MID(Sync!$L716,FIND("/",Sync!$L716)+1,20),FIND("/",MID(Sync!$L716,FIND("/",Sync!$L716)+1,20))-1))),2)&amp;"/"&amp;RIGHT("00"&amp;VALUE(TRIM(MID(MID(Sync!$L716,FIND("/",Sync!$L716)+1,20),FIND("/",MID(Sync!$L716,FIND("/",Sync!$L716)+1,20))+1,20))),2),"")))</f>
        <v/>
      </c>
    </row>
    <row r="717" spans="13:14" x14ac:dyDescent="0.2">
      <c r="M717" t="str">
        <f>IF(Sync!$M717&lt;&gt;"پاس چک","",IF(Sync!$P717="","",Sync!$P717))</f>
        <v/>
      </c>
      <c r="N717" t="str">
        <f>IF($M717="","",IF(ISNUMBER(Sync!$L717),IF(AND(Sync!$L717&gt;=10000101,Sync!$L717&lt;=99991231),RIGHT("0000"&amp;INT(Sync!$L717/10000),4)&amp;"/"&amp;RIGHT("00"&amp;INT(MOD(Sync!$L717,10000)/100),2)&amp;"/"&amp;RIGHT("00"&amp;MOD(Sync!$L717,100),2),""),IFERROR(RIGHT("0000"&amp;VALUE(TRIM(LEFT(Sync!$L717,FIND("/",Sync!$L717)-1))),4)&amp;"/"&amp;RIGHT("00"&amp;VALUE(TRIM(LEFT(MID(Sync!$L717,FIND("/",Sync!$L717)+1,20),FIND("/",MID(Sync!$L717,FIND("/",Sync!$L717)+1,20))-1))),2)&amp;"/"&amp;RIGHT("00"&amp;VALUE(TRIM(MID(MID(Sync!$L717,FIND("/",Sync!$L717)+1,20),FIND("/",MID(Sync!$L717,FIND("/",Sync!$L717)+1,20))+1,20))),2),"")))</f>
        <v/>
      </c>
    </row>
    <row r="718" spans="13:14" x14ac:dyDescent="0.2">
      <c r="M718" t="str">
        <f>IF(Sync!$M718&lt;&gt;"پاس چک","",IF(Sync!$P718="","",Sync!$P718))</f>
        <v/>
      </c>
      <c r="N718" t="str">
        <f>IF($M718="","",IF(ISNUMBER(Sync!$L718),IF(AND(Sync!$L718&gt;=10000101,Sync!$L718&lt;=99991231),RIGHT("0000"&amp;INT(Sync!$L718/10000),4)&amp;"/"&amp;RIGHT("00"&amp;INT(MOD(Sync!$L718,10000)/100),2)&amp;"/"&amp;RIGHT("00"&amp;MOD(Sync!$L718,100),2),""),IFERROR(RIGHT("0000"&amp;VALUE(TRIM(LEFT(Sync!$L718,FIND("/",Sync!$L718)-1))),4)&amp;"/"&amp;RIGHT("00"&amp;VALUE(TRIM(LEFT(MID(Sync!$L718,FIND("/",Sync!$L718)+1,20),FIND("/",MID(Sync!$L718,FIND("/",Sync!$L718)+1,20))-1))),2)&amp;"/"&amp;RIGHT("00"&amp;VALUE(TRIM(MID(MID(Sync!$L718,FIND("/",Sync!$L718)+1,20),FIND("/",MID(Sync!$L718,FIND("/",Sync!$L718)+1,20))+1,20))),2),"")))</f>
        <v/>
      </c>
    </row>
    <row r="719" spans="13:14" x14ac:dyDescent="0.2">
      <c r="M719" t="str">
        <f>IF(Sync!$M719&lt;&gt;"پاس چک","",IF(Sync!$P719="","",Sync!$P719))</f>
        <v/>
      </c>
      <c r="N719" t="str">
        <f>IF($M719="","",IF(ISNUMBER(Sync!$L719),IF(AND(Sync!$L719&gt;=10000101,Sync!$L719&lt;=99991231),RIGHT("0000"&amp;INT(Sync!$L719/10000),4)&amp;"/"&amp;RIGHT("00"&amp;INT(MOD(Sync!$L719,10000)/100),2)&amp;"/"&amp;RIGHT("00"&amp;MOD(Sync!$L719,100),2),""),IFERROR(RIGHT("0000"&amp;VALUE(TRIM(LEFT(Sync!$L719,FIND("/",Sync!$L719)-1))),4)&amp;"/"&amp;RIGHT("00"&amp;VALUE(TRIM(LEFT(MID(Sync!$L719,FIND("/",Sync!$L719)+1,20),FIND("/",MID(Sync!$L719,FIND("/",Sync!$L719)+1,20))-1))),2)&amp;"/"&amp;RIGHT("00"&amp;VALUE(TRIM(MID(MID(Sync!$L719,FIND("/",Sync!$L719)+1,20),FIND("/",MID(Sync!$L719,FIND("/",Sync!$L719)+1,20))+1,20))),2),"")))</f>
        <v/>
      </c>
    </row>
    <row r="720" spans="13:14" x14ac:dyDescent="0.2">
      <c r="M720" t="str">
        <f>IF(Sync!$M720&lt;&gt;"پاس چک","",IF(Sync!$P720="","",Sync!$P720))</f>
        <v/>
      </c>
      <c r="N720" t="str">
        <f>IF($M720="","",IF(ISNUMBER(Sync!$L720),IF(AND(Sync!$L720&gt;=10000101,Sync!$L720&lt;=99991231),RIGHT("0000"&amp;INT(Sync!$L720/10000),4)&amp;"/"&amp;RIGHT("00"&amp;INT(MOD(Sync!$L720,10000)/100),2)&amp;"/"&amp;RIGHT("00"&amp;MOD(Sync!$L720,100),2),""),IFERROR(RIGHT("0000"&amp;VALUE(TRIM(LEFT(Sync!$L720,FIND("/",Sync!$L720)-1))),4)&amp;"/"&amp;RIGHT("00"&amp;VALUE(TRIM(LEFT(MID(Sync!$L720,FIND("/",Sync!$L720)+1,20),FIND("/",MID(Sync!$L720,FIND("/",Sync!$L720)+1,20))-1))),2)&amp;"/"&amp;RIGHT("00"&amp;VALUE(TRIM(MID(MID(Sync!$L720,FIND("/",Sync!$L720)+1,20),FIND("/",MID(Sync!$L720,FIND("/",Sync!$L720)+1,20))+1,20))),2),"")))</f>
        <v/>
      </c>
    </row>
    <row r="721" spans="13:14" x14ac:dyDescent="0.2">
      <c r="M721" t="str">
        <f>IF(Sync!$M721&lt;&gt;"پاس چک","",IF(Sync!$P721="","",Sync!$P721))</f>
        <v/>
      </c>
      <c r="N721" t="str">
        <f>IF($M721="","",IF(ISNUMBER(Sync!$L721),IF(AND(Sync!$L721&gt;=10000101,Sync!$L721&lt;=99991231),RIGHT("0000"&amp;INT(Sync!$L721/10000),4)&amp;"/"&amp;RIGHT("00"&amp;INT(MOD(Sync!$L721,10000)/100),2)&amp;"/"&amp;RIGHT("00"&amp;MOD(Sync!$L721,100),2),""),IFERROR(RIGHT("0000"&amp;VALUE(TRIM(LEFT(Sync!$L721,FIND("/",Sync!$L721)-1))),4)&amp;"/"&amp;RIGHT("00"&amp;VALUE(TRIM(LEFT(MID(Sync!$L721,FIND("/",Sync!$L721)+1,20),FIND("/",MID(Sync!$L721,FIND("/",Sync!$L721)+1,20))-1))),2)&amp;"/"&amp;RIGHT("00"&amp;VALUE(TRIM(MID(MID(Sync!$L721,FIND("/",Sync!$L721)+1,20),FIND("/",MID(Sync!$L721,FIND("/",Sync!$L721)+1,20))+1,20))),2),"")))</f>
        <v/>
      </c>
    </row>
    <row r="722" spans="13:14" x14ac:dyDescent="0.2">
      <c r="M722" t="str">
        <f>IF(Sync!$M722&lt;&gt;"پاس چک","",IF(Sync!$P722="","",Sync!$P722))</f>
        <v/>
      </c>
      <c r="N722" t="str">
        <f>IF($M722="","",IF(ISNUMBER(Sync!$L722),IF(AND(Sync!$L722&gt;=10000101,Sync!$L722&lt;=99991231),RIGHT("0000"&amp;INT(Sync!$L722/10000),4)&amp;"/"&amp;RIGHT("00"&amp;INT(MOD(Sync!$L722,10000)/100),2)&amp;"/"&amp;RIGHT("00"&amp;MOD(Sync!$L722,100),2),""),IFERROR(RIGHT("0000"&amp;VALUE(TRIM(LEFT(Sync!$L722,FIND("/",Sync!$L722)-1))),4)&amp;"/"&amp;RIGHT("00"&amp;VALUE(TRIM(LEFT(MID(Sync!$L722,FIND("/",Sync!$L722)+1,20),FIND("/",MID(Sync!$L722,FIND("/",Sync!$L722)+1,20))-1))),2)&amp;"/"&amp;RIGHT("00"&amp;VALUE(TRIM(MID(MID(Sync!$L722,FIND("/",Sync!$L722)+1,20),FIND("/",MID(Sync!$L722,FIND("/",Sync!$L722)+1,20))+1,20))),2),"")))</f>
        <v/>
      </c>
    </row>
    <row r="723" spans="13:14" x14ac:dyDescent="0.2">
      <c r="M723" t="str">
        <f>IF(Sync!$M723&lt;&gt;"پاس چک","",IF(Sync!$P723="","",Sync!$P723))</f>
        <v/>
      </c>
      <c r="N723" t="str">
        <f>IF($M723="","",IF(ISNUMBER(Sync!$L723),IF(AND(Sync!$L723&gt;=10000101,Sync!$L723&lt;=99991231),RIGHT("0000"&amp;INT(Sync!$L723/10000),4)&amp;"/"&amp;RIGHT("00"&amp;INT(MOD(Sync!$L723,10000)/100),2)&amp;"/"&amp;RIGHT("00"&amp;MOD(Sync!$L723,100),2),""),IFERROR(RIGHT("0000"&amp;VALUE(TRIM(LEFT(Sync!$L723,FIND("/",Sync!$L723)-1))),4)&amp;"/"&amp;RIGHT("00"&amp;VALUE(TRIM(LEFT(MID(Sync!$L723,FIND("/",Sync!$L723)+1,20),FIND("/",MID(Sync!$L723,FIND("/",Sync!$L723)+1,20))-1))),2)&amp;"/"&amp;RIGHT("00"&amp;VALUE(TRIM(MID(MID(Sync!$L723,FIND("/",Sync!$L723)+1,20),FIND("/",MID(Sync!$L723,FIND("/",Sync!$L723)+1,20))+1,20))),2),"")))</f>
        <v/>
      </c>
    </row>
    <row r="724" spans="13:14" x14ac:dyDescent="0.2">
      <c r="M724" t="str">
        <f>IF(Sync!$M724&lt;&gt;"پاس چک","",IF(Sync!$P724="","",Sync!$P724))</f>
        <v/>
      </c>
      <c r="N724" t="str">
        <f>IF($M724="","",IF(ISNUMBER(Sync!$L724),IF(AND(Sync!$L724&gt;=10000101,Sync!$L724&lt;=99991231),RIGHT("0000"&amp;INT(Sync!$L724/10000),4)&amp;"/"&amp;RIGHT("00"&amp;INT(MOD(Sync!$L724,10000)/100),2)&amp;"/"&amp;RIGHT("00"&amp;MOD(Sync!$L724,100),2),""),IFERROR(RIGHT("0000"&amp;VALUE(TRIM(LEFT(Sync!$L724,FIND("/",Sync!$L724)-1))),4)&amp;"/"&amp;RIGHT("00"&amp;VALUE(TRIM(LEFT(MID(Sync!$L724,FIND("/",Sync!$L724)+1,20),FIND("/",MID(Sync!$L724,FIND("/",Sync!$L724)+1,20))-1))),2)&amp;"/"&amp;RIGHT("00"&amp;VALUE(TRIM(MID(MID(Sync!$L724,FIND("/",Sync!$L724)+1,20),FIND("/",MID(Sync!$L724,FIND("/",Sync!$L724)+1,20))+1,20))),2),"")))</f>
        <v/>
      </c>
    </row>
    <row r="725" spans="13:14" x14ac:dyDescent="0.2">
      <c r="M725" t="str">
        <f>IF(Sync!$M725&lt;&gt;"پاس چک","",IF(Sync!$P725="","",Sync!$P725))</f>
        <v/>
      </c>
      <c r="N725" t="str">
        <f>IF($M725="","",IF(ISNUMBER(Sync!$L725),IF(AND(Sync!$L725&gt;=10000101,Sync!$L725&lt;=99991231),RIGHT("0000"&amp;INT(Sync!$L725/10000),4)&amp;"/"&amp;RIGHT("00"&amp;INT(MOD(Sync!$L725,10000)/100),2)&amp;"/"&amp;RIGHT("00"&amp;MOD(Sync!$L725,100),2),""),IFERROR(RIGHT("0000"&amp;VALUE(TRIM(LEFT(Sync!$L725,FIND("/",Sync!$L725)-1))),4)&amp;"/"&amp;RIGHT("00"&amp;VALUE(TRIM(LEFT(MID(Sync!$L725,FIND("/",Sync!$L725)+1,20),FIND("/",MID(Sync!$L725,FIND("/",Sync!$L725)+1,20))-1))),2)&amp;"/"&amp;RIGHT("00"&amp;VALUE(TRIM(MID(MID(Sync!$L725,FIND("/",Sync!$L725)+1,20),FIND("/",MID(Sync!$L725,FIND("/",Sync!$L725)+1,20))+1,20))),2),"")))</f>
        <v/>
      </c>
    </row>
    <row r="726" spans="13:14" x14ac:dyDescent="0.2">
      <c r="M726" t="str">
        <f>IF(Sync!$M726&lt;&gt;"پاس چک","",IF(Sync!$P726="","",Sync!$P726))</f>
        <v/>
      </c>
      <c r="N726" t="str">
        <f>IF($M726="","",IF(ISNUMBER(Sync!$L726),IF(AND(Sync!$L726&gt;=10000101,Sync!$L726&lt;=99991231),RIGHT("0000"&amp;INT(Sync!$L726/10000),4)&amp;"/"&amp;RIGHT("00"&amp;INT(MOD(Sync!$L726,10000)/100),2)&amp;"/"&amp;RIGHT("00"&amp;MOD(Sync!$L726,100),2),""),IFERROR(RIGHT("0000"&amp;VALUE(TRIM(LEFT(Sync!$L726,FIND("/",Sync!$L726)-1))),4)&amp;"/"&amp;RIGHT("00"&amp;VALUE(TRIM(LEFT(MID(Sync!$L726,FIND("/",Sync!$L726)+1,20),FIND("/",MID(Sync!$L726,FIND("/",Sync!$L726)+1,20))-1))),2)&amp;"/"&amp;RIGHT("00"&amp;VALUE(TRIM(MID(MID(Sync!$L726,FIND("/",Sync!$L726)+1,20),FIND("/",MID(Sync!$L726,FIND("/",Sync!$L726)+1,20))+1,20))),2),"")))</f>
        <v/>
      </c>
    </row>
    <row r="727" spans="13:14" x14ac:dyDescent="0.2">
      <c r="M727" t="str">
        <f>IF(Sync!$M727&lt;&gt;"پاس چک","",IF(Sync!$P727="","",Sync!$P727))</f>
        <v/>
      </c>
      <c r="N727" t="str">
        <f>IF($M727="","",IF(ISNUMBER(Sync!$L727),IF(AND(Sync!$L727&gt;=10000101,Sync!$L727&lt;=99991231),RIGHT("0000"&amp;INT(Sync!$L727/10000),4)&amp;"/"&amp;RIGHT("00"&amp;INT(MOD(Sync!$L727,10000)/100),2)&amp;"/"&amp;RIGHT("00"&amp;MOD(Sync!$L727,100),2),""),IFERROR(RIGHT("0000"&amp;VALUE(TRIM(LEFT(Sync!$L727,FIND("/",Sync!$L727)-1))),4)&amp;"/"&amp;RIGHT("00"&amp;VALUE(TRIM(LEFT(MID(Sync!$L727,FIND("/",Sync!$L727)+1,20),FIND("/",MID(Sync!$L727,FIND("/",Sync!$L727)+1,20))-1))),2)&amp;"/"&amp;RIGHT("00"&amp;VALUE(TRIM(MID(MID(Sync!$L727,FIND("/",Sync!$L727)+1,20),FIND("/",MID(Sync!$L727,FIND("/",Sync!$L727)+1,20))+1,20))),2),"")))</f>
        <v/>
      </c>
    </row>
    <row r="728" spans="13:14" x14ac:dyDescent="0.2">
      <c r="M728" t="str">
        <f>IF(Sync!$M728&lt;&gt;"پاس چک","",IF(Sync!$P728="","",Sync!$P728))</f>
        <v/>
      </c>
      <c r="N728" t="str">
        <f>IF($M728="","",IF(ISNUMBER(Sync!$L728),IF(AND(Sync!$L728&gt;=10000101,Sync!$L728&lt;=99991231),RIGHT("0000"&amp;INT(Sync!$L728/10000),4)&amp;"/"&amp;RIGHT("00"&amp;INT(MOD(Sync!$L728,10000)/100),2)&amp;"/"&amp;RIGHT("00"&amp;MOD(Sync!$L728,100),2),""),IFERROR(RIGHT("0000"&amp;VALUE(TRIM(LEFT(Sync!$L728,FIND("/",Sync!$L728)-1))),4)&amp;"/"&amp;RIGHT("00"&amp;VALUE(TRIM(LEFT(MID(Sync!$L728,FIND("/",Sync!$L728)+1,20),FIND("/",MID(Sync!$L728,FIND("/",Sync!$L728)+1,20))-1))),2)&amp;"/"&amp;RIGHT("00"&amp;VALUE(TRIM(MID(MID(Sync!$L728,FIND("/",Sync!$L728)+1,20),FIND("/",MID(Sync!$L728,FIND("/",Sync!$L728)+1,20))+1,20))),2),"")))</f>
        <v/>
      </c>
    </row>
    <row r="729" spans="13:14" x14ac:dyDescent="0.2">
      <c r="M729" t="str">
        <f>IF(Sync!$M729&lt;&gt;"پاس چک","",IF(Sync!$P729="","",Sync!$P729))</f>
        <v/>
      </c>
      <c r="N729" t="str">
        <f>IF($M729="","",IF(ISNUMBER(Sync!$L729),IF(AND(Sync!$L729&gt;=10000101,Sync!$L729&lt;=99991231),RIGHT("0000"&amp;INT(Sync!$L729/10000),4)&amp;"/"&amp;RIGHT("00"&amp;INT(MOD(Sync!$L729,10000)/100),2)&amp;"/"&amp;RIGHT("00"&amp;MOD(Sync!$L729,100),2),""),IFERROR(RIGHT("0000"&amp;VALUE(TRIM(LEFT(Sync!$L729,FIND("/",Sync!$L729)-1))),4)&amp;"/"&amp;RIGHT("00"&amp;VALUE(TRIM(LEFT(MID(Sync!$L729,FIND("/",Sync!$L729)+1,20),FIND("/",MID(Sync!$L729,FIND("/",Sync!$L729)+1,20))-1))),2)&amp;"/"&amp;RIGHT("00"&amp;VALUE(TRIM(MID(MID(Sync!$L729,FIND("/",Sync!$L729)+1,20),FIND("/",MID(Sync!$L729,FIND("/",Sync!$L729)+1,20))+1,20))),2),"")))</f>
        <v/>
      </c>
    </row>
    <row r="730" spans="13:14" x14ac:dyDescent="0.2">
      <c r="M730" t="str">
        <f>IF(Sync!$M730&lt;&gt;"پاس چک","",IF(Sync!$P730="","",Sync!$P730))</f>
        <v/>
      </c>
      <c r="N730" t="str">
        <f>IF($M730="","",IF(ISNUMBER(Sync!$L730),IF(AND(Sync!$L730&gt;=10000101,Sync!$L730&lt;=99991231),RIGHT("0000"&amp;INT(Sync!$L730/10000),4)&amp;"/"&amp;RIGHT("00"&amp;INT(MOD(Sync!$L730,10000)/100),2)&amp;"/"&amp;RIGHT("00"&amp;MOD(Sync!$L730,100),2),""),IFERROR(RIGHT("0000"&amp;VALUE(TRIM(LEFT(Sync!$L730,FIND("/",Sync!$L730)-1))),4)&amp;"/"&amp;RIGHT("00"&amp;VALUE(TRIM(LEFT(MID(Sync!$L730,FIND("/",Sync!$L730)+1,20),FIND("/",MID(Sync!$L730,FIND("/",Sync!$L730)+1,20))-1))),2)&amp;"/"&amp;RIGHT("00"&amp;VALUE(TRIM(MID(MID(Sync!$L730,FIND("/",Sync!$L730)+1,20),FIND("/",MID(Sync!$L730,FIND("/",Sync!$L730)+1,20))+1,20))),2),"")))</f>
        <v/>
      </c>
    </row>
    <row r="731" spans="13:14" x14ac:dyDescent="0.2">
      <c r="M731" t="str">
        <f>IF(Sync!$M731&lt;&gt;"پاس چک","",IF(Sync!$P731="","",Sync!$P731))</f>
        <v/>
      </c>
      <c r="N731" t="str">
        <f>IF($M731="","",IF(ISNUMBER(Sync!$L731),IF(AND(Sync!$L731&gt;=10000101,Sync!$L731&lt;=99991231),RIGHT("0000"&amp;INT(Sync!$L731/10000),4)&amp;"/"&amp;RIGHT("00"&amp;INT(MOD(Sync!$L731,10000)/100),2)&amp;"/"&amp;RIGHT("00"&amp;MOD(Sync!$L731,100),2),""),IFERROR(RIGHT("0000"&amp;VALUE(TRIM(LEFT(Sync!$L731,FIND("/",Sync!$L731)-1))),4)&amp;"/"&amp;RIGHT("00"&amp;VALUE(TRIM(LEFT(MID(Sync!$L731,FIND("/",Sync!$L731)+1,20),FIND("/",MID(Sync!$L731,FIND("/",Sync!$L731)+1,20))-1))),2)&amp;"/"&amp;RIGHT("00"&amp;VALUE(TRIM(MID(MID(Sync!$L731,FIND("/",Sync!$L731)+1,20),FIND("/",MID(Sync!$L731,FIND("/",Sync!$L731)+1,20))+1,20))),2),"")))</f>
        <v/>
      </c>
    </row>
    <row r="732" spans="13:14" x14ac:dyDescent="0.2">
      <c r="M732" t="str">
        <f>IF(Sync!$M732&lt;&gt;"پاس چک","",IF(Sync!$P732="","",Sync!$P732))</f>
        <v/>
      </c>
      <c r="N732" t="str">
        <f>IF($M732="","",IF(ISNUMBER(Sync!$L732),IF(AND(Sync!$L732&gt;=10000101,Sync!$L732&lt;=99991231),RIGHT("0000"&amp;INT(Sync!$L732/10000),4)&amp;"/"&amp;RIGHT("00"&amp;INT(MOD(Sync!$L732,10000)/100),2)&amp;"/"&amp;RIGHT("00"&amp;MOD(Sync!$L732,100),2),""),IFERROR(RIGHT("0000"&amp;VALUE(TRIM(LEFT(Sync!$L732,FIND("/",Sync!$L732)-1))),4)&amp;"/"&amp;RIGHT("00"&amp;VALUE(TRIM(LEFT(MID(Sync!$L732,FIND("/",Sync!$L732)+1,20),FIND("/",MID(Sync!$L732,FIND("/",Sync!$L732)+1,20))-1))),2)&amp;"/"&amp;RIGHT("00"&amp;VALUE(TRIM(MID(MID(Sync!$L732,FIND("/",Sync!$L732)+1,20),FIND("/",MID(Sync!$L732,FIND("/",Sync!$L732)+1,20))+1,20))),2),"")))</f>
        <v/>
      </c>
    </row>
    <row r="733" spans="13:14" x14ac:dyDescent="0.2">
      <c r="M733" t="str">
        <f>IF(Sync!$M733&lt;&gt;"پاس چک","",IF(Sync!$P733="","",Sync!$P733))</f>
        <v/>
      </c>
      <c r="N733" t="str">
        <f>IF($M733="","",IF(ISNUMBER(Sync!$L733),IF(AND(Sync!$L733&gt;=10000101,Sync!$L733&lt;=99991231),RIGHT("0000"&amp;INT(Sync!$L733/10000),4)&amp;"/"&amp;RIGHT("00"&amp;INT(MOD(Sync!$L733,10000)/100),2)&amp;"/"&amp;RIGHT("00"&amp;MOD(Sync!$L733,100),2),""),IFERROR(RIGHT("0000"&amp;VALUE(TRIM(LEFT(Sync!$L733,FIND("/",Sync!$L733)-1))),4)&amp;"/"&amp;RIGHT("00"&amp;VALUE(TRIM(LEFT(MID(Sync!$L733,FIND("/",Sync!$L733)+1,20),FIND("/",MID(Sync!$L733,FIND("/",Sync!$L733)+1,20))-1))),2)&amp;"/"&amp;RIGHT("00"&amp;VALUE(TRIM(MID(MID(Sync!$L733,FIND("/",Sync!$L733)+1,20),FIND("/",MID(Sync!$L733,FIND("/",Sync!$L733)+1,20))+1,20))),2),"")))</f>
        <v/>
      </c>
    </row>
    <row r="734" spans="13:14" x14ac:dyDescent="0.2">
      <c r="M734" t="str">
        <f>IF(Sync!$M734&lt;&gt;"پاس چک","",IF(Sync!$P734="","",Sync!$P734))</f>
        <v/>
      </c>
      <c r="N734" t="str">
        <f>IF($M734="","",IF(ISNUMBER(Sync!$L734),IF(AND(Sync!$L734&gt;=10000101,Sync!$L734&lt;=99991231),RIGHT("0000"&amp;INT(Sync!$L734/10000),4)&amp;"/"&amp;RIGHT("00"&amp;INT(MOD(Sync!$L734,10000)/100),2)&amp;"/"&amp;RIGHT("00"&amp;MOD(Sync!$L734,100),2),""),IFERROR(RIGHT("0000"&amp;VALUE(TRIM(LEFT(Sync!$L734,FIND("/",Sync!$L734)-1))),4)&amp;"/"&amp;RIGHT("00"&amp;VALUE(TRIM(LEFT(MID(Sync!$L734,FIND("/",Sync!$L734)+1,20),FIND("/",MID(Sync!$L734,FIND("/",Sync!$L734)+1,20))-1))),2)&amp;"/"&amp;RIGHT("00"&amp;VALUE(TRIM(MID(MID(Sync!$L734,FIND("/",Sync!$L734)+1,20),FIND("/",MID(Sync!$L734,FIND("/",Sync!$L734)+1,20))+1,20))),2),"")))</f>
        <v/>
      </c>
    </row>
    <row r="735" spans="13:14" x14ac:dyDescent="0.2">
      <c r="M735" t="str">
        <f>IF(Sync!$M735&lt;&gt;"پاس چک","",IF(Sync!$P735="","",Sync!$P735))</f>
        <v/>
      </c>
      <c r="N735" t="str">
        <f>IF($M735="","",IF(ISNUMBER(Sync!$L735),IF(AND(Sync!$L735&gt;=10000101,Sync!$L735&lt;=99991231),RIGHT("0000"&amp;INT(Sync!$L735/10000),4)&amp;"/"&amp;RIGHT("00"&amp;INT(MOD(Sync!$L735,10000)/100),2)&amp;"/"&amp;RIGHT("00"&amp;MOD(Sync!$L735,100),2),""),IFERROR(RIGHT("0000"&amp;VALUE(TRIM(LEFT(Sync!$L735,FIND("/",Sync!$L735)-1))),4)&amp;"/"&amp;RIGHT("00"&amp;VALUE(TRIM(LEFT(MID(Sync!$L735,FIND("/",Sync!$L735)+1,20),FIND("/",MID(Sync!$L735,FIND("/",Sync!$L735)+1,20))-1))),2)&amp;"/"&amp;RIGHT("00"&amp;VALUE(TRIM(MID(MID(Sync!$L735,FIND("/",Sync!$L735)+1,20),FIND("/",MID(Sync!$L735,FIND("/",Sync!$L735)+1,20))+1,20))),2),"")))</f>
        <v/>
      </c>
    </row>
    <row r="736" spans="13:14" x14ac:dyDescent="0.2">
      <c r="M736" t="str">
        <f>IF(Sync!$M736&lt;&gt;"پاس چک","",IF(Sync!$P736="","",Sync!$P736))</f>
        <v/>
      </c>
      <c r="N736" t="str">
        <f>IF($M736="","",IF(ISNUMBER(Sync!$L736),IF(AND(Sync!$L736&gt;=10000101,Sync!$L736&lt;=99991231),RIGHT("0000"&amp;INT(Sync!$L736/10000),4)&amp;"/"&amp;RIGHT("00"&amp;INT(MOD(Sync!$L736,10000)/100),2)&amp;"/"&amp;RIGHT("00"&amp;MOD(Sync!$L736,100),2),""),IFERROR(RIGHT("0000"&amp;VALUE(TRIM(LEFT(Sync!$L736,FIND("/",Sync!$L736)-1))),4)&amp;"/"&amp;RIGHT("00"&amp;VALUE(TRIM(LEFT(MID(Sync!$L736,FIND("/",Sync!$L736)+1,20),FIND("/",MID(Sync!$L736,FIND("/",Sync!$L736)+1,20))-1))),2)&amp;"/"&amp;RIGHT("00"&amp;VALUE(TRIM(MID(MID(Sync!$L736,FIND("/",Sync!$L736)+1,20),FIND("/",MID(Sync!$L736,FIND("/",Sync!$L736)+1,20))+1,20))),2),"")))</f>
        <v/>
      </c>
    </row>
    <row r="737" spans="13:14" x14ac:dyDescent="0.2">
      <c r="M737" t="str">
        <f>IF(Sync!$M737&lt;&gt;"پاس چک","",IF(Sync!$P737="","",Sync!$P737))</f>
        <v/>
      </c>
      <c r="N737" t="str">
        <f>IF($M737="","",IF(ISNUMBER(Sync!$L737),IF(AND(Sync!$L737&gt;=10000101,Sync!$L737&lt;=99991231),RIGHT("0000"&amp;INT(Sync!$L737/10000),4)&amp;"/"&amp;RIGHT("00"&amp;INT(MOD(Sync!$L737,10000)/100),2)&amp;"/"&amp;RIGHT("00"&amp;MOD(Sync!$L737,100),2),""),IFERROR(RIGHT("0000"&amp;VALUE(TRIM(LEFT(Sync!$L737,FIND("/",Sync!$L737)-1))),4)&amp;"/"&amp;RIGHT("00"&amp;VALUE(TRIM(LEFT(MID(Sync!$L737,FIND("/",Sync!$L737)+1,20),FIND("/",MID(Sync!$L737,FIND("/",Sync!$L737)+1,20))-1))),2)&amp;"/"&amp;RIGHT("00"&amp;VALUE(TRIM(MID(MID(Sync!$L737,FIND("/",Sync!$L737)+1,20),FIND("/",MID(Sync!$L737,FIND("/",Sync!$L737)+1,20))+1,20))),2),"")))</f>
        <v/>
      </c>
    </row>
    <row r="738" spans="13:14" x14ac:dyDescent="0.2">
      <c r="M738" t="str">
        <f>IF(Sync!$M738&lt;&gt;"پاس چک","",IF(Sync!$P738="","",Sync!$P738))</f>
        <v/>
      </c>
      <c r="N738" t="str">
        <f>IF($M738="","",IF(ISNUMBER(Sync!$L738),IF(AND(Sync!$L738&gt;=10000101,Sync!$L738&lt;=99991231),RIGHT("0000"&amp;INT(Sync!$L738/10000),4)&amp;"/"&amp;RIGHT("00"&amp;INT(MOD(Sync!$L738,10000)/100),2)&amp;"/"&amp;RIGHT("00"&amp;MOD(Sync!$L738,100),2),""),IFERROR(RIGHT("0000"&amp;VALUE(TRIM(LEFT(Sync!$L738,FIND("/",Sync!$L738)-1))),4)&amp;"/"&amp;RIGHT("00"&amp;VALUE(TRIM(LEFT(MID(Sync!$L738,FIND("/",Sync!$L738)+1,20),FIND("/",MID(Sync!$L738,FIND("/",Sync!$L738)+1,20))-1))),2)&amp;"/"&amp;RIGHT("00"&amp;VALUE(TRIM(MID(MID(Sync!$L738,FIND("/",Sync!$L738)+1,20),FIND("/",MID(Sync!$L738,FIND("/",Sync!$L738)+1,20))+1,20))),2),"")))</f>
        <v/>
      </c>
    </row>
    <row r="739" spans="13:14" x14ac:dyDescent="0.2">
      <c r="M739" t="str">
        <f>IF(Sync!$M739&lt;&gt;"پاس چک","",IF(Sync!$P739="","",Sync!$P739))</f>
        <v/>
      </c>
      <c r="N739" t="str">
        <f>IF($M739="","",IF(ISNUMBER(Sync!$L739),IF(AND(Sync!$L739&gt;=10000101,Sync!$L739&lt;=99991231),RIGHT("0000"&amp;INT(Sync!$L739/10000),4)&amp;"/"&amp;RIGHT("00"&amp;INT(MOD(Sync!$L739,10000)/100),2)&amp;"/"&amp;RIGHT("00"&amp;MOD(Sync!$L739,100),2),""),IFERROR(RIGHT("0000"&amp;VALUE(TRIM(LEFT(Sync!$L739,FIND("/",Sync!$L739)-1))),4)&amp;"/"&amp;RIGHT("00"&amp;VALUE(TRIM(LEFT(MID(Sync!$L739,FIND("/",Sync!$L739)+1,20),FIND("/",MID(Sync!$L739,FIND("/",Sync!$L739)+1,20))-1))),2)&amp;"/"&amp;RIGHT("00"&amp;VALUE(TRIM(MID(MID(Sync!$L739,FIND("/",Sync!$L739)+1,20),FIND("/",MID(Sync!$L739,FIND("/",Sync!$L739)+1,20))+1,20))),2),"")))</f>
        <v/>
      </c>
    </row>
    <row r="740" spans="13:14" x14ac:dyDescent="0.2">
      <c r="M740" t="str">
        <f>IF(Sync!$M740&lt;&gt;"پاس چک","",IF(Sync!$P740="","",Sync!$P740))</f>
        <v/>
      </c>
      <c r="N740" t="str">
        <f>IF($M740="","",IF(ISNUMBER(Sync!$L740),IF(AND(Sync!$L740&gt;=10000101,Sync!$L740&lt;=99991231),RIGHT("0000"&amp;INT(Sync!$L740/10000),4)&amp;"/"&amp;RIGHT("00"&amp;INT(MOD(Sync!$L740,10000)/100),2)&amp;"/"&amp;RIGHT("00"&amp;MOD(Sync!$L740,100),2),""),IFERROR(RIGHT("0000"&amp;VALUE(TRIM(LEFT(Sync!$L740,FIND("/",Sync!$L740)-1))),4)&amp;"/"&amp;RIGHT("00"&amp;VALUE(TRIM(LEFT(MID(Sync!$L740,FIND("/",Sync!$L740)+1,20),FIND("/",MID(Sync!$L740,FIND("/",Sync!$L740)+1,20))-1))),2)&amp;"/"&amp;RIGHT("00"&amp;VALUE(TRIM(MID(MID(Sync!$L740,FIND("/",Sync!$L740)+1,20),FIND("/",MID(Sync!$L740,FIND("/",Sync!$L740)+1,20))+1,20))),2),"")))</f>
        <v/>
      </c>
    </row>
    <row r="741" spans="13:14" x14ac:dyDescent="0.2">
      <c r="M741" t="str">
        <f>IF(Sync!$M741&lt;&gt;"پاس چک","",IF(Sync!$P741="","",Sync!$P741))</f>
        <v/>
      </c>
      <c r="N741" t="str">
        <f>IF($M741="","",IF(ISNUMBER(Sync!$L741),IF(AND(Sync!$L741&gt;=10000101,Sync!$L741&lt;=99991231),RIGHT("0000"&amp;INT(Sync!$L741/10000),4)&amp;"/"&amp;RIGHT("00"&amp;INT(MOD(Sync!$L741,10000)/100),2)&amp;"/"&amp;RIGHT("00"&amp;MOD(Sync!$L741,100),2),""),IFERROR(RIGHT("0000"&amp;VALUE(TRIM(LEFT(Sync!$L741,FIND("/",Sync!$L741)-1))),4)&amp;"/"&amp;RIGHT("00"&amp;VALUE(TRIM(LEFT(MID(Sync!$L741,FIND("/",Sync!$L741)+1,20),FIND("/",MID(Sync!$L741,FIND("/",Sync!$L741)+1,20))-1))),2)&amp;"/"&amp;RIGHT("00"&amp;VALUE(TRIM(MID(MID(Sync!$L741,FIND("/",Sync!$L741)+1,20),FIND("/",MID(Sync!$L741,FIND("/",Sync!$L741)+1,20))+1,20))),2),"")))</f>
        <v/>
      </c>
    </row>
    <row r="742" spans="13:14" x14ac:dyDescent="0.2">
      <c r="M742" t="str">
        <f>IF(Sync!$M742&lt;&gt;"پاس چک","",IF(Sync!$P742="","",Sync!$P742))</f>
        <v/>
      </c>
      <c r="N742" t="str">
        <f>IF($M742="","",IF(ISNUMBER(Sync!$L742),IF(AND(Sync!$L742&gt;=10000101,Sync!$L742&lt;=99991231),RIGHT("0000"&amp;INT(Sync!$L742/10000),4)&amp;"/"&amp;RIGHT("00"&amp;INT(MOD(Sync!$L742,10000)/100),2)&amp;"/"&amp;RIGHT("00"&amp;MOD(Sync!$L742,100),2),""),IFERROR(RIGHT("0000"&amp;VALUE(TRIM(LEFT(Sync!$L742,FIND("/",Sync!$L742)-1))),4)&amp;"/"&amp;RIGHT("00"&amp;VALUE(TRIM(LEFT(MID(Sync!$L742,FIND("/",Sync!$L742)+1,20),FIND("/",MID(Sync!$L742,FIND("/",Sync!$L742)+1,20))-1))),2)&amp;"/"&amp;RIGHT("00"&amp;VALUE(TRIM(MID(MID(Sync!$L742,FIND("/",Sync!$L742)+1,20),FIND("/",MID(Sync!$L742,FIND("/",Sync!$L742)+1,20))+1,20))),2),"")))</f>
        <v/>
      </c>
    </row>
    <row r="743" spans="13:14" x14ac:dyDescent="0.2">
      <c r="M743" t="str">
        <f>IF(Sync!$M743&lt;&gt;"پاس چک","",IF(Sync!$P743="","",Sync!$P743))</f>
        <v/>
      </c>
      <c r="N743" t="str">
        <f>IF($M743="","",IF(ISNUMBER(Sync!$L743),IF(AND(Sync!$L743&gt;=10000101,Sync!$L743&lt;=99991231),RIGHT("0000"&amp;INT(Sync!$L743/10000),4)&amp;"/"&amp;RIGHT("00"&amp;INT(MOD(Sync!$L743,10000)/100),2)&amp;"/"&amp;RIGHT("00"&amp;MOD(Sync!$L743,100),2),""),IFERROR(RIGHT("0000"&amp;VALUE(TRIM(LEFT(Sync!$L743,FIND("/",Sync!$L743)-1))),4)&amp;"/"&amp;RIGHT("00"&amp;VALUE(TRIM(LEFT(MID(Sync!$L743,FIND("/",Sync!$L743)+1,20),FIND("/",MID(Sync!$L743,FIND("/",Sync!$L743)+1,20))-1))),2)&amp;"/"&amp;RIGHT("00"&amp;VALUE(TRIM(MID(MID(Sync!$L743,FIND("/",Sync!$L743)+1,20),FIND("/",MID(Sync!$L743,FIND("/",Sync!$L743)+1,20))+1,20))),2),"")))</f>
        <v/>
      </c>
    </row>
    <row r="744" spans="13:14" x14ac:dyDescent="0.2">
      <c r="M744" t="str">
        <f>IF(Sync!$M744&lt;&gt;"پاس چک","",IF(Sync!$P744="","",Sync!$P744))</f>
        <v/>
      </c>
      <c r="N744" t="str">
        <f>IF($M744="","",IF(ISNUMBER(Sync!$L744),IF(AND(Sync!$L744&gt;=10000101,Sync!$L744&lt;=99991231),RIGHT("0000"&amp;INT(Sync!$L744/10000),4)&amp;"/"&amp;RIGHT("00"&amp;INT(MOD(Sync!$L744,10000)/100),2)&amp;"/"&amp;RIGHT("00"&amp;MOD(Sync!$L744,100),2),""),IFERROR(RIGHT("0000"&amp;VALUE(TRIM(LEFT(Sync!$L744,FIND("/",Sync!$L744)-1))),4)&amp;"/"&amp;RIGHT("00"&amp;VALUE(TRIM(LEFT(MID(Sync!$L744,FIND("/",Sync!$L744)+1,20),FIND("/",MID(Sync!$L744,FIND("/",Sync!$L744)+1,20))-1))),2)&amp;"/"&amp;RIGHT("00"&amp;VALUE(TRIM(MID(MID(Sync!$L744,FIND("/",Sync!$L744)+1,20),FIND("/",MID(Sync!$L744,FIND("/",Sync!$L744)+1,20))+1,20))),2),"")))</f>
        <v/>
      </c>
    </row>
    <row r="745" spans="13:14" x14ac:dyDescent="0.2">
      <c r="M745" t="str">
        <f>IF(Sync!$M745&lt;&gt;"پاس چک","",IF(Sync!$P745="","",Sync!$P745))</f>
        <v/>
      </c>
      <c r="N745" t="str">
        <f>IF($M745="","",IF(ISNUMBER(Sync!$L745),IF(AND(Sync!$L745&gt;=10000101,Sync!$L745&lt;=99991231),RIGHT("0000"&amp;INT(Sync!$L745/10000),4)&amp;"/"&amp;RIGHT("00"&amp;INT(MOD(Sync!$L745,10000)/100),2)&amp;"/"&amp;RIGHT("00"&amp;MOD(Sync!$L745,100),2),""),IFERROR(RIGHT("0000"&amp;VALUE(TRIM(LEFT(Sync!$L745,FIND("/",Sync!$L745)-1))),4)&amp;"/"&amp;RIGHT("00"&amp;VALUE(TRIM(LEFT(MID(Sync!$L745,FIND("/",Sync!$L745)+1,20),FIND("/",MID(Sync!$L745,FIND("/",Sync!$L745)+1,20))-1))),2)&amp;"/"&amp;RIGHT("00"&amp;VALUE(TRIM(MID(MID(Sync!$L745,FIND("/",Sync!$L745)+1,20),FIND("/",MID(Sync!$L745,FIND("/",Sync!$L745)+1,20))+1,20))),2),"")))</f>
        <v/>
      </c>
    </row>
    <row r="746" spans="13:14" x14ac:dyDescent="0.2">
      <c r="M746" t="str">
        <f>IF(Sync!$M746&lt;&gt;"پاس چک","",IF(Sync!$P746="","",Sync!$P746))</f>
        <v/>
      </c>
      <c r="N746" t="str">
        <f>IF($M746="","",IF(ISNUMBER(Sync!$L746),IF(AND(Sync!$L746&gt;=10000101,Sync!$L746&lt;=99991231),RIGHT("0000"&amp;INT(Sync!$L746/10000),4)&amp;"/"&amp;RIGHT("00"&amp;INT(MOD(Sync!$L746,10000)/100),2)&amp;"/"&amp;RIGHT("00"&amp;MOD(Sync!$L746,100),2),""),IFERROR(RIGHT("0000"&amp;VALUE(TRIM(LEFT(Sync!$L746,FIND("/",Sync!$L746)-1))),4)&amp;"/"&amp;RIGHT("00"&amp;VALUE(TRIM(LEFT(MID(Sync!$L746,FIND("/",Sync!$L746)+1,20),FIND("/",MID(Sync!$L746,FIND("/",Sync!$L746)+1,20))-1))),2)&amp;"/"&amp;RIGHT("00"&amp;VALUE(TRIM(MID(MID(Sync!$L746,FIND("/",Sync!$L746)+1,20),FIND("/",MID(Sync!$L746,FIND("/",Sync!$L746)+1,20))+1,20))),2),"")))</f>
        <v/>
      </c>
    </row>
    <row r="747" spans="13:14" x14ac:dyDescent="0.2">
      <c r="M747" t="str">
        <f>IF(Sync!$M747&lt;&gt;"پاس چک","",IF(Sync!$P747="","",Sync!$P747))</f>
        <v/>
      </c>
      <c r="N747" t="str">
        <f>IF($M747="","",IF(ISNUMBER(Sync!$L747),IF(AND(Sync!$L747&gt;=10000101,Sync!$L747&lt;=99991231),RIGHT("0000"&amp;INT(Sync!$L747/10000),4)&amp;"/"&amp;RIGHT("00"&amp;INT(MOD(Sync!$L747,10000)/100),2)&amp;"/"&amp;RIGHT("00"&amp;MOD(Sync!$L747,100),2),""),IFERROR(RIGHT("0000"&amp;VALUE(TRIM(LEFT(Sync!$L747,FIND("/",Sync!$L747)-1))),4)&amp;"/"&amp;RIGHT("00"&amp;VALUE(TRIM(LEFT(MID(Sync!$L747,FIND("/",Sync!$L747)+1,20),FIND("/",MID(Sync!$L747,FIND("/",Sync!$L747)+1,20))-1))),2)&amp;"/"&amp;RIGHT("00"&amp;VALUE(TRIM(MID(MID(Sync!$L747,FIND("/",Sync!$L747)+1,20),FIND("/",MID(Sync!$L747,FIND("/",Sync!$L747)+1,20))+1,20))),2),"")))</f>
        <v/>
      </c>
    </row>
    <row r="748" spans="13:14" x14ac:dyDescent="0.2">
      <c r="M748" t="str">
        <f>IF(Sync!$M748&lt;&gt;"پاس چک","",IF(Sync!$P748="","",Sync!$P748))</f>
        <v/>
      </c>
      <c r="N748" t="str">
        <f>IF($M748="","",IF(ISNUMBER(Sync!$L748),IF(AND(Sync!$L748&gt;=10000101,Sync!$L748&lt;=99991231),RIGHT("0000"&amp;INT(Sync!$L748/10000),4)&amp;"/"&amp;RIGHT("00"&amp;INT(MOD(Sync!$L748,10000)/100),2)&amp;"/"&amp;RIGHT("00"&amp;MOD(Sync!$L748,100),2),""),IFERROR(RIGHT("0000"&amp;VALUE(TRIM(LEFT(Sync!$L748,FIND("/",Sync!$L748)-1))),4)&amp;"/"&amp;RIGHT("00"&amp;VALUE(TRIM(LEFT(MID(Sync!$L748,FIND("/",Sync!$L748)+1,20),FIND("/",MID(Sync!$L748,FIND("/",Sync!$L748)+1,20))-1))),2)&amp;"/"&amp;RIGHT("00"&amp;VALUE(TRIM(MID(MID(Sync!$L748,FIND("/",Sync!$L748)+1,20),FIND("/",MID(Sync!$L748,FIND("/",Sync!$L748)+1,20))+1,20))),2),"")))</f>
        <v/>
      </c>
    </row>
    <row r="749" spans="13:14" x14ac:dyDescent="0.2">
      <c r="M749" t="str">
        <f>IF(Sync!$M749&lt;&gt;"پاس چک","",IF(Sync!$P749="","",Sync!$P749))</f>
        <v/>
      </c>
      <c r="N749" t="str">
        <f>IF($M749="","",IF(ISNUMBER(Sync!$L749),IF(AND(Sync!$L749&gt;=10000101,Sync!$L749&lt;=99991231),RIGHT("0000"&amp;INT(Sync!$L749/10000),4)&amp;"/"&amp;RIGHT("00"&amp;INT(MOD(Sync!$L749,10000)/100),2)&amp;"/"&amp;RIGHT("00"&amp;MOD(Sync!$L749,100),2),""),IFERROR(RIGHT("0000"&amp;VALUE(TRIM(LEFT(Sync!$L749,FIND("/",Sync!$L749)-1))),4)&amp;"/"&amp;RIGHT("00"&amp;VALUE(TRIM(LEFT(MID(Sync!$L749,FIND("/",Sync!$L749)+1,20),FIND("/",MID(Sync!$L749,FIND("/",Sync!$L749)+1,20))-1))),2)&amp;"/"&amp;RIGHT("00"&amp;VALUE(TRIM(MID(MID(Sync!$L749,FIND("/",Sync!$L749)+1,20),FIND("/",MID(Sync!$L749,FIND("/",Sync!$L749)+1,20))+1,20))),2),"")))</f>
        <v/>
      </c>
    </row>
    <row r="750" spans="13:14" x14ac:dyDescent="0.2">
      <c r="M750" t="str">
        <f>IF(Sync!$M750&lt;&gt;"پاس چک","",IF(Sync!$P750="","",Sync!$P750))</f>
        <v/>
      </c>
      <c r="N750" t="str">
        <f>IF($M750="","",IF(ISNUMBER(Sync!$L750),IF(AND(Sync!$L750&gt;=10000101,Sync!$L750&lt;=99991231),RIGHT("0000"&amp;INT(Sync!$L750/10000),4)&amp;"/"&amp;RIGHT("00"&amp;INT(MOD(Sync!$L750,10000)/100),2)&amp;"/"&amp;RIGHT("00"&amp;MOD(Sync!$L750,100),2),""),IFERROR(RIGHT("0000"&amp;VALUE(TRIM(LEFT(Sync!$L750,FIND("/",Sync!$L750)-1))),4)&amp;"/"&amp;RIGHT("00"&amp;VALUE(TRIM(LEFT(MID(Sync!$L750,FIND("/",Sync!$L750)+1,20),FIND("/",MID(Sync!$L750,FIND("/",Sync!$L750)+1,20))-1))),2)&amp;"/"&amp;RIGHT("00"&amp;VALUE(TRIM(MID(MID(Sync!$L750,FIND("/",Sync!$L750)+1,20),FIND("/",MID(Sync!$L750,FIND("/",Sync!$L750)+1,20))+1,20))),2),"")))</f>
        <v/>
      </c>
    </row>
    <row r="751" spans="13:14" x14ac:dyDescent="0.2">
      <c r="M751" t="str">
        <f>IF(Sync!$M751&lt;&gt;"پاس چک","",IF(Sync!$P751="","",Sync!$P751))</f>
        <v/>
      </c>
      <c r="N751" t="str">
        <f>IF($M751="","",IF(ISNUMBER(Sync!$L751),IF(AND(Sync!$L751&gt;=10000101,Sync!$L751&lt;=99991231),RIGHT("0000"&amp;INT(Sync!$L751/10000),4)&amp;"/"&amp;RIGHT("00"&amp;INT(MOD(Sync!$L751,10000)/100),2)&amp;"/"&amp;RIGHT("00"&amp;MOD(Sync!$L751,100),2),""),IFERROR(RIGHT("0000"&amp;VALUE(TRIM(LEFT(Sync!$L751,FIND("/",Sync!$L751)-1))),4)&amp;"/"&amp;RIGHT("00"&amp;VALUE(TRIM(LEFT(MID(Sync!$L751,FIND("/",Sync!$L751)+1,20),FIND("/",MID(Sync!$L751,FIND("/",Sync!$L751)+1,20))-1))),2)&amp;"/"&amp;RIGHT("00"&amp;VALUE(TRIM(MID(MID(Sync!$L751,FIND("/",Sync!$L751)+1,20),FIND("/",MID(Sync!$L751,FIND("/",Sync!$L751)+1,20))+1,20))),2),"")))</f>
        <v/>
      </c>
    </row>
    <row r="752" spans="13:14" x14ac:dyDescent="0.2">
      <c r="M752" t="str">
        <f>IF(Sync!$M752&lt;&gt;"پاس چک","",IF(Sync!$P752="","",Sync!$P752))</f>
        <v/>
      </c>
      <c r="N752" t="str">
        <f>IF($M752="","",IF(ISNUMBER(Sync!$L752),IF(AND(Sync!$L752&gt;=10000101,Sync!$L752&lt;=99991231),RIGHT("0000"&amp;INT(Sync!$L752/10000),4)&amp;"/"&amp;RIGHT("00"&amp;INT(MOD(Sync!$L752,10000)/100),2)&amp;"/"&amp;RIGHT("00"&amp;MOD(Sync!$L752,100),2),""),IFERROR(RIGHT("0000"&amp;VALUE(TRIM(LEFT(Sync!$L752,FIND("/",Sync!$L752)-1))),4)&amp;"/"&amp;RIGHT("00"&amp;VALUE(TRIM(LEFT(MID(Sync!$L752,FIND("/",Sync!$L752)+1,20),FIND("/",MID(Sync!$L752,FIND("/",Sync!$L752)+1,20))-1))),2)&amp;"/"&amp;RIGHT("00"&amp;VALUE(TRIM(MID(MID(Sync!$L752,FIND("/",Sync!$L752)+1,20),FIND("/",MID(Sync!$L752,FIND("/",Sync!$L752)+1,20))+1,20))),2),"")))</f>
        <v/>
      </c>
    </row>
    <row r="753" spans="13:14" x14ac:dyDescent="0.2">
      <c r="M753" t="str">
        <f>IF(Sync!$M753&lt;&gt;"پاس چک","",IF(Sync!$P753="","",Sync!$P753))</f>
        <v/>
      </c>
      <c r="N753" t="str">
        <f>IF($M753="","",IF(ISNUMBER(Sync!$L753),IF(AND(Sync!$L753&gt;=10000101,Sync!$L753&lt;=99991231),RIGHT("0000"&amp;INT(Sync!$L753/10000),4)&amp;"/"&amp;RIGHT("00"&amp;INT(MOD(Sync!$L753,10000)/100),2)&amp;"/"&amp;RIGHT("00"&amp;MOD(Sync!$L753,100),2),""),IFERROR(RIGHT("0000"&amp;VALUE(TRIM(LEFT(Sync!$L753,FIND("/",Sync!$L753)-1))),4)&amp;"/"&amp;RIGHT("00"&amp;VALUE(TRIM(LEFT(MID(Sync!$L753,FIND("/",Sync!$L753)+1,20),FIND("/",MID(Sync!$L753,FIND("/",Sync!$L753)+1,20))-1))),2)&amp;"/"&amp;RIGHT("00"&amp;VALUE(TRIM(MID(MID(Sync!$L753,FIND("/",Sync!$L753)+1,20),FIND("/",MID(Sync!$L753,FIND("/",Sync!$L753)+1,20))+1,20))),2),"")))</f>
        <v/>
      </c>
    </row>
    <row r="754" spans="13:14" x14ac:dyDescent="0.2">
      <c r="M754" t="str">
        <f>IF(Sync!$M754&lt;&gt;"پاس چک","",IF(Sync!$P754="","",Sync!$P754))</f>
        <v/>
      </c>
      <c r="N754" t="str">
        <f>IF($M754="","",IF(ISNUMBER(Sync!$L754),IF(AND(Sync!$L754&gt;=10000101,Sync!$L754&lt;=99991231),RIGHT("0000"&amp;INT(Sync!$L754/10000),4)&amp;"/"&amp;RIGHT("00"&amp;INT(MOD(Sync!$L754,10000)/100),2)&amp;"/"&amp;RIGHT("00"&amp;MOD(Sync!$L754,100),2),""),IFERROR(RIGHT("0000"&amp;VALUE(TRIM(LEFT(Sync!$L754,FIND("/",Sync!$L754)-1))),4)&amp;"/"&amp;RIGHT("00"&amp;VALUE(TRIM(LEFT(MID(Sync!$L754,FIND("/",Sync!$L754)+1,20),FIND("/",MID(Sync!$L754,FIND("/",Sync!$L754)+1,20))-1))),2)&amp;"/"&amp;RIGHT("00"&amp;VALUE(TRIM(MID(MID(Sync!$L754,FIND("/",Sync!$L754)+1,20),FIND("/",MID(Sync!$L754,FIND("/",Sync!$L754)+1,20))+1,20))),2),"")))</f>
        <v/>
      </c>
    </row>
    <row r="755" spans="13:14" x14ac:dyDescent="0.2">
      <c r="M755" t="str">
        <f>IF(Sync!$M755&lt;&gt;"پاس چک","",IF(Sync!$P755="","",Sync!$P755))</f>
        <v/>
      </c>
      <c r="N755" t="str">
        <f>IF($M755="","",IF(ISNUMBER(Sync!$L755),IF(AND(Sync!$L755&gt;=10000101,Sync!$L755&lt;=99991231),RIGHT("0000"&amp;INT(Sync!$L755/10000),4)&amp;"/"&amp;RIGHT("00"&amp;INT(MOD(Sync!$L755,10000)/100),2)&amp;"/"&amp;RIGHT("00"&amp;MOD(Sync!$L755,100),2),""),IFERROR(RIGHT("0000"&amp;VALUE(TRIM(LEFT(Sync!$L755,FIND("/",Sync!$L755)-1))),4)&amp;"/"&amp;RIGHT("00"&amp;VALUE(TRIM(LEFT(MID(Sync!$L755,FIND("/",Sync!$L755)+1,20),FIND("/",MID(Sync!$L755,FIND("/",Sync!$L755)+1,20))-1))),2)&amp;"/"&amp;RIGHT("00"&amp;VALUE(TRIM(MID(MID(Sync!$L755,FIND("/",Sync!$L755)+1,20),FIND("/",MID(Sync!$L755,FIND("/",Sync!$L755)+1,20))+1,20))),2),"")))</f>
        <v/>
      </c>
    </row>
    <row r="756" spans="13:14" x14ac:dyDescent="0.2">
      <c r="M756" t="str">
        <f>IF(Sync!$M756&lt;&gt;"پاس چک","",IF(Sync!$P756="","",Sync!$P756))</f>
        <v/>
      </c>
      <c r="N756" t="str">
        <f>IF($M756="","",IF(ISNUMBER(Sync!$L756),IF(AND(Sync!$L756&gt;=10000101,Sync!$L756&lt;=99991231),RIGHT("0000"&amp;INT(Sync!$L756/10000),4)&amp;"/"&amp;RIGHT("00"&amp;INT(MOD(Sync!$L756,10000)/100),2)&amp;"/"&amp;RIGHT("00"&amp;MOD(Sync!$L756,100),2),""),IFERROR(RIGHT("0000"&amp;VALUE(TRIM(LEFT(Sync!$L756,FIND("/",Sync!$L756)-1))),4)&amp;"/"&amp;RIGHT("00"&amp;VALUE(TRIM(LEFT(MID(Sync!$L756,FIND("/",Sync!$L756)+1,20),FIND("/",MID(Sync!$L756,FIND("/",Sync!$L756)+1,20))-1))),2)&amp;"/"&amp;RIGHT("00"&amp;VALUE(TRIM(MID(MID(Sync!$L756,FIND("/",Sync!$L756)+1,20),FIND("/",MID(Sync!$L756,FIND("/",Sync!$L756)+1,20))+1,20))),2),"")))</f>
        <v/>
      </c>
    </row>
    <row r="757" spans="13:14" x14ac:dyDescent="0.2">
      <c r="M757" t="str">
        <f>IF(Sync!$M757&lt;&gt;"پاس چک","",IF(Sync!$P757="","",Sync!$P757))</f>
        <v/>
      </c>
      <c r="N757" t="str">
        <f>IF($M757="","",IF(ISNUMBER(Sync!$L757),IF(AND(Sync!$L757&gt;=10000101,Sync!$L757&lt;=99991231),RIGHT("0000"&amp;INT(Sync!$L757/10000),4)&amp;"/"&amp;RIGHT("00"&amp;INT(MOD(Sync!$L757,10000)/100),2)&amp;"/"&amp;RIGHT("00"&amp;MOD(Sync!$L757,100),2),""),IFERROR(RIGHT("0000"&amp;VALUE(TRIM(LEFT(Sync!$L757,FIND("/",Sync!$L757)-1))),4)&amp;"/"&amp;RIGHT("00"&amp;VALUE(TRIM(LEFT(MID(Sync!$L757,FIND("/",Sync!$L757)+1,20),FIND("/",MID(Sync!$L757,FIND("/",Sync!$L757)+1,20))-1))),2)&amp;"/"&amp;RIGHT("00"&amp;VALUE(TRIM(MID(MID(Sync!$L757,FIND("/",Sync!$L757)+1,20),FIND("/",MID(Sync!$L757,FIND("/",Sync!$L757)+1,20))+1,20))),2),"")))</f>
        <v/>
      </c>
    </row>
    <row r="758" spans="13:14" x14ac:dyDescent="0.2">
      <c r="M758" t="str">
        <f>IF(Sync!$M758&lt;&gt;"پاس چک","",IF(Sync!$P758="","",Sync!$P758))</f>
        <v/>
      </c>
      <c r="N758" t="str">
        <f>IF($M758="","",IF(ISNUMBER(Sync!$L758),IF(AND(Sync!$L758&gt;=10000101,Sync!$L758&lt;=99991231),RIGHT("0000"&amp;INT(Sync!$L758/10000),4)&amp;"/"&amp;RIGHT("00"&amp;INT(MOD(Sync!$L758,10000)/100),2)&amp;"/"&amp;RIGHT("00"&amp;MOD(Sync!$L758,100),2),""),IFERROR(RIGHT("0000"&amp;VALUE(TRIM(LEFT(Sync!$L758,FIND("/",Sync!$L758)-1))),4)&amp;"/"&amp;RIGHT("00"&amp;VALUE(TRIM(LEFT(MID(Sync!$L758,FIND("/",Sync!$L758)+1,20),FIND("/",MID(Sync!$L758,FIND("/",Sync!$L758)+1,20))-1))),2)&amp;"/"&amp;RIGHT("00"&amp;VALUE(TRIM(MID(MID(Sync!$L758,FIND("/",Sync!$L758)+1,20),FIND("/",MID(Sync!$L758,FIND("/",Sync!$L758)+1,20))+1,20))),2),"")))</f>
        <v/>
      </c>
    </row>
    <row r="759" spans="13:14" x14ac:dyDescent="0.2">
      <c r="M759" t="str">
        <f>IF(Sync!$M759&lt;&gt;"پاس چک","",IF(Sync!$P759="","",Sync!$P759))</f>
        <v/>
      </c>
      <c r="N759" t="str">
        <f>IF($M759="","",IF(ISNUMBER(Sync!$L759),IF(AND(Sync!$L759&gt;=10000101,Sync!$L759&lt;=99991231),RIGHT("0000"&amp;INT(Sync!$L759/10000),4)&amp;"/"&amp;RIGHT("00"&amp;INT(MOD(Sync!$L759,10000)/100),2)&amp;"/"&amp;RIGHT("00"&amp;MOD(Sync!$L759,100),2),""),IFERROR(RIGHT("0000"&amp;VALUE(TRIM(LEFT(Sync!$L759,FIND("/",Sync!$L759)-1))),4)&amp;"/"&amp;RIGHT("00"&amp;VALUE(TRIM(LEFT(MID(Sync!$L759,FIND("/",Sync!$L759)+1,20),FIND("/",MID(Sync!$L759,FIND("/",Sync!$L759)+1,20))-1))),2)&amp;"/"&amp;RIGHT("00"&amp;VALUE(TRIM(MID(MID(Sync!$L759,FIND("/",Sync!$L759)+1,20),FIND("/",MID(Sync!$L759,FIND("/",Sync!$L759)+1,20))+1,20))),2),"")))</f>
        <v/>
      </c>
    </row>
    <row r="760" spans="13:14" x14ac:dyDescent="0.2">
      <c r="M760" t="str">
        <f>IF(Sync!$M760&lt;&gt;"پاس چک","",IF(Sync!$P760="","",Sync!$P760))</f>
        <v/>
      </c>
      <c r="N760" t="str">
        <f>IF($M760="","",IF(ISNUMBER(Sync!$L760),IF(AND(Sync!$L760&gt;=10000101,Sync!$L760&lt;=99991231),RIGHT("0000"&amp;INT(Sync!$L760/10000),4)&amp;"/"&amp;RIGHT("00"&amp;INT(MOD(Sync!$L760,10000)/100),2)&amp;"/"&amp;RIGHT("00"&amp;MOD(Sync!$L760,100),2),""),IFERROR(RIGHT("0000"&amp;VALUE(TRIM(LEFT(Sync!$L760,FIND("/",Sync!$L760)-1))),4)&amp;"/"&amp;RIGHT("00"&amp;VALUE(TRIM(LEFT(MID(Sync!$L760,FIND("/",Sync!$L760)+1,20),FIND("/",MID(Sync!$L760,FIND("/",Sync!$L760)+1,20))-1))),2)&amp;"/"&amp;RIGHT("00"&amp;VALUE(TRIM(MID(MID(Sync!$L760,FIND("/",Sync!$L760)+1,20),FIND("/",MID(Sync!$L760,FIND("/",Sync!$L760)+1,20))+1,20))),2),"")))</f>
        <v/>
      </c>
    </row>
    <row r="761" spans="13:14" x14ac:dyDescent="0.2">
      <c r="M761" t="str">
        <f>IF(Sync!$M761&lt;&gt;"پاس چک","",IF(Sync!$P761="","",Sync!$P761))</f>
        <v/>
      </c>
      <c r="N761" t="str">
        <f>IF($M761="","",IF(ISNUMBER(Sync!$L761),IF(AND(Sync!$L761&gt;=10000101,Sync!$L761&lt;=99991231),RIGHT("0000"&amp;INT(Sync!$L761/10000),4)&amp;"/"&amp;RIGHT("00"&amp;INT(MOD(Sync!$L761,10000)/100),2)&amp;"/"&amp;RIGHT("00"&amp;MOD(Sync!$L761,100),2),""),IFERROR(RIGHT("0000"&amp;VALUE(TRIM(LEFT(Sync!$L761,FIND("/",Sync!$L761)-1))),4)&amp;"/"&amp;RIGHT("00"&amp;VALUE(TRIM(LEFT(MID(Sync!$L761,FIND("/",Sync!$L761)+1,20),FIND("/",MID(Sync!$L761,FIND("/",Sync!$L761)+1,20))-1))),2)&amp;"/"&amp;RIGHT("00"&amp;VALUE(TRIM(MID(MID(Sync!$L761,FIND("/",Sync!$L761)+1,20),FIND("/",MID(Sync!$L761,FIND("/",Sync!$L761)+1,20))+1,20))),2),"")))</f>
        <v/>
      </c>
    </row>
    <row r="762" spans="13:14" x14ac:dyDescent="0.2">
      <c r="M762" t="str">
        <f>IF(Sync!$M762&lt;&gt;"پاس چک","",IF(Sync!$P762="","",Sync!$P762))</f>
        <v/>
      </c>
      <c r="N762" t="str">
        <f>IF($M762="","",IF(ISNUMBER(Sync!$L762),IF(AND(Sync!$L762&gt;=10000101,Sync!$L762&lt;=99991231),RIGHT("0000"&amp;INT(Sync!$L762/10000),4)&amp;"/"&amp;RIGHT("00"&amp;INT(MOD(Sync!$L762,10000)/100),2)&amp;"/"&amp;RIGHT("00"&amp;MOD(Sync!$L762,100),2),""),IFERROR(RIGHT("0000"&amp;VALUE(TRIM(LEFT(Sync!$L762,FIND("/",Sync!$L762)-1))),4)&amp;"/"&amp;RIGHT("00"&amp;VALUE(TRIM(LEFT(MID(Sync!$L762,FIND("/",Sync!$L762)+1,20),FIND("/",MID(Sync!$L762,FIND("/",Sync!$L762)+1,20))-1))),2)&amp;"/"&amp;RIGHT("00"&amp;VALUE(TRIM(MID(MID(Sync!$L762,FIND("/",Sync!$L762)+1,20),FIND("/",MID(Sync!$L762,FIND("/",Sync!$L762)+1,20))+1,20))),2),"")))</f>
        <v/>
      </c>
    </row>
    <row r="763" spans="13:14" x14ac:dyDescent="0.2">
      <c r="M763" t="str">
        <f>IF(Sync!$M763&lt;&gt;"پاس چک","",IF(Sync!$P763="","",Sync!$P763))</f>
        <v/>
      </c>
      <c r="N763" t="str">
        <f>IF($M763="","",IF(ISNUMBER(Sync!$L763),IF(AND(Sync!$L763&gt;=10000101,Sync!$L763&lt;=99991231),RIGHT("0000"&amp;INT(Sync!$L763/10000),4)&amp;"/"&amp;RIGHT("00"&amp;INT(MOD(Sync!$L763,10000)/100),2)&amp;"/"&amp;RIGHT("00"&amp;MOD(Sync!$L763,100),2),""),IFERROR(RIGHT("0000"&amp;VALUE(TRIM(LEFT(Sync!$L763,FIND("/",Sync!$L763)-1))),4)&amp;"/"&amp;RIGHT("00"&amp;VALUE(TRIM(LEFT(MID(Sync!$L763,FIND("/",Sync!$L763)+1,20),FIND("/",MID(Sync!$L763,FIND("/",Sync!$L763)+1,20))-1))),2)&amp;"/"&amp;RIGHT("00"&amp;VALUE(TRIM(MID(MID(Sync!$L763,FIND("/",Sync!$L763)+1,20),FIND("/",MID(Sync!$L763,FIND("/",Sync!$L763)+1,20))+1,20))),2),"")))</f>
        <v/>
      </c>
    </row>
    <row r="764" spans="13:14" x14ac:dyDescent="0.2">
      <c r="M764" t="str">
        <f>IF(Sync!$M764&lt;&gt;"پاس چک","",IF(Sync!$P764="","",Sync!$P764))</f>
        <v/>
      </c>
      <c r="N764" t="str">
        <f>IF($M764="","",IF(ISNUMBER(Sync!$L764),IF(AND(Sync!$L764&gt;=10000101,Sync!$L764&lt;=99991231),RIGHT("0000"&amp;INT(Sync!$L764/10000),4)&amp;"/"&amp;RIGHT("00"&amp;INT(MOD(Sync!$L764,10000)/100),2)&amp;"/"&amp;RIGHT("00"&amp;MOD(Sync!$L764,100),2),""),IFERROR(RIGHT("0000"&amp;VALUE(TRIM(LEFT(Sync!$L764,FIND("/",Sync!$L764)-1))),4)&amp;"/"&amp;RIGHT("00"&amp;VALUE(TRIM(LEFT(MID(Sync!$L764,FIND("/",Sync!$L764)+1,20),FIND("/",MID(Sync!$L764,FIND("/",Sync!$L764)+1,20))-1))),2)&amp;"/"&amp;RIGHT("00"&amp;VALUE(TRIM(MID(MID(Sync!$L764,FIND("/",Sync!$L764)+1,20),FIND("/",MID(Sync!$L764,FIND("/",Sync!$L764)+1,20))+1,20))),2),"")))</f>
        <v/>
      </c>
    </row>
    <row r="765" spans="13:14" x14ac:dyDescent="0.2">
      <c r="M765" t="str">
        <f>IF(Sync!$M765&lt;&gt;"پاس چک","",IF(Sync!$P765="","",Sync!$P765))</f>
        <v/>
      </c>
      <c r="N765" t="str">
        <f>IF($M765="","",IF(ISNUMBER(Sync!$L765),IF(AND(Sync!$L765&gt;=10000101,Sync!$L765&lt;=99991231),RIGHT("0000"&amp;INT(Sync!$L765/10000),4)&amp;"/"&amp;RIGHT("00"&amp;INT(MOD(Sync!$L765,10000)/100),2)&amp;"/"&amp;RIGHT("00"&amp;MOD(Sync!$L765,100),2),""),IFERROR(RIGHT("0000"&amp;VALUE(TRIM(LEFT(Sync!$L765,FIND("/",Sync!$L765)-1))),4)&amp;"/"&amp;RIGHT("00"&amp;VALUE(TRIM(LEFT(MID(Sync!$L765,FIND("/",Sync!$L765)+1,20),FIND("/",MID(Sync!$L765,FIND("/",Sync!$L765)+1,20))-1))),2)&amp;"/"&amp;RIGHT("00"&amp;VALUE(TRIM(MID(MID(Sync!$L765,FIND("/",Sync!$L765)+1,20),FIND("/",MID(Sync!$L765,FIND("/",Sync!$L765)+1,20))+1,20))),2),"")))</f>
        <v/>
      </c>
    </row>
    <row r="766" spans="13:14" x14ac:dyDescent="0.2">
      <c r="M766" t="str">
        <f>IF(Sync!$M766&lt;&gt;"پاس چک","",IF(Sync!$P766="","",Sync!$P766))</f>
        <v/>
      </c>
      <c r="N766" t="str">
        <f>IF($M766="","",IF(ISNUMBER(Sync!$L766),IF(AND(Sync!$L766&gt;=10000101,Sync!$L766&lt;=99991231),RIGHT("0000"&amp;INT(Sync!$L766/10000),4)&amp;"/"&amp;RIGHT("00"&amp;INT(MOD(Sync!$L766,10000)/100),2)&amp;"/"&amp;RIGHT("00"&amp;MOD(Sync!$L766,100),2),""),IFERROR(RIGHT("0000"&amp;VALUE(TRIM(LEFT(Sync!$L766,FIND("/",Sync!$L766)-1))),4)&amp;"/"&amp;RIGHT("00"&amp;VALUE(TRIM(LEFT(MID(Sync!$L766,FIND("/",Sync!$L766)+1,20),FIND("/",MID(Sync!$L766,FIND("/",Sync!$L766)+1,20))-1))),2)&amp;"/"&amp;RIGHT("00"&amp;VALUE(TRIM(MID(MID(Sync!$L766,FIND("/",Sync!$L766)+1,20),FIND("/",MID(Sync!$L766,FIND("/",Sync!$L766)+1,20))+1,20))),2),"")))</f>
        <v/>
      </c>
    </row>
    <row r="767" spans="13:14" x14ac:dyDescent="0.2">
      <c r="M767" t="str">
        <f>IF(Sync!$M767&lt;&gt;"پاس چک","",IF(Sync!$P767="","",Sync!$P767))</f>
        <v/>
      </c>
      <c r="N767" t="str">
        <f>IF($M767="","",IF(ISNUMBER(Sync!$L767),IF(AND(Sync!$L767&gt;=10000101,Sync!$L767&lt;=99991231),RIGHT("0000"&amp;INT(Sync!$L767/10000),4)&amp;"/"&amp;RIGHT("00"&amp;INT(MOD(Sync!$L767,10000)/100),2)&amp;"/"&amp;RIGHT("00"&amp;MOD(Sync!$L767,100),2),""),IFERROR(RIGHT("0000"&amp;VALUE(TRIM(LEFT(Sync!$L767,FIND("/",Sync!$L767)-1))),4)&amp;"/"&amp;RIGHT("00"&amp;VALUE(TRIM(LEFT(MID(Sync!$L767,FIND("/",Sync!$L767)+1,20),FIND("/",MID(Sync!$L767,FIND("/",Sync!$L767)+1,20))-1))),2)&amp;"/"&amp;RIGHT("00"&amp;VALUE(TRIM(MID(MID(Sync!$L767,FIND("/",Sync!$L767)+1,20),FIND("/",MID(Sync!$L767,FIND("/",Sync!$L767)+1,20))+1,20))),2),"")))</f>
        <v/>
      </c>
    </row>
    <row r="768" spans="13:14" x14ac:dyDescent="0.2">
      <c r="M768" t="str">
        <f>IF(Sync!$M768&lt;&gt;"پاس چک","",IF(Sync!$P768="","",Sync!$P768))</f>
        <v/>
      </c>
      <c r="N768" t="str">
        <f>IF($M768="","",IF(ISNUMBER(Sync!$L768),IF(AND(Sync!$L768&gt;=10000101,Sync!$L768&lt;=99991231),RIGHT("0000"&amp;INT(Sync!$L768/10000),4)&amp;"/"&amp;RIGHT("00"&amp;INT(MOD(Sync!$L768,10000)/100),2)&amp;"/"&amp;RIGHT("00"&amp;MOD(Sync!$L768,100),2),""),IFERROR(RIGHT("0000"&amp;VALUE(TRIM(LEFT(Sync!$L768,FIND("/",Sync!$L768)-1))),4)&amp;"/"&amp;RIGHT("00"&amp;VALUE(TRIM(LEFT(MID(Sync!$L768,FIND("/",Sync!$L768)+1,20),FIND("/",MID(Sync!$L768,FIND("/",Sync!$L768)+1,20))-1))),2)&amp;"/"&amp;RIGHT("00"&amp;VALUE(TRIM(MID(MID(Sync!$L768,FIND("/",Sync!$L768)+1,20),FIND("/",MID(Sync!$L768,FIND("/",Sync!$L768)+1,20))+1,20))),2),"")))</f>
        <v/>
      </c>
    </row>
    <row r="769" spans="13:14" x14ac:dyDescent="0.2">
      <c r="M769" t="str">
        <f>IF(Sync!$M769&lt;&gt;"پاس چک","",IF(Sync!$P769="","",Sync!$P769))</f>
        <v/>
      </c>
      <c r="N769" t="str">
        <f>IF($M769="","",IF(ISNUMBER(Sync!$L769),IF(AND(Sync!$L769&gt;=10000101,Sync!$L769&lt;=99991231),RIGHT("0000"&amp;INT(Sync!$L769/10000),4)&amp;"/"&amp;RIGHT("00"&amp;INT(MOD(Sync!$L769,10000)/100),2)&amp;"/"&amp;RIGHT("00"&amp;MOD(Sync!$L769,100),2),""),IFERROR(RIGHT("0000"&amp;VALUE(TRIM(LEFT(Sync!$L769,FIND("/",Sync!$L769)-1))),4)&amp;"/"&amp;RIGHT("00"&amp;VALUE(TRIM(LEFT(MID(Sync!$L769,FIND("/",Sync!$L769)+1,20),FIND("/",MID(Sync!$L769,FIND("/",Sync!$L769)+1,20))-1))),2)&amp;"/"&amp;RIGHT("00"&amp;VALUE(TRIM(MID(MID(Sync!$L769,FIND("/",Sync!$L769)+1,20),FIND("/",MID(Sync!$L769,FIND("/",Sync!$L769)+1,20))+1,20))),2),"")))</f>
        <v/>
      </c>
    </row>
    <row r="770" spans="13:14" x14ac:dyDescent="0.2">
      <c r="M770" t="str">
        <f>IF(Sync!$M770&lt;&gt;"پاس چک","",IF(Sync!$P770="","",Sync!$P770))</f>
        <v/>
      </c>
      <c r="N770" t="str">
        <f>IF($M770="","",IF(ISNUMBER(Sync!$L770),IF(AND(Sync!$L770&gt;=10000101,Sync!$L770&lt;=99991231),RIGHT("0000"&amp;INT(Sync!$L770/10000),4)&amp;"/"&amp;RIGHT("00"&amp;INT(MOD(Sync!$L770,10000)/100),2)&amp;"/"&amp;RIGHT("00"&amp;MOD(Sync!$L770,100),2),""),IFERROR(RIGHT("0000"&amp;VALUE(TRIM(LEFT(Sync!$L770,FIND("/",Sync!$L770)-1))),4)&amp;"/"&amp;RIGHT("00"&amp;VALUE(TRIM(LEFT(MID(Sync!$L770,FIND("/",Sync!$L770)+1,20),FIND("/",MID(Sync!$L770,FIND("/",Sync!$L770)+1,20))-1))),2)&amp;"/"&amp;RIGHT("00"&amp;VALUE(TRIM(MID(MID(Sync!$L770,FIND("/",Sync!$L770)+1,20),FIND("/",MID(Sync!$L770,FIND("/",Sync!$L770)+1,20))+1,20))),2),"")))</f>
        <v/>
      </c>
    </row>
    <row r="771" spans="13:14" x14ac:dyDescent="0.2">
      <c r="M771" t="str">
        <f>IF(Sync!$M771&lt;&gt;"پاس چک","",IF(Sync!$P771="","",Sync!$P771))</f>
        <v/>
      </c>
      <c r="N771" t="str">
        <f>IF($M771="","",IF(ISNUMBER(Sync!$L771),IF(AND(Sync!$L771&gt;=10000101,Sync!$L771&lt;=99991231),RIGHT("0000"&amp;INT(Sync!$L771/10000),4)&amp;"/"&amp;RIGHT("00"&amp;INT(MOD(Sync!$L771,10000)/100),2)&amp;"/"&amp;RIGHT("00"&amp;MOD(Sync!$L771,100),2),""),IFERROR(RIGHT("0000"&amp;VALUE(TRIM(LEFT(Sync!$L771,FIND("/",Sync!$L771)-1))),4)&amp;"/"&amp;RIGHT("00"&amp;VALUE(TRIM(LEFT(MID(Sync!$L771,FIND("/",Sync!$L771)+1,20),FIND("/",MID(Sync!$L771,FIND("/",Sync!$L771)+1,20))-1))),2)&amp;"/"&amp;RIGHT("00"&amp;VALUE(TRIM(MID(MID(Sync!$L771,FIND("/",Sync!$L771)+1,20),FIND("/",MID(Sync!$L771,FIND("/",Sync!$L771)+1,20))+1,20))),2),"")))</f>
        <v/>
      </c>
    </row>
    <row r="772" spans="13:14" x14ac:dyDescent="0.2">
      <c r="M772" t="str">
        <f>IF(Sync!$M772&lt;&gt;"پاس چک","",IF(Sync!$P772="","",Sync!$P772))</f>
        <v/>
      </c>
      <c r="N772" t="str">
        <f>IF($M772="","",IF(ISNUMBER(Sync!$L772),IF(AND(Sync!$L772&gt;=10000101,Sync!$L772&lt;=99991231),RIGHT("0000"&amp;INT(Sync!$L772/10000),4)&amp;"/"&amp;RIGHT("00"&amp;INT(MOD(Sync!$L772,10000)/100),2)&amp;"/"&amp;RIGHT("00"&amp;MOD(Sync!$L772,100),2),""),IFERROR(RIGHT("0000"&amp;VALUE(TRIM(LEFT(Sync!$L772,FIND("/",Sync!$L772)-1))),4)&amp;"/"&amp;RIGHT("00"&amp;VALUE(TRIM(LEFT(MID(Sync!$L772,FIND("/",Sync!$L772)+1,20),FIND("/",MID(Sync!$L772,FIND("/",Sync!$L772)+1,20))-1))),2)&amp;"/"&amp;RIGHT("00"&amp;VALUE(TRIM(MID(MID(Sync!$L772,FIND("/",Sync!$L772)+1,20),FIND("/",MID(Sync!$L772,FIND("/",Sync!$L772)+1,20))+1,20))),2),"")))</f>
        <v/>
      </c>
    </row>
    <row r="773" spans="13:14" x14ac:dyDescent="0.2">
      <c r="M773" t="str">
        <f>IF(Sync!$M773&lt;&gt;"پاس چک","",IF(Sync!$P773="","",Sync!$P773))</f>
        <v/>
      </c>
      <c r="N773" t="str">
        <f>IF($M773="","",IF(ISNUMBER(Sync!$L773),IF(AND(Sync!$L773&gt;=10000101,Sync!$L773&lt;=99991231),RIGHT("0000"&amp;INT(Sync!$L773/10000),4)&amp;"/"&amp;RIGHT("00"&amp;INT(MOD(Sync!$L773,10000)/100),2)&amp;"/"&amp;RIGHT("00"&amp;MOD(Sync!$L773,100),2),""),IFERROR(RIGHT("0000"&amp;VALUE(TRIM(LEFT(Sync!$L773,FIND("/",Sync!$L773)-1))),4)&amp;"/"&amp;RIGHT("00"&amp;VALUE(TRIM(LEFT(MID(Sync!$L773,FIND("/",Sync!$L773)+1,20),FIND("/",MID(Sync!$L773,FIND("/",Sync!$L773)+1,20))-1))),2)&amp;"/"&amp;RIGHT("00"&amp;VALUE(TRIM(MID(MID(Sync!$L773,FIND("/",Sync!$L773)+1,20),FIND("/",MID(Sync!$L773,FIND("/",Sync!$L773)+1,20))+1,20))),2),"")))</f>
        <v/>
      </c>
    </row>
    <row r="774" spans="13:14" x14ac:dyDescent="0.2">
      <c r="M774" t="str">
        <f>IF(Sync!$M774&lt;&gt;"پاس چک","",IF(Sync!$P774="","",Sync!$P774))</f>
        <v/>
      </c>
      <c r="N774" t="str">
        <f>IF($M774="","",IF(ISNUMBER(Sync!$L774),IF(AND(Sync!$L774&gt;=10000101,Sync!$L774&lt;=99991231),RIGHT("0000"&amp;INT(Sync!$L774/10000),4)&amp;"/"&amp;RIGHT("00"&amp;INT(MOD(Sync!$L774,10000)/100),2)&amp;"/"&amp;RIGHT("00"&amp;MOD(Sync!$L774,100),2),""),IFERROR(RIGHT("0000"&amp;VALUE(TRIM(LEFT(Sync!$L774,FIND("/",Sync!$L774)-1))),4)&amp;"/"&amp;RIGHT("00"&amp;VALUE(TRIM(LEFT(MID(Sync!$L774,FIND("/",Sync!$L774)+1,20),FIND("/",MID(Sync!$L774,FIND("/",Sync!$L774)+1,20))-1))),2)&amp;"/"&amp;RIGHT("00"&amp;VALUE(TRIM(MID(MID(Sync!$L774,FIND("/",Sync!$L774)+1,20),FIND("/",MID(Sync!$L774,FIND("/",Sync!$L774)+1,20))+1,20))),2),"")))</f>
        <v/>
      </c>
    </row>
    <row r="775" spans="13:14" x14ac:dyDescent="0.2">
      <c r="M775" t="str">
        <f>IF(Sync!$M775&lt;&gt;"پاس چک","",IF(Sync!$P775="","",Sync!$P775))</f>
        <v/>
      </c>
      <c r="N775" t="str">
        <f>IF($M775="","",IF(ISNUMBER(Sync!$L775),IF(AND(Sync!$L775&gt;=10000101,Sync!$L775&lt;=99991231),RIGHT("0000"&amp;INT(Sync!$L775/10000),4)&amp;"/"&amp;RIGHT("00"&amp;INT(MOD(Sync!$L775,10000)/100),2)&amp;"/"&amp;RIGHT("00"&amp;MOD(Sync!$L775,100),2),""),IFERROR(RIGHT("0000"&amp;VALUE(TRIM(LEFT(Sync!$L775,FIND("/",Sync!$L775)-1))),4)&amp;"/"&amp;RIGHT("00"&amp;VALUE(TRIM(LEFT(MID(Sync!$L775,FIND("/",Sync!$L775)+1,20),FIND("/",MID(Sync!$L775,FIND("/",Sync!$L775)+1,20))-1))),2)&amp;"/"&amp;RIGHT("00"&amp;VALUE(TRIM(MID(MID(Sync!$L775,FIND("/",Sync!$L775)+1,20),FIND("/",MID(Sync!$L775,FIND("/",Sync!$L775)+1,20))+1,20))),2),"")))</f>
        <v/>
      </c>
    </row>
    <row r="776" spans="13:14" x14ac:dyDescent="0.2">
      <c r="M776" t="str">
        <f>IF(Sync!$M776&lt;&gt;"پاس چک","",IF(Sync!$P776="","",Sync!$P776))</f>
        <v/>
      </c>
      <c r="N776" t="str">
        <f>IF($M776="","",IF(ISNUMBER(Sync!$L776),IF(AND(Sync!$L776&gt;=10000101,Sync!$L776&lt;=99991231),RIGHT("0000"&amp;INT(Sync!$L776/10000),4)&amp;"/"&amp;RIGHT("00"&amp;INT(MOD(Sync!$L776,10000)/100),2)&amp;"/"&amp;RIGHT("00"&amp;MOD(Sync!$L776,100),2),""),IFERROR(RIGHT("0000"&amp;VALUE(TRIM(LEFT(Sync!$L776,FIND("/",Sync!$L776)-1))),4)&amp;"/"&amp;RIGHT("00"&amp;VALUE(TRIM(LEFT(MID(Sync!$L776,FIND("/",Sync!$L776)+1,20),FIND("/",MID(Sync!$L776,FIND("/",Sync!$L776)+1,20))-1))),2)&amp;"/"&amp;RIGHT("00"&amp;VALUE(TRIM(MID(MID(Sync!$L776,FIND("/",Sync!$L776)+1,20),FIND("/",MID(Sync!$L776,FIND("/",Sync!$L776)+1,20))+1,20))),2),"")))</f>
        <v/>
      </c>
    </row>
    <row r="777" spans="13:14" x14ac:dyDescent="0.2">
      <c r="M777" t="str">
        <f>IF(Sync!$M777&lt;&gt;"پاس چک","",IF(Sync!$P777="","",Sync!$P777))</f>
        <v/>
      </c>
      <c r="N777" t="str">
        <f>IF($M777="","",IF(ISNUMBER(Sync!$L777),IF(AND(Sync!$L777&gt;=10000101,Sync!$L777&lt;=99991231),RIGHT("0000"&amp;INT(Sync!$L777/10000),4)&amp;"/"&amp;RIGHT("00"&amp;INT(MOD(Sync!$L777,10000)/100),2)&amp;"/"&amp;RIGHT("00"&amp;MOD(Sync!$L777,100),2),""),IFERROR(RIGHT("0000"&amp;VALUE(TRIM(LEFT(Sync!$L777,FIND("/",Sync!$L777)-1))),4)&amp;"/"&amp;RIGHT("00"&amp;VALUE(TRIM(LEFT(MID(Sync!$L777,FIND("/",Sync!$L777)+1,20),FIND("/",MID(Sync!$L777,FIND("/",Sync!$L777)+1,20))-1))),2)&amp;"/"&amp;RIGHT("00"&amp;VALUE(TRIM(MID(MID(Sync!$L777,FIND("/",Sync!$L777)+1,20),FIND("/",MID(Sync!$L777,FIND("/",Sync!$L777)+1,20))+1,20))),2),"")))</f>
        <v/>
      </c>
    </row>
    <row r="778" spans="13:14" x14ac:dyDescent="0.2">
      <c r="M778" t="str">
        <f>IF(Sync!$M778&lt;&gt;"پاس چک","",IF(Sync!$P778="","",Sync!$P778))</f>
        <v/>
      </c>
      <c r="N778" t="str">
        <f>IF($M778="","",IF(ISNUMBER(Sync!$L778),IF(AND(Sync!$L778&gt;=10000101,Sync!$L778&lt;=99991231),RIGHT("0000"&amp;INT(Sync!$L778/10000),4)&amp;"/"&amp;RIGHT("00"&amp;INT(MOD(Sync!$L778,10000)/100),2)&amp;"/"&amp;RIGHT("00"&amp;MOD(Sync!$L778,100),2),""),IFERROR(RIGHT("0000"&amp;VALUE(TRIM(LEFT(Sync!$L778,FIND("/",Sync!$L778)-1))),4)&amp;"/"&amp;RIGHT("00"&amp;VALUE(TRIM(LEFT(MID(Sync!$L778,FIND("/",Sync!$L778)+1,20),FIND("/",MID(Sync!$L778,FIND("/",Sync!$L778)+1,20))-1))),2)&amp;"/"&amp;RIGHT("00"&amp;VALUE(TRIM(MID(MID(Sync!$L778,FIND("/",Sync!$L778)+1,20),FIND("/",MID(Sync!$L778,FIND("/",Sync!$L778)+1,20))+1,20))),2),"")))</f>
        <v/>
      </c>
    </row>
    <row r="779" spans="13:14" x14ac:dyDescent="0.2">
      <c r="M779" t="str">
        <f>IF(Sync!$M779&lt;&gt;"پاس چک","",IF(Sync!$P779="","",Sync!$P779))</f>
        <v/>
      </c>
      <c r="N779" t="str">
        <f>IF($M779="","",IF(ISNUMBER(Sync!$L779),IF(AND(Sync!$L779&gt;=10000101,Sync!$L779&lt;=99991231),RIGHT("0000"&amp;INT(Sync!$L779/10000),4)&amp;"/"&amp;RIGHT("00"&amp;INT(MOD(Sync!$L779,10000)/100),2)&amp;"/"&amp;RIGHT("00"&amp;MOD(Sync!$L779,100),2),""),IFERROR(RIGHT("0000"&amp;VALUE(TRIM(LEFT(Sync!$L779,FIND("/",Sync!$L779)-1))),4)&amp;"/"&amp;RIGHT("00"&amp;VALUE(TRIM(LEFT(MID(Sync!$L779,FIND("/",Sync!$L779)+1,20),FIND("/",MID(Sync!$L779,FIND("/",Sync!$L779)+1,20))-1))),2)&amp;"/"&amp;RIGHT("00"&amp;VALUE(TRIM(MID(MID(Sync!$L779,FIND("/",Sync!$L779)+1,20),FIND("/",MID(Sync!$L779,FIND("/",Sync!$L779)+1,20))+1,20))),2),"")))</f>
        <v/>
      </c>
    </row>
    <row r="780" spans="13:14" x14ac:dyDescent="0.2">
      <c r="M780" t="str">
        <f>IF(Sync!$M780&lt;&gt;"پاس چک","",IF(Sync!$P780="","",Sync!$P780))</f>
        <v/>
      </c>
      <c r="N780" t="str">
        <f>IF($M780="","",IF(ISNUMBER(Sync!$L780),IF(AND(Sync!$L780&gt;=10000101,Sync!$L780&lt;=99991231),RIGHT("0000"&amp;INT(Sync!$L780/10000),4)&amp;"/"&amp;RIGHT("00"&amp;INT(MOD(Sync!$L780,10000)/100),2)&amp;"/"&amp;RIGHT("00"&amp;MOD(Sync!$L780,100),2),""),IFERROR(RIGHT("0000"&amp;VALUE(TRIM(LEFT(Sync!$L780,FIND("/",Sync!$L780)-1))),4)&amp;"/"&amp;RIGHT("00"&amp;VALUE(TRIM(LEFT(MID(Sync!$L780,FIND("/",Sync!$L780)+1,20),FIND("/",MID(Sync!$L780,FIND("/",Sync!$L780)+1,20))-1))),2)&amp;"/"&amp;RIGHT("00"&amp;VALUE(TRIM(MID(MID(Sync!$L780,FIND("/",Sync!$L780)+1,20),FIND("/",MID(Sync!$L780,FIND("/",Sync!$L780)+1,20))+1,20))),2),"")))</f>
        <v/>
      </c>
    </row>
    <row r="781" spans="13:14" x14ac:dyDescent="0.2">
      <c r="M781" t="str">
        <f>IF(Sync!$M781&lt;&gt;"پاس چک","",IF(Sync!$P781="","",Sync!$P781))</f>
        <v/>
      </c>
      <c r="N781" t="str">
        <f>IF($M781="","",IF(ISNUMBER(Sync!$L781),IF(AND(Sync!$L781&gt;=10000101,Sync!$L781&lt;=99991231),RIGHT("0000"&amp;INT(Sync!$L781/10000),4)&amp;"/"&amp;RIGHT("00"&amp;INT(MOD(Sync!$L781,10000)/100),2)&amp;"/"&amp;RIGHT("00"&amp;MOD(Sync!$L781,100),2),""),IFERROR(RIGHT("0000"&amp;VALUE(TRIM(LEFT(Sync!$L781,FIND("/",Sync!$L781)-1))),4)&amp;"/"&amp;RIGHT("00"&amp;VALUE(TRIM(LEFT(MID(Sync!$L781,FIND("/",Sync!$L781)+1,20),FIND("/",MID(Sync!$L781,FIND("/",Sync!$L781)+1,20))-1))),2)&amp;"/"&amp;RIGHT("00"&amp;VALUE(TRIM(MID(MID(Sync!$L781,FIND("/",Sync!$L781)+1,20),FIND("/",MID(Sync!$L781,FIND("/",Sync!$L781)+1,20))+1,20))),2),"")))</f>
        <v/>
      </c>
    </row>
    <row r="782" spans="13:14" x14ac:dyDescent="0.2">
      <c r="M782" t="str">
        <f>IF(Sync!$M782&lt;&gt;"پاس چک","",IF(Sync!$P782="","",Sync!$P782))</f>
        <v/>
      </c>
      <c r="N782" t="str">
        <f>IF($M782="","",IF(ISNUMBER(Sync!$L782),IF(AND(Sync!$L782&gt;=10000101,Sync!$L782&lt;=99991231),RIGHT("0000"&amp;INT(Sync!$L782/10000),4)&amp;"/"&amp;RIGHT("00"&amp;INT(MOD(Sync!$L782,10000)/100),2)&amp;"/"&amp;RIGHT("00"&amp;MOD(Sync!$L782,100),2),""),IFERROR(RIGHT("0000"&amp;VALUE(TRIM(LEFT(Sync!$L782,FIND("/",Sync!$L782)-1))),4)&amp;"/"&amp;RIGHT("00"&amp;VALUE(TRIM(LEFT(MID(Sync!$L782,FIND("/",Sync!$L782)+1,20),FIND("/",MID(Sync!$L782,FIND("/",Sync!$L782)+1,20))-1))),2)&amp;"/"&amp;RIGHT("00"&amp;VALUE(TRIM(MID(MID(Sync!$L782,FIND("/",Sync!$L782)+1,20),FIND("/",MID(Sync!$L782,FIND("/",Sync!$L782)+1,20))+1,20))),2),"")))</f>
        <v/>
      </c>
    </row>
    <row r="783" spans="13:14" x14ac:dyDescent="0.2">
      <c r="M783" t="str">
        <f>IF(Sync!$M783&lt;&gt;"پاس چک","",IF(Sync!$P783="","",Sync!$P783))</f>
        <v/>
      </c>
      <c r="N783" t="str">
        <f>IF($M783="","",IF(ISNUMBER(Sync!$L783),IF(AND(Sync!$L783&gt;=10000101,Sync!$L783&lt;=99991231),RIGHT("0000"&amp;INT(Sync!$L783/10000),4)&amp;"/"&amp;RIGHT("00"&amp;INT(MOD(Sync!$L783,10000)/100),2)&amp;"/"&amp;RIGHT("00"&amp;MOD(Sync!$L783,100),2),""),IFERROR(RIGHT("0000"&amp;VALUE(TRIM(LEFT(Sync!$L783,FIND("/",Sync!$L783)-1))),4)&amp;"/"&amp;RIGHT("00"&amp;VALUE(TRIM(LEFT(MID(Sync!$L783,FIND("/",Sync!$L783)+1,20),FIND("/",MID(Sync!$L783,FIND("/",Sync!$L783)+1,20))-1))),2)&amp;"/"&amp;RIGHT("00"&amp;VALUE(TRIM(MID(MID(Sync!$L783,FIND("/",Sync!$L783)+1,20),FIND("/",MID(Sync!$L783,FIND("/",Sync!$L783)+1,20))+1,20))),2),"")))</f>
        <v/>
      </c>
    </row>
    <row r="784" spans="13:14" x14ac:dyDescent="0.2">
      <c r="M784" t="str">
        <f>IF(Sync!$M784&lt;&gt;"پاس چک","",IF(Sync!$P784="","",Sync!$P784))</f>
        <v/>
      </c>
      <c r="N784" t="str">
        <f>IF($M784="","",IF(ISNUMBER(Sync!$L784),IF(AND(Sync!$L784&gt;=10000101,Sync!$L784&lt;=99991231),RIGHT("0000"&amp;INT(Sync!$L784/10000),4)&amp;"/"&amp;RIGHT("00"&amp;INT(MOD(Sync!$L784,10000)/100),2)&amp;"/"&amp;RIGHT("00"&amp;MOD(Sync!$L784,100),2),""),IFERROR(RIGHT("0000"&amp;VALUE(TRIM(LEFT(Sync!$L784,FIND("/",Sync!$L784)-1))),4)&amp;"/"&amp;RIGHT("00"&amp;VALUE(TRIM(LEFT(MID(Sync!$L784,FIND("/",Sync!$L784)+1,20),FIND("/",MID(Sync!$L784,FIND("/",Sync!$L784)+1,20))-1))),2)&amp;"/"&amp;RIGHT("00"&amp;VALUE(TRIM(MID(MID(Sync!$L784,FIND("/",Sync!$L784)+1,20),FIND("/",MID(Sync!$L784,FIND("/",Sync!$L784)+1,20))+1,20))),2),"")))</f>
        <v/>
      </c>
    </row>
    <row r="785" spans="13:14" x14ac:dyDescent="0.2">
      <c r="M785" t="str">
        <f>IF(Sync!$M785&lt;&gt;"پاس چک","",IF(Sync!$P785="","",Sync!$P785))</f>
        <v/>
      </c>
      <c r="N785" t="str">
        <f>IF($M785="","",IF(ISNUMBER(Sync!$L785),IF(AND(Sync!$L785&gt;=10000101,Sync!$L785&lt;=99991231),RIGHT("0000"&amp;INT(Sync!$L785/10000),4)&amp;"/"&amp;RIGHT("00"&amp;INT(MOD(Sync!$L785,10000)/100),2)&amp;"/"&amp;RIGHT("00"&amp;MOD(Sync!$L785,100),2),""),IFERROR(RIGHT("0000"&amp;VALUE(TRIM(LEFT(Sync!$L785,FIND("/",Sync!$L785)-1))),4)&amp;"/"&amp;RIGHT("00"&amp;VALUE(TRIM(LEFT(MID(Sync!$L785,FIND("/",Sync!$L785)+1,20),FIND("/",MID(Sync!$L785,FIND("/",Sync!$L785)+1,20))-1))),2)&amp;"/"&amp;RIGHT("00"&amp;VALUE(TRIM(MID(MID(Sync!$L785,FIND("/",Sync!$L785)+1,20),FIND("/",MID(Sync!$L785,FIND("/",Sync!$L785)+1,20))+1,20))),2),"")))</f>
        <v/>
      </c>
    </row>
    <row r="786" spans="13:14" x14ac:dyDescent="0.2">
      <c r="M786" t="str">
        <f>IF(Sync!$M786&lt;&gt;"پاس چک","",IF(Sync!$P786="","",Sync!$P786))</f>
        <v/>
      </c>
      <c r="N786" t="str">
        <f>IF($M786="","",IF(ISNUMBER(Sync!$L786),IF(AND(Sync!$L786&gt;=10000101,Sync!$L786&lt;=99991231),RIGHT("0000"&amp;INT(Sync!$L786/10000),4)&amp;"/"&amp;RIGHT("00"&amp;INT(MOD(Sync!$L786,10000)/100),2)&amp;"/"&amp;RIGHT("00"&amp;MOD(Sync!$L786,100),2),""),IFERROR(RIGHT("0000"&amp;VALUE(TRIM(LEFT(Sync!$L786,FIND("/",Sync!$L786)-1))),4)&amp;"/"&amp;RIGHT("00"&amp;VALUE(TRIM(LEFT(MID(Sync!$L786,FIND("/",Sync!$L786)+1,20),FIND("/",MID(Sync!$L786,FIND("/",Sync!$L786)+1,20))-1))),2)&amp;"/"&amp;RIGHT("00"&amp;VALUE(TRIM(MID(MID(Sync!$L786,FIND("/",Sync!$L786)+1,20),FIND("/",MID(Sync!$L786,FIND("/",Sync!$L786)+1,20))+1,20))),2),"")))</f>
        <v/>
      </c>
    </row>
    <row r="787" spans="13:14" x14ac:dyDescent="0.2">
      <c r="M787" t="str">
        <f>IF(Sync!$M787&lt;&gt;"پاس چک","",IF(Sync!$P787="","",Sync!$P787))</f>
        <v/>
      </c>
      <c r="N787" t="str">
        <f>IF($M787="","",IF(ISNUMBER(Sync!$L787),IF(AND(Sync!$L787&gt;=10000101,Sync!$L787&lt;=99991231),RIGHT("0000"&amp;INT(Sync!$L787/10000),4)&amp;"/"&amp;RIGHT("00"&amp;INT(MOD(Sync!$L787,10000)/100),2)&amp;"/"&amp;RIGHT("00"&amp;MOD(Sync!$L787,100),2),""),IFERROR(RIGHT("0000"&amp;VALUE(TRIM(LEFT(Sync!$L787,FIND("/",Sync!$L787)-1))),4)&amp;"/"&amp;RIGHT("00"&amp;VALUE(TRIM(LEFT(MID(Sync!$L787,FIND("/",Sync!$L787)+1,20),FIND("/",MID(Sync!$L787,FIND("/",Sync!$L787)+1,20))-1))),2)&amp;"/"&amp;RIGHT("00"&amp;VALUE(TRIM(MID(MID(Sync!$L787,FIND("/",Sync!$L787)+1,20),FIND("/",MID(Sync!$L787,FIND("/",Sync!$L787)+1,20))+1,20))),2),"")))</f>
        <v/>
      </c>
    </row>
    <row r="788" spans="13:14" x14ac:dyDescent="0.2">
      <c r="M788" t="str">
        <f>IF(Sync!$M788&lt;&gt;"پاس چک","",IF(Sync!$P788="","",Sync!$P788))</f>
        <v/>
      </c>
      <c r="N788" t="str">
        <f>IF($M788="","",IF(ISNUMBER(Sync!$L788),IF(AND(Sync!$L788&gt;=10000101,Sync!$L788&lt;=99991231),RIGHT("0000"&amp;INT(Sync!$L788/10000),4)&amp;"/"&amp;RIGHT("00"&amp;INT(MOD(Sync!$L788,10000)/100),2)&amp;"/"&amp;RIGHT("00"&amp;MOD(Sync!$L788,100),2),""),IFERROR(RIGHT("0000"&amp;VALUE(TRIM(LEFT(Sync!$L788,FIND("/",Sync!$L788)-1))),4)&amp;"/"&amp;RIGHT("00"&amp;VALUE(TRIM(LEFT(MID(Sync!$L788,FIND("/",Sync!$L788)+1,20),FIND("/",MID(Sync!$L788,FIND("/",Sync!$L788)+1,20))-1))),2)&amp;"/"&amp;RIGHT("00"&amp;VALUE(TRIM(MID(MID(Sync!$L788,FIND("/",Sync!$L788)+1,20),FIND("/",MID(Sync!$L788,FIND("/",Sync!$L788)+1,20))+1,20))),2),"")))</f>
        <v/>
      </c>
    </row>
    <row r="789" spans="13:14" x14ac:dyDescent="0.2">
      <c r="M789" t="str">
        <f>IF(Sync!$M789&lt;&gt;"پاس چک","",IF(Sync!$P789="","",Sync!$P789))</f>
        <v/>
      </c>
      <c r="N789" t="str">
        <f>IF($M789="","",IF(ISNUMBER(Sync!$L789),IF(AND(Sync!$L789&gt;=10000101,Sync!$L789&lt;=99991231),RIGHT("0000"&amp;INT(Sync!$L789/10000),4)&amp;"/"&amp;RIGHT("00"&amp;INT(MOD(Sync!$L789,10000)/100),2)&amp;"/"&amp;RIGHT("00"&amp;MOD(Sync!$L789,100),2),""),IFERROR(RIGHT("0000"&amp;VALUE(TRIM(LEFT(Sync!$L789,FIND("/",Sync!$L789)-1))),4)&amp;"/"&amp;RIGHT("00"&amp;VALUE(TRIM(LEFT(MID(Sync!$L789,FIND("/",Sync!$L789)+1,20),FIND("/",MID(Sync!$L789,FIND("/",Sync!$L789)+1,20))-1))),2)&amp;"/"&amp;RIGHT("00"&amp;VALUE(TRIM(MID(MID(Sync!$L789,FIND("/",Sync!$L789)+1,20),FIND("/",MID(Sync!$L789,FIND("/",Sync!$L789)+1,20))+1,20))),2),"")))</f>
        <v/>
      </c>
    </row>
    <row r="790" spans="13:14" x14ac:dyDescent="0.2">
      <c r="M790" t="str">
        <f>IF(Sync!$M790&lt;&gt;"پاس چک","",IF(Sync!$P790="","",Sync!$P790))</f>
        <v/>
      </c>
      <c r="N790" t="str">
        <f>IF($M790="","",IF(ISNUMBER(Sync!$L790),IF(AND(Sync!$L790&gt;=10000101,Sync!$L790&lt;=99991231),RIGHT("0000"&amp;INT(Sync!$L790/10000),4)&amp;"/"&amp;RIGHT("00"&amp;INT(MOD(Sync!$L790,10000)/100),2)&amp;"/"&amp;RIGHT("00"&amp;MOD(Sync!$L790,100),2),""),IFERROR(RIGHT("0000"&amp;VALUE(TRIM(LEFT(Sync!$L790,FIND("/",Sync!$L790)-1))),4)&amp;"/"&amp;RIGHT("00"&amp;VALUE(TRIM(LEFT(MID(Sync!$L790,FIND("/",Sync!$L790)+1,20),FIND("/",MID(Sync!$L790,FIND("/",Sync!$L790)+1,20))-1))),2)&amp;"/"&amp;RIGHT("00"&amp;VALUE(TRIM(MID(MID(Sync!$L790,FIND("/",Sync!$L790)+1,20),FIND("/",MID(Sync!$L790,FIND("/",Sync!$L790)+1,20))+1,20))),2),"")))</f>
        <v/>
      </c>
    </row>
    <row r="791" spans="13:14" x14ac:dyDescent="0.2">
      <c r="M791" t="str">
        <f>IF(Sync!$M791&lt;&gt;"پاس چک","",IF(Sync!$P791="","",Sync!$P791))</f>
        <v/>
      </c>
      <c r="N791" t="str">
        <f>IF($M791="","",IF(ISNUMBER(Sync!$L791),IF(AND(Sync!$L791&gt;=10000101,Sync!$L791&lt;=99991231),RIGHT("0000"&amp;INT(Sync!$L791/10000),4)&amp;"/"&amp;RIGHT("00"&amp;INT(MOD(Sync!$L791,10000)/100),2)&amp;"/"&amp;RIGHT("00"&amp;MOD(Sync!$L791,100),2),""),IFERROR(RIGHT("0000"&amp;VALUE(TRIM(LEFT(Sync!$L791,FIND("/",Sync!$L791)-1))),4)&amp;"/"&amp;RIGHT("00"&amp;VALUE(TRIM(LEFT(MID(Sync!$L791,FIND("/",Sync!$L791)+1,20),FIND("/",MID(Sync!$L791,FIND("/",Sync!$L791)+1,20))-1))),2)&amp;"/"&amp;RIGHT("00"&amp;VALUE(TRIM(MID(MID(Sync!$L791,FIND("/",Sync!$L791)+1,20),FIND("/",MID(Sync!$L791,FIND("/",Sync!$L791)+1,20))+1,20))),2),"")))</f>
        <v/>
      </c>
    </row>
    <row r="792" spans="13:14" x14ac:dyDescent="0.2">
      <c r="M792" t="str">
        <f>IF(Sync!$M792&lt;&gt;"پاس چک","",IF(Sync!$P792="","",Sync!$P792))</f>
        <v/>
      </c>
      <c r="N792" t="str">
        <f>IF($M792="","",IF(ISNUMBER(Sync!$L792),IF(AND(Sync!$L792&gt;=10000101,Sync!$L792&lt;=99991231),RIGHT("0000"&amp;INT(Sync!$L792/10000),4)&amp;"/"&amp;RIGHT("00"&amp;INT(MOD(Sync!$L792,10000)/100),2)&amp;"/"&amp;RIGHT("00"&amp;MOD(Sync!$L792,100),2),""),IFERROR(RIGHT("0000"&amp;VALUE(TRIM(LEFT(Sync!$L792,FIND("/",Sync!$L792)-1))),4)&amp;"/"&amp;RIGHT("00"&amp;VALUE(TRIM(LEFT(MID(Sync!$L792,FIND("/",Sync!$L792)+1,20),FIND("/",MID(Sync!$L792,FIND("/",Sync!$L792)+1,20))-1))),2)&amp;"/"&amp;RIGHT("00"&amp;VALUE(TRIM(MID(MID(Sync!$L792,FIND("/",Sync!$L792)+1,20),FIND("/",MID(Sync!$L792,FIND("/",Sync!$L792)+1,20))+1,20))),2),"")))</f>
        <v/>
      </c>
    </row>
    <row r="793" spans="13:14" x14ac:dyDescent="0.2">
      <c r="M793" t="str">
        <f>IF(Sync!$M793&lt;&gt;"پاس چک","",IF(Sync!$P793="","",Sync!$P793))</f>
        <v/>
      </c>
      <c r="N793" t="str">
        <f>IF($M793="","",IF(ISNUMBER(Sync!$L793),IF(AND(Sync!$L793&gt;=10000101,Sync!$L793&lt;=99991231),RIGHT("0000"&amp;INT(Sync!$L793/10000),4)&amp;"/"&amp;RIGHT("00"&amp;INT(MOD(Sync!$L793,10000)/100),2)&amp;"/"&amp;RIGHT("00"&amp;MOD(Sync!$L793,100),2),""),IFERROR(RIGHT("0000"&amp;VALUE(TRIM(LEFT(Sync!$L793,FIND("/",Sync!$L793)-1))),4)&amp;"/"&amp;RIGHT("00"&amp;VALUE(TRIM(LEFT(MID(Sync!$L793,FIND("/",Sync!$L793)+1,20),FIND("/",MID(Sync!$L793,FIND("/",Sync!$L793)+1,20))-1))),2)&amp;"/"&amp;RIGHT("00"&amp;VALUE(TRIM(MID(MID(Sync!$L793,FIND("/",Sync!$L793)+1,20),FIND("/",MID(Sync!$L793,FIND("/",Sync!$L793)+1,20))+1,20))),2),"")))</f>
        <v/>
      </c>
    </row>
    <row r="794" spans="13:14" x14ac:dyDescent="0.2">
      <c r="M794" t="str">
        <f>IF(Sync!$M794&lt;&gt;"پاس چک","",IF(Sync!$P794="","",Sync!$P794))</f>
        <v/>
      </c>
      <c r="N794" t="str">
        <f>IF($M794="","",IF(ISNUMBER(Sync!$L794),IF(AND(Sync!$L794&gt;=10000101,Sync!$L794&lt;=99991231),RIGHT("0000"&amp;INT(Sync!$L794/10000),4)&amp;"/"&amp;RIGHT("00"&amp;INT(MOD(Sync!$L794,10000)/100),2)&amp;"/"&amp;RIGHT("00"&amp;MOD(Sync!$L794,100),2),""),IFERROR(RIGHT("0000"&amp;VALUE(TRIM(LEFT(Sync!$L794,FIND("/",Sync!$L794)-1))),4)&amp;"/"&amp;RIGHT("00"&amp;VALUE(TRIM(LEFT(MID(Sync!$L794,FIND("/",Sync!$L794)+1,20),FIND("/",MID(Sync!$L794,FIND("/",Sync!$L794)+1,20))-1))),2)&amp;"/"&amp;RIGHT("00"&amp;VALUE(TRIM(MID(MID(Sync!$L794,FIND("/",Sync!$L794)+1,20),FIND("/",MID(Sync!$L794,FIND("/",Sync!$L794)+1,20))+1,20))),2),"")))</f>
        <v/>
      </c>
    </row>
    <row r="795" spans="13:14" x14ac:dyDescent="0.2">
      <c r="M795" t="str">
        <f>IF(Sync!$M795&lt;&gt;"پاس چک","",IF(Sync!$P795="","",Sync!$P795))</f>
        <v/>
      </c>
      <c r="N795" t="str">
        <f>IF($M795="","",IF(ISNUMBER(Sync!$L795),IF(AND(Sync!$L795&gt;=10000101,Sync!$L795&lt;=99991231),RIGHT("0000"&amp;INT(Sync!$L795/10000),4)&amp;"/"&amp;RIGHT("00"&amp;INT(MOD(Sync!$L795,10000)/100),2)&amp;"/"&amp;RIGHT("00"&amp;MOD(Sync!$L795,100),2),""),IFERROR(RIGHT("0000"&amp;VALUE(TRIM(LEFT(Sync!$L795,FIND("/",Sync!$L795)-1))),4)&amp;"/"&amp;RIGHT("00"&amp;VALUE(TRIM(LEFT(MID(Sync!$L795,FIND("/",Sync!$L795)+1,20),FIND("/",MID(Sync!$L795,FIND("/",Sync!$L795)+1,20))-1))),2)&amp;"/"&amp;RIGHT("00"&amp;VALUE(TRIM(MID(MID(Sync!$L795,FIND("/",Sync!$L795)+1,20),FIND("/",MID(Sync!$L795,FIND("/",Sync!$L795)+1,20))+1,20))),2),"")))</f>
        <v/>
      </c>
    </row>
    <row r="796" spans="13:14" x14ac:dyDescent="0.2">
      <c r="M796" t="str">
        <f>IF(Sync!$M796&lt;&gt;"پاس چک","",IF(Sync!$P796="","",Sync!$P796))</f>
        <v/>
      </c>
      <c r="N796" t="str">
        <f>IF($M796="","",IF(ISNUMBER(Sync!$L796),IF(AND(Sync!$L796&gt;=10000101,Sync!$L796&lt;=99991231),RIGHT("0000"&amp;INT(Sync!$L796/10000),4)&amp;"/"&amp;RIGHT("00"&amp;INT(MOD(Sync!$L796,10000)/100),2)&amp;"/"&amp;RIGHT("00"&amp;MOD(Sync!$L796,100),2),""),IFERROR(RIGHT("0000"&amp;VALUE(TRIM(LEFT(Sync!$L796,FIND("/",Sync!$L796)-1))),4)&amp;"/"&amp;RIGHT("00"&amp;VALUE(TRIM(LEFT(MID(Sync!$L796,FIND("/",Sync!$L796)+1,20),FIND("/",MID(Sync!$L796,FIND("/",Sync!$L796)+1,20))-1))),2)&amp;"/"&amp;RIGHT("00"&amp;VALUE(TRIM(MID(MID(Sync!$L796,FIND("/",Sync!$L796)+1,20),FIND("/",MID(Sync!$L796,FIND("/",Sync!$L796)+1,20))+1,20))),2),"")))</f>
        <v/>
      </c>
    </row>
    <row r="797" spans="13:14" x14ac:dyDescent="0.2">
      <c r="M797" t="str">
        <f>IF(Sync!$M797&lt;&gt;"پاس چک","",IF(Sync!$P797="","",Sync!$P797))</f>
        <v/>
      </c>
      <c r="N797" t="str">
        <f>IF($M797="","",IF(ISNUMBER(Sync!$L797),IF(AND(Sync!$L797&gt;=10000101,Sync!$L797&lt;=99991231),RIGHT("0000"&amp;INT(Sync!$L797/10000),4)&amp;"/"&amp;RIGHT("00"&amp;INT(MOD(Sync!$L797,10000)/100),2)&amp;"/"&amp;RIGHT("00"&amp;MOD(Sync!$L797,100),2),""),IFERROR(RIGHT("0000"&amp;VALUE(TRIM(LEFT(Sync!$L797,FIND("/",Sync!$L797)-1))),4)&amp;"/"&amp;RIGHT("00"&amp;VALUE(TRIM(LEFT(MID(Sync!$L797,FIND("/",Sync!$L797)+1,20),FIND("/",MID(Sync!$L797,FIND("/",Sync!$L797)+1,20))-1))),2)&amp;"/"&amp;RIGHT("00"&amp;VALUE(TRIM(MID(MID(Sync!$L797,FIND("/",Sync!$L797)+1,20),FIND("/",MID(Sync!$L797,FIND("/",Sync!$L797)+1,20))+1,20))),2),"")))</f>
        <v/>
      </c>
    </row>
    <row r="798" spans="13:14" x14ac:dyDescent="0.2">
      <c r="M798" t="str">
        <f>IF(Sync!$M798&lt;&gt;"پاس چک","",IF(Sync!$P798="","",Sync!$P798))</f>
        <v/>
      </c>
      <c r="N798" t="str">
        <f>IF($M798="","",IF(ISNUMBER(Sync!$L798),IF(AND(Sync!$L798&gt;=10000101,Sync!$L798&lt;=99991231),RIGHT("0000"&amp;INT(Sync!$L798/10000),4)&amp;"/"&amp;RIGHT("00"&amp;INT(MOD(Sync!$L798,10000)/100),2)&amp;"/"&amp;RIGHT("00"&amp;MOD(Sync!$L798,100),2),""),IFERROR(RIGHT("0000"&amp;VALUE(TRIM(LEFT(Sync!$L798,FIND("/",Sync!$L798)-1))),4)&amp;"/"&amp;RIGHT("00"&amp;VALUE(TRIM(LEFT(MID(Sync!$L798,FIND("/",Sync!$L798)+1,20),FIND("/",MID(Sync!$L798,FIND("/",Sync!$L798)+1,20))-1))),2)&amp;"/"&amp;RIGHT("00"&amp;VALUE(TRIM(MID(MID(Sync!$L798,FIND("/",Sync!$L798)+1,20),FIND("/",MID(Sync!$L798,FIND("/",Sync!$L798)+1,20))+1,20))),2),"")))</f>
        <v/>
      </c>
    </row>
    <row r="799" spans="13:14" x14ac:dyDescent="0.2">
      <c r="M799" t="str">
        <f>IF(Sync!$M799&lt;&gt;"پاس چک","",IF(Sync!$P799="","",Sync!$P799))</f>
        <v/>
      </c>
      <c r="N799" t="str">
        <f>IF($M799="","",IF(ISNUMBER(Sync!$L799),IF(AND(Sync!$L799&gt;=10000101,Sync!$L799&lt;=99991231),RIGHT("0000"&amp;INT(Sync!$L799/10000),4)&amp;"/"&amp;RIGHT("00"&amp;INT(MOD(Sync!$L799,10000)/100),2)&amp;"/"&amp;RIGHT("00"&amp;MOD(Sync!$L799,100),2),""),IFERROR(RIGHT("0000"&amp;VALUE(TRIM(LEFT(Sync!$L799,FIND("/",Sync!$L799)-1))),4)&amp;"/"&amp;RIGHT("00"&amp;VALUE(TRIM(LEFT(MID(Sync!$L799,FIND("/",Sync!$L799)+1,20),FIND("/",MID(Sync!$L799,FIND("/",Sync!$L799)+1,20))-1))),2)&amp;"/"&amp;RIGHT("00"&amp;VALUE(TRIM(MID(MID(Sync!$L799,FIND("/",Sync!$L799)+1,20),FIND("/",MID(Sync!$L799,FIND("/",Sync!$L799)+1,20))+1,20))),2),"")))</f>
        <v/>
      </c>
    </row>
    <row r="800" spans="13:14" x14ac:dyDescent="0.2">
      <c r="M800" t="str">
        <f>IF(Sync!$M800&lt;&gt;"پاس چک","",IF(Sync!$P800="","",Sync!$P800))</f>
        <v/>
      </c>
      <c r="N800" t="str">
        <f>IF($M800="","",IF(ISNUMBER(Sync!$L800),IF(AND(Sync!$L800&gt;=10000101,Sync!$L800&lt;=99991231),RIGHT("0000"&amp;INT(Sync!$L800/10000),4)&amp;"/"&amp;RIGHT("00"&amp;INT(MOD(Sync!$L800,10000)/100),2)&amp;"/"&amp;RIGHT("00"&amp;MOD(Sync!$L800,100),2),""),IFERROR(RIGHT("0000"&amp;VALUE(TRIM(LEFT(Sync!$L800,FIND("/",Sync!$L800)-1))),4)&amp;"/"&amp;RIGHT("00"&amp;VALUE(TRIM(LEFT(MID(Sync!$L800,FIND("/",Sync!$L800)+1,20),FIND("/",MID(Sync!$L800,FIND("/",Sync!$L800)+1,20))-1))),2)&amp;"/"&amp;RIGHT("00"&amp;VALUE(TRIM(MID(MID(Sync!$L800,FIND("/",Sync!$L800)+1,20),FIND("/",MID(Sync!$L800,FIND("/",Sync!$L800)+1,20))+1,20))),2),"")))</f>
        <v/>
      </c>
    </row>
    <row r="801" spans="13:14" x14ac:dyDescent="0.2">
      <c r="M801" t="str">
        <f>IF(Sync!$M801&lt;&gt;"پاس چک","",IF(Sync!$P801="","",Sync!$P801))</f>
        <v/>
      </c>
      <c r="N801" t="str">
        <f>IF($M801="","",IF(ISNUMBER(Sync!$L801),IF(AND(Sync!$L801&gt;=10000101,Sync!$L801&lt;=99991231),RIGHT("0000"&amp;INT(Sync!$L801/10000),4)&amp;"/"&amp;RIGHT("00"&amp;INT(MOD(Sync!$L801,10000)/100),2)&amp;"/"&amp;RIGHT("00"&amp;MOD(Sync!$L801,100),2),""),IFERROR(RIGHT("0000"&amp;VALUE(TRIM(LEFT(Sync!$L801,FIND("/",Sync!$L801)-1))),4)&amp;"/"&amp;RIGHT("00"&amp;VALUE(TRIM(LEFT(MID(Sync!$L801,FIND("/",Sync!$L801)+1,20),FIND("/",MID(Sync!$L801,FIND("/",Sync!$L801)+1,20))-1))),2)&amp;"/"&amp;RIGHT("00"&amp;VALUE(TRIM(MID(MID(Sync!$L801,FIND("/",Sync!$L801)+1,20),FIND("/",MID(Sync!$L801,FIND("/",Sync!$L801)+1,20))+1,20))),2),"")))</f>
        <v/>
      </c>
    </row>
    <row r="802" spans="13:14" x14ac:dyDescent="0.2">
      <c r="M802" t="str">
        <f>IF(Sync!$M802&lt;&gt;"پاس چک","",IF(Sync!$P802="","",Sync!$P802))</f>
        <v/>
      </c>
      <c r="N802" t="str">
        <f>IF($M802="","",IF(ISNUMBER(Sync!$L802),IF(AND(Sync!$L802&gt;=10000101,Sync!$L802&lt;=99991231),RIGHT("0000"&amp;INT(Sync!$L802/10000),4)&amp;"/"&amp;RIGHT("00"&amp;INT(MOD(Sync!$L802,10000)/100),2)&amp;"/"&amp;RIGHT("00"&amp;MOD(Sync!$L802,100),2),""),IFERROR(RIGHT("0000"&amp;VALUE(TRIM(LEFT(Sync!$L802,FIND("/",Sync!$L802)-1))),4)&amp;"/"&amp;RIGHT("00"&amp;VALUE(TRIM(LEFT(MID(Sync!$L802,FIND("/",Sync!$L802)+1,20),FIND("/",MID(Sync!$L802,FIND("/",Sync!$L802)+1,20))-1))),2)&amp;"/"&amp;RIGHT("00"&amp;VALUE(TRIM(MID(MID(Sync!$L802,FIND("/",Sync!$L802)+1,20),FIND("/",MID(Sync!$L802,FIND("/",Sync!$L802)+1,20))+1,20))),2),"")))</f>
        <v/>
      </c>
    </row>
    <row r="803" spans="13:14" x14ac:dyDescent="0.2">
      <c r="M803" t="str">
        <f>IF(Sync!$M803&lt;&gt;"پاس چک","",IF(Sync!$P803="","",Sync!$P803))</f>
        <v/>
      </c>
      <c r="N803" t="str">
        <f>IF($M803="","",IF(ISNUMBER(Sync!$L803),IF(AND(Sync!$L803&gt;=10000101,Sync!$L803&lt;=99991231),RIGHT("0000"&amp;INT(Sync!$L803/10000),4)&amp;"/"&amp;RIGHT("00"&amp;INT(MOD(Sync!$L803,10000)/100),2)&amp;"/"&amp;RIGHT("00"&amp;MOD(Sync!$L803,100),2),""),IFERROR(RIGHT("0000"&amp;VALUE(TRIM(LEFT(Sync!$L803,FIND("/",Sync!$L803)-1))),4)&amp;"/"&amp;RIGHT("00"&amp;VALUE(TRIM(LEFT(MID(Sync!$L803,FIND("/",Sync!$L803)+1,20),FIND("/",MID(Sync!$L803,FIND("/",Sync!$L803)+1,20))-1))),2)&amp;"/"&amp;RIGHT("00"&amp;VALUE(TRIM(MID(MID(Sync!$L803,FIND("/",Sync!$L803)+1,20),FIND("/",MID(Sync!$L803,FIND("/",Sync!$L803)+1,20))+1,20))),2),"")))</f>
        <v/>
      </c>
    </row>
    <row r="804" spans="13:14" x14ac:dyDescent="0.2">
      <c r="M804" t="str">
        <f>IF(Sync!$M804&lt;&gt;"پاس چک","",IF(Sync!$P804="","",Sync!$P804))</f>
        <v/>
      </c>
      <c r="N804" t="str">
        <f>IF($M804="","",IF(ISNUMBER(Sync!$L804),IF(AND(Sync!$L804&gt;=10000101,Sync!$L804&lt;=99991231),RIGHT("0000"&amp;INT(Sync!$L804/10000),4)&amp;"/"&amp;RIGHT("00"&amp;INT(MOD(Sync!$L804,10000)/100),2)&amp;"/"&amp;RIGHT("00"&amp;MOD(Sync!$L804,100),2),""),IFERROR(RIGHT("0000"&amp;VALUE(TRIM(LEFT(Sync!$L804,FIND("/",Sync!$L804)-1))),4)&amp;"/"&amp;RIGHT("00"&amp;VALUE(TRIM(LEFT(MID(Sync!$L804,FIND("/",Sync!$L804)+1,20),FIND("/",MID(Sync!$L804,FIND("/",Sync!$L804)+1,20))-1))),2)&amp;"/"&amp;RIGHT("00"&amp;VALUE(TRIM(MID(MID(Sync!$L804,FIND("/",Sync!$L804)+1,20),FIND("/",MID(Sync!$L804,FIND("/",Sync!$L804)+1,20))+1,20))),2),"")))</f>
        <v/>
      </c>
    </row>
    <row r="805" spans="13:14" x14ac:dyDescent="0.2">
      <c r="M805" t="str">
        <f>IF(Sync!$M805&lt;&gt;"پاس چک","",IF(Sync!$P805="","",Sync!$P805))</f>
        <v/>
      </c>
      <c r="N805" t="str">
        <f>IF($M805="","",IF(ISNUMBER(Sync!$L805),IF(AND(Sync!$L805&gt;=10000101,Sync!$L805&lt;=99991231),RIGHT("0000"&amp;INT(Sync!$L805/10000),4)&amp;"/"&amp;RIGHT("00"&amp;INT(MOD(Sync!$L805,10000)/100),2)&amp;"/"&amp;RIGHT("00"&amp;MOD(Sync!$L805,100),2),""),IFERROR(RIGHT("0000"&amp;VALUE(TRIM(LEFT(Sync!$L805,FIND("/",Sync!$L805)-1))),4)&amp;"/"&amp;RIGHT("00"&amp;VALUE(TRIM(LEFT(MID(Sync!$L805,FIND("/",Sync!$L805)+1,20),FIND("/",MID(Sync!$L805,FIND("/",Sync!$L805)+1,20))-1))),2)&amp;"/"&amp;RIGHT("00"&amp;VALUE(TRIM(MID(MID(Sync!$L805,FIND("/",Sync!$L805)+1,20),FIND("/",MID(Sync!$L805,FIND("/",Sync!$L805)+1,20))+1,20))),2),"")))</f>
        <v/>
      </c>
    </row>
    <row r="806" spans="13:14" x14ac:dyDescent="0.2">
      <c r="M806" t="str">
        <f>IF(Sync!$M806&lt;&gt;"پاس چک","",IF(Sync!$P806="","",Sync!$P806))</f>
        <v/>
      </c>
      <c r="N806" t="str">
        <f>IF($M806="","",IF(ISNUMBER(Sync!$L806),IF(AND(Sync!$L806&gt;=10000101,Sync!$L806&lt;=99991231),RIGHT("0000"&amp;INT(Sync!$L806/10000),4)&amp;"/"&amp;RIGHT("00"&amp;INT(MOD(Sync!$L806,10000)/100),2)&amp;"/"&amp;RIGHT("00"&amp;MOD(Sync!$L806,100),2),""),IFERROR(RIGHT("0000"&amp;VALUE(TRIM(LEFT(Sync!$L806,FIND("/",Sync!$L806)-1))),4)&amp;"/"&amp;RIGHT("00"&amp;VALUE(TRIM(LEFT(MID(Sync!$L806,FIND("/",Sync!$L806)+1,20),FIND("/",MID(Sync!$L806,FIND("/",Sync!$L806)+1,20))-1))),2)&amp;"/"&amp;RIGHT("00"&amp;VALUE(TRIM(MID(MID(Sync!$L806,FIND("/",Sync!$L806)+1,20),FIND("/",MID(Sync!$L806,FIND("/",Sync!$L806)+1,20))+1,20))),2),"")))</f>
        <v/>
      </c>
    </row>
    <row r="807" spans="13:14" x14ac:dyDescent="0.2">
      <c r="M807" t="str">
        <f>IF(Sync!$M807&lt;&gt;"پاس چک","",IF(Sync!$P807="","",Sync!$P807))</f>
        <v/>
      </c>
      <c r="N807" t="str">
        <f>IF($M807="","",IF(ISNUMBER(Sync!$L807),IF(AND(Sync!$L807&gt;=10000101,Sync!$L807&lt;=99991231),RIGHT("0000"&amp;INT(Sync!$L807/10000),4)&amp;"/"&amp;RIGHT("00"&amp;INT(MOD(Sync!$L807,10000)/100),2)&amp;"/"&amp;RIGHT("00"&amp;MOD(Sync!$L807,100),2),""),IFERROR(RIGHT("0000"&amp;VALUE(TRIM(LEFT(Sync!$L807,FIND("/",Sync!$L807)-1))),4)&amp;"/"&amp;RIGHT("00"&amp;VALUE(TRIM(LEFT(MID(Sync!$L807,FIND("/",Sync!$L807)+1,20),FIND("/",MID(Sync!$L807,FIND("/",Sync!$L807)+1,20))-1))),2)&amp;"/"&amp;RIGHT("00"&amp;VALUE(TRIM(MID(MID(Sync!$L807,FIND("/",Sync!$L807)+1,20),FIND("/",MID(Sync!$L807,FIND("/",Sync!$L807)+1,20))+1,20))),2),"")))</f>
        <v/>
      </c>
    </row>
    <row r="808" spans="13:14" x14ac:dyDescent="0.2">
      <c r="M808" t="str">
        <f>IF(Sync!$M808&lt;&gt;"پاس چک","",IF(Sync!$P808="","",Sync!$P808))</f>
        <v/>
      </c>
      <c r="N808" t="str">
        <f>IF($M808="","",IF(ISNUMBER(Sync!$L808),IF(AND(Sync!$L808&gt;=10000101,Sync!$L808&lt;=99991231),RIGHT("0000"&amp;INT(Sync!$L808/10000),4)&amp;"/"&amp;RIGHT("00"&amp;INT(MOD(Sync!$L808,10000)/100),2)&amp;"/"&amp;RIGHT("00"&amp;MOD(Sync!$L808,100),2),""),IFERROR(RIGHT("0000"&amp;VALUE(TRIM(LEFT(Sync!$L808,FIND("/",Sync!$L808)-1))),4)&amp;"/"&amp;RIGHT("00"&amp;VALUE(TRIM(LEFT(MID(Sync!$L808,FIND("/",Sync!$L808)+1,20),FIND("/",MID(Sync!$L808,FIND("/",Sync!$L808)+1,20))-1))),2)&amp;"/"&amp;RIGHT("00"&amp;VALUE(TRIM(MID(MID(Sync!$L808,FIND("/",Sync!$L808)+1,20),FIND("/",MID(Sync!$L808,FIND("/",Sync!$L808)+1,20))+1,20))),2),"")))</f>
        <v/>
      </c>
    </row>
    <row r="809" spans="13:14" x14ac:dyDescent="0.2">
      <c r="M809" t="str">
        <f>IF(Sync!$M809&lt;&gt;"پاس چک","",IF(Sync!$P809="","",Sync!$P809))</f>
        <v/>
      </c>
      <c r="N809" t="str">
        <f>IF($M809="","",IF(ISNUMBER(Sync!$L809),IF(AND(Sync!$L809&gt;=10000101,Sync!$L809&lt;=99991231),RIGHT("0000"&amp;INT(Sync!$L809/10000),4)&amp;"/"&amp;RIGHT("00"&amp;INT(MOD(Sync!$L809,10000)/100),2)&amp;"/"&amp;RIGHT("00"&amp;MOD(Sync!$L809,100),2),""),IFERROR(RIGHT("0000"&amp;VALUE(TRIM(LEFT(Sync!$L809,FIND("/",Sync!$L809)-1))),4)&amp;"/"&amp;RIGHT("00"&amp;VALUE(TRIM(LEFT(MID(Sync!$L809,FIND("/",Sync!$L809)+1,20),FIND("/",MID(Sync!$L809,FIND("/",Sync!$L809)+1,20))-1))),2)&amp;"/"&amp;RIGHT("00"&amp;VALUE(TRIM(MID(MID(Sync!$L809,FIND("/",Sync!$L809)+1,20),FIND("/",MID(Sync!$L809,FIND("/",Sync!$L809)+1,20))+1,20))),2),"")))</f>
        <v/>
      </c>
    </row>
    <row r="810" spans="13:14" x14ac:dyDescent="0.2">
      <c r="M810" t="str">
        <f>IF(Sync!$M810&lt;&gt;"پاس چک","",IF(Sync!$P810="","",Sync!$P810))</f>
        <v/>
      </c>
      <c r="N810" t="str">
        <f>IF($M810="","",IF(ISNUMBER(Sync!$L810),IF(AND(Sync!$L810&gt;=10000101,Sync!$L810&lt;=99991231),RIGHT("0000"&amp;INT(Sync!$L810/10000),4)&amp;"/"&amp;RIGHT("00"&amp;INT(MOD(Sync!$L810,10000)/100),2)&amp;"/"&amp;RIGHT("00"&amp;MOD(Sync!$L810,100),2),""),IFERROR(RIGHT("0000"&amp;VALUE(TRIM(LEFT(Sync!$L810,FIND("/",Sync!$L810)-1))),4)&amp;"/"&amp;RIGHT("00"&amp;VALUE(TRIM(LEFT(MID(Sync!$L810,FIND("/",Sync!$L810)+1,20),FIND("/",MID(Sync!$L810,FIND("/",Sync!$L810)+1,20))-1))),2)&amp;"/"&amp;RIGHT("00"&amp;VALUE(TRIM(MID(MID(Sync!$L810,FIND("/",Sync!$L810)+1,20),FIND("/",MID(Sync!$L810,FIND("/",Sync!$L810)+1,20))+1,20))),2),"")))</f>
        <v/>
      </c>
    </row>
    <row r="811" spans="13:14" x14ac:dyDescent="0.2">
      <c r="M811" t="str">
        <f>IF(Sync!$M811&lt;&gt;"پاس چک","",IF(Sync!$P811="","",Sync!$P811))</f>
        <v/>
      </c>
      <c r="N811" t="str">
        <f>IF($M811="","",IF(ISNUMBER(Sync!$L811),IF(AND(Sync!$L811&gt;=10000101,Sync!$L811&lt;=99991231),RIGHT("0000"&amp;INT(Sync!$L811/10000),4)&amp;"/"&amp;RIGHT("00"&amp;INT(MOD(Sync!$L811,10000)/100),2)&amp;"/"&amp;RIGHT("00"&amp;MOD(Sync!$L811,100),2),""),IFERROR(RIGHT("0000"&amp;VALUE(TRIM(LEFT(Sync!$L811,FIND("/",Sync!$L811)-1))),4)&amp;"/"&amp;RIGHT("00"&amp;VALUE(TRIM(LEFT(MID(Sync!$L811,FIND("/",Sync!$L811)+1,20),FIND("/",MID(Sync!$L811,FIND("/",Sync!$L811)+1,20))-1))),2)&amp;"/"&amp;RIGHT("00"&amp;VALUE(TRIM(MID(MID(Sync!$L811,FIND("/",Sync!$L811)+1,20),FIND("/",MID(Sync!$L811,FIND("/",Sync!$L811)+1,20))+1,20))),2),"")))</f>
        <v/>
      </c>
    </row>
    <row r="812" spans="13:14" x14ac:dyDescent="0.2">
      <c r="M812" t="str">
        <f>IF(Sync!$M812&lt;&gt;"پاس چک","",IF(Sync!$P812="","",Sync!$P812))</f>
        <v/>
      </c>
      <c r="N812" t="str">
        <f>IF($M812="","",IF(ISNUMBER(Sync!$L812),IF(AND(Sync!$L812&gt;=10000101,Sync!$L812&lt;=99991231),RIGHT("0000"&amp;INT(Sync!$L812/10000),4)&amp;"/"&amp;RIGHT("00"&amp;INT(MOD(Sync!$L812,10000)/100),2)&amp;"/"&amp;RIGHT("00"&amp;MOD(Sync!$L812,100),2),""),IFERROR(RIGHT("0000"&amp;VALUE(TRIM(LEFT(Sync!$L812,FIND("/",Sync!$L812)-1))),4)&amp;"/"&amp;RIGHT("00"&amp;VALUE(TRIM(LEFT(MID(Sync!$L812,FIND("/",Sync!$L812)+1,20),FIND("/",MID(Sync!$L812,FIND("/",Sync!$L812)+1,20))-1))),2)&amp;"/"&amp;RIGHT("00"&amp;VALUE(TRIM(MID(MID(Sync!$L812,FIND("/",Sync!$L812)+1,20),FIND("/",MID(Sync!$L812,FIND("/",Sync!$L812)+1,20))+1,20))),2),"")))</f>
        <v/>
      </c>
    </row>
    <row r="813" spans="13:14" x14ac:dyDescent="0.2">
      <c r="M813" t="str">
        <f>IF(Sync!$M813&lt;&gt;"پاس چک","",IF(Sync!$P813="","",Sync!$P813))</f>
        <v/>
      </c>
      <c r="N813" t="str">
        <f>IF($M813="","",IF(ISNUMBER(Sync!$L813),IF(AND(Sync!$L813&gt;=10000101,Sync!$L813&lt;=99991231),RIGHT("0000"&amp;INT(Sync!$L813/10000),4)&amp;"/"&amp;RIGHT("00"&amp;INT(MOD(Sync!$L813,10000)/100),2)&amp;"/"&amp;RIGHT("00"&amp;MOD(Sync!$L813,100),2),""),IFERROR(RIGHT("0000"&amp;VALUE(TRIM(LEFT(Sync!$L813,FIND("/",Sync!$L813)-1))),4)&amp;"/"&amp;RIGHT("00"&amp;VALUE(TRIM(LEFT(MID(Sync!$L813,FIND("/",Sync!$L813)+1,20),FIND("/",MID(Sync!$L813,FIND("/",Sync!$L813)+1,20))-1))),2)&amp;"/"&amp;RIGHT("00"&amp;VALUE(TRIM(MID(MID(Sync!$L813,FIND("/",Sync!$L813)+1,20),FIND("/",MID(Sync!$L813,FIND("/",Sync!$L813)+1,20))+1,20))),2),"")))</f>
        <v/>
      </c>
    </row>
    <row r="814" spans="13:14" x14ac:dyDescent="0.2">
      <c r="M814" t="str">
        <f>IF(Sync!$M814&lt;&gt;"پاس چک","",IF(Sync!$P814="","",Sync!$P814))</f>
        <v/>
      </c>
      <c r="N814" t="str">
        <f>IF($M814="","",IF(ISNUMBER(Sync!$L814),IF(AND(Sync!$L814&gt;=10000101,Sync!$L814&lt;=99991231),RIGHT("0000"&amp;INT(Sync!$L814/10000),4)&amp;"/"&amp;RIGHT("00"&amp;INT(MOD(Sync!$L814,10000)/100),2)&amp;"/"&amp;RIGHT("00"&amp;MOD(Sync!$L814,100),2),""),IFERROR(RIGHT("0000"&amp;VALUE(TRIM(LEFT(Sync!$L814,FIND("/",Sync!$L814)-1))),4)&amp;"/"&amp;RIGHT("00"&amp;VALUE(TRIM(LEFT(MID(Sync!$L814,FIND("/",Sync!$L814)+1,20),FIND("/",MID(Sync!$L814,FIND("/",Sync!$L814)+1,20))-1))),2)&amp;"/"&amp;RIGHT("00"&amp;VALUE(TRIM(MID(MID(Sync!$L814,FIND("/",Sync!$L814)+1,20),FIND("/",MID(Sync!$L814,FIND("/",Sync!$L814)+1,20))+1,20))),2),"")))</f>
        <v/>
      </c>
    </row>
    <row r="815" spans="13:14" x14ac:dyDescent="0.2">
      <c r="M815" t="str">
        <f>IF(Sync!$M815&lt;&gt;"پاس چک","",IF(Sync!$P815="","",Sync!$P815))</f>
        <v/>
      </c>
      <c r="N815" t="str">
        <f>IF($M815="","",IF(ISNUMBER(Sync!$L815),IF(AND(Sync!$L815&gt;=10000101,Sync!$L815&lt;=99991231),RIGHT("0000"&amp;INT(Sync!$L815/10000),4)&amp;"/"&amp;RIGHT("00"&amp;INT(MOD(Sync!$L815,10000)/100),2)&amp;"/"&amp;RIGHT("00"&amp;MOD(Sync!$L815,100),2),""),IFERROR(RIGHT("0000"&amp;VALUE(TRIM(LEFT(Sync!$L815,FIND("/",Sync!$L815)-1))),4)&amp;"/"&amp;RIGHT("00"&amp;VALUE(TRIM(LEFT(MID(Sync!$L815,FIND("/",Sync!$L815)+1,20),FIND("/",MID(Sync!$L815,FIND("/",Sync!$L815)+1,20))-1))),2)&amp;"/"&amp;RIGHT("00"&amp;VALUE(TRIM(MID(MID(Sync!$L815,FIND("/",Sync!$L815)+1,20),FIND("/",MID(Sync!$L815,FIND("/",Sync!$L815)+1,20))+1,20))),2),"")))</f>
        <v/>
      </c>
    </row>
    <row r="816" spans="13:14" x14ac:dyDescent="0.2">
      <c r="M816" t="str">
        <f>IF(Sync!$M816&lt;&gt;"پاس چک","",IF(Sync!$P816="","",Sync!$P816))</f>
        <v/>
      </c>
      <c r="N816" t="str">
        <f>IF($M816="","",IF(ISNUMBER(Sync!$L816),IF(AND(Sync!$L816&gt;=10000101,Sync!$L816&lt;=99991231),RIGHT("0000"&amp;INT(Sync!$L816/10000),4)&amp;"/"&amp;RIGHT("00"&amp;INT(MOD(Sync!$L816,10000)/100),2)&amp;"/"&amp;RIGHT("00"&amp;MOD(Sync!$L816,100),2),""),IFERROR(RIGHT("0000"&amp;VALUE(TRIM(LEFT(Sync!$L816,FIND("/",Sync!$L816)-1))),4)&amp;"/"&amp;RIGHT("00"&amp;VALUE(TRIM(LEFT(MID(Sync!$L816,FIND("/",Sync!$L816)+1,20),FIND("/",MID(Sync!$L816,FIND("/",Sync!$L816)+1,20))-1))),2)&amp;"/"&amp;RIGHT("00"&amp;VALUE(TRIM(MID(MID(Sync!$L816,FIND("/",Sync!$L816)+1,20),FIND("/",MID(Sync!$L816,FIND("/",Sync!$L816)+1,20))+1,20))),2),"")))</f>
        <v/>
      </c>
    </row>
    <row r="817" spans="13:14" x14ac:dyDescent="0.2">
      <c r="M817" t="str">
        <f>IF(Sync!$M817&lt;&gt;"پاس چک","",IF(Sync!$P817="","",Sync!$P817))</f>
        <v/>
      </c>
      <c r="N817" t="str">
        <f>IF($M817="","",IF(ISNUMBER(Sync!$L817),IF(AND(Sync!$L817&gt;=10000101,Sync!$L817&lt;=99991231),RIGHT("0000"&amp;INT(Sync!$L817/10000),4)&amp;"/"&amp;RIGHT("00"&amp;INT(MOD(Sync!$L817,10000)/100),2)&amp;"/"&amp;RIGHT("00"&amp;MOD(Sync!$L817,100),2),""),IFERROR(RIGHT("0000"&amp;VALUE(TRIM(LEFT(Sync!$L817,FIND("/",Sync!$L817)-1))),4)&amp;"/"&amp;RIGHT("00"&amp;VALUE(TRIM(LEFT(MID(Sync!$L817,FIND("/",Sync!$L817)+1,20),FIND("/",MID(Sync!$L817,FIND("/",Sync!$L817)+1,20))-1))),2)&amp;"/"&amp;RIGHT("00"&amp;VALUE(TRIM(MID(MID(Sync!$L817,FIND("/",Sync!$L817)+1,20),FIND("/",MID(Sync!$L817,FIND("/",Sync!$L817)+1,20))+1,20))),2),"")))</f>
        <v/>
      </c>
    </row>
    <row r="818" spans="13:14" x14ac:dyDescent="0.2">
      <c r="M818" t="str">
        <f>IF(Sync!$M818&lt;&gt;"پاس چک","",IF(Sync!$P818="","",Sync!$P818))</f>
        <v/>
      </c>
      <c r="N818" t="str">
        <f>IF($M818="","",IF(ISNUMBER(Sync!$L818),IF(AND(Sync!$L818&gt;=10000101,Sync!$L818&lt;=99991231),RIGHT("0000"&amp;INT(Sync!$L818/10000),4)&amp;"/"&amp;RIGHT("00"&amp;INT(MOD(Sync!$L818,10000)/100),2)&amp;"/"&amp;RIGHT("00"&amp;MOD(Sync!$L818,100),2),""),IFERROR(RIGHT("0000"&amp;VALUE(TRIM(LEFT(Sync!$L818,FIND("/",Sync!$L818)-1))),4)&amp;"/"&amp;RIGHT("00"&amp;VALUE(TRIM(LEFT(MID(Sync!$L818,FIND("/",Sync!$L818)+1,20),FIND("/",MID(Sync!$L818,FIND("/",Sync!$L818)+1,20))-1))),2)&amp;"/"&amp;RIGHT("00"&amp;VALUE(TRIM(MID(MID(Sync!$L818,FIND("/",Sync!$L818)+1,20),FIND("/",MID(Sync!$L818,FIND("/",Sync!$L818)+1,20))+1,20))),2),"")))</f>
        <v/>
      </c>
    </row>
    <row r="819" spans="13:14" x14ac:dyDescent="0.2">
      <c r="M819" t="str">
        <f>IF(Sync!$M819&lt;&gt;"پاس چک","",IF(Sync!$P819="","",Sync!$P819))</f>
        <v/>
      </c>
      <c r="N819" t="str">
        <f>IF($M819="","",IF(ISNUMBER(Sync!$L819),IF(AND(Sync!$L819&gt;=10000101,Sync!$L819&lt;=99991231),RIGHT("0000"&amp;INT(Sync!$L819/10000),4)&amp;"/"&amp;RIGHT("00"&amp;INT(MOD(Sync!$L819,10000)/100),2)&amp;"/"&amp;RIGHT("00"&amp;MOD(Sync!$L819,100),2),""),IFERROR(RIGHT("0000"&amp;VALUE(TRIM(LEFT(Sync!$L819,FIND("/",Sync!$L819)-1))),4)&amp;"/"&amp;RIGHT("00"&amp;VALUE(TRIM(LEFT(MID(Sync!$L819,FIND("/",Sync!$L819)+1,20),FIND("/",MID(Sync!$L819,FIND("/",Sync!$L819)+1,20))-1))),2)&amp;"/"&amp;RIGHT("00"&amp;VALUE(TRIM(MID(MID(Sync!$L819,FIND("/",Sync!$L819)+1,20),FIND("/",MID(Sync!$L819,FIND("/",Sync!$L819)+1,20))+1,20))),2),"")))</f>
        <v/>
      </c>
    </row>
    <row r="820" spans="13:14" x14ac:dyDescent="0.2">
      <c r="M820" t="str">
        <f>IF(Sync!$M820&lt;&gt;"پاس چک","",IF(Sync!$P820="","",Sync!$P820))</f>
        <v/>
      </c>
      <c r="N820" t="str">
        <f>IF($M820="","",IF(ISNUMBER(Sync!$L820),IF(AND(Sync!$L820&gt;=10000101,Sync!$L820&lt;=99991231),RIGHT("0000"&amp;INT(Sync!$L820/10000),4)&amp;"/"&amp;RIGHT("00"&amp;INT(MOD(Sync!$L820,10000)/100),2)&amp;"/"&amp;RIGHT("00"&amp;MOD(Sync!$L820,100),2),""),IFERROR(RIGHT("0000"&amp;VALUE(TRIM(LEFT(Sync!$L820,FIND("/",Sync!$L820)-1))),4)&amp;"/"&amp;RIGHT("00"&amp;VALUE(TRIM(LEFT(MID(Sync!$L820,FIND("/",Sync!$L820)+1,20),FIND("/",MID(Sync!$L820,FIND("/",Sync!$L820)+1,20))-1))),2)&amp;"/"&amp;RIGHT("00"&amp;VALUE(TRIM(MID(MID(Sync!$L820,FIND("/",Sync!$L820)+1,20),FIND("/",MID(Sync!$L820,FIND("/",Sync!$L820)+1,20))+1,20))),2),"")))</f>
        <v/>
      </c>
    </row>
    <row r="821" spans="13:14" x14ac:dyDescent="0.2">
      <c r="M821" t="str">
        <f>IF(Sync!$M821&lt;&gt;"پاس چک","",IF(Sync!$P821="","",Sync!$P821))</f>
        <v/>
      </c>
      <c r="N821" t="str">
        <f>IF($M821="","",IF(ISNUMBER(Sync!$L821),IF(AND(Sync!$L821&gt;=10000101,Sync!$L821&lt;=99991231),RIGHT("0000"&amp;INT(Sync!$L821/10000),4)&amp;"/"&amp;RIGHT("00"&amp;INT(MOD(Sync!$L821,10000)/100),2)&amp;"/"&amp;RIGHT("00"&amp;MOD(Sync!$L821,100),2),""),IFERROR(RIGHT("0000"&amp;VALUE(TRIM(LEFT(Sync!$L821,FIND("/",Sync!$L821)-1))),4)&amp;"/"&amp;RIGHT("00"&amp;VALUE(TRIM(LEFT(MID(Sync!$L821,FIND("/",Sync!$L821)+1,20),FIND("/",MID(Sync!$L821,FIND("/",Sync!$L821)+1,20))-1))),2)&amp;"/"&amp;RIGHT("00"&amp;VALUE(TRIM(MID(MID(Sync!$L821,FIND("/",Sync!$L821)+1,20),FIND("/",MID(Sync!$L821,FIND("/",Sync!$L821)+1,20))+1,20))),2),"")))</f>
        <v/>
      </c>
    </row>
    <row r="822" spans="13:14" x14ac:dyDescent="0.2">
      <c r="M822" t="str">
        <f>IF(Sync!$M822&lt;&gt;"پاس چک","",IF(Sync!$P822="","",Sync!$P822))</f>
        <v/>
      </c>
      <c r="N822" t="str">
        <f>IF($M822="","",IF(ISNUMBER(Sync!$L822),IF(AND(Sync!$L822&gt;=10000101,Sync!$L822&lt;=99991231),RIGHT("0000"&amp;INT(Sync!$L822/10000),4)&amp;"/"&amp;RIGHT("00"&amp;INT(MOD(Sync!$L822,10000)/100),2)&amp;"/"&amp;RIGHT("00"&amp;MOD(Sync!$L822,100),2),""),IFERROR(RIGHT("0000"&amp;VALUE(TRIM(LEFT(Sync!$L822,FIND("/",Sync!$L822)-1))),4)&amp;"/"&amp;RIGHT("00"&amp;VALUE(TRIM(LEFT(MID(Sync!$L822,FIND("/",Sync!$L822)+1,20),FIND("/",MID(Sync!$L822,FIND("/",Sync!$L822)+1,20))-1))),2)&amp;"/"&amp;RIGHT("00"&amp;VALUE(TRIM(MID(MID(Sync!$L822,FIND("/",Sync!$L822)+1,20),FIND("/",MID(Sync!$L822,FIND("/",Sync!$L822)+1,20))+1,20))),2),"")))</f>
        <v/>
      </c>
    </row>
    <row r="823" spans="13:14" x14ac:dyDescent="0.2">
      <c r="M823" t="str">
        <f>IF(Sync!$M823&lt;&gt;"پاس چک","",IF(Sync!$P823="","",Sync!$P823))</f>
        <v/>
      </c>
      <c r="N823" t="str">
        <f>IF($M823="","",IF(ISNUMBER(Sync!$L823),IF(AND(Sync!$L823&gt;=10000101,Sync!$L823&lt;=99991231),RIGHT("0000"&amp;INT(Sync!$L823/10000),4)&amp;"/"&amp;RIGHT("00"&amp;INT(MOD(Sync!$L823,10000)/100),2)&amp;"/"&amp;RIGHT("00"&amp;MOD(Sync!$L823,100),2),""),IFERROR(RIGHT("0000"&amp;VALUE(TRIM(LEFT(Sync!$L823,FIND("/",Sync!$L823)-1))),4)&amp;"/"&amp;RIGHT("00"&amp;VALUE(TRIM(LEFT(MID(Sync!$L823,FIND("/",Sync!$L823)+1,20),FIND("/",MID(Sync!$L823,FIND("/",Sync!$L823)+1,20))-1))),2)&amp;"/"&amp;RIGHT("00"&amp;VALUE(TRIM(MID(MID(Sync!$L823,FIND("/",Sync!$L823)+1,20),FIND("/",MID(Sync!$L823,FIND("/",Sync!$L823)+1,20))+1,20))),2),"")))</f>
        <v/>
      </c>
    </row>
    <row r="824" spans="13:14" x14ac:dyDescent="0.2">
      <c r="M824" t="str">
        <f>IF(Sync!$M824&lt;&gt;"پاس چک","",IF(Sync!$P824="","",Sync!$P824))</f>
        <v/>
      </c>
      <c r="N824" t="str">
        <f>IF($M824="","",IF(ISNUMBER(Sync!$L824),IF(AND(Sync!$L824&gt;=10000101,Sync!$L824&lt;=99991231),RIGHT("0000"&amp;INT(Sync!$L824/10000),4)&amp;"/"&amp;RIGHT("00"&amp;INT(MOD(Sync!$L824,10000)/100),2)&amp;"/"&amp;RIGHT("00"&amp;MOD(Sync!$L824,100),2),""),IFERROR(RIGHT("0000"&amp;VALUE(TRIM(LEFT(Sync!$L824,FIND("/",Sync!$L824)-1))),4)&amp;"/"&amp;RIGHT("00"&amp;VALUE(TRIM(LEFT(MID(Sync!$L824,FIND("/",Sync!$L824)+1,20),FIND("/",MID(Sync!$L824,FIND("/",Sync!$L824)+1,20))-1))),2)&amp;"/"&amp;RIGHT("00"&amp;VALUE(TRIM(MID(MID(Sync!$L824,FIND("/",Sync!$L824)+1,20),FIND("/",MID(Sync!$L824,FIND("/",Sync!$L824)+1,20))+1,20))),2),"")))</f>
        <v/>
      </c>
    </row>
    <row r="825" spans="13:14" x14ac:dyDescent="0.2">
      <c r="M825" t="str">
        <f>IF(Sync!$M825&lt;&gt;"پاس چک","",IF(Sync!$P825="","",Sync!$P825))</f>
        <v/>
      </c>
      <c r="N825" t="str">
        <f>IF($M825="","",IF(ISNUMBER(Sync!$L825),IF(AND(Sync!$L825&gt;=10000101,Sync!$L825&lt;=99991231),RIGHT("0000"&amp;INT(Sync!$L825/10000),4)&amp;"/"&amp;RIGHT("00"&amp;INT(MOD(Sync!$L825,10000)/100),2)&amp;"/"&amp;RIGHT("00"&amp;MOD(Sync!$L825,100),2),""),IFERROR(RIGHT("0000"&amp;VALUE(TRIM(LEFT(Sync!$L825,FIND("/",Sync!$L825)-1))),4)&amp;"/"&amp;RIGHT("00"&amp;VALUE(TRIM(LEFT(MID(Sync!$L825,FIND("/",Sync!$L825)+1,20),FIND("/",MID(Sync!$L825,FIND("/",Sync!$L825)+1,20))-1))),2)&amp;"/"&amp;RIGHT("00"&amp;VALUE(TRIM(MID(MID(Sync!$L825,FIND("/",Sync!$L825)+1,20),FIND("/",MID(Sync!$L825,FIND("/",Sync!$L825)+1,20))+1,20))),2),"")))</f>
        <v/>
      </c>
    </row>
    <row r="826" spans="13:14" x14ac:dyDescent="0.2">
      <c r="M826" t="str">
        <f>IF(Sync!$M826&lt;&gt;"پاس چک","",IF(Sync!$P826="","",Sync!$P826))</f>
        <v/>
      </c>
      <c r="N826" t="str">
        <f>IF($M826="","",IF(ISNUMBER(Sync!$L826),IF(AND(Sync!$L826&gt;=10000101,Sync!$L826&lt;=99991231),RIGHT("0000"&amp;INT(Sync!$L826/10000),4)&amp;"/"&amp;RIGHT("00"&amp;INT(MOD(Sync!$L826,10000)/100),2)&amp;"/"&amp;RIGHT("00"&amp;MOD(Sync!$L826,100),2),""),IFERROR(RIGHT("0000"&amp;VALUE(TRIM(LEFT(Sync!$L826,FIND("/",Sync!$L826)-1))),4)&amp;"/"&amp;RIGHT("00"&amp;VALUE(TRIM(LEFT(MID(Sync!$L826,FIND("/",Sync!$L826)+1,20),FIND("/",MID(Sync!$L826,FIND("/",Sync!$L826)+1,20))-1))),2)&amp;"/"&amp;RIGHT("00"&amp;VALUE(TRIM(MID(MID(Sync!$L826,FIND("/",Sync!$L826)+1,20),FIND("/",MID(Sync!$L826,FIND("/",Sync!$L826)+1,20))+1,20))),2),"")))</f>
        <v/>
      </c>
    </row>
    <row r="827" spans="13:14" x14ac:dyDescent="0.2">
      <c r="M827" t="str">
        <f>IF(Sync!$M827&lt;&gt;"پاس چک","",IF(Sync!$P827="","",Sync!$P827))</f>
        <v/>
      </c>
      <c r="N827" t="str">
        <f>IF($M827="","",IF(ISNUMBER(Sync!$L827),IF(AND(Sync!$L827&gt;=10000101,Sync!$L827&lt;=99991231),RIGHT("0000"&amp;INT(Sync!$L827/10000),4)&amp;"/"&amp;RIGHT("00"&amp;INT(MOD(Sync!$L827,10000)/100),2)&amp;"/"&amp;RIGHT("00"&amp;MOD(Sync!$L827,100),2),""),IFERROR(RIGHT("0000"&amp;VALUE(TRIM(LEFT(Sync!$L827,FIND("/",Sync!$L827)-1))),4)&amp;"/"&amp;RIGHT("00"&amp;VALUE(TRIM(LEFT(MID(Sync!$L827,FIND("/",Sync!$L827)+1,20),FIND("/",MID(Sync!$L827,FIND("/",Sync!$L827)+1,20))-1))),2)&amp;"/"&amp;RIGHT("00"&amp;VALUE(TRIM(MID(MID(Sync!$L827,FIND("/",Sync!$L827)+1,20),FIND("/",MID(Sync!$L827,FIND("/",Sync!$L827)+1,20))+1,20))),2),"")))</f>
        <v/>
      </c>
    </row>
    <row r="828" spans="13:14" x14ac:dyDescent="0.2">
      <c r="M828" t="str">
        <f>IF(Sync!$M828&lt;&gt;"پاس چک","",IF(Sync!$P828="","",Sync!$P828))</f>
        <v/>
      </c>
      <c r="N828" t="str">
        <f>IF($M828="","",IF(ISNUMBER(Sync!$L828),IF(AND(Sync!$L828&gt;=10000101,Sync!$L828&lt;=99991231),RIGHT("0000"&amp;INT(Sync!$L828/10000),4)&amp;"/"&amp;RIGHT("00"&amp;INT(MOD(Sync!$L828,10000)/100),2)&amp;"/"&amp;RIGHT("00"&amp;MOD(Sync!$L828,100),2),""),IFERROR(RIGHT("0000"&amp;VALUE(TRIM(LEFT(Sync!$L828,FIND("/",Sync!$L828)-1))),4)&amp;"/"&amp;RIGHT("00"&amp;VALUE(TRIM(LEFT(MID(Sync!$L828,FIND("/",Sync!$L828)+1,20),FIND("/",MID(Sync!$L828,FIND("/",Sync!$L828)+1,20))-1))),2)&amp;"/"&amp;RIGHT("00"&amp;VALUE(TRIM(MID(MID(Sync!$L828,FIND("/",Sync!$L828)+1,20),FIND("/",MID(Sync!$L828,FIND("/",Sync!$L828)+1,20))+1,20))),2),"")))</f>
        <v/>
      </c>
    </row>
    <row r="829" spans="13:14" x14ac:dyDescent="0.2">
      <c r="M829" t="str">
        <f>IF(Sync!$M829&lt;&gt;"پاس چک","",IF(Sync!$P829="","",Sync!$P829))</f>
        <v/>
      </c>
      <c r="N829" t="str">
        <f>IF($M829="","",IF(ISNUMBER(Sync!$L829),IF(AND(Sync!$L829&gt;=10000101,Sync!$L829&lt;=99991231),RIGHT("0000"&amp;INT(Sync!$L829/10000),4)&amp;"/"&amp;RIGHT("00"&amp;INT(MOD(Sync!$L829,10000)/100),2)&amp;"/"&amp;RIGHT("00"&amp;MOD(Sync!$L829,100),2),""),IFERROR(RIGHT("0000"&amp;VALUE(TRIM(LEFT(Sync!$L829,FIND("/",Sync!$L829)-1))),4)&amp;"/"&amp;RIGHT("00"&amp;VALUE(TRIM(LEFT(MID(Sync!$L829,FIND("/",Sync!$L829)+1,20),FIND("/",MID(Sync!$L829,FIND("/",Sync!$L829)+1,20))-1))),2)&amp;"/"&amp;RIGHT("00"&amp;VALUE(TRIM(MID(MID(Sync!$L829,FIND("/",Sync!$L829)+1,20),FIND("/",MID(Sync!$L829,FIND("/",Sync!$L829)+1,20))+1,20))),2),"")))</f>
        <v/>
      </c>
    </row>
    <row r="830" spans="13:14" x14ac:dyDescent="0.2">
      <c r="M830" t="str">
        <f>IF(Sync!$M830&lt;&gt;"پاس چک","",IF(Sync!$P830="","",Sync!$P830))</f>
        <v/>
      </c>
      <c r="N830" t="str">
        <f>IF($M830="","",IF(ISNUMBER(Sync!$L830),IF(AND(Sync!$L830&gt;=10000101,Sync!$L830&lt;=99991231),RIGHT("0000"&amp;INT(Sync!$L830/10000),4)&amp;"/"&amp;RIGHT("00"&amp;INT(MOD(Sync!$L830,10000)/100),2)&amp;"/"&amp;RIGHT("00"&amp;MOD(Sync!$L830,100),2),""),IFERROR(RIGHT("0000"&amp;VALUE(TRIM(LEFT(Sync!$L830,FIND("/",Sync!$L830)-1))),4)&amp;"/"&amp;RIGHT("00"&amp;VALUE(TRIM(LEFT(MID(Sync!$L830,FIND("/",Sync!$L830)+1,20),FIND("/",MID(Sync!$L830,FIND("/",Sync!$L830)+1,20))-1))),2)&amp;"/"&amp;RIGHT("00"&amp;VALUE(TRIM(MID(MID(Sync!$L830,FIND("/",Sync!$L830)+1,20),FIND("/",MID(Sync!$L830,FIND("/",Sync!$L830)+1,20))+1,20))),2),"")))</f>
        <v/>
      </c>
    </row>
    <row r="831" spans="13:14" x14ac:dyDescent="0.2">
      <c r="M831" t="str">
        <f>IF(Sync!$M831&lt;&gt;"پاس چک","",IF(Sync!$P831="","",Sync!$P831))</f>
        <v/>
      </c>
      <c r="N831" t="str">
        <f>IF($M831="","",IF(ISNUMBER(Sync!$L831),IF(AND(Sync!$L831&gt;=10000101,Sync!$L831&lt;=99991231),RIGHT("0000"&amp;INT(Sync!$L831/10000),4)&amp;"/"&amp;RIGHT("00"&amp;INT(MOD(Sync!$L831,10000)/100),2)&amp;"/"&amp;RIGHT("00"&amp;MOD(Sync!$L831,100),2),""),IFERROR(RIGHT("0000"&amp;VALUE(TRIM(LEFT(Sync!$L831,FIND("/",Sync!$L831)-1))),4)&amp;"/"&amp;RIGHT("00"&amp;VALUE(TRIM(LEFT(MID(Sync!$L831,FIND("/",Sync!$L831)+1,20),FIND("/",MID(Sync!$L831,FIND("/",Sync!$L831)+1,20))-1))),2)&amp;"/"&amp;RIGHT("00"&amp;VALUE(TRIM(MID(MID(Sync!$L831,FIND("/",Sync!$L831)+1,20),FIND("/",MID(Sync!$L831,FIND("/",Sync!$L831)+1,20))+1,20))),2),"")))</f>
        <v/>
      </c>
    </row>
    <row r="832" spans="13:14" x14ac:dyDescent="0.2">
      <c r="M832" t="str">
        <f>IF(Sync!$M832&lt;&gt;"پاس چک","",IF(Sync!$P832="","",Sync!$P832))</f>
        <v/>
      </c>
      <c r="N832" t="str">
        <f>IF($M832="","",IF(ISNUMBER(Sync!$L832),IF(AND(Sync!$L832&gt;=10000101,Sync!$L832&lt;=99991231),RIGHT("0000"&amp;INT(Sync!$L832/10000),4)&amp;"/"&amp;RIGHT("00"&amp;INT(MOD(Sync!$L832,10000)/100),2)&amp;"/"&amp;RIGHT("00"&amp;MOD(Sync!$L832,100),2),""),IFERROR(RIGHT("0000"&amp;VALUE(TRIM(LEFT(Sync!$L832,FIND("/",Sync!$L832)-1))),4)&amp;"/"&amp;RIGHT("00"&amp;VALUE(TRIM(LEFT(MID(Sync!$L832,FIND("/",Sync!$L832)+1,20),FIND("/",MID(Sync!$L832,FIND("/",Sync!$L832)+1,20))-1))),2)&amp;"/"&amp;RIGHT("00"&amp;VALUE(TRIM(MID(MID(Sync!$L832,FIND("/",Sync!$L832)+1,20),FIND("/",MID(Sync!$L832,FIND("/",Sync!$L832)+1,20))+1,20))),2),"")))</f>
        <v/>
      </c>
    </row>
    <row r="833" spans="13:14" x14ac:dyDescent="0.2">
      <c r="M833" t="str">
        <f>IF(Sync!$M833&lt;&gt;"پاس چک","",IF(Sync!$P833="","",Sync!$P833))</f>
        <v/>
      </c>
      <c r="N833" t="str">
        <f>IF($M833="","",IF(ISNUMBER(Sync!$L833),IF(AND(Sync!$L833&gt;=10000101,Sync!$L833&lt;=99991231),RIGHT("0000"&amp;INT(Sync!$L833/10000),4)&amp;"/"&amp;RIGHT("00"&amp;INT(MOD(Sync!$L833,10000)/100),2)&amp;"/"&amp;RIGHT("00"&amp;MOD(Sync!$L833,100),2),""),IFERROR(RIGHT("0000"&amp;VALUE(TRIM(LEFT(Sync!$L833,FIND("/",Sync!$L833)-1))),4)&amp;"/"&amp;RIGHT("00"&amp;VALUE(TRIM(LEFT(MID(Sync!$L833,FIND("/",Sync!$L833)+1,20),FIND("/",MID(Sync!$L833,FIND("/",Sync!$L833)+1,20))-1))),2)&amp;"/"&amp;RIGHT("00"&amp;VALUE(TRIM(MID(MID(Sync!$L833,FIND("/",Sync!$L833)+1,20),FIND("/",MID(Sync!$L833,FIND("/",Sync!$L833)+1,20))+1,20))),2),"")))</f>
        <v/>
      </c>
    </row>
    <row r="834" spans="13:14" x14ac:dyDescent="0.2">
      <c r="M834" t="str">
        <f>IF(Sync!$M834&lt;&gt;"پاس چک","",IF(Sync!$P834="","",Sync!$P834))</f>
        <v/>
      </c>
      <c r="N834" t="str">
        <f>IF($M834="","",IF(ISNUMBER(Sync!$L834),IF(AND(Sync!$L834&gt;=10000101,Sync!$L834&lt;=99991231),RIGHT("0000"&amp;INT(Sync!$L834/10000),4)&amp;"/"&amp;RIGHT("00"&amp;INT(MOD(Sync!$L834,10000)/100),2)&amp;"/"&amp;RIGHT("00"&amp;MOD(Sync!$L834,100),2),""),IFERROR(RIGHT("0000"&amp;VALUE(TRIM(LEFT(Sync!$L834,FIND("/",Sync!$L834)-1))),4)&amp;"/"&amp;RIGHT("00"&amp;VALUE(TRIM(LEFT(MID(Sync!$L834,FIND("/",Sync!$L834)+1,20),FIND("/",MID(Sync!$L834,FIND("/",Sync!$L834)+1,20))-1))),2)&amp;"/"&amp;RIGHT("00"&amp;VALUE(TRIM(MID(MID(Sync!$L834,FIND("/",Sync!$L834)+1,20),FIND("/",MID(Sync!$L834,FIND("/",Sync!$L834)+1,20))+1,20))),2),"")))</f>
        <v/>
      </c>
    </row>
    <row r="835" spans="13:14" x14ac:dyDescent="0.2">
      <c r="M835" t="str">
        <f>IF(Sync!$M835&lt;&gt;"پاس چک","",IF(Sync!$P835="","",Sync!$P835))</f>
        <v/>
      </c>
      <c r="N835" t="str">
        <f>IF($M835="","",IF(ISNUMBER(Sync!$L835),IF(AND(Sync!$L835&gt;=10000101,Sync!$L835&lt;=99991231),RIGHT("0000"&amp;INT(Sync!$L835/10000),4)&amp;"/"&amp;RIGHT("00"&amp;INT(MOD(Sync!$L835,10000)/100),2)&amp;"/"&amp;RIGHT("00"&amp;MOD(Sync!$L835,100),2),""),IFERROR(RIGHT("0000"&amp;VALUE(TRIM(LEFT(Sync!$L835,FIND("/",Sync!$L835)-1))),4)&amp;"/"&amp;RIGHT("00"&amp;VALUE(TRIM(LEFT(MID(Sync!$L835,FIND("/",Sync!$L835)+1,20),FIND("/",MID(Sync!$L835,FIND("/",Sync!$L835)+1,20))-1))),2)&amp;"/"&amp;RIGHT("00"&amp;VALUE(TRIM(MID(MID(Sync!$L835,FIND("/",Sync!$L835)+1,20),FIND("/",MID(Sync!$L835,FIND("/",Sync!$L835)+1,20))+1,20))),2),"")))</f>
        <v/>
      </c>
    </row>
    <row r="836" spans="13:14" x14ac:dyDescent="0.2">
      <c r="M836" t="str">
        <f>IF(Sync!$M836&lt;&gt;"پاس چک","",IF(Sync!$P836="","",Sync!$P836))</f>
        <v/>
      </c>
      <c r="N836" t="str">
        <f>IF($M836="","",IF(ISNUMBER(Sync!$L836),IF(AND(Sync!$L836&gt;=10000101,Sync!$L836&lt;=99991231),RIGHT("0000"&amp;INT(Sync!$L836/10000),4)&amp;"/"&amp;RIGHT("00"&amp;INT(MOD(Sync!$L836,10000)/100),2)&amp;"/"&amp;RIGHT("00"&amp;MOD(Sync!$L836,100),2),""),IFERROR(RIGHT("0000"&amp;VALUE(TRIM(LEFT(Sync!$L836,FIND("/",Sync!$L836)-1))),4)&amp;"/"&amp;RIGHT("00"&amp;VALUE(TRIM(LEFT(MID(Sync!$L836,FIND("/",Sync!$L836)+1,20),FIND("/",MID(Sync!$L836,FIND("/",Sync!$L836)+1,20))-1))),2)&amp;"/"&amp;RIGHT("00"&amp;VALUE(TRIM(MID(MID(Sync!$L836,FIND("/",Sync!$L836)+1,20),FIND("/",MID(Sync!$L836,FIND("/",Sync!$L836)+1,20))+1,20))),2),"")))</f>
        <v/>
      </c>
    </row>
    <row r="837" spans="13:14" x14ac:dyDescent="0.2">
      <c r="M837" t="str">
        <f>IF(Sync!$M837&lt;&gt;"پاس چک","",IF(Sync!$P837="","",Sync!$P837))</f>
        <v/>
      </c>
      <c r="N837" t="str">
        <f>IF($M837="","",IF(ISNUMBER(Sync!$L837),IF(AND(Sync!$L837&gt;=10000101,Sync!$L837&lt;=99991231),RIGHT("0000"&amp;INT(Sync!$L837/10000),4)&amp;"/"&amp;RIGHT("00"&amp;INT(MOD(Sync!$L837,10000)/100),2)&amp;"/"&amp;RIGHT("00"&amp;MOD(Sync!$L837,100),2),""),IFERROR(RIGHT("0000"&amp;VALUE(TRIM(LEFT(Sync!$L837,FIND("/",Sync!$L837)-1))),4)&amp;"/"&amp;RIGHT("00"&amp;VALUE(TRIM(LEFT(MID(Sync!$L837,FIND("/",Sync!$L837)+1,20),FIND("/",MID(Sync!$L837,FIND("/",Sync!$L837)+1,20))-1))),2)&amp;"/"&amp;RIGHT("00"&amp;VALUE(TRIM(MID(MID(Sync!$L837,FIND("/",Sync!$L837)+1,20),FIND("/",MID(Sync!$L837,FIND("/",Sync!$L837)+1,20))+1,20))),2),"")))</f>
        <v/>
      </c>
    </row>
    <row r="838" spans="13:14" x14ac:dyDescent="0.2">
      <c r="M838" t="str">
        <f>IF(Sync!$M838&lt;&gt;"پاس چک","",IF(Sync!$P838="","",Sync!$P838))</f>
        <v/>
      </c>
      <c r="N838" t="str">
        <f>IF($M838="","",IF(ISNUMBER(Sync!$L838),IF(AND(Sync!$L838&gt;=10000101,Sync!$L838&lt;=99991231),RIGHT("0000"&amp;INT(Sync!$L838/10000),4)&amp;"/"&amp;RIGHT("00"&amp;INT(MOD(Sync!$L838,10000)/100),2)&amp;"/"&amp;RIGHT("00"&amp;MOD(Sync!$L838,100),2),""),IFERROR(RIGHT("0000"&amp;VALUE(TRIM(LEFT(Sync!$L838,FIND("/",Sync!$L838)-1))),4)&amp;"/"&amp;RIGHT("00"&amp;VALUE(TRIM(LEFT(MID(Sync!$L838,FIND("/",Sync!$L838)+1,20),FIND("/",MID(Sync!$L838,FIND("/",Sync!$L838)+1,20))-1))),2)&amp;"/"&amp;RIGHT("00"&amp;VALUE(TRIM(MID(MID(Sync!$L838,FIND("/",Sync!$L838)+1,20),FIND("/",MID(Sync!$L838,FIND("/",Sync!$L838)+1,20))+1,20))),2),"")))</f>
        <v/>
      </c>
    </row>
    <row r="839" spans="13:14" x14ac:dyDescent="0.2">
      <c r="M839" t="str">
        <f>IF(Sync!$M839&lt;&gt;"پاس چک","",IF(Sync!$P839="","",Sync!$P839))</f>
        <v/>
      </c>
      <c r="N839" t="str">
        <f>IF($M839="","",IF(ISNUMBER(Sync!$L839),IF(AND(Sync!$L839&gt;=10000101,Sync!$L839&lt;=99991231),RIGHT("0000"&amp;INT(Sync!$L839/10000),4)&amp;"/"&amp;RIGHT("00"&amp;INT(MOD(Sync!$L839,10000)/100),2)&amp;"/"&amp;RIGHT("00"&amp;MOD(Sync!$L839,100),2),""),IFERROR(RIGHT("0000"&amp;VALUE(TRIM(LEFT(Sync!$L839,FIND("/",Sync!$L839)-1))),4)&amp;"/"&amp;RIGHT("00"&amp;VALUE(TRIM(LEFT(MID(Sync!$L839,FIND("/",Sync!$L839)+1,20),FIND("/",MID(Sync!$L839,FIND("/",Sync!$L839)+1,20))-1))),2)&amp;"/"&amp;RIGHT("00"&amp;VALUE(TRIM(MID(MID(Sync!$L839,FIND("/",Sync!$L839)+1,20),FIND("/",MID(Sync!$L839,FIND("/",Sync!$L839)+1,20))+1,20))),2),"")))</f>
        <v/>
      </c>
    </row>
    <row r="840" spans="13:14" x14ac:dyDescent="0.2">
      <c r="M840" t="str">
        <f>IF(Sync!$M840&lt;&gt;"پاس چک","",IF(Sync!$P840="","",Sync!$P840))</f>
        <v/>
      </c>
      <c r="N840" t="str">
        <f>IF($M840="","",IF(ISNUMBER(Sync!$L840),IF(AND(Sync!$L840&gt;=10000101,Sync!$L840&lt;=99991231),RIGHT("0000"&amp;INT(Sync!$L840/10000),4)&amp;"/"&amp;RIGHT("00"&amp;INT(MOD(Sync!$L840,10000)/100),2)&amp;"/"&amp;RIGHT("00"&amp;MOD(Sync!$L840,100),2),""),IFERROR(RIGHT("0000"&amp;VALUE(TRIM(LEFT(Sync!$L840,FIND("/",Sync!$L840)-1))),4)&amp;"/"&amp;RIGHT("00"&amp;VALUE(TRIM(LEFT(MID(Sync!$L840,FIND("/",Sync!$L840)+1,20),FIND("/",MID(Sync!$L840,FIND("/",Sync!$L840)+1,20))-1))),2)&amp;"/"&amp;RIGHT("00"&amp;VALUE(TRIM(MID(MID(Sync!$L840,FIND("/",Sync!$L840)+1,20),FIND("/",MID(Sync!$L840,FIND("/",Sync!$L840)+1,20))+1,20))),2),"")))</f>
        <v/>
      </c>
    </row>
    <row r="841" spans="13:14" x14ac:dyDescent="0.2">
      <c r="M841" t="str">
        <f>IF(Sync!$M841&lt;&gt;"پاس چک","",IF(Sync!$P841="","",Sync!$P841))</f>
        <v/>
      </c>
      <c r="N841" t="str">
        <f>IF($M841="","",IF(ISNUMBER(Sync!$L841),IF(AND(Sync!$L841&gt;=10000101,Sync!$L841&lt;=99991231),RIGHT("0000"&amp;INT(Sync!$L841/10000),4)&amp;"/"&amp;RIGHT("00"&amp;INT(MOD(Sync!$L841,10000)/100),2)&amp;"/"&amp;RIGHT("00"&amp;MOD(Sync!$L841,100),2),""),IFERROR(RIGHT("0000"&amp;VALUE(TRIM(LEFT(Sync!$L841,FIND("/",Sync!$L841)-1))),4)&amp;"/"&amp;RIGHT("00"&amp;VALUE(TRIM(LEFT(MID(Sync!$L841,FIND("/",Sync!$L841)+1,20),FIND("/",MID(Sync!$L841,FIND("/",Sync!$L841)+1,20))-1))),2)&amp;"/"&amp;RIGHT("00"&amp;VALUE(TRIM(MID(MID(Sync!$L841,FIND("/",Sync!$L841)+1,20),FIND("/",MID(Sync!$L841,FIND("/",Sync!$L841)+1,20))+1,20))),2),"")))</f>
        <v/>
      </c>
    </row>
    <row r="842" spans="13:14" x14ac:dyDescent="0.2">
      <c r="M842" t="str">
        <f>IF(Sync!$M842&lt;&gt;"پاس چک","",IF(Sync!$P842="","",Sync!$P842))</f>
        <v/>
      </c>
      <c r="N842" t="str">
        <f>IF($M842="","",IF(ISNUMBER(Sync!$L842),IF(AND(Sync!$L842&gt;=10000101,Sync!$L842&lt;=99991231),RIGHT("0000"&amp;INT(Sync!$L842/10000),4)&amp;"/"&amp;RIGHT("00"&amp;INT(MOD(Sync!$L842,10000)/100),2)&amp;"/"&amp;RIGHT("00"&amp;MOD(Sync!$L842,100),2),""),IFERROR(RIGHT("0000"&amp;VALUE(TRIM(LEFT(Sync!$L842,FIND("/",Sync!$L842)-1))),4)&amp;"/"&amp;RIGHT("00"&amp;VALUE(TRIM(LEFT(MID(Sync!$L842,FIND("/",Sync!$L842)+1,20),FIND("/",MID(Sync!$L842,FIND("/",Sync!$L842)+1,20))-1))),2)&amp;"/"&amp;RIGHT("00"&amp;VALUE(TRIM(MID(MID(Sync!$L842,FIND("/",Sync!$L842)+1,20),FIND("/",MID(Sync!$L842,FIND("/",Sync!$L842)+1,20))+1,20))),2),"")))</f>
        <v/>
      </c>
    </row>
    <row r="843" spans="13:14" x14ac:dyDescent="0.2">
      <c r="M843" t="str">
        <f>IF(Sync!$M843&lt;&gt;"پاس چک","",IF(Sync!$P843="","",Sync!$P843))</f>
        <v/>
      </c>
      <c r="N843" t="str">
        <f>IF($M843="","",IF(ISNUMBER(Sync!$L843),IF(AND(Sync!$L843&gt;=10000101,Sync!$L843&lt;=99991231),RIGHT("0000"&amp;INT(Sync!$L843/10000),4)&amp;"/"&amp;RIGHT("00"&amp;INT(MOD(Sync!$L843,10000)/100),2)&amp;"/"&amp;RIGHT("00"&amp;MOD(Sync!$L843,100),2),""),IFERROR(RIGHT("0000"&amp;VALUE(TRIM(LEFT(Sync!$L843,FIND("/",Sync!$L843)-1))),4)&amp;"/"&amp;RIGHT("00"&amp;VALUE(TRIM(LEFT(MID(Sync!$L843,FIND("/",Sync!$L843)+1,20),FIND("/",MID(Sync!$L843,FIND("/",Sync!$L843)+1,20))-1))),2)&amp;"/"&amp;RIGHT("00"&amp;VALUE(TRIM(MID(MID(Sync!$L843,FIND("/",Sync!$L843)+1,20),FIND("/",MID(Sync!$L843,FIND("/",Sync!$L843)+1,20))+1,20))),2),"")))</f>
        <v/>
      </c>
    </row>
    <row r="844" spans="13:14" x14ac:dyDescent="0.2">
      <c r="M844" t="str">
        <f>IF(Sync!$M844&lt;&gt;"پاس چک","",IF(Sync!$P844="","",Sync!$P844))</f>
        <v/>
      </c>
      <c r="N844" t="str">
        <f>IF($M844="","",IF(ISNUMBER(Sync!$L844),IF(AND(Sync!$L844&gt;=10000101,Sync!$L844&lt;=99991231),RIGHT("0000"&amp;INT(Sync!$L844/10000),4)&amp;"/"&amp;RIGHT("00"&amp;INT(MOD(Sync!$L844,10000)/100),2)&amp;"/"&amp;RIGHT("00"&amp;MOD(Sync!$L844,100),2),""),IFERROR(RIGHT("0000"&amp;VALUE(TRIM(LEFT(Sync!$L844,FIND("/",Sync!$L844)-1))),4)&amp;"/"&amp;RIGHT("00"&amp;VALUE(TRIM(LEFT(MID(Sync!$L844,FIND("/",Sync!$L844)+1,20),FIND("/",MID(Sync!$L844,FIND("/",Sync!$L844)+1,20))-1))),2)&amp;"/"&amp;RIGHT("00"&amp;VALUE(TRIM(MID(MID(Sync!$L844,FIND("/",Sync!$L844)+1,20),FIND("/",MID(Sync!$L844,FIND("/",Sync!$L844)+1,20))+1,20))),2),"")))</f>
        <v/>
      </c>
    </row>
    <row r="845" spans="13:14" x14ac:dyDescent="0.2">
      <c r="M845" t="str">
        <f>IF(Sync!$M845&lt;&gt;"پاس چک","",IF(Sync!$P845="","",Sync!$P845))</f>
        <v/>
      </c>
      <c r="N845" t="str">
        <f>IF($M845="","",IF(ISNUMBER(Sync!$L845),IF(AND(Sync!$L845&gt;=10000101,Sync!$L845&lt;=99991231),RIGHT("0000"&amp;INT(Sync!$L845/10000),4)&amp;"/"&amp;RIGHT("00"&amp;INT(MOD(Sync!$L845,10000)/100),2)&amp;"/"&amp;RIGHT("00"&amp;MOD(Sync!$L845,100),2),""),IFERROR(RIGHT("0000"&amp;VALUE(TRIM(LEFT(Sync!$L845,FIND("/",Sync!$L845)-1))),4)&amp;"/"&amp;RIGHT("00"&amp;VALUE(TRIM(LEFT(MID(Sync!$L845,FIND("/",Sync!$L845)+1,20),FIND("/",MID(Sync!$L845,FIND("/",Sync!$L845)+1,20))-1))),2)&amp;"/"&amp;RIGHT("00"&amp;VALUE(TRIM(MID(MID(Sync!$L845,FIND("/",Sync!$L845)+1,20),FIND("/",MID(Sync!$L845,FIND("/",Sync!$L845)+1,20))+1,20))),2),"")))</f>
        <v/>
      </c>
    </row>
    <row r="846" spans="13:14" x14ac:dyDescent="0.2">
      <c r="M846" t="str">
        <f>IF(Sync!$M846&lt;&gt;"پاس چک","",IF(Sync!$P846="","",Sync!$P846))</f>
        <v/>
      </c>
      <c r="N846" t="str">
        <f>IF($M846="","",IF(ISNUMBER(Sync!$L846),IF(AND(Sync!$L846&gt;=10000101,Sync!$L846&lt;=99991231),RIGHT("0000"&amp;INT(Sync!$L846/10000),4)&amp;"/"&amp;RIGHT("00"&amp;INT(MOD(Sync!$L846,10000)/100),2)&amp;"/"&amp;RIGHT("00"&amp;MOD(Sync!$L846,100),2),""),IFERROR(RIGHT("0000"&amp;VALUE(TRIM(LEFT(Sync!$L846,FIND("/",Sync!$L846)-1))),4)&amp;"/"&amp;RIGHT("00"&amp;VALUE(TRIM(LEFT(MID(Sync!$L846,FIND("/",Sync!$L846)+1,20),FIND("/",MID(Sync!$L846,FIND("/",Sync!$L846)+1,20))-1))),2)&amp;"/"&amp;RIGHT("00"&amp;VALUE(TRIM(MID(MID(Sync!$L846,FIND("/",Sync!$L846)+1,20),FIND("/",MID(Sync!$L846,FIND("/",Sync!$L846)+1,20))+1,20))),2),"")))</f>
        <v/>
      </c>
    </row>
    <row r="847" spans="13:14" x14ac:dyDescent="0.2">
      <c r="M847" t="str">
        <f>IF(Sync!$M847&lt;&gt;"پاس چک","",IF(Sync!$P847="","",Sync!$P847))</f>
        <v/>
      </c>
      <c r="N847" t="str">
        <f>IF($M847="","",IF(ISNUMBER(Sync!$L847),IF(AND(Sync!$L847&gt;=10000101,Sync!$L847&lt;=99991231),RIGHT("0000"&amp;INT(Sync!$L847/10000),4)&amp;"/"&amp;RIGHT("00"&amp;INT(MOD(Sync!$L847,10000)/100),2)&amp;"/"&amp;RIGHT("00"&amp;MOD(Sync!$L847,100),2),""),IFERROR(RIGHT("0000"&amp;VALUE(TRIM(LEFT(Sync!$L847,FIND("/",Sync!$L847)-1))),4)&amp;"/"&amp;RIGHT("00"&amp;VALUE(TRIM(LEFT(MID(Sync!$L847,FIND("/",Sync!$L847)+1,20),FIND("/",MID(Sync!$L847,FIND("/",Sync!$L847)+1,20))-1))),2)&amp;"/"&amp;RIGHT("00"&amp;VALUE(TRIM(MID(MID(Sync!$L847,FIND("/",Sync!$L847)+1,20),FIND("/",MID(Sync!$L847,FIND("/",Sync!$L847)+1,20))+1,20))),2),"")))</f>
        <v/>
      </c>
    </row>
    <row r="848" spans="13:14" x14ac:dyDescent="0.2">
      <c r="M848" t="str">
        <f>IF(Sync!$M848&lt;&gt;"پاس چک","",IF(Sync!$P848="","",Sync!$P848))</f>
        <v/>
      </c>
      <c r="N848" t="str">
        <f>IF($M848="","",IF(ISNUMBER(Sync!$L848),IF(AND(Sync!$L848&gt;=10000101,Sync!$L848&lt;=99991231),RIGHT("0000"&amp;INT(Sync!$L848/10000),4)&amp;"/"&amp;RIGHT("00"&amp;INT(MOD(Sync!$L848,10000)/100),2)&amp;"/"&amp;RIGHT("00"&amp;MOD(Sync!$L848,100),2),""),IFERROR(RIGHT("0000"&amp;VALUE(TRIM(LEFT(Sync!$L848,FIND("/",Sync!$L848)-1))),4)&amp;"/"&amp;RIGHT("00"&amp;VALUE(TRIM(LEFT(MID(Sync!$L848,FIND("/",Sync!$L848)+1,20),FIND("/",MID(Sync!$L848,FIND("/",Sync!$L848)+1,20))-1))),2)&amp;"/"&amp;RIGHT("00"&amp;VALUE(TRIM(MID(MID(Sync!$L848,FIND("/",Sync!$L848)+1,20),FIND("/",MID(Sync!$L848,FIND("/",Sync!$L848)+1,20))+1,20))),2),"")))</f>
        <v/>
      </c>
    </row>
    <row r="849" spans="13:14" x14ac:dyDescent="0.2">
      <c r="M849" t="str">
        <f>IF(Sync!$M849&lt;&gt;"پاس چک","",IF(Sync!$P849="","",Sync!$P849))</f>
        <v/>
      </c>
      <c r="N849" t="str">
        <f>IF($M849="","",IF(ISNUMBER(Sync!$L849),IF(AND(Sync!$L849&gt;=10000101,Sync!$L849&lt;=99991231),RIGHT("0000"&amp;INT(Sync!$L849/10000),4)&amp;"/"&amp;RIGHT("00"&amp;INT(MOD(Sync!$L849,10000)/100),2)&amp;"/"&amp;RIGHT("00"&amp;MOD(Sync!$L849,100),2),""),IFERROR(RIGHT("0000"&amp;VALUE(TRIM(LEFT(Sync!$L849,FIND("/",Sync!$L849)-1))),4)&amp;"/"&amp;RIGHT("00"&amp;VALUE(TRIM(LEFT(MID(Sync!$L849,FIND("/",Sync!$L849)+1,20),FIND("/",MID(Sync!$L849,FIND("/",Sync!$L849)+1,20))-1))),2)&amp;"/"&amp;RIGHT("00"&amp;VALUE(TRIM(MID(MID(Sync!$L849,FIND("/",Sync!$L849)+1,20),FIND("/",MID(Sync!$L849,FIND("/",Sync!$L849)+1,20))+1,20))),2),"")))</f>
        <v/>
      </c>
    </row>
    <row r="850" spans="13:14" x14ac:dyDescent="0.2">
      <c r="M850" t="str">
        <f>IF(Sync!$M850&lt;&gt;"پاس چک","",IF(Sync!$P850="","",Sync!$P850))</f>
        <v/>
      </c>
      <c r="N850" t="str">
        <f>IF($M850="","",IF(ISNUMBER(Sync!$L850),IF(AND(Sync!$L850&gt;=10000101,Sync!$L850&lt;=99991231),RIGHT("0000"&amp;INT(Sync!$L850/10000),4)&amp;"/"&amp;RIGHT("00"&amp;INT(MOD(Sync!$L850,10000)/100),2)&amp;"/"&amp;RIGHT("00"&amp;MOD(Sync!$L850,100),2),""),IFERROR(RIGHT("0000"&amp;VALUE(TRIM(LEFT(Sync!$L850,FIND("/",Sync!$L850)-1))),4)&amp;"/"&amp;RIGHT("00"&amp;VALUE(TRIM(LEFT(MID(Sync!$L850,FIND("/",Sync!$L850)+1,20),FIND("/",MID(Sync!$L850,FIND("/",Sync!$L850)+1,20))-1))),2)&amp;"/"&amp;RIGHT("00"&amp;VALUE(TRIM(MID(MID(Sync!$L850,FIND("/",Sync!$L850)+1,20),FIND("/",MID(Sync!$L850,FIND("/",Sync!$L850)+1,20))+1,20))),2),"")))</f>
        <v/>
      </c>
    </row>
    <row r="851" spans="13:14" x14ac:dyDescent="0.2">
      <c r="M851" t="str">
        <f>IF(Sync!$M851&lt;&gt;"پاس چک","",IF(Sync!$P851="","",Sync!$P851))</f>
        <v/>
      </c>
      <c r="N851" t="str">
        <f>IF($M851="","",IF(ISNUMBER(Sync!$L851),IF(AND(Sync!$L851&gt;=10000101,Sync!$L851&lt;=99991231),RIGHT("0000"&amp;INT(Sync!$L851/10000),4)&amp;"/"&amp;RIGHT("00"&amp;INT(MOD(Sync!$L851,10000)/100),2)&amp;"/"&amp;RIGHT("00"&amp;MOD(Sync!$L851,100),2),""),IFERROR(RIGHT("0000"&amp;VALUE(TRIM(LEFT(Sync!$L851,FIND("/",Sync!$L851)-1))),4)&amp;"/"&amp;RIGHT("00"&amp;VALUE(TRIM(LEFT(MID(Sync!$L851,FIND("/",Sync!$L851)+1,20),FIND("/",MID(Sync!$L851,FIND("/",Sync!$L851)+1,20))-1))),2)&amp;"/"&amp;RIGHT("00"&amp;VALUE(TRIM(MID(MID(Sync!$L851,FIND("/",Sync!$L851)+1,20),FIND("/",MID(Sync!$L851,FIND("/",Sync!$L851)+1,20))+1,20))),2),"")))</f>
        <v/>
      </c>
    </row>
    <row r="852" spans="13:14" x14ac:dyDescent="0.2">
      <c r="M852" t="str">
        <f>IF(Sync!$M852&lt;&gt;"پاس چک","",IF(Sync!$P852="","",Sync!$P852))</f>
        <v/>
      </c>
      <c r="N852" t="str">
        <f>IF($M852="","",IF(ISNUMBER(Sync!$L852),IF(AND(Sync!$L852&gt;=10000101,Sync!$L852&lt;=99991231),RIGHT("0000"&amp;INT(Sync!$L852/10000),4)&amp;"/"&amp;RIGHT("00"&amp;INT(MOD(Sync!$L852,10000)/100),2)&amp;"/"&amp;RIGHT("00"&amp;MOD(Sync!$L852,100),2),""),IFERROR(RIGHT("0000"&amp;VALUE(TRIM(LEFT(Sync!$L852,FIND("/",Sync!$L852)-1))),4)&amp;"/"&amp;RIGHT("00"&amp;VALUE(TRIM(LEFT(MID(Sync!$L852,FIND("/",Sync!$L852)+1,20),FIND("/",MID(Sync!$L852,FIND("/",Sync!$L852)+1,20))-1))),2)&amp;"/"&amp;RIGHT("00"&amp;VALUE(TRIM(MID(MID(Sync!$L852,FIND("/",Sync!$L852)+1,20),FIND("/",MID(Sync!$L852,FIND("/",Sync!$L852)+1,20))+1,20))),2),"")))</f>
        <v/>
      </c>
    </row>
    <row r="853" spans="13:14" x14ac:dyDescent="0.2">
      <c r="M853" t="str">
        <f>IF(Sync!$M853&lt;&gt;"پاس چک","",IF(Sync!$P853="","",Sync!$P853))</f>
        <v/>
      </c>
      <c r="N853" t="str">
        <f>IF($M853="","",IF(ISNUMBER(Sync!$L853),IF(AND(Sync!$L853&gt;=10000101,Sync!$L853&lt;=99991231),RIGHT("0000"&amp;INT(Sync!$L853/10000),4)&amp;"/"&amp;RIGHT("00"&amp;INT(MOD(Sync!$L853,10000)/100),2)&amp;"/"&amp;RIGHT("00"&amp;MOD(Sync!$L853,100),2),""),IFERROR(RIGHT("0000"&amp;VALUE(TRIM(LEFT(Sync!$L853,FIND("/",Sync!$L853)-1))),4)&amp;"/"&amp;RIGHT("00"&amp;VALUE(TRIM(LEFT(MID(Sync!$L853,FIND("/",Sync!$L853)+1,20),FIND("/",MID(Sync!$L853,FIND("/",Sync!$L853)+1,20))-1))),2)&amp;"/"&amp;RIGHT("00"&amp;VALUE(TRIM(MID(MID(Sync!$L853,FIND("/",Sync!$L853)+1,20),FIND("/",MID(Sync!$L853,FIND("/",Sync!$L853)+1,20))+1,20))),2),"")))</f>
        <v/>
      </c>
    </row>
    <row r="854" spans="13:14" x14ac:dyDescent="0.2">
      <c r="M854" t="str">
        <f>IF(Sync!$M854&lt;&gt;"پاس چک","",IF(Sync!$P854="","",Sync!$P854))</f>
        <v/>
      </c>
      <c r="N854" t="str">
        <f>IF($M854="","",IF(ISNUMBER(Sync!$L854),IF(AND(Sync!$L854&gt;=10000101,Sync!$L854&lt;=99991231),RIGHT("0000"&amp;INT(Sync!$L854/10000),4)&amp;"/"&amp;RIGHT("00"&amp;INT(MOD(Sync!$L854,10000)/100),2)&amp;"/"&amp;RIGHT("00"&amp;MOD(Sync!$L854,100),2),""),IFERROR(RIGHT("0000"&amp;VALUE(TRIM(LEFT(Sync!$L854,FIND("/",Sync!$L854)-1))),4)&amp;"/"&amp;RIGHT("00"&amp;VALUE(TRIM(LEFT(MID(Sync!$L854,FIND("/",Sync!$L854)+1,20),FIND("/",MID(Sync!$L854,FIND("/",Sync!$L854)+1,20))-1))),2)&amp;"/"&amp;RIGHT("00"&amp;VALUE(TRIM(MID(MID(Sync!$L854,FIND("/",Sync!$L854)+1,20),FIND("/",MID(Sync!$L854,FIND("/",Sync!$L854)+1,20))+1,20))),2),"")))</f>
        <v/>
      </c>
    </row>
    <row r="855" spans="13:14" x14ac:dyDescent="0.2">
      <c r="M855" t="str">
        <f>IF(Sync!$M855&lt;&gt;"پاس چک","",IF(Sync!$P855="","",Sync!$P855))</f>
        <v/>
      </c>
      <c r="N855" t="str">
        <f>IF($M855="","",IF(ISNUMBER(Sync!$L855),IF(AND(Sync!$L855&gt;=10000101,Sync!$L855&lt;=99991231),RIGHT("0000"&amp;INT(Sync!$L855/10000),4)&amp;"/"&amp;RIGHT("00"&amp;INT(MOD(Sync!$L855,10000)/100),2)&amp;"/"&amp;RIGHT("00"&amp;MOD(Sync!$L855,100),2),""),IFERROR(RIGHT("0000"&amp;VALUE(TRIM(LEFT(Sync!$L855,FIND("/",Sync!$L855)-1))),4)&amp;"/"&amp;RIGHT("00"&amp;VALUE(TRIM(LEFT(MID(Sync!$L855,FIND("/",Sync!$L855)+1,20),FIND("/",MID(Sync!$L855,FIND("/",Sync!$L855)+1,20))-1))),2)&amp;"/"&amp;RIGHT("00"&amp;VALUE(TRIM(MID(MID(Sync!$L855,FIND("/",Sync!$L855)+1,20),FIND("/",MID(Sync!$L855,FIND("/",Sync!$L855)+1,20))+1,20))),2),"")))</f>
        <v/>
      </c>
    </row>
    <row r="856" spans="13:14" x14ac:dyDescent="0.2">
      <c r="M856" t="str">
        <f>IF(Sync!$M856&lt;&gt;"پاس چک","",IF(Sync!$P856="","",Sync!$P856))</f>
        <v/>
      </c>
      <c r="N856" t="str">
        <f>IF($M856="","",IF(ISNUMBER(Sync!$L856),IF(AND(Sync!$L856&gt;=10000101,Sync!$L856&lt;=99991231),RIGHT("0000"&amp;INT(Sync!$L856/10000),4)&amp;"/"&amp;RIGHT("00"&amp;INT(MOD(Sync!$L856,10000)/100),2)&amp;"/"&amp;RIGHT("00"&amp;MOD(Sync!$L856,100),2),""),IFERROR(RIGHT("0000"&amp;VALUE(TRIM(LEFT(Sync!$L856,FIND("/",Sync!$L856)-1))),4)&amp;"/"&amp;RIGHT("00"&amp;VALUE(TRIM(LEFT(MID(Sync!$L856,FIND("/",Sync!$L856)+1,20),FIND("/",MID(Sync!$L856,FIND("/",Sync!$L856)+1,20))-1))),2)&amp;"/"&amp;RIGHT("00"&amp;VALUE(TRIM(MID(MID(Sync!$L856,FIND("/",Sync!$L856)+1,20),FIND("/",MID(Sync!$L856,FIND("/",Sync!$L856)+1,20))+1,20))),2),"")))</f>
        <v/>
      </c>
    </row>
    <row r="857" spans="13:14" x14ac:dyDescent="0.2">
      <c r="M857" t="str">
        <f>IF(Sync!$M857&lt;&gt;"پاس چک","",IF(Sync!$P857="","",Sync!$P857))</f>
        <v/>
      </c>
      <c r="N857" t="str">
        <f>IF($M857="","",IF(ISNUMBER(Sync!$L857),IF(AND(Sync!$L857&gt;=10000101,Sync!$L857&lt;=99991231),RIGHT("0000"&amp;INT(Sync!$L857/10000),4)&amp;"/"&amp;RIGHT("00"&amp;INT(MOD(Sync!$L857,10000)/100),2)&amp;"/"&amp;RIGHT("00"&amp;MOD(Sync!$L857,100),2),""),IFERROR(RIGHT("0000"&amp;VALUE(TRIM(LEFT(Sync!$L857,FIND("/",Sync!$L857)-1))),4)&amp;"/"&amp;RIGHT("00"&amp;VALUE(TRIM(LEFT(MID(Sync!$L857,FIND("/",Sync!$L857)+1,20),FIND("/",MID(Sync!$L857,FIND("/",Sync!$L857)+1,20))-1))),2)&amp;"/"&amp;RIGHT("00"&amp;VALUE(TRIM(MID(MID(Sync!$L857,FIND("/",Sync!$L857)+1,20),FIND("/",MID(Sync!$L857,FIND("/",Sync!$L857)+1,20))+1,20))),2),"")))</f>
        <v/>
      </c>
    </row>
    <row r="858" spans="13:14" x14ac:dyDescent="0.2">
      <c r="M858" t="str">
        <f>IF(Sync!$M858&lt;&gt;"پاس چک","",IF(Sync!$P858="","",Sync!$P858))</f>
        <v/>
      </c>
      <c r="N858" t="str">
        <f>IF($M858="","",IF(ISNUMBER(Sync!$L858),IF(AND(Sync!$L858&gt;=10000101,Sync!$L858&lt;=99991231),RIGHT("0000"&amp;INT(Sync!$L858/10000),4)&amp;"/"&amp;RIGHT("00"&amp;INT(MOD(Sync!$L858,10000)/100),2)&amp;"/"&amp;RIGHT("00"&amp;MOD(Sync!$L858,100),2),""),IFERROR(RIGHT("0000"&amp;VALUE(TRIM(LEFT(Sync!$L858,FIND("/",Sync!$L858)-1))),4)&amp;"/"&amp;RIGHT("00"&amp;VALUE(TRIM(LEFT(MID(Sync!$L858,FIND("/",Sync!$L858)+1,20),FIND("/",MID(Sync!$L858,FIND("/",Sync!$L858)+1,20))-1))),2)&amp;"/"&amp;RIGHT("00"&amp;VALUE(TRIM(MID(MID(Sync!$L858,FIND("/",Sync!$L858)+1,20),FIND("/",MID(Sync!$L858,FIND("/",Sync!$L858)+1,20))+1,20))),2),"")))</f>
        <v/>
      </c>
    </row>
    <row r="859" spans="13:14" x14ac:dyDescent="0.2">
      <c r="M859" t="str">
        <f>IF(Sync!$M859&lt;&gt;"پاس چک","",IF(Sync!$P859="","",Sync!$P859))</f>
        <v/>
      </c>
      <c r="N859" t="str">
        <f>IF($M859="","",IF(ISNUMBER(Sync!$L859),IF(AND(Sync!$L859&gt;=10000101,Sync!$L859&lt;=99991231),RIGHT("0000"&amp;INT(Sync!$L859/10000),4)&amp;"/"&amp;RIGHT("00"&amp;INT(MOD(Sync!$L859,10000)/100),2)&amp;"/"&amp;RIGHT("00"&amp;MOD(Sync!$L859,100),2),""),IFERROR(RIGHT("0000"&amp;VALUE(TRIM(LEFT(Sync!$L859,FIND("/",Sync!$L859)-1))),4)&amp;"/"&amp;RIGHT("00"&amp;VALUE(TRIM(LEFT(MID(Sync!$L859,FIND("/",Sync!$L859)+1,20),FIND("/",MID(Sync!$L859,FIND("/",Sync!$L859)+1,20))-1))),2)&amp;"/"&amp;RIGHT("00"&amp;VALUE(TRIM(MID(MID(Sync!$L859,FIND("/",Sync!$L859)+1,20),FIND("/",MID(Sync!$L859,FIND("/",Sync!$L859)+1,20))+1,20))),2),"")))</f>
        <v/>
      </c>
    </row>
    <row r="860" spans="13:14" x14ac:dyDescent="0.2">
      <c r="M860" t="str">
        <f>IF(Sync!$M860&lt;&gt;"پاس چک","",IF(Sync!$P860="","",Sync!$P860))</f>
        <v/>
      </c>
      <c r="N860" t="str">
        <f>IF($M860="","",IF(ISNUMBER(Sync!$L860),IF(AND(Sync!$L860&gt;=10000101,Sync!$L860&lt;=99991231),RIGHT("0000"&amp;INT(Sync!$L860/10000),4)&amp;"/"&amp;RIGHT("00"&amp;INT(MOD(Sync!$L860,10000)/100),2)&amp;"/"&amp;RIGHT("00"&amp;MOD(Sync!$L860,100),2),""),IFERROR(RIGHT("0000"&amp;VALUE(TRIM(LEFT(Sync!$L860,FIND("/",Sync!$L860)-1))),4)&amp;"/"&amp;RIGHT("00"&amp;VALUE(TRIM(LEFT(MID(Sync!$L860,FIND("/",Sync!$L860)+1,20),FIND("/",MID(Sync!$L860,FIND("/",Sync!$L860)+1,20))-1))),2)&amp;"/"&amp;RIGHT("00"&amp;VALUE(TRIM(MID(MID(Sync!$L860,FIND("/",Sync!$L860)+1,20),FIND("/",MID(Sync!$L860,FIND("/",Sync!$L860)+1,20))+1,20))),2),"")))</f>
        <v/>
      </c>
    </row>
    <row r="861" spans="13:14" x14ac:dyDescent="0.2">
      <c r="M861" t="str">
        <f>IF(Sync!$M861&lt;&gt;"پاس چک","",IF(Sync!$P861="","",Sync!$P861))</f>
        <v/>
      </c>
      <c r="N861" t="str">
        <f>IF($M861="","",IF(ISNUMBER(Sync!$L861),IF(AND(Sync!$L861&gt;=10000101,Sync!$L861&lt;=99991231),RIGHT("0000"&amp;INT(Sync!$L861/10000),4)&amp;"/"&amp;RIGHT("00"&amp;INT(MOD(Sync!$L861,10000)/100),2)&amp;"/"&amp;RIGHT("00"&amp;MOD(Sync!$L861,100),2),""),IFERROR(RIGHT("0000"&amp;VALUE(TRIM(LEFT(Sync!$L861,FIND("/",Sync!$L861)-1))),4)&amp;"/"&amp;RIGHT("00"&amp;VALUE(TRIM(LEFT(MID(Sync!$L861,FIND("/",Sync!$L861)+1,20),FIND("/",MID(Sync!$L861,FIND("/",Sync!$L861)+1,20))-1))),2)&amp;"/"&amp;RIGHT("00"&amp;VALUE(TRIM(MID(MID(Sync!$L861,FIND("/",Sync!$L861)+1,20),FIND("/",MID(Sync!$L861,FIND("/",Sync!$L861)+1,20))+1,20))),2),"")))</f>
        <v/>
      </c>
    </row>
    <row r="862" spans="13:14" x14ac:dyDescent="0.2">
      <c r="M862" t="str">
        <f>IF(Sync!$M862&lt;&gt;"پاس چک","",IF(Sync!$P862="","",Sync!$P862))</f>
        <v/>
      </c>
      <c r="N862" t="str">
        <f>IF($M862="","",IF(ISNUMBER(Sync!$L862),IF(AND(Sync!$L862&gt;=10000101,Sync!$L862&lt;=99991231),RIGHT("0000"&amp;INT(Sync!$L862/10000),4)&amp;"/"&amp;RIGHT("00"&amp;INT(MOD(Sync!$L862,10000)/100),2)&amp;"/"&amp;RIGHT("00"&amp;MOD(Sync!$L862,100),2),""),IFERROR(RIGHT("0000"&amp;VALUE(TRIM(LEFT(Sync!$L862,FIND("/",Sync!$L862)-1))),4)&amp;"/"&amp;RIGHT("00"&amp;VALUE(TRIM(LEFT(MID(Sync!$L862,FIND("/",Sync!$L862)+1,20),FIND("/",MID(Sync!$L862,FIND("/",Sync!$L862)+1,20))-1))),2)&amp;"/"&amp;RIGHT("00"&amp;VALUE(TRIM(MID(MID(Sync!$L862,FIND("/",Sync!$L862)+1,20),FIND("/",MID(Sync!$L862,FIND("/",Sync!$L862)+1,20))+1,20))),2),"")))</f>
        <v/>
      </c>
    </row>
    <row r="863" spans="13:14" x14ac:dyDescent="0.2">
      <c r="M863" t="str">
        <f>IF(Sync!$M863&lt;&gt;"پاس چک","",IF(Sync!$P863="","",Sync!$P863))</f>
        <v/>
      </c>
      <c r="N863" t="str">
        <f>IF($M863="","",IF(ISNUMBER(Sync!$L863),IF(AND(Sync!$L863&gt;=10000101,Sync!$L863&lt;=99991231),RIGHT("0000"&amp;INT(Sync!$L863/10000),4)&amp;"/"&amp;RIGHT("00"&amp;INT(MOD(Sync!$L863,10000)/100),2)&amp;"/"&amp;RIGHT("00"&amp;MOD(Sync!$L863,100),2),""),IFERROR(RIGHT("0000"&amp;VALUE(TRIM(LEFT(Sync!$L863,FIND("/",Sync!$L863)-1))),4)&amp;"/"&amp;RIGHT("00"&amp;VALUE(TRIM(LEFT(MID(Sync!$L863,FIND("/",Sync!$L863)+1,20),FIND("/",MID(Sync!$L863,FIND("/",Sync!$L863)+1,20))-1))),2)&amp;"/"&amp;RIGHT("00"&amp;VALUE(TRIM(MID(MID(Sync!$L863,FIND("/",Sync!$L863)+1,20),FIND("/",MID(Sync!$L863,FIND("/",Sync!$L863)+1,20))+1,20))),2),"")))</f>
        <v/>
      </c>
    </row>
    <row r="864" spans="13:14" x14ac:dyDescent="0.2">
      <c r="M864" t="str">
        <f>IF(Sync!$M864&lt;&gt;"پاس چک","",IF(Sync!$P864="","",Sync!$P864))</f>
        <v/>
      </c>
      <c r="N864" t="str">
        <f>IF($M864="","",IF(ISNUMBER(Sync!$L864),IF(AND(Sync!$L864&gt;=10000101,Sync!$L864&lt;=99991231),RIGHT("0000"&amp;INT(Sync!$L864/10000),4)&amp;"/"&amp;RIGHT("00"&amp;INT(MOD(Sync!$L864,10000)/100),2)&amp;"/"&amp;RIGHT("00"&amp;MOD(Sync!$L864,100),2),""),IFERROR(RIGHT("0000"&amp;VALUE(TRIM(LEFT(Sync!$L864,FIND("/",Sync!$L864)-1))),4)&amp;"/"&amp;RIGHT("00"&amp;VALUE(TRIM(LEFT(MID(Sync!$L864,FIND("/",Sync!$L864)+1,20),FIND("/",MID(Sync!$L864,FIND("/",Sync!$L864)+1,20))-1))),2)&amp;"/"&amp;RIGHT("00"&amp;VALUE(TRIM(MID(MID(Sync!$L864,FIND("/",Sync!$L864)+1,20),FIND("/",MID(Sync!$L864,FIND("/",Sync!$L864)+1,20))+1,20))),2),"")))</f>
        <v/>
      </c>
    </row>
    <row r="865" spans="13:14" x14ac:dyDescent="0.2">
      <c r="M865" t="str">
        <f>IF(Sync!$M865&lt;&gt;"پاس چک","",IF(Sync!$P865="","",Sync!$P865))</f>
        <v/>
      </c>
      <c r="N865" t="str">
        <f>IF($M865="","",IF(ISNUMBER(Sync!$L865),IF(AND(Sync!$L865&gt;=10000101,Sync!$L865&lt;=99991231),RIGHT("0000"&amp;INT(Sync!$L865/10000),4)&amp;"/"&amp;RIGHT("00"&amp;INT(MOD(Sync!$L865,10000)/100),2)&amp;"/"&amp;RIGHT("00"&amp;MOD(Sync!$L865,100),2),""),IFERROR(RIGHT("0000"&amp;VALUE(TRIM(LEFT(Sync!$L865,FIND("/",Sync!$L865)-1))),4)&amp;"/"&amp;RIGHT("00"&amp;VALUE(TRIM(LEFT(MID(Sync!$L865,FIND("/",Sync!$L865)+1,20),FIND("/",MID(Sync!$L865,FIND("/",Sync!$L865)+1,20))-1))),2)&amp;"/"&amp;RIGHT("00"&amp;VALUE(TRIM(MID(MID(Sync!$L865,FIND("/",Sync!$L865)+1,20),FIND("/",MID(Sync!$L865,FIND("/",Sync!$L865)+1,20))+1,20))),2),"")))</f>
        <v/>
      </c>
    </row>
    <row r="866" spans="13:14" x14ac:dyDescent="0.2">
      <c r="M866" t="str">
        <f>IF(Sync!$M866&lt;&gt;"پاس چک","",IF(Sync!$P866="","",Sync!$P866))</f>
        <v/>
      </c>
      <c r="N866" t="str">
        <f>IF($M866="","",IF(ISNUMBER(Sync!$L866),IF(AND(Sync!$L866&gt;=10000101,Sync!$L866&lt;=99991231),RIGHT("0000"&amp;INT(Sync!$L866/10000),4)&amp;"/"&amp;RIGHT("00"&amp;INT(MOD(Sync!$L866,10000)/100),2)&amp;"/"&amp;RIGHT("00"&amp;MOD(Sync!$L866,100),2),""),IFERROR(RIGHT("0000"&amp;VALUE(TRIM(LEFT(Sync!$L866,FIND("/",Sync!$L866)-1))),4)&amp;"/"&amp;RIGHT("00"&amp;VALUE(TRIM(LEFT(MID(Sync!$L866,FIND("/",Sync!$L866)+1,20),FIND("/",MID(Sync!$L866,FIND("/",Sync!$L866)+1,20))-1))),2)&amp;"/"&amp;RIGHT("00"&amp;VALUE(TRIM(MID(MID(Sync!$L866,FIND("/",Sync!$L866)+1,20),FIND("/",MID(Sync!$L866,FIND("/",Sync!$L866)+1,20))+1,20))),2),"")))</f>
        <v/>
      </c>
    </row>
    <row r="867" spans="13:14" x14ac:dyDescent="0.2">
      <c r="M867" t="str">
        <f>IF(Sync!$M867&lt;&gt;"پاس چک","",IF(Sync!$P867="","",Sync!$P867))</f>
        <v/>
      </c>
      <c r="N867" t="str">
        <f>IF($M867="","",IF(ISNUMBER(Sync!$L867),IF(AND(Sync!$L867&gt;=10000101,Sync!$L867&lt;=99991231),RIGHT("0000"&amp;INT(Sync!$L867/10000),4)&amp;"/"&amp;RIGHT("00"&amp;INT(MOD(Sync!$L867,10000)/100),2)&amp;"/"&amp;RIGHT("00"&amp;MOD(Sync!$L867,100),2),""),IFERROR(RIGHT("0000"&amp;VALUE(TRIM(LEFT(Sync!$L867,FIND("/",Sync!$L867)-1))),4)&amp;"/"&amp;RIGHT("00"&amp;VALUE(TRIM(LEFT(MID(Sync!$L867,FIND("/",Sync!$L867)+1,20),FIND("/",MID(Sync!$L867,FIND("/",Sync!$L867)+1,20))-1))),2)&amp;"/"&amp;RIGHT("00"&amp;VALUE(TRIM(MID(MID(Sync!$L867,FIND("/",Sync!$L867)+1,20),FIND("/",MID(Sync!$L867,FIND("/",Sync!$L867)+1,20))+1,20))),2),"")))</f>
        <v/>
      </c>
    </row>
    <row r="868" spans="13:14" x14ac:dyDescent="0.2">
      <c r="M868" t="str">
        <f>IF(Sync!$M868&lt;&gt;"پاس چک","",IF(Sync!$P868="","",Sync!$P868))</f>
        <v/>
      </c>
      <c r="N868" t="str">
        <f>IF($M868="","",IF(ISNUMBER(Sync!$L868),IF(AND(Sync!$L868&gt;=10000101,Sync!$L868&lt;=99991231),RIGHT("0000"&amp;INT(Sync!$L868/10000),4)&amp;"/"&amp;RIGHT("00"&amp;INT(MOD(Sync!$L868,10000)/100),2)&amp;"/"&amp;RIGHT("00"&amp;MOD(Sync!$L868,100),2),""),IFERROR(RIGHT("0000"&amp;VALUE(TRIM(LEFT(Sync!$L868,FIND("/",Sync!$L868)-1))),4)&amp;"/"&amp;RIGHT("00"&amp;VALUE(TRIM(LEFT(MID(Sync!$L868,FIND("/",Sync!$L868)+1,20),FIND("/",MID(Sync!$L868,FIND("/",Sync!$L868)+1,20))-1))),2)&amp;"/"&amp;RIGHT("00"&amp;VALUE(TRIM(MID(MID(Sync!$L868,FIND("/",Sync!$L868)+1,20),FIND("/",MID(Sync!$L868,FIND("/",Sync!$L868)+1,20))+1,20))),2),"")))</f>
        <v/>
      </c>
    </row>
    <row r="869" spans="13:14" x14ac:dyDescent="0.2">
      <c r="M869" t="str">
        <f>IF(Sync!$M869&lt;&gt;"پاس چک","",IF(Sync!$P869="","",Sync!$P869))</f>
        <v/>
      </c>
      <c r="N869" t="str">
        <f>IF($M869="","",IF(ISNUMBER(Sync!$L869),IF(AND(Sync!$L869&gt;=10000101,Sync!$L869&lt;=99991231),RIGHT("0000"&amp;INT(Sync!$L869/10000),4)&amp;"/"&amp;RIGHT("00"&amp;INT(MOD(Sync!$L869,10000)/100),2)&amp;"/"&amp;RIGHT("00"&amp;MOD(Sync!$L869,100),2),""),IFERROR(RIGHT("0000"&amp;VALUE(TRIM(LEFT(Sync!$L869,FIND("/",Sync!$L869)-1))),4)&amp;"/"&amp;RIGHT("00"&amp;VALUE(TRIM(LEFT(MID(Sync!$L869,FIND("/",Sync!$L869)+1,20),FIND("/",MID(Sync!$L869,FIND("/",Sync!$L869)+1,20))-1))),2)&amp;"/"&amp;RIGHT("00"&amp;VALUE(TRIM(MID(MID(Sync!$L869,FIND("/",Sync!$L869)+1,20),FIND("/",MID(Sync!$L869,FIND("/",Sync!$L869)+1,20))+1,20))),2),"")))</f>
        <v/>
      </c>
    </row>
    <row r="870" spans="13:14" x14ac:dyDescent="0.2">
      <c r="M870" t="str">
        <f>IF(Sync!$M870&lt;&gt;"پاس چک","",IF(Sync!$P870="","",Sync!$P870))</f>
        <v/>
      </c>
      <c r="N870" t="str">
        <f>IF($M870="","",IF(ISNUMBER(Sync!$L870),IF(AND(Sync!$L870&gt;=10000101,Sync!$L870&lt;=99991231),RIGHT("0000"&amp;INT(Sync!$L870/10000),4)&amp;"/"&amp;RIGHT("00"&amp;INT(MOD(Sync!$L870,10000)/100),2)&amp;"/"&amp;RIGHT("00"&amp;MOD(Sync!$L870,100),2),""),IFERROR(RIGHT("0000"&amp;VALUE(TRIM(LEFT(Sync!$L870,FIND("/",Sync!$L870)-1))),4)&amp;"/"&amp;RIGHT("00"&amp;VALUE(TRIM(LEFT(MID(Sync!$L870,FIND("/",Sync!$L870)+1,20),FIND("/",MID(Sync!$L870,FIND("/",Sync!$L870)+1,20))-1))),2)&amp;"/"&amp;RIGHT("00"&amp;VALUE(TRIM(MID(MID(Sync!$L870,FIND("/",Sync!$L870)+1,20),FIND("/",MID(Sync!$L870,FIND("/",Sync!$L870)+1,20))+1,20))),2),"")))</f>
        <v/>
      </c>
    </row>
    <row r="871" spans="13:14" x14ac:dyDescent="0.2">
      <c r="M871" t="str">
        <f>IF(Sync!$M871&lt;&gt;"پاس چک","",IF(Sync!$P871="","",Sync!$P871))</f>
        <v/>
      </c>
      <c r="N871" t="str">
        <f>IF($M871="","",IF(ISNUMBER(Sync!$L871),IF(AND(Sync!$L871&gt;=10000101,Sync!$L871&lt;=99991231),RIGHT("0000"&amp;INT(Sync!$L871/10000),4)&amp;"/"&amp;RIGHT("00"&amp;INT(MOD(Sync!$L871,10000)/100),2)&amp;"/"&amp;RIGHT("00"&amp;MOD(Sync!$L871,100),2),""),IFERROR(RIGHT("0000"&amp;VALUE(TRIM(LEFT(Sync!$L871,FIND("/",Sync!$L871)-1))),4)&amp;"/"&amp;RIGHT("00"&amp;VALUE(TRIM(LEFT(MID(Sync!$L871,FIND("/",Sync!$L871)+1,20),FIND("/",MID(Sync!$L871,FIND("/",Sync!$L871)+1,20))-1))),2)&amp;"/"&amp;RIGHT("00"&amp;VALUE(TRIM(MID(MID(Sync!$L871,FIND("/",Sync!$L871)+1,20),FIND("/",MID(Sync!$L871,FIND("/",Sync!$L871)+1,20))+1,20))),2),"")))</f>
        <v/>
      </c>
    </row>
    <row r="872" spans="13:14" x14ac:dyDescent="0.2">
      <c r="M872" t="str">
        <f>IF(Sync!$M872&lt;&gt;"پاس چک","",IF(Sync!$P872="","",Sync!$P872))</f>
        <v/>
      </c>
      <c r="N872" t="str">
        <f>IF($M872="","",IF(ISNUMBER(Sync!$L872),IF(AND(Sync!$L872&gt;=10000101,Sync!$L872&lt;=99991231),RIGHT("0000"&amp;INT(Sync!$L872/10000),4)&amp;"/"&amp;RIGHT("00"&amp;INT(MOD(Sync!$L872,10000)/100),2)&amp;"/"&amp;RIGHT("00"&amp;MOD(Sync!$L872,100),2),""),IFERROR(RIGHT("0000"&amp;VALUE(TRIM(LEFT(Sync!$L872,FIND("/",Sync!$L872)-1))),4)&amp;"/"&amp;RIGHT("00"&amp;VALUE(TRIM(LEFT(MID(Sync!$L872,FIND("/",Sync!$L872)+1,20),FIND("/",MID(Sync!$L872,FIND("/",Sync!$L872)+1,20))-1))),2)&amp;"/"&amp;RIGHT("00"&amp;VALUE(TRIM(MID(MID(Sync!$L872,FIND("/",Sync!$L872)+1,20),FIND("/",MID(Sync!$L872,FIND("/",Sync!$L872)+1,20))+1,20))),2),"")))</f>
        <v/>
      </c>
    </row>
    <row r="873" spans="13:14" x14ac:dyDescent="0.2">
      <c r="M873" t="str">
        <f>IF(Sync!$M873&lt;&gt;"پاس چک","",IF(Sync!$P873="","",Sync!$P873))</f>
        <v/>
      </c>
      <c r="N873" t="str">
        <f>IF($M873="","",IF(ISNUMBER(Sync!$L873),IF(AND(Sync!$L873&gt;=10000101,Sync!$L873&lt;=99991231),RIGHT("0000"&amp;INT(Sync!$L873/10000),4)&amp;"/"&amp;RIGHT("00"&amp;INT(MOD(Sync!$L873,10000)/100),2)&amp;"/"&amp;RIGHT("00"&amp;MOD(Sync!$L873,100),2),""),IFERROR(RIGHT("0000"&amp;VALUE(TRIM(LEFT(Sync!$L873,FIND("/",Sync!$L873)-1))),4)&amp;"/"&amp;RIGHT("00"&amp;VALUE(TRIM(LEFT(MID(Sync!$L873,FIND("/",Sync!$L873)+1,20),FIND("/",MID(Sync!$L873,FIND("/",Sync!$L873)+1,20))-1))),2)&amp;"/"&amp;RIGHT("00"&amp;VALUE(TRIM(MID(MID(Sync!$L873,FIND("/",Sync!$L873)+1,20),FIND("/",MID(Sync!$L873,FIND("/",Sync!$L873)+1,20))+1,20))),2),"")))</f>
        <v/>
      </c>
    </row>
    <row r="874" spans="13:14" x14ac:dyDescent="0.2">
      <c r="M874" t="str">
        <f>IF(Sync!$M874&lt;&gt;"پاس چک","",IF(Sync!$P874="","",Sync!$P874))</f>
        <v/>
      </c>
      <c r="N874" t="str">
        <f>IF($M874="","",IF(ISNUMBER(Sync!$L874),IF(AND(Sync!$L874&gt;=10000101,Sync!$L874&lt;=99991231),RIGHT("0000"&amp;INT(Sync!$L874/10000),4)&amp;"/"&amp;RIGHT("00"&amp;INT(MOD(Sync!$L874,10000)/100),2)&amp;"/"&amp;RIGHT("00"&amp;MOD(Sync!$L874,100),2),""),IFERROR(RIGHT("0000"&amp;VALUE(TRIM(LEFT(Sync!$L874,FIND("/",Sync!$L874)-1))),4)&amp;"/"&amp;RIGHT("00"&amp;VALUE(TRIM(LEFT(MID(Sync!$L874,FIND("/",Sync!$L874)+1,20),FIND("/",MID(Sync!$L874,FIND("/",Sync!$L874)+1,20))-1))),2)&amp;"/"&amp;RIGHT("00"&amp;VALUE(TRIM(MID(MID(Sync!$L874,FIND("/",Sync!$L874)+1,20),FIND("/",MID(Sync!$L874,FIND("/",Sync!$L874)+1,20))+1,20))),2),"")))</f>
        <v/>
      </c>
    </row>
    <row r="875" spans="13:14" x14ac:dyDescent="0.2">
      <c r="M875" t="str">
        <f>IF(Sync!$M875&lt;&gt;"پاس چک","",IF(Sync!$P875="","",Sync!$P875))</f>
        <v/>
      </c>
      <c r="N875" t="str">
        <f>IF($M875="","",IF(ISNUMBER(Sync!$L875),IF(AND(Sync!$L875&gt;=10000101,Sync!$L875&lt;=99991231),RIGHT("0000"&amp;INT(Sync!$L875/10000),4)&amp;"/"&amp;RIGHT("00"&amp;INT(MOD(Sync!$L875,10000)/100),2)&amp;"/"&amp;RIGHT("00"&amp;MOD(Sync!$L875,100),2),""),IFERROR(RIGHT("0000"&amp;VALUE(TRIM(LEFT(Sync!$L875,FIND("/",Sync!$L875)-1))),4)&amp;"/"&amp;RIGHT("00"&amp;VALUE(TRIM(LEFT(MID(Sync!$L875,FIND("/",Sync!$L875)+1,20),FIND("/",MID(Sync!$L875,FIND("/",Sync!$L875)+1,20))-1))),2)&amp;"/"&amp;RIGHT("00"&amp;VALUE(TRIM(MID(MID(Sync!$L875,FIND("/",Sync!$L875)+1,20),FIND("/",MID(Sync!$L875,FIND("/",Sync!$L875)+1,20))+1,20))),2),"")))</f>
        <v/>
      </c>
    </row>
    <row r="876" spans="13:14" x14ac:dyDescent="0.2">
      <c r="M876" t="str">
        <f>IF(Sync!$M876&lt;&gt;"پاس چک","",IF(Sync!$P876="","",Sync!$P876))</f>
        <v/>
      </c>
      <c r="N876" t="str">
        <f>IF($M876="","",IF(ISNUMBER(Sync!$L876),IF(AND(Sync!$L876&gt;=10000101,Sync!$L876&lt;=99991231),RIGHT("0000"&amp;INT(Sync!$L876/10000),4)&amp;"/"&amp;RIGHT("00"&amp;INT(MOD(Sync!$L876,10000)/100),2)&amp;"/"&amp;RIGHT("00"&amp;MOD(Sync!$L876,100),2),""),IFERROR(RIGHT("0000"&amp;VALUE(TRIM(LEFT(Sync!$L876,FIND("/",Sync!$L876)-1))),4)&amp;"/"&amp;RIGHT("00"&amp;VALUE(TRIM(LEFT(MID(Sync!$L876,FIND("/",Sync!$L876)+1,20),FIND("/",MID(Sync!$L876,FIND("/",Sync!$L876)+1,20))-1))),2)&amp;"/"&amp;RIGHT("00"&amp;VALUE(TRIM(MID(MID(Sync!$L876,FIND("/",Sync!$L876)+1,20),FIND("/",MID(Sync!$L876,FIND("/",Sync!$L876)+1,20))+1,20))),2),"")))</f>
        <v/>
      </c>
    </row>
    <row r="877" spans="13:14" x14ac:dyDescent="0.2">
      <c r="M877" t="str">
        <f>IF(Sync!$M877&lt;&gt;"پاس چک","",IF(Sync!$P877="","",Sync!$P877))</f>
        <v/>
      </c>
      <c r="N877" t="str">
        <f>IF($M877="","",IF(ISNUMBER(Sync!$L877),IF(AND(Sync!$L877&gt;=10000101,Sync!$L877&lt;=99991231),RIGHT("0000"&amp;INT(Sync!$L877/10000),4)&amp;"/"&amp;RIGHT("00"&amp;INT(MOD(Sync!$L877,10000)/100),2)&amp;"/"&amp;RIGHT("00"&amp;MOD(Sync!$L877,100),2),""),IFERROR(RIGHT("0000"&amp;VALUE(TRIM(LEFT(Sync!$L877,FIND("/",Sync!$L877)-1))),4)&amp;"/"&amp;RIGHT("00"&amp;VALUE(TRIM(LEFT(MID(Sync!$L877,FIND("/",Sync!$L877)+1,20),FIND("/",MID(Sync!$L877,FIND("/",Sync!$L877)+1,20))-1))),2)&amp;"/"&amp;RIGHT("00"&amp;VALUE(TRIM(MID(MID(Sync!$L877,FIND("/",Sync!$L877)+1,20),FIND("/",MID(Sync!$L877,FIND("/",Sync!$L877)+1,20))+1,20))),2),"")))</f>
        <v/>
      </c>
    </row>
    <row r="878" spans="13:14" x14ac:dyDescent="0.2">
      <c r="M878" t="str">
        <f>IF(Sync!$M878&lt;&gt;"پاس چک","",IF(Sync!$P878="","",Sync!$P878))</f>
        <v/>
      </c>
      <c r="N878" t="str">
        <f>IF($M878="","",IF(ISNUMBER(Sync!$L878),IF(AND(Sync!$L878&gt;=10000101,Sync!$L878&lt;=99991231),RIGHT("0000"&amp;INT(Sync!$L878/10000),4)&amp;"/"&amp;RIGHT("00"&amp;INT(MOD(Sync!$L878,10000)/100),2)&amp;"/"&amp;RIGHT("00"&amp;MOD(Sync!$L878,100),2),""),IFERROR(RIGHT("0000"&amp;VALUE(TRIM(LEFT(Sync!$L878,FIND("/",Sync!$L878)-1))),4)&amp;"/"&amp;RIGHT("00"&amp;VALUE(TRIM(LEFT(MID(Sync!$L878,FIND("/",Sync!$L878)+1,20),FIND("/",MID(Sync!$L878,FIND("/",Sync!$L878)+1,20))-1))),2)&amp;"/"&amp;RIGHT("00"&amp;VALUE(TRIM(MID(MID(Sync!$L878,FIND("/",Sync!$L878)+1,20),FIND("/",MID(Sync!$L878,FIND("/",Sync!$L878)+1,20))+1,20))),2),"")))</f>
        <v/>
      </c>
    </row>
    <row r="879" spans="13:14" x14ac:dyDescent="0.2">
      <c r="M879" t="str">
        <f>IF(Sync!$M879&lt;&gt;"پاس چک","",IF(Sync!$P879="","",Sync!$P879))</f>
        <v/>
      </c>
      <c r="N879" t="str">
        <f>IF($M879="","",IF(ISNUMBER(Sync!$L879),IF(AND(Sync!$L879&gt;=10000101,Sync!$L879&lt;=99991231),RIGHT("0000"&amp;INT(Sync!$L879/10000),4)&amp;"/"&amp;RIGHT("00"&amp;INT(MOD(Sync!$L879,10000)/100),2)&amp;"/"&amp;RIGHT("00"&amp;MOD(Sync!$L879,100),2),""),IFERROR(RIGHT("0000"&amp;VALUE(TRIM(LEFT(Sync!$L879,FIND("/",Sync!$L879)-1))),4)&amp;"/"&amp;RIGHT("00"&amp;VALUE(TRIM(LEFT(MID(Sync!$L879,FIND("/",Sync!$L879)+1,20),FIND("/",MID(Sync!$L879,FIND("/",Sync!$L879)+1,20))-1))),2)&amp;"/"&amp;RIGHT("00"&amp;VALUE(TRIM(MID(MID(Sync!$L879,FIND("/",Sync!$L879)+1,20),FIND("/",MID(Sync!$L879,FIND("/",Sync!$L879)+1,20))+1,20))),2),"")))</f>
        <v/>
      </c>
    </row>
    <row r="880" spans="13:14" x14ac:dyDescent="0.2">
      <c r="M880" t="str">
        <f>IF(Sync!$M880&lt;&gt;"پاس چک","",IF(Sync!$P880="","",Sync!$P880))</f>
        <v/>
      </c>
      <c r="N880" t="str">
        <f>IF($M880="","",IF(ISNUMBER(Sync!$L880),IF(AND(Sync!$L880&gt;=10000101,Sync!$L880&lt;=99991231),RIGHT("0000"&amp;INT(Sync!$L880/10000),4)&amp;"/"&amp;RIGHT("00"&amp;INT(MOD(Sync!$L880,10000)/100),2)&amp;"/"&amp;RIGHT("00"&amp;MOD(Sync!$L880,100),2),""),IFERROR(RIGHT("0000"&amp;VALUE(TRIM(LEFT(Sync!$L880,FIND("/",Sync!$L880)-1))),4)&amp;"/"&amp;RIGHT("00"&amp;VALUE(TRIM(LEFT(MID(Sync!$L880,FIND("/",Sync!$L880)+1,20),FIND("/",MID(Sync!$L880,FIND("/",Sync!$L880)+1,20))-1))),2)&amp;"/"&amp;RIGHT("00"&amp;VALUE(TRIM(MID(MID(Sync!$L880,FIND("/",Sync!$L880)+1,20),FIND("/",MID(Sync!$L880,FIND("/",Sync!$L880)+1,20))+1,20))),2),"")))</f>
        <v/>
      </c>
    </row>
    <row r="881" spans="13:14" x14ac:dyDescent="0.2">
      <c r="M881" t="str">
        <f>IF(Sync!$M881&lt;&gt;"پاس چک","",IF(Sync!$P881="","",Sync!$P881))</f>
        <v/>
      </c>
      <c r="N881" t="str">
        <f>IF($M881="","",IF(ISNUMBER(Sync!$L881),IF(AND(Sync!$L881&gt;=10000101,Sync!$L881&lt;=99991231),RIGHT("0000"&amp;INT(Sync!$L881/10000),4)&amp;"/"&amp;RIGHT("00"&amp;INT(MOD(Sync!$L881,10000)/100),2)&amp;"/"&amp;RIGHT("00"&amp;MOD(Sync!$L881,100),2),""),IFERROR(RIGHT("0000"&amp;VALUE(TRIM(LEFT(Sync!$L881,FIND("/",Sync!$L881)-1))),4)&amp;"/"&amp;RIGHT("00"&amp;VALUE(TRIM(LEFT(MID(Sync!$L881,FIND("/",Sync!$L881)+1,20),FIND("/",MID(Sync!$L881,FIND("/",Sync!$L881)+1,20))-1))),2)&amp;"/"&amp;RIGHT("00"&amp;VALUE(TRIM(MID(MID(Sync!$L881,FIND("/",Sync!$L881)+1,20),FIND("/",MID(Sync!$L881,FIND("/",Sync!$L881)+1,20))+1,20))),2),"")))</f>
        <v/>
      </c>
    </row>
    <row r="882" spans="13:14" x14ac:dyDescent="0.2">
      <c r="M882" t="str">
        <f>IF(Sync!$M882&lt;&gt;"پاس چک","",IF(Sync!$P882="","",Sync!$P882))</f>
        <v/>
      </c>
      <c r="N882" t="str">
        <f>IF($M882="","",IF(ISNUMBER(Sync!$L882),IF(AND(Sync!$L882&gt;=10000101,Sync!$L882&lt;=99991231),RIGHT("0000"&amp;INT(Sync!$L882/10000),4)&amp;"/"&amp;RIGHT("00"&amp;INT(MOD(Sync!$L882,10000)/100),2)&amp;"/"&amp;RIGHT("00"&amp;MOD(Sync!$L882,100),2),""),IFERROR(RIGHT("0000"&amp;VALUE(TRIM(LEFT(Sync!$L882,FIND("/",Sync!$L882)-1))),4)&amp;"/"&amp;RIGHT("00"&amp;VALUE(TRIM(LEFT(MID(Sync!$L882,FIND("/",Sync!$L882)+1,20),FIND("/",MID(Sync!$L882,FIND("/",Sync!$L882)+1,20))-1))),2)&amp;"/"&amp;RIGHT("00"&amp;VALUE(TRIM(MID(MID(Sync!$L882,FIND("/",Sync!$L882)+1,20),FIND("/",MID(Sync!$L882,FIND("/",Sync!$L882)+1,20))+1,20))),2),"")))</f>
        <v/>
      </c>
    </row>
    <row r="883" spans="13:14" x14ac:dyDescent="0.2">
      <c r="M883" t="str">
        <f>IF(Sync!$M883&lt;&gt;"پاس چک","",IF(Sync!$P883="","",Sync!$P883))</f>
        <v/>
      </c>
      <c r="N883" t="str">
        <f>IF($M883="","",IF(ISNUMBER(Sync!$L883),IF(AND(Sync!$L883&gt;=10000101,Sync!$L883&lt;=99991231),RIGHT("0000"&amp;INT(Sync!$L883/10000),4)&amp;"/"&amp;RIGHT("00"&amp;INT(MOD(Sync!$L883,10000)/100),2)&amp;"/"&amp;RIGHT("00"&amp;MOD(Sync!$L883,100),2),""),IFERROR(RIGHT("0000"&amp;VALUE(TRIM(LEFT(Sync!$L883,FIND("/",Sync!$L883)-1))),4)&amp;"/"&amp;RIGHT("00"&amp;VALUE(TRIM(LEFT(MID(Sync!$L883,FIND("/",Sync!$L883)+1,20),FIND("/",MID(Sync!$L883,FIND("/",Sync!$L883)+1,20))-1))),2)&amp;"/"&amp;RIGHT("00"&amp;VALUE(TRIM(MID(MID(Sync!$L883,FIND("/",Sync!$L883)+1,20),FIND("/",MID(Sync!$L883,FIND("/",Sync!$L883)+1,20))+1,20))),2),"")))</f>
        <v/>
      </c>
    </row>
    <row r="884" spans="13:14" x14ac:dyDescent="0.2">
      <c r="M884" t="str">
        <f>IF(Sync!$M884&lt;&gt;"پاس چک","",IF(Sync!$P884="","",Sync!$P884))</f>
        <v/>
      </c>
      <c r="N884" t="str">
        <f>IF($M884="","",IF(ISNUMBER(Sync!$L884),IF(AND(Sync!$L884&gt;=10000101,Sync!$L884&lt;=99991231),RIGHT("0000"&amp;INT(Sync!$L884/10000),4)&amp;"/"&amp;RIGHT("00"&amp;INT(MOD(Sync!$L884,10000)/100),2)&amp;"/"&amp;RIGHT("00"&amp;MOD(Sync!$L884,100),2),""),IFERROR(RIGHT("0000"&amp;VALUE(TRIM(LEFT(Sync!$L884,FIND("/",Sync!$L884)-1))),4)&amp;"/"&amp;RIGHT("00"&amp;VALUE(TRIM(LEFT(MID(Sync!$L884,FIND("/",Sync!$L884)+1,20),FIND("/",MID(Sync!$L884,FIND("/",Sync!$L884)+1,20))-1))),2)&amp;"/"&amp;RIGHT("00"&amp;VALUE(TRIM(MID(MID(Sync!$L884,FIND("/",Sync!$L884)+1,20),FIND("/",MID(Sync!$L884,FIND("/",Sync!$L884)+1,20))+1,20))),2),"")))</f>
        <v/>
      </c>
    </row>
    <row r="885" spans="13:14" x14ac:dyDescent="0.2">
      <c r="M885" t="str">
        <f>IF(Sync!$M885&lt;&gt;"پاس چک","",IF(Sync!$P885="","",Sync!$P885))</f>
        <v/>
      </c>
      <c r="N885" t="str">
        <f>IF($M885="","",IF(ISNUMBER(Sync!$L885),IF(AND(Sync!$L885&gt;=10000101,Sync!$L885&lt;=99991231),RIGHT("0000"&amp;INT(Sync!$L885/10000),4)&amp;"/"&amp;RIGHT("00"&amp;INT(MOD(Sync!$L885,10000)/100),2)&amp;"/"&amp;RIGHT("00"&amp;MOD(Sync!$L885,100),2),""),IFERROR(RIGHT("0000"&amp;VALUE(TRIM(LEFT(Sync!$L885,FIND("/",Sync!$L885)-1))),4)&amp;"/"&amp;RIGHT("00"&amp;VALUE(TRIM(LEFT(MID(Sync!$L885,FIND("/",Sync!$L885)+1,20),FIND("/",MID(Sync!$L885,FIND("/",Sync!$L885)+1,20))-1))),2)&amp;"/"&amp;RIGHT("00"&amp;VALUE(TRIM(MID(MID(Sync!$L885,FIND("/",Sync!$L885)+1,20),FIND("/",MID(Sync!$L885,FIND("/",Sync!$L885)+1,20))+1,20))),2),"")))</f>
        <v/>
      </c>
    </row>
    <row r="886" spans="13:14" x14ac:dyDescent="0.2">
      <c r="M886" t="str">
        <f>IF(Sync!$M886&lt;&gt;"پاس چک","",IF(Sync!$P886="","",Sync!$P886))</f>
        <v/>
      </c>
      <c r="N886" t="str">
        <f>IF($M886="","",IF(ISNUMBER(Sync!$L886),IF(AND(Sync!$L886&gt;=10000101,Sync!$L886&lt;=99991231),RIGHT("0000"&amp;INT(Sync!$L886/10000),4)&amp;"/"&amp;RIGHT("00"&amp;INT(MOD(Sync!$L886,10000)/100),2)&amp;"/"&amp;RIGHT("00"&amp;MOD(Sync!$L886,100),2),""),IFERROR(RIGHT("0000"&amp;VALUE(TRIM(LEFT(Sync!$L886,FIND("/",Sync!$L886)-1))),4)&amp;"/"&amp;RIGHT("00"&amp;VALUE(TRIM(LEFT(MID(Sync!$L886,FIND("/",Sync!$L886)+1,20),FIND("/",MID(Sync!$L886,FIND("/",Sync!$L886)+1,20))-1))),2)&amp;"/"&amp;RIGHT("00"&amp;VALUE(TRIM(MID(MID(Sync!$L886,FIND("/",Sync!$L886)+1,20),FIND("/",MID(Sync!$L886,FIND("/",Sync!$L886)+1,20))+1,20))),2),"")))</f>
        <v/>
      </c>
    </row>
    <row r="887" spans="13:14" x14ac:dyDescent="0.2">
      <c r="M887" t="str">
        <f>IF(Sync!$M887&lt;&gt;"پاس چک","",IF(Sync!$P887="","",Sync!$P887))</f>
        <v/>
      </c>
      <c r="N887" t="str">
        <f>IF($M887="","",IF(ISNUMBER(Sync!$L887),IF(AND(Sync!$L887&gt;=10000101,Sync!$L887&lt;=99991231),RIGHT("0000"&amp;INT(Sync!$L887/10000),4)&amp;"/"&amp;RIGHT("00"&amp;INT(MOD(Sync!$L887,10000)/100),2)&amp;"/"&amp;RIGHT("00"&amp;MOD(Sync!$L887,100),2),""),IFERROR(RIGHT("0000"&amp;VALUE(TRIM(LEFT(Sync!$L887,FIND("/",Sync!$L887)-1))),4)&amp;"/"&amp;RIGHT("00"&amp;VALUE(TRIM(LEFT(MID(Sync!$L887,FIND("/",Sync!$L887)+1,20),FIND("/",MID(Sync!$L887,FIND("/",Sync!$L887)+1,20))-1))),2)&amp;"/"&amp;RIGHT("00"&amp;VALUE(TRIM(MID(MID(Sync!$L887,FIND("/",Sync!$L887)+1,20),FIND("/",MID(Sync!$L887,FIND("/",Sync!$L887)+1,20))+1,20))),2),"")))</f>
        <v/>
      </c>
    </row>
    <row r="888" spans="13:14" x14ac:dyDescent="0.2">
      <c r="M888" t="str">
        <f>IF(Sync!$M888&lt;&gt;"پاس چک","",IF(Sync!$P888="","",Sync!$P888))</f>
        <v/>
      </c>
      <c r="N888" t="str">
        <f>IF($M888="","",IF(ISNUMBER(Sync!$L888),IF(AND(Sync!$L888&gt;=10000101,Sync!$L888&lt;=99991231),RIGHT("0000"&amp;INT(Sync!$L888/10000),4)&amp;"/"&amp;RIGHT("00"&amp;INT(MOD(Sync!$L888,10000)/100),2)&amp;"/"&amp;RIGHT("00"&amp;MOD(Sync!$L888,100),2),""),IFERROR(RIGHT("0000"&amp;VALUE(TRIM(LEFT(Sync!$L888,FIND("/",Sync!$L888)-1))),4)&amp;"/"&amp;RIGHT("00"&amp;VALUE(TRIM(LEFT(MID(Sync!$L888,FIND("/",Sync!$L888)+1,20),FIND("/",MID(Sync!$L888,FIND("/",Sync!$L888)+1,20))-1))),2)&amp;"/"&amp;RIGHT("00"&amp;VALUE(TRIM(MID(MID(Sync!$L888,FIND("/",Sync!$L888)+1,20),FIND("/",MID(Sync!$L888,FIND("/",Sync!$L888)+1,20))+1,20))),2),"")))</f>
        <v/>
      </c>
    </row>
    <row r="889" spans="13:14" x14ac:dyDescent="0.2">
      <c r="M889" t="str">
        <f>IF(Sync!$M889&lt;&gt;"پاس چک","",IF(Sync!$P889="","",Sync!$P889))</f>
        <v/>
      </c>
      <c r="N889" t="str">
        <f>IF($M889="","",IF(ISNUMBER(Sync!$L889),IF(AND(Sync!$L889&gt;=10000101,Sync!$L889&lt;=99991231),RIGHT("0000"&amp;INT(Sync!$L889/10000),4)&amp;"/"&amp;RIGHT("00"&amp;INT(MOD(Sync!$L889,10000)/100),2)&amp;"/"&amp;RIGHT("00"&amp;MOD(Sync!$L889,100),2),""),IFERROR(RIGHT("0000"&amp;VALUE(TRIM(LEFT(Sync!$L889,FIND("/",Sync!$L889)-1))),4)&amp;"/"&amp;RIGHT("00"&amp;VALUE(TRIM(LEFT(MID(Sync!$L889,FIND("/",Sync!$L889)+1,20),FIND("/",MID(Sync!$L889,FIND("/",Sync!$L889)+1,20))-1))),2)&amp;"/"&amp;RIGHT("00"&amp;VALUE(TRIM(MID(MID(Sync!$L889,FIND("/",Sync!$L889)+1,20),FIND("/",MID(Sync!$L889,FIND("/",Sync!$L889)+1,20))+1,20))),2),"")))</f>
        <v/>
      </c>
    </row>
    <row r="890" spans="13:14" x14ac:dyDescent="0.2">
      <c r="M890" t="str">
        <f>IF(Sync!$M890&lt;&gt;"پاس چک","",IF(Sync!$P890="","",Sync!$P890))</f>
        <v/>
      </c>
      <c r="N890" t="str">
        <f>IF($M890="","",IF(ISNUMBER(Sync!$L890),IF(AND(Sync!$L890&gt;=10000101,Sync!$L890&lt;=99991231),RIGHT("0000"&amp;INT(Sync!$L890/10000),4)&amp;"/"&amp;RIGHT("00"&amp;INT(MOD(Sync!$L890,10000)/100),2)&amp;"/"&amp;RIGHT("00"&amp;MOD(Sync!$L890,100),2),""),IFERROR(RIGHT("0000"&amp;VALUE(TRIM(LEFT(Sync!$L890,FIND("/",Sync!$L890)-1))),4)&amp;"/"&amp;RIGHT("00"&amp;VALUE(TRIM(LEFT(MID(Sync!$L890,FIND("/",Sync!$L890)+1,20),FIND("/",MID(Sync!$L890,FIND("/",Sync!$L890)+1,20))-1))),2)&amp;"/"&amp;RIGHT("00"&amp;VALUE(TRIM(MID(MID(Sync!$L890,FIND("/",Sync!$L890)+1,20),FIND("/",MID(Sync!$L890,FIND("/",Sync!$L890)+1,20))+1,20))),2),"")))</f>
        <v/>
      </c>
    </row>
    <row r="891" spans="13:14" x14ac:dyDescent="0.2">
      <c r="M891" t="str">
        <f>IF(Sync!$M891&lt;&gt;"پاس چک","",IF(Sync!$P891="","",Sync!$P891))</f>
        <v/>
      </c>
      <c r="N891" t="str">
        <f>IF($M891="","",IF(ISNUMBER(Sync!$L891),IF(AND(Sync!$L891&gt;=10000101,Sync!$L891&lt;=99991231),RIGHT("0000"&amp;INT(Sync!$L891/10000),4)&amp;"/"&amp;RIGHT("00"&amp;INT(MOD(Sync!$L891,10000)/100),2)&amp;"/"&amp;RIGHT("00"&amp;MOD(Sync!$L891,100),2),""),IFERROR(RIGHT("0000"&amp;VALUE(TRIM(LEFT(Sync!$L891,FIND("/",Sync!$L891)-1))),4)&amp;"/"&amp;RIGHT("00"&amp;VALUE(TRIM(LEFT(MID(Sync!$L891,FIND("/",Sync!$L891)+1,20),FIND("/",MID(Sync!$L891,FIND("/",Sync!$L891)+1,20))-1))),2)&amp;"/"&amp;RIGHT("00"&amp;VALUE(TRIM(MID(MID(Sync!$L891,FIND("/",Sync!$L891)+1,20),FIND("/",MID(Sync!$L891,FIND("/",Sync!$L891)+1,20))+1,20))),2),"")))</f>
        <v/>
      </c>
    </row>
    <row r="892" spans="13:14" x14ac:dyDescent="0.2">
      <c r="M892" t="str">
        <f>IF(Sync!$M892&lt;&gt;"پاس چک","",IF(Sync!$P892="","",Sync!$P892))</f>
        <v/>
      </c>
      <c r="N892" t="str">
        <f>IF($M892="","",IF(ISNUMBER(Sync!$L892),IF(AND(Sync!$L892&gt;=10000101,Sync!$L892&lt;=99991231),RIGHT("0000"&amp;INT(Sync!$L892/10000),4)&amp;"/"&amp;RIGHT("00"&amp;INT(MOD(Sync!$L892,10000)/100),2)&amp;"/"&amp;RIGHT("00"&amp;MOD(Sync!$L892,100),2),""),IFERROR(RIGHT("0000"&amp;VALUE(TRIM(LEFT(Sync!$L892,FIND("/",Sync!$L892)-1))),4)&amp;"/"&amp;RIGHT("00"&amp;VALUE(TRIM(LEFT(MID(Sync!$L892,FIND("/",Sync!$L892)+1,20),FIND("/",MID(Sync!$L892,FIND("/",Sync!$L892)+1,20))-1))),2)&amp;"/"&amp;RIGHT("00"&amp;VALUE(TRIM(MID(MID(Sync!$L892,FIND("/",Sync!$L892)+1,20),FIND("/",MID(Sync!$L892,FIND("/",Sync!$L892)+1,20))+1,20))),2),"")))</f>
        <v/>
      </c>
    </row>
    <row r="893" spans="13:14" x14ac:dyDescent="0.2">
      <c r="M893" t="str">
        <f>IF(Sync!$M893&lt;&gt;"پاس چک","",IF(Sync!$P893="","",Sync!$P893))</f>
        <v/>
      </c>
      <c r="N893" t="str">
        <f>IF($M893="","",IF(ISNUMBER(Sync!$L893),IF(AND(Sync!$L893&gt;=10000101,Sync!$L893&lt;=99991231),RIGHT("0000"&amp;INT(Sync!$L893/10000),4)&amp;"/"&amp;RIGHT("00"&amp;INT(MOD(Sync!$L893,10000)/100),2)&amp;"/"&amp;RIGHT("00"&amp;MOD(Sync!$L893,100),2),""),IFERROR(RIGHT("0000"&amp;VALUE(TRIM(LEFT(Sync!$L893,FIND("/",Sync!$L893)-1))),4)&amp;"/"&amp;RIGHT("00"&amp;VALUE(TRIM(LEFT(MID(Sync!$L893,FIND("/",Sync!$L893)+1,20),FIND("/",MID(Sync!$L893,FIND("/",Sync!$L893)+1,20))-1))),2)&amp;"/"&amp;RIGHT("00"&amp;VALUE(TRIM(MID(MID(Sync!$L893,FIND("/",Sync!$L893)+1,20),FIND("/",MID(Sync!$L893,FIND("/",Sync!$L893)+1,20))+1,20))),2),"")))</f>
        <v/>
      </c>
    </row>
    <row r="894" spans="13:14" x14ac:dyDescent="0.2">
      <c r="M894" t="str">
        <f>IF(Sync!$M894&lt;&gt;"پاس چک","",IF(Sync!$P894="","",Sync!$P894))</f>
        <v/>
      </c>
      <c r="N894" t="str">
        <f>IF($M894="","",IF(ISNUMBER(Sync!$L894),IF(AND(Sync!$L894&gt;=10000101,Sync!$L894&lt;=99991231),RIGHT("0000"&amp;INT(Sync!$L894/10000),4)&amp;"/"&amp;RIGHT("00"&amp;INT(MOD(Sync!$L894,10000)/100),2)&amp;"/"&amp;RIGHT("00"&amp;MOD(Sync!$L894,100),2),""),IFERROR(RIGHT("0000"&amp;VALUE(TRIM(LEFT(Sync!$L894,FIND("/",Sync!$L894)-1))),4)&amp;"/"&amp;RIGHT("00"&amp;VALUE(TRIM(LEFT(MID(Sync!$L894,FIND("/",Sync!$L894)+1,20),FIND("/",MID(Sync!$L894,FIND("/",Sync!$L894)+1,20))-1))),2)&amp;"/"&amp;RIGHT("00"&amp;VALUE(TRIM(MID(MID(Sync!$L894,FIND("/",Sync!$L894)+1,20),FIND("/",MID(Sync!$L894,FIND("/",Sync!$L894)+1,20))+1,20))),2),"")))</f>
        <v/>
      </c>
    </row>
    <row r="895" spans="13:14" x14ac:dyDescent="0.2">
      <c r="M895" t="str">
        <f>IF(Sync!$M895&lt;&gt;"پاس چک","",IF(Sync!$P895="","",Sync!$P895))</f>
        <v/>
      </c>
      <c r="N895" t="str">
        <f>IF($M895="","",IF(ISNUMBER(Sync!$L895),IF(AND(Sync!$L895&gt;=10000101,Sync!$L895&lt;=99991231),RIGHT("0000"&amp;INT(Sync!$L895/10000),4)&amp;"/"&amp;RIGHT("00"&amp;INT(MOD(Sync!$L895,10000)/100),2)&amp;"/"&amp;RIGHT("00"&amp;MOD(Sync!$L895,100),2),""),IFERROR(RIGHT("0000"&amp;VALUE(TRIM(LEFT(Sync!$L895,FIND("/",Sync!$L895)-1))),4)&amp;"/"&amp;RIGHT("00"&amp;VALUE(TRIM(LEFT(MID(Sync!$L895,FIND("/",Sync!$L895)+1,20),FIND("/",MID(Sync!$L895,FIND("/",Sync!$L895)+1,20))-1))),2)&amp;"/"&amp;RIGHT("00"&amp;VALUE(TRIM(MID(MID(Sync!$L895,FIND("/",Sync!$L895)+1,20),FIND("/",MID(Sync!$L895,FIND("/",Sync!$L895)+1,20))+1,20))),2),"")))</f>
        <v/>
      </c>
    </row>
    <row r="896" spans="13:14" x14ac:dyDescent="0.2">
      <c r="M896" t="str">
        <f>IF(Sync!$M896&lt;&gt;"پاس چک","",IF(Sync!$P896="","",Sync!$P896))</f>
        <v/>
      </c>
      <c r="N896" t="str">
        <f>IF($M896="","",IF(ISNUMBER(Sync!$L896),IF(AND(Sync!$L896&gt;=10000101,Sync!$L896&lt;=99991231),RIGHT("0000"&amp;INT(Sync!$L896/10000),4)&amp;"/"&amp;RIGHT("00"&amp;INT(MOD(Sync!$L896,10000)/100),2)&amp;"/"&amp;RIGHT("00"&amp;MOD(Sync!$L896,100),2),""),IFERROR(RIGHT("0000"&amp;VALUE(TRIM(LEFT(Sync!$L896,FIND("/",Sync!$L896)-1))),4)&amp;"/"&amp;RIGHT("00"&amp;VALUE(TRIM(LEFT(MID(Sync!$L896,FIND("/",Sync!$L896)+1,20),FIND("/",MID(Sync!$L896,FIND("/",Sync!$L896)+1,20))-1))),2)&amp;"/"&amp;RIGHT("00"&amp;VALUE(TRIM(MID(MID(Sync!$L896,FIND("/",Sync!$L896)+1,20),FIND("/",MID(Sync!$L896,FIND("/",Sync!$L896)+1,20))+1,20))),2),"")))</f>
        <v/>
      </c>
    </row>
    <row r="897" spans="13:14" x14ac:dyDescent="0.2">
      <c r="M897" t="str">
        <f>IF(Sync!$M897&lt;&gt;"پاس چک","",IF(Sync!$P897="","",Sync!$P897))</f>
        <v/>
      </c>
      <c r="N897" t="str">
        <f>IF($M897="","",IF(ISNUMBER(Sync!$L897),IF(AND(Sync!$L897&gt;=10000101,Sync!$L897&lt;=99991231),RIGHT("0000"&amp;INT(Sync!$L897/10000),4)&amp;"/"&amp;RIGHT("00"&amp;INT(MOD(Sync!$L897,10000)/100),2)&amp;"/"&amp;RIGHT("00"&amp;MOD(Sync!$L897,100),2),""),IFERROR(RIGHT("0000"&amp;VALUE(TRIM(LEFT(Sync!$L897,FIND("/",Sync!$L897)-1))),4)&amp;"/"&amp;RIGHT("00"&amp;VALUE(TRIM(LEFT(MID(Sync!$L897,FIND("/",Sync!$L897)+1,20),FIND("/",MID(Sync!$L897,FIND("/",Sync!$L897)+1,20))-1))),2)&amp;"/"&amp;RIGHT("00"&amp;VALUE(TRIM(MID(MID(Sync!$L897,FIND("/",Sync!$L897)+1,20),FIND("/",MID(Sync!$L897,FIND("/",Sync!$L897)+1,20))+1,20))),2),"")))</f>
        <v/>
      </c>
    </row>
    <row r="898" spans="13:14" x14ac:dyDescent="0.2">
      <c r="M898" t="str">
        <f>IF(Sync!$M898&lt;&gt;"پاس چک","",IF(Sync!$P898="","",Sync!$P898))</f>
        <v/>
      </c>
      <c r="N898" t="str">
        <f>IF($M898="","",IF(ISNUMBER(Sync!$L898),IF(AND(Sync!$L898&gt;=10000101,Sync!$L898&lt;=99991231),RIGHT("0000"&amp;INT(Sync!$L898/10000),4)&amp;"/"&amp;RIGHT("00"&amp;INT(MOD(Sync!$L898,10000)/100),2)&amp;"/"&amp;RIGHT("00"&amp;MOD(Sync!$L898,100),2),""),IFERROR(RIGHT("0000"&amp;VALUE(TRIM(LEFT(Sync!$L898,FIND("/",Sync!$L898)-1))),4)&amp;"/"&amp;RIGHT("00"&amp;VALUE(TRIM(LEFT(MID(Sync!$L898,FIND("/",Sync!$L898)+1,20),FIND("/",MID(Sync!$L898,FIND("/",Sync!$L898)+1,20))-1))),2)&amp;"/"&amp;RIGHT("00"&amp;VALUE(TRIM(MID(MID(Sync!$L898,FIND("/",Sync!$L898)+1,20),FIND("/",MID(Sync!$L898,FIND("/",Sync!$L898)+1,20))+1,20))),2),"")))</f>
        <v/>
      </c>
    </row>
    <row r="899" spans="13:14" x14ac:dyDescent="0.2">
      <c r="M899" t="str">
        <f>IF(Sync!$M899&lt;&gt;"پاس چک","",IF(Sync!$P899="","",Sync!$P899))</f>
        <v/>
      </c>
      <c r="N899" t="str">
        <f>IF($M899="","",IF(ISNUMBER(Sync!$L899),IF(AND(Sync!$L899&gt;=10000101,Sync!$L899&lt;=99991231),RIGHT("0000"&amp;INT(Sync!$L899/10000),4)&amp;"/"&amp;RIGHT("00"&amp;INT(MOD(Sync!$L899,10000)/100),2)&amp;"/"&amp;RIGHT("00"&amp;MOD(Sync!$L899,100),2),""),IFERROR(RIGHT("0000"&amp;VALUE(TRIM(LEFT(Sync!$L899,FIND("/",Sync!$L899)-1))),4)&amp;"/"&amp;RIGHT("00"&amp;VALUE(TRIM(LEFT(MID(Sync!$L899,FIND("/",Sync!$L899)+1,20),FIND("/",MID(Sync!$L899,FIND("/",Sync!$L899)+1,20))-1))),2)&amp;"/"&amp;RIGHT("00"&amp;VALUE(TRIM(MID(MID(Sync!$L899,FIND("/",Sync!$L899)+1,20),FIND("/",MID(Sync!$L899,FIND("/",Sync!$L899)+1,20))+1,20))),2),"")))</f>
        <v/>
      </c>
    </row>
    <row r="900" spans="13:14" x14ac:dyDescent="0.2">
      <c r="M900" t="str">
        <f>IF(Sync!$M900&lt;&gt;"پاس چک","",IF(Sync!$P900="","",Sync!$P900))</f>
        <v/>
      </c>
      <c r="N900" t="str">
        <f>IF($M900="","",IF(ISNUMBER(Sync!$L900),IF(AND(Sync!$L900&gt;=10000101,Sync!$L900&lt;=99991231),RIGHT("0000"&amp;INT(Sync!$L900/10000),4)&amp;"/"&amp;RIGHT("00"&amp;INT(MOD(Sync!$L900,10000)/100),2)&amp;"/"&amp;RIGHT("00"&amp;MOD(Sync!$L900,100),2),""),IFERROR(RIGHT("0000"&amp;VALUE(TRIM(LEFT(Sync!$L900,FIND("/",Sync!$L900)-1))),4)&amp;"/"&amp;RIGHT("00"&amp;VALUE(TRIM(LEFT(MID(Sync!$L900,FIND("/",Sync!$L900)+1,20),FIND("/",MID(Sync!$L900,FIND("/",Sync!$L900)+1,20))-1))),2)&amp;"/"&amp;RIGHT("00"&amp;VALUE(TRIM(MID(MID(Sync!$L900,FIND("/",Sync!$L900)+1,20),FIND("/",MID(Sync!$L900,FIND("/",Sync!$L900)+1,20))+1,20))),2),"")))</f>
        <v/>
      </c>
    </row>
    <row r="901" spans="13:14" x14ac:dyDescent="0.2">
      <c r="M901" t="str">
        <f>IF(Sync!$M901&lt;&gt;"پاس چک","",IF(Sync!$P901="","",Sync!$P901))</f>
        <v/>
      </c>
      <c r="N901" t="str">
        <f>IF($M901="","",IF(ISNUMBER(Sync!$L901),IF(AND(Sync!$L901&gt;=10000101,Sync!$L901&lt;=99991231),RIGHT("0000"&amp;INT(Sync!$L901/10000),4)&amp;"/"&amp;RIGHT("00"&amp;INT(MOD(Sync!$L901,10000)/100),2)&amp;"/"&amp;RIGHT("00"&amp;MOD(Sync!$L901,100),2),""),IFERROR(RIGHT("0000"&amp;VALUE(TRIM(LEFT(Sync!$L901,FIND("/",Sync!$L901)-1))),4)&amp;"/"&amp;RIGHT("00"&amp;VALUE(TRIM(LEFT(MID(Sync!$L901,FIND("/",Sync!$L901)+1,20),FIND("/",MID(Sync!$L901,FIND("/",Sync!$L901)+1,20))-1))),2)&amp;"/"&amp;RIGHT("00"&amp;VALUE(TRIM(MID(MID(Sync!$L901,FIND("/",Sync!$L901)+1,20),FIND("/",MID(Sync!$L901,FIND("/",Sync!$L901)+1,20))+1,20))),2),"")))</f>
        <v/>
      </c>
    </row>
    <row r="902" spans="13:14" x14ac:dyDescent="0.2">
      <c r="M902" t="str">
        <f>IF(Sync!$M902&lt;&gt;"پاس چک","",IF(Sync!$P902="","",Sync!$P902))</f>
        <v/>
      </c>
      <c r="N902" t="str">
        <f>IF($M902="","",IF(ISNUMBER(Sync!$L902),IF(AND(Sync!$L902&gt;=10000101,Sync!$L902&lt;=99991231),RIGHT("0000"&amp;INT(Sync!$L902/10000),4)&amp;"/"&amp;RIGHT("00"&amp;INT(MOD(Sync!$L902,10000)/100),2)&amp;"/"&amp;RIGHT("00"&amp;MOD(Sync!$L902,100),2),""),IFERROR(RIGHT("0000"&amp;VALUE(TRIM(LEFT(Sync!$L902,FIND("/",Sync!$L902)-1))),4)&amp;"/"&amp;RIGHT("00"&amp;VALUE(TRIM(LEFT(MID(Sync!$L902,FIND("/",Sync!$L902)+1,20),FIND("/",MID(Sync!$L902,FIND("/",Sync!$L902)+1,20))-1))),2)&amp;"/"&amp;RIGHT("00"&amp;VALUE(TRIM(MID(MID(Sync!$L902,FIND("/",Sync!$L902)+1,20),FIND("/",MID(Sync!$L902,FIND("/",Sync!$L902)+1,20))+1,20))),2),"")))</f>
        <v/>
      </c>
    </row>
    <row r="903" spans="13:14" x14ac:dyDescent="0.2">
      <c r="M903" t="str">
        <f>IF(Sync!$M903&lt;&gt;"پاس چک","",IF(Sync!$P903="","",Sync!$P903))</f>
        <v/>
      </c>
      <c r="N903" t="str">
        <f>IF($M903="","",IF(ISNUMBER(Sync!$L903),IF(AND(Sync!$L903&gt;=10000101,Sync!$L903&lt;=99991231),RIGHT("0000"&amp;INT(Sync!$L903/10000),4)&amp;"/"&amp;RIGHT("00"&amp;INT(MOD(Sync!$L903,10000)/100),2)&amp;"/"&amp;RIGHT("00"&amp;MOD(Sync!$L903,100),2),""),IFERROR(RIGHT("0000"&amp;VALUE(TRIM(LEFT(Sync!$L903,FIND("/",Sync!$L903)-1))),4)&amp;"/"&amp;RIGHT("00"&amp;VALUE(TRIM(LEFT(MID(Sync!$L903,FIND("/",Sync!$L903)+1,20),FIND("/",MID(Sync!$L903,FIND("/",Sync!$L903)+1,20))-1))),2)&amp;"/"&amp;RIGHT("00"&amp;VALUE(TRIM(MID(MID(Sync!$L903,FIND("/",Sync!$L903)+1,20),FIND("/",MID(Sync!$L903,FIND("/",Sync!$L903)+1,20))+1,20))),2),"")))</f>
        <v/>
      </c>
    </row>
    <row r="904" spans="13:14" x14ac:dyDescent="0.2">
      <c r="M904" t="str">
        <f>IF(Sync!$M904&lt;&gt;"پاس چک","",IF(Sync!$P904="","",Sync!$P904))</f>
        <v/>
      </c>
      <c r="N904" t="str">
        <f>IF($M904="","",IF(ISNUMBER(Sync!$L904),IF(AND(Sync!$L904&gt;=10000101,Sync!$L904&lt;=99991231),RIGHT("0000"&amp;INT(Sync!$L904/10000),4)&amp;"/"&amp;RIGHT("00"&amp;INT(MOD(Sync!$L904,10000)/100),2)&amp;"/"&amp;RIGHT("00"&amp;MOD(Sync!$L904,100),2),""),IFERROR(RIGHT("0000"&amp;VALUE(TRIM(LEFT(Sync!$L904,FIND("/",Sync!$L904)-1))),4)&amp;"/"&amp;RIGHT("00"&amp;VALUE(TRIM(LEFT(MID(Sync!$L904,FIND("/",Sync!$L904)+1,20),FIND("/",MID(Sync!$L904,FIND("/",Sync!$L904)+1,20))-1))),2)&amp;"/"&amp;RIGHT("00"&amp;VALUE(TRIM(MID(MID(Sync!$L904,FIND("/",Sync!$L904)+1,20),FIND("/",MID(Sync!$L904,FIND("/",Sync!$L904)+1,20))+1,20))),2),"")))</f>
        <v/>
      </c>
    </row>
    <row r="905" spans="13:14" x14ac:dyDescent="0.2">
      <c r="M905" t="str">
        <f>IF(Sync!$M905&lt;&gt;"پاس چک","",IF(Sync!$P905="","",Sync!$P905))</f>
        <v/>
      </c>
      <c r="N905" t="str">
        <f>IF($M905="","",IF(ISNUMBER(Sync!$L905),IF(AND(Sync!$L905&gt;=10000101,Sync!$L905&lt;=99991231),RIGHT("0000"&amp;INT(Sync!$L905/10000),4)&amp;"/"&amp;RIGHT("00"&amp;INT(MOD(Sync!$L905,10000)/100),2)&amp;"/"&amp;RIGHT("00"&amp;MOD(Sync!$L905,100),2),""),IFERROR(RIGHT("0000"&amp;VALUE(TRIM(LEFT(Sync!$L905,FIND("/",Sync!$L905)-1))),4)&amp;"/"&amp;RIGHT("00"&amp;VALUE(TRIM(LEFT(MID(Sync!$L905,FIND("/",Sync!$L905)+1,20),FIND("/",MID(Sync!$L905,FIND("/",Sync!$L905)+1,20))-1))),2)&amp;"/"&amp;RIGHT("00"&amp;VALUE(TRIM(MID(MID(Sync!$L905,FIND("/",Sync!$L905)+1,20),FIND("/",MID(Sync!$L905,FIND("/",Sync!$L905)+1,20))+1,20))),2),"")))</f>
        <v/>
      </c>
    </row>
    <row r="906" spans="13:14" x14ac:dyDescent="0.2">
      <c r="M906" t="str">
        <f>IF(Sync!$M906&lt;&gt;"پاس چک","",IF(Sync!$P906="","",Sync!$P906))</f>
        <v/>
      </c>
      <c r="N906" t="str">
        <f>IF($M906="","",IF(ISNUMBER(Sync!$L906),IF(AND(Sync!$L906&gt;=10000101,Sync!$L906&lt;=99991231),RIGHT("0000"&amp;INT(Sync!$L906/10000),4)&amp;"/"&amp;RIGHT("00"&amp;INT(MOD(Sync!$L906,10000)/100),2)&amp;"/"&amp;RIGHT("00"&amp;MOD(Sync!$L906,100),2),""),IFERROR(RIGHT("0000"&amp;VALUE(TRIM(LEFT(Sync!$L906,FIND("/",Sync!$L906)-1))),4)&amp;"/"&amp;RIGHT("00"&amp;VALUE(TRIM(LEFT(MID(Sync!$L906,FIND("/",Sync!$L906)+1,20),FIND("/",MID(Sync!$L906,FIND("/",Sync!$L906)+1,20))-1))),2)&amp;"/"&amp;RIGHT("00"&amp;VALUE(TRIM(MID(MID(Sync!$L906,FIND("/",Sync!$L906)+1,20),FIND("/",MID(Sync!$L906,FIND("/",Sync!$L906)+1,20))+1,20))),2),"")))</f>
        <v/>
      </c>
    </row>
    <row r="907" spans="13:14" x14ac:dyDescent="0.2">
      <c r="M907" t="str">
        <f>IF(Sync!$M907&lt;&gt;"پاس چک","",IF(Sync!$P907="","",Sync!$P907))</f>
        <v/>
      </c>
      <c r="N907" t="str">
        <f>IF($M907="","",IF(ISNUMBER(Sync!$L907),IF(AND(Sync!$L907&gt;=10000101,Sync!$L907&lt;=99991231),RIGHT("0000"&amp;INT(Sync!$L907/10000),4)&amp;"/"&amp;RIGHT("00"&amp;INT(MOD(Sync!$L907,10000)/100),2)&amp;"/"&amp;RIGHT("00"&amp;MOD(Sync!$L907,100),2),""),IFERROR(RIGHT("0000"&amp;VALUE(TRIM(LEFT(Sync!$L907,FIND("/",Sync!$L907)-1))),4)&amp;"/"&amp;RIGHT("00"&amp;VALUE(TRIM(LEFT(MID(Sync!$L907,FIND("/",Sync!$L907)+1,20),FIND("/",MID(Sync!$L907,FIND("/",Sync!$L907)+1,20))-1))),2)&amp;"/"&amp;RIGHT("00"&amp;VALUE(TRIM(MID(MID(Sync!$L907,FIND("/",Sync!$L907)+1,20),FIND("/",MID(Sync!$L907,FIND("/",Sync!$L907)+1,20))+1,20))),2),"")))</f>
        <v/>
      </c>
    </row>
    <row r="908" spans="13:14" x14ac:dyDescent="0.2">
      <c r="M908" t="str">
        <f>IF(Sync!$M908&lt;&gt;"پاس چک","",IF(Sync!$P908="","",Sync!$P908))</f>
        <v/>
      </c>
      <c r="N908" t="str">
        <f>IF($M908="","",IF(ISNUMBER(Sync!$L908),IF(AND(Sync!$L908&gt;=10000101,Sync!$L908&lt;=99991231),RIGHT("0000"&amp;INT(Sync!$L908/10000),4)&amp;"/"&amp;RIGHT("00"&amp;INT(MOD(Sync!$L908,10000)/100),2)&amp;"/"&amp;RIGHT("00"&amp;MOD(Sync!$L908,100),2),""),IFERROR(RIGHT("0000"&amp;VALUE(TRIM(LEFT(Sync!$L908,FIND("/",Sync!$L908)-1))),4)&amp;"/"&amp;RIGHT("00"&amp;VALUE(TRIM(LEFT(MID(Sync!$L908,FIND("/",Sync!$L908)+1,20),FIND("/",MID(Sync!$L908,FIND("/",Sync!$L908)+1,20))-1))),2)&amp;"/"&amp;RIGHT("00"&amp;VALUE(TRIM(MID(MID(Sync!$L908,FIND("/",Sync!$L908)+1,20),FIND("/",MID(Sync!$L908,FIND("/",Sync!$L908)+1,20))+1,20))),2),"")))</f>
        <v/>
      </c>
    </row>
    <row r="909" spans="13:14" x14ac:dyDescent="0.2">
      <c r="M909" t="str">
        <f>IF(Sync!$M909&lt;&gt;"پاس چک","",IF(Sync!$P909="","",Sync!$P909))</f>
        <v/>
      </c>
      <c r="N909" t="str">
        <f>IF($M909="","",IF(ISNUMBER(Sync!$L909),IF(AND(Sync!$L909&gt;=10000101,Sync!$L909&lt;=99991231),RIGHT("0000"&amp;INT(Sync!$L909/10000),4)&amp;"/"&amp;RIGHT("00"&amp;INT(MOD(Sync!$L909,10000)/100),2)&amp;"/"&amp;RIGHT("00"&amp;MOD(Sync!$L909,100),2),""),IFERROR(RIGHT("0000"&amp;VALUE(TRIM(LEFT(Sync!$L909,FIND("/",Sync!$L909)-1))),4)&amp;"/"&amp;RIGHT("00"&amp;VALUE(TRIM(LEFT(MID(Sync!$L909,FIND("/",Sync!$L909)+1,20),FIND("/",MID(Sync!$L909,FIND("/",Sync!$L909)+1,20))-1))),2)&amp;"/"&amp;RIGHT("00"&amp;VALUE(TRIM(MID(MID(Sync!$L909,FIND("/",Sync!$L909)+1,20),FIND("/",MID(Sync!$L909,FIND("/",Sync!$L909)+1,20))+1,20))),2),"")))</f>
        <v/>
      </c>
    </row>
    <row r="910" spans="13:14" x14ac:dyDescent="0.2">
      <c r="M910" t="str">
        <f>IF(Sync!$M910&lt;&gt;"پاس چک","",IF(Sync!$P910="","",Sync!$P910))</f>
        <v/>
      </c>
      <c r="N910" t="str">
        <f>IF($M910="","",IF(ISNUMBER(Sync!$L910),IF(AND(Sync!$L910&gt;=10000101,Sync!$L910&lt;=99991231),RIGHT("0000"&amp;INT(Sync!$L910/10000),4)&amp;"/"&amp;RIGHT("00"&amp;INT(MOD(Sync!$L910,10000)/100),2)&amp;"/"&amp;RIGHT("00"&amp;MOD(Sync!$L910,100),2),""),IFERROR(RIGHT("0000"&amp;VALUE(TRIM(LEFT(Sync!$L910,FIND("/",Sync!$L910)-1))),4)&amp;"/"&amp;RIGHT("00"&amp;VALUE(TRIM(LEFT(MID(Sync!$L910,FIND("/",Sync!$L910)+1,20),FIND("/",MID(Sync!$L910,FIND("/",Sync!$L910)+1,20))-1))),2)&amp;"/"&amp;RIGHT("00"&amp;VALUE(TRIM(MID(MID(Sync!$L910,FIND("/",Sync!$L910)+1,20),FIND("/",MID(Sync!$L910,FIND("/",Sync!$L910)+1,20))+1,20))),2),"")))</f>
        <v/>
      </c>
    </row>
    <row r="911" spans="13:14" x14ac:dyDescent="0.2">
      <c r="M911" t="str">
        <f>IF(Sync!$M911&lt;&gt;"پاس چک","",IF(Sync!$P911="","",Sync!$P911))</f>
        <v/>
      </c>
      <c r="N911" t="str">
        <f>IF($M911="","",IF(ISNUMBER(Sync!$L911),IF(AND(Sync!$L911&gt;=10000101,Sync!$L911&lt;=99991231),RIGHT("0000"&amp;INT(Sync!$L911/10000),4)&amp;"/"&amp;RIGHT("00"&amp;INT(MOD(Sync!$L911,10000)/100),2)&amp;"/"&amp;RIGHT("00"&amp;MOD(Sync!$L911,100),2),""),IFERROR(RIGHT("0000"&amp;VALUE(TRIM(LEFT(Sync!$L911,FIND("/",Sync!$L911)-1))),4)&amp;"/"&amp;RIGHT("00"&amp;VALUE(TRIM(LEFT(MID(Sync!$L911,FIND("/",Sync!$L911)+1,20),FIND("/",MID(Sync!$L911,FIND("/",Sync!$L911)+1,20))-1))),2)&amp;"/"&amp;RIGHT("00"&amp;VALUE(TRIM(MID(MID(Sync!$L911,FIND("/",Sync!$L911)+1,20),FIND("/",MID(Sync!$L911,FIND("/",Sync!$L911)+1,20))+1,20))),2),"")))</f>
        <v/>
      </c>
    </row>
    <row r="912" spans="13:14" x14ac:dyDescent="0.2">
      <c r="M912" t="str">
        <f>IF(Sync!$M912&lt;&gt;"پاس چک","",IF(Sync!$P912="","",Sync!$P912))</f>
        <v/>
      </c>
      <c r="N912" t="str">
        <f>IF($M912="","",IF(ISNUMBER(Sync!$L912),IF(AND(Sync!$L912&gt;=10000101,Sync!$L912&lt;=99991231),RIGHT("0000"&amp;INT(Sync!$L912/10000),4)&amp;"/"&amp;RIGHT("00"&amp;INT(MOD(Sync!$L912,10000)/100),2)&amp;"/"&amp;RIGHT("00"&amp;MOD(Sync!$L912,100),2),""),IFERROR(RIGHT("0000"&amp;VALUE(TRIM(LEFT(Sync!$L912,FIND("/",Sync!$L912)-1))),4)&amp;"/"&amp;RIGHT("00"&amp;VALUE(TRIM(LEFT(MID(Sync!$L912,FIND("/",Sync!$L912)+1,20),FIND("/",MID(Sync!$L912,FIND("/",Sync!$L912)+1,20))-1))),2)&amp;"/"&amp;RIGHT("00"&amp;VALUE(TRIM(MID(MID(Sync!$L912,FIND("/",Sync!$L912)+1,20),FIND("/",MID(Sync!$L912,FIND("/",Sync!$L912)+1,20))+1,20))),2),"")))</f>
        <v/>
      </c>
    </row>
    <row r="913" spans="13:14" x14ac:dyDescent="0.2">
      <c r="M913" t="str">
        <f>IF(Sync!$M913&lt;&gt;"پاس چک","",IF(Sync!$P913="","",Sync!$P913))</f>
        <v/>
      </c>
      <c r="N913" t="str">
        <f>IF($M913="","",IF(ISNUMBER(Sync!$L913),IF(AND(Sync!$L913&gt;=10000101,Sync!$L913&lt;=99991231),RIGHT("0000"&amp;INT(Sync!$L913/10000),4)&amp;"/"&amp;RIGHT("00"&amp;INT(MOD(Sync!$L913,10000)/100),2)&amp;"/"&amp;RIGHT("00"&amp;MOD(Sync!$L913,100),2),""),IFERROR(RIGHT("0000"&amp;VALUE(TRIM(LEFT(Sync!$L913,FIND("/",Sync!$L913)-1))),4)&amp;"/"&amp;RIGHT("00"&amp;VALUE(TRIM(LEFT(MID(Sync!$L913,FIND("/",Sync!$L913)+1,20),FIND("/",MID(Sync!$L913,FIND("/",Sync!$L913)+1,20))-1))),2)&amp;"/"&amp;RIGHT("00"&amp;VALUE(TRIM(MID(MID(Sync!$L913,FIND("/",Sync!$L913)+1,20),FIND("/",MID(Sync!$L913,FIND("/",Sync!$L913)+1,20))+1,20))),2),"")))</f>
        <v/>
      </c>
    </row>
    <row r="914" spans="13:14" x14ac:dyDescent="0.2">
      <c r="M914" t="str">
        <f>IF(Sync!$M914&lt;&gt;"پاس چک","",IF(Sync!$P914="","",Sync!$P914))</f>
        <v/>
      </c>
      <c r="N914" t="str">
        <f>IF($M914="","",IF(ISNUMBER(Sync!$L914),IF(AND(Sync!$L914&gt;=10000101,Sync!$L914&lt;=99991231),RIGHT("0000"&amp;INT(Sync!$L914/10000),4)&amp;"/"&amp;RIGHT("00"&amp;INT(MOD(Sync!$L914,10000)/100),2)&amp;"/"&amp;RIGHT("00"&amp;MOD(Sync!$L914,100),2),""),IFERROR(RIGHT("0000"&amp;VALUE(TRIM(LEFT(Sync!$L914,FIND("/",Sync!$L914)-1))),4)&amp;"/"&amp;RIGHT("00"&amp;VALUE(TRIM(LEFT(MID(Sync!$L914,FIND("/",Sync!$L914)+1,20),FIND("/",MID(Sync!$L914,FIND("/",Sync!$L914)+1,20))-1))),2)&amp;"/"&amp;RIGHT("00"&amp;VALUE(TRIM(MID(MID(Sync!$L914,FIND("/",Sync!$L914)+1,20),FIND("/",MID(Sync!$L914,FIND("/",Sync!$L914)+1,20))+1,20))),2),"")))</f>
        <v/>
      </c>
    </row>
    <row r="915" spans="13:14" x14ac:dyDescent="0.2">
      <c r="M915" t="str">
        <f>IF(Sync!$M915&lt;&gt;"پاس چک","",IF(Sync!$P915="","",Sync!$P915))</f>
        <v/>
      </c>
      <c r="N915" t="str">
        <f>IF($M915="","",IF(ISNUMBER(Sync!$L915),IF(AND(Sync!$L915&gt;=10000101,Sync!$L915&lt;=99991231),RIGHT("0000"&amp;INT(Sync!$L915/10000),4)&amp;"/"&amp;RIGHT("00"&amp;INT(MOD(Sync!$L915,10000)/100),2)&amp;"/"&amp;RIGHT("00"&amp;MOD(Sync!$L915,100),2),""),IFERROR(RIGHT("0000"&amp;VALUE(TRIM(LEFT(Sync!$L915,FIND("/",Sync!$L915)-1))),4)&amp;"/"&amp;RIGHT("00"&amp;VALUE(TRIM(LEFT(MID(Sync!$L915,FIND("/",Sync!$L915)+1,20),FIND("/",MID(Sync!$L915,FIND("/",Sync!$L915)+1,20))-1))),2)&amp;"/"&amp;RIGHT("00"&amp;VALUE(TRIM(MID(MID(Sync!$L915,FIND("/",Sync!$L915)+1,20),FIND("/",MID(Sync!$L915,FIND("/",Sync!$L915)+1,20))+1,20))),2),"")))</f>
        <v/>
      </c>
    </row>
    <row r="916" spans="13:14" x14ac:dyDescent="0.2">
      <c r="M916" t="str">
        <f>IF(Sync!$M916&lt;&gt;"پاس چک","",IF(Sync!$P916="","",Sync!$P916))</f>
        <v/>
      </c>
      <c r="N916" t="str">
        <f>IF($M916="","",IF(ISNUMBER(Sync!$L916),IF(AND(Sync!$L916&gt;=10000101,Sync!$L916&lt;=99991231),RIGHT("0000"&amp;INT(Sync!$L916/10000),4)&amp;"/"&amp;RIGHT("00"&amp;INT(MOD(Sync!$L916,10000)/100),2)&amp;"/"&amp;RIGHT("00"&amp;MOD(Sync!$L916,100),2),""),IFERROR(RIGHT("0000"&amp;VALUE(TRIM(LEFT(Sync!$L916,FIND("/",Sync!$L916)-1))),4)&amp;"/"&amp;RIGHT("00"&amp;VALUE(TRIM(LEFT(MID(Sync!$L916,FIND("/",Sync!$L916)+1,20),FIND("/",MID(Sync!$L916,FIND("/",Sync!$L916)+1,20))-1))),2)&amp;"/"&amp;RIGHT("00"&amp;VALUE(TRIM(MID(MID(Sync!$L916,FIND("/",Sync!$L916)+1,20),FIND("/",MID(Sync!$L916,FIND("/",Sync!$L916)+1,20))+1,20))),2),"")))</f>
        <v/>
      </c>
    </row>
    <row r="917" spans="13:14" x14ac:dyDescent="0.2">
      <c r="M917" t="str">
        <f>IF(Sync!$M917&lt;&gt;"پاس چک","",IF(Sync!$P917="","",Sync!$P917))</f>
        <v/>
      </c>
      <c r="N917" t="str">
        <f>IF($M917="","",IF(ISNUMBER(Sync!$L917),IF(AND(Sync!$L917&gt;=10000101,Sync!$L917&lt;=99991231),RIGHT("0000"&amp;INT(Sync!$L917/10000),4)&amp;"/"&amp;RIGHT("00"&amp;INT(MOD(Sync!$L917,10000)/100),2)&amp;"/"&amp;RIGHT("00"&amp;MOD(Sync!$L917,100),2),""),IFERROR(RIGHT("0000"&amp;VALUE(TRIM(LEFT(Sync!$L917,FIND("/",Sync!$L917)-1))),4)&amp;"/"&amp;RIGHT("00"&amp;VALUE(TRIM(LEFT(MID(Sync!$L917,FIND("/",Sync!$L917)+1,20),FIND("/",MID(Sync!$L917,FIND("/",Sync!$L917)+1,20))-1))),2)&amp;"/"&amp;RIGHT("00"&amp;VALUE(TRIM(MID(MID(Sync!$L917,FIND("/",Sync!$L917)+1,20),FIND("/",MID(Sync!$L917,FIND("/",Sync!$L917)+1,20))+1,20))),2),"")))</f>
        <v/>
      </c>
    </row>
    <row r="918" spans="13:14" x14ac:dyDescent="0.2">
      <c r="M918" t="str">
        <f>IF(Sync!$M918&lt;&gt;"پاس چک","",IF(Sync!$P918="","",Sync!$P918))</f>
        <v/>
      </c>
      <c r="N918" t="str">
        <f>IF($M918="","",IF(ISNUMBER(Sync!$L918),IF(AND(Sync!$L918&gt;=10000101,Sync!$L918&lt;=99991231),RIGHT("0000"&amp;INT(Sync!$L918/10000),4)&amp;"/"&amp;RIGHT("00"&amp;INT(MOD(Sync!$L918,10000)/100),2)&amp;"/"&amp;RIGHT("00"&amp;MOD(Sync!$L918,100),2),""),IFERROR(RIGHT("0000"&amp;VALUE(TRIM(LEFT(Sync!$L918,FIND("/",Sync!$L918)-1))),4)&amp;"/"&amp;RIGHT("00"&amp;VALUE(TRIM(LEFT(MID(Sync!$L918,FIND("/",Sync!$L918)+1,20),FIND("/",MID(Sync!$L918,FIND("/",Sync!$L918)+1,20))-1))),2)&amp;"/"&amp;RIGHT("00"&amp;VALUE(TRIM(MID(MID(Sync!$L918,FIND("/",Sync!$L918)+1,20),FIND("/",MID(Sync!$L918,FIND("/",Sync!$L918)+1,20))+1,20))),2),"")))</f>
        <v/>
      </c>
    </row>
    <row r="919" spans="13:14" x14ac:dyDescent="0.2">
      <c r="M919" t="str">
        <f>IF(Sync!$M919&lt;&gt;"پاس چک","",IF(Sync!$P919="","",Sync!$P919))</f>
        <v/>
      </c>
      <c r="N919" t="str">
        <f>IF($M919="","",IF(ISNUMBER(Sync!$L919),IF(AND(Sync!$L919&gt;=10000101,Sync!$L919&lt;=99991231),RIGHT("0000"&amp;INT(Sync!$L919/10000),4)&amp;"/"&amp;RIGHT("00"&amp;INT(MOD(Sync!$L919,10000)/100),2)&amp;"/"&amp;RIGHT("00"&amp;MOD(Sync!$L919,100),2),""),IFERROR(RIGHT("0000"&amp;VALUE(TRIM(LEFT(Sync!$L919,FIND("/",Sync!$L919)-1))),4)&amp;"/"&amp;RIGHT("00"&amp;VALUE(TRIM(LEFT(MID(Sync!$L919,FIND("/",Sync!$L919)+1,20),FIND("/",MID(Sync!$L919,FIND("/",Sync!$L919)+1,20))-1))),2)&amp;"/"&amp;RIGHT("00"&amp;VALUE(TRIM(MID(MID(Sync!$L919,FIND("/",Sync!$L919)+1,20),FIND("/",MID(Sync!$L919,FIND("/",Sync!$L919)+1,20))+1,20))),2),"")))</f>
        <v/>
      </c>
    </row>
    <row r="920" spans="13:14" x14ac:dyDescent="0.2">
      <c r="M920" t="str">
        <f>IF(Sync!$M920&lt;&gt;"پاس چک","",IF(Sync!$P920="","",Sync!$P920))</f>
        <v/>
      </c>
      <c r="N920" t="str">
        <f>IF($M920="","",IF(ISNUMBER(Sync!$L920),IF(AND(Sync!$L920&gt;=10000101,Sync!$L920&lt;=99991231),RIGHT("0000"&amp;INT(Sync!$L920/10000),4)&amp;"/"&amp;RIGHT("00"&amp;INT(MOD(Sync!$L920,10000)/100),2)&amp;"/"&amp;RIGHT("00"&amp;MOD(Sync!$L920,100),2),""),IFERROR(RIGHT("0000"&amp;VALUE(TRIM(LEFT(Sync!$L920,FIND("/",Sync!$L920)-1))),4)&amp;"/"&amp;RIGHT("00"&amp;VALUE(TRIM(LEFT(MID(Sync!$L920,FIND("/",Sync!$L920)+1,20),FIND("/",MID(Sync!$L920,FIND("/",Sync!$L920)+1,20))-1))),2)&amp;"/"&amp;RIGHT("00"&amp;VALUE(TRIM(MID(MID(Sync!$L920,FIND("/",Sync!$L920)+1,20),FIND("/",MID(Sync!$L920,FIND("/",Sync!$L920)+1,20))+1,20))),2),"")))</f>
        <v/>
      </c>
    </row>
    <row r="921" spans="13:14" x14ac:dyDescent="0.2">
      <c r="M921" t="str">
        <f>IF(Sync!$M921&lt;&gt;"پاس چک","",IF(Sync!$P921="","",Sync!$P921))</f>
        <v/>
      </c>
      <c r="N921" t="str">
        <f>IF($M921="","",IF(ISNUMBER(Sync!$L921),IF(AND(Sync!$L921&gt;=10000101,Sync!$L921&lt;=99991231),RIGHT("0000"&amp;INT(Sync!$L921/10000),4)&amp;"/"&amp;RIGHT("00"&amp;INT(MOD(Sync!$L921,10000)/100),2)&amp;"/"&amp;RIGHT("00"&amp;MOD(Sync!$L921,100),2),""),IFERROR(RIGHT("0000"&amp;VALUE(TRIM(LEFT(Sync!$L921,FIND("/",Sync!$L921)-1))),4)&amp;"/"&amp;RIGHT("00"&amp;VALUE(TRIM(LEFT(MID(Sync!$L921,FIND("/",Sync!$L921)+1,20),FIND("/",MID(Sync!$L921,FIND("/",Sync!$L921)+1,20))-1))),2)&amp;"/"&amp;RIGHT("00"&amp;VALUE(TRIM(MID(MID(Sync!$L921,FIND("/",Sync!$L921)+1,20),FIND("/",MID(Sync!$L921,FIND("/",Sync!$L921)+1,20))+1,20))),2),"")))</f>
        <v/>
      </c>
    </row>
    <row r="922" spans="13:14" x14ac:dyDescent="0.2">
      <c r="M922" t="str">
        <f>IF(Sync!$M922&lt;&gt;"پاس چک","",IF(Sync!$P922="","",Sync!$P922))</f>
        <v/>
      </c>
      <c r="N922" t="str">
        <f>IF($M922="","",IF(ISNUMBER(Sync!$L922),IF(AND(Sync!$L922&gt;=10000101,Sync!$L922&lt;=99991231),RIGHT("0000"&amp;INT(Sync!$L922/10000),4)&amp;"/"&amp;RIGHT("00"&amp;INT(MOD(Sync!$L922,10000)/100),2)&amp;"/"&amp;RIGHT("00"&amp;MOD(Sync!$L922,100),2),""),IFERROR(RIGHT("0000"&amp;VALUE(TRIM(LEFT(Sync!$L922,FIND("/",Sync!$L922)-1))),4)&amp;"/"&amp;RIGHT("00"&amp;VALUE(TRIM(LEFT(MID(Sync!$L922,FIND("/",Sync!$L922)+1,20),FIND("/",MID(Sync!$L922,FIND("/",Sync!$L922)+1,20))-1))),2)&amp;"/"&amp;RIGHT("00"&amp;VALUE(TRIM(MID(MID(Sync!$L922,FIND("/",Sync!$L922)+1,20),FIND("/",MID(Sync!$L922,FIND("/",Sync!$L922)+1,20))+1,20))),2),"")))</f>
        <v/>
      </c>
    </row>
    <row r="923" spans="13:14" x14ac:dyDescent="0.2">
      <c r="M923" t="str">
        <f>IF(Sync!$M923&lt;&gt;"پاس چک","",IF(Sync!$P923="","",Sync!$P923))</f>
        <v/>
      </c>
      <c r="N923" t="str">
        <f>IF($M923="","",IF(ISNUMBER(Sync!$L923),IF(AND(Sync!$L923&gt;=10000101,Sync!$L923&lt;=99991231),RIGHT("0000"&amp;INT(Sync!$L923/10000),4)&amp;"/"&amp;RIGHT("00"&amp;INT(MOD(Sync!$L923,10000)/100),2)&amp;"/"&amp;RIGHT("00"&amp;MOD(Sync!$L923,100),2),""),IFERROR(RIGHT("0000"&amp;VALUE(TRIM(LEFT(Sync!$L923,FIND("/",Sync!$L923)-1))),4)&amp;"/"&amp;RIGHT("00"&amp;VALUE(TRIM(LEFT(MID(Sync!$L923,FIND("/",Sync!$L923)+1,20),FIND("/",MID(Sync!$L923,FIND("/",Sync!$L923)+1,20))-1))),2)&amp;"/"&amp;RIGHT("00"&amp;VALUE(TRIM(MID(MID(Sync!$L923,FIND("/",Sync!$L923)+1,20),FIND("/",MID(Sync!$L923,FIND("/",Sync!$L923)+1,20))+1,20))),2),"")))</f>
        <v/>
      </c>
    </row>
    <row r="924" spans="13:14" x14ac:dyDescent="0.2">
      <c r="M924" t="str">
        <f>IF(Sync!$M924&lt;&gt;"پاس چک","",IF(Sync!$P924="","",Sync!$P924))</f>
        <v/>
      </c>
      <c r="N924" t="str">
        <f>IF($M924="","",IF(ISNUMBER(Sync!$L924),IF(AND(Sync!$L924&gt;=10000101,Sync!$L924&lt;=99991231),RIGHT("0000"&amp;INT(Sync!$L924/10000),4)&amp;"/"&amp;RIGHT("00"&amp;INT(MOD(Sync!$L924,10000)/100),2)&amp;"/"&amp;RIGHT("00"&amp;MOD(Sync!$L924,100),2),""),IFERROR(RIGHT("0000"&amp;VALUE(TRIM(LEFT(Sync!$L924,FIND("/",Sync!$L924)-1))),4)&amp;"/"&amp;RIGHT("00"&amp;VALUE(TRIM(LEFT(MID(Sync!$L924,FIND("/",Sync!$L924)+1,20),FIND("/",MID(Sync!$L924,FIND("/",Sync!$L924)+1,20))-1))),2)&amp;"/"&amp;RIGHT("00"&amp;VALUE(TRIM(MID(MID(Sync!$L924,FIND("/",Sync!$L924)+1,20),FIND("/",MID(Sync!$L924,FIND("/",Sync!$L924)+1,20))+1,20))),2),"")))</f>
        <v/>
      </c>
    </row>
    <row r="925" spans="13:14" x14ac:dyDescent="0.2">
      <c r="M925" t="str">
        <f>IF(Sync!$M925&lt;&gt;"پاس چک","",IF(Sync!$P925="","",Sync!$P925))</f>
        <v/>
      </c>
      <c r="N925" t="str">
        <f>IF($M925="","",IF(ISNUMBER(Sync!$L925),IF(AND(Sync!$L925&gt;=10000101,Sync!$L925&lt;=99991231),RIGHT("0000"&amp;INT(Sync!$L925/10000),4)&amp;"/"&amp;RIGHT("00"&amp;INT(MOD(Sync!$L925,10000)/100),2)&amp;"/"&amp;RIGHT("00"&amp;MOD(Sync!$L925,100),2),""),IFERROR(RIGHT("0000"&amp;VALUE(TRIM(LEFT(Sync!$L925,FIND("/",Sync!$L925)-1))),4)&amp;"/"&amp;RIGHT("00"&amp;VALUE(TRIM(LEFT(MID(Sync!$L925,FIND("/",Sync!$L925)+1,20),FIND("/",MID(Sync!$L925,FIND("/",Sync!$L925)+1,20))-1))),2)&amp;"/"&amp;RIGHT("00"&amp;VALUE(TRIM(MID(MID(Sync!$L925,FIND("/",Sync!$L925)+1,20),FIND("/",MID(Sync!$L925,FIND("/",Sync!$L925)+1,20))+1,20))),2),"")))</f>
        <v/>
      </c>
    </row>
    <row r="926" spans="13:14" x14ac:dyDescent="0.2">
      <c r="M926" t="str">
        <f>IF(Sync!$M926&lt;&gt;"پاس چک","",IF(Sync!$P926="","",Sync!$P926))</f>
        <v/>
      </c>
      <c r="N926" t="str">
        <f>IF($M926="","",IF(ISNUMBER(Sync!$L926),IF(AND(Sync!$L926&gt;=10000101,Sync!$L926&lt;=99991231),RIGHT("0000"&amp;INT(Sync!$L926/10000),4)&amp;"/"&amp;RIGHT("00"&amp;INT(MOD(Sync!$L926,10000)/100),2)&amp;"/"&amp;RIGHT("00"&amp;MOD(Sync!$L926,100),2),""),IFERROR(RIGHT("0000"&amp;VALUE(TRIM(LEFT(Sync!$L926,FIND("/",Sync!$L926)-1))),4)&amp;"/"&amp;RIGHT("00"&amp;VALUE(TRIM(LEFT(MID(Sync!$L926,FIND("/",Sync!$L926)+1,20),FIND("/",MID(Sync!$L926,FIND("/",Sync!$L926)+1,20))-1))),2)&amp;"/"&amp;RIGHT("00"&amp;VALUE(TRIM(MID(MID(Sync!$L926,FIND("/",Sync!$L926)+1,20),FIND("/",MID(Sync!$L926,FIND("/",Sync!$L926)+1,20))+1,20))),2),"")))</f>
        <v/>
      </c>
    </row>
    <row r="927" spans="13:14" x14ac:dyDescent="0.2">
      <c r="M927" t="str">
        <f>IF(Sync!$M927&lt;&gt;"پاس چک","",IF(Sync!$P927="","",Sync!$P927))</f>
        <v/>
      </c>
      <c r="N927" t="str">
        <f>IF($M927="","",IF(ISNUMBER(Sync!$L927),IF(AND(Sync!$L927&gt;=10000101,Sync!$L927&lt;=99991231),RIGHT("0000"&amp;INT(Sync!$L927/10000),4)&amp;"/"&amp;RIGHT("00"&amp;INT(MOD(Sync!$L927,10000)/100),2)&amp;"/"&amp;RIGHT("00"&amp;MOD(Sync!$L927,100),2),""),IFERROR(RIGHT("0000"&amp;VALUE(TRIM(LEFT(Sync!$L927,FIND("/",Sync!$L927)-1))),4)&amp;"/"&amp;RIGHT("00"&amp;VALUE(TRIM(LEFT(MID(Sync!$L927,FIND("/",Sync!$L927)+1,20),FIND("/",MID(Sync!$L927,FIND("/",Sync!$L927)+1,20))-1))),2)&amp;"/"&amp;RIGHT("00"&amp;VALUE(TRIM(MID(MID(Sync!$L927,FIND("/",Sync!$L927)+1,20),FIND("/",MID(Sync!$L927,FIND("/",Sync!$L927)+1,20))+1,20))),2),"")))</f>
        <v/>
      </c>
    </row>
    <row r="928" spans="13:14" x14ac:dyDescent="0.2">
      <c r="M928" t="str">
        <f>IF(Sync!$M928&lt;&gt;"پاس چک","",IF(Sync!$P928="","",Sync!$P928))</f>
        <v/>
      </c>
      <c r="N928" t="str">
        <f>IF($M928="","",IF(ISNUMBER(Sync!$L928),IF(AND(Sync!$L928&gt;=10000101,Sync!$L928&lt;=99991231),RIGHT("0000"&amp;INT(Sync!$L928/10000),4)&amp;"/"&amp;RIGHT("00"&amp;INT(MOD(Sync!$L928,10000)/100),2)&amp;"/"&amp;RIGHT("00"&amp;MOD(Sync!$L928,100),2),""),IFERROR(RIGHT("0000"&amp;VALUE(TRIM(LEFT(Sync!$L928,FIND("/",Sync!$L928)-1))),4)&amp;"/"&amp;RIGHT("00"&amp;VALUE(TRIM(LEFT(MID(Sync!$L928,FIND("/",Sync!$L928)+1,20),FIND("/",MID(Sync!$L928,FIND("/",Sync!$L928)+1,20))-1))),2)&amp;"/"&amp;RIGHT("00"&amp;VALUE(TRIM(MID(MID(Sync!$L928,FIND("/",Sync!$L928)+1,20),FIND("/",MID(Sync!$L928,FIND("/",Sync!$L928)+1,20))+1,20))),2),"")))</f>
        <v/>
      </c>
    </row>
    <row r="929" spans="13:14" x14ac:dyDescent="0.2">
      <c r="M929" t="str">
        <f>IF(Sync!$M929&lt;&gt;"پاس چک","",IF(Sync!$P929="","",Sync!$P929))</f>
        <v/>
      </c>
      <c r="N929" t="str">
        <f>IF($M929="","",IF(ISNUMBER(Sync!$L929),IF(AND(Sync!$L929&gt;=10000101,Sync!$L929&lt;=99991231),RIGHT("0000"&amp;INT(Sync!$L929/10000),4)&amp;"/"&amp;RIGHT("00"&amp;INT(MOD(Sync!$L929,10000)/100),2)&amp;"/"&amp;RIGHT("00"&amp;MOD(Sync!$L929,100),2),""),IFERROR(RIGHT("0000"&amp;VALUE(TRIM(LEFT(Sync!$L929,FIND("/",Sync!$L929)-1))),4)&amp;"/"&amp;RIGHT("00"&amp;VALUE(TRIM(LEFT(MID(Sync!$L929,FIND("/",Sync!$L929)+1,20),FIND("/",MID(Sync!$L929,FIND("/",Sync!$L929)+1,20))-1))),2)&amp;"/"&amp;RIGHT("00"&amp;VALUE(TRIM(MID(MID(Sync!$L929,FIND("/",Sync!$L929)+1,20),FIND("/",MID(Sync!$L929,FIND("/",Sync!$L929)+1,20))+1,20))),2),"")))</f>
        <v/>
      </c>
    </row>
    <row r="930" spans="13:14" x14ac:dyDescent="0.2">
      <c r="M930" t="str">
        <f>IF(Sync!$M930&lt;&gt;"پاس چک","",IF(Sync!$P930="","",Sync!$P930))</f>
        <v/>
      </c>
      <c r="N930" t="str">
        <f>IF($M930="","",IF(ISNUMBER(Sync!$L930),IF(AND(Sync!$L930&gt;=10000101,Sync!$L930&lt;=99991231),RIGHT("0000"&amp;INT(Sync!$L930/10000),4)&amp;"/"&amp;RIGHT("00"&amp;INT(MOD(Sync!$L930,10000)/100),2)&amp;"/"&amp;RIGHT("00"&amp;MOD(Sync!$L930,100),2),""),IFERROR(RIGHT("0000"&amp;VALUE(TRIM(LEFT(Sync!$L930,FIND("/",Sync!$L930)-1))),4)&amp;"/"&amp;RIGHT("00"&amp;VALUE(TRIM(LEFT(MID(Sync!$L930,FIND("/",Sync!$L930)+1,20),FIND("/",MID(Sync!$L930,FIND("/",Sync!$L930)+1,20))-1))),2)&amp;"/"&amp;RIGHT("00"&amp;VALUE(TRIM(MID(MID(Sync!$L930,FIND("/",Sync!$L930)+1,20),FIND("/",MID(Sync!$L930,FIND("/",Sync!$L930)+1,20))+1,20))),2),"")))</f>
        <v/>
      </c>
    </row>
    <row r="931" spans="13:14" x14ac:dyDescent="0.2">
      <c r="M931" t="str">
        <f>IF(Sync!$M931&lt;&gt;"پاس چک","",IF(Sync!$P931="","",Sync!$P931))</f>
        <v/>
      </c>
      <c r="N931" t="str">
        <f>IF($M931="","",IF(ISNUMBER(Sync!$L931),IF(AND(Sync!$L931&gt;=10000101,Sync!$L931&lt;=99991231),RIGHT("0000"&amp;INT(Sync!$L931/10000),4)&amp;"/"&amp;RIGHT("00"&amp;INT(MOD(Sync!$L931,10000)/100),2)&amp;"/"&amp;RIGHT("00"&amp;MOD(Sync!$L931,100),2),""),IFERROR(RIGHT("0000"&amp;VALUE(TRIM(LEFT(Sync!$L931,FIND("/",Sync!$L931)-1))),4)&amp;"/"&amp;RIGHT("00"&amp;VALUE(TRIM(LEFT(MID(Sync!$L931,FIND("/",Sync!$L931)+1,20),FIND("/",MID(Sync!$L931,FIND("/",Sync!$L931)+1,20))-1))),2)&amp;"/"&amp;RIGHT("00"&amp;VALUE(TRIM(MID(MID(Sync!$L931,FIND("/",Sync!$L931)+1,20),FIND("/",MID(Sync!$L931,FIND("/",Sync!$L931)+1,20))+1,20))),2),"")))</f>
        <v/>
      </c>
    </row>
    <row r="932" spans="13:14" x14ac:dyDescent="0.2">
      <c r="M932" t="str">
        <f>IF(Sync!$M932&lt;&gt;"پاس چک","",IF(Sync!$P932="","",Sync!$P932))</f>
        <v/>
      </c>
      <c r="N932" t="str">
        <f>IF($M932="","",IF(ISNUMBER(Sync!$L932),IF(AND(Sync!$L932&gt;=10000101,Sync!$L932&lt;=99991231),RIGHT("0000"&amp;INT(Sync!$L932/10000),4)&amp;"/"&amp;RIGHT("00"&amp;INT(MOD(Sync!$L932,10000)/100),2)&amp;"/"&amp;RIGHT("00"&amp;MOD(Sync!$L932,100),2),""),IFERROR(RIGHT("0000"&amp;VALUE(TRIM(LEFT(Sync!$L932,FIND("/",Sync!$L932)-1))),4)&amp;"/"&amp;RIGHT("00"&amp;VALUE(TRIM(LEFT(MID(Sync!$L932,FIND("/",Sync!$L932)+1,20),FIND("/",MID(Sync!$L932,FIND("/",Sync!$L932)+1,20))-1))),2)&amp;"/"&amp;RIGHT("00"&amp;VALUE(TRIM(MID(MID(Sync!$L932,FIND("/",Sync!$L932)+1,20),FIND("/",MID(Sync!$L932,FIND("/",Sync!$L932)+1,20))+1,20))),2),"")))</f>
        <v/>
      </c>
    </row>
    <row r="933" spans="13:14" x14ac:dyDescent="0.2">
      <c r="M933" t="str">
        <f>IF(Sync!$M933&lt;&gt;"پاس چک","",IF(Sync!$P933="","",Sync!$P933))</f>
        <v/>
      </c>
      <c r="N933" t="str">
        <f>IF($M933="","",IF(ISNUMBER(Sync!$L933),IF(AND(Sync!$L933&gt;=10000101,Sync!$L933&lt;=99991231),RIGHT("0000"&amp;INT(Sync!$L933/10000),4)&amp;"/"&amp;RIGHT("00"&amp;INT(MOD(Sync!$L933,10000)/100),2)&amp;"/"&amp;RIGHT("00"&amp;MOD(Sync!$L933,100),2),""),IFERROR(RIGHT("0000"&amp;VALUE(TRIM(LEFT(Sync!$L933,FIND("/",Sync!$L933)-1))),4)&amp;"/"&amp;RIGHT("00"&amp;VALUE(TRIM(LEFT(MID(Sync!$L933,FIND("/",Sync!$L933)+1,20),FIND("/",MID(Sync!$L933,FIND("/",Sync!$L933)+1,20))-1))),2)&amp;"/"&amp;RIGHT("00"&amp;VALUE(TRIM(MID(MID(Sync!$L933,FIND("/",Sync!$L933)+1,20),FIND("/",MID(Sync!$L933,FIND("/",Sync!$L933)+1,20))+1,20))),2),"")))</f>
        <v/>
      </c>
    </row>
    <row r="934" spans="13:14" x14ac:dyDescent="0.2">
      <c r="M934" t="str">
        <f>IF(Sync!$M934&lt;&gt;"پاس چک","",IF(Sync!$P934="","",Sync!$P934))</f>
        <v/>
      </c>
      <c r="N934" t="str">
        <f>IF($M934="","",IF(ISNUMBER(Sync!$L934),IF(AND(Sync!$L934&gt;=10000101,Sync!$L934&lt;=99991231),RIGHT("0000"&amp;INT(Sync!$L934/10000),4)&amp;"/"&amp;RIGHT("00"&amp;INT(MOD(Sync!$L934,10000)/100),2)&amp;"/"&amp;RIGHT("00"&amp;MOD(Sync!$L934,100),2),""),IFERROR(RIGHT("0000"&amp;VALUE(TRIM(LEFT(Sync!$L934,FIND("/",Sync!$L934)-1))),4)&amp;"/"&amp;RIGHT("00"&amp;VALUE(TRIM(LEFT(MID(Sync!$L934,FIND("/",Sync!$L934)+1,20),FIND("/",MID(Sync!$L934,FIND("/",Sync!$L934)+1,20))-1))),2)&amp;"/"&amp;RIGHT("00"&amp;VALUE(TRIM(MID(MID(Sync!$L934,FIND("/",Sync!$L934)+1,20),FIND("/",MID(Sync!$L934,FIND("/",Sync!$L934)+1,20))+1,20))),2),"")))</f>
        <v/>
      </c>
    </row>
    <row r="935" spans="13:14" x14ac:dyDescent="0.2">
      <c r="M935" t="str">
        <f>IF(Sync!$M935&lt;&gt;"پاس چک","",IF(Sync!$P935="","",Sync!$P935))</f>
        <v/>
      </c>
      <c r="N935" t="str">
        <f>IF($M935="","",IF(ISNUMBER(Sync!$L935),IF(AND(Sync!$L935&gt;=10000101,Sync!$L935&lt;=99991231),RIGHT("0000"&amp;INT(Sync!$L935/10000),4)&amp;"/"&amp;RIGHT("00"&amp;INT(MOD(Sync!$L935,10000)/100),2)&amp;"/"&amp;RIGHT("00"&amp;MOD(Sync!$L935,100),2),""),IFERROR(RIGHT("0000"&amp;VALUE(TRIM(LEFT(Sync!$L935,FIND("/",Sync!$L935)-1))),4)&amp;"/"&amp;RIGHT("00"&amp;VALUE(TRIM(LEFT(MID(Sync!$L935,FIND("/",Sync!$L935)+1,20),FIND("/",MID(Sync!$L935,FIND("/",Sync!$L935)+1,20))-1))),2)&amp;"/"&amp;RIGHT("00"&amp;VALUE(TRIM(MID(MID(Sync!$L935,FIND("/",Sync!$L935)+1,20),FIND("/",MID(Sync!$L935,FIND("/",Sync!$L935)+1,20))+1,20))),2),"")))</f>
        <v/>
      </c>
    </row>
    <row r="936" spans="13:14" x14ac:dyDescent="0.2">
      <c r="M936" t="str">
        <f>IF(Sync!$M936&lt;&gt;"پاس چک","",IF(Sync!$P936="","",Sync!$P936))</f>
        <v/>
      </c>
      <c r="N936" t="str">
        <f>IF($M936="","",IF(ISNUMBER(Sync!$L936),IF(AND(Sync!$L936&gt;=10000101,Sync!$L936&lt;=99991231),RIGHT("0000"&amp;INT(Sync!$L936/10000),4)&amp;"/"&amp;RIGHT("00"&amp;INT(MOD(Sync!$L936,10000)/100),2)&amp;"/"&amp;RIGHT("00"&amp;MOD(Sync!$L936,100),2),""),IFERROR(RIGHT("0000"&amp;VALUE(TRIM(LEFT(Sync!$L936,FIND("/",Sync!$L936)-1))),4)&amp;"/"&amp;RIGHT("00"&amp;VALUE(TRIM(LEFT(MID(Sync!$L936,FIND("/",Sync!$L936)+1,20),FIND("/",MID(Sync!$L936,FIND("/",Sync!$L936)+1,20))-1))),2)&amp;"/"&amp;RIGHT("00"&amp;VALUE(TRIM(MID(MID(Sync!$L936,FIND("/",Sync!$L936)+1,20),FIND("/",MID(Sync!$L936,FIND("/",Sync!$L936)+1,20))+1,20))),2),"")))</f>
        <v/>
      </c>
    </row>
    <row r="937" spans="13:14" x14ac:dyDescent="0.2">
      <c r="M937" t="str">
        <f>IF(Sync!$M937&lt;&gt;"پاس چک","",IF(Sync!$P937="","",Sync!$P937))</f>
        <v/>
      </c>
      <c r="N937" t="str">
        <f>IF($M937="","",IF(ISNUMBER(Sync!$L937),IF(AND(Sync!$L937&gt;=10000101,Sync!$L937&lt;=99991231),RIGHT("0000"&amp;INT(Sync!$L937/10000),4)&amp;"/"&amp;RIGHT("00"&amp;INT(MOD(Sync!$L937,10000)/100),2)&amp;"/"&amp;RIGHT("00"&amp;MOD(Sync!$L937,100),2),""),IFERROR(RIGHT("0000"&amp;VALUE(TRIM(LEFT(Sync!$L937,FIND("/",Sync!$L937)-1))),4)&amp;"/"&amp;RIGHT("00"&amp;VALUE(TRIM(LEFT(MID(Sync!$L937,FIND("/",Sync!$L937)+1,20),FIND("/",MID(Sync!$L937,FIND("/",Sync!$L937)+1,20))-1))),2)&amp;"/"&amp;RIGHT("00"&amp;VALUE(TRIM(MID(MID(Sync!$L937,FIND("/",Sync!$L937)+1,20),FIND("/",MID(Sync!$L937,FIND("/",Sync!$L937)+1,20))+1,20))),2),"")))</f>
        <v/>
      </c>
    </row>
    <row r="938" spans="13:14" x14ac:dyDescent="0.2">
      <c r="M938" t="str">
        <f>IF(Sync!$M938&lt;&gt;"پاس چک","",IF(Sync!$P938="","",Sync!$P938))</f>
        <v/>
      </c>
      <c r="N938" t="str">
        <f>IF($M938="","",IF(ISNUMBER(Sync!$L938),IF(AND(Sync!$L938&gt;=10000101,Sync!$L938&lt;=99991231),RIGHT("0000"&amp;INT(Sync!$L938/10000),4)&amp;"/"&amp;RIGHT("00"&amp;INT(MOD(Sync!$L938,10000)/100),2)&amp;"/"&amp;RIGHT("00"&amp;MOD(Sync!$L938,100),2),""),IFERROR(RIGHT("0000"&amp;VALUE(TRIM(LEFT(Sync!$L938,FIND("/",Sync!$L938)-1))),4)&amp;"/"&amp;RIGHT("00"&amp;VALUE(TRIM(LEFT(MID(Sync!$L938,FIND("/",Sync!$L938)+1,20),FIND("/",MID(Sync!$L938,FIND("/",Sync!$L938)+1,20))-1))),2)&amp;"/"&amp;RIGHT("00"&amp;VALUE(TRIM(MID(MID(Sync!$L938,FIND("/",Sync!$L938)+1,20),FIND("/",MID(Sync!$L938,FIND("/",Sync!$L938)+1,20))+1,20))),2),"")))</f>
        <v/>
      </c>
    </row>
    <row r="939" spans="13:14" x14ac:dyDescent="0.2">
      <c r="M939" t="str">
        <f>IF(Sync!$M939&lt;&gt;"پاس چک","",IF(Sync!$P939="","",Sync!$P939))</f>
        <v/>
      </c>
      <c r="N939" t="str">
        <f>IF($M939="","",IF(ISNUMBER(Sync!$L939),IF(AND(Sync!$L939&gt;=10000101,Sync!$L939&lt;=99991231),RIGHT("0000"&amp;INT(Sync!$L939/10000),4)&amp;"/"&amp;RIGHT("00"&amp;INT(MOD(Sync!$L939,10000)/100),2)&amp;"/"&amp;RIGHT("00"&amp;MOD(Sync!$L939,100),2),""),IFERROR(RIGHT("0000"&amp;VALUE(TRIM(LEFT(Sync!$L939,FIND("/",Sync!$L939)-1))),4)&amp;"/"&amp;RIGHT("00"&amp;VALUE(TRIM(LEFT(MID(Sync!$L939,FIND("/",Sync!$L939)+1,20),FIND("/",MID(Sync!$L939,FIND("/",Sync!$L939)+1,20))-1))),2)&amp;"/"&amp;RIGHT("00"&amp;VALUE(TRIM(MID(MID(Sync!$L939,FIND("/",Sync!$L939)+1,20),FIND("/",MID(Sync!$L939,FIND("/",Sync!$L939)+1,20))+1,20))),2),"")))</f>
        <v/>
      </c>
    </row>
    <row r="940" spans="13:14" x14ac:dyDescent="0.2">
      <c r="M940" t="str">
        <f>IF(Sync!$M940&lt;&gt;"پاس چک","",IF(Sync!$P940="","",Sync!$P940))</f>
        <v/>
      </c>
      <c r="N940" t="str">
        <f>IF($M940="","",IF(ISNUMBER(Sync!$L940),IF(AND(Sync!$L940&gt;=10000101,Sync!$L940&lt;=99991231),RIGHT("0000"&amp;INT(Sync!$L940/10000),4)&amp;"/"&amp;RIGHT("00"&amp;INT(MOD(Sync!$L940,10000)/100),2)&amp;"/"&amp;RIGHT("00"&amp;MOD(Sync!$L940,100),2),""),IFERROR(RIGHT("0000"&amp;VALUE(TRIM(LEFT(Sync!$L940,FIND("/",Sync!$L940)-1))),4)&amp;"/"&amp;RIGHT("00"&amp;VALUE(TRIM(LEFT(MID(Sync!$L940,FIND("/",Sync!$L940)+1,20),FIND("/",MID(Sync!$L940,FIND("/",Sync!$L940)+1,20))-1))),2)&amp;"/"&amp;RIGHT("00"&amp;VALUE(TRIM(MID(MID(Sync!$L940,FIND("/",Sync!$L940)+1,20),FIND("/",MID(Sync!$L940,FIND("/",Sync!$L940)+1,20))+1,20))),2),"")))</f>
        <v/>
      </c>
    </row>
    <row r="941" spans="13:14" x14ac:dyDescent="0.2">
      <c r="M941" t="str">
        <f>IF(Sync!$M941&lt;&gt;"پاس چک","",IF(Sync!$P941="","",Sync!$P941))</f>
        <v/>
      </c>
      <c r="N941" t="str">
        <f>IF($M941="","",IF(ISNUMBER(Sync!$L941),IF(AND(Sync!$L941&gt;=10000101,Sync!$L941&lt;=99991231),RIGHT("0000"&amp;INT(Sync!$L941/10000),4)&amp;"/"&amp;RIGHT("00"&amp;INT(MOD(Sync!$L941,10000)/100),2)&amp;"/"&amp;RIGHT("00"&amp;MOD(Sync!$L941,100),2),""),IFERROR(RIGHT("0000"&amp;VALUE(TRIM(LEFT(Sync!$L941,FIND("/",Sync!$L941)-1))),4)&amp;"/"&amp;RIGHT("00"&amp;VALUE(TRIM(LEFT(MID(Sync!$L941,FIND("/",Sync!$L941)+1,20),FIND("/",MID(Sync!$L941,FIND("/",Sync!$L941)+1,20))-1))),2)&amp;"/"&amp;RIGHT("00"&amp;VALUE(TRIM(MID(MID(Sync!$L941,FIND("/",Sync!$L941)+1,20),FIND("/",MID(Sync!$L941,FIND("/",Sync!$L941)+1,20))+1,20))),2),"")))</f>
        <v/>
      </c>
    </row>
    <row r="942" spans="13:14" x14ac:dyDescent="0.2">
      <c r="M942" t="str">
        <f>IF(Sync!$M942&lt;&gt;"پاس چک","",IF(Sync!$P942="","",Sync!$P942))</f>
        <v/>
      </c>
      <c r="N942" t="str">
        <f>IF($M942="","",IF(ISNUMBER(Sync!$L942),IF(AND(Sync!$L942&gt;=10000101,Sync!$L942&lt;=99991231),RIGHT("0000"&amp;INT(Sync!$L942/10000),4)&amp;"/"&amp;RIGHT("00"&amp;INT(MOD(Sync!$L942,10000)/100),2)&amp;"/"&amp;RIGHT("00"&amp;MOD(Sync!$L942,100),2),""),IFERROR(RIGHT("0000"&amp;VALUE(TRIM(LEFT(Sync!$L942,FIND("/",Sync!$L942)-1))),4)&amp;"/"&amp;RIGHT("00"&amp;VALUE(TRIM(LEFT(MID(Sync!$L942,FIND("/",Sync!$L942)+1,20),FIND("/",MID(Sync!$L942,FIND("/",Sync!$L942)+1,20))-1))),2)&amp;"/"&amp;RIGHT("00"&amp;VALUE(TRIM(MID(MID(Sync!$L942,FIND("/",Sync!$L942)+1,20),FIND("/",MID(Sync!$L942,FIND("/",Sync!$L942)+1,20))+1,20))),2),"")))</f>
        <v/>
      </c>
    </row>
    <row r="943" spans="13:14" x14ac:dyDescent="0.2">
      <c r="M943" t="str">
        <f>IF(Sync!$M943&lt;&gt;"پاس چک","",IF(Sync!$P943="","",Sync!$P943))</f>
        <v/>
      </c>
      <c r="N943" t="str">
        <f>IF($M943="","",IF(ISNUMBER(Sync!$L943),IF(AND(Sync!$L943&gt;=10000101,Sync!$L943&lt;=99991231),RIGHT("0000"&amp;INT(Sync!$L943/10000),4)&amp;"/"&amp;RIGHT("00"&amp;INT(MOD(Sync!$L943,10000)/100),2)&amp;"/"&amp;RIGHT("00"&amp;MOD(Sync!$L943,100),2),""),IFERROR(RIGHT("0000"&amp;VALUE(TRIM(LEFT(Sync!$L943,FIND("/",Sync!$L943)-1))),4)&amp;"/"&amp;RIGHT("00"&amp;VALUE(TRIM(LEFT(MID(Sync!$L943,FIND("/",Sync!$L943)+1,20),FIND("/",MID(Sync!$L943,FIND("/",Sync!$L943)+1,20))-1))),2)&amp;"/"&amp;RIGHT("00"&amp;VALUE(TRIM(MID(MID(Sync!$L943,FIND("/",Sync!$L943)+1,20),FIND("/",MID(Sync!$L943,FIND("/",Sync!$L943)+1,20))+1,20))),2),"")))</f>
        <v/>
      </c>
    </row>
    <row r="944" spans="13:14" x14ac:dyDescent="0.2">
      <c r="M944" t="str">
        <f>IF(Sync!$M944&lt;&gt;"پاس چک","",IF(Sync!$P944="","",Sync!$P944))</f>
        <v/>
      </c>
      <c r="N944" t="str">
        <f>IF($M944="","",IF(ISNUMBER(Sync!$L944),IF(AND(Sync!$L944&gt;=10000101,Sync!$L944&lt;=99991231),RIGHT("0000"&amp;INT(Sync!$L944/10000),4)&amp;"/"&amp;RIGHT("00"&amp;INT(MOD(Sync!$L944,10000)/100),2)&amp;"/"&amp;RIGHT("00"&amp;MOD(Sync!$L944,100),2),""),IFERROR(RIGHT("0000"&amp;VALUE(TRIM(LEFT(Sync!$L944,FIND("/",Sync!$L944)-1))),4)&amp;"/"&amp;RIGHT("00"&amp;VALUE(TRIM(LEFT(MID(Sync!$L944,FIND("/",Sync!$L944)+1,20),FIND("/",MID(Sync!$L944,FIND("/",Sync!$L944)+1,20))-1))),2)&amp;"/"&amp;RIGHT("00"&amp;VALUE(TRIM(MID(MID(Sync!$L944,FIND("/",Sync!$L944)+1,20),FIND("/",MID(Sync!$L944,FIND("/",Sync!$L944)+1,20))+1,20))),2),"")))</f>
        <v/>
      </c>
    </row>
    <row r="945" spans="13:14" x14ac:dyDescent="0.2">
      <c r="M945" t="str">
        <f>IF(Sync!$M945&lt;&gt;"پاس چک","",IF(Sync!$P945="","",Sync!$P945))</f>
        <v/>
      </c>
      <c r="N945" t="str">
        <f>IF($M945="","",IF(ISNUMBER(Sync!$L945),IF(AND(Sync!$L945&gt;=10000101,Sync!$L945&lt;=99991231),RIGHT("0000"&amp;INT(Sync!$L945/10000),4)&amp;"/"&amp;RIGHT("00"&amp;INT(MOD(Sync!$L945,10000)/100),2)&amp;"/"&amp;RIGHT("00"&amp;MOD(Sync!$L945,100),2),""),IFERROR(RIGHT("0000"&amp;VALUE(TRIM(LEFT(Sync!$L945,FIND("/",Sync!$L945)-1))),4)&amp;"/"&amp;RIGHT("00"&amp;VALUE(TRIM(LEFT(MID(Sync!$L945,FIND("/",Sync!$L945)+1,20),FIND("/",MID(Sync!$L945,FIND("/",Sync!$L945)+1,20))-1))),2)&amp;"/"&amp;RIGHT("00"&amp;VALUE(TRIM(MID(MID(Sync!$L945,FIND("/",Sync!$L945)+1,20),FIND("/",MID(Sync!$L945,FIND("/",Sync!$L945)+1,20))+1,20))),2),"")))</f>
        <v/>
      </c>
    </row>
    <row r="946" spans="13:14" x14ac:dyDescent="0.2">
      <c r="M946" t="str">
        <f>IF(Sync!$M946&lt;&gt;"پاس چک","",IF(Sync!$P946="","",Sync!$P946))</f>
        <v/>
      </c>
      <c r="N946" t="str">
        <f>IF($M946="","",IF(ISNUMBER(Sync!$L946),IF(AND(Sync!$L946&gt;=10000101,Sync!$L946&lt;=99991231),RIGHT("0000"&amp;INT(Sync!$L946/10000),4)&amp;"/"&amp;RIGHT("00"&amp;INT(MOD(Sync!$L946,10000)/100),2)&amp;"/"&amp;RIGHT("00"&amp;MOD(Sync!$L946,100),2),""),IFERROR(RIGHT("0000"&amp;VALUE(TRIM(LEFT(Sync!$L946,FIND("/",Sync!$L946)-1))),4)&amp;"/"&amp;RIGHT("00"&amp;VALUE(TRIM(LEFT(MID(Sync!$L946,FIND("/",Sync!$L946)+1,20),FIND("/",MID(Sync!$L946,FIND("/",Sync!$L946)+1,20))-1))),2)&amp;"/"&amp;RIGHT("00"&amp;VALUE(TRIM(MID(MID(Sync!$L946,FIND("/",Sync!$L946)+1,20),FIND("/",MID(Sync!$L946,FIND("/",Sync!$L946)+1,20))+1,20))),2),"")))</f>
        <v/>
      </c>
    </row>
    <row r="947" spans="13:14" x14ac:dyDescent="0.2">
      <c r="M947" t="str">
        <f>IF(Sync!$M947&lt;&gt;"پاس چک","",IF(Sync!$P947="","",Sync!$P947))</f>
        <v/>
      </c>
      <c r="N947" t="str">
        <f>IF($M947="","",IF(ISNUMBER(Sync!$L947),IF(AND(Sync!$L947&gt;=10000101,Sync!$L947&lt;=99991231),RIGHT("0000"&amp;INT(Sync!$L947/10000),4)&amp;"/"&amp;RIGHT("00"&amp;INT(MOD(Sync!$L947,10000)/100),2)&amp;"/"&amp;RIGHT("00"&amp;MOD(Sync!$L947,100),2),""),IFERROR(RIGHT("0000"&amp;VALUE(TRIM(LEFT(Sync!$L947,FIND("/",Sync!$L947)-1))),4)&amp;"/"&amp;RIGHT("00"&amp;VALUE(TRIM(LEFT(MID(Sync!$L947,FIND("/",Sync!$L947)+1,20),FIND("/",MID(Sync!$L947,FIND("/",Sync!$L947)+1,20))-1))),2)&amp;"/"&amp;RIGHT("00"&amp;VALUE(TRIM(MID(MID(Sync!$L947,FIND("/",Sync!$L947)+1,20),FIND("/",MID(Sync!$L947,FIND("/",Sync!$L947)+1,20))+1,20))),2),"")))</f>
        <v/>
      </c>
    </row>
    <row r="948" spans="13:14" x14ac:dyDescent="0.2">
      <c r="M948" t="str">
        <f>IF(Sync!$M948&lt;&gt;"پاس چک","",IF(Sync!$P948="","",Sync!$P948))</f>
        <v/>
      </c>
      <c r="N948" t="str">
        <f>IF($M948="","",IF(ISNUMBER(Sync!$L948),IF(AND(Sync!$L948&gt;=10000101,Sync!$L948&lt;=99991231),RIGHT("0000"&amp;INT(Sync!$L948/10000),4)&amp;"/"&amp;RIGHT("00"&amp;INT(MOD(Sync!$L948,10000)/100),2)&amp;"/"&amp;RIGHT("00"&amp;MOD(Sync!$L948,100),2),""),IFERROR(RIGHT("0000"&amp;VALUE(TRIM(LEFT(Sync!$L948,FIND("/",Sync!$L948)-1))),4)&amp;"/"&amp;RIGHT("00"&amp;VALUE(TRIM(LEFT(MID(Sync!$L948,FIND("/",Sync!$L948)+1,20),FIND("/",MID(Sync!$L948,FIND("/",Sync!$L948)+1,20))-1))),2)&amp;"/"&amp;RIGHT("00"&amp;VALUE(TRIM(MID(MID(Sync!$L948,FIND("/",Sync!$L948)+1,20),FIND("/",MID(Sync!$L948,FIND("/",Sync!$L948)+1,20))+1,20))),2),"")))</f>
        <v/>
      </c>
    </row>
    <row r="949" spans="13:14" x14ac:dyDescent="0.2">
      <c r="M949" t="str">
        <f>IF(Sync!$M949&lt;&gt;"پاس چک","",IF(Sync!$P949="","",Sync!$P949))</f>
        <v/>
      </c>
      <c r="N949" t="str">
        <f>IF($M949="","",IF(ISNUMBER(Sync!$L949),IF(AND(Sync!$L949&gt;=10000101,Sync!$L949&lt;=99991231),RIGHT("0000"&amp;INT(Sync!$L949/10000),4)&amp;"/"&amp;RIGHT("00"&amp;INT(MOD(Sync!$L949,10000)/100),2)&amp;"/"&amp;RIGHT("00"&amp;MOD(Sync!$L949,100),2),""),IFERROR(RIGHT("0000"&amp;VALUE(TRIM(LEFT(Sync!$L949,FIND("/",Sync!$L949)-1))),4)&amp;"/"&amp;RIGHT("00"&amp;VALUE(TRIM(LEFT(MID(Sync!$L949,FIND("/",Sync!$L949)+1,20),FIND("/",MID(Sync!$L949,FIND("/",Sync!$L949)+1,20))-1))),2)&amp;"/"&amp;RIGHT("00"&amp;VALUE(TRIM(MID(MID(Sync!$L949,FIND("/",Sync!$L949)+1,20),FIND("/",MID(Sync!$L949,FIND("/",Sync!$L949)+1,20))+1,20))),2),"")))</f>
        <v/>
      </c>
    </row>
    <row r="950" spans="13:14" x14ac:dyDescent="0.2">
      <c r="M950" t="str">
        <f>IF(Sync!$M950&lt;&gt;"پاس چک","",IF(Sync!$P950="","",Sync!$P950))</f>
        <v/>
      </c>
      <c r="N950" t="str">
        <f>IF($M950="","",IF(ISNUMBER(Sync!$L950),IF(AND(Sync!$L950&gt;=10000101,Sync!$L950&lt;=99991231),RIGHT("0000"&amp;INT(Sync!$L950/10000),4)&amp;"/"&amp;RIGHT("00"&amp;INT(MOD(Sync!$L950,10000)/100),2)&amp;"/"&amp;RIGHT("00"&amp;MOD(Sync!$L950,100),2),""),IFERROR(RIGHT("0000"&amp;VALUE(TRIM(LEFT(Sync!$L950,FIND("/",Sync!$L950)-1))),4)&amp;"/"&amp;RIGHT("00"&amp;VALUE(TRIM(LEFT(MID(Sync!$L950,FIND("/",Sync!$L950)+1,20),FIND("/",MID(Sync!$L950,FIND("/",Sync!$L950)+1,20))-1))),2)&amp;"/"&amp;RIGHT("00"&amp;VALUE(TRIM(MID(MID(Sync!$L950,FIND("/",Sync!$L950)+1,20),FIND("/",MID(Sync!$L950,FIND("/",Sync!$L950)+1,20))+1,20))),2),"")))</f>
        <v/>
      </c>
    </row>
    <row r="951" spans="13:14" x14ac:dyDescent="0.2">
      <c r="M951" t="str">
        <f>IF(Sync!$M951&lt;&gt;"پاس چک","",IF(Sync!$P951="","",Sync!$P951))</f>
        <v/>
      </c>
      <c r="N951" t="str">
        <f>IF($M951="","",IF(ISNUMBER(Sync!$L951),IF(AND(Sync!$L951&gt;=10000101,Sync!$L951&lt;=99991231),RIGHT("0000"&amp;INT(Sync!$L951/10000),4)&amp;"/"&amp;RIGHT("00"&amp;INT(MOD(Sync!$L951,10000)/100),2)&amp;"/"&amp;RIGHT("00"&amp;MOD(Sync!$L951,100),2),""),IFERROR(RIGHT("0000"&amp;VALUE(TRIM(LEFT(Sync!$L951,FIND("/",Sync!$L951)-1))),4)&amp;"/"&amp;RIGHT("00"&amp;VALUE(TRIM(LEFT(MID(Sync!$L951,FIND("/",Sync!$L951)+1,20),FIND("/",MID(Sync!$L951,FIND("/",Sync!$L951)+1,20))-1))),2)&amp;"/"&amp;RIGHT("00"&amp;VALUE(TRIM(MID(MID(Sync!$L951,FIND("/",Sync!$L951)+1,20),FIND("/",MID(Sync!$L951,FIND("/",Sync!$L951)+1,20))+1,20))),2),"")))</f>
        <v/>
      </c>
    </row>
    <row r="952" spans="13:14" x14ac:dyDescent="0.2">
      <c r="M952" t="str">
        <f>IF(Sync!$M952&lt;&gt;"پاس چک","",IF(Sync!$P952="","",Sync!$P952))</f>
        <v/>
      </c>
      <c r="N952" t="str">
        <f>IF($M952="","",IF(ISNUMBER(Sync!$L952),IF(AND(Sync!$L952&gt;=10000101,Sync!$L952&lt;=99991231),RIGHT("0000"&amp;INT(Sync!$L952/10000),4)&amp;"/"&amp;RIGHT("00"&amp;INT(MOD(Sync!$L952,10000)/100),2)&amp;"/"&amp;RIGHT("00"&amp;MOD(Sync!$L952,100),2),""),IFERROR(RIGHT("0000"&amp;VALUE(TRIM(LEFT(Sync!$L952,FIND("/",Sync!$L952)-1))),4)&amp;"/"&amp;RIGHT("00"&amp;VALUE(TRIM(LEFT(MID(Sync!$L952,FIND("/",Sync!$L952)+1,20),FIND("/",MID(Sync!$L952,FIND("/",Sync!$L952)+1,20))-1))),2)&amp;"/"&amp;RIGHT("00"&amp;VALUE(TRIM(MID(MID(Sync!$L952,FIND("/",Sync!$L952)+1,20),FIND("/",MID(Sync!$L952,FIND("/",Sync!$L952)+1,20))+1,20))),2),"")))</f>
        <v/>
      </c>
    </row>
    <row r="953" spans="13:14" x14ac:dyDescent="0.2">
      <c r="M953" t="str">
        <f>IF(Sync!$M953&lt;&gt;"پاس چک","",IF(Sync!$P953="","",Sync!$P953))</f>
        <v/>
      </c>
      <c r="N953" t="str">
        <f>IF($M953="","",IF(ISNUMBER(Sync!$L953),IF(AND(Sync!$L953&gt;=10000101,Sync!$L953&lt;=99991231),RIGHT("0000"&amp;INT(Sync!$L953/10000),4)&amp;"/"&amp;RIGHT("00"&amp;INT(MOD(Sync!$L953,10000)/100),2)&amp;"/"&amp;RIGHT("00"&amp;MOD(Sync!$L953,100),2),""),IFERROR(RIGHT("0000"&amp;VALUE(TRIM(LEFT(Sync!$L953,FIND("/",Sync!$L953)-1))),4)&amp;"/"&amp;RIGHT("00"&amp;VALUE(TRIM(LEFT(MID(Sync!$L953,FIND("/",Sync!$L953)+1,20),FIND("/",MID(Sync!$L953,FIND("/",Sync!$L953)+1,20))-1))),2)&amp;"/"&amp;RIGHT("00"&amp;VALUE(TRIM(MID(MID(Sync!$L953,FIND("/",Sync!$L953)+1,20),FIND("/",MID(Sync!$L953,FIND("/",Sync!$L953)+1,20))+1,20))),2),"")))</f>
        <v/>
      </c>
    </row>
    <row r="954" spans="13:14" x14ac:dyDescent="0.2">
      <c r="M954" t="str">
        <f>IF(Sync!$M954&lt;&gt;"پاس چک","",IF(Sync!$P954="","",Sync!$P954))</f>
        <v/>
      </c>
      <c r="N954" t="str">
        <f>IF($M954="","",IF(ISNUMBER(Sync!$L954),IF(AND(Sync!$L954&gt;=10000101,Sync!$L954&lt;=99991231),RIGHT("0000"&amp;INT(Sync!$L954/10000),4)&amp;"/"&amp;RIGHT("00"&amp;INT(MOD(Sync!$L954,10000)/100),2)&amp;"/"&amp;RIGHT("00"&amp;MOD(Sync!$L954,100),2),""),IFERROR(RIGHT("0000"&amp;VALUE(TRIM(LEFT(Sync!$L954,FIND("/",Sync!$L954)-1))),4)&amp;"/"&amp;RIGHT("00"&amp;VALUE(TRIM(LEFT(MID(Sync!$L954,FIND("/",Sync!$L954)+1,20),FIND("/",MID(Sync!$L954,FIND("/",Sync!$L954)+1,20))-1))),2)&amp;"/"&amp;RIGHT("00"&amp;VALUE(TRIM(MID(MID(Sync!$L954,FIND("/",Sync!$L954)+1,20),FIND("/",MID(Sync!$L954,FIND("/",Sync!$L954)+1,20))+1,20))),2),"")))</f>
        <v/>
      </c>
    </row>
    <row r="955" spans="13:14" x14ac:dyDescent="0.2">
      <c r="M955" t="str">
        <f>IF(Sync!$M955&lt;&gt;"پاس چک","",IF(Sync!$P955="","",Sync!$P955))</f>
        <v/>
      </c>
      <c r="N955" t="str">
        <f>IF($M955="","",IF(ISNUMBER(Sync!$L955),IF(AND(Sync!$L955&gt;=10000101,Sync!$L955&lt;=99991231),RIGHT("0000"&amp;INT(Sync!$L955/10000),4)&amp;"/"&amp;RIGHT("00"&amp;INT(MOD(Sync!$L955,10000)/100),2)&amp;"/"&amp;RIGHT("00"&amp;MOD(Sync!$L955,100),2),""),IFERROR(RIGHT("0000"&amp;VALUE(TRIM(LEFT(Sync!$L955,FIND("/",Sync!$L955)-1))),4)&amp;"/"&amp;RIGHT("00"&amp;VALUE(TRIM(LEFT(MID(Sync!$L955,FIND("/",Sync!$L955)+1,20),FIND("/",MID(Sync!$L955,FIND("/",Sync!$L955)+1,20))-1))),2)&amp;"/"&amp;RIGHT("00"&amp;VALUE(TRIM(MID(MID(Sync!$L955,FIND("/",Sync!$L955)+1,20),FIND("/",MID(Sync!$L955,FIND("/",Sync!$L955)+1,20))+1,20))),2),"")))</f>
        <v/>
      </c>
    </row>
    <row r="956" spans="13:14" x14ac:dyDescent="0.2">
      <c r="M956" t="str">
        <f>IF(Sync!$M956&lt;&gt;"پاس چک","",IF(Sync!$P956="","",Sync!$P956))</f>
        <v/>
      </c>
      <c r="N956" t="str">
        <f>IF($M956="","",IF(ISNUMBER(Sync!$L956),IF(AND(Sync!$L956&gt;=10000101,Sync!$L956&lt;=99991231),RIGHT("0000"&amp;INT(Sync!$L956/10000),4)&amp;"/"&amp;RIGHT("00"&amp;INT(MOD(Sync!$L956,10000)/100),2)&amp;"/"&amp;RIGHT("00"&amp;MOD(Sync!$L956,100),2),""),IFERROR(RIGHT("0000"&amp;VALUE(TRIM(LEFT(Sync!$L956,FIND("/",Sync!$L956)-1))),4)&amp;"/"&amp;RIGHT("00"&amp;VALUE(TRIM(LEFT(MID(Sync!$L956,FIND("/",Sync!$L956)+1,20),FIND("/",MID(Sync!$L956,FIND("/",Sync!$L956)+1,20))-1))),2)&amp;"/"&amp;RIGHT("00"&amp;VALUE(TRIM(MID(MID(Sync!$L956,FIND("/",Sync!$L956)+1,20),FIND("/",MID(Sync!$L956,FIND("/",Sync!$L956)+1,20))+1,20))),2),"")))</f>
        <v/>
      </c>
    </row>
    <row r="957" spans="13:14" x14ac:dyDescent="0.2">
      <c r="M957" t="str">
        <f>IF(Sync!$M957&lt;&gt;"پاس چک","",IF(Sync!$P957="","",Sync!$P957))</f>
        <v/>
      </c>
      <c r="N957" t="str">
        <f>IF($M957="","",IF(ISNUMBER(Sync!$L957),IF(AND(Sync!$L957&gt;=10000101,Sync!$L957&lt;=99991231),RIGHT("0000"&amp;INT(Sync!$L957/10000),4)&amp;"/"&amp;RIGHT("00"&amp;INT(MOD(Sync!$L957,10000)/100),2)&amp;"/"&amp;RIGHT("00"&amp;MOD(Sync!$L957,100),2),""),IFERROR(RIGHT("0000"&amp;VALUE(TRIM(LEFT(Sync!$L957,FIND("/",Sync!$L957)-1))),4)&amp;"/"&amp;RIGHT("00"&amp;VALUE(TRIM(LEFT(MID(Sync!$L957,FIND("/",Sync!$L957)+1,20),FIND("/",MID(Sync!$L957,FIND("/",Sync!$L957)+1,20))-1))),2)&amp;"/"&amp;RIGHT("00"&amp;VALUE(TRIM(MID(MID(Sync!$L957,FIND("/",Sync!$L957)+1,20),FIND("/",MID(Sync!$L957,FIND("/",Sync!$L957)+1,20))+1,20))),2),"")))</f>
        <v/>
      </c>
    </row>
    <row r="958" spans="13:14" x14ac:dyDescent="0.2">
      <c r="M958" t="str">
        <f>IF(Sync!$M958&lt;&gt;"پاس چک","",IF(Sync!$P958="","",Sync!$P958))</f>
        <v/>
      </c>
      <c r="N958" t="str">
        <f>IF($M958="","",IF(ISNUMBER(Sync!$L958),IF(AND(Sync!$L958&gt;=10000101,Sync!$L958&lt;=99991231),RIGHT("0000"&amp;INT(Sync!$L958/10000),4)&amp;"/"&amp;RIGHT("00"&amp;INT(MOD(Sync!$L958,10000)/100),2)&amp;"/"&amp;RIGHT("00"&amp;MOD(Sync!$L958,100),2),""),IFERROR(RIGHT("0000"&amp;VALUE(TRIM(LEFT(Sync!$L958,FIND("/",Sync!$L958)-1))),4)&amp;"/"&amp;RIGHT("00"&amp;VALUE(TRIM(LEFT(MID(Sync!$L958,FIND("/",Sync!$L958)+1,20),FIND("/",MID(Sync!$L958,FIND("/",Sync!$L958)+1,20))-1))),2)&amp;"/"&amp;RIGHT("00"&amp;VALUE(TRIM(MID(MID(Sync!$L958,FIND("/",Sync!$L958)+1,20),FIND("/",MID(Sync!$L958,FIND("/",Sync!$L958)+1,20))+1,20))),2),"")))</f>
        <v/>
      </c>
    </row>
    <row r="959" spans="13:14" x14ac:dyDescent="0.2">
      <c r="M959" t="str">
        <f>IF(Sync!$M959&lt;&gt;"پاس چک","",IF(Sync!$P959="","",Sync!$P959))</f>
        <v/>
      </c>
      <c r="N959" t="str">
        <f>IF($M959="","",IF(ISNUMBER(Sync!$L959),IF(AND(Sync!$L959&gt;=10000101,Sync!$L959&lt;=99991231),RIGHT("0000"&amp;INT(Sync!$L959/10000),4)&amp;"/"&amp;RIGHT("00"&amp;INT(MOD(Sync!$L959,10000)/100),2)&amp;"/"&amp;RIGHT("00"&amp;MOD(Sync!$L959,100),2),""),IFERROR(RIGHT("0000"&amp;VALUE(TRIM(LEFT(Sync!$L959,FIND("/",Sync!$L959)-1))),4)&amp;"/"&amp;RIGHT("00"&amp;VALUE(TRIM(LEFT(MID(Sync!$L959,FIND("/",Sync!$L959)+1,20),FIND("/",MID(Sync!$L959,FIND("/",Sync!$L959)+1,20))-1))),2)&amp;"/"&amp;RIGHT("00"&amp;VALUE(TRIM(MID(MID(Sync!$L959,FIND("/",Sync!$L959)+1,20),FIND("/",MID(Sync!$L959,FIND("/",Sync!$L959)+1,20))+1,20))),2),"")))</f>
        <v/>
      </c>
    </row>
    <row r="960" spans="13:14" x14ac:dyDescent="0.2">
      <c r="M960" t="str">
        <f>IF(Sync!$M960&lt;&gt;"پاس چک","",IF(Sync!$P960="","",Sync!$P960))</f>
        <v/>
      </c>
      <c r="N960" t="str">
        <f>IF($M960="","",IF(ISNUMBER(Sync!$L960),IF(AND(Sync!$L960&gt;=10000101,Sync!$L960&lt;=99991231),RIGHT("0000"&amp;INT(Sync!$L960/10000),4)&amp;"/"&amp;RIGHT("00"&amp;INT(MOD(Sync!$L960,10000)/100),2)&amp;"/"&amp;RIGHT("00"&amp;MOD(Sync!$L960,100),2),""),IFERROR(RIGHT("0000"&amp;VALUE(TRIM(LEFT(Sync!$L960,FIND("/",Sync!$L960)-1))),4)&amp;"/"&amp;RIGHT("00"&amp;VALUE(TRIM(LEFT(MID(Sync!$L960,FIND("/",Sync!$L960)+1,20),FIND("/",MID(Sync!$L960,FIND("/",Sync!$L960)+1,20))-1))),2)&amp;"/"&amp;RIGHT("00"&amp;VALUE(TRIM(MID(MID(Sync!$L960,FIND("/",Sync!$L960)+1,20),FIND("/",MID(Sync!$L960,FIND("/",Sync!$L960)+1,20))+1,20))),2),"")))</f>
        <v/>
      </c>
    </row>
    <row r="961" spans="13:14" x14ac:dyDescent="0.2">
      <c r="M961" t="str">
        <f>IF(Sync!$M961&lt;&gt;"پاس چک","",IF(Sync!$P961="","",Sync!$P961))</f>
        <v/>
      </c>
      <c r="N961" t="str">
        <f>IF($M961="","",IF(ISNUMBER(Sync!$L961),IF(AND(Sync!$L961&gt;=10000101,Sync!$L961&lt;=99991231),RIGHT("0000"&amp;INT(Sync!$L961/10000),4)&amp;"/"&amp;RIGHT("00"&amp;INT(MOD(Sync!$L961,10000)/100),2)&amp;"/"&amp;RIGHT("00"&amp;MOD(Sync!$L961,100),2),""),IFERROR(RIGHT("0000"&amp;VALUE(TRIM(LEFT(Sync!$L961,FIND("/",Sync!$L961)-1))),4)&amp;"/"&amp;RIGHT("00"&amp;VALUE(TRIM(LEFT(MID(Sync!$L961,FIND("/",Sync!$L961)+1,20),FIND("/",MID(Sync!$L961,FIND("/",Sync!$L961)+1,20))-1))),2)&amp;"/"&amp;RIGHT("00"&amp;VALUE(TRIM(MID(MID(Sync!$L961,FIND("/",Sync!$L961)+1,20),FIND("/",MID(Sync!$L961,FIND("/",Sync!$L961)+1,20))+1,20))),2),"")))</f>
        <v/>
      </c>
    </row>
    <row r="962" spans="13:14" x14ac:dyDescent="0.2">
      <c r="M962" t="str">
        <f>IF(Sync!$M962&lt;&gt;"پاس چک","",IF(Sync!$P962="","",Sync!$P962))</f>
        <v/>
      </c>
      <c r="N962" t="str">
        <f>IF($M962="","",IF(ISNUMBER(Sync!$L962),IF(AND(Sync!$L962&gt;=10000101,Sync!$L962&lt;=99991231),RIGHT("0000"&amp;INT(Sync!$L962/10000),4)&amp;"/"&amp;RIGHT("00"&amp;INT(MOD(Sync!$L962,10000)/100),2)&amp;"/"&amp;RIGHT("00"&amp;MOD(Sync!$L962,100),2),""),IFERROR(RIGHT("0000"&amp;VALUE(TRIM(LEFT(Sync!$L962,FIND("/",Sync!$L962)-1))),4)&amp;"/"&amp;RIGHT("00"&amp;VALUE(TRIM(LEFT(MID(Sync!$L962,FIND("/",Sync!$L962)+1,20),FIND("/",MID(Sync!$L962,FIND("/",Sync!$L962)+1,20))-1))),2)&amp;"/"&amp;RIGHT("00"&amp;VALUE(TRIM(MID(MID(Sync!$L962,FIND("/",Sync!$L962)+1,20),FIND("/",MID(Sync!$L962,FIND("/",Sync!$L962)+1,20))+1,20))),2),"")))</f>
        <v/>
      </c>
    </row>
    <row r="963" spans="13:14" x14ac:dyDescent="0.2">
      <c r="M963" t="str">
        <f>IF(Sync!$M963&lt;&gt;"پاس چک","",IF(Sync!$P963="","",Sync!$P963))</f>
        <v/>
      </c>
      <c r="N963" t="str">
        <f>IF($M963="","",IF(ISNUMBER(Sync!$L963),IF(AND(Sync!$L963&gt;=10000101,Sync!$L963&lt;=99991231),RIGHT("0000"&amp;INT(Sync!$L963/10000),4)&amp;"/"&amp;RIGHT("00"&amp;INT(MOD(Sync!$L963,10000)/100),2)&amp;"/"&amp;RIGHT("00"&amp;MOD(Sync!$L963,100),2),""),IFERROR(RIGHT("0000"&amp;VALUE(TRIM(LEFT(Sync!$L963,FIND("/",Sync!$L963)-1))),4)&amp;"/"&amp;RIGHT("00"&amp;VALUE(TRIM(LEFT(MID(Sync!$L963,FIND("/",Sync!$L963)+1,20),FIND("/",MID(Sync!$L963,FIND("/",Sync!$L963)+1,20))-1))),2)&amp;"/"&amp;RIGHT("00"&amp;VALUE(TRIM(MID(MID(Sync!$L963,FIND("/",Sync!$L963)+1,20),FIND("/",MID(Sync!$L963,FIND("/",Sync!$L963)+1,20))+1,20))),2),"")))</f>
        <v/>
      </c>
    </row>
    <row r="964" spans="13:14" x14ac:dyDescent="0.2">
      <c r="M964" t="str">
        <f>IF(Sync!$M964&lt;&gt;"پاس چک","",IF(Sync!$P964="","",Sync!$P964))</f>
        <v/>
      </c>
      <c r="N964" t="str">
        <f>IF($M964="","",IF(ISNUMBER(Sync!$L964),IF(AND(Sync!$L964&gt;=10000101,Sync!$L964&lt;=99991231),RIGHT("0000"&amp;INT(Sync!$L964/10000),4)&amp;"/"&amp;RIGHT("00"&amp;INT(MOD(Sync!$L964,10000)/100),2)&amp;"/"&amp;RIGHT("00"&amp;MOD(Sync!$L964,100),2),""),IFERROR(RIGHT("0000"&amp;VALUE(TRIM(LEFT(Sync!$L964,FIND("/",Sync!$L964)-1))),4)&amp;"/"&amp;RIGHT("00"&amp;VALUE(TRIM(LEFT(MID(Sync!$L964,FIND("/",Sync!$L964)+1,20),FIND("/",MID(Sync!$L964,FIND("/",Sync!$L964)+1,20))-1))),2)&amp;"/"&amp;RIGHT("00"&amp;VALUE(TRIM(MID(MID(Sync!$L964,FIND("/",Sync!$L964)+1,20),FIND("/",MID(Sync!$L964,FIND("/",Sync!$L964)+1,20))+1,20))),2),"")))</f>
        <v/>
      </c>
    </row>
    <row r="965" spans="13:14" x14ac:dyDescent="0.2">
      <c r="M965" t="str">
        <f>IF(Sync!$M965&lt;&gt;"پاس چک","",IF(Sync!$P965="","",Sync!$P965))</f>
        <v/>
      </c>
      <c r="N965" t="str">
        <f>IF($M965="","",IF(ISNUMBER(Sync!$L965),IF(AND(Sync!$L965&gt;=10000101,Sync!$L965&lt;=99991231),RIGHT("0000"&amp;INT(Sync!$L965/10000),4)&amp;"/"&amp;RIGHT("00"&amp;INT(MOD(Sync!$L965,10000)/100),2)&amp;"/"&amp;RIGHT("00"&amp;MOD(Sync!$L965,100),2),""),IFERROR(RIGHT("0000"&amp;VALUE(TRIM(LEFT(Sync!$L965,FIND("/",Sync!$L965)-1))),4)&amp;"/"&amp;RIGHT("00"&amp;VALUE(TRIM(LEFT(MID(Sync!$L965,FIND("/",Sync!$L965)+1,20),FIND("/",MID(Sync!$L965,FIND("/",Sync!$L965)+1,20))-1))),2)&amp;"/"&amp;RIGHT("00"&amp;VALUE(TRIM(MID(MID(Sync!$L965,FIND("/",Sync!$L965)+1,20),FIND("/",MID(Sync!$L965,FIND("/",Sync!$L965)+1,20))+1,20))),2),"")))</f>
        <v/>
      </c>
    </row>
    <row r="966" spans="13:14" x14ac:dyDescent="0.2">
      <c r="M966" t="str">
        <f>IF(Sync!$M966&lt;&gt;"پاس چک","",IF(Sync!$P966="","",Sync!$P966))</f>
        <v/>
      </c>
      <c r="N966" t="str">
        <f>IF($M966="","",IF(ISNUMBER(Sync!$L966),IF(AND(Sync!$L966&gt;=10000101,Sync!$L966&lt;=99991231),RIGHT("0000"&amp;INT(Sync!$L966/10000),4)&amp;"/"&amp;RIGHT("00"&amp;INT(MOD(Sync!$L966,10000)/100),2)&amp;"/"&amp;RIGHT("00"&amp;MOD(Sync!$L966,100),2),""),IFERROR(RIGHT("0000"&amp;VALUE(TRIM(LEFT(Sync!$L966,FIND("/",Sync!$L966)-1))),4)&amp;"/"&amp;RIGHT("00"&amp;VALUE(TRIM(LEFT(MID(Sync!$L966,FIND("/",Sync!$L966)+1,20),FIND("/",MID(Sync!$L966,FIND("/",Sync!$L966)+1,20))-1))),2)&amp;"/"&amp;RIGHT("00"&amp;VALUE(TRIM(MID(MID(Sync!$L966,FIND("/",Sync!$L966)+1,20),FIND("/",MID(Sync!$L966,FIND("/",Sync!$L966)+1,20))+1,20))),2),"")))</f>
        <v/>
      </c>
    </row>
    <row r="967" spans="13:14" x14ac:dyDescent="0.2">
      <c r="M967" t="str">
        <f>IF(Sync!$M967&lt;&gt;"پاس چک","",IF(Sync!$P967="","",Sync!$P967))</f>
        <v/>
      </c>
      <c r="N967" t="str">
        <f>IF($M967="","",IF(ISNUMBER(Sync!$L967),IF(AND(Sync!$L967&gt;=10000101,Sync!$L967&lt;=99991231),RIGHT("0000"&amp;INT(Sync!$L967/10000),4)&amp;"/"&amp;RIGHT("00"&amp;INT(MOD(Sync!$L967,10000)/100),2)&amp;"/"&amp;RIGHT("00"&amp;MOD(Sync!$L967,100),2),""),IFERROR(RIGHT("0000"&amp;VALUE(TRIM(LEFT(Sync!$L967,FIND("/",Sync!$L967)-1))),4)&amp;"/"&amp;RIGHT("00"&amp;VALUE(TRIM(LEFT(MID(Sync!$L967,FIND("/",Sync!$L967)+1,20),FIND("/",MID(Sync!$L967,FIND("/",Sync!$L967)+1,20))-1))),2)&amp;"/"&amp;RIGHT("00"&amp;VALUE(TRIM(MID(MID(Sync!$L967,FIND("/",Sync!$L967)+1,20),FIND("/",MID(Sync!$L967,FIND("/",Sync!$L967)+1,20))+1,20))),2),"")))</f>
        <v/>
      </c>
    </row>
    <row r="968" spans="13:14" x14ac:dyDescent="0.2">
      <c r="M968" t="str">
        <f>IF(Sync!$M968&lt;&gt;"پاس چک","",IF(Sync!$P968="","",Sync!$P968))</f>
        <v/>
      </c>
      <c r="N968" t="str">
        <f>IF($M968="","",IF(ISNUMBER(Sync!$L968),IF(AND(Sync!$L968&gt;=10000101,Sync!$L968&lt;=99991231),RIGHT("0000"&amp;INT(Sync!$L968/10000),4)&amp;"/"&amp;RIGHT("00"&amp;INT(MOD(Sync!$L968,10000)/100),2)&amp;"/"&amp;RIGHT("00"&amp;MOD(Sync!$L968,100),2),""),IFERROR(RIGHT("0000"&amp;VALUE(TRIM(LEFT(Sync!$L968,FIND("/",Sync!$L968)-1))),4)&amp;"/"&amp;RIGHT("00"&amp;VALUE(TRIM(LEFT(MID(Sync!$L968,FIND("/",Sync!$L968)+1,20),FIND("/",MID(Sync!$L968,FIND("/",Sync!$L968)+1,20))-1))),2)&amp;"/"&amp;RIGHT("00"&amp;VALUE(TRIM(MID(MID(Sync!$L968,FIND("/",Sync!$L968)+1,20),FIND("/",MID(Sync!$L968,FIND("/",Sync!$L968)+1,20))+1,20))),2),"")))</f>
        <v/>
      </c>
    </row>
    <row r="969" spans="13:14" x14ac:dyDescent="0.2">
      <c r="M969" t="str">
        <f>IF(Sync!$M969&lt;&gt;"پاس چک","",IF(Sync!$P969="","",Sync!$P969))</f>
        <v/>
      </c>
      <c r="N969" t="str">
        <f>IF($M969="","",IF(ISNUMBER(Sync!$L969),IF(AND(Sync!$L969&gt;=10000101,Sync!$L969&lt;=99991231),RIGHT("0000"&amp;INT(Sync!$L969/10000),4)&amp;"/"&amp;RIGHT("00"&amp;INT(MOD(Sync!$L969,10000)/100),2)&amp;"/"&amp;RIGHT("00"&amp;MOD(Sync!$L969,100),2),""),IFERROR(RIGHT("0000"&amp;VALUE(TRIM(LEFT(Sync!$L969,FIND("/",Sync!$L969)-1))),4)&amp;"/"&amp;RIGHT("00"&amp;VALUE(TRIM(LEFT(MID(Sync!$L969,FIND("/",Sync!$L969)+1,20),FIND("/",MID(Sync!$L969,FIND("/",Sync!$L969)+1,20))-1))),2)&amp;"/"&amp;RIGHT("00"&amp;VALUE(TRIM(MID(MID(Sync!$L969,FIND("/",Sync!$L969)+1,20),FIND("/",MID(Sync!$L969,FIND("/",Sync!$L969)+1,20))+1,20))),2),"")))</f>
        <v/>
      </c>
    </row>
    <row r="970" spans="13:14" x14ac:dyDescent="0.2">
      <c r="M970" t="str">
        <f>IF(Sync!$M970&lt;&gt;"پاس چک","",IF(Sync!$P970="","",Sync!$P970))</f>
        <v/>
      </c>
      <c r="N970" t="str">
        <f>IF($M970="","",IF(ISNUMBER(Sync!$L970),IF(AND(Sync!$L970&gt;=10000101,Sync!$L970&lt;=99991231),RIGHT("0000"&amp;INT(Sync!$L970/10000),4)&amp;"/"&amp;RIGHT("00"&amp;INT(MOD(Sync!$L970,10000)/100),2)&amp;"/"&amp;RIGHT("00"&amp;MOD(Sync!$L970,100),2),""),IFERROR(RIGHT("0000"&amp;VALUE(TRIM(LEFT(Sync!$L970,FIND("/",Sync!$L970)-1))),4)&amp;"/"&amp;RIGHT("00"&amp;VALUE(TRIM(LEFT(MID(Sync!$L970,FIND("/",Sync!$L970)+1,20),FIND("/",MID(Sync!$L970,FIND("/",Sync!$L970)+1,20))-1))),2)&amp;"/"&amp;RIGHT("00"&amp;VALUE(TRIM(MID(MID(Sync!$L970,FIND("/",Sync!$L970)+1,20),FIND("/",MID(Sync!$L970,FIND("/",Sync!$L970)+1,20))+1,20))),2),"")))</f>
        <v/>
      </c>
    </row>
    <row r="971" spans="13:14" x14ac:dyDescent="0.2">
      <c r="M971" t="str">
        <f>IF(Sync!$M971&lt;&gt;"پاس چک","",IF(Sync!$P971="","",Sync!$P971))</f>
        <v/>
      </c>
      <c r="N971" t="str">
        <f>IF($M971="","",IF(ISNUMBER(Sync!$L971),IF(AND(Sync!$L971&gt;=10000101,Sync!$L971&lt;=99991231),RIGHT("0000"&amp;INT(Sync!$L971/10000),4)&amp;"/"&amp;RIGHT("00"&amp;INT(MOD(Sync!$L971,10000)/100),2)&amp;"/"&amp;RIGHT("00"&amp;MOD(Sync!$L971,100),2),""),IFERROR(RIGHT("0000"&amp;VALUE(TRIM(LEFT(Sync!$L971,FIND("/",Sync!$L971)-1))),4)&amp;"/"&amp;RIGHT("00"&amp;VALUE(TRIM(LEFT(MID(Sync!$L971,FIND("/",Sync!$L971)+1,20),FIND("/",MID(Sync!$L971,FIND("/",Sync!$L971)+1,20))-1))),2)&amp;"/"&amp;RIGHT("00"&amp;VALUE(TRIM(MID(MID(Sync!$L971,FIND("/",Sync!$L971)+1,20),FIND("/",MID(Sync!$L971,FIND("/",Sync!$L971)+1,20))+1,20))),2),"")))</f>
        <v/>
      </c>
    </row>
    <row r="972" spans="13:14" x14ac:dyDescent="0.2">
      <c r="M972" t="str">
        <f>IF(Sync!$M972&lt;&gt;"پاس چک","",IF(Sync!$P972="","",Sync!$P972))</f>
        <v/>
      </c>
      <c r="N972" t="str">
        <f>IF($M972="","",IF(ISNUMBER(Sync!$L972),IF(AND(Sync!$L972&gt;=10000101,Sync!$L972&lt;=99991231),RIGHT("0000"&amp;INT(Sync!$L972/10000),4)&amp;"/"&amp;RIGHT("00"&amp;INT(MOD(Sync!$L972,10000)/100),2)&amp;"/"&amp;RIGHT("00"&amp;MOD(Sync!$L972,100),2),""),IFERROR(RIGHT("0000"&amp;VALUE(TRIM(LEFT(Sync!$L972,FIND("/",Sync!$L972)-1))),4)&amp;"/"&amp;RIGHT("00"&amp;VALUE(TRIM(LEFT(MID(Sync!$L972,FIND("/",Sync!$L972)+1,20),FIND("/",MID(Sync!$L972,FIND("/",Sync!$L972)+1,20))-1))),2)&amp;"/"&amp;RIGHT("00"&amp;VALUE(TRIM(MID(MID(Sync!$L972,FIND("/",Sync!$L972)+1,20),FIND("/",MID(Sync!$L972,FIND("/",Sync!$L972)+1,20))+1,20))),2),"")))</f>
        <v/>
      </c>
    </row>
    <row r="973" spans="13:14" x14ac:dyDescent="0.2">
      <c r="M973" t="str">
        <f>IF(Sync!$M973&lt;&gt;"پاس چک","",IF(Sync!$P973="","",Sync!$P973))</f>
        <v/>
      </c>
      <c r="N973" t="str">
        <f>IF($M973="","",IF(ISNUMBER(Sync!$L973),IF(AND(Sync!$L973&gt;=10000101,Sync!$L973&lt;=99991231),RIGHT("0000"&amp;INT(Sync!$L973/10000),4)&amp;"/"&amp;RIGHT("00"&amp;INT(MOD(Sync!$L973,10000)/100),2)&amp;"/"&amp;RIGHT("00"&amp;MOD(Sync!$L973,100),2),""),IFERROR(RIGHT("0000"&amp;VALUE(TRIM(LEFT(Sync!$L973,FIND("/",Sync!$L973)-1))),4)&amp;"/"&amp;RIGHT("00"&amp;VALUE(TRIM(LEFT(MID(Sync!$L973,FIND("/",Sync!$L973)+1,20),FIND("/",MID(Sync!$L973,FIND("/",Sync!$L973)+1,20))-1))),2)&amp;"/"&amp;RIGHT("00"&amp;VALUE(TRIM(MID(MID(Sync!$L973,FIND("/",Sync!$L973)+1,20),FIND("/",MID(Sync!$L973,FIND("/",Sync!$L973)+1,20))+1,20))),2),"")))</f>
        <v/>
      </c>
    </row>
    <row r="974" spans="13:14" x14ac:dyDescent="0.2">
      <c r="M974" t="str">
        <f>IF(Sync!$M974&lt;&gt;"پاس چک","",IF(Sync!$P974="","",Sync!$P974))</f>
        <v/>
      </c>
      <c r="N974" t="str">
        <f>IF($M974="","",IF(ISNUMBER(Sync!$L974),IF(AND(Sync!$L974&gt;=10000101,Sync!$L974&lt;=99991231),RIGHT("0000"&amp;INT(Sync!$L974/10000),4)&amp;"/"&amp;RIGHT("00"&amp;INT(MOD(Sync!$L974,10000)/100),2)&amp;"/"&amp;RIGHT("00"&amp;MOD(Sync!$L974,100),2),""),IFERROR(RIGHT("0000"&amp;VALUE(TRIM(LEFT(Sync!$L974,FIND("/",Sync!$L974)-1))),4)&amp;"/"&amp;RIGHT("00"&amp;VALUE(TRIM(LEFT(MID(Sync!$L974,FIND("/",Sync!$L974)+1,20),FIND("/",MID(Sync!$L974,FIND("/",Sync!$L974)+1,20))-1))),2)&amp;"/"&amp;RIGHT("00"&amp;VALUE(TRIM(MID(MID(Sync!$L974,FIND("/",Sync!$L974)+1,20),FIND("/",MID(Sync!$L974,FIND("/",Sync!$L974)+1,20))+1,20))),2),"")))</f>
        <v/>
      </c>
    </row>
    <row r="975" spans="13:14" x14ac:dyDescent="0.2">
      <c r="M975" t="str">
        <f>IF(Sync!$M975&lt;&gt;"پاس چک","",IF(Sync!$P975="","",Sync!$P975))</f>
        <v/>
      </c>
      <c r="N975" t="str">
        <f>IF($M975="","",IF(ISNUMBER(Sync!$L975),IF(AND(Sync!$L975&gt;=10000101,Sync!$L975&lt;=99991231),RIGHT("0000"&amp;INT(Sync!$L975/10000),4)&amp;"/"&amp;RIGHT("00"&amp;INT(MOD(Sync!$L975,10000)/100),2)&amp;"/"&amp;RIGHT("00"&amp;MOD(Sync!$L975,100),2),""),IFERROR(RIGHT("0000"&amp;VALUE(TRIM(LEFT(Sync!$L975,FIND("/",Sync!$L975)-1))),4)&amp;"/"&amp;RIGHT("00"&amp;VALUE(TRIM(LEFT(MID(Sync!$L975,FIND("/",Sync!$L975)+1,20),FIND("/",MID(Sync!$L975,FIND("/",Sync!$L975)+1,20))-1))),2)&amp;"/"&amp;RIGHT("00"&amp;VALUE(TRIM(MID(MID(Sync!$L975,FIND("/",Sync!$L975)+1,20),FIND("/",MID(Sync!$L975,FIND("/",Sync!$L975)+1,20))+1,20))),2),"")))</f>
        <v/>
      </c>
    </row>
    <row r="976" spans="13:14" x14ac:dyDescent="0.2">
      <c r="M976" t="str">
        <f>IF(Sync!$M976&lt;&gt;"پاس چک","",IF(Sync!$P976="","",Sync!$P976))</f>
        <v/>
      </c>
      <c r="N976" t="str">
        <f>IF($M976="","",IF(ISNUMBER(Sync!$L976),IF(AND(Sync!$L976&gt;=10000101,Sync!$L976&lt;=99991231),RIGHT("0000"&amp;INT(Sync!$L976/10000),4)&amp;"/"&amp;RIGHT("00"&amp;INT(MOD(Sync!$L976,10000)/100),2)&amp;"/"&amp;RIGHT("00"&amp;MOD(Sync!$L976,100),2),""),IFERROR(RIGHT("0000"&amp;VALUE(TRIM(LEFT(Sync!$L976,FIND("/",Sync!$L976)-1))),4)&amp;"/"&amp;RIGHT("00"&amp;VALUE(TRIM(LEFT(MID(Sync!$L976,FIND("/",Sync!$L976)+1,20),FIND("/",MID(Sync!$L976,FIND("/",Sync!$L976)+1,20))-1))),2)&amp;"/"&amp;RIGHT("00"&amp;VALUE(TRIM(MID(MID(Sync!$L976,FIND("/",Sync!$L976)+1,20),FIND("/",MID(Sync!$L976,FIND("/",Sync!$L976)+1,20))+1,20))),2),"")))</f>
        <v/>
      </c>
    </row>
    <row r="977" spans="13:14" x14ac:dyDescent="0.2">
      <c r="M977" t="str">
        <f>IF(Sync!$M977&lt;&gt;"پاس چک","",IF(Sync!$P977="","",Sync!$P977))</f>
        <v/>
      </c>
      <c r="N977" t="str">
        <f>IF($M977="","",IF(ISNUMBER(Sync!$L977),IF(AND(Sync!$L977&gt;=10000101,Sync!$L977&lt;=99991231),RIGHT("0000"&amp;INT(Sync!$L977/10000),4)&amp;"/"&amp;RIGHT("00"&amp;INT(MOD(Sync!$L977,10000)/100),2)&amp;"/"&amp;RIGHT("00"&amp;MOD(Sync!$L977,100),2),""),IFERROR(RIGHT("0000"&amp;VALUE(TRIM(LEFT(Sync!$L977,FIND("/",Sync!$L977)-1))),4)&amp;"/"&amp;RIGHT("00"&amp;VALUE(TRIM(LEFT(MID(Sync!$L977,FIND("/",Sync!$L977)+1,20),FIND("/",MID(Sync!$L977,FIND("/",Sync!$L977)+1,20))-1))),2)&amp;"/"&amp;RIGHT("00"&amp;VALUE(TRIM(MID(MID(Sync!$L977,FIND("/",Sync!$L977)+1,20),FIND("/",MID(Sync!$L977,FIND("/",Sync!$L977)+1,20))+1,20))),2),"")))</f>
        <v/>
      </c>
    </row>
    <row r="978" spans="13:14" x14ac:dyDescent="0.2">
      <c r="M978" t="str">
        <f>IF(Sync!$M978&lt;&gt;"پاس چک","",IF(Sync!$P978="","",Sync!$P978))</f>
        <v/>
      </c>
      <c r="N978" t="str">
        <f>IF($M978="","",IF(ISNUMBER(Sync!$L978),IF(AND(Sync!$L978&gt;=10000101,Sync!$L978&lt;=99991231),RIGHT("0000"&amp;INT(Sync!$L978/10000),4)&amp;"/"&amp;RIGHT("00"&amp;INT(MOD(Sync!$L978,10000)/100),2)&amp;"/"&amp;RIGHT("00"&amp;MOD(Sync!$L978,100),2),""),IFERROR(RIGHT("0000"&amp;VALUE(TRIM(LEFT(Sync!$L978,FIND("/",Sync!$L978)-1))),4)&amp;"/"&amp;RIGHT("00"&amp;VALUE(TRIM(LEFT(MID(Sync!$L978,FIND("/",Sync!$L978)+1,20),FIND("/",MID(Sync!$L978,FIND("/",Sync!$L978)+1,20))-1))),2)&amp;"/"&amp;RIGHT("00"&amp;VALUE(TRIM(MID(MID(Sync!$L978,FIND("/",Sync!$L978)+1,20),FIND("/",MID(Sync!$L978,FIND("/",Sync!$L978)+1,20))+1,20))),2),"")))</f>
        <v/>
      </c>
    </row>
    <row r="979" spans="13:14" x14ac:dyDescent="0.2">
      <c r="M979" t="str">
        <f>IF(Sync!$M979&lt;&gt;"پاس چک","",IF(Sync!$P979="","",Sync!$P979))</f>
        <v/>
      </c>
      <c r="N979" t="str">
        <f>IF($M979="","",IF(ISNUMBER(Sync!$L979),IF(AND(Sync!$L979&gt;=10000101,Sync!$L979&lt;=99991231),RIGHT("0000"&amp;INT(Sync!$L979/10000),4)&amp;"/"&amp;RIGHT("00"&amp;INT(MOD(Sync!$L979,10000)/100),2)&amp;"/"&amp;RIGHT("00"&amp;MOD(Sync!$L979,100),2),""),IFERROR(RIGHT("0000"&amp;VALUE(TRIM(LEFT(Sync!$L979,FIND("/",Sync!$L979)-1))),4)&amp;"/"&amp;RIGHT("00"&amp;VALUE(TRIM(LEFT(MID(Sync!$L979,FIND("/",Sync!$L979)+1,20),FIND("/",MID(Sync!$L979,FIND("/",Sync!$L979)+1,20))-1))),2)&amp;"/"&amp;RIGHT("00"&amp;VALUE(TRIM(MID(MID(Sync!$L979,FIND("/",Sync!$L979)+1,20),FIND("/",MID(Sync!$L979,FIND("/",Sync!$L979)+1,20))+1,20))),2),"")))</f>
        <v/>
      </c>
    </row>
    <row r="980" spans="13:14" x14ac:dyDescent="0.2">
      <c r="M980" t="str">
        <f>IF(Sync!$M980&lt;&gt;"پاس چک","",IF(Sync!$P980="","",Sync!$P980))</f>
        <v/>
      </c>
      <c r="N980" t="str">
        <f>IF($M980="","",IF(ISNUMBER(Sync!$L980),IF(AND(Sync!$L980&gt;=10000101,Sync!$L980&lt;=99991231),RIGHT("0000"&amp;INT(Sync!$L980/10000),4)&amp;"/"&amp;RIGHT("00"&amp;INT(MOD(Sync!$L980,10000)/100),2)&amp;"/"&amp;RIGHT("00"&amp;MOD(Sync!$L980,100),2),""),IFERROR(RIGHT("0000"&amp;VALUE(TRIM(LEFT(Sync!$L980,FIND("/",Sync!$L980)-1))),4)&amp;"/"&amp;RIGHT("00"&amp;VALUE(TRIM(LEFT(MID(Sync!$L980,FIND("/",Sync!$L980)+1,20),FIND("/",MID(Sync!$L980,FIND("/",Sync!$L980)+1,20))-1))),2)&amp;"/"&amp;RIGHT("00"&amp;VALUE(TRIM(MID(MID(Sync!$L980,FIND("/",Sync!$L980)+1,20),FIND("/",MID(Sync!$L980,FIND("/",Sync!$L980)+1,20))+1,20))),2),"")))</f>
        <v/>
      </c>
    </row>
    <row r="981" spans="13:14" x14ac:dyDescent="0.2">
      <c r="M981" t="str">
        <f>IF(Sync!$M981&lt;&gt;"پاس چک","",IF(Sync!$P981="","",Sync!$P981))</f>
        <v/>
      </c>
      <c r="N981" t="str">
        <f>IF($M981="","",IF(ISNUMBER(Sync!$L981),IF(AND(Sync!$L981&gt;=10000101,Sync!$L981&lt;=99991231),RIGHT("0000"&amp;INT(Sync!$L981/10000),4)&amp;"/"&amp;RIGHT("00"&amp;INT(MOD(Sync!$L981,10000)/100),2)&amp;"/"&amp;RIGHT("00"&amp;MOD(Sync!$L981,100),2),""),IFERROR(RIGHT("0000"&amp;VALUE(TRIM(LEFT(Sync!$L981,FIND("/",Sync!$L981)-1))),4)&amp;"/"&amp;RIGHT("00"&amp;VALUE(TRIM(LEFT(MID(Sync!$L981,FIND("/",Sync!$L981)+1,20),FIND("/",MID(Sync!$L981,FIND("/",Sync!$L981)+1,20))-1))),2)&amp;"/"&amp;RIGHT("00"&amp;VALUE(TRIM(MID(MID(Sync!$L981,FIND("/",Sync!$L981)+1,20),FIND("/",MID(Sync!$L981,FIND("/",Sync!$L981)+1,20))+1,20))),2),"")))</f>
        <v/>
      </c>
    </row>
    <row r="982" spans="13:14" x14ac:dyDescent="0.2">
      <c r="M982" t="str">
        <f>IF(Sync!$M982&lt;&gt;"پاس چک","",IF(Sync!$P982="","",Sync!$P982))</f>
        <v/>
      </c>
      <c r="N982" t="str">
        <f>IF($M982="","",IF(ISNUMBER(Sync!$L982),IF(AND(Sync!$L982&gt;=10000101,Sync!$L982&lt;=99991231),RIGHT("0000"&amp;INT(Sync!$L982/10000),4)&amp;"/"&amp;RIGHT("00"&amp;INT(MOD(Sync!$L982,10000)/100),2)&amp;"/"&amp;RIGHT("00"&amp;MOD(Sync!$L982,100),2),""),IFERROR(RIGHT("0000"&amp;VALUE(TRIM(LEFT(Sync!$L982,FIND("/",Sync!$L982)-1))),4)&amp;"/"&amp;RIGHT("00"&amp;VALUE(TRIM(LEFT(MID(Sync!$L982,FIND("/",Sync!$L982)+1,20),FIND("/",MID(Sync!$L982,FIND("/",Sync!$L982)+1,20))-1))),2)&amp;"/"&amp;RIGHT("00"&amp;VALUE(TRIM(MID(MID(Sync!$L982,FIND("/",Sync!$L982)+1,20),FIND("/",MID(Sync!$L982,FIND("/",Sync!$L982)+1,20))+1,20))),2),"")))</f>
        <v/>
      </c>
    </row>
    <row r="983" spans="13:14" x14ac:dyDescent="0.2">
      <c r="M983" t="str">
        <f>IF(Sync!$M983&lt;&gt;"پاس چک","",IF(Sync!$P983="","",Sync!$P983))</f>
        <v/>
      </c>
      <c r="N983" t="str">
        <f>IF($M983="","",IF(ISNUMBER(Sync!$L983),IF(AND(Sync!$L983&gt;=10000101,Sync!$L983&lt;=99991231),RIGHT("0000"&amp;INT(Sync!$L983/10000),4)&amp;"/"&amp;RIGHT("00"&amp;INT(MOD(Sync!$L983,10000)/100),2)&amp;"/"&amp;RIGHT("00"&amp;MOD(Sync!$L983,100),2),""),IFERROR(RIGHT("0000"&amp;VALUE(TRIM(LEFT(Sync!$L983,FIND("/",Sync!$L983)-1))),4)&amp;"/"&amp;RIGHT("00"&amp;VALUE(TRIM(LEFT(MID(Sync!$L983,FIND("/",Sync!$L983)+1,20),FIND("/",MID(Sync!$L983,FIND("/",Sync!$L983)+1,20))-1))),2)&amp;"/"&amp;RIGHT("00"&amp;VALUE(TRIM(MID(MID(Sync!$L983,FIND("/",Sync!$L983)+1,20),FIND("/",MID(Sync!$L983,FIND("/",Sync!$L983)+1,20))+1,20))),2),"")))</f>
        <v/>
      </c>
    </row>
    <row r="984" spans="13:14" x14ac:dyDescent="0.2">
      <c r="M984" t="str">
        <f>IF(Sync!$M984&lt;&gt;"پاس چک","",IF(Sync!$P984="","",Sync!$P984))</f>
        <v/>
      </c>
      <c r="N984" t="str">
        <f>IF($M984="","",IF(ISNUMBER(Sync!$L984),IF(AND(Sync!$L984&gt;=10000101,Sync!$L984&lt;=99991231),RIGHT("0000"&amp;INT(Sync!$L984/10000),4)&amp;"/"&amp;RIGHT("00"&amp;INT(MOD(Sync!$L984,10000)/100),2)&amp;"/"&amp;RIGHT("00"&amp;MOD(Sync!$L984,100),2),""),IFERROR(RIGHT("0000"&amp;VALUE(TRIM(LEFT(Sync!$L984,FIND("/",Sync!$L984)-1))),4)&amp;"/"&amp;RIGHT("00"&amp;VALUE(TRIM(LEFT(MID(Sync!$L984,FIND("/",Sync!$L984)+1,20),FIND("/",MID(Sync!$L984,FIND("/",Sync!$L984)+1,20))-1))),2)&amp;"/"&amp;RIGHT("00"&amp;VALUE(TRIM(MID(MID(Sync!$L984,FIND("/",Sync!$L984)+1,20),FIND("/",MID(Sync!$L984,FIND("/",Sync!$L984)+1,20))+1,20))),2),"")))</f>
        <v/>
      </c>
    </row>
    <row r="985" spans="13:14" x14ac:dyDescent="0.2">
      <c r="M985" t="str">
        <f>IF(Sync!$M985&lt;&gt;"پاس چک","",IF(Sync!$P985="","",Sync!$P985))</f>
        <v/>
      </c>
      <c r="N985" t="str">
        <f>IF($M985="","",IF(ISNUMBER(Sync!$L985),IF(AND(Sync!$L985&gt;=10000101,Sync!$L985&lt;=99991231),RIGHT("0000"&amp;INT(Sync!$L985/10000),4)&amp;"/"&amp;RIGHT("00"&amp;INT(MOD(Sync!$L985,10000)/100),2)&amp;"/"&amp;RIGHT("00"&amp;MOD(Sync!$L985,100),2),""),IFERROR(RIGHT("0000"&amp;VALUE(TRIM(LEFT(Sync!$L985,FIND("/",Sync!$L985)-1))),4)&amp;"/"&amp;RIGHT("00"&amp;VALUE(TRIM(LEFT(MID(Sync!$L985,FIND("/",Sync!$L985)+1,20),FIND("/",MID(Sync!$L985,FIND("/",Sync!$L985)+1,20))-1))),2)&amp;"/"&amp;RIGHT("00"&amp;VALUE(TRIM(MID(MID(Sync!$L985,FIND("/",Sync!$L985)+1,20),FIND("/",MID(Sync!$L985,FIND("/",Sync!$L985)+1,20))+1,20))),2),"")))</f>
        <v/>
      </c>
    </row>
    <row r="986" spans="13:14" x14ac:dyDescent="0.2">
      <c r="M986" t="str">
        <f>IF(Sync!$M986&lt;&gt;"پاس چک","",IF(Sync!$P986="","",Sync!$P986))</f>
        <v/>
      </c>
      <c r="N986" t="str">
        <f>IF($M986="","",IF(ISNUMBER(Sync!$L986),IF(AND(Sync!$L986&gt;=10000101,Sync!$L986&lt;=99991231),RIGHT("0000"&amp;INT(Sync!$L986/10000),4)&amp;"/"&amp;RIGHT("00"&amp;INT(MOD(Sync!$L986,10000)/100),2)&amp;"/"&amp;RIGHT("00"&amp;MOD(Sync!$L986,100),2),""),IFERROR(RIGHT("0000"&amp;VALUE(TRIM(LEFT(Sync!$L986,FIND("/",Sync!$L986)-1))),4)&amp;"/"&amp;RIGHT("00"&amp;VALUE(TRIM(LEFT(MID(Sync!$L986,FIND("/",Sync!$L986)+1,20),FIND("/",MID(Sync!$L986,FIND("/",Sync!$L986)+1,20))-1))),2)&amp;"/"&amp;RIGHT("00"&amp;VALUE(TRIM(MID(MID(Sync!$L986,FIND("/",Sync!$L986)+1,20),FIND("/",MID(Sync!$L986,FIND("/",Sync!$L986)+1,20))+1,20))),2),"")))</f>
        <v/>
      </c>
    </row>
    <row r="987" spans="13:14" x14ac:dyDescent="0.2">
      <c r="M987" t="str">
        <f>IF(Sync!$M987&lt;&gt;"پاس چک","",IF(Sync!$P987="","",Sync!$P987))</f>
        <v/>
      </c>
      <c r="N987" t="str">
        <f>IF($M987="","",IF(ISNUMBER(Sync!$L987),IF(AND(Sync!$L987&gt;=10000101,Sync!$L987&lt;=99991231),RIGHT("0000"&amp;INT(Sync!$L987/10000),4)&amp;"/"&amp;RIGHT("00"&amp;INT(MOD(Sync!$L987,10000)/100),2)&amp;"/"&amp;RIGHT("00"&amp;MOD(Sync!$L987,100),2),""),IFERROR(RIGHT("0000"&amp;VALUE(TRIM(LEFT(Sync!$L987,FIND("/",Sync!$L987)-1))),4)&amp;"/"&amp;RIGHT("00"&amp;VALUE(TRIM(LEFT(MID(Sync!$L987,FIND("/",Sync!$L987)+1,20),FIND("/",MID(Sync!$L987,FIND("/",Sync!$L987)+1,20))-1))),2)&amp;"/"&amp;RIGHT("00"&amp;VALUE(TRIM(MID(MID(Sync!$L987,FIND("/",Sync!$L987)+1,20),FIND("/",MID(Sync!$L987,FIND("/",Sync!$L987)+1,20))+1,20))),2),"")))</f>
        <v/>
      </c>
    </row>
    <row r="988" spans="13:14" x14ac:dyDescent="0.2">
      <c r="M988" t="str">
        <f>IF(Sync!$M988&lt;&gt;"پاس چک","",IF(Sync!$P988="","",Sync!$P988))</f>
        <v/>
      </c>
      <c r="N988" t="str">
        <f>IF($M988="","",IF(ISNUMBER(Sync!$L988),IF(AND(Sync!$L988&gt;=10000101,Sync!$L988&lt;=99991231),RIGHT("0000"&amp;INT(Sync!$L988/10000),4)&amp;"/"&amp;RIGHT("00"&amp;INT(MOD(Sync!$L988,10000)/100),2)&amp;"/"&amp;RIGHT("00"&amp;MOD(Sync!$L988,100),2),""),IFERROR(RIGHT("0000"&amp;VALUE(TRIM(LEFT(Sync!$L988,FIND("/",Sync!$L988)-1))),4)&amp;"/"&amp;RIGHT("00"&amp;VALUE(TRIM(LEFT(MID(Sync!$L988,FIND("/",Sync!$L988)+1,20),FIND("/",MID(Sync!$L988,FIND("/",Sync!$L988)+1,20))-1))),2)&amp;"/"&amp;RIGHT("00"&amp;VALUE(TRIM(MID(MID(Sync!$L988,FIND("/",Sync!$L988)+1,20),FIND("/",MID(Sync!$L988,FIND("/",Sync!$L988)+1,20))+1,20))),2),"")))</f>
        <v/>
      </c>
    </row>
    <row r="989" spans="13:14" x14ac:dyDescent="0.2">
      <c r="M989" t="str">
        <f>IF(Sync!$M989&lt;&gt;"پاس چک","",IF(Sync!$P989="","",Sync!$P989))</f>
        <v/>
      </c>
      <c r="N989" t="str">
        <f>IF($M989="","",IF(ISNUMBER(Sync!$L989),IF(AND(Sync!$L989&gt;=10000101,Sync!$L989&lt;=99991231),RIGHT("0000"&amp;INT(Sync!$L989/10000),4)&amp;"/"&amp;RIGHT("00"&amp;INT(MOD(Sync!$L989,10000)/100),2)&amp;"/"&amp;RIGHT("00"&amp;MOD(Sync!$L989,100),2),""),IFERROR(RIGHT("0000"&amp;VALUE(TRIM(LEFT(Sync!$L989,FIND("/",Sync!$L989)-1))),4)&amp;"/"&amp;RIGHT("00"&amp;VALUE(TRIM(LEFT(MID(Sync!$L989,FIND("/",Sync!$L989)+1,20),FIND("/",MID(Sync!$L989,FIND("/",Sync!$L989)+1,20))-1))),2)&amp;"/"&amp;RIGHT("00"&amp;VALUE(TRIM(MID(MID(Sync!$L989,FIND("/",Sync!$L989)+1,20),FIND("/",MID(Sync!$L989,FIND("/",Sync!$L989)+1,20))+1,20))),2),"")))</f>
        <v/>
      </c>
    </row>
    <row r="990" spans="13:14" x14ac:dyDescent="0.2">
      <c r="M990" t="str">
        <f>IF(Sync!$M990&lt;&gt;"پاس چک","",IF(Sync!$P990="","",Sync!$P990))</f>
        <v/>
      </c>
      <c r="N990" t="str">
        <f>IF($M990="","",IF(ISNUMBER(Sync!$L990),IF(AND(Sync!$L990&gt;=10000101,Sync!$L990&lt;=99991231),RIGHT("0000"&amp;INT(Sync!$L990/10000),4)&amp;"/"&amp;RIGHT("00"&amp;INT(MOD(Sync!$L990,10000)/100),2)&amp;"/"&amp;RIGHT("00"&amp;MOD(Sync!$L990,100),2),""),IFERROR(RIGHT("0000"&amp;VALUE(TRIM(LEFT(Sync!$L990,FIND("/",Sync!$L990)-1))),4)&amp;"/"&amp;RIGHT("00"&amp;VALUE(TRIM(LEFT(MID(Sync!$L990,FIND("/",Sync!$L990)+1,20),FIND("/",MID(Sync!$L990,FIND("/",Sync!$L990)+1,20))-1))),2)&amp;"/"&amp;RIGHT("00"&amp;VALUE(TRIM(MID(MID(Sync!$L990,FIND("/",Sync!$L990)+1,20),FIND("/",MID(Sync!$L990,FIND("/",Sync!$L990)+1,20))+1,20))),2),"")))</f>
        <v/>
      </c>
    </row>
    <row r="991" spans="13:14" x14ac:dyDescent="0.2">
      <c r="M991" t="str">
        <f>IF(Sync!$M991&lt;&gt;"پاس چک","",IF(Sync!$P991="","",Sync!$P991))</f>
        <v/>
      </c>
      <c r="N991" t="str">
        <f>IF($M991="","",IF(ISNUMBER(Sync!$L991),IF(AND(Sync!$L991&gt;=10000101,Sync!$L991&lt;=99991231),RIGHT("0000"&amp;INT(Sync!$L991/10000),4)&amp;"/"&amp;RIGHT("00"&amp;INT(MOD(Sync!$L991,10000)/100),2)&amp;"/"&amp;RIGHT("00"&amp;MOD(Sync!$L991,100),2),""),IFERROR(RIGHT("0000"&amp;VALUE(TRIM(LEFT(Sync!$L991,FIND("/",Sync!$L991)-1))),4)&amp;"/"&amp;RIGHT("00"&amp;VALUE(TRIM(LEFT(MID(Sync!$L991,FIND("/",Sync!$L991)+1,20),FIND("/",MID(Sync!$L991,FIND("/",Sync!$L991)+1,20))-1))),2)&amp;"/"&amp;RIGHT("00"&amp;VALUE(TRIM(MID(MID(Sync!$L991,FIND("/",Sync!$L991)+1,20),FIND("/",MID(Sync!$L991,FIND("/",Sync!$L991)+1,20))+1,20))),2),"")))</f>
        <v/>
      </c>
    </row>
    <row r="992" spans="13:14" x14ac:dyDescent="0.2">
      <c r="M992" t="str">
        <f>IF(Sync!$M992&lt;&gt;"پاس چک","",IF(Sync!$P992="","",Sync!$P992))</f>
        <v/>
      </c>
      <c r="N992" t="str">
        <f>IF($M992="","",IF(ISNUMBER(Sync!$L992),IF(AND(Sync!$L992&gt;=10000101,Sync!$L992&lt;=99991231),RIGHT("0000"&amp;INT(Sync!$L992/10000),4)&amp;"/"&amp;RIGHT("00"&amp;INT(MOD(Sync!$L992,10000)/100),2)&amp;"/"&amp;RIGHT("00"&amp;MOD(Sync!$L992,100),2),""),IFERROR(RIGHT("0000"&amp;VALUE(TRIM(LEFT(Sync!$L992,FIND("/",Sync!$L992)-1))),4)&amp;"/"&amp;RIGHT("00"&amp;VALUE(TRIM(LEFT(MID(Sync!$L992,FIND("/",Sync!$L992)+1,20),FIND("/",MID(Sync!$L992,FIND("/",Sync!$L992)+1,20))-1))),2)&amp;"/"&amp;RIGHT("00"&amp;VALUE(TRIM(MID(MID(Sync!$L992,FIND("/",Sync!$L992)+1,20),FIND("/",MID(Sync!$L992,FIND("/",Sync!$L992)+1,20))+1,20))),2),"")))</f>
        <v/>
      </c>
    </row>
    <row r="993" spans="13:14" x14ac:dyDescent="0.2">
      <c r="M993" t="str">
        <f>IF(Sync!$M993&lt;&gt;"پاس چک","",IF(Sync!$P993="","",Sync!$P993))</f>
        <v/>
      </c>
      <c r="N993" t="str">
        <f>IF($M993="","",IF(ISNUMBER(Sync!$L993),IF(AND(Sync!$L993&gt;=10000101,Sync!$L993&lt;=99991231),RIGHT("0000"&amp;INT(Sync!$L993/10000),4)&amp;"/"&amp;RIGHT("00"&amp;INT(MOD(Sync!$L993,10000)/100),2)&amp;"/"&amp;RIGHT("00"&amp;MOD(Sync!$L993,100),2),""),IFERROR(RIGHT("0000"&amp;VALUE(TRIM(LEFT(Sync!$L993,FIND("/",Sync!$L993)-1))),4)&amp;"/"&amp;RIGHT("00"&amp;VALUE(TRIM(LEFT(MID(Sync!$L993,FIND("/",Sync!$L993)+1,20),FIND("/",MID(Sync!$L993,FIND("/",Sync!$L993)+1,20))-1))),2)&amp;"/"&amp;RIGHT("00"&amp;VALUE(TRIM(MID(MID(Sync!$L993,FIND("/",Sync!$L993)+1,20),FIND("/",MID(Sync!$L993,FIND("/",Sync!$L993)+1,20))+1,20))),2),"")))</f>
        <v/>
      </c>
    </row>
    <row r="994" spans="13:14" x14ac:dyDescent="0.2">
      <c r="M994" t="str">
        <f>IF(Sync!$M994&lt;&gt;"پاس چک","",IF(Sync!$P994="","",Sync!$P994))</f>
        <v/>
      </c>
      <c r="N994" t="str">
        <f>IF($M994="","",IF(ISNUMBER(Sync!$L994),IF(AND(Sync!$L994&gt;=10000101,Sync!$L994&lt;=99991231),RIGHT("0000"&amp;INT(Sync!$L994/10000),4)&amp;"/"&amp;RIGHT("00"&amp;INT(MOD(Sync!$L994,10000)/100),2)&amp;"/"&amp;RIGHT("00"&amp;MOD(Sync!$L994,100),2),""),IFERROR(RIGHT("0000"&amp;VALUE(TRIM(LEFT(Sync!$L994,FIND("/",Sync!$L994)-1))),4)&amp;"/"&amp;RIGHT("00"&amp;VALUE(TRIM(LEFT(MID(Sync!$L994,FIND("/",Sync!$L994)+1,20),FIND("/",MID(Sync!$L994,FIND("/",Sync!$L994)+1,20))-1))),2)&amp;"/"&amp;RIGHT("00"&amp;VALUE(TRIM(MID(MID(Sync!$L994,FIND("/",Sync!$L994)+1,20),FIND("/",MID(Sync!$L994,FIND("/",Sync!$L994)+1,20))+1,20))),2),"")))</f>
        <v/>
      </c>
    </row>
    <row r="995" spans="13:14" x14ac:dyDescent="0.2">
      <c r="M995" t="str">
        <f>IF(Sync!$M995&lt;&gt;"پاس چک","",IF(Sync!$P995="","",Sync!$P995))</f>
        <v/>
      </c>
      <c r="N995" t="str">
        <f>IF($M995="","",IF(ISNUMBER(Sync!$L995),IF(AND(Sync!$L995&gt;=10000101,Sync!$L995&lt;=99991231),RIGHT("0000"&amp;INT(Sync!$L995/10000),4)&amp;"/"&amp;RIGHT("00"&amp;INT(MOD(Sync!$L995,10000)/100),2)&amp;"/"&amp;RIGHT("00"&amp;MOD(Sync!$L995,100),2),""),IFERROR(RIGHT("0000"&amp;VALUE(TRIM(LEFT(Sync!$L995,FIND("/",Sync!$L995)-1))),4)&amp;"/"&amp;RIGHT("00"&amp;VALUE(TRIM(LEFT(MID(Sync!$L995,FIND("/",Sync!$L995)+1,20),FIND("/",MID(Sync!$L995,FIND("/",Sync!$L995)+1,20))-1))),2)&amp;"/"&amp;RIGHT("00"&amp;VALUE(TRIM(MID(MID(Sync!$L995,FIND("/",Sync!$L995)+1,20),FIND("/",MID(Sync!$L995,FIND("/",Sync!$L995)+1,20))+1,20))),2),"")))</f>
        <v/>
      </c>
    </row>
    <row r="996" spans="13:14" x14ac:dyDescent="0.2">
      <c r="M996" t="str">
        <f>IF(Sync!$M996&lt;&gt;"پاس چک","",IF(Sync!$P996="","",Sync!$P996))</f>
        <v/>
      </c>
      <c r="N996" t="str">
        <f>IF($M996="","",IF(ISNUMBER(Sync!$L996),IF(AND(Sync!$L996&gt;=10000101,Sync!$L996&lt;=99991231),RIGHT("0000"&amp;INT(Sync!$L996/10000),4)&amp;"/"&amp;RIGHT("00"&amp;INT(MOD(Sync!$L996,10000)/100),2)&amp;"/"&amp;RIGHT("00"&amp;MOD(Sync!$L996,100),2),""),IFERROR(RIGHT("0000"&amp;VALUE(TRIM(LEFT(Sync!$L996,FIND("/",Sync!$L996)-1))),4)&amp;"/"&amp;RIGHT("00"&amp;VALUE(TRIM(LEFT(MID(Sync!$L996,FIND("/",Sync!$L996)+1,20),FIND("/",MID(Sync!$L996,FIND("/",Sync!$L996)+1,20))-1))),2)&amp;"/"&amp;RIGHT("00"&amp;VALUE(TRIM(MID(MID(Sync!$L996,FIND("/",Sync!$L996)+1,20),FIND("/",MID(Sync!$L996,FIND("/",Sync!$L996)+1,20))+1,20))),2),"")))</f>
        <v/>
      </c>
    </row>
    <row r="997" spans="13:14" x14ac:dyDescent="0.2">
      <c r="M997" t="str">
        <f>IF(Sync!$M997&lt;&gt;"پاس چک","",IF(Sync!$P997="","",Sync!$P997))</f>
        <v/>
      </c>
      <c r="N997" t="str">
        <f>IF($M997="","",IF(ISNUMBER(Sync!$L997),IF(AND(Sync!$L997&gt;=10000101,Sync!$L997&lt;=99991231),RIGHT("0000"&amp;INT(Sync!$L997/10000),4)&amp;"/"&amp;RIGHT("00"&amp;INT(MOD(Sync!$L997,10000)/100),2)&amp;"/"&amp;RIGHT("00"&amp;MOD(Sync!$L997,100),2),""),IFERROR(RIGHT("0000"&amp;VALUE(TRIM(LEFT(Sync!$L997,FIND("/",Sync!$L997)-1))),4)&amp;"/"&amp;RIGHT("00"&amp;VALUE(TRIM(LEFT(MID(Sync!$L997,FIND("/",Sync!$L997)+1,20),FIND("/",MID(Sync!$L997,FIND("/",Sync!$L997)+1,20))-1))),2)&amp;"/"&amp;RIGHT("00"&amp;VALUE(TRIM(MID(MID(Sync!$L997,FIND("/",Sync!$L997)+1,20),FIND("/",MID(Sync!$L997,FIND("/",Sync!$L997)+1,20))+1,20))),2),"")))</f>
        <v/>
      </c>
    </row>
    <row r="998" spans="13:14" x14ac:dyDescent="0.2">
      <c r="M998" t="str">
        <f>IF(Sync!$M998&lt;&gt;"پاس چک","",IF(Sync!$P998="","",Sync!$P998))</f>
        <v/>
      </c>
      <c r="N998" t="str">
        <f>IF($M998="","",IF(ISNUMBER(Sync!$L998),IF(AND(Sync!$L998&gt;=10000101,Sync!$L998&lt;=99991231),RIGHT("0000"&amp;INT(Sync!$L998/10000),4)&amp;"/"&amp;RIGHT("00"&amp;INT(MOD(Sync!$L998,10000)/100),2)&amp;"/"&amp;RIGHT("00"&amp;MOD(Sync!$L998,100),2),""),IFERROR(RIGHT("0000"&amp;VALUE(TRIM(LEFT(Sync!$L998,FIND("/",Sync!$L998)-1))),4)&amp;"/"&amp;RIGHT("00"&amp;VALUE(TRIM(LEFT(MID(Sync!$L998,FIND("/",Sync!$L998)+1,20),FIND("/",MID(Sync!$L998,FIND("/",Sync!$L998)+1,20))-1))),2)&amp;"/"&amp;RIGHT("00"&amp;VALUE(TRIM(MID(MID(Sync!$L998,FIND("/",Sync!$L998)+1,20),FIND("/",MID(Sync!$L998,FIND("/",Sync!$L998)+1,20))+1,20))),2),"")))</f>
        <v/>
      </c>
    </row>
    <row r="999" spans="13:14" x14ac:dyDescent="0.2">
      <c r="M999" t="str">
        <f>IF(Sync!$M999&lt;&gt;"پاس چک","",IF(Sync!$P999="","",Sync!$P999))</f>
        <v/>
      </c>
      <c r="N999" t="str">
        <f>IF($M999="","",IF(ISNUMBER(Sync!$L999),IF(AND(Sync!$L999&gt;=10000101,Sync!$L999&lt;=99991231),RIGHT("0000"&amp;INT(Sync!$L999/10000),4)&amp;"/"&amp;RIGHT("00"&amp;INT(MOD(Sync!$L999,10000)/100),2)&amp;"/"&amp;RIGHT("00"&amp;MOD(Sync!$L999,100),2),""),IFERROR(RIGHT("0000"&amp;VALUE(TRIM(LEFT(Sync!$L999,FIND("/",Sync!$L999)-1))),4)&amp;"/"&amp;RIGHT("00"&amp;VALUE(TRIM(LEFT(MID(Sync!$L999,FIND("/",Sync!$L999)+1,20),FIND("/",MID(Sync!$L999,FIND("/",Sync!$L999)+1,20))-1))),2)&amp;"/"&amp;RIGHT("00"&amp;VALUE(TRIM(MID(MID(Sync!$L999,FIND("/",Sync!$L999)+1,20),FIND("/",MID(Sync!$L999,FIND("/",Sync!$L999)+1,20))+1,20))),2),"")))</f>
        <v/>
      </c>
    </row>
    <row r="1000" spans="13:14" x14ac:dyDescent="0.2">
      <c r="M1000" t="str">
        <f>IF(Sync!$M1000&lt;&gt;"پاس چک","",IF(Sync!$P1000="","",Sync!$P1000))</f>
        <v/>
      </c>
      <c r="N1000" t="str">
        <f>IF($M1000="","",IF(ISNUMBER(Sync!$L1000),IF(AND(Sync!$L1000&gt;=10000101,Sync!$L1000&lt;=99991231),RIGHT("0000"&amp;INT(Sync!$L1000/10000),4)&amp;"/"&amp;RIGHT("00"&amp;INT(MOD(Sync!$L1000,10000)/100),2)&amp;"/"&amp;RIGHT("00"&amp;MOD(Sync!$L1000,100),2),""),IFERROR(RIGHT("0000"&amp;VALUE(TRIM(LEFT(Sync!$L1000,FIND("/",Sync!$L1000)-1))),4)&amp;"/"&amp;RIGHT("00"&amp;VALUE(TRIM(LEFT(MID(Sync!$L1000,FIND("/",Sync!$L1000)+1,20),FIND("/",MID(Sync!$L1000,FIND("/",Sync!$L1000)+1,20))-1))),2)&amp;"/"&amp;RIGHT("00"&amp;VALUE(TRIM(MID(MID(Sync!$L1000,FIND("/",Sync!$L1000)+1,20),FIND("/",MID(Sync!$L1000,FIND("/",Sync!$L1000)+1,20))+1,20))),2),"")))</f>
        <v/>
      </c>
    </row>
    <row r="1001" spans="13:14" x14ac:dyDescent="0.2">
      <c r="M1001" t="str">
        <f>IF(Sync!$M1001&lt;&gt;"پاس چک","",IF(Sync!$P1001="","",Sync!$P1001))</f>
        <v/>
      </c>
      <c r="N1001" t="str">
        <f>IF($M1001="","",IF(ISNUMBER(Sync!$L1001),IF(AND(Sync!$L1001&gt;=10000101,Sync!$L1001&lt;=99991231),RIGHT("0000"&amp;INT(Sync!$L1001/10000),4)&amp;"/"&amp;RIGHT("00"&amp;INT(MOD(Sync!$L1001,10000)/100),2)&amp;"/"&amp;RIGHT("00"&amp;MOD(Sync!$L1001,100),2),""),IFERROR(RIGHT("0000"&amp;VALUE(TRIM(LEFT(Sync!$L1001,FIND("/",Sync!$L1001)-1))),4)&amp;"/"&amp;RIGHT("00"&amp;VALUE(TRIM(LEFT(MID(Sync!$L1001,FIND("/",Sync!$L1001)+1,20),FIND("/",MID(Sync!$L1001,FIND("/",Sync!$L1001)+1,20))-1))),2)&amp;"/"&amp;RIGHT("00"&amp;VALUE(TRIM(MID(MID(Sync!$L1001,FIND("/",Sync!$L1001)+1,20),FIND("/",MID(Sync!$L1001,FIND("/",Sync!$L1001)+1,20))+1,20))),2),"")))</f>
        <v/>
      </c>
    </row>
    <row r="1002" spans="13:14" x14ac:dyDescent="0.2">
      <c r="M1002" t="str">
        <f>IF(Sync!$M1002&lt;&gt;"پاس چک","",IF(Sync!$P1002="","",Sync!$P1002))</f>
        <v/>
      </c>
      <c r="N1002" t="str">
        <f>IF($M1002="","",IF(ISNUMBER(Sync!$L1002),IF(AND(Sync!$L1002&gt;=10000101,Sync!$L1002&lt;=99991231),RIGHT("0000"&amp;INT(Sync!$L1002/10000),4)&amp;"/"&amp;RIGHT("00"&amp;INT(MOD(Sync!$L1002,10000)/100),2)&amp;"/"&amp;RIGHT("00"&amp;MOD(Sync!$L1002,100),2),""),IFERROR(RIGHT("0000"&amp;VALUE(TRIM(LEFT(Sync!$L1002,FIND("/",Sync!$L1002)-1))),4)&amp;"/"&amp;RIGHT("00"&amp;VALUE(TRIM(LEFT(MID(Sync!$L1002,FIND("/",Sync!$L1002)+1,20),FIND("/",MID(Sync!$L1002,FIND("/",Sync!$L1002)+1,20))-1))),2)&amp;"/"&amp;RIGHT("00"&amp;VALUE(TRIM(MID(MID(Sync!$L1002,FIND("/",Sync!$L1002)+1,20),FIND("/",MID(Sync!$L1002,FIND("/",Sync!$L1002)+1,20))+1,20))),2),"")))</f>
        <v/>
      </c>
    </row>
    <row r="1003" spans="13:14" x14ac:dyDescent="0.2">
      <c r="M1003" t="str">
        <f>IF(Sync!$M1003&lt;&gt;"پاس چک","",IF(Sync!$P1003="","",Sync!$P1003))</f>
        <v/>
      </c>
      <c r="N1003" t="str">
        <f>IF($M1003="","",IF(ISNUMBER(Sync!$L1003),IF(AND(Sync!$L1003&gt;=10000101,Sync!$L1003&lt;=99991231),RIGHT("0000"&amp;INT(Sync!$L1003/10000),4)&amp;"/"&amp;RIGHT("00"&amp;INT(MOD(Sync!$L1003,10000)/100),2)&amp;"/"&amp;RIGHT("00"&amp;MOD(Sync!$L1003,100),2),""),IFERROR(RIGHT("0000"&amp;VALUE(TRIM(LEFT(Sync!$L1003,FIND("/",Sync!$L1003)-1))),4)&amp;"/"&amp;RIGHT("00"&amp;VALUE(TRIM(LEFT(MID(Sync!$L1003,FIND("/",Sync!$L1003)+1,20),FIND("/",MID(Sync!$L1003,FIND("/",Sync!$L1003)+1,20))-1))),2)&amp;"/"&amp;RIGHT("00"&amp;VALUE(TRIM(MID(MID(Sync!$L1003,FIND("/",Sync!$L1003)+1,20),FIND("/",MID(Sync!$L1003,FIND("/",Sync!$L1003)+1,20))+1,20))),2),"")))</f>
        <v/>
      </c>
    </row>
    <row r="1004" spans="13:14" x14ac:dyDescent="0.2">
      <c r="M1004" t="str">
        <f>IF(Sync!$M1004&lt;&gt;"پاس چک","",IF(Sync!$P1004="","",Sync!$P1004))</f>
        <v/>
      </c>
      <c r="N1004" t="str">
        <f>IF($M1004="","",IF(ISNUMBER(Sync!$L1004),IF(AND(Sync!$L1004&gt;=10000101,Sync!$L1004&lt;=99991231),RIGHT("0000"&amp;INT(Sync!$L1004/10000),4)&amp;"/"&amp;RIGHT("00"&amp;INT(MOD(Sync!$L1004,10000)/100),2)&amp;"/"&amp;RIGHT("00"&amp;MOD(Sync!$L1004,100),2),""),IFERROR(RIGHT("0000"&amp;VALUE(TRIM(LEFT(Sync!$L1004,FIND("/",Sync!$L1004)-1))),4)&amp;"/"&amp;RIGHT("00"&amp;VALUE(TRIM(LEFT(MID(Sync!$L1004,FIND("/",Sync!$L1004)+1,20),FIND("/",MID(Sync!$L1004,FIND("/",Sync!$L1004)+1,20))-1))),2)&amp;"/"&amp;RIGHT("00"&amp;VALUE(TRIM(MID(MID(Sync!$L1004,FIND("/",Sync!$L1004)+1,20),FIND("/",MID(Sync!$L1004,FIND("/",Sync!$L1004)+1,20))+1,20))),2),"")))</f>
        <v/>
      </c>
    </row>
    <row r="1005" spans="13:14" x14ac:dyDescent="0.2">
      <c r="M1005" t="str">
        <f>IF(Sync!$M1005&lt;&gt;"پاس چک","",IF(Sync!$P1005="","",Sync!$P1005))</f>
        <v/>
      </c>
      <c r="N1005" t="str">
        <f>IF($M1005="","",IF(ISNUMBER(Sync!$L1005),IF(AND(Sync!$L1005&gt;=10000101,Sync!$L1005&lt;=99991231),RIGHT("0000"&amp;INT(Sync!$L1005/10000),4)&amp;"/"&amp;RIGHT("00"&amp;INT(MOD(Sync!$L1005,10000)/100),2)&amp;"/"&amp;RIGHT("00"&amp;MOD(Sync!$L1005,100),2),""),IFERROR(RIGHT("0000"&amp;VALUE(TRIM(LEFT(Sync!$L1005,FIND("/",Sync!$L1005)-1))),4)&amp;"/"&amp;RIGHT("00"&amp;VALUE(TRIM(LEFT(MID(Sync!$L1005,FIND("/",Sync!$L1005)+1,20),FIND("/",MID(Sync!$L1005,FIND("/",Sync!$L1005)+1,20))-1))),2)&amp;"/"&amp;RIGHT("00"&amp;VALUE(TRIM(MID(MID(Sync!$L1005,FIND("/",Sync!$L1005)+1,20),FIND("/",MID(Sync!$L1005,FIND("/",Sync!$L1005)+1,20))+1,20))),2),"")))</f>
        <v/>
      </c>
    </row>
    <row r="1006" spans="13:14" x14ac:dyDescent="0.2">
      <c r="M1006" t="str">
        <f>IF(Sync!$M1006&lt;&gt;"پاس چک","",IF(Sync!$P1006="","",Sync!$P1006))</f>
        <v/>
      </c>
      <c r="N1006" t="str">
        <f>IF($M1006="","",IF(ISNUMBER(Sync!$L1006),IF(AND(Sync!$L1006&gt;=10000101,Sync!$L1006&lt;=99991231),RIGHT("0000"&amp;INT(Sync!$L1006/10000),4)&amp;"/"&amp;RIGHT("00"&amp;INT(MOD(Sync!$L1006,10000)/100),2)&amp;"/"&amp;RIGHT("00"&amp;MOD(Sync!$L1006,100),2),""),IFERROR(RIGHT("0000"&amp;VALUE(TRIM(LEFT(Sync!$L1006,FIND("/",Sync!$L1006)-1))),4)&amp;"/"&amp;RIGHT("00"&amp;VALUE(TRIM(LEFT(MID(Sync!$L1006,FIND("/",Sync!$L1006)+1,20),FIND("/",MID(Sync!$L1006,FIND("/",Sync!$L1006)+1,20))-1))),2)&amp;"/"&amp;RIGHT("00"&amp;VALUE(TRIM(MID(MID(Sync!$L1006,FIND("/",Sync!$L1006)+1,20),FIND("/",MID(Sync!$L1006,FIND("/",Sync!$L1006)+1,20))+1,20))),2),"")))</f>
        <v/>
      </c>
    </row>
    <row r="1007" spans="13:14" x14ac:dyDescent="0.2">
      <c r="M1007" t="str">
        <f>IF(Sync!$M1007&lt;&gt;"پاس چک","",IF(Sync!$P1007="","",Sync!$P1007))</f>
        <v/>
      </c>
      <c r="N1007" t="str">
        <f>IF($M1007="","",IF(ISNUMBER(Sync!$L1007),IF(AND(Sync!$L1007&gt;=10000101,Sync!$L1007&lt;=99991231),RIGHT("0000"&amp;INT(Sync!$L1007/10000),4)&amp;"/"&amp;RIGHT("00"&amp;INT(MOD(Sync!$L1007,10000)/100),2)&amp;"/"&amp;RIGHT("00"&amp;MOD(Sync!$L1007,100),2),""),IFERROR(RIGHT("0000"&amp;VALUE(TRIM(LEFT(Sync!$L1007,FIND("/",Sync!$L1007)-1))),4)&amp;"/"&amp;RIGHT("00"&amp;VALUE(TRIM(LEFT(MID(Sync!$L1007,FIND("/",Sync!$L1007)+1,20),FIND("/",MID(Sync!$L1007,FIND("/",Sync!$L1007)+1,20))-1))),2)&amp;"/"&amp;RIGHT("00"&amp;VALUE(TRIM(MID(MID(Sync!$L1007,FIND("/",Sync!$L1007)+1,20),FIND("/",MID(Sync!$L1007,FIND("/",Sync!$L1007)+1,20))+1,20))),2),"")))</f>
        <v/>
      </c>
    </row>
    <row r="1008" spans="13:14" x14ac:dyDescent="0.2">
      <c r="M1008" t="str">
        <f>IF(Sync!$M1008&lt;&gt;"پاس چک","",IF(Sync!$P1008="","",Sync!$P1008))</f>
        <v/>
      </c>
      <c r="N1008" t="str">
        <f>IF($M1008="","",IF(ISNUMBER(Sync!$L1008),IF(AND(Sync!$L1008&gt;=10000101,Sync!$L1008&lt;=99991231),RIGHT("0000"&amp;INT(Sync!$L1008/10000),4)&amp;"/"&amp;RIGHT("00"&amp;INT(MOD(Sync!$L1008,10000)/100),2)&amp;"/"&amp;RIGHT("00"&amp;MOD(Sync!$L1008,100),2),""),IFERROR(RIGHT("0000"&amp;VALUE(TRIM(LEFT(Sync!$L1008,FIND("/",Sync!$L1008)-1))),4)&amp;"/"&amp;RIGHT("00"&amp;VALUE(TRIM(LEFT(MID(Sync!$L1008,FIND("/",Sync!$L1008)+1,20),FIND("/",MID(Sync!$L1008,FIND("/",Sync!$L1008)+1,20))-1))),2)&amp;"/"&amp;RIGHT("00"&amp;VALUE(TRIM(MID(MID(Sync!$L1008,FIND("/",Sync!$L1008)+1,20),FIND("/",MID(Sync!$L1008,FIND("/",Sync!$L1008)+1,20))+1,20))),2),"")))</f>
        <v/>
      </c>
    </row>
    <row r="1009" spans="13:14" x14ac:dyDescent="0.2">
      <c r="M1009" t="str">
        <f>IF(Sync!$M1009&lt;&gt;"پاس چک","",IF(Sync!$P1009="","",Sync!$P1009))</f>
        <v/>
      </c>
      <c r="N1009" t="str">
        <f>IF($M1009="","",IF(ISNUMBER(Sync!$L1009),IF(AND(Sync!$L1009&gt;=10000101,Sync!$L1009&lt;=99991231),RIGHT("0000"&amp;INT(Sync!$L1009/10000),4)&amp;"/"&amp;RIGHT("00"&amp;INT(MOD(Sync!$L1009,10000)/100),2)&amp;"/"&amp;RIGHT("00"&amp;MOD(Sync!$L1009,100),2),""),IFERROR(RIGHT("0000"&amp;VALUE(TRIM(LEFT(Sync!$L1009,FIND("/",Sync!$L1009)-1))),4)&amp;"/"&amp;RIGHT("00"&amp;VALUE(TRIM(LEFT(MID(Sync!$L1009,FIND("/",Sync!$L1009)+1,20),FIND("/",MID(Sync!$L1009,FIND("/",Sync!$L1009)+1,20))-1))),2)&amp;"/"&amp;RIGHT("00"&amp;VALUE(TRIM(MID(MID(Sync!$L1009,FIND("/",Sync!$L1009)+1,20),FIND("/",MID(Sync!$L1009,FIND("/",Sync!$L1009)+1,20))+1,20))),2),"")))</f>
        <v/>
      </c>
    </row>
    <row r="1010" spans="13:14" x14ac:dyDescent="0.2">
      <c r="M1010" t="str">
        <f>IF(Sync!$M1010&lt;&gt;"پاس چک","",IF(Sync!$P1010="","",Sync!$P1010))</f>
        <v/>
      </c>
      <c r="N1010" t="str">
        <f>IF($M1010="","",IF(ISNUMBER(Sync!$L1010),IF(AND(Sync!$L1010&gt;=10000101,Sync!$L1010&lt;=99991231),RIGHT("0000"&amp;INT(Sync!$L1010/10000),4)&amp;"/"&amp;RIGHT("00"&amp;INT(MOD(Sync!$L1010,10000)/100),2)&amp;"/"&amp;RIGHT("00"&amp;MOD(Sync!$L1010,100),2),""),IFERROR(RIGHT("0000"&amp;VALUE(TRIM(LEFT(Sync!$L1010,FIND("/",Sync!$L1010)-1))),4)&amp;"/"&amp;RIGHT("00"&amp;VALUE(TRIM(LEFT(MID(Sync!$L1010,FIND("/",Sync!$L1010)+1,20),FIND("/",MID(Sync!$L1010,FIND("/",Sync!$L1010)+1,20))-1))),2)&amp;"/"&amp;RIGHT("00"&amp;VALUE(TRIM(MID(MID(Sync!$L1010,FIND("/",Sync!$L1010)+1,20),FIND("/",MID(Sync!$L1010,FIND("/",Sync!$L1010)+1,20))+1,20))),2),"")))</f>
        <v/>
      </c>
    </row>
    <row r="1011" spans="13:14" x14ac:dyDescent="0.2">
      <c r="M1011" t="str">
        <f>IF(Sync!$M1011&lt;&gt;"پاس چک","",IF(Sync!$P1011="","",Sync!$P1011))</f>
        <v/>
      </c>
      <c r="N1011" t="str">
        <f>IF($M1011="","",IF(ISNUMBER(Sync!$L1011),IF(AND(Sync!$L1011&gt;=10000101,Sync!$L1011&lt;=99991231),RIGHT("0000"&amp;INT(Sync!$L1011/10000),4)&amp;"/"&amp;RIGHT("00"&amp;INT(MOD(Sync!$L1011,10000)/100),2)&amp;"/"&amp;RIGHT("00"&amp;MOD(Sync!$L1011,100),2),""),IFERROR(RIGHT("0000"&amp;VALUE(TRIM(LEFT(Sync!$L1011,FIND("/",Sync!$L1011)-1))),4)&amp;"/"&amp;RIGHT("00"&amp;VALUE(TRIM(LEFT(MID(Sync!$L1011,FIND("/",Sync!$L1011)+1,20),FIND("/",MID(Sync!$L1011,FIND("/",Sync!$L1011)+1,20))-1))),2)&amp;"/"&amp;RIGHT("00"&amp;VALUE(TRIM(MID(MID(Sync!$L1011,FIND("/",Sync!$L1011)+1,20),FIND("/",MID(Sync!$L1011,FIND("/",Sync!$L1011)+1,20))+1,20))),2),"")))</f>
        <v/>
      </c>
    </row>
    <row r="1012" spans="13:14" x14ac:dyDescent="0.2">
      <c r="M1012" t="str">
        <f>IF(Sync!$M1012&lt;&gt;"پاس چک","",IF(Sync!$P1012="","",Sync!$P1012))</f>
        <v/>
      </c>
      <c r="N1012" t="str">
        <f>IF($M1012="","",IF(ISNUMBER(Sync!$L1012),IF(AND(Sync!$L1012&gt;=10000101,Sync!$L1012&lt;=99991231),RIGHT("0000"&amp;INT(Sync!$L1012/10000),4)&amp;"/"&amp;RIGHT("00"&amp;INT(MOD(Sync!$L1012,10000)/100),2)&amp;"/"&amp;RIGHT("00"&amp;MOD(Sync!$L1012,100),2),""),IFERROR(RIGHT("0000"&amp;VALUE(TRIM(LEFT(Sync!$L1012,FIND("/",Sync!$L1012)-1))),4)&amp;"/"&amp;RIGHT("00"&amp;VALUE(TRIM(LEFT(MID(Sync!$L1012,FIND("/",Sync!$L1012)+1,20),FIND("/",MID(Sync!$L1012,FIND("/",Sync!$L1012)+1,20))-1))),2)&amp;"/"&amp;RIGHT("00"&amp;VALUE(TRIM(MID(MID(Sync!$L1012,FIND("/",Sync!$L1012)+1,20),FIND("/",MID(Sync!$L1012,FIND("/",Sync!$L1012)+1,20))+1,20))),2),"")))</f>
        <v/>
      </c>
    </row>
    <row r="1013" spans="13:14" x14ac:dyDescent="0.2">
      <c r="M1013" t="str">
        <f>IF(Sync!$M1013&lt;&gt;"پاس چک","",IF(Sync!$P1013="","",Sync!$P1013))</f>
        <v/>
      </c>
      <c r="N1013" t="str">
        <f>IF($M1013="","",IF(ISNUMBER(Sync!$L1013),IF(AND(Sync!$L1013&gt;=10000101,Sync!$L1013&lt;=99991231),RIGHT("0000"&amp;INT(Sync!$L1013/10000),4)&amp;"/"&amp;RIGHT("00"&amp;INT(MOD(Sync!$L1013,10000)/100),2)&amp;"/"&amp;RIGHT("00"&amp;MOD(Sync!$L1013,100),2),""),IFERROR(RIGHT("0000"&amp;VALUE(TRIM(LEFT(Sync!$L1013,FIND("/",Sync!$L1013)-1))),4)&amp;"/"&amp;RIGHT("00"&amp;VALUE(TRIM(LEFT(MID(Sync!$L1013,FIND("/",Sync!$L1013)+1,20),FIND("/",MID(Sync!$L1013,FIND("/",Sync!$L1013)+1,20))-1))),2)&amp;"/"&amp;RIGHT("00"&amp;VALUE(TRIM(MID(MID(Sync!$L1013,FIND("/",Sync!$L1013)+1,20),FIND("/",MID(Sync!$L1013,FIND("/",Sync!$L1013)+1,20))+1,20))),2),"")))</f>
        <v/>
      </c>
    </row>
    <row r="1014" spans="13:14" x14ac:dyDescent="0.2">
      <c r="M1014" t="str">
        <f>IF(Sync!$M1014&lt;&gt;"پاس چک","",IF(Sync!$P1014="","",Sync!$P1014))</f>
        <v/>
      </c>
      <c r="N1014" t="str">
        <f>IF($M1014="","",IF(ISNUMBER(Sync!$L1014),IF(AND(Sync!$L1014&gt;=10000101,Sync!$L1014&lt;=99991231),RIGHT("0000"&amp;INT(Sync!$L1014/10000),4)&amp;"/"&amp;RIGHT("00"&amp;INT(MOD(Sync!$L1014,10000)/100),2)&amp;"/"&amp;RIGHT("00"&amp;MOD(Sync!$L1014,100),2),""),IFERROR(RIGHT("0000"&amp;VALUE(TRIM(LEFT(Sync!$L1014,FIND("/",Sync!$L1014)-1))),4)&amp;"/"&amp;RIGHT("00"&amp;VALUE(TRIM(LEFT(MID(Sync!$L1014,FIND("/",Sync!$L1014)+1,20),FIND("/",MID(Sync!$L1014,FIND("/",Sync!$L1014)+1,20))-1))),2)&amp;"/"&amp;RIGHT("00"&amp;VALUE(TRIM(MID(MID(Sync!$L1014,FIND("/",Sync!$L1014)+1,20),FIND("/",MID(Sync!$L1014,FIND("/",Sync!$L1014)+1,20))+1,20))),2),"")))</f>
        <v/>
      </c>
    </row>
    <row r="1015" spans="13:14" x14ac:dyDescent="0.2">
      <c r="M1015" t="str">
        <f>IF(Sync!$M1015&lt;&gt;"پاس چک","",IF(Sync!$P1015="","",Sync!$P1015))</f>
        <v/>
      </c>
      <c r="N1015" t="str">
        <f>IF($M1015="","",IF(ISNUMBER(Sync!$L1015),IF(AND(Sync!$L1015&gt;=10000101,Sync!$L1015&lt;=99991231),RIGHT("0000"&amp;INT(Sync!$L1015/10000),4)&amp;"/"&amp;RIGHT("00"&amp;INT(MOD(Sync!$L1015,10000)/100),2)&amp;"/"&amp;RIGHT("00"&amp;MOD(Sync!$L1015,100),2),""),IFERROR(RIGHT("0000"&amp;VALUE(TRIM(LEFT(Sync!$L1015,FIND("/",Sync!$L1015)-1))),4)&amp;"/"&amp;RIGHT("00"&amp;VALUE(TRIM(LEFT(MID(Sync!$L1015,FIND("/",Sync!$L1015)+1,20),FIND("/",MID(Sync!$L1015,FIND("/",Sync!$L1015)+1,20))-1))),2)&amp;"/"&amp;RIGHT("00"&amp;VALUE(TRIM(MID(MID(Sync!$L1015,FIND("/",Sync!$L1015)+1,20),FIND("/",MID(Sync!$L1015,FIND("/",Sync!$L1015)+1,20))+1,20))),2),"")))</f>
        <v/>
      </c>
    </row>
    <row r="1016" spans="13:14" x14ac:dyDescent="0.2">
      <c r="M1016" t="str">
        <f>IF(Sync!$M1016&lt;&gt;"پاس چک","",IF(Sync!$P1016="","",Sync!$P1016))</f>
        <v/>
      </c>
      <c r="N1016" t="str">
        <f>IF($M1016="","",IF(ISNUMBER(Sync!$L1016),IF(AND(Sync!$L1016&gt;=10000101,Sync!$L1016&lt;=99991231),RIGHT("0000"&amp;INT(Sync!$L1016/10000),4)&amp;"/"&amp;RIGHT("00"&amp;INT(MOD(Sync!$L1016,10000)/100),2)&amp;"/"&amp;RIGHT("00"&amp;MOD(Sync!$L1016,100),2),""),IFERROR(RIGHT("0000"&amp;VALUE(TRIM(LEFT(Sync!$L1016,FIND("/",Sync!$L1016)-1))),4)&amp;"/"&amp;RIGHT("00"&amp;VALUE(TRIM(LEFT(MID(Sync!$L1016,FIND("/",Sync!$L1016)+1,20),FIND("/",MID(Sync!$L1016,FIND("/",Sync!$L1016)+1,20))-1))),2)&amp;"/"&amp;RIGHT("00"&amp;VALUE(TRIM(MID(MID(Sync!$L1016,FIND("/",Sync!$L1016)+1,20),FIND("/",MID(Sync!$L1016,FIND("/",Sync!$L1016)+1,20))+1,20))),2),"")))</f>
        <v/>
      </c>
    </row>
    <row r="1017" spans="13:14" x14ac:dyDescent="0.2">
      <c r="M1017" t="str">
        <f>IF(Sync!$M1017&lt;&gt;"پاس چک","",IF(Sync!$P1017="","",Sync!$P1017))</f>
        <v/>
      </c>
      <c r="N1017" t="str">
        <f>IF($M1017="","",IF(ISNUMBER(Sync!$L1017),IF(AND(Sync!$L1017&gt;=10000101,Sync!$L1017&lt;=99991231),RIGHT("0000"&amp;INT(Sync!$L1017/10000),4)&amp;"/"&amp;RIGHT("00"&amp;INT(MOD(Sync!$L1017,10000)/100),2)&amp;"/"&amp;RIGHT("00"&amp;MOD(Sync!$L1017,100),2),""),IFERROR(RIGHT("0000"&amp;VALUE(TRIM(LEFT(Sync!$L1017,FIND("/",Sync!$L1017)-1))),4)&amp;"/"&amp;RIGHT("00"&amp;VALUE(TRIM(LEFT(MID(Sync!$L1017,FIND("/",Sync!$L1017)+1,20),FIND("/",MID(Sync!$L1017,FIND("/",Sync!$L1017)+1,20))-1))),2)&amp;"/"&amp;RIGHT("00"&amp;VALUE(TRIM(MID(MID(Sync!$L1017,FIND("/",Sync!$L1017)+1,20),FIND("/",MID(Sync!$L1017,FIND("/",Sync!$L1017)+1,20))+1,20))),2),"")))</f>
        <v/>
      </c>
    </row>
    <row r="1018" spans="13:14" x14ac:dyDescent="0.2">
      <c r="M1018" t="str">
        <f>IF(Sync!$M1018&lt;&gt;"پاس چک","",IF(Sync!$P1018="","",Sync!$P1018))</f>
        <v/>
      </c>
      <c r="N1018" t="str">
        <f>IF($M1018="","",IF(ISNUMBER(Sync!$L1018),IF(AND(Sync!$L1018&gt;=10000101,Sync!$L1018&lt;=99991231),RIGHT("0000"&amp;INT(Sync!$L1018/10000),4)&amp;"/"&amp;RIGHT("00"&amp;INT(MOD(Sync!$L1018,10000)/100),2)&amp;"/"&amp;RIGHT("00"&amp;MOD(Sync!$L1018,100),2),""),IFERROR(RIGHT("0000"&amp;VALUE(TRIM(LEFT(Sync!$L1018,FIND("/",Sync!$L1018)-1))),4)&amp;"/"&amp;RIGHT("00"&amp;VALUE(TRIM(LEFT(MID(Sync!$L1018,FIND("/",Sync!$L1018)+1,20),FIND("/",MID(Sync!$L1018,FIND("/",Sync!$L1018)+1,20))-1))),2)&amp;"/"&amp;RIGHT("00"&amp;VALUE(TRIM(MID(MID(Sync!$L1018,FIND("/",Sync!$L1018)+1,20),FIND("/",MID(Sync!$L1018,FIND("/",Sync!$L1018)+1,20))+1,20))),2),"")))</f>
        <v/>
      </c>
    </row>
    <row r="1019" spans="13:14" x14ac:dyDescent="0.2">
      <c r="M1019" t="str">
        <f>IF(Sync!$M1019&lt;&gt;"پاس چک","",IF(Sync!$P1019="","",Sync!$P1019))</f>
        <v/>
      </c>
      <c r="N1019" t="str">
        <f>IF($M1019="","",IF(ISNUMBER(Sync!$L1019),IF(AND(Sync!$L1019&gt;=10000101,Sync!$L1019&lt;=99991231),RIGHT("0000"&amp;INT(Sync!$L1019/10000),4)&amp;"/"&amp;RIGHT("00"&amp;INT(MOD(Sync!$L1019,10000)/100),2)&amp;"/"&amp;RIGHT("00"&amp;MOD(Sync!$L1019,100),2),""),IFERROR(RIGHT("0000"&amp;VALUE(TRIM(LEFT(Sync!$L1019,FIND("/",Sync!$L1019)-1))),4)&amp;"/"&amp;RIGHT("00"&amp;VALUE(TRIM(LEFT(MID(Sync!$L1019,FIND("/",Sync!$L1019)+1,20),FIND("/",MID(Sync!$L1019,FIND("/",Sync!$L1019)+1,20))-1))),2)&amp;"/"&amp;RIGHT("00"&amp;VALUE(TRIM(MID(MID(Sync!$L1019,FIND("/",Sync!$L1019)+1,20),FIND("/",MID(Sync!$L1019,FIND("/",Sync!$L1019)+1,20))+1,20))),2),"")))</f>
        <v/>
      </c>
    </row>
    <row r="1020" spans="13:14" x14ac:dyDescent="0.2">
      <c r="M1020" t="str">
        <f>IF(Sync!$M1020&lt;&gt;"پاس چک","",IF(Sync!$P1020="","",Sync!$P1020))</f>
        <v/>
      </c>
      <c r="N1020" t="str">
        <f>IF($M1020="","",IF(ISNUMBER(Sync!$L1020),IF(AND(Sync!$L1020&gt;=10000101,Sync!$L1020&lt;=99991231),RIGHT("0000"&amp;INT(Sync!$L1020/10000),4)&amp;"/"&amp;RIGHT("00"&amp;INT(MOD(Sync!$L1020,10000)/100),2)&amp;"/"&amp;RIGHT("00"&amp;MOD(Sync!$L1020,100),2),""),IFERROR(RIGHT("0000"&amp;VALUE(TRIM(LEFT(Sync!$L1020,FIND("/",Sync!$L1020)-1))),4)&amp;"/"&amp;RIGHT("00"&amp;VALUE(TRIM(LEFT(MID(Sync!$L1020,FIND("/",Sync!$L1020)+1,20),FIND("/",MID(Sync!$L1020,FIND("/",Sync!$L1020)+1,20))-1))),2)&amp;"/"&amp;RIGHT("00"&amp;VALUE(TRIM(MID(MID(Sync!$L1020,FIND("/",Sync!$L1020)+1,20),FIND("/",MID(Sync!$L1020,FIND("/",Sync!$L1020)+1,20))+1,20))),2),"")))</f>
        <v/>
      </c>
    </row>
    <row r="1021" spans="13:14" x14ac:dyDescent="0.2">
      <c r="M1021" t="str">
        <f>IF(Sync!$M1021&lt;&gt;"پاس چک","",IF(Sync!$P1021="","",Sync!$P1021))</f>
        <v/>
      </c>
      <c r="N1021" t="str">
        <f>IF($M1021="","",IF(ISNUMBER(Sync!$L1021),IF(AND(Sync!$L1021&gt;=10000101,Sync!$L1021&lt;=99991231),RIGHT("0000"&amp;INT(Sync!$L1021/10000),4)&amp;"/"&amp;RIGHT("00"&amp;INT(MOD(Sync!$L1021,10000)/100),2)&amp;"/"&amp;RIGHT("00"&amp;MOD(Sync!$L1021,100),2),""),IFERROR(RIGHT("0000"&amp;VALUE(TRIM(LEFT(Sync!$L1021,FIND("/",Sync!$L1021)-1))),4)&amp;"/"&amp;RIGHT("00"&amp;VALUE(TRIM(LEFT(MID(Sync!$L1021,FIND("/",Sync!$L1021)+1,20),FIND("/",MID(Sync!$L1021,FIND("/",Sync!$L1021)+1,20))-1))),2)&amp;"/"&amp;RIGHT("00"&amp;VALUE(TRIM(MID(MID(Sync!$L1021,FIND("/",Sync!$L1021)+1,20),FIND("/",MID(Sync!$L1021,FIND("/",Sync!$L1021)+1,20))+1,20))),2),"")))</f>
        <v/>
      </c>
    </row>
    <row r="1022" spans="13:14" x14ac:dyDescent="0.2">
      <c r="M1022" t="str">
        <f>IF(Sync!$M1022&lt;&gt;"پاس چک","",IF(Sync!$P1022="","",Sync!$P1022))</f>
        <v/>
      </c>
      <c r="N1022" t="str">
        <f>IF($M1022="","",IF(ISNUMBER(Sync!$L1022),IF(AND(Sync!$L1022&gt;=10000101,Sync!$L1022&lt;=99991231),RIGHT("0000"&amp;INT(Sync!$L1022/10000),4)&amp;"/"&amp;RIGHT("00"&amp;INT(MOD(Sync!$L1022,10000)/100),2)&amp;"/"&amp;RIGHT("00"&amp;MOD(Sync!$L1022,100),2),""),IFERROR(RIGHT("0000"&amp;VALUE(TRIM(LEFT(Sync!$L1022,FIND("/",Sync!$L1022)-1))),4)&amp;"/"&amp;RIGHT("00"&amp;VALUE(TRIM(LEFT(MID(Sync!$L1022,FIND("/",Sync!$L1022)+1,20),FIND("/",MID(Sync!$L1022,FIND("/",Sync!$L1022)+1,20))-1))),2)&amp;"/"&amp;RIGHT("00"&amp;VALUE(TRIM(MID(MID(Sync!$L1022,FIND("/",Sync!$L1022)+1,20),FIND("/",MID(Sync!$L1022,FIND("/",Sync!$L1022)+1,20))+1,20))),2),"")))</f>
        <v/>
      </c>
    </row>
    <row r="1023" spans="13:14" x14ac:dyDescent="0.2">
      <c r="M1023" t="str">
        <f>IF(Sync!$M1023&lt;&gt;"پاس چک","",IF(Sync!$P1023="","",Sync!$P1023))</f>
        <v/>
      </c>
      <c r="N1023" t="str">
        <f>IF($M1023="","",IF(ISNUMBER(Sync!$L1023),IF(AND(Sync!$L1023&gt;=10000101,Sync!$L1023&lt;=99991231),RIGHT("0000"&amp;INT(Sync!$L1023/10000),4)&amp;"/"&amp;RIGHT("00"&amp;INT(MOD(Sync!$L1023,10000)/100),2)&amp;"/"&amp;RIGHT("00"&amp;MOD(Sync!$L1023,100),2),""),IFERROR(RIGHT("0000"&amp;VALUE(TRIM(LEFT(Sync!$L1023,FIND("/",Sync!$L1023)-1))),4)&amp;"/"&amp;RIGHT("00"&amp;VALUE(TRIM(LEFT(MID(Sync!$L1023,FIND("/",Sync!$L1023)+1,20),FIND("/",MID(Sync!$L1023,FIND("/",Sync!$L1023)+1,20))-1))),2)&amp;"/"&amp;RIGHT("00"&amp;VALUE(TRIM(MID(MID(Sync!$L1023,FIND("/",Sync!$L1023)+1,20),FIND("/",MID(Sync!$L1023,FIND("/",Sync!$L1023)+1,20))+1,20))),2),"")))</f>
        <v/>
      </c>
    </row>
    <row r="1024" spans="13:14" x14ac:dyDescent="0.2">
      <c r="M1024" t="str">
        <f>IF(Sync!$M1024&lt;&gt;"پاس چک","",IF(Sync!$P1024="","",Sync!$P1024))</f>
        <v/>
      </c>
      <c r="N1024" t="str">
        <f>IF($M1024="","",IF(ISNUMBER(Sync!$L1024),IF(AND(Sync!$L1024&gt;=10000101,Sync!$L1024&lt;=99991231),RIGHT("0000"&amp;INT(Sync!$L1024/10000),4)&amp;"/"&amp;RIGHT("00"&amp;INT(MOD(Sync!$L1024,10000)/100),2)&amp;"/"&amp;RIGHT("00"&amp;MOD(Sync!$L1024,100),2),""),IFERROR(RIGHT("0000"&amp;VALUE(TRIM(LEFT(Sync!$L1024,FIND("/",Sync!$L1024)-1))),4)&amp;"/"&amp;RIGHT("00"&amp;VALUE(TRIM(LEFT(MID(Sync!$L1024,FIND("/",Sync!$L1024)+1,20),FIND("/",MID(Sync!$L1024,FIND("/",Sync!$L1024)+1,20))-1))),2)&amp;"/"&amp;RIGHT("00"&amp;VALUE(TRIM(MID(MID(Sync!$L1024,FIND("/",Sync!$L1024)+1,20),FIND("/",MID(Sync!$L1024,FIND("/",Sync!$L1024)+1,20))+1,20))),2),"")))</f>
        <v/>
      </c>
    </row>
    <row r="1025" spans="13:14" x14ac:dyDescent="0.2">
      <c r="M1025" t="str">
        <f>IF(Sync!$M1025&lt;&gt;"پاس چک","",IF(Sync!$P1025="","",Sync!$P1025))</f>
        <v/>
      </c>
      <c r="N1025" t="str">
        <f>IF($M1025="","",IF(ISNUMBER(Sync!$L1025),IF(AND(Sync!$L1025&gt;=10000101,Sync!$L1025&lt;=99991231),RIGHT("0000"&amp;INT(Sync!$L1025/10000),4)&amp;"/"&amp;RIGHT("00"&amp;INT(MOD(Sync!$L1025,10000)/100),2)&amp;"/"&amp;RIGHT("00"&amp;MOD(Sync!$L1025,100),2),""),IFERROR(RIGHT("0000"&amp;VALUE(TRIM(LEFT(Sync!$L1025,FIND("/",Sync!$L1025)-1))),4)&amp;"/"&amp;RIGHT("00"&amp;VALUE(TRIM(LEFT(MID(Sync!$L1025,FIND("/",Sync!$L1025)+1,20),FIND("/",MID(Sync!$L1025,FIND("/",Sync!$L1025)+1,20))-1))),2)&amp;"/"&amp;RIGHT("00"&amp;VALUE(TRIM(MID(MID(Sync!$L1025,FIND("/",Sync!$L1025)+1,20),FIND("/",MID(Sync!$L1025,FIND("/",Sync!$L1025)+1,20))+1,20))),2),"")))</f>
        <v/>
      </c>
    </row>
    <row r="1026" spans="13:14" x14ac:dyDescent="0.2">
      <c r="M1026" t="str">
        <f>IF(Sync!$M1026&lt;&gt;"پاس چک","",IF(Sync!$P1026="","",Sync!$P1026))</f>
        <v/>
      </c>
      <c r="N1026" t="str">
        <f>IF($M1026="","",IF(ISNUMBER(Sync!$L1026),IF(AND(Sync!$L1026&gt;=10000101,Sync!$L1026&lt;=99991231),RIGHT("0000"&amp;INT(Sync!$L1026/10000),4)&amp;"/"&amp;RIGHT("00"&amp;INT(MOD(Sync!$L1026,10000)/100),2)&amp;"/"&amp;RIGHT("00"&amp;MOD(Sync!$L1026,100),2),""),IFERROR(RIGHT("0000"&amp;VALUE(TRIM(LEFT(Sync!$L1026,FIND("/",Sync!$L1026)-1))),4)&amp;"/"&amp;RIGHT("00"&amp;VALUE(TRIM(LEFT(MID(Sync!$L1026,FIND("/",Sync!$L1026)+1,20),FIND("/",MID(Sync!$L1026,FIND("/",Sync!$L1026)+1,20))-1))),2)&amp;"/"&amp;RIGHT("00"&amp;VALUE(TRIM(MID(MID(Sync!$L1026,FIND("/",Sync!$L1026)+1,20),FIND("/",MID(Sync!$L1026,FIND("/",Sync!$L1026)+1,20))+1,20))),2),"")))</f>
        <v/>
      </c>
    </row>
    <row r="1027" spans="13:14" x14ac:dyDescent="0.2">
      <c r="M1027" t="str">
        <f>IF(Sync!$M1027&lt;&gt;"پاس چک","",IF(Sync!$P1027="","",Sync!$P1027))</f>
        <v/>
      </c>
      <c r="N1027" t="str">
        <f>IF($M1027="","",IF(ISNUMBER(Sync!$L1027),IF(AND(Sync!$L1027&gt;=10000101,Sync!$L1027&lt;=99991231),RIGHT("0000"&amp;INT(Sync!$L1027/10000),4)&amp;"/"&amp;RIGHT("00"&amp;INT(MOD(Sync!$L1027,10000)/100),2)&amp;"/"&amp;RIGHT("00"&amp;MOD(Sync!$L1027,100),2),""),IFERROR(RIGHT("0000"&amp;VALUE(TRIM(LEFT(Sync!$L1027,FIND("/",Sync!$L1027)-1))),4)&amp;"/"&amp;RIGHT("00"&amp;VALUE(TRIM(LEFT(MID(Sync!$L1027,FIND("/",Sync!$L1027)+1,20),FIND("/",MID(Sync!$L1027,FIND("/",Sync!$L1027)+1,20))-1))),2)&amp;"/"&amp;RIGHT("00"&amp;VALUE(TRIM(MID(MID(Sync!$L1027,FIND("/",Sync!$L1027)+1,20),FIND("/",MID(Sync!$L1027,FIND("/",Sync!$L1027)+1,20))+1,20))),2),"")))</f>
        <v/>
      </c>
    </row>
    <row r="1028" spans="13:14" x14ac:dyDescent="0.2">
      <c r="M1028" t="str">
        <f>IF(Sync!$M1028&lt;&gt;"پاس چک","",IF(Sync!$P1028="","",Sync!$P1028))</f>
        <v/>
      </c>
      <c r="N1028" t="str">
        <f>IF($M1028="","",IF(ISNUMBER(Sync!$L1028),IF(AND(Sync!$L1028&gt;=10000101,Sync!$L1028&lt;=99991231),RIGHT("0000"&amp;INT(Sync!$L1028/10000),4)&amp;"/"&amp;RIGHT("00"&amp;INT(MOD(Sync!$L1028,10000)/100),2)&amp;"/"&amp;RIGHT("00"&amp;MOD(Sync!$L1028,100),2),""),IFERROR(RIGHT("0000"&amp;VALUE(TRIM(LEFT(Sync!$L1028,FIND("/",Sync!$L1028)-1))),4)&amp;"/"&amp;RIGHT("00"&amp;VALUE(TRIM(LEFT(MID(Sync!$L1028,FIND("/",Sync!$L1028)+1,20),FIND("/",MID(Sync!$L1028,FIND("/",Sync!$L1028)+1,20))-1))),2)&amp;"/"&amp;RIGHT("00"&amp;VALUE(TRIM(MID(MID(Sync!$L1028,FIND("/",Sync!$L1028)+1,20),FIND("/",MID(Sync!$L1028,FIND("/",Sync!$L1028)+1,20))+1,20))),2),"")))</f>
        <v/>
      </c>
    </row>
    <row r="1029" spans="13:14" x14ac:dyDescent="0.2">
      <c r="M1029" t="str">
        <f>IF(Sync!$M1029&lt;&gt;"پاس چک","",IF(Sync!$P1029="","",Sync!$P1029))</f>
        <v/>
      </c>
      <c r="N1029" t="str">
        <f>IF($M1029="","",IF(ISNUMBER(Sync!$L1029),IF(AND(Sync!$L1029&gt;=10000101,Sync!$L1029&lt;=99991231),RIGHT("0000"&amp;INT(Sync!$L1029/10000),4)&amp;"/"&amp;RIGHT("00"&amp;INT(MOD(Sync!$L1029,10000)/100),2)&amp;"/"&amp;RIGHT("00"&amp;MOD(Sync!$L1029,100),2),""),IFERROR(RIGHT("0000"&amp;VALUE(TRIM(LEFT(Sync!$L1029,FIND("/",Sync!$L1029)-1))),4)&amp;"/"&amp;RIGHT("00"&amp;VALUE(TRIM(LEFT(MID(Sync!$L1029,FIND("/",Sync!$L1029)+1,20),FIND("/",MID(Sync!$L1029,FIND("/",Sync!$L1029)+1,20))-1))),2)&amp;"/"&amp;RIGHT("00"&amp;VALUE(TRIM(MID(MID(Sync!$L1029,FIND("/",Sync!$L1029)+1,20),FIND("/",MID(Sync!$L1029,FIND("/",Sync!$L1029)+1,20))+1,20))),2),"")))</f>
        <v/>
      </c>
    </row>
    <row r="1030" spans="13:14" x14ac:dyDescent="0.2">
      <c r="M1030" t="str">
        <f>IF(Sync!$M1030&lt;&gt;"پاس چک","",IF(Sync!$P1030="","",Sync!$P1030))</f>
        <v/>
      </c>
      <c r="N1030" t="str">
        <f>IF($M1030="","",IF(ISNUMBER(Sync!$L1030),IF(AND(Sync!$L1030&gt;=10000101,Sync!$L1030&lt;=99991231),RIGHT("0000"&amp;INT(Sync!$L1030/10000),4)&amp;"/"&amp;RIGHT("00"&amp;INT(MOD(Sync!$L1030,10000)/100),2)&amp;"/"&amp;RIGHT("00"&amp;MOD(Sync!$L1030,100),2),""),IFERROR(RIGHT("0000"&amp;VALUE(TRIM(LEFT(Sync!$L1030,FIND("/",Sync!$L1030)-1))),4)&amp;"/"&amp;RIGHT("00"&amp;VALUE(TRIM(LEFT(MID(Sync!$L1030,FIND("/",Sync!$L1030)+1,20),FIND("/",MID(Sync!$L1030,FIND("/",Sync!$L1030)+1,20))-1))),2)&amp;"/"&amp;RIGHT("00"&amp;VALUE(TRIM(MID(MID(Sync!$L1030,FIND("/",Sync!$L1030)+1,20),FIND("/",MID(Sync!$L1030,FIND("/",Sync!$L1030)+1,20))+1,20))),2),"")))</f>
        <v/>
      </c>
    </row>
    <row r="1031" spans="13:14" x14ac:dyDescent="0.2">
      <c r="M1031" t="str">
        <f>IF(Sync!$M1031&lt;&gt;"پاس چک","",IF(Sync!$P1031="","",Sync!$P1031))</f>
        <v/>
      </c>
      <c r="N1031" t="str">
        <f>IF($M1031="","",IF(ISNUMBER(Sync!$L1031),IF(AND(Sync!$L1031&gt;=10000101,Sync!$L1031&lt;=99991231),RIGHT("0000"&amp;INT(Sync!$L1031/10000),4)&amp;"/"&amp;RIGHT("00"&amp;INT(MOD(Sync!$L1031,10000)/100),2)&amp;"/"&amp;RIGHT("00"&amp;MOD(Sync!$L1031,100),2),""),IFERROR(RIGHT("0000"&amp;VALUE(TRIM(LEFT(Sync!$L1031,FIND("/",Sync!$L1031)-1))),4)&amp;"/"&amp;RIGHT("00"&amp;VALUE(TRIM(LEFT(MID(Sync!$L1031,FIND("/",Sync!$L1031)+1,20),FIND("/",MID(Sync!$L1031,FIND("/",Sync!$L1031)+1,20))-1))),2)&amp;"/"&amp;RIGHT("00"&amp;VALUE(TRIM(MID(MID(Sync!$L1031,FIND("/",Sync!$L1031)+1,20),FIND("/",MID(Sync!$L1031,FIND("/",Sync!$L1031)+1,20))+1,20))),2),"")))</f>
        <v/>
      </c>
    </row>
    <row r="1032" spans="13:14" x14ac:dyDescent="0.2">
      <c r="M1032" t="str">
        <f>IF(Sync!$M1032&lt;&gt;"پاس چک","",IF(Sync!$P1032="","",Sync!$P1032))</f>
        <v/>
      </c>
      <c r="N1032" t="str">
        <f>IF($M1032="","",IF(ISNUMBER(Sync!$L1032),IF(AND(Sync!$L1032&gt;=10000101,Sync!$L1032&lt;=99991231),RIGHT("0000"&amp;INT(Sync!$L1032/10000),4)&amp;"/"&amp;RIGHT("00"&amp;INT(MOD(Sync!$L1032,10000)/100),2)&amp;"/"&amp;RIGHT("00"&amp;MOD(Sync!$L1032,100),2),""),IFERROR(RIGHT("0000"&amp;VALUE(TRIM(LEFT(Sync!$L1032,FIND("/",Sync!$L1032)-1))),4)&amp;"/"&amp;RIGHT("00"&amp;VALUE(TRIM(LEFT(MID(Sync!$L1032,FIND("/",Sync!$L1032)+1,20),FIND("/",MID(Sync!$L1032,FIND("/",Sync!$L1032)+1,20))-1))),2)&amp;"/"&amp;RIGHT("00"&amp;VALUE(TRIM(MID(MID(Sync!$L1032,FIND("/",Sync!$L1032)+1,20),FIND("/",MID(Sync!$L1032,FIND("/",Sync!$L1032)+1,20))+1,20))),2),"")))</f>
        <v/>
      </c>
    </row>
    <row r="1033" spans="13:14" x14ac:dyDescent="0.2">
      <c r="M1033" t="str">
        <f>IF(Sync!$M1033&lt;&gt;"پاس چک","",IF(Sync!$P1033="","",Sync!$P1033))</f>
        <v/>
      </c>
      <c r="N1033" t="str">
        <f>IF($M1033="","",IF(ISNUMBER(Sync!$L1033),IF(AND(Sync!$L1033&gt;=10000101,Sync!$L1033&lt;=99991231),RIGHT("0000"&amp;INT(Sync!$L1033/10000),4)&amp;"/"&amp;RIGHT("00"&amp;INT(MOD(Sync!$L1033,10000)/100),2)&amp;"/"&amp;RIGHT("00"&amp;MOD(Sync!$L1033,100),2),""),IFERROR(RIGHT("0000"&amp;VALUE(TRIM(LEFT(Sync!$L1033,FIND("/",Sync!$L1033)-1))),4)&amp;"/"&amp;RIGHT("00"&amp;VALUE(TRIM(LEFT(MID(Sync!$L1033,FIND("/",Sync!$L1033)+1,20),FIND("/",MID(Sync!$L1033,FIND("/",Sync!$L1033)+1,20))-1))),2)&amp;"/"&amp;RIGHT("00"&amp;VALUE(TRIM(MID(MID(Sync!$L1033,FIND("/",Sync!$L1033)+1,20),FIND("/",MID(Sync!$L1033,FIND("/",Sync!$L1033)+1,20))+1,20))),2),"")))</f>
        <v/>
      </c>
    </row>
    <row r="1034" spans="13:14" x14ac:dyDescent="0.2">
      <c r="M1034" t="str">
        <f>IF(Sync!$M1034&lt;&gt;"پاس چک","",IF(Sync!$P1034="","",Sync!$P1034))</f>
        <v/>
      </c>
      <c r="N1034" t="str">
        <f>IF($M1034="","",IF(ISNUMBER(Sync!$L1034),IF(AND(Sync!$L1034&gt;=10000101,Sync!$L1034&lt;=99991231),RIGHT("0000"&amp;INT(Sync!$L1034/10000),4)&amp;"/"&amp;RIGHT("00"&amp;INT(MOD(Sync!$L1034,10000)/100),2)&amp;"/"&amp;RIGHT("00"&amp;MOD(Sync!$L1034,100),2),""),IFERROR(RIGHT("0000"&amp;VALUE(TRIM(LEFT(Sync!$L1034,FIND("/",Sync!$L1034)-1))),4)&amp;"/"&amp;RIGHT("00"&amp;VALUE(TRIM(LEFT(MID(Sync!$L1034,FIND("/",Sync!$L1034)+1,20),FIND("/",MID(Sync!$L1034,FIND("/",Sync!$L1034)+1,20))-1))),2)&amp;"/"&amp;RIGHT("00"&amp;VALUE(TRIM(MID(MID(Sync!$L1034,FIND("/",Sync!$L1034)+1,20),FIND("/",MID(Sync!$L1034,FIND("/",Sync!$L1034)+1,20))+1,20))),2),"")))</f>
        <v/>
      </c>
    </row>
    <row r="1035" spans="13:14" x14ac:dyDescent="0.2">
      <c r="M1035" t="str">
        <f>IF(Sync!$M1035&lt;&gt;"پاس چک","",IF(Sync!$P1035="","",Sync!$P1035))</f>
        <v/>
      </c>
      <c r="N1035" t="str">
        <f>IF($M1035="","",IF(ISNUMBER(Sync!$L1035),IF(AND(Sync!$L1035&gt;=10000101,Sync!$L1035&lt;=99991231),RIGHT("0000"&amp;INT(Sync!$L1035/10000),4)&amp;"/"&amp;RIGHT("00"&amp;INT(MOD(Sync!$L1035,10000)/100),2)&amp;"/"&amp;RIGHT("00"&amp;MOD(Sync!$L1035,100),2),""),IFERROR(RIGHT("0000"&amp;VALUE(TRIM(LEFT(Sync!$L1035,FIND("/",Sync!$L1035)-1))),4)&amp;"/"&amp;RIGHT("00"&amp;VALUE(TRIM(LEFT(MID(Sync!$L1035,FIND("/",Sync!$L1035)+1,20),FIND("/",MID(Sync!$L1035,FIND("/",Sync!$L1035)+1,20))-1))),2)&amp;"/"&amp;RIGHT("00"&amp;VALUE(TRIM(MID(MID(Sync!$L1035,FIND("/",Sync!$L1035)+1,20),FIND("/",MID(Sync!$L1035,FIND("/",Sync!$L1035)+1,20))+1,20))),2),"")))</f>
        <v/>
      </c>
    </row>
    <row r="1036" spans="13:14" x14ac:dyDescent="0.2">
      <c r="M1036" t="str">
        <f>IF(Sync!$M1036&lt;&gt;"پاس چک","",IF(Sync!$P1036="","",Sync!$P1036))</f>
        <v/>
      </c>
      <c r="N1036" t="str">
        <f>IF($M1036="","",IF(ISNUMBER(Sync!$L1036),IF(AND(Sync!$L1036&gt;=10000101,Sync!$L1036&lt;=99991231),RIGHT("0000"&amp;INT(Sync!$L1036/10000),4)&amp;"/"&amp;RIGHT("00"&amp;INT(MOD(Sync!$L1036,10000)/100),2)&amp;"/"&amp;RIGHT("00"&amp;MOD(Sync!$L1036,100),2),""),IFERROR(RIGHT("0000"&amp;VALUE(TRIM(LEFT(Sync!$L1036,FIND("/",Sync!$L1036)-1))),4)&amp;"/"&amp;RIGHT("00"&amp;VALUE(TRIM(LEFT(MID(Sync!$L1036,FIND("/",Sync!$L1036)+1,20),FIND("/",MID(Sync!$L1036,FIND("/",Sync!$L1036)+1,20))-1))),2)&amp;"/"&amp;RIGHT("00"&amp;VALUE(TRIM(MID(MID(Sync!$L1036,FIND("/",Sync!$L1036)+1,20),FIND("/",MID(Sync!$L1036,FIND("/",Sync!$L1036)+1,20))+1,20))),2),"")))</f>
        <v/>
      </c>
    </row>
    <row r="1037" spans="13:14" x14ac:dyDescent="0.2">
      <c r="M1037" t="str">
        <f>IF(Sync!$M1037&lt;&gt;"پاس چک","",IF(Sync!$P1037="","",Sync!$P1037))</f>
        <v/>
      </c>
      <c r="N1037" t="str">
        <f>IF($M1037="","",IF(ISNUMBER(Sync!$L1037),IF(AND(Sync!$L1037&gt;=10000101,Sync!$L1037&lt;=99991231),RIGHT("0000"&amp;INT(Sync!$L1037/10000),4)&amp;"/"&amp;RIGHT("00"&amp;INT(MOD(Sync!$L1037,10000)/100),2)&amp;"/"&amp;RIGHT("00"&amp;MOD(Sync!$L1037,100),2),""),IFERROR(RIGHT("0000"&amp;VALUE(TRIM(LEFT(Sync!$L1037,FIND("/",Sync!$L1037)-1))),4)&amp;"/"&amp;RIGHT("00"&amp;VALUE(TRIM(LEFT(MID(Sync!$L1037,FIND("/",Sync!$L1037)+1,20),FIND("/",MID(Sync!$L1037,FIND("/",Sync!$L1037)+1,20))-1))),2)&amp;"/"&amp;RIGHT("00"&amp;VALUE(TRIM(MID(MID(Sync!$L1037,FIND("/",Sync!$L1037)+1,20),FIND("/",MID(Sync!$L1037,FIND("/",Sync!$L1037)+1,20))+1,20))),2),"")))</f>
        <v/>
      </c>
    </row>
    <row r="1038" spans="13:14" x14ac:dyDescent="0.2">
      <c r="M1038" t="str">
        <f>IF(Sync!$M1038&lt;&gt;"پاس چک","",IF(Sync!$P1038="","",Sync!$P1038))</f>
        <v/>
      </c>
      <c r="N1038" t="str">
        <f>IF($M1038="","",IF(ISNUMBER(Sync!$L1038),IF(AND(Sync!$L1038&gt;=10000101,Sync!$L1038&lt;=99991231),RIGHT("0000"&amp;INT(Sync!$L1038/10000),4)&amp;"/"&amp;RIGHT("00"&amp;INT(MOD(Sync!$L1038,10000)/100),2)&amp;"/"&amp;RIGHT("00"&amp;MOD(Sync!$L1038,100),2),""),IFERROR(RIGHT("0000"&amp;VALUE(TRIM(LEFT(Sync!$L1038,FIND("/",Sync!$L1038)-1))),4)&amp;"/"&amp;RIGHT("00"&amp;VALUE(TRIM(LEFT(MID(Sync!$L1038,FIND("/",Sync!$L1038)+1,20),FIND("/",MID(Sync!$L1038,FIND("/",Sync!$L1038)+1,20))-1))),2)&amp;"/"&amp;RIGHT("00"&amp;VALUE(TRIM(MID(MID(Sync!$L1038,FIND("/",Sync!$L1038)+1,20),FIND("/",MID(Sync!$L1038,FIND("/",Sync!$L1038)+1,20))+1,20))),2),"")))</f>
        <v/>
      </c>
    </row>
    <row r="1039" spans="13:14" x14ac:dyDescent="0.2">
      <c r="M1039" t="str">
        <f>IF(Sync!$M1039&lt;&gt;"پاس چک","",IF(Sync!$P1039="","",Sync!$P1039))</f>
        <v/>
      </c>
      <c r="N1039" t="str">
        <f>IF($M1039="","",IF(ISNUMBER(Sync!$L1039),IF(AND(Sync!$L1039&gt;=10000101,Sync!$L1039&lt;=99991231),RIGHT("0000"&amp;INT(Sync!$L1039/10000),4)&amp;"/"&amp;RIGHT("00"&amp;INT(MOD(Sync!$L1039,10000)/100),2)&amp;"/"&amp;RIGHT("00"&amp;MOD(Sync!$L1039,100),2),""),IFERROR(RIGHT("0000"&amp;VALUE(TRIM(LEFT(Sync!$L1039,FIND("/",Sync!$L1039)-1))),4)&amp;"/"&amp;RIGHT("00"&amp;VALUE(TRIM(LEFT(MID(Sync!$L1039,FIND("/",Sync!$L1039)+1,20),FIND("/",MID(Sync!$L1039,FIND("/",Sync!$L1039)+1,20))-1))),2)&amp;"/"&amp;RIGHT("00"&amp;VALUE(TRIM(MID(MID(Sync!$L1039,FIND("/",Sync!$L1039)+1,20),FIND("/",MID(Sync!$L1039,FIND("/",Sync!$L1039)+1,20))+1,20))),2),"")))</f>
        <v/>
      </c>
    </row>
    <row r="1040" spans="13:14" x14ac:dyDescent="0.2">
      <c r="M1040" t="str">
        <f>IF(Sync!$M1040&lt;&gt;"پاس چک","",IF(Sync!$P1040="","",Sync!$P1040))</f>
        <v/>
      </c>
      <c r="N1040" t="str">
        <f>IF($M1040="","",IF(ISNUMBER(Sync!$L1040),IF(AND(Sync!$L1040&gt;=10000101,Sync!$L1040&lt;=99991231),RIGHT("0000"&amp;INT(Sync!$L1040/10000),4)&amp;"/"&amp;RIGHT("00"&amp;INT(MOD(Sync!$L1040,10000)/100),2)&amp;"/"&amp;RIGHT("00"&amp;MOD(Sync!$L1040,100),2),""),IFERROR(RIGHT("0000"&amp;VALUE(TRIM(LEFT(Sync!$L1040,FIND("/",Sync!$L1040)-1))),4)&amp;"/"&amp;RIGHT("00"&amp;VALUE(TRIM(LEFT(MID(Sync!$L1040,FIND("/",Sync!$L1040)+1,20),FIND("/",MID(Sync!$L1040,FIND("/",Sync!$L1040)+1,20))-1))),2)&amp;"/"&amp;RIGHT("00"&amp;VALUE(TRIM(MID(MID(Sync!$L1040,FIND("/",Sync!$L1040)+1,20),FIND("/",MID(Sync!$L1040,FIND("/",Sync!$L1040)+1,20))+1,20))),2),"")))</f>
        <v/>
      </c>
    </row>
    <row r="1041" spans="13:14" x14ac:dyDescent="0.2">
      <c r="M1041" t="str">
        <f>IF(Sync!$M1041&lt;&gt;"پاس چک","",IF(Sync!$P1041="","",Sync!$P1041))</f>
        <v/>
      </c>
      <c r="N1041" t="str">
        <f>IF($M1041="","",IF(ISNUMBER(Sync!$L1041),IF(AND(Sync!$L1041&gt;=10000101,Sync!$L1041&lt;=99991231),RIGHT("0000"&amp;INT(Sync!$L1041/10000),4)&amp;"/"&amp;RIGHT("00"&amp;INT(MOD(Sync!$L1041,10000)/100),2)&amp;"/"&amp;RIGHT("00"&amp;MOD(Sync!$L1041,100),2),""),IFERROR(RIGHT("0000"&amp;VALUE(TRIM(LEFT(Sync!$L1041,FIND("/",Sync!$L1041)-1))),4)&amp;"/"&amp;RIGHT("00"&amp;VALUE(TRIM(LEFT(MID(Sync!$L1041,FIND("/",Sync!$L1041)+1,20),FIND("/",MID(Sync!$L1041,FIND("/",Sync!$L1041)+1,20))-1))),2)&amp;"/"&amp;RIGHT("00"&amp;VALUE(TRIM(MID(MID(Sync!$L1041,FIND("/",Sync!$L1041)+1,20),FIND("/",MID(Sync!$L1041,FIND("/",Sync!$L1041)+1,20))+1,20))),2),"")))</f>
        <v/>
      </c>
    </row>
    <row r="1042" spans="13:14" x14ac:dyDescent="0.2">
      <c r="M1042" t="str">
        <f>IF(Sync!$M1042&lt;&gt;"پاس چک","",IF(Sync!$P1042="","",Sync!$P1042))</f>
        <v/>
      </c>
      <c r="N1042" t="str">
        <f>IF($M1042="","",IF(ISNUMBER(Sync!$L1042),IF(AND(Sync!$L1042&gt;=10000101,Sync!$L1042&lt;=99991231),RIGHT("0000"&amp;INT(Sync!$L1042/10000),4)&amp;"/"&amp;RIGHT("00"&amp;INT(MOD(Sync!$L1042,10000)/100),2)&amp;"/"&amp;RIGHT("00"&amp;MOD(Sync!$L1042,100),2),""),IFERROR(RIGHT("0000"&amp;VALUE(TRIM(LEFT(Sync!$L1042,FIND("/",Sync!$L1042)-1))),4)&amp;"/"&amp;RIGHT("00"&amp;VALUE(TRIM(LEFT(MID(Sync!$L1042,FIND("/",Sync!$L1042)+1,20),FIND("/",MID(Sync!$L1042,FIND("/",Sync!$L1042)+1,20))-1))),2)&amp;"/"&amp;RIGHT("00"&amp;VALUE(TRIM(MID(MID(Sync!$L1042,FIND("/",Sync!$L1042)+1,20),FIND("/",MID(Sync!$L1042,FIND("/",Sync!$L1042)+1,20))+1,20))),2),"")))</f>
        <v/>
      </c>
    </row>
    <row r="1043" spans="13:14" x14ac:dyDescent="0.2">
      <c r="M1043" t="str">
        <f>IF(Sync!$M1043&lt;&gt;"پاس چک","",IF(Sync!$P1043="","",Sync!$P1043))</f>
        <v/>
      </c>
      <c r="N1043" t="str">
        <f>IF($M1043="","",IF(ISNUMBER(Sync!$L1043),IF(AND(Sync!$L1043&gt;=10000101,Sync!$L1043&lt;=99991231),RIGHT("0000"&amp;INT(Sync!$L1043/10000),4)&amp;"/"&amp;RIGHT("00"&amp;INT(MOD(Sync!$L1043,10000)/100),2)&amp;"/"&amp;RIGHT("00"&amp;MOD(Sync!$L1043,100),2),""),IFERROR(RIGHT("0000"&amp;VALUE(TRIM(LEFT(Sync!$L1043,FIND("/",Sync!$L1043)-1))),4)&amp;"/"&amp;RIGHT("00"&amp;VALUE(TRIM(LEFT(MID(Sync!$L1043,FIND("/",Sync!$L1043)+1,20),FIND("/",MID(Sync!$L1043,FIND("/",Sync!$L1043)+1,20))-1))),2)&amp;"/"&amp;RIGHT("00"&amp;VALUE(TRIM(MID(MID(Sync!$L1043,FIND("/",Sync!$L1043)+1,20),FIND("/",MID(Sync!$L1043,FIND("/",Sync!$L1043)+1,20))+1,20))),2),"")))</f>
        <v/>
      </c>
    </row>
    <row r="1044" spans="13:14" x14ac:dyDescent="0.2">
      <c r="M1044" t="str">
        <f>IF(Sync!$M1044&lt;&gt;"پاس چک","",IF(Sync!$P1044="","",Sync!$P1044))</f>
        <v/>
      </c>
      <c r="N1044" t="str">
        <f>IF($M1044="","",IF(ISNUMBER(Sync!$L1044),IF(AND(Sync!$L1044&gt;=10000101,Sync!$L1044&lt;=99991231),RIGHT("0000"&amp;INT(Sync!$L1044/10000),4)&amp;"/"&amp;RIGHT("00"&amp;INT(MOD(Sync!$L1044,10000)/100),2)&amp;"/"&amp;RIGHT("00"&amp;MOD(Sync!$L1044,100),2),""),IFERROR(RIGHT("0000"&amp;VALUE(TRIM(LEFT(Sync!$L1044,FIND("/",Sync!$L1044)-1))),4)&amp;"/"&amp;RIGHT("00"&amp;VALUE(TRIM(LEFT(MID(Sync!$L1044,FIND("/",Sync!$L1044)+1,20),FIND("/",MID(Sync!$L1044,FIND("/",Sync!$L1044)+1,20))-1))),2)&amp;"/"&amp;RIGHT("00"&amp;VALUE(TRIM(MID(MID(Sync!$L1044,FIND("/",Sync!$L1044)+1,20),FIND("/",MID(Sync!$L1044,FIND("/",Sync!$L1044)+1,20))+1,20))),2),"")))</f>
        <v/>
      </c>
    </row>
    <row r="1045" spans="13:14" x14ac:dyDescent="0.2">
      <c r="M1045" t="str">
        <f>IF(Sync!$M1045&lt;&gt;"پاس چک","",IF(Sync!$P1045="","",Sync!$P1045))</f>
        <v/>
      </c>
      <c r="N1045" t="str">
        <f>IF($M1045="","",IF(ISNUMBER(Sync!$L1045),IF(AND(Sync!$L1045&gt;=10000101,Sync!$L1045&lt;=99991231),RIGHT("0000"&amp;INT(Sync!$L1045/10000),4)&amp;"/"&amp;RIGHT("00"&amp;INT(MOD(Sync!$L1045,10000)/100),2)&amp;"/"&amp;RIGHT("00"&amp;MOD(Sync!$L1045,100),2),""),IFERROR(RIGHT("0000"&amp;VALUE(TRIM(LEFT(Sync!$L1045,FIND("/",Sync!$L1045)-1))),4)&amp;"/"&amp;RIGHT("00"&amp;VALUE(TRIM(LEFT(MID(Sync!$L1045,FIND("/",Sync!$L1045)+1,20),FIND("/",MID(Sync!$L1045,FIND("/",Sync!$L1045)+1,20))-1))),2)&amp;"/"&amp;RIGHT("00"&amp;VALUE(TRIM(MID(MID(Sync!$L1045,FIND("/",Sync!$L1045)+1,20),FIND("/",MID(Sync!$L1045,FIND("/",Sync!$L1045)+1,20))+1,20))),2),"")))</f>
        <v/>
      </c>
    </row>
    <row r="1046" spans="13:14" x14ac:dyDescent="0.2">
      <c r="M1046" t="str">
        <f>IF(Sync!$M1046&lt;&gt;"پاس چک","",IF(Sync!$P1046="","",Sync!$P1046))</f>
        <v/>
      </c>
      <c r="N1046" t="str">
        <f>IF($M1046="","",IF(ISNUMBER(Sync!$L1046),IF(AND(Sync!$L1046&gt;=10000101,Sync!$L1046&lt;=99991231),RIGHT("0000"&amp;INT(Sync!$L1046/10000),4)&amp;"/"&amp;RIGHT("00"&amp;INT(MOD(Sync!$L1046,10000)/100),2)&amp;"/"&amp;RIGHT("00"&amp;MOD(Sync!$L1046,100),2),""),IFERROR(RIGHT("0000"&amp;VALUE(TRIM(LEFT(Sync!$L1046,FIND("/",Sync!$L1046)-1))),4)&amp;"/"&amp;RIGHT("00"&amp;VALUE(TRIM(LEFT(MID(Sync!$L1046,FIND("/",Sync!$L1046)+1,20),FIND("/",MID(Sync!$L1046,FIND("/",Sync!$L1046)+1,20))-1))),2)&amp;"/"&amp;RIGHT("00"&amp;VALUE(TRIM(MID(MID(Sync!$L1046,FIND("/",Sync!$L1046)+1,20),FIND("/",MID(Sync!$L1046,FIND("/",Sync!$L1046)+1,20))+1,20))),2),"")))</f>
        <v/>
      </c>
    </row>
    <row r="1047" spans="13:14" x14ac:dyDescent="0.2">
      <c r="M1047" t="str">
        <f>IF(Sync!$M1047&lt;&gt;"پاس چک","",IF(Sync!$P1047="","",Sync!$P1047))</f>
        <v/>
      </c>
      <c r="N1047" t="str">
        <f>IF($M1047="","",IF(ISNUMBER(Sync!$L1047),IF(AND(Sync!$L1047&gt;=10000101,Sync!$L1047&lt;=99991231),RIGHT("0000"&amp;INT(Sync!$L1047/10000),4)&amp;"/"&amp;RIGHT("00"&amp;INT(MOD(Sync!$L1047,10000)/100),2)&amp;"/"&amp;RIGHT("00"&amp;MOD(Sync!$L1047,100),2),""),IFERROR(RIGHT("0000"&amp;VALUE(TRIM(LEFT(Sync!$L1047,FIND("/",Sync!$L1047)-1))),4)&amp;"/"&amp;RIGHT("00"&amp;VALUE(TRIM(LEFT(MID(Sync!$L1047,FIND("/",Sync!$L1047)+1,20),FIND("/",MID(Sync!$L1047,FIND("/",Sync!$L1047)+1,20))-1))),2)&amp;"/"&amp;RIGHT("00"&amp;VALUE(TRIM(MID(MID(Sync!$L1047,FIND("/",Sync!$L1047)+1,20),FIND("/",MID(Sync!$L1047,FIND("/",Sync!$L1047)+1,20))+1,20))),2),"")))</f>
        <v/>
      </c>
    </row>
    <row r="1048" spans="13:14" x14ac:dyDescent="0.2">
      <c r="M1048" t="str">
        <f>IF(Sync!$M1048&lt;&gt;"پاس چک","",IF(Sync!$P1048="","",Sync!$P1048))</f>
        <v/>
      </c>
      <c r="N1048" t="str">
        <f>IF($M1048="","",IF(ISNUMBER(Sync!$L1048),IF(AND(Sync!$L1048&gt;=10000101,Sync!$L1048&lt;=99991231),RIGHT("0000"&amp;INT(Sync!$L1048/10000),4)&amp;"/"&amp;RIGHT("00"&amp;INT(MOD(Sync!$L1048,10000)/100),2)&amp;"/"&amp;RIGHT("00"&amp;MOD(Sync!$L1048,100),2),""),IFERROR(RIGHT("0000"&amp;VALUE(TRIM(LEFT(Sync!$L1048,FIND("/",Sync!$L1048)-1))),4)&amp;"/"&amp;RIGHT("00"&amp;VALUE(TRIM(LEFT(MID(Sync!$L1048,FIND("/",Sync!$L1048)+1,20),FIND("/",MID(Sync!$L1048,FIND("/",Sync!$L1048)+1,20))-1))),2)&amp;"/"&amp;RIGHT("00"&amp;VALUE(TRIM(MID(MID(Sync!$L1048,FIND("/",Sync!$L1048)+1,20),FIND("/",MID(Sync!$L1048,FIND("/",Sync!$L1048)+1,20))+1,20))),2),"")))</f>
        <v/>
      </c>
    </row>
    <row r="1049" spans="13:14" x14ac:dyDescent="0.2">
      <c r="M1049" t="str">
        <f>IF(Sync!$M1049&lt;&gt;"پاس چک","",IF(Sync!$P1049="","",Sync!$P1049))</f>
        <v/>
      </c>
      <c r="N1049" t="str">
        <f>IF($M1049="","",IF(ISNUMBER(Sync!$L1049),IF(AND(Sync!$L1049&gt;=10000101,Sync!$L1049&lt;=99991231),RIGHT("0000"&amp;INT(Sync!$L1049/10000),4)&amp;"/"&amp;RIGHT("00"&amp;INT(MOD(Sync!$L1049,10000)/100),2)&amp;"/"&amp;RIGHT("00"&amp;MOD(Sync!$L1049,100),2),""),IFERROR(RIGHT("0000"&amp;VALUE(TRIM(LEFT(Sync!$L1049,FIND("/",Sync!$L1049)-1))),4)&amp;"/"&amp;RIGHT("00"&amp;VALUE(TRIM(LEFT(MID(Sync!$L1049,FIND("/",Sync!$L1049)+1,20),FIND("/",MID(Sync!$L1049,FIND("/",Sync!$L1049)+1,20))-1))),2)&amp;"/"&amp;RIGHT("00"&amp;VALUE(TRIM(MID(MID(Sync!$L1049,FIND("/",Sync!$L1049)+1,20),FIND("/",MID(Sync!$L1049,FIND("/",Sync!$L1049)+1,20))+1,20))),2),"")))</f>
        <v/>
      </c>
    </row>
    <row r="1050" spans="13:14" x14ac:dyDescent="0.2">
      <c r="M1050" t="str">
        <f>IF(Sync!$M1050&lt;&gt;"پاس چک","",IF(Sync!$P1050="","",Sync!$P1050))</f>
        <v/>
      </c>
      <c r="N1050" t="str">
        <f>IF($M1050="","",IF(ISNUMBER(Sync!$L1050),IF(AND(Sync!$L1050&gt;=10000101,Sync!$L1050&lt;=99991231),RIGHT("0000"&amp;INT(Sync!$L1050/10000),4)&amp;"/"&amp;RIGHT("00"&amp;INT(MOD(Sync!$L1050,10000)/100),2)&amp;"/"&amp;RIGHT("00"&amp;MOD(Sync!$L1050,100),2),""),IFERROR(RIGHT("0000"&amp;VALUE(TRIM(LEFT(Sync!$L1050,FIND("/",Sync!$L1050)-1))),4)&amp;"/"&amp;RIGHT("00"&amp;VALUE(TRIM(LEFT(MID(Sync!$L1050,FIND("/",Sync!$L1050)+1,20),FIND("/",MID(Sync!$L1050,FIND("/",Sync!$L1050)+1,20))-1))),2)&amp;"/"&amp;RIGHT("00"&amp;VALUE(TRIM(MID(MID(Sync!$L1050,FIND("/",Sync!$L1050)+1,20),FIND("/",MID(Sync!$L1050,FIND("/",Sync!$L1050)+1,20))+1,20))),2),"")))</f>
        <v/>
      </c>
    </row>
    <row r="1051" spans="13:14" x14ac:dyDescent="0.2">
      <c r="M1051" t="str">
        <f>IF(Sync!$M1051&lt;&gt;"پاس چک","",IF(Sync!$P1051="","",Sync!$P1051))</f>
        <v/>
      </c>
      <c r="N1051" t="str">
        <f>IF($M1051="","",IF(ISNUMBER(Sync!$L1051),IF(AND(Sync!$L1051&gt;=10000101,Sync!$L1051&lt;=99991231),RIGHT("0000"&amp;INT(Sync!$L1051/10000),4)&amp;"/"&amp;RIGHT("00"&amp;INT(MOD(Sync!$L1051,10000)/100),2)&amp;"/"&amp;RIGHT("00"&amp;MOD(Sync!$L1051,100),2),""),IFERROR(RIGHT("0000"&amp;VALUE(TRIM(LEFT(Sync!$L1051,FIND("/",Sync!$L1051)-1))),4)&amp;"/"&amp;RIGHT("00"&amp;VALUE(TRIM(LEFT(MID(Sync!$L1051,FIND("/",Sync!$L1051)+1,20),FIND("/",MID(Sync!$L1051,FIND("/",Sync!$L1051)+1,20))-1))),2)&amp;"/"&amp;RIGHT("00"&amp;VALUE(TRIM(MID(MID(Sync!$L1051,FIND("/",Sync!$L1051)+1,20),FIND("/",MID(Sync!$L1051,FIND("/",Sync!$L1051)+1,20))+1,20))),2),"")))</f>
        <v/>
      </c>
    </row>
    <row r="1052" spans="13:14" x14ac:dyDescent="0.2">
      <c r="M1052" t="str">
        <f>IF(Sync!$M1052&lt;&gt;"پاس چک","",IF(Sync!$P1052="","",Sync!$P1052))</f>
        <v/>
      </c>
      <c r="N1052" t="str">
        <f>IF($M1052="","",IF(ISNUMBER(Sync!$L1052),IF(AND(Sync!$L1052&gt;=10000101,Sync!$L1052&lt;=99991231),RIGHT("0000"&amp;INT(Sync!$L1052/10000),4)&amp;"/"&amp;RIGHT("00"&amp;INT(MOD(Sync!$L1052,10000)/100),2)&amp;"/"&amp;RIGHT("00"&amp;MOD(Sync!$L1052,100),2),""),IFERROR(RIGHT("0000"&amp;VALUE(TRIM(LEFT(Sync!$L1052,FIND("/",Sync!$L1052)-1))),4)&amp;"/"&amp;RIGHT("00"&amp;VALUE(TRIM(LEFT(MID(Sync!$L1052,FIND("/",Sync!$L1052)+1,20),FIND("/",MID(Sync!$L1052,FIND("/",Sync!$L1052)+1,20))-1))),2)&amp;"/"&amp;RIGHT("00"&amp;VALUE(TRIM(MID(MID(Sync!$L1052,FIND("/",Sync!$L1052)+1,20),FIND("/",MID(Sync!$L1052,FIND("/",Sync!$L1052)+1,20))+1,20))),2),"")))</f>
        <v/>
      </c>
    </row>
    <row r="1053" spans="13:14" x14ac:dyDescent="0.2">
      <c r="M1053" t="str">
        <f>IF(Sync!$M1053&lt;&gt;"پاس چک","",IF(Sync!$P1053="","",Sync!$P1053))</f>
        <v/>
      </c>
      <c r="N1053" t="str">
        <f>IF($M1053="","",IF(ISNUMBER(Sync!$L1053),IF(AND(Sync!$L1053&gt;=10000101,Sync!$L1053&lt;=99991231),RIGHT("0000"&amp;INT(Sync!$L1053/10000),4)&amp;"/"&amp;RIGHT("00"&amp;INT(MOD(Sync!$L1053,10000)/100),2)&amp;"/"&amp;RIGHT("00"&amp;MOD(Sync!$L1053,100),2),""),IFERROR(RIGHT("0000"&amp;VALUE(TRIM(LEFT(Sync!$L1053,FIND("/",Sync!$L1053)-1))),4)&amp;"/"&amp;RIGHT("00"&amp;VALUE(TRIM(LEFT(MID(Sync!$L1053,FIND("/",Sync!$L1053)+1,20),FIND("/",MID(Sync!$L1053,FIND("/",Sync!$L1053)+1,20))-1))),2)&amp;"/"&amp;RIGHT("00"&amp;VALUE(TRIM(MID(MID(Sync!$L1053,FIND("/",Sync!$L1053)+1,20),FIND("/",MID(Sync!$L1053,FIND("/",Sync!$L1053)+1,20))+1,20))),2),"")))</f>
        <v/>
      </c>
    </row>
    <row r="1054" spans="13:14" x14ac:dyDescent="0.2">
      <c r="M1054" t="str">
        <f>IF(Sync!$M1054&lt;&gt;"پاس چک","",IF(Sync!$P1054="","",Sync!$P1054))</f>
        <v/>
      </c>
      <c r="N1054" t="str">
        <f>IF($M1054="","",IF(ISNUMBER(Sync!$L1054),IF(AND(Sync!$L1054&gt;=10000101,Sync!$L1054&lt;=99991231),RIGHT("0000"&amp;INT(Sync!$L1054/10000),4)&amp;"/"&amp;RIGHT("00"&amp;INT(MOD(Sync!$L1054,10000)/100),2)&amp;"/"&amp;RIGHT("00"&amp;MOD(Sync!$L1054,100),2),""),IFERROR(RIGHT("0000"&amp;VALUE(TRIM(LEFT(Sync!$L1054,FIND("/",Sync!$L1054)-1))),4)&amp;"/"&amp;RIGHT("00"&amp;VALUE(TRIM(LEFT(MID(Sync!$L1054,FIND("/",Sync!$L1054)+1,20),FIND("/",MID(Sync!$L1054,FIND("/",Sync!$L1054)+1,20))-1))),2)&amp;"/"&amp;RIGHT("00"&amp;VALUE(TRIM(MID(MID(Sync!$L1054,FIND("/",Sync!$L1054)+1,20),FIND("/",MID(Sync!$L1054,FIND("/",Sync!$L1054)+1,20))+1,20))),2),"")))</f>
        <v/>
      </c>
    </row>
    <row r="1055" spans="13:14" x14ac:dyDescent="0.2">
      <c r="M1055" t="str">
        <f>IF(Sync!$M1055&lt;&gt;"پاس چک","",IF(Sync!$P1055="","",Sync!$P1055))</f>
        <v/>
      </c>
      <c r="N1055" t="str">
        <f>IF($M1055="","",IF(ISNUMBER(Sync!$L1055),IF(AND(Sync!$L1055&gt;=10000101,Sync!$L1055&lt;=99991231),RIGHT("0000"&amp;INT(Sync!$L1055/10000),4)&amp;"/"&amp;RIGHT("00"&amp;INT(MOD(Sync!$L1055,10000)/100),2)&amp;"/"&amp;RIGHT("00"&amp;MOD(Sync!$L1055,100),2),""),IFERROR(RIGHT("0000"&amp;VALUE(TRIM(LEFT(Sync!$L1055,FIND("/",Sync!$L1055)-1))),4)&amp;"/"&amp;RIGHT("00"&amp;VALUE(TRIM(LEFT(MID(Sync!$L1055,FIND("/",Sync!$L1055)+1,20),FIND("/",MID(Sync!$L1055,FIND("/",Sync!$L1055)+1,20))-1))),2)&amp;"/"&amp;RIGHT("00"&amp;VALUE(TRIM(MID(MID(Sync!$L1055,FIND("/",Sync!$L1055)+1,20),FIND("/",MID(Sync!$L1055,FIND("/",Sync!$L1055)+1,20))+1,20))),2),"")))</f>
        <v/>
      </c>
    </row>
    <row r="1056" spans="13:14" x14ac:dyDescent="0.2">
      <c r="M1056" t="str">
        <f>IF(Sync!$M1056&lt;&gt;"پاس چک","",IF(Sync!$P1056="","",Sync!$P1056))</f>
        <v/>
      </c>
      <c r="N1056" t="str">
        <f>IF($M1056="","",IF(ISNUMBER(Sync!$L1056),IF(AND(Sync!$L1056&gt;=10000101,Sync!$L1056&lt;=99991231),RIGHT("0000"&amp;INT(Sync!$L1056/10000),4)&amp;"/"&amp;RIGHT("00"&amp;INT(MOD(Sync!$L1056,10000)/100),2)&amp;"/"&amp;RIGHT("00"&amp;MOD(Sync!$L1056,100),2),""),IFERROR(RIGHT("0000"&amp;VALUE(TRIM(LEFT(Sync!$L1056,FIND("/",Sync!$L1056)-1))),4)&amp;"/"&amp;RIGHT("00"&amp;VALUE(TRIM(LEFT(MID(Sync!$L1056,FIND("/",Sync!$L1056)+1,20),FIND("/",MID(Sync!$L1056,FIND("/",Sync!$L1056)+1,20))-1))),2)&amp;"/"&amp;RIGHT("00"&amp;VALUE(TRIM(MID(MID(Sync!$L1056,FIND("/",Sync!$L1056)+1,20),FIND("/",MID(Sync!$L1056,FIND("/",Sync!$L1056)+1,20))+1,20))),2),"")))</f>
        <v/>
      </c>
    </row>
    <row r="1057" spans="13:14" x14ac:dyDescent="0.2">
      <c r="M1057" t="str">
        <f>IF(Sync!$M1057&lt;&gt;"پاس چک","",IF(Sync!$P1057="","",Sync!$P1057))</f>
        <v/>
      </c>
      <c r="N1057" t="str">
        <f>IF($M1057="","",IF(ISNUMBER(Sync!$L1057),IF(AND(Sync!$L1057&gt;=10000101,Sync!$L1057&lt;=99991231),RIGHT("0000"&amp;INT(Sync!$L1057/10000),4)&amp;"/"&amp;RIGHT("00"&amp;INT(MOD(Sync!$L1057,10000)/100),2)&amp;"/"&amp;RIGHT("00"&amp;MOD(Sync!$L1057,100),2),""),IFERROR(RIGHT("0000"&amp;VALUE(TRIM(LEFT(Sync!$L1057,FIND("/",Sync!$L1057)-1))),4)&amp;"/"&amp;RIGHT("00"&amp;VALUE(TRIM(LEFT(MID(Sync!$L1057,FIND("/",Sync!$L1057)+1,20),FIND("/",MID(Sync!$L1057,FIND("/",Sync!$L1057)+1,20))-1))),2)&amp;"/"&amp;RIGHT("00"&amp;VALUE(TRIM(MID(MID(Sync!$L1057,FIND("/",Sync!$L1057)+1,20),FIND("/",MID(Sync!$L1057,FIND("/",Sync!$L1057)+1,20))+1,20))),2),"")))</f>
        <v/>
      </c>
    </row>
    <row r="1058" spans="13:14" x14ac:dyDescent="0.2">
      <c r="M1058" t="str">
        <f>IF(Sync!$M1058&lt;&gt;"پاس چک","",IF(Sync!$P1058="","",Sync!$P1058))</f>
        <v/>
      </c>
      <c r="N1058" t="str">
        <f>IF($M1058="","",IF(ISNUMBER(Sync!$L1058),IF(AND(Sync!$L1058&gt;=10000101,Sync!$L1058&lt;=99991231),RIGHT("0000"&amp;INT(Sync!$L1058/10000),4)&amp;"/"&amp;RIGHT("00"&amp;INT(MOD(Sync!$L1058,10000)/100),2)&amp;"/"&amp;RIGHT("00"&amp;MOD(Sync!$L1058,100),2),""),IFERROR(RIGHT("0000"&amp;VALUE(TRIM(LEFT(Sync!$L1058,FIND("/",Sync!$L1058)-1))),4)&amp;"/"&amp;RIGHT("00"&amp;VALUE(TRIM(LEFT(MID(Sync!$L1058,FIND("/",Sync!$L1058)+1,20),FIND("/",MID(Sync!$L1058,FIND("/",Sync!$L1058)+1,20))-1))),2)&amp;"/"&amp;RIGHT("00"&amp;VALUE(TRIM(MID(MID(Sync!$L1058,FIND("/",Sync!$L1058)+1,20),FIND("/",MID(Sync!$L1058,FIND("/",Sync!$L1058)+1,20))+1,20))),2),"")))</f>
        <v/>
      </c>
    </row>
    <row r="1059" spans="13:14" x14ac:dyDescent="0.2">
      <c r="M1059" t="str">
        <f>IF(Sync!$M1059&lt;&gt;"پاس چک","",IF(Sync!$P1059="","",Sync!$P1059))</f>
        <v/>
      </c>
      <c r="N1059" t="str">
        <f>IF($M1059="","",IF(ISNUMBER(Sync!$L1059),IF(AND(Sync!$L1059&gt;=10000101,Sync!$L1059&lt;=99991231),RIGHT("0000"&amp;INT(Sync!$L1059/10000),4)&amp;"/"&amp;RIGHT("00"&amp;INT(MOD(Sync!$L1059,10000)/100),2)&amp;"/"&amp;RIGHT("00"&amp;MOD(Sync!$L1059,100),2),""),IFERROR(RIGHT("0000"&amp;VALUE(TRIM(LEFT(Sync!$L1059,FIND("/",Sync!$L1059)-1))),4)&amp;"/"&amp;RIGHT("00"&amp;VALUE(TRIM(LEFT(MID(Sync!$L1059,FIND("/",Sync!$L1059)+1,20),FIND("/",MID(Sync!$L1059,FIND("/",Sync!$L1059)+1,20))-1))),2)&amp;"/"&amp;RIGHT("00"&amp;VALUE(TRIM(MID(MID(Sync!$L1059,FIND("/",Sync!$L1059)+1,20),FIND("/",MID(Sync!$L1059,FIND("/",Sync!$L1059)+1,20))+1,20))),2),"")))</f>
        <v/>
      </c>
    </row>
    <row r="1060" spans="13:14" x14ac:dyDescent="0.2">
      <c r="M1060" t="str">
        <f>IF(Sync!$M1060&lt;&gt;"پاس چک","",IF(Sync!$P1060="","",Sync!$P1060))</f>
        <v/>
      </c>
      <c r="N1060" t="str">
        <f>IF($M1060="","",IF(ISNUMBER(Sync!$L1060),IF(AND(Sync!$L1060&gt;=10000101,Sync!$L1060&lt;=99991231),RIGHT("0000"&amp;INT(Sync!$L1060/10000),4)&amp;"/"&amp;RIGHT("00"&amp;INT(MOD(Sync!$L1060,10000)/100),2)&amp;"/"&amp;RIGHT("00"&amp;MOD(Sync!$L1060,100),2),""),IFERROR(RIGHT("0000"&amp;VALUE(TRIM(LEFT(Sync!$L1060,FIND("/",Sync!$L1060)-1))),4)&amp;"/"&amp;RIGHT("00"&amp;VALUE(TRIM(LEFT(MID(Sync!$L1060,FIND("/",Sync!$L1060)+1,20),FIND("/",MID(Sync!$L1060,FIND("/",Sync!$L1060)+1,20))-1))),2)&amp;"/"&amp;RIGHT("00"&amp;VALUE(TRIM(MID(MID(Sync!$L1060,FIND("/",Sync!$L1060)+1,20),FIND("/",MID(Sync!$L1060,FIND("/",Sync!$L1060)+1,20))+1,20))),2),"")))</f>
        <v/>
      </c>
    </row>
    <row r="1061" spans="13:14" x14ac:dyDescent="0.2">
      <c r="M1061" t="str">
        <f>IF(Sync!$M1061&lt;&gt;"پاس چک","",IF(Sync!$P1061="","",Sync!$P1061))</f>
        <v/>
      </c>
      <c r="N1061" t="str">
        <f>IF($M1061="","",IF(ISNUMBER(Sync!$L1061),IF(AND(Sync!$L1061&gt;=10000101,Sync!$L1061&lt;=99991231),RIGHT("0000"&amp;INT(Sync!$L1061/10000),4)&amp;"/"&amp;RIGHT("00"&amp;INT(MOD(Sync!$L1061,10000)/100),2)&amp;"/"&amp;RIGHT("00"&amp;MOD(Sync!$L1061,100),2),""),IFERROR(RIGHT("0000"&amp;VALUE(TRIM(LEFT(Sync!$L1061,FIND("/",Sync!$L1061)-1))),4)&amp;"/"&amp;RIGHT("00"&amp;VALUE(TRIM(LEFT(MID(Sync!$L1061,FIND("/",Sync!$L1061)+1,20),FIND("/",MID(Sync!$L1061,FIND("/",Sync!$L1061)+1,20))-1))),2)&amp;"/"&amp;RIGHT("00"&amp;VALUE(TRIM(MID(MID(Sync!$L1061,FIND("/",Sync!$L1061)+1,20),FIND("/",MID(Sync!$L1061,FIND("/",Sync!$L1061)+1,20))+1,20))),2),"")))</f>
        <v/>
      </c>
    </row>
    <row r="1062" spans="13:14" x14ac:dyDescent="0.2">
      <c r="M1062" t="str">
        <f>IF(Sync!$M1062&lt;&gt;"پاس چک","",IF(Sync!$P1062="","",Sync!$P1062))</f>
        <v/>
      </c>
      <c r="N1062" t="str">
        <f>IF($M1062="","",IF(ISNUMBER(Sync!$L1062),IF(AND(Sync!$L1062&gt;=10000101,Sync!$L1062&lt;=99991231),RIGHT("0000"&amp;INT(Sync!$L1062/10000),4)&amp;"/"&amp;RIGHT("00"&amp;INT(MOD(Sync!$L1062,10000)/100),2)&amp;"/"&amp;RIGHT("00"&amp;MOD(Sync!$L1062,100),2),""),IFERROR(RIGHT("0000"&amp;VALUE(TRIM(LEFT(Sync!$L1062,FIND("/",Sync!$L1062)-1))),4)&amp;"/"&amp;RIGHT("00"&amp;VALUE(TRIM(LEFT(MID(Sync!$L1062,FIND("/",Sync!$L1062)+1,20),FIND("/",MID(Sync!$L1062,FIND("/",Sync!$L1062)+1,20))-1))),2)&amp;"/"&amp;RIGHT("00"&amp;VALUE(TRIM(MID(MID(Sync!$L1062,FIND("/",Sync!$L1062)+1,20),FIND("/",MID(Sync!$L1062,FIND("/",Sync!$L1062)+1,20))+1,20))),2),"")))</f>
        <v/>
      </c>
    </row>
    <row r="1063" spans="13:14" x14ac:dyDescent="0.2">
      <c r="M1063" t="str">
        <f>IF(Sync!$M1063&lt;&gt;"پاس چک","",IF(Sync!$P1063="","",Sync!$P1063))</f>
        <v/>
      </c>
      <c r="N1063" t="str">
        <f>IF($M1063="","",IF(ISNUMBER(Sync!$L1063),IF(AND(Sync!$L1063&gt;=10000101,Sync!$L1063&lt;=99991231),RIGHT("0000"&amp;INT(Sync!$L1063/10000),4)&amp;"/"&amp;RIGHT("00"&amp;INT(MOD(Sync!$L1063,10000)/100),2)&amp;"/"&amp;RIGHT("00"&amp;MOD(Sync!$L1063,100),2),""),IFERROR(RIGHT("0000"&amp;VALUE(TRIM(LEFT(Sync!$L1063,FIND("/",Sync!$L1063)-1))),4)&amp;"/"&amp;RIGHT("00"&amp;VALUE(TRIM(LEFT(MID(Sync!$L1063,FIND("/",Sync!$L1063)+1,20),FIND("/",MID(Sync!$L1063,FIND("/",Sync!$L1063)+1,20))-1))),2)&amp;"/"&amp;RIGHT("00"&amp;VALUE(TRIM(MID(MID(Sync!$L1063,FIND("/",Sync!$L1063)+1,20),FIND("/",MID(Sync!$L1063,FIND("/",Sync!$L1063)+1,20))+1,20))),2),"")))</f>
        <v/>
      </c>
    </row>
    <row r="1064" spans="13:14" x14ac:dyDescent="0.2">
      <c r="M1064" t="str">
        <f>IF(Sync!$M1064&lt;&gt;"پاس چک","",IF(Sync!$P1064="","",Sync!$P1064))</f>
        <v/>
      </c>
      <c r="N1064" t="str">
        <f>IF($M1064="","",IF(ISNUMBER(Sync!$L1064),IF(AND(Sync!$L1064&gt;=10000101,Sync!$L1064&lt;=99991231),RIGHT("0000"&amp;INT(Sync!$L1064/10000),4)&amp;"/"&amp;RIGHT("00"&amp;INT(MOD(Sync!$L1064,10000)/100),2)&amp;"/"&amp;RIGHT("00"&amp;MOD(Sync!$L1064,100),2),""),IFERROR(RIGHT("0000"&amp;VALUE(TRIM(LEFT(Sync!$L1064,FIND("/",Sync!$L1064)-1))),4)&amp;"/"&amp;RIGHT("00"&amp;VALUE(TRIM(LEFT(MID(Sync!$L1064,FIND("/",Sync!$L1064)+1,20),FIND("/",MID(Sync!$L1064,FIND("/",Sync!$L1064)+1,20))-1))),2)&amp;"/"&amp;RIGHT("00"&amp;VALUE(TRIM(MID(MID(Sync!$L1064,FIND("/",Sync!$L1064)+1,20),FIND("/",MID(Sync!$L1064,FIND("/",Sync!$L1064)+1,20))+1,20))),2),"")))</f>
        <v/>
      </c>
    </row>
    <row r="1065" spans="13:14" x14ac:dyDescent="0.2">
      <c r="M1065" t="str">
        <f>IF(Sync!$M1065&lt;&gt;"پاس چک","",IF(Sync!$P1065="","",Sync!$P1065))</f>
        <v/>
      </c>
      <c r="N1065" t="str">
        <f>IF($M1065="","",IF(ISNUMBER(Sync!$L1065),IF(AND(Sync!$L1065&gt;=10000101,Sync!$L1065&lt;=99991231),RIGHT("0000"&amp;INT(Sync!$L1065/10000),4)&amp;"/"&amp;RIGHT("00"&amp;INT(MOD(Sync!$L1065,10000)/100),2)&amp;"/"&amp;RIGHT("00"&amp;MOD(Sync!$L1065,100),2),""),IFERROR(RIGHT("0000"&amp;VALUE(TRIM(LEFT(Sync!$L1065,FIND("/",Sync!$L1065)-1))),4)&amp;"/"&amp;RIGHT("00"&amp;VALUE(TRIM(LEFT(MID(Sync!$L1065,FIND("/",Sync!$L1065)+1,20),FIND("/",MID(Sync!$L1065,FIND("/",Sync!$L1065)+1,20))-1))),2)&amp;"/"&amp;RIGHT("00"&amp;VALUE(TRIM(MID(MID(Sync!$L1065,FIND("/",Sync!$L1065)+1,20),FIND("/",MID(Sync!$L1065,FIND("/",Sync!$L1065)+1,20))+1,20))),2),"")))</f>
        <v/>
      </c>
    </row>
    <row r="1066" spans="13:14" x14ac:dyDescent="0.2">
      <c r="M1066" t="str">
        <f>IF(Sync!$M1066&lt;&gt;"پاس چک","",IF(Sync!$P1066="","",Sync!$P1066))</f>
        <v/>
      </c>
      <c r="N1066" t="str">
        <f>IF($M1066="","",IF(ISNUMBER(Sync!$L1066),IF(AND(Sync!$L1066&gt;=10000101,Sync!$L1066&lt;=99991231),RIGHT("0000"&amp;INT(Sync!$L1066/10000),4)&amp;"/"&amp;RIGHT("00"&amp;INT(MOD(Sync!$L1066,10000)/100),2)&amp;"/"&amp;RIGHT("00"&amp;MOD(Sync!$L1066,100),2),""),IFERROR(RIGHT("0000"&amp;VALUE(TRIM(LEFT(Sync!$L1066,FIND("/",Sync!$L1066)-1))),4)&amp;"/"&amp;RIGHT("00"&amp;VALUE(TRIM(LEFT(MID(Sync!$L1066,FIND("/",Sync!$L1066)+1,20),FIND("/",MID(Sync!$L1066,FIND("/",Sync!$L1066)+1,20))-1))),2)&amp;"/"&amp;RIGHT("00"&amp;VALUE(TRIM(MID(MID(Sync!$L1066,FIND("/",Sync!$L1066)+1,20),FIND("/",MID(Sync!$L1066,FIND("/",Sync!$L1066)+1,20))+1,20))),2),"")))</f>
        <v/>
      </c>
    </row>
    <row r="1067" spans="13:14" x14ac:dyDescent="0.2">
      <c r="M1067" t="str">
        <f>IF(Sync!$M1067&lt;&gt;"پاس چک","",IF(Sync!$P1067="","",Sync!$P1067))</f>
        <v/>
      </c>
      <c r="N1067" t="str">
        <f>IF($M1067="","",IF(ISNUMBER(Sync!$L1067),IF(AND(Sync!$L1067&gt;=10000101,Sync!$L1067&lt;=99991231),RIGHT("0000"&amp;INT(Sync!$L1067/10000),4)&amp;"/"&amp;RIGHT("00"&amp;INT(MOD(Sync!$L1067,10000)/100),2)&amp;"/"&amp;RIGHT("00"&amp;MOD(Sync!$L1067,100),2),""),IFERROR(RIGHT("0000"&amp;VALUE(TRIM(LEFT(Sync!$L1067,FIND("/",Sync!$L1067)-1))),4)&amp;"/"&amp;RIGHT("00"&amp;VALUE(TRIM(LEFT(MID(Sync!$L1067,FIND("/",Sync!$L1067)+1,20),FIND("/",MID(Sync!$L1067,FIND("/",Sync!$L1067)+1,20))-1))),2)&amp;"/"&amp;RIGHT("00"&amp;VALUE(TRIM(MID(MID(Sync!$L1067,FIND("/",Sync!$L1067)+1,20),FIND("/",MID(Sync!$L1067,FIND("/",Sync!$L1067)+1,20))+1,20))),2),"")))</f>
        <v/>
      </c>
    </row>
    <row r="1068" spans="13:14" x14ac:dyDescent="0.2">
      <c r="M1068" t="str">
        <f>IF(Sync!$M1068&lt;&gt;"پاس چک","",IF(Sync!$P1068="","",Sync!$P1068))</f>
        <v/>
      </c>
      <c r="N1068" t="str">
        <f>IF($M1068="","",IF(ISNUMBER(Sync!$L1068),IF(AND(Sync!$L1068&gt;=10000101,Sync!$L1068&lt;=99991231),RIGHT("0000"&amp;INT(Sync!$L1068/10000),4)&amp;"/"&amp;RIGHT("00"&amp;INT(MOD(Sync!$L1068,10000)/100),2)&amp;"/"&amp;RIGHT("00"&amp;MOD(Sync!$L1068,100),2),""),IFERROR(RIGHT("0000"&amp;VALUE(TRIM(LEFT(Sync!$L1068,FIND("/",Sync!$L1068)-1))),4)&amp;"/"&amp;RIGHT("00"&amp;VALUE(TRIM(LEFT(MID(Sync!$L1068,FIND("/",Sync!$L1068)+1,20),FIND("/",MID(Sync!$L1068,FIND("/",Sync!$L1068)+1,20))-1))),2)&amp;"/"&amp;RIGHT("00"&amp;VALUE(TRIM(MID(MID(Sync!$L1068,FIND("/",Sync!$L1068)+1,20),FIND("/",MID(Sync!$L1068,FIND("/",Sync!$L1068)+1,20))+1,20))),2),"")))</f>
        <v/>
      </c>
    </row>
    <row r="1069" spans="13:14" x14ac:dyDescent="0.2">
      <c r="M1069" t="str">
        <f>IF(Sync!$M1069&lt;&gt;"پاس چک","",IF(Sync!$P1069="","",Sync!$P1069))</f>
        <v/>
      </c>
      <c r="N1069" t="str">
        <f>IF($M1069="","",IF(ISNUMBER(Sync!$L1069),IF(AND(Sync!$L1069&gt;=10000101,Sync!$L1069&lt;=99991231),RIGHT("0000"&amp;INT(Sync!$L1069/10000),4)&amp;"/"&amp;RIGHT("00"&amp;INT(MOD(Sync!$L1069,10000)/100),2)&amp;"/"&amp;RIGHT("00"&amp;MOD(Sync!$L1069,100),2),""),IFERROR(RIGHT("0000"&amp;VALUE(TRIM(LEFT(Sync!$L1069,FIND("/",Sync!$L1069)-1))),4)&amp;"/"&amp;RIGHT("00"&amp;VALUE(TRIM(LEFT(MID(Sync!$L1069,FIND("/",Sync!$L1069)+1,20),FIND("/",MID(Sync!$L1069,FIND("/",Sync!$L1069)+1,20))-1))),2)&amp;"/"&amp;RIGHT("00"&amp;VALUE(TRIM(MID(MID(Sync!$L1069,FIND("/",Sync!$L1069)+1,20),FIND("/",MID(Sync!$L1069,FIND("/",Sync!$L1069)+1,20))+1,20))),2),"")))</f>
        <v/>
      </c>
    </row>
    <row r="1070" spans="13:14" x14ac:dyDescent="0.2">
      <c r="M1070" t="str">
        <f>IF(Sync!$M1070&lt;&gt;"پاس چک","",IF(Sync!$P1070="","",Sync!$P1070))</f>
        <v/>
      </c>
      <c r="N1070" t="str">
        <f>IF($M1070="","",IF(ISNUMBER(Sync!$L1070),IF(AND(Sync!$L1070&gt;=10000101,Sync!$L1070&lt;=99991231),RIGHT("0000"&amp;INT(Sync!$L1070/10000),4)&amp;"/"&amp;RIGHT("00"&amp;INT(MOD(Sync!$L1070,10000)/100),2)&amp;"/"&amp;RIGHT("00"&amp;MOD(Sync!$L1070,100),2),""),IFERROR(RIGHT("0000"&amp;VALUE(TRIM(LEFT(Sync!$L1070,FIND("/",Sync!$L1070)-1))),4)&amp;"/"&amp;RIGHT("00"&amp;VALUE(TRIM(LEFT(MID(Sync!$L1070,FIND("/",Sync!$L1070)+1,20),FIND("/",MID(Sync!$L1070,FIND("/",Sync!$L1070)+1,20))-1))),2)&amp;"/"&amp;RIGHT("00"&amp;VALUE(TRIM(MID(MID(Sync!$L1070,FIND("/",Sync!$L1070)+1,20),FIND("/",MID(Sync!$L1070,FIND("/",Sync!$L1070)+1,20))+1,20))),2),"")))</f>
        <v/>
      </c>
    </row>
    <row r="1071" spans="13:14" x14ac:dyDescent="0.2">
      <c r="M1071" t="str">
        <f>IF(Sync!$M1071&lt;&gt;"پاس چک","",IF(Sync!$P1071="","",Sync!$P1071))</f>
        <v/>
      </c>
      <c r="N1071" t="str">
        <f>IF($M1071="","",IF(ISNUMBER(Sync!$L1071),IF(AND(Sync!$L1071&gt;=10000101,Sync!$L1071&lt;=99991231),RIGHT("0000"&amp;INT(Sync!$L1071/10000),4)&amp;"/"&amp;RIGHT("00"&amp;INT(MOD(Sync!$L1071,10000)/100),2)&amp;"/"&amp;RIGHT("00"&amp;MOD(Sync!$L1071,100),2),""),IFERROR(RIGHT("0000"&amp;VALUE(TRIM(LEFT(Sync!$L1071,FIND("/",Sync!$L1071)-1))),4)&amp;"/"&amp;RIGHT("00"&amp;VALUE(TRIM(LEFT(MID(Sync!$L1071,FIND("/",Sync!$L1071)+1,20),FIND("/",MID(Sync!$L1071,FIND("/",Sync!$L1071)+1,20))-1))),2)&amp;"/"&amp;RIGHT("00"&amp;VALUE(TRIM(MID(MID(Sync!$L1071,FIND("/",Sync!$L1071)+1,20),FIND("/",MID(Sync!$L1071,FIND("/",Sync!$L1071)+1,20))+1,20))),2),"")))</f>
        <v/>
      </c>
    </row>
    <row r="1072" spans="13:14" x14ac:dyDescent="0.2">
      <c r="M1072" t="str">
        <f>IF(Sync!$M1072&lt;&gt;"پاس چک","",IF(Sync!$P1072="","",Sync!$P1072))</f>
        <v/>
      </c>
      <c r="N1072" t="str">
        <f>IF($M1072="","",IF(ISNUMBER(Sync!$L1072),IF(AND(Sync!$L1072&gt;=10000101,Sync!$L1072&lt;=99991231),RIGHT("0000"&amp;INT(Sync!$L1072/10000),4)&amp;"/"&amp;RIGHT("00"&amp;INT(MOD(Sync!$L1072,10000)/100),2)&amp;"/"&amp;RIGHT("00"&amp;MOD(Sync!$L1072,100),2),""),IFERROR(RIGHT("0000"&amp;VALUE(TRIM(LEFT(Sync!$L1072,FIND("/",Sync!$L1072)-1))),4)&amp;"/"&amp;RIGHT("00"&amp;VALUE(TRIM(LEFT(MID(Sync!$L1072,FIND("/",Sync!$L1072)+1,20),FIND("/",MID(Sync!$L1072,FIND("/",Sync!$L1072)+1,20))-1))),2)&amp;"/"&amp;RIGHT("00"&amp;VALUE(TRIM(MID(MID(Sync!$L1072,FIND("/",Sync!$L1072)+1,20),FIND("/",MID(Sync!$L1072,FIND("/",Sync!$L1072)+1,20))+1,20))),2),"")))</f>
        <v/>
      </c>
    </row>
    <row r="1073" spans="13:14" x14ac:dyDescent="0.2">
      <c r="M1073" t="str">
        <f>IF(Sync!$M1073&lt;&gt;"پاس چک","",IF(Sync!$P1073="","",Sync!$P1073))</f>
        <v/>
      </c>
      <c r="N1073" t="str">
        <f>IF($M1073="","",IF(ISNUMBER(Sync!$L1073),IF(AND(Sync!$L1073&gt;=10000101,Sync!$L1073&lt;=99991231),RIGHT("0000"&amp;INT(Sync!$L1073/10000),4)&amp;"/"&amp;RIGHT("00"&amp;INT(MOD(Sync!$L1073,10000)/100),2)&amp;"/"&amp;RIGHT("00"&amp;MOD(Sync!$L1073,100),2),""),IFERROR(RIGHT("0000"&amp;VALUE(TRIM(LEFT(Sync!$L1073,FIND("/",Sync!$L1073)-1))),4)&amp;"/"&amp;RIGHT("00"&amp;VALUE(TRIM(LEFT(MID(Sync!$L1073,FIND("/",Sync!$L1073)+1,20),FIND("/",MID(Sync!$L1073,FIND("/",Sync!$L1073)+1,20))-1))),2)&amp;"/"&amp;RIGHT("00"&amp;VALUE(TRIM(MID(MID(Sync!$L1073,FIND("/",Sync!$L1073)+1,20),FIND("/",MID(Sync!$L1073,FIND("/",Sync!$L1073)+1,20))+1,20))),2),"")))</f>
        <v/>
      </c>
    </row>
    <row r="1074" spans="13:14" x14ac:dyDescent="0.2">
      <c r="M1074" t="str">
        <f>IF(Sync!$M1074&lt;&gt;"پاس چک","",IF(Sync!$P1074="","",Sync!$P1074))</f>
        <v/>
      </c>
      <c r="N1074" t="str">
        <f>IF($M1074="","",IF(ISNUMBER(Sync!$L1074),IF(AND(Sync!$L1074&gt;=10000101,Sync!$L1074&lt;=99991231),RIGHT("0000"&amp;INT(Sync!$L1074/10000),4)&amp;"/"&amp;RIGHT("00"&amp;INT(MOD(Sync!$L1074,10000)/100),2)&amp;"/"&amp;RIGHT("00"&amp;MOD(Sync!$L1074,100),2),""),IFERROR(RIGHT("0000"&amp;VALUE(TRIM(LEFT(Sync!$L1074,FIND("/",Sync!$L1074)-1))),4)&amp;"/"&amp;RIGHT("00"&amp;VALUE(TRIM(LEFT(MID(Sync!$L1074,FIND("/",Sync!$L1074)+1,20),FIND("/",MID(Sync!$L1074,FIND("/",Sync!$L1074)+1,20))-1))),2)&amp;"/"&amp;RIGHT("00"&amp;VALUE(TRIM(MID(MID(Sync!$L1074,FIND("/",Sync!$L1074)+1,20),FIND("/",MID(Sync!$L1074,FIND("/",Sync!$L1074)+1,20))+1,20))),2),"")))</f>
        <v/>
      </c>
    </row>
    <row r="1075" spans="13:14" x14ac:dyDescent="0.2">
      <c r="M1075" t="str">
        <f>IF(Sync!$M1075&lt;&gt;"پاس چک","",IF(Sync!$P1075="","",Sync!$P1075))</f>
        <v/>
      </c>
      <c r="N1075" t="str">
        <f>IF($M1075="","",IF(ISNUMBER(Sync!$L1075),IF(AND(Sync!$L1075&gt;=10000101,Sync!$L1075&lt;=99991231),RIGHT("0000"&amp;INT(Sync!$L1075/10000),4)&amp;"/"&amp;RIGHT("00"&amp;INT(MOD(Sync!$L1075,10000)/100),2)&amp;"/"&amp;RIGHT("00"&amp;MOD(Sync!$L1075,100),2),""),IFERROR(RIGHT("0000"&amp;VALUE(TRIM(LEFT(Sync!$L1075,FIND("/",Sync!$L1075)-1))),4)&amp;"/"&amp;RIGHT("00"&amp;VALUE(TRIM(LEFT(MID(Sync!$L1075,FIND("/",Sync!$L1075)+1,20),FIND("/",MID(Sync!$L1075,FIND("/",Sync!$L1075)+1,20))-1))),2)&amp;"/"&amp;RIGHT("00"&amp;VALUE(TRIM(MID(MID(Sync!$L1075,FIND("/",Sync!$L1075)+1,20),FIND("/",MID(Sync!$L1075,FIND("/",Sync!$L1075)+1,20))+1,20))),2),"")))</f>
        <v/>
      </c>
    </row>
    <row r="1076" spans="13:14" x14ac:dyDescent="0.2">
      <c r="M1076" t="str">
        <f>IF(Sync!$M1076&lt;&gt;"پاس چک","",IF(Sync!$P1076="","",Sync!$P1076))</f>
        <v/>
      </c>
      <c r="N1076" t="str">
        <f>IF($M1076="","",IF(ISNUMBER(Sync!$L1076),IF(AND(Sync!$L1076&gt;=10000101,Sync!$L1076&lt;=99991231),RIGHT("0000"&amp;INT(Sync!$L1076/10000),4)&amp;"/"&amp;RIGHT("00"&amp;INT(MOD(Sync!$L1076,10000)/100),2)&amp;"/"&amp;RIGHT("00"&amp;MOD(Sync!$L1076,100),2),""),IFERROR(RIGHT("0000"&amp;VALUE(TRIM(LEFT(Sync!$L1076,FIND("/",Sync!$L1076)-1))),4)&amp;"/"&amp;RIGHT("00"&amp;VALUE(TRIM(LEFT(MID(Sync!$L1076,FIND("/",Sync!$L1076)+1,20),FIND("/",MID(Sync!$L1076,FIND("/",Sync!$L1076)+1,20))-1))),2)&amp;"/"&amp;RIGHT("00"&amp;VALUE(TRIM(MID(MID(Sync!$L1076,FIND("/",Sync!$L1076)+1,20),FIND("/",MID(Sync!$L1076,FIND("/",Sync!$L1076)+1,20))+1,20))),2),"")))</f>
        <v/>
      </c>
    </row>
    <row r="1077" spans="13:14" x14ac:dyDescent="0.2">
      <c r="M1077" t="str">
        <f>IF(Sync!$M1077&lt;&gt;"پاس چک","",IF(Sync!$P1077="","",Sync!$P1077))</f>
        <v/>
      </c>
      <c r="N1077" t="str">
        <f>IF($M1077="","",IF(ISNUMBER(Sync!$L1077),IF(AND(Sync!$L1077&gt;=10000101,Sync!$L1077&lt;=99991231),RIGHT("0000"&amp;INT(Sync!$L1077/10000),4)&amp;"/"&amp;RIGHT("00"&amp;INT(MOD(Sync!$L1077,10000)/100),2)&amp;"/"&amp;RIGHT("00"&amp;MOD(Sync!$L1077,100),2),""),IFERROR(RIGHT("0000"&amp;VALUE(TRIM(LEFT(Sync!$L1077,FIND("/",Sync!$L1077)-1))),4)&amp;"/"&amp;RIGHT("00"&amp;VALUE(TRIM(LEFT(MID(Sync!$L1077,FIND("/",Sync!$L1077)+1,20),FIND("/",MID(Sync!$L1077,FIND("/",Sync!$L1077)+1,20))-1))),2)&amp;"/"&amp;RIGHT("00"&amp;VALUE(TRIM(MID(MID(Sync!$L1077,FIND("/",Sync!$L1077)+1,20),FIND("/",MID(Sync!$L1077,FIND("/",Sync!$L1077)+1,20))+1,20))),2),"")))</f>
        <v/>
      </c>
    </row>
    <row r="1078" spans="13:14" x14ac:dyDescent="0.2">
      <c r="M1078" t="str">
        <f>IF(Sync!$M1078&lt;&gt;"پاس چک","",IF(Sync!$P1078="","",Sync!$P1078))</f>
        <v/>
      </c>
      <c r="N1078" t="str">
        <f>IF($M1078="","",IF(ISNUMBER(Sync!$L1078),IF(AND(Sync!$L1078&gt;=10000101,Sync!$L1078&lt;=99991231),RIGHT("0000"&amp;INT(Sync!$L1078/10000),4)&amp;"/"&amp;RIGHT("00"&amp;INT(MOD(Sync!$L1078,10000)/100),2)&amp;"/"&amp;RIGHT("00"&amp;MOD(Sync!$L1078,100),2),""),IFERROR(RIGHT("0000"&amp;VALUE(TRIM(LEFT(Sync!$L1078,FIND("/",Sync!$L1078)-1))),4)&amp;"/"&amp;RIGHT("00"&amp;VALUE(TRIM(LEFT(MID(Sync!$L1078,FIND("/",Sync!$L1078)+1,20),FIND("/",MID(Sync!$L1078,FIND("/",Sync!$L1078)+1,20))-1))),2)&amp;"/"&amp;RIGHT("00"&amp;VALUE(TRIM(MID(MID(Sync!$L1078,FIND("/",Sync!$L1078)+1,20),FIND("/",MID(Sync!$L1078,FIND("/",Sync!$L1078)+1,20))+1,20))),2),"")))</f>
        <v/>
      </c>
    </row>
    <row r="1079" spans="13:14" x14ac:dyDescent="0.2">
      <c r="M1079" t="str">
        <f>IF(Sync!$M1079&lt;&gt;"پاس چک","",IF(Sync!$P1079="","",Sync!$P1079))</f>
        <v/>
      </c>
      <c r="N1079" t="str">
        <f>IF($M1079="","",IF(ISNUMBER(Sync!$L1079),IF(AND(Sync!$L1079&gt;=10000101,Sync!$L1079&lt;=99991231),RIGHT("0000"&amp;INT(Sync!$L1079/10000),4)&amp;"/"&amp;RIGHT("00"&amp;INT(MOD(Sync!$L1079,10000)/100),2)&amp;"/"&amp;RIGHT("00"&amp;MOD(Sync!$L1079,100),2),""),IFERROR(RIGHT("0000"&amp;VALUE(TRIM(LEFT(Sync!$L1079,FIND("/",Sync!$L1079)-1))),4)&amp;"/"&amp;RIGHT("00"&amp;VALUE(TRIM(LEFT(MID(Sync!$L1079,FIND("/",Sync!$L1079)+1,20),FIND("/",MID(Sync!$L1079,FIND("/",Sync!$L1079)+1,20))-1))),2)&amp;"/"&amp;RIGHT("00"&amp;VALUE(TRIM(MID(MID(Sync!$L1079,FIND("/",Sync!$L1079)+1,20),FIND("/",MID(Sync!$L1079,FIND("/",Sync!$L1079)+1,20))+1,20))),2),"")))</f>
        <v/>
      </c>
    </row>
    <row r="1080" spans="13:14" x14ac:dyDescent="0.2">
      <c r="M1080" t="str">
        <f>IF(Sync!$M1080&lt;&gt;"پاس چک","",IF(Sync!$P1080="","",Sync!$P1080))</f>
        <v/>
      </c>
      <c r="N1080" t="str">
        <f>IF($M1080="","",IF(ISNUMBER(Sync!$L1080),IF(AND(Sync!$L1080&gt;=10000101,Sync!$L1080&lt;=99991231),RIGHT("0000"&amp;INT(Sync!$L1080/10000),4)&amp;"/"&amp;RIGHT("00"&amp;INT(MOD(Sync!$L1080,10000)/100),2)&amp;"/"&amp;RIGHT("00"&amp;MOD(Sync!$L1080,100),2),""),IFERROR(RIGHT("0000"&amp;VALUE(TRIM(LEFT(Sync!$L1080,FIND("/",Sync!$L1080)-1))),4)&amp;"/"&amp;RIGHT("00"&amp;VALUE(TRIM(LEFT(MID(Sync!$L1080,FIND("/",Sync!$L1080)+1,20),FIND("/",MID(Sync!$L1080,FIND("/",Sync!$L1080)+1,20))-1))),2)&amp;"/"&amp;RIGHT("00"&amp;VALUE(TRIM(MID(MID(Sync!$L1080,FIND("/",Sync!$L1080)+1,20),FIND("/",MID(Sync!$L1080,FIND("/",Sync!$L1080)+1,20))+1,20))),2),"")))</f>
        <v/>
      </c>
    </row>
    <row r="1081" spans="13:14" x14ac:dyDescent="0.2">
      <c r="M1081" t="str">
        <f>IF(Sync!$M1081&lt;&gt;"پاس چک","",IF(Sync!$P1081="","",Sync!$P1081))</f>
        <v/>
      </c>
      <c r="N1081" t="str">
        <f>IF($M1081="","",IF(ISNUMBER(Sync!$L1081),IF(AND(Sync!$L1081&gt;=10000101,Sync!$L1081&lt;=99991231),RIGHT("0000"&amp;INT(Sync!$L1081/10000),4)&amp;"/"&amp;RIGHT("00"&amp;INT(MOD(Sync!$L1081,10000)/100),2)&amp;"/"&amp;RIGHT("00"&amp;MOD(Sync!$L1081,100),2),""),IFERROR(RIGHT("0000"&amp;VALUE(TRIM(LEFT(Sync!$L1081,FIND("/",Sync!$L1081)-1))),4)&amp;"/"&amp;RIGHT("00"&amp;VALUE(TRIM(LEFT(MID(Sync!$L1081,FIND("/",Sync!$L1081)+1,20),FIND("/",MID(Sync!$L1081,FIND("/",Sync!$L1081)+1,20))-1))),2)&amp;"/"&amp;RIGHT("00"&amp;VALUE(TRIM(MID(MID(Sync!$L1081,FIND("/",Sync!$L1081)+1,20),FIND("/",MID(Sync!$L1081,FIND("/",Sync!$L1081)+1,20))+1,20))),2),"")))</f>
        <v/>
      </c>
    </row>
    <row r="1082" spans="13:14" x14ac:dyDescent="0.2">
      <c r="M1082" t="str">
        <f>IF(Sync!$M1082&lt;&gt;"پاس چک","",IF(Sync!$P1082="","",Sync!$P1082))</f>
        <v/>
      </c>
      <c r="N1082" t="str">
        <f>IF($M1082="","",IF(ISNUMBER(Sync!$L1082),IF(AND(Sync!$L1082&gt;=10000101,Sync!$L1082&lt;=99991231),RIGHT("0000"&amp;INT(Sync!$L1082/10000),4)&amp;"/"&amp;RIGHT("00"&amp;INT(MOD(Sync!$L1082,10000)/100),2)&amp;"/"&amp;RIGHT("00"&amp;MOD(Sync!$L1082,100),2),""),IFERROR(RIGHT("0000"&amp;VALUE(TRIM(LEFT(Sync!$L1082,FIND("/",Sync!$L1082)-1))),4)&amp;"/"&amp;RIGHT("00"&amp;VALUE(TRIM(LEFT(MID(Sync!$L1082,FIND("/",Sync!$L1082)+1,20),FIND("/",MID(Sync!$L1082,FIND("/",Sync!$L1082)+1,20))-1))),2)&amp;"/"&amp;RIGHT("00"&amp;VALUE(TRIM(MID(MID(Sync!$L1082,FIND("/",Sync!$L1082)+1,20),FIND("/",MID(Sync!$L1082,FIND("/",Sync!$L1082)+1,20))+1,20))),2),"")))</f>
        <v/>
      </c>
    </row>
    <row r="1083" spans="13:14" x14ac:dyDescent="0.2">
      <c r="M1083" t="str">
        <f>IF(Sync!$M1083&lt;&gt;"پاس چک","",IF(Sync!$P1083="","",Sync!$P1083))</f>
        <v/>
      </c>
      <c r="N1083" t="str">
        <f>IF($M1083="","",IF(ISNUMBER(Sync!$L1083),IF(AND(Sync!$L1083&gt;=10000101,Sync!$L1083&lt;=99991231),RIGHT("0000"&amp;INT(Sync!$L1083/10000),4)&amp;"/"&amp;RIGHT("00"&amp;INT(MOD(Sync!$L1083,10000)/100),2)&amp;"/"&amp;RIGHT("00"&amp;MOD(Sync!$L1083,100),2),""),IFERROR(RIGHT("0000"&amp;VALUE(TRIM(LEFT(Sync!$L1083,FIND("/",Sync!$L1083)-1))),4)&amp;"/"&amp;RIGHT("00"&amp;VALUE(TRIM(LEFT(MID(Sync!$L1083,FIND("/",Sync!$L1083)+1,20),FIND("/",MID(Sync!$L1083,FIND("/",Sync!$L1083)+1,20))-1))),2)&amp;"/"&amp;RIGHT("00"&amp;VALUE(TRIM(MID(MID(Sync!$L1083,FIND("/",Sync!$L1083)+1,20),FIND("/",MID(Sync!$L1083,FIND("/",Sync!$L1083)+1,20))+1,20))),2),"")))</f>
        <v/>
      </c>
    </row>
    <row r="1084" spans="13:14" x14ac:dyDescent="0.2">
      <c r="M1084" t="str">
        <f>IF(Sync!$M1084&lt;&gt;"پاس چک","",IF(Sync!$P1084="","",Sync!$P1084))</f>
        <v/>
      </c>
      <c r="N1084" t="str">
        <f>IF($M1084="","",IF(ISNUMBER(Sync!$L1084),IF(AND(Sync!$L1084&gt;=10000101,Sync!$L1084&lt;=99991231),RIGHT("0000"&amp;INT(Sync!$L1084/10000),4)&amp;"/"&amp;RIGHT("00"&amp;INT(MOD(Sync!$L1084,10000)/100),2)&amp;"/"&amp;RIGHT("00"&amp;MOD(Sync!$L1084,100),2),""),IFERROR(RIGHT("0000"&amp;VALUE(TRIM(LEFT(Sync!$L1084,FIND("/",Sync!$L1084)-1))),4)&amp;"/"&amp;RIGHT("00"&amp;VALUE(TRIM(LEFT(MID(Sync!$L1084,FIND("/",Sync!$L1084)+1,20),FIND("/",MID(Sync!$L1084,FIND("/",Sync!$L1084)+1,20))-1))),2)&amp;"/"&amp;RIGHT("00"&amp;VALUE(TRIM(MID(MID(Sync!$L1084,FIND("/",Sync!$L1084)+1,20),FIND("/",MID(Sync!$L1084,FIND("/",Sync!$L1084)+1,20))+1,20))),2),"")))</f>
        <v/>
      </c>
    </row>
    <row r="1085" spans="13:14" x14ac:dyDescent="0.2">
      <c r="M1085" t="str">
        <f>IF(Sync!$M1085&lt;&gt;"پاس چک","",IF(Sync!$P1085="","",Sync!$P1085))</f>
        <v/>
      </c>
      <c r="N1085" t="str">
        <f>IF($M1085="","",IF(ISNUMBER(Sync!$L1085),IF(AND(Sync!$L1085&gt;=10000101,Sync!$L1085&lt;=99991231),RIGHT("0000"&amp;INT(Sync!$L1085/10000),4)&amp;"/"&amp;RIGHT("00"&amp;INT(MOD(Sync!$L1085,10000)/100),2)&amp;"/"&amp;RIGHT("00"&amp;MOD(Sync!$L1085,100),2),""),IFERROR(RIGHT("0000"&amp;VALUE(TRIM(LEFT(Sync!$L1085,FIND("/",Sync!$L1085)-1))),4)&amp;"/"&amp;RIGHT("00"&amp;VALUE(TRIM(LEFT(MID(Sync!$L1085,FIND("/",Sync!$L1085)+1,20),FIND("/",MID(Sync!$L1085,FIND("/",Sync!$L1085)+1,20))-1))),2)&amp;"/"&amp;RIGHT("00"&amp;VALUE(TRIM(MID(MID(Sync!$L1085,FIND("/",Sync!$L1085)+1,20),FIND("/",MID(Sync!$L1085,FIND("/",Sync!$L1085)+1,20))+1,20))),2),"")))</f>
        <v/>
      </c>
    </row>
    <row r="1086" spans="13:14" x14ac:dyDescent="0.2">
      <c r="M1086" t="str">
        <f>IF(Sync!$M1086&lt;&gt;"پاس چک","",IF(Sync!$P1086="","",Sync!$P1086))</f>
        <v/>
      </c>
      <c r="N1086" t="str">
        <f>IF($M1086="","",IF(ISNUMBER(Sync!$L1086),IF(AND(Sync!$L1086&gt;=10000101,Sync!$L1086&lt;=99991231),RIGHT("0000"&amp;INT(Sync!$L1086/10000),4)&amp;"/"&amp;RIGHT("00"&amp;INT(MOD(Sync!$L1086,10000)/100),2)&amp;"/"&amp;RIGHT("00"&amp;MOD(Sync!$L1086,100),2),""),IFERROR(RIGHT("0000"&amp;VALUE(TRIM(LEFT(Sync!$L1086,FIND("/",Sync!$L1086)-1))),4)&amp;"/"&amp;RIGHT("00"&amp;VALUE(TRIM(LEFT(MID(Sync!$L1086,FIND("/",Sync!$L1086)+1,20),FIND("/",MID(Sync!$L1086,FIND("/",Sync!$L1086)+1,20))-1))),2)&amp;"/"&amp;RIGHT("00"&amp;VALUE(TRIM(MID(MID(Sync!$L1086,FIND("/",Sync!$L1086)+1,20),FIND("/",MID(Sync!$L1086,FIND("/",Sync!$L1086)+1,20))+1,20))),2),"")))</f>
        <v/>
      </c>
    </row>
    <row r="1087" spans="13:14" x14ac:dyDescent="0.2">
      <c r="M1087" t="str">
        <f>IF(Sync!$M1087&lt;&gt;"پاس چک","",IF(Sync!$P1087="","",Sync!$P1087))</f>
        <v/>
      </c>
      <c r="N1087" t="str">
        <f>IF($M1087="","",IF(ISNUMBER(Sync!$L1087),IF(AND(Sync!$L1087&gt;=10000101,Sync!$L1087&lt;=99991231),RIGHT("0000"&amp;INT(Sync!$L1087/10000),4)&amp;"/"&amp;RIGHT("00"&amp;INT(MOD(Sync!$L1087,10000)/100),2)&amp;"/"&amp;RIGHT("00"&amp;MOD(Sync!$L1087,100),2),""),IFERROR(RIGHT("0000"&amp;VALUE(TRIM(LEFT(Sync!$L1087,FIND("/",Sync!$L1087)-1))),4)&amp;"/"&amp;RIGHT("00"&amp;VALUE(TRIM(LEFT(MID(Sync!$L1087,FIND("/",Sync!$L1087)+1,20),FIND("/",MID(Sync!$L1087,FIND("/",Sync!$L1087)+1,20))-1))),2)&amp;"/"&amp;RIGHT("00"&amp;VALUE(TRIM(MID(MID(Sync!$L1087,FIND("/",Sync!$L1087)+1,20),FIND("/",MID(Sync!$L1087,FIND("/",Sync!$L1087)+1,20))+1,20))),2),"")))</f>
        <v/>
      </c>
    </row>
    <row r="1088" spans="13:14" x14ac:dyDescent="0.2">
      <c r="M1088" t="str">
        <f>IF(Sync!$M1088&lt;&gt;"پاس چک","",IF(Sync!$P1088="","",Sync!$P1088))</f>
        <v/>
      </c>
      <c r="N1088" t="str">
        <f>IF($M1088="","",IF(ISNUMBER(Sync!$L1088),IF(AND(Sync!$L1088&gt;=10000101,Sync!$L1088&lt;=99991231),RIGHT("0000"&amp;INT(Sync!$L1088/10000),4)&amp;"/"&amp;RIGHT("00"&amp;INT(MOD(Sync!$L1088,10000)/100),2)&amp;"/"&amp;RIGHT("00"&amp;MOD(Sync!$L1088,100),2),""),IFERROR(RIGHT("0000"&amp;VALUE(TRIM(LEFT(Sync!$L1088,FIND("/",Sync!$L1088)-1))),4)&amp;"/"&amp;RIGHT("00"&amp;VALUE(TRIM(LEFT(MID(Sync!$L1088,FIND("/",Sync!$L1088)+1,20),FIND("/",MID(Sync!$L1088,FIND("/",Sync!$L1088)+1,20))-1))),2)&amp;"/"&amp;RIGHT("00"&amp;VALUE(TRIM(MID(MID(Sync!$L1088,FIND("/",Sync!$L1088)+1,20),FIND("/",MID(Sync!$L1088,FIND("/",Sync!$L1088)+1,20))+1,20))),2),"")))</f>
        <v/>
      </c>
    </row>
    <row r="1089" spans="13:14" x14ac:dyDescent="0.2">
      <c r="M1089" t="str">
        <f>IF(Sync!$M1089&lt;&gt;"پاس چک","",IF(Sync!$P1089="","",Sync!$P1089))</f>
        <v/>
      </c>
      <c r="N1089" t="str">
        <f>IF($M1089="","",IF(ISNUMBER(Sync!$L1089),IF(AND(Sync!$L1089&gt;=10000101,Sync!$L1089&lt;=99991231),RIGHT("0000"&amp;INT(Sync!$L1089/10000),4)&amp;"/"&amp;RIGHT("00"&amp;INT(MOD(Sync!$L1089,10000)/100),2)&amp;"/"&amp;RIGHT("00"&amp;MOD(Sync!$L1089,100),2),""),IFERROR(RIGHT("0000"&amp;VALUE(TRIM(LEFT(Sync!$L1089,FIND("/",Sync!$L1089)-1))),4)&amp;"/"&amp;RIGHT("00"&amp;VALUE(TRIM(LEFT(MID(Sync!$L1089,FIND("/",Sync!$L1089)+1,20),FIND("/",MID(Sync!$L1089,FIND("/",Sync!$L1089)+1,20))-1))),2)&amp;"/"&amp;RIGHT("00"&amp;VALUE(TRIM(MID(MID(Sync!$L1089,FIND("/",Sync!$L1089)+1,20),FIND("/",MID(Sync!$L1089,FIND("/",Sync!$L1089)+1,20))+1,20))),2),"")))</f>
        <v/>
      </c>
    </row>
    <row r="1090" spans="13:14" x14ac:dyDescent="0.2">
      <c r="M1090" t="str">
        <f>IF(Sync!$M1090&lt;&gt;"پاس چک","",IF(Sync!$P1090="","",Sync!$P1090))</f>
        <v/>
      </c>
      <c r="N1090" t="str">
        <f>IF($M1090="","",IF(ISNUMBER(Sync!$L1090),IF(AND(Sync!$L1090&gt;=10000101,Sync!$L1090&lt;=99991231),RIGHT("0000"&amp;INT(Sync!$L1090/10000),4)&amp;"/"&amp;RIGHT("00"&amp;INT(MOD(Sync!$L1090,10000)/100),2)&amp;"/"&amp;RIGHT("00"&amp;MOD(Sync!$L1090,100),2),""),IFERROR(RIGHT("0000"&amp;VALUE(TRIM(LEFT(Sync!$L1090,FIND("/",Sync!$L1090)-1))),4)&amp;"/"&amp;RIGHT("00"&amp;VALUE(TRIM(LEFT(MID(Sync!$L1090,FIND("/",Sync!$L1090)+1,20),FIND("/",MID(Sync!$L1090,FIND("/",Sync!$L1090)+1,20))-1))),2)&amp;"/"&amp;RIGHT("00"&amp;VALUE(TRIM(MID(MID(Sync!$L1090,FIND("/",Sync!$L1090)+1,20),FIND("/",MID(Sync!$L1090,FIND("/",Sync!$L1090)+1,20))+1,20))),2),"")))</f>
        <v/>
      </c>
    </row>
    <row r="1091" spans="13:14" x14ac:dyDescent="0.2">
      <c r="M1091" t="str">
        <f>IF(Sync!$M1091&lt;&gt;"پاس چک","",IF(Sync!$P1091="","",Sync!$P1091))</f>
        <v/>
      </c>
      <c r="N1091" t="str">
        <f>IF($M1091="","",IF(ISNUMBER(Sync!$L1091),IF(AND(Sync!$L1091&gt;=10000101,Sync!$L1091&lt;=99991231),RIGHT("0000"&amp;INT(Sync!$L1091/10000),4)&amp;"/"&amp;RIGHT("00"&amp;INT(MOD(Sync!$L1091,10000)/100),2)&amp;"/"&amp;RIGHT("00"&amp;MOD(Sync!$L1091,100),2),""),IFERROR(RIGHT("0000"&amp;VALUE(TRIM(LEFT(Sync!$L1091,FIND("/",Sync!$L1091)-1))),4)&amp;"/"&amp;RIGHT("00"&amp;VALUE(TRIM(LEFT(MID(Sync!$L1091,FIND("/",Sync!$L1091)+1,20),FIND("/",MID(Sync!$L1091,FIND("/",Sync!$L1091)+1,20))-1))),2)&amp;"/"&amp;RIGHT("00"&amp;VALUE(TRIM(MID(MID(Sync!$L1091,FIND("/",Sync!$L1091)+1,20),FIND("/",MID(Sync!$L1091,FIND("/",Sync!$L1091)+1,20))+1,20))),2),"")))</f>
        <v/>
      </c>
    </row>
    <row r="1092" spans="13:14" x14ac:dyDescent="0.2">
      <c r="M1092" t="str">
        <f>IF(Sync!$M1092&lt;&gt;"پاس چک","",IF(Sync!$P1092="","",Sync!$P1092))</f>
        <v/>
      </c>
      <c r="N1092" t="str">
        <f>IF($M1092="","",IF(ISNUMBER(Sync!$L1092),IF(AND(Sync!$L1092&gt;=10000101,Sync!$L1092&lt;=99991231),RIGHT("0000"&amp;INT(Sync!$L1092/10000),4)&amp;"/"&amp;RIGHT("00"&amp;INT(MOD(Sync!$L1092,10000)/100),2)&amp;"/"&amp;RIGHT("00"&amp;MOD(Sync!$L1092,100),2),""),IFERROR(RIGHT("0000"&amp;VALUE(TRIM(LEFT(Sync!$L1092,FIND("/",Sync!$L1092)-1))),4)&amp;"/"&amp;RIGHT("00"&amp;VALUE(TRIM(LEFT(MID(Sync!$L1092,FIND("/",Sync!$L1092)+1,20),FIND("/",MID(Sync!$L1092,FIND("/",Sync!$L1092)+1,20))-1))),2)&amp;"/"&amp;RIGHT("00"&amp;VALUE(TRIM(MID(MID(Sync!$L1092,FIND("/",Sync!$L1092)+1,20),FIND("/",MID(Sync!$L1092,FIND("/",Sync!$L1092)+1,20))+1,20))),2),"")))</f>
        <v/>
      </c>
    </row>
    <row r="1093" spans="13:14" x14ac:dyDescent="0.2">
      <c r="M1093" t="str">
        <f>IF(Sync!$M1093&lt;&gt;"پاس چک","",IF(Sync!$P1093="","",Sync!$P1093))</f>
        <v/>
      </c>
      <c r="N1093" t="str">
        <f>IF($M1093="","",IF(ISNUMBER(Sync!$L1093),IF(AND(Sync!$L1093&gt;=10000101,Sync!$L1093&lt;=99991231),RIGHT("0000"&amp;INT(Sync!$L1093/10000),4)&amp;"/"&amp;RIGHT("00"&amp;INT(MOD(Sync!$L1093,10000)/100),2)&amp;"/"&amp;RIGHT("00"&amp;MOD(Sync!$L1093,100),2),""),IFERROR(RIGHT("0000"&amp;VALUE(TRIM(LEFT(Sync!$L1093,FIND("/",Sync!$L1093)-1))),4)&amp;"/"&amp;RIGHT("00"&amp;VALUE(TRIM(LEFT(MID(Sync!$L1093,FIND("/",Sync!$L1093)+1,20),FIND("/",MID(Sync!$L1093,FIND("/",Sync!$L1093)+1,20))-1))),2)&amp;"/"&amp;RIGHT("00"&amp;VALUE(TRIM(MID(MID(Sync!$L1093,FIND("/",Sync!$L1093)+1,20),FIND("/",MID(Sync!$L1093,FIND("/",Sync!$L1093)+1,20))+1,20))),2),"")))</f>
        <v/>
      </c>
    </row>
    <row r="1094" spans="13:14" x14ac:dyDescent="0.2">
      <c r="M1094" t="str">
        <f>IF(Sync!$M1094&lt;&gt;"پاس چک","",IF(Sync!$P1094="","",Sync!$P1094))</f>
        <v/>
      </c>
      <c r="N1094" t="str">
        <f>IF($M1094="","",IF(ISNUMBER(Sync!$L1094),IF(AND(Sync!$L1094&gt;=10000101,Sync!$L1094&lt;=99991231),RIGHT("0000"&amp;INT(Sync!$L1094/10000),4)&amp;"/"&amp;RIGHT("00"&amp;INT(MOD(Sync!$L1094,10000)/100),2)&amp;"/"&amp;RIGHT("00"&amp;MOD(Sync!$L1094,100),2),""),IFERROR(RIGHT("0000"&amp;VALUE(TRIM(LEFT(Sync!$L1094,FIND("/",Sync!$L1094)-1))),4)&amp;"/"&amp;RIGHT("00"&amp;VALUE(TRIM(LEFT(MID(Sync!$L1094,FIND("/",Sync!$L1094)+1,20),FIND("/",MID(Sync!$L1094,FIND("/",Sync!$L1094)+1,20))-1))),2)&amp;"/"&amp;RIGHT("00"&amp;VALUE(TRIM(MID(MID(Sync!$L1094,FIND("/",Sync!$L1094)+1,20),FIND("/",MID(Sync!$L1094,FIND("/",Sync!$L1094)+1,20))+1,20))),2),"")))</f>
        <v/>
      </c>
    </row>
    <row r="1095" spans="13:14" x14ac:dyDescent="0.2">
      <c r="M1095" t="str">
        <f>IF(Sync!$M1095&lt;&gt;"پاس چک","",IF(Sync!$P1095="","",Sync!$P1095))</f>
        <v/>
      </c>
      <c r="N1095" t="str">
        <f>IF($M1095="","",IF(ISNUMBER(Sync!$L1095),IF(AND(Sync!$L1095&gt;=10000101,Sync!$L1095&lt;=99991231),RIGHT("0000"&amp;INT(Sync!$L1095/10000),4)&amp;"/"&amp;RIGHT("00"&amp;INT(MOD(Sync!$L1095,10000)/100),2)&amp;"/"&amp;RIGHT("00"&amp;MOD(Sync!$L1095,100),2),""),IFERROR(RIGHT("0000"&amp;VALUE(TRIM(LEFT(Sync!$L1095,FIND("/",Sync!$L1095)-1))),4)&amp;"/"&amp;RIGHT("00"&amp;VALUE(TRIM(LEFT(MID(Sync!$L1095,FIND("/",Sync!$L1095)+1,20),FIND("/",MID(Sync!$L1095,FIND("/",Sync!$L1095)+1,20))-1))),2)&amp;"/"&amp;RIGHT("00"&amp;VALUE(TRIM(MID(MID(Sync!$L1095,FIND("/",Sync!$L1095)+1,20),FIND("/",MID(Sync!$L1095,FIND("/",Sync!$L1095)+1,20))+1,20))),2),"")))</f>
        <v/>
      </c>
    </row>
    <row r="1096" spans="13:14" x14ac:dyDescent="0.2">
      <c r="M1096" t="str">
        <f>IF(Sync!$M1096&lt;&gt;"پاس چک","",IF(Sync!$P1096="","",Sync!$P1096))</f>
        <v/>
      </c>
      <c r="N1096" t="str">
        <f>IF($M1096="","",IF(ISNUMBER(Sync!$L1096),IF(AND(Sync!$L1096&gt;=10000101,Sync!$L1096&lt;=99991231),RIGHT("0000"&amp;INT(Sync!$L1096/10000),4)&amp;"/"&amp;RIGHT("00"&amp;INT(MOD(Sync!$L1096,10000)/100),2)&amp;"/"&amp;RIGHT("00"&amp;MOD(Sync!$L1096,100),2),""),IFERROR(RIGHT("0000"&amp;VALUE(TRIM(LEFT(Sync!$L1096,FIND("/",Sync!$L1096)-1))),4)&amp;"/"&amp;RIGHT("00"&amp;VALUE(TRIM(LEFT(MID(Sync!$L1096,FIND("/",Sync!$L1096)+1,20),FIND("/",MID(Sync!$L1096,FIND("/",Sync!$L1096)+1,20))-1))),2)&amp;"/"&amp;RIGHT("00"&amp;VALUE(TRIM(MID(MID(Sync!$L1096,FIND("/",Sync!$L1096)+1,20),FIND("/",MID(Sync!$L1096,FIND("/",Sync!$L1096)+1,20))+1,20))),2),"")))</f>
        <v/>
      </c>
    </row>
    <row r="1097" spans="13:14" x14ac:dyDescent="0.2">
      <c r="M1097" t="str">
        <f>IF(Sync!$M1097&lt;&gt;"پاس چک","",IF(Sync!$P1097="","",Sync!$P1097))</f>
        <v/>
      </c>
      <c r="N1097" t="str">
        <f>IF($M1097="","",IF(ISNUMBER(Sync!$L1097),IF(AND(Sync!$L1097&gt;=10000101,Sync!$L1097&lt;=99991231),RIGHT("0000"&amp;INT(Sync!$L1097/10000),4)&amp;"/"&amp;RIGHT("00"&amp;INT(MOD(Sync!$L1097,10000)/100),2)&amp;"/"&amp;RIGHT("00"&amp;MOD(Sync!$L1097,100),2),""),IFERROR(RIGHT("0000"&amp;VALUE(TRIM(LEFT(Sync!$L1097,FIND("/",Sync!$L1097)-1))),4)&amp;"/"&amp;RIGHT("00"&amp;VALUE(TRIM(LEFT(MID(Sync!$L1097,FIND("/",Sync!$L1097)+1,20),FIND("/",MID(Sync!$L1097,FIND("/",Sync!$L1097)+1,20))-1))),2)&amp;"/"&amp;RIGHT("00"&amp;VALUE(TRIM(MID(MID(Sync!$L1097,FIND("/",Sync!$L1097)+1,20),FIND("/",MID(Sync!$L1097,FIND("/",Sync!$L1097)+1,20))+1,20))),2),"")))</f>
        <v/>
      </c>
    </row>
    <row r="1098" spans="13:14" x14ac:dyDescent="0.2">
      <c r="M1098" t="str">
        <f>IF(Sync!$M1098&lt;&gt;"پاس چک","",IF(Sync!$P1098="","",Sync!$P1098))</f>
        <v/>
      </c>
      <c r="N1098" t="str">
        <f>IF($M1098="","",IF(ISNUMBER(Sync!$L1098),IF(AND(Sync!$L1098&gt;=10000101,Sync!$L1098&lt;=99991231),RIGHT("0000"&amp;INT(Sync!$L1098/10000),4)&amp;"/"&amp;RIGHT("00"&amp;INT(MOD(Sync!$L1098,10000)/100),2)&amp;"/"&amp;RIGHT("00"&amp;MOD(Sync!$L1098,100),2),""),IFERROR(RIGHT("0000"&amp;VALUE(TRIM(LEFT(Sync!$L1098,FIND("/",Sync!$L1098)-1))),4)&amp;"/"&amp;RIGHT("00"&amp;VALUE(TRIM(LEFT(MID(Sync!$L1098,FIND("/",Sync!$L1098)+1,20),FIND("/",MID(Sync!$L1098,FIND("/",Sync!$L1098)+1,20))-1))),2)&amp;"/"&amp;RIGHT("00"&amp;VALUE(TRIM(MID(MID(Sync!$L1098,FIND("/",Sync!$L1098)+1,20),FIND("/",MID(Sync!$L1098,FIND("/",Sync!$L1098)+1,20))+1,20))),2),"")))</f>
        <v/>
      </c>
    </row>
    <row r="1099" spans="13:14" x14ac:dyDescent="0.2">
      <c r="M1099" t="str">
        <f>IF(Sync!$M1099&lt;&gt;"پاس چک","",IF(Sync!$P1099="","",Sync!$P1099))</f>
        <v/>
      </c>
      <c r="N1099" t="str">
        <f>IF($M1099="","",IF(ISNUMBER(Sync!$L1099),IF(AND(Sync!$L1099&gt;=10000101,Sync!$L1099&lt;=99991231),RIGHT("0000"&amp;INT(Sync!$L1099/10000),4)&amp;"/"&amp;RIGHT("00"&amp;INT(MOD(Sync!$L1099,10000)/100),2)&amp;"/"&amp;RIGHT("00"&amp;MOD(Sync!$L1099,100),2),""),IFERROR(RIGHT("0000"&amp;VALUE(TRIM(LEFT(Sync!$L1099,FIND("/",Sync!$L1099)-1))),4)&amp;"/"&amp;RIGHT("00"&amp;VALUE(TRIM(LEFT(MID(Sync!$L1099,FIND("/",Sync!$L1099)+1,20),FIND("/",MID(Sync!$L1099,FIND("/",Sync!$L1099)+1,20))-1))),2)&amp;"/"&amp;RIGHT("00"&amp;VALUE(TRIM(MID(MID(Sync!$L1099,FIND("/",Sync!$L1099)+1,20),FIND("/",MID(Sync!$L1099,FIND("/",Sync!$L1099)+1,20))+1,20))),2),"")))</f>
        <v/>
      </c>
    </row>
    <row r="1100" spans="13:14" x14ac:dyDescent="0.2">
      <c r="M1100" t="str">
        <f>IF(Sync!$M1100&lt;&gt;"پاس چک","",IF(Sync!$P1100="","",Sync!$P1100))</f>
        <v/>
      </c>
      <c r="N1100" t="str">
        <f>IF($M1100="","",IF(ISNUMBER(Sync!$L1100),IF(AND(Sync!$L1100&gt;=10000101,Sync!$L1100&lt;=99991231),RIGHT("0000"&amp;INT(Sync!$L1100/10000),4)&amp;"/"&amp;RIGHT("00"&amp;INT(MOD(Sync!$L1100,10000)/100),2)&amp;"/"&amp;RIGHT("00"&amp;MOD(Sync!$L1100,100),2),""),IFERROR(RIGHT("0000"&amp;VALUE(TRIM(LEFT(Sync!$L1100,FIND("/",Sync!$L1100)-1))),4)&amp;"/"&amp;RIGHT("00"&amp;VALUE(TRIM(LEFT(MID(Sync!$L1100,FIND("/",Sync!$L1100)+1,20),FIND("/",MID(Sync!$L1100,FIND("/",Sync!$L1100)+1,20))-1))),2)&amp;"/"&amp;RIGHT("00"&amp;VALUE(TRIM(MID(MID(Sync!$L1100,FIND("/",Sync!$L1100)+1,20),FIND("/",MID(Sync!$L1100,FIND("/",Sync!$L1100)+1,20))+1,20))),2),"")))</f>
        <v/>
      </c>
    </row>
    <row r="1101" spans="13:14" x14ac:dyDescent="0.2">
      <c r="M1101" t="str">
        <f>IF(Sync!$M1101&lt;&gt;"پاس چک","",IF(Sync!$P1101="","",Sync!$P1101))</f>
        <v/>
      </c>
      <c r="N1101" t="str">
        <f>IF($M1101="","",IF(ISNUMBER(Sync!$L1101),IF(AND(Sync!$L1101&gt;=10000101,Sync!$L1101&lt;=99991231),RIGHT("0000"&amp;INT(Sync!$L1101/10000),4)&amp;"/"&amp;RIGHT("00"&amp;INT(MOD(Sync!$L1101,10000)/100),2)&amp;"/"&amp;RIGHT("00"&amp;MOD(Sync!$L1101,100),2),""),IFERROR(RIGHT("0000"&amp;VALUE(TRIM(LEFT(Sync!$L1101,FIND("/",Sync!$L1101)-1))),4)&amp;"/"&amp;RIGHT("00"&amp;VALUE(TRIM(LEFT(MID(Sync!$L1101,FIND("/",Sync!$L1101)+1,20),FIND("/",MID(Sync!$L1101,FIND("/",Sync!$L1101)+1,20))-1))),2)&amp;"/"&amp;RIGHT("00"&amp;VALUE(TRIM(MID(MID(Sync!$L1101,FIND("/",Sync!$L1101)+1,20),FIND("/",MID(Sync!$L1101,FIND("/",Sync!$L1101)+1,20))+1,20))),2),"")))</f>
        <v/>
      </c>
    </row>
    <row r="1102" spans="13:14" x14ac:dyDescent="0.2">
      <c r="M1102" t="str">
        <f>IF(Sync!$M1102&lt;&gt;"پاس چک","",IF(Sync!$P1102="","",Sync!$P1102))</f>
        <v/>
      </c>
      <c r="N1102" t="str">
        <f>IF($M1102="","",IF(ISNUMBER(Sync!$L1102),IF(AND(Sync!$L1102&gt;=10000101,Sync!$L1102&lt;=99991231),RIGHT("0000"&amp;INT(Sync!$L1102/10000),4)&amp;"/"&amp;RIGHT("00"&amp;INT(MOD(Sync!$L1102,10000)/100),2)&amp;"/"&amp;RIGHT("00"&amp;MOD(Sync!$L1102,100),2),""),IFERROR(RIGHT("0000"&amp;VALUE(TRIM(LEFT(Sync!$L1102,FIND("/",Sync!$L1102)-1))),4)&amp;"/"&amp;RIGHT("00"&amp;VALUE(TRIM(LEFT(MID(Sync!$L1102,FIND("/",Sync!$L1102)+1,20),FIND("/",MID(Sync!$L1102,FIND("/",Sync!$L1102)+1,20))-1))),2)&amp;"/"&amp;RIGHT("00"&amp;VALUE(TRIM(MID(MID(Sync!$L1102,FIND("/",Sync!$L1102)+1,20),FIND("/",MID(Sync!$L1102,FIND("/",Sync!$L1102)+1,20))+1,20))),2),"")))</f>
        <v/>
      </c>
    </row>
    <row r="1103" spans="13:14" x14ac:dyDescent="0.2">
      <c r="M1103" t="str">
        <f>IF(Sync!$M1103&lt;&gt;"پاس چک","",IF(Sync!$P1103="","",Sync!$P1103))</f>
        <v/>
      </c>
      <c r="N1103" t="str">
        <f>IF($M1103="","",IF(ISNUMBER(Sync!$L1103),IF(AND(Sync!$L1103&gt;=10000101,Sync!$L1103&lt;=99991231),RIGHT("0000"&amp;INT(Sync!$L1103/10000),4)&amp;"/"&amp;RIGHT("00"&amp;INT(MOD(Sync!$L1103,10000)/100),2)&amp;"/"&amp;RIGHT("00"&amp;MOD(Sync!$L1103,100),2),""),IFERROR(RIGHT("0000"&amp;VALUE(TRIM(LEFT(Sync!$L1103,FIND("/",Sync!$L1103)-1))),4)&amp;"/"&amp;RIGHT("00"&amp;VALUE(TRIM(LEFT(MID(Sync!$L1103,FIND("/",Sync!$L1103)+1,20),FIND("/",MID(Sync!$L1103,FIND("/",Sync!$L1103)+1,20))-1))),2)&amp;"/"&amp;RIGHT("00"&amp;VALUE(TRIM(MID(MID(Sync!$L1103,FIND("/",Sync!$L1103)+1,20),FIND("/",MID(Sync!$L1103,FIND("/",Sync!$L1103)+1,20))+1,20))),2),"")))</f>
        <v/>
      </c>
    </row>
    <row r="1104" spans="13:14" x14ac:dyDescent="0.2">
      <c r="M1104" t="str">
        <f>IF(Sync!$M1104&lt;&gt;"پاس چک","",IF(Sync!$P1104="","",Sync!$P1104))</f>
        <v/>
      </c>
      <c r="N1104" t="str">
        <f>IF($M1104="","",IF(ISNUMBER(Sync!$L1104),IF(AND(Sync!$L1104&gt;=10000101,Sync!$L1104&lt;=99991231),RIGHT("0000"&amp;INT(Sync!$L1104/10000),4)&amp;"/"&amp;RIGHT("00"&amp;INT(MOD(Sync!$L1104,10000)/100),2)&amp;"/"&amp;RIGHT("00"&amp;MOD(Sync!$L1104,100),2),""),IFERROR(RIGHT("0000"&amp;VALUE(TRIM(LEFT(Sync!$L1104,FIND("/",Sync!$L1104)-1))),4)&amp;"/"&amp;RIGHT("00"&amp;VALUE(TRIM(LEFT(MID(Sync!$L1104,FIND("/",Sync!$L1104)+1,20),FIND("/",MID(Sync!$L1104,FIND("/",Sync!$L1104)+1,20))-1))),2)&amp;"/"&amp;RIGHT("00"&amp;VALUE(TRIM(MID(MID(Sync!$L1104,FIND("/",Sync!$L1104)+1,20),FIND("/",MID(Sync!$L1104,FIND("/",Sync!$L1104)+1,20))+1,20))),2),"")))</f>
        <v/>
      </c>
    </row>
    <row r="1105" spans="13:14" x14ac:dyDescent="0.2">
      <c r="M1105" t="str">
        <f>IF(Sync!$M1105&lt;&gt;"پاس چک","",IF(Sync!$P1105="","",Sync!$P1105))</f>
        <v/>
      </c>
      <c r="N1105" t="str">
        <f>IF($M1105="","",IF(ISNUMBER(Sync!$L1105),IF(AND(Sync!$L1105&gt;=10000101,Sync!$L1105&lt;=99991231),RIGHT("0000"&amp;INT(Sync!$L1105/10000),4)&amp;"/"&amp;RIGHT("00"&amp;INT(MOD(Sync!$L1105,10000)/100),2)&amp;"/"&amp;RIGHT("00"&amp;MOD(Sync!$L1105,100),2),""),IFERROR(RIGHT("0000"&amp;VALUE(TRIM(LEFT(Sync!$L1105,FIND("/",Sync!$L1105)-1))),4)&amp;"/"&amp;RIGHT("00"&amp;VALUE(TRIM(LEFT(MID(Sync!$L1105,FIND("/",Sync!$L1105)+1,20),FIND("/",MID(Sync!$L1105,FIND("/",Sync!$L1105)+1,20))-1))),2)&amp;"/"&amp;RIGHT("00"&amp;VALUE(TRIM(MID(MID(Sync!$L1105,FIND("/",Sync!$L1105)+1,20),FIND("/",MID(Sync!$L1105,FIND("/",Sync!$L1105)+1,20))+1,20))),2),"")))</f>
        <v/>
      </c>
    </row>
    <row r="1106" spans="13:14" x14ac:dyDescent="0.2">
      <c r="M1106" t="str">
        <f>IF(Sync!$M1106&lt;&gt;"پاس چک","",IF(Sync!$P1106="","",Sync!$P1106))</f>
        <v/>
      </c>
      <c r="N1106" t="str">
        <f>IF($M1106="","",IF(ISNUMBER(Sync!$L1106),IF(AND(Sync!$L1106&gt;=10000101,Sync!$L1106&lt;=99991231),RIGHT("0000"&amp;INT(Sync!$L1106/10000),4)&amp;"/"&amp;RIGHT("00"&amp;INT(MOD(Sync!$L1106,10000)/100),2)&amp;"/"&amp;RIGHT("00"&amp;MOD(Sync!$L1106,100),2),""),IFERROR(RIGHT("0000"&amp;VALUE(TRIM(LEFT(Sync!$L1106,FIND("/",Sync!$L1106)-1))),4)&amp;"/"&amp;RIGHT("00"&amp;VALUE(TRIM(LEFT(MID(Sync!$L1106,FIND("/",Sync!$L1106)+1,20),FIND("/",MID(Sync!$L1106,FIND("/",Sync!$L1106)+1,20))-1))),2)&amp;"/"&amp;RIGHT("00"&amp;VALUE(TRIM(MID(MID(Sync!$L1106,FIND("/",Sync!$L1106)+1,20),FIND("/",MID(Sync!$L1106,FIND("/",Sync!$L1106)+1,20))+1,20))),2),"")))</f>
        <v/>
      </c>
    </row>
    <row r="1107" spans="13:14" x14ac:dyDescent="0.2">
      <c r="M1107" t="str">
        <f>IF(Sync!$M1107&lt;&gt;"پاس چک","",IF(Sync!$P1107="","",Sync!$P1107))</f>
        <v/>
      </c>
      <c r="N1107" t="str">
        <f>IF($M1107="","",IF(ISNUMBER(Sync!$L1107),IF(AND(Sync!$L1107&gt;=10000101,Sync!$L1107&lt;=99991231),RIGHT("0000"&amp;INT(Sync!$L1107/10000),4)&amp;"/"&amp;RIGHT("00"&amp;INT(MOD(Sync!$L1107,10000)/100),2)&amp;"/"&amp;RIGHT("00"&amp;MOD(Sync!$L1107,100),2),""),IFERROR(RIGHT("0000"&amp;VALUE(TRIM(LEFT(Sync!$L1107,FIND("/",Sync!$L1107)-1))),4)&amp;"/"&amp;RIGHT("00"&amp;VALUE(TRIM(LEFT(MID(Sync!$L1107,FIND("/",Sync!$L1107)+1,20),FIND("/",MID(Sync!$L1107,FIND("/",Sync!$L1107)+1,20))-1))),2)&amp;"/"&amp;RIGHT("00"&amp;VALUE(TRIM(MID(MID(Sync!$L1107,FIND("/",Sync!$L1107)+1,20),FIND("/",MID(Sync!$L1107,FIND("/",Sync!$L1107)+1,20))+1,20))),2),"")))</f>
        <v/>
      </c>
    </row>
    <row r="1108" spans="13:14" x14ac:dyDescent="0.2">
      <c r="M1108" t="str">
        <f>IF(Sync!$M1108&lt;&gt;"پاس چک","",IF(Sync!$P1108="","",Sync!$P1108))</f>
        <v/>
      </c>
      <c r="N1108" t="str">
        <f>IF($M1108="","",IF(ISNUMBER(Sync!$L1108),IF(AND(Sync!$L1108&gt;=10000101,Sync!$L1108&lt;=99991231),RIGHT("0000"&amp;INT(Sync!$L1108/10000),4)&amp;"/"&amp;RIGHT("00"&amp;INT(MOD(Sync!$L1108,10000)/100),2)&amp;"/"&amp;RIGHT("00"&amp;MOD(Sync!$L1108,100),2),""),IFERROR(RIGHT("0000"&amp;VALUE(TRIM(LEFT(Sync!$L1108,FIND("/",Sync!$L1108)-1))),4)&amp;"/"&amp;RIGHT("00"&amp;VALUE(TRIM(LEFT(MID(Sync!$L1108,FIND("/",Sync!$L1108)+1,20),FIND("/",MID(Sync!$L1108,FIND("/",Sync!$L1108)+1,20))-1))),2)&amp;"/"&amp;RIGHT("00"&amp;VALUE(TRIM(MID(MID(Sync!$L1108,FIND("/",Sync!$L1108)+1,20),FIND("/",MID(Sync!$L1108,FIND("/",Sync!$L1108)+1,20))+1,20))),2),"")))</f>
        <v/>
      </c>
    </row>
    <row r="1109" spans="13:14" x14ac:dyDescent="0.2">
      <c r="M1109" t="str">
        <f>IF(Sync!$M1109&lt;&gt;"پاس چک","",IF(Sync!$P1109="","",Sync!$P1109))</f>
        <v/>
      </c>
      <c r="N1109" t="str">
        <f>IF($M1109="","",IF(ISNUMBER(Sync!$L1109),IF(AND(Sync!$L1109&gt;=10000101,Sync!$L1109&lt;=99991231),RIGHT("0000"&amp;INT(Sync!$L1109/10000),4)&amp;"/"&amp;RIGHT("00"&amp;INT(MOD(Sync!$L1109,10000)/100),2)&amp;"/"&amp;RIGHT("00"&amp;MOD(Sync!$L1109,100),2),""),IFERROR(RIGHT("0000"&amp;VALUE(TRIM(LEFT(Sync!$L1109,FIND("/",Sync!$L1109)-1))),4)&amp;"/"&amp;RIGHT("00"&amp;VALUE(TRIM(LEFT(MID(Sync!$L1109,FIND("/",Sync!$L1109)+1,20),FIND("/",MID(Sync!$L1109,FIND("/",Sync!$L1109)+1,20))-1))),2)&amp;"/"&amp;RIGHT("00"&amp;VALUE(TRIM(MID(MID(Sync!$L1109,FIND("/",Sync!$L1109)+1,20),FIND("/",MID(Sync!$L1109,FIND("/",Sync!$L1109)+1,20))+1,20))),2),"")))</f>
        <v/>
      </c>
    </row>
    <row r="1110" spans="13:14" x14ac:dyDescent="0.2">
      <c r="M1110" t="str">
        <f>IF(Sync!$M1110&lt;&gt;"پاس چک","",IF(Sync!$P1110="","",Sync!$P1110))</f>
        <v/>
      </c>
      <c r="N1110" t="str">
        <f>IF($M1110="","",IF(ISNUMBER(Sync!$L1110),IF(AND(Sync!$L1110&gt;=10000101,Sync!$L1110&lt;=99991231),RIGHT("0000"&amp;INT(Sync!$L1110/10000),4)&amp;"/"&amp;RIGHT("00"&amp;INT(MOD(Sync!$L1110,10000)/100),2)&amp;"/"&amp;RIGHT("00"&amp;MOD(Sync!$L1110,100),2),""),IFERROR(RIGHT("0000"&amp;VALUE(TRIM(LEFT(Sync!$L1110,FIND("/",Sync!$L1110)-1))),4)&amp;"/"&amp;RIGHT("00"&amp;VALUE(TRIM(LEFT(MID(Sync!$L1110,FIND("/",Sync!$L1110)+1,20),FIND("/",MID(Sync!$L1110,FIND("/",Sync!$L1110)+1,20))-1))),2)&amp;"/"&amp;RIGHT("00"&amp;VALUE(TRIM(MID(MID(Sync!$L1110,FIND("/",Sync!$L1110)+1,20),FIND("/",MID(Sync!$L1110,FIND("/",Sync!$L1110)+1,20))+1,20))),2),"")))</f>
        <v/>
      </c>
    </row>
    <row r="1111" spans="13:14" x14ac:dyDescent="0.2">
      <c r="M1111" t="str">
        <f>IF(Sync!$M1111&lt;&gt;"پاس چک","",IF(Sync!$P1111="","",Sync!$P1111))</f>
        <v/>
      </c>
      <c r="N1111" t="str">
        <f>IF($M1111="","",IF(ISNUMBER(Sync!$L1111),IF(AND(Sync!$L1111&gt;=10000101,Sync!$L1111&lt;=99991231),RIGHT("0000"&amp;INT(Sync!$L1111/10000),4)&amp;"/"&amp;RIGHT("00"&amp;INT(MOD(Sync!$L1111,10000)/100),2)&amp;"/"&amp;RIGHT("00"&amp;MOD(Sync!$L1111,100),2),""),IFERROR(RIGHT("0000"&amp;VALUE(TRIM(LEFT(Sync!$L1111,FIND("/",Sync!$L1111)-1))),4)&amp;"/"&amp;RIGHT("00"&amp;VALUE(TRIM(LEFT(MID(Sync!$L1111,FIND("/",Sync!$L1111)+1,20),FIND("/",MID(Sync!$L1111,FIND("/",Sync!$L1111)+1,20))-1))),2)&amp;"/"&amp;RIGHT("00"&amp;VALUE(TRIM(MID(MID(Sync!$L1111,FIND("/",Sync!$L1111)+1,20),FIND("/",MID(Sync!$L1111,FIND("/",Sync!$L1111)+1,20))+1,20))),2),"")))</f>
        <v/>
      </c>
    </row>
    <row r="1112" spans="13:14" x14ac:dyDescent="0.2">
      <c r="M1112" t="str">
        <f>IF(Sync!$M1112&lt;&gt;"پاس چک","",IF(Sync!$P1112="","",Sync!$P1112))</f>
        <v/>
      </c>
      <c r="N1112" t="str">
        <f>IF($M1112="","",IF(ISNUMBER(Sync!$L1112),IF(AND(Sync!$L1112&gt;=10000101,Sync!$L1112&lt;=99991231),RIGHT("0000"&amp;INT(Sync!$L1112/10000),4)&amp;"/"&amp;RIGHT("00"&amp;INT(MOD(Sync!$L1112,10000)/100),2)&amp;"/"&amp;RIGHT("00"&amp;MOD(Sync!$L1112,100),2),""),IFERROR(RIGHT("0000"&amp;VALUE(TRIM(LEFT(Sync!$L1112,FIND("/",Sync!$L1112)-1))),4)&amp;"/"&amp;RIGHT("00"&amp;VALUE(TRIM(LEFT(MID(Sync!$L1112,FIND("/",Sync!$L1112)+1,20),FIND("/",MID(Sync!$L1112,FIND("/",Sync!$L1112)+1,20))-1))),2)&amp;"/"&amp;RIGHT("00"&amp;VALUE(TRIM(MID(MID(Sync!$L1112,FIND("/",Sync!$L1112)+1,20),FIND("/",MID(Sync!$L1112,FIND("/",Sync!$L1112)+1,20))+1,20))),2),"")))</f>
        <v/>
      </c>
    </row>
    <row r="1113" spans="13:14" x14ac:dyDescent="0.2">
      <c r="M1113" t="str">
        <f>IF(Sync!$M1113&lt;&gt;"پاس چک","",IF(Sync!$P1113="","",Sync!$P1113))</f>
        <v/>
      </c>
      <c r="N1113" t="str">
        <f>IF($M1113="","",IF(ISNUMBER(Sync!$L1113),IF(AND(Sync!$L1113&gt;=10000101,Sync!$L1113&lt;=99991231),RIGHT("0000"&amp;INT(Sync!$L1113/10000),4)&amp;"/"&amp;RIGHT("00"&amp;INT(MOD(Sync!$L1113,10000)/100),2)&amp;"/"&amp;RIGHT("00"&amp;MOD(Sync!$L1113,100),2),""),IFERROR(RIGHT("0000"&amp;VALUE(TRIM(LEFT(Sync!$L1113,FIND("/",Sync!$L1113)-1))),4)&amp;"/"&amp;RIGHT("00"&amp;VALUE(TRIM(LEFT(MID(Sync!$L1113,FIND("/",Sync!$L1113)+1,20),FIND("/",MID(Sync!$L1113,FIND("/",Sync!$L1113)+1,20))-1))),2)&amp;"/"&amp;RIGHT("00"&amp;VALUE(TRIM(MID(MID(Sync!$L1113,FIND("/",Sync!$L1113)+1,20),FIND("/",MID(Sync!$L1113,FIND("/",Sync!$L1113)+1,20))+1,20))),2),"")))</f>
        <v/>
      </c>
    </row>
    <row r="1114" spans="13:14" x14ac:dyDescent="0.2">
      <c r="M1114" t="str">
        <f>IF(Sync!$M1114&lt;&gt;"پاس چک","",IF(Sync!$P1114="","",Sync!$P1114))</f>
        <v/>
      </c>
      <c r="N1114" t="str">
        <f>IF($M1114="","",IF(ISNUMBER(Sync!$L1114),IF(AND(Sync!$L1114&gt;=10000101,Sync!$L1114&lt;=99991231),RIGHT("0000"&amp;INT(Sync!$L1114/10000),4)&amp;"/"&amp;RIGHT("00"&amp;INT(MOD(Sync!$L1114,10000)/100),2)&amp;"/"&amp;RIGHT("00"&amp;MOD(Sync!$L1114,100),2),""),IFERROR(RIGHT("0000"&amp;VALUE(TRIM(LEFT(Sync!$L1114,FIND("/",Sync!$L1114)-1))),4)&amp;"/"&amp;RIGHT("00"&amp;VALUE(TRIM(LEFT(MID(Sync!$L1114,FIND("/",Sync!$L1114)+1,20),FIND("/",MID(Sync!$L1114,FIND("/",Sync!$L1114)+1,20))-1))),2)&amp;"/"&amp;RIGHT("00"&amp;VALUE(TRIM(MID(MID(Sync!$L1114,FIND("/",Sync!$L1114)+1,20),FIND("/",MID(Sync!$L1114,FIND("/",Sync!$L1114)+1,20))+1,20))),2),"")))</f>
        <v/>
      </c>
    </row>
    <row r="1115" spans="13:14" x14ac:dyDescent="0.2">
      <c r="M1115" t="str">
        <f>IF(Sync!$M1115&lt;&gt;"پاس چک","",IF(Sync!$P1115="","",Sync!$P1115))</f>
        <v/>
      </c>
      <c r="N1115" t="str">
        <f>IF($M1115="","",IF(ISNUMBER(Sync!$L1115),IF(AND(Sync!$L1115&gt;=10000101,Sync!$L1115&lt;=99991231),RIGHT("0000"&amp;INT(Sync!$L1115/10000),4)&amp;"/"&amp;RIGHT("00"&amp;INT(MOD(Sync!$L1115,10000)/100),2)&amp;"/"&amp;RIGHT("00"&amp;MOD(Sync!$L1115,100),2),""),IFERROR(RIGHT("0000"&amp;VALUE(TRIM(LEFT(Sync!$L1115,FIND("/",Sync!$L1115)-1))),4)&amp;"/"&amp;RIGHT("00"&amp;VALUE(TRIM(LEFT(MID(Sync!$L1115,FIND("/",Sync!$L1115)+1,20),FIND("/",MID(Sync!$L1115,FIND("/",Sync!$L1115)+1,20))-1))),2)&amp;"/"&amp;RIGHT("00"&amp;VALUE(TRIM(MID(MID(Sync!$L1115,FIND("/",Sync!$L1115)+1,20),FIND("/",MID(Sync!$L1115,FIND("/",Sync!$L1115)+1,20))+1,20))),2),"")))</f>
        <v/>
      </c>
    </row>
    <row r="1116" spans="13:14" x14ac:dyDescent="0.2">
      <c r="M1116" t="str">
        <f>IF(Sync!$M1116&lt;&gt;"پاس چک","",IF(Sync!$P1116="","",Sync!$P1116))</f>
        <v/>
      </c>
      <c r="N1116" t="str">
        <f>IF($M1116="","",IF(ISNUMBER(Sync!$L1116),IF(AND(Sync!$L1116&gt;=10000101,Sync!$L1116&lt;=99991231),RIGHT("0000"&amp;INT(Sync!$L1116/10000),4)&amp;"/"&amp;RIGHT("00"&amp;INT(MOD(Sync!$L1116,10000)/100),2)&amp;"/"&amp;RIGHT("00"&amp;MOD(Sync!$L1116,100),2),""),IFERROR(RIGHT("0000"&amp;VALUE(TRIM(LEFT(Sync!$L1116,FIND("/",Sync!$L1116)-1))),4)&amp;"/"&amp;RIGHT("00"&amp;VALUE(TRIM(LEFT(MID(Sync!$L1116,FIND("/",Sync!$L1116)+1,20),FIND("/",MID(Sync!$L1116,FIND("/",Sync!$L1116)+1,20))-1))),2)&amp;"/"&amp;RIGHT("00"&amp;VALUE(TRIM(MID(MID(Sync!$L1116,FIND("/",Sync!$L1116)+1,20),FIND("/",MID(Sync!$L1116,FIND("/",Sync!$L1116)+1,20))+1,20))),2),"")))</f>
        <v/>
      </c>
    </row>
    <row r="1117" spans="13:14" x14ac:dyDescent="0.2">
      <c r="M1117" t="str">
        <f>IF(Sync!$M1117&lt;&gt;"پاس چک","",IF(Sync!$P1117="","",Sync!$P1117))</f>
        <v/>
      </c>
      <c r="N1117" t="str">
        <f>IF($M1117="","",IF(ISNUMBER(Sync!$L1117),IF(AND(Sync!$L1117&gt;=10000101,Sync!$L1117&lt;=99991231),RIGHT("0000"&amp;INT(Sync!$L1117/10000),4)&amp;"/"&amp;RIGHT("00"&amp;INT(MOD(Sync!$L1117,10000)/100),2)&amp;"/"&amp;RIGHT("00"&amp;MOD(Sync!$L1117,100),2),""),IFERROR(RIGHT("0000"&amp;VALUE(TRIM(LEFT(Sync!$L1117,FIND("/",Sync!$L1117)-1))),4)&amp;"/"&amp;RIGHT("00"&amp;VALUE(TRIM(LEFT(MID(Sync!$L1117,FIND("/",Sync!$L1117)+1,20),FIND("/",MID(Sync!$L1117,FIND("/",Sync!$L1117)+1,20))-1))),2)&amp;"/"&amp;RIGHT("00"&amp;VALUE(TRIM(MID(MID(Sync!$L1117,FIND("/",Sync!$L1117)+1,20),FIND("/",MID(Sync!$L1117,FIND("/",Sync!$L1117)+1,20))+1,20))),2),"")))</f>
        <v/>
      </c>
    </row>
    <row r="1118" spans="13:14" x14ac:dyDescent="0.2">
      <c r="M1118" t="str">
        <f>IF(Sync!$M1118&lt;&gt;"پاس چک","",IF(Sync!$P1118="","",Sync!$P1118))</f>
        <v/>
      </c>
      <c r="N1118" t="str">
        <f>IF($M1118="","",IF(ISNUMBER(Sync!$L1118),IF(AND(Sync!$L1118&gt;=10000101,Sync!$L1118&lt;=99991231),RIGHT("0000"&amp;INT(Sync!$L1118/10000),4)&amp;"/"&amp;RIGHT("00"&amp;INT(MOD(Sync!$L1118,10000)/100),2)&amp;"/"&amp;RIGHT("00"&amp;MOD(Sync!$L1118,100),2),""),IFERROR(RIGHT("0000"&amp;VALUE(TRIM(LEFT(Sync!$L1118,FIND("/",Sync!$L1118)-1))),4)&amp;"/"&amp;RIGHT("00"&amp;VALUE(TRIM(LEFT(MID(Sync!$L1118,FIND("/",Sync!$L1118)+1,20),FIND("/",MID(Sync!$L1118,FIND("/",Sync!$L1118)+1,20))-1))),2)&amp;"/"&amp;RIGHT("00"&amp;VALUE(TRIM(MID(MID(Sync!$L1118,FIND("/",Sync!$L1118)+1,20),FIND("/",MID(Sync!$L1118,FIND("/",Sync!$L1118)+1,20))+1,20))),2),"")))</f>
        <v/>
      </c>
    </row>
    <row r="1119" spans="13:14" x14ac:dyDescent="0.2">
      <c r="M1119" t="str">
        <f>IF(Sync!$M1119&lt;&gt;"پاس چک","",IF(Sync!$P1119="","",Sync!$P1119))</f>
        <v/>
      </c>
      <c r="N1119" t="str">
        <f>IF($M1119="","",IF(ISNUMBER(Sync!$L1119),IF(AND(Sync!$L1119&gt;=10000101,Sync!$L1119&lt;=99991231),RIGHT("0000"&amp;INT(Sync!$L1119/10000),4)&amp;"/"&amp;RIGHT("00"&amp;INT(MOD(Sync!$L1119,10000)/100),2)&amp;"/"&amp;RIGHT("00"&amp;MOD(Sync!$L1119,100),2),""),IFERROR(RIGHT("0000"&amp;VALUE(TRIM(LEFT(Sync!$L1119,FIND("/",Sync!$L1119)-1))),4)&amp;"/"&amp;RIGHT("00"&amp;VALUE(TRIM(LEFT(MID(Sync!$L1119,FIND("/",Sync!$L1119)+1,20),FIND("/",MID(Sync!$L1119,FIND("/",Sync!$L1119)+1,20))-1))),2)&amp;"/"&amp;RIGHT("00"&amp;VALUE(TRIM(MID(MID(Sync!$L1119,FIND("/",Sync!$L1119)+1,20),FIND("/",MID(Sync!$L1119,FIND("/",Sync!$L1119)+1,20))+1,20))),2),"")))</f>
        <v/>
      </c>
    </row>
    <row r="1120" spans="13:14" x14ac:dyDescent="0.2">
      <c r="M1120" t="str">
        <f>IF(Sync!$M1120&lt;&gt;"پاس چک","",IF(Sync!$P1120="","",Sync!$P1120))</f>
        <v/>
      </c>
      <c r="N1120" t="str">
        <f>IF($M1120="","",IF(ISNUMBER(Sync!$L1120),IF(AND(Sync!$L1120&gt;=10000101,Sync!$L1120&lt;=99991231),RIGHT("0000"&amp;INT(Sync!$L1120/10000),4)&amp;"/"&amp;RIGHT("00"&amp;INT(MOD(Sync!$L1120,10000)/100),2)&amp;"/"&amp;RIGHT("00"&amp;MOD(Sync!$L1120,100),2),""),IFERROR(RIGHT("0000"&amp;VALUE(TRIM(LEFT(Sync!$L1120,FIND("/",Sync!$L1120)-1))),4)&amp;"/"&amp;RIGHT("00"&amp;VALUE(TRIM(LEFT(MID(Sync!$L1120,FIND("/",Sync!$L1120)+1,20),FIND("/",MID(Sync!$L1120,FIND("/",Sync!$L1120)+1,20))-1))),2)&amp;"/"&amp;RIGHT("00"&amp;VALUE(TRIM(MID(MID(Sync!$L1120,FIND("/",Sync!$L1120)+1,20),FIND("/",MID(Sync!$L1120,FIND("/",Sync!$L1120)+1,20))+1,20))),2),"")))</f>
        <v/>
      </c>
    </row>
    <row r="1121" spans="13:14" x14ac:dyDescent="0.2">
      <c r="M1121" t="str">
        <f>IF(Sync!$M1121&lt;&gt;"پاس چک","",IF(Sync!$P1121="","",Sync!$P1121))</f>
        <v/>
      </c>
      <c r="N1121" t="str">
        <f>IF($M1121="","",IF(ISNUMBER(Sync!$L1121),IF(AND(Sync!$L1121&gt;=10000101,Sync!$L1121&lt;=99991231),RIGHT("0000"&amp;INT(Sync!$L1121/10000),4)&amp;"/"&amp;RIGHT("00"&amp;INT(MOD(Sync!$L1121,10000)/100),2)&amp;"/"&amp;RIGHT("00"&amp;MOD(Sync!$L1121,100),2),""),IFERROR(RIGHT("0000"&amp;VALUE(TRIM(LEFT(Sync!$L1121,FIND("/",Sync!$L1121)-1))),4)&amp;"/"&amp;RIGHT("00"&amp;VALUE(TRIM(LEFT(MID(Sync!$L1121,FIND("/",Sync!$L1121)+1,20),FIND("/",MID(Sync!$L1121,FIND("/",Sync!$L1121)+1,20))-1))),2)&amp;"/"&amp;RIGHT("00"&amp;VALUE(TRIM(MID(MID(Sync!$L1121,FIND("/",Sync!$L1121)+1,20),FIND("/",MID(Sync!$L1121,FIND("/",Sync!$L1121)+1,20))+1,20))),2),"")))</f>
        <v/>
      </c>
    </row>
    <row r="1122" spans="13:14" x14ac:dyDescent="0.2">
      <c r="M1122" t="str">
        <f>IF(Sync!$M1122&lt;&gt;"پاس چک","",IF(Sync!$P1122="","",Sync!$P1122))</f>
        <v/>
      </c>
      <c r="N1122" t="str">
        <f>IF($M1122="","",IF(ISNUMBER(Sync!$L1122),IF(AND(Sync!$L1122&gt;=10000101,Sync!$L1122&lt;=99991231),RIGHT("0000"&amp;INT(Sync!$L1122/10000),4)&amp;"/"&amp;RIGHT("00"&amp;INT(MOD(Sync!$L1122,10000)/100),2)&amp;"/"&amp;RIGHT("00"&amp;MOD(Sync!$L1122,100),2),""),IFERROR(RIGHT("0000"&amp;VALUE(TRIM(LEFT(Sync!$L1122,FIND("/",Sync!$L1122)-1))),4)&amp;"/"&amp;RIGHT("00"&amp;VALUE(TRIM(LEFT(MID(Sync!$L1122,FIND("/",Sync!$L1122)+1,20),FIND("/",MID(Sync!$L1122,FIND("/",Sync!$L1122)+1,20))-1))),2)&amp;"/"&amp;RIGHT("00"&amp;VALUE(TRIM(MID(MID(Sync!$L1122,FIND("/",Sync!$L1122)+1,20),FIND("/",MID(Sync!$L1122,FIND("/",Sync!$L1122)+1,20))+1,20))),2),"")))</f>
        <v/>
      </c>
    </row>
    <row r="1123" spans="13:14" x14ac:dyDescent="0.2">
      <c r="M1123" t="str">
        <f>IF(Sync!$M1123&lt;&gt;"پاس چک","",IF(Sync!$P1123="","",Sync!$P1123))</f>
        <v/>
      </c>
      <c r="N1123" t="str">
        <f>IF($M1123="","",IF(ISNUMBER(Sync!$L1123),IF(AND(Sync!$L1123&gt;=10000101,Sync!$L1123&lt;=99991231),RIGHT("0000"&amp;INT(Sync!$L1123/10000),4)&amp;"/"&amp;RIGHT("00"&amp;INT(MOD(Sync!$L1123,10000)/100),2)&amp;"/"&amp;RIGHT("00"&amp;MOD(Sync!$L1123,100),2),""),IFERROR(RIGHT("0000"&amp;VALUE(TRIM(LEFT(Sync!$L1123,FIND("/",Sync!$L1123)-1))),4)&amp;"/"&amp;RIGHT("00"&amp;VALUE(TRIM(LEFT(MID(Sync!$L1123,FIND("/",Sync!$L1123)+1,20),FIND("/",MID(Sync!$L1123,FIND("/",Sync!$L1123)+1,20))-1))),2)&amp;"/"&amp;RIGHT("00"&amp;VALUE(TRIM(MID(MID(Sync!$L1123,FIND("/",Sync!$L1123)+1,20),FIND("/",MID(Sync!$L1123,FIND("/",Sync!$L1123)+1,20))+1,20))),2),"")))</f>
        <v/>
      </c>
    </row>
    <row r="1124" spans="13:14" x14ac:dyDescent="0.2">
      <c r="M1124" t="str">
        <f>IF(Sync!$M1124&lt;&gt;"پاس چک","",IF(Sync!$P1124="","",Sync!$P1124))</f>
        <v/>
      </c>
      <c r="N1124" t="str">
        <f>IF($M1124="","",IF(ISNUMBER(Sync!$L1124),IF(AND(Sync!$L1124&gt;=10000101,Sync!$L1124&lt;=99991231),RIGHT("0000"&amp;INT(Sync!$L1124/10000),4)&amp;"/"&amp;RIGHT("00"&amp;INT(MOD(Sync!$L1124,10000)/100),2)&amp;"/"&amp;RIGHT("00"&amp;MOD(Sync!$L1124,100),2),""),IFERROR(RIGHT("0000"&amp;VALUE(TRIM(LEFT(Sync!$L1124,FIND("/",Sync!$L1124)-1))),4)&amp;"/"&amp;RIGHT("00"&amp;VALUE(TRIM(LEFT(MID(Sync!$L1124,FIND("/",Sync!$L1124)+1,20),FIND("/",MID(Sync!$L1124,FIND("/",Sync!$L1124)+1,20))-1))),2)&amp;"/"&amp;RIGHT("00"&amp;VALUE(TRIM(MID(MID(Sync!$L1124,FIND("/",Sync!$L1124)+1,20),FIND("/",MID(Sync!$L1124,FIND("/",Sync!$L1124)+1,20))+1,20))),2),"")))</f>
        <v/>
      </c>
    </row>
    <row r="1125" spans="13:14" x14ac:dyDescent="0.2">
      <c r="M1125" t="str">
        <f>IF(Sync!$M1125&lt;&gt;"پاس چک","",IF(Sync!$P1125="","",Sync!$P1125))</f>
        <v/>
      </c>
      <c r="N1125" t="str">
        <f>IF($M1125="","",IF(ISNUMBER(Sync!$L1125),IF(AND(Sync!$L1125&gt;=10000101,Sync!$L1125&lt;=99991231),RIGHT("0000"&amp;INT(Sync!$L1125/10000),4)&amp;"/"&amp;RIGHT("00"&amp;INT(MOD(Sync!$L1125,10000)/100),2)&amp;"/"&amp;RIGHT("00"&amp;MOD(Sync!$L1125,100),2),""),IFERROR(RIGHT("0000"&amp;VALUE(TRIM(LEFT(Sync!$L1125,FIND("/",Sync!$L1125)-1))),4)&amp;"/"&amp;RIGHT("00"&amp;VALUE(TRIM(LEFT(MID(Sync!$L1125,FIND("/",Sync!$L1125)+1,20),FIND("/",MID(Sync!$L1125,FIND("/",Sync!$L1125)+1,20))-1))),2)&amp;"/"&amp;RIGHT("00"&amp;VALUE(TRIM(MID(MID(Sync!$L1125,FIND("/",Sync!$L1125)+1,20),FIND("/",MID(Sync!$L1125,FIND("/",Sync!$L1125)+1,20))+1,20))),2),"")))</f>
        <v/>
      </c>
    </row>
    <row r="1126" spans="13:14" x14ac:dyDescent="0.2">
      <c r="M1126" t="str">
        <f>IF(Sync!$M1126&lt;&gt;"پاس چک","",IF(Sync!$P1126="","",Sync!$P1126))</f>
        <v/>
      </c>
      <c r="N1126" t="str">
        <f>IF($M1126="","",IF(ISNUMBER(Sync!$L1126),IF(AND(Sync!$L1126&gt;=10000101,Sync!$L1126&lt;=99991231),RIGHT("0000"&amp;INT(Sync!$L1126/10000),4)&amp;"/"&amp;RIGHT("00"&amp;INT(MOD(Sync!$L1126,10000)/100),2)&amp;"/"&amp;RIGHT("00"&amp;MOD(Sync!$L1126,100),2),""),IFERROR(RIGHT("0000"&amp;VALUE(TRIM(LEFT(Sync!$L1126,FIND("/",Sync!$L1126)-1))),4)&amp;"/"&amp;RIGHT("00"&amp;VALUE(TRIM(LEFT(MID(Sync!$L1126,FIND("/",Sync!$L1126)+1,20),FIND("/",MID(Sync!$L1126,FIND("/",Sync!$L1126)+1,20))-1))),2)&amp;"/"&amp;RIGHT("00"&amp;VALUE(TRIM(MID(MID(Sync!$L1126,FIND("/",Sync!$L1126)+1,20),FIND("/",MID(Sync!$L1126,FIND("/",Sync!$L1126)+1,20))+1,20))),2),"")))</f>
        <v/>
      </c>
    </row>
    <row r="1127" spans="13:14" x14ac:dyDescent="0.2">
      <c r="M1127" t="str">
        <f>IF(Sync!$M1127&lt;&gt;"پاس چک","",IF(Sync!$P1127="","",Sync!$P1127))</f>
        <v/>
      </c>
      <c r="N1127" t="str">
        <f>IF($M1127="","",IF(ISNUMBER(Sync!$L1127),IF(AND(Sync!$L1127&gt;=10000101,Sync!$L1127&lt;=99991231),RIGHT("0000"&amp;INT(Sync!$L1127/10000),4)&amp;"/"&amp;RIGHT("00"&amp;INT(MOD(Sync!$L1127,10000)/100),2)&amp;"/"&amp;RIGHT("00"&amp;MOD(Sync!$L1127,100),2),""),IFERROR(RIGHT("0000"&amp;VALUE(TRIM(LEFT(Sync!$L1127,FIND("/",Sync!$L1127)-1))),4)&amp;"/"&amp;RIGHT("00"&amp;VALUE(TRIM(LEFT(MID(Sync!$L1127,FIND("/",Sync!$L1127)+1,20),FIND("/",MID(Sync!$L1127,FIND("/",Sync!$L1127)+1,20))-1))),2)&amp;"/"&amp;RIGHT("00"&amp;VALUE(TRIM(MID(MID(Sync!$L1127,FIND("/",Sync!$L1127)+1,20),FIND("/",MID(Sync!$L1127,FIND("/",Sync!$L1127)+1,20))+1,20))),2),"")))</f>
        <v/>
      </c>
    </row>
    <row r="1128" spans="13:14" x14ac:dyDescent="0.2">
      <c r="M1128" t="str">
        <f>IF(Sync!$M1128&lt;&gt;"پاس چک","",IF(Sync!$P1128="","",Sync!$P1128))</f>
        <v/>
      </c>
      <c r="N1128" t="str">
        <f>IF($M1128="","",IF(ISNUMBER(Sync!$L1128),IF(AND(Sync!$L1128&gt;=10000101,Sync!$L1128&lt;=99991231),RIGHT("0000"&amp;INT(Sync!$L1128/10000),4)&amp;"/"&amp;RIGHT("00"&amp;INT(MOD(Sync!$L1128,10000)/100),2)&amp;"/"&amp;RIGHT("00"&amp;MOD(Sync!$L1128,100),2),""),IFERROR(RIGHT("0000"&amp;VALUE(TRIM(LEFT(Sync!$L1128,FIND("/",Sync!$L1128)-1))),4)&amp;"/"&amp;RIGHT("00"&amp;VALUE(TRIM(LEFT(MID(Sync!$L1128,FIND("/",Sync!$L1128)+1,20),FIND("/",MID(Sync!$L1128,FIND("/",Sync!$L1128)+1,20))-1))),2)&amp;"/"&amp;RIGHT("00"&amp;VALUE(TRIM(MID(MID(Sync!$L1128,FIND("/",Sync!$L1128)+1,20),FIND("/",MID(Sync!$L1128,FIND("/",Sync!$L1128)+1,20))+1,20))),2),"")))</f>
        <v/>
      </c>
    </row>
    <row r="1129" spans="13:14" x14ac:dyDescent="0.2">
      <c r="M1129" t="str">
        <f>IF(Sync!$M1129&lt;&gt;"پاس چک","",IF(Sync!$P1129="","",Sync!$P1129))</f>
        <v/>
      </c>
      <c r="N1129" t="str">
        <f>IF($M1129="","",IF(ISNUMBER(Sync!$L1129),IF(AND(Sync!$L1129&gt;=10000101,Sync!$L1129&lt;=99991231),RIGHT("0000"&amp;INT(Sync!$L1129/10000),4)&amp;"/"&amp;RIGHT("00"&amp;INT(MOD(Sync!$L1129,10000)/100),2)&amp;"/"&amp;RIGHT("00"&amp;MOD(Sync!$L1129,100),2),""),IFERROR(RIGHT("0000"&amp;VALUE(TRIM(LEFT(Sync!$L1129,FIND("/",Sync!$L1129)-1))),4)&amp;"/"&amp;RIGHT("00"&amp;VALUE(TRIM(LEFT(MID(Sync!$L1129,FIND("/",Sync!$L1129)+1,20),FIND("/",MID(Sync!$L1129,FIND("/",Sync!$L1129)+1,20))-1))),2)&amp;"/"&amp;RIGHT("00"&amp;VALUE(TRIM(MID(MID(Sync!$L1129,FIND("/",Sync!$L1129)+1,20),FIND("/",MID(Sync!$L1129,FIND("/",Sync!$L1129)+1,20))+1,20))),2),"")))</f>
        <v/>
      </c>
    </row>
    <row r="1130" spans="13:14" x14ac:dyDescent="0.2">
      <c r="M1130" t="str">
        <f>IF(Sync!$M1130&lt;&gt;"پاس چک","",IF(Sync!$P1130="","",Sync!$P1130))</f>
        <v/>
      </c>
      <c r="N1130" t="str">
        <f>IF($M1130="","",IF(ISNUMBER(Sync!$L1130),IF(AND(Sync!$L1130&gt;=10000101,Sync!$L1130&lt;=99991231),RIGHT("0000"&amp;INT(Sync!$L1130/10000),4)&amp;"/"&amp;RIGHT("00"&amp;INT(MOD(Sync!$L1130,10000)/100),2)&amp;"/"&amp;RIGHT("00"&amp;MOD(Sync!$L1130,100),2),""),IFERROR(RIGHT("0000"&amp;VALUE(TRIM(LEFT(Sync!$L1130,FIND("/",Sync!$L1130)-1))),4)&amp;"/"&amp;RIGHT("00"&amp;VALUE(TRIM(LEFT(MID(Sync!$L1130,FIND("/",Sync!$L1130)+1,20),FIND("/",MID(Sync!$L1130,FIND("/",Sync!$L1130)+1,20))-1))),2)&amp;"/"&amp;RIGHT("00"&amp;VALUE(TRIM(MID(MID(Sync!$L1130,FIND("/",Sync!$L1130)+1,20),FIND("/",MID(Sync!$L1130,FIND("/",Sync!$L1130)+1,20))+1,20))),2),"")))</f>
        <v/>
      </c>
    </row>
    <row r="1131" spans="13:14" x14ac:dyDescent="0.2">
      <c r="M1131" t="str">
        <f>IF(Sync!$M1131&lt;&gt;"پاس چک","",IF(Sync!$P1131="","",Sync!$P1131))</f>
        <v/>
      </c>
      <c r="N1131" t="str">
        <f>IF($M1131="","",IF(ISNUMBER(Sync!$L1131),IF(AND(Sync!$L1131&gt;=10000101,Sync!$L1131&lt;=99991231),RIGHT("0000"&amp;INT(Sync!$L1131/10000),4)&amp;"/"&amp;RIGHT("00"&amp;INT(MOD(Sync!$L1131,10000)/100),2)&amp;"/"&amp;RIGHT("00"&amp;MOD(Sync!$L1131,100),2),""),IFERROR(RIGHT("0000"&amp;VALUE(TRIM(LEFT(Sync!$L1131,FIND("/",Sync!$L1131)-1))),4)&amp;"/"&amp;RIGHT("00"&amp;VALUE(TRIM(LEFT(MID(Sync!$L1131,FIND("/",Sync!$L1131)+1,20),FIND("/",MID(Sync!$L1131,FIND("/",Sync!$L1131)+1,20))-1))),2)&amp;"/"&amp;RIGHT("00"&amp;VALUE(TRIM(MID(MID(Sync!$L1131,FIND("/",Sync!$L1131)+1,20),FIND("/",MID(Sync!$L1131,FIND("/",Sync!$L1131)+1,20))+1,20))),2),"")))</f>
        <v/>
      </c>
    </row>
    <row r="1132" spans="13:14" x14ac:dyDescent="0.2">
      <c r="M1132" t="str">
        <f>IF(Sync!$M1132&lt;&gt;"پاس چک","",IF(Sync!$P1132="","",Sync!$P1132))</f>
        <v/>
      </c>
      <c r="N1132" t="str">
        <f>IF($M1132="","",IF(ISNUMBER(Sync!$L1132),IF(AND(Sync!$L1132&gt;=10000101,Sync!$L1132&lt;=99991231),RIGHT("0000"&amp;INT(Sync!$L1132/10000),4)&amp;"/"&amp;RIGHT("00"&amp;INT(MOD(Sync!$L1132,10000)/100),2)&amp;"/"&amp;RIGHT("00"&amp;MOD(Sync!$L1132,100),2),""),IFERROR(RIGHT("0000"&amp;VALUE(TRIM(LEFT(Sync!$L1132,FIND("/",Sync!$L1132)-1))),4)&amp;"/"&amp;RIGHT("00"&amp;VALUE(TRIM(LEFT(MID(Sync!$L1132,FIND("/",Sync!$L1132)+1,20),FIND("/",MID(Sync!$L1132,FIND("/",Sync!$L1132)+1,20))-1))),2)&amp;"/"&amp;RIGHT("00"&amp;VALUE(TRIM(MID(MID(Sync!$L1132,FIND("/",Sync!$L1132)+1,20),FIND("/",MID(Sync!$L1132,FIND("/",Sync!$L1132)+1,20))+1,20))),2),"")))</f>
        <v/>
      </c>
    </row>
    <row r="1133" spans="13:14" x14ac:dyDescent="0.2">
      <c r="M1133" t="str">
        <f>IF(Sync!$M1133&lt;&gt;"پاس چک","",IF(Sync!$P1133="","",Sync!$P1133))</f>
        <v/>
      </c>
      <c r="N1133" t="str">
        <f>IF($M1133="","",IF(ISNUMBER(Sync!$L1133),IF(AND(Sync!$L1133&gt;=10000101,Sync!$L1133&lt;=99991231),RIGHT("0000"&amp;INT(Sync!$L1133/10000),4)&amp;"/"&amp;RIGHT("00"&amp;INT(MOD(Sync!$L1133,10000)/100),2)&amp;"/"&amp;RIGHT("00"&amp;MOD(Sync!$L1133,100),2),""),IFERROR(RIGHT("0000"&amp;VALUE(TRIM(LEFT(Sync!$L1133,FIND("/",Sync!$L1133)-1))),4)&amp;"/"&amp;RIGHT("00"&amp;VALUE(TRIM(LEFT(MID(Sync!$L1133,FIND("/",Sync!$L1133)+1,20),FIND("/",MID(Sync!$L1133,FIND("/",Sync!$L1133)+1,20))-1))),2)&amp;"/"&amp;RIGHT("00"&amp;VALUE(TRIM(MID(MID(Sync!$L1133,FIND("/",Sync!$L1133)+1,20),FIND("/",MID(Sync!$L1133,FIND("/",Sync!$L1133)+1,20))+1,20))),2),"")))</f>
        <v/>
      </c>
    </row>
    <row r="1134" spans="13:14" x14ac:dyDescent="0.2">
      <c r="M1134" t="str">
        <f>IF(Sync!$M1134&lt;&gt;"پاس چک","",IF(Sync!$P1134="","",Sync!$P1134))</f>
        <v/>
      </c>
      <c r="N1134" t="str">
        <f>IF($M1134="","",IF(ISNUMBER(Sync!$L1134),IF(AND(Sync!$L1134&gt;=10000101,Sync!$L1134&lt;=99991231),RIGHT("0000"&amp;INT(Sync!$L1134/10000),4)&amp;"/"&amp;RIGHT("00"&amp;INT(MOD(Sync!$L1134,10000)/100),2)&amp;"/"&amp;RIGHT("00"&amp;MOD(Sync!$L1134,100),2),""),IFERROR(RIGHT("0000"&amp;VALUE(TRIM(LEFT(Sync!$L1134,FIND("/",Sync!$L1134)-1))),4)&amp;"/"&amp;RIGHT("00"&amp;VALUE(TRIM(LEFT(MID(Sync!$L1134,FIND("/",Sync!$L1134)+1,20),FIND("/",MID(Sync!$L1134,FIND("/",Sync!$L1134)+1,20))-1))),2)&amp;"/"&amp;RIGHT("00"&amp;VALUE(TRIM(MID(MID(Sync!$L1134,FIND("/",Sync!$L1134)+1,20),FIND("/",MID(Sync!$L1134,FIND("/",Sync!$L1134)+1,20))+1,20))),2),"")))</f>
        <v/>
      </c>
    </row>
    <row r="1135" spans="13:14" x14ac:dyDescent="0.2">
      <c r="M1135" t="str">
        <f>IF(Sync!$M1135&lt;&gt;"پاس چک","",IF(Sync!$P1135="","",Sync!$P1135))</f>
        <v/>
      </c>
      <c r="N1135" t="str">
        <f>IF($M1135="","",IF(ISNUMBER(Sync!$L1135),IF(AND(Sync!$L1135&gt;=10000101,Sync!$L1135&lt;=99991231),RIGHT("0000"&amp;INT(Sync!$L1135/10000),4)&amp;"/"&amp;RIGHT("00"&amp;INT(MOD(Sync!$L1135,10000)/100),2)&amp;"/"&amp;RIGHT("00"&amp;MOD(Sync!$L1135,100),2),""),IFERROR(RIGHT("0000"&amp;VALUE(TRIM(LEFT(Sync!$L1135,FIND("/",Sync!$L1135)-1))),4)&amp;"/"&amp;RIGHT("00"&amp;VALUE(TRIM(LEFT(MID(Sync!$L1135,FIND("/",Sync!$L1135)+1,20),FIND("/",MID(Sync!$L1135,FIND("/",Sync!$L1135)+1,20))-1))),2)&amp;"/"&amp;RIGHT("00"&amp;VALUE(TRIM(MID(MID(Sync!$L1135,FIND("/",Sync!$L1135)+1,20),FIND("/",MID(Sync!$L1135,FIND("/",Sync!$L1135)+1,20))+1,20))),2),"")))</f>
        <v/>
      </c>
    </row>
    <row r="1136" spans="13:14" x14ac:dyDescent="0.2">
      <c r="M1136" t="str">
        <f>IF(Sync!$M1136&lt;&gt;"پاس چک","",IF(Sync!$P1136="","",Sync!$P1136))</f>
        <v/>
      </c>
      <c r="N1136" t="str">
        <f>IF($M1136="","",IF(ISNUMBER(Sync!$L1136),IF(AND(Sync!$L1136&gt;=10000101,Sync!$L1136&lt;=99991231),RIGHT("0000"&amp;INT(Sync!$L1136/10000),4)&amp;"/"&amp;RIGHT("00"&amp;INT(MOD(Sync!$L1136,10000)/100),2)&amp;"/"&amp;RIGHT("00"&amp;MOD(Sync!$L1136,100),2),""),IFERROR(RIGHT("0000"&amp;VALUE(TRIM(LEFT(Sync!$L1136,FIND("/",Sync!$L1136)-1))),4)&amp;"/"&amp;RIGHT("00"&amp;VALUE(TRIM(LEFT(MID(Sync!$L1136,FIND("/",Sync!$L1136)+1,20),FIND("/",MID(Sync!$L1136,FIND("/",Sync!$L1136)+1,20))-1))),2)&amp;"/"&amp;RIGHT("00"&amp;VALUE(TRIM(MID(MID(Sync!$L1136,FIND("/",Sync!$L1136)+1,20),FIND("/",MID(Sync!$L1136,FIND("/",Sync!$L1136)+1,20))+1,20))),2),"")))</f>
        <v/>
      </c>
    </row>
    <row r="1137" spans="13:14" x14ac:dyDescent="0.2">
      <c r="M1137" t="str">
        <f>IF(Sync!$M1137&lt;&gt;"پاس چک","",IF(Sync!$P1137="","",Sync!$P1137))</f>
        <v/>
      </c>
      <c r="N1137" t="str">
        <f>IF($M1137="","",IF(ISNUMBER(Sync!$L1137),IF(AND(Sync!$L1137&gt;=10000101,Sync!$L1137&lt;=99991231),RIGHT("0000"&amp;INT(Sync!$L1137/10000),4)&amp;"/"&amp;RIGHT("00"&amp;INT(MOD(Sync!$L1137,10000)/100),2)&amp;"/"&amp;RIGHT("00"&amp;MOD(Sync!$L1137,100),2),""),IFERROR(RIGHT("0000"&amp;VALUE(TRIM(LEFT(Sync!$L1137,FIND("/",Sync!$L1137)-1))),4)&amp;"/"&amp;RIGHT("00"&amp;VALUE(TRIM(LEFT(MID(Sync!$L1137,FIND("/",Sync!$L1137)+1,20),FIND("/",MID(Sync!$L1137,FIND("/",Sync!$L1137)+1,20))-1))),2)&amp;"/"&amp;RIGHT("00"&amp;VALUE(TRIM(MID(MID(Sync!$L1137,FIND("/",Sync!$L1137)+1,20),FIND("/",MID(Sync!$L1137,FIND("/",Sync!$L1137)+1,20))+1,20))),2),"")))</f>
        <v/>
      </c>
    </row>
    <row r="1138" spans="13:14" x14ac:dyDescent="0.2">
      <c r="M1138" t="str">
        <f>IF(Sync!$M1138&lt;&gt;"پاس چک","",IF(Sync!$P1138="","",Sync!$P1138))</f>
        <v/>
      </c>
      <c r="N1138" t="str">
        <f>IF($M1138="","",IF(ISNUMBER(Sync!$L1138),IF(AND(Sync!$L1138&gt;=10000101,Sync!$L1138&lt;=99991231),RIGHT("0000"&amp;INT(Sync!$L1138/10000),4)&amp;"/"&amp;RIGHT("00"&amp;INT(MOD(Sync!$L1138,10000)/100),2)&amp;"/"&amp;RIGHT("00"&amp;MOD(Sync!$L1138,100),2),""),IFERROR(RIGHT("0000"&amp;VALUE(TRIM(LEFT(Sync!$L1138,FIND("/",Sync!$L1138)-1))),4)&amp;"/"&amp;RIGHT("00"&amp;VALUE(TRIM(LEFT(MID(Sync!$L1138,FIND("/",Sync!$L1138)+1,20),FIND("/",MID(Sync!$L1138,FIND("/",Sync!$L1138)+1,20))-1))),2)&amp;"/"&amp;RIGHT("00"&amp;VALUE(TRIM(MID(MID(Sync!$L1138,FIND("/",Sync!$L1138)+1,20),FIND("/",MID(Sync!$L1138,FIND("/",Sync!$L1138)+1,20))+1,20))),2),"")))</f>
        <v/>
      </c>
    </row>
    <row r="1139" spans="13:14" x14ac:dyDescent="0.2">
      <c r="M1139" t="str">
        <f>IF(Sync!$M1139&lt;&gt;"پاس چک","",IF(Sync!$P1139="","",Sync!$P1139))</f>
        <v/>
      </c>
      <c r="N1139" t="str">
        <f>IF($M1139="","",IF(ISNUMBER(Sync!$L1139),IF(AND(Sync!$L1139&gt;=10000101,Sync!$L1139&lt;=99991231),RIGHT("0000"&amp;INT(Sync!$L1139/10000),4)&amp;"/"&amp;RIGHT("00"&amp;INT(MOD(Sync!$L1139,10000)/100),2)&amp;"/"&amp;RIGHT("00"&amp;MOD(Sync!$L1139,100),2),""),IFERROR(RIGHT("0000"&amp;VALUE(TRIM(LEFT(Sync!$L1139,FIND("/",Sync!$L1139)-1))),4)&amp;"/"&amp;RIGHT("00"&amp;VALUE(TRIM(LEFT(MID(Sync!$L1139,FIND("/",Sync!$L1139)+1,20),FIND("/",MID(Sync!$L1139,FIND("/",Sync!$L1139)+1,20))-1))),2)&amp;"/"&amp;RIGHT("00"&amp;VALUE(TRIM(MID(MID(Sync!$L1139,FIND("/",Sync!$L1139)+1,20),FIND("/",MID(Sync!$L1139,FIND("/",Sync!$L1139)+1,20))+1,20))),2),"")))</f>
        <v/>
      </c>
    </row>
    <row r="1140" spans="13:14" x14ac:dyDescent="0.2">
      <c r="M1140" t="str">
        <f>IF(Sync!$M1140&lt;&gt;"پاس چک","",IF(Sync!$P1140="","",Sync!$P1140))</f>
        <v/>
      </c>
      <c r="N1140" t="str">
        <f>IF($M1140="","",IF(ISNUMBER(Sync!$L1140),IF(AND(Sync!$L1140&gt;=10000101,Sync!$L1140&lt;=99991231),RIGHT("0000"&amp;INT(Sync!$L1140/10000),4)&amp;"/"&amp;RIGHT("00"&amp;INT(MOD(Sync!$L1140,10000)/100),2)&amp;"/"&amp;RIGHT("00"&amp;MOD(Sync!$L1140,100),2),""),IFERROR(RIGHT("0000"&amp;VALUE(TRIM(LEFT(Sync!$L1140,FIND("/",Sync!$L1140)-1))),4)&amp;"/"&amp;RIGHT("00"&amp;VALUE(TRIM(LEFT(MID(Sync!$L1140,FIND("/",Sync!$L1140)+1,20),FIND("/",MID(Sync!$L1140,FIND("/",Sync!$L1140)+1,20))-1))),2)&amp;"/"&amp;RIGHT("00"&amp;VALUE(TRIM(MID(MID(Sync!$L1140,FIND("/",Sync!$L1140)+1,20),FIND("/",MID(Sync!$L1140,FIND("/",Sync!$L1140)+1,20))+1,20))),2),"")))</f>
        <v/>
      </c>
    </row>
    <row r="1141" spans="13:14" x14ac:dyDescent="0.2">
      <c r="M1141" t="str">
        <f>IF(Sync!$M1141&lt;&gt;"پاس چک","",IF(Sync!$P1141="","",Sync!$P1141))</f>
        <v/>
      </c>
      <c r="N1141" t="str">
        <f>IF($M1141="","",IF(ISNUMBER(Sync!$L1141),IF(AND(Sync!$L1141&gt;=10000101,Sync!$L1141&lt;=99991231),RIGHT("0000"&amp;INT(Sync!$L1141/10000),4)&amp;"/"&amp;RIGHT("00"&amp;INT(MOD(Sync!$L1141,10000)/100),2)&amp;"/"&amp;RIGHT("00"&amp;MOD(Sync!$L1141,100),2),""),IFERROR(RIGHT("0000"&amp;VALUE(TRIM(LEFT(Sync!$L1141,FIND("/",Sync!$L1141)-1))),4)&amp;"/"&amp;RIGHT("00"&amp;VALUE(TRIM(LEFT(MID(Sync!$L1141,FIND("/",Sync!$L1141)+1,20),FIND("/",MID(Sync!$L1141,FIND("/",Sync!$L1141)+1,20))-1))),2)&amp;"/"&amp;RIGHT("00"&amp;VALUE(TRIM(MID(MID(Sync!$L1141,FIND("/",Sync!$L1141)+1,20),FIND("/",MID(Sync!$L1141,FIND("/",Sync!$L1141)+1,20))+1,20))),2),"")))</f>
        <v/>
      </c>
    </row>
    <row r="1142" spans="13:14" x14ac:dyDescent="0.2">
      <c r="M1142" t="str">
        <f>IF(Sync!$M1142&lt;&gt;"پاس چک","",IF(Sync!$P1142="","",Sync!$P1142))</f>
        <v/>
      </c>
      <c r="N1142" t="str">
        <f>IF($M1142="","",IF(ISNUMBER(Sync!$L1142),IF(AND(Sync!$L1142&gt;=10000101,Sync!$L1142&lt;=99991231),RIGHT("0000"&amp;INT(Sync!$L1142/10000),4)&amp;"/"&amp;RIGHT("00"&amp;INT(MOD(Sync!$L1142,10000)/100),2)&amp;"/"&amp;RIGHT("00"&amp;MOD(Sync!$L1142,100),2),""),IFERROR(RIGHT("0000"&amp;VALUE(TRIM(LEFT(Sync!$L1142,FIND("/",Sync!$L1142)-1))),4)&amp;"/"&amp;RIGHT("00"&amp;VALUE(TRIM(LEFT(MID(Sync!$L1142,FIND("/",Sync!$L1142)+1,20),FIND("/",MID(Sync!$L1142,FIND("/",Sync!$L1142)+1,20))-1))),2)&amp;"/"&amp;RIGHT("00"&amp;VALUE(TRIM(MID(MID(Sync!$L1142,FIND("/",Sync!$L1142)+1,20),FIND("/",MID(Sync!$L1142,FIND("/",Sync!$L1142)+1,20))+1,20))),2),"")))</f>
        <v/>
      </c>
    </row>
    <row r="1143" spans="13:14" x14ac:dyDescent="0.2">
      <c r="M1143" t="str">
        <f>IF(Sync!$M1143&lt;&gt;"پاس چک","",IF(Sync!$P1143="","",Sync!$P1143))</f>
        <v/>
      </c>
      <c r="N1143" t="str">
        <f>IF($M1143="","",IF(ISNUMBER(Sync!$L1143),IF(AND(Sync!$L1143&gt;=10000101,Sync!$L1143&lt;=99991231),RIGHT("0000"&amp;INT(Sync!$L1143/10000),4)&amp;"/"&amp;RIGHT("00"&amp;INT(MOD(Sync!$L1143,10000)/100),2)&amp;"/"&amp;RIGHT("00"&amp;MOD(Sync!$L1143,100),2),""),IFERROR(RIGHT("0000"&amp;VALUE(TRIM(LEFT(Sync!$L1143,FIND("/",Sync!$L1143)-1))),4)&amp;"/"&amp;RIGHT("00"&amp;VALUE(TRIM(LEFT(MID(Sync!$L1143,FIND("/",Sync!$L1143)+1,20),FIND("/",MID(Sync!$L1143,FIND("/",Sync!$L1143)+1,20))-1))),2)&amp;"/"&amp;RIGHT("00"&amp;VALUE(TRIM(MID(MID(Sync!$L1143,FIND("/",Sync!$L1143)+1,20),FIND("/",MID(Sync!$L1143,FIND("/",Sync!$L1143)+1,20))+1,20))),2),"")))</f>
        <v/>
      </c>
    </row>
    <row r="1144" spans="13:14" x14ac:dyDescent="0.2">
      <c r="M1144" t="str">
        <f>IF(Sync!$M1144&lt;&gt;"پاس چک","",IF(Sync!$P1144="","",Sync!$P1144))</f>
        <v/>
      </c>
      <c r="N1144" t="str">
        <f>IF($M1144="","",IF(ISNUMBER(Sync!$L1144),IF(AND(Sync!$L1144&gt;=10000101,Sync!$L1144&lt;=99991231),RIGHT("0000"&amp;INT(Sync!$L1144/10000),4)&amp;"/"&amp;RIGHT("00"&amp;INT(MOD(Sync!$L1144,10000)/100),2)&amp;"/"&amp;RIGHT("00"&amp;MOD(Sync!$L1144,100),2),""),IFERROR(RIGHT("0000"&amp;VALUE(TRIM(LEFT(Sync!$L1144,FIND("/",Sync!$L1144)-1))),4)&amp;"/"&amp;RIGHT("00"&amp;VALUE(TRIM(LEFT(MID(Sync!$L1144,FIND("/",Sync!$L1144)+1,20),FIND("/",MID(Sync!$L1144,FIND("/",Sync!$L1144)+1,20))-1))),2)&amp;"/"&amp;RIGHT("00"&amp;VALUE(TRIM(MID(MID(Sync!$L1144,FIND("/",Sync!$L1144)+1,20),FIND("/",MID(Sync!$L1144,FIND("/",Sync!$L1144)+1,20))+1,20))),2),"")))</f>
        <v/>
      </c>
    </row>
    <row r="1145" spans="13:14" x14ac:dyDescent="0.2">
      <c r="M1145" t="str">
        <f>IF(Sync!$M1145&lt;&gt;"پاس چک","",IF(Sync!$P1145="","",Sync!$P1145))</f>
        <v/>
      </c>
      <c r="N1145" t="str">
        <f>IF($M1145="","",IF(ISNUMBER(Sync!$L1145),IF(AND(Sync!$L1145&gt;=10000101,Sync!$L1145&lt;=99991231),RIGHT("0000"&amp;INT(Sync!$L1145/10000),4)&amp;"/"&amp;RIGHT("00"&amp;INT(MOD(Sync!$L1145,10000)/100),2)&amp;"/"&amp;RIGHT("00"&amp;MOD(Sync!$L1145,100),2),""),IFERROR(RIGHT("0000"&amp;VALUE(TRIM(LEFT(Sync!$L1145,FIND("/",Sync!$L1145)-1))),4)&amp;"/"&amp;RIGHT("00"&amp;VALUE(TRIM(LEFT(MID(Sync!$L1145,FIND("/",Sync!$L1145)+1,20),FIND("/",MID(Sync!$L1145,FIND("/",Sync!$L1145)+1,20))-1))),2)&amp;"/"&amp;RIGHT("00"&amp;VALUE(TRIM(MID(MID(Sync!$L1145,FIND("/",Sync!$L1145)+1,20),FIND("/",MID(Sync!$L1145,FIND("/",Sync!$L1145)+1,20))+1,20))),2),"")))</f>
        <v/>
      </c>
    </row>
    <row r="1146" spans="13:14" x14ac:dyDescent="0.2">
      <c r="M1146" t="str">
        <f>IF(Sync!$M1146&lt;&gt;"پاس چک","",IF(Sync!$P1146="","",Sync!$P1146))</f>
        <v/>
      </c>
      <c r="N1146" t="str">
        <f>IF($M1146="","",IF(ISNUMBER(Sync!$L1146),IF(AND(Sync!$L1146&gt;=10000101,Sync!$L1146&lt;=99991231),RIGHT("0000"&amp;INT(Sync!$L1146/10000),4)&amp;"/"&amp;RIGHT("00"&amp;INT(MOD(Sync!$L1146,10000)/100),2)&amp;"/"&amp;RIGHT("00"&amp;MOD(Sync!$L1146,100),2),""),IFERROR(RIGHT("0000"&amp;VALUE(TRIM(LEFT(Sync!$L1146,FIND("/",Sync!$L1146)-1))),4)&amp;"/"&amp;RIGHT("00"&amp;VALUE(TRIM(LEFT(MID(Sync!$L1146,FIND("/",Sync!$L1146)+1,20),FIND("/",MID(Sync!$L1146,FIND("/",Sync!$L1146)+1,20))-1))),2)&amp;"/"&amp;RIGHT("00"&amp;VALUE(TRIM(MID(MID(Sync!$L1146,FIND("/",Sync!$L1146)+1,20),FIND("/",MID(Sync!$L1146,FIND("/",Sync!$L1146)+1,20))+1,20))),2),"")))</f>
        <v/>
      </c>
    </row>
    <row r="1147" spans="13:14" x14ac:dyDescent="0.2">
      <c r="M1147" t="str">
        <f>IF(Sync!$M1147&lt;&gt;"پاس چک","",IF(Sync!$P1147="","",Sync!$P1147))</f>
        <v/>
      </c>
      <c r="N1147" t="str">
        <f>IF($M1147="","",IF(ISNUMBER(Sync!$L1147),IF(AND(Sync!$L1147&gt;=10000101,Sync!$L1147&lt;=99991231),RIGHT("0000"&amp;INT(Sync!$L1147/10000),4)&amp;"/"&amp;RIGHT("00"&amp;INT(MOD(Sync!$L1147,10000)/100),2)&amp;"/"&amp;RIGHT("00"&amp;MOD(Sync!$L1147,100),2),""),IFERROR(RIGHT("0000"&amp;VALUE(TRIM(LEFT(Sync!$L1147,FIND("/",Sync!$L1147)-1))),4)&amp;"/"&amp;RIGHT("00"&amp;VALUE(TRIM(LEFT(MID(Sync!$L1147,FIND("/",Sync!$L1147)+1,20),FIND("/",MID(Sync!$L1147,FIND("/",Sync!$L1147)+1,20))-1))),2)&amp;"/"&amp;RIGHT("00"&amp;VALUE(TRIM(MID(MID(Sync!$L1147,FIND("/",Sync!$L1147)+1,20),FIND("/",MID(Sync!$L1147,FIND("/",Sync!$L1147)+1,20))+1,20))),2),"")))</f>
        <v/>
      </c>
    </row>
    <row r="1148" spans="13:14" x14ac:dyDescent="0.2">
      <c r="M1148" t="str">
        <f>IF(Sync!$M1148&lt;&gt;"پاس چک","",IF(Sync!$P1148="","",Sync!$P1148))</f>
        <v/>
      </c>
      <c r="N1148" t="str">
        <f>IF($M1148="","",IF(ISNUMBER(Sync!$L1148),IF(AND(Sync!$L1148&gt;=10000101,Sync!$L1148&lt;=99991231),RIGHT("0000"&amp;INT(Sync!$L1148/10000),4)&amp;"/"&amp;RIGHT("00"&amp;INT(MOD(Sync!$L1148,10000)/100),2)&amp;"/"&amp;RIGHT("00"&amp;MOD(Sync!$L1148,100),2),""),IFERROR(RIGHT("0000"&amp;VALUE(TRIM(LEFT(Sync!$L1148,FIND("/",Sync!$L1148)-1))),4)&amp;"/"&amp;RIGHT("00"&amp;VALUE(TRIM(LEFT(MID(Sync!$L1148,FIND("/",Sync!$L1148)+1,20),FIND("/",MID(Sync!$L1148,FIND("/",Sync!$L1148)+1,20))-1))),2)&amp;"/"&amp;RIGHT("00"&amp;VALUE(TRIM(MID(MID(Sync!$L1148,FIND("/",Sync!$L1148)+1,20),FIND("/",MID(Sync!$L1148,FIND("/",Sync!$L1148)+1,20))+1,20))),2),"")))</f>
        <v/>
      </c>
    </row>
    <row r="1149" spans="13:14" x14ac:dyDescent="0.2">
      <c r="M1149" t="str">
        <f>IF(Sync!$M1149&lt;&gt;"پاس چک","",IF(Sync!$P1149="","",Sync!$P1149))</f>
        <v/>
      </c>
      <c r="N1149" t="str">
        <f>IF($M1149="","",IF(ISNUMBER(Sync!$L1149),IF(AND(Sync!$L1149&gt;=10000101,Sync!$L1149&lt;=99991231),RIGHT("0000"&amp;INT(Sync!$L1149/10000),4)&amp;"/"&amp;RIGHT("00"&amp;INT(MOD(Sync!$L1149,10000)/100),2)&amp;"/"&amp;RIGHT("00"&amp;MOD(Sync!$L1149,100),2),""),IFERROR(RIGHT("0000"&amp;VALUE(TRIM(LEFT(Sync!$L1149,FIND("/",Sync!$L1149)-1))),4)&amp;"/"&amp;RIGHT("00"&amp;VALUE(TRIM(LEFT(MID(Sync!$L1149,FIND("/",Sync!$L1149)+1,20),FIND("/",MID(Sync!$L1149,FIND("/",Sync!$L1149)+1,20))-1))),2)&amp;"/"&amp;RIGHT("00"&amp;VALUE(TRIM(MID(MID(Sync!$L1149,FIND("/",Sync!$L1149)+1,20),FIND("/",MID(Sync!$L1149,FIND("/",Sync!$L1149)+1,20))+1,20))),2),"")))</f>
        <v/>
      </c>
    </row>
    <row r="1150" spans="13:14" x14ac:dyDescent="0.2">
      <c r="M1150" t="str">
        <f>IF(Sync!$M1150&lt;&gt;"پاس چک","",IF(Sync!$P1150="","",Sync!$P1150))</f>
        <v/>
      </c>
      <c r="N1150" t="str">
        <f>IF($M1150="","",IF(ISNUMBER(Sync!$L1150),IF(AND(Sync!$L1150&gt;=10000101,Sync!$L1150&lt;=99991231),RIGHT("0000"&amp;INT(Sync!$L1150/10000),4)&amp;"/"&amp;RIGHT("00"&amp;INT(MOD(Sync!$L1150,10000)/100),2)&amp;"/"&amp;RIGHT("00"&amp;MOD(Sync!$L1150,100),2),""),IFERROR(RIGHT("0000"&amp;VALUE(TRIM(LEFT(Sync!$L1150,FIND("/",Sync!$L1150)-1))),4)&amp;"/"&amp;RIGHT("00"&amp;VALUE(TRIM(LEFT(MID(Sync!$L1150,FIND("/",Sync!$L1150)+1,20),FIND("/",MID(Sync!$L1150,FIND("/",Sync!$L1150)+1,20))-1))),2)&amp;"/"&amp;RIGHT("00"&amp;VALUE(TRIM(MID(MID(Sync!$L1150,FIND("/",Sync!$L1150)+1,20),FIND("/",MID(Sync!$L1150,FIND("/",Sync!$L1150)+1,20))+1,20))),2),"")))</f>
        <v/>
      </c>
    </row>
    <row r="1151" spans="13:14" x14ac:dyDescent="0.2">
      <c r="M1151" t="str">
        <f>IF(Sync!$M1151&lt;&gt;"پاس چک","",IF(Sync!$P1151="","",Sync!$P1151))</f>
        <v/>
      </c>
      <c r="N1151" t="str">
        <f>IF($M1151="","",IF(ISNUMBER(Sync!$L1151),IF(AND(Sync!$L1151&gt;=10000101,Sync!$L1151&lt;=99991231),RIGHT("0000"&amp;INT(Sync!$L1151/10000),4)&amp;"/"&amp;RIGHT("00"&amp;INT(MOD(Sync!$L1151,10000)/100),2)&amp;"/"&amp;RIGHT("00"&amp;MOD(Sync!$L1151,100),2),""),IFERROR(RIGHT("0000"&amp;VALUE(TRIM(LEFT(Sync!$L1151,FIND("/",Sync!$L1151)-1))),4)&amp;"/"&amp;RIGHT("00"&amp;VALUE(TRIM(LEFT(MID(Sync!$L1151,FIND("/",Sync!$L1151)+1,20),FIND("/",MID(Sync!$L1151,FIND("/",Sync!$L1151)+1,20))-1))),2)&amp;"/"&amp;RIGHT("00"&amp;VALUE(TRIM(MID(MID(Sync!$L1151,FIND("/",Sync!$L1151)+1,20),FIND("/",MID(Sync!$L1151,FIND("/",Sync!$L1151)+1,20))+1,20))),2),"")))</f>
        <v/>
      </c>
    </row>
    <row r="1152" spans="13:14" x14ac:dyDescent="0.2">
      <c r="M1152" t="str">
        <f>IF(Sync!$M1152&lt;&gt;"پاس چک","",IF(Sync!$P1152="","",Sync!$P1152))</f>
        <v/>
      </c>
      <c r="N1152" t="str">
        <f>IF($M1152="","",IF(ISNUMBER(Sync!$L1152),IF(AND(Sync!$L1152&gt;=10000101,Sync!$L1152&lt;=99991231),RIGHT("0000"&amp;INT(Sync!$L1152/10000),4)&amp;"/"&amp;RIGHT("00"&amp;INT(MOD(Sync!$L1152,10000)/100),2)&amp;"/"&amp;RIGHT("00"&amp;MOD(Sync!$L1152,100),2),""),IFERROR(RIGHT("0000"&amp;VALUE(TRIM(LEFT(Sync!$L1152,FIND("/",Sync!$L1152)-1))),4)&amp;"/"&amp;RIGHT("00"&amp;VALUE(TRIM(LEFT(MID(Sync!$L1152,FIND("/",Sync!$L1152)+1,20),FIND("/",MID(Sync!$L1152,FIND("/",Sync!$L1152)+1,20))-1))),2)&amp;"/"&amp;RIGHT("00"&amp;VALUE(TRIM(MID(MID(Sync!$L1152,FIND("/",Sync!$L1152)+1,20),FIND("/",MID(Sync!$L1152,FIND("/",Sync!$L1152)+1,20))+1,20))),2),"")))</f>
        <v/>
      </c>
    </row>
    <row r="1153" spans="13:14" x14ac:dyDescent="0.2">
      <c r="M1153" t="str">
        <f>IF(Sync!$M1153&lt;&gt;"پاس چک","",IF(Sync!$P1153="","",Sync!$P1153))</f>
        <v/>
      </c>
      <c r="N1153" t="str">
        <f>IF($M1153="","",IF(ISNUMBER(Sync!$L1153),IF(AND(Sync!$L1153&gt;=10000101,Sync!$L1153&lt;=99991231),RIGHT("0000"&amp;INT(Sync!$L1153/10000),4)&amp;"/"&amp;RIGHT("00"&amp;INT(MOD(Sync!$L1153,10000)/100),2)&amp;"/"&amp;RIGHT("00"&amp;MOD(Sync!$L1153,100),2),""),IFERROR(RIGHT("0000"&amp;VALUE(TRIM(LEFT(Sync!$L1153,FIND("/",Sync!$L1153)-1))),4)&amp;"/"&amp;RIGHT("00"&amp;VALUE(TRIM(LEFT(MID(Sync!$L1153,FIND("/",Sync!$L1153)+1,20),FIND("/",MID(Sync!$L1153,FIND("/",Sync!$L1153)+1,20))-1))),2)&amp;"/"&amp;RIGHT("00"&amp;VALUE(TRIM(MID(MID(Sync!$L1153,FIND("/",Sync!$L1153)+1,20),FIND("/",MID(Sync!$L1153,FIND("/",Sync!$L1153)+1,20))+1,20))),2),"")))</f>
        <v/>
      </c>
    </row>
    <row r="1154" spans="13:14" x14ac:dyDescent="0.2">
      <c r="M1154" t="str">
        <f>IF(Sync!$M1154&lt;&gt;"پاس چک","",IF(Sync!$P1154="","",Sync!$P1154))</f>
        <v/>
      </c>
      <c r="N1154" t="str">
        <f>IF($M1154="","",IF(ISNUMBER(Sync!$L1154),IF(AND(Sync!$L1154&gt;=10000101,Sync!$L1154&lt;=99991231),RIGHT("0000"&amp;INT(Sync!$L1154/10000),4)&amp;"/"&amp;RIGHT("00"&amp;INT(MOD(Sync!$L1154,10000)/100),2)&amp;"/"&amp;RIGHT("00"&amp;MOD(Sync!$L1154,100),2),""),IFERROR(RIGHT("0000"&amp;VALUE(TRIM(LEFT(Sync!$L1154,FIND("/",Sync!$L1154)-1))),4)&amp;"/"&amp;RIGHT("00"&amp;VALUE(TRIM(LEFT(MID(Sync!$L1154,FIND("/",Sync!$L1154)+1,20),FIND("/",MID(Sync!$L1154,FIND("/",Sync!$L1154)+1,20))-1))),2)&amp;"/"&amp;RIGHT("00"&amp;VALUE(TRIM(MID(MID(Sync!$L1154,FIND("/",Sync!$L1154)+1,20),FIND("/",MID(Sync!$L1154,FIND("/",Sync!$L1154)+1,20))+1,20))),2),"")))</f>
        <v/>
      </c>
    </row>
    <row r="1155" spans="13:14" x14ac:dyDescent="0.2">
      <c r="M1155" t="str">
        <f>IF(Sync!$M1155&lt;&gt;"پاس چک","",IF(Sync!$P1155="","",Sync!$P1155))</f>
        <v/>
      </c>
      <c r="N1155" t="str">
        <f>IF($M1155="","",IF(ISNUMBER(Sync!$L1155),IF(AND(Sync!$L1155&gt;=10000101,Sync!$L1155&lt;=99991231),RIGHT("0000"&amp;INT(Sync!$L1155/10000),4)&amp;"/"&amp;RIGHT("00"&amp;INT(MOD(Sync!$L1155,10000)/100),2)&amp;"/"&amp;RIGHT("00"&amp;MOD(Sync!$L1155,100),2),""),IFERROR(RIGHT("0000"&amp;VALUE(TRIM(LEFT(Sync!$L1155,FIND("/",Sync!$L1155)-1))),4)&amp;"/"&amp;RIGHT("00"&amp;VALUE(TRIM(LEFT(MID(Sync!$L1155,FIND("/",Sync!$L1155)+1,20),FIND("/",MID(Sync!$L1155,FIND("/",Sync!$L1155)+1,20))-1))),2)&amp;"/"&amp;RIGHT("00"&amp;VALUE(TRIM(MID(MID(Sync!$L1155,FIND("/",Sync!$L1155)+1,20),FIND("/",MID(Sync!$L1155,FIND("/",Sync!$L1155)+1,20))+1,20))),2),"")))</f>
        <v/>
      </c>
    </row>
    <row r="1156" spans="13:14" x14ac:dyDescent="0.2">
      <c r="M1156" t="str">
        <f>IF(Sync!$M1156&lt;&gt;"پاس چک","",IF(Sync!$P1156="","",Sync!$P1156))</f>
        <v/>
      </c>
      <c r="N1156" t="str">
        <f>IF($M1156="","",IF(ISNUMBER(Sync!$L1156),IF(AND(Sync!$L1156&gt;=10000101,Sync!$L1156&lt;=99991231),RIGHT("0000"&amp;INT(Sync!$L1156/10000),4)&amp;"/"&amp;RIGHT("00"&amp;INT(MOD(Sync!$L1156,10000)/100),2)&amp;"/"&amp;RIGHT("00"&amp;MOD(Sync!$L1156,100),2),""),IFERROR(RIGHT("0000"&amp;VALUE(TRIM(LEFT(Sync!$L1156,FIND("/",Sync!$L1156)-1))),4)&amp;"/"&amp;RIGHT("00"&amp;VALUE(TRIM(LEFT(MID(Sync!$L1156,FIND("/",Sync!$L1156)+1,20),FIND("/",MID(Sync!$L1156,FIND("/",Sync!$L1156)+1,20))-1))),2)&amp;"/"&amp;RIGHT("00"&amp;VALUE(TRIM(MID(MID(Sync!$L1156,FIND("/",Sync!$L1156)+1,20),FIND("/",MID(Sync!$L1156,FIND("/",Sync!$L1156)+1,20))+1,20))),2),"")))</f>
        <v/>
      </c>
    </row>
    <row r="1157" spans="13:14" x14ac:dyDescent="0.2">
      <c r="M1157" t="str">
        <f>IF(Sync!$M1157&lt;&gt;"پاس چک","",IF(Sync!$P1157="","",Sync!$P1157))</f>
        <v/>
      </c>
      <c r="N1157" t="str">
        <f>IF($M1157="","",IF(ISNUMBER(Sync!$L1157),IF(AND(Sync!$L1157&gt;=10000101,Sync!$L1157&lt;=99991231),RIGHT("0000"&amp;INT(Sync!$L1157/10000),4)&amp;"/"&amp;RIGHT("00"&amp;INT(MOD(Sync!$L1157,10000)/100),2)&amp;"/"&amp;RIGHT("00"&amp;MOD(Sync!$L1157,100),2),""),IFERROR(RIGHT("0000"&amp;VALUE(TRIM(LEFT(Sync!$L1157,FIND("/",Sync!$L1157)-1))),4)&amp;"/"&amp;RIGHT("00"&amp;VALUE(TRIM(LEFT(MID(Sync!$L1157,FIND("/",Sync!$L1157)+1,20),FIND("/",MID(Sync!$L1157,FIND("/",Sync!$L1157)+1,20))-1))),2)&amp;"/"&amp;RIGHT("00"&amp;VALUE(TRIM(MID(MID(Sync!$L1157,FIND("/",Sync!$L1157)+1,20),FIND("/",MID(Sync!$L1157,FIND("/",Sync!$L1157)+1,20))+1,20))),2),"")))</f>
        <v/>
      </c>
    </row>
    <row r="1158" spans="13:14" x14ac:dyDescent="0.2">
      <c r="M1158" t="str">
        <f>IF(Sync!$M1158&lt;&gt;"پاس چک","",IF(Sync!$P1158="","",Sync!$P1158))</f>
        <v/>
      </c>
      <c r="N1158" t="str">
        <f>IF($M1158="","",IF(ISNUMBER(Sync!$L1158),IF(AND(Sync!$L1158&gt;=10000101,Sync!$L1158&lt;=99991231),RIGHT("0000"&amp;INT(Sync!$L1158/10000),4)&amp;"/"&amp;RIGHT("00"&amp;INT(MOD(Sync!$L1158,10000)/100),2)&amp;"/"&amp;RIGHT("00"&amp;MOD(Sync!$L1158,100),2),""),IFERROR(RIGHT("0000"&amp;VALUE(TRIM(LEFT(Sync!$L1158,FIND("/",Sync!$L1158)-1))),4)&amp;"/"&amp;RIGHT("00"&amp;VALUE(TRIM(LEFT(MID(Sync!$L1158,FIND("/",Sync!$L1158)+1,20),FIND("/",MID(Sync!$L1158,FIND("/",Sync!$L1158)+1,20))-1))),2)&amp;"/"&amp;RIGHT("00"&amp;VALUE(TRIM(MID(MID(Sync!$L1158,FIND("/",Sync!$L1158)+1,20),FIND("/",MID(Sync!$L1158,FIND("/",Sync!$L1158)+1,20))+1,20))),2),"")))</f>
        <v/>
      </c>
    </row>
    <row r="1159" spans="13:14" x14ac:dyDescent="0.2">
      <c r="M1159" t="str">
        <f>IF(Sync!$M1159&lt;&gt;"پاس چک","",IF(Sync!$P1159="","",Sync!$P1159))</f>
        <v/>
      </c>
      <c r="N1159" t="str">
        <f>IF($M1159="","",IF(ISNUMBER(Sync!$L1159),IF(AND(Sync!$L1159&gt;=10000101,Sync!$L1159&lt;=99991231),RIGHT("0000"&amp;INT(Sync!$L1159/10000),4)&amp;"/"&amp;RIGHT("00"&amp;INT(MOD(Sync!$L1159,10000)/100),2)&amp;"/"&amp;RIGHT("00"&amp;MOD(Sync!$L1159,100),2),""),IFERROR(RIGHT("0000"&amp;VALUE(TRIM(LEFT(Sync!$L1159,FIND("/",Sync!$L1159)-1))),4)&amp;"/"&amp;RIGHT("00"&amp;VALUE(TRIM(LEFT(MID(Sync!$L1159,FIND("/",Sync!$L1159)+1,20),FIND("/",MID(Sync!$L1159,FIND("/",Sync!$L1159)+1,20))-1))),2)&amp;"/"&amp;RIGHT("00"&amp;VALUE(TRIM(MID(MID(Sync!$L1159,FIND("/",Sync!$L1159)+1,20),FIND("/",MID(Sync!$L1159,FIND("/",Sync!$L1159)+1,20))+1,20))),2),"")))</f>
        <v/>
      </c>
    </row>
    <row r="1160" spans="13:14" x14ac:dyDescent="0.2">
      <c r="M1160" t="str">
        <f>IF(Sync!$M1160&lt;&gt;"پاس چک","",IF(Sync!$P1160="","",Sync!$P1160))</f>
        <v/>
      </c>
      <c r="N1160" t="str">
        <f>IF($M1160="","",IF(ISNUMBER(Sync!$L1160),IF(AND(Sync!$L1160&gt;=10000101,Sync!$L1160&lt;=99991231),RIGHT("0000"&amp;INT(Sync!$L1160/10000),4)&amp;"/"&amp;RIGHT("00"&amp;INT(MOD(Sync!$L1160,10000)/100),2)&amp;"/"&amp;RIGHT("00"&amp;MOD(Sync!$L1160,100),2),""),IFERROR(RIGHT("0000"&amp;VALUE(TRIM(LEFT(Sync!$L1160,FIND("/",Sync!$L1160)-1))),4)&amp;"/"&amp;RIGHT("00"&amp;VALUE(TRIM(LEFT(MID(Sync!$L1160,FIND("/",Sync!$L1160)+1,20),FIND("/",MID(Sync!$L1160,FIND("/",Sync!$L1160)+1,20))-1))),2)&amp;"/"&amp;RIGHT("00"&amp;VALUE(TRIM(MID(MID(Sync!$L1160,FIND("/",Sync!$L1160)+1,20),FIND("/",MID(Sync!$L1160,FIND("/",Sync!$L1160)+1,20))+1,20))),2),"")))</f>
        <v/>
      </c>
    </row>
    <row r="1161" spans="13:14" x14ac:dyDescent="0.2">
      <c r="M1161" t="str">
        <f>IF(Sync!$M1161&lt;&gt;"پاس چک","",IF(Sync!$P1161="","",Sync!$P1161))</f>
        <v/>
      </c>
      <c r="N1161" t="str">
        <f>IF($M1161="","",IF(ISNUMBER(Sync!$L1161),IF(AND(Sync!$L1161&gt;=10000101,Sync!$L1161&lt;=99991231),RIGHT("0000"&amp;INT(Sync!$L1161/10000),4)&amp;"/"&amp;RIGHT("00"&amp;INT(MOD(Sync!$L1161,10000)/100),2)&amp;"/"&amp;RIGHT("00"&amp;MOD(Sync!$L1161,100),2),""),IFERROR(RIGHT("0000"&amp;VALUE(TRIM(LEFT(Sync!$L1161,FIND("/",Sync!$L1161)-1))),4)&amp;"/"&amp;RIGHT("00"&amp;VALUE(TRIM(LEFT(MID(Sync!$L1161,FIND("/",Sync!$L1161)+1,20),FIND("/",MID(Sync!$L1161,FIND("/",Sync!$L1161)+1,20))-1))),2)&amp;"/"&amp;RIGHT("00"&amp;VALUE(TRIM(MID(MID(Sync!$L1161,FIND("/",Sync!$L1161)+1,20),FIND("/",MID(Sync!$L1161,FIND("/",Sync!$L1161)+1,20))+1,20))),2),"")))</f>
        <v/>
      </c>
    </row>
    <row r="1162" spans="13:14" x14ac:dyDescent="0.2">
      <c r="M1162" t="str">
        <f>IF(Sync!$M1162&lt;&gt;"پاس چک","",IF(Sync!$P1162="","",Sync!$P1162))</f>
        <v/>
      </c>
      <c r="N1162" t="str">
        <f>IF($M1162="","",IF(ISNUMBER(Sync!$L1162),IF(AND(Sync!$L1162&gt;=10000101,Sync!$L1162&lt;=99991231),RIGHT("0000"&amp;INT(Sync!$L1162/10000),4)&amp;"/"&amp;RIGHT("00"&amp;INT(MOD(Sync!$L1162,10000)/100),2)&amp;"/"&amp;RIGHT("00"&amp;MOD(Sync!$L1162,100),2),""),IFERROR(RIGHT("0000"&amp;VALUE(TRIM(LEFT(Sync!$L1162,FIND("/",Sync!$L1162)-1))),4)&amp;"/"&amp;RIGHT("00"&amp;VALUE(TRIM(LEFT(MID(Sync!$L1162,FIND("/",Sync!$L1162)+1,20),FIND("/",MID(Sync!$L1162,FIND("/",Sync!$L1162)+1,20))-1))),2)&amp;"/"&amp;RIGHT("00"&amp;VALUE(TRIM(MID(MID(Sync!$L1162,FIND("/",Sync!$L1162)+1,20),FIND("/",MID(Sync!$L1162,FIND("/",Sync!$L1162)+1,20))+1,20))),2),"")))</f>
        <v/>
      </c>
    </row>
    <row r="1163" spans="13:14" x14ac:dyDescent="0.2">
      <c r="M1163" t="str">
        <f>IF(Sync!$M1163&lt;&gt;"پاس چک","",IF(Sync!$P1163="","",Sync!$P1163))</f>
        <v/>
      </c>
      <c r="N1163" t="str">
        <f>IF($M1163="","",IF(ISNUMBER(Sync!$L1163),IF(AND(Sync!$L1163&gt;=10000101,Sync!$L1163&lt;=99991231),RIGHT("0000"&amp;INT(Sync!$L1163/10000),4)&amp;"/"&amp;RIGHT("00"&amp;INT(MOD(Sync!$L1163,10000)/100),2)&amp;"/"&amp;RIGHT("00"&amp;MOD(Sync!$L1163,100),2),""),IFERROR(RIGHT("0000"&amp;VALUE(TRIM(LEFT(Sync!$L1163,FIND("/",Sync!$L1163)-1))),4)&amp;"/"&amp;RIGHT("00"&amp;VALUE(TRIM(LEFT(MID(Sync!$L1163,FIND("/",Sync!$L1163)+1,20),FIND("/",MID(Sync!$L1163,FIND("/",Sync!$L1163)+1,20))-1))),2)&amp;"/"&amp;RIGHT("00"&amp;VALUE(TRIM(MID(MID(Sync!$L1163,FIND("/",Sync!$L1163)+1,20),FIND("/",MID(Sync!$L1163,FIND("/",Sync!$L1163)+1,20))+1,20))),2),"")))</f>
        <v/>
      </c>
    </row>
    <row r="1164" spans="13:14" x14ac:dyDescent="0.2">
      <c r="M1164" t="str">
        <f>IF(Sync!$M1164&lt;&gt;"پاس چک","",IF(Sync!$P1164="","",Sync!$P1164))</f>
        <v/>
      </c>
      <c r="N1164" t="str">
        <f>IF($M1164="","",IF(ISNUMBER(Sync!$L1164),IF(AND(Sync!$L1164&gt;=10000101,Sync!$L1164&lt;=99991231),RIGHT("0000"&amp;INT(Sync!$L1164/10000),4)&amp;"/"&amp;RIGHT("00"&amp;INT(MOD(Sync!$L1164,10000)/100),2)&amp;"/"&amp;RIGHT("00"&amp;MOD(Sync!$L1164,100),2),""),IFERROR(RIGHT("0000"&amp;VALUE(TRIM(LEFT(Sync!$L1164,FIND("/",Sync!$L1164)-1))),4)&amp;"/"&amp;RIGHT("00"&amp;VALUE(TRIM(LEFT(MID(Sync!$L1164,FIND("/",Sync!$L1164)+1,20),FIND("/",MID(Sync!$L1164,FIND("/",Sync!$L1164)+1,20))-1))),2)&amp;"/"&amp;RIGHT("00"&amp;VALUE(TRIM(MID(MID(Sync!$L1164,FIND("/",Sync!$L1164)+1,20),FIND("/",MID(Sync!$L1164,FIND("/",Sync!$L1164)+1,20))+1,20))),2),"")))</f>
        <v/>
      </c>
    </row>
    <row r="1165" spans="13:14" x14ac:dyDescent="0.2">
      <c r="M1165" t="str">
        <f>IF(Sync!$M1165&lt;&gt;"پاس چک","",IF(Sync!$P1165="","",Sync!$P1165))</f>
        <v/>
      </c>
      <c r="N1165" t="str">
        <f>IF($M1165="","",IF(ISNUMBER(Sync!$L1165),IF(AND(Sync!$L1165&gt;=10000101,Sync!$L1165&lt;=99991231),RIGHT("0000"&amp;INT(Sync!$L1165/10000),4)&amp;"/"&amp;RIGHT("00"&amp;INT(MOD(Sync!$L1165,10000)/100),2)&amp;"/"&amp;RIGHT("00"&amp;MOD(Sync!$L1165,100),2),""),IFERROR(RIGHT("0000"&amp;VALUE(TRIM(LEFT(Sync!$L1165,FIND("/",Sync!$L1165)-1))),4)&amp;"/"&amp;RIGHT("00"&amp;VALUE(TRIM(LEFT(MID(Sync!$L1165,FIND("/",Sync!$L1165)+1,20),FIND("/",MID(Sync!$L1165,FIND("/",Sync!$L1165)+1,20))-1))),2)&amp;"/"&amp;RIGHT("00"&amp;VALUE(TRIM(MID(MID(Sync!$L1165,FIND("/",Sync!$L1165)+1,20),FIND("/",MID(Sync!$L1165,FIND("/",Sync!$L1165)+1,20))+1,20))),2),"")))</f>
        <v/>
      </c>
    </row>
    <row r="1166" spans="13:14" x14ac:dyDescent="0.2">
      <c r="M1166" t="str">
        <f>IF(Sync!$M1166&lt;&gt;"پاس چک","",IF(Sync!$P1166="","",Sync!$P1166))</f>
        <v/>
      </c>
      <c r="N1166" t="str">
        <f>IF($M1166="","",IF(ISNUMBER(Sync!$L1166),IF(AND(Sync!$L1166&gt;=10000101,Sync!$L1166&lt;=99991231),RIGHT("0000"&amp;INT(Sync!$L1166/10000),4)&amp;"/"&amp;RIGHT("00"&amp;INT(MOD(Sync!$L1166,10000)/100),2)&amp;"/"&amp;RIGHT("00"&amp;MOD(Sync!$L1166,100),2),""),IFERROR(RIGHT("0000"&amp;VALUE(TRIM(LEFT(Sync!$L1166,FIND("/",Sync!$L1166)-1))),4)&amp;"/"&amp;RIGHT("00"&amp;VALUE(TRIM(LEFT(MID(Sync!$L1166,FIND("/",Sync!$L1166)+1,20),FIND("/",MID(Sync!$L1166,FIND("/",Sync!$L1166)+1,20))-1))),2)&amp;"/"&amp;RIGHT("00"&amp;VALUE(TRIM(MID(MID(Sync!$L1166,FIND("/",Sync!$L1166)+1,20),FIND("/",MID(Sync!$L1166,FIND("/",Sync!$L1166)+1,20))+1,20))),2),"")))</f>
        <v/>
      </c>
    </row>
    <row r="1167" spans="13:14" x14ac:dyDescent="0.2">
      <c r="M1167" t="str">
        <f>IF(Sync!$M1167&lt;&gt;"پاس چک","",IF(Sync!$P1167="","",Sync!$P1167))</f>
        <v/>
      </c>
      <c r="N1167" t="str">
        <f>IF($M1167="","",IF(ISNUMBER(Sync!$L1167),IF(AND(Sync!$L1167&gt;=10000101,Sync!$L1167&lt;=99991231),RIGHT("0000"&amp;INT(Sync!$L1167/10000),4)&amp;"/"&amp;RIGHT("00"&amp;INT(MOD(Sync!$L1167,10000)/100),2)&amp;"/"&amp;RIGHT("00"&amp;MOD(Sync!$L1167,100),2),""),IFERROR(RIGHT("0000"&amp;VALUE(TRIM(LEFT(Sync!$L1167,FIND("/",Sync!$L1167)-1))),4)&amp;"/"&amp;RIGHT("00"&amp;VALUE(TRIM(LEFT(MID(Sync!$L1167,FIND("/",Sync!$L1167)+1,20),FIND("/",MID(Sync!$L1167,FIND("/",Sync!$L1167)+1,20))-1))),2)&amp;"/"&amp;RIGHT("00"&amp;VALUE(TRIM(MID(MID(Sync!$L1167,FIND("/",Sync!$L1167)+1,20),FIND("/",MID(Sync!$L1167,FIND("/",Sync!$L1167)+1,20))+1,20))),2),"")))</f>
        <v/>
      </c>
    </row>
    <row r="1168" spans="13:14" x14ac:dyDescent="0.2">
      <c r="M1168" t="str">
        <f>IF(Sync!$M1168&lt;&gt;"پاس چک","",IF(Sync!$P1168="","",Sync!$P1168))</f>
        <v/>
      </c>
      <c r="N1168" t="str">
        <f>IF($M1168="","",IF(ISNUMBER(Sync!$L1168),IF(AND(Sync!$L1168&gt;=10000101,Sync!$L1168&lt;=99991231),RIGHT("0000"&amp;INT(Sync!$L1168/10000),4)&amp;"/"&amp;RIGHT("00"&amp;INT(MOD(Sync!$L1168,10000)/100),2)&amp;"/"&amp;RIGHT("00"&amp;MOD(Sync!$L1168,100),2),""),IFERROR(RIGHT("0000"&amp;VALUE(TRIM(LEFT(Sync!$L1168,FIND("/",Sync!$L1168)-1))),4)&amp;"/"&amp;RIGHT("00"&amp;VALUE(TRIM(LEFT(MID(Sync!$L1168,FIND("/",Sync!$L1168)+1,20),FIND("/",MID(Sync!$L1168,FIND("/",Sync!$L1168)+1,20))-1))),2)&amp;"/"&amp;RIGHT("00"&amp;VALUE(TRIM(MID(MID(Sync!$L1168,FIND("/",Sync!$L1168)+1,20),FIND("/",MID(Sync!$L1168,FIND("/",Sync!$L1168)+1,20))+1,20))),2),"")))</f>
        <v/>
      </c>
    </row>
    <row r="1169" spans="13:14" x14ac:dyDescent="0.2">
      <c r="M1169" t="str">
        <f>IF(Sync!$M1169&lt;&gt;"پاس چک","",IF(Sync!$P1169="","",Sync!$P1169))</f>
        <v/>
      </c>
      <c r="N1169" t="str">
        <f>IF($M1169="","",IF(ISNUMBER(Sync!$L1169),IF(AND(Sync!$L1169&gt;=10000101,Sync!$L1169&lt;=99991231),RIGHT("0000"&amp;INT(Sync!$L1169/10000),4)&amp;"/"&amp;RIGHT("00"&amp;INT(MOD(Sync!$L1169,10000)/100),2)&amp;"/"&amp;RIGHT("00"&amp;MOD(Sync!$L1169,100),2),""),IFERROR(RIGHT("0000"&amp;VALUE(TRIM(LEFT(Sync!$L1169,FIND("/",Sync!$L1169)-1))),4)&amp;"/"&amp;RIGHT("00"&amp;VALUE(TRIM(LEFT(MID(Sync!$L1169,FIND("/",Sync!$L1169)+1,20),FIND("/",MID(Sync!$L1169,FIND("/",Sync!$L1169)+1,20))-1))),2)&amp;"/"&amp;RIGHT("00"&amp;VALUE(TRIM(MID(MID(Sync!$L1169,FIND("/",Sync!$L1169)+1,20),FIND("/",MID(Sync!$L1169,FIND("/",Sync!$L1169)+1,20))+1,20))),2),"")))</f>
        <v/>
      </c>
    </row>
    <row r="1170" spans="13:14" x14ac:dyDescent="0.2">
      <c r="M1170" t="str">
        <f>IF(Sync!$M1170&lt;&gt;"پاس چک","",IF(Sync!$P1170="","",Sync!$P1170))</f>
        <v/>
      </c>
      <c r="N1170" t="str">
        <f>IF($M1170="","",IF(ISNUMBER(Sync!$L1170),IF(AND(Sync!$L1170&gt;=10000101,Sync!$L1170&lt;=99991231),RIGHT("0000"&amp;INT(Sync!$L1170/10000),4)&amp;"/"&amp;RIGHT("00"&amp;INT(MOD(Sync!$L1170,10000)/100),2)&amp;"/"&amp;RIGHT("00"&amp;MOD(Sync!$L1170,100),2),""),IFERROR(RIGHT("0000"&amp;VALUE(TRIM(LEFT(Sync!$L1170,FIND("/",Sync!$L1170)-1))),4)&amp;"/"&amp;RIGHT("00"&amp;VALUE(TRIM(LEFT(MID(Sync!$L1170,FIND("/",Sync!$L1170)+1,20),FIND("/",MID(Sync!$L1170,FIND("/",Sync!$L1170)+1,20))-1))),2)&amp;"/"&amp;RIGHT("00"&amp;VALUE(TRIM(MID(MID(Sync!$L1170,FIND("/",Sync!$L1170)+1,20),FIND("/",MID(Sync!$L1170,FIND("/",Sync!$L1170)+1,20))+1,20))),2),"")))</f>
        <v/>
      </c>
    </row>
    <row r="1171" spans="13:14" x14ac:dyDescent="0.2">
      <c r="M1171" t="str">
        <f>IF(Sync!$M1171&lt;&gt;"پاس چک","",IF(Sync!$P1171="","",Sync!$P1171))</f>
        <v/>
      </c>
      <c r="N1171" t="str">
        <f>IF($M1171="","",IF(ISNUMBER(Sync!$L1171),IF(AND(Sync!$L1171&gt;=10000101,Sync!$L1171&lt;=99991231),RIGHT("0000"&amp;INT(Sync!$L1171/10000),4)&amp;"/"&amp;RIGHT("00"&amp;INT(MOD(Sync!$L1171,10000)/100),2)&amp;"/"&amp;RIGHT("00"&amp;MOD(Sync!$L1171,100),2),""),IFERROR(RIGHT("0000"&amp;VALUE(TRIM(LEFT(Sync!$L1171,FIND("/",Sync!$L1171)-1))),4)&amp;"/"&amp;RIGHT("00"&amp;VALUE(TRIM(LEFT(MID(Sync!$L1171,FIND("/",Sync!$L1171)+1,20),FIND("/",MID(Sync!$L1171,FIND("/",Sync!$L1171)+1,20))-1))),2)&amp;"/"&amp;RIGHT("00"&amp;VALUE(TRIM(MID(MID(Sync!$L1171,FIND("/",Sync!$L1171)+1,20),FIND("/",MID(Sync!$L1171,FIND("/",Sync!$L1171)+1,20))+1,20))),2),"")))</f>
        <v/>
      </c>
    </row>
    <row r="1172" spans="13:14" x14ac:dyDescent="0.2">
      <c r="M1172" t="str">
        <f>IF(Sync!$M1172&lt;&gt;"پاس چک","",IF(Sync!$P1172="","",Sync!$P1172))</f>
        <v/>
      </c>
      <c r="N1172" t="str">
        <f>IF($M1172="","",IF(ISNUMBER(Sync!$L1172),IF(AND(Sync!$L1172&gt;=10000101,Sync!$L1172&lt;=99991231),RIGHT("0000"&amp;INT(Sync!$L1172/10000),4)&amp;"/"&amp;RIGHT("00"&amp;INT(MOD(Sync!$L1172,10000)/100),2)&amp;"/"&amp;RIGHT("00"&amp;MOD(Sync!$L1172,100),2),""),IFERROR(RIGHT("0000"&amp;VALUE(TRIM(LEFT(Sync!$L1172,FIND("/",Sync!$L1172)-1))),4)&amp;"/"&amp;RIGHT("00"&amp;VALUE(TRIM(LEFT(MID(Sync!$L1172,FIND("/",Sync!$L1172)+1,20),FIND("/",MID(Sync!$L1172,FIND("/",Sync!$L1172)+1,20))-1))),2)&amp;"/"&amp;RIGHT("00"&amp;VALUE(TRIM(MID(MID(Sync!$L1172,FIND("/",Sync!$L1172)+1,20),FIND("/",MID(Sync!$L1172,FIND("/",Sync!$L1172)+1,20))+1,20))),2),"")))</f>
        <v/>
      </c>
    </row>
    <row r="1173" spans="13:14" x14ac:dyDescent="0.2">
      <c r="M1173" t="str">
        <f>IF(Sync!$M1173&lt;&gt;"پاس چک","",IF(Sync!$P1173="","",Sync!$P1173))</f>
        <v/>
      </c>
      <c r="N1173" t="str">
        <f>IF($M1173="","",IF(ISNUMBER(Sync!$L1173),IF(AND(Sync!$L1173&gt;=10000101,Sync!$L1173&lt;=99991231),RIGHT("0000"&amp;INT(Sync!$L1173/10000),4)&amp;"/"&amp;RIGHT("00"&amp;INT(MOD(Sync!$L1173,10000)/100),2)&amp;"/"&amp;RIGHT("00"&amp;MOD(Sync!$L1173,100),2),""),IFERROR(RIGHT("0000"&amp;VALUE(TRIM(LEFT(Sync!$L1173,FIND("/",Sync!$L1173)-1))),4)&amp;"/"&amp;RIGHT("00"&amp;VALUE(TRIM(LEFT(MID(Sync!$L1173,FIND("/",Sync!$L1173)+1,20),FIND("/",MID(Sync!$L1173,FIND("/",Sync!$L1173)+1,20))-1))),2)&amp;"/"&amp;RIGHT("00"&amp;VALUE(TRIM(MID(MID(Sync!$L1173,FIND("/",Sync!$L1173)+1,20),FIND("/",MID(Sync!$L1173,FIND("/",Sync!$L1173)+1,20))+1,20))),2),"")))</f>
        <v/>
      </c>
    </row>
    <row r="1174" spans="13:14" x14ac:dyDescent="0.2">
      <c r="M1174" t="str">
        <f>IF(Sync!$M1174&lt;&gt;"پاس چک","",IF(Sync!$P1174="","",Sync!$P1174))</f>
        <v/>
      </c>
      <c r="N1174" t="str">
        <f>IF($M1174="","",IF(ISNUMBER(Sync!$L1174),IF(AND(Sync!$L1174&gt;=10000101,Sync!$L1174&lt;=99991231),RIGHT("0000"&amp;INT(Sync!$L1174/10000),4)&amp;"/"&amp;RIGHT("00"&amp;INT(MOD(Sync!$L1174,10000)/100),2)&amp;"/"&amp;RIGHT("00"&amp;MOD(Sync!$L1174,100),2),""),IFERROR(RIGHT("0000"&amp;VALUE(TRIM(LEFT(Sync!$L1174,FIND("/",Sync!$L1174)-1))),4)&amp;"/"&amp;RIGHT("00"&amp;VALUE(TRIM(LEFT(MID(Sync!$L1174,FIND("/",Sync!$L1174)+1,20),FIND("/",MID(Sync!$L1174,FIND("/",Sync!$L1174)+1,20))-1))),2)&amp;"/"&amp;RIGHT("00"&amp;VALUE(TRIM(MID(MID(Sync!$L1174,FIND("/",Sync!$L1174)+1,20),FIND("/",MID(Sync!$L1174,FIND("/",Sync!$L1174)+1,20))+1,20))),2),"")))</f>
        <v/>
      </c>
    </row>
    <row r="1175" spans="13:14" x14ac:dyDescent="0.2">
      <c r="M1175" t="str">
        <f>IF(Sync!$M1175&lt;&gt;"پاس چک","",IF(Sync!$P1175="","",Sync!$P1175))</f>
        <v/>
      </c>
      <c r="N1175" t="str">
        <f>IF($M1175="","",IF(ISNUMBER(Sync!$L1175),IF(AND(Sync!$L1175&gt;=10000101,Sync!$L1175&lt;=99991231),RIGHT("0000"&amp;INT(Sync!$L1175/10000),4)&amp;"/"&amp;RIGHT("00"&amp;INT(MOD(Sync!$L1175,10000)/100),2)&amp;"/"&amp;RIGHT("00"&amp;MOD(Sync!$L1175,100),2),""),IFERROR(RIGHT("0000"&amp;VALUE(TRIM(LEFT(Sync!$L1175,FIND("/",Sync!$L1175)-1))),4)&amp;"/"&amp;RIGHT("00"&amp;VALUE(TRIM(LEFT(MID(Sync!$L1175,FIND("/",Sync!$L1175)+1,20),FIND("/",MID(Sync!$L1175,FIND("/",Sync!$L1175)+1,20))-1))),2)&amp;"/"&amp;RIGHT("00"&amp;VALUE(TRIM(MID(MID(Sync!$L1175,FIND("/",Sync!$L1175)+1,20),FIND("/",MID(Sync!$L1175,FIND("/",Sync!$L1175)+1,20))+1,20))),2),"")))</f>
        <v/>
      </c>
    </row>
    <row r="1176" spans="13:14" x14ac:dyDescent="0.2">
      <c r="M1176" t="str">
        <f>IF(Sync!$M1176&lt;&gt;"پاس چک","",IF(Sync!$P1176="","",Sync!$P1176))</f>
        <v/>
      </c>
      <c r="N1176" t="str">
        <f>IF($M1176="","",IF(ISNUMBER(Sync!$L1176),IF(AND(Sync!$L1176&gt;=10000101,Sync!$L1176&lt;=99991231),RIGHT("0000"&amp;INT(Sync!$L1176/10000),4)&amp;"/"&amp;RIGHT("00"&amp;INT(MOD(Sync!$L1176,10000)/100),2)&amp;"/"&amp;RIGHT("00"&amp;MOD(Sync!$L1176,100),2),""),IFERROR(RIGHT("0000"&amp;VALUE(TRIM(LEFT(Sync!$L1176,FIND("/",Sync!$L1176)-1))),4)&amp;"/"&amp;RIGHT("00"&amp;VALUE(TRIM(LEFT(MID(Sync!$L1176,FIND("/",Sync!$L1176)+1,20),FIND("/",MID(Sync!$L1176,FIND("/",Sync!$L1176)+1,20))-1))),2)&amp;"/"&amp;RIGHT("00"&amp;VALUE(TRIM(MID(MID(Sync!$L1176,FIND("/",Sync!$L1176)+1,20),FIND("/",MID(Sync!$L1176,FIND("/",Sync!$L1176)+1,20))+1,20))),2),"")))</f>
        <v/>
      </c>
    </row>
    <row r="1177" spans="13:14" x14ac:dyDescent="0.2">
      <c r="M1177" t="str">
        <f>IF(Sync!$M1177&lt;&gt;"پاس چک","",IF(Sync!$P1177="","",Sync!$P1177))</f>
        <v/>
      </c>
      <c r="N1177" t="str">
        <f>IF($M1177="","",IF(ISNUMBER(Sync!$L1177),IF(AND(Sync!$L1177&gt;=10000101,Sync!$L1177&lt;=99991231),RIGHT("0000"&amp;INT(Sync!$L1177/10000),4)&amp;"/"&amp;RIGHT("00"&amp;INT(MOD(Sync!$L1177,10000)/100),2)&amp;"/"&amp;RIGHT("00"&amp;MOD(Sync!$L1177,100),2),""),IFERROR(RIGHT("0000"&amp;VALUE(TRIM(LEFT(Sync!$L1177,FIND("/",Sync!$L1177)-1))),4)&amp;"/"&amp;RIGHT("00"&amp;VALUE(TRIM(LEFT(MID(Sync!$L1177,FIND("/",Sync!$L1177)+1,20),FIND("/",MID(Sync!$L1177,FIND("/",Sync!$L1177)+1,20))-1))),2)&amp;"/"&amp;RIGHT("00"&amp;VALUE(TRIM(MID(MID(Sync!$L1177,FIND("/",Sync!$L1177)+1,20),FIND("/",MID(Sync!$L1177,FIND("/",Sync!$L1177)+1,20))+1,20))),2),"")))</f>
        <v/>
      </c>
    </row>
    <row r="1178" spans="13:14" x14ac:dyDescent="0.2">
      <c r="M1178" t="str">
        <f>IF(Sync!$M1178&lt;&gt;"پاس چک","",IF(Sync!$P1178="","",Sync!$P1178))</f>
        <v/>
      </c>
      <c r="N1178" t="str">
        <f>IF($M1178="","",IF(ISNUMBER(Sync!$L1178),IF(AND(Sync!$L1178&gt;=10000101,Sync!$L1178&lt;=99991231),RIGHT("0000"&amp;INT(Sync!$L1178/10000),4)&amp;"/"&amp;RIGHT("00"&amp;INT(MOD(Sync!$L1178,10000)/100),2)&amp;"/"&amp;RIGHT("00"&amp;MOD(Sync!$L1178,100),2),""),IFERROR(RIGHT("0000"&amp;VALUE(TRIM(LEFT(Sync!$L1178,FIND("/",Sync!$L1178)-1))),4)&amp;"/"&amp;RIGHT("00"&amp;VALUE(TRIM(LEFT(MID(Sync!$L1178,FIND("/",Sync!$L1178)+1,20),FIND("/",MID(Sync!$L1178,FIND("/",Sync!$L1178)+1,20))-1))),2)&amp;"/"&amp;RIGHT("00"&amp;VALUE(TRIM(MID(MID(Sync!$L1178,FIND("/",Sync!$L1178)+1,20),FIND("/",MID(Sync!$L1178,FIND("/",Sync!$L1178)+1,20))+1,20))),2),"")))</f>
        <v/>
      </c>
    </row>
    <row r="1179" spans="13:14" x14ac:dyDescent="0.2">
      <c r="M1179" t="str">
        <f>IF(Sync!$M1179&lt;&gt;"پاس چک","",IF(Sync!$P1179="","",Sync!$P1179))</f>
        <v/>
      </c>
      <c r="N1179" t="str">
        <f>IF($M1179="","",IF(ISNUMBER(Sync!$L1179),IF(AND(Sync!$L1179&gt;=10000101,Sync!$L1179&lt;=99991231),RIGHT("0000"&amp;INT(Sync!$L1179/10000),4)&amp;"/"&amp;RIGHT("00"&amp;INT(MOD(Sync!$L1179,10000)/100),2)&amp;"/"&amp;RIGHT("00"&amp;MOD(Sync!$L1179,100),2),""),IFERROR(RIGHT("0000"&amp;VALUE(TRIM(LEFT(Sync!$L1179,FIND("/",Sync!$L1179)-1))),4)&amp;"/"&amp;RIGHT("00"&amp;VALUE(TRIM(LEFT(MID(Sync!$L1179,FIND("/",Sync!$L1179)+1,20),FIND("/",MID(Sync!$L1179,FIND("/",Sync!$L1179)+1,20))-1))),2)&amp;"/"&amp;RIGHT("00"&amp;VALUE(TRIM(MID(MID(Sync!$L1179,FIND("/",Sync!$L1179)+1,20),FIND("/",MID(Sync!$L1179,FIND("/",Sync!$L1179)+1,20))+1,20))),2),"")))</f>
        <v/>
      </c>
    </row>
    <row r="1180" spans="13:14" x14ac:dyDescent="0.2">
      <c r="M1180" t="str">
        <f>IF(Sync!$M1180&lt;&gt;"پاس چک","",IF(Sync!$P1180="","",Sync!$P1180))</f>
        <v/>
      </c>
      <c r="N1180" t="str">
        <f>IF($M1180="","",IF(ISNUMBER(Sync!$L1180),IF(AND(Sync!$L1180&gt;=10000101,Sync!$L1180&lt;=99991231),RIGHT("0000"&amp;INT(Sync!$L1180/10000),4)&amp;"/"&amp;RIGHT("00"&amp;INT(MOD(Sync!$L1180,10000)/100),2)&amp;"/"&amp;RIGHT("00"&amp;MOD(Sync!$L1180,100),2),""),IFERROR(RIGHT("0000"&amp;VALUE(TRIM(LEFT(Sync!$L1180,FIND("/",Sync!$L1180)-1))),4)&amp;"/"&amp;RIGHT("00"&amp;VALUE(TRIM(LEFT(MID(Sync!$L1180,FIND("/",Sync!$L1180)+1,20),FIND("/",MID(Sync!$L1180,FIND("/",Sync!$L1180)+1,20))-1))),2)&amp;"/"&amp;RIGHT("00"&amp;VALUE(TRIM(MID(MID(Sync!$L1180,FIND("/",Sync!$L1180)+1,20),FIND("/",MID(Sync!$L1180,FIND("/",Sync!$L1180)+1,20))+1,20))),2),"")))</f>
        <v/>
      </c>
    </row>
    <row r="1181" spans="13:14" x14ac:dyDescent="0.2">
      <c r="M1181" t="str">
        <f>IF(Sync!$M1181&lt;&gt;"پاس چک","",IF(Sync!$P1181="","",Sync!$P1181))</f>
        <v/>
      </c>
      <c r="N1181" t="str">
        <f>IF($M1181="","",IF(ISNUMBER(Sync!$L1181),IF(AND(Sync!$L1181&gt;=10000101,Sync!$L1181&lt;=99991231),RIGHT("0000"&amp;INT(Sync!$L1181/10000),4)&amp;"/"&amp;RIGHT("00"&amp;INT(MOD(Sync!$L1181,10000)/100),2)&amp;"/"&amp;RIGHT("00"&amp;MOD(Sync!$L1181,100),2),""),IFERROR(RIGHT("0000"&amp;VALUE(TRIM(LEFT(Sync!$L1181,FIND("/",Sync!$L1181)-1))),4)&amp;"/"&amp;RIGHT("00"&amp;VALUE(TRIM(LEFT(MID(Sync!$L1181,FIND("/",Sync!$L1181)+1,20),FIND("/",MID(Sync!$L1181,FIND("/",Sync!$L1181)+1,20))-1))),2)&amp;"/"&amp;RIGHT("00"&amp;VALUE(TRIM(MID(MID(Sync!$L1181,FIND("/",Sync!$L1181)+1,20),FIND("/",MID(Sync!$L1181,FIND("/",Sync!$L1181)+1,20))+1,20))),2),"")))</f>
        <v/>
      </c>
    </row>
    <row r="1182" spans="13:14" x14ac:dyDescent="0.2">
      <c r="M1182" t="str">
        <f>IF(Sync!$M1182&lt;&gt;"پاس چک","",IF(Sync!$P1182="","",Sync!$P1182))</f>
        <v/>
      </c>
      <c r="N1182" t="str">
        <f>IF($M1182="","",IF(ISNUMBER(Sync!$L1182),IF(AND(Sync!$L1182&gt;=10000101,Sync!$L1182&lt;=99991231),RIGHT("0000"&amp;INT(Sync!$L1182/10000),4)&amp;"/"&amp;RIGHT("00"&amp;INT(MOD(Sync!$L1182,10000)/100),2)&amp;"/"&amp;RIGHT("00"&amp;MOD(Sync!$L1182,100),2),""),IFERROR(RIGHT("0000"&amp;VALUE(TRIM(LEFT(Sync!$L1182,FIND("/",Sync!$L1182)-1))),4)&amp;"/"&amp;RIGHT("00"&amp;VALUE(TRIM(LEFT(MID(Sync!$L1182,FIND("/",Sync!$L1182)+1,20),FIND("/",MID(Sync!$L1182,FIND("/",Sync!$L1182)+1,20))-1))),2)&amp;"/"&amp;RIGHT("00"&amp;VALUE(TRIM(MID(MID(Sync!$L1182,FIND("/",Sync!$L1182)+1,20),FIND("/",MID(Sync!$L1182,FIND("/",Sync!$L1182)+1,20))+1,20))),2),"")))</f>
        <v/>
      </c>
    </row>
    <row r="1183" spans="13:14" x14ac:dyDescent="0.2">
      <c r="M1183" t="str">
        <f>IF(Sync!$M1183&lt;&gt;"پاس چک","",IF(Sync!$P1183="","",Sync!$P1183))</f>
        <v/>
      </c>
      <c r="N1183" t="str">
        <f>IF($M1183="","",IF(ISNUMBER(Sync!$L1183),IF(AND(Sync!$L1183&gt;=10000101,Sync!$L1183&lt;=99991231),RIGHT("0000"&amp;INT(Sync!$L1183/10000),4)&amp;"/"&amp;RIGHT("00"&amp;INT(MOD(Sync!$L1183,10000)/100),2)&amp;"/"&amp;RIGHT("00"&amp;MOD(Sync!$L1183,100),2),""),IFERROR(RIGHT("0000"&amp;VALUE(TRIM(LEFT(Sync!$L1183,FIND("/",Sync!$L1183)-1))),4)&amp;"/"&amp;RIGHT("00"&amp;VALUE(TRIM(LEFT(MID(Sync!$L1183,FIND("/",Sync!$L1183)+1,20),FIND("/",MID(Sync!$L1183,FIND("/",Sync!$L1183)+1,20))-1))),2)&amp;"/"&amp;RIGHT("00"&amp;VALUE(TRIM(MID(MID(Sync!$L1183,FIND("/",Sync!$L1183)+1,20),FIND("/",MID(Sync!$L1183,FIND("/",Sync!$L1183)+1,20))+1,20))),2),"")))</f>
        <v/>
      </c>
    </row>
    <row r="1184" spans="13:14" x14ac:dyDescent="0.2">
      <c r="M1184" t="str">
        <f>IF(Sync!$M1184&lt;&gt;"پاس چک","",IF(Sync!$P1184="","",Sync!$P1184))</f>
        <v/>
      </c>
      <c r="N1184" t="str">
        <f>IF($M1184="","",IF(ISNUMBER(Sync!$L1184),IF(AND(Sync!$L1184&gt;=10000101,Sync!$L1184&lt;=99991231),RIGHT("0000"&amp;INT(Sync!$L1184/10000),4)&amp;"/"&amp;RIGHT("00"&amp;INT(MOD(Sync!$L1184,10000)/100),2)&amp;"/"&amp;RIGHT("00"&amp;MOD(Sync!$L1184,100),2),""),IFERROR(RIGHT("0000"&amp;VALUE(TRIM(LEFT(Sync!$L1184,FIND("/",Sync!$L1184)-1))),4)&amp;"/"&amp;RIGHT("00"&amp;VALUE(TRIM(LEFT(MID(Sync!$L1184,FIND("/",Sync!$L1184)+1,20),FIND("/",MID(Sync!$L1184,FIND("/",Sync!$L1184)+1,20))-1))),2)&amp;"/"&amp;RIGHT("00"&amp;VALUE(TRIM(MID(MID(Sync!$L1184,FIND("/",Sync!$L1184)+1,20),FIND("/",MID(Sync!$L1184,FIND("/",Sync!$L1184)+1,20))+1,20))),2),"")))</f>
        <v/>
      </c>
    </row>
    <row r="1185" spans="13:14" x14ac:dyDescent="0.2">
      <c r="M1185" t="str">
        <f>IF(Sync!$M1185&lt;&gt;"پاس چک","",IF(Sync!$P1185="","",Sync!$P1185))</f>
        <v/>
      </c>
      <c r="N1185" t="str">
        <f>IF($M1185="","",IF(ISNUMBER(Sync!$L1185),IF(AND(Sync!$L1185&gt;=10000101,Sync!$L1185&lt;=99991231),RIGHT("0000"&amp;INT(Sync!$L1185/10000),4)&amp;"/"&amp;RIGHT("00"&amp;INT(MOD(Sync!$L1185,10000)/100),2)&amp;"/"&amp;RIGHT("00"&amp;MOD(Sync!$L1185,100),2),""),IFERROR(RIGHT("0000"&amp;VALUE(TRIM(LEFT(Sync!$L1185,FIND("/",Sync!$L1185)-1))),4)&amp;"/"&amp;RIGHT("00"&amp;VALUE(TRIM(LEFT(MID(Sync!$L1185,FIND("/",Sync!$L1185)+1,20),FIND("/",MID(Sync!$L1185,FIND("/",Sync!$L1185)+1,20))-1))),2)&amp;"/"&amp;RIGHT("00"&amp;VALUE(TRIM(MID(MID(Sync!$L1185,FIND("/",Sync!$L1185)+1,20),FIND("/",MID(Sync!$L1185,FIND("/",Sync!$L1185)+1,20))+1,20))),2),"")))</f>
        <v/>
      </c>
    </row>
    <row r="1186" spans="13:14" x14ac:dyDescent="0.2">
      <c r="M1186" t="str">
        <f>IF(Sync!$M1186&lt;&gt;"پاس چک","",IF(Sync!$P1186="","",Sync!$P1186))</f>
        <v/>
      </c>
      <c r="N1186" t="str">
        <f>IF($M1186="","",IF(ISNUMBER(Sync!$L1186),IF(AND(Sync!$L1186&gt;=10000101,Sync!$L1186&lt;=99991231),RIGHT("0000"&amp;INT(Sync!$L1186/10000),4)&amp;"/"&amp;RIGHT("00"&amp;INT(MOD(Sync!$L1186,10000)/100),2)&amp;"/"&amp;RIGHT("00"&amp;MOD(Sync!$L1186,100),2),""),IFERROR(RIGHT("0000"&amp;VALUE(TRIM(LEFT(Sync!$L1186,FIND("/",Sync!$L1186)-1))),4)&amp;"/"&amp;RIGHT("00"&amp;VALUE(TRIM(LEFT(MID(Sync!$L1186,FIND("/",Sync!$L1186)+1,20),FIND("/",MID(Sync!$L1186,FIND("/",Sync!$L1186)+1,20))-1))),2)&amp;"/"&amp;RIGHT("00"&amp;VALUE(TRIM(MID(MID(Sync!$L1186,FIND("/",Sync!$L1186)+1,20),FIND("/",MID(Sync!$L1186,FIND("/",Sync!$L1186)+1,20))+1,20))),2),"")))</f>
        <v/>
      </c>
    </row>
    <row r="1187" spans="13:14" x14ac:dyDescent="0.2">
      <c r="M1187" t="str">
        <f>IF(Sync!$M1187&lt;&gt;"پاس چک","",IF(Sync!$P1187="","",Sync!$P1187))</f>
        <v/>
      </c>
      <c r="N1187" t="str">
        <f>IF($M1187="","",IF(ISNUMBER(Sync!$L1187),IF(AND(Sync!$L1187&gt;=10000101,Sync!$L1187&lt;=99991231),RIGHT("0000"&amp;INT(Sync!$L1187/10000),4)&amp;"/"&amp;RIGHT("00"&amp;INT(MOD(Sync!$L1187,10000)/100),2)&amp;"/"&amp;RIGHT("00"&amp;MOD(Sync!$L1187,100),2),""),IFERROR(RIGHT("0000"&amp;VALUE(TRIM(LEFT(Sync!$L1187,FIND("/",Sync!$L1187)-1))),4)&amp;"/"&amp;RIGHT("00"&amp;VALUE(TRIM(LEFT(MID(Sync!$L1187,FIND("/",Sync!$L1187)+1,20),FIND("/",MID(Sync!$L1187,FIND("/",Sync!$L1187)+1,20))-1))),2)&amp;"/"&amp;RIGHT("00"&amp;VALUE(TRIM(MID(MID(Sync!$L1187,FIND("/",Sync!$L1187)+1,20),FIND("/",MID(Sync!$L1187,FIND("/",Sync!$L1187)+1,20))+1,20))),2),"")))</f>
        <v/>
      </c>
    </row>
    <row r="1188" spans="13:14" x14ac:dyDescent="0.2">
      <c r="M1188" t="str">
        <f>IF(Sync!$M1188&lt;&gt;"پاس چک","",IF(Sync!$P1188="","",Sync!$P1188))</f>
        <v/>
      </c>
      <c r="N1188" t="str">
        <f>IF($M1188="","",IF(ISNUMBER(Sync!$L1188),IF(AND(Sync!$L1188&gt;=10000101,Sync!$L1188&lt;=99991231),RIGHT("0000"&amp;INT(Sync!$L1188/10000),4)&amp;"/"&amp;RIGHT("00"&amp;INT(MOD(Sync!$L1188,10000)/100),2)&amp;"/"&amp;RIGHT("00"&amp;MOD(Sync!$L1188,100),2),""),IFERROR(RIGHT("0000"&amp;VALUE(TRIM(LEFT(Sync!$L1188,FIND("/",Sync!$L1188)-1))),4)&amp;"/"&amp;RIGHT("00"&amp;VALUE(TRIM(LEFT(MID(Sync!$L1188,FIND("/",Sync!$L1188)+1,20),FIND("/",MID(Sync!$L1188,FIND("/",Sync!$L1188)+1,20))-1))),2)&amp;"/"&amp;RIGHT("00"&amp;VALUE(TRIM(MID(MID(Sync!$L1188,FIND("/",Sync!$L1188)+1,20),FIND("/",MID(Sync!$L1188,FIND("/",Sync!$L1188)+1,20))+1,20))),2),"")))</f>
        <v/>
      </c>
    </row>
    <row r="1189" spans="13:14" x14ac:dyDescent="0.2">
      <c r="M1189" t="str">
        <f>IF(Sync!$M1189&lt;&gt;"پاس چک","",IF(Sync!$P1189="","",Sync!$P1189))</f>
        <v/>
      </c>
      <c r="N1189" t="str">
        <f>IF($M1189="","",IF(ISNUMBER(Sync!$L1189),IF(AND(Sync!$L1189&gt;=10000101,Sync!$L1189&lt;=99991231),RIGHT("0000"&amp;INT(Sync!$L1189/10000),4)&amp;"/"&amp;RIGHT("00"&amp;INT(MOD(Sync!$L1189,10000)/100),2)&amp;"/"&amp;RIGHT("00"&amp;MOD(Sync!$L1189,100),2),""),IFERROR(RIGHT("0000"&amp;VALUE(TRIM(LEFT(Sync!$L1189,FIND("/",Sync!$L1189)-1))),4)&amp;"/"&amp;RIGHT("00"&amp;VALUE(TRIM(LEFT(MID(Sync!$L1189,FIND("/",Sync!$L1189)+1,20),FIND("/",MID(Sync!$L1189,FIND("/",Sync!$L1189)+1,20))-1))),2)&amp;"/"&amp;RIGHT("00"&amp;VALUE(TRIM(MID(MID(Sync!$L1189,FIND("/",Sync!$L1189)+1,20),FIND("/",MID(Sync!$L1189,FIND("/",Sync!$L1189)+1,20))+1,20))),2),"")))</f>
        <v/>
      </c>
    </row>
    <row r="1190" spans="13:14" x14ac:dyDescent="0.2">
      <c r="M1190" t="str">
        <f>IF(Sync!$M1190&lt;&gt;"پاس چک","",IF(Sync!$P1190="","",Sync!$P1190))</f>
        <v/>
      </c>
      <c r="N1190" t="str">
        <f>IF($M1190="","",IF(ISNUMBER(Sync!$L1190),IF(AND(Sync!$L1190&gt;=10000101,Sync!$L1190&lt;=99991231),RIGHT("0000"&amp;INT(Sync!$L1190/10000),4)&amp;"/"&amp;RIGHT("00"&amp;INT(MOD(Sync!$L1190,10000)/100),2)&amp;"/"&amp;RIGHT("00"&amp;MOD(Sync!$L1190,100),2),""),IFERROR(RIGHT("0000"&amp;VALUE(TRIM(LEFT(Sync!$L1190,FIND("/",Sync!$L1190)-1))),4)&amp;"/"&amp;RIGHT("00"&amp;VALUE(TRIM(LEFT(MID(Sync!$L1190,FIND("/",Sync!$L1190)+1,20),FIND("/",MID(Sync!$L1190,FIND("/",Sync!$L1190)+1,20))-1))),2)&amp;"/"&amp;RIGHT("00"&amp;VALUE(TRIM(MID(MID(Sync!$L1190,FIND("/",Sync!$L1190)+1,20),FIND("/",MID(Sync!$L1190,FIND("/",Sync!$L1190)+1,20))+1,20))),2),"")))</f>
        <v/>
      </c>
    </row>
    <row r="1191" spans="13:14" x14ac:dyDescent="0.2">
      <c r="M1191" t="str">
        <f>IF(Sync!$M1191&lt;&gt;"پاس چک","",IF(Sync!$P1191="","",Sync!$P1191))</f>
        <v/>
      </c>
      <c r="N1191" t="str">
        <f>IF($M1191="","",IF(ISNUMBER(Sync!$L1191),IF(AND(Sync!$L1191&gt;=10000101,Sync!$L1191&lt;=99991231),RIGHT("0000"&amp;INT(Sync!$L1191/10000),4)&amp;"/"&amp;RIGHT("00"&amp;INT(MOD(Sync!$L1191,10000)/100),2)&amp;"/"&amp;RIGHT("00"&amp;MOD(Sync!$L1191,100),2),""),IFERROR(RIGHT("0000"&amp;VALUE(TRIM(LEFT(Sync!$L1191,FIND("/",Sync!$L1191)-1))),4)&amp;"/"&amp;RIGHT("00"&amp;VALUE(TRIM(LEFT(MID(Sync!$L1191,FIND("/",Sync!$L1191)+1,20),FIND("/",MID(Sync!$L1191,FIND("/",Sync!$L1191)+1,20))-1))),2)&amp;"/"&amp;RIGHT("00"&amp;VALUE(TRIM(MID(MID(Sync!$L1191,FIND("/",Sync!$L1191)+1,20),FIND("/",MID(Sync!$L1191,FIND("/",Sync!$L1191)+1,20))+1,20))),2),"")))</f>
        <v/>
      </c>
    </row>
    <row r="1192" spans="13:14" x14ac:dyDescent="0.2">
      <c r="M1192" t="str">
        <f>IF(Sync!$M1192&lt;&gt;"پاس چک","",IF(Sync!$P1192="","",Sync!$P1192))</f>
        <v/>
      </c>
      <c r="N1192" t="str">
        <f>IF($M1192="","",IF(ISNUMBER(Sync!$L1192),IF(AND(Sync!$L1192&gt;=10000101,Sync!$L1192&lt;=99991231),RIGHT("0000"&amp;INT(Sync!$L1192/10000),4)&amp;"/"&amp;RIGHT("00"&amp;INT(MOD(Sync!$L1192,10000)/100),2)&amp;"/"&amp;RIGHT("00"&amp;MOD(Sync!$L1192,100),2),""),IFERROR(RIGHT("0000"&amp;VALUE(TRIM(LEFT(Sync!$L1192,FIND("/",Sync!$L1192)-1))),4)&amp;"/"&amp;RIGHT("00"&amp;VALUE(TRIM(LEFT(MID(Sync!$L1192,FIND("/",Sync!$L1192)+1,20),FIND("/",MID(Sync!$L1192,FIND("/",Sync!$L1192)+1,20))-1))),2)&amp;"/"&amp;RIGHT("00"&amp;VALUE(TRIM(MID(MID(Sync!$L1192,FIND("/",Sync!$L1192)+1,20),FIND("/",MID(Sync!$L1192,FIND("/",Sync!$L1192)+1,20))+1,20))),2),"")))</f>
        <v/>
      </c>
    </row>
    <row r="1193" spans="13:14" x14ac:dyDescent="0.2">
      <c r="M1193" t="str">
        <f>IF(Sync!$M1193&lt;&gt;"پاس چک","",IF(Sync!$P1193="","",Sync!$P1193))</f>
        <v/>
      </c>
      <c r="N1193" t="str">
        <f>IF($M1193="","",IF(ISNUMBER(Sync!$L1193),IF(AND(Sync!$L1193&gt;=10000101,Sync!$L1193&lt;=99991231),RIGHT("0000"&amp;INT(Sync!$L1193/10000),4)&amp;"/"&amp;RIGHT("00"&amp;INT(MOD(Sync!$L1193,10000)/100),2)&amp;"/"&amp;RIGHT("00"&amp;MOD(Sync!$L1193,100),2),""),IFERROR(RIGHT("0000"&amp;VALUE(TRIM(LEFT(Sync!$L1193,FIND("/",Sync!$L1193)-1))),4)&amp;"/"&amp;RIGHT("00"&amp;VALUE(TRIM(LEFT(MID(Sync!$L1193,FIND("/",Sync!$L1193)+1,20),FIND("/",MID(Sync!$L1193,FIND("/",Sync!$L1193)+1,20))-1))),2)&amp;"/"&amp;RIGHT("00"&amp;VALUE(TRIM(MID(MID(Sync!$L1193,FIND("/",Sync!$L1193)+1,20),FIND("/",MID(Sync!$L1193,FIND("/",Sync!$L1193)+1,20))+1,20))),2),"")))</f>
        <v/>
      </c>
    </row>
    <row r="1194" spans="13:14" x14ac:dyDescent="0.2">
      <c r="M1194" t="str">
        <f>IF(Sync!$M1194&lt;&gt;"پاس چک","",IF(Sync!$P1194="","",Sync!$P1194))</f>
        <v/>
      </c>
      <c r="N1194" t="str">
        <f>IF($M1194="","",IF(ISNUMBER(Sync!$L1194),IF(AND(Sync!$L1194&gt;=10000101,Sync!$L1194&lt;=99991231),RIGHT("0000"&amp;INT(Sync!$L1194/10000),4)&amp;"/"&amp;RIGHT("00"&amp;INT(MOD(Sync!$L1194,10000)/100),2)&amp;"/"&amp;RIGHT("00"&amp;MOD(Sync!$L1194,100),2),""),IFERROR(RIGHT("0000"&amp;VALUE(TRIM(LEFT(Sync!$L1194,FIND("/",Sync!$L1194)-1))),4)&amp;"/"&amp;RIGHT("00"&amp;VALUE(TRIM(LEFT(MID(Sync!$L1194,FIND("/",Sync!$L1194)+1,20),FIND("/",MID(Sync!$L1194,FIND("/",Sync!$L1194)+1,20))-1))),2)&amp;"/"&amp;RIGHT("00"&amp;VALUE(TRIM(MID(MID(Sync!$L1194,FIND("/",Sync!$L1194)+1,20),FIND("/",MID(Sync!$L1194,FIND("/",Sync!$L1194)+1,20))+1,20))),2),"")))</f>
        <v/>
      </c>
    </row>
    <row r="1195" spans="13:14" x14ac:dyDescent="0.2">
      <c r="M1195" t="str">
        <f>IF(Sync!$M1195&lt;&gt;"پاس چک","",IF(Sync!$P1195="","",Sync!$P1195))</f>
        <v/>
      </c>
      <c r="N1195" t="str">
        <f>IF($M1195="","",IF(ISNUMBER(Sync!$L1195),IF(AND(Sync!$L1195&gt;=10000101,Sync!$L1195&lt;=99991231),RIGHT("0000"&amp;INT(Sync!$L1195/10000),4)&amp;"/"&amp;RIGHT("00"&amp;INT(MOD(Sync!$L1195,10000)/100),2)&amp;"/"&amp;RIGHT("00"&amp;MOD(Sync!$L1195,100),2),""),IFERROR(RIGHT("0000"&amp;VALUE(TRIM(LEFT(Sync!$L1195,FIND("/",Sync!$L1195)-1))),4)&amp;"/"&amp;RIGHT("00"&amp;VALUE(TRIM(LEFT(MID(Sync!$L1195,FIND("/",Sync!$L1195)+1,20),FIND("/",MID(Sync!$L1195,FIND("/",Sync!$L1195)+1,20))-1))),2)&amp;"/"&amp;RIGHT("00"&amp;VALUE(TRIM(MID(MID(Sync!$L1195,FIND("/",Sync!$L1195)+1,20),FIND("/",MID(Sync!$L1195,FIND("/",Sync!$L1195)+1,20))+1,20))),2),"")))</f>
        <v/>
      </c>
    </row>
    <row r="1196" spans="13:14" x14ac:dyDescent="0.2">
      <c r="M1196" t="str">
        <f>IF(Sync!$M1196&lt;&gt;"پاس چک","",IF(Sync!$P1196="","",Sync!$P1196))</f>
        <v/>
      </c>
      <c r="N1196" t="str">
        <f>IF($M1196="","",IF(ISNUMBER(Sync!$L1196),IF(AND(Sync!$L1196&gt;=10000101,Sync!$L1196&lt;=99991231),RIGHT("0000"&amp;INT(Sync!$L1196/10000),4)&amp;"/"&amp;RIGHT("00"&amp;INT(MOD(Sync!$L1196,10000)/100),2)&amp;"/"&amp;RIGHT("00"&amp;MOD(Sync!$L1196,100),2),""),IFERROR(RIGHT("0000"&amp;VALUE(TRIM(LEFT(Sync!$L1196,FIND("/",Sync!$L1196)-1))),4)&amp;"/"&amp;RIGHT("00"&amp;VALUE(TRIM(LEFT(MID(Sync!$L1196,FIND("/",Sync!$L1196)+1,20),FIND("/",MID(Sync!$L1196,FIND("/",Sync!$L1196)+1,20))-1))),2)&amp;"/"&amp;RIGHT("00"&amp;VALUE(TRIM(MID(MID(Sync!$L1196,FIND("/",Sync!$L1196)+1,20),FIND("/",MID(Sync!$L1196,FIND("/",Sync!$L1196)+1,20))+1,20))),2),"")))</f>
        <v/>
      </c>
    </row>
    <row r="1197" spans="13:14" x14ac:dyDescent="0.2">
      <c r="M1197" t="str">
        <f>IF(Sync!$M1197&lt;&gt;"پاس چک","",IF(Sync!$P1197="","",Sync!$P1197))</f>
        <v/>
      </c>
      <c r="N1197" t="str">
        <f>IF($M1197="","",IF(ISNUMBER(Sync!$L1197),IF(AND(Sync!$L1197&gt;=10000101,Sync!$L1197&lt;=99991231),RIGHT("0000"&amp;INT(Sync!$L1197/10000),4)&amp;"/"&amp;RIGHT("00"&amp;INT(MOD(Sync!$L1197,10000)/100),2)&amp;"/"&amp;RIGHT("00"&amp;MOD(Sync!$L1197,100),2),""),IFERROR(RIGHT("0000"&amp;VALUE(TRIM(LEFT(Sync!$L1197,FIND("/",Sync!$L1197)-1))),4)&amp;"/"&amp;RIGHT("00"&amp;VALUE(TRIM(LEFT(MID(Sync!$L1197,FIND("/",Sync!$L1197)+1,20),FIND("/",MID(Sync!$L1197,FIND("/",Sync!$L1197)+1,20))-1))),2)&amp;"/"&amp;RIGHT("00"&amp;VALUE(TRIM(MID(MID(Sync!$L1197,FIND("/",Sync!$L1197)+1,20),FIND("/",MID(Sync!$L1197,FIND("/",Sync!$L1197)+1,20))+1,20))),2),"")))</f>
        <v/>
      </c>
    </row>
    <row r="1198" spans="13:14" x14ac:dyDescent="0.2">
      <c r="M1198" t="str">
        <f>IF(Sync!$M1198&lt;&gt;"پاس چک","",IF(Sync!$P1198="","",Sync!$P1198))</f>
        <v/>
      </c>
      <c r="N1198" t="str">
        <f>IF($M1198="","",IF(ISNUMBER(Sync!$L1198),IF(AND(Sync!$L1198&gt;=10000101,Sync!$L1198&lt;=99991231),RIGHT("0000"&amp;INT(Sync!$L1198/10000),4)&amp;"/"&amp;RIGHT("00"&amp;INT(MOD(Sync!$L1198,10000)/100),2)&amp;"/"&amp;RIGHT("00"&amp;MOD(Sync!$L1198,100),2),""),IFERROR(RIGHT("0000"&amp;VALUE(TRIM(LEFT(Sync!$L1198,FIND("/",Sync!$L1198)-1))),4)&amp;"/"&amp;RIGHT("00"&amp;VALUE(TRIM(LEFT(MID(Sync!$L1198,FIND("/",Sync!$L1198)+1,20),FIND("/",MID(Sync!$L1198,FIND("/",Sync!$L1198)+1,20))-1))),2)&amp;"/"&amp;RIGHT("00"&amp;VALUE(TRIM(MID(MID(Sync!$L1198,FIND("/",Sync!$L1198)+1,20),FIND("/",MID(Sync!$L1198,FIND("/",Sync!$L1198)+1,20))+1,20))),2),"")))</f>
        <v/>
      </c>
    </row>
    <row r="1199" spans="13:14" x14ac:dyDescent="0.2">
      <c r="M1199" t="str">
        <f>IF(Sync!$M1199&lt;&gt;"پاس چک","",IF(Sync!$P1199="","",Sync!$P1199))</f>
        <v/>
      </c>
      <c r="N1199" t="str">
        <f>IF($M1199="","",IF(ISNUMBER(Sync!$L1199),IF(AND(Sync!$L1199&gt;=10000101,Sync!$L1199&lt;=99991231),RIGHT("0000"&amp;INT(Sync!$L1199/10000),4)&amp;"/"&amp;RIGHT("00"&amp;INT(MOD(Sync!$L1199,10000)/100),2)&amp;"/"&amp;RIGHT("00"&amp;MOD(Sync!$L1199,100),2),""),IFERROR(RIGHT("0000"&amp;VALUE(TRIM(LEFT(Sync!$L1199,FIND("/",Sync!$L1199)-1))),4)&amp;"/"&amp;RIGHT("00"&amp;VALUE(TRIM(LEFT(MID(Sync!$L1199,FIND("/",Sync!$L1199)+1,20),FIND("/",MID(Sync!$L1199,FIND("/",Sync!$L1199)+1,20))-1))),2)&amp;"/"&amp;RIGHT("00"&amp;VALUE(TRIM(MID(MID(Sync!$L1199,FIND("/",Sync!$L1199)+1,20),FIND("/",MID(Sync!$L1199,FIND("/",Sync!$L1199)+1,20))+1,20))),2),"")))</f>
        <v/>
      </c>
    </row>
    <row r="1200" spans="13:14" x14ac:dyDescent="0.2">
      <c r="M1200" t="str">
        <f>IF(Sync!$M1200&lt;&gt;"پاس چک","",IF(Sync!$P1200="","",Sync!$P1200))</f>
        <v/>
      </c>
      <c r="N1200" t="str">
        <f>IF($M1200="","",IF(ISNUMBER(Sync!$L1200),IF(AND(Sync!$L1200&gt;=10000101,Sync!$L1200&lt;=99991231),RIGHT("0000"&amp;INT(Sync!$L1200/10000),4)&amp;"/"&amp;RIGHT("00"&amp;INT(MOD(Sync!$L1200,10000)/100),2)&amp;"/"&amp;RIGHT("00"&amp;MOD(Sync!$L1200,100),2),""),IFERROR(RIGHT("0000"&amp;VALUE(TRIM(LEFT(Sync!$L1200,FIND("/",Sync!$L1200)-1))),4)&amp;"/"&amp;RIGHT("00"&amp;VALUE(TRIM(LEFT(MID(Sync!$L1200,FIND("/",Sync!$L1200)+1,20),FIND("/",MID(Sync!$L1200,FIND("/",Sync!$L1200)+1,20))-1))),2)&amp;"/"&amp;RIGHT("00"&amp;VALUE(TRIM(MID(MID(Sync!$L1200,FIND("/",Sync!$L1200)+1,20),FIND("/",MID(Sync!$L1200,FIND("/",Sync!$L1200)+1,20))+1,20))),2),"")))</f>
        <v/>
      </c>
    </row>
    <row r="1201" spans="13:14" x14ac:dyDescent="0.2">
      <c r="M1201" t="str">
        <f>IF(Sync!$M1201&lt;&gt;"پاس چک","",IF(Sync!$P1201="","",Sync!$P1201))</f>
        <v/>
      </c>
      <c r="N1201" t="str">
        <f>IF($M1201="","",IF(ISNUMBER(Sync!$L1201),IF(AND(Sync!$L1201&gt;=10000101,Sync!$L1201&lt;=99991231),RIGHT("0000"&amp;INT(Sync!$L1201/10000),4)&amp;"/"&amp;RIGHT("00"&amp;INT(MOD(Sync!$L1201,10000)/100),2)&amp;"/"&amp;RIGHT("00"&amp;MOD(Sync!$L1201,100),2),""),IFERROR(RIGHT("0000"&amp;VALUE(TRIM(LEFT(Sync!$L1201,FIND("/",Sync!$L1201)-1))),4)&amp;"/"&amp;RIGHT("00"&amp;VALUE(TRIM(LEFT(MID(Sync!$L1201,FIND("/",Sync!$L1201)+1,20),FIND("/",MID(Sync!$L1201,FIND("/",Sync!$L1201)+1,20))-1))),2)&amp;"/"&amp;RIGHT("00"&amp;VALUE(TRIM(MID(MID(Sync!$L1201,FIND("/",Sync!$L1201)+1,20),FIND("/",MID(Sync!$L1201,FIND("/",Sync!$L1201)+1,20))+1,20))),2),"")))</f>
        <v/>
      </c>
    </row>
    <row r="1202" spans="13:14" x14ac:dyDescent="0.2">
      <c r="M1202" t="str">
        <f>IF(Sync!$M1202&lt;&gt;"پاس چک","",IF(Sync!$P1202="","",Sync!$P1202))</f>
        <v/>
      </c>
      <c r="N1202" t="str">
        <f>IF($M1202="","",IF(ISNUMBER(Sync!$L1202),IF(AND(Sync!$L1202&gt;=10000101,Sync!$L1202&lt;=99991231),RIGHT("0000"&amp;INT(Sync!$L1202/10000),4)&amp;"/"&amp;RIGHT("00"&amp;INT(MOD(Sync!$L1202,10000)/100),2)&amp;"/"&amp;RIGHT("00"&amp;MOD(Sync!$L1202,100),2),""),IFERROR(RIGHT("0000"&amp;VALUE(TRIM(LEFT(Sync!$L1202,FIND("/",Sync!$L1202)-1))),4)&amp;"/"&amp;RIGHT("00"&amp;VALUE(TRIM(LEFT(MID(Sync!$L1202,FIND("/",Sync!$L1202)+1,20),FIND("/",MID(Sync!$L1202,FIND("/",Sync!$L1202)+1,20))-1))),2)&amp;"/"&amp;RIGHT("00"&amp;VALUE(TRIM(MID(MID(Sync!$L1202,FIND("/",Sync!$L1202)+1,20),FIND("/",MID(Sync!$L1202,FIND("/",Sync!$L1202)+1,20))+1,20))),2),"")))</f>
        <v/>
      </c>
    </row>
    <row r="1203" spans="13:14" x14ac:dyDescent="0.2">
      <c r="M1203" t="str">
        <f>IF(Sync!$M1203&lt;&gt;"پاس چک","",IF(Sync!$P1203="","",Sync!$P1203))</f>
        <v/>
      </c>
      <c r="N1203" t="str">
        <f>IF($M1203="","",IF(ISNUMBER(Sync!$L1203),IF(AND(Sync!$L1203&gt;=10000101,Sync!$L1203&lt;=99991231),RIGHT("0000"&amp;INT(Sync!$L1203/10000),4)&amp;"/"&amp;RIGHT("00"&amp;INT(MOD(Sync!$L1203,10000)/100),2)&amp;"/"&amp;RIGHT("00"&amp;MOD(Sync!$L1203,100),2),""),IFERROR(RIGHT("0000"&amp;VALUE(TRIM(LEFT(Sync!$L1203,FIND("/",Sync!$L1203)-1))),4)&amp;"/"&amp;RIGHT("00"&amp;VALUE(TRIM(LEFT(MID(Sync!$L1203,FIND("/",Sync!$L1203)+1,20),FIND("/",MID(Sync!$L1203,FIND("/",Sync!$L1203)+1,20))-1))),2)&amp;"/"&amp;RIGHT("00"&amp;VALUE(TRIM(MID(MID(Sync!$L1203,FIND("/",Sync!$L1203)+1,20),FIND("/",MID(Sync!$L1203,FIND("/",Sync!$L1203)+1,20))+1,20))),2),"")))</f>
        <v/>
      </c>
    </row>
    <row r="1204" spans="13:14" x14ac:dyDescent="0.2">
      <c r="M1204" t="str">
        <f>IF(Sync!$M1204&lt;&gt;"پاس چک","",IF(Sync!$P1204="","",Sync!$P1204))</f>
        <v/>
      </c>
      <c r="N1204" t="str">
        <f>IF($M1204="","",IF(ISNUMBER(Sync!$L1204),IF(AND(Sync!$L1204&gt;=10000101,Sync!$L1204&lt;=99991231),RIGHT("0000"&amp;INT(Sync!$L1204/10000),4)&amp;"/"&amp;RIGHT("00"&amp;INT(MOD(Sync!$L1204,10000)/100),2)&amp;"/"&amp;RIGHT("00"&amp;MOD(Sync!$L1204,100),2),""),IFERROR(RIGHT("0000"&amp;VALUE(TRIM(LEFT(Sync!$L1204,FIND("/",Sync!$L1204)-1))),4)&amp;"/"&amp;RIGHT("00"&amp;VALUE(TRIM(LEFT(MID(Sync!$L1204,FIND("/",Sync!$L1204)+1,20),FIND("/",MID(Sync!$L1204,FIND("/",Sync!$L1204)+1,20))-1))),2)&amp;"/"&amp;RIGHT("00"&amp;VALUE(TRIM(MID(MID(Sync!$L1204,FIND("/",Sync!$L1204)+1,20),FIND("/",MID(Sync!$L1204,FIND("/",Sync!$L1204)+1,20))+1,20))),2),"")))</f>
        <v/>
      </c>
    </row>
    <row r="1205" spans="13:14" x14ac:dyDescent="0.2">
      <c r="M1205" t="str">
        <f>IF(Sync!$M1205&lt;&gt;"پاس چک","",IF(Sync!$P1205="","",Sync!$P1205))</f>
        <v/>
      </c>
      <c r="N1205" t="str">
        <f>IF($M1205="","",IF(ISNUMBER(Sync!$L1205),IF(AND(Sync!$L1205&gt;=10000101,Sync!$L1205&lt;=99991231),RIGHT("0000"&amp;INT(Sync!$L1205/10000),4)&amp;"/"&amp;RIGHT("00"&amp;INT(MOD(Sync!$L1205,10000)/100),2)&amp;"/"&amp;RIGHT("00"&amp;MOD(Sync!$L1205,100),2),""),IFERROR(RIGHT("0000"&amp;VALUE(TRIM(LEFT(Sync!$L1205,FIND("/",Sync!$L1205)-1))),4)&amp;"/"&amp;RIGHT("00"&amp;VALUE(TRIM(LEFT(MID(Sync!$L1205,FIND("/",Sync!$L1205)+1,20),FIND("/",MID(Sync!$L1205,FIND("/",Sync!$L1205)+1,20))-1))),2)&amp;"/"&amp;RIGHT("00"&amp;VALUE(TRIM(MID(MID(Sync!$L1205,FIND("/",Sync!$L1205)+1,20),FIND("/",MID(Sync!$L1205,FIND("/",Sync!$L1205)+1,20))+1,20))),2),"")))</f>
        <v/>
      </c>
    </row>
    <row r="1206" spans="13:14" x14ac:dyDescent="0.2">
      <c r="M1206" t="str">
        <f>IF(Sync!$M1206&lt;&gt;"پاس چک","",IF(Sync!$P1206="","",Sync!$P1206))</f>
        <v/>
      </c>
      <c r="N1206" t="str">
        <f>IF($M1206="","",IF(ISNUMBER(Sync!$L1206),IF(AND(Sync!$L1206&gt;=10000101,Sync!$L1206&lt;=99991231),RIGHT("0000"&amp;INT(Sync!$L1206/10000),4)&amp;"/"&amp;RIGHT("00"&amp;INT(MOD(Sync!$L1206,10000)/100),2)&amp;"/"&amp;RIGHT("00"&amp;MOD(Sync!$L1206,100),2),""),IFERROR(RIGHT("0000"&amp;VALUE(TRIM(LEFT(Sync!$L1206,FIND("/",Sync!$L1206)-1))),4)&amp;"/"&amp;RIGHT("00"&amp;VALUE(TRIM(LEFT(MID(Sync!$L1206,FIND("/",Sync!$L1206)+1,20),FIND("/",MID(Sync!$L1206,FIND("/",Sync!$L1206)+1,20))-1))),2)&amp;"/"&amp;RIGHT("00"&amp;VALUE(TRIM(MID(MID(Sync!$L1206,FIND("/",Sync!$L1206)+1,20),FIND("/",MID(Sync!$L1206,FIND("/",Sync!$L1206)+1,20))+1,20))),2),"")))</f>
        <v/>
      </c>
    </row>
    <row r="1207" spans="13:14" x14ac:dyDescent="0.2">
      <c r="M1207" t="str">
        <f>IF(Sync!$M1207&lt;&gt;"پاس چک","",IF(Sync!$P1207="","",Sync!$P1207))</f>
        <v/>
      </c>
      <c r="N1207" t="str">
        <f>IF($M1207="","",IF(ISNUMBER(Sync!$L1207),IF(AND(Sync!$L1207&gt;=10000101,Sync!$L1207&lt;=99991231),RIGHT("0000"&amp;INT(Sync!$L1207/10000),4)&amp;"/"&amp;RIGHT("00"&amp;INT(MOD(Sync!$L1207,10000)/100),2)&amp;"/"&amp;RIGHT("00"&amp;MOD(Sync!$L1207,100),2),""),IFERROR(RIGHT("0000"&amp;VALUE(TRIM(LEFT(Sync!$L1207,FIND("/",Sync!$L1207)-1))),4)&amp;"/"&amp;RIGHT("00"&amp;VALUE(TRIM(LEFT(MID(Sync!$L1207,FIND("/",Sync!$L1207)+1,20),FIND("/",MID(Sync!$L1207,FIND("/",Sync!$L1207)+1,20))-1))),2)&amp;"/"&amp;RIGHT("00"&amp;VALUE(TRIM(MID(MID(Sync!$L1207,FIND("/",Sync!$L1207)+1,20),FIND("/",MID(Sync!$L1207,FIND("/",Sync!$L1207)+1,20))+1,20))),2),"")))</f>
        <v/>
      </c>
    </row>
    <row r="1208" spans="13:14" x14ac:dyDescent="0.2">
      <c r="M1208" t="str">
        <f>IF(Sync!$M1208&lt;&gt;"پاس چک","",IF(Sync!$P1208="","",Sync!$P1208))</f>
        <v/>
      </c>
      <c r="N1208" t="str">
        <f>IF($M1208="","",IF(ISNUMBER(Sync!$L1208),IF(AND(Sync!$L1208&gt;=10000101,Sync!$L1208&lt;=99991231),RIGHT("0000"&amp;INT(Sync!$L1208/10000),4)&amp;"/"&amp;RIGHT("00"&amp;INT(MOD(Sync!$L1208,10000)/100),2)&amp;"/"&amp;RIGHT("00"&amp;MOD(Sync!$L1208,100),2),""),IFERROR(RIGHT("0000"&amp;VALUE(TRIM(LEFT(Sync!$L1208,FIND("/",Sync!$L1208)-1))),4)&amp;"/"&amp;RIGHT("00"&amp;VALUE(TRIM(LEFT(MID(Sync!$L1208,FIND("/",Sync!$L1208)+1,20),FIND("/",MID(Sync!$L1208,FIND("/",Sync!$L1208)+1,20))-1))),2)&amp;"/"&amp;RIGHT("00"&amp;VALUE(TRIM(MID(MID(Sync!$L1208,FIND("/",Sync!$L1208)+1,20),FIND("/",MID(Sync!$L1208,FIND("/",Sync!$L1208)+1,20))+1,20))),2),"")))</f>
        <v/>
      </c>
    </row>
    <row r="1209" spans="13:14" x14ac:dyDescent="0.2">
      <c r="M1209" t="str">
        <f>IF(Sync!$M1209&lt;&gt;"پاس چک","",IF(Sync!$P1209="","",Sync!$P1209))</f>
        <v/>
      </c>
      <c r="N1209" t="str">
        <f>IF($M1209="","",IF(ISNUMBER(Sync!$L1209),IF(AND(Sync!$L1209&gt;=10000101,Sync!$L1209&lt;=99991231),RIGHT("0000"&amp;INT(Sync!$L1209/10000),4)&amp;"/"&amp;RIGHT("00"&amp;INT(MOD(Sync!$L1209,10000)/100),2)&amp;"/"&amp;RIGHT("00"&amp;MOD(Sync!$L1209,100),2),""),IFERROR(RIGHT("0000"&amp;VALUE(TRIM(LEFT(Sync!$L1209,FIND("/",Sync!$L1209)-1))),4)&amp;"/"&amp;RIGHT("00"&amp;VALUE(TRIM(LEFT(MID(Sync!$L1209,FIND("/",Sync!$L1209)+1,20),FIND("/",MID(Sync!$L1209,FIND("/",Sync!$L1209)+1,20))-1))),2)&amp;"/"&amp;RIGHT("00"&amp;VALUE(TRIM(MID(MID(Sync!$L1209,FIND("/",Sync!$L1209)+1,20),FIND("/",MID(Sync!$L1209,FIND("/",Sync!$L1209)+1,20))+1,20))),2),"")))</f>
        <v/>
      </c>
    </row>
    <row r="1210" spans="13:14" x14ac:dyDescent="0.2">
      <c r="M1210" t="str">
        <f>IF(Sync!$M1210&lt;&gt;"پاس چک","",IF(Sync!$P1210="","",Sync!$P1210))</f>
        <v/>
      </c>
      <c r="N1210" t="str">
        <f>IF($M1210="","",IF(ISNUMBER(Sync!$L1210),IF(AND(Sync!$L1210&gt;=10000101,Sync!$L1210&lt;=99991231),RIGHT("0000"&amp;INT(Sync!$L1210/10000),4)&amp;"/"&amp;RIGHT("00"&amp;INT(MOD(Sync!$L1210,10000)/100),2)&amp;"/"&amp;RIGHT("00"&amp;MOD(Sync!$L1210,100),2),""),IFERROR(RIGHT("0000"&amp;VALUE(TRIM(LEFT(Sync!$L1210,FIND("/",Sync!$L1210)-1))),4)&amp;"/"&amp;RIGHT("00"&amp;VALUE(TRIM(LEFT(MID(Sync!$L1210,FIND("/",Sync!$L1210)+1,20),FIND("/",MID(Sync!$L1210,FIND("/",Sync!$L1210)+1,20))-1))),2)&amp;"/"&amp;RIGHT("00"&amp;VALUE(TRIM(MID(MID(Sync!$L1210,FIND("/",Sync!$L1210)+1,20),FIND("/",MID(Sync!$L1210,FIND("/",Sync!$L1210)+1,20))+1,20))),2),"")))</f>
        <v/>
      </c>
    </row>
    <row r="1211" spans="13:14" x14ac:dyDescent="0.2">
      <c r="M1211" t="str">
        <f>IF(Sync!$M1211&lt;&gt;"پاس چک","",IF(Sync!$P1211="","",Sync!$P1211))</f>
        <v/>
      </c>
      <c r="N1211" t="str">
        <f>IF($M1211="","",IF(ISNUMBER(Sync!$L1211),IF(AND(Sync!$L1211&gt;=10000101,Sync!$L1211&lt;=99991231),RIGHT("0000"&amp;INT(Sync!$L1211/10000),4)&amp;"/"&amp;RIGHT("00"&amp;INT(MOD(Sync!$L1211,10000)/100),2)&amp;"/"&amp;RIGHT("00"&amp;MOD(Sync!$L1211,100),2),""),IFERROR(RIGHT("0000"&amp;VALUE(TRIM(LEFT(Sync!$L1211,FIND("/",Sync!$L1211)-1))),4)&amp;"/"&amp;RIGHT("00"&amp;VALUE(TRIM(LEFT(MID(Sync!$L1211,FIND("/",Sync!$L1211)+1,20),FIND("/",MID(Sync!$L1211,FIND("/",Sync!$L1211)+1,20))-1))),2)&amp;"/"&amp;RIGHT("00"&amp;VALUE(TRIM(MID(MID(Sync!$L1211,FIND("/",Sync!$L1211)+1,20),FIND("/",MID(Sync!$L1211,FIND("/",Sync!$L1211)+1,20))+1,20))),2),"")))</f>
        <v/>
      </c>
    </row>
    <row r="1212" spans="13:14" x14ac:dyDescent="0.2">
      <c r="M1212" t="str">
        <f>IF(Sync!$M1212&lt;&gt;"پاس چک","",IF(Sync!$P1212="","",Sync!$P1212))</f>
        <v/>
      </c>
      <c r="N1212" t="str">
        <f>IF($M1212="","",IF(ISNUMBER(Sync!$L1212),IF(AND(Sync!$L1212&gt;=10000101,Sync!$L1212&lt;=99991231),RIGHT("0000"&amp;INT(Sync!$L1212/10000),4)&amp;"/"&amp;RIGHT("00"&amp;INT(MOD(Sync!$L1212,10000)/100),2)&amp;"/"&amp;RIGHT("00"&amp;MOD(Sync!$L1212,100),2),""),IFERROR(RIGHT("0000"&amp;VALUE(TRIM(LEFT(Sync!$L1212,FIND("/",Sync!$L1212)-1))),4)&amp;"/"&amp;RIGHT("00"&amp;VALUE(TRIM(LEFT(MID(Sync!$L1212,FIND("/",Sync!$L1212)+1,20),FIND("/",MID(Sync!$L1212,FIND("/",Sync!$L1212)+1,20))-1))),2)&amp;"/"&amp;RIGHT("00"&amp;VALUE(TRIM(MID(MID(Sync!$L1212,FIND("/",Sync!$L1212)+1,20),FIND("/",MID(Sync!$L1212,FIND("/",Sync!$L1212)+1,20))+1,20))),2),"")))</f>
        <v/>
      </c>
    </row>
    <row r="1213" spans="13:14" x14ac:dyDescent="0.2">
      <c r="M1213" t="str">
        <f>IF(Sync!$M1213&lt;&gt;"پاس چک","",IF(Sync!$P1213="","",Sync!$P1213))</f>
        <v/>
      </c>
      <c r="N1213" t="str">
        <f>IF($M1213="","",IF(ISNUMBER(Sync!$L1213),IF(AND(Sync!$L1213&gt;=10000101,Sync!$L1213&lt;=99991231),RIGHT("0000"&amp;INT(Sync!$L1213/10000),4)&amp;"/"&amp;RIGHT("00"&amp;INT(MOD(Sync!$L1213,10000)/100),2)&amp;"/"&amp;RIGHT("00"&amp;MOD(Sync!$L1213,100),2),""),IFERROR(RIGHT("0000"&amp;VALUE(TRIM(LEFT(Sync!$L1213,FIND("/",Sync!$L1213)-1))),4)&amp;"/"&amp;RIGHT("00"&amp;VALUE(TRIM(LEFT(MID(Sync!$L1213,FIND("/",Sync!$L1213)+1,20),FIND("/",MID(Sync!$L1213,FIND("/",Sync!$L1213)+1,20))-1))),2)&amp;"/"&amp;RIGHT("00"&amp;VALUE(TRIM(MID(MID(Sync!$L1213,FIND("/",Sync!$L1213)+1,20),FIND("/",MID(Sync!$L1213,FIND("/",Sync!$L1213)+1,20))+1,20))),2),"")))</f>
        <v/>
      </c>
    </row>
    <row r="1214" spans="13:14" x14ac:dyDescent="0.2">
      <c r="M1214" t="str">
        <f>IF(Sync!$M1214&lt;&gt;"پاس چک","",IF(Sync!$P1214="","",Sync!$P1214))</f>
        <v/>
      </c>
      <c r="N1214" t="str">
        <f>IF($M1214="","",IF(ISNUMBER(Sync!$L1214),IF(AND(Sync!$L1214&gt;=10000101,Sync!$L1214&lt;=99991231),RIGHT("0000"&amp;INT(Sync!$L1214/10000),4)&amp;"/"&amp;RIGHT("00"&amp;INT(MOD(Sync!$L1214,10000)/100),2)&amp;"/"&amp;RIGHT("00"&amp;MOD(Sync!$L1214,100),2),""),IFERROR(RIGHT("0000"&amp;VALUE(TRIM(LEFT(Sync!$L1214,FIND("/",Sync!$L1214)-1))),4)&amp;"/"&amp;RIGHT("00"&amp;VALUE(TRIM(LEFT(MID(Sync!$L1214,FIND("/",Sync!$L1214)+1,20),FIND("/",MID(Sync!$L1214,FIND("/",Sync!$L1214)+1,20))-1))),2)&amp;"/"&amp;RIGHT("00"&amp;VALUE(TRIM(MID(MID(Sync!$L1214,FIND("/",Sync!$L1214)+1,20),FIND("/",MID(Sync!$L1214,FIND("/",Sync!$L1214)+1,20))+1,20))),2),"")))</f>
        <v/>
      </c>
    </row>
    <row r="1215" spans="13:14" x14ac:dyDescent="0.2">
      <c r="M1215" t="str">
        <f>IF(Sync!$M1215&lt;&gt;"پاس چک","",IF(Sync!$P1215="","",Sync!$P1215))</f>
        <v/>
      </c>
      <c r="N1215" t="str">
        <f>IF($M1215="","",IF(ISNUMBER(Sync!$L1215),IF(AND(Sync!$L1215&gt;=10000101,Sync!$L1215&lt;=99991231),RIGHT("0000"&amp;INT(Sync!$L1215/10000),4)&amp;"/"&amp;RIGHT("00"&amp;INT(MOD(Sync!$L1215,10000)/100),2)&amp;"/"&amp;RIGHT("00"&amp;MOD(Sync!$L1215,100),2),""),IFERROR(RIGHT("0000"&amp;VALUE(TRIM(LEFT(Sync!$L1215,FIND("/",Sync!$L1215)-1))),4)&amp;"/"&amp;RIGHT("00"&amp;VALUE(TRIM(LEFT(MID(Sync!$L1215,FIND("/",Sync!$L1215)+1,20),FIND("/",MID(Sync!$L1215,FIND("/",Sync!$L1215)+1,20))-1))),2)&amp;"/"&amp;RIGHT("00"&amp;VALUE(TRIM(MID(MID(Sync!$L1215,FIND("/",Sync!$L1215)+1,20),FIND("/",MID(Sync!$L1215,FIND("/",Sync!$L1215)+1,20))+1,20))),2),"")))</f>
        <v/>
      </c>
    </row>
    <row r="1216" spans="13:14" x14ac:dyDescent="0.2">
      <c r="M1216" t="str">
        <f>IF(Sync!$M1216&lt;&gt;"پاس چک","",IF(Sync!$P1216="","",Sync!$P1216))</f>
        <v/>
      </c>
      <c r="N1216" t="str">
        <f>IF($M1216="","",IF(ISNUMBER(Sync!$L1216),IF(AND(Sync!$L1216&gt;=10000101,Sync!$L1216&lt;=99991231),RIGHT("0000"&amp;INT(Sync!$L1216/10000),4)&amp;"/"&amp;RIGHT("00"&amp;INT(MOD(Sync!$L1216,10000)/100),2)&amp;"/"&amp;RIGHT("00"&amp;MOD(Sync!$L1216,100),2),""),IFERROR(RIGHT("0000"&amp;VALUE(TRIM(LEFT(Sync!$L1216,FIND("/",Sync!$L1216)-1))),4)&amp;"/"&amp;RIGHT("00"&amp;VALUE(TRIM(LEFT(MID(Sync!$L1216,FIND("/",Sync!$L1216)+1,20),FIND("/",MID(Sync!$L1216,FIND("/",Sync!$L1216)+1,20))-1))),2)&amp;"/"&amp;RIGHT("00"&amp;VALUE(TRIM(MID(MID(Sync!$L1216,FIND("/",Sync!$L1216)+1,20),FIND("/",MID(Sync!$L1216,FIND("/",Sync!$L1216)+1,20))+1,20))),2),"")))</f>
        <v/>
      </c>
    </row>
    <row r="1217" spans="13:14" x14ac:dyDescent="0.2">
      <c r="M1217" t="str">
        <f>IF(Sync!$M1217&lt;&gt;"پاس چک","",IF(Sync!$P1217="","",Sync!$P1217))</f>
        <v/>
      </c>
      <c r="N1217" t="str">
        <f>IF($M1217="","",IF(ISNUMBER(Sync!$L1217),IF(AND(Sync!$L1217&gt;=10000101,Sync!$L1217&lt;=99991231),RIGHT("0000"&amp;INT(Sync!$L1217/10000),4)&amp;"/"&amp;RIGHT("00"&amp;INT(MOD(Sync!$L1217,10000)/100),2)&amp;"/"&amp;RIGHT("00"&amp;MOD(Sync!$L1217,100),2),""),IFERROR(RIGHT("0000"&amp;VALUE(TRIM(LEFT(Sync!$L1217,FIND("/",Sync!$L1217)-1))),4)&amp;"/"&amp;RIGHT("00"&amp;VALUE(TRIM(LEFT(MID(Sync!$L1217,FIND("/",Sync!$L1217)+1,20),FIND("/",MID(Sync!$L1217,FIND("/",Sync!$L1217)+1,20))-1))),2)&amp;"/"&amp;RIGHT("00"&amp;VALUE(TRIM(MID(MID(Sync!$L1217,FIND("/",Sync!$L1217)+1,20),FIND("/",MID(Sync!$L1217,FIND("/",Sync!$L1217)+1,20))+1,20))),2),"")))</f>
        <v/>
      </c>
    </row>
    <row r="1218" spans="13:14" x14ac:dyDescent="0.2">
      <c r="M1218" t="str">
        <f>IF(Sync!$M1218&lt;&gt;"پاس چک","",IF(Sync!$P1218="","",Sync!$P1218))</f>
        <v/>
      </c>
      <c r="N1218" t="str">
        <f>IF($M1218="","",IF(ISNUMBER(Sync!$L1218),IF(AND(Sync!$L1218&gt;=10000101,Sync!$L1218&lt;=99991231),RIGHT("0000"&amp;INT(Sync!$L1218/10000),4)&amp;"/"&amp;RIGHT("00"&amp;INT(MOD(Sync!$L1218,10000)/100),2)&amp;"/"&amp;RIGHT("00"&amp;MOD(Sync!$L1218,100),2),""),IFERROR(RIGHT("0000"&amp;VALUE(TRIM(LEFT(Sync!$L1218,FIND("/",Sync!$L1218)-1))),4)&amp;"/"&amp;RIGHT("00"&amp;VALUE(TRIM(LEFT(MID(Sync!$L1218,FIND("/",Sync!$L1218)+1,20),FIND("/",MID(Sync!$L1218,FIND("/",Sync!$L1218)+1,20))-1))),2)&amp;"/"&amp;RIGHT("00"&amp;VALUE(TRIM(MID(MID(Sync!$L1218,FIND("/",Sync!$L1218)+1,20),FIND("/",MID(Sync!$L1218,FIND("/",Sync!$L1218)+1,20))+1,20))),2),"")))</f>
        <v/>
      </c>
    </row>
    <row r="1219" spans="13:14" x14ac:dyDescent="0.2">
      <c r="M1219" t="str">
        <f>IF(Sync!$M1219&lt;&gt;"پاس چک","",IF(Sync!$P1219="","",Sync!$P1219))</f>
        <v/>
      </c>
      <c r="N1219" t="str">
        <f>IF($M1219="","",IF(ISNUMBER(Sync!$L1219),IF(AND(Sync!$L1219&gt;=10000101,Sync!$L1219&lt;=99991231),RIGHT("0000"&amp;INT(Sync!$L1219/10000),4)&amp;"/"&amp;RIGHT("00"&amp;INT(MOD(Sync!$L1219,10000)/100),2)&amp;"/"&amp;RIGHT("00"&amp;MOD(Sync!$L1219,100),2),""),IFERROR(RIGHT("0000"&amp;VALUE(TRIM(LEFT(Sync!$L1219,FIND("/",Sync!$L1219)-1))),4)&amp;"/"&amp;RIGHT("00"&amp;VALUE(TRIM(LEFT(MID(Sync!$L1219,FIND("/",Sync!$L1219)+1,20),FIND("/",MID(Sync!$L1219,FIND("/",Sync!$L1219)+1,20))-1))),2)&amp;"/"&amp;RIGHT("00"&amp;VALUE(TRIM(MID(MID(Sync!$L1219,FIND("/",Sync!$L1219)+1,20),FIND("/",MID(Sync!$L1219,FIND("/",Sync!$L1219)+1,20))+1,20))),2),"")))</f>
        <v/>
      </c>
    </row>
    <row r="1220" spans="13:14" x14ac:dyDescent="0.2">
      <c r="M1220" t="str">
        <f>IF(Sync!$M1220&lt;&gt;"پاس چک","",IF(Sync!$P1220="","",Sync!$P1220))</f>
        <v/>
      </c>
      <c r="N1220" t="str">
        <f>IF($M1220="","",IF(ISNUMBER(Sync!$L1220),IF(AND(Sync!$L1220&gt;=10000101,Sync!$L1220&lt;=99991231),RIGHT("0000"&amp;INT(Sync!$L1220/10000),4)&amp;"/"&amp;RIGHT("00"&amp;INT(MOD(Sync!$L1220,10000)/100),2)&amp;"/"&amp;RIGHT("00"&amp;MOD(Sync!$L1220,100),2),""),IFERROR(RIGHT("0000"&amp;VALUE(TRIM(LEFT(Sync!$L1220,FIND("/",Sync!$L1220)-1))),4)&amp;"/"&amp;RIGHT("00"&amp;VALUE(TRIM(LEFT(MID(Sync!$L1220,FIND("/",Sync!$L1220)+1,20),FIND("/",MID(Sync!$L1220,FIND("/",Sync!$L1220)+1,20))-1))),2)&amp;"/"&amp;RIGHT("00"&amp;VALUE(TRIM(MID(MID(Sync!$L1220,FIND("/",Sync!$L1220)+1,20),FIND("/",MID(Sync!$L1220,FIND("/",Sync!$L1220)+1,20))+1,20))),2),"")))</f>
        <v/>
      </c>
    </row>
    <row r="1221" spans="13:14" x14ac:dyDescent="0.2">
      <c r="M1221" t="str">
        <f>IF(Sync!$M1221&lt;&gt;"پاس چک","",IF(Sync!$P1221="","",Sync!$P1221))</f>
        <v/>
      </c>
      <c r="N1221" t="str">
        <f>IF($M1221="","",IF(ISNUMBER(Sync!$L1221),IF(AND(Sync!$L1221&gt;=10000101,Sync!$L1221&lt;=99991231),RIGHT("0000"&amp;INT(Sync!$L1221/10000),4)&amp;"/"&amp;RIGHT("00"&amp;INT(MOD(Sync!$L1221,10000)/100),2)&amp;"/"&amp;RIGHT("00"&amp;MOD(Sync!$L1221,100),2),""),IFERROR(RIGHT("0000"&amp;VALUE(TRIM(LEFT(Sync!$L1221,FIND("/",Sync!$L1221)-1))),4)&amp;"/"&amp;RIGHT("00"&amp;VALUE(TRIM(LEFT(MID(Sync!$L1221,FIND("/",Sync!$L1221)+1,20),FIND("/",MID(Sync!$L1221,FIND("/",Sync!$L1221)+1,20))-1))),2)&amp;"/"&amp;RIGHT("00"&amp;VALUE(TRIM(MID(MID(Sync!$L1221,FIND("/",Sync!$L1221)+1,20),FIND("/",MID(Sync!$L1221,FIND("/",Sync!$L1221)+1,20))+1,20))),2),"")))</f>
        <v/>
      </c>
    </row>
    <row r="1222" spans="13:14" x14ac:dyDescent="0.2">
      <c r="M1222" t="str">
        <f>IF(Sync!$M1222&lt;&gt;"پاس چک","",IF(Sync!$P1222="","",Sync!$P1222))</f>
        <v/>
      </c>
      <c r="N1222" t="str">
        <f>IF($M1222="","",IF(ISNUMBER(Sync!$L1222),IF(AND(Sync!$L1222&gt;=10000101,Sync!$L1222&lt;=99991231),RIGHT("0000"&amp;INT(Sync!$L1222/10000),4)&amp;"/"&amp;RIGHT("00"&amp;INT(MOD(Sync!$L1222,10000)/100),2)&amp;"/"&amp;RIGHT("00"&amp;MOD(Sync!$L1222,100),2),""),IFERROR(RIGHT("0000"&amp;VALUE(TRIM(LEFT(Sync!$L1222,FIND("/",Sync!$L1222)-1))),4)&amp;"/"&amp;RIGHT("00"&amp;VALUE(TRIM(LEFT(MID(Sync!$L1222,FIND("/",Sync!$L1222)+1,20),FIND("/",MID(Sync!$L1222,FIND("/",Sync!$L1222)+1,20))-1))),2)&amp;"/"&amp;RIGHT("00"&amp;VALUE(TRIM(MID(MID(Sync!$L1222,FIND("/",Sync!$L1222)+1,20),FIND("/",MID(Sync!$L1222,FIND("/",Sync!$L1222)+1,20))+1,20))),2),"")))</f>
        <v/>
      </c>
    </row>
    <row r="1223" spans="13:14" x14ac:dyDescent="0.2">
      <c r="M1223" t="str">
        <f>IF(Sync!$M1223&lt;&gt;"پاس چک","",IF(Sync!$P1223="","",Sync!$P1223))</f>
        <v/>
      </c>
      <c r="N1223" t="str">
        <f>IF($M1223="","",IF(ISNUMBER(Sync!$L1223),IF(AND(Sync!$L1223&gt;=10000101,Sync!$L1223&lt;=99991231),RIGHT("0000"&amp;INT(Sync!$L1223/10000),4)&amp;"/"&amp;RIGHT("00"&amp;INT(MOD(Sync!$L1223,10000)/100),2)&amp;"/"&amp;RIGHT("00"&amp;MOD(Sync!$L1223,100),2),""),IFERROR(RIGHT("0000"&amp;VALUE(TRIM(LEFT(Sync!$L1223,FIND("/",Sync!$L1223)-1))),4)&amp;"/"&amp;RIGHT("00"&amp;VALUE(TRIM(LEFT(MID(Sync!$L1223,FIND("/",Sync!$L1223)+1,20),FIND("/",MID(Sync!$L1223,FIND("/",Sync!$L1223)+1,20))-1))),2)&amp;"/"&amp;RIGHT("00"&amp;VALUE(TRIM(MID(MID(Sync!$L1223,FIND("/",Sync!$L1223)+1,20),FIND("/",MID(Sync!$L1223,FIND("/",Sync!$L1223)+1,20))+1,20))),2),"")))</f>
        <v/>
      </c>
    </row>
    <row r="1224" spans="13:14" x14ac:dyDescent="0.2">
      <c r="M1224" t="str">
        <f>IF(Sync!$M1224&lt;&gt;"پاس چک","",IF(Sync!$P1224="","",Sync!$P1224))</f>
        <v/>
      </c>
      <c r="N1224" t="str">
        <f>IF($M1224="","",IF(ISNUMBER(Sync!$L1224),IF(AND(Sync!$L1224&gt;=10000101,Sync!$L1224&lt;=99991231),RIGHT("0000"&amp;INT(Sync!$L1224/10000),4)&amp;"/"&amp;RIGHT("00"&amp;INT(MOD(Sync!$L1224,10000)/100),2)&amp;"/"&amp;RIGHT("00"&amp;MOD(Sync!$L1224,100),2),""),IFERROR(RIGHT("0000"&amp;VALUE(TRIM(LEFT(Sync!$L1224,FIND("/",Sync!$L1224)-1))),4)&amp;"/"&amp;RIGHT("00"&amp;VALUE(TRIM(LEFT(MID(Sync!$L1224,FIND("/",Sync!$L1224)+1,20),FIND("/",MID(Sync!$L1224,FIND("/",Sync!$L1224)+1,20))-1))),2)&amp;"/"&amp;RIGHT("00"&amp;VALUE(TRIM(MID(MID(Sync!$L1224,FIND("/",Sync!$L1224)+1,20),FIND("/",MID(Sync!$L1224,FIND("/",Sync!$L1224)+1,20))+1,20))),2),"")))</f>
        <v/>
      </c>
    </row>
    <row r="1225" spans="13:14" x14ac:dyDescent="0.2">
      <c r="M1225" t="str">
        <f>IF(Sync!$M1225&lt;&gt;"پاس چک","",IF(Sync!$P1225="","",Sync!$P1225))</f>
        <v/>
      </c>
      <c r="N1225" t="str">
        <f>IF($M1225="","",IF(ISNUMBER(Sync!$L1225),IF(AND(Sync!$L1225&gt;=10000101,Sync!$L1225&lt;=99991231),RIGHT("0000"&amp;INT(Sync!$L1225/10000),4)&amp;"/"&amp;RIGHT("00"&amp;INT(MOD(Sync!$L1225,10000)/100),2)&amp;"/"&amp;RIGHT("00"&amp;MOD(Sync!$L1225,100),2),""),IFERROR(RIGHT("0000"&amp;VALUE(TRIM(LEFT(Sync!$L1225,FIND("/",Sync!$L1225)-1))),4)&amp;"/"&amp;RIGHT("00"&amp;VALUE(TRIM(LEFT(MID(Sync!$L1225,FIND("/",Sync!$L1225)+1,20),FIND("/",MID(Sync!$L1225,FIND("/",Sync!$L1225)+1,20))-1))),2)&amp;"/"&amp;RIGHT("00"&amp;VALUE(TRIM(MID(MID(Sync!$L1225,FIND("/",Sync!$L1225)+1,20),FIND("/",MID(Sync!$L1225,FIND("/",Sync!$L1225)+1,20))+1,20))),2),"")))</f>
        <v/>
      </c>
    </row>
    <row r="1226" spans="13:14" x14ac:dyDescent="0.2">
      <c r="M1226" t="str">
        <f>IF(Sync!$M1226&lt;&gt;"پاس چک","",IF(Sync!$P1226="","",Sync!$P1226))</f>
        <v/>
      </c>
      <c r="N1226" t="str">
        <f>IF($M1226="","",IF(ISNUMBER(Sync!$L1226),IF(AND(Sync!$L1226&gt;=10000101,Sync!$L1226&lt;=99991231),RIGHT("0000"&amp;INT(Sync!$L1226/10000),4)&amp;"/"&amp;RIGHT("00"&amp;INT(MOD(Sync!$L1226,10000)/100),2)&amp;"/"&amp;RIGHT("00"&amp;MOD(Sync!$L1226,100),2),""),IFERROR(RIGHT("0000"&amp;VALUE(TRIM(LEFT(Sync!$L1226,FIND("/",Sync!$L1226)-1))),4)&amp;"/"&amp;RIGHT("00"&amp;VALUE(TRIM(LEFT(MID(Sync!$L1226,FIND("/",Sync!$L1226)+1,20),FIND("/",MID(Sync!$L1226,FIND("/",Sync!$L1226)+1,20))-1))),2)&amp;"/"&amp;RIGHT("00"&amp;VALUE(TRIM(MID(MID(Sync!$L1226,FIND("/",Sync!$L1226)+1,20),FIND("/",MID(Sync!$L1226,FIND("/",Sync!$L1226)+1,20))+1,20))),2),"")))</f>
        <v/>
      </c>
    </row>
    <row r="1227" spans="13:14" x14ac:dyDescent="0.2">
      <c r="M1227" t="str">
        <f>IF(Sync!$M1227&lt;&gt;"پاس چک","",IF(Sync!$P1227="","",Sync!$P1227))</f>
        <v/>
      </c>
      <c r="N1227" t="str">
        <f>IF($M1227="","",IF(ISNUMBER(Sync!$L1227),IF(AND(Sync!$L1227&gt;=10000101,Sync!$L1227&lt;=99991231),RIGHT("0000"&amp;INT(Sync!$L1227/10000),4)&amp;"/"&amp;RIGHT("00"&amp;INT(MOD(Sync!$L1227,10000)/100),2)&amp;"/"&amp;RIGHT("00"&amp;MOD(Sync!$L1227,100),2),""),IFERROR(RIGHT("0000"&amp;VALUE(TRIM(LEFT(Sync!$L1227,FIND("/",Sync!$L1227)-1))),4)&amp;"/"&amp;RIGHT("00"&amp;VALUE(TRIM(LEFT(MID(Sync!$L1227,FIND("/",Sync!$L1227)+1,20),FIND("/",MID(Sync!$L1227,FIND("/",Sync!$L1227)+1,20))-1))),2)&amp;"/"&amp;RIGHT("00"&amp;VALUE(TRIM(MID(MID(Sync!$L1227,FIND("/",Sync!$L1227)+1,20),FIND("/",MID(Sync!$L1227,FIND("/",Sync!$L1227)+1,20))+1,20))),2),"")))</f>
        <v/>
      </c>
    </row>
    <row r="1228" spans="13:14" x14ac:dyDescent="0.2">
      <c r="M1228" t="str">
        <f>IF(Sync!$M1228&lt;&gt;"پاس چک","",IF(Sync!$P1228="","",Sync!$P1228))</f>
        <v/>
      </c>
      <c r="N1228" t="str">
        <f>IF($M1228="","",IF(ISNUMBER(Sync!$L1228),IF(AND(Sync!$L1228&gt;=10000101,Sync!$L1228&lt;=99991231),RIGHT("0000"&amp;INT(Sync!$L1228/10000),4)&amp;"/"&amp;RIGHT("00"&amp;INT(MOD(Sync!$L1228,10000)/100),2)&amp;"/"&amp;RIGHT("00"&amp;MOD(Sync!$L1228,100),2),""),IFERROR(RIGHT("0000"&amp;VALUE(TRIM(LEFT(Sync!$L1228,FIND("/",Sync!$L1228)-1))),4)&amp;"/"&amp;RIGHT("00"&amp;VALUE(TRIM(LEFT(MID(Sync!$L1228,FIND("/",Sync!$L1228)+1,20),FIND("/",MID(Sync!$L1228,FIND("/",Sync!$L1228)+1,20))-1))),2)&amp;"/"&amp;RIGHT("00"&amp;VALUE(TRIM(MID(MID(Sync!$L1228,FIND("/",Sync!$L1228)+1,20),FIND("/",MID(Sync!$L1228,FIND("/",Sync!$L1228)+1,20))+1,20))),2),"")))</f>
        <v/>
      </c>
    </row>
    <row r="1229" spans="13:14" x14ac:dyDescent="0.2">
      <c r="M1229" t="str">
        <f>IF(Sync!$M1229&lt;&gt;"پاس چک","",IF(Sync!$P1229="","",Sync!$P1229))</f>
        <v/>
      </c>
      <c r="N1229" t="str">
        <f>IF($M1229="","",IF(ISNUMBER(Sync!$L1229),IF(AND(Sync!$L1229&gt;=10000101,Sync!$L1229&lt;=99991231),RIGHT("0000"&amp;INT(Sync!$L1229/10000),4)&amp;"/"&amp;RIGHT("00"&amp;INT(MOD(Sync!$L1229,10000)/100),2)&amp;"/"&amp;RIGHT("00"&amp;MOD(Sync!$L1229,100),2),""),IFERROR(RIGHT("0000"&amp;VALUE(TRIM(LEFT(Sync!$L1229,FIND("/",Sync!$L1229)-1))),4)&amp;"/"&amp;RIGHT("00"&amp;VALUE(TRIM(LEFT(MID(Sync!$L1229,FIND("/",Sync!$L1229)+1,20),FIND("/",MID(Sync!$L1229,FIND("/",Sync!$L1229)+1,20))-1))),2)&amp;"/"&amp;RIGHT("00"&amp;VALUE(TRIM(MID(MID(Sync!$L1229,FIND("/",Sync!$L1229)+1,20),FIND("/",MID(Sync!$L1229,FIND("/",Sync!$L1229)+1,20))+1,20))),2),"")))</f>
        <v/>
      </c>
    </row>
    <row r="1230" spans="13:14" x14ac:dyDescent="0.2">
      <c r="M1230" t="str">
        <f>IF(Sync!$M1230&lt;&gt;"پاس چک","",IF(Sync!$P1230="","",Sync!$P1230))</f>
        <v/>
      </c>
      <c r="N1230" t="str">
        <f>IF($M1230="","",IF(ISNUMBER(Sync!$L1230),IF(AND(Sync!$L1230&gt;=10000101,Sync!$L1230&lt;=99991231),RIGHT("0000"&amp;INT(Sync!$L1230/10000),4)&amp;"/"&amp;RIGHT("00"&amp;INT(MOD(Sync!$L1230,10000)/100),2)&amp;"/"&amp;RIGHT("00"&amp;MOD(Sync!$L1230,100),2),""),IFERROR(RIGHT("0000"&amp;VALUE(TRIM(LEFT(Sync!$L1230,FIND("/",Sync!$L1230)-1))),4)&amp;"/"&amp;RIGHT("00"&amp;VALUE(TRIM(LEFT(MID(Sync!$L1230,FIND("/",Sync!$L1230)+1,20),FIND("/",MID(Sync!$L1230,FIND("/",Sync!$L1230)+1,20))-1))),2)&amp;"/"&amp;RIGHT("00"&amp;VALUE(TRIM(MID(MID(Sync!$L1230,FIND("/",Sync!$L1230)+1,20),FIND("/",MID(Sync!$L1230,FIND("/",Sync!$L1230)+1,20))+1,20))),2),"")))</f>
        <v/>
      </c>
    </row>
    <row r="1231" spans="13:14" x14ac:dyDescent="0.2">
      <c r="M1231" t="str">
        <f>IF(Sync!$M1231&lt;&gt;"پاس چک","",IF(Sync!$P1231="","",Sync!$P1231))</f>
        <v/>
      </c>
      <c r="N1231" t="str">
        <f>IF($M1231="","",IF(ISNUMBER(Sync!$L1231),IF(AND(Sync!$L1231&gt;=10000101,Sync!$L1231&lt;=99991231),RIGHT("0000"&amp;INT(Sync!$L1231/10000),4)&amp;"/"&amp;RIGHT("00"&amp;INT(MOD(Sync!$L1231,10000)/100),2)&amp;"/"&amp;RIGHT("00"&amp;MOD(Sync!$L1231,100),2),""),IFERROR(RIGHT("0000"&amp;VALUE(TRIM(LEFT(Sync!$L1231,FIND("/",Sync!$L1231)-1))),4)&amp;"/"&amp;RIGHT("00"&amp;VALUE(TRIM(LEFT(MID(Sync!$L1231,FIND("/",Sync!$L1231)+1,20),FIND("/",MID(Sync!$L1231,FIND("/",Sync!$L1231)+1,20))-1))),2)&amp;"/"&amp;RIGHT("00"&amp;VALUE(TRIM(MID(MID(Sync!$L1231,FIND("/",Sync!$L1231)+1,20),FIND("/",MID(Sync!$L1231,FIND("/",Sync!$L1231)+1,20))+1,20))),2),"")))</f>
        <v/>
      </c>
    </row>
    <row r="1232" spans="13:14" x14ac:dyDescent="0.2">
      <c r="M1232" t="str">
        <f>IF(Sync!$M1232&lt;&gt;"پاس چک","",IF(Sync!$P1232="","",Sync!$P1232))</f>
        <v/>
      </c>
      <c r="N1232" t="str">
        <f>IF($M1232="","",IF(ISNUMBER(Sync!$L1232),IF(AND(Sync!$L1232&gt;=10000101,Sync!$L1232&lt;=99991231),RIGHT("0000"&amp;INT(Sync!$L1232/10000),4)&amp;"/"&amp;RIGHT("00"&amp;INT(MOD(Sync!$L1232,10000)/100),2)&amp;"/"&amp;RIGHT("00"&amp;MOD(Sync!$L1232,100),2),""),IFERROR(RIGHT("0000"&amp;VALUE(TRIM(LEFT(Sync!$L1232,FIND("/",Sync!$L1232)-1))),4)&amp;"/"&amp;RIGHT("00"&amp;VALUE(TRIM(LEFT(MID(Sync!$L1232,FIND("/",Sync!$L1232)+1,20),FIND("/",MID(Sync!$L1232,FIND("/",Sync!$L1232)+1,20))-1))),2)&amp;"/"&amp;RIGHT("00"&amp;VALUE(TRIM(MID(MID(Sync!$L1232,FIND("/",Sync!$L1232)+1,20),FIND("/",MID(Sync!$L1232,FIND("/",Sync!$L1232)+1,20))+1,20))),2),"")))</f>
        <v/>
      </c>
    </row>
    <row r="1233" spans="13:14" x14ac:dyDescent="0.2">
      <c r="M1233" t="str">
        <f>IF(Sync!$M1233&lt;&gt;"پاس چک","",IF(Sync!$P1233="","",Sync!$P1233))</f>
        <v/>
      </c>
      <c r="N1233" t="str">
        <f>IF($M1233="","",IF(ISNUMBER(Sync!$L1233),IF(AND(Sync!$L1233&gt;=10000101,Sync!$L1233&lt;=99991231),RIGHT("0000"&amp;INT(Sync!$L1233/10000),4)&amp;"/"&amp;RIGHT("00"&amp;INT(MOD(Sync!$L1233,10000)/100),2)&amp;"/"&amp;RIGHT("00"&amp;MOD(Sync!$L1233,100),2),""),IFERROR(RIGHT("0000"&amp;VALUE(TRIM(LEFT(Sync!$L1233,FIND("/",Sync!$L1233)-1))),4)&amp;"/"&amp;RIGHT("00"&amp;VALUE(TRIM(LEFT(MID(Sync!$L1233,FIND("/",Sync!$L1233)+1,20),FIND("/",MID(Sync!$L1233,FIND("/",Sync!$L1233)+1,20))-1))),2)&amp;"/"&amp;RIGHT("00"&amp;VALUE(TRIM(MID(MID(Sync!$L1233,FIND("/",Sync!$L1233)+1,20),FIND("/",MID(Sync!$L1233,FIND("/",Sync!$L1233)+1,20))+1,20))),2),"")))</f>
        <v/>
      </c>
    </row>
    <row r="1234" spans="13:14" x14ac:dyDescent="0.2">
      <c r="M1234" t="str">
        <f>IF(Sync!$M1234&lt;&gt;"پاس چک","",IF(Sync!$P1234="","",Sync!$P1234))</f>
        <v/>
      </c>
      <c r="N1234" t="str">
        <f>IF($M1234="","",IF(ISNUMBER(Sync!$L1234),IF(AND(Sync!$L1234&gt;=10000101,Sync!$L1234&lt;=99991231),RIGHT("0000"&amp;INT(Sync!$L1234/10000),4)&amp;"/"&amp;RIGHT("00"&amp;INT(MOD(Sync!$L1234,10000)/100),2)&amp;"/"&amp;RIGHT("00"&amp;MOD(Sync!$L1234,100),2),""),IFERROR(RIGHT("0000"&amp;VALUE(TRIM(LEFT(Sync!$L1234,FIND("/",Sync!$L1234)-1))),4)&amp;"/"&amp;RIGHT("00"&amp;VALUE(TRIM(LEFT(MID(Sync!$L1234,FIND("/",Sync!$L1234)+1,20),FIND("/",MID(Sync!$L1234,FIND("/",Sync!$L1234)+1,20))-1))),2)&amp;"/"&amp;RIGHT("00"&amp;VALUE(TRIM(MID(MID(Sync!$L1234,FIND("/",Sync!$L1234)+1,20),FIND("/",MID(Sync!$L1234,FIND("/",Sync!$L1234)+1,20))+1,20))),2),"")))</f>
        <v/>
      </c>
    </row>
    <row r="1235" spans="13:14" x14ac:dyDescent="0.2">
      <c r="M1235" t="str">
        <f>IF(Sync!$M1235&lt;&gt;"پاس چک","",IF(Sync!$P1235="","",Sync!$P1235))</f>
        <v/>
      </c>
      <c r="N1235" t="str">
        <f>IF($M1235="","",IF(ISNUMBER(Sync!$L1235),IF(AND(Sync!$L1235&gt;=10000101,Sync!$L1235&lt;=99991231),RIGHT("0000"&amp;INT(Sync!$L1235/10000),4)&amp;"/"&amp;RIGHT("00"&amp;INT(MOD(Sync!$L1235,10000)/100),2)&amp;"/"&amp;RIGHT("00"&amp;MOD(Sync!$L1235,100),2),""),IFERROR(RIGHT("0000"&amp;VALUE(TRIM(LEFT(Sync!$L1235,FIND("/",Sync!$L1235)-1))),4)&amp;"/"&amp;RIGHT("00"&amp;VALUE(TRIM(LEFT(MID(Sync!$L1235,FIND("/",Sync!$L1235)+1,20),FIND("/",MID(Sync!$L1235,FIND("/",Sync!$L1235)+1,20))-1))),2)&amp;"/"&amp;RIGHT("00"&amp;VALUE(TRIM(MID(MID(Sync!$L1235,FIND("/",Sync!$L1235)+1,20),FIND("/",MID(Sync!$L1235,FIND("/",Sync!$L1235)+1,20))+1,20))),2),"")))</f>
        <v/>
      </c>
    </row>
    <row r="1236" spans="13:14" x14ac:dyDescent="0.2">
      <c r="M1236" t="str">
        <f>IF(Sync!$M1236&lt;&gt;"پاس چک","",IF(Sync!$P1236="","",Sync!$P1236))</f>
        <v/>
      </c>
      <c r="N1236" t="str">
        <f>IF($M1236="","",IF(ISNUMBER(Sync!$L1236),IF(AND(Sync!$L1236&gt;=10000101,Sync!$L1236&lt;=99991231),RIGHT("0000"&amp;INT(Sync!$L1236/10000),4)&amp;"/"&amp;RIGHT("00"&amp;INT(MOD(Sync!$L1236,10000)/100),2)&amp;"/"&amp;RIGHT("00"&amp;MOD(Sync!$L1236,100),2),""),IFERROR(RIGHT("0000"&amp;VALUE(TRIM(LEFT(Sync!$L1236,FIND("/",Sync!$L1236)-1))),4)&amp;"/"&amp;RIGHT("00"&amp;VALUE(TRIM(LEFT(MID(Sync!$L1236,FIND("/",Sync!$L1236)+1,20),FIND("/",MID(Sync!$L1236,FIND("/",Sync!$L1236)+1,20))-1))),2)&amp;"/"&amp;RIGHT("00"&amp;VALUE(TRIM(MID(MID(Sync!$L1236,FIND("/",Sync!$L1236)+1,20),FIND("/",MID(Sync!$L1236,FIND("/",Sync!$L1236)+1,20))+1,20))),2),"")))</f>
        <v/>
      </c>
    </row>
    <row r="1237" spans="13:14" x14ac:dyDescent="0.2">
      <c r="M1237" t="str">
        <f>IF(Sync!$M1237&lt;&gt;"پاس چک","",IF(Sync!$P1237="","",Sync!$P1237))</f>
        <v/>
      </c>
      <c r="N1237" t="str">
        <f>IF($M1237="","",IF(ISNUMBER(Sync!$L1237),IF(AND(Sync!$L1237&gt;=10000101,Sync!$L1237&lt;=99991231),RIGHT("0000"&amp;INT(Sync!$L1237/10000),4)&amp;"/"&amp;RIGHT("00"&amp;INT(MOD(Sync!$L1237,10000)/100),2)&amp;"/"&amp;RIGHT("00"&amp;MOD(Sync!$L1237,100),2),""),IFERROR(RIGHT("0000"&amp;VALUE(TRIM(LEFT(Sync!$L1237,FIND("/",Sync!$L1237)-1))),4)&amp;"/"&amp;RIGHT("00"&amp;VALUE(TRIM(LEFT(MID(Sync!$L1237,FIND("/",Sync!$L1237)+1,20),FIND("/",MID(Sync!$L1237,FIND("/",Sync!$L1237)+1,20))-1))),2)&amp;"/"&amp;RIGHT("00"&amp;VALUE(TRIM(MID(MID(Sync!$L1237,FIND("/",Sync!$L1237)+1,20),FIND("/",MID(Sync!$L1237,FIND("/",Sync!$L1237)+1,20))+1,20))),2),"")))</f>
        <v/>
      </c>
    </row>
    <row r="1238" spans="13:14" x14ac:dyDescent="0.2">
      <c r="M1238" t="str">
        <f>IF(Sync!$M1238&lt;&gt;"پاس چک","",IF(Sync!$P1238="","",Sync!$P1238))</f>
        <v/>
      </c>
      <c r="N1238" t="str">
        <f>IF($M1238="","",IF(ISNUMBER(Sync!$L1238),IF(AND(Sync!$L1238&gt;=10000101,Sync!$L1238&lt;=99991231),RIGHT("0000"&amp;INT(Sync!$L1238/10000),4)&amp;"/"&amp;RIGHT("00"&amp;INT(MOD(Sync!$L1238,10000)/100),2)&amp;"/"&amp;RIGHT("00"&amp;MOD(Sync!$L1238,100),2),""),IFERROR(RIGHT("0000"&amp;VALUE(TRIM(LEFT(Sync!$L1238,FIND("/",Sync!$L1238)-1))),4)&amp;"/"&amp;RIGHT("00"&amp;VALUE(TRIM(LEFT(MID(Sync!$L1238,FIND("/",Sync!$L1238)+1,20),FIND("/",MID(Sync!$L1238,FIND("/",Sync!$L1238)+1,20))-1))),2)&amp;"/"&amp;RIGHT("00"&amp;VALUE(TRIM(MID(MID(Sync!$L1238,FIND("/",Sync!$L1238)+1,20),FIND("/",MID(Sync!$L1238,FIND("/",Sync!$L1238)+1,20))+1,20))),2),"")))</f>
        <v/>
      </c>
    </row>
    <row r="1239" spans="13:14" x14ac:dyDescent="0.2">
      <c r="M1239" t="str">
        <f>IF(Sync!$M1239&lt;&gt;"پاس چک","",IF(Sync!$P1239="","",Sync!$P1239))</f>
        <v/>
      </c>
      <c r="N1239" t="str">
        <f>IF($M1239="","",IF(ISNUMBER(Sync!$L1239),IF(AND(Sync!$L1239&gt;=10000101,Sync!$L1239&lt;=99991231),RIGHT("0000"&amp;INT(Sync!$L1239/10000),4)&amp;"/"&amp;RIGHT("00"&amp;INT(MOD(Sync!$L1239,10000)/100),2)&amp;"/"&amp;RIGHT("00"&amp;MOD(Sync!$L1239,100),2),""),IFERROR(RIGHT("0000"&amp;VALUE(TRIM(LEFT(Sync!$L1239,FIND("/",Sync!$L1239)-1))),4)&amp;"/"&amp;RIGHT("00"&amp;VALUE(TRIM(LEFT(MID(Sync!$L1239,FIND("/",Sync!$L1239)+1,20),FIND("/",MID(Sync!$L1239,FIND("/",Sync!$L1239)+1,20))-1))),2)&amp;"/"&amp;RIGHT("00"&amp;VALUE(TRIM(MID(MID(Sync!$L1239,FIND("/",Sync!$L1239)+1,20),FIND("/",MID(Sync!$L1239,FIND("/",Sync!$L1239)+1,20))+1,20))),2),"")))</f>
        <v/>
      </c>
    </row>
    <row r="1240" spans="13:14" x14ac:dyDescent="0.2">
      <c r="M1240" t="str">
        <f>IF(Sync!$M1240&lt;&gt;"پاس چک","",IF(Sync!$P1240="","",Sync!$P1240))</f>
        <v/>
      </c>
      <c r="N1240" t="str">
        <f>IF($M1240="","",IF(ISNUMBER(Sync!$L1240),IF(AND(Sync!$L1240&gt;=10000101,Sync!$L1240&lt;=99991231),RIGHT("0000"&amp;INT(Sync!$L1240/10000),4)&amp;"/"&amp;RIGHT("00"&amp;INT(MOD(Sync!$L1240,10000)/100),2)&amp;"/"&amp;RIGHT("00"&amp;MOD(Sync!$L1240,100),2),""),IFERROR(RIGHT("0000"&amp;VALUE(TRIM(LEFT(Sync!$L1240,FIND("/",Sync!$L1240)-1))),4)&amp;"/"&amp;RIGHT("00"&amp;VALUE(TRIM(LEFT(MID(Sync!$L1240,FIND("/",Sync!$L1240)+1,20),FIND("/",MID(Sync!$L1240,FIND("/",Sync!$L1240)+1,20))-1))),2)&amp;"/"&amp;RIGHT("00"&amp;VALUE(TRIM(MID(MID(Sync!$L1240,FIND("/",Sync!$L1240)+1,20),FIND("/",MID(Sync!$L1240,FIND("/",Sync!$L1240)+1,20))+1,20))),2),"")))</f>
        <v/>
      </c>
    </row>
    <row r="1241" spans="13:14" x14ac:dyDescent="0.2">
      <c r="M1241" t="str">
        <f>IF(Sync!$M1241&lt;&gt;"پاس چک","",IF(Sync!$P1241="","",Sync!$P1241))</f>
        <v/>
      </c>
      <c r="N1241" t="str">
        <f>IF($M1241="","",IF(ISNUMBER(Sync!$L1241),IF(AND(Sync!$L1241&gt;=10000101,Sync!$L1241&lt;=99991231),RIGHT("0000"&amp;INT(Sync!$L1241/10000),4)&amp;"/"&amp;RIGHT("00"&amp;INT(MOD(Sync!$L1241,10000)/100),2)&amp;"/"&amp;RIGHT("00"&amp;MOD(Sync!$L1241,100),2),""),IFERROR(RIGHT("0000"&amp;VALUE(TRIM(LEFT(Sync!$L1241,FIND("/",Sync!$L1241)-1))),4)&amp;"/"&amp;RIGHT("00"&amp;VALUE(TRIM(LEFT(MID(Sync!$L1241,FIND("/",Sync!$L1241)+1,20),FIND("/",MID(Sync!$L1241,FIND("/",Sync!$L1241)+1,20))-1))),2)&amp;"/"&amp;RIGHT("00"&amp;VALUE(TRIM(MID(MID(Sync!$L1241,FIND("/",Sync!$L1241)+1,20),FIND("/",MID(Sync!$L1241,FIND("/",Sync!$L1241)+1,20))+1,20))),2),"")))</f>
        <v/>
      </c>
    </row>
    <row r="1242" spans="13:14" x14ac:dyDescent="0.2">
      <c r="M1242" t="str">
        <f>IF(Sync!$M1242&lt;&gt;"پاس چک","",IF(Sync!$P1242="","",Sync!$P1242))</f>
        <v/>
      </c>
      <c r="N1242" t="str">
        <f>IF($M1242="","",IF(ISNUMBER(Sync!$L1242),IF(AND(Sync!$L1242&gt;=10000101,Sync!$L1242&lt;=99991231),RIGHT("0000"&amp;INT(Sync!$L1242/10000),4)&amp;"/"&amp;RIGHT("00"&amp;INT(MOD(Sync!$L1242,10000)/100),2)&amp;"/"&amp;RIGHT("00"&amp;MOD(Sync!$L1242,100),2),""),IFERROR(RIGHT("0000"&amp;VALUE(TRIM(LEFT(Sync!$L1242,FIND("/",Sync!$L1242)-1))),4)&amp;"/"&amp;RIGHT("00"&amp;VALUE(TRIM(LEFT(MID(Sync!$L1242,FIND("/",Sync!$L1242)+1,20),FIND("/",MID(Sync!$L1242,FIND("/",Sync!$L1242)+1,20))-1))),2)&amp;"/"&amp;RIGHT("00"&amp;VALUE(TRIM(MID(MID(Sync!$L1242,FIND("/",Sync!$L1242)+1,20),FIND("/",MID(Sync!$L1242,FIND("/",Sync!$L1242)+1,20))+1,20))),2),"")))</f>
        <v/>
      </c>
    </row>
    <row r="1243" spans="13:14" x14ac:dyDescent="0.2">
      <c r="M1243" t="str">
        <f>IF(Sync!$M1243&lt;&gt;"پاس چک","",IF(Sync!$P1243="","",Sync!$P1243))</f>
        <v/>
      </c>
      <c r="N1243" t="str">
        <f>IF($M1243="","",IF(ISNUMBER(Sync!$L1243),IF(AND(Sync!$L1243&gt;=10000101,Sync!$L1243&lt;=99991231),RIGHT("0000"&amp;INT(Sync!$L1243/10000),4)&amp;"/"&amp;RIGHT("00"&amp;INT(MOD(Sync!$L1243,10000)/100),2)&amp;"/"&amp;RIGHT("00"&amp;MOD(Sync!$L1243,100),2),""),IFERROR(RIGHT("0000"&amp;VALUE(TRIM(LEFT(Sync!$L1243,FIND("/",Sync!$L1243)-1))),4)&amp;"/"&amp;RIGHT("00"&amp;VALUE(TRIM(LEFT(MID(Sync!$L1243,FIND("/",Sync!$L1243)+1,20),FIND("/",MID(Sync!$L1243,FIND("/",Sync!$L1243)+1,20))-1))),2)&amp;"/"&amp;RIGHT("00"&amp;VALUE(TRIM(MID(MID(Sync!$L1243,FIND("/",Sync!$L1243)+1,20),FIND("/",MID(Sync!$L1243,FIND("/",Sync!$L1243)+1,20))+1,20))),2),"")))</f>
        <v/>
      </c>
    </row>
    <row r="1244" spans="13:14" x14ac:dyDescent="0.2">
      <c r="M1244" t="str">
        <f>IF(Sync!$M1244&lt;&gt;"پاس چک","",IF(Sync!$P1244="","",Sync!$P1244))</f>
        <v/>
      </c>
      <c r="N1244" t="str">
        <f>IF($M1244="","",IF(ISNUMBER(Sync!$L1244),IF(AND(Sync!$L1244&gt;=10000101,Sync!$L1244&lt;=99991231),RIGHT("0000"&amp;INT(Sync!$L1244/10000),4)&amp;"/"&amp;RIGHT("00"&amp;INT(MOD(Sync!$L1244,10000)/100),2)&amp;"/"&amp;RIGHT("00"&amp;MOD(Sync!$L1244,100),2),""),IFERROR(RIGHT("0000"&amp;VALUE(TRIM(LEFT(Sync!$L1244,FIND("/",Sync!$L1244)-1))),4)&amp;"/"&amp;RIGHT("00"&amp;VALUE(TRIM(LEFT(MID(Sync!$L1244,FIND("/",Sync!$L1244)+1,20),FIND("/",MID(Sync!$L1244,FIND("/",Sync!$L1244)+1,20))-1))),2)&amp;"/"&amp;RIGHT("00"&amp;VALUE(TRIM(MID(MID(Sync!$L1244,FIND("/",Sync!$L1244)+1,20),FIND("/",MID(Sync!$L1244,FIND("/",Sync!$L1244)+1,20))+1,20))),2),"")))</f>
        <v/>
      </c>
    </row>
    <row r="1245" spans="13:14" x14ac:dyDescent="0.2">
      <c r="M1245" t="str">
        <f>IF(Sync!$M1245&lt;&gt;"پاس چک","",IF(Sync!$P1245="","",Sync!$P1245))</f>
        <v/>
      </c>
      <c r="N1245" t="str">
        <f>IF($M1245="","",IF(ISNUMBER(Sync!$L1245),IF(AND(Sync!$L1245&gt;=10000101,Sync!$L1245&lt;=99991231),RIGHT("0000"&amp;INT(Sync!$L1245/10000),4)&amp;"/"&amp;RIGHT("00"&amp;INT(MOD(Sync!$L1245,10000)/100),2)&amp;"/"&amp;RIGHT("00"&amp;MOD(Sync!$L1245,100),2),""),IFERROR(RIGHT("0000"&amp;VALUE(TRIM(LEFT(Sync!$L1245,FIND("/",Sync!$L1245)-1))),4)&amp;"/"&amp;RIGHT("00"&amp;VALUE(TRIM(LEFT(MID(Sync!$L1245,FIND("/",Sync!$L1245)+1,20),FIND("/",MID(Sync!$L1245,FIND("/",Sync!$L1245)+1,20))-1))),2)&amp;"/"&amp;RIGHT("00"&amp;VALUE(TRIM(MID(MID(Sync!$L1245,FIND("/",Sync!$L1245)+1,20),FIND("/",MID(Sync!$L1245,FIND("/",Sync!$L1245)+1,20))+1,20))),2),"")))</f>
        <v/>
      </c>
    </row>
    <row r="1246" spans="13:14" x14ac:dyDescent="0.2">
      <c r="M1246" t="str">
        <f>IF(Sync!$M1246&lt;&gt;"پاس چک","",IF(Sync!$P1246="","",Sync!$P1246))</f>
        <v/>
      </c>
      <c r="N1246" t="str">
        <f>IF($M1246="","",IF(ISNUMBER(Sync!$L1246),IF(AND(Sync!$L1246&gt;=10000101,Sync!$L1246&lt;=99991231),RIGHT("0000"&amp;INT(Sync!$L1246/10000),4)&amp;"/"&amp;RIGHT("00"&amp;INT(MOD(Sync!$L1246,10000)/100),2)&amp;"/"&amp;RIGHT("00"&amp;MOD(Sync!$L1246,100),2),""),IFERROR(RIGHT("0000"&amp;VALUE(TRIM(LEFT(Sync!$L1246,FIND("/",Sync!$L1246)-1))),4)&amp;"/"&amp;RIGHT("00"&amp;VALUE(TRIM(LEFT(MID(Sync!$L1246,FIND("/",Sync!$L1246)+1,20),FIND("/",MID(Sync!$L1246,FIND("/",Sync!$L1246)+1,20))-1))),2)&amp;"/"&amp;RIGHT("00"&amp;VALUE(TRIM(MID(MID(Sync!$L1246,FIND("/",Sync!$L1246)+1,20),FIND("/",MID(Sync!$L1246,FIND("/",Sync!$L1246)+1,20))+1,20))),2),"")))</f>
        <v/>
      </c>
    </row>
    <row r="1247" spans="13:14" x14ac:dyDescent="0.2">
      <c r="M1247" t="str">
        <f>IF(Sync!$M1247&lt;&gt;"پاس چک","",IF(Sync!$P1247="","",Sync!$P1247))</f>
        <v/>
      </c>
      <c r="N1247" t="str">
        <f>IF($M1247="","",IF(ISNUMBER(Sync!$L1247),IF(AND(Sync!$L1247&gt;=10000101,Sync!$L1247&lt;=99991231),RIGHT("0000"&amp;INT(Sync!$L1247/10000),4)&amp;"/"&amp;RIGHT("00"&amp;INT(MOD(Sync!$L1247,10000)/100),2)&amp;"/"&amp;RIGHT("00"&amp;MOD(Sync!$L1247,100),2),""),IFERROR(RIGHT("0000"&amp;VALUE(TRIM(LEFT(Sync!$L1247,FIND("/",Sync!$L1247)-1))),4)&amp;"/"&amp;RIGHT("00"&amp;VALUE(TRIM(LEFT(MID(Sync!$L1247,FIND("/",Sync!$L1247)+1,20),FIND("/",MID(Sync!$L1247,FIND("/",Sync!$L1247)+1,20))-1))),2)&amp;"/"&amp;RIGHT("00"&amp;VALUE(TRIM(MID(MID(Sync!$L1247,FIND("/",Sync!$L1247)+1,20),FIND("/",MID(Sync!$L1247,FIND("/",Sync!$L1247)+1,20))+1,20))),2),"")))</f>
        <v/>
      </c>
    </row>
    <row r="1248" spans="13:14" x14ac:dyDescent="0.2">
      <c r="M1248" t="str">
        <f>IF(Sync!$M1248&lt;&gt;"پاس چک","",IF(Sync!$P1248="","",Sync!$P1248))</f>
        <v/>
      </c>
      <c r="N1248" t="str">
        <f>IF($M1248="","",IF(ISNUMBER(Sync!$L1248),IF(AND(Sync!$L1248&gt;=10000101,Sync!$L1248&lt;=99991231),RIGHT("0000"&amp;INT(Sync!$L1248/10000),4)&amp;"/"&amp;RIGHT("00"&amp;INT(MOD(Sync!$L1248,10000)/100),2)&amp;"/"&amp;RIGHT("00"&amp;MOD(Sync!$L1248,100),2),""),IFERROR(RIGHT("0000"&amp;VALUE(TRIM(LEFT(Sync!$L1248,FIND("/",Sync!$L1248)-1))),4)&amp;"/"&amp;RIGHT("00"&amp;VALUE(TRIM(LEFT(MID(Sync!$L1248,FIND("/",Sync!$L1248)+1,20),FIND("/",MID(Sync!$L1248,FIND("/",Sync!$L1248)+1,20))-1))),2)&amp;"/"&amp;RIGHT("00"&amp;VALUE(TRIM(MID(MID(Sync!$L1248,FIND("/",Sync!$L1248)+1,20),FIND("/",MID(Sync!$L1248,FIND("/",Sync!$L1248)+1,20))+1,20))),2),"")))</f>
        <v/>
      </c>
    </row>
    <row r="1249" spans="13:14" x14ac:dyDescent="0.2">
      <c r="M1249" t="str">
        <f>IF(Sync!$M1249&lt;&gt;"پاس چک","",IF(Sync!$P1249="","",Sync!$P1249))</f>
        <v/>
      </c>
      <c r="N1249" t="str">
        <f>IF($M1249="","",IF(ISNUMBER(Sync!$L1249),IF(AND(Sync!$L1249&gt;=10000101,Sync!$L1249&lt;=99991231),RIGHT("0000"&amp;INT(Sync!$L1249/10000),4)&amp;"/"&amp;RIGHT("00"&amp;INT(MOD(Sync!$L1249,10000)/100),2)&amp;"/"&amp;RIGHT("00"&amp;MOD(Sync!$L1249,100),2),""),IFERROR(RIGHT("0000"&amp;VALUE(TRIM(LEFT(Sync!$L1249,FIND("/",Sync!$L1249)-1))),4)&amp;"/"&amp;RIGHT("00"&amp;VALUE(TRIM(LEFT(MID(Sync!$L1249,FIND("/",Sync!$L1249)+1,20),FIND("/",MID(Sync!$L1249,FIND("/",Sync!$L1249)+1,20))-1))),2)&amp;"/"&amp;RIGHT("00"&amp;VALUE(TRIM(MID(MID(Sync!$L1249,FIND("/",Sync!$L1249)+1,20),FIND("/",MID(Sync!$L1249,FIND("/",Sync!$L1249)+1,20))+1,20))),2),"")))</f>
        <v/>
      </c>
    </row>
    <row r="1250" spans="13:14" x14ac:dyDescent="0.2">
      <c r="M1250" t="str">
        <f>IF(Sync!$M1250&lt;&gt;"پاس چک","",IF(Sync!$P1250="","",Sync!$P1250))</f>
        <v/>
      </c>
      <c r="N1250" t="str">
        <f>IF($M1250="","",IF(ISNUMBER(Sync!$L1250),IF(AND(Sync!$L1250&gt;=10000101,Sync!$L1250&lt;=99991231),RIGHT("0000"&amp;INT(Sync!$L1250/10000),4)&amp;"/"&amp;RIGHT("00"&amp;INT(MOD(Sync!$L1250,10000)/100),2)&amp;"/"&amp;RIGHT("00"&amp;MOD(Sync!$L1250,100),2),""),IFERROR(RIGHT("0000"&amp;VALUE(TRIM(LEFT(Sync!$L1250,FIND("/",Sync!$L1250)-1))),4)&amp;"/"&amp;RIGHT("00"&amp;VALUE(TRIM(LEFT(MID(Sync!$L1250,FIND("/",Sync!$L1250)+1,20),FIND("/",MID(Sync!$L1250,FIND("/",Sync!$L1250)+1,20))-1))),2)&amp;"/"&amp;RIGHT("00"&amp;VALUE(TRIM(MID(MID(Sync!$L1250,FIND("/",Sync!$L1250)+1,20),FIND("/",MID(Sync!$L1250,FIND("/",Sync!$L1250)+1,20))+1,20))),2),"")))</f>
        <v/>
      </c>
    </row>
    <row r="1251" spans="13:14" x14ac:dyDescent="0.2">
      <c r="M1251" t="str">
        <f>IF(Sync!$M1251&lt;&gt;"پاس چک","",IF(Sync!$P1251="","",Sync!$P1251))</f>
        <v/>
      </c>
      <c r="N1251" t="str">
        <f>IF($M1251="","",IF(ISNUMBER(Sync!$L1251),IF(AND(Sync!$L1251&gt;=10000101,Sync!$L1251&lt;=99991231),RIGHT("0000"&amp;INT(Sync!$L1251/10000),4)&amp;"/"&amp;RIGHT("00"&amp;INT(MOD(Sync!$L1251,10000)/100),2)&amp;"/"&amp;RIGHT("00"&amp;MOD(Sync!$L1251,100),2),""),IFERROR(RIGHT("0000"&amp;VALUE(TRIM(LEFT(Sync!$L1251,FIND("/",Sync!$L1251)-1))),4)&amp;"/"&amp;RIGHT("00"&amp;VALUE(TRIM(LEFT(MID(Sync!$L1251,FIND("/",Sync!$L1251)+1,20),FIND("/",MID(Sync!$L1251,FIND("/",Sync!$L1251)+1,20))-1))),2)&amp;"/"&amp;RIGHT("00"&amp;VALUE(TRIM(MID(MID(Sync!$L1251,FIND("/",Sync!$L1251)+1,20),FIND("/",MID(Sync!$L1251,FIND("/",Sync!$L1251)+1,20))+1,20))),2),"")))</f>
        <v/>
      </c>
    </row>
    <row r="1252" spans="13:14" x14ac:dyDescent="0.2">
      <c r="M1252" t="str">
        <f>IF(Sync!$M1252&lt;&gt;"پاس چک","",IF(Sync!$P1252="","",Sync!$P1252))</f>
        <v/>
      </c>
      <c r="N1252" t="str">
        <f>IF($M1252="","",IF(ISNUMBER(Sync!$L1252),IF(AND(Sync!$L1252&gt;=10000101,Sync!$L1252&lt;=99991231),RIGHT("0000"&amp;INT(Sync!$L1252/10000),4)&amp;"/"&amp;RIGHT("00"&amp;INT(MOD(Sync!$L1252,10000)/100),2)&amp;"/"&amp;RIGHT("00"&amp;MOD(Sync!$L1252,100),2),""),IFERROR(RIGHT("0000"&amp;VALUE(TRIM(LEFT(Sync!$L1252,FIND("/",Sync!$L1252)-1))),4)&amp;"/"&amp;RIGHT("00"&amp;VALUE(TRIM(LEFT(MID(Sync!$L1252,FIND("/",Sync!$L1252)+1,20),FIND("/",MID(Sync!$L1252,FIND("/",Sync!$L1252)+1,20))-1))),2)&amp;"/"&amp;RIGHT("00"&amp;VALUE(TRIM(MID(MID(Sync!$L1252,FIND("/",Sync!$L1252)+1,20),FIND("/",MID(Sync!$L1252,FIND("/",Sync!$L1252)+1,20))+1,20))),2),"")))</f>
        <v/>
      </c>
    </row>
    <row r="1253" spans="13:14" x14ac:dyDescent="0.2">
      <c r="M1253" t="str">
        <f>IF(Sync!$M1253&lt;&gt;"پاس چک","",IF(Sync!$P1253="","",Sync!$P1253))</f>
        <v/>
      </c>
      <c r="N1253" t="str">
        <f>IF($M1253="","",IF(ISNUMBER(Sync!$L1253),IF(AND(Sync!$L1253&gt;=10000101,Sync!$L1253&lt;=99991231),RIGHT("0000"&amp;INT(Sync!$L1253/10000),4)&amp;"/"&amp;RIGHT("00"&amp;INT(MOD(Sync!$L1253,10000)/100),2)&amp;"/"&amp;RIGHT("00"&amp;MOD(Sync!$L1253,100),2),""),IFERROR(RIGHT("0000"&amp;VALUE(TRIM(LEFT(Sync!$L1253,FIND("/",Sync!$L1253)-1))),4)&amp;"/"&amp;RIGHT("00"&amp;VALUE(TRIM(LEFT(MID(Sync!$L1253,FIND("/",Sync!$L1253)+1,20),FIND("/",MID(Sync!$L1253,FIND("/",Sync!$L1253)+1,20))-1))),2)&amp;"/"&amp;RIGHT("00"&amp;VALUE(TRIM(MID(MID(Sync!$L1253,FIND("/",Sync!$L1253)+1,20),FIND("/",MID(Sync!$L1253,FIND("/",Sync!$L1253)+1,20))+1,20))),2),"")))</f>
        <v/>
      </c>
    </row>
    <row r="1254" spans="13:14" x14ac:dyDescent="0.2">
      <c r="M1254" t="str">
        <f>IF(Sync!$M1254&lt;&gt;"پاس چک","",IF(Sync!$P1254="","",Sync!$P1254))</f>
        <v/>
      </c>
      <c r="N1254" t="str">
        <f>IF($M1254="","",IF(ISNUMBER(Sync!$L1254),IF(AND(Sync!$L1254&gt;=10000101,Sync!$L1254&lt;=99991231),RIGHT("0000"&amp;INT(Sync!$L1254/10000),4)&amp;"/"&amp;RIGHT("00"&amp;INT(MOD(Sync!$L1254,10000)/100),2)&amp;"/"&amp;RIGHT("00"&amp;MOD(Sync!$L1254,100),2),""),IFERROR(RIGHT("0000"&amp;VALUE(TRIM(LEFT(Sync!$L1254,FIND("/",Sync!$L1254)-1))),4)&amp;"/"&amp;RIGHT("00"&amp;VALUE(TRIM(LEFT(MID(Sync!$L1254,FIND("/",Sync!$L1254)+1,20),FIND("/",MID(Sync!$L1254,FIND("/",Sync!$L1254)+1,20))-1))),2)&amp;"/"&amp;RIGHT("00"&amp;VALUE(TRIM(MID(MID(Sync!$L1254,FIND("/",Sync!$L1254)+1,20),FIND("/",MID(Sync!$L1254,FIND("/",Sync!$L1254)+1,20))+1,20))),2),"")))</f>
        <v/>
      </c>
    </row>
    <row r="1255" spans="13:14" x14ac:dyDescent="0.2">
      <c r="M1255" t="str">
        <f>IF(Sync!$M1255&lt;&gt;"پاس چک","",IF(Sync!$P1255="","",Sync!$P1255))</f>
        <v/>
      </c>
      <c r="N1255" t="str">
        <f>IF($M1255="","",IF(ISNUMBER(Sync!$L1255),IF(AND(Sync!$L1255&gt;=10000101,Sync!$L1255&lt;=99991231),RIGHT("0000"&amp;INT(Sync!$L1255/10000),4)&amp;"/"&amp;RIGHT("00"&amp;INT(MOD(Sync!$L1255,10000)/100),2)&amp;"/"&amp;RIGHT("00"&amp;MOD(Sync!$L1255,100),2),""),IFERROR(RIGHT("0000"&amp;VALUE(TRIM(LEFT(Sync!$L1255,FIND("/",Sync!$L1255)-1))),4)&amp;"/"&amp;RIGHT("00"&amp;VALUE(TRIM(LEFT(MID(Sync!$L1255,FIND("/",Sync!$L1255)+1,20),FIND("/",MID(Sync!$L1255,FIND("/",Sync!$L1255)+1,20))-1))),2)&amp;"/"&amp;RIGHT("00"&amp;VALUE(TRIM(MID(MID(Sync!$L1255,FIND("/",Sync!$L1255)+1,20),FIND("/",MID(Sync!$L1255,FIND("/",Sync!$L1255)+1,20))+1,20))),2),"")))</f>
        <v/>
      </c>
    </row>
    <row r="1256" spans="13:14" x14ac:dyDescent="0.2">
      <c r="M1256" t="str">
        <f>IF(Sync!$M1256&lt;&gt;"پاس چک","",IF(Sync!$P1256="","",Sync!$P1256))</f>
        <v/>
      </c>
      <c r="N1256" t="str">
        <f>IF($M1256="","",IF(ISNUMBER(Sync!$L1256),IF(AND(Sync!$L1256&gt;=10000101,Sync!$L1256&lt;=99991231),RIGHT("0000"&amp;INT(Sync!$L1256/10000),4)&amp;"/"&amp;RIGHT("00"&amp;INT(MOD(Sync!$L1256,10000)/100),2)&amp;"/"&amp;RIGHT("00"&amp;MOD(Sync!$L1256,100),2),""),IFERROR(RIGHT("0000"&amp;VALUE(TRIM(LEFT(Sync!$L1256,FIND("/",Sync!$L1256)-1))),4)&amp;"/"&amp;RIGHT("00"&amp;VALUE(TRIM(LEFT(MID(Sync!$L1256,FIND("/",Sync!$L1256)+1,20),FIND("/",MID(Sync!$L1256,FIND("/",Sync!$L1256)+1,20))-1))),2)&amp;"/"&amp;RIGHT("00"&amp;VALUE(TRIM(MID(MID(Sync!$L1256,FIND("/",Sync!$L1256)+1,20),FIND("/",MID(Sync!$L1256,FIND("/",Sync!$L1256)+1,20))+1,20))),2),"")))</f>
        <v/>
      </c>
    </row>
    <row r="1257" spans="13:14" x14ac:dyDescent="0.2">
      <c r="M1257" t="str">
        <f>IF(Sync!$M1257&lt;&gt;"پاس چک","",IF(Sync!$P1257="","",Sync!$P1257))</f>
        <v/>
      </c>
      <c r="N1257" t="str">
        <f>IF($M1257="","",IF(ISNUMBER(Sync!$L1257),IF(AND(Sync!$L1257&gt;=10000101,Sync!$L1257&lt;=99991231),RIGHT("0000"&amp;INT(Sync!$L1257/10000),4)&amp;"/"&amp;RIGHT("00"&amp;INT(MOD(Sync!$L1257,10000)/100),2)&amp;"/"&amp;RIGHT("00"&amp;MOD(Sync!$L1257,100),2),""),IFERROR(RIGHT("0000"&amp;VALUE(TRIM(LEFT(Sync!$L1257,FIND("/",Sync!$L1257)-1))),4)&amp;"/"&amp;RIGHT("00"&amp;VALUE(TRIM(LEFT(MID(Sync!$L1257,FIND("/",Sync!$L1257)+1,20),FIND("/",MID(Sync!$L1257,FIND("/",Sync!$L1257)+1,20))-1))),2)&amp;"/"&amp;RIGHT("00"&amp;VALUE(TRIM(MID(MID(Sync!$L1257,FIND("/",Sync!$L1257)+1,20),FIND("/",MID(Sync!$L1257,FIND("/",Sync!$L1257)+1,20))+1,20))),2),"")))</f>
        <v/>
      </c>
    </row>
    <row r="1258" spans="13:14" x14ac:dyDescent="0.2">
      <c r="M1258" t="str">
        <f>IF(Sync!$M1258&lt;&gt;"پاس چک","",IF(Sync!$P1258="","",Sync!$P1258))</f>
        <v/>
      </c>
      <c r="N1258" t="str">
        <f>IF($M1258="","",IF(ISNUMBER(Sync!$L1258),IF(AND(Sync!$L1258&gt;=10000101,Sync!$L1258&lt;=99991231),RIGHT("0000"&amp;INT(Sync!$L1258/10000),4)&amp;"/"&amp;RIGHT("00"&amp;INT(MOD(Sync!$L1258,10000)/100),2)&amp;"/"&amp;RIGHT("00"&amp;MOD(Sync!$L1258,100),2),""),IFERROR(RIGHT("0000"&amp;VALUE(TRIM(LEFT(Sync!$L1258,FIND("/",Sync!$L1258)-1))),4)&amp;"/"&amp;RIGHT("00"&amp;VALUE(TRIM(LEFT(MID(Sync!$L1258,FIND("/",Sync!$L1258)+1,20),FIND("/",MID(Sync!$L1258,FIND("/",Sync!$L1258)+1,20))-1))),2)&amp;"/"&amp;RIGHT("00"&amp;VALUE(TRIM(MID(MID(Sync!$L1258,FIND("/",Sync!$L1258)+1,20),FIND("/",MID(Sync!$L1258,FIND("/",Sync!$L1258)+1,20))+1,20))),2),"")))</f>
        <v/>
      </c>
    </row>
    <row r="1259" spans="13:14" x14ac:dyDescent="0.2">
      <c r="M1259" t="str">
        <f>IF(Sync!$M1259&lt;&gt;"پاس چک","",IF(Sync!$P1259="","",Sync!$P1259))</f>
        <v/>
      </c>
      <c r="N1259" t="str">
        <f>IF($M1259="","",IF(ISNUMBER(Sync!$L1259),IF(AND(Sync!$L1259&gt;=10000101,Sync!$L1259&lt;=99991231),RIGHT("0000"&amp;INT(Sync!$L1259/10000),4)&amp;"/"&amp;RIGHT("00"&amp;INT(MOD(Sync!$L1259,10000)/100),2)&amp;"/"&amp;RIGHT("00"&amp;MOD(Sync!$L1259,100),2),""),IFERROR(RIGHT("0000"&amp;VALUE(TRIM(LEFT(Sync!$L1259,FIND("/",Sync!$L1259)-1))),4)&amp;"/"&amp;RIGHT("00"&amp;VALUE(TRIM(LEFT(MID(Sync!$L1259,FIND("/",Sync!$L1259)+1,20),FIND("/",MID(Sync!$L1259,FIND("/",Sync!$L1259)+1,20))-1))),2)&amp;"/"&amp;RIGHT("00"&amp;VALUE(TRIM(MID(MID(Sync!$L1259,FIND("/",Sync!$L1259)+1,20),FIND("/",MID(Sync!$L1259,FIND("/",Sync!$L1259)+1,20))+1,20))),2),"")))</f>
        <v/>
      </c>
    </row>
    <row r="1260" spans="13:14" x14ac:dyDescent="0.2">
      <c r="M1260" t="str">
        <f>IF(Sync!$M1260&lt;&gt;"پاس چک","",IF(Sync!$P1260="","",Sync!$P1260))</f>
        <v/>
      </c>
      <c r="N1260" t="str">
        <f>IF($M1260="","",IF(ISNUMBER(Sync!$L1260),IF(AND(Sync!$L1260&gt;=10000101,Sync!$L1260&lt;=99991231),RIGHT("0000"&amp;INT(Sync!$L1260/10000),4)&amp;"/"&amp;RIGHT("00"&amp;INT(MOD(Sync!$L1260,10000)/100),2)&amp;"/"&amp;RIGHT("00"&amp;MOD(Sync!$L1260,100),2),""),IFERROR(RIGHT("0000"&amp;VALUE(TRIM(LEFT(Sync!$L1260,FIND("/",Sync!$L1260)-1))),4)&amp;"/"&amp;RIGHT("00"&amp;VALUE(TRIM(LEFT(MID(Sync!$L1260,FIND("/",Sync!$L1260)+1,20),FIND("/",MID(Sync!$L1260,FIND("/",Sync!$L1260)+1,20))-1))),2)&amp;"/"&amp;RIGHT("00"&amp;VALUE(TRIM(MID(MID(Sync!$L1260,FIND("/",Sync!$L1260)+1,20),FIND("/",MID(Sync!$L1260,FIND("/",Sync!$L1260)+1,20))+1,20))),2),"")))</f>
        <v/>
      </c>
    </row>
    <row r="1261" spans="13:14" x14ac:dyDescent="0.2">
      <c r="M1261" t="str">
        <f>IF(Sync!$M1261&lt;&gt;"پاس چک","",IF(Sync!$P1261="","",Sync!$P1261))</f>
        <v/>
      </c>
      <c r="N1261" t="str">
        <f>IF($M1261="","",IF(ISNUMBER(Sync!$L1261),IF(AND(Sync!$L1261&gt;=10000101,Sync!$L1261&lt;=99991231),RIGHT("0000"&amp;INT(Sync!$L1261/10000),4)&amp;"/"&amp;RIGHT("00"&amp;INT(MOD(Sync!$L1261,10000)/100),2)&amp;"/"&amp;RIGHT("00"&amp;MOD(Sync!$L1261,100),2),""),IFERROR(RIGHT("0000"&amp;VALUE(TRIM(LEFT(Sync!$L1261,FIND("/",Sync!$L1261)-1))),4)&amp;"/"&amp;RIGHT("00"&amp;VALUE(TRIM(LEFT(MID(Sync!$L1261,FIND("/",Sync!$L1261)+1,20),FIND("/",MID(Sync!$L1261,FIND("/",Sync!$L1261)+1,20))-1))),2)&amp;"/"&amp;RIGHT("00"&amp;VALUE(TRIM(MID(MID(Sync!$L1261,FIND("/",Sync!$L1261)+1,20),FIND("/",MID(Sync!$L1261,FIND("/",Sync!$L1261)+1,20))+1,20))),2),"")))</f>
        <v/>
      </c>
    </row>
    <row r="1262" spans="13:14" x14ac:dyDescent="0.2">
      <c r="M1262" t="str">
        <f>IF(Sync!$M1262&lt;&gt;"پاس چک","",IF(Sync!$P1262="","",Sync!$P1262))</f>
        <v/>
      </c>
      <c r="N1262" t="str">
        <f>IF($M1262="","",IF(ISNUMBER(Sync!$L1262),IF(AND(Sync!$L1262&gt;=10000101,Sync!$L1262&lt;=99991231),RIGHT("0000"&amp;INT(Sync!$L1262/10000),4)&amp;"/"&amp;RIGHT("00"&amp;INT(MOD(Sync!$L1262,10000)/100),2)&amp;"/"&amp;RIGHT("00"&amp;MOD(Sync!$L1262,100),2),""),IFERROR(RIGHT("0000"&amp;VALUE(TRIM(LEFT(Sync!$L1262,FIND("/",Sync!$L1262)-1))),4)&amp;"/"&amp;RIGHT("00"&amp;VALUE(TRIM(LEFT(MID(Sync!$L1262,FIND("/",Sync!$L1262)+1,20),FIND("/",MID(Sync!$L1262,FIND("/",Sync!$L1262)+1,20))-1))),2)&amp;"/"&amp;RIGHT("00"&amp;VALUE(TRIM(MID(MID(Sync!$L1262,FIND("/",Sync!$L1262)+1,20),FIND("/",MID(Sync!$L1262,FIND("/",Sync!$L1262)+1,20))+1,20))),2),"")))</f>
        <v/>
      </c>
    </row>
    <row r="1263" spans="13:14" x14ac:dyDescent="0.2">
      <c r="M1263" t="str">
        <f>IF(Sync!$M1263&lt;&gt;"پاس چک","",IF(Sync!$P1263="","",Sync!$P1263))</f>
        <v/>
      </c>
      <c r="N1263" t="str">
        <f>IF($M1263="","",IF(ISNUMBER(Sync!$L1263),IF(AND(Sync!$L1263&gt;=10000101,Sync!$L1263&lt;=99991231),RIGHT("0000"&amp;INT(Sync!$L1263/10000),4)&amp;"/"&amp;RIGHT("00"&amp;INT(MOD(Sync!$L1263,10000)/100),2)&amp;"/"&amp;RIGHT("00"&amp;MOD(Sync!$L1263,100),2),""),IFERROR(RIGHT("0000"&amp;VALUE(TRIM(LEFT(Sync!$L1263,FIND("/",Sync!$L1263)-1))),4)&amp;"/"&amp;RIGHT("00"&amp;VALUE(TRIM(LEFT(MID(Sync!$L1263,FIND("/",Sync!$L1263)+1,20),FIND("/",MID(Sync!$L1263,FIND("/",Sync!$L1263)+1,20))-1))),2)&amp;"/"&amp;RIGHT("00"&amp;VALUE(TRIM(MID(MID(Sync!$L1263,FIND("/",Sync!$L1263)+1,20),FIND("/",MID(Sync!$L1263,FIND("/",Sync!$L1263)+1,20))+1,20))),2),"")))</f>
        <v/>
      </c>
    </row>
    <row r="1264" spans="13:14" x14ac:dyDescent="0.2">
      <c r="M1264" t="str">
        <f>IF(Sync!$M1264&lt;&gt;"پاس چک","",IF(Sync!$P1264="","",Sync!$P1264))</f>
        <v/>
      </c>
      <c r="N1264" t="str">
        <f>IF($M1264="","",IF(ISNUMBER(Sync!$L1264),IF(AND(Sync!$L1264&gt;=10000101,Sync!$L1264&lt;=99991231),RIGHT("0000"&amp;INT(Sync!$L1264/10000),4)&amp;"/"&amp;RIGHT("00"&amp;INT(MOD(Sync!$L1264,10000)/100),2)&amp;"/"&amp;RIGHT("00"&amp;MOD(Sync!$L1264,100),2),""),IFERROR(RIGHT("0000"&amp;VALUE(TRIM(LEFT(Sync!$L1264,FIND("/",Sync!$L1264)-1))),4)&amp;"/"&amp;RIGHT("00"&amp;VALUE(TRIM(LEFT(MID(Sync!$L1264,FIND("/",Sync!$L1264)+1,20),FIND("/",MID(Sync!$L1264,FIND("/",Sync!$L1264)+1,20))-1))),2)&amp;"/"&amp;RIGHT("00"&amp;VALUE(TRIM(MID(MID(Sync!$L1264,FIND("/",Sync!$L1264)+1,20),FIND("/",MID(Sync!$L1264,FIND("/",Sync!$L1264)+1,20))+1,20))),2),"")))</f>
        <v/>
      </c>
    </row>
    <row r="1265" spans="13:14" x14ac:dyDescent="0.2">
      <c r="M1265" t="str">
        <f>IF(Sync!$M1265&lt;&gt;"پاس چک","",IF(Sync!$P1265="","",Sync!$P1265))</f>
        <v/>
      </c>
      <c r="N1265" t="str">
        <f>IF($M1265="","",IF(ISNUMBER(Sync!$L1265),IF(AND(Sync!$L1265&gt;=10000101,Sync!$L1265&lt;=99991231),RIGHT("0000"&amp;INT(Sync!$L1265/10000),4)&amp;"/"&amp;RIGHT("00"&amp;INT(MOD(Sync!$L1265,10000)/100),2)&amp;"/"&amp;RIGHT("00"&amp;MOD(Sync!$L1265,100),2),""),IFERROR(RIGHT("0000"&amp;VALUE(TRIM(LEFT(Sync!$L1265,FIND("/",Sync!$L1265)-1))),4)&amp;"/"&amp;RIGHT("00"&amp;VALUE(TRIM(LEFT(MID(Sync!$L1265,FIND("/",Sync!$L1265)+1,20),FIND("/",MID(Sync!$L1265,FIND("/",Sync!$L1265)+1,20))-1))),2)&amp;"/"&amp;RIGHT("00"&amp;VALUE(TRIM(MID(MID(Sync!$L1265,FIND("/",Sync!$L1265)+1,20),FIND("/",MID(Sync!$L1265,FIND("/",Sync!$L1265)+1,20))+1,20))),2),"")))</f>
        <v/>
      </c>
    </row>
    <row r="1266" spans="13:14" x14ac:dyDescent="0.2">
      <c r="M1266" t="str">
        <f>IF(Sync!$M1266&lt;&gt;"پاس چک","",IF(Sync!$P1266="","",Sync!$P1266))</f>
        <v/>
      </c>
      <c r="N1266" t="str">
        <f>IF($M1266="","",IF(ISNUMBER(Sync!$L1266),IF(AND(Sync!$L1266&gt;=10000101,Sync!$L1266&lt;=99991231),RIGHT("0000"&amp;INT(Sync!$L1266/10000),4)&amp;"/"&amp;RIGHT("00"&amp;INT(MOD(Sync!$L1266,10000)/100),2)&amp;"/"&amp;RIGHT("00"&amp;MOD(Sync!$L1266,100),2),""),IFERROR(RIGHT("0000"&amp;VALUE(TRIM(LEFT(Sync!$L1266,FIND("/",Sync!$L1266)-1))),4)&amp;"/"&amp;RIGHT("00"&amp;VALUE(TRIM(LEFT(MID(Sync!$L1266,FIND("/",Sync!$L1266)+1,20),FIND("/",MID(Sync!$L1266,FIND("/",Sync!$L1266)+1,20))-1))),2)&amp;"/"&amp;RIGHT("00"&amp;VALUE(TRIM(MID(MID(Sync!$L1266,FIND("/",Sync!$L1266)+1,20),FIND("/",MID(Sync!$L1266,FIND("/",Sync!$L1266)+1,20))+1,20))),2),"")))</f>
        <v/>
      </c>
    </row>
    <row r="1267" spans="13:14" x14ac:dyDescent="0.2">
      <c r="M1267" t="str">
        <f>IF(Sync!$M1267&lt;&gt;"پاس چک","",IF(Sync!$P1267="","",Sync!$P1267))</f>
        <v/>
      </c>
      <c r="N1267" t="str">
        <f>IF($M1267="","",IF(ISNUMBER(Sync!$L1267),IF(AND(Sync!$L1267&gt;=10000101,Sync!$L1267&lt;=99991231),RIGHT("0000"&amp;INT(Sync!$L1267/10000),4)&amp;"/"&amp;RIGHT("00"&amp;INT(MOD(Sync!$L1267,10000)/100),2)&amp;"/"&amp;RIGHT("00"&amp;MOD(Sync!$L1267,100),2),""),IFERROR(RIGHT("0000"&amp;VALUE(TRIM(LEFT(Sync!$L1267,FIND("/",Sync!$L1267)-1))),4)&amp;"/"&amp;RIGHT("00"&amp;VALUE(TRIM(LEFT(MID(Sync!$L1267,FIND("/",Sync!$L1267)+1,20),FIND("/",MID(Sync!$L1267,FIND("/",Sync!$L1267)+1,20))-1))),2)&amp;"/"&amp;RIGHT("00"&amp;VALUE(TRIM(MID(MID(Sync!$L1267,FIND("/",Sync!$L1267)+1,20),FIND("/",MID(Sync!$L1267,FIND("/",Sync!$L1267)+1,20))+1,20))),2),"")))</f>
        <v/>
      </c>
    </row>
    <row r="1268" spans="13:14" x14ac:dyDescent="0.2">
      <c r="M1268" t="str">
        <f>IF(Sync!$M1268&lt;&gt;"پاس چک","",IF(Sync!$P1268="","",Sync!$P1268))</f>
        <v/>
      </c>
      <c r="N1268" t="str">
        <f>IF($M1268="","",IF(ISNUMBER(Sync!$L1268),IF(AND(Sync!$L1268&gt;=10000101,Sync!$L1268&lt;=99991231),RIGHT("0000"&amp;INT(Sync!$L1268/10000),4)&amp;"/"&amp;RIGHT("00"&amp;INT(MOD(Sync!$L1268,10000)/100),2)&amp;"/"&amp;RIGHT("00"&amp;MOD(Sync!$L1268,100),2),""),IFERROR(RIGHT("0000"&amp;VALUE(TRIM(LEFT(Sync!$L1268,FIND("/",Sync!$L1268)-1))),4)&amp;"/"&amp;RIGHT("00"&amp;VALUE(TRIM(LEFT(MID(Sync!$L1268,FIND("/",Sync!$L1268)+1,20),FIND("/",MID(Sync!$L1268,FIND("/",Sync!$L1268)+1,20))-1))),2)&amp;"/"&amp;RIGHT("00"&amp;VALUE(TRIM(MID(MID(Sync!$L1268,FIND("/",Sync!$L1268)+1,20),FIND("/",MID(Sync!$L1268,FIND("/",Sync!$L1268)+1,20))+1,20))),2),"")))</f>
        <v/>
      </c>
    </row>
    <row r="1269" spans="13:14" x14ac:dyDescent="0.2">
      <c r="M1269" t="str">
        <f>IF(Sync!$M1269&lt;&gt;"پاس چک","",IF(Sync!$P1269="","",Sync!$P1269))</f>
        <v/>
      </c>
      <c r="N1269" t="str">
        <f>IF($M1269="","",IF(ISNUMBER(Sync!$L1269),IF(AND(Sync!$L1269&gt;=10000101,Sync!$L1269&lt;=99991231),RIGHT("0000"&amp;INT(Sync!$L1269/10000),4)&amp;"/"&amp;RIGHT("00"&amp;INT(MOD(Sync!$L1269,10000)/100),2)&amp;"/"&amp;RIGHT("00"&amp;MOD(Sync!$L1269,100),2),""),IFERROR(RIGHT("0000"&amp;VALUE(TRIM(LEFT(Sync!$L1269,FIND("/",Sync!$L1269)-1))),4)&amp;"/"&amp;RIGHT("00"&amp;VALUE(TRIM(LEFT(MID(Sync!$L1269,FIND("/",Sync!$L1269)+1,20),FIND("/",MID(Sync!$L1269,FIND("/",Sync!$L1269)+1,20))-1))),2)&amp;"/"&amp;RIGHT("00"&amp;VALUE(TRIM(MID(MID(Sync!$L1269,FIND("/",Sync!$L1269)+1,20),FIND("/",MID(Sync!$L1269,FIND("/",Sync!$L1269)+1,20))+1,20))),2),"")))</f>
        <v/>
      </c>
    </row>
    <row r="1270" spans="13:14" x14ac:dyDescent="0.2">
      <c r="M1270" t="str">
        <f>IF(Sync!$M1270&lt;&gt;"پاس چک","",IF(Sync!$P1270="","",Sync!$P1270))</f>
        <v/>
      </c>
      <c r="N1270" t="str">
        <f>IF($M1270="","",IF(ISNUMBER(Sync!$L1270),IF(AND(Sync!$L1270&gt;=10000101,Sync!$L1270&lt;=99991231),RIGHT("0000"&amp;INT(Sync!$L1270/10000),4)&amp;"/"&amp;RIGHT("00"&amp;INT(MOD(Sync!$L1270,10000)/100),2)&amp;"/"&amp;RIGHT("00"&amp;MOD(Sync!$L1270,100),2),""),IFERROR(RIGHT("0000"&amp;VALUE(TRIM(LEFT(Sync!$L1270,FIND("/",Sync!$L1270)-1))),4)&amp;"/"&amp;RIGHT("00"&amp;VALUE(TRIM(LEFT(MID(Sync!$L1270,FIND("/",Sync!$L1270)+1,20),FIND("/",MID(Sync!$L1270,FIND("/",Sync!$L1270)+1,20))-1))),2)&amp;"/"&amp;RIGHT("00"&amp;VALUE(TRIM(MID(MID(Sync!$L1270,FIND("/",Sync!$L1270)+1,20),FIND("/",MID(Sync!$L1270,FIND("/",Sync!$L1270)+1,20))+1,20))),2),"")))</f>
        <v/>
      </c>
    </row>
    <row r="1271" spans="13:14" x14ac:dyDescent="0.2">
      <c r="M1271" t="str">
        <f>IF(Sync!$M1271&lt;&gt;"پاس چک","",IF(Sync!$P1271="","",Sync!$P1271))</f>
        <v/>
      </c>
      <c r="N1271" t="str">
        <f>IF($M1271="","",IF(ISNUMBER(Sync!$L1271),IF(AND(Sync!$L1271&gt;=10000101,Sync!$L1271&lt;=99991231),RIGHT("0000"&amp;INT(Sync!$L1271/10000),4)&amp;"/"&amp;RIGHT("00"&amp;INT(MOD(Sync!$L1271,10000)/100),2)&amp;"/"&amp;RIGHT("00"&amp;MOD(Sync!$L1271,100),2),""),IFERROR(RIGHT("0000"&amp;VALUE(TRIM(LEFT(Sync!$L1271,FIND("/",Sync!$L1271)-1))),4)&amp;"/"&amp;RIGHT("00"&amp;VALUE(TRIM(LEFT(MID(Sync!$L1271,FIND("/",Sync!$L1271)+1,20),FIND("/",MID(Sync!$L1271,FIND("/",Sync!$L1271)+1,20))-1))),2)&amp;"/"&amp;RIGHT("00"&amp;VALUE(TRIM(MID(MID(Sync!$L1271,FIND("/",Sync!$L1271)+1,20),FIND("/",MID(Sync!$L1271,FIND("/",Sync!$L1271)+1,20))+1,20))),2),"")))</f>
        <v/>
      </c>
    </row>
    <row r="1272" spans="13:14" x14ac:dyDescent="0.2">
      <c r="M1272" t="str">
        <f>IF(Sync!$M1272&lt;&gt;"پاس چک","",IF(Sync!$P1272="","",Sync!$P1272))</f>
        <v/>
      </c>
      <c r="N1272" t="str">
        <f>IF($M1272="","",IF(ISNUMBER(Sync!$L1272),IF(AND(Sync!$L1272&gt;=10000101,Sync!$L1272&lt;=99991231),RIGHT("0000"&amp;INT(Sync!$L1272/10000),4)&amp;"/"&amp;RIGHT("00"&amp;INT(MOD(Sync!$L1272,10000)/100),2)&amp;"/"&amp;RIGHT("00"&amp;MOD(Sync!$L1272,100),2),""),IFERROR(RIGHT("0000"&amp;VALUE(TRIM(LEFT(Sync!$L1272,FIND("/",Sync!$L1272)-1))),4)&amp;"/"&amp;RIGHT("00"&amp;VALUE(TRIM(LEFT(MID(Sync!$L1272,FIND("/",Sync!$L1272)+1,20),FIND("/",MID(Sync!$L1272,FIND("/",Sync!$L1272)+1,20))-1))),2)&amp;"/"&amp;RIGHT("00"&amp;VALUE(TRIM(MID(MID(Sync!$L1272,FIND("/",Sync!$L1272)+1,20),FIND("/",MID(Sync!$L1272,FIND("/",Sync!$L1272)+1,20))+1,20))),2),"")))</f>
        <v/>
      </c>
    </row>
    <row r="1273" spans="13:14" x14ac:dyDescent="0.2">
      <c r="M1273" t="str">
        <f>IF(Sync!$M1273&lt;&gt;"پاس چک","",IF(Sync!$P1273="","",Sync!$P1273))</f>
        <v/>
      </c>
      <c r="N1273" t="str">
        <f>IF($M1273="","",IF(ISNUMBER(Sync!$L1273),IF(AND(Sync!$L1273&gt;=10000101,Sync!$L1273&lt;=99991231),RIGHT("0000"&amp;INT(Sync!$L1273/10000),4)&amp;"/"&amp;RIGHT("00"&amp;INT(MOD(Sync!$L1273,10000)/100),2)&amp;"/"&amp;RIGHT("00"&amp;MOD(Sync!$L1273,100),2),""),IFERROR(RIGHT("0000"&amp;VALUE(TRIM(LEFT(Sync!$L1273,FIND("/",Sync!$L1273)-1))),4)&amp;"/"&amp;RIGHT("00"&amp;VALUE(TRIM(LEFT(MID(Sync!$L1273,FIND("/",Sync!$L1273)+1,20),FIND("/",MID(Sync!$L1273,FIND("/",Sync!$L1273)+1,20))-1))),2)&amp;"/"&amp;RIGHT("00"&amp;VALUE(TRIM(MID(MID(Sync!$L1273,FIND("/",Sync!$L1273)+1,20),FIND("/",MID(Sync!$L1273,FIND("/",Sync!$L1273)+1,20))+1,20))),2),"")))</f>
        <v/>
      </c>
    </row>
    <row r="1274" spans="13:14" x14ac:dyDescent="0.2">
      <c r="M1274" t="str">
        <f>IF(Sync!$M1274&lt;&gt;"پاس چک","",IF(Sync!$P1274="","",Sync!$P1274))</f>
        <v/>
      </c>
      <c r="N1274" t="str">
        <f>IF($M1274="","",IF(ISNUMBER(Sync!$L1274),IF(AND(Sync!$L1274&gt;=10000101,Sync!$L1274&lt;=99991231),RIGHT("0000"&amp;INT(Sync!$L1274/10000),4)&amp;"/"&amp;RIGHT("00"&amp;INT(MOD(Sync!$L1274,10000)/100),2)&amp;"/"&amp;RIGHT("00"&amp;MOD(Sync!$L1274,100),2),""),IFERROR(RIGHT("0000"&amp;VALUE(TRIM(LEFT(Sync!$L1274,FIND("/",Sync!$L1274)-1))),4)&amp;"/"&amp;RIGHT("00"&amp;VALUE(TRIM(LEFT(MID(Sync!$L1274,FIND("/",Sync!$L1274)+1,20),FIND("/",MID(Sync!$L1274,FIND("/",Sync!$L1274)+1,20))-1))),2)&amp;"/"&amp;RIGHT("00"&amp;VALUE(TRIM(MID(MID(Sync!$L1274,FIND("/",Sync!$L1274)+1,20),FIND("/",MID(Sync!$L1274,FIND("/",Sync!$L1274)+1,20))+1,20))),2),"")))</f>
        <v/>
      </c>
    </row>
    <row r="1275" spans="13:14" x14ac:dyDescent="0.2">
      <c r="M1275" t="str">
        <f>IF(Sync!$M1275&lt;&gt;"پاس چک","",IF(Sync!$P1275="","",Sync!$P1275))</f>
        <v/>
      </c>
      <c r="N1275" t="str">
        <f>IF($M1275="","",IF(ISNUMBER(Sync!$L1275),IF(AND(Sync!$L1275&gt;=10000101,Sync!$L1275&lt;=99991231),RIGHT("0000"&amp;INT(Sync!$L1275/10000),4)&amp;"/"&amp;RIGHT("00"&amp;INT(MOD(Sync!$L1275,10000)/100),2)&amp;"/"&amp;RIGHT("00"&amp;MOD(Sync!$L1275,100),2),""),IFERROR(RIGHT("0000"&amp;VALUE(TRIM(LEFT(Sync!$L1275,FIND("/",Sync!$L1275)-1))),4)&amp;"/"&amp;RIGHT("00"&amp;VALUE(TRIM(LEFT(MID(Sync!$L1275,FIND("/",Sync!$L1275)+1,20),FIND("/",MID(Sync!$L1275,FIND("/",Sync!$L1275)+1,20))-1))),2)&amp;"/"&amp;RIGHT("00"&amp;VALUE(TRIM(MID(MID(Sync!$L1275,FIND("/",Sync!$L1275)+1,20),FIND("/",MID(Sync!$L1275,FIND("/",Sync!$L1275)+1,20))+1,20))),2),"")))</f>
        <v/>
      </c>
    </row>
    <row r="1276" spans="13:14" x14ac:dyDescent="0.2">
      <c r="M1276" t="str">
        <f>IF(Sync!$M1276&lt;&gt;"پاس چک","",IF(Sync!$P1276="","",Sync!$P1276))</f>
        <v/>
      </c>
      <c r="N1276" t="str">
        <f>IF($M1276="","",IF(ISNUMBER(Sync!$L1276),IF(AND(Sync!$L1276&gt;=10000101,Sync!$L1276&lt;=99991231),RIGHT("0000"&amp;INT(Sync!$L1276/10000),4)&amp;"/"&amp;RIGHT("00"&amp;INT(MOD(Sync!$L1276,10000)/100),2)&amp;"/"&amp;RIGHT("00"&amp;MOD(Sync!$L1276,100),2),""),IFERROR(RIGHT("0000"&amp;VALUE(TRIM(LEFT(Sync!$L1276,FIND("/",Sync!$L1276)-1))),4)&amp;"/"&amp;RIGHT("00"&amp;VALUE(TRIM(LEFT(MID(Sync!$L1276,FIND("/",Sync!$L1276)+1,20),FIND("/",MID(Sync!$L1276,FIND("/",Sync!$L1276)+1,20))-1))),2)&amp;"/"&amp;RIGHT("00"&amp;VALUE(TRIM(MID(MID(Sync!$L1276,FIND("/",Sync!$L1276)+1,20),FIND("/",MID(Sync!$L1276,FIND("/",Sync!$L1276)+1,20))+1,20))),2),"")))</f>
        <v/>
      </c>
    </row>
    <row r="1277" spans="13:14" x14ac:dyDescent="0.2">
      <c r="M1277" t="str">
        <f>IF(Sync!$M1277&lt;&gt;"پاس چک","",IF(Sync!$P1277="","",Sync!$P1277))</f>
        <v/>
      </c>
      <c r="N1277" t="str">
        <f>IF($M1277="","",IF(ISNUMBER(Sync!$L1277),IF(AND(Sync!$L1277&gt;=10000101,Sync!$L1277&lt;=99991231),RIGHT("0000"&amp;INT(Sync!$L1277/10000),4)&amp;"/"&amp;RIGHT("00"&amp;INT(MOD(Sync!$L1277,10000)/100),2)&amp;"/"&amp;RIGHT("00"&amp;MOD(Sync!$L1277,100),2),""),IFERROR(RIGHT("0000"&amp;VALUE(TRIM(LEFT(Sync!$L1277,FIND("/",Sync!$L1277)-1))),4)&amp;"/"&amp;RIGHT("00"&amp;VALUE(TRIM(LEFT(MID(Sync!$L1277,FIND("/",Sync!$L1277)+1,20),FIND("/",MID(Sync!$L1277,FIND("/",Sync!$L1277)+1,20))-1))),2)&amp;"/"&amp;RIGHT("00"&amp;VALUE(TRIM(MID(MID(Sync!$L1277,FIND("/",Sync!$L1277)+1,20),FIND("/",MID(Sync!$L1277,FIND("/",Sync!$L1277)+1,20))+1,20))),2),"")))</f>
        <v/>
      </c>
    </row>
    <row r="1278" spans="13:14" x14ac:dyDescent="0.2">
      <c r="M1278" t="str">
        <f>IF(Sync!$M1278&lt;&gt;"پاس چک","",IF(Sync!$P1278="","",Sync!$P1278))</f>
        <v/>
      </c>
      <c r="N1278" t="str">
        <f>IF($M1278="","",IF(ISNUMBER(Sync!$L1278),IF(AND(Sync!$L1278&gt;=10000101,Sync!$L1278&lt;=99991231),RIGHT("0000"&amp;INT(Sync!$L1278/10000),4)&amp;"/"&amp;RIGHT("00"&amp;INT(MOD(Sync!$L1278,10000)/100),2)&amp;"/"&amp;RIGHT("00"&amp;MOD(Sync!$L1278,100),2),""),IFERROR(RIGHT("0000"&amp;VALUE(TRIM(LEFT(Sync!$L1278,FIND("/",Sync!$L1278)-1))),4)&amp;"/"&amp;RIGHT("00"&amp;VALUE(TRIM(LEFT(MID(Sync!$L1278,FIND("/",Sync!$L1278)+1,20),FIND("/",MID(Sync!$L1278,FIND("/",Sync!$L1278)+1,20))-1))),2)&amp;"/"&amp;RIGHT("00"&amp;VALUE(TRIM(MID(MID(Sync!$L1278,FIND("/",Sync!$L1278)+1,20),FIND("/",MID(Sync!$L1278,FIND("/",Sync!$L1278)+1,20))+1,20))),2),"")))</f>
        <v/>
      </c>
    </row>
    <row r="1279" spans="13:14" x14ac:dyDescent="0.2">
      <c r="M1279" t="str">
        <f>IF(Sync!$M1279&lt;&gt;"پاس چک","",IF(Sync!$P1279="","",Sync!$P1279))</f>
        <v/>
      </c>
      <c r="N1279" t="str">
        <f>IF($M1279="","",IF(ISNUMBER(Sync!$L1279),IF(AND(Sync!$L1279&gt;=10000101,Sync!$L1279&lt;=99991231),RIGHT("0000"&amp;INT(Sync!$L1279/10000),4)&amp;"/"&amp;RIGHT("00"&amp;INT(MOD(Sync!$L1279,10000)/100),2)&amp;"/"&amp;RIGHT("00"&amp;MOD(Sync!$L1279,100),2),""),IFERROR(RIGHT("0000"&amp;VALUE(TRIM(LEFT(Sync!$L1279,FIND("/",Sync!$L1279)-1))),4)&amp;"/"&amp;RIGHT("00"&amp;VALUE(TRIM(LEFT(MID(Sync!$L1279,FIND("/",Sync!$L1279)+1,20),FIND("/",MID(Sync!$L1279,FIND("/",Sync!$L1279)+1,20))-1))),2)&amp;"/"&amp;RIGHT("00"&amp;VALUE(TRIM(MID(MID(Sync!$L1279,FIND("/",Sync!$L1279)+1,20),FIND("/",MID(Sync!$L1279,FIND("/",Sync!$L1279)+1,20))+1,20))),2),"")))</f>
        <v/>
      </c>
    </row>
    <row r="1280" spans="13:14" x14ac:dyDescent="0.2">
      <c r="M1280" t="str">
        <f>IF(Sync!$M1280&lt;&gt;"پاس چک","",IF(Sync!$P1280="","",Sync!$P1280))</f>
        <v/>
      </c>
      <c r="N1280" t="str">
        <f>IF($M1280="","",IF(ISNUMBER(Sync!$L1280),IF(AND(Sync!$L1280&gt;=10000101,Sync!$L1280&lt;=99991231),RIGHT("0000"&amp;INT(Sync!$L1280/10000),4)&amp;"/"&amp;RIGHT("00"&amp;INT(MOD(Sync!$L1280,10000)/100),2)&amp;"/"&amp;RIGHT("00"&amp;MOD(Sync!$L1280,100),2),""),IFERROR(RIGHT("0000"&amp;VALUE(TRIM(LEFT(Sync!$L1280,FIND("/",Sync!$L1280)-1))),4)&amp;"/"&amp;RIGHT("00"&amp;VALUE(TRIM(LEFT(MID(Sync!$L1280,FIND("/",Sync!$L1280)+1,20),FIND("/",MID(Sync!$L1280,FIND("/",Sync!$L1280)+1,20))-1))),2)&amp;"/"&amp;RIGHT("00"&amp;VALUE(TRIM(MID(MID(Sync!$L1280,FIND("/",Sync!$L1280)+1,20),FIND("/",MID(Sync!$L1280,FIND("/",Sync!$L1280)+1,20))+1,20))),2),"")))</f>
        <v/>
      </c>
    </row>
    <row r="1281" spans="13:14" x14ac:dyDescent="0.2">
      <c r="M1281" t="str">
        <f>IF(Sync!$M1281&lt;&gt;"پاس چک","",IF(Sync!$P1281="","",Sync!$P1281))</f>
        <v/>
      </c>
      <c r="N1281" t="str">
        <f>IF($M1281="","",IF(ISNUMBER(Sync!$L1281),IF(AND(Sync!$L1281&gt;=10000101,Sync!$L1281&lt;=99991231),RIGHT("0000"&amp;INT(Sync!$L1281/10000),4)&amp;"/"&amp;RIGHT("00"&amp;INT(MOD(Sync!$L1281,10000)/100),2)&amp;"/"&amp;RIGHT("00"&amp;MOD(Sync!$L1281,100),2),""),IFERROR(RIGHT("0000"&amp;VALUE(TRIM(LEFT(Sync!$L1281,FIND("/",Sync!$L1281)-1))),4)&amp;"/"&amp;RIGHT("00"&amp;VALUE(TRIM(LEFT(MID(Sync!$L1281,FIND("/",Sync!$L1281)+1,20),FIND("/",MID(Sync!$L1281,FIND("/",Sync!$L1281)+1,20))-1))),2)&amp;"/"&amp;RIGHT("00"&amp;VALUE(TRIM(MID(MID(Sync!$L1281,FIND("/",Sync!$L1281)+1,20),FIND("/",MID(Sync!$L1281,FIND("/",Sync!$L1281)+1,20))+1,20))),2),"")))</f>
        <v/>
      </c>
    </row>
    <row r="1282" spans="13:14" x14ac:dyDescent="0.2">
      <c r="M1282" t="str">
        <f>IF(Sync!$M1282&lt;&gt;"پاس چک","",IF(Sync!$P1282="","",Sync!$P1282))</f>
        <v/>
      </c>
      <c r="N1282" t="str">
        <f>IF($M1282="","",IF(ISNUMBER(Sync!$L1282),IF(AND(Sync!$L1282&gt;=10000101,Sync!$L1282&lt;=99991231),RIGHT("0000"&amp;INT(Sync!$L1282/10000),4)&amp;"/"&amp;RIGHT("00"&amp;INT(MOD(Sync!$L1282,10000)/100),2)&amp;"/"&amp;RIGHT("00"&amp;MOD(Sync!$L1282,100),2),""),IFERROR(RIGHT("0000"&amp;VALUE(TRIM(LEFT(Sync!$L1282,FIND("/",Sync!$L1282)-1))),4)&amp;"/"&amp;RIGHT("00"&amp;VALUE(TRIM(LEFT(MID(Sync!$L1282,FIND("/",Sync!$L1282)+1,20),FIND("/",MID(Sync!$L1282,FIND("/",Sync!$L1282)+1,20))-1))),2)&amp;"/"&amp;RIGHT("00"&amp;VALUE(TRIM(MID(MID(Sync!$L1282,FIND("/",Sync!$L1282)+1,20),FIND("/",MID(Sync!$L1282,FIND("/",Sync!$L1282)+1,20))+1,20))),2),"")))</f>
        <v/>
      </c>
    </row>
    <row r="1283" spans="13:14" x14ac:dyDescent="0.2">
      <c r="M1283" t="str">
        <f>IF(Sync!$M1283&lt;&gt;"پاس چک","",IF(Sync!$P1283="","",Sync!$P1283))</f>
        <v/>
      </c>
      <c r="N1283" t="str">
        <f>IF($M1283="","",IF(ISNUMBER(Sync!$L1283),IF(AND(Sync!$L1283&gt;=10000101,Sync!$L1283&lt;=99991231),RIGHT("0000"&amp;INT(Sync!$L1283/10000),4)&amp;"/"&amp;RIGHT("00"&amp;INT(MOD(Sync!$L1283,10000)/100),2)&amp;"/"&amp;RIGHT("00"&amp;MOD(Sync!$L1283,100),2),""),IFERROR(RIGHT("0000"&amp;VALUE(TRIM(LEFT(Sync!$L1283,FIND("/",Sync!$L1283)-1))),4)&amp;"/"&amp;RIGHT("00"&amp;VALUE(TRIM(LEFT(MID(Sync!$L1283,FIND("/",Sync!$L1283)+1,20),FIND("/",MID(Sync!$L1283,FIND("/",Sync!$L1283)+1,20))-1))),2)&amp;"/"&amp;RIGHT("00"&amp;VALUE(TRIM(MID(MID(Sync!$L1283,FIND("/",Sync!$L1283)+1,20),FIND("/",MID(Sync!$L1283,FIND("/",Sync!$L1283)+1,20))+1,20))),2),"")))</f>
        <v/>
      </c>
    </row>
    <row r="1284" spans="13:14" x14ac:dyDescent="0.2">
      <c r="M1284" t="str">
        <f>IF(Sync!$M1284&lt;&gt;"پاس چک","",IF(Sync!$P1284="","",Sync!$P1284))</f>
        <v/>
      </c>
      <c r="N1284" t="str">
        <f>IF($M1284="","",IF(ISNUMBER(Sync!$L1284),IF(AND(Sync!$L1284&gt;=10000101,Sync!$L1284&lt;=99991231),RIGHT("0000"&amp;INT(Sync!$L1284/10000),4)&amp;"/"&amp;RIGHT("00"&amp;INT(MOD(Sync!$L1284,10000)/100),2)&amp;"/"&amp;RIGHT("00"&amp;MOD(Sync!$L1284,100),2),""),IFERROR(RIGHT("0000"&amp;VALUE(TRIM(LEFT(Sync!$L1284,FIND("/",Sync!$L1284)-1))),4)&amp;"/"&amp;RIGHT("00"&amp;VALUE(TRIM(LEFT(MID(Sync!$L1284,FIND("/",Sync!$L1284)+1,20),FIND("/",MID(Sync!$L1284,FIND("/",Sync!$L1284)+1,20))-1))),2)&amp;"/"&amp;RIGHT("00"&amp;VALUE(TRIM(MID(MID(Sync!$L1284,FIND("/",Sync!$L1284)+1,20),FIND("/",MID(Sync!$L1284,FIND("/",Sync!$L1284)+1,20))+1,20))),2),"")))</f>
        <v/>
      </c>
    </row>
    <row r="1285" spans="13:14" x14ac:dyDescent="0.2">
      <c r="M1285" t="str">
        <f>IF(Sync!$M1285&lt;&gt;"پاس چک","",IF(Sync!$P1285="","",Sync!$P1285))</f>
        <v/>
      </c>
      <c r="N1285" t="str">
        <f>IF($M1285="","",IF(ISNUMBER(Sync!$L1285),IF(AND(Sync!$L1285&gt;=10000101,Sync!$L1285&lt;=99991231),RIGHT("0000"&amp;INT(Sync!$L1285/10000),4)&amp;"/"&amp;RIGHT("00"&amp;INT(MOD(Sync!$L1285,10000)/100),2)&amp;"/"&amp;RIGHT("00"&amp;MOD(Sync!$L1285,100),2),""),IFERROR(RIGHT("0000"&amp;VALUE(TRIM(LEFT(Sync!$L1285,FIND("/",Sync!$L1285)-1))),4)&amp;"/"&amp;RIGHT("00"&amp;VALUE(TRIM(LEFT(MID(Sync!$L1285,FIND("/",Sync!$L1285)+1,20),FIND("/",MID(Sync!$L1285,FIND("/",Sync!$L1285)+1,20))-1))),2)&amp;"/"&amp;RIGHT("00"&amp;VALUE(TRIM(MID(MID(Sync!$L1285,FIND("/",Sync!$L1285)+1,20),FIND("/",MID(Sync!$L1285,FIND("/",Sync!$L1285)+1,20))+1,20))),2),"")))</f>
        <v/>
      </c>
    </row>
    <row r="1286" spans="13:14" x14ac:dyDescent="0.2">
      <c r="M1286" t="str">
        <f>IF(Sync!$M1286&lt;&gt;"پاس چک","",IF(Sync!$P1286="","",Sync!$P1286))</f>
        <v/>
      </c>
      <c r="N1286" t="str">
        <f>IF($M1286="","",IF(ISNUMBER(Sync!$L1286),IF(AND(Sync!$L1286&gt;=10000101,Sync!$L1286&lt;=99991231),RIGHT("0000"&amp;INT(Sync!$L1286/10000),4)&amp;"/"&amp;RIGHT("00"&amp;INT(MOD(Sync!$L1286,10000)/100),2)&amp;"/"&amp;RIGHT("00"&amp;MOD(Sync!$L1286,100),2),""),IFERROR(RIGHT("0000"&amp;VALUE(TRIM(LEFT(Sync!$L1286,FIND("/",Sync!$L1286)-1))),4)&amp;"/"&amp;RIGHT("00"&amp;VALUE(TRIM(LEFT(MID(Sync!$L1286,FIND("/",Sync!$L1286)+1,20),FIND("/",MID(Sync!$L1286,FIND("/",Sync!$L1286)+1,20))-1))),2)&amp;"/"&amp;RIGHT("00"&amp;VALUE(TRIM(MID(MID(Sync!$L1286,FIND("/",Sync!$L1286)+1,20),FIND("/",MID(Sync!$L1286,FIND("/",Sync!$L1286)+1,20))+1,20))),2),"")))</f>
        <v/>
      </c>
    </row>
    <row r="1287" spans="13:14" x14ac:dyDescent="0.2">
      <c r="M1287" t="str">
        <f>IF(Sync!$M1287&lt;&gt;"پاس چک","",IF(Sync!$P1287="","",Sync!$P1287))</f>
        <v/>
      </c>
      <c r="N1287" t="str">
        <f>IF($M1287="","",IF(ISNUMBER(Sync!$L1287),IF(AND(Sync!$L1287&gt;=10000101,Sync!$L1287&lt;=99991231),RIGHT("0000"&amp;INT(Sync!$L1287/10000),4)&amp;"/"&amp;RIGHT("00"&amp;INT(MOD(Sync!$L1287,10000)/100),2)&amp;"/"&amp;RIGHT("00"&amp;MOD(Sync!$L1287,100),2),""),IFERROR(RIGHT("0000"&amp;VALUE(TRIM(LEFT(Sync!$L1287,FIND("/",Sync!$L1287)-1))),4)&amp;"/"&amp;RIGHT("00"&amp;VALUE(TRIM(LEFT(MID(Sync!$L1287,FIND("/",Sync!$L1287)+1,20),FIND("/",MID(Sync!$L1287,FIND("/",Sync!$L1287)+1,20))-1))),2)&amp;"/"&amp;RIGHT("00"&amp;VALUE(TRIM(MID(MID(Sync!$L1287,FIND("/",Sync!$L1287)+1,20),FIND("/",MID(Sync!$L1287,FIND("/",Sync!$L1287)+1,20))+1,20))),2),"")))</f>
        <v/>
      </c>
    </row>
    <row r="1288" spans="13:14" x14ac:dyDescent="0.2">
      <c r="M1288" t="str">
        <f>IF(Sync!$M1288&lt;&gt;"پاس چک","",IF(Sync!$P1288="","",Sync!$P1288))</f>
        <v/>
      </c>
      <c r="N1288" t="str">
        <f>IF($M1288="","",IF(ISNUMBER(Sync!$L1288),IF(AND(Sync!$L1288&gt;=10000101,Sync!$L1288&lt;=99991231),RIGHT("0000"&amp;INT(Sync!$L1288/10000),4)&amp;"/"&amp;RIGHT("00"&amp;INT(MOD(Sync!$L1288,10000)/100),2)&amp;"/"&amp;RIGHT("00"&amp;MOD(Sync!$L1288,100),2),""),IFERROR(RIGHT("0000"&amp;VALUE(TRIM(LEFT(Sync!$L1288,FIND("/",Sync!$L1288)-1))),4)&amp;"/"&amp;RIGHT("00"&amp;VALUE(TRIM(LEFT(MID(Sync!$L1288,FIND("/",Sync!$L1288)+1,20),FIND("/",MID(Sync!$L1288,FIND("/",Sync!$L1288)+1,20))-1))),2)&amp;"/"&amp;RIGHT("00"&amp;VALUE(TRIM(MID(MID(Sync!$L1288,FIND("/",Sync!$L1288)+1,20),FIND("/",MID(Sync!$L1288,FIND("/",Sync!$L1288)+1,20))+1,20))),2),"")))</f>
        <v/>
      </c>
    </row>
    <row r="1289" spans="13:14" x14ac:dyDescent="0.2">
      <c r="M1289" t="str">
        <f>IF(Sync!$M1289&lt;&gt;"پاس چک","",IF(Sync!$P1289="","",Sync!$P1289))</f>
        <v/>
      </c>
      <c r="N1289" t="str">
        <f>IF($M1289="","",IF(ISNUMBER(Sync!$L1289),IF(AND(Sync!$L1289&gt;=10000101,Sync!$L1289&lt;=99991231),RIGHT("0000"&amp;INT(Sync!$L1289/10000),4)&amp;"/"&amp;RIGHT("00"&amp;INT(MOD(Sync!$L1289,10000)/100),2)&amp;"/"&amp;RIGHT("00"&amp;MOD(Sync!$L1289,100),2),""),IFERROR(RIGHT("0000"&amp;VALUE(TRIM(LEFT(Sync!$L1289,FIND("/",Sync!$L1289)-1))),4)&amp;"/"&amp;RIGHT("00"&amp;VALUE(TRIM(LEFT(MID(Sync!$L1289,FIND("/",Sync!$L1289)+1,20),FIND("/",MID(Sync!$L1289,FIND("/",Sync!$L1289)+1,20))-1))),2)&amp;"/"&amp;RIGHT("00"&amp;VALUE(TRIM(MID(MID(Sync!$L1289,FIND("/",Sync!$L1289)+1,20),FIND("/",MID(Sync!$L1289,FIND("/",Sync!$L1289)+1,20))+1,20))),2),"")))</f>
        <v/>
      </c>
    </row>
    <row r="1290" spans="13:14" x14ac:dyDescent="0.2">
      <c r="M1290" t="str">
        <f>IF(Sync!$M1290&lt;&gt;"پاس چک","",IF(Sync!$P1290="","",Sync!$P1290))</f>
        <v/>
      </c>
      <c r="N1290" t="str">
        <f>IF($M1290="","",IF(ISNUMBER(Sync!$L1290),IF(AND(Sync!$L1290&gt;=10000101,Sync!$L1290&lt;=99991231),RIGHT("0000"&amp;INT(Sync!$L1290/10000),4)&amp;"/"&amp;RIGHT("00"&amp;INT(MOD(Sync!$L1290,10000)/100),2)&amp;"/"&amp;RIGHT("00"&amp;MOD(Sync!$L1290,100),2),""),IFERROR(RIGHT("0000"&amp;VALUE(TRIM(LEFT(Sync!$L1290,FIND("/",Sync!$L1290)-1))),4)&amp;"/"&amp;RIGHT("00"&amp;VALUE(TRIM(LEFT(MID(Sync!$L1290,FIND("/",Sync!$L1290)+1,20),FIND("/",MID(Sync!$L1290,FIND("/",Sync!$L1290)+1,20))-1))),2)&amp;"/"&amp;RIGHT("00"&amp;VALUE(TRIM(MID(MID(Sync!$L1290,FIND("/",Sync!$L1290)+1,20),FIND("/",MID(Sync!$L1290,FIND("/",Sync!$L1290)+1,20))+1,20))),2),"")))</f>
        <v/>
      </c>
    </row>
    <row r="1291" spans="13:14" x14ac:dyDescent="0.2">
      <c r="M1291" t="str">
        <f>IF(Sync!$M1291&lt;&gt;"پاس چک","",IF(Sync!$P1291="","",Sync!$P1291))</f>
        <v/>
      </c>
      <c r="N1291" t="str">
        <f>IF($M1291="","",IF(ISNUMBER(Sync!$L1291),IF(AND(Sync!$L1291&gt;=10000101,Sync!$L1291&lt;=99991231),RIGHT("0000"&amp;INT(Sync!$L1291/10000),4)&amp;"/"&amp;RIGHT("00"&amp;INT(MOD(Sync!$L1291,10000)/100),2)&amp;"/"&amp;RIGHT("00"&amp;MOD(Sync!$L1291,100),2),""),IFERROR(RIGHT("0000"&amp;VALUE(TRIM(LEFT(Sync!$L1291,FIND("/",Sync!$L1291)-1))),4)&amp;"/"&amp;RIGHT("00"&amp;VALUE(TRIM(LEFT(MID(Sync!$L1291,FIND("/",Sync!$L1291)+1,20),FIND("/",MID(Sync!$L1291,FIND("/",Sync!$L1291)+1,20))-1))),2)&amp;"/"&amp;RIGHT("00"&amp;VALUE(TRIM(MID(MID(Sync!$L1291,FIND("/",Sync!$L1291)+1,20),FIND("/",MID(Sync!$L1291,FIND("/",Sync!$L1291)+1,20))+1,20))),2),"")))</f>
        <v/>
      </c>
    </row>
    <row r="1292" spans="13:14" x14ac:dyDescent="0.2">
      <c r="M1292" t="str">
        <f>IF(Sync!$M1292&lt;&gt;"پاس چک","",IF(Sync!$P1292="","",Sync!$P1292))</f>
        <v/>
      </c>
      <c r="N1292" t="str">
        <f>IF($M1292="","",IF(ISNUMBER(Sync!$L1292),IF(AND(Sync!$L1292&gt;=10000101,Sync!$L1292&lt;=99991231),RIGHT("0000"&amp;INT(Sync!$L1292/10000),4)&amp;"/"&amp;RIGHT("00"&amp;INT(MOD(Sync!$L1292,10000)/100),2)&amp;"/"&amp;RIGHT("00"&amp;MOD(Sync!$L1292,100),2),""),IFERROR(RIGHT("0000"&amp;VALUE(TRIM(LEFT(Sync!$L1292,FIND("/",Sync!$L1292)-1))),4)&amp;"/"&amp;RIGHT("00"&amp;VALUE(TRIM(LEFT(MID(Sync!$L1292,FIND("/",Sync!$L1292)+1,20),FIND("/",MID(Sync!$L1292,FIND("/",Sync!$L1292)+1,20))-1))),2)&amp;"/"&amp;RIGHT("00"&amp;VALUE(TRIM(MID(MID(Sync!$L1292,FIND("/",Sync!$L1292)+1,20),FIND("/",MID(Sync!$L1292,FIND("/",Sync!$L1292)+1,20))+1,20))),2),"")))</f>
        <v/>
      </c>
    </row>
    <row r="1293" spans="13:14" x14ac:dyDescent="0.2">
      <c r="M1293" t="str">
        <f>IF(Sync!$M1293&lt;&gt;"پاس چک","",IF(Sync!$P1293="","",Sync!$P1293))</f>
        <v/>
      </c>
      <c r="N1293" t="str">
        <f>IF($M1293="","",IF(ISNUMBER(Sync!$L1293),IF(AND(Sync!$L1293&gt;=10000101,Sync!$L1293&lt;=99991231),RIGHT("0000"&amp;INT(Sync!$L1293/10000),4)&amp;"/"&amp;RIGHT("00"&amp;INT(MOD(Sync!$L1293,10000)/100),2)&amp;"/"&amp;RIGHT("00"&amp;MOD(Sync!$L1293,100),2),""),IFERROR(RIGHT("0000"&amp;VALUE(TRIM(LEFT(Sync!$L1293,FIND("/",Sync!$L1293)-1))),4)&amp;"/"&amp;RIGHT("00"&amp;VALUE(TRIM(LEFT(MID(Sync!$L1293,FIND("/",Sync!$L1293)+1,20),FIND("/",MID(Sync!$L1293,FIND("/",Sync!$L1293)+1,20))-1))),2)&amp;"/"&amp;RIGHT("00"&amp;VALUE(TRIM(MID(MID(Sync!$L1293,FIND("/",Sync!$L1293)+1,20),FIND("/",MID(Sync!$L1293,FIND("/",Sync!$L1293)+1,20))+1,20))),2),"")))</f>
        <v/>
      </c>
    </row>
    <row r="1294" spans="13:14" x14ac:dyDescent="0.2">
      <c r="M1294" t="str">
        <f>IF(Sync!$M1294&lt;&gt;"پاس چک","",IF(Sync!$P1294="","",Sync!$P1294))</f>
        <v/>
      </c>
      <c r="N1294" t="str">
        <f>IF($M1294="","",IF(ISNUMBER(Sync!$L1294),IF(AND(Sync!$L1294&gt;=10000101,Sync!$L1294&lt;=99991231),RIGHT("0000"&amp;INT(Sync!$L1294/10000),4)&amp;"/"&amp;RIGHT("00"&amp;INT(MOD(Sync!$L1294,10000)/100),2)&amp;"/"&amp;RIGHT("00"&amp;MOD(Sync!$L1294,100),2),""),IFERROR(RIGHT("0000"&amp;VALUE(TRIM(LEFT(Sync!$L1294,FIND("/",Sync!$L1294)-1))),4)&amp;"/"&amp;RIGHT("00"&amp;VALUE(TRIM(LEFT(MID(Sync!$L1294,FIND("/",Sync!$L1294)+1,20),FIND("/",MID(Sync!$L1294,FIND("/",Sync!$L1294)+1,20))-1))),2)&amp;"/"&amp;RIGHT("00"&amp;VALUE(TRIM(MID(MID(Sync!$L1294,FIND("/",Sync!$L1294)+1,20),FIND("/",MID(Sync!$L1294,FIND("/",Sync!$L1294)+1,20))+1,20))),2),"")))</f>
        <v/>
      </c>
    </row>
    <row r="1295" spans="13:14" x14ac:dyDescent="0.2">
      <c r="M1295" t="str">
        <f>IF(Sync!$M1295&lt;&gt;"پاس چک","",IF(Sync!$P1295="","",Sync!$P1295))</f>
        <v/>
      </c>
      <c r="N1295" t="str">
        <f>IF($M1295="","",IF(ISNUMBER(Sync!$L1295),IF(AND(Sync!$L1295&gt;=10000101,Sync!$L1295&lt;=99991231),RIGHT("0000"&amp;INT(Sync!$L1295/10000),4)&amp;"/"&amp;RIGHT("00"&amp;INT(MOD(Sync!$L1295,10000)/100),2)&amp;"/"&amp;RIGHT("00"&amp;MOD(Sync!$L1295,100),2),""),IFERROR(RIGHT("0000"&amp;VALUE(TRIM(LEFT(Sync!$L1295,FIND("/",Sync!$L1295)-1))),4)&amp;"/"&amp;RIGHT("00"&amp;VALUE(TRIM(LEFT(MID(Sync!$L1295,FIND("/",Sync!$L1295)+1,20),FIND("/",MID(Sync!$L1295,FIND("/",Sync!$L1295)+1,20))-1))),2)&amp;"/"&amp;RIGHT("00"&amp;VALUE(TRIM(MID(MID(Sync!$L1295,FIND("/",Sync!$L1295)+1,20),FIND("/",MID(Sync!$L1295,FIND("/",Sync!$L1295)+1,20))+1,20))),2),"")))</f>
        <v/>
      </c>
    </row>
    <row r="1296" spans="13:14" x14ac:dyDescent="0.2">
      <c r="M1296" t="str">
        <f>IF(Sync!$M1296&lt;&gt;"پاس چک","",IF(Sync!$P1296="","",Sync!$P1296))</f>
        <v/>
      </c>
      <c r="N1296" t="str">
        <f>IF($M1296="","",IF(ISNUMBER(Sync!$L1296),IF(AND(Sync!$L1296&gt;=10000101,Sync!$L1296&lt;=99991231),RIGHT("0000"&amp;INT(Sync!$L1296/10000),4)&amp;"/"&amp;RIGHT("00"&amp;INT(MOD(Sync!$L1296,10000)/100),2)&amp;"/"&amp;RIGHT("00"&amp;MOD(Sync!$L1296,100),2),""),IFERROR(RIGHT("0000"&amp;VALUE(TRIM(LEFT(Sync!$L1296,FIND("/",Sync!$L1296)-1))),4)&amp;"/"&amp;RIGHT("00"&amp;VALUE(TRIM(LEFT(MID(Sync!$L1296,FIND("/",Sync!$L1296)+1,20),FIND("/",MID(Sync!$L1296,FIND("/",Sync!$L1296)+1,20))-1))),2)&amp;"/"&amp;RIGHT("00"&amp;VALUE(TRIM(MID(MID(Sync!$L1296,FIND("/",Sync!$L1296)+1,20),FIND("/",MID(Sync!$L1296,FIND("/",Sync!$L1296)+1,20))+1,20))),2),"")))</f>
        <v/>
      </c>
    </row>
    <row r="1297" spans="13:14" x14ac:dyDescent="0.2">
      <c r="M1297" t="str">
        <f>IF(Sync!$M1297&lt;&gt;"پاس چک","",IF(Sync!$P1297="","",Sync!$P1297))</f>
        <v/>
      </c>
      <c r="N1297" t="str">
        <f>IF($M1297="","",IF(ISNUMBER(Sync!$L1297),IF(AND(Sync!$L1297&gt;=10000101,Sync!$L1297&lt;=99991231),RIGHT("0000"&amp;INT(Sync!$L1297/10000),4)&amp;"/"&amp;RIGHT("00"&amp;INT(MOD(Sync!$L1297,10000)/100),2)&amp;"/"&amp;RIGHT("00"&amp;MOD(Sync!$L1297,100),2),""),IFERROR(RIGHT("0000"&amp;VALUE(TRIM(LEFT(Sync!$L1297,FIND("/",Sync!$L1297)-1))),4)&amp;"/"&amp;RIGHT("00"&amp;VALUE(TRIM(LEFT(MID(Sync!$L1297,FIND("/",Sync!$L1297)+1,20),FIND("/",MID(Sync!$L1297,FIND("/",Sync!$L1297)+1,20))-1))),2)&amp;"/"&amp;RIGHT("00"&amp;VALUE(TRIM(MID(MID(Sync!$L1297,FIND("/",Sync!$L1297)+1,20),FIND("/",MID(Sync!$L1297,FIND("/",Sync!$L1297)+1,20))+1,20))),2),"")))</f>
        <v/>
      </c>
    </row>
    <row r="1298" spans="13:14" x14ac:dyDescent="0.2">
      <c r="M1298" t="str">
        <f>IF(Sync!$M1298&lt;&gt;"پاس چک","",IF(Sync!$P1298="","",Sync!$P1298))</f>
        <v/>
      </c>
      <c r="N1298" t="str">
        <f>IF($M1298="","",IF(ISNUMBER(Sync!$L1298),IF(AND(Sync!$L1298&gt;=10000101,Sync!$L1298&lt;=99991231),RIGHT("0000"&amp;INT(Sync!$L1298/10000),4)&amp;"/"&amp;RIGHT("00"&amp;INT(MOD(Sync!$L1298,10000)/100),2)&amp;"/"&amp;RIGHT("00"&amp;MOD(Sync!$L1298,100),2),""),IFERROR(RIGHT("0000"&amp;VALUE(TRIM(LEFT(Sync!$L1298,FIND("/",Sync!$L1298)-1))),4)&amp;"/"&amp;RIGHT("00"&amp;VALUE(TRIM(LEFT(MID(Sync!$L1298,FIND("/",Sync!$L1298)+1,20),FIND("/",MID(Sync!$L1298,FIND("/",Sync!$L1298)+1,20))-1))),2)&amp;"/"&amp;RIGHT("00"&amp;VALUE(TRIM(MID(MID(Sync!$L1298,FIND("/",Sync!$L1298)+1,20),FIND("/",MID(Sync!$L1298,FIND("/",Sync!$L1298)+1,20))+1,20))),2),"")))</f>
        <v/>
      </c>
    </row>
    <row r="1299" spans="13:14" x14ac:dyDescent="0.2">
      <c r="M1299" t="str">
        <f>IF(Sync!$M1299&lt;&gt;"پاس چک","",IF(Sync!$P1299="","",Sync!$P1299))</f>
        <v/>
      </c>
      <c r="N1299" t="str">
        <f>IF($M1299="","",IF(ISNUMBER(Sync!$L1299),IF(AND(Sync!$L1299&gt;=10000101,Sync!$L1299&lt;=99991231),RIGHT("0000"&amp;INT(Sync!$L1299/10000),4)&amp;"/"&amp;RIGHT("00"&amp;INT(MOD(Sync!$L1299,10000)/100),2)&amp;"/"&amp;RIGHT("00"&amp;MOD(Sync!$L1299,100),2),""),IFERROR(RIGHT("0000"&amp;VALUE(TRIM(LEFT(Sync!$L1299,FIND("/",Sync!$L1299)-1))),4)&amp;"/"&amp;RIGHT("00"&amp;VALUE(TRIM(LEFT(MID(Sync!$L1299,FIND("/",Sync!$L1299)+1,20),FIND("/",MID(Sync!$L1299,FIND("/",Sync!$L1299)+1,20))-1))),2)&amp;"/"&amp;RIGHT("00"&amp;VALUE(TRIM(MID(MID(Sync!$L1299,FIND("/",Sync!$L1299)+1,20),FIND("/",MID(Sync!$L1299,FIND("/",Sync!$L1299)+1,20))+1,20))),2),"")))</f>
        <v/>
      </c>
    </row>
    <row r="1300" spans="13:14" x14ac:dyDescent="0.2">
      <c r="M1300" t="str">
        <f>IF(Sync!$M1300&lt;&gt;"پاس چک","",IF(Sync!$P1300="","",Sync!$P1300))</f>
        <v/>
      </c>
      <c r="N1300" t="str">
        <f>IF($M1300="","",IF(ISNUMBER(Sync!$L1300),IF(AND(Sync!$L1300&gt;=10000101,Sync!$L1300&lt;=99991231),RIGHT("0000"&amp;INT(Sync!$L1300/10000),4)&amp;"/"&amp;RIGHT("00"&amp;INT(MOD(Sync!$L1300,10000)/100),2)&amp;"/"&amp;RIGHT("00"&amp;MOD(Sync!$L1300,100),2),""),IFERROR(RIGHT("0000"&amp;VALUE(TRIM(LEFT(Sync!$L1300,FIND("/",Sync!$L1300)-1))),4)&amp;"/"&amp;RIGHT("00"&amp;VALUE(TRIM(LEFT(MID(Sync!$L1300,FIND("/",Sync!$L1300)+1,20),FIND("/",MID(Sync!$L1300,FIND("/",Sync!$L1300)+1,20))-1))),2)&amp;"/"&amp;RIGHT("00"&amp;VALUE(TRIM(MID(MID(Sync!$L1300,FIND("/",Sync!$L1300)+1,20),FIND("/",MID(Sync!$L1300,FIND("/",Sync!$L1300)+1,20))+1,20))),2),"")))</f>
        <v/>
      </c>
    </row>
    <row r="1301" spans="13:14" x14ac:dyDescent="0.2">
      <c r="M1301" t="str">
        <f>IF(Sync!$M1301&lt;&gt;"پاس چک","",IF(Sync!$P1301="","",Sync!$P1301))</f>
        <v/>
      </c>
      <c r="N1301" t="str">
        <f>IF($M1301="","",IF(ISNUMBER(Sync!$L1301),IF(AND(Sync!$L1301&gt;=10000101,Sync!$L1301&lt;=99991231),RIGHT("0000"&amp;INT(Sync!$L1301/10000),4)&amp;"/"&amp;RIGHT("00"&amp;INT(MOD(Sync!$L1301,10000)/100),2)&amp;"/"&amp;RIGHT("00"&amp;MOD(Sync!$L1301,100),2),""),IFERROR(RIGHT("0000"&amp;VALUE(TRIM(LEFT(Sync!$L1301,FIND("/",Sync!$L1301)-1))),4)&amp;"/"&amp;RIGHT("00"&amp;VALUE(TRIM(LEFT(MID(Sync!$L1301,FIND("/",Sync!$L1301)+1,20),FIND("/",MID(Sync!$L1301,FIND("/",Sync!$L1301)+1,20))-1))),2)&amp;"/"&amp;RIGHT("00"&amp;VALUE(TRIM(MID(MID(Sync!$L1301,FIND("/",Sync!$L1301)+1,20),FIND("/",MID(Sync!$L1301,FIND("/",Sync!$L1301)+1,20))+1,20))),2),"")))</f>
        <v/>
      </c>
    </row>
    <row r="1302" spans="13:14" x14ac:dyDescent="0.2">
      <c r="M1302" t="str">
        <f>IF(Sync!$M1302&lt;&gt;"پاس چک","",IF(Sync!$P1302="","",Sync!$P1302))</f>
        <v/>
      </c>
      <c r="N1302" t="str">
        <f>IF($M1302="","",IF(ISNUMBER(Sync!$L1302),IF(AND(Sync!$L1302&gt;=10000101,Sync!$L1302&lt;=99991231),RIGHT("0000"&amp;INT(Sync!$L1302/10000),4)&amp;"/"&amp;RIGHT("00"&amp;INT(MOD(Sync!$L1302,10000)/100),2)&amp;"/"&amp;RIGHT("00"&amp;MOD(Sync!$L1302,100),2),""),IFERROR(RIGHT("0000"&amp;VALUE(TRIM(LEFT(Sync!$L1302,FIND("/",Sync!$L1302)-1))),4)&amp;"/"&amp;RIGHT("00"&amp;VALUE(TRIM(LEFT(MID(Sync!$L1302,FIND("/",Sync!$L1302)+1,20),FIND("/",MID(Sync!$L1302,FIND("/",Sync!$L1302)+1,20))-1))),2)&amp;"/"&amp;RIGHT("00"&amp;VALUE(TRIM(MID(MID(Sync!$L1302,FIND("/",Sync!$L1302)+1,20),FIND("/",MID(Sync!$L1302,FIND("/",Sync!$L1302)+1,20))+1,20))),2),"")))</f>
        <v/>
      </c>
    </row>
    <row r="1303" spans="13:14" x14ac:dyDescent="0.2">
      <c r="M1303" t="str">
        <f>IF(Sync!$M1303&lt;&gt;"پاس چک","",IF(Sync!$P1303="","",Sync!$P1303))</f>
        <v/>
      </c>
      <c r="N1303" t="str">
        <f>IF($M1303="","",IF(ISNUMBER(Sync!$L1303),IF(AND(Sync!$L1303&gt;=10000101,Sync!$L1303&lt;=99991231),RIGHT("0000"&amp;INT(Sync!$L1303/10000),4)&amp;"/"&amp;RIGHT("00"&amp;INT(MOD(Sync!$L1303,10000)/100),2)&amp;"/"&amp;RIGHT("00"&amp;MOD(Sync!$L1303,100),2),""),IFERROR(RIGHT("0000"&amp;VALUE(TRIM(LEFT(Sync!$L1303,FIND("/",Sync!$L1303)-1))),4)&amp;"/"&amp;RIGHT("00"&amp;VALUE(TRIM(LEFT(MID(Sync!$L1303,FIND("/",Sync!$L1303)+1,20),FIND("/",MID(Sync!$L1303,FIND("/",Sync!$L1303)+1,20))-1))),2)&amp;"/"&amp;RIGHT("00"&amp;VALUE(TRIM(MID(MID(Sync!$L1303,FIND("/",Sync!$L1303)+1,20),FIND("/",MID(Sync!$L1303,FIND("/",Sync!$L1303)+1,20))+1,20))),2),"")))</f>
        <v/>
      </c>
    </row>
    <row r="1304" spans="13:14" x14ac:dyDescent="0.2">
      <c r="M1304" t="str">
        <f>IF(Sync!$M1304&lt;&gt;"پاس چک","",IF(Sync!$P1304="","",Sync!$P1304))</f>
        <v/>
      </c>
      <c r="N1304" t="str">
        <f>IF($M1304="","",IF(ISNUMBER(Sync!$L1304),IF(AND(Sync!$L1304&gt;=10000101,Sync!$L1304&lt;=99991231),RIGHT("0000"&amp;INT(Sync!$L1304/10000),4)&amp;"/"&amp;RIGHT("00"&amp;INT(MOD(Sync!$L1304,10000)/100),2)&amp;"/"&amp;RIGHT("00"&amp;MOD(Sync!$L1304,100),2),""),IFERROR(RIGHT("0000"&amp;VALUE(TRIM(LEFT(Sync!$L1304,FIND("/",Sync!$L1304)-1))),4)&amp;"/"&amp;RIGHT("00"&amp;VALUE(TRIM(LEFT(MID(Sync!$L1304,FIND("/",Sync!$L1304)+1,20),FIND("/",MID(Sync!$L1304,FIND("/",Sync!$L1304)+1,20))-1))),2)&amp;"/"&amp;RIGHT("00"&amp;VALUE(TRIM(MID(MID(Sync!$L1304,FIND("/",Sync!$L1304)+1,20),FIND("/",MID(Sync!$L1304,FIND("/",Sync!$L1304)+1,20))+1,20))),2),"")))</f>
        <v/>
      </c>
    </row>
    <row r="1305" spans="13:14" x14ac:dyDescent="0.2">
      <c r="M1305" t="str">
        <f>IF(Sync!$M1305&lt;&gt;"پاس چک","",IF(Sync!$P1305="","",Sync!$P1305))</f>
        <v/>
      </c>
      <c r="N1305" t="str">
        <f>IF($M1305="","",IF(ISNUMBER(Sync!$L1305),IF(AND(Sync!$L1305&gt;=10000101,Sync!$L1305&lt;=99991231),RIGHT("0000"&amp;INT(Sync!$L1305/10000),4)&amp;"/"&amp;RIGHT("00"&amp;INT(MOD(Sync!$L1305,10000)/100),2)&amp;"/"&amp;RIGHT("00"&amp;MOD(Sync!$L1305,100),2),""),IFERROR(RIGHT("0000"&amp;VALUE(TRIM(LEFT(Sync!$L1305,FIND("/",Sync!$L1305)-1))),4)&amp;"/"&amp;RIGHT("00"&amp;VALUE(TRIM(LEFT(MID(Sync!$L1305,FIND("/",Sync!$L1305)+1,20),FIND("/",MID(Sync!$L1305,FIND("/",Sync!$L1305)+1,20))-1))),2)&amp;"/"&amp;RIGHT("00"&amp;VALUE(TRIM(MID(MID(Sync!$L1305,FIND("/",Sync!$L1305)+1,20),FIND("/",MID(Sync!$L1305,FIND("/",Sync!$L1305)+1,20))+1,20))),2),"")))</f>
        <v/>
      </c>
    </row>
    <row r="1306" spans="13:14" x14ac:dyDescent="0.2">
      <c r="M1306" t="str">
        <f>IF(Sync!$M1306&lt;&gt;"پاس چک","",IF(Sync!$P1306="","",Sync!$P1306))</f>
        <v/>
      </c>
      <c r="N1306" t="str">
        <f>IF($M1306="","",IF(ISNUMBER(Sync!$L1306),IF(AND(Sync!$L1306&gt;=10000101,Sync!$L1306&lt;=99991231),RIGHT("0000"&amp;INT(Sync!$L1306/10000),4)&amp;"/"&amp;RIGHT("00"&amp;INT(MOD(Sync!$L1306,10000)/100),2)&amp;"/"&amp;RIGHT("00"&amp;MOD(Sync!$L1306,100),2),""),IFERROR(RIGHT("0000"&amp;VALUE(TRIM(LEFT(Sync!$L1306,FIND("/",Sync!$L1306)-1))),4)&amp;"/"&amp;RIGHT("00"&amp;VALUE(TRIM(LEFT(MID(Sync!$L1306,FIND("/",Sync!$L1306)+1,20),FIND("/",MID(Sync!$L1306,FIND("/",Sync!$L1306)+1,20))-1))),2)&amp;"/"&amp;RIGHT("00"&amp;VALUE(TRIM(MID(MID(Sync!$L1306,FIND("/",Sync!$L1306)+1,20),FIND("/",MID(Sync!$L1306,FIND("/",Sync!$L1306)+1,20))+1,20))),2),"")))</f>
        <v/>
      </c>
    </row>
    <row r="1307" spans="13:14" x14ac:dyDescent="0.2">
      <c r="M1307" t="str">
        <f>IF(Sync!$M1307&lt;&gt;"پاس چک","",IF(Sync!$P1307="","",Sync!$P1307))</f>
        <v/>
      </c>
      <c r="N1307" t="str">
        <f>IF($M1307="","",IF(ISNUMBER(Sync!$L1307),IF(AND(Sync!$L1307&gt;=10000101,Sync!$L1307&lt;=99991231),RIGHT("0000"&amp;INT(Sync!$L1307/10000),4)&amp;"/"&amp;RIGHT("00"&amp;INT(MOD(Sync!$L1307,10000)/100),2)&amp;"/"&amp;RIGHT("00"&amp;MOD(Sync!$L1307,100),2),""),IFERROR(RIGHT("0000"&amp;VALUE(TRIM(LEFT(Sync!$L1307,FIND("/",Sync!$L1307)-1))),4)&amp;"/"&amp;RIGHT("00"&amp;VALUE(TRIM(LEFT(MID(Sync!$L1307,FIND("/",Sync!$L1307)+1,20),FIND("/",MID(Sync!$L1307,FIND("/",Sync!$L1307)+1,20))-1))),2)&amp;"/"&amp;RIGHT("00"&amp;VALUE(TRIM(MID(MID(Sync!$L1307,FIND("/",Sync!$L1307)+1,20),FIND("/",MID(Sync!$L1307,FIND("/",Sync!$L1307)+1,20))+1,20))),2),"")))</f>
        <v/>
      </c>
    </row>
    <row r="1308" spans="13:14" x14ac:dyDescent="0.2">
      <c r="M1308" t="str">
        <f>IF(Sync!$M1308&lt;&gt;"پاس چک","",IF(Sync!$P1308="","",Sync!$P1308))</f>
        <v/>
      </c>
      <c r="N1308" t="str">
        <f>IF($M1308="","",IF(ISNUMBER(Sync!$L1308),IF(AND(Sync!$L1308&gt;=10000101,Sync!$L1308&lt;=99991231),RIGHT("0000"&amp;INT(Sync!$L1308/10000),4)&amp;"/"&amp;RIGHT("00"&amp;INT(MOD(Sync!$L1308,10000)/100),2)&amp;"/"&amp;RIGHT("00"&amp;MOD(Sync!$L1308,100),2),""),IFERROR(RIGHT("0000"&amp;VALUE(TRIM(LEFT(Sync!$L1308,FIND("/",Sync!$L1308)-1))),4)&amp;"/"&amp;RIGHT("00"&amp;VALUE(TRIM(LEFT(MID(Sync!$L1308,FIND("/",Sync!$L1308)+1,20),FIND("/",MID(Sync!$L1308,FIND("/",Sync!$L1308)+1,20))-1))),2)&amp;"/"&amp;RIGHT("00"&amp;VALUE(TRIM(MID(MID(Sync!$L1308,FIND("/",Sync!$L1308)+1,20),FIND("/",MID(Sync!$L1308,FIND("/",Sync!$L1308)+1,20))+1,20))),2),"")))</f>
        <v/>
      </c>
    </row>
    <row r="1309" spans="13:14" x14ac:dyDescent="0.2">
      <c r="M1309" t="str">
        <f>IF(Sync!$M1309&lt;&gt;"پاس چک","",IF(Sync!$P1309="","",Sync!$P1309))</f>
        <v/>
      </c>
      <c r="N1309" t="str">
        <f>IF($M1309="","",IF(ISNUMBER(Sync!$L1309),IF(AND(Sync!$L1309&gt;=10000101,Sync!$L1309&lt;=99991231),RIGHT("0000"&amp;INT(Sync!$L1309/10000),4)&amp;"/"&amp;RIGHT("00"&amp;INT(MOD(Sync!$L1309,10000)/100),2)&amp;"/"&amp;RIGHT("00"&amp;MOD(Sync!$L1309,100),2),""),IFERROR(RIGHT("0000"&amp;VALUE(TRIM(LEFT(Sync!$L1309,FIND("/",Sync!$L1309)-1))),4)&amp;"/"&amp;RIGHT("00"&amp;VALUE(TRIM(LEFT(MID(Sync!$L1309,FIND("/",Sync!$L1309)+1,20),FIND("/",MID(Sync!$L1309,FIND("/",Sync!$L1309)+1,20))-1))),2)&amp;"/"&amp;RIGHT("00"&amp;VALUE(TRIM(MID(MID(Sync!$L1309,FIND("/",Sync!$L1309)+1,20),FIND("/",MID(Sync!$L1309,FIND("/",Sync!$L1309)+1,20))+1,20))),2),"")))</f>
        <v/>
      </c>
    </row>
    <row r="1310" spans="13:14" x14ac:dyDescent="0.2">
      <c r="M1310" t="str">
        <f>IF(Sync!$M1310&lt;&gt;"پاس چک","",IF(Sync!$P1310="","",Sync!$P1310))</f>
        <v/>
      </c>
      <c r="N1310" t="str">
        <f>IF($M1310="","",IF(ISNUMBER(Sync!$L1310),IF(AND(Sync!$L1310&gt;=10000101,Sync!$L1310&lt;=99991231),RIGHT("0000"&amp;INT(Sync!$L1310/10000),4)&amp;"/"&amp;RIGHT("00"&amp;INT(MOD(Sync!$L1310,10000)/100),2)&amp;"/"&amp;RIGHT("00"&amp;MOD(Sync!$L1310,100),2),""),IFERROR(RIGHT("0000"&amp;VALUE(TRIM(LEFT(Sync!$L1310,FIND("/",Sync!$L1310)-1))),4)&amp;"/"&amp;RIGHT("00"&amp;VALUE(TRIM(LEFT(MID(Sync!$L1310,FIND("/",Sync!$L1310)+1,20),FIND("/",MID(Sync!$L1310,FIND("/",Sync!$L1310)+1,20))-1))),2)&amp;"/"&amp;RIGHT("00"&amp;VALUE(TRIM(MID(MID(Sync!$L1310,FIND("/",Sync!$L1310)+1,20),FIND("/",MID(Sync!$L1310,FIND("/",Sync!$L1310)+1,20))+1,20))),2),"")))</f>
        <v/>
      </c>
    </row>
    <row r="1311" spans="13:14" x14ac:dyDescent="0.2">
      <c r="M1311" t="str">
        <f>IF(Sync!$M1311&lt;&gt;"پاس چک","",IF(Sync!$P1311="","",Sync!$P1311))</f>
        <v/>
      </c>
      <c r="N1311" t="str">
        <f>IF($M1311="","",IF(ISNUMBER(Sync!$L1311),IF(AND(Sync!$L1311&gt;=10000101,Sync!$L1311&lt;=99991231),RIGHT("0000"&amp;INT(Sync!$L1311/10000),4)&amp;"/"&amp;RIGHT("00"&amp;INT(MOD(Sync!$L1311,10000)/100),2)&amp;"/"&amp;RIGHT("00"&amp;MOD(Sync!$L1311,100),2),""),IFERROR(RIGHT("0000"&amp;VALUE(TRIM(LEFT(Sync!$L1311,FIND("/",Sync!$L1311)-1))),4)&amp;"/"&amp;RIGHT("00"&amp;VALUE(TRIM(LEFT(MID(Sync!$L1311,FIND("/",Sync!$L1311)+1,20),FIND("/",MID(Sync!$L1311,FIND("/",Sync!$L1311)+1,20))-1))),2)&amp;"/"&amp;RIGHT("00"&amp;VALUE(TRIM(MID(MID(Sync!$L1311,FIND("/",Sync!$L1311)+1,20),FIND("/",MID(Sync!$L1311,FIND("/",Sync!$L1311)+1,20))+1,20))),2),"")))</f>
        <v/>
      </c>
    </row>
    <row r="1312" spans="13:14" x14ac:dyDescent="0.2">
      <c r="M1312" t="str">
        <f>IF(Sync!$M1312&lt;&gt;"پاس چک","",IF(Sync!$P1312="","",Sync!$P1312))</f>
        <v/>
      </c>
      <c r="N1312" t="str">
        <f>IF($M1312="","",IF(ISNUMBER(Sync!$L1312),IF(AND(Sync!$L1312&gt;=10000101,Sync!$L1312&lt;=99991231),RIGHT("0000"&amp;INT(Sync!$L1312/10000),4)&amp;"/"&amp;RIGHT("00"&amp;INT(MOD(Sync!$L1312,10000)/100),2)&amp;"/"&amp;RIGHT("00"&amp;MOD(Sync!$L1312,100),2),""),IFERROR(RIGHT("0000"&amp;VALUE(TRIM(LEFT(Sync!$L1312,FIND("/",Sync!$L1312)-1))),4)&amp;"/"&amp;RIGHT("00"&amp;VALUE(TRIM(LEFT(MID(Sync!$L1312,FIND("/",Sync!$L1312)+1,20),FIND("/",MID(Sync!$L1312,FIND("/",Sync!$L1312)+1,20))-1))),2)&amp;"/"&amp;RIGHT("00"&amp;VALUE(TRIM(MID(MID(Sync!$L1312,FIND("/",Sync!$L1312)+1,20),FIND("/",MID(Sync!$L1312,FIND("/",Sync!$L1312)+1,20))+1,20))),2),"")))</f>
        <v/>
      </c>
    </row>
    <row r="1313" spans="13:14" x14ac:dyDescent="0.2">
      <c r="M1313" t="str">
        <f>IF(Sync!$M1313&lt;&gt;"پاس چک","",IF(Sync!$P1313="","",Sync!$P1313))</f>
        <v/>
      </c>
      <c r="N1313" t="str">
        <f>IF($M1313="","",IF(ISNUMBER(Sync!$L1313),IF(AND(Sync!$L1313&gt;=10000101,Sync!$L1313&lt;=99991231),RIGHT("0000"&amp;INT(Sync!$L1313/10000),4)&amp;"/"&amp;RIGHT("00"&amp;INT(MOD(Sync!$L1313,10000)/100),2)&amp;"/"&amp;RIGHT("00"&amp;MOD(Sync!$L1313,100),2),""),IFERROR(RIGHT("0000"&amp;VALUE(TRIM(LEFT(Sync!$L1313,FIND("/",Sync!$L1313)-1))),4)&amp;"/"&amp;RIGHT("00"&amp;VALUE(TRIM(LEFT(MID(Sync!$L1313,FIND("/",Sync!$L1313)+1,20),FIND("/",MID(Sync!$L1313,FIND("/",Sync!$L1313)+1,20))-1))),2)&amp;"/"&amp;RIGHT("00"&amp;VALUE(TRIM(MID(MID(Sync!$L1313,FIND("/",Sync!$L1313)+1,20),FIND("/",MID(Sync!$L1313,FIND("/",Sync!$L1313)+1,20))+1,20))),2),"")))</f>
        <v/>
      </c>
    </row>
    <row r="1314" spans="13:14" x14ac:dyDescent="0.2">
      <c r="M1314" t="str">
        <f>IF(Sync!$M1314&lt;&gt;"پاس چک","",IF(Sync!$P1314="","",Sync!$P1314))</f>
        <v/>
      </c>
      <c r="N1314" t="str">
        <f>IF($M1314="","",IF(ISNUMBER(Sync!$L1314),IF(AND(Sync!$L1314&gt;=10000101,Sync!$L1314&lt;=99991231),RIGHT("0000"&amp;INT(Sync!$L1314/10000),4)&amp;"/"&amp;RIGHT("00"&amp;INT(MOD(Sync!$L1314,10000)/100),2)&amp;"/"&amp;RIGHT("00"&amp;MOD(Sync!$L1314,100),2),""),IFERROR(RIGHT("0000"&amp;VALUE(TRIM(LEFT(Sync!$L1314,FIND("/",Sync!$L1314)-1))),4)&amp;"/"&amp;RIGHT("00"&amp;VALUE(TRIM(LEFT(MID(Sync!$L1314,FIND("/",Sync!$L1314)+1,20),FIND("/",MID(Sync!$L1314,FIND("/",Sync!$L1314)+1,20))-1))),2)&amp;"/"&amp;RIGHT("00"&amp;VALUE(TRIM(MID(MID(Sync!$L1314,FIND("/",Sync!$L1314)+1,20),FIND("/",MID(Sync!$L1314,FIND("/",Sync!$L1314)+1,20))+1,20))),2),"")))</f>
        <v/>
      </c>
    </row>
    <row r="1315" spans="13:14" x14ac:dyDescent="0.2">
      <c r="M1315" t="str">
        <f>IF(Sync!$M1315&lt;&gt;"پاس چک","",IF(Sync!$P1315="","",Sync!$P1315))</f>
        <v/>
      </c>
      <c r="N1315" t="str">
        <f>IF($M1315="","",IF(ISNUMBER(Sync!$L1315),IF(AND(Sync!$L1315&gt;=10000101,Sync!$L1315&lt;=99991231),RIGHT("0000"&amp;INT(Sync!$L1315/10000),4)&amp;"/"&amp;RIGHT("00"&amp;INT(MOD(Sync!$L1315,10000)/100),2)&amp;"/"&amp;RIGHT("00"&amp;MOD(Sync!$L1315,100),2),""),IFERROR(RIGHT("0000"&amp;VALUE(TRIM(LEFT(Sync!$L1315,FIND("/",Sync!$L1315)-1))),4)&amp;"/"&amp;RIGHT("00"&amp;VALUE(TRIM(LEFT(MID(Sync!$L1315,FIND("/",Sync!$L1315)+1,20),FIND("/",MID(Sync!$L1315,FIND("/",Sync!$L1315)+1,20))-1))),2)&amp;"/"&amp;RIGHT("00"&amp;VALUE(TRIM(MID(MID(Sync!$L1315,FIND("/",Sync!$L1315)+1,20),FIND("/",MID(Sync!$L1315,FIND("/",Sync!$L1315)+1,20))+1,20))),2),"")))</f>
        <v/>
      </c>
    </row>
    <row r="1316" spans="13:14" x14ac:dyDescent="0.2">
      <c r="M1316" t="str">
        <f>IF(Sync!$M1316&lt;&gt;"پاس چک","",IF(Sync!$P1316="","",Sync!$P1316))</f>
        <v/>
      </c>
      <c r="N1316" t="str">
        <f>IF($M1316="","",IF(ISNUMBER(Sync!$L1316),IF(AND(Sync!$L1316&gt;=10000101,Sync!$L1316&lt;=99991231),RIGHT("0000"&amp;INT(Sync!$L1316/10000),4)&amp;"/"&amp;RIGHT("00"&amp;INT(MOD(Sync!$L1316,10000)/100),2)&amp;"/"&amp;RIGHT("00"&amp;MOD(Sync!$L1316,100),2),""),IFERROR(RIGHT("0000"&amp;VALUE(TRIM(LEFT(Sync!$L1316,FIND("/",Sync!$L1316)-1))),4)&amp;"/"&amp;RIGHT("00"&amp;VALUE(TRIM(LEFT(MID(Sync!$L1316,FIND("/",Sync!$L1316)+1,20),FIND("/",MID(Sync!$L1316,FIND("/",Sync!$L1316)+1,20))-1))),2)&amp;"/"&amp;RIGHT("00"&amp;VALUE(TRIM(MID(MID(Sync!$L1316,FIND("/",Sync!$L1316)+1,20),FIND("/",MID(Sync!$L1316,FIND("/",Sync!$L1316)+1,20))+1,20))),2),"")))</f>
        <v/>
      </c>
    </row>
    <row r="1317" spans="13:14" x14ac:dyDescent="0.2">
      <c r="M1317" t="str">
        <f>IF(Sync!$M1317&lt;&gt;"پاس چک","",IF(Sync!$P1317="","",Sync!$P1317))</f>
        <v/>
      </c>
      <c r="N1317" t="str">
        <f>IF($M1317="","",IF(ISNUMBER(Sync!$L1317),IF(AND(Sync!$L1317&gt;=10000101,Sync!$L1317&lt;=99991231),RIGHT("0000"&amp;INT(Sync!$L1317/10000),4)&amp;"/"&amp;RIGHT("00"&amp;INT(MOD(Sync!$L1317,10000)/100),2)&amp;"/"&amp;RIGHT("00"&amp;MOD(Sync!$L1317,100),2),""),IFERROR(RIGHT("0000"&amp;VALUE(TRIM(LEFT(Sync!$L1317,FIND("/",Sync!$L1317)-1))),4)&amp;"/"&amp;RIGHT("00"&amp;VALUE(TRIM(LEFT(MID(Sync!$L1317,FIND("/",Sync!$L1317)+1,20),FIND("/",MID(Sync!$L1317,FIND("/",Sync!$L1317)+1,20))-1))),2)&amp;"/"&amp;RIGHT("00"&amp;VALUE(TRIM(MID(MID(Sync!$L1317,FIND("/",Sync!$L1317)+1,20),FIND("/",MID(Sync!$L1317,FIND("/",Sync!$L1317)+1,20))+1,20))),2),"")))</f>
        <v/>
      </c>
    </row>
    <row r="1318" spans="13:14" x14ac:dyDescent="0.2">
      <c r="M1318" t="str">
        <f>IF(Sync!$M1318&lt;&gt;"پاس چک","",IF(Sync!$P1318="","",Sync!$P1318))</f>
        <v/>
      </c>
      <c r="N1318" t="str">
        <f>IF($M1318="","",IF(ISNUMBER(Sync!$L1318),IF(AND(Sync!$L1318&gt;=10000101,Sync!$L1318&lt;=99991231),RIGHT("0000"&amp;INT(Sync!$L1318/10000),4)&amp;"/"&amp;RIGHT("00"&amp;INT(MOD(Sync!$L1318,10000)/100),2)&amp;"/"&amp;RIGHT("00"&amp;MOD(Sync!$L1318,100),2),""),IFERROR(RIGHT("0000"&amp;VALUE(TRIM(LEFT(Sync!$L1318,FIND("/",Sync!$L1318)-1))),4)&amp;"/"&amp;RIGHT("00"&amp;VALUE(TRIM(LEFT(MID(Sync!$L1318,FIND("/",Sync!$L1318)+1,20),FIND("/",MID(Sync!$L1318,FIND("/",Sync!$L1318)+1,20))-1))),2)&amp;"/"&amp;RIGHT("00"&amp;VALUE(TRIM(MID(MID(Sync!$L1318,FIND("/",Sync!$L1318)+1,20),FIND("/",MID(Sync!$L1318,FIND("/",Sync!$L1318)+1,20))+1,20))),2),"")))</f>
        <v/>
      </c>
    </row>
    <row r="1319" spans="13:14" x14ac:dyDescent="0.2">
      <c r="M1319" t="str">
        <f>IF(Sync!$M1319&lt;&gt;"پاس چک","",IF(Sync!$P1319="","",Sync!$P1319))</f>
        <v/>
      </c>
      <c r="N1319" t="str">
        <f>IF($M1319="","",IF(ISNUMBER(Sync!$L1319),IF(AND(Sync!$L1319&gt;=10000101,Sync!$L1319&lt;=99991231),RIGHT("0000"&amp;INT(Sync!$L1319/10000),4)&amp;"/"&amp;RIGHT("00"&amp;INT(MOD(Sync!$L1319,10000)/100),2)&amp;"/"&amp;RIGHT("00"&amp;MOD(Sync!$L1319,100),2),""),IFERROR(RIGHT("0000"&amp;VALUE(TRIM(LEFT(Sync!$L1319,FIND("/",Sync!$L1319)-1))),4)&amp;"/"&amp;RIGHT("00"&amp;VALUE(TRIM(LEFT(MID(Sync!$L1319,FIND("/",Sync!$L1319)+1,20),FIND("/",MID(Sync!$L1319,FIND("/",Sync!$L1319)+1,20))-1))),2)&amp;"/"&amp;RIGHT("00"&amp;VALUE(TRIM(MID(MID(Sync!$L1319,FIND("/",Sync!$L1319)+1,20),FIND("/",MID(Sync!$L1319,FIND("/",Sync!$L1319)+1,20))+1,20))),2),"")))</f>
        <v/>
      </c>
    </row>
    <row r="1320" spans="13:14" x14ac:dyDescent="0.2">
      <c r="M1320" t="str">
        <f>IF(Sync!$M1320&lt;&gt;"پاس چک","",IF(Sync!$P1320="","",Sync!$P1320))</f>
        <v/>
      </c>
      <c r="N1320" t="str">
        <f>IF($M1320="","",IF(ISNUMBER(Sync!$L1320),IF(AND(Sync!$L1320&gt;=10000101,Sync!$L1320&lt;=99991231),RIGHT("0000"&amp;INT(Sync!$L1320/10000),4)&amp;"/"&amp;RIGHT("00"&amp;INT(MOD(Sync!$L1320,10000)/100),2)&amp;"/"&amp;RIGHT("00"&amp;MOD(Sync!$L1320,100),2),""),IFERROR(RIGHT("0000"&amp;VALUE(TRIM(LEFT(Sync!$L1320,FIND("/",Sync!$L1320)-1))),4)&amp;"/"&amp;RIGHT("00"&amp;VALUE(TRIM(LEFT(MID(Sync!$L1320,FIND("/",Sync!$L1320)+1,20),FIND("/",MID(Sync!$L1320,FIND("/",Sync!$L1320)+1,20))-1))),2)&amp;"/"&amp;RIGHT("00"&amp;VALUE(TRIM(MID(MID(Sync!$L1320,FIND("/",Sync!$L1320)+1,20),FIND("/",MID(Sync!$L1320,FIND("/",Sync!$L1320)+1,20))+1,20))),2),"")))</f>
        <v/>
      </c>
    </row>
    <row r="1321" spans="13:14" x14ac:dyDescent="0.2">
      <c r="M1321" t="str">
        <f>IF(Sync!$M1321&lt;&gt;"پاس چک","",IF(Sync!$P1321="","",Sync!$P1321))</f>
        <v/>
      </c>
      <c r="N1321" t="str">
        <f>IF($M1321="","",IF(ISNUMBER(Sync!$L1321),IF(AND(Sync!$L1321&gt;=10000101,Sync!$L1321&lt;=99991231),RIGHT("0000"&amp;INT(Sync!$L1321/10000),4)&amp;"/"&amp;RIGHT("00"&amp;INT(MOD(Sync!$L1321,10000)/100),2)&amp;"/"&amp;RIGHT("00"&amp;MOD(Sync!$L1321,100),2),""),IFERROR(RIGHT("0000"&amp;VALUE(TRIM(LEFT(Sync!$L1321,FIND("/",Sync!$L1321)-1))),4)&amp;"/"&amp;RIGHT("00"&amp;VALUE(TRIM(LEFT(MID(Sync!$L1321,FIND("/",Sync!$L1321)+1,20),FIND("/",MID(Sync!$L1321,FIND("/",Sync!$L1321)+1,20))-1))),2)&amp;"/"&amp;RIGHT("00"&amp;VALUE(TRIM(MID(MID(Sync!$L1321,FIND("/",Sync!$L1321)+1,20),FIND("/",MID(Sync!$L1321,FIND("/",Sync!$L1321)+1,20))+1,20))),2),"")))</f>
        <v/>
      </c>
    </row>
    <row r="1322" spans="13:14" x14ac:dyDescent="0.2">
      <c r="M1322" t="str">
        <f>IF(Sync!$M1322&lt;&gt;"پاس چک","",IF(Sync!$P1322="","",Sync!$P1322))</f>
        <v/>
      </c>
      <c r="N1322" t="str">
        <f>IF($M1322="","",IF(ISNUMBER(Sync!$L1322),IF(AND(Sync!$L1322&gt;=10000101,Sync!$L1322&lt;=99991231),RIGHT("0000"&amp;INT(Sync!$L1322/10000),4)&amp;"/"&amp;RIGHT("00"&amp;INT(MOD(Sync!$L1322,10000)/100),2)&amp;"/"&amp;RIGHT("00"&amp;MOD(Sync!$L1322,100),2),""),IFERROR(RIGHT("0000"&amp;VALUE(TRIM(LEFT(Sync!$L1322,FIND("/",Sync!$L1322)-1))),4)&amp;"/"&amp;RIGHT("00"&amp;VALUE(TRIM(LEFT(MID(Sync!$L1322,FIND("/",Sync!$L1322)+1,20),FIND("/",MID(Sync!$L1322,FIND("/",Sync!$L1322)+1,20))-1))),2)&amp;"/"&amp;RIGHT("00"&amp;VALUE(TRIM(MID(MID(Sync!$L1322,FIND("/",Sync!$L1322)+1,20),FIND("/",MID(Sync!$L1322,FIND("/",Sync!$L1322)+1,20))+1,20))),2),"")))</f>
        <v/>
      </c>
    </row>
    <row r="1323" spans="13:14" x14ac:dyDescent="0.2">
      <c r="M1323" t="str">
        <f>IF(Sync!$M1323&lt;&gt;"پاس چک","",IF(Sync!$P1323="","",Sync!$P1323))</f>
        <v/>
      </c>
      <c r="N1323" t="str">
        <f>IF($M1323="","",IF(ISNUMBER(Sync!$L1323),IF(AND(Sync!$L1323&gt;=10000101,Sync!$L1323&lt;=99991231),RIGHT("0000"&amp;INT(Sync!$L1323/10000),4)&amp;"/"&amp;RIGHT("00"&amp;INT(MOD(Sync!$L1323,10000)/100),2)&amp;"/"&amp;RIGHT("00"&amp;MOD(Sync!$L1323,100),2),""),IFERROR(RIGHT("0000"&amp;VALUE(TRIM(LEFT(Sync!$L1323,FIND("/",Sync!$L1323)-1))),4)&amp;"/"&amp;RIGHT("00"&amp;VALUE(TRIM(LEFT(MID(Sync!$L1323,FIND("/",Sync!$L1323)+1,20),FIND("/",MID(Sync!$L1323,FIND("/",Sync!$L1323)+1,20))-1))),2)&amp;"/"&amp;RIGHT("00"&amp;VALUE(TRIM(MID(MID(Sync!$L1323,FIND("/",Sync!$L1323)+1,20),FIND("/",MID(Sync!$L1323,FIND("/",Sync!$L1323)+1,20))+1,20))),2),"")))</f>
        <v/>
      </c>
    </row>
    <row r="1324" spans="13:14" x14ac:dyDescent="0.2">
      <c r="M1324" t="str">
        <f>IF(Sync!$M1324&lt;&gt;"پاس چک","",IF(Sync!$P1324="","",Sync!$P1324))</f>
        <v/>
      </c>
      <c r="N1324" t="str">
        <f>IF($M1324="","",IF(ISNUMBER(Sync!$L1324),IF(AND(Sync!$L1324&gt;=10000101,Sync!$L1324&lt;=99991231),RIGHT("0000"&amp;INT(Sync!$L1324/10000),4)&amp;"/"&amp;RIGHT("00"&amp;INT(MOD(Sync!$L1324,10000)/100),2)&amp;"/"&amp;RIGHT("00"&amp;MOD(Sync!$L1324,100),2),""),IFERROR(RIGHT("0000"&amp;VALUE(TRIM(LEFT(Sync!$L1324,FIND("/",Sync!$L1324)-1))),4)&amp;"/"&amp;RIGHT("00"&amp;VALUE(TRIM(LEFT(MID(Sync!$L1324,FIND("/",Sync!$L1324)+1,20),FIND("/",MID(Sync!$L1324,FIND("/",Sync!$L1324)+1,20))-1))),2)&amp;"/"&amp;RIGHT("00"&amp;VALUE(TRIM(MID(MID(Sync!$L1324,FIND("/",Sync!$L1324)+1,20),FIND("/",MID(Sync!$L1324,FIND("/",Sync!$L1324)+1,20))+1,20))),2),"")))</f>
        <v/>
      </c>
    </row>
    <row r="1325" spans="13:14" x14ac:dyDescent="0.2">
      <c r="M1325" t="str">
        <f>IF(Sync!$M1325&lt;&gt;"پاس چک","",IF(Sync!$P1325="","",Sync!$P1325))</f>
        <v/>
      </c>
      <c r="N1325" t="str">
        <f>IF($M1325="","",IF(ISNUMBER(Sync!$L1325),IF(AND(Sync!$L1325&gt;=10000101,Sync!$L1325&lt;=99991231),RIGHT("0000"&amp;INT(Sync!$L1325/10000),4)&amp;"/"&amp;RIGHT("00"&amp;INT(MOD(Sync!$L1325,10000)/100),2)&amp;"/"&amp;RIGHT("00"&amp;MOD(Sync!$L1325,100),2),""),IFERROR(RIGHT("0000"&amp;VALUE(TRIM(LEFT(Sync!$L1325,FIND("/",Sync!$L1325)-1))),4)&amp;"/"&amp;RIGHT("00"&amp;VALUE(TRIM(LEFT(MID(Sync!$L1325,FIND("/",Sync!$L1325)+1,20),FIND("/",MID(Sync!$L1325,FIND("/",Sync!$L1325)+1,20))-1))),2)&amp;"/"&amp;RIGHT("00"&amp;VALUE(TRIM(MID(MID(Sync!$L1325,FIND("/",Sync!$L1325)+1,20),FIND("/",MID(Sync!$L1325,FIND("/",Sync!$L1325)+1,20))+1,20))),2),"")))</f>
        <v/>
      </c>
    </row>
    <row r="1326" spans="13:14" x14ac:dyDescent="0.2">
      <c r="M1326" t="str">
        <f>IF(Sync!$M1326&lt;&gt;"پاس چک","",IF(Sync!$P1326="","",Sync!$P1326))</f>
        <v/>
      </c>
      <c r="N1326" t="str">
        <f>IF($M1326="","",IF(ISNUMBER(Sync!$L1326),IF(AND(Sync!$L1326&gt;=10000101,Sync!$L1326&lt;=99991231),RIGHT("0000"&amp;INT(Sync!$L1326/10000),4)&amp;"/"&amp;RIGHT("00"&amp;INT(MOD(Sync!$L1326,10000)/100),2)&amp;"/"&amp;RIGHT("00"&amp;MOD(Sync!$L1326,100),2),""),IFERROR(RIGHT("0000"&amp;VALUE(TRIM(LEFT(Sync!$L1326,FIND("/",Sync!$L1326)-1))),4)&amp;"/"&amp;RIGHT("00"&amp;VALUE(TRIM(LEFT(MID(Sync!$L1326,FIND("/",Sync!$L1326)+1,20),FIND("/",MID(Sync!$L1326,FIND("/",Sync!$L1326)+1,20))-1))),2)&amp;"/"&amp;RIGHT("00"&amp;VALUE(TRIM(MID(MID(Sync!$L1326,FIND("/",Sync!$L1326)+1,20),FIND("/",MID(Sync!$L1326,FIND("/",Sync!$L1326)+1,20))+1,20))),2),"")))</f>
        <v/>
      </c>
    </row>
    <row r="1327" spans="13:14" x14ac:dyDescent="0.2">
      <c r="M1327" t="str">
        <f>IF(Sync!$M1327&lt;&gt;"پاس چک","",IF(Sync!$P1327="","",Sync!$P1327))</f>
        <v/>
      </c>
      <c r="N1327" t="str">
        <f>IF($M1327="","",IF(ISNUMBER(Sync!$L1327),IF(AND(Sync!$L1327&gt;=10000101,Sync!$L1327&lt;=99991231),RIGHT("0000"&amp;INT(Sync!$L1327/10000),4)&amp;"/"&amp;RIGHT("00"&amp;INT(MOD(Sync!$L1327,10000)/100),2)&amp;"/"&amp;RIGHT("00"&amp;MOD(Sync!$L1327,100),2),""),IFERROR(RIGHT("0000"&amp;VALUE(TRIM(LEFT(Sync!$L1327,FIND("/",Sync!$L1327)-1))),4)&amp;"/"&amp;RIGHT("00"&amp;VALUE(TRIM(LEFT(MID(Sync!$L1327,FIND("/",Sync!$L1327)+1,20),FIND("/",MID(Sync!$L1327,FIND("/",Sync!$L1327)+1,20))-1))),2)&amp;"/"&amp;RIGHT("00"&amp;VALUE(TRIM(MID(MID(Sync!$L1327,FIND("/",Sync!$L1327)+1,20),FIND("/",MID(Sync!$L1327,FIND("/",Sync!$L1327)+1,20))+1,20))),2),"")))</f>
        <v/>
      </c>
    </row>
    <row r="1328" spans="13:14" x14ac:dyDescent="0.2">
      <c r="M1328" t="str">
        <f>IF(Sync!$M1328&lt;&gt;"پاس چک","",IF(Sync!$P1328="","",Sync!$P1328))</f>
        <v/>
      </c>
      <c r="N1328" t="str">
        <f>IF($M1328="","",IF(ISNUMBER(Sync!$L1328),IF(AND(Sync!$L1328&gt;=10000101,Sync!$L1328&lt;=99991231),RIGHT("0000"&amp;INT(Sync!$L1328/10000),4)&amp;"/"&amp;RIGHT("00"&amp;INT(MOD(Sync!$L1328,10000)/100),2)&amp;"/"&amp;RIGHT("00"&amp;MOD(Sync!$L1328,100),2),""),IFERROR(RIGHT("0000"&amp;VALUE(TRIM(LEFT(Sync!$L1328,FIND("/",Sync!$L1328)-1))),4)&amp;"/"&amp;RIGHT("00"&amp;VALUE(TRIM(LEFT(MID(Sync!$L1328,FIND("/",Sync!$L1328)+1,20),FIND("/",MID(Sync!$L1328,FIND("/",Sync!$L1328)+1,20))-1))),2)&amp;"/"&amp;RIGHT("00"&amp;VALUE(TRIM(MID(MID(Sync!$L1328,FIND("/",Sync!$L1328)+1,20),FIND("/",MID(Sync!$L1328,FIND("/",Sync!$L1328)+1,20))+1,20))),2),"")))</f>
        <v/>
      </c>
    </row>
    <row r="1329" spans="13:14" x14ac:dyDescent="0.2">
      <c r="M1329" t="str">
        <f>IF(Sync!$M1329&lt;&gt;"پاس چک","",IF(Sync!$P1329="","",Sync!$P1329))</f>
        <v/>
      </c>
      <c r="N1329" t="str">
        <f>IF($M1329="","",IF(ISNUMBER(Sync!$L1329),IF(AND(Sync!$L1329&gt;=10000101,Sync!$L1329&lt;=99991231),RIGHT("0000"&amp;INT(Sync!$L1329/10000),4)&amp;"/"&amp;RIGHT("00"&amp;INT(MOD(Sync!$L1329,10000)/100),2)&amp;"/"&amp;RIGHT("00"&amp;MOD(Sync!$L1329,100),2),""),IFERROR(RIGHT("0000"&amp;VALUE(TRIM(LEFT(Sync!$L1329,FIND("/",Sync!$L1329)-1))),4)&amp;"/"&amp;RIGHT("00"&amp;VALUE(TRIM(LEFT(MID(Sync!$L1329,FIND("/",Sync!$L1329)+1,20),FIND("/",MID(Sync!$L1329,FIND("/",Sync!$L1329)+1,20))-1))),2)&amp;"/"&amp;RIGHT("00"&amp;VALUE(TRIM(MID(MID(Sync!$L1329,FIND("/",Sync!$L1329)+1,20),FIND("/",MID(Sync!$L1329,FIND("/",Sync!$L1329)+1,20))+1,20))),2),"")))</f>
        <v/>
      </c>
    </row>
    <row r="1330" spans="13:14" x14ac:dyDescent="0.2">
      <c r="M1330" t="str">
        <f>IF(Sync!$M1330&lt;&gt;"پاس چک","",IF(Sync!$P1330="","",Sync!$P1330))</f>
        <v/>
      </c>
      <c r="N1330" t="str">
        <f>IF($M1330="","",IF(ISNUMBER(Sync!$L1330),IF(AND(Sync!$L1330&gt;=10000101,Sync!$L1330&lt;=99991231),RIGHT("0000"&amp;INT(Sync!$L1330/10000),4)&amp;"/"&amp;RIGHT("00"&amp;INT(MOD(Sync!$L1330,10000)/100),2)&amp;"/"&amp;RIGHT("00"&amp;MOD(Sync!$L1330,100),2),""),IFERROR(RIGHT("0000"&amp;VALUE(TRIM(LEFT(Sync!$L1330,FIND("/",Sync!$L1330)-1))),4)&amp;"/"&amp;RIGHT("00"&amp;VALUE(TRIM(LEFT(MID(Sync!$L1330,FIND("/",Sync!$L1330)+1,20),FIND("/",MID(Sync!$L1330,FIND("/",Sync!$L1330)+1,20))-1))),2)&amp;"/"&amp;RIGHT("00"&amp;VALUE(TRIM(MID(MID(Sync!$L1330,FIND("/",Sync!$L1330)+1,20),FIND("/",MID(Sync!$L1330,FIND("/",Sync!$L1330)+1,20))+1,20))),2),"")))</f>
        <v/>
      </c>
    </row>
    <row r="1331" spans="13:14" x14ac:dyDescent="0.2">
      <c r="M1331" t="str">
        <f>IF(Sync!$M1331&lt;&gt;"پاس چک","",IF(Sync!$P1331="","",Sync!$P1331))</f>
        <v/>
      </c>
      <c r="N1331" t="str">
        <f>IF($M1331="","",IF(ISNUMBER(Sync!$L1331),IF(AND(Sync!$L1331&gt;=10000101,Sync!$L1331&lt;=99991231),RIGHT("0000"&amp;INT(Sync!$L1331/10000),4)&amp;"/"&amp;RIGHT("00"&amp;INT(MOD(Sync!$L1331,10000)/100),2)&amp;"/"&amp;RIGHT("00"&amp;MOD(Sync!$L1331,100),2),""),IFERROR(RIGHT("0000"&amp;VALUE(TRIM(LEFT(Sync!$L1331,FIND("/",Sync!$L1331)-1))),4)&amp;"/"&amp;RIGHT("00"&amp;VALUE(TRIM(LEFT(MID(Sync!$L1331,FIND("/",Sync!$L1331)+1,20),FIND("/",MID(Sync!$L1331,FIND("/",Sync!$L1331)+1,20))-1))),2)&amp;"/"&amp;RIGHT("00"&amp;VALUE(TRIM(MID(MID(Sync!$L1331,FIND("/",Sync!$L1331)+1,20),FIND("/",MID(Sync!$L1331,FIND("/",Sync!$L1331)+1,20))+1,20))),2),"")))</f>
        <v/>
      </c>
    </row>
    <row r="1332" spans="13:14" x14ac:dyDescent="0.2">
      <c r="M1332" t="str">
        <f>IF(Sync!$M1332&lt;&gt;"پاس چک","",IF(Sync!$P1332="","",Sync!$P1332))</f>
        <v/>
      </c>
      <c r="N1332" t="str">
        <f>IF($M1332="","",IF(ISNUMBER(Sync!$L1332),IF(AND(Sync!$L1332&gt;=10000101,Sync!$L1332&lt;=99991231),RIGHT("0000"&amp;INT(Sync!$L1332/10000),4)&amp;"/"&amp;RIGHT("00"&amp;INT(MOD(Sync!$L1332,10000)/100),2)&amp;"/"&amp;RIGHT("00"&amp;MOD(Sync!$L1332,100),2),""),IFERROR(RIGHT("0000"&amp;VALUE(TRIM(LEFT(Sync!$L1332,FIND("/",Sync!$L1332)-1))),4)&amp;"/"&amp;RIGHT("00"&amp;VALUE(TRIM(LEFT(MID(Sync!$L1332,FIND("/",Sync!$L1332)+1,20),FIND("/",MID(Sync!$L1332,FIND("/",Sync!$L1332)+1,20))-1))),2)&amp;"/"&amp;RIGHT("00"&amp;VALUE(TRIM(MID(MID(Sync!$L1332,FIND("/",Sync!$L1332)+1,20),FIND("/",MID(Sync!$L1332,FIND("/",Sync!$L1332)+1,20))+1,20))),2),"")))</f>
        <v/>
      </c>
    </row>
    <row r="1333" spans="13:14" x14ac:dyDescent="0.2">
      <c r="M1333" t="str">
        <f>IF(Sync!$M1333&lt;&gt;"پاس چک","",IF(Sync!$P1333="","",Sync!$P1333))</f>
        <v/>
      </c>
      <c r="N1333" t="str">
        <f>IF($M1333="","",IF(ISNUMBER(Sync!$L1333),IF(AND(Sync!$L1333&gt;=10000101,Sync!$L1333&lt;=99991231),RIGHT("0000"&amp;INT(Sync!$L1333/10000),4)&amp;"/"&amp;RIGHT("00"&amp;INT(MOD(Sync!$L1333,10000)/100),2)&amp;"/"&amp;RIGHT("00"&amp;MOD(Sync!$L1333,100),2),""),IFERROR(RIGHT("0000"&amp;VALUE(TRIM(LEFT(Sync!$L1333,FIND("/",Sync!$L1333)-1))),4)&amp;"/"&amp;RIGHT("00"&amp;VALUE(TRIM(LEFT(MID(Sync!$L1333,FIND("/",Sync!$L1333)+1,20),FIND("/",MID(Sync!$L1333,FIND("/",Sync!$L1333)+1,20))-1))),2)&amp;"/"&amp;RIGHT("00"&amp;VALUE(TRIM(MID(MID(Sync!$L1333,FIND("/",Sync!$L1333)+1,20),FIND("/",MID(Sync!$L1333,FIND("/",Sync!$L1333)+1,20))+1,20))),2),"")))</f>
        <v/>
      </c>
    </row>
    <row r="1334" spans="13:14" x14ac:dyDescent="0.2">
      <c r="M1334" t="str">
        <f>IF(Sync!$M1334&lt;&gt;"پاس چک","",IF(Sync!$P1334="","",Sync!$P1334))</f>
        <v/>
      </c>
      <c r="N1334" t="str">
        <f>IF($M1334="","",IF(ISNUMBER(Sync!$L1334),IF(AND(Sync!$L1334&gt;=10000101,Sync!$L1334&lt;=99991231),RIGHT("0000"&amp;INT(Sync!$L1334/10000),4)&amp;"/"&amp;RIGHT("00"&amp;INT(MOD(Sync!$L1334,10000)/100),2)&amp;"/"&amp;RIGHT("00"&amp;MOD(Sync!$L1334,100),2),""),IFERROR(RIGHT("0000"&amp;VALUE(TRIM(LEFT(Sync!$L1334,FIND("/",Sync!$L1334)-1))),4)&amp;"/"&amp;RIGHT("00"&amp;VALUE(TRIM(LEFT(MID(Sync!$L1334,FIND("/",Sync!$L1334)+1,20),FIND("/",MID(Sync!$L1334,FIND("/",Sync!$L1334)+1,20))-1))),2)&amp;"/"&amp;RIGHT("00"&amp;VALUE(TRIM(MID(MID(Sync!$L1334,FIND("/",Sync!$L1334)+1,20),FIND("/",MID(Sync!$L1334,FIND("/",Sync!$L1334)+1,20))+1,20))),2),"")))</f>
        <v/>
      </c>
    </row>
    <row r="1335" spans="13:14" x14ac:dyDescent="0.2">
      <c r="M1335" t="str">
        <f>IF(Sync!$M1335&lt;&gt;"پاس چک","",IF(Sync!$P1335="","",Sync!$P1335))</f>
        <v/>
      </c>
      <c r="N1335" t="str">
        <f>IF($M1335="","",IF(ISNUMBER(Sync!$L1335),IF(AND(Sync!$L1335&gt;=10000101,Sync!$L1335&lt;=99991231),RIGHT("0000"&amp;INT(Sync!$L1335/10000),4)&amp;"/"&amp;RIGHT("00"&amp;INT(MOD(Sync!$L1335,10000)/100),2)&amp;"/"&amp;RIGHT("00"&amp;MOD(Sync!$L1335,100),2),""),IFERROR(RIGHT("0000"&amp;VALUE(TRIM(LEFT(Sync!$L1335,FIND("/",Sync!$L1335)-1))),4)&amp;"/"&amp;RIGHT("00"&amp;VALUE(TRIM(LEFT(MID(Sync!$L1335,FIND("/",Sync!$L1335)+1,20),FIND("/",MID(Sync!$L1335,FIND("/",Sync!$L1335)+1,20))-1))),2)&amp;"/"&amp;RIGHT("00"&amp;VALUE(TRIM(MID(MID(Sync!$L1335,FIND("/",Sync!$L1335)+1,20),FIND("/",MID(Sync!$L1335,FIND("/",Sync!$L1335)+1,20))+1,20))),2),"")))</f>
        <v/>
      </c>
    </row>
    <row r="1336" spans="13:14" x14ac:dyDescent="0.2">
      <c r="M1336" t="str">
        <f>IF(Sync!$M1336&lt;&gt;"پاس چک","",IF(Sync!$P1336="","",Sync!$P1336))</f>
        <v/>
      </c>
      <c r="N1336" t="str">
        <f>IF($M1336="","",IF(ISNUMBER(Sync!$L1336),IF(AND(Sync!$L1336&gt;=10000101,Sync!$L1336&lt;=99991231),RIGHT("0000"&amp;INT(Sync!$L1336/10000),4)&amp;"/"&amp;RIGHT("00"&amp;INT(MOD(Sync!$L1336,10000)/100),2)&amp;"/"&amp;RIGHT("00"&amp;MOD(Sync!$L1336,100),2),""),IFERROR(RIGHT("0000"&amp;VALUE(TRIM(LEFT(Sync!$L1336,FIND("/",Sync!$L1336)-1))),4)&amp;"/"&amp;RIGHT("00"&amp;VALUE(TRIM(LEFT(MID(Sync!$L1336,FIND("/",Sync!$L1336)+1,20),FIND("/",MID(Sync!$L1336,FIND("/",Sync!$L1336)+1,20))-1))),2)&amp;"/"&amp;RIGHT("00"&amp;VALUE(TRIM(MID(MID(Sync!$L1336,FIND("/",Sync!$L1336)+1,20),FIND("/",MID(Sync!$L1336,FIND("/",Sync!$L1336)+1,20))+1,20))),2),"")))</f>
        <v/>
      </c>
    </row>
    <row r="1337" spans="13:14" x14ac:dyDescent="0.2">
      <c r="M1337" t="str">
        <f>IF(Sync!$M1337&lt;&gt;"پاس چک","",IF(Sync!$P1337="","",Sync!$P1337))</f>
        <v/>
      </c>
      <c r="N1337" t="str">
        <f>IF($M1337="","",IF(ISNUMBER(Sync!$L1337),IF(AND(Sync!$L1337&gt;=10000101,Sync!$L1337&lt;=99991231),RIGHT("0000"&amp;INT(Sync!$L1337/10000),4)&amp;"/"&amp;RIGHT("00"&amp;INT(MOD(Sync!$L1337,10000)/100),2)&amp;"/"&amp;RIGHT("00"&amp;MOD(Sync!$L1337,100),2),""),IFERROR(RIGHT("0000"&amp;VALUE(TRIM(LEFT(Sync!$L1337,FIND("/",Sync!$L1337)-1))),4)&amp;"/"&amp;RIGHT("00"&amp;VALUE(TRIM(LEFT(MID(Sync!$L1337,FIND("/",Sync!$L1337)+1,20),FIND("/",MID(Sync!$L1337,FIND("/",Sync!$L1337)+1,20))-1))),2)&amp;"/"&amp;RIGHT("00"&amp;VALUE(TRIM(MID(MID(Sync!$L1337,FIND("/",Sync!$L1337)+1,20),FIND("/",MID(Sync!$L1337,FIND("/",Sync!$L1337)+1,20))+1,20))),2),"")))</f>
        <v/>
      </c>
    </row>
    <row r="1338" spans="13:14" x14ac:dyDescent="0.2">
      <c r="M1338" t="str">
        <f>IF(Sync!$M1338&lt;&gt;"پاس چک","",IF(Sync!$P1338="","",Sync!$P1338))</f>
        <v/>
      </c>
      <c r="N1338" t="str">
        <f>IF($M1338="","",IF(ISNUMBER(Sync!$L1338),IF(AND(Sync!$L1338&gt;=10000101,Sync!$L1338&lt;=99991231),RIGHT("0000"&amp;INT(Sync!$L1338/10000),4)&amp;"/"&amp;RIGHT("00"&amp;INT(MOD(Sync!$L1338,10000)/100),2)&amp;"/"&amp;RIGHT("00"&amp;MOD(Sync!$L1338,100),2),""),IFERROR(RIGHT("0000"&amp;VALUE(TRIM(LEFT(Sync!$L1338,FIND("/",Sync!$L1338)-1))),4)&amp;"/"&amp;RIGHT("00"&amp;VALUE(TRIM(LEFT(MID(Sync!$L1338,FIND("/",Sync!$L1338)+1,20),FIND("/",MID(Sync!$L1338,FIND("/",Sync!$L1338)+1,20))-1))),2)&amp;"/"&amp;RIGHT("00"&amp;VALUE(TRIM(MID(MID(Sync!$L1338,FIND("/",Sync!$L1338)+1,20),FIND("/",MID(Sync!$L1338,FIND("/",Sync!$L1338)+1,20))+1,20))),2),"")))</f>
        <v/>
      </c>
    </row>
    <row r="1339" spans="13:14" x14ac:dyDescent="0.2">
      <c r="M1339" t="str">
        <f>IF(Sync!$M1339&lt;&gt;"پاس چک","",IF(Sync!$P1339="","",Sync!$P1339))</f>
        <v/>
      </c>
      <c r="N1339" t="str">
        <f>IF($M1339="","",IF(ISNUMBER(Sync!$L1339),IF(AND(Sync!$L1339&gt;=10000101,Sync!$L1339&lt;=99991231),RIGHT("0000"&amp;INT(Sync!$L1339/10000),4)&amp;"/"&amp;RIGHT("00"&amp;INT(MOD(Sync!$L1339,10000)/100),2)&amp;"/"&amp;RIGHT("00"&amp;MOD(Sync!$L1339,100),2),""),IFERROR(RIGHT("0000"&amp;VALUE(TRIM(LEFT(Sync!$L1339,FIND("/",Sync!$L1339)-1))),4)&amp;"/"&amp;RIGHT("00"&amp;VALUE(TRIM(LEFT(MID(Sync!$L1339,FIND("/",Sync!$L1339)+1,20),FIND("/",MID(Sync!$L1339,FIND("/",Sync!$L1339)+1,20))-1))),2)&amp;"/"&amp;RIGHT("00"&amp;VALUE(TRIM(MID(MID(Sync!$L1339,FIND("/",Sync!$L1339)+1,20),FIND("/",MID(Sync!$L1339,FIND("/",Sync!$L1339)+1,20))+1,20))),2),"")))</f>
        <v/>
      </c>
    </row>
    <row r="1340" spans="13:14" x14ac:dyDescent="0.2">
      <c r="M1340" t="str">
        <f>IF(Sync!$M1340&lt;&gt;"پاس چک","",IF(Sync!$P1340="","",Sync!$P1340))</f>
        <v/>
      </c>
      <c r="N1340" t="str">
        <f>IF($M1340="","",IF(ISNUMBER(Sync!$L1340),IF(AND(Sync!$L1340&gt;=10000101,Sync!$L1340&lt;=99991231),RIGHT("0000"&amp;INT(Sync!$L1340/10000),4)&amp;"/"&amp;RIGHT("00"&amp;INT(MOD(Sync!$L1340,10000)/100),2)&amp;"/"&amp;RIGHT("00"&amp;MOD(Sync!$L1340,100),2),""),IFERROR(RIGHT("0000"&amp;VALUE(TRIM(LEFT(Sync!$L1340,FIND("/",Sync!$L1340)-1))),4)&amp;"/"&amp;RIGHT("00"&amp;VALUE(TRIM(LEFT(MID(Sync!$L1340,FIND("/",Sync!$L1340)+1,20),FIND("/",MID(Sync!$L1340,FIND("/",Sync!$L1340)+1,20))-1))),2)&amp;"/"&amp;RIGHT("00"&amp;VALUE(TRIM(MID(MID(Sync!$L1340,FIND("/",Sync!$L1340)+1,20),FIND("/",MID(Sync!$L1340,FIND("/",Sync!$L1340)+1,20))+1,20))),2),"")))</f>
        <v/>
      </c>
    </row>
    <row r="1341" spans="13:14" x14ac:dyDescent="0.2">
      <c r="M1341" t="str">
        <f>IF(Sync!$M1341&lt;&gt;"پاس چک","",IF(Sync!$P1341="","",Sync!$P1341))</f>
        <v/>
      </c>
      <c r="N1341" t="str">
        <f>IF($M1341="","",IF(ISNUMBER(Sync!$L1341),IF(AND(Sync!$L1341&gt;=10000101,Sync!$L1341&lt;=99991231),RIGHT("0000"&amp;INT(Sync!$L1341/10000),4)&amp;"/"&amp;RIGHT("00"&amp;INT(MOD(Sync!$L1341,10000)/100),2)&amp;"/"&amp;RIGHT("00"&amp;MOD(Sync!$L1341,100),2),""),IFERROR(RIGHT("0000"&amp;VALUE(TRIM(LEFT(Sync!$L1341,FIND("/",Sync!$L1341)-1))),4)&amp;"/"&amp;RIGHT("00"&amp;VALUE(TRIM(LEFT(MID(Sync!$L1341,FIND("/",Sync!$L1341)+1,20),FIND("/",MID(Sync!$L1341,FIND("/",Sync!$L1341)+1,20))-1))),2)&amp;"/"&amp;RIGHT("00"&amp;VALUE(TRIM(MID(MID(Sync!$L1341,FIND("/",Sync!$L1341)+1,20),FIND("/",MID(Sync!$L1341,FIND("/",Sync!$L1341)+1,20))+1,20))),2),"")))</f>
        <v/>
      </c>
    </row>
    <row r="1342" spans="13:14" x14ac:dyDescent="0.2">
      <c r="M1342" t="str">
        <f>IF(Sync!$M1342&lt;&gt;"پاس چک","",IF(Sync!$P1342="","",Sync!$P1342))</f>
        <v/>
      </c>
      <c r="N1342" t="str">
        <f>IF($M1342="","",IF(ISNUMBER(Sync!$L1342),IF(AND(Sync!$L1342&gt;=10000101,Sync!$L1342&lt;=99991231),RIGHT("0000"&amp;INT(Sync!$L1342/10000),4)&amp;"/"&amp;RIGHT("00"&amp;INT(MOD(Sync!$L1342,10000)/100),2)&amp;"/"&amp;RIGHT("00"&amp;MOD(Sync!$L1342,100),2),""),IFERROR(RIGHT("0000"&amp;VALUE(TRIM(LEFT(Sync!$L1342,FIND("/",Sync!$L1342)-1))),4)&amp;"/"&amp;RIGHT("00"&amp;VALUE(TRIM(LEFT(MID(Sync!$L1342,FIND("/",Sync!$L1342)+1,20),FIND("/",MID(Sync!$L1342,FIND("/",Sync!$L1342)+1,20))-1))),2)&amp;"/"&amp;RIGHT("00"&amp;VALUE(TRIM(MID(MID(Sync!$L1342,FIND("/",Sync!$L1342)+1,20),FIND("/",MID(Sync!$L1342,FIND("/",Sync!$L1342)+1,20))+1,20))),2),"")))</f>
        <v/>
      </c>
    </row>
    <row r="1343" spans="13:14" x14ac:dyDescent="0.2">
      <c r="M1343" t="str">
        <f>IF(Sync!$M1343&lt;&gt;"پاس چک","",IF(Sync!$P1343="","",Sync!$P1343))</f>
        <v/>
      </c>
      <c r="N1343" t="str">
        <f>IF($M1343="","",IF(ISNUMBER(Sync!$L1343),IF(AND(Sync!$L1343&gt;=10000101,Sync!$L1343&lt;=99991231),RIGHT("0000"&amp;INT(Sync!$L1343/10000),4)&amp;"/"&amp;RIGHT("00"&amp;INT(MOD(Sync!$L1343,10000)/100),2)&amp;"/"&amp;RIGHT("00"&amp;MOD(Sync!$L1343,100),2),""),IFERROR(RIGHT("0000"&amp;VALUE(TRIM(LEFT(Sync!$L1343,FIND("/",Sync!$L1343)-1))),4)&amp;"/"&amp;RIGHT("00"&amp;VALUE(TRIM(LEFT(MID(Sync!$L1343,FIND("/",Sync!$L1343)+1,20),FIND("/",MID(Sync!$L1343,FIND("/",Sync!$L1343)+1,20))-1))),2)&amp;"/"&amp;RIGHT("00"&amp;VALUE(TRIM(MID(MID(Sync!$L1343,FIND("/",Sync!$L1343)+1,20),FIND("/",MID(Sync!$L1343,FIND("/",Sync!$L1343)+1,20))+1,20))),2),"")))</f>
        <v/>
      </c>
    </row>
    <row r="1344" spans="13:14" x14ac:dyDescent="0.2">
      <c r="M1344" t="str">
        <f>IF(Sync!$M1344&lt;&gt;"پاس چک","",IF(Sync!$P1344="","",Sync!$P1344))</f>
        <v/>
      </c>
      <c r="N1344" t="str">
        <f>IF($M1344="","",IF(ISNUMBER(Sync!$L1344),IF(AND(Sync!$L1344&gt;=10000101,Sync!$L1344&lt;=99991231),RIGHT("0000"&amp;INT(Sync!$L1344/10000),4)&amp;"/"&amp;RIGHT("00"&amp;INT(MOD(Sync!$L1344,10000)/100),2)&amp;"/"&amp;RIGHT("00"&amp;MOD(Sync!$L1344,100),2),""),IFERROR(RIGHT("0000"&amp;VALUE(TRIM(LEFT(Sync!$L1344,FIND("/",Sync!$L1344)-1))),4)&amp;"/"&amp;RIGHT("00"&amp;VALUE(TRIM(LEFT(MID(Sync!$L1344,FIND("/",Sync!$L1344)+1,20),FIND("/",MID(Sync!$L1344,FIND("/",Sync!$L1344)+1,20))-1))),2)&amp;"/"&amp;RIGHT("00"&amp;VALUE(TRIM(MID(MID(Sync!$L1344,FIND("/",Sync!$L1344)+1,20),FIND("/",MID(Sync!$L1344,FIND("/",Sync!$L1344)+1,20))+1,20))),2),"")))</f>
        <v/>
      </c>
    </row>
    <row r="1345" spans="13:14" x14ac:dyDescent="0.2">
      <c r="M1345" t="str">
        <f>IF(Sync!$M1345&lt;&gt;"پاس چک","",IF(Sync!$P1345="","",Sync!$P1345))</f>
        <v/>
      </c>
      <c r="N1345" t="str">
        <f>IF($M1345="","",IF(ISNUMBER(Sync!$L1345),IF(AND(Sync!$L1345&gt;=10000101,Sync!$L1345&lt;=99991231),RIGHT("0000"&amp;INT(Sync!$L1345/10000),4)&amp;"/"&amp;RIGHT("00"&amp;INT(MOD(Sync!$L1345,10000)/100),2)&amp;"/"&amp;RIGHT("00"&amp;MOD(Sync!$L1345,100),2),""),IFERROR(RIGHT("0000"&amp;VALUE(TRIM(LEFT(Sync!$L1345,FIND("/",Sync!$L1345)-1))),4)&amp;"/"&amp;RIGHT("00"&amp;VALUE(TRIM(LEFT(MID(Sync!$L1345,FIND("/",Sync!$L1345)+1,20),FIND("/",MID(Sync!$L1345,FIND("/",Sync!$L1345)+1,20))-1))),2)&amp;"/"&amp;RIGHT("00"&amp;VALUE(TRIM(MID(MID(Sync!$L1345,FIND("/",Sync!$L1345)+1,20),FIND("/",MID(Sync!$L1345,FIND("/",Sync!$L1345)+1,20))+1,20))),2),"")))</f>
        <v/>
      </c>
    </row>
    <row r="1346" spans="13:14" x14ac:dyDescent="0.2">
      <c r="M1346" t="str">
        <f>IF(Sync!$M1346&lt;&gt;"پاس چک","",IF(Sync!$P1346="","",Sync!$P1346))</f>
        <v/>
      </c>
      <c r="N1346" t="str">
        <f>IF($M1346="","",IF(ISNUMBER(Sync!$L1346),IF(AND(Sync!$L1346&gt;=10000101,Sync!$L1346&lt;=99991231),RIGHT("0000"&amp;INT(Sync!$L1346/10000),4)&amp;"/"&amp;RIGHT("00"&amp;INT(MOD(Sync!$L1346,10000)/100),2)&amp;"/"&amp;RIGHT("00"&amp;MOD(Sync!$L1346,100),2),""),IFERROR(RIGHT("0000"&amp;VALUE(TRIM(LEFT(Sync!$L1346,FIND("/",Sync!$L1346)-1))),4)&amp;"/"&amp;RIGHT("00"&amp;VALUE(TRIM(LEFT(MID(Sync!$L1346,FIND("/",Sync!$L1346)+1,20),FIND("/",MID(Sync!$L1346,FIND("/",Sync!$L1346)+1,20))-1))),2)&amp;"/"&amp;RIGHT("00"&amp;VALUE(TRIM(MID(MID(Sync!$L1346,FIND("/",Sync!$L1346)+1,20),FIND("/",MID(Sync!$L1346,FIND("/",Sync!$L1346)+1,20))+1,20))),2),"")))</f>
        <v/>
      </c>
    </row>
    <row r="1347" spans="13:14" x14ac:dyDescent="0.2">
      <c r="M1347" t="str">
        <f>IF(Sync!$M1347&lt;&gt;"پاس چک","",IF(Sync!$P1347="","",Sync!$P1347))</f>
        <v/>
      </c>
      <c r="N1347" t="str">
        <f>IF($M1347="","",IF(ISNUMBER(Sync!$L1347),IF(AND(Sync!$L1347&gt;=10000101,Sync!$L1347&lt;=99991231),RIGHT("0000"&amp;INT(Sync!$L1347/10000),4)&amp;"/"&amp;RIGHT("00"&amp;INT(MOD(Sync!$L1347,10000)/100),2)&amp;"/"&amp;RIGHT("00"&amp;MOD(Sync!$L1347,100),2),""),IFERROR(RIGHT("0000"&amp;VALUE(TRIM(LEFT(Sync!$L1347,FIND("/",Sync!$L1347)-1))),4)&amp;"/"&amp;RIGHT("00"&amp;VALUE(TRIM(LEFT(MID(Sync!$L1347,FIND("/",Sync!$L1347)+1,20),FIND("/",MID(Sync!$L1347,FIND("/",Sync!$L1347)+1,20))-1))),2)&amp;"/"&amp;RIGHT("00"&amp;VALUE(TRIM(MID(MID(Sync!$L1347,FIND("/",Sync!$L1347)+1,20),FIND("/",MID(Sync!$L1347,FIND("/",Sync!$L1347)+1,20))+1,20))),2),"")))</f>
        <v/>
      </c>
    </row>
    <row r="1348" spans="13:14" x14ac:dyDescent="0.2">
      <c r="M1348" t="str">
        <f>IF(Sync!$M1348&lt;&gt;"پاس چک","",IF(Sync!$P1348="","",Sync!$P1348))</f>
        <v/>
      </c>
      <c r="N1348" t="str">
        <f>IF($M1348="","",IF(ISNUMBER(Sync!$L1348),IF(AND(Sync!$L1348&gt;=10000101,Sync!$L1348&lt;=99991231),RIGHT("0000"&amp;INT(Sync!$L1348/10000),4)&amp;"/"&amp;RIGHT("00"&amp;INT(MOD(Sync!$L1348,10000)/100),2)&amp;"/"&amp;RIGHT("00"&amp;MOD(Sync!$L1348,100),2),""),IFERROR(RIGHT("0000"&amp;VALUE(TRIM(LEFT(Sync!$L1348,FIND("/",Sync!$L1348)-1))),4)&amp;"/"&amp;RIGHT("00"&amp;VALUE(TRIM(LEFT(MID(Sync!$L1348,FIND("/",Sync!$L1348)+1,20),FIND("/",MID(Sync!$L1348,FIND("/",Sync!$L1348)+1,20))-1))),2)&amp;"/"&amp;RIGHT("00"&amp;VALUE(TRIM(MID(MID(Sync!$L1348,FIND("/",Sync!$L1348)+1,20),FIND("/",MID(Sync!$L1348,FIND("/",Sync!$L1348)+1,20))+1,20))),2),"")))</f>
        <v/>
      </c>
    </row>
    <row r="1349" spans="13:14" x14ac:dyDescent="0.2">
      <c r="M1349" t="str">
        <f>IF(Sync!$M1349&lt;&gt;"پاس چک","",IF(Sync!$P1349="","",Sync!$P1349))</f>
        <v/>
      </c>
      <c r="N1349" t="str">
        <f>IF($M1349="","",IF(ISNUMBER(Sync!$L1349),IF(AND(Sync!$L1349&gt;=10000101,Sync!$L1349&lt;=99991231),RIGHT("0000"&amp;INT(Sync!$L1349/10000),4)&amp;"/"&amp;RIGHT("00"&amp;INT(MOD(Sync!$L1349,10000)/100),2)&amp;"/"&amp;RIGHT("00"&amp;MOD(Sync!$L1349,100),2),""),IFERROR(RIGHT("0000"&amp;VALUE(TRIM(LEFT(Sync!$L1349,FIND("/",Sync!$L1349)-1))),4)&amp;"/"&amp;RIGHT("00"&amp;VALUE(TRIM(LEFT(MID(Sync!$L1349,FIND("/",Sync!$L1349)+1,20),FIND("/",MID(Sync!$L1349,FIND("/",Sync!$L1349)+1,20))-1))),2)&amp;"/"&amp;RIGHT("00"&amp;VALUE(TRIM(MID(MID(Sync!$L1349,FIND("/",Sync!$L1349)+1,20),FIND("/",MID(Sync!$L1349,FIND("/",Sync!$L1349)+1,20))+1,20))),2),"")))</f>
        <v/>
      </c>
    </row>
    <row r="1350" spans="13:14" x14ac:dyDescent="0.2">
      <c r="M1350" t="str">
        <f>IF(Sync!$M1350&lt;&gt;"پاس چک","",IF(Sync!$P1350="","",Sync!$P1350))</f>
        <v/>
      </c>
      <c r="N1350" t="str">
        <f>IF($M1350="","",IF(ISNUMBER(Sync!$L1350),IF(AND(Sync!$L1350&gt;=10000101,Sync!$L1350&lt;=99991231),RIGHT("0000"&amp;INT(Sync!$L1350/10000),4)&amp;"/"&amp;RIGHT("00"&amp;INT(MOD(Sync!$L1350,10000)/100),2)&amp;"/"&amp;RIGHT("00"&amp;MOD(Sync!$L1350,100),2),""),IFERROR(RIGHT("0000"&amp;VALUE(TRIM(LEFT(Sync!$L1350,FIND("/",Sync!$L1350)-1))),4)&amp;"/"&amp;RIGHT("00"&amp;VALUE(TRIM(LEFT(MID(Sync!$L1350,FIND("/",Sync!$L1350)+1,20),FIND("/",MID(Sync!$L1350,FIND("/",Sync!$L1350)+1,20))-1))),2)&amp;"/"&amp;RIGHT("00"&amp;VALUE(TRIM(MID(MID(Sync!$L1350,FIND("/",Sync!$L1350)+1,20),FIND("/",MID(Sync!$L1350,FIND("/",Sync!$L1350)+1,20))+1,20))),2),"")))</f>
        <v/>
      </c>
    </row>
    <row r="1351" spans="13:14" x14ac:dyDescent="0.2">
      <c r="M1351" t="str">
        <f>IF(Sync!$M1351&lt;&gt;"پاس چک","",IF(Sync!$P1351="","",Sync!$P1351))</f>
        <v/>
      </c>
      <c r="N1351" t="str">
        <f>IF($M1351="","",IF(ISNUMBER(Sync!$L1351),IF(AND(Sync!$L1351&gt;=10000101,Sync!$L1351&lt;=99991231),RIGHT("0000"&amp;INT(Sync!$L1351/10000),4)&amp;"/"&amp;RIGHT("00"&amp;INT(MOD(Sync!$L1351,10000)/100),2)&amp;"/"&amp;RIGHT("00"&amp;MOD(Sync!$L1351,100),2),""),IFERROR(RIGHT("0000"&amp;VALUE(TRIM(LEFT(Sync!$L1351,FIND("/",Sync!$L1351)-1))),4)&amp;"/"&amp;RIGHT("00"&amp;VALUE(TRIM(LEFT(MID(Sync!$L1351,FIND("/",Sync!$L1351)+1,20),FIND("/",MID(Sync!$L1351,FIND("/",Sync!$L1351)+1,20))-1))),2)&amp;"/"&amp;RIGHT("00"&amp;VALUE(TRIM(MID(MID(Sync!$L1351,FIND("/",Sync!$L1351)+1,20),FIND("/",MID(Sync!$L1351,FIND("/",Sync!$L1351)+1,20))+1,20))),2),"")))</f>
        <v/>
      </c>
    </row>
    <row r="1352" spans="13:14" x14ac:dyDescent="0.2">
      <c r="M1352" t="str">
        <f>IF(Sync!$M1352&lt;&gt;"پاس چک","",IF(Sync!$P1352="","",Sync!$P1352))</f>
        <v/>
      </c>
      <c r="N1352" t="str">
        <f>IF($M1352="","",IF(ISNUMBER(Sync!$L1352),IF(AND(Sync!$L1352&gt;=10000101,Sync!$L1352&lt;=99991231),RIGHT("0000"&amp;INT(Sync!$L1352/10000),4)&amp;"/"&amp;RIGHT("00"&amp;INT(MOD(Sync!$L1352,10000)/100),2)&amp;"/"&amp;RIGHT("00"&amp;MOD(Sync!$L1352,100),2),""),IFERROR(RIGHT("0000"&amp;VALUE(TRIM(LEFT(Sync!$L1352,FIND("/",Sync!$L1352)-1))),4)&amp;"/"&amp;RIGHT("00"&amp;VALUE(TRIM(LEFT(MID(Sync!$L1352,FIND("/",Sync!$L1352)+1,20),FIND("/",MID(Sync!$L1352,FIND("/",Sync!$L1352)+1,20))-1))),2)&amp;"/"&amp;RIGHT("00"&amp;VALUE(TRIM(MID(MID(Sync!$L1352,FIND("/",Sync!$L1352)+1,20),FIND("/",MID(Sync!$L1352,FIND("/",Sync!$L1352)+1,20))+1,20))),2),"")))</f>
        <v/>
      </c>
    </row>
    <row r="1353" spans="13:14" x14ac:dyDescent="0.2">
      <c r="M1353" t="str">
        <f>IF(Sync!$M1353&lt;&gt;"پاس چک","",IF(Sync!$P1353="","",Sync!$P1353))</f>
        <v/>
      </c>
      <c r="N1353" t="str">
        <f>IF($M1353="","",IF(ISNUMBER(Sync!$L1353),IF(AND(Sync!$L1353&gt;=10000101,Sync!$L1353&lt;=99991231),RIGHT("0000"&amp;INT(Sync!$L1353/10000),4)&amp;"/"&amp;RIGHT("00"&amp;INT(MOD(Sync!$L1353,10000)/100),2)&amp;"/"&amp;RIGHT("00"&amp;MOD(Sync!$L1353,100),2),""),IFERROR(RIGHT("0000"&amp;VALUE(TRIM(LEFT(Sync!$L1353,FIND("/",Sync!$L1353)-1))),4)&amp;"/"&amp;RIGHT("00"&amp;VALUE(TRIM(LEFT(MID(Sync!$L1353,FIND("/",Sync!$L1353)+1,20),FIND("/",MID(Sync!$L1353,FIND("/",Sync!$L1353)+1,20))-1))),2)&amp;"/"&amp;RIGHT("00"&amp;VALUE(TRIM(MID(MID(Sync!$L1353,FIND("/",Sync!$L1353)+1,20),FIND("/",MID(Sync!$L1353,FIND("/",Sync!$L1353)+1,20))+1,20))),2),"")))</f>
        <v/>
      </c>
    </row>
    <row r="1354" spans="13:14" x14ac:dyDescent="0.2">
      <c r="M1354" t="str">
        <f>IF(Sync!$M1354&lt;&gt;"پاس چک","",IF(Sync!$P1354="","",Sync!$P1354))</f>
        <v/>
      </c>
      <c r="N1354" t="str">
        <f>IF($M1354="","",IF(ISNUMBER(Sync!$L1354),IF(AND(Sync!$L1354&gt;=10000101,Sync!$L1354&lt;=99991231),RIGHT("0000"&amp;INT(Sync!$L1354/10000),4)&amp;"/"&amp;RIGHT("00"&amp;INT(MOD(Sync!$L1354,10000)/100),2)&amp;"/"&amp;RIGHT("00"&amp;MOD(Sync!$L1354,100),2),""),IFERROR(RIGHT("0000"&amp;VALUE(TRIM(LEFT(Sync!$L1354,FIND("/",Sync!$L1354)-1))),4)&amp;"/"&amp;RIGHT("00"&amp;VALUE(TRIM(LEFT(MID(Sync!$L1354,FIND("/",Sync!$L1354)+1,20),FIND("/",MID(Sync!$L1354,FIND("/",Sync!$L1354)+1,20))-1))),2)&amp;"/"&amp;RIGHT("00"&amp;VALUE(TRIM(MID(MID(Sync!$L1354,FIND("/",Sync!$L1354)+1,20),FIND("/",MID(Sync!$L1354,FIND("/",Sync!$L1354)+1,20))+1,20))),2),"")))</f>
        <v/>
      </c>
    </row>
    <row r="1355" spans="13:14" x14ac:dyDescent="0.2">
      <c r="M1355" t="str">
        <f>IF(Sync!$M1355&lt;&gt;"پاس چک","",IF(Sync!$P1355="","",Sync!$P1355))</f>
        <v/>
      </c>
      <c r="N1355" t="str">
        <f>IF($M1355="","",IF(ISNUMBER(Sync!$L1355),IF(AND(Sync!$L1355&gt;=10000101,Sync!$L1355&lt;=99991231),RIGHT("0000"&amp;INT(Sync!$L1355/10000),4)&amp;"/"&amp;RIGHT("00"&amp;INT(MOD(Sync!$L1355,10000)/100),2)&amp;"/"&amp;RIGHT("00"&amp;MOD(Sync!$L1355,100),2),""),IFERROR(RIGHT("0000"&amp;VALUE(TRIM(LEFT(Sync!$L1355,FIND("/",Sync!$L1355)-1))),4)&amp;"/"&amp;RIGHT("00"&amp;VALUE(TRIM(LEFT(MID(Sync!$L1355,FIND("/",Sync!$L1355)+1,20),FIND("/",MID(Sync!$L1355,FIND("/",Sync!$L1355)+1,20))-1))),2)&amp;"/"&amp;RIGHT("00"&amp;VALUE(TRIM(MID(MID(Sync!$L1355,FIND("/",Sync!$L1355)+1,20),FIND("/",MID(Sync!$L1355,FIND("/",Sync!$L1355)+1,20))+1,20))),2),"")))</f>
        <v/>
      </c>
    </row>
    <row r="1356" spans="13:14" x14ac:dyDescent="0.2">
      <c r="M1356" t="str">
        <f>IF(Sync!$M1356&lt;&gt;"پاس چک","",IF(Sync!$P1356="","",Sync!$P1356))</f>
        <v/>
      </c>
      <c r="N1356" t="str">
        <f>IF($M1356="","",IF(ISNUMBER(Sync!$L1356),IF(AND(Sync!$L1356&gt;=10000101,Sync!$L1356&lt;=99991231),RIGHT("0000"&amp;INT(Sync!$L1356/10000),4)&amp;"/"&amp;RIGHT("00"&amp;INT(MOD(Sync!$L1356,10000)/100),2)&amp;"/"&amp;RIGHT("00"&amp;MOD(Sync!$L1356,100),2),""),IFERROR(RIGHT("0000"&amp;VALUE(TRIM(LEFT(Sync!$L1356,FIND("/",Sync!$L1356)-1))),4)&amp;"/"&amp;RIGHT("00"&amp;VALUE(TRIM(LEFT(MID(Sync!$L1356,FIND("/",Sync!$L1356)+1,20),FIND("/",MID(Sync!$L1356,FIND("/",Sync!$L1356)+1,20))-1))),2)&amp;"/"&amp;RIGHT("00"&amp;VALUE(TRIM(MID(MID(Sync!$L1356,FIND("/",Sync!$L1356)+1,20),FIND("/",MID(Sync!$L1356,FIND("/",Sync!$L1356)+1,20))+1,20))),2),"")))</f>
        <v/>
      </c>
    </row>
    <row r="1357" spans="13:14" x14ac:dyDescent="0.2">
      <c r="M1357" t="str">
        <f>IF(Sync!$M1357&lt;&gt;"پاس چک","",IF(Sync!$P1357="","",Sync!$P1357))</f>
        <v/>
      </c>
      <c r="N1357" t="str">
        <f>IF($M1357="","",IF(ISNUMBER(Sync!$L1357),IF(AND(Sync!$L1357&gt;=10000101,Sync!$L1357&lt;=99991231),RIGHT("0000"&amp;INT(Sync!$L1357/10000),4)&amp;"/"&amp;RIGHT("00"&amp;INT(MOD(Sync!$L1357,10000)/100),2)&amp;"/"&amp;RIGHT("00"&amp;MOD(Sync!$L1357,100),2),""),IFERROR(RIGHT("0000"&amp;VALUE(TRIM(LEFT(Sync!$L1357,FIND("/",Sync!$L1357)-1))),4)&amp;"/"&amp;RIGHT("00"&amp;VALUE(TRIM(LEFT(MID(Sync!$L1357,FIND("/",Sync!$L1357)+1,20),FIND("/",MID(Sync!$L1357,FIND("/",Sync!$L1357)+1,20))-1))),2)&amp;"/"&amp;RIGHT("00"&amp;VALUE(TRIM(MID(MID(Sync!$L1357,FIND("/",Sync!$L1357)+1,20),FIND("/",MID(Sync!$L1357,FIND("/",Sync!$L1357)+1,20))+1,20))),2),"")))</f>
        <v/>
      </c>
    </row>
    <row r="1358" spans="13:14" x14ac:dyDescent="0.2">
      <c r="M1358" t="str">
        <f>IF(Sync!$M1358&lt;&gt;"پاس چک","",IF(Sync!$P1358="","",Sync!$P1358))</f>
        <v/>
      </c>
      <c r="N1358" t="str">
        <f>IF($M1358="","",IF(ISNUMBER(Sync!$L1358),IF(AND(Sync!$L1358&gt;=10000101,Sync!$L1358&lt;=99991231),RIGHT("0000"&amp;INT(Sync!$L1358/10000),4)&amp;"/"&amp;RIGHT("00"&amp;INT(MOD(Sync!$L1358,10000)/100),2)&amp;"/"&amp;RIGHT("00"&amp;MOD(Sync!$L1358,100),2),""),IFERROR(RIGHT("0000"&amp;VALUE(TRIM(LEFT(Sync!$L1358,FIND("/",Sync!$L1358)-1))),4)&amp;"/"&amp;RIGHT("00"&amp;VALUE(TRIM(LEFT(MID(Sync!$L1358,FIND("/",Sync!$L1358)+1,20),FIND("/",MID(Sync!$L1358,FIND("/",Sync!$L1358)+1,20))-1))),2)&amp;"/"&amp;RIGHT("00"&amp;VALUE(TRIM(MID(MID(Sync!$L1358,FIND("/",Sync!$L1358)+1,20),FIND("/",MID(Sync!$L1358,FIND("/",Sync!$L1358)+1,20))+1,20))),2),"")))</f>
        <v/>
      </c>
    </row>
    <row r="1359" spans="13:14" x14ac:dyDescent="0.2">
      <c r="M1359" t="str">
        <f>IF(Sync!$M1359&lt;&gt;"پاس چک","",IF(Sync!$P1359="","",Sync!$P1359))</f>
        <v/>
      </c>
      <c r="N1359" t="str">
        <f>IF($M1359="","",IF(ISNUMBER(Sync!$L1359),IF(AND(Sync!$L1359&gt;=10000101,Sync!$L1359&lt;=99991231),RIGHT("0000"&amp;INT(Sync!$L1359/10000),4)&amp;"/"&amp;RIGHT("00"&amp;INT(MOD(Sync!$L1359,10000)/100),2)&amp;"/"&amp;RIGHT("00"&amp;MOD(Sync!$L1359,100),2),""),IFERROR(RIGHT("0000"&amp;VALUE(TRIM(LEFT(Sync!$L1359,FIND("/",Sync!$L1359)-1))),4)&amp;"/"&amp;RIGHT("00"&amp;VALUE(TRIM(LEFT(MID(Sync!$L1359,FIND("/",Sync!$L1359)+1,20),FIND("/",MID(Sync!$L1359,FIND("/",Sync!$L1359)+1,20))-1))),2)&amp;"/"&amp;RIGHT("00"&amp;VALUE(TRIM(MID(MID(Sync!$L1359,FIND("/",Sync!$L1359)+1,20),FIND("/",MID(Sync!$L1359,FIND("/",Sync!$L1359)+1,20))+1,20))),2),"")))</f>
        <v/>
      </c>
    </row>
    <row r="1360" spans="13:14" x14ac:dyDescent="0.2">
      <c r="M1360" t="str">
        <f>IF(Sync!$M1360&lt;&gt;"پاس چک","",IF(Sync!$P1360="","",Sync!$P1360))</f>
        <v/>
      </c>
      <c r="N1360" t="str">
        <f>IF($M1360="","",IF(ISNUMBER(Sync!$L1360),IF(AND(Sync!$L1360&gt;=10000101,Sync!$L1360&lt;=99991231),RIGHT("0000"&amp;INT(Sync!$L1360/10000),4)&amp;"/"&amp;RIGHT("00"&amp;INT(MOD(Sync!$L1360,10000)/100),2)&amp;"/"&amp;RIGHT("00"&amp;MOD(Sync!$L1360,100),2),""),IFERROR(RIGHT("0000"&amp;VALUE(TRIM(LEFT(Sync!$L1360,FIND("/",Sync!$L1360)-1))),4)&amp;"/"&amp;RIGHT("00"&amp;VALUE(TRIM(LEFT(MID(Sync!$L1360,FIND("/",Sync!$L1360)+1,20),FIND("/",MID(Sync!$L1360,FIND("/",Sync!$L1360)+1,20))-1))),2)&amp;"/"&amp;RIGHT("00"&amp;VALUE(TRIM(MID(MID(Sync!$L1360,FIND("/",Sync!$L1360)+1,20),FIND("/",MID(Sync!$L1360,FIND("/",Sync!$L1360)+1,20))+1,20))),2),"")))</f>
        <v/>
      </c>
    </row>
    <row r="1361" spans="13:14" x14ac:dyDescent="0.2">
      <c r="M1361" t="str">
        <f>IF(Sync!$M1361&lt;&gt;"پاس چک","",IF(Sync!$P1361="","",Sync!$P1361))</f>
        <v/>
      </c>
      <c r="N1361" t="str">
        <f>IF($M1361="","",IF(ISNUMBER(Sync!$L1361),IF(AND(Sync!$L1361&gt;=10000101,Sync!$L1361&lt;=99991231),RIGHT("0000"&amp;INT(Sync!$L1361/10000),4)&amp;"/"&amp;RIGHT("00"&amp;INT(MOD(Sync!$L1361,10000)/100),2)&amp;"/"&amp;RIGHT("00"&amp;MOD(Sync!$L1361,100),2),""),IFERROR(RIGHT("0000"&amp;VALUE(TRIM(LEFT(Sync!$L1361,FIND("/",Sync!$L1361)-1))),4)&amp;"/"&amp;RIGHT("00"&amp;VALUE(TRIM(LEFT(MID(Sync!$L1361,FIND("/",Sync!$L1361)+1,20),FIND("/",MID(Sync!$L1361,FIND("/",Sync!$L1361)+1,20))-1))),2)&amp;"/"&amp;RIGHT("00"&amp;VALUE(TRIM(MID(MID(Sync!$L1361,FIND("/",Sync!$L1361)+1,20),FIND("/",MID(Sync!$L1361,FIND("/",Sync!$L1361)+1,20))+1,20))),2),"")))</f>
        <v/>
      </c>
    </row>
    <row r="1362" spans="13:14" x14ac:dyDescent="0.2">
      <c r="M1362" t="str">
        <f>IF(Sync!$M1362&lt;&gt;"پاس چک","",IF(Sync!$P1362="","",Sync!$P1362))</f>
        <v/>
      </c>
      <c r="N1362" t="str">
        <f>IF($M1362="","",IF(ISNUMBER(Sync!$L1362),IF(AND(Sync!$L1362&gt;=10000101,Sync!$L1362&lt;=99991231),RIGHT("0000"&amp;INT(Sync!$L1362/10000),4)&amp;"/"&amp;RIGHT("00"&amp;INT(MOD(Sync!$L1362,10000)/100),2)&amp;"/"&amp;RIGHT("00"&amp;MOD(Sync!$L1362,100),2),""),IFERROR(RIGHT("0000"&amp;VALUE(TRIM(LEFT(Sync!$L1362,FIND("/",Sync!$L1362)-1))),4)&amp;"/"&amp;RIGHT("00"&amp;VALUE(TRIM(LEFT(MID(Sync!$L1362,FIND("/",Sync!$L1362)+1,20),FIND("/",MID(Sync!$L1362,FIND("/",Sync!$L1362)+1,20))-1))),2)&amp;"/"&amp;RIGHT("00"&amp;VALUE(TRIM(MID(MID(Sync!$L1362,FIND("/",Sync!$L1362)+1,20),FIND("/",MID(Sync!$L1362,FIND("/",Sync!$L1362)+1,20))+1,20))),2),"")))</f>
        <v/>
      </c>
    </row>
    <row r="1363" spans="13:14" x14ac:dyDescent="0.2">
      <c r="M1363" t="str">
        <f>IF(Sync!$M1363&lt;&gt;"پاس چک","",IF(Sync!$P1363="","",Sync!$P1363))</f>
        <v/>
      </c>
      <c r="N1363" t="str">
        <f>IF($M1363="","",IF(ISNUMBER(Sync!$L1363),IF(AND(Sync!$L1363&gt;=10000101,Sync!$L1363&lt;=99991231),RIGHT("0000"&amp;INT(Sync!$L1363/10000),4)&amp;"/"&amp;RIGHT("00"&amp;INT(MOD(Sync!$L1363,10000)/100),2)&amp;"/"&amp;RIGHT("00"&amp;MOD(Sync!$L1363,100),2),""),IFERROR(RIGHT("0000"&amp;VALUE(TRIM(LEFT(Sync!$L1363,FIND("/",Sync!$L1363)-1))),4)&amp;"/"&amp;RIGHT("00"&amp;VALUE(TRIM(LEFT(MID(Sync!$L1363,FIND("/",Sync!$L1363)+1,20),FIND("/",MID(Sync!$L1363,FIND("/",Sync!$L1363)+1,20))-1))),2)&amp;"/"&amp;RIGHT("00"&amp;VALUE(TRIM(MID(MID(Sync!$L1363,FIND("/",Sync!$L1363)+1,20),FIND("/",MID(Sync!$L1363,FIND("/",Sync!$L1363)+1,20))+1,20))),2),"")))</f>
        <v/>
      </c>
    </row>
    <row r="1364" spans="13:14" x14ac:dyDescent="0.2">
      <c r="M1364" t="str">
        <f>IF(Sync!$M1364&lt;&gt;"پاس چک","",IF(Sync!$P1364="","",Sync!$P1364))</f>
        <v/>
      </c>
      <c r="N1364" t="str">
        <f>IF($M1364="","",IF(ISNUMBER(Sync!$L1364),IF(AND(Sync!$L1364&gt;=10000101,Sync!$L1364&lt;=99991231),RIGHT("0000"&amp;INT(Sync!$L1364/10000),4)&amp;"/"&amp;RIGHT("00"&amp;INT(MOD(Sync!$L1364,10000)/100),2)&amp;"/"&amp;RIGHT("00"&amp;MOD(Sync!$L1364,100),2),""),IFERROR(RIGHT("0000"&amp;VALUE(TRIM(LEFT(Sync!$L1364,FIND("/",Sync!$L1364)-1))),4)&amp;"/"&amp;RIGHT("00"&amp;VALUE(TRIM(LEFT(MID(Sync!$L1364,FIND("/",Sync!$L1364)+1,20),FIND("/",MID(Sync!$L1364,FIND("/",Sync!$L1364)+1,20))-1))),2)&amp;"/"&amp;RIGHT("00"&amp;VALUE(TRIM(MID(MID(Sync!$L1364,FIND("/",Sync!$L1364)+1,20),FIND("/",MID(Sync!$L1364,FIND("/",Sync!$L1364)+1,20))+1,20))),2),"")))</f>
        <v/>
      </c>
    </row>
    <row r="1365" spans="13:14" x14ac:dyDescent="0.2">
      <c r="M1365" t="str">
        <f>IF(Sync!$M1365&lt;&gt;"پاس چک","",IF(Sync!$P1365="","",Sync!$P1365))</f>
        <v/>
      </c>
      <c r="N1365" t="str">
        <f>IF($M1365="","",IF(ISNUMBER(Sync!$L1365),IF(AND(Sync!$L1365&gt;=10000101,Sync!$L1365&lt;=99991231),RIGHT("0000"&amp;INT(Sync!$L1365/10000),4)&amp;"/"&amp;RIGHT("00"&amp;INT(MOD(Sync!$L1365,10000)/100),2)&amp;"/"&amp;RIGHT("00"&amp;MOD(Sync!$L1365,100),2),""),IFERROR(RIGHT("0000"&amp;VALUE(TRIM(LEFT(Sync!$L1365,FIND("/",Sync!$L1365)-1))),4)&amp;"/"&amp;RIGHT("00"&amp;VALUE(TRIM(LEFT(MID(Sync!$L1365,FIND("/",Sync!$L1365)+1,20),FIND("/",MID(Sync!$L1365,FIND("/",Sync!$L1365)+1,20))-1))),2)&amp;"/"&amp;RIGHT("00"&amp;VALUE(TRIM(MID(MID(Sync!$L1365,FIND("/",Sync!$L1365)+1,20),FIND("/",MID(Sync!$L1365,FIND("/",Sync!$L1365)+1,20))+1,20))),2),"")))</f>
        <v/>
      </c>
    </row>
    <row r="1366" spans="13:14" x14ac:dyDescent="0.2">
      <c r="M1366" t="str">
        <f>IF(Sync!$M1366&lt;&gt;"پاس چک","",IF(Sync!$P1366="","",Sync!$P1366))</f>
        <v/>
      </c>
      <c r="N1366" t="str">
        <f>IF($M1366="","",IF(ISNUMBER(Sync!$L1366),IF(AND(Sync!$L1366&gt;=10000101,Sync!$L1366&lt;=99991231),RIGHT("0000"&amp;INT(Sync!$L1366/10000),4)&amp;"/"&amp;RIGHT("00"&amp;INT(MOD(Sync!$L1366,10000)/100),2)&amp;"/"&amp;RIGHT("00"&amp;MOD(Sync!$L1366,100),2),""),IFERROR(RIGHT("0000"&amp;VALUE(TRIM(LEFT(Sync!$L1366,FIND("/",Sync!$L1366)-1))),4)&amp;"/"&amp;RIGHT("00"&amp;VALUE(TRIM(LEFT(MID(Sync!$L1366,FIND("/",Sync!$L1366)+1,20),FIND("/",MID(Sync!$L1366,FIND("/",Sync!$L1366)+1,20))-1))),2)&amp;"/"&amp;RIGHT("00"&amp;VALUE(TRIM(MID(MID(Sync!$L1366,FIND("/",Sync!$L1366)+1,20),FIND("/",MID(Sync!$L1366,FIND("/",Sync!$L1366)+1,20))+1,20))),2),"")))</f>
        <v/>
      </c>
    </row>
    <row r="1367" spans="13:14" x14ac:dyDescent="0.2">
      <c r="M1367" t="str">
        <f>IF(Sync!$M1367&lt;&gt;"پاس چک","",IF(Sync!$P1367="","",Sync!$P1367))</f>
        <v/>
      </c>
      <c r="N1367" t="str">
        <f>IF($M1367="","",IF(ISNUMBER(Sync!$L1367),IF(AND(Sync!$L1367&gt;=10000101,Sync!$L1367&lt;=99991231),RIGHT("0000"&amp;INT(Sync!$L1367/10000),4)&amp;"/"&amp;RIGHT("00"&amp;INT(MOD(Sync!$L1367,10000)/100),2)&amp;"/"&amp;RIGHT("00"&amp;MOD(Sync!$L1367,100),2),""),IFERROR(RIGHT("0000"&amp;VALUE(TRIM(LEFT(Sync!$L1367,FIND("/",Sync!$L1367)-1))),4)&amp;"/"&amp;RIGHT("00"&amp;VALUE(TRIM(LEFT(MID(Sync!$L1367,FIND("/",Sync!$L1367)+1,20),FIND("/",MID(Sync!$L1367,FIND("/",Sync!$L1367)+1,20))-1))),2)&amp;"/"&amp;RIGHT("00"&amp;VALUE(TRIM(MID(MID(Sync!$L1367,FIND("/",Sync!$L1367)+1,20),FIND("/",MID(Sync!$L1367,FIND("/",Sync!$L1367)+1,20))+1,20))),2),"")))</f>
        <v/>
      </c>
    </row>
    <row r="1368" spans="13:14" x14ac:dyDescent="0.2">
      <c r="M1368" t="str">
        <f>IF(Sync!$M1368&lt;&gt;"پاس چک","",IF(Sync!$P1368="","",Sync!$P1368))</f>
        <v/>
      </c>
      <c r="N1368" t="str">
        <f>IF($M1368="","",IF(ISNUMBER(Sync!$L1368),IF(AND(Sync!$L1368&gt;=10000101,Sync!$L1368&lt;=99991231),RIGHT("0000"&amp;INT(Sync!$L1368/10000),4)&amp;"/"&amp;RIGHT("00"&amp;INT(MOD(Sync!$L1368,10000)/100),2)&amp;"/"&amp;RIGHT("00"&amp;MOD(Sync!$L1368,100),2),""),IFERROR(RIGHT("0000"&amp;VALUE(TRIM(LEFT(Sync!$L1368,FIND("/",Sync!$L1368)-1))),4)&amp;"/"&amp;RIGHT("00"&amp;VALUE(TRIM(LEFT(MID(Sync!$L1368,FIND("/",Sync!$L1368)+1,20),FIND("/",MID(Sync!$L1368,FIND("/",Sync!$L1368)+1,20))-1))),2)&amp;"/"&amp;RIGHT("00"&amp;VALUE(TRIM(MID(MID(Sync!$L1368,FIND("/",Sync!$L1368)+1,20),FIND("/",MID(Sync!$L1368,FIND("/",Sync!$L1368)+1,20))+1,20))),2),"")))</f>
        <v/>
      </c>
    </row>
    <row r="1369" spans="13:14" x14ac:dyDescent="0.2">
      <c r="M1369" t="str">
        <f>IF(Sync!$M1369&lt;&gt;"پاس چک","",IF(Sync!$P1369="","",Sync!$P1369))</f>
        <v/>
      </c>
      <c r="N1369" t="str">
        <f>IF($M1369="","",IF(ISNUMBER(Sync!$L1369),IF(AND(Sync!$L1369&gt;=10000101,Sync!$L1369&lt;=99991231),RIGHT("0000"&amp;INT(Sync!$L1369/10000),4)&amp;"/"&amp;RIGHT("00"&amp;INT(MOD(Sync!$L1369,10000)/100),2)&amp;"/"&amp;RIGHT("00"&amp;MOD(Sync!$L1369,100),2),""),IFERROR(RIGHT("0000"&amp;VALUE(TRIM(LEFT(Sync!$L1369,FIND("/",Sync!$L1369)-1))),4)&amp;"/"&amp;RIGHT("00"&amp;VALUE(TRIM(LEFT(MID(Sync!$L1369,FIND("/",Sync!$L1369)+1,20),FIND("/",MID(Sync!$L1369,FIND("/",Sync!$L1369)+1,20))-1))),2)&amp;"/"&amp;RIGHT("00"&amp;VALUE(TRIM(MID(MID(Sync!$L1369,FIND("/",Sync!$L1369)+1,20),FIND("/",MID(Sync!$L1369,FIND("/",Sync!$L1369)+1,20))+1,20))),2),"")))</f>
        <v/>
      </c>
    </row>
    <row r="1370" spans="13:14" x14ac:dyDescent="0.2">
      <c r="M1370" t="str">
        <f>IF(Sync!$M1370&lt;&gt;"پاس چک","",IF(Sync!$P1370="","",Sync!$P1370))</f>
        <v/>
      </c>
      <c r="N1370" t="str">
        <f>IF($M1370="","",IF(ISNUMBER(Sync!$L1370),IF(AND(Sync!$L1370&gt;=10000101,Sync!$L1370&lt;=99991231),RIGHT("0000"&amp;INT(Sync!$L1370/10000),4)&amp;"/"&amp;RIGHT("00"&amp;INT(MOD(Sync!$L1370,10000)/100),2)&amp;"/"&amp;RIGHT("00"&amp;MOD(Sync!$L1370,100),2),""),IFERROR(RIGHT("0000"&amp;VALUE(TRIM(LEFT(Sync!$L1370,FIND("/",Sync!$L1370)-1))),4)&amp;"/"&amp;RIGHT("00"&amp;VALUE(TRIM(LEFT(MID(Sync!$L1370,FIND("/",Sync!$L1370)+1,20),FIND("/",MID(Sync!$L1370,FIND("/",Sync!$L1370)+1,20))-1))),2)&amp;"/"&amp;RIGHT("00"&amp;VALUE(TRIM(MID(MID(Sync!$L1370,FIND("/",Sync!$L1370)+1,20),FIND("/",MID(Sync!$L1370,FIND("/",Sync!$L1370)+1,20))+1,20))),2),"")))</f>
        <v/>
      </c>
    </row>
    <row r="1371" spans="13:14" x14ac:dyDescent="0.2">
      <c r="M1371" t="str">
        <f>IF(Sync!$M1371&lt;&gt;"پاس چک","",IF(Sync!$P1371="","",Sync!$P1371))</f>
        <v/>
      </c>
      <c r="N1371" t="str">
        <f>IF($M1371="","",IF(ISNUMBER(Sync!$L1371),IF(AND(Sync!$L1371&gt;=10000101,Sync!$L1371&lt;=99991231),RIGHT("0000"&amp;INT(Sync!$L1371/10000),4)&amp;"/"&amp;RIGHT("00"&amp;INT(MOD(Sync!$L1371,10000)/100),2)&amp;"/"&amp;RIGHT("00"&amp;MOD(Sync!$L1371,100),2),""),IFERROR(RIGHT("0000"&amp;VALUE(TRIM(LEFT(Sync!$L1371,FIND("/",Sync!$L1371)-1))),4)&amp;"/"&amp;RIGHT("00"&amp;VALUE(TRIM(LEFT(MID(Sync!$L1371,FIND("/",Sync!$L1371)+1,20),FIND("/",MID(Sync!$L1371,FIND("/",Sync!$L1371)+1,20))-1))),2)&amp;"/"&amp;RIGHT("00"&amp;VALUE(TRIM(MID(MID(Sync!$L1371,FIND("/",Sync!$L1371)+1,20),FIND("/",MID(Sync!$L1371,FIND("/",Sync!$L1371)+1,20))+1,20))),2),"")))</f>
        <v/>
      </c>
    </row>
    <row r="1372" spans="13:14" x14ac:dyDescent="0.2">
      <c r="M1372" t="str">
        <f>IF(Sync!$M1372&lt;&gt;"پاس چک","",IF(Sync!$P1372="","",Sync!$P1372))</f>
        <v/>
      </c>
      <c r="N1372" t="str">
        <f>IF($M1372="","",IF(ISNUMBER(Sync!$L1372),IF(AND(Sync!$L1372&gt;=10000101,Sync!$L1372&lt;=99991231),RIGHT("0000"&amp;INT(Sync!$L1372/10000),4)&amp;"/"&amp;RIGHT("00"&amp;INT(MOD(Sync!$L1372,10000)/100),2)&amp;"/"&amp;RIGHT("00"&amp;MOD(Sync!$L1372,100),2),""),IFERROR(RIGHT("0000"&amp;VALUE(TRIM(LEFT(Sync!$L1372,FIND("/",Sync!$L1372)-1))),4)&amp;"/"&amp;RIGHT("00"&amp;VALUE(TRIM(LEFT(MID(Sync!$L1372,FIND("/",Sync!$L1372)+1,20),FIND("/",MID(Sync!$L1372,FIND("/",Sync!$L1372)+1,20))-1))),2)&amp;"/"&amp;RIGHT("00"&amp;VALUE(TRIM(MID(MID(Sync!$L1372,FIND("/",Sync!$L1372)+1,20),FIND("/",MID(Sync!$L1372,FIND("/",Sync!$L1372)+1,20))+1,20))),2),"")))</f>
        <v/>
      </c>
    </row>
    <row r="1373" spans="13:14" x14ac:dyDescent="0.2">
      <c r="M1373" t="str">
        <f>IF(Sync!$M1373&lt;&gt;"پاس چک","",IF(Sync!$P1373="","",Sync!$P1373))</f>
        <v/>
      </c>
      <c r="N1373" t="str">
        <f>IF($M1373="","",IF(ISNUMBER(Sync!$L1373),IF(AND(Sync!$L1373&gt;=10000101,Sync!$L1373&lt;=99991231),RIGHT("0000"&amp;INT(Sync!$L1373/10000),4)&amp;"/"&amp;RIGHT("00"&amp;INT(MOD(Sync!$L1373,10000)/100),2)&amp;"/"&amp;RIGHT("00"&amp;MOD(Sync!$L1373,100),2),""),IFERROR(RIGHT("0000"&amp;VALUE(TRIM(LEFT(Sync!$L1373,FIND("/",Sync!$L1373)-1))),4)&amp;"/"&amp;RIGHT("00"&amp;VALUE(TRIM(LEFT(MID(Sync!$L1373,FIND("/",Sync!$L1373)+1,20),FIND("/",MID(Sync!$L1373,FIND("/",Sync!$L1373)+1,20))-1))),2)&amp;"/"&amp;RIGHT("00"&amp;VALUE(TRIM(MID(MID(Sync!$L1373,FIND("/",Sync!$L1373)+1,20),FIND("/",MID(Sync!$L1373,FIND("/",Sync!$L1373)+1,20))+1,20))),2),"")))</f>
        <v/>
      </c>
    </row>
    <row r="1374" spans="13:14" x14ac:dyDescent="0.2">
      <c r="M1374" t="str">
        <f>IF(Sync!$M1374&lt;&gt;"پاس چک","",IF(Sync!$P1374="","",Sync!$P1374))</f>
        <v/>
      </c>
      <c r="N1374" t="str">
        <f>IF($M1374="","",IF(ISNUMBER(Sync!$L1374),IF(AND(Sync!$L1374&gt;=10000101,Sync!$L1374&lt;=99991231),RIGHT("0000"&amp;INT(Sync!$L1374/10000),4)&amp;"/"&amp;RIGHT("00"&amp;INT(MOD(Sync!$L1374,10000)/100),2)&amp;"/"&amp;RIGHT("00"&amp;MOD(Sync!$L1374,100),2),""),IFERROR(RIGHT("0000"&amp;VALUE(TRIM(LEFT(Sync!$L1374,FIND("/",Sync!$L1374)-1))),4)&amp;"/"&amp;RIGHT("00"&amp;VALUE(TRIM(LEFT(MID(Sync!$L1374,FIND("/",Sync!$L1374)+1,20),FIND("/",MID(Sync!$L1374,FIND("/",Sync!$L1374)+1,20))-1))),2)&amp;"/"&amp;RIGHT("00"&amp;VALUE(TRIM(MID(MID(Sync!$L1374,FIND("/",Sync!$L1374)+1,20),FIND("/",MID(Sync!$L1374,FIND("/",Sync!$L1374)+1,20))+1,20))),2),"")))</f>
        <v/>
      </c>
    </row>
    <row r="1375" spans="13:14" x14ac:dyDescent="0.2">
      <c r="M1375" t="str">
        <f>IF(Sync!$M1375&lt;&gt;"پاس چک","",IF(Sync!$P1375="","",Sync!$P1375))</f>
        <v/>
      </c>
      <c r="N1375" t="str">
        <f>IF($M1375="","",IF(ISNUMBER(Sync!$L1375),IF(AND(Sync!$L1375&gt;=10000101,Sync!$L1375&lt;=99991231),RIGHT("0000"&amp;INT(Sync!$L1375/10000),4)&amp;"/"&amp;RIGHT("00"&amp;INT(MOD(Sync!$L1375,10000)/100),2)&amp;"/"&amp;RIGHT("00"&amp;MOD(Sync!$L1375,100),2),""),IFERROR(RIGHT("0000"&amp;VALUE(TRIM(LEFT(Sync!$L1375,FIND("/",Sync!$L1375)-1))),4)&amp;"/"&amp;RIGHT("00"&amp;VALUE(TRIM(LEFT(MID(Sync!$L1375,FIND("/",Sync!$L1375)+1,20),FIND("/",MID(Sync!$L1375,FIND("/",Sync!$L1375)+1,20))-1))),2)&amp;"/"&amp;RIGHT("00"&amp;VALUE(TRIM(MID(MID(Sync!$L1375,FIND("/",Sync!$L1375)+1,20),FIND("/",MID(Sync!$L1375,FIND("/",Sync!$L1375)+1,20))+1,20))),2),"")))</f>
        <v/>
      </c>
    </row>
    <row r="1376" spans="13:14" x14ac:dyDescent="0.2">
      <c r="M1376" t="str">
        <f>IF(Sync!$M1376&lt;&gt;"پاس چک","",IF(Sync!$P1376="","",Sync!$P1376))</f>
        <v/>
      </c>
      <c r="N1376" t="str">
        <f>IF($M1376="","",IF(ISNUMBER(Sync!$L1376),IF(AND(Sync!$L1376&gt;=10000101,Sync!$L1376&lt;=99991231),RIGHT("0000"&amp;INT(Sync!$L1376/10000),4)&amp;"/"&amp;RIGHT("00"&amp;INT(MOD(Sync!$L1376,10000)/100),2)&amp;"/"&amp;RIGHT("00"&amp;MOD(Sync!$L1376,100),2),""),IFERROR(RIGHT("0000"&amp;VALUE(TRIM(LEFT(Sync!$L1376,FIND("/",Sync!$L1376)-1))),4)&amp;"/"&amp;RIGHT("00"&amp;VALUE(TRIM(LEFT(MID(Sync!$L1376,FIND("/",Sync!$L1376)+1,20),FIND("/",MID(Sync!$L1376,FIND("/",Sync!$L1376)+1,20))-1))),2)&amp;"/"&amp;RIGHT("00"&amp;VALUE(TRIM(MID(MID(Sync!$L1376,FIND("/",Sync!$L1376)+1,20),FIND("/",MID(Sync!$L1376,FIND("/",Sync!$L1376)+1,20))+1,20))),2),"")))</f>
        <v/>
      </c>
    </row>
    <row r="1377" spans="13:14" x14ac:dyDescent="0.2">
      <c r="M1377" t="str">
        <f>IF(Sync!$M1377&lt;&gt;"پاس چک","",IF(Sync!$P1377="","",Sync!$P1377))</f>
        <v/>
      </c>
      <c r="N1377" t="str">
        <f>IF($M1377="","",IF(ISNUMBER(Sync!$L1377),IF(AND(Sync!$L1377&gt;=10000101,Sync!$L1377&lt;=99991231),RIGHT("0000"&amp;INT(Sync!$L1377/10000),4)&amp;"/"&amp;RIGHT("00"&amp;INT(MOD(Sync!$L1377,10000)/100),2)&amp;"/"&amp;RIGHT("00"&amp;MOD(Sync!$L1377,100),2),""),IFERROR(RIGHT("0000"&amp;VALUE(TRIM(LEFT(Sync!$L1377,FIND("/",Sync!$L1377)-1))),4)&amp;"/"&amp;RIGHT("00"&amp;VALUE(TRIM(LEFT(MID(Sync!$L1377,FIND("/",Sync!$L1377)+1,20),FIND("/",MID(Sync!$L1377,FIND("/",Sync!$L1377)+1,20))-1))),2)&amp;"/"&amp;RIGHT("00"&amp;VALUE(TRIM(MID(MID(Sync!$L1377,FIND("/",Sync!$L1377)+1,20),FIND("/",MID(Sync!$L1377,FIND("/",Sync!$L1377)+1,20))+1,20))),2),"")))</f>
        <v/>
      </c>
    </row>
    <row r="1378" spans="13:14" x14ac:dyDescent="0.2">
      <c r="M1378" t="str">
        <f>IF(Sync!$M1378&lt;&gt;"پاس چک","",IF(Sync!$P1378="","",Sync!$P1378))</f>
        <v/>
      </c>
      <c r="N1378" t="str">
        <f>IF($M1378="","",IF(ISNUMBER(Sync!$L1378),IF(AND(Sync!$L1378&gt;=10000101,Sync!$L1378&lt;=99991231),RIGHT("0000"&amp;INT(Sync!$L1378/10000),4)&amp;"/"&amp;RIGHT("00"&amp;INT(MOD(Sync!$L1378,10000)/100),2)&amp;"/"&amp;RIGHT("00"&amp;MOD(Sync!$L1378,100),2),""),IFERROR(RIGHT("0000"&amp;VALUE(TRIM(LEFT(Sync!$L1378,FIND("/",Sync!$L1378)-1))),4)&amp;"/"&amp;RIGHT("00"&amp;VALUE(TRIM(LEFT(MID(Sync!$L1378,FIND("/",Sync!$L1378)+1,20),FIND("/",MID(Sync!$L1378,FIND("/",Sync!$L1378)+1,20))-1))),2)&amp;"/"&amp;RIGHT("00"&amp;VALUE(TRIM(MID(MID(Sync!$L1378,FIND("/",Sync!$L1378)+1,20),FIND("/",MID(Sync!$L1378,FIND("/",Sync!$L1378)+1,20))+1,20))),2),"")))</f>
        <v/>
      </c>
    </row>
    <row r="1379" spans="13:14" x14ac:dyDescent="0.2">
      <c r="M1379" t="str">
        <f>IF(Sync!$M1379&lt;&gt;"پاس چک","",IF(Sync!$P1379="","",Sync!$P1379))</f>
        <v/>
      </c>
      <c r="N1379" t="str">
        <f>IF($M1379="","",IF(ISNUMBER(Sync!$L1379),IF(AND(Sync!$L1379&gt;=10000101,Sync!$L1379&lt;=99991231),RIGHT("0000"&amp;INT(Sync!$L1379/10000),4)&amp;"/"&amp;RIGHT("00"&amp;INT(MOD(Sync!$L1379,10000)/100),2)&amp;"/"&amp;RIGHT("00"&amp;MOD(Sync!$L1379,100),2),""),IFERROR(RIGHT("0000"&amp;VALUE(TRIM(LEFT(Sync!$L1379,FIND("/",Sync!$L1379)-1))),4)&amp;"/"&amp;RIGHT("00"&amp;VALUE(TRIM(LEFT(MID(Sync!$L1379,FIND("/",Sync!$L1379)+1,20),FIND("/",MID(Sync!$L1379,FIND("/",Sync!$L1379)+1,20))-1))),2)&amp;"/"&amp;RIGHT("00"&amp;VALUE(TRIM(MID(MID(Sync!$L1379,FIND("/",Sync!$L1379)+1,20),FIND("/",MID(Sync!$L1379,FIND("/",Sync!$L1379)+1,20))+1,20))),2),"")))</f>
        <v/>
      </c>
    </row>
    <row r="1380" spans="13:14" x14ac:dyDescent="0.2">
      <c r="M1380" t="str">
        <f>IF(Sync!$M1380&lt;&gt;"پاس چک","",IF(Sync!$P1380="","",Sync!$P1380))</f>
        <v/>
      </c>
      <c r="N1380" t="str">
        <f>IF($M1380="","",IF(ISNUMBER(Sync!$L1380),IF(AND(Sync!$L1380&gt;=10000101,Sync!$L1380&lt;=99991231),RIGHT("0000"&amp;INT(Sync!$L1380/10000),4)&amp;"/"&amp;RIGHT("00"&amp;INT(MOD(Sync!$L1380,10000)/100),2)&amp;"/"&amp;RIGHT("00"&amp;MOD(Sync!$L1380,100),2),""),IFERROR(RIGHT("0000"&amp;VALUE(TRIM(LEFT(Sync!$L1380,FIND("/",Sync!$L1380)-1))),4)&amp;"/"&amp;RIGHT("00"&amp;VALUE(TRIM(LEFT(MID(Sync!$L1380,FIND("/",Sync!$L1380)+1,20),FIND("/",MID(Sync!$L1380,FIND("/",Sync!$L1380)+1,20))-1))),2)&amp;"/"&amp;RIGHT("00"&amp;VALUE(TRIM(MID(MID(Sync!$L1380,FIND("/",Sync!$L1380)+1,20),FIND("/",MID(Sync!$L1380,FIND("/",Sync!$L1380)+1,20))+1,20))),2),"")))</f>
        <v/>
      </c>
    </row>
    <row r="1381" spans="13:14" x14ac:dyDescent="0.2">
      <c r="M1381" t="str">
        <f>IF(Sync!$M1381&lt;&gt;"پاس چک","",IF(Sync!$P1381="","",Sync!$P1381))</f>
        <v/>
      </c>
      <c r="N1381" t="str">
        <f>IF($M1381="","",IF(ISNUMBER(Sync!$L1381),IF(AND(Sync!$L1381&gt;=10000101,Sync!$L1381&lt;=99991231),RIGHT("0000"&amp;INT(Sync!$L1381/10000),4)&amp;"/"&amp;RIGHT("00"&amp;INT(MOD(Sync!$L1381,10000)/100),2)&amp;"/"&amp;RIGHT("00"&amp;MOD(Sync!$L1381,100),2),""),IFERROR(RIGHT("0000"&amp;VALUE(TRIM(LEFT(Sync!$L1381,FIND("/",Sync!$L1381)-1))),4)&amp;"/"&amp;RIGHT("00"&amp;VALUE(TRIM(LEFT(MID(Sync!$L1381,FIND("/",Sync!$L1381)+1,20),FIND("/",MID(Sync!$L1381,FIND("/",Sync!$L1381)+1,20))-1))),2)&amp;"/"&amp;RIGHT("00"&amp;VALUE(TRIM(MID(MID(Sync!$L1381,FIND("/",Sync!$L1381)+1,20),FIND("/",MID(Sync!$L1381,FIND("/",Sync!$L1381)+1,20))+1,20))),2),"")))</f>
        <v/>
      </c>
    </row>
    <row r="1382" spans="13:14" x14ac:dyDescent="0.2">
      <c r="M1382" t="str">
        <f>IF(Sync!$M1382&lt;&gt;"پاس چک","",IF(Sync!$P1382="","",Sync!$P1382))</f>
        <v/>
      </c>
      <c r="N1382" t="str">
        <f>IF($M1382="","",IF(ISNUMBER(Sync!$L1382),IF(AND(Sync!$L1382&gt;=10000101,Sync!$L1382&lt;=99991231),RIGHT("0000"&amp;INT(Sync!$L1382/10000),4)&amp;"/"&amp;RIGHT("00"&amp;INT(MOD(Sync!$L1382,10000)/100),2)&amp;"/"&amp;RIGHT("00"&amp;MOD(Sync!$L1382,100),2),""),IFERROR(RIGHT("0000"&amp;VALUE(TRIM(LEFT(Sync!$L1382,FIND("/",Sync!$L1382)-1))),4)&amp;"/"&amp;RIGHT("00"&amp;VALUE(TRIM(LEFT(MID(Sync!$L1382,FIND("/",Sync!$L1382)+1,20),FIND("/",MID(Sync!$L1382,FIND("/",Sync!$L1382)+1,20))-1))),2)&amp;"/"&amp;RIGHT("00"&amp;VALUE(TRIM(MID(MID(Sync!$L1382,FIND("/",Sync!$L1382)+1,20),FIND("/",MID(Sync!$L1382,FIND("/",Sync!$L1382)+1,20))+1,20))),2),"")))</f>
        <v/>
      </c>
    </row>
    <row r="1383" spans="13:14" x14ac:dyDescent="0.2">
      <c r="M1383" t="str">
        <f>IF(Sync!$M1383&lt;&gt;"پاس چک","",IF(Sync!$P1383="","",Sync!$P1383))</f>
        <v/>
      </c>
      <c r="N1383" t="str">
        <f>IF($M1383="","",IF(ISNUMBER(Sync!$L1383),IF(AND(Sync!$L1383&gt;=10000101,Sync!$L1383&lt;=99991231),RIGHT("0000"&amp;INT(Sync!$L1383/10000),4)&amp;"/"&amp;RIGHT("00"&amp;INT(MOD(Sync!$L1383,10000)/100),2)&amp;"/"&amp;RIGHT("00"&amp;MOD(Sync!$L1383,100),2),""),IFERROR(RIGHT("0000"&amp;VALUE(TRIM(LEFT(Sync!$L1383,FIND("/",Sync!$L1383)-1))),4)&amp;"/"&amp;RIGHT("00"&amp;VALUE(TRIM(LEFT(MID(Sync!$L1383,FIND("/",Sync!$L1383)+1,20),FIND("/",MID(Sync!$L1383,FIND("/",Sync!$L1383)+1,20))-1))),2)&amp;"/"&amp;RIGHT("00"&amp;VALUE(TRIM(MID(MID(Sync!$L1383,FIND("/",Sync!$L1383)+1,20),FIND("/",MID(Sync!$L1383,FIND("/",Sync!$L1383)+1,20))+1,20))),2),"")))</f>
        <v/>
      </c>
    </row>
    <row r="1384" spans="13:14" x14ac:dyDescent="0.2">
      <c r="M1384" t="str">
        <f>IF(Sync!$M1384&lt;&gt;"پاس چک","",IF(Sync!$P1384="","",Sync!$P1384))</f>
        <v/>
      </c>
      <c r="N1384" t="str">
        <f>IF($M1384="","",IF(ISNUMBER(Sync!$L1384),IF(AND(Sync!$L1384&gt;=10000101,Sync!$L1384&lt;=99991231),RIGHT("0000"&amp;INT(Sync!$L1384/10000),4)&amp;"/"&amp;RIGHT("00"&amp;INT(MOD(Sync!$L1384,10000)/100),2)&amp;"/"&amp;RIGHT("00"&amp;MOD(Sync!$L1384,100),2),""),IFERROR(RIGHT("0000"&amp;VALUE(TRIM(LEFT(Sync!$L1384,FIND("/",Sync!$L1384)-1))),4)&amp;"/"&amp;RIGHT("00"&amp;VALUE(TRIM(LEFT(MID(Sync!$L1384,FIND("/",Sync!$L1384)+1,20),FIND("/",MID(Sync!$L1384,FIND("/",Sync!$L1384)+1,20))-1))),2)&amp;"/"&amp;RIGHT("00"&amp;VALUE(TRIM(MID(MID(Sync!$L1384,FIND("/",Sync!$L1384)+1,20),FIND("/",MID(Sync!$L1384,FIND("/",Sync!$L1384)+1,20))+1,20))),2),"")))</f>
        <v/>
      </c>
    </row>
    <row r="1385" spans="13:14" x14ac:dyDescent="0.2">
      <c r="M1385" t="str">
        <f>IF(Sync!$M1385&lt;&gt;"پاس چک","",IF(Sync!$P1385="","",Sync!$P1385))</f>
        <v/>
      </c>
      <c r="N1385" t="str">
        <f>IF($M1385="","",IF(ISNUMBER(Sync!$L1385),IF(AND(Sync!$L1385&gt;=10000101,Sync!$L1385&lt;=99991231),RIGHT("0000"&amp;INT(Sync!$L1385/10000),4)&amp;"/"&amp;RIGHT("00"&amp;INT(MOD(Sync!$L1385,10000)/100),2)&amp;"/"&amp;RIGHT("00"&amp;MOD(Sync!$L1385,100),2),""),IFERROR(RIGHT("0000"&amp;VALUE(TRIM(LEFT(Sync!$L1385,FIND("/",Sync!$L1385)-1))),4)&amp;"/"&amp;RIGHT("00"&amp;VALUE(TRIM(LEFT(MID(Sync!$L1385,FIND("/",Sync!$L1385)+1,20),FIND("/",MID(Sync!$L1385,FIND("/",Sync!$L1385)+1,20))-1))),2)&amp;"/"&amp;RIGHT("00"&amp;VALUE(TRIM(MID(MID(Sync!$L1385,FIND("/",Sync!$L1385)+1,20),FIND("/",MID(Sync!$L1385,FIND("/",Sync!$L1385)+1,20))+1,20))),2),"")))</f>
        <v/>
      </c>
    </row>
    <row r="1386" spans="13:14" x14ac:dyDescent="0.2">
      <c r="M1386" t="str">
        <f>IF(Sync!$M1386&lt;&gt;"پاس چک","",IF(Sync!$P1386="","",Sync!$P1386))</f>
        <v/>
      </c>
      <c r="N1386" t="str">
        <f>IF($M1386="","",IF(ISNUMBER(Sync!$L1386),IF(AND(Sync!$L1386&gt;=10000101,Sync!$L1386&lt;=99991231),RIGHT("0000"&amp;INT(Sync!$L1386/10000),4)&amp;"/"&amp;RIGHT("00"&amp;INT(MOD(Sync!$L1386,10000)/100),2)&amp;"/"&amp;RIGHT("00"&amp;MOD(Sync!$L1386,100),2),""),IFERROR(RIGHT("0000"&amp;VALUE(TRIM(LEFT(Sync!$L1386,FIND("/",Sync!$L1386)-1))),4)&amp;"/"&amp;RIGHT("00"&amp;VALUE(TRIM(LEFT(MID(Sync!$L1386,FIND("/",Sync!$L1386)+1,20),FIND("/",MID(Sync!$L1386,FIND("/",Sync!$L1386)+1,20))-1))),2)&amp;"/"&amp;RIGHT("00"&amp;VALUE(TRIM(MID(MID(Sync!$L1386,FIND("/",Sync!$L1386)+1,20),FIND("/",MID(Sync!$L1386,FIND("/",Sync!$L1386)+1,20))+1,20))),2),"")))</f>
        <v/>
      </c>
    </row>
    <row r="1387" spans="13:14" x14ac:dyDescent="0.2">
      <c r="M1387" t="str">
        <f>IF(Sync!$M1387&lt;&gt;"پاس چک","",IF(Sync!$P1387="","",Sync!$P1387))</f>
        <v/>
      </c>
      <c r="N1387" t="str">
        <f>IF($M1387="","",IF(ISNUMBER(Sync!$L1387),IF(AND(Sync!$L1387&gt;=10000101,Sync!$L1387&lt;=99991231),RIGHT("0000"&amp;INT(Sync!$L1387/10000),4)&amp;"/"&amp;RIGHT("00"&amp;INT(MOD(Sync!$L1387,10000)/100),2)&amp;"/"&amp;RIGHT("00"&amp;MOD(Sync!$L1387,100),2),""),IFERROR(RIGHT("0000"&amp;VALUE(TRIM(LEFT(Sync!$L1387,FIND("/",Sync!$L1387)-1))),4)&amp;"/"&amp;RIGHT("00"&amp;VALUE(TRIM(LEFT(MID(Sync!$L1387,FIND("/",Sync!$L1387)+1,20),FIND("/",MID(Sync!$L1387,FIND("/",Sync!$L1387)+1,20))-1))),2)&amp;"/"&amp;RIGHT("00"&amp;VALUE(TRIM(MID(MID(Sync!$L1387,FIND("/",Sync!$L1387)+1,20),FIND("/",MID(Sync!$L1387,FIND("/",Sync!$L1387)+1,20))+1,20))),2),"")))</f>
        <v/>
      </c>
    </row>
    <row r="1388" spans="13:14" x14ac:dyDescent="0.2">
      <c r="M1388" t="str">
        <f>IF(Sync!$M1388&lt;&gt;"پاس چک","",IF(Sync!$P1388="","",Sync!$P1388))</f>
        <v/>
      </c>
      <c r="N1388" t="str">
        <f>IF($M1388="","",IF(ISNUMBER(Sync!$L1388),IF(AND(Sync!$L1388&gt;=10000101,Sync!$L1388&lt;=99991231),RIGHT("0000"&amp;INT(Sync!$L1388/10000),4)&amp;"/"&amp;RIGHT("00"&amp;INT(MOD(Sync!$L1388,10000)/100),2)&amp;"/"&amp;RIGHT("00"&amp;MOD(Sync!$L1388,100),2),""),IFERROR(RIGHT("0000"&amp;VALUE(TRIM(LEFT(Sync!$L1388,FIND("/",Sync!$L1388)-1))),4)&amp;"/"&amp;RIGHT("00"&amp;VALUE(TRIM(LEFT(MID(Sync!$L1388,FIND("/",Sync!$L1388)+1,20),FIND("/",MID(Sync!$L1388,FIND("/",Sync!$L1388)+1,20))-1))),2)&amp;"/"&amp;RIGHT("00"&amp;VALUE(TRIM(MID(MID(Sync!$L1388,FIND("/",Sync!$L1388)+1,20),FIND("/",MID(Sync!$L1388,FIND("/",Sync!$L1388)+1,20))+1,20))),2),"")))</f>
        <v/>
      </c>
    </row>
    <row r="1389" spans="13:14" x14ac:dyDescent="0.2">
      <c r="M1389" t="str">
        <f>IF(Sync!$M1389&lt;&gt;"پاس چک","",IF(Sync!$P1389="","",Sync!$P1389))</f>
        <v/>
      </c>
      <c r="N1389" t="str">
        <f>IF($M1389="","",IF(ISNUMBER(Sync!$L1389),IF(AND(Sync!$L1389&gt;=10000101,Sync!$L1389&lt;=99991231),RIGHT("0000"&amp;INT(Sync!$L1389/10000),4)&amp;"/"&amp;RIGHT("00"&amp;INT(MOD(Sync!$L1389,10000)/100),2)&amp;"/"&amp;RIGHT("00"&amp;MOD(Sync!$L1389,100),2),""),IFERROR(RIGHT("0000"&amp;VALUE(TRIM(LEFT(Sync!$L1389,FIND("/",Sync!$L1389)-1))),4)&amp;"/"&amp;RIGHT("00"&amp;VALUE(TRIM(LEFT(MID(Sync!$L1389,FIND("/",Sync!$L1389)+1,20),FIND("/",MID(Sync!$L1389,FIND("/",Sync!$L1389)+1,20))-1))),2)&amp;"/"&amp;RIGHT("00"&amp;VALUE(TRIM(MID(MID(Sync!$L1389,FIND("/",Sync!$L1389)+1,20),FIND("/",MID(Sync!$L1389,FIND("/",Sync!$L1389)+1,20))+1,20))),2),"")))</f>
        <v/>
      </c>
    </row>
    <row r="1390" spans="13:14" x14ac:dyDescent="0.2">
      <c r="M1390" t="str">
        <f>IF(Sync!$M1390&lt;&gt;"پاس چک","",IF(Sync!$P1390="","",Sync!$P1390))</f>
        <v/>
      </c>
      <c r="N1390" t="str">
        <f>IF($M1390="","",IF(ISNUMBER(Sync!$L1390),IF(AND(Sync!$L1390&gt;=10000101,Sync!$L1390&lt;=99991231),RIGHT("0000"&amp;INT(Sync!$L1390/10000),4)&amp;"/"&amp;RIGHT("00"&amp;INT(MOD(Sync!$L1390,10000)/100),2)&amp;"/"&amp;RIGHT("00"&amp;MOD(Sync!$L1390,100),2),""),IFERROR(RIGHT("0000"&amp;VALUE(TRIM(LEFT(Sync!$L1390,FIND("/",Sync!$L1390)-1))),4)&amp;"/"&amp;RIGHT("00"&amp;VALUE(TRIM(LEFT(MID(Sync!$L1390,FIND("/",Sync!$L1390)+1,20),FIND("/",MID(Sync!$L1390,FIND("/",Sync!$L1390)+1,20))-1))),2)&amp;"/"&amp;RIGHT("00"&amp;VALUE(TRIM(MID(MID(Sync!$L1390,FIND("/",Sync!$L1390)+1,20),FIND("/",MID(Sync!$L1390,FIND("/",Sync!$L1390)+1,20))+1,20))),2),"")))</f>
        <v/>
      </c>
    </row>
    <row r="1391" spans="13:14" x14ac:dyDescent="0.2">
      <c r="M1391" t="str">
        <f>IF(Sync!$M1391&lt;&gt;"پاس چک","",IF(Sync!$P1391="","",Sync!$P1391))</f>
        <v/>
      </c>
      <c r="N1391" t="str">
        <f>IF($M1391="","",IF(ISNUMBER(Sync!$L1391),IF(AND(Sync!$L1391&gt;=10000101,Sync!$L1391&lt;=99991231),RIGHT("0000"&amp;INT(Sync!$L1391/10000),4)&amp;"/"&amp;RIGHT("00"&amp;INT(MOD(Sync!$L1391,10000)/100),2)&amp;"/"&amp;RIGHT("00"&amp;MOD(Sync!$L1391,100),2),""),IFERROR(RIGHT("0000"&amp;VALUE(TRIM(LEFT(Sync!$L1391,FIND("/",Sync!$L1391)-1))),4)&amp;"/"&amp;RIGHT("00"&amp;VALUE(TRIM(LEFT(MID(Sync!$L1391,FIND("/",Sync!$L1391)+1,20),FIND("/",MID(Sync!$L1391,FIND("/",Sync!$L1391)+1,20))-1))),2)&amp;"/"&amp;RIGHT("00"&amp;VALUE(TRIM(MID(MID(Sync!$L1391,FIND("/",Sync!$L1391)+1,20),FIND("/",MID(Sync!$L1391,FIND("/",Sync!$L1391)+1,20))+1,20))),2),"")))</f>
        <v/>
      </c>
    </row>
    <row r="1392" spans="13:14" x14ac:dyDescent="0.2">
      <c r="M1392" t="str">
        <f>IF(Sync!$M1392&lt;&gt;"پاس چک","",IF(Sync!$P1392="","",Sync!$P1392))</f>
        <v/>
      </c>
      <c r="N1392" t="str">
        <f>IF($M1392="","",IF(ISNUMBER(Sync!$L1392),IF(AND(Sync!$L1392&gt;=10000101,Sync!$L1392&lt;=99991231),RIGHT("0000"&amp;INT(Sync!$L1392/10000),4)&amp;"/"&amp;RIGHT("00"&amp;INT(MOD(Sync!$L1392,10000)/100),2)&amp;"/"&amp;RIGHT("00"&amp;MOD(Sync!$L1392,100),2),""),IFERROR(RIGHT("0000"&amp;VALUE(TRIM(LEFT(Sync!$L1392,FIND("/",Sync!$L1392)-1))),4)&amp;"/"&amp;RIGHT("00"&amp;VALUE(TRIM(LEFT(MID(Sync!$L1392,FIND("/",Sync!$L1392)+1,20),FIND("/",MID(Sync!$L1392,FIND("/",Sync!$L1392)+1,20))-1))),2)&amp;"/"&amp;RIGHT("00"&amp;VALUE(TRIM(MID(MID(Sync!$L1392,FIND("/",Sync!$L1392)+1,20),FIND("/",MID(Sync!$L1392,FIND("/",Sync!$L1392)+1,20))+1,20))),2),"")))</f>
        <v/>
      </c>
    </row>
    <row r="1393" spans="13:14" x14ac:dyDescent="0.2">
      <c r="M1393" t="str">
        <f>IF(Sync!$M1393&lt;&gt;"پاس چک","",IF(Sync!$P1393="","",Sync!$P1393))</f>
        <v/>
      </c>
      <c r="N1393" t="str">
        <f>IF($M1393="","",IF(ISNUMBER(Sync!$L1393),IF(AND(Sync!$L1393&gt;=10000101,Sync!$L1393&lt;=99991231),RIGHT("0000"&amp;INT(Sync!$L1393/10000),4)&amp;"/"&amp;RIGHT("00"&amp;INT(MOD(Sync!$L1393,10000)/100),2)&amp;"/"&amp;RIGHT("00"&amp;MOD(Sync!$L1393,100),2),""),IFERROR(RIGHT("0000"&amp;VALUE(TRIM(LEFT(Sync!$L1393,FIND("/",Sync!$L1393)-1))),4)&amp;"/"&amp;RIGHT("00"&amp;VALUE(TRIM(LEFT(MID(Sync!$L1393,FIND("/",Sync!$L1393)+1,20),FIND("/",MID(Sync!$L1393,FIND("/",Sync!$L1393)+1,20))-1))),2)&amp;"/"&amp;RIGHT("00"&amp;VALUE(TRIM(MID(MID(Sync!$L1393,FIND("/",Sync!$L1393)+1,20),FIND("/",MID(Sync!$L1393,FIND("/",Sync!$L1393)+1,20))+1,20))),2),"")))</f>
        <v/>
      </c>
    </row>
    <row r="1394" spans="13:14" x14ac:dyDescent="0.2">
      <c r="M1394" t="str">
        <f>IF(Sync!$M1394&lt;&gt;"پاس چک","",IF(Sync!$P1394="","",Sync!$P1394))</f>
        <v/>
      </c>
      <c r="N1394" t="str">
        <f>IF($M1394="","",IF(ISNUMBER(Sync!$L1394),IF(AND(Sync!$L1394&gt;=10000101,Sync!$L1394&lt;=99991231),RIGHT("0000"&amp;INT(Sync!$L1394/10000),4)&amp;"/"&amp;RIGHT("00"&amp;INT(MOD(Sync!$L1394,10000)/100),2)&amp;"/"&amp;RIGHT("00"&amp;MOD(Sync!$L1394,100),2),""),IFERROR(RIGHT("0000"&amp;VALUE(TRIM(LEFT(Sync!$L1394,FIND("/",Sync!$L1394)-1))),4)&amp;"/"&amp;RIGHT("00"&amp;VALUE(TRIM(LEFT(MID(Sync!$L1394,FIND("/",Sync!$L1394)+1,20),FIND("/",MID(Sync!$L1394,FIND("/",Sync!$L1394)+1,20))-1))),2)&amp;"/"&amp;RIGHT("00"&amp;VALUE(TRIM(MID(MID(Sync!$L1394,FIND("/",Sync!$L1394)+1,20),FIND("/",MID(Sync!$L1394,FIND("/",Sync!$L1394)+1,20))+1,20))),2),"")))</f>
        <v/>
      </c>
    </row>
    <row r="1395" spans="13:14" x14ac:dyDescent="0.2">
      <c r="M1395" t="str">
        <f>IF(Sync!$M1395&lt;&gt;"پاس چک","",IF(Sync!$P1395="","",Sync!$P1395))</f>
        <v/>
      </c>
      <c r="N1395" t="str">
        <f>IF($M1395="","",IF(ISNUMBER(Sync!$L1395),IF(AND(Sync!$L1395&gt;=10000101,Sync!$L1395&lt;=99991231),RIGHT("0000"&amp;INT(Sync!$L1395/10000),4)&amp;"/"&amp;RIGHT("00"&amp;INT(MOD(Sync!$L1395,10000)/100),2)&amp;"/"&amp;RIGHT("00"&amp;MOD(Sync!$L1395,100),2),""),IFERROR(RIGHT("0000"&amp;VALUE(TRIM(LEFT(Sync!$L1395,FIND("/",Sync!$L1395)-1))),4)&amp;"/"&amp;RIGHT("00"&amp;VALUE(TRIM(LEFT(MID(Sync!$L1395,FIND("/",Sync!$L1395)+1,20),FIND("/",MID(Sync!$L1395,FIND("/",Sync!$L1395)+1,20))-1))),2)&amp;"/"&amp;RIGHT("00"&amp;VALUE(TRIM(MID(MID(Sync!$L1395,FIND("/",Sync!$L1395)+1,20),FIND("/",MID(Sync!$L1395,FIND("/",Sync!$L1395)+1,20))+1,20))),2),"")))</f>
        <v/>
      </c>
    </row>
    <row r="1396" spans="13:14" x14ac:dyDescent="0.2">
      <c r="M1396" t="str">
        <f>IF(Sync!$M1396&lt;&gt;"پاس چک","",IF(Sync!$P1396="","",Sync!$P1396))</f>
        <v/>
      </c>
      <c r="N1396" t="str">
        <f>IF($M1396="","",IF(ISNUMBER(Sync!$L1396),IF(AND(Sync!$L1396&gt;=10000101,Sync!$L1396&lt;=99991231),RIGHT("0000"&amp;INT(Sync!$L1396/10000),4)&amp;"/"&amp;RIGHT("00"&amp;INT(MOD(Sync!$L1396,10000)/100),2)&amp;"/"&amp;RIGHT("00"&amp;MOD(Sync!$L1396,100),2),""),IFERROR(RIGHT("0000"&amp;VALUE(TRIM(LEFT(Sync!$L1396,FIND("/",Sync!$L1396)-1))),4)&amp;"/"&amp;RIGHT("00"&amp;VALUE(TRIM(LEFT(MID(Sync!$L1396,FIND("/",Sync!$L1396)+1,20),FIND("/",MID(Sync!$L1396,FIND("/",Sync!$L1396)+1,20))-1))),2)&amp;"/"&amp;RIGHT("00"&amp;VALUE(TRIM(MID(MID(Sync!$L1396,FIND("/",Sync!$L1396)+1,20),FIND("/",MID(Sync!$L1396,FIND("/",Sync!$L1396)+1,20))+1,20))),2),"")))</f>
        <v/>
      </c>
    </row>
    <row r="1397" spans="13:14" x14ac:dyDescent="0.2">
      <c r="M1397" t="str">
        <f>IF(Sync!$M1397&lt;&gt;"پاس چک","",IF(Sync!$P1397="","",Sync!$P1397))</f>
        <v/>
      </c>
      <c r="N1397" t="str">
        <f>IF($M1397="","",IF(ISNUMBER(Sync!$L1397),IF(AND(Sync!$L1397&gt;=10000101,Sync!$L1397&lt;=99991231),RIGHT("0000"&amp;INT(Sync!$L1397/10000),4)&amp;"/"&amp;RIGHT("00"&amp;INT(MOD(Sync!$L1397,10000)/100),2)&amp;"/"&amp;RIGHT("00"&amp;MOD(Sync!$L1397,100),2),""),IFERROR(RIGHT("0000"&amp;VALUE(TRIM(LEFT(Sync!$L1397,FIND("/",Sync!$L1397)-1))),4)&amp;"/"&amp;RIGHT("00"&amp;VALUE(TRIM(LEFT(MID(Sync!$L1397,FIND("/",Sync!$L1397)+1,20),FIND("/",MID(Sync!$L1397,FIND("/",Sync!$L1397)+1,20))-1))),2)&amp;"/"&amp;RIGHT("00"&amp;VALUE(TRIM(MID(MID(Sync!$L1397,FIND("/",Sync!$L1397)+1,20),FIND("/",MID(Sync!$L1397,FIND("/",Sync!$L1397)+1,20))+1,20))),2),"")))</f>
        <v/>
      </c>
    </row>
    <row r="1398" spans="13:14" x14ac:dyDescent="0.2">
      <c r="M1398" t="str">
        <f>IF(Sync!$M1398&lt;&gt;"پاس چک","",IF(Sync!$P1398="","",Sync!$P1398))</f>
        <v/>
      </c>
      <c r="N1398" t="str">
        <f>IF($M1398="","",IF(ISNUMBER(Sync!$L1398),IF(AND(Sync!$L1398&gt;=10000101,Sync!$L1398&lt;=99991231),RIGHT("0000"&amp;INT(Sync!$L1398/10000),4)&amp;"/"&amp;RIGHT("00"&amp;INT(MOD(Sync!$L1398,10000)/100),2)&amp;"/"&amp;RIGHT("00"&amp;MOD(Sync!$L1398,100),2),""),IFERROR(RIGHT("0000"&amp;VALUE(TRIM(LEFT(Sync!$L1398,FIND("/",Sync!$L1398)-1))),4)&amp;"/"&amp;RIGHT("00"&amp;VALUE(TRIM(LEFT(MID(Sync!$L1398,FIND("/",Sync!$L1398)+1,20),FIND("/",MID(Sync!$L1398,FIND("/",Sync!$L1398)+1,20))-1))),2)&amp;"/"&amp;RIGHT("00"&amp;VALUE(TRIM(MID(MID(Sync!$L1398,FIND("/",Sync!$L1398)+1,20),FIND("/",MID(Sync!$L1398,FIND("/",Sync!$L1398)+1,20))+1,20))),2),"")))</f>
        <v/>
      </c>
    </row>
    <row r="1399" spans="13:14" x14ac:dyDescent="0.2">
      <c r="M1399" t="str">
        <f>IF(Sync!$M1399&lt;&gt;"پاس چک","",IF(Sync!$P1399="","",Sync!$P1399))</f>
        <v/>
      </c>
      <c r="N1399" t="str">
        <f>IF($M1399="","",IF(ISNUMBER(Sync!$L1399),IF(AND(Sync!$L1399&gt;=10000101,Sync!$L1399&lt;=99991231),RIGHT("0000"&amp;INT(Sync!$L1399/10000),4)&amp;"/"&amp;RIGHT("00"&amp;INT(MOD(Sync!$L1399,10000)/100),2)&amp;"/"&amp;RIGHT("00"&amp;MOD(Sync!$L1399,100),2),""),IFERROR(RIGHT("0000"&amp;VALUE(TRIM(LEFT(Sync!$L1399,FIND("/",Sync!$L1399)-1))),4)&amp;"/"&amp;RIGHT("00"&amp;VALUE(TRIM(LEFT(MID(Sync!$L1399,FIND("/",Sync!$L1399)+1,20),FIND("/",MID(Sync!$L1399,FIND("/",Sync!$L1399)+1,20))-1))),2)&amp;"/"&amp;RIGHT("00"&amp;VALUE(TRIM(MID(MID(Sync!$L1399,FIND("/",Sync!$L1399)+1,20),FIND("/",MID(Sync!$L1399,FIND("/",Sync!$L1399)+1,20))+1,20))),2),"")))</f>
        <v/>
      </c>
    </row>
    <row r="1400" spans="13:14" x14ac:dyDescent="0.2">
      <c r="M1400" t="str">
        <f>IF(Sync!$M1400&lt;&gt;"پاس چک","",IF(Sync!$P1400="","",Sync!$P1400))</f>
        <v/>
      </c>
      <c r="N1400" t="str">
        <f>IF($M1400="","",IF(ISNUMBER(Sync!$L1400),IF(AND(Sync!$L1400&gt;=10000101,Sync!$L1400&lt;=99991231),RIGHT("0000"&amp;INT(Sync!$L1400/10000),4)&amp;"/"&amp;RIGHT("00"&amp;INT(MOD(Sync!$L1400,10000)/100),2)&amp;"/"&amp;RIGHT("00"&amp;MOD(Sync!$L1400,100),2),""),IFERROR(RIGHT("0000"&amp;VALUE(TRIM(LEFT(Sync!$L1400,FIND("/",Sync!$L1400)-1))),4)&amp;"/"&amp;RIGHT("00"&amp;VALUE(TRIM(LEFT(MID(Sync!$L1400,FIND("/",Sync!$L1400)+1,20),FIND("/",MID(Sync!$L1400,FIND("/",Sync!$L1400)+1,20))-1))),2)&amp;"/"&amp;RIGHT("00"&amp;VALUE(TRIM(MID(MID(Sync!$L1400,FIND("/",Sync!$L1400)+1,20),FIND("/",MID(Sync!$L1400,FIND("/",Sync!$L1400)+1,20))+1,20))),2),"")))</f>
        <v/>
      </c>
    </row>
    <row r="1401" spans="13:14" x14ac:dyDescent="0.2">
      <c r="M1401" t="str">
        <f>IF(Sync!$M1401&lt;&gt;"پاس چک","",IF(Sync!$P1401="","",Sync!$P1401))</f>
        <v/>
      </c>
      <c r="N1401" t="str">
        <f>IF($M1401="","",IF(ISNUMBER(Sync!$L1401),IF(AND(Sync!$L1401&gt;=10000101,Sync!$L1401&lt;=99991231),RIGHT("0000"&amp;INT(Sync!$L1401/10000),4)&amp;"/"&amp;RIGHT("00"&amp;INT(MOD(Sync!$L1401,10000)/100),2)&amp;"/"&amp;RIGHT("00"&amp;MOD(Sync!$L1401,100),2),""),IFERROR(RIGHT("0000"&amp;VALUE(TRIM(LEFT(Sync!$L1401,FIND("/",Sync!$L1401)-1))),4)&amp;"/"&amp;RIGHT("00"&amp;VALUE(TRIM(LEFT(MID(Sync!$L1401,FIND("/",Sync!$L1401)+1,20),FIND("/",MID(Sync!$L1401,FIND("/",Sync!$L1401)+1,20))-1))),2)&amp;"/"&amp;RIGHT("00"&amp;VALUE(TRIM(MID(MID(Sync!$L1401,FIND("/",Sync!$L1401)+1,20),FIND("/",MID(Sync!$L1401,FIND("/",Sync!$L1401)+1,20))+1,20))),2),"")))</f>
        <v/>
      </c>
    </row>
    <row r="1402" spans="13:14" x14ac:dyDescent="0.2">
      <c r="M1402" t="str">
        <f>IF(Sync!$M1402&lt;&gt;"پاس چک","",IF(Sync!$P1402="","",Sync!$P1402))</f>
        <v/>
      </c>
      <c r="N1402" t="str">
        <f>IF($M1402="","",IF(ISNUMBER(Sync!$L1402),IF(AND(Sync!$L1402&gt;=10000101,Sync!$L1402&lt;=99991231),RIGHT("0000"&amp;INT(Sync!$L1402/10000),4)&amp;"/"&amp;RIGHT("00"&amp;INT(MOD(Sync!$L1402,10000)/100),2)&amp;"/"&amp;RIGHT("00"&amp;MOD(Sync!$L1402,100),2),""),IFERROR(RIGHT("0000"&amp;VALUE(TRIM(LEFT(Sync!$L1402,FIND("/",Sync!$L1402)-1))),4)&amp;"/"&amp;RIGHT("00"&amp;VALUE(TRIM(LEFT(MID(Sync!$L1402,FIND("/",Sync!$L1402)+1,20),FIND("/",MID(Sync!$L1402,FIND("/",Sync!$L1402)+1,20))-1))),2)&amp;"/"&amp;RIGHT("00"&amp;VALUE(TRIM(MID(MID(Sync!$L1402,FIND("/",Sync!$L1402)+1,20),FIND("/",MID(Sync!$L1402,FIND("/",Sync!$L1402)+1,20))+1,20))),2),"")))</f>
        <v/>
      </c>
    </row>
    <row r="1403" spans="13:14" x14ac:dyDescent="0.2">
      <c r="M1403" t="str">
        <f>IF(Sync!$M1403&lt;&gt;"پاس چک","",IF(Sync!$P1403="","",Sync!$P1403))</f>
        <v/>
      </c>
      <c r="N1403" t="str">
        <f>IF($M1403="","",IF(ISNUMBER(Sync!$L1403),IF(AND(Sync!$L1403&gt;=10000101,Sync!$L1403&lt;=99991231),RIGHT("0000"&amp;INT(Sync!$L1403/10000),4)&amp;"/"&amp;RIGHT("00"&amp;INT(MOD(Sync!$L1403,10000)/100),2)&amp;"/"&amp;RIGHT("00"&amp;MOD(Sync!$L1403,100),2),""),IFERROR(RIGHT("0000"&amp;VALUE(TRIM(LEFT(Sync!$L1403,FIND("/",Sync!$L1403)-1))),4)&amp;"/"&amp;RIGHT("00"&amp;VALUE(TRIM(LEFT(MID(Sync!$L1403,FIND("/",Sync!$L1403)+1,20),FIND("/",MID(Sync!$L1403,FIND("/",Sync!$L1403)+1,20))-1))),2)&amp;"/"&amp;RIGHT("00"&amp;VALUE(TRIM(MID(MID(Sync!$L1403,FIND("/",Sync!$L1403)+1,20),FIND("/",MID(Sync!$L1403,FIND("/",Sync!$L1403)+1,20))+1,20))),2),"")))</f>
        <v/>
      </c>
    </row>
    <row r="1404" spans="13:14" x14ac:dyDescent="0.2">
      <c r="M1404" t="str">
        <f>IF(Sync!$M1404&lt;&gt;"پاس چک","",IF(Sync!$P1404="","",Sync!$P1404))</f>
        <v/>
      </c>
      <c r="N1404" t="str">
        <f>IF($M1404="","",IF(ISNUMBER(Sync!$L1404),IF(AND(Sync!$L1404&gt;=10000101,Sync!$L1404&lt;=99991231),RIGHT("0000"&amp;INT(Sync!$L1404/10000),4)&amp;"/"&amp;RIGHT("00"&amp;INT(MOD(Sync!$L1404,10000)/100),2)&amp;"/"&amp;RIGHT("00"&amp;MOD(Sync!$L1404,100),2),""),IFERROR(RIGHT("0000"&amp;VALUE(TRIM(LEFT(Sync!$L1404,FIND("/",Sync!$L1404)-1))),4)&amp;"/"&amp;RIGHT("00"&amp;VALUE(TRIM(LEFT(MID(Sync!$L1404,FIND("/",Sync!$L1404)+1,20),FIND("/",MID(Sync!$L1404,FIND("/",Sync!$L1404)+1,20))-1))),2)&amp;"/"&amp;RIGHT("00"&amp;VALUE(TRIM(MID(MID(Sync!$L1404,FIND("/",Sync!$L1404)+1,20),FIND("/",MID(Sync!$L1404,FIND("/",Sync!$L1404)+1,20))+1,20))),2),"")))</f>
        <v/>
      </c>
    </row>
    <row r="1405" spans="13:14" x14ac:dyDescent="0.2">
      <c r="M1405" t="str">
        <f>IF(Sync!$M1405&lt;&gt;"پاس چک","",IF(Sync!$P1405="","",Sync!$P1405))</f>
        <v/>
      </c>
      <c r="N1405" t="str">
        <f>IF($M1405="","",IF(ISNUMBER(Sync!$L1405),IF(AND(Sync!$L1405&gt;=10000101,Sync!$L1405&lt;=99991231),RIGHT("0000"&amp;INT(Sync!$L1405/10000),4)&amp;"/"&amp;RIGHT("00"&amp;INT(MOD(Sync!$L1405,10000)/100),2)&amp;"/"&amp;RIGHT("00"&amp;MOD(Sync!$L1405,100),2),""),IFERROR(RIGHT("0000"&amp;VALUE(TRIM(LEFT(Sync!$L1405,FIND("/",Sync!$L1405)-1))),4)&amp;"/"&amp;RIGHT("00"&amp;VALUE(TRIM(LEFT(MID(Sync!$L1405,FIND("/",Sync!$L1405)+1,20),FIND("/",MID(Sync!$L1405,FIND("/",Sync!$L1405)+1,20))-1))),2)&amp;"/"&amp;RIGHT("00"&amp;VALUE(TRIM(MID(MID(Sync!$L1405,FIND("/",Sync!$L1405)+1,20),FIND("/",MID(Sync!$L1405,FIND("/",Sync!$L1405)+1,20))+1,20))),2),"")))</f>
        <v/>
      </c>
    </row>
    <row r="1406" spans="13:14" x14ac:dyDescent="0.2">
      <c r="M1406" t="str">
        <f>IF(Sync!$M1406&lt;&gt;"پاس چک","",IF(Sync!$P1406="","",Sync!$P1406))</f>
        <v/>
      </c>
      <c r="N1406" t="str">
        <f>IF($M1406="","",IF(ISNUMBER(Sync!$L1406),IF(AND(Sync!$L1406&gt;=10000101,Sync!$L1406&lt;=99991231),RIGHT("0000"&amp;INT(Sync!$L1406/10000),4)&amp;"/"&amp;RIGHT("00"&amp;INT(MOD(Sync!$L1406,10000)/100),2)&amp;"/"&amp;RIGHT("00"&amp;MOD(Sync!$L1406,100),2),""),IFERROR(RIGHT("0000"&amp;VALUE(TRIM(LEFT(Sync!$L1406,FIND("/",Sync!$L1406)-1))),4)&amp;"/"&amp;RIGHT("00"&amp;VALUE(TRIM(LEFT(MID(Sync!$L1406,FIND("/",Sync!$L1406)+1,20),FIND("/",MID(Sync!$L1406,FIND("/",Sync!$L1406)+1,20))-1))),2)&amp;"/"&amp;RIGHT("00"&amp;VALUE(TRIM(MID(MID(Sync!$L1406,FIND("/",Sync!$L1406)+1,20),FIND("/",MID(Sync!$L1406,FIND("/",Sync!$L1406)+1,20))+1,20))),2),"")))</f>
        <v/>
      </c>
    </row>
    <row r="1407" spans="13:14" x14ac:dyDescent="0.2">
      <c r="M1407" t="str">
        <f>IF(Sync!$M1407&lt;&gt;"پاس چک","",IF(Sync!$P1407="","",Sync!$P1407))</f>
        <v/>
      </c>
      <c r="N1407" t="str">
        <f>IF($M1407="","",IF(ISNUMBER(Sync!$L1407),IF(AND(Sync!$L1407&gt;=10000101,Sync!$L1407&lt;=99991231),RIGHT("0000"&amp;INT(Sync!$L1407/10000),4)&amp;"/"&amp;RIGHT("00"&amp;INT(MOD(Sync!$L1407,10000)/100),2)&amp;"/"&amp;RIGHT("00"&amp;MOD(Sync!$L1407,100),2),""),IFERROR(RIGHT("0000"&amp;VALUE(TRIM(LEFT(Sync!$L1407,FIND("/",Sync!$L1407)-1))),4)&amp;"/"&amp;RIGHT("00"&amp;VALUE(TRIM(LEFT(MID(Sync!$L1407,FIND("/",Sync!$L1407)+1,20),FIND("/",MID(Sync!$L1407,FIND("/",Sync!$L1407)+1,20))-1))),2)&amp;"/"&amp;RIGHT("00"&amp;VALUE(TRIM(MID(MID(Sync!$L1407,FIND("/",Sync!$L1407)+1,20),FIND("/",MID(Sync!$L1407,FIND("/",Sync!$L1407)+1,20))+1,20))),2),"")))</f>
        <v/>
      </c>
    </row>
    <row r="1408" spans="13:14" x14ac:dyDescent="0.2">
      <c r="M1408" t="str">
        <f>IF(Sync!$M1408&lt;&gt;"پاس چک","",IF(Sync!$P1408="","",Sync!$P1408))</f>
        <v/>
      </c>
      <c r="N1408" t="str">
        <f>IF($M1408="","",IF(ISNUMBER(Sync!$L1408),IF(AND(Sync!$L1408&gt;=10000101,Sync!$L1408&lt;=99991231),RIGHT("0000"&amp;INT(Sync!$L1408/10000),4)&amp;"/"&amp;RIGHT("00"&amp;INT(MOD(Sync!$L1408,10000)/100),2)&amp;"/"&amp;RIGHT("00"&amp;MOD(Sync!$L1408,100),2),""),IFERROR(RIGHT("0000"&amp;VALUE(TRIM(LEFT(Sync!$L1408,FIND("/",Sync!$L1408)-1))),4)&amp;"/"&amp;RIGHT("00"&amp;VALUE(TRIM(LEFT(MID(Sync!$L1408,FIND("/",Sync!$L1408)+1,20),FIND("/",MID(Sync!$L1408,FIND("/",Sync!$L1408)+1,20))-1))),2)&amp;"/"&amp;RIGHT("00"&amp;VALUE(TRIM(MID(MID(Sync!$L1408,FIND("/",Sync!$L1408)+1,20),FIND("/",MID(Sync!$L1408,FIND("/",Sync!$L1408)+1,20))+1,20))),2),"")))</f>
        <v/>
      </c>
    </row>
    <row r="1409" spans="13:14" x14ac:dyDescent="0.2">
      <c r="M1409" t="str">
        <f>IF(Sync!$M1409&lt;&gt;"پاس چک","",IF(Sync!$P1409="","",Sync!$P1409))</f>
        <v/>
      </c>
      <c r="N1409" t="str">
        <f>IF($M1409="","",IF(ISNUMBER(Sync!$L1409),IF(AND(Sync!$L1409&gt;=10000101,Sync!$L1409&lt;=99991231),RIGHT("0000"&amp;INT(Sync!$L1409/10000),4)&amp;"/"&amp;RIGHT("00"&amp;INT(MOD(Sync!$L1409,10000)/100),2)&amp;"/"&amp;RIGHT("00"&amp;MOD(Sync!$L1409,100),2),""),IFERROR(RIGHT("0000"&amp;VALUE(TRIM(LEFT(Sync!$L1409,FIND("/",Sync!$L1409)-1))),4)&amp;"/"&amp;RIGHT("00"&amp;VALUE(TRIM(LEFT(MID(Sync!$L1409,FIND("/",Sync!$L1409)+1,20),FIND("/",MID(Sync!$L1409,FIND("/",Sync!$L1409)+1,20))-1))),2)&amp;"/"&amp;RIGHT("00"&amp;VALUE(TRIM(MID(MID(Sync!$L1409,FIND("/",Sync!$L1409)+1,20),FIND("/",MID(Sync!$L1409,FIND("/",Sync!$L1409)+1,20))+1,20))),2),"")))</f>
        <v/>
      </c>
    </row>
    <row r="1410" spans="13:14" x14ac:dyDescent="0.2">
      <c r="M1410" t="str">
        <f>IF(Sync!$M1410&lt;&gt;"پاس چک","",IF(Sync!$P1410="","",Sync!$P1410))</f>
        <v/>
      </c>
      <c r="N1410" t="str">
        <f>IF($M1410="","",IF(ISNUMBER(Sync!$L1410),IF(AND(Sync!$L1410&gt;=10000101,Sync!$L1410&lt;=99991231),RIGHT("0000"&amp;INT(Sync!$L1410/10000),4)&amp;"/"&amp;RIGHT("00"&amp;INT(MOD(Sync!$L1410,10000)/100),2)&amp;"/"&amp;RIGHT("00"&amp;MOD(Sync!$L1410,100),2),""),IFERROR(RIGHT("0000"&amp;VALUE(TRIM(LEFT(Sync!$L1410,FIND("/",Sync!$L1410)-1))),4)&amp;"/"&amp;RIGHT("00"&amp;VALUE(TRIM(LEFT(MID(Sync!$L1410,FIND("/",Sync!$L1410)+1,20),FIND("/",MID(Sync!$L1410,FIND("/",Sync!$L1410)+1,20))-1))),2)&amp;"/"&amp;RIGHT("00"&amp;VALUE(TRIM(MID(MID(Sync!$L1410,FIND("/",Sync!$L1410)+1,20),FIND("/",MID(Sync!$L1410,FIND("/",Sync!$L1410)+1,20))+1,20))),2),"")))</f>
        <v/>
      </c>
    </row>
    <row r="1411" spans="13:14" x14ac:dyDescent="0.2">
      <c r="M1411" t="str">
        <f>IF(Sync!$M1411&lt;&gt;"پاس چک","",IF(Sync!$P1411="","",Sync!$P1411))</f>
        <v/>
      </c>
      <c r="N1411" t="str">
        <f>IF($M1411="","",IF(ISNUMBER(Sync!$L1411),IF(AND(Sync!$L1411&gt;=10000101,Sync!$L1411&lt;=99991231),RIGHT("0000"&amp;INT(Sync!$L1411/10000),4)&amp;"/"&amp;RIGHT("00"&amp;INT(MOD(Sync!$L1411,10000)/100),2)&amp;"/"&amp;RIGHT("00"&amp;MOD(Sync!$L1411,100),2),""),IFERROR(RIGHT("0000"&amp;VALUE(TRIM(LEFT(Sync!$L1411,FIND("/",Sync!$L1411)-1))),4)&amp;"/"&amp;RIGHT("00"&amp;VALUE(TRIM(LEFT(MID(Sync!$L1411,FIND("/",Sync!$L1411)+1,20),FIND("/",MID(Sync!$L1411,FIND("/",Sync!$L1411)+1,20))-1))),2)&amp;"/"&amp;RIGHT("00"&amp;VALUE(TRIM(MID(MID(Sync!$L1411,FIND("/",Sync!$L1411)+1,20),FIND("/",MID(Sync!$L1411,FIND("/",Sync!$L1411)+1,20))+1,20))),2),"")))</f>
        <v/>
      </c>
    </row>
    <row r="1412" spans="13:14" x14ac:dyDescent="0.2">
      <c r="M1412" t="str">
        <f>IF(Sync!$M1412&lt;&gt;"پاس چک","",IF(Sync!$P1412="","",Sync!$P1412))</f>
        <v/>
      </c>
      <c r="N1412" t="str">
        <f>IF($M1412="","",IF(ISNUMBER(Sync!$L1412),IF(AND(Sync!$L1412&gt;=10000101,Sync!$L1412&lt;=99991231),RIGHT("0000"&amp;INT(Sync!$L1412/10000),4)&amp;"/"&amp;RIGHT("00"&amp;INT(MOD(Sync!$L1412,10000)/100),2)&amp;"/"&amp;RIGHT("00"&amp;MOD(Sync!$L1412,100),2),""),IFERROR(RIGHT("0000"&amp;VALUE(TRIM(LEFT(Sync!$L1412,FIND("/",Sync!$L1412)-1))),4)&amp;"/"&amp;RIGHT("00"&amp;VALUE(TRIM(LEFT(MID(Sync!$L1412,FIND("/",Sync!$L1412)+1,20),FIND("/",MID(Sync!$L1412,FIND("/",Sync!$L1412)+1,20))-1))),2)&amp;"/"&amp;RIGHT("00"&amp;VALUE(TRIM(MID(MID(Sync!$L1412,FIND("/",Sync!$L1412)+1,20),FIND("/",MID(Sync!$L1412,FIND("/",Sync!$L1412)+1,20))+1,20))),2),"")))</f>
        <v/>
      </c>
    </row>
    <row r="1413" spans="13:14" x14ac:dyDescent="0.2">
      <c r="M1413" t="str">
        <f>IF(Sync!$M1413&lt;&gt;"پاس چک","",IF(Sync!$P1413="","",Sync!$P1413))</f>
        <v/>
      </c>
      <c r="N1413" t="str">
        <f>IF($M1413="","",IF(ISNUMBER(Sync!$L1413),IF(AND(Sync!$L1413&gt;=10000101,Sync!$L1413&lt;=99991231),RIGHT("0000"&amp;INT(Sync!$L1413/10000),4)&amp;"/"&amp;RIGHT("00"&amp;INT(MOD(Sync!$L1413,10000)/100),2)&amp;"/"&amp;RIGHT("00"&amp;MOD(Sync!$L1413,100),2),""),IFERROR(RIGHT("0000"&amp;VALUE(TRIM(LEFT(Sync!$L1413,FIND("/",Sync!$L1413)-1))),4)&amp;"/"&amp;RIGHT("00"&amp;VALUE(TRIM(LEFT(MID(Sync!$L1413,FIND("/",Sync!$L1413)+1,20),FIND("/",MID(Sync!$L1413,FIND("/",Sync!$L1413)+1,20))-1))),2)&amp;"/"&amp;RIGHT("00"&amp;VALUE(TRIM(MID(MID(Sync!$L1413,FIND("/",Sync!$L1413)+1,20),FIND("/",MID(Sync!$L1413,FIND("/",Sync!$L1413)+1,20))+1,20))),2),"")))</f>
        <v/>
      </c>
    </row>
    <row r="1414" spans="13:14" x14ac:dyDescent="0.2">
      <c r="M1414" t="str">
        <f>IF(Sync!$M1414&lt;&gt;"پاس چک","",IF(Sync!$P1414="","",Sync!$P1414))</f>
        <v/>
      </c>
      <c r="N1414" t="str">
        <f>IF($M1414="","",IF(ISNUMBER(Sync!$L1414),IF(AND(Sync!$L1414&gt;=10000101,Sync!$L1414&lt;=99991231),RIGHT("0000"&amp;INT(Sync!$L1414/10000),4)&amp;"/"&amp;RIGHT("00"&amp;INT(MOD(Sync!$L1414,10000)/100),2)&amp;"/"&amp;RIGHT("00"&amp;MOD(Sync!$L1414,100),2),""),IFERROR(RIGHT("0000"&amp;VALUE(TRIM(LEFT(Sync!$L1414,FIND("/",Sync!$L1414)-1))),4)&amp;"/"&amp;RIGHT("00"&amp;VALUE(TRIM(LEFT(MID(Sync!$L1414,FIND("/",Sync!$L1414)+1,20),FIND("/",MID(Sync!$L1414,FIND("/",Sync!$L1414)+1,20))-1))),2)&amp;"/"&amp;RIGHT("00"&amp;VALUE(TRIM(MID(MID(Sync!$L1414,FIND("/",Sync!$L1414)+1,20),FIND("/",MID(Sync!$L1414,FIND("/",Sync!$L1414)+1,20))+1,20))),2),"")))</f>
        <v/>
      </c>
    </row>
    <row r="1415" spans="13:14" x14ac:dyDescent="0.2">
      <c r="M1415" t="str">
        <f>IF(Sync!$M1415&lt;&gt;"پاس چک","",IF(Sync!$P1415="","",Sync!$P1415))</f>
        <v/>
      </c>
      <c r="N1415" t="str">
        <f>IF($M1415="","",IF(ISNUMBER(Sync!$L1415),IF(AND(Sync!$L1415&gt;=10000101,Sync!$L1415&lt;=99991231),RIGHT("0000"&amp;INT(Sync!$L1415/10000),4)&amp;"/"&amp;RIGHT("00"&amp;INT(MOD(Sync!$L1415,10000)/100),2)&amp;"/"&amp;RIGHT("00"&amp;MOD(Sync!$L1415,100),2),""),IFERROR(RIGHT("0000"&amp;VALUE(TRIM(LEFT(Sync!$L1415,FIND("/",Sync!$L1415)-1))),4)&amp;"/"&amp;RIGHT("00"&amp;VALUE(TRIM(LEFT(MID(Sync!$L1415,FIND("/",Sync!$L1415)+1,20),FIND("/",MID(Sync!$L1415,FIND("/",Sync!$L1415)+1,20))-1))),2)&amp;"/"&amp;RIGHT("00"&amp;VALUE(TRIM(MID(MID(Sync!$L1415,FIND("/",Sync!$L1415)+1,20),FIND("/",MID(Sync!$L1415,FIND("/",Sync!$L1415)+1,20))+1,20))),2),"")))</f>
        <v/>
      </c>
    </row>
    <row r="1416" spans="13:14" x14ac:dyDescent="0.2">
      <c r="M1416" t="str">
        <f>IF(Sync!$M1416&lt;&gt;"پاس چک","",IF(Sync!$P1416="","",Sync!$P1416))</f>
        <v/>
      </c>
      <c r="N1416" t="str">
        <f>IF($M1416="","",IF(ISNUMBER(Sync!$L1416),IF(AND(Sync!$L1416&gt;=10000101,Sync!$L1416&lt;=99991231),RIGHT("0000"&amp;INT(Sync!$L1416/10000),4)&amp;"/"&amp;RIGHT("00"&amp;INT(MOD(Sync!$L1416,10000)/100),2)&amp;"/"&amp;RIGHT("00"&amp;MOD(Sync!$L1416,100),2),""),IFERROR(RIGHT("0000"&amp;VALUE(TRIM(LEFT(Sync!$L1416,FIND("/",Sync!$L1416)-1))),4)&amp;"/"&amp;RIGHT("00"&amp;VALUE(TRIM(LEFT(MID(Sync!$L1416,FIND("/",Sync!$L1416)+1,20),FIND("/",MID(Sync!$L1416,FIND("/",Sync!$L1416)+1,20))-1))),2)&amp;"/"&amp;RIGHT("00"&amp;VALUE(TRIM(MID(MID(Sync!$L1416,FIND("/",Sync!$L1416)+1,20),FIND("/",MID(Sync!$L1416,FIND("/",Sync!$L1416)+1,20))+1,20))),2),"")))</f>
        <v/>
      </c>
    </row>
    <row r="1417" spans="13:14" x14ac:dyDescent="0.2">
      <c r="M1417" t="str">
        <f>IF(Sync!$M1417&lt;&gt;"پاس چک","",IF(Sync!$P1417="","",Sync!$P1417))</f>
        <v/>
      </c>
      <c r="N1417" t="str">
        <f>IF($M1417="","",IF(ISNUMBER(Sync!$L1417),IF(AND(Sync!$L1417&gt;=10000101,Sync!$L1417&lt;=99991231),RIGHT("0000"&amp;INT(Sync!$L1417/10000),4)&amp;"/"&amp;RIGHT("00"&amp;INT(MOD(Sync!$L1417,10000)/100),2)&amp;"/"&amp;RIGHT("00"&amp;MOD(Sync!$L1417,100),2),""),IFERROR(RIGHT("0000"&amp;VALUE(TRIM(LEFT(Sync!$L1417,FIND("/",Sync!$L1417)-1))),4)&amp;"/"&amp;RIGHT("00"&amp;VALUE(TRIM(LEFT(MID(Sync!$L1417,FIND("/",Sync!$L1417)+1,20),FIND("/",MID(Sync!$L1417,FIND("/",Sync!$L1417)+1,20))-1))),2)&amp;"/"&amp;RIGHT("00"&amp;VALUE(TRIM(MID(MID(Sync!$L1417,FIND("/",Sync!$L1417)+1,20),FIND("/",MID(Sync!$L1417,FIND("/",Sync!$L1417)+1,20))+1,20))),2),"")))</f>
        <v/>
      </c>
    </row>
    <row r="1418" spans="13:14" x14ac:dyDescent="0.2">
      <c r="M1418" t="str">
        <f>IF(Sync!$M1418&lt;&gt;"پاس چک","",IF(Sync!$P1418="","",Sync!$P1418))</f>
        <v/>
      </c>
      <c r="N1418" t="str">
        <f>IF($M1418="","",IF(ISNUMBER(Sync!$L1418),IF(AND(Sync!$L1418&gt;=10000101,Sync!$L1418&lt;=99991231),RIGHT("0000"&amp;INT(Sync!$L1418/10000),4)&amp;"/"&amp;RIGHT("00"&amp;INT(MOD(Sync!$L1418,10000)/100),2)&amp;"/"&amp;RIGHT("00"&amp;MOD(Sync!$L1418,100),2),""),IFERROR(RIGHT("0000"&amp;VALUE(TRIM(LEFT(Sync!$L1418,FIND("/",Sync!$L1418)-1))),4)&amp;"/"&amp;RIGHT("00"&amp;VALUE(TRIM(LEFT(MID(Sync!$L1418,FIND("/",Sync!$L1418)+1,20),FIND("/",MID(Sync!$L1418,FIND("/",Sync!$L1418)+1,20))-1))),2)&amp;"/"&amp;RIGHT("00"&amp;VALUE(TRIM(MID(MID(Sync!$L1418,FIND("/",Sync!$L1418)+1,20),FIND("/",MID(Sync!$L1418,FIND("/",Sync!$L1418)+1,20))+1,20))),2),"")))</f>
        <v/>
      </c>
    </row>
    <row r="1419" spans="13:14" x14ac:dyDescent="0.2">
      <c r="M1419" t="str">
        <f>IF(Sync!$M1419&lt;&gt;"پاس چک","",IF(Sync!$P1419="","",Sync!$P1419))</f>
        <v/>
      </c>
      <c r="N1419" t="str">
        <f>IF($M1419="","",IF(ISNUMBER(Sync!$L1419),IF(AND(Sync!$L1419&gt;=10000101,Sync!$L1419&lt;=99991231),RIGHT("0000"&amp;INT(Sync!$L1419/10000),4)&amp;"/"&amp;RIGHT("00"&amp;INT(MOD(Sync!$L1419,10000)/100),2)&amp;"/"&amp;RIGHT("00"&amp;MOD(Sync!$L1419,100),2),""),IFERROR(RIGHT("0000"&amp;VALUE(TRIM(LEFT(Sync!$L1419,FIND("/",Sync!$L1419)-1))),4)&amp;"/"&amp;RIGHT("00"&amp;VALUE(TRIM(LEFT(MID(Sync!$L1419,FIND("/",Sync!$L1419)+1,20),FIND("/",MID(Sync!$L1419,FIND("/",Sync!$L1419)+1,20))-1))),2)&amp;"/"&amp;RIGHT("00"&amp;VALUE(TRIM(MID(MID(Sync!$L1419,FIND("/",Sync!$L1419)+1,20),FIND("/",MID(Sync!$L1419,FIND("/",Sync!$L1419)+1,20))+1,20))),2),"")))</f>
        <v/>
      </c>
    </row>
    <row r="1420" spans="13:14" x14ac:dyDescent="0.2">
      <c r="M1420" t="str">
        <f>IF(Sync!$M1420&lt;&gt;"پاس چک","",IF(Sync!$P1420="","",Sync!$P1420))</f>
        <v/>
      </c>
      <c r="N1420" t="str">
        <f>IF($M1420="","",IF(ISNUMBER(Sync!$L1420),IF(AND(Sync!$L1420&gt;=10000101,Sync!$L1420&lt;=99991231),RIGHT("0000"&amp;INT(Sync!$L1420/10000),4)&amp;"/"&amp;RIGHT("00"&amp;INT(MOD(Sync!$L1420,10000)/100),2)&amp;"/"&amp;RIGHT("00"&amp;MOD(Sync!$L1420,100),2),""),IFERROR(RIGHT("0000"&amp;VALUE(TRIM(LEFT(Sync!$L1420,FIND("/",Sync!$L1420)-1))),4)&amp;"/"&amp;RIGHT("00"&amp;VALUE(TRIM(LEFT(MID(Sync!$L1420,FIND("/",Sync!$L1420)+1,20),FIND("/",MID(Sync!$L1420,FIND("/",Sync!$L1420)+1,20))-1))),2)&amp;"/"&amp;RIGHT("00"&amp;VALUE(TRIM(MID(MID(Sync!$L1420,FIND("/",Sync!$L1420)+1,20),FIND("/",MID(Sync!$L1420,FIND("/",Sync!$L1420)+1,20))+1,20))),2),"")))</f>
        <v/>
      </c>
    </row>
    <row r="1421" spans="13:14" x14ac:dyDescent="0.2">
      <c r="M1421" t="str">
        <f>IF(Sync!$M1421&lt;&gt;"پاس چک","",IF(Sync!$P1421="","",Sync!$P1421))</f>
        <v/>
      </c>
      <c r="N1421" t="str">
        <f>IF($M1421="","",IF(ISNUMBER(Sync!$L1421),IF(AND(Sync!$L1421&gt;=10000101,Sync!$L1421&lt;=99991231),RIGHT("0000"&amp;INT(Sync!$L1421/10000),4)&amp;"/"&amp;RIGHT("00"&amp;INT(MOD(Sync!$L1421,10000)/100),2)&amp;"/"&amp;RIGHT("00"&amp;MOD(Sync!$L1421,100),2),""),IFERROR(RIGHT("0000"&amp;VALUE(TRIM(LEFT(Sync!$L1421,FIND("/",Sync!$L1421)-1))),4)&amp;"/"&amp;RIGHT("00"&amp;VALUE(TRIM(LEFT(MID(Sync!$L1421,FIND("/",Sync!$L1421)+1,20),FIND("/",MID(Sync!$L1421,FIND("/",Sync!$L1421)+1,20))-1))),2)&amp;"/"&amp;RIGHT("00"&amp;VALUE(TRIM(MID(MID(Sync!$L1421,FIND("/",Sync!$L1421)+1,20),FIND("/",MID(Sync!$L1421,FIND("/",Sync!$L1421)+1,20))+1,20))),2),"")))</f>
        <v/>
      </c>
    </row>
    <row r="1422" spans="13:14" x14ac:dyDescent="0.2">
      <c r="M1422" t="str">
        <f>IF(Sync!$M1422&lt;&gt;"پاس چک","",IF(Sync!$P1422="","",Sync!$P1422))</f>
        <v/>
      </c>
      <c r="N1422" t="str">
        <f>IF($M1422="","",IF(ISNUMBER(Sync!$L1422),IF(AND(Sync!$L1422&gt;=10000101,Sync!$L1422&lt;=99991231),RIGHT("0000"&amp;INT(Sync!$L1422/10000),4)&amp;"/"&amp;RIGHT("00"&amp;INT(MOD(Sync!$L1422,10000)/100),2)&amp;"/"&amp;RIGHT("00"&amp;MOD(Sync!$L1422,100),2),""),IFERROR(RIGHT("0000"&amp;VALUE(TRIM(LEFT(Sync!$L1422,FIND("/",Sync!$L1422)-1))),4)&amp;"/"&amp;RIGHT("00"&amp;VALUE(TRIM(LEFT(MID(Sync!$L1422,FIND("/",Sync!$L1422)+1,20),FIND("/",MID(Sync!$L1422,FIND("/",Sync!$L1422)+1,20))-1))),2)&amp;"/"&amp;RIGHT("00"&amp;VALUE(TRIM(MID(MID(Sync!$L1422,FIND("/",Sync!$L1422)+1,20),FIND("/",MID(Sync!$L1422,FIND("/",Sync!$L1422)+1,20))+1,20))),2),"")))</f>
        <v/>
      </c>
    </row>
    <row r="1423" spans="13:14" x14ac:dyDescent="0.2">
      <c r="M1423" t="str">
        <f>IF(Sync!$M1423&lt;&gt;"پاس چک","",IF(Sync!$P1423="","",Sync!$P1423))</f>
        <v/>
      </c>
      <c r="N1423" t="str">
        <f>IF($M1423="","",IF(ISNUMBER(Sync!$L1423),IF(AND(Sync!$L1423&gt;=10000101,Sync!$L1423&lt;=99991231),RIGHT("0000"&amp;INT(Sync!$L1423/10000),4)&amp;"/"&amp;RIGHT("00"&amp;INT(MOD(Sync!$L1423,10000)/100),2)&amp;"/"&amp;RIGHT("00"&amp;MOD(Sync!$L1423,100),2),""),IFERROR(RIGHT("0000"&amp;VALUE(TRIM(LEFT(Sync!$L1423,FIND("/",Sync!$L1423)-1))),4)&amp;"/"&amp;RIGHT("00"&amp;VALUE(TRIM(LEFT(MID(Sync!$L1423,FIND("/",Sync!$L1423)+1,20),FIND("/",MID(Sync!$L1423,FIND("/",Sync!$L1423)+1,20))-1))),2)&amp;"/"&amp;RIGHT("00"&amp;VALUE(TRIM(MID(MID(Sync!$L1423,FIND("/",Sync!$L1423)+1,20),FIND("/",MID(Sync!$L1423,FIND("/",Sync!$L1423)+1,20))+1,20))),2),"")))</f>
        <v/>
      </c>
    </row>
    <row r="1424" spans="13:14" x14ac:dyDescent="0.2">
      <c r="M1424" t="str">
        <f>IF(Sync!$M1424&lt;&gt;"پاس چک","",IF(Sync!$P1424="","",Sync!$P1424))</f>
        <v/>
      </c>
      <c r="N1424" t="str">
        <f>IF($M1424="","",IF(ISNUMBER(Sync!$L1424),IF(AND(Sync!$L1424&gt;=10000101,Sync!$L1424&lt;=99991231),RIGHT("0000"&amp;INT(Sync!$L1424/10000),4)&amp;"/"&amp;RIGHT("00"&amp;INT(MOD(Sync!$L1424,10000)/100),2)&amp;"/"&amp;RIGHT("00"&amp;MOD(Sync!$L1424,100),2),""),IFERROR(RIGHT("0000"&amp;VALUE(TRIM(LEFT(Sync!$L1424,FIND("/",Sync!$L1424)-1))),4)&amp;"/"&amp;RIGHT("00"&amp;VALUE(TRIM(LEFT(MID(Sync!$L1424,FIND("/",Sync!$L1424)+1,20),FIND("/",MID(Sync!$L1424,FIND("/",Sync!$L1424)+1,20))-1))),2)&amp;"/"&amp;RIGHT("00"&amp;VALUE(TRIM(MID(MID(Sync!$L1424,FIND("/",Sync!$L1424)+1,20),FIND("/",MID(Sync!$L1424,FIND("/",Sync!$L1424)+1,20))+1,20))),2),"")))</f>
        <v/>
      </c>
    </row>
    <row r="1425" spans="13:14" x14ac:dyDescent="0.2">
      <c r="M1425" t="str">
        <f>IF(Sync!$M1425&lt;&gt;"پاس چک","",IF(Sync!$P1425="","",Sync!$P1425))</f>
        <v/>
      </c>
      <c r="N1425" t="str">
        <f>IF($M1425="","",IF(ISNUMBER(Sync!$L1425),IF(AND(Sync!$L1425&gt;=10000101,Sync!$L1425&lt;=99991231),RIGHT("0000"&amp;INT(Sync!$L1425/10000),4)&amp;"/"&amp;RIGHT("00"&amp;INT(MOD(Sync!$L1425,10000)/100),2)&amp;"/"&amp;RIGHT("00"&amp;MOD(Sync!$L1425,100),2),""),IFERROR(RIGHT("0000"&amp;VALUE(TRIM(LEFT(Sync!$L1425,FIND("/",Sync!$L1425)-1))),4)&amp;"/"&amp;RIGHT("00"&amp;VALUE(TRIM(LEFT(MID(Sync!$L1425,FIND("/",Sync!$L1425)+1,20),FIND("/",MID(Sync!$L1425,FIND("/",Sync!$L1425)+1,20))-1))),2)&amp;"/"&amp;RIGHT("00"&amp;VALUE(TRIM(MID(MID(Sync!$L1425,FIND("/",Sync!$L1425)+1,20),FIND("/",MID(Sync!$L1425,FIND("/",Sync!$L1425)+1,20))+1,20))),2),"")))</f>
        <v/>
      </c>
    </row>
    <row r="1426" spans="13:14" x14ac:dyDescent="0.2">
      <c r="M1426" t="str">
        <f>IF(Sync!$M1426&lt;&gt;"پاس چک","",IF(Sync!$P1426="","",Sync!$P1426))</f>
        <v/>
      </c>
      <c r="N1426" t="str">
        <f>IF($M1426="","",IF(ISNUMBER(Sync!$L1426),IF(AND(Sync!$L1426&gt;=10000101,Sync!$L1426&lt;=99991231),RIGHT("0000"&amp;INT(Sync!$L1426/10000),4)&amp;"/"&amp;RIGHT("00"&amp;INT(MOD(Sync!$L1426,10000)/100),2)&amp;"/"&amp;RIGHT("00"&amp;MOD(Sync!$L1426,100),2),""),IFERROR(RIGHT("0000"&amp;VALUE(TRIM(LEFT(Sync!$L1426,FIND("/",Sync!$L1426)-1))),4)&amp;"/"&amp;RIGHT("00"&amp;VALUE(TRIM(LEFT(MID(Sync!$L1426,FIND("/",Sync!$L1426)+1,20),FIND("/",MID(Sync!$L1426,FIND("/",Sync!$L1426)+1,20))-1))),2)&amp;"/"&amp;RIGHT("00"&amp;VALUE(TRIM(MID(MID(Sync!$L1426,FIND("/",Sync!$L1426)+1,20),FIND("/",MID(Sync!$L1426,FIND("/",Sync!$L1426)+1,20))+1,20))),2),"")))</f>
        <v/>
      </c>
    </row>
    <row r="1427" spans="13:14" x14ac:dyDescent="0.2">
      <c r="M1427" t="str">
        <f>IF(Sync!$M1427&lt;&gt;"پاس چک","",IF(Sync!$P1427="","",Sync!$P1427))</f>
        <v/>
      </c>
      <c r="N1427" t="str">
        <f>IF($M1427="","",IF(ISNUMBER(Sync!$L1427),IF(AND(Sync!$L1427&gt;=10000101,Sync!$L1427&lt;=99991231),RIGHT("0000"&amp;INT(Sync!$L1427/10000),4)&amp;"/"&amp;RIGHT("00"&amp;INT(MOD(Sync!$L1427,10000)/100),2)&amp;"/"&amp;RIGHT("00"&amp;MOD(Sync!$L1427,100),2),""),IFERROR(RIGHT("0000"&amp;VALUE(TRIM(LEFT(Sync!$L1427,FIND("/",Sync!$L1427)-1))),4)&amp;"/"&amp;RIGHT("00"&amp;VALUE(TRIM(LEFT(MID(Sync!$L1427,FIND("/",Sync!$L1427)+1,20),FIND("/",MID(Sync!$L1427,FIND("/",Sync!$L1427)+1,20))-1))),2)&amp;"/"&amp;RIGHT("00"&amp;VALUE(TRIM(MID(MID(Sync!$L1427,FIND("/",Sync!$L1427)+1,20),FIND("/",MID(Sync!$L1427,FIND("/",Sync!$L1427)+1,20))+1,20))),2),"")))</f>
        <v/>
      </c>
    </row>
    <row r="1428" spans="13:14" x14ac:dyDescent="0.2">
      <c r="M1428" t="str">
        <f>IF(Sync!$M1428&lt;&gt;"پاس چک","",IF(Sync!$P1428="","",Sync!$P1428))</f>
        <v/>
      </c>
      <c r="N1428" t="str">
        <f>IF($M1428="","",IF(ISNUMBER(Sync!$L1428),IF(AND(Sync!$L1428&gt;=10000101,Sync!$L1428&lt;=99991231),RIGHT("0000"&amp;INT(Sync!$L1428/10000),4)&amp;"/"&amp;RIGHT("00"&amp;INT(MOD(Sync!$L1428,10000)/100),2)&amp;"/"&amp;RIGHT("00"&amp;MOD(Sync!$L1428,100),2),""),IFERROR(RIGHT("0000"&amp;VALUE(TRIM(LEFT(Sync!$L1428,FIND("/",Sync!$L1428)-1))),4)&amp;"/"&amp;RIGHT("00"&amp;VALUE(TRIM(LEFT(MID(Sync!$L1428,FIND("/",Sync!$L1428)+1,20),FIND("/",MID(Sync!$L1428,FIND("/",Sync!$L1428)+1,20))-1))),2)&amp;"/"&amp;RIGHT("00"&amp;VALUE(TRIM(MID(MID(Sync!$L1428,FIND("/",Sync!$L1428)+1,20),FIND("/",MID(Sync!$L1428,FIND("/",Sync!$L1428)+1,20))+1,20))),2),"")))</f>
        <v/>
      </c>
    </row>
    <row r="1429" spans="13:14" x14ac:dyDescent="0.2">
      <c r="M1429" t="str">
        <f>IF(Sync!$M1429&lt;&gt;"پاس چک","",IF(Sync!$P1429="","",Sync!$P1429))</f>
        <v/>
      </c>
      <c r="N1429" t="str">
        <f>IF($M1429="","",IF(ISNUMBER(Sync!$L1429),IF(AND(Sync!$L1429&gt;=10000101,Sync!$L1429&lt;=99991231),RIGHT("0000"&amp;INT(Sync!$L1429/10000),4)&amp;"/"&amp;RIGHT("00"&amp;INT(MOD(Sync!$L1429,10000)/100),2)&amp;"/"&amp;RIGHT("00"&amp;MOD(Sync!$L1429,100),2),""),IFERROR(RIGHT("0000"&amp;VALUE(TRIM(LEFT(Sync!$L1429,FIND("/",Sync!$L1429)-1))),4)&amp;"/"&amp;RIGHT("00"&amp;VALUE(TRIM(LEFT(MID(Sync!$L1429,FIND("/",Sync!$L1429)+1,20),FIND("/",MID(Sync!$L1429,FIND("/",Sync!$L1429)+1,20))-1))),2)&amp;"/"&amp;RIGHT("00"&amp;VALUE(TRIM(MID(MID(Sync!$L1429,FIND("/",Sync!$L1429)+1,20),FIND("/",MID(Sync!$L1429,FIND("/",Sync!$L1429)+1,20))+1,20))),2),"")))</f>
        <v/>
      </c>
    </row>
    <row r="1430" spans="13:14" x14ac:dyDescent="0.2">
      <c r="M1430" t="str">
        <f>IF(Sync!$M1430&lt;&gt;"پاس چک","",IF(Sync!$P1430="","",Sync!$P1430))</f>
        <v/>
      </c>
      <c r="N1430" t="str">
        <f>IF($M1430="","",IF(ISNUMBER(Sync!$L1430),IF(AND(Sync!$L1430&gt;=10000101,Sync!$L1430&lt;=99991231),RIGHT("0000"&amp;INT(Sync!$L1430/10000),4)&amp;"/"&amp;RIGHT("00"&amp;INT(MOD(Sync!$L1430,10000)/100),2)&amp;"/"&amp;RIGHT("00"&amp;MOD(Sync!$L1430,100),2),""),IFERROR(RIGHT("0000"&amp;VALUE(TRIM(LEFT(Sync!$L1430,FIND("/",Sync!$L1430)-1))),4)&amp;"/"&amp;RIGHT("00"&amp;VALUE(TRIM(LEFT(MID(Sync!$L1430,FIND("/",Sync!$L1430)+1,20),FIND("/",MID(Sync!$L1430,FIND("/",Sync!$L1430)+1,20))-1))),2)&amp;"/"&amp;RIGHT("00"&amp;VALUE(TRIM(MID(MID(Sync!$L1430,FIND("/",Sync!$L1430)+1,20),FIND("/",MID(Sync!$L1430,FIND("/",Sync!$L1430)+1,20))+1,20))),2),"")))</f>
        <v/>
      </c>
    </row>
    <row r="1431" spans="13:14" x14ac:dyDescent="0.2">
      <c r="M1431" t="str">
        <f>IF(Sync!$M1431&lt;&gt;"پاس چک","",IF(Sync!$P1431="","",Sync!$P1431))</f>
        <v/>
      </c>
      <c r="N1431" t="str">
        <f>IF($M1431="","",IF(ISNUMBER(Sync!$L1431),IF(AND(Sync!$L1431&gt;=10000101,Sync!$L1431&lt;=99991231),RIGHT("0000"&amp;INT(Sync!$L1431/10000),4)&amp;"/"&amp;RIGHT("00"&amp;INT(MOD(Sync!$L1431,10000)/100),2)&amp;"/"&amp;RIGHT("00"&amp;MOD(Sync!$L1431,100),2),""),IFERROR(RIGHT("0000"&amp;VALUE(TRIM(LEFT(Sync!$L1431,FIND("/",Sync!$L1431)-1))),4)&amp;"/"&amp;RIGHT("00"&amp;VALUE(TRIM(LEFT(MID(Sync!$L1431,FIND("/",Sync!$L1431)+1,20),FIND("/",MID(Sync!$L1431,FIND("/",Sync!$L1431)+1,20))-1))),2)&amp;"/"&amp;RIGHT("00"&amp;VALUE(TRIM(MID(MID(Sync!$L1431,FIND("/",Sync!$L1431)+1,20),FIND("/",MID(Sync!$L1431,FIND("/",Sync!$L1431)+1,20))+1,20))),2),"")))</f>
        <v/>
      </c>
    </row>
    <row r="1432" spans="13:14" x14ac:dyDescent="0.2">
      <c r="M1432" t="str">
        <f>IF(Sync!$M1432&lt;&gt;"پاس چک","",IF(Sync!$P1432="","",Sync!$P1432))</f>
        <v/>
      </c>
      <c r="N1432" t="str">
        <f>IF($M1432="","",IF(ISNUMBER(Sync!$L1432),IF(AND(Sync!$L1432&gt;=10000101,Sync!$L1432&lt;=99991231),RIGHT("0000"&amp;INT(Sync!$L1432/10000),4)&amp;"/"&amp;RIGHT("00"&amp;INT(MOD(Sync!$L1432,10000)/100),2)&amp;"/"&amp;RIGHT("00"&amp;MOD(Sync!$L1432,100),2),""),IFERROR(RIGHT("0000"&amp;VALUE(TRIM(LEFT(Sync!$L1432,FIND("/",Sync!$L1432)-1))),4)&amp;"/"&amp;RIGHT("00"&amp;VALUE(TRIM(LEFT(MID(Sync!$L1432,FIND("/",Sync!$L1432)+1,20),FIND("/",MID(Sync!$L1432,FIND("/",Sync!$L1432)+1,20))-1))),2)&amp;"/"&amp;RIGHT("00"&amp;VALUE(TRIM(MID(MID(Sync!$L1432,FIND("/",Sync!$L1432)+1,20),FIND("/",MID(Sync!$L1432,FIND("/",Sync!$L1432)+1,20))+1,20))),2),"")))</f>
        <v/>
      </c>
    </row>
    <row r="1433" spans="13:14" x14ac:dyDescent="0.2">
      <c r="M1433" t="str">
        <f>IF(Sync!$M1433&lt;&gt;"پاس چک","",IF(Sync!$P1433="","",Sync!$P1433))</f>
        <v/>
      </c>
      <c r="N1433" t="str">
        <f>IF($M1433="","",IF(ISNUMBER(Sync!$L1433),IF(AND(Sync!$L1433&gt;=10000101,Sync!$L1433&lt;=99991231),RIGHT("0000"&amp;INT(Sync!$L1433/10000),4)&amp;"/"&amp;RIGHT("00"&amp;INT(MOD(Sync!$L1433,10000)/100),2)&amp;"/"&amp;RIGHT("00"&amp;MOD(Sync!$L1433,100),2),""),IFERROR(RIGHT("0000"&amp;VALUE(TRIM(LEFT(Sync!$L1433,FIND("/",Sync!$L1433)-1))),4)&amp;"/"&amp;RIGHT("00"&amp;VALUE(TRIM(LEFT(MID(Sync!$L1433,FIND("/",Sync!$L1433)+1,20),FIND("/",MID(Sync!$L1433,FIND("/",Sync!$L1433)+1,20))-1))),2)&amp;"/"&amp;RIGHT("00"&amp;VALUE(TRIM(MID(MID(Sync!$L1433,FIND("/",Sync!$L1433)+1,20),FIND("/",MID(Sync!$L1433,FIND("/",Sync!$L1433)+1,20))+1,20))),2),"")))</f>
        <v/>
      </c>
    </row>
    <row r="1434" spans="13:14" x14ac:dyDescent="0.2">
      <c r="M1434" t="str">
        <f>IF(Sync!$M1434&lt;&gt;"پاس چک","",IF(Sync!$P1434="","",Sync!$P1434))</f>
        <v/>
      </c>
      <c r="N1434" t="str">
        <f>IF($M1434="","",IF(ISNUMBER(Sync!$L1434),IF(AND(Sync!$L1434&gt;=10000101,Sync!$L1434&lt;=99991231),RIGHT("0000"&amp;INT(Sync!$L1434/10000),4)&amp;"/"&amp;RIGHT("00"&amp;INT(MOD(Sync!$L1434,10000)/100),2)&amp;"/"&amp;RIGHT("00"&amp;MOD(Sync!$L1434,100),2),""),IFERROR(RIGHT("0000"&amp;VALUE(TRIM(LEFT(Sync!$L1434,FIND("/",Sync!$L1434)-1))),4)&amp;"/"&amp;RIGHT("00"&amp;VALUE(TRIM(LEFT(MID(Sync!$L1434,FIND("/",Sync!$L1434)+1,20),FIND("/",MID(Sync!$L1434,FIND("/",Sync!$L1434)+1,20))-1))),2)&amp;"/"&amp;RIGHT("00"&amp;VALUE(TRIM(MID(MID(Sync!$L1434,FIND("/",Sync!$L1434)+1,20),FIND("/",MID(Sync!$L1434,FIND("/",Sync!$L1434)+1,20))+1,20))),2),"")))</f>
        <v/>
      </c>
    </row>
    <row r="1435" spans="13:14" x14ac:dyDescent="0.2">
      <c r="M1435" t="str">
        <f>IF(Sync!$M1435&lt;&gt;"پاس چک","",IF(Sync!$P1435="","",Sync!$P1435))</f>
        <v/>
      </c>
      <c r="N1435" t="str">
        <f>IF($M1435="","",IF(ISNUMBER(Sync!$L1435),IF(AND(Sync!$L1435&gt;=10000101,Sync!$L1435&lt;=99991231),RIGHT("0000"&amp;INT(Sync!$L1435/10000),4)&amp;"/"&amp;RIGHT("00"&amp;INT(MOD(Sync!$L1435,10000)/100),2)&amp;"/"&amp;RIGHT("00"&amp;MOD(Sync!$L1435,100),2),""),IFERROR(RIGHT("0000"&amp;VALUE(TRIM(LEFT(Sync!$L1435,FIND("/",Sync!$L1435)-1))),4)&amp;"/"&amp;RIGHT("00"&amp;VALUE(TRIM(LEFT(MID(Sync!$L1435,FIND("/",Sync!$L1435)+1,20),FIND("/",MID(Sync!$L1435,FIND("/",Sync!$L1435)+1,20))-1))),2)&amp;"/"&amp;RIGHT("00"&amp;VALUE(TRIM(MID(MID(Sync!$L1435,FIND("/",Sync!$L1435)+1,20),FIND("/",MID(Sync!$L1435,FIND("/",Sync!$L1435)+1,20))+1,20))),2),"")))</f>
        <v/>
      </c>
    </row>
    <row r="1436" spans="13:14" x14ac:dyDescent="0.2">
      <c r="M1436" t="str">
        <f>IF(Sync!$M1436&lt;&gt;"پاس چک","",IF(Sync!$P1436="","",Sync!$P1436))</f>
        <v/>
      </c>
      <c r="N1436" t="str">
        <f>IF($M1436="","",IF(ISNUMBER(Sync!$L1436),IF(AND(Sync!$L1436&gt;=10000101,Sync!$L1436&lt;=99991231),RIGHT("0000"&amp;INT(Sync!$L1436/10000),4)&amp;"/"&amp;RIGHT("00"&amp;INT(MOD(Sync!$L1436,10000)/100),2)&amp;"/"&amp;RIGHT("00"&amp;MOD(Sync!$L1436,100),2),""),IFERROR(RIGHT("0000"&amp;VALUE(TRIM(LEFT(Sync!$L1436,FIND("/",Sync!$L1436)-1))),4)&amp;"/"&amp;RIGHT("00"&amp;VALUE(TRIM(LEFT(MID(Sync!$L1436,FIND("/",Sync!$L1436)+1,20),FIND("/",MID(Sync!$L1436,FIND("/",Sync!$L1436)+1,20))-1))),2)&amp;"/"&amp;RIGHT("00"&amp;VALUE(TRIM(MID(MID(Sync!$L1436,FIND("/",Sync!$L1436)+1,20),FIND("/",MID(Sync!$L1436,FIND("/",Sync!$L1436)+1,20))+1,20))),2),"")))</f>
        <v/>
      </c>
    </row>
    <row r="1437" spans="13:14" x14ac:dyDescent="0.2">
      <c r="M1437" t="str">
        <f>IF(Sync!$M1437&lt;&gt;"پاس چک","",IF(Sync!$P1437="","",Sync!$P1437))</f>
        <v/>
      </c>
      <c r="N1437" t="str">
        <f>IF($M1437="","",IF(ISNUMBER(Sync!$L1437),IF(AND(Sync!$L1437&gt;=10000101,Sync!$L1437&lt;=99991231),RIGHT("0000"&amp;INT(Sync!$L1437/10000),4)&amp;"/"&amp;RIGHT("00"&amp;INT(MOD(Sync!$L1437,10000)/100),2)&amp;"/"&amp;RIGHT("00"&amp;MOD(Sync!$L1437,100),2),""),IFERROR(RIGHT("0000"&amp;VALUE(TRIM(LEFT(Sync!$L1437,FIND("/",Sync!$L1437)-1))),4)&amp;"/"&amp;RIGHT("00"&amp;VALUE(TRIM(LEFT(MID(Sync!$L1437,FIND("/",Sync!$L1437)+1,20),FIND("/",MID(Sync!$L1437,FIND("/",Sync!$L1437)+1,20))-1))),2)&amp;"/"&amp;RIGHT("00"&amp;VALUE(TRIM(MID(MID(Sync!$L1437,FIND("/",Sync!$L1437)+1,20),FIND("/",MID(Sync!$L1437,FIND("/",Sync!$L1437)+1,20))+1,20))),2),"")))</f>
        <v/>
      </c>
    </row>
    <row r="1438" spans="13:14" x14ac:dyDescent="0.2">
      <c r="M1438" t="str">
        <f>IF(Sync!$M1438&lt;&gt;"پاس چک","",IF(Sync!$P1438="","",Sync!$P1438))</f>
        <v/>
      </c>
      <c r="N1438" t="str">
        <f>IF($M1438="","",IF(ISNUMBER(Sync!$L1438),IF(AND(Sync!$L1438&gt;=10000101,Sync!$L1438&lt;=99991231),RIGHT("0000"&amp;INT(Sync!$L1438/10000),4)&amp;"/"&amp;RIGHT("00"&amp;INT(MOD(Sync!$L1438,10000)/100),2)&amp;"/"&amp;RIGHT("00"&amp;MOD(Sync!$L1438,100),2),""),IFERROR(RIGHT("0000"&amp;VALUE(TRIM(LEFT(Sync!$L1438,FIND("/",Sync!$L1438)-1))),4)&amp;"/"&amp;RIGHT("00"&amp;VALUE(TRIM(LEFT(MID(Sync!$L1438,FIND("/",Sync!$L1438)+1,20),FIND("/",MID(Sync!$L1438,FIND("/",Sync!$L1438)+1,20))-1))),2)&amp;"/"&amp;RIGHT("00"&amp;VALUE(TRIM(MID(MID(Sync!$L1438,FIND("/",Sync!$L1438)+1,20),FIND("/",MID(Sync!$L1438,FIND("/",Sync!$L1438)+1,20))+1,20))),2),"")))</f>
        <v/>
      </c>
    </row>
    <row r="1439" spans="13:14" x14ac:dyDescent="0.2">
      <c r="M1439" t="str">
        <f>IF(Sync!$M1439&lt;&gt;"پاس چک","",IF(Sync!$P1439="","",Sync!$P1439))</f>
        <v/>
      </c>
      <c r="N1439" t="str">
        <f>IF($M1439="","",IF(ISNUMBER(Sync!$L1439),IF(AND(Sync!$L1439&gt;=10000101,Sync!$L1439&lt;=99991231),RIGHT("0000"&amp;INT(Sync!$L1439/10000),4)&amp;"/"&amp;RIGHT("00"&amp;INT(MOD(Sync!$L1439,10000)/100),2)&amp;"/"&amp;RIGHT("00"&amp;MOD(Sync!$L1439,100),2),""),IFERROR(RIGHT("0000"&amp;VALUE(TRIM(LEFT(Sync!$L1439,FIND("/",Sync!$L1439)-1))),4)&amp;"/"&amp;RIGHT("00"&amp;VALUE(TRIM(LEFT(MID(Sync!$L1439,FIND("/",Sync!$L1439)+1,20),FIND("/",MID(Sync!$L1439,FIND("/",Sync!$L1439)+1,20))-1))),2)&amp;"/"&amp;RIGHT("00"&amp;VALUE(TRIM(MID(MID(Sync!$L1439,FIND("/",Sync!$L1439)+1,20),FIND("/",MID(Sync!$L1439,FIND("/",Sync!$L1439)+1,20))+1,20))),2),"")))</f>
        <v/>
      </c>
    </row>
    <row r="1440" spans="13:14" x14ac:dyDescent="0.2">
      <c r="M1440" t="str">
        <f>IF(Sync!$M1440&lt;&gt;"پاس چک","",IF(Sync!$P1440="","",Sync!$P1440))</f>
        <v/>
      </c>
      <c r="N1440" t="str">
        <f>IF($M1440="","",IF(ISNUMBER(Sync!$L1440),IF(AND(Sync!$L1440&gt;=10000101,Sync!$L1440&lt;=99991231),RIGHT("0000"&amp;INT(Sync!$L1440/10000),4)&amp;"/"&amp;RIGHT("00"&amp;INT(MOD(Sync!$L1440,10000)/100),2)&amp;"/"&amp;RIGHT("00"&amp;MOD(Sync!$L1440,100),2),""),IFERROR(RIGHT("0000"&amp;VALUE(TRIM(LEFT(Sync!$L1440,FIND("/",Sync!$L1440)-1))),4)&amp;"/"&amp;RIGHT("00"&amp;VALUE(TRIM(LEFT(MID(Sync!$L1440,FIND("/",Sync!$L1440)+1,20),FIND("/",MID(Sync!$L1440,FIND("/",Sync!$L1440)+1,20))-1))),2)&amp;"/"&amp;RIGHT("00"&amp;VALUE(TRIM(MID(MID(Sync!$L1440,FIND("/",Sync!$L1440)+1,20),FIND("/",MID(Sync!$L1440,FIND("/",Sync!$L1440)+1,20))+1,20))),2),"")))</f>
        <v/>
      </c>
    </row>
    <row r="1441" spans="13:14" x14ac:dyDescent="0.2">
      <c r="M1441" t="str">
        <f>IF(Sync!$M1441&lt;&gt;"پاس چک","",IF(Sync!$P1441="","",Sync!$P1441))</f>
        <v/>
      </c>
      <c r="N1441" t="str">
        <f>IF($M1441="","",IF(ISNUMBER(Sync!$L1441),IF(AND(Sync!$L1441&gt;=10000101,Sync!$L1441&lt;=99991231),RIGHT("0000"&amp;INT(Sync!$L1441/10000),4)&amp;"/"&amp;RIGHT("00"&amp;INT(MOD(Sync!$L1441,10000)/100),2)&amp;"/"&amp;RIGHT("00"&amp;MOD(Sync!$L1441,100),2),""),IFERROR(RIGHT("0000"&amp;VALUE(TRIM(LEFT(Sync!$L1441,FIND("/",Sync!$L1441)-1))),4)&amp;"/"&amp;RIGHT("00"&amp;VALUE(TRIM(LEFT(MID(Sync!$L1441,FIND("/",Sync!$L1441)+1,20),FIND("/",MID(Sync!$L1441,FIND("/",Sync!$L1441)+1,20))-1))),2)&amp;"/"&amp;RIGHT("00"&amp;VALUE(TRIM(MID(MID(Sync!$L1441,FIND("/",Sync!$L1441)+1,20),FIND("/",MID(Sync!$L1441,FIND("/",Sync!$L1441)+1,20))+1,20))),2),"")))</f>
        <v/>
      </c>
    </row>
    <row r="1442" spans="13:14" x14ac:dyDescent="0.2">
      <c r="M1442" t="str">
        <f>IF(Sync!$M1442&lt;&gt;"پاس چک","",IF(Sync!$P1442="","",Sync!$P1442))</f>
        <v/>
      </c>
      <c r="N1442" t="str">
        <f>IF($M1442="","",IF(ISNUMBER(Sync!$L1442),IF(AND(Sync!$L1442&gt;=10000101,Sync!$L1442&lt;=99991231),RIGHT("0000"&amp;INT(Sync!$L1442/10000),4)&amp;"/"&amp;RIGHT("00"&amp;INT(MOD(Sync!$L1442,10000)/100),2)&amp;"/"&amp;RIGHT("00"&amp;MOD(Sync!$L1442,100),2),""),IFERROR(RIGHT("0000"&amp;VALUE(TRIM(LEFT(Sync!$L1442,FIND("/",Sync!$L1442)-1))),4)&amp;"/"&amp;RIGHT("00"&amp;VALUE(TRIM(LEFT(MID(Sync!$L1442,FIND("/",Sync!$L1442)+1,20),FIND("/",MID(Sync!$L1442,FIND("/",Sync!$L1442)+1,20))-1))),2)&amp;"/"&amp;RIGHT("00"&amp;VALUE(TRIM(MID(MID(Sync!$L1442,FIND("/",Sync!$L1442)+1,20),FIND("/",MID(Sync!$L1442,FIND("/",Sync!$L1442)+1,20))+1,20))),2),"")))</f>
        <v/>
      </c>
    </row>
    <row r="1443" spans="13:14" x14ac:dyDescent="0.2">
      <c r="M1443" t="str">
        <f>IF(Sync!$M1443&lt;&gt;"پاس چک","",IF(Sync!$P1443="","",Sync!$P1443))</f>
        <v/>
      </c>
      <c r="N1443" t="str">
        <f>IF($M1443="","",IF(ISNUMBER(Sync!$L1443),IF(AND(Sync!$L1443&gt;=10000101,Sync!$L1443&lt;=99991231),RIGHT("0000"&amp;INT(Sync!$L1443/10000),4)&amp;"/"&amp;RIGHT("00"&amp;INT(MOD(Sync!$L1443,10000)/100),2)&amp;"/"&amp;RIGHT("00"&amp;MOD(Sync!$L1443,100),2),""),IFERROR(RIGHT("0000"&amp;VALUE(TRIM(LEFT(Sync!$L1443,FIND("/",Sync!$L1443)-1))),4)&amp;"/"&amp;RIGHT("00"&amp;VALUE(TRIM(LEFT(MID(Sync!$L1443,FIND("/",Sync!$L1443)+1,20),FIND("/",MID(Sync!$L1443,FIND("/",Sync!$L1443)+1,20))-1))),2)&amp;"/"&amp;RIGHT("00"&amp;VALUE(TRIM(MID(MID(Sync!$L1443,FIND("/",Sync!$L1443)+1,20),FIND("/",MID(Sync!$L1443,FIND("/",Sync!$L1443)+1,20))+1,20))),2),"")))</f>
        <v/>
      </c>
    </row>
    <row r="1444" spans="13:14" x14ac:dyDescent="0.2">
      <c r="M1444" t="str">
        <f>IF(Sync!$M1444&lt;&gt;"پاس چک","",IF(Sync!$P1444="","",Sync!$P1444))</f>
        <v/>
      </c>
      <c r="N1444" t="str">
        <f>IF($M1444="","",IF(ISNUMBER(Sync!$L1444),IF(AND(Sync!$L1444&gt;=10000101,Sync!$L1444&lt;=99991231),RIGHT("0000"&amp;INT(Sync!$L1444/10000),4)&amp;"/"&amp;RIGHT("00"&amp;INT(MOD(Sync!$L1444,10000)/100),2)&amp;"/"&amp;RIGHT("00"&amp;MOD(Sync!$L1444,100),2),""),IFERROR(RIGHT("0000"&amp;VALUE(TRIM(LEFT(Sync!$L1444,FIND("/",Sync!$L1444)-1))),4)&amp;"/"&amp;RIGHT("00"&amp;VALUE(TRIM(LEFT(MID(Sync!$L1444,FIND("/",Sync!$L1444)+1,20),FIND("/",MID(Sync!$L1444,FIND("/",Sync!$L1444)+1,20))-1))),2)&amp;"/"&amp;RIGHT("00"&amp;VALUE(TRIM(MID(MID(Sync!$L1444,FIND("/",Sync!$L1444)+1,20),FIND("/",MID(Sync!$L1444,FIND("/",Sync!$L1444)+1,20))+1,20))),2),"")))</f>
        <v/>
      </c>
    </row>
    <row r="1445" spans="13:14" x14ac:dyDescent="0.2">
      <c r="M1445" t="str">
        <f>IF(Sync!$M1445&lt;&gt;"پاس چک","",IF(Sync!$P1445="","",Sync!$P1445))</f>
        <v/>
      </c>
      <c r="N1445" t="str">
        <f>IF($M1445="","",IF(ISNUMBER(Sync!$L1445),IF(AND(Sync!$L1445&gt;=10000101,Sync!$L1445&lt;=99991231),RIGHT("0000"&amp;INT(Sync!$L1445/10000),4)&amp;"/"&amp;RIGHT("00"&amp;INT(MOD(Sync!$L1445,10000)/100),2)&amp;"/"&amp;RIGHT("00"&amp;MOD(Sync!$L1445,100),2),""),IFERROR(RIGHT("0000"&amp;VALUE(TRIM(LEFT(Sync!$L1445,FIND("/",Sync!$L1445)-1))),4)&amp;"/"&amp;RIGHT("00"&amp;VALUE(TRIM(LEFT(MID(Sync!$L1445,FIND("/",Sync!$L1445)+1,20),FIND("/",MID(Sync!$L1445,FIND("/",Sync!$L1445)+1,20))-1))),2)&amp;"/"&amp;RIGHT("00"&amp;VALUE(TRIM(MID(MID(Sync!$L1445,FIND("/",Sync!$L1445)+1,20),FIND("/",MID(Sync!$L1445,FIND("/",Sync!$L1445)+1,20))+1,20))),2),"")))</f>
        <v/>
      </c>
    </row>
    <row r="1446" spans="13:14" x14ac:dyDescent="0.2">
      <c r="M1446" t="str">
        <f>IF(Sync!$M1446&lt;&gt;"پاس چک","",IF(Sync!$P1446="","",Sync!$P1446))</f>
        <v/>
      </c>
      <c r="N1446" t="str">
        <f>IF($M1446="","",IF(ISNUMBER(Sync!$L1446),IF(AND(Sync!$L1446&gt;=10000101,Sync!$L1446&lt;=99991231),RIGHT("0000"&amp;INT(Sync!$L1446/10000),4)&amp;"/"&amp;RIGHT("00"&amp;INT(MOD(Sync!$L1446,10000)/100),2)&amp;"/"&amp;RIGHT("00"&amp;MOD(Sync!$L1446,100),2),""),IFERROR(RIGHT("0000"&amp;VALUE(TRIM(LEFT(Sync!$L1446,FIND("/",Sync!$L1446)-1))),4)&amp;"/"&amp;RIGHT("00"&amp;VALUE(TRIM(LEFT(MID(Sync!$L1446,FIND("/",Sync!$L1446)+1,20),FIND("/",MID(Sync!$L1446,FIND("/",Sync!$L1446)+1,20))-1))),2)&amp;"/"&amp;RIGHT("00"&amp;VALUE(TRIM(MID(MID(Sync!$L1446,FIND("/",Sync!$L1446)+1,20),FIND("/",MID(Sync!$L1446,FIND("/",Sync!$L1446)+1,20))+1,20))),2),"")))</f>
        <v/>
      </c>
    </row>
    <row r="1447" spans="13:14" x14ac:dyDescent="0.2">
      <c r="M1447" t="str">
        <f>IF(Sync!$M1447&lt;&gt;"پاس چک","",IF(Sync!$P1447="","",Sync!$P1447))</f>
        <v/>
      </c>
      <c r="N1447" t="str">
        <f>IF($M1447="","",IF(ISNUMBER(Sync!$L1447),IF(AND(Sync!$L1447&gt;=10000101,Sync!$L1447&lt;=99991231),RIGHT("0000"&amp;INT(Sync!$L1447/10000),4)&amp;"/"&amp;RIGHT("00"&amp;INT(MOD(Sync!$L1447,10000)/100),2)&amp;"/"&amp;RIGHT("00"&amp;MOD(Sync!$L1447,100),2),""),IFERROR(RIGHT("0000"&amp;VALUE(TRIM(LEFT(Sync!$L1447,FIND("/",Sync!$L1447)-1))),4)&amp;"/"&amp;RIGHT("00"&amp;VALUE(TRIM(LEFT(MID(Sync!$L1447,FIND("/",Sync!$L1447)+1,20),FIND("/",MID(Sync!$L1447,FIND("/",Sync!$L1447)+1,20))-1))),2)&amp;"/"&amp;RIGHT("00"&amp;VALUE(TRIM(MID(MID(Sync!$L1447,FIND("/",Sync!$L1447)+1,20),FIND("/",MID(Sync!$L1447,FIND("/",Sync!$L1447)+1,20))+1,20))),2),"")))</f>
        <v/>
      </c>
    </row>
    <row r="1448" spans="13:14" x14ac:dyDescent="0.2">
      <c r="M1448" t="str">
        <f>IF(Sync!$M1448&lt;&gt;"پاس چک","",IF(Sync!$P1448="","",Sync!$P1448))</f>
        <v/>
      </c>
      <c r="N1448" t="str">
        <f>IF($M1448="","",IF(ISNUMBER(Sync!$L1448),IF(AND(Sync!$L1448&gt;=10000101,Sync!$L1448&lt;=99991231),RIGHT("0000"&amp;INT(Sync!$L1448/10000),4)&amp;"/"&amp;RIGHT("00"&amp;INT(MOD(Sync!$L1448,10000)/100),2)&amp;"/"&amp;RIGHT("00"&amp;MOD(Sync!$L1448,100),2),""),IFERROR(RIGHT("0000"&amp;VALUE(TRIM(LEFT(Sync!$L1448,FIND("/",Sync!$L1448)-1))),4)&amp;"/"&amp;RIGHT("00"&amp;VALUE(TRIM(LEFT(MID(Sync!$L1448,FIND("/",Sync!$L1448)+1,20),FIND("/",MID(Sync!$L1448,FIND("/",Sync!$L1448)+1,20))-1))),2)&amp;"/"&amp;RIGHT("00"&amp;VALUE(TRIM(MID(MID(Sync!$L1448,FIND("/",Sync!$L1448)+1,20),FIND("/",MID(Sync!$L1448,FIND("/",Sync!$L1448)+1,20))+1,20))),2),"")))</f>
        <v/>
      </c>
    </row>
    <row r="1449" spans="13:14" x14ac:dyDescent="0.2">
      <c r="M1449" t="str">
        <f>IF(Sync!$M1449&lt;&gt;"پاس چک","",IF(Sync!$P1449="","",Sync!$P1449))</f>
        <v/>
      </c>
      <c r="N1449" t="str">
        <f>IF($M1449="","",IF(ISNUMBER(Sync!$L1449),IF(AND(Sync!$L1449&gt;=10000101,Sync!$L1449&lt;=99991231),RIGHT("0000"&amp;INT(Sync!$L1449/10000),4)&amp;"/"&amp;RIGHT("00"&amp;INT(MOD(Sync!$L1449,10000)/100),2)&amp;"/"&amp;RIGHT("00"&amp;MOD(Sync!$L1449,100),2),""),IFERROR(RIGHT("0000"&amp;VALUE(TRIM(LEFT(Sync!$L1449,FIND("/",Sync!$L1449)-1))),4)&amp;"/"&amp;RIGHT("00"&amp;VALUE(TRIM(LEFT(MID(Sync!$L1449,FIND("/",Sync!$L1449)+1,20),FIND("/",MID(Sync!$L1449,FIND("/",Sync!$L1449)+1,20))-1))),2)&amp;"/"&amp;RIGHT("00"&amp;VALUE(TRIM(MID(MID(Sync!$L1449,FIND("/",Sync!$L1449)+1,20),FIND("/",MID(Sync!$L1449,FIND("/",Sync!$L1449)+1,20))+1,20))),2),"")))</f>
        <v/>
      </c>
    </row>
    <row r="1450" spans="13:14" x14ac:dyDescent="0.2">
      <c r="M1450" t="str">
        <f>IF(Sync!$M1450&lt;&gt;"پاس چک","",IF(Sync!$P1450="","",Sync!$P1450))</f>
        <v/>
      </c>
      <c r="N1450" t="str">
        <f>IF($M1450="","",IF(ISNUMBER(Sync!$L1450),IF(AND(Sync!$L1450&gt;=10000101,Sync!$L1450&lt;=99991231),RIGHT("0000"&amp;INT(Sync!$L1450/10000),4)&amp;"/"&amp;RIGHT("00"&amp;INT(MOD(Sync!$L1450,10000)/100),2)&amp;"/"&amp;RIGHT("00"&amp;MOD(Sync!$L1450,100),2),""),IFERROR(RIGHT("0000"&amp;VALUE(TRIM(LEFT(Sync!$L1450,FIND("/",Sync!$L1450)-1))),4)&amp;"/"&amp;RIGHT("00"&amp;VALUE(TRIM(LEFT(MID(Sync!$L1450,FIND("/",Sync!$L1450)+1,20),FIND("/",MID(Sync!$L1450,FIND("/",Sync!$L1450)+1,20))-1))),2)&amp;"/"&amp;RIGHT("00"&amp;VALUE(TRIM(MID(MID(Sync!$L1450,FIND("/",Sync!$L1450)+1,20),FIND("/",MID(Sync!$L1450,FIND("/",Sync!$L1450)+1,20))+1,20))),2),"")))</f>
        <v/>
      </c>
    </row>
    <row r="1451" spans="13:14" x14ac:dyDescent="0.2">
      <c r="M1451" t="str">
        <f>IF(Sync!$M1451&lt;&gt;"پاس چک","",IF(Sync!$P1451="","",Sync!$P1451))</f>
        <v/>
      </c>
      <c r="N1451" t="str">
        <f>IF($M1451="","",IF(ISNUMBER(Sync!$L1451),IF(AND(Sync!$L1451&gt;=10000101,Sync!$L1451&lt;=99991231),RIGHT("0000"&amp;INT(Sync!$L1451/10000),4)&amp;"/"&amp;RIGHT("00"&amp;INT(MOD(Sync!$L1451,10000)/100),2)&amp;"/"&amp;RIGHT("00"&amp;MOD(Sync!$L1451,100),2),""),IFERROR(RIGHT("0000"&amp;VALUE(TRIM(LEFT(Sync!$L1451,FIND("/",Sync!$L1451)-1))),4)&amp;"/"&amp;RIGHT("00"&amp;VALUE(TRIM(LEFT(MID(Sync!$L1451,FIND("/",Sync!$L1451)+1,20),FIND("/",MID(Sync!$L1451,FIND("/",Sync!$L1451)+1,20))-1))),2)&amp;"/"&amp;RIGHT("00"&amp;VALUE(TRIM(MID(MID(Sync!$L1451,FIND("/",Sync!$L1451)+1,20),FIND("/",MID(Sync!$L1451,FIND("/",Sync!$L1451)+1,20))+1,20))),2),"")))</f>
        <v/>
      </c>
    </row>
    <row r="1452" spans="13:14" x14ac:dyDescent="0.2">
      <c r="M1452" t="str">
        <f>IF(Sync!$M1452&lt;&gt;"پاس چک","",IF(Sync!$P1452="","",Sync!$P1452))</f>
        <v/>
      </c>
      <c r="N1452" t="str">
        <f>IF($M1452="","",IF(ISNUMBER(Sync!$L1452),IF(AND(Sync!$L1452&gt;=10000101,Sync!$L1452&lt;=99991231),RIGHT("0000"&amp;INT(Sync!$L1452/10000),4)&amp;"/"&amp;RIGHT("00"&amp;INT(MOD(Sync!$L1452,10000)/100),2)&amp;"/"&amp;RIGHT("00"&amp;MOD(Sync!$L1452,100),2),""),IFERROR(RIGHT("0000"&amp;VALUE(TRIM(LEFT(Sync!$L1452,FIND("/",Sync!$L1452)-1))),4)&amp;"/"&amp;RIGHT("00"&amp;VALUE(TRIM(LEFT(MID(Sync!$L1452,FIND("/",Sync!$L1452)+1,20),FIND("/",MID(Sync!$L1452,FIND("/",Sync!$L1452)+1,20))-1))),2)&amp;"/"&amp;RIGHT("00"&amp;VALUE(TRIM(MID(MID(Sync!$L1452,FIND("/",Sync!$L1452)+1,20),FIND("/",MID(Sync!$L1452,FIND("/",Sync!$L1452)+1,20))+1,20))),2),"")))</f>
        <v/>
      </c>
    </row>
    <row r="1453" spans="13:14" x14ac:dyDescent="0.2">
      <c r="M1453" t="str">
        <f>IF(Sync!$M1453&lt;&gt;"پاس چک","",IF(Sync!$P1453="","",Sync!$P1453))</f>
        <v/>
      </c>
      <c r="N1453" t="str">
        <f>IF($M1453="","",IF(ISNUMBER(Sync!$L1453),IF(AND(Sync!$L1453&gt;=10000101,Sync!$L1453&lt;=99991231),RIGHT("0000"&amp;INT(Sync!$L1453/10000),4)&amp;"/"&amp;RIGHT("00"&amp;INT(MOD(Sync!$L1453,10000)/100),2)&amp;"/"&amp;RIGHT("00"&amp;MOD(Sync!$L1453,100),2),""),IFERROR(RIGHT("0000"&amp;VALUE(TRIM(LEFT(Sync!$L1453,FIND("/",Sync!$L1453)-1))),4)&amp;"/"&amp;RIGHT("00"&amp;VALUE(TRIM(LEFT(MID(Sync!$L1453,FIND("/",Sync!$L1453)+1,20),FIND("/",MID(Sync!$L1453,FIND("/",Sync!$L1453)+1,20))-1))),2)&amp;"/"&amp;RIGHT("00"&amp;VALUE(TRIM(MID(MID(Sync!$L1453,FIND("/",Sync!$L1453)+1,20),FIND("/",MID(Sync!$L1453,FIND("/",Sync!$L1453)+1,20))+1,20))),2),"")))</f>
        <v/>
      </c>
    </row>
    <row r="1454" spans="13:14" x14ac:dyDescent="0.2">
      <c r="M1454" t="str">
        <f>IF(Sync!$M1454&lt;&gt;"پاس چک","",IF(Sync!$P1454="","",Sync!$P1454))</f>
        <v/>
      </c>
      <c r="N1454" t="str">
        <f>IF($M1454="","",IF(ISNUMBER(Sync!$L1454),IF(AND(Sync!$L1454&gt;=10000101,Sync!$L1454&lt;=99991231),RIGHT("0000"&amp;INT(Sync!$L1454/10000),4)&amp;"/"&amp;RIGHT("00"&amp;INT(MOD(Sync!$L1454,10000)/100),2)&amp;"/"&amp;RIGHT("00"&amp;MOD(Sync!$L1454,100),2),""),IFERROR(RIGHT("0000"&amp;VALUE(TRIM(LEFT(Sync!$L1454,FIND("/",Sync!$L1454)-1))),4)&amp;"/"&amp;RIGHT("00"&amp;VALUE(TRIM(LEFT(MID(Sync!$L1454,FIND("/",Sync!$L1454)+1,20),FIND("/",MID(Sync!$L1454,FIND("/",Sync!$L1454)+1,20))-1))),2)&amp;"/"&amp;RIGHT("00"&amp;VALUE(TRIM(MID(MID(Sync!$L1454,FIND("/",Sync!$L1454)+1,20),FIND("/",MID(Sync!$L1454,FIND("/",Sync!$L1454)+1,20))+1,20))),2),"")))</f>
        <v/>
      </c>
    </row>
    <row r="1455" spans="13:14" x14ac:dyDescent="0.2">
      <c r="M1455" t="str">
        <f>IF(Sync!$M1455&lt;&gt;"پاس چک","",IF(Sync!$P1455="","",Sync!$P1455))</f>
        <v/>
      </c>
      <c r="N1455" t="str">
        <f>IF($M1455="","",IF(ISNUMBER(Sync!$L1455),IF(AND(Sync!$L1455&gt;=10000101,Sync!$L1455&lt;=99991231),RIGHT("0000"&amp;INT(Sync!$L1455/10000),4)&amp;"/"&amp;RIGHT("00"&amp;INT(MOD(Sync!$L1455,10000)/100),2)&amp;"/"&amp;RIGHT("00"&amp;MOD(Sync!$L1455,100),2),""),IFERROR(RIGHT("0000"&amp;VALUE(TRIM(LEFT(Sync!$L1455,FIND("/",Sync!$L1455)-1))),4)&amp;"/"&amp;RIGHT("00"&amp;VALUE(TRIM(LEFT(MID(Sync!$L1455,FIND("/",Sync!$L1455)+1,20),FIND("/",MID(Sync!$L1455,FIND("/",Sync!$L1455)+1,20))-1))),2)&amp;"/"&amp;RIGHT("00"&amp;VALUE(TRIM(MID(MID(Sync!$L1455,FIND("/",Sync!$L1455)+1,20),FIND("/",MID(Sync!$L1455,FIND("/",Sync!$L1455)+1,20))+1,20))),2),"")))</f>
        <v/>
      </c>
    </row>
    <row r="1456" spans="13:14" x14ac:dyDescent="0.2">
      <c r="M1456" t="str">
        <f>IF(Sync!$M1456&lt;&gt;"پاس چک","",IF(Sync!$P1456="","",Sync!$P1456))</f>
        <v/>
      </c>
      <c r="N1456" t="str">
        <f>IF($M1456="","",IF(ISNUMBER(Sync!$L1456),IF(AND(Sync!$L1456&gt;=10000101,Sync!$L1456&lt;=99991231),RIGHT("0000"&amp;INT(Sync!$L1456/10000),4)&amp;"/"&amp;RIGHT("00"&amp;INT(MOD(Sync!$L1456,10000)/100),2)&amp;"/"&amp;RIGHT("00"&amp;MOD(Sync!$L1456,100),2),""),IFERROR(RIGHT("0000"&amp;VALUE(TRIM(LEFT(Sync!$L1456,FIND("/",Sync!$L1456)-1))),4)&amp;"/"&amp;RIGHT("00"&amp;VALUE(TRIM(LEFT(MID(Sync!$L1456,FIND("/",Sync!$L1456)+1,20),FIND("/",MID(Sync!$L1456,FIND("/",Sync!$L1456)+1,20))-1))),2)&amp;"/"&amp;RIGHT("00"&amp;VALUE(TRIM(MID(MID(Sync!$L1456,FIND("/",Sync!$L1456)+1,20),FIND("/",MID(Sync!$L1456,FIND("/",Sync!$L1456)+1,20))+1,20))),2),"")))</f>
        <v/>
      </c>
    </row>
    <row r="1457" spans="13:14" x14ac:dyDescent="0.2">
      <c r="M1457" t="str">
        <f>IF(Sync!$M1457&lt;&gt;"پاس چک","",IF(Sync!$P1457="","",Sync!$P1457))</f>
        <v/>
      </c>
      <c r="N1457" t="str">
        <f>IF($M1457="","",IF(ISNUMBER(Sync!$L1457),IF(AND(Sync!$L1457&gt;=10000101,Sync!$L1457&lt;=99991231),RIGHT("0000"&amp;INT(Sync!$L1457/10000),4)&amp;"/"&amp;RIGHT("00"&amp;INT(MOD(Sync!$L1457,10000)/100),2)&amp;"/"&amp;RIGHT("00"&amp;MOD(Sync!$L1457,100),2),""),IFERROR(RIGHT("0000"&amp;VALUE(TRIM(LEFT(Sync!$L1457,FIND("/",Sync!$L1457)-1))),4)&amp;"/"&amp;RIGHT("00"&amp;VALUE(TRIM(LEFT(MID(Sync!$L1457,FIND("/",Sync!$L1457)+1,20),FIND("/",MID(Sync!$L1457,FIND("/",Sync!$L1457)+1,20))-1))),2)&amp;"/"&amp;RIGHT("00"&amp;VALUE(TRIM(MID(MID(Sync!$L1457,FIND("/",Sync!$L1457)+1,20),FIND("/",MID(Sync!$L1457,FIND("/",Sync!$L1457)+1,20))+1,20))),2),"")))</f>
        <v/>
      </c>
    </row>
    <row r="1458" spans="13:14" x14ac:dyDescent="0.2">
      <c r="M1458" t="str">
        <f>IF(Sync!$M1458&lt;&gt;"پاس چک","",IF(Sync!$P1458="","",Sync!$P1458))</f>
        <v/>
      </c>
      <c r="N1458" t="str">
        <f>IF($M1458="","",IF(ISNUMBER(Sync!$L1458),IF(AND(Sync!$L1458&gt;=10000101,Sync!$L1458&lt;=99991231),RIGHT("0000"&amp;INT(Sync!$L1458/10000),4)&amp;"/"&amp;RIGHT("00"&amp;INT(MOD(Sync!$L1458,10000)/100),2)&amp;"/"&amp;RIGHT("00"&amp;MOD(Sync!$L1458,100),2),""),IFERROR(RIGHT("0000"&amp;VALUE(TRIM(LEFT(Sync!$L1458,FIND("/",Sync!$L1458)-1))),4)&amp;"/"&amp;RIGHT("00"&amp;VALUE(TRIM(LEFT(MID(Sync!$L1458,FIND("/",Sync!$L1458)+1,20),FIND("/",MID(Sync!$L1458,FIND("/",Sync!$L1458)+1,20))-1))),2)&amp;"/"&amp;RIGHT("00"&amp;VALUE(TRIM(MID(MID(Sync!$L1458,FIND("/",Sync!$L1458)+1,20),FIND("/",MID(Sync!$L1458,FIND("/",Sync!$L1458)+1,20))+1,20))),2),"")))</f>
        <v/>
      </c>
    </row>
    <row r="1459" spans="13:14" x14ac:dyDescent="0.2">
      <c r="M1459" t="str">
        <f>IF(Sync!$M1459&lt;&gt;"پاس چک","",IF(Sync!$P1459="","",Sync!$P1459))</f>
        <v/>
      </c>
      <c r="N1459" t="str">
        <f>IF($M1459="","",IF(ISNUMBER(Sync!$L1459),IF(AND(Sync!$L1459&gt;=10000101,Sync!$L1459&lt;=99991231),RIGHT("0000"&amp;INT(Sync!$L1459/10000),4)&amp;"/"&amp;RIGHT("00"&amp;INT(MOD(Sync!$L1459,10000)/100),2)&amp;"/"&amp;RIGHT("00"&amp;MOD(Sync!$L1459,100),2),""),IFERROR(RIGHT("0000"&amp;VALUE(TRIM(LEFT(Sync!$L1459,FIND("/",Sync!$L1459)-1))),4)&amp;"/"&amp;RIGHT("00"&amp;VALUE(TRIM(LEFT(MID(Sync!$L1459,FIND("/",Sync!$L1459)+1,20),FIND("/",MID(Sync!$L1459,FIND("/",Sync!$L1459)+1,20))-1))),2)&amp;"/"&amp;RIGHT("00"&amp;VALUE(TRIM(MID(MID(Sync!$L1459,FIND("/",Sync!$L1459)+1,20),FIND("/",MID(Sync!$L1459,FIND("/",Sync!$L1459)+1,20))+1,20))),2),"")))</f>
        <v/>
      </c>
    </row>
    <row r="1460" spans="13:14" x14ac:dyDescent="0.2">
      <c r="M1460" t="str">
        <f>IF(Sync!$M1460&lt;&gt;"پاس چک","",IF(Sync!$P1460="","",Sync!$P1460))</f>
        <v/>
      </c>
      <c r="N1460" t="str">
        <f>IF($M1460="","",IF(ISNUMBER(Sync!$L1460),IF(AND(Sync!$L1460&gt;=10000101,Sync!$L1460&lt;=99991231),RIGHT("0000"&amp;INT(Sync!$L1460/10000),4)&amp;"/"&amp;RIGHT("00"&amp;INT(MOD(Sync!$L1460,10000)/100),2)&amp;"/"&amp;RIGHT("00"&amp;MOD(Sync!$L1460,100),2),""),IFERROR(RIGHT("0000"&amp;VALUE(TRIM(LEFT(Sync!$L1460,FIND("/",Sync!$L1460)-1))),4)&amp;"/"&amp;RIGHT("00"&amp;VALUE(TRIM(LEFT(MID(Sync!$L1460,FIND("/",Sync!$L1460)+1,20),FIND("/",MID(Sync!$L1460,FIND("/",Sync!$L1460)+1,20))-1))),2)&amp;"/"&amp;RIGHT("00"&amp;VALUE(TRIM(MID(MID(Sync!$L1460,FIND("/",Sync!$L1460)+1,20),FIND("/",MID(Sync!$L1460,FIND("/",Sync!$L1460)+1,20))+1,20))),2),"")))</f>
        <v/>
      </c>
    </row>
    <row r="1461" spans="13:14" x14ac:dyDescent="0.2">
      <c r="M1461" t="str">
        <f>IF(Sync!$M1461&lt;&gt;"پاس چک","",IF(Sync!$P1461="","",Sync!$P1461))</f>
        <v/>
      </c>
      <c r="N1461" t="str">
        <f>IF($M1461="","",IF(ISNUMBER(Sync!$L1461),IF(AND(Sync!$L1461&gt;=10000101,Sync!$L1461&lt;=99991231),RIGHT("0000"&amp;INT(Sync!$L1461/10000),4)&amp;"/"&amp;RIGHT("00"&amp;INT(MOD(Sync!$L1461,10000)/100),2)&amp;"/"&amp;RIGHT("00"&amp;MOD(Sync!$L1461,100),2),""),IFERROR(RIGHT("0000"&amp;VALUE(TRIM(LEFT(Sync!$L1461,FIND("/",Sync!$L1461)-1))),4)&amp;"/"&amp;RIGHT("00"&amp;VALUE(TRIM(LEFT(MID(Sync!$L1461,FIND("/",Sync!$L1461)+1,20),FIND("/",MID(Sync!$L1461,FIND("/",Sync!$L1461)+1,20))-1))),2)&amp;"/"&amp;RIGHT("00"&amp;VALUE(TRIM(MID(MID(Sync!$L1461,FIND("/",Sync!$L1461)+1,20),FIND("/",MID(Sync!$L1461,FIND("/",Sync!$L1461)+1,20))+1,20))),2),"")))</f>
        <v/>
      </c>
    </row>
    <row r="1462" spans="13:14" x14ac:dyDescent="0.2">
      <c r="M1462" t="str">
        <f>IF(Sync!$M1462&lt;&gt;"پاس چک","",IF(Sync!$P1462="","",Sync!$P1462))</f>
        <v/>
      </c>
      <c r="N1462" t="str">
        <f>IF($M1462="","",IF(ISNUMBER(Sync!$L1462),IF(AND(Sync!$L1462&gt;=10000101,Sync!$L1462&lt;=99991231),RIGHT("0000"&amp;INT(Sync!$L1462/10000),4)&amp;"/"&amp;RIGHT("00"&amp;INT(MOD(Sync!$L1462,10000)/100),2)&amp;"/"&amp;RIGHT("00"&amp;MOD(Sync!$L1462,100),2),""),IFERROR(RIGHT("0000"&amp;VALUE(TRIM(LEFT(Sync!$L1462,FIND("/",Sync!$L1462)-1))),4)&amp;"/"&amp;RIGHT("00"&amp;VALUE(TRIM(LEFT(MID(Sync!$L1462,FIND("/",Sync!$L1462)+1,20),FIND("/",MID(Sync!$L1462,FIND("/",Sync!$L1462)+1,20))-1))),2)&amp;"/"&amp;RIGHT("00"&amp;VALUE(TRIM(MID(MID(Sync!$L1462,FIND("/",Sync!$L1462)+1,20),FIND("/",MID(Sync!$L1462,FIND("/",Sync!$L1462)+1,20))+1,20))),2),"")))</f>
        <v/>
      </c>
    </row>
    <row r="1463" spans="13:14" x14ac:dyDescent="0.2">
      <c r="M1463" t="str">
        <f>IF(Sync!$M1463&lt;&gt;"پاس چک","",IF(Sync!$P1463="","",Sync!$P1463))</f>
        <v/>
      </c>
      <c r="N1463" t="str">
        <f>IF($M1463="","",IF(ISNUMBER(Sync!$L1463),IF(AND(Sync!$L1463&gt;=10000101,Sync!$L1463&lt;=99991231),RIGHT("0000"&amp;INT(Sync!$L1463/10000),4)&amp;"/"&amp;RIGHT("00"&amp;INT(MOD(Sync!$L1463,10000)/100),2)&amp;"/"&amp;RIGHT("00"&amp;MOD(Sync!$L1463,100),2),""),IFERROR(RIGHT("0000"&amp;VALUE(TRIM(LEFT(Sync!$L1463,FIND("/",Sync!$L1463)-1))),4)&amp;"/"&amp;RIGHT("00"&amp;VALUE(TRIM(LEFT(MID(Sync!$L1463,FIND("/",Sync!$L1463)+1,20),FIND("/",MID(Sync!$L1463,FIND("/",Sync!$L1463)+1,20))-1))),2)&amp;"/"&amp;RIGHT("00"&amp;VALUE(TRIM(MID(MID(Sync!$L1463,FIND("/",Sync!$L1463)+1,20),FIND("/",MID(Sync!$L1463,FIND("/",Sync!$L1463)+1,20))+1,20))),2),"")))</f>
        <v/>
      </c>
    </row>
    <row r="1464" spans="13:14" x14ac:dyDescent="0.2">
      <c r="M1464" t="str">
        <f>IF(Sync!$M1464&lt;&gt;"پاس چک","",IF(Sync!$P1464="","",Sync!$P1464))</f>
        <v/>
      </c>
      <c r="N1464" t="str">
        <f>IF($M1464="","",IF(ISNUMBER(Sync!$L1464),IF(AND(Sync!$L1464&gt;=10000101,Sync!$L1464&lt;=99991231),RIGHT("0000"&amp;INT(Sync!$L1464/10000),4)&amp;"/"&amp;RIGHT("00"&amp;INT(MOD(Sync!$L1464,10000)/100),2)&amp;"/"&amp;RIGHT("00"&amp;MOD(Sync!$L1464,100),2),""),IFERROR(RIGHT("0000"&amp;VALUE(TRIM(LEFT(Sync!$L1464,FIND("/",Sync!$L1464)-1))),4)&amp;"/"&amp;RIGHT("00"&amp;VALUE(TRIM(LEFT(MID(Sync!$L1464,FIND("/",Sync!$L1464)+1,20),FIND("/",MID(Sync!$L1464,FIND("/",Sync!$L1464)+1,20))-1))),2)&amp;"/"&amp;RIGHT("00"&amp;VALUE(TRIM(MID(MID(Sync!$L1464,FIND("/",Sync!$L1464)+1,20),FIND("/",MID(Sync!$L1464,FIND("/",Sync!$L1464)+1,20))+1,20))),2),"")))</f>
        <v/>
      </c>
    </row>
    <row r="1465" spans="13:14" x14ac:dyDescent="0.2">
      <c r="M1465" t="str">
        <f>IF(Sync!$M1465&lt;&gt;"پاس چک","",IF(Sync!$P1465="","",Sync!$P1465))</f>
        <v/>
      </c>
      <c r="N1465" t="str">
        <f>IF($M1465="","",IF(ISNUMBER(Sync!$L1465),IF(AND(Sync!$L1465&gt;=10000101,Sync!$L1465&lt;=99991231),RIGHT("0000"&amp;INT(Sync!$L1465/10000),4)&amp;"/"&amp;RIGHT("00"&amp;INT(MOD(Sync!$L1465,10000)/100),2)&amp;"/"&amp;RIGHT("00"&amp;MOD(Sync!$L1465,100),2),""),IFERROR(RIGHT("0000"&amp;VALUE(TRIM(LEFT(Sync!$L1465,FIND("/",Sync!$L1465)-1))),4)&amp;"/"&amp;RIGHT("00"&amp;VALUE(TRIM(LEFT(MID(Sync!$L1465,FIND("/",Sync!$L1465)+1,20),FIND("/",MID(Sync!$L1465,FIND("/",Sync!$L1465)+1,20))-1))),2)&amp;"/"&amp;RIGHT("00"&amp;VALUE(TRIM(MID(MID(Sync!$L1465,FIND("/",Sync!$L1465)+1,20),FIND("/",MID(Sync!$L1465,FIND("/",Sync!$L1465)+1,20))+1,20))),2),"")))</f>
        <v/>
      </c>
    </row>
    <row r="1466" spans="13:14" x14ac:dyDescent="0.2">
      <c r="M1466" t="str">
        <f>IF(Sync!$M1466&lt;&gt;"پاس چک","",IF(Sync!$P1466="","",Sync!$P1466))</f>
        <v/>
      </c>
      <c r="N1466" t="str">
        <f>IF($M1466="","",IF(ISNUMBER(Sync!$L1466),IF(AND(Sync!$L1466&gt;=10000101,Sync!$L1466&lt;=99991231),RIGHT("0000"&amp;INT(Sync!$L1466/10000),4)&amp;"/"&amp;RIGHT("00"&amp;INT(MOD(Sync!$L1466,10000)/100),2)&amp;"/"&amp;RIGHT("00"&amp;MOD(Sync!$L1466,100),2),""),IFERROR(RIGHT("0000"&amp;VALUE(TRIM(LEFT(Sync!$L1466,FIND("/",Sync!$L1466)-1))),4)&amp;"/"&amp;RIGHT("00"&amp;VALUE(TRIM(LEFT(MID(Sync!$L1466,FIND("/",Sync!$L1466)+1,20),FIND("/",MID(Sync!$L1466,FIND("/",Sync!$L1466)+1,20))-1))),2)&amp;"/"&amp;RIGHT("00"&amp;VALUE(TRIM(MID(MID(Sync!$L1466,FIND("/",Sync!$L1466)+1,20),FIND("/",MID(Sync!$L1466,FIND("/",Sync!$L1466)+1,20))+1,20))),2),"")))</f>
        <v/>
      </c>
    </row>
    <row r="1467" spans="13:14" x14ac:dyDescent="0.2">
      <c r="M1467" t="str">
        <f>IF(Sync!$M1467&lt;&gt;"پاس چک","",IF(Sync!$P1467="","",Sync!$P1467))</f>
        <v/>
      </c>
      <c r="N1467" t="str">
        <f>IF($M1467="","",IF(ISNUMBER(Sync!$L1467),IF(AND(Sync!$L1467&gt;=10000101,Sync!$L1467&lt;=99991231),RIGHT("0000"&amp;INT(Sync!$L1467/10000),4)&amp;"/"&amp;RIGHT("00"&amp;INT(MOD(Sync!$L1467,10000)/100),2)&amp;"/"&amp;RIGHT("00"&amp;MOD(Sync!$L1467,100),2),""),IFERROR(RIGHT("0000"&amp;VALUE(TRIM(LEFT(Sync!$L1467,FIND("/",Sync!$L1467)-1))),4)&amp;"/"&amp;RIGHT("00"&amp;VALUE(TRIM(LEFT(MID(Sync!$L1467,FIND("/",Sync!$L1467)+1,20),FIND("/",MID(Sync!$L1467,FIND("/",Sync!$L1467)+1,20))-1))),2)&amp;"/"&amp;RIGHT("00"&amp;VALUE(TRIM(MID(MID(Sync!$L1467,FIND("/",Sync!$L1467)+1,20),FIND("/",MID(Sync!$L1467,FIND("/",Sync!$L1467)+1,20))+1,20))),2),"")))</f>
        <v/>
      </c>
    </row>
    <row r="1468" spans="13:14" x14ac:dyDescent="0.2">
      <c r="M1468" t="str">
        <f>IF(Sync!$M1468&lt;&gt;"پاس چک","",IF(Sync!$P1468="","",Sync!$P1468))</f>
        <v/>
      </c>
      <c r="N1468" t="str">
        <f>IF($M1468="","",IF(ISNUMBER(Sync!$L1468),IF(AND(Sync!$L1468&gt;=10000101,Sync!$L1468&lt;=99991231),RIGHT("0000"&amp;INT(Sync!$L1468/10000),4)&amp;"/"&amp;RIGHT("00"&amp;INT(MOD(Sync!$L1468,10000)/100),2)&amp;"/"&amp;RIGHT("00"&amp;MOD(Sync!$L1468,100),2),""),IFERROR(RIGHT("0000"&amp;VALUE(TRIM(LEFT(Sync!$L1468,FIND("/",Sync!$L1468)-1))),4)&amp;"/"&amp;RIGHT("00"&amp;VALUE(TRIM(LEFT(MID(Sync!$L1468,FIND("/",Sync!$L1468)+1,20),FIND("/",MID(Sync!$L1468,FIND("/",Sync!$L1468)+1,20))-1))),2)&amp;"/"&amp;RIGHT("00"&amp;VALUE(TRIM(MID(MID(Sync!$L1468,FIND("/",Sync!$L1468)+1,20),FIND("/",MID(Sync!$L1468,FIND("/",Sync!$L1468)+1,20))+1,20))),2),"")))</f>
        <v/>
      </c>
    </row>
    <row r="1469" spans="13:14" x14ac:dyDescent="0.2">
      <c r="M1469" t="str">
        <f>IF(Sync!$M1469&lt;&gt;"پاس چک","",IF(Sync!$P1469="","",Sync!$P1469))</f>
        <v/>
      </c>
      <c r="N1469" t="str">
        <f>IF($M1469="","",IF(ISNUMBER(Sync!$L1469),IF(AND(Sync!$L1469&gt;=10000101,Sync!$L1469&lt;=99991231),RIGHT("0000"&amp;INT(Sync!$L1469/10000),4)&amp;"/"&amp;RIGHT("00"&amp;INT(MOD(Sync!$L1469,10000)/100),2)&amp;"/"&amp;RIGHT("00"&amp;MOD(Sync!$L1469,100),2),""),IFERROR(RIGHT("0000"&amp;VALUE(TRIM(LEFT(Sync!$L1469,FIND("/",Sync!$L1469)-1))),4)&amp;"/"&amp;RIGHT("00"&amp;VALUE(TRIM(LEFT(MID(Sync!$L1469,FIND("/",Sync!$L1469)+1,20),FIND("/",MID(Sync!$L1469,FIND("/",Sync!$L1469)+1,20))-1))),2)&amp;"/"&amp;RIGHT("00"&amp;VALUE(TRIM(MID(MID(Sync!$L1469,FIND("/",Sync!$L1469)+1,20),FIND("/",MID(Sync!$L1469,FIND("/",Sync!$L1469)+1,20))+1,20))),2),"")))</f>
        <v/>
      </c>
    </row>
    <row r="1470" spans="13:14" x14ac:dyDescent="0.2">
      <c r="M1470" t="str">
        <f>IF(Sync!$M1470&lt;&gt;"پاس چک","",IF(Sync!$P1470="","",Sync!$P1470))</f>
        <v/>
      </c>
      <c r="N1470" t="str">
        <f>IF($M1470="","",IF(ISNUMBER(Sync!$L1470),IF(AND(Sync!$L1470&gt;=10000101,Sync!$L1470&lt;=99991231),RIGHT("0000"&amp;INT(Sync!$L1470/10000),4)&amp;"/"&amp;RIGHT("00"&amp;INT(MOD(Sync!$L1470,10000)/100),2)&amp;"/"&amp;RIGHT("00"&amp;MOD(Sync!$L1470,100),2),""),IFERROR(RIGHT("0000"&amp;VALUE(TRIM(LEFT(Sync!$L1470,FIND("/",Sync!$L1470)-1))),4)&amp;"/"&amp;RIGHT("00"&amp;VALUE(TRIM(LEFT(MID(Sync!$L1470,FIND("/",Sync!$L1470)+1,20),FIND("/",MID(Sync!$L1470,FIND("/",Sync!$L1470)+1,20))-1))),2)&amp;"/"&amp;RIGHT("00"&amp;VALUE(TRIM(MID(MID(Sync!$L1470,FIND("/",Sync!$L1470)+1,20),FIND("/",MID(Sync!$L1470,FIND("/",Sync!$L1470)+1,20))+1,20))),2),"")))</f>
        <v/>
      </c>
    </row>
    <row r="1471" spans="13:14" x14ac:dyDescent="0.2">
      <c r="M1471" t="str">
        <f>IF(Sync!$M1471&lt;&gt;"پاس چک","",IF(Sync!$P1471="","",Sync!$P1471))</f>
        <v/>
      </c>
      <c r="N1471" t="str">
        <f>IF($M1471="","",IF(ISNUMBER(Sync!$L1471),IF(AND(Sync!$L1471&gt;=10000101,Sync!$L1471&lt;=99991231),RIGHT("0000"&amp;INT(Sync!$L1471/10000),4)&amp;"/"&amp;RIGHT("00"&amp;INT(MOD(Sync!$L1471,10000)/100),2)&amp;"/"&amp;RIGHT("00"&amp;MOD(Sync!$L1471,100),2),""),IFERROR(RIGHT("0000"&amp;VALUE(TRIM(LEFT(Sync!$L1471,FIND("/",Sync!$L1471)-1))),4)&amp;"/"&amp;RIGHT("00"&amp;VALUE(TRIM(LEFT(MID(Sync!$L1471,FIND("/",Sync!$L1471)+1,20),FIND("/",MID(Sync!$L1471,FIND("/",Sync!$L1471)+1,20))-1))),2)&amp;"/"&amp;RIGHT("00"&amp;VALUE(TRIM(MID(MID(Sync!$L1471,FIND("/",Sync!$L1471)+1,20),FIND("/",MID(Sync!$L1471,FIND("/",Sync!$L1471)+1,20))+1,20))),2),"")))</f>
        <v/>
      </c>
    </row>
    <row r="1472" spans="13:14" x14ac:dyDescent="0.2">
      <c r="M1472" t="str">
        <f>IF(Sync!$M1472&lt;&gt;"پاس چک","",IF(Sync!$P1472="","",Sync!$P1472))</f>
        <v/>
      </c>
      <c r="N1472" t="str">
        <f>IF($M1472="","",IF(ISNUMBER(Sync!$L1472),IF(AND(Sync!$L1472&gt;=10000101,Sync!$L1472&lt;=99991231),RIGHT("0000"&amp;INT(Sync!$L1472/10000),4)&amp;"/"&amp;RIGHT("00"&amp;INT(MOD(Sync!$L1472,10000)/100),2)&amp;"/"&amp;RIGHT("00"&amp;MOD(Sync!$L1472,100),2),""),IFERROR(RIGHT("0000"&amp;VALUE(TRIM(LEFT(Sync!$L1472,FIND("/",Sync!$L1472)-1))),4)&amp;"/"&amp;RIGHT("00"&amp;VALUE(TRIM(LEFT(MID(Sync!$L1472,FIND("/",Sync!$L1472)+1,20),FIND("/",MID(Sync!$L1472,FIND("/",Sync!$L1472)+1,20))-1))),2)&amp;"/"&amp;RIGHT("00"&amp;VALUE(TRIM(MID(MID(Sync!$L1472,FIND("/",Sync!$L1472)+1,20),FIND("/",MID(Sync!$L1472,FIND("/",Sync!$L1472)+1,20))+1,20))),2),"")))</f>
        <v/>
      </c>
    </row>
    <row r="1473" spans="13:14" x14ac:dyDescent="0.2">
      <c r="M1473" t="str">
        <f>IF(Sync!$M1473&lt;&gt;"پاس چک","",IF(Sync!$P1473="","",Sync!$P1473))</f>
        <v/>
      </c>
      <c r="N1473" t="str">
        <f>IF($M1473="","",IF(ISNUMBER(Sync!$L1473),IF(AND(Sync!$L1473&gt;=10000101,Sync!$L1473&lt;=99991231),RIGHT("0000"&amp;INT(Sync!$L1473/10000),4)&amp;"/"&amp;RIGHT("00"&amp;INT(MOD(Sync!$L1473,10000)/100),2)&amp;"/"&amp;RIGHT("00"&amp;MOD(Sync!$L1473,100),2),""),IFERROR(RIGHT("0000"&amp;VALUE(TRIM(LEFT(Sync!$L1473,FIND("/",Sync!$L1473)-1))),4)&amp;"/"&amp;RIGHT("00"&amp;VALUE(TRIM(LEFT(MID(Sync!$L1473,FIND("/",Sync!$L1473)+1,20),FIND("/",MID(Sync!$L1473,FIND("/",Sync!$L1473)+1,20))-1))),2)&amp;"/"&amp;RIGHT("00"&amp;VALUE(TRIM(MID(MID(Sync!$L1473,FIND("/",Sync!$L1473)+1,20),FIND("/",MID(Sync!$L1473,FIND("/",Sync!$L1473)+1,20))+1,20))),2),"")))</f>
        <v/>
      </c>
    </row>
    <row r="1474" spans="13:14" x14ac:dyDescent="0.2">
      <c r="M1474" t="str">
        <f>IF(Sync!$M1474&lt;&gt;"پاس چک","",IF(Sync!$P1474="","",Sync!$P1474))</f>
        <v/>
      </c>
      <c r="N1474" t="str">
        <f>IF($M1474="","",IF(ISNUMBER(Sync!$L1474),IF(AND(Sync!$L1474&gt;=10000101,Sync!$L1474&lt;=99991231),RIGHT("0000"&amp;INT(Sync!$L1474/10000),4)&amp;"/"&amp;RIGHT("00"&amp;INT(MOD(Sync!$L1474,10000)/100),2)&amp;"/"&amp;RIGHT("00"&amp;MOD(Sync!$L1474,100),2),""),IFERROR(RIGHT("0000"&amp;VALUE(TRIM(LEFT(Sync!$L1474,FIND("/",Sync!$L1474)-1))),4)&amp;"/"&amp;RIGHT("00"&amp;VALUE(TRIM(LEFT(MID(Sync!$L1474,FIND("/",Sync!$L1474)+1,20),FIND("/",MID(Sync!$L1474,FIND("/",Sync!$L1474)+1,20))-1))),2)&amp;"/"&amp;RIGHT("00"&amp;VALUE(TRIM(MID(MID(Sync!$L1474,FIND("/",Sync!$L1474)+1,20),FIND("/",MID(Sync!$L1474,FIND("/",Sync!$L1474)+1,20))+1,20))),2),"")))</f>
        <v/>
      </c>
    </row>
    <row r="1475" spans="13:14" x14ac:dyDescent="0.2">
      <c r="M1475" t="str">
        <f>IF(Sync!$M1475&lt;&gt;"پاس چک","",IF(Sync!$P1475="","",Sync!$P1475))</f>
        <v/>
      </c>
      <c r="N1475" t="str">
        <f>IF($M1475="","",IF(ISNUMBER(Sync!$L1475),IF(AND(Sync!$L1475&gt;=10000101,Sync!$L1475&lt;=99991231),RIGHT("0000"&amp;INT(Sync!$L1475/10000),4)&amp;"/"&amp;RIGHT("00"&amp;INT(MOD(Sync!$L1475,10000)/100),2)&amp;"/"&amp;RIGHT("00"&amp;MOD(Sync!$L1475,100),2),""),IFERROR(RIGHT("0000"&amp;VALUE(TRIM(LEFT(Sync!$L1475,FIND("/",Sync!$L1475)-1))),4)&amp;"/"&amp;RIGHT("00"&amp;VALUE(TRIM(LEFT(MID(Sync!$L1475,FIND("/",Sync!$L1475)+1,20),FIND("/",MID(Sync!$L1475,FIND("/",Sync!$L1475)+1,20))-1))),2)&amp;"/"&amp;RIGHT("00"&amp;VALUE(TRIM(MID(MID(Sync!$L1475,FIND("/",Sync!$L1475)+1,20),FIND("/",MID(Sync!$L1475,FIND("/",Sync!$L1475)+1,20))+1,20))),2),"")))</f>
        <v/>
      </c>
    </row>
    <row r="1476" spans="13:14" x14ac:dyDescent="0.2">
      <c r="M1476" t="str">
        <f>IF(Sync!$M1476&lt;&gt;"پاس چک","",IF(Sync!$P1476="","",Sync!$P1476))</f>
        <v/>
      </c>
      <c r="N1476" t="str">
        <f>IF($M1476="","",IF(ISNUMBER(Sync!$L1476),IF(AND(Sync!$L1476&gt;=10000101,Sync!$L1476&lt;=99991231),RIGHT("0000"&amp;INT(Sync!$L1476/10000),4)&amp;"/"&amp;RIGHT("00"&amp;INT(MOD(Sync!$L1476,10000)/100),2)&amp;"/"&amp;RIGHT("00"&amp;MOD(Sync!$L1476,100),2),""),IFERROR(RIGHT("0000"&amp;VALUE(TRIM(LEFT(Sync!$L1476,FIND("/",Sync!$L1476)-1))),4)&amp;"/"&amp;RIGHT("00"&amp;VALUE(TRIM(LEFT(MID(Sync!$L1476,FIND("/",Sync!$L1476)+1,20),FIND("/",MID(Sync!$L1476,FIND("/",Sync!$L1476)+1,20))-1))),2)&amp;"/"&amp;RIGHT("00"&amp;VALUE(TRIM(MID(MID(Sync!$L1476,FIND("/",Sync!$L1476)+1,20),FIND("/",MID(Sync!$L1476,FIND("/",Sync!$L1476)+1,20))+1,20))),2),"")))</f>
        <v/>
      </c>
    </row>
    <row r="1477" spans="13:14" x14ac:dyDescent="0.2">
      <c r="M1477" t="str">
        <f>IF(Sync!$M1477&lt;&gt;"پاس چک","",IF(Sync!$P1477="","",Sync!$P1477))</f>
        <v/>
      </c>
      <c r="N1477" t="str">
        <f>IF($M1477="","",IF(ISNUMBER(Sync!$L1477),IF(AND(Sync!$L1477&gt;=10000101,Sync!$L1477&lt;=99991231),RIGHT("0000"&amp;INT(Sync!$L1477/10000),4)&amp;"/"&amp;RIGHT("00"&amp;INT(MOD(Sync!$L1477,10000)/100),2)&amp;"/"&amp;RIGHT("00"&amp;MOD(Sync!$L1477,100),2),""),IFERROR(RIGHT("0000"&amp;VALUE(TRIM(LEFT(Sync!$L1477,FIND("/",Sync!$L1477)-1))),4)&amp;"/"&amp;RIGHT("00"&amp;VALUE(TRIM(LEFT(MID(Sync!$L1477,FIND("/",Sync!$L1477)+1,20),FIND("/",MID(Sync!$L1477,FIND("/",Sync!$L1477)+1,20))-1))),2)&amp;"/"&amp;RIGHT("00"&amp;VALUE(TRIM(MID(MID(Sync!$L1477,FIND("/",Sync!$L1477)+1,20),FIND("/",MID(Sync!$L1477,FIND("/",Sync!$L1477)+1,20))+1,20))),2),"")))</f>
        <v/>
      </c>
    </row>
    <row r="1478" spans="13:14" x14ac:dyDescent="0.2">
      <c r="M1478" t="str">
        <f>IF(Sync!$M1478&lt;&gt;"پاس چک","",IF(Sync!$P1478="","",Sync!$P1478))</f>
        <v/>
      </c>
      <c r="N1478" t="str">
        <f>IF($M1478="","",IF(ISNUMBER(Sync!$L1478),IF(AND(Sync!$L1478&gt;=10000101,Sync!$L1478&lt;=99991231),RIGHT("0000"&amp;INT(Sync!$L1478/10000),4)&amp;"/"&amp;RIGHT("00"&amp;INT(MOD(Sync!$L1478,10000)/100),2)&amp;"/"&amp;RIGHT("00"&amp;MOD(Sync!$L1478,100),2),""),IFERROR(RIGHT("0000"&amp;VALUE(TRIM(LEFT(Sync!$L1478,FIND("/",Sync!$L1478)-1))),4)&amp;"/"&amp;RIGHT("00"&amp;VALUE(TRIM(LEFT(MID(Sync!$L1478,FIND("/",Sync!$L1478)+1,20),FIND("/",MID(Sync!$L1478,FIND("/",Sync!$L1478)+1,20))-1))),2)&amp;"/"&amp;RIGHT("00"&amp;VALUE(TRIM(MID(MID(Sync!$L1478,FIND("/",Sync!$L1478)+1,20),FIND("/",MID(Sync!$L1478,FIND("/",Sync!$L1478)+1,20))+1,20))),2),"")))</f>
        <v/>
      </c>
    </row>
    <row r="1479" spans="13:14" x14ac:dyDescent="0.2">
      <c r="M1479" t="str">
        <f>IF(Sync!$M1479&lt;&gt;"پاس چک","",IF(Sync!$P1479="","",Sync!$P1479))</f>
        <v/>
      </c>
      <c r="N1479" t="str">
        <f>IF($M1479="","",IF(ISNUMBER(Sync!$L1479),IF(AND(Sync!$L1479&gt;=10000101,Sync!$L1479&lt;=99991231),RIGHT("0000"&amp;INT(Sync!$L1479/10000),4)&amp;"/"&amp;RIGHT("00"&amp;INT(MOD(Sync!$L1479,10000)/100),2)&amp;"/"&amp;RIGHT("00"&amp;MOD(Sync!$L1479,100),2),""),IFERROR(RIGHT("0000"&amp;VALUE(TRIM(LEFT(Sync!$L1479,FIND("/",Sync!$L1479)-1))),4)&amp;"/"&amp;RIGHT("00"&amp;VALUE(TRIM(LEFT(MID(Sync!$L1479,FIND("/",Sync!$L1479)+1,20),FIND("/",MID(Sync!$L1479,FIND("/",Sync!$L1479)+1,20))-1))),2)&amp;"/"&amp;RIGHT("00"&amp;VALUE(TRIM(MID(MID(Sync!$L1479,FIND("/",Sync!$L1479)+1,20),FIND("/",MID(Sync!$L1479,FIND("/",Sync!$L1479)+1,20))+1,20))),2),"")))</f>
        <v/>
      </c>
    </row>
    <row r="1480" spans="13:14" x14ac:dyDescent="0.2">
      <c r="M1480" t="str">
        <f>IF(Sync!$M1480&lt;&gt;"پاس چک","",IF(Sync!$P1480="","",Sync!$P1480))</f>
        <v/>
      </c>
      <c r="N1480" t="str">
        <f>IF($M1480="","",IF(ISNUMBER(Sync!$L1480),IF(AND(Sync!$L1480&gt;=10000101,Sync!$L1480&lt;=99991231),RIGHT("0000"&amp;INT(Sync!$L1480/10000),4)&amp;"/"&amp;RIGHT("00"&amp;INT(MOD(Sync!$L1480,10000)/100),2)&amp;"/"&amp;RIGHT("00"&amp;MOD(Sync!$L1480,100),2),""),IFERROR(RIGHT("0000"&amp;VALUE(TRIM(LEFT(Sync!$L1480,FIND("/",Sync!$L1480)-1))),4)&amp;"/"&amp;RIGHT("00"&amp;VALUE(TRIM(LEFT(MID(Sync!$L1480,FIND("/",Sync!$L1480)+1,20),FIND("/",MID(Sync!$L1480,FIND("/",Sync!$L1480)+1,20))-1))),2)&amp;"/"&amp;RIGHT("00"&amp;VALUE(TRIM(MID(MID(Sync!$L1480,FIND("/",Sync!$L1480)+1,20),FIND("/",MID(Sync!$L1480,FIND("/",Sync!$L1480)+1,20))+1,20))),2),"")))</f>
        <v/>
      </c>
    </row>
    <row r="1481" spans="13:14" x14ac:dyDescent="0.2">
      <c r="M1481" t="str">
        <f>IF(Sync!$M1481&lt;&gt;"پاس چک","",IF(Sync!$P1481="","",Sync!$P1481))</f>
        <v/>
      </c>
      <c r="N1481" t="str">
        <f>IF($M1481="","",IF(ISNUMBER(Sync!$L1481),IF(AND(Sync!$L1481&gt;=10000101,Sync!$L1481&lt;=99991231),RIGHT("0000"&amp;INT(Sync!$L1481/10000),4)&amp;"/"&amp;RIGHT("00"&amp;INT(MOD(Sync!$L1481,10000)/100),2)&amp;"/"&amp;RIGHT("00"&amp;MOD(Sync!$L1481,100),2),""),IFERROR(RIGHT("0000"&amp;VALUE(TRIM(LEFT(Sync!$L1481,FIND("/",Sync!$L1481)-1))),4)&amp;"/"&amp;RIGHT("00"&amp;VALUE(TRIM(LEFT(MID(Sync!$L1481,FIND("/",Sync!$L1481)+1,20),FIND("/",MID(Sync!$L1481,FIND("/",Sync!$L1481)+1,20))-1))),2)&amp;"/"&amp;RIGHT("00"&amp;VALUE(TRIM(MID(MID(Sync!$L1481,FIND("/",Sync!$L1481)+1,20),FIND("/",MID(Sync!$L1481,FIND("/",Sync!$L1481)+1,20))+1,20))),2),"")))</f>
        <v/>
      </c>
    </row>
    <row r="1482" spans="13:14" x14ac:dyDescent="0.2">
      <c r="M1482" t="str">
        <f>IF(Sync!$M1482&lt;&gt;"پاس چک","",IF(Sync!$P1482="","",Sync!$P1482))</f>
        <v/>
      </c>
      <c r="N1482" t="str">
        <f>IF($M1482="","",IF(ISNUMBER(Sync!$L1482),IF(AND(Sync!$L1482&gt;=10000101,Sync!$L1482&lt;=99991231),RIGHT("0000"&amp;INT(Sync!$L1482/10000),4)&amp;"/"&amp;RIGHT("00"&amp;INT(MOD(Sync!$L1482,10000)/100),2)&amp;"/"&amp;RIGHT("00"&amp;MOD(Sync!$L1482,100),2),""),IFERROR(RIGHT("0000"&amp;VALUE(TRIM(LEFT(Sync!$L1482,FIND("/",Sync!$L1482)-1))),4)&amp;"/"&amp;RIGHT("00"&amp;VALUE(TRIM(LEFT(MID(Sync!$L1482,FIND("/",Sync!$L1482)+1,20),FIND("/",MID(Sync!$L1482,FIND("/",Sync!$L1482)+1,20))-1))),2)&amp;"/"&amp;RIGHT("00"&amp;VALUE(TRIM(MID(MID(Sync!$L1482,FIND("/",Sync!$L1482)+1,20),FIND("/",MID(Sync!$L1482,FIND("/",Sync!$L1482)+1,20))+1,20))),2),"")))</f>
        <v/>
      </c>
    </row>
    <row r="1483" spans="13:14" x14ac:dyDescent="0.2">
      <c r="M1483" t="str">
        <f>IF(Sync!$M1483&lt;&gt;"پاس چک","",IF(Sync!$P1483="","",Sync!$P1483))</f>
        <v/>
      </c>
      <c r="N1483" t="str">
        <f>IF($M1483="","",IF(ISNUMBER(Sync!$L1483),IF(AND(Sync!$L1483&gt;=10000101,Sync!$L1483&lt;=99991231),RIGHT("0000"&amp;INT(Sync!$L1483/10000),4)&amp;"/"&amp;RIGHT("00"&amp;INT(MOD(Sync!$L1483,10000)/100),2)&amp;"/"&amp;RIGHT("00"&amp;MOD(Sync!$L1483,100),2),""),IFERROR(RIGHT("0000"&amp;VALUE(TRIM(LEFT(Sync!$L1483,FIND("/",Sync!$L1483)-1))),4)&amp;"/"&amp;RIGHT("00"&amp;VALUE(TRIM(LEFT(MID(Sync!$L1483,FIND("/",Sync!$L1483)+1,20),FIND("/",MID(Sync!$L1483,FIND("/",Sync!$L1483)+1,20))-1))),2)&amp;"/"&amp;RIGHT("00"&amp;VALUE(TRIM(MID(MID(Sync!$L1483,FIND("/",Sync!$L1483)+1,20),FIND("/",MID(Sync!$L1483,FIND("/",Sync!$L1483)+1,20))+1,20))),2),"")))</f>
        <v/>
      </c>
    </row>
    <row r="1484" spans="13:14" x14ac:dyDescent="0.2">
      <c r="M1484" t="str">
        <f>IF(Sync!$M1484&lt;&gt;"پاس چک","",IF(Sync!$P1484="","",Sync!$P1484))</f>
        <v/>
      </c>
      <c r="N1484" t="str">
        <f>IF($M1484="","",IF(ISNUMBER(Sync!$L1484),IF(AND(Sync!$L1484&gt;=10000101,Sync!$L1484&lt;=99991231),RIGHT("0000"&amp;INT(Sync!$L1484/10000),4)&amp;"/"&amp;RIGHT("00"&amp;INT(MOD(Sync!$L1484,10000)/100),2)&amp;"/"&amp;RIGHT("00"&amp;MOD(Sync!$L1484,100),2),""),IFERROR(RIGHT("0000"&amp;VALUE(TRIM(LEFT(Sync!$L1484,FIND("/",Sync!$L1484)-1))),4)&amp;"/"&amp;RIGHT("00"&amp;VALUE(TRIM(LEFT(MID(Sync!$L1484,FIND("/",Sync!$L1484)+1,20),FIND("/",MID(Sync!$L1484,FIND("/",Sync!$L1484)+1,20))-1))),2)&amp;"/"&amp;RIGHT("00"&amp;VALUE(TRIM(MID(MID(Sync!$L1484,FIND("/",Sync!$L1484)+1,20),FIND("/",MID(Sync!$L1484,FIND("/",Sync!$L1484)+1,20))+1,20))),2),"")))</f>
        <v/>
      </c>
    </row>
    <row r="1485" spans="13:14" x14ac:dyDescent="0.2">
      <c r="M1485" t="str">
        <f>IF(Sync!$M1485&lt;&gt;"پاس چک","",IF(Sync!$P1485="","",Sync!$P1485))</f>
        <v/>
      </c>
      <c r="N1485" t="str">
        <f>IF($M1485="","",IF(ISNUMBER(Sync!$L1485),IF(AND(Sync!$L1485&gt;=10000101,Sync!$L1485&lt;=99991231),RIGHT("0000"&amp;INT(Sync!$L1485/10000),4)&amp;"/"&amp;RIGHT("00"&amp;INT(MOD(Sync!$L1485,10000)/100),2)&amp;"/"&amp;RIGHT("00"&amp;MOD(Sync!$L1485,100),2),""),IFERROR(RIGHT("0000"&amp;VALUE(TRIM(LEFT(Sync!$L1485,FIND("/",Sync!$L1485)-1))),4)&amp;"/"&amp;RIGHT("00"&amp;VALUE(TRIM(LEFT(MID(Sync!$L1485,FIND("/",Sync!$L1485)+1,20),FIND("/",MID(Sync!$L1485,FIND("/",Sync!$L1485)+1,20))-1))),2)&amp;"/"&amp;RIGHT("00"&amp;VALUE(TRIM(MID(MID(Sync!$L1485,FIND("/",Sync!$L1485)+1,20),FIND("/",MID(Sync!$L1485,FIND("/",Sync!$L1485)+1,20))+1,20))),2),"")))</f>
        <v/>
      </c>
    </row>
    <row r="1486" spans="13:14" x14ac:dyDescent="0.2">
      <c r="M1486" t="str">
        <f>IF(Sync!$M1486&lt;&gt;"پاس چک","",IF(Sync!$P1486="","",Sync!$P1486))</f>
        <v/>
      </c>
      <c r="N1486" t="str">
        <f>IF($M1486="","",IF(ISNUMBER(Sync!$L1486),IF(AND(Sync!$L1486&gt;=10000101,Sync!$L1486&lt;=99991231),RIGHT("0000"&amp;INT(Sync!$L1486/10000),4)&amp;"/"&amp;RIGHT("00"&amp;INT(MOD(Sync!$L1486,10000)/100),2)&amp;"/"&amp;RIGHT("00"&amp;MOD(Sync!$L1486,100),2),""),IFERROR(RIGHT("0000"&amp;VALUE(TRIM(LEFT(Sync!$L1486,FIND("/",Sync!$L1486)-1))),4)&amp;"/"&amp;RIGHT("00"&amp;VALUE(TRIM(LEFT(MID(Sync!$L1486,FIND("/",Sync!$L1486)+1,20),FIND("/",MID(Sync!$L1486,FIND("/",Sync!$L1486)+1,20))-1))),2)&amp;"/"&amp;RIGHT("00"&amp;VALUE(TRIM(MID(MID(Sync!$L1486,FIND("/",Sync!$L1486)+1,20),FIND("/",MID(Sync!$L1486,FIND("/",Sync!$L1486)+1,20))+1,20))),2),"")))</f>
        <v/>
      </c>
    </row>
    <row r="1487" spans="13:14" x14ac:dyDescent="0.2">
      <c r="M1487" t="str">
        <f>IF(Sync!$M1487&lt;&gt;"پاس چک","",IF(Sync!$P1487="","",Sync!$P1487))</f>
        <v/>
      </c>
      <c r="N1487" t="str">
        <f>IF($M1487="","",IF(ISNUMBER(Sync!$L1487),IF(AND(Sync!$L1487&gt;=10000101,Sync!$L1487&lt;=99991231),RIGHT("0000"&amp;INT(Sync!$L1487/10000),4)&amp;"/"&amp;RIGHT("00"&amp;INT(MOD(Sync!$L1487,10000)/100),2)&amp;"/"&amp;RIGHT("00"&amp;MOD(Sync!$L1487,100),2),""),IFERROR(RIGHT("0000"&amp;VALUE(TRIM(LEFT(Sync!$L1487,FIND("/",Sync!$L1487)-1))),4)&amp;"/"&amp;RIGHT("00"&amp;VALUE(TRIM(LEFT(MID(Sync!$L1487,FIND("/",Sync!$L1487)+1,20),FIND("/",MID(Sync!$L1487,FIND("/",Sync!$L1487)+1,20))-1))),2)&amp;"/"&amp;RIGHT("00"&amp;VALUE(TRIM(MID(MID(Sync!$L1487,FIND("/",Sync!$L1487)+1,20),FIND("/",MID(Sync!$L1487,FIND("/",Sync!$L1487)+1,20))+1,20))),2),"")))</f>
        <v/>
      </c>
    </row>
    <row r="1488" spans="13:14" x14ac:dyDescent="0.2">
      <c r="M1488" t="str">
        <f>IF(Sync!$M1488&lt;&gt;"پاس چک","",IF(Sync!$P1488="","",Sync!$P1488))</f>
        <v/>
      </c>
      <c r="N1488" t="str">
        <f>IF($M1488="","",IF(ISNUMBER(Sync!$L1488),IF(AND(Sync!$L1488&gt;=10000101,Sync!$L1488&lt;=99991231),RIGHT("0000"&amp;INT(Sync!$L1488/10000),4)&amp;"/"&amp;RIGHT("00"&amp;INT(MOD(Sync!$L1488,10000)/100),2)&amp;"/"&amp;RIGHT("00"&amp;MOD(Sync!$L1488,100),2),""),IFERROR(RIGHT("0000"&amp;VALUE(TRIM(LEFT(Sync!$L1488,FIND("/",Sync!$L1488)-1))),4)&amp;"/"&amp;RIGHT("00"&amp;VALUE(TRIM(LEFT(MID(Sync!$L1488,FIND("/",Sync!$L1488)+1,20),FIND("/",MID(Sync!$L1488,FIND("/",Sync!$L1488)+1,20))-1))),2)&amp;"/"&amp;RIGHT("00"&amp;VALUE(TRIM(MID(MID(Sync!$L1488,FIND("/",Sync!$L1488)+1,20),FIND("/",MID(Sync!$L1488,FIND("/",Sync!$L1488)+1,20))+1,20))),2),"")))</f>
        <v/>
      </c>
    </row>
    <row r="1489" spans="13:14" x14ac:dyDescent="0.2">
      <c r="M1489" t="str">
        <f>IF(Sync!$M1489&lt;&gt;"پاس چک","",IF(Sync!$P1489="","",Sync!$P1489))</f>
        <v/>
      </c>
      <c r="N1489" t="str">
        <f>IF($M1489="","",IF(ISNUMBER(Sync!$L1489),IF(AND(Sync!$L1489&gt;=10000101,Sync!$L1489&lt;=99991231),RIGHT("0000"&amp;INT(Sync!$L1489/10000),4)&amp;"/"&amp;RIGHT("00"&amp;INT(MOD(Sync!$L1489,10000)/100),2)&amp;"/"&amp;RIGHT("00"&amp;MOD(Sync!$L1489,100),2),""),IFERROR(RIGHT("0000"&amp;VALUE(TRIM(LEFT(Sync!$L1489,FIND("/",Sync!$L1489)-1))),4)&amp;"/"&amp;RIGHT("00"&amp;VALUE(TRIM(LEFT(MID(Sync!$L1489,FIND("/",Sync!$L1489)+1,20),FIND("/",MID(Sync!$L1489,FIND("/",Sync!$L1489)+1,20))-1))),2)&amp;"/"&amp;RIGHT("00"&amp;VALUE(TRIM(MID(MID(Sync!$L1489,FIND("/",Sync!$L1489)+1,20),FIND("/",MID(Sync!$L1489,FIND("/",Sync!$L1489)+1,20))+1,20))),2),"")))</f>
        <v/>
      </c>
    </row>
    <row r="1490" spans="13:14" x14ac:dyDescent="0.2">
      <c r="M1490" t="str">
        <f>IF(Sync!$M1490&lt;&gt;"پاس چک","",IF(Sync!$P1490="","",Sync!$P1490))</f>
        <v/>
      </c>
      <c r="N1490" t="str">
        <f>IF($M1490="","",IF(ISNUMBER(Sync!$L1490),IF(AND(Sync!$L1490&gt;=10000101,Sync!$L1490&lt;=99991231),RIGHT("0000"&amp;INT(Sync!$L1490/10000),4)&amp;"/"&amp;RIGHT("00"&amp;INT(MOD(Sync!$L1490,10000)/100),2)&amp;"/"&amp;RIGHT("00"&amp;MOD(Sync!$L1490,100),2),""),IFERROR(RIGHT("0000"&amp;VALUE(TRIM(LEFT(Sync!$L1490,FIND("/",Sync!$L1490)-1))),4)&amp;"/"&amp;RIGHT("00"&amp;VALUE(TRIM(LEFT(MID(Sync!$L1490,FIND("/",Sync!$L1490)+1,20),FIND("/",MID(Sync!$L1490,FIND("/",Sync!$L1490)+1,20))-1))),2)&amp;"/"&amp;RIGHT("00"&amp;VALUE(TRIM(MID(MID(Sync!$L1490,FIND("/",Sync!$L1490)+1,20),FIND("/",MID(Sync!$L1490,FIND("/",Sync!$L1490)+1,20))+1,20))),2),"")))</f>
        <v/>
      </c>
    </row>
    <row r="1491" spans="13:14" x14ac:dyDescent="0.2">
      <c r="M1491" t="str">
        <f>IF(Sync!$M1491&lt;&gt;"پاس چک","",IF(Sync!$P1491="","",Sync!$P1491))</f>
        <v/>
      </c>
      <c r="N1491" t="str">
        <f>IF($M1491="","",IF(ISNUMBER(Sync!$L1491),IF(AND(Sync!$L1491&gt;=10000101,Sync!$L1491&lt;=99991231),RIGHT("0000"&amp;INT(Sync!$L1491/10000),4)&amp;"/"&amp;RIGHT("00"&amp;INT(MOD(Sync!$L1491,10000)/100),2)&amp;"/"&amp;RIGHT("00"&amp;MOD(Sync!$L1491,100),2),""),IFERROR(RIGHT("0000"&amp;VALUE(TRIM(LEFT(Sync!$L1491,FIND("/",Sync!$L1491)-1))),4)&amp;"/"&amp;RIGHT("00"&amp;VALUE(TRIM(LEFT(MID(Sync!$L1491,FIND("/",Sync!$L1491)+1,20),FIND("/",MID(Sync!$L1491,FIND("/",Sync!$L1491)+1,20))-1))),2)&amp;"/"&amp;RIGHT("00"&amp;VALUE(TRIM(MID(MID(Sync!$L1491,FIND("/",Sync!$L1491)+1,20),FIND("/",MID(Sync!$L1491,FIND("/",Sync!$L1491)+1,20))+1,20))),2),"")))</f>
        <v/>
      </c>
    </row>
    <row r="1492" spans="13:14" x14ac:dyDescent="0.2">
      <c r="M1492" t="str">
        <f>IF(Sync!$M1492&lt;&gt;"پاس چک","",IF(Sync!$P1492="","",Sync!$P1492))</f>
        <v/>
      </c>
      <c r="N1492" t="str">
        <f>IF($M1492="","",IF(ISNUMBER(Sync!$L1492),IF(AND(Sync!$L1492&gt;=10000101,Sync!$L1492&lt;=99991231),RIGHT("0000"&amp;INT(Sync!$L1492/10000),4)&amp;"/"&amp;RIGHT("00"&amp;INT(MOD(Sync!$L1492,10000)/100),2)&amp;"/"&amp;RIGHT("00"&amp;MOD(Sync!$L1492,100),2),""),IFERROR(RIGHT("0000"&amp;VALUE(TRIM(LEFT(Sync!$L1492,FIND("/",Sync!$L1492)-1))),4)&amp;"/"&amp;RIGHT("00"&amp;VALUE(TRIM(LEFT(MID(Sync!$L1492,FIND("/",Sync!$L1492)+1,20),FIND("/",MID(Sync!$L1492,FIND("/",Sync!$L1492)+1,20))-1))),2)&amp;"/"&amp;RIGHT("00"&amp;VALUE(TRIM(MID(MID(Sync!$L1492,FIND("/",Sync!$L1492)+1,20),FIND("/",MID(Sync!$L1492,FIND("/",Sync!$L1492)+1,20))+1,20))),2),"")))</f>
        <v/>
      </c>
    </row>
    <row r="1493" spans="13:14" x14ac:dyDescent="0.2">
      <c r="M1493" t="str">
        <f>IF(Sync!$M1493&lt;&gt;"پاس چک","",IF(Sync!$P1493="","",Sync!$P1493))</f>
        <v/>
      </c>
      <c r="N1493" t="str">
        <f>IF($M1493="","",IF(ISNUMBER(Sync!$L1493),IF(AND(Sync!$L1493&gt;=10000101,Sync!$L1493&lt;=99991231),RIGHT("0000"&amp;INT(Sync!$L1493/10000),4)&amp;"/"&amp;RIGHT("00"&amp;INT(MOD(Sync!$L1493,10000)/100),2)&amp;"/"&amp;RIGHT("00"&amp;MOD(Sync!$L1493,100),2),""),IFERROR(RIGHT("0000"&amp;VALUE(TRIM(LEFT(Sync!$L1493,FIND("/",Sync!$L1493)-1))),4)&amp;"/"&amp;RIGHT("00"&amp;VALUE(TRIM(LEFT(MID(Sync!$L1493,FIND("/",Sync!$L1493)+1,20),FIND("/",MID(Sync!$L1493,FIND("/",Sync!$L1493)+1,20))-1))),2)&amp;"/"&amp;RIGHT("00"&amp;VALUE(TRIM(MID(MID(Sync!$L1493,FIND("/",Sync!$L1493)+1,20),FIND("/",MID(Sync!$L1493,FIND("/",Sync!$L1493)+1,20))+1,20))),2),"")))</f>
        <v/>
      </c>
    </row>
    <row r="1494" spans="13:14" x14ac:dyDescent="0.2">
      <c r="M1494" t="str">
        <f>IF(Sync!$M1494&lt;&gt;"پاس چک","",IF(Sync!$P1494="","",Sync!$P1494))</f>
        <v/>
      </c>
      <c r="N1494" t="str">
        <f>IF($M1494="","",IF(ISNUMBER(Sync!$L1494),IF(AND(Sync!$L1494&gt;=10000101,Sync!$L1494&lt;=99991231),RIGHT("0000"&amp;INT(Sync!$L1494/10000),4)&amp;"/"&amp;RIGHT("00"&amp;INT(MOD(Sync!$L1494,10000)/100),2)&amp;"/"&amp;RIGHT("00"&amp;MOD(Sync!$L1494,100),2),""),IFERROR(RIGHT("0000"&amp;VALUE(TRIM(LEFT(Sync!$L1494,FIND("/",Sync!$L1494)-1))),4)&amp;"/"&amp;RIGHT("00"&amp;VALUE(TRIM(LEFT(MID(Sync!$L1494,FIND("/",Sync!$L1494)+1,20),FIND("/",MID(Sync!$L1494,FIND("/",Sync!$L1494)+1,20))-1))),2)&amp;"/"&amp;RIGHT("00"&amp;VALUE(TRIM(MID(MID(Sync!$L1494,FIND("/",Sync!$L1494)+1,20),FIND("/",MID(Sync!$L1494,FIND("/",Sync!$L1494)+1,20))+1,20))),2),"")))</f>
        <v/>
      </c>
    </row>
    <row r="1495" spans="13:14" x14ac:dyDescent="0.2">
      <c r="M1495" t="str">
        <f>IF(Sync!$M1495&lt;&gt;"پاس چک","",IF(Sync!$P1495="","",Sync!$P1495))</f>
        <v/>
      </c>
      <c r="N1495" t="str">
        <f>IF($M1495="","",IF(ISNUMBER(Sync!$L1495),IF(AND(Sync!$L1495&gt;=10000101,Sync!$L1495&lt;=99991231),RIGHT("0000"&amp;INT(Sync!$L1495/10000),4)&amp;"/"&amp;RIGHT("00"&amp;INT(MOD(Sync!$L1495,10000)/100),2)&amp;"/"&amp;RIGHT("00"&amp;MOD(Sync!$L1495,100),2),""),IFERROR(RIGHT("0000"&amp;VALUE(TRIM(LEFT(Sync!$L1495,FIND("/",Sync!$L1495)-1))),4)&amp;"/"&amp;RIGHT("00"&amp;VALUE(TRIM(LEFT(MID(Sync!$L1495,FIND("/",Sync!$L1495)+1,20),FIND("/",MID(Sync!$L1495,FIND("/",Sync!$L1495)+1,20))-1))),2)&amp;"/"&amp;RIGHT("00"&amp;VALUE(TRIM(MID(MID(Sync!$L1495,FIND("/",Sync!$L1495)+1,20),FIND("/",MID(Sync!$L1495,FIND("/",Sync!$L1495)+1,20))+1,20))),2),"")))</f>
        <v/>
      </c>
    </row>
    <row r="1496" spans="13:14" x14ac:dyDescent="0.2">
      <c r="M1496" t="str">
        <f>IF(Sync!$M1496&lt;&gt;"پاس چک","",IF(Sync!$P1496="","",Sync!$P1496))</f>
        <v/>
      </c>
      <c r="N1496" t="str">
        <f>IF($M1496="","",IF(ISNUMBER(Sync!$L1496),IF(AND(Sync!$L1496&gt;=10000101,Sync!$L1496&lt;=99991231),RIGHT("0000"&amp;INT(Sync!$L1496/10000),4)&amp;"/"&amp;RIGHT("00"&amp;INT(MOD(Sync!$L1496,10000)/100),2)&amp;"/"&amp;RIGHT("00"&amp;MOD(Sync!$L1496,100),2),""),IFERROR(RIGHT("0000"&amp;VALUE(TRIM(LEFT(Sync!$L1496,FIND("/",Sync!$L1496)-1))),4)&amp;"/"&amp;RIGHT("00"&amp;VALUE(TRIM(LEFT(MID(Sync!$L1496,FIND("/",Sync!$L1496)+1,20),FIND("/",MID(Sync!$L1496,FIND("/",Sync!$L1496)+1,20))-1))),2)&amp;"/"&amp;RIGHT("00"&amp;VALUE(TRIM(MID(MID(Sync!$L1496,FIND("/",Sync!$L1496)+1,20),FIND("/",MID(Sync!$L1496,FIND("/",Sync!$L1496)+1,20))+1,20))),2),"")))</f>
        <v/>
      </c>
    </row>
    <row r="1497" spans="13:14" x14ac:dyDescent="0.2">
      <c r="M1497" t="str">
        <f>IF(Sync!$M1497&lt;&gt;"پاس چک","",IF(Sync!$P1497="","",Sync!$P1497))</f>
        <v/>
      </c>
      <c r="N1497" t="str">
        <f>IF($M1497="","",IF(ISNUMBER(Sync!$L1497),IF(AND(Sync!$L1497&gt;=10000101,Sync!$L1497&lt;=99991231),RIGHT("0000"&amp;INT(Sync!$L1497/10000),4)&amp;"/"&amp;RIGHT("00"&amp;INT(MOD(Sync!$L1497,10000)/100),2)&amp;"/"&amp;RIGHT("00"&amp;MOD(Sync!$L1497,100),2),""),IFERROR(RIGHT("0000"&amp;VALUE(TRIM(LEFT(Sync!$L1497,FIND("/",Sync!$L1497)-1))),4)&amp;"/"&amp;RIGHT("00"&amp;VALUE(TRIM(LEFT(MID(Sync!$L1497,FIND("/",Sync!$L1497)+1,20),FIND("/",MID(Sync!$L1497,FIND("/",Sync!$L1497)+1,20))-1))),2)&amp;"/"&amp;RIGHT("00"&amp;VALUE(TRIM(MID(MID(Sync!$L1497,FIND("/",Sync!$L1497)+1,20),FIND("/",MID(Sync!$L1497,FIND("/",Sync!$L1497)+1,20))+1,20))),2),"")))</f>
        <v/>
      </c>
    </row>
    <row r="1498" spans="13:14" x14ac:dyDescent="0.2">
      <c r="M1498" t="str">
        <f>IF(Sync!$M1498&lt;&gt;"پاس چک","",IF(Sync!$P1498="","",Sync!$P1498))</f>
        <v/>
      </c>
      <c r="N1498" t="str">
        <f>IF($M1498="","",IF(ISNUMBER(Sync!$L1498),IF(AND(Sync!$L1498&gt;=10000101,Sync!$L1498&lt;=99991231),RIGHT("0000"&amp;INT(Sync!$L1498/10000),4)&amp;"/"&amp;RIGHT("00"&amp;INT(MOD(Sync!$L1498,10000)/100),2)&amp;"/"&amp;RIGHT("00"&amp;MOD(Sync!$L1498,100),2),""),IFERROR(RIGHT("0000"&amp;VALUE(TRIM(LEFT(Sync!$L1498,FIND("/",Sync!$L1498)-1))),4)&amp;"/"&amp;RIGHT("00"&amp;VALUE(TRIM(LEFT(MID(Sync!$L1498,FIND("/",Sync!$L1498)+1,20),FIND("/",MID(Sync!$L1498,FIND("/",Sync!$L1498)+1,20))-1))),2)&amp;"/"&amp;RIGHT("00"&amp;VALUE(TRIM(MID(MID(Sync!$L1498,FIND("/",Sync!$L1498)+1,20),FIND("/",MID(Sync!$L1498,FIND("/",Sync!$L1498)+1,20))+1,20))),2),"")))</f>
        <v/>
      </c>
    </row>
    <row r="1499" spans="13:14" x14ac:dyDescent="0.2">
      <c r="M1499" t="str">
        <f>IF(Sync!$M1499&lt;&gt;"پاس چک","",IF(Sync!$P1499="","",Sync!$P1499))</f>
        <v/>
      </c>
      <c r="N1499" t="str">
        <f>IF($M1499="","",IF(ISNUMBER(Sync!$L1499),IF(AND(Sync!$L1499&gt;=10000101,Sync!$L1499&lt;=99991231),RIGHT("0000"&amp;INT(Sync!$L1499/10000),4)&amp;"/"&amp;RIGHT("00"&amp;INT(MOD(Sync!$L1499,10000)/100),2)&amp;"/"&amp;RIGHT("00"&amp;MOD(Sync!$L1499,100),2),""),IFERROR(RIGHT("0000"&amp;VALUE(TRIM(LEFT(Sync!$L1499,FIND("/",Sync!$L1499)-1))),4)&amp;"/"&amp;RIGHT("00"&amp;VALUE(TRIM(LEFT(MID(Sync!$L1499,FIND("/",Sync!$L1499)+1,20),FIND("/",MID(Sync!$L1499,FIND("/",Sync!$L1499)+1,20))-1))),2)&amp;"/"&amp;RIGHT("00"&amp;VALUE(TRIM(MID(MID(Sync!$L1499,FIND("/",Sync!$L1499)+1,20),FIND("/",MID(Sync!$L1499,FIND("/",Sync!$L1499)+1,20))+1,20))),2),"")))</f>
        <v/>
      </c>
    </row>
    <row r="1500" spans="13:14" x14ac:dyDescent="0.2">
      <c r="M1500" t="str">
        <f>IF(Sync!$M1500&lt;&gt;"پاس چک","",IF(Sync!$P1500="","",Sync!$P1500))</f>
        <v/>
      </c>
      <c r="N1500" t="str">
        <f>IF($M1500="","",IF(ISNUMBER(Sync!$L1500),IF(AND(Sync!$L1500&gt;=10000101,Sync!$L1500&lt;=99991231),RIGHT("0000"&amp;INT(Sync!$L1500/10000),4)&amp;"/"&amp;RIGHT("00"&amp;INT(MOD(Sync!$L1500,10000)/100),2)&amp;"/"&amp;RIGHT("00"&amp;MOD(Sync!$L1500,100),2),""),IFERROR(RIGHT("0000"&amp;VALUE(TRIM(LEFT(Sync!$L1500,FIND("/",Sync!$L1500)-1))),4)&amp;"/"&amp;RIGHT("00"&amp;VALUE(TRIM(LEFT(MID(Sync!$L1500,FIND("/",Sync!$L1500)+1,20),FIND("/",MID(Sync!$L1500,FIND("/",Sync!$L1500)+1,20))-1))),2)&amp;"/"&amp;RIGHT("00"&amp;VALUE(TRIM(MID(MID(Sync!$L1500,FIND("/",Sync!$L1500)+1,20),FIND("/",MID(Sync!$L1500,FIND("/",Sync!$L1500)+1,20))+1,20))),2),"")))</f>
        <v/>
      </c>
    </row>
    <row r="1501" spans="13:14" x14ac:dyDescent="0.2">
      <c r="M1501" t="str">
        <f>IF(Sync!$M1501&lt;&gt;"پاس چک","",IF(Sync!$P1501="","",Sync!$P1501))</f>
        <v/>
      </c>
      <c r="N1501" t="str">
        <f>IF($M1501="","",IF(ISNUMBER(Sync!$L1501),IF(AND(Sync!$L1501&gt;=10000101,Sync!$L1501&lt;=99991231),RIGHT("0000"&amp;INT(Sync!$L1501/10000),4)&amp;"/"&amp;RIGHT("00"&amp;INT(MOD(Sync!$L1501,10000)/100),2)&amp;"/"&amp;RIGHT("00"&amp;MOD(Sync!$L1501,100),2),""),IFERROR(RIGHT("0000"&amp;VALUE(TRIM(LEFT(Sync!$L1501,FIND("/",Sync!$L1501)-1))),4)&amp;"/"&amp;RIGHT("00"&amp;VALUE(TRIM(LEFT(MID(Sync!$L1501,FIND("/",Sync!$L1501)+1,20),FIND("/",MID(Sync!$L1501,FIND("/",Sync!$L1501)+1,20))-1))),2)&amp;"/"&amp;RIGHT("00"&amp;VALUE(TRIM(MID(MID(Sync!$L1501,FIND("/",Sync!$L1501)+1,20),FIND("/",MID(Sync!$L1501,FIND("/",Sync!$L1501)+1,20))+1,20))),2),"")))</f>
        <v/>
      </c>
    </row>
    <row r="1502" spans="13:14" x14ac:dyDescent="0.2">
      <c r="M1502" t="str">
        <f>IF(Sync!$M1502&lt;&gt;"پاس چک","",IF(Sync!$P1502="","",Sync!$P1502))</f>
        <v/>
      </c>
      <c r="N1502" t="str">
        <f>IF($M1502="","",IF(ISNUMBER(Sync!$L1502),IF(AND(Sync!$L1502&gt;=10000101,Sync!$L1502&lt;=99991231),RIGHT("0000"&amp;INT(Sync!$L1502/10000),4)&amp;"/"&amp;RIGHT("00"&amp;INT(MOD(Sync!$L1502,10000)/100),2)&amp;"/"&amp;RIGHT("00"&amp;MOD(Sync!$L1502,100),2),""),IFERROR(RIGHT("0000"&amp;VALUE(TRIM(LEFT(Sync!$L1502,FIND("/",Sync!$L1502)-1))),4)&amp;"/"&amp;RIGHT("00"&amp;VALUE(TRIM(LEFT(MID(Sync!$L1502,FIND("/",Sync!$L1502)+1,20),FIND("/",MID(Sync!$L1502,FIND("/",Sync!$L1502)+1,20))-1))),2)&amp;"/"&amp;RIGHT("00"&amp;VALUE(TRIM(MID(MID(Sync!$L1502,FIND("/",Sync!$L1502)+1,20),FIND("/",MID(Sync!$L1502,FIND("/",Sync!$L1502)+1,20))+1,20))),2),"")))</f>
        <v/>
      </c>
    </row>
    <row r="1503" spans="13:14" x14ac:dyDescent="0.2">
      <c r="M1503" t="str">
        <f>IF(Sync!$M1503&lt;&gt;"پاس چک","",IF(Sync!$P1503="","",Sync!$P1503))</f>
        <v/>
      </c>
      <c r="N1503" t="str">
        <f>IF($M1503="","",IF(ISNUMBER(Sync!$L1503),IF(AND(Sync!$L1503&gt;=10000101,Sync!$L1503&lt;=99991231),RIGHT("0000"&amp;INT(Sync!$L1503/10000),4)&amp;"/"&amp;RIGHT("00"&amp;INT(MOD(Sync!$L1503,10000)/100),2)&amp;"/"&amp;RIGHT("00"&amp;MOD(Sync!$L1503,100),2),""),IFERROR(RIGHT("0000"&amp;VALUE(TRIM(LEFT(Sync!$L1503,FIND("/",Sync!$L1503)-1))),4)&amp;"/"&amp;RIGHT("00"&amp;VALUE(TRIM(LEFT(MID(Sync!$L1503,FIND("/",Sync!$L1503)+1,20),FIND("/",MID(Sync!$L1503,FIND("/",Sync!$L1503)+1,20))-1))),2)&amp;"/"&amp;RIGHT("00"&amp;VALUE(TRIM(MID(MID(Sync!$L1503,FIND("/",Sync!$L1503)+1,20),FIND("/",MID(Sync!$L1503,FIND("/",Sync!$L1503)+1,20))+1,20))),2),"")))</f>
        <v/>
      </c>
    </row>
    <row r="1504" spans="13:14" x14ac:dyDescent="0.2">
      <c r="M1504" t="str">
        <f>IF(Sync!$M1504&lt;&gt;"پاس چک","",IF(Sync!$P1504="","",Sync!$P1504))</f>
        <v/>
      </c>
      <c r="N1504" t="str">
        <f>IF($M1504="","",IF(ISNUMBER(Sync!$L1504),IF(AND(Sync!$L1504&gt;=10000101,Sync!$L1504&lt;=99991231),RIGHT("0000"&amp;INT(Sync!$L1504/10000),4)&amp;"/"&amp;RIGHT("00"&amp;INT(MOD(Sync!$L1504,10000)/100),2)&amp;"/"&amp;RIGHT("00"&amp;MOD(Sync!$L1504,100),2),""),IFERROR(RIGHT("0000"&amp;VALUE(TRIM(LEFT(Sync!$L1504,FIND("/",Sync!$L1504)-1))),4)&amp;"/"&amp;RIGHT("00"&amp;VALUE(TRIM(LEFT(MID(Sync!$L1504,FIND("/",Sync!$L1504)+1,20),FIND("/",MID(Sync!$L1504,FIND("/",Sync!$L1504)+1,20))-1))),2)&amp;"/"&amp;RIGHT("00"&amp;VALUE(TRIM(MID(MID(Sync!$L1504,FIND("/",Sync!$L1504)+1,20),FIND("/",MID(Sync!$L1504,FIND("/",Sync!$L1504)+1,20))+1,20))),2),"")))</f>
        <v/>
      </c>
    </row>
    <row r="1505" spans="13:14" x14ac:dyDescent="0.2">
      <c r="M1505" t="str">
        <f>IF(Sync!$M1505&lt;&gt;"پاس چک","",IF(Sync!$P1505="","",Sync!$P1505))</f>
        <v/>
      </c>
      <c r="N1505" t="str">
        <f>IF($M1505="","",IF(ISNUMBER(Sync!$L1505),IF(AND(Sync!$L1505&gt;=10000101,Sync!$L1505&lt;=99991231),RIGHT("0000"&amp;INT(Sync!$L1505/10000),4)&amp;"/"&amp;RIGHT("00"&amp;INT(MOD(Sync!$L1505,10000)/100),2)&amp;"/"&amp;RIGHT("00"&amp;MOD(Sync!$L1505,100),2),""),IFERROR(RIGHT("0000"&amp;VALUE(TRIM(LEFT(Sync!$L1505,FIND("/",Sync!$L1505)-1))),4)&amp;"/"&amp;RIGHT("00"&amp;VALUE(TRIM(LEFT(MID(Sync!$L1505,FIND("/",Sync!$L1505)+1,20),FIND("/",MID(Sync!$L1505,FIND("/",Sync!$L1505)+1,20))-1))),2)&amp;"/"&amp;RIGHT("00"&amp;VALUE(TRIM(MID(MID(Sync!$L1505,FIND("/",Sync!$L1505)+1,20),FIND("/",MID(Sync!$L1505,FIND("/",Sync!$L1505)+1,20))+1,20))),2),"")))</f>
        <v/>
      </c>
    </row>
    <row r="1506" spans="13:14" x14ac:dyDescent="0.2">
      <c r="M1506" t="str">
        <f>IF(Sync!$M1506&lt;&gt;"پاس چک","",IF(Sync!$P1506="","",Sync!$P1506))</f>
        <v/>
      </c>
      <c r="N1506" t="str">
        <f>IF($M1506="","",IF(ISNUMBER(Sync!$L1506),IF(AND(Sync!$L1506&gt;=10000101,Sync!$L1506&lt;=99991231),RIGHT("0000"&amp;INT(Sync!$L1506/10000),4)&amp;"/"&amp;RIGHT("00"&amp;INT(MOD(Sync!$L1506,10000)/100),2)&amp;"/"&amp;RIGHT("00"&amp;MOD(Sync!$L1506,100),2),""),IFERROR(RIGHT("0000"&amp;VALUE(TRIM(LEFT(Sync!$L1506,FIND("/",Sync!$L1506)-1))),4)&amp;"/"&amp;RIGHT("00"&amp;VALUE(TRIM(LEFT(MID(Sync!$L1506,FIND("/",Sync!$L1506)+1,20),FIND("/",MID(Sync!$L1506,FIND("/",Sync!$L1506)+1,20))-1))),2)&amp;"/"&amp;RIGHT("00"&amp;VALUE(TRIM(MID(MID(Sync!$L1506,FIND("/",Sync!$L1506)+1,20),FIND("/",MID(Sync!$L1506,FIND("/",Sync!$L1506)+1,20))+1,20))),2),"")))</f>
        <v/>
      </c>
    </row>
    <row r="1507" spans="13:14" x14ac:dyDescent="0.2">
      <c r="M1507" t="str">
        <f>IF(Sync!$M1507&lt;&gt;"پاس چک","",IF(Sync!$P1507="","",Sync!$P1507))</f>
        <v/>
      </c>
      <c r="N1507" t="str">
        <f>IF($M1507="","",IF(ISNUMBER(Sync!$L1507),IF(AND(Sync!$L1507&gt;=10000101,Sync!$L1507&lt;=99991231),RIGHT("0000"&amp;INT(Sync!$L1507/10000),4)&amp;"/"&amp;RIGHT("00"&amp;INT(MOD(Sync!$L1507,10000)/100),2)&amp;"/"&amp;RIGHT("00"&amp;MOD(Sync!$L1507,100),2),""),IFERROR(RIGHT("0000"&amp;VALUE(TRIM(LEFT(Sync!$L1507,FIND("/",Sync!$L1507)-1))),4)&amp;"/"&amp;RIGHT("00"&amp;VALUE(TRIM(LEFT(MID(Sync!$L1507,FIND("/",Sync!$L1507)+1,20),FIND("/",MID(Sync!$L1507,FIND("/",Sync!$L1507)+1,20))-1))),2)&amp;"/"&amp;RIGHT("00"&amp;VALUE(TRIM(MID(MID(Sync!$L1507,FIND("/",Sync!$L1507)+1,20),FIND("/",MID(Sync!$L1507,FIND("/",Sync!$L1507)+1,20))+1,20))),2),"")))</f>
        <v/>
      </c>
    </row>
    <row r="1508" spans="13:14" x14ac:dyDescent="0.2">
      <c r="M1508" t="str">
        <f>IF(Sync!$M1508&lt;&gt;"پاس چک","",IF(Sync!$P1508="","",Sync!$P1508))</f>
        <v/>
      </c>
      <c r="N1508" t="str">
        <f>IF($M1508="","",IF(ISNUMBER(Sync!$L1508),IF(AND(Sync!$L1508&gt;=10000101,Sync!$L1508&lt;=99991231),RIGHT("0000"&amp;INT(Sync!$L1508/10000),4)&amp;"/"&amp;RIGHT("00"&amp;INT(MOD(Sync!$L1508,10000)/100),2)&amp;"/"&amp;RIGHT("00"&amp;MOD(Sync!$L1508,100),2),""),IFERROR(RIGHT("0000"&amp;VALUE(TRIM(LEFT(Sync!$L1508,FIND("/",Sync!$L1508)-1))),4)&amp;"/"&amp;RIGHT("00"&amp;VALUE(TRIM(LEFT(MID(Sync!$L1508,FIND("/",Sync!$L1508)+1,20),FIND("/",MID(Sync!$L1508,FIND("/",Sync!$L1508)+1,20))-1))),2)&amp;"/"&amp;RIGHT("00"&amp;VALUE(TRIM(MID(MID(Sync!$L1508,FIND("/",Sync!$L1508)+1,20),FIND("/",MID(Sync!$L1508,FIND("/",Sync!$L1508)+1,20))+1,20))),2),"")))</f>
        <v/>
      </c>
    </row>
    <row r="1509" spans="13:14" x14ac:dyDescent="0.2">
      <c r="M1509" t="str">
        <f>IF(Sync!$M1509&lt;&gt;"پاس چک","",IF(Sync!$P1509="","",Sync!$P1509))</f>
        <v/>
      </c>
      <c r="N1509" t="str">
        <f>IF($M1509="","",IF(ISNUMBER(Sync!$L1509),IF(AND(Sync!$L1509&gt;=10000101,Sync!$L1509&lt;=99991231),RIGHT("0000"&amp;INT(Sync!$L1509/10000),4)&amp;"/"&amp;RIGHT("00"&amp;INT(MOD(Sync!$L1509,10000)/100),2)&amp;"/"&amp;RIGHT("00"&amp;MOD(Sync!$L1509,100),2),""),IFERROR(RIGHT("0000"&amp;VALUE(TRIM(LEFT(Sync!$L1509,FIND("/",Sync!$L1509)-1))),4)&amp;"/"&amp;RIGHT("00"&amp;VALUE(TRIM(LEFT(MID(Sync!$L1509,FIND("/",Sync!$L1509)+1,20),FIND("/",MID(Sync!$L1509,FIND("/",Sync!$L1509)+1,20))-1))),2)&amp;"/"&amp;RIGHT("00"&amp;VALUE(TRIM(MID(MID(Sync!$L1509,FIND("/",Sync!$L1509)+1,20),FIND("/",MID(Sync!$L1509,FIND("/",Sync!$L1509)+1,20))+1,20))),2),"")))</f>
        <v/>
      </c>
    </row>
    <row r="1510" spans="13:14" x14ac:dyDescent="0.2">
      <c r="M1510" t="str">
        <f>IF(Sync!$M1510&lt;&gt;"پاس چک","",IF(Sync!$P1510="","",Sync!$P1510))</f>
        <v/>
      </c>
      <c r="N1510" t="str">
        <f>IF($M1510="","",IF(ISNUMBER(Sync!$L1510),IF(AND(Sync!$L1510&gt;=10000101,Sync!$L1510&lt;=99991231),RIGHT("0000"&amp;INT(Sync!$L1510/10000),4)&amp;"/"&amp;RIGHT("00"&amp;INT(MOD(Sync!$L1510,10000)/100),2)&amp;"/"&amp;RIGHT("00"&amp;MOD(Sync!$L1510,100),2),""),IFERROR(RIGHT("0000"&amp;VALUE(TRIM(LEFT(Sync!$L1510,FIND("/",Sync!$L1510)-1))),4)&amp;"/"&amp;RIGHT("00"&amp;VALUE(TRIM(LEFT(MID(Sync!$L1510,FIND("/",Sync!$L1510)+1,20),FIND("/",MID(Sync!$L1510,FIND("/",Sync!$L1510)+1,20))-1))),2)&amp;"/"&amp;RIGHT("00"&amp;VALUE(TRIM(MID(MID(Sync!$L1510,FIND("/",Sync!$L1510)+1,20),FIND("/",MID(Sync!$L1510,FIND("/",Sync!$L1510)+1,20))+1,20))),2),"")))</f>
        <v/>
      </c>
    </row>
    <row r="1511" spans="13:14" x14ac:dyDescent="0.2">
      <c r="M1511" t="str">
        <f>IF(Sync!$M1511&lt;&gt;"پاس چک","",IF(Sync!$P1511="","",Sync!$P1511))</f>
        <v/>
      </c>
      <c r="N1511" t="str">
        <f>IF($M1511="","",IF(ISNUMBER(Sync!$L1511),IF(AND(Sync!$L1511&gt;=10000101,Sync!$L1511&lt;=99991231),RIGHT("0000"&amp;INT(Sync!$L1511/10000),4)&amp;"/"&amp;RIGHT("00"&amp;INT(MOD(Sync!$L1511,10000)/100),2)&amp;"/"&amp;RIGHT("00"&amp;MOD(Sync!$L1511,100),2),""),IFERROR(RIGHT("0000"&amp;VALUE(TRIM(LEFT(Sync!$L1511,FIND("/",Sync!$L1511)-1))),4)&amp;"/"&amp;RIGHT("00"&amp;VALUE(TRIM(LEFT(MID(Sync!$L1511,FIND("/",Sync!$L1511)+1,20),FIND("/",MID(Sync!$L1511,FIND("/",Sync!$L1511)+1,20))-1))),2)&amp;"/"&amp;RIGHT("00"&amp;VALUE(TRIM(MID(MID(Sync!$L1511,FIND("/",Sync!$L1511)+1,20),FIND("/",MID(Sync!$L1511,FIND("/",Sync!$L1511)+1,20))+1,20))),2),"")))</f>
        <v/>
      </c>
    </row>
    <row r="1512" spans="13:14" x14ac:dyDescent="0.2">
      <c r="M1512" t="str">
        <f>IF(Sync!$M1512&lt;&gt;"پاس چک","",IF(Sync!$P1512="","",Sync!$P1512))</f>
        <v/>
      </c>
      <c r="N1512" t="str">
        <f>IF($M1512="","",IF(ISNUMBER(Sync!$L1512),IF(AND(Sync!$L1512&gt;=10000101,Sync!$L1512&lt;=99991231),RIGHT("0000"&amp;INT(Sync!$L1512/10000),4)&amp;"/"&amp;RIGHT("00"&amp;INT(MOD(Sync!$L1512,10000)/100),2)&amp;"/"&amp;RIGHT("00"&amp;MOD(Sync!$L1512,100),2),""),IFERROR(RIGHT("0000"&amp;VALUE(TRIM(LEFT(Sync!$L1512,FIND("/",Sync!$L1512)-1))),4)&amp;"/"&amp;RIGHT("00"&amp;VALUE(TRIM(LEFT(MID(Sync!$L1512,FIND("/",Sync!$L1512)+1,20),FIND("/",MID(Sync!$L1512,FIND("/",Sync!$L1512)+1,20))-1))),2)&amp;"/"&amp;RIGHT("00"&amp;VALUE(TRIM(MID(MID(Sync!$L1512,FIND("/",Sync!$L1512)+1,20),FIND("/",MID(Sync!$L1512,FIND("/",Sync!$L1512)+1,20))+1,20))),2),"")))</f>
        <v/>
      </c>
    </row>
    <row r="1513" spans="13:14" x14ac:dyDescent="0.2">
      <c r="M1513" t="str">
        <f>IF(Sync!$M1513&lt;&gt;"پاس چک","",IF(Sync!$P1513="","",Sync!$P1513))</f>
        <v/>
      </c>
      <c r="N1513" t="str">
        <f>IF($M1513="","",IF(ISNUMBER(Sync!$L1513),IF(AND(Sync!$L1513&gt;=10000101,Sync!$L1513&lt;=99991231),RIGHT("0000"&amp;INT(Sync!$L1513/10000),4)&amp;"/"&amp;RIGHT("00"&amp;INT(MOD(Sync!$L1513,10000)/100),2)&amp;"/"&amp;RIGHT("00"&amp;MOD(Sync!$L1513,100),2),""),IFERROR(RIGHT("0000"&amp;VALUE(TRIM(LEFT(Sync!$L1513,FIND("/",Sync!$L1513)-1))),4)&amp;"/"&amp;RIGHT("00"&amp;VALUE(TRIM(LEFT(MID(Sync!$L1513,FIND("/",Sync!$L1513)+1,20),FIND("/",MID(Sync!$L1513,FIND("/",Sync!$L1513)+1,20))-1))),2)&amp;"/"&amp;RIGHT("00"&amp;VALUE(TRIM(MID(MID(Sync!$L1513,FIND("/",Sync!$L1513)+1,20),FIND("/",MID(Sync!$L1513,FIND("/",Sync!$L1513)+1,20))+1,20))),2),"")))</f>
        <v/>
      </c>
    </row>
    <row r="1514" spans="13:14" x14ac:dyDescent="0.2">
      <c r="M1514" t="str">
        <f>IF(Sync!$M1514&lt;&gt;"پاس چک","",IF(Sync!$P1514="","",Sync!$P1514))</f>
        <v/>
      </c>
      <c r="N1514" t="str">
        <f>IF($M1514="","",IF(ISNUMBER(Sync!$L1514),IF(AND(Sync!$L1514&gt;=10000101,Sync!$L1514&lt;=99991231),RIGHT("0000"&amp;INT(Sync!$L1514/10000),4)&amp;"/"&amp;RIGHT("00"&amp;INT(MOD(Sync!$L1514,10000)/100),2)&amp;"/"&amp;RIGHT("00"&amp;MOD(Sync!$L1514,100),2),""),IFERROR(RIGHT("0000"&amp;VALUE(TRIM(LEFT(Sync!$L1514,FIND("/",Sync!$L1514)-1))),4)&amp;"/"&amp;RIGHT("00"&amp;VALUE(TRIM(LEFT(MID(Sync!$L1514,FIND("/",Sync!$L1514)+1,20),FIND("/",MID(Sync!$L1514,FIND("/",Sync!$L1514)+1,20))-1))),2)&amp;"/"&amp;RIGHT("00"&amp;VALUE(TRIM(MID(MID(Sync!$L1514,FIND("/",Sync!$L1514)+1,20),FIND("/",MID(Sync!$L1514,FIND("/",Sync!$L1514)+1,20))+1,20))),2),"")))</f>
        <v/>
      </c>
    </row>
    <row r="1515" spans="13:14" x14ac:dyDescent="0.2">
      <c r="M1515" t="str">
        <f>IF(Sync!$M1515&lt;&gt;"پاس چک","",IF(Sync!$P1515="","",Sync!$P1515))</f>
        <v/>
      </c>
      <c r="N1515" t="str">
        <f>IF($M1515="","",IF(ISNUMBER(Sync!$L1515),IF(AND(Sync!$L1515&gt;=10000101,Sync!$L1515&lt;=99991231),RIGHT("0000"&amp;INT(Sync!$L1515/10000),4)&amp;"/"&amp;RIGHT("00"&amp;INT(MOD(Sync!$L1515,10000)/100),2)&amp;"/"&amp;RIGHT("00"&amp;MOD(Sync!$L1515,100),2),""),IFERROR(RIGHT("0000"&amp;VALUE(TRIM(LEFT(Sync!$L1515,FIND("/",Sync!$L1515)-1))),4)&amp;"/"&amp;RIGHT("00"&amp;VALUE(TRIM(LEFT(MID(Sync!$L1515,FIND("/",Sync!$L1515)+1,20),FIND("/",MID(Sync!$L1515,FIND("/",Sync!$L1515)+1,20))-1))),2)&amp;"/"&amp;RIGHT("00"&amp;VALUE(TRIM(MID(MID(Sync!$L1515,FIND("/",Sync!$L1515)+1,20),FIND("/",MID(Sync!$L1515,FIND("/",Sync!$L1515)+1,20))+1,20))),2),"")))</f>
        <v/>
      </c>
    </row>
    <row r="1516" spans="13:14" x14ac:dyDescent="0.2">
      <c r="M1516" t="str">
        <f>IF(Sync!$M1516&lt;&gt;"پاس چک","",IF(Sync!$P1516="","",Sync!$P1516))</f>
        <v/>
      </c>
      <c r="N1516" t="str">
        <f>IF($M1516="","",IF(ISNUMBER(Sync!$L1516),IF(AND(Sync!$L1516&gt;=10000101,Sync!$L1516&lt;=99991231),RIGHT("0000"&amp;INT(Sync!$L1516/10000),4)&amp;"/"&amp;RIGHT("00"&amp;INT(MOD(Sync!$L1516,10000)/100),2)&amp;"/"&amp;RIGHT("00"&amp;MOD(Sync!$L1516,100),2),""),IFERROR(RIGHT("0000"&amp;VALUE(TRIM(LEFT(Sync!$L1516,FIND("/",Sync!$L1516)-1))),4)&amp;"/"&amp;RIGHT("00"&amp;VALUE(TRIM(LEFT(MID(Sync!$L1516,FIND("/",Sync!$L1516)+1,20),FIND("/",MID(Sync!$L1516,FIND("/",Sync!$L1516)+1,20))-1))),2)&amp;"/"&amp;RIGHT("00"&amp;VALUE(TRIM(MID(MID(Sync!$L1516,FIND("/",Sync!$L1516)+1,20),FIND("/",MID(Sync!$L1516,FIND("/",Sync!$L1516)+1,20))+1,20))),2),"")))</f>
        <v/>
      </c>
    </row>
    <row r="1517" spans="13:14" x14ac:dyDescent="0.2">
      <c r="M1517" t="str">
        <f>IF(Sync!$M1517&lt;&gt;"پاس چک","",IF(Sync!$P1517="","",Sync!$P1517))</f>
        <v/>
      </c>
      <c r="N1517" t="str">
        <f>IF($M1517="","",IF(ISNUMBER(Sync!$L1517),IF(AND(Sync!$L1517&gt;=10000101,Sync!$L1517&lt;=99991231),RIGHT("0000"&amp;INT(Sync!$L1517/10000),4)&amp;"/"&amp;RIGHT("00"&amp;INT(MOD(Sync!$L1517,10000)/100),2)&amp;"/"&amp;RIGHT("00"&amp;MOD(Sync!$L1517,100),2),""),IFERROR(RIGHT("0000"&amp;VALUE(TRIM(LEFT(Sync!$L1517,FIND("/",Sync!$L1517)-1))),4)&amp;"/"&amp;RIGHT("00"&amp;VALUE(TRIM(LEFT(MID(Sync!$L1517,FIND("/",Sync!$L1517)+1,20),FIND("/",MID(Sync!$L1517,FIND("/",Sync!$L1517)+1,20))-1))),2)&amp;"/"&amp;RIGHT("00"&amp;VALUE(TRIM(MID(MID(Sync!$L1517,FIND("/",Sync!$L1517)+1,20),FIND("/",MID(Sync!$L1517,FIND("/",Sync!$L1517)+1,20))+1,20))),2),"")))</f>
        <v/>
      </c>
    </row>
    <row r="1518" spans="13:14" x14ac:dyDescent="0.2">
      <c r="M1518" t="str">
        <f>IF(Sync!$M1518&lt;&gt;"پاس چک","",IF(Sync!$P1518="","",Sync!$P1518))</f>
        <v/>
      </c>
      <c r="N1518" t="str">
        <f>IF($M1518="","",IF(ISNUMBER(Sync!$L1518),IF(AND(Sync!$L1518&gt;=10000101,Sync!$L1518&lt;=99991231),RIGHT("0000"&amp;INT(Sync!$L1518/10000),4)&amp;"/"&amp;RIGHT("00"&amp;INT(MOD(Sync!$L1518,10000)/100),2)&amp;"/"&amp;RIGHT("00"&amp;MOD(Sync!$L1518,100),2),""),IFERROR(RIGHT("0000"&amp;VALUE(TRIM(LEFT(Sync!$L1518,FIND("/",Sync!$L1518)-1))),4)&amp;"/"&amp;RIGHT("00"&amp;VALUE(TRIM(LEFT(MID(Sync!$L1518,FIND("/",Sync!$L1518)+1,20),FIND("/",MID(Sync!$L1518,FIND("/",Sync!$L1518)+1,20))-1))),2)&amp;"/"&amp;RIGHT("00"&amp;VALUE(TRIM(MID(MID(Sync!$L1518,FIND("/",Sync!$L1518)+1,20),FIND("/",MID(Sync!$L1518,FIND("/",Sync!$L1518)+1,20))+1,20))),2),"")))</f>
        <v/>
      </c>
    </row>
    <row r="1519" spans="13:14" x14ac:dyDescent="0.2">
      <c r="M1519" t="str">
        <f>IF(Sync!$M1519&lt;&gt;"پاس چک","",IF(Sync!$P1519="","",Sync!$P1519))</f>
        <v/>
      </c>
      <c r="N1519" t="str">
        <f>IF($M1519="","",IF(ISNUMBER(Sync!$L1519),IF(AND(Sync!$L1519&gt;=10000101,Sync!$L1519&lt;=99991231),RIGHT("0000"&amp;INT(Sync!$L1519/10000),4)&amp;"/"&amp;RIGHT("00"&amp;INT(MOD(Sync!$L1519,10000)/100),2)&amp;"/"&amp;RIGHT("00"&amp;MOD(Sync!$L1519,100),2),""),IFERROR(RIGHT("0000"&amp;VALUE(TRIM(LEFT(Sync!$L1519,FIND("/",Sync!$L1519)-1))),4)&amp;"/"&amp;RIGHT("00"&amp;VALUE(TRIM(LEFT(MID(Sync!$L1519,FIND("/",Sync!$L1519)+1,20),FIND("/",MID(Sync!$L1519,FIND("/",Sync!$L1519)+1,20))-1))),2)&amp;"/"&amp;RIGHT("00"&amp;VALUE(TRIM(MID(MID(Sync!$L1519,FIND("/",Sync!$L1519)+1,20),FIND("/",MID(Sync!$L1519,FIND("/",Sync!$L1519)+1,20))+1,20))),2),"")))</f>
        <v/>
      </c>
    </row>
    <row r="1520" spans="13:14" x14ac:dyDescent="0.2">
      <c r="M1520" t="str">
        <f>IF(Sync!$M1520&lt;&gt;"پاس چک","",IF(Sync!$P1520="","",Sync!$P1520))</f>
        <v/>
      </c>
      <c r="N1520" t="str">
        <f>IF($M1520="","",IF(ISNUMBER(Sync!$L1520),IF(AND(Sync!$L1520&gt;=10000101,Sync!$L1520&lt;=99991231),RIGHT("0000"&amp;INT(Sync!$L1520/10000),4)&amp;"/"&amp;RIGHT("00"&amp;INT(MOD(Sync!$L1520,10000)/100),2)&amp;"/"&amp;RIGHT("00"&amp;MOD(Sync!$L1520,100),2),""),IFERROR(RIGHT("0000"&amp;VALUE(TRIM(LEFT(Sync!$L1520,FIND("/",Sync!$L1520)-1))),4)&amp;"/"&amp;RIGHT("00"&amp;VALUE(TRIM(LEFT(MID(Sync!$L1520,FIND("/",Sync!$L1520)+1,20),FIND("/",MID(Sync!$L1520,FIND("/",Sync!$L1520)+1,20))-1))),2)&amp;"/"&amp;RIGHT("00"&amp;VALUE(TRIM(MID(MID(Sync!$L1520,FIND("/",Sync!$L1520)+1,20),FIND("/",MID(Sync!$L1520,FIND("/",Sync!$L1520)+1,20))+1,20))),2),"")))</f>
        <v/>
      </c>
    </row>
    <row r="1521" spans="13:14" x14ac:dyDescent="0.2">
      <c r="M1521" t="str">
        <f>IF(Sync!$M1521&lt;&gt;"پاس چک","",IF(Sync!$P1521="","",Sync!$P1521))</f>
        <v/>
      </c>
      <c r="N1521" t="str">
        <f>IF($M1521="","",IF(ISNUMBER(Sync!$L1521),IF(AND(Sync!$L1521&gt;=10000101,Sync!$L1521&lt;=99991231),RIGHT("0000"&amp;INT(Sync!$L1521/10000),4)&amp;"/"&amp;RIGHT("00"&amp;INT(MOD(Sync!$L1521,10000)/100),2)&amp;"/"&amp;RIGHT("00"&amp;MOD(Sync!$L1521,100),2),""),IFERROR(RIGHT("0000"&amp;VALUE(TRIM(LEFT(Sync!$L1521,FIND("/",Sync!$L1521)-1))),4)&amp;"/"&amp;RIGHT("00"&amp;VALUE(TRIM(LEFT(MID(Sync!$L1521,FIND("/",Sync!$L1521)+1,20),FIND("/",MID(Sync!$L1521,FIND("/",Sync!$L1521)+1,20))-1))),2)&amp;"/"&amp;RIGHT("00"&amp;VALUE(TRIM(MID(MID(Sync!$L1521,FIND("/",Sync!$L1521)+1,20),FIND("/",MID(Sync!$L1521,FIND("/",Sync!$L1521)+1,20))+1,20))),2),"")))</f>
        <v/>
      </c>
    </row>
    <row r="1522" spans="13:14" x14ac:dyDescent="0.2">
      <c r="M1522" t="str">
        <f>IF(Sync!$M1522&lt;&gt;"پاس چک","",IF(Sync!$P1522="","",Sync!$P1522))</f>
        <v/>
      </c>
      <c r="N1522" t="str">
        <f>IF($M1522="","",IF(ISNUMBER(Sync!$L1522),IF(AND(Sync!$L1522&gt;=10000101,Sync!$L1522&lt;=99991231),RIGHT("0000"&amp;INT(Sync!$L1522/10000),4)&amp;"/"&amp;RIGHT("00"&amp;INT(MOD(Sync!$L1522,10000)/100),2)&amp;"/"&amp;RIGHT("00"&amp;MOD(Sync!$L1522,100),2),""),IFERROR(RIGHT("0000"&amp;VALUE(TRIM(LEFT(Sync!$L1522,FIND("/",Sync!$L1522)-1))),4)&amp;"/"&amp;RIGHT("00"&amp;VALUE(TRIM(LEFT(MID(Sync!$L1522,FIND("/",Sync!$L1522)+1,20),FIND("/",MID(Sync!$L1522,FIND("/",Sync!$L1522)+1,20))-1))),2)&amp;"/"&amp;RIGHT("00"&amp;VALUE(TRIM(MID(MID(Sync!$L1522,FIND("/",Sync!$L1522)+1,20),FIND("/",MID(Sync!$L1522,FIND("/",Sync!$L1522)+1,20))+1,20))),2),"")))</f>
        <v/>
      </c>
    </row>
    <row r="1523" spans="13:14" x14ac:dyDescent="0.2">
      <c r="M1523" t="str">
        <f>IF(Sync!$M1523&lt;&gt;"پاس چک","",IF(Sync!$P1523="","",Sync!$P1523))</f>
        <v/>
      </c>
      <c r="N1523" t="str">
        <f>IF($M1523="","",IF(ISNUMBER(Sync!$L1523),IF(AND(Sync!$L1523&gt;=10000101,Sync!$L1523&lt;=99991231),RIGHT("0000"&amp;INT(Sync!$L1523/10000),4)&amp;"/"&amp;RIGHT("00"&amp;INT(MOD(Sync!$L1523,10000)/100),2)&amp;"/"&amp;RIGHT("00"&amp;MOD(Sync!$L1523,100),2),""),IFERROR(RIGHT("0000"&amp;VALUE(TRIM(LEFT(Sync!$L1523,FIND("/",Sync!$L1523)-1))),4)&amp;"/"&amp;RIGHT("00"&amp;VALUE(TRIM(LEFT(MID(Sync!$L1523,FIND("/",Sync!$L1523)+1,20),FIND("/",MID(Sync!$L1523,FIND("/",Sync!$L1523)+1,20))-1))),2)&amp;"/"&amp;RIGHT("00"&amp;VALUE(TRIM(MID(MID(Sync!$L1523,FIND("/",Sync!$L1523)+1,20),FIND("/",MID(Sync!$L1523,FIND("/",Sync!$L1523)+1,20))+1,20))),2),"")))</f>
        <v/>
      </c>
    </row>
    <row r="1524" spans="13:14" x14ac:dyDescent="0.2">
      <c r="M1524" t="str">
        <f>IF(Sync!$M1524&lt;&gt;"پاس چک","",IF(Sync!$P1524="","",Sync!$P1524))</f>
        <v/>
      </c>
      <c r="N1524" t="str">
        <f>IF($M1524="","",IF(ISNUMBER(Sync!$L1524),IF(AND(Sync!$L1524&gt;=10000101,Sync!$L1524&lt;=99991231),RIGHT("0000"&amp;INT(Sync!$L1524/10000),4)&amp;"/"&amp;RIGHT("00"&amp;INT(MOD(Sync!$L1524,10000)/100),2)&amp;"/"&amp;RIGHT("00"&amp;MOD(Sync!$L1524,100),2),""),IFERROR(RIGHT("0000"&amp;VALUE(TRIM(LEFT(Sync!$L1524,FIND("/",Sync!$L1524)-1))),4)&amp;"/"&amp;RIGHT("00"&amp;VALUE(TRIM(LEFT(MID(Sync!$L1524,FIND("/",Sync!$L1524)+1,20),FIND("/",MID(Sync!$L1524,FIND("/",Sync!$L1524)+1,20))-1))),2)&amp;"/"&amp;RIGHT("00"&amp;VALUE(TRIM(MID(MID(Sync!$L1524,FIND("/",Sync!$L1524)+1,20),FIND("/",MID(Sync!$L1524,FIND("/",Sync!$L1524)+1,20))+1,20))),2),"")))</f>
        <v/>
      </c>
    </row>
    <row r="1525" spans="13:14" x14ac:dyDescent="0.2">
      <c r="M1525" t="str">
        <f>IF(Sync!$M1525&lt;&gt;"پاس چک","",IF(Sync!$P1525="","",Sync!$P1525))</f>
        <v/>
      </c>
      <c r="N1525" t="str">
        <f>IF($M1525="","",IF(ISNUMBER(Sync!$L1525),IF(AND(Sync!$L1525&gt;=10000101,Sync!$L1525&lt;=99991231),RIGHT("0000"&amp;INT(Sync!$L1525/10000),4)&amp;"/"&amp;RIGHT("00"&amp;INT(MOD(Sync!$L1525,10000)/100),2)&amp;"/"&amp;RIGHT("00"&amp;MOD(Sync!$L1525,100),2),""),IFERROR(RIGHT("0000"&amp;VALUE(TRIM(LEFT(Sync!$L1525,FIND("/",Sync!$L1525)-1))),4)&amp;"/"&amp;RIGHT("00"&amp;VALUE(TRIM(LEFT(MID(Sync!$L1525,FIND("/",Sync!$L1525)+1,20),FIND("/",MID(Sync!$L1525,FIND("/",Sync!$L1525)+1,20))-1))),2)&amp;"/"&amp;RIGHT("00"&amp;VALUE(TRIM(MID(MID(Sync!$L1525,FIND("/",Sync!$L1525)+1,20),FIND("/",MID(Sync!$L1525,FIND("/",Sync!$L1525)+1,20))+1,20))),2),"")))</f>
        <v/>
      </c>
    </row>
    <row r="1526" spans="13:14" x14ac:dyDescent="0.2">
      <c r="M1526" t="str">
        <f>IF(Sync!$M1526&lt;&gt;"پاس چک","",IF(Sync!$P1526="","",Sync!$P1526))</f>
        <v/>
      </c>
      <c r="N1526" t="str">
        <f>IF($M1526="","",IF(ISNUMBER(Sync!$L1526),IF(AND(Sync!$L1526&gt;=10000101,Sync!$L1526&lt;=99991231),RIGHT("0000"&amp;INT(Sync!$L1526/10000),4)&amp;"/"&amp;RIGHT("00"&amp;INT(MOD(Sync!$L1526,10000)/100),2)&amp;"/"&amp;RIGHT("00"&amp;MOD(Sync!$L1526,100),2),""),IFERROR(RIGHT("0000"&amp;VALUE(TRIM(LEFT(Sync!$L1526,FIND("/",Sync!$L1526)-1))),4)&amp;"/"&amp;RIGHT("00"&amp;VALUE(TRIM(LEFT(MID(Sync!$L1526,FIND("/",Sync!$L1526)+1,20),FIND("/",MID(Sync!$L1526,FIND("/",Sync!$L1526)+1,20))-1))),2)&amp;"/"&amp;RIGHT("00"&amp;VALUE(TRIM(MID(MID(Sync!$L1526,FIND("/",Sync!$L1526)+1,20),FIND("/",MID(Sync!$L1526,FIND("/",Sync!$L1526)+1,20))+1,20))),2),"")))</f>
        <v/>
      </c>
    </row>
    <row r="1527" spans="13:14" x14ac:dyDescent="0.2">
      <c r="M1527" t="str">
        <f>IF(Sync!$M1527&lt;&gt;"پاس چک","",IF(Sync!$P1527="","",Sync!$P1527))</f>
        <v/>
      </c>
      <c r="N1527" t="str">
        <f>IF($M1527="","",IF(ISNUMBER(Sync!$L1527),IF(AND(Sync!$L1527&gt;=10000101,Sync!$L1527&lt;=99991231),RIGHT("0000"&amp;INT(Sync!$L1527/10000),4)&amp;"/"&amp;RIGHT("00"&amp;INT(MOD(Sync!$L1527,10000)/100),2)&amp;"/"&amp;RIGHT("00"&amp;MOD(Sync!$L1527,100),2),""),IFERROR(RIGHT("0000"&amp;VALUE(TRIM(LEFT(Sync!$L1527,FIND("/",Sync!$L1527)-1))),4)&amp;"/"&amp;RIGHT("00"&amp;VALUE(TRIM(LEFT(MID(Sync!$L1527,FIND("/",Sync!$L1527)+1,20),FIND("/",MID(Sync!$L1527,FIND("/",Sync!$L1527)+1,20))-1))),2)&amp;"/"&amp;RIGHT("00"&amp;VALUE(TRIM(MID(MID(Sync!$L1527,FIND("/",Sync!$L1527)+1,20),FIND("/",MID(Sync!$L1527,FIND("/",Sync!$L1527)+1,20))+1,20))),2),"")))</f>
        <v/>
      </c>
    </row>
    <row r="1528" spans="13:14" x14ac:dyDescent="0.2">
      <c r="M1528" t="str">
        <f>IF(Sync!$M1528&lt;&gt;"پاس چک","",IF(Sync!$P1528="","",Sync!$P1528))</f>
        <v/>
      </c>
      <c r="N1528" t="str">
        <f>IF($M1528="","",IF(ISNUMBER(Sync!$L1528),IF(AND(Sync!$L1528&gt;=10000101,Sync!$L1528&lt;=99991231),RIGHT("0000"&amp;INT(Sync!$L1528/10000),4)&amp;"/"&amp;RIGHT("00"&amp;INT(MOD(Sync!$L1528,10000)/100),2)&amp;"/"&amp;RIGHT("00"&amp;MOD(Sync!$L1528,100),2),""),IFERROR(RIGHT("0000"&amp;VALUE(TRIM(LEFT(Sync!$L1528,FIND("/",Sync!$L1528)-1))),4)&amp;"/"&amp;RIGHT("00"&amp;VALUE(TRIM(LEFT(MID(Sync!$L1528,FIND("/",Sync!$L1528)+1,20),FIND("/",MID(Sync!$L1528,FIND("/",Sync!$L1528)+1,20))-1))),2)&amp;"/"&amp;RIGHT("00"&amp;VALUE(TRIM(MID(MID(Sync!$L1528,FIND("/",Sync!$L1528)+1,20),FIND("/",MID(Sync!$L1528,FIND("/",Sync!$L1528)+1,20))+1,20))),2),"")))</f>
        <v/>
      </c>
    </row>
    <row r="1529" spans="13:14" x14ac:dyDescent="0.2">
      <c r="M1529" t="str">
        <f>IF(Sync!$M1529&lt;&gt;"پاس چک","",IF(Sync!$P1529="","",Sync!$P1529))</f>
        <v/>
      </c>
      <c r="N1529" t="str">
        <f>IF($M1529="","",IF(ISNUMBER(Sync!$L1529),IF(AND(Sync!$L1529&gt;=10000101,Sync!$L1529&lt;=99991231),RIGHT("0000"&amp;INT(Sync!$L1529/10000),4)&amp;"/"&amp;RIGHT("00"&amp;INT(MOD(Sync!$L1529,10000)/100),2)&amp;"/"&amp;RIGHT("00"&amp;MOD(Sync!$L1529,100),2),""),IFERROR(RIGHT("0000"&amp;VALUE(TRIM(LEFT(Sync!$L1529,FIND("/",Sync!$L1529)-1))),4)&amp;"/"&amp;RIGHT("00"&amp;VALUE(TRIM(LEFT(MID(Sync!$L1529,FIND("/",Sync!$L1529)+1,20),FIND("/",MID(Sync!$L1529,FIND("/",Sync!$L1529)+1,20))-1))),2)&amp;"/"&amp;RIGHT("00"&amp;VALUE(TRIM(MID(MID(Sync!$L1529,FIND("/",Sync!$L1529)+1,20),FIND("/",MID(Sync!$L1529,FIND("/",Sync!$L1529)+1,20))+1,20))),2),"")))</f>
        <v/>
      </c>
    </row>
    <row r="1530" spans="13:14" x14ac:dyDescent="0.2">
      <c r="M1530" t="str">
        <f>IF(Sync!$M1530&lt;&gt;"پاس چک","",IF(Sync!$P1530="","",Sync!$P1530))</f>
        <v/>
      </c>
      <c r="N1530" t="str">
        <f>IF($M1530="","",IF(ISNUMBER(Sync!$L1530),IF(AND(Sync!$L1530&gt;=10000101,Sync!$L1530&lt;=99991231),RIGHT("0000"&amp;INT(Sync!$L1530/10000),4)&amp;"/"&amp;RIGHT("00"&amp;INT(MOD(Sync!$L1530,10000)/100),2)&amp;"/"&amp;RIGHT("00"&amp;MOD(Sync!$L1530,100),2),""),IFERROR(RIGHT("0000"&amp;VALUE(TRIM(LEFT(Sync!$L1530,FIND("/",Sync!$L1530)-1))),4)&amp;"/"&amp;RIGHT("00"&amp;VALUE(TRIM(LEFT(MID(Sync!$L1530,FIND("/",Sync!$L1530)+1,20),FIND("/",MID(Sync!$L1530,FIND("/",Sync!$L1530)+1,20))-1))),2)&amp;"/"&amp;RIGHT("00"&amp;VALUE(TRIM(MID(MID(Sync!$L1530,FIND("/",Sync!$L1530)+1,20),FIND("/",MID(Sync!$L1530,FIND("/",Sync!$L1530)+1,20))+1,20))),2),"")))</f>
        <v/>
      </c>
    </row>
    <row r="1531" spans="13:14" x14ac:dyDescent="0.2">
      <c r="M1531" t="str">
        <f>IF(Sync!$M1531&lt;&gt;"پاس چک","",IF(Sync!$P1531="","",Sync!$P1531))</f>
        <v/>
      </c>
      <c r="N1531" t="str">
        <f>IF($M1531="","",IF(ISNUMBER(Sync!$L1531),IF(AND(Sync!$L1531&gt;=10000101,Sync!$L1531&lt;=99991231),RIGHT("0000"&amp;INT(Sync!$L1531/10000),4)&amp;"/"&amp;RIGHT("00"&amp;INT(MOD(Sync!$L1531,10000)/100),2)&amp;"/"&amp;RIGHT("00"&amp;MOD(Sync!$L1531,100),2),""),IFERROR(RIGHT("0000"&amp;VALUE(TRIM(LEFT(Sync!$L1531,FIND("/",Sync!$L1531)-1))),4)&amp;"/"&amp;RIGHT("00"&amp;VALUE(TRIM(LEFT(MID(Sync!$L1531,FIND("/",Sync!$L1531)+1,20),FIND("/",MID(Sync!$L1531,FIND("/",Sync!$L1531)+1,20))-1))),2)&amp;"/"&amp;RIGHT("00"&amp;VALUE(TRIM(MID(MID(Sync!$L1531,FIND("/",Sync!$L1531)+1,20),FIND("/",MID(Sync!$L1531,FIND("/",Sync!$L1531)+1,20))+1,20))),2),"")))</f>
        <v/>
      </c>
    </row>
    <row r="1532" spans="13:14" x14ac:dyDescent="0.2">
      <c r="M1532" t="str">
        <f>IF(Sync!$M1532&lt;&gt;"پاس چک","",IF(Sync!$P1532="","",Sync!$P1532))</f>
        <v/>
      </c>
      <c r="N1532" t="str">
        <f>IF($M1532="","",IF(ISNUMBER(Sync!$L1532),IF(AND(Sync!$L1532&gt;=10000101,Sync!$L1532&lt;=99991231),RIGHT("0000"&amp;INT(Sync!$L1532/10000),4)&amp;"/"&amp;RIGHT("00"&amp;INT(MOD(Sync!$L1532,10000)/100),2)&amp;"/"&amp;RIGHT("00"&amp;MOD(Sync!$L1532,100),2),""),IFERROR(RIGHT("0000"&amp;VALUE(TRIM(LEFT(Sync!$L1532,FIND("/",Sync!$L1532)-1))),4)&amp;"/"&amp;RIGHT("00"&amp;VALUE(TRIM(LEFT(MID(Sync!$L1532,FIND("/",Sync!$L1532)+1,20),FIND("/",MID(Sync!$L1532,FIND("/",Sync!$L1532)+1,20))-1))),2)&amp;"/"&amp;RIGHT("00"&amp;VALUE(TRIM(MID(MID(Sync!$L1532,FIND("/",Sync!$L1532)+1,20),FIND("/",MID(Sync!$L1532,FIND("/",Sync!$L1532)+1,20))+1,20))),2),"")))</f>
        <v/>
      </c>
    </row>
    <row r="1533" spans="13:14" x14ac:dyDescent="0.2">
      <c r="M1533" t="str">
        <f>IF(Sync!$M1533&lt;&gt;"پاس چک","",IF(Sync!$P1533="","",Sync!$P1533))</f>
        <v/>
      </c>
      <c r="N1533" t="str">
        <f>IF($M1533="","",IF(ISNUMBER(Sync!$L1533),IF(AND(Sync!$L1533&gt;=10000101,Sync!$L1533&lt;=99991231),RIGHT("0000"&amp;INT(Sync!$L1533/10000),4)&amp;"/"&amp;RIGHT("00"&amp;INT(MOD(Sync!$L1533,10000)/100),2)&amp;"/"&amp;RIGHT("00"&amp;MOD(Sync!$L1533,100),2),""),IFERROR(RIGHT("0000"&amp;VALUE(TRIM(LEFT(Sync!$L1533,FIND("/",Sync!$L1533)-1))),4)&amp;"/"&amp;RIGHT("00"&amp;VALUE(TRIM(LEFT(MID(Sync!$L1533,FIND("/",Sync!$L1533)+1,20),FIND("/",MID(Sync!$L1533,FIND("/",Sync!$L1533)+1,20))-1))),2)&amp;"/"&amp;RIGHT("00"&amp;VALUE(TRIM(MID(MID(Sync!$L1533,FIND("/",Sync!$L1533)+1,20),FIND("/",MID(Sync!$L1533,FIND("/",Sync!$L1533)+1,20))+1,20))),2),"")))</f>
        <v/>
      </c>
    </row>
    <row r="1534" spans="13:14" x14ac:dyDescent="0.2">
      <c r="M1534" t="str">
        <f>IF(Sync!$M1534&lt;&gt;"پاس چک","",IF(Sync!$P1534="","",Sync!$P1534))</f>
        <v/>
      </c>
      <c r="N1534" t="str">
        <f>IF($M1534="","",IF(ISNUMBER(Sync!$L1534),IF(AND(Sync!$L1534&gt;=10000101,Sync!$L1534&lt;=99991231),RIGHT("0000"&amp;INT(Sync!$L1534/10000),4)&amp;"/"&amp;RIGHT("00"&amp;INT(MOD(Sync!$L1534,10000)/100),2)&amp;"/"&amp;RIGHT("00"&amp;MOD(Sync!$L1534,100),2),""),IFERROR(RIGHT("0000"&amp;VALUE(TRIM(LEFT(Sync!$L1534,FIND("/",Sync!$L1534)-1))),4)&amp;"/"&amp;RIGHT("00"&amp;VALUE(TRIM(LEFT(MID(Sync!$L1534,FIND("/",Sync!$L1534)+1,20),FIND("/",MID(Sync!$L1534,FIND("/",Sync!$L1534)+1,20))-1))),2)&amp;"/"&amp;RIGHT("00"&amp;VALUE(TRIM(MID(MID(Sync!$L1534,FIND("/",Sync!$L1534)+1,20),FIND("/",MID(Sync!$L1534,FIND("/",Sync!$L1534)+1,20))+1,20))),2),"")))</f>
        <v/>
      </c>
    </row>
    <row r="1535" spans="13:14" x14ac:dyDescent="0.2">
      <c r="M1535" t="str">
        <f>IF(Sync!$M1535&lt;&gt;"پاس چک","",IF(Sync!$P1535="","",Sync!$P1535))</f>
        <v/>
      </c>
      <c r="N1535" t="str">
        <f>IF($M1535="","",IF(ISNUMBER(Sync!$L1535),IF(AND(Sync!$L1535&gt;=10000101,Sync!$L1535&lt;=99991231),RIGHT("0000"&amp;INT(Sync!$L1535/10000),4)&amp;"/"&amp;RIGHT("00"&amp;INT(MOD(Sync!$L1535,10000)/100),2)&amp;"/"&amp;RIGHT("00"&amp;MOD(Sync!$L1535,100),2),""),IFERROR(RIGHT("0000"&amp;VALUE(TRIM(LEFT(Sync!$L1535,FIND("/",Sync!$L1535)-1))),4)&amp;"/"&amp;RIGHT("00"&amp;VALUE(TRIM(LEFT(MID(Sync!$L1535,FIND("/",Sync!$L1535)+1,20),FIND("/",MID(Sync!$L1535,FIND("/",Sync!$L1535)+1,20))-1))),2)&amp;"/"&amp;RIGHT("00"&amp;VALUE(TRIM(MID(MID(Sync!$L1535,FIND("/",Sync!$L1535)+1,20),FIND("/",MID(Sync!$L1535,FIND("/",Sync!$L1535)+1,20))+1,20))),2),"")))</f>
        <v/>
      </c>
    </row>
    <row r="1536" spans="13:14" x14ac:dyDescent="0.2">
      <c r="M1536" t="str">
        <f>IF(Sync!$M1536&lt;&gt;"پاس چک","",IF(Sync!$P1536="","",Sync!$P1536))</f>
        <v/>
      </c>
      <c r="N1536" t="str">
        <f>IF($M1536="","",IF(ISNUMBER(Sync!$L1536),IF(AND(Sync!$L1536&gt;=10000101,Sync!$L1536&lt;=99991231),RIGHT("0000"&amp;INT(Sync!$L1536/10000),4)&amp;"/"&amp;RIGHT("00"&amp;INT(MOD(Sync!$L1536,10000)/100),2)&amp;"/"&amp;RIGHT("00"&amp;MOD(Sync!$L1536,100),2),""),IFERROR(RIGHT("0000"&amp;VALUE(TRIM(LEFT(Sync!$L1536,FIND("/",Sync!$L1536)-1))),4)&amp;"/"&amp;RIGHT("00"&amp;VALUE(TRIM(LEFT(MID(Sync!$L1536,FIND("/",Sync!$L1536)+1,20),FIND("/",MID(Sync!$L1536,FIND("/",Sync!$L1536)+1,20))-1))),2)&amp;"/"&amp;RIGHT("00"&amp;VALUE(TRIM(MID(MID(Sync!$L1536,FIND("/",Sync!$L1536)+1,20),FIND("/",MID(Sync!$L1536,FIND("/",Sync!$L1536)+1,20))+1,20))),2),"")))</f>
        <v/>
      </c>
    </row>
    <row r="1537" spans="13:14" x14ac:dyDescent="0.2">
      <c r="M1537" t="str">
        <f>IF(Sync!$M1537&lt;&gt;"پاس چک","",IF(Sync!$P1537="","",Sync!$P1537))</f>
        <v/>
      </c>
      <c r="N1537" t="str">
        <f>IF($M1537="","",IF(ISNUMBER(Sync!$L1537),IF(AND(Sync!$L1537&gt;=10000101,Sync!$L1537&lt;=99991231),RIGHT("0000"&amp;INT(Sync!$L1537/10000),4)&amp;"/"&amp;RIGHT("00"&amp;INT(MOD(Sync!$L1537,10000)/100),2)&amp;"/"&amp;RIGHT("00"&amp;MOD(Sync!$L1537,100),2),""),IFERROR(RIGHT("0000"&amp;VALUE(TRIM(LEFT(Sync!$L1537,FIND("/",Sync!$L1537)-1))),4)&amp;"/"&amp;RIGHT("00"&amp;VALUE(TRIM(LEFT(MID(Sync!$L1537,FIND("/",Sync!$L1537)+1,20),FIND("/",MID(Sync!$L1537,FIND("/",Sync!$L1537)+1,20))-1))),2)&amp;"/"&amp;RIGHT("00"&amp;VALUE(TRIM(MID(MID(Sync!$L1537,FIND("/",Sync!$L1537)+1,20),FIND("/",MID(Sync!$L1537,FIND("/",Sync!$L1537)+1,20))+1,20))),2),"")))</f>
        <v/>
      </c>
    </row>
    <row r="1538" spans="13:14" x14ac:dyDescent="0.2">
      <c r="M1538" t="str">
        <f>IF(Sync!$M1538&lt;&gt;"پاس چک","",IF(Sync!$P1538="","",Sync!$P1538))</f>
        <v/>
      </c>
      <c r="N1538" t="str">
        <f>IF($M1538="","",IF(ISNUMBER(Sync!$L1538),IF(AND(Sync!$L1538&gt;=10000101,Sync!$L1538&lt;=99991231),RIGHT("0000"&amp;INT(Sync!$L1538/10000),4)&amp;"/"&amp;RIGHT("00"&amp;INT(MOD(Sync!$L1538,10000)/100),2)&amp;"/"&amp;RIGHT("00"&amp;MOD(Sync!$L1538,100),2),""),IFERROR(RIGHT("0000"&amp;VALUE(TRIM(LEFT(Sync!$L1538,FIND("/",Sync!$L1538)-1))),4)&amp;"/"&amp;RIGHT("00"&amp;VALUE(TRIM(LEFT(MID(Sync!$L1538,FIND("/",Sync!$L1538)+1,20),FIND("/",MID(Sync!$L1538,FIND("/",Sync!$L1538)+1,20))-1))),2)&amp;"/"&amp;RIGHT("00"&amp;VALUE(TRIM(MID(MID(Sync!$L1538,FIND("/",Sync!$L1538)+1,20),FIND("/",MID(Sync!$L1538,FIND("/",Sync!$L1538)+1,20))+1,20))),2),"")))</f>
        <v/>
      </c>
    </row>
    <row r="1539" spans="13:14" x14ac:dyDescent="0.2">
      <c r="M1539" t="str">
        <f>IF(Sync!$M1539&lt;&gt;"پاس چک","",IF(Sync!$P1539="","",Sync!$P1539))</f>
        <v/>
      </c>
      <c r="N1539" t="str">
        <f>IF($M1539="","",IF(ISNUMBER(Sync!$L1539),IF(AND(Sync!$L1539&gt;=10000101,Sync!$L1539&lt;=99991231),RIGHT("0000"&amp;INT(Sync!$L1539/10000),4)&amp;"/"&amp;RIGHT("00"&amp;INT(MOD(Sync!$L1539,10000)/100),2)&amp;"/"&amp;RIGHT("00"&amp;MOD(Sync!$L1539,100),2),""),IFERROR(RIGHT("0000"&amp;VALUE(TRIM(LEFT(Sync!$L1539,FIND("/",Sync!$L1539)-1))),4)&amp;"/"&amp;RIGHT("00"&amp;VALUE(TRIM(LEFT(MID(Sync!$L1539,FIND("/",Sync!$L1539)+1,20),FIND("/",MID(Sync!$L1539,FIND("/",Sync!$L1539)+1,20))-1))),2)&amp;"/"&amp;RIGHT("00"&amp;VALUE(TRIM(MID(MID(Sync!$L1539,FIND("/",Sync!$L1539)+1,20),FIND("/",MID(Sync!$L1539,FIND("/",Sync!$L1539)+1,20))+1,20))),2),"")))</f>
        <v/>
      </c>
    </row>
    <row r="1540" spans="13:14" x14ac:dyDescent="0.2">
      <c r="M1540" t="str">
        <f>IF(Sync!$M1540&lt;&gt;"پاس چک","",IF(Sync!$P1540="","",Sync!$P1540))</f>
        <v/>
      </c>
      <c r="N1540" t="str">
        <f>IF($M1540="","",IF(ISNUMBER(Sync!$L1540),IF(AND(Sync!$L1540&gt;=10000101,Sync!$L1540&lt;=99991231),RIGHT("0000"&amp;INT(Sync!$L1540/10000),4)&amp;"/"&amp;RIGHT("00"&amp;INT(MOD(Sync!$L1540,10000)/100),2)&amp;"/"&amp;RIGHT("00"&amp;MOD(Sync!$L1540,100),2),""),IFERROR(RIGHT("0000"&amp;VALUE(TRIM(LEFT(Sync!$L1540,FIND("/",Sync!$L1540)-1))),4)&amp;"/"&amp;RIGHT("00"&amp;VALUE(TRIM(LEFT(MID(Sync!$L1540,FIND("/",Sync!$L1540)+1,20),FIND("/",MID(Sync!$L1540,FIND("/",Sync!$L1540)+1,20))-1))),2)&amp;"/"&amp;RIGHT("00"&amp;VALUE(TRIM(MID(MID(Sync!$L1540,FIND("/",Sync!$L1540)+1,20),FIND("/",MID(Sync!$L1540,FIND("/",Sync!$L1540)+1,20))+1,20))),2),"")))</f>
        <v/>
      </c>
    </row>
    <row r="1541" spans="13:14" x14ac:dyDescent="0.2">
      <c r="M1541" t="str">
        <f>IF(Sync!$M1541&lt;&gt;"پاس چک","",IF(Sync!$P1541="","",Sync!$P1541))</f>
        <v/>
      </c>
      <c r="N1541" t="str">
        <f>IF($M1541="","",IF(ISNUMBER(Sync!$L1541),IF(AND(Sync!$L1541&gt;=10000101,Sync!$L1541&lt;=99991231),RIGHT("0000"&amp;INT(Sync!$L1541/10000),4)&amp;"/"&amp;RIGHT("00"&amp;INT(MOD(Sync!$L1541,10000)/100),2)&amp;"/"&amp;RIGHT("00"&amp;MOD(Sync!$L1541,100),2),""),IFERROR(RIGHT("0000"&amp;VALUE(TRIM(LEFT(Sync!$L1541,FIND("/",Sync!$L1541)-1))),4)&amp;"/"&amp;RIGHT("00"&amp;VALUE(TRIM(LEFT(MID(Sync!$L1541,FIND("/",Sync!$L1541)+1,20),FIND("/",MID(Sync!$L1541,FIND("/",Sync!$L1541)+1,20))-1))),2)&amp;"/"&amp;RIGHT("00"&amp;VALUE(TRIM(MID(MID(Sync!$L1541,FIND("/",Sync!$L1541)+1,20),FIND("/",MID(Sync!$L1541,FIND("/",Sync!$L1541)+1,20))+1,20))),2),"")))</f>
        <v/>
      </c>
    </row>
    <row r="1542" spans="13:14" x14ac:dyDescent="0.2">
      <c r="M1542" t="str">
        <f>IF(Sync!$M1542&lt;&gt;"پاس چک","",IF(Sync!$P1542="","",Sync!$P1542))</f>
        <v/>
      </c>
      <c r="N1542" t="str">
        <f>IF($M1542="","",IF(ISNUMBER(Sync!$L1542),IF(AND(Sync!$L1542&gt;=10000101,Sync!$L1542&lt;=99991231),RIGHT("0000"&amp;INT(Sync!$L1542/10000),4)&amp;"/"&amp;RIGHT("00"&amp;INT(MOD(Sync!$L1542,10000)/100),2)&amp;"/"&amp;RIGHT("00"&amp;MOD(Sync!$L1542,100),2),""),IFERROR(RIGHT("0000"&amp;VALUE(TRIM(LEFT(Sync!$L1542,FIND("/",Sync!$L1542)-1))),4)&amp;"/"&amp;RIGHT("00"&amp;VALUE(TRIM(LEFT(MID(Sync!$L1542,FIND("/",Sync!$L1542)+1,20),FIND("/",MID(Sync!$L1542,FIND("/",Sync!$L1542)+1,20))-1))),2)&amp;"/"&amp;RIGHT("00"&amp;VALUE(TRIM(MID(MID(Sync!$L1542,FIND("/",Sync!$L1542)+1,20),FIND("/",MID(Sync!$L1542,FIND("/",Sync!$L1542)+1,20))+1,20))),2),"")))</f>
        <v/>
      </c>
    </row>
    <row r="1543" spans="13:14" x14ac:dyDescent="0.2">
      <c r="M1543" t="str">
        <f>IF(Sync!$M1543&lt;&gt;"پاس چک","",IF(Sync!$P1543="","",Sync!$P1543))</f>
        <v/>
      </c>
      <c r="N1543" t="str">
        <f>IF($M1543="","",IF(ISNUMBER(Sync!$L1543),IF(AND(Sync!$L1543&gt;=10000101,Sync!$L1543&lt;=99991231),RIGHT("0000"&amp;INT(Sync!$L1543/10000),4)&amp;"/"&amp;RIGHT("00"&amp;INT(MOD(Sync!$L1543,10000)/100),2)&amp;"/"&amp;RIGHT("00"&amp;MOD(Sync!$L1543,100),2),""),IFERROR(RIGHT("0000"&amp;VALUE(TRIM(LEFT(Sync!$L1543,FIND("/",Sync!$L1543)-1))),4)&amp;"/"&amp;RIGHT("00"&amp;VALUE(TRIM(LEFT(MID(Sync!$L1543,FIND("/",Sync!$L1543)+1,20),FIND("/",MID(Sync!$L1543,FIND("/",Sync!$L1543)+1,20))-1))),2)&amp;"/"&amp;RIGHT("00"&amp;VALUE(TRIM(MID(MID(Sync!$L1543,FIND("/",Sync!$L1543)+1,20),FIND("/",MID(Sync!$L1543,FIND("/",Sync!$L1543)+1,20))+1,20))),2),"")))</f>
        <v/>
      </c>
    </row>
    <row r="1544" spans="13:14" x14ac:dyDescent="0.2">
      <c r="M1544" t="str">
        <f>IF(Sync!$M1544&lt;&gt;"پاس چک","",IF(Sync!$P1544="","",Sync!$P1544))</f>
        <v/>
      </c>
      <c r="N1544" t="str">
        <f>IF($M1544="","",IF(ISNUMBER(Sync!$L1544),IF(AND(Sync!$L1544&gt;=10000101,Sync!$L1544&lt;=99991231),RIGHT("0000"&amp;INT(Sync!$L1544/10000),4)&amp;"/"&amp;RIGHT("00"&amp;INT(MOD(Sync!$L1544,10000)/100),2)&amp;"/"&amp;RIGHT("00"&amp;MOD(Sync!$L1544,100),2),""),IFERROR(RIGHT("0000"&amp;VALUE(TRIM(LEFT(Sync!$L1544,FIND("/",Sync!$L1544)-1))),4)&amp;"/"&amp;RIGHT("00"&amp;VALUE(TRIM(LEFT(MID(Sync!$L1544,FIND("/",Sync!$L1544)+1,20),FIND("/",MID(Sync!$L1544,FIND("/",Sync!$L1544)+1,20))-1))),2)&amp;"/"&amp;RIGHT("00"&amp;VALUE(TRIM(MID(MID(Sync!$L1544,FIND("/",Sync!$L1544)+1,20),FIND("/",MID(Sync!$L1544,FIND("/",Sync!$L1544)+1,20))+1,20))),2),"")))</f>
        <v/>
      </c>
    </row>
    <row r="1545" spans="13:14" x14ac:dyDescent="0.2">
      <c r="M1545" t="str">
        <f>IF(Sync!$M1545&lt;&gt;"پاس چک","",IF(Sync!$P1545="","",Sync!$P1545))</f>
        <v/>
      </c>
      <c r="N1545" t="str">
        <f>IF($M1545="","",IF(ISNUMBER(Sync!$L1545),IF(AND(Sync!$L1545&gt;=10000101,Sync!$L1545&lt;=99991231),RIGHT("0000"&amp;INT(Sync!$L1545/10000),4)&amp;"/"&amp;RIGHT("00"&amp;INT(MOD(Sync!$L1545,10000)/100),2)&amp;"/"&amp;RIGHT("00"&amp;MOD(Sync!$L1545,100),2),""),IFERROR(RIGHT("0000"&amp;VALUE(TRIM(LEFT(Sync!$L1545,FIND("/",Sync!$L1545)-1))),4)&amp;"/"&amp;RIGHT("00"&amp;VALUE(TRIM(LEFT(MID(Sync!$L1545,FIND("/",Sync!$L1545)+1,20),FIND("/",MID(Sync!$L1545,FIND("/",Sync!$L1545)+1,20))-1))),2)&amp;"/"&amp;RIGHT("00"&amp;VALUE(TRIM(MID(MID(Sync!$L1545,FIND("/",Sync!$L1545)+1,20),FIND("/",MID(Sync!$L1545,FIND("/",Sync!$L1545)+1,20))+1,20))),2),"")))</f>
        <v/>
      </c>
    </row>
    <row r="1546" spans="13:14" x14ac:dyDescent="0.2">
      <c r="M1546" t="str">
        <f>IF(Sync!$M1546&lt;&gt;"پاس چک","",IF(Sync!$P1546="","",Sync!$P1546))</f>
        <v/>
      </c>
      <c r="N1546" t="str">
        <f>IF($M1546="","",IF(ISNUMBER(Sync!$L1546),IF(AND(Sync!$L1546&gt;=10000101,Sync!$L1546&lt;=99991231),RIGHT("0000"&amp;INT(Sync!$L1546/10000),4)&amp;"/"&amp;RIGHT("00"&amp;INT(MOD(Sync!$L1546,10000)/100),2)&amp;"/"&amp;RIGHT("00"&amp;MOD(Sync!$L1546,100),2),""),IFERROR(RIGHT("0000"&amp;VALUE(TRIM(LEFT(Sync!$L1546,FIND("/",Sync!$L1546)-1))),4)&amp;"/"&amp;RIGHT("00"&amp;VALUE(TRIM(LEFT(MID(Sync!$L1546,FIND("/",Sync!$L1546)+1,20),FIND("/",MID(Sync!$L1546,FIND("/",Sync!$L1546)+1,20))-1))),2)&amp;"/"&amp;RIGHT("00"&amp;VALUE(TRIM(MID(MID(Sync!$L1546,FIND("/",Sync!$L1546)+1,20),FIND("/",MID(Sync!$L1546,FIND("/",Sync!$L1546)+1,20))+1,20))),2),"")))</f>
        <v/>
      </c>
    </row>
    <row r="1547" spans="13:14" x14ac:dyDescent="0.2">
      <c r="M1547" t="str">
        <f>IF(Sync!$M1547&lt;&gt;"پاس چک","",IF(Sync!$P1547="","",Sync!$P1547))</f>
        <v/>
      </c>
      <c r="N1547" t="str">
        <f>IF($M1547="","",IF(ISNUMBER(Sync!$L1547),IF(AND(Sync!$L1547&gt;=10000101,Sync!$L1547&lt;=99991231),RIGHT("0000"&amp;INT(Sync!$L1547/10000),4)&amp;"/"&amp;RIGHT("00"&amp;INT(MOD(Sync!$L1547,10000)/100),2)&amp;"/"&amp;RIGHT("00"&amp;MOD(Sync!$L1547,100),2),""),IFERROR(RIGHT("0000"&amp;VALUE(TRIM(LEFT(Sync!$L1547,FIND("/",Sync!$L1547)-1))),4)&amp;"/"&amp;RIGHT("00"&amp;VALUE(TRIM(LEFT(MID(Sync!$L1547,FIND("/",Sync!$L1547)+1,20),FIND("/",MID(Sync!$L1547,FIND("/",Sync!$L1547)+1,20))-1))),2)&amp;"/"&amp;RIGHT("00"&amp;VALUE(TRIM(MID(MID(Sync!$L1547,FIND("/",Sync!$L1547)+1,20),FIND("/",MID(Sync!$L1547,FIND("/",Sync!$L1547)+1,20))+1,20))),2),"")))</f>
        <v/>
      </c>
    </row>
    <row r="1548" spans="13:14" x14ac:dyDescent="0.2">
      <c r="M1548" t="str">
        <f>IF(Sync!$M1548&lt;&gt;"پاس چک","",IF(Sync!$P1548="","",Sync!$P1548))</f>
        <v/>
      </c>
      <c r="N1548" t="str">
        <f>IF($M1548="","",IF(ISNUMBER(Sync!$L1548),IF(AND(Sync!$L1548&gt;=10000101,Sync!$L1548&lt;=99991231),RIGHT("0000"&amp;INT(Sync!$L1548/10000),4)&amp;"/"&amp;RIGHT("00"&amp;INT(MOD(Sync!$L1548,10000)/100),2)&amp;"/"&amp;RIGHT("00"&amp;MOD(Sync!$L1548,100),2),""),IFERROR(RIGHT("0000"&amp;VALUE(TRIM(LEFT(Sync!$L1548,FIND("/",Sync!$L1548)-1))),4)&amp;"/"&amp;RIGHT("00"&amp;VALUE(TRIM(LEFT(MID(Sync!$L1548,FIND("/",Sync!$L1548)+1,20),FIND("/",MID(Sync!$L1548,FIND("/",Sync!$L1548)+1,20))-1))),2)&amp;"/"&amp;RIGHT("00"&amp;VALUE(TRIM(MID(MID(Sync!$L1548,FIND("/",Sync!$L1548)+1,20),FIND("/",MID(Sync!$L1548,FIND("/",Sync!$L1548)+1,20))+1,20))),2),"")))</f>
        <v/>
      </c>
    </row>
    <row r="1549" spans="13:14" x14ac:dyDescent="0.2">
      <c r="M1549" t="str">
        <f>IF(Sync!$M1549&lt;&gt;"پاس چک","",IF(Sync!$P1549="","",Sync!$P1549))</f>
        <v/>
      </c>
      <c r="N1549" t="str">
        <f>IF($M1549="","",IF(ISNUMBER(Sync!$L1549),IF(AND(Sync!$L1549&gt;=10000101,Sync!$L1549&lt;=99991231),RIGHT("0000"&amp;INT(Sync!$L1549/10000),4)&amp;"/"&amp;RIGHT("00"&amp;INT(MOD(Sync!$L1549,10000)/100),2)&amp;"/"&amp;RIGHT("00"&amp;MOD(Sync!$L1549,100),2),""),IFERROR(RIGHT("0000"&amp;VALUE(TRIM(LEFT(Sync!$L1549,FIND("/",Sync!$L1549)-1))),4)&amp;"/"&amp;RIGHT("00"&amp;VALUE(TRIM(LEFT(MID(Sync!$L1549,FIND("/",Sync!$L1549)+1,20),FIND("/",MID(Sync!$L1549,FIND("/",Sync!$L1549)+1,20))-1))),2)&amp;"/"&amp;RIGHT("00"&amp;VALUE(TRIM(MID(MID(Sync!$L1549,FIND("/",Sync!$L1549)+1,20),FIND("/",MID(Sync!$L1549,FIND("/",Sync!$L1549)+1,20))+1,20))),2),"")))</f>
        <v/>
      </c>
    </row>
    <row r="1550" spans="13:14" x14ac:dyDescent="0.2">
      <c r="M1550" t="str">
        <f>IF(Sync!$M1550&lt;&gt;"پاس چک","",IF(Sync!$P1550="","",Sync!$P1550))</f>
        <v/>
      </c>
      <c r="N1550" t="str">
        <f>IF($M1550="","",IF(ISNUMBER(Sync!$L1550),IF(AND(Sync!$L1550&gt;=10000101,Sync!$L1550&lt;=99991231),RIGHT("0000"&amp;INT(Sync!$L1550/10000),4)&amp;"/"&amp;RIGHT("00"&amp;INT(MOD(Sync!$L1550,10000)/100),2)&amp;"/"&amp;RIGHT("00"&amp;MOD(Sync!$L1550,100),2),""),IFERROR(RIGHT("0000"&amp;VALUE(TRIM(LEFT(Sync!$L1550,FIND("/",Sync!$L1550)-1))),4)&amp;"/"&amp;RIGHT("00"&amp;VALUE(TRIM(LEFT(MID(Sync!$L1550,FIND("/",Sync!$L1550)+1,20),FIND("/",MID(Sync!$L1550,FIND("/",Sync!$L1550)+1,20))-1))),2)&amp;"/"&amp;RIGHT("00"&amp;VALUE(TRIM(MID(MID(Sync!$L1550,FIND("/",Sync!$L1550)+1,20),FIND("/",MID(Sync!$L1550,FIND("/",Sync!$L1550)+1,20))+1,20))),2),"")))</f>
        <v/>
      </c>
    </row>
    <row r="1551" spans="13:14" x14ac:dyDescent="0.2">
      <c r="M1551" t="str">
        <f>IF(Sync!$M1551&lt;&gt;"پاس چک","",IF(Sync!$P1551="","",Sync!$P1551))</f>
        <v/>
      </c>
      <c r="N1551" t="str">
        <f>IF($M1551="","",IF(ISNUMBER(Sync!$L1551),IF(AND(Sync!$L1551&gt;=10000101,Sync!$L1551&lt;=99991231),RIGHT("0000"&amp;INT(Sync!$L1551/10000),4)&amp;"/"&amp;RIGHT("00"&amp;INT(MOD(Sync!$L1551,10000)/100),2)&amp;"/"&amp;RIGHT("00"&amp;MOD(Sync!$L1551,100),2),""),IFERROR(RIGHT("0000"&amp;VALUE(TRIM(LEFT(Sync!$L1551,FIND("/",Sync!$L1551)-1))),4)&amp;"/"&amp;RIGHT("00"&amp;VALUE(TRIM(LEFT(MID(Sync!$L1551,FIND("/",Sync!$L1551)+1,20),FIND("/",MID(Sync!$L1551,FIND("/",Sync!$L1551)+1,20))-1))),2)&amp;"/"&amp;RIGHT("00"&amp;VALUE(TRIM(MID(MID(Sync!$L1551,FIND("/",Sync!$L1551)+1,20),FIND("/",MID(Sync!$L1551,FIND("/",Sync!$L1551)+1,20))+1,20))),2),"")))</f>
        <v/>
      </c>
    </row>
    <row r="1552" spans="13:14" x14ac:dyDescent="0.2">
      <c r="M1552" t="str">
        <f>IF(Sync!$M1552&lt;&gt;"پاس چک","",IF(Sync!$P1552="","",Sync!$P1552))</f>
        <v/>
      </c>
      <c r="N1552" t="str">
        <f>IF($M1552="","",IF(ISNUMBER(Sync!$L1552),IF(AND(Sync!$L1552&gt;=10000101,Sync!$L1552&lt;=99991231),RIGHT("0000"&amp;INT(Sync!$L1552/10000),4)&amp;"/"&amp;RIGHT("00"&amp;INT(MOD(Sync!$L1552,10000)/100),2)&amp;"/"&amp;RIGHT("00"&amp;MOD(Sync!$L1552,100),2),""),IFERROR(RIGHT("0000"&amp;VALUE(TRIM(LEFT(Sync!$L1552,FIND("/",Sync!$L1552)-1))),4)&amp;"/"&amp;RIGHT("00"&amp;VALUE(TRIM(LEFT(MID(Sync!$L1552,FIND("/",Sync!$L1552)+1,20),FIND("/",MID(Sync!$L1552,FIND("/",Sync!$L1552)+1,20))-1))),2)&amp;"/"&amp;RIGHT("00"&amp;VALUE(TRIM(MID(MID(Sync!$L1552,FIND("/",Sync!$L1552)+1,20),FIND("/",MID(Sync!$L1552,FIND("/",Sync!$L1552)+1,20))+1,20))),2),"")))</f>
        <v/>
      </c>
    </row>
    <row r="1553" spans="13:14" x14ac:dyDescent="0.2">
      <c r="M1553" t="str">
        <f>IF(Sync!$M1553&lt;&gt;"پاس چک","",IF(Sync!$P1553="","",Sync!$P1553))</f>
        <v/>
      </c>
      <c r="N1553" t="str">
        <f>IF($M1553="","",IF(ISNUMBER(Sync!$L1553),IF(AND(Sync!$L1553&gt;=10000101,Sync!$L1553&lt;=99991231),RIGHT("0000"&amp;INT(Sync!$L1553/10000),4)&amp;"/"&amp;RIGHT("00"&amp;INT(MOD(Sync!$L1553,10000)/100),2)&amp;"/"&amp;RIGHT("00"&amp;MOD(Sync!$L1553,100),2),""),IFERROR(RIGHT("0000"&amp;VALUE(TRIM(LEFT(Sync!$L1553,FIND("/",Sync!$L1553)-1))),4)&amp;"/"&amp;RIGHT("00"&amp;VALUE(TRIM(LEFT(MID(Sync!$L1553,FIND("/",Sync!$L1553)+1,20),FIND("/",MID(Sync!$L1553,FIND("/",Sync!$L1553)+1,20))-1))),2)&amp;"/"&amp;RIGHT("00"&amp;VALUE(TRIM(MID(MID(Sync!$L1553,FIND("/",Sync!$L1553)+1,20),FIND("/",MID(Sync!$L1553,FIND("/",Sync!$L1553)+1,20))+1,20))),2),"")))</f>
        <v/>
      </c>
    </row>
    <row r="1554" spans="13:14" x14ac:dyDescent="0.2">
      <c r="M1554" t="str">
        <f>IF(Sync!$M1554&lt;&gt;"پاس چک","",IF(Sync!$P1554="","",Sync!$P1554))</f>
        <v/>
      </c>
      <c r="N1554" t="str">
        <f>IF($M1554="","",IF(ISNUMBER(Sync!$L1554),IF(AND(Sync!$L1554&gt;=10000101,Sync!$L1554&lt;=99991231),RIGHT("0000"&amp;INT(Sync!$L1554/10000),4)&amp;"/"&amp;RIGHT("00"&amp;INT(MOD(Sync!$L1554,10000)/100),2)&amp;"/"&amp;RIGHT("00"&amp;MOD(Sync!$L1554,100),2),""),IFERROR(RIGHT("0000"&amp;VALUE(TRIM(LEFT(Sync!$L1554,FIND("/",Sync!$L1554)-1))),4)&amp;"/"&amp;RIGHT("00"&amp;VALUE(TRIM(LEFT(MID(Sync!$L1554,FIND("/",Sync!$L1554)+1,20),FIND("/",MID(Sync!$L1554,FIND("/",Sync!$L1554)+1,20))-1))),2)&amp;"/"&amp;RIGHT("00"&amp;VALUE(TRIM(MID(MID(Sync!$L1554,FIND("/",Sync!$L1554)+1,20),FIND("/",MID(Sync!$L1554,FIND("/",Sync!$L1554)+1,20))+1,20))),2),"")))</f>
        <v/>
      </c>
    </row>
    <row r="1555" spans="13:14" x14ac:dyDescent="0.2">
      <c r="M1555" t="str">
        <f>IF(Sync!$M1555&lt;&gt;"پاس چک","",IF(Sync!$P1555="","",Sync!$P1555))</f>
        <v/>
      </c>
      <c r="N1555" t="str">
        <f>IF($M1555="","",IF(ISNUMBER(Sync!$L1555),IF(AND(Sync!$L1555&gt;=10000101,Sync!$L1555&lt;=99991231),RIGHT("0000"&amp;INT(Sync!$L1555/10000),4)&amp;"/"&amp;RIGHT("00"&amp;INT(MOD(Sync!$L1555,10000)/100),2)&amp;"/"&amp;RIGHT("00"&amp;MOD(Sync!$L1555,100),2),""),IFERROR(RIGHT("0000"&amp;VALUE(TRIM(LEFT(Sync!$L1555,FIND("/",Sync!$L1555)-1))),4)&amp;"/"&amp;RIGHT("00"&amp;VALUE(TRIM(LEFT(MID(Sync!$L1555,FIND("/",Sync!$L1555)+1,20),FIND("/",MID(Sync!$L1555,FIND("/",Sync!$L1555)+1,20))-1))),2)&amp;"/"&amp;RIGHT("00"&amp;VALUE(TRIM(MID(MID(Sync!$L1555,FIND("/",Sync!$L1555)+1,20),FIND("/",MID(Sync!$L1555,FIND("/",Sync!$L1555)+1,20))+1,20))),2),"")))</f>
        <v/>
      </c>
    </row>
    <row r="1556" spans="13:14" x14ac:dyDescent="0.2">
      <c r="M1556" t="str">
        <f>IF(Sync!$M1556&lt;&gt;"پاس چک","",IF(Sync!$P1556="","",Sync!$P1556))</f>
        <v/>
      </c>
      <c r="N1556" t="str">
        <f>IF($M1556="","",IF(ISNUMBER(Sync!$L1556),IF(AND(Sync!$L1556&gt;=10000101,Sync!$L1556&lt;=99991231),RIGHT("0000"&amp;INT(Sync!$L1556/10000),4)&amp;"/"&amp;RIGHT("00"&amp;INT(MOD(Sync!$L1556,10000)/100),2)&amp;"/"&amp;RIGHT("00"&amp;MOD(Sync!$L1556,100),2),""),IFERROR(RIGHT("0000"&amp;VALUE(TRIM(LEFT(Sync!$L1556,FIND("/",Sync!$L1556)-1))),4)&amp;"/"&amp;RIGHT("00"&amp;VALUE(TRIM(LEFT(MID(Sync!$L1556,FIND("/",Sync!$L1556)+1,20),FIND("/",MID(Sync!$L1556,FIND("/",Sync!$L1556)+1,20))-1))),2)&amp;"/"&amp;RIGHT("00"&amp;VALUE(TRIM(MID(MID(Sync!$L1556,FIND("/",Sync!$L1556)+1,20),FIND("/",MID(Sync!$L1556,FIND("/",Sync!$L1556)+1,20))+1,20))),2),"")))</f>
        <v/>
      </c>
    </row>
    <row r="1557" spans="13:14" x14ac:dyDescent="0.2">
      <c r="M1557" t="str">
        <f>IF(Sync!$M1557&lt;&gt;"پاس چک","",IF(Sync!$P1557="","",Sync!$P1557))</f>
        <v/>
      </c>
      <c r="N1557" t="str">
        <f>IF($M1557="","",IF(ISNUMBER(Sync!$L1557),IF(AND(Sync!$L1557&gt;=10000101,Sync!$L1557&lt;=99991231),RIGHT("0000"&amp;INT(Sync!$L1557/10000),4)&amp;"/"&amp;RIGHT("00"&amp;INT(MOD(Sync!$L1557,10000)/100),2)&amp;"/"&amp;RIGHT("00"&amp;MOD(Sync!$L1557,100),2),""),IFERROR(RIGHT("0000"&amp;VALUE(TRIM(LEFT(Sync!$L1557,FIND("/",Sync!$L1557)-1))),4)&amp;"/"&amp;RIGHT("00"&amp;VALUE(TRIM(LEFT(MID(Sync!$L1557,FIND("/",Sync!$L1557)+1,20),FIND("/",MID(Sync!$L1557,FIND("/",Sync!$L1557)+1,20))-1))),2)&amp;"/"&amp;RIGHT("00"&amp;VALUE(TRIM(MID(MID(Sync!$L1557,FIND("/",Sync!$L1557)+1,20),FIND("/",MID(Sync!$L1557,FIND("/",Sync!$L1557)+1,20))+1,20))),2),"")))</f>
        <v/>
      </c>
    </row>
    <row r="1558" spans="13:14" x14ac:dyDescent="0.2">
      <c r="M1558" t="str">
        <f>IF(Sync!$M1558&lt;&gt;"پاس چک","",IF(Sync!$P1558="","",Sync!$P1558))</f>
        <v/>
      </c>
      <c r="N1558" t="str">
        <f>IF($M1558="","",IF(ISNUMBER(Sync!$L1558),IF(AND(Sync!$L1558&gt;=10000101,Sync!$L1558&lt;=99991231),RIGHT("0000"&amp;INT(Sync!$L1558/10000),4)&amp;"/"&amp;RIGHT("00"&amp;INT(MOD(Sync!$L1558,10000)/100),2)&amp;"/"&amp;RIGHT("00"&amp;MOD(Sync!$L1558,100),2),""),IFERROR(RIGHT("0000"&amp;VALUE(TRIM(LEFT(Sync!$L1558,FIND("/",Sync!$L1558)-1))),4)&amp;"/"&amp;RIGHT("00"&amp;VALUE(TRIM(LEFT(MID(Sync!$L1558,FIND("/",Sync!$L1558)+1,20),FIND("/",MID(Sync!$L1558,FIND("/",Sync!$L1558)+1,20))-1))),2)&amp;"/"&amp;RIGHT("00"&amp;VALUE(TRIM(MID(MID(Sync!$L1558,FIND("/",Sync!$L1558)+1,20),FIND("/",MID(Sync!$L1558,FIND("/",Sync!$L1558)+1,20))+1,20))),2),"")))</f>
        <v/>
      </c>
    </row>
    <row r="1559" spans="13:14" x14ac:dyDescent="0.2">
      <c r="M1559" t="str">
        <f>IF(Sync!$M1559&lt;&gt;"پاس چک","",IF(Sync!$P1559="","",Sync!$P1559))</f>
        <v/>
      </c>
      <c r="N1559" t="str">
        <f>IF($M1559="","",IF(ISNUMBER(Sync!$L1559),IF(AND(Sync!$L1559&gt;=10000101,Sync!$L1559&lt;=99991231),RIGHT("0000"&amp;INT(Sync!$L1559/10000),4)&amp;"/"&amp;RIGHT("00"&amp;INT(MOD(Sync!$L1559,10000)/100),2)&amp;"/"&amp;RIGHT("00"&amp;MOD(Sync!$L1559,100),2),""),IFERROR(RIGHT("0000"&amp;VALUE(TRIM(LEFT(Sync!$L1559,FIND("/",Sync!$L1559)-1))),4)&amp;"/"&amp;RIGHT("00"&amp;VALUE(TRIM(LEFT(MID(Sync!$L1559,FIND("/",Sync!$L1559)+1,20),FIND("/",MID(Sync!$L1559,FIND("/",Sync!$L1559)+1,20))-1))),2)&amp;"/"&amp;RIGHT("00"&amp;VALUE(TRIM(MID(MID(Sync!$L1559,FIND("/",Sync!$L1559)+1,20),FIND("/",MID(Sync!$L1559,FIND("/",Sync!$L1559)+1,20))+1,20))),2),"")))</f>
        <v/>
      </c>
    </row>
    <row r="1560" spans="13:14" x14ac:dyDescent="0.2">
      <c r="M1560" t="str">
        <f>IF(Sync!$M1560&lt;&gt;"پاس چک","",IF(Sync!$P1560="","",Sync!$P1560))</f>
        <v/>
      </c>
      <c r="N1560" t="str">
        <f>IF($M1560="","",IF(ISNUMBER(Sync!$L1560),IF(AND(Sync!$L1560&gt;=10000101,Sync!$L1560&lt;=99991231),RIGHT("0000"&amp;INT(Sync!$L1560/10000),4)&amp;"/"&amp;RIGHT("00"&amp;INT(MOD(Sync!$L1560,10000)/100),2)&amp;"/"&amp;RIGHT("00"&amp;MOD(Sync!$L1560,100),2),""),IFERROR(RIGHT("0000"&amp;VALUE(TRIM(LEFT(Sync!$L1560,FIND("/",Sync!$L1560)-1))),4)&amp;"/"&amp;RIGHT("00"&amp;VALUE(TRIM(LEFT(MID(Sync!$L1560,FIND("/",Sync!$L1560)+1,20),FIND("/",MID(Sync!$L1560,FIND("/",Sync!$L1560)+1,20))-1))),2)&amp;"/"&amp;RIGHT("00"&amp;VALUE(TRIM(MID(MID(Sync!$L1560,FIND("/",Sync!$L1560)+1,20),FIND("/",MID(Sync!$L1560,FIND("/",Sync!$L1560)+1,20))+1,20))),2),"")))</f>
        <v/>
      </c>
    </row>
    <row r="1561" spans="13:14" x14ac:dyDescent="0.2">
      <c r="M1561" t="str">
        <f>IF(Sync!$M1561&lt;&gt;"پاس چک","",IF(Sync!$P1561="","",Sync!$P1561))</f>
        <v/>
      </c>
      <c r="N1561" t="str">
        <f>IF($M1561="","",IF(ISNUMBER(Sync!$L1561),IF(AND(Sync!$L1561&gt;=10000101,Sync!$L1561&lt;=99991231),RIGHT("0000"&amp;INT(Sync!$L1561/10000),4)&amp;"/"&amp;RIGHT("00"&amp;INT(MOD(Sync!$L1561,10000)/100),2)&amp;"/"&amp;RIGHT("00"&amp;MOD(Sync!$L1561,100),2),""),IFERROR(RIGHT("0000"&amp;VALUE(TRIM(LEFT(Sync!$L1561,FIND("/",Sync!$L1561)-1))),4)&amp;"/"&amp;RIGHT("00"&amp;VALUE(TRIM(LEFT(MID(Sync!$L1561,FIND("/",Sync!$L1561)+1,20),FIND("/",MID(Sync!$L1561,FIND("/",Sync!$L1561)+1,20))-1))),2)&amp;"/"&amp;RIGHT("00"&amp;VALUE(TRIM(MID(MID(Sync!$L1561,FIND("/",Sync!$L1561)+1,20),FIND("/",MID(Sync!$L1561,FIND("/",Sync!$L1561)+1,20))+1,20))),2),"")))</f>
        <v/>
      </c>
    </row>
    <row r="1562" spans="13:14" x14ac:dyDescent="0.2">
      <c r="M1562" t="str">
        <f>IF(Sync!$M1562&lt;&gt;"پاس چک","",IF(Sync!$P1562="","",Sync!$P1562))</f>
        <v/>
      </c>
      <c r="N1562" t="str">
        <f>IF($M1562="","",IF(ISNUMBER(Sync!$L1562),IF(AND(Sync!$L1562&gt;=10000101,Sync!$L1562&lt;=99991231),RIGHT("0000"&amp;INT(Sync!$L1562/10000),4)&amp;"/"&amp;RIGHT("00"&amp;INT(MOD(Sync!$L1562,10000)/100),2)&amp;"/"&amp;RIGHT("00"&amp;MOD(Sync!$L1562,100),2),""),IFERROR(RIGHT("0000"&amp;VALUE(TRIM(LEFT(Sync!$L1562,FIND("/",Sync!$L1562)-1))),4)&amp;"/"&amp;RIGHT("00"&amp;VALUE(TRIM(LEFT(MID(Sync!$L1562,FIND("/",Sync!$L1562)+1,20),FIND("/",MID(Sync!$L1562,FIND("/",Sync!$L1562)+1,20))-1))),2)&amp;"/"&amp;RIGHT("00"&amp;VALUE(TRIM(MID(MID(Sync!$L1562,FIND("/",Sync!$L1562)+1,20),FIND("/",MID(Sync!$L1562,FIND("/",Sync!$L1562)+1,20))+1,20))),2),"")))</f>
        <v/>
      </c>
    </row>
    <row r="1563" spans="13:14" x14ac:dyDescent="0.2">
      <c r="M1563" t="str">
        <f>IF(Sync!$M1563&lt;&gt;"پاس چک","",IF(Sync!$P1563="","",Sync!$P1563))</f>
        <v/>
      </c>
      <c r="N1563" t="str">
        <f>IF($M1563="","",IF(ISNUMBER(Sync!$L1563),IF(AND(Sync!$L1563&gt;=10000101,Sync!$L1563&lt;=99991231),RIGHT("0000"&amp;INT(Sync!$L1563/10000),4)&amp;"/"&amp;RIGHT("00"&amp;INT(MOD(Sync!$L1563,10000)/100),2)&amp;"/"&amp;RIGHT("00"&amp;MOD(Sync!$L1563,100),2),""),IFERROR(RIGHT("0000"&amp;VALUE(TRIM(LEFT(Sync!$L1563,FIND("/",Sync!$L1563)-1))),4)&amp;"/"&amp;RIGHT("00"&amp;VALUE(TRIM(LEFT(MID(Sync!$L1563,FIND("/",Sync!$L1563)+1,20),FIND("/",MID(Sync!$L1563,FIND("/",Sync!$L1563)+1,20))-1))),2)&amp;"/"&amp;RIGHT("00"&amp;VALUE(TRIM(MID(MID(Sync!$L1563,FIND("/",Sync!$L1563)+1,20),FIND("/",MID(Sync!$L1563,FIND("/",Sync!$L1563)+1,20))+1,20))),2),"")))</f>
        <v/>
      </c>
    </row>
    <row r="1564" spans="13:14" x14ac:dyDescent="0.2">
      <c r="M1564" t="str">
        <f>IF(Sync!$M1564&lt;&gt;"پاس چک","",IF(Sync!$P1564="","",Sync!$P1564))</f>
        <v/>
      </c>
      <c r="N1564" t="str">
        <f>IF($M1564="","",IF(ISNUMBER(Sync!$L1564),IF(AND(Sync!$L1564&gt;=10000101,Sync!$L1564&lt;=99991231),RIGHT("0000"&amp;INT(Sync!$L1564/10000),4)&amp;"/"&amp;RIGHT("00"&amp;INT(MOD(Sync!$L1564,10000)/100),2)&amp;"/"&amp;RIGHT("00"&amp;MOD(Sync!$L1564,100),2),""),IFERROR(RIGHT("0000"&amp;VALUE(TRIM(LEFT(Sync!$L1564,FIND("/",Sync!$L1564)-1))),4)&amp;"/"&amp;RIGHT("00"&amp;VALUE(TRIM(LEFT(MID(Sync!$L1564,FIND("/",Sync!$L1564)+1,20),FIND("/",MID(Sync!$L1564,FIND("/",Sync!$L1564)+1,20))-1))),2)&amp;"/"&amp;RIGHT("00"&amp;VALUE(TRIM(MID(MID(Sync!$L1564,FIND("/",Sync!$L1564)+1,20),FIND("/",MID(Sync!$L1564,FIND("/",Sync!$L1564)+1,20))+1,20))),2),"")))</f>
        <v/>
      </c>
    </row>
    <row r="1565" spans="13:14" x14ac:dyDescent="0.2">
      <c r="M1565" t="str">
        <f>IF(Sync!$M1565&lt;&gt;"پاس چک","",IF(Sync!$P1565="","",Sync!$P1565))</f>
        <v/>
      </c>
      <c r="N1565" t="str">
        <f>IF($M1565="","",IF(ISNUMBER(Sync!$L1565),IF(AND(Sync!$L1565&gt;=10000101,Sync!$L1565&lt;=99991231),RIGHT("0000"&amp;INT(Sync!$L1565/10000),4)&amp;"/"&amp;RIGHT("00"&amp;INT(MOD(Sync!$L1565,10000)/100),2)&amp;"/"&amp;RIGHT("00"&amp;MOD(Sync!$L1565,100),2),""),IFERROR(RIGHT("0000"&amp;VALUE(TRIM(LEFT(Sync!$L1565,FIND("/",Sync!$L1565)-1))),4)&amp;"/"&amp;RIGHT("00"&amp;VALUE(TRIM(LEFT(MID(Sync!$L1565,FIND("/",Sync!$L1565)+1,20),FIND("/",MID(Sync!$L1565,FIND("/",Sync!$L1565)+1,20))-1))),2)&amp;"/"&amp;RIGHT("00"&amp;VALUE(TRIM(MID(MID(Sync!$L1565,FIND("/",Sync!$L1565)+1,20),FIND("/",MID(Sync!$L1565,FIND("/",Sync!$L1565)+1,20))+1,20))),2),"")))</f>
        <v/>
      </c>
    </row>
    <row r="1566" spans="13:14" x14ac:dyDescent="0.2">
      <c r="M1566" t="str">
        <f>IF(Sync!$M1566&lt;&gt;"پاس چک","",IF(Sync!$P1566="","",Sync!$P1566))</f>
        <v/>
      </c>
      <c r="N1566" t="str">
        <f>IF($M1566="","",IF(ISNUMBER(Sync!$L1566),IF(AND(Sync!$L1566&gt;=10000101,Sync!$L1566&lt;=99991231),RIGHT("0000"&amp;INT(Sync!$L1566/10000),4)&amp;"/"&amp;RIGHT("00"&amp;INT(MOD(Sync!$L1566,10000)/100),2)&amp;"/"&amp;RIGHT("00"&amp;MOD(Sync!$L1566,100),2),""),IFERROR(RIGHT("0000"&amp;VALUE(TRIM(LEFT(Sync!$L1566,FIND("/",Sync!$L1566)-1))),4)&amp;"/"&amp;RIGHT("00"&amp;VALUE(TRIM(LEFT(MID(Sync!$L1566,FIND("/",Sync!$L1566)+1,20),FIND("/",MID(Sync!$L1566,FIND("/",Sync!$L1566)+1,20))-1))),2)&amp;"/"&amp;RIGHT("00"&amp;VALUE(TRIM(MID(MID(Sync!$L1566,FIND("/",Sync!$L1566)+1,20),FIND("/",MID(Sync!$L1566,FIND("/",Sync!$L1566)+1,20))+1,20))),2),"")))</f>
        <v/>
      </c>
    </row>
    <row r="1567" spans="13:14" x14ac:dyDescent="0.2">
      <c r="M1567" t="str">
        <f>IF(Sync!$M1567&lt;&gt;"پاس چک","",IF(Sync!$P1567="","",Sync!$P1567))</f>
        <v/>
      </c>
      <c r="N1567" t="str">
        <f>IF($M1567="","",IF(ISNUMBER(Sync!$L1567),IF(AND(Sync!$L1567&gt;=10000101,Sync!$L1567&lt;=99991231),RIGHT("0000"&amp;INT(Sync!$L1567/10000),4)&amp;"/"&amp;RIGHT("00"&amp;INT(MOD(Sync!$L1567,10000)/100),2)&amp;"/"&amp;RIGHT("00"&amp;MOD(Sync!$L1567,100),2),""),IFERROR(RIGHT("0000"&amp;VALUE(TRIM(LEFT(Sync!$L1567,FIND("/",Sync!$L1567)-1))),4)&amp;"/"&amp;RIGHT("00"&amp;VALUE(TRIM(LEFT(MID(Sync!$L1567,FIND("/",Sync!$L1567)+1,20),FIND("/",MID(Sync!$L1567,FIND("/",Sync!$L1567)+1,20))-1))),2)&amp;"/"&amp;RIGHT("00"&amp;VALUE(TRIM(MID(MID(Sync!$L1567,FIND("/",Sync!$L1567)+1,20),FIND("/",MID(Sync!$L1567,FIND("/",Sync!$L1567)+1,20))+1,20))),2),"")))</f>
        <v/>
      </c>
    </row>
    <row r="1568" spans="13:14" x14ac:dyDescent="0.2">
      <c r="M1568" t="str">
        <f>IF(Sync!$M1568&lt;&gt;"پاس چک","",IF(Sync!$P1568="","",Sync!$P1568))</f>
        <v/>
      </c>
      <c r="N1568" t="str">
        <f>IF($M1568="","",IF(ISNUMBER(Sync!$L1568),IF(AND(Sync!$L1568&gt;=10000101,Sync!$L1568&lt;=99991231),RIGHT("0000"&amp;INT(Sync!$L1568/10000),4)&amp;"/"&amp;RIGHT("00"&amp;INT(MOD(Sync!$L1568,10000)/100),2)&amp;"/"&amp;RIGHT("00"&amp;MOD(Sync!$L1568,100),2),""),IFERROR(RIGHT("0000"&amp;VALUE(TRIM(LEFT(Sync!$L1568,FIND("/",Sync!$L1568)-1))),4)&amp;"/"&amp;RIGHT("00"&amp;VALUE(TRIM(LEFT(MID(Sync!$L1568,FIND("/",Sync!$L1568)+1,20),FIND("/",MID(Sync!$L1568,FIND("/",Sync!$L1568)+1,20))-1))),2)&amp;"/"&amp;RIGHT("00"&amp;VALUE(TRIM(MID(MID(Sync!$L1568,FIND("/",Sync!$L1568)+1,20),FIND("/",MID(Sync!$L1568,FIND("/",Sync!$L1568)+1,20))+1,20))),2),"")))</f>
        <v/>
      </c>
    </row>
    <row r="1569" spans="13:14" x14ac:dyDescent="0.2">
      <c r="M1569" t="str">
        <f>IF(Sync!$M1569&lt;&gt;"پاس چک","",IF(Sync!$P1569="","",Sync!$P1569))</f>
        <v/>
      </c>
      <c r="N1569" t="str">
        <f>IF($M1569="","",IF(ISNUMBER(Sync!$L1569),IF(AND(Sync!$L1569&gt;=10000101,Sync!$L1569&lt;=99991231),RIGHT("0000"&amp;INT(Sync!$L1569/10000),4)&amp;"/"&amp;RIGHT("00"&amp;INT(MOD(Sync!$L1569,10000)/100),2)&amp;"/"&amp;RIGHT("00"&amp;MOD(Sync!$L1569,100),2),""),IFERROR(RIGHT("0000"&amp;VALUE(TRIM(LEFT(Sync!$L1569,FIND("/",Sync!$L1569)-1))),4)&amp;"/"&amp;RIGHT("00"&amp;VALUE(TRIM(LEFT(MID(Sync!$L1569,FIND("/",Sync!$L1569)+1,20),FIND("/",MID(Sync!$L1569,FIND("/",Sync!$L1569)+1,20))-1))),2)&amp;"/"&amp;RIGHT("00"&amp;VALUE(TRIM(MID(MID(Sync!$L1569,FIND("/",Sync!$L1569)+1,20),FIND("/",MID(Sync!$L1569,FIND("/",Sync!$L1569)+1,20))+1,20))),2),"")))</f>
        <v/>
      </c>
    </row>
    <row r="1570" spans="13:14" x14ac:dyDescent="0.2">
      <c r="M1570" t="str">
        <f>IF(Sync!$M1570&lt;&gt;"پاس چک","",IF(Sync!$P1570="","",Sync!$P1570))</f>
        <v/>
      </c>
      <c r="N1570" t="str">
        <f>IF($M1570="","",IF(ISNUMBER(Sync!$L1570),IF(AND(Sync!$L1570&gt;=10000101,Sync!$L1570&lt;=99991231),RIGHT("0000"&amp;INT(Sync!$L1570/10000),4)&amp;"/"&amp;RIGHT("00"&amp;INT(MOD(Sync!$L1570,10000)/100),2)&amp;"/"&amp;RIGHT("00"&amp;MOD(Sync!$L1570,100),2),""),IFERROR(RIGHT("0000"&amp;VALUE(TRIM(LEFT(Sync!$L1570,FIND("/",Sync!$L1570)-1))),4)&amp;"/"&amp;RIGHT("00"&amp;VALUE(TRIM(LEFT(MID(Sync!$L1570,FIND("/",Sync!$L1570)+1,20),FIND("/",MID(Sync!$L1570,FIND("/",Sync!$L1570)+1,20))-1))),2)&amp;"/"&amp;RIGHT("00"&amp;VALUE(TRIM(MID(MID(Sync!$L1570,FIND("/",Sync!$L1570)+1,20),FIND("/",MID(Sync!$L1570,FIND("/",Sync!$L1570)+1,20))+1,20))),2),"")))</f>
        <v/>
      </c>
    </row>
    <row r="1571" spans="13:14" x14ac:dyDescent="0.2">
      <c r="M1571" t="str">
        <f>IF(Sync!$M1571&lt;&gt;"پاس چک","",IF(Sync!$P1571="","",Sync!$P1571))</f>
        <v/>
      </c>
      <c r="N1571" t="str">
        <f>IF($M1571="","",IF(ISNUMBER(Sync!$L1571),IF(AND(Sync!$L1571&gt;=10000101,Sync!$L1571&lt;=99991231),RIGHT("0000"&amp;INT(Sync!$L1571/10000),4)&amp;"/"&amp;RIGHT("00"&amp;INT(MOD(Sync!$L1571,10000)/100),2)&amp;"/"&amp;RIGHT("00"&amp;MOD(Sync!$L1571,100),2),""),IFERROR(RIGHT("0000"&amp;VALUE(TRIM(LEFT(Sync!$L1571,FIND("/",Sync!$L1571)-1))),4)&amp;"/"&amp;RIGHT("00"&amp;VALUE(TRIM(LEFT(MID(Sync!$L1571,FIND("/",Sync!$L1571)+1,20),FIND("/",MID(Sync!$L1571,FIND("/",Sync!$L1571)+1,20))-1))),2)&amp;"/"&amp;RIGHT("00"&amp;VALUE(TRIM(MID(MID(Sync!$L1571,FIND("/",Sync!$L1571)+1,20),FIND("/",MID(Sync!$L1571,FIND("/",Sync!$L1571)+1,20))+1,20))),2),"")))</f>
        <v/>
      </c>
    </row>
    <row r="1572" spans="13:14" x14ac:dyDescent="0.2">
      <c r="M1572" t="str">
        <f>IF(Sync!$M1572&lt;&gt;"پاس چک","",IF(Sync!$P1572="","",Sync!$P1572))</f>
        <v/>
      </c>
      <c r="N1572" t="str">
        <f>IF($M1572="","",IF(ISNUMBER(Sync!$L1572),IF(AND(Sync!$L1572&gt;=10000101,Sync!$L1572&lt;=99991231),RIGHT("0000"&amp;INT(Sync!$L1572/10000),4)&amp;"/"&amp;RIGHT("00"&amp;INT(MOD(Sync!$L1572,10000)/100),2)&amp;"/"&amp;RIGHT("00"&amp;MOD(Sync!$L1572,100),2),""),IFERROR(RIGHT("0000"&amp;VALUE(TRIM(LEFT(Sync!$L1572,FIND("/",Sync!$L1572)-1))),4)&amp;"/"&amp;RIGHT("00"&amp;VALUE(TRIM(LEFT(MID(Sync!$L1572,FIND("/",Sync!$L1572)+1,20),FIND("/",MID(Sync!$L1572,FIND("/",Sync!$L1572)+1,20))-1))),2)&amp;"/"&amp;RIGHT("00"&amp;VALUE(TRIM(MID(MID(Sync!$L1572,FIND("/",Sync!$L1572)+1,20),FIND("/",MID(Sync!$L1572,FIND("/",Sync!$L1572)+1,20))+1,20))),2),"")))</f>
        <v/>
      </c>
    </row>
    <row r="1573" spans="13:14" x14ac:dyDescent="0.2">
      <c r="M1573" t="str">
        <f>IF(Sync!$M1573&lt;&gt;"پاس چک","",IF(Sync!$P1573="","",Sync!$P1573))</f>
        <v/>
      </c>
      <c r="N1573" t="str">
        <f>IF($M1573="","",IF(ISNUMBER(Sync!$L1573),IF(AND(Sync!$L1573&gt;=10000101,Sync!$L1573&lt;=99991231),RIGHT("0000"&amp;INT(Sync!$L1573/10000),4)&amp;"/"&amp;RIGHT("00"&amp;INT(MOD(Sync!$L1573,10000)/100),2)&amp;"/"&amp;RIGHT("00"&amp;MOD(Sync!$L1573,100),2),""),IFERROR(RIGHT("0000"&amp;VALUE(TRIM(LEFT(Sync!$L1573,FIND("/",Sync!$L1573)-1))),4)&amp;"/"&amp;RIGHT("00"&amp;VALUE(TRIM(LEFT(MID(Sync!$L1573,FIND("/",Sync!$L1573)+1,20),FIND("/",MID(Sync!$L1573,FIND("/",Sync!$L1573)+1,20))-1))),2)&amp;"/"&amp;RIGHT("00"&amp;VALUE(TRIM(MID(MID(Sync!$L1573,FIND("/",Sync!$L1573)+1,20),FIND("/",MID(Sync!$L1573,FIND("/",Sync!$L1573)+1,20))+1,20))),2),"")))</f>
        <v/>
      </c>
    </row>
    <row r="1574" spans="13:14" x14ac:dyDescent="0.2">
      <c r="M1574" t="str">
        <f>IF(Sync!$M1574&lt;&gt;"پاس چک","",IF(Sync!$P1574="","",Sync!$P1574))</f>
        <v/>
      </c>
      <c r="N1574" t="str">
        <f>IF($M1574="","",IF(ISNUMBER(Sync!$L1574),IF(AND(Sync!$L1574&gt;=10000101,Sync!$L1574&lt;=99991231),RIGHT("0000"&amp;INT(Sync!$L1574/10000),4)&amp;"/"&amp;RIGHT("00"&amp;INT(MOD(Sync!$L1574,10000)/100),2)&amp;"/"&amp;RIGHT("00"&amp;MOD(Sync!$L1574,100),2),""),IFERROR(RIGHT("0000"&amp;VALUE(TRIM(LEFT(Sync!$L1574,FIND("/",Sync!$L1574)-1))),4)&amp;"/"&amp;RIGHT("00"&amp;VALUE(TRIM(LEFT(MID(Sync!$L1574,FIND("/",Sync!$L1574)+1,20),FIND("/",MID(Sync!$L1574,FIND("/",Sync!$L1574)+1,20))-1))),2)&amp;"/"&amp;RIGHT("00"&amp;VALUE(TRIM(MID(MID(Sync!$L1574,FIND("/",Sync!$L1574)+1,20),FIND("/",MID(Sync!$L1574,FIND("/",Sync!$L1574)+1,20))+1,20))),2),"")))</f>
        <v/>
      </c>
    </row>
    <row r="1575" spans="13:14" x14ac:dyDescent="0.2">
      <c r="M1575" t="str">
        <f>IF(Sync!$M1575&lt;&gt;"پاس چک","",IF(Sync!$P1575="","",Sync!$P1575))</f>
        <v/>
      </c>
      <c r="N1575" t="str">
        <f>IF($M1575="","",IF(ISNUMBER(Sync!$L1575),IF(AND(Sync!$L1575&gt;=10000101,Sync!$L1575&lt;=99991231),RIGHT("0000"&amp;INT(Sync!$L1575/10000),4)&amp;"/"&amp;RIGHT("00"&amp;INT(MOD(Sync!$L1575,10000)/100),2)&amp;"/"&amp;RIGHT("00"&amp;MOD(Sync!$L1575,100),2),""),IFERROR(RIGHT("0000"&amp;VALUE(TRIM(LEFT(Sync!$L1575,FIND("/",Sync!$L1575)-1))),4)&amp;"/"&amp;RIGHT("00"&amp;VALUE(TRIM(LEFT(MID(Sync!$L1575,FIND("/",Sync!$L1575)+1,20),FIND("/",MID(Sync!$L1575,FIND("/",Sync!$L1575)+1,20))-1))),2)&amp;"/"&amp;RIGHT("00"&amp;VALUE(TRIM(MID(MID(Sync!$L1575,FIND("/",Sync!$L1575)+1,20),FIND("/",MID(Sync!$L1575,FIND("/",Sync!$L1575)+1,20))+1,20))),2),"")))</f>
        <v/>
      </c>
    </row>
    <row r="1576" spans="13:14" x14ac:dyDescent="0.2">
      <c r="M1576" t="str">
        <f>IF(Sync!$M1576&lt;&gt;"پاس چک","",IF(Sync!$P1576="","",Sync!$P1576))</f>
        <v/>
      </c>
      <c r="N1576" t="str">
        <f>IF($M1576="","",IF(ISNUMBER(Sync!$L1576),IF(AND(Sync!$L1576&gt;=10000101,Sync!$L1576&lt;=99991231),RIGHT("0000"&amp;INT(Sync!$L1576/10000),4)&amp;"/"&amp;RIGHT("00"&amp;INT(MOD(Sync!$L1576,10000)/100),2)&amp;"/"&amp;RIGHT("00"&amp;MOD(Sync!$L1576,100),2),""),IFERROR(RIGHT("0000"&amp;VALUE(TRIM(LEFT(Sync!$L1576,FIND("/",Sync!$L1576)-1))),4)&amp;"/"&amp;RIGHT("00"&amp;VALUE(TRIM(LEFT(MID(Sync!$L1576,FIND("/",Sync!$L1576)+1,20),FIND("/",MID(Sync!$L1576,FIND("/",Sync!$L1576)+1,20))-1))),2)&amp;"/"&amp;RIGHT("00"&amp;VALUE(TRIM(MID(MID(Sync!$L1576,FIND("/",Sync!$L1576)+1,20),FIND("/",MID(Sync!$L1576,FIND("/",Sync!$L1576)+1,20))+1,20))),2),"")))</f>
        <v/>
      </c>
    </row>
    <row r="1577" spans="13:14" x14ac:dyDescent="0.2">
      <c r="M1577" t="str">
        <f>IF(Sync!$M1577&lt;&gt;"پاس چک","",IF(Sync!$P1577="","",Sync!$P1577))</f>
        <v/>
      </c>
      <c r="N1577" t="str">
        <f>IF($M1577="","",IF(ISNUMBER(Sync!$L1577),IF(AND(Sync!$L1577&gt;=10000101,Sync!$L1577&lt;=99991231),RIGHT("0000"&amp;INT(Sync!$L1577/10000),4)&amp;"/"&amp;RIGHT("00"&amp;INT(MOD(Sync!$L1577,10000)/100),2)&amp;"/"&amp;RIGHT("00"&amp;MOD(Sync!$L1577,100),2),""),IFERROR(RIGHT("0000"&amp;VALUE(TRIM(LEFT(Sync!$L1577,FIND("/",Sync!$L1577)-1))),4)&amp;"/"&amp;RIGHT("00"&amp;VALUE(TRIM(LEFT(MID(Sync!$L1577,FIND("/",Sync!$L1577)+1,20),FIND("/",MID(Sync!$L1577,FIND("/",Sync!$L1577)+1,20))-1))),2)&amp;"/"&amp;RIGHT("00"&amp;VALUE(TRIM(MID(MID(Sync!$L1577,FIND("/",Sync!$L1577)+1,20),FIND("/",MID(Sync!$L1577,FIND("/",Sync!$L1577)+1,20))+1,20))),2),"")))</f>
        <v/>
      </c>
    </row>
    <row r="1578" spans="13:14" x14ac:dyDescent="0.2">
      <c r="M1578" t="str">
        <f>IF(Sync!$M1578&lt;&gt;"پاس چک","",IF(Sync!$P1578="","",Sync!$P1578))</f>
        <v/>
      </c>
      <c r="N1578" t="str">
        <f>IF($M1578="","",IF(ISNUMBER(Sync!$L1578),IF(AND(Sync!$L1578&gt;=10000101,Sync!$L1578&lt;=99991231),RIGHT("0000"&amp;INT(Sync!$L1578/10000),4)&amp;"/"&amp;RIGHT("00"&amp;INT(MOD(Sync!$L1578,10000)/100),2)&amp;"/"&amp;RIGHT("00"&amp;MOD(Sync!$L1578,100),2),""),IFERROR(RIGHT("0000"&amp;VALUE(TRIM(LEFT(Sync!$L1578,FIND("/",Sync!$L1578)-1))),4)&amp;"/"&amp;RIGHT("00"&amp;VALUE(TRIM(LEFT(MID(Sync!$L1578,FIND("/",Sync!$L1578)+1,20),FIND("/",MID(Sync!$L1578,FIND("/",Sync!$L1578)+1,20))-1))),2)&amp;"/"&amp;RIGHT("00"&amp;VALUE(TRIM(MID(MID(Sync!$L1578,FIND("/",Sync!$L1578)+1,20),FIND("/",MID(Sync!$L1578,FIND("/",Sync!$L1578)+1,20))+1,20))),2),"")))</f>
        <v/>
      </c>
    </row>
    <row r="1579" spans="13:14" x14ac:dyDescent="0.2">
      <c r="M1579" t="str">
        <f>IF(Sync!$M1579&lt;&gt;"پاس چک","",IF(Sync!$P1579="","",Sync!$P1579))</f>
        <v/>
      </c>
      <c r="N1579" t="str">
        <f>IF($M1579="","",IF(ISNUMBER(Sync!$L1579),IF(AND(Sync!$L1579&gt;=10000101,Sync!$L1579&lt;=99991231),RIGHT("0000"&amp;INT(Sync!$L1579/10000),4)&amp;"/"&amp;RIGHT("00"&amp;INT(MOD(Sync!$L1579,10000)/100),2)&amp;"/"&amp;RIGHT("00"&amp;MOD(Sync!$L1579,100),2),""),IFERROR(RIGHT("0000"&amp;VALUE(TRIM(LEFT(Sync!$L1579,FIND("/",Sync!$L1579)-1))),4)&amp;"/"&amp;RIGHT("00"&amp;VALUE(TRIM(LEFT(MID(Sync!$L1579,FIND("/",Sync!$L1579)+1,20),FIND("/",MID(Sync!$L1579,FIND("/",Sync!$L1579)+1,20))-1))),2)&amp;"/"&amp;RIGHT("00"&amp;VALUE(TRIM(MID(MID(Sync!$L1579,FIND("/",Sync!$L1579)+1,20),FIND("/",MID(Sync!$L1579,FIND("/",Sync!$L1579)+1,20))+1,20))),2),"")))</f>
        <v/>
      </c>
    </row>
    <row r="1580" spans="13:14" x14ac:dyDescent="0.2">
      <c r="M1580" t="str">
        <f>IF(Sync!$M1580&lt;&gt;"پاس چک","",IF(Sync!$P1580="","",Sync!$P1580))</f>
        <v/>
      </c>
      <c r="N1580" t="str">
        <f>IF($M1580="","",IF(ISNUMBER(Sync!$L1580),IF(AND(Sync!$L1580&gt;=10000101,Sync!$L1580&lt;=99991231),RIGHT("0000"&amp;INT(Sync!$L1580/10000),4)&amp;"/"&amp;RIGHT("00"&amp;INT(MOD(Sync!$L1580,10000)/100),2)&amp;"/"&amp;RIGHT("00"&amp;MOD(Sync!$L1580,100),2),""),IFERROR(RIGHT("0000"&amp;VALUE(TRIM(LEFT(Sync!$L1580,FIND("/",Sync!$L1580)-1))),4)&amp;"/"&amp;RIGHT("00"&amp;VALUE(TRIM(LEFT(MID(Sync!$L1580,FIND("/",Sync!$L1580)+1,20),FIND("/",MID(Sync!$L1580,FIND("/",Sync!$L1580)+1,20))-1))),2)&amp;"/"&amp;RIGHT("00"&amp;VALUE(TRIM(MID(MID(Sync!$L1580,FIND("/",Sync!$L1580)+1,20),FIND("/",MID(Sync!$L1580,FIND("/",Sync!$L1580)+1,20))+1,20))),2),"")))</f>
        <v/>
      </c>
    </row>
    <row r="1581" spans="13:14" x14ac:dyDescent="0.2">
      <c r="M1581" t="str">
        <f>IF(Sync!$M1581&lt;&gt;"پاس چک","",IF(Sync!$P1581="","",Sync!$P1581))</f>
        <v/>
      </c>
      <c r="N1581" t="str">
        <f>IF($M1581="","",IF(ISNUMBER(Sync!$L1581),IF(AND(Sync!$L1581&gt;=10000101,Sync!$L1581&lt;=99991231),RIGHT("0000"&amp;INT(Sync!$L1581/10000),4)&amp;"/"&amp;RIGHT("00"&amp;INT(MOD(Sync!$L1581,10000)/100),2)&amp;"/"&amp;RIGHT("00"&amp;MOD(Sync!$L1581,100),2),""),IFERROR(RIGHT("0000"&amp;VALUE(TRIM(LEFT(Sync!$L1581,FIND("/",Sync!$L1581)-1))),4)&amp;"/"&amp;RIGHT("00"&amp;VALUE(TRIM(LEFT(MID(Sync!$L1581,FIND("/",Sync!$L1581)+1,20),FIND("/",MID(Sync!$L1581,FIND("/",Sync!$L1581)+1,20))-1))),2)&amp;"/"&amp;RIGHT("00"&amp;VALUE(TRIM(MID(MID(Sync!$L1581,FIND("/",Sync!$L1581)+1,20),FIND("/",MID(Sync!$L1581,FIND("/",Sync!$L1581)+1,20))+1,20))),2),"")))</f>
        <v/>
      </c>
    </row>
    <row r="1582" spans="13:14" x14ac:dyDescent="0.2">
      <c r="M1582" t="str">
        <f>IF(Sync!$M1582&lt;&gt;"پاس چک","",IF(Sync!$P1582="","",Sync!$P1582))</f>
        <v/>
      </c>
      <c r="N1582" t="str">
        <f>IF($M1582="","",IF(ISNUMBER(Sync!$L1582),IF(AND(Sync!$L1582&gt;=10000101,Sync!$L1582&lt;=99991231),RIGHT("0000"&amp;INT(Sync!$L1582/10000),4)&amp;"/"&amp;RIGHT("00"&amp;INT(MOD(Sync!$L1582,10000)/100),2)&amp;"/"&amp;RIGHT("00"&amp;MOD(Sync!$L1582,100),2),""),IFERROR(RIGHT("0000"&amp;VALUE(TRIM(LEFT(Sync!$L1582,FIND("/",Sync!$L1582)-1))),4)&amp;"/"&amp;RIGHT("00"&amp;VALUE(TRIM(LEFT(MID(Sync!$L1582,FIND("/",Sync!$L1582)+1,20),FIND("/",MID(Sync!$L1582,FIND("/",Sync!$L1582)+1,20))-1))),2)&amp;"/"&amp;RIGHT("00"&amp;VALUE(TRIM(MID(MID(Sync!$L1582,FIND("/",Sync!$L1582)+1,20),FIND("/",MID(Sync!$L1582,FIND("/",Sync!$L1582)+1,20))+1,20))),2),"")))</f>
        <v/>
      </c>
    </row>
    <row r="1583" spans="13:14" x14ac:dyDescent="0.2">
      <c r="M1583" t="str">
        <f>IF(Sync!$M1583&lt;&gt;"پاس چک","",IF(Sync!$P1583="","",Sync!$P1583))</f>
        <v/>
      </c>
      <c r="N1583" t="str">
        <f>IF($M1583="","",IF(ISNUMBER(Sync!$L1583),IF(AND(Sync!$L1583&gt;=10000101,Sync!$L1583&lt;=99991231),RIGHT("0000"&amp;INT(Sync!$L1583/10000),4)&amp;"/"&amp;RIGHT("00"&amp;INT(MOD(Sync!$L1583,10000)/100),2)&amp;"/"&amp;RIGHT("00"&amp;MOD(Sync!$L1583,100),2),""),IFERROR(RIGHT("0000"&amp;VALUE(TRIM(LEFT(Sync!$L1583,FIND("/",Sync!$L1583)-1))),4)&amp;"/"&amp;RIGHT("00"&amp;VALUE(TRIM(LEFT(MID(Sync!$L1583,FIND("/",Sync!$L1583)+1,20),FIND("/",MID(Sync!$L1583,FIND("/",Sync!$L1583)+1,20))-1))),2)&amp;"/"&amp;RIGHT("00"&amp;VALUE(TRIM(MID(MID(Sync!$L1583,FIND("/",Sync!$L1583)+1,20),FIND("/",MID(Sync!$L1583,FIND("/",Sync!$L1583)+1,20))+1,20))),2),"")))</f>
        <v/>
      </c>
    </row>
    <row r="1584" spans="13:14" x14ac:dyDescent="0.2">
      <c r="M1584" t="str">
        <f>IF(Sync!$M1584&lt;&gt;"پاس چک","",IF(Sync!$P1584="","",Sync!$P1584))</f>
        <v/>
      </c>
      <c r="N1584" t="str">
        <f>IF($M1584="","",IF(ISNUMBER(Sync!$L1584),IF(AND(Sync!$L1584&gt;=10000101,Sync!$L1584&lt;=99991231),RIGHT("0000"&amp;INT(Sync!$L1584/10000),4)&amp;"/"&amp;RIGHT("00"&amp;INT(MOD(Sync!$L1584,10000)/100),2)&amp;"/"&amp;RIGHT("00"&amp;MOD(Sync!$L1584,100),2),""),IFERROR(RIGHT("0000"&amp;VALUE(TRIM(LEFT(Sync!$L1584,FIND("/",Sync!$L1584)-1))),4)&amp;"/"&amp;RIGHT("00"&amp;VALUE(TRIM(LEFT(MID(Sync!$L1584,FIND("/",Sync!$L1584)+1,20),FIND("/",MID(Sync!$L1584,FIND("/",Sync!$L1584)+1,20))-1))),2)&amp;"/"&amp;RIGHT("00"&amp;VALUE(TRIM(MID(MID(Sync!$L1584,FIND("/",Sync!$L1584)+1,20),FIND("/",MID(Sync!$L1584,FIND("/",Sync!$L1584)+1,20))+1,20))),2),"")))</f>
        <v/>
      </c>
    </row>
    <row r="1585" spans="13:14" x14ac:dyDescent="0.2">
      <c r="M1585" t="str">
        <f>IF(Sync!$M1585&lt;&gt;"پاس چک","",IF(Sync!$P1585="","",Sync!$P1585))</f>
        <v/>
      </c>
      <c r="N1585" t="str">
        <f>IF($M1585="","",IF(ISNUMBER(Sync!$L1585),IF(AND(Sync!$L1585&gt;=10000101,Sync!$L1585&lt;=99991231),RIGHT("0000"&amp;INT(Sync!$L1585/10000),4)&amp;"/"&amp;RIGHT("00"&amp;INT(MOD(Sync!$L1585,10000)/100),2)&amp;"/"&amp;RIGHT("00"&amp;MOD(Sync!$L1585,100),2),""),IFERROR(RIGHT("0000"&amp;VALUE(TRIM(LEFT(Sync!$L1585,FIND("/",Sync!$L1585)-1))),4)&amp;"/"&amp;RIGHT("00"&amp;VALUE(TRIM(LEFT(MID(Sync!$L1585,FIND("/",Sync!$L1585)+1,20),FIND("/",MID(Sync!$L1585,FIND("/",Sync!$L1585)+1,20))-1))),2)&amp;"/"&amp;RIGHT("00"&amp;VALUE(TRIM(MID(MID(Sync!$L1585,FIND("/",Sync!$L1585)+1,20),FIND("/",MID(Sync!$L1585,FIND("/",Sync!$L1585)+1,20))+1,20))),2),"")))</f>
        <v/>
      </c>
    </row>
    <row r="1586" spans="13:14" x14ac:dyDescent="0.2">
      <c r="M1586" t="str">
        <f>IF(Sync!$M1586&lt;&gt;"پاس چک","",IF(Sync!$P1586="","",Sync!$P1586))</f>
        <v/>
      </c>
      <c r="N1586" t="str">
        <f>IF($M1586="","",IF(ISNUMBER(Sync!$L1586),IF(AND(Sync!$L1586&gt;=10000101,Sync!$L1586&lt;=99991231),RIGHT("0000"&amp;INT(Sync!$L1586/10000),4)&amp;"/"&amp;RIGHT("00"&amp;INT(MOD(Sync!$L1586,10000)/100),2)&amp;"/"&amp;RIGHT("00"&amp;MOD(Sync!$L1586,100),2),""),IFERROR(RIGHT("0000"&amp;VALUE(TRIM(LEFT(Sync!$L1586,FIND("/",Sync!$L1586)-1))),4)&amp;"/"&amp;RIGHT("00"&amp;VALUE(TRIM(LEFT(MID(Sync!$L1586,FIND("/",Sync!$L1586)+1,20),FIND("/",MID(Sync!$L1586,FIND("/",Sync!$L1586)+1,20))-1))),2)&amp;"/"&amp;RIGHT("00"&amp;VALUE(TRIM(MID(MID(Sync!$L1586,FIND("/",Sync!$L1586)+1,20),FIND("/",MID(Sync!$L1586,FIND("/",Sync!$L1586)+1,20))+1,20))),2),"")))</f>
        <v/>
      </c>
    </row>
    <row r="1587" spans="13:14" x14ac:dyDescent="0.2">
      <c r="M1587" t="str">
        <f>IF(Sync!$M1587&lt;&gt;"پاس چک","",IF(Sync!$P1587="","",Sync!$P1587))</f>
        <v/>
      </c>
      <c r="N1587" t="str">
        <f>IF($M1587="","",IF(ISNUMBER(Sync!$L1587),IF(AND(Sync!$L1587&gt;=10000101,Sync!$L1587&lt;=99991231),RIGHT("0000"&amp;INT(Sync!$L1587/10000),4)&amp;"/"&amp;RIGHT("00"&amp;INT(MOD(Sync!$L1587,10000)/100),2)&amp;"/"&amp;RIGHT("00"&amp;MOD(Sync!$L1587,100),2),""),IFERROR(RIGHT("0000"&amp;VALUE(TRIM(LEFT(Sync!$L1587,FIND("/",Sync!$L1587)-1))),4)&amp;"/"&amp;RIGHT("00"&amp;VALUE(TRIM(LEFT(MID(Sync!$L1587,FIND("/",Sync!$L1587)+1,20),FIND("/",MID(Sync!$L1587,FIND("/",Sync!$L1587)+1,20))-1))),2)&amp;"/"&amp;RIGHT("00"&amp;VALUE(TRIM(MID(MID(Sync!$L1587,FIND("/",Sync!$L1587)+1,20),FIND("/",MID(Sync!$L1587,FIND("/",Sync!$L1587)+1,20))+1,20))),2),"")))</f>
        <v/>
      </c>
    </row>
    <row r="1588" spans="13:14" x14ac:dyDescent="0.2">
      <c r="M1588" t="str">
        <f>IF(Sync!$M1588&lt;&gt;"پاس چک","",IF(Sync!$P1588="","",Sync!$P1588))</f>
        <v/>
      </c>
      <c r="N1588" t="str">
        <f>IF($M1588="","",IF(ISNUMBER(Sync!$L1588),IF(AND(Sync!$L1588&gt;=10000101,Sync!$L1588&lt;=99991231),RIGHT("0000"&amp;INT(Sync!$L1588/10000),4)&amp;"/"&amp;RIGHT("00"&amp;INT(MOD(Sync!$L1588,10000)/100),2)&amp;"/"&amp;RIGHT("00"&amp;MOD(Sync!$L1588,100),2),""),IFERROR(RIGHT("0000"&amp;VALUE(TRIM(LEFT(Sync!$L1588,FIND("/",Sync!$L1588)-1))),4)&amp;"/"&amp;RIGHT("00"&amp;VALUE(TRIM(LEFT(MID(Sync!$L1588,FIND("/",Sync!$L1588)+1,20),FIND("/",MID(Sync!$L1588,FIND("/",Sync!$L1588)+1,20))-1))),2)&amp;"/"&amp;RIGHT("00"&amp;VALUE(TRIM(MID(MID(Sync!$L1588,FIND("/",Sync!$L1588)+1,20),FIND("/",MID(Sync!$L1588,FIND("/",Sync!$L1588)+1,20))+1,20))),2),"")))</f>
        <v/>
      </c>
    </row>
    <row r="1589" spans="13:14" x14ac:dyDescent="0.2">
      <c r="M1589" t="str">
        <f>IF(Sync!$M1589&lt;&gt;"پاس چک","",IF(Sync!$P1589="","",Sync!$P1589))</f>
        <v/>
      </c>
      <c r="N1589" t="str">
        <f>IF($M1589="","",IF(ISNUMBER(Sync!$L1589),IF(AND(Sync!$L1589&gt;=10000101,Sync!$L1589&lt;=99991231),RIGHT("0000"&amp;INT(Sync!$L1589/10000),4)&amp;"/"&amp;RIGHT("00"&amp;INT(MOD(Sync!$L1589,10000)/100),2)&amp;"/"&amp;RIGHT("00"&amp;MOD(Sync!$L1589,100),2),""),IFERROR(RIGHT("0000"&amp;VALUE(TRIM(LEFT(Sync!$L1589,FIND("/",Sync!$L1589)-1))),4)&amp;"/"&amp;RIGHT("00"&amp;VALUE(TRIM(LEFT(MID(Sync!$L1589,FIND("/",Sync!$L1589)+1,20),FIND("/",MID(Sync!$L1589,FIND("/",Sync!$L1589)+1,20))-1))),2)&amp;"/"&amp;RIGHT("00"&amp;VALUE(TRIM(MID(MID(Sync!$L1589,FIND("/",Sync!$L1589)+1,20),FIND("/",MID(Sync!$L1589,FIND("/",Sync!$L1589)+1,20))+1,20))),2),"")))</f>
        <v/>
      </c>
    </row>
    <row r="1590" spans="13:14" x14ac:dyDescent="0.2">
      <c r="M1590" t="str">
        <f>IF(Sync!$M1590&lt;&gt;"پاس چک","",IF(Sync!$P1590="","",Sync!$P1590))</f>
        <v/>
      </c>
      <c r="N1590" t="str">
        <f>IF($M1590="","",IF(ISNUMBER(Sync!$L1590),IF(AND(Sync!$L1590&gt;=10000101,Sync!$L1590&lt;=99991231),RIGHT("0000"&amp;INT(Sync!$L1590/10000),4)&amp;"/"&amp;RIGHT("00"&amp;INT(MOD(Sync!$L1590,10000)/100),2)&amp;"/"&amp;RIGHT("00"&amp;MOD(Sync!$L1590,100),2),""),IFERROR(RIGHT("0000"&amp;VALUE(TRIM(LEFT(Sync!$L1590,FIND("/",Sync!$L1590)-1))),4)&amp;"/"&amp;RIGHT("00"&amp;VALUE(TRIM(LEFT(MID(Sync!$L1590,FIND("/",Sync!$L1590)+1,20),FIND("/",MID(Sync!$L1590,FIND("/",Sync!$L1590)+1,20))-1))),2)&amp;"/"&amp;RIGHT("00"&amp;VALUE(TRIM(MID(MID(Sync!$L1590,FIND("/",Sync!$L1590)+1,20),FIND("/",MID(Sync!$L1590,FIND("/",Sync!$L1590)+1,20))+1,20))),2),"")))</f>
        <v/>
      </c>
    </row>
    <row r="1591" spans="13:14" x14ac:dyDescent="0.2">
      <c r="M1591" t="str">
        <f>IF(Sync!$M1591&lt;&gt;"پاس چک","",IF(Sync!$P1591="","",Sync!$P1591))</f>
        <v/>
      </c>
      <c r="N1591" t="str">
        <f>IF($M1591="","",IF(ISNUMBER(Sync!$L1591),IF(AND(Sync!$L1591&gt;=10000101,Sync!$L1591&lt;=99991231),RIGHT("0000"&amp;INT(Sync!$L1591/10000),4)&amp;"/"&amp;RIGHT("00"&amp;INT(MOD(Sync!$L1591,10000)/100),2)&amp;"/"&amp;RIGHT("00"&amp;MOD(Sync!$L1591,100),2),""),IFERROR(RIGHT("0000"&amp;VALUE(TRIM(LEFT(Sync!$L1591,FIND("/",Sync!$L1591)-1))),4)&amp;"/"&amp;RIGHT("00"&amp;VALUE(TRIM(LEFT(MID(Sync!$L1591,FIND("/",Sync!$L1591)+1,20),FIND("/",MID(Sync!$L1591,FIND("/",Sync!$L1591)+1,20))-1))),2)&amp;"/"&amp;RIGHT("00"&amp;VALUE(TRIM(MID(MID(Sync!$L1591,FIND("/",Sync!$L1591)+1,20),FIND("/",MID(Sync!$L1591,FIND("/",Sync!$L1591)+1,20))+1,20))),2),"")))</f>
        <v/>
      </c>
    </row>
    <row r="1592" spans="13:14" x14ac:dyDescent="0.2">
      <c r="M1592" t="str">
        <f>IF(Sync!$M1592&lt;&gt;"پاس چک","",IF(Sync!$P1592="","",Sync!$P1592))</f>
        <v/>
      </c>
      <c r="N1592" t="str">
        <f>IF($M1592="","",IF(ISNUMBER(Sync!$L1592),IF(AND(Sync!$L1592&gt;=10000101,Sync!$L1592&lt;=99991231),RIGHT("0000"&amp;INT(Sync!$L1592/10000),4)&amp;"/"&amp;RIGHT("00"&amp;INT(MOD(Sync!$L1592,10000)/100),2)&amp;"/"&amp;RIGHT("00"&amp;MOD(Sync!$L1592,100),2),""),IFERROR(RIGHT("0000"&amp;VALUE(TRIM(LEFT(Sync!$L1592,FIND("/",Sync!$L1592)-1))),4)&amp;"/"&amp;RIGHT("00"&amp;VALUE(TRIM(LEFT(MID(Sync!$L1592,FIND("/",Sync!$L1592)+1,20),FIND("/",MID(Sync!$L1592,FIND("/",Sync!$L1592)+1,20))-1))),2)&amp;"/"&amp;RIGHT("00"&amp;VALUE(TRIM(MID(MID(Sync!$L1592,FIND("/",Sync!$L1592)+1,20),FIND("/",MID(Sync!$L1592,FIND("/",Sync!$L1592)+1,20))+1,20))),2),"")))</f>
        <v/>
      </c>
    </row>
    <row r="1593" spans="13:14" x14ac:dyDescent="0.2">
      <c r="M1593" t="str">
        <f>IF(Sync!$M1593&lt;&gt;"پاس چک","",IF(Sync!$P1593="","",Sync!$P1593))</f>
        <v/>
      </c>
      <c r="N1593" t="str">
        <f>IF($M1593="","",IF(ISNUMBER(Sync!$L1593),IF(AND(Sync!$L1593&gt;=10000101,Sync!$L1593&lt;=99991231),RIGHT("0000"&amp;INT(Sync!$L1593/10000),4)&amp;"/"&amp;RIGHT("00"&amp;INT(MOD(Sync!$L1593,10000)/100),2)&amp;"/"&amp;RIGHT("00"&amp;MOD(Sync!$L1593,100),2),""),IFERROR(RIGHT("0000"&amp;VALUE(TRIM(LEFT(Sync!$L1593,FIND("/",Sync!$L1593)-1))),4)&amp;"/"&amp;RIGHT("00"&amp;VALUE(TRIM(LEFT(MID(Sync!$L1593,FIND("/",Sync!$L1593)+1,20),FIND("/",MID(Sync!$L1593,FIND("/",Sync!$L1593)+1,20))-1))),2)&amp;"/"&amp;RIGHT("00"&amp;VALUE(TRIM(MID(MID(Sync!$L1593,FIND("/",Sync!$L1593)+1,20),FIND("/",MID(Sync!$L1593,FIND("/",Sync!$L1593)+1,20))+1,20))),2),"")))</f>
        <v/>
      </c>
    </row>
    <row r="1594" spans="13:14" x14ac:dyDescent="0.2">
      <c r="M1594" t="str">
        <f>IF(Sync!$M1594&lt;&gt;"پاس چک","",IF(Sync!$P1594="","",Sync!$P1594))</f>
        <v/>
      </c>
      <c r="N1594" t="str">
        <f>IF($M1594="","",IF(ISNUMBER(Sync!$L1594),IF(AND(Sync!$L1594&gt;=10000101,Sync!$L1594&lt;=99991231),RIGHT("0000"&amp;INT(Sync!$L1594/10000),4)&amp;"/"&amp;RIGHT("00"&amp;INT(MOD(Sync!$L1594,10000)/100),2)&amp;"/"&amp;RIGHT("00"&amp;MOD(Sync!$L1594,100),2),""),IFERROR(RIGHT("0000"&amp;VALUE(TRIM(LEFT(Sync!$L1594,FIND("/",Sync!$L1594)-1))),4)&amp;"/"&amp;RIGHT("00"&amp;VALUE(TRIM(LEFT(MID(Sync!$L1594,FIND("/",Sync!$L1594)+1,20),FIND("/",MID(Sync!$L1594,FIND("/",Sync!$L1594)+1,20))-1))),2)&amp;"/"&amp;RIGHT("00"&amp;VALUE(TRIM(MID(MID(Sync!$L1594,FIND("/",Sync!$L1594)+1,20),FIND("/",MID(Sync!$L1594,FIND("/",Sync!$L1594)+1,20))+1,20))),2),"")))</f>
        <v/>
      </c>
    </row>
    <row r="1595" spans="13:14" x14ac:dyDescent="0.2">
      <c r="M1595" t="str">
        <f>IF(Sync!$M1595&lt;&gt;"پاس چک","",IF(Sync!$P1595="","",Sync!$P1595))</f>
        <v/>
      </c>
      <c r="N1595" t="str">
        <f>IF($M1595="","",IF(ISNUMBER(Sync!$L1595),IF(AND(Sync!$L1595&gt;=10000101,Sync!$L1595&lt;=99991231),RIGHT("0000"&amp;INT(Sync!$L1595/10000),4)&amp;"/"&amp;RIGHT("00"&amp;INT(MOD(Sync!$L1595,10000)/100),2)&amp;"/"&amp;RIGHT("00"&amp;MOD(Sync!$L1595,100),2),""),IFERROR(RIGHT("0000"&amp;VALUE(TRIM(LEFT(Sync!$L1595,FIND("/",Sync!$L1595)-1))),4)&amp;"/"&amp;RIGHT("00"&amp;VALUE(TRIM(LEFT(MID(Sync!$L1595,FIND("/",Sync!$L1595)+1,20),FIND("/",MID(Sync!$L1595,FIND("/",Sync!$L1595)+1,20))-1))),2)&amp;"/"&amp;RIGHT("00"&amp;VALUE(TRIM(MID(MID(Sync!$L1595,FIND("/",Sync!$L1595)+1,20),FIND("/",MID(Sync!$L1595,FIND("/",Sync!$L1595)+1,20))+1,20))),2),"")))</f>
        <v/>
      </c>
    </row>
    <row r="1596" spans="13:14" x14ac:dyDescent="0.2">
      <c r="M1596" t="str">
        <f>IF(Sync!$M1596&lt;&gt;"پاس چک","",IF(Sync!$P1596="","",Sync!$P1596))</f>
        <v/>
      </c>
      <c r="N1596" t="str">
        <f>IF($M1596="","",IF(ISNUMBER(Sync!$L1596),IF(AND(Sync!$L1596&gt;=10000101,Sync!$L1596&lt;=99991231),RIGHT("0000"&amp;INT(Sync!$L1596/10000),4)&amp;"/"&amp;RIGHT("00"&amp;INT(MOD(Sync!$L1596,10000)/100),2)&amp;"/"&amp;RIGHT("00"&amp;MOD(Sync!$L1596,100),2),""),IFERROR(RIGHT("0000"&amp;VALUE(TRIM(LEFT(Sync!$L1596,FIND("/",Sync!$L1596)-1))),4)&amp;"/"&amp;RIGHT("00"&amp;VALUE(TRIM(LEFT(MID(Sync!$L1596,FIND("/",Sync!$L1596)+1,20),FIND("/",MID(Sync!$L1596,FIND("/",Sync!$L1596)+1,20))-1))),2)&amp;"/"&amp;RIGHT("00"&amp;VALUE(TRIM(MID(MID(Sync!$L1596,FIND("/",Sync!$L1596)+1,20),FIND("/",MID(Sync!$L1596,FIND("/",Sync!$L1596)+1,20))+1,20))),2),"")))</f>
        <v/>
      </c>
    </row>
    <row r="1597" spans="13:14" x14ac:dyDescent="0.2">
      <c r="M1597" t="str">
        <f>IF(Sync!$M1597&lt;&gt;"پاس چک","",IF(Sync!$P1597="","",Sync!$P1597))</f>
        <v/>
      </c>
      <c r="N1597" t="str">
        <f>IF($M1597="","",IF(ISNUMBER(Sync!$L1597),IF(AND(Sync!$L1597&gt;=10000101,Sync!$L1597&lt;=99991231),RIGHT("0000"&amp;INT(Sync!$L1597/10000),4)&amp;"/"&amp;RIGHT("00"&amp;INT(MOD(Sync!$L1597,10000)/100),2)&amp;"/"&amp;RIGHT("00"&amp;MOD(Sync!$L1597,100),2),""),IFERROR(RIGHT("0000"&amp;VALUE(TRIM(LEFT(Sync!$L1597,FIND("/",Sync!$L1597)-1))),4)&amp;"/"&amp;RIGHT("00"&amp;VALUE(TRIM(LEFT(MID(Sync!$L1597,FIND("/",Sync!$L1597)+1,20),FIND("/",MID(Sync!$L1597,FIND("/",Sync!$L1597)+1,20))-1))),2)&amp;"/"&amp;RIGHT("00"&amp;VALUE(TRIM(MID(MID(Sync!$L1597,FIND("/",Sync!$L1597)+1,20),FIND("/",MID(Sync!$L1597,FIND("/",Sync!$L1597)+1,20))+1,20))),2),"")))</f>
        <v/>
      </c>
    </row>
    <row r="1598" spans="13:14" x14ac:dyDescent="0.2">
      <c r="M1598" t="str">
        <f>IF(Sync!$M1598&lt;&gt;"پاس چک","",IF(Sync!$P1598="","",Sync!$P1598))</f>
        <v/>
      </c>
      <c r="N1598" t="str">
        <f>IF($M1598="","",IF(ISNUMBER(Sync!$L1598),IF(AND(Sync!$L1598&gt;=10000101,Sync!$L1598&lt;=99991231),RIGHT("0000"&amp;INT(Sync!$L1598/10000),4)&amp;"/"&amp;RIGHT("00"&amp;INT(MOD(Sync!$L1598,10000)/100),2)&amp;"/"&amp;RIGHT("00"&amp;MOD(Sync!$L1598,100),2),""),IFERROR(RIGHT("0000"&amp;VALUE(TRIM(LEFT(Sync!$L1598,FIND("/",Sync!$L1598)-1))),4)&amp;"/"&amp;RIGHT("00"&amp;VALUE(TRIM(LEFT(MID(Sync!$L1598,FIND("/",Sync!$L1598)+1,20),FIND("/",MID(Sync!$L1598,FIND("/",Sync!$L1598)+1,20))-1))),2)&amp;"/"&amp;RIGHT("00"&amp;VALUE(TRIM(MID(MID(Sync!$L1598,FIND("/",Sync!$L1598)+1,20),FIND("/",MID(Sync!$L1598,FIND("/",Sync!$L1598)+1,20))+1,20))),2),"")))</f>
        <v/>
      </c>
    </row>
    <row r="1599" spans="13:14" x14ac:dyDescent="0.2">
      <c r="M1599" t="str">
        <f>IF(Sync!$M1599&lt;&gt;"پاس چک","",IF(Sync!$P1599="","",Sync!$P1599))</f>
        <v/>
      </c>
      <c r="N1599" t="str">
        <f>IF($M1599="","",IF(ISNUMBER(Sync!$L1599),IF(AND(Sync!$L1599&gt;=10000101,Sync!$L1599&lt;=99991231),RIGHT("0000"&amp;INT(Sync!$L1599/10000),4)&amp;"/"&amp;RIGHT("00"&amp;INT(MOD(Sync!$L1599,10000)/100),2)&amp;"/"&amp;RIGHT("00"&amp;MOD(Sync!$L1599,100),2),""),IFERROR(RIGHT("0000"&amp;VALUE(TRIM(LEFT(Sync!$L1599,FIND("/",Sync!$L1599)-1))),4)&amp;"/"&amp;RIGHT("00"&amp;VALUE(TRIM(LEFT(MID(Sync!$L1599,FIND("/",Sync!$L1599)+1,20),FIND("/",MID(Sync!$L1599,FIND("/",Sync!$L1599)+1,20))-1))),2)&amp;"/"&amp;RIGHT("00"&amp;VALUE(TRIM(MID(MID(Sync!$L1599,FIND("/",Sync!$L1599)+1,20),FIND("/",MID(Sync!$L1599,FIND("/",Sync!$L1599)+1,20))+1,20))),2),"")))</f>
        <v/>
      </c>
    </row>
    <row r="1600" spans="13:14" x14ac:dyDescent="0.2">
      <c r="M1600" t="str">
        <f>IF(Sync!$M1600&lt;&gt;"پاس چک","",IF(Sync!$P1600="","",Sync!$P1600))</f>
        <v/>
      </c>
      <c r="N1600" t="str">
        <f>IF($M1600="","",IF(ISNUMBER(Sync!$L1600),IF(AND(Sync!$L1600&gt;=10000101,Sync!$L1600&lt;=99991231),RIGHT("0000"&amp;INT(Sync!$L1600/10000),4)&amp;"/"&amp;RIGHT("00"&amp;INT(MOD(Sync!$L1600,10000)/100),2)&amp;"/"&amp;RIGHT("00"&amp;MOD(Sync!$L1600,100),2),""),IFERROR(RIGHT("0000"&amp;VALUE(TRIM(LEFT(Sync!$L1600,FIND("/",Sync!$L1600)-1))),4)&amp;"/"&amp;RIGHT("00"&amp;VALUE(TRIM(LEFT(MID(Sync!$L1600,FIND("/",Sync!$L1600)+1,20),FIND("/",MID(Sync!$L1600,FIND("/",Sync!$L1600)+1,20))-1))),2)&amp;"/"&amp;RIGHT("00"&amp;VALUE(TRIM(MID(MID(Sync!$L1600,FIND("/",Sync!$L1600)+1,20),FIND("/",MID(Sync!$L1600,FIND("/",Sync!$L1600)+1,20))+1,20))),2),"")))</f>
        <v/>
      </c>
    </row>
    <row r="1601" spans="13:14" x14ac:dyDescent="0.2">
      <c r="M1601" t="str">
        <f>IF(Sync!$M1601&lt;&gt;"پاس چک","",IF(Sync!$P1601="","",Sync!$P1601))</f>
        <v/>
      </c>
      <c r="N1601" t="str">
        <f>IF($M1601="","",IF(ISNUMBER(Sync!$L1601),IF(AND(Sync!$L1601&gt;=10000101,Sync!$L1601&lt;=99991231),RIGHT("0000"&amp;INT(Sync!$L1601/10000),4)&amp;"/"&amp;RIGHT("00"&amp;INT(MOD(Sync!$L1601,10000)/100),2)&amp;"/"&amp;RIGHT("00"&amp;MOD(Sync!$L1601,100),2),""),IFERROR(RIGHT("0000"&amp;VALUE(TRIM(LEFT(Sync!$L1601,FIND("/",Sync!$L1601)-1))),4)&amp;"/"&amp;RIGHT("00"&amp;VALUE(TRIM(LEFT(MID(Sync!$L1601,FIND("/",Sync!$L1601)+1,20),FIND("/",MID(Sync!$L1601,FIND("/",Sync!$L1601)+1,20))-1))),2)&amp;"/"&amp;RIGHT("00"&amp;VALUE(TRIM(MID(MID(Sync!$L1601,FIND("/",Sync!$L1601)+1,20),FIND("/",MID(Sync!$L1601,FIND("/",Sync!$L1601)+1,20))+1,20))),2),"")))</f>
        <v/>
      </c>
    </row>
    <row r="1602" spans="13:14" x14ac:dyDescent="0.2">
      <c r="M1602" t="str">
        <f>IF(Sync!$M1602&lt;&gt;"پاس چک","",IF(Sync!$P1602="","",Sync!$P1602))</f>
        <v/>
      </c>
      <c r="N1602" t="str">
        <f>IF($M1602="","",IF(ISNUMBER(Sync!$L1602),IF(AND(Sync!$L1602&gt;=10000101,Sync!$L1602&lt;=99991231),RIGHT("0000"&amp;INT(Sync!$L1602/10000),4)&amp;"/"&amp;RIGHT("00"&amp;INT(MOD(Sync!$L1602,10000)/100),2)&amp;"/"&amp;RIGHT("00"&amp;MOD(Sync!$L1602,100),2),""),IFERROR(RIGHT("0000"&amp;VALUE(TRIM(LEFT(Sync!$L1602,FIND("/",Sync!$L1602)-1))),4)&amp;"/"&amp;RIGHT("00"&amp;VALUE(TRIM(LEFT(MID(Sync!$L1602,FIND("/",Sync!$L1602)+1,20),FIND("/",MID(Sync!$L1602,FIND("/",Sync!$L1602)+1,20))-1))),2)&amp;"/"&amp;RIGHT("00"&amp;VALUE(TRIM(MID(MID(Sync!$L1602,FIND("/",Sync!$L1602)+1,20),FIND("/",MID(Sync!$L1602,FIND("/",Sync!$L1602)+1,20))+1,20))),2),"")))</f>
        <v/>
      </c>
    </row>
    <row r="1603" spans="13:14" x14ac:dyDescent="0.2">
      <c r="M1603" t="str">
        <f>IF(Sync!$M1603&lt;&gt;"پاس چک","",IF(Sync!$P1603="","",Sync!$P1603))</f>
        <v/>
      </c>
      <c r="N1603" t="str">
        <f>IF($M1603="","",IF(ISNUMBER(Sync!$L1603),IF(AND(Sync!$L1603&gt;=10000101,Sync!$L1603&lt;=99991231),RIGHT("0000"&amp;INT(Sync!$L1603/10000),4)&amp;"/"&amp;RIGHT("00"&amp;INT(MOD(Sync!$L1603,10000)/100),2)&amp;"/"&amp;RIGHT("00"&amp;MOD(Sync!$L1603,100),2),""),IFERROR(RIGHT("0000"&amp;VALUE(TRIM(LEFT(Sync!$L1603,FIND("/",Sync!$L1603)-1))),4)&amp;"/"&amp;RIGHT("00"&amp;VALUE(TRIM(LEFT(MID(Sync!$L1603,FIND("/",Sync!$L1603)+1,20),FIND("/",MID(Sync!$L1603,FIND("/",Sync!$L1603)+1,20))-1))),2)&amp;"/"&amp;RIGHT("00"&amp;VALUE(TRIM(MID(MID(Sync!$L1603,FIND("/",Sync!$L1603)+1,20),FIND("/",MID(Sync!$L1603,FIND("/",Sync!$L1603)+1,20))+1,20))),2),"")))</f>
        <v/>
      </c>
    </row>
    <row r="1604" spans="13:14" x14ac:dyDescent="0.2">
      <c r="M1604" t="str">
        <f>IF(Sync!$M1604&lt;&gt;"پاس چک","",IF(Sync!$P1604="","",Sync!$P1604))</f>
        <v/>
      </c>
      <c r="N1604" t="str">
        <f>IF($M1604="","",IF(ISNUMBER(Sync!$L1604),IF(AND(Sync!$L1604&gt;=10000101,Sync!$L1604&lt;=99991231),RIGHT("0000"&amp;INT(Sync!$L1604/10000),4)&amp;"/"&amp;RIGHT("00"&amp;INT(MOD(Sync!$L1604,10000)/100),2)&amp;"/"&amp;RIGHT("00"&amp;MOD(Sync!$L1604,100),2),""),IFERROR(RIGHT("0000"&amp;VALUE(TRIM(LEFT(Sync!$L1604,FIND("/",Sync!$L1604)-1))),4)&amp;"/"&amp;RIGHT("00"&amp;VALUE(TRIM(LEFT(MID(Sync!$L1604,FIND("/",Sync!$L1604)+1,20),FIND("/",MID(Sync!$L1604,FIND("/",Sync!$L1604)+1,20))-1))),2)&amp;"/"&amp;RIGHT("00"&amp;VALUE(TRIM(MID(MID(Sync!$L1604,FIND("/",Sync!$L1604)+1,20),FIND("/",MID(Sync!$L1604,FIND("/",Sync!$L1604)+1,20))+1,20))),2),"")))</f>
        <v/>
      </c>
    </row>
    <row r="1605" spans="13:14" x14ac:dyDescent="0.2">
      <c r="M1605" t="str">
        <f>IF(Sync!$M1605&lt;&gt;"پاس چک","",IF(Sync!$P1605="","",Sync!$P1605))</f>
        <v/>
      </c>
      <c r="N1605" t="str">
        <f>IF($M1605="","",IF(ISNUMBER(Sync!$L1605),IF(AND(Sync!$L1605&gt;=10000101,Sync!$L1605&lt;=99991231),RIGHT("0000"&amp;INT(Sync!$L1605/10000),4)&amp;"/"&amp;RIGHT("00"&amp;INT(MOD(Sync!$L1605,10000)/100),2)&amp;"/"&amp;RIGHT("00"&amp;MOD(Sync!$L1605,100),2),""),IFERROR(RIGHT("0000"&amp;VALUE(TRIM(LEFT(Sync!$L1605,FIND("/",Sync!$L1605)-1))),4)&amp;"/"&amp;RIGHT("00"&amp;VALUE(TRIM(LEFT(MID(Sync!$L1605,FIND("/",Sync!$L1605)+1,20),FIND("/",MID(Sync!$L1605,FIND("/",Sync!$L1605)+1,20))-1))),2)&amp;"/"&amp;RIGHT("00"&amp;VALUE(TRIM(MID(MID(Sync!$L1605,FIND("/",Sync!$L1605)+1,20),FIND("/",MID(Sync!$L1605,FIND("/",Sync!$L1605)+1,20))+1,20))),2),"")))</f>
        <v/>
      </c>
    </row>
    <row r="1606" spans="13:14" x14ac:dyDescent="0.2">
      <c r="M1606" t="str">
        <f>IF(Sync!$M1606&lt;&gt;"پاس چک","",IF(Sync!$P1606="","",Sync!$P1606))</f>
        <v/>
      </c>
      <c r="N1606" t="str">
        <f>IF($M1606="","",IF(ISNUMBER(Sync!$L1606),IF(AND(Sync!$L1606&gt;=10000101,Sync!$L1606&lt;=99991231),RIGHT("0000"&amp;INT(Sync!$L1606/10000),4)&amp;"/"&amp;RIGHT("00"&amp;INT(MOD(Sync!$L1606,10000)/100),2)&amp;"/"&amp;RIGHT("00"&amp;MOD(Sync!$L1606,100),2),""),IFERROR(RIGHT("0000"&amp;VALUE(TRIM(LEFT(Sync!$L1606,FIND("/",Sync!$L1606)-1))),4)&amp;"/"&amp;RIGHT("00"&amp;VALUE(TRIM(LEFT(MID(Sync!$L1606,FIND("/",Sync!$L1606)+1,20),FIND("/",MID(Sync!$L1606,FIND("/",Sync!$L1606)+1,20))-1))),2)&amp;"/"&amp;RIGHT("00"&amp;VALUE(TRIM(MID(MID(Sync!$L1606,FIND("/",Sync!$L1606)+1,20),FIND("/",MID(Sync!$L1606,FIND("/",Sync!$L1606)+1,20))+1,20))),2),"")))</f>
        <v/>
      </c>
    </row>
    <row r="1607" spans="13:14" x14ac:dyDescent="0.2">
      <c r="M1607" t="str">
        <f>IF(Sync!$M1607&lt;&gt;"پاس چک","",IF(Sync!$P1607="","",Sync!$P1607))</f>
        <v/>
      </c>
      <c r="N1607" t="str">
        <f>IF($M1607="","",IF(ISNUMBER(Sync!$L1607),IF(AND(Sync!$L1607&gt;=10000101,Sync!$L1607&lt;=99991231),RIGHT("0000"&amp;INT(Sync!$L1607/10000),4)&amp;"/"&amp;RIGHT("00"&amp;INT(MOD(Sync!$L1607,10000)/100),2)&amp;"/"&amp;RIGHT("00"&amp;MOD(Sync!$L1607,100),2),""),IFERROR(RIGHT("0000"&amp;VALUE(TRIM(LEFT(Sync!$L1607,FIND("/",Sync!$L1607)-1))),4)&amp;"/"&amp;RIGHT("00"&amp;VALUE(TRIM(LEFT(MID(Sync!$L1607,FIND("/",Sync!$L1607)+1,20),FIND("/",MID(Sync!$L1607,FIND("/",Sync!$L1607)+1,20))-1))),2)&amp;"/"&amp;RIGHT("00"&amp;VALUE(TRIM(MID(MID(Sync!$L1607,FIND("/",Sync!$L1607)+1,20),FIND("/",MID(Sync!$L1607,FIND("/",Sync!$L1607)+1,20))+1,20))),2),"")))</f>
        <v/>
      </c>
    </row>
    <row r="1608" spans="13:14" x14ac:dyDescent="0.2">
      <c r="M1608" t="str">
        <f>IF(Sync!$M1608&lt;&gt;"پاس چک","",IF(Sync!$P1608="","",Sync!$P1608))</f>
        <v/>
      </c>
      <c r="N1608" t="str">
        <f>IF($M1608="","",IF(ISNUMBER(Sync!$L1608),IF(AND(Sync!$L1608&gt;=10000101,Sync!$L1608&lt;=99991231),RIGHT("0000"&amp;INT(Sync!$L1608/10000),4)&amp;"/"&amp;RIGHT("00"&amp;INT(MOD(Sync!$L1608,10000)/100),2)&amp;"/"&amp;RIGHT("00"&amp;MOD(Sync!$L1608,100),2),""),IFERROR(RIGHT("0000"&amp;VALUE(TRIM(LEFT(Sync!$L1608,FIND("/",Sync!$L1608)-1))),4)&amp;"/"&amp;RIGHT("00"&amp;VALUE(TRIM(LEFT(MID(Sync!$L1608,FIND("/",Sync!$L1608)+1,20),FIND("/",MID(Sync!$L1608,FIND("/",Sync!$L1608)+1,20))-1))),2)&amp;"/"&amp;RIGHT("00"&amp;VALUE(TRIM(MID(MID(Sync!$L1608,FIND("/",Sync!$L1608)+1,20),FIND("/",MID(Sync!$L1608,FIND("/",Sync!$L1608)+1,20))+1,20))),2),"")))</f>
        <v/>
      </c>
    </row>
    <row r="1609" spans="13:14" x14ac:dyDescent="0.2">
      <c r="M1609" t="str">
        <f>IF(Sync!$M1609&lt;&gt;"پاس چک","",IF(Sync!$P1609="","",Sync!$P1609))</f>
        <v/>
      </c>
      <c r="N1609" t="str">
        <f>IF($M1609="","",IF(ISNUMBER(Sync!$L1609),IF(AND(Sync!$L1609&gt;=10000101,Sync!$L1609&lt;=99991231),RIGHT("0000"&amp;INT(Sync!$L1609/10000),4)&amp;"/"&amp;RIGHT("00"&amp;INT(MOD(Sync!$L1609,10000)/100),2)&amp;"/"&amp;RIGHT("00"&amp;MOD(Sync!$L1609,100),2),""),IFERROR(RIGHT("0000"&amp;VALUE(TRIM(LEFT(Sync!$L1609,FIND("/",Sync!$L1609)-1))),4)&amp;"/"&amp;RIGHT("00"&amp;VALUE(TRIM(LEFT(MID(Sync!$L1609,FIND("/",Sync!$L1609)+1,20),FIND("/",MID(Sync!$L1609,FIND("/",Sync!$L1609)+1,20))-1))),2)&amp;"/"&amp;RIGHT("00"&amp;VALUE(TRIM(MID(MID(Sync!$L1609,FIND("/",Sync!$L1609)+1,20),FIND("/",MID(Sync!$L1609,FIND("/",Sync!$L1609)+1,20))+1,20))),2),"")))</f>
        <v/>
      </c>
    </row>
    <row r="1610" spans="13:14" x14ac:dyDescent="0.2">
      <c r="M1610" t="str">
        <f>IF(Sync!$M1610&lt;&gt;"پاس چک","",IF(Sync!$P1610="","",Sync!$P1610))</f>
        <v/>
      </c>
      <c r="N1610" t="str">
        <f>IF($M1610="","",IF(ISNUMBER(Sync!$L1610),IF(AND(Sync!$L1610&gt;=10000101,Sync!$L1610&lt;=99991231),RIGHT("0000"&amp;INT(Sync!$L1610/10000),4)&amp;"/"&amp;RIGHT("00"&amp;INT(MOD(Sync!$L1610,10000)/100),2)&amp;"/"&amp;RIGHT("00"&amp;MOD(Sync!$L1610,100),2),""),IFERROR(RIGHT("0000"&amp;VALUE(TRIM(LEFT(Sync!$L1610,FIND("/",Sync!$L1610)-1))),4)&amp;"/"&amp;RIGHT("00"&amp;VALUE(TRIM(LEFT(MID(Sync!$L1610,FIND("/",Sync!$L1610)+1,20),FIND("/",MID(Sync!$L1610,FIND("/",Sync!$L1610)+1,20))-1))),2)&amp;"/"&amp;RIGHT("00"&amp;VALUE(TRIM(MID(MID(Sync!$L1610,FIND("/",Sync!$L1610)+1,20),FIND("/",MID(Sync!$L1610,FIND("/",Sync!$L1610)+1,20))+1,20))),2),"")))</f>
        <v/>
      </c>
    </row>
    <row r="1611" spans="13:14" x14ac:dyDescent="0.2">
      <c r="M1611" t="str">
        <f>IF(Sync!$M1611&lt;&gt;"پاس چک","",IF(Sync!$P1611="","",Sync!$P1611))</f>
        <v/>
      </c>
      <c r="N1611" t="str">
        <f>IF($M1611="","",IF(ISNUMBER(Sync!$L1611),IF(AND(Sync!$L1611&gt;=10000101,Sync!$L1611&lt;=99991231),RIGHT("0000"&amp;INT(Sync!$L1611/10000),4)&amp;"/"&amp;RIGHT("00"&amp;INT(MOD(Sync!$L1611,10000)/100),2)&amp;"/"&amp;RIGHT("00"&amp;MOD(Sync!$L1611,100),2),""),IFERROR(RIGHT("0000"&amp;VALUE(TRIM(LEFT(Sync!$L1611,FIND("/",Sync!$L1611)-1))),4)&amp;"/"&amp;RIGHT("00"&amp;VALUE(TRIM(LEFT(MID(Sync!$L1611,FIND("/",Sync!$L1611)+1,20),FIND("/",MID(Sync!$L1611,FIND("/",Sync!$L1611)+1,20))-1))),2)&amp;"/"&amp;RIGHT("00"&amp;VALUE(TRIM(MID(MID(Sync!$L1611,FIND("/",Sync!$L1611)+1,20),FIND("/",MID(Sync!$L1611,FIND("/",Sync!$L1611)+1,20))+1,20))),2),"")))</f>
        <v/>
      </c>
    </row>
    <row r="1612" spans="13:14" x14ac:dyDescent="0.2">
      <c r="M1612" t="str">
        <f>IF(Sync!$M1612&lt;&gt;"پاس چک","",IF(Sync!$P1612="","",Sync!$P1612))</f>
        <v/>
      </c>
      <c r="N1612" t="str">
        <f>IF($M1612="","",IF(ISNUMBER(Sync!$L1612),IF(AND(Sync!$L1612&gt;=10000101,Sync!$L1612&lt;=99991231),RIGHT("0000"&amp;INT(Sync!$L1612/10000),4)&amp;"/"&amp;RIGHT("00"&amp;INT(MOD(Sync!$L1612,10000)/100),2)&amp;"/"&amp;RIGHT("00"&amp;MOD(Sync!$L1612,100),2),""),IFERROR(RIGHT("0000"&amp;VALUE(TRIM(LEFT(Sync!$L1612,FIND("/",Sync!$L1612)-1))),4)&amp;"/"&amp;RIGHT("00"&amp;VALUE(TRIM(LEFT(MID(Sync!$L1612,FIND("/",Sync!$L1612)+1,20),FIND("/",MID(Sync!$L1612,FIND("/",Sync!$L1612)+1,20))-1))),2)&amp;"/"&amp;RIGHT("00"&amp;VALUE(TRIM(MID(MID(Sync!$L1612,FIND("/",Sync!$L1612)+1,20),FIND("/",MID(Sync!$L1612,FIND("/",Sync!$L1612)+1,20))+1,20))),2),"")))</f>
        <v/>
      </c>
    </row>
    <row r="1613" spans="13:14" x14ac:dyDescent="0.2">
      <c r="M1613" t="str">
        <f>IF(Sync!$M1613&lt;&gt;"پاس چک","",IF(Sync!$P1613="","",Sync!$P1613))</f>
        <v/>
      </c>
      <c r="N1613" t="str">
        <f>IF($M1613="","",IF(ISNUMBER(Sync!$L1613),IF(AND(Sync!$L1613&gt;=10000101,Sync!$L1613&lt;=99991231),RIGHT("0000"&amp;INT(Sync!$L1613/10000),4)&amp;"/"&amp;RIGHT("00"&amp;INT(MOD(Sync!$L1613,10000)/100),2)&amp;"/"&amp;RIGHT("00"&amp;MOD(Sync!$L1613,100),2),""),IFERROR(RIGHT("0000"&amp;VALUE(TRIM(LEFT(Sync!$L1613,FIND("/",Sync!$L1613)-1))),4)&amp;"/"&amp;RIGHT("00"&amp;VALUE(TRIM(LEFT(MID(Sync!$L1613,FIND("/",Sync!$L1613)+1,20),FIND("/",MID(Sync!$L1613,FIND("/",Sync!$L1613)+1,20))-1))),2)&amp;"/"&amp;RIGHT("00"&amp;VALUE(TRIM(MID(MID(Sync!$L1613,FIND("/",Sync!$L1613)+1,20),FIND("/",MID(Sync!$L1613,FIND("/",Sync!$L1613)+1,20))+1,20))),2),"")))</f>
        <v/>
      </c>
    </row>
    <row r="1614" spans="13:14" x14ac:dyDescent="0.2">
      <c r="M1614" t="str">
        <f>IF(Sync!$M1614&lt;&gt;"پاس چک","",IF(Sync!$P1614="","",Sync!$P1614))</f>
        <v/>
      </c>
      <c r="N1614" t="str">
        <f>IF($M1614="","",IF(ISNUMBER(Sync!$L1614),IF(AND(Sync!$L1614&gt;=10000101,Sync!$L1614&lt;=99991231),RIGHT("0000"&amp;INT(Sync!$L1614/10000),4)&amp;"/"&amp;RIGHT("00"&amp;INT(MOD(Sync!$L1614,10000)/100),2)&amp;"/"&amp;RIGHT("00"&amp;MOD(Sync!$L1614,100),2),""),IFERROR(RIGHT("0000"&amp;VALUE(TRIM(LEFT(Sync!$L1614,FIND("/",Sync!$L1614)-1))),4)&amp;"/"&amp;RIGHT("00"&amp;VALUE(TRIM(LEFT(MID(Sync!$L1614,FIND("/",Sync!$L1614)+1,20),FIND("/",MID(Sync!$L1614,FIND("/",Sync!$L1614)+1,20))-1))),2)&amp;"/"&amp;RIGHT("00"&amp;VALUE(TRIM(MID(MID(Sync!$L1614,FIND("/",Sync!$L1614)+1,20),FIND("/",MID(Sync!$L1614,FIND("/",Sync!$L1614)+1,20))+1,20))),2),"")))</f>
        <v/>
      </c>
    </row>
    <row r="1615" spans="13:14" x14ac:dyDescent="0.2">
      <c r="M1615" t="str">
        <f>IF(Sync!$M1615&lt;&gt;"پاس چک","",IF(Sync!$P1615="","",Sync!$P1615))</f>
        <v/>
      </c>
      <c r="N1615" t="str">
        <f>IF($M1615="","",IF(ISNUMBER(Sync!$L1615),IF(AND(Sync!$L1615&gt;=10000101,Sync!$L1615&lt;=99991231),RIGHT("0000"&amp;INT(Sync!$L1615/10000),4)&amp;"/"&amp;RIGHT("00"&amp;INT(MOD(Sync!$L1615,10000)/100),2)&amp;"/"&amp;RIGHT("00"&amp;MOD(Sync!$L1615,100),2),""),IFERROR(RIGHT("0000"&amp;VALUE(TRIM(LEFT(Sync!$L1615,FIND("/",Sync!$L1615)-1))),4)&amp;"/"&amp;RIGHT("00"&amp;VALUE(TRIM(LEFT(MID(Sync!$L1615,FIND("/",Sync!$L1615)+1,20),FIND("/",MID(Sync!$L1615,FIND("/",Sync!$L1615)+1,20))-1))),2)&amp;"/"&amp;RIGHT("00"&amp;VALUE(TRIM(MID(MID(Sync!$L1615,FIND("/",Sync!$L1615)+1,20),FIND("/",MID(Sync!$L1615,FIND("/",Sync!$L1615)+1,20))+1,20))),2),"")))</f>
        <v/>
      </c>
    </row>
    <row r="1616" spans="13:14" x14ac:dyDescent="0.2">
      <c r="M1616" t="str">
        <f>IF(Sync!$M1616&lt;&gt;"پاس چک","",IF(Sync!$P1616="","",Sync!$P1616))</f>
        <v/>
      </c>
      <c r="N1616" t="str">
        <f>IF($M1616="","",IF(ISNUMBER(Sync!$L1616),IF(AND(Sync!$L1616&gt;=10000101,Sync!$L1616&lt;=99991231),RIGHT("0000"&amp;INT(Sync!$L1616/10000),4)&amp;"/"&amp;RIGHT("00"&amp;INT(MOD(Sync!$L1616,10000)/100),2)&amp;"/"&amp;RIGHT("00"&amp;MOD(Sync!$L1616,100),2),""),IFERROR(RIGHT("0000"&amp;VALUE(TRIM(LEFT(Sync!$L1616,FIND("/",Sync!$L1616)-1))),4)&amp;"/"&amp;RIGHT("00"&amp;VALUE(TRIM(LEFT(MID(Sync!$L1616,FIND("/",Sync!$L1616)+1,20),FIND("/",MID(Sync!$L1616,FIND("/",Sync!$L1616)+1,20))-1))),2)&amp;"/"&amp;RIGHT("00"&amp;VALUE(TRIM(MID(MID(Sync!$L1616,FIND("/",Sync!$L1616)+1,20),FIND("/",MID(Sync!$L1616,FIND("/",Sync!$L1616)+1,20))+1,20))),2),"")))</f>
        <v/>
      </c>
    </row>
    <row r="1617" spans="13:14" x14ac:dyDescent="0.2">
      <c r="M1617" t="str">
        <f>IF(Sync!$M1617&lt;&gt;"پاس چک","",IF(Sync!$P1617="","",Sync!$P1617))</f>
        <v/>
      </c>
      <c r="N1617" t="str">
        <f>IF($M1617="","",IF(ISNUMBER(Sync!$L1617),IF(AND(Sync!$L1617&gt;=10000101,Sync!$L1617&lt;=99991231),RIGHT("0000"&amp;INT(Sync!$L1617/10000),4)&amp;"/"&amp;RIGHT("00"&amp;INT(MOD(Sync!$L1617,10000)/100),2)&amp;"/"&amp;RIGHT("00"&amp;MOD(Sync!$L1617,100),2),""),IFERROR(RIGHT("0000"&amp;VALUE(TRIM(LEFT(Sync!$L1617,FIND("/",Sync!$L1617)-1))),4)&amp;"/"&amp;RIGHT("00"&amp;VALUE(TRIM(LEFT(MID(Sync!$L1617,FIND("/",Sync!$L1617)+1,20),FIND("/",MID(Sync!$L1617,FIND("/",Sync!$L1617)+1,20))-1))),2)&amp;"/"&amp;RIGHT("00"&amp;VALUE(TRIM(MID(MID(Sync!$L1617,FIND("/",Sync!$L1617)+1,20),FIND("/",MID(Sync!$L1617,FIND("/",Sync!$L1617)+1,20))+1,20))),2),"")))</f>
        <v/>
      </c>
    </row>
    <row r="1618" spans="13:14" x14ac:dyDescent="0.2">
      <c r="M1618" t="str">
        <f>IF(Sync!$M1618&lt;&gt;"پاس چک","",IF(Sync!$P1618="","",Sync!$P1618))</f>
        <v/>
      </c>
      <c r="N1618" t="str">
        <f>IF($M1618="","",IF(ISNUMBER(Sync!$L1618),IF(AND(Sync!$L1618&gt;=10000101,Sync!$L1618&lt;=99991231),RIGHT("0000"&amp;INT(Sync!$L1618/10000),4)&amp;"/"&amp;RIGHT("00"&amp;INT(MOD(Sync!$L1618,10000)/100),2)&amp;"/"&amp;RIGHT("00"&amp;MOD(Sync!$L1618,100),2),""),IFERROR(RIGHT("0000"&amp;VALUE(TRIM(LEFT(Sync!$L1618,FIND("/",Sync!$L1618)-1))),4)&amp;"/"&amp;RIGHT("00"&amp;VALUE(TRIM(LEFT(MID(Sync!$L1618,FIND("/",Sync!$L1618)+1,20),FIND("/",MID(Sync!$L1618,FIND("/",Sync!$L1618)+1,20))-1))),2)&amp;"/"&amp;RIGHT("00"&amp;VALUE(TRIM(MID(MID(Sync!$L1618,FIND("/",Sync!$L1618)+1,20),FIND("/",MID(Sync!$L1618,FIND("/",Sync!$L1618)+1,20))+1,20))),2),"")))</f>
        <v/>
      </c>
    </row>
    <row r="1619" spans="13:14" x14ac:dyDescent="0.2">
      <c r="M1619" t="str">
        <f>IF(Sync!$M1619&lt;&gt;"پاس چک","",IF(Sync!$P1619="","",Sync!$P1619))</f>
        <v/>
      </c>
      <c r="N1619" t="str">
        <f>IF($M1619="","",IF(ISNUMBER(Sync!$L1619),IF(AND(Sync!$L1619&gt;=10000101,Sync!$L1619&lt;=99991231),RIGHT("0000"&amp;INT(Sync!$L1619/10000),4)&amp;"/"&amp;RIGHT("00"&amp;INT(MOD(Sync!$L1619,10000)/100),2)&amp;"/"&amp;RIGHT("00"&amp;MOD(Sync!$L1619,100),2),""),IFERROR(RIGHT("0000"&amp;VALUE(TRIM(LEFT(Sync!$L1619,FIND("/",Sync!$L1619)-1))),4)&amp;"/"&amp;RIGHT("00"&amp;VALUE(TRIM(LEFT(MID(Sync!$L1619,FIND("/",Sync!$L1619)+1,20),FIND("/",MID(Sync!$L1619,FIND("/",Sync!$L1619)+1,20))-1))),2)&amp;"/"&amp;RIGHT("00"&amp;VALUE(TRIM(MID(MID(Sync!$L1619,FIND("/",Sync!$L1619)+1,20),FIND("/",MID(Sync!$L1619,FIND("/",Sync!$L1619)+1,20))+1,20))),2),"")))</f>
        <v/>
      </c>
    </row>
    <row r="1620" spans="13:14" x14ac:dyDescent="0.2">
      <c r="M1620" t="str">
        <f>IF(Sync!$M1620&lt;&gt;"پاس چک","",IF(Sync!$P1620="","",Sync!$P1620))</f>
        <v/>
      </c>
      <c r="N1620" t="str">
        <f>IF($M1620="","",IF(ISNUMBER(Sync!$L1620),IF(AND(Sync!$L1620&gt;=10000101,Sync!$L1620&lt;=99991231),RIGHT("0000"&amp;INT(Sync!$L1620/10000),4)&amp;"/"&amp;RIGHT("00"&amp;INT(MOD(Sync!$L1620,10000)/100),2)&amp;"/"&amp;RIGHT("00"&amp;MOD(Sync!$L1620,100),2),""),IFERROR(RIGHT("0000"&amp;VALUE(TRIM(LEFT(Sync!$L1620,FIND("/",Sync!$L1620)-1))),4)&amp;"/"&amp;RIGHT("00"&amp;VALUE(TRIM(LEFT(MID(Sync!$L1620,FIND("/",Sync!$L1620)+1,20),FIND("/",MID(Sync!$L1620,FIND("/",Sync!$L1620)+1,20))-1))),2)&amp;"/"&amp;RIGHT("00"&amp;VALUE(TRIM(MID(MID(Sync!$L1620,FIND("/",Sync!$L1620)+1,20),FIND("/",MID(Sync!$L1620,FIND("/",Sync!$L1620)+1,20))+1,20))),2),"")))</f>
        <v/>
      </c>
    </row>
    <row r="1621" spans="13:14" x14ac:dyDescent="0.2">
      <c r="M1621" t="str">
        <f>IF(Sync!$M1621&lt;&gt;"پاس چک","",IF(Sync!$P1621="","",Sync!$P1621))</f>
        <v/>
      </c>
      <c r="N1621" t="str">
        <f>IF($M1621="","",IF(ISNUMBER(Sync!$L1621),IF(AND(Sync!$L1621&gt;=10000101,Sync!$L1621&lt;=99991231),RIGHT("0000"&amp;INT(Sync!$L1621/10000),4)&amp;"/"&amp;RIGHT("00"&amp;INT(MOD(Sync!$L1621,10000)/100),2)&amp;"/"&amp;RIGHT("00"&amp;MOD(Sync!$L1621,100),2),""),IFERROR(RIGHT("0000"&amp;VALUE(TRIM(LEFT(Sync!$L1621,FIND("/",Sync!$L1621)-1))),4)&amp;"/"&amp;RIGHT("00"&amp;VALUE(TRIM(LEFT(MID(Sync!$L1621,FIND("/",Sync!$L1621)+1,20),FIND("/",MID(Sync!$L1621,FIND("/",Sync!$L1621)+1,20))-1))),2)&amp;"/"&amp;RIGHT("00"&amp;VALUE(TRIM(MID(MID(Sync!$L1621,FIND("/",Sync!$L1621)+1,20),FIND("/",MID(Sync!$L1621,FIND("/",Sync!$L1621)+1,20))+1,20))),2),"")))</f>
        <v/>
      </c>
    </row>
    <row r="1622" spans="13:14" x14ac:dyDescent="0.2">
      <c r="M1622" t="str">
        <f>IF(Sync!$M1622&lt;&gt;"پاس چک","",IF(Sync!$P1622="","",Sync!$P1622))</f>
        <v/>
      </c>
      <c r="N1622" t="str">
        <f>IF($M1622="","",IF(ISNUMBER(Sync!$L1622),IF(AND(Sync!$L1622&gt;=10000101,Sync!$L1622&lt;=99991231),RIGHT("0000"&amp;INT(Sync!$L1622/10000),4)&amp;"/"&amp;RIGHT("00"&amp;INT(MOD(Sync!$L1622,10000)/100),2)&amp;"/"&amp;RIGHT("00"&amp;MOD(Sync!$L1622,100),2),""),IFERROR(RIGHT("0000"&amp;VALUE(TRIM(LEFT(Sync!$L1622,FIND("/",Sync!$L1622)-1))),4)&amp;"/"&amp;RIGHT("00"&amp;VALUE(TRIM(LEFT(MID(Sync!$L1622,FIND("/",Sync!$L1622)+1,20),FIND("/",MID(Sync!$L1622,FIND("/",Sync!$L1622)+1,20))-1))),2)&amp;"/"&amp;RIGHT("00"&amp;VALUE(TRIM(MID(MID(Sync!$L1622,FIND("/",Sync!$L1622)+1,20),FIND("/",MID(Sync!$L1622,FIND("/",Sync!$L1622)+1,20))+1,20))),2),"")))</f>
        <v/>
      </c>
    </row>
    <row r="1623" spans="13:14" x14ac:dyDescent="0.2">
      <c r="M1623" t="str">
        <f>IF(Sync!$M1623&lt;&gt;"پاس چک","",IF(Sync!$P1623="","",Sync!$P1623))</f>
        <v/>
      </c>
      <c r="N1623" t="str">
        <f>IF($M1623="","",IF(ISNUMBER(Sync!$L1623),IF(AND(Sync!$L1623&gt;=10000101,Sync!$L1623&lt;=99991231),RIGHT("0000"&amp;INT(Sync!$L1623/10000),4)&amp;"/"&amp;RIGHT("00"&amp;INT(MOD(Sync!$L1623,10000)/100),2)&amp;"/"&amp;RIGHT("00"&amp;MOD(Sync!$L1623,100),2),""),IFERROR(RIGHT("0000"&amp;VALUE(TRIM(LEFT(Sync!$L1623,FIND("/",Sync!$L1623)-1))),4)&amp;"/"&amp;RIGHT("00"&amp;VALUE(TRIM(LEFT(MID(Sync!$L1623,FIND("/",Sync!$L1623)+1,20),FIND("/",MID(Sync!$L1623,FIND("/",Sync!$L1623)+1,20))-1))),2)&amp;"/"&amp;RIGHT("00"&amp;VALUE(TRIM(MID(MID(Sync!$L1623,FIND("/",Sync!$L1623)+1,20),FIND("/",MID(Sync!$L1623,FIND("/",Sync!$L1623)+1,20))+1,20))),2),"")))</f>
        <v/>
      </c>
    </row>
    <row r="1624" spans="13:14" x14ac:dyDescent="0.2">
      <c r="M1624" t="str">
        <f>IF(Sync!$M1624&lt;&gt;"پاس چک","",IF(Sync!$P1624="","",Sync!$P1624))</f>
        <v/>
      </c>
      <c r="N1624" t="str">
        <f>IF($M1624="","",IF(ISNUMBER(Sync!$L1624),IF(AND(Sync!$L1624&gt;=10000101,Sync!$L1624&lt;=99991231),RIGHT("0000"&amp;INT(Sync!$L1624/10000),4)&amp;"/"&amp;RIGHT("00"&amp;INT(MOD(Sync!$L1624,10000)/100),2)&amp;"/"&amp;RIGHT("00"&amp;MOD(Sync!$L1624,100),2),""),IFERROR(RIGHT("0000"&amp;VALUE(TRIM(LEFT(Sync!$L1624,FIND("/",Sync!$L1624)-1))),4)&amp;"/"&amp;RIGHT("00"&amp;VALUE(TRIM(LEFT(MID(Sync!$L1624,FIND("/",Sync!$L1624)+1,20),FIND("/",MID(Sync!$L1624,FIND("/",Sync!$L1624)+1,20))-1))),2)&amp;"/"&amp;RIGHT("00"&amp;VALUE(TRIM(MID(MID(Sync!$L1624,FIND("/",Sync!$L1624)+1,20),FIND("/",MID(Sync!$L1624,FIND("/",Sync!$L1624)+1,20))+1,20))),2),"")))</f>
        <v/>
      </c>
    </row>
    <row r="1625" spans="13:14" x14ac:dyDescent="0.2">
      <c r="M1625" t="str">
        <f>IF(Sync!$M1625&lt;&gt;"پاس چک","",IF(Sync!$P1625="","",Sync!$P1625))</f>
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IGHT("00"&amp;MOD(Sync!$L1625,100),2),""),IFERROR(RIGHT("0000"&amp;VALUE(TRIM(LEFT(Sync!$L1625,FIND("/",Sync!$L1625)-1))),4)&amp;"/"&amp;RIGHT("00"&amp;VALUE(TRIM(LEFT(MID(Sync!$L1625,FIND("/",Sync!$L1625)+1,20),FIND("/",MID(Sync!$L1625,FIND("/",Sync!$L1625)+1,20))-1))),2)&amp;"/"&amp;RIGHT("00"&amp;VALUE(TRIM(MID(MID(Sync!$L1625,FIND("/",Sync!$L1625)+1,20),FIND("/",MID(Sync!$L1625,FIND("/",Sync!$L1625)+1,20))+1,20))),2),"")))</f>
        <v/>
      </c>
    </row>
    <row r="1626" spans="13:14" x14ac:dyDescent="0.2">
      <c r="M1626" t="str">
        <f>IF(Sync!$M1626&lt;&gt;"پاس چک","",IF(Sync!$P1626="","",Sync!$P1626))</f>
        <v/>
      </c>
      <c r="N1626" t="str">
        <f>IF($M1626="","",IF(ISNUMBER(Sync!$L1626),IF(AND(Sync!$L1626&gt;=10000101,Sync!$L1626&lt;=99991231),RIGHT("0000"&amp;INT(Sync!$L1626/10000),4)&amp;"/"&amp;RIGHT("00"&amp;INT(MOD(Sync!$L1626,10000)/100),2)&amp;"/"&amp;RIGHT("00"&amp;MOD(Sync!$L1626,100),2),""),IFERROR(RIGHT("0000"&amp;VALUE(TRIM(LEFT(Sync!$L1626,FIND("/",Sync!$L1626)-1))),4)&amp;"/"&amp;RIGHT("00"&amp;VALUE(TRIM(LEFT(MID(Sync!$L1626,FIND("/",Sync!$L1626)+1,20),FIND("/",MID(Sync!$L1626,FIND("/",Sync!$L1626)+1,20))-1))),2)&amp;"/"&amp;RIGHT("00"&amp;VALUE(TRIM(MID(MID(Sync!$L1626,FIND("/",Sync!$L1626)+1,20),FIND("/",MID(Sync!$L1626,FIND("/",Sync!$L1626)+1,20))+1,20))),2),"")))</f>
        <v/>
      </c>
    </row>
    <row r="1627" spans="13:14" x14ac:dyDescent="0.2">
      <c r="M1627" t="str">
        <f>IF(Sync!$M1627&lt;&gt;"پاس چک","",IF(Sync!$P1627="","",Sync!$P1627))</f>
        <v/>
      </c>
      <c r="N1627" t="str">
        <f>IF($M1627="","",IF(ISNUMBER(Sync!$L1627),IF(AND(Sync!$L1627&gt;=10000101,Sync!$L1627&lt;=99991231),RIGHT("0000"&amp;INT(Sync!$L1627/10000),4)&amp;"/"&amp;RIGHT("00"&amp;INT(MOD(Sync!$L1627,10000)/100),2)&amp;"/"&amp;RIGHT("00"&amp;MOD(Sync!$L1627,100),2),""),IFERROR(RIGHT("0000"&amp;VALUE(TRIM(LEFT(Sync!$L1627,FIND("/",Sync!$L1627)-1))),4)&amp;"/"&amp;RIGHT("00"&amp;VALUE(TRIM(LEFT(MID(Sync!$L1627,FIND("/",Sync!$L1627)+1,20),FIND("/",MID(Sync!$L1627,FIND("/",Sync!$L1627)+1,20))-1))),2)&amp;"/"&amp;RIGHT("00"&amp;VALUE(TRIM(MID(MID(Sync!$L1627,FIND("/",Sync!$L1627)+1,20),FIND("/",MID(Sync!$L1627,FIND("/",Sync!$L1627)+1,20))+1,20))),2),"")))</f>
        <v/>
      </c>
    </row>
    <row r="1628" spans="13:14" x14ac:dyDescent="0.2">
      <c r="M1628" t="str">
        <f>IF(Sync!$M1628&lt;&gt;"پاس چک","",IF(Sync!$P1628="","",Sync!$P1628))</f>
        <v/>
      </c>
      <c r="N1628" t="str">
        <f>IF($M1628="","",IF(ISNUMBER(Sync!$L1628),IF(AND(Sync!$L1628&gt;=10000101,Sync!$L1628&lt;=99991231),RIGHT("0000"&amp;INT(Sync!$L1628/10000),4)&amp;"/"&amp;RIGHT("00"&amp;INT(MOD(Sync!$L1628,10000)/100),2)&amp;"/"&amp;RIGHT("00"&amp;MOD(Sync!$L1628,100),2),""),IFERROR(RIGHT("0000"&amp;VALUE(TRIM(LEFT(Sync!$L1628,FIND("/",Sync!$L1628)-1))),4)&amp;"/"&amp;RIGHT("00"&amp;VALUE(TRIM(LEFT(MID(Sync!$L1628,FIND("/",Sync!$L1628)+1,20),FIND("/",MID(Sync!$L1628,FIND("/",Sync!$L1628)+1,20))-1))),2)&amp;"/"&amp;RIGHT("00"&amp;VALUE(TRIM(MID(MID(Sync!$L1628,FIND("/",Sync!$L1628)+1,20),FIND("/",MID(Sync!$L1628,FIND("/",Sync!$L1628)+1,20))+1,20))),2),"")))</f>
        <v/>
      </c>
    </row>
    <row r="1629" spans="13:14" x14ac:dyDescent="0.2">
      <c r="M1629" t="str">
        <f>IF(Sync!$M1629&lt;&gt;"پاس چک","",IF(Sync!$P1629="","",Sync!$P1629))</f>
        <v/>
      </c>
      <c r="N1629" t="str">
        <f>IF($M1629="","",IF(ISNUMBER(Sync!$L1629),IF(AND(Sync!$L1629&gt;=10000101,Sync!$L1629&lt;=99991231),RIGHT("0000"&amp;INT(Sync!$L1629/10000),4)&amp;"/"&amp;RIGHT("00"&amp;INT(MOD(Sync!$L1629,10000)/100),2)&amp;"/"&amp;RIGHT("00"&amp;MOD(Sync!$L1629,100),2),""),IFERROR(RIGHT("0000"&amp;VALUE(TRIM(LEFT(Sync!$L1629,FIND("/",Sync!$L1629)-1))),4)&amp;"/"&amp;RIGHT("00"&amp;VALUE(TRIM(LEFT(MID(Sync!$L1629,FIND("/",Sync!$L1629)+1,20),FIND("/",MID(Sync!$L1629,FIND("/",Sync!$L1629)+1,20))-1))),2)&amp;"/"&amp;RIGHT("00"&amp;VALUE(TRIM(MID(MID(Sync!$L1629,FIND("/",Sync!$L1629)+1,20),FIND("/",MID(Sync!$L1629,FIND("/",Sync!$L1629)+1,20))+1,20))),2),"")))</f>
        <v/>
      </c>
    </row>
    <row r="1630" spans="13:14" x14ac:dyDescent="0.2">
      <c r="M1630" t="str">
        <f>IF(Sync!$M1630&lt;&gt;"پاس چک","",IF(Sync!$P1630="","",Sync!$P1630))</f>
        <v/>
      </c>
      <c r="N1630" t="str">
        <f>IF($M1630="","",IF(ISNUMBER(Sync!$L1630),IF(AND(Sync!$L1630&gt;=10000101,Sync!$L1630&lt;=99991231),RIGHT("0000"&amp;INT(Sync!$L1630/10000),4)&amp;"/"&amp;RIGHT("00"&amp;INT(MOD(Sync!$L1630,10000)/100),2)&amp;"/"&amp;RIGHT("00"&amp;MOD(Sync!$L1630,100),2),""),IFERROR(RIGHT("0000"&amp;VALUE(TRIM(LEFT(Sync!$L1630,FIND("/",Sync!$L1630)-1))),4)&amp;"/"&amp;RIGHT("00"&amp;VALUE(TRIM(LEFT(MID(Sync!$L1630,FIND("/",Sync!$L1630)+1,20),FIND("/",MID(Sync!$L1630,FIND("/",Sync!$L1630)+1,20))-1))),2)&amp;"/"&amp;RIGHT("00"&amp;VALUE(TRIM(MID(MID(Sync!$L1630,FIND("/",Sync!$L1630)+1,20),FIND("/",MID(Sync!$L1630,FIND("/",Sync!$L1630)+1,20))+1,20))),2),"")))</f>
        <v/>
      </c>
    </row>
    <row r="1631" spans="13:14" x14ac:dyDescent="0.2">
      <c r="M1631" t="str">
        <f>IF(Sync!$M1631&lt;&gt;"پاس چک","",IF(Sync!$P1631="","",Sync!$P1631))</f>
        <v/>
      </c>
      <c r="N1631" t="str">
        <f>IF($M1631="","",IF(ISNUMBER(Sync!$L1631),IF(AND(Sync!$L1631&gt;=10000101,Sync!$L1631&lt;=99991231),RIGHT("0000"&amp;INT(Sync!$L1631/10000),4)&amp;"/"&amp;RIGHT("00"&amp;INT(MOD(Sync!$L1631,10000)/100),2)&amp;"/"&amp;RIGHT("00"&amp;MOD(Sync!$L1631,100),2),""),IFERROR(RIGHT("0000"&amp;VALUE(TRIM(LEFT(Sync!$L1631,FIND("/",Sync!$L1631)-1))),4)&amp;"/"&amp;RIGHT("00"&amp;VALUE(TRIM(LEFT(MID(Sync!$L1631,FIND("/",Sync!$L1631)+1,20),FIND("/",MID(Sync!$L1631,FIND("/",Sync!$L1631)+1,20))-1))),2)&amp;"/"&amp;RIGHT("00"&amp;VALUE(TRIM(MID(MID(Sync!$L1631,FIND("/",Sync!$L1631)+1,20),FIND("/",MID(Sync!$L1631,FIND("/",Sync!$L1631)+1,20))+1,20))),2),"")))</f>
        <v/>
      </c>
    </row>
    <row r="1632" spans="13:14" x14ac:dyDescent="0.2">
      <c r="M1632" t="str">
        <f>IF(Sync!$M1632&lt;&gt;"پاس چک","",IF(Sync!$P1632="","",Sync!$P1632))</f>
        <v/>
      </c>
      <c r="N1632" t="str">
        <f>IF($M1632="","",IF(ISNUMBER(Sync!$L1632),IF(AND(Sync!$L1632&gt;=10000101,Sync!$L1632&lt;=99991231),RIGHT("0000"&amp;INT(Sync!$L1632/10000),4)&amp;"/"&amp;RIGHT("00"&amp;INT(MOD(Sync!$L1632,10000)/100),2)&amp;"/"&amp;RIGHT("00"&amp;MOD(Sync!$L1632,100),2),""),IFERROR(RIGHT("0000"&amp;VALUE(TRIM(LEFT(Sync!$L1632,FIND("/",Sync!$L1632)-1))),4)&amp;"/"&amp;RIGHT("00"&amp;VALUE(TRIM(LEFT(MID(Sync!$L1632,FIND("/",Sync!$L1632)+1,20),FIND("/",MID(Sync!$L1632,FIND("/",Sync!$L1632)+1,20))-1))),2)&amp;"/"&amp;RIGHT("00"&amp;VALUE(TRIM(MID(MID(Sync!$L1632,FIND("/",Sync!$L1632)+1,20),FIND("/",MID(Sync!$L1632,FIND("/",Sync!$L1632)+1,20))+1,20))),2),"")))</f>
        <v/>
      </c>
    </row>
    <row r="1633" spans="13:14" x14ac:dyDescent="0.2">
      <c r="M1633" t="str">
        <f>IF(Sync!$M1633&lt;&gt;"پاس چک","",IF(Sync!$P1633="","",Sync!$P1633))</f>
        <v/>
      </c>
      <c r="N1633" t="str">
        <f>IF($M1633="","",IF(ISNUMBER(Sync!$L1633),IF(AND(Sync!$L1633&gt;=10000101,Sync!$L1633&lt;=99991231),RIGHT("0000"&amp;INT(Sync!$L1633/10000),4)&amp;"/"&amp;RIGHT("00"&amp;INT(MOD(Sync!$L1633,10000)/100),2)&amp;"/"&amp;RIGHT("00"&amp;MOD(Sync!$L1633,100),2),""),IFERROR(RIGHT("0000"&amp;VALUE(TRIM(LEFT(Sync!$L1633,FIND("/",Sync!$L1633)-1))),4)&amp;"/"&amp;RIGHT("00"&amp;VALUE(TRIM(LEFT(MID(Sync!$L1633,FIND("/",Sync!$L1633)+1,20),FIND("/",MID(Sync!$L1633,FIND("/",Sync!$L1633)+1,20))-1))),2)&amp;"/"&amp;RIGHT("00"&amp;VALUE(TRIM(MID(MID(Sync!$L1633,FIND("/",Sync!$L1633)+1,20),FIND("/",MID(Sync!$L1633,FIND("/",Sync!$L1633)+1,20))+1,20))),2),"")))</f>
        <v/>
      </c>
    </row>
    <row r="1634" spans="13:14" x14ac:dyDescent="0.2">
      <c r="M1634" t="str">
        <f>IF(Sync!$M1634&lt;&gt;"پاس چک","",IF(Sync!$P1634="","",Sync!$P1634))</f>
        <v/>
      </c>
      <c r="N1634" t="str">
        <f>IF($M1634="","",IF(ISNUMBER(Sync!$L1634),IF(AND(Sync!$L1634&gt;=10000101,Sync!$L1634&lt;=99991231),RIGHT("0000"&amp;INT(Sync!$L1634/10000),4)&amp;"/"&amp;RIGHT("00"&amp;INT(MOD(Sync!$L1634,10000)/100),2)&amp;"/"&amp;RIGHT("00"&amp;MOD(Sync!$L1634,100),2),""),IFERROR(RIGHT("0000"&amp;VALUE(TRIM(LEFT(Sync!$L1634,FIND("/",Sync!$L1634)-1))),4)&amp;"/"&amp;RIGHT("00"&amp;VALUE(TRIM(LEFT(MID(Sync!$L1634,FIND("/",Sync!$L1634)+1,20),FIND("/",MID(Sync!$L1634,FIND("/",Sync!$L1634)+1,20))-1))),2)&amp;"/"&amp;RIGHT("00"&amp;VALUE(TRIM(MID(MID(Sync!$L1634,FIND("/",Sync!$L1634)+1,20),FIND("/",MID(Sync!$L1634,FIND("/",Sync!$L1634)+1,20))+1,20))),2),"")))</f>
        <v/>
      </c>
    </row>
    <row r="1635" spans="13:14" x14ac:dyDescent="0.2">
      <c r="M1635" t="str">
        <f>IF(Sync!$M1635&lt;&gt;"پاس چک","",IF(Sync!$P1635="","",Sync!$P1635))</f>
        <v/>
      </c>
      <c r="N1635" t="str">
        <f>IF($M1635="","",IF(ISNUMBER(Sync!$L1635),IF(AND(Sync!$L1635&gt;=10000101,Sync!$L1635&lt;=99991231),RIGHT("0000"&amp;INT(Sync!$L1635/10000),4)&amp;"/"&amp;RIGHT("00"&amp;INT(MOD(Sync!$L1635,10000)/100),2)&amp;"/"&amp;RIGHT("00"&amp;MOD(Sync!$L1635,100),2),""),IFERROR(RIGHT("0000"&amp;VALUE(TRIM(LEFT(Sync!$L1635,FIND("/",Sync!$L1635)-1))),4)&amp;"/"&amp;RIGHT("00"&amp;VALUE(TRIM(LEFT(MID(Sync!$L1635,FIND("/",Sync!$L1635)+1,20),FIND("/",MID(Sync!$L1635,FIND("/",Sync!$L1635)+1,20))-1))),2)&amp;"/"&amp;RIGHT("00"&amp;VALUE(TRIM(MID(MID(Sync!$L1635,FIND("/",Sync!$L1635)+1,20),FIND("/",MID(Sync!$L1635,FIND("/",Sync!$L1635)+1,20))+1,20))),2),"")))</f>
        <v/>
      </c>
    </row>
    <row r="1636" spans="13:14" x14ac:dyDescent="0.2">
      <c r="M1636" t="str">
        <f>IF(Sync!$M1636&lt;&gt;"پاس چک","",IF(Sync!$P1636="","",Sync!$P1636))</f>
        <v/>
      </c>
      <c r="N1636" t="str">
        <f>IF($M1636="","",IF(ISNUMBER(Sync!$L1636),IF(AND(Sync!$L1636&gt;=10000101,Sync!$L1636&lt;=99991231),RIGHT("0000"&amp;INT(Sync!$L1636/10000),4)&amp;"/"&amp;RIGHT("00"&amp;INT(MOD(Sync!$L1636,10000)/100),2)&amp;"/"&amp;RIGHT("00"&amp;MOD(Sync!$L1636,100),2),""),IFERROR(RIGHT("0000"&amp;VALUE(TRIM(LEFT(Sync!$L1636,FIND("/",Sync!$L1636)-1))),4)&amp;"/"&amp;RIGHT("00"&amp;VALUE(TRIM(LEFT(MID(Sync!$L1636,FIND("/",Sync!$L1636)+1,20),FIND("/",MID(Sync!$L1636,FIND("/",Sync!$L1636)+1,20))-1))),2)&amp;"/"&amp;RIGHT("00"&amp;VALUE(TRIM(MID(MID(Sync!$L1636,FIND("/",Sync!$L1636)+1,20),FIND("/",MID(Sync!$L1636,FIND("/",Sync!$L1636)+1,20))+1,20))),2),"")))</f>
        <v/>
      </c>
    </row>
    <row r="1637" spans="13:14" x14ac:dyDescent="0.2">
      <c r="M1637" t="str">
        <f>IF(Sync!$M1637&lt;&gt;"پاس چک","",IF(Sync!$P1637="","",Sync!$P1637))</f>
        <v/>
      </c>
      <c r="N1637" t="str">
        <f>IF($M1637="","",IF(ISNUMBER(Sync!$L1637),IF(AND(Sync!$L1637&gt;=10000101,Sync!$L1637&lt;=99991231),RIGHT("0000"&amp;INT(Sync!$L1637/10000),4)&amp;"/"&amp;RIGHT("00"&amp;INT(MOD(Sync!$L1637,10000)/100),2)&amp;"/"&amp;RIGHT("00"&amp;MOD(Sync!$L1637,100),2),""),IFERROR(RIGHT("0000"&amp;VALUE(TRIM(LEFT(Sync!$L1637,FIND("/",Sync!$L1637)-1))),4)&amp;"/"&amp;RIGHT("00"&amp;VALUE(TRIM(LEFT(MID(Sync!$L1637,FIND("/",Sync!$L1637)+1,20),FIND("/",MID(Sync!$L1637,FIND("/",Sync!$L1637)+1,20))-1))),2)&amp;"/"&amp;RIGHT("00"&amp;VALUE(TRIM(MID(MID(Sync!$L1637,FIND("/",Sync!$L1637)+1,20),FIND("/",MID(Sync!$L1637,FIND("/",Sync!$L1637)+1,20))+1,20))),2),"")))</f>
        <v/>
      </c>
    </row>
    <row r="1638" spans="13:14" x14ac:dyDescent="0.2">
      <c r="M1638" t="str">
        <f>IF(Sync!$M1638&lt;&gt;"پاس چک","",IF(Sync!$P1638="","",Sync!$P1638))</f>
        <v/>
      </c>
      <c r="N1638" t="str">
        <f>IF($M1638="","",IF(ISNUMBER(Sync!$L1638),IF(AND(Sync!$L1638&gt;=10000101,Sync!$L1638&lt;=99991231),RIGHT("0000"&amp;INT(Sync!$L1638/10000),4)&amp;"/"&amp;RIGHT("00"&amp;INT(MOD(Sync!$L1638,10000)/100),2)&amp;"/"&amp;RIGHT("00"&amp;MOD(Sync!$L1638,100),2),""),IFERROR(RIGHT("0000"&amp;VALUE(TRIM(LEFT(Sync!$L1638,FIND("/",Sync!$L1638)-1))),4)&amp;"/"&amp;RIGHT("00"&amp;VALUE(TRIM(LEFT(MID(Sync!$L1638,FIND("/",Sync!$L1638)+1,20),FIND("/",MID(Sync!$L1638,FIND("/",Sync!$L1638)+1,20))-1))),2)&amp;"/"&amp;RIGHT("00"&amp;VALUE(TRIM(MID(MID(Sync!$L1638,FIND("/",Sync!$L1638)+1,20),FIND("/",MID(Sync!$L1638,FIND("/",Sync!$L1638)+1,20))+1,20))),2),"")))</f>
        <v/>
      </c>
    </row>
    <row r="1639" spans="13:14" x14ac:dyDescent="0.2">
      <c r="M1639" t="str">
        <f>IF(Sync!$M1639&lt;&gt;"پاس چک","",IF(Sync!$P1639="","",Sync!$P1639))</f>
        <v/>
      </c>
      <c r="N1639" t="str">
        <f>IF($M1639="","",IF(ISNUMBER(Sync!$L1639),IF(AND(Sync!$L1639&gt;=10000101,Sync!$L1639&lt;=99991231),RIGHT("0000"&amp;INT(Sync!$L1639/10000),4)&amp;"/"&amp;RIGHT("00"&amp;INT(MOD(Sync!$L1639,10000)/100),2)&amp;"/"&amp;RIGHT("00"&amp;MOD(Sync!$L1639,100),2),""),IFERROR(RIGHT("0000"&amp;VALUE(TRIM(LEFT(Sync!$L1639,FIND("/",Sync!$L1639)-1))),4)&amp;"/"&amp;RIGHT("00"&amp;VALUE(TRIM(LEFT(MID(Sync!$L1639,FIND("/",Sync!$L1639)+1,20),FIND("/",MID(Sync!$L1639,FIND("/",Sync!$L1639)+1,20))-1))),2)&amp;"/"&amp;RIGHT("00"&amp;VALUE(TRIM(MID(MID(Sync!$L1639,FIND("/",Sync!$L1639)+1,20),FIND("/",MID(Sync!$L1639,FIND("/",Sync!$L1639)+1,20))+1,20))),2),"")))</f>
        <v/>
      </c>
    </row>
    <row r="1640" spans="13:14" x14ac:dyDescent="0.2">
      <c r="M1640" t="str">
        <f>IF(Sync!$M1640&lt;&gt;"پاس چک","",IF(Sync!$P1640="","",Sync!$P1640))</f>
        <v/>
      </c>
      <c r="N1640" t="str">
        <f>IF($M1640="","",IF(ISNUMBER(Sync!$L1640),IF(AND(Sync!$L1640&gt;=10000101,Sync!$L1640&lt;=99991231),RIGHT("0000"&amp;INT(Sync!$L1640/10000),4)&amp;"/"&amp;RIGHT("00"&amp;INT(MOD(Sync!$L1640,10000)/100),2)&amp;"/"&amp;RIGHT("00"&amp;MOD(Sync!$L1640,100),2),""),IFERROR(RIGHT("0000"&amp;VALUE(TRIM(LEFT(Sync!$L1640,FIND("/",Sync!$L1640)-1))),4)&amp;"/"&amp;RIGHT("00"&amp;VALUE(TRIM(LEFT(MID(Sync!$L1640,FIND("/",Sync!$L1640)+1,20),FIND("/",MID(Sync!$L1640,FIND("/",Sync!$L1640)+1,20))-1))),2)&amp;"/"&amp;RIGHT("00"&amp;VALUE(TRIM(MID(MID(Sync!$L1640,FIND("/",Sync!$L1640)+1,20),FIND("/",MID(Sync!$L1640,FIND("/",Sync!$L1640)+1,20))+1,20))),2),"")))</f>
        <v/>
      </c>
    </row>
    <row r="1641" spans="13:14" x14ac:dyDescent="0.2">
      <c r="M1641" t="str">
        <f>IF(Sync!$M1641&lt;&gt;"پاس چک","",IF(Sync!$P1641="","",Sync!$P1641))</f>
        <v/>
      </c>
      <c r="N1641" t="str">
        <f>IF($M1641="","",IF(ISNUMBER(Sync!$L1641),IF(AND(Sync!$L1641&gt;=10000101,Sync!$L1641&lt;=99991231),RIGHT("0000"&amp;INT(Sync!$L1641/10000),4)&amp;"/"&amp;RIGHT("00"&amp;INT(MOD(Sync!$L1641,10000)/100),2)&amp;"/"&amp;RIGHT("00"&amp;MOD(Sync!$L1641,100),2),""),IFERROR(RIGHT("0000"&amp;VALUE(TRIM(LEFT(Sync!$L1641,FIND("/",Sync!$L1641)-1))),4)&amp;"/"&amp;RIGHT("00"&amp;VALUE(TRIM(LEFT(MID(Sync!$L1641,FIND("/",Sync!$L1641)+1,20),FIND("/",MID(Sync!$L1641,FIND("/",Sync!$L1641)+1,20))-1))),2)&amp;"/"&amp;RIGHT("00"&amp;VALUE(TRIM(MID(MID(Sync!$L1641,FIND("/",Sync!$L1641)+1,20),FIND("/",MID(Sync!$L1641,FIND("/",Sync!$L1641)+1,20))+1,20))),2),"")))</f>
        <v/>
      </c>
    </row>
    <row r="1642" spans="13:14" x14ac:dyDescent="0.2">
      <c r="M1642" t="str">
        <f>IF(Sync!$M1642&lt;&gt;"پاس چک","",IF(Sync!$P1642="","",Sync!$P1642))</f>
        <v/>
      </c>
      <c r="N1642" t="str">
        <f>IF($M1642="","",IF(ISNUMBER(Sync!$L1642),IF(AND(Sync!$L1642&gt;=10000101,Sync!$L1642&lt;=99991231),RIGHT("0000"&amp;INT(Sync!$L1642/10000),4)&amp;"/"&amp;RIGHT("00"&amp;INT(MOD(Sync!$L1642,10000)/100),2)&amp;"/"&amp;RIGHT("00"&amp;MOD(Sync!$L1642,100),2),""),IFERROR(RIGHT("0000"&amp;VALUE(TRIM(LEFT(Sync!$L1642,FIND("/",Sync!$L1642)-1))),4)&amp;"/"&amp;RIGHT("00"&amp;VALUE(TRIM(LEFT(MID(Sync!$L1642,FIND("/",Sync!$L1642)+1,20),FIND("/",MID(Sync!$L1642,FIND("/",Sync!$L1642)+1,20))-1))),2)&amp;"/"&amp;RIGHT("00"&amp;VALUE(TRIM(MID(MID(Sync!$L1642,FIND("/",Sync!$L1642)+1,20),FIND("/",MID(Sync!$L1642,FIND("/",Sync!$L1642)+1,20))+1,20))),2),"")))</f>
        <v/>
      </c>
    </row>
    <row r="1643" spans="13:14" x14ac:dyDescent="0.2">
      <c r="M1643" t="str">
        <f>IF(Sync!$M1643&lt;&gt;"پاس چک","",IF(Sync!$P1643="","",Sync!$P1643))</f>
        <v/>
      </c>
      <c r="N1643" t="str">
        <f>IF($M1643="","",IF(ISNUMBER(Sync!$L1643),IF(AND(Sync!$L1643&gt;=10000101,Sync!$L1643&lt;=99991231),RIGHT("0000"&amp;INT(Sync!$L1643/10000),4)&amp;"/"&amp;RIGHT("00"&amp;INT(MOD(Sync!$L1643,10000)/100),2)&amp;"/"&amp;RIGHT("00"&amp;MOD(Sync!$L1643,100),2),""),IFERROR(RIGHT("0000"&amp;VALUE(TRIM(LEFT(Sync!$L1643,FIND("/",Sync!$L1643)-1))),4)&amp;"/"&amp;RIGHT("00"&amp;VALUE(TRIM(LEFT(MID(Sync!$L1643,FIND("/",Sync!$L1643)+1,20),FIND("/",MID(Sync!$L1643,FIND("/",Sync!$L1643)+1,20))-1))),2)&amp;"/"&amp;RIGHT("00"&amp;VALUE(TRIM(MID(MID(Sync!$L1643,FIND("/",Sync!$L1643)+1,20),FIND("/",MID(Sync!$L1643,FIND("/",Sync!$L1643)+1,20))+1,20))),2),"")))</f>
        <v/>
      </c>
    </row>
    <row r="1644" spans="13:14" x14ac:dyDescent="0.2">
      <c r="M1644" t="str">
        <f>IF(Sync!$M1644&lt;&gt;"پاس چک","",IF(Sync!$P1644="","",Sync!$P1644))</f>
        <v/>
      </c>
      <c r="N1644" t="str">
        <f>IF($M1644="","",IF(ISNUMBER(Sync!$L1644),IF(AND(Sync!$L1644&gt;=10000101,Sync!$L1644&lt;=99991231),RIGHT("0000"&amp;INT(Sync!$L1644/10000),4)&amp;"/"&amp;RIGHT("00"&amp;INT(MOD(Sync!$L1644,10000)/100),2)&amp;"/"&amp;RIGHT("00"&amp;MOD(Sync!$L1644,100),2),""),IFERROR(RIGHT("0000"&amp;VALUE(TRIM(LEFT(Sync!$L1644,FIND("/",Sync!$L1644)-1))),4)&amp;"/"&amp;RIGHT("00"&amp;VALUE(TRIM(LEFT(MID(Sync!$L1644,FIND("/",Sync!$L1644)+1,20),FIND("/",MID(Sync!$L1644,FIND("/",Sync!$L1644)+1,20))-1))),2)&amp;"/"&amp;RIGHT("00"&amp;VALUE(TRIM(MID(MID(Sync!$L1644,FIND("/",Sync!$L1644)+1,20),FIND("/",MID(Sync!$L1644,FIND("/",Sync!$L1644)+1,20))+1,20))),2),"")))</f>
        <v/>
      </c>
    </row>
    <row r="1645" spans="13:14" x14ac:dyDescent="0.2">
      <c r="M1645" t="str">
        <f>IF(Sync!$M1645&lt;&gt;"پاس چک","",IF(Sync!$P1645="","",Sync!$P1645))</f>
        <v/>
      </c>
      <c r="N1645" t="str">
        <f>IF($M1645="","",IF(ISNUMBER(Sync!$L1645),IF(AND(Sync!$L1645&gt;=10000101,Sync!$L1645&lt;=99991231),RIGHT("0000"&amp;INT(Sync!$L1645/10000),4)&amp;"/"&amp;RIGHT("00"&amp;INT(MOD(Sync!$L1645,10000)/100),2)&amp;"/"&amp;RIGHT("00"&amp;MOD(Sync!$L1645,100),2),""),IFERROR(RIGHT("0000"&amp;VALUE(TRIM(LEFT(Sync!$L1645,FIND("/",Sync!$L1645)-1))),4)&amp;"/"&amp;RIGHT("00"&amp;VALUE(TRIM(LEFT(MID(Sync!$L1645,FIND("/",Sync!$L1645)+1,20),FIND("/",MID(Sync!$L1645,FIND("/",Sync!$L1645)+1,20))-1))),2)&amp;"/"&amp;RIGHT("00"&amp;VALUE(TRIM(MID(MID(Sync!$L1645,FIND("/",Sync!$L1645)+1,20),FIND("/",MID(Sync!$L1645,FIND("/",Sync!$L1645)+1,20))+1,20))),2),"")))</f>
        <v/>
      </c>
    </row>
    <row r="1646" spans="13:14" x14ac:dyDescent="0.2">
      <c r="M1646" t="str">
        <f>IF(Sync!$M1646&lt;&gt;"پاس چک","",IF(Sync!$P1646="","",Sync!$P1646))</f>
        <v/>
      </c>
      <c r="N1646" t="str">
        <f>IF($M1646="","",IF(ISNUMBER(Sync!$L1646),IF(AND(Sync!$L1646&gt;=10000101,Sync!$L1646&lt;=99991231),RIGHT("0000"&amp;INT(Sync!$L1646/10000),4)&amp;"/"&amp;RIGHT("00"&amp;INT(MOD(Sync!$L1646,10000)/100),2)&amp;"/"&amp;RIGHT("00"&amp;MOD(Sync!$L1646,100),2),""),IFERROR(RIGHT("0000"&amp;VALUE(TRIM(LEFT(Sync!$L1646,FIND("/",Sync!$L1646)-1))),4)&amp;"/"&amp;RIGHT("00"&amp;VALUE(TRIM(LEFT(MID(Sync!$L1646,FIND("/",Sync!$L1646)+1,20),FIND("/",MID(Sync!$L1646,FIND("/",Sync!$L1646)+1,20))-1))),2)&amp;"/"&amp;RIGHT("00"&amp;VALUE(TRIM(MID(MID(Sync!$L1646,FIND("/",Sync!$L1646)+1,20),FIND("/",MID(Sync!$L1646,FIND("/",Sync!$L1646)+1,20))+1,20))),2),"")))</f>
        <v/>
      </c>
    </row>
    <row r="1647" spans="13:14" x14ac:dyDescent="0.2">
      <c r="M1647" t="str">
        <f>IF(Sync!$M1647&lt;&gt;"پاس چک","",IF(Sync!$P1647="","",Sync!$P1647))</f>
        <v/>
      </c>
      <c r="N1647" t="str">
        <f>IF($M1647="","",IF(ISNUMBER(Sync!$L1647),IF(AND(Sync!$L1647&gt;=10000101,Sync!$L1647&lt;=99991231),RIGHT("0000"&amp;INT(Sync!$L1647/10000),4)&amp;"/"&amp;RIGHT("00"&amp;INT(MOD(Sync!$L1647,10000)/100),2)&amp;"/"&amp;RIGHT("00"&amp;MOD(Sync!$L1647,100),2),""),IFERROR(RIGHT("0000"&amp;VALUE(TRIM(LEFT(Sync!$L1647,FIND("/",Sync!$L1647)-1))),4)&amp;"/"&amp;RIGHT("00"&amp;VALUE(TRIM(LEFT(MID(Sync!$L1647,FIND("/",Sync!$L1647)+1,20),FIND("/",MID(Sync!$L1647,FIND("/",Sync!$L1647)+1,20))-1))),2)&amp;"/"&amp;RIGHT("00"&amp;VALUE(TRIM(MID(MID(Sync!$L1647,FIND("/",Sync!$L1647)+1,20),FIND("/",MID(Sync!$L1647,FIND("/",Sync!$L1647)+1,20))+1,20))),2),"")))</f>
        <v/>
      </c>
    </row>
    <row r="1648" spans="13:14" x14ac:dyDescent="0.2">
      <c r="M1648" t="str">
        <f>IF(Sync!$M1648&lt;&gt;"پاس چک","",IF(Sync!$P1648="","",Sync!$P1648))</f>
        <v/>
      </c>
      <c r="N1648" t="str">
        <f>IF($M1648="","",IF(ISNUMBER(Sync!$L1648),IF(AND(Sync!$L1648&gt;=10000101,Sync!$L1648&lt;=99991231),RIGHT("0000"&amp;INT(Sync!$L1648/10000),4)&amp;"/"&amp;RIGHT("00"&amp;INT(MOD(Sync!$L1648,10000)/100),2)&amp;"/"&amp;RIGHT("00"&amp;MOD(Sync!$L1648,100),2),""),IFERROR(RIGHT("0000"&amp;VALUE(TRIM(LEFT(Sync!$L1648,FIND("/",Sync!$L1648)-1))),4)&amp;"/"&amp;RIGHT("00"&amp;VALUE(TRIM(LEFT(MID(Sync!$L1648,FIND("/",Sync!$L1648)+1,20),FIND("/",MID(Sync!$L1648,FIND("/",Sync!$L1648)+1,20))-1))),2)&amp;"/"&amp;RIGHT("00"&amp;VALUE(TRIM(MID(MID(Sync!$L1648,FIND("/",Sync!$L1648)+1,20),FIND("/",MID(Sync!$L1648,FIND("/",Sync!$L1648)+1,20))+1,20))),2),"")))</f>
        <v/>
      </c>
    </row>
    <row r="1649" spans="13:14" x14ac:dyDescent="0.2">
      <c r="M1649" t="str">
        <f>IF(Sync!$M1649&lt;&gt;"پاس چک","",IF(Sync!$P1649="","",Sync!$P1649))</f>
        <v/>
      </c>
      <c r="N1649" t="str">
        <f>IF($M1649="","",IF(ISNUMBER(Sync!$L1649),IF(AND(Sync!$L1649&gt;=10000101,Sync!$L1649&lt;=99991231),RIGHT("0000"&amp;INT(Sync!$L1649/10000),4)&amp;"/"&amp;RIGHT("00"&amp;INT(MOD(Sync!$L1649,10000)/100),2)&amp;"/"&amp;RIGHT("00"&amp;MOD(Sync!$L1649,100),2),""),IFERROR(RIGHT("0000"&amp;VALUE(TRIM(LEFT(Sync!$L1649,FIND("/",Sync!$L1649)-1))),4)&amp;"/"&amp;RIGHT("00"&amp;VALUE(TRIM(LEFT(MID(Sync!$L1649,FIND("/",Sync!$L1649)+1,20),FIND("/",MID(Sync!$L1649,FIND("/",Sync!$L1649)+1,20))-1))),2)&amp;"/"&amp;RIGHT("00"&amp;VALUE(TRIM(MID(MID(Sync!$L1649,FIND("/",Sync!$L1649)+1,20),FIND("/",MID(Sync!$L1649,FIND("/",Sync!$L1649)+1,20))+1,20))),2),"")))</f>
        <v/>
      </c>
    </row>
    <row r="1650" spans="13:14" x14ac:dyDescent="0.2">
      <c r="M1650" t="str">
        <f>IF(Sync!$M1650&lt;&gt;"پاس چک","",IF(Sync!$P1650="","",Sync!$P1650))</f>
        <v/>
      </c>
      <c r="N1650" t="str">
        <f>IF($M1650="","",IF(ISNUMBER(Sync!$L1650),IF(AND(Sync!$L1650&gt;=10000101,Sync!$L1650&lt;=99991231),RIGHT("0000"&amp;INT(Sync!$L1650/10000),4)&amp;"/"&amp;RIGHT("00"&amp;INT(MOD(Sync!$L1650,10000)/100),2)&amp;"/"&amp;RIGHT("00"&amp;MOD(Sync!$L1650,100),2),""),IFERROR(RIGHT("0000"&amp;VALUE(TRIM(LEFT(Sync!$L1650,FIND("/",Sync!$L1650)-1))),4)&amp;"/"&amp;RIGHT("00"&amp;VALUE(TRIM(LEFT(MID(Sync!$L1650,FIND("/",Sync!$L1650)+1,20),FIND("/",MID(Sync!$L1650,FIND("/",Sync!$L1650)+1,20))-1))),2)&amp;"/"&amp;RIGHT("00"&amp;VALUE(TRIM(MID(MID(Sync!$L1650,FIND("/",Sync!$L1650)+1,20),FIND("/",MID(Sync!$L1650,FIND("/",Sync!$L1650)+1,20))+1,20))),2),"")))</f>
        <v/>
      </c>
    </row>
    <row r="1651" spans="13:14" x14ac:dyDescent="0.2">
      <c r="M1651" t="str">
        <f>IF(Sync!$M1651&lt;&gt;"پاس چک","",IF(Sync!$P1651="","",Sync!$P1651))</f>
        <v/>
      </c>
      <c r="N1651" t="str">
        <f>IF($M1651="","",IF(ISNUMBER(Sync!$L1651),IF(AND(Sync!$L1651&gt;=10000101,Sync!$L1651&lt;=99991231),RIGHT("0000"&amp;INT(Sync!$L1651/10000),4)&amp;"/"&amp;RIGHT("00"&amp;INT(MOD(Sync!$L1651,10000)/100),2)&amp;"/"&amp;RIGHT("00"&amp;MOD(Sync!$L1651,100),2),""),IFERROR(RIGHT("0000"&amp;VALUE(TRIM(LEFT(Sync!$L1651,FIND("/",Sync!$L1651)-1))),4)&amp;"/"&amp;RIGHT("00"&amp;VALUE(TRIM(LEFT(MID(Sync!$L1651,FIND("/",Sync!$L1651)+1,20),FIND("/",MID(Sync!$L1651,FIND("/",Sync!$L1651)+1,20))-1))),2)&amp;"/"&amp;RIGHT("00"&amp;VALUE(TRIM(MID(MID(Sync!$L1651,FIND("/",Sync!$L1651)+1,20),FIND("/",MID(Sync!$L1651,FIND("/",Sync!$L1651)+1,20))+1,20))),2),"")))</f>
        <v/>
      </c>
    </row>
    <row r="1652" spans="13:14" x14ac:dyDescent="0.2">
      <c r="M1652" t="str">
        <f>IF(Sync!$M1652&lt;&gt;"پاس چک","",IF(Sync!$P1652="","",Sync!$P1652))</f>
        <v/>
      </c>
      <c r="N1652" t="str">
        <f>IF($M1652="","",IF(ISNUMBER(Sync!$L1652),IF(AND(Sync!$L1652&gt;=10000101,Sync!$L1652&lt;=99991231),RIGHT("0000"&amp;INT(Sync!$L1652/10000),4)&amp;"/"&amp;RIGHT("00"&amp;INT(MOD(Sync!$L1652,10000)/100),2)&amp;"/"&amp;RIGHT("00"&amp;MOD(Sync!$L1652,100),2),""),IFERROR(RIGHT("0000"&amp;VALUE(TRIM(LEFT(Sync!$L1652,FIND("/",Sync!$L1652)-1))),4)&amp;"/"&amp;RIGHT("00"&amp;VALUE(TRIM(LEFT(MID(Sync!$L1652,FIND("/",Sync!$L1652)+1,20),FIND("/",MID(Sync!$L1652,FIND("/",Sync!$L1652)+1,20))-1))),2)&amp;"/"&amp;RIGHT("00"&amp;VALUE(TRIM(MID(MID(Sync!$L1652,FIND("/",Sync!$L1652)+1,20),FIND("/",MID(Sync!$L1652,FIND("/",Sync!$L1652)+1,20))+1,20))),2),"")))</f>
        <v/>
      </c>
    </row>
    <row r="1653" spans="13:14" x14ac:dyDescent="0.2">
      <c r="M1653" t="str">
        <f>IF(Sync!$M1653&lt;&gt;"پاس چک","",IF(Sync!$P1653="","",Sync!$P1653))</f>
        <v/>
      </c>
      <c r="N1653" t="str">
        <f>IF($M1653="","",IF(ISNUMBER(Sync!$L1653),IF(AND(Sync!$L1653&gt;=10000101,Sync!$L1653&lt;=99991231),RIGHT("0000"&amp;INT(Sync!$L1653/10000),4)&amp;"/"&amp;RIGHT("00"&amp;INT(MOD(Sync!$L1653,10000)/100),2)&amp;"/"&amp;RIGHT("00"&amp;MOD(Sync!$L1653,100),2),""),IFERROR(RIGHT("0000"&amp;VALUE(TRIM(LEFT(Sync!$L1653,FIND("/",Sync!$L1653)-1))),4)&amp;"/"&amp;RIGHT("00"&amp;VALUE(TRIM(LEFT(MID(Sync!$L1653,FIND("/",Sync!$L1653)+1,20),FIND("/",MID(Sync!$L1653,FIND("/",Sync!$L1653)+1,20))-1))),2)&amp;"/"&amp;RIGHT("00"&amp;VALUE(TRIM(MID(MID(Sync!$L1653,FIND("/",Sync!$L1653)+1,20),FIND("/",MID(Sync!$L1653,FIND("/",Sync!$L1653)+1,20))+1,20))),2),"")))</f>
        <v/>
      </c>
    </row>
    <row r="1654" spans="13:14" x14ac:dyDescent="0.2">
      <c r="M1654" t="str">
        <f>IF(Sync!$M1654&lt;&gt;"پاس چک","",IF(Sync!$P1654="","",Sync!$P1654))</f>
        <v/>
      </c>
      <c r="N1654" t="str">
        <f>IF($M1654="","",IF(ISNUMBER(Sync!$L1654),IF(AND(Sync!$L1654&gt;=10000101,Sync!$L1654&lt;=99991231),RIGHT("0000"&amp;INT(Sync!$L1654/10000),4)&amp;"/"&amp;RIGHT("00"&amp;INT(MOD(Sync!$L1654,10000)/100),2)&amp;"/"&amp;RIGHT("00"&amp;MOD(Sync!$L1654,100),2),""),IFERROR(RIGHT("0000"&amp;VALUE(TRIM(LEFT(Sync!$L1654,FIND("/",Sync!$L1654)-1))),4)&amp;"/"&amp;RIGHT("00"&amp;VALUE(TRIM(LEFT(MID(Sync!$L1654,FIND("/",Sync!$L1654)+1,20),FIND("/",MID(Sync!$L1654,FIND("/",Sync!$L1654)+1,20))-1))),2)&amp;"/"&amp;RIGHT("00"&amp;VALUE(TRIM(MID(MID(Sync!$L1654,FIND("/",Sync!$L1654)+1,20),FIND("/",MID(Sync!$L1654,FIND("/",Sync!$L1654)+1,20))+1,20))),2),"")))</f>
        <v/>
      </c>
    </row>
    <row r="1655" spans="13:14" x14ac:dyDescent="0.2">
      <c r="M1655" t="str">
        <f>IF(Sync!$M1655&lt;&gt;"پاس چک","",IF(Sync!$P1655="","",Sync!$P1655))</f>
        <v/>
      </c>
      <c r="N1655" t="str">
        <f>IF($M1655="","",IF(ISNUMBER(Sync!$L1655),IF(AND(Sync!$L1655&gt;=10000101,Sync!$L1655&lt;=99991231),RIGHT("0000"&amp;INT(Sync!$L1655/10000),4)&amp;"/"&amp;RIGHT("00"&amp;INT(MOD(Sync!$L1655,10000)/100),2)&amp;"/"&amp;RIGHT("00"&amp;MOD(Sync!$L1655,100),2),""),IFERROR(RIGHT("0000"&amp;VALUE(TRIM(LEFT(Sync!$L1655,FIND("/",Sync!$L1655)-1))),4)&amp;"/"&amp;RIGHT("00"&amp;VALUE(TRIM(LEFT(MID(Sync!$L1655,FIND("/",Sync!$L1655)+1,20),FIND("/",MID(Sync!$L1655,FIND("/",Sync!$L1655)+1,20))-1))),2)&amp;"/"&amp;RIGHT("00"&amp;VALUE(TRIM(MID(MID(Sync!$L1655,FIND("/",Sync!$L1655)+1,20),FIND("/",MID(Sync!$L1655,FIND("/",Sync!$L1655)+1,20))+1,20))),2),"")))</f>
        <v/>
      </c>
    </row>
    <row r="1656" spans="13:14" x14ac:dyDescent="0.2">
      <c r="M1656" t="str">
        <f>IF(Sync!$M1656&lt;&gt;"پاس چک","",IF(Sync!$P1656="","",Sync!$P1656))</f>
        <v/>
      </c>
      <c r="N1656" t="str">
        <f>IF($M1656="","",IF(ISNUMBER(Sync!$L1656),IF(AND(Sync!$L1656&gt;=10000101,Sync!$L1656&lt;=99991231),RIGHT("0000"&amp;INT(Sync!$L1656/10000),4)&amp;"/"&amp;RIGHT("00"&amp;INT(MOD(Sync!$L1656,10000)/100),2)&amp;"/"&amp;RIGHT("00"&amp;MOD(Sync!$L1656,100),2),""),IFERROR(RIGHT("0000"&amp;VALUE(TRIM(LEFT(Sync!$L1656,FIND("/",Sync!$L1656)-1))),4)&amp;"/"&amp;RIGHT("00"&amp;VALUE(TRIM(LEFT(MID(Sync!$L1656,FIND("/",Sync!$L1656)+1,20),FIND("/",MID(Sync!$L1656,FIND("/",Sync!$L1656)+1,20))-1))),2)&amp;"/"&amp;RIGHT("00"&amp;VALUE(TRIM(MID(MID(Sync!$L1656,FIND("/",Sync!$L1656)+1,20),FIND("/",MID(Sync!$L1656,FIND("/",Sync!$L1656)+1,20))+1,20))),2),"")))</f>
        <v/>
      </c>
    </row>
    <row r="1657" spans="13:14" x14ac:dyDescent="0.2">
      <c r="M1657" t="str">
        <f>IF(Sync!$M1657&lt;&gt;"پاس چک","",IF(Sync!$P1657="","",Sync!$P1657))</f>
        <v/>
      </c>
      <c r="N1657" t="str">
        <f>IF($M1657="","",IF(ISNUMBER(Sync!$L1657),IF(AND(Sync!$L1657&gt;=10000101,Sync!$L1657&lt;=99991231),RIGHT("0000"&amp;INT(Sync!$L1657/10000),4)&amp;"/"&amp;RIGHT("00"&amp;INT(MOD(Sync!$L1657,10000)/100),2)&amp;"/"&amp;RIGHT("00"&amp;MOD(Sync!$L1657,100),2),""),IFERROR(RIGHT("0000"&amp;VALUE(TRIM(LEFT(Sync!$L1657,FIND("/",Sync!$L1657)-1))),4)&amp;"/"&amp;RIGHT("00"&amp;VALUE(TRIM(LEFT(MID(Sync!$L1657,FIND("/",Sync!$L1657)+1,20),FIND("/",MID(Sync!$L1657,FIND("/",Sync!$L1657)+1,20))-1))),2)&amp;"/"&amp;RIGHT("00"&amp;VALUE(TRIM(MID(MID(Sync!$L1657,FIND("/",Sync!$L1657)+1,20),FIND("/",MID(Sync!$L1657,FIND("/",Sync!$L1657)+1,20))+1,20))),2),"")))</f>
        <v/>
      </c>
    </row>
    <row r="1658" spans="13:14" x14ac:dyDescent="0.2">
      <c r="M1658" t="str">
        <f>IF(Sync!$M1658&lt;&gt;"پاس چک","",IF(Sync!$P1658="","",Sync!$P1658))</f>
        <v/>
      </c>
      <c r="N1658" t="str">
        <f>IF($M1658="","",IF(ISNUMBER(Sync!$L1658),IF(AND(Sync!$L1658&gt;=10000101,Sync!$L1658&lt;=99991231),RIGHT("0000"&amp;INT(Sync!$L1658/10000),4)&amp;"/"&amp;RIGHT("00"&amp;INT(MOD(Sync!$L1658,10000)/100),2)&amp;"/"&amp;RIGHT("00"&amp;MOD(Sync!$L1658,100),2),""),IFERROR(RIGHT("0000"&amp;VALUE(TRIM(LEFT(Sync!$L1658,FIND("/",Sync!$L1658)-1))),4)&amp;"/"&amp;RIGHT("00"&amp;VALUE(TRIM(LEFT(MID(Sync!$L1658,FIND("/",Sync!$L1658)+1,20),FIND("/",MID(Sync!$L1658,FIND("/",Sync!$L1658)+1,20))-1))),2)&amp;"/"&amp;RIGHT("00"&amp;VALUE(TRIM(MID(MID(Sync!$L1658,FIND("/",Sync!$L1658)+1,20),FIND("/",MID(Sync!$L1658,FIND("/",Sync!$L1658)+1,20))+1,20))),2),"")))</f>
        <v/>
      </c>
    </row>
    <row r="1659" spans="13:14" x14ac:dyDescent="0.2">
      <c r="M1659" t="str">
        <f>IF(Sync!$M1659&lt;&gt;"پاس چک","",IF(Sync!$P1659="","",Sync!$P1659))</f>
        <v/>
      </c>
      <c r="N1659" t="str">
        <f>IF($M1659="","",IF(ISNUMBER(Sync!$L1659),IF(AND(Sync!$L1659&gt;=10000101,Sync!$L1659&lt;=99991231),RIGHT("0000"&amp;INT(Sync!$L1659/10000),4)&amp;"/"&amp;RIGHT("00"&amp;INT(MOD(Sync!$L1659,10000)/100),2)&amp;"/"&amp;RIGHT("00"&amp;MOD(Sync!$L1659,100),2),""),IFERROR(RIGHT("0000"&amp;VALUE(TRIM(LEFT(Sync!$L1659,FIND("/",Sync!$L1659)-1))),4)&amp;"/"&amp;RIGHT("00"&amp;VALUE(TRIM(LEFT(MID(Sync!$L1659,FIND("/",Sync!$L1659)+1,20),FIND("/",MID(Sync!$L1659,FIND("/",Sync!$L1659)+1,20))-1))),2)&amp;"/"&amp;RIGHT("00"&amp;VALUE(TRIM(MID(MID(Sync!$L1659,FIND("/",Sync!$L1659)+1,20),FIND("/",MID(Sync!$L1659,FIND("/",Sync!$L1659)+1,20))+1,20))),2),"")))</f>
        <v/>
      </c>
    </row>
    <row r="1660" spans="13:14" x14ac:dyDescent="0.2">
      <c r="M1660" t="str">
        <f>IF(Sync!$M1660&lt;&gt;"پاس چک","",IF(Sync!$P1660="","",Sync!$P1660))</f>
        <v/>
      </c>
      <c r="N1660" t="str">
        <f>IF($M1660="","",IF(ISNUMBER(Sync!$L1660),IF(AND(Sync!$L1660&gt;=10000101,Sync!$L1660&lt;=99991231),RIGHT("0000"&amp;INT(Sync!$L1660/10000),4)&amp;"/"&amp;RIGHT("00"&amp;INT(MOD(Sync!$L1660,10000)/100),2)&amp;"/"&amp;RIGHT("00"&amp;MOD(Sync!$L1660,100),2),""),IFERROR(RIGHT("0000"&amp;VALUE(TRIM(LEFT(Sync!$L1660,FIND("/",Sync!$L1660)-1))),4)&amp;"/"&amp;RIGHT("00"&amp;VALUE(TRIM(LEFT(MID(Sync!$L1660,FIND("/",Sync!$L1660)+1,20),FIND("/",MID(Sync!$L1660,FIND("/",Sync!$L1660)+1,20))-1))),2)&amp;"/"&amp;RIGHT("00"&amp;VALUE(TRIM(MID(MID(Sync!$L1660,FIND("/",Sync!$L1660)+1,20),FIND("/",MID(Sync!$L1660,FIND("/",Sync!$L1660)+1,20))+1,20))),2),"")))</f>
        <v/>
      </c>
    </row>
    <row r="1661" spans="13:14" x14ac:dyDescent="0.2">
      <c r="M1661" t="str">
        <f>IF(Sync!$M1661&lt;&gt;"پاس چک","",IF(Sync!$P1661="","",Sync!$P1661))</f>
        <v/>
      </c>
      <c r="N1661" t="str">
        <f>IF($M1661="","",IF(ISNUMBER(Sync!$L1661),IF(AND(Sync!$L1661&gt;=10000101,Sync!$L1661&lt;=99991231),RIGHT("0000"&amp;INT(Sync!$L1661/10000),4)&amp;"/"&amp;RIGHT("00"&amp;INT(MOD(Sync!$L1661,10000)/100),2)&amp;"/"&amp;RIGHT("00"&amp;MOD(Sync!$L1661,100),2),""),IFERROR(RIGHT("0000"&amp;VALUE(TRIM(LEFT(Sync!$L1661,FIND("/",Sync!$L1661)-1))),4)&amp;"/"&amp;RIGHT("00"&amp;VALUE(TRIM(LEFT(MID(Sync!$L1661,FIND("/",Sync!$L1661)+1,20),FIND("/",MID(Sync!$L1661,FIND("/",Sync!$L1661)+1,20))-1))),2)&amp;"/"&amp;RIGHT("00"&amp;VALUE(TRIM(MID(MID(Sync!$L1661,FIND("/",Sync!$L1661)+1,20),FIND("/",MID(Sync!$L1661,FIND("/",Sync!$L1661)+1,20))+1,20))),2),"")))</f>
        <v/>
      </c>
    </row>
    <row r="1662" spans="13:14" x14ac:dyDescent="0.2">
      <c r="M1662" t="str">
        <f>IF(Sync!$M1662&lt;&gt;"پاس چک","",IF(Sync!$P1662="","",Sync!$P1662))</f>
        <v/>
      </c>
      <c r="N1662" t="str">
        <f>IF($M1662="","",IF(ISNUMBER(Sync!$L1662),IF(AND(Sync!$L1662&gt;=10000101,Sync!$L1662&lt;=99991231),RIGHT("0000"&amp;INT(Sync!$L1662/10000),4)&amp;"/"&amp;RIGHT("00"&amp;INT(MOD(Sync!$L1662,10000)/100),2)&amp;"/"&amp;RIGHT("00"&amp;MOD(Sync!$L1662,100),2),""),IFERROR(RIGHT("0000"&amp;VALUE(TRIM(LEFT(Sync!$L1662,FIND("/",Sync!$L1662)-1))),4)&amp;"/"&amp;RIGHT("00"&amp;VALUE(TRIM(LEFT(MID(Sync!$L1662,FIND("/",Sync!$L1662)+1,20),FIND("/",MID(Sync!$L1662,FIND("/",Sync!$L1662)+1,20))-1))),2)&amp;"/"&amp;RIGHT("00"&amp;VALUE(TRIM(MID(MID(Sync!$L1662,FIND("/",Sync!$L1662)+1,20),FIND("/",MID(Sync!$L1662,FIND("/",Sync!$L1662)+1,20))+1,20))),2),"")))</f>
        <v/>
      </c>
    </row>
    <row r="1663" spans="13:14" x14ac:dyDescent="0.2">
      <c r="M1663" t="str">
        <f>IF(Sync!$M1663&lt;&gt;"پاس چک","",IF(Sync!$P1663="","",Sync!$P1663))</f>
        <v/>
      </c>
      <c r="N1663" t="str">
        <f>IF($M1663="","",IF(ISNUMBER(Sync!$L1663),IF(AND(Sync!$L1663&gt;=10000101,Sync!$L1663&lt;=99991231),RIGHT("0000"&amp;INT(Sync!$L1663/10000),4)&amp;"/"&amp;RIGHT("00"&amp;INT(MOD(Sync!$L1663,10000)/100),2)&amp;"/"&amp;RIGHT("00"&amp;MOD(Sync!$L1663,100),2),""),IFERROR(RIGHT("0000"&amp;VALUE(TRIM(LEFT(Sync!$L1663,FIND("/",Sync!$L1663)-1))),4)&amp;"/"&amp;RIGHT("00"&amp;VALUE(TRIM(LEFT(MID(Sync!$L1663,FIND("/",Sync!$L1663)+1,20),FIND("/",MID(Sync!$L1663,FIND("/",Sync!$L1663)+1,20))-1))),2)&amp;"/"&amp;RIGHT("00"&amp;VALUE(TRIM(MID(MID(Sync!$L1663,FIND("/",Sync!$L1663)+1,20),FIND("/",MID(Sync!$L1663,FIND("/",Sync!$L1663)+1,20))+1,20))),2),"")))</f>
        <v/>
      </c>
    </row>
    <row r="1664" spans="13:14" x14ac:dyDescent="0.2">
      <c r="M1664" t="str">
        <f>IF(Sync!$M1664&lt;&gt;"پاس چک","",IF(Sync!$P1664="","",Sync!$P1664))</f>
        <v/>
      </c>
      <c r="N1664" t="str">
        <f>IF($M1664="","",IF(ISNUMBER(Sync!$L1664),IF(AND(Sync!$L1664&gt;=10000101,Sync!$L1664&lt;=99991231),RIGHT("0000"&amp;INT(Sync!$L1664/10000),4)&amp;"/"&amp;RIGHT("00"&amp;INT(MOD(Sync!$L1664,10000)/100),2)&amp;"/"&amp;RIGHT("00"&amp;MOD(Sync!$L1664,100),2),""),IFERROR(RIGHT("0000"&amp;VALUE(TRIM(LEFT(Sync!$L1664,FIND("/",Sync!$L1664)-1))),4)&amp;"/"&amp;RIGHT("00"&amp;VALUE(TRIM(LEFT(MID(Sync!$L1664,FIND("/",Sync!$L1664)+1,20),FIND("/",MID(Sync!$L1664,FIND("/",Sync!$L1664)+1,20))-1))),2)&amp;"/"&amp;RIGHT("00"&amp;VALUE(TRIM(MID(MID(Sync!$L1664,FIND("/",Sync!$L1664)+1,20),FIND("/",MID(Sync!$L1664,FIND("/",Sync!$L1664)+1,20))+1,20))),2),"")))</f>
        <v/>
      </c>
    </row>
    <row r="1665" spans="13:14" x14ac:dyDescent="0.2">
      <c r="M1665" t="str">
        <f>IF(Sync!$M1665&lt;&gt;"پاس چک","",IF(Sync!$P1665="","",Sync!$P1665))</f>
        <v/>
      </c>
      <c r="N1665" t="str">
        <f>IF($M1665="","",IF(ISNUMBER(Sync!$L1665),IF(AND(Sync!$L1665&gt;=10000101,Sync!$L1665&lt;=99991231),RIGHT("0000"&amp;INT(Sync!$L1665/10000),4)&amp;"/"&amp;RIGHT("00"&amp;INT(MOD(Sync!$L1665,10000)/100),2)&amp;"/"&amp;RIGHT("00"&amp;MOD(Sync!$L1665,100),2),""),IFERROR(RIGHT("0000"&amp;VALUE(TRIM(LEFT(Sync!$L1665,FIND("/",Sync!$L1665)-1))),4)&amp;"/"&amp;RIGHT("00"&amp;VALUE(TRIM(LEFT(MID(Sync!$L1665,FIND("/",Sync!$L1665)+1,20),FIND("/",MID(Sync!$L1665,FIND("/",Sync!$L1665)+1,20))-1))),2)&amp;"/"&amp;RIGHT("00"&amp;VALUE(TRIM(MID(MID(Sync!$L1665,FIND("/",Sync!$L1665)+1,20),FIND("/",MID(Sync!$L1665,FIND("/",Sync!$L1665)+1,20))+1,20))),2),"")))</f>
        <v/>
      </c>
    </row>
    <row r="1666" spans="13:14" x14ac:dyDescent="0.2">
      <c r="M1666" t="str">
        <f>IF(Sync!$M1666&lt;&gt;"پاس چک","",IF(Sync!$P1666="","",Sync!$P1666))</f>
        <v/>
      </c>
      <c r="N1666" t="str">
        <f>IF($M1666="","",IF(ISNUMBER(Sync!$L1666),IF(AND(Sync!$L1666&gt;=10000101,Sync!$L1666&lt;=99991231),RIGHT("0000"&amp;INT(Sync!$L1666/10000),4)&amp;"/"&amp;RIGHT("00"&amp;INT(MOD(Sync!$L1666,10000)/100),2)&amp;"/"&amp;RIGHT("00"&amp;MOD(Sync!$L1666,100),2),""),IFERROR(RIGHT("0000"&amp;VALUE(TRIM(LEFT(Sync!$L1666,FIND("/",Sync!$L1666)-1))),4)&amp;"/"&amp;RIGHT("00"&amp;VALUE(TRIM(LEFT(MID(Sync!$L1666,FIND("/",Sync!$L1666)+1,20),FIND("/",MID(Sync!$L1666,FIND("/",Sync!$L1666)+1,20))-1))),2)&amp;"/"&amp;RIGHT("00"&amp;VALUE(TRIM(MID(MID(Sync!$L1666,FIND("/",Sync!$L1666)+1,20),FIND("/",MID(Sync!$L1666,FIND("/",Sync!$L1666)+1,20))+1,20))),2),"")))</f>
        <v/>
      </c>
    </row>
    <row r="1667" spans="13:14" x14ac:dyDescent="0.2">
      <c r="M1667" t="str">
        <f>IF(Sync!$M1667&lt;&gt;"پاس چک","",IF(Sync!$P1667="","",Sync!$P1667))</f>
        <v/>
      </c>
      <c r="N1667" t="str">
        <f>IF($M1667="","",IF(ISNUMBER(Sync!$L1667),IF(AND(Sync!$L1667&gt;=10000101,Sync!$L1667&lt;=99991231),RIGHT("0000"&amp;INT(Sync!$L1667/10000),4)&amp;"/"&amp;RIGHT("00"&amp;INT(MOD(Sync!$L1667,10000)/100),2)&amp;"/"&amp;RIGHT("00"&amp;MOD(Sync!$L1667,100),2),""),IFERROR(RIGHT("0000"&amp;VALUE(TRIM(LEFT(Sync!$L1667,FIND("/",Sync!$L1667)-1))),4)&amp;"/"&amp;RIGHT("00"&amp;VALUE(TRIM(LEFT(MID(Sync!$L1667,FIND("/",Sync!$L1667)+1,20),FIND("/",MID(Sync!$L1667,FIND("/",Sync!$L1667)+1,20))-1))),2)&amp;"/"&amp;RIGHT("00"&amp;VALUE(TRIM(MID(MID(Sync!$L1667,FIND("/",Sync!$L1667)+1,20),FIND("/",MID(Sync!$L1667,FIND("/",Sync!$L1667)+1,20))+1,20))),2),"")))</f>
        <v/>
      </c>
    </row>
    <row r="1668" spans="13:14" x14ac:dyDescent="0.2">
      <c r="M1668" t="str">
        <f>IF(Sync!$M1668&lt;&gt;"پاس چک","",IF(Sync!$P1668="","",Sync!$P1668))</f>
        <v/>
      </c>
      <c r="N1668" t="str">
        <f>IF($M1668="","",IF(ISNUMBER(Sync!$L1668),IF(AND(Sync!$L1668&gt;=10000101,Sync!$L1668&lt;=99991231),RIGHT("0000"&amp;INT(Sync!$L1668/10000),4)&amp;"/"&amp;RIGHT("00"&amp;INT(MOD(Sync!$L1668,10000)/100),2)&amp;"/"&amp;RIGHT("00"&amp;MOD(Sync!$L1668,100),2),""),IFERROR(RIGHT("0000"&amp;VALUE(TRIM(LEFT(Sync!$L1668,FIND("/",Sync!$L1668)-1))),4)&amp;"/"&amp;RIGHT("00"&amp;VALUE(TRIM(LEFT(MID(Sync!$L1668,FIND("/",Sync!$L1668)+1,20),FIND("/",MID(Sync!$L1668,FIND("/",Sync!$L1668)+1,20))-1))),2)&amp;"/"&amp;RIGHT("00"&amp;VALUE(TRIM(MID(MID(Sync!$L1668,FIND("/",Sync!$L1668)+1,20),FIND("/",MID(Sync!$L1668,FIND("/",Sync!$L1668)+1,20))+1,20))),2),"")))</f>
        <v/>
      </c>
    </row>
    <row r="1669" spans="13:14" x14ac:dyDescent="0.2">
      <c r="M1669" t="str">
        <f>IF(Sync!$M1669&lt;&gt;"پاس چک","",IF(Sync!$P1669="","",Sync!$P1669))</f>
        <v/>
      </c>
      <c r="N1669" t="str">
        <f>IF($M1669="","",IF(ISNUMBER(Sync!$L1669),IF(AND(Sync!$L1669&gt;=10000101,Sync!$L1669&lt;=99991231),RIGHT("0000"&amp;INT(Sync!$L1669/10000),4)&amp;"/"&amp;RIGHT("00"&amp;INT(MOD(Sync!$L1669,10000)/100),2)&amp;"/"&amp;RIGHT("00"&amp;MOD(Sync!$L1669,100),2),""),IFERROR(RIGHT("0000"&amp;VALUE(TRIM(LEFT(Sync!$L1669,FIND("/",Sync!$L1669)-1))),4)&amp;"/"&amp;RIGHT("00"&amp;VALUE(TRIM(LEFT(MID(Sync!$L1669,FIND("/",Sync!$L1669)+1,20),FIND("/",MID(Sync!$L1669,FIND("/",Sync!$L1669)+1,20))-1))),2)&amp;"/"&amp;RIGHT("00"&amp;VALUE(TRIM(MID(MID(Sync!$L1669,FIND("/",Sync!$L1669)+1,20),FIND("/",MID(Sync!$L1669,FIND("/",Sync!$L1669)+1,20))+1,20))),2),"")))</f>
        <v/>
      </c>
    </row>
    <row r="1670" spans="13:14" x14ac:dyDescent="0.2">
      <c r="M1670" t="str">
        <f>IF(Sync!$M1670&lt;&gt;"پاس چک","",IF(Sync!$P1670="","",Sync!$P1670))</f>
        <v/>
      </c>
      <c r="N1670" t="str">
        <f>IF($M1670="","",IF(ISNUMBER(Sync!$L1670),IF(AND(Sync!$L1670&gt;=10000101,Sync!$L1670&lt;=99991231),RIGHT("0000"&amp;INT(Sync!$L1670/10000),4)&amp;"/"&amp;RIGHT("00"&amp;INT(MOD(Sync!$L1670,10000)/100),2)&amp;"/"&amp;RIGHT("00"&amp;MOD(Sync!$L1670,100),2),""),IFERROR(RIGHT("0000"&amp;VALUE(TRIM(LEFT(Sync!$L1670,FIND("/",Sync!$L1670)-1))),4)&amp;"/"&amp;RIGHT("00"&amp;VALUE(TRIM(LEFT(MID(Sync!$L1670,FIND("/",Sync!$L1670)+1,20),FIND("/",MID(Sync!$L1670,FIND("/",Sync!$L1670)+1,20))-1))),2)&amp;"/"&amp;RIGHT("00"&amp;VALUE(TRIM(MID(MID(Sync!$L1670,FIND("/",Sync!$L1670)+1,20),FIND("/",MID(Sync!$L1670,FIND("/",Sync!$L1670)+1,20))+1,20))),2),"")))</f>
        <v/>
      </c>
    </row>
    <row r="1671" spans="13:14" x14ac:dyDescent="0.2">
      <c r="M1671" t="str">
        <f>IF(Sync!$M1671&lt;&gt;"پاس چک","",IF(Sync!$P1671="","",Sync!$P1671))</f>
        <v/>
      </c>
      <c r="N1671" t="str">
        <f>IF($M1671="","",IF(ISNUMBER(Sync!$L1671),IF(AND(Sync!$L1671&gt;=10000101,Sync!$L1671&lt;=99991231),RIGHT("0000"&amp;INT(Sync!$L1671/10000),4)&amp;"/"&amp;RIGHT("00"&amp;INT(MOD(Sync!$L1671,10000)/100),2)&amp;"/"&amp;RIGHT("00"&amp;MOD(Sync!$L1671,100),2),""),IFERROR(RIGHT("0000"&amp;VALUE(TRIM(LEFT(Sync!$L1671,FIND("/",Sync!$L1671)-1))),4)&amp;"/"&amp;RIGHT("00"&amp;VALUE(TRIM(LEFT(MID(Sync!$L1671,FIND("/",Sync!$L1671)+1,20),FIND("/",MID(Sync!$L1671,FIND("/",Sync!$L1671)+1,20))-1))),2)&amp;"/"&amp;RIGHT("00"&amp;VALUE(TRIM(MID(MID(Sync!$L1671,FIND("/",Sync!$L1671)+1,20),FIND("/",MID(Sync!$L1671,FIND("/",Sync!$L1671)+1,20))+1,20))),2),"")))</f>
        <v/>
      </c>
    </row>
    <row r="1672" spans="13:14" x14ac:dyDescent="0.2">
      <c r="M1672" t="str">
        <f>IF(Sync!$M1672&lt;&gt;"پاس چک","",IF(Sync!$P1672="","",Sync!$P1672))</f>
        <v/>
      </c>
      <c r="N1672" t="str">
        <f>IF($M1672="","",IF(ISNUMBER(Sync!$L1672),IF(AND(Sync!$L1672&gt;=10000101,Sync!$L1672&lt;=99991231),RIGHT("0000"&amp;INT(Sync!$L1672/10000),4)&amp;"/"&amp;RIGHT("00"&amp;INT(MOD(Sync!$L1672,10000)/100),2)&amp;"/"&amp;RIGHT("00"&amp;MOD(Sync!$L1672,100),2),""),IFERROR(RIGHT("0000"&amp;VALUE(TRIM(LEFT(Sync!$L1672,FIND("/",Sync!$L1672)-1))),4)&amp;"/"&amp;RIGHT("00"&amp;VALUE(TRIM(LEFT(MID(Sync!$L1672,FIND("/",Sync!$L1672)+1,20),FIND("/",MID(Sync!$L1672,FIND("/",Sync!$L1672)+1,20))-1))),2)&amp;"/"&amp;RIGHT("00"&amp;VALUE(TRIM(MID(MID(Sync!$L1672,FIND("/",Sync!$L1672)+1,20),FIND("/",MID(Sync!$L1672,FIND("/",Sync!$L1672)+1,20))+1,20))),2),"")))</f>
        <v/>
      </c>
    </row>
    <row r="1673" spans="13:14" x14ac:dyDescent="0.2">
      <c r="M1673" t="str">
        <f>IF(Sync!$M1673&lt;&gt;"پاس چک","",IF(Sync!$P1673="","",Sync!$P1673))</f>
        <v/>
      </c>
      <c r="N1673" t="str">
        <f>IF($M1673="","",IF(ISNUMBER(Sync!$L1673),IF(AND(Sync!$L1673&gt;=10000101,Sync!$L1673&lt;=99991231),RIGHT("0000"&amp;INT(Sync!$L1673/10000),4)&amp;"/"&amp;RIGHT("00"&amp;INT(MOD(Sync!$L1673,10000)/100),2)&amp;"/"&amp;RIGHT("00"&amp;MOD(Sync!$L1673,100),2),""),IFERROR(RIGHT("0000"&amp;VALUE(TRIM(LEFT(Sync!$L1673,FIND("/",Sync!$L1673)-1))),4)&amp;"/"&amp;RIGHT("00"&amp;VALUE(TRIM(LEFT(MID(Sync!$L1673,FIND("/",Sync!$L1673)+1,20),FIND("/",MID(Sync!$L1673,FIND("/",Sync!$L1673)+1,20))-1))),2)&amp;"/"&amp;RIGHT("00"&amp;VALUE(TRIM(MID(MID(Sync!$L1673,FIND("/",Sync!$L1673)+1,20),FIND("/",MID(Sync!$L1673,FIND("/",Sync!$L1673)+1,20))+1,20))),2),"")))</f>
        <v/>
      </c>
    </row>
    <row r="1674" spans="13:14" x14ac:dyDescent="0.2">
      <c r="M1674" t="str">
        <f>IF(Sync!$M1674&lt;&gt;"پاس چک","",IF(Sync!$P1674="","",Sync!$P1674))</f>
        <v/>
      </c>
      <c r="N1674" t="str">
        <f>IF($M1674="","",IF(ISNUMBER(Sync!$L1674),IF(AND(Sync!$L1674&gt;=10000101,Sync!$L1674&lt;=99991231),RIGHT("0000"&amp;INT(Sync!$L1674/10000),4)&amp;"/"&amp;RIGHT("00"&amp;INT(MOD(Sync!$L1674,10000)/100),2)&amp;"/"&amp;RIGHT("00"&amp;MOD(Sync!$L1674,100),2),""),IFERROR(RIGHT("0000"&amp;VALUE(TRIM(LEFT(Sync!$L1674,FIND("/",Sync!$L1674)-1))),4)&amp;"/"&amp;RIGHT("00"&amp;VALUE(TRIM(LEFT(MID(Sync!$L1674,FIND("/",Sync!$L1674)+1,20),FIND("/",MID(Sync!$L1674,FIND("/",Sync!$L1674)+1,20))-1))),2)&amp;"/"&amp;RIGHT("00"&amp;VALUE(TRIM(MID(MID(Sync!$L1674,FIND("/",Sync!$L1674)+1,20),FIND("/",MID(Sync!$L1674,FIND("/",Sync!$L1674)+1,20))+1,20))),2),"")))</f>
        <v/>
      </c>
    </row>
    <row r="1675" spans="13:14" x14ac:dyDescent="0.2">
      <c r="M1675" t="str">
        <f>IF(Sync!$M1675&lt;&gt;"پاس چک","",IF(Sync!$P1675="","",Sync!$P1675))</f>
        <v/>
      </c>
      <c r="N1675" t="str">
        <f>IF($M1675="","",IF(ISNUMBER(Sync!$L1675),IF(AND(Sync!$L1675&gt;=10000101,Sync!$L1675&lt;=99991231),RIGHT("0000"&amp;INT(Sync!$L1675/10000),4)&amp;"/"&amp;RIGHT("00"&amp;INT(MOD(Sync!$L1675,10000)/100),2)&amp;"/"&amp;RIGHT("00"&amp;MOD(Sync!$L1675,100),2),""),IFERROR(RIGHT("0000"&amp;VALUE(TRIM(LEFT(Sync!$L1675,FIND("/",Sync!$L1675)-1))),4)&amp;"/"&amp;RIGHT("00"&amp;VALUE(TRIM(LEFT(MID(Sync!$L1675,FIND("/",Sync!$L1675)+1,20),FIND("/",MID(Sync!$L1675,FIND("/",Sync!$L1675)+1,20))-1))),2)&amp;"/"&amp;RIGHT("00"&amp;VALUE(TRIM(MID(MID(Sync!$L1675,FIND("/",Sync!$L1675)+1,20),FIND("/",MID(Sync!$L1675,FIND("/",Sync!$L1675)+1,20))+1,20))),2),"")))</f>
        <v/>
      </c>
    </row>
    <row r="1676" spans="13:14" x14ac:dyDescent="0.2">
      <c r="M1676" t="str">
        <f>IF(Sync!$M1676&lt;&gt;"پاس چک","",IF(Sync!$P1676="","",Sync!$P1676))</f>
        <v/>
      </c>
      <c r="N1676" t="str">
        <f>IF($M1676="","",IF(ISNUMBER(Sync!$L1676),IF(AND(Sync!$L1676&gt;=10000101,Sync!$L1676&lt;=99991231),RIGHT("0000"&amp;INT(Sync!$L1676/10000),4)&amp;"/"&amp;RIGHT("00"&amp;INT(MOD(Sync!$L1676,10000)/100),2)&amp;"/"&amp;RIGHT("00"&amp;MOD(Sync!$L1676,100),2),""),IFERROR(RIGHT("0000"&amp;VALUE(TRIM(LEFT(Sync!$L1676,FIND("/",Sync!$L1676)-1))),4)&amp;"/"&amp;RIGHT("00"&amp;VALUE(TRIM(LEFT(MID(Sync!$L1676,FIND("/",Sync!$L1676)+1,20),FIND("/",MID(Sync!$L1676,FIND("/",Sync!$L1676)+1,20))-1))),2)&amp;"/"&amp;RIGHT("00"&amp;VALUE(TRIM(MID(MID(Sync!$L1676,FIND("/",Sync!$L1676)+1,20),FIND("/",MID(Sync!$L1676,FIND("/",Sync!$L1676)+1,20))+1,20))),2),"")))</f>
        <v/>
      </c>
    </row>
    <row r="1677" spans="13:14" x14ac:dyDescent="0.2">
      <c r="M1677" t="str">
        <f>IF(Sync!$M1677&lt;&gt;"پاس چک","",IF(Sync!$P1677="","",Sync!$P1677))</f>
        <v/>
      </c>
      <c r="N1677" t="str">
        <f>IF($M1677="","",IF(ISNUMBER(Sync!$L1677),IF(AND(Sync!$L1677&gt;=10000101,Sync!$L1677&lt;=99991231),RIGHT("0000"&amp;INT(Sync!$L1677/10000),4)&amp;"/"&amp;RIGHT("00"&amp;INT(MOD(Sync!$L1677,10000)/100),2)&amp;"/"&amp;RIGHT("00"&amp;MOD(Sync!$L1677,100),2),""),IFERROR(RIGHT("0000"&amp;VALUE(TRIM(LEFT(Sync!$L1677,FIND("/",Sync!$L1677)-1))),4)&amp;"/"&amp;RIGHT("00"&amp;VALUE(TRIM(LEFT(MID(Sync!$L1677,FIND("/",Sync!$L1677)+1,20),FIND("/",MID(Sync!$L1677,FIND("/",Sync!$L1677)+1,20))-1))),2)&amp;"/"&amp;RIGHT("00"&amp;VALUE(TRIM(MID(MID(Sync!$L1677,FIND("/",Sync!$L1677)+1,20),FIND("/",MID(Sync!$L1677,FIND("/",Sync!$L1677)+1,20))+1,20))),2),"")))</f>
        <v/>
      </c>
    </row>
    <row r="1678" spans="13:14" x14ac:dyDescent="0.2">
      <c r="M1678" t="str">
        <f>IF(Sync!$M1678&lt;&gt;"پاس چک","",IF(Sync!$P1678="","",Sync!$P1678))</f>
        <v/>
      </c>
      <c r="N1678" t="str">
        <f>IF($M1678="","",IF(ISNUMBER(Sync!$L1678),IF(AND(Sync!$L1678&gt;=10000101,Sync!$L1678&lt;=99991231),RIGHT("0000"&amp;INT(Sync!$L1678/10000),4)&amp;"/"&amp;RIGHT("00"&amp;INT(MOD(Sync!$L1678,10000)/100),2)&amp;"/"&amp;RIGHT("00"&amp;MOD(Sync!$L1678,100),2),""),IFERROR(RIGHT("0000"&amp;VALUE(TRIM(LEFT(Sync!$L1678,FIND("/",Sync!$L1678)-1))),4)&amp;"/"&amp;RIGHT("00"&amp;VALUE(TRIM(LEFT(MID(Sync!$L1678,FIND("/",Sync!$L1678)+1,20),FIND("/",MID(Sync!$L1678,FIND("/",Sync!$L1678)+1,20))-1))),2)&amp;"/"&amp;RIGHT("00"&amp;VALUE(TRIM(MID(MID(Sync!$L1678,FIND("/",Sync!$L1678)+1,20),FIND("/",MID(Sync!$L1678,FIND("/",Sync!$L1678)+1,20))+1,20))),2),"")))</f>
        <v/>
      </c>
    </row>
    <row r="1679" spans="13:14" x14ac:dyDescent="0.2">
      <c r="M1679" t="str">
        <f>IF(Sync!$M1679&lt;&gt;"پاس چک","",IF(Sync!$P1679="","",Sync!$P1679))</f>
        <v/>
      </c>
      <c r="N1679" t="str">
        <f>IF($M1679="","",IF(ISNUMBER(Sync!$L1679),IF(AND(Sync!$L1679&gt;=10000101,Sync!$L1679&lt;=99991231),RIGHT("0000"&amp;INT(Sync!$L1679/10000),4)&amp;"/"&amp;RIGHT("00"&amp;INT(MOD(Sync!$L1679,10000)/100),2)&amp;"/"&amp;RIGHT("00"&amp;MOD(Sync!$L1679,100),2),""),IFERROR(RIGHT("0000"&amp;VALUE(TRIM(LEFT(Sync!$L1679,FIND("/",Sync!$L1679)-1))),4)&amp;"/"&amp;RIGHT("00"&amp;VALUE(TRIM(LEFT(MID(Sync!$L1679,FIND("/",Sync!$L1679)+1,20),FIND("/",MID(Sync!$L1679,FIND("/",Sync!$L1679)+1,20))-1))),2)&amp;"/"&amp;RIGHT("00"&amp;VALUE(TRIM(MID(MID(Sync!$L1679,FIND("/",Sync!$L1679)+1,20),FIND("/",MID(Sync!$L1679,FIND("/",Sync!$L1679)+1,20))+1,20))),2),"")))</f>
        <v/>
      </c>
    </row>
    <row r="1680" spans="13:14" x14ac:dyDescent="0.2">
      <c r="M1680" t="str">
        <f>IF(Sync!$M1680&lt;&gt;"پاس چک","",IF(Sync!$P1680="","",Sync!$P1680))</f>
        <v/>
      </c>
      <c r="N1680" t="str">
        <f>IF($M1680="","",IF(ISNUMBER(Sync!$L1680),IF(AND(Sync!$L1680&gt;=10000101,Sync!$L1680&lt;=99991231),RIGHT("0000"&amp;INT(Sync!$L1680/10000),4)&amp;"/"&amp;RIGHT("00"&amp;INT(MOD(Sync!$L1680,10000)/100),2)&amp;"/"&amp;RIGHT("00"&amp;MOD(Sync!$L1680,100),2),""),IFERROR(RIGHT("0000"&amp;VALUE(TRIM(LEFT(Sync!$L1680,FIND("/",Sync!$L1680)-1))),4)&amp;"/"&amp;RIGHT("00"&amp;VALUE(TRIM(LEFT(MID(Sync!$L1680,FIND("/",Sync!$L1680)+1,20),FIND("/",MID(Sync!$L1680,FIND("/",Sync!$L1680)+1,20))-1))),2)&amp;"/"&amp;RIGHT("00"&amp;VALUE(TRIM(MID(MID(Sync!$L1680,FIND("/",Sync!$L1680)+1,20),FIND("/",MID(Sync!$L1680,FIND("/",Sync!$L1680)+1,20))+1,20))),2),"")))</f>
        <v/>
      </c>
    </row>
    <row r="1681" spans="13:14" x14ac:dyDescent="0.2">
      <c r="M1681" t="str">
        <f>IF(Sync!$M1681&lt;&gt;"پاس چک","",IF(Sync!$P1681="","",Sync!$P1681))</f>
        <v/>
      </c>
      <c r="N1681" t="str">
        <f>IF($M1681="","",IF(ISNUMBER(Sync!$L1681),IF(AND(Sync!$L1681&gt;=10000101,Sync!$L1681&lt;=99991231),RIGHT("0000"&amp;INT(Sync!$L1681/10000),4)&amp;"/"&amp;RIGHT("00"&amp;INT(MOD(Sync!$L1681,10000)/100),2)&amp;"/"&amp;RIGHT("00"&amp;MOD(Sync!$L1681,100),2),""),IFERROR(RIGHT("0000"&amp;VALUE(TRIM(LEFT(Sync!$L1681,FIND("/",Sync!$L1681)-1))),4)&amp;"/"&amp;RIGHT("00"&amp;VALUE(TRIM(LEFT(MID(Sync!$L1681,FIND("/",Sync!$L1681)+1,20),FIND("/",MID(Sync!$L1681,FIND("/",Sync!$L1681)+1,20))-1))),2)&amp;"/"&amp;RIGHT("00"&amp;VALUE(TRIM(MID(MID(Sync!$L1681,FIND("/",Sync!$L1681)+1,20),FIND("/",MID(Sync!$L1681,FIND("/",Sync!$L1681)+1,20))+1,20))),2),"")))</f>
        <v/>
      </c>
    </row>
    <row r="1682" spans="13:14" x14ac:dyDescent="0.2">
      <c r="M1682" t="str">
        <f>IF(Sync!$M1682&lt;&gt;"پاس چک","",IF(Sync!$P1682="","",Sync!$P1682))</f>
        <v/>
      </c>
      <c r="N1682" t="str">
        <f>IF($M1682="","",IF(ISNUMBER(Sync!$L1682),IF(AND(Sync!$L1682&gt;=10000101,Sync!$L1682&lt;=99991231),RIGHT("0000"&amp;INT(Sync!$L1682/10000),4)&amp;"/"&amp;RIGHT("00"&amp;INT(MOD(Sync!$L1682,10000)/100),2)&amp;"/"&amp;RIGHT("00"&amp;MOD(Sync!$L1682,100),2),""),IFERROR(RIGHT("0000"&amp;VALUE(TRIM(LEFT(Sync!$L1682,FIND("/",Sync!$L1682)-1))),4)&amp;"/"&amp;RIGHT("00"&amp;VALUE(TRIM(LEFT(MID(Sync!$L1682,FIND("/",Sync!$L1682)+1,20),FIND("/",MID(Sync!$L1682,FIND("/",Sync!$L1682)+1,20))-1))),2)&amp;"/"&amp;RIGHT("00"&amp;VALUE(TRIM(MID(MID(Sync!$L1682,FIND("/",Sync!$L1682)+1,20),FIND("/",MID(Sync!$L1682,FIND("/",Sync!$L1682)+1,20))+1,20))),2),"")))</f>
        <v/>
      </c>
    </row>
    <row r="1683" spans="13:14" x14ac:dyDescent="0.2">
      <c r="M1683" t="str">
        <f>IF(Sync!$M1683&lt;&gt;"پاس چک","",IF(Sync!$P1683="","",Sync!$P1683))</f>
        <v/>
      </c>
      <c r="N1683" t="str">
        <f>IF($M1683="","",IF(ISNUMBER(Sync!$L1683),IF(AND(Sync!$L1683&gt;=10000101,Sync!$L1683&lt;=99991231),RIGHT("0000"&amp;INT(Sync!$L1683/10000),4)&amp;"/"&amp;RIGHT("00"&amp;INT(MOD(Sync!$L1683,10000)/100),2)&amp;"/"&amp;RIGHT("00"&amp;MOD(Sync!$L1683,100),2),""),IFERROR(RIGHT("0000"&amp;VALUE(TRIM(LEFT(Sync!$L1683,FIND("/",Sync!$L1683)-1))),4)&amp;"/"&amp;RIGHT("00"&amp;VALUE(TRIM(LEFT(MID(Sync!$L1683,FIND("/",Sync!$L1683)+1,20),FIND("/",MID(Sync!$L1683,FIND("/",Sync!$L1683)+1,20))-1))),2)&amp;"/"&amp;RIGHT("00"&amp;VALUE(TRIM(MID(MID(Sync!$L1683,FIND("/",Sync!$L1683)+1,20),FIND("/",MID(Sync!$L1683,FIND("/",Sync!$L1683)+1,20))+1,20))),2),"")))</f>
        <v/>
      </c>
    </row>
    <row r="1684" spans="13:14" x14ac:dyDescent="0.2">
      <c r="M1684" t="str">
        <f>IF(Sync!$M1684&lt;&gt;"پاس چک","",IF(Sync!$P1684="","",Sync!$P1684))</f>
        <v/>
      </c>
      <c r="N1684" t="str">
        <f>IF($M1684="","",IF(ISNUMBER(Sync!$L1684),IF(AND(Sync!$L1684&gt;=10000101,Sync!$L1684&lt;=99991231),RIGHT("0000"&amp;INT(Sync!$L1684/10000),4)&amp;"/"&amp;RIGHT("00"&amp;INT(MOD(Sync!$L1684,10000)/100),2)&amp;"/"&amp;RIGHT("00"&amp;MOD(Sync!$L1684,100),2),""),IFERROR(RIGHT("0000"&amp;VALUE(TRIM(LEFT(Sync!$L1684,FIND("/",Sync!$L1684)-1))),4)&amp;"/"&amp;RIGHT("00"&amp;VALUE(TRIM(LEFT(MID(Sync!$L1684,FIND("/",Sync!$L1684)+1,20),FIND("/",MID(Sync!$L1684,FIND("/",Sync!$L1684)+1,20))-1))),2)&amp;"/"&amp;RIGHT("00"&amp;VALUE(TRIM(MID(MID(Sync!$L1684,FIND("/",Sync!$L1684)+1,20),FIND("/",MID(Sync!$L1684,FIND("/",Sync!$L1684)+1,20))+1,20))),2),"")))</f>
        <v/>
      </c>
    </row>
    <row r="1685" spans="13:14" x14ac:dyDescent="0.2">
      <c r="M1685" t="str">
        <f>IF(Sync!$M1685&lt;&gt;"پاس چک","",IF(Sync!$P1685="","",Sync!$P1685))</f>
        <v/>
      </c>
      <c r="N1685" t="str">
        <f>IF($M1685="","",IF(ISNUMBER(Sync!$L1685),IF(AND(Sync!$L1685&gt;=10000101,Sync!$L1685&lt;=99991231),RIGHT("0000"&amp;INT(Sync!$L1685/10000),4)&amp;"/"&amp;RIGHT("00"&amp;INT(MOD(Sync!$L1685,10000)/100),2)&amp;"/"&amp;RIGHT("00"&amp;MOD(Sync!$L1685,100),2),""),IFERROR(RIGHT("0000"&amp;VALUE(TRIM(LEFT(Sync!$L1685,FIND("/",Sync!$L1685)-1))),4)&amp;"/"&amp;RIGHT("00"&amp;VALUE(TRIM(LEFT(MID(Sync!$L1685,FIND("/",Sync!$L1685)+1,20),FIND("/",MID(Sync!$L1685,FIND("/",Sync!$L1685)+1,20))-1))),2)&amp;"/"&amp;RIGHT("00"&amp;VALUE(TRIM(MID(MID(Sync!$L1685,FIND("/",Sync!$L1685)+1,20),FIND("/",MID(Sync!$L1685,FIND("/",Sync!$L1685)+1,20))+1,20))),2),"")))</f>
        <v/>
      </c>
    </row>
    <row r="1686" spans="13:14" x14ac:dyDescent="0.2">
      <c r="M1686" t="str">
        <f>IF(Sync!$M1686&lt;&gt;"پاس چک","",IF(Sync!$P1686="","",Sync!$P1686))</f>
        <v/>
      </c>
      <c r="N1686" t="str">
        <f>IF($M1686="","",IF(ISNUMBER(Sync!$L1686),IF(AND(Sync!$L1686&gt;=10000101,Sync!$L1686&lt;=99991231),RIGHT("0000"&amp;INT(Sync!$L1686/10000),4)&amp;"/"&amp;RIGHT("00"&amp;INT(MOD(Sync!$L1686,10000)/100),2)&amp;"/"&amp;RIGHT("00"&amp;MOD(Sync!$L1686,100),2),""),IFERROR(RIGHT("0000"&amp;VALUE(TRIM(LEFT(Sync!$L1686,FIND("/",Sync!$L1686)-1))),4)&amp;"/"&amp;RIGHT("00"&amp;VALUE(TRIM(LEFT(MID(Sync!$L1686,FIND("/",Sync!$L1686)+1,20),FIND("/",MID(Sync!$L1686,FIND("/",Sync!$L1686)+1,20))-1))),2)&amp;"/"&amp;RIGHT("00"&amp;VALUE(TRIM(MID(MID(Sync!$L1686,FIND("/",Sync!$L1686)+1,20),FIND("/",MID(Sync!$L1686,FIND("/",Sync!$L1686)+1,20))+1,20))),2),"")))</f>
        <v/>
      </c>
    </row>
    <row r="1687" spans="13:14" x14ac:dyDescent="0.2">
      <c r="M1687" t="str">
        <f>IF(Sync!$M1687&lt;&gt;"پاس چک","",IF(Sync!$P1687="","",Sync!$P1687))</f>
        <v/>
      </c>
      <c r="N1687" t="str">
        <f>IF($M1687="","",IF(ISNUMBER(Sync!$L1687),IF(AND(Sync!$L1687&gt;=10000101,Sync!$L1687&lt;=99991231),RIGHT("0000"&amp;INT(Sync!$L1687/10000),4)&amp;"/"&amp;RIGHT("00"&amp;INT(MOD(Sync!$L1687,10000)/100),2)&amp;"/"&amp;RIGHT("00"&amp;MOD(Sync!$L1687,100),2),""),IFERROR(RIGHT("0000"&amp;VALUE(TRIM(LEFT(Sync!$L1687,FIND("/",Sync!$L1687)-1))),4)&amp;"/"&amp;RIGHT("00"&amp;VALUE(TRIM(LEFT(MID(Sync!$L1687,FIND("/",Sync!$L1687)+1,20),FIND("/",MID(Sync!$L1687,FIND("/",Sync!$L1687)+1,20))-1))),2)&amp;"/"&amp;RIGHT("00"&amp;VALUE(TRIM(MID(MID(Sync!$L1687,FIND("/",Sync!$L1687)+1,20),FIND("/",MID(Sync!$L1687,FIND("/",Sync!$L1687)+1,20))+1,20))),2),"")))</f>
        <v/>
      </c>
    </row>
    <row r="1688" spans="13:14" x14ac:dyDescent="0.2">
      <c r="M1688" t="str">
        <f>IF(Sync!$M1688&lt;&gt;"پاس چک","",IF(Sync!$P1688="","",Sync!$P1688))</f>
        <v/>
      </c>
      <c r="N1688" t="str">
        <f>IF($M1688="","",IF(ISNUMBER(Sync!$L1688),IF(AND(Sync!$L1688&gt;=10000101,Sync!$L1688&lt;=99991231),RIGHT("0000"&amp;INT(Sync!$L1688/10000),4)&amp;"/"&amp;RIGHT("00"&amp;INT(MOD(Sync!$L1688,10000)/100),2)&amp;"/"&amp;RIGHT("00"&amp;MOD(Sync!$L1688,100),2),""),IFERROR(RIGHT("0000"&amp;VALUE(TRIM(LEFT(Sync!$L1688,FIND("/",Sync!$L1688)-1))),4)&amp;"/"&amp;RIGHT("00"&amp;VALUE(TRIM(LEFT(MID(Sync!$L1688,FIND("/",Sync!$L1688)+1,20),FIND("/",MID(Sync!$L1688,FIND("/",Sync!$L1688)+1,20))-1))),2)&amp;"/"&amp;RIGHT("00"&amp;VALUE(TRIM(MID(MID(Sync!$L1688,FIND("/",Sync!$L1688)+1,20),FIND("/",MID(Sync!$L1688,FIND("/",Sync!$L1688)+1,20))+1,20))),2),"")))</f>
        <v/>
      </c>
    </row>
    <row r="1689" spans="13:14" x14ac:dyDescent="0.2">
      <c r="M1689" t="str">
        <f>IF(Sync!$M1689&lt;&gt;"پاس چک","",IF(Sync!$P1689="","",Sync!$P1689))</f>
        <v/>
      </c>
      <c r="N1689" t="str">
        <f>IF($M1689="","",IF(ISNUMBER(Sync!$L1689),IF(AND(Sync!$L1689&gt;=10000101,Sync!$L1689&lt;=99991231),RIGHT("0000"&amp;INT(Sync!$L1689/10000),4)&amp;"/"&amp;RIGHT("00"&amp;INT(MOD(Sync!$L1689,10000)/100),2)&amp;"/"&amp;RIGHT("00"&amp;MOD(Sync!$L1689,100),2),""),IFERROR(RIGHT("0000"&amp;VALUE(TRIM(LEFT(Sync!$L1689,FIND("/",Sync!$L1689)-1))),4)&amp;"/"&amp;RIGHT("00"&amp;VALUE(TRIM(LEFT(MID(Sync!$L1689,FIND("/",Sync!$L1689)+1,20),FIND("/",MID(Sync!$L1689,FIND("/",Sync!$L1689)+1,20))-1))),2)&amp;"/"&amp;RIGHT("00"&amp;VALUE(TRIM(MID(MID(Sync!$L1689,FIND("/",Sync!$L1689)+1,20),FIND("/",MID(Sync!$L1689,FIND("/",Sync!$L1689)+1,20))+1,20))),2),"")))</f>
        <v/>
      </c>
    </row>
    <row r="1690" spans="13:14" x14ac:dyDescent="0.2">
      <c r="M1690" t="str">
        <f>IF(Sync!$M1690&lt;&gt;"پاس چک","",IF(Sync!$P1690="","",Sync!$P1690))</f>
        <v/>
      </c>
      <c r="N1690" t="str">
        <f>IF($M1690="","",IF(ISNUMBER(Sync!$L1690),IF(AND(Sync!$L1690&gt;=10000101,Sync!$L1690&lt;=99991231),RIGHT("0000"&amp;INT(Sync!$L1690/10000),4)&amp;"/"&amp;RIGHT("00"&amp;INT(MOD(Sync!$L1690,10000)/100),2)&amp;"/"&amp;RIGHT("00"&amp;MOD(Sync!$L1690,100),2),""),IFERROR(RIGHT("0000"&amp;VALUE(TRIM(LEFT(Sync!$L1690,FIND("/",Sync!$L1690)-1))),4)&amp;"/"&amp;RIGHT("00"&amp;VALUE(TRIM(LEFT(MID(Sync!$L1690,FIND("/",Sync!$L1690)+1,20),FIND("/",MID(Sync!$L1690,FIND("/",Sync!$L1690)+1,20))-1))),2)&amp;"/"&amp;RIGHT("00"&amp;VALUE(TRIM(MID(MID(Sync!$L1690,FIND("/",Sync!$L1690)+1,20),FIND("/",MID(Sync!$L1690,FIND("/",Sync!$L1690)+1,20))+1,20))),2),"")))</f>
        <v/>
      </c>
    </row>
    <row r="1691" spans="13:14" x14ac:dyDescent="0.2">
      <c r="M1691" t="str">
        <f>IF(Sync!$M1691&lt;&gt;"پاس چک","",IF(Sync!$P1691="","",Sync!$P1691))</f>
        <v/>
      </c>
      <c r="N1691" t="str">
        <f>IF($M1691="","",IF(ISNUMBER(Sync!$L1691),IF(AND(Sync!$L1691&gt;=10000101,Sync!$L1691&lt;=99991231),RIGHT("0000"&amp;INT(Sync!$L1691/10000),4)&amp;"/"&amp;RIGHT("00"&amp;INT(MOD(Sync!$L1691,10000)/100),2)&amp;"/"&amp;RIGHT("00"&amp;MOD(Sync!$L1691,100),2),""),IFERROR(RIGHT("0000"&amp;VALUE(TRIM(LEFT(Sync!$L1691,FIND("/",Sync!$L1691)-1))),4)&amp;"/"&amp;RIGHT("00"&amp;VALUE(TRIM(LEFT(MID(Sync!$L1691,FIND("/",Sync!$L1691)+1,20),FIND("/",MID(Sync!$L1691,FIND("/",Sync!$L1691)+1,20))-1))),2)&amp;"/"&amp;RIGHT("00"&amp;VALUE(TRIM(MID(MID(Sync!$L1691,FIND("/",Sync!$L1691)+1,20),FIND("/",MID(Sync!$L1691,FIND("/",Sync!$L1691)+1,20))+1,20))),2),"")))</f>
        <v/>
      </c>
    </row>
    <row r="1692" spans="13:14" x14ac:dyDescent="0.2">
      <c r="M1692" t="str">
        <f>IF(Sync!$M1692&lt;&gt;"پاس چک","",IF(Sync!$P1692="","",Sync!$P1692))</f>
        <v/>
      </c>
      <c r="N1692" t="str">
        <f>IF($M1692="","",IF(ISNUMBER(Sync!$L1692),IF(AND(Sync!$L1692&gt;=10000101,Sync!$L1692&lt;=99991231),RIGHT("0000"&amp;INT(Sync!$L1692/10000),4)&amp;"/"&amp;RIGHT("00"&amp;INT(MOD(Sync!$L1692,10000)/100),2)&amp;"/"&amp;RIGHT("00"&amp;MOD(Sync!$L1692,100),2),""),IFERROR(RIGHT("0000"&amp;VALUE(TRIM(LEFT(Sync!$L1692,FIND("/",Sync!$L1692)-1))),4)&amp;"/"&amp;RIGHT("00"&amp;VALUE(TRIM(LEFT(MID(Sync!$L1692,FIND("/",Sync!$L1692)+1,20),FIND("/",MID(Sync!$L1692,FIND("/",Sync!$L1692)+1,20))-1))),2)&amp;"/"&amp;RIGHT("00"&amp;VALUE(TRIM(MID(MID(Sync!$L1692,FIND("/",Sync!$L1692)+1,20),FIND("/",MID(Sync!$L1692,FIND("/",Sync!$L1692)+1,20))+1,20))),2),"")))</f>
        <v/>
      </c>
    </row>
    <row r="1693" spans="13:14" x14ac:dyDescent="0.2">
      <c r="M1693" t="str">
        <f>IF(Sync!$M1693&lt;&gt;"پاس چک","",IF(Sync!$P1693="","",Sync!$P1693))</f>
        <v/>
      </c>
      <c r="N1693" t="str">
        <f>IF($M1693="","",IF(ISNUMBER(Sync!$L1693),IF(AND(Sync!$L1693&gt;=10000101,Sync!$L1693&lt;=99991231),RIGHT("0000"&amp;INT(Sync!$L1693/10000),4)&amp;"/"&amp;RIGHT("00"&amp;INT(MOD(Sync!$L1693,10000)/100),2)&amp;"/"&amp;RIGHT("00"&amp;MOD(Sync!$L1693,100),2),""),IFERROR(RIGHT("0000"&amp;VALUE(TRIM(LEFT(Sync!$L1693,FIND("/",Sync!$L1693)-1))),4)&amp;"/"&amp;RIGHT("00"&amp;VALUE(TRIM(LEFT(MID(Sync!$L1693,FIND("/",Sync!$L1693)+1,20),FIND("/",MID(Sync!$L1693,FIND("/",Sync!$L1693)+1,20))-1))),2)&amp;"/"&amp;RIGHT("00"&amp;VALUE(TRIM(MID(MID(Sync!$L1693,FIND("/",Sync!$L1693)+1,20),FIND("/",MID(Sync!$L1693,FIND("/",Sync!$L1693)+1,20))+1,20))),2),"")))</f>
        <v/>
      </c>
    </row>
    <row r="1694" spans="13:14" x14ac:dyDescent="0.2">
      <c r="M1694" t="str">
        <f>IF(Sync!$M1694&lt;&gt;"پاس چک","",IF(Sync!$P1694="","",Sync!$P1694))</f>
        <v/>
      </c>
      <c r="N1694" t="str">
        <f>IF($M1694="","",IF(ISNUMBER(Sync!$L1694),IF(AND(Sync!$L1694&gt;=10000101,Sync!$L1694&lt;=99991231),RIGHT("0000"&amp;INT(Sync!$L1694/10000),4)&amp;"/"&amp;RIGHT("00"&amp;INT(MOD(Sync!$L1694,10000)/100),2)&amp;"/"&amp;RIGHT("00"&amp;MOD(Sync!$L1694,100),2),""),IFERROR(RIGHT("0000"&amp;VALUE(TRIM(LEFT(Sync!$L1694,FIND("/",Sync!$L1694)-1))),4)&amp;"/"&amp;RIGHT("00"&amp;VALUE(TRIM(LEFT(MID(Sync!$L1694,FIND("/",Sync!$L1694)+1,20),FIND("/",MID(Sync!$L1694,FIND("/",Sync!$L1694)+1,20))-1))),2)&amp;"/"&amp;RIGHT("00"&amp;VALUE(TRIM(MID(MID(Sync!$L1694,FIND("/",Sync!$L1694)+1,20),FIND("/",MID(Sync!$L1694,FIND("/",Sync!$L1694)+1,20))+1,20))),2),"")))</f>
        <v/>
      </c>
    </row>
    <row r="1695" spans="13:14" x14ac:dyDescent="0.2">
      <c r="M1695" t="str">
        <f>IF(Sync!$M1695&lt;&gt;"پاس چک","",IF(Sync!$P1695="","",Sync!$P1695))</f>
        <v/>
      </c>
      <c r="N1695" t="str">
        <f>IF($M1695="","",IF(ISNUMBER(Sync!$L1695),IF(AND(Sync!$L1695&gt;=10000101,Sync!$L1695&lt;=99991231),RIGHT("0000"&amp;INT(Sync!$L1695/10000),4)&amp;"/"&amp;RIGHT("00"&amp;INT(MOD(Sync!$L1695,10000)/100),2)&amp;"/"&amp;RIGHT("00"&amp;MOD(Sync!$L1695,100),2),""),IFERROR(RIGHT("0000"&amp;VALUE(TRIM(LEFT(Sync!$L1695,FIND("/",Sync!$L1695)-1))),4)&amp;"/"&amp;RIGHT("00"&amp;VALUE(TRIM(LEFT(MID(Sync!$L1695,FIND("/",Sync!$L1695)+1,20),FIND("/",MID(Sync!$L1695,FIND("/",Sync!$L1695)+1,20))-1))),2)&amp;"/"&amp;RIGHT("00"&amp;VALUE(TRIM(MID(MID(Sync!$L1695,FIND("/",Sync!$L1695)+1,20),FIND("/",MID(Sync!$L1695,FIND("/",Sync!$L1695)+1,20))+1,20))),2),"")))</f>
        <v/>
      </c>
    </row>
    <row r="1696" spans="13:14" x14ac:dyDescent="0.2">
      <c r="M1696" t="str">
        <f>IF(Sync!$M1696&lt;&gt;"پاس چک","",IF(Sync!$P1696="","",Sync!$P1696))</f>
        <v/>
      </c>
      <c r="N1696" t="str">
        <f>IF($M1696="","",IF(ISNUMBER(Sync!$L1696),IF(AND(Sync!$L1696&gt;=10000101,Sync!$L1696&lt;=99991231),RIGHT("0000"&amp;INT(Sync!$L1696/10000),4)&amp;"/"&amp;RIGHT("00"&amp;INT(MOD(Sync!$L1696,10000)/100),2)&amp;"/"&amp;RIGHT("00"&amp;MOD(Sync!$L1696,100),2),""),IFERROR(RIGHT("0000"&amp;VALUE(TRIM(LEFT(Sync!$L1696,FIND("/",Sync!$L1696)-1))),4)&amp;"/"&amp;RIGHT("00"&amp;VALUE(TRIM(LEFT(MID(Sync!$L1696,FIND("/",Sync!$L1696)+1,20),FIND("/",MID(Sync!$L1696,FIND("/",Sync!$L1696)+1,20))-1))),2)&amp;"/"&amp;RIGHT("00"&amp;VALUE(TRIM(MID(MID(Sync!$L1696,FIND("/",Sync!$L1696)+1,20),FIND("/",MID(Sync!$L1696,FIND("/",Sync!$L1696)+1,20))+1,20))),2),"")))</f>
        <v/>
      </c>
    </row>
    <row r="1697" spans="13:14" x14ac:dyDescent="0.2">
      <c r="M1697" t="str">
        <f>IF(Sync!$M1697&lt;&gt;"پاس چک","",IF(Sync!$P1697="","",Sync!$P1697))</f>
        <v/>
      </c>
      <c r="N1697" t="str">
        <f>IF($M1697="","",IF(ISNUMBER(Sync!$L1697),IF(AND(Sync!$L1697&gt;=10000101,Sync!$L1697&lt;=99991231),RIGHT("0000"&amp;INT(Sync!$L1697/10000),4)&amp;"/"&amp;RIGHT("00"&amp;INT(MOD(Sync!$L1697,10000)/100),2)&amp;"/"&amp;RIGHT("00"&amp;MOD(Sync!$L1697,100),2),""),IFERROR(RIGHT("0000"&amp;VALUE(TRIM(LEFT(Sync!$L1697,FIND("/",Sync!$L1697)-1))),4)&amp;"/"&amp;RIGHT("00"&amp;VALUE(TRIM(LEFT(MID(Sync!$L1697,FIND("/",Sync!$L1697)+1,20),FIND("/",MID(Sync!$L1697,FIND("/",Sync!$L1697)+1,20))-1))),2)&amp;"/"&amp;RIGHT("00"&amp;VALUE(TRIM(MID(MID(Sync!$L1697,FIND("/",Sync!$L1697)+1,20),FIND("/",MID(Sync!$L1697,FIND("/",Sync!$L1697)+1,20))+1,20))),2),"")))</f>
        <v/>
      </c>
    </row>
    <row r="1698" spans="13:14" x14ac:dyDescent="0.2">
      <c r="M1698" t="str">
        <f>IF(Sync!$M1698&lt;&gt;"پاس چک","",IF(Sync!$P1698="","",Sync!$P1698))</f>
        <v/>
      </c>
      <c r="N1698" t="str">
        <f>IF($M1698="","",IF(ISNUMBER(Sync!$L1698),IF(AND(Sync!$L1698&gt;=10000101,Sync!$L1698&lt;=99991231),RIGHT("0000"&amp;INT(Sync!$L1698/10000),4)&amp;"/"&amp;RIGHT("00"&amp;INT(MOD(Sync!$L1698,10000)/100),2)&amp;"/"&amp;RIGHT("00"&amp;MOD(Sync!$L1698,100),2),""),IFERROR(RIGHT("0000"&amp;VALUE(TRIM(LEFT(Sync!$L1698,FIND("/",Sync!$L1698)-1))),4)&amp;"/"&amp;RIGHT("00"&amp;VALUE(TRIM(LEFT(MID(Sync!$L1698,FIND("/",Sync!$L1698)+1,20),FIND("/",MID(Sync!$L1698,FIND("/",Sync!$L1698)+1,20))-1))),2)&amp;"/"&amp;RIGHT("00"&amp;VALUE(TRIM(MID(MID(Sync!$L1698,FIND("/",Sync!$L1698)+1,20),FIND("/",MID(Sync!$L1698,FIND("/",Sync!$L1698)+1,20))+1,20))),2),"")))</f>
        <v/>
      </c>
    </row>
    <row r="1699" spans="13:14" x14ac:dyDescent="0.2">
      <c r="M1699" t="str">
        <f>IF(Sync!$M1699&lt;&gt;"پاس چک","",IF(Sync!$P1699="","",Sync!$P1699))</f>
        <v/>
      </c>
      <c r="N1699" t="str">
        <f>IF($M1699="","",IF(ISNUMBER(Sync!$L1699),IF(AND(Sync!$L1699&gt;=10000101,Sync!$L1699&lt;=99991231),RIGHT("0000"&amp;INT(Sync!$L1699/10000),4)&amp;"/"&amp;RIGHT("00"&amp;INT(MOD(Sync!$L1699,10000)/100),2)&amp;"/"&amp;RIGHT("00"&amp;MOD(Sync!$L1699,100),2),""),IFERROR(RIGHT("0000"&amp;VALUE(TRIM(LEFT(Sync!$L1699,FIND("/",Sync!$L1699)-1))),4)&amp;"/"&amp;RIGHT("00"&amp;VALUE(TRIM(LEFT(MID(Sync!$L1699,FIND("/",Sync!$L1699)+1,20),FIND("/",MID(Sync!$L1699,FIND("/",Sync!$L1699)+1,20))-1))),2)&amp;"/"&amp;RIGHT("00"&amp;VALUE(TRIM(MID(MID(Sync!$L1699,FIND("/",Sync!$L1699)+1,20),FIND("/",MID(Sync!$L1699,FIND("/",Sync!$L1699)+1,20))+1,20))),2),"")))</f>
        <v/>
      </c>
    </row>
    <row r="1700" spans="13:14" x14ac:dyDescent="0.2">
      <c r="M1700" t="str">
        <f>IF(Sync!$M1700&lt;&gt;"پاس چک","",IF(Sync!$P1700="","",Sync!$P1700))</f>
        <v/>
      </c>
      <c r="N1700" t="str">
        <f>IF($M1700="","",IF(ISNUMBER(Sync!$L1700),IF(AND(Sync!$L1700&gt;=10000101,Sync!$L1700&lt;=99991231),RIGHT("0000"&amp;INT(Sync!$L1700/10000),4)&amp;"/"&amp;RIGHT("00"&amp;INT(MOD(Sync!$L1700,10000)/100),2)&amp;"/"&amp;RIGHT("00"&amp;MOD(Sync!$L1700,100),2),""),IFERROR(RIGHT("0000"&amp;VALUE(TRIM(LEFT(Sync!$L1700,FIND("/",Sync!$L1700)-1))),4)&amp;"/"&amp;RIGHT("00"&amp;VALUE(TRIM(LEFT(MID(Sync!$L1700,FIND("/",Sync!$L1700)+1,20),FIND("/",MID(Sync!$L1700,FIND("/",Sync!$L1700)+1,20))-1))),2)&amp;"/"&amp;RIGHT("00"&amp;VALUE(TRIM(MID(MID(Sync!$L1700,FIND("/",Sync!$L1700)+1,20),FIND("/",MID(Sync!$L1700,FIND("/",Sync!$L1700)+1,20))+1,20))),2),"")))</f>
        <v/>
      </c>
    </row>
    <row r="1701" spans="13:14" x14ac:dyDescent="0.2">
      <c r="M1701" t="str">
        <f>IF(Sync!$M1701&lt;&gt;"پاس چک","",IF(Sync!$P1701="","",Sync!$P1701))</f>
        <v/>
      </c>
      <c r="N1701" t="str">
        <f>IF($M1701="","",IF(ISNUMBER(Sync!$L1701),IF(AND(Sync!$L1701&gt;=10000101,Sync!$L1701&lt;=99991231),RIGHT("0000"&amp;INT(Sync!$L1701/10000),4)&amp;"/"&amp;RIGHT("00"&amp;INT(MOD(Sync!$L1701,10000)/100),2)&amp;"/"&amp;RIGHT("00"&amp;MOD(Sync!$L1701,100),2),""),IFERROR(RIGHT("0000"&amp;VALUE(TRIM(LEFT(Sync!$L1701,FIND("/",Sync!$L1701)-1))),4)&amp;"/"&amp;RIGHT("00"&amp;VALUE(TRIM(LEFT(MID(Sync!$L1701,FIND("/",Sync!$L1701)+1,20),FIND("/",MID(Sync!$L1701,FIND("/",Sync!$L1701)+1,20))-1))),2)&amp;"/"&amp;RIGHT("00"&amp;VALUE(TRIM(MID(MID(Sync!$L1701,FIND("/",Sync!$L1701)+1,20),FIND("/",MID(Sync!$L1701,FIND("/",Sync!$L1701)+1,20))+1,20))),2),"")))</f>
        <v/>
      </c>
    </row>
    <row r="1702" spans="13:14" x14ac:dyDescent="0.2">
      <c r="M1702" t="str">
        <f>IF(Sync!$M1702&lt;&gt;"پاس چک","",IF(Sync!$P1702="","",Sync!$P1702))</f>
        <v/>
      </c>
      <c r="N1702" t="str">
        <f>IF($M1702="","",IF(ISNUMBER(Sync!$L1702),IF(AND(Sync!$L1702&gt;=10000101,Sync!$L1702&lt;=99991231),RIGHT("0000"&amp;INT(Sync!$L1702/10000),4)&amp;"/"&amp;RIGHT("00"&amp;INT(MOD(Sync!$L1702,10000)/100),2)&amp;"/"&amp;RIGHT("00"&amp;MOD(Sync!$L1702,100),2),""),IFERROR(RIGHT("0000"&amp;VALUE(TRIM(LEFT(Sync!$L1702,FIND("/",Sync!$L1702)-1))),4)&amp;"/"&amp;RIGHT("00"&amp;VALUE(TRIM(LEFT(MID(Sync!$L1702,FIND("/",Sync!$L1702)+1,20),FIND("/",MID(Sync!$L1702,FIND("/",Sync!$L1702)+1,20))-1))),2)&amp;"/"&amp;RIGHT("00"&amp;VALUE(TRIM(MID(MID(Sync!$L1702,FIND("/",Sync!$L1702)+1,20),FIND("/",MID(Sync!$L1702,FIND("/",Sync!$L1702)+1,20))+1,20))),2),"")))</f>
        <v/>
      </c>
    </row>
    <row r="1703" spans="13:14" x14ac:dyDescent="0.2">
      <c r="M1703" t="str">
        <f>IF(Sync!$M1703&lt;&gt;"پاس چک","",IF(Sync!$P1703="","",Sync!$P1703))</f>
        <v/>
      </c>
      <c r="N1703" t="str">
        <f>IF($M1703="","",IF(ISNUMBER(Sync!$L1703),IF(AND(Sync!$L1703&gt;=10000101,Sync!$L1703&lt;=99991231),RIGHT("0000"&amp;INT(Sync!$L1703/10000),4)&amp;"/"&amp;RIGHT("00"&amp;INT(MOD(Sync!$L1703,10000)/100),2)&amp;"/"&amp;RIGHT("00"&amp;MOD(Sync!$L1703,100),2),""),IFERROR(RIGHT("0000"&amp;VALUE(TRIM(LEFT(Sync!$L1703,FIND("/",Sync!$L1703)-1))),4)&amp;"/"&amp;RIGHT("00"&amp;VALUE(TRIM(LEFT(MID(Sync!$L1703,FIND("/",Sync!$L1703)+1,20),FIND("/",MID(Sync!$L1703,FIND("/",Sync!$L1703)+1,20))-1))),2)&amp;"/"&amp;RIGHT("00"&amp;VALUE(TRIM(MID(MID(Sync!$L1703,FIND("/",Sync!$L1703)+1,20),FIND("/",MID(Sync!$L1703,FIND("/",Sync!$L1703)+1,20))+1,20))),2),"")))</f>
        <v/>
      </c>
    </row>
    <row r="1704" spans="13:14" x14ac:dyDescent="0.2">
      <c r="M1704" t="str">
        <f>IF(Sync!$M1704&lt;&gt;"پاس چک","",IF(Sync!$P1704="","",Sync!$P1704))</f>
        <v/>
      </c>
      <c r="N1704" t="str">
        <f>IF($M1704="","",IF(ISNUMBER(Sync!$L1704),IF(AND(Sync!$L1704&gt;=10000101,Sync!$L1704&lt;=99991231),RIGHT("0000"&amp;INT(Sync!$L1704/10000),4)&amp;"/"&amp;RIGHT("00"&amp;INT(MOD(Sync!$L1704,10000)/100),2)&amp;"/"&amp;RIGHT("00"&amp;MOD(Sync!$L1704,100),2),""),IFERROR(RIGHT("0000"&amp;VALUE(TRIM(LEFT(Sync!$L1704,FIND("/",Sync!$L1704)-1))),4)&amp;"/"&amp;RIGHT("00"&amp;VALUE(TRIM(LEFT(MID(Sync!$L1704,FIND("/",Sync!$L1704)+1,20),FIND("/",MID(Sync!$L1704,FIND("/",Sync!$L1704)+1,20))-1))),2)&amp;"/"&amp;RIGHT("00"&amp;VALUE(TRIM(MID(MID(Sync!$L1704,FIND("/",Sync!$L1704)+1,20),FIND("/",MID(Sync!$L1704,FIND("/",Sync!$L1704)+1,20))+1,20))),2),"")))</f>
        <v/>
      </c>
    </row>
    <row r="1705" spans="13:14" x14ac:dyDescent="0.2">
      <c r="M1705" t="str">
        <f>IF(Sync!$M1705&lt;&gt;"پاس چک","",IF(Sync!$P1705="","",Sync!$P1705))</f>
        <v/>
      </c>
      <c r="N1705" t="str">
        <f>IF($M1705="","",IF(ISNUMBER(Sync!$L1705),IF(AND(Sync!$L1705&gt;=10000101,Sync!$L1705&lt;=99991231),RIGHT("0000"&amp;INT(Sync!$L1705/10000),4)&amp;"/"&amp;RIGHT("00"&amp;INT(MOD(Sync!$L1705,10000)/100),2)&amp;"/"&amp;RIGHT("00"&amp;MOD(Sync!$L1705,100),2),""),IFERROR(RIGHT("0000"&amp;VALUE(TRIM(LEFT(Sync!$L1705,FIND("/",Sync!$L1705)-1))),4)&amp;"/"&amp;RIGHT("00"&amp;VALUE(TRIM(LEFT(MID(Sync!$L1705,FIND("/",Sync!$L1705)+1,20),FIND("/",MID(Sync!$L1705,FIND("/",Sync!$L1705)+1,20))-1))),2)&amp;"/"&amp;RIGHT("00"&amp;VALUE(TRIM(MID(MID(Sync!$L1705,FIND("/",Sync!$L1705)+1,20),FIND("/",MID(Sync!$L1705,FIND("/",Sync!$L1705)+1,20))+1,20))),2),"")))</f>
        <v/>
      </c>
    </row>
    <row r="1706" spans="13:14" x14ac:dyDescent="0.2">
      <c r="M1706" t="str">
        <f>IF(Sync!$M1706&lt;&gt;"پاس چک","",IF(Sync!$P1706="","",Sync!$P1706))</f>
        <v/>
      </c>
      <c r="N1706" t="str">
        <f>IF($M1706="","",IF(ISNUMBER(Sync!$L1706),IF(AND(Sync!$L1706&gt;=10000101,Sync!$L1706&lt;=99991231),RIGHT("0000"&amp;INT(Sync!$L1706/10000),4)&amp;"/"&amp;RIGHT("00"&amp;INT(MOD(Sync!$L1706,10000)/100),2)&amp;"/"&amp;RIGHT("00"&amp;MOD(Sync!$L1706,100),2),""),IFERROR(RIGHT("0000"&amp;VALUE(TRIM(LEFT(Sync!$L1706,FIND("/",Sync!$L1706)-1))),4)&amp;"/"&amp;RIGHT("00"&amp;VALUE(TRIM(LEFT(MID(Sync!$L1706,FIND("/",Sync!$L1706)+1,20),FIND("/",MID(Sync!$L1706,FIND("/",Sync!$L1706)+1,20))-1))),2)&amp;"/"&amp;RIGHT("00"&amp;VALUE(TRIM(MID(MID(Sync!$L1706,FIND("/",Sync!$L1706)+1,20),FIND("/",MID(Sync!$L1706,FIND("/",Sync!$L1706)+1,20))+1,20))),2),"")))</f>
        <v/>
      </c>
    </row>
    <row r="1707" spans="13:14" x14ac:dyDescent="0.2">
      <c r="M1707" t="str">
        <f>IF(Sync!$M1707&lt;&gt;"پاس چک","",IF(Sync!$P1707="","",Sync!$P1707))</f>
        <v/>
      </c>
      <c r="N1707" t="str">
        <f>IF($M1707="","",IF(ISNUMBER(Sync!$L1707),IF(AND(Sync!$L1707&gt;=10000101,Sync!$L1707&lt;=99991231),RIGHT("0000"&amp;INT(Sync!$L1707/10000),4)&amp;"/"&amp;RIGHT("00"&amp;INT(MOD(Sync!$L1707,10000)/100),2)&amp;"/"&amp;RIGHT("00"&amp;MOD(Sync!$L1707,100),2),""),IFERROR(RIGHT("0000"&amp;VALUE(TRIM(LEFT(Sync!$L1707,FIND("/",Sync!$L1707)-1))),4)&amp;"/"&amp;RIGHT("00"&amp;VALUE(TRIM(LEFT(MID(Sync!$L1707,FIND("/",Sync!$L1707)+1,20),FIND("/",MID(Sync!$L1707,FIND("/",Sync!$L1707)+1,20))-1))),2)&amp;"/"&amp;RIGHT("00"&amp;VALUE(TRIM(MID(MID(Sync!$L1707,FIND("/",Sync!$L1707)+1,20),FIND("/",MID(Sync!$L1707,FIND("/",Sync!$L1707)+1,20))+1,20))),2),"")))</f>
        <v/>
      </c>
    </row>
    <row r="1708" spans="13:14" x14ac:dyDescent="0.2">
      <c r="M1708" t="str">
        <f>IF(Sync!$M1708&lt;&gt;"پاس چک","",IF(Sync!$P1708="","",Sync!$P1708))</f>
        <v/>
      </c>
      <c r="N1708" t="str">
        <f>IF($M1708="","",IF(ISNUMBER(Sync!$L1708),IF(AND(Sync!$L1708&gt;=10000101,Sync!$L1708&lt;=99991231),RIGHT("0000"&amp;INT(Sync!$L1708/10000),4)&amp;"/"&amp;RIGHT("00"&amp;INT(MOD(Sync!$L1708,10000)/100),2)&amp;"/"&amp;RIGHT("00"&amp;MOD(Sync!$L1708,100),2),""),IFERROR(RIGHT("0000"&amp;VALUE(TRIM(LEFT(Sync!$L1708,FIND("/",Sync!$L1708)-1))),4)&amp;"/"&amp;RIGHT("00"&amp;VALUE(TRIM(LEFT(MID(Sync!$L1708,FIND("/",Sync!$L1708)+1,20),FIND("/",MID(Sync!$L1708,FIND("/",Sync!$L1708)+1,20))-1))),2)&amp;"/"&amp;RIGHT("00"&amp;VALUE(TRIM(MID(MID(Sync!$L1708,FIND("/",Sync!$L1708)+1,20),FIND("/",MID(Sync!$L1708,FIND("/",Sync!$L1708)+1,20))+1,20))),2),"")))</f>
        <v/>
      </c>
    </row>
    <row r="1709" spans="13:14" x14ac:dyDescent="0.2">
      <c r="M1709" t="str">
        <f>IF(Sync!$M1709&lt;&gt;"پاس چک","",IF(Sync!$P1709="","",Sync!$P1709))</f>
        <v/>
      </c>
      <c r="N1709" t="str">
        <f>IF($M1709="","",IF(ISNUMBER(Sync!$L1709),IF(AND(Sync!$L1709&gt;=10000101,Sync!$L1709&lt;=99991231),RIGHT("0000"&amp;INT(Sync!$L1709/10000),4)&amp;"/"&amp;RIGHT("00"&amp;INT(MOD(Sync!$L1709,10000)/100),2)&amp;"/"&amp;RIGHT("00"&amp;MOD(Sync!$L1709,100),2),""),IFERROR(RIGHT("0000"&amp;VALUE(TRIM(LEFT(Sync!$L1709,FIND("/",Sync!$L1709)-1))),4)&amp;"/"&amp;RIGHT("00"&amp;VALUE(TRIM(LEFT(MID(Sync!$L1709,FIND("/",Sync!$L1709)+1,20),FIND("/",MID(Sync!$L1709,FIND("/",Sync!$L1709)+1,20))-1))),2)&amp;"/"&amp;RIGHT("00"&amp;VALUE(TRIM(MID(MID(Sync!$L1709,FIND("/",Sync!$L1709)+1,20),FIND("/",MID(Sync!$L1709,FIND("/",Sync!$L1709)+1,20))+1,20))),2),"")))</f>
        <v/>
      </c>
    </row>
    <row r="1710" spans="13:14" x14ac:dyDescent="0.2">
      <c r="M1710" t="str">
        <f>IF(Sync!$M1710&lt;&gt;"پاس چک","",IF(Sync!$P1710="","",Sync!$P1710))</f>
        <v/>
      </c>
      <c r="N1710" t="str">
        <f>IF($M1710="","",IF(ISNUMBER(Sync!$L1710),IF(AND(Sync!$L1710&gt;=10000101,Sync!$L1710&lt;=99991231),RIGHT("0000"&amp;INT(Sync!$L1710/10000),4)&amp;"/"&amp;RIGHT("00"&amp;INT(MOD(Sync!$L1710,10000)/100),2)&amp;"/"&amp;RIGHT("00"&amp;MOD(Sync!$L1710,100),2),""),IFERROR(RIGHT("0000"&amp;VALUE(TRIM(LEFT(Sync!$L1710,FIND("/",Sync!$L1710)-1))),4)&amp;"/"&amp;RIGHT("00"&amp;VALUE(TRIM(LEFT(MID(Sync!$L1710,FIND("/",Sync!$L1710)+1,20),FIND("/",MID(Sync!$L1710,FIND("/",Sync!$L1710)+1,20))-1))),2)&amp;"/"&amp;RIGHT("00"&amp;VALUE(TRIM(MID(MID(Sync!$L1710,FIND("/",Sync!$L1710)+1,20),FIND("/",MID(Sync!$L1710,FIND("/",Sync!$L1710)+1,20))+1,20))),2),"")))</f>
        <v/>
      </c>
    </row>
    <row r="1711" spans="13:14" x14ac:dyDescent="0.2">
      <c r="M1711" t="str">
        <f>IF(Sync!$M1711&lt;&gt;"پاس چک","",IF(Sync!$P1711="","",Sync!$P1711))</f>
        <v/>
      </c>
      <c r="N1711" t="str">
        <f>IF($M1711="","",IF(ISNUMBER(Sync!$L1711),IF(AND(Sync!$L1711&gt;=10000101,Sync!$L1711&lt;=99991231),RIGHT("0000"&amp;INT(Sync!$L1711/10000),4)&amp;"/"&amp;RIGHT("00"&amp;INT(MOD(Sync!$L1711,10000)/100),2)&amp;"/"&amp;RIGHT("00"&amp;MOD(Sync!$L1711,100),2),""),IFERROR(RIGHT("0000"&amp;VALUE(TRIM(LEFT(Sync!$L1711,FIND("/",Sync!$L1711)-1))),4)&amp;"/"&amp;RIGHT("00"&amp;VALUE(TRIM(LEFT(MID(Sync!$L1711,FIND("/",Sync!$L1711)+1,20),FIND("/",MID(Sync!$L1711,FIND("/",Sync!$L1711)+1,20))-1))),2)&amp;"/"&amp;RIGHT("00"&amp;VALUE(TRIM(MID(MID(Sync!$L1711,FIND("/",Sync!$L1711)+1,20),FIND("/",MID(Sync!$L1711,FIND("/",Sync!$L1711)+1,20))+1,20))),2),"")))</f>
        <v/>
      </c>
    </row>
    <row r="1712" spans="13:14" x14ac:dyDescent="0.2">
      <c r="M1712" t="str">
        <f>IF(Sync!$M1712&lt;&gt;"پاس چک","",IF(Sync!$P1712="","",Sync!$P1712))</f>
        <v/>
      </c>
      <c r="N1712" t="str">
        <f>IF($M1712="","",IF(ISNUMBER(Sync!$L1712),IF(AND(Sync!$L1712&gt;=10000101,Sync!$L1712&lt;=99991231),RIGHT("0000"&amp;INT(Sync!$L1712/10000),4)&amp;"/"&amp;RIGHT("00"&amp;INT(MOD(Sync!$L1712,10000)/100),2)&amp;"/"&amp;RIGHT("00"&amp;MOD(Sync!$L1712,100),2),""),IFERROR(RIGHT("0000"&amp;VALUE(TRIM(LEFT(Sync!$L1712,FIND("/",Sync!$L1712)-1))),4)&amp;"/"&amp;RIGHT("00"&amp;VALUE(TRIM(LEFT(MID(Sync!$L1712,FIND("/",Sync!$L1712)+1,20),FIND("/",MID(Sync!$L1712,FIND("/",Sync!$L1712)+1,20))-1))),2)&amp;"/"&amp;RIGHT("00"&amp;VALUE(TRIM(MID(MID(Sync!$L1712,FIND("/",Sync!$L1712)+1,20),FIND("/",MID(Sync!$L1712,FIND("/",Sync!$L1712)+1,20))+1,20))),2),"")))</f>
        <v/>
      </c>
    </row>
    <row r="1713" spans="13:14" x14ac:dyDescent="0.2">
      <c r="M1713" t="str">
        <f>IF(Sync!$M1713&lt;&gt;"پاس چک","",IF(Sync!$P1713="","",Sync!$P1713))</f>
        <v/>
      </c>
      <c r="N1713" t="str">
        <f>IF($M1713="","",IF(ISNUMBER(Sync!$L1713),IF(AND(Sync!$L1713&gt;=10000101,Sync!$L1713&lt;=99991231),RIGHT("0000"&amp;INT(Sync!$L1713/10000),4)&amp;"/"&amp;RIGHT("00"&amp;INT(MOD(Sync!$L1713,10000)/100),2)&amp;"/"&amp;RIGHT("00"&amp;MOD(Sync!$L1713,100),2),""),IFERROR(RIGHT("0000"&amp;VALUE(TRIM(LEFT(Sync!$L1713,FIND("/",Sync!$L1713)-1))),4)&amp;"/"&amp;RIGHT("00"&amp;VALUE(TRIM(LEFT(MID(Sync!$L1713,FIND("/",Sync!$L1713)+1,20),FIND("/",MID(Sync!$L1713,FIND("/",Sync!$L1713)+1,20))-1))),2)&amp;"/"&amp;RIGHT("00"&amp;VALUE(TRIM(MID(MID(Sync!$L1713,FIND("/",Sync!$L1713)+1,20),FIND("/",MID(Sync!$L1713,FIND("/",Sync!$L1713)+1,20))+1,20))),2),"")))</f>
        <v/>
      </c>
    </row>
    <row r="1714" spans="13:14" x14ac:dyDescent="0.2">
      <c r="M1714" t="str">
        <f>IF(Sync!$M1714&lt;&gt;"پاس چک","",IF(Sync!$P1714="","",Sync!$P1714))</f>
        <v/>
      </c>
      <c r="N1714" t="str">
        <f>IF($M1714="","",IF(ISNUMBER(Sync!$L1714),IF(AND(Sync!$L1714&gt;=10000101,Sync!$L1714&lt;=99991231),RIGHT("0000"&amp;INT(Sync!$L1714/10000),4)&amp;"/"&amp;RIGHT("00"&amp;INT(MOD(Sync!$L1714,10000)/100),2)&amp;"/"&amp;RIGHT("00"&amp;MOD(Sync!$L1714,100),2),""),IFERROR(RIGHT("0000"&amp;VALUE(TRIM(LEFT(Sync!$L1714,FIND("/",Sync!$L1714)-1))),4)&amp;"/"&amp;RIGHT("00"&amp;VALUE(TRIM(LEFT(MID(Sync!$L1714,FIND("/",Sync!$L1714)+1,20),FIND("/",MID(Sync!$L1714,FIND("/",Sync!$L1714)+1,20))-1))),2)&amp;"/"&amp;RIGHT("00"&amp;VALUE(TRIM(MID(MID(Sync!$L1714,FIND("/",Sync!$L1714)+1,20),FIND("/",MID(Sync!$L1714,FIND("/",Sync!$L1714)+1,20))+1,20))),2),"")))</f>
        <v/>
      </c>
    </row>
    <row r="1715" spans="13:14" x14ac:dyDescent="0.2">
      <c r="M1715" t="str">
        <f>IF(Sync!$M1715&lt;&gt;"پاس چک","",IF(Sync!$P1715="","",Sync!$P1715))</f>
        <v/>
      </c>
      <c r="N1715" t="str">
        <f>IF($M1715="","",IF(ISNUMBER(Sync!$L1715),IF(AND(Sync!$L1715&gt;=10000101,Sync!$L1715&lt;=99991231),RIGHT("0000"&amp;INT(Sync!$L1715/10000),4)&amp;"/"&amp;RIGHT("00"&amp;INT(MOD(Sync!$L1715,10000)/100),2)&amp;"/"&amp;RIGHT("00"&amp;MOD(Sync!$L1715,100),2),""),IFERROR(RIGHT("0000"&amp;VALUE(TRIM(LEFT(Sync!$L1715,FIND("/",Sync!$L1715)-1))),4)&amp;"/"&amp;RIGHT("00"&amp;VALUE(TRIM(LEFT(MID(Sync!$L1715,FIND("/",Sync!$L1715)+1,20),FIND("/",MID(Sync!$L1715,FIND("/",Sync!$L1715)+1,20))-1))),2)&amp;"/"&amp;RIGHT("00"&amp;VALUE(TRIM(MID(MID(Sync!$L1715,FIND("/",Sync!$L1715)+1,20),FIND("/",MID(Sync!$L1715,FIND("/",Sync!$L1715)+1,20))+1,20))),2),"")))</f>
        <v/>
      </c>
    </row>
    <row r="1716" spans="13:14" x14ac:dyDescent="0.2">
      <c r="M1716" t="str">
        <f>IF(Sync!$M1716&lt;&gt;"پاس چک","",IF(Sync!$P1716="","",Sync!$P1716))</f>
        <v/>
      </c>
      <c r="N1716" t="str">
        <f>IF($M1716="","",IF(ISNUMBER(Sync!$L1716),IF(AND(Sync!$L1716&gt;=10000101,Sync!$L1716&lt;=99991231),RIGHT("0000"&amp;INT(Sync!$L1716/10000),4)&amp;"/"&amp;RIGHT("00"&amp;INT(MOD(Sync!$L1716,10000)/100),2)&amp;"/"&amp;RIGHT("00"&amp;MOD(Sync!$L1716,100),2),""),IFERROR(RIGHT("0000"&amp;VALUE(TRIM(LEFT(Sync!$L1716,FIND("/",Sync!$L1716)-1))),4)&amp;"/"&amp;RIGHT("00"&amp;VALUE(TRIM(LEFT(MID(Sync!$L1716,FIND("/",Sync!$L1716)+1,20),FIND("/",MID(Sync!$L1716,FIND("/",Sync!$L1716)+1,20))-1))),2)&amp;"/"&amp;RIGHT("00"&amp;VALUE(TRIM(MID(MID(Sync!$L1716,FIND("/",Sync!$L1716)+1,20),FIND("/",MID(Sync!$L1716,FIND("/",Sync!$L1716)+1,20))+1,20))),2),"")))</f>
        <v/>
      </c>
    </row>
    <row r="1717" spans="13:14" x14ac:dyDescent="0.2">
      <c r="M1717" t="str">
        <f>IF(Sync!$M1717&lt;&gt;"پاس چک","",IF(Sync!$P1717="","",Sync!$P1717))</f>
        <v/>
      </c>
      <c r="N1717" t="str">
        <f>IF($M1717="","",IF(ISNUMBER(Sync!$L1717),IF(AND(Sync!$L1717&gt;=10000101,Sync!$L1717&lt;=99991231),RIGHT("0000"&amp;INT(Sync!$L1717/10000),4)&amp;"/"&amp;RIGHT("00"&amp;INT(MOD(Sync!$L1717,10000)/100),2)&amp;"/"&amp;RIGHT("00"&amp;MOD(Sync!$L1717,100),2),""),IFERROR(RIGHT("0000"&amp;VALUE(TRIM(LEFT(Sync!$L1717,FIND("/",Sync!$L1717)-1))),4)&amp;"/"&amp;RIGHT("00"&amp;VALUE(TRIM(LEFT(MID(Sync!$L1717,FIND("/",Sync!$L1717)+1,20),FIND("/",MID(Sync!$L1717,FIND("/",Sync!$L1717)+1,20))-1))),2)&amp;"/"&amp;RIGHT("00"&amp;VALUE(TRIM(MID(MID(Sync!$L1717,FIND("/",Sync!$L1717)+1,20),FIND("/",MID(Sync!$L1717,FIND("/",Sync!$L1717)+1,20))+1,20))),2),"")))</f>
        <v/>
      </c>
    </row>
    <row r="1718" spans="13:14" x14ac:dyDescent="0.2">
      <c r="M1718" t="str">
        <f>IF(Sync!$M1718&lt;&gt;"پاس چک","",IF(Sync!$P1718="","",Sync!$P1718))</f>
        <v/>
      </c>
      <c r="N1718" t="str">
        <f>IF($M1718="","",IF(ISNUMBER(Sync!$L1718),IF(AND(Sync!$L1718&gt;=10000101,Sync!$L1718&lt;=99991231),RIGHT("0000"&amp;INT(Sync!$L1718/10000),4)&amp;"/"&amp;RIGHT("00"&amp;INT(MOD(Sync!$L1718,10000)/100),2)&amp;"/"&amp;RIGHT("00"&amp;MOD(Sync!$L1718,100),2),""),IFERROR(RIGHT("0000"&amp;VALUE(TRIM(LEFT(Sync!$L1718,FIND("/",Sync!$L1718)-1))),4)&amp;"/"&amp;RIGHT("00"&amp;VALUE(TRIM(LEFT(MID(Sync!$L1718,FIND("/",Sync!$L1718)+1,20),FIND("/",MID(Sync!$L1718,FIND("/",Sync!$L1718)+1,20))-1))),2)&amp;"/"&amp;RIGHT("00"&amp;VALUE(TRIM(MID(MID(Sync!$L1718,FIND("/",Sync!$L1718)+1,20),FIND("/",MID(Sync!$L1718,FIND("/",Sync!$L1718)+1,20))+1,20))),2),"")))</f>
        <v/>
      </c>
    </row>
    <row r="1719" spans="13:14" x14ac:dyDescent="0.2">
      <c r="M1719" t="str">
        <f>IF(Sync!$M1719&lt;&gt;"پاس چک","",IF(Sync!$P1719="","",Sync!$P1719))</f>
        <v/>
      </c>
      <c r="N1719" t="str">
        <f>IF($M1719="","",IF(ISNUMBER(Sync!$L1719),IF(AND(Sync!$L1719&gt;=10000101,Sync!$L1719&lt;=99991231),RIGHT("0000"&amp;INT(Sync!$L1719/10000),4)&amp;"/"&amp;RIGHT("00"&amp;INT(MOD(Sync!$L1719,10000)/100),2)&amp;"/"&amp;RIGHT("00"&amp;MOD(Sync!$L1719,100),2),""),IFERROR(RIGHT("0000"&amp;VALUE(TRIM(LEFT(Sync!$L1719,FIND("/",Sync!$L1719)-1))),4)&amp;"/"&amp;RIGHT("00"&amp;VALUE(TRIM(LEFT(MID(Sync!$L1719,FIND("/",Sync!$L1719)+1,20),FIND("/",MID(Sync!$L1719,FIND("/",Sync!$L1719)+1,20))-1))),2)&amp;"/"&amp;RIGHT("00"&amp;VALUE(TRIM(MID(MID(Sync!$L1719,FIND("/",Sync!$L1719)+1,20),FIND("/",MID(Sync!$L1719,FIND("/",Sync!$L1719)+1,20))+1,20))),2),"")))</f>
        <v/>
      </c>
    </row>
    <row r="1720" spans="13:14" x14ac:dyDescent="0.2">
      <c r="M1720" t="str">
        <f>IF(Sync!$M1720&lt;&gt;"پاس چک","",IF(Sync!$P1720="","",Sync!$P1720))</f>
        <v/>
      </c>
      <c r="N1720" t="str">
        <f>IF($M1720="","",IF(ISNUMBER(Sync!$L1720),IF(AND(Sync!$L1720&gt;=10000101,Sync!$L1720&lt;=99991231),RIGHT("0000"&amp;INT(Sync!$L1720/10000),4)&amp;"/"&amp;RIGHT("00"&amp;INT(MOD(Sync!$L1720,10000)/100),2)&amp;"/"&amp;RIGHT("00"&amp;MOD(Sync!$L1720,100),2),""),IFERROR(RIGHT("0000"&amp;VALUE(TRIM(LEFT(Sync!$L1720,FIND("/",Sync!$L1720)-1))),4)&amp;"/"&amp;RIGHT("00"&amp;VALUE(TRIM(LEFT(MID(Sync!$L1720,FIND("/",Sync!$L1720)+1,20),FIND("/",MID(Sync!$L1720,FIND("/",Sync!$L1720)+1,20))-1))),2)&amp;"/"&amp;RIGHT("00"&amp;VALUE(TRIM(MID(MID(Sync!$L1720,FIND("/",Sync!$L1720)+1,20),FIND("/",MID(Sync!$L1720,FIND("/",Sync!$L1720)+1,20))+1,20))),2),"")))</f>
        <v/>
      </c>
    </row>
    <row r="1721" spans="13:14" x14ac:dyDescent="0.2">
      <c r="M1721" t="str">
        <f>IF(Sync!$M1721&lt;&gt;"پاس چک","",IF(Sync!$P1721="","",Sync!$P1721))</f>
        <v/>
      </c>
      <c r="N1721" t="str">
        <f>IF($M1721="","",IF(ISNUMBER(Sync!$L1721),IF(AND(Sync!$L1721&gt;=10000101,Sync!$L1721&lt;=99991231),RIGHT("0000"&amp;INT(Sync!$L1721/10000),4)&amp;"/"&amp;RIGHT("00"&amp;INT(MOD(Sync!$L1721,10000)/100),2)&amp;"/"&amp;RIGHT("00"&amp;MOD(Sync!$L1721,100),2),""),IFERROR(RIGHT("0000"&amp;VALUE(TRIM(LEFT(Sync!$L1721,FIND("/",Sync!$L1721)-1))),4)&amp;"/"&amp;RIGHT("00"&amp;VALUE(TRIM(LEFT(MID(Sync!$L1721,FIND("/",Sync!$L1721)+1,20),FIND("/",MID(Sync!$L1721,FIND("/",Sync!$L1721)+1,20))-1))),2)&amp;"/"&amp;RIGHT("00"&amp;VALUE(TRIM(MID(MID(Sync!$L1721,FIND("/",Sync!$L1721)+1,20),FIND("/",MID(Sync!$L1721,FIND("/",Sync!$L1721)+1,20))+1,20))),2),"")))</f>
        <v/>
      </c>
    </row>
    <row r="1722" spans="13:14" x14ac:dyDescent="0.2">
      <c r="M1722" t="str">
        <f>IF(Sync!$M1722&lt;&gt;"پاس چک","",IF(Sync!$P1722="","",Sync!$P1722))</f>
        <v/>
      </c>
      <c r="N1722" t="str">
        <f>IF($M1722="","",IF(ISNUMBER(Sync!$L1722),IF(AND(Sync!$L1722&gt;=10000101,Sync!$L1722&lt;=99991231),RIGHT("0000"&amp;INT(Sync!$L1722/10000),4)&amp;"/"&amp;RIGHT("00"&amp;INT(MOD(Sync!$L1722,10000)/100),2)&amp;"/"&amp;RIGHT("00"&amp;MOD(Sync!$L1722,100),2),""),IFERROR(RIGHT("0000"&amp;VALUE(TRIM(LEFT(Sync!$L1722,FIND("/",Sync!$L1722)-1))),4)&amp;"/"&amp;RIGHT("00"&amp;VALUE(TRIM(LEFT(MID(Sync!$L1722,FIND("/",Sync!$L1722)+1,20),FIND("/",MID(Sync!$L1722,FIND("/",Sync!$L1722)+1,20))-1))),2)&amp;"/"&amp;RIGHT("00"&amp;VALUE(TRIM(MID(MID(Sync!$L1722,FIND("/",Sync!$L1722)+1,20),FIND("/",MID(Sync!$L1722,FIND("/",Sync!$L1722)+1,20))+1,20))),2),"")))</f>
        <v/>
      </c>
    </row>
    <row r="1723" spans="13:14" x14ac:dyDescent="0.2">
      <c r="M1723" t="str">
        <f>IF(Sync!$M1723&lt;&gt;"پاس چک","",IF(Sync!$P1723="","",Sync!$P1723))</f>
        <v/>
      </c>
      <c r="N1723" t="str">
        <f>IF($M1723="","",IF(ISNUMBER(Sync!$L1723),IF(AND(Sync!$L1723&gt;=10000101,Sync!$L1723&lt;=99991231),RIGHT("0000"&amp;INT(Sync!$L1723/10000),4)&amp;"/"&amp;RIGHT("00"&amp;INT(MOD(Sync!$L1723,10000)/100),2)&amp;"/"&amp;RIGHT("00"&amp;MOD(Sync!$L1723,100),2),""),IFERROR(RIGHT("0000"&amp;VALUE(TRIM(LEFT(Sync!$L1723,FIND("/",Sync!$L1723)-1))),4)&amp;"/"&amp;RIGHT("00"&amp;VALUE(TRIM(LEFT(MID(Sync!$L1723,FIND("/",Sync!$L1723)+1,20),FIND("/",MID(Sync!$L1723,FIND("/",Sync!$L1723)+1,20))-1))),2)&amp;"/"&amp;RIGHT("00"&amp;VALUE(TRIM(MID(MID(Sync!$L1723,FIND("/",Sync!$L1723)+1,20),FIND("/",MID(Sync!$L1723,FIND("/",Sync!$L1723)+1,20))+1,20))),2),"")))</f>
        <v/>
      </c>
    </row>
    <row r="1724" spans="13:14" x14ac:dyDescent="0.2">
      <c r="M1724" t="str">
        <f>IF(Sync!$M1724&lt;&gt;"پاس چک","",IF(Sync!$P1724="","",Sync!$P1724))</f>
        <v/>
      </c>
      <c r="N1724" t="str">
        <f>IF($M1724="","",IF(ISNUMBER(Sync!$L1724),IF(AND(Sync!$L1724&gt;=10000101,Sync!$L1724&lt;=99991231),RIGHT("0000"&amp;INT(Sync!$L1724/10000),4)&amp;"/"&amp;RIGHT("00"&amp;INT(MOD(Sync!$L1724,10000)/100),2)&amp;"/"&amp;RIGHT("00"&amp;MOD(Sync!$L1724,100),2),""),IFERROR(RIGHT("0000"&amp;VALUE(TRIM(LEFT(Sync!$L1724,FIND("/",Sync!$L1724)-1))),4)&amp;"/"&amp;RIGHT("00"&amp;VALUE(TRIM(LEFT(MID(Sync!$L1724,FIND("/",Sync!$L1724)+1,20),FIND("/",MID(Sync!$L1724,FIND("/",Sync!$L1724)+1,20))-1))),2)&amp;"/"&amp;RIGHT("00"&amp;VALUE(TRIM(MID(MID(Sync!$L1724,FIND("/",Sync!$L1724)+1,20),FIND("/",MID(Sync!$L1724,FIND("/",Sync!$L1724)+1,20))+1,20))),2),"")))</f>
        <v/>
      </c>
    </row>
    <row r="1725" spans="13:14" x14ac:dyDescent="0.2">
      <c r="M1725" t="str">
        <f>IF(Sync!$M1725&lt;&gt;"پاس چک","",IF(Sync!$P1725="","",Sync!$P1725))</f>
        <v/>
      </c>
      <c r="N1725" t="str">
        <f>IF($M1725="","",IF(ISNUMBER(Sync!$L1725),IF(AND(Sync!$L1725&gt;=10000101,Sync!$L1725&lt;=99991231),RIGHT("0000"&amp;INT(Sync!$L1725/10000),4)&amp;"/"&amp;RIGHT("00"&amp;INT(MOD(Sync!$L1725,10000)/100),2)&amp;"/"&amp;RIGHT("00"&amp;MOD(Sync!$L1725,100),2),""),IFERROR(RIGHT("0000"&amp;VALUE(TRIM(LEFT(Sync!$L1725,FIND("/",Sync!$L1725)-1))),4)&amp;"/"&amp;RIGHT("00"&amp;VALUE(TRIM(LEFT(MID(Sync!$L1725,FIND("/",Sync!$L1725)+1,20),FIND("/",MID(Sync!$L1725,FIND("/",Sync!$L1725)+1,20))-1))),2)&amp;"/"&amp;RIGHT("00"&amp;VALUE(TRIM(MID(MID(Sync!$L1725,FIND("/",Sync!$L1725)+1,20),FIND("/",MID(Sync!$L1725,FIND("/",Sync!$L1725)+1,20))+1,20))),2),"")))</f>
        <v/>
      </c>
    </row>
    <row r="1726" spans="13:14" x14ac:dyDescent="0.2">
      <c r="M1726" t="str">
        <f>IF(Sync!$M1726&lt;&gt;"پاس چک","",IF(Sync!$P1726="","",Sync!$P1726))</f>
        <v/>
      </c>
      <c r="N1726" t="str">
        <f>IF($M1726="","",IF(ISNUMBER(Sync!$L1726),IF(AND(Sync!$L1726&gt;=10000101,Sync!$L1726&lt;=99991231),RIGHT("0000"&amp;INT(Sync!$L1726/10000),4)&amp;"/"&amp;RIGHT("00"&amp;INT(MOD(Sync!$L1726,10000)/100),2)&amp;"/"&amp;RIGHT("00"&amp;MOD(Sync!$L1726,100),2),""),IFERROR(RIGHT("0000"&amp;VALUE(TRIM(LEFT(Sync!$L1726,FIND("/",Sync!$L1726)-1))),4)&amp;"/"&amp;RIGHT("00"&amp;VALUE(TRIM(LEFT(MID(Sync!$L1726,FIND("/",Sync!$L1726)+1,20),FIND("/",MID(Sync!$L1726,FIND("/",Sync!$L1726)+1,20))-1))),2)&amp;"/"&amp;RIGHT("00"&amp;VALUE(TRIM(MID(MID(Sync!$L1726,FIND("/",Sync!$L1726)+1,20),FIND("/",MID(Sync!$L1726,FIND("/",Sync!$L1726)+1,20))+1,20))),2),"")))</f>
        <v/>
      </c>
    </row>
    <row r="1727" spans="13:14" x14ac:dyDescent="0.2">
      <c r="M1727" t="str">
        <f>IF(Sync!$M1727&lt;&gt;"پاس چک","",IF(Sync!$P1727="","",Sync!$P1727))</f>
        <v/>
      </c>
      <c r="N1727" t="str">
        <f>IF($M1727="","",IF(ISNUMBER(Sync!$L1727),IF(AND(Sync!$L1727&gt;=10000101,Sync!$L1727&lt;=99991231),RIGHT("0000"&amp;INT(Sync!$L1727/10000),4)&amp;"/"&amp;RIGHT("00"&amp;INT(MOD(Sync!$L1727,10000)/100),2)&amp;"/"&amp;RIGHT("00"&amp;MOD(Sync!$L1727,100),2),""),IFERROR(RIGHT("0000"&amp;VALUE(TRIM(LEFT(Sync!$L1727,FIND("/",Sync!$L1727)-1))),4)&amp;"/"&amp;RIGHT("00"&amp;VALUE(TRIM(LEFT(MID(Sync!$L1727,FIND("/",Sync!$L1727)+1,20),FIND("/",MID(Sync!$L1727,FIND("/",Sync!$L1727)+1,20))-1))),2)&amp;"/"&amp;RIGHT("00"&amp;VALUE(TRIM(MID(MID(Sync!$L1727,FIND("/",Sync!$L1727)+1,20),FIND("/",MID(Sync!$L1727,FIND("/",Sync!$L1727)+1,20))+1,20))),2),"")))</f>
        <v/>
      </c>
    </row>
    <row r="1728" spans="13:14" x14ac:dyDescent="0.2">
      <c r="M1728" t="str">
        <f>IF(Sync!$M1728&lt;&gt;"پاس چک","",IF(Sync!$P1728="","",Sync!$P1728))</f>
        <v/>
      </c>
      <c r="N1728" t="str">
        <f>IF($M1728="","",IF(ISNUMBER(Sync!$L1728),IF(AND(Sync!$L1728&gt;=10000101,Sync!$L1728&lt;=99991231),RIGHT("0000"&amp;INT(Sync!$L1728/10000),4)&amp;"/"&amp;RIGHT("00"&amp;INT(MOD(Sync!$L1728,10000)/100),2)&amp;"/"&amp;RIGHT("00"&amp;MOD(Sync!$L1728,100),2),""),IFERROR(RIGHT("0000"&amp;VALUE(TRIM(LEFT(Sync!$L1728,FIND("/",Sync!$L1728)-1))),4)&amp;"/"&amp;RIGHT("00"&amp;VALUE(TRIM(LEFT(MID(Sync!$L1728,FIND("/",Sync!$L1728)+1,20),FIND("/",MID(Sync!$L1728,FIND("/",Sync!$L1728)+1,20))-1))),2)&amp;"/"&amp;RIGHT("00"&amp;VALUE(TRIM(MID(MID(Sync!$L1728,FIND("/",Sync!$L1728)+1,20),FIND("/",MID(Sync!$L1728,FIND("/",Sync!$L1728)+1,20))+1,20))),2),"")))</f>
        <v/>
      </c>
    </row>
    <row r="1729" spans="13:14" x14ac:dyDescent="0.2">
      <c r="M1729" t="str">
        <f>IF(Sync!$M1729&lt;&gt;"پاس چک","",IF(Sync!$P1729="","",Sync!$P1729))</f>
        <v/>
      </c>
      <c r="N1729" t="str">
        <f>IF($M1729="","",IF(ISNUMBER(Sync!$L1729),IF(AND(Sync!$L1729&gt;=10000101,Sync!$L1729&lt;=99991231),RIGHT("0000"&amp;INT(Sync!$L1729/10000),4)&amp;"/"&amp;RIGHT("00"&amp;INT(MOD(Sync!$L1729,10000)/100),2)&amp;"/"&amp;RIGHT("00"&amp;MOD(Sync!$L1729,100),2),""),IFERROR(RIGHT("0000"&amp;VALUE(TRIM(LEFT(Sync!$L1729,FIND("/",Sync!$L1729)-1))),4)&amp;"/"&amp;RIGHT("00"&amp;VALUE(TRIM(LEFT(MID(Sync!$L1729,FIND("/",Sync!$L1729)+1,20),FIND("/",MID(Sync!$L1729,FIND("/",Sync!$L1729)+1,20))-1))),2)&amp;"/"&amp;RIGHT("00"&amp;VALUE(TRIM(MID(MID(Sync!$L1729,FIND("/",Sync!$L1729)+1,20),FIND("/",MID(Sync!$L1729,FIND("/",Sync!$L1729)+1,20))+1,20))),2),"")))</f>
        <v/>
      </c>
    </row>
    <row r="1730" spans="13:14" x14ac:dyDescent="0.2">
      <c r="M1730" t="str">
        <f>IF(Sync!$M1730&lt;&gt;"پاس چک","",IF(Sync!$P1730="","",Sync!$P1730))</f>
        <v/>
      </c>
      <c r="N1730" t="str">
        <f>IF($M1730="","",IF(ISNUMBER(Sync!$L1730),IF(AND(Sync!$L1730&gt;=10000101,Sync!$L1730&lt;=99991231),RIGHT("0000"&amp;INT(Sync!$L1730/10000),4)&amp;"/"&amp;RIGHT("00"&amp;INT(MOD(Sync!$L1730,10000)/100),2)&amp;"/"&amp;RIGHT("00"&amp;MOD(Sync!$L1730,100),2),""),IFERROR(RIGHT("0000"&amp;VALUE(TRIM(LEFT(Sync!$L1730,FIND("/",Sync!$L1730)-1))),4)&amp;"/"&amp;RIGHT("00"&amp;VALUE(TRIM(LEFT(MID(Sync!$L1730,FIND("/",Sync!$L1730)+1,20),FIND("/",MID(Sync!$L1730,FIND("/",Sync!$L1730)+1,20))-1))),2)&amp;"/"&amp;RIGHT("00"&amp;VALUE(TRIM(MID(MID(Sync!$L1730,FIND("/",Sync!$L1730)+1,20),FIND("/",MID(Sync!$L1730,FIND("/",Sync!$L1730)+1,20))+1,20))),2),"")))</f>
        <v/>
      </c>
    </row>
    <row r="1731" spans="13:14" x14ac:dyDescent="0.2">
      <c r="M1731" t="str">
        <f>IF(Sync!$M1731&lt;&gt;"پاس چک","",IF(Sync!$P1731="","",Sync!$P1731))</f>
        <v/>
      </c>
      <c r="N1731" t="str">
        <f>IF($M1731="","",IF(ISNUMBER(Sync!$L1731),IF(AND(Sync!$L1731&gt;=10000101,Sync!$L1731&lt;=99991231),RIGHT("0000"&amp;INT(Sync!$L1731/10000),4)&amp;"/"&amp;RIGHT("00"&amp;INT(MOD(Sync!$L1731,10000)/100),2)&amp;"/"&amp;RIGHT("00"&amp;MOD(Sync!$L1731,100),2),""),IFERROR(RIGHT("0000"&amp;VALUE(TRIM(LEFT(Sync!$L1731,FIND("/",Sync!$L1731)-1))),4)&amp;"/"&amp;RIGHT("00"&amp;VALUE(TRIM(LEFT(MID(Sync!$L1731,FIND("/",Sync!$L1731)+1,20),FIND("/",MID(Sync!$L1731,FIND("/",Sync!$L1731)+1,20))-1))),2)&amp;"/"&amp;RIGHT("00"&amp;VALUE(TRIM(MID(MID(Sync!$L1731,FIND("/",Sync!$L1731)+1,20),FIND("/",MID(Sync!$L1731,FIND("/",Sync!$L1731)+1,20))+1,20))),2),"")))</f>
        <v/>
      </c>
    </row>
    <row r="1732" spans="13:14" x14ac:dyDescent="0.2">
      <c r="M1732" t="str">
        <f>IF(Sync!$M1732&lt;&gt;"پاس چک","",IF(Sync!$P1732="","",Sync!$P1732))</f>
        <v/>
      </c>
      <c r="N1732" t="str">
        <f>IF($M1732="","",IF(ISNUMBER(Sync!$L1732),IF(AND(Sync!$L1732&gt;=10000101,Sync!$L1732&lt;=99991231),RIGHT("0000"&amp;INT(Sync!$L1732/10000),4)&amp;"/"&amp;RIGHT("00"&amp;INT(MOD(Sync!$L1732,10000)/100),2)&amp;"/"&amp;RIGHT("00"&amp;MOD(Sync!$L1732,100),2),""),IFERROR(RIGHT("0000"&amp;VALUE(TRIM(LEFT(Sync!$L1732,FIND("/",Sync!$L1732)-1))),4)&amp;"/"&amp;RIGHT("00"&amp;VALUE(TRIM(LEFT(MID(Sync!$L1732,FIND("/",Sync!$L1732)+1,20),FIND("/",MID(Sync!$L1732,FIND("/",Sync!$L1732)+1,20))-1))),2)&amp;"/"&amp;RIGHT("00"&amp;VALUE(TRIM(MID(MID(Sync!$L1732,FIND("/",Sync!$L1732)+1,20),FIND("/",MID(Sync!$L1732,FIND("/",Sync!$L1732)+1,20))+1,20))),2),"")))</f>
        <v/>
      </c>
    </row>
    <row r="1733" spans="13:14" x14ac:dyDescent="0.2">
      <c r="M1733" t="str">
        <f>IF(Sync!$M1733&lt;&gt;"پاس چک","",IF(Sync!$P1733="","",Sync!$P1733))</f>
        <v/>
      </c>
      <c r="N1733" t="str">
        <f>IF($M1733="","",IF(ISNUMBER(Sync!$L1733),IF(AND(Sync!$L1733&gt;=10000101,Sync!$L1733&lt;=99991231),RIGHT("0000"&amp;INT(Sync!$L1733/10000),4)&amp;"/"&amp;RIGHT("00"&amp;INT(MOD(Sync!$L1733,10000)/100),2)&amp;"/"&amp;RIGHT("00"&amp;MOD(Sync!$L1733,100),2),""),IFERROR(RIGHT("0000"&amp;VALUE(TRIM(LEFT(Sync!$L1733,FIND("/",Sync!$L1733)-1))),4)&amp;"/"&amp;RIGHT("00"&amp;VALUE(TRIM(LEFT(MID(Sync!$L1733,FIND("/",Sync!$L1733)+1,20),FIND("/",MID(Sync!$L1733,FIND("/",Sync!$L1733)+1,20))-1))),2)&amp;"/"&amp;RIGHT("00"&amp;VALUE(TRIM(MID(MID(Sync!$L1733,FIND("/",Sync!$L1733)+1,20),FIND("/",MID(Sync!$L1733,FIND("/",Sync!$L1733)+1,20))+1,20))),2),"")))</f>
        <v/>
      </c>
    </row>
    <row r="1734" spans="13:14" x14ac:dyDescent="0.2">
      <c r="M1734" t="str">
        <f>IF(Sync!$M1734&lt;&gt;"پاس چک","",IF(Sync!$P1734="","",Sync!$P1734))</f>
        <v/>
      </c>
      <c r="N1734" t="str">
        <f>IF($M1734="","",IF(ISNUMBER(Sync!$L1734),IF(AND(Sync!$L1734&gt;=10000101,Sync!$L1734&lt;=99991231),RIGHT("0000"&amp;INT(Sync!$L1734/10000),4)&amp;"/"&amp;RIGHT("00"&amp;INT(MOD(Sync!$L1734,10000)/100),2)&amp;"/"&amp;RIGHT("00"&amp;MOD(Sync!$L1734,100),2),""),IFERROR(RIGHT("0000"&amp;VALUE(TRIM(LEFT(Sync!$L1734,FIND("/",Sync!$L1734)-1))),4)&amp;"/"&amp;RIGHT("00"&amp;VALUE(TRIM(LEFT(MID(Sync!$L1734,FIND("/",Sync!$L1734)+1,20),FIND("/",MID(Sync!$L1734,FIND("/",Sync!$L1734)+1,20))-1))),2)&amp;"/"&amp;RIGHT("00"&amp;VALUE(TRIM(MID(MID(Sync!$L1734,FIND("/",Sync!$L1734)+1,20),FIND("/",MID(Sync!$L1734,FIND("/",Sync!$L1734)+1,20))+1,20))),2),"")))</f>
        <v/>
      </c>
    </row>
    <row r="1735" spans="13:14" x14ac:dyDescent="0.2">
      <c r="M1735" t="str">
        <f>IF(Sync!$M1735&lt;&gt;"پاس چک","",IF(Sync!$P1735="","",Sync!$P1735))</f>
        <v/>
      </c>
      <c r="N1735" t="str">
        <f>IF($M1735="","",IF(ISNUMBER(Sync!$L1735),IF(AND(Sync!$L1735&gt;=10000101,Sync!$L1735&lt;=99991231),RIGHT("0000"&amp;INT(Sync!$L1735/10000),4)&amp;"/"&amp;RIGHT("00"&amp;INT(MOD(Sync!$L1735,10000)/100),2)&amp;"/"&amp;RIGHT("00"&amp;MOD(Sync!$L1735,100),2),""),IFERROR(RIGHT("0000"&amp;VALUE(TRIM(LEFT(Sync!$L1735,FIND("/",Sync!$L1735)-1))),4)&amp;"/"&amp;RIGHT("00"&amp;VALUE(TRIM(LEFT(MID(Sync!$L1735,FIND("/",Sync!$L1735)+1,20),FIND("/",MID(Sync!$L1735,FIND("/",Sync!$L1735)+1,20))-1))),2)&amp;"/"&amp;RIGHT("00"&amp;VALUE(TRIM(MID(MID(Sync!$L1735,FIND("/",Sync!$L1735)+1,20),FIND("/",MID(Sync!$L1735,FIND("/",Sync!$L1735)+1,20))+1,20))),2),"")))</f>
        <v/>
      </c>
    </row>
    <row r="1736" spans="13:14" x14ac:dyDescent="0.2">
      <c r="M1736" t="str">
        <f>IF(Sync!$M1736&lt;&gt;"پاس چک","",IF(Sync!$P1736="","",Sync!$P1736))</f>
        <v/>
      </c>
      <c r="N1736" t="str">
        <f>IF($M1736="","",IF(ISNUMBER(Sync!$L1736),IF(AND(Sync!$L1736&gt;=10000101,Sync!$L1736&lt;=99991231),RIGHT("0000"&amp;INT(Sync!$L1736/10000),4)&amp;"/"&amp;RIGHT("00"&amp;INT(MOD(Sync!$L1736,10000)/100),2)&amp;"/"&amp;RIGHT("00"&amp;MOD(Sync!$L1736,100),2),""),IFERROR(RIGHT("0000"&amp;VALUE(TRIM(LEFT(Sync!$L1736,FIND("/",Sync!$L1736)-1))),4)&amp;"/"&amp;RIGHT("00"&amp;VALUE(TRIM(LEFT(MID(Sync!$L1736,FIND("/",Sync!$L1736)+1,20),FIND("/",MID(Sync!$L1736,FIND("/",Sync!$L1736)+1,20))-1))),2)&amp;"/"&amp;RIGHT("00"&amp;VALUE(TRIM(MID(MID(Sync!$L1736,FIND("/",Sync!$L1736)+1,20),FIND("/",MID(Sync!$L1736,FIND("/",Sync!$L1736)+1,20))+1,20))),2),"")))</f>
        <v/>
      </c>
    </row>
    <row r="1737" spans="13:14" x14ac:dyDescent="0.2">
      <c r="M1737" t="str">
        <f>IF(Sync!$M1737&lt;&gt;"پاس چک","",IF(Sync!$P1737="","",Sync!$P1737))</f>
        <v/>
      </c>
      <c r="N1737" t="str">
        <f>IF($M1737="","",IF(ISNUMBER(Sync!$L1737),IF(AND(Sync!$L1737&gt;=10000101,Sync!$L1737&lt;=99991231),RIGHT("0000"&amp;INT(Sync!$L1737/10000),4)&amp;"/"&amp;RIGHT("00"&amp;INT(MOD(Sync!$L1737,10000)/100),2)&amp;"/"&amp;RIGHT("00"&amp;MOD(Sync!$L1737,100),2),""),IFERROR(RIGHT("0000"&amp;VALUE(TRIM(LEFT(Sync!$L1737,FIND("/",Sync!$L1737)-1))),4)&amp;"/"&amp;RIGHT("00"&amp;VALUE(TRIM(LEFT(MID(Sync!$L1737,FIND("/",Sync!$L1737)+1,20),FIND("/",MID(Sync!$L1737,FIND("/",Sync!$L1737)+1,20))-1))),2)&amp;"/"&amp;RIGHT("00"&amp;VALUE(TRIM(MID(MID(Sync!$L1737,FIND("/",Sync!$L1737)+1,20),FIND("/",MID(Sync!$L1737,FIND("/",Sync!$L1737)+1,20))+1,20))),2),"")))</f>
        <v/>
      </c>
    </row>
    <row r="1738" spans="13:14" x14ac:dyDescent="0.2">
      <c r="M1738" t="str">
        <f>IF(Sync!$M1738&lt;&gt;"پاس چک","",IF(Sync!$P1738="","",Sync!$P1738))</f>
        <v/>
      </c>
      <c r="N1738" t="str">
        <f>IF($M1738="","",IF(ISNUMBER(Sync!$L1738),IF(AND(Sync!$L1738&gt;=10000101,Sync!$L1738&lt;=99991231),RIGHT("0000"&amp;INT(Sync!$L1738/10000),4)&amp;"/"&amp;RIGHT("00"&amp;INT(MOD(Sync!$L1738,10000)/100),2)&amp;"/"&amp;RIGHT("00"&amp;MOD(Sync!$L1738,100),2),""),IFERROR(RIGHT("0000"&amp;VALUE(TRIM(LEFT(Sync!$L1738,FIND("/",Sync!$L1738)-1))),4)&amp;"/"&amp;RIGHT("00"&amp;VALUE(TRIM(LEFT(MID(Sync!$L1738,FIND("/",Sync!$L1738)+1,20),FIND("/",MID(Sync!$L1738,FIND("/",Sync!$L1738)+1,20))-1))),2)&amp;"/"&amp;RIGHT("00"&amp;VALUE(TRIM(MID(MID(Sync!$L1738,FIND("/",Sync!$L1738)+1,20),FIND("/",MID(Sync!$L1738,FIND("/",Sync!$L1738)+1,20))+1,20))),2),"")))</f>
        <v/>
      </c>
    </row>
    <row r="1739" spans="13:14" x14ac:dyDescent="0.2">
      <c r="M1739" t="str">
        <f>IF(Sync!$M1739&lt;&gt;"پاس چک","",IF(Sync!$P1739="","",Sync!$P1739))</f>
        <v/>
      </c>
      <c r="N1739" t="str">
        <f>IF($M1739="","",IF(ISNUMBER(Sync!$L1739),IF(AND(Sync!$L1739&gt;=10000101,Sync!$L1739&lt;=99991231),RIGHT("0000"&amp;INT(Sync!$L1739/10000),4)&amp;"/"&amp;RIGHT("00"&amp;INT(MOD(Sync!$L1739,10000)/100),2)&amp;"/"&amp;RIGHT("00"&amp;MOD(Sync!$L1739,100),2),""),IFERROR(RIGHT("0000"&amp;VALUE(TRIM(LEFT(Sync!$L1739,FIND("/",Sync!$L1739)-1))),4)&amp;"/"&amp;RIGHT("00"&amp;VALUE(TRIM(LEFT(MID(Sync!$L1739,FIND("/",Sync!$L1739)+1,20),FIND("/",MID(Sync!$L1739,FIND("/",Sync!$L1739)+1,20))-1))),2)&amp;"/"&amp;RIGHT("00"&amp;VALUE(TRIM(MID(MID(Sync!$L1739,FIND("/",Sync!$L1739)+1,20),FIND("/",MID(Sync!$L1739,FIND("/",Sync!$L1739)+1,20))+1,20))),2),"")))</f>
        <v/>
      </c>
    </row>
    <row r="1740" spans="13:14" x14ac:dyDescent="0.2">
      <c r="M1740" t="str">
        <f>IF(Sync!$M1740&lt;&gt;"پاس چک","",IF(Sync!$P1740="","",Sync!$P1740))</f>
        <v/>
      </c>
      <c r="N1740" t="str">
        <f>IF($M1740="","",IF(ISNUMBER(Sync!$L1740),IF(AND(Sync!$L1740&gt;=10000101,Sync!$L1740&lt;=99991231),RIGHT("0000"&amp;INT(Sync!$L1740/10000),4)&amp;"/"&amp;RIGHT("00"&amp;INT(MOD(Sync!$L1740,10000)/100),2)&amp;"/"&amp;RIGHT("00"&amp;MOD(Sync!$L1740,100),2),""),IFERROR(RIGHT("0000"&amp;VALUE(TRIM(LEFT(Sync!$L1740,FIND("/",Sync!$L1740)-1))),4)&amp;"/"&amp;RIGHT("00"&amp;VALUE(TRIM(LEFT(MID(Sync!$L1740,FIND("/",Sync!$L1740)+1,20),FIND("/",MID(Sync!$L1740,FIND("/",Sync!$L1740)+1,20))-1))),2)&amp;"/"&amp;RIGHT("00"&amp;VALUE(TRIM(MID(MID(Sync!$L1740,FIND("/",Sync!$L1740)+1,20),FIND("/",MID(Sync!$L1740,FIND("/",Sync!$L1740)+1,20))+1,20))),2),"")))</f>
        <v/>
      </c>
    </row>
    <row r="1741" spans="13:14" x14ac:dyDescent="0.2">
      <c r="M1741" t="str">
        <f>IF(Sync!$M1741&lt;&gt;"پاس چک","",IF(Sync!$P1741="","",Sync!$P1741))</f>
        <v/>
      </c>
      <c r="N1741" t="str">
        <f>IF($M1741="","",IF(ISNUMBER(Sync!$L1741),IF(AND(Sync!$L1741&gt;=10000101,Sync!$L1741&lt;=99991231),RIGHT("0000"&amp;INT(Sync!$L1741/10000),4)&amp;"/"&amp;RIGHT("00"&amp;INT(MOD(Sync!$L1741,10000)/100),2)&amp;"/"&amp;RIGHT("00"&amp;MOD(Sync!$L1741,100),2),""),IFERROR(RIGHT("0000"&amp;VALUE(TRIM(LEFT(Sync!$L1741,FIND("/",Sync!$L1741)-1))),4)&amp;"/"&amp;RIGHT("00"&amp;VALUE(TRIM(LEFT(MID(Sync!$L1741,FIND("/",Sync!$L1741)+1,20),FIND("/",MID(Sync!$L1741,FIND("/",Sync!$L1741)+1,20))-1))),2)&amp;"/"&amp;RIGHT("00"&amp;VALUE(TRIM(MID(MID(Sync!$L1741,FIND("/",Sync!$L1741)+1,20),FIND("/",MID(Sync!$L1741,FIND("/",Sync!$L1741)+1,20))+1,20))),2),"")))</f>
        <v/>
      </c>
    </row>
    <row r="1742" spans="13:14" x14ac:dyDescent="0.2">
      <c r="M1742" t="str">
        <f>IF(Sync!$M1742&lt;&gt;"پاس چک","",IF(Sync!$P1742="","",Sync!$P1742))</f>
        <v/>
      </c>
      <c r="N1742" t="str">
        <f>IF($M1742="","",IF(ISNUMBER(Sync!$L1742),IF(AND(Sync!$L1742&gt;=10000101,Sync!$L1742&lt;=99991231),RIGHT("0000"&amp;INT(Sync!$L1742/10000),4)&amp;"/"&amp;RIGHT("00"&amp;INT(MOD(Sync!$L1742,10000)/100),2)&amp;"/"&amp;RIGHT("00"&amp;MOD(Sync!$L1742,100),2),""),IFERROR(RIGHT("0000"&amp;VALUE(TRIM(LEFT(Sync!$L1742,FIND("/",Sync!$L1742)-1))),4)&amp;"/"&amp;RIGHT("00"&amp;VALUE(TRIM(LEFT(MID(Sync!$L1742,FIND("/",Sync!$L1742)+1,20),FIND("/",MID(Sync!$L1742,FIND("/",Sync!$L1742)+1,20))-1))),2)&amp;"/"&amp;RIGHT("00"&amp;VALUE(TRIM(MID(MID(Sync!$L1742,FIND("/",Sync!$L1742)+1,20),FIND("/",MID(Sync!$L1742,FIND("/",Sync!$L1742)+1,20))+1,20))),2),"")))</f>
        <v/>
      </c>
    </row>
    <row r="1743" spans="13:14" x14ac:dyDescent="0.2">
      <c r="M1743" t="str">
        <f>IF(Sync!$M1743&lt;&gt;"پاس چک","",IF(Sync!$P1743="","",Sync!$P1743))</f>
        <v/>
      </c>
      <c r="N1743" t="str">
        <f>IF($M1743="","",IF(ISNUMBER(Sync!$L1743),IF(AND(Sync!$L1743&gt;=10000101,Sync!$L1743&lt;=99991231),RIGHT("0000"&amp;INT(Sync!$L1743/10000),4)&amp;"/"&amp;RIGHT("00"&amp;INT(MOD(Sync!$L1743,10000)/100),2)&amp;"/"&amp;RIGHT("00"&amp;MOD(Sync!$L1743,100),2),""),IFERROR(RIGHT("0000"&amp;VALUE(TRIM(LEFT(Sync!$L1743,FIND("/",Sync!$L1743)-1))),4)&amp;"/"&amp;RIGHT("00"&amp;VALUE(TRIM(LEFT(MID(Sync!$L1743,FIND("/",Sync!$L1743)+1,20),FIND("/",MID(Sync!$L1743,FIND("/",Sync!$L1743)+1,20))-1))),2)&amp;"/"&amp;RIGHT("00"&amp;VALUE(TRIM(MID(MID(Sync!$L1743,FIND("/",Sync!$L1743)+1,20),FIND("/",MID(Sync!$L1743,FIND("/",Sync!$L1743)+1,20))+1,20))),2),"")))</f>
        <v/>
      </c>
    </row>
    <row r="1744" spans="13:14" x14ac:dyDescent="0.2">
      <c r="M1744" t="str">
        <f>IF(Sync!$M1744&lt;&gt;"پاس چک","",IF(Sync!$P1744="","",Sync!$P1744))</f>
        <v/>
      </c>
      <c r="N1744" t="str">
        <f>IF($M1744="","",IF(ISNUMBER(Sync!$L1744),IF(AND(Sync!$L1744&gt;=10000101,Sync!$L1744&lt;=99991231),RIGHT("0000"&amp;INT(Sync!$L1744/10000),4)&amp;"/"&amp;RIGHT("00"&amp;INT(MOD(Sync!$L1744,10000)/100),2)&amp;"/"&amp;RIGHT("00"&amp;MOD(Sync!$L1744,100),2),""),IFERROR(RIGHT("0000"&amp;VALUE(TRIM(LEFT(Sync!$L1744,FIND("/",Sync!$L1744)-1))),4)&amp;"/"&amp;RIGHT("00"&amp;VALUE(TRIM(LEFT(MID(Sync!$L1744,FIND("/",Sync!$L1744)+1,20),FIND("/",MID(Sync!$L1744,FIND("/",Sync!$L1744)+1,20))-1))),2)&amp;"/"&amp;RIGHT("00"&amp;VALUE(TRIM(MID(MID(Sync!$L1744,FIND("/",Sync!$L1744)+1,20),FIND("/",MID(Sync!$L1744,FIND("/",Sync!$L1744)+1,20))+1,20))),2),"")))</f>
        <v/>
      </c>
    </row>
    <row r="1745" spans="13:14" x14ac:dyDescent="0.2">
      <c r="M1745" t="str">
        <f>IF(Sync!$M1745&lt;&gt;"پاس چک","",IF(Sync!$P1745="","",Sync!$P1745))</f>
        <v/>
      </c>
      <c r="N1745" t="str">
        <f>IF($M1745="","",IF(ISNUMBER(Sync!$L1745),IF(AND(Sync!$L1745&gt;=10000101,Sync!$L1745&lt;=99991231),RIGHT("0000"&amp;INT(Sync!$L1745/10000),4)&amp;"/"&amp;RIGHT("00"&amp;INT(MOD(Sync!$L1745,10000)/100),2)&amp;"/"&amp;RIGHT("00"&amp;MOD(Sync!$L1745,100),2),""),IFERROR(RIGHT("0000"&amp;VALUE(TRIM(LEFT(Sync!$L1745,FIND("/",Sync!$L1745)-1))),4)&amp;"/"&amp;RIGHT("00"&amp;VALUE(TRIM(LEFT(MID(Sync!$L1745,FIND("/",Sync!$L1745)+1,20),FIND("/",MID(Sync!$L1745,FIND("/",Sync!$L1745)+1,20))-1))),2)&amp;"/"&amp;RIGHT("00"&amp;VALUE(TRIM(MID(MID(Sync!$L1745,FIND("/",Sync!$L1745)+1,20),FIND("/",MID(Sync!$L1745,FIND("/",Sync!$L1745)+1,20))+1,20))),2),"")))</f>
        <v/>
      </c>
    </row>
    <row r="1746" spans="13:14" x14ac:dyDescent="0.2">
      <c r="M1746" t="str">
        <f>IF(Sync!$M1746&lt;&gt;"پاس چک","",IF(Sync!$P1746="","",Sync!$P1746))</f>
        <v/>
      </c>
      <c r="N1746" t="str">
        <f>IF($M1746="","",IF(ISNUMBER(Sync!$L1746),IF(AND(Sync!$L1746&gt;=10000101,Sync!$L1746&lt;=99991231),RIGHT("0000"&amp;INT(Sync!$L1746/10000),4)&amp;"/"&amp;RIGHT("00"&amp;INT(MOD(Sync!$L1746,10000)/100),2)&amp;"/"&amp;RIGHT("00"&amp;MOD(Sync!$L1746,100),2),""),IFERROR(RIGHT("0000"&amp;VALUE(TRIM(LEFT(Sync!$L1746,FIND("/",Sync!$L1746)-1))),4)&amp;"/"&amp;RIGHT("00"&amp;VALUE(TRIM(LEFT(MID(Sync!$L1746,FIND("/",Sync!$L1746)+1,20),FIND("/",MID(Sync!$L1746,FIND("/",Sync!$L1746)+1,20))-1))),2)&amp;"/"&amp;RIGHT("00"&amp;VALUE(TRIM(MID(MID(Sync!$L1746,FIND("/",Sync!$L1746)+1,20),FIND("/",MID(Sync!$L1746,FIND("/",Sync!$L1746)+1,20))+1,20))),2),"")))</f>
        <v/>
      </c>
    </row>
    <row r="1747" spans="13:14" x14ac:dyDescent="0.2">
      <c r="M1747" t="str">
        <f>IF(Sync!$M1747&lt;&gt;"پاس چک","",IF(Sync!$P1747="","",Sync!$P1747))</f>
        <v/>
      </c>
      <c r="N1747" t="str">
        <f>IF($M1747="","",IF(ISNUMBER(Sync!$L1747),IF(AND(Sync!$L1747&gt;=10000101,Sync!$L1747&lt;=99991231),RIGHT("0000"&amp;INT(Sync!$L1747/10000),4)&amp;"/"&amp;RIGHT("00"&amp;INT(MOD(Sync!$L1747,10000)/100),2)&amp;"/"&amp;RIGHT("00"&amp;MOD(Sync!$L1747,100),2),""),IFERROR(RIGHT("0000"&amp;VALUE(TRIM(LEFT(Sync!$L1747,FIND("/",Sync!$L1747)-1))),4)&amp;"/"&amp;RIGHT("00"&amp;VALUE(TRIM(LEFT(MID(Sync!$L1747,FIND("/",Sync!$L1747)+1,20),FIND("/",MID(Sync!$L1747,FIND("/",Sync!$L1747)+1,20))-1))),2)&amp;"/"&amp;RIGHT("00"&amp;VALUE(TRIM(MID(MID(Sync!$L1747,FIND("/",Sync!$L1747)+1,20),FIND("/",MID(Sync!$L1747,FIND("/",Sync!$L1747)+1,20))+1,20))),2),"")))</f>
        <v/>
      </c>
    </row>
    <row r="1748" spans="13:14" x14ac:dyDescent="0.2">
      <c r="M1748" t="str">
        <f>IF(Sync!$M1748&lt;&gt;"پاس چک","",IF(Sync!$P1748="","",Sync!$P1748))</f>
        <v/>
      </c>
      <c r="N1748" t="str">
        <f>IF($M1748="","",IF(ISNUMBER(Sync!$L1748),IF(AND(Sync!$L1748&gt;=10000101,Sync!$L1748&lt;=99991231),RIGHT("0000"&amp;INT(Sync!$L1748/10000),4)&amp;"/"&amp;RIGHT("00"&amp;INT(MOD(Sync!$L1748,10000)/100),2)&amp;"/"&amp;RIGHT("00"&amp;MOD(Sync!$L1748,100),2),""),IFERROR(RIGHT("0000"&amp;VALUE(TRIM(LEFT(Sync!$L1748,FIND("/",Sync!$L1748)-1))),4)&amp;"/"&amp;RIGHT("00"&amp;VALUE(TRIM(LEFT(MID(Sync!$L1748,FIND("/",Sync!$L1748)+1,20),FIND("/",MID(Sync!$L1748,FIND("/",Sync!$L1748)+1,20))-1))),2)&amp;"/"&amp;RIGHT("00"&amp;VALUE(TRIM(MID(MID(Sync!$L1748,FIND("/",Sync!$L1748)+1,20),FIND("/",MID(Sync!$L1748,FIND("/",Sync!$L1748)+1,20))+1,20))),2),"")))</f>
        <v/>
      </c>
    </row>
    <row r="1749" spans="13:14" x14ac:dyDescent="0.2">
      <c r="M1749" t="str">
        <f>IF(Sync!$M1749&lt;&gt;"پاس چک","",IF(Sync!$P1749="","",Sync!$P1749))</f>
        <v/>
      </c>
      <c r="N1749" t="str">
        <f>IF($M1749="","",IF(ISNUMBER(Sync!$L1749),IF(AND(Sync!$L1749&gt;=10000101,Sync!$L1749&lt;=99991231),RIGHT("0000"&amp;INT(Sync!$L1749/10000),4)&amp;"/"&amp;RIGHT("00"&amp;INT(MOD(Sync!$L1749,10000)/100),2)&amp;"/"&amp;RIGHT("00"&amp;MOD(Sync!$L1749,100),2),""),IFERROR(RIGHT("0000"&amp;VALUE(TRIM(LEFT(Sync!$L1749,FIND("/",Sync!$L1749)-1))),4)&amp;"/"&amp;RIGHT("00"&amp;VALUE(TRIM(LEFT(MID(Sync!$L1749,FIND("/",Sync!$L1749)+1,20),FIND("/",MID(Sync!$L1749,FIND("/",Sync!$L1749)+1,20))-1))),2)&amp;"/"&amp;RIGHT("00"&amp;VALUE(TRIM(MID(MID(Sync!$L1749,FIND("/",Sync!$L1749)+1,20),FIND("/",MID(Sync!$L1749,FIND("/",Sync!$L1749)+1,20))+1,20))),2),"")))</f>
        <v/>
      </c>
    </row>
    <row r="1750" spans="13:14" x14ac:dyDescent="0.2">
      <c r="M1750" t="str">
        <f>IF(Sync!$M1750&lt;&gt;"پاس چک","",IF(Sync!$P1750="","",Sync!$P1750))</f>
        <v/>
      </c>
      <c r="N1750" t="str">
        <f>IF($M1750="","",IF(ISNUMBER(Sync!$L1750),IF(AND(Sync!$L1750&gt;=10000101,Sync!$L1750&lt;=99991231),RIGHT("0000"&amp;INT(Sync!$L1750/10000),4)&amp;"/"&amp;RIGHT("00"&amp;INT(MOD(Sync!$L1750,10000)/100),2)&amp;"/"&amp;RIGHT("00"&amp;MOD(Sync!$L1750,100),2),""),IFERROR(RIGHT("0000"&amp;VALUE(TRIM(LEFT(Sync!$L1750,FIND("/",Sync!$L1750)-1))),4)&amp;"/"&amp;RIGHT("00"&amp;VALUE(TRIM(LEFT(MID(Sync!$L1750,FIND("/",Sync!$L1750)+1,20),FIND("/",MID(Sync!$L1750,FIND("/",Sync!$L1750)+1,20))-1))),2)&amp;"/"&amp;RIGHT("00"&amp;VALUE(TRIM(MID(MID(Sync!$L1750,FIND("/",Sync!$L1750)+1,20),FIND("/",MID(Sync!$L1750,FIND("/",Sync!$L1750)+1,20))+1,20))),2),"")))</f>
        <v/>
      </c>
    </row>
    <row r="1751" spans="13:14" x14ac:dyDescent="0.2">
      <c r="M1751" t="str">
        <f>IF(Sync!$M1751&lt;&gt;"پاس چک","",IF(Sync!$P1751="","",Sync!$P1751))</f>
        <v/>
      </c>
      <c r="N1751" t="str">
        <f>IF($M1751="","",IF(ISNUMBER(Sync!$L1751),IF(AND(Sync!$L1751&gt;=10000101,Sync!$L1751&lt;=99991231),RIGHT("0000"&amp;INT(Sync!$L1751/10000),4)&amp;"/"&amp;RIGHT("00"&amp;INT(MOD(Sync!$L1751,10000)/100),2)&amp;"/"&amp;RIGHT("00"&amp;MOD(Sync!$L1751,100),2),""),IFERROR(RIGHT("0000"&amp;VALUE(TRIM(LEFT(Sync!$L1751,FIND("/",Sync!$L1751)-1))),4)&amp;"/"&amp;RIGHT("00"&amp;VALUE(TRIM(LEFT(MID(Sync!$L1751,FIND("/",Sync!$L1751)+1,20),FIND("/",MID(Sync!$L1751,FIND("/",Sync!$L1751)+1,20))-1))),2)&amp;"/"&amp;RIGHT("00"&amp;VALUE(TRIM(MID(MID(Sync!$L1751,FIND("/",Sync!$L1751)+1,20),FIND("/",MID(Sync!$L1751,FIND("/",Sync!$L1751)+1,20))+1,20))),2),"")))</f>
        <v/>
      </c>
    </row>
    <row r="1752" spans="13:14" x14ac:dyDescent="0.2">
      <c r="M1752" t="str">
        <f>IF(Sync!$M1752&lt;&gt;"پاس چک","",IF(Sync!$P1752="","",Sync!$P1752))</f>
        <v/>
      </c>
      <c r="N1752" t="str">
        <f>IF($M1752="","",IF(ISNUMBER(Sync!$L1752),IF(AND(Sync!$L1752&gt;=10000101,Sync!$L1752&lt;=99991231),RIGHT("0000"&amp;INT(Sync!$L1752/10000),4)&amp;"/"&amp;RIGHT("00"&amp;INT(MOD(Sync!$L1752,10000)/100),2)&amp;"/"&amp;RIGHT("00"&amp;MOD(Sync!$L1752,100),2),""),IFERROR(RIGHT("0000"&amp;VALUE(TRIM(LEFT(Sync!$L1752,FIND("/",Sync!$L1752)-1))),4)&amp;"/"&amp;RIGHT("00"&amp;VALUE(TRIM(LEFT(MID(Sync!$L1752,FIND("/",Sync!$L1752)+1,20),FIND("/",MID(Sync!$L1752,FIND("/",Sync!$L1752)+1,20))-1))),2)&amp;"/"&amp;RIGHT("00"&amp;VALUE(TRIM(MID(MID(Sync!$L1752,FIND("/",Sync!$L1752)+1,20),FIND("/",MID(Sync!$L1752,FIND("/",Sync!$L1752)+1,20))+1,20))),2),"")))</f>
        <v/>
      </c>
    </row>
    <row r="1753" spans="13:14" x14ac:dyDescent="0.2">
      <c r="M1753" t="str">
        <f>IF(Sync!$M1753&lt;&gt;"پاس چک","",IF(Sync!$P1753="","",Sync!$P1753))</f>
        <v/>
      </c>
      <c r="N1753" t="str">
        <f>IF($M1753="","",IF(ISNUMBER(Sync!$L1753),IF(AND(Sync!$L1753&gt;=10000101,Sync!$L1753&lt;=99991231),RIGHT("0000"&amp;INT(Sync!$L1753/10000),4)&amp;"/"&amp;RIGHT("00"&amp;INT(MOD(Sync!$L1753,10000)/100),2)&amp;"/"&amp;RIGHT("00"&amp;MOD(Sync!$L1753,100),2),""),IFERROR(RIGHT("0000"&amp;VALUE(TRIM(LEFT(Sync!$L1753,FIND("/",Sync!$L1753)-1))),4)&amp;"/"&amp;RIGHT("00"&amp;VALUE(TRIM(LEFT(MID(Sync!$L1753,FIND("/",Sync!$L1753)+1,20),FIND("/",MID(Sync!$L1753,FIND("/",Sync!$L1753)+1,20))-1))),2)&amp;"/"&amp;RIGHT("00"&amp;VALUE(TRIM(MID(MID(Sync!$L1753,FIND("/",Sync!$L1753)+1,20),FIND("/",MID(Sync!$L1753,FIND("/",Sync!$L1753)+1,20))+1,20))),2),"")))</f>
        <v/>
      </c>
    </row>
    <row r="1754" spans="13:14" x14ac:dyDescent="0.2">
      <c r="M1754" t="str">
        <f>IF(Sync!$M1754&lt;&gt;"پاس چک","",IF(Sync!$P1754="","",Sync!$P1754))</f>
        <v/>
      </c>
      <c r="N1754" t="str">
        <f>IF($M1754="","",IF(ISNUMBER(Sync!$L1754),IF(AND(Sync!$L1754&gt;=10000101,Sync!$L1754&lt;=99991231),RIGHT("0000"&amp;INT(Sync!$L1754/10000),4)&amp;"/"&amp;RIGHT("00"&amp;INT(MOD(Sync!$L1754,10000)/100),2)&amp;"/"&amp;RIGHT("00"&amp;MOD(Sync!$L1754,100),2),""),IFERROR(RIGHT("0000"&amp;VALUE(TRIM(LEFT(Sync!$L1754,FIND("/",Sync!$L1754)-1))),4)&amp;"/"&amp;RIGHT("00"&amp;VALUE(TRIM(LEFT(MID(Sync!$L1754,FIND("/",Sync!$L1754)+1,20),FIND("/",MID(Sync!$L1754,FIND("/",Sync!$L1754)+1,20))-1))),2)&amp;"/"&amp;RIGHT("00"&amp;VALUE(TRIM(MID(MID(Sync!$L1754,FIND("/",Sync!$L1754)+1,20),FIND("/",MID(Sync!$L1754,FIND("/",Sync!$L1754)+1,20))+1,20))),2),"")))</f>
        <v/>
      </c>
    </row>
    <row r="1755" spans="13:14" x14ac:dyDescent="0.2">
      <c r="M1755" t="str">
        <f>IF(Sync!$M1755&lt;&gt;"پاس چک","",IF(Sync!$P1755="","",Sync!$P1755))</f>
        <v/>
      </c>
      <c r="N1755" t="str">
        <f>IF($M1755="","",IF(ISNUMBER(Sync!$L1755),IF(AND(Sync!$L1755&gt;=10000101,Sync!$L1755&lt;=99991231),RIGHT("0000"&amp;INT(Sync!$L1755/10000),4)&amp;"/"&amp;RIGHT("00"&amp;INT(MOD(Sync!$L1755,10000)/100),2)&amp;"/"&amp;RIGHT("00"&amp;MOD(Sync!$L1755,100),2),""),IFERROR(RIGHT("0000"&amp;VALUE(TRIM(LEFT(Sync!$L1755,FIND("/",Sync!$L1755)-1))),4)&amp;"/"&amp;RIGHT("00"&amp;VALUE(TRIM(LEFT(MID(Sync!$L1755,FIND("/",Sync!$L1755)+1,20),FIND("/",MID(Sync!$L1755,FIND("/",Sync!$L1755)+1,20))-1))),2)&amp;"/"&amp;RIGHT("00"&amp;VALUE(TRIM(MID(MID(Sync!$L1755,FIND("/",Sync!$L1755)+1,20),FIND("/",MID(Sync!$L1755,FIND("/",Sync!$L1755)+1,20))+1,20))),2),"")))</f>
        <v/>
      </c>
    </row>
    <row r="1756" spans="13:14" x14ac:dyDescent="0.2">
      <c r="M1756" t="str">
        <f>IF(Sync!$M1756&lt;&gt;"پاس چک","",IF(Sync!$P1756="","",Sync!$P1756))</f>
        <v/>
      </c>
      <c r="N1756" t="str">
        <f>IF($M1756="","",IF(ISNUMBER(Sync!$L1756),IF(AND(Sync!$L1756&gt;=10000101,Sync!$L1756&lt;=99991231),RIGHT("0000"&amp;INT(Sync!$L1756/10000),4)&amp;"/"&amp;RIGHT("00"&amp;INT(MOD(Sync!$L1756,10000)/100),2)&amp;"/"&amp;RIGHT("00"&amp;MOD(Sync!$L1756,100),2),""),IFERROR(RIGHT("0000"&amp;VALUE(TRIM(LEFT(Sync!$L1756,FIND("/",Sync!$L1756)-1))),4)&amp;"/"&amp;RIGHT("00"&amp;VALUE(TRIM(LEFT(MID(Sync!$L1756,FIND("/",Sync!$L1756)+1,20),FIND("/",MID(Sync!$L1756,FIND("/",Sync!$L1756)+1,20))-1))),2)&amp;"/"&amp;RIGHT("00"&amp;VALUE(TRIM(MID(MID(Sync!$L1756,FIND("/",Sync!$L1756)+1,20),FIND("/",MID(Sync!$L1756,FIND("/",Sync!$L1756)+1,20))+1,20))),2),"")))</f>
        <v/>
      </c>
    </row>
    <row r="1757" spans="13:14" x14ac:dyDescent="0.2">
      <c r="M1757" t="str">
        <f>IF(Sync!$M1757&lt;&gt;"پاس چک","",IF(Sync!$P1757="","",Sync!$P1757))</f>
        <v/>
      </c>
      <c r="N1757" t="str">
        <f>IF($M1757="","",IF(ISNUMBER(Sync!$L1757),IF(AND(Sync!$L1757&gt;=10000101,Sync!$L1757&lt;=99991231),RIGHT("0000"&amp;INT(Sync!$L1757/10000),4)&amp;"/"&amp;RIGHT("00"&amp;INT(MOD(Sync!$L1757,10000)/100),2)&amp;"/"&amp;RIGHT("00"&amp;MOD(Sync!$L1757,100),2),""),IFERROR(RIGHT("0000"&amp;VALUE(TRIM(LEFT(Sync!$L1757,FIND("/",Sync!$L1757)-1))),4)&amp;"/"&amp;RIGHT("00"&amp;VALUE(TRIM(LEFT(MID(Sync!$L1757,FIND("/",Sync!$L1757)+1,20),FIND("/",MID(Sync!$L1757,FIND("/",Sync!$L1757)+1,20))-1))),2)&amp;"/"&amp;RIGHT("00"&amp;VALUE(TRIM(MID(MID(Sync!$L1757,FIND("/",Sync!$L1757)+1,20),FIND("/",MID(Sync!$L1757,FIND("/",Sync!$L1757)+1,20))+1,20))),2),"")))</f>
        <v/>
      </c>
    </row>
    <row r="1758" spans="13:14" x14ac:dyDescent="0.2">
      <c r="M1758" t="str">
        <f>IF(Sync!$M1758&lt;&gt;"پاس چک","",IF(Sync!$P1758="","",Sync!$P1758))</f>
        <v/>
      </c>
      <c r="N1758" t="str">
        <f>IF($M1758="","",IF(ISNUMBER(Sync!$L1758),IF(AND(Sync!$L1758&gt;=10000101,Sync!$L1758&lt;=99991231),RIGHT("0000"&amp;INT(Sync!$L1758/10000),4)&amp;"/"&amp;RIGHT("00"&amp;INT(MOD(Sync!$L1758,10000)/100),2)&amp;"/"&amp;RIGHT("00"&amp;MOD(Sync!$L1758,100),2),""),IFERROR(RIGHT("0000"&amp;VALUE(TRIM(LEFT(Sync!$L1758,FIND("/",Sync!$L1758)-1))),4)&amp;"/"&amp;RIGHT("00"&amp;VALUE(TRIM(LEFT(MID(Sync!$L1758,FIND("/",Sync!$L1758)+1,20),FIND("/",MID(Sync!$L1758,FIND("/",Sync!$L1758)+1,20))-1))),2)&amp;"/"&amp;RIGHT("00"&amp;VALUE(TRIM(MID(MID(Sync!$L1758,FIND("/",Sync!$L1758)+1,20),FIND("/",MID(Sync!$L1758,FIND("/",Sync!$L1758)+1,20))+1,20))),2),"")))</f>
        <v/>
      </c>
    </row>
    <row r="1759" spans="13:14" x14ac:dyDescent="0.2">
      <c r="M1759" t="str">
        <f>IF(Sync!$M1759&lt;&gt;"پاس چک","",IF(Sync!$P1759="","",Sync!$P1759))</f>
        <v/>
      </c>
      <c r="N1759" t="str">
        <f>IF($M1759="","",IF(ISNUMBER(Sync!$L1759),IF(AND(Sync!$L1759&gt;=10000101,Sync!$L1759&lt;=99991231),RIGHT("0000"&amp;INT(Sync!$L1759/10000),4)&amp;"/"&amp;RIGHT("00"&amp;INT(MOD(Sync!$L1759,10000)/100),2)&amp;"/"&amp;RIGHT("00"&amp;MOD(Sync!$L1759,100),2),""),IFERROR(RIGHT("0000"&amp;VALUE(TRIM(LEFT(Sync!$L1759,FIND("/",Sync!$L1759)-1))),4)&amp;"/"&amp;RIGHT("00"&amp;VALUE(TRIM(LEFT(MID(Sync!$L1759,FIND("/",Sync!$L1759)+1,20),FIND("/",MID(Sync!$L1759,FIND("/",Sync!$L1759)+1,20))-1))),2)&amp;"/"&amp;RIGHT("00"&amp;VALUE(TRIM(MID(MID(Sync!$L1759,FIND("/",Sync!$L1759)+1,20),FIND("/",MID(Sync!$L1759,FIND("/",Sync!$L1759)+1,20))+1,20))),2),"")))</f>
        <v/>
      </c>
    </row>
    <row r="1760" spans="13:14" x14ac:dyDescent="0.2">
      <c r="M1760" t="str">
        <f>IF(Sync!$M1760&lt;&gt;"پاس چک","",IF(Sync!$P1760="","",Sync!$P1760))</f>
        <v/>
      </c>
      <c r="N1760" t="str">
        <f>IF($M1760="","",IF(ISNUMBER(Sync!$L1760),IF(AND(Sync!$L1760&gt;=10000101,Sync!$L1760&lt;=99991231),RIGHT("0000"&amp;INT(Sync!$L1760/10000),4)&amp;"/"&amp;RIGHT("00"&amp;INT(MOD(Sync!$L1760,10000)/100),2)&amp;"/"&amp;RIGHT("00"&amp;MOD(Sync!$L1760,100),2),""),IFERROR(RIGHT("0000"&amp;VALUE(TRIM(LEFT(Sync!$L1760,FIND("/",Sync!$L1760)-1))),4)&amp;"/"&amp;RIGHT("00"&amp;VALUE(TRIM(LEFT(MID(Sync!$L1760,FIND("/",Sync!$L1760)+1,20),FIND("/",MID(Sync!$L1760,FIND("/",Sync!$L1760)+1,20))-1))),2)&amp;"/"&amp;RIGHT("00"&amp;VALUE(TRIM(MID(MID(Sync!$L1760,FIND("/",Sync!$L1760)+1,20),FIND("/",MID(Sync!$L1760,FIND("/",Sync!$L1760)+1,20))+1,20))),2),"")))</f>
        <v/>
      </c>
    </row>
    <row r="1761" spans="13:14" x14ac:dyDescent="0.2">
      <c r="M1761" t="str">
        <f>IF(Sync!$M1761&lt;&gt;"پاس چک","",IF(Sync!$P1761="","",Sync!$P1761))</f>
        <v/>
      </c>
      <c r="N1761" t="str">
        <f>IF($M1761="","",IF(ISNUMBER(Sync!$L1761),IF(AND(Sync!$L1761&gt;=10000101,Sync!$L1761&lt;=99991231),RIGHT("0000"&amp;INT(Sync!$L1761/10000),4)&amp;"/"&amp;RIGHT("00"&amp;INT(MOD(Sync!$L1761,10000)/100),2)&amp;"/"&amp;RIGHT("00"&amp;MOD(Sync!$L1761,100),2),""),IFERROR(RIGHT("0000"&amp;VALUE(TRIM(LEFT(Sync!$L1761,FIND("/",Sync!$L1761)-1))),4)&amp;"/"&amp;RIGHT("00"&amp;VALUE(TRIM(LEFT(MID(Sync!$L1761,FIND("/",Sync!$L1761)+1,20),FIND("/",MID(Sync!$L1761,FIND("/",Sync!$L1761)+1,20))-1))),2)&amp;"/"&amp;RIGHT("00"&amp;VALUE(TRIM(MID(MID(Sync!$L1761,FIND("/",Sync!$L1761)+1,20),FIND("/",MID(Sync!$L1761,FIND("/",Sync!$L1761)+1,20))+1,20))),2),"")))</f>
        <v/>
      </c>
    </row>
    <row r="1762" spans="13:14" x14ac:dyDescent="0.2">
      <c r="M1762" t="str">
        <f>IF(Sync!$M1762&lt;&gt;"پاس چک","",IF(Sync!$P1762="","",Sync!$P1762))</f>
        <v/>
      </c>
      <c r="N1762" t="str">
        <f>IF($M1762="","",IF(ISNUMBER(Sync!$L1762),IF(AND(Sync!$L1762&gt;=10000101,Sync!$L1762&lt;=99991231),RIGHT("0000"&amp;INT(Sync!$L1762/10000),4)&amp;"/"&amp;RIGHT("00"&amp;INT(MOD(Sync!$L1762,10000)/100),2)&amp;"/"&amp;RIGHT("00"&amp;MOD(Sync!$L1762,100),2),""),IFERROR(RIGHT("0000"&amp;VALUE(TRIM(LEFT(Sync!$L1762,FIND("/",Sync!$L1762)-1))),4)&amp;"/"&amp;RIGHT("00"&amp;VALUE(TRIM(LEFT(MID(Sync!$L1762,FIND("/",Sync!$L1762)+1,20),FIND("/",MID(Sync!$L1762,FIND("/",Sync!$L1762)+1,20))-1))),2)&amp;"/"&amp;RIGHT("00"&amp;VALUE(TRIM(MID(MID(Sync!$L1762,FIND("/",Sync!$L1762)+1,20),FIND("/",MID(Sync!$L1762,FIND("/",Sync!$L1762)+1,20))+1,20))),2),"")))</f>
        <v/>
      </c>
    </row>
    <row r="1763" spans="13:14" x14ac:dyDescent="0.2">
      <c r="M1763" t="str">
        <f>IF(Sync!$M1763&lt;&gt;"پاس چک","",IF(Sync!$P1763="","",Sync!$P1763))</f>
        <v/>
      </c>
      <c r="N1763" t="str">
        <f>IF($M1763="","",IF(ISNUMBER(Sync!$L1763),IF(AND(Sync!$L1763&gt;=10000101,Sync!$L1763&lt;=99991231),RIGHT("0000"&amp;INT(Sync!$L1763/10000),4)&amp;"/"&amp;RIGHT("00"&amp;INT(MOD(Sync!$L1763,10000)/100),2)&amp;"/"&amp;RIGHT("00"&amp;MOD(Sync!$L1763,100),2),""),IFERROR(RIGHT("0000"&amp;VALUE(TRIM(LEFT(Sync!$L1763,FIND("/",Sync!$L1763)-1))),4)&amp;"/"&amp;RIGHT("00"&amp;VALUE(TRIM(LEFT(MID(Sync!$L1763,FIND("/",Sync!$L1763)+1,20),FIND("/",MID(Sync!$L1763,FIND("/",Sync!$L1763)+1,20))-1))),2)&amp;"/"&amp;RIGHT("00"&amp;VALUE(TRIM(MID(MID(Sync!$L1763,FIND("/",Sync!$L1763)+1,20),FIND("/",MID(Sync!$L1763,FIND("/",Sync!$L1763)+1,20))+1,20))),2),"")))</f>
        <v/>
      </c>
    </row>
    <row r="1764" spans="13:14" x14ac:dyDescent="0.2">
      <c r="M1764" t="str">
        <f>IF(Sync!$M1764&lt;&gt;"پاس چک","",IF(Sync!$P1764="","",Sync!$P1764))</f>
        <v/>
      </c>
      <c r="N1764" t="str">
        <f>IF($M1764="","",IF(ISNUMBER(Sync!$L1764),IF(AND(Sync!$L1764&gt;=10000101,Sync!$L1764&lt;=99991231),RIGHT("0000"&amp;INT(Sync!$L1764/10000),4)&amp;"/"&amp;RIGHT("00"&amp;INT(MOD(Sync!$L1764,10000)/100),2)&amp;"/"&amp;RIGHT("00"&amp;MOD(Sync!$L1764,100),2),""),IFERROR(RIGHT("0000"&amp;VALUE(TRIM(LEFT(Sync!$L1764,FIND("/",Sync!$L1764)-1))),4)&amp;"/"&amp;RIGHT("00"&amp;VALUE(TRIM(LEFT(MID(Sync!$L1764,FIND("/",Sync!$L1764)+1,20),FIND("/",MID(Sync!$L1764,FIND("/",Sync!$L1764)+1,20))-1))),2)&amp;"/"&amp;RIGHT("00"&amp;VALUE(TRIM(MID(MID(Sync!$L1764,FIND("/",Sync!$L1764)+1,20),FIND("/",MID(Sync!$L1764,FIND("/",Sync!$L1764)+1,20))+1,20))),2),"")))</f>
        <v/>
      </c>
    </row>
    <row r="1765" spans="13:14" x14ac:dyDescent="0.2">
      <c r="M1765" t="str">
        <f>IF(Sync!$M1765&lt;&gt;"پاس چک","",IF(Sync!$P1765="","",Sync!$P1765))</f>
        <v/>
      </c>
      <c r="N1765" t="str">
        <f>IF($M1765="","",IF(ISNUMBER(Sync!$L1765),IF(AND(Sync!$L1765&gt;=10000101,Sync!$L1765&lt;=99991231),RIGHT("0000"&amp;INT(Sync!$L1765/10000),4)&amp;"/"&amp;RIGHT("00"&amp;INT(MOD(Sync!$L1765,10000)/100),2)&amp;"/"&amp;RIGHT("00"&amp;MOD(Sync!$L1765,100),2),""),IFERROR(RIGHT("0000"&amp;VALUE(TRIM(LEFT(Sync!$L1765,FIND("/",Sync!$L1765)-1))),4)&amp;"/"&amp;RIGHT("00"&amp;VALUE(TRIM(LEFT(MID(Sync!$L1765,FIND("/",Sync!$L1765)+1,20),FIND("/",MID(Sync!$L1765,FIND("/",Sync!$L1765)+1,20))-1))),2)&amp;"/"&amp;RIGHT("00"&amp;VALUE(TRIM(MID(MID(Sync!$L1765,FIND("/",Sync!$L1765)+1,20),FIND("/",MID(Sync!$L1765,FIND("/",Sync!$L1765)+1,20))+1,20))),2),"")))</f>
        <v/>
      </c>
    </row>
    <row r="1766" spans="13:14" x14ac:dyDescent="0.2">
      <c r="M1766" t="str">
        <f>IF(Sync!$M1766&lt;&gt;"پاس چک","",IF(Sync!$P1766="","",Sync!$P1766))</f>
        <v/>
      </c>
      <c r="N1766" t="str">
        <f>IF($M1766="","",IF(ISNUMBER(Sync!$L1766),IF(AND(Sync!$L1766&gt;=10000101,Sync!$L1766&lt;=99991231),RIGHT("0000"&amp;INT(Sync!$L1766/10000),4)&amp;"/"&amp;RIGHT("00"&amp;INT(MOD(Sync!$L1766,10000)/100),2)&amp;"/"&amp;RIGHT("00"&amp;MOD(Sync!$L1766,100),2),""),IFERROR(RIGHT("0000"&amp;VALUE(TRIM(LEFT(Sync!$L1766,FIND("/",Sync!$L1766)-1))),4)&amp;"/"&amp;RIGHT("00"&amp;VALUE(TRIM(LEFT(MID(Sync!$L1766,FIND("/",Sync!$L1766)+1,20),FIND("/",MID(Sync!$L1766,FIND("/",Sync!$L1766)+1,20))-1))),2)&amp;"/"&amp;RIGHT("00"&amp;VALUE(TRIM(MID(MID(Sync!$L1766,FIND("/",Sync!$L1766)+1,20),FIND("/",MID(Sync!$L1766,FIND("/",Sync!$L1766)+1,20))+1,20))),2),"")))</f>
        <v/>
      </c>
    </row>
    <row r="1767" spans="13:14" x14ac:dyDescent="0.2">
      <c r="M1767" t="str">
        <f>IF(Sync!$M1767&lt;&gt;"پاس چک","",IF(Sync!$P1767="","",Sync!$P1767))</f>
        <v/>
      </c>
      <c r="N1767" t="str">
        <f>IF($M1767="","",IF(ISNUMBER(Sync!$L1767),IF(AND(Sync!$L1767&gt;=10000101,Sync!$L1767&lt;=99991231),RIGHT("0000"&amp;INT(Sync!$L1767/10000),4)&amp;"/"&amp;RIGHT("00"&amp;INT(MOD(Sync!$L1767,10000)/100),2)&amp;"/"&amp;RIGHT("00"&amp;MOD(Sync!$L1767,100),2),""),IFERROR(RIGHT("0000"&amp;VALUE(TRIM(LEFT(Sync!$L1767,FIND("/",Sync!$L1767)-1))),4)&amp;"/"&amp;RIGHT("00"&amp;VALUE(TRIM(LEFT(MID(Sync!$L1767,FIND("/",Sync!$L1767)+1,20),FIND("/",MID(Sync!$L1767,FIND("/",Sync!$L1767)+1,20))-1))),2)&amp;"/"&amp;RIGHT("00"&amp;VALUE(TRIM(MID(MID(Sync!$L1767,FIND("/",Sync!$L1767)+1,20),FIND("/",MID(Sync!$L1767,FIND("/",Sync!$L1767)+1,20))+1,20))),2),"")))</f>
        <v/>
      </c>
    </row>
    <row r="1768" spans="13:14" x14ac:dyDescent="0.2">
      <c r="M1768" t="str">
        <f>IF(Sync!$M1768&lt;&gt;"پاس چک","",IF(Sync!$P1768="","",Sync!$P1768))</f>
        <v/>
      </c>
      <c r="N1768" t="str">
        <f>IF($M1768="","",IF(ISNUMBER(Sync!$L1768),IF(AND(Sync!$L1768&gt;=10000101,Sync!$L1768&lt;=99991231),RIGHT("0000"&amp;INT(Sync!$L1768/10000),4)&amp;"/"&amp;RIGHT("00"&amp;INT(MOD(Sync!$L1768,10000)/100),2)&amp;"/"&amp;RIGHT("00"&amp;MOD(Sync!$L1768,100),2),""),IFERROR(RIGHT("0000"&amp;VALUE(TRIM(LEFT(Sync!$L1768,FIND("/",Sync!$L1768)-1))),4)&amp;"/"&amp;RIGHT("00"&amp;VALUE(TRIM(LEFT(MID(Sync!$L1768,FIND("/",Sync!$L1768)+1,20),FIND("/",MID(Sync!$L1768,FIND("/",Sync!$L1768)+1,20))-1))),2)&amp;"/"&amp;RIGHT("00"&amp;VALUE(TRIM(MID(MID(Sync!$L1768,FIND("/",Sync!$L1768)+1,20),FIND("/",MID(Sync!$L1768,FIND("/",Sync!$L1768)+1,20))+1,20))),2),"")))</f>
        <v/>
      </c>
    </row>
    <row r="1769" spans="13:14" x14ac:dyDescent="0.2">
      <c r="M1769" t="str">
        <f>IF(Sync!$M1769&lt;&gt;"پاس چک","",IF(Sync!$P1769="","",Sync!$P1769))</f>
        <v/>
      </c>
      <c r="N1769" t="str">
        <f>IF($M1769="","",IF(ISNUMBER(Sync!$L1769),IF(AND(Sync!$L1769&gt;=10000101,Sync!$L1769&lt;=99991231),RIGHT("0000"&amp;INT(Sync!$L1769/10000),4)&amp;"/"&amp;RIGHT("00"&amp;INT(MOD(Sync!$L1769,10000)/100),2)&amp;"/"&amp;RIGHT("00"&amp;MOD(Sync!$L1769,100),2),""),IFERROR(RIGHT("0000"&amp;VALUE(TRIM(LEFT(Sync!$L1769,FIND("/",Sync!$L1769)-1))),4)&amp;"/"&amp;RIGHT("00"&amp;VALUE(TRIM(LEFT(MID(Sync!$L1769,FIND("/",Sync!$L1769)+1,20),FIND("/",MID(Sync!$L1769,FIND("/",Sync!$L1769)+1,20))-1))),2)&amp;"/"&amp;RIGHT("00"&amp;VALUE(TRIM(MID(MID(Sync!$L1769,FIND("/",Sync!$L1769)+1,20),FIND("/",MID(Sync!$L1769,FIND("/",Sync!$L1769)+1,20))+1,20))),2),"")))</f>
        <v/>
      </c>
    </row>
    <row r="1770" spans="13:14" x14ac:dyDescent="0.2">
      <c r="M1770" t="str">
        <f>IF(Sync!$M1770&lt;&gt;"پاس چک","",IF(Sync!$P1770="","",Sync!$P1770))</f>
        <v/>
      </c>
      <c r="N1770" t="str">
        <f>IF($M1770="","",IF(ISNUMBER(Sync!$L1770),IF(AND(Sync!$L1770&gt;=10000101,Sync!$L1770&lt;=99991231),RIGHT("0000"&amp;INT(Sync!$L1770/10000),4)&amp;"/"&amp;RIGHT("00"&amp;INT(MOD(Sync!$L1770,10000)/100),2)&amp;"/"&amp;RIGHT("00"&amp;MOD(Sync!$L1770,100),2),""),IFERROR(RIGHT("0000"&amp;VALUE(TRIM(LEFT(Sync!$L1770,FIND("/",Sync!$L1770)-1))),4)&amp;"/"&amp;RIGHT("00"&amp;VALUE(TRIM(LEFT(MID(Sync!$L1770,FIND("/",Sync!$L1770)+1,20),FIND("/",MID(Sync!$L1770,FIND("/",Sync!$L1770)+1,20))-1))),2)&amp;"/"&amp;RIGHT("00"&amp;VALUE(TRIM(MID(MID(Sync!$L1770,FIND("/",Sync!$L1770)+1,20),FIND("/",MID(Sync!$L1770,FIND("/",Sync!$L1770)+1,20))+1,20))),2),"")))</f>
        <v/>
      </c>
    </row>
    <row r="1771" spans="13:14" x14ac:dyDescent="0.2">
      <c r="M1771" t="str">
        <f>IF(Sync!$M1771&lt;&gt;"پاس چک","",IF(Sync!$P1771="","",Sync!$P1771))</f>
        <v/>
      </c>
      <c r="N1771" t="str">
        <f>IF($M1771="","",IF(ISNUMBER(Sync!$L1771),IF(AND(Sync!$L1771&gt;=10000101,Sync!$L1771&lt;=99991231),RIGHT("0000"&amp;INT(Sync!$L1771/10000),4)&amp;"/"&amp;RIGHT("00"&amp;INT(MOD(Sync!$L1771,10000)/100),2)&amp;"/"&amp;RIGHT("00"&amp;MOD(Sync!$L1771,100),2),""),IFERROR(RIGHT("0000"&amp;VALUE(TRIM(LEFT(Sync!$L1771,FIND("/",Sync!$L1771)-1))),4)&amp;"/"&amp;RIGHT("00"&amp;VALUE(TRIM(LEFT(MID(Sync!$L1771,FIND("/",Sync!$L1771)+1,20),FIND("/",MID(Sync!$L1771,FIND("/",Sync!$L1771)+1,20))-1))),2)&amp;"/"&amp;RIGHT("00"&amp;VALUE(TRIM(MID(MID(Sync!$L1771,FIND("/",Sync!$L1771)+1,20),FIND("/",MID(Sync!$L1771,FIND("/",Sync!$L1771)+1,20))+1,20))),2),"")))</f>
        <v/>
      </c>
    </row>
    <row r="1772" spans="13:14" x14ac:dyDescent="0.2">
      <c r="M1772" t="str">
        <f>IF(Sync!$M1772&lt;&gt;"پاس چک","",IF(Sync!$P1772="","",Sync!$P1772))</f>
        <v/>
      </c>
      <c r="N1772" t="str">
        <f>IF($M1772="","",IF(ISNUMBER(Sync!$L1772),IF(AND(Sync!$L1772&gt;=10000101,Sync!$L1772&lt;=99991231),RIGHT("0000"&amp;INT(Sync!$L1772/10000),4)&amp;"/"&amp;RIGHT("00"&amp;INT(MOD(Sync!$L1772,10000)/100),2)&amp;"/"&amp;RIGHT("00"&amp;MOD(Sync!$L1772,100),2),""),IFERROR(RIGHT("0000"&amp;VALUE(TRIM(LEFT(Sync!$L1772,FIND("/",Sync!$L1772)-1))),4)&amp;"/"&amp;RIGHT("00"&amp;VALUE(TRIM(LEFT(MID(Sync!$L1772,FIND("/",Sync!$L1772)+1,20),FIND("/",MID(Sync!$L1772,FIND("/",Sync!$L1772)+1,20))-1))),2)&amp;"/"&amp;RIGHT("00"&amp;VALUE(TRIM(MID(MID(Sync!$L1772,FIND("/",Sync!$L1772)+1,20),FIND("/",MID(Sync!$L1772,FIND("/",Sync!$L1772)+1,20))+1,20))),2),"")))</f>
        <v/>
      </c>
    </row>
    <row r="1773" spans="13:14" x14ac:dyDescent="0.2">
      <c r="M1773" t="str">
        <f>IF(Sync!$M1773&lt;&gt;"پاس چک","",IF(Sync!$P1773="","",Sync!$P1773))</f>
        <v/>
      </c>
      <c r="N1773" t="str">
        <f>IF($M1773="","",IF(ISNUMBER(Sync!$L1773),IF(AND(Sync!$L1773&gt;=10000101,Sync!$L1773&lt;=99991231),RIGHT("0000"&amp;INT(Sync!$L1773/10000),4)&amp;"/"&amp;RIGHT("00"&amp;INT(MOD(Sync!$L1773,10000)/100),2)&amp;"/"&amp;RIGHT("00"&amp;MOD(Sync!$L1773,100),2),""),IFERROR(RIGHT("0000"&amp;VALUE(TRIM(LEFT(Sync!$L1773,FIND("/",Sync!$L1773)-1))),4)&amp;"/"&amp;RIGHT("00"&amp;VALUE(TRIM(LEFT(MID(Sync!$L1773,FIND("/",Sync!$L1773)+1,20),FIND("/",MID(Sync!$L1773,FIND("/",Sync!$L1773)+1,20))-1))),2)&amp;"/"&amp;RIGHT("00"&amp;VALUE(TRIM(MID(MID(Sync!$L1773,FIND("/",Sync!$L1773)+1,20),FIND("/",MID(Sync!$L1773,FIND("/",Sync!$L1773)+1,20))+1,20))),2),"")))</f>
        <v/>
      </c>
    </row>
    <row r="1774" spans="13:14" x14ac:dyDescent="0.2">
      <c r="M1774" t="str">
        <f>IF(Sync!$M1774&lt;&gt;"پاس چک","",IF(Sync!$P1774="","",Sync!$P1774))</f>
        <v/>
      </c>
      <c r="N1774" t="str">
        <f>IF($M1774="","",IF(ISNUMBER(Sync!$L1774),IF(AND(Sync!$L1774&gt;=10000101,Sync!$L1774&lt;=99991231),RIGHT("0000"&amp;INT(Sync!$L1774/10000),4)&amp;"/"&amp;RIGHT("00"&amp;INT(MOD(Sync!$L1774,10000)/100),2)&amp;"/"&amp;RIGHT("00"&amp;MOD(Sync!$L1774,100),2),""),IFERROR(RIGHT("0000"&amp;VALUE(TRIM(LEFT(Sync!$L1774,FIND("/",Sync!$L1774)-1))),4)&amp;"/"&amp;RIGHT("00"&amp;VALUE(TRIM(LEFT(MID(Sync!$L1774,FIND("/",Sync!$L1774)+1,20),FIND("/",MID(Sync!$L1774,FIND("/",Sync!$L1774)+1,20))-1))),2)&amp;"/"&amp;RIGHT("00"&amp;VALUE(TRIM(MID(MID(Sync!$L1774,FIND("/",Sync!$L1774)+1,20),FIND("/",MID(Sync!$L1774,FIND("/",Sync!$L1774)+1,20))+1,20))),2),"")))</f>
        <v/>
      </c>
    </row>
    <row r="1775" spans="13:14" x14ac:dyDescent="0.2">
      <c r="M1775" t="str">
        <f>IF(Sync!$M1775&lt;&gt;"پاس چک","",IF(Sync!$P1775="","",Sync!$P1775))</f>
        <v/>
      </c>
      <c r="N1775" t="str">
        <f>IF($M1775="","",IF(ISNUMBER(Sync!$L1775),IF(AND(Sync!$L1775&gt;=10000101,Sync!$L1775&lt;=99991231),RIGHT("0000"&amp;INT(Sync!$L1775/10000),4)&amp;"/"&amp;RIGHT("00"&amp;INT(MOD(Sync!$L1775,10000)/100),2)&amp;"/"&amp;RIGHT("00"&amp;MOD(Sync!$L1775,100),2),""),IFERROR(RIGHT("0000"&amp;VALUE(TRIM(LEFT(Sync!$L1775,FIND("/",Sync!$L1775)-1))),4)&amp;"/"&amp;RIGHT("00"&amp;VALUE(TRIM(LEFT(MID(Sync!$L1775,FIND("/",Sync!$L1775)+1,20),FIND("/",MID(Sync!$L1775,FIND("/",Sync!$L1775)+1,20))-1))),2)&amp;"/"&amp;RIGHT("00"&amp;VALUE(TRIM(MID(MID(Sync!$L1775,FIND("/",Sync!$L1775)+1,20),FIND("/",MID(Sync!$L1775,FIND("/",Sync!$L1775)+1,20))+1,20))),2),"")))</f>
        <v/>
      </c>
    </row>
    <row r="1776" spans="13:14" x14ac:dyDescent="0.2">
      <c r="M1776" t="str">
        <f>IF(Sync!$M1776&lt;&gt;"پاس چک","",IF(Sync!$P1776="","",Sync!$P1776))</f>
        <v/>
      </c>
      <c r="N1776" t="str">
        <f>IF($M1776="","",IF(ISNUMBER(Sync!$L1776),IF(AND(Sync!$L1776&gt;=10000101,Sync!$L1776&lt;=99991231),RIGHT("0000"&amp;INT(Sync!$L1776/10000),4)&amp;"/"&amp;RIGHT("00"&amp;INT(MOD(Sync!$L1776,10000)/100),2)&amp;"/"&amp;RIGHT("00"&amp;MOD(Sync!$L1776,100),2),""),IFERROR(RIGHT("0000"&amp;VALUE(TRIM(LEFT(Sync!$L1776,FIND("/",Sync!$L1776)-1))),4)&amp;"/"&amp;RIGHT("00"&amp;VALUE(TRIM(LEFT(MID(Sync!$L1776,FIND("/",Sync!$L1776)+1,20),FIND("/",MID(Sync!$L1776,FIND("/",Sync!$L1776)+1,20))-1))),2)&amp;"/"&amp;RIGHT("00"&amp;VALUE(TRIM(MID(MID(Sync!$L1776,FIND("/",Sync!$L1776)+1,20),FIND("/",MID(Sync!$L1776,FIND("/",Sync!$L1776)+1,20))+1,20))),2),"")))</f>
        <v/>
      </c>
    </row>
    <row r="1777" spans="13:14" x14ac:dyDescent="0.2">
      <c r="M1777" t="str">
        <f>IF(Sync!$M1777&lt;&gt;"پاس چک","",IF(Sync!$P1777="","",Sync!$P1777))</f>
        <v/>
      </c>
      <c r="N1777" t="str">
        <f>IF($M1777="","",IF(ISNUMBER(Sync!$L1777),IF(AND(Sync!$L1777&gt;=10000101,Sync!$L1777&lt;=99991231),RIGHT("0000"&amp;INT(Sync!$L1777/10000),4)&amp;"/"&amp;RIGHT("00"&amp;INT(MOD(Sync!$L1777,10000)/100),2)&amp;"/"&amp;RIGHT("00"&amp;MOD(Sync!$L1777,100),2),""),IFERROR(RIGHT("0000"&amp;VALUE(TRIM(LEFT(Sync!$L1777,FIND("/",Sync!$L1777)-1))),4)&amp;"/"&amp;RIGHT("00"&amp;VALUE(TRIM(LEFT(MID(Sync!$L1777,FIND("/",Sync!$L1777)+1,20),FIND("/",MID(Sync!$L1777,FIND("/",Sync!$L1777)+1,20))-1))),2)&amp;"/"&amp;RIGHT("00"&amp;VALUE(TRIM(MID(MID(Sync!$L1777,FIND("/",Sync!$L1777)+1,20),FIND("/",MID(Sync!$L1777,FIND("/",Sync!$L1777)+1,20))+1,20))),2),"")))</f>
        <v/>
      </c>
    </row>
    <row r="1778" spans="13:14" x14ac:dyDescent="0.2">
      <c r="M1778" t="str">
        <f>IF(Sync!$M1778&lt;&gt;"پاس چک","",IF(Sync!$P1778="","",Sync!$P1778))</f>
        <v/>
      </c>
      <c r="N1778" t="str">
        <f>IF($M1778="","",IF(ISNUMBER(Sync!$L1778),IF(AND(Sync!$L1778&gt;=10000101,Sync!$L1778&lt;=99991231),RIGHT("0000"&amp;INT(Sync!$L1778/10000),4)&amp;"/"&amp;RIGHT("00"&amp;INT(MOD(Sync!$L1778,10000)/100),2)&amp;"/"&amp;RIGHT("00"&amp;MOD(Sync!$L1778,100),2),""),IFERROR(RIGHT("0000"&amp;VALUE(TRIM(LEFT(Sync!$L1778,FIND("/",Sync!$L1778)-1))),4)&amp;"/"&amp;RIGHT("00"&amp;VALUE(TRIM(LEFT(MID(Sync!$L1778,FIND("/",Sync!$L1778)+1,20),FIND("/",MID(Sync!$L1778,FIND("/",Sync!$L1778)+1,20))-1))),2)&amp;"/"&amp;RIGHT("00"&amp;VALUE(TRIM(MID(MID(Sync!$L1778,FIND("/",Sync!$L1778)+1,20),FIND("/",MID(Sync!$L1778,FIND("/",Sync!$L1778)+1,20))+1,20))),2),"")))</f>
        <v/>
      </c>
    </row>
    <row r="1779" spans="13:14" x14ac:dyDescent="0.2">
      <c r="M1779" t="str">
        <f>IF(Sync!$M1779&lt;&gt;"پاس چک","",IF(Sync!$P1779="","",Sync!$P1779))</f>
        <v/>
      </c>
      <c r="N1779" t="str">
        <f>IF($M1779="","",IF(ISNUMBER(Sync!$L1779),IF(AND(Sync!$L1779&gt;=10000101,Sync!$L1779&lt;=99991231),RIGHT("0000"&amp;INT(Sync!$L1779/10000),4)&amp;"/"&amp;RIGHT("00"&amp;INT(MOD(Sync!$L1779,10000)/100),2)&amp;"/"&amp;RIGHT("00"&amp;MOD(Sync!$L1779,100),2),""),IFERROR(RIGHT("0000"&amp;VALUE(TRIM(LEFT(Sync!$L1779,FIND("/",Sync!$L1779)-1))),4)&amp;"/"&amp;RIGHT("00"&amp;VALUE(TRIM(LEFT(MID(Sync!$L1779,FIND("/",Sync!$L1779)+1,20),FIND("/",MID(Sync!$L1779,FIND("/",Sync!$L1779)+1,20))-1))),2)&amp;"/"&amp;RIGHT("00"&amp;VALUE(TRIM(MID(MID(Sync!$L1779,FIND("/",Sync!$L1779)+1,20),FIND("/",MID(Sync!$L1779,FIND("/",Sync!$L1779)+1,20))+1,20))),2),"")))</f>
        <v/>
      </c>
    </row>
    <row r="1780" spans="13:14" x14ac:dyDescent="0.2">
      <c r="M1780" t="str">
        <f>IF(Sync!$M1780&lt;&gt;"پاس چک","",IF(Sync!$P1780="","",Sync!$P1780))</f>
        <v/>
      </c>
      <c r="N1780" t="str">
        <f>IF($M1780="","",IF(ISNUMBER(Sync!$L1780),IF(AND(Sync!$L1780&gt;=10000101,Sync!$L1780&lt;=99991231),RIGHT("0000"&amp;INT(Sync!$L1780/10000),4)&amp;"/"&amp;RIGHT("00"&amp;INT(MOD(Sync!$L1780,10000)/100),2)&amp;"/"&amp;RIGHT("00"&amp;MOD(Sync!$L1780,100),2),""),IFERROR(RIGHT("0000"&amp;VALUE(TRIM(LEFT(Sync!$L1780,FIND("/",Sync!$L1780)-1))),4)&amp;"/"&amp;RIGHT("00"&amp;VALUE(TRIM(LEFT(MID(Sync!$L1780,FIND("/",Sync!$L1780)+1,20),FIND("/",MID(Sync!$L1780,FIND("/",Sync!$L1780)+1,20))-1))),2)&amp;"/"&amp;RIGHT("00"&amp;VALUE(TRIM(MID(MID(Sync!$L1780,FIND("/",Sync!$L1780)+1,20),FIND("/",MID(Sync!$L1780,FIND("/",Sync!$L1780)+1,20))+1,20))),2),"")))</f>
        <v/>
      </c>
    </row>
    <row r="1781" spans="13:14" x14ac:dyDescent="0.2">
      <c r="M1781" t="str">
        <f>IF(Sync!$M1781&lt;&gt;"پاس چک","",IF(Sync!$P1781="","",Sync!$P1781))</f>
        <v/>
      </c>
      <c r="N1781" t="str">
        <f>IF($M1781="","",IF(ISNUMBER(Sync!$L1781),IF(AND(Sync!$L1781&gt;=10000101,Sync!$L1781&lt;=99991231),RIGHT("0000"&amp;INT(Sync!$L1781/10000),4)&amp;"/"&amp;RIGHT("00"&amp;INT(MOD(Sync!$L1781,10000)/100),2)&amp;"/"&amp;RIGHT("00"&amp;MOD(Sync!$L1781,100),2),""),IFERROR(RIGHT("0000"&amp;VALUE(TRIM(LEFT(Sync!$L1781,FIND("/",Sync!$L1781)-1))),4)&amp;"/"&amp;RIGHT("00"&amp;VALUE(TRIM(LEFT(MID(Sync!$L1781,FIND("/",Sync!$L1781)+1,20),FIND("/",MID(Sync!$L1781,FIND("/",Sync!$L1781)+1,20))-1))),2)&amp;"/"&amp;RIGHT("00"&amp;VALUE(TRIM(MID(MID(Sync!$L1781,FIND("/",Sync!$L1781)+1,20),FIND("/",MID(Sync!$L1781,FIND("/",Sync!$L1781)+1,20))+1,20))),2),"")))</f>
        <v/>
      </c>
    </row>
    <row r="1782" spans="13:14" x14ac:dyDescent="0.2">
      <c r="M1782" t="str">
        <f>IF(Sync!$M1782&lt;&gt;"پاس چک","",IF(Sync!$P1782="","",Sync!$P1782))</f>
        <v/>
      </c>
      <c r="N1782" t="str">
        <f>IF($M1782="","",IF(ISNUMBER(Sync!$L1782),IF(AND(Sync!$L1782&gt;=10000101,Sync!$L1782&lt;=99991231),RIGHT("0000"&amp;INT(Sync!$L1782/10000),4)&amp;"/"&amp;RIGHT("00"&amp;INT(MOD(Sync!$L1782,10000)/100),2)&amp;"/"&amp;RIGHT("00"&amp;MOD(Sync!$L1782,100),2),""),IFERROR(RIGHT("0000"&amp;VALUE(TRIM(LEFT(Sync!$L1782,FIND("/",Sync!$L1782)-1))),4)&amp;"/"&amp;RIGHT("00"&amp;VALUE(TRIM(LEFT(MID(Sync!$L1782,FIND("/",Sync!$L1782)+1,20),FIND("/",MID(Sync!$L1782,FIND("/",Sync!$L1782)+1,20))-1))),2)&amp;"/"&amp;RIGHT("00"&amp;VALUE(TRIM(MID(MID(Sync!$L1782,FIND("/",Sync!$L1782)+1,20),FIND("/",MID(Sync!$L1782,FIND("/",Sync!$L1782)+1,20))+1,20))),2),"")))</f>
        <v/>
      </c>
    </row>
    <row r="1783" spans="13:14" x14ac:dyDescent="0.2">
      <c r="M1783" t="str">
        <f>IF(Sync!$M1783&lt;&gt;"پاس چک","",IF(Sync!$P1783="","",Sync!$P1783))</f>
        <v/>
      </c>
      <c r="N1783" t="str">
        <f>IF($M1783="","",IF(ISNUMBER(Sync!$L1783),IF(AND(Sync!$L1783&gt;=10000101,Sync!$L1783&lt;=99991231),RIGHT("0000"&amp;INT(Sync!$L1783/10000),4)&amp;"/"&amp;RIGHT("00"&amp;INT(MOD(Sync!$L1783,10000)/100),2)&amp;"/"&amp;RIGHT("00"&amp;MOD(Sync!$L1783,100),2),""),IFERROR(RIGHT("0000"&amp;VALUE(TRIM(LEFT(Sync!$L1783,FIND("/",Sync!$L1783)-1))),4)&amp;"/"&amp;RIGHT("00"&amp;VALUE(TRIM(LEFT(MID(Sync!$L1783,FIND("/",Sync!$L1783)+1,20),FIND("/",MID(Sync!$L1783,FIND("/",Sync!$L1783)+1,20))-1))),2)&amp;"/"&amp;RIGHT("00"&amp;VALUE(TRIM(MID(MID(Sync!$L1783,FIND("/",Sync!$L1783)+1,20),FIND("/",MID(Sync!$L1783,FIND("/",Sync!$L1783)+1,20))+1,20))),2),"")))</f>
        <v/>
      </c>
    </row>
    <row r="1784" spans="13:14" x14ac:dyDescent="0.2">
      <c r="M1784" t="str">
        <f>IF(Sync!$M1784&lt;&gt;"پاس چک","",IF(Sync!$P1784="","",Sync!$P1784))</f>
        <v/>
      </c>
      <c r="N1784" t="str">
        <f>IF($M1784="","",IF(ISNUMBER(Sync!$L1784),IF(AND(Sync!$L1784&gt;=10000101,Sync!$L1784&lt;=99991231),RIGHT("0000"&amp;INT(Sync!$L1784/10000),4)&amp;"/"&amp;RIGHT("00"&amp;INT(MOD(Sync!$L1784,10000)/100),2)&amp;"/"&amp;RIGHT("00"&amp;MOD(Sync!$L1784,100),2),""),IFERROR(RIGHT("0000"&amp;VALUE(TRIM(LEFT(Sync!$L1784,FIND("/",Sync!$L1784)-1))),4)&amp;"/"&amp;RIGHT("00"&amp;VALUE(TRIM(LEFT(MID(Sync!$L1784,FIND("/",Sync!$L1784)+1,20),FIND("/",MID(Sync!$L1784,FIND("/",Sync!$L1784)+1,20))-1))),2)&amp;"/"&amp;RIGHT("00"&amp;VALUE(TRIM(MID(MID(Sync!$L1784,FIND("/",Sync!$L1784)+1,20),FIND("/",MID(Sync!$L1784,FIND("/",Sync!$L1784)+1,20))+1,20))),2),"")))</f>
        <v/>
      </c>
    </row>
    <row r="1785" spans="13:14" x14ac:dyDescent="0.2">
      <c r="M1785" t="str">
        <f>IF(Sync!$M1785&lt;&gt;"پاس چک","",IF(Sync!$P1785="","",Sync!$P1785))</f>
        <v/>
      </c>
      <c r="N1785" t="str">
        <f>IF($M1785="","",IF(ISNUMBER(Sync!$L1785),IF(AND(Sync!$L1785&gt;=10000101,Sync!$L1785&lt;=99991231),RIGHT("0000"&amp;INT(Sync!$L1785/10000),4)&amp;"/"&amp;RIGHT("00"&amp;INT(MOD(Sync!$L1785,10000)/100),2)&amp;"/"&amp;RIGHT("00"&amp;MOD(Sync!$L1785,100),2),""),IFERROR(RIGHT("0000"&amp;VALUE(TRIM(LEFT(Sync!$L1785,FIND("/",Sync!$L1785)-1))),4)&amp;"/"&amp;RIGHT("00"&amp;VALUE(TRIM(LEFT(MID(Sync!$L1785,FIND("/",Sync!$L1785)+1,20),FIND("/",MID(Sync!$L1785,FIND("/",Sync!$L1785)+1,20))-1))),2)&amp;"/"&amp;RIGHT("00"&amp;VALUE(TRIM(MID(MID(Sync!$L1785,FIND("/",Sync!$L1785)+1,20),FIND("/",MID(Sync!$L1785,FIND("/",Sync!$L1785)+1,20))+1,20))),2),"")))</f>
        <v/>
      </c>
    </row>
    <row r="1786" spans="13:14" x14ac:dyDescent="0.2">
      <c r="M1786" t="str">
        <f>IF(Sync!$M1786&lt;&gt;"پاس چک","",IF(Sync!$P1786="","",Sync!$P1786))</f>
        <v/>
      </c>
      <c r="N1786" t="str">
        <f>IF($M1786="","",IF(ISNUMBER(Sync!$L1786),IF(AND(Sync!$L1786&gt;=10000101,Sync!$L1786&lt;=99991231),RIGHT("0000"&amp;INT(Sync!$L1786/10000),4)&amp;"/"&amp;RIGHT("00"&amp;INT(MOD(Sync!$L1786,10000)/100),2)&amp;"/"&amp;RIGHT("00"&amp;MOD(Sync!$L1786,100),2),""),IFERROR(RIGHT("0000"&amp;VALUE(TRIM(LEFT(Sync!$L1786,FIND("/",Sync!$L1786)-1))),4)&amp;"/"&amp;RIGHT("00"&amp;VALUE(TRIM(LEFT(MID(Sync!$L1786,FIND("/",Sync!$L1786)+1,20),FIND("/",MID(Sync!$L1786,FIND("/",Sync!$L1786)+1,20))-1))),2)&amp;"/"&amp;RIGHT("00"&amp;VALUE(TRIM(MID(MID(Sync!$L1786,FIND("/",Sync!$L1786)+1,20),FIND("/",MID(Sync!$L1786,FIND("/",Sync!$L1786)+1,20))+1,20))),2),"")))</f>
        <v/>
      </c>
    </row>
    <row r="1787" spans="13:14" x14ac:dyDescent="0.2">
      <c r="M1787" t="str">
        <f>IF(Sync!$M1787&lt;&gt;"پاس چک","",IF(Sync!$P1787="","",Sync!$P1787))</f>
        <v/>
      </c>
      <c r="N1787" t="str">
        <f>IF($M1787="","",IF(ISNUMBER(Sync!$L1787),IF(AND(Sync!$L1787&gt;=10000101,Sync!$L1787&lt;=99991231),RIGHT("0000"&amp;INT(Sync!$L1787/10000),4)&amp;"/"&amp;RIGHT("00"&amp;INT(MOD(Sync!$L1787,10000)/100),2)&amp;"/"&amp;RIGHT("00"&amp;MOD(Sync!$L1787,100),2),""),IFERROR(RIGHT("0000"&amp;VALUE(TRIM(LEFT(Sync!$L1787,FIND("/",Sync!$L1787)-1))),4)&amp;"/"&amp;RIGHT("00"&amp;VALUE(TRIM(LEFT(MID(Sync!$L1787,FIND("/",Sync!$L1787)+1,20),FIND("/",MID(Sync!$L1787,FIND("/",Sync!$L1787)+1,20))-1))),2)&amp;"/"&amp;RIGHT("00"&amp;VALUE(TRIM(MID(MID(Sync!$L1787,FIND("/",Sync!$L1787)+1,20),FIND("/",MID(Sync!$L1787,FIND("/",Sync!$L1787)+1,20))+1,20))),2),"")))</f>
        <v/>
      </c>
    </row>
    <row r="1788" spans="13:14" x14ac:dyDescent="0.2">
      <c r="M1788" t="str">
        <f>IF(Sync!$M1788&lt;&gt;"پاس چک","",IF(Sync!$P1788="","",Sync!$P1788))</f>
        <v/>
      </c>
      <c r="N1788" t="str">
        <f>IF($M1788="","",IF(ISNUMBER(Sync!$L1788),IF(AND(Sync!$L1788&gt;=10000101,Sync!$L1788&lt;=99991231),RIGHT("0000"&amp;INT(Sync!$L1788/10000),4)&amp;"/"&amp;RIGHT("00"&amp;INT(MOD(Sync!$L1788,10000)/100),2)&amp;"/"&amp;RIGHT("00"&amp;MOD(Sync!$L1788,100),2),""),IFERROR(RIGHT("0000"&amp;VALUE(TRIM(LEFT(Sync!$L1788,FIND("/",Sync!$L1788)-1))),4)&amp;"/"&amp;RIGHT("00"&amp;VALUE(TRIM(LEFT(MID(Sync!$L1788,FIND("/",Sync!$L1788)+1,20),FIND("/",MID(Sync!$L1788,FIND("/",Sync!$L1788)+1,20))-1))),2)&amp;"/"&amp;RIGHT("00"&amp;VALUE(TRIM(MID(MID(Sync!$L1788,FIND("/",Sync!$L1788)+1,20),FIND("/",MID(Sync!$L1788,FIND("/",Sync!$L1788)+1,20))+1,20))),2),"")))</f>
        <v/>
      </c>
    </row>
    <row r="1789" spans="13:14" x14ac:dyDescent="0.2">
      <c r="M1789" t="str">
        <f>IF(Sync!$M1789&lt;&gt;"پاس چک","",IF(Sync!$P1789="","",Sync!$P1789))</f>
        <v/>
      </c>
      <c r="N1789" t="str">
        <f>IF($M1789="","",IF(ISNUMBER(Sync!$L1789),IF(AND(Sync!$L1789&gt;=10000101,Sync!$L1789&lt;=99991231),RIGHT("0000"&amp;INT(Sync!$L1789/10000),4)&amp;"/"&amp;RIGHT("00"&amp;INT(MOD(Sync!$L1789,10000)/100),2)&amp;"/"&amp;RIGHT("00"&amp;MOD(Sync!$L1789,100),2),""),IFERROR(RIGHT("0000"&amp;VALUE(TRIM(LEFT(Sync!$L1789,FIND("/",Sync!$L1789)-1))),4)&amp;"/"&amp;RIGHT("00"&amp;VALUE(TRIM(LEFT(MID(Sync!$L1789,FIND("/",Sync!$L1789)+1,20),FIND("/",MID(Sync!$L1789,FIND("/",Sync!$L1789)+1,20))-1))),2)&amp;"/"&amp;RIGHT("00"&amp;VALUE(TRIM(MID(MID(Sync!$L1789,FIND("/",Sync!$L1789)+1,20),FIND("/",MID(Sync!$L1789,FIND("/",Sync!$L1789)+1,20))+1,20))),2),"")))</f>
        <v/>
      </c>
    </row>
    <row r="1790" spans="13:14" x14ac:dyDescent="0.2">
      <c r="M1790" t="str">
        <f>IF(Sync!$M1790&lt;&gt;"پاس چک","",IF(Sync!$P1790="","",Sync!$P1790))</f>
        <v/>
      </c>
      <c r="N1790" t="str">
        <f>IF($M1790="","",IF(ISNUMBER(Sync!$L1790),IF(AND(Sync!$L1790&gt;=10000101,Sync!$L1790&lt;=99991231),RIGHT("0000"&amp;INT(Sync!$L1790/10000),4)&amp;"/"&amp;RIGHT("00"&amp;INT(MOD(Sync!$L1790,10000)/100),2)&amp;"/"&amp;RIGHT("00"&amp;MOD(Sync!$L1790,100),2),""),IFERROR(RIGHT("0000"&amp;VALUE(TRIM(LEFT(Sync!$L1790,FIND("/",Sync!$L1790)-1))),4)&amp;"/"&amp;RIGHT("00"&amp;VALUE(TRIM(LEFT(MID(Sync!$L1790,FIND("/",Sync!$L1790)+1,20),FIND("/",MID(Sync!$L1790,FIND("/",Sync!$L1790)+1,20))-1))),2)&amp;"/"&amp;RIGHT("00"&amp;VALUE(TRIM(MID(MID(Sync!$L1790,FIND("/",Sync!$L1790)+1,20),FIND("/",MID(Sync!$L1790,FIND("/",Sync!$L1790)+1,20))+1,20))),2),"")))</f>
        <v/>
      </c>
    </row>
    <row r="1791" spans="13:14" x14ac:dyDescent="0.2">
      <c r="M1791" t="str">
        <f>IF(Sync!$M1791&lt;&gt;"پاس چک","",IF(Sync!$P1791="","",Sync!$P1791))</f>
        <v/>
      </c>
      <c r="N1791" t="str">
        <f>IF($M1791="","",IF(ISNUMBER(Sync!$L1791),IF(AND(Sync!$L1791&gt;=10000101,Sync!$L1791&lt;=99991231),RIGHT("0000"&amp;INT(Sync!$L1791/10000),4)&amp;"/"&amp;RIGHT("00"&amp;INT(MOD(Sync!$L1791,10000)/100),2)&amp;"/"&amp;RIGHT("00"&amp;MOD(Sync!$L1791,100),2),""),IFERROR(RIGHT("0000"&amp;VALUE(TRIM(LEFT(Sync!$L1791,FIND("/",Sync!$L1791)-1))),4)&amp;"/"&amp;RIGHT("00"&amp;VALUE(TRIM(LEFT(MID(Sync!$L1791,FIND("/",Sync!$L1791)+1,20),FIND("/",MID(Sync!$L1791,FIND("/",Sync!$L1791)+1,20))-1))),2)&amp;"/"&amp;RIGHT("00"&amp;VALUE(TRIM(MID(MID(Sync!$L1791,FIND("/",Sync!$L1791)+1,20),FIND("/",MID(Sync!$L1791,FIND("/",Sync!$L1791)+1,20))+1,20))),2),"")))</f>
        <v/>
      </c>
    </row>
    <row r="1792" spans="13:14" x14ac:dyDescent="0.2">
      <c r="M1792" t="str">
        <f>IF(Sync!$M1792&lt;&gt;"پاس چک","",IF(Sync!$P1792="","",Sync!$P1792))</f>
        <v/>
      </c>
      <c r="N1792" t="str">
        <f>IF($M1792="","",IF(ISNUMBER(Sync!$L1792),IF(AND(Sync!$L1792&gt;=10000101,Sync!$L1792&lt;=99991231),RIGHT("0000"&amp;INT(Sync!$L1792/10000),4)&amp;"/"&amp;RIGHT("00"&amp;INT(MOD(Sync!$L1792,10000)/100),2)&amp;"/"&amp;RIGHT("00"&amp;MOD(Sync!$L1792,100),2),""),IFERROR(RIGHT("0000"&amp;VALUE(TRIM(LEFT(Sync!$L1792,FIND("/",Sync!$L1792)-1))),4)&amp;"/"&amp;RIGHT("00"&amp;VALUE(TRIM(LEFT(MID(Sync!$L1792,FIND("/",Sync!$L1792)+1,20),FIND("/",MID(Sync!$L1792,FIND("/",Sync!$L1792)+1,20))-1))),2)&amp;"/"&amp;RIGHT("00"&amp;VALUE(TRIM(MID(MID(Sync!$L1792,FIND("/",Sync!$L1792)+1,20),FIND("/",MID(Sync!$L1792,FIND("/",Sync!$L1792)+1,20))+1,20))),2),"")))</f>
        <v/>
      </c>
    </row>
    <row r="1793" spans="13:14" x14ac:dyDescent="0.2">
      <c r="M1793" t="str">
        <f>IF(Sync!$M1793&lt;&gt;"پاس چک","",IF(Sync!$P1793="","",Sync!$P1793))</f>
        <v/>
      </c>
      <c r="N1793" t="str">
        <f>IF($M1793="","",IF(ISNUMBER(Sync!$L1793),IF(AND(Sync!$L1793&gt;=10000101,Sync!$L1793&lt;=99991231),RIGHT("0000"&amp;INT(Sync!$L1793/10000),4)&amp;"/"&amp;RIGHT("00"&amp;INT(MOD(Sync!$L1793,10000)/100),2)&amp;"/"&amp;RIGHT("00"&amp;MOD(Sync!$L1793,100),2),""),IFERROR(RIGHT("0000"&amp;VALUE(TRIM(LEFT(Sync!$L1793,FIND("/",Sync!$L1793)-1))),4)&amp;"/"&amp;RIGHT("00"&amp;VALUE(TRIM(LEFT(MID(Sync!$L1793,FIND("/",Sync!$L1793)+1,20),FIND("/",MID(Sync!$L1793,FIND("/",Sync!$L1793)+1,20))-1))),2)&amp;"/"&amp;RIGHT("00"&amp;VALUE(TRIM(MID(MID(Sync!$L1793,FIND("/",Sync!$L1793)+1,20),FIND("/",MID(Sync!$L1793,FIND("/",Sync!$L1793)+1,20))+1,20))),2),"")))</f>
        <v/>
      </c>
    </row>
    <row r="1794" spans="13:14" x14ac:dyDescent="0.2">
      <c r="M1794" t="str">
        <f>IF(Sync!$M1794&lt;&gt;"پاس چک","",IF(Sync!$P1794="","",Sync!$P1794))</f>
        <v/>
      </c>
      <c r="N1794" t="str">
        <f>IF($M1794="","",IF(ISNUMBER(Sync!$L1794),IF(AND(Sync!$L1794&gt;=10000101,Sync!$L1794&lt;=99991231),RIGHT("0000"&amp;INT(Sync!$L1794/10000),4)&amp;"/"&amp;RIGHT("00"&amp;INT(MOD(Sync!$L1794,10000)/100),2)&amp;"/"&amp;RIGHT("00"&amp;MOD(Sync!$L1794,100),2),""),IFERROR(RIGHT("0000"&amp;VALUE(TRIM(LEFT(Sync!$L1794,FIND("/",Sync!$L1794)-1))),4)&amp;"/"&amp;RIGHT("00"&amp;VALUE(TRIM(LEFT(MID(Sync!$L1794,FIND("/",Sync!$L1794)+1,20),FIND("/",MID(Sync!$L1794,FIND("/",Sync!$L1794)+1,20))-1))),2)&amp;"/"&amp;RIGHT("00"&amp;VALUE(TRIM(MID(MID(Sync!$L1794,FIND("/",Sync!$L1794)+1,20),FIND("/",MID(Sync!$L1794,FIND("/",Sync!$L1794)+1,20))+1,20))),2),"")))</f>
        <v/>
      </c>
    </row>
    <row r="1795" spans="13:14" x14ac:dyDescent="0.2">
      <c r="M1795" t="str">
        <f>IF(Sync!$M1795&lt;&gt;"پاس چک","",IF(Sync!$P1795="","",Sync!$P1795))</f>
        <v/>
      </c>
      <c r="N1795" t="str">
        <f>IF($M1795="","",IF(ISNUMBER(Sync!$L1795),IF(AND(Sync!$L1795&gt;=10000101,Sync!$L1795&lt;=99991231),RIGHT("0000"&amp;INT(Sync!$L1795/10000),4)&amp;"/"&amp;RIGHT("00"&amp;INT(MOD(Sync!$L1795,10000)/100),2)&amp;"/"&amp;RIGHT("00"&amp;MOD(Sync!$L1795,100),2),""),IFERROR(RIGHT("0000"&amp;VALUE(TRIM(LEFT(Sync!$L1795,FIND("/",Sync!$L1795)-1))),4)&amp;"/"&amp;RIGHT("00"&amp;VALUE(TRIM(LEFT(MID(Sync!$L1795,FIND("/",Sync!$L1795)+1,20),FIND("/",MID(Sync!$L1795,FIND("/",Sync!$L1795)+1,20))-1))),2)&amp;"/"&amp;RIGHT("00"&amp;VALUE(TRIM(MID(MID(Sync!$L1795,FIND("/",Sync!$L1795)+1,20),FIND("/",MID(Sync!$L1795,FIND("/",Sync!$L1795)+1,20))+1,20))),2),"")))</f>
        <v/>
      </c>
    </row>
    <row r="1796" spans="13:14" x14ac:dyDescent="0.2">
      <c r="M1796" t="str">
        <f>IF(Sync!$M1796&lt;&gt;"پاس چک","",IF(Sync!$P1796="","",Sync!$P1796))</f>
        <v/>
      </c>
      <c r="N1796" t="str">
        <f>IF($M1796="","",IF(ISNUMBER(Sync!$L1796),IF(AND(Sync!$L1796&gt;=10000101,Sync!$L1796&lt;=99991231),RIGHT("0000"&amp;INT(Sync!$L1796/10000),4)&amp;"/"&amp;RIGHT("00"&amp;INT(MOD(Sync!$L1796,10000)/100),2)&amp;"/"&amp;RIGHT("00"&amp;MOD(Sync!$L1796,100),2),""),IFERROR(RIGHT("0000"&amp;VALUE(TRIM(LEFT(Sync!$L1796,FIND("/",Sync!$L1796)-1))),4)&amp;"/"&amp;RIGHT("00"&amp;VALUE(TRIM(LEFT(MID(Sync!$L1796,FIND("/",Sync!$L1796)+1,20),FIND("/",MID(Sync!$L1796,FIND("/",Sync!$L1796)+1,20))-1))),2)&amp;"/"&amp;RIGHT("00"&amp;VALUE(TRIM(MID(MID(Sync!$L1796,FIND("/",Sync!$L1796)+1,20),FIND("/",MID(Sync!$L1796,FIND("/",Sync!$L1796)+1,20))+1,20))),2),"")))</f>
        <v/>
      </c>
    </row>
    <row r="1797" spans="13:14" x14ac:dyDescent="0.2">
      <c r="M1797" t="str">
        <f>IF(Sync!$M1797&lt;&gt;"پاس چک","",IF(Sync!$P1797="","",Sync!$P1797))</f>
        <v/>
      </c>
      <c r="N1797" t="str">
        <f>IF($M1797="","",IF(ISNUMBER(Sync!$L1797),IF(AND(Sync!$L1797&gt;=10000101,Sync!$L1797&lt;=99991231),RIGHT("0000"&amp;INT(Sync!$L1797/10000),4)&amp;"/"&amp;RIGHT("00"&amp;INT(MOD(Sync!$L1797,10000)/100),2)&amp;"/"&amp;RIGHT("00"&amp;MOD(Sync!$L1797,100),2),""),IFERROR(RIGHT("0000"&amp;VALUE(TRIM(LEFT(Sync!$L1797,FIND("/",Sync!$L1797)-1))),4)&amp;"/"&amp;RIGHT("00"&amp;VALUE(TRIM(LEFT(MID(Sync!$L1797,FIND("/",Sync!$L1797)+1,20),FIND("/",MID(Sync!$L1797,FIND("/",Sync!$L1797)+1,20))-1))),2)&amp;"/"&amp;RIGHT("00"&amp;VALUE(TRIM(MID(MID(Sync!$L1797,FIND("/",Sync!$L1797)+1,20),FIND("/",MID(Sync!$L1797,FIND("/",Sync!$L1797)+1,20))+1,20))),2),"")))</f>
        <v/>
      </c>
    </row>
    <row r="1798" spans="13:14" x14ac:dyDescent="0.2">
      <c r="M1798" t="str">
        <f>IF(Sync!$M1798&lt;&gt;"پاس چک","",IF(Sync!$P1798="","",Sync!$P1798))</f>
        <v/>
      </c>
      <c r="N1798" t="str">
        <f>IF($M1798="","",IF(ISNUMBER(Sync!$L1798),IF(AND(Sync!$L1798&gt;=10000101,Sync!$L1798&lt;=99991231),RIGHT("0000"&amp;INT(Sync!$L1798/10000),4)&amp;"/"&amp;RIGHT("00"&amp;INT(MOD(Sync!$L1798,10000)/100),2)&amp;"/"&amp;RIGHT("00"&amp;MOD(Sync!$L1798,100),2),""),IFERROR(RIGHT("0000"&amp;VALUE(TRIM(LEFT(Sync!$L1798,FIND("/",Sync!$L1798)-1))),4)&amp;"/"&amp;RIGHT("00"&amp;VALUE(TRIM(LEFT(MID(Sync!$L1798,FIND("/",Sync!$L1798)+1,20),FIND("/",MID(Sync!$L1798,FIND("/",Sync!$L1798)+1,20))-1))),2)&amp;"/"&amp;RIGHT("00"&amp;VALUE(TRIM(MID(MID(Sync!$L1798,FIND("/",Sync!$L1798)+1,20),FIND("/",MID(Sync!$L1798,FIND("/",Sync!$L1798)+1,20))+1,20))),2),"")))</f>
        <v/>
      </c>
    </row>
    <row r="1799" spans="13:14" x14ac:dyDescent="0.2">
      <c r="M1799" t="str">
        <f>IF(Sync!$M1799&lt;&gt;"پاس چک","",IF(Sync!$P1799="","",Sync!$P1799))</f>
        <v/>
      </c>
      <c r="N1799" t="str">
        <f>IF($M1799="","",IF(ISNUMBER(Sync!$L1799),IF(AND(Sync!$L1799&gt;=10000101,Sync!$L1799&lt;=99991231),RIGHT("0000"&amp;INT(Sync!$L1799/10000),4)&amp;"/"&amp;RIGHT("00"&amp;INT(MOD(Sync!$L1799,10000)/100),2)&amp;"/"&amp;RIGHT("00"&amp;MOD(Sync!$L1799,100),2),""),IFERROR(RIGHT("0000"&amp;VALUE(TRIM(LEFT(Sync!$L1799,FIND("/",Sync!$L1799)-1))),4)&amp;"/"&amp;RIGHT("00"&amp;VALUE(TRIM(LEFT(MID(Sync!$L1799,FIND("/",Sync!$L1799)+1,20),FIND("/",MID(Sync!$L1799,FIND("/",Sync!$L1799)+1,20))-1))),2)&amp;"/"&amp;RIGHT("00"&amp;VALUE(TRIM(MID(MID(Sync!$L1799,FIND("/",Sync!$L1799)+1,20),FIND("/",MID(Sync!$L1799,FIND("/",Sync!$L1799)+1,20))+1,20))),2),"")))</f>
        <v/>
      </c>
    </row>
    <row r="1800" spans="13:14" x14ac:dyDescent="0.2">
      <c r="M1800" t="str">
        <f>IF(Sync!$M1800&lt;&gt;"پاس چک","",IF(Sync!$P1800="","",Sync!$P1800))</f>
        <v/>
      </c>
      <c r="N1800" t="str">
        <f>IF($M1800="","",IF(ISNUMBER(Sync!$L1800),IF(AND(Sync!$L1800&gt;=10000101,Sync!$L1800&lt;=99991231),RIGHT("0000"&amp;INT(Sync!$L1800/10000),4)&amp;"/"&amp;RIGHT("00"&amp;INT(MOD(Sync!$L1800,10000)/100),2)&amp;"/"&amp;RIGHT("00"&amp;MOD(Sync!$L1800,100),2),""),IFERROR(RIGHT("0000"&amp;VALUE(TRIM(LEFT(Sync!$L1800,FIND("/",Sync!$L1800)-1))),4)&amp;"/"&amp;RIGHT("00"&amp;VALUE(TRIM(LEFT(MID(Sync!$L1800,FIND("/",Sync!$L1800)+1,20),FIND("/",MID(Sync!$L1800,FIND("/",Sync!$L1800)+1,20))-1))),2)&amp;"/"&amp;RIGHT("00"&amp;VALUE(TRIM(MID(MID(Sync!$L1800,FIND("/",Sync!$L1800)+1,20),FIND("/",MID(Sync!$L1800,FIND("/",Sync!$L1800)+1,20))+1,20))),2),"")))</f>
        <v/>
      </c>
    </row>
    <row r="1801" spans="13:14" x14ac:dyDescent="0.2">
      <c r="M1801" t="str">
        <f>IF(Sync!$M1801&lt;&gt;"پاس چک","",IF(Sync!$P1801="","",Sync!$P1801))</f>
        <v/>
      </c>
      <c r="N1801" t="str">
        <f>IF($M1801="","",IF(ISNUMBER(Sync!$L1801),IF(AND(Sync!$L1801&gt;=10000101,Sync!$L1801&lt;=99991231),RIGHT("0000"&amp;INT(Sync!$L1801/10000),4)&amp;"/"&amp;RIGHT("00"&amp;INT(MOD(Sync!$L1801,10000)/100),2)&amp;"/"&amp;RIGHT("00"&amp;MOD(Sync!$L1801,100),2),""),IFERROR(RIGHT("0000"&amp;VALUE(TRIM(LEFT(Sync!$L1801,FIND("/",Sync!$L1801)-1))),4)&amp;"/"&amp;RIGHT("00"&amp;VALUE(TRIM(LEFT(MID(Sync!$L1801,FIND("/",Sync!$L1801)+1,20),FIND("/",MID(Sync!$L1801,FIND("/",Sync!$L1801)+1,20))-1))),2)&amp;"/"&amp;RIGHT("00"&amp;VALUE(TRIM(MID(MID(Sync!$L1801,FIND("/",Sync!$L1801)+1,20),FIND("/",MID(Sync!$L1801,FIND("/",Sync!$L1801)+1,20))+1,20))),2),"")))</f>
        <v/>
      </c>
    </row>
    <row r="1802" spans="13:14" x14ac:dyDescent="0.2">
      <c r="M1802" t="str">
        <f>IF(Sync!$M1802&lt;&gt;"پاس چک","",IF(Sync!$P1802="","",Sync!$P1802))</f>
        <v/>
      </c>
      <c r="N1802" t="str">
        <f>IF($M1802="","",IF(ISNUMBER(Sync!$L1802),IF(AND(Sync!$L1802&gt;=10000101,Sync!$L1802&lt;=99991231),RIGHT("0000"&amp;INT(Sync!$L1802/10000),4)&amp;"/"&amp;RIGHT("00"&amp;INT(MOD(Sync!$L1802,10000)/100),2)&amp;"/"&amp;RIGHT("00"&amp;MOD(Sync!$L1802,100),2),""),IFERROR(RIGHT("0000"&amp;VALUE(TRIM(LEFT(Sync!$L1802,FIND("/",Sync!$L1802)-1))),4)&amp;"/"&amp;RIGHT("00"&amp;VALUE(TRIM(LEFT(MID(Sync!$L1802,FIND("/",Sync!$L1802)+1,20),FIND("/",MID(Sync!$L1802,FIND("/",Sync!$L1802)+1,20))-1))),2)&amp;"/"&amp;RIGHT("00"&amp;VALUE(TRIM(MID(MID(Sync!$L1802,FIND("/",Sync!$L1802)+1,20),FIND("/",MID(Sync!$L1802,FIND("/",Sync!$L1802)+1,20))+1,20))),2),"")))</f>
        <v/>
      </c>
    </row>
    <row r="1803" spans="13:14" x14ac:dyDescent="0.2">
      <c r="M1803" t="str">
        <f>IF(Sync!$M1803&lt;&gt;"پاس چک","",IF(Sync!$P1803="","",Sync!$P1803))</f>
        <v/>
      </c>
      <c r="N1803" t="str">
        <f>IF($M1803="","",IF(ISNUMBER(Sync!$L1803),IF(AND(Sync!$L1803&gt;=10000101,Sync!$L1803&lt;=99991231),RIGHT("0000"&amp;INT(Sync!$L1803/10000),4)&amp;"/"&amp;RIGHT("00"&amp;INT(MOD(Sync!$L1803,10000)/100),2)&amp;"/"&amp;RIGHT("00"&amp;MOD(Sync!$L1803,100),2),""),IFERROR(RIGHT("0000"&amp;VALUE(TRIM(LEFT(Sync!$L1803,FIND("/",Sync!$L1803)-1))),4)&amp;"/"&amp;RIGHT("00"&amp;VALUE(TRIM(LEFT(MID(Sync!$L1803,FIND("/",Sync!$L1803)+1,20),FIND("/",MID(Sync!$L1803,FIND("/",Sync!$L1803)+1,20))-1))),2)&amp;"/"&amp;RIGHT("00"&amp;VALUE(TRIM(MID(MID(Sync!$L1803,FIND("/",Sync!$L1803)+1,20),FIND("/",MID(Sync!$L1803,FIND("/",Sync!$L1803)+1,20))+1,20))),2),"")))</f>
        <v/>
      </c>
    </row>
    <row r="1804" spans="13:14" x14ac:dyDescent="0.2">
      <c r="M1804" t="str">
        <f>IF(Sync!$M1804&lt;&gt;"پاس چک","",IF(Sync!$P1804="","",Sync!$P1804))</f>
        <v/>
      </c>
      <c r="N1804" t="str">
        <f>IF($M1804="","",IF(ISNUMBER(Sync!$L1804),IF(AND(Sync!$L1804&gt;=10000101,Sync!$L1804&lt;=99991231),RIGHT("0000"&amp;INT(Sync!$L1804/10000),4)&amp;"/"&amp;RIGHT("00"&amp;INT(MOD(Sync!$L1804,10000)/100),2)&amp;"/"&amp;RIGHT("00"&amp;MOD(Sync!$L1804,100),2),""),IFERROR(RIGHT("0000"&amp;VALUE(TRIM(LEFT(Sync!$L1804,FIND("/",Sync!$L1804)-1))),4)&amp;"/"&amp;RIGHT("00"&amp;VALUE(TRIM(LEFT(MID(Sync!$L1804,FIND("/",Sync!$L1804)+1,20),FIND("/",MID(Sync!$L1804,FIND("/",Sync!$L1804)+1,20))-1))),2)&amp;"/"&amp;RIGHT("00"&amp;VALUE(TRIM(MID(MID(Sync!$L1804,FIND("/",Sync!$L1804)+1,20),FIND("/",MID(Sync!$L1804,FIND("/",Sync!$L1804)+1,20))+1,20))),2),"")))</f>
        <v/>
      </c>
    </row>
    <row r="1805" spans="13:14" x14ac:dyDescent="0.2">
      <c r="M1805" t="str">
        <f>IF(Sync!$M1805&lt;&gt;"پاس چک","",IF(Sync!$P1805="","",Sync!$P1805))</f>
        <v/>
      </c>
      <c r="N1805" t="str">
        <f>IF($M1805="","",IF(ISNUMBER(Sync!$L1805),IF(AND(Sync!$L1805&gt;=10000101,Sync!$L1805&lt;=99991231),RIGHT("0000"&amp;INT(Sync!$L1805/10000),4)&amp;"/"&amp;RIGHT("00"&amp;INT(MOD(Sync!$L1805,10000)/100),2)&amp;"/"&amp;RIGHT("00"&amp;MOD(Sync!$L1805,100),2),""),IFERROR(RIGHT("0000"&amp;VALUE(TRIM(LEFT(Sync!$L1805,FIND("/",Sync!$L1805)-1))),4)&amp;"/"&amp;RIGHT("00"&amp;VALUE(TRIM(LEFT(MID(Sync!$L1805,FIND("/",Sync!$L1805)+1,20),FIND("/",MID(Sync!$L1805,FIND("/",Sync!$L1805)+1,20))-1))),2)&amp;"/"&amp;RIGHT("00"&amp;VALUE(TRIM(MID(MID(Sync!$L1805,FIND("/",Sync!$L1805)+1,20),FIND("/",MID(Sync!$L1805,FIND("/",Sync!$L1805)+1,20))+1,20))),2),"")))</f>
        <v/>
      </c>
    </row>
    <row r="1806" spans="13:14" x14ac:dyDescent="0.2">
      <c r="M1806" t="str">
        <f>IF(Sync!$M1806&lt;&gt;"پاس چک","",IF(Sync!$P1806="","",Sync!$P1806))</f>
        <v/>
      </c>
      <c r="N1806" t="str">
        <f>IF($M1806="","",IF(ISNUMBER(Sync!$L1806),IF(AND(Sync!$L1806&gt;=10000101,Sync!$L1806&lt;=99991231),RIGHT("0000"&amp;INT(Sync!$L1806/10000),4)&amp;"/"&amp;RIGHT("00"&amp;INT(MOD(Sync!$L1806,10000)/100),2)&amp;"/"&amp;RIGHT("00"&amp;MOD(Sync!$L1806,100),2),""),IFERROR(RIGHT("0000"&amp;VALUE(TRIM(LEFT(Sync!$L1806,FIND("/",Sync!$L1806)-1))),4)&amp;"/"&amp;RIGHT("00"&amp;VALUE(TRIM(LEFT(MID(Sync!$L1806,FIND("/",Sync!$L1806)+1,20),FIND("/",MID(Sync!$L1806,FIND("/",Sync!$L1806)+1,20))-1))),2)&amp;"/"&amp;RIGHT("00"&amp;VALUE(TRIM(MID(MID(Sync!$L1806,FIND("/",Sync!$L1806)+1,20),FIND("/",MID(Sync!$L1806,FIND("/",Sync!$L1806)+1,20))+1,20))),2),"")))</f>
        <v/>
      </c>
    </row>
    <row r="1807" spans="13:14" x14ac:dyDescent="0.2">
      <c r="M1807" t="str">
        <f>IF(Sync!$M1807&lt;&gt;"پاس چک","",IF(Sync!$P1807="","",Sync!$P1807))</f>
        <v/>
      </c>
      <c r="N1807" t="str">
        <f>IF($M1807="","",IF(ISNUMBER(Sync!$L1807),IF(AND(Sync!$L1807&gt;=10000101,Sync!$L1807&lt;=99991231),RIGHT("0000"&amp;INT(Sync!$L1807/10000),4)&amp;"/"&amp;RIGHT("00"&amp;INT(MOD(Sync!$L1807,10000)/100),2)&amp;"/"&amp;RIGHT("00"&amp;MOD(Sync!$L1807,100),2),""),IFERROR(RIGHT("0000"&amp;VALUE(TRIM(LEFT(Sync!$L1807,FIND("/",Sync!$L1807)-1))),4)&amp;"/"&amp;RIGHT("00"&amp;VALUE(TRIM(LEFT(MID(Sync!$L1807,FIND("/",Sync!$L1807)+1,20),FIND("/",MID(Sync!$L1807,FIND("/",Sync!$L1807)+1,20))-1))),2)&amp;"/"&amp;RIGHT("00"&amp;VALUE(TRIM(MID(MID(Sync!$L1807,FIND("/",Sync!$L1807)+1,20),FIND("/",MID(Sync!$L1807,FIND("/",Sync!$L1807)+1,20))+1,20))),2),"")))</f>
        <v/>
      </c>
    </row>
    <row r="1808" spans="13:14" x14ac:dyDescent="0.2">
      <c r="M1808" t="str">
        <f>IF(Sync!$M1808&lt;&gt;"پاس چک","",IF(Sync!$P1808="","",Sync!$P1808))</f>
        <v/>
      </c>
      <c r="N1808" t="str">
        <f>IF($M1808="","",IF(ISNUMBER(Sync!$L1808),IF(AND(Sync!$L1808&gt;=10000101,Sync!$L1808&lt;=99991231),RIGHT("0000"&amp;INT(Sync!$L1808/10000),4)&amp;"/"&amp;RIGHT("00"&amp;INT(MOD(Sync!$L1808,10000)/100),2)&amp;"/"&amp;RIGHT("00"&amp;MOD(Sync!$L1808,100),2),""),IFERROR(RIGHT("0000"&amp;VALUE(TRIM(LEFT(Sync!$L1808,FIND("/",Sync!$L1808)-1))),4)&amp;"/"&amp;RIGHT("00"&amp;VALUE(TRIM(LEFT(MID(Sync!$L1808,FIND("/",Sync!$L1808)+1,20),FIND("/",MID(Sync!$L1808,FIND("/",Sync!$L1808)+1,20))-1))),2)&amp;"/"&amp;RIGHT("00"&amp;VALUE(TRIM(MID(MID(Sync!$L1808,FIND("/",Sync!$L1808)+1,20),FIND("/",MID(Sync!$L1808,FIND("/",Sync!$L1808)+1,20))+1,20))),2),"")))</f>
        <v/>
      </c>
    </row>
    <row r="1809" spans="13:14" x14ac:dyDescent="0.2">
      <c r="M1809" t="str">
        <f>IF(Sync!$M1809&lt;&gt;"پاس چک","",IF(Sync!$P1809="","",Sync!$P1809))</f>
        <v/>
      </c>
      <c r="N1809" t="str">
        <f>IF($M1809="","",IF(ISNUMBER(Sync!$L1809),IF(AND(Sync!$L1809&gt;=10000101,Sync!$L1809&lt;=99991231),RIGHT("0000"&amp;INT(Sync!$L1809/10000),4)&amp;"/"&amp;RIGHT("00"&amp;INT(MOD(Sync!$L1809,10000)/100),2)&amp;"/"&amp;RIGHT("00"&amp;MOD(Sync!$L1809,100),2),""),IFERROR(RIGHT("0000"&amp;VALUE(TRIM(LEFT(Sync!$L1809,FIND("/",Sync!$L1809)-1))),4)&amp;"/"&amp;RIGHT("00"&amp;VALUE(TRIM(LEFT(MID(Sync!$L1809,FIND("/",Sync!$L1809)+1,20),FIND("/",MID(Sync!$L1809,FIND("/",Sync!$L1809)+1,20))-1))),2)&amp;"/"&amp;RIGHT("00"&amp;VALUE(TRIM(MID(MID(Sync!$L1809,FIND("/",Sync!$L1809)+1,20),FIND("/",MID(Sync!$L1809,FIND("/",Sync!$L1809)+1,20))+1,20))),2),"")))</f>
        <v/>
      </c>
    </row>
    <row r="1810" spans="13:14" x14ac:dyDescent="0.2">
      <c r="M1810" t="str">
        <f>IF(Sync!$M1810&lt;&gt;"پاس چک","",IF(Sync!$P1810="","",Sync!$P1810))</f>
        <v/>
      </c>
      <c r="N1810" t="str">
        <f>IF($M1810="","",IF(ISNUMBER(Sync!$L1810),IF(AND(Sync!$L1810&gt;=10000101,Sync!$L1810&lt;=99991231),RIGHT("0000"&amp;INT(Sync!$L1810/10000),4)&amp;"/"&amp;RIGHT("00"&amp;INT(MOD(Sync!$L1810,10000)/100),2)&amp;"/"&amp;RIGHT("00"&amp;MOD(Sync!$L1810,100),2),""),IFERROR(RIGHT("0000"&amp;VALUE(TRIM(LEFT(Sync!$L1810,FIND("/",Sync!$L1810)-1))),4)&amp;"/"&amp;RIGHT("00"&amp;VALUE(TRIM(LEFT(MID(Sync!$L1810,FIND("/",Sync!$L1810)+1,20),FIND("/",MID(Sync!$L1810,FIND("/",Sync!$L1810)+1,20))-1))),2)&amp;"/"&amp;RIGHT("00"&amp;VALUE(TRIM(MID(MID(Sync!$L1810,FIND("/",Sync!$L1810)+1,20),FIND("/",MID(Sync!$L1810,FIND("/",Sync!$L1810)+1,20))+1,20))),2),"")))</f>
        <v/>
      </c>
    </row>
    <row r="1811" spans="13:14" x14ac:dyDescent="0.2">
      <c r="M1811" t="str">
        <f>IF(Sync!$M1811&lt;&gt;"پاس چک","",IF(Sync!$P1811="","",Sync!$P1811))</f>
        <v/>
      </c>
      <c r="N1811" t="str">
        <f>IF($M1811="","",IF(ISNUMBER(Sync!$L1811),IF(AND(Sync!$L1811&gt;=10000101,Sync!$L1811&lt;=99991231),RIGHT("0000"&amp;INT(Sync!$L1811/10000),4)&amp;"/"&amp;RIGHT("00"&amp;INT(MOD(Sync!$L1811,10000)/100),2)&amp;"/"&amp;RIGHT("00"&amp;MOD(Sync!$L1811,100),2),""),IFERROR(RIGHT("0000"&amp;VALUE(TRIM(LEFT(Sync!$L1811,FIND("/",Sync!$L1811)-1))),4)&amp;"/"&amp;RIGHT("00"&amp;VALUE(TRIM(LEFT(MID(Sync!$L1811,FIND("/",Sync!$L1811)+1,20),FIND("/",MID(Sync!$L1811,FIND("/",Sync!$L1811)+1,20))-1))),2)&amp;"/"&amp;RIGHT("00"&amp;VALUE(TRIM(MID(MID(Sync!$L1811,FIND("/",Sync!$L1811)+1,20),FIND("/",MID(Sync!$L1811,FIND("/",Sync!$L1811)+1,20))+1,20))),2),"")))</f>
        <v/>
      </c>
    </row>
    <row r="1812" spans="13:14" x14ac:dyDescent="0.2">
      <c r="M1812" t="str">
        <f>IF(Sync!$M1812&lt;&gt;"پاس چک","",IF(Sync!$P1812="","",Sync!$P1812))</f>
        <v/>
      </c>
      <c r="N1812" t="str">
        <f>IF($M1812="","",IF(ISNUMBER(Sync!$L1812),IF(AND(Sync!$L1812&gt;=10000101,Sync!$L1812&lt;=99991231),RIGHT("0000"&amp;INT(Sync!$L1812/10000),4)&amp;"/"&amp;RIGHT("00"&amp;INT(MOD(Sync!$L1812,10000)/100),2)&amp;"/"&amp;RIGHT("00"&amp;MOD(Sync!$L1812,100),2),""),IFERROR(RIGHT("0000"&amp;VALUE(TRIM(LEFT(Sync!$L1812,FIND("/",Sync!$L1812)-1))),4)&amp;"/"&amp;RIGHT("00"&amp;VALUE(TRIM(LEFT(MID(Sync!$L1812,FIND("/",Sync!$L1812)+1,20),FIND("/",MID(Sync!$L1812,FIND("/",Sync!$L1812)+1,20))-1))),2)&amp;"/"&amp;RIGHT("00"&amp;VALUE(TRIM(MID(MID(Sync!$L1812,FIND("/",Sync!$L1812)+1,20),FIND("/",MID(Sync!$L1812,FIND("/",Sync!$L1812)+1,20))+1,20))),2),"")))</f>
        <v/>
      </c>
    </row>
    <row r="1813" spans="13:14" x14ac:dyDescent="0.2">
      <c r="M1813" t="str">
        <f>IF(Sync!$M1813&lt;&gt;"پاس چک","",IF(Sync!$P1813="","",Sync!$P1813))</f>
        <v/>
      </c>
      <c r="N1813" t="str">
        <f>IF($M1813="","",IF(ISNUMBER(Sync!$L1813),IF(AND(Sync!$L1813&gt;=10000101,Sync!$L1813&lt;=99991231),RIGHT("0000"&amp;INT(Sync!$L1813/10000),4)&amp;"/"&amp;RIGHT("00"&amp;INT(MOD(Sync!$L1813,10000)/100),2)&amp;"/"&amp;RIGHT("00"&amp;MOD(Sync!$L1813,100),2),""),IFERROR(RIGHT("0000"&amp;VALUE(TRIM(LEFT(Sync!$L1813,FIND("/",Sync!$L1813)-1))),4)&amp;"/"&amp;RIGHT("00"&amp;VALUE(TRIM(LEFT(MID(Sync!$L1813,FIND("/",Sync!$L1813)+1,20),FIND("/",MID(Sync!$L1813,FIND("/",Sync!$L1813)+1,20))-1))),2)&amp;"/"&amp;RIGHT("00"&amp;VALUE(TRIM(MID(MID(Sync!$L1813,FIND("/",Sync!$L1813)+1,20),FIND("/",MID(Sync!$L1813,FIND("/",Sync!$L1813)+1,20))+1,20))),2),"")))</f>
        <v/>
      </c>
    </row>
    <row r="1814" spans="13:14" x14ac:dyDescent="0.2">
      <c r="M1814" t="str">
        <f>IF(Sync!$M1814&lt;&gt;"پاس چک","",IF(Sync!$P1814="","",Sync!$P1814))</f>
        <v/>
      </c>
      <c r="N1814" t="str">
        <f>IF($M1814="","",IF(ISNUMBER(Sync!$L1814),IF(AND(Sync!$L1814&gt;=10000101,Sync!$L1814&lt;=99991231),RIGHT("0000"&amp;INT(Sync!$L1814/10000),4)&amp;"/"&amp;RIGHT("00"&amp;INT(MOD(Sync!$L1814,10000)/100),2)&amp;"/"&amp;RIGHT("00"&amp;MOD(Sync!$L1814,100),2),""),IFERROR(RIGHT("0000"&amp;VALUE(TRIM(LEFT(Sync!$L1814,FIND("/",Sync!$L1814)-1))),4)&amp;"/"&amp;RIGHT("00"&amp;VALUE(TRIM(LEFT(MID(Sync!$L1814,FIND("/",Sync!$L1814)+1,20),FIND("/",MID(Sync!$L1814,FIND("/",Sync!$L1814)+1,20))-1))),2)&amp;"/"&amp;RIGHT("00"&amp;VALUE(TRIM(MID(MID(Sync!$L1814,FIND("/",Sync!$L1814)+1,20),FIND("/",MID(Sync!$L1814,FIND("/",Sync!$L1814)+1,20))+1,20))),2),"")))</f>
        <v/>
      </c>
    </row>
    <row r="1815" spans="13:14" x14ac:dyDescent="0.2">
      <c r="M1815" t="str">
        <f>IF(Sync!$M1815&lt;&gt;"پاس چک","",IF(Sync!$P1815="","",Sync!$P1815))</f>
        <v/>
      </c>
      <c r="N1815" t="str">
        <f>IF($M1815="","",IF(ISNUMBER(Sync!$L1815),IF(AND(Sync!$L1815&gt;=10000101,Sync!$L1815&lt;=99991231),RIGHT("0000"&amp;INT(Sync!$L1815/10000),4)&amp;"/"&amp;RIGHT("00"&amp;INT(MOD(Sync!$L1815,10000)/100),2)&amp;"/"&amp;RIGHT("00"&amp;MOD(Sync!$L1815,100),2),""),IFERROR(RIGHT("0000"&amp;VALUE(TRIM(LEFT(Sync!$L1815,FIND("/",Sync!$L1815)-1))),4)&amp;"/"&amp;RIGHT("00"&amp;VALUE(TRIM(LEFT(MID(Sync!$L1815,FIND("/",Sync!$L1815)+1,20),FIND("/",MID(Sync!$L1815,FIND("/",Sync!$L1815)+1,20))-1))),2)&amp;"/"&amp;RIGHT("00"&amp;VALUE(TRIM(MID(MID(Sync!$L1815,FIND("/",Sync!$L1815)+1,20),FIND("/",MID(Sync!$L1815,FIND("/",Sync!$L1815)+1,20))+1,20))),2),"")))</f>
        <v/>
      </c>
    </row>
    <row r="1816" spans="13:14" x14ac:dyDescent="0.2">
      <c r="M1816" t="str">
        <f>IF(Sync!$M1816&lt;&gt;"پاس چک","",IF(Sync!$P1816="","",Sync!$P1816))</f>
        <v/>
      </c>
      <c r="N1816" t="str">
        <f>IF($M1816="","",IF(ISNUMBER(Sync!$L1816),IF(AND(Sync!$L1816&gt;=10000101,Sync!$L1816&lt;=99991231),RIGHT("0000"&amp;INT(Sync!$L1816/10000),4)&amp;"/"&amp;RIGHT("00"&amp;INT(MOD(Sync!$L1816,10000)/100),2)&amp;"/"&amp;RIGHT("00"&amp;MOD(Sync!$L1816,100),2),""),IFERROR(RIGHT("0000"&amp;VALUE(TRIM(LEFT(Sync!$L1816,FIND("/",Sync!$L1816)-1))),4)&amp;"/"&amp;RIGHT("00"&amp;VALUE(TRIM(LEFT(MID(Sync!$L1816,FIND("/",Sync!$L1816)+1,20),FIND("/",MID(Sync!$L1816,FIND("/",Sync!$L1816)+1,20))-1))),2)&amp;"/"&amp;RIGHT("00"&amp;VALUE(TRIM(MID(MID(Sync!$L1816,FIND("/",Sync!$L1816)+1,20),FIND("/",MID(Sync!$L1816,FIND("/",Sync!$L1816)+1,20))+1,20))),2),"")))</f>
        <v/>
      </c>
    </row>
    <row r="1817" spans="13:14" x14ac:dyDescent="0.2">
      <c r="M1817" t="str">
        <f>IF(Sync!$M1817&lt;&gt;"پاس چک","",IF(Sync!$P1817="","",Sync!$P1817))</f>
        <v/>
      </c>
      <c r="N1817" t="str">
        <f>IF($M1817="","",IF(ISNUMBER(Sync!$L1817),IF(AND(Sync!$L1817&gt;=10000101,Sync!$L1817&lt;=99991231),RIGHT("0000"&amp;INT(Sync!$L1817/10000),4)&amp;"/"&amp;RIGHT("00"&amp;INT(MOD(Sync!$L1817,10000)/100),2)&amp;"/"&amp;RIGHT("00"&amp;MOD(Sync!$L1817,100),2),""),IFERROR(RIGHT("0000"&amp;VALUE(TRIM(LEFT(Sync!$L1817,FIND("/",Sync!$L1817)-1))),4)&amp;"/"&amp;RIGHT("00"&amp;VALUE(TRIM(LEFT(MID(Sync!$L1817,FIND("/",Sync!$L1817)+1,20),FIND("/",MID(Sync!$L1817,FIND("/",Sync!$L1817)+1,20))-1))),2)&amp;"/"&amp;RIGHT("00"&amp;VALUE(TRIM(MID(MID(Sync!$L1817,FIND("/",Sync!$L1817)+1,20),FIND("/",MID(Sync!$L1817,FIND("/",Sync!$L1817)+1,20))+1,20))),2),"")))</f>
        <v/>
      </c>
    </row>
    <row r="1818" spans="13:14" x14ac:dyDescent="0.2">
      <c r="M1818" t="str">
        <f>IF(Sync!$M1818&lt;&gt;"پاس چک","",IF(Sync!$P1818="","",Sync!$P1818))</f>
        <v/>
      </c>
      <c r="N1818" t="str">
        <f>IF($M1818="","",IF(ISNUMBER(Sync!$L1818),IF(AND(Sync!$L1818&gt;=10000101,Sync!$L1818&lt;=99991231),RIGHT("0000"&amp;INT(Sync!$L1818/10000),4)&amp;"/"&amp;RIGHT("00"&amp;INT(MOD(Sync!$L1818,10000)/100),2)&amp;"/"&amp;RIGHT("00"&amp;MOD(Sync!$L1818,100),2),""),IFERROR(RIGHT("0000"&amp;VALUE(TRIM(LEFT(Sync!$L1818,FIND("/",Sync!$L1818)-1))),4)&amp;"/"&amp;RIGHT("00"&amp;VALUE(TRIM(LEFT(MID(Sync!$L1818,FIND("/",Sync!$L1818)+1,20),FIND("/",MID(Sync!$L1818,FIND("/",Sync!$L1818)+1,20))-1))),2)&amp;"/"&amp;RIGHT("00"&amp;VALUE(TRIM(MID(MID(Sync!$L1818,FIND("/",Sync!$L1818)+1,20),FIND("/",MID(Sync!$L1818,FIND("/",Sync!$L1818)+1,20))+1,20))),2),"")))</f>
        <v/>
      </c>
    </row>
    <row r="1819" spans="13:14" x14ac:dyDescent="0.2">
      <c r="M1819" t="str">
        <f>IF(Sync!$M1819&lt;&gt;"پاس چک","",IF(Sync!$P1819="","",Sync!$P1819))</f>
        <v/>
      </c>
      <c r="N1819" t="str">
        <f>IF($M1819="","",IF(ISNUMBER(Sync!$L1819),IF(AND(Sync!$L1819&gt;=10000101,Sync!$L1819&lt;=99991231),RIGHT("0000"&amp;INT(Sync!$L1819/10000),4)&amp;"/"&amp;RIGHT("00"&amp;INT(MOD(Sync!$L1819,10000)/100),2)&amp;"/"&amp;RIGHT("00"&amp;MOD(Sync!$L1819,100),2),""),IFERROR(RIGHT("0000"&amp;VALUE(TRIM(LEFT(Sync!$L1819,FIND("/",Sync!$L1819)-1))),4)&amp;"/"&amp;RIGHT("00"&amp;VALUE(TRIM(LEFT(MID(Sync!$L1819,FIND("/",Sync!$L1819)+1,20),FIND("/",MID(Sync!$L1819,FIND("/",Sync!$L1819)+1,20))-1))),2)&amp;"/"&amp;RIGHT("00"&amp;VALUE(TRIM(MID(MID(Sync!$L1819,FIND("/",Sync!$L1819)+1,20),FIND("/",MID(Sync!$L1819,FIND("/",Sync!$L1819)+1,20))+1,20))),2),"")))</f>
        <v/>
      </c>
    </row>
    <row r="1820" spans="13:14" x14ac:dyDescent="0.2">
      <c r="M1820" t="str">
        <f>IF(Sync!$M1820&lt;&gt;"پاس چک","",IF(Sync!$P1820="","",Sync!$P1820))</f>
        <v/>
      </c>
      <c r="N1820" t="str">
        <f>IF($M1820="","",IF(ISNUMBER(Sync!$L1820),IF(AND(Sync!$L1820&gt;=10000101,Sync!$L1820&lt;=99991231),RIGHT("0000"&amp;INT(Sync!$L1820/10000),4)&amp;"/"&amp;RIGHT("00"&amp;INT(MOD(Sync!$L1820,10000)/100),2)&amp;"/"&amp;RIGHT("00"&amp;MOD(Sync!$L1820,100),2),""),IFERROR(RIGHT("0000"&amp;VALUE(TRIM(LEFT(Sync!$L1820,FIND("/",Sync!$L1820)-1))),4)&amp;"/"&amp;RIGHT("00"&amp;VALUE(TRIM(LEFT(MID(Sync!$L1820,FIND("/",Sync!$L1820)+1,20),FIND("/",MID(Sync!$L1820,FIND("/",Sync!$L1820)+1,20))-1))),2)&amp;"/"&amp;RIGHT("00"&amp;VALUE(TRIM(MID(MID(Sync!$L1820,FIND("/",Sync!$L1820)+1,20),FIND("/",MID(Sync!$L1820,FIND("/",Sync!$L1820)+1,20))+1,20))),2),"")))</f>
        <v/>
      </c>
    </row>
    <row r="1821" spans="13:14" x14ac:dyDescent="0.2">
      <c r="M1821" t="str">
        <f>IF(Sync!$M1821&lt;&gt;"پاس چک","",IF(Sync!$P1821="","",Sync!$P1821))</f>
        <v/>
      </c>
      <c r="N1821" t="str">
        <f>IF($M1821="","",IF(ISNUMBER(Sync!$L1821),IF(AND(Sync!$L1821&gt;=10000101,Sync!$L1821&lt;=99991231),RIGHT("0000"&amp;INT(Sync!$L1821/10000),4)&amp;"/"&amp;RIGHT("00"&amp;INT(MOD(Sync!$L1821,10000)/100),2)&amp;"/"&amp;RIGHT("00"&amp;MOD(Sync!$L1821,100),2),""),IFERROR(RIGHT("0000"&amp;VALUE(TRIM(LEFT(Sync!$L1821,FIND("/",Sync!$L1821)-1))),4)&amp;"/"&amp;RIGHT("00"&amp;VALUE(TRIM(LEFT(MID(Sync!$L1821,FIND("/",Sync!$L1821)+1,20),FIND("/",MID(Sync!$L1821,FIND("/",Sync!$L1821)+1,20))-1))),2)&amp;"/"&amp;RIGHT("00"&amp;VALUE(TRIM(MID(MID(Sync!$L1821,FIND("/",Sync!$L1821)+1,20),FIND("/",MID(Sync!$L1821,FIND("/",Sync!$L1821)+1,20))+1,20))),2),"")))</f>
        <v/>
      </c>
    </row>
    <row r="1822" spans="13:14" x14ac:dyDescent="0.2">
      <c r="M1822" t="str">
        <f>IF(Sync!$M1822&lt;&gt;"پاس چک","",IF(Sync!$P1822="","",Sync!$P1822))</f>
        <v/>
      </c>
      <c r="N1822" t="str">
        <f>IF($M1822="","",IF(ISNUMBER(Sync!$L1822),IF(AND(Sync!$L1822&gt;=10000101,Sync!$L1822&lt;=99991231),RIGHT("0000"&amp;INT(Sync!$L1822/10000),4)&amp;"/"&amp;RIGHT("00"&amp;INT(MOD(Sync!$L1822,10000)/100),2)&amp;"/"&amp;RIGHT("00"&amp;MOD(Sync!$L1822,100),2),""),IFERROR(RIGHT("0000"&amp;VALUE(TRIM(LEFT(Sync!$L1822,FIND("/",Sync!$L1822)-1))),4)&amp;"/"&amp;RIGHT("00"&amp;VALUE(TRIM(LEFT(MID(Sync!$L1822,FIND("/",Sync!$L1822)+1,20),FIND("/",MID(Sync!$L1822,FIND("/",Sync!$L1822)+1,20))-1))),2)&amp;"/"&amp;RIGHT("00"&amp;VALUE(TRIM(MID(MID(Sync!$L1822,FIND("/",Sync!$L1822)+1,20),FIND("/",MID(Sync!$L1822,FIND("/",Sync!$L1822)+1,20))+1,20))),2),"")))</f>
        <v/>
      </c>
    </row>
    <row r="1823" spans="13:14" x14ac:dyDescent="0.2">
      <c r="M1823" t="str">
        <f>IF(Sync!$M1823&lt;&gt;"پاس چک","",IF(Sync!$P1823="","",Sync!$P1823))</f>
        <v/>
      </c>
      <c r="N1823" t="str">
        <f>IF($M1823="","",IF(ISNUMBER(Sync!$L1823),IF(AND(Sync!$L1823&gt;=10000101,Sync!$L1823&lt;=99991231),RIGHT("0000"&amp;INT(Sync!$L1823/10000),4)&amp;"/"&amp;RIGHT("00"&amp;INT(MOD(Sync!$L1823,10000)/100),2)&amp;"/"&amp;RIGHT("00"&amp;MOD(Sync!$L1823,100),2),""),IFERROR(RIGHT("0000"&amp;VALUE(TRIM(LEFT(Sync!$L1823,FIND("/",Sync!$L1823)-1))),4)&amp;"/"&amp;RIGHT("00"&amp;VALUE(TRIM(LEFT(MID(Sync!$L1823,FIND("/",Sync!$L1823)+1,20),FIND("/",MID(Sync!$L1823,FIND("/",Sync!$L1823)+1,20))-1))),2)&amp;"/"&amp;RIGHT("00"&amp;VALUE(TRIM(MID(MID(Sync!$L1823,FIND("/",Sync!$L1823)+1,20),FIND("/",MID(Sync!$L1823,FIND("/",Sync!$L1823)+1,20))+1,20))),2),"")))</f>
        <v/>
      </c>
    </row>
    <row r="1824" spans="13:14" x14ac:dyDescent="0.2">
      <c r="M1824" t="str">
        <f>IF(Sync!$M1824&lt;&gt;"پاس چک","",IF(Sync!$P1824="","",Sync!$P1824))</f>
        <v/>
      </c>
      <c r="N1824" t="str">
        <f>IF($M1824="","",IF(ISNUMBER(Sync!$L1824),IF(AND(Sync!$L1824&gt;=10000101,Sync!$L1824&lt;=99991231),RIGHT("0000"&amp;INT(Sync!$L1824/10000),4)&amp;"/"&amp;RIGHT("00"&amp;INT(MOD(Sync!$L1824,10000)/100),2)&amp;"/"&amp;RIGHT("00"&amp;MOD(Sync!$L1824,100),2),""),IFERROR(RIGHT("0000"&amp;VALUE(TRIM(LEFT(Sync!$L1824,FIND("/",Sync!$L1824)-1))),4)&amp;"/"&amp;RIGHT("00"&amp;VALUE(TRIM(LEFT(MID(Sync!$L1824,FIND("/",Sync!$L1824)+1,20),FIND("/",MID(Sync!$L1824,FIND("/",Sync!$L1824)+1,20))-1))),2)&amp;"/"&amp;RIGHT("00"&amp;VALUE(TRIM(MID(MID(Sync!$L1824,FIND("/",Sync!$L1824)+1,20),FIND("/",MID(Sync!$L1824,FIND("/",Sync!$L1824)+1,20))+1,20))),2),"")))</f>
        <v/>
      </c>
    </row>
    <row r="1825" spans="13:14" x14ac:dyDescent="0.2">
      <c r="M1825" t="str">
        <f>IF(Sync!$M1825&lt;&gt;"پاس چک","",IF(Sync!$P1825="","",Sync!$P1825))</f>
        <v/>
      </c>
      <c r="N1825" t="str">
        <f>IF($M1825="","",IF(ISNUMBER(Sync!$L1825),IF(AND(Sync!$L1825&gt;=10000101,Sync!$L1825&lt;=99991231),RIGHT("0000"&amp;INT(Sync!$L1825/10000),4)&amp;"/"&amp;RIGHT("00"&amp;INT(MOD(Sync!$L1825,10000)/100),2)&amp;"/"&amp;RIGHT("00"&amp;MOD(Sync!$L1825,100),2),""),IFERROR(RIGHT("0000"&amp;VALUE(TRIM(LEFT(Sync!$L1825,FIND("/",Sync!$L1825)-1))),4)&amp;"/"&amp;RIGHT("00"&amp;VALUE(TRIM(LEFT(MID(Sync!$L1825,FIND("/",Sync!$L1825)+1,20),FIND("/",MID(Sync!$L1825,FIND("/",Sync!$L1825)+1,20))-1))),2)&amp;"/"&amp;RIGHT("00"&amp;VALUE(TRIM(MID(MID(Sync!$L1825,FIND("/",Sync!$L1825)+1,20),FIND("/",MID(Sync!$L1825,FIND("/",Sync!$L1825)+1,20))+1,20))),2),"")))</f>
        <v/>
      </c>
    </row>
    <row r="1826" spans="13:14" x14ac:dyDescent="0.2">
      <c r="M1826" t="str">
        <f>IF(Sync!$M1826&lt;&gt;"پاس چک","",IF(Sync!$P1826="","",Sync!$P1826))</f>
        <v/>
      </c>
      <c r="N1826" t="str">
        <f>IF($M1826="","",IF(ISNUMBER(Sync!$L1826),IF(AND(Sync!$L1826&gt;=10000101,Sync!$L1826&lt;=99991231),RIGHT("0000"&amp;INT(Sync!$L1826/10000),4)&amp;"/"&amp;RIGHT("00"&amp;INT(MOD(Sync!$L1826,10000)/100),2)&amp;"/"&amp;RIGHT("00"&amp;MOD(Sync!$L1826,100),2),""),IFERROR(RIGHT("0000"&amp;VALUE(TRIM(LEFT(Sync!$L1826,FIND("/",Sync!$L1826)-1))),4)&amp;"/"&amp;RIGHT("00"&amp;VALUE(TRIM(LEFT(MID(Sync!$L1826,FIND("/",Sync!$L1826)+1,20),FIND("/",MID(Sync!$L1826,FIND("/",Sync!$L1826)+1,20))-1))),2)&amp;"/"&amp;RIGHT("00"&amp;VALUE(TRIM(MID(MID(Sync!$L1826,FIND("/",Sync!$L1826)+1,20),FIND("/",MID(Sync!$L1826,FIND("/",Sync!$L1826)+1,20))+1,20))),2),"")))</f>
        <v/>
      </c>
    </row>
    <row r="1827" spans="13:14" x14ac:dyDescent="0.2">
      <c r="M1827" t="str">
        <f>IF(Sync!$M1827&lt;&gt;"پاس چک","",IF(Sync!$P1827="","",Sync!$P1827))</f>
        <v/>
      </c>
      <c r="N1827" t="str">
        <f>IF($M1827="","",IF(ISNUMBER(Sync!$L1827),IF(AND(Sync!$L1827&gt;=10000101,Sync!$L1827&lt;=99991231),RIGHT("0000"&amp;INT(Sync!$L1827/10000),4)&amp;"/"&amp;RIGHT("00"&amp;INT(MOD(Sync!$L1827,10000)/100),2)&amp;"/"&amp;RIGHT("00"&amp;MOD(Sync!$L1827,100),2),""),IFERROR(RIGHT("0000"&amp;VALUE(TRIM(LEFT(Sync!$L1827,FIND("/",Sync!$L1827)-1))),4)&amp;"/"&amp;RIGHT("00"&amp;VALUE(TRIM(LEFT(MID(Sync!$L1827,FIND("/",Sync!$L1827)+1,20),FIND("/",MID(Sync!$L1827,FIND("/",Sync!$L1827)+1,20))-1))),2)&amp;"/"&amp;RIGHT("00"&amp;VALUE(TRIM(MID(MID(Sync!$L1827,FIND("/",Sync!$L1827)+1,20),FIND("/",MID(Sync!$L1827,FIND("/",Sync!$L1827)+1,20))+1,20))),2),"")))</f>
        <v/>
      </c>
    </row>
    <row r="1828" spans="13:14" x14ac:dyDescent="0.2">
      <c r="M1828" t="str">
        <f>IF(Sync!$M1828&lt;&gt;"پاس چک","",IF(Sync!$P1828="","",Sync!$P1828))</f>
        <v/>
      </c>
      <c r="N1828" t="str">
        <f>IF($M1828="","",IF(ISNUMBER(Sync!$L1828),IF(AND(Sync!$L1828&gt;=10000101,Sync!$L1828&lt;=99991231),RIGHT("0000"&amp;INT(Sync!$L1828/10000),4)&amp;"/"&amp;RIGHT("00"&amp;INT(MOD(Sync!$L1828,10000)/100),2)&amp;"/"&amp;RIGHT("00"&amp;MOD(Sync!$L1828,100),2),""),IFERROR(RIGHT("0000"&amp;VALUE(TRIM(LEFT(Sync!$L1828,FIND("/",Sync!$L1828)-1))),4)&amp;"/"&amp;RIGHT("00"&amp;VALUE(TRIM(LEFT(MID(Sync!$L1828,FIND("/",Sync!$L1828)+1,20),FIND("/",MID(Sync!$L1828,FIND("/",Sync!$L1828)+1,20))-1))),2)&amp;"/"&amp;RIGHT("00"&amp;VALUE(TRIM(MID(MID(Sync!$L1828,FIND("/",Sync!$L1828)+1,20),FIND("/",MID(Sync!$L1828,FIND("/",Sync!$L1828)+1,20))+1,20))),2),"")))</f>
        <v/>
      </c>
    </row>
    <row r="1829" spans="13:14" x14ac:dyDescent="0.2">
      <c r="M1829" t="str">
        <f>IF(Sync!$M1829&lt;&gt;"پاس چک","",IF(Sync!$P1829="","",Sync!$P1829))</f>
        <v/>
      </c>
      <c r="N1829" t="str">
        <f>IF($M1829="","",IF(ISNUMBER(Sync!$L1829),IF(AND(Sync!$L1829&gt;=10000101,Sync!$L1829&lt;=99991231),RIGHT("0000"&amp;INT(Sync!$L1829/10000),4)&amp;"/"&amp;RIGHT("00"&amp;INT(MOD(Sync!$L1829,10000)/100),2)&amp;"/"&amp;RIGHT("00"&amp;MOD(Sync!$L1829,100),2),""),IFERROR(RIGHT("0000"&amp;VALUE(TRIM(LEFT(Sync!$L1829,FIND("/",Sync!$L1829)-1))),4)&amp;"/"&amp;RIGHT("00"&amp;VALUE(TRIM(LEFT(MID(Sync!$L1829,FIND("/",Sync!$L1829)+1,20),FIND("/",MID(Sync!$L1829,FIND("/",Sync!$L1829)+1,20))-1))),2)&amp;"/"&amp;RIGHT("00"&amp;VALUE(TRIM(MID(MID(Sync!$L1829,FIND("/",Sync!$L1829)+1,20),FIND("/",MID(Sync!$L1829,FIND("/",Sync!$L1829)+1,20))+1,20))),2),"")))</f>
        <v/>
      </c>
    </row>
    <row r="1830" spans="13:14" x14ac:dyDescent="0.2">
      <c r="M1830" t="str">
        <f>IF(Sync!$M1830&lt;&gt;"پاس چک","",IF(Sync!$P1830="","",Sync!$P1830))</f>
        <v/>
      </c>
      <c r="N1830" t="str">
        <f>IF($M1830="","",IF(ISNUMBER(Sync!$L1830),IF(AND(Sync!$L1830&gt;=10000101,Sync!$L1830&lt;=99991231),RIGHT("0000"&amp;INT(Sync!$L1830/10000),4)&amp;"/"&amp;RIGHT("00"&amp;INT(MOD(Sync!$L1830,10000)/100),2)&amp;"/"&amp;RIGHT("00"&amp;MOD(Sync!$L1830,100),2),""),IFERROR(RIGHT("0000"&amp;VALUE(TRIM(LEFT(Sync!$L1830,FIND("/",Sync!$L1830)-1))),4)&amp;"/"&amp;RIGHT("00"&amp;VALUE(TRIM(LEFT(MID(Sync!$L1830,FIND("/",Sync!$L1830)+1,20),FIND("/",MID(Sync!$L1830,FIND("/",Sync!$L1830)+1,20))-1))),2)&amp;"/"&amp;RIGHT("00"&amp;VALUE(TRIM(MID(MID(Sync!$L1830,FIND("/",Sync!$L1830)+1,20),FIND("/",MID(Sync!$L1830,FIND("/",Sync!$L1830)+1,20))+1,20))),2),"")))</f>
        <v/>
      </c>
    </row>
    <row r="1831" spans="13:14" x14ac:dyDescent="0.2">
      <c r="M1831" t="str">
        <f>IF(Sync!$M1831&lt;&gt;"پاس چک","",IF(Sync!$P1831="","",Sync!$P1831))</f>
        <v/>
      </c>
      <c r="N1831" t="str">
        <f>IF($M1831="","",IF(ISNUMBER(Sync!$L1831),IF(AND(Sync!$L1831&gt;=10000101,Sync!$L1831&lt;=99991231),RIGHT("0000"&amp;INT(Sync!$L1831/10000),4)&amp;"/"&amp;RIGHT("00"&amp;INT(MOD(Sync!$L1831,10000)/100),2)&amp;"/"&amp;RIGHT("00"&amp;MOD(Sync!$L1831,100),2),""),IFERROR(RIGHT("0000"&amp;VALUE(TRIM(LEFT(Sync!$L1831,FIND("/",Sync!$L1831)-1))),4)&amp;"/"&amp;RIGHT("00"&amp;VALUE(TRIM(LEFT(MID(Sync!$L1831,FIND("/",Sync!$L1831)+1,20),FIND("/",MID(Sync!$L1831,FIND("/",Sync!$L1831)+1,20))-1))),2)&amp;"/"&amp;RIGHT("00"&amp;VALUE(TRIM(MID(MID(Sync!$L1831,FIND("/",Sync!$L1831)+1,20),FIND("/",MID(Sync!$L1831,FIND("/",Sync!$L1831)+1,20))+1,20))),2),"")))</f>
        <v/>
      </c>
    </row>
    <row r="1832" spans="13:14" x14ac:dyDescent="0.2">
      <c r="M1832" t="str">
        <f>IF(Sync!$M1832&lt;&gt;"پاس چک","",IF(Sync!$P1832="","",Sync!$P1832))</f>
        <v/>
      </c>
      <c r="N1832" t="str">
        <f>IF($M1832="","",IF(ISNUMBER(Sync!$L1832),IF(AND(Sync!$L1832&gt;=10000101,Sync!$L1832&lt;=99991231),RIGHT("0000"&amp;INT(Sync!$L1832/10000),4)&amp;"/"&amp;RIGHT("00"&amp;INT(MOD(Sync!$L1832,10000)/100),2)&amp;"/"&amp;RIGHT("00"&amp;MOD(Sync!$L1832,100),2),""),IFERROR(RIGHT("0000"&amp;VALUE(TRIM(LEFT(Sync!$L1832,FIND("/",Sync!$L1832)-1))),4)&amp;"/"&amp;RIGHT("00"&amp;VALUE(TRIM(LEFT(MID(Sync!$L1832,FIND("/",Sync!$L1832)+1,20),FIND("/",MID(Sync!$L1832,FIND("/",Sync!$L1832)+1,20))-1))),2)&amp;"/"&amp;RIGHT("00"&amp;VALUE(TRIM(MID(MID(Sync!$L1832,FIND("/",Sync!$L1832)+1,20),FIND("/",MID(Sync!$L1832,FIND("/",Sync!$L1832)+1,20))+1,20))),2),"")))</f>
        <v/>
      </c>
    </row>
    <row r="1833" spans="13:14" x14ac:dyDescent="0.2">
      <c r="M1833" t="str">
        <f>IF(Sync!$M1833&lt;&gt;"پاس چک","",IF(Sync!$P1833="","",Sync!$P1833))</f>
        <v/>
      </c>
      <c r="N1833" t="str">
        <f>IF($M1833="","",IF(ISNUMBER(Sync!$L1833),IF(AND(Sync!$L1833&gt;=10000101,Sync!$L1833&lt;=99991231),RIGHT("0000"&amp;INT(Sync!$L1833/10000),4)&amp;"/"&amp;RIGHT("00"&amp;INT(MOD(Sync!$L1833,10000)/100),2)&amp;"/"&amp;RIGHT("00"&amp;MOD(Sync!$L1833,100),2),""),IFERROR(RIGHT("0000"&amp;VALUE(TRIM(LEFT(Sync!$L1833,FIND("/",Sync!$L1833)-1))),4)&amp;"/"&amp;RIGHT("00"&amp;VALUE(TRIM(LEFT(MID(Sync!$L1833,FIND("/",Sync!$L1833)+1,20),FIND("/",MID(Sync!$L1833,FIND("/",Sync!$L1833)+1,20))-1))),2)&amp;"/"&amp;RIGHT("00"&amp;VALUE(TRIM(MID(MID(Sync!$L1833,FIND("/",Sync!$L1833)+1,20),FIND("/",MID(Sync!$L1833,FIND("/",Sync!$L1833)+1,20))+1,20))),2),"")))</f>
        <v/>
      </c>
    </row>
    <row r="1834" spans="13:14" x14ac:dyDescent="0.2">
      <c r="M1834" t="str">
        <f>IF(Sync!$M1834&lt;&gt;"پاس چک","",IF(Sync!$P1834="","",Sync!$P1834))</f>
        <v/>
      </c>
      <c r="N1834" t="str">
        <f>IF($M1834="","",IF(ISNUMBER(Sync!$L1834),IF(AND(Sync!$L1834&gt;=10000101,Sync!$L1834&lt;=99991231),RIGHT("0000"&amp;INT(Sync!$L1834/10000),4)&amp;"/"&amp;RIGHT("00"&amp;INT(MOD(Sync!$L1834,10000)/100),2)&amp;"/"&amp;RIGHT("00"&amp;MOD(Sync!$L1834,100),2),""),IFERROR(RIGHT("0000"&amp;VALUE(TRIM(LEFT(Sync!$L1834,FIND("/",Sync!$L1834)-1))),4)&amp;"/"&amp;RIGHT("00"&amp;VALUE(TRIM(LEFT(MID(Sync!$L1834,FIND("/",Sync!$L1834)+1,20),FIND("/",MID(Sync!$L1834,FIND("/",Sync!$L1834)+1,20))-1))),2)&amp;"/"&amp;RIGHT("00"&amp;VALUE(TRIM(MID(MID(Sync!$L1834,FIND("/",Sync!$L1834)+1,20),FIND("/",MID(Sync!$L1834,FIND("/",Sync!$L1834)+1,20))+1,20))),2),"")))</f>
        <v/>
      </c>
    </row>
    <row r="1835" spans="13:14" x14ac:dyDescent="0.2">
      <c r="M1835" t="str">
        <f>IF(Sync!$M1835&lt;&gt;"پاس چک","",IF(Sync!$P1835="","",Sync!$P1835))</f>
        <v/>
      </c>
      <c r="N1835" t="str">
        <f>IF($M1835="","",IF(ISNUMBER(Sync!$L1835),IF(AND(Sync!$L1835&gt;=10000101,Sync!$L1835&lt;=99991231),RIGHT("0000"&amp;INT(Sync!$L1835/10000),4)&amp;"/"&amp;RIGHT("00"&amp;INT(MOD(Sync!$L1835,10000)/100),2)&amp;"/"&amp;RIGHT("00"&amp;MOD(Sync!$L1835,100),2),""),IFERROR(RIGHT("0000"&amp;VALUE(TRIM(LEFT(Sync!$L1835,FIND("/",Sync!$L1835)-1))),4)&amp;"/"&amp;RIGHT("00"&amp;VALUE(TRIM(LEFT(MID(Sync!$L1835,FIND("/",Sync!$L1835)+1,20),FIND("/",MID(Sync!$L1835,FIND("/",Sync!$L1835)+1,20))-1))),2)&amp;"/"&amp;RIGHT("00"&amp;VALUE(TRIM(MID(MID(Sync!$L1835,FIND("/",Sync!$L1835)+1,20),FIND("/",MID(Sync!$L1835,FIND("/",Sync!$L1835)+1,20))+1,20))),2),"")))</f>
        <v/>
      </c>
    </row>
    <row r="1836" spans="13:14" x14ac:dyDescent="0.2">
      <c r="M1836" t="str">
        <f>IF(Sync!$M1836&lt;&gt;"پاس چک","",IF(Sync!$P1836="","",Sync!$P1836))</f>
        <v/>
      </c>
      <c r="N1836" t="str">
        <f>IF($M1836="","",IF(ISNUMBER(Sync!$L1836),IF(AND(Sync!$L1836&gt;=10000101,Sync!$L1836&lt;=99991231),RIGHT("0000"&amp;INT(Sync!$L1836/10000),4)&amp;"/"&amp;RIGHT("00"&amp;INT(MOD(Sync!$L1836,10000)/100),2)&amp;"/"&amp;RIGHT("00"&amp;MOD(Sync!$L1836,100),2),""),IFERROR(RIGHT("0000"&amp;VALUE(TRIM(LEFT(Sync!$L1836,FIND("/",Sync!$L1836)-1))),4)&amp;"/"&amp;RIGHT("00"&amp;VALUE(TRIM(LEFT(MID(Sync!$L1836,FIND("/",Sync!$L1836)+1,20),FIND("/",MID(Sync!$L1836,FIND("/",Sync!$L1836)+1,20))-1))),2)&amp;"/"&amp;RIGHT("00"&amp;VALUE(TRIM(MID(MID(Sync!$L1836,FIND("/",Sync!$L1836)+1,20),FIND("/",MID(Sync!$L1836,FIND("/",Sync!$L1836)+1,20))+1,20))),2),"")))</f>
        <v/>
      </c>
    </row>
    <row r="1837" spans="13:14" x14ac:dyDescent="0.2">
      <c r="M1837" t="str">
        <f>IF(Sync!$M1837&lt;&gt;"پاس چک","",IF(Sync!$P1837="","",Sync!$P1837))</f>
        <v/>
      </c>
      <c r="N1837" t="str">
        <f>IF($M1837="","",IF(ISNUMBER(Sync!$L1837),IF(AND(Sync!$L1837&gt;=10000101,Sync!$L1837&lt;=99991231),RIGHT("0000"&amp;INT(Sync!$L1837/10000),4)&amp;"/"&amp;RIGHT("00"&amp;INT(MOD(Sync!$L1837,10000)/100),2)&amp;"/"&amp;RIGHT("00"&amp;MOD(Sync!$L1837,100),2),""),IFERROR(RIGHT("0000"&amp;VALUE(TRIM(LEFT(Sync!$L1837,FIND("/",Sync!$L1837)-1))),4)&amp;"/"&amp;RIGHT("00"&amp;VALUE(TRIM(LEFT(MID(Sync!$L1837,FIND("/",Sync!$L1837)+1,20),FIND("/",MID(Sync!$L1837,FIND("/",Sync!$L1837)+1,20))-1))),2)&amp;"/"&amp;RIGHT("00"&amp;VALUE(TRIM(MID(MID(Sync!$L1837,FIND("/",Sync!$L1837)+1,20),FIND("/",MID(Sync!$L1837,FIND("/",Sync!$L1837)+1,20))+1,20))),2),"")))</f>
        <v/>
      </c>
    </row>
    <row r="1838" spans="13:14" x14ac:dyDescent="0.2">
      <c r="M1838" t="str">
        <f>IF(Sync!$M1838&lt;&gt;"پاس چک","",IF(Sync!$P1838="","",Sync!$P1838))</f>
        <v/>
      </c>
      <c r="N1838" t="str">
        <f>IF($M1838="","",IF(ISNUMBER(Sync!$L1838),IF(AND(Sync!$L1838&gt;=10000101,Sync!$L1838&lt;=99991231),RIGHT("0000"&amp;INT(Sync!$L1838/10000),4)&amp;"/"&amp;RIGHT("00"&amp;INT(MOD(Sync!$L1838,10000)/100),2)&amp;"/"&amp;RIGHT("00"&amp;MOD(Sync!$L1838,100),2),""),IFERROR(RIGHT("0000"&amp;VALUE(TRIM(LEFT(Sync!$L1838,FIND("/",Sync!$L1838)-1))),4)&amp;"/"&amp;RIGHT("00"&amp;VALUE(TRIM(LEFT(MID(Sync!$L1838,FIND("/",Sync!$L1838)+1,20),FIND("/",MID(Sync!$L1838,FIND("/",Sync!$L1838)+1,20))-1))),2)&amp;"/"&amp;RIGHT("00"&amp;VALUE(TRIM(MID(MID(Sync!$L1838,FIND("/",Sync!$L1838)+1,20),FIND("/",MID(Sync!$L1838,FIND("/",Sync!$L1838)+1,20))+1,20))),2),"")))</f>
        <v/>
      </c>
    </row>
    <row r="1839" spans="13:14" x14ac:dyDescent="0.2">
      <c r="M1839" t="str">
        <f>IF(Sync!$M1839&lt;&gt;"پاس چک","",IF(Sync!$P1839="","",Sync!$P1839))</f>
        <v/>
      </c>
      <c r="N1839" t="str">
        <f>IF($M1839="","",IF(ISNUMBER(Sync!$L1839),IF(AND(Sync!$L1839&gt;=10000101,Sync!$L1839&lt;=99991231),RIGHT("0000"&amp;INT(Sync!$L1839/10000),4)&amp;"/"&amp;RIGHT("00"&amp;INT(MOD(Sync!$L1839,10000)/100),2)&amp;"/"&amp;RIGHT("00"&amp;MOD(Sync!$L1839,100),2),""),IFERROR(RIGHT("0000"&amp;VALUE(TRIM(LEFT(Sync!$L1839,FIND("/",Sync!$L1839)-1))),4)&amp;"/"&amp;RIGHT("00"&amp;VALUE(TRIM(LEFT(MID(Sync!$L1839,FIND("/",Sync!$L1839)+1,20),FIND("/",MID(Sync!$L1839,FIND("/",Sync!$L1839)+1,20))-1))),2)&amp;"/"&amp;RIGHT("00"&amp;VALUE(TRIM(MID(MID(Sync!$L1839,FIND("/",Sync!$L1839)+1,20),FIND("/",MID(Sync!$L1839,FIND("/",Sync!$L1839)+1,20))+1,20))),2),"")))</f>
        <v/>
      </c>
    </row>
    <row r="1840" spans="13:14" x14ac:dyDescent="0.2">
      <c r="M1840" t="str">
        <f>IF(Sync!$M1840&lt;&gt;"پاس چک","",IF(Sync!$P1840="","",Sync!$P1840))</f>
        <v/>
      </c>
      <c r="N1840" t="str">
        <f>IF($M1840="","",IF(ISNUMBER(Sync!$L1840),IF(AND(Sync!$L1840&gt;=10000101,Sync!$L1840&lt;=99991231),RIGHT("0000"&amp;INT(Sync!$L1840/10000),4)&amp;"/"&amp;RIGHT("00"&amp;INT(MOD(Sync!$L1840,10000)/100),2)&amp;"/"&amp;RIGHT("00"&amp;MOD(Sync!$L1840,100),2),""),IFERROR(RIGHT("0000"&amp;VALUE(TRIM(LEFT(Sync!$L1840,FIND("/",Sync!$L1840)-1))),4)&amp;"/"&amp;RIGHT("00"&amp;VALUE(TRIM(LEFT(MID(Sync!$L1840,FIND("/",Sync!$L1840)+1,20),FIND("/",MID(Sync!$L1840,FIND("/",Sync!$L1840)+1,20))-1))),2)&amp;"/"&amp;RIGHT("00"&amp;VALUE(TRIM(MID(MID(Sync!$L1840,FIND("/",Sync!$L1840)+1,20),FIND("/",MID(Sync!$L1840,FIND("/",Sync!$L1840)+1,20))+1,20))),2),"")))</f>
        <v/>
      </c>
    </row>
    <row r="1841" spans="13:14" x14ac:dyDescent="0.2">
      <c r="M1841" t="str">
        <f>IF(Sync!$M1841&lt;&gt;"پاس چک","",IF(Sync!$P1841="","",Sync!$P1841))</f>
        <v/>
      </c>
      <c r="N1841" t="str">
        <f>IF($M1841="","",IF(ISNUMBER(Sync!$L1841),IF(AND(Sync!$L1841&gt;=10000101,Sync!$L1841&lt;=99991231),RIGHT("0000"&amp;INT(Sync!$L1841/10000),4)&amp;"/"&amp;RIGHT("00"&amp;INT(MOD(Sync!$L1841,10000)/100),2)&amp;"/"&amp;RIGHT("00"&amp;MOD(Sync!$L1841,100),2),""),IFERROR(RIGHT("0000"&amp;VALUE(TRIM(LEFT(Sync!$L1841,FIND("/",Sync!$L1841)-1))),4)&amp;"/"&amp;RIGHT("00"&amp;VALUE(TRIM(LEFT(MID(Sync!$L1841,FIND("/",Sync!$L1841)+1,20),FIND("/",MID(Sync!$L1841,FIND("/",Sync!$L1841)+1,20))-1))),2)&amp;"/"&amp;RIGHT("00"&amp;VALUE(TRIM(MID(MID(Sync!$L1841,FIND("/",Sync!$L1841)+1,20),FIND("/",MID(Sync!$L1841,FIND("/",Sync!$L1841)+1,20))+1,20))),2),"")))</f>
        <v/>
      </c>
    </row>
    <row r="1842" spans="13:14" x14ac:dyDescent="0.2">
      <c r="M1842" t="str">
        <f>IF(Sync!$M1842&lt;&gt;"پاس چک","",IF(Sync!$P1842="","",Sync!$P1842))</f>
        <v/>
      </c>
      <c r="N1842" t="str">
        <f>IF($M1842="","",IF(ISNUMBER(Sync!$L1842),IF(AND(Sync!$L1842&gt;=10000101,Sync!$L1842&lt;=99991231),RIGHT("0000"&amp;INT(Sync!$L1842/10000),4)&amp;"/"&amp;RIGHT("00"&amp;INT(MOD(Sync!$L1842,10000)/100),2)&amp;"/"&amp;RIGHT("00"&amp;MOD(Sync!$L1842,100),2),""),IFERROR(RIGHT("0000"&amp;VALUE(TRIM(LEFT(Sync!$L1842,FIND("/",Sync!$L1842)-1))),4)&amp;"/"&amp;RIGHT("00"&amp;VALUE(TRIM(LEFT(MID(Sync!$L1842,FIND("/",Sync!$L1842)+1,20),FIND("/",MID(Sync!$L1842,FIND("/",Sync!$L1842)+1,20))-1))),2)&amp;"/"&amp;RIGHT("00"&amp;VALUE(TRIM(MID(MID(Sync!$L1842,FIND("/",Sync!$L1842)+1,20),FIND("/",MID(Sync!$L1842,FIND("/",Sync!$L1842)+1,20))+1,20))),2),"")))</f>
        <v/>
      </c>
    </row>
    <row r="1843" spans="13:14" x14ac:dyDescent="0.2">
      <c r="M1843" t="str">
        <f>IF(Sync!$M1843&lt;&gt;"پاس چک","",IF(Sync!$P1843="","",Sync!$P1843))</f>
        <v/>
      </c>
      <c r="N1843" t="str">
        <f>IF($M1843="","",IF(ISNUMBER(Sync!$L1843),IF(AND(Sync!$L1843&gt;=10000101,Sync!$L1843&lt;=99991231),RIGHT("0000"&amp;INT(Sync!$L1843/10000),4)&amp;"/"&amp;RIGHT("00"&amp;INT(MOD(Sync!$L1843,10000)/100),2)&amp;"/"&amp;RIGHT("00"&amp;MOD(Sync!$L1843,100),2),""),IFERROR(RIGHT("0000"&amp;VALUE(TRIM(LEFT(Sync!$L1843,FIND("/",Sync!$L1843)-1))),4)&amp;"/"&amp;RIGHT("00"&amp;VALUE(TRIM(LEFT(MID(Sync!$L1843,FIND("/",Sync!$L1843)+1,20),FIND("/",MID(Sync!$L1843,FIND("/",Sync!$L1843)+1,20))-1))),2)&amp;"/"&amp;RIGHT("00"&amp;VALUE(TRIM(MID(MID(Sync!$L1843,FIND("/",Sync!$L1843)+1,20),FIND("/",MID(Sync!$L1843,FIND("/",Sync!$L1843)+1,20))+1,20))),2),"")))</f>
        <v/>
      </c>
    </row>
    <row r="1844" spans="13:14" x14ac:dyDescent="0.2">
      <c r="M1844" t="str">
        <f>IF(Sync!$M1844&lt;&gt;"پاس چک","",IF(Sync!$P1844="","",Sync!$P1844))</f>
        <v/>
      </c>
      <c r="N1844" t="str">
        <f>IF($M1844="","",IF(ISNUMBER(Sync!$L1844),IF(AND(Sync!$L1844&gt;=10000101,Sync!$L1844&lt;=99991231),RIGHT("0000"&amp;INT(Sync!$L1844/10000),4)&amp;"/"&amp;RIGHT("00"&amp;INT(MOD(Sync!$L1844,10000)/100),2)&amp;"/"&amp;RIGHT("00"&amp;MOD(Sync!$L1844,100),2),""),IFERROR(RIGHT("0000"&amp;VALUE(TRIM(LEFT(Sync!$L1844,FIND("/",Sync!$L1844)-1))),4)&amp;"/"&amp;RIGHT("00"&amp;VALUE(TRIM(LEFT(MID(Sync!$L1844,FIND("/",Sync!$L1844)+1,20),FIND("/",MID(Sync!$L1844,FIND("/",Sync!$L1844)+1,20))-1))),2)&amp;"/"&amp;RIGHT("00"&amp;VALUE(TRIM(MID(MID(Sync!$L1844,FIND("/",Sync!$L1844)+1,20),FIND("/",MID(Sync!$L1844,FIND("/",Sync!$L1844)+1,20))+1,20))),2),"")))</f>
        <v/>
      </c>
    </row>
    <row r="1845" spans="13:14" x14ac:dyDescent="0.2">
      <c r="M1845" t="str">
        <f>IF(Sync!$M1845&lt;&gt;"پاس چک","",IF(Sync!$P1845="","",Sync!$P1845))</f>
        <v/>
      </c>
      <c r="N1845" t="str">
        <f>IF($M1845="","",IF(ISNUMBER(Sync!$L1845),IF(AND(Sync!$L1845&gt;=10000101,Sync!$L1845&lt;=99991231),RIGHT("0000"&amp;INT(Sync!$L1845/10000),4)&amp;"/"&amp;RIGHT("00"&amp;INT(MOD(Sync!$L1845,10000)/100),2)&amp;"/"&amp;RIGHT("00"&amp;MOD(Sync!$L1845,100),2),""),IFERROR(RIGHT("0000"&amp;VALUE(TRIM(LEFT(Sync!$L1845,FIND("/",Sync!$L1845)-1))),4)&amp;"/"&amp;RIGHT("00"&amp;VALUE(TRIM(LEFT(MID(Sync!$L1845,FIND("/",Sync!$L1845)+1,20),FIND("/",MID(Sync!$L1845,FIND("/",Sync!$L1845)+1,20))-1))),2)&amp;"/"&amp;RIGHT("00"&amp;VALUE(TRIM(MID(MID(Sync!$L1845,FIND("/",Sync!$L1845)+1,20),FIND("/",MID(Sync!$L1845,FIND("/",Sync!$L1845)+1,20))+1,20))),2),"")))</f>
        <v/>
      </c>
    </row>
    <row r="1846" spans="13:14" x14ac:dyDescent="0.2">
      <c r="M1846" t="str">
        <f>IF(Sync!$M1846&lt;&gt;"پاس چک","",IF(Sync!$P1846="","",Sync!$P1846))</f>
        <v/>
      </c>
      <c r="N1846" t="str">
        <f>IF($M1846="","",IF(ISNUMBER(Sync!$L1846),IF(AND(Sync!$L1846&gt;=10000101,Sync!$L1846&lt;=99991231),RIGHT("0000"&amp;INT(Sync!$L1846/10000),4)&amp;"/"&amp;RIGHT("00"&amp;INT(MOD(Sync!$L1846,10000)/100),2)&amp;"/"&amp;RIGHT("00"&amp;MOD(Sync!$L1846,100),2),""),IFERROR(RIGHT("0000"&amp;VALUE(TRIM(LEFT(Sync!$L1846,FIND("/",Sync!$L1846)-1))),4)&amp;"/"&amp;RIGHT("00"&amp;VALUE(TRIM(LEFT(MID(Sync!$L1846,FIND("/",Sync!$L1846)+1,20),FIND("/",MID(Sync!$L1846,FIND("/",Sync!$L1846)+1,20))-1))),2)&amp;"/"&amp;RIGHT("00"&amp;VALUE(TRIM(MID(MID(Sync!$L1846,FIND("/",Sync!$L1846)+1,20),FIND("/",MID(Sync!$L1846,FIND("/",Sync!$L1846)+1,20))+1,20))),2),"")))</f>
        <v/>
      </c>
    </row>
    <row r="1847" spans="13:14" x14ac:dyDescent="0.2">
      <c r="M1847" t="str">
        <f>IF(Sync!$M1847&lt;&gt;"پاس چک","",IF(Sync!$P1847="","",Sync!$P1847))</f>
        <v/>
      </c>
      <c r="N1847" t="str">
        <f>IF($M1847="","",IF(ISNUMBER(Sync!$L1847),IF(AND(Sync!$L1847&gt;=10000101,Sync!$L1847&lt;=99991231),RIGHT("0000"&amp;INT(Sync!$L1847/10000),4)&amp;"/"&amp;RIGHT("00"&amp;INT(MOD(Sync!$L1847,10000)/100),2)&amp;"/"&amp;RIGHT("00"&amp;MOD(Sync!$L1847,100),2),""),IFERROR(RIGHT("0000"&amp;VALUE(TRIM(LEFT(Sync!$L1847,FIND("/",Sync!$L1847)-1))),4)&amp;"/"&amp;RIGHT("00"&amp;VALUE(TRIM(LEFT(MID(Sync!$L1847,FIND("/",Sync!$L1847)+1,20),FIND("/",MID(Sync!$L1847,FIND("/",Sync!$L1847)+1,20))-1))),2)&amp;"/"&amp;RIGHT("00"&amp;VALUE(TRIM(MID(MID(Sync!$L1847,FIND("/",Sync!$L1847)+1,20),FIND("/",MID(Sync!$L1847,FIND("/",Sync!$L1847)+1,20))+1,20))),2),"")))</f>
        <v/>
      </c>
    </row>
    <row r="1848" spans="13:14" x14ac:dyDescent="0.2">
      <c r="M1848" t="str">
        <f>IF(Sync!$M1848&lt;&gt;"پاس چک","",IF(Sync!$P1848="","",Sync!$P1848))</f>
        <v/>
      </c>
      <c r="N1848" t="str">
        <f>IF($M1848="","",IF(ISNUMBER(Sync!$L1848),IF(AND(Sync!$L1848&gt;=10000101,Sync!$L1848&lt;=99991231),RIGHT("0000"&amp;INT(Sync!$L1848/10000),4)&amp;"/"&amp;RIGHT("00"&amp;INT(MOD(Sync!$L1848,10000)/100),2)&amp;"/"&amp;RIGHT("00"&amp;MOD(Sync!$L1848,100),2),""),IFERROR(RIGHT("0000"&amp;VALUE(TRIM(LEFT(Sync!$L1848,FIND("/",Sync!$L1848)-1))),4)&amp;"/"&amp;RIGHT("00"&amp;VALUE(TRIM(LEFT(MID(Sync!$L1848,FIND("/",Sync!$L1848)+1,20),FIND("/",MID(Sync!$L1848,FIND("/",Sync!$L1848)+1,20))-1))),2)&amp;"/"&amp;RIGHT("00"&amp;VALUE(TRIM(MID(MID(Sync!$L1848,FIND("/",Sync!$L1848)+1,20),FIND("/",MID(Sync!$L1848,FIND("/",Sync!$L1848)+1,20))+1,20))),2),"")))</f>
        <v/>
      </c>
    </row>
    <row r="1849" spans="13:14" x14ac:dyDescent="0.2">
      <c r="M1849" t="str">
        <f>IF(Sync!$M1849&lt;&gt;"پاس چک","",IF(Sync!$P1849="","",Sync!$P1849))</f>
        <v/>
      </c>
      <c r="N1849" t="str">
        <f>IF($M1849="","",IF(ISNUMBER(Sync!$L1849),IF(AND(Sync!$L1849&gt;=10000101,Sync!$L1849&lt;=99991231),RIGHT("0000"&amp;INT(Sync!$L1849/10000),4)&amp;"/"&amp;RIGHT("00"&amp;INT(MOD(Sync!$L1849,10000)/100),2)&amp;"/"&amp;RIGHT("00"&amp;MOD(Sync!$L1849,100),2),""),IFERROR(RIGHT("0000"&amp;VALUE(TRIM(LEFT(Sync!$L1849,FIND("/",Sync!$L1849)-1))),4)&amp;"/"&amp;RIGHT("00"&amp;VALUE(TRIM(LEFT(MID(Sync!$L1849,FIND("/",Sync!$L1849)+1,20),FIND("/",MID(Sync!$L1849,FIND("/",Sync!$L1849)+1,20))-1))),2)&amp;"/"&amp;RIGHT("00"&amp;VALUE(TRIM(MID(MID(Sync!$L1849,FIND("/",Sync!$L1849)+1,20),FIND("/",MID(Sync!$L1849,FIND("/",Sync!$L1849)+1,20))+1,20))),2),"")))</f>
        <v/>
      </c>
    </row>
    <row r="1850" spans="13:14" x14ac:dyDescent="0.2">
      <c r="M1850" t="str">
        <f>IF(Sync!$M1850&lt;&gt;"پاس چک","",IF(Sync!$P1850="","",Sync!$P1850))</f>
        <v/>
      </c>
      <c r="N1850" t="str">
        <f>IF($M1850="","",IF(ISNUMBER(Sync!$L1850),IF(AND(Sync!$L1850&gt;=10000101,Sync!$L1850&lt;=99991231),RIGHT("0000"&amp;INT(Sync!$L1850/10000),4)&amp;"/"&amp;RIGHT("00"&amp;INT(MOD(Sync!$L1850,10000)/100),2)&amp;"/"&amp;RIGHT("00"&amp;MOD(Sync!$L1850,100),2),""),IFERROR(RIGHT("0000"&amp;VALUE(TRIM(LEFT(Sync!$L1850,FIND("/",Sync!$L1850)-1))),4)&amp;"/"&amp;RIGHT("00"&amp;VALUE(TRIM(LEFT(MID(Sync!$L1850,FIND("/",Sync!$L1850)+1,20),FIND("/",MID(Sync!$L1850,FIND("/",Sync!$L1850)+1,20))-1))),2)&amp;"/"&amp;RIGHT("00"&amp;VALUE(TRIM(MID(MID(Sync!$L1850,FIND("/",Sync!$L1850)+1,20),FIND("/",MID(Sync!$L1850,FIND("/",Sync!$L1850)+1,20))+1,20))),2),"")))</f>
        <v/>
      </c>
    </row>
    <row r="1851" spans="13:14" x14ac:dyDescent="0.2">
      <c r="M1851" t="str">
        <f>IF(Sync!$M1851&lt;&gt;"پاس چک","",IF(Sync!$P1851="","",Sync!$P1851))</f>
        <v/>
      </c>
      <c r="N1851" t="str">
        <f>IF($M1851="","",IF(ISNUMBER(Sync!$L1851),IF(AND(Sync!$L1851&gt;=10000101,Sync!$L1851&lt;=99991231),RIGHT("0000"&amp;INT(Sync!$L1851/10000),4)&amp;"/"&amp;RIGHT("00"&amp;INT(MOD(Sync!$L1851,10000)/100),2)&amp;"/"&amp;RIGHT("00"&amp;MOD(Sync!$L1851,100),2),""),IFERROR(RIGHT("0000"&amp;VALUE(TRIM(LEFT(Sync!$L1851,FIND("/",Sync!$L1851)-1))),4)&amp;"/"&amp;RIGHT("00"&amp;VALUE(TRIM(LEFT(MID(Sync!$L1851,FIND("/",Sync!$L1851)+1,20),FIND("/",MID(Sync!$L1851,FIND("/",Sync!$L1851)+1,20))-1))),2)&amp;"/"&amp;RIGHT("00"&amp;VALUE(TRIM(MID(MID(Sync!$L1851,FIND("/",Sync!$L1851)+1,20),FIND("/",MID(Sync!$L1851,FIND("/",Sync!$L1851)+1,20))+1,20))),2),"")))</f>
        <v/>
      </c>
    </row>
    <row r="1852" spans="13:14" x14ac:dyDescent="0.2">
      <c r="M1852" t="str">
        <f>IF(Sync!$M1852&lt;&gt;"پاس چک","",IF(Sync!$P1852="","",Sync!$P1852))</f>
        <v/>
      </c>
      <c r="N1852" t="str">
        <f>IF($M1852="","",IF(ISNUMBER(Sync!$L1852),IF(AND(Sync!$L1852&gt;=10000101,Sync!$L1852&lt;=99991231),RIGHT("0000"&amp;INT(Sync!$L1852/10000),4)&amp;"/"&amp;RIGHT("00"&amp;INT(MOD(Sync!$L1852,10000)/100),2)&amp;"/"&amp;RIGHT("00"&amp;MOD(Sync!$L1852,100),2),""),IFERROR(RIGHT("0000"&amp;VALUE(TRIM(LEFT(Sync!$L1852,FIND("/",Sync!$L1852)-1))),4)&amp;"/"&amp;RIGHT("00"&amp;VALUE(TRIM(LEFT(MID(Sync!$L1852,FIND("/",Sync!$L1852)+1,20),FIND("/",MID(Sync!$L1852,FIND("/",Sync!$L1852)+1,20))-1))),2)&amp;"/"&amp;RIGHT("00"&amp;VALUE(TRIM(MID(MID(Sync!$L1852,FIND("/",Sync!$L1852)+1,20),FIND("/",MID(Sync!$L1852,FIND("/",Sync!$L1852)+1,20))+1,20))),2),"")))</f>
        <v/>
      </c>
    </row>
    <row r="1853" spans="13:14" x14ac:dyDescent="0.2">
      <c r="M1853" t="str">
        <f>IF(Sync!$M1853&lt;&gt;"پاس چک","",IF(Sync!$P1853="","",Sync!$P1853))</f>
        <v/>
      </c>
      <c r="N1853" t="str">
        <f>IF($M1853="","",IF(ISNUMBER(Sync!$L1853),IF(AND(Sync!$L1853&gt;=10000101,Sync!$L1853&lt;=99991231),RIGHT("0000"&amp;INT(Sync!$L1853/10000),4)&amp;"/"&amp;RIGHT("00"&amp;INT(MOD(Sync!$L1853,10000)/100),2)&amp;"/"&amp;RIGHT("00"&amp;MOD(Sync!$L1853,100),2),""),IFERROR(RIGHT("0000"&amp;VALUE(TRIM(LEFT(Sync!$L1853,FIND("/",Sync!$L1853)-1))),4)&amp;"/"&amp;RIGHT("00"&amp;VALUE(TRIM(LEFT(MID(Sync!$L1853,FIND("/",Sync!$L1853)+1,20),FIND("/",MID(Sync!$L1853,FIND("/",Sync!$L1853)+1,20))-1))),2)&amp;"/"&amp;RIGHT("00"&amp;VALUE(TRIM(MID(MID(Sync!$L1853,FIND("/",Sync!$L1853)+1,20),FIND("/",MID(Sync!$L1853,FIND("/",Sync!$L1853)+1,20))+1,20))),2),"")))</f>
        <v/>
      </c>
    </row>
    <row r="1854" spans="13:14" x14ac:dyDescent="0.2">
      <c r="M1854" t="str">
        <f>IF(Sync!$M1854&lt;&gt;"پاس چک","",IF(Sync!$P1854="","",Sync!$P1854))</f>
        <v/>
      </c>
      <c r="N1854" t="str">
        <f>IF($M1854="","",IF(ISNUMBER(Sync!$L1854),IF(AND(Sync!$L1854&gt;=10000101,Sync!$L1854&lt;=99991231),RIGHT("0000"&amp;INT(Sync!$L1854/10000),4)&amp;"/"&amp;RIGHT("00"&amp;INT(MOD(Sync!$L1854,10000)/100),2)&amp;"/"&amp;RIGHT("00"&amp;MOD(Sync!$L1854,100),2),""),IFERROR(RIGHT("0000"&amp;VALUE(TRIM(LEFT(Sync!$L1854,FIND("/",Sync!$L1854)-1))),4)&amp;"/"&amp;RIGHT("00"&amp;VALUE(TRIM(LEFT(MID(Sync!$L1854,FIND("/",Sync!$L1854)+1,20),FIND("/",MID(Sync!$L1854,FIND("/",Sync!$L1854)+1,20))-1))),2)&amp;"/"&amp;RIGHT("00"&amp;VALUE(TRIM(MID(MID(Sync!$L1854,FIND("/",Sync!$L1854)+1,20),FIND("/",MID(Sync!$L1854,FIND("/",Sync!$L1854)+1,20))+1,20))),2),"")))</f>
        <v/>
      </c>
    </row>
    <row r="1855" spans="13:14" x14ac:dyDescent="0.2">
      <c r="M1855" t="str">
        <f>IF(Sync!$M1855&lt;&gt;"پاس چک","",IF(Sync!$P1855="","",Sync!$P1855))</f>
        <v/>
      </c>
      <c r="N1855" t="str">
        <f>IF($M1855="","",IF(ISNUMBER(Sync!$L1855),IF(AND(Sync!$L1855&gt;=10000101,Sync!$L1855&lt;=99991231),RIGHT("0000"&amp;INT(Sync!$L1855/10000),4)&amp;"/"&amp;RIGHT("00"&amp;INT(MOD(Sync!$L1855,10000)/100),2)&amp;"/"&amp;RIGHT("00"&amp;MOD(Sync!$L1855,100),2),""),IFERROR(RIGHT("0000"&amp;VALUE(TRIM(LEFT(Sync!$L1855,FIND("/",Sync!$L1855)-1))),4)&amp;"/"&amp;RIGHT("00"&amp;VALUE(TRIM(LEFT(MID(Sync!$L1855,FIND("/",Sync!$L1855)+1,20),FIND("/",MID(Sync!$L1855,FIND("/",Sync!$L1855)+1,20))-1))),2)&amp;"/"&amp;RIGHT("00"&amp;VALUE(TRIM(MID(MID(Sync!$L1855,FIND("/",Sync!$L1855)+1,20),FIND("/",MID(Sync!$L1855,FIND("/",Sync!$L1855)+1,20))+1,20))),2),"")))</f>
        <v/>
      </c>
    </row>
    <row r="1856" spans="13:14" x14ac:dyDescent="0.2">
      <c r="M1856" t="str">
        <f>IF(Sync!$M1856&lt;&gt;"پاس چک","",IF(Sync!$P1856="","",Sync!$P1856))</f>
        <v/>
      </c>
      <c r="N1856" t="str">
        <f>IF($M1856="","",IF(ISNUMBER(Sync!$L1856),IF(AND(Sync!$L1856&gt;=10000101,Sync!$L1856&lt;=99991231),RIGHT("0000"&amp;INT(Sync!$L1856/10000),4)&amp;"/"&amp;RIGHT("00"&amp;INT(MOD(Sync!$L1856,10000)/100),2)&amp;"/"&amp;RIGHT("00"&amp;MOD(Sync!$L1856,100),2),""),IFERROR(RIGHT("0000"&amp;VALUE(TRIM(LEFT(Sync!$L1856,FIND("/",Sync!$L1856)-1))),4)&amp;"/"&amp;RIGHT("00"&amp;VALUE(TRIM(LEFT(MID(Sync!$L1856,FIND("/",Sync!$L1856)+1,20),FIND("/",MID(Sync!$L1856,FIND("/",Sync!$L1856)+1,20))-1))),2)&amp;"/"&amp;RIGHT("00"&amp;VALUE(TRIM(MID(MID(Sync!$L1856,FIND("/",Sync!$L1856)+1,20),FIND("/",MID(Sync!$L1856,FIND("/",Sync!$L1856)+1,20))+1,20))),2),"")))</f>
        <v/>
      </c>
    </row>
    <row r="1857" spans="13:14" x14ac:dyDescent="0.2">
      <c r="M1857" t="str">
        <f>IF(Sync!$M1857&lt;&gt;"پاس چک","",IF(Sync!$P1857="","",Sync!$P1857))</f>
        <v/>
      </c>
      <c r="N1857" t="str">
        <f>IF($M1857="","",IF(ISNUMBER(Sync!$L1857),IF(AND(Sync!$L1857&gt;=10000101,Sync!$L1857&lt;=99991231),RIGHT("0000"&amp;INT(Sync!$L1857/10000),4)&amp;"/"&amp;RIGHT("00"&amp;INT(MOD(Sync!$L1857,10000)/100),2)&amp;"/"&amp;RIGHT("00"&amp;MOD(Sync!$L1857,100),2),""),IFERROR(RIGHT("0000"&amp;VALUE(TRIM(LEFT(Sync!$L1857,FIND("/",Sync!$L1857)-1))),4)&amp;"/"&amp;RIGHT("00"&amp;VALUE(TRIM(LEFT(MID(Sync!$L1857,FIND("/",Sync!$L1857)+1,20),FIND("/",MID(Sync!$L1857,FIND("/",Sync!$L1857)+1,20))-1))),2)&amp;"/"&amp;RIGHT("00"&amp;VALUE(TRIM(MID(MID(Sync!$L1857,FIND("/",Sync!$L1857)+1,20),FIND("/",MID(Sync!$L1857,FIND("/",Sync!$L1857)+1,20))+1,20))),2),"")))</f>
        <v/>
      </c>
    </row>
    <row r="1858" spans="13:14" x14ac:dyDescent="0.2">
      <c r="M1858" t="str">
        <f>IF(Sync!$M1858&lt;&gt;"پاس چک","",IF(Sync!$P1858="","",Sync!$P1858))</f>
        <v/>
      </c>
      <c r="N1858" t="str">
        <f>IF($M1858="","",IF(ISNUMBER(Sync!$L1858),IF(AND(Sync!$L1858&gt;=10000101,Sync!$L1858&lt;=99991231),RIGHT("0000"&amp;INT(Sync!$L1858/10000),4)&amp;"/"&amp;RIGHT("00"&amp;INT(MOD(Sync!$L1858,10000)/100),2)&amp;"/"&amp;RIGHT("00"&amp;MOD(Sync!$L1858,100),2),""),IFERROR(RIGHT("0000"&amp;VALUE(TRIM(LEFT(Sync!$L1858,FIND("/",Sync!$L1858)-1))),4)&amp;"/"&amp;RIGHT("00"&amp;VALUE(TRIM(LEFT(MID(Sync!$L1858,FIND("/",Sync!$L1858)+1,20),FIND("/",MID(Sync!$L1858,FIND("/",Sync!$L1858)+1,20))-1))),2)&amp;"/"&amp;RIGHT("00"&amp;VALUE(TRIM(MID(MID(Sync!$L1858,FIND("/",Sync!$L1858)+1,20),FIND("/",MID(Sync!$L1858,FIND("/",Sync!$L1858)+1,20))+1,20))),2),"")))</f>
        <v/>
      </c>
    </row>
    <row r="1859" spans="13:14" x14ac:dyDescent="0.2">
      <c r="M1859" t="str">
        <f>IF(Sync!$M1859&lt;&gt;"پاس چک","",IF(Sync!$P1859="","",Sync!$P1859))</f>
        <v/>
      </c>
      <c r="N1859" t="str">
        <f>IF($M1859="","",IF(ISNUMBER(Sync!$L1859),IF(AND(Sync!$L1859&gt;=10000101,Sync!$L1859&lt;=99991231),RIGHT("0000"&amp;INT(Sync!$L1859/10000),4)&amp;"/"&amp;RIGHT("00"&amp;INT(MOD(Sync!$L1859,10000)/100),2)&amp;"/"&amp;RIGHT("00"&amp;MOD(Sync!$L1859,100),2),""),IFERROR(RIGHT("0000"&amp;VALUE(TRIM(LEFT(Sync!$L1859,FIND("/",Sync!$L1859)-1))),4)&amp;"/"&amp;RIGHT("00"&amp;VALUE(TRIM(LEFT(MID(Sync!$L1859,FIND("/",Sync!$L1859)+1,20),FIND("/",MID(Sync!$L1859,FIND("/",Sync!$L1859)+1,20))-1))),2)&amp;"/"&amp;RIGHT("00"&amp;VALUE(TRIM(MID(MID(Sync!$L1859,FIND("/",Sync!$L1859)+1,20),FIND("/",MID(Sync!$L1859,FIND("/",Sync!$L1859)+1,20))+1,20))),2),"")))</f>
        <v/>
      </c>
    </row>
    <row r="1860" spans="13:14" x14ac:dyDescent="0.2">
      <c r="M1860" t="str">
        <f>IF(Sync!$M1860&lt;&gt;"پاس چک","",IF(Sync!$P1860="","",Sync!$P1860))</f>
        <v/>
      </c>
      <c r="N1860" t="str">
        <f>IF($M1860="","",IF(ISNUMBER(Sync!$L1860),IF(AND(Sync!$L1860&gt;=10000101,Sync!$L1860&lt;=99991231),RIGHT("0000"&amp;INT(Sync!$L1860/10000),4)&amp;"/"&amp;RIGHT("00"&amp;INT(MOD(Sync!$L1860,10000)/100),2)&amp;"/"&amp;RIGHT("00"&amp;MOD(Sync!$L1860,100),2),""),IFERROR(RIGHT("0000"&amp;VALUE(TRIM(LEFT(Sync!$L1860,FIND("/",Sync!$L1860)-1))),4)&amp;"/"&amp;RIGHT("00"&amp;VALUE(TRIM(LEFT(MID(Sync!$L1860,FIND("/",Sync!$L1860)+1,20),FIND("/",MID(Sync!$L1860,FIND("/",Sync!$L1860)+1,20))-1))),2)&amp;"/"&amp;RIGHT("00"&amp;VALUE(TRIM(MID(MID(Sync!$L1860,FIND("/",Sync!$L1860)+1,20),FIND("/",MID(Sync!$L1860,FIND("/",Sync!$L1860)+1,20))+1,20))),2),"")))</f>
        <v/>
      </c>
    </row>
    <row r="1861" spans="13:14" x14ac:dyDescent="0.2">
      <c r="M1861" t="str">
        <f>IF(Sync!$M1861&lt;&gt;"پاس چک","",IF(Sync!$P1861="","",Sync!$P1861))</f>
        <v/>
      </c>
      <c r="N1861" t="str">
        <f>IF($M1861="","",IF(ISNUMBER(Sync!$L1861),IF(AND(Sync!$L1861&gt;=10000101,Sync!$L1861&lt;=99991231),RIGHT("0000"&amp;INT(Sync!$L1861/10000),4)&amp;"/"&amp;RIGHT("00"&amp;INT(MOD(Sync!$L1861,10000)/100),2)&amp;"/"&amp;RIGHT("00"&amp;MOD(Sync!$L1861,100),2),""),IFERROR(RIGHT("0000"&amp;VALUE(TRIM(LEFT(Sync!$L1861,FIND("/",Sync!$L1861)-1))),4)&amp;"/"&amp;RIGHT("00"&amp;VALUE(TRIM(LEFT(MID(Sync!$L1861,FIND("/",Sync!$L1861)+1,20),FIND("/",MID(Sync!$L1861,FIND("/",Sync!$L1861)+1,20))-1))),2)&amp;"/"&amp;RIGHT("00"&amp;VALUE(TRIM(MID(MID(Sync!$L1861,FIND("/",Sync!$L1861)+1,20),FIND("/",MID(Sync!$L1861,FIND("/",Sync!$L1861)+1,20))+1,20))),2),"")))</f>
        <v/>
      </c>
    </row>
    <row r="1862" spans="13:14" x14ac:dyDescent="0.2">
      <c r="M1862" t="str">
        <f>IF(Sync!$M1862&lt;&gt;"پاس چک","",IF(Sync!$P1862="","",Sync!$P1862))</f>
        <v/>
      </c>
      <c r="N1862" t="str">
        <f>IF($M1862="","",IF(ISNUMBER(Sync!$L1862),IF(AND(Sync!$L1862&gt;=10000101,Sync!$L1862&lt;=99991231),RIGHT("0000"&amp;INT(Sync!$L1862/10000),4)&amp;"/"&amp;RIGHT("00"&amp;INT(MOD(Sync!$L1862,10000)/100),2)&amp;"/"&amp;RIGHT("00"&amp;MOD(Sync!$L1862,100),2),""),IFERROR(RIGHT("0000"&amp;VALUE(TRIM(LEFT(Sync!$L1862,FIND("/",Sync!$L1862)-1))),4)&amp;"/"&amp;RIGHT("00"&amp;VALUE(TRIM(LEFT(MID(Sync!$L1862,FIND("/",Sync!$L1862)+1,20),FIND("/",MID(Sync!$L1862,FIND("/",Sync!$L1862)+1,20))-1))),2)&amp;"/"&amp;RIGHT("00"&amp;VALUE(TRIM(MID(MID(Sync!$L1862,FIND("/",Sync!$L1862)+1,20),FIND("/",MID(Sync!$L1862,FIND("/",Sync!$L1862)+1,20))+1,20))),2),"")))</f>
        <v/>
      </c>
    </row>
    <row r="1863" spans="13:14" x14ac:dyDescent="0.2">
      <c r="M1863" t="str">
        <f>IF(Sync!$M1863&lt;&gt;"پاس چک","",IF(Sync!$P1863="","",Sync!$P1863))</f>
        <v/>
      </c>
      <c r="N1863" t="str">
        <f>IF($M1863="","",IF(ISNUMBER(Sync!$L1863),IF(AND(Sync!$L1863&gt;=10000101,Sync!$L1863&lt;=99991231),RIGHT("0000"&amp;INT(Sync!$L1863/10000),4)&amp;"/"&amp;RIGHT("00"&amp;INT(MOD(Sync!$L1863,10000)/100),2)&amp;"/"&amp;RIGHT("00"&amp;MOD(Sync!$L1863,100),2),""),IFERROR(RIGHT("0000"&amp;VALUE(TRIM(LEFT(Sync!$L1863,FIND("/",Sync!$L1863)-1))),4)&amp;"/"&amp;RIGHT("00"&amp;VALUE(TRIM(LEFT(MID(Sync!$L1863,FIND("/",Sync!$L1863)+1,20),FIND("/",MID(Sync!$L1863,FIND("/",Sync!$L1863)+1,20))-1))),2)&amp;"/"&amp;RIGHT("00"&amp;VALUE(TRIM(MID(MID(Sync!$L1863,FIND("/",Sync!$L1863)+1,20),FIND("/",MID(Sync!$L1863,FIND("/",Sync!$L1863)+1,20))+1,20))),2),"")))</f>
        <v/>
      </c>
    </row>
    <row r="1864" spans="13:14" x14ac:dyDescent="0.2">
      <c r="M1864" t="str">
        <f>IF(Sync!$M1864&lt;&gt;"پاس چک","",IF(Sync!$P1864="","",Sync!$P1864))</f>
        <v/>
      </c>
      <c r="N1864" t="str">
        <f>IF($M1864="","",IF(ISNUMBER(Sync!$L1864),IF(AND(Sync!$L1864&gt;=10000101,Sync!$L1864&lt;=99991231),RIGHT("0000"&amp;INT(Sync!$L1864/10000),4)&amp;"/"&amp;RIGHT("00"&amp;INT(MOD(Sync!$L1864,10000)/100),2)&amp;"/"&amp;RIGHT("00"&amp;MOD(Sync!$L1864,100),2),""),IFERROR(RIGHT("0000"&amp;VALUE(TRIM(LEFT(Sync!$L1864,FIND("/",Sync!$L1864)-1))),4)&amp;"/"&amp;RIGHT("00"&amp;VALUE(TRIM(LEFT(MID(Sync!$L1864,FIND("/",Sync!$L1864)+1,20),FIND("/",MID(Sync!$L1864,FIND("/",Sync!$L1864)+1,20))-1))),2)&amp;"/"&amp;RIGHT("00"&amp;VALUE(TRIM(MID(MID(Sync!$L1864,FIND("/",Sync!$L1864)+1,20),FIND("/",MID(Sync!$L1864,FIND("/",Sync!$L1864)+1,20))+1,20))),2),"")))</f>
        <v/>
      </c>
    </row>
    <row r="1865" spans="13:14" x14ac:dyDescent="0.2">
      <c r="M1865" t="str">
        <f>IF(Sync!$M1865&lt;&gt;"پاس چک","",IF(Sync!$P1865="","",Sync!$P1865))</f>
        <v/>
      </c>
      <c r="N1865" t="str">
        <f>IF($M1865="","",IF(ISNUMBER(Sync!$L1865),IF(AND(Sync!$L1865&gt;=10000101,Sync!$L1865&lt;=99991231),RIGHT("0000"&amp;INT(Sync!$L1865/10000),4)&amp;"/"&amp;RIGHT("00"&amp;INT(MOD(Sync!$L1865,10000)/100),2)&amp;"/"&amp;RIGHT("00"&amp;MOD(Sync!$L1865,100),2),""),IFERROR(RIGHT("0000"&amp;VALUE(TRIM(LEFT(Sync!$L1865,FIND("/",Sync!$L1865)-1))),4)&amp;"/"&amp;RIGHT("00"&amp;VALUE(TRIM(LEFT(MID(Sync!$L1865,FIND("/",Sync!$L1865)+1,20),FIND("/",MID(Sync!$L1865,FIND("/",Sync!$L1865)+1,20))-1))),2)&amp;"/"&amp;RIGHT("00"&amp;VALUE(TRIM(MID(MID(Sync!$L1865,FIND("/",Sync!$L1865)+1,20),FIND("/",MID(Sync!$L1865,FIND("/",Sync!$L1865)+1,20))+1,20))),2),"")))</f>
        <v/>
      </c>
    </row>
    <row r="1866" spans="13:14" x14ac:dyDescent="0.2">
      <c r="M1866" t="str">
        <f>IF(Sync!$M1866&lt;&gt;"پاس چک","",IF(Sync!$P1866="","",Sync!$P1866))</f>
        <v/>
      </c>
      <c r="N1866" t="str">
        <f>IF($M1866="","",IF(ISNUMBER(Sync!$L1866),IF(AND(Sync!$L1866&gt;=10000101,Sync!$L1866&lt;=99991231),RIGHT("0000"&amp;INT(Sync!$L1866/10000),4)&amp;"/"&amp;RIGHT("00"&amp;INT(MOD(Sync!$L1866,10000)/100),2)&amp;"/"&amp;RIGHT("00"&amp;MOD(Sync!$L1866,100),2),""),IFERROR(RIGHT("0000"&amp;VALUE(TRIM(LEFT(Sync!$L1866,FIND("/",Sync!$L1866)-1))),4)&amp;"/"&amp;RIGHT("00"&amp;VALUE(TRIM(LEFT(MID(Sync!$L1866,FIND("/",Sync!$L1866)+1,20),FIND("/",MID(Sync!$L1866,FIND("/",Sync!$L1866)+1,20))-1))),2)&amp;"/"&amp;RIGHT("00"&amp;VALUE(TRIM(MID(MID(Sync!$L1866,FIND("/",Sync!$L1866)+1,20),FIND("/",MID(Sync!$L1866,FIND("/",Sync!$L1866)+1,20))+1,20))),2),"")))</f>
        <v/>
      </c>
    </row>
    <row r="1867" spans="13:14" x14ac:dyDescent="0.2">
      <c r="M1867" t="str">
        <f>IF(Sync!$M1867&lt;&gt;"پاس چک","",IF(Sync!$P1867="","",Sync!$P1867))</f>
        <v/>
      </c>
      <c r="N1867" t="str">
        <f>IF($M1867="","",IF(ISNUMBER(Sync!$L1867),IF(AND(Sync!$L1867&gt;=10000101,Sync!$L1867&lt;=99991231),RIGHT("0000"&amp;INT(Sync!$L1867/10000),4)&amp;"/"&amp;RIGHT("00"&amp;INT(MOD(Sync!$L1867,10000)/100),2)&amp;"/"&amp;RIGHT("00"&amp;MOD(Sync!$L1867,100),2),""),IFERROR(RIGHT("0000"&amp;VALUE(TRIM(LEFT(Sync!$L1867,FIND("/",Sync!$L1867)-1))),4)&amp;"/"&amp;RIGHT("00"&amp;VALUE(TRIM(LEFT(MID(Sync!$L1867,FIND("/",Sync!$L1867)+1,20),FIND("/",MID(Sync!$L1867,FIND("/",Sync!$L1867)+1,20))-1))),2)&amp;"/"&amp;RIGHT("00"&amp;VALUE(TRIM(MID(MID(Sync!$L1867,FIND("/",Sync!$L1867)+1,20),FIND("/",MID(Sync!$L1867,FIND("/",Sync!$L1867)+1,20))+1,20))),2),"")))</f>
        <v/>
      </c>
    </row>
    <row r="1868" spans="13:14" x14ac:dyDescent="0.2">
      <c r="M1868" t="str">
        <f>IF(Sync!$M1868&lt;&gt;"پاس چک","",IF(Sync!$P1868="","",Sync!$P1868))</f>
        <v/>
      </c>
      <c r="N1868" t="str">
        <f>IF($M1868="","",IF(ISNUMBER(Sync!$L1868),IF(AND(Sync!$L1868&gt;=10000101,Sync!$L1868&lt;=99991231),RIGHT("0000"&amp;INT(Sync!$L1868/10000),4)&amp;"/"&amp;RIGHT("00"&amp;INT(MOD(Sync!$L1868,10000)/100),2)&amp;"/"&amp;RIGHT("00"&amp;MOD(Sync!$L1868,100),2),""),IFERROR(RIGHT("0000"&amp;VALUE(TRIM(LEFT(Sync!$L1868,FIND("/",Sync!$L1868)-1))),4)&amp;"/"&amp;RIGHT("00"&amp;VALUE(TRIM(LEFT(MID(Sync!$L1868,FIND("/",Sync!$L1868)+1,20),FIND("/",MID(Sync!$L1868,FIND("/",Sync!$L1868)+1,20))-1))),2)&amp;"/"&amp;RIGHT("00"&amp;VALUE(TRIM(MID(MID(Sync!$L1868,FIND("/",Sync!$L1868)+1,20),FIND("/",MID(Sync!$L1868,FIND("/",Sync!$L1868)+1,20))+1,20))),2),"")))</f>
        <v/>
      </c>
    </row>
    <row r="1869" spans="13:14" x14ac:dyDescent="0.2">
      <c r="M1869" t="str">
        <f>IF(Sync!$M1869&lt;&gt;"پاس چک","",IF(Sync!$P1869="","",Sync!$P1869))</f>
        <v/>
      </c>
      <c r="N1869" t="str">
        <f>IF($M1869="","",IF(ISNUMBER(Sync!$L1869),IF(AND(Sync!$L1869&gt;=10000101,Sync!$L1869&lt;=99991231),RIGHT("0000"&amp;INT(Sync!$L1869/10000),4)&amp;"/"&amp;RIGHT("00"&amp;INT(MOD(Sync!$L1869,10000)/100),2)&amp;"/"&amp;RIGHT("00"&amp;MOD(Sync!$L1869,100),2),""),IFERROR(RIGHT("0000"&amp;VALUE(TRIM(LEFT(Sync!$L1869,FIND("/",Sync!$L1869)-1))),4)&amp;"/"&amp;RIGHT("00"&amp;VALUE(TRIM(LEFT(MID(Sync!$L1869,FIND("/",Sync!$L1869)+1,20),FIND("/",MID(Sync!$L1869,FIND("/",Sync!$L1869)+1,20))-1))),2)&amp;"/"&amp;RIGHT("00"&amp;VALUE(TRIM(MID(MID(Sync!$L1869,FIND("/",Sync!$L1869)+1,20),FIND("/",MID(Sync!$L1869,FIND("/",Sync!$L1869)+1,20))+1,20))),2),"")))</f>
        <v/>
      </c>
    </row>
    <row r="1870" spans="13:14" x14ac:dyDescent="0.2">
      <c r="M1870" t="str">
        <f>IF(Sync!$M1870&lt;&gt;"پاس چک","",IF(Sync!$P1870="","",Sync!$P1870))</f>
        <v/>
      </c>
      <c r="N1870" t="str">
        <f>IF($M1870="","",IF(ISNUMBER(Sync!$L1870),IF(AND(Sync!$L1870&gt;=10000101,Sync!$L1870&lt;=99991231),RIGHT("0000"&amp;INT(Sync!$L1870/10000),4)&amp;"/"&amp;RIGHT("00"&amp;INT(MOD(Sync!$L1870,10000)/100),2)&amp;"/"&amp;RIGHT("00"&amp;MOD(Sync!$L1870,100),2),""),IFERROR(RIGHT("0000"&amp;VALUE(TRIM(LEFT(Sync!$L1870,FIND("/",Sync!$L1870)-1))),4)&amp;"/"&amp;RIGHT("00"&amp;VALUE(TRIM(LEFT(MID(Sync!$L1870,FIND("/",Sync!$L1870)+1,20),FIND("/",MID(Sync!$L1870,FIND("/",Sync!$L1870)+1,20))-1))),2)&amp;"/"&amp;RIGHT("00"&amp;VALUE(TRIM(MID(MID(Sync!$L1870,FIND("/",Sync!$L1870)+1,20),FIND("/",MID(Sync!$L1870,FIND("/",Sync!$L1870)+1,20))+1,20))),2),"")))</f>
        <v/>
      </c>
    </row>
    <row r="1871" spans="13:14" x14ac:dyDescent="0.2">
      <c r="M1871" t="str">
        <f>IF(Sync!$M1871&lt;&gt;"پاس چک","",IF(Sync!$P1871="","",Sync!$P1871))</f>
        <v/>
      </c>
      <c r="N1871" t="str">
        <f>IF($M1871="","",IF(ISNUMBER(Sync!$L1871),IF(AND(Sync!$L1871&gt;=10000101,Sync!$L1871&lt;=99991231),RIGHT("0000"&amp;INT(Sync!$L1871/10000),4)&amp;"/"&amp;RIGHT("00"&amp;INT(MOD(Sync!$L1871,10000)/100),2)&amp;"/"&amp;RIGHT("00"&amp;MOD(Sync!$L1871,100),2),""),IFERROR(RIGHT("0000"&amp;VALUE(TRIM(LEFT(Sync!$L1871,FIND("/",Sync!$L1871)-1))),4)&amp;"/"&amp;RIGHT("00"&amp;VALUE(TRIM(LEFT(MID(Sync!$L1871,FIND("/",Sync!$L1871)+1,20),FIND("/",MID(Sync!$L1871,FIND("/",Sync!$L1871)+1,20))-1))),2)&amp;"/"&amp;RIGHT("00"&amp;VALUE(TRIM(MID(MID(Sync!$L1871,FIND("/",Sync!$L1871)+1,20),FIND("/",MID(Sync!$L1871,FIND("/",Sync!$L1871)+1,20))+1,20))),2),"")))</f>
        <v/>
      </c>
    </row>
    <row r="1872" spans="13:14" x14ac:dyDescent="0.2">
      <c r="M1872" t="str">
        <f>IF(Sync!$M1872&lt;&gt;"پاس چک","",IF(Sync!$P1872="","",Sync!$P1872))</f>
        <v/>
      </c>
      <c r="N1872" t="str">
        <f>IF($M1872="","",IF(ISNUMBER(Sync!$L1872),IF(AND(Sync!$L1872&gt;=10000101,Sync!$L1872&lt;=99991231),RIGHT("0000"&amp;INT(Sync!$L1872/10000),4)&amp;"/"&amp;RIGHT("00"&amp;INT(MOD(Sync!$L1872,10000)/100),2)&amp;"/"&amp;RIGHT("00"&amp;MOD(Sync!$L1872,100),2),""),IFERROR(RIGHT("0000"&amp;VALUE(TRIM(LEFT(Sync!$L1872,FIND("/",Sync!$L1872)-1))),4)&amp;"/"&amp;RIGHT("00"&amp;VALUE(TRIM(LEFT(MID(Sync!$L1872,FIND("/",Sync!$L1872)+1,20),FIND("/",MID(Sync!$L1872,FIND("/",Sync!$L1872)+1,20))-1))),2)&amp;"/"&amp;RIGHT("00"&amp;VALUE(TRIM(MID(MID(Sync!$L1872,FIND("/",Sync!$L1872)+1,20),FIND("/",MID(Sync!$L1872,FIND("/",Sync!$L1872)+1,20))+1,20))),2),"")))</f>
        <v/>
      </c>
    </row>
    <row r="1873" spans="13:14" x14ac:dyDescent="0.2">
      <c r="M1873" t="str">
        <f>IF(Sync!$M1873&lt;&gt;"پاس چک","",IF(Sync!$P1873="","",Sync!$P1873))</f>
        <v/>
      </c>
      <c r="N1873" t="str">
        <f>IF($M1873="","",IF(ISNUMBER(Sync!$L1873),IF(AND(Sync!$L1873&gt;=10000101,Sync!$L1873&lt;=99991231),RIGHT("0000"&amp;INT(Sync!$L1873/10000),4)&amp;"/"&amp;RIGHT("00"&amp;INT(MOD(Sync!$L1873,10000)/100),2)&amp;"/"&amp;RIGHT("00"&amp;MOD(Sync!$L1873,100),2),""),IFERROR(RIGHT("0000"&amp;VALUE(TRIM(LEFT(Sync!$L1873,FIND("/",Sync!$L1873)-1))),4)&amp;"/"&amp;RIGHT("00"&amp;VALUE(TRIM(LEFT(MID(Sync!$L1873,FIND("/",Sync!$L1873)+1,20),FIND("/",MID(Sync!$L1873,FIND("/",Sync!$L1873)+1,20))-1))),2)&amp;"/"&amp;RIGHT("00"&amp;VALUE(TRIM(MID(MID(Sync!$L1873,FIND("/",Sync!$L1873)+1,20),FIND("/",MID(Sync!$L1873,FIND("/",Sync!$L1873)+1,20))+1,20))),2),"")))</f>
        <v/>
      </c>
    </row>
    <row r="1874" spans="13:14" x14ac:dyDescent="0.2">
      <c r="M1874" t="str">
        <f>IF(Sync!$M1874&lt;&gt;"پاس چک","",IF(Sync!$P1874="","",Sync!$P1874))</f>
        <v/>
      </c>
      <c r="N1874" t="str">
        <f>IF($M1874="","",IF(ISNUMBER(Sync!$L1874),IF(AND(Sync!$L1874&gt;=10000101,Sync!$L1874&lt;=99991231),RIGHT("0000"&amp;INT(Sync!$L1874/10000),4)&amp;"/"&amp;RIGHT("00"&amp;INT(MOD(Sync!$L1874,10000)/100),2)&amp;"/"&amp;RIGHT("00"&amp;MOD(Sync!$L1874,100),2),""),IFERROR(RIGHT("0000"&amp;VALUE(TRIM(LEFT(Sync!$L1874,FIND("/",Sync!$L1874)-1))),4)&amp;"/"&amp;RIGHT("00"&amp;VALUE(TRIM(LEFT(MID(Sync!$L1874,FIND("/",Sync!$L1874)+1,20),FIND("/",MID(Sync!$L1874,FIND("/",Sync!$L1874)+1,20))-1))),2)&amp;"/"&amp;RIGHT("00"&amp;VALUE(TRIM(MID(MID(Sync!$L1874,FIND("/",Sync!$L1874)+1,20),FIND("/",MID(Sync!$L1874,FIND("/",Sync!$L1874)+1,20))+1,20))),2),"")))</f>
        <v/>
      </c>
    </row>
    <row r="1875" spans="13:14" x14ac:dyDescent="0.2">
      <c r="M1875" t="str">
        <f>IF(Sync!$M1875&lt;&gt;"پاس چک","",IF(Sync!$P1875="","",Sync!$P1875))</f>
        <v/>
      </c>
      <c r="N1875" t="str">
        <f>IF($M1875="","",IF(ISNUMBER(Sync!$L1875),IF(AND(Sync!$L1875&gt;=10000101,Sync!$L1875&lt;=99991231),RIGHT("0000"&amp;INT(Sync!$L1875/10000),4)&amp;"/"&amp;RIGHT("00"&amp;INT(MOD(Sync!$L1875,10000)/100),2)&amp;"/"&amp;RIGHT("00"&amp;MOD(Sync!$L1875,100),2),""),IFERROR(RIGHT("0000"&amp;VALUE(TRIM(LEFT(Sync!$L1875,FIND("/",Sync!$L1875)-1))),4)&amp;"/"&amp;RIGHT("00"&amp;VALUE(TRIM(LEFT(MID(Sync!$L1875,FIND("/",Sync!$L1875)+1,20),FIND("/",MID(Sync!$L1875,FIND("/",Sync!$L1875)+1,20))-1))),2)&amp;"/"&amp;RIGHT("00"&amp;VALUE(TRIM(MID(MID(Sync!$L1875,FIND("/",Sync!$L1875)+1,20),FIND("/",MID(Sync!$L1875,FIND("/",Sync!$L1875)+1,20))+1,20))),2),"")))</f>
        <v/>
      </c>
    </row>
    <row r="1876" spans="13:14" x14ac:dyDescent="0.2">
      <c r="M1876" t="str">
        <f>IF(Sync!$M1876&lt;&gt;"پاس چک","",IF(Sync!$P1876="","",Sync!$P1876))</f>
        <v/>
      </c>
      <c r="N1876" t="str">
        <f>IF($M1876="","",IF(ISNUMBER(Sync!$L1876),IF(AND(Sync!$L1876&gt;=10000101,Sync!$L1876&lt;=99991231),RIGHT("0000"&amp;INT(Sync!$L1876/10000),4)&amp;"/"&amp;RIGHT("00"&amp;INT(MOD(Sync!$L1876,10000)/100),2)&amp;"/"&amp;RIGHT("00"&amp;MOD(Sync!$L1876,100),2),""),IFERROR(RIGHT("0000"&amp;VALUE(TRIM(LEFT(Sync!$L1876,FIND("/",Sync!$L1876)-1))),4)&amp;"/"&amp;RIGHT("00"&amp;VALUE(TRIM(LEFT(MID(Sync!$L1876,FIND("/",Sync!$L1876)+1,20),FIND("/",MID(Sync!$L1876,FIND("/",Sync!$L1876)+1,20))-1))),2)&amp;"/"&amp;RIGHT("00"&amp;VALUE(TRIM(MID(MID(Sync!$L1876,FIND("/",Sync!$L1876)+1,20),FIND("/",MID(Sync!$L1876,FIND("/",Sync!$L1876)+1,20))+1,20))),2),"")))</f>
        <v/>
      </c>
    </row>
    <row r="1877" spans="13:14" x14ac:dyDescent="0.2">
      <c r="M1877" t="str">
        <f>IF(Sync!$M1877&lt;&gt;"پاس چک","",IF(Sync!$P1877="","",Sync!$P1877))</f>
        <v/>
      </c>
      <c r="N1877" t="str">
        <f>IF($M1877="","",IF(ISNUMBER(Sync!$L1877),IF(AND(Sync!$L1877&gt;=10000101,Sync!$L1877&lt;=99991231),RIGHT("0000"&amp;INT(Sync!$L1877/10000),4)&amp;"/"&amp;RIGHT("00"&amp;INT(MOD(Sync!$L1877,10000)/100),2)&amp;"/"&amp;RIGHT("00"&amp;MOD(Sync!$L1877,100),2),""),IFERROR(RIGHT("0000"&amp;VALUE(TRIM(LEFT(Sync!$L1877,FIND("/",Sync!$L1877)-1))),4)&amp;"/"&amp;RIGHT("00"&amp;VALUE(TRIM(LEFT(MID(Sync!$L1877,FIND("/",Sync!$L1877)+1,20),FIND("/",MID(Sync!$L1877,FIND("/",Sync!$L1877)+1,20))-1))),2)&amp;"/"&amp;RIGHT("00"&amp;VALUE(TRIM(MID(MID(Sync!$L1877,FIND("/",Sync!$L1877)+1,20),FIND("/",MID(Sync!$L1877,FIND("/",Sync!$L1877)+1,20))+1,20))),2),"")))</f>
        <v/>
      </c>
    </row>
    <row r="1878" spans="13:14" x14ac:dyDescent="0.2">
      <c r="M1878" t="str">
        <f>IF(Sync!$M1878&lt;&gt;"پاس چک","",IF(Sync!$P1878="","",Sync!$P1878))</f>
        <v/>
      </c>
      <c r="N1878" t="str">
        <f>IF($M1878="","",IF(ISNUMBER(Sync!$L1878),IF(AND(Sync!$L1878&gt;=10000101,Sync!$L1878&lt;=99991231),RIGHT("0000"&amp;INT(Sync!$L1878/10000),4)&amp;"/"&amp;RIGHT("00"&amp;INT(MOD(Sync!$L1878,10000)/100),2)&amp;"/"&amp;RIGHT("00"&amp;MOD(Sync!$L1878,100),2),""),IFERROR(RIGHT("0000"&amp;VALUE(TRIM(LEFT(Sync!$L1878,FIND("/",Sync!$L1878)-1))),4)&amp;"/"&amp;RIGHT("00"&amp;VALUE(TRIM(LEFT(MID(Sync!$L1878,FIND("/",Sync!$L1878)+1,20),FIND("/",MID(Sync!$L1878,FIND("/",Sync!$L1878)+1,20))-1))),2)&amp;"/"&amp;RIGHT("00"&amp;VALUE(TRIM(MID(MID(Sync!$L1878,FIND("/",Sync!$L1878)+1,20),FIND("/",MID(Sync!$L1878,FIND("/",Sync!$L1878)+1,20))+1,20))),2),"")))</f>
        <v/>
      </c>
    </row>
    <row r="1879" spans="13:14" x14ac:dyDescent="0.2">
      <c r="M1879" t="str">
        <f>IF(Sync!$M1879&lt;&gt;"پاس چک","",IF(Sync!$P1879="","",Sync!$P1879))</f>
        <v/>
      </c>
      <c r="N1879" t="str">
        <f>IF($M1879="","",IF(ISNUMBER(Sync!$L1879),IF(AND(Sync!$L1879&gt;=10000101,Sync!$L1879&lt;=99991231),RIGHT("0000"&amp;INT(Sync!$L1879/10000),4)&amp;"/"&amp;RIGHT("00"&amp;INT(MOD(Sync!$L1879,10000)/100),2)&amp;"/"&amp;RIGHT("00"&amp;MOD(Sync!$L1879,100),2),""),IFERROR(RIGHT("0000"&amp;VALUE(TRIM(LEFT(Sync!$L1879,FIND("/",Sync!$L1879)-1))),4)&amp;"/"&amp;RIGHT("00"&amp;VALUE(TRIM(LEFT(MID(Sync!$L1879,FIND("/",Sync!$L1879)+1,20),FIND("/",MID(Sync!$L1879,FIND("/",Sync!$L1879)+1,20))-1))),2)&amp;"/"&amp;RIGHT("00"&amp;VALUE(TRIM(MID(MID(Sync!$L1879,FIND("/",Sync!$L1879)+1,20),FIND("/",MID(Sync!$L1879,FIND("/",Sync!$L1879)+1,20))+1,20))),2),"")))</f>
        <v/>
      </c>
    </row>
    <row r="1880" spans="13:14" x14ac:dyDescent="0.2">
      <c r="M1880" t="str">
        <f>IF(Sync!$M1880&lt;&gt;"پاس چک","",IF(Sync!$P1880="","",Sync!$P1880))</f>
        <v/>
      </c>
      <c r="N1880" t="str">
        <f>IF($M1880="","",IF(ISNUMBER(Sync!$L1880),IF(AND(Sync!$L1880&gt;=10000101,Sync!$L1880&lt;=99991231),RIGHT("0000"&amp;INT(Sync!$L1880/10000),4)&amp;"/"&amp;RIGHT("00"&amp;INT(MOD(Sync!$L1880,10000)/100),2)&amp;"/"&amp;RIGHT("00"&amp;MOD(Sync!$L1880,100),2),""),IFERROR(RIGHT("0000"&amp;VALUE(TRIM(LEFT(Sync!$L1880,FIND("/",Sync!$L1880)-1))),4)&amp;"/"&amp;RIGHT("00"&amp;VALUE(TRIM(LEFT(MID(Sync!$L1880,FIND("/",Sync!$L1880)+1,20),FIND("/",MID(Sync!$L1880,FIND("/",Sync!$L1880)+1,20))-1))),2)&amp;"/"&amp;RIGHT("00"&amp;VALUE(TRIM(MID(MID(Sync!$L1880,FIND("/",Sync!$L1880)+1,20),FIND("/",MID(Sync!$L1880,FIND("/",Sync!$L1880)+1,20))+1,20))),2),"")))</f>
        <v/>
      </c>
    </row>
    <row r="1881" spans="13:14" x14ac:dyDescent="0.2">
      <c r="M1881" t="str">
        <f>IF(Sync!$M1881&lt;&gt;"پاس چک","",IF(Sync!$P1881="","",Sync!$P1881))</f>
        <v/>
      </c>
      <c r="N1881" t="str">
        <f>IF($M1881="","",IF(ISNUMBER(Sync!$L1881),IF(AND(Sync!$L1881&gt;=10000101,Sync!$L1881&lt;=99991231),RIGHT("0000"&amp;INT(Sync!$L1881/10000),4)&amp;"/"&amp;RIGHT("00"&amp;INT(MOD(Sync!$L1881,10000)/100),2)&amp;"/"&amp;RIGHT("00"&amp;MOD(Sync!$L1881,100),2),""),IFERROR(RIGHT("0000"&amp;VALUE(TRIM(LEFT(Sync!$L1881,FIND("/",Sync!$L1881)-1))),4)&amp;"/"&amp;RIGHT("00"&amp;VALUE(TRIM(LEFT(MID(Sync!$L1881,FIND("/",Sync!$L1881)+1,20),FIND("/",MID(Sync!$L1881,FIND("/",Sync!$L1881)+1,20))-1))),2)&amp;"/"&amp;RIGHT("00"&amp;VALUE(TRIM(MID(MID(Sync!$L1881,FIND("/",Sync!$L1881)+1,20),FIND("/",MID(Sync!$L1881,FIND("/",Sync!$L1881)+1,20))+1,20))),2),"")))</f>
        <v/>
      </c>
    </row>
    <row r="1882" spans="13:14" x14ac:dyDescent="0.2">
      <c r="M1882" t="str">
        <f>IF(Sync!$M1882&lt;&gt;"پاس چک","",IF(Sync!$P1882="","",Sync!$P1882))</f>
        <v/>
      </c>
      <c r="N1882" t="str">
        <f>IF($M1882="","",IF(ISNUMBER(Sync!$L1882),IF(AND(Sync!$L1882&gt;=10000101,Sync!$L1882&lt;=99991231),RIGHT("0000"&amp;INT(Sync!$L1882/10000),4)&amp;"/"&amp;RIGHT("00"&amp;INT(MOD(Sync!$L1882,10000)/100),2)&amp;"/"&amp;RIGHT("00"&amp;MOD(Sync!$L1882,100),2),""),IFERROR(RIGHT("0000"&amp;VALUE(TRIM(LEFT(Sync!$L1882,FIND("/",Sync!$L1882)-1))),4)&amp;"/"&amp;RIGHT("00"&amp;VALUE(TRIM(LEFT(MID(Sync!$L1882,FIND("/",Sync!$L1882)+1,20),FIND("/",MID(Sync!$L1882,FIND("/",Sync!$L1882)+1,20))-1))),2)&amp;"/"&amp;RIGHT("00"&amp;VALUE(TRIM(MID(MID(Sync!$L1882,FIND("/",Sync!$L1882)+1,20),FIND("/",MID(Sync!$L1882,FIND("/",Sync!$L1882)+1,20))+1,20))),2),"")))</f>
        <v/>
      </c>
    </row>
    <row r="1883" spans="13:14" x14ac:dyDescent="0.2">
      <c r="M1883" t="str">
        <f>IF(Sync!$M1883&lt;&gt;"پاس چک","",IF(Sync!$P1883="","",Sync!$P1883))</f>
        <v/>
      </c>
      <c r="N1883" t="str">
        <f>IF($M1883="","",IF(ISNUMBER(Sync!$L1883),IF(AND(Sync!$L1883&gt;=10000101,Sync!$L1883&lt;=99991231),RIGHT("0000"&amp;INT(Sync!$L1883/10000),4)&amp;"/"&amp;RIGHT("00"&amp;INT(MOD(Sync!$L1883,10000)/100),2)&amp;"/"&amp;RIGHT("00"&amp;MOD(Sync!$L1883,100),2),""),IFERROR(RIGHT("0000"&amp;VALUE(TRIM(LEFT(Sync!$L1883,FIND("/",Sync!$L1883)-1))),4)&amp;"/"&amp;RIGHT("00"&amp;VALUE(TRIM(LEFT(MID(Sync!$L1883,FIND("/",Sync!$L1883)+1,20),FIND("/",MID(Sync!$L1883,FIND("/",Sync!$L1883)+1,20))-1))),2)&amp;"/"&amp;RIGHT("00"&amp;VALUE(TRIM(MID(MID(Sync!$L1883,FIND("/",Sync!$L1883)+1,20),FIND("/",MID(Sync!$L1883,FIND("/",Sync!$L1883)+1,20))+1,20))),2),"")))</f>
        <v/>
      </c>
    </row>
    <row r="1884" spans="13:14" x14ac:dyDescent="0.2">
      <c r="M1884" t="str">
        <f>IF(Sync!$M1884&lt;&gt;"پاس چک","",IF(Sync!$P1884="","",Sync!$P1884))</f>
        <v/>
      </c>
      <c r="N1884" t="str">
        <f>IF($M1884="","",IF(ISNUMBER(Sync!$L1884),IF(AND(Sync!$L1884&gt;=10000101,Sync!$L1884&lt;=99991231),RIGHT("0000"&amp;INT(Sync!$L1884/10000),4)&amp;"/"&amp;RIGHT("00"&amp;INT(MOD(Sync!$L1884,10000)/100),2)&amp;"/"&amp;RIGHT("00"&amp;MOD(Sync!$L1884,100),2),""),IFERROR(RIGHT("0000"&amp;VALUE(TRIM(LEFT(Sync!$L1884,FIND("/",Sync!$L1884)-1))),4)&amp;"/"&amp;RIGHT("00"&amp;VALUE(TRIM(LEFT(MID(Sync!$L1884,FIND("/",Sync!$L1884)+1,20),FIND("/",MID(Sync!$L1884,FIND("/",Sync!$L1884)+1,20))-1))),2)&amp;"/"&amp;RIGHT("00"&amp;VALUE(TRIM(MID(MID(Sync!$L1884,FIND("/",Sync!$L1884)+1,20),FIND("/",MID(Sync!$L1884,FIND("/",Sync!$L1884)+1,20))+1,20))),2),"")))</f>
        <v/>
      </c>
    </row>
    <row r="1885" spans="13:14" x14ac:dyDescent="0.2">
      <c r="M1885" t="str">
        <f>IF(Sync!$M1885&lt;&gt;"پاس چک","",IF(Sync!$P1885="","",Sync!$P1885))</f>
        <v/>
      </c>
      <c r="N1885" t="str">
        <f>IF($M1885="","",IF(ISNUMBER(Sync!$L1885),IF(AND(Sync!$L1885&gt;=10000101,Sync!$L1885&lt;=99991231),RIGHT("0000"&amp;INT(Sync!$L1885/10000),4)&amp;"/"&amp;RIGHT("00"&amp;INT(MOD(Sync!$L1885,10000)/100),2)&amp;"/"&amp;RIGHT("00"&amp;MOD(Sync!$L1885,100),2),""),IFERROR(RIGHT("0000"&amp;VALUE(TRIM(LEFT(Sync!$L1885,FIND("/",Sync!$L1885)-1))),4)&amp;"/"&amp;RIGHT("00"&amp;VALUE(TRIM(LEFT(MID(Sync!$L1885,FIND("/",Sync!$L1885)+1,20),FIND("/",MID(Sync!$L1885,FIND("/",Sync!$L1885)+1,20))-1))),2)&amp;"/"&amp;RIGHT("00"&amp;VALUE(TRIM(MID(MID(Sync!$L1885,FIND("/",Sync!$L1885)+1,20),FIND("/",MID(Sync!$L1885,FIND("/",Sync!$L1885)+1,20))+1,20))),2),"")))</f>
        <v/>
      </c>
    </row>
    <row r="1886" spans="13:14" x14ac:dyDescent="0.2">
      <c r="M1886" t="str">
        <f>IF(Sync!$M1886&lt;&gt;"پاس چک","",IF(Sync!$P1886="","",Sync!$P1886))</f>
        <v/>
      </c>
      <c r="N1886" t="str">
        <f>IF($M1886="","",IF(ISNUMBER(Sync!$L1886),IF(AND(Sync!$L1886&gt;=10000101,Sync!$L1886&lt;=99991231),RIGHT("0000"&amp;INT(Sync!$L1886/10000),4)&amp;"/"&amp;RIGHT("00"&amp;INT(MOD(Sync!$L1886,10000)/100),2)&amp;"/"&amp;RIGHT("00"&amp;MOD(Sync!$L1886,100),2),""),IFERROR(RIGHT("0000"&amp;VALUE(TRIM(LEFT(Sync!$L1886,FIND("/",Sync!$L1886)-1))),4)&amp;"/"&amp;RIGHT("00"&amp;VALUE(TRIM(LEFT(MID(Sync!$L1886,FIND("/",Sync!$L1886)+1,20),FIND("/",MID(Sync!$L1886,FIND("/",Sync!$L1886)+1,20))-1))),2)&amp;"/"&amp;RIGHT("00"&amp;VALUE(TRIM(MID(MID(Sync!$L1886,FIND("/",Sync!$L1886)+1,20),FIND("/",MID(Sync!$L1886,FIND("/",Sync!$L1886)+1,20))+1,20))),2),"")))</f>
        <v/>
      </c>
    </row>
    <row r="1887" spans="13:14" x14ac:dyDescent="0.2">
      <c r="M1887" t="str">
        <f>IF(Sync!$M1887&lt;&gt;"پاس چک","",IF(Sync!$P1887="","",Sync!$P1887))</f>
        <v/>
      </c>
      <c r="N1887" t="str">
        <f>IF($M1887="","",IF(ISNUMBER(Sync!$L1887),IF(AND(Sync!$L1887&gt;=10000101,Sync!$L1887&lt;=99991231),RIGHT("0000"&amp;INT(Sync!$L1887/10000),4)&amp;"/"&amp;RIGHT("00"&amp;INT(MOD(Sync!$L1887,10000)/100),2)&amp;"/"&amp;RIGHT("00"&amp;MOD(Sync!$L1887,100),2),""),IFERROR(RIGHT("0000"&amp;VALUE(TRIM(LEFT(Sync!$L1887,FIND("/",Sync!$L1887)-1))),4)&amp;"/"&amp;RIGHT("00"&amp;VALUE(TRIM(LEFT(MID(Sync!$L1887,FIND("/",Sync!$L1887)+1,20),FIND("/",MID(Sync!$L1887,FIND("/",Sync!$L1887)+1,20))-1))),2)&amp;"/"&amp;RIGHT("00"&amp;VALUE(TRIM(MID(MID(Sync!$L1887,FIND("/",Sync!$L1887)+1,20),FIND("/",MID(Sync!$L1887,FIND("/",Sync!$L1887)+1,20))+1,20))),2),"")))</f>
        <v/>
      </c>
    </row>
    <row r="1888" spans="13:14" x14ac:dyDescent="0.2">
      <c r="M1888" t="str">
        <f>IF(Sync!$M1888&lt;&gt;"پاس چک","",IF(Sync!$P1888="","",Sync!$P1888))</f>
        <v/>
      </c>
      <c r="N1888" t="str">
        <f>IF($M1888="","",IF(ISNUMBER(Sync!$L1888),IF(AND(Sync!$L1888&gt;=10000101,Sync!$L1888&lt;=99991231),RIGHT("0000"&amp;INT(Sync!$L1888/10000),4)&amp;"/"&amp;RIGHT("00"&amp;INT(MOD(Sync!$L1888,10000)/100),2)&amp;"/"&amp;RIGHT("00"&amp;MOD(Sync!$L1888,100),2),""),IFERROR(RIGHT("0000"&amp;VALUE(TRIM(LEFT(Sync!$L1888,FIND("/",Sync!$L1888)-1))),4)&amp;"/"&amp;RIGHT("00"&amp;VALUE(TRIM(LEFT(MID(Sync!$L1888,FIND("/",Sync!$L1888)+1,20),FIND("/",MID(Sync!$L1888,FIND("/",Sync!$L1888)+1,20))-1))),2)&amp;"/"&amp;RIGHT("00"&amp;VALUE(TRIM(MID(MID(Sync!$L1888,FIND("/",Sync!$L1888)+1,20),FIND("/",MID(Sync!$L1888,FIND("/",Sync!$L1888)+1,20))+1,20))),2),"")))</f>
        <v/>
      </c>
    </row>
    <row r="1889" spans="13:14" x14ac:dyDescent="0.2">
      <c r="M1889" t="str">
        <f>IF(Sync!$M1889&lt;&gt;"پاس چک","",IF(Sync!$P1889="","",Sync!$P1889))</f>
        <v/>
      </c>
      <c r="N1889" t="str">
        <f>IF($M1889="","",IF(ISNUMBER(Sync!$L1889),IF(AND(Sync!$L1889&gt;=10000101,Sync!$L1889&lt;=99991231),RIGHT("0000"&amp;INT(Sync!$L1889/10000),4)&amp;"/"&amp;RIGHT("00"&amp;INT(MOD(Sync!$L1889,10000)/100),2)&amp;"/"&amp;RIGHT("00"&amp;MOD(Sync!$L1889,100),2),""),IFERROR(RIGHT("0000"&amp;VALUE(TRIM(LEFT(Sync!$L1889,FIND("/",Sync!$L1889)-1))),4)&amp;"/"&amp;RIGHT("00"&amp;VALUE(TRIM(LEFT(MID(Sync!$L1889,FIND("/",Sync!$L1889)+1,20),FIND("/",MID(Sync!$L1889,FIND("/",Sync!$L1889)+1,20))-1))),2)&amp;"/"&amp;RIGHT("00"&amp;VALUE(TRIM(MID(MID(Sync!$L1889,FIND("/",Sync!$L1889)+1,20),FIND("/",MID(Sync!$L1889,FIND("/",Sync!$L1889)+1,20))+1,20))),2),"")))</f>
        <v/>
      </c>
    </row>
    <row r="1890" spans="13:14" x14ac:dyDescent="0.2">
      <c r="M1890" t="str">
        <f>IF(Sync!$M1890&lt;&gt;"پاس چک","",IF(Sync!$P1890="","",Sync!$P1890))</f>
        <v/>
      </c>
      <c r="N1890" t="str">
        <f>IF($M1890="","",IF(ISNUMBER(Sync!$L1890),IF(AND(Sync!$L1890&gt;=10000101,Sync!$L1890&lt;=99991231),RIGHT("0000"&amp;INT(Sync!$L1890/10000),4)&amp;"/"&amp;RIGHT("00"&amp;INT(MOD(Sync!$L1890,10000)/100),2)&amp;"/"&amp;RIGHT("00"&amp;MOD(Sync!$L1890,100),2),""),IFERROR(RIGHT("0000"&amp;VALUE(TRIM(LEFT(Sync!$L1890,FIND("/",Sync!$L1890)-1))),4)&amp;"/"&amp;RIGHT("00"&amp;VALUE(TRIM(LEFT(MID(Sync!$L1890,FIND("/",Sync!$L1890)+1,20),FIND("/",MID(Sync!$L1890,FIND("/",Sync!$L1890)+1,20))-1))),2)&amp;"/"&amp;RIGHT("00"&amp;VALUE(TRIM(MID(MID(Sync!$L1890,FIND("/",Sync!$L1890)+1,20),FIND("/",MID(Sync!$L1890,FIND("/",Sync!$L1890)+1,20))+1,20))),2),"")))</f>
        <v/>
      </c>
    </row>
    <row r="1891" spans="13:14" x14ac:dyDescent="0.2">
      <c r="M1891" t="str">
        <f>IF(Sync!$M1891&lt;&gt;"پاس چک","",IF(Sync!$P1891="","",Sync!$P1891))</f>
        <v/>
      </c>
      <c r="N1891" t="str">
        <f>IF($M1891="","",IF(ISNUMBER(Sync!$L1891),IF(AND(Sync!$L1891&gt;=10000101,Sync!$L1891&lt;=99991231),RIGHT("0000"&amp;INT(Sync!$L1891/10000),4)&amp;"/"&amp;RIGHT("00"&amp;INT(MOD(Sync!$L1891,10000)/100),2)&amp;"/"&amp;RIGHT("00"&amp;MOD(Sync!$L1891,100),2),""),IFERROR(RIGHT("0000"&amp;VALUE(TRIM(LEFT(Sync!$L1891,FIND("/",Sync!$L1891)-1))),4)&amp;"/"&amp;RIGHT("00"&amp;VALUE(TRIM(LEFT(MID(Sync!$L1891,FIND("/",Sync!$L1891)+1,20),FIND("/",MID(Sync!$L1891,FIND("/",Sync!$L1891)+1,20))-1))),2)&amp;"/"&amp;RIGHT("00"&amp;VALUE(TRIM(MID(MID(Sync!$L1891,FIND("/",Sync!$L1891)+1,20),FIND("/",MID(Sync!$L1891,FIND("/",Sync!$L1891)+1,20))+1,20))),2),"")))</f>
        <v/>
      </c>
    </row>
    <row r="1892" spans="13:14" x14ac:dyDescent="0.2">
      <c r="M1892" t="str">
        <f>IF(Sync!$M1892&lt;&gt;"پاس چک","",IF(Sync!$P1892="","",Sync!$P1892))</f>
        <v/>
      </c>
      <c r="N1892" t="str">
        <f>IF($M1892="","",IF(ISNUMBER(Sync!$L1892),IF(AND(Sync!$L1892&gt;=10000101,Sync!$L1892&lt;=99991231),RIGHT("0000"&amp;INT(Sync!$L1892/10000),4)&amp;"/"&amp;RIGHT("00"&amp;INT(MOD(Sync!$L1892,10000)/100),2)&amp;"/"&amp;RIGHT("00"&amp;MOD(Sync!$L1892,100),2),""),IFERROR(RIGHT("0000"&amp;VALUE(TRIM(LEFT(Sync!$L1892,FIND("/",Sync!$L1892)-1))),4)&amp;"/"&amp;RIGHT("00"&amp;VALUE(TRIM(LEFT(MID(Sync!$L1892,FIND("/",Sync!$L1892)+1,20),FIND("/",MID(Sync!$L1892,FIND("/",Sync!$L1892)+1,20))-1))),2)&amp;"/"&amp;RIGHT("00"&amp;VALUE(TRIM(MID(MID(Sync!$L1892,FIND("/",Sync!$L1892)+1,20),FIND("/",MID(Sync!$L1892,FIND("/",Sync!$L1892)+1,20))+1,20))),2),"")))</f>
        <v/>
      </c>
    </row>
    <row r="1893" spans="13:14" x14ac:dyDescent="0.2">
      <c r="M1893" t="str">
        <f>IF(Sync!$M1893&lt;&gt;"پاس چک","",IF(Sync!$P1893="","",Sync!$P1893))</f>
        <v/>
      </c>
      <c r="N1893" t="str">
        <f>IF($M1893="","",IF(ISNUMBER(Sync!$L1893),IF(AND(Sync!$L1893&gt;=10000101,Sync!$L1893&lt;=99991231),RIGHT("0000"&amp;INT(Sync!$L1893/10000),4)&amp;"/"&amp;RIGHT("00"&amp;INT(MOD(Sync!$L1893,10000)/100),2)&amp;"/"&amp;RIGHT("00"&amp;MOD(Sync!$L1893,100),2),""),IFERROR(RIGHT("0000"&amp;VALUE(TRIM(LEFT(Sync!$L1893,FIND("/",Sync!$L1893)-1))),4)&amp;"/"&amp;RIGHT("00"&amp;VALUE(TRIM(LEFT(MID(Sync!$L1893,FIND("/",Sync!$L1893)+1,20),FIND("/",MID(Sync!$L1893,FIND("/",Sync!$L1893)+1,20))-1))),2)&amp;"/"&amp;RIGHT("00"&amp;VALUE(TRIM(MID(MID(Sync!$L1893,FIND("/",Sync!$L1893)+1,20),FIND("/",MID(Sync!$L1893,FIND("/",Sync!$L1893)+1,20))+1,20))),2),"")))</f>
        <v/>
      </c>
    </row>
    <row r="1894" spans="13:14" x14ac:dyDescent="0.2">
      <c r="M1894" t="str">
        <f>IF(Sync!$M1894&lt;&gt;"پاس چک","",IF(Sync!$P1894="","",Sync!$P1894))</f>
        <v/>
      </c>
      <c r="N1894" t="str">
        <f>IF($M1894="","",IF(ISNUMBER(Sync!$L1894),IF(AND(Sync!$L1894&gt;=10000101,Sync!$L1894&lt;=99991231),RIGHT("0000"&amp;INT(Sync!$L1894/10000),4)&amp;"/"&amp;RIGHT("00"&amp;INT(MOD(Sync!$L1894,10000)/100),2)&amp;"/"&amp;RIGHT("00"&amp;MOD(Sync!$L1894,100),2),""),IFERROR(RIGHT("0000"&amp;VALUE(TRIM(LEFT(Sync!$L1894,FIND("/",Sync!$L1894)-1))),4)&amp;"/"&amp;RIGHT("00"&amp;VALUE(TRIM(LEFT(MID(Sync!$L1894,FIND("/",Sync!$L1894)+1,20),FIND("/",MID(Sync!$L1894,FIND("/",Sync!$L1894)+1,20))-1))),2)&amp;"/"&amp;RIGHT("00"&amp;VALUE(TRIM(MID(MID(Sync!$L1894,FIND("/",Sync!$L1894)+1,20),FIND("/",MID(Sync!$L1894,FIND("/",Sync!$L1894)+1,20))+1,20))),2),"")))</f>
        <v/>
      </c>
    </row>
    <row r="1895" spans="13:14" x14ac:dyDescent="0.2">
      <c r="M1895" t="str">
        <f>IF(Sync!$M1895&lt;&gt;"پاس چک","",IF(Sync!$P1895="","",Sync!$P1895))</f>
        <v/>
      </c>
      <c r="N1895" t="str">
        <f>IF($M1895="","",IF(ISNUMBER(Sync!$L1895),IF(AND(Sync!$L1895&gt;=10000101,Sync!$L1895&lt;=99991231),RIGHT("0000"&amp;INT(Sync!$L1895/10000),4)&amp;"/"&amp;RIGHT("00"&amp;INT(MOD(Sync!$L1895,10000)/100),2)&amp;"/"&amp;RIGHT("00"&amp;MOD(Sync!$L1895,100),2),""),IFERROR(RIGHT("0000"&amp;VALUE(TRIM(LEFT(Sync!$L1895,FIND("/",Sync!$L1895)-1))),4)&amp;"/"&amp;RIGHT("00"&amp;VALUE(TRIM(LEFT(MID(Sync!$L1895,FIND("/",Sync!$L1895)+1,20),FIND("/",MID(Sync!$L1895,FIND("/",Sync!$L1895)+1,20))-1))),2)&amp;"/"&amp;RIGHT("00"&amp;VALUE(TRIM(MID(MID(Sync!$L1895,FIND("/",Sync!$L1895)+1,20),FIND("/",MID(Sync!$L1895,FIND("/",Sync!$L1895)+1,20))+1,20))),2),"")))</f>
        <v/>
      </c>
    </row>
    <row r="1896" spans="13:14" x14ac:dyDescent="0.2">
      <c r="M1896" t="str">
        <f>IF(Sync!$M1896&lt;&gt;"پاس چک","",IF(Sync!$P1896="","",Sync!$P1896))</f>
        <v/>
      </c>
      <c r="N1896" t="str">
        <f>IF($M1896="","",IF(ISNUMBER(Sync!$L1896),IF(AND(Sync!$L1896&gt;=10000101,Sync!$L1896&lt;=99991231),RIGHT("0000"&amp;INT(Sync!$L1896/10000),4)&amp;"/"&amp;RIGHT("00"&amp;INT(MOD(Sync!$L1896,10000)/100),2)&amp;"/"&amp;RIGHT("00"&amp;MOD(Sync!$L1896,100),2),""),IFERROR(RIGHT("0000"&amp;VALUE(TRIM(LEFT(Sync!$L1896,FIND("/",Sync!$L1896)-1))),4)&amp;"/"&amp;RIGHT("00"&amp;VALUE(TRIM(LEFT(MID(Sync!$L1896,FIND("/",Sync!$L1896)+1,20),FIND("/",MID(Sync!$L1896,FIND("/",Sync!$L1896)+1,20))-1))),2)&amp;"/"&amp;RIGHT("00"&amp;VALUE(TRIM(MID(MID(Sync!$L1896,FIND("/",Sync!$L1896)+1,20),FIND("/",MID(Sync!$L1896,FIND("/",Sync!$L1896)+1,20))+1,20))),2),"")))</f>
        <v/>
      </c>
    </row>
    <row r="1897" spans="13:14" x14ac:dyDescent="0.2">
      <c r="M1897" t="str">
        <f>IF(Sync!$M1897&lt;&gt;"پاس چک","",IF(Sync!$P1897="","",Sync!$P1897))</f>
        <v/>
      </c>
      <c r="N1897" t="str">
        <f>IF($M1897="","",IF(ISNUMBER(Sync!$L1897),IF(AND(Sync!$L1897&gt;=10000101,Sync!$L1897&lt;=99991231),RIGHT("0000"&amp;INT(Sync!$L1897/10000),4)&amp;"/"&amp;RIGHT("00"&amp;INT(MOD(Sync!$L1897,10000)/100),2)&amp;"/"&amp;RIGHT("00"&amp;MOD(Sync!$L1897,100),2),""),IFERROR(RIGHT("0000"&amp;VALUE(TRIM(LEFT(Sync!$L1897,FIND("/",Sync!$L1897)-1))),4)&amp;"/"&amp;RIGHT("00"&amp;VALUE(TRIM(LEFT(MID(Sync!$L1897,FIND("/",Sync!$L1897)+1,20),FIND("/",MID(Sync!$L1897,FIND("/",Sync!$L1897)+1,20))-1))),2)&amp;"/"&amp;RIGHT("00"&amp;VALUE(TRIM(MID(MID(Sync!$L1897,FIND("/",Sync!$L1897)+1,20),FIND("/",MID(Sync!$L1897,FIND("/",Sync!$L1897)+1,20))+1,20))),2),"")))</f>
        <v/>
      </c>
    </row>
    <row r="1898" spans="13:14" x14ac:dyDescent="0.2">
      <c r="M1898" t="str">
        <f>IF(Sync!$M1898&lt;&gt;"پاس چک","",IF(Sync!$P1898="","",Sync!$P1898))</f>
        <v/>
      </c>
      <c r="N1898" t="str">
        <f>IF($M1898="","",IF(ISNUMBER(Sync!$L1898),IF(AND(Sync!$L1898&gt;=10000101,Sync!$L1898&lt;=99991231),RIGHT("0000"&amp;INT(Sync!$L1898/10000),4)&amp;"/"&amp;RIGHT("00"&amp;INT(MOD(Sync!$L1898,10000)/100),2)&amp;"/"&amp;RIGHT("00"&amp;MOD(Sync!$L1898,100),2),""),IFERROR(RIGHT("0000"&amp;VALUE(TRIM(LEFT(Sync!$L1898,FIND("/",Sync!$L1898)-1))),4)&amp;"/"&amp;RIGHT("00"&amp;VALUE(TRIM(LEFT(MID(Sync!$L1898,FIND("/",Sync!$L1898)+1,20),FIND("/",MID(Sync!$L1898,FIND("/",Sync!$L1898)+1,20))-1))),2)&amp;"/"&amp;RIGHT("00"&amp;VALUE(TRIM(MID(MID(Sync!$L1898,FIND("/",Sync!$L1898)+1,20),FIND("/",MID(Sync!$L1898,FIND("/",Sync!$L1898)+1,20))+1,20))),2),"")))</f>
        <v/>
      </c>
    </row>
    <row r="1899" spans="13:14" x14ac:dyDescent="0.2">
      <c r="M1899" t="str">
        <f>IF(Sync!$M1899&lt;&gt;"پاس چک","",IF(Sync!$P1899="","",Sync!$P1899))</f>
        <v/>
      </c>
      <c r="N1899" t="str">
        <f>IF($M1899="","",IF(ISNUMBER(Sync!$L1899),IF(AND(Sync!$L1899&gt;=10000101,Sync!$L1899&lt;=99991231),RIGHT("0000"&amp;INT(Sync!$L1899/10000),4)&amp;"/"&amp;RIGHT("00"&amp;INT(MOD(Sync!$L1899,10000)/100),2)&amp;"/"&amp;RIGHT("00"&amp;MOD(Sync!$L1899,100),2),""),IFERROR(RIGHT("0000"&amp;VALUE(TRIM(LEFT(Sync!$L1899,FIND("/",Sync!$L1899)-1))),4)&amp;"/"&amp;RIGHT("00"&amp;VALUE(TRIM(LEFT(MID(Sync!$L1899,FIND("/",Sync!$L1899)+1,20),FIND("/",MID(Sync!$L1899,FIND("/",Sync!$L1899)+1,20))-1))),2)&amp;"/"&amp;RIGHT("00"&amp;VALUE(TRIM(MID(MID(Sync!$L1899,FIND("/",Sync!$L1899)+1,20),FIND("/",MID(Sync!$L1899,FIND("/",Sync!$L1899)+1,20))+1,20))),2),"")))</f>
        <v/>
      </c>
    </row>
    <row r="1900" spans="13:14" x14ac:dyDescent="0.2">
      <c r="M1900" t="str">
        <f>IF(Sync!$M1900&lt;&gt;"پاس چک","",IF(Sync!$P1900="","",Sync!$P1900))</f>
        <v/>
      </c>
      <c r="N1900" t="str">
        <f>IF($M1900="","",IF(ISNUMBER(Sync!$L1900),IF(AND(Sync!$L1900&gt;=10000101,Sync!$L1900&lt;=99991231),RIGHT("0000"&amp;INT(Sync!$L1900/10000),4)&amp;"/"&amp;RIGHT("00"&amp;INT(MOD(Sync!$L1900,10000)/100),2)&amp;"/"&amp;RIGHT("00"&amp;MOD(Sync!$L1900,100),2),""),IFERROR(RIGHT("0000"&amp;VALUE(TRIM(LEFT(Sync!$L1900,FIND("/",Sync!$L1900)-1))),4)&amp;"/"&amp;RIGHT("00"&amp;VALUE(TRIM(LEFT(MID(Sync!$L1900,FIND("/",Sync!$L1900)+1,20),FIND("/",MID(Sync!$L1900,FIND("/",Sync!$L1900)+1,20))-1))),2)&amp;"/"&amp;RIGHT("00"&amp;VALUE(TRIM(MID(MID(Sync!$L1900,FIND("/",Sync!$L1900)+1,20),FIND("/",MID(Sync!$L1900,FIND("/",Sync!$L1900)+1,20))+1,20))),2),"")))</f>
        <v/>
      </c>
    </row>
    <row r="1901" spans="13:14" x14ac:dyDescent="0.2">
      <c r="M1901" t="str">
        <f>IF(Sync!$M1901&lt;&gt;"پاس چک","",IF(Sync!$P1901="","",Sync!$P1901))</f>
        <v/>
      </c>
      <c r="N1901" t="str">
        <f>IF($M1901="","",IF(ISNUMBER(Sync!$L1901),IF(AND(Sync!$L1901&gt;=10000101,Sync!$L1901&lt;=99991231),RIGHT("0000"&amp;INT(Sync!$L1901/10000),4)&amp;"/"&amp;RIGHT("00"&amp;INT(MOD(Sync!$L1901,10000)/100),2)&amp;"/"&amp;RIGHT("00"&amp;MOD(Sync!$L1901,100),2),""),IFERROR(RIGHT("0000"&amp;VALUE(TRIM(LEFT(Sync!$L1901,FIND("/",Sync!$L1901)-1))),4)&amp;"/"&amp;RIGHT("00"&amp;VALUE(TRIM(LEFT(MID(Sync!$L1901,FIND("/",Sync!$L1901)+1,20),FIND("/",MID(Sync!$L1901,FIND("/",Sync!$L1901)+1,20))-1))),2)&amp;"/"&amp;RIGHT("00"&amp;VALUE(TRIM(MID(MID(Sync!$L1901,FIND("/",Sync!$L1901)+1,20),FIND("/",MID(Sync!$L1901,FIND("/",Sync!$L1901)+1,20))+1,20))),2),"")))</f>
        <v/>
      </c>
    </row>
    <row r="1902" spans="13:14" x14ac:dyDescent="0.2">
      <c r="M1902" t="str">
        <f>IF(Sync!$M1902&lt;&gt;"پاس چک","",IF(Sync!$P1902="","",Sync!$P1902))</f>
        <v/>
      </c>
      <c r="N1902" t="str">
        <f>IF($M1902="","",IF(ISNUMBER(Sync!$L1902),IF(AND(Sync!$L1902&gt;=10000101,Sync!$L1902&lt;=99991231),RIGHT("0000"&amp;INT(Sync!$L1902/10000),4)&amp;"/"&amp;RIGHT("00"&amp;INT(MOD(Sync!$L1902,10000)/100),2)&amp;"/"&amp;RIGHT("00"&amp;MOD(Sync!$L1902,100),2),""),IFERROR(RIGHT("0000"&amp;VALUE(TRIM(LEFT(Sync!$L1902,FIND("/",Sync!$L1902)-1))),4)&amp;"/"&amp;RIGHT("00"&amp;VALUE(TRIM(LEFT(MID(Sync!$L1902,FIND("/",Sync!$L1902)+1,20),FIND("/",MID(Sync!$L1902,FIND("/",Sync!$L1902)+1,20))-1))),2)&amp;"/"&amp;RIGHT("00"&amp;VALUE(TRIM(MID(MID(Sync!$L1902,FIND("/",Sync!$L1902)+1,20),FIND("/",MID(Sync!$L1902,FIND("/",Sync!$L1902)+1,20))+1,20))),2),"")))</f>
        <v/>
      </c>
    </row>
    <row r="1903" spans="13:14" x14ac:dyDescent="0.2">
      <c r="M1903" t="str">
        <f>IF(Sync!$M1903&lt;&gt;"پاس چک","",IF(Sync!$P1903="","",Sync!$P1903))</f>
        <v/>
      </c>
      <c r="N1903" t="str">
        <f>IF($M1903="","",IF(ISNUMBER(Sync!$L1903),IF(AND(Sync!$L1903&gt;=10000101,Sync!$L1903&lt;=99991231),RIGHT("0000"&amp;INT(Sync!$L1903/10000),4)&amp;"/"&amp;RIGHT("00"&amp;INT(MOD(Sync!$L1903,10000)/100),2)&amp;"/"&amp;RIGHT("00"&amp;MOD(Sync!$L1903,100),2),""),IFERROR(RIGHT("0000"&amp;VALUE(TRIM(LEFT(Sync!$L1903,FIND("/",Sync!$L1903)-1))),4)&amp;"/"&amp;RIGHT("00"&amp;VALUE(TRIM(LEFT(MID(Sync!$L1903,FIND("/",Sync!$L1903)+1,20),FIND("/",MID(Sync!$L1903,FIND("/",Sync!$L1903)+1,20))-1))),2)&amp;"/"&amp;RIGHT("00"&amp;VALUE(TRIM(MID(MID(Sync!$L1903,FIND("/",Sync!$L1903)+1,20),FIND("/",MID(Sync!$L1903,FIND("/",Sync!$L1903)+1,20))+1,20))),2),"")))</f>
        <v/>
      </c>
    </row>
    <row r="1904" spans="13:14" x14ac:dyDescent="0.2">
      <c r="M1904" t="str">
        <f>IF(Sync!$M1904&lt;&gt;"پاس چک","",IF(Sync!$P1904="","",Sync!$P1904))</f>
        <v/>
      </c>
      <c r="N1904" t="str">
        <f>IF($M1904="","",IF(ISNUMBER(Sync!$L1904),IF(AND(Sync!$L1904&gt;=10000101,Sync!$L1904&lt;=99991231),RIGHT("0000"&amp;INT(Sync!$L1904/10000),4)&amp;"/"&amp;RIGHT("00"&amp;INT(MOD(Sync!$L1904,10000)/100),2)&amp;"/"&amp;RIGHT("00"&amp;MOD(Sync!$L1904,100),2),""),IFERROR(RIGHT("0000"&amp;VALUE(TRIM(LEFT(Sync!$L1904,FIND("/",Sync!$L1904)-1))),4)&amp;"/"&amp;RIGHT("00"&amp;VALUE(TRIM(LEFT(MID(Sync!$L1904,FIND("/",Sync!$L1904)+1,20),FIND("/",MID(Sync!$L1904,FIND("/",Sync!$L1904)+1,20))-1))),2)&amp;"/"&amp;RIGHT("00"&amp;VALUE(TRIM(MID(MID(Sync!$L1904,FIND("/",Sync!$L1904)+1,20),FIND("/",MID(Sync!$L1904,FIND("/",Sync!$L1904)+1,20))+1,20))),2),"")))</f>
        <v/>
      </c>
    </row>
    <row r="1905" spans="13:14" x14ac:dyDescent="0.2">
      <c r="M1905" t="str">
        <f>IF(Sync!$M1905&lt;&gt;"پاس چک","",IF(Sync!$P1905="","",Sync!$P1905))</f>
        <v/>
      </c>
      <c r="N1905" t="str">
        <f>IF($M1905="","",IF(ISNUMBER(Sync!$L1905),IF(AND(Sync!$L1905&gt;=10000101,Sync!$L1905&lt;=99991231),RIGHT("0000"&amp;INT(Sync!$L1905/10000),4)&amp;"/"&amp;RIGHT("00"&amp;INT(MOD(Sync!$L1905,10000)/100),2)&amp;"/"&amp;RIGHT("00"&amp;MOD(Sync!$L1905,100),2),""),IFERROR(RIGHT("0000"&amp;VALUE(TRIM(LEFT(Sync!$L1905,FIND("/",Sync!$L1905)-1))),4)&amp;"/"&amp;RIGHT("00"&amp;VALUE(TRIM(LEFT(MID(Sync!$L1905,FIND("/",Sync!$L1905)+1,20),FIND("/",MID(Sync!$L1905,FIND("/",Sync!$L1905)+1,20))-1))),2)&amp;"/"&amp;RIGHT("00"&amp;VALUE(TRIM(MID(MID(Sync!$L1905,FIND("/",Sync!$L1905)+1,20),FIND("/",MID(Sync!$L1905,FIND("/",Sync!$L1905)+1,20))+1,20))),2),"")))</f>
        <v/>
      </c>
    </row>
    <row r="1906" spans="13:14" x14ac:dyDescent="0.2">
      <c r="M1906" t="str">
        <f>IF(Sync!$M1906&lt;&gt;"پاس چک","",IF(Sync!$P1906="","",Sync!$P1906))</f>
        <v/>
      </c>
      <c r="N1906" t="str">
        <f>IF($M1906="","",IF(ISNUMBER(Sync!$L1906),IF(AND(Sync!$L1906&gt;=10000101,Sync!$L1906&lt;=99991231),RIGHT("0000"&amp;INT(Sync!$L1906/10000),4)&amp;"/"&amp;RIGHT("00"&amp;INT(MOD(Sync!$L1906,10000)/100),2)&amp;"/"&amp;RIGHT("00"&amp;MOD(Sync!$L1906,100),2),""),IFERROR(RIGHT("0000"&amp;VALUE(TRIM(LEFT(Sync!$L1906,FIND("/",Sync!$L1906)-1))),4)&amp;"/"&amp;RIGHT("00"&amp;VALUE(TRIM(LEFT(MID(Sync!$L1906,FIND("/",Sync!$L1906)+1,20),FIND("/",MID(Sync!$L1906,FIND("/",Sync!$L1906)+1,20))-1))),2)&amp;"/"&amp;RIGHT("00"&amp;VALUE(TRIM(MID(MID(Sync!$L1906,FIND("/",Sync!$L1906)+1,20),FIND("/",MID(Sync!$L1906,FIND("/",Sync!$L1906)+1,20))+1,20))),2),"")))</f>
        <v/>
      </c>
    </row>
    <row r="1907" spans="13:14" x14ac:dyDescent="0.2">
      <c r="M1907" t="str">
        <f>IF(Sync!$M1907&lt;&gt;"پاس چک","",IF(Sync!$P1907="","",Sync!$P1907))</f>
        <v/>
      </c>
      <c r="N1907" t="str">
        <f>IF($M1907="","",IF(ISNUMBER(Sync!$L1907),IF(AND(Sync!$L1907&gt;=10000101,Sync!$L1907&lt;=99991231),RIGHT("0000"&amp;INT(Sync!$L1907/10000),4)&amp;"/"&amp;RIGHT("00"&amp;INT(MOD(Sync!$L1907,10000)/100),2)&amp;"/"&amp;RIGHT("00"&amp;MOD(Sync!$L1907,100),2),""),IFERROR(RIGHT("0000"&amp;VALUE(TRIM(LEFT(Sync!$L1907,FIND("/",Sync!$L1907)-1))),4)&amp;"/"&amp;RIGHT("00"&amp;VALUE(TRIM(LEFT(MID(Sync!$L1907,FIND("/",Sync!$L1907)+1,20),FIND("/",MID(Sync!$L1907,FIND("/",Sync!$L1907)+1,20))-1))),2)&amp;"/"&amp;RIGHT("00"&amp;VALUE(TRIM(MID(MID(Sync!$L1907,FIND("/",Sync!$L1907)+1,20),FIND("/",MID(Sync!$L1907,FIND("/",Sync!$L1907)+1,20))+1,20))),2),"")))</f>
        <v/>
      </c>
    </row>
    <row r="1908" spans="13:14" x14ac:dyDescent="0.2">
      <c r="M1908" t="str">
        <f>IF(Sync!$M1908&lt;&gt;"پاس چک","",IF(Sync!$P1908="","",Sync!$P1908))</f>
        <v/>
      </c>
      <c r="N1908" t="str">
        <f>IF($M1908="","",IF(ISNUMBER(Sync!$L1908),IF(AND(Sync!$L1908&gt;=10000101,Sync!$L1908&lt;=99991231),RIGHT("0000"&amp;INT(Sync!$L1908/10000),4)&amp;"/"&amp;RIGHT("00"&amp;INT(MOD(Sync!$L1908,10000)/100),2)&amp;"/"&amp;RIGHT("00"&amp;MOD(Sync!$L1908,100),2),""),IFERROR(RIGHT("0000"&amp;VALUE(TRIM(LEFT(Sync!$L1908,FIND("/",Sync!$L1908)-1))),4)&amp;"/"&amp;RIGHT("00"&amp;VALUE(TRIM(LEFT(MID(Sync!$L1908,FIND("/",Sync!$L1908)+1,20),FIND("/",MID(Sync!$L1908,FIND("/",Sync!$L1908)+1,20))-1))),2)&amp;"/"&amp;RIGHT("00"&amp;VALUE(TRIM(MID(MID(Sync!$L1908,FIND("/",Sync!$L1908)+1,20),FIND("/",MID(Sync!$L1908,FIND("/",Sync!$L1908)+1,20))+1,20))),2),"")))</f>
        <v/>
      </c>
    </row>
    <row r="1909" spans="13:14" x14ac:dyDescent="0.2">
      <c r="M1909" t="str">
        <f>IF(Sync!$M1909&lt;&gt;"پاس چک","",IF(Sync!$P1909="","",Sync!$P1909))</f>
        <v/>
      </c>
      <c r="N1909" t="str">
        <f>IF($M1909="","",IF(ISNUMBER(Sync!$L1909),IF(AND(Sync!$L1909&gt;=10000101,Sync!$L1909&lt;=99991231),RIGHT("0000"&amp;INT(Sync!$L1909/10000),4)&amp;"/"&amp;RIGHT("00"&amp;INT(MOD(Sync!$L1909,10000)/100),2)&amp;"/"&amp;RIGHT("00"&amp;MOD(Sync!$L1909,100),2),""),IFERROR(RIGHT("0000"&amp;VALUE(TRIM(LEFT(Sync!$L1909,FIND("/",Sync!$L1909)-1))),4)&amp;"/"&amp;RIGHT("00"&amp;VALUE(TRIM(LEFT(MID(Sync!$L1909,FIND("/",Sync!$L1909)+1,20),FIND("/",MID(Sync!$L1909,FIND("/",Sync!$L1909)+1,20))-1))),2)&amp;"/"&amp;RIGHT("00"&amp;VALUE(TRIM(MID(MID(Sync!$L1909,FIND("/",Sync!$L1909)+1,20),FIND("/",MID(Sync!$L1909,FIND("/",Sync!$L1909)+1,20))+1,20))),2),"")))</f>
        <v/>
      </c>
    </row>
    <row r="1910" spans="13:14" x14ac:dyDescent="0.2">
      <c r="M1910" t="str">
        <f>IF(Sync!$M1910&lt;&gt;"پاس چک","",IF(Sync!$P1910="","",Sync!$P1910))</f>
        <v/>
      </c>
      <c r="N1910" t="str">
        <f>IF($M1910="","",IF(ISNUMBER(Sync!$L1910),IF(AND(Sync!$L1910&gt;=10000101,Sync!$L1910&lt;=99991231),RIGHT("0000"&amp;INT(Sync!$L1910/10000),4)&amp;"/"&amp;RIGHT("00"&amp;INT(MOD(Sync!$L1910,10000)/100),2)&amp;"/"&amp;RIGHT("00"&amp;MOD(Sync!$L1910,100),2),""),IFERROR(RIGHT("0000"&amp;VALUE(TRIM(LEFT(Sync!$L1910,FIND("/",Sync!$L1910)-1))),4)&amp;"/"&amp;RIGHT("00"&amp;VALUE(TRIM(LEFT(MID(Sync!$L1910,FIND("/",Sync!$L1910)+1,20),FIND("/",MID(Sync!$L1910,FIND("/",Sync!$L1910)+1,20))-1))),2)&amp;"/"&amp;RIGHT("00"&amp;VALUE(TRIM(MID(MID(Sync!$L1910,FIND("/",Sync!$L1910)+1,20),FIND("/",MID(Sync!$L1910,FIND("/",Sync!$L1910)+1,20))+1,20))),2),"")))</f>
        <v/>
      </c>
    </row>
    <row r="1911" spans="13:14" x14ac:dyDescent="0.2">
      <c r="M1911" t="str">
        <f>IF(Sync!$M1911&lt;&gt;"پاس چک","",IF(Sync!$P1911="","",Sync!$P1911))</f>
        <v/>
      </c>
      <c r="N1911" t="str">
        <f>IF($M1911="","",IF(ISNUMBER(Sync!$L1911),IF(AND(Sync!$L1911&gt;=10000101,Sync!$L1911&lt;=99991231),RIGHT("0000"&amp;INT(Sync!$L1911/10000),4)&amp;"/"&amp;RIGHT("00"&amp;INT(MOD(Sync!$L1911,10000)/100),2)&amp;"/"&amp;RIGHT("00"&amp;MOD(Sync!$L1911,100),2),""),IFERROR(RIGHT("0000"&amp;VALUE(TRIM(LEFT(Sync!$L1911,FIND("/",Sync!$L1911)-1))),4)&amp;"/"&amp;RIGHT("00"&amp;VALUE(TRIM(LEFT(MID(Sync!$L1911,FIND("/",Sync!$L1911)+1,20),FIND("/",MID(Sync!$L1911,FIND("/",Sync!$L1911)+1,20))-1))),2)&amp;"/"&amp;RIGHT("00"&amp;VALUE(TRIM(MID(MID(Sync!$L1911,FIND("/",Sync!$L1911)+1,20),FIND("/",MID(Sync!$L1911,FIND("/",Sync!$L1911)+1,20))+1,20))),2),"")))</f>
        <v/>
      </c>
    </row>
    <row r="1912" spans="13:14" x14ac:dyDescent="0.2">
      <c r="M1912" t="str">
        <f>IF(Sync!$M1912&lt;&gt;"پاس چک","",IF(Sync!$P1912="","",Sync!$P1912))</f>
        <v/>
      </c>
      <c r="N1912" t="str">
        <f>IF($M1912="","",IF(ISNUMBER(Sync!$L1912),IF(AND(Sync!$L1912&gt;=10000101,Sync!$L1912&lt;=99991231),RIGHT("0000"&amp;INT(Sync!$L1912/10000),4)&amp;"/"&amp;RIGHT("00"&amp;INT(MOD(Sync!$L1912,10000)/100),2)&amp;"/"&amp;RIGHT("00"&amp;MOD(Sync!$L1912,100),2),""),IFERROR(RIGHT("0000"&amp;VALUE(TRIM(LEFT(Sync!$L1912,FIND("/",Sync!$L1912)-1))),4)&amp;"/"&amp;RIGHT("00"&amp;VALUE(TRIM(LEFT(MID(Sync!$L1912,FIND("/",Sync!$L1912)+1,20),FIND("/",MID(Sync!$L1912,FIND("/",Sync!$L1912)+1,20))-1))),2)&amp;"/"&amp;RIGHT("00"&amp;VALUE(TRIM(MID(MID(Sync!$L1912,FIND("/",Sync!$L1912)+1,20),FIND("/",MID(Sync!$L1912,FIND("/",Sync!$L1912)+1,20))+1,20))),2),"")))</f>
        <v/>
      </c>
    </row>
    <row r="1913" spans="13:14" x14ac:dyDescent="0.2">
      <c r="M1913" t="str">
        <f>IF(Sync!$M1913&lt;&gt;"پاس چک","",IF(Sync!$P1913="","",Sync!$P1913))</f>
        <v/>
      </c>
      <c r="N1913" t="str">
        <f>IF($M1913="","",IF(ISNUMBER(Sync!$L1913),IF(AND(Sync!$L1913&gt;=10000101,Sync!$L1913&lt;=99991231),RIGHT("0000"&amp;INT(Sync!$L1913/10000),4)&amp;"/"&amp;RIGHT("00"&amp;INT(MOD(Sync!$L1913,10000)/100),2)&amp;"/"&amp;RIGHT("00"&amp;MOD(Sync!$L1913,100),2),""),IFERROR(RIGHT("0000"&amp;VALUE(TRIM(LEFT(Sync!$L1913,FIND("/",Sync!$L1913)-1))),4)&amp;"/"&amp;RIGHT("00"&amp;VALUE(TRIM(LEFT(MID(Sync!$L1913,FIND("/",Sync!$L1913)+1,20),FIND("/",MID(Sync!$L1913,FIND("/",Sync!$L1913)+1,20))-1))),2)&amp;"/"&amp;RIGHT("00"&amp;VALUE(TRIM(MID(MID(Sync!$L1913,FIND("/",Sync!$L1913)+1,20),FIND("/",MID(Sync!$L1913,FIND("/",Sync!$L1913)+1,20))+1,20))),2),"")))</f>
        <v/>
      </c>
    </row>
    <row r="1914" spans="13:14" x14ac:dyDescent="0.2">
      <c r="M1914" t="str">
        <f>IF(Sync!$M1914&lt;&gt;"پاس چک","",IF(Sync!$P1914="","",Sync!$P1914))</f>
        <v/>
      </c>
      <c r="N1914" t="str">
        <f>IF($M1914="","",IF(ISNUMBER(Sync!$L1914),IF(AND(Sync!$L1914&gt;=10000101,Sync!$L1914&lt;=99991231),RIGHT("0000"&amp;INT(Sync!$L1914/10000),4)&amp;"/"&amp;RIGHT("00"&amp;INT(MOD(Sync!$L1914,10000)/100),2)&amp;"/"&amp;RIGHT("00"&amp;MOD(Sync!$L1914,100),2),""),IFERROR(RIGHT("0000"&amp;VALUE(TRIM(LEFT(Sync!$L1914,FIND("/",Sync!$L1914)-1))),4)&amp;"/"&amp;RIGHT("00"&amp;VALUE(TRIM(LEFT(MID(Sync!$L1914,FIND("/",Sync!$L1914)+1,20),FIND("/",MID(Sync!$L1914,FIND("/",Sync!$L1914)+1,20))-1))),2)&amp;"/"&amp;RIGHT("00"&amp;VALUE(TRIM(MID(MID(Sync!$L1914,FIND("/",Sync!$L1914)+1,20),FIND("/",MID(Sync!$L1914,FIND("/",Sync!$L1914)+1,20))+1,20))),2),"")))</f>
        <v/>
      </c>
    </row>
    <row r="1915" spans="13:14" x14ac:dyDescent="0.2">
      <c r="M1915" t="str">
        <f>IF(Sync!$M1915&lt;&gt;"پاس چک","",IF(Sync!$P1915="","",Sync!$P1915))</f>
        <v/>
      </c>
      <c r="N1915" t="str">
        <f>IF($M1915="","",IF(ISNUMBER(Sync!$L1915),IF(AND(Sync!$L1915&gt;=10000101,Sync!$L1915&lt;=99991231),RIGHT("0000"&amp;INT(Sync!$L1915/10000),4)&amp;"/"&amp;RIGHT("00"&amp;INT(MOD(Sync!$L1915,10000)/100),2)&amp;"/"&amp;RIGHT("00"&amp;MOD(Sync!$L1915,100),2),""),IFERROR(RIGHT("0000"&amp;VALUE(TRIM(LEFT(Sync!$L1915,FIND("/",Sync!$L1915)-1))),4)&amp;"/"&amp;RIGHT("00"&amp;VALUE(TRIM(LEFT(MID(Sync!$L1915,FIND("/",Sync!$L1915)+1,20),FIND("/",MID(Sync!$L1915,FIND("/",Sync!$L1915)+1,20))-1))),2)&amp;"/"&amp;RIGHT("00"&amp;VALUE(TRIM(MID(MID(Sync!$L1915,FIND("/",Sync!$L1915)+1,20),FIND("/",MID(Sync!$L1915,FIND("/",Sync!$L1915)+1,20))+1,20))),2),"")))</f>
        <v/>
      </c>
    </row>
    <row r="1916" spans="13:14" x14ac:dyDescent="0.2">
      <c r="M1916" t="str">
        <f>IF(Sync!$M1916&lt;&gt;"پاس چک","",IF(Sync!$P1916="","",Sync!$P1916))</f>
        <v/>
      </c>
      <c r="N1916" t="str">
        <f>IF($M1916="","",IF(ISNUMBER(Sync!$L1916),IF(AND(Sync!$L1916&gt;=10000101,Sync!$L1916&lt;=99991231),RIGHT("0000"&amp;INT(Sync!$L1916/10000),4)&amp;"/"&amp;RIGHT("00"&amp;INT(MOD(Sync!$L1916,10000)/100),2)&amp;"/"&amp;RIGHT("00"&amp;MOD(Sync!$L1916,100),2),""),IFERROR(RIGHT("0000"&amp;VALUE(TRIM(LEFT(Sync!$L1916,FIND("/",Sync!$L1916)-1))),4)&amp;"/"&amp;RIGHT("00"&amp;VALUE(TRIM(LEFT(MID(Sync!$L1916,FIND("/",Sync!$L1916)+1,20),FIND("/",MID(Sync!$L1916,FIND("/",Sync!$L1916)+1,20))-1))),2)&amp;"/"&amp;RIGHT("00"&amp;VALUE(TRIM(MID(MID(Sync!$L1916,FIND("/",Sync!$L1916)+1,20),FIND("/",MID(Sync!$L1916,FIND("/",Sync!$L1916)+1,20))+1,20))),2),"")))</f>
        <v/>
      </c>
    </row>
    <row r="1917" spans="13:14" x14ac:dyDescent="0.2">
      <c r="M1917" t="str">
        <f>IF(Sync!$M1917&lt;&gt;"پاس چک","",IF(Sync!$P1917="","",Sync!$P1917))</f>
        <v/>
      </c>
      <c r="N1917" t="str">
        <f>IF($M1917="","",IF(ISNUMBER(Sync!$L1917),IF(AND(Sync!$L1917&gt;=10000101,Sync!$L1917&lt;=99991231),RIGHT("0000"&amp;INT(Sync!$L1917/10000),4)&amp;"/"&amp;RIGHT("00"&amp;INT(MOD(Sync!$L1917,10000)/100),2)&amp;"/"&amp;RIGHT("00"&amp;MOD(Sync!$L1917,100),2),""),IFERROR(RIGHT("0000"&amp;VALUE(TRIM(LEFT(Sync!$L1917,FIND("/",Sync!$L1917)-1))),4)&amp;"/"&amp;RIGHT("00"&amp;VALUE(TRIM(LEFT(MID(Sync!$L1917,FIND("/",Sync!$L1917)+1,20),FIND("/",MID(Sync!$L1917,FIND("/",Sync!$L1917)+1,20))-1))),2)&amp;"/"&amp;RIGHT("00"&amp;VALUE(TRIM(MID(MID(Sync!$L1917,FIND("/",Sync!$L1917)+1,20),FIND("/",MID(Sync!$L1917,FIND("/",Sync!$L1917)+1,20))+1,20))),2),"")))</f>
        <v/>
      </c>
    </row>
    <row r="1918" spans="13:14" x14ac:dyDescent="0.2">
      <c r="M1918" t="str">
        <f>IF(Sync!$M1918&lt;&gt;"پاس چک","",IF(Sync!$P1918="","",Sync!$P1918))</f>
        <v/>
      </c>
      <c r="N1918" t="str">
        <f>IF($M1918="","",IF(ISNUMBER(Sync!$L1918),IF(AND(Sync!$L1918&gt;=10000101,Sync!$L1918&lt;=99991231),RIGHT("0000"&amp;INT(Sync!$L1918/10000),4)&amp;"/"&amp;RIGHT("00"&amp;INT(MOD(Sync!$L1918,10000)/100),2)&amp;"/"&amp;RIGHT("00"&amp;MOD(Sync!$L1918,100),2),""),IFERROR(RIGHT("0000"&amp;VALUE(TRIM(LEFT(Sync!$L1918,FIND("/",Sync!$L1918)-1))),4)&amp;"/"&amp;RIGHT("00"&amp;VALUE(TRIM(LEFT(MID(Sync!$L1918,FIND("/",Sync!$L1918)+1,20),FIND("/",MID(Sync!$L1918,FIND("/",Sync!$L1918)+1,20))-1))),2)&amp;"/"&amp;RIGHT("00"&amp;VALUE(TRIM(MID(MID(Sync!$L1918,FIND("/",Sync!$L1918)+1,20),FIND("/",MID(Sync!$L1918,FIND("/",Sync!$L1918)+1,20))+1,20))),2),"")))</f>
        <v/>
      </c>
    </row>
    <row r="1919" spans="13:14" x14ac:dyDescent="0.2">
      <c r="M1919" t="str">
        <f>IF(Sync!$M1919&lt;&gt;"پاس چک","",IF(Sync!$P1919="","",Sync!$P1919))</f>
        <v/>
      </c>
      <c r="N1919" t="str">
        <f>IF($M1919="","",IF(ISNUMBER(Sync!$L1919),IF(AND(Sync!$L1919&gt;=10000101,Sync!$L1919&lt;=99991231),RIGHT("0000"&amp;INT(Sync!$L1919/10000),4)&amp;"/"&amp;RIGHT("00"&amp;INT(MOD(Sync!$L1919,10000)/100),2)&amp;"/"&amp;RIGHT("00"&amp;MOD(Sync!$L1919,100),2),""),IFERROR(RIGHT("0000"&amp;VALUE(TRIM(LEFT(Sync!$L1919,FIND("/",Sync!$L1919)-1))),4)&amp;"/"&amp;RIGHT("00"&amp;VALUE(TRIM(LEFT(MID(Sync!$L1919,FIND("/",Sync!$L1919)+1,20),FIND("/",MID(Sync!$L1919,FIND("/",Sync!$L1919)+1,20))-1))),2)&amp;"/"&amp;RIGHT("00"&amp;VALUE(TRIM(MID(MID(Sync!$L1919,FIND("/",Sync!$L1919)+1,20),FIND("/",MID(Sync!$L1919,FIND("/",Sync!$L1919)+1,20))+1,20))),2),"")))</f>
        <v/>
      </c>
    </row>
    <row r="1920" spans="13:14" x14ac:dyDescent="0.2">
      <c r="M1920" t="str">
        <f>IF(Sync!$M1920&lt;&gt;"پاس چک","",IF(Sync!$P1920="","",Sync!$P1920))</f>
        <v/>
      </c>
      <c r="N1920" t="str">
        <f>IF($M1920="","",IF(ISNUMBER(Sync!$L1920),IF(AND(Sync!$L1920&gt;=10000101,Sync!$L1920&lt;=99991231),RIGHT("0000"&amp;INT(Sync!$L1920/10000),4)&amp;"/"&amp;RIGHT("00"&amp;INT(MOD(Sync!$L1920,10000)/100),2)&amp;"/"&amp;RIGHT("00"&amp;MOD(Sync!$L1920,100),2),""),IFERROR(RIGHT("0000"&amp;VALUE(TRIM(LEFT(Sync!$L1920,FIND("/",Sync!$L1920)-1))),4)&amp;"/"&amp;RIGHT("00"&amp;VALUE(TRIM(LEFT(MID(Sync!$L1920,FIND("/",Sync!$L1920)+1,20),FIND("/",MID(Sync!$L1920,FIND("/",Sync!$L1920)+1,20))-1))),2)&amp;"/"&amp;RIGHT("00"&amp;VALUE(TRIM(MID(MID(Sync!$L1920,FIND("/",Sync!$L1920)+1,20),FIND("/",MID(Sync!$L1920,FIND("/",Sync!$L1920)+1,20))+1,20))),2),"")))</f>
        <v/>
      </c>
    </row>
    <row r="1921" spans="13:14" x14ac:dyDescent="0.2">
      <c r="M1921" t="str">
        <f>IF(Sync!$M1921&lt;&gt;"پاس چک","",IF(Sync!$P1921="","",Sync!$P1921))</f>
        <v/>
      </c>
      <c r="N1921" t="str">
        <f>IF($M1921="","",IF(ISNUMBER(Sync!$L1921),IF(AND(Sync!$L1921&gt;=10000101,Sync!$L1921&lt;=99991231),RIGHT("0000"&amp;INT(Sync!$L1921/10000),4)&amp;"/"&amp;RIGHT("00"&amp;INT(MOD(Sync!$L1921,10000)/100),2)&amp;"/"&amp;RIGHT("00"&amp;MOD(Sync!$L1921,100),2),""),IFERROR(RIGHT("0000"&amp;VALUE(TRIM(LEFT(Sync!$L1921,FIND("/",Sync!$L1921)-1))),4)&amp;"/"&amp;RIGHT("00"&amp;VALUE(TRIM(LEFT(MID(Sync!$L1921,FIND("/",Sync!$L1921)+1,20),FIND("/",MID(Sync!$L1921,FIND("/",Sync!$L1921)+1,20))-1))),2)&amp;"/"&amp;RIGHT("00"&amp;VALUE(TRIM(MID(MID(Sync!$L1921,FIND("/",Sync!$L1921)+1,20),FIND("/",MID(Sync!$L1921,FIND("/",Sync!$L1921)+1,20))+1,20))),2),"")))</f>
        <v/>
      </c>
    </row>
    <row r="1922" spans="13:14" x14ac:dyDescent="0.2">
      <c r="M1922" t="str">
        <f>IF(Sync!$M1922&lt;&gt;"پاس چک","",IF(Sync!$P1922="","",Sync!$P1922))</f>
        <v/>
      </c>
      <c r="N1922" t="str">
        <f>IF($M1922="","",IF(ISNUMBER(Sync!$L1922),IF(AND(Sync!$L1922&gt;=10000101,Sync!$L1922&lt;=99991231),RIGHT("0000"&amp;INT(Sync!$L1922/10000),4)&amp;"/"&amp;RIGHT("00"&amp;INT(MOD(Sync!$L1922,10000)/100),2)&amp;"/"&amp;RIGHT("00"&amp;MOD(Sync!$L1922,100),2),""),IFERROR(RIGHT("0000"&amp;VALUE(TRIM(LEFT(Sync!$L1922,FIND("/",Sync!$L1922)-1))),4)&amp;"/"&amp;RIGHT("00"&amp;VALUE(TRIM(LEFT(MID(Sync!$L1922,FIND("/",Sync!$L1922)+1,20),FIND("/",MID(Sync!$L1922,FIND("/",Sync!$L1922)+1,20))-1))),2)&amp;"/"&amp;RIGHT("00"&amp;VALUE(TRIM(MID(MID(Sync!$L1922,FIND("/",Sync!$L1922)+1,20),FIND("/",MID(Sync!$L1922,FIND("/",Sync!$L1922)+1,20))+1,20))),2),"")))</f>
        <v/>
      </c>
    </row>
    <row r="1923" spans="13:14" x14ac:dyDescent="0.2">
      <c r="M1923" t="str">
        <f>IF(Sync!$M1923&lt;&gt;"پاس چک","",IF(Sync!$P1923="","",Sync!$P1923))</f>
        <v/>
      </c>
      <c r="N1923" t="str">
        <f>IF($M1923="","",IF(ISNUMBER(Sync!$L1923),IF(AND(Sync!$L1923&gt;=10000101,Sync!$L1923&lt;=99991231),RIGHT("0000"&amp;INT(Sync!$L1923/10000),4)&amp;"/"&amp;RIGHT("00"&amp;INT(MOD(Sync!$L1923,10000)/100),2)&amp;"/"&amp;RIGHT("00"&amp;MOD(Sync!$L1923,100),2),""),IFERROR(RIGHT("0000"&amp;VALUE(TRIM(LEFT(Sync!$L1923,FIND("/",Sync!$L1923)-1))),4)&amp;"/"&amp;RIGHT("00"&amp;VALUE(TRIM(LEFT(MID(Sync!$L1923,FIND("/",Sync!$L1923)+1,20),FIND("/",MID(Sync!$L1923,FIND("/",Sync!$L1923)+1,20))-1))),2)&amp;"/"&amp;RIGHT("00"&amp;VALUE(TRIM(MID(MID(Sync!$L1923,FIND("/",Sync!$L1923)+1,20),FIND("/",MID(Sync!$L1923,FIND("/",Sync!$L1923)+1,20))+1,20))),2),"")))</f>
        <v/>
      </c>
    </row>
    <row r="1924" spans="13:14" x14ac:dyDescent="0.2">
      <c r="M1924" t="str">
        <f>IF(Sync!$M1924&lt;&gt;"پاس چک","",IF(Sync!$P1924="","",Sync!$P1924))</f>
        <v/>
      </c>
      <c r="N1924" t="str">
        <f>IF($M1924="","",IF(ISNUMBER(Sync!$L1924),IF(AND(Sync!$L1924&gt;=10000101,Sync!$L1924&lt;=99991231),RIGHT("0000"&amp;INT(Sync!$L1924/10000),4)&amp;"/"&amp;RIGHT("00"&amp;INT(MOD(Sync!$L1924,10000)/100),2)&amp;"/"&amp;RIGHT("00"&amp;MOD(Sync!$L1924,100),2),""),IFERROR(RIGHT("0000"&amp;VALUE(TRIM(LEFT(Sync!$L1924,FIND("/",Sync!$L1924)-1))),4)&amp;"/"&amp;RIGHT("00"&amp;VALUE(TRIM(LEFT(MID(Sync!$L1924,FIND("/",Sync!$L1924)+1,20),FIND("/",MID(Sync!$L1924,FIND("/",Sync!$L1924)+1,20))-1))),2)&amp;"/"&amp;RIGHT("00"&amp;VALUE(TRIM(MID(MID(Sync!$L1924,FIND("/",Sync!$L1924)+1,20),FIND("/",MID(Sync!$L1924,FIND("/",Sync!$L1924)+1,20))+1,20))),2),"")))</f>
        <v/>
      </c>
    </row>
    <row r="1925" spans="13:14" x14ac:dyDescent="0.2">
      <c r="M1925" t="str">
        <f>IF(Sync!$M1925&lt;&gt;"پاس چک","",IF(Sync!$P1925="","",Sync!$P1925))</f>
        <v/>
      </c>
      <c r="N1925" t="str">
        <f>IF($M1925="","",IF(ISNUMBER(Sync!$L1925),IF(AND(Sync!$L1925&gt;=10000101,Sync!$L1925&lt;=99991231),RIGHT("0000"&amp;INT(Sync!$L1925/10000),4)&amp;"/"&amp;RIGHT("00"&amp;INT(MOD(Sync!$L1925,10000)/100),2)&amp;"/"&amp;RIGHT("00"&amp;MOD(Sync!$L1925,100),2),""),IFERROR(RIGHT("0000"&amp;VALUE(TRIM(LEFT(Sync!$L1925,FIND("/",Sync!$L1925)-1))),4)&amp;"/"&amp;RIGHT("00"&amp;VALUE(TRIM(LEFT(MID(Sync!$L1925,FIND("/",Sync!$L1925)+1,20),FIND("/",MID(Sync!$L1925,FIND("/",Sync!$L1925)+1,20))-1))),2)&amp;"/"&amp;RIGHT("00"&amp;VALUE(TRIM(MID(MID(Sync!$L1925,FIND("/",Sync!$L1925)+1,20),FIND("/",MID(Sync!$L1925,FIND("/",Sync!$L1925)+1,20))+1,20))),2),"")))</f>
        <v/>
      </c>
    </row>
    <row r="1926" spans="13:14" x14ac:dyDescent="0.2">
      <c r="M1926" t="str">
        <f>IF(Sync!$M1926&lt;&gt;"پاس چک","",IF(Sync!$P1926="","",Sync!$P1926))</f>
        <v/>
      </c>
      <c r="N1926" t="str">
        <f>IF($M1926="","",IF(ISNUMBER(Sync!$L1926),IF(AND(Sync!$L1926&gt;=10000101,Sync!$L1926&lt;=99991231),RIGHT("0000"&amp;INT(Sync!$L1926/10000),4)&amp;"/"&amp;RIGHT("00"&amp;INT(MOD(Sync!$L1926,10000)/100),2)&amp;"/"&amp;RIGHT("00"&amp;MOD(Sync!$L1926,100),2),""),IFERROR(RIGHT("0000"&amp;VALUE(TRIM(LEFT(Sync!$L1926,FIND("/",Sync!$L1926)-1))),4)&amp;"/"&amp;RIGHT("00"&amp;VALUE(TRIM(LEFT(MID(Sync!$L1926,FIND("/",Sync!$L1926)+1,20),FIND("/",MID(Sync!$L1926,FIND("/",Sync!$L1926)+1,20))-1))),2)&amp;"/"&amp;RIGHT("00"&amp;VALUE(TRIM(MID(MID(Sync!$L1926,FIND("/",Sync!$L1926)+1,20),FIND("/",MID(Sync!$L1926,FIND("/",Sync!$L1926)+1,20))+1,20))),2),"")))</f>
        <v/>
      </c>
    </row>
    <row r="1927" spans="13:14" x14ac:dyDescent="0.2">
      <c r="M1927" t="str">
        <f>IF(Sync!$M1927&lt;&gt;"پاس چک","",IF(Sync!$P1927="","",Sync!$P1927))</f>
        <v/>
      </c>
      <c r="N1927" t="str">
        <f>IF($M1927="","",IF(ISNUMBER(Sync!$L1927),IF(AND(Sync!$L1927&gt;=10000101,Sync!$L1927&lt;=99991231),RIGHT("0000"&amp;INT(Sync!$L1927/10000),4)&amp;"/"&amp;RIGHT("00"&amp;INT(MOD(Sync!$L1927,10000)/100),2)&amp;"/"&amp;RIGHT("00"&amp;MOD(Sync!$L1927,100),2),""),IFERROR(RIGHT("0000"&amp;VALUE(TRIM(LEFT(Sync!$L1927,FIND("/",Sync!$L1927)-1))),4)&amp;"/"&amp;RIGHT("00"&amp;VALUE(TRIM(LEFT(MID(Sync!$L1927,FIND("/",Sync!$L1927)+1,20),FIND("/",MID(Sync!$L1927,FIND("/",Sync!$L1927)+1,20))-1))),2)&amp;"/"&amp;RIGHT("00"&amp;VALUE(TRIM(MID(MID(Sync!$L1927,FIND("/",Sync!$L1927)+1,20),FIND("/",MID(Sync!$L1927,FIND("/",Sync!$L1927)+1,20))+1,20))),2),"")))</f>
        <v/>
      </c>
    </row>
    <row r="1928" spans="13:14" x14ac:dyDescent="0.2">
      <c r="M1928" t="str">
        <f>IF(Sync!$M1928&lt;&gt;"پاس چک","",IF(Sync!$P1928="","",Sync!$P1928))</f>
        <v/>
      </c>
      <c r="N1928" t="str">
        <f>IF($M1928="","",IF(ISNUMBER(Sync!$L1928),IF(AND(Sync!$L1928&gt;=10000101,Sync!$L1928&lt;=99991231),RIGHT("0000"&amp;INT(Sync!$L1928/10000),4)&amp;"/"&amp;RIGHT("00"&amp;INT(MOD(Sync!$L1928,10000)/100),2)&amp;"/"&amp;RIGHT("00"&amp;MOD(Sync!$L1928,100),2),""),IFERROR(RIGHT("0000"&amp;VALUE(TRIM(LEFT(Sync!$L1928,FIND("/",Sync!$L1928)-1))),4)&amp;"/"&amp;RIGHT("00"&amp;VALUE(TRIM(LEFT(MID(Sync!$L1928,FIND("/",Sync!$L1928)+1,20),FIND("/",MID(Sync!$L1928,FIND("/",Sync!$L1928)+1,20))-1))),2)&amp;"/"&amp;RIGHT("00"&amp;VALUE(TRIM(MID(MID(Sync!$L1928,FIND("/",Sync!$L1928)+1,20),FIND("/",MID(Sync!$L1928,FIND("/",Sync!$L1928)+1,20))+1,20))),2),"")))</f>
        <v/>
      </c>
    </row>
    <row r="1929" spans="13:14" x14ac:dyDescent="0.2">
      <c r="M1929" t="str">
        <f>IF(Sync!$M1929&lt;&gt;"پاس چک","",IF(Sync!$P1929="","",Sync!$P1929))</f>
        <v/>
      </c>
      <c r="N1929" t="str">
        <f>IF($M1929="","",IF(ISNUMBER(Sync!$L1929),IF(AND(Sync!$L1929&gt;=10000101,Sync!$L1929&lt;=99991231),RIGHT("0000"&amp;INT(Sync!$L1929/10000),4)&amp;"/"&amp;RIGHT("00"&amp;INT(MOD(Sync!$L1929,10000)/100),2)&amp;"/"&amp;RIGHT("00"&amp;MOD(Sync!$L1929,100),2),""),IFERROR(RIGHT("0000"&amp;VALUE(TRIM(LEFT(Sync!$L1929,FIND("/",Sync!$L1929)-1))),4)&amp;"/"&amp;RIGHT("00"&amp;VALUE(TRIM(LEFT(MID(Sync!$L1929,FIND("/",Sync!$L1929)+1,20),FIND("/",MID(Sync!$L1929,FIND("/",Sync!$L1929)+1,20))-1))),2)&amp;"/"&amp;RIGHT("00"&amp;VALUE(TRIM(MID(MID(Sync!$L1929,FIND("/",Sync!$L1929)+1,20),FIND("/",MID(Sync!$L1929,FIND("/",Sync!$L1929)+1,20))+1,20))),2),"")))</f>
        <v/>
      </c>
    </row>
    <row r="1930" spans="13:14" x14ac:dyDescent="0.2">
      <c r="M1930" t="str">
        <f>IF(Sync!$M1930&lt;&gt;"پاس چک","",IF(Sync!$P1930="","",Sync!$P1930))</f>
        <v/>
      </c>
      <c r="N1930" t="str">
        <f>IF($M1930="","",IF(ISNUMBER(Sync!$L1930),IF(AND(Sync!$L1930&gt;=10000101,Sync!$L1930&lt;=99991231),RIGHT("0000"&amp;INT(Sync!$L1930/10000),4)&amp;"/"&amp;RIGHT("00"&amp;INT(MOD(Sync!$L1930,10000)/100),2)&amp;"/"&amp;RIGHT("00"&amp;MOD(Sync!$L1930,100),2),""),IFERROR(RIGHT("0000"&amp;VALUE(TRIM(LEFT(Sync!$L1930,FIND("/",Sync!$L1930)-1))),4)&amp;"/"&amp;RIGHT("00"&amp;VALUE(TRIM(LEFT(MID(Sync!$L1930,FIND("/",Sync!$L1930)+1,20),FIND("/",MID(Sync!$L1930,FIND("/",Sync!$L1930)+1,20))-1))),2)&amp;"/"&amp;RIGHT("00"&amp;VALUE(TRIM(MID(MID(Sync!$L1930,FIND("/",Sync!$L1930)+1,20),FIND("/",MID(Sync!$L1930,FIND("/",Sync!$L1930)+1,20))+1,20))),2),"")))</f>
        <v/>
      </c>
    </row>
    <row r="1931" spans="13:14" x14ac:dyDescent="0.2">
      <c r="M1931" t="str">
        <f>IF(Sync!$M1931&lt;&gt;"پاس چک","",IF(Sync!$P1931="","",Sync!$P1931))</f>
        <v/>
      </c>
      <c r="N1931" t="str">
        <f>IF($M1931="","",IF(ISNUMBER(Sync!$L1931),IF(AND(Sync!$L1931&gt;=10000101,Sync!$L1931&lt;=99991231),RIGHT("0000"&amp;INT(Sync!$L1931/10000),4)&amp;"/"&amp;RIGHT("00"&amp;INT(MOD(Sync!$L1931,10000)/100),2)&amp;"/"&amp;RIGHT("00"&amp;MOD(Sync!$L1931,100),2),""),IFERROR(RIGHT("0000"&amp;VALUE(TRIM(LEFT(Sync!$L1931,FIND("/",Sync!$L1931)-1))),4)&amp;"/"&amp;RIGHT("00"&amp;VALUE(TRIM(LEFT(MID(Sync!$L1931,FIND("/",Sync!$L1931)+1,20),FIND("/",MID(Sync!$L1931,FIND("/",Sync!$L1931)+1,20))-1))),2)&amp;"/"&amp;RIGHT("00"&amp;VALUE(TRIM(MID(MID(Sync!$L1931,FIND("/",Sync!$L1931)+1,20),FIND("/",MID(Sync!$L1931,FIND("/",Sync!$L1931)+1,20))+1,20))),2),"")))</f>
        <v/>
      </c>
    </row>
    <row r="1932" spans="13:14" x14ac:dyDescent="0.2">
      <c r="M1932" t="str">
        <f>IF(Sync!$M1932&lt;&gt;"پاس چک","",IF(Sync!$P1932="","",Sync!$P1932))</f>
        <v/>
      </c>
      <c r="N1932" t="str">
        <f>IF($M1932="","",IF(ISNUMBER(Sync!$L1932),IF(AND(Sync!$L1932&gt;=10000101,Sync!$L1932&lt;=99991231),RIGHT("0000"&amp;INT(Sync!$L1932/10000),4)&amp;"/"&amp;RIGHT("00"&amp;INT(MOD(Sync!$L1932,10000)/100),2)&amp;"/"&amp;RIGHT("00"&amp;MOD(Sync!$L1932,100),2),""),IFERROR(RIGHT("0000"&amp;VALUE(TRIM(LEFT(Sync!$L1932,FIND("/",Sync!$L1932)-1))),4)&amp;"/"&amp;RIGHT("00"&amp;VALUE(TRIM(LEFT(MID(Sync!$L1932,FIND("/",Sync!$L1932)+1,20),FIND("/",MID(Sync!$L1932,FIND("/",Sync!$L1932)+1,20))-1))),2)&amp;"/"&amp;RIGHT("00"&amp;VALUE(TRIM(MID(MID(Sync!$L1932,FIND("/",Sync!$L1932)+1,20),FIND("/",MID(Sync!$L1932,FIND("/",Sync!$L1932)+1,20))+1,20))),2),"")))</f>
        <v/>
      </c>
    </row>
    <row r="1933" spans="13:14" x14ac:dyDescent="0.2">
      <c r="M1933" t="str">
        <f>IF(Sync!$M1933&lt;&gt;"پاس چک","",IF(Sync!$P1933="","",Sync!$P1933))</f>
        <v/>
      </c>
      <c r="N1933" t="str">
        <f>IF($M1933="","",IF(ISNUMBER(Sync!$L1933),IF(AND(Sync!$L1933&gt;=10000101,Sync!$L1933&lt;=99991231),RIGHT("0000"&amp;INT(Sync!$L1933/10000),4)&amp;"/"&amp;RIGHT("00"&amp;INT(MOD(Sync!$L1933,10000)/100),2)&amp;"/"&amp;RIGHT("00"&amp;MOD(Sync!$L1933,100),2),""),IFERROR(RIGHT("0000"&amp;VALUE(TRIM(LEFT(Sync!$L1933,FIND("/",Sync!$L1933)-1))),4)&amp;"/"&amp;RIGHT("00"&amp;VALUE(TRIM(LEFT(MID(Sync!$L1933,FIND("/",Sync!$L1933)+1,20),FIND("/",MID(Sync!$L1933,FIND("/",Sync!$L1933)+1,20))-1))),2)&amp;"/"&amp;RIGHT("00"&amp;VALUE(TRIM(MID(MID(Sync!$L1933,FIND("/",Sync!$L1933)+1,20),FIND("/",MID(Sync!$L1933,FIND("/",Sync!$L1933)+1,20))+1,20))),2),"")))</f>
        <v/>
      </c>
    </row>
    <row r="1934" spans="13:14" x14ac:dyDescent="0.2">
      <c r="M1934" t="str">
        <f>IF(Sync!$M1934&lt;&gt;"پاس چک","",IF(Sync!$P1934="","",Sync!$P1934))</f>
        <v/>
      </c>
      <c r="N1934" t="str">
        <f>IF($M1934="","",IF(ISNUMBER(Sync!$L1934),IF(AND(Sync!$L1934&gt;=10000101,Sync!$L1934&lt;=99991231),RIGHT("0000"&amp;INT(Sync!$L1934/10000),4)&amp;"/"&amp;RIGHT("00"&amp;INT(MOD(Sync!$L1934,10000)/100),2)&amp;"/"&amp;RIGHT("00"&amp;MOD(Sync!$L1934,100),2),""),IFERROR(RIGHT("0000"&amp;VALUE(TRIM(LEFT(Sync!$L1934,FIND("/",Sync!$L1934)-1))),4)&amp;"/"&amp;RIGHT("00"&amp;VALUE(TRIM(LEFT(MID(Sync!$L1934,FIND("/",Sync!$L1934)+1,20),FIND("/",MID(Sync!$L1934,FIND("/",Sync!$L1934)+1,20))-1))),2)&amp;"/"&amp;RIGHT("00"&amp;VALUE(TRIM(MID(MID(Sync!$L1934,FIND("/",Sync!$L1934)+1,20),FIND("/",MID(Sync!$L1934,FIND("/",Sync!$L1934)+1,20))+1,20))),2),"")))</f>
        <v/>
      </c>
    </row>
    <row r="1935" spans="13:14" x14ac:dyDescent="0.2">
      <c r="M1935" t="str">
        <f>IF(Sync!$M1935&lt;&gt;"پاس چک","",IF(Sync!$P1935="","",Sync!$P1935))</f>
        <v/>
      </c>
      <c r="N1935" t="str">
        <f>IF($M1935="","",IF(ISNUMBER(Sync!$L1935),IF(AND(Sync!$L1935&gt;=10000101,Sync!$L1935&lt;=99991231),RIGHT("0000"&amp;INT(Sync!$L1935/10000),4)&amp;"/"&amp;RIGHT("00"&amp;INT(MOD(Sync!$L1935,10000)/100),2)&amp;"/"&amp;RIGHT("00"&amp;MOD(Sync!$L1935,100),2),""),IFERROR(RIGHT("0000"&amp;VALUE(TRIM(LEFT(Sync!$L1935,FIND("/",Sync!$L1935)-1))),4)&amp;"/"&amp;RIGHT("00"&amp;VALUE(TRIM(LEFT(MID(Sync!$L1935,FIND("/",Sync!$L1935)+1,20),FIND("/",MID(Sync!$L1935,FIND("/",Sync!$L1935)+1,20))-1))),2)&amp;"/"&amp;RIGHT("00"&amp;VALUE(TRIM(MID(MID(Sync!$L1935,FIND("/",Sync!$L1935)+1,20),FIND("/",MID(Sync!$L1935,FIND("/",Sync!$L1935)+1,20))+1,20))),2),"")))</f>
        <v/>
      </c>
    </row>
    <row r="1936" spans="13:14" x14ac:dyDescent="0.2">
      <c r="M1936" t="str">
        <f>IF(Sync!$M1936&lt;&gt;"پاس چک","",IF(Sync!$P1936="","",Sync!$P1936))</f>
        <v/>
      </c>
      <c r="N1936" t="str">
        <f>IF($M1936="","",IF(ISNUMBER(Sync!$L1936),IF(AND(Sync!$L1936&gt;=10000101,Sync!$L1936&lt;=99991231),RIGHT("0000"&amp;INT(Sync!$L1936/10000),4)&amp;"/"&amp;RIGHT("00"&amp;INT(MOD(Sync!$L1936,10000)/100),2)&amp;"/"&amp;RIGHT("00"&amp;MOD(Sync!$L1936,100),2),""),IFERROR(RIGHT("0000"&amp;VALUE(TRIM(LEFT(Sync!$L1936,FIND("/",Sync!$L1936)-1))),4)&amp;"/"&amp;RIGHT("00"&amp;VALUE(TRIM(LEFT(MID(Sync!$L1936,FIND("/",Sync!$L1936)+1,20),FIND("/",MID(Sync!$L1936,FIND("/",Sync!$L1936)+1,20))-1))),2)&amp;"/"&amp;RIGHT("00"&amp;VALUE(TRIM(MID(MID(Sync!$L1936,FIND("/",Sync!$L1936)+1,20),FIND("/",MID(Sync!$L1936,FIND("/",Sync!$L1936)+1,20))+1,20))),2),"")))</f>
        <v/>
      </c>
    </row>
    <row r="1937" spans="13:14" x14ac:dyDescent="0.2">
      <c r="M1937" t="str">
        <f>IF(Sync!$M1937&lt;&gt;"پاس چک","",IF(Sync!$P1937="","",Sync!$P1937))</f>
        <v/>
      </c>
      <c r="N1937" t="str">
        <f>IF($M1937="","",IF(ISNUMBER(Sync!$L1937),IF(AND(Sync!$L1937&gt;=10000101,Sync!$L1937&lt;=99991231),RIGHT("0000"&amp;INT(Sync!$L1937/10000),4)&amp;"/"&amp;RIGHT("00"&amp;INT(MOD(Sync!$L1937,10000)/100),2)&amp;"/"&amp;RIGHT("00"&amp;MOD(Sync!$L1937,100),2),""),IFERROR(RIGHT("0000"&amp;VALUE(TRIM(LEFT(Sync!$L1937,FIND("/",Sync!$L1937)-1))),4)&amp;"/"&amp;RIGHT("00"&amp;VALUE(TRIM(LEFT(MID(Sync!$L1937,FIND("/",Sync!$L1937)+1,20),FIND("/",MID(Sync!$L1937,FIND("/",Sync!$L1937)+1,20))-1))),2)&amp;"/"&amp;RIGHT("00"&amp;VALUE(TRIM(MID(MID(Sync!$L1937,FIND("/",Sync!$L1937)+1,20),FIND("/",MID(Sync!$L1937,FIND("/",Sync!$L1937)+1,20))+1,20))),2),"")))</f>
        <v/>
      </c>
    </row>
    <row r="1938" spans="13:14" x14ac:dyDescent="0.2">
      <c r="M1938" t="str">
        <f>IF(Sync!$M1938&lt;&gt;"پاس چک","",IF(Sync!$P1938="","",Sync!$P1938))</f>
        <v/>
      </c>
      <c r="N1938" t="str">
        <f>IF($M1938="","",IF(ISNUMBER(Sync!$L1938),IF(AND(Sync!$L1938&gt;=10000101,Sync!$L1938&lt;=99991231),RIGHT("0000"&amp;INT(Sync!$L1938/10000),4)&amp;"/"&amp;RIGHT("00"&amp;INT(MOD(Sync!$L1938,10000)/100),2)&amp;"/"&amp;RIGHT("00"&amp;MOD(Sync!$L1938,100),2),""),IFERROR(RIGHT("0000"&amp;VALUE(TRIM(LEFT(Sync!$L1938,FIND("/",Sync!$L1938)-1))),4)&amp;"/"&amp;RIGHT("00"&amp;VALUE(TRIM(LEFT(MID(Sync!$L1938,FIND("/",Sync!$L1938)+1,20),FIND("/",MID(Sync!$L1938,FIND("/",Sync!$L1938)+1,20))-1))),2)&amp;"/"&amp;RIGHT("00"&amp;VALUE(TRIM(MID(MID(Sync!$L1938,FIND("/",Sync!$L1938)+1,20),FIND("/",MID(Sync!$L1938,FIND("/",Sync!$L1938)+1,20))+1,20))),2),"")))</f>
        <v/>
      </c>
    </row>
    <row r="1939" spans="13:14" x14ac:dyDescent="0.2">
      <c r="M1939" t="str">
        <f>IF(Sync!$M1939&lt;&gt;"پاس چک","",IF(Sync!$P1939="","",Sync!$P1939))</f>
        <v/>
      </c>
      <c r="N1939" t="str">
        <f>IF($M1939="","",IF(ISNUMBER(Sync!$L1939),IF(AND(Sync!$L1939&gt;=10000101,Sync!$L1939&lt;=99991231),RIGHT("0000"&amp;INT(Sync!$L1939/10000),4)&amp;"/"&amp;RIGHT("00"&amp;INT(MOD(Sync!$L1939,10000)/100),2)&amp;"/"&amp;RIGHT("00"&amp;MOD(Sync!$L1939,100),2),""),IFERROR(RIGHT("0000"&amp;VALUE(TRIM(LEFT(Sync!$L1939,FIND("/",Sync!$L1939)-1))),4)&amp;"/"&amp;RIGHT("00"&amp;VALUE(TRIM(LEFT(MID(Sync!$L1939,FIND("/",Sync!$L1939)+1,20),FIND("/",MID(Sync!$L1939,FIND("/",Sync!$L1939)+1,20))-1))),2)&amp;"/"&amp;RIGHT("00"&amp;VALUE(TRIM(MID(MID(Sync!$L1939,FIND("/",Sync!$L1939)+1,20),FIND("/",MID(Sync!$L1939,FIND("/",Sync!$L1939)+1,20))+1,20))),2),"")))</f>
        <v/>
      </c>
    </row>
    <row r="1940" spans="13:14" x14ac:dyDescent="0.2">
      <c r="M1940" t="str">
        <f>IF(Sync!$M1940&lt;&gt;"پاس چک","",IF(Sync!$P1940="","",Sync!$P1940))</f>
        <v/>
      </c>
      <c r="N1940" t="str">
        <f>IF($M1940="","",IF(ISNUMBER(Sync!$L1940),IF(AND(Sync!$L1940&gt;=10000101,Sync!$L1940&lt;=99991231),RIGHT("0000"&amp;INT(Sync!$L1940/10000),4)&amp;"/"&amp;RIGHT("00"&amp;INT(MOD(Sync!$L1940,10000)/100),2)&amp;"/"&amp;RIGHT("00"&amp;MOD(Sync!$L1940,100),2),""),IFERROR(RIGHT("0000"&amp;VALUE(TRIM(LEFT(Sync!$L1940,FIND("/",Sync!$L1940)-1))),4)&amp;"/"&amp;RIGHT("00"&amp;VALUE(TRIM(LEFT(MID(Sync!$L1940,FIND("/",Sync!$L1940)+1,20),FIND("/",MID(Sync!$L1940,FIND("/",Sync!$L1940)+1,20))-1))),2)&amp;"/"&amp;RIGHT("00"&amp;VALUE(TRIM(MID(MID(Sync!$L1940,FIND("/",Sync!$L1940)+1,20),FIND("/",MID(Sync!$L1940,FIND("/",Sync!$L1940)+1,20))+1,20))),2),"")))</f>
        <v/>
      </c>
    </row>
    <row r="1941" spans="13:14" x14ac:dyDescent="0.2">
      <c r="M1941" t="str">
        <f>IF(Sync!$M1941&lt;&gt;"پاس چک","",IF(Sync!$P1941="","",Sync!$P1941))</f>
        <v/>
      </c>
      <c r="N1941" t="str">
        <f>IF($M1941="","",IF(ISNUMBER(Sync!$L1941),IF(AND(Sync!$L1941&gt;=10000101,Sync!$L1941&lt;=99991231),RIGHT("0000"&amp;INT(Sync!$L1941/10000),4)&amp;"/"&amp;RIGHT("00"&amp;INT(MOD(Sync!$L1941,10000)/100),2)&amp;"/"&amp;RIGHT("00"&amp;MOD(Sync!$L1941,100),2),""),IFERROR(RIGHT("0000"&amp;VALUE(TRIM(LEFT(Sync!$L1941,FIND("/",Sync!$L1941)-1))),4)&amp;"/"&amp;RIGHT("00"&amp;VALUE(TRIM(LEFT(MID(Sync!$L1941,FIND("/",Sync!$L1941)+1,20),FIND("/",MID(Sync!$L1941,FIND("/",Sync!$L1941)+1,20))-1))),2)&amp;"/"&amp;RIGHT("00"&amp;VALUE(TRIM(MID(MID(Sync!$L1941,FIND("/",Sync!$L1941)+1,20),FIND("/",MID(Sync!$L1941,FIND("/",Sync!$L1941)+1,20))+1,20))),2),"")))</f>
        <v/>
      </c>
    </row>
    <row r="1942" spans="13:14" x14ac:dyDescent="0.2">
      <c r="M1942" t="str">
        <f>IF(Sync!$M1942&lt;&gt;"پاس چک","",IF(Sync!$P1942="","",Sync!$P1942))</f>
        <v/>
      </c>
      <c r="N1942" t="str">
        <f>IF($M1942="","",IF(ISNUMBER(Sync!$L1942),IF(AND(Sync!$L1942&gt;=10000101,Sync!$L1942&lt;=99991231),RIGHT("0000"&amp;INT(Sync!$L1942/10000),4)&amp;"/"&amp;RIGHT("00"&amp;INT(MOD(Sync!$L1942,10000)/100),2)&amp;"/"&amp;RIGHT("00"&amp;MOD(Sync!$L1942,100),2),""),IFERROR(RIGHT("0000"&amp;VALUE(TRIM(LEFT(Sync!$L1942,FIND("/",Sync!$L1942)-1))),4)&amp;"/"&amp;RIGHT("00"&amp;VALUE(TRIM(LEFT(MID(Sync!$L1942,FIND("/",Sync!$L1942)+1,20),FIND("/",MID(Sync!$L1942,FIND("/",Sync!$L1942)+1,20))-1))),2)&amp;"/"&amp;RIGHT("00"&amp;VALUE(TRIM(MID(MID(Sync!$L1942,FIND("/",Sync!$L1942)+1,20),FIND("/",MID(Sync!$L1942,FIND("/",Sync!$L1942)+1,20))+1,20))),2),"")))</f>
        <v/>
      </c>
    </row>
    <row r="1943" spans="13:14" x14ac:dyDescent="0.2">
      <c r="M1943" t="str">
        <f>IF(Sync!$M1943&lt;&gt;"پاس چک","",IF(Sync!$P1943="","",Sync!$P1943))</f>
        <v/>
      </c>
      <c r="N1943" t="str">
        <f>IF($M1943="","",IF(ISNUMBER(Sync!$L1943),IF(AND(Sync!$L1943&gt;=10000101,Sync!$L1943&lt;=99991231),RIGHT("0000"&amp;INT(Sync!$L1943/10000),4)&amp;"/"&amp;RIGHT("00"&amp;INT(MOD(Sync!$L1943,10000)/100),2)&amp;"/"&amp;RIGHT("00"&amp;MOD(Sync!$L1943,100),2),""),IFERROR(RIGHT("0000"&amp;VALUE(TRIM(LEFT(Sync!$L1943,FIND("/",Sync!$L1943)-1))),4)&amp;"/"&amp;RIGHT("00"&amp;VALUE(TRIM(LEFT(MID(Sync!$L1943,FIND("/",Sync!$L1943)+1,20),FIND("/",MID(Sync!$L1943,FIND("/",Sync!$L1943)+1,20))-1))),2)&amp;"/"&amp;RIGHT("00"&amp;VALUE(TRIM(MID(MID(Sync!$L1943,FIND("/",Sync!$L1943)+1,20),FIND("/",MID(Sync!$L1943,FIND("/",Sync!$L1943)+1,20))+1,20))),2),"")))</f>
        <v/>
      </c>
    </row>
    <row r="1944" spans="13:14" x14ac:dyDescent="0.2">
      <c r="M1944" t="str">
        <f>IF(Sync!$M1944&lt;&gt;"پاس چک","",IF(Sync!$P1944="","",Sync!$P1944))</f>
        <v/>
      </c>
      <c r="N1944" t="str">
        <f>IF($M1944="","",IF(ISNUMBER(Sync!$L1944),IF(AND(Sync!$L1944&gt;=10000101,Sync!$L1944&lt;=99991231),RIGHT("0000"&amp;INT(Sync!$L1944/10000),4)&amp;"/"&amp;RIGHT("00"&amp;INT(MOD(Sync!$L1944,10000)/100),2)&amp;"/"&amp;RIGHT("00"&amp;MOD(Sync!$L1944,100),2),""),IFERROR(RIGHT("0000"&amp;VALUE(TRIM(LEFT(Sync!$L1944,FIND("/",Sync!$L1944)-1))),4)&amp;"/"&amp;RIGHT("00"&amp;VALUE(TRIM(LEFT(MID(Sync!$L1944,FIND("/",Sync!$L1944)+1,20),FIND("/",MID(Sync!$L1944,FIND("/",Sync!$L1944)+1,20))-1))),2)&amp;"/"&amp;RIGHT("00"&amp;VALUE(TRIM(MID(MID(Sync!$L1944,FIND("/",Sync!$L1944)+1,20),FIND("/",MID(Sync!$L1944,FIND("/",Sync!$L1944)+1,20))+1,20))),2),"")))</f>
        <v/>
      </c>
    </row>
    <row r="1945" spans="13:14" x14ac:dyDescent="0.2">
      <c r="M1945" t="str">
        <f>IF(Sync!$M1945&lt;&gt;"پاس چک","",IF(Sync!$P1945="","",Sync!$P1945))</f>
        <v/>
      </c>
      <c r="N1945" t="str">
        <f>IF($M1945="","",IF(ISNUMBER(Sync!$L1945),IF(AND(Sync!$L1945&gt;=10000101,Sync!$L1945&lt;=99991231),RIGHT("0000"&amp;INT(Sync!$L1945/10000),4)&amp;"/"&amp;RIGHT("00"&amp;INT(MOD(Sync!$L1945,10000)/100),2)&amp;"/"&amp;RIGHT("00"&amp;MOD(Sync!$L1945,100),2),""),IFERROR(RIGHT("0000"&amp;VALUE(TRIM(LEFT(Sync!$L1945,FIND("/",Sync!$L1945)-1))),4)&amp;"/"&amp;RIGHT("00"&amp;VALUE(TRIM(LEFT(MID(Sync!$L1945,FIND("/",Sync!$L1945)+1,20),FIND("/",MID(Sync!$L1945,FIND("/",Sync!$L1945)+1,20))-1))),2)&amp;"/"&amp;RIGHT("00"&amp;VALUE(TRIM(MID(MID(Sync!$L1945,FIND("/",Sync!$L1945)+1,20),FIND("/",MID(Sync!$L1945,FIND("/",Sync!$L1945)+1,20))+1,20))),2),"")))</f>
        <v/>
      </c>
    </row>
    <row r="1946" spans="13:14" x14ac:dyDescent="0.2">
      <c r="M1946" t="str">
        <f>IF(Sync!$M1946&lt;&gt;"پاس چک","",IF(Sync!$P1946="","",Sync!$P1946))</f>
        <v/>
      </c>
      <c r="N1946" t="str">
        <f>IF($M1946="","",IF(ISNUMBER(Sync!$L1946),IF(AND(Sync!$L1946&gt;=10000101,Sync!$L1946&lt;=99991231),RIGHT("0000"&amp;INT(Sync!$L1946/10000),4)&amp;"/"&amp;RIGHT("00"&amp;INT(MOD(Sync!$L1946,10000)/100),2)&amp;"/"&amp;RIGHT("00"&amp;MOD(Sync!$L1946,100),2),""),IFERROR(RIGHT("0000"&amp;VALUE(TRIM(LEFT(Sync!$L1946,FIND("/",Sync!$L1946)-1))),4)&amp;"/"&amp;RIGHT("00"&amp;VALUE(TRIM(LEFT(MID(Sync!$L1946,FIND("/",Sync!$L1946)+1,20),FIND("/",MID(Sync!$L1946,FIND("/",Sync!$L1946)+1,20))-1))),2)&amp;"/"&amp;RIGHT("00"&amp;VALUE(TRIM(MID(MID(Sync!$L1946,FIND("/",Sync!$L1946)+1,20),FIND("/",MID(Sync!$L1946,FIND("/",Sync!$L1946)+1,20))+1,20))),2),"")))</f>
        <v/>
      </c>
    </row>
    <row r="1947" spans="13:14" x14ac:dyDescent="0.2">
      <c r="M1947" t="str">
        <f>IF(Sync!$M1947&lt;&gt;"پاس چک","",IF(Sync!$P1947="","",Sync!$P1947))</f>
        <v/>
      </c>
      <c r="N1947" t="str">
        <f>IF($M1947="","",IF(ISNUMBER(Sync!$L1947),IF(AND(Sync!$L1947&gt;=10000101,Sync!$L1947&lt;=99991231),RIGHT("0000"&amp;INT(Sync!$L1947/10000),4)&amp;"/"&amp;RIGHT("00"&amp;INT(MOD(Sync!$L1947,10000)/100),2)&amp;"/"&amp;RIGHT("00"&amp;MOD(Sync!$L1947,100),2),""),IFERROR(RIGHT("0000"&amp;VALUE(TRIM(LEFT(Sync!$L1947,FIND("/",Sync!$L1947)-1))),4)&amp;"/"&amp;RIGHT("00"&amp;VALUE(TRIM(LEFT(MID(Sync!$L1947,FIND("/",Sync!$L1947)+1,20),FIND("/",MID(Sync!$L1947,FIND("/",Sync!$L1947)+1,20))-1))),2)&amp;"/"&amp;RIGHT("00"&amp;VALUE(TRIM(MID(MID(Sync!$L1947,FIND("/",Sync!$L1947)+1,20),FIND("/",MID(Sync!$L1947,FIND("/",Sync!$L1947)+1,20))+1,20))),2),"")))</f>
        <v/>
      </c>
    </row>
    <row r="1948" spans="13:14" x14ac:dyDescent="0.2">
      <c r="M1948" t="str">
        <f>IF(Sync!$M1948&lt;&gt;"پاس چک","",IF(Sync!$P1948="","",Sync!$P1948))</f>
        <v/>
      </c>
      <c r="N1948" t="str">
        <f>IF($M1948="","",IF(ISNUMBER(Sync!$L1948),IF(AND(Sync!$L1948&gt;=10000101,Sync!$L1948&lt;=99991231),RIGHT("0000"&amp;INT(Sync!$L1948/10000),4)&amp;"/"&amp;RIGHT("00"&amp;INT(MOD(Sync!$L1948,10000)/100),2)&amp;"/"&amp;RIGHT("00"&amp;MOD(Sync!$L1948,100),2),""),IFERROR(RIGHT("0000"&amp;VALUE(TRIM(LEFT(Sync!$L1948,FIND("/",Sync!$L1948)-1))),4)&amp;"/"&amp;RIGHT("00"&amp;VALUE(TRIM(LEFT(MID(Sync!$L1948,FIND("/",Sync!$L1948)+1,20),FIND("/",MID(Sync!$L1948,FIND("/",Sync!$L1948)+1,20))-1))),2)&amp;"/"&amp;RIGHT("00"&amp;VALUE(TRIM(MID(MID(Sync!$L1948,FIND("/",Sync!$L1948)+1,20),FIND("/",MID(Sync!$L1948,FIND("/",Sync!$L1948)+1,20))+1,20))),2),"")))</f>
        <v/>
      </c>
    </row>
    <row r="1949" spans="13:14" x14ac:dyDescent="0.2">
      <c r="M1949" t="str">
        <f>IF(Sync!$M1949&lt;&gt;"پاس چک","",IF(Sync!$P1949="","",Sync!$P1949))</f>
        <v/>
      </c>
      <c r="N1949" t="str">
        <f>IF($M1949="","",IF(ISNUMBER(Sync!$L1949),IF(AND(Sync!$L1949&gt;=10000101,Sync!$L1949&lt;=99991231),RIGHT("0000"&amp;INT(Sync!$L1949/10000),4)&amp;"/"&amp;RIGHT("00"&amp;INT(MOD(Sync!$L1949,10000)/100),2)&amp;"/"&amp;RIGHT("00"&amp;MOD(Sync!$L1949,100),2),""),IFERROR(RIGHT("0000"&amp;VALUE(TRIM(LEFT(Sync!$L1949,FIND("/",Sync!$L1949)-1))),4)&amp;"/"&amp;RIGHT("00"&amp;VALUE(TRIM(LEFT(MID(Sync!$L1949,FIND("/",Sync!$L1949)+1,20),FIND("/",MID(Sync!$L1949,FIND("/",Sync!$L1949)+1,20))-1))),2)&amp;"/"&amp;RIGHT("00"&amp;VALUE(TRIM(MID(MID(Sync!$L1949,FIND("/",Sync!$L1949)+1,20),FIND("/",MID(Sync!$L1949,FIND("/",Sync!$L1949)+1,20))+1,20))),2),"")))</f>
        <v/>
      </c>
    </row>
    <row r="1950" spans="13:14" x14ac:dyDescent="0.2">
      <c r="M1950" t="str">
        <f>IF(Sync!$M1950&lt;&gt;"پاس چک","",IF(Sync!$P1950="","",Sync!$P1950))</f>
        <v/>
      </c>
      <c r="N1950" t="str">
        <f>IF($M1950="","",IF(ISNUMBER(Sync!$L1950),IF(AND(Sync!$L1950&gt;=10000101,Sync!$L1950&lt;=99991231),RIGHT("0000"&amp;INT(Sync!$L1950/10000),4)&amp;"/"&amp;RIGHT("00"&amp;INT(MOD(Sync!$L1950,10000)/100),2)&amp;"/"&amp;RIGHT("00"&amp;MOD(Sync!$L1950,100),2),""),IFERROR(RIGHT("0000"&amp;VALUE(TRIM(LEFT(Sync!$L1950,FIND("/",Sync!$L1950)-1))),4)&amp;"/"&amp;RIGHT("00"&amp;VALUE(TRIM(LEFT(MID(Sync!$L1950,FIND("/",Sync!$L1950)+1,20),FIND("/",MID(Sync!$L1950,FIND("/",Sync!$L1950)+1,20))-1))),2)&amp;"/"&amp;RIGHT("00"&amp;VALUE(TRIM(MID(MID(Sync!$L1950,FIND("/",Sync!$L1950)+1,20),FIND("/",MID(Sync!$L1950,FIND("/",Sync!$L1950)+1,20))+1,20))),2),"")))</f>
        <v/>
      </c>
    </row>
    <row r="1951" spans="13:14" x14ac:dyDescent="0.2">
      <c r="M1951" t="str">
        <f>IF(Sync!$M1951&lt;&gt;"پاس چک","",IF(Sync!$P1951="","",Sync!$P1951))</f>
        <v/>
      </c>
      <c r="N1951" t="str">
        <f>IF($M1951="","",IF(ISNUMBER(Sync!$L1951),IF(AND(Sync!$L1951&gt;=10000101,Sync!$L1951&lt;=99991231),RIGHT("0000"&amp;INT(Sync!$L1951/10000),4)&amp;"/"&amp;RIGHT("00"&amp;INT(MOD(Sync!$L1951,10000)/100),2)&amp;"/"&amp;RIGHT("00"&amp;MOD(Sync!$L1951,100),2),""),IFERROR(RIGHT("0000"&amp;VALUE(TRIM(LEFT(Sync!$L1951,FIND("/",Sync!$L1951)-1))),4)&amp;"/"&amp;RIGHT("00"&amp;VALUE(TRIM(LEFT(MID(Sync!$L1951,FIND("/",Sync!$L1951)+1,20),FIND("/",MID(Sync!$L1951,FIND("/",Sync!$L1951)+1,20))-1))),2)&amp;"/"&amp;RIGHT("00"&amp;VALUE(TRIM(MID(MID(Sync!$L1951,FIND("/",Sync!$L1951)+1,20),FIND("/",MID(Sync!$L1951,FIND("/",Sync!$L1951)+1,20))+1,20))),2),"")))</f>
        <v/>
      </c>
    </row>
    <row r="1952" spans="13:14" x14ac:dyDescent="0.2">
      <c r="M1952" t="str">
        <f>IF(Sync!$M1952&lt;&gt;"پاس چک","",IF(Sync!$P1952="","",Sync!$P1952))</f>
        <v/>
      </c>
      <c r="N1952" t="str">
        <f>IF($M1952="","",IF(ISNUMBER(Sync!$L1952),IF(AND(Sync!$L1952&gt;=10000101,Sync!$L1952&lt;=99991231),RIGHT("0000"&amp;INT(Sync!$L1952/10000),4)&amp;"/"&amp;RIGHT("00"&amp;INT(MOD(Sync!$L1952,10000)/100),2)&amp;"/"&amp;RIGHT("00"&amp;MOD(Sync!$L1952,100),2),""),IFERROR(RIGHT("0000"&amp;VALUE(TRIM(LEFT(Sync!$L1952,FIND("/",Sync!$L1952)-1))),4)&amp;"/"&amp;RIGHT("00"&amp;VALUE(TRIM(LEFT(MID(Sync!$L1952,FIND("/",Sync!$L1952)+1,20),FIND("/",MID(Sync!$L1952,FIND("/",Sync!$L1952)+1,20))-1))),2)&amp;"/"&amp;RIGHT("00"&amp;VALUE(TRIM(MID(MID(Sync!$L1952,FIND("/",Sync!$L1952)+1,20),FIND("/",MID(Sync!$L1952,FIND("/",Sync!$L1952)+1,20))+1,20))),2),"")))</f>
        <v/>
      </c>
    </row>
    <row r="1953" spans="13:14" x14ac:dyDescent="0.2">
      <c r="M1953" t="str">
        <f>IF(Sync!$M1953&lt;&gt;"پاس چک","",IF(Sync!$P1953="","",Sync!$P1953))</f>
        <v/>
      </c>
      <c r="N1953" t="str">
        <f>IF($M1953="","",IF(ISNUMBER(Sync!$L1953),IF(AND(Sync!$L1953&gt;=10000101,Sync!$L1953&lt;=99991231),RIGHT("0000"&amp;INT(Sync!$L1953/10000),4)&amp;"/"&amp;RIGHT("00"&amp;INT(MOD(Sync!$L1953,10000)/100),2)&amp;"/"&amp;RIGHT("00"&amp;MOD(Sync!$L1953,100),2),""),IFERROR(RIGHT("0000"&amp;VALUE(TRIM(LEFT(Sync!$L1953,FIND("/",Sync!$L1953)-1))),4)&amp;"/"&amp;RIGHT("00"&amp;VALUE(TRIM(LEFT(MID(Sync!$L1953,FIND("/",Sync!$L1953)+1,20),FIND("/",MID(Sync!$L1953,FIND("/",Sync!$L1953)+1,20))-1))),2)&amp;"/"&amp;RIGHT("00"&amp;VALUE(TRIM(MID(MID(Sync!$L1953,FIND("/",Sync!$L1953)+1,20),FIND("/",MID(Sync!$L1953,FIND("/",Sync!$L1953)+1,20))+1,20))),2),"")))</f>
        <v/>
      </c>
    </row>
    <row r="1954" spans="13:14" x14ac:dyDescent="0.2">
      <c r="M1954" t="str">
        <f>IF(Sync!$M1954&lt;&gt;"پاس چک","",IF(Sync!$P1954="","",Sync!$P1954))</f>
        <v/>
      </c>
      <c r="N1954" t="str">
        <f>IF($M1954="","",IF(ISNUMBER(Sync!$L1954),IF(AND(Sync!$L1954&gt;=10000101,Sync!$L1954&lt;=99991231),RIGHT("0000"&amp;INT(Sync!$L1954/10000),4)&amp;"/"&amp;RIGHT("00"&amp;INT(MOD(Sync!$L1954,10000)/100),2)&amp;"/"&amp;RIGHT("00"&amp;MOD(Sync!$L1954,100),2),""),IFERROR(RIGHT("0000"&amp;VALUE(TRIM(LEFT(Sync!$L1954,FIND("/",Sync!$L1954)-1))),4)&amp;"/"&amp;RIGHT("00"&amp;VALUE(TRIM(LEFT(MID(Sync!$L1954,FIND("/",Sync!$L1954)+1,20),FIND("/",MID(Sync!$L1954,FIND("/",Sync!$L1954)+1,20))-1))),2)&amp;"/"&amp;RIGHT("00"&amp;VALUE(TRIM(MID(MID(Sync!$L1954,FIND("/",Sync!$L1954)+1,20),FIND("/",MID(Sync!$L1954,FIND("/",Sync!$L1954)+1,20))+1,20))),2),"")))</f>
        <v/>
      </c>
    </row>
    <row r="1955" spans="13:14" x14ac:dyDescent="0.2">
      <c r="M1955" t="str">
        <f>IF(Sync!$M1955&lt;&gt;"پاس چک","",IF(Sync!$P1955="","",Sync!$P1955))</f>
        <v/>
      </c>
      <c r="N1955" t="str">
        <f>IF($M1955="","",IF(ISNUMBER(Sync!$L1955),IF(AND(Sync!$L1955&gt;=10000101,Sync!$L1955&lt;=99991231),RIGHT("0000"&amp;INT(Sync!$L1955/10000),4)&amp;"/"&amp;RIGHT("00"&amp;INT(MOD(Sync!$L1955,10000)/100),2)&amp;"/"&amp;RIGHT("00"&amp;MOD(Sync!$L1955,100),2),""),IFERROR(RIGHT("0000"&amp;VALUE(TRIM(LEFT(Sync!$L1955,FIND("/",Sync!$L1955)-1))),4)&amp;"/"&amp;RIGHT("00"&amp;VALUE(TRIM(LEFT(MID(Sync!$L1955,FIND("/",Sync!$L1955)+1,20),FIND("/",MID(Sync!$L1955,FIND("/",Sync!$L1955)+1,20))-1))),2)&amp;"/"&amp;RIGHT("00"&amp;VALUE(TRIM(MID(MID(Sync!$L1955,FIND("/",Sync!$L1955)+1,20),FIND("/",MID(Sync!$L1955,FIND("/",Sync!$L1955)+1,20))+1,20))),2),"")))</f>
        <v/>
      </c>
    </row>
    <row r="1956" spans="13:14" x14ac:dyDescent="0.2">
      <c r="M1956" t="str">
        <f>IF(Sync!$M1956&lt;&gt;"پاس چک","",IF(Sync!$P1956="","",Sync!$P1956))</f>
        <v/>
      </c>
      <c r="N1956" t="str">
        <f>IF($M1956="","",IF(ISNUMBER(Sync!$L1956),IF(AND(Sync!$L1956&gt;=10000101,Sync!$L1956&lt;=99991231),RIGHT("0000"&amp;INT(Sync!$L1956/10000),4)&amp;"/"&amp;RIGHT("00"&amp;INT(MOD(Sync!$L1956,10000)/100),2)&amp;"/"&amp;RIGHT("00"&amp;MOD(Sync!$L1956,100),2),""),IFERROR(RIGHT("0000"&amp;VALUE(TRIM(LEFT(Sync!$L1956,FIND("/",Sync!$L1956)-1))),4)&amp;"/"&amp;RIGHT("00"&amp;VALUE(TRIM(LEFT(MID(Sync!$L1956,FIND("/",Sync!$L1956)+1,20),FIND("/",MID(Sync!$L1956,FIND("/",Sync!$L1956)+1,20))-1))),2)&amp;"/"&amp;RIGHT("00"&amp;VALUE(TRIM(MID(MID(Sync!$L1956,FIND("/",Sync!$L1956)+1,20),FIND("/",MID(Sync!$L1956,FIND("/",Sync!$L1956)+1,20))+1,20))),2),"")))</f>
        <v/>
      </c>
    </row>
    <row r="1957" spans="13:14" x14ac:dyDescent="0.2">
      <c r="M1957" t="str">
        <f>IF(Sync!$M1957&lt;&gt;"پاس چک","",IF(Sync!$P1957="","",Sync!$P1957))</f>
        <v/>
      </c>
      <c r="N1957" t="str">
        <f>IF($M1957="","",IF(ISNUMBER(Sync!$L1957),IF(AND(Sync!$L1957&gt;=10000101,Sync!$L1957&lt;=99991231),RIGHT("0000"&amp;INT(Sync!$L1957/10000),4)&amp;"/"&amp;RIGHT("00"&amp;INT(MOD(Sync!$L1957,10000)/100),2)&amp;"/"&amp;RIGHT("00"&amp;MOD(Sync!$L1957,100),2),""),IFERROR(RIGHT("0000"&amp;VALUE(TRIM(LEFT(Sync!$L1957,FIND("/",Sync!$L1957)-1))),4)&amp;"/"&amp;RIGHT("00"&amp;VALUE(TRIM(LEFT(MID(Sync!$L1957,FIND("/",Sync!$L1957)+1,20),FIND("/",MID(Sync!$L1957,FIND("/",Sync!$L1957)+1,20))-1))),2)&amp;"/"&amp;RIGHT("00"&amp;VALUE(TRIM(MID(MID(Sync!$L1957,FIND("/",Sync!$L1957)+1,20),FIND("/",MID(Sync!$L1957,FIND("/",Sync!$L1957)+1,20))+1,20))),2),"")))</f>
        <v/>
      </c>
    </row>
    <row r="1958" spans="13:14" x14ac:dyDescent="0.2">
      <c r="M1958" t="str">
        <f>IF(Sync!$M1958&lt;&gt;"پاس چک","",IF(Sync!$P1958="","",Sync!$P1958))</f>
        <v/>
      </c>
      <c r="N1958" t="str">
        <f>IF($M1958="","",IF(ISNUMBER(Sync!$L1958),IF(AND(Sync!$L1958&gt;=10000101,Sync!$L1958&lt;=99991231),RIGHT("0000"&amp;INT(Sync!$L1958/10000),4)&amp;"/"&amp;RIGHT("00"&amp;INT(MOD(Sync!$L1958,10000)/100),2)&amp;"/"&amp;RIGHT("00"&amp;MOD(Sync!$L1958,100),2),""),IFERROR(RIGHT("0000"&amp;VALUE(TRIM(LEFT(Sync!$L1958,FIND("/",Sync!$L1958)-1))),4)&amp;"/"&amp;RIGHT("00"&amp;VALUE(TRIM(LEFT(MID(Sync!$L1958,FIND("/",Sync!$L1958)+1,20),FIND("/",MID(Sync!$L1958,FIND("/",Sync!$L1958)+1,20))-1))),2)&amp;"/"&amp;RIGHT("00"&amp;VALUE(TRIM(MID(MID(Sync!$L1958,FIND("/",Sync!$L1958)+1,20),FIND("/",MID(Sync!$L1958,FIND("/",Sync!$L1958)+1,20))+1,20))),2),"")))</f>
        <v/>
      </c>
    </row>
    <row r="1959" spans="13:14" x14ac:dyDescent="0.2">
      <c r="M1959" t="str">
        <f>IF(Sync!$M1959&lt;&gt;"پاس چک","",IF(Sync!$P1959="","",Sync!$P1959))</f>
        <v/>
      </c>
      <c r="N1959" t="str">
        <f>IF($M1959="","",IF(ISNUMBER(Sync!$L1959),IF(AND(Sync!$L1959&gt;=10000101,Sync!$L1959&lt;=99991231),RIGHT("0000"&amp;INT(Sync!$L1959/10000),4)&amp;"/"&amp;RIGHT("00"&amp;INT(MOD(Sync!$L1959,10000)/100),2)&amp;"/"&amp;RIGHT("00"&amp;MOD(Sync!$L1959,100),2),""),IFERROR(RIGHT("0000"&amp;VALUE(TRIM(LEFT(Sync!$L1959,FIND("/",Sync!$L1959)-1))),4)&amp;"/"&amp;RIGHT("00"&amp;VALUE(TRIM(LEFT(MID(Sync!$L1959,FIND("/",Sync!$L1959)+1,20),FIND("/",MID(Sync!$L1959,FIND("/",Sync!$L1959)+1,20))-1))),2)&amp;"/"&amp;RIGHT("00"&amp;VALUE(TRIM(MID(MID(Sync!$L1959,FIND("/",Sync!$L1959)+1,20),FIND("/",MID(Sync!$L1959,FIND("/",Sync!$L1959)+1,20))+1,20))),2),"")))</f>
        <v/>
      </c>
    </row>
    <row r="1960" spans="13:14" x14ac:dyDescent="0.2">
      <c r="M1960" t="str">
        <f>IF(Sync!$M1960&lt;&gt;"پاس چک","",IF(Sync!$P1960="","",Sync!$P1960))</f>
        <v/>
      </c>
      <c r="N1960" t="str">
        <f>IF($M1960="","",IF(ISNUMBER(Sync!$L1960),IF(AND(Sync!$L1960&gt;=10000101,Sync!$L1960&lt;=99991231),RIGHT("0000"&amp;INT(Sync!$L1960/10000),4)&amp;"/"&amp;RIGHT("00"&amp;INT(MOD(Sync!$L1960,10000)/100),2)&amp;"/"&amp;RIGHT("00"&amp;MOD(Sync!$L1960,100),2),""),IFERROR(RIGHT("0000"&amp;VALUE(TRIM(LEFT(Sync!$L1960,FIND("/",Sync!$L1960)-1))),4)&amp;"/"&amp;RIGHT("00"&amp;VALUE(TRIM(LEFT(MID(Sync!$L1960,FIND("/",Sync!$L1960)+1,20),FIND("/",MID(Sync!$L1960,FIND("/",Sync!$L1960)+1,20))-1))),2)&amp;"/"&amp;RIGHT("00"&amp;VALUE(TRIM(MID(MID(Sync!$L1960,FIND("/",Sync!$L1960)+1,20),FIND("/",MID(Sync!$L1960,FIND("/",Sync!$L1960)+1,20))+1,20))),2),"")))</f>
        <v/>
      </c>
    </row>
    <row r="1961" spans="13:14" x14ac:dyDescent="0.2">
      <c r="M1961" t="str">
        <f>IF(Sync!$M1961&lt;&gt;"پاس چک","",IF(Sync!$P1961="","",Sync!$P1961))</f>
        <v/>
      </c>
      <c r="N1961" t="str">
        <f>IF($M1961="","",IF(ISNUMBER(Sync!$L1961),IF(AND(Sync!$L1961&gt;=10000101,Sync!$L1961&lt;=99991231),RIGHT("0000"&amp;INT(Sync!$L1961/10000),4)&amp;"/"&amp;RIGHT("00"&amp;INT(MOD(Sync!$L1961,10000)/100),2)&amp;"/"&amp;RIGHT("00"&amp;MOD(Sync!$L1961,100),2),""),IFERROR(RIGHT("0000"&amp;VALUE(TRIM(LEFT(Sync!$L1961,FIND("/",Sync!$L1961)-1))),4)&amp;"/"&amp;RIGHT("00"&amp;VALUE(TRIM(LEFT(MID(Sync!$L1961,FIND("/",Sync!$L1961)+1,20),FIND("/",MID(Sync!$L1961,FIND("/",Sync!$L1961)+1,20))-1))),2)&amp;"/"&amp;RIGHT("00"&amp;VALUE(TRIM(MID(MID(Sync!$L1961,FIND("/",Sync!$L1961)+1,20),FIND("/",MID(Sync!$L1961,FIND("/",Sync!$L1961)+1,20))+1,20))),2),"")))</f>
        <v/>
      </c>
    </row>
    <row r="1962" spans="13:14" x14ac:dyDescent="0.2">
      <c r="M1962" t="str">
        <f>IF(Sync!$M1962&lt;&gt;"پاس چک","",IF(Sync!$P1962="","",Sync!$P1962))</f>
        <v/>
      </c>
      <c r="N1962" t="str">
        <f>IF($M1962="","",IF(ISNUMBER(Sync!$L1962),IF(AND(Sync!$L1962&gt;=10000101,Sync!$L1962&lt;=99991231),RIGHT("0000"&amp;INT(Sync!$L1962/10000),4)&amp;"/"&amp;RIGHT("00"&amp;INT(MOD(Sync!$L1962,10000)/100),2)&amp;"/"&amp;RIGHT("00"&amp;MOD(Sync!$L1962,100),2),""),IFERROR(RIGHT("0000"&amp;VALUE(TRIM(LEFT(Sync!$L1962,FIND("/",Sync!$L1962)-1))),4)&amp;"/"&amp;RIGHT("00"&amp;VALUE(TRIM(LEFT(MID(Sync!$L1962,FIND("/",Sync!$L1962)+1,20),FIND("/",MID(Sync!$L1962,FIND("/",Sync!$L1962)+1,20))-1))),2)&amp;"/"&amp;RIGHT("00"&amp;VALUE(TRIM(MID(MID(Sync!$L1962,FIND("/",Sync!$L1962)+1,20),FIND("/",MID(Sync!$L1962,FIND("/",Sync!$L1962)+1,20))+1,20))),2),"")))</f>
        <v/>
      </c>
    </row>
    <row r="1963" spans="13:14" x14ac:dyDescent="0.2">
      <c r="M1963" t="str">
        <f>IF(Sync!$M1963&lt;&gt;"پاس چک","",IF(Sync!$P1963="","",Sync!$P1963))</f>
        <v/>
      </c>
      <c r="N1963" t="str">
        <f>IF($M1963="","",IF(ISNUMBER(Sync!$L1963),IF(AND(Sync!$L1963&gt;=10000101,Sync!$L1963&lt;=99991231),RIGHT("0000"&amp;INT(Sync!$L1963/10000),4)&amp;"/"&amp;RIGHT("00"&amp;INT(MOD(Sync!$L1963,10000)/100),2)&amp;"/"&amp;RIGHT("00"&amp;MOD(Sync!$L1963,100),2),""),IFERROR(RIGHT("0000"&amp;VALUE(TRIM(LEFT(Sync!$L1963,FIND("/",Sync!$L1963)-1))),4)&amp;"/"&amp;RIGHT("00"&amp;VALUE(TRIM(LEFT(MID(Sync!$L1963,FIND("/",Sync!$L1963)+1,20),FIND("/",MID(Sync!$L1963,FIND("/",Sync!$L1963)+1,20))-1))),2)&amp;"/"&amp;RIGHT("00"&amp;VALUE(TRIM(MID(MID(Sync!$L1963,FIND("/",Sync!$L1963)+1,20),FIND("/",MID(Sync!$L1963,FIND("/",Sync!$L1963)+1,20))+1,20))),2),"")))</f>
        <v/>
      </c>
    </row>
    <row r="1964" spans="13:14" x14ac:dyDescent="0.2">
      <c r="M1964" t="str">
        <f>IF(Sync!$M1964&lt;&gt;"پاس چک","",IF(Sync!$P1964="","",Sync!$P1964))</f>
        <v/>
      </c>
      <c r="N1964" t="str">
        <f>IF($M1964="","",IF(ISNUMBER(Sync!$L1964),IF(AND(Sync!$L1964&gt;=10000101,Sync!$L1964&lt;=99991231),RIGHT("0000"&amp;INT(Sync!$L1964/10000),4)&amp;"/"&amp;RIGHT("00"&amp;INT(MOD(Sync!$L1964,10000)/100),2)&amp;"/"&amp;RIGHT("00"&amp;MOD(Sync!$L1964,100),2),""),IFERROR(RIGHT("0000"&amp;VALUE(TRIM(LEFT(Sync!$L1964,FIND("/",Sync!$L1964)-1))),4)&amp;"/"&amp;RIGHT("00"&amp;VALUE(TRIM(LEFT(MID(Sync!$L1964,FIND("/",Sync!$L1964)+1,20),FIND("/",MID(Sync!$L1964,FIND("/",Sync!$L1964)+1,20))-1))),2)&amp;"/"&amp;RIGHT("00"&amp;VALUE(TRIM(MID(MID(Sync!$L1964,FIND("/",Sync!$L1964)+1,20),FIND("/",MID(Sync!$L1964,FIND("/",Sync!$L1964)+1,20))+1,20))),2),"")))</f>
        <v/>
      </c>
    </row>
    <row r="1965" spans="13:14" x14ac:dyDescent="0.2">
      <c r="M1965" t="str">
        <f>IF(Sync!$M1965&lt;&gt;"پاس چک","",IF(Sync!$P1965="","",Sync!$P1965))</f>
        <v/>
      </c>
      <c r="N1965" t="str">
        <f>IF($M1965="","",IF(ISNUMBER(Sync!$L1965),IF(AND(Sync!$L1965&gt;=10000101,Sync!$L1965&lt;=99991231),RIGHT("0000"&amp;INT(Sync!$L1965/10000),4)&amp;"/"&amp;RIGHT("00"&amp;INT(MOD(Sync!$L1965,10000)/100),2)&amp;"/"&amp;RIGHT("00"&amp;MOD(Sync!$L1965,100),2),""),IFERROR(RIGHT("0000"&amp;VALUE(TRIM(LEFT(Sync!$L1965,FIND("/",Sync!$L1965)-1))),4)&amp;"/"&amp;RIGHT("00"&amp;VALUE(TRIM(LEFT(MID(Sync!$L1965,FIND("/",Sync!$L1965)+1,20),FIND("/",MID(Sync!$L1965,FIND("/",Sync!$L1965)+1,20))-1))),2)&amp;"/"&amp;RIGHT("00"&amp;VALUE(TRIM(MID(MID(Sync!$L1965,FIND("/",Sync!$L1965)+1,20),FIND("/",MID(Sync!$L1965,FIND("/",Sync!$L1965)+1,20))+1,20))),2),"")))</f>
        <v/>
      </c>
    </row>
    <row r="1966" spans="13:14" x14ac:dyDescent="0.2">
      <c r="M1966" t="str">
        <f>IF(Sync!$M1966&lt;&gt;"پاس چک","",IF(Sync!$P1966="","",Sync!$P1966))</f>
        <v/>
      </c>
      <c r="N1966" t="str">
        <f>IF($M1966="","",IF(ISNUMBER(Sync!$L1966),IF(AND(Sync!$L1966&gt;=10000101,Sync!$L1966&lt;=99991231),RIGHT("0000"&amp;INT(Sync!$L1966/10000),4)&amp;"/"&amp;RIGHT("00"&amp;INT(MOD(Sync!$L1966,10000)/100),2)&amp;"/"&amp;RIGHT("00"&amp;MOD(Sync!$L1966,100),2),""),IFERROR(RIGHT("0000"&amp;VALUE(TRIM(LEFT(Sync!$L1966,FIND("/",Sync!$L1966)-1))),4)&amp;"/"&amp;RIGHT("00"&amp;VALUE(TRIM(LEFT(MID(Sync!$L1966,FIND("/",Sync!$L1966)+1,20),FIND("/",MID(Sync!$L1966,FIND("/",Sync!$L1966)+1,20))-1))),2)&amp;"/"&amp;RIGHT("00"&amp;VALUE(TRIM(MID(MID(Sync!$L1966,FIND("/",Sync!$L1966)+1,20),FIND("/",MID(Sync!$L1966,FIND("/",Sync!$L1966)+1,20))+1,20))),2),"")))</f>
        <v/>
      </c>
    </row>
    <row r="1967" spans="13:14" x14ac:dyDescent="0.2">
      <c r="M1967" t="str">
        <f>IF(Sync!$M1967&lt;&gt;"پاس چک","",IF(Sync!$P1967="","",Sync!$P1967))</f>
        <v/>
      </c>
      <c r="N1967" t="str">
        <f>IF($M1967="","",IF(ISNUMBER(Sync!$L1967),IF(AND(Sync!$L1967&gt;=10000101,Sync!$L1967&lt;=99991231),RIGHT("0000"&amp;INT(Sync!$L1967/10000),4)&amp;"/"&amp;RIGHT("00"&amp;INT(MOD(Sync!$L1967,10000)/100),2)&amp;"/"&amp;RIGHT("00"&amp;MOD(Sync!$L1967,100),2),""),IFERROR(RIGHT("0000"&amp;VALUE(TRIM(LEFT(Sync!$L1967,FIND("/",Sync!$L1967)-1))),4)&amp;"/"&amp;RIGHT("00"&amp;VALUE(TRIM(LEFT(MID(Sync!$L1967,FIND("/",Sync!$L1967)+1,20),FIND("/",MID(Sync!$L1967,FIND("/",Sync!$L1967)+1,20))-1))),2)&amp;"/"&amp;RIGHT("00"&amp;VALUE(TRIM(MID(MID(Sync!$L1967,FIND("/",Sync!$L1967)+1,20),FIND("/",MID(Sync!$L1967,FIND("/",Sync!$L1967)+1,20))+1,20))),2),"")))</f>
        <v/>
      </c>
    </row>
    <row r="1968" spans="13:14" x14ac:dyDescent="0.2">
      <c r="M1968" t="str">
        <f>IF(Sync!$M1968&lt;&gt;"پاس چک","",IF(Sync!$P1968="","",Sync!$P1968))</f>
        <v/>
      </c>
      <c r="N1968" t="str">
        <f>IF($M1968="","",IF(ISNUMBER(Sync!$L1968),IF(AND(Sync!$L1968&gt;=10000101,Sync!$L1968&lt;=99991231),RIGHT("0000"&amp;INT(Sync!$L1968/10000),4)&amp;"/"&amp;RIGHT("00"&amp;INT(MOD(Sync!$L1968,10000)/100),2)&amp;"/"&amp;RIGHT("00"&amp;MOD(Sync!$L1968,100),2),""),IFERROR(RIGHT("0000"&amp;VALUE(TRIM(LEFT(Sync!$L1968,FIND("/",Sync!$L1968)-1))),4)&amp;"/"&amp;RIGHT("00"&amp;VALUE(TRIM(LEFT(MID(Sync!$L1968,FIND("/",Sync!$L1968)+1,20),FIND("/",MID(Sync!$L1968,FIND("/",Sync!$L1968)+1,20))-1))),2)&amp;"/"&amp;RIGHT("00"&amp;VALUE(TRIM(MID(MID(Sync!$L1968,FIND("/",Sync!$L1968)+1,20),FIND("/",MID(Sync!$L1968,FIND("/",Sync!$L1968)+1,20))+1,20))),2),"")))</f>
        <v/>
      </c>
    </row>
    <row r="1969" spans="13:14" x14ac:dyDescent="0.2">
      <c r="M1969" t="str">
        <f>IF(Sync!$M1969&lt;&gt;"پاس چک","",IF(Sync!$P1969="","",Sync!$P1969))</f>
        <v/>
      </c>
      <c r="N1969" t="str">
        <f>IF($M1969="","",IF(ISNUMBER(Sync!$L1969),IF(AND(Sync!$L1969&gt;=10000101,Sync!$L1969&lt;=99991231),RIGHT("0000"&amp;INT(Sync!$L1969/10000),4)&amp;"/"&amp;RIGHT("00"&amp;INT(MOD(Sync!$L1969,10000)/100),2)&amp;"/"&amp;RIGHT("00"&amp;MOD(Sync!$L1969,100),2),""),IFERROR(RIGHT("0000"&amp;VALUE(TRIM(LEFT(Sync!$L1969,FIND("/",Sync!$L1969)-1))),4)&amp;"/"&amp;RIGHT("00"&amp;VALUE(TRIM(LEFT(MID(Sync!$L1969,FIND("/",Sync!$L1969)+1,20),FIND("/",MID(Sync!$L1969,FIND("/",Sync!$L1969)+1,20))-1))),2)&amp;"/"&amp;RIGHT("00"&amp;VALUE(TRIM(MID(MID(Sync!$L1969,FIND("/",Sync!$L1969)+1,20),FIND("/",MID(Sync!$L1969,FIND("/",Sync!$L1969)+1,20))+1,20))),2),"")))</f>
        <v/>
      </c>
    </row>
    <row r="1970" spans="13:14" x14ac:dyDescent="0.2">
      <c r="M1970" t="str">
        <f>IF(Sync!$M1970&lt;&gt;"پاس چک","",IF(Sync!$P1970="","",Sync!$P1970))</f>
        <v/>
      </c>
      <c r="N1970" t="str">
        <f>IF($M1970="","",IF(ISNUMBER(Sync!$L1970),IF(AND(Sync!$L1970&gt;=10000101,Sync!$L1970&lt;=99991231),RIGHT("0000"&amp;INT(Sync!$L1970/10000),4)&amp;"/"&amp;RIGHT("00"&amp;INT(MOD(Sync!$L1970,10000)/100),2)&amp;"/"&amp;RIGHT("00"&amp;MOD(Sync!$L1970,100),2),""),IFERROR(RIGHT("0000"&amp;VALUE(TRIM(LEFT(Sync!$L1970,FIND("/",Sync!$L1970)-1))),4)&amp;"/"&amp;RIGHT("00"&amp;VALUE(TRIM(LEFT(MID(Sync!$L1970,FIND("/",Sync!$L1970)+1,20),FIND("/",MID(Sync!$L1970,FIND("/",Sync!$L1970)+1,20))-1))),2)&amp;"/"&amp;RIGHT("00"&amp;VALUE(TRIM(MID(MID(Sync!$L1970,FIND("/",Sync!$L1970)+1,20),FIND("/",MID(Sync!$L1970,FIND("/",Sync!$L1970)+1,20))+1,20))),2),"")))</f>
        <v/>
      </c>
    </row>
    <row r="1971" spans="13:14" x14ac:dyDescent="0.2">
      <c r="M1971" t="str">
        <f>IF(Sync!$M1971&lt;&gt;"پاس چک","",IF(Sync!$P1971="","",Sync!$P1971))</f>
        <v/>
      </c>
      <c r="N1971" t="str">
        <f>IF($M1971="","",IF(ISNUMBER(Sync!$L1971),IF(AND(Sync!$L1971&gt;=10000101,Sync!$L1971&lt;=99991231),RIGHT("0000"&amp;INT(Sync!$L1971/10000),4)&amp;"/"&amp;RIGHT("00"&amp;INT(MOD(Sync!$L1971,10000)/100),2)&amp;"/"&amp;RIGHT("00"&amp;MOD(Sync!$L1971,100),2),""),IFERROR(RIGHT("0000"&amp;VALUE(TRIM(LEFT(Sync!$L1971,FIND("/",Sync!$L1971)-1))),4)&amp;"/"&amp;RIGHT("00"&amp;VALUE(TRIM(LEFT(MID(Sync!$L1971,FIND("/",Sync!$L1971)+1,20),FIND("/",MID(Sync!$L1971,FIND("/",Sync!$L1971)+1,20))-1))),2)&amp;"/"&amp;RIGHT("00"&amp;VALUE(TRIM(MID(MID(Sync!$L1971,FIND("/",Sync!$L1971)+1,20),FIND("/",MID(Sync!$L1971,FIND("/",Sync!$L1971)+1,20))+1,20))),2),"")))</f>
        <v/>
      </c>
    </row>
    <row r="1972" spans="13:14" x14ac:dyDescent="0.2">
      <c r="M1972" t="str">
        <f>IF(Sync!$M1972&lt;&gt;"پاس چک","",IF(Sync!$P1972="","",Sync!$P1972))</f>
        <v/>
      </c>
      <c r="N1972" t="str">
        <f>IF($M1972="","",IF(ISNUMBER(Sync!$L1972),IF(AND(Sync!$L1972&gt;=10000101,Sync!$L1972&lt;=99991231),RIGHT("0000"&amp;INT(Sync!$L1972/10000),4)&amp;"/"&amp;RIGHT("00"&amp;INT(MOD(Sync!$L1972,10000)/100),2)&amp;"/"&amp;RIGHT("00"&amp;MOD(Sync!$L1972,100),2),""),IFERROR(RIGHT("0000"&amp;VALUE(TRIM(LEFT(Sync!$L1972,FIND("/",Sync!$L1972)-1))),4)&amp;"/"&amp;RIGHT("00"&amp;VALUE(TRIM(LEFT(MID(Sync!$L1972,FIND("/",Sync!$L1972)+1,20),FIND("/",MID(Sync!$L1972,FIND("/",Sync!$L1972)+1,20))-1))),2)&amp;"/"&amp;RIGHT("00"&amp;VALUE(TRIM(MID(MID(Sync!$L1972,FIND("/",Sync!$L1972)+1,20),FIND("/",MID(Sync!$L1972,FIND("/",Sync!$L1972)+1,20))+1,20))),2),"")))</f>
        <v/>
      </c>
    </row>
    <row r="1973" spans="13:14" x14ac:dyDescent="0.2">
      <c r="M1973" t="str">
        <f>IF(Sync!$M1973&lt;&gt;"پاس چک","",IF(Sync!$P1973="","",Sync!$P1973))</f>
        <v/>
      </c>
      <c r="N1973" t="str">
        <f>IF($M1973="","",IF(ISNUMBER(Sync!$L1973),IF(AND(Sync!$L1973&gt;=10000101,Sync!$L1973&lt;=99991231),RIGHT("0000"&amp;INT(Sync!$L1973/10000),4)&amp;"/"&amp;RIGHT("00"&amp;INT(MOD(Sync!$L1973,10000)/100),2)&amp;"/"&amp;RIGHT("00"&amp;MOD(Sync!$L1973,100),2),""),IFERROR(RIGHT("0000"&amp;VALUE(TRIM(LEFT(Sync!$L1973,FIND("/",Sync!$L1973)-1))),4)&amp;"/"&amp;RIGHT("00"&amp;VALUE(TRIM(LEFT(MID(Sync!$L1973,FIND("/",Sync!$L1973)+1,20),FIND("/",MID(Sync!$L1973,FIND("/",Sync!$L1973)+1,20))-1))),2)&amp;"/"&amp;RIGHT("00"&amp;VALUE(TRIM(MID(MID(Sync!$L1973,FIND("/",Sync!$L1973)+1,20),FIND("/",MID(Sync!$L1973,FIND("/",Sync!$L1973)+1,20))+1,20))),2),"")))</f>
        <v/>
      </c>
    </row>
    <row r="1974" spans="13:14" x14ac:dyDescent="0.2">
      <c r="M1974" t="str">
        <f>IF(Sync!$M1974&lt;&gt;"پاس چک","",IF(Sync!$P1974="","",Sync!$P1974))</f>
        <v/>
      </c>
      <c r="N1974" t="str">
        <f>IF($M1974="","",IF(ISNUMBER(Sync!$L1974),IF(AND(Sync!$L1974&gt;=10000101,Sync!$L1974&lt;=99991231),RIGHT("0000"&amp;INT(Sync!$L1974/10000),4)&amp;"/"&amp;RIGHT("00"&amp;INT(MOD(Sync!$L1974,10000)/100),2)&amp;"/"&amp;RIGHT("00"&amp;MOD(Sync!$L1974,100),2),""),IFERROR(RIGHT("0000"&amp;VALUE(TRIM(LEFT(Sync!$L1974,FIND("/",Sync!$L1974)-1))),4)&amp;"/"&amp;RIGHT("00"&amp;VALUE(TRIM(LEFT(MID(Sync!$L1974,FIND("/",Sync!$L1974)+1,20),FIND("/",MID(Sync!$L1974,FIND("/",Sync!$L1974)+1,20))-1))),2)&amp;"/"&amp;RIGHT("00"&amp;VALUE(TRIM(MID(MID(Sync!$L1974,FIND("/",Sync!$L1974)+1,20),FIND("/",MID(Sync!$L1974,FIND("/",Sync!$L1974)+1,20))+1,20))),2),"")))</f>
        <v/>
      </c>
    </row>
    <row r="1975" spans="13:14" x14ac:dyDescent="0.2">
      <c r="M1975" t="str">
        <f>IF(Sync!$M1975&lt;&gt;"پاس چک","",IF(Sync!$P1975="","",Sync!$P1975))</f>
        <v/>
      </c>
      <c r="N1975" t="str">
        <f>IF($M1975="","",IF(ISNUMBER(Sync!$L1975),IF(AND(Sync!$L1975&gt;=10000101,Sync!$L1975&lt;=99991231),RIGHT("0000"&amp;INT(Sync!$L1975/10000),4)&amp;"/"&amp;RIGHT("00"&amp;INT(MOD(Sync!$L1975,10000)/100),2)&amp;"/"&amp;RIGHT("00"&amp;MOD(Sync!$L1975,100),2),""),IFERROR(RIGHT("0000"&amp;VALUE(TRIM(LEFT(Sync!$L1975,FIND("/",Sync!$L1975)-1))),4)&amp;"/"&amp;RIGHT("00"&amp;VALUE(TRIM(LEFT(MID(Sync!$L1975,FIND("/",Sync!$L1975)+1,20),FIND("/",MID(Sync!$L1975,FIND("/",Sync!$L1975)+1,20))-1))),2)&amp;"/"&amp;RIGHT("00"&amp;VALUE(TRIM(MID(MID(Sync!$L1975,FIND("/",Sync!$L1975)+1,20),FIND("/",MID(Sync!$L1975,FIND("/",Sync!$L1975)+1,20))+1,20))),2),"")))</f>
        <v/>
      </c>
    </row>
    <row r="1976" spans="13:14" x14ac:dyDescent="0.2">
      <c r="M1976" t="str">
        <f>IF(Sync!$M1976&lt;&gt;"پاس چک","",IF(Sync!$P1976="","",Sync!$P1976))</f>
        <v/>
      </c>
      <c r="N1976" t="str">
        <f>IF($M1976="","",IF(ISNUMBER(Sync!$L1976),IF(AND(Sync!$L1976&gt;=10000101,Sync!$L1976&lt;=99991231),RIGHT("0000"&amp;INT(Sync!$L1976/10000),4)&amp;"/"&amp;RIGHT("00"&amp;INT(MOD(Sync!$L1976,10000)/100),2)&amp;"/"&amp;RIGHT("00"&amp;MOD(Sync!$L1976,100),2),""),IFERROR(RIGHT("0000"&amp;VALUE(TRIM(LEFT(Sync!$L1976,FIND("/",Sync!$L1976)-1))),4)&amp;"/"&amp;RIGHT("00"&amp;VALUE(TRIM(LEFT(MID(Sync!$L1976,FIND("/",Sync!$L1976)+1,20),FIND("/",MID(Sync!$L1976,FIND("/",Sync!$L1976)+1,20))-1))),2)&amp;"/"&amp;RIGHT("00"&amp;VALUE(TRIM(MID(MID(Sync!$L1976,FIND("/",Sync!$L1976)+1,20),FIND("/",MID(Sync!$L1976,FIND("/",Sync!$L1976)+1,20))+1,20))),2),"")))</f>
        <v/>
      </c>
    </row>
    <row r="1977" spans="13:14" x14ac:dyDescent="0.2">
      <c r="M1977" t="str">
        <f>IF(Sync!$M1977&lt;&gt;"پاس چک","",IF(Sync!$P1977="","",Sync!$P1977))</f>
        <v/>
      </c>
      <c r="N1977" t="str">
        <f>IF($M1977="","",IF(ISNUMBER(Sync!$L1977),IF(AND(Sync!$L1977&gt;=10000101,Sync!$L1977&lt;=99991231),RIGHT("0000"&amp;INT(Sync!$L1977/10000),4)&amp;"/"&amp;RIGHT("00"&amp;INT(MOD(Sync!$L1977,10000)/100),2)&amp;"/"&amp;RIGHT("00"&amp;MOD(Sync!$L1977,100),2),""),IFERROR(RIGHT("0000"&amp;VALUE(TRIM(LEFT(Sync!$L1977,FIND("/",Sync!$L1977)-1))),4)&amp;"/"&amp;RIGHT("00"&amp;VALUE(TRIM(LEFT(MID(Sync!$L1977,FIND("/",Sync!$L1977)+1,20),FIND("/",MID(Sync!$L1977,FIND("/",Sync!$L1977)+1,20))-1))),2)&amp;"/"&amp;RIGHT("00"&amp;VALUE(TRIM(MID(MID(Sync!$L1977,FIND("/",Sync!$L1977)+1,20),FIND("/",MID(Sync!$L1977,FIND("/",Sync!$L1977)+1,20))+1,20))),2),"")))</f>
        <v/>
      </c>
    </row>
    <row r="1978" spans="13:14" x14ac:dyDescent="0.2">
      <c r="M1978" t="str">
        <f>IF(Sync!$M1978&lt;&gt;"پاس چک","",IF(Sync!$P1978="","",Sync!$P1978))</f>
        <v/>
      </c>
      <c r="N1978" t="str">
        <f>IF($M1978="","",IF(ISNUMBER(Sync!$L1978),IF(AND(Sync!$L1978&gt;=10000101,Sync!$L1978&lt;=99991231),RIGHT("0000"&amp;INT(Sync!$L1978/10000),4)&amp;"/"&amp;RIGHT("00"&amp;INT(MOD(Sync!$L1978,10000)/100),2)&amp;"/"&amp;RIGHT("00"&amp;MOD(Sync!$L1978,100),2),""),IFERROR(RIGHT("0000"&amp;VALUE(TRIM(LEFT(Sync!$L1978,FIND("/",Sync!$L1978)-1))),4)&amp;"/"&amp;RIGHT("00"&amp;VALUE(TRIM(LEFT(MID(Sync!$L1978,FIND("/",Sync!$L1978)+1,20),FIND("/",MID(Sync!$L1978,FIND("/",Sync!$L1978)+1,20))-1))),2)&amp;"/"&amp;RIGHT("00"&amp;VALUE(TRIM(MID(MID(Sync!$L1978,FIND("/",Sync!$L1978)+1,20),FIND("/",MID(Sync!$L1978,FIND("/",Sync!$L1978)+1,20))+1,20))),2),"")))</f>
        <v/>
      </c>
    </row>
    <row r="1979" spans="13:14" x14ac:dyDescent="0.2">
      <c r="M1979" t="str">
        <f>IF(Sync!$M1979&lt;&gt;"پاس چک","",IF(Sync!$P1979="","",Sync!$P1979))</f>
        <v/>
      </c>
      <c r="N1979" t="str">
        <f>IF($M1979="","",IF(ISNUMBER(Sync!$L1979),IF(AND(Sync!$L1979&gt;=10000101,Sync!$L1979&lt;=99991231),RIGHT("0000"&amp;INT(Sync!$L1979/10000),4)&amp;"/"&amp;RIGHT("00"&amp;INT(MOD(Sync!$L1979,10000)/100),2)&amp;"/"&amp;RIGHT("00"&amp;MOD(Sync!$L1979,100),2),""),IFERROR(RIGHT("0000"&amp;VALUE(TRIM(LEFT(Sync!$L1979,FIND("/",Sync!$L1979)-1))),4)&amp;"/"&amp;RIGHT("00"&amp;VALUE(TRIM(LEFT(MID(Sync!$L1979,FIND("/",Sync!$L1979)+1,20),FIND("/",MID(Sync!$L1979,FIND("/",Sync!$L1979)+1,20))-1))),2)&amp;"/"&amp;RIGHT("00"&amp;VALUE(TRIM(MID(MID(Sync!$L1979,FIND("/",Sync!$L1979)+1,20),FIND("/",MID(Sync!$L1979,FIND("/",Sync!$L1979)+1,20))+1,20))),2),"")))</f>
        <v/>
      </c>
    </row>
    <row r="1980" spans="13:14" x14ac:dyDescent="0.2">
      <c r="M1980" t="str">
        <f>IF(Sync!$M1980&lt;&gt;"پاس چک","",IF(Sync!$P1980="","",Sync!$P1980))</f>
        <v/>
      </c>
      <c r="N1980" t="str">
        <f>IF($M1980="","",IF(ISNUMBER(Sync!$L1980),IF(AND(Sync!$L1980&gt;=10000101,Sync!$L1980&lt;=99991231),RIGHT("0000"&amp;INT(Sync!$L1980/10000),4)&amp;"/"&amp;RIGHT("00"&amp;INT(MOD(Sync!$L1980,10000)/100),2)&amp;"/"&amp;RIGHT("00"&amp;MOD(Sync!$L1980,100),2),""),IFERROR(RIGHT("0000"&amp;VALUE(TRIM(LEFT(Sync!$L1980,FIND("/",Sync!$L1980)-1))),4)&amp;"/"&amp;RIGHT("00"&amp;VALUE(TRIM(LEFT(MID(Sync!$L1980,FIND("/",Sync!$L1980)+1,20),FIND("/",MID(Sync!$L1980,FIND("/",Sync!$L1980)+1,20))-1))),2)&amp;"/"&amp;RIGHT("00"&amp;VALUE(TRIM(MID(MID(Sync!$L1980,FIND("/",Sync!$L1980)+1,20),FIND("/",MID(Sync!$L1980,FIND("/",Sync!$L1980)+1,20))+1,20))),2),"")))</f>
        <v/>
      </c>
    </row>
    <row r="1981" spans="13:14" x14ac:dyDescent="0.2">
      <c r="M1981" t="str">
        <f>IF(Sync!$M1981&lt;&gt;"پاس چک","",IF(Sync!$P1981="","",Sync!$P1981))</f>
        <v/>
      </c>
      <c r="N1981" t="str">
        <f>IF($M1981="","",IF(ISNUMBER(Sync!$L1981),IF(AND(Sync!$L1981&gt;=10000101,Sync!$L1981&lt;=99991231),RIGHT("0000"&amp;INT(Sync!$L1981/10000),4)&amp;"/"&amp;RIGHT("00"&amp;INT(MOD(Sync!$L1981,10000)/100),2)&amp;"/"&amp;RIGHT("00"&amp;MOD(Sync!$L1981,100),2),""),IFERROR(RIGHT("0000"&amp;VALUE(TRIM(LEFT(Sync!$L1981,FIND("/",Sync!$L1981)-1))),4)&amp;"/"&amp;RIGHT("00"&amp;VALUE(TRIM(LEFT(MID(Sync!$L1981,FIND("/",Sync!$L1981)+1,20),FIND("/",MID(Sync!$L1981,FIND("/",Sync!$L1981)+1,20))-1))),2)&amp;"/"&amp;RIGHT("00"&amp;VALUE(TRIM(MID(MID(Sync!$L1981,FIND("/",Sync!$L1981)+1,20),FIND("/",MID(Sync!$L1981,FIND("/",Sync!$L1981)+1,20))+1,20))),2),"")))</f>
        <v/>
      </c>
    </row>
    <row r="1982" spans="13:14" x14ac:dyDescent="0.2">
      <c r="M1982" t="str">
        <f>IF(Sync!$M1982&lt;&gt;"پاس چک","",IF(Sync!$P1982="","",Sync!$P1982))</f>
        <v/>
      </c>
      <c r="N1982" t="str">
        <f>IF($M1982="","",IF(ISNUMBER(Sync!$L1982),IF(AND(Sync!$L1982&gt;=10000101,Sync!$L1982&lt;=99991231),RIGHT("0000"&amp;INT(Sync!$L1982/10000),4)&amp;"/"&amp;RIGHT("00"&amp;INT(MOD(Sync!$L1982,10000)/100),2)&amp;"/"&amp;RIGHT("00"&amp;MOD(Sync!$L1982,100),2),""),IFERROR(RIGHT("0000"&amp;VALUE(TRIM(LEFT(Sync!$L1982,FIND("/",Sync!$L1982)-1))),4)&amp;"/"&amp;RIGHT("00"&amp;VALUE(TRIM(LEFT(MID(Sync!$L1982,FIND("/",Sync!$L1982)+1,20),FIND("/",MID(Sync!$L1982,FIND("/",Sync!$L1982)+1,20))-1))),2)&amp;"/"&amp;RIGHT("00"&amp;VALUE(TRIM(MID(MID(Sync!$L1982,FIND("/",Sync!$L1982)+1,20),FIND("/",MID(Sync!$L1982,FIND("/",Sync!$L1982)+1,20))+1,20))),2),"")))</f>
        <v/>
      </c>
    </row>
    <row r="1983" spans="13:14" x14ac:dyDescent="0.2">
      <c r="M1983" t="str">
        <f>IF(Sync!$M1983&lt;&gt;"پاس چک","",IF(Sync!$P1983="","",Sync!$P1983))</f>
        <v/>
      </c>
      <c r="N1983" t="str">
        <f>IF($M1983="","",IF(ISNUMBER(Sync!$L1983),IF(AND(Sync!$L1983&gt;=10000101,Sync!$L1983&lt;=99991231),RIGHT("0000"&amp;INT(Sync!$L1983/10000),4)&amp;"/"&amp;RIGHT("00"&amp;INT(MOD(Sync!$L1983,10000)/100),2)&amp;"/"&amp;RIGHT("00"&amp;MOD(Sync!$L1983,100),2),""),IFERROR(RIGHT("0000"&amp;VALUE(TRIM(LEFT(Sync!$L1983,FIND("/",Sync!$L1983)-1))),4)&amp;"/"&amp;RIGHT("00"&amp;VALUE(TRIM(LEFT(MID(Sync!$L1983,FIND("/",Sync!$L1983)+1,20),FIND("/",MID(Sync!$L1983,FIND("/",Sync!$L1983)+1,20))-1))),2)&amp;"/"&amp;RIGHT("00"&amp;VALUE(TRIM(MID(MID(Sync!$L1983,FIND("/",Sync!$L1983)+1,20),FIND("/",MID(Sync!$L1983,FIND("/",Sync!$L1983)+1,20))+1,20))),2),"")))</f>
        <v/>
      </c>
    </row>
    <row r="1984" spans="13:14" x14ac:dyDescent="0.2">
      <c r="M1984" t="str">
        <f>IF(Sync!$M1984&lt;&gt;"پاس چک","",IF(Sync!$P1984="","",Sync!$P1984))</f>
        <v/>
      </c>
      <c r="N1984" t="str">
        <f>IF($M1984="","",IF(ISNUMBER(Sync!$L1984),IF(AND(Sync!$L1984&gt;=10000101,Sync!$L1984&lt;=99991231),RIGHT("0000"&amp;INT(Sync!$L1984/10000),4)&amp;"/"&amp;RIGHT("00"&amp;INT(MOD(Sync!$L1984,10000)/100),2)&amp;"/"&amp;RIGHT("00"&amp;MOD(Sync!$L1984,100),2),""),IFERROR(RIGHT("0000"&amp;VALUE(TRIM(LEFT(Sync!$L1984,FIND("/",Sync!$L1984)-1))),4)&amp;"/"&amp;RIGHT("00"&amp;VALUE(TRIM(LEFT(MID(Sync!$L1984,FIND("/",Sync!$L1984)+1,20),FIND("/",MID(Sync!$L1984,FIND("/",Sync!$L1984)+1,20))-1))),2)&amp;"/"&amp;RIGHT("00"&amp;VALUE(TRIM(MID(MID(Sync!$L1984,FIND("/",Sync!$L1984)+1,20),FIND("/",MID(Sync!$L1984,FIND("/",Sync!$L1984)+1,20))+1,20))),2),"")))</f>
        <v/>
      </c>
    </row>
    <row r="1985" spans="13:14" x14ac:dyDescent="0.2">
      <c r="M1985" t="str">
        <f>IF(Sync!$M1985&lt;&gt;"پاس چک","",IF(Sync!$P1985="","",Sync!$P1985))</f>
        <v/>
      </c>
      <c r="N1985" t="str">
        <f>IF($M1985="","",IF(ISNUMBER(Sync!$L1985),IF(AND(Sync!$L1985&gt;=10000101,Sync!$L1985&lt;=99991231),RIGHT("0000"&amp;INT(Sync!$L1985/10000),4)&amp;"/"&amp;RIGHT("00"&amp;INT(MOD(Sync!$L1985,10000)/100),2)&amp;"/"&amp;RIGHT("00"&amp;MOD(Sync!$L1985,100),2),""),IFERROR(RIGHT("0000"&amp;VALUE(TRIM(LEFT(Sync!$L1985,FIND("/",Sync!$L1985)-1))),4)&amp;"/"&amp;RIGHT("00"&amp;VALUE(TRIM(LEFT(MID(Sync!$L1985,FIND("/",Sync!$L1985)+1,20),FIND("/",MID(Sync!$L1985,FIND("/",Sync!$L1985)+1,20))-1))),2)&amp;"/"&amp;RIGHT("00"&amp;VALUE(TRIM(MID(MID(Sync!$L1985,FIND("/",Sync!$L1985)+1,20),FIND("/",MID(Sync!$L1985,FIND("/",Sync!$L1985)+1,20))+1,20))),2),"")))</f>
        <v/>
      </c>
    </row>
    <row r="1986" spans="13:14" x14ac:dyDescent="0.2">
      <c r="M1986" t="str">
        <f>IF(Sync!$M1986&lt;&gt;"پاس چک","",IF(Sync!$P1986="","",Sync!$P1986))</f>
        <v/>
      </c>
      <c r="N1986" t="str">
        <f>IF($M1986="","",IF(ISNUMBER(Sync!$L1986),IF(AND(Sync!$L1986&gt;=10000101,Sync!$L1986&lt;=99991231),RIGHT("0000"&amp;INT(Sync!$L1986/10000),4)&amp;"/"&amp;RIGHT("00"&amp;INT(MOD(Sync!$L1986,10000)/100),2)&amp;"/"&amp;RIGHT("00"&amp;MOD(Sync!$L1986,100),2),""),IFERROR(RIGHT("0000"&amp;VALUE(TRIM(LEFT(Sync!$L1986,FIND("/",Sync!$L1986)-1))),4)&amp;"/"&amp;RIGHT("00"&amp;VALUE(TRIM(LEFT(MID(Sync!$L1986,FIND("/",Sync!$L1986)+1,20),FIND("/",MID(Sync!$L1986,FIND("/",Sync!$L1986)+1,20))-1))),2)&amp;"/"&amp;RIGHT("00"&amp;VALUE(TRIM(MID(MID(Sync!$L1986,FIND("/",Sync!$L1986)+1,20),FIND("/",MID(Sync!$L1986,FIND("/",Sync!$L1986)+1,20))+1,20))),2),"")))</f>
        <v/>
      </c>
    </row>
    <row r="1987" spans="13:14" x14ac:dyDescent="0.2">
      <c r="M1987" t="str">
        <f>IF(Sync!$M1987&lt;&gt;"پاس چک","",IF(Sync!$P1987="","",Sync!$P1987))</f>
        <v/>
      </c>
      <c r="N1987" t="str">
        <f>IF($M1987="","",IF(ISNUMBER(Sync!$L1987),IF(AND(Sync!$L1987&gt;=10000101,Sync!$L1987&lt;=99991231),RIGHT("0000"&amp;INT(Sync!$L1987/10000),4)&amp;"/"&amp;RIGHT("00"&amp;INT(MOD(Sync!$L1987,10000)/100),2)&amp;"/"&amp;RIGHT("00"&amp;MOD(Sync!$L1987,100),2),""),IFERROR(RIGHT("0000"&amp;VALUE(TRIM(LEFT(Sync!$L1987,FIND("/",Sync!$L1987)-1))),4)&amp;"/"&amp;RIGHT("00"&amp;VALUE(TRIM(LEFT(MID(Sync!$L1987,FIND("/",Sync!$L1987)+1,20),FIND("/",MID(Sync!$L1987,FIND("/",Sync!$L1987)+1,20))-1))),2)&amp;"/"&amp;RIGHT("00"&amp;VALUE(TRIM(MID(MID(Sync!$L1987,FIND("/",Sync!$L1987)+1,20),FIND("/",MID(Sync!$L1987,FIND("/",Sync!$L1987)+1,20))+1,20))),2),"")))</f>
        <v/>
      </c>
    </row>
    <row r="1988" spans="13:14" x14ac:dyDescent="0.2">
      <c r="M1988" t="str">
        <f>IF(Sync!$M1988&lt;&gt;"پاس چک","",IF(Sync!$P1988="","",Sync!$P1988))</f>
        <v/>
      </c>
      <c r="N1988" t="str">
        <f>IF($M1988="","",IF(ISNUMBER(Sync!$L1988),IF(AND(Sync!$L1988&gt;=10000101,Sync!$L1988&lt;=99991231),RIGHT("0000"&amp;INT(Sync!$L1988/10000),4)&amp;"/"&amp;RIGHT("00"&amp;INT(MOD(Sync!$L1988,10000)/100),2)&amp;"/"&amp;RIGHT("00"&amp;MOD(Sync!$L1988,100),2),""),IFERROR(RIGHT("0000"&amp;VALUE(TRIM(LEFT(Sync!$L1988,FIND("/",Sync!$L1988)-1))),4)&amp;"/"&amp;RIGHT("00"&amp;VALUE(TRIM(LEFT(MID(Sync!$L1988,FIND("/",Sync!$L1988)+1,20),FIND("/",MID(Sync!$L1988,FIND("/",Sync!$L1988)+1,20))-1))),2)&amp;"/"&amp;RIGHT("00"&amp;VALUE(TRIM(MID(MID(Sync!$L1988,FIND("/",Sync!$L1988)+1,20),FIND("/",MID(Sync!$L1988,FIND("/",Sync!$L1988)+1,20))+1,20))),2),"")))</f>
        <v/>
      </c>
    </row>
    <row r="1989" spans="13:14" x14ac:dyDescent="0.2">
      <c r="M1989" t="str">
        <f>IF(Sync!$M1989&lt;&gt;"پاس چک","",IF(Sync!$P1989="","",Sync!$P1989))</f>
        <v/>
      </c>
      <c r="N1989" t="str">
        <f>IF($M1989="","",IF(ISNUMBER(Sync!$L1989),IF(AND(Sync!$L1989&gt;=10000101,Sync!$L1989&lt;=99991231),RIGHT("0000"&amp;INT(Sync!$L1989/10000),4)&amp;"/"&amp;RIGHT("00"&amp;INT(MOD(Sync!$L1989,10000)/100),2)&amp;"/"&amp;RIGHT("00"&amp;MOD(Sync!$L1989,100),2),""),IFERROR(RIGHT("0000"&amp;VALUE(TRIM(LEFT(Sync!$L1989,FIND("/",Sync!$L1989)-1))),4)&amp;"/"&amp;RIGHT("00"&amp;VALUE(TRIM(LEFT(MID(Sync!$L1989,FIND("/",Sync!$L1989)+1,20),FIND("/",MID(Sync!$L1989,FIND("/",Sync!$L1989)+1,20))-1))),2)&amp;"/"&amp;RIGHT("00"&amp;VALUE(TRIM(MID(MID(Sync!$L1989,FIND("/",Sync!$L1989)+1,20),FIND("/",MID(Sync!$L1989,FIND("/",Sync!$L1989)+1,20))+1,20))),2),"")))</f>
        <v/>
      </c>
    </row>
    <row r="1990" spans="13:14" x14ac:dyDescent="0.2">
      <c r="M1990" t="str">
        <f>IF(Sync!$M1990&lt;&gt;"پاس چک","",IF(Sync!$P1990="","",Sync!$P1990))</f>
        <v/>
      </c>
      <c r="N1990" t="str">
        <f>IF($M1990="","",IF(ISNUMBER(Sync!$L1990),IF(AND(Sync!$L1990&gt;=10000101,Sync!$L1990&lt;=99991231),RIGHT("0000"&amp;INT(Sync!$L1990/10000),4)&amp;"/"&amp;RIGHT("00"&amp;INT(MOD(Sync!$L1990,10000)/100),2)&amp;"/"&amp;RIGHT("00"&amp;MOD(Sync!$L1990,100),2),""),IFERROR(RIGHT("0000"&amp;VALUE(TRIM(LEFT(Sync!$L1990,FIND("/",Sync!$L1990)-1))),4)&amp;"/"&amp;RIGHT("00"&amp;VALUE(TRIM(LEFT(MID(Sync!$L1990,FIND("/",Sync!$L1990)+1,20),FIND("/",MID(Sync!$L1990,FIND("/",Sync!$L1990)+1,20))-1))),2)&amp;"/"&amp;RIGHT("00"&amp;VALUE(TRIM(MID(MID(Sync!$L1990,FIND("/",Sync!$L1990)+1,20),FIND("/",MID(Sync!$L1990,FIND("/",Sync!$L1990)+1,20))+1,20))),2),"")))</f>
        <v/>
      </c>
    </row>
    <row r="1991" spans="13:14" x14ac:dyDescent="0.2">
      <c r="M1991" t="str">
        <f>IF(Sync!$M1991&lt;&gt;"پاس چک","",IF(Sync!$P1991="","",Sync!$P1991))</f>
        <v/>
      </c>
      <c r="N1991" t="str">
        <f>IF($M1991="","",IF(ISNUMBER(Sync!$L1991),IF(AND(Sync!$L1991&gt;=10000101,Sync!$L1991&lt;=99991231),RIGHT("0000"&amp;INT(Sync!$L1991/10000),4)&amp;"/"&amp;RIGHT("00"&amp;INT(MOD(Sync!$L1991,10000)/100),2)&amp;"/"&amp;RIGHT("00"&amp;MOD(Sync!$L1991,100),2),""),IFERROR(RIGHT("0000"&amp;VALUE(TRIM(LEFT(Sync!$L1991,FIND("/",Sync!$L1991)-1))),4)&amp;"/"&amp;RIGHT("00"&amp;VALUE(TRIM(LEFT(MID(Sync!$L1991,FIND("/",Sync!$L1991)+1,20),FIND("/",MID(Sync!$L1991,FIND("/",Sync!$L1991)+1,20))-1))),2)&amp;"/"&amp;RIGHT("00"&amp;VALUE(TRIM(MID(MID(Sync!$L1991,FIND("/",Sync!$L1991)+1,20),FIND("/",MID(Sync!$L1991,FIND("/",Sync!$L1991)+1,20))+1,20))),2),"")))</f>
        <v/>
      </c>
    </row>
    <row r="1992" spans="13:14" x14ac:dyDescent="0.2">
      <c r="M1992" t="str">
        <f>IF(Sync!$M1992&lt;&gt;"پاس چک","",IF(Sync!$P1992="","",Sync!$P1992))</f>
        <v/>
      </c>
      <c r="N1992" t="str">
        <f>IF($M1992="","",IF(ISNUMBER(Sync!$L1992),IF(AND(Sync!$L1992&gt;=10000101,Sync!$L1992&lt;=99991231),RIGHT("0000"&amp;INT(Sync!$L1992/10000),4)&amp;"/"&amp;RIGHT("00"&amp;INT(MOD(Sync!$L1992,10000)/100),2)&amp;"/"&amp;RIGHT("00"&amp;MOD(Sync!$L1992,100),2),""),IFERROR(RIGHT("0000"&amp;VALUE(TRIM(LEFT(Sync!$L1992,FIND("/",Sync!$L1992)-1))),4)&amp;"/"&amp;RIGHT("00"&amp;VALUE(TRIM(LEFT(MID(Sync!$L1992,FIND("/",Sync!$L1992)+1,20),FIND("/",MID(Sync!$L1992,FIND("/",Sync!$L1992)+1,20))-1))),2)&amp;"/"&amp;RIGHT("00"&amp;VALUE(TRIM(MID(MID(Sync!$L1992,FIND("/",Sync!$L1992)+1,20),FIND("/",MID(Sync!$L1992,FIND("/",Sync!$L1992)+1,20))+1,20))),2),"")))</f>
        <v/>
      </c>
    </row>
    <row r="1993" spans="13:14" x14ac:dyDescent="0.2">
      <c r="M1993" t="str">
        <f>IF(Sync!$M1993&lt;&gt;"پاس چک","",IF(Sync!$P1993="","",Sync!$P1993))</f>
        <v/>
      </c>
      <c r="N1993" t="str">
        <f>IF($M1993="","",IF(ISNUMBER(Sync!$L1993),IF(AND(Sync!$L1993&gt;=10000101,Sync!$L1993&lt;=99991231),RIGHT("0000"&amp;INT(Sync!$L1993/10000),4)&amp;"/"&amp;RIGHT("00"&amp;INT(MOD(Sync!$L1993,10000)/100),2)&amp;"/"&amp;RIGHT("00"&amp;MOD(Sync!$L1993,100),2),""),IFERROR(RIGHT("0000"&amp;VALUE(TRIM(LEFT(Sync!$L1993,FIND("/",Sync!$L1993)-1))),4)&amp;"/"&amp;RIGHT("00"&amp;VALUE(TRIM(LEFT(MID(Sync!$L1993,FIND("/",Sync!$L1993)+1,20),FIND("/",MID(Sync!$L1993,FIND("/",Sync!$L1993)+1,20))-1))),2)&amp;"/"&amp;RIGHT("00"&amp;VALUE(TRIM(MID(MID(Sync!$L1993,FIND("/",Sync!$L1993)+1,20),FIND("/",MID(Sync!$L1993,FIND("/",Sync!$L1993)+1,20))+1,20))),2),"")))</f>
        <v/>
      </c>
    </row>
    <row r="1994" spans="13:14" x14ac:dyDescent="0.2">
      <c r="M1994" t="str">
        <f>IF(Sync!$M1994&lt;&gt;"پاس چک","",IF(Sync!$P1994="","",Sync!$P1994))</f>
        <v/>
      </c>
      <c r="N1994" t="str">
        <f>IF($M1994="","",IF(ISNUMBER(Sync!$L1994),IF(AND(Sync!$L1994&gt;=10000101,Sync!$L1994&lt;=99991231),RIGHT("0000"&amp;INT(Sync!$L1994/10000),4)&amp;"/"&amp;RIGHT("00"&amp;INT(MOD(Sync!$L1994,10000)/100),2)&amp;"/"&amp;RIGHT("00"&amp;MOD(Sync!$L1994,100),2),""),IFERROR(RIGHT("0000"&amp;VALUE(TRIM(LEFT(Sync!$L1994,FIND("/",Sync!$L1994)-1))),4)&amp;"/"&amp;RIGHT("00"&amp;VALUE(TRIM(LEFT(MID(Sync!$L1994,FIND("/",Sync!$L1994)+1,20),FIND("/",MID(Sync!$L1994,FIND("/",Sync!$L1994)+1,20))-1))),2)&amp;"/"&amp;RIGHT("00"&amp;VALUE(TRIM(MID(MID(Sync!$L1994,FIND("/",Sync!$L1994)+1,20),FIND("/",MID(Sync!$L1994,FIND("/",Sync!$L1994)+1,20))+1,20))),2),"")))</f>
        <v/>
      </c>
    </row>
    <row r="1995" spans="13:14" x14ac:dyDescent="0.2">
      <c r="M1995" t="str">
        <f>IF(Sync!$M1995&lt;&gt;"پاس چک","",IF(Sync!$P1995="","",Sync!$P1995))</f>
        <v/>
      </c>
      <c r="N1995" t="str">
        <f>IF($M1995="","",IF(ISNUMBER(Sync!$L1995),IF(AND(Sync!$L1995&gt;=10000101,Sync!$L1995&lt;=99991231),RIGHT("0000"&amp;INT(Sync!$L1995/10000),4)&amp;"/"&amp;RIGHT("00"&amp;INT(MOD(Sync!$L1995,10000)/100),2)&amp;"/"&amp;RIGHT("00"&amp;MOD(Sync!$L1995,100),2),""),IFERROR(RIGHT("0000"&amp;VALUE(TRIM(LEFT(Sync!$L1995,FIND("/",Sync!$L1995)-1))),4)&amp;"/"&amp;RIGHT("00"&amp;VALUE(TRIM(LEFT(MID(Sync!$L1995,FIND("/",Sync!$L1995)+1,20),FIND("/",MID(Sync!$L1995,FIND("/",Sync!$L1995)+1,20))-1))),2)&amp;"/"&amp;RIGHT("00"&amp;VALUE(TRIM(MID(MID(Sync!$L1995,FIND("/",Sync!$L1995)+1,20),FIND("/",MID(Sync!$L1995,FIND("/",Sync!$L1995)+1,20))+1,20))),2),"")))</f>
        <v/>
      </c>
    </row>
    <row r="1996" spans="13:14" x14ac:dyDescent="0.2">
      <c r="M1996" t="str">
        <f>IF(Sync!$M1996&lt;&gt;"پاس چک","",IF(Sync!$P1996="","",Sync!$P1996))</f>
        <v/>
      </c>
      <c r="N1996" t="str">
        <f>IF($M1996="","",IF(ISNUMBER(Sync!$L1996),IF(AND(Sync!$L1996&gt;=10000101,Sync!$L1996&lt;=99991231),RIGHT("0000"&amp;INT(Sync!$L1996/10000),4)&amp;"/"&amp;RIGHT("00"&amp;INT(MOD(Sync!$L1996,10000)/100),2)&amp;"/"&amp;RIGHT("00"&amp;MOD(Sync!$L1996,100),2),""),IFERROR(RIGHT("0000"&amp;VALUE(TRIM(LEFT(Sync!$L1996,FIND("/",Sync!$L1996)-1))),4)&amp;"/"&amp;RIGHT("00"&amp;VALUE(TRIM(LEFT(MID(Sync!$L1996,FIND("/",Sync!$L1996)+1,20),FIND("/",MID(Sync!$L1996,FIND("/",Sync!$L1996)+1,20))-1))),2)&amp;"/"&amp;RIGHT("00"&amp;VALUE(TRIM(MID(MID(Sync!$L1996,FIND("/",Sync!$L1996)+1,20),FIND("/",MID(Sync!$L1996,FIND("/",Sync!$L1996)+1,20))+1,20))),2),"")))</f>
        <v/>
      </c>
    </row>
    <row r="1997" spans="13:14" x14ac:dyDescent="0.2">
      <c r="M1997" t="str">
        <f>IF(Sync!$M1997&lt;&gt;"پاس چک","",IF(Sync!$P1997="","",Sync!$P1997))</f>
        <v/>
      </c>
      <c r="N1997" t="str">
        <f>IF($M1997="","",IF(ISNUMBER(Sync!$L1997),IF(AND(Sync!$L1997&gt;=10000101,Sync!$L1997&lt;=99991231),RIGHT("0000"&amp;INT(Sync!$L1997/10000),4)&amp;"/"&amp;RIGHT("00"&amp;INT(MOD(Sync!$L1997,10000)/100),2)&amp;"/"&amp;RIGHT("00"&amp;MOD(Sync!$L1997,100),2),""),IFERROR(RIGHT("0000"&amp;VALUE(TRIM(LEFT(Sync!$L1997,FIND("/",Sync!$L1997)-1))),4)&amp;"/"&amp;RIGHT("00"&amp;VALUE(TRIM(LEFT(MID(Sync!$L1997,FIND("/",Sync!$L1997)+1,20),FIND("/",MID(Sync!$L1997,FIND("/",Sync!$L1997)+1,20))-1))),2)&amp;"/"&amp;RIGHT("00"&amp;VALUE(TRIM(MID(MID(Sync!$L1997,FIND("/",Sync!$L1997)+1,20),FIND("/",MID(Sync!$L1997,FIND("/",Sync!$L1997)+1,20))+1,20))),2),"")))</f>
        <v/>
      </c>
    </row>
    <row r="1998" spans="13:14" x14ac:dyDescent="0.2">
      <c r="M1998" t="str">
        <f>IF(Sync!$M1998&lt;&gt;"پاس چک","",IF(Sync!$P1998="","",Sync!$P1998))</f>
        <v/>
      </c>
      <c r="N1998" t="str">
        <f>IF($M1998="","",IF(ISNUMBER(Sync!$L1998),IF(AND(Sync!$L1998&gt;=10000101,Sync!$L1998&lt;=99991231),RIGHT("0000"&amp;INT(Sync!$L1998/10000),4)&amp;"/"&amp;RIGHT("00"&amp;INT(MOD(Sync!$L1998,10000)/100),2)&amp;"/"&amp;RIGHT("00"&amp;MOD(Sync!$L1998,100),2),""),IFERROR(RIGHT("0000"&amp;VALUE(TRIM(LEFT(Sync!$L1998,FIND("/",Sync!$L1998)-1))),4)&amp;"/"&amp;RIGHT("00"&amp;VALUE(TRIM(LEFT(MID(Sync!$L1998,FIND("/",Sync!$L1998)+1,20),FIND("/",MID(Sync!$L1998,FIND("/",Sync!$L1998)+1,20))-1))),2)&amp;"/"&amp;RIGHT("00"&amp;VALUE(TRIM(MID(MID(Sync!$L1998,FIND("/",Sync!$L1998)+1,20),FIND("/",MID(Sync!$L1998,FIND("/",Sync!$L1998)+1,20))+1,20))),2),"")))</f>
        <v/>
      </c>
    </row>
    <row r="1999" spans="13:14" x14ac:dyDescent="0.2">
      <c r="M1999" t="str">
        <f>IF(Sync!$M1999&lt;&gt;"پاس چک","",IF(Sync!$P1999="","",Sync!$P1999))</f>
        <v/>
      </c>
      <c r="N1999" t="str">
        <f>IF($M1999="","",IF(ISNUMBER(Sync!$L1999),IF(AND(Sync!$L1999&gt;=10000101,Sync!$L1999&lt;=99991231),RIGHT("0000"&amp;INT(Sync!$L1999/10000),4)&amp;"/"&amp;RIGHT("00"&amp;INT(MOD(Sync!$L1999,10000)/100),2)&amp;"/"&amp;RIGHT("00"&amp;MOD(Sync!$L1999,100),2),""),IFERROR(RIGHT("0000"&amp;VALUE(TRIM(LEFT(Sync!$L1999,FIND("/",Sync!$L1999)-1))),4)&amp;"/"&amp;RIGHT("00"&amp;VALUE(TRIM(LEFT(MID(Sync!$L1999,FIND("/",Sync!$L1999)+1,20),FIND("/",MID(Sync!$L1999,FIND("/",Sync!$L1999)+1,20))-1))),2)&amp;"/"&amp;RIGHT("00"&amp;VALUE(TRIM(MID(MID(Sync!$L1999,FIND("/",Sync!$L1999)+1,20),FIND("/",MID(Sync!$L1999,FIND("/",Sync!$L1999)+1,20))+1,20))),2),"")))</f>
        <v/>
      </c>
    </row>
    <row r="2000" spans="13:14" x14ac:dyDescent="0.2">
      <c r="M2000" t="str">
        <f>IF(Sync!$M2000&lt;&gt;"پاس چک","",IF(Sync!$P2000="","",Sync!$P2000))</f>
        <v/>
      </c>
      <c r="N2000" t="str">
        <f>IF($M2000="","",IF(ISNUMBER(Sync!$L2000),IF(AND(Sync!$L2000&gt;=10000101,Sync!$L2000&lt;=99991231),RIGHT("0000"&amp;INT(Sync!$L2000/10000),4)&amp;"/"&amp;RIGHT("00"&amp;INT(MOD(Sync!$L2000,10000)/100),2)&amp;"/"&amp;RIGHT("00"&amp;MOD(Sync!$L2000,100),2),""),IFERROR(RIGHT("0000"&amp;VALUE(TRIM(LEFT(Sync!$L2000,FIND("/",Sync!$L2000)-1))),4)&amp;"/"&amp;RIGHT("00"&amp;VALUE(TRIM(LEFT(MID(Sync!$L2000,FIND("/",Sync!$L2000)+1,20),FIND("/",MID(Sync!$L2000,FIND("/",Sync!$L2000)+1,20))-1))),2)&amp;"/"&amp;RIGHT("00"&amp;VALUE(TRIM(MID(MID(Sync!$L2000,FIND("/",Sync!$L2000)+1,20),FIND("/",MID(Sync!$L2000,FIND("/",Sync!$L2000)+1,20))+1,20))),2),"")))</f>
        <v/>
      </c>
    </row>
    <row r="2001" spans="13:14" x14ac:dyDescent="0.2">
      <c r="M2001" t="str">
        <f>IF(Sync!$M2001&lt;&gt;"پاس چک","",IF(Sync!$P2001="","",Sync!$P2001))</f>
        <v/>
      </c>
      <c r="N2001" t="str">
        <f>IF($M2001="","",IF(ISNUMBER(Sync!$L2001),IF(AND(Sync!$L2001&gt;=10000101,Sync!$L2001&lt;=99991231),RIGHT("0000"&amp;INT(Sync!$L2001/10000),4)&amp;"/"&amp;RIGHT("00"&amp;INT(MOD(Sync!$L2001,10000)/100),2)&amp;"/"&amp;RIGHT("00"&amp;MOD(Sync!$L2001,100),2),""),IFERROR(RIGHT("0000"&amp;VALUE(TRIM(LEFT(Sync!$L2001,FIND("/",Sync!$L2001)-1))),4)&amp;"/"&amp;RIGHT("00"&amp;VALUE(TRIM(LEFT(MID(Sync!$L2001,FIND("/",Sync!$L2001)+1,20),FIND("/",MID(Sync!$L2001,FIND("/",Sync!$L2001)+1,20))-1))),2)&amp;"/"&amp;RIGHT("00"&amp;VALUE(TRIM(MID(MID(Sync!$L2001,FIND("/",Sync!$L2001)+1,20),FIND("/",MID(Sync!$L2001,FIND("/",Sync!$L2001)+1,20))+1,20))),2),"")))</f>
        <v/>
      </c>
    </row>
    <row r="2002" spans="13:14" x14ac:dyDescent="0.2">
      <c r="M2002" t="str">
        <f>IF(Sync!$M2002&lt;&gt;"پاس چک","",IF(Sync!$P2002="","",Sync!$P2002))</f>
        <v/>
      </c>
      <c r="N2002" t="str">
        <f>IF($M2002="","",IF(ISNUMBER(Sync!$L2002),IF(AND(Sync!$L2002&gt;=10000101,Sync!$L2002&lt;=99991231),RIGHT("0000"&amp;INT(Sync!$L2002/10000),4)&amp;"/"&amp;RIGHT("00"&amp;INT(MOD(Sync!$L2002,10000)/100),2)&amp;"/"&amp;RIGHT("00"&amp;MOD(Sync!$L2002,100),2),""),IFERROR(RIGHT("0000"&amp;VALUE(TRIM(LEFT(Sync!$L2002,FIND("/",Sync!$L2002)-1))),4)&amp;"/"&amp;RIGHT("00"&amp;VALUE(TRIM(LEFT(MID(Sync!$L2002,FIND("/",Sync!$L2002)+1,20),FIND("/",MID(Sync!$L2002,FIND("/",Sync!$L2002)+1,20))-1))),2)&amp;"/"&amp;RIGHT("00"&amp;VALUE(TRIM(MID(MID(Sync!$L2002,FIND("/",Sync!$L2002)+1,20),FIND("/",MID(Sync!$L2002,FIND("/",Sync!$L2002)+1,20))+1,20))),2),"")))</f>
        <v/>
      </c>
    </row>
    <row r="2003" spans="13:14" x14ac:dyDescent="0.2">
      <c r="M2003" t="str">
        <f>IF(Sync!$M2003&lt;&gt;"پاس چک","",IF(Sync!$P2003="","",Sync!$P2003))</f>
        <v/>
      </c>
      <c r="N2003" t="str">
        <f>IF($M2003="","",IF(ISNUMBER(Sync!$L2003),IF(AND(Sync!$L2003&gt;=10000101,Sync!$L2003&lt;=99991231),RIGHT("0000"&amp;INT(Sync!$L2003/10000),4)&amp;"/"&amp;RIGHT("00"&amp;INT(MOD(Sync!$L2003,10000)/100),2)&amp;"/"&amp;RIGHT("00"&amp;MOD(Sync!$L2003,100),2),""),IFERROR(RIGHT("0000"&amp;VALUE(TRIM(LEFT(Sync!$L2003,FIND("/",Sync!$L2003)-1))),4)&amp;"/"&amp;RIGHT("00"&amp;VALUE(TRIM(LEFT(MID(Sync!$L2003,FIND("/",Sync!$L2003)+1,20),FIND("/",MID(Sync!$L2003,FIND("/",Sync!$L2003)+1,20))-1))),2)&amp;"/"&amp;RIGHT("00"&amp;VALUE(TRIM(MID(MID(Sync!$L2003,FIND("/",Sync!$L2003)+1,20),FIND("/",MID(Sync!$L2003,FIND("/",Sync!$L2003)+1,20))+1,20))),2),"")))</f>
        <v/>
      </c>
    </row>
    <row r="2004" spans="13:14" x14ac:dyDescent="0.2">
      <c r="M2004" t="str">
        <f>IF(Sync!$M2004&lt;&gt;"پاس چک","",IF(Sync!$P2004="","",Sync!$P2004))</f>
        <v/>
      </c>
      <c r="N2004" t="str">
        <f>IF($M2004="","",IF(ISNUMBER(Sync!$L2004),IF(AND(Sync!$L2004&gt;=10000101,Sync!$L2004&lt;=99991231),RIGHT("0000"&amp;INT(Sync!$L2004/10000),4)&amp;"/"&amp;RIGHT("00"&amp;INT(MOD(Sync!$L2004,10000)/100),2)&amp;"/"&amp;RIGHT("00"&amp;MOD(Sync!$L2004,100),2),""),IFERROR(RIGHT("0000"&amp;VALUE(TRIM(LEFT(Sync!$L2004,FIND("/",Sync!$L2004)-1))),4)&amp;"/"&amp;RIGHT("00"&amp;VALUE(TRIM(LEFT(MID(Sync!$L2004,FIND("/",Sync!$L2004)+1,20),FIND("/",MID(Sync!$L2004,FIND("/",Sync!$L2004)+1,20))-1))),2)&amp;"/"&amp;RIGHT("00"&amp;VALUE(TRIM(MID(MID(Sync!$L2004,FIND("/",Sync!$L2004)+1,20),FIND("/",MID(Sync!$L2004,FIND("/",Sync!$L2004)+1,20))+1,20))),2),"")))</f>
        <v/>
      </c>
    </row>
    <row r="2005" spans="13:14" x14ac:dyDescent="0.2">
      <c r="M2005" t="str">
        <f>IF(Sync!$M2005&lt;&gt;"پاس چک","",IF(Sync!$P2005="","",Sync!$P2005))</f>
        <v/>
      </c>
      <c r="N2005" t="str">
        <f>IF($M2005="","",IF(ISNUMBER(Sync!$L2005),IF(AND(Sync!$L2005&gt;=10000101,Sync!$L2005&lt;=99991231),RIGHT("0000"&amp;INT(Sync!$L2005/10000),4)&amp;"/"&amp;RIGHT("00"&amp;INT(MOD(Sync!$L2005,10000)/100),2)&amp;"/"&amp;RIGHT("00"&amp;MOD(Sync!$L2005,100),2),""),IFERROR(RIGHT("0000"&amp;VALUE(TRIM(LEFT(Sync!$L2005,FIND("/",Sync!$L2005)-1))),4)&amp;"/"&amp;RIGHT("00"&amp;VALUE(TRIM(LEFT(MID(Sync!$L2005,FIND("/",Sync!$L2005)+1,20),FIND("/",MID(Sync!$L2005,FIND("/",Sync!$L2005)+1,20))-1))),2)&amp;"/"&amp;RIGHT("00"&amp;VALUE(TRIM(MID(MID(Sync!$L2005,FIND("/",Sync!$L2005)+1,20),FIND("/",MID(Sync!$L2005,FIND("/",Sync!$L2005)+1,20))+1,20))),2),"")))</f>
        <v/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25"/>
  <sheetViews>
    <sheetView showGridLines="0" rightToLeft="1" workbookViewId="0">
      <selection sqref="A1:H1"/>
    </sheetView>
  </sheetViews>
  <sheetFormatPr defaultRowHeight="14.25" x14ac:dyDescent="0.2"/>
  <cols>
    <col min="1" max="8" width="12" customWidth="1"/>
  </cols>
  <sheetData>
    <row r="1" spans="1:8" ht="26.1" customHeight="1" x14ac:dyDescent="0.2">
      <c r="A1" s="21" t="s">
        <v>52</v>
      </c>
      <c r="B1" s="21"/>
      <c r="C1" s="21"/>
      <c r="D1" s="21"/>
      <c r="E1" s="21"/>
      <c r="F1" s="21"/>
      <c r="G1" s="21"/>
      <c r="H1" s="21"/>
    </row>
    <row r="2" spans="1:8" ht="14.1" customHeight="1" x14ac:dyDescent="0.2">
      <c r="A2" s="25" t="s">
        <v>53</v>
      </c>
      <c r="B2" s="25"/>
      <c r="C2" s="25"/>
      <c r="D2" s="25"/>
      <c r="E2" s="25"/>
      <c r="F2" s="25"/>
      <c r="G2" s="25"/>
      <c r="H2" s="25"/>
    </row>
    <row r="3" spans="1:8" ht="21.95" customHeight="1" x14ac:dyDescent="0.2">
      <c r="A3" s="34" t="s">
        <v>80</v>
      </c>
      <c r="B3" s="34"/>
      <c r="C3" s="34"/>
      <c r="D3" s="34"/>
      <c r="E3" s="34"/>
      <c r="F3" s="34"/>
      <c r="G3" s="34"/>
      <c r="H3" s="34"/>
    </row>
    <row r="5" spans="1:8" ht="18.95" customHeight="1" x14ac:dyDescent="0.2">
      <c r="A5" s="33" t="s">
        <v>81</v>
      </c>
      <c r="B5" s="33"/>
      <c r="C5" s="33"/>
      <c r="D5" s="33"/>
      <c r="E5" s="33"/>
      <c r="F5" s="33"/>
      <c r="G5" s="33"/>
      <c r="H5" s="33"/>
    </row>
    <row r="6" spans="1:8" ht="17.100000000000001" customHeight="1" x14ac:dyDescent="0.2">
      <c r="A6" s="35" t="s">
        <v>82</v>
      </c>
      <c r="B6" s="35"/>
      <c r="C6" s="35"/>
      <c r="D6" s="35"/>
      <c r="E6" s="35"/>
      <c r="F6" s="35"/>
      <c r="G6" s="35"/>
      <c r="H6" s="35"/>
    </row>
    <row r="7" spans="1:8" ht="17.100000000000001" customHeight="1" x14ac:dyDescent="0.2">
      <c r="A7" s="32" t="s">
        <v>83</v>
      </c>
      <c r="B7" s="32"/>
      <c r="C7" s="32"/>
      <c r="D7" s="32"/>
      <c r="E7" s="32"/>
      <c r="F7" s="32"/>
      <c r="G7" s="32"/>
      <c r="H7" s="32"/>
    </row>
    <row r="8" spans="1:8" ht="17.100000000000001" customHeight="1" x14ac:dyDescent="0.2">
      <c r="A8" s="35" t="s">
        <v>84</v>
      </c>
      <c r="B8" s="35"/>
      <c r="C8" s="35"/>
      <c r="D8" s="35"/>
      <c r="E8" s="35"/>
      <c r="F8" s="35"/>
      <c r="G8" s="35"/>
      <c r="H8" s="35"/>
    </row>
    <row r="10" spans="1:8" ht="18.95" customHeight="1" x14ac:dyDescent="0.2">
      <c r="A10" s="33" t="s">
        <v>85</v>
      </c>
      <c r="B10" s="33"/>
      <c r="C10" s="33"/>
      <c r="D10" s="33"/>
      <c r="E10" s="33"/>
      <c r="F10" s="33"/>
      <c r="G10" s="33"/>
      <c r="H10" s="33"/>
    </row>
    <row r="11" spans="1:8" ht="17.100000000000001" customHeight="1" x14ac:dyDescent="0.2">
      <c r="A11" s="35" t="s">
        <v>86</v>
      </c>
      <c r="B11" s="35"/>
      <c r="C11" s="35"/>
      <c r="D11" s="35"/>
      <c r="E11" s="35"/>
      <c r="F11" s="35"/>
      <c r="G11" s="35"/>
      <c r="H11" s="35"/>
    </row>
    <row r="12" spans="1:8" ht="17.100000000000001" customHeight="1" x14ac:dyDescent="0.2">
      <c r="A12" s="32" t="s">
        <v>87</v>
      </c>
      <c r="B12" s="32"/>
      <c r="C12" s="32"/>
      <c r="D12" s="32"/>
      <c r="E12" s="32"/>
      <c r="F12" s="32"/>
      <c r="G12" s="32"/>
      <c r="H12" s="32"/>
    </row>
    <row r="14" spans="1:8" ht="18.95" customHeight="1" x14ac:dyDescent="0.2">
      <c r="A14" s="33" t="s">
        <v>88</v>
      </c>
      <c r="B14" s="33"/>
      <c r="C14" s="33"/>
      <c r="D14" s="33"/>
      <c r="E14" s="33"/>
      <c r="F14" s="33"/>
      <c r="G14" s="33"/>
      <c r="H14" s="33"/>
    </row>
    <row r="15" spans="1:8" ht="17.100000000000001" customHeight="1" x14ac:dyDescent="0.2">
      <c r="A15" s="35" t="s">
        <v>89</v>
      </c>
      <c r="B15" s="35"/>
      <c r="C15" s="35"/>
      <c r="D15" s="35"/>
      <c r="E15" s="35"/>
      <c r="F15" s="35"/>
      <c r="G15" s="35"/>
      <c r="H15" s="35"/>
    </row>
    <row r="16" spans="1:8" ht="17.100000000000001" customHeight="1" x14ac:dyDescent="0.2">
      <c r="A16" s="32" t="s">
        <v>90</v>
      </c>
      <c r="B16" s="32"/>
      <c r="C16" s="32"/>
      <c r="D16" s="32"/>
      <c r="E16" s="32"/>
      <c r="F16" s="32"/>
      <c r="G16" s="32"/>
      <c r="H16" s="32"/>
    </row>
    <row r="18" spans="1:8" ht="18.95" customHeight="1" x14ac:dyDescent="0.2">
      <c r="A18" s="33" t="s">
        <v>91</v>
      </c>
      <c r="B18" s="33"/>
      <c r="C18" s="33"/>
      <c r="D18" s="33"/>
      <c r="E18" s="33"/>
      <c r="F18" s="33"/>
      <c r="G18" s="33"/>
      <c r="H18" s="33"/>
    </row>
    <row r="19" spans="1:8" ht="17.100000000000001" customHeight="1" x14ac:dyDescent="0.2">
      <c r="A19" s="35" t="s">
        <v>92</v>
      </c>
      <c r="B19" s="35"/>
      <c r="C19" s="35"/>
      <c r="D19" s="35"/>
      <c r="E19" s="35"/>
      <c r="F19" s="35"/>
      <c r="G19" s="35"/>
      <c r="H19" s="35"/>
    </row>
    <row r="20" spans="1:8" ht="17.100000000000001" customHeight="1" x14ac:dyDescent="0.2">
      <c r="A20" s="32" t="s">
        <v>93</v>
      </c>
      <c r="B20" s="32"/>
      <c r="C20" s="32"/>
      <c r="D20" s="32"/>
      <c r="E20" s="32"/>
      <c r="F20" s="32"/>
      <c r="G20" s="32"/>
      <c r="H20" s="32"/>
    </row>
    <row r="21" spans="1:8" ht="17.100000000000001" customHeight="1" x14ac:dyDescent="0.2">
      <c r="A21" s="35" t="s">
        <v>94</v>
      </c>
      <c r="B21" s="35"/>
      <c r="C21" s="35"/>
      <c r="D21" s="35"/>
      <c r="E21" s="35"/>
      <c r="F21" s="35"/>
      <c r="G21" s="35"/>
      <c r="H21" s="35"/>
    </row>
    <row r="23" spans="1:8" ht="18.95" customHeight="1" x14ac:dyDescent="0.2">
      <c r="A23" s="33" t="s">
        <v>95</v>
      </c>
      <c r="B23" s="33"/>
      <c r="C23" s="33"/>
      <c r="D23" s="33"/>
      <c r="E23" s="33"/>
      <c r="F23" s="33"/>
      <c r="G23" s="33"/>
      <c r="H23" s="33"/>
    </row>
    <row r="24" spans="1:8" ht="17.100000000000001" customHeight="1" x14ac:dyDescent="0.2">
      <c r="A24" s="35" t="s">
        <v>96</v>
      </c>
      <c r="B24" s="35"/>
      <c r="C24" s="35"/>
      <c r="D24" s="35"/>
      <c r="E24" s="35"/>
      <c r="F24" s="35"/>
      <c r="G24" s="35"/>
      <c r="H24" s="35"/>
    </row>
    <row r="25" spans="1:8" ht="17.100000000000001" customHeight="1" x14ac:dyDescent="0.2">
      <c r="A25" s="32" t="s">
        <v>97</v>
      </c>
      <c r="B25" s="32"/>
      <c r="C25" s="32"/>
      <c r="D25" s="32"/>
      <c r="E25" s="32"/>
      <c r="F25" s="32"/>
      <c r="G25" s="32"/>
      <c r="H25" s="32"/>
    </row>
  </sheetData>
  <mergeCells count="20">
    <mergeCell ref="A1:H1"/>
    <mergeCell ref="A6:H6"/>
    <mergeCell ref="A7:H7"/>
    <mergeCell ref="A2:H2"/>
    <mergeCell ref="A25:H25"/>
    <mergeCell ref="A16:H16"/>
    <mergeCell ref="A12:H12"/>
    <mergeCell ref="A18:H18"/>
    <mergeCell ref="A3:H3"/>
    <mergeCell ref="A21:H21"/>
    <mergeCell ref="A14:H14"/>
    <mergeCell ref="A5:H5"/>
    <mergeCell ref="A23:H23"/>
    <mergeCell ref="A8:H8"/>
    <mergeCell ref="A20:H20"/>
    <mergeCell ref="A10:H10"/>
    <mergeCell ref="A19:H19"/>
    <mergeCell ref="A15:H15"/>
    <mergeCell ref="A24:H24"/>
    <mergeCell ref="A11:H11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فایل چک‌های پرداختی&amp;R&amp;"Tahoma"&amp;8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20</vt:i4>
      </vt:variant>
    </vt:vector>
  </HeadingPairs>
  <TitlesOfParts>
    <vt:vector size="26" baseType="lpstr">
      <vt:lpstr>Issues</vt:lpstr>
      <vt:lpstr>Month</vt:lpstr>
      <vt:lpstr>Unpaid</vt:lpstr>
      <vt:lpstr>Sync</vt:lpstr>
      <vt:lpstr>Calc</vt:lpstr>
      <vt:lpstr>Help</vt:lpstr>
      <vt:lpstr>AcctCodesF</vt:lpstr>
      <vt:lpstr>AcctTblF</vt:lpstr>
      <vt:lpstr>BClrChk</vt:lpstr>
      <vt:lpstr>BClrDate</vt:lpstr>
      <vt:lpstr>ChqAmt</vt:lpstr>
      <vt:lpstr>ChqClr</vt:lpstr>
      <vt:lpstr>ChqKey</vt:lpstr>
      <vt:lpstr>ChqNo</vt:lpstr>
      <vt:lpstr>ChqNorm</vt:lpstr>
      <vt:lpstr>ChqRankL</vt:lpstr>
      <vt:lpstr>ChqRankU</vt:lpstr>
      <vt:lpstr>ChqStatus</vt:lpstr>
      <vt:lpstr>ETxnChk</vt:lpstr>
      <vt:lpstr>ETxnType</vt:lpstr>
      <vt:lpstr>Issues!Print_Area</vt:lpstr>
      <vt:lpstr>Month!Print_Area</vt:lpstr>
      <vt:lpstr>Unpaid!Print_Area</vt:lpstr>
      <vt:lpstr>Issues!Print_Titles</vt:lpstr>
      <vt:lpstr>Month!Print_Titles</vt:lpstr>
      <vt:lpstr>Unpaid!Print_Titles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Cheques — چک‌های پرداختی</dc:title>
  <dc:creator>مازندشت</dc:creator>
  <cp:lastModifiedBy>MazanDasht</cp:lastModifiedBy>
  <dcterms:created xsi:type="dcterms:W3CDTF">2026-10-05T19:49:45Z</dcterms:created>
  <dcterms:modified xsi:type="dcterms:W3CDTF">2026-10-12T06:28:04Z</dcterms:modified>
</cp:coreProperties>
</file>