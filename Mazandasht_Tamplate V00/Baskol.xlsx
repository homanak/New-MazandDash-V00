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oftBank\1405 - 06\Excels\Mazandasht_System\"/>
    </mc:Choice>
  </mc:AlternateContent>
  <bookViews>
    <workbookView xWindow="0" yWindow="0" windowWidth="20490" windowHeight="7305"/>
  </bookViews>
  <sheets>
    <sheet name="Baskol" sheetId="1" r:id="rId1"/>
    <sheet name="Sync" sheetId="2" r:id="rId2"/>
    <sheet name="Help" sheetId="3" r:id="rId3"/>
  </sheets>
  <externalReferences>
    <externalReference r:id="rId4"/>
  </externalReferences>
  <definedNames>
    <definedName name="AcctCodes">Sync!$F$6:$F$565</definedName>
    <definedName name="AcctTbl">Sync!$F$6:$I$565</definedName>
    <definedName name="ListCitrus">OFFSET(Sync!$K$6,0,0,MAX(COUNTIF(Sync!$K$6:$K$31,"?*"),1),1)</definedName>
    <definedName name="ListOps">OFFSET(Sync!$T$6,0,0,MAX(COUNTIF(Sync!$T$6:$T$25,"?*"),1),1)</definedName>
    <definedName name="OpTbl">Sync!$B$6:$D$25</definedName>
    <definedName name="ParamTbl">Sync!$M$6:$O$17</definedName>
    <definedName name="_xlnm.Print_Area" localSheetId="0">Baskol!$A$1:$O$2007</definedName>
    <definedName name="_xlnm.Print_Titles" localSheetId="0">Baskol!$7:$8</definedName>
  </definedNames>
  <calcPr calcId="152511"/>
</workbook>
</file>

<file path=xl/calcChain.xml><?xml version="1.0" encoding="utf-8"?>
<calcChain xmlns="http://schemas.openxmlformats.org/spreadsheetml/2006/main">
  <c r="I22" i="2" l="1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565" i="2" l="1"/>
  <c r="H565" i="2"/>
  <c r="G565" i="2"/>
  <c r="F565" i="2"/>
  <c r="I564" i="2"/>
  <c r="H564" i="2"/>
  <c r="G564" i="2"/>
  <c r="F564" i="2"/>
  <c r="I563" i="2"/>
  <c r="H563" i="2"/>
  <c r="G563" i="2"/>
  <c r="F563" i="2"/>
  <c r="I562" i="2"/>
  <c r="H562" i="2"/>
  <c r="G562" i="2"/>
  <c r="F562" i="2"/>
  <c r="I561" i="2"/>
  <c r="H561" i="2"/>
  <c r="G561" i="2"/>
  <c r="F561" i="2"/>
  <c r="I560" i="2"/>
  <c r="H560" i="2"/>
  <c r="G560" i="2"/>
  <c r="F560" i="2"/>
  <c r="I559" i="2"/>
  <c r="H559" i="2"/>
  <c r="G559" i="2"/>
  <c r="F559" i="2"/>
  <c r="I558" i="2"/>
  <c r="H558" i="2"/>
  <c r="G558" i="2"/>
  <c r="F558" i="2"/>
  <c r="I557" i="2"/>
  <c r="H557" i="2"/>
  <c r="G557" i="2"/>
  <c r="F557" i="2"/>
  <c r="I556" i="2"/>
  <c r="H556" i="2"/>
  <c r="G556" i="2"/>
  <c r="F556" i="2"/>
  <c r="I555" i="2"/>
  <c r="H555" i="2"/>
  <c r="G555" i="2"/>
  <c r="F555" i="2"/>
  <c r="I554" i="2"/>
  <c r="H554" i="2"/>
  <c r="G554" i="2"/>
  <c r="F554" i="2"/>
  <c r="I553" i="2"/>
  <c r="H553" i="2"/>
  <c r="G553" i="2"/>
  <c r="F553" i="2"/>
  <c r="I552" i="2"/>
  <c r="H552" i="2"/>
  <c r="G552" i="2"/>
  <c r="F552" i="2"/>
  <c r="I551" i="2"/>
  <c r="H551" i="2"/>
  <c r="G551" i="2"/>
  <c r="F551" i="2"/>
  <c r="I550" i="2"/>
  <c r="H550" i="2"/>
  <c r="G550" i="2"/>
  <c r="F550" i="2"/>
  <c r="I549" i="2"/>
  <c r="H549" i="2"/>
  <c r="G549" i="2"/>
  <c r="F549" i="2"/>
  <c r="I548" i="2"/>
  <c r="H548" i="2"/>
  <c r="G548" i="2"/>
  <c r="F548" i="2"/>
  <c r="I547" i="2"/>
  <c r="H547" i="2"/>
  <c r="G547" i="2"/>
  <c r="F547" i="2"/>
  <c r="I546" i="2"/>
  <c r="H546" i="2"/>
  <c r="G546" i="2"/>
  <c r="F546" i="2"/>
  <c r="I545" i="2"/>
  <c r="H545" i="2"/>
  <c r="G545" i="2"/>
  <c r="F545" i="2"/>
  <c r="I544" i="2"/>
  <c r="H544" i="2"/>
  <c r="G544" i="2"/>
  <c r="F544" i="2"/>
  <c r="I543" i="2"/>
  <c r="H543" i="2"/>
  <c r="G543" i="2"/>
  <c r="F543" i="2"/>
  <c r="I542" i="2"/>
  <c r="H542" i="2"/>
  <c r="G542" i="2"/>
  <c r="F542" i="2"/>
  <c r="I541" i="2"/>
  <c r="H541" i="2"/>
  <c r="G541" i="2"/>
  <c r="F541" i="2"/>
  <c r="I540" i="2"/>
  <c r="H540" i="2"/>
  <c r="G540" i="2"/>
  <c r="F540" i="2"/>
  <c r="I539" i="2"/>
  <c r="H539" i="2"/>
  <c r="G539" i="2"/>
  <c r="F539" i="2"/>
  <c r="I538" i="2"/>
  <c r="H538" i="2"/>
  <c r="G538" i="2"/>
  <c r="F538" i="2"/>
  <c r="I537" i="2"/>
  <c r="H537" i="2"/>
  <c r="G537" i="2"/>
  <c r="F537" i="2"/>
  <c r="I536" i="2"/>
  <c r="H536" i="2"/>
  <c r="G536" i="2"/>
  <c r="F536" i="2"/>
  <c r="I535" i="2"/>
  <c r="H535" i="2"/>
  <c r="G535" i="2"/>
  <c r="F535" i="2"/>
  <c r="I534" i="2"/>
  <c r="H534" i="2"/>
  <c r="G534" i="2"/>
  <c r="F534" i="2"/>
  <c r="I533" i="2"/>
  <c r="H533" i="2"/>
  <c r="G533" i="2"/>
  <c r="F533" i="2"/>
  <c r="I532" i="2"/>
  <c r="H532" i="2"/>
  <c r="G532" i="2"/>
  <c r="F532" i="2"/>
  <c r="I531" i="2"/>
  <c r="H531" i="2"/>
  <c r="G531" i="2"/>
  <c r="F531" i="2"/>
  <c r="I530" i="2"/>
  <c r="H530" i="2"/>
  <c r="G530" i="2"/>
  <c r="F530" i="2"/>
  <c r="I529" i="2"/>
  <c r="H529" i="2"/>
  <c r="G529" i="2"/>
  <c r="F529" i="2"/>
  <c r="I528" i="2"/>
  <c r="H528" i="2"/>
  <c r="G528" i="2"/>
  <c r="F528" i="2"/>
  <c r="I527" i="2"/>
  <c r="H527" i="2"/>
  <c r="G527" i="2"/>
  <c r="F527" i="2"/>
  <c r="I526" i="2"/>
  <c r="H526" i="2"/>
  <c r="G526" i="2"/>
  <c r="F526" i="2"/>
  <c r="I525" i="2"/>
  <c r="H525" i="2"/>
  <c r="G525" i="2"/>
  <c r="F525" i="2"/>
  <c r="I524" i="2"/>
  <c r="H524" i="2"/>
  <c r="G524" i="2"/>
  <c r="F524" i="2"/>
  <c r="I523" i="2"/>
  <c r="H523" i="2"/>
  <c r="G523" i="2"/>
  <c r="F523" i="2"/>
  <c r="I522" i="2"/>
  <c r="H522" i="2"/>
  <c r="G522" i="2"/>
  <c r="F522" i="2"/>
  <c r="I521" i="2"/>
  <c r="H521" i="2"/>
  <c r="G521" i="2"/>
  <c r="F521" i="2"/>
  <c r="I520" i="2"/>
  <c r="H520" i="2"/>
  <c r="G520" i="2"/>
  <c r="F520" i="2"/>
  <c r="I519" i="2"/>
  <c r="H519" i="2"/>
  <c r="G519" i="2"/>
  <c r="F519" i="2"/>
  <c r="I518" i="2"/>
  <c r="H518" i="2"/>
  <c r="G518" i="2"/>
  <c r="F518" i="2"/>
  <c r="I517" i="2"/>
  <c r="H517" i="2"/>
  <c r="G517" i="2"/>
  <c r="F517" i="2"/>
  <c r="I516" i="2"/>
  <c r="H516" i="2"/>
  <c r="G516" i="2"/>
  <c r="F516" i="2"/>
  <c r="I515" i="2"/>
  <c r="H515" i="2"/>
  <c r="G515" i="2"/>
  <c r="F515" i="2"/>
  <c r="I514" i="2"/>
  <c r="H514" i="2"/>
  <c r="G514" i="2"/>
  <c r="F514" i="2"/>
  <c r="I513" i="2"/>
  <c r="H513" i="2"/>
  <c r="G513" i="2"/>
  <c r="F513" i="2"/>
  <c r="I512" i="2"/>
  <c r="H512" i="2"/>
  <c r="G512" i="2"/>
  <c r="F512" i="2"/>
  <c r="I511" i="2"/>
  <c r="H511" i="2"/>
  <c r="G511" i="2"/>
  <c r="F511" i="2"/>
  <c r="I510" i="2"/>
  <c r="H510" i="2"/>
  <c r="G510" i="2"/>
  <c r="F510" i="2"/>
  <c r="I509" i="2"/>
  <c r="H509" i="2"/>
  <c r="G509" i="2"/>
  <c r="F509" i="2"/>
  <c r="I508" i="2"/>
  <c r="H508" i="2"/>
  <c r="G508" i="2"/>
  <c r="F508" i="2"/>
  <c r="I507" i="2"/>
  <c r="H507" i="2"/>
  <c r="G507" i="2"/>
  <c r="F507" i="2"/>
  <c r="I506" i="2"/>
  <c r="H506" i="2"/>
  <c r="G506" i="2"/>
  <c r="F506" i="2"/>
  <c r="I505" i="2"/>
  <c r="H505" i="2"/>
  <c r="G505" i="2"/>
  <c r="F505" i="2"/>
  <c r="I504" i="2"/>
  <c r="H504" i="2"/>
  <c r="G504" i="2"/>
  <c r="F504" i="2"/>
  <c r="I503" i="2"/>
  <c r="H503" i="2"/>
  <c r="G503" i="2"/>
  <c r="F503" i="2"/>
  <c r="I502" i="2"/>
  <c r="H502" i="2"/>
  <c r="G502" i="2"/>
  <c r="F502" i="2"/>
  <c r="I501" i="2"/>
  <c r="H501" i="2"/>
  <c r="G501" i="2"/>
  <c r="F501" i="2"/>
  <c r="I500" i="2"/>
  <c r="H500" i="2"/>
  <c r="G500" i="2"/>
  <c r="F500" i="2"/>
  <c r="I499" i="2"/>
  <c r="H499" i="2"/>
  <c r="G499" i="2"/>
  <c r="F499" i="2"/>
  <c r="I498" i="2"/>
  <c r="H498" i="2"/>
  <c r="G498" i="2"/>
  <c r="F498" i="2"/>
  <c r="I497" i="2"/>
  <c r="H497" i="2"/>
  <c r="G497" i="2"/>
  <c r="F497" i="2"/>
  <c r="I496" i="2"/>
  <c r="H496" i="2"/>
  <c r="G496" i="2"/>
  <c r="F496" i="2"/>
  <c r="I495" i="2"/>
  <c r="H495" i="2"/>
  <c r="G495" i="2"/>
  <c r="F495" i="2"/>
  <c r="I494" i="2"/>
  <c r="H494" i="2"/>
  <c r="G494" i="2"/>
  <c r="F494" i="2"/>
  <c r="I493" i="2"/>
  <c r="H493" i="2"/>
  <c r="G493" i="2"/>
  <c r="F493" i="2"/>
  <c r="I492" i="2"/>
  <c r="H492" i="2"/>
  <c r="G492" i="2"/>
  <c r="F492" i="2"/>
  <c r="I491" i="2"/>
  <c r="H491" i="2"/>
  <c r="G491" i="2"/>
  <c r="F491" i="2"/>
  <c r="I490" i="2"/>
  <c r="H490" i="2"/>
  <c r="G490" i="2"/>
  <c r="F490" i="2"/>
  <c r="I489" i="2"/>
  <c r="H489" i="2"/>
  <c r="G489" i="2"/>
  <c r="F489" i="2"/>
  <c r="I488" i="2"/>
  <c r="H488" i="2"/>
  <c r="G488" i="2"/>
  <c r="F488" i="2"/>
  <c r="I487" i="2"/>
  <c r="H487" i="2"/>
  <c r="G487" i="2"/>
  <c r="F487" i="2"/>
  <c r="I486" i="2"/>
  <c r="H486" i="2"/>
  <c r="G486" i="2"/>
  <c r="F486" i="2"/>
  <c r="I485" i="2"/>
  <c r="H485" i="2"/>
  <c r="G485" i="2"/>
  <c r="F485" i="2"/>
  <c r="I484" i="2"/>
  <c r="H484" i="2"/>
  <c r="G484" i="2"/>
  <c r="F484" i="2"/>
  <c r="I483" i="2"/>
  <c r="H483" i="2"/>
  <c r="G483" i="2"/>
  <c r="F483" i="2"/>
  <c r="I482" i="2"/>
  <c r="H482" i="2"/>
  <c r="G482" i="2"/>
  <c r="F482" i="2"/>
  <c r="I481" i="2"/>
  <c r="H481" i="2"/>
  <c r="G481" i="2"/>
  <c r="F481" i="2"/>
  <c r="I480" i="2"/>
  <c r="H480" i="2"/>
  <c r="G480" i="2"/>
  <c r="F480" i="2"/>
  <c r="I479" i="2"/>
  <c r="H479" i="2"/>
  <c r="G479" i="2"/>
  <c r="F479" i="2"/>
  <c r="I478" i="2"/>
  <c r="H478" i="2"/>
  <c r="G478" i="2"/>
  <c r="F478" i="2"/>
  <c r="I477" i="2"/>
  <c r="H477" i="2"/>
  <c r="G477" i="2"/>
  <c r="F477" i="2"/>
  <c r="I476" i="2"/>
  <c r="H476" i="2"/>
  <c r="G476" i="2"/>
  <c r="F476" i="2"/>
  <c r="I475" i="2"/>
  <c r="H475" i="2"/>
  <c r="G475" i="2"/>
  <c r="F475" i="2"/>
  <c r="I474" i="2"/>
  <c r="H474" i="2"/>
  <c r="G474" i="2"/>
  <c r="F474" i="2"/>
  <c r="I473" i="2"/>
  <c r="H473" i="2"/>
  <c r="G473" i="2"/>
  <c r="F473" i="2"/>
  <c r="I472" i="2"/>
  <c r="H472" i="2"/>
  <c r="G472" i="2"/>
  <c r="F472" i="2"/>
  <c r="I471" i="2"/>
  <c r="H471" i="2"/>
  <c r="G471" i="2"/>
  <c r="F471" i="2"/>
  <c r="I470" i="2"/>
  <c r="H470" i="2"/>
  <c r="G470" i="2"/>
  <c r="F470" i="2"/>
  <c r="I469" i="2"/>
  <c r="H469" i="2"/>
  <c r="G469" i="2"/>
  <c r="F469" i="2"/>
  <c r="I468" i="2"/>
  <c r="H468" i="2"/>
  <c r="G468" i="2"/>
  <c r="F468" i="2"/>
  <c r="I467" i="2"/>
  <c r="H467" i="2"/>
  <c r="G467" i="2"/>
  <c r="F467" i="2"/>
  <c r="I466" i="2"/>
  <c r="H466" i="2"/>
  <c r="G466" i="2"/>
  <c r="F466" i="2"/>
  <c r="I465" i="2"/>
  <c r="H465" i="2"/>
  <c r="G465" i="2"/>
  <c r="F465" i="2"/>
  <c r="I464" i="2"/>
  <c r="H464" i="2"/>
  <c r="G464" i="2"/>
  <c r="F464" i="2"/>
  <c r="I463" i="2"/>
  <c r="H463" i="2"/>
  <c r="G463" i="2"/>
  <c r="F463" i="2"/>
  <c r="I462" i="2"/>
  <c r="H462" i="2"/>
  <c r="G462" i="2"/>
  <c r="F462" i="2"/>
  <c r="I461" i="2"/>
  <c r="H461" i="2"/>
  <c r="G461" i="2"/>
  <c r="F461" i="2"/>
  <c r="I460" i="2"/>
  <c r="H460" i="2"/>
  <c r="G460" i="2"/>
  <c r="F460" i="2"/>
  <c r="I459" i="2"/>
  <c r="H459" i="2"/>
  <c r="G459" i="2"/>
  <c r="F459" i="2"/>
  <c r="I458" i="2"/>
  <c r="H458" i="2"/>
  <c r="G458" i="2"/>
  <c r="F458" i="2"/>
  <c r="I457" i="2"/>
  <c r="H457" i="2"/>
  <c r="G457" i="2"/>
  <c r="F457" i="2"/>
  <c r="I456" i="2"/>
  <c r="H456" i="2"/>
  <c r="G456" i="2"/>
  <c r="F456" i="2"/>
  <c r="I455" i="2"/>
  <c r="H455" i="2"/>
  <c r="G455" i="2"/>
  <c r="F455" i="2"/>
  <c r="I454" i="2"/>
  <c r="H454" i="2"/>
  <c r="G454" i="2"/>
  <c r="F454" i="2"/>
  <c r="I453" i="2"/>
  <c r="H453" i="2"/>
  <c r="G453" i="2"/>
  <c r="F453" i="2"/>
  <c r="I452" i="2"/>
  <c r="H452" i="2"/>
  <c r="G452" i="2"/>
  <c r="F452" i="2"/>
  <c r="I451" i="2"/>
  <c r="H451" i="2"/>
  <c r="G451" i="2"/>
  <c r="F451" i="2"/>
  <c r="I450" i="2"/>
  <c r="H450" i="2"/>
  <c r="G450" i="2"/>
  <c r="F450" i="2"/>
  <c r="I449" i="2"/>
  <c r="H449" i="2"/>
  <c r="G449" i="2"/>
  <c r="F449" i="2"/>
  <c r="I448" i="2"/>
  <c r="H448" i="2"/>
  <c r="G448" i="2"/>
  <c r="F448" i="2"/>
  <c r="I447" i="2"/>
  <c r="H447" i="2"/>
  <c r="G447" i="2"/>
  <c r="F447" i="2"/>
  <c r="I446" i="2"/>
  <c r="H446" i="2"/>
  <c r="G446" i="2"/>
  <c r="F446" i="2"/>
  <c r="I445" i="2"/>
  <c r="H445" i="2"/>
  <c r="G445" i="2"/>
  <c r="F445" i="2"/>
  <c r="I444" i="2"/>
  <c r="H444" i="2"/>
  <c r="G444" i="2"/>
  <c r="F444" i="2"/>
  <c r="I443" i="2"/>
  <c r="H443" i="2"/>
  <c r="G443" i="2"/>
  <c r="F443" i="2"/>
  <c r="I442" i="2"/>
  <c r="H442" i="2"/>
  <c r="G442" i="2"/>
  <c r="F442" i="2"/>
  <c r="I441" i="2"/>
  <c r="H441" i="2"/>
  <c r="G441" i="2"/>
  <c r="F441" i="2"/>
  <c r="I440" i="2"/>
  <c r="H440" i="2"/>
  <c r="G440" i="2"/>
  <c r="F440" i="2"/>
  <c r="I439" i="2"/>
  <c r="H439" i="2"/>
  <c r="G439" i="2"/>
  <c r="F439" i="2"/>
  <c r="I438" i="2"/>
  <c r="H438" i="2"/>
  <c r="G438" i="2"/>
  <c r="F438" i="2"/>
  <c r="I437" i="2"/>
  <c r="H437" i="2"/>
  <c r="G437" i="2"/>
  <c r="F437" i="2"/>
  <c r="I436" i="2"/>
  <c r="H436" i="2"/>
  <c r="G436" i="2"/>
  <c r="F436" i="2"/>
  <c r="I435" i="2"/>
  <c r="H435" i="2"/>
  <c r="G435" i="2"/>
  <c r="F435" i="2"/>
  <c r="I434" i="2"/>
  <c r="H434" i="2"/>
  <c r="G434" i="2"/>
  <c r="F434" i="2"/>
  <c r="I433" i="2"/>
  <c r="H433" i="2"/>
  <c r="G433" i="2"/>
  <c r="F433" i="2"/>
  <c r="I432" i="2"/>
  <c r="H432" i="2"/>
  <c r="G432" i="2"/>
  <c r="F432" i="2"/>
  <c r="I431" i="2"/>
  <c r="H431" i="2"/>
  <c r="G431" i="2"/>
  <c r="F431" i="2"/>
  <c r="I430" i="2"/>
  <c r="H430" i="2"/>
  <c r="G430" i="2"/>
  <c r="F430" i="2"/>
  <c r="I429" i="2"/>
  <c r="H429" i="2"/>
  <c r="G429" i="2"/>
  <c r="F429" i="2"/>
  <c r="I428" i="2"/>
  <c r="H428" i="2"/>
  <c r="G428" i="2"/>
  <c r="F428" i="2"/>
  <c r="I427" i="2"/>
  <c r="H427" i="2"/>
  <c r="G427" i="2"/>
  <c r="F427" i="2"/>
  <c r="I426" i="2"/>
  <c r="H426" i="2"/>
  <c r="G426" i="2"/>
  <c r="F426" i="2"/>
  <c r="I425" i="2"/>
  <c r="H425" i="2"/>
  <c r="G425" i="2"/>
  <c r="F425" i="2"/>
  <c r="I424" i="2"/>
  <c r="H424" i="2"/>
  <c r="G424" i="2"/>
  <c r="F424" i="2"/>
  <c r="I423" i="2"/>
  <c r="H423" i="2"/>
  <c r="G423" i="2"/>
  <c r="F423" i="2"/>
  <c r="I422" i="2"/>
  <c r="H422" i="2"/>
  <c r="G422" i="2"/>
  <c r="F422" i="2"/>
  <c r="I421" i="2"/>
  <c r="H421" i="2"/>
  <c r="G421" i="2"/>
  <c r="F421" i="2"/>
  <c r="I420" i="2"/>
  <c r="H420" i="2"/>
  <c r="G420" i="2"/>
  <c r="F420" i="2"/>
  <c r="I419" i="2"/>
  <c r="H419" i="2"/>
  <c r="G419" i="2"/>
  <c r="F419" i="2"/>
  <c r="I418" i="2"/>
  <c r="H418" i="2"/>
  <c r="G418" i="2"/>
  <c r="F418" i="2"/>
  <c r="I417" i="2"/>
  <c r="H417" i="2"/>
  <c r="G417" i="2"/>
  <c r="F417" i="2"/>
  <c r="I416" i="2"/>
  <c r="H416" i="2"/>
  <c r="G416" i="2"/>
  <c r="F416" i="2"/>
  <c r="I415" i="2"/>
  <c r="H415" i="2"/>
  <c r="G415" i="2"/>
  <c r="F415" i="2"/>
  <c r="I414" i="2"/>
  <c r="H414" i="2"/>
  <c r="G414" i="2"/>
  <c r="F414" i="2"/>
  <c r="I413" i="2"/>
  <c r="H413" i="2"/>
  <c r="G413" i="2"/>
  <c r="F413" i="2"/>
  <c r="I412" i="2"/>
  <c r="H412" i="2"/>
  <c r="G412" i="2"/>
  <c r="F412" i="2"/>
  <c r="I411" i="2"/>
  <c r="H411" i="2"/>
  <c r="G411" i="2"/>
  <c r="F411" i="2"/>
  <c r="I410" i="2"/>
  <c r="H410" i="2"/>
  <c r="G410" i="2"/>
  <c r="F410" i="2"/>
  <c r="I409" i="2"/>
  <c r="H409" i="2"/>
  <c r="G409" i="2"/>
  <c r="F409" i="2"/>
  <c r="I408" i="2"/>
  <c r="H408" i="2"/>
  <c r="G408" i="2"/>
  <c r="F408" i="2"/>
  <c r="I407" i="2"/>
  <c r="H407" i="2"/>
  <c r="G407" i="2"/>
  <c r="F407" i="2"/>
  <c r="I406" i="2"/>
  <c r="H406" i="2"/>
  <c r="G406" i="2"/>
  <c r="F406" i="2"/>
  <c r="I405" i="2"/>
  <c r="H405" i="2"/>
  <c r="G405" i="2"/>
  <c r="F405" i="2"/>
  <c r="I404" i="2"/>
  <c r="H404" i="2"/>
  <c r="G404" i="2"/>
  <c r="F404" i="2"/>
  <c r="I403" i="2"/>
  <c r="H403" i="2"/>
  <c r="G403" i="2"/>
  <c r="F403" i="2"/>
  <c r="I402" i="2"/>
  <c r="H402" i="2"/>
  <c r="G402" i="2"/>
  <c r="F402" i="2"/>
  <c r="I401" i="2"/>
  <c r="H401" i="2"/>
  <c r="G401" i="2"/>
  <c r="F401" i="2"/>
  <c r="I400" i="2"/>
  <c r="H400" i="2"/>
  <c r="G400" i="2"/>
  <c r="F400" i="2"/>
  <c r="I399" i="2"/>
  <c r="H399" i="2"/>
  <c r="G399" i="2"/>
  <c r="F399" i="2"/>
  <c r="I398" i="2"/>
  <c r="H398" i="2"/>
  <c r="G398" i="2"/>
  <c r="F398" i="2"/>
  <c r="I397" i="2"/>
  <c r="H397" i="2"/>
  <c r="G397" i="2"/>
  <c r="F397" i="2"/>
  <c r="I396" i="2"/>
  <c r="H396" i="2"/>
  <c r="G396" i="2"/>
  <c r="F396" i="2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AA105" i="2"/>
  <c r="Z105" i="2"/>
  <c r="Y105" i="2"/>
  <c r="I105" i="2"/>
  <c r="H105" i="2"/>
  <c r="G105" i="2"/>
  <c r="F105" i="2"/>
  <c r="AA104" i="2"/>
  <c r="Z104" i="2"/>
  <c r="Y104" i="2"/>
  <c r="I104" i="2"/>
  <c r="H104" i="2"/>
  <c r="G104" i="2"/>
  <c r="F104" i="2"/>
  <c r="AA103" i="2"/>
  <c r="Z103" i="2"/>
  <c r="Y103" i="2"/>
  <c r="I103" i="2"/>
  <c r="H103" i="2"/>
  <c r="G103" i="2"/>
  <c r="F103" i="2"/>
  <c r="AA102" i="2"/>
  <c r="Z102" i="2"/>
  <c r="Y102" i="2"/>
  <c r="I102" i="2"/>
  <c r="H102" i="2"/>
  <c r="G102" i="2"/>
  <c r="F102" i="2"/>
  <c r="AA101" i="2"/>
  <c r="Z101" i="2"/>
  <c r="Y101" i="2"/>
  <c r="I101" i="2"/>
  <c r="H101" i="2"/>
  <c r="G101" i="2"/>
  <c r="F101" i="2"/>
  <c r="AA100" i="2"/>
  <c r="Z100" i="2"/>
  <c r="Y100" i="2"/>
  <c r="I100" i="2"/>
  <c r="H100" i="2"/>
  <c r="G100" i="2"/>
  <c r="F100" i="2"/>
  <c r="AA99" i="2"/>
  <c r="Z99" i="2"/>
  <c r="Y99" i="2"/>
  <c r="I99" i="2"/>
  <c r="H99" i="2"/>
  <c r="G99" i="2"/>
  <c r="F99" i="2"/>
  <c r="AA98" i="2"/>
  <c r="Z98" i="2"/>
  <c r="Y98" i="2"/>
  <c r="I98" i="2"/>
  <c r="H98" i="2"/>
  <c r="G98" i="2"/>
  <c r="F98" i="2"/>
  <c r="AA97" i="2"/>
  <c r="Z97" i="2"/>
  <c r="Y97" i="2"/>
  <c r="I97" i="2"/>
  <c r="H97" i="2"/>
  <c r="G97" i="2"/>
  <c r="F97" i="2"/>
  <c r="AA96" i="2"/>
  <c r="Z96" i="2"/>
  <c r="Y96" i="2"/>
  <c r="I96" i="2"/>
  <c r="H96" i="2"/>
  <c r="G96" i="2"/>
  <c r="F96" i="2"/>
  <c r="AA95" i="2"/>
  <c r="Z95" i="2"/>
  <c r="Y95" i="2"/>
  <c r="I95" i="2"/>
  <c r="H95" i="2"/>
  <c r="G95" i="2"/>
  <c r="F95" i="2"/>
  <c r="AA94" i="2"/>
  <c r="Z94" i="2"/>
  <c r="Y94" i="2"/>
  <c r="I94" i="2"/>
  <c r="H94" i="2"/>
  <c r="G94" i="2"/>
  <c r="F94" i="2"/>
  <c r="AA93" i="2"/>
  <c r="Z93" i="2"/>
  <c r="Y93" i="2"/>
  <c r="I93" i="2"/>
  <c r="H93" i="2"/>
  <c r="G93" i="2"/>
  <c r="F93" i="2"/>
  <c r="AA92" i="2"/>
  <c r="Z92" i="2"/>
  <c r="Y92" i="2"/>
  <c r="I92" i="2"/>
  <c r="H92" i="2"/>
  <c r="G92" i="2"/>
  <c r="F92" i="2"/>
  <c r="AA91" i="2"/>
  <c r="Z91" i="2"/>
  <c r="Y91" i="2"/>
  <c r="I91" i="2"/>
  <c r="H91" i="2"/>
  <c r="G91" i="2"/>
  <c r="F91" i="2"/>
  <c r="AA90" i="2"/>
  <c r="Z90" i="2"/>
  <c r="Y90" i="2"/>
  <c r="I90" i="2"/>
  <c r="H90" i="2"/>
  <c r="G90" i="2"/>
  <c r="F90" i="2"/>
  <c r="AA89" i="2"/>
  <c r="Z89" i="2"/>
  <c r="Y89" i="2"/>
  <c r="I89" i="2"/>
  <c r="H89" i="2"/>
  <c r="G89" i="2"/>
  <c r="F89" i="2"/>
  <c r="AA88" i="2"/>
  <c r="Z88" i="2"/>
  <c r="Y88" i="2"/>
  <c r="I88" i="2"/>
  <c r="H88" i="2"/>
  <c r="G88" i="2"/>
  <c r="F88" i="2"/>
  <c r="AA87" i="2"/>
  <c r="Z87" i="2"/>
  <c r="Y87" i="2"/>
  <c r="I87" i="2"/>
  <c r="H87" i="2"/>
  <c r="G87" i="2"/>
  <c r="F87" i="2"/>
  <c r="AA86" i="2"/>
  <c r="Z86" i="2"/>
  <c r="Y86" i="2"/>
  <c r="I86" i="2"/>
  <c r="H86" i="2"/>
  <c r="G86" i="2"/>
  <c r="F86" i="2"/>
  <c r="AA85" i="2"/>
  <c r="Z85" i="2"/>
  <c r="Y85" i="2"/>
  <c r="I85" i="2"/>
  <c r="H85" i="2"/>
  <c r="G85" i="2"/>
  <c r="F85" i="2"/>
  <c r="AA84" i="2"/>
  <c r="Z84" i="2"/>
  <c r="Y84" i="2"/>
  <c r="I84" i="2"/>
  <c r="H84" i="2"/>
  <c r="G84" i="2"/>
  <c r="F84" i="2"/>
  <c r="AA83" i="2"/>
  <c r="Z83" i="2"/>
  <c r="Y83" i="2"/>
  <c r="I83" i="2"/>
  <c r="H83" i="2"/>
  <c r="G83" i="2"/>
  <c r="F83" i="2"/>
  <c r="AA82" i="2"/>
  <c r="Z82" i="2"/>
  <c r="Y82" i="2"/>
  <c r="I82" i="2"/>
  <c r="H82" i="2"/>
  <c r="G82" i="2"/>
  <c r="F82" i="2"/>
  <c r="AA81" i="2"/>
  <c r="Z81" i="2"/>
  <c r="Y81" i="2"/>
  <c r="I81" i="2"/>
  <c r="H81" i="2"/>
  <c r="G81" i="2"/>
  <c r="F81" i="2"/>
  <c r="AA80" i="2"/>
  <c r="Z80" i="2"/>
  <c r="Y80" i="2"/>
  <c r="I80" i="2"/>
  <c r="H80" i="2"/>
  <c r="G80" i="2"/>
  <c r="F80" i="2"/>
  <c r="AA79" i="2"/>
  <c r="Z79" i="2"/>
  <c r="Y79" i="2"/>
  <c r="I79" i="2"/>
  <c r="H79" i="2"/>
  <c r="G79" i="2"/>
  <c r="F79" i="2"/>
  <c r="AA78" i="2"/>
  <c r="Z78" i="2"/>
  <c r="Y78" i="2"/>
  <c r="I78" i="2"/>
  <c r="H78" i="2"/>
  <c r="G78" i="2"/>
  <c r="F78" i="2"/>
  <c r="AA77" i="2"/>
  <c r="Z77" i="2"/>
  <c r="Y77" i="2"/>
  <c r="I77" i="2"/>
  <c r="H77" i="2"/>
  <c r="G77" i="2"/>
  <c r="F77" i="2"/>
  <c r="AA76" i="2"/>
  <c r="Z76" i="2"/>
  <c r="Y76" i="2"/>
  <c r="I76" i="2"/>
  <c r="H76" i="2"/>
  <c r="G76" i="2"/>
  <c r="F76" i="2"/>
  <c r="AA75" i="2"/>
  <c r="Z75" i="2"/>
  <c r="Y75" i="2"/>
  <c r="I75" i="2"/>
  <c r="H75" i="2"/>
  <c r="G75" i="2"/>
  <c r="F75" i="2"/>
  <c r="AA74" i="2"/>
  <c r="Z74" i="2"/>
  <c r="Y74" i="2"/>
  <c r="I74" i="2"/>
  <c r="H74" i="2"/>
  <c r="G74" i="2"/>
  <c r="F74" i="2"/>
  <c r="AA73" i="2"/>
  <c r="Z73" i="2"/>
  <c r="Y73" i="2"/>
  <c r="I73" i="2"/>
  <c r="H73" i="2"/>
  <c r="G73" i="2"/>
  <c r="F73" i="2"/>
  <c r="AA72" i="2"/>
  <c r="Z72" i="2"/>
  <c r="Y72" i="2"/>
  <c r="I72" i="2"/>
  <c r="H72" i="2"/>
  <c r="G72" i="2"/>
  <c r="F72" i="2"/>
  <c r="AA71" i="2"/>
  <c r="Z71" i="2"/>
  <c r="Y71" i="2"/>
  <c r="I71" i="2"/>
  <c r="H71" i="2"/>
  <c r="G71" i="2"/>
  <c r="F71" i="2"/>
  <c r="AA70" i="2"/>
  <c r="Z70" i="2"/>
  <c r="Y70" i="2"/>
  <c r="I70" i="2"/>
  <c r="H70" i="2"/>
  <c r="G70" i="2"/>
  <c r="F70" i="2"/>
  <c r="AA69" i="2"/>
  <c r="Z69" i="2"/>
  <c r="Y69" i="2"/>
  <c r="I69" i="2"/>
  <c r="H69" i="2"/>
  <c r="G69" i="2"/>
  <c r="F69" i="2"/>
  <c r="AA68" i="2"/>
  <c r="Z68" i="2"/>
  <c r="Y68" i="2"/>
  <c r="I68" i="2"/>
  <c r="H68" i="2"/>
  <c r="G68" i="2"/>
  <c r="F68" i="2"/>
  <c r="AA67" i="2"/>
  <c r="Z67" i="2"/>
  <c r="Y67" i="2"/>
  <c r="I67" i="2"/>
  <c r="H67" i="2"/>
  <c r="G67" i="2"/>
  <c r="F67" i="2"/>
  <c r="AA66" i="2"/>
  <c r="Z66" i="2"/>
  <c r="Y66" i="2"/>
  <c r="I66" i="2"/>
  <c r="H66" i="2"/>
  <c r="G66" i="2"/>
  <c r="F66" i="2"/>
  <c r="AA65" i="2"/>
  <c r="Z65" i="2"/>
  <c r="Y65" i="2"/>
  <c r="I65" i="2"/>
  <c r="H65" i="2"/>
  <c r="G65" i="2"/>
  <c r="F65" i="2"/>
  <c r="AA64" i="2"/>
  <c r="Z64" i="2"/>
  <c r="Y64" i="2"/>
  <c r="I64" i="2"/>
  <c r="H64" i="2"/>
  <c r="G64" i="2"/>
  <c r="F64" i="2"/>
  <c r="AA63" i="2"/>
  <c r="Z63" i="2"/>
  <c r="Y63" i="2"/>
  <c r="I63" i="2"/>
  <c r="H63" i="2"/>
  <c r="G63" i="2"/>
  <c r="F63" i="2"/>
  <c r="AA62" i="2"/>
  <c r="Z62" i="2"/>
  <c r="Y62" i="2"/>
  <c r="I62" i="2"/>
  <c r="H62" i="2"/>
  <c r="G62" i="2"/>
  <c r="F62" i="2"/>
  <c r="AA61" i="2"/>
  <c r="Z61" i="2"/>
  <c r="Y61" i="2"/>
  <c r="I61" i="2"/>
  <c r="H61" i="2"/>
  <c r="G61" i="2"/>
  <c r="F61" i="2"/>
  <c r="AA60" i="2"/>
  <c r="Z60" i="2"/>
  <c r="Y60" i="2"/>
  <c r="I60" i="2"/>
  <c r="H60" i="2"/>
  <c r="G60" i="2"/>
  <c r="F60" i="2"/>
  <c r="AA59" i="2"/>
  <c r="Z59" i="2"/>
  <c r="Y59" i="2"/>
  <c r="I59" i="2"/>
  <c r="H59" i="2"/>
  <c r="G59" i="2"/>
  <c r="F59" i="2"/>
  <c r="AA58" i="2"/>
  <c r="Z58" i="2"/>
  <c r="Y58" i="2"/>
  <c r="I58" i="2"/>
  <c r="H58" i="2"/>
  <c r="G58" i="2"/>
  <c r="F58" i="2"/>
  <c r="AA57" i="2"/>
  <c r="Z57" i="2"/>
  <c r="Y57" i="2"/>
  <c r="I57" i="2"/>
  <c r="H57" i="2"/>
  <c r="G57" i="2"/>
  <c r="F57" i="2"/>
  <c r="AA56" i="2"/>
  <c r="Z56" i="2"/>
  <c r="Y56" i="2"/>
  <c r="I56" i="2"/>
  <c r="H56" i="2"/>
  <c r="G56" i="2"/>
  <c r="F56" i="2"/>
  <c r="AA55" i="2"/>
  <c r="Z55" i="2"/>
  <c r="Y55" i="2"/>
  <c r="I55" i="2"/>
  <c r="H55" i="2"/>
  <c r="G55" i="2"/>
  <c r="F55" i="2"/>
  <c r="AA54" i="2"/>
  <c r="Z54" i="2"/>
  <c r="Y54" i="2"/>
  <c r="I54" i="2"/>
  <c r="H54" i="2"/>
  <c r="G54" i="2"/>
  <c r="F54" i="2"/>
  <c r="AA53" i="2"/>
  <c r="Z53" i="2"/>
  <c r="Y53" i="2"/>
  <c r="I53" i="2"/>
  <c r="H53" i="2"/>
  <c r="G53" i="2"/>
  <c r="F53" i="2"/>
  <c r="AA52" i="2"/>
  <c r="Z52" i="2"/>
  <c r="Y52" i="2"/>
  <c r="I52" i="2"/>
  <c r="H52" i="2"/>
  <c r="G52" i="2"/>
  <c r="F52" i="2"/>
  <c r="AA51" i="2"/>
  <c r="Z51" i="2"/>
  <c r="Y51" i="2"/>
  <c r="I51" i="2"/>
  <c r="H51" i="2"/>
  <c r="G51" i="2"/>
  <c r="F51" i="2"/>
  <c r="AA50" i="2"/>
  <c r="Z50" i="2"/>
  <c r="Y50" i="2"/>
  <c r="I50" i="2"/>
  <c r="H50" i="2"/>
  <c r="G50" i="2"/>
  <c r="F50" i="2"/>
  <c r="AA49" i="2"/>
  <c r="Z49" i="2"/>
  <c r="Y49" i="2"/>
  <c r="I49" i="2"/>
  <c r="H49" i="2"/>
  <c r="G49" i="2"/>
  <c r="F49" i="2"/>
  <c r="AA48" i="2"/>
  <c r="Z48" i="2"/>
  <c r="Y48" i="2"/>
  <c r="I48" i="2"/>
  <c r="H48" i="2"/>
  <c r="G48" i="2"/>
  <c r="F48" i="2"/>
  <c r="AA47" i="2"/>
  <c r="Z47" i="2"/>
  <c r="Y47" i="2"/>
  <c r="I47" i="2"/>
  <c r="H47" i="2"/>
  <c r="G47" i="2"/>
  <c r="F47" i="2"/>
  <c r="AA46" i="2"/>
  <c r="Z46" i="2"/>
  <c r="Y46" i="2"/>
  <c r="I46" i="2"/>
  <c r="H46" i="2"/>
  <c r="G46" i="2"/>
  <c r="F46" i="2"/>
  <c r="AA45" i="2"/>
  <c r="Z45" i="2"/>
  <c r="Y45" i="2"/>
  <c r="I45" i="2"/>
  <c r="H45" i="2"/>
  <c r="G45" i="2"/>
  <c r="F45" i="2"/>
  <c r="AA44" i="2"/>
  <c r="Z44" i="2"/>
  <c r="Y44" i="2"/>
  <c r="I44" i="2"/>
  <c r="H44" i="2"/>
  <c r="G44" i="2"/>
  <c r="F44" i="2"/>
  <c r="AA43" i="2"/>
  <c r="Z43" i="2"/>
  <c r="Y43" i="2"/>
  <c r="I43" i="2"/>
  <c r="H43" i="2"/>
  <c r="G43" i="2"/>
  <c r="F43" i="2"/>
  <c r="AA42" i="2"/>
  <c r="Z42" i="2"/>
  <c r="Y42" i="2"/>
  <c r="I42" i="2"/>
  <c r="H42" i="2"/>
  <c r="G42" i="2"/>
  <c r="F42" i="2"/>
  <c r="AA41" i="2"/>
  <c r="Z41" i="2"/>
  <c r="Y41" i="2"/>
  <c r="I41" i="2"/>
  <c r="H41" i="2"/>
  <c r="G41" i="2"/>
  <c r="F41" i="2"/>
  <c r="AA40" i="2"/>
  <c r="Z40" i="2"/>
  <c r="Y40" i="2"/>
  <c r="I40" i="2"/>
  <c r="H40" i="2"/>
  <c r="G40" i="2"/>
  <c r="F40" i="2"/>
  <c r="AA39" i="2"/>
  <c r="Z39" i="2"/>
  <c r="Y39" i="2"/>
  <c r="I39" i="2"/>
  <c r="H39" i="2"/>
  <c r="G39" i="2"/>
  <c r="F39" i="2"/>
  <c r="AA38" i="2"/>
  <c r="Z38" i="2"/>
  <c r="Y38" i="2"/>
  <c r="I38" i="2"/>
  <c r="H38" i="2"/>
  <c r="G38" i="2"/>
  <c r="F38" i="2"/>
  <c r="AA37" i="2"/>
  <c r="Z37" i="2"/>
  <c r="Y37" i="2"/>
  <c r="I37" i="2"/>
  <c r="H37" i="2"/>
  <c r="G37" i="2"/>
  <c r="F37" i="2"/>
  <c r="AA36" i="2"/>
  <c r="Z36" i="2"/>
  <c r="Y36" i="2"/>
  <c r="I36" i="2"/>
  <c r="H36" i="2"/>
  <c r="G36" i="2"/>
  <c r="F36" i="2"/>
  <c r="AA35" i="2"/>
  <c r="Z35" i="2"/>
  <c r="Y35" i="2"/>
  <c r="I35" i="2"/>
  <c r="H35" i="2"/>
  <c r="G35" i="2"/>
  <c r="F35" i="2"/>
  <c r="AA34" i="2"/>
  <c r="Z34" i="2"/>
  <c r="Y34" i="2"/>
  <c r="I34" i="2"/>
  <c r="H34" i="2"/>
  <c r="G34" i="2"/>
  <c r="F34" i="2"/>
  <c r="AA33" i="2"/>
  <c r="Z33" i="2"/>
  <c r="Y33" i="2"/>
  <c r="I33" i="2"/>
  <c r="H33" i="2"/>
  <c r="G33" i="2"/>
  <c r="F33" i="2"/>
  <c r="AA32" i="2"/>
  <c r="Z32" i="2"/>
  <c r="Y32" i="2"/>
  <c r="I32" i="2"/>
  <c r="H32" i="2"/>
  <c r="G32" i="2"/>
  <c r="F32" i="2"/>
  <c r="AA31" i="2"/>
  <c r="Z31" i="2"/>
  <c r="Y31" i="2"/>
  <c r="K31" i="2"/>
  <c r="I31" i="2"/>
  <c r="H31" i="2"/>
  <c r="G31" i="2"/>
  <c r="F31" i="2"/>
  <c r="AA30" i="2"/>
  <c r="Z30" i="2"/>
  <c r="Y30" i="2"/>
  <c r="K30" i="2"/>
  <c r="I30" i="2"/>
  <c r="H30" i="2"/>
  <c r="G30" i="2"/>
  <c r="F30" i="2"/>
  <c r="AA29" i="2"/>
  <c r="Z29" i="2"/>
  <c r="Y29" i="2"/>
  <c r="K29" i="2"/>
  <c r="I29" i="2"/>
  <c r="H29" i="2"/>
  <c r="G29" i="2"/>
  <c r="F29" i="2"/>
  <c r="AA28" i="2"/>
  <c r="Z28" i="2"/>
  <c r="Y28" i="2"/>
  <c r="K28" i="2"/>
  <c r="I28" i="2"/>
  <c r="H28" i="2"/>
  <c r="G28" i="2"/>
  <c r="F28" i="2"/>
  <c r="AA27" i="2"/>
  <c r="Z27" i="2"/>
  <c r="Y27" i="2"/>
  <c r="K27" i="2"/>
  <c r="I27" i="2"/>
  <c r="H27" i="2"/>
  <c r="G27" i="2"/>
  <c r="F27" i="2"/>
  <c r="AA26" i="2"/>
  <c r="Z26" i="2"/>
  <c r="Y26" i="2"/>
  <c r="K26" i="2"/>
  <c r="I26" i="2"/>
  <c r="H26" i="2"/>
  <c r="G26" i="2"/>
  <c r="F26" i="2"/>
  <c r="AA25" i="2"/>
  <c r="Z25" i="2"/>
  <c r="Y25" i="2"/>
  <c r="K25" i="2"/>
  <c r="I25" i="2"/>
  <c r="H25" i="2"/>
  <c r="G25" i="2"/>
  <c r="F25" i="2"/>
  <c r="D25" i="2"/>
  <c r="C25" i="2"/>
  <c r="B25" i="2"/>
  <c r="A25" i="2"/>
  <c r="AA24" i="2"/>
  <c r="Z24" i="2"/>
  <c r="Y24" i="2"/>
  <c r="K24" i="2"/>
  <c r="I24" i="2"/>
  <c r="H24" i="2"/>
  <c r="G24" i="2"/>
  <c r="F24" i="2"/>
  <c r="D24" i="2"/>
  <c r="C24" i="2"/>
  <c r="B24" i="2"/>
  <c r="A24" i="2"/>
  <c r="AA23" i="2"/>
  <c r="Z23" i="2"/>
  <c r="Y23" i="2"/>
  <c r="K23" i="2"/>
  <c r="I23" i="2"/>
  <c r="H23" i="2"/>
  <c r="G23" i="2"/>
  <c r="F23" i="2"/>
  <c r="D23" i="2"/>
  <c r="C23" i="2"/>
  <c r="B23" i="2"/>
  <c r="A23" i="2"/>
  <c r="AA22" i="2"/>
  <c r="Z22" i="2"/>
  <c r="Y22" i="2"/>
  <c r="K22" i="2"/>
  <c r="H22" i="2"/>
  <c r="G22" i="2"/>
  <c r="F22" i="2"/>
  <c r="D22" i="2"/>
  <c r="C22" i="2"/>
  <c r="B22" i="2"/>
  <c r="A22" i="2"/>
  <c r="AA21" i="2"/>
  <c r="Z21" i="2"/>
  <c r="Y21" i="2"/>
  <c r="K21" i="2"/>
  <c r="H21" i="2"/>
  <c r="G21" i="2"/>
  <c r="F21" i="2"/>
  <c r="D21" i="2"/>
  <c r="C21" i="2"/>
  <c r="B21" i="2"/>
  <c r="A21" i="2"/>
  <c r="AA20" i="2"/>
  <c r="Z20" i="2"/>
  <c r="Y20" i="2"/>
  <c r="K20" i="2"/>
  <c r="H20" i="2"/>
  <c r="G20" i="2"/>
  <c r="F20" i="2"/>
  <c r="D20" i="2"/>
  <c r="C20" i="2"/>
  <c r="B20" i="2"/>
  <c r="A20" i="2"/>
  <c r="AA19" i="2"/>
  <c r="Z19" i="2"/>
  <c r="Y19" i="2"/>
  <c r="K19" i="2"/>
  <c r="H19" i="2"/>
  <c r="G19" i="2"/>
  <c r="F19" i="2"/>
  <c r="D19" i="2"/>
  <c r="C19" i="2"/>
  <c r="B19" i="2"/>
  <c r="A19" i="2"/>
  <c r="AA18" i="2"/>
  <c r="Z18" i="2"/>
  <c r="Y18" i="2"/>
  <c r="K18" i="2"/>
  <c r="H18" i="2"/>
  <c r="G18" i="2"/>
  <c r="F18" i="2"/>
  <c r="D18" i="2"/>
  <c r="C18" i="2"/>
  <c r="B18" i="2"/>
  <c r="A18" i="2"/>
  <c r="AA17" i="2"/>
  <c r="Z17" i="2"/>
  <c r="Y17" i="2"/>
  <c r="O17" i="2"/>
  <c r="N17" i="2"/>
  <c r="M17" i="2"/>
  <c r="K17" i="2"/>
  <c r="H17" i="2"/>
  <c r="G17" i="2"/>
  <c r="F17" i="2"/>
  <c r="D17" i="2"/>
  <c r="C17" i="2"/>
  <c r="B17" i="2"/>
  <c r="A17" i="2"/>
  <c r="AA16" i="2"/>
  <c r="Z16" i="2"/>
  <c r="Y16" i="2"/>
  <c r="O16" i="2"/>
  <c r="N16" i="2"/>
  <c r="M16" i="2"/>
  <c r="K16" i="2"/>
  <c r="H16" i="2"/>
  <c r="G16" i="2"/>
  <c r="F16" i="2"/>
  <c r="D16" i="2"/>
  <c r="C16" i="2"/>
  <c r="B16" i="2"/>
  <c r="A16" i="2"/>
  <c r="AA15" i="2"/>
  <c r="Z15" i="2"/>
  <c r="Y15" i="2"/>
  <c r="W15" i="2"/>
  <c r="V15" i="2"/>
  <c r="O15" i="2"/>
  <c r="N15" i="2"/>
  <c r="M15" i="2"/>
  <c r="K15" i="2"/>
  <c r="H15" i="2"/>
  <c r="G15" i="2"/>
  <c r="F15" i="2"/>
  <c r="D15" i="2"/>
  <c r="C15" i="2"/>
  <c r="B15" i="2"/>
  <c r="A15" i="2"/>
  <c r="AA14" i="2"/>
  <c r="Z14" i="2"/>
  <c r="Y14" i="2"/>
  <c r="W14" i="2"/>
  <c r="AT5" i="2" s="1"/>
  <c r="V14" i="2"/>
  <c r="O14" i="2"/>
  <c r="N14" i="2"/>
  <c r="M14" i="2"/>
  <c r="K14" i="2"/>
  <c r="H14" i="2"/>
  <c r="G14" i="2"/>
  <c r="F14" i="2"/>
  <c r="D14" i="2"/>
  <c r="C14" i="2"/>
  <c r="B14" i="2"/>
  <c r="A14" i="2"/>
  <c r="AA13" i="2"/>
  <c r="Z13" i="2"/>
  <c r="Y13" i="2"/>
  <c r="W13" i="2"/>
  <c r="AR5" i="2" s="1"/>
  <c r="V13" i="2"/>
  <c r="O13" i="2"/>
  <c r="N13" i="2"/>
  <c r="M13" i="2"/>
  <c r="K13" i="2"/>
  <c r="H13" i="2"/>
  <c r="G13" i="2"/>
  <c r="F13" i="2"/>
  <c r="D13" i="2"/>
  <c r="C13" i="2"/>
  <c r="B13" i="2"/>
  <c r="A13" i="2"/>
  <c r="AA12" i="2"/>
  <c r="Z12" i="2"/>
  <c r="Y12" i="2"/>
  <c r="W12" i="2"/>
  <c r="AP5" i="2" s="1"/>
  <c r="V12" i="2"/>
  <c r="O12" i="2"/>
  <c r="N12" i="2"/>
  <c r="M12" i="2"/>
  <c r="K12" i="2"/>
  <c r="H12" i="2"/>
  <c r="G12" i="2"/>
  <c r="F12" i="2"/>
  <c r="D12" i="2"/>
  <c r="C12" i="2"/>
  <c r="B12" i="2"/>
  <c r="A12" i="2"/>
  <c r="AA11" i="2"/>
  <c r="Z11" i="2"/>
  <c r="Y11" i="2"/>
  <c r="W11" i="2"/>
  <c r="AN5" i="2" s="1"/>
  <c r="V11" i="2"/>
  <c r="O11" i="2"/>
  <c r="N11" i="2"/>
  <c r="M11" i="2"/>
  <c r="K11" i="2"/>
  <c r="H11" i="2"/>
  <c r="G11" i="2"/>
  <c r="F11" i="2"/>
  <c r="D11" i="2"/>
  <c r="C11" i="2"/>
  <c r="B11" i="2"/>
  <c r="A11" i="2"/>
  <c r="AA10" i="2"/>
  <c r="Z10" i="2"/>
  <c r="Y10" i="2"/>
  <c r="W10" i="2"/>
  <c r="AL5" i="2" s="1"/>
  <c r="V10" i="2"/>
  <c r="O10" i="2"/>
  <c r="N10" i="2"/>
  <c r="M10" i="2"/>
  <c r="K10" i="2"/>
  <c r="H10" i="2"/>
  <c r="G10" i="2"/>
  <c r="F10" i="2"/>
  <c r="D10" i="2"/>
  <c r="C10" i="2"/>
  <c r="B10" i="2"/>
  <c r="A10" i="2"/>
  <c r="AA9" i="2"/>
  <c r="Z9" i="2"/>
  <c r="Y9" i="2"/>
  <c r="W9" i="2"/>
  <c r="AJ5" i="2" s="1"/>
  <c r="V9" i="2"/>
  <c r="Q9" i="2"/>
  <c r="O9" i="2"/>
  <c r="N9" i="2"/>
  <c r="M9" i="2"/>
  <c r="K9" i="2"/>
  <c r="H9" i="2"/>
  <c r="G9" i="2"/>
  <c r="F9" i="2"/>
  <c r="D9" i="2"/>
  <c r="C9" i="2"/>
  <c r="B9" i="2"/>
  <c r="A9" i="2"/>
  <c r="AA8" i="2"/>
  <c r="Z8" i="2"/>
  <c r="Y8" i="2"/>
  <c r="W8" i="2"/>
  <c r="AH5" i="2" s="1"/>
  <c r="V8" i="2"/>
  <c r="Q8" i="2"/>
  <c r="O8" i="2"/>
  <c r="N8" i="2"/>
  <c r="M8" i="2"/>
  <c r="K8" i="2"/>
  <c r="H8" i="2"/>
  <c r="G8" i="2"/>
  <c r="F8" i="2"/>
  <c r="D8" i="2"/>
  <c r="C8" i="2"/>
  <c r="B8" i="2"/>
  <c r="A8" i="2"/>
  <c r="AA7" i="2"/>
  <c r="Z7" i="2"/>
  <c r="Y7" i="2"/>
  <c r="W7" i="2"/>
  <c r="AF5" i="2" s="1"/>
  <c r="V7" i="2"/>
  <c r="Q7" i="2"/>
  <c r="A2" i="1" s="1"/>
  <c r="O7" i="2"/>
  <c r="N7" i="2"/>
  <c r="M7" i="2"/>
  <c r="M218" i="1" s="1"/>
  <c r="K7" i="2"/>
  <c r="H7" i="2"/>
  <c r="G7" i="2"/>
  <c r="F7" i="2"/>
  <c r="D7" i="2"/>
  <c r="C7" i="2"/>
  <c r="F215" i="1" s="1"/>
  <c r="B7" i="2"/>
  <c r="A7" i="2"/>
  <c r="AA6" i="2"/>
  <c r="Z6" i="2"/>
  <c r="Y6" i="2"/>
  <c r="W6" i="2"/>
  <c r="AD5" i="2" s="1"/>
  <c r="V6" i="2"/>
  <c r="Q6" i="2"/>
  <c r="O6" i="2"/>
  <c r="N6" i="2"/>
  <c r="M6" i="2"/>
  <c r="K6" i="2"/>
  <c r="I6" i="2"/>
  <c r="H6" i="2"/>
  <c r="G6" i="2"/>
  <c r="F6" i="2"/>
  <c r="H218" i="1" s="1"/>
  <c r="D6" i="2"/>
  <c r="C6" i="2"/>
  <c r="F218" i="1" s="1"/>
  <c r="B6" i="2"/>
  <c r="A6" i="2"/>
  <c r="AV5" i="2"/>
  <c r="M2007" i="1"/>
  <c r="H2007" i="1"/>
  <c r="F2007" i="1"/>
  <c r="A2007" i="1"/>
  <c r="M2006" i="1"/>
  <c r="H2006" i="1"/>
  <c r="F2006" i="1"/>
  <c r="A2006" i="1"/>
  <c r="M2005" i="1"/>
  <c r="H2005" i="1"/>
  <c r="F2005" i="1"/>
  <c r="A2005" i="1"/>
  <c r="M2004" i="1"/>
  <c r="H2004" i="1"/>
  <c r="F2004" i="1"/>
  <c r="A2004" i="1"/>
  <c r="M2003" i="1"/>
  <c r="H2003" i="1"/>
  <c r="F2003" i="1"/>
  <c r="A2003" i="1"/>
  <c r="M2002" i="1"/>
  <c r="H2002" i="1"/>
  <c r="F2002" i="1"/>
  <c r="A2002" i="1"/>
  <c r="M2001" i="1"/>
  <c r="H2001" i="1"/>
  <c r="F2001" i="1"/>
  <c r="A2001" i="1"/>
  <c r="M2000" i="1"/>
  <c r="H2000" i="1"/>
  <c r="F2000" i="1"/>
  <c r="A2000" i="1"/>
  <c r="M1999" i="1"/>
  <c r="H1999" i="1"/>
  <c r="F1999" i="1"/>
  <c r="A1999" i="1"/>
  <c r="M1998" i="1"/>
  <c r="H1998" i="1"/>
  <c r="F1998" i="1"/>
  <c r="A1998" i="1"/>
  <c r="M1997" i="1"/>
  <c r="H1997" i="1"/>
  <c r="F1997" i="1"/>
  <c r="A1997" i="1"/>
  <c r="M1996" i="1"/>
  <c r="H1996" i="1"/>
  <c r="F1996" i="1"/>
  <c r="A1996" i="1"/>
  <c r="M1995" i="1"/>
  <c r="H1995" i="1"/>
  <c r="F1995" i="1"/>
  <c r="A1995" i="1"/>
  <c r="M1994" i="1"/>
  <c r="H1994" i="1"/>
  <c r="F1994" i="1"/>
  <c r="A1994" i="1"/>
  <c r="M1993" i="1"/>
  <c r="H1993" i="1"/>
  <c r="F1993" i="1"/>
  <c r="A1993" i="1"/>
  <c r="M1992" i="1"/>
  <c r="H1992" i="1"/>
  <c r="F1992" i="1"/>
  <c r="A1992" i="1"/>
  <c r="M1991" i="1"/>
  <c r="H1991" i="1"/>
  <c r="F1991" i="1"/>
  <c r="A1991" i="1"/>
  <c r="M1990" i="1"/>
  <c r="H1990" i="1"/>
  <c r="F1990" i="1"/>
  <c r="A1990" i="1"/>
  <c r="M1989" i="1"/>
  <c r="H1989" i="1"/>
  <c r="F1989" i="1"/>
  <c r="A1989" i="1"/>
  <c r="M1988" i="1"/>
  <c r="H1988" i="1"/>
  <c r="F1988" i="1"/>
  <c r="A1988" i="1"/>
  <c r="M1987" i="1"/>
  <c r="H1987" i="1"/>
  <c r="F1987" i="1"/>
  <c r="A1987" i="1"/>
  <c r="M1986" i="1"/>
  <c r="H1986" i="1"/>
  <c r="F1986" i="1"/>
  <c r="A1986" i="1"/>
  <c r="M1985" i="1"/>
  <c r="H1985" i="1"/>
  <c r="F1985" i="1"/>
  <c r="A1985" i="1"/>
  <c r="M1984" i="1"/>
  <c r="H1984" i="1"/>
  <c r="F1984" i="1"/>
  <c r="A1984" i="1"/>
  <c r="M1983" i="1"/>
  <c r="H1983" i="1"/>
  <c r="F1983" i="1"/>
  <c r="A1983" i="1"/>
  <c r="M1982" i="1"/>
  <c r="H1982" i="1"/>
  <c r="F1982" i="1"/>
  <c r="A1982" i="1"/>
  <c r="M1981" i="1"/>
  <c r="H1981" i="1"/>
  <c r="F1981" i="1"/>
  <c r="A1981" i="1"/>
  <c r="M1980" i="1"/>
  <c r="H1980" i="1"/>
  <c r="F1980" i="1"/>
  <c r="A1980" i="1"/>
  <c r="M1979" i="1"/>
  <c r="H1979" i="1"/>
  <c r="F1979" i="1"/>
  <c r="A1979" i="1"/>
  <c r="M1978" i="1"/>
  <c r="H1978" i="1"/>
  <c r="F1978" i="1"/>
  <c r="A1978" i="1"/>
  <c r="M1977" i="1"/>
  <c r="H1977" i="1"/>
  <c r="F1977" i="1"/>
  <c r="A1977" i="1"/>
  <c r="M1976" i="1"/>
  <c r="H1976" i="1"/>
  <c r="F1976" i="1"/>
  <c r="A1976" i="1"/>
  <c r="M1975" i="1"/>
  <c r="H1975" i="1"/>
  <c r="F1975" i="1"/>
  <c r="A1975" i="1"/>
  <c r="M1974" i="1"/>
  <c r="H1974" i="1"/>
  <c r="F1974" i="1"/>
  <c r="A1974" i="1"/>
  <c r="M1973" i="1"/>
  <c r="H1973" i="1"/>
  <c r="F1973" i="1"/>
  <c r="A1973" i="1"/>
  <c r="M1972" i="1"/>
  <c r="H1972" i="1"/>
  <c r="F1972" i="1"/>
  <c r="A1972" i="1"/>
  <c r="M1971" i="1"/>
  <c r="H1971" i="1"/>
  <c r="F1971" i="1"/>
  <c r="A1971" i="1"/>
  <c r="M1970" i="1"/>
  <c r="H1970" i="1"/>
  <c r="F1970" i="1"/>
  <c r="A1970" i="1"/>
  <c r="M1969" i="1"/>
  <c r="H1969" i="1"/>
  <c r="F1969" i="1"/>
  <c r="A1969" i="1"/>
  <c r="M1968" i="1"/>
  <c r="H1968" i="1"/>
  <c r="F1968" i="1"/>
  <c r="A1968" i="1"/>
  <c r="M1967" i="1"/>
  <c r="H1967" i="1"/>
  <c r="F1967" i="1"/>
  <c r="A1967" i="1"/>
  <c r="M1966" i="1"/>
  <c r="H1966" i="1"/>
  <c r="F1966" i="1"/>
  <c r="A1966" i="1"/>
  <c r="M1965" i="1"/>
  <c r="H1965" i="1"/>
  <c r="F1965" i="1"/>
  <c r="A1965" i="1"/>
  <c r="M1964" i="1"/>
  <c r="H1964" i="1"/>
  <c r="F1964" i="1"/>
  <c r="A1964" i="1"/>
  <c r="M1963" i="1"/>
  <c r="H1963" i="1"/>
  <c r="F1963" i="1"/>
  <c r="A1963" i="1"/>
  <c r="M1962" i="1"/>
  <c r="H1962" i="1"/>
  <c r="F1962" i="1"/>
  <c r="A1962" i="1"/>
  <c r="M1961" i="1"/>
  <c r="H1961" i="1"/>
  <c r="F1961" i="1"/>
  <c r="A1961" i="1"/>
  <c r="M1960" i="1"/>
  <c r="H1960" i="1"/>
  <c r="F1960" i="1"/>
  <c r="A1960" i="1"/>
  <c r="M1959" i="1"/>
  <c r="H1959" i="1"/>
  <c r="F1959" i="1"/>
  <c r="A1959" i="1"/>
  <c r="M1958" i="1"/>
  <c r="H1958" i="1"/>
  <c r="F1958" i="1"/>
  <c r="A1958" i="1"/>
  <c r="M1957" i="1"/>
  <c r="H1957" i="1"/>
  <c r="F1957" i="1"/>
  <c r="A1957" i="1"/>
  <c r="M1956" i="1"/>
  <c r="H1956" i="1"/>
  <c r="F1956" i="1"/>
  <c r="A1956" i="1"/>
  <c r="M1955" i="1"/>
  <c r="H1955" i="1"/>
  <c r="F1955" i="1"/>
  <c r="A1955" i="1"/>
  <c r="M1954" i="1"/>
  <c r="H1954" i="1"/>
  <c r="F1954" i="1"/>
  <c r="A1954" i="1"/>
  <c r="M1953" i="1"/>
  <c r="H1953" i="1"/>
  <c r="F1953" i="1"/>
  <c r="A1953" i="1"/>
  <c r="M1952" i="1"/>
  <c r="H1952" i="1"/>
  <c r="F1952" i="1"/>
  <c r="A1952" i="1"/>
  <c r="M1951" i="1"/>
  <c r="H1951" i="1"/>
  <c r="F1951" i="1"/>
  <c r="A1951" i="1"/>
  <c r="M1950" i="1"/>
  <c r="H1950" i="1"/>
  <c r="F1950" i="1"/>
  <c r="A1950" i="1"/>
  <c r="M1949" i="1"/>
  <c r="H1949" i="1"/>
  <c r="F1949" i="1"/>
  <c r="A1949" i="1"/>
  <c r="M1948" i="1"/>
  <c r="H1948" i="1"/>
  <c r="F1948" i="1"/>
  <c r="A1948" i="1"/>
  <c r="M1947" i="1"/>
  <c r="H1947" i="1"/>
  <c r="F1947" i="1"/>
  <c r="A1947" i="1"/>
  <c r="M1946" i="1"/>
  <c r="H1946" i="1"/>
  <c r="F1946" i="1"/>
  <c r="A1946" i="1"/>
  <c r="M1945" i="1"/>
  <c r="H1945" i="1"/>
  <c r="F1945" i="1"/>
  <c r="A1945" i="1"/>
  <c r="M1944" i="1"/>
  <c r="H1944" i="1"/>
  <c r="F1944" i="1"/>
  <c r="A1944" i="1"/>
  <c r="M1943" i="1"/>
  <c r="H1943" i="1"/>
  <c r="F1943" i="1"/>
  <c r="A1943" i="1"/>
  <c r="M1942" i="1"/>
  <c r="H1942" i="1"/>
  <c r="F1942" i="1"/>
  <c r="A1942" i="1"/>
  <c r="M1941" i="1"/>
  <c r="H1941" i="1"/>
  <c r="F1941" i="1"/>
  <c r="A1941" i="1"/>
  <c r="M1940" i="1"/>
  <c r="H1940" i="1"/>
  <c r="F1940" i="1"/>
  <c r="A1940" i="1"/>
  <c r="M1939" i="1"/>
  <c r="H1939" i="1"/>
  <c r="F1939" i="1"/>
  <c r="A1939" i="1"/>
  <c r="M1938" i="1"/>
  <c r="H1938" i="1"/>
  <c r="F1938" i="1"/>
  <c r="A1938" i="1"/>
  <c r="M1937" i="1"/>
  <c r="H1937" i="1"/>
  <c r="F1937" i="1"/>
  <c r="A1937" i="1"/>
  <c r="M1936" i="1"/>
  <c r="H1936" i="1"/>
  <c r="F1936" i="1"/>
  <c r="A1936" i="1"/>
  <c r="M1935" i="1"/>
  <c r="H1935" i="1"/>
  <c r="F1935" i="1"/>
  <c r="A1935" i="1"/>
  <c r="M1934" i="1"/>
  <c r="H1934" i="1"/>
  <c r="F1934" i="1"/>
  <c r="A1934" i="1"/>
  <c r="M1933" i="1"/>
  <c r="H1933" i="1"/>
  <c r="F1933" i="1"/>
  <c r="A1933" i="1"/>
  <c r="M1932" i="1"/>
  <c r="H1932" i="1"/>
  <c r="F1932" i="1"/>
  <c r="A1932" i="1"/>
  <c r="M1931" i="1"/>
  <c r="H1931" i="1"/>
  <c r="F1931" i="1"/>
  <c r="A1931" i="1"/>
  <c r="M1930" i="1"/>
  <c r="H1930" i="1"/>
  <c r="F1930" i="1"/>
  <c r="A1930" i="1"/>
  <c r="M1929" i="1"/>
  <c r="H1929" i="1"/>
  <c r="F1929" i="1"/>
  <c r="A1929" i="1"/>
  <c r="M1928" i="1"/>
  <c r="H1928" i="1"/>
  <c r="F1928" i="1"/>
  <c r="A1928" i="1"/>
  <c r="M1927" i="1"/>
  <c r="H1927" i="1"/>
  <c r="F1927" i="1"/>
  <c r="A1927" i="1"/>
  <c r="M1926" i="1"/>
  <c r="H1926" i="1"/>
  <c r="F1926" i="1"/>
  <c r="A1926" i="1"/>
  <c r="M1925" i="1"/>
  <c r="H1925" i="1"/>
  <c r="F1925" i="1"/>
  <c r="A1925" i="1"/>
  <c r="M1924" i="1"/>
  <c r="H1924" i="1"/>
  <c r="F1924" i="1"/>
  <c r="A1924" i="1"/>
  <c r="M1923" i="1"/>
  <c r="H1923" i="1"/>
  <c r="F1923" i="1"/>
  <c r="A1923" i="1"/>
  <c r="M1922" i="1"/>
  <c r="H1922" i="1"/>
  <c r="F1922" i="1"/>
  <c r="A1922" i="1"/>
  <c r="M1921" i="1"/>
  <c r="H1921" i="1"/>
  <c r="F1921" i="1"/>
  <c r="A1921" i="1"/>
  <c r="M1920" i="1"/>
  <c r="H1920" i="1"/>
  <c r="F1920" i="1"/>
  <c r="A1920" i="1"/>
  <c r="M1919" i="1"/>
  <c r="H1919" i="1"/>
  <c r="F1919" i="1"/>
  <c r="A1919" i="1"/>
  <c r="M1918" i="1"/>
  <c r="H1918" i="1"/>
  <c r="F1918" i="1"/>
  <c r="A1918" i="1"/>
  <c r="M1917" i="1"/>
  <c r="H1917" i="1"/>
  <c r="F1917" i="1"/>
  <c r="A1917" i="1"/>
  <c r="M1916" i="1"/>
  <c r="H1916" i="1"/>
  <c r="F1916" i="1"/>
  <c r="A1916" i="1"/>
  <c r="M1915" i="1"/>
  <c r="H1915" i="1"/>
  <c r="F1915" i="1"/>
  <c r="A1915" i="1"/>
  <c r="M1914" i="1"/>
  <c r="H1914" i="1"/>
  <c r="F1914" i="1"/>
  <c r="A1914" i="1"/>
  <c r="M1913" i="1"/>
  <c r="H1913" i="1"/>
  <c r="F1913" i="1"/>
  <c r="A1913" i="1"/>
  <c r="M1912" i="1"/>
  <c r="H1912" i="1"/>
  <c r="F1912" i="1"/>
  <c r="A1912" i="1"/>
  <c r="M1911" i="1"/>
  <c r="H1911" i="1"/>
  <c r="F1911" i="1"/>
  <c r="A1911" i="1"/>
  <c r="M1910" i="1"/>
  <c r="H1910" i="1"/>
  <c r="F1910" i="1"/>
  <c r="A1910" i="1"/>
  <c r="M1909" i="1"/>
  <c r="H1909" i="1"/>
  <c r="F1909" i="1"/>
  <c r="A1909" i="1"/>
  <c r="M1908" i="1"/>
  <c r="H1908" i="1"/>
  <c r="F1908" i="1"/>
  <c r="A1908" i="1"/>
  <c r="M1907" i="1"/>
  <c r="H1907" i="1"/>
  <c r="F1907" i="1"/>
  <c r="A1907" i="1"/>
  <c r="M1906" i="1"/>
  <c r="H1906" i="1"/>
  <c r="F1906" i="1"/>
  <c r="A1906" i="1"/>
  <c r="M1905" i="1"/>
  <c r="H1905" i="1"/>
  <c r="F1905" i="1"/>
  <c r="A1905" i="1"/>
  <c r="M1904" i="1"/>
  <c r="H1904" i="1"/>
  <c r="F1904" i="1"/>
  <c r="A1904" i="1"/>
  <c r="M1903" i="1"/>
  <c r="H1903" i="1"/>
  <c r="F1903" i="1"/>
  <c r="A1903" i="1"/>
  <c r="M1902" i="1"/>
  <c r="H1902" i="1"/>
  <c r="F1902" i="1"/>
  <c r="A1902" i="1"/>
  <c r="M1901" i="1"/>
  <c r="H1901" i="1"/>
  <c r="F1901" i="1"/>
  <c r="A1901" i="1"/>
  <c r="M1900" i="1"/>
  <c r="H1900" i="1"/>
  <c r="F1900" i="1"/>
  <c r="A1900" i="1"/>
  <c r="M1899" i="1"/>
  <c r="H1899" i="1"/>
  <c r="F1899" i="1"/>
  <c r="A1899" i="1"/>
  <c r="M1898" i="1"/>
  <c r="H1898" i="1"/>
  <c r="F1898" i="1"/>
  <c r="A1898" i="1"/>
  <c r="M1897" i="1"/>
  <c r="H1897" i="1"/>
  <c r="F1897" i="1"/>
  <c r="A1897" i="1"/>
  <c r="M1896" i="1"/>
  <c r="H1896" i="1"/>
  <c r="F1896" i="1"/>
  <c r="A1896" i="1"/>
  <c r="M1895" i="1"/>
  <c r="H1895" i="1"/>
  <c r="F1895" i="1"/>
  <c r="A1895" i="1"/>
  <c r="M1894" i="1"/>
  <c r="H1894" i="1"/>
  <c r="F1894" i="1"/>
  <c r="A1894" i="1"/>
  <c r="M1893" i="1"/>
  <c r="H1893" i="1"/>
  <c r="F1893" i="1"/>
  <c r="A1893" i="1"/>
  <c r="M1892" i="1"/>
  <c r="H1892" i="1"/>
  <c r="F1892" i="1"/>
  <c r="A1892" i="1"/>
  <c r="M1891" i="1"/>
  <c r="H1891" i="1"/>
  <c r="F1891" i="1"/>
  <c r="A1891" i="1"/>
  <c r="M1890" i="1"/>
  <c r="H1890" i="1"/>
  <c r="F1890" i="1"/>
  <c r="A1890" i="1"/>
  <c r="M1889" i="1"/>
  <c r="H1889" i="1"/>
  <c r="F1889" i="1"/>
  <c r="A1889" i="1"/>
  <c r="M1888" i="1"/>
  <c r="H1888" i="1"/>
  <c r="F1888" i="1"/>
  <c r="A1888" i="1"/>
  <c r="M1887" i="1"/>
  <c r="H1887" i="1"/>
  <c r="F1887" i="1"/>
  <c r="A1887" i="1"/>
  <c r="M1886" i="1"/>
  <c r="H1886" i="1"/>
  <c r="F1886" i="1"/>
  <c r="A1886" i="1"/>
  <c r="M1885" i="1"/>
  <c r="H1885" i="1"/>
  <c r="F1885" i="1"/>
  <c r="A1885" i="1"/>
  <c r="M1884" i="1"/>
  <c r="H1884" i="1"/>
  <c r="F1884" i="1"/>
  <c r="A1884" i="1"/>
  <c r="M1883" i="1"/>
  <c r="H1883" i="1"/>
  <c r="F1883" i="1"/>
  <c r="A1883" i="1"/>
  <c r="M1882" i="1"/>
  <c r="H1882" i="1"/>
  <c r="F1882" i="1"/>
  <c r="A1882" i="1"/>
  <c r="M1881" i="1"/>
  <c r="H1881" i="1"/>
  <c r="F1881" i="1"/>
  <c r="A1881" i="1"/>
  <c r="M1880" i="1"/>
  <c r="H1880" i="1"/>
  <c r="F1880" i="1"/>
  <c r="A1880" i="1"/>
  <c r="M1879" i="1"/>
  <c r="H1879" i="1"/>
  <c r="F1879" i="1"/>
  <c r="A1879" i="1"/>
  <c r="M1878" i="1"/>
  <c r="H1878" i="1"/>
  <c r="F1878" i="1"/>
  <c r="A1878" i="1"/>
  <c r="M1877" i="1"/>
  <c r="H1877" i="1"/>
  <c r="F1877" i="1"/>
  <c r="A1877" i="1"/>
  <c r="M1876" i="1"/>
  <c r="H1876" i="1"/>
  <c r="F1876" i="1"/>
  <c r="A1876" i="1"/>
  <c r="M1875" i="1"/>
  <c r="H1875" i="1"/>
  <c r="F1875" i="1"/>
  <c r="A1875" i="1"/>
  <c r="M1874" i="1"/>
  <c r="H1874" i="1"/>
  <c r="F1874" i="1"/>
  <c r="A1874" i="1"/>
  <c r="M1873" i="1"/>
  <c r="H1873" i="1"/>
  <c r="F1873" i="1"/>
  <c r="A1873" i="1"/>
  <c r="M1872" i="1"/>
  <c r="H1872" i="1"/>
  <c r="F1872" i="1"/>
  <c r="A1872" i="1"/>
  <c r="M1871" i="1"/>
  <c r="H1871" i="1"/>
  <c r="F1871" i="1"/>
  <c r="A1871" i="1"/>
  <c r="M1870" i="1"/>
  <c r="H1870" i="1"/>
  <c r="F1870" i="1"/>
  <c r="A1870" i="1"/>
  <c r="M1869" i="1"/>
  <c r="H1869" i="1"/>
  <c r="F1869" i="1"/>
  <c r="A1869" i="1"/>
  <c r="M1868" i="1"/>
  <c r="H1868" i="1"/>
  <c r="F1868" i="1"/>
  <c r="A1868" i="1"/>
  <c r="M1867" i="1"/>
  <c r="H1867" i="1"/>
  <c r="F1867" i="1"/>
  <c r="A1867" i="1"/>
  <c r="M1866" i="1"/>
  <c r="H1866" i="1"/>
  <c r="F1866" i="1"/>
  <c r="A1866" i="1"/>
  <c r="M1865" i="1"/>
  <c r="H1865" i="1"/>
  <c r="F1865" i="1"/>
  <c r="A1865" i="1"/>
  <c r="M1864" i="1"/>
  <c r="H1864" i="1"/>
  <c r="F1864" i="1"/>
  <c r="A1864" i="1"/>
  <c r="M1863" i="1"/>
  <c r="H1863" i="1"/>
  <c r="F1863" i="1"/>
  <c r="A1863" i="1"/>
  <c r="M1862" i="1"/>
  <c r="H1862" i="1"/>
  <c r="F1862" i="1"/>
  <c r="A1862" i="1"/>
  <c r="M1861" i="1"/>
  <c r="H1861" i="1"/>
  <c r="F1861" i="1"/>
  <c r="A1861" i="1"/>
  <c r="M1860" i="1"/>
  <c r="H1860" i="1"/>
  <c r="F1860" i="1"/>
  <c r="A1860" i="1"/>
  <c r="M1859" i="1"/>
  <c r="H1859" i="1"/>
  <c r="F1859" i="1"/>
  <c r="A1859" i="1"/>
  <c r="M1858" i="1"/>
  <c r="H1858" i="1"/>
  <c r="F1858" i="1"/>
  <c r="A1858" i="1"/>
  <c r="M1857" i="1"/>
  <c r="H1857" i="1"/>
  <c r="F1857" i="1"/>
  <c r="A1857" i="1"/>
  <c r="M1856" i="1"/>
  <c r="H1856" i="1"/>
  <c r="F1856" i="1"/>
  <c r="A1856" i="1"/>
  <c r="M1855" i="1"/>
  <c r="H1855" i="1"/>
  <c r="F1855" i="1"/>
  <c r="A1855" i="1"/>
  <c r="M1854" i="1"/>
  <c r="H1854" i="1"/>
  <c r="F1854" i="1"/>
  <c r="A1854" i="1"/>
  <c r="M1853" i="1"/>
  <c r="H1853" i="1"/>
  <c r="F1853" i="1"/>
  <c r="A1853" i="1"/>
  <c r="M1852" i="1"/>
  <c r="H1852" i="1"/>
  <c r="F1852" i="1"/>
  <c r="A1852" i="1"/>
  <c r="M1851" i="1"/>
  <c r="H1851" i="1"/>
  <c r="F1851" i="1"/>
  <c r="A1851" i="1"/>
  <c r="M1850" i="1"/>
  <c r="H1850" i="1"/>
  <c r="F1850" i="1"/>
  <c r="A1850" i="1"/>
  <c r="M1849" i="1"/>
  <c r="H1849" i="1"/>
  <c r="F1849" i="1"/>
  <c r="A1849" i="1"/>
  <c r="M1848" i="1"/>
  <c r="H1848" i="1"/>
  <c r="F1848" i="1"/>
  <c r="A1848" i="1"/>
  <c r="M1847" i="1"/>
  <c r="H1847" i="1"/>
  <c r="F1847" i="1"/>
  <c r="A1847" i="1"/>
  <c r="M1846" i="1"/>
  <c r="H1846" i="1"/>
  <c r="F1846" i="1"/>
  <c r="A1846" i="1"/>
  <c r="M1845" i="1"/>
  <c r="H1845" i="1"/>
  <c r="F1845" i="1"/>
  <c r="A1845" i="1"/>
  <c r="M1844" i="1"/>
  <c r="H1844" i="1"/>
  <c r="F1844" i="1"/>
  <c r="A1844" i="1"/>
  <c r="M1843" i="1"/>
  <c r="H1843" i="1"/>
  <c r="F1843" i="1"/>
  <c r="A1843" i="1"/>
  <c r="M1842" i="1"/>
  <c r="H1842" i="1"/>
  <c r="F1842" i="1"/>
  <c r="A1842" i="1"/>
  <c r="M1841" i="1"/>
  <c r="H1841" i="1"/>
  <c r="F1841" i="1"/>
  <c r="A1841" i="1"/>
  <c r="M1840" i="1"/>
  <c r="H1840" i="1"/>
  <c r="F1840" i="1"/>
  <c r="A1840" i="1"/>
  <c r="M1839" i="1"/>
  <c r="H1839" i="1"/>
  <c r="F1839" i="1"/>
  <c r="A1839" i="1"/>
  <c r="M1838" i="1"/>
  <c r="H1838" i="1"/>
  <c r="F1838" i="1"/>
  <c r="A1838" i="1"/>
  <c r="M1837" i="1"/>
  <c r="H1837" i="1"/>
  <c r="F1837" i="1"/>
  <c r="A1837" i="1"/>
  <c r="M1836" i="1"/>
  <c r="H1836" i="1"/>
  <c r="F1836" i="1"/>
  <c r="A1836" i="1"/>
  <c r="M1835" i="1"/>
  <c r="H1835" i="1"/>
  <c r="F1835" i="1"/>
  <c r="A1835" i="1"/>
  <c r="M1834" i="1"/>
  <c r="H1834" i="1"/>
  <c r="F1834" i="1"/>
  <c r="A1834" i="1"/>
  <c r="M1833" i="1"/>
  <c r="H1833" i="1"/>
  <c r="F1833" i="1"/>
  <c r="A1833" i="1"/>
  <c r="M1832" i="1"/>
  <c r="H1832" i="1"/>
  <c r="F1832" i="1"/>
  <c r="A1832" i="1"/>
  <c r="M1831" i="1"/>
  <c r="H1831" i="1"/>
  <c r="F1831" i="1"/>
  <c r="A1831" i="1"/>
  <c r="M1830" i="1"/>
  <c r="H1830" i="1"/>
  <c r="F1830" i="1"/>
  <c r="A1830" i="1"/>
  <c r="M1829" i="1"/>
  <c r="H1829" i="1"/>
  <c r="F1829" i="1"/>
  <c r="A1829" i="1"/>
  <c r="M1828" i="1"/>
  <c r="H1828" i="1"/>
  <c r="F1828" i="1"/>
  <c r="A1828" i="1"/>
  <c r="M1827" i="1"/>
  <c r="H1827" i="1"/>
  <c r="F1827" i="1"/>
  <c r="A1827" i="1"/>
  <c r="M1826" i="1"/>
  <c r="H1826" i="1"/>
  <c r="F1826" i="1"/>
  <c r="A1826" i="1"/>
  <c r="M1825" i="1"/>
  <c r="H1825" i="1"/>
  <c r="F1825" i="1"/>
  <c r="A1825" i="1"/>
  <c r="M1824" i="1"/>
  <c r="H1824" i="1"/>
  <c r="F1824" i="1"/>
  <c r="A1824" i="1"/>
  <c r="M1823" i="1"/>
  <c r="H1823" i="1"/>
  <c r="F1823" i="1"/>
  <c r="A1823" i="1"/>
  <c r="M1822" i="1"/>
  <c r="H1822" i="1"/>
  <c r="F1822" i="1"/>
  <c r="A1822" i="1"/>
  <c r="M1821" i="1"/>
  <c r="H1821" i="1"/>
  <c r="F1821" i="1"/>
  <c r="A1821" i="1"/>
  <c r="M1820" i="1"/>
  <c r="H1820" i="1"/>
  <c r="F1820" i="1"/>
  <c r="A1820" i="1"/>
  <c r="M1819" i="1"/>
  <c r="H1819" i="1"/>
  <c r="F1819" i="1"/>
  <c r="A1819" i="1"/>
  <c r="M1818" i="1"/>
  <c r="H1818" i="1"/>
  <c r="F1818" i="1"/>
  <c r="A1818" i="1"/>
  <c r="M1817" i="1"/>
  <c r="H1817" i="1"/>
  <c r="F1817" i="1"/>
  <c r="A1817" i="1"/>
  <c r="M1816" i="1"/>
  <c r="H1816" i="1"/>
  <c r="F1816" i="1"/>
  <c r="A1816" i="1"/>
  <c r="M1815" i="1"/>
  <c r="H1815" i="1"/>
  <c r="F1815" i="1"/>
  <c r="A1815" i="1"/>
  <c r="M1814" i="1"/>
  <c r="H1814" i="1"/>
  <c r="F1814" i="1"/>
  <c r="A1814" i="1"/>
  <c r="M1813" i="1"/>
  <c r="H1813" i="1"/>
  <c r="F1813" i="1"/>
  <c r="A1813" i="1"/>
  <c r="M1812" i="1"/>
  <c r="H1812" i="1"/>
  <c r="F1812" i="1"/>
  <c r="A1812" i="1"/>
  <c r="M1811" i="1"/>
  <c r="H1811" i="1"/>
  <c r="F1811" i="1"/>
  <c r="A1811" i="1"/>
  <c r="M1810" i="1"/>
  <c r="H1810" i="1"/>
  <c r="F1810" i="1"/>
  <c r="A1810" i="1"/>
  <c r="M1809" i="1"/>
  <c r="H1809" i="1"/>
  <c r="F1809" i="1"/>
  <c r="A1809" i="1"/>
  <c r="M1808" i="1"/>
  <c r="H1808" i="1"/>
  <c r="F1808" i="1"/>
  <c r="A1808" i="1"/>
  <c r="M1807" i="1"/>
  <c r="H1807" i="1"/>
  <c r="F1807" i="1"/>
  <c r="A1807" i="1"/>
  <c r="M1806" i="1"/>
  <c r="H1806" i="1"/>
  <c r="F1806" i="1"/>
  <c r="A1806" i="1"/>
  <c r="M1805" i="1"/>
  <c r="H1805" i="1"/>
  <c r="F1805" i="1"/>
  <c r="A1805" i="1"/>
  <c r="M1804" i="1"/>
  <c r="H1804" i="1"/>
  <c r="F1804" i="1"/>
  <c r="A1804" i="1"/>
  <c r="M1803" i="1"/>
  <c r="H1803" i="1"/>
  <c r="F1803" i="1"/>
  <c r="A1803" i="1"/>
  <c r="M1802" i="1"/>
  <c r="H1802" i="1"/>
  <c r="F1802" i="1"/>
  <c r="A1802" i="1"/>
  <c r="M1801" i="1"/>
  <c r="H1801" i="1"/>
  <c r="F1801" i="1"/>
  <c r="A1801" i="1"/>
  <c r="M1800" i="1"/>
  <c r="H1800" i="1"/>
  <c r="F1800" i="1"/>
  <c r="A1800" i="1"/>
  <c r="M1799" i="1"/>
  <c r="H1799" i="1"/>
  <c r="F1799" i="1"/>
  <c r="A1799" i="1"/>
  <c r="M1798" i="1"/>
  <c r="H1798" i="1"/>
  <c r="F1798" i="1"/>
  <c r="A1798" i="1"/>
  <c r="M1797" i="1"/>
  <c r="H1797" i="1"/>
  <c r="F1797" i="1"/>
  <c r="A1797" i="1"/>
  <c r="M1796" i="1"/>
  <c r="H1796" i="1"/>
  <c r="F1796" i="1"/>
  <c r="A1796" i="1"/>
  <c r="M1795" i="1"/>
  <c r="H1795" i="1"/>
  <c r="F1795" i="1"/>
  <c r="A1795" i="1"/>
  <c r="M1794" i="1"/>
  <c r="H1794" i="1"/>
  <c r="F1794" i="1"/>
  <c r="A1794" i="1"/>
  <c r="M1793" i="1"/>
  <c r="H1793" i="1"/>
  <c r="F1793" i="1"/>
  <c r="A1793" i="1"/>
  <c r="M1792" i="1"/>
  <c r="H1792" i="1"/>
  <c r="F1792" i="1"/>
  <c r="A1792" i="1"/>
  <c r="M1791" i="1"/>
  <c r="H1791" i="1"/>
  <c r="F1791" i="1"/>
  <c r="A1791" i="1"/>
  <c r="M1790" i="1"/>
  <c r="H1790" i="1"/>
  <c r="F1790" i="1"/>
  <c r="A1790" i="1"/>
  <c r="M1789" i="1"/>
  <c r="H1789" i="1"/>
  <c r="F1789" i="1"/>
  <c r="A1789" i="1"/>
  <c r="M1788" i="1"/>
  <c r="H1788" i="1"/>
  <c r="F1788" i="1"/>
  <c r="A1788" i="1"/>
  <c r="M1787" i="1"/>
  <c r="H1787" i="1"/>
  <c r="F1787" i="1"/>
  <c r="A1787" i="1"/>
  <c r="M1786" i="1"/>
  <c r="H1786" i="1"/>
  <c r="F1786" i="1"/>
  <c r="A1786" i="1"/>
  <c r="M1785" i="1"/>
  <c r="H1785" i="1"/>
  <c r="F1785" i="1"/>
  <c r="A1785" i="1"/>
  <c r="M1784" i="1"/>
  <c r="H1784" i="1"/>
  <c r="F1784" i="1"/>
  <c r="A1784" i="1"/>
  <c r="M1783" i="1"/>
  <c r="H1783" i="1"/>
  <c r="F1783" i="1"/>
  <c r="A1783" i="1"/>
  <c r="M1782" i="1"/>
  <c r="H1782" i="1"/>
  <c r="F1782" i="1"/>
  <c r="A1782" i="1"/>
  <c r="M1781" i="1"/>
  <c r="H1781" i="1"/>
  <c r="F1781" i="1"/>
  <c r="A1781" i="1"/>
  <c r="M1780" i="1"/>
  <c r="H1780" i="1"/>
  <c r="F1780" i="1"/>
  <c r="A1780" i="1"/>
  <c r="M1779" i="1"/>
  <c r="H1779" i="1"/>
  <c r="F1779" i="1"/>
  <c r="A1779" i="1"/>
  <c r="M1778" i="1"/>
  <c r="H1778" i="1"/>
  <c r="F1778" i="1"/>
  <c r="A1778" i="1"/>
  <c r="M1777" i="1"/>
  <c r="H1777" i="1"/>
  <c r="F1777" i="1"/>
  <c r="A1777" i="1"/>
  <c r="M1776" i="1"/>
  <c r="H1776" i="1"/>
  <c r="F1776" i="1"/>
  <c r="A1776" i="1"/>
  <c r="M1775" i="1"/>
  <c r="H1775" i="1"/>
  <c r="F1775" i="1"/>
  <c r="A1775" i="1"/>
  <c r="M1774" i="1"/>
  <c r="H1774" i="1"/>
  <c r="F1774" i="1"/>
  <c r="A1774" i="1"/>
  <c r="M1773" i="1"/>
  <c r="H1773" i="1"/>
  <c r="F1773" i="1"/>
  <c r="A1773" i="1"/>
  <c r="M1772" i="1"/>
  <c r="H1772" i="1"/>
  <c r="F1772" i="1"/>
  <c r="A1772" i="1"/>
  <c r="M1771" i="1"/>
  <c r="H1771" i="1"/>
  <c r="F1771" i="1"/>
  <c r="A1771" i="1"/>
  <c r="M1770" i="1"/>
  <c r="H1770" i="1"/>
  <c r="F1770" i="1"/>
  <c r="A1770" i="1"/>
  <c r="M1769" i="1"/>
  <c r="H1769" i="1"/>
  <c r="F1769" i="1"/>
  <c r="A1769" i="1"/>
  <c r="M1768" i="1"/>
  <c r="H1768" i="1"/>
  <c r="F1768" i="1"/>
  <c r="A1768" i="1"/>
  <c r="M1767" i="1"/>
  <c r="H1767" i="1"/>
  <c r="F1767" i="1"/>
  <c r="A1767" i="1"/>
  <c r="M1766" i="1"/>
  <c r="H1766" i="1"/>
  <c r="F1766" i="1"/>
  <c r="A1766" i="1"/>
  <c r="M1765" i="1"/>
  <c r="H1765" i="1"/>
  <c r="F1765" i="1"/>
  <c r="A1765" i="1"/>
  <c r="M1764" i="1"/>
  <c r="H1764" i="1"/>
  <c r="F1764" i="1"/>
  <c r="A1764" i="1"/>
  <c r="M1763" i="1"/>
  <c r="H1763" i="1"/>
  <c r="F1763" i="1"/>
  <c r="A1763" i="1"/>
  <c r="M1762" i="1"/>
  <c r="H1762" i="1"/>
  <c r="F1762" i="1"/>
  <c r="A1762" i="1"/>
  <c r="M1761" i="1"/>
  <c r="H1761" i="1"/>
  <c r="F1761" i="1"/>
  <c r="A1761" i="1"/>
  <c r="M1760" i="1"/>
  <c r="H1760" i="1"/>
  <c r="F1760" i="1"/>
  <c r="A1760" i="1"/>
  <c r="M1759" i="1"/>
  <c r="H1759" i="1"/>
  <c r="F1759" i="1"/>
  <c r="A1759" i="1"/>
  <c r="M1758" i="1"/>
  <c r="H1758" i="1"/>
  <c r="F1758" i="1"/>
  <c r="A1758" i="1"/>
  <c r="M1757" i="1"/>
  <c r="H1757" i="1"/>
  <c r="F1757" i="1"/>
  <c r="A1757" i="1"/>
  <c r="M1756" i="1"/>
  <c r="H1756" i="1"/>
  <c r="F1756" i="1"/>
  <c r="A1756" i="1"/>
  <c r="M1755" i="1"/>
  <c r="H1755" i="1"/>
  <c r="F1755" i="1"/>
  <c r="A1755" i="1"/>
  <c r="M1754" i="1"/>
  <c r="H1754" i="1"/>
  <c r="F1754" i="1"/>
  <c r="A1754" i="1"/>
  <c r="M1753" i="1"/>
  <c r="H1753" i="1"/>
  <c r="F1753" i="1"/>
  <c r="A1753" i="1"/>
  <c r="M1752" i="1"/>
  <c r="H1752" i="1"/>
  <c r="F1752" i="1"/>
  <c r="A1752" i="1"/>
  <c r="M1751" i="1"/>
  <c r="H1751" i="1"/>
  <c r="F1751" i="1"/>
  <c r="A1751" i="1"/>
  <c r="M1750" i="1"/>
  <c r="H1750" i="1"/>
  <c r="F1750" i="1"/>
  <c r="A1750" i="1"/>
  <c r="M1749" i="1"/>
  <c r="H1749" i="1"/>
  <c r="F1749" i="1"/>
  <c r="A1749" i="1"/>
  <c r="M1748" i="1"/>
  <c r="H1748" i="1"/>
  <c r="F1748" i="1"/>
  <c r="A1748" i="1"/>
  <c r="M1747" i="1"/>
  <c r="H1747" i="1"/>
  <c r="F1747" i="1"/>
  <c r="A1747" i="1"/>
  <c r="M1746" i="1"/>
  <c r="H1746" i="1"/>
  <c r="F1746" i="1"/>
  <c r="A1746" i="1"/>
  <c r="M1745" i="1"/>
  <c r="H1745" i="1"/>
  <c r="F1745" i="1"/>
  <c r="A1745" i="1"/>
  <c r="M1744" i="1"/>
  <c r="H1744" i="1"/>
  <c r="F1744" i="1"/>
  <c r="A1744" i="1"/>
  <c r="M1743" i="1"/>
  <c r="H1743" i="1"/>
  <c r="F1743" i="1"/>
  <c r="A1743" i="1"/>
  <c r="M1742" i="1"/>
  <c r="H1742" i="1"/>
  <c r="F1742" i="1"/>
  <c r="A1742" i="1"/>
  <c r="M1741" i="1"/>
  <c r="H1741" i="1"/>
  <c r="F1741" i="1"/>
  <c r="A1741" i="1"/>
  <c r="M1740" i="1"/>
  <c r="H1740" i="1"/>
  <c r="F1740" i="1"/>
  <c r="A1740" i="1"/>
  <c r="M1739" i="1"/>
  <c r="H1739" i="1"/>
  <c r="F1739" i="1"/>
  <c r="A1739" i="1"/>
  <c r="M1738" i="1"/>
  <c r="H1738" i="1"/>
  <c r="F1738" i="1"/>
  <c r="A1738" i="1"/>
  <c r="M1737" i="1"/>
  <c r="H1737" i="1"/>
  <c r="F1737" i="1"/>
  <c r="A1737" i="1"/>
  <c r="M1736" i="1"/>
  <c r="H1736" i="1"/>
  <c r="F1736" i="1"/>
  <c r="A1736" i="1"/>
  <c r="M1735" i="1"/>
  <c r="H1735" i="1"/>
  <c r="F1735" i="1"/>
  <c r="A1735" i="1"/>
  <c r="M1734" i="1"/>
  <c r="H1734" i="1"/>
  <c r="F1734" i="1"/>
  <c r="A1734" i="1"/>
  <c r="M1733" i="1"/>
  <c r="H1733" i="1"/>
  <c r="F1733" i="1"/>
  <c r="A1733" i="1"/>
  <c r="M1732" i="1"/>
  <c r="H1732" i="1"/>
  <c r="F1732" i="1"/>
  <c r="A1732" i="1"/>
  <c r="M1731" i="1"/>
  <c r="H1731" i="1"/>
  <c r="F1731" i="1"/>
  <c r="A1731" i="1"/>
  <c r="M1730" i="1"/>
  <c r="H1730" i="1"/>
  <c r="F1730" i="1"/>
  <c r="A1730" i="1"/>
  <c r="M1729" i="1"/>
  <c r="H1729" i="1"/>
  <c r="F1729" i="1"/>
  <c r="A1729" i="1"/>
  <c r="M1728" i="1"/>
  <c r="H1728" i="1"/>
  <c r="F1728" i="1"/>
  <c r="A1728" i="1"/>
  <c r="M1727" i="1"/>
  <c r="H1727" i="1"/>
  <c r="F1727" i="1"/>
  <c r="A1727" i="1"/>
  <c r="M1726" i="1"/>
  <c r="H1726" i="1"/>
  <c r="F1726" i="1"/>
  <c r="A1726" i="1"/>
  <c r="M1725" i="1"/>
  <c r="H1725" i="1"/>
  <c r="F1725" i="1"/>
  <c r="A1725" i="1"/>
  <c r="M1724" i="1"/>
  <c r="H1724" i="1"/>
  <c r="F1724" i="1"/>
  <c r="A1724" i="1"/>
  <c r="M1723" i="1"/>
  <c r="H1723" i="1"/>
  <c r="F1723" i="1"/>
  <c r="A1723" i="1"/>
  <c r="M1722" i="1"/>
  <c r="H1722" i="1"/>
  <c r="F1722" i="1"/>
  <c r="A1722" i="1"/>
  <c r="M1721" i="1"/>
  <c r="H1721" i="1"/>
  <c r="F1721" i="1"/>
  <c r="A1721" i="1"/>
  <c r="M1720" i="1"/>
  <c r="H1720" i="1"/>
  <c r="F1720" i="1"/>
  <c r="A1720" i="1"/>
  <c r="M1719" i="1"/>
  <c r="H1719" i="1"/>
  <c r="F1719" i="1"/>
  <c r="A1719" i="1"/>
  <c r="M1718" i="1"/>
  <c r="H1718" i="1"/>
  <c r="F1718" i="1"/>
  <c r="A1718" i="1"/>
  <c r="M1717" i="1"/>
  <c r="H1717" i="1"/>
  <c r="F1717" i="1"/>
  <c r="A1717" i="1"/>
  <c r="M1716" i="1"/>
  <c r="H1716" i="1"/>
  <c r="F1716" i="1"/>
  <c r="A1716" i="1"/>
  <c r="M1715" i="1"/>
  <c r="H1715" i="1"/>
  <c r="F1715" i="1"/>
  <c r="A1715" i="1"/>
  <c r="M1714" i="1"/>
  <c r="H1714" i="1"/>
  <c r="F1714" i="1"/>
  <c r="A1714" i="1"/>
  <c r="M1713" i="1"/>
  <c r="H1713" i="1"/>
  <c r="F1713" i="1"/>
  <c r="A1713" i="1"/>
  <c r="M1712" i="1"/>
  <c r="H1712" i="1"/>
  <c r="F1712" i="1"/>
  <c r="A1712" i="1"/>
  <c r="M1711" i="1"/>
  <c r="H1711" i="1"/>
  <c r="F1711" i="1"/>
  <c r="A1711" i="1"/>
  <c r="M1710" i="1"/>
  <c r="H1710" i="1"/>
  <c r="F1710" i="1"/>
  <c r="A1710" i="1"/>
  <c r="M1709" i="1"/>
  <c r="H1709" i="1"/>
  <c r="F1709" i="1"/>
  <c r="A1709" i="1"/>
  <c r="M1708" i="1"/>
  <c r="H1708" i="1"/>
  <c r="F1708" i="1"/>
  <c r="A1708" i="1"/>
  <c r="M1707" i="1"/>
  <c r="H1707" i="1"/>
  <c r="F1707" i="1"/>
  <c r="A1707" i="1"/>
  <c r="M1706" i="1"/>
  <c r="H1706" i="1"/>
  <c r="F1706" i="1"/>
  <c r="A1706" i="1"/>
  <c r="M1705" i="1"/>
  <c r="H1705" i="1"/>
  <c r="F1705" i="1"/>
  <c r="A1705" i="1"/>
  <c r="M1704" i="1"/>
  <c r="H1704" i="1"/>
  <c r="F1704" i="1"/>
  <c r="A1704" i="1"/>
  <c r="M1703" i="1"/>
  <c r="H1703" i="1"/>
  <c r="F1703" i="1"/>
  <c r="A1703" i="1"/>
  <c r="M1702" i="1"/>
  <c r="H1702" i="1"/>
  <c r="F1702" i="1"/>
  <c r="A1702" i="1"/>
  <c r="M1701" i="1"/>
  <c r="H1701" i="1"/>
  <c r="F1701" i="1"/>
  <c r="A1701" i="1"/>
  <c r="M1700" i="1"/>
  <c r="H1700" i="1"/>
  <c r="F1700" i="1"/>
  <c r="A1700" i="1"/>
  <c r="M1699" i="1"/>
  <c r="H1699" i="1"/>
  <c r="F1699" i="1"/>
  <c r="A1699" i="1"/>
  <c r="M1698" i="1"/>
  <c r="H1698" i="1"/>
  <c r="F1698" i="1"/>
  <c r="A1698" i="1"/>
  <c r="M1697" i="1"/>
  <c r="H1697" i="1"/>
  <c r="F1697" i="1"/>
  <c r="A1697" i="1"/>
  <c r="M1696" i="1"/>
  <c r="H1696" i="1"/>
  <c r="F1696" i="1"/>
  <c r="A1696" i="1"/>
  <c r="M1695" i="1"/>
  <c r="H1695" i="1"/>
  <c r="F1695" i="1"/>
  <c r="A1695" i="1"/>
  <c r="M1694" i="1"/>
  <c r="H1694" i="1"/>
  <c r="F1694" i="1"/>
  <c r="A1694" i="1"/>
  <c r="M1693" i="1"/>
  <c r="H1693" i="1"/>
  <c r="F1693" i="1"/>
  <c r="A1693" i="1"/>
  <c r="M1692" i="1"/>
  <c r="H1692" i="1"/>
  <c r="F1692" i="1"/>
  <c r="A1692" i="1"/>
  <c r="M1691" i="1"/>
  <c r="H1691" i="1"/>
  <c r="F1691" i="1"/>
  <c r="A1691" i="1"/>
  <c r="M1690" i="1"/>
  <c r="H1690" i="1"/>
  <c r="F1690" i="1"/>
  <c r="A1690" i="1"/>
  <c r="M1689" i="1"/>
  <c r="H1689" i="1"/>
  <c r="F1689" i="1"/>
  <c r="A1689" i="1"/>
  <c r="M1688" i="1"/>
  <c r="H1688" i="1"/>
  <c r="F1688" i="1"/>
  <c r="A1688" i="1"/>
  <c r="M1687" i="1"/>
  <c r="H1687" i="1"/>
  <c r="F1687" i="1"/>
  <c r="A1687" i="1"/>
  <c r="M1686" i="1"/>
  <c r="H1686" i="1"/>
  <c r="F1686" i="1"/>
  <c r="A1686" i="1"/>
  <c r="M1685" i="1"/>
  <c r="H1685" i="1"/>
  <c r="F1685" i="1"/>
  <c r="A1685" i="1"/>
  <c r="M1684" i="1"/>
  <c r="H1684" i="1"/>
  <c r="F1684" i="1"/>
  <c r="A1684" i="1"/>
  <c r="M1683" i="1"/>
  <c r="H1683" i="1"/>
  <c r="F1683" i="1"/>
  <c r="A1683" i="1"/>
  <c r="M1682" i="1"/>
  <c r="H1682" i="1"/>
  <c r="F1682" i="1"/>
  <c r="A1682" i="1"/>
  <c r="M1681" i="1"/>
  <c r="H1681" i="1"/>
  <c r="F1681" i="1"/>
  <c r="A1681" i="1"/>
  <c r="M1680" i="1"/>
  <c r="H1680" i="1"/>
  <c r="F1680" i="1"/>
  <c r="A1680" i="1"/>
  <c r="M1679" i="1"/>
  <c r="H1679" i="1"/>
  <c r="F1679" i="1"/>
  <c r="A1679" i="1"/>
  <c r="M1678" i="1"/>
  <c r="H1678" i="1"/>
  <c r="F1678" i="1"/>
  <c r="A1678" i="1"/>
  <c r="M1677" i="1"/>
  <c r="H1677" i="1"/>
  <c r="F1677" i="1"/>
  <c r="A1677" i="1"/>
  <c r="M1676" i="1"/>
  <c r="H1676" i="1"/>
  <c r="F1676" i="1"/>
  <c r="A1676" i="1"/>
  <c r="M1675" i="1"/>
  <c r="H1675" i="1"/>
  <c r="F1675" i="1"/>
  <c r="A1675" i="1"/>
  <c r="M1674" i="1"/>
  <c r="H1674" i="1"/>
  <c r="F1674" i="1"/>
  <c r="A1674" i="1"/>
  <c r="M1673" i="1"/>
  <c r="H1673" i="1"/>
  <c r="F1673" i="1"/>
  <c r="A1673" i="1"/>
  <c r="M1672" i="1"/>
  <c r="H1672" i="1"/>
  <c r="F1672" i="1"/>
  <c r="A1672" i="1"/>
  <c r="M1671" i="1"/>
  <c r="H1671" i="1"/>
  <c r="F1671" i="1"/>
  <c r="A1671" i="1"/>
  <c r="M1670" i="1"/>
  <c r="H1670" i="1"/>
  <c r="F1670" i="1"/>
  <c r="A1670" i="1"/>
  <c r="M1669" i="1"/>
  <c r="H1669" i="1"/>
  <c r="F1669" i="1"/>
  <c r="A1669" i="1"/>
  <c r="M1668" i="1"/>
  <c r="H1668" i="1"/>
  <c r="F1668" i="1"/>
  <c r="A1668" i="1"/>
  <c r="M1667" i="1"/>
  <c r="H1667" i="1"/>
  <c r="F1667" i="1"/>
  <c r="A1667" i="1"/>
  <c r="M1666" i="1"/>
  <c r="H1666" i="1"/>
  <c r="F1666" i="1"/>
  <c r="A1666" i="1"/>
  <c r="M1665" i="1"/>
  <c r="H1665" i="1"/>
  <c r="F1665" i="1"/>
  <c r="A1665" i="1"/>
  <c r="M1664" i="1"/>
  <c r="H1664" i="1"/>
  <c r="F1664" i="1"/>
  <c r="A1664" i="1"/>
  <c r="M1663" i="1"/>
  <c r="H1663" i="1"/>
  <c r="F1663" i="1"/>
  <c r="A1663" i="1"/>
  <c r="M1662" i="1"/>
  <c r="H1662" i="1"/>
  <c r="F1662" i="1"/>
  <c r="A1662" i="1"/>
  <c r="M1661" i="1"/>
  <c r="H1661" i="1"/>
  <c r="F1661" i="1"/>
  <c r="A1661" i="1"/>
  <c r="M1660" i="1"/>
  <c r="H1660" i="1"/>
  <c r="F1660" i="1"/>
  <c r="A1660" i="1"/>
  <c r="M1659" i="1"/>
  <c r="H1659" i="1"/>
  <c r="F1659" i="1"/>
  <c r="A1659" i="1"/>
  <c r="M1658" i="1"/>
  <c r="H1658" i="1"/>
  <c r="F1658" i="1"/>
  <c r="A1658" i="1"/>
  <c r="M1657" i="1"/>
  <c r="H1657" i="1"/>
  <c r="F1657" i="1"/>
  <c r="A1657" i="1"/>
  <c r="M1656" i="1"/>
  <c r="H1656" i="1"/>
  <c r="F1656" i="1"/>
  <c r="A1656" i="1"/>
  <c r="M1655" i="1"/>
  <c r="H1655" i="1"/>
  <c r="F1655" i="1"/>
  <c r="A1655" i="1"/>
  <c r="M1654" i="1"/>
  <c r="H1654" i="1"/>
  <c r="F1654" i="1"/>
  <c r="A1654" i="1"/>
  <c r="M1653" i="1"/>
  <c r="H1653" i="1"/>
  <c r="F1653" i="1"/>
  <c r="A1653" i="1"/>
  <c r="M1652" i="1"/>
  <c r="H1652" i="1"/>
  <c r="F1652" i="1"/>
  <c r="A1652" i="1"/>
  <c r="M1651" i="1"/>
  <c r="H1651" i="1"/>
  <c r="F1651" i="1"/>
  <c r="A1651" i="1"/>
  <c r="M1650" i="1"/>
  <c r="H1650" i="1"/>
  <c r="F1650" i="1"/>
  <c r="A1650" i="1"/>
  <c r="M1649" i="1"/>
  <c r="H1649" i="1"/>
  <c r="F1649" i="1"/>
  <c r="A1649" i="1"/>
  <c r="M1648" i="1"/>
  <c r="H1648" i="1"/>
  <c r="F1648" i="1"/>
  <c r="A1648" i="1"/>
  <c r="M1647" i="1"/>
  <c r="H1647" i="1"/>
  <c r="F1647" i="1"/>
  <c r="A1647" i="1"/>
  <c r="M1646" i="1"/>
  <c r="H1646" i="1"/>
  <c r="F1646" i="1"/>
  <c r="A1646" i="1"/>
  <c r="M1645" i="1"/>
  <c r="H1645" i="1"/>
  <c r="F1645" i="1"/>
  <c r="A1645" i="1"/>
  <c r="M1644" i="1"/>
  <c r="H1644" i="1"/>
  <c r="F1644" i="1"/>
  <c r="A1644" i="1"/>
  <c r="M1643" i="1"/>
  <c r="H1643" i="1"/>
  <c r="F1643" i="1"/>
  <c r="A1643" i="1"/>
  <c r="M1642" i="1"/>
  <c r="H1642" i="1"/>
  <c r="F1642" i="1"/>
  <c r="A1642" i="1"/>
  <c r="M1641" i="1"/>
  <c r="H1641" i="1"/>
  <c r="F1641" i="1"/>
  <c r="A1641" i="1"/>
  <c r="M1640" i="1"/>
  <c r="H1640" i="1"/>
  <c r="F1640" i="1"/>
  <c r="A1640" i="1"/>
  <c r="M1639" i="1"/>
  <c r="H1639" i="1"/>
  <c r="F1639" i="1"/>
  <c r="A1639" i="1"/>
  <c r="M1638" i="1"/>
  <c r="H1638" i="1"/>
  <c r="F1638" i="1"/>
  <c r="A1638" i="1"/>
  <c r="M1637" i="1"/>
  <c r="H1637" i="1"/>
  <c r="F1637" i="1"/>
  <c r="A1637" i="1"/>
  <c r="M1636" i="1"/>
  <c r="H1636" i="1"/>
  <c r="F1636" i="1"/>
  <c r="A1636" i="1"/>
  <c r="M1635" i="1"/>
  <c r="H1635" i="1"/>
  <c r="F1635" i="1"/>
  <c r="A1635" i="1"/>
  <c r="M1634" i="1"/>
  <c r="H1634" i="1"/>
  <c r="F1634" i="1"/>
  <c r="A1634" i="1"/>
  <c r="M1633" i="1"/>
  <c r="H1633" i="1"/>
  <c r="F1633" i="1"/>
  <c r="A1633" i="1"/>
  <c r="M1632" i="1"/>
  <c r="H1632" i="1"/>
  <c r="F1632" i="1"/>
  <c r="A1632" i="1"/>
  <c r="M1631" i="1"/>
  <c r="H1631" i="1"/>
  <c r="F1631" i="1"/>
  <c r="A1631" i="1"/>
  <c r="M1630" i="1"/>
  <c r="H1630" i="1"/>
  <c r="F1630" i="1"/>
  <c r="A1630" i="1"/>
  <c r="M1629" i="1"/>
  <c r="H1629" i="1"/>
  <c r="F1629" i="1"/>
  <c r="A1629" i="1"/>
  <c r="M1628" i="1"/>
  <c r="H1628" i="1"/>
  <c r="F1628" i="1"/>
  <c r="A1628" i="1"/>
  <c r="M1627" i="1"/>
  <c r="H1627" i="1"/>
  <c r="F1627" i="1"/>
  <c r="A1627" i="1"/>
  <c r="M1626" i="1"/>
  <c r="H1626" i="1"/>
  <c r="F1626" i="1"/>
  <c r="A1626" i="1"/>
  <c r="M1625" i="1"/>
  <c r="H1625" i="1"/>
  <c r="F1625" i="1"/>
  <c r="A1625" i="1"/>
  <c r="M1624" i="1"/>
  <c r="H1624" i="1"/>
  <c r="F1624" i="1"/>
  <c r="A1624" i="1"/>
  <c r="M1623" i="1"/>
  <c r="H1623" i="1"/>
  <c r="F1623" i="1"/>
  <c r="A1623" i="1"/>
  <c r="M1622" i="1"/>
  <c r="H1622" i="1"/>
  <c r="F1622" i="1"/>
  <c r="A1622" i="1"/>
  <c r="M1621" i="1"/>
  <c r="H1621" i="1"/>
  <c r="F1621" i="1"/>
  <c r="A1621" i="1"/>
  <c r="M1620" i="1"/>
  <c r="H1620" i="1"/>
  <c r="F1620" i="1"/>
  <c r="A1620" i="1"/>
  <c r="M1619" i="1"/>
  <c r="H1619" i="1"/>
  <c r="F1619" i="1"/>
  <c r="A1619" i="1"/>
  <c r="M1618" i="1"/>
  <c r="H1618" i="1"/>
  <c r="F1618" i="1"/>
  <c r="A1618" i="1"/>
  <c r="M1617" i="1"/>
  <c r="H1617" i="1"/>
  <c r="F1617" i="1"/>
  <c r="A1617" i="1"/>
  <c r="M1616" i="1"/>
  <c r="H1616" i="1"/>
  <c r="F1616" i="1"/>
  <c r="A1616" i="1"/>
  <c r="M1615" i="1"/>
  <c r="H1615" i="1"/>
  <c r="F1615" i="1"/>
  <c r="A1615" i="1"/>
  <c r="M1614" i="1"/>
  <c r="H1614" i="1"/>
  <c r="F1614" i="1"/>
  <c r="A1614" i="1"/>
  <c r="M1613" i="1"/>
  <c r="H1613" i="1"/>
  <c r="F1613" i="1"/>
  <c r="A1613" i="1"/>
  <c r="M1612" i="1"/>
  <c r="H1612" i="1"/>
  <c r="F1612" i="1"/>
  <c r="A1612" i="1"/>
  <c r="M1611" i="1"/>
  <c r="H1611" i="1"/>
  <c r="F1611" i="1"/>
  <c r="A1611" i="1"/>
  <c r="M1610" i="1"/>
  <c r="H1610" i="1"/>
  <c r="F1610" i="1"/>
  <c r="A1610" i="1"/>
  <c r="M1609" i="1"/>
  <c r="H1609" i="1"/>
  <c r="F1609" i="1"/>
  <c r="A1609" i="1"/>
  <c r="M1608" i="1"/>
  <c r="H1608" i="1"/>
  <c r="F1608" i="1"/>
  <c r="A1608" i="1"/>
  <c r="M1607" i="1"/>
  <c r="H1607" i="1"/>
  <c r="F1607" i="1"/>
  <c r="A1607" i="1"/>
  <c r="M1606" i="1"/>
  <c r="H1606" i="1"/>
  <c r="F1606" i="1"/>
  <c r="A1606" i="1"/>
  <c r="M1605" i="1"/>
  <c r="H1605" i="1"/>
  <c r="F1605" i="1"/>
  <c r="A1605" i="1"/>
  <c r="M1604" i="1"/>
  <c r="H1604" i="1"/>
  <c r="F1604" i="1"/>
  <c r="A1604" i="1"/>
  <c r="M1603" i="1"/>
  <c r="H1603" i="1"/>
  <c r="F1603" i="1"/>
  <c r="A1603" i="1"/>
  <c r="M1602" i="1"/>
  <c r="H1602" i="1"/>
  <c r="F1602" i="1"/>
  <c r="A1602" i="1"/>
  <c r="M1601" i="1"/>
  <c r="H1601" i="1"/>
  <c r="F1601" i="1"/>
  <c r="A1601" i="1"/>
  <c r="M1600" i="1"/>
  <c r="H1600" i="1"/>
  <c r="F1600" i="1"/>
  <c r="A1600" i="1"/>
  <c r="M1599" i="1"/>
  <c r="H1599" i="1"/>
  <c r="F1599" i="1"/>
  <c r="A1599" i="1"/>
  <c r="M1598" i="1"/>
  <c r="H1598" i="1"/>
  <c r="F1598" i="1"/>
  <c r="A1598" i="1"/>
  <c r="M1597" i="1"/>
  <c r="H1597" i="1"/>
  <c r="F1597" i="1"/>
  <c r="A1597" i="1"/>
  <c r="M1596" i="1"/>
  <c r="H1596" i="1"/>
  <c r="F1596" i="1"/>
  <c r="A1596" i="1"/>
  <c r="M1595" i="1"/>
  <c r="H1595" i="1"/>
  <c r="F1595" i="1"/>
  <c r="A1595" i="1"/>
  <c r="M1594" i="1"/>
  <c r="H1594" i="1"/>
  <c r="F1594" i="1"/>
  <c r="A1594" i="1"/>
  <c r="M1593" i="1"/>
  <c r="H1593" i="1"/>
  <c r="F1593" i="1"/>
  <c r="A1593" i="1"/>
  <c r="M1592" i="1"/>
  <c r="H1592" i="1"/>
  <c r="F1592" i="1"/>
  <c r="A1592" i="1"/>
  <c r="M1591" i="1"/>
  <c r="H1591" i="1"/>
  <c r="F1591" i="1"/>
  <c r="A1591" i="1"/>
  <c r="M1590" i="1"/>
  <c r="H1590" i="1"/>
  <c r="F1590" i="1"/>
  <c r="A1590" i="1"/>
  <c r="M1589" i="1"/>
  <c r="H1589" i="1"/>
  <c r="F1589" i="1"/>
  <c r="A1589" i="1"/>
  <c r="M1588" i="1"/>
  <c r="H1588" i="1"/>
  <c r="F1588" i="1"/>
  <c r="A1588" i="1"/>
  <c r="M1587" i="1"/>
  <c r="H1587" i="1"/>
  <c r="F1587" i="1"/>
  <c r="A1587" i="1"/>
  <c r="M1586" i="1"/>
  <c r="H1586" i="1"/>
  <c r="F1586" i="1"/>
  <c r="A1586" i="1"/>
  <c r="M1585" i="1"/>
  <c r="H1585" i="1"/>
  <c r="F1585" i="1"/>
  <c r="A1585" i="1"/>
  <c r="M1584" i="1"/>
  <c r="H1584" i="1"/>
  <c r="F1584" i="1"/>
  <c r="A1584" i="1"/>
  <c r="M1583" i="1"/>
  <c r="H1583" i="1"/>
  <c r="F1583" i="1"/>
  <c r="A1583" i="1"/>
  <c r="M1582" i="1"/>
  <c r="H1582" i="1"/>
  <c r="F1582" i="1"/>
  <c r="A1582" i="1"/>
  <c r="M1581" i="1"/>
  <c r="H1581" i="1"/>
  <c r="F1581" i="1"/>
  <c r="A1581" i="1"/>
  <c r="M1580" i="1"/>
  <c r="H1580" i="1"/>
  <c r="F1580" i="1"/>
  <c r="A1580" i="1"/>
  <c r="M1579" i="1"/>
  <c r="H1579" i="1"/>
  <c r="F1579" i="1"/>
  <c r="A1579" i="1"/>
  <c r="M1578" i="1"/>
  <c r="H1578" i="1"/>
  <c r="F1578" i="1"/>
  <c r="A1578" i="1"/>
  <c r="M1577" i="1"/>
  <c r="H1577" i="1"/>
  <c r="F1577" i="1"/>
  <c r="A1577" i="1"/>
  <c r="M1576" i="1"/>
  <c r="H1576" i="1"/>
  <c r="F1576" i="1"/>
  <c r="A1576" i="1"/>
  <c r="M1575" i="1"/>
  <c r="H1575" i="1"/>
  <c r="F1575" i="1"/>
  <c r="A1575" i="1"/>
  <c r="M1574" i="1"/>
  <c r="H1574" i="1"/>
  <c r="F1574" i="1"/>
  <c r="A1574" i="1"/>
  <c r="M1573" i="1"/>
  <c r="H1573" i="1"/>
  <c r="F1573" i="1"/>
  <c r="A1573" i="1"/>
  <c r="M1572" i="1"/>
  <c r="H1572" i="1"/>
  <c r="F1572" i="1"/>
  <c r="A1572" i="1"/>
  <c r="M1571" i="1"/>
  <c r="H1571" i="1"/>
  <c r="F1571" i="1"/>
  <c r="A1571" i="1"/>
  <c r="M1570" i="1"/>
  <c r="H1570" i="1"/>
  <c r="F1570" i="1"/>
  <c r="A1570" i="1"/>
  <c r="M1569" i="1"/>
  <c r="H1569" i="1"/>
  <c r="F1569" i="1"/>
  <c r="A1569" i="1"/>
  <c r="M1568" i="1"/>
  <c r="H1568" i="1"/>
  <c r="F1568" i="1"/>
  <c r="A1568" i="1"/>
  <c r="M1567" i="1"/>
  <c r="H1567" i="1"/>
  <c r="F1567" i="1"/>
  <c r="A1567" i="1"/>
  <c r="M1566" i="1"/>
  <c r="H1566" i="1"/>
  <c r="F1566" i="1"/>
  <c r="A1566" i="1"/>
  <c r="M1565" i="1"/>
  <c r="H1565" i="1"/>
  <c r="F1565" i="1"/>
  <c r="A1565" i="1"/>
  <c r="M1564" i="1"/>
  <c r="H1564" i="1"/>
  <c r="F1564" i="1"/>
  <c r="A1564" i="1"/>
  <c r="M1563" i="1"/>
  <c r="H1563" i="1"/>
  <c r="F1563" i="1"/>
  <c r="A1563" i="1"/>
  <c r="M1562" i="1"/>
  <c r="H1562" i="1"/>
  <c r="F1562" i="1"/>
  <c r="A1562" i="1"/>
  <c r="M1561" i="1"/>
  <c r="H1561" i="1"/>
  <c r="F1561" i="1"/>
  <c r="A1561" i="1"/>
  <c r="M1560" i="1"/>
  <c r="H1560" i="1"/>
  <c r="F1560" i="1"/>
  <c r="A1560" i="1"/>
  <c r="M1559" i="1"/>
  <c r="H1559" i="1"/>
  <c r="F1559" i="1"/>
  <c r="A1559" i="1"/>
  <c r="M1558" i="1"/>
  <c r="H1558" i="1"/>
  <c r="F1558" i="1"/>
  <c r="A1558" i="1"/>
  <c r="M1557" i="1"/>
  <c r="H1557" i="1"/>
  <c r="F1557" i="1"/>
  <c r="A1557" i="1"/>
  <c r="M1556" i="1"/>
  <c r="H1556" i="1"/>
  <c r="F1556" i="1"/>
  <c r="A1556" i="1"/>
  <c r="M1555" i="1"/>
  <c r="H1555" i="1"/>
  <c r="F1555" i="1"/>
  <c r="A1555" i="1"/>
  <c r="M1554" i="1"/>
  <c r="H1554" i="1"/>
  <c r="F1554" i="1"/>
  <c r="A1554" i="1"/>
  <c r="M1553" i="1"/>
  <c r="H1553" i="1"/>
  <c r="F1553" i="1"/>
  <c r="A1553" i="1"/>
  <c r="M1552" i="1"/>
  <c r="H1552" i="1"/>
  <c r="F1552" i="1"/>
  <c r="A1552" i="1"/>
  <c r="M1551" i="1"/>
  <c r="H1551" i="1"/>
  <c r="F1551" i="1"/>
  <c r="A1551" i="1"/>
  <c r="M1550" i="1"/>
  <c r="H1550" i="1"/>
  <c r="F1550" i="1"/>
  <c r="A1550" i="1"/>
  <c r="M1549" i="1"/>
  <c r="H1549" i="1"/>
  <c r="F1549" i="1"/>
  <c r="A1549" i="1"/>
  <c r="M1548" i="1"/>
  <c r="H1548" i="1"/>
  <c r="F1548" i="1"/>
  <c r="A1548" i="1"/>
  <c r="M1547" i="1"/>
  <c r="H1547" i="1"/>
  <c r="F1547" i="1"/>
  <c r="A1547" i="1"/>
  <c r="M1546" i="1"/>
  <c r="H1546" i="1"/>
  <c r="F1546" i="1"/>
  <c r="A1546" i="1"/>
  <c r="M1545" i="1"/>
  <c r="H1545" i="1"/>
  <c r="F1545" i="1"/>
  <c r="A1545" i="1"/>
  <c r="M1544" i="1"/>
  <c r="H1544" i="1"/>
  <c r="F1544" i="1"/>
  <c r="A1544" i="1"/>
  <c r="M1543" i="1"/>
  <c r="H1543" i="1"/>
  <c r="F1543" i="1"/>
  <c r="A1543" i="1"/>
  <c r="M1542" i="1"/>
  <c r="H1542" i="1"/>
  <c r="F1542" i="1"/>
  <c r="A1542" i="1"/>
  <c r="M1541" i="1"/>
  <c r="H1541" i="1"/>
  <c r="F1541" i="1"/>
  <c r="A1541" i="1"/>
  <c r="M1540" i="1"/>
  <c r="H1540" i="1"/>
  <c r="F1540" i="1"/>
  <c r="A1540" i="1"/>
  <c r="M1539" i="1"/>
  <c r="H1539" i="1"/>
  <c r="F1539" i="1"/>
  <c r="A1539" i="1"/>
  <c r="M1538" i="1"/>
  <c r="H1538" i="1"/>
  <c r="F1538" i="1"/>
  <c r="A1538" i="1"/>
  <c r="M1537" i="1"/>
  <c r="H1537" i="1"/>
  <c r="F1537" i="1"/>
  <c r="A1537" i="1"/>
  <c r="M1536" i="1"/>
  <c r="H1536" i="1"/>
  <c r="F1536" i="1"/>
  <c r="A1536" i="1"/>
  <c r="M1535" i="1"/>
  <c r="H1535" i="1"/>
  <c r="F1535" i="1"/>
  <c r="A1535" i="1"/>
  <c r="M1534" i="1"/>
  <c r="H1534" i="1"/>
  <c r="F1534" i="1"/>
  <c r="A1534" i="1"/>
  <c r="M1533" i="1"/>
  <c r="H1533" i="1"/>
  <c r="F1533" i="1"/>
  <c r="A1533" i="1"/>
  <c r="M1532" i="1"/>
  <c r="H1532" i="1"/>
  <c r="F1532" i="1"/>
  <c r="A1532" i="1"/>
  <c r="M1531" i="1"/>
  <c r="H1531" i="1"/>
  <c r="F1531" i="1"/>
  <c r="A1531" i="1"/>
  <c r="M1530" i="1"/>
  <c r="H1530" i="1"/>
  <c r="F1530" i="1"/>
  <c r="A1530" i="1"/>
  <c r="M1529" i="1"/>
  <c r="H1529" i="1"/>
  <c r="F1529" i="1"/>
  <c r="A1529" i="1"/>
  <c r="M1528" i="1"/>
  <c r="H1528" i="1"/>
  <c r="F1528" i="1"/>
  <c r="A1528" i="1"/>
  <c r="M1527" i="1"/>
  <c r="H1527" i="1"/>
  <c r="F1527" i="1"/>
  <c r="A1527" i="1"/>
  <c r="M1526" i="1"/>
  <c r="H1526" i="1"/>
  <c r="F1526" i="1"/>
  <c r="A1526" i="1"/>
  <c r="M1525" i="1"/>
  <c r="H1525" i="1"/>
  <c r="F1525" i="1"/>
  <c r="A1525" i="1"/>
  <c r="M1524" i="1"/>
  <c r="H1524" i="1"/>
  <c r="F1524" i="1"/>
  <c r="A1524" i="1"/>
  <c r="M1523" i="1"/>
  <c r="H1523" i="1"/>
  <c r="F1523" i="1"/>
  <c r="A1523" i="1"/>
  <c r="M1522" i="1"/>
  <c r="H1522" i="1"/>
  <c r="F1522" i="1"/>
  <c r="A1522" i="1"/>
  <c r="M1521" i="1"/>
  <c r="H1521" i="1"/>
  <c r="F1521" i="1"/>
  <c r="A1521" i="1"/>
  <c r="M1520" i="1"/>
  <c r="H1520" i="1"/>
  <c r="F1520" i="1"/>
  <c r="A1520" i="1"/>
  <c r="M1519" i="1"/>
  <c r="H1519" i="1"/>
  <c r="F1519" i="1"/>
  <c r="A1519" i="1"/>
  <c r="M1518" i="1"/>
  <c r="H1518" i="1"/>
  <c r="F1518" i="1"/>
  <c r="A1518" i="1"/>
  <c r="M1517" i="1"/>
  <c r="H1517" i="1"/>
  <c r="F1517" i="1"/>
  <c r="A1517" i="1"/>
  <c r="M1516" i="1"/>
  <c r="H1516" i="1"/>
  <c r="F1516" i="1"/>
  <c r="A1516" i="1"/>
  <c r="M1515" i="1"/>
  <c r="H1515" i="1"/>
  <c r="F1515" i="1"/>
  <c r="A1515" i="1"/>
  <c r="M1514" i="1"/>
  <c r="H1514" i="1"/>
  <c r="F1514" i="1"/>
  <c r="A1514" i="1"/>
  <c r="M1513" i="1"/>
  <c r="H1513" i="1"/>
  <c r="F1513" i="1"/>
  <c r="A1513" i="1"/>
  <c r="M1512" i="1"/>
  <c r="H1512" i="1"/>
  <c r="F1512" i="1"/>
  <c r="A1512" i="1"/>
  <c r="M1511" i="1"/>
  <c r="H1511" i="1"/>
  <c r="F1511" i="1"/>
  <c r="A1511" i="1"/>
  <c r="M1510" i="1"/>
  <c r="H1510" i="1"/>
  <c r="F1510" i="1"/>
  <c r="A1510" i="1"/>
  <c r="M1509" i="1"/>
  <c r="H1509" i="1"/>
  <c r="F1509" i="1"/>
  <c r="A1509" i="1"/>
  <c r="M1508" i="1"/>
  <c r="H1508" i="1"/>
  <c r="F1508" i="1"/>
  <c r="A1508" i="1"/>
  <c r="M1507" i="1"/>
  <c r="H1507" i="1"/>
  <c r="F1507" i="1"/>
  <c r="A1507" i="1"/>
  <c r="M1506" i="1"/>
  <c r="H1506" i="1"/>
  <c r="F1506" i="1"/>
  <c r="A1506" i="1"/>
  <c r="M1505" i="1"/>
  <c r="H1505" i="1"/>
  <c r="F1505" i="1"/>
  <c r="A1505" i="1"/>
  <c r="M1504" i="1"/>
  <c r="H1504" i="1"/>
  <c r="F1504" i="1"/>
  <c r="A1504" i="1"/>
  <c r="M1503" i="1"/>
  <c r="H1503" i="1"/>
  <c r="F1503" i="1"/>
  <c r="A1503" i="1"/>
  <c r="M1502" i="1"/>
  <c r="H1502" i="1"/>
  <c r="F1502" i="1"/>
  <c r="A1502" i="1"/>
  <c r="M1501" i="1"/>
  <c r="H1501" i="1"/>
  <c r="F1501" i="1"/>
  <c r="A1501" i="1"/>
  <c r="M1500" i="1"/>
  <c r="H1500" i="1"/>
  <c r="F1500" i="1"/>
  <c r="A1500" i="1"/>
  <c r="M1499" i="1"/>
  <c r="H1499" i="1"/>
  <c r="F1499" i="1"/>
  <c r="A1499" i="1"/>
  <c r="M1498" i="1"/>
  <c r="H1498" i="1"/>
  <c r="F1498" i="1"/>
  <c r="A1498" i="1"/>
  <c r="M1497" i="1"/>
  <c r="H1497" i="1"/>
  <c r="F1497" i="1"/>
  <c r="A1497" i="1"/>
  <c r="M1496" i="1"/>
  <c r="H1496" i="1"/>
  <c r="F1496" i="1"/>
  <c r="A1496" i="1"/>
  <c r="M1495" i="1"/>
  <c r="H1495" i="1"/>
  <c r="F1495" i="1"/>
  <c r="A1495" i="1"/>
  <c r="M1494" i="1"/>
  <c r="H1494" i="1"/>
  <c r="F1494" i="1"/>
  <c r="A1494" i="1"/>
  <c r="M1493" i="1"/>
  <c r="H1493" i="1"/>
  <c r="F1493" i="1"/>
  <c r="A1493" i="1"/>
  <c r="M1492" i="1"/>
  <c r="H1492" i="1"/>
  <c r="F1492" i="1"/>
  <c r="A1492" i="1"/>
  <c r="M1491" i="1"/>
  <c r="H1491" i="1"/>
  <c r="F1491" i="1"/>
  <c r="A1491" i="1"/>
  <c r="M1490" i="1"/>
  <c r="H1490" i="1"/>
  <c r="F1490" i="1"/>
  <c r="A1490" i="1"/>
  <c r="M1489" i="1"/>
  <c r="H1489" i="1"/>
  <c r="F1489" i="1"/>
  <c r="A1489" i="1"/>
  <c r="M1488" i="1"/>
  <c r="H1488" i="1"/>
  <c r="F1488" i="1"/>
  <c r="A1488" i="1"/>
  <c r="M1487" i="1"/>
  <c r="H1487" i="1"/>
  <c r="F1487" i="1"/>
  <c r="A1487" i="1"/>
  <c r="M1486" i="1"/>
  <c r="H1486" i="1"/>
  <c r="F1486" i="1"/>
  <c r="A1486" i="1"/>
  <c r="M1485" i="1"/>
  <c r="H1485" i="1"/>
  <c r="F1485" i="1"/>
  <c r="A1485" i="1"/>
  <c r="M1484" i="1"/>
  <c r="H1484" i="1"/>
  <c r="F1484" i="1"/>
  <c r="A1484" i="1"/>
  <c r="M1483" i="1"/>
  <c r="H1483" i="1"/>
  <c r="F1483" i="1"/>
  <c r="A1483" i="1"/>
  <c r="M1482" i="1"/>
  <c r="H1482" i="1"/>
  <c r="F1482" i="1"/>
  <c r="A1482" i="1"/>
  <c r="M1481" i="1"/>
  <c r="H1481" i="1"/>
  <c r="F1481" i="1"/>
  <c r="A1481" i="1"/>
  <c r="M1480" i="1"/>
  <c r="H1480" i="1"/>
  <c r="F1480" i="1"/>
  <c r="A1480" i="1"/>
  <c r="M1479" i="1"/>
  <c r="H1479" i="1"/>
  <c r="F1479" i="1"/>
  <c r="A1479" i="1"/>
  <c r="M1478" i="1"/>
  <c r="H1478" i="1"/>
  <c r="F1478" i="1"/>
  <c r="A1478" i="1"/>
  <c r="M1477" i="1"/>
  <c r="H1477" i="1"/>
  <c r="F1477" i="1"/>
  <c r="A1477" i="1"/>
  <c r="M1476" i="1"/>
  <c r="H1476" i="1"/>
  <c r="F1476" i="1"/>
  <c r="A1476" i="1"/>
  <c r="M1475" i="1"/>
  <c r="H1475" i="1"/>
  <c r="F1475" i="1"/>
  <c r="A1475" i="1"/>
  <c r="M1474" i="1"/>
  <c r="H1474" i="1"/>
  <c r="F1474" i="1"/>
  <c r="A1474" i="1"/>
  <c r="M1473" i="1"/>
  <c r="H1473" i="1"/>
  <c r="F1473" i="1"/>
  <c r="A1473" i="1"/>
  <c r="M1472" i="1"/>
  <c r="H1472" i="1"/>
  <c r="F1472" i="1"/>
  <c r="A1472" i="1"/>
  <c r="M1471" i="1"/>
  <c r="H1471" i="1"/>
  <c r="F1471" i="1"/>
  <c r="A1471" i="1"/>
  <c r="M1470" i="1"/>
  <c r="H1470" i="1"/>
  <c r="F1470" i="1"/>
  <c r="A1470" i="1"/>
  <c r="M1469" i="1"/>
  <c r="H1469" i="1"/>
  <c r="F1469" i="1"/>
  <c r="A1469" i="1"/>
  <c r="M1468" i="1"/>
  <c r="H1468" i="1"/>
  <c r="F1468" i="1"/>
  <c r="A1468" i="1"/>
  <c r="M1467" i="1"/>
  <c r="H1467" i="1"/>
  <c r="F1467" i="1"/>
  <c r="A1467" i="1"/>
  <c r="M1466" i="1"/>
  <c r="H1466" i="1"/>
  <c r="F1466" i="1"/>
  <c r="A1466" i="1"/>
  <c r="M1465" i="1"/>
  <c r="H1465" i="1"/>
  <c r="F1465" i="1"/>
  <c r="A1465" i="1"/>
  <c r="M1464" i="1"/>
  <c r="H1464" i="1"/>
  <c r="F1464" i="1"/>
  <c r="A1464" i="1"/>
  <c r="M1463" i="1"/>
  <c r="H1463" i="1"/>
  <c r="F1463" i="1"/>
  <c r="A1463" i="1"/>
  <c r="M1462" i="1"/>
  <c r="H1462" i="1"/>
  <c r="F1462" i="1"/>
  <c r="A1462" i="1"/>
  <c r="M1461" i="1"/>
  <c r="H1461" i="1"/>
  <c r="F1461" i="1"/>
  <c r="A1461" i="1"/>
  <c r="M1460" i="1"/>
  <c r="H1460" i="1"/>
  <c r="F1460" i="1"/>
  <c r="A1460" i="1"/>
  <c r="M1459" i="1"/>
  <c r="H1459" i="1"/>
  <c r="F1459" i="1"/>
  <c r="A1459" i="1"/>
  <c r="M1458" i="1"/>
  <c r="H1458" i="1"/>
  <c r="F1458" i="1"/>
  <c r="A1458" i="1"/>
  <c r="M1457" i="1"/>
  <c r="H1457" i="1"/>
  <c r="F1457" i="1"/>
  <c r="A1457" i="1"/>
  <c r="M1456" i="1"/>
  <c r="H1456" i="1"/>
  <c r="F1456" i="1"/>
  <c r="A1456" i="1"/>
  <c r="M1455" i="1"/>
  <c r="H1455" i="1"/>
  <c r="F1455" i="1"/>
  <c r="A1455" i="1"/>
  <c r="M1454" i="1"/>
  <c r="H1454" i="1"/>
  <c r="F1454" i="1"/>
  <c r="A1454" i="1"/>
  <c r="M1453" i="1"/>
  <c r="H1453" i="1"/>
  <c r="F1453" i="1"/>
  <c r="A1453" i="1"/>
  <c r="M1452" i="1"/>
  <c r="H1452" i="1"/>
  <c r="F1452" i="1"/>
  <c r="A1452" i="1"/>
  <c r="M1451" i="1"/>
  <c r="H1451" i="1"/>
  <c r="F1451" i="1"/>
  <c r="A1451" i="1"/>
  <c r="M1450" i="1"/>
  <c r="H1450" i="1"/>
  <c r="F1450" i="1"/>
  <c r="A1450" i="1"/>
  <c r="M1449" i="1"/>
  <c r="H1449" i="1"/>
  <c r="F1449" i="1"/>
  <c r="A1449" i="1"/>
  <c r="M1448" i="1"/>
  <c r="H1448" i="1"/>
  <c r="F1448" i="1"/>
  <c r="A1448" i="1"/>
  <c r="M1447" i="1"/>
  <c r="H1447" i="1"/>
  <c r="F1447" i="1"/>
  <c r="A1447" i="1"/>
  <c r="M1446" i="1"/>
  <c r="H1446" i="1"/>
  <c r="F1446" i="1"/>
  <c r="A1446" i="1"/>
  <c r="M1445" i="1"/>
  <c r="H1445" i="1"/>
  <c r="F1445" i="1"/>
  <c r="A1445" i="1"/>
  <c r="M1444" i="1"/>
  <c r="H1444" i="1"/>
  <c r="F1444" i="1"/>
  <c r="A1444" i="1"/>
  <c r="M1443" i="1"/>
  <c r="H1443" i="1"/>
  <c r="F1443" i="1"/>
  <c r="A1443" i="1"/>
  <c r="M1442" i="1"/>
  <c r="H1442" i="1"/>
  <c r="F1442" i="1"/>
  <c r="A1442" i="1"/>
  <c r="M1441" i="1"/>
  <c r="H1441" i="1"/>
  <c r="F1441" i="1"/>
  <c r="A1441" i="1"/>
  <c r="M1440" i="1"/>
  <c r="H1440" i="1"/>
  <c r="F1440" i="1"/>
  <c r="A1440" i="1"/>
  <c r="M1439" i="1"/>
  <c r="H1439" i="1"/>
  <c r="F1439" i="1"/>
  <c r="A1439" i="1"/>
  <c r="M1438" i="1"/>
  <c r="H1438" i="1"/>
  <c r="F1438" i="1"/>
  <c r="A1438" i="1"/>
  <c r="M1437" i="1"/>
  <c r="H1437" i="1"/>
  <c r="F1437" i="1"/>
  <c r="A1437" i="1"/>
  <c r="M1436" i="1"/>
  <c r="H1436" i="1"/>
  <c r="F1436" i="1"/>
  <c r="A1436" i="1"/>
  <c r="M1435" i="1"/>
  <c r="H1435" i="1"/>
  <c r="F1435" i="1"/>
  <c r="A1435" i="1"/>
  <c r="M1434" i="1"/>
  <c r="H1434" i="1"/>
  <c r="F1434" i="1"/>
  <c r="A1434" i="1"/>
  <c r="M1433" i="1"/>
  <c r="H1433" i="1"/>
  <c r="F1433" i="1"/>
  <c r="A1433" i="1"/>
  <c r="M1432" i="1"/>
  <c r="H1432" i="1"/>
  <c r="F1432" i="1"/>
  <c r="A1432" i="1"/>
  <c r="M1431" i="1"/>
  <c r="H1431" i="1"/>
  <c r="F1431" i="1"/>
  <c r="A1431" i="1"/>
  <c r="M1430" i="1"/>
  <c r="H1430" i="1"/>
  <c r="F1430" i="1"/>
  <c r="A1430" i="1"/>
  <c r="M1429" i="1"/>
  <c r="H1429" i="1"/>
  <c r="F1429" i="1"/>
  <c r="A1429" i="1"/>
  <c r="M1428" i="1"/>
  <c r="H1428" i="1"/>
  <c r="F1428" i="1"/>
  <c r="A1428" i="1"/>
  <c r="M1427" i="1"/>
  <c r="H1427" i="1"/>
  <c r="F1427" i="1"/>
  <c r="A1427" i="1"/>
  <c r="M1426" i="1"/>
  <c r="H1426" i="1"/>
  <c r="F1426" i="1"/>
  <c r="A1426" i="1"/>
  <c r="M1425" i="1"/>
  <c r="H1425" i="1"/>
  <c r="F1425" i="1"/>
  <c r="A1425" i="1"/>
  <c r="M1424" i="1"/>
  <c r="H1424" i="1"/>
  <c r="F1424" i="1"/>
  <c r="A1424" i="1"/>
  <c r="M1423" i="1"/>
  <c r="H1423" i="1"/>
  <c r="F1423" i="1"/>
  <c r="A1423" i="1"/>
  <c r="M1422" i="1"/>
  <c r="H1422" i="1"/>
  <c r="F1422" i="1"/>
  <c r="A1422" i="1"/>
  <c r="M1421" i="1"/>
  <c r="H1421" i="1"/>
  <c r="F1421" i="1"/>
  <c r="A1421" i="1"/>
  <c r="M1420" i="1"/>
  <c r="H1420" i="1"/>
  <c r="F1420" i="1"/>
  <c r="A1420" i="1"/>
  <c r="M1419" i="1"/>
  <c r="H1419" i="1"/>
  <c r="F1419" i="1"/>
  <c r="A1419" i="1"/>
  <c r="M1418" i="1"/>
  <c r="H1418" i="1"/>
  <c r="F1418" i="1"/>
  <c r="A1418" i="1"/>
  <c r="M1417" i="1"/>
  <c r="H1417" i="1"/>
  <c r="F1417" i="1"/>
  <c r="A1417" i="1"/>
  <c r="M1416" i="1"/>
  <c r="H1416" i="1"/>
  <c r="F1416" i="1"/>
  <c r="A1416" i="1"/>
  <c r="M1415" i="1"/>
  <c r="H1415" i="1"/>
  <c r="F1415" i="1"/>
  <c r="A1415" i="1"/>
  <c r="M1414" i="1"/>
  <c r="H1414" i="1"/>
  <c r="F1414" i="1"/>
  <c r="A1414" i="1"/>
  <c r="M1413" i="1"/>
  <c r="H1413" i="1"/>
  <c r="F1413" i="1"/>
  <c r="A1413" i="1"/>
  <c r="M1412" i="1"/>
  <c r="H1412" i="1"/>
  <c r="F1412" i="1"/>
  <c r="A1412" i="1"/>
  <c r="M1411" i="1"/>
  <c r="H1411" i="1"/>
  <c r="F1411" i="1"/>
  <c r="A1411" i="1"/>
  <c r="M1410" i="1"/>
  <c r="H1410" i="1"/>
  <c r="F1410" i="1"/>
  <c r="A1410" i="1"/>
  <c r="M1409" i="1"/>
  <c r="H1409" i="1"/>
  <c r="F1409" i="1"/>
  <c r="A1409" i="1"/>
  <c r="M1408" i="1"/>
  <c r="H1408" i="1"/>
  <c r="F1408" i="1"/>
  <c r="A1408" i="1"/>
  <c r="M1407" i="1"/>
  <c r="H1407" i="1"/>
  <c r="F1407" i="1"/>
  <c r="A1407" i="1"/>
  <c r="M1406" i="1"/>
  <c r="H1406" i="1"/>
  <c r="F1406" i="1"/>
  <c r="A1406" i="1"/>
  <c r="M1405" i="1"/>
  <c r="H1405" i="1"/>
  <c r="F1405" i="1"/>
  <c r="A1405" i="1"/>
  <c r="M1404" i="1"/>
  <c r="H1404" i="1"/>
  <c r="F1404" i="1"/>
  <c r="A1404" i="1"/>
  <c r="M1403" i="1"/>
  <c r="H1403" i="1"/>
  <c r="F1403" i="1"/>
  <c r="A1403" i="1"/>
  <c r="M1402" i="1"/>
  <c r="H1402" i="1"/>
  <c r="F1402" i="1"/>
  <c r="A1402" i="1"/>
  <c r="M1401" i="1"/>
  <c r="H1401" i="1"/>
  <c r="F1401" i="1"/>
  <c r="A1401" i="1"/>
  <c r="M1400" i="1"/>
  <c r="H1400" i="1"/>
  <c r="F1400" i="1"/>
  <c r="A1400" i="1"/>
  <c r="M1399" i="1"/>
  <c r="H1399" i="1"/>
  <c r="F1399" i="1"/>
  <c r="A1399" i="1"/>
  <c r="M1398" i="1"/>
  <c r="H1398" i="1"/>
  <c r="F1398" i="1"/>
  <c r="A1398" i="1"/>
  <c r="M1397" i="1"/>
  <c r="H1397" i="1"/>
  <c r="F1397" i="1"/>
  <c r="A1397" i="1"/>
  <c r="M1396" i="1"/>
  <c r="H1396" i="1"/>
  <c r="F1396" i="1"/>
  <c r="A1396" i="1"/>
  <c r="M1395" i="1"/>
  <c r="H1395" i="1"/>
  <c r="F1395" i="1"/>
  <c r="A1395" i="1"/>
  <c r="M1394" i="1"/>
  <c r="H1394" i="1"/>
  <c r="F1394" i="1"/>
  <c r="A1394" i="1"/>
  <c r="M1393" i="1"/>
  <c r="H1393" i="1"/>
  <c r="F1393" i="1"/>
  <c r="A1393" i="1"/>
  <c r="M1392" i="1"/>
  <c r="H1392" i="1"/>
  <c r="F1392" i="1"/>
  <c r="A1392" i="1"/>
  <c r="M1391" i="1"/>
  <c r="H1391" i="1"/>
  <c r="F1391" i="1"/>
  <c r="A1391" i="1"/>
  <c r="M1390" i="1"/>
  <c r="H1390" i="1"/>
  <c r="F1390" i="1"/>
  <c r="A1390" i="1"/>
  <c r="M1389" i="1"/>
  <c r="H1389" i="1"/>
  <c r="F1389" i="1"/>
  <c r="A1389" i="1"/>
  <c r="M1388" i="1"/>
  <c r="H1388" i="1"/>
  <c r="F1388" i="1"/>
  <c r="A1388" i="1"/>
  <c r="M1387" i="1"/>
  <c r="H1387" i="1"/>
  <c r="F1387" i="1"/>
  <c r="A1387" i="1"/>
  <c r="M1386" i="1"/>
  <c r="H1386" i="1"/>
  <c r="F1386" i="1"/>
  <c r="A1386" i="1"/>
  <c r="M1385" i="1"/>
  <c r="H1385" i="1"/>
  <c r="F1385" i="1"/>
  <c r="A1385" i="1"/>
  <c r="M1384" i="1"/>
  <c r="H1384" i="1"/>
  <c r="F1384" i="1"/>
  <c r="A1384" i="1"/>
  <c r="M1383" i="1"/>
  <c r="H1383" i="1"/>
  <c r="F1383" i="1"/>
  <c r="A1383" i="1"/>
  <c r="M1382" i="1"/>
  <c r="H1382" i="1"/>
  <c r="F1382" i="1"/>
  <c r="A1382" i="1"/>
  <c r="M1381" i="1"/>
  <c r="H1381" i="1"/>
  <c r="F1381" i="1"/>
  <c r="A1381" i="1"/>
  <c r="M1380" i="1"/>
  <c r="H1380" i="1"/>
  <c r="F1380" i="1"/>
  <c r="A1380" i="1"/>
  <c r="M1379" i="1"/>
  <c r="H1379" i="1"/>
  <c r="F1379" i="1"/>
  <c r="A1379" i="1"/>
  <c r="M1378" i="1"/>
  <c r="H1378" i="1"/>
  <c r="F1378" i="1"/>
  <c r="A1378" i="1"/>
  <c r="M1377" i="1"/>
  <c r="H1377" i="1"/>
  <c r="F1377" i="1"/>
  <c r="A1377" i="1"/>
  <c r="M1376" i="1"/>
  <c r="H1376" i="1"/>
  <c r="F1376" i="1"/>
  <c r="A1376" i="1"/>
  <c r="M1375" i="1"/>
  <c r="H1375" i="1"/>
  <c r="F1375" i="1"/>
  <c r="A1375" i="1"/>
  <c r="M1374" i="1"/>
  <c r="H1374" i="1"/>
  <c r="F1374" i="1"/>
  <c r="A1374" i="1"/>
  <c r="M1373" i="1"/>
  <c r="H1373" i="1"/>
  <c r="F1373" i="1"/>
  <c r="A1373" i="1"/>
  <c r="M1372" i="1"/>
  <c r="H1372" i="1"/>
  <c r="F1372" i="1"/>
  <c r="A1372" i="1"/>
  <c r="M1371" i="1"/>
  <c r="H1371" i="1"/>
  <c r="F1371" i="1"/>
  <c r="A1371" i="1"/>
  <c r="M1370" i="1"/>
  <c r="H1370" i="1"/>
  <c r="F1370" i="1"/>
  <c r="A1370" i="1"/>
  <c r="M1369" i="1"/>
  <c r="H1369" i="1"/>
  <c r="F1369" i="1"/>
  <c r="A1369" i="1"/>
  <c r="M1368" i="1"/>
  <c r="H1368" i="1"/>
  <c r="F1368" i="1"/>
  <c r="A1368" i="1"/>
  <c r="M1367" i="1"/>
  <c r="H1367" i="1"/>
  <c r="F1367" i="1"/>
  <c r="A1367" i="1"/>
  <c r="M1366" i="1"/>
  <c r="H1366" i="1"/>
  <c r="F1366" i="1"/>
  <c r="A1366" i="1"/>
  <c r="M1365" i="1"/>
  <c r="H1365" i="1"/>
  <c r="F1365" i="1"/>
  <c r="A1365" i="1"/>
  <c r="M1364" i="1"/>
  <c r="H1364" i="1"/>
  <c r="F1364" i="1"/>
  <c r="A1364" i="1"/>
  <c r="M1363" i="1"/>
  <c r="H1363" i="1"/>
  <c r="F1363" i="1"/>
  <c r="A1363" i="1"/>
  <c r="M1362" i="1"/>
  <c r="H1362" i="1"/>
  <c r="F1362" i="1"/>
  <c r="A1362" i="1"/>
  <c r="M1361" i="1"/>
  <c r="H1361" i="1"/>
  <c r="F1361" i="1"/>
  <c r="A1361" i="1"/>
  <c r="M1360" i="1"/>
  <c r="H1360" i="1"/>
  <c r="F1360" i="1"/>
  <c r="A1360" i="1"/>
  <c r="M1359" i="1"/>
  <c r="H1359" i="1"/>
  <c r="F1359" i="1"/>
  <c r="A1359" i="1"/>
  <c r="M1358" i="1"/>
  <c r="H1358" i="1"/>
  <c r="F1358" i="1"/>
  <c r="A1358" i="1"/>
  <c r="M1357" i="1"/>
  <c r="H1357" i="1"/>
  <c r="F1357" i="1"/>
  <c r="A1357" i="1"/>
  <c r="M1356" i="1"/>
  <c r="H1356" i="1"/>
  <c r="F1356" i="1"/>
  <c r="A1356" i="1"/>
  <c r="M1355" i="1"/>
  <c r="H1355" i="1"/>
  <c r="F1355" i="1"/>
  <c r="A1355" i="1"/>
  <c r="M1354" i="1"/>
  <c r="H1354" i="1"/>
  <c r="F1354" i="1"/>
  <c r="A1354" i="1"/>
  <c r="M1353" i="1"/>
  <c r="H1353" i="1"/>
  <c r="F1353" i="1"/>
  <c r="A1353" i="1"/>
  <c r="M1352" i="1"/>
  <c r="H1352" i="1"/>
  <c r="F1352" i="1"/>
  <c r="A1352" i="1"/>
  <c r="M1351" i="1"/>
  <c r="H1351" i="1"/>
  <c r="F1351" i="1"/>
  <c r="A1351" i="1"/>
  <c r="M1350" i="1"/>
  <c r="H1350" i="1"/>
  <c r="F1350" i="1"/>
  <c r="A1350" i="1"/>
  <c r="M1349" i="1"/>
  <c r="H1349" i="1"/>
  <c r="F1349" i="1"/>
  <c r="A1349" i="1"/>
  <c r="M1348" i="1"/>
  <c r="H1348" i="1"/>
  <c r="F1348" i="1"/>
  <c r="A1348" i="1"/>
  <c r="M1347" i="1"/>
  <c r="H1347" i="1"/>
  <c r="F1347" i="1"/>
  <c r="A1347" i="1"/>
  <c r="M1346" i="1"/>
  <c r="H1346" i="1"/>
  <c r="F1346" i="1"/>
  <c r="A1346" i="1"/>
  <c r="M1345" i="1"/>
  <c r="H1345" i="1"/>
  <c r="F1345" i="1"/>
  <c r="A1345" i="1"/>
  <c r="M1344" i="1"/>
  <c r="H1344" i="1"/>
  <c r="F1344" i="1"/>
  <c r="A1344" i="1"/>
  <c r="M1343" i="1"/>
  <c r="H1343" i="1"/>
  <c r="F1343" i="1"/>
  <c r="A1343" i="1"/>
  <c r="M1342" i="1"/>
  <c r="H1342" i="1"/>
  <c r="F1342" i="1"/>
  <c r="A1342" i="1"/>
  <c r="M1341" i="1"/>
  <c r="H1341" i="1"/>
  <c r="F1341" i="1"/>
  <c r="A1341" i="1"/>
  <c r="M1340" i="1"/>
  <c r="H1340" i="1"/>
  <c r="F1340" i="1"/>
  <c r="A1340" i="1"/>
  <c r="M1339" i="1"/>
  <c r="H1339" i="1"/>
  <c r="F1339" i="1"/>
  <c r="A1339" i="1"/>
  <c r="M1338" i="1"/>
  <c r="H1338" i="1"/>
  <c r="F1338" i="1"/>
  <c r="A1338" i="1"/>
  <c r="M1337" i="1"/>
  <c r="H1337" i="1"/>
  <c r="F1337" i="1"/>
  <c r="A1337" i="1"/>
  <c r="M1336" i="1"/>
  <c r="H1336" i="1"/>
  <c r="F1336" i="1"/>
  <c r="A1336" i="1"/>
  <c r="M1335" i="1"/>
  <c r="H1335" i="1"/>
  <c r="F1335" i="1"/>
  <c r="A1335" i="1"/>
  <c r="M1334" i="1"/>
  <c r="H1334" i="1"/>
  <c r="F1334" i="1"/>
  <c r="A1334" i="1"/>
  <c r="M1333" i="1"/>
  <c r="H1333" i="1"/>
  <c r="F1333" i="1"/>
  <c r="A1333" i="1"/>
  <c r="M1332" i="1"/>
  <c r="H1332" i="1"/>
  <c r="F1332" i="1"/>
  <c r="A1332" i="1"/>
  <c r="M1331" i="1"/>
  <c r="H1331" i="1"/>
  <c r="F1331" i="1"/>
  <c r="A1331" i="1"/>
  <c r="M1330" i="1"/>
  <c r="H1330" i="1"/>
  <c r="F1330" i="1"/>
  <c r="A1330" i="1"/>
  <c r="M1329" i="1"/>
  <c r="H1329" i="1"/>
  <c r="F1329" i="1"/>
  <c r="A1329" i="1"/>
  <c r="M1328" i="1"/>
  <c r="H1328" i="1"/>
  <c r="F1328" i="1"/>
  <c r="A1328" i="1"/>
  <c r="M1327" i="1"/>
  <c r="H1327" i="1"/>
  <c r="F1327" i="1"/>
  <c r="A1327" i="1"/>
  <c r="M1326" i="1"/>
  <c r="H1326" i="1"/>
  <c r="F1326" i="1"/>
  <c r="A1326" i="1"/>
  <c r="M1325" i="1"/>
  <c r="H1325" i="1"/>
  <c r="F1325" i="1"/>
  <c r="A1325" i="1"/>
  <c r="M1324" i="1"/>
  <c r="H1324" i="1"/>
  <c r="F1324" i="1"/>
  <c r="A1324" i="1"/>
  <c r="M1323" i="1"/>
  <c r="H1323" i="1"/>
  <c r="F1323" i="1"/>
  <c r="A1323" i="1"/>
  <c r="M1322" i="1"/>
  <c r="H1322" i="1"/>
  <c r="F1322" i="1"/>
  <c r="A1322" i="1"/>
  <c r="M1321" i="1"/>
  <c r="H1321" i="1"/>
  <c r="F1321" i="1"/>
  <c r="A1321" i="1"/>
  <c r="M1320" i="1"/>
  <c r="H1320" i="1"/>
  <c r="F1320" i="1"/>
  <c r="A1320" i="1"/>
  <c r="M1319" i="1"/>
  <c r="H1319" i="1"/>
  <c r="F1319" i="1"/>
  <c r="A1319" i="1"/>
  <c r="M1318" i="1"/>
  <c r="H1318" i="1"/>
  <c r="F1318" i="1"/>
  <c r="A1318" i="1"/>
  <c r="M1317" i="1"/>
  <c r="H1317" i="1"/>
  <c r="F1317" i="1"/>
  <c r="A1317" i="1"/>
  <c r="M1316" i="1"/>
  <c r="H1316" i="1"/>
  <c r="F1316" i="1"/>
  <c r="A1316" i="1"/>
  <c r="M1315" i="1"/>
  <c r="H1315" i="1"/>
  <c r="F1315" i="1"/>
  <c r="A1315" i="1"/>
  <c r="M1314" i="1"/>
  <c r="H1314" i="1"/>
  <c r="F1314" i="1"/>
  <c r="A1314" i="1"/>
  <c r="M1313" i="1"/>
  <c r="H1313" i="1"/>
  <c r="F1313" i="1"/>
  <c r="A1313" i="1"/>
  <c r="M1312" i="1"/>
  <c r="H1312" i="1"/>
  <c r="F1312" i="1"/>
  <c r="A1312" i="1"/>
  <c r="M1311" i="1"/>
  <c r="H1311" i="1"/>
  <c r="F1311" i="1"/>
  <c r="A1311" i="1"/>
  <c r="M1310" i="1"/>
  <c r="H1310" i="1"/>
  <c r="F1310" i="1"/>
  <c r="A1310" i="1"/>
  <c r="M1309" i="1"/>
  <c r="H1309" i="1"/>
  <c r="F1309" i="1"/>
  <c r="A1309" i="1"/>
  <c r="M1308" i="1"/>
  <c r="H1308" i="1"/>
  <c r="F1308" i="1"/>
  <c r="A1308" i="1"/>
  <c r="M1307" i="1"/>
  <c r="H1307" i="1"/>
  <c r="F1307" i="1"/>
  <c r="A1307" i="1"/>
  <c r="M1306" i="1"/>
  <c r="H1306" i="1"/>
  <c r="F1306" i="1"/>
  <c r="A1306" i="1"/>
  <c r="M1305" i="1"/>
  <c r="H1305" i="1"/>
  <c r="F1305" i="1"/>
  <c r="A1305" i="1"/>
  <c r="M1304" i="1"/>
  <c r="H1304" i="1"/>
  <c r="F1304" i="1"/>
  <c r="A1304" i="1"/>
  <c r="M1303" i="1"/>
  <c r="H1303" i="1"/>
  <c r="F1303" i="1"/>
  <c r="A1303" i="1"/>
  <c r="M1302" i="1"/>
  <c r="H1302" i="1"/>
  <c r="F1302" i="1"/>
  <c r="A1302" i="1"/>
  <c r="M1301" i="1"/>
  <c r="H1301" i="1"/>
  <c r="F1301" i="1"/>
  <c r="A1301" i="1"/>
  <c r="M1300" i="1"/>
  <c r="H1300" i="1"/>
  <c r="F1300" i="1"/>
  <c r="A1300" i="1"/>
  <c r="M1299" i="1"/>
  <c r="H1299" i="1"/>
  <c r="F1299" i="1"/>
  <c r="A1299" i="1"/>
  <c r="M1298" i="1"/>
  <c r="H1298" i="1"/>
  <c r="F1298" i="1"/>
  <c r="A1298" i="1"/>
  <c r="M1297" i="1"/>
  <c r="H1297" i="1"/>
  <c r="F1297" i="1"/>
  <c r="A1297" i="1"/>
  <c r="M1296" i="1"/>
  <c r="H1296" i="1"/>
  <c r="F1296" i="1"/>
  <c r="A1296" i="1"/>
  <c r="M1295" i="1"/>
  <c r="H1295" i="1"/>
  <c r="F1295" i="1"/>
  <c r="A1295" i="1"/>
  <c r="M1294" i="1"/>
  <c r="H1294" i="1"/>
  <c r="F1294" i="1"/>
  <c r="A1294" i="1"/>
  <c r="M1293" i="1"/>
  <c r="H1293" i="1"/>
  <c r="F1293" i="1"/>
  <c r="A1293" i="1"/>
  <c r="M1292" i="1"/>
  <c r="H1292" i="1"/>
  <c r="F1292" i="1"/>
  <c r="A1292" i="1"/>
  <c r="M1291" i="1"/>
  <c r="H1291" i="1"/>
  <c r="F1291" i="1"/>
  <c r="A1291" i="1"/>
  <c r="M1290" i="1"/>
  <c r="H1290" i="1"/>
  <c r="F1290" i="1"/>
  <c r="A1290" i="1"/>
  <c r="M1289" i="1"/>
  <c r="H1289" i="1"/>
  <c r="F1289" i="1"/>
  <c r="A1289" i="1"/>
  <c r="M1288" i="1"/>
  <c r="H1288" i="1"/>
  <c r="F1288" i="1"/>
  <c r="A1288" i="1"/>
  <c r="M1287" i="1"/>
  <c r="H1287" i="1"/>
  <c r="F1287" i="1"/>
  <c r="A1287" i="1"/>
  <c r="M1286" i="1"/>
  <c r="H1286" i="1"/>
  <c r="F1286" i="1"/>
  <c r="A1286" i="1"/>
  <c r="M1285" i="1"/>
  <c r="H1285" i="1"/>
  <c r="F1285" i="1"/>
  <c r="A1285" i="1"/>
  <c r="M1284" i="1"/>
  <c r="H1284" i="1"/>
  <c r="F1284" i="1"/>
  <c r="A1284" i="1"/>
  <c r="M1283" i="1"/>
  <c r="H1283" i="1"/>
  <c r="F1283" i="1"/>
  <c r="A1283" i="1"/>
  <c r="M1282" i="1"/>
  <c r="H1282" i="1"/>
  <c r="F1282" i="1"/>
  <c r="A1282" i="1"/>
  <c r="M1281" i="1"/>
  <c r="H1281" i="1"/>
  <c r="F1281" i="1"/>
  <c r="A1281" i="1"/>
  <c r="M1280" i="1"/>
  <c r="H1280" i="1"/>
  <c r="F1280" i="1"/>
  <c r="A1280" i="1"/>
  <c r="M1279" i="1"/>
  <c r="H1279" i="1"/>
  <c r="F1279" i="1"/>
  <c r="A1279" i="1"/>
  <c r="M1278" i="1"/>
  <c r="H1278" i="1"/>
  <c r="F1278" i="1"/>
  <c r="A1278" i="1"/>
  <c r="M1277" i="1"/>
  <c r="H1277" i="1"/>
  <c r="F1277" i="1"/>
  <c r="A1277" i="1"/>
  <c r="M1276" i="1"/>
  <c r="H1276" i="1"/>
  <c r="F1276" i="1"/>
  <c r="A1276" i="1"/>
  <c r="M1275" i="1"/>
  <c r="H1275" i="1"/>
  <c r="F1275" i="1"/>
  <c r="A1275" i="1"/>
  <c r="M1274" i="1"/>
  <c r="H1274" i="1"/>
  <c r="F1274" i="1"/>
  <c r="A1274" i="1"/>
  <c r="M1273" i="1"/>
  <c r="H1273" i="1"/>
  <c r="F1273" i="1"/>
  <c r="A1273" i="1"/>
  <c r="M1272" i="1"/>
  <c r="H1272" i="1"/>
  <c r="F1272" i="1"/>
  <c r="A1272" i="1"/>
  <c r="M1271" i="1"/>
  <c r="H1271" i="1"/>
  <c r="F1271" i="1"/>
  <c r="A1271" i="1"/>
  <c r="M1270" i="1"/>
  <c r="H1270" i="1"/>
  <c r="F1270" i="1"/>
  <c r="A1270" i="1"/>
  <c r="M1269" i="1"/>
  <c r="H1269" i="1"/>
  <c r="F1269" i="1"/>
  <c r="A1269" i="1"/>
  <c r="M1268" i="1"/>
  <c r="H1268" i="1"/>
  <c r="F1268" i="1"/>
  <c r="A1268" i="1"/>
  <c r="M1267" i="1"/>
  <c r="H1267" i="1"/>
  <c r="F1267" i="1"/>
  <c r="A1267" i="1"/>
  <c r="M1266" i="1"/>
  <c r="H1266" i="1"/>
  <c r="F1266" i="1"/>
  <c r="A1266" i="1"/>
  <c r="M1265" i="1"/>
  <c r="H1265" i="1"/>
  <c r="F1265" i="1"/>
  <c r="A1265" i="1"/>
  <c r="M1264" i="1"/>
  <c r="H1264" i="1"/>
  <c r="F1264" i="1"/>
  <c r="A1264" i="1"/>
  <c r="M1263" i="1"/>
  <c r="H1263" i="1"/>
  <c r="F1263" i="1"/>
  <c r="A1263" i="1"/>
  <c r="M1262" i="1"/>
  <c r="H1262" i="1"/>
  <c r="F1262" i="1"/>
  <c r="A1262" i="1"/>
  <c r="M1261" i="1"/>
  <c r="H1261" i="1"/>
  <c r="F1261" i="1"/>
  <c r="A1261" i="1"/>
  <c r="M1260" i="1"/>
  <c r="H1260" i="1"/>
  <c r="F1260" i="1"/>
  <c r="A1260" i="1"/>
  <c r="M1259" i="1"/>
  <c r="H1259" i="1"/>
  <c r="F1259" i="1"/>
  <c r="A1259" i="1"/>
  <c r="M1258" i="1"/>
  <c r="H1258" i="1"/>
  <c r="F1258" i="1"/>
  <c r="A1258" i="1"/>
  <c r="M1257" i="1"/>
  <c r="H1257" i="1"/>
  <c r="F1257" i="1"/>
  <c r="A1257" i="1"/>
  <c r="M1256" i="1"/>
  <c r="H1256" i="1"/>
  <c r="F1256" i="1"/>
  <c r="A1256" i="1"/>
  <c r="M1255" i="1"/>
  <c r="H1255" i="1"/>
  <c r="F1255" i="1"/>
  <c r="A1255" i="1"/>
  <c r="M1254" i="1"/>
  <c r="H1254" i="1"/>
  <c r="F1254" i="1"/>
  <c r="A1254" i="1"/>
  <c r="M1253" i="1"/>
  <c r="H1253" i="1"/>
  <c r="F1253" i="1"/>
  <c r="A1253" i="1"/>
  <c r="M1252" i="1"/>
  <c r="H1252" i="1"/>
  <c r="F1252" i="1"/>
  <c r="A1252" i="1"/>
  <c r="M1251" i="1"/>
  <c r="H1251" i="1"/>
  <c r="F1251" i="1"/>
  <c r="A1251" i="1"/>
  <c r="M1250" i="1"/>
  <c r="H1250" i="1"/>
  <c r="F1250" i="1"/>
  <c r="A1250" i="1"/>
  <c r="M1249" i="1"/>
  <c r="H1249" i="1"/>
  <c r="F1249" i="1"/>
  <c r="A1249" i="1"/>
  <c r="M1248" i="1"/>
  <c r="H1248" i="1"/>
  <c r="F1248" i="1"/>
  <c r="A1248" i="1"/>
  <c r="M1247" i="1"/>
  <c r="H1247" i="1"/>
  <c r="F1247" i="1"/>
  <c r="A1247" i="1"/>
  <c r="M1246" i="1"/>
  <c r="H1246" i="1"/>
  <c r="F1246" i="1"/>
  <c r="A1246" i="1"/>
  <c r="M1245" i="1"/>
  <c r="H1245" i="1"/>
  <c r="F1245" i="1"/>
  <c r="A1245" i="1"/>
  <c r="M1244" i="1"/>
  <c r="H1244" i="1"/>
  <c r="F1244" i="1"/>
  <c r="A1244" i="1"/>
  <c r="M1243" i="1"/>
  <c r="H1243" i="1"/>
  <c r="F1243" i="1"/>
  <c r="A1243" i="1"/>
  <c r="M1242" i="1"/>
  <c r="H1242" i="1"/>
  <c r="F1242" i="1"/>
  <c r="A1242" i="1"/>
  <c r="M1241" i="1"/>
  <c r="H1241" i="1"/>
  <c r="F1241" i="1"/>
  <c r="A1241" i="1"/>
  <c r="M1240" i="1"/>
  <c r="H1240" i="1"/>
  <c r="F1240" i="1"/>
  <c r="A1240" i="1"/>
  <c r="M1239" i="1"/>
  <c r="H1239" i="1"/>
  <c r="F1239" i="1"/>
  <c r="A1239" i="1"/>
  <c r="M1238" i="1"/>
  <c r="H1238" i="1"/>
  <c r="F1238" i="1"/>
  <c r="A1238" i="1"/>
  <c r="M1237" i="1"/>
  <c r="H1237" i="1"/>
  <c r="F1237" i="1"/>
  <c r="A1237" i="1"/>
  <c r="M1236" i="1"/>
  <c r="H1236" i="1"/>
  <c r="F1236" i="1"/>
  <c r="A1236" i="1"/>
  <c r="M1235" i="1"/>
  <c r="H1235" i="1"/>
  <c r="F1235" i="1"/>
  <c r="A1235" i="1"/>
  <c r="M1234" i="1"/>
  <c r="H1234" i="1"/>
  <c r="F1234" i="1"/>
  <c r="A1234" i="1"/>
  <c r="M1233" i="1"/>
  <c r="H1233" i="1"/>
  <c r="F1233" i="1"/>
  <c r="A1233" i="1"/>
  <c r="M1232" i="1"/>
  <c r="H1232" i="1"/>
  <c r="F1232" i="1"/>
  <c r="A1232" i="1"/>
  <c r="M1231" i="1"/>
  <c r="H1231" i="1"/>
  <c r="F1231" i="1"/>
  <c r="A1231" i="1"/>
  <c r="M1230" i="1"/>
  <c r="H1230" i="1"/>
  <c r="F1230" i="1"/>
  <c r="A1230" i="1"/>
  <c r="M1229" i="1"/>
  <c r="H1229" i="1"/>
  <c r="F1229" i="1"/>
  <c r="A1229" i="1"/>
  <c r="M1228" i="1"/>
  <c r="H1228" i="1"/>
  <c r="F1228" i="1"/>
  <c r="A1228" i="1"/>
  <c r="M1227" i="1"/>
  <c r="H1227" i="1"/>
  <c r="F1227" i="1"/>
  <c r="A1227" i="1"/>
  <c r="M1226" i="1"/>
  <c r="H1226" i="1"/>
  <c r="F1226" i="1"/>
  <c r="A1226" i="1"/>
  <c r="M1225" i="1"/>
  <c r="H1225" i="1"/>
  <c r="F1225" i="1"/>
  <c r="A1225" i="1"/>
  <c r="M1224" i="1"/>
  <c r="H1224" i="1"/>
  <c r="F1224" i="1"/>
  <c r="A1224" i="1"/>
  <c r="M1223" i="1"/>
  <c r="H1223" i="1"/>
  <c r="F1223" i="1"/>
  <c r="A1223" i="1"/>
  <c r="M1222" i="1"/>
  <c r="H1222" i="1"/>
  <c r="F1222" i="1"/>
  <c r="A1222" i="1"/>
  <c r="M1221" i="1"/>
  <c r="H1221" i="1"/>
  <c r="F1221" i="1"/>
  <c r="A1221" i="1"/>
  <c r="M1220" i="1"/>
  <c r="H1220" i="1"/>
  <c r="F1220" i="1"/>
  <c r="A1220" i="1"/>
  <c r="M1219" i="1"/>
  <c r="H1219" i="1"/>
  <c r="F1219" i="1"/>
  <c r="A1219" i="1"/>
  <c r="M1218" i="1"/>
  <c r="H1218" i="1"/>
  <c r="F1218" i="1"/>
  <c r="A1218" i="1"/>
  <c r="M1217" i="1"/>
  <c r="H1217" i="1"/>
  <c r="F1217" i="1"/>
  <c r="A1217" i="1"/>
  <c r="M1216" i="1"/>
  <c r="H1216" i="1"/>
  <c r="F1216" i="1"/>
  <c r="A1216" i="1"/>
  <c r="M1215" i="1"/>
  <c r="H1215" i="1"/>
  <c r="F1215" i="1"/>
  <c r="A1215" i="1"/>
  <c r="M1214" i="1"/>
  <c r="H1214" i="1"/>
  <c r="F1214" i="1"/>
  <c r="A1214" i="1"/>
  <c r="M1213" i="1"/>
  <c r="H1213" i="1"/>
  <c r="F1213" i="1"/>
  <c r="A1213" i="1"/>
  <c r="M1212" i="1"/>
  <c r="H1212" i="1"/>
  <c r="F1212" i="1"/>
  <c r="A1212" i="1"/>
  <c r="M1211" i="1"/>
  <c r="H1211" i="1"/>
  <c r="F1211" i="1"/>
  <c r="A1211" i="1"/>
  <c r="M1210" i="1"/>
  <c r="H1210" i="1"/>
  <c r="F1210" i="1"/>
  <c r="A1210" i="1"/>
  <c r="M1209" i="1"/>
  <c r="H1209" i="1"/>
  <c r="F1209" i="1"/>
  <c r="A1209" i="1"/>
  <c r="M1208" i="1"/>
  <c r="H1208" i="1"/>
  <c r="F1208" i="1"/>
  <c r="A1208" i="1"/>
  <c r="M1207" i="1"/>
  <c r="H1207" i="1"/>
  <c r="F1207" i="1"/>
  <c r="A1207" i="1"/>
  <c r="M1206" i="1"/>
  <c r="H1206" i="1"/>
  <c r="F1206" i="1"/>
  <c r="A1206" i="1"/>
  <c r="M1205" i="1"/>
  <c r="H1205" i="1"/>
  <c r="F1205" i="1"/>
  <c r="A1205" i="1"/>
  <c r="M1204" i="1"/>
  <c r="H1204" i="1"/>
  <c r="F1204" i="1"/>
  <c r="A1204" i="1"/>
  <c r="M1203" i="1"/>
  <c r="H1203" i="1"/>
  <c r="F1203" i="1"/>
  <c r="A1203" i="1"/>
  <c r="M1202" i="1"/>
  <c r="H1202" i="1"/>
  <c r="F1202" i="1"/>
  <c r="A1202" i="1"/>
  <c r="M1201" i="1"/>
  <c r="H1201" i="1"/>
  <c r="F1201" i="1"/>
  <c r="A1201" i="1"/>
  <c r="M1200" i="1"/>
  <c r="H1200" i="1"/>
  <c r="F1200" i="1"/>
  <c r="A1200" i="1"/>
  <c r="M1199" i="1"/>
  <c r="H1199" i="1"/>
  <c r="F1199" i="1"/>
  <c r="A1199" i="1"/>
  <c r="M1198" i="1"/>
  <c r="H1198" i="1"/>
  <c r="F1198" i="1"/>
  <c r="A1198" i="1"/>
  <c r="M1197" i="1"/>
  <c r="H1197" i="1"/>
  <c r="F1197" i="1"/>
  <c r="A1197" i="1"/>
  <c r="M1196" i="1"/>
  <c r="H1196" i="1"/>
  <c r="F1196" i="1"/>
  <c r="A1196" i="1"/>
  <c r="M1195" i="1"/>
  <c r="H1195" i="1"/>
  <c r="F1195" i="1"/>
  <c r="A1195" i="1"/>
  <c r="M1194" i="1"/>
  <c r="H1194" i="1"/>
  <c r="F1194" i="1"/>
  <c r="A1194" i="1"/>
  <c r="M1193" i="1"/>
  <c r="H1193" i="1"/>
  <c r="F1193" i="1"/>
  <c r="A1193" i="1"/>
  <c r="M1192" i="1"/>
  <c r="H1192" i="1"/>
  <c r="F1192" i="1"/>
  <c r="A1192" i="1"/>
  <c r="M1191" i="1"/>
  <c r="H1191" i="1"/>
  <c r="F1191" i="1"/>
  <c r="A1191" i="1"/>
  <c r="M1190" i="1"/>
  <c r="H1190" i="1"/>
  <c r="F1190" i="1"/>
  <c r="A1190" i="1"/>
  <c r="M1189" i="1"/>
  <c r="H1189" i="1"/>
  <c r="F1189" i="1"/>
  <c r="A1189" i="1"/>
  <c r="M1188" i="1"/>
  <c r="H1188" i="1"/>
  <c r="F1188" i="1"/>
  <c r="A1188" i="1"/>
  <c r="M1187" i="1"/>
  <c r="H1187" i="1"/>
  <c r="F1187" i="1"/>
  <c r="A1187" i="1"/>
  <c r="M1186" i="1"/>
  <c r="H1186" i="1"/>
  <c r="F1186" i="1"/>
  <c r="A1186" i="1"/>
  <c r="M1185" i="1"/>
  <c r="H1185" i="1"/>
  <c r="F1185" i="1"/>
  <c r="A1185" i="1"/>
  <c r="M1184" i="1"/>
  <c r="H1184" i="1"/>
  <c r="F1184" i="1"/>
  <c r="A1184" i="1"/>
  <c r="M1183" i="1"/>
  <c r="H1183" i="1"/>
  <c r="F1183" i="1"/>
  <c r="A1183" i="1"/>
  <c r="M1182" i="1"/>
  <c r="H1182" i="1"/>
  <c r="F1182" i="1"/>
  <c r="A1182" i="1"/>
  <c r="M1181" i="1"/>
  <c r="H1181" i="1"/>
  <c r="F1181" i="1"/>
  <c r="A1181" i="1"/>
  <c r="M1180" i="1"/>
  <c r="H1180" i="1"/>
  <c r="F1180" i="1"/>
  <c r="A1180" i="1"/>
  <c r="M1179" i="1"/>
  <c r="H1179" i="1"/>
  <c r="F1179" i="1"/>
  <c r="A1179" i="1"/>
  <c r="M1178" i="1"/>
  <c r="H1178" i="1"/>
  <c r="F1178" i="1"/>
  <c r="A1178" i="1"/>
  <c r="M1177" i="1"/>
  <c r="H1177" i="1"/>
  <c r="F1177" i="1"/>
  <c r="A1177" i="1"/>
  <c r="M1176" i="1"/>
  <c r="H1176" i="1"/>
  <c r="F1176" i="1"/>
  <c r="A1176" i="1"/>
  <c r="M1175" i="1"/>
  <c r="H1175" i="1"/>
  <c r="F1175" i="1"/>
  <c r="A1175" i="1"/>
  <c r="M1174" i="1"/>
  <c r="H1174" i="1"/>
  <c r="F1174" i="1"/>
  <c r="A1174" i="1"/>
  <c r="M1173" i="1"/>
  <c r="H1173" i="1"/>
  <c r="F1173" i="1"/>
  <c r="A1173" i="1"/>
  <c r="M1172" i="1"/>
  <c r="H1172" i="1"/>
  <c r="F1172" i="1"/>
  <c r="A1172" i="1"/>
  <c r="M1171" i="1"/>
  <c r="H1171" i="1"/>
  <c r="F1171" i="1"/>
  <c r="A1171" i="1"/>
  <c r="M1170" i="1"/>
  <c r="H1170" i="1"/>
  <c r="F1170" i="1"/>
  <c r="A1170" i="1"/>
  <c r="M1169" i="1"/>
  <c r="H1169" i="1"/>
  <c r="F1169" i="1"/>
  <c r="A1169" i="1"/>
  <c r="M1168" i="1"/>
  <c r="H1168" i="1"/>
  <c r="F1168" i="1"/>
  <c r="A1168" i="1"/>
  <c r="M1167" i="1"/>
  <c r="H1167" i="1"/>
  <c r="F1167" i="1"/>
  <c r="A1167" i="1"/>
  <c r="M1166" i="1"/>
  <c r="H1166" i="1"/>
  <c r="F1166" i="1"/>
  <c r="A1166" i="1"/>
  <c r="M1165" i="1"/>
  <c r="H1165" i="1"/>
  <c r="F1165" i="1"/>
  <c r="A1165" i="1"/>
  <c r="M1164" i="1"/>
  <c r="H1164" i="1"/>
  <c r="F1164" i="1"/>
  <c r="A1164" i="1"/>
  <c r="M1163" i="1"/>
  <c r="H1163" i="1"/>
  <c r="F1163" i="1"/>
  <c r="A1163" i="1"/>
  <c r="M1162" i="1"/>
  <c r="H1162" i="1"/>
  <c r="F1162" i="1"/>
  <c r="A1162" i="1"/>
  <c r="M1161" i="1"/>
  <c r="H1161" i="1"/>
  <c r="F1161" i="1"/>
  <c r="A1161" i="1"/>
  <c r="M1160" i="1"/>
  <c r="H1160" i="1"/>
  <c r="F1160" i="1"/>
  <c r="A1160" i="1"/>
  <c r="M1159" i="1"/>
  <c r="H1159" i="1"/>
  <c r="F1159" i="1"/>
  <c r="A1159" i="1"/>
  <c r="M1158" i="1"/>
  <c r="H1158" i="1"/>
  <c r="F1158" i="1"/>
  <c r="A1158" i="1"/>
  <c r="M1157" i="1"/>
  <c r="H1157" i="1"/>
  <c r="F1157" i="1"/>
  <c r="A1157" i="1"/>
  <c r="M1156" i="1"/>
  <c r="H1156" i="1"/>
  <c r="F1156" i="1"/>
  <c r="A1156" i="1"/>
  <c r="M1155" i="1"/>
  <c r="H1155" i="1"/>
  <c r="F1155" i="1"/>
  <c r="A1155" i="1"/>
  <c r="M1154" i="1"/>
  <c r="H1154" i="1"/>
  <c r="F1154" i="1"/>
  <c r="A1154" i="1"/>
  <c r="M1153" i="1"/>
  <c r="H1153" i="1"/>
  <c r="F1153" i="1"/>
  <c r="A1153" i="1"/>
  <c r="M1152" i="1"/>
  <c r="H1152" i="1"/>
  <c r="F1152" i="1"/>
  <c r="A1152" i="1"/>
  <c r="M1151" i="1"/>
  <c r="H1151" i="1"/>
  <c r="F1151" i="1"/>
  <c r="A1151" i="1"/>
  <c r="M1150" i="1"/>
  <c r="H1150" i="1"/>
  <c r="F1150" i="1"/>
  <c r="A1150" i="1"/>
  <c r="M1149" i="1"/>
  <c r="H1149" i="1"/>
  <c r="F1149" i="1"/>
  <c r="A1149" i="1"/>
  <c r="M1148" i="1"/>
  <c r="H1148" i="1"/>
  <c r="F1148" i="1"/>
  <c r="A1148" i="1"/>
  <c r="M1147" i="1"/>
  <c r="H1147" i="1"/>
  <c r="F1147" i="1"/>
  <c r="A1147" i="1"/>
  <c r="M1146" i="1"/>
  <c r="H1146" i="1"/>
  <c r="F1146" i="1"/>
  <c r="A1146" i="1"/>
  <c r="M1145" i="1"/>
  <c r="H1145" i="1"/>
  <c r="F1145" i="1"/>
  <c r="A1145" i="1"/>
  <c r="M1144" i="1"/>
  <c r="H1144" i="1"/>
  <c r="F1144" i="1"/>
  <c r="A1144" i="1"/>
  <c r="M1143" i="1"/>
  <c r="H1143" i="1"/>
  <c r="F1143" i="1"/>
  <c r="A1143" i="1"/>
  <c r="M1142" i="1"/>
  <c r="H1142" i="1"/>
  <c r="F1142" i="1"/>
  <c r="A1142" i="1"/>
  <c r="M1141" i="1"/>
  <c r="H1141" i="1"/>
  <c r="F1141" i="1"/>
  <c r="A1141" i="1"/>
  <c r="M1140" i="1"/>
  <c r="H1140" i="1"/>
  <c r="F1140" i="1"/>
  <c r="A1140" i="1"/>
  <c r="M1139" i="1"/>
  <c r="H1139" i="1"/>
  <c r="F1139" i="1"/>
  <c r="A1139" i="1"/>
  <c r="M1138" i="1"/>
  <c r="H1138" i="1"/>
  <c r="F1138" i="1"/>
  <c r="A1138" i="1"/>
  <c r="M1137" i="1"/>
  <c r="H1137" i="1"/>
  <c r="F1137" i="1"/>
  <c r="A1137" i="1"/>
  <c r="M1136" i="1"/>
  <c r="H1136" i="1"/>
  <c r="F1136" i="1"/>
  <c r="A1136" i="1"/>
  <c r="M1135" i="1"/>
  <c r="H1135" i="1"/>
  <c r="F1135" i="1"/>
  <c r="A1135" i="1"/>
  <c r="M1134" i="1"/>
  <c r="H1134" i="1"/>
  <c r="F1134" i="1"/>
  <c r="A1134" i="1"/>
  <c r="M1133" i="1"/>
  <c r="H1133" i="1"/>
  <c r="F1133" i="1"/>
  <c r="A1133" i="1"/>
  <c r="M1132" i="1"/>
  <c r="H1132" i="1"/>
  <c r="F1132" i="1"/>
  <c r="A1132" i="1"/>
  <c r="M1131" i="1"/>
  <c r="H1131" i="1"/>
  <c r="F1131" i="1"/>
  <c r="A1131" i="1"/>
  <c r="M1130" i="1"/>
  <c r="H1130" i="1"/>
  <c r="F1130" i="1"/>
  <c r="A1130" i="1"/>
  <c r="M1129" i="1"/>
  <c r="H1129" i="1"/>
  <c r="F1129" i="1"/>
  <c r="A1129" i="1"/>
  <c r="M1128" i="1"/>
  <c r="H1128" i="1"/>
  <c r="F1128" i="1"/>
  <c r="A1128" i="1"/>
  <c r="M1127" i="1"/>
  <c r="H1127" i="1"/>
  <c r="F1127" i="1"/>
  <c r="A1127" i="1"/>
  <c r="M1126" i="1"/>
  <c r="H1126" i="1"/>
  <c r="F1126" i="1"/>
  <c r="A1126" i="1"/>
  <c r="M1125" i="1"/>
  <c r="H1125" i="1"/>
  <c r="F1125" i="1"/>
  <c r="A1125" i="1"/>
  <c r="M1124" i="1"/>
  <c r="H1124" i="1"/>
  <c r="F1124" i="1"/>
  <c r="A1124" i="1"/>
  <c r="M1123" i="1"/>
  <c r="H1123" i="1"/>
  <c r="F1123" i="1"/>
  <c r="A1123" i="1"/>
  <c r="M1122" i="1"/>
  <c r="H1122" i="1"/>
  <c r="F1122" i="1"/>
  <c r="A1122" i="1"/>
  <c r="M1121" i="1"/>
  <c r="H1121" i="1"/>
  <c r="F1121" i="1"/>
  <c r="A1121" i="1"/>
  <c r="M1120" i="1"/>
  <c r="H1120" i="1"/>
  <c r="F1120" i="1"/>
  <c r="A1120" i="1"/>
  <c r="M1119" i="1"/>
  <c r="H1119" i="1"/>
  <c r="F1119" i="1"/>
  <c r="A1119" i="1"/>
  <c r="M1118" i="1"/>
  <c r="H1118" i="1"/>
  <c r="F1118" i="1"/>
  <c r="A1118" i="1"/>
  <c r="M1117" i="1"/>
  <c r="H1117" i="1"/>
  <c r="F1117" i="1"/>
  <c r="A1117" i="1"/>
  <c r="M1116" i="1"/>
  <c r="H1116" i="1"/>
  <c r="F1116" i="1"/>
  <c r="A1116" i="1"/>
  <c r="M1115" i="1"/>
  <c r="H1115" i="1"/>
  <c r="F1115" i="1"/>
  <c r="A1115" i="1"/>
  <c r="M1114" i="1"/>
  <c r="H1114" i="1"/>
  <c r="F1114" i="1"/>
  <c r="A1114" i="1"/>
  <c r="M1113" i="1"/>
  <c r="H1113" i="1"/>
  <c r="F1113" i="1"/>
  <c r="A1113" i="1"/>
  <c r="M1112" i="1"/>
  <c r="H1112" i="1"/>
  <c r="F1112" i="1"/>
  <c r="A1112" i="1"/>
  <c r="M1111" i="1"/>
  <c r="H1111" i="1"/>
  <c r="F1111" i="1"/>
  <c r="A1111" i="1"/>
  <c r="M1110" i="1"/>
  <c r="H1110" i="1"/>
  <c r="F1110" i="1"/>
  <c r="A1110" i="1"/>
  <c r="M1109" i="1"/>
  <c r="H1109" i="1"/>
  <c r="F1109" i="1"/>
  <c r="A1109" i="1"/>
  <c r="M1108" i="1"/>
  <c r="H1108" i="1"/>
  <c r="F1108" i="1"/>
  <c r="A1108" i="1"/>
  <c r="M1107" i="1"/>
  <c r="H1107" i="1"/>
  <c r="F1107" i="1"/>
  <c r="A1107" i="1"/>
  <c r="M1106" i="1"/>
  <c r="H1106" i="1"/>
  <c r="F1106" i="1"/>
  <c r="A1106" i="1"/>
  <c r="M1105" i="1"/>
  <c r="H1105" i="1"/>
  <c r="F1105" i="1"/>
  <c r="A1105" i="1"/>
  <c r="M1104" i="1"/>
  <c r="H1104" i="1"/>
  <c r="F1104" i="1"/>
  <c r="A1104" i="1"/>
  <c r="M1103" i="1"/>
  <c r="H1103" i="1"/>
  <c r="F1103" i="1"/>
  <c r="A1103" i="1"/>
  <c r="M1102" i="1"/>
  <c r="H1102" i="1"/>
  <c r="F1102" i="1"/>
  <c r="A1102" i="1"/>
  <c r="M1101" i="1"/>
  <c r="H1101" i="1"/>
  <c r="F1101" i="1"/>
  <c r="A1101" i="1"/>
  <c r="M1100" i="1"/>
  <c r="H1100" i="1"/>
  <c r="F1100" i="1"/>
  <c r="A1100" i="1"/>
  <c r="M1099" i="1"/>
  <c r="H1099" i="1"/>
  <c r="F1099" i="1"/>
  <c r="A1099" i="1"/>
  <c r="M1098" i="1"/>
  <c r="H1098" i="1"/>
  <c r="F1098" i="1"/>
  <c r="A1098" i="1"/>
  <c r="M1097" i="1"/>
  <c r="H1097" i="1"/>
  <c r="F1097" i="1"/>
  <c r="A1097" i="1"/>
  <c r="M1096" i="1"/>
  <c r="H1096" i="1"/>
  <c r="F1096" i="1"/>
  <c r="A1096" i="1"/>
  <c r="M1095" i="1"/>
  <c r="H1095" i="1"/>
  <c r="F1095" i="1"/>
  <c r="A1095" i="1"/>
  <c r="M1094" i="1"/>
  <c r="H1094" i="1"/>
  <c r="F1094" i="1"/>
  <c r="A1094" i="1"/>
  <c r="M1093" i="1"/>
  <c r="H1093" i="1"/>
  <c r="F1093" i="1"/>
  <c r="A1093" i="1"/>
  <c r="M1092" i="1"/>
  <c r="H1092" i="1"/>
  <c r="F1092" i="1"/>
  <c r="A1092" i="1"/>
  <c r="M1091" i="1"/>
  <c r="H1091" i="1"/>
  <c r="F1091" i="1"/>
  <c r="A1091" i="1"/>
  <c r="M1090" i="1"/>
  <c r="H1090" i="1"/>
  <c r="F1090" i="1"/>
  <c r="A1090" i="1"/>
  <c r="M1089" i="1"/>
  <c r="H1089" i="1"/>
  <c r="F1089" i="1"/>
  <c r="A1089" i="1"/>
  <c r="M1088" i="1"/>
  <c r="H1088" i="1"/>
  <c r="F1088" i="1"/>
  <c r="A1088" i="1"/>
  <c r="M1087" i="1"/>
  <c r="H1087" i="1"/>
  <c r="F1087" i="1"/>
  <c r="A1087" i="1"/>
  <c r="M1086" i="1"/>
  <c r="H1086" i="1"/>
  <c r="F1086" i="1"/>
  <c r="A1086" i="1"/>
  <c r="M1085" i="1"/>
  <c r="H1085" i="1"/>
  <c r="F1085" i="1"/>
  <c r="A1085" i="1"/>
  <c r="M1084" i="1"/>
  <c r="H1084" i="1"/>
  <c r="F1084" i="1"/>
  <c r="A1084" i="1"/>
  <c r="M1083" i="1"/>
  <c r="H1083" i="1"/>
  <c r="F1083" i="1"/>
  <c r="A1083" i="1"/>
  <c r="M1082" i="1"/>
  <c r="H1082" i="1"/>
  <c r="F1082" i="1"/>
  <c r="A1082" i="1"/>
  <c r="M1081" i="1"/>
  <c r="H1081" i="1"/>
  <c r="F1081" i="1"/>
  <c r="A1081" i="1"/>
  <c r="M1080" i="1"/>
  <c r="H1080" i="1"/>
  <c r="F1080" i="1"/>
  <c r="A1080" i="1"/>
  <c r="M1079" i="1"/>
  <c r="H1079" i="1"/>
  <c r="F1079" i="1"/>
  <c r="A1079" i="1"/>
  <c r="M1078" i="1"/>
  <c r="H1078" i="1"/>
  <c r="F1078" i="1"/>
  <c r="A1078" i="1"/>
  <c r="M1077" i="1"/>
  <c r="H1077" i="1"/>
  <c r="F1077" i="1"/>
  <c r="A1077" i="1"/>
  <c r="M1076" i="1"/>
  <c r="H1076" i="1"/>
  <c r="F1076" i="1"/>
  <c r="A1076" i="1"/>
  <c r="M1075" i="1"/>
  <c r="H1075" i="1"/>
  <c r="F1075" i="1"/>
  <c r="A1075" i="1"/>
  <c r="M1074" i="1"/>
  <c r="H1074" i="1"/>
  <c r="F1074" i="1"/>
  <c r="A1074" i="1"/>
  <c r="M1073" i="1"/>
  <c r="H1073" i="1"/>
  <c r="F1073" i="1"/>
  <c r="A1073" i="1"/>
  <c r="M1072" i="1"/>
  <c r="H1072" i="1"/>
  <c r="F1072" i="1"/>
  <c r="A1072" i="1"/>
  <c r="M1071" i="1"/>
  <c r="H1071" i="1"/>
  <c r="F1071" i="1"/>
  <c r="A1071" i="1"/>
  <c r="M1070" i="1"/>
  <c r="H1070" i="1"/>
  <c r="F1070" i="1"/>
  <c r="A1070" i="1"/>
  <c r="M1069" i="1"/>
  <c r="H1069" i="1"/>
  <c r="F1069" i="1"/>
  <c r="A1069" i="1"/>
  <c r="M1068" i="1"/>
  <c r="H1068" i="1"/>
  <c r="F1068" i="1"/>
  <c r="A1068" i="1"/>
  <c r="M1067" i="1"/>
  <c r="H1067" i="1"/>
  <c r="F1067" i="1"/>
  <c r="A1067" i="1"/>
  <c r="M1066" i="1"/>
  <c r="H1066" i="1"/>
  <c r="F1066" i="1"/>
  <c r="A1066" i="1"/>
  <c r="M1065" i="1"/>
  <c r="H1065" i="1"/>
  <c r="F1065" i="1"/>
  <c r="A1065" i="1"/>
  <c r="M1064" i="1"/>
  <c r="H1064" i="1"/>
  <c r="F1064" i="1"/>
  <c r="A1064" i="1"/>
  <c r="M1063" i="1"/>
  <c r="H1063" i="1"/>
  <c r="F1063" i="1"/>
  <c r="A1063" i="1"/>
  <c r="M1062" i="1"/>
  <c r="H1062" i="1"/>
  <c r="F1062" i="1"/>
  <c r="A1062" i="1"/>
  <c r="M1061" i="1"/>
  <c r="H1061" i="1"/>
  <c r="F1061" i="1"/>
  <c r="A1061" i="1"/>
  <c r="M1060" i="1"/>
  <c r="H1060" i="1"/>
  <c r="F1060" i="1"/>
  <c r="A1060" i="1"/>
  <c r="M1059" i="1"/>
  <c r="H1059" i="1"/>
  <c r="F1059" i="1"/>
  <c r="A1059" i="1"/>
  <c r="M1058" i="1"/>
  <c r="H1058" i="1"/>
  <c r="F1058" i="1"/>
  <c r="A1058" i="1"/>
  <c r="M1057" i="1"/>
  <c r="H1057" i="1"/>
  <c r="F1057" i="1"/>
  <c r="A1057" i="1"/>
  <c r="M1056" i="1"/>
  <c r="H1056" i="1"/>
  <c r="F1056" i="1"/>
  <c r="A1056" i="1"/>
  <c r="M1055" i="1"/>
  <c r="H1055" i="1"/>
  <c r="F1055" i="1"/>
  <c r="A1055" i="1"/>
  <c r="M1054" i="1"/>
  <c r="H1054" i="1"/>
  <c r="F1054" i="1"/>
  <c r="A1054" i="1"/>
  <c r="M1053" i="1"/>
  <c r="H1053" i="1"/>
  <c r="F1053" i="1"/>
  <c r="A1053" i="1"/>
  <c r="M1052" i="1"/>
  <c r="H1052" i="1"/>
  <c r="F1052" i="1"/>
  <c r="A1052" i="1"/>
  <c r="M1051" i="1"/>
  <c r="H1051" i="1"/>
  <c r="F1051" i="1"/>
  <c r="A1051" i="1"/>
  <c r="M1050" i="1"/>
  <c r="H1050" i="1"/>
  <c r="F1050" i="1"/>
  <c r="A1050" i="1"/>
  <c r="M1049" i="1"/>
  <c r="H1049" i="1"/>
  <c r="F1049" i="1"/>
  <c r="A1049" i="1"/>
  <c r="M1048" i="1"/>
  <c r="H1048" i="1"/>
  <c r="F1048" i="1"/>
  <c r="A1048" i="1"/>
  <c r="M1047" i="1"/>
  <c r="H1047" i="1"/>
  <c r="F1047" i="1"/>
  <c r="A1047" i="1"/>
  <c r="M1046" i="1"/>
  <c r="H1046" i="1"/>
  <c r="F1046" i="1"/>
  <c r="A1046" i="1"/>
  <c r="M1045" i="1"/>
  <c r="H1045" i="1"/>
  <c r="F1045" i="1"/>
  <c r="A1045" i="1"/>
  <c r="M1044" i="1"/>
  <c r="H1044" i="1"/>
  <c r="F1044" i="1"/>
  <c r="A1044" i="1"/>
  <c r="M1043" i="1"/>
  <c r="H1043" i="1"/>
  <c r="F1043" i="1"/>
  <c r="A1043" i="1"/>
  <c r="M1042" i="1"/>
  <c r="H1042" i="1"/>
  <c r="F1042" i="1"/>
  <c r="A1042" i="1"/>
  <c r="M1041" i="1"/>
  <c r="H1041" i="1"/>
  <c r="F1041" i="1"/>
  <c r="A1041" i="1"/>
  <c r="M1040" i="1"/>
  <c r="H1040" i="1"/>
  <c r="F1040" i="1"/>
  <c r="A1040" i="1"/>
  <c r="M1039" i="1"/>
  <c r="H1039" i="1"/>
  <c r="F1039" i="1"/>
  <c r="A1039" i="1"/>
  <c r="M1038" i="1"/>
  <c r="H1038" i="1"/>
  <c r="F1038" i="1"/>
  <c r="A1038" i="1"/>
  <c r="M1037" i="1"/>
  <c r="H1037" i="1"/>
  <c r="F1037" i="1"/>
  <c r="A1037" i="1"/>
  <c r="M1036" i="1"/>
  <c r="H1036" i="1"/>
  <c r="F1036" i="1"/>
  <c r="A1036" i="1"/>
  <c r="M1035" i="1"/>
  <c r="H1035" i="1"/>
  <c r="F1035" i="1"/>
  <c r="A1035" i="1"/>
  <c r="M1034" i="1"/>
  <c r="H1034" i="1"/>
  <c r="F1034" i="1"/>
  <c r="A1034" i="1"/>
  <c r="M1033" i="1"/>
  <c r="H1033" i="1"/>
  <c r="F1033" i="1"/>
  <c r="A1033" i="1"/>
  <c r="M1032" i="1"/>
  <c r="H1032" i="1"/>
  <c r="F1032" i="1"/>
  <c r="A1032" i="1"/>
  <c r="M1031" i="1"/>
  <c r="H1031" i="1"/>
  <c r="F1031" i="1"/>
  <c r="A1031" i="1"/>
  <c r="M1030" i="1"/>
  <c r="H1030" i="1"/>
  <c r="F1030" i="1"/>
  <c r="A1030" i="1"/>
  <c r="M1029" i="1"/>
  <c r="H1029" i="1"/>
  <c r="F1029" i="1"/>
  <c r="A1029" i="1"/>
  <c r="M1028" i="1"/>
  <c r="H1028" i="1"/>
  <c r="F1028" i="1"/>
  <c r="A1028" i="1"/>
  <c r="M1027" i="1"/>
  <c r="H1027" i="1"/>
  <c r="F1027" i="1"/>
  <c r="A1027" i="1"/>
  <c r="M1026" i="1"/>
  <c r="H1026" i="1"/>
  <c r="F1026" i="1"/>
  <c r="A1026" i="1"/>
  <c r="M1025" i="1"/>
  <c r="H1025" i="1"/>
  <c r="F1025" i="1"/>
  <c r="A1025" i="1"/>
  <c r="M1024" i="1"/>
  <c r="H1024" i="1"/>
  <c r="F1024" i="1"/>
  <c r="A1024" i="1"/>
  <c r="M1023" i="1"/>
  <c r="H1023" i="1"/>
  <c r="F1023" i="1"/>
  <c r="A1023" i="1"/>
  <c r="M1022" i="1"/>
  <c r="H1022" i="1"/>
  <c r="F1022" i="1"/>
  <c r="A1022" i="1"/>
  <c r="M1021" i="1"/>
  <c r="H1021" i="1"/>
  <c r="F1021" i="1"/>
  <c r="A1021" i="1"/>
  <c r="M1020" i="1"/>
  <c r="H1020" i="1"/>
  <c r="F1020" i="1"/>
  <c r="A1020" i="1"/>
  <c r="M1019" i="1"/>
  <c r="H1019" i="1"/>
  <c r="F1019" i="1"/>
  <c r="A1019" i="1"/>
  <c r="M1018" i="1"/>
  <c r="H1018" i="1"/>
  <c r="F1018" i="1"/>
  <c r="A1018" i="1"/>
  <c r="M1017" i="1"/>
  <c r="H1017" i="1"/>
  <c r="F1017" i="1"/>
  <c r="A1017" i="1"/>
  <c r="M1016" i="1"/>
  <c r="H1016" i="1"/>
  <c r="F1016" i="1"/>
  <c r="A1016" i="1"/>
  <c r="M1015" i="1"/>
  <c r="H1015" i="1"/>
  <c r="F1015" i="1"/>
  <c r="A1015" i="1"/>
  <c r="M1014" i="1"/>
  <c r="H1014" i="1"/>
  <c r="F1014" i="1"/>
  <c r="A1014" i="1"/>
  <c r="M1013" i="1"/>
  <c r="H1013" i="1"/>
  <c r="F1013" i="1"/>
  <c r="A1013" i="1"/>
  <c r="M1012" i="1"/>
  <c r="H1012" i="1"/>
  <c r="F1012" i="1"/>
  <c r="A1012" i="1"/>
  <c r="M1011" i="1"/>
  <c r="H1011" i="1"/>
  <c r="F1011" i="1"/>
  <c r="A1011" i="1"/>
  <c r="M1010" i="1"/>
  <c r="H1010" i="1"/>
  <c r="F1010" i="1"/>
  <c r="A1010" i="1"/>
  <c r="M1009" i="1"/>
  <c r="H1009" i="1"/>
  <c r="F1009" i="1"/>
  <c r="A1009" i="1"/>
  <c r="M1008" i="1"/>
  <c r="H1008" i="1"/>
  <c r="F1008" i="1"/>
  <c r="A1008" i="1"/>
  <c r="M1007" i="1"/>
  <c r="H1007" i="1"/>
  <c r="F1007" i="1"/>
  <c r="A1007" i="1"/>
  <c r="M1006" i="1"/>
  <c r="H1006" i="1"/>
  <c r="F1006" i="1"/>
  <c r="A1006" i="1"/>
  <c r="M1005" i="1"/>
  <c r="H1005" i="1"/>
  <c r="F1005" i="1"/>
  <c r="A1005" i="1"/>
  <c r="M1004" i="1"/>
  <c r="H1004" i="1"/>
  <c r="F1004" i="1"/>
  <c r="A1004" i="1"/>
  <c r="M1003" i="1"/>
  <c r="H1003" i="1"/>
  <c r="F1003" i="1"/>
  <c r="A1003" i="1"/>
  <c r="M1002" i="1"/>
  <c r="H1002" i="1"/>
  <c r="F1002" i="1"/>
  <c r="A1002" i="1"/>
  <c r="M1001" i="1"/>
  <c r="H1001" i="1"/>
  <c r="F1001" i="1"/>
  <c r="A1001" i="1"/>
  <c r="M1000" i="1"/>
  <c r="H1000" i="1"/>
  <c r="F1000" i="1"/>
  <c r="A1000" i="1"/>
  <c r="M999" i="1"/>
  <c r="H999" i="1"/>
  <c r="F999" i="1"/>
  <c r="A999" i="1"/>
  <c r="M998" i="1"/>
  <c r="H998" i="1"/>
  <c r="F998" i="1"/>
  <c r="A998" i="1"/>
  <c r="M997" i="1"/>
  <c r="H997" i="1"/>
  <c r="F997" i="1"/>
  <c r="A997" i="1"/>
  <c r="M996" i="1"/>
  <c r="H996" i="1"/>
  <c r="F996" i="1"/>
  <c r="A996" i="1"/>
  <c r="M995" i="1"/>
  <c r="H995" i="1"/>
  <c r="F995" i="1"/>
  <c r="A995" i="1"/>
  <c r="M994" i="1"/>
  <c r="H994" i="1"/>
  <c r="F994" i="1"/>
  <c r="A994" i="1"/>
  <c r="M993" i="1"/>
  <c r="H993" i="1"/>
  <c r="F993" i="1"/>
  <c r="A993" i="1"/>
  <c r="M992" i="1"/>
  <c r="H992" i="1"/>
  <c r="F992" i="1"/>
  <c r="A992" i="1"/>
  <c r="M991" i="1"/>
  <c r="H991" i="1"/>
  <c r="F991" i="1"/>
  <c r="A991" i="1"/>
  <c r="M990" i="1"/>
  <c r="H990" i="1"/>
  <c r="F990" i="1"/>
  <c r="A990" i="1"/>
  <c r="M989" i="1"/>
  <c r="H989" i="1"/>
  <c r="F989" i="1"/>
  <c r="A989" i="1"/>
  <c r="M988" i="1"/>
  <c r="H988" i="1"/>
  <c r="F988" i="1"/>
  <c r="A988" i="1"/>
  <c r="M987" i="1"/>
  <c r="H987" i="1"/>
  <c r="F987" i="1"/>
  <c r="A987" i="1"/>
  <c r="M986" i="1"/>
  <c r="H986" i="1"/>
  <c r="F986" i="1"/>
  <c r="A986" i="1"/>
  <c r="M985" i="1"/>
  <c r="H985" i="1"/>
  <c r="F985" i="1"/>
  <c r="A985" i="1"/>
  <c r="M984" i="1"/>
  <c r="H984" i="1"/>
  <c r="F984" i="1"/>
  <c r="A984" i="1"/>
  <c r="M983" i="1"/>
  <c r="H983" i="1"/>
  <c r="F983" i="1"/>
  <c r="A983" i="1"/>
  <c r="M982" i="1"/>
  <c r="H982" i="1"/>
  <c r="F982" i="1"/>
  <c r="A982" i="1"/>
  <c r="M981" i="1"/>
  <c r="H981" i="1"/>
  <c r="F981" i="1"/>
  <c r="A981" i="1"/>
  <c r="M980" i="1"/>
  <c r="H980" i="1"/>
  <c r="F980" i="1"/>
  <c r="A980" i="1"/>
  <c r="M979" i="1"/>
  <c r="H979" i="1"/>
  <c r="F979" i="1"/>
  <c r="A979" i="1"/>
  <c r="M978" i="1"/>
  <c r="H978" i="1"/>
  <c r="F978" i="1"/>
  <c r="A978" i="1"/>
  <c r="M977" i="1"/>
  <c r="H977" i="1"/>
  <c r="F977" i="1"/>
  <c r="A977" i="1"/>
  <c r="M976" i="1"/>
  <c r="H976" i="1"/>
  <c r="F976" i="1"/>
  <c r="A976" i="1"/>
  <c r="M975" i="1"/>
  <c r="H975" i="1"/>
  <c r="F975" i="1"/>
  <c r="A975" i="1"/>
  <c r="M974" i="1"/>
  <c r="H974" i="1"/>
  <c r="F974" i="1"/>
  <c r="A974" i="1"/>
  <c r="M973" i="1"/>
  <c r="H973" i="1"/>
  <c r="F973" i="1"/>
  <c r="A973" i="1"/>
  <c r="M972" i="1"/>
  <c r="H972" i="1"/>
  <c r="F972" i="1"/>
  <c r="A972" i="1"/>
  <c r="M971" i="1"/>
  <c r="H971" i="1"/>
  <c r="F971" i="1"/>
  <c r="A971" i="1"/>
  <c r="M970" i="1"/>
  <c r="H970" i="1"/>
  <c r="F970" i="1"/>
  <c r="A970" i="1"/>
  <c r="M969" i="1"/>
  <c r="H969" i="1"/>
  <c r="F969" i="1"/>
  <c r="A969" i="1"/>
  <c r="M968" i="1"/>
  <c r="H968" i="1"/>
  <c r="F968" i="1"/>
  <c r="A968" i="1"/>
  <c r="M967" i="1"/>
  <c r="H967" i="1"/>
  <c r="F967" i="1"/>
  <c r="A967" i="1"/>
  <c r="M966" i="1"/>
  <c r="H966" i="1"/>
  <c r="F966" i="1"/>
  <c r="A966" i="1"/>
  <c r="M965" i="1"/>
  <c r="H965" i="1"/>
  <c r="F965" i="1"/>
  <c r="A965" i="1"/>
  <c r="M964" i="1"/>
  <c r="H964" i="1"/>
  <c r="F964" i="1"/>
  <c r="A964" i="1"/>
  <c r="M963" i="1"/>
  <c r="H963" i="1"/>
  <c r="F963" i="1"/>
  <c r="A963" i="1"/>
  <c r="M962" i="1"/>
  <c r="H962" i="1"/>
  <c r="F962" i="1"/>
  <c r="A962" i="1"/>
  <c r="M961" i="1"/>
  <c r="H961" i="1"/>
  <c r="F961" i="1"/>
  <c r="A961" i="1"/>
  <c r="M960" i="1"/>
  <c r="H960" i="1"/>
  <c r="F960" i="1"/>
  <c r="A960" i="1"/>
  <c r="M959" i="1"/>
  <c r="H959" i="1"/>
  <c r="F959" i="1"/>
  <c r="A959" i="1"/>
  <c r="M958" i="1"/>
  <c r="H958" i="1"/>
  <c r="F958" i="1"/>
  <c r="A958" i="1"/>
  <c r="M957" i="1"/>
  <c r="H957" i="1"/>
  <c r="F957" i="1"/>
  <c r="A957" i="1"/>
  <c r="M956" i="1"/>
  <c r="H956" i="1"/>
  <c r="F956" i="1"/>
  <c r="A956" i="1"/>
  <c r="M955" i="1"/>
  <c r="H955" i="1"/>
  <c r="F955" i="1"/>
  <c r="A955" i="1"/>
  <c r="M954" i="1"/>
  <c r="H954" i="1"/>
  <c r="F954" i="1"/>
  <c r="A954" i="1"/>
  <c r="M953" i="1"/>
  <c r="H953" i="1"/>
  <c r="F953" i="1"/>
  <c r="A953" i="1"/>
  <c r="M952" i="1"/>
  <c r="H952" i="1"/>
  <c r="F952" i="1"/>
  <c r="A952" i="1"/>
  <c r="M951" i="1"/>
  <c r="H951" i="1"/>
  <c r="F951" i="1"/>
  <c r="A951" i="1"/>
  <c r="M950" i="1"/>
  <c r="H950" i="1"/>
  <c r="F950" i="1"/>
  <c r="A950" i="1"/>
  <c r="M949" i="1"/>
  <c r="H949" i="1"/>
  <c r="F949" i="1"/>
  <c r="A949" i="1"/>
  <c r="M948" i="1"/>
  <c r="H948" i="1"/>
  <c r="F948" i="1"/>
  <c r="A948" i="1"/>
  <c r="M947" i="1"/>
  <c r="H947" i="1"/>
  <c r="F947" i="1"/>
  <c r="A947" i="1"/>
  <c r="M946" i="1"/>
  <c r="H946" i="1"/>
  <c r="F946" i="1"/>
  <c r="A946" i="1"/>
  <c r="M945" i="1"/>
  <c r="H945" i="1"/>
  <c r="F945" i="1"/>
  <c r="A945" i="1"/>
  <c r="M944" i="1"/>
  <c r="H944" i="1"/>
  <c r="F944" i="1"/>
  <c r="A944" i="1"/>
  <c r="M943" i="1"/>
  <c r="H943" i="1"/>
  <c r="F943" i="1"/>
  <c r="A943" i="1"/>
  <c r="M942" i="1"/>
  <c r="H942" i="1"/>
  <c r="F942" i="1"/>
  <c r="A942" i="1"/>
  <c r="M941" i="1"/>
  <c r="H941" i="1"/>
  <c r="F941" i="1"/>
  <c r="A941" i="1"/>
  <c r="M940" i="1"/>
  <c r="H940" i="1"/>
  <c r="F940" i="1"/>
  <c r="A940" i="1"/>
  <c r="M939" i="1"/>
  <c r="H939" i="1"/>
  <c r="F939" i="1"/>
  <c r="A939" i="1"/>
  <c r="M938" i="1"/>
  <c r="H938" i="1"/>
  <c r="F938" i="1"/>
  <c r="A938" i="1"/>
  <c r="M937" i="1"/>
  <c r="H937" i="1"/>
  <c r="F937" i="1"/>
  <c r="A937" i="1"/>
  <c r="M936" i="1"/>
  <c r="H936" i="1"/>
  <c r="F936" i="1"/>
  <c r="A936" i="1"/>
  <c r="M935" i="1"/>
  <c r="H935" i="1"/>
  <c r="F935" i="1"/>
  <c r="A935" i="1"/>
  <c r="M934" i="1"/>
  <c r="H934" i="1"/>
  <c r="F934" i="1"/>
  <c r="A934" i="1"/>
  <c r="M933" i="1"/>
  <c r="H933" i="1"/>
  <c r="F933" i="1"/>
  <c r="A933" i="1"/>
  <c r="M932" i="1"/>
  <c r="H932" i="1"/>
  <c r="F932" i="1"/>
  <c r="A932" i="1"/>
  <c r="M931" i="1"/>
  <c r="H931" i="1"/>
  <c r="F931" i="1"/>
  <c r="A931" i="1"/>
  <c r="M930" i="1"/>
  <c r="H930" i="1"/>
  <c r="F930" i="1"/>
  <c r="A930" i="1"/>
  <c r="M929" i="1"/>
  <c r="H929" i="1"/>
  <c r="F929" i="1"/>
  <c r="A929" i="1"/>
  <c r="M928" i="1"/>
  <c r="H928" i="1"/>
  <c r="F928" i="1"/>
  <c r="A928" i="1"/>
  <c r="M927" i="1"/>
  <c r="H927" i="1"/>
  <c r="F927" i="1"/>
  <c r="A927" i="1"/>
  <c r="M926" i="1"/>
  <c r="H926" i="1"/>
  <c r="F926" i="1"/>
  <c r="A926" i="1"/>
  <c r="M925" i="1"/>
  <c r="H925" i="1"/>
  <c r="F925" i="1"/>
  <c r="A925" i="1"/>
  <c r="M924" i="1"/>
  <c r="H924" i="1"/>
  <c r="F924" i="1"/>
  <c r="A924" i="1"/>
  <c r="M923" i="1"/>
  <c r="H923" i="1"/>
  <c r="F923" i="1"/>
  <c r="A923" i="1"/>
  <c r="M922" i="1"/>
  <c r="H922" i="1"/>
  <c r="F922" i="1"/>
  <c r="A922" i="1"/>
  <c r="M921" i="1"/>
  <c r="H921" i="1"/>
  <c r="F921" i="1"/>
  <c r="A921" i="1"/>
  <c r="M920" i="1"/>
  <c r="H920" i="1"/>
  <c r="F920" i="1"/>
  <c r="A920" i="1"/>
  <c r="M919" i="1"/>
  <c r="H919" i="1"/>
  <c r="F919" i="1"/>
  <c r="A919" i="1"/>
  <c r="M918" i="1"/>
  <c r="H918" i="1"/>
  <c r="F918" i="1"/>
  <c r="A918" i="1"/>
  <c r="M917" i="1"/>
  <c r="H917" i="1"/>
  <c r="F917" i="1"/>
  <c r="A917" i="1"/>
  <c r="M916" i="1"/>
  <c r="H916" i="1"/>
  <c r="F916" i="1"/>
  <c r="A916" i="1"/>
  <c r="M915" i="1"/>
  <c r="H915" i="1"/>
  <c r="F915" i="1"/>
  <c r="A915" i="1"/>
  <c r="M914" i="1"/>
  <c r="H914" i="1"/>
  <c r="F914" i="1"/>
  <c r="A914" i="1"/>
  <c r="M913" i="1"/>
  <c r="H913" i="1"/>
  <c r="F913" i="1"/>
  <c r="A913" i="1"/>
  <c r="M912" i="1"/>
  <c r="H912" i="1"/>
  <c r="F912" i="1"/>
  <c r="A912" i="1"/>
  <c r="M911" i="1"/>
  <c r="H911" i="1"/>
  <c r="F911" i="1"/>
  <c r="A911" i="1"/>
  <c r="M910" i="1"/>
  <c r="H910" i="1"/>
  <c r="F910" i="1"/>
  <c r="A910" i="1"/>
  <c r="M909" i="1"/>
  <c r="H909" i="1"/>
  <c r="F909" i="1"/>
  <c r="A909" i="1"/>
  <c r="M908" i="1"/>
  <c r="H908" i="1"/>
  <c r="F908" i="1"/>
  <c r="A908" i="1"/>
  <c r="M907" i="1"/>
  <c r="H907" i="1"/>
  <c r="F907" i="1"/>
  <c r="A907" i="1"/>
  <c r="M906" i="1"/>
  <c r="H906" i="1"/>
  <c r="F906" i="1"/>
  <c r="A906" i="1"/>
  <c r="M905" i="1"/>
  <c r="H905" i="1"/>
  <c r="F905" i="1"/>
  <c r="A905" i="1"/>
  <c r="M904" i="1"/>
  <c r="H904" i="1"/>
  <c r="F904" i="1"/>
  <c r="A904" i="1"/>
  <c r="M903" i="1"/>
  <c r="H903" i="1"/>
  <c r="F903" i="1"/>
  <c r="A903" i="1"/>
  <c r="M902" i="1"/>
  <c r="H902" i="1"/>
  <c r="F902" i="1"/>
  <c r="A902" i="1"/>
  <c r="M901" i="1"/>
  <c r="H901" i="1"/>
  <c r="F901" i="1"/>
  <c r="A901" i="1"/>
  <c r="M900" i="1"/>
  <c r="H900" i="1"/>
  <c r="F900" i="1"/>
  <c r="A900" i="1"/>
  <c r="M899" i="1"/>
  <c r="H899" i="1"/>
  <c r="F899" i="1"/>
  <c r="A899" i="1"/>
  <c r="M898" i="1"/>
  <c r="H898" i="1"/>
  <c r="F898" i="1"/>
  <c r="A898" i="1"/>
  <c r="M897" i="1"/>
  <c r="H897" i="1"/>
  <c r="F897" i="1"/>
  <c r="A897" i="1"/>
  <c r="M896" i="1"/>
  <c r="H896" i="1"/>
  <c r="F896" i="1"/>
  <c r="A896" i="1"/>
  <c r="M895" i="1"/>
  <c r="H895" i="1"/>
  <c r="F895" i="1"/>
  <c r="A895" i="1"/>
  <c r="M894" i="1"/>
  <c r="H894" i="1"/>
  <c r="F894" i="1"/>
  <c r="A894" i="1"/>
  <c r="M893" i="1"/>
  <c r="H893" i="1"/>
  <c r="F893" i="1"/>
  <c r="A893" i="1"/>
  <c r="M892" i="1"/>
  <c r="H892" i="1"/>
  <c r="F892" i="1"/>
  <c r="A892" i="1"/>
  <c r="M891" i="1"/>
  <c r="H891" i="1"/>
  <c r="F891" i="1"/>
  <c r="A891" i="1"/>
  <c r="M890" i="1"/>
  <c r="H890" i="1"/>
  <c r="F890" i="1"/>
  <c r="A890" i="1"/>
  <c r="M889" i="1"/>
  <c r="H889" i="1"/>
  <c r="F889" i="1"/>
  <c r="A889" i="1"/>
  <c r="M888" i="1"/>
  <c r="H888" i="1"/>
  <c r="F888" i="1"/>
  <c r="A888" i="1"/>
  <c r="M887" i="1"/>
  <c r="H887" i="1"/>
  <c r="F887" i="1"/>
  <c r="A887" i="1"/>
  <c r="M886" i="1"/>
  <c r="H886" i="1"/>
  <c r="F886" i="1"/>
  <c r="A886" i="1"/>
  <c r="M885" i="1"/>
  <c r="H885" i="1"/>
  <c r="F885" i="1"/>
  <c r="A885" i="1"/>
  <c r="M884" i="1"/>
  <c r="H884" i="1"/>
  <c r="F884" i="1"/>
  <c r="A884" i="1"/>
  <c r="M883" i="1"/>
  <c r="H883" i="1"/>
  <c r="F883" i="1"/>
  <c r="A883" i="1"/>
  <c r="M882" i="1"/>
  <c r="H882" i="1"/>
  <c r="F882" i="1"/>
  <c r="A882" i="1"/>
  <c r="M881" i="1"/>
  <c r="H881" i="1"/>
  <c r="F881" i="1"/>
  <c r="A881" i="1"/>
  <c r="M880" i="1"/>
  <c r="H880" i="1"/>
  <c r="F880" i="1"/>
  <c r="A880" i="1"/>
  <c r="M879" i="1"/>
  <c r="H879" i="1"/>
  <c r="F879" i="1"/>
  <c r="A879" i="1"/>
  <c r="M878" i="1"/>
  <c r="H878" i="1"/>
  <c r="F878" i="1"/>
  <c r="A878" i="1"/>
  <c r="M877" i="1"/>
  <c r="H877" i="1"/>
  <c r="F877" i="1"/>
  <c r="A877" i="1"/>
  <c r="M876" i="1"/>
  <c r="H876" i="1"/>
  <c r="F876" i="1"/>
  <c r="A876" i="1"/>
  <c r="M875" i="1"/>
  <c r="H875" i="1"/>
  <c r="F875" i="1"/>
  <c r="A875" i="1"/>
  <c r="M874" i="1"/>
  <c r="H874" i="1"/>
  <c r="F874" i="1"/>
  <c r="A874" i="1"/>
  <c r="M873" i="1"/>
  <c r="H873" i="1"/>
  <c r="F873" i="1"/>
  <c r="A873" i="1"/>
  <c r="M872" i="1"/>
  <c r="H872" i="1"/>
  <c r="F872" i="1"/>
  <c r="A872" i="1"/>
  <c r="M871" i="1"/>
  <c r="H871" i="1"/>
  <c r="F871" i="1"/>
  <c r="A871" i="1"/>
  <c r="M870" i="1"/>
  <c r="H870" i="1"/>
  <c r="F870" i="1"/>
  <c r="A870" i="1"/>
  <c r="M869" i="1"/>
  <c r="H869" i="1"/>
  <c r="F869" i="1"/>
  <c r="A869" i="1"/>
  <c r="M868" i="1"/>
  <c r="H868" i="1"/>
  <c r="F868" i="1"/>
  <c r="A868" i="1"/>
  <c r="M867" i="1"/>
  <c r="H867" i="1"/>
  <c r="F867" i="1"/>
  <c r="A867" i="1"/>
  <c r="M866" i="1"/>
  <c r="H866" i="1"/>
  <c r="F866" i="1"/>
  <c r="A866" i="1"/>
  <c r="M865" i="1"/>
  <c r="H865" i="1"/>
  <c r="F865" i="1"/>
  <c r="A865" i="1"/>
  <c r="M864" i="1"/>
  <c r="H864" i="1"/>
  <c r="F864" i="1"/>
  <c r="A864" i="1"/>
  <c r="M863" i="1"/>
  <c r="H863" i="1"/>
  <c r="F863" i="1"/>
  <c r="A863" i="1"/>
  <c r="M862" i="1"/>
  <c r="H862" i="1"/>
  <c r="F862" i="1"/>
  <c r="A862" i="1"/>
  <c r="M861" i="1"/>
  <c r="H861" i="1"/>
  <c r="F861" i="1"/>
  <c r="A861" i="1"/>
  <c r="M860" i="1"/>
  <c r="H860" i="1"/>
  <c r="F860" i="1"/>
  <c r="A860" i="1"/>
  <c r="M859" i="1"/>
  <c r="H859" i="1"/>
  <c r="F859" i="1"/>
  <c r="A859" i="1"/>
  <c r="M858" i="1"/>
  <c r="H858" i="1"/>
  <c r="F858" i="1"/>
  <c r="A858" i="1"/>
  <c r="M857" i="1"/>
  <c r="H857" i="1"/>
  <c r="F857" i="1"/>
  <c r="A857" i="1"/>
  <c r="M856" i="1"/>
  <c r="H856" i="1"/>
  <c r="F856" i="1"/>
  <c r="A856" i="1"/>
  <c r="M855" i="1"/>
  <c r="H855" i="1"/>
  <c r="F855" i="1"/>
  <c r="A855" i="1"/>
  <c r="M854" i="1"/>
  <c r="H854" i="1"/>
  <c r="F854" i="1"/>
  <c r="A854" i="1"/>
  <c r="M853" i="1"/>
  <c r="H853" i="1"/>
  <c r="F853" i="1"/>
  <c r="A853" i="1"/>
  <c r="M852" i="1"/>
  <c r="H852" i="1"/>
  <c r="F852" i="1"/>
  <c r="A852" i="1"/>
  <c r="M851" i="1"/>
  <c r="H851" i="1"/>
  <c r="F851" i="1"/>
  <c r="A851" i="1"/>
  <c r="M850" i="1"/>
  <c r="H850" i="1"/>
  <c r="F850" i="1"/>
  <c r="A850" i="1"/>
  <c r="M849" i="1"/>
  <c r="H849" i="1"/>
  <c r="F849" i="1"/>
  <c r="A849" i="1"/>
  <c r="M848" i="1"/>
  <c r="H848" i="1"/>
  <c r="F848" i="1"/>
  <c r="A848" i="1"/>
  <c r="M847" i="1"/>
  <c r="H847" i="1"/>
  <c r="F847" i="1"/>
  <c r="A847" i="1"/>
  <c r="M846" i="1"/>
  <c r="H846" i="1"/>
  <c r="F846" i="1"/>
  <c r="A846" i="1"/>
  <c r="M845" i="1"/>
  <c r="H845" i="1"/>
  <c r="F845" i="1"/>
  <c r="A845" i="1"/>
  <c r="M844" i="1"/>
  <c r="H844" i="1"/>
  <c r="F844" i="1"/>
  <c r="A844" i="1"/>
  <c r="M843" i="1"/>
  <c r="H843" i="1"/>
  <c r="F843" i="1"/>
  <c r="A843" i="1"/>
  <c r="M842" i="1"/>
  <c r="H842" i="1"/>
  <c r="F842" i="1"/>
  <c r="A842" i="1"/>
  <c r="M841" i="1"/>
  <c r="H841" i="1"/>
  <c r="F841" i="1"/>
  <c r="A841" i="1"/>
  <c r="M840" i="1"/>
  <c r="H840" i="1"/>
  <c r="F840" i="1"/>
  <c r="A840" i="1"/>
  <c r="M839" i="1"/>
  <c r="H839" i="1"/>
  <c r="F839" i="1"/>
  <c r="A839" i="1"/>
  <c r="M838" i="1"/>
  <c r="H838" i="1"/>
  <c r="F838" i="1"/>
  <c r="A838" i="1"/>
  <c r="M837" i="1"/>
  <c r="H837" i="1"/>
  <c r="F837" i="1"/>
  <c r="A837" i="1"/>
  <c r="M836" i="1"/>
  <c r="H836" i="1"/>
  <c r="F836" i="1"/>
  <c r="A836" i="1"/>
  <c r="M835" i="1"/>
  <c r="H835" i="1"/>
  <c r="F835" i="1"/>
  <c r="A835" i="1"/>
  <c r="M834" i="1"/>
  <c r="H834" i="1"/>
  <c r="F834" i="1"/>
  <c r="A834" i="1"/>
  <c r="M833" i="1"/>
  <c r="H833" i="1"/>
  <c r="F833" i="1"/>
  <c r="A833" i="1"/>
  <c r="M832" i="1"/>
  <c r="H832" i="1"/>
  <c r="F832" i="1"/>
  <c r="A832" i="1"/>
  <c r="M831" i="1"/>
  <c r="H831" i="1"/>
  <c r="F831" i="1"/>
  <c r="A831" i="1"/>
  <c r="M830" i="1"/>
  <c r="H830" i="1"/>
  <c r="F830" i="1"/>
  <c r="A830" i="1"/>
  <c r="M829" i="1"/>
  <c r="H829" i="1"/>
  <c r="F829" i="1"/>
  <c r="A829" i="1"/>
  <c r="M828" i="1"/>
  <c r="H828" i="1"/>
  <c r="F828" i="1"/>
  <c r="A828" i="1"/>
  <c r="M827" i="1"/>
  <c r="H827" i="1"/>
  <c r="F827" i="1"/>
  <c r="A827" i="1"/>
  <c r="M826" i="1"/>
  <c r="H826" i="1"/>
  <c r="F826" i="1"/>
  <c r="A826" i="1"/>
  <c r="M825" i="1"/>
  <c r="H825" i="1"/>
  <c r="F825" i="1"/>
  <c r="A825" i="1"/>
  <c r="M824" i="1"/>
  <c r="H824" i="1"/>
  <c r="F824" i="1"/>
  <c r="A824" i="1"/>
  <c r="M823" i="1"/>
  <c r="H823" i="1"/>
  <c r="F823" i="1"/>
  <c r="A823" i="1"/>
  <c r="M822" i="1"/>
  <c r="H822" i="1"/>
  <c r="F822" i="1"/>
  <c r="A822" i="1"/>
  <c r="M821" i="1"/>
  <c r="H821" i="1"/>
  <c r="F821" i="1"/>
  <c r="A821" i="1"/>
  <c r="M820" i="1"/>
  <c r="H820" i="1"/>
  <c r="F820" i="1"/>
  <c r="A820" i="1"/>
  <c r="M819" i="1"/>
  <c r="H819" i="1"/>
  <c r="F819" i="1"/>
  <c r="A819" i="1"/>
  <c r="M818" i="1"/>
  <c r="H818" i="1"/>
  <c r="F818" i="1"/>
  <c r="A818" i="1"/>
  <c r="M817" i="1"/>
  <c r="H817" i="1"/>
  <c r="F817" i="1"/>
  <c r="A817" i="1"/>
  <c r="M816" i="1"/>
  <c r="H816" i="1"/>
  <c r="F816" i="1"/>
  <c r="A816" i="1"/>
  <c r="M815" i="1"/>
  <c r="H815" i="1"/>
  <c r="F815" i="1"/>
  <c r="A815" i="1"/>
  <c r="M814" i="1"/>
  <c r="H814" i="1"/>
  <c r="F814" i="1"/>
  <c r="A814" i="1"/>
  <c r="M813" i="1"/>
  <c r="H813" i="1"/>
  <c r="F813" i="1"/>
  <c r="A813" i="1"/>
  <c r="M812" i="1"/>
  <c r="H812" i="1"/>
  <c r="F812" i="1"/>
  <c r="A812" i="1"/>
  <c r="M811" i="1"/>
  <c r="H811" i="1"/>
  <c r="F811" i="1"/>
  <c r="A811" i="1"/>
  <c r="M810" i="1"/>
  <c r="H810" i="1"/>
  <c r="F810" i="1"/>
  <c r="A810" i="1"/>
  <c r="M809" i="1"/>
  <c r="H809" i="1"/>
  <c r="F809" i="1"/>
  <c r="A809" i="1"/>
  <c r="M808" i="1"/>
  <c r="H808" i="1"/>
  <c r="F808" i="1"/>
  <c r="A808" i="1"/>
  <c r="M807" i="1"/>
  <c r="H807" i="1"/>
  <c r="F807" i="1"/>
  <c r="A807" i="1"/>
  <c r="M806" i="1"/>
  <c r="H806" i="1"/>
  <c r="F806" i="1"/>
  <c r="A806" i="1"/>
  <c r="M805" i="1"/>
  <c r="H805" i="1"/>
  <c r="F805" i="1"/>
  <c r="A805" i="1"/>
  <c r="M804" i="1"/>
  <c r="H804" i="1"/>
  <c r="F804" i="1"/>
  <c r="A804" i="1"/>
  <c r="M803" i="1"/>
  <c r="H803" i="1"/>
  <c r="F803" i="1"/>
  <c r="A803" i="1"/>
  <c r="M802" i="1"/>
  <c r="H802" i="1"/>
  <c r="F802" i="1"/>
  <c r="A802" i="1"/>
  <c r="M801" i="1"/>
  <c r="H801" i="1"/>
  <c r="F801" i="1"/>
  <c r="A801" i="1"/>
  <c r="M800" i="1"/>
  <c r="H800" i="1"/>
  <c r="F800" i="1"/>
  <c r="A800" i="1"/>
  <c r="M799" i="1"/>
  <c r="H799" i="1"/>
  <c r="F799" i="1"/>
  <c r="A799" i="1"/>
  <c r="M798" i="1"/>
  <c r="H798" i="1"/>
  <c r="F798" i="1"/>
  <c r="A798" i="1"/>
  <c r="M797" i="1"/>
  <c r="H797" i="1"/>
  <c r="F797" i="1"/>
  <c r="A797" i="1"/>
  <c r="M796" i="1"/>
  <c r="H796" i="1"/>
  <c r="F796" i="1"/>
  <c r="A796" i="1"/>
  <c r="M795" i="1"/>
  <c r="H795" i="1"/>
  <c r="F795" i="1"/>
  <c r="A795" i="1"/>
  <c r="M794" i="1"/>
  <c r="H794" i="1"/>
  <c r="F794" i="1"/>
  <c r="A794" i="1"/>
  <c r="M793" i="1"/>
  <c r="H793" i="1"/>
  <c r="F793" i="1"/>
  <c r="A793" i="1"/>
  <c r="M792" i="1"/>
  <c r="H792" i="1"/>
  <c r="F792" i="1"/>
  <c r="A792" i="1"/>
  <c r="M791" i="1"/>
  <c r="H791" i="1"/>
  <c r="F791" i="1"/>
  <c r="A791" i="1"/>
  <c r="M790" i="1"/>
  <c r="H790" i="1"/>
  <c r="F790" i="1"/>
  <c r="A790" i="1"/>
  <c r="M789" i="1"/>
  <c r="H789" i="1"/>
  <c r="F789" i="1"/>
  <c r="A789" i="1"/>
  <c r="M788" i="1"/>
  <c r="H788" i="1"/>
  <c r="F788" i="1"/>
  <c r="A788" i="1"/>
  <c r="M787" i="1"/>
  <c r="H787" i="1"/>
  <c r="F787" i="1"/>
  <c r="A787" i="1"/>
  <c r="M786" i="1"/>
  <c r="H786" i="1"/>
  <c r="F786" i="1"/>
  <c r="A786" i="1"/>
  <c r="M785" i="1"/>
  <c r="H785" i="1"/>
  <c r="F785" i="1"/>
  <c r="A785" i="1"/>
  <c r="M784" i="1"/>
  <c r="H784" i="1"/>
  <c r="F784" i="1"/>
  <c r="A784" i="1"/>
  <c r="M783" i="1"/>
  <c r="H783" i="1"/>
  <c r="F783" i="1"/>
  <c r="A783" i="1"/>
  <c r="M782" i="1"/>
  <c r="H782" i="1"/>
  <c r="F782" i="1"/>
  <c r="A782" i="1"/>
  <c r="M781" i="1"/>
  <c r="H781" i="1"/>
  <c r="F781" i="1"/>
  <c r="A781" i="1"/>
  <c r="M780" i="1"/>
  <c r="H780" i="1"/>
  <c r="F780" i="1"/>
  <c r="A780" i="1"/>
  <c r="M779" i="1"/>
  <c r="H779" i="1"/>
  <c r="F779" i="1"/>
  <c r="A779" i="1"/>
  <c r="M778" i="1"/>
  <c r="H778" i="1"/>
  <c r="F778" i="1"/>
  <c r="A778" i="1"/>
  <c r="M777" i="1"/>
  <c r="H777" i="1"/>
  <c r="F777" i="1"/>
  <c r="A777" i="1"/>
  <c r="M776" i="1"/>
  <c r="H776" i="1"/>
  <c r="F776" i="1"/>
  <c r="A776" i="1"/>
  <c r="M775" i="1"/>
  <c r="H775" i="1"/>
  <c r="F775" i="1"/>
  <c r="A775" i="1"/>
  <c r="M774" i="1"/>
  <c r="H774" i="1"/>
  <c r="F774" i="1"/>
  <c r="A774" i="1"/>
  <c r="M773" i="1"/>
  <c r="H773" i="1"/>
  <c r="F773" i="1"/>
  <c r="A773" i="1"/>
  <c r="M772" i="1"/>
  <c r="H772" i="1"/>
  <c r="F772" i="1"/>
  <c r="A772" i="1"/>
  <c r="M771" i="1"/>
  <c r="H771" i="1"/>
  <c r="F771" i="1"/>
  <c r="A771" i="1"/>
  <c r="M770" i="1"/>
  <c r="H770" i="1"/>
  <c r="F770" i="1"/>
  <c r="A770" i="1"/>
  <c r="M769" i="1"/>
  <c r="H769" i="1"/>
  <c r="F769" i="1"/>
  <c r="A769" i="1"/>
  <c r="M768" i="1"/>
  <c r="H768" i="1"/>
  <c r="F768" i="1"/>
  <c r="A768" i="1"/>
  <c r="M767" i="1"/>
  <c r="H767" i="1"/>
  <c r="F767" i="1"/>
  <c r="A767" i="1"/>
  <c r="M766" i="1"/>
  <c r="H766" i="1"/>
  <c r="F766" i="1"/>
  <c r="A766" i="1"/>
  <c r="M765" i="1"/>
  <c r="H765" i="1"/>
  <c r="F765" i="1"/>
  <c r="A765" i="1"/>
  <c r="M764" i="1"/>
  <c r="H764" i="1"/>
  <c r="F764" i="1"/>
  <c r="A764" i="1"/>
  <c r="M763" i="1"/>
  <c r="H763" i="1"/>
  <c r="F763" i="1"/>
  <c r="A763" i="1"/>
  <c r="M762" i="1"/>
  <c r="H762" i="1"/>
  <c r="F762" i="1"/>
  <c r="A762" i="1"/>
  <c r="M761" i="1"/>
  <c r="H761" i="1"/>
  <c r="F761" i="1"/>
  <c r="A761" i="1"/>
  <c r="M760" i="1"/>
  <c r="H760" i="1"/>
  <c r="F760" i="1"/>
  <c r="A760" i="1"/>
  <c r="M759" i="1"/>
  <c r="H759" i="1"/>
  <c r="F759" i="1"/>
  <c r="A759" i="1"/>
  <c r="M758" i="1"/>
  <c r="H758" i="1"/>
  <c r="F758" i="1"/>
  <c r="A758" i="1"/>
  <c r="M757" i="1"/>
  <c r="H757" i="1"/>
  <c r="F757" i="1"/>
  <c r="A757" i="1"/>
  <c r="M756" i="1"/>
  <c r="H756" i="1"/>
  <c r="F756" i="1"/>
  <c r="A756" i="1"/>
  <c r="M755" i="1"/>
  <c r="H755" i="1"/>
  <c r="F755" i="1"/>
  <c r="A755" i="1"/>
  <c r="M754" i="1"/>
  <c r="H754" i="1"/>
  <c r="F754" i="1"/>
  <c r="A754" i="1"/>
  <c r="M753" i="1"/>
  <c r="H753" i="1"/>
  <c r="F753" i="1"/>
  <c r="A753" i="1"/>
  <c r="M752" i="1"/>
  <c r="H752" i="1"/>
  <c r="F752" i="1"/>
  <c r="A752" i="1"/>
  <c r="M751" i="1"/>
  <c r="H751" i="1"/>
  <c r="F751" i="1"/>
  <c r="A751" i="1"/>
  <c r="M750" i="1"/>
  <c r="H750" i="1"/>
  <c r="F750" i="1"/>
  <c r="A750" i="1"/>
  <c r="M749" i="1"/>
  <c r="H749" i="1"/>
  <c r="F749" i="1"/>
  <c r="A749" i="1"/>
  <c r="M748" i="1"/>
  <c r="H748" i="1"/>
  <c r="F748" i="1"/>
  <c r="A748" i="1"/>
  <c r="M747" i="1"/>
  <c r="H747" i="1"/>
  <c r="F747" i="1"/>
  <c r="A747" i="1"/>
  <c r="M746" i="1"/>
  <c r="H746" i="1"/>
  <c r="F746" i="1"/>
  <c r="A746" i="1"/>
  <c r="M745" i="1"/>
  <c r="H745" i="1"/>
  <c r="F745" i="1"/>
  <c r="A745" i="1"/>
  <c r="M744" i="1"/>
  <c r="H744" i="1"/>
  <c r="F744" i="1"/>
  <c r="A744" i="1"/>
  <c r="M743" i="1"/>
  <c r="H743" i="1"/>
  <c r="F743" i="1"/>
  <c r="A743" i="1"/>
  <c r="M742" i="1"/>
  <c r="H742" i="1"/>
  <c r="F742" i="1"/>
  <c r="A742" i="1"/>
  <c r="M741" i="1"/>
  <c r="H741" i="1"/>
  <c r="F741" i="1"/>
  <c r="A741" i="1"/>
  <c r="M740" i="1"/>
  <c r="H740" i="1"/>
  <c r="F740" i="1"/>
  <c r="A740" i="1"/>
  <c r="M739" i="1"/>
  <c r="H739" i="1"/>
  <c r="F739" i="1"/>
  <c r="A739" i="1"/>
  <c r="M738" i="1"/>
  <c r="H738" i="1"/>
  <c r="F738" i="1"/>
  <c r="A738" i="1"/>
  <c r="M737" i="1"/>
  <c r="H737" i="1"/>
  <c r="F737" i="1"/>
  <c r="A737" i="1"/>
  <c r="M736" i="1"/>
  <c r="H736" i="1"/>
  <c r="F736" i="1"/>
  <c r="A736" i="1"/>
  <c r="M735" i="1"/>
  <c r="H735" i="1"/>
  <c r="F735" i="1"/>
  <c r="A735" i="1"/>
  <c r="M734" i="1"/>
  <c r="H734" i="1"/>
  <c r="F734" i="1"/>
  <c r="A734" i="1"/>
  <c r="M733" i="1"/>
  <c r="H733" i="1"/>
  <c r="F733" i="1"/>
  <c r="A733" i="1"/>
  <c r="M732" i="1"/>
  <c r="H732" i="1"/>
  <c r="F732" i="1"/>
  <c r="A732" i="1"/>
  <c r="M731" i="1"/>
  <c r="H731" i="1"/>
  <c r="F731" i="1"/>
  <c r="A731" i="1"/>
  <c r="M730" i="1"/>
  <c r="H730" i="1"/>
  <c r="F730" i="1"/>
  <c r="A730" i="1"/>
  <c r="M729" i="1"/>
  <c r="H729" i="1"/>
  <c r="F729" i="1"/>
  <c r="A729" i="1"/>
  <c r="M728" i="1"/>
  <c r="H728" i="1"/>
  <c r="F728" i="1"/>
  <c r="A728" i="1"/>
  <c r="M727" i="1"/>
  <c r="H727" i="1"/>
  <c r="F727" i="1"/>
  <c r="A727" i="1"/>
  <c r="M726" i="1"/>
  <c r="H726" i="1"/>
  <c r="F726" i="1"/>
  <c r="A726" i="1"/>
  <c r="M725" i="1"/>
  <c r="H725" i="1"/>
  <c r="F725" i="1"/>
  <c r="A725" i="1"/>
  <c r="M724" i="1"/>
  <c r="H724" i="1"/>
  <c r="F724" i="1"/>
  <c r="A724" i="1"/>
  <c r="M723" i="1"/>
  <c r="H723" i="1"/>
  <c r="F723" i="1"/>
  <c r="A723" i="1"/>
  <c r="M722" i="1"/>
  <c r="H722" i="1"/>
  <c r="F722" i="1"/>
  <c r="A722" i="1"/>
  <c r="M721" i="1"/>
  <c r="H721" i="1"/>
  <c r="F721" i="1"/>
  <c r="A721" i="1"/>
  <c r="M720" i="1"/>
  <c r="H720" i="1"/>
  <c r="F720" i="1"/>
  <c r="A720" i="1"/>
  <c r="M719" i="1"/>
  <c r="H719" i="1"/>
  <c r="F719" i="1"/>
  <c r="A719" i="1"/>
  <c r="M718" i="1"/>
  <c r="H718" i="1"/>
  <c r="F718" i="1"/>
  <c r="A718" i="1"/>
  <c r="M717" i="1"/>
  <c r="H717" i="1"/>
  <c r="F717" i="1"/>
  <c r="A717" i="1"/>
  <c r="M716" i="1"/>
  <c r="H716" i="1"/>
  <c r="F716" i="1"/>
  <c r="A716" i="1"/>
  <c r="M715" i="1"/>
  <c r="H715" i="1"/>
  <c r="F715" i="1"/>
  <c r="A715" i="1"/>
  <c r="M714" i="1"/>
  <c r="H714" i="1"/>
  <c r="F714" i="1"/>
  <c r="A714" i="1"/>
  <c r="M713" i="1"/>
  <c r="H713" i="1"/>
  <c r="F713" i="1"/>
  <c r="A713" i="1"/>
  <c r="M712" i="1"/>
  <c r="H712" i="1"/>
  <c r="F712" i="1"/>
  <c r="A712" i="1"/>
  <c r="M711" i="1"/>
  <c r="H711" i="1"/>
  <c r="F711" i="1"/>
  <c r="A711" i="1"/>
  <c r="M710" i="1"/>
  <c r="H710" i="1"/>
  <c r="F710" i="1"/>
  <c r="A710" i="1"/>
  <c r="M709" i="1"/>
  <c r="H709" i="1"/>
  <c r="F709" i="1"/>
  <c r="A709" i="1"/>
  <c r="M708" i="1"/>
  <c r="H708" i="1"/>
  <c r="F708" i="1"/>
  <c r="A708" i="1"/>
  <c r="M707" i="1"/>
  <c r="H707" i="1"/>
  <c r="F707" i="1"/>
  <c r="A707" i="1"/>
  <c r="M706" i="1"/>
  <c r="H706" i="1"/>
  <c r="F706" i="1"/>
  <c r="A706" i="1"/>
  <c r="M705" i="1"/>
  <c r="H705" i="1"/>
  <c r="F705" i="1"/>
  <c r="A705" i="1"/>
  <c r="M704" i="1"/>
  <c r="H704" i="1"/>
  <c r="F704" i="1"/>
  <c r="A704" i="1"/>
  <c r="M703" i="1"/>
  <c r="H703" i="1"/>
  <c r="F703" i="1"/>
  <c r="A703" i="1"/>
  <c r="M702" i="1"/>
  <c r="H702" i="1"/>
  <c r="F702" i="1"/>
  <c r="A702" i="1"/>
  <c r="M701" i="1"/>
  <c r="H701" i="1"/>
  <c r="F701" i="1"/>
  <c r="A701" i="1"/>
  <c r="M700" i="1"/>
  <c r="H700" i="1"/>
  <c r="F700" i="1"/>
  <c r="A700" i="1"/>
  <c r="M699" i="1"/>
  <c r="H699" i="1"/>
  <c r="F699" i="1"/>
  <c r="A699" i="1"/>
  <c r="M698" i="1"/>
  <c r="H698" i="1"/>
  <c r="F698" i="1"/>
  <c r="A698" i="1"/>
  <c r="M697" i="1"/>
  <c r="H697" i="1"/>
  <c r="F697" i="1"/>
  <c r="A697" i="1"/>
  <c r="M696" i="1"/>
  <c r="H696" i="1"/>
  <c r="F696" i="1"/>
  <c r="A696" i="1"/>
  <c r="M695" i="1"/>
  <c r="H695" i="1"/>
  <c r="F695" i="1"/>
  <c r="A695" i="1"/>
  <c r="M694" i="1"/>
  <c r="H694" i="1"/>
  <c r="F694" i="1"/>
  <c r="A694" i="1"/>
  <c r="M693" i="1"/>
  <c r="H693" i="1"/>
  <c r="F693" i="1"/>
  <c r="A693" i="1"/>
  <c r="M692" i="1"/>
  <c r="H692" i="1"/>
  <c r="F692" i="1"/>
  <c r="A692" i="1"/>
  <c r="M691" i="1"/>
  <c r="H691" i="1"/>
  <c r="F691" i="1"/>
  <c r="A691" i="1"/>
  <c r="M690" i="1"/>
  <c r="H690" i="1"/>
  <c r="F690" i="1"/>
  <c r="A690" i="1"/>
  <c r="M689" i="1"/>
  <c r="H689" i="1"/>
  <c r="F689" i="1"/>
  <c r="A689" i="1"/>
  <c r="M688" i="1"/>
  <c r="H688" i="1"/>
  <c r="F688" i="1"/>
  <c r="A688" i="1"/>
  <c r="M687" i="1"/>
  <c r="H687" i="1"/>
  <c r="F687" i="1"/>
  <c r="A687" i="1"/>
  <c r="M686" i="1"/>
  <c r="H686" i="1"/>
  <c r="F686" i="1"/>
  <c r="A686" i="1"/>
  <c r="M685" i="1"/>
  <c r="H685" i="1"/>
  <c r="F685" i="1"/>
  <c r="A685" i="1"/>
  <c r="M684" i="1"/>
  <c r="H684" i="1"/>
  <c r="F684" i="1"/>
  <c r="A684" i="1"/>
  <c r="M683" i="1"/>
  <c r="H683" i="1"/>
  <c r="F683" i="1"/>
  <c r="A683" i="1"/>
  <c r="M682" i="1"/>
  <c r="H682" i="1"/>
  <c r="F682" i="1"/>
  <c r="A682" i="1"/>
  <c r="M681" i="1"/>
  <c r="H681" i="1"/>
  <c r="F681" i="1"/>
  <c r="A681" i="1"/>
  <c r="M680" i="1"/>
  <c r="H680" i="1"/>
  <c r="F680" i="1"/>
  <c r="A680" i="1"/>
  <c r="M679" i="1"/>
  <c r="H679" i="1"/>
  <c r="F679" i="1"/>
  <c r="A679" i="1"/>
  <c r="M678" i="1"/>
  <c r="H678" i="1"/>
  <c r="F678" i="1"/>
  <c r="A678" i="1"/>
  <c r="M677" i="1"/>
  <c r="H677" i="1"/>
  <c r="F677" i="1"/>
  <c r="A677" i="1"/>
  <c r="M676" i="1"/>
  <c r="H676" i="1"/>
  <c r="F676" i="1"/>
  <c r="A676" i="1"/>
  <c r="M675" i="1"/>
  <c r="H675" i="1"/>
  <c r="F675" i="1"/>
  <c r="A675" i="1"/>
  <c r="M674" i="1"/>
  <c r="H674" i="1"/>
  <c r="F674" i="1"/>
  <c r="A674" i="1"/>
  <c r="M673" i="1"/>
  <c r="H673" i="1"/>
  <c r="F673" i="1"/>
  <c r="A673" i="1"/>
  <c r="M672" i="1"/>
  <c r="H672" i="1"/>
  <c r="F672" i="1"/>
  <c r="A672" i="1"/>
  <c r="M671" i="1"/>
  <c r="H671" i="1"/>
  <c r="F671" i="1"/>
  <c r="A671" i="1"/>
  <c r="M670" i="1"/>
  <c r="H670" i="1"/>
  <c r="F670" i="1"/>
  <c r="A670" i="1"/>
  <c r="M669" i="1"/>
  <c r="H669" i="1"/>
  <c r="F669" i="1"/>
  <c r="A669" i="1"/>
  <c r="M668" i="1"/>
  <c r="H668" i="1"/>
  <c r="F668" i="1"/>
  <c r="A668" i="1"/>
  <c r="M667" i="1"/>
  <c r="H667" i="1"/>
  <c r="F667" i="1"/>
  <c r="A667" i="1"/>
  <c r="M666" i="1"/>
  <c r="H666" i="1"/>
  <c r="F666" i="1"/>
  <c r="A666" i="1"/>
  <c r="M665" i="1"/>
  <c r="H665" i="1"/>
  <c r="F665" i="1"/>
  <c r="A665" i="1"/>
  <c r="M664" i="1"/>
  <c r="H664" i="1"/>
  <c r="F664" i="1"/>
  <c r="A664" i="1"/>
  <c r="M663" i="1"/>
  <c r="H663" i="1"/>
  <c r="F663" i="1"/>
  <c r="A663" i="1"/>
  <c r="M662" i="1"/>
  <c r="H662" i="1"/>
  <c r="F662" i="1"/>
  <c r="A662" i="1"/>
  <c r="M661" i="1"/>
  <c r="H661" i="1"/>
  <c r="F661" i="1"/>
  <c r="A661" i="1"/>
  <c r="M660" i="1"/>
  <c r="H660" i="1"/>
  <c r="F660" i="1"/>
  <c r="A660" i="1"/>
  <c r="M659" i="1"/>
  <c r="H659" i="1"/>
  <c r="F659" i="1"/>
  <c r="A659" i="1"/>
  <c r="M658" i="1"/>
  <c r="H658" i="1"/>
  <c r="F658" i="1"/>
  <c r="A658" i="1"/>
  <c r="M657" i="1"/>
  <c r="H657" i="1"/>
  <c r="F657" i="1"/>
  <c r="A657" i="1"/>
  <c r="M656" i="1"/>
  <c r="H656" i="1"/>
  <c r="F656" i="1"/>
  <c r="A656" i="1"/>
  <c r="M655" i="1"/>
  <c r="H655" i="1"/>
  <c r="F655" i="1"/>
  <c r="A655" i="1"/>
  <c r="M654" i="1"/>
  <c r="H654" i="1"/>
  <c r="F654" i="1"/>
  <c r="A654" i="1"/>
  <c r="M653" i="1"/>
  <c r="H653" i="1"/>
  <c r="F653" i="1"/>
  <c r="A653" i="1"/>
  <c r="M652" i="1"/>
  <c r="H652" i="1"/>
  <c r="F652" i="1"/>
  <c r="A652" i="1"/>
  <c r="M651" i="1"/>
  <c r="H651" i="1"/>
  <c r="F651" i="1"/>
  <c r="A651" i="1"/>
  <c r="M650" i="1"/>
  <c r="H650" i="1"/>
  <c r="F650" i="1"/>
  <c r="A650" i="1"/>
  <c r="M649" i="1"/>
  <c r="H649" i="1"/>
  <c r="F649" i="1"/>
  <c r="A649" i="1"/>
  <c r="M648" i="1"/>
  <c r="H648" i="1"/>
  <c r="F648" i="1"/>
  <c r="A648" i="1"/>
  <c r="M647" i="1"/>
  <c r="H647" i="1"/>
  <c r="F647" i="1"/>
  <c r="A647" i="1"/>
  <c r="M646" i="1"/>
  <c r="H646" i="1"/>
  <c r="F646" i="1"/>
  <c r="A646" i="1"/>
  <c r="M645" i="1"/>
  <c r="H645" i="1"/>
  <c r="F645" i="1"/>
  <c r="A645" i="1"/>
  <c r="M644" i="1"/>
  <c r="H644" i="1"/>
  <c r="F644" i="1"/>
  <c r="A644" i="1"/>
  <c r="M643" i="1"/>
  <c r="H643" i="1"/>
  <c r="F643" i="1"/>
  <c r="A643" i="1"/>
  <c r="M642" i="1"/>
  <c r="H642" i="1"/>
  <c r="F642" i="1"/>
  <c r="A642" i="1"/>
  <c r="M641" i="1"/>
  <c r="H641" i="1"/>
  <c r="F641" i="1"/>
  <c r="A641" i="1"/>
  <c r="M640" i="1"/>
  <c r="H640" i="1"/>
  <c r="F640" i="1"/>
  <c r="A640" i="1"/>
  <c r="M639" i="1"/>
  <c r="H639" i="1"/>
  <c r="F639" i="1"/>
  <c r="A639" i="1"/>
  <c r="M638" i="1"/>
  <c r="H638" i="1"/>
  <c r="F638" i="1"/>
  <c r="A638" i="1"/>
  <c r="M637" i="1"/>
  <c r="H637" i="1"/>
  <c r="F637" i="1"/>
  <c r="A637" i="1"/>
  <c r="M636" i="1"/>
  <c r="H636" i="1"/>
  <c r="F636" i="1"/>
  <c r="A636" i="1"/>
  <c r="M635" i="1"/>
  <c r="H635" i="1"/>
  <c r="F635" i="1"/>
  <c r="A635" i="1"/>
  <c r="M634" i="1"/>
  <c r="H634" i="1"/>
  <c r="F634" i="1"/>
  <c r="A634" i="1"/>
  <c r="M633" i="1"/>
  <c r="H633" i="1"/>
  <c r="F633" i="1"/>
  <c r="A633" i="1"/>
  <c r="M632" i="1"/>
  <c r="H632" i="1"/>
  <c r="F632" i="1"/>
  <c r="A632" i="1"/>
  <c r="M631" i="1"/>
  <c r="H631" i="1"/>
  <c r="F631" i="1"/>
  <c r="A631" i="1"/>
  <c r="M630" i="1"/>
  <c r="H630" i="1"/>
  <c r="F630" i="1"/>
  <c r="A630" i="1"/>
  <c r="M629" i="1"/>
  <c r="H629" i="1"/>
  <c r="F629" i="1"/>
  <c r="A629" i="1"/>
  <c r="M628" i="1"/>
  <c r="H628" i="1"/>
  <c r="F628" i="1"/>
  <c r="A628" i="1"/>
  <c r="M627" i="1"/>
  <c r="H627" i="1"/>
  <c r="F627" i="1"/>
  <c r="A627" i="1"/>
  <c r="M626" i="1"/>
  <c r="H626" i="1"/>
  <c r="F626" i="1"/>
  <c r="A626" i="1"/>
  <c r="M625" i="1"/>
  <c r="H625" i="1"/>
  <c r="F625" i="1"/>
  <c r="A625" i="1"/>
  <c r="M624" i="1"/>
  <c r="H624" i="1"/>
  <c r="F624" i="1"/>
  <c r="A624" i="1"/>
  <c r="M623" i="1"/>
  <c r="H623" i="1"/>
  <c r="F623" i="1"/>
  <c r="A623" i="1"/>
  <c r="M622" i="1"/>
  <c r="H622" i="1"/>
  <c r="F622" i="1"/>
  <c r="A622" i="1"/>
  <c r="M621" i="1"/>
  <c r="H621" i="1"/>
  <c r="F621" i="1"/>
  <c r="A621" i="1"/>
  <c r="M620" i="1"/>
  <c r="H620" i="1"/>
  <c r="F620" i="1"/>
  <c r="A620" i="1"/>
  <c r="M619" i="1"/>
  <c r="H619" i="1"/>
  <c r="F619" i="1"/>
  <c r="A619" i="1"/>
  <c r="M618" i="1"/>
  <c r="H618" i="1"/>
  <c r="F618" i="1"/>
  <c r="A618" i="1"/>
  <c r="M617" i="1"/>
  <c r="H617" i="1"/>
  <c r="F617" i="1"/>
  <c r="A617" i="1"/>
  <c r="M616" i="1"/>
  <c r="H616" i="1"/>
  <c r="F616" i="1"/>
  <c r="A616" i="1"/>
  <c r="M615" i="1"/>
  <c r="H615" i="1"/>
  <c r="F615" i="1"/>
  <c r="A615" i="1"/>
  <c r="M614" i="1"/>
  <c r="H614" i="1"/>
  <c r="F614" i="1"/>
  <c r="A614" i="1"/>
  <c r="M613" i="1"/>
  <c r="H613" i="1"/>
  <c r="F613" i="1"/>
  <c r="A613" i="1"/>
  <c r="M612" i="1"/>
  <c r="H612" i="1"/>
  <c r="F612" i="1"/>
  <c r="A612" i="1"/>
  <c r="M611" i="1"/>
  <c r="H611" i="1"/>
  <c r="F611" i="1"/>
  <c r="A611" i="1"/>
  <c r="M610" i="1"/>
  <c r="H610" i="1"/>
  <c r="F610" i="1"/>
  <c r="A610" i="1"/>
  <c r="M609" i="1"/>
  <c r="H609" i="1"/>
  <c r="F609" i="1"/>
  <c r="A609" i="1"/>
  <c r="M608" i="1"/>
  <c r="H608" i="1"/>
  <c r="F608" i="1"/>
  <c r="A608" i="1"/>
  <c r="M607" i="1"/>
  <c r="H607" i="1"/>
  <c r="F607" i="1"/>
  <c r="A607" i="1"/>
  <c r="M606" i="1"/>
  <c r="H606" i="1"/>
  <c r="F606" i="1"/>
  <c r="A606" i="1"/>
  <c r="M605" i="1"/>
  <c r="H605" i="1"/>
  <c r="F605" i="1"/>
  <c r="A605" i="1"/>
  <c r="M604" i="1"/>
  <c r="H604" i="1"/>
  <c r="F604" i="1"/>
  <c r="A604" i="1"/>
  <c r="M603" i="1"/>
  <c r="H603" i="1"/>
  <c r="F603" i="1"/>
  <c r="A603" i="1"/>
  <c r="M602" i="1"/>
  <c r="H602" i="1"/>
  <c r="F602" i="1"/>
  <c r="A602" i="1"/>
  <c r="M601" i="1"/>
  <c r="H601" i="1"/>
  <c r="F601" i="1"/>
  <c r="A601" i="1"/>
  <c r="M600" i="1"/>
  <c r="H600" i="1"/>
  <c r="F600" i="1"/>
  <c r="A600" i="1"/>
  <c r="M599" i="1"/>
  <c r="H599" i="1"/>
  <c r="F599" i="1"/>
  <c r="A599" i="1"/>
  <c r="M598" i="1"/>
  <c r="H598" i="1"/>
  <c r="F598" i="1"/>
  <c r="A598" i="1"/>
  <c r="M597" i="1"/>
  <c r="H597" i="1"/>
  <c r="F597" i="1"/>
  <c r="A597" i="1"/>
  <c r="M596" i="1"/>
  <c r="H596" i="1"/>
  <c r="F596" i="1"/>
  <c r="A596" i="1"/>
  <c r="M595" i="1"/>
  <c r="H595" i="1"/>
  <c r="F595" i="1"/>
  <c r="A595" i="1"/>
  <c r="M594" i="1"/>
  <c r="H594" i="1"/>
  <c r="F594" i="1"/>
  <c r="A594" i="1"/>
  <c r="M593" i="1"/>
  <c r="H593" i="1"/>
  <c r="F593" i="1"/>
  <c r="A593" i="1"/>
  <c r="M592" i="1"/>
  <c r="H592" i="1"/>
  <c r="F592" i="1"/>
  <c r="A592" i="1"/>
  <c r="M591" i="1"/>
  <c r="H591" i="1"/>
  <c r="F591" i="1"/>
  <c r="A591" i="1"/>
  <c r="M590" i="1"/>
  <c r="H590" i="1"/>
  <c r="F590" i="1"/>
  <c r="A590" i="1"/>
  <c r="M589" i="1"/>
  <c r="H589" i="1"/>
  <c r="F589" i="1"/>
  <c r="A589" i="1"/>
  <c r="M588" i="1"/>
  <c r="H588" i="1"/>
  <c r="F588" i="1"/>
  <c r="A588" i="1"/>
  <c r="M587" i="1"/>
  <c r="H587" i="1"/>
  <c r="F587" i="1"/>
  <c r="A587" i="1"/>
  <c r="M586" i="1"/>
  <c r="H586" i="1"/>
  <c r="F586" i="1"/>
  <c r="A586" i="1"/>
  <c r="M585" i="1"/>
  <c r="H585" i="1"/>
  <c r="F585" i="1"/>
  <c r="A585" i="1"/>
  <c r="M584" i="1"/>
  <c r="H584" i="1"/>
  <c r="F584" i="1"/>
  <c r="A584" i="1"/>
  <c r="M583" i="1"/>
  <c r="H583" i="1"/>
  <c r="F583" i="1"/>
  <c r="A583" i="1"/>
  <c r="M582" i="1"/>
  <c r="H582" i="1"/>
  <c r="F582" i="1"/>
  <c r="A582" i="1"/>
  <c r="M581" i="1"/>
  <c r="H581" i="1"/>
  <c r="F581" i="1"/>
  <c r="A581" i="1"/>
  <c r="M580" i="1"/>
  <c r="H580" i="1"/>
  <c r="F580" i="1"/>
  <c r="A580" i="1"/>
  <c r="M579" i="1"/>
  <c r="H579" i="1"/>
  <c r="F579" i="1"/>
  <c r="A579" i="1"/>
  <c r="M578" i="1"/>
  <c r="H578" i="1"/>
  <c r="F578" i="1"/>
  <c r="A578" i="1"/>
  <c r="M577" i="1"/>
  <c r="H577" i="1"/>
  <c r="F577" i="1"/>
  <c r="A577" i="1"/>
  <c r="M576" i="1"/>
  <c r="H576" i="1"/>
  <c r="F576" i="1"/>
  <c r="A576" i="1"/>
  <c r="M575" i="1"/>
  <c r="H575" i="1"/>
  <c r="F575" i="1"/>
  <c r="A575" i="1"/>
  <c r="M574" i="1"/>
  <c r="H574" i="1"/>
  <c r="F574" i="1"/>
  <c r="A574" i="1"/>
  <c r="M573" i="1"/>
  <c r="H573" i="1"/>
  <c r="F573" i="1"/>
  <c r="A573" i="1"/>
  <c r="M572" i="1"/>
  <c r="H572" i="1"/>
  <c r="F572" i="1"/>
  <c r="A572" i="1"/>
  <c r="M571" i="1"/>
  <c r="H571" i="1"/>
  <c r="F571" i="1"/>
  <c r="A571" i="1"/>
  <c r="M570" i="1"/>
  <c r="H570" i="1"/>
  <c r="F570" i="1"/>
  <c r="A570" i="1"/>
  <c r="M569" i="1"/>
  <c r="H569" i="1"/>
  <c r="F569" i="1"/>
  <c r="A569" i="1"/>
  <c r="M568" i="1"/>
  <c r="H568" i="1"/>
  <c r="F568" i="1"/>
  <c r="A568" i="1"/>
  <c r="M567" i="1"/>
  <c r="H567" i="1"/>
  <c r="F567" i="1"/>
  <c r="A567" i="1"/>
  <c r="M566" i="1"/>
  <c r="H566" i="1"/>
  <c r="F566" i="1"/>
  <c r="A566" i="1"/>
  <c r="M565" i="1"/>
  <c r="H565" i="1"/>
  <c r="F565" i="1"/>
  <c r="A565" i="1"/>
  <c r="M564" i="1"/>
  <c r="H564" i="1"/>
  <c r="F564" i="1"/>
  <c r="A564" i="1"/>
  <c r="M563" i="1"/>
  <c r="H563" i="1"/>
  <c r="F563" i="1"/>
  <c r="A563" i="1"/>
  <c r="M562" i="1"/>
  <c r="H562" i="1"/>
  <c r="F562" i="1"/>
  <c r="A562" i="1"/>
  <c r="M561" i="1"/>
  <c r="H561" i="1"/>
  <c r="F561" i="1"/>
  <c r="A561" i="1"/>
  <c r="M560" i="1"/>
  <c r="H560" i="1"/>
  <c r="F560" i="1"/>
  <c r="A560" i="1"/>
  <c r="M559" i="1"/>
  <c r="H559" i="1"/>
  <c r="F559" i="1"/>
  <c r="A559" i="1"/>
  <c r="M558" i="1"/>
  <c r="H558" i="1"/>
  <c r="F558" i="1"/>
  <c r="A558" i="1"/>
  <c r="M557" i="1"/>
  <c r="H557" i="1"/>
  <c r="F557" i="1"/>
  <c r="A557" i="1"/>
  <c r="M556" i="1"/>
  <c r="H556" i="1"/>
  <c r="F556" i="1"/>
  <c r="A556" i="1"/>
  <c r="M555" i="1"/>
  <c r="H555" i="1"/>
  <c r="F555" i="1"/>
  <c r="A555" i="1"/>
  <c r="M554" i="1"/>
  <c r="H554" i="1"/>
  <c r="F554" i="1"/>
  <c r="A554" i="1"/>
  <c r="M553" i="1"/>
  <c r="H553" i="1"/>
  <c r="F553" i="1"/>
  <c r="A553" i="1"/>
  <c r="M552" i="1"/>
  <c r="H552" i="1"/>
  <c r="F552" i="1"/>
  <c r="A552" i="1"/>
  <c r="M551" i="1"/>
  <c r="H551" i="1"/>
  <c r="F551" i="1"/>
  <c r="A551" i="1"/>
  <c r="M550" i="1"/>
  <c r="H550" i="1"/>
  <c r="F550" i="1"/>
  <c r="A550" i="1"/>
  <c r="M549" i="1"/>
  <c r="H549" i="1"/>
  <c r="F549" i="1"/>
  <c r="A549" i="1"/>
  <c r="M548" i="1"/>
  <c r="H548" i="1"/>
  <c r="F548" i="1"/>
  <c r="A548" i="1"/>
  <c r="M547" i="1"/>
  <c r="H547" i="1"/>
  <c r="F547" i="1"/>
  <c r="A547" i="1"/>
  <c r="M546" i="1"/>
  <c r="H546" i="1"/>
  <c r="F546" i="1"/>
  <c r="A546" i="1"/>
  <c r="M545" i="1"/>
  <c r="H545" i="1"/>
  <c r="F545" i="1"/>
  <c r="A545" i="1"/>
  <c r="M544" i="1"/>
  <c r="H544" i="1"/>
  <c r="F544" i="1"/>
  <c r="A544" i="1"/>
  <c r="M543" i="1"/>
  <c r="H543" i="1"/>
  <c r="F543" i="1"/>
  <c r="A543" i="1"/>
  <c r="M542" i="1"/>
  <c r="H542" i="1"/>
  <c r="F542" i="1"/>
  <c r="A542" i="1"/>
  <c r="M541" i="1"/>
  <c r="H541" i="1"/>
  <c r="F541" i="1"/>
  <c r="A541" i="1"/>
  <c r="M540" i="1"/>
  <c r="H540" i="1"/>
  <c r="F540" i="1"/>
  <c r="A540" i="1"/>
  <c r="M539" i="1"/>
  <c r="H539" i="1"/>
  <c r="F539" i="1"/>
  <c r="A539" i="1"/>
  <c r="M538" i="1"/>
  <c r="H538" i="1"/>
  <c r="F538" i="1"/>
  <c r="A538" i="1"/>
  <c r="M537" i="1"/>
  <c r="H537" i="1"/>
  <c r="F537" i="1"/>
  <c r="A537" i="1"/>
  <c r="M536" i="1"/>
  <c r="H536" i="1"/>
  <c r="F536" i="1"/>
  <c r="A536" i="1"/>
  <c r="M535" i="1"/>
  <c r="H535" i="1"/>
  <c r="F535" i="1"/>
  <c r="A535" i="1"/>
  <c r="M534" i="1"/>
  <c r="H534" i="1"/>
  <c r="F534" i="1"/>
  <c r="A534" i="1"/>
  <c r="M533" i="1"/>
  <c r="H533" i="1"/>
  <c r="F533" i="1"/>
  <c r="A533" i="1"/>
  <c r="M532" i="1"/>
  <c r="H532" i="1"/>
  <c r="F532" i="1"/>
  <c r="A532" i="1"/>
  <c r="M531" i="1"/>
  <c r="H531" i="1"/>
  <c r="F531" i="1"/>
  <c r="A531" i="1"/>
  <c r="M530" i="1"/>
  <c r="H530" i="1"/>
  <c r="F530" i="1"/>
  <c r="A530" i="1"/>
  <c r="M529" i="1"/>
  <c r="H529" i="1"/>
  <c r="F529" i="1"/>
  <c r="A529" i="1"/>
  <c r="M528" i="1"/>
  <c r="H528" i="1"/>
  <c r="F528" i="1"/>
  <c r="A528" i="1"/>
  <c r="M527" i="1"/>
  <c r="H527" i="1"/>
  <c r="F527" i="1"/>
  <c r="A527" i="1"/>
  <c r="M526" i="1"/>
  <c r="H526" i="1"/>
  <c r="F526" i="1"/>
  <c r="A526" i="1"/>
  <c r="M525" i="1"/>
  <c r="H525" i="1"/>
  <c r="F525" i="1"/>
  <c r="A525" i="1"/>
  <c r="M524" i="1"/>
  <c r="H524" i="1"/>
  <c r="F524" i="1"/>
  <c r="A524" i="1"/>
  <c r="M523" i="1"/>
  <c r="H523" i="1"/>
  <c r="F523" i="1"/>
  <c r="A523" i="1"/>
  <c r="M522" i="1"/>
  <c r="H522" i="1"/>
  <c r="F522" i="1"/>
  <c r="A522" i="1"/>
  <c r="M521" i="1"/>
  <c r="H521" i="1"/>
  <c r="F521" i="1"/>
  <c r="A521" i="1"/>
  <c r="M520" i="1"/>
  <c r="H520" i="1"/>
  <c r="F520" i="1"/>
  <c r="A520" i="1"/>
  <c r="M519" i="1"/>
  <c r="H519" i="1"/>
  <c r="F519" i="1"/>
  <c r="A519" i="1"/>
  <c r="M518" i="1"/>
  <c r="H518" i="1"/>
  <c r="F518" i="1"/>
  <c r="A518" i="1"/>
  <c r="M517" i="1"/>
  <c r="H517" i="1"/>
  <c r="F517" i="1"/>
  <c r="A517" i="1"/>
  <c r="M516" i="1"/>
  <c r="H516" i="1"/>
  <c r="F516" i="1"/>
  <c r="A516" i="1"/>
  <c r="M515" i="1"/>
  <c r="H515" i="1"/>
  <c r="F515" i="1"/>
  <c r="A515" i="1"/>
  <c r="M514" i="1"/>
  <c r="H514" i="1"/>
  <c r="F514" i="1"/>
  <c r="A514" i="1"/>
  <c r="M513" i="1"/>
  <c r="H513" i="1"/>
  <c r="F513" i="1"/>
  <c r="A513" i="1"/>
  <c r="M512" i="1"/>
  <c r="H512" i="1"/>
  <c r="F512" i="1"/>
  <c r="A512" i="1"/>
  <c r="M511" i="1"/>
  <c r="H511" i="1"/>
  <c r="F511" i="1"/>
  <c r="A511" i="1"/>
  <c r="M510" i="1"/>
  <c r="H510" i="1"/>
  <c r="F510" i="1"/>
  <c r="A510" i="1"/>
  <c r="M509" i="1"/>
  <c r="H509" i="1"/>
  <c r="F509" i="1"/>
  <c r="A509" i="1"/>
  <c r="M508" i="1"/>
  <c r="H508" i="1"/>
  <c r="F508" i="1"/>
  <c r="A508" i="1"/>
  <c r="M507" i="1"/>
  <c r="H507" i="1"/>
  <c r="F507" i="1"/>
  <c r="A507" i="1"/>
  <c r="M506" i="1"/>
  <c r="H506" i="1"/>
  <c r="F506" i="1"/>
  <c r="A506" i="1"/>
  <c r="M505" i="1"/>
  <c r="H505" i="1"/>
  <c r="F505" i="1"/>
  <c r="A505" i="1"/>
  <c r="M504" i="1"/>
  <c r="H504" i="1"/>
  <c r="F504" i="1"/>
  <c r="A504" i="1"/>
  <c r="M503" i="1"/>
  <c r="H503" i="1"/>
  <c r="F503" i="1"/>
  <c r="A503" i="1"/>
  <c r="M502" i="1"/>
  <c r="H502" i="1"/>
  <c r="F502" i="1"/>
  <c r="A502" i="1"/>
  <c r="M501" i="1"/>
  <c r="H501" i="1"/>
  <c r="F501" i="1"/>
  <c r="A501" i="1"/>
  <c r="M500" i="1"/>
  <c r="H500" i="1"/>
  <c r="F500" i="1"/>
  <c r="A500" i="1"/>
  <c r="M499" i="1"/>
  <c r="H499" i="1"/>
  <c r="F499" i="1"/>
  <c r="A499" i="1"/>
  <c r="M498" i="1"/>
  <c r="H498" i="1"/>
  <c r="F498" i="1"/>
  <c r="A498" i="1"/>
  <c r="M497" i="1"/>
  <c r="H497" i="1"/>
  <c r="F497" i="1"/>
  <c r="A497" i="1"/>
  <c r="M496" i="1"/>
  <c r="H496" i="1"/>
  <c r="F496" i="1"/>
  <c r="A496" i="1"/>
  <c r="M495" i="1"/>
  <c r="H495" i="1"/>
  <c r="F495" i="1"/>
  <c r="A495" i="1"/>
  <c r="M494" i="1"/>
  <c r="H494" i="1"/>
  <c r="F494" i="1"/>
  <c r="A494" i="1"/>
  <c r="M493" i="1"/>
  <c r="H493" i="1"/>
  <c r="F493" i="1"/>
  <c r="A493" i="1"/>
  <c r="M492" i="1"/>
  <c r="H492" i="1"/>
  <c r="F492" i="1"/>
  <c r="A492" i="1"/>
  <c r="M491" i="1"/>
  <c r="H491" i="1"/>
  <c r="F491" i="1"/>
  <c r="A491" i="1"/>
  <c r="M490" i="1"/>
  <c r="H490" i="1"/>
  <c r="F490" i="1"/>
  <c r="A490" i="1"/>
  <c r="M489" i="1"/>
  <c r="H489" i="1"/>
  <c r="F489" i="1"/>
  <c r="A489" i="1"/>
  <c r="M488" i="1"/>
  <c r="H488" i="1"/>
  <c r="F488" i="1"/>
  <c r="A488" i="1"/>
  <c r="M487" i="1"/>
  <c r="H487" i="1"/>
  <c r="F487" i="1"/>
  <c r="A487" i="1"/>
  <c r="M486" i="1"/>
  <c r="H486" i="1"/>
  <c r="F486" i="1"/>
  <c r="A486" i="1"/>
  <c r="M485" i="1"/>
  <c r="H485" i="1"/>
  <c r="F485" i="1"/>
  <c r="A485" i="1"/>
  <c r="M484" i="1"/>
  <c r="H484" i="1"/>
  <c r="F484" i="1"/>
  <c r="A484" i="1"/>
  <c r="M483" i="1"/>
  <c r="H483" i="1"/>
  <c r="F483" i="1"/>
  <c r="A483" i="1"/>
  <c r="M482" i="1"/>
  <c r="H482" i="1"/>
  <c r="F482" i="1"/>
  <c r="A482" i="1"/>
  <c r="M481" i="1"/>
  <c r="H481" i="1"/>
  <c r="F481" i="1"/>
  <c r="A481" i="1"/>
  <c r="M480" i="1"/>
  <c r="H480" i="1"/>
  <c r="F480" i="1"/>
  <c r="A480" i="1"/>
  <c r="M479" i="1"/>
  <c r="H479" i="1"/>
  <c r="F479" i="1"/>
  <c r="A479" i="1"/>
  <c r="M478" i="1"/>
  <c r="H478" i="1"/>
  <c r="F478" i="1"/>
  <c r="A478" i="1"/>
  <c r="M477" i="1"/>
  <c r="H477" i="1"/>
  <c r="F477" i="1"/>
  <c r="A477" i="1"/>
  <c r="M476" i="1"/>
  <c r="H476" i="1"/>
  <c r="F476" i="1"/>
  <c r="A476" i="1"/>
  <c r="M475" i="1"/>
  <c r="H475" i="1"/>
  <c r="F475" i="1"/>
  <c r="A475" i="1"/>
  <c r="M474" i="1"/>
  <c r="H474" i="1"/>
  <c r="F474" i="1"/>
  <c r="A474" i="1"/>
  <c r="M473" i="1"/>
  <c r="H473" i="1"/>
  <c r="F473" i="1"/>
  <c r="A473" i="1"/>
  <c r="M472" i="1"/>
  <c r="H472" i="1"/>
  <c r="F472" i="1"/>
  <c r="A472" i="1"/>
  <c r="M471" i="1"/>
  <c r="H471" i="1"/>
  <c r="F471" i="1"/>
  <c r="A471" i="1"/>
  <c r="M470" i="1"/>
  <c r="H470" i="1"/>
  <c r="F470" i="1"/>
  <c r="A470" i="1"/>
  <c r="M469" i="1"/>
  <c r="H469" i="1"/>
  <c r="F469" i="1"/>
  <c r="A469" i="1"/>
  <c r="M468" i="1"/>
  <c r="H468" i="1"/>
  <c r="F468" i="1"/>
  <c r="A468" i="1"/>
  <c r="M467" i="1"/>
  <c r="H467" i="1"/>
  <c r="F467" i="1"/>
  <c r="A467" i="1"/>
  <c r="M466" i="1"/>
  <c r="H466" i="1"/>
  <c r="F466" i="1"/>
  <c r="A466" i="1"/>
  <c r="M465" i="1"/>
  <c r="H465" i="1"/>
  <c r="F465" i="1"/>
  <c r="A465" i="1"/>
  <c r="M464" i="1"/>
  <c r="H464" i="1"/>
  <c r="F464" i="1"/>
  <c r="A464" i="1"/>
  <c r="M463" i="1"/>
  <c r="H463" i="1"/>
  <c r="F463" i="1"/>
  <c r="A463" i="1"/>
  <c r="M462" i="1"/>
  <c r="H462" i="1"/>
  <c r="F462" i="1"/>
  <c r="A462" i="1"/>
  <c r="M461" i="1"/>
  <c r="H461" i="1"/>
  <c r="F461" i="1"/>
  <c r="A461" i="1"/>
  <c r="M460" i="1"/>
  <c r="H460" i="1"/>
  <c r="F460" i="1"/>
  <c r="A460" i="1"/>
  <c r="M459" i="1"/>
  <c r="H459" i="1"/>
  <c r="F459" i="1"/>
  <c r="A459" i="1"/>
  <c r="M458" i="1"/>
  <c r="H458" i="1"/>
  <c r="F458" i="1"/>
  <c r="A458" i="1"/>
  <c r="M457" i="1"/>
  <c r="H457" i="1"/>
  <c r="F457" i="1"/>
  <c r="A457" i="1"/>
  <c r="M456" i="1"/>
  <c r="H456" i="1"/>
  <c r="F456" i="1"/>
  <c r="A456" i="1"/>
  <c r="M455" i="1"/>
  <c r="H455" i="1"/>
  <c r="F455" i="1"/>
  <c r="A455" i="1"/>
  <c r="M454" i="1"/>
  <c r="H454" i="1"/>
  <c r="F454" i="1"/>
  <c r="A454" i="1"/>
  <c r="M453" i="1"/>
  <c r="H453" i="1"/>
  <c r="F453" i="1"/>
  <c r="A453" i="1"/>
  <c r="M452" i="1"/>
  <c r="H452" i="1"/>
  <c r="F452" i="1"/>
  <c r="A452" i="1"/>
  <c r="M451" i="1"/>
  <c r="H451" i="1"/>
  <c r="F451" i="1"/>
  <c r="A451" i="1"/>
  <c r="M450" i="1"/>
  <c r="H450" i="1"/>
  <c r="F450" i="1"/>
  <c r="A450" i="1"/>
  <c r="M449" i="1"/>
  <c r="H449" i="1"/>
  <c r="F449" i="1"/>
  <c r="A449" i="1"/>
  <c r="M448" i="1"/>
  <c r="H448" i="1"/>
  <c r="F448" i="1"/>
  <c r="A448" i="1"/>
  <c r="M447" i="1"/>
  <c r="H447" i="1"/>
  <c r="F447" i="1"/>
  <c r="A447" i="1"/>
  <c r="M446" i="1"/>
  <c r="H446" i="1"/>
  <c r="F446" i="1"/>
  <c r="A446" i="1"/>
  <c r="M445" i="1"/>
  <c r="H445" i="1"/>
  <c r="F445" i="1"/>
  <c r="A445" i="1"/>
  <c r="M444" i="1"/>
  <c r="H444" i="1"/>
  <c r="F444" i="1"/>
  <c r="A444" i="1"/>
  <c r="M443" i="1"/>
  <c r="H443" i="1"/>
  <c r="F443" i="1"/>
  <c r="A443" i="1"/>
  <c r="M442" i="1"/>
  <c r="H442" i="1"/>
  <c r="F442" i="1"/>
  <c r="A442" i="1"/>
  <c r="M441" i="1"/>
  <c r="H441" i="1"/>
  <c r="F441" i="1"/>
  <c r="A441" i="1"/>
  <c r="M440" i="1"/>
  <c r="H440" i="1"/>
  <c r="F440" i="1"/>
  <c r="A440" i="1"/>
  <c r="M439" i="1"/>
  <c r="H439" i="1"/>
  <c r="F439" i="1"/>
  <c r="A439" i="1"/>
  <c r="M438" i="1"/>
  <c r="H438" i="1"/>
  <c r="F438" i="1"/>
  <c r="A438" i="1"/>
  <c r="M437" i="1"/>
  <c r="H437" i="1"/>
  <c r="F437" i="1"/>
  <c r="A437" i="1"/>
  <c r="M436" i="1"/>
  <c r="H436" i="1"/>
  <c r="F436" i="1"/>
  <c r="A436" i="1"/>
  <c r="M435" i="1"/>
  <c r="H435" i="1"/>
  <c r="F435" i="1"/>
  <c r="A435" i="1"/>
  <c r="M434" i="1"/>
  <c r="H434" i="1"/>
  <c r="F434" i="1"/>
  <c r="A434" i="1"/>
  <c r="M433" i="1"/>
  <c r="H433" i="1"/>
  <c r="F433" i="1"/>
  <c r="A433" i="1"/>
  <c r="M432" i="1"/>
  <c r="H432" i="1"/>
  <c r="F432" i="1"/>
  <c r="A432" i="1"/>
  <c r="M431" i="1"/>
  <c r="H431" i="1"/>
  <c r="F431" i="1"/>
  <c r="A431" i="1"/>
  <c r="M430" i="1"/>
  <c r="H430" i="1"/>
  <c r="F430" i="1"/>
  <c r="A430" i="1"/>
  <c r="M429" i="1"/>
  <c r="H429" i="1"/>
  <c r="F429" i="1"/>
  <c r="A429" i="1"/>
  <c r="M428" i="1"/>
  <c r="H428" i="1"/>
  <c r="F428" i="1"/>
  <c r="A428" i="1"/>
  <c r="M427" i="1"/>
  <c r="H427" i="1"/>
  <c r="F427" i="1"/>
  <c r="A427" i="1"/>
  <c r="M426" i="1"/>
  <c r="H426" i="1"/>
  <c r="F426" i="1"/>
  <c r="A426" i="1"/>
  <c r="M425" i="1"/>
  <c r="H425" i="1"/>
  <c r="F425" i="1"/>
  <c r="A425" i="1"/>
  <c r="M424" i="1"/>
  <c r="H424" i="1"/>
  <c r="F424" i="1"/>
  <c r="A424" i="1"/>
  <c r="M423" i="1"/>
  <c r="H423" i="1"/>
  <c r="F423" i="1"/>
  <c r="A423" i="1"/>
  <c r="M422" i="1"/>
  <c r="H422" i="1"/>
  <c r="F422" i="1"/>
  <c r="A422" i="1"/>
  <c r="M421" i="1"/>
  <c r="H421" i="1"/>
  <c r="F421" i="1"/>
  <c r="A421" i="1"/>
  <c r="M420" i="1"/>
  <c r="H420" i="1"/>
  <c r="F420" i="1"/>
  <c r="A420" i="1"/>
  <c r="M419" i="1"/>
  <c r="H419" i="1"/>
  <c r="F419" i="1"/>
  <c r="A419" i="1"/>
  <c r="M418" i="1"/>
  <c r="H418" i="1"/>
  <c r="F418" i="1"/>
  <c r="A418" i="1"/>
  <c r="M417" i="1"/>
  <c r="H417" i="1"/>
  <c r="F417" i="1"/>
  <c r="A417" i="1"/>
  <c r="M416" i="1"/>
  <c r="H416" i="1"/>
  <c r="F416" i="1"/>
  <c r="A416" i="1"/>
  <c r="M415" i="1"/>
  <c r="H415" i="1"/>
  <c r="F415" i="1"/>
  <c r="A415" i="1"/>
  <c r="M414" i="1"/>
  <c r="H414" i="1"/>
  <c r="F414" i="1"/>
  <c r="A414" i="1"/>
  <c r="M413" i="1"/>
  <c r="H413" i="1"/>
  <c r="F413" i="1"/>
  <c r="A413" i="1"/>
  <c r="M412" i="1"/>
  <c r="H412" i="1"/>
  <c r="F412" i="1"/>
  <c r="A412" i="1"/>
  <c r="M411" i="1"/>
  <c r="H411" i="1"/>
  <c r="F411" i="1"/>
  <c r="A411" i="1"/>
  <c r="M410" i="1"/>
  <c r="H410" i="1"/>
  <c r="F410" i="1"/>
  <c r="A410" i="1"/>
  <c r="M409" i="1"/>
  <c r="H409" i="1"/>
  <c r="F409" i="1"/>
  <c r="A409" i="1"/>
  <c r="M408" i="1"/>
  <c r="H408" i="1"/>
  <c r="F408" i="1"/>
  <c r="A408" i="1"/>
  <c r="M407" i="1"/>
  <c r="H407" i="1"/>
  <c r="F407" i="1"/>
  <c r="A407" i="1"/>
  <c r="M406" i="1"/>
  <c r="H406" i="1"/>
  <c r="F406" i="1"/>
  <c r="A406" i="1"/>
  <c r="M405" i="1"/>
  <c r="H405" i="1"/>
  <c r="F405" i="1"/>
  <c r="A405" i="1"/>
  <c r="M404" i="1"/>
  <c r="H404" i="1"/>
  <c r="F404" i="1"/>
  <c r="A404" i="1"/>
  <c r="M403" i="1"/>
  <c r="H403" i="1"/>
  <c r="F403" i="1"/>
  <c r="A403" i="1"/>
  <c r="M402" i="1"/>
  <c r="H402" i="1"/>
  <c r="F402" i="1"/>
  <c r="A402" i="1"/>
  <c r="M401" i="1"/>
  <c r="H401" i="1"/>
  <c r="F401" i="1"/>
  <c r="A401" i="1"/>
  <c r="M400" i="1"/>
  <c r="H400" i="1"/>
  <c r="F400" i="1"/>
  <c r="A400" i="1"/>
  <c r="M399" i="1"/>
  <c r="H399" i="1"/>
  <c r="F399" i="1"/>
  <c r="A399" i="1"/>
  <c r="M398" i="1"/>
  <c r="H398" i="1"/>
  <c r="F398" i="1"/>
  <c r="A398" i="1"/>
  <c r="M397" i="1"/>
  <c r="H397" i="1"/>
  <c r="F397" i="1"/>
  <c r="A397" i="1"/>
  <c r="M396" i="1"/>
  <c r="H396" i="1"/>
  <c r="F396" i="1"/>
  <c r="A396" i="1"/>
  <c r="M395" i="1"/>
  <c r="H395" i="1"/>
  <c r="F395" i="1"/>
  <c r="A395" i="1"/>
  <c r="M394" i="1"/>
  <c r="H394" i="1"/>
  <c r="F394" i="1"/>
  <c r="A394" i="1"/>
  <c r="M393" i="1"/>
  <c r="H393" i="1"/>
  <c r="F393" i="1"/>
  <c r="A393" i="1"/>
  <c r="M392" i="1"/>
  <c r="H392" i="1"/>
  <c r="F392" i="1"/>
  <c r="A392" i="1"/>
  <c r="M391" i="1"/>
  <c r="H391" i="1"/>
  <c r="F391" i="1"/>
  <c r="A391" i="1"/>
  <c r="M390" i="1"/>
  <c r="H390" i="1"/>
  <c r="F390" i="1"/>
  <c r="A390" i="1"/>
  <c r="M389" i="1"/>
  <c r="H389" i="1"/>
  <c r="F389" i="1"/>
  <c r="A389" i="1"/>
  <c r="M388" i="1"/>
  <c r="H388" i="1"/>
  <c r="F388" i="1"/>
  <c r="A388" i="1"/>
  <c r="M387" i="1"/>
  <c r="H387" i="1"/>
  <c r="F387" i="1"/>
  <c r="A387" i="1"/>
  <c r="M386" i="1"/>
  <c r="H386" i="1"/>
  <c r="F386" i="1"/>
  <c r="A386" i="1"/>
  <c r="M385" i="1"/>
  <c r="H385" i="1"/>
  <c r="F385" i="1"/>
  <c r="A385" i="1"/>
  <c r="M384" i="1"/>
  <c r="H384" i="1"/>
  <c r="F384" i="1"/>
  <c r="A384" i="1"/>
  <c r="M383" i="1"/>
  <c r="H383" i="1"/>
  <c r="F383" i="1"/>
  <c r="A383" i="1"/>
  <c r="M382" i="1"/>
  <c r="H382" i="1"/>
  <c r="F382" i="1"/>
  <c r="A382" i="1"/>
  <c r="M381" i="1"/>
  <c r="H381" i="1"/>
  <c r="F381" i="1"/>
  <c r="A381" i="1"/>
  <c r="M380" i="1"/>
  <c r="H380" i="1"/>
  <c r="F380" i="1"/>
  <c r="A380" i="1"/>
  <c r="M379" i="1"/>
  <c r="H379" i="1"/>
  <c r="F379" i="1"/>
  <c r="A379" i="1"/>
  <c r="M378" i="1"/>
  <c r="H378" i="1"/>
  <c r="F378" i="1"/>
  <c r="A378" i="1"/>
  <c r="M377" i="1"/>
  <c r="H377" i="1"/>
  <c r="F377" i="1"/>
  <c r="A377" i="1"/>
  <c r="M376" i="1"/>
  <c r="H376" i="1"/>
  <c r="F376" i="1"/>
  <c r="A376" i="1"/>
  <c r="M375" i="1"/>
  <c r="H375" i="1"/>
  <c r="F375" i="1"/>
  <c r="A375" i="1"/>
  <c r="M374" i="1"/>
  <c r="H374" i="1"/>
  <c r="F374" i="1"/>
  <c r="A374" i="1"/>
  <c r="M373" i="1"/>
  <c r="H373" i="1"/>
  <c r="F373" i="1"/>
  <c r="A373" i="1"/>
  <c r="M372" i="1"/>
  <c r="H372" i="1"/>
  <c r="F372" i="1"/>
  <c r="A372" i="1"/>
  <c r="M371" i="1"/>
  <c r="H371" i="1"/>
  <c r="F371" i="1"/>
  <c r="A371" i="1"/>
  <c r="M370" i="1"/>
  <c r="H370" i="1"/>
  <c r="F370" i="1"/>
  <c r="A370" i="1"/>
  <c r="M369" i="1"/>
  <c r="H369" i="1"/>
  <c r="F369" i="1"/>
  <c r="A369" i="1"/>
  <c r="M368" i="1"/>
  <c r="H368" i="1"/>
  <c r="F368" i="1"/>
  <c r="A368" i="1"/>
  <c r="M367" i="1"/>
  <c r="H367" i="1"/>
  <c r="F367" i="1"/>
  <c r="A367" i="1"/>
  <c r="M366" i="1"/>
  <c r="H366" i="1"/>
  <c r="F366" i="1"/>
  <c r="A366" i="1"/>
  <c r="M365" i="1"/>
  <c r="H365" i="1"/>
  <c r="F365" i="1"/>
  <c r="A365" i="1"/>
  <c r="M364" i="1"/>
  <c r="H364" i="1"/>
  <c r="F364" i="1"/>
  <c r="A364" i="1"/>
  <c r="M363" i="1"/>
  <c r="H363" i="1"/>
  <c r="F363" i="1"/>
  <c r="A363" i="1"/>
  <c r="M362" i="1"/>
  <c r="H362" i="1"/>
  <c r="F362" i="1"/>
  <c r="A362" i="1"/>
  <c r="M361" i="1"/>
  <c r="H361" i="1"/>
  <c r="F361" i="1"/>
  <c r="A361" i="1"/>
  <c r="M360" i="1"/>
  <c r="H360" i="1"/>
  <c r="F360" i="1"/>
  <c r="A360" i="1"/>
  <c r="M359" i="1"/>
  <c r="H359" i="1"/>
  <c r="F359" i="1"/>
  <c r="A359" i="1"/>
  <c r="M358" i="1"/>
  <c r="H358" i="1"/>
  <c r="F358" i="1"/>
  <c r="A358" i="1"/>
  <c r="M357" i="1"/>
  <c r="H357" i="1"/>
  <c r="F357" i="1"/>
  <c r="A357" i="1"/>
  <c r="M356" i="1"/>
  <c r="H356" i="1"/>
  <c r="F356" i="1"/>
  <c r="A356" i="1"/>
  <c r="M355" i="1"/>
  <c r="H355" i="1"/>
  <c r="F355" i="1"/>
  <c r="A355" i="1"/>
  <c r="M354" i="1"/>
  <c r="H354" i="1"/>
  <c r="F354" i="1"/>
  <c r="A354" i="1"/>
  <c r="M353" i="1"/>
  <c r="H353" i="1"/>
  <c r="F353" i="1"/>
  <c r="A353" i="1"/>
  <c r="M352" i="1"/>
  <c r="H352" i="1"/>
  <c r="F352" i="1"/>
  <c r="A352" i="1"/>
  <c r="M351" i="1"/>
  <c r="H351" i="1"/>
  <c r="F351" i="1"/>
  <c r="A351" i="1"/>
  <c r="M350" i="1"/>
  <c r="H350" i="1"/>
  <c r="F350" i="1"/>
  <c r="A350" i="1"/>
  <c r="M349" i="1"/>
  <c r="H349" i="1"/>
  <c r="F349" i="1"/>
  <c r="A349" i="1"/>
  <c r="M348" i="1"/>
  <c r="H348" i="1"/>
  <c r="F348" i="1"/>
  <c r="A348" i="1"/>
  <c r="M347" i="1"/>
  <c r="H347" i="1"/>
  <c r="F347" i="1"/>
  <c r="A347" i="1"/>
  <c r="M346" i="1"/>
  <c r="H346" i="1"/>
  <c r="F346" i="1"/>
  <c r="A346" i="1"/>
  <c r="M345" i="1"/>
  <c r="H345" i="1"/>
  <c r="F345" i="1"/>
  <c r="A345" i="1"/>
  <c r="M344" i="1"/>
  <c r="H344" i="1"/>
  <c r="F344" i="1"/>
  <c r="A344" i="1"/>
  <c r="M343" i="1"/>
  <c r="H343" i="1"/>
  <c r="F343" i="1"/>
  <c r="A343" i="1"/>
  <c r="M342" i="1"/>
  <c r="H342" i="1"/>
  <c r="F342" i="1"/>
  <c r="A342" i="1"/>
  <c r="M341" i="1"/>
  <c r="H341" i="1"/>
  <c r="F341" i="1"/>
  <c r="A341" i="1"/>
  <c r="M340" i="1"/>
  <c r="H340" i="1"/>
  <c r="F340" i="1"/>
  <c r="A340" i="1"/>
  <c r="M339" i="1"/>
  <c r="H339" i="1"/>
  <c r="F339" i="1"/>
  <c r="A339" i="1"/>
  <c r="M338" i="1"/>
  <c r="H338" i="1"/>
  <c r="F338" i="1"/>
  <c r="A338" i="1"/>
  <c r="M337" i="1"/>
  <c r="H337" i="1"/>
  <c r="F337" i="1"/>
  <c r="A337" i="1"/>
  <c r="M336" i="1"/>
  <c r="H336" i="1"/>
  <c r="F336" i="1"/>
  <c r="A336" i="1"/>
  <c r="M335" i="1"/>
  <c r="H335" i="1"/>
  <c r="F335" i="1"/>
  <c r="A335" i="1"/>
  <c r="M334" i="1"/>
  <c r="H334" i="1"/>
  <c r="F334" i="1"/>
  <c r="A334" i="1"/>
  <c r="M333" i="1"/>
  <c r="H333" i="1"/>
  <c r="F333" i="1"/>
  <c r="A333" i="1"/>
  <c r="M332" i="1"/>
  <c r="H332" i="1"/>
  <c r="F332" i="1"/>
  <c r="A332" i="1"/>
  <c r="M331" i="1"/>
  <c r="H331" i="1"/>
  <c r="F331" i="1"/>
  <c r="A331" i="1"/>
  <c r="M330" i="1"/>
  <c r="H330" i="1"/>
  <c r="F330" i="1"/>
  <c r="A330" i="1"/>
  <c r="M329" i="1"/>
  <c r="H329" i="1"/>
  <c r="F329" i="1"/>
  <c r="A329" i="1"/>
  <c r="M328" i="1"/>
  <c r="H328" i="1"/>
  <c r="F328" i="1"/>
  <c r="A328" i="1"/>
  <c r="M327" i="1"/>
  <c r="H327" i="1"/>
  <c r="F327" i="1"/>
  <c r="A327" i="1"/>
  <c r="M326" i="1"/>
  <c r="H326" i="1"/>
  <c r="F326" i="1"/>
  <c r="A326" i="1"/>
  <c r="M325" i="1"/>
  <c r="H325" i="1"/>
  <c r="F325" i="1"/>
  <c r="A325" i="1"/>
  <c r="M324" i="1"/>
  <c r="H324" i="1"/>
  <c r="F324" i="1"/>
  <c r="A324" i="1"/>
  <c r="M323" i="1"/>
  <c r="H323" i="1"/>
  <c r="F323" i="1"/>
  <c r="A323" i="1"/>
  <c r="M322" i="1"/>
  <c r="H322" i="1"/>
  <c r="F322" i="1"/>
  <c r="A322" i="1"/>
  <c r="M321" i="1"/>
  <c r="H321" i="1"/>
  <c r="F321" i="1"/>
  <c r="A321" i="1"/>
  <c r="M320" i="1"/>
  <c r="H320" i="1"/>
  <c r="F320" i="1"/>
  <c r="A320" i="1"/>
  <c r="M319" i="1"/>
  <c r="H319" i="1"/>
  <c r="F319" i="1"/>
  <c r="A319" i="1"/>
  <c r="M318" i="1"/>
  <c r="H318" i="1"/>
  <c r="F318" i="1"/>
  <c r="A318" i="1"/>
  <c r="M317" i="1"/>
  <c r="H317" i="1"/>
  <c r="F317" i="1"/>
  <c r="A317" i="1"/>
  <c r="M316" i="1"/>
  <c r="H316" i="1"/>
  <c r="F316" i="1"/>
  <c r="A316" i="1"/>
  <c r="M315" i="1"/>
  <c r="H315" i="1"/>
  <c r="F315" i="1"/>
  <c r="A315" i="1"/>
  <c r="M314" i="1"/>
  <c r="H314" i="1"/>
  <c r="F314" i="1"/>
  <c r="A314" i="1"/>
  <c r="M313" i="1"/>
  <c r="H313" i="1"/>
  <c r="F313" i="1"/>
  <c r="A313" i="1"/>
  <c r="M312" i="1"/>
  <c r="H312" i="1"/>
  <c r="F312" i="1"/>
  <c r="A312" i="1"/>
  <c r="M311" i="1"/>
  <c r="H311" i="1"/>
  <c r="F311" i="1"/>
  <c r="A311" i="1"/>
  <c r="M310" i="1"/>
  <c r="H310" i="1"/>
  <c r="F310" i="1"/>
  <c r="A310" i="1"/>
  <c r="M309" i="1"/>
  <c r="H309" i="1"/>
  <c r="F309" i="1"/>
  <c r="A309" i="1"/>
  <c r="M308" i="1"/>
  <c r="H308" i="1"/>
  <c r="F308" i="1"/>
  <c r="A308" i="1"/>
  <c r="M307" i="1"/>
  <c r="H307" i="1"/>
  <c r="F307" i="1"/>
  <c r="A307" i="1"/>
  <c r="M306" i="1"/>
  <c r="H306" i="1"/>
  <c r="F306" i="1"/>
  <c r="A306" i="1"/>
  <c r="M305" i="1"/>
  <c r="H305" i="1"/>
  <c r="F305" i="1"/>
  <c r="A305" i="1"/>
  <c r="M304" i="1"/>
  <c r="H304" i="1"/>
  <c r="F304" i="1"/>
  <c r="A304" i="1"/>
  <c r="M303" i="1"/>
  <c r="H303" i="1"/>
  <c r="F303" i="1"/>
  <c r="A303" i="1"/>
  <c r="M302" i="1"/>
  <c r="H302" i="1"/>
  <c r="F302" i="1"/>
  <c r="A302" i="1"/>
  <c r="M301" i="1"/>
  <c r="H301" i="1"/>
  <c r="F301" i="1"/>
  <c r="A301" i="1"/>
  <c r="M300" i="1"/>
  <c r="H300" i="1"/>
  <c r="F300" i="1"/>
  <c r="A300" i="1"/>
  <c r="M299" i="1"/>
  <c r="H299" i="1"/>
  <c r="F299" i="1"/>
  <c r="A299" i="1"/>
  <c r="M298" i="1"/>
  <c r="H298" i="1"/>
  <c r="F298" i="1"/>
  <c r="A298" i="1"/>
  <c r="M297" i="1"/>
  <c r="H297" i="1"/>
  <c r="F297" i="1"/>
  <c r="A297" i="1"/>
  <c r="M296" i="1"/>
  <c r="H296" i="1"/>
  <c r="F296" i="1"/>
  <c r="A296" i="1"/>
  <c r="M295" i="1"/>
  <c r="H295" i="1"/>
  <c r="F295" i="1"/>
  <c r="A295" i="1"/>
  <c r="M294" i="1"/>
  <c r="H294" i="1"/>
  <c r="F294" i="1"/>
  <c r="A294" i="1"/>
  <c r="M293" i="1"/>
  <c r="H293" i="1"/>
  <c r="F293" i="1"/>
  <c r="A293" i="1"/>
  <c r="M292" i="1"/>
  <c r="H292" i="1"/>
  <c r="F292" i="1"/>
  <c r="A292" i="1"/>
  <c r="M291" i="1"/>
  <c r="H291" i="1"/>
  <c r="F291" i="1"/>
  <c r="A291" i="1"/>
  <c r="M290" i="1"/>
  <c r="H290" i="1"/>
  <c r="F290" i="1"/>
  <c r="A290" i="1"/>
  <c r="M289" i="1"/>
  <c r="H289" i="1"/>
  <c r="F289" i="1"/>
  <c r="A289" i="1"/>
  <c r="M288" i="1"/>
  <c r="H288" i="1"/>
  <c r="F288" i="1"/>
  <c r="A288" i="1"/>
  <c r="M287" i="1"/>
  <c r="H287" i="1"/>
  <c r="F287" i="1"/>
  <c r="A287" i="1"/>
  <c r="M286" i="1"/>
  <c r="H286" i="1"/>
  <c r="F286" i="1"/>
  <c r="A286" i="1"/>
  <c r="M285" i="1"/>
  <c r="H285" i="1"/>
  <c r="F285" i="1"/>
  <c r="A285" i="1"/>
  <c r="M284" i="1"/>
  <c r="H284" i="1"/>
  <c r="F284" i="1"/>
  <c r="A284" i="1"/>
  <c r="M283" i="1"/>
  <c r="H283" i="1"/>
  <c r="F283" i="1"/>
  <c r="A283" i="1"/>
  <c r="M282" i="1"/>
  <c r="H282" i="1"/>
  <c r="F282" i="1"/>
  <c r="A282" i="1"/>
  <c r="M281" i="1"/>
  <c r="H281" i="1"/>
  <c r="F281" i="1"/>
  <c r="A281" i="1"/>
  <c r="M280" i="1"/>
  <c r="H280" i="1"/>
  <c r="F280" i="1"/>
  <c r="A280" i="1"/>
  <c r="M279" i="1"/>
  <c r="H279" i="1"/>
  <c r="F279" i="1"/>
  <c r="A279" i="1"/>
  <c r="M278" i="1"/>
  <c r="H278" i="1"/>
  <c r="F278" i="1"/>
  <c r="A278" i="1"/>
  <c r="M277" i="1"/>
  <c r="H277" i="1"/>
  <c r="F277" i="1"/>
  <c r="A277" i="1"/>
  <c r="M276" i="1"/>
  <c r="H276" i="1"/>
  <c r="F276" i="1"/>
  <c r="A276" i="1"/>
  <c r="M275" i="1"/>
  <c r="H275" i="1"/>
  <c r="F275" i="1"/>
  <c r="A275" i="1"/>
  <c r="M274" i="1"/>
  <c r="H274" i="1"/>
  <c r="F274" i="1"/>
  <c r="A274" i="1"/>
  <c r="M273" i="1"/>
  <c r="H273" i="1"/>
  <c r="F273" i="1"/>
  <c r="A273" i="1"/>
  <c r="M272" i="1"/>
  <c r="H272" i="1"/>
  <c r="F272" i="1"/>
  <c r="A272" i="1"/>
  <c r="M271" i="1"/>
  <c r="H271" i="1"/>
  <c r="F271" i="1"/>
  <c r="A271" i="1"/>
  <c r="M270" i="1"/>
  <c r="H270" i="1"/>
  <c r="F270" i="1"/>
  <c r="A270" i="1"/>
  <c r="M269" i="1"/>
  <c r="H269" i="1"/>
  <c r="F269" i="1"/>
  <c r="A269" i="1"/>
  <c r="M268" i="1"/>
  <c r="H268" i="1"/>
  <c r="F268" i="1"/>
  <c r="A268" i="1"/>
  <c r="M267" i="1"/>
  <c r="H267" i="1"/>
  <c r="F267" i="1"/>
  <c r="A267" i="1"/>
  <c r="M266" i="1"/>
  <c r="H266" i="1"/>
  <c r="F266" i="1"/>
  <c r="A266" i="1"/>
  <c r="M265" i="1"/>
  <c r="H265" i="1"/>
  <c r="F265" i="1"/>
  <c r="A265" i="1"/>
  <c r="M264" i="1"/>
  <c r="H264" i="1"/>
  <c r="F264" i="1"/>
  <c r="A264" i="1"/>
  <c r="M263" i="1"/>
  <c r="H263" i="1"/>
  <c r="F263" i="1"/>
  <c r="A263" i="1"/>
  <c r="M262" i="1"/>
  <c r="H262" i="1"/>
  <c r="F262" i="1"/>
  <c r="A262" i="1"/>
  <c r="M261" i="1"/>
  <c r="H261" i="1"/>
  <c r="F261" i="1"/>
  <c r="A261" i="1"/>
  <c r="M260" i="1"/>
  <c r="H260" i="1"/>
  <c r="F260" i="1"/>
  <c r="A260" i="1"/>
  <c r="M259" i="1"/>
  <c r="H259" i="1"/>
  <c r="F259" i="1"/>
  <c r="A259" i="1"/>
  <c r="M258" i="1"/>
  <c r="H258" i="1"/>
  <c r="F258" i="1"/>
  <c r="A258" i="1"/>
  <c r="M257" i="1"/>
  <c r="H257" i="1"/>
  <c r="F257" i="1"/>
  <c r="A257" i="1"/>
  <c r="M256" i="1"/>
  <c r="H256" i="1"/>
  <c r="F256" i="1"/>
  <c r="A256" i="1"/>
  <c r="M255" i="1"/>
  <c r="H255" i="1"/>
  <c r="F255" i="1"/>
  <c r="A255" i="1"/>
  <c r="M254" i="1"/>
  <c r="H254" i="1"/>
  <c r="F254" i="1"/>
  <c r="A254" i="1"/>
  <c r="M253" i="1"/>
  <c r="H253" i="1"/>
  <c r="F253" i="1"/>
  <c r="A253" i="1"/>
  <c r="M252" i="1"/>
  <c r="H252" i="1"/>
  <c r="F252" i="1"/>
  <c r="A252" i="1"/>
  <c r="M251" i="1"/>
  <c r="H251" i="1"/>
  <c r="F251" i="1"/>
  <c r="A251" i="1"/>
  <c r="M250" i="1"/>
  <c r="H250" i="1"/>
  <c r="F250" i="1"/>
  <c r="A250" i="1"/>
  <c r="M249" i="1"/>
  <c r="H249" i="1"/>
  <c r="F249" i="1"/>
  <c r="A249" i="1"/>
  <c r="M248" i="1"/>
  <c r="H248" i="1"/>
  <c r="F248" i="1"/>
  <c r="A248" i="1"/>
  <c r="M247" i="1"/>
  <c r="H247" i="1"/>
  <c r="F247" i="1"/>
  <c r="A247" i="1"/>
  <c r="M246" i="1"/>
  <c r="H246" i="1"/>
  <c r="F246" i="1"/>
  <c r="A246" i="1"/>
  <c r="M245" i="1"/>
  <c r="H245" i="1"/>
  <c r="F245" i="1"/>
  <c r="A245" i="1"/>
  <c r="M244" i="1"/>
  <c r="H244" i="1"/>
  <c r="F244" i="1"/>
  <c r="A244" i="1"/>
  <c r="M243" i="1"/>
  <c r="H243" i="1"/>
  <c r="F243" i="1"/>
  <c r="A243" i="1"/>
  <c r="M242" i="1"/>
  <c r="H242" i="1"/>
  <c r="F242" i="1"/>
  <c r="A242" i="1"/>
  <c r="M241" i="1"/>
  <c r="H241" i="1"/>
  <c r="F241" i="1"/>
  <c r="A241" i="1"/>
  <c r="M240" i="1"/>
  <c r="H240" i="1"/>
  <c r="F240" i="1"/>
  <c r="A240" i="1"/>
  <c r="M239" i="1"/>
  <c r="H239" i="1"/>
  <c r="F239" i="1"/>
  <c r="A239" i="1"/>
  <c r="M238" i="1"/>
  <c r="H238" i="1"/>
  <c r="F238" i="1"/>
  <c r="A238" i="1"/>
  <c r="M237" i="1"/>
  <c r="H237" i="1"/>
  <c r="F237" i="1"/>
  <c r="A237" i="1"/>
  <c r="M236" i="1"/>
  <c r="H236" i="1"/>
  <c r="F236" i="1"/>
  <c r="A236" i="1"/>
  <c r="M235" i="1"/>
  <c r="H235" i="1"/>
  <c r="F235" i="1"/>
  <c r="A235" i="1"/>
  <c r="M234" i="1"/>
  <c r="H234" i="1"/>
  <c r="F234" i="1"/>
  <c r="A234" i="1"/>
  <c r="M233" i="1"/>
  <c r="H233" i="1"/>
  <c r="F233" i="1"/>
  <c r="A233" i="1"/>
  <c r="M232" i="1"/>
  <c r="H232" i="1"/>
  <c r="F232" i="1"/>
  <c r="A232" i="1"/>
  <c r="M231" i="1"/>
  <c r="H231" i="1"/>
  <c r="F231" i="1"/>
  <c r="A231" i="1"/>
  <c r="M230" i="1"/>
  <c r="H230" i="1"/>
  <c r="F230" i="1"/>
  <c r="A230" i="1"/>
  <c r="M229" i="1"/>
  <c r="H229" i="1"/>
  <c r="F229" i="1"/>
  <c r="A229" i="1"/>
  <c r="M228" i="1"/>
  <c r="H228" i="1"/>
  <c r="F228" i="1"/>
  <c r="A228" i="1"/>
  <c r="M227" i="1"/>
  <c r="H227" i="1"/>
  <c r="F227" i="1"/>
  <c r="A227" i="1"/>
  <c r="M226" i="1"/>
  <c r="H226" i="1"/>
  <c r="F226" i="1"/>
  <c r="A226" i="1"/>
  <c r="M225" i="1"/>
  <c r="H225" i="1"/>
  <c r="F225" i="1"/>
  <c r="A225" i="1"/>
  <c r="M224" i="1"/>
  <c r="H224" i="1"/>
  <c r="F224" i="1"/>
  <c r="A224" i="1"/>
  <c r="M223" i="1"/>
  <c r="H223" i="1"/>
  <c r="F223" i="1"/>
  <c r="A223" i="1"/>
  <c r="M222" i="1"/>
  <c r="H222" i="1"/>
  <c r="F222" i="1"/>
  <c r="A222" i="1"/>
  <c r="M221" i="1"/>
  <c r="H221" i="1"/>
  <c r="F221" i="1"/>
  <c r="A221" i="1"/>
  <c r="M220" i="1"/>
  <c r="H220" i="1"/>
  <c r="F220" i="1"/>
  <c r="A220" i="1"/>
  <c r="M219" i="1"/>
  <c r="H219" i="1"/>
  <c r="A219" i="1"/>
  <c r="A218" i="1"/>
  <c r="A217" i="1"/>
  <c r="A216" i="1"/>
  <c r="M215" i="1"/>
  <c r="H215" i="1"/>
  <c r="A215" i="1"/>
  <c r="M214" i="1"/>
  <c r="A214" i="1"/>
  <c r="A213" i="1"/>
  <c r="A212" i="1"/>
  <c r="A211" i="1"/>
  <c r="A210" i="1"/>
  <c r="A209" i="1"/>
  <c r="M208" i="1"/>
  <c r="H208" i="1"/>
  <c r="A208" i="1"/>
  <c r="H207" i="1"/>
  <c r="A207" i="1"/>
  <c r="H206" i="1"/>
  <c r="A206" i="1"/>
  <c r="H205" i="1"/>
  <c r="A205" i="1"/>
  <c r="H204" i="1"/>
  <c r="A204" i="1"/>
  <c r="M203" i="1"/>
  <c r="A203" i="1"/>
  <c r="A202" i="1"/>
  <c r="A201" i="1"/>
  <c r="M200" i="1"/>
  <c r="H200" i="1"/>
  <c r="A200" i="1"/>
  <c r="H199" i="1"/>
  <c r="A199" i="1"/>
  <c r="M198" i="1"/>
  <c r="A198" i="1"/>
  <c r="A197" i="1"/>
  <c r="A196" i="1"/>
  <c r="M195" i="1"/>
  <c r="H195" i="1"/>
  <c r="A195" i="1"/>
  <c r="H194" i="1"/>
  <c r="A194" i="1"/>
  <c r="H193" i="1"/>
  <c r="A193" i="1"/>
  <c r="H192" i="1"/>
  <c r="A192" i="1"/>
  <c r="H191" i="1"/>
  <c r="A191" i="1"/>
  <c r="M190" i="1"/>
  <c r="A190" i="1"/>
  <c r="M189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M180" i="1"/>
  <c r="F180" i="1"/>
  <c r="A180" i="1"/>
  <c r="M179" i="1"/>
  <c r="F179" i="1"/>
  <c r="A179" i="1"/>
  <c r="M178" i="1"/>
  <c r="F178" i="1"/>
  <c r="A178" i="1"/>
  <c r="M177" i="1"/>
  <c r="F177" i="1"/>
  <c r="A177" i="1"/>
  <c r="M176" i="1"/>
  <c r="F176" i="1"/>
  <c r="A176" i="1"/>
  <c r="M175" i="1"/>
  <c r="F175" i="1"/>
  <c r="A175" i="1"/>
  <c r="M174" i="1"/>
  <c r="F174" i="1"/>
  <c r="A174" i="1"/>
  <c r="M173" i="1"/>
  <c r="F173" i="1"/>
  <c r="A173" i="1"/>
  <c r="M172" i="1"/>
  <c r="F172" i="1"/>
  <c r="A172" i="1"/>
  <c r="M171" i="1"/>
  <c r="F171" i="1"/>
  <c r="A171" i="1"/>
  <c r="M170" i="1"/>
  <c r="F170" i="1"/>
  <c r="A170" i="1"/>
  <c r="M169" i="1"/>
  <c r="F169" i="1"/>
  <c r="A169" i="1"/>
  <c r="M168" i="1"/>
  <c r="F168" i="1"/>
  <c r="A168" i="1"/>
  <c r="M167" i="1"/>
  <c r="F167" i="1"/>
  <c r="A167" i="1"/>
  <c r="M166" i="1"/>
  <c r="F166" i="1"/>
  <c r="A166" i="1"/>
  <c r="M165" i="1"/>
  <c r="F165" i="1"/>
  <c r="A165" i="1"/>
  <c r="M164" i="1"/>
  <c r="F164" i="1"/>
  <c r="A164" i="1"/>
  <c r="M163" i="1"/>
  <c r="F163" i="1"/>
  <c r="A163" i="1"/>
  <c r="M162" i="1"/>
  <c r="F162" i="1"/>
  <c r="A162" i="1"/>
  <c r="M161" i="1"/>
  <c r="F161" i="1"/>
  <c r="A161" i="1"/>
  <c r="M160" i="1"/>
  <c r="F160" i="1"/>
  <c r="A160" i="1"/>
  <c r="M159" i="1"/>
  <c r="F159" i="1"/>
  <c r="A159" i="1"/>
  <c r="M158" i="1"/>
  <c r="F158" i="1"/>
  <c r="A158" i="1"/>
  <c r="M157" i="1"/>
  <c r="F157" i="1"/>
  <c r="A157" i="1"/>
  <c r="M156" i="1"/>
  <c r="F156" i="1"/>
  <c r="A156" i="1"/>
  <c r="M155" i="1"/>
  <c r="F155" i="1"/>
  <c r="A155" i="1"/>
  <c r="M154" i="1"/>
  <c r="F154" i="1"/>
  <c r="A154" i="1"/>
  <c r="M153" i="1"/>
  <c r="F153" i="1"/>
  <c r="A153" i="1"/>
  <c r="M152" i="1"/>
  <c r="F152" i="1"/>
  <c r="A152" i="1"/>
  <c r="M151" i="1"/>
  <c r="F151" i="1"/>
  <c r="A151" i="1"/>
  <c r="M150" i="1"/>
  <c r="F150" i="1"/>
  <c r="A150" i="1"/>
  <c r="M149" i="1"/>
  <c r="F149" i="1"/>
  <c r="A149" i="1"/>
  <c r="M148" i="1"/>
  <c r="F148" i="1"/>
  <c r="A148" i="1"/>
  <c r="M147" i="1"/>
  <c r="F147" i="1"/>
  <c r="A147" i="1"/>
  <c r="M146" i="1"/>
  <c r="F146" i="1"/>
  <c r="A146" i="1"/>
  <c r="M145" i="1"/>
  <c r="F145" i="1"/>
  <c r="A145" i="1"/>
  <c r="M144" i="1"/>
  <c r="A144" i="1"/>
  <c r="M143" i="1"/>
  <c r="F143" i="1"/>
  <c r="A143" i="1"/>
  <c r="M142" i="1"/>
  <c r="F142" i="1"/>
  <c r="A142" i="1"/>
  <c r="M141" i="1"/>
  <c r="F141" i="1"/>
  <c r="A141" i="1"/>
  <c r="M140" i="1"/>
  <c r="F140" i="1"/>
  <c r="A140" i="1"/>
  <c r="M139" i="1"/>
  <c r="F139" i="1"/>
  <c r="A139" i="1"/>
  <c r="M138" i="1"/>
  <c r="F138" i="1"/>
  <c r="A138" i="1"/>
  <c r="M137" i="1"/>
  <c r="F137" i="1"/>
  <c r="A137" i="1"/>
  <c r="M136" i="1"/>
  <c r="F136" i="1"/>
  <c r="A136" i="1"/>
  <c r="M135" i="1"/>
  <c r="F135" i="1"/>
  <c r="A135" i="1"/>
  <c r="M134" i="1"/>
  <c r="F134" i="1"/>
  <c r="A134" i="1"/>
  <c r="M133" i="1"/>
  <c r="F133" i="1"/>
  <c r="A133" i="1"/>
  <c r="M132" i="1"/>
  <c r="F132" i="1"/>
  <c r="A132" i="1"/>
  <c r="M131" i="1"/>
  <c r="A131" i="1"/>
  <c r="F130" i="1"/>
  <c r="A130" i="1"/>
  <c r="M129" i="1"/>
  <c r="A129" i="1"/>
  <c r="F128" i="1"/>
  <c r="A128" i="1"/>
  <c r="M127" i="1"/>
  <c r="A127" i="1"/>
  <c r="M126" i="1"/>
  <c r="F126" i="1"/>
  <c r="A126" i="1"/>
  <c r="M125" i="1"/>
  <c r="A125" i="1"/>
  <c r="F124" i="1"/>
  <c r="A124" i="1"/>
  <c r="M123" i="1"/>
  <c r="A123" i="1"/>
  <c r="M122" i="1"/>
  <c r="H122" i="1"/>
  <c r="A122" i="1"/>
  <c r="F121" i="1"/>
  <c r="A121" i="1"/>
  <c r="M120" i="1"/>
  <c r="A120" i="1"/>
  <c r="F119" i="1"/>
  <c r="A119" i="1"/>
  <c r="M118" i="1"/>
  <c r="A118" i="1"/>
  <c r="F117" i="1"/>
  <c r="A117" i="1"/>
  <c r="M116" i="1"/>
  <c r="A116" i="1"/>
  <c r="F115" i="1"/>
  <c r="A115" i="1"/>
  <c r="M114" i="1"/>
  <c r="A114" i="1"/>
  <c r="A113" i="1"/>
  <c r="A112" i="1"/>
  <c r="A111" i="1"/>
  <c r="A110" i="1"/>
  <c r="A109" i="1"/>
  <c r="A108" i="1"/>
  <c r="A107" i="1"/>
  <c r="A106" i="1"/>
  <c r="A105" i="1"/>
  <c r="M104" i="1"/>
  <c r="A104" i="1"/>
  <c r="A103" i="1"/>
  <c r="F102" i="1"/>
  <c r="A102" i="1"/>
  <c r="M101" i="1"/>
  <c r="A101" i="1"/>
  <c r="F100" i="1"/>
  <c r="A100" i="1"/>
  <c r="M99" i="1"/>
  <c r="A99" i="1"/>
  <c r="F98" i="1"/>
  <c r="A98" i="1"/>
  <c r="M97" i="1"/>
  <c r="A97" i="1"/>
  <c r="F96" i="1"/>
  <c r="A96" i="1"/>
  <c r="M95" i="1"/>
  <c r="A95" i="1"/>
  <c r="M94" i="1"/>
  <c r="A94" i="1"/>
  <c r="F93" i="1"/>
  <c r="A93" i="1"/>
  <c r="M92" i="1"/>
  <c r="A92" i="1"/>
  <c r="M91" i="1"/>
  <c r="A91" i="1"/>
  <c r="A90" i="1"/>
  <c r="M89" i="1"/>
  <c r="A89" i="1"/>
  <c r="A88" i="1"/>
  <c r="A87" i="1"/>
  <c r="M86" i="1"/>
  <c r="A86" i="1"/>
  <c r="A85" i="1"/>
  <c r="A84" i="1"/>
  <c r="M83" i="1"/>
  <c r="A83" i="1"/>
  <c r="A82" i="1"/>
  <c r="M81" i="1"/>
  <c r="A81" i="1"/>
  <c r="A80" i="1"/>
  <c r="M79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M64" i="1"/>
  <c r="A64" i="1"/>
  <c r="A63" i="1"/>
  <c r="A62" i="1"/>
  <c r="M61" i="1"/>
  <c r="A61" i="1"/>
  <c r="M60" i="1"/>
  <c r="F60" i="1"/>
  <c r="A60" i="1"/>
  <c r="M59" i="1"/>
  <c r="A59" i="1"/>
  <c r="A58" i="1"/>
  <c r="A57" i="1"/>
  <c r="M56" i="1"/>
  <c r="A56" i="1"/>
  <c r="A55" i="1"/>
  <c r="A54" i="1"/>
  <c r="A53" i="1"/>
  <c r="A52" i="1"/>
  <c r="M51" i="1"/>
  <c r="A51" i="1"/>
  <c r="M50" i="1"/>
  <c r="A50" i="1"/>
  <c r="A49" i="1"/>
  <c r="A48" i="1"/>
  <c r="M47" i="1"/>
  <c r="A47" i="1"/>
  <c r="A46" i="1"/>
  <c r="A45" i="1"/>
  <c r="A44" i="1"/>
  <c r="A43" i="1"/>
  <c r="A42" i="1"/>
  <c r="M41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I6" i="1"/>
  <c r="G6" i="1"/>
  <c r="A6" i="1"/>
  <c r="H130" i="1" l="1"/>
  <c r="H217" i="1"/>
  <c r="M111" i="1"/>
  <c r="H112" i="1"/>
  <c r="M113" i="1"/>
  <c r="F114" i="1"/>
  <c r="M115" i="1"/>
  <c r="F116" i="1"/>
  <c r="M117" i="1"/>
  <c r="F118" i="1"/>
  <c r="M119" i="1"/>
  <c r="F120" i="1"/>
  <c r="M121" i="1"/>
  <c r="F122" i="1"/>
  <c r="F123" i="1"/>
  <c r="M124" i="1"/>
  <c r="F125" i="1"/>
  <c r="F127" i="1"/>
  <c r="M128" i="1"/>
  <c r="F129" i="1"/>
  <c r="M130" i="1"/>
  <c r="F131" i="1"/>
  <c r="H132" i="1"/>
  <c r="H133" i="1"/>
  <c r="H134" i="1"/>
  <c r="H135" i="1"/>
  <c r="H136" i="1"/>
  <c r="H137" i="1"/>
  <c r="H138" i="1"/>
  <c r="H139" i="1"/>
  <c r="H140" i="1"/>
  <c r="H141" i="1"/>
  <c r="H142" i="1"/>
  <c r="F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90" i="1"/>
  <c r="H196" i="1"/>
  <c r="H197" i="1"/>
  <c r="H198" i="1"/>
  <c r="H201" i="1"/>
  <c r="H202" i="1"/>
  <c r="H203" i="1"/>
  <c r="H209" i="1"/>
  <c r="H210" i="1"/>
  <c r="H211" i="1"/>
  <c r="H212" i="1"/>
  <c r="H213" i="1"/>
  <c r="H214" i="1"/>
  <c r="H216" i="1"/>
  <c r="H143" i="1"/>
  <c r="F181" i="1"/>
  <c r="M181" i="1"/>
  <c r="F182" i="1"/>
  <c r="M182" i="1"/>
  <c r="F183" i="1"/>
  <c r="M183" i="1"/>
  <c r="F184" i="1"/>
  <c r="M184" i="1"/>
  <c r="F185" i="1"/>
  <c r="M185" i="1"/>
  <c r="F186" i="1"/>
  <c r="M186" i="1"/>
  <c r="F187" i="1"/>
  <c r="M187" i="1"/>
  <c r="F188" i="1"/>
  <c r="M188" i="1"/>
  <c r="F189" i="1"/>
  <c r="F190" i="1"/>
  <c r="F191" i="1"/>
  <c r="M191" i="1"/>
  <c r="F192" i="1"/>
  <c r="M192" i="1"/>
  <c r="F193" i="1"/>
  <c r="M193" i="1"/>
  <c r="F194" i="1"/>
  <c r="M194" i="1"/>
  <c r="F195" i="1"/>
  <c r="F196" i="1"/>
  <c r="M196" i="1"/>
  <c r="F197" i="1"/>
  <c r="M197" i="1"/>
  <c r="F198" i="1"/>
  <c r="F199" i="1"/>
  <c r="M199" i="1"/>
  <c r="F200" i="1"/>
  <c r="F201" i="1"/>
  <c r="M201" i="1"/>
  <c r="F202" i="1"/>
  <c r="M202" i="1"/>
  <c r="F203" i="1"/>
  <c r="F204" i="1"/>
  <c r="M204" i="1"/>
  <c r="F205" i="1"/>
  <c r="M205" i="1"/>
  <c r="F206" i="1"/>
  <c r="M206" i="1"/>
  <c r="F207" i="1"/>
  <c r="M207" i="1"/>
  <c r="F208" i="1"/>
  <c r="F209" i="1"/>
  <c r="M209" i="1"/>
  <c r="F210" i="1"/>
  <c r="M210" i="1"/>
  <c r="F211" i="1"/>
  <c r="M211" i="1"/>
  <c r="F212" i="1"/>
  <c r="M212" i="1"/>
  <c r="F213" i="1"/>
  <c r="M213" i="1"/>
  <c r="F214" i="1"/>
  <c r="F216" i="1"/>
  <c r="M216" i="1"/>
  <c r="F217" i="1"/>
  <c r="M217" i="1"/>
  <c r="F58" i="1"/>
  <c r="H106" i="1"/>
  <c r="A1" i="1"/>
  <c r="H144" i="1"/>
  <c r="F56" i="1"/>
  <c r="M57" i="1"/>
  <c r="H84" i="1"/>
  <c r="H85" i="1"/>
  <c r="H87" i="1"/>
  <c r="H88" i="1"/>
  <c r="F90" i="1"/>
  <c r="F92" i="1"/>
  <c r="M93" i="1"/>
  <c r="F94" i="1"/>
  <c r="M96" i="1"/>
  <c r="F97" i="1"/>
  <c r="M98" i="1"/>
  <c r="F99" i="1"/>
  <c r="M100" i="1"/>
  <c r="F101" i="1"/>
  <c r="M102" i="1"/>
  <c r="H103" i="1"/>
  <c r="M105" i="1"/>
  <c r="M106" i="1"/>
  <c r="H107" i="1"/>
  <c r="M108" i="1"/>
  <c r="H109" i="1"/>
  <c r="M110" i="1"/>
  <c r="F111" i="1"/>
  <c r="M112" i="1"/>
  <c r="H113" i="1"/>
  <c r="H114" i="1"/>
  <c r="H115" i="1"/>
  <c r="H116" i="1"/>
  <c r="H117" i="1"/>
  <c r="H118" i="1"/>
  <c r="H119" i="1"/>
  <c r="H120" i="1"/>
  <c r="H121" i="1"/>
  <c r="H123" i="1"/>
  <c r="H124" i="1"/>
  <c r="H125" i="1"/>
  <c r="H126" i="1"/>
  <c r="H127" i="1"/>
  <c r="H128" i="1"/>
  <c r="H129" i="1"/>
  <c r="H131" i="1"/>
  <c r="H104" i="1"/>
  <c r="M65" i="1"/>
  <c r="F66" i="1"/>
  <c r="M77" i="1"/>
  <c r="F78" i="1"/>
  <c r="F80" i="1"/>
  <c r="F82" i="1"/>
  <c r="H83" i="1"/>
  <c r="M90" i="1"/>
  <c r="F91" i="1"/>
  <c r="H92" i="1"/>
  <c r="H93" i="1"/>
  <c r="H95" i="1"/>
  <c r="H96" i="1"/>
  <c r="H97" i="1"/>
  <c r="H98" i="1"/>
  <c r="H99" i="1"/>
  <c r="H100" i="1"/>
  <c r="H101" i="1"/>
  <c r="H102" i="1"/>
  <c r="M103" i="1"/>
  <c r="F104" i="1"/>
  <c r="H105" i="1"/>
  <c r="M107" i="1"/>
  <c r="H108" i="1"/>
  <c r="M109" i="1"/>
  <c r="H110" i="1"/>
  <c r="H111" i="1"/>
  <c r="F113" i="1"/>
  <c r="F103" i="1"/>
  <c r="F106" i="1"/>
  <c r="F108" i="1"/>
  <c r="F110" i="1"/>
  <c r="F112" i="1"/>
  <c r="F105" i="1"/>
  <c r="F107" i="1"/>
  <c r="F109" i="1"/>
  <c r="H94" i="1"/>
  <c r="H86" i="1"/>
  <c r="F95" i="1"/>
  <c r="H89" i="1"/>
  <c r="H77" i="1"/>
  <c r="H80" i="1"/>
  <c r="H78" i="1"/>
  <c r="H82" i="1"/>
  <c r="M11" i="1"/>
  <c r="F12" i="1"/>
  <c r="H13" i="1"/>
  <c r="M14" i="1"/>
  <c r="F15" i="1"/>
  <c r="M16" i="1"/>
  <c r="F17" i="1"/>
  <c r="M18" i="1"/>
  <c r="F19" i="1"/>
  <c r="H20" i="1"/>
  <c r="H21" i="1"/>
  <c r="H22" i="1"/>
  <c r="H23" i="1"/>
  <c r="H24" i="1"/>
  <c r="H25" i="1"/>
  <c r="F26" i="1"/>
  <c r="H27" i="1"/>
  <c r="F28" i="1"/>
  <c r="H29" i="1"/>
  <c r="F30" i="1"/>
  <c r="F31" i="1"/>
  <c r="H32" i="1"/>
  <c r="F33" i="1"/>
  <c r="H34" i="1"/>
  <c r="F35" i="1"/>
  <c r="F36" i="1"/>
  <c r="F37" i="1"/>
  <c r="F38" i="1"/>
  <c r="F39" i="1"/>
  <c r="M40" i="1"/>
  <c r="F41" i="1"/>
  <c r="M48" i="1"/>
  <c r="F49" i="1"/>
  <c r="F51" i="1"/>
  <c r="F62" i="1"/>
  <c r="M63" i="1"/>
  <c r="F64" i="1"/>
  <c r="M68" i="1"/>
  <c r="F69" i="1"/>
  <c r="M70" i="1"/>
  <c r="F71" i="1"/>
  <c r="M72" i="1"/>
  <c r="F73" i="1"/>
  <c r="M74" i="1"/>
  <c r="F75" i="1"/>
  <c r="M76" i="1"/>
  <c r="F77" i="1"/>
  <c r="M78" i="1"/>
  <c r="F79" i="1"/>
  <c r="M80" i="1"/>
  <c r="F81" i="1"/>
  <c r="M82" i="1"/>
  <c r="F83" i="1"/>
  <c r="F84" i="1"/>
  <c r="M84" i="1"/>
  <c r="F85" i="1"/>
  <c r="M85" i="1"/>
  <c r="F86" i="1"/>
  <c r="F87" i="1"/>
  <c r="M87" i="1"/>
  <c r="F88" i="1"/>
  <c r="M88" i="1"/>
  <c r="F89" i="1"/>
  <c r="H90" i="1"/>
  <c r="H91" i="1"/>
  <c r="H79" i="1"/>
  <c r="H81" i="1"/>
  <c r="H33" i="1"/>
  <c r="H72" i="1"/>
  <c r="H75" i="1"/>
  <c r="H67" i="1"/>
  <c r="H73" i="1"/>
  <c r="H76" i="1"/>
  <c r="H74" i="1"/>
  <c r="H62" i="1"/>
  <c r="H65" i="1"/>
  <c r="H68" i="1"/>
  <c r="H70" i="1"/>
  <c r="H63" i="1"/>
  <c r="H66" i="1"/>
  <c r="H69" i="1"/>
  <c r="H71" i="1"/>
  <c r="F9" i="1"/>
  <c r="M10" i="1"/>
  <c r="F11" i="1"/>
  <c r="M17" i="1"/>
  <c r="F18" i="1"/>
  <c r="M42" i="1"/>
  <c r="F43" i="1"/>
  <c r="M44" i="1"/>
  <c r="F45" i="1"/>
  <c r="M46" i="1"/>
  <c r="F47" i="1"/>
  <c r="M52" i="1"/>
  <c r="F53" i="1"/>
  <c r="M54" i="1"/>
  <c r="F55" i="1"/>
  <c r="F57" i="1"/>
  <c r="M58" i="1"/>
  <c r="F59" i="1"/>
  <c r="F61" i="1"/>
  <c r="M62" i="1"/>
  <c r="F63" i="1"/>
  <c r="F65" i="1"/>
  <c r="M66" i="1"/>
  <c r="M67" i="1"/>
  <c r="F68" i="1"/>
  <c r="M69" i="1"/>
  <c r="F70" i="1"/>
  <c r="M71" i="1"/>
  <c r="F72" i="1"/>
  <c r="M73" i="1"/>
  <c r="F74" i="1"/>
  <c r="M75" i="1"/>
  <c r="F76" i="1"/>
  <c r="F67" i="1"/>
  <c r="H64" i="1"/>
  <c r="H60" i="1"/>
  <c r="H61" i="1"/>
  <c r="M9" i="1"/>
  <c r="F10" i="1"/>
  <c r="H11" i="1"/>
  <c r="M12" i="1"/>
  <c r="F13" i="1"/>
  <c r="M13" i="1"/>
  <c r="F14" i="1"/>
  <c r="M15" i="1"/>
  <c r="F16" i="1"/>
  <c r="H17" i="1"/>
  <c r="H18" i="1"/>
  <c r="M19" i="1"/>
  <c r="F20" i="1"/>
  <c r="M20" i="1"/>
  <c r="F21" i="1"/>
  <c r="M21" i="1"/>
  <c r="F22" i="1"/>
  <c r="M22" i="1"/>
  <c r="F23" i="1"/>
  <c r="M23" i="1"/>
  <c r="F24" i="1"/>
  <c r="M24" i="1"/>
  <c r="F25" i="1"/>
  <c r="H26" i="1"/>
  <c r="F27" i="1"/>
  <c r="H28" i="1"/>
  <c r="F29" i="1"/>
  <c r="H31" i="1"/>
  <c r="F32" i="1"/>
  <c r="F34" i="1"/>
  <c r="M39" i="1"/>
  <c r="F40" i="1"/>
  <c r="F42" i="1"/>
  <c r="M43" i="1"/>
  <c r="F44" i="1"/>
  <c r="M45" i="1"/>
  <c r="F46" i="1"/>
  <c r="F48" i="1"/>
  <c r="M49" i="1"/>
  <c r="F50" i="1"/>
  <c r="F52" i="1"/>
  <c r="M53" i="1"/>
  <c r="F54" i="1"/>
  <c r="M55" i="1"/>
  <c r="H37" i="1"/>
  <c r="H39" i="1"/>
  <c r="H42" i="1"/>
  <c r="H44" i="1"/>
  <c r="H46" i="1"/>
  <c r="H52" i="1"/>
  <c r="H54" i="1"/>
  <c r="H57" i="1"/>
  <c r="H59" i="1"/>
  <c r="H35" i="1"/>
  <c r="H30" i="1"/>
  <c r="H49" i="1"/>
  <c r="H38" i="1"/>
  <c r="H40" i="1"/>
  <c r="H43" i="1"/>
  <c r="H45" i="1"/>
  <c r="H48" i="1"/>
  <c r="H53" i="1"/>
  <c r="H55" i="1"/>
  <c r="H58" i="1"/>
  <c r="H36" i="1"/>
  <c r="H15" i="1"/>
  <c r="H56" i="1"/>
  <c r="S16" i="2"/>
  <c r="H10" i="1"/>
  <c r="M25" i="1"/>
  <c r="M27" i="1"/>
  <c r="M29" i="1"/>
  <c r="M31" i="1"/>
  <c r="M33" i="1"/>
  <c r="M35" i="1"/>
  <c r="M37" i="1"/>
  <c r="M26" i="1"/>
  <c r="M28" i="1"/>
  <c r="M30" i="1"/>
  <c r="M32" i="1"/>
  <c r="M34" i="1"/>
  <c r="M36" i="1"/>
  <c r="M38" i="1"/>
  <c r="H19" i="1"/>
  <c r="H50" i="1"/>
  <c r="H51" i="1"/>
  <c r="H41" i="1"/>
  <c r="H47" i="1"/>
  <c r="H9" i="1"/>
  <c r="H12" i="1"/>
  <c r="H14" i="1"/>
  <c r="H16" i="1"/>
  <c r="AS16" i="2"/>
  <c r="E6" i="1"/>
  <c r="AC16" i="2"/>
  <c r="AG16" i="2"/>
  <c r="C6" i="1"/>
  <c r="AG10" i="2"/>
  <c r="AS10" i="2"/>
  <c r="AK105" i="2"/>
  <c r="AK103" i="2"/>
  <c r="AK101" i="2"/>
  <c r="AK99" i="2"/>
  <c r="AK104" i="2"/>
  <c r="AK102" i="2"/>
  <c r="AK100" i="2"/>
  <c r="AK98" i="2"/>
  <c r="AK97" i="2"/>
  <c r="AK95" i="2"/>
  <c r="AK93" i="2"/>
  <c r="AK92" i="2"/>
  <c r="AK90" i="2"/>
  <c r="AK88" i="2"/>
  <c r="AK86" i="2"/>
  <c r="AK84" i="2"/>
  <c r="AK82" i="2"/>
  <c r="AK96" i="2"/>
  <c r="AK94" i="2"/>
  <c r="AK91" i="2"/>
  <c r="AK89" i="2"/>
  <c r="AK87" i="2"/>
  <c r="AK85" i="2"/>
  <c r="AK83" i="2"/>
  <c r="AK81" i="2"/>
  <c r="AK79" i="2"/>
  <c r="AK77" i="2"/>
  <c r="AK75" i="2"/>
  <c r="AK73" i="2"/>
  <c r="AK71" i="2"/>
  <c r="AK69" i="2"/>
  <c r="AK67" i="2"/>
  <c r="AK65" i="2"/>
  <c r="AK80" i="2"/>
  <c r="AK78" i="2"/>
  <c r="AK76" i="2"/>
  <c r="AK74" i="2"/>
  <c r="AK72" i="2"/>
  <c r="AK70" i="2"/>
  <c r="AK68" i="2"/>
  <c r="AK66" i="2"/>
  <c r="AK64" i="2"/>
  <c r="AK62" i="2"/>
  <c r="AK60" i="2"/>
  <c r="AK58" i="2"/>
  <c r="AK56" i="2"/>
  <c r="AK54" i="2"/>
  <c r="AK52" i="2"/>
  <c r="AK50" i="2"/>
  <c r="AK48" i="2"/>
  <c r="AK46" i="2"/>
  <c r="AK44" i="2"/>
  <c r="AK42" i="2"/>
  <c r="AK40" i="2"/>
  <c r="AK38" i="2"/>
  <c r="AK36" i="2"/>
  <c r="AK34" i="2"/>
  <c r="AK32" i="2"/>
  <c r="AK63" i="2"/>
  <c r="AK61" i="2"/>
  <c r="AK59" i="2"/>
  <c r="AK57" i="2"/>
  <c r="AK55" i="2"/>
  <c r="AK53" i="2"/>
  <c r="AK51" i="2"/>
  <c r="AK49" i="2"/>
  <c r="AK47" i="2"/>
  <c r="AK45" i="2"/>
  <c r="AK43" i="2"/>
  <c r="AK41" i="2"/>
  <c r="AK39" i="2"/>
  <c r="AK37" i="2"/>
  <c r="AK35" i="2"/>
  <c r="AK33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5" i="2"/>
  <c r="AK13" i="2"/>
  <c r="AK11" i="2"/>
  <c r="AK9" i="2"/>
  <c r="AK8" i="2"/>
  <c r="AK7" i="2"/>
  <c r="AK6" i="2"/>
  <c r="AK16" i="2"/>
  <c r="AK14" i="2"/>
  <c r="AK12" i="2"/>
  <c r="AK10" i="2"/>
  <c r="AO105" i="2"/>
  <c r="AO103" i="2"/>
  <c r="AO101" i="2"/>
  <c r="AO99" i="2"/>
  <c r="AO97" i="2"/>
  <c r="AO104" i="2"/>
  <c r="AO102" i="2"/>
  <c r="AO100" i="2"/>
  <c r="AO98" i="2"/>
  <c r="AO95" i="2"/>
  <c r="AO93" i="2"/>
  <c r="AO92" i="2"/>
  <c r="AO90" i="2"/>
  <c r="AO88" i="2"/>
  <c r="AO86" i="2"/>
  <c r="AO84" i="2"/>
  <c r="AO82" i="2"/>
  <c r="AO96" i="2"/>
  <c r="AO94" i="2"/>
  <c r="AO91" i="2"/>
  <c r="AO89" i="2"/>
  <c r="AO87" i="2"/>
  <c r="AO85" i="2"/>
  <c r="AO83" i="2"/>
  <c r="AO81" i="2"/>
  <c r="AO79" i="2"/>
  <c r="AO77" i="2"/>
  <c r="AO75" i="2"/>
  <c r="AO73" i="2"/>
  <c r="AO71" i="2"/>
  <c r="AO69" i="2"/>
  <c r="AO67" i="2"/>
  <c r="AO65" i="2"/>
  <c r="AO63" i="2"/>
  <c r="AO80" i="2"/>
  <c r="AO78" i="2"/>
  <c r="AO76" i="2"/>
  <c r="AO74" i="2"/>
  <c r="AO72" i="2"/>
  <c r="AO70" i="2"/>
  <c r="AO68" i="2"/>
  <c r="AO66" i="2"/>
  <c r="AO64" i="2"/>
  <c r="AO62" i="2"/>
  <c r="AO60" i="2"/>
  <c r="AO58" i="2"/>
  <c r="AO56" i="2"/>
  <c r="AO54" i="2"/>
  <c r="AO52" i="2"/>
  <c r="AO50" i="2"/>
  <c r="AO48" i="2"/>
  <c r="AO46" i="2"/>
  <c r="AO44" i="2"/>
  <c r="AO42" i="2"/>
  <c r="AO40" i="2"/>
  <c r="AO38" i="2"/>
  <c r="AO36" i="2"/>
  <c r="AO34" i="2"/>
  <c r="AO32" i="2"/>
  <c r="AO61" i="2"/>
  <c r="AO59" i="2"/>
  <c r="AO57" i="2"/>
  <c r="AO55" i="2"/>
  <c r="AO53" i="2"/>
  <c r="AO51" i="2"/>
  <c r="AO49" i="2"/>
  <c r="AO47" i="2"/>
  <c r="AO45" i="2"/>
  <c r="AO43" i="2"/>
  <c r="AO41" i="2"/>
  <c r="AO39" i="2"/>
  <c r="AO37" i="2"/>
  <c r="AO35" i="2"/>
  <c r="AO33" i="2"/>
  <c r="AO31" i="2"/>
  <c r="AO30" i="2"/>
  <c r="AO29" i="2"/>
  <c r="AO28" i="2"/>
  <c r="AO27" i="2"/>
  <c r="AO26" i="2"/>
  <c r="AO25" i="2"/>
  <c r="AO24" i="2"/>
  <c r="AO23" i="2"/>
  <c r="AO22" i="2"/>
  <c r="AO21" i="2"/>
  <c r="AO20" i="2"/>
  <c r="AO19" i="2"/>
  <c r="AO18" i="2"/>
  <c r="AO17" i="2"/>
  <c r="AO15" i="2"/>
  <c r="AO13" i="2"/>
  <c r="AO11" i="2"/>
  <c r="AO9" i="2"/>
  <c r="AO8" i="2"/>
  <c r="AO7" i="2"/>
  <c r="AO6" i="2"/>
  <c r="AO16" i="2"/>
  <c r="AO14" i="2"/>
  <c r="AO12" i="2"/>
  <c r="AO10" i="2"/>
  <c r="AE105" i="2"/>
  <c r="AE103" i="2"/>
  <c r="AE101" i="2"/>
  <c r="AE99" i="2"/>
  <c r="AE97" i="2"/>
  <c r="AE95" i="2"/>
  <c r="AE104" i="2"/>
  <c r="AE102" i="2"/>
  <c r="AE100" i="2"/>
  <c r="AE98" i="2"/>
  <c r="AE96" i="2"/>
  <c r="AE94" i="2"/>
  <c r="AE92" i="2"/>
  <c r="AE90" i="2"/>
  <c r="AE88" i="2"/>
  <c r="AE86" i="2"/>
  <c r="AE84" i="2"/>
  <c r="AE82" i="2"/>
  <c r="AE93" i="2"/>
  <c r="AE91" i="2"/>
  <c r="AE89" i="2"/>
  <c r="AE87" i="2"/>
  <c r="AE85" i="2"/>
  <c r="AE83" i="2"/>
  <c r="AE81" i="2"/>
  <c r="AE79" i="2"/>
  <c r="AE77" i="2"/>
  <c r="AE75" i="2"/>
  <c r="AE73" i="2"/>
  <c r="AE71" i="2"/>
  <c r="AE69" i="2"/>
  <c r="AE67" i="2"/>
  <c r="AE65" i="2"/>
  <c r="AE80" i="2"/>
  <c r="AE78" i="2"/>
  <c r="AE76" i="2"/>
  <c r="AE74" i="2"/>
  <c r="AE72" i="2"/>
  <c r="AE70" i="2"/>
  <c r="AE68" i="2"/>
  <c r="AE66" i="2"/>
  <c r="AE64" i="2"/>
  <c r="AE62" i="2"/>
  <c r="AE60" i="2"/>
  <c r="AE58" i="2"/>
  <c r="AE56" i="2"/>
  <c r="AE54" i="2"/>
  <c r="AE52" i="2"/>
  <c r="AE50" i="2"/>
  <c r="AE48" i="2"/>
  <c r="AE46" i="2"/>
  <c r="AE44" i="2"/>
  <c r="AE42" i="2"/>
  <c r="AE40" i="2"/>
  <c r="AE38" i="2"/>
  <c r="AE36" i="2"/>
  <c r="AE34" i="2"/>
  <c r="AE32" i="2"/>
  <c r="AE63" i="2"/>
  <c r="AE61" i="2"/>
  <c r="AE59" i="2"/>
  <c r="AE57" i="2"/>
  <c r="AE55" i="2"/>
  <c r="AE53" i="2"/>
  <c r="AE51" i="2"/>
  <c r="AE49" i="2"/>
  <c r="AE47" i="2"/>
  <c r="AE45" i="2"/>
  <c r="AE43" i="2"/>
  <c r="AE41" i="2"/>
  <c r="AE39" i="2"/>
  <c r="AE37" i="2"/>
  <c r="AE35" i="2"/>
  <c r="AE33" i="2"/>
  <c r="AE31" i="2"/>
  <c r="AE30" i="2"/>
  <c r="AI105" i="2"/>
  <c r="AI103" i="2"/>
  <c r="AI101" i="2"/>
  <c r="AI99" i="2"/>
  <c r="AI97" i="2"/>
  <c r="AI95" i="2"/>
  <c r="AI93" i="2"/>
  <c r="AI96" i="2"/>
  <c r="AI94" i="2"/>
  <c r="AI92" i="2"/>
  <c r="AI90" i="2"/>
  <c r="AI88" i="2"/>
  <c r="AI86" i="2"/>
  <c r="AI84" i="2"/>
  <c r="AI82" i="2"/>
  <c r="AI104" i="2"/>
  <c r="AI102" i="2"/>
  <c r="AI100" i="2"/>
  <c r="AI98" i="2"/>
  <c r="AI91" i="2"/>
  <c r="AI89" i="2"/>
  <c r="AI87" i="2"/>
  <c r="AI85" i="2"/>
  <c r="AI83" i="2"/>
  <c r="AI81" i="2"/>
  <c r="AI80" i="2"/>
  <c r="AI79" i="2"/>
  <c r="AI77" i="2"/>
  <c r="AI75" i="2"/>
  <c r="AI73" i="2"/>
  <c r="AI71" i="2"/>
  <c r="AI69" i="2"/>
  <c r="AI67" i="2"/>
  <c r="AI65" i="2"/>
  <c r="AI78" i="2"/>
  <c r="AI76" i="2"/>
  <c r="AI74" i="2"/>
  <c r="AI72" i="2"/>
  <c r="AI70" i="2"/>
  <c r="AI68" i="2"/>
  <c r="AI66" i="2"/>
  <c r="AI64" i="2"/>
  <c r="AI62" i="2"/>
  <c r="AI60" i="2"/>
  <c r="AI58" i="2"/>
  <c r="AI56" i="2"/>
  <c r="AI54" i="2"/>
  <c r="AI52" i="2"/>
  <c r="AI50" i="2"/>
  <c r="AI48" i="2"/>
  <c r="AI46" i="2"/>
  <c r="AI44" i="2"/>
  <c r="AI42" i="2"/>
  <c r="AI40" i="2"/>
  <c r="AI38" i="2"/>
  <c r="AI36" i="2"/>
  <c r="AI34" i="2"/>
  <c r="AI32" i="2"/>
  <c r="AI63" i="2"/>
  <c r="AI61" i="2"/>
  <c r="AI59" i="2"/>
  <c r="AI57" i="2"/>
  <c r="AI55" i="2"/>
  <c r="AI53" i="2"/>
  <c r="AI51" i="2"/>
  <c r="AI49" i="2"/>
  <c r="AI47" i="2"/>
  <c r="AI45" i="2"/>
  <c r="AI43" i="2"/>
  <c r="AI41" i="2"/>
  <c r="AI39" i="2"/>
  <c r="AI37" i="2"/>
  <c r="AI35" i="2"/>
  <c r="AI33" i="2"/>
  <c r="AI31" i="2"/>
  <c r="AI30" i="2"/>
  <c r="AM105" i="2"/>
  <c r="AM103" i="2"/>
  <c r="AM101" i="2"/>
  <c r="AM99" i="2"/>
  <c r="AM97" i="2"/>
  <c r="AM95" i="2"/>
  <c r="AM93" i="2"/>
  <c r="AM104" i="2"/>
  <c r="AM102" i="2"/>
  <c r="AM100" i="2"/>
  <c r="AM98" i="2"/>
  <c r="AM96" i="2"/>
  <c r="AM94" i="2"/>
  <c r="AM92" i="2"/>
  <c r="AM90" i="2"/>
  <c r="AM88" i="2"/>
  <c r="AM86" i="2"/>
  <c r="AM84" i="2"/>
  <c r="AM82" i="2"/>
  <c r="AM91" i="2"/>
  <c r="AM89" i="2"/>
  <c r="AM87" i="2"/>
  <c r="AM85" i="2"/>
  <c r="AM83" i="2"/>
  <c r="AM81" i="2"/>
  <c r="AM80" i="2"/>
  <c r="AM79" i="2"/>
  <c r="AM77" i="2"/>
  <c r="AM75" i="2"/>
  <c r="AM73" i="2"/>
  <c r="AM71" i="2"/>
  <c r="AM69" i="2"/>
  <c r="AM67" i="2"/>
  <c r="AM65" i="2"/>
  <c r="AM78" i="2"/>
  <c r="AM76" i="2"/>
  <c r="AM74" i="2"/>
  <c r="AM72" i="2"/>
  <c r="AM70" i="2"/>
  <c r="AM68" i="2"/>
  <c r="AM66" i="2"/>
  <c r="AM64" i="2"/>
  <c r="AM62" i="2"/>
  <c r="AM60" i="2"/>
  <c r="AM58" i="2"/>
  <c r="AM56" i="2"/>
  <c r="AM54" i="2"/>
  <c r="AM52" i="2"/>
  <c r="AM50" i="2"/>
  <c r="AM48" i="2"/>
  <c r="AM46" i="2"/>
  <c r="AM44" i="2"/>
  <c r="AM42" i="2"/>
  <c r="AM40" i="2"/>
  <c r="AM38" i="2"/>
  <c r="AM36" i="2"/>
  <c r="AM34" i="2"/>
  <c r="AM32" i="2"/>
  <c r="AM63" i="2"/>
  <c r="AM61" i="2"/>
  <c r="AM59" i="2"/>
  <c r="AM57" i="2"/>
  <c r="AM55" i="2"/>
  <c r="AM53" i="2"/>
  <c r="AM51" i="2"/>
  <c r="AM49" i="2"/>
  <c r="AM47" i="2"/>
  <c r="AM45" i="2"/>
  <c r="AM43" i="2"/>
  <c r="AM41" i="2"/>
  <c r="AM39" i="2"/>
  <c r="AM37" i="2"/>
  <c r="AM35" i="2"/>
  <c r="AM33" i="2"/>
  <c r="AM31" i="2"/>
  <c r="AM30" i="2"/>
  <c r="AM29" i="2"/>
  <c r="AQ105" i="2"/>
  <c r="AQ103" i="2"/>
  <c r="AQ101" i="2"/>
  <c r="AQ99" i="2"/>
  <c r="AQ97" i="2"/>
  <c r="AQ95" i="2"/>
  <c r="AQ93" i="2"/>
  <c r="AQ96" i="2"/>
  <c r="AQ94" i="2"/>
  <c r="AQ92" i="2"/>
  <c r="AQ90" i="2"/>
  <c r="AQ88" i="2"/>
  <c r="AQ86" i="2"/>
  <c r="AQ84" i="2"/>
  <c r="AQ82" i="2"/>
  <c r="AQ104" i="2"/>
  <c r="AQ102" i="2"/>
  <c r="AQ100" i="2"/>
  <c r="AQ98" i="2"/>
  <c r="AQ91" i="2"/>
  <c r="AQ89" i="2"/>
  <c r="AQ87" i="2"/>
  <c r="AQ85" i="2"/>
  <c r="AQ83" i="2"/>
  <c r="AQ81" i="2"/>
  <c r="AQ80" i="2"/>
  <c r="AQ79" i="2"/>
  <c r="AQ77" i="2"/>
  <c r="AQ75" i="2"/>
  <c r="AQ73" i="2"/>
  <c r="AQ71" i="2"/>
  <c r="AQ69" i="2"/>
  <c r="AQ67" i="2"/>
  <c r="AQ65" i="2"/>
  <c r="AQ63" i="2"/>
  <c r="AQ78" i="2"/>
  <c r="AQ76" i="2"/>
  <c r="AQ74" i="2"/>
  <c r="AQ72" i="2"/>
  <c r="AQ70" i="2"/>
  <c r="AQ68" i="2"/>
  <c r="AQ66" i="2"/>
  <c r="AQ64" i="2"/>
  <c r="AQ62" i="2"/>
  <c r="AQ60" i="2"/>
  <c r="AQ58" i="2"/>
  <c r="AQ56" i="2"/>
  <c r="AQ54" i="2"/>
  <c r="AQ52" i="2"/>
  <c r="AQ50" i="2"/>
  <c r="AQ48" i="2"/>
  <c r="AQ46" i="2"/>
  <c r="AQ44" i="2"/>
  <c r="AQ42" i="2"/>
  <c r="AQ40" i="2"/>
  <c r="AQ38" i="2"/>
  <c r="AQ36" i="2"/>
  <c r="AQ34" i="2"/>
  <c r="AQ32" i="2"/>
  <c r="AQ61" i="2"/>
  <c r="AQ59" i="2"/>
  <c r="AQ57" i="2"/>
  <c r="AQ55" i="2"/>
  <c r="AQ53" i="2"/>
  <c r="AQ51" i="2"/>
  <c r="AQ49" i="2"/>
  <c r="AQ47" i="2"/>
  <c r="AQ45" i="2"/>
  <c r="AQ43" i="2"/>
  <c r="AQ41" i="2"/>
  <c r="AQ39" i="2"/>
  <c r="AQ37" i="2"/>
  <c r="AQ35" i="2"/>
  <c r="AQ33" i="2"/>
  <c r="AQ31" i="2"/>
  <c r="AQ30" i="2"/>
  <c r="AQ29" i="2"/>
  <c r="AU105" i="2"/>
  <c r="AU103" i="2"/>
  <c r="AU101" i="2"/>
  <c r="AU99" i="2"/>
  <c r="AU97" i="2"/>
  <c r="AU95" i="2"/>
  <c r="AU93" i="2"/>
  <c r="AU104" i="2"/>
  <c r="AU102" i="2"/>
  <c r="AU100" i="2"/>
  <c r="AU98" i="2"/>
  <c r="AU96" i="2"/>
  <c r="AU94" i="2"/>
  <c r="AU92" i="2"/>
  <c r="AU90" i="2"/>
  <c r="AU88" i="2"/>
  <c r="AU86" i="2"/>
  <c r="AU84" i="2"/>
  <c r="AU82" i="2"/>
  <c r="AU80" i="2"/>
  <c r="AU91" i="2"/>
  <c r="AU89" i="2"/>
  <c r="AU87" i="2"/>
  <c r="AU85" i="2"/>
  <c r="AU83" i="2"/>
  <c r="AU81" i="2"/>
  <c r="AU79" i="2"/>
  <c r="AU77" i="2"/>
  <c r="AU75" i="2"/>
  <c r="AU73" i="2"/>
  <c r="AU71" i="2"/>
  <c r="AU69" i="2"/>
  <c r="AU67" i="2"/>
  <c r="AU65" i="2"/>
  <c r="AU63" i="2"/>
  <c r="AU78" i="2"/>
  <c r="AU76" i="2"/>
  <c r="AU74" i="2"/>
  <c r="AU72" i="2"/>
  <c r="AU70" i="2"/>
  <c r="AU68" i="2"/>
  <c r="AU66" i="2"/>
  <c r="AU64" i="2"/>
  <c r="AU62" i="2"/>
  <c r="AU60" i="2"/>
  <c r="AU58" i="2"/>
  <c r="AU56" i="2"/>
  <c r="AU54" i="2"/>
  <c r="AU52" i="2"/>
  <c r="AU50" i="2"/>
  <c r="AU48" i="2"/>
  <c r="AU46" i="2"/>
  <c r="AU44" i="2"/>
  <c r="AU42" i="2"/>
  <c r="AU40" i="2"/>
  <c r="AU38" i="2"/>
  <c r="AU36" i="2"/>
  <c r="AU34" i="2"/>
  <c r="AU32" i="2"/>
  <c r="AU61" i="2"/>
  <c r="AU59" i="2"/>
  <c r="AU57" i="2"/>
  <c r="AU55" i="2"/>
  <c r="AU53" i="2"/>
  <c r="AU51" i="2"/>
  <c r="AU49" i="2"/>
  <c r="AU47" i="2"/>
  <c r="AU45" i="2"/>
  <c r="AU43" i="2"/>
  <c r="AU41" i="2"/>
  <c r="AU39" i="2"/>
  <c r="AU37" i="2"/>
  <c r="AU35" i="2"/>
  <c r="AU33" i="2"/>
  <c r="AU31" i="2"/>
  <c r="AU30" i="2"/>
  <c r="AU29" i="2"/>
  <c r="S6" i="2"/>
  <c r="S7" i="2"/>
  <c r="S8" i="2"/>
  <c r="S9" i="2"/>
  <c r="AC10" i="2"/>
  <c r="AE10" i="2"/>
  <c r="AI10" i="2"/>
  <c r="AM10" i="2"/>
  <c r="AQ10" i="2"/>
  <c r="AU10" i="2"/>
  <c r="S11" i="2"/>
  <c r="AC12" i="2"/>
  <c r="AE12" i="2"/>
  <c r="AG12" i="2"/>
  <c r="AI12" i="2"/>
  <c r="AM12" i="2"/>
  <c r="AQ12" i="2"/>
  <c r="AS12" i="2"/>
  <c r="AU12" i="2"/>
  <c r="S13" i="2"/>
  <c r="AC14" i="2"/>
  <c r="AE14" i="2"/>
  <c r="AG14" i="2"/>
  <c r="AI14" i="2"/>
  <c r="AM14" i="2"/>
  <c r="AQ14" i="2"/>
  <c r="AS14" i="2"/>
  <c r="AU14" i="2"/>
  <c r="S15" i="2"/>
  <c r="AE16" i="2"/>
  <c r="AI16" i="2"/>
  <c r="AM16" i="2"/>
  <c r="AQ16" i="2"/>
  <c r="AU16" i="2"/>
  <c r="S17" i="2"/>
  <c r="S18" i="2"/>
  <c r="S19" i="2"/>
  <c r="S20" i="2"/>
  <c r="S21" i="2"/>
  <c r="S22" i="2"/>
  <c r="S23" i="2"/>
  <c r="S24" i="2"/>
  <c r="S25" i="2"/>
  <c r="AC105" i="2"/>
  <c r="AC103" i="2"/>
  <c r="AC101" i="2"/>
  <c r="AC99" i="2"/>
  <c r="AC104" i="2"/>
  <c r="AC102" i="2"/>
  <c r="AC100" i="2"/>
  <c r="AC98" i="2"/>
  <c r="AC97" i="2"/>
  <c r="AC95" i="2"/>
  <c r="AC92" i="2"/>
  <c r="AC90" i="2"/>
  <c r="AC88" i="2"/>
  <c r="AC86" i="2"/>
  <c r="AC84" i="2"/>
  <c r="AC82" i="2"/>
  <c r="AC96" i="2"/>
  <c r="AC94" i="2"/>
  <c r="AC93" i="2"/>
  <c r="AC91" i="2"/>
  <c r="AC89" i="2"/>
  <c r="AC87" i="2"/>
  <c r="AC85" i="2"/>
  <c r="AC83" i="2"/>
  <c r="AC81" i="2"/>
  <c r="AC79" i="2"/>
  <c r="AC77" i="2"/>
  <c r="AC75" i="2"/>
  <c r="AC73" i="2"/>
  <c r="AC71" i="2"/>
  <c r="AC69" i="2"/>
  <c r="AC67" i="2"/>
  <c r="AC65" i="2"/>
  <c r="AC80" i="2"/>
  <c r="AC78" i="2"/>
  <c r="AC76" i="2"/>
  <c r="AC74" i="2"/>
  <c r="AC72" i="2"/>
  <c r="AC70" i="2"/>
  <c r="AC68" i="2"/>
  <c r="AC66" i="2"/>
  <c r="AC64" i="2"/>
  <c r="AC62" i="2"/>
  <c r="AC60" i="2"/>
  <c r="AC58" i="2"/>
  <c r="AC56" i="2"/>
  <c r="AC54" i="2"/>
  <c r="AC52" i="2"/>
  <c r="AC50" i="2"/>
  <c r="AC48" i="2"/>
  <c r="AC46" i="2"/>
  <c r="AC44" i="2"/>
  <c r="AC42" i="2"/>
  <c r="AC40" i="2"/>
  <c r="AC38" i="2"/>
  <c r="AC36" i="2"/>
  <c r="AC34" i="2"/>
  <c r="AC32" i="2"/>
  <c r="AC63" i="2"/>
  <c r="AC61" i="2"/>
  <c r="AC59" i="2"/>
  <c r="AC57" i="2"/>
  <c r="AC55" i="2"/>
  <c r="AC53" i="2"/>
  <c r="AC51" i="2"/>
  <c r="AC49" i="2"/>
  <c r="AC47" i="2"/>
  <c r="AC45" i="2"/>
  <c r="AC43" i="2"/>
  <c r="AC41" i="2"/>
  <c r="AC39" i="2"/>
  <c r="AC37" i="2"/>
  <c r="AC35" i="2"/>
  <c r="AC33" i="2"/>
  <c r="AC31" i="2"/>
  <c r="AC30" i="2"/>
  <c r="AG105" i="2"/>
  <c r="AG103" i="2"/>
  <c r="AG101" i="2"/>
  <c r="AG99" i="2"/>
  <c r="AG104" i="2"/>
  <c r="AG102" i="2"/>
  <c r="AG100" i="2"/>
  <c r="AG98" i="2"/>
  <c r="AG97" i="2"/>
  <c r="AG95" i="2"/>
  <c r="AG92" i="2"/>
  <c r="AG90" i="2"/>
  <c r="AG88" i="2"/>
  <c r="AG86" i="2"/>
  <c r="AG84" i="2"/>
  <c r="AG82" i="2"/>
  <c r="AG96" i="2"/>
  <c r="AG94" i="2"/>
  <c r="AG93" i="2"/>
  <c r="AG91" i="2"/>
  <c r="AG89" i="2"/>
  <c r="AG87" i="2"/>
  <c r="AG85" i="2"/>
  <c r="AG83" i="2"/>
  <c r="AG81" i="2"/>
  <c r="AG79" i="2"/>
  <c r="AG77" i="2"/>
  <c r="AG75" i="2"/>
  <c r="AG73" i="2"/>
  <c r="AG71" i="2"/>
  <c r="AG69" i="2"/>
  <c r="AG67" i="2"/>
  <c r="AG65" i="2"/>
  <c r="AG80" i="2"/>
  <c r="AG78" i="2"/>
  <c r="AG76" i="2"/>
  <c r="AG74" i="2"/>
  <c r="AG72" i="2"/>
  <c r="AG70" i="2"/>
  <c r="AG68" i="2"/>
  <c r="AG66" i="2"/>
  <c r="AG64" i="2"/>
  <c r="AG62" i="2"/>
  <c r="AG60" i="2"/>
  <c r="AG58" i="2"/>
  <c r="AG56" i="2"/>
  <c r="AG54" i="2"/>
  <c r="AG52" i="2"/>
  <c r="AG50" i="2"/>
  <c r="AG48" i="2"/>
  <c r="AG46" i="2"/>
  <c r="AG44" i="2"/>
  <c r="AG42" i="2"/>
  <c r="AG40" i="2"/>
  <c r="AG38" i="2"/>
  <c r="AG36" i="2"/>
  <c r="AG34" i="2"/>
  <c r="AG32" i="2"/>
  <c r="AG63" i="2"/>
  <c r="AG61" i="2"/>
  <c r="AG59" i="2"/>
  <c r="AG57" i="2"/>
  <c r="AG55" i="2"/>
  <c r="AG53" i="2"/>
  <c r="AG51" i="2"/>
  <c r="AG49" i="2"/>
  <c r="AG47" i="2"/>
  <c r="AG45" i="2"/>
  <c r="AG43" i="2"/>
  <c r="AG41" i="2"/>
  <c r="AG39" i="2"/>
  <c r="AG37" i="2"/>
  <c r="AG35" i="2"/>
  <c r="AG33" i="2"/>
  <c r="AG31" i="2"/>
  <c r="AG30" i="2"/>
  <c r="AS105" i="2"/>
  <c r="AS103" i="2"/>
  <c r="AS101" i="2"/>
  <c r="AS99" i="2"/>
  <c r="AS97" i="2"/>
  <c r="AS104" i="2"/>
  <c r="AS102" i="2"/>
  <c r="AS100" i="2"/>
  <c r="AS98" i="2"/>
  <c r="AS95" i="2"/>
  <c r="AS93" i="2"/>
  <c r="AS92" i="2"/>
  <c r="AS90" i="2"/>
  <c r="AS88" i="2"/>
  <c r="AS86" i="2"/>
  <c r="AS84" i="2"/>
  <c r="AS82" i="2"/>
  <c r="AS96" i="2"/>
  <c r="AS94" i="2"/>
  <c r="AS91" i="2"/>
  <c r="AS89" i="2"/>
  <c r="AS87" i="2"/>
  <c r="AS85" i="2"/>
  <c r="AS83" i="2"/>
  <c r="AS81" i="2"/>
  <c r="AS79" i="2"/>
  <c r="AS77" i="2"/>
  <c r="AS75" i="2"/>
  <c r="AS73" i="2"/>
  <c r="AS71" i="2"/>
  <c r="AS69" i="2"/>
  <c r="AS67" i="2"/>
  <c r="AS65" i="2"/>
  <c r="AS63" i="2"/>
  <c r="AS80" i="2"/>
  <c r="AS78" i="2"/>
  <c r="AS76" i="2"/>
  <c r="AS74" i="2"/>
  <c r="AS72" i="2"/>
  <c r="AS70" i="2"/>
  <c r="AS68" i="2"/>
  <c r="AS66" i="2"/>
  <c r="AS64" i="2"/>
  <c r="AS62" i="2"/>
  <c r="AS60" i="2"/>
  <c r="AS58" i="2"/>
  <c r="AS56" i="2"/>
  <c r="AS54" i="2"/>
  <c r="AS52" i="2"/>
  <c r="AS50" i="2"/>
  <c r="AS48" i="2"/>
  <c r="AS46" i="2"/>
  <c r="AS44" i="2"/>
  <c r="AS42" i="2"/>
  <c r="AS40" i="2"/>
  <c r="AS38" i="2"/>
  <c r="AS36" i="2"/>
  <c r="AS34" i="2"/>
  <c r="AS32" i="2"/>
  <c r="AS61" i="2"/>
  <c r="AS59" i="2"/>
  <c r="AS57" i="2"/>
  <c r="AS55" i="2"/>
  <c r="AS53" i="2"/>
  <c r="AS51" i="2"/>
  <c r="AS49" i="2"/>
  <c r="AS47" i="2"/>
  <c r="AS45" i="2"/>
  <c r="AS43" i="2"/>
  <c r="AS41" i="2"/>
  <c r="AS39" i="2"/>
  <c r="AS37" i="2"/>
  <c r="AS35" i="2"/>
  <c r="AS33" i="2"/>
  <c r="AS31" i="2"/>
  <c r="AS30" i="2"/>
  <c r="AS29" i="2"/>
  <c r="AC6" i="2"/>
  <c r="AE6" i="2"/>
  <c r="AG6" i="2"/>
  <c r="AI6" i="2"/>
  <c r="AM6" i="2"/>
  <c r="AQ6" i="2"/>
  <c r="AS6" i="2"/>
  <c r="AU6" i="2"/>
  <c r="AC7" i="2"/>
  <c r="AE7" i="2"/>
  <c r="AG7" i="2"/>
  <c r="AI7" i="2"/>
  <c r="AM7" i="2"/>
  <c r="AQ7" i="2"/>
  <c r="AS7" i="2"/>
  <c r="AU7" i="2"/>
  <c r="AC8" i="2"/>
  <c r="AE8" i="2"/>
  <c r="AG8" i="2"/>
  <c r="AI8" i="2"/>
  <c r="AM8" i="2"/>
  <c r="AQ8" i="2"/>
  <c r="AS8" i="2"/>
  <c r="AU8" i="2"/>
  <c r="AC9" i="2"/>
  <c r="AE9" i="2"/>
  <c r="AG9" i="2"/>
  <c r="AI9" i="2"/>
  <c r="AM9" i="2"/>
  <c r="AQ9" i="2"/>
  <c r="AS9" i="2"/>
  <c r="AU9" i="2"/>
  <c r="S10" i="2"/>
  <c r="AC11" i="2"/>
  <c r="AE11" i="2"/>
  <c r="AG11" i="2"/>
  <c r="AI11" i="2"/>
  <c r="AM11" i="2"/>
  <c r="AQ11" i="2"/>
  <c r="AS11" i="2"/>
  <c r="AU11" i="2"/>
  <c r="S12" i="2"/>
  <c r="AC13" i="2"/>
  <c r="AE13" i="2"/>
  <c r="AG13" i="2"/>
  <c r="AI13" i="2"/>
  <c r="AM13" i="2"/>
  <c r="AQ13" i="2"/>
  <c r="AS13" i="2"/>
  <c r="AU13" i="2"/>
  <c r="S14" i="2"/>
  <c r="AC15" i="2"/>
  <c r="AE15" i="2"/>
  <c r="AG15" i="2"/>
  <c r="AI15" i="2"/>
  <c r="AM15" i="2"/>
  <c r="AQ15" i="2"/>
  <c r="AS15" i="2"/>
  <c r="AU15" i="2"/>
  <c r="AC17" i="2"/>
  <c r="AE17" i="2"/>
  <c r="AG17" i="2"/>
  <c r="AI17" i="2"/>
  <c r="AM17" i="2"/>
  <c r="AQ17" i="2"/>
  <c r="AS17" i="2"/>
  <c r="AU17" i="2"/>
  <c r="AC18" i="2"/>
  <c r="AE18" i="2"/>
  <c r="AG18" i="2"/>
  <c r="AI18" i="2"/>
  <c r="AM18" i="2"/>
  <c r="AQ18" i="2"/>
  <c r="AS18" i="2"/>
  <c r="AU18" i="2"/>
  <c r="AC19" i="2"/>
  <c r="AE19" i="2"/>
  <c r="AG19" i="2"/>
  <c r="AI19" i="2"/>
  <c r="AM19" i="2"/>
  <c r="AQ19" i="2"/>
  <c r="AS19" i="2"/>
  <c r="AU19" i="2"/>
  <c r="AC20" i="2"/>
  <c r="AE20" i="2"/>
  <c r="AG20" i="2"/>
  <c r="AI20" i="2"/>
  <c r="AM20" i="2"/>
  <c r="AQ20" i="2"/>
  <c r="AS20" i="2"/>
  <c r="AU20" i="2"/>
  <c r="AC21" i="2"/>
  <c r="AE21" i="2"/>
  <c r="AG21" i="2"/>
  <c r="AI21" i="2"/>
  <c r="AM21" i="2"/>
  <c r="AQ21" i="2"/>
  <c r="AS21" i="2"/>
  <c r="AU21" i="2"/>
  <c r="AC22" i="2"/>
  <c r="AE22" i="2"/>
  <c r="AG22" i="2"/>
  <c r="AI22" i="2"/>
  <c r="AM22" i="2"/>
  <c r="AQ22" i="2"/>
  <c r="AS22" i="2"/>
  <c r="AU22" i="2"/>
  <c r="AC23" i="2"/>
  <c r="AE23" i="2"/>
  <c r="AG23" i="2"/>
  <c r="AI23" i="2"/>
  <c r="AM23" i="2"/>
  <c r="AQ23" i="2"/>
  <c r="AS23" i="2"/>
  <c r="AU23" i="2"/>
  <c r="AC24" i="2"/>
  <c r="AE24" i="2"/>
  <c r="AG24" i="2"/>
  <c r="AI24" i="2"/>
  <c r="AM24" i="2"/>
  <c r="AQ24" i="2"/>
  <c r="AS24" i="2"/>
  <c r="AU24" i="2"/>
  <c r="AC25" i="2"/>
  <c r="AE25" i="2"/>
  <c r="AG25" i="2"/>
  <c r="AI25" i="2"/>
  <c r="AM25" i="2"/>
  <c r="AQ25" i="2"/>
  <c r="AS25" i="2"/>
  <c r="AU25" i="2"/>
  <c r="AC26" i="2"/>
  <c r="AE26" i="2"/>
  <c r="AG26" i="2"/>
  <c r="AI26" i="2"/>
  <c r="AM26" i="2"/>
  <c r="AQ26" i="2"/>
  <c r="AS26" i="2"/>
  <c r="AU26" i="2"/>
  <c r="AC27" i="2"/>
  <c r="AE27" i="2"/>
  <c r="AG27" i="2"/>
  <c r="AI27" i="2"/>
  <c r="AM27" i="2"/>
  <c r="AQ27" i="2"/>
  <c r="AS27" i="2"/>
  <c r="AU27" i="2"/>
  <c r="AC28" i="2"/>
  <c r="AE28" i="2"/>
  <c r="AG28" i="2"/>
  <c r="AI28" i="2"/>
  <c r="AM28" i="2"/>
  <c r="AQ28" i="2"/>
  <c r="AS28" i="2"/>
  <c r="AU28" i="2"/>
  <c r="AC29" i="2"/>
  <c r="AE29" i="2"/>
  <c r="AG29" i="2"/>
  <c r="AI29" i="2"/>
  <c r="AT104" i="2" l="1"/>
  <c r="AT102" i="2"/>
  <c r="AT100" i="2"/>
  <c r="AT98" i="2"/>
  <c r="AT96" i="2"/>
  <c r="AT94" i="2"/>
  <c r="AT105" i="2"/>
  <c r="AT103" i="2"/>
  <c r="AT101" i="2"/>
  <c r="AT99" i="2"/>
  <c r="AT97" i="2"/>
  <c r="AT95" i="2"/>
  <c r="AT93" i="2"/>
  <c r="AT91" i="2"/>
  <c r="AT89" i="2"/>
  <c r="AT87" i="2"/>
  <c r="AT85" i="2"/>
  <c r="AT83" i="2"/>
  <c r="AT81" i="2"/>
  <c r="AT92" i="2"/>
  <c r="AT90" i="2"/>
  <c r="AT88" i="2"/>
  <c r="AT86" i="2"/>
  <c r="AT84" i="2"/>
  <c r="AT82" i="2"/>
  <c r="AT80" i="2"/>
  <c r="AT78" i="2"/>
  <c r="AT76" i="2"/>
  <c r="AT74" i="2"/>
  <c r="AT72" i="2"/>
  <c r="AT70" i="2"/>
  <c r="AT68" i="2"/>
  <c r="AT66" i="2"/>
  <c r="AT64" i="2"/>
  <c r="AT79" i="2"/>
  <c r="AT77" i="2"/>
  <c r="AT75" i="2"/>
  <c r="AT73" i="2"/>
  <c r="AT71" i="2"/>
  <c r="AT69" i="2"/>
  <c r="AT67" i="2"/>
  <c r="AT65" i="2"/>
  <c r="AT63" i="2"/>
  <c r="AT61" i="2"/>
  <c r="AT59" i="2"/>
  <c r="AT57" i="2"/>
  <c r="AT55" i="2"/>
  <c r="AT53" i="2"/>
  <c r="AT51" i="2"/>
  <c r="AT49" i="2"/>
  <c r="AT47" i="2"/>
  <c r="AT45" i="2"/>
  <c r="AT43" i="2"/>
  <c r="AT41" i="2"/>
  <c r="AT39" i="2"/>
  <c r="AT37" i="2"/>
  <c r="AT35" i="2"/>
  <c r="AT33" i="2"/>
  <c r="AT31" i="2"/>
  <c r="AT30" i="2"/>
  <c r="AT62" i="2"/>
  <c r="AT60" i="2"/>
  <c r="AT58" i="2"/>
  <c r="AT56" i="2"/>
  <c r="AT54" i="2"/>
  <c r="AT52" i="2"/>
  <c r="AT50" i="2"/>
  <c r="AT48" i="2"/>
  <c r="AT46" i="2"/>
  <c r="AT44" i="2"/>
  <c r="AT42" i="2"/>
  <c r="AT40" i="2"/>
  <c r="AT38" i="2"/>
  <c r="AT36" i="2"/>
  <c r="AT34" i="2"/>
  <c r="AT32" i="2"/>
  <c r="AT16" i="2"/>
  <c r="AT14" i="2"/>
  <c r="AT12" i="2"/>
  <c r="AT1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5" i="2"/>
  <c r="AT13" i="2"/>
  <c r="AT11" i="2"/>
  <c r="AT9" i="2"/>
  <c r="AT8" i="2"/>
  <c r="AT7" i="2"/>
  <c r="AT6" i="2"/>
  <c r="AN104" i="2"/>
  <c r="AN102" i="2"/>
  <c r="AN100" i="2"/>
  <c r="AN98" i="2"/>
  <c r="AN105" i="2"/>
  <c r="AN103" i="2"/>
  <c r="AN101" i="2"/>
  <c r="AN99" i="2"/>
  <c r="AN97" i="2"/>
  <c r="AN96" i="2"/>
  <c r="AN94" i="2"/>
  <c r="AN91" i="2"/>
  <c r="AN89" i="2"/>
  <c r="AN87" i="2"/>
  <c r="AN85" i="2"/>
  <c r="AN83" i="2"/>
  <c r="AN81" i="2"/>
  <c r="AN95" i="2"/>
  <c r="AN93" i="2"/>
  <c r="AN92" i="2"/>
  <c r="AN90" i="2"/>
  <c r="AN88" i="2"/>
  <c r="AN86" i="2"/>
  <c r="AN84" i="2"/>
  <c r="AN82" i="2"/>
  <c r="AN80" i="2"/>
  <c r="AN78" i="2"/>
  <c r="AN76" i="2"/>
  <c r="AN74" i="2"/>
  <c r="AN72" i="2"/>
  <c r="AN70" i="2"/>
  <c r="AN68" i="2"/>
  <c r="AN66" i="2"/>
  <c r="AN64" i="2"/>
  <c r="AN79" i="2"/>
  <c r="AN77" i="2"/>
  <c r="AN75" i="2"/>
  <c r="AN73" i="2"/>
  <c r="AN71" i="2"/>
  <c r="AN69" i="2"/>
  <c r="AN67" i="2"/>
  <c r="AN65" i="2"/>
  <c r="AN63" i="2"/>
  <c r="AN61" i="2"/>
  <c r="AN59" i="2"/>
  <c r="AN57" i="2"/>
  <c r="AN55" i="2"/>
  <c r="AN53" i="2"/>
  <c r="AN51" i="2"/>
  <c r="AN49" i="2"/>
  <c r="AN47" i="2"/>
  <c r="AN45" i="2"/>
  <c r="AN43" i="2"/>
  <c r="AN41" i="2"/>
  <c r="AN39" i="2"/>
  <c r="AN37" i="2"/>
  <c r="AN35" i="2"/>
  <c r="AN33" i="2"/>
  <c r="AN31" i="2"/>
  <c r="AN30" i="2"/>
  <c r="AN62" i="2"/>
  <c r="AN60" i="2"/>
  <c r="AN58" i="2"/>
  <c r="AN56" i="2"/>
  <c r="AN54" i="2"/>
  <c r="AN52" i="2"/>
  <c r="AN50" i="2"/>
  <c r="AN48" i="2"/>
  <c r="AN46" i="2"/>
  <c r="AN44" i="2"/>
  <c r="AN42" i="2"/>
  <c r="AN40" i="2"/>
  <c r="AN38" i="2"/>
  <c r="AN36" i="2"/>
  <c r="AN34" i="2"/>
  <c r="AN32" i="2"/>
  <c r="AN29" i="2"/>
  <c r="AN16" i="2"/>
  <c r="AN14" i="2"/>
  <c r="AN12" i="2"/>
  <c r="AN10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5" i="2"/>
  <c r="AN13" i="2"/>
  <c r="AN11" i="2"/>
  <c r="AN9" i="2"/>
  <c r="AN8" i="2"/>
  <c r="AN7" i="2"/>
  <c r="AN6" i="2"/>
  <c r="AH104" i="2"/>
  <c r="AH102" i="2"/>
  <c r="AH100" i="2"/>
  <c r="AH98" i="2"/>
  <c r="AH96" i="2"/>
  <c r="AH94" i="2"/>
  <c r="AH97" i="2"/>
  <c r="AH95" i="2"/>
  <c r="AH93" i="2"/>
  <c r="AH91" i="2"/>
  <c r="AH89" i="2"/>
  <c r="AH87" i="2"/>
  <c r="AH85" i="2"/>
  <c r="AH83" i="2"/>
  <c r="AH81" i="2"/>
  <c r="AH105" i="2"/>
  <c r="AH103" i="2"/>
  <c r="AH101" i="2"/>
  <c r="AH99" i="2"/>
  <c r="AH92" i="2"/>
  <c r="AH90" i="2"/>
  <c r="AH88" i="2"/>
  <c r="AH86" i="2"/>
  <c r="AH84" i="2"/>
  <c r="AH82" i="2"/>
  <c r="AH80" i="2"/>
  <c r="AH78" i="2"/>
  <c r="AH76" i="2"/>
  <c r="AH74" i="2"/>
  <c r="AH72" i="2"/>
  <c r="AH70" i="2"/>
  <c r="AH68" i="2"/>
  <c r="AH66" i="2"/>
  <c r="AH64" i="2"/>
  <c r="AH79" i="2"/>
  <c r="AH77" i="2"/>
  <c r="AH75" i="2"/>
  <c r="AH73" i="2"/>
  <c r="AH71" i="2"/>
  <c r="AH69" i="2"/>
  <c r="AH67" i="2"/>
  <c r="AH65" i="2"/>
  <c r="AH63" i="2"/>
  <c r="AH61" i="2"/>
  <c r="AH59" i="2"/>
  <c r="AH57" i="2"/>
  <c r="AH55" i="2"/>
  <c r="AH53" i="2"/>
  <c r="AH51" i="2"/>
  <c r="AH49" i="2"/>
  <c r="AH47" i="2"/>
  <c r="AH45" i="2"/>
  <c r="AH43" i="2"/>
  <c r="AH41" i="2"/>
  <c r="AH39" i="2"/>
  <c r="AH37" i="2"/>
  <c r="AH35" i="2"/>
  <c r="AH33" i="2"/>
  <c r="AH31" i="2"/>
  <c r="AH30" i="2"/>
  <c r="AH62" i="2"/>
  <c r="AH60" i="2"/>
  <c r="AH58" i="2"/>
  <c r="AH56" i="2"/>
  <c r="AH54" i="2"/>
  <c r="AH52" i="2"/>
  <c r="AH50" i="2"/>
  <c r="AH48" i="2"/>
  <c r="AH46" i="2"/>
  <c r="AH44" i="2"/>
  <c r="AH42" i="2"/>
  <c r="AH40" i="2"/>
  <c r="AH38" i="2"/>
  <c r="AH36" i="2"/>
  <c r="AH34" i="2"/>
  <c r="AH32" i="2"/>
  <c r="AH16" i="2"/>
  <c r="AH14" i="2"/>
  <c r="AH12" i="2"/>
  <c r="AH1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5" i="2"/>
  <c r="AH13" i="2"/>
  <c r="AH11" i="2"/>
  <c r="AH9" i="2"/>
  <c r="AH8" i="2"/>
  <c r="AH7" i="2"/>
  <c r="AH6" i="2"/>
  <c r="AD104" i="2"/>
  <c r="AD102" i="2"/>
  <c r="AD100" i="2"/>
  <c r="AD98" i="2"/>
  <c r="AD96" i="2"/>
  <c r="AD94" i="2"/>
  <c r="AD105" i="2"/>
  <c r="AD103" i="2"/>
  <c r="AD101" i="2"/>
  <c r="AD99" i="2"/>
  <c r="AD97" i="2"/>
  <c r="AD95" i="2"/>
  <c r="AD93" i="2"/>
  <c r="AD91" i="2"/>
  <c r="AD89" i="2"/>
  <c r="AD87" i="2"/>
  <c r="AD85" i="2"/>
  <c r="AD83" i="2"/>
  <c r="AD81" i="2"/>
  <c r="AD92" i="2"/>
  <c r="AD90" i="2"/>
  <c r="AD88" i="2"/>
  <c r="AD86" i="2"/>
  <c r="AD84" i="2"/>
  <c r="AD82" i="2"/>
  <c r="AD80" i="2"/>
  <c r="AD78" i="2"/>
  <c r="AD76" i="2"/>
  <c r="AD74" i="2"/>
  <c r="AD72" i="2"/>
  <c r="AD70" i="2"/>
  <c r="AD68" i="2"/>
  <c r="AD66" i="2"/>
  <c r="AD64" i="2"/>
  <c r="AD79" i="2"/>
  <c r="AD77" i="2"/>
  <c r="AD75" i="2"/>
  <c r="AD73" i="2"/>
  <c r="AD71" i="2"/>
  <c r="AD69" i="2"/>
  <c r="AD67" i="2"/>
  <c r="AD65" i="2"/>
  <c r="AD63" i="2"/>
  <c r="AD61" i="2"/>
  <c r="AD59" i="2"/>
  <c r="AD57" i="2"/>
  <c r="AD55" i="2"/>
  <c r="AD53" i="2"/>
  <c r="AD51" i="2"/>
  <c r="AD49" i="2"/>
  <c r="AD47" i="2"/>
  <c r="AD45" i="2"/>
  <c r="AD43" i="2"/>
  <c r="AD41" i="2"/>
  <c r="AD39" i="2"/>
  <c r="AD37" i="2"/>
  <c r="AD35" i="2"/>
  <c r="AD33" i="2"/>
  <c r="AD31" i="2"/>
  <c r="AD30" i="2"/>
  <c r="AD62" i="2"/>
  <c r="AD60" i="2"/>
  <c r="AD58" i="2"/>
  <c r="AD56" i="2"/>
  <c r="AD54" i="2"/>
  <c r="AD52" i="2"/>
  <c r="AD50" i="2"/>
  <c r="AD48" i="2"/>
  <c r="AD46" i="2"/>
  <c r="AD44" i="2"/>
  <c r="AD42" i="2"/>
  <c r="AD40" i="2"/>
  <c r="AD38" i="2"/>
  <c r="AD36" i="2"/>
  <c r="AD34" i="2"/>
  <c r="AD32" i="2"/>
  <c r="AD16" i="2"/>
  <c r="AD14" i="2"/>
  <c r="AD12" i="2"/>
  <c r="AD1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5" i="2"/>
  <c r="AD13" i="2"/>
  <c r="AD11" i="2"/>
  <c r="AD9" i="2"/>
  <c r="AD8" i="2"/>
  <c r="AD7" i="2"/>
  <c r="AD6" i="2"/>
  <c r="T25" i="2"/>
  <c r="T24" i="2"/>
  <c r="T23" i="2"/>
  <c r="T22" i="2"/>
  <c r="T21" i="2"/>
  <c r="T20" i="2"/>
  <c r="T19" i="2"/>
  <c r="T18" i="2"/>
  <c r="T17" i="2"/>
  <c r="T15" i="2"/>
  <c r="T13" i="2"/>
  <c r="T11" i="2"/>
  <c r="T9" i="2"/>
  <c r="T8" i="2"/>
  <c r="T7" i="2"/>
  <c r="T6" i="2"/>
  <c r="T16" i="2"/>
  <c r="T14" i="2"/>
  <c r="T12" i="2"/>
  <c r="T10" i="2"/>
  <c r="AP104" i="2"/>
  <c r="AP102" i="2"/>
  <c r="AP100" i="2"/>
  <c r="AP98" i="2"/>
  <c r="AP96" i="2"/>
  <c r="AP94" i="2"/>
  <c r="AP95" i="2"/>
  <c r="AP93" i="2"/>
  <c r="AP91" i="2"/>
  <c r="AP89" i="2"/>
  <c r="AP87" i="2"/>
  <c r="AP85" i="2"/>
  <c r="AP83" i="2"/>
  <c r="AP81" i="2"/>
  <c r="AP105" i="2"/>
  <c r="AP103" i="2"/>
  <c r="AP101" i="2"/>
  <c r="AP99" i="2"/>
  <c r="AP97" i="2"/>
  <c r="AP92" i="2"/>
  <c r="AP90" i="2"/>
  <c r="AP88" i="2"/>
  <c r="AP86" i="2"/>
  <c r="AP84" i="2"/>
  <c r="AP82" i="2"/>
  <c r="AP80" i="2"/>
  <c r="AP78" i="2"/>
  <c r="AP76" i="2"/>
  <c r="AP74" i="2"/>
  <c r="AP72" i="2"/>
  <c r="AP70" i="2"/>
  <c r="AP68" i="2"/>
  <c r="AP66" i="2"/>
  <c r="AP64" i="2"/>
  <c r="AP79" i="2"/>
  <c r="AP77" i="2"/>
  <c r="AP75" i="2"/>
  <c r="AP73" i="2"/>
  <c r="AP71" i="2"/>
  <c r="AP69" i="2"/>
  <c r="AP67" i="2"/>
  <c r="AP65" i="2"/>
  <c r="AP63" i="2"/>
  <c r="AP61" i="2"/>
  <c r="AP59" i="2"/>
  <c r="AP57" i="2"/>
  <c r="AP55" i="2"/>
  <c r="AP53" i="2"/>
  <c r="AP51" i="2"/>
  <c r="AP49" i="2"/>
  <c r="AP47" i="2"/>
  <c r="AP45" i="2"/>
  <c r="AP43" i="2"/>
  <c r="AP41" i="2"/>
  <c r="AP39" i="2"/>
  <c r="AP37" i="2"/>
  <c r="AP35" i="2"/>
  <c r="AP33" i="2"/>
  <c r="AP31" i="2"/>
  <c r="AP30" i="2"/>
  <c r="AP62" i="2"/>
  <c r="AP60" i="2"/>
  <c r="AP58" i="2"/>
  <c r="AP56" i="2"/>
  <c r="AP54" i="2"/>
  <c r="AP52" i="2"/>
  <c r="AP50" i="2"/>
  <c r="AP48" i="2"/>
  <c r="AP46" i="2"/>
  <c r="AP44" i="2"/>
  <c r="AP42" i="2"/>
  <c r="AP40" i="2"/>
  <c r="AP38" i="2"/>
  <c r="AP36" i="2"/>
  <c r="AP34" i="2"/>
  <c r="AP32" i="2"/>
  <c r="AP16" i="2"/>
  <c r="AP14" i="2"/>
  <c r="AP12" i="2"/>
  <c r="AP1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5" i="2"/>
  <c r="AP13" i="2"/>
  <c r="AP11" i="2"/>
  <c r="AP9" i="2"/>
  <c r="AP8" i="2"/>
  <c r="AP7" i="2"/>
  <c r="AP6" i="2"/>
  <c r="AL104" i="2"/>
  <c r="AL102" i="2"/>
  <c r="AL100" i="2"/>
  <c r="AL98" i="2"/>
  <c r="AL96" i="2"/>
  <c r="AL94" i="2"/>
  <c r="AL105" i="2"/>
  <c r="AL103" i="2"/>
  <c r="AL101" i="2"/>
  <c r="AL99" i="2"/>
  <c r="AL97" i="2"/>
  <c r="AL95" i="2"/>
  <c r="AL93" i="2"/>
  <c r="AL91" i="2"/>
  <c r="AL89" i="2"/>
  <c r="AL87" i="2"/>
  <c r="AL85" i="2"/>
  <c r="AL83" i="2"/>
  <c r="AL81" i="2"/>
  <c r="AL92" i="2"/>
  <c r="AL90" i="2"/>
  <c r="AL88" i="2"/>
  <c r="AL86" i="2"/>
  <c r="AL84" i="2"/>
  <c r="AL82" i="2"/>
  <c r="AL80" i="2"/>
  <c r="AL78" i="2"/>
  <c r="AL76" i="2"/>
  <c r="AL74" i="2"/>
  <c r="AL72" i="2"/>
  <c r="AL70" i="2"/>
  <c r="AL68" i="2"/>
  <c r="AL66" i="2"/>
  <c r="AL64" i="2"/>
  <c r="AL79" i="2"/>
  <c r="AL77" i="2"/>
  <c r="AL75" i="2"/>
  <c r="AL73" i="2"/>
  <c r="AL71" i="2"/>
  <c r="AL69" i="2"/>
  <c r="AL67" i="2"/>
  <c r="AL65" i="2"/>
  <c r="AL63" i="2"/>
  <c r="AL61" i="2"/>
  <c r="AL59" i="2"/>
  <c r="AL57" i="2"/>
  <c r="AL55" i="2"/>
  <c r="AL53" i="2"/>
  <c r="AL51" i="2"/>
  <c r="AL49" i="2"/>
  <c r="AL47" i="2"/>
  <c r="AL45" i="2"/>
  <c r="AL43" i="2"/>
  <c r="AL41" i="2"/>
  <c r="AL39" i="2"/>
  <c r="AL37" i="2"/>
  <c r="AL35" i="2"/>
  <c r="AL33" i="2"/>
  <c r="AL31" i="2"/>
  <c r="AL30" i="2"/>
  <c r="AL62" i="2"/>
  <c r="AL60" i="2"/>
  <c r="AL58" i="2"/>
  <c r="AL56" i="2"/>
  <c r="AL54" i="2"/>
  <c r="AL52" i="2"/>
  <c r="AL50" i="2"/>
  <c r="AL48" i="2"/>
  <c r="AL46" i="2"/>
  <c r="AL44" i="2"/>
  <c r="AL42" i="2"/>
  <c r="AL40" i="2"/>
  <c r="AL38" i="2"/>
  <c r="AL36" i="2"/>
  <c r="AL34" i="2"/>
  <c r="AL32" i="2"/>
  <c r="AL16" i="2"/>
  <c r="AL14" i="2"/>
  <c r="AL12" i="2"/>
  <c r="AL1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5" i="2"/>
  <c r="AL13" i="2"/>
  <c r="AL11" i="2"/>
  <c r="AL9" i="2"/>
  <c r="AL8" i="2"/>
  <c r="AL7" i="2"/>
  <c r="AL6" i="2"/>
  <c r="AV104" i="2"/>
  <c r="AV102" i="2"/>
  <c r="AV100" i="2"/>
  <c r="AV98" i="2"/>
  <c r="AV105" i="2"/>
  <c r="AV103" i="2"/>
  <c r="AV101" i="2"/>
  <c r="AV99" i="2"/>
  <c r="AV97" i="2"/>
  <c r="AV96" i="2"/>
  <c r="AV94" i="2"/>
  <c r="AV91" i="2"/>
  <c r="AV89" i="2"/>
  <c r="AV87" i="2"/>
  <c r="AV85" i="2"/>
  <c r="AV83" i="2"/>
  <c r="AV81" i="2"/>
  <c r="AV95" i="2"/>
  <c r="AV93" i="2"/>
  <c r="AV92" i="2"/>
  <c r="AV90" i="2"/>
  <c r="AV88" i="2"/>
  <c r="AV86" i="2"/>
  <c r="AV84" i="2"/>
  <c r="AV82" i="2"/>
  <c r="AV80" i="2"/>
  <c r="AV78" i="2"/>
  <c r="AV76" i="2"/>
  <c r="AV74" i="2"/>
  <c r="AV72" i="2"/>
  <c r="AV70" i="2"/>
  <c r="AV68" i="2"/>
  <c r="AV66" i="2"/>
  <c r="AV64" i="2"/>
  <c r="AV79" i="2"/>
  <c r="AV77" i="2"/>
  <c r="AV75" i="2"/>
  <c r="AV73" i="2"/>
  <c r="AV71" i="2"/>
  <c r="AV69" i="2"/>
  <c r="AV67" i="2"/>
  <c r="AV65" i="2"/>
  <c r="AV63" i="2"/>
  <c r="AV61" i="2"/>
  <c r="AV59" i="2"/>
  <c r="AV57" i="2"/>
  <c r="AV55" i="2"/>
  <c r="AV53" i="2"/>
  <c r="AV51" i="2"/>
  <c r="AV49" i="2"/>
  <c r="AV47" i="2"/>
  <c r="AV45" i="2"/>
  <c r="AV43" i="2"/>
  <c r="AV41" i="2"/>
  <c r="AV39" i="2"/>
  <c r="AV37" i="2"/>
  <c r="AV35" i="2"/>
  <c r="AV33" i="2"/>
  <c r="AV31" i="2"/>
  <c r="AV30" i="2"/>
  <c r="AV62" i="2"/>
  <c r="AV60" i="2"/>
  <c r="AV58" i="2"/>
  <c r="AV56" i="2"/>
  <c r="AV54" i="2"/>
  <c r="AV52" i="2"/>
  <c r="AV50" i="2"/>
  <c r="AV48" i="2"/>
  <c r="AV46" i="2"/>
  <c r="AV44" i="2"/>
  <c r="AV42" i="2"/>
  <c r="AV40" i="2"/>
  <c r="AV38" i="2"/>
  <c r="AV36" i="2"/>
  <c r="AV34" i="2"/>
  <c r="AV32" i="2"/>
  <c r="AV29" i="2"/>
  <c r="AV16" i="2"/>
  <c r="AV14" i="2"/>
  <c r="AV12" i="2"/>
  <c r="AV10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5" i="2"/>
  <c r="AV13" i="2"/>
  <c r="AV11" i="2"/>
  <c r="AV9" i="2"/>
  <c r="AV8" i="2"/>
  <c r="AV7" i="2"/>
  <c r="AV6" i="2"/>
  <c r="AR104" i="2"/>
  <c r="AR102" i="2"/>
  <c r="AR100" i="2"/>
  <c r="AR98" i="2"/>
  <c r="AR105" i="2"/>
  <c r="AR103" i="2"/>
  <c r="AR101" i="2"/>
  <c r="AR99" i="2"/>
  <c r="AR97" i="2"/>
  <c r="AR96" i="2"/>
  <c r="AR94" i="2"/>
  <c r="AR91" i="2"/>
  <c r="AR89" i="2"/>
  <c r="AR87" i="2"/>
  <c r="AR85" i="2"/>
  <c r="AR83" i="2"/>
  <c r="AR81" i="2"/>
  <c r="AR95" i="2"/>
  <c r="AR93" i="2"/>
  <c r="AR92" i="2"/>
  <c r="AR90" i="2"/>
  <c r="AR88" i="2"/>
  <c r="AR86" i="2"/>
  <c r="AR84" i="2"/>
  <c r="AR82" i="2"/>
  <c r="AR80" i="2"/>
  <c r="AR78" i="2"/>
  <c r="AR76" i="2"/>
  <c r="AR74" i="2"/>
  <c r="AR72" i="2"/>
  <c r="AR70" i="2"/>
  <c r="AR68" i="2"/>
  <c r="AR66" i="2"/>
  <c r="AR64" i="2"/>
  <c r="AR79" i="2"/>
  <c r="AR77" i="2"/>
  <c r="AR75" i="2"/>
  <c r="AR73" i="2"/>
  <c r="AR71" i="2"/>
  <c r="AR69" i="2"/>
  <c r="AR67" i="2"/>
  <c r="AR65" i="2"/>
  <c r="AR63" i="2"/>
  <c r="AR61" i="2"/>
  <c r="AR59" i="2"/>
  <c r="AR57" i="2"/>
  <c r="AR55" i="2"/>
  <c r="AR53" i="2"/>
  <c r="AR51" i="2"/>
  <c r="AR49" i="2"/>
  <c r="AR47" i="2"/>
  <c r="AR45" i="2"/>
  <c r="AR43" i="2"/>
  <c r="AR41" i="2"/>
  <c r="AR39" i="2"/>
  <c r="AR37" i="2"/>
  <c r="AR35" i="2"/>
  <c r="AR33" i="2"/>
  <c r="AR31" i="2"/>
  <c r="AR30" i="2"/>
  <c r="AR62" i="2"/>
  <c r="AR60" i="2"/>
  <c r="AR58" i="2"/>
  <c r="AR56" i="2"/>
  <c r="AR54" i="2"/>
  <c r="AR52" i="2"/>
  <c r="AR50" i="2"/>
  <c r="AR48" i="2"/>
  <c r="AR46" i="2"/>
  <c r="AR44" i="2"/>
  <c r="AR42" i="2"/>
  <c r="AR40" i="2"/>
  <c r="AR38" i="2"/>
  <c r="AR36" i="2"/>
  <c r="AR34" i="2"/>
  <c r="AR32" i="2"/>
  <c r="AR29" i="2"/>
  <c r="AR16" i="2"/>
  <c r="AR14" i="2"/>
  <c r="AR12" i="2"/>
  <c r="AR10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5" i="2"/>
  <c r="AR13" i="2"/>
  <c r="AR11" i="2"/>
  <c r="AR9" i="2"/>
  <c r="AR8" i="2"/>
  <c r="AR7" i="2"/>
  <c r="AR6" i="2"/>
  <c r="AJ104" i="2"/>
  <c r="AJ102" i="2"/>
  <c r="AJ100" i="2"/>
  <c r="AJ98" i="2"/>
  <c r="AJ105" i="2"/>
  <c r="AJ103" i="2"/>
  <c r="AJ101" i="2"/>
  <c r="AJ99" i="2"/>
  <c r="AJ96" i="2"/>
  <c r="AJ94" i="2"/>
  <c r="AJ91" i="2"/>
  <c r="AJ89" i="2"/>
  <c r="AJ87" i="2"/>
  <c r="AJ85" i="2"/>
  <c r="AJ83" i="2"/>
  <c r="AJ81" i="2"/>
  <c r="AJ97" i="2"/>
  <c r="AJ95" i="2"/>
  <c r="AJ93" i="2"/>
  <c r="AJ92" i="2"/>
  <c r="AJ90" i="2"/>
  <c r="AJ88" i="2"/>
  <c r="AJ86" i="2"/>
  <c r="AJ84" i="2"/>
  <c r="AJ82" i="2"/>
  <c r="AJ80" i="2"/>
  <c r="AJ78" i="2"/>
  <c r="AJ76" i="2"/>
  <c r="AJ74" i="2"/>
  <c r="AJ72" i="2"/>
  <c r="AJ70" i="2"/>
  <c r="AJ68" i="2"/>
  <c r="AJ66" i="2"/>
  <c r="AJ64" i="2"/>
  <c r="AJ79" i="2"/>
  <c r="AJ77" i="2"/>
  <c r="AJ75" i="2"/>
  <c r="AJ73" i="2"/>
  <c r="AJ71" i="2"/>
  <c r="AJ69" i="2"/>
  <c r="AJ67" i="2"/>
  <c r="AJ65" i="2"/>
  <c r="AJ63" i="2"/>
  <c r="AJ61" i="2"/>
  <c r="AJ59" i="2"/>
  <c r="AJ57" i="2"/>
  <c r="AJ55" i="2"/>
  <c r="AJ53" i="2"/>
  <c r="AJ51" i="2"/>
  <c r="AJ49" i="2"/>
  <c r="AJ47" i="2"/>
  <c r="AJ45" i="2"/>
  <c r="AJ43" i="2"/>
  <c r="AJ41" i="2"/>
  <c r="AJ39" i="2"/>
  <c r="AJ37" i="2"/>
  <c r="AJ35" i="2"/>
  <c r="AJ33" i="2"/>
  <c r="AJ31" i="2"/>
  <c r="AJ30" i="2"/>
  <c r="AJ62" i="2"/>
  <c r="AJ60" i="2"/>
  <c r="AJ58" i="2"/>
  <c r="AJ56" i="2"/>
  <c r="AJ54" i="2"/>
  <c r="AJ52" i="2"/>
  <c r="AJ50" i="2"/>
  <c r="AJ48" i="2"/>
  <c r="AJ46" i="2"/>
  <c r="AJ44" i="2"/>
  <c r="AJ42" i="2"/>
  <c r="AJ40" i="2"/>
  <c r="AJ38" i="2"/>
  <c r="AJ36" i="2"/>
  <c r="AJ34" i="2"/>
  <c r="AJ32" i="2"/>
  <c r="AJ16" i="2"/>
  <c r="AJ14" i="2"/>
  <c r="AJ12" i="2"/>
  <c r="AJ1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5" i="2"/>
  <c r="AJ13" i="2"/>
  <c r="AJ11" i="2"/>
  <c r="AJ9" i="2"/>
  <c r="AJ8" i="2"/>
  <c r="AJ7" i="2"/>
  <c r="AJ6" i="2"/>
  <c r="AF104" i="2"/>
  <c r="AF102" i="2"/>
  <c r="AF100" i="2"/>
  <c r="AF98" i="2"/>
  <c r="AF105" i="2"/>
  <c r="AF103" i="2"/>
  <c r="AF101" i="2"/>
  <c r="AF99" i="2"/>
  <c r="AF96" i="2"/>
  <c r="AF94" i="2"/>
  <c r="AF93" i="2"/>
  <c r="AF91" i="2"/>
  <c r="AF89" i="2"/>
  <c r="AF87" i="2"/>
  <c r="AF85" i="2"/>
  <c r="AF83" i="2"/>
  <c r="AF81" i="2"/>
  <c r="AF97" i="2"/>
  <c r="AF95" i="2"/>
  <c r="AF92" i="2"/>
  <c r="AF90" i="2"/>
  <c r="AF88" i="2"/>
  <c r="AF86" i="2"/>
  <c r="AF84" i="2"/>
  <c r="AF82" i="2"/>
  <c r="AF80" i="2"/>
  <c r="AF78" i="2"/>
  <c r="AF76" i="2"/>
  <c r="AF74" i="2"/>
  <c r="AF72" i="2"/>
  <c r="AF70" i="2"/>
  <c r="AF68" i="2"/>
  <c r="AF66" i="2"/>
  <c r="AF64" i="2"/>
  <c r="AF79" i="2"/>
  <c r="AF77" i="2"/>
  <c r="AF75" i="2"/>
  <c r="AF73" i="2"/>
  <c r="AF71" i="2"/>
  <c r="AF69" i="2"/>
  <c r="AF67" i="2"/>
  <c r="AF65" i="2"/>
  <c r="AF63" i="2"/>
  <c r="AF61" i="2"/>
  <c r="AF59" i="2"/>
  <c r="AF57" i="2"/>
  <c r="AF55" i="2"/>
  <c r="AF53" i="2"/>
  <c r="AF51" i="2"/>
  <c r="AF49" i="2"/>
  <c r="AF47" i="2"/>
  <c r="AF45" i="2"/>
  <c r="AF43" i="2"/>
  <c r="AF41" i="2"/>
  <c r="AF39" i="2"/>
  <c r="AF37" i="2"/>
  <c r="AF35" i="2"/>
  <c r="AF33" i="2"/>
  <c r="AF31" i="2"/>
  <c r="AF30" i="2"/>
  <c r="AF62" i="2"/>
  <c r="AF60" i="2"/>
  <c r="AF58" i="2"/>
  <c r="AF56" i="2"/>
  <c r="AF54" i="2"/>
  <c r="AF52" i="2"/>
  <c r="AF50" i="2"/>
  <c r="AF48" i="2"/>
  <c r="AF46" i="2"/>
  <c r="AF44" i="2"/>
  <c r="AF42" i="2"/>
  <c r="AF40" i="2"/>
  <c r="AF38" i="2"/>
  <c r="AF36" i="2"/>
  <c r="AF34" i="2"/>
  <c r="AF32" i="2"/>
  <c r="AF16" i="2"/>
  <c r="AF14" i="2"/>
  <c r="AF12" i="2"/>
  <c r="AF1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5" i="2"/>
  <c r="AF13" i="2"/>
  <c r="AF11" i="2"/>
  <c r="AF9" i="2"/>
  <c r="AF8" i="2"/>
  <c r="AF7" i="2"/>
  <c r="AF6" i="2"/>
</calcChain>
</file>

<file path=xl/comments1.xml><?xml version="1.0" encoding="utf-8"?>
<comments xmlns="http://schemas.openxmlformats.org/spreadsheetml/2006/main">
  <authors>
    <author>راهنمای مازندشت</author>
  </authors>
  <commentList>
    <comment ref="B7" authorId="0" shapeId="0">
      <text>
        <r>
          <rPr>
            <sz val="11"/>
            <color theme="1"/>
            <rFont val="Arial"/>
            <family val="2"/>
            <scheme val="minor"/>
          </rPr>
          <t>تاریخ شمسی با قالب 1405/07/10 (ارقام لاتین).</t>
        </r>
      </text>
    </comment>
    <comment ref="C7" authorId="0" shapeId="0">
      <text>
        <r>
          <rPr>
            <sz val="11"/>
            <color theme="1"/>
            <rFont val="Arial"/>
            <family val="2"/>
            <scheme val="minor"/>
          </rPr>
          <t>ساعت 24 ساعتی مثل 09:30 — برای ترتیب رویدادهای هم‌تاریخ.</t>
        </r>
      </text>
    </comment>
    <comment ref="E7" authorId="0" shapeId="0">
      <text>
        <r>
          <rPr>
            <sz val="11"/>
            <color theme="1"/>
            <rFont val="Arial"/>
            <family val="2"/>
            <scheme val="minor"/>
          </rPr>
          <t>نوع عملیات را از کشویی انتخاب کنید — جهت (ورود/خروج) خودکار تعیین می‌شود.</t>
        </r>
      </text>
    </comment>
    <comment ref="G7" authorId="0" shapeId="0">
      <text>
        <r>
          <rPr>
            <sz val="11"/>
            <color theme="1"/>
            <rFont val="Arial"/>
            <family val="2"/>
            <scheme val="minor"/>
          </rPr>
          <t>کد طرف از INFO ← Accounts (C… مشتری / SL… فروشنده / S… تأمین‌کننده). نام خودکار می‌آید.</t>
        </r>
      </text>
    </comment>
    <comment ref="H7" authorId="0" shapeId="0">
      <text>
        <r>
          <rPr>
            <sz val="11"/>
            <color theme="1"/>
            <rFont val="Arial"/>
            <family val="2"/>
            <scheme val="minor"/>
          </rPr>
          <t>زیرگروه اختیاری — کشویی آبشاری بر اساس گروه عملیات (خرید/فروش).</t>
        </r>
      </text>
    </comment>
    <comment ref="I7" authorId="0" shapeId="0">
      <text>
        <r>
          <rPr>
            <sz val="11"/>
            <color theme="1"/>
            <rFont val="Arial"/>
            <family val="2"/>
            <scheme val="minor"/>
          </rPr>
          <t>نوع مرکبات از کشویی — فهرست در INFO ← Products_Sell (فروش) یا Products_Buy (خرید).</t>
        </r>
      </text>
    </comment>
    <comment ref="J7" authorId="0" shapeId="0">
      <text>
        <r>
          <rPr>
            <sz val="11"/>
            <color theme="1"/>
            <rFont val="Arial"/>
            <family val="2"/>
            <scheme val="minor"/>
          </rPr>
          <t>وزنی که باسکول نشان می‌دهد (خام) — وزن خالص خودکار حساب می‌شود.</t>
        </r>
      </text>
    </comment>
    <comment ref="K7" authorId="0" shapeId="0">
      <text>
        <r>
          <rPr>
            <sz val="11"/>
            <color theme="1"/>
            <rFont val="Arial"/>
            <family val="2"/>
            <scheme val="minor"/>
          </rPr>
          <t>تعداد سبدِ داخل بار — وزن هر سبد از INFO ← Params (P01) کم می‌شود.</t>
        </r>
      </text>
    </comment>
    <comment ref="M7" authorId="0" shapeId="0">
      <text>
        <r>
          <rPr>
            <sz val="11"/>
            <color theme="1"/>
            <rFont val="Arial"/>
            <family val="2"/>
            <scheme val="minor"/>
          </rPr>
          <t>وزن خالص = (باسکول − سبد×P01) × (۱ − P02٪ فقط برای خرید). خودکار است.</t>
        </r>
      </text>
    </comment>
    <comment ref="N7" authorId="0" shapeId="0">
      <text>
        <r>
          <rPr>
            <sz val="11"/>
            <color theme="1"/>
            <rFont val="Arial"/>
            <family val="2"/>
            <scheme val="minor"/>
          </rPr>
          <t>مبلغ اختیاری — اگر پر کنید، در فاکتور فروش/خرید می‌نشیند.</t>
        </r>
      </text>
    </comment>
  </commentList>
</comments>
</file>

<file path=xl/sharedStrings.xml><?xml version="1.0" encoding="utf-8"?>
<sst xmlns="http://schemas.openxmlformats.org/spreadsheetml/2006/main" count="973" uniqueCount="193">
  <si>
    <t>دفتر باسکول — ثبت ورود و خروج کالا (تنها محل ثبت کالا)</t>
  </si>
  <si>
    <t>ستون‌های زرد = ورود دستی شما | ستون‌های خاکستری = خودکار (جهت، نام، وزن خالص).  تاریخ: 1405/07/10 — ساعت: 09:30 — ابتدا «نوع عملیات» را از کشویی انتخاب کنید؛ جهت (ورود/خروج) خودکار می‌آید، بعد کد حساب طرف را تایپ کنید تا نامش بیاید. «زیرگروه» اختیاری است و بر اساس گروه عملیات کشویی می‌شود.  وزن خالص = (باسکول − سبد × P01) × (۱ − P02٪ فقط برای گروه خرید) — پارامترها از INFO ← Params.</t>
  </si>
  <si>
    <t>تعداد توزین ثبت‌شده</t>
  </si>
  <si>
    <t>جمع خالص ورود (kg)</t>
  </si>
  <si>
    <t>جمع خالص خروج (kg)</t>
  </si>
  <si>
    <t>جمع مبالغ (ریال)</t>
  </si>
  <si>
    <t>ظرفیت باقی‌مانده</t>
  </si>
  <si>
    <t>ردیف</t>
  </si>
  <si>
    <t>تاریخ</t>
  </si>
  <si>
    <t>ساعت</t>
  </si>
  <si>
    <t>شماره سند</t>
  </si>
  <si>
    <t>نوع عملیات</t>
  </si>
  <si>
    <t>جهت (خودکار)</t>
  </si>
  <si>
    <t>کد حساب</t>
  </si>
  <si>
    <t>نام حساب (خودکار)</t>
  </si>
  <si>
    <t>زیرگروه (اختیاری)</t>
  </si>
  <si>
    <t>نوع مرکبات</t>
  </si>
  <si>
    <t>وزن باسکول (kg)</t>
  </si>
  <si>
    <t>تعداد سبد</t>
  </si>
  <si>
    <t>وزن خالص (kg)</t>
  </si>
  <si>
    <t>مبلغ (ریال)</t>
  </si>
  <si>
    <t>توضیحات</t>
  </si>
  <si>
    <t>No.</t>
  </si>
  <si>
    <t>Date</t>
  </si>
  <si>
    <t>Time</t>
  </si>
  <si>
    <t>Doc No.</t>
  </si>
  <si>
    <t>Operation</t>
  </si>
  <si>
    <t>Direction</t>
  </si>
  <si>
    <t>Account Code</t>
  </si>
  <si>
    <t>Account Name</t>
  </si>
  <si>
    <t>Subgroup</t>
  </si>
  <si>
    <t>Citrus Type</t>
  </si>
  <si>
    <t>Scale Weight</t>
  </si>
  <si>
    <t>Basket Count</t>
  </si>
  <si>
    <t>Net Weight</t>
  </si>
  <si>
    <t>Amount</t>
  </si>
  <si>
    <t>Notes</t>
  </si>
  <si>
    <t>07:45</t>
  </si>
  <si>
    <t>BS-001</t>
  </si>
  <si>
    <t>خرید مرکبات</t>
  </si>
  <si>
    <t>09:10</t>
  </si>
  <si>
    <t>BS-002</t>
  </si>
  <si>
    <t>نارنگی</t>
  </si>
  <si>
    <t>11:30</t>
  </si>
  <si>
    <t>BS-003</t>
  </si>
  <si>
    <t>08:20</t>
  </si>
  <si>
    <t>BS-004</t>
  </si>
  <si>
    <t>10:00</t>
  </si>
  <si>
    <t>1001</t>
  </si>
  <si>
    <t>فروش</t>
  </si>
  <si>
    <t>SL001</t>
  </si>
  <si>
    <t>1405/07/06</t>
  </si>
  <si>
    <t>11:20</t>
  </si>
  <si>
    <t>1002</t>
  </si>
  <si>
    <t>SL002</t>
  </si>
  <si>
    <t>1405/07/08</t>
  </si>
  <si>
    <t>09:40</t>
  </si>
  <si>
    <t>1003</t>
  </si>
  <si>
    <t>SL003</t>
  </si>
  <si>
    <t>1405/07/10</t>
  </si>
  <si>
    <t>08:50</t>
  </si>
  <si>
    <t>SL004</t>
  </si>
  <si>
    <t>مازندشت — سورتینگ و بسته‌بندی مرکبات</t>
  </si>
  <si>
    <t>باغدشت، بخش مرکزی، شهرستان قائم‌شهر، استان مازندران، ایران     |     MAZANDASHT · CITRUS SORTING &amp; PACKING</t>
  </si>
  <si>
    <t>برگه فنی — آینه‌ی فایل مادر (INFO) برای دفتر باسکول. فرمول‌ها را تغییر ندهید. اگر همه سلول‌ها خالی شدند یعنی لینک به‌روز نشده: Data ← Edit Links ← Update Values.</t>
  </si>
  <si>
    <t>Ops · Code</t>
  </si>
  <si>
    <t>· Title</t>
  </si>
  <si>
    <t>· Direction</t>
  </si>
  <si>
    <t>· Group</t>
  </si>
  <si>
    <t>Accounts · Code</t>
  </si>
  <si>
    <t>· Nature</t>
  </si>
  <si>
    <t>· Subgroup</t>
  </si>
  <si>
    <t>· Name</t>
  </si>
  <si>
    <t>Lists · Citrus Types</t>
  </si>
  <si>
    <t>Params · Code</t>
  </si>
  <si>
    <t>· Value</t>
  </si>
  <si>
    <t>Company</t>
  </si>
  <si>
    <t>cum·OP</t>
  </si>
  <si>
    <t>LIST · Operations</t>
  </si>
  <si>
    <t>MainGroups · Code</t>
  </si>
  <si>
    <t>راهنمای دفتر باسکول (Baskol.xlsx)</t>
  </si>
  <si>
    <t>۱) این فایل چیست؟</t>
  </si>
  <si>
    <t>• تنها محل ثبت ورود و خروج کالا در کل سامانه — دفتر باسکول سالن سورتینگ.</t>
  </si>
  <si>
    <t>• هر ردیف = یک توزین: هر بار کالا وارد یا خارج شد، اینجا یک ردیف ثبت می‌شود.</t>
  </si>
  <si>
    <t>• فایل‌های فروش (Sales) و خرید (Purchases) هیچ ورودی ندارند و همه‌چیزشان را از همین فایل می‌خوانند.</t>
  </si>
  <si>
    <t>۲) ستون‌ها</t>
  </si>
  <si>
    <t>• ورود دستی (زرد): تاریخ | ساعت | شماره سند (فاکتور/رسید) | کد طرف حساب | نوع عملیات (کشویی) | نوع مرکبات (کشویی) | وزن باسکول | تعداد سبد | مبلغ (اختیاری) | توضیحات.</t>
  </si>
  <si>
    <t>• خودکار (خاکستری): ردیف | نام طرف حساب | جهت (ورود/خروج) | طبقه عملیات | وزن خالص.</t>
  </si>
  <si>
    <t>• نام از INFO ← Accounts؛ جهت و طبقه از INFO ← Ops (بر اساس عملیات انتخابی).</t>
  </si>
  <si>
    <t>۳) فرمول وزن خالص (پارامتری)</t>
  </si>
  <si>
    <t>• وزن خالص = (وزن باسکول − تعداد سبد × P01) × (۱ − P02 ÷ 100 فقط برای طبقه «خرید»)</t>
  </si>
  <si>
    <t>• پیش‌فرض: P01 = وزن هر سبد = 1.5 کیلوگرم، P02 = درصد افت = 1٪ — تعریف و تغییر در INFO ← شیت Params؛ تغییرشان همه فرمول‌ها را خودکار به‌روز می‌کند.</t>
  </si>
  <si>
    <t>• افت فقط روی خرید اعمال می‌شود (فروش و مرجوعی فقط تار سبدها را کم می‌کنند).</t>
  </si>
  <si>
    <t>• وزن خالص منفی (سبد×وزن سبد بیشتر از باسکول) = هشدار قرمز؛ ردیف را کنترل کنید.</t>
  </si>
  <si>
    <t>۴) اتصال به فایل مادر</t>
  </si>
  <si>
    <t>• این فایل و INFO.xlsx همیشه در یک پوشه باشند.</t>
  </si>
  <si>
    <t>• پس از تغییر INFO (حساب جدید، عملیات جدید، پارامتر): Data ← Edit Links ← Update Values.</t>
  </si>
  <si>
    <t>• کد طرف حساب غلط = خطا (Stop). انواع عملیات از INFO ← شیت Ops می‌آیند و قابل گسترش‌اند.</t>
  </si>
  <si>
    <t>۵) نکات ثبت</t>
  </si>
  <si>
    <t>• تاریخ: 1405/07/10 یا 14050710 — ساعت: 09:30 — شماره سند آزاد (مثل شماره فاکتور فروش).</t>
  </si>
  <si>
    <t>• ظرفیت: 2000 ردیف؛ برای بیشتر، فرمول‌های ردیف آخر را به پایین کپی کنید.</t>
  </si>
  <si>
    <t>• پرداخت‌های پولی اینجا ثبت نمی‌شوند — آن‌ها کار فایل Transactions.xlsx است.</t>
  </si>
  <si>
    <t>1405/07/07</t>
  </si>
  <si>
    <t>c001</t>
  </si>
  <si>
    <t>1405/07/09</t>
  </si>
  <si>
    <t>1405/07/11</t>
  </si>
  <si>
    <t>1405/07/13</t>
  </si>
  <si>
    <t>1405/07/14</t>
  </si>
  <si>
    <t>c002</t>
  </si>
  <si>
    <t>c003</t>
  </si>
  <si>
    <t>c004</t>
  </si>
  <si>
    <t>1005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</si>
  <si>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</si>
  <si>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</si>
  <si>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</si>
  <si>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</si>
  <si>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</si>
  <si>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</si>
  <si>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</si>
  <si>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</si>
  <si>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</si>
  <si>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</si>
  <si>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c019</t>
  </si>
  <si>
    <t>1405/07/15</t>
  </si>
  <si>
    <t>خرمالو</t>
  </si>
  <si>
    <t>c018</t>
  </si>
  <si>
    <t>1405/07/16</t>
  </si>
  <si>
    <t>c015</t>
  </si>
  <si>
    <t>c016</t>
  </si>
  <si>
    <t>c020</t>
  </si>
  <si>
    <t>c021</t>
  </si>
  <si>
    <t>c022</t>
  </si>
  <si>
    <t>c023</t>
  </si>
  <si>
    <t>c024</t>
  </si>
  <si>
    <t>1405/07/17</t>
  </si>
  <si>
    <t>C025</t>
  </si>
  <si>
    <t>C001</t>
  </si>
  <si>
    <t>c026</t>
  </si>
  <si>
    <t>c027</t>
  </si>
  <si>
    <t>c028</t>
  </si>
  <si>
    <t>c029</t>
  </si>
  <si>
    <t>c030</t>
  </si>
  <si>
    <t>c031</t>
  </si>
  <si>
    <t>خرمالو و نارنگی</t>
  </si>
  <si>
    <t>1405/07/18</t>
  </si>
  <si>
    <t>1405/07/19</t>
  </si>
  <si>
    <t>c032</t>
  </si>
  <si>
    <t>c033</t>
  </si>
  <si>
    <t>SL005</t>
  </si>
  <si>
    <t>c034</t>
  </si>
  <si>
    <t>c035</t>
  </si>
  <si>
    <t>c036</t>
  </si>
  <si>
    <t>1405/07/20</t>
  </si>
  <si>
    <t>c037</t>
  </si>
  <si>
    <t>1405/07/21</t>
  </si>
  <si>
    <t>c038</t>
  </si>
  <si>
    <t>c039</t>
  </si>
  <si>
    <t>c040</t>
  </si>
  <si>
    <t>c041</t>
  </si>
  <si>
    <t>c042</t>
  </si>
  <si>
    <t>c043</t>
  </si>
  <si>
    <t>1405/07/22</t>
  </si>
  <si>
    <t>1405/07/23</t>
  </si>
  <si>
    <t>c044</t>
  </si>
  <si>
    <t>c045</t>
  </si>
  <si>
    <t>c046</t>
  </si>
  <si>
    <t>c048</t>
  </si>
  <si>
    <t>c049</t>
  </si>
  <si>
    <t>c050</t>
  </si>
  <si>
    <t>c051</t>
  </si>
  <si>
    <t>1405/07/24</t>
  </si>
  <si>
    <t>1405/07/25</t>
  </si>
  <si>
    <t>1405/07/26</t>
  </si>
  <si>
    <t>1405/07/27</t>
  </si>
  <si>
    <t>c052</t>
  </si>
  <si>
    <t>c053</t>
  </si>
  <si>
    <t>c055</t>
  </si>
  <si>
    <t>c054</t>
  </si>
  <si>
    <t>تامسون</t>
  </si>
  <si>
    <t>1405/07/28</t>
  </si>
  <si>
    <t>1405/07/29</t>
  </si>
  <si>
    <t>c056</t>
  </si>
  <si>
    <t>c057</t>
  </si>
  <si>
    <t>1405/07/30</t>
  </si>
  <si>
    <t>c058</t>
  </si>
  <si>
    <t>c059</t>
  </si>
  <si>
    <t>SL006</t>
  </si>
  <si>
    <t>c060</t>
  </si>
  <si>
    <t>1405/08/01</t>
  </si>
  <si>
    <t>c061</t>
  </si>
  <si>
    <t>1405/08/02</t>
  </si>
  <si>
    <t>1405/08/03</t>
  </si>
  <si>
    <t>1405/08/04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</si>
</sst>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"/>
  </numFmts>
  <fonts count="14" x14ac:knownFonts="1">
    <font>
      <sz val="11"/>
      <color theme="1"/>
      <name val="Arial"/>
      <family val="2"/>
      <scheme val="minor"/>
    </font>
    <font>
      <b/>
      <sz val="15"/>
      <color rgb="FFFFFFFF"/>
      <name val="Tahoma"/>
      <family val="2"/>
    </font>
    <font>
      <sz val="8"/>
      <color rgb="FFC8E6C9"/>
      <name val="Tahoma"/>
      <family val="2"/>
    </font>
    <font>
      <b/>
      <sz val="8"/>
      <color rgb="FFC62828"/>
      <name val="Tahoma"/>
      <family val="2"/>
    </font>
    <font>
      <b/>
      <sz val="8"/>
      <color rgb="FFFFFFFF"/>
      <name val="Tahoma"/>
      <family val="2"/>
    </font>
    <font>
      <b/>
      <sz val="13"/>
      <color rgb="FFE65100"/>
      <name val="Tahoma"/>
      <family val="2"/>
    </font>
    <font>
      <i/>
      <sz val="8"/>
      <color rgb="FF607D8B"/>
      <name val="Tahoma"/>
      <family val="2"/>
    </font>
    <font>
      <b/>
      <sz val="7.5"/>
      <color rgb="FF607D8B"/>
      <name val="Tahoma"/>
      <family val="2"/>
    </font>
    <font>
      <b/>
      <sz val="11"/>
      <color rgb="FF263238"/>
      <name val="Tahoma"/>
      <family val="2"/>
    </font>
    <font>
      <b/>
      <sz val="9.5"/>
      <color rgb="FFFFFFFF"/>
      <name val="Tahoma"/>
      <family val="2"/>
    </font>
    <font>
      <sz val="6.5"/>
      <color rgb="FF546E7A"/>
      <name val="Tahoma"/>
      <family val="2"/>
    </font>
    <font>
      <sz val="9"/>
      <color rgb="FF263238"/>
      <name val="Tahoma"/>
      <family val="2"/>
    </font>
    <font>
      <b/>
      <sz val="12"/>
      <color rgb="FFE65100"/>
      <name val="Tahoma"/>
      <family val="2"/>
    </font>
    <font>
      <b/>
      <sz val="10.5"/>
      <color rgb="FFFFFFFF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E0B2"/>
      </patternFill>
    </fill>
    <fill>
      <patternFill patternType="solid">
        <fgColor rgb="FFF1F8F2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EF3F1"/>
      </patternFill>
    </fill>
    <fill>
      <patternFill patternType="solid">
        <fgColor rgb="FFFFF9C4"/>
      </patternFill>
    </fill>
    <fill>
      <patternFill patternType="solid">
        <fgColor rgb="FFF3F8F3"/>
      </patternFill>
    </fill>
  </fills>
  <borders count="4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EF6C00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78909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9" fillId="3" borderId="2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/>
    </xf>
    <xf numFmtId="49" fontId="11" fillId="9" borderId="1" xfId="0" applyNumberFormat="1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164" fontId="11" fillId="8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3" fontId="8" fillId="6" borderId="1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right" vertical="center" wrapText="1"/>
    </xf>
    <xf numFmtId="1" fontId="8" fillId="6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10" borderId="1" xfId="0" applyFont="1" applyFill="1" applyBorder="1" applyAlignment="1">
      <alignment horizontal="right" vertical="center" wrapText="1"/>
    </xf>
    <xf numFmtId="0" fontId="12" fillId="5" borderId="2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E65100"/>
        <name val="Tahoma"/>
      </font>
      <fill>
        <patternFill patternType="solid">
          <fgColor rgb="FFFFE0B2"/>
        </patternFill>
      </fill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Help"/>
      <sheetName val="Lists"/>
    </sheetNames>
    <sheetDataSet>
      <sheetData sheetId="0"/>
      <sheetData sheetId="1">
        <row r="5">
          <cell r="C5" t="str">
            <v>سورتینگ و بسته‌بندی مرکبات 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011-42116449</v>
          </cell>
        </row>
      </sheetData>
      <sheetData sheetId="2">
        <row r="7">
          <cell r="A7" t="str">
            <v>P01</v>
          </cell>
          <cell r="B7" t="str">
            <v>وزن هر سبد (تار)</v>
          </cell>
          <cell r="C7">
            <v>1.5</v>
          </cell>
        </row>
        <row r="8">
          <cell r="A8" t="str">
            <v>P02</v>
          </cell>
          <cell r="B8" t="str">
            <v>درصد افت</v>
          </cell>
          <cell r="C8">
            <v>1</v>
          </cell>
        </row>
        <row r="9">
          <cell r="A9" t="str">
            <v>P03</v>
          </cell>
        </row>
        <row r="10">
          <cell r="A10" t="str">
            <v>P04</v>
          </cell>
        </row>
        <row r="11">
          <cell r="A11" t="str">
            <v>P05</v>
          </cell>
        </row>
        <row r="12">
          <cell r="A12" t="str">
            <v>P06</v>
          </cell>
        </row>
        <row r="13">
          <cell r="A13" t="str">
            <v>P07</v>
          </cell>
        </row>
        <row r="14">
          <cell r="A14" t="str">
            <v>P08</v>
          </cell>
        </row>
        <row r="15">
          <cell r="A15" t="str">
            <v>P09</v>
          </cell>
        </row>
        <row r="16">
          <cell r="A16" t="str">
            <v>P10</v>
          </cell>
        </row>
        <row r="17">
          <cell r="A17" t="str">
            <v>P11</v>
          </cell>
        </row>
        <row r="18">
          <cell r="A18" t="str">
            <v>P12</v>
          </cell>
        </row>
      </sheetData>
      <sheetData sheetId="3"/>
      <sheetData sheetId="4">
        <row r="7">
          <cell r="A7" t="str">
            <v>G01</v>
          </cell>
          <cell r="B7" t="str">
            <v>خرید</v>
          </cell>
        </row>
        <row r="8">
          <cell r="A8" t="str">
            <v>G02</v>
          </cell>
          <cell r="B8" t="str">
            <v>فروش(صافی)</v>
          </cell>
        </row>
        <row r="9">
          <cell r="A9" t="str">
            <v>G03</v>
          </cell>
          <cell r="B9" t="str">
            <v>هزینه</v>
          </cell>
        </row>
        <row r="10">
          <cell r="A10" t="str">
            <v>G04</v>
          </cell>
          <cell r="B10" t="str">
            <v>شخصی قاسم</v>
          </cell>
        </row>
        <row r="11">
          <cell r="A11" t="str">
            <v>G05</v>
          </cell>
          <cell r="B11" t="str">
            <v>وام و تسهیلات</v>
          </cell>
        </row>
        <row r="12">
          <cell r="A12" t="str">
            <v>G06</v>
          </cell>
          <cell r="B12" t="str">
            <v>سرمایه و آورده</v>
          </cell>
        </row>
        <row r="13">
          <cell r="A13" t="str">
            <v>G07</v>
          </cell>
          <cell r="B13" t="str">
            <v>دارایی ثابت</v>
          </cell>
        </row>
        <row r="14">
          <cell r="A14" t="str">
            <v>G08</v>
          </cell>
        </row>
        <row r="15">
          <cell r="A15" t="str">
            <v>G09</v>
          </cell>
        </row>
        <row r="16">
          <cell r="A16" t="str">
            <v>G10</v>
          </cell>
        </row>
      </sheetData>
      <sheetData sheetId="5">
        <row r="7">
          <cell r="A7" t="str">
            <v>SG001</v>
          </cell>
          <cell r="B7" t="str">
            <v>هزینه</v>
          </cell>
          <cell r="C7" t="str">
            <v>مواد غذایی</v>
          </cell>
        </row>
        <row r="8">
          <cell r="A8" t="str">
            <v>SG002</v>
          </cell>
          <cell r="B8" t="str">
            <v>هزینه</v>
          </cell>
          <cell r="C8" t="str">
            <v>دستمزد کارکنان</v>
          </cell>
        </row>
        <row r="9">
          <cell r="A9" t="str">
            <v>SG003</v>
          </cell>
          <cell r="B9" t="str">
            <v>هزینه</v>
          </cell>
          <cell r="C9" t="str">
            <v>بهره و کارمزد وام</v>
          </cell>
        </row>
        <row r="10">
          <cell r="A10" t="str">
            <v>SG004</v>
          </cell>
          <cell r="B10" t="str">
            <v>هزینه</v>
          </cell>
          <cell r="C10" t="str">
            <v>رنگ و واکس</v>
          </cell>
        </row>
        <row r="11">
          <cell r="A11" t="str">
            <v>SG005</v>
          </cell>
          <cell r="B11" t="str">
            <v>هزینه</v>
          </cell>
          <cell r="C11" t="str">
            <v>کارمزد بانکی</v>
          </cell>
        </row>
        <row r="12">
          <cell r="A12" t="str">
            <v>SG006</v>
          </cell>
          <cell r="B12" t="str">
            <v>هزینه</v>
          </cell>
          <cell r="C12" t="str">
            <v>اجاره خانه</v>
          </cell>
        </row>
        <row r="13">
          <cell r="A13" t="str">
            <v>SG007</v>
          </cell>
          <cell r="B13" t="str">
            <v>خرید</v>
          </cell>
          <cell r="C13" t="str">
            <v>مرکبات سردرختی</v>
          </cell>
        </row>
        <row r="14">
          <cell r="A14" t="str">
            <v>SG008</v>
          </cell>
          <cell r="B14" t="str">
            <v>خرید</v>
          </cell>
          <cell r="C14" t="str">
            <v>مرکبات انباری</v>
          </cell>
        </row>
        <row r="15">
          <cell r="A15" t="str">
            <v>SG009</v>
          </cell>
          <cell r="B15" t="str">
            <v>شخصی قاسم</v>
          </cell>
          <cell r="C15" t="str">
            <v>تعمیر لوازم</v>
          </cell>
        </row>
        <row r="16">
          <cell r="A16" t="str">
            <v>SG010</v>
          </cell>
          <cell r="B16" t="str">
            <v>شخصی قاسم</v>
          </cell>
          <cell r="C16" t="str">
            <v>مواد غذایی</v>
          </cell>
        </row>
        <row r="17">
          <cell r="A17" t="str">
            <v>SG011</v>
          </cell>
          <cell r="B17" t="str">
            <v>شخصی قاسم</v>
          </cell>
          <cell r="C17" t="str">
            <v>بیمه</v>
          </cell>
        </row>
        <row r="18">
          <cell r="A18" t="str">
            <v>SG012</v>
          </cell>
          <cell r="B18" t="str">
            <v>هزینه</v>
          </cell>
          <cell r="C18" t="str">
            <v>قبوض</v>
          </cell>
        </row>
        <row r="19">
          <cell r="A19" t="str">
            <v>SG013</v>
          </cell>
          <cell r="B19" t="str">
            <v>هزینه</v>
          </cell>
          <cell r="C19" t="str">
            <v>بازاریابی</v>
          </cell>
        </row>
        <row r="20">
          <cell r="A20" t="str">
            <v>SG014</v>
          </cell>
          <cell r="B20" t="str">
            <v>هزینه</v>
          </cell>
          <cell r="C20" t="str">
            <v>خرید تجهیزات</v>
          </cell>
        </row>
        <row r="21">
          <cell r="A21" t="str">
            <v>SG015</v>
          </cell>
          <cell r="B21" t="str">
            <v>خرید</v>
          </cell>
          <cell r="C21" t="str">
            <v>سبد</v>
          </cell>
        </row>
        <row r="22">
          <cell r="A22" t="str">
            <v>SG016</v>
          </cell>
        </row>
        <row r="23">
          <cell r="A23" t="str">
            <v>SG017</v>
          </cell>
        </row>
        <row r="24">
          <cell r="A24" t="str">
            <v>SG018</v>
          </cell>
        </row>
        <row r="25">
          <cell r="A25" t="str">
            <v>SG019</v>
          </cell>
        </row>
        <row r="26">
          <cell r="A26" t="str">
            <v>SG020</v>
          </cell>
        </row>
        <row r="27">
          <cell r="A27" t="str">
            <v>SG021</v>
          </cell>
        </row>
        <row r="28">
          <cell r="A28" t="str">
            <v>SG022</v>
          </cell>
        </row>
        <row r="29">
          <cell r="A29" t="str">
            <v>SG023</v>
          </cell>
        </row>
        <row r="30">
          <cell r="A30" t="str">
            <v>SG024</v>
          </cell>
        </row>
        <row r="31">
          <cell r="A31" t="str">
            <v>SG025</v>
          </cell>
        </row>
        <row r="32">
          <cell r="A32" t="str">
            <v>SG026</v>
          </cell>
        </row>
        <row r="33">
          <cell r="A33" t="str">
            <v>SG027</v>
          </cell>
        </row>
        <row r="34">
          <cell r="A34" t="str">
            <v>SG028</v>
          </cell>
        </row>
        <row r="35">
          <cell r="A35" t="str">
            <v>SG029</v>
          </cell>
        </row>
        <row r="36">
          <cell r="A36" t="str">
            <v>SG030</v>
          </cell>
        </row>
        <row r="37">
          <cell r="A37" t="str">
            <v>SG031</v>
          </cell>
        </row>
        <row r="38">
          <cell r="A38" t="str">
            <v>SG032</v>
          </cell>
        </row>
        <row r="39">
          <cell r="A39" t="str">
            <v>SG033</v>
          </cell>
        </row>
        <row r="40">
          <cell r="A40" t="str">
            <v>SG034</v>
          </cell>
        </row>
        <row r="41">
          <cell r="A41" t="str">
            <v>SG035</v>
          </cell>
        </row>
        <row r="42">
          <cell r="A42" t="str">
            <v>SG036</v>
          </cell>
        </row>
        <row r="43">
          <cell r="A43" t="str">
            <v>SG037</v>
          </cell>
        </row>
        <row r="44">
          <cell r="A44" t="str">
            <v>SG038</v>
          </cell>
        </row>
        <row r="45">
          <cell r="A45" t="str">
            <v>SG039</v>
          </cell>
        </row>
        <row r="46">
          <cell r="A46" t="str">
            <v>SG040</v>
          </cell>
        </row>
        <row r="47">
          <cell r="A47" t="str">
            <v>SG041</v>
          </cell>
        </row>
        <row r="48">
          <cell r="A48" t="str">
            <v>SG042</v>
          </cell>
        </row>
        <row r="49">
          <cell r="A49" t="str">
            <v>SG043</v>
          </cell>
        </row>
        <row r="50">
          <cell r="A50" t="str">
            <v>SG044</v>
          </cell>
        </row>
        <row r="51">
          <cell r="A51" t="str">
            <v>SG045</v>
          </cell>
        </row>
        <row r="52">
          <cell r="A52" t="str">
            <v>SG046</v>
          </cell>
        </row>
        <row r="53">
          <cell r="A53" t="str">
            <v>SG047</v>
          </cell>
        </row>
        <row r="54">
          <cell r="A54" t="str">
            <v>SG048</v>
          </cell>
        </row>
        <row r="55">
          <cell r="A55" t="str">
            <v>SG049</v>
          </cell>
        </row>
        <row r="56">
          <cell r="A56" t="str">
            <v>SG050</v>
          </cell>
        </row>
        <row r="57">
          <cell r="A57" t="str">
            <v>SG051</v>
          </cell>
        </row>
        <row r="58">
          <cell r="A58" t="str">
            <v>SG052</v>
          </cell>
        </row>
        <row r="59">
          <cell r="A59" t="str">
            <v>SG053</v>
          </cell>
        </row>
        <row r="60">
          <cell r="A60" t="str">
            <v>SG054</v>
          </cell>
        </row>
        <row r="61">
          <cell r="A61" t="str">
            <v>SG055</v>
          </cell>
        </row>
        <row r="62">
          <cell r="A62" t="str">
            <v>SG056</v>
          </cell>
        </row>
        <row r="63">
          <cell r="A63" t="str">
            <v>SG057</v>
          </cell>
        </row>
        <row r="64">
          <cell r="A64" t="str">
            <v>SG058</v>
          </cell>
        </row>
        <row r="65">
          <cell r="A65" t="str">
            <v>SG059</v>
          </cell>
        </row>
        <row r="66">
          <cell r="A66" t="str">
            <v>SG060</v>
          </cell>
        </row>
        <row r="67">
          <cell r="A67" t="str">
            <v>SG061</v>
          </cell>
        </row>
        <row r="68">
          <cell r="A68" t="str">
            <v>SG062</v>
          </cell>
        </row>
        <row r="69">
          <cell r="A69" t="str">
            <v>SG063</v>
          </cell>
        </row>
        <row r="70">
          <cell r="A70" t="str">
            <v>SG064</v>
          </cell>
        </row>
        <row r="71">
          <cell r="A71" t="str">
            <v>SG065</v>
          </cell>
        </row>
        <row r="72">
          <cell r="A72" t="str">
            <v>SG066</v>
          </cell>
        </row>
        <row r="73">
          <cell r="A73" t="str">
            <v>SG067</v>
          </cell>
        </row>
        <row r="74">
          <cell r="A74" t="str">
            <v>SG068</v>
          </cell>
        </row>
        <row r="75">
          <cell r="A75" t="str">
            <v>SG069</v>
          </cell>
        </row>
        <row r="76">
          <cell r="A76" t="str">
            <v>SG070</v>
          </cell>
        </row>
        <row r="77">
          <cell r="A77" t="str">
            <v>SG071</v>
          </cell>
        </row>
        <row r="78">
          <cell r="A78" t="str">
            <v>SG072</v>
          </cell>
        </row>
        <row r="79">
          <cell r="A79" t="str">
            <v>SG073</v>
          </cell>
        </row>
        <row r="80">
          <cell r="A80" t="str">
            <v>SG074</v>
          </cell>
        </row>
        <row r="81">
          <cell r="A81" t="str">
            <v>SG075</v>
          </cell>
        </row>
        <row r="82">
          <cell r="A82" t="str">
            <v>SG076</v>
          </cell>
        </row>
        <row r="83">
          <cell r="A83" t="str">
            <v>SG077</v>
          </cell>
        </row>
        <row r="84">
          <cell r="A84" t="str">
            <v>SG078</v>
          </cell>
        </row>
        <row r="85">
          <cell r="A85" t="str">
            <v>SG079</v>
          </cell>
        </row>
        <row r="86">
          <cell r="A86" t="str">
            <v>SG080</v>
          </cell>
        </row>
        <row r="87">
          <cell r="A87" t="str">
            <v>SG081</v>
          </cell>
        </row>
        <row r="88">
          <cell r="A88" t="str">
            <v>SG082</v>
          </cell>
        </row>
        <row r="89">
          <cell r="A89" t="str">
            <v>SG083</v>
          </cell>
        </row>
        <row r="90">
          <cell r="A90" t="str">
            <v>SG084</v>
          </cell>
        </row>
        <row r="91">
          <cell r="A91" t="str">
            <v>SG085</v>
          </cell>
        </row>
        <row r="92">
          <cell r="A92" t="str">
            <v>SG086</v>
          </cell>
        </row>
        <row r="93">
          <cell r="A93" t="str">
            <v>SG087</v>
          </cell>
        </row>
        <row r="94">
          <cell r="A94" t="str">
            <v>SG088</v>
          </cell>
        </row>
        <row r="95">
          <cell r="A95" t="str">
            <v>SG089</v>
          </cell>
        </row>
        <row r="96">
          <cell r="A96" t="str">
            <v>SG090</v>
          </cell>
        </row>
        <row r="97">
          <cell r="A97" t="str">
            <v>SG091</v>
          </cell>
        </row>
        <row r="98">
          <cell r="A98" t="str">
            <v>SG092</v>
          </cell>
        </row>
        <row r="99">
          <cell r="A99" t="str">
            <v>SG093</v>
          </cell>
        </row>
        <row r="100">
          <cell r="A100" t="str">
            <v>SG094</v>
          </cell>
        </row>
        <row r="101">
          <cell r="A101" t="str">
            <v>SG095</v>
          </cell>
        </row>
        <row r="102">
          <cell r="A102" t="str">
            <v>SG096</v>
          </cell>
        </row>
        <row r="103">
          <cell r="A103" t="str">
            <v>SG097</v>
          </cell>
        </row>
        <row r="104">
          <cell r="A104" t="str">
            <v>SG098</v>
          </cell>
        </row>
        <row r="105">
          <cell r="A105" t="str">
            <v>SG099</v>
          </cell>
        </row>
        <row r="106">
          <cell r="A106" t="str">
            <v>SG100</v>
          </cell>
        </row>
      </sheetData>
      <sheetData sheetId="6"/>
      <sheetData sheetId="7"/>
      <sheetData sheetId="8">
        <row r="7">
          <cell r="A7" t="str">
            <v>C001</v>
          </cell>
          <cell r="B7" t="str">
            <v>فروشنده</v>
          </cell>
          <cell r="C7" t="str">
            <v>عمده</v>
          </cell>
          <cell r="D7" t="str">
            <v>زینب زاهدی</v>
          </cell>
        </row>
        <row r="8">
          <cell r="A8" t="str">
            <v>C002</v>
          </cell>
          <cell r="B8" t="str">
            <v>فروشنده</v>
          </cell>
          <cell r="C8" t="str">
            <v>صادراتی</v>
          </cell>
          <cell r="D8" t="str">
            <v>سید عباس موسوی</v>
          </cell>
        </row>
        <row r="9">
          <cell r="A9" t="str">
            <v>C003</v>
          </cell>
          <cell r="B9" t="str">
            <v>فروشنده</v>
          </cell>
          <cell r="C9" t="str">
            <v>خرده‌فروش</v>
          </cell>
          <cell r="D9" t="str">
            <v>حاج احمد عیسی پور</v>
          </cell>
        </row>
        <row r="10">
          <cell r="A10" t="str">
            <v>C004</v>
          </cell>
          <cell r="B10" t="str">
            <v>فروشنده</v>
          </cell>
          <cell r="D10" t="str">
            <v>امید زاهدی</v>
          </cell>
        </row>
        <row r="11">
          <cell r="A11" t="str">
            <v>C005</v>
          </cell>
          <cell r="B11" t="str">
            <v>فروشنده</v>
          </cell>
          <cell r="D11" t="str">
            <v>بار شخصی قاسم زاهدی</v>
          </cell>
        </row>
        <row r="12">
          <cell r="A12" t="str">
            <v>C006</v>
          </cell>
          <cell r="B12" t="str">
            <v>فروشنده</v>
          </cell>
          <cell r="D12" t="str">
            <v>هوشنگ عیسی پور</v>
          </cell>
        </row>
        <row r="13">
          <cell r="A13" t="str">
            <v>C007</v>
          </cell>
          <cell r="B13" t="str">
            <v>فروشنده</v>
          </cell>
          <cell r="D13" t="str">
            <v>علی آهنگر</v>
          </cell>
        </row>
        <row r="14">
          <cell r="A14" t="str">
            <v>C008</v>
          </cell>
          <cell r="B14" t="str">
            <v>فروشنده</v>
          </cell>
          <cell r="D14" t="str">
            <v>صفدر مسلمی</v>
          </cell>
        </row>
        <row r="15">
          <cell r="A15" t="str">
            <v>C009</v>
          </cell>
          <cell r="B15" t="str">
            <v>فروشنده</v>
          </cell>
          <cell r="D15" t="str">
            <v>همایون بابایی</v>
          </cell>
        </row>
        <row r="16">
          <cell r="A16" t="str">
            <v>C010</v>
          </cell>
          <cell r="B16" t="str">
            <v>فروشنده</v>
          </cell>
          <cell r="D16" t="str">
            <v>دبیر فرجی</v>
          </cell>
        </row>
        <row r="17">
          <cell r="A17" t="str">
            <v>C011</v>
          </cell>
          <cell r="B17" t="str">
            <v>فروشنده</v>
          </cell>
          <cell r="D17" t="str">
            <v>محمود علیجانی</v>
          </cell>
        </row>
        <row r="18">
          <cell r="A18" t="str">
            <v>C012</v>
          </cell>
          <cell r="B18" t="str">
            <v>فروشنده</v>
          </cell>
          <cell r="D18" t="str">
            <v>افشین بشتکار</v>
          </cell>
        </row>
        <row r="19">
          <cell r="A19" t="str">
            <v>C013</v>
          </cell>
          <cell r="B19" t="str">
            <v>فروشنده</v>
          </cell>
          <cell r="D19" t="str">
            <v>میرقربان موسویان</v>
          </cell>
        </row>
        <row r="20">
          <cell r="A20" t="str">
            <v>C014</v>
          </cell>
          <cell r="B20" t="str">
            <v>فروشنده</v>
          </cell>
          <cell r="D20" t="str">
            <v>باباجانی (تراجیکلا)</v>
          </cell>
        </row>
        <row r="21">
          <cell r="A21" t="str">
            <v>C015</v>
          </cell>
          <cell r="B21" t="str">
            <v>فروشنده</v>
          </cell>
          <cell r="D21" t="str">
            <v>کاظم میرزازاده</v>
          </cell>
        </row>
        <row r="22">
          <cell r="A22" t="str">
            <v>C016</v>
          </cell>
          <cell r="B22" t="str">
            <v>فروشنده</v>
          </cell>
          <cell r="D22" t="str">
            <v>علی جانبرارپور</v>
          </cell>
        </row>
        <row r="23">
          <cell r="A23" t="str">
            <v>C017</v>
          </cell>
          <cell r="B23" t="str">
            <v>فروشنده</v>
          </cell>
          <cell r="D23" t="str">
            <v>لیلا محمودنیا</v>
          </cell>
        </row>
        <row r="24">
          <cell r="A24" t="str">
            <v>C018</v>
          </cell>
          <cell r="B24" t="str">
            <v>فروشنده</v>
          </cell>
          <cell r="D24" t="str">
            <v>اسماعیل خانیا</v>
          </cell>
        </row>
        <row r="25">
          <cell r="A25" t="str">
            <v>C019</v>
          </cell>
          <cell r="B25" t="str">
            <v>فروشنده</v>
          </cell>
          <cell r="D25" t="str">
            <v>یوسف یوسف نژاد</v>
          </cell>
        </row>
        <row r="26">
          <cell r="A26" t="str">
            <v>C020</v>
          </cell>
          <cell r="B26" t="str">
            <v>فروشنده</v>
          </cell>
          <cell r="D26" t="str">
            <v>علی نوایی</v>
          </cell>
        </row>
        <row r="27">
          <cell r="A27" t="str">
            <v>C021</v>
          </cell>
          <cell r="B27" t="str">
            <v>فروشنده</v>
          </cell>
          <cell r="D27" t="str">
            <v>دومیری</v>
          </cell>
        </row>
        <row r="28">
          <cell r="A28" t="str">
            <v>C022</v>
          </cell>
          <cell r="B28" t="str">
            <v>فروشنده</v>
          </cell>
          <cell r="D28" t="str">
            <v>شمسعلی علیجانی</v>
          </cell>
        </row>
        <row r="29">
          <cell r="A29" t="str">
            <v>C023</v>
          </cell>
          <cell r="B29" t="str">
            <v>فروشنده</v>
          </cell>
          <cell r="D29" t="str">
            <v>یوسف نیا(موزیج)</v>
          </cell>
        </row>
        <row r="30">
          <cell r="A30" t="str">
            <v>C024</v>
          </cell>
          <cell r="B30" t="str">
            <v>فروشنده</v>
          </cell>
          <cell r="D30" t="str">
            <v>کاظم ذبیح پور</v>
          </cell>
        </row>
        <row r="31">
          <cell r="A31" t="str">
            <v>C025</v>
          </cell>
          <cell r="B31" t="str">
            <v>فروشنده</v>
          </cell>
          <cell r="D31" t="str">
            <v>علی غلام رضاپور</v>
          </cell>
        </row>
        <row r="32">
          <cell r="A32" t="str">
            <v>C026</v>
          </cell>
          <cell r="B32" t="str">
            <v>فروشنده</v>
          </cell>
          <cell r="D32" t="str">
            <v>حسین شکرالله نیا</v>
          </cell>
        </row>
        <row r="33">
          <cell r="A33" t="str">
            <v>C027</v>
          </cell>
          <cell r="B33" t="str">
            <v>فروشنده</v>
          </cell>
          <cell r="D33" t="str">
            <v>سید مهدی حسینی(دوست حاج هوشنگ)</v>
          </cell>
        </row>
        <row r="34">
          <cell r="A34" t="str">
            <v>C028</v>
          </cell>
          <cell r="B34" t="str">
            <v>فروشنده</v>
          </cell>
          <cell r="D34" t="str">
            <v>آقای عزیزی</v>
          </cell>
        </row>
        <row r="35">
          <cell r="A35" t="str">
            <v>C029</v>
          </cell>
          <cell r="B35" t="str">
            <v>فروشنده</v>
          </cell>
          <cell r="D35" t="str">
            <v>آقای حبیبی(بانک صادرات)</v>
          </cell>
        </row>
        <row r="36">
          <cell r="A36" t="str">
            <v>C030</v>
          </cell>
          <cell r="B36" t="str">
            <v>فروشنده</v>
          </cell>
          <cell r="D36" t="str">
            <v>محمد علی اصغرزاده</v>
          </cell>
        </row>
        <row r="37">
          <cell r="A37" t="str">
            <v>C031</v>
          </cell>
          <cell r="B37" t="str">
            <v>فروشنده</v>
          </cell>
          <cell r="D37" t="str">
            <v>فغان پور</v>
          </cell>
        </row>
        <row r="38">
          <cell r="A38" t="str">
            <v>C032</v>
          </cell>
          <cell r="B38" t="str">
            <v>فروشنده</v>
          </cell>
          <cell r="D38" t="str">
            <v>عباس پور(بهنمیر)</v>
          </cell>
        </row>
        <row r="39">
          <cell r="A39" t="str">
            <v>C033</v>
          </cell>
          <cell r="B39" t="str">
            <v>فروشنده</v>
          </cell>
          <cell r="D39" t="str">
            <v>رمضان خانیا(فرهاد پلنگ)</v>
          </cell>
        </row>
        <row r="40">
          <cell r="A40" t="str">
            <v>C034</v>
          </cell>
          <cell r="B40" t="str">
            <v>فروشنده</v>
          </cell>
          <cell r="D40" t="str">
            <v>محمد رضایی</v>
          </cell>
        </row>
        <row r="41">
          <cell r="A41" t="str">
            <v>C035</v>
          </cell>
          <cell r="B41" t="str">
            <v>فروشنده</v>
          </cell>
          <cell r="D41" t="str">
            <v>داریوش اسماعیلی</v>
          </cell>
        </row>
        <row r="42">
          <cell r="A42" t="str">
            <v>C036</v>
          </cell>
          <cell r="B42" t="str">
            <v>فروشنده</v>
          </cell>
          <cell r="D42" t="str">
            <v>محسن قبادی</v>
          </cell>
        </row>
        <row r="43">
          <cell r="A43" t="str">
            <v>C037</v>
          </cell>
          <cell r="B43" t="str">
            <v>فروشنده</v>
          </cell>
          <cell r="D43" t="str">
            <v>خانم قلی پور(یوسف نیا)</v>
          </cell>
        </row>
        <row r="44">
          <cell r="A44" t="str">
            <v>C038</v>
          </cell>
          <cell r="B44" t="str">
            <v>فروشنده</v>
          </cell>
          <cell r="D44" t="str">
            <v>مهدی ولیپور</v>
          </cell>
        </row>
        <row r="45">
          <cell r="A45" t="str">
            <v>C039</v>
          </cell>
          <cell r="B45" t="str">
            <v>فروشنده</v>
          </cell>
          <cell r="D45" t="str">
            <v>رمضان علی محمدیان</v>
          </cell>
        </row>
        <row r="46">
          <cell r="A46" t="str">
            <v>C040</v>
          </cell>
          <cell r="B46" t="str">
            <v>فروشنده</v>
          </cell>
          <cell r="D46" t="str">
            <v>محمود آهنگر</v>
          </cell>
        </row>
        <row r="47">
          <cell r="A47" t="str">
            <v>C041</v>
          </cell>
          <cell r="B47" t="str">
            <v>فروشنده</v>
          </cell>
          <cell r="D47" t="str">
            <v>محمد حسین عزیزی</v>
          </cell>
        </row>
        <row r="48">
          <cell r="A48" t="str">
            <v>C042</v>
          </cell>
          <cell r="B48" t="str">
            <v>فروشنده</v>
          </cell>
          <cell r="D48" t="str">
            <v>مغداد طلایی</v>
          </cell>
        </row>
        <row r="49">
          <cell r="A49" t="str">
            <v>C043</v>
          </cell>
          <cell r="B49" t="str">
            <v>فروشنده</v>
          </cell>
          <cell r="D49" t="str">
            <v>سید عبدالله میراقازاده</v>
          </cell>
        </row>
        <row r="50">
          <cell r="A50" t="str">
            <v>C044</v>
          </cell>
          <cell r="B50" t="str">
            <v>فروشنده</v>
          </cell>
          <cell r="D50" t="str">
            <v>رجب پور</v>
          </cell>
        </row>
        <row r="51">
          <cell r="A51" t="str">
            <v>C045</v>
          </cell>
          <cell r="B51" t="str">
            <v>فروشنده</v>
          </cell>
          <cell r="D51" t="str">
            <v>سعید بابایی</v>
          </cell>
        </row>
        <row r="52">
          <cell r="A52" t="str">
            <v>C046</v>
          </cell>
          <cell r="B52" t="str">
            <v>فروشنده</v>
          </cell>
          <cell r="D52" t="str">
            <v>مطلب عیسی پور</v>
          </cell>
        </row>
        <row r="53">
          <cell r="A53" t="str">
            <v>C047</v>
          </cell>
          <cell r="B53" t="str">
            <v>فروشنده</v>
          </cell>
        </row>
        <row r="54">
          <cell r="A54" t="str">
            <v>C048</v>
          </cell>
          <cell r="B54" t="str">
            <v>فروشنده</v>
          </cell>
          <cell r="D54" t="str">
            <v>تقی اصغرنیا</v>
          </cell>
        </row>
        <row r="55">
          <cell r="A55" t="str">
            <v>C049</v>
          </cell>
          <cell r="B55" t="str">
            <v>فروشنده</v>
          </cell>
          <cell r="D55" t="str">
            <v>مدانلو</v>
          </cell>
        </row>
        <row r="56">
          <cell r="A56" t="str">
            <v>C050</v>
          </cell>
          <cell r="B56" t="str">
            <v>فروشنده</v>
          </cell>
          <cell r="D56" t="str">
            <v>خدیجه اصغرنیا</v>
          </cell>
        </row>
        <row r="57">
          <cell r="A57" t="str">
            <v>C051</v>
          </cell>
          <cell r="B57" t="str">
            <v>فروشنده</v>
          </cell>
          <cell r="D57" t="str">
            <v>اصغر عزیزی</v>
          </cell>
        </row>
        <row r="58">
          <cell r="A58" t="str">
            <v>C052</v>
          </cell>
          <cell r="B58" t="str">
            <v>فروشنده</v>
          </cell>
          <cell r="D58" t="str">
            <v>غلامی</v>
          </cell>
        </row>
        <row r="59">
          <cell r="A59" t="str">
            <v>C053</v>
          </cell>
          <cell r="B59" t="str">
            <v>فروشنده</v>
          </cell>
          <cell r="D59" t="str">
            <v>علی عزیزنژاد</v>
          </cell>
        </row>
        <row r="60">
          <cell r="A60" t="str">
            <v>C054</v>
          </cell>
          <cell r="B60" t="str">
            <v>فروشنده</v>
          </cell>
          <cell r="D60" t="str">
            <v>حسن عیسی پور</v>
          </cell>
        </row>
        <row r="61">
          <cell r="A61" t="str">
            <v>C055</v>
          </cell>
          <cell r="B61" t="str">
            <v>فروشنده</v>
          </cell>
          <cell r="D61" t="str">
            <v>عسگری محمودی</v>
          </cell>
        </row>
        <row r="62">
          <cell r="A62" t="str">
            <v>C056</v>
          </cell>
          <cell r="B62" t="str">
            <v>فروشنده</v>
          </cell>
          <cell r="D62" t="str">
            <v>اسماعیل حیدری</v>
          </cell>
        </row>
        <row r="63">
          <cell r="A63" t="str">
            <v>C057</v>
          </cell>
          <cell r="B63" t="str">
            <v>فروشنده</v>
          </cell>
          <cell r="D63" t="str">
            <v>کبری اصغرنیا</v>
          </cell>
        </row>
        <row r="64">
          <cell r="A64" t="str">
            <v>C058</v>
          </cell>
          <cell r="B64" t="str">
            <v>فروشنده</v>
          </cell>
          <cell r="D64" t="str">
            <v>حسین زاده(کیاکلا)</v>
          </cell>
        </row>
        <row r="65">
          <cell r="A65" t="str">
            <v>C059</v>
          </cell>
          <cell r="B65" t="str">
            <v>فروشنده</v>
          </cell>
          <cell r="D65" t="str">
            <v>مجتبی اتش پیکر</v>
          </cell>
        </row>
        <row r="66">
          <cell r="A66" t="str">
            <v>C060</v>
          </cell>
          <cell r="B66" t="str">
            <v>فروشنده</v>
          </cell>
          <cell r="D66" t="str">
            <v>سید جلیل میرحسینی</v>
          </cell>
        </row>
        <row r="67">
          <cell r="A67" t="str">
            <v>C061</v>
          </cell>
          <cell r="B67" t="str">
            <v>فروشنده</v>
          </cell>
          <cell r="D67" t="str">
            <v>عبدالله  مهدی پور روشن</v>
          </cell>
        </row>
        <row r="68">
          <cell r="A68" t="str">
            <v>C062</v>
          </cell>
          <cell r="B68" t="str">
            <v>فروشنده</v>
          </cell>
        </row>
        <row r="69">
          <cell r="A69" t="str">
            <v>C063</v>
          </cell>
          <cell r="B69" t="str">
            <v>فروشنده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  <row r="207">
          <cell r="A207" t="str">
            <v>SL001</v>
          </cell>
          <cell r="B207" t="str">
            <v>فروشنده</v>
          </cell>
          <cell r="D207" t="str">
            <v>قم-سید حسین حسینی</v>
          </cell>
        </row>
        <row r="208">
          <cell r="A208" t="str">
            <v>SL002</v>
          </cell>
          <cell r="B208" t="str">
            <v>فروشنده</v>
          </cell>
          <cell r="D208" t="str">
            <v>مشهد-محمد توکلی</v>
          </cell>
        </row>
        <row r="209">
          <cell r="A209" t="str">
            <v>SL003</v>
          </cell>
          <cell r="B209" t="str">
            <v>فروشنده</v>
          </cell>
          <cell r="D209" t="str">
            <v>اراک-پوریا خوشنمکیان</v>
          </cell>
        </row>
        <row r="210">
          <cell r="A210" t="str">
            <v>SL004</v>
          </cell>
          <cell r="B210" t="str">
            <v>فروشنده</v>
          </cell>
          <cell r="D210" t="str">
            <v>نورزاده-تبریز</v>
          </cell>
        </row>
        <row r="211">
          <cell r="A211" t="str">
            <v>SL005</v>
          </cell>
          <cell r="B211" t="str">
            <v>فروشنده</v>
          </cell>
          <cell r="D211" t="str">
            <v>زنجان-خانی</v>
          </cell>
        </row>
        <row r="212">
          <cell r="A212" t="str">
            <v>SL006</v>
          </cell>
          <cell r="B212" t="str">
            <v>فروشنده</v>
          </cell>
          <cell r="D212" t="str">
            <v>بوکان</v>
          </cell>
        </row>
        <row r="213">
          <cell r="A213" t="str">
            <v>SL007</v>
          </cell>
        </row>
        <row r="214">
          <cell r="A214" t="str">
            <v>SL008</v>
          </cell>
        </row>
        <row r="215">
          <cell r="A215" t="str">
            <v>SL009</v>
          </cell>
        </row>
        <row r="216">
          <cell r="A216" t="str">
            <v>SL010</v>
          </cell>
        </row>
        <row r="217">
          <cell r="A217" t="str">
            <v>SL011</v>
          </cell>
        </row>
        <row r="218">
          <cell r="A218" t="str">
            <v>SL012</v>
          </cell>
        </row>
        <row r="219">
          <cell r="A219" t="str">
            <v>SL013</v>
          </cell>
        </row>
        <row r="220">
          <cell r="A220" t="str">
            <v>SL014</v>
          </cell>
        </row>
        <row r="221">
          <cell r="A221" t="str">
            <v>SL015</v>
          </cell>
        </row>
        <row r="222">
          <cell r="A222" t="str">
            <v>SL016</v>
          </cell>
        </row>
        <row r="223">
          <cell r="A223" t="str">
            <v>SL017</v>
          </cell>
        </row>
        <row r="224">
          <cell r="A224" t="str">
            <v>SL018</v>
          </cell>
        </row>
        <row r="225">
          <cell r="A225" t="str">
            <v>SL019</v>
          </cell>
        </row>
        <row r="226">
          <cell r="A226" t="str">
            <v>SL020</v>
          </cell>
        </row>
        <row r="227">
          <cell r="A227" t="str">
            <v>SL021</v>
          </cell>
        </row>
        <row r="228">
          <cell r="A228" t="str">
            <v>SL022</v>
          </cell>
        </row>
        <row r="229">
          <cell r="A229" t="str">
            <v>SL023</v>
          </cell>
        </row>
        <row r="230">
          <cell r="A230" t="str">
            <v>SL024</v>
          </cell>
        </row>
        <row r="231">
          <cell r="A231" t="str">
            <v>SL025</v>
          </cell>
        </row>
        <row r="232">
          <cell r="A232" t="str">
            <v>SL026</v>
          </cell>
        </row>
        <row r="233">
          <cell r="A233" t="str">
            <v>SL027</v>
          </cell>
        </row>
        <row r="234">
          <cell r="A234" t="str">
            <v>SL028</v>
          </cell>
        </row>
        <row r="235">
          <cell r="A235" t="str">
            <v>SL029</v>
          </cell>
        </row>
        <row r="236">
          <cell r="A236" t="str">
            <v>SL030</v>
          </cell>
        </row>
        <row r="237">
          <cell r="A237" t="str">
            <v>SL031</v>
          </cell>
        </row>
        <row r="238">
          <cell r="A238" t="str">
            <v>SL032</v>
          </cell>
        </row>
        <row r="239">
          <cell r="A239" t="str">
            <v>SL033</v>
          </cell>
        </row>
        <row r="240">
          <cell r="A240" t="str">
            <v>SL034</v>
          </cell>
        </row>
        <row r="241">
          <cell r="A241" t="str">
            <v>SL035</v>
          </cell>
        </row>
        <row r="242">
          <cell r="A242" t="str">
            <v>SL036</v>
          </cell>
        </row>
        <row r="243">
          <cell r="A243" t="str">
            <v>SL037</v>
          </cell>
        </row>
        <row r="244">
          <cell r="A244" t="str">
            <v>SL038</v>
          </cell>
        </row>
        <row r="245">
          <cell r="A245" t="str">
            <v>SL039</v>
          </cell>
        </row>
        <row r="246">
          <cell r="A246" t="str">
            <v>SL040</v>
          </cell>
        </row>
        <row r="247">
          <cell r="A247" t="str">
            <v>SL041</v>
          </cell>
        </row>
        <row r="248">
          <cell r="A248" t="str">
            <v>SL042</v>
          </cell>
        </row>
        <row r="249">
          <cell r="A249" t="str">
            <v>SL043</v>
          </cell>
        </row>
        <row r="250">
          <cell r="A250" t="str">
            <v>SL044</v>
          </cell>
        </row>
        <row r="251">
          <cell r="A251" t="str">
            <v>SL045</v>
          </cell>
        </row>
        <row r="252">
          <cell r="A252" t="str">
            <v>SL046</v>
          </cell>
        </row>
        <row r="253">
          <cell r="A253" t="str">
            <v>SL047</v>
          </cell>
        </row>
        <row r="254">
          <cell r="A254" t="str">
            <v>SL048</v>
          </cell>
        </row>
        <row r="255">
          <cell r="A255" t="str">
            <v>SL049</v>
          </cell>
        </row>
        <row r="256">
          <cell r="A256" t="str">
            <v>SL050</v>
          </cell>
        </row>
        <row r="257">
          <cell r="A257" t="str">
            <v>SL051</v>
          </cell>
        </row>
        <row r="258">
          <cell r="A258" t="str">
            <v>SL052</v>
          </cell>
        </row>
        <row r="259">
          <cell r="A259" t="str">
            <v>SL053</v>
          </cell>
        </row>
        <row r="260">
          <cell r="A260" t="str">
            <v>SL054</v>
          </cell>
        </row>
        <row r="261">
          <cell r="A261" t="str">
            <v>SL055</v>
          </cell>
        </row>
        <row r="262">
          <cell r="A262" t="str">
            <v>SL056</v>
          </cell>
        </row>
        <row r="263">
          <cell r="A263" t="str">
            <v>SL057</v>
          </cell>
        </row>
        <row r="264">
          <cell r="A264" t="str">
            <v>SL058</v>
          </cell>
        </row>
        <row r="265">
          <cell r="A265" t="str">
            <v>SL059</v>
          </cell>
        </row>
        <row r="266">
          <cell r="A266" t="str">
            <v>SL060</v>
          </cell>
        </row>
        <row r="267">
          <cell r="A267" t="str">
            <v>SL061</v>
          </cell>
        </row>
        <row r="268">
          <cell r="A268" t="str">
            <v>SL062</v>
          </cell>
        </row>
        <row r="269">
          <cell r="A269" t="str">
            <v>SL063</v>
          </cell>
        </row>
        <row r="270">
          <cell r="A270" t="str">
            <v>SL064</v>
          </cell>
        </row>
        <row r="271">
          <cell r="A271" t="str">
            <v>SL065</v>
          </cell>
        </row>
        <row r="272">
          <cell r="A272" t="str">
            <v>SL066</v>
          </cell>
        </row>
        <row r="273">
          <cell r="A273" t="str">
            <v>SL067</v>
          </cell>
        </row>
        <row r="274">
          <cell r="A274" t="str">
            <v>SL068</v>
          </cell>
        </row>
        <row r="275">
          <cell r="A275" t="str">
            <v>SL069</v>
          </cell>
        </row>
        <row r="276">
          <cell r="A276" t="str">
            <v>SL070</v>
          </cell>
        </row>
        <row r="277">
          <cell r="A277" t="str">
            <v>SL071</v>
          </cell>
        </row>
        <row r="278">
          <cell r="A278" t="str">
            <v>SL072</v>
          </cell>
        </row>
        <row r="279">
          <cell r="A279" t="str">
            <v>SL073</v>
          </cell>
        </row>
        <row r="280">
          <cell r="A280" t="str">
            <v>SL074</v>
          </cell>
        </row>
        <row r="281">
          <cell r="A281" t="str">
            <v>SL075</v>
          </cell>
        </row>
        <row r="282">
          <cell r="A282" t="str">
            <v>SL076</v>
          </cell>
        </row>
        <row r="283">
          <cell r="A283" t="str">
            <v>SL077</v>
          </cell>
        </row>
        <row r="284">
          <cell r="A284" t="str">
            <v>SL078</v>
          </cell>
        </row>
        <row r="285">
          <cell r="A285" t="str">
            <v>SL079</v>
          </cell>
        </row>
        <row r="286">
          <cell r="A286" t="str">
            <v>SL080</v>
          </cell>
        </row>
        <row r="287">
          <cell r="A287" t="str">
            <v>SL081</v>
          </cell>
        </row>
        <row r="288">
          <cell r="A288" t="str">
            <v>SL082</v>
          </cell>
        </row>
        <row r="289">
          <cell r="A289" t="str">
            <v>SL083</v>
          </cell>
        </row>
        <row r="290">
          <cell r="A290" t="str">
            <v>SL084</v>
          </cell>
        </row>
        <row r="291">
          <cell r="A291" t="str">
            <v>SL085</v>
          </cell>
        </row>
        <row r="292">
          <cell r="A292" t="str">
            <v>SL086</v>
          </cell>
        </row>
        <row r="293">
          <cell r="A293" t="str">
            <v>SL087</v>
          </cell>
        </row>
        <row r="294">
          <cell r="A294" t="str">
            <v>SL088</v>
          </cell>
        </row>
        <row r="295">
          <cell r="A295" t="str">
            <v>SL089</v>
          </cell>
        </row>
        <row r="296">
          <cell r="A296" t="str">
            <v>SL090</v>
          </cell>
        </row>
        <row r="297">
          <cell r="A297" t="str">
            <v>SL091</v>
          </cell>
        </row>
        <row r="298">
          <cell r="A298" t="str">
            <v>SL092</v>
          </cell>
        </row>
        <row r="299">
          <cell r="A299" t="str">
            <v>SL093</v>
          </cell>
        </row>
        <row r="300">
          <cell r="A300" t="str">
            <v>SL094</v>
          </cell>
        </row>
        <row r="301">
          <cell r="A301" t="str">
            <v>SL095</v>
          </cell>
        </row>
        <row r="302">
          <cell r="A302" t="str">
            <v>SL096</v>
          </cell>
        </row>
        <row r="303">
          <cell r="A303" t="str">
            <v>SL097</v>
          </cell>
        </row>
        <row r="304">
          <cell r="A304" t="str">
            <v>SL098</v>
          </cell>
        </row>
        <row r="305">
          <cell r="A305" t="str">
            <v>SL099</v>
          </cell>
        </row>
        <row r="306">
          <cell r="A306" t="str">
            <v>SL100</v>
          </cell>
        </row>
        <row r="307">
          <cell r="A307" t="str">
            <v>S001</v>
          </cell>
          <cell r="B307" t="str">
            <v>تأمین‌کننده</v>
          </cell>
          <cell r="C307" t="str">
            <v>فروشنده سبد</v>
          </cell>
          <cell r="D307" t="str">
            <v>حسن کوچکزاده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فروشنده سبد</v>
          </cell>
          <cell r="D308" t="str">
            <v>سید محمد موسویان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فروشنده سبد</v>
          </cell>
          <cell r="D309" t="str">
            <v>سید ربیع موسویان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</row>
        <row r="311">
          <cell r="A311" t="str">
            <v>S005</v>
          </cell>
        </row>
        <row r="312">
          <cell r="A312" t="str">
            <v>S006</v>
          </cell>
        </row>
        <row r="313">
          <cell r="A313" t="str">
            <v>S007</v>
          </cell>
        </row>
        <row r="314">
          <cell r="A314" t="str">
            <v>S008</v>
          </cell>
        </row>
        <row r="315">
          <cell r="A315" t="str">
            <v>S009</v>
          </cell>
        </row>
        <row r="316">
          <cell r="A316" t="str">
            <v>S010</v>
          </cell>
        </row>
        <row r="317">
          <cell r="A317" t="str">
            <v>S011</v>
          </cell>
        </row>
        <row r="318">
          <cell r="A318" t="str">
            <v>S012</v>
          </cell>
        </row>
        <row r="319">
          <cell r="A319" t="str">
            <v>S013</v>
          </cell>
        </row>
        <row r="320">
          <cell r="A320" t="str">
            <v>S014</v>
          </cell>
        </row>
        <row r="321">
          <cell r="A321" t="str">
            <v>S015</v>
          </cell>
        </row>
        <row r="322">
          <cell r="A322" t="str">
            <v>S016</v>
          </cell>
        </row>
        <row r="323">
          <cell r="A323" t="str">
            <v>S017</v>
          </cell>
        </row>
        <row r="324">
          <cell r="A324" t="str">
            <v>S018</v>
          </cell>
        </row>
        <row r="325">
          <cell r="A325" t="str">
            <v>S019</v>
          </cell>
        </row>
        <row r="326">
          <cell r="A326" t="str">
            <v>S020</v>
          </cell>
        </row>
        <row r="327">
          <cell r="A327" t="str">
            <v>S021</v>
          </cell>
        </row>
        <row r="328">
          <cell r="A328" t="str">
            <v>S022</v>
          </cell>
        </row>
        <row r="329">
          <cell r="A329" t="str">
            <v>S023</v>
          </cell>
        </row>
        <row r="330">
          <cell r="A330" t="str">
            <v>S024</v>
          </cell>
        </row>
        <row r="331">
          <cell r="A331" t="str">
            <v>S025</v>
          </cell>
        </row>
        <row r="332">
          <cell r="A332" t="str">
            <v>S026</v>
          </cell>
        </row>
        <row r="333">
          <cell r="A333" t="str">
            <v>S027</v>
          </cell>
        </row>
        <row r="334">
          <cell r="A334" t="str">
            <v>S028</v>
          </cell>
        </row>
        <row r="335">
          <cell r="A335" t="str">
            <v>S029</v>
          </cell>
        </row>
        <row r="336">
          <cell r="A336" t="str">
            <v>S030</v>
          </cell>
        </row>
        <row r="337">
          <cell r="A337" t="str">
            <v>S031</v>
          </cell>
        </row>
        <row r="338">
          <cell r="A338" t="str">
            <v>S032</v>
          </cell>
        </row>
        <row r="339">
          <cell r="A339" t="str">
            <v>S033</v>
          </cell>
        </row>
        <row r="340">
          <cell r="A340" t="str">
            <v>S034</v>
          </cell>
        </row>
        <row r="341">
          <cell r="A341" t="str">
            <v>S035</v>
          </cell>
        </row>
        <row r="342">
          <cell r="A342" t="str">
            <v>S036</v>
          </cell>
        </row>
        <row r="343">
          <cell r="A343" t="str">
            <v>S037</v>
          </cell>
        </row>
        <row r="344">
          <cell r="A344" t="str">
            <v>S038</v>
          </cell>
        </row>
        <row r="345">
          <cell r="A345" t="str">
            <v>S039</v>
          </cell>
        </row>
        <row r="346">
          <cell r="A346" t="str">
            <v>S040</v>
          </cell>
        </row>
        <row r="347">
          <cell r="A347" t="str">
            <v>S041</v>
          </cell>
        </row>
        <row r="348">
          <cell r="A348" t="str">
            <v>S042</v>
          </cell>
        </row>
        <row r="349">
          <cell r="A349" t="str">
            <v>S043</v>
          </cell>
        </row>
        <row r="350">
          <cell r="A350" t="str">
            <v>S044</v>
          </cell>
        </row>
        <row r="351">
          <cell r="A351" t="str">
            <v>S045</v>
          </cell>
        </row>
        <row r="352">
          <cell r="A352" t="str">
            <v>S046</v>
          </cell>
        </row>
        <row r="353">
          <cell r="A353" t="str">
            <v>S047</v>
          </cell>
        </row>
        <row r="354">
          <cell r="A354" t="str">
            <v>S048</v>
          </cell>
        </row>
        <row r="355">
          <cell r="A355" t="str">
            <v>S049</v>
          </cell>
        </row>
        <row r="356">
          <cell r="A356" t="str">
            <v>S050</v>
          </cell>
        </row>
        <row r="357">
          <cell r="A357" t="str">
            <v>S051</v>
          </cell>
        </row>
        <row r="358">
          <cell r="A358" t="str">
            <v>S052</v>
          </cell>
        </row>
        <row r="359">
          <cell r="A359" t="str">
            <v>S053</v>
          </cell>
        </row>
        <row r="360">
          <cell r="A360" t="str">
            <v>S054</v>
          </cell>
        </row>
        <row r="361">
          <cell r="A361" t="str">
            <v>S055</v>
          </cell>
        </row>
        <row r="362">
          <cell r="A362" t="str">
            <v>S056</v>
          </cell>
        </row>
        <row r="363">
          <cell r="A363" t="str">
            <v>S057</v>
          </cell>
        </row>
        <row r="364">
          <cell r="A364" t="str">
            <v>S058</v>
          </cell>
        </row>
        <row r="365">
          <cell r="A365" t="str">
            <v>S059</v>
          </cell>
        </row>
        <row r="366">
          <cell r="A366" t="str">
            <v>S060</v>
          </cell>
        </row>
        <row r="367">
          <cell r="A367" t="str">
            <v>S061</v>
          </cell>
        </row>
        <row r="368">
          <cell r="A368" t="str">
            <v>S062</v>
          </cell>
        </row>
        <row r="369">
          <cell r="A369" t="str">
            <v>S063</v>
          </cell>
        </row>
        <row r="370">
          <cell r="A370" t="str">
            <v>S064</v>
          </cell>
        </row>
        <row r="371">
          <cell r="A371" t="str">
            <v>S065</v>
          </cell>
        </row>
        <row r="372">
          <cell r="A372" t="str">
            <v>S066</v>
          </cell>
        </row>
        <row r="373">
          <cell r="A373" t="str">
            <v>S067</v>
          </cell>
        </row>
        <row r="374">
          <cell r="A374" t="str">
            <v>S068</v>
          </cell>
        </row>
        <row r="375">
          <cell r="A375" t="str">
            <v>S069</v>
          </cell>
        </row>
        <row r="376">
          <cell r="A376" t="str">
            <v>S070</v>
          </cell>
        </row>
        <row r="377">
          <cell r="A377" t="str">
            <v>S071</v>
          </cell>
        </row>
        <row r="378">
          <cell r="A378" t="str">
            <v>S072</v>
          </cell>
        </row>
        <row r="379">
          <cell r="A379" t="str">
            <v>S073</v>
          </cell>
        </row>
        <row r="380">
          <cell r="A380" t="str">
            <v>S074</v>
          </cell>
        </row>
        <row r="381">
          <cell r="A381" t="str">
            <v>S075</v>
          </cell>
        </row>
        <row r="382">
          <cell r="A382" t="str">
            <v>S076</v>
          </cell>
        </row>
        <row r="383">
          <cell r="A383" t="str">
            <v>S077</v>
          </cell>
        </row>
        <row r="384">
          <cell r="A384" t="str">
            <v>S078</v>
          </cell>
        </row>
        <row r="385">
          <cell r="A385" t="str">
            <v>S079</v>
          </cell>
        </row>
        <row r="386">
          <cell r="A386" t="str">
            <v>S080</v>
          </cell>
        </row>
        <row r="387">
          <cell r="A387" t="str">
            <v>S081</v>
          </cell>
        </row>
        <row r="388">
          <cell r="A388" t="str">
            <v>S082</v>
          </cell>
        </row>
        <row r="389">
          <cell r="A389" t="str">
            <v>S083</v>
          </cell>
        </row>
        <row r="390">
          <cell r="A390" t="str">
            <v>S084</v>
          </cell>
        </row>
        <row r="391">
          <cell r="A391" t="str">
            <v>S085</v>
          </cell>
        </row>
        <row r="392">
          <cell r="A392" t="str">
            <v>S086</v>
          </cell>
        </row>
        <row r="393">
          <cell r="A393" t="str">
            <v>S087</v>
          </cell>
        </row>
        <row r="394">
          <cell r="A394" t="str">
            <v>S088</v>
          </cell>
        </row>
        <row r="395">
          <cell r="A395" t="str">
            <v>S089</v>
          </cell>
        </row>
        <row r="396">
          <cell r="A396" t="str">
            <v>S090</v>
          </cell>
        </row>
        <row r="397">
          <cell r="A397" t="str">
            <v>S091</v>
          </cell>
        </row>
        <row r="398">
          <cell r="A398" t="str">
            <v>S092</v>
          </cell>
        </row>
        <row r="399">
          <cell r="A399" t="str">
            <v>S093</v>
          </cell>
        </row>
        <row r="400">
          <cell r="A400" t="str">
            <v>S094</v>
          </cell>
        </row>
        <row r="401">
          <cell r="A401" t="str">
            <v>S095</v>
          </cell>
        </row>
        <row r="402">
          <cell r="A402" t="str">
            <v>S096</v>
          </cell>
        </row>
        <row r="403">
          <cell r="A403" t="str">
            <v>S097</v>
          </cell>
        </row>
        <row r="404">
          <cell r="A404" t="str">
            <v>S098</v>
          </cell>
        </row>
        <row r="405">
          <cell r="A405" t="str">
            <v>S099</v>
          </cell>
        </row>
        <row r="406">
          <cell r="A406" t="str">
            <v>S100</v>
          </cell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</row>
        <row r="413">
          <cell r="A413" t="str">
            <v>E007</v>
          </cell>
        </row>
        <row r="414">
          <cell r="A414" t="str">
            <v>E008</v>
          </cell>
        </row>
        <row r="415">
          <cell r="A415" t="str">
            <v>E009</v>
          </cell>
        </row>
        <row r="416">
          <cell r="A416" t="str">
            <v>E010</v>
          </cell>
        </row>
        <row r="417">
          <cell r="A417" t="str">
            <v>E011</v>
          </cell>
        </row>
        <row r="418">
          <cell r="A418" t="str">
            <v>E012</v>
          </cell>
        </row>
        <row r="419">
          <cell r="A419" t="str">
            <v>E013</v>
          </cell>
        </row>
        <row r="420">
          <cell r="A420" t="str">
            <v>E014</v>
          </cell>
        </row>
        <row r="421">
          <cell r="A421" t="str">
            <v>E015</v>
          </cell>
        </row>
        <row r="422">
          <cell r="A422" t="str">
            <v>E016</v>
          </cell>
        </row>
        <row r="423">
          <cell r="A423" t="str">
            <v>E017</v>
          </cell>
        </row>
        <row r="424">
          <cell r="A424" t="str">
            <v>E018</v>
          </cell>
        </row>
        <row r="425">
          <cell r="A425" t="str">
            <v>E019</v>
          </cell>
        </row>
        <row r="426">
          <cell r="A426" t="str">
            <v>E020</v>
          </cell>
        </row>
        <row r="427">
          <cell r="A427" t="str">
            <v>E021</v>
          </cell>
        </row>
        <row r="428">
          <cell r="A428" t="str">
            <v>E022</v>
          </cell>
        </row>
        <row r="429">
          <cell r="A429" t="str">
            <v>E023</v>
          </cell>
        </row>
        <row r="430">
          <cell r="A430" t="str">
            <v>E024</v>
          </cell>
        </row>
        <row r="431">
          <cell r="A431" t="str">
            <v>E025</v>
          </cell>
        </row>
        <row r="432">
          <cell r="A432" t="str">
            <v>E026</v>
          </cell>
        </row>
        <row r="433">
          <cell r="A433" t="str">
            <v>E027</v>
          </cell>
        </row>
        <row r="434">
          <cell r="A434" t="str">
            <v>E028</v>
          </cell>
        </row>
        <row r="435">
          <cell r="A435" t="str">
            <v>E029</v>
          </cell>
        </row>
        <row r="436">
          <cell r="A436" t="str">
            <v>E030</v>
          </cell>
        </row>
        <row r="437">
          <cell r="A437" t="str">
            <v>E031</v>
          </cell>
        </row>
        <row r="438">
          <cell r="A438" t="str">
            <v>E032</v>
          </cell>
        </row>
        <row r="439">
          <cell r="A439" t="str">
            <v>E033</v>
          </cell>
        </row>
        <row r="440">
          <cell r="A440" t="str">
            <v>E034</v>
          </cell>
        </row>
        <row r="441">
          <cell r="A441" t="str">
            <v>E035</v>
          </cell>
        </row>
        <row r="442">
          <cell r="A442" t="str">
            <v>E036</v>
          </cell>
        </row>
        <row r="443">
          <cell r="A443" t="str">
            <v>E037</v>
          </cell>
        </row>
        <row r="444">
          <cell r="A444" t="str">
            <v>E038</v>
          </cell>
        </row>
        <row r="445">
          <cell r="A445" t="str">
            <v>E039</v>
          </cell>
        </row>
        <row r="446">
          <cell r="A446" t="str">
            <v>E040</v>
          </cell>
        </row>
        <row r="447">
          <cell r="A447" t="str">
            <v>E041</v>
          </cell>
        </row>
        <row r="448">
          <cell r="A448" t="str">
            <v>E042</v>
          </cell>
        </row>
        <row r="449">
          <cell r="A449" t="str">
            <v>E043</v>
          </cell>
        </row>
        <row r="450">
          <cell r="A450" t="str">
            <v>E044</v>
          </cell>
        </row>
        <row r="451">
          <cell r="A451" t="str">
            <v>E045</v>
          </cell>
        </row>
        <row r="452">
          <cell r="A452" t="str">
            <v>E046</v>
          </cell>
        </row>
        <row r="453">
          <cell r="A453" t="str">
            <v>E047</v>
          </cell>
        </row>
        <row r="454">
          <cell r="A454" t="str">
            <v>E048</v>
          </cell>
        </row>
        <row r="455">
          <cell r="A455" t="str">
            <v>E049</v>
          </cell>
        </row>
        <row r="456">
          <cell r="A456" t="str">
            <v>E050</v>
          </cell>
        </row>
        <row r="457">
          <cell r="A457" t="str">
            <v>X001</v>
          </cell>
          <cell r="D457" t="str">
            <v>انعام مصطفی</v>
          </cell>
        </row>
        <row r="458">
          <cell r="A458" t="str">
            <v>X002</v>
          </cell>
          <cell r="D458" t="str">
            <v>درامد باسکول(احمد زاهدی)</v>
          </cell>
        </row>
        <row r="459">
          <cell r="A459" t="str">
            <v>X003</v>
          </cell>
        </row>
        <row r="460">
          <cell r="A460" t="str">
            <v>X004</v>
          </cell>
        </row>
        <row r="461">
          <cell r="A461" t="str">
            <v>X005</v>
          </cell>
        </row>
        <row r="462">
          <cell r="A462" t="str">
            <v>X006</v>
          </cell>
        </row>
        <row r="463">
          <cell r="A463" t="str">
            <v>X007</v>
          </cell>
        </row>
        <row r="464">
          <cell r="A464" t="str">
            <v>X008</v>
          </cell>
        </row>
        <row r="465">
          <cell r="A465" t="str">
            <v>X009</v>
          </cell>
        </row>
        <row r="466">
          <cell r="A466" t="str">
            <v>X010</v>
          </cell>
        </row>
        <row r="467">
          <cell r="A467" t="str">
            <v>X011</v>
          </cell>
        </row>
        <row r="468">
          <cell r="A468" t="str">
            <v>X012</v>
          </cell>
        </row>
        <row r="469">
          <cell r="A469" t="str">
            <v>X013</v>
          </cell>
        </row>
        <row r="470">
          <cell r="A470" t="str">
            <v>X014</v>
          </cell>
        </row>
        <row r="471">
          <cell r="A471" t="str">
            <v>X015</v>
          </cell>
        </row>
        <row r="472">
          <cell r="A472" t="str">
            <v>X016</v>
          </cell>
        </row>
        <row r="473">
          <cell r="A473" t="str">
            <v>X017</v>
          </cell>
        </row>
        <row r="474">
          <cell r="A474" t="str">
            <v>X018</v>
          </cell>
        </row>
        <row r="475">
          <cell r="A475" t="str">
            <v>X019</v>
          </cell>
        </row>
        <row r="476">
          <cell r="A476" t="str">
            <v>X020</v>
          </cell>
        </row>
        <row r="477">
          <cell r="A477" t="str">
            <v>X021</v>
          </cell>
        </row>
        <row r="478">
          <cell r="A478" t="str">
            <v>X022</v>
          </cell>
        </row>
        <row r="479">
          <cell r="A479" t="str">
            <v>X023</v>
          </cell>
        </row>
        <row r="480">
          <cell r="A480" t="str">
            <v>X024</v>
          </cell>
        </row>
        <row r="481">
          <cell r="A481" t="str">
            <v>X025</v>
          </cell>
        </row>
        <row r="482">
          <cell r="A482" t="str">
            <v>X026</v>
          </cell>
        </row>
        <row r="483">
          <cell r="A483" t="str">
            <v>X027</v>
          </cell>
        </row>
        <row r="484">
          <cell r="A484" t="str">
            <v>X028</v>
          </cell>
        </row>
        <row r="485">
          <cell r="A485" t="str">
            <v>X029</v>
          </cell>
        </row>
        <row r="486">
          <cell r="A486" t="str">
            <v>X030</v>
          </cell>
        </row>
        <row r="487">
          <cell r="A487" t="str">
            <v>X031</v>
          </cell>
        </row>
        <row r="488">
          <cell r="A488" t="str">
            <v>X032</v>
          </cell>
        </row>
        <row r="489">
          <cell r="A489" t="str">
            <v>X033</v>
          </cell>
        </row>
        <row r="490">
          <cell r="A490" t="str">
            <v>X034</v>
          </cell>
        </row>
        <row r="491">
          <cell r="A491" t="str">
            <v>X035</v>
          </cell>
        </row>
        <row r="492">
          <cell r="A492" t="str">
            <v>X036</v>
          </cell>
        </row>
        <row r="493">
          <cell r="A493" t="str">
            <v>X037</v>
          </cell>
        </row>
        <row r="494">
          <cell r="A494" t="str">
            <v>X038</v>
          </cell>
        </row>
        <row r="495">
          <cell r="A495" t="str">
            <v>X039</v>
          </cell>
        </row>
        <row r="496">
          <cell r="A496" t="str">
            <v>X040</v>
          </cell>
        </row>
        <row r="497">
          <cell r="A497" t="str">
            <v>X041</v>
          </cell>
        </row>
        <row r="498">
          <cell r="A498" t="str">
            <v>X042</v>
          </cell>
        </row>
        <row r="499">
          <cell r="A499" t="str">
            <v>X043</v>
          </cell>
        </row>
        <row r="500">
          <cell r="A500" t="str">
            <v>X044</v>
          </cell>
        </row>
        <row r="501">
          <cell r="A501" t="str">
            <v>X045</v>
          </cell>
        </row>
        <row r="502">
          <cell r="A502" t="str">
            <v>X046</v>
          </cell>
        </row>
        <row r="503">
          <cell r="A503" t="str">
            <v>X047</v>
          </cell>
        </row>
        <row r="504">
          <cell r="A504" t="str">
            <v>X048</v>
          </cell>
        </row>
        <row r="505">
          <cell r="A505" t="str">
            <v>X049</v>
          </cell>
        </row>
        <row r="506">
          <cell r="A506" t="str">
            <v>X050</v>
          </cell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</row>
        <row r="510">
          <cell r="A510" t="str">
            <v>F004</v>
          </cell>
        </row>
        <row r="511">
          <cell r="A511" t="str">
            <v>F005</v>
          </cell>
        </row>
        <row r="512">
          <cell r="A512" t="str">
            <v>F006</v>
          </cell>
        </row>
        <row r="513">
          <cell r="A513" t="str">
            <v>F007</v>
          </cell>
        </row>
        <row r="514">
          <cell r="A514" t="str">
            <v>F008</v>
          </cell>
        </row>
        <row r="515">
          <cell r="A515" t="str">
            <v>F009</v>
          </cell>
        </row>
        <row r="516">
          <cell r="A516" t="str">
            <v>F010</v>
          </cell>
        </row>
        <row r="517">
          <cell r="A517" t="str">
            <v>F011</v>
          </cell>
        </row>
        <row r="518">
          <cell r="A518" t="str">
            <v>F012</v>
          </cell>
        </row>
        <row r="519">
          <cell r="A519" t="str">
            <v>F013</v>
          </cell>
        </row>
        <row r="520">
          <cell r="A520" t="str">
            <v>F014</v>
          </cell>
        </row>
        <row r="521">
          <cell r="A521" t="str">
            <v>F015</v>
          </cell>
        </row>
        <row r="522">
          <cell r="A522" t="str">
            <v>F016</v>
          </cell>
        </row>
        <row r="523">
          <cell r="A523" t="str">
            <v>F017</v>
          </cell>
        </row>
        <row r="524">
          <cell r="A524" t="str">
            <v>F018</v>
          </cell>
        </row>
        <row r="525">
          <cell r="A525" t="str">
            <v>F019</v>
          </cell>
        </row>
        <row r="526">
          <cell r="A526" t="str">
            <v>F020</v>
          </cell>
        </row>
        <row r="527">
          <cell r="A527" t="str">
            <v>F021</v>
          </cell>
        </row>
        <row r="528">
          <cell r="A528" t="str">
            <v>F022</v>
          </cell>
        </row>
        <row r="529">
          <cell r="A529" t="str">
            <v>F023</v>
          </cell>
        </row>
        <row r="530">
          <cell r="A530" t="str">
            <v>F024</v>
          </cell>
        </row>
        <row r="531">
          <cell r="A531" t="str">
            <v>F025</v>
          </cell>
        </row>
        <row r="532">
          <cell r="A532" t="str">
            <v>F026</v>
          </cell>
        </row>
        <row r="533">
          <cell r="A533" t="str">
            <v>F027</v>
          </cell>
        </row>
        <row r="534">
          <cell r="A534" t="str">
            <v>F028</v>
          </cell>
        </row>
        <row r="535">
          <cell r="A535" t="str">
            <v>F029</v>
          </cell>
        </row>
        <row r="536">
          <cell r="A536" t="str">
            <v>F030</v>
          </cell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</row>
        <row r="538">
          <cell r="A538" t="str">
            <v>L002</v>
          </cell>
        </row>
        <row r="539">
          <cell r="A539" t="str">
            <v>L003</v>
          </cell>
        </row>
        <row r="540">
          <cell r="A540" t="str">
            <v>L004</v>
          </cell>
        </row>
        <row r="541">
          <cell r="A541" t="str">
            <v>L005</v>
          </cell>
        </row>
        <row r="542">
          <cell r="A542" t="str">
            <v>L006</v>
          </cell>
        </row>
        <row r="543">
          <cell r="A543" t="str">
            <v>L007</v>
          </cell>
        </row>
        <row r="544">
          <cell r="A544" t="str">
            <v>L008</v>
          </cell>
        </row>
        <row r="545">
          <cell r="A545" t="str">
            <v>L009</v>
          </cell>
        </row>
        <row r="546">
          <cell r="A546" t="str">
            <v>L010</v>
          </cell>
        </row>
        <row r="547">
          <cell r="A547" t="str">
            <v>L011</v>
          </cell>
        </row>
        <row r="548">
          <cell r="A548" t="str">
            <v>L012</v>
          </cell>
        </row>
        <row r="549">
          <cell r="A549" t="str">
            <v>L013</v>
          </cell>
        </row>
        <row r="550">
          <cell r="A550" t="str">
            <v>L014</v>
          </cell>
        </row>
        <row r="551">
          <cell r="A551" t="str">
            <v>L015</v>
          </cell>
        </row>
        <row r="552">
          <cell r="A552" t="str">
            <v>L016</v>
          </cell>
        </row>
        <row r="553">
          <cell r="A553" t="str">
            <v>L017</v>
          </cell>
        </row>
        <row r="554">
          <cell r="A554" t="str">
            <v>L018</v>
          </cell>
        </row>
        <row r="555">
          <cell r="A555" t="str">
            <v>L019</v>
          </cell>
        </row>
        <row r="556">
          <cell r="A556" t="str">
            <v>L020</v>
          </cell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</row>
        <row r="558">
          <cell r="A558" t="str">
            <v>CAP002</v>
          </cell>
        </row>
        <row r="559">
          <cell r="A559" t="str">
            <v>CAP003</v>
          </cell>
        </row>
        <row r="560">
          <cell r="A560" t="str">
            <v>CAP004</v>
          </cell>
        </row>
        <row r="561">
          <cell r="A561" t="str">
            <v>CAP005</v>
          </cell>
        </row>
        <row r="562">
          <cell r="A562" t="str">
            <v>CAP006</v>
          </cell>
        </row>
        <row r="563">
          <cell r="A563" t="str">
            <v>CAP007</v>
          </cell>
        </row>
        <row r="564">
          <cell r="A564" t="str">
            <v>CAP008</v>
          </cell>
        </row>
        <row r="565">
          <cell r="A565" t="str">
            <v>CAP009</v>
          </cell>
        </row>
        <row r="566">
          <cell r="A566" t="str">
            <v>CAP010</v>
          </cell>
        </row>
      </sheetData>
      <sheetData sheetId="9"/>
      <sheetData sheetId="10"/>
      <sheetData sheetId="11"/>
      <sheetData sheetId="12">
        <row r="7">
          <cell r="A7" t="str">
            <v>OP01</v>
          </cell>
          <cell r="B7" t="str">
            <v>خرید مرکبات</v>
          </cell>
          <cell r="C7" t="str">
            <v>ورود</v>
          </cell>
          <cell r="D7" t="str">
            <v>خرید</v>
          </cell>
        </row>
        <row r="8">
          <cell r="A8" t="str">
            <v>OP02</v>
          </cell>
          <cell r="B8" t="str">
            <v>فروش</v>
          </cell>
          <cell r="C8" t="str">
            <v>خروج</v>
          </cell>
          <cell r="D8" t="str">
            <v>فروش</v>
          </cell>
        </row>
        <row r="9">
          <cell r="A9" t="str">
            <v>OP03</v>
          </cell>
          <cell r="B9" t="str">
            <v>مرجوعی خرید</v>
          </cell>
          <cell r="C9" t="str">
            <v>خروج</v>
          </cell>
          <cell r="D9" t="str">
            <v>خرید</v>
          </cell>
        </row>
        <row r="10">
          <cell r="A10" t="str">
            <v>OP04</v>
          </cell>
          <cell r="B10" t="str">
            <v>مرجوعی فروش</v>
          </cell>
          <cell r="C10" t="str">
            <v>ورود</v>
          </cell>
          <cell r="D10" t="str">
            <v>فروش</v>
          </cell>
        </row>
        <row r="11">
          <cell r="A11" t="str">
            <v>OP05</v>
          </cell>
          <cell r="B11" t="str">
            <v>انتقال به انبار دیگر</v>
          </cell>
          <cell r="C11" t="str">
            <v>خروج</v>
          </cell>
        </row>
        <row r="12">
          <cell r="A12" t="str">
            <v>OP06</v>
          </cell>
          <cell r="B12" t="str">
            <v>انتقال از انبار دیگر</v>
          </cell>
          <cell r="C12" t="str">
            <v>ورود</v>
          </cell>
        </row>
        <row r="13">
          <cell r="A13" t="str">
            <v>OP07</v>
          </cell>
          <cell r="B13" t="str">
            <v>سایر ورود</v>
          </cell>
          <cell r="C13" t="str">
            <v>ورود</v>
          </cell>
        </row>
        <row r="14">
          <cell r="A14" t="str">
            <v>OP08</v>
          </cell>
          <cell r="B14" t="str">
            <v>سایر خروج</v>
          </cell>
          <cell r="C14" t="str">
            <v>خروج</v>
          </cell>
        </row>
        <row r="15">
          <cell r="A15" t="str">
            <v>OP09</v>
          </cell>
        </row>
        <row r="16">
          <cell r="A16" t="str">
            <v>OP10</v>
          </cell>
        </row>
        <row r="17">
          <cell r="A17" t="str">
            <v>OP11</v>
          </cell>
        </row>
        <row r="18">
          <cell r="A18" t="str">
            <v>OP12</v>
          </cell>
        </row>
        <row r="19">
          <cell r="A19" t="str">
            <v>OP13</v>
          </cell>
        </row>
        <row r="20">
          <cell r="A20" t="str">
            <v>OP14</v>
          </cell>
        </row>
        <row r="21">
          <cell r="A21" t="str">
            <v>OP15</v>
          </cell>
        </row>
        <row r="22">
          <cell r="A22" t="str">
            <v>OP16</v>
          </cell>
        </row>
        <row r="23">
          <cell r="A23" t="str">
            <v>OP17</v>
          </cell>
        </row>
        <row r="24">
          <cell r="A24" t="str">
            <v>OP18</v>
          </cell>
        </row>
        <row r="25">
          <cell r="A25" t="str">
            <v>OP19</v>
          </cell>
        </row>
        <row r="26">
          <cell r="A26" t="str">
            <v>OP20</v>
          </cell>
        </row>
      </sheetData>
      <sheetData sheetId="13"/>
      <sheetData sheetId="14"/>
      <sheetData sheetId="15"/>
      <sheetData sheetId="16"/>
      <sheetData sheetId="17"/>
      <sheetData sheetId="18">
        <row r="7">
          <cell r="C7" t="str">
            <v>پرتقال</v>
          </cell>
        </row>
        <row r="8">
          <cell r="C8" t="str">
            <v>نارنگی</v>
          </cell>
        </row>
        <row r="9">
          <cell r="C9" t="str">
            <v>لیمو</v>
          </cell>
        </row>
        <row r="10">
          <cell r="C10" t="str">
            <v>گریپ‌فرویت</v>
          </cell>
        </row>
        <row r="11">
          <cell r="C11" t="str">
            <v>گیلاس</v>
          </cell>
        </row>
        <row r="12">
          <cell r="C12" t="str">
            <v>سایر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E65100"/>
    <pageSetUpPr fitToPage="1"/>
  </sheetPr>
  <dimension ref="A1:O2007"/>
  <sheetViews>
    <sheetView showGridLines="0" rightToLeft="1" tabSelected="1" zoomScale="85" zoomScaleNormal="85" workbookViewId="0">
      <pane ySplit="8" topLeftCell="A236" activePane="bottomLeft" state="frozen"/>
      <selection pane="bottomLeft" activeCell="F248" sqref="F248"/>
    </sheetView>
  </sheetViews>
  <sheetFormatPr defaultRowHeight="14.25" x14ac:dyDescent="0.2"/>
  <cols>
    <col min="1" max="1" width="6" customWidth="1"/>
    <col min="2" max="2" width="11" customWidth="1"/>
    <col min="3" max="3" width="8" customWidth="1"/>
    <col min="4" max="4" width="11" customWidth="1"/>
    <col min="5" max="5" width="16" customWidth="1"/>
    <col min="6" max="6" width="10" customWidth="1"/>
    <col min="7" max="7" width="12" customWidth="1"/>
    <col min="8" max="8" width="26" customWidth="1"/>
    <col min="9" max="9" width="15" customWidth="1"/>
    <col min="10" max="11" width="13" customWidth="1"/>
    <col min="12" max="12" width="11" customWidth="1"/>
    <col min="13" max="13" width="13" customWidth="1"/>
    <col min="14" max="14" width="15" customWidth="1"/>
    <col min="15" max="15" width="30" customWidth="1"/>
  </cols>
  <sheetData>
    <row r="1" spans="1:15" ht="26.1" customHeight="1" x14ac:dyDescent="0.2">
      <c r="A1" s="9" t="str">
        <f>IF(Sync!$Q$6="","مازندشت",Sync!$Q$6)&amp;" — "&amp;IF(Sync!$Q$9="","سورتینگ و بسته‌بندی مرکبات",Sync!$Q$9)</f>
        <v>سورتینگ و بسته‌بندی مرکبات مازندشت — سورتینگ، بسته‌بندی و بازرگانی مرکبات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4.1" customHeight="1" x14ac:dyDescent="0.2">
      <c r="A2" s="16" t="str">
        <f>IF(Sync!$Q$7="","باغدشت، بخش مرکزی، شهرستان قائم‌شهر، استان مازندران، ایران",Sync!$Q$7)&amp;"     |     MAZANDASHT · CITRUS SORTING &amp; PACKING"</f>
        <v>باغدشت، بخش مرکزی، شهرستان قائم‌شهر، استان مازندران، ایران     |     MAZANDASHT · CITRUS SORTING &amp; PACKING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3" spans="1:15" ht="24" customHeight="1" x14ac:dyDescent="0.2">
      <c r="A3" s="14" t="s">
        <v>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ht="26.1" customHeight="1" x14ac:dyDescent="0.2">
      <c r="A4" s="12" t="s">
        <v>1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5" spans="1:15" ht="12.95" customHeight="1" x14ac:dyDescent="0.2">
      <c r="A5" s="10" t="s">
        <v>2</v>
      </c>
      <c r="B5" s="10"/>
      <c r="C5" s="10" t="s">
        <v>3</v>
      </c>
      <c r="D5" s="10"/>
      <c r="E5" s="10" t="s">
        <v>4</v>
      </c>
      <c r="F5" s="10"/>
      <c r="G5" s="10" t="s">
        <v>5</v>
      </c>
      <c r="H5" s="10"/>
      <c r="I5" s="10" t="s">
        <v>6</v>
      </c>
      <c r="J5" s="10"/>
      <c r="K5" s="10"/>
    </row>
    <row r="6" spans="1:15" ht="20.100000000000001" customHeight="1" x14ac:dyDescent="0.2">
      <c r="A6" s="13">
        <f>COUNTA($B$9:$B$2007)</f>
        <v>233</v>
      </c>
      <c r="B6" s="13"/>
      <c r="C6" s="15">
        <f>SUMIF($F$9:$F$2007,"ورود",$M$9:$M$2007)</f>
        <v>172774.30499999999</v>
      </c>
      <c r="D6" s="15"/>
      <c r="E6" s="15">
        <f>SUMIF($F$9:$F$2007,"خروج",$M$9:$M$2007)</f>
        <v>157085</v>
      </c>
      <c r="F6" s="15"/>
      <c r="G6" s="11">
        <f>SUM($N$9:$N$2007)</f>
        <v>0</v>
      </c>
      <c r="H6" s="11"/>
      <c r="I6" s="13">
        <f>2000-COUNTA($B$9:$B$2007)</f>
        <v>1767</v>
      </c>
      <c r="J6" s="13"/>
      <c r="K6" s="13"/>
    </row>
    <row r="7" spans="1:15" ht="30" customHeight="1" x14ac:dyDescent="0.2">
      <c r="A7" s="1" t="s">
        <v>7</v>
      </c>
      <c r="B7" s="1" t="s">
        <v>8</v>
      </c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  <c r="I7" s="1" t="s">
        <v>15</v>
      </c>
      <c r="J7" s="1" t="s">
        <v>16</v>
      </c>
      <c r="K7" s="1" t="s">
        <v>17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 ht="12.75" customHeight="1" x14ac:dyDescent="0.2">
      <c r="A8" s="2" t="s">
        <v>22</v>
      </c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  <c r="J8" s="2" t="s">
        <v>31</v>
      </c>
      <c r="K8" s="2" t="s">
        <v>32</v>
      </c>
      <c r="L8" s="2" t="s">
        <v>33</v>
      </c>
      <c r="M8" s="2" t="s">
        <v>34</v>
      </c>
      <c r="N8" s="2" t="s">
        <v>35</v>
      </c>
      <c r="O8" s="2" t="s">
        <v>36</v>
      </c>
    </row>
    <row r="9" spans="1:15" x14ac:dyDescent="0.2">
      <c r="A9" s="3">
        <f>IF($B9="","",COUNTA($B$9:$B9))</f>
        <v>1</v>
      </c>
      <c r="B9" s="4" t="s">
        <v>51</v>
      </c>
      <c r="C9" s="4" t="s">
        <v>37</v>
      </c>
      <c r="D9" s="4" t="s">
        <v>38</v>
      </c>
      <c r="E9" s="5" t="s">
        <v>39</v>
      </c>
      <c r="F9" s="3" t="str">
        <f t="shared" ref="F9:F72" si="0">IF($E9="","",IFERROR(VLOOKUP($E9,OpTbl,2,0),""))</f>
        <v>ورود</v>
      </c>
      <c r="G9" s="4" t="s">
        <v>103</v>
      </c>
      <c r="H9" s="3" t="str">
        <f t="shared" ref="H9:H75" si="1">IF($G9="","",IFERROR(IF(VLOOKUP($G9,AcctTbl,4,0)="","(بدون نام)",VLOOKUP($G9,AcctTbl,4,0)),"کد ناشناخته"))</f>
        <v>زینب زاهدی</v>
      </c>
      <c r="I9" s="5"/>
      <c r="J9" s="5" t="s">
        <v>42</v>
      </c>
      <c r="K9" s="6">
        <v>2290</v>
      </c>
      <c r="L9" s="6">
        <v>139</v>
      </c>
      <c r="M9" s="7">
        <f t="shared" ref="M9:M72" si="2">IF(OR($B9="",$K9=""),"",($K9-IF($L9="",0,$L9)*IFERROR(VLOOKUP("P01",ParamTbl,3,0),1.5))*(1-IF(IFERROR(VLOOKUP($E9,OpTbl,3,0),"")="خرید",IFERROR(VLOOKUP("P02",ParamTbl,3,0),1),0)/100))</f>
        <v>2060.6849999999999</v>
      </c>
      <c r="N9" s="6"/>
      <c r="O9" s="5"/>
    </row>
    <row r="10" spans="1:15" x14ac:dyDescent="0.2">
      <c r="A10" s="3">
        <f>IF($B10="","",COUNTA($B$9:$B10))</f>
        <v>2</v>
      </c>
      <c r="B10" s="4" t="s">
        <v>51</v>
      </c>
      <c r="C10" s="4" t="s">
        <v>40</v>
      </c>
      <c r="D10" s="4" t="s">
        <v>41</v>
      </c>
      <c r="E10" s="5" t="s">
        <v>39</v>
      </c>
      <c r="F10" s="3" t="str">
        <f t="shared" si="0"/>
        <v>ورود</v>
      </c>
      <c r="G10" s="4" t="s">
        <v>103</v>
      </c>
      <c r="H10" s="3" t="str">
        <f t="shared" si="1"/>
        <v>زینب زاهدی</v>
      </c>
      <c r="I10" s="5"/>
      <c r="J10" s="5" t="s">
        <v>42</v>
      </c>
      <c r="K10" s="6">
        <v>910</v>
      </c>
      <c r="L10" s="6">
        <v>53</v>
      </c>
      <c r="M10" s="7">
        <f t="shared" si="2"/>
        <v>822.19499999999994</v>
      </c>
      <c r="N10" s="6"/>
      <c r="O10" s="5"/>
    </row>
    <row r="11" spans="1:15" x14ac:dyDescent="0.2">
      <c r="A11" s="3">
        <f>IF($B11="","",COUNTA($B$9:$B11))</f>
        <v>3</v>
      </c>
      <c r="B11" s="4" t="s">
        <v>102</v>
      </c>
      <c r="C11" s="4" t="s">
        <v>43</v>
      </c>
      <c r="D11" s="4" t="s">
        <v>44</v>
      </c>
      <c r="E11" s="5" t="s">
        <v>39</v>
      </c>
      <c r="F11" s="3" t="str">
        <f t="shared" si="0"/>
        <v>ورود</v>
      </c>
      <c r="G11" s="4" t="s">
        <v>108</v>
      </c>
      <c r="H11" s="3" t="str">
        <f t="shared" si="1"/>
        <v>سید عباس موسوی</v>
      </c>
      <c r="I11" s="5"/>
      <c r="J11" s="5" t="s">
        <v>42</v>
      </c>
      <c r="K11" s="6">
        <v>1385</v>
      </c>
      <c r="L11" s="6">
        <v>85</v>
      </c>
      <c r="M11" s="7">
        <f t="shared" si="2"/>
        <v>1244.925</v>
      </c>
      <c r="N11" s="6"/>
      <c r="O11" s="5"/>
    </row>
    <row r="12" spans="1:15" x14ac:dyDescent="0.2">
      <c r="A12" s="3">
        <f>IF($B12="","",COUNTA($B$9:$B12))</f>
        <v>4</v>
      </c>
      <c r="B12" s="4" t="s">
        <v>55</v>
      </c>
      <c r="C12" s="4" t="s">
        <v>45</v>
      </c>
      <c r="D12" s="4" t="s">
        <v>46</v>
      </c>
      <c r="E12" s="5" t="s">
        <v>39</v>
      </c>
      <c r="F12" s="3" t="str">
        <f t="shared" si="0"/>
        <v>ورود</v>
      </c>
      <c r="G12" s="4" t="s">
        <v>109</v>
      </c>
      <c r="H12" s="3" t="str">
        <f t="shared" si="1"/>
        <v>حاج احمد عیسی پور</v>
      </c>
      <c r="I12" s="5"/>
      <c r="J12" s="5" t="s">
        <v>42</v>
      </c>
      <c r="K12" s="6">
        <v>605</v>
      </c>
      <c r="L12" s="6">
        <v>36</v>
      </c>
      <c r="M12" s="7">
        <f t="shared" si="2"/>
        <v>545.49</v>
      </c>
      <c r="N12" s="6"/>
      <c r="O12" s="5"/>
    </row>
    <row r="13" spans="1:15" x14ac:dyDescent="0.2">
      <c r="A13" s="3">
        <f>IF($B13="","",COUNTA($B$9:$B13))</f>
        <v>5</v>
      </c>
      <c r="B13" s="4" t="s">
        <v>55</v>
      </c>
      <c r="C13" s="4" t="s">
        <v>47</v>
      </c>
      <c r="D13" s="4" t="s">
        <v>48</v>
      </c>
      <c r="E13" s="5" t="s">
        <v>39</v>
      </c>
      <c r="F13" s="3" t="str">
        <f t="shared" si="0"/>
        <v>ورود</v>
      </c>
      <c r="G13" s="4" t="s">
        <v>108</v>
      </c>
      <c r="H13" s="3" t="str">
        <f t="shared" si="1"/>
        <v>سید عباس موسوی</v>
      </c>
      <c r="I13" s="5"/>
      <c r="J13" s="5" t="s">
        <v>42</v>
      </c>
      <c r="K13" s="6">
        <v>805</v>
      </c>
      <c r="L13" s="6">
        <v>49</v>
      </c>
      <c r="M13" s="7">
        <f t="shared" si="2"/>
        <v>724.18499999999995</v>
      </c>
      <c r="N13" s="6"/>
      <c r="O13" s="5"/>
    </row>
    <row r="14" spans="1:15" x14ac:dyDescent="0.2">
      <c r="A14" s="3">
        <f>IF($B14="","",COUNTA($B$9:$B14))</f>
        <v>6</v>
      </c>
      <c r="B14" s="4" t="s">
        <v>55</v>
      </c>
      <c r="C14" s="4" t="s">
        <v>52</v>
      </c>
      <c r="D14" s="4" t="s">
        <v>53</v>
      </c>
      <c r="E14" s="5" t="s">
        <v>39</v>
      </c>
      <c r="F14" s="3" t="str">
        <f t="shared" si="0"/>
        <v>ورود</v>
      </c>
      <c r="G14" s="4" t="s">
        <v>110</v>
      </c>
      <c r="H14" s="3" t="str">
        <f t="shared" si="1"/>
        <v>امید زاهدی</v>
      </c>
      <c r="I14" s="5"/>
      <c r="J14" s="5" t="s">
        <v>42</v>
      </c>
      <c r="K14" s="6">
        <v>865</v>
      </c>
      <c r="L14" s="6">
        <v>51</v>
      </c>
      <c r="M14" s="7">
        <f t="shared" si="2"/>
        <v>780.61500000000001</v>
      </c>
      <c r="N14" s="6"/>
      <c r="O14" s="5"/>
    </row>
    <row r="15" spans="1:15" x14ac:dyDescent="0.2">
      <c r="A15" s="3">
        <f>IF($B15="","",COUNTA($B$9:$B15))</f>
        <v>7</v>
      </c>
      <c r="B15" s="4" t="s">
        <v>55</v>
      </c>
      <c r="C15" s="4" t="s">
        <v>56</v>
      </c>
      <c r="D15" s="4" t="s">
        <v>57</v>
      </c>
      <c r="E15" s="5" t="s">
        <v>39</v>
      </c>
      <c r="F15" s="3" t="str">
        <f t="shared" si="0"/>
        <v>ورود</v>
      </c>
      <c r="G15" s="4" t="s">
        <v>109</v>
      </c>
      <c r="H15" s="3" t="str">
        <f>IF($G15="","",IFERROR(IF(VLOOKUP($G15,AcctTbl,4,0)="","(بدون نام)",VLOOKUP($G15,AcctTbl,4,0)),"کد ناشناخته"))</f>
        <v>حاج احمد عیسی پور</v>
      </c>
      <c r="I15" s="5"/>
      <c r="J15" s="5" t="s">
        <v>42</v>
      </c>
      <c r="K15" s="6">
        <v>650</v>
      </c>
      <c r="L15" s="6">
        <v>40</v>
      </c>
      <c r="M15" s="7">
        <f t="shared" si="2"/>
        <v>584.1</v>
      </c>
      <c r="N15" s="6"/>
      <c r="O15" s="5"/>
    </row>
    <row r="16" spans="1:15" x14ac:dyDescent="0.2">
      <c r="A16" s="3">
        <f>IF($B16="","",COUNTA($B$9:$B16))</f>
        <v>8</v>
      </c>
      <c r="B16" s="4" t="s">
        <v>104</v>
      </c>
      <c r="C16" s="4" t="s">
        <v>60</v>
      </c>
      <c r="D16" s="4" t="s">
        <v>111</v>
      </c>
      <c r="E16" s="5" t="s">
        <v>39</v>
      </c>
      <c r="F16" s="3" t="str">
        <f t="shared" si="0"/>
        <v>ورود</v>
      </c>
      <c r="G16" s="4" t="s">
        <v>112</v>
      </c>
      <c r="H16" s="3" t="str">
        <f t="shared" si="1"/>
        <v>بار شخصی قاسم زاهدی</v>
      </c>
      <c r="I16" s="5"/>
      <c r="J16" s="5" t="s">
        <v>42</v>
      </c>
      <c r="K16" s="6">
        <v>1105</v>
      </c>
      <c r="L16" s="6">
        <v>66</v>
      </c>
      <c r="M16" s="7">
        <f t="shared" si="2"/>
        <v>995.93999999999994</v>
      </c>
      <c r="N16" s="6"/>
      <c r="O16" s="5"/>
    </row>
    <row r="17" spans="1:15" x14ac:dyDescent="0.2">
      <c r="A17" s="3">
        <f>IF($B17="","",COUNTA($B$9:$B17))</f>
        <v>9</v>
      </c>
      <c r="B17" s="4" t="s">
        <v>104</v>
      </c>
      <c r="C17" s="4"/>
      <c r="D17" s="4"/>
      <c r="E17" s="5" t="s">
        <v>39</v>
      </c>
      <c r="F17" s="3" t="str">
        <f t="shared" si="0"/>
        <v>ورود</v>
      </c>
      <c r="G17" s="4" t="s">
        <v>113</v>
      </c>
      <c r="H17" s="3" t="str">
        <f t="shared" si="1"/>
        <v>هوشنگ عیسی پور</v>
      </c>
      <c r="I17" s="5"/>
      <c r="J17" s="5" t="s">
        <v>42</v>
      </c>
      <c r="K17" s="6">
        <v>1595</v>
      </c>
      <c r="L17" s="6">
        <v>101</v>
      </c>
      <c r="M17" s="7">
        <f t="shared" si="2"/>
        <v>1429.0650000000001</v>
      </c>
      <c r="N17" s="6"/>
      <c r="O17" s="5"/>
    </row>
    <row r="18" spans="1:15" x14ac:dyDescent="0.2">
      <c r="A18" s="3">
        <f>IF($B18="","",COUNTA($B$9:$B18))</f>
        <v>10</v>
      </c>
      <c r="B18" s="4" t="s">
        <v>104</v>
      </c>
      <c r="C18" s="4"/>
      <c r="D18" s="4"/>
      <c r="E18" s="5" t="s">
        <v>39</v>
      </c>
      <c r="F18" s="3" t="str">
        <f t="shared" si="0"/>
        <v>ورود</v>
      </c>
      <c r="G18" s="4" t="s">
        <v>113</v>
      </c>
      <c r="H18" s="3" t="str">
        <f t="shared" si="1"/>
        <v>هوشنگ عیسی پور</v>
      </c>
      <c r="I18" s="5"/>
      <c r="J18" s="5" t="s">
        <v>42</v>
      </c>
      <c r="K18" s="6">
        <v>700</v>
      </c>
      <c r="L18" s="6">
        <v>43</v>
      </c>
      <c r="M18" s="7">
        <f t="shared" si="2"/>
        <v>629.14499999999998</v>
      </c>
      <c r="N18" s="6"/>
      <c r="O18" s="5"/>
    </row>
    <row r="19" spans="1:15" x14ac:dyDescent="0.2">
      <c r="A19" s="3">
        <f>IF($B19="","",COUNTA($B$9:$B19))</f>
        <v>11</v>
      </c>
      <c r="B19" s="4" t="s">
        <v>104</v>
      </c>
      <c r="C19" s="4"/>
      <c r="D19" s="4"/>
      <c r="E19" s="5" t="s">
        <v>39</v>
      </c>
      <c r="F19" s="3" t="str">
        <f t="shared" si="0"/>
        <v>ورود</v>
      </c>
      <c r="G19" s="4" t="s">
        <v>114</v>
      </c>
      <c r="H19" s="3" t="str">
        <f t="shared" si="1"/>
        <v>علی آهنگر</v>
      </c>
      <c r="I19" s="5"/>
      <c r="J19" s="5" t="s">
        <v>42</v>
      </c>
      <c r="K19" s="6">
        <v>2085</v>
      </c>
      <c r="L19" s="6">
        <v>120</v>
      </c>
      <c r="M19" s="7">
        <f t="shared" si="2"/>
        <v>1885.95</v>
      </c>
      <c r="N19" s="6"/>
      <c r="O19" s="5"/>
    </row>
    <row r="20" spans="1:15" x14ac:dyDescent="0.2">
      <c r="A20" s="3">
        <f>IF($B20="","",COUNTA($B$9:$B20))</f>
        <v>12</v>
      </c>
      <c r="B20" s="4" t="s">
        <v>104</v>
      </c>
      <c r="C20" s="4"/>
      <c r="D20" s="4"/>
      <c r="E20" s="5" t="s">
        <v>39</v>
      </c>
      <c r="F20" s="3" t="str">
        <f t="shared" si="0"/>
        <v>ورود</v>
      </c>
      <c r="G20" s="4" t="s">
        <v>113</v>
      </c>
      <c r="H20" s="3" t="str">
        <f t="shared" si="1"/>
        <v>هوشنگ عیسی پور</v>
      </c>
      <c r="I20" s="5"/>
      <c r="J20" s="5" t="s">
        <v>42</v>
      </c>
      <c r="K20" s="6">
        <v>1762</v>
      </c>
      <c r="L20" s="6">
        <v>108</v>
      </c>
      <c r="M20" s="7">
        <f t="shared" si="2"/>
        <v>1584</v>
      </c>
      <c r="N20" s="6"/>
      <c r="O20" s="5"/>
    </row>
    <row r="21" spans="1:15" x14ac:dyDescent="0.2">
      <c r="A21" s="3">
        <f>IF($B21="","",COUNTA($B$9:$B21))</f>
        <v>13</v>
      </c>
      <c r="B21" s="4" t="s">
        <v>104</v>
      </c>
      <c r="C21" s="4"/>
      <c r="D21" s="4"/>
      <c r="E21" s="5" t="s">
        <v>39</v>
      </c>
      <c r="F21" s="3" t="str">
        <f t="shared" si="0"/>
        <v>ورود</v>
      </c>
      <c r="G21" s="4" t="s">
        <v>109</v>
      </c>
      <c r="H21" s="3" t="str">
        <f t="shared" si="1"/>
        <v>حاج احمد عیسی پور</v>
      </c>
      <c r="I21" s="5"/>
      <c r="J21" s="5" t="s">
        <v>42</v>
      </c>
      <c r="K21" s="6">
        <v>733</v>
      </c>
      <c r="L21" s="6">
        <v>45</v>
      </c>
      <c r="M21" s="7">
        <f t="shared" si="2"/>
        <v>658.84500000000003</v>
      </c>
      <c r="N21" s="6"/>
      <c r="O21" s="5"/>
    </row>
    <row r="22" spans="1:15" x14ac:dyDescent="0.2">
      <c r="A22" s="3">
        <f>IF($B22="","",COUNTA($B$9:$B22))</f>
        <v>14</v>
      </c>
      <c r="B22" s="4" t="s">
        <v>104</v>
      </c>
      <c r="C22" s="4"/>
      <c r="D22" s="4"/>
      <c r="E22" s="5" t="s">
        <v>39</v>
      </c>
      <c r="F22" s="3" t="str">
        <f t="shared" si="0"/>
        <v>ورود</v>
      </c>
      <c r="G22" s="4" t="s">
        <v>115</v>
      </c>
      <c r="H22" s="3" t="str">
        <f t="shared" si="1"/>
        <v>صفدر مسلمی</v>
      </c>
      <c r="I22" s="5"/>
      <c r="J22" s="5" t="s">
        <v>42</v>
      </c>
      <c r="K22" s="6">
        <v>605</v>
      </c>
      <c r="L22" s="6">
        <v>36</v>
      </c>
      <c r="M22" s="7">
        <f t="shared" si="2"/>
        <v>545.49</v>
      </c>
      <c r="N22" s="6"/>
      <c r="O22" s="5"/>
    </row>
    <row r="23" spans="1:15" x14ac:dyDescent="0.2">
      <c r="A23" s="3">
        <f>IF($B23="","",COUNTA($B$9:$B23))</f>
        <v>15</v>
      </c>
      <c r="B23" s="4" t="s">
        <v>59</v>
      </c>
      <c r="C23" s="4"/>
      <c r="D23" s="4"/>
      <c r="E23" s="5" t="s">
        <v>39</v>
      </c>
      <c r="F23" s="3" t="str">
        <f t="shared" si="0"/>
        <v>ورود</v>
      </c>
      <c r="G23" s="4" t="s">
        <v>116</v>
      </c>
      <c r="H23" s="3" t="str">
        <f t="shared" si="1"/>
        <v>همایون بابایی</v>
      </c>
      <c r="I23" s="5"/>
      <c r="J23" s="5" t="s">
        <v>42</v>
      </c>
      <c r="K23" s="6">
        <v>3065</v>
      </c>
      <c r="L23" s="6">
        <v>190</v>
      </c>
      <c r="M23" s="7">
        <f t="shared" si="2"/>
        <v>2752.2</v>
      </c>
      <c r="N23" s="6"/>
      <c r="O23" s="5"/>
    </row>
    <row r="24" spans="1:15" x14ac:dyDescent="0.2">
      <c r="A24" s="3">
        <f>IF($B24="","",COUNTA($B$9:$B24))</f>
        <v>16</v>
      </c>
      <c r="B24" s="4" t="s">
        <v>59</v>
      </c>
      <c r="C24" s="4"/>
      <c r="D24" s="4"/>
      <c r="E24" s="5" t="s">
        <v>39</v>
      </c>
      <c r="F24" s="3" t="str">
        <f t="shared" si="0"/>
        <v>ورود</v>
      </c>
      <c r="G24" s="4" t="s">
        <v>117</v>
      </c>
      <c r="H24" s="3" t="str">
        <f t="shared" si="1"/>
        <v>دبیر فرجی</v>
      </c>
      <c r="I24" s="5"/>
      <c r="J24" s="5" t="s">
        <v>124</v>
      </c>
      <c r="K24" s="6">
        <v>95</v>
      </c>
      <c r="L24" s="6">
        <v>0</v>
      </c>
      <c r="M24" s="7">
        <f t="shared" si="2"/>
        <v>94.05</v>
      </c>
      <c r="N24" s="6"/>
      <c r="O24" s="5"/>
    </row>
    <row r="25" spans="1:15" x14ac:dyDescent="0.2">
      <c r="A25" s="3">
        <f>IF($B25="","",COUNTA($B$9:$B25))</f>
        <v>17</v>
      </c>
      <c r="B25" s="4" t="s">
        <v>59</v>
      </c>
      <c r="C25" s="4"/>
      <c r="D25" s="4"/>
      <c r="E25" s="5" t="s">
        <v>39</v>
      </c>
      <c r="F25" s="3" t="str">
        <f t="shared" si="0"/>
        <v>ورود</v>
      </c>
      <c r="G25" s="4" t="s">
        <v>118</v>
      </c>
      <c r="H25" s="3" t="str">
        <f t="shared" si="1"/>
        <v>محمود علیجانی</v>
      </c>
      <c r="I25" s="5"/>
      <c r="J25" s="5" t="s">
        <v>42</v>
      </c>
      <c r="K25" s="6">
        <v>585</v>
      </c>
      <c r="L25" s="6">
        <v>33</v>
      </c>
      <c r="M25" s="7">
        <f t="shared" si="2"/>
        <v>530.14499999999998</v>
      </c>
      <c r="N25" s="6"/>
      <c r="O25" s="5"/>
    </row>
    <row r="26" spans="1:15" x14ac:dyDescent="0.2">
      <c r="A26" s="3">
        <f>IF($B26="","",COUNTA($B$9:$B26))</f>
        <v>18</v>
      </c>
      <c r="B26" s="4" t="s">
        <v>59</v>
      </c>
      <c r="C26" s="4"/>
      <c r="D26" s="4"/>
      <c r="E26" s="5" t="s">
        <v>39</v>
      </c>
      <c r="F26" s="3" t="str">
        <f t="shared" si="0"/>
        <v>ورود</v>
      </c>
      <c r="G26" s="4" t="s">
        <v>115</v>
      </c>
      <c r="H26" s="3" t="str">
        <f t="shared" si="1"/>
        <v>صفدر مسلمی</v>
      </c>
      <c r="I26" s="5"/>
      <c r="J26" s="5" t="s">
        <v>42</v>
      </c>
      <c r="K26" s="6">
        <v>40</v>
      </c>
      <c r="L26" s="6">
        <v>3</v>
      </c>
      <c r="M26" s="7">
        <f t="shared" si="2"/>
        <v>35.145000000000003</v>
      </c>
      <c r="N26" s="6"/>
      <c r="O26" s="5"/>
    </row>
    <row r="27" spans="1:15" x14ac:dyDescent="0.2">
      <c r="A27" s="3">
        <f>IF($B27="","",COUNTA($B$9:$B27))</f>
        <v>19</v>
      </c>
      <c r="B27" s="4" t="s">
        <v>59</v>
      </c>
      <c r="C27" s="4"/>
      <c r="D27" s="4"/>
      <c r="E27" s="5" t="s">
        <v>39</v>
      </c>
      <c r="F27" s="3" t="str">
        <f t="shared" si="0"/>
        <v>ورود</v>
      </c>
      <c r="G27" s="4" t="s">
        <v>116</v>
      </c>
      <c r="H27" s="3" t="str">
        <f t="shared" si="1"/>
        <v>همایون بابایی</v>
      </c>
      <c r="I27" s="5"/>
      <c r="J27" s="5" t="s">
        <v>42</v>
      </c>
      <c r="K27" s="6">
        <v>1400</v>
      </c>
      <c r="L27" s="6">
        <v>87</v>
      </c>
      <c r="M27" s="7">
        <f t="shared" si="2"/>
        <v>1256.8050000000001</v>
      </c>
      <c r="N27" s="6"/>
      <c r="O27" s="5"/>
    </row>
    <row r="28" spans="1:15" x14ac:dyDescent="0.2">
      <c r="A28" s="3">
        <f>IF($B28="","",COUNTA($B$9:$B28))</f>
        <v>20</v>
      </c>
      <c r="B28" s="4" t="s">
        <v>105</v>
      </c>
      <c r="C28" s="4"/>
      <c r="D28" s="4"/>
      <c r="E28" s="5" t="s">
        <v>39</v>
      </c>
      <c r="F28" s="3" t="str">
        <f t="shared" si="0"/>
        <v>ورود</v>
      </c>
      <c r="G28" s="4" t="s">
        <v>113</v>
      </c>
      <c r="H28" s="3" t="str">
        <f t="shared" si="1"/>
        <v>هوشنگ عیسی پور</v>
      </c>
      <c r="I28" s="5"/>
      <c r="J28" s="5" t="s">
        <v>42</v>
      </c>
      <c r="K28" s="6">
        <v>650</v>
      </c>
      <c r="L28" s="6">
        <v>39</v>
      </c>
      <c r="M28" s="7">
        <f t="shared" si="2"/>
        <v>585.58500000000004</v>
      </c>
      <c r="N28" s="6"/>
      <c r="O28" s="5"/>
    </row>
    <row r="29" spans="1:15" x14ac:dyDescent="0.2">
      <c r="A29" s="3">
        <f>IF($B29="","",COUNTA($B$9:$B29))</f>
        <v>21</v>
      </c>
      <c r="B29" s="4" t="s">
        <v>105</v>
      </c>
      <c r="C29" s="4"/>
      <c r="D29" s="4"/>
      <c r="E29" s="5" t="s">
        <v>39</v>
      </c>
      <c r="F29" s="3" t="str">
        <f t="shared" si="0"/>
        <v>ورود</v>
      </c>
      <c r="G29" s="4" t="s">
        <v>119</v>
      </c>
      <c r="H29" s="3" t="str">
        <f t="shared" si="1"/>
        <v>افشین بشتکار</v>
      </c>
      <c r="I29" s="5"/>
      <c r="J29" s="5" t="s">
        <v>42</v>
      </c>
      <c r="K29" s="6">
        <v>3130</v>
      </c>
      <c r="L29" s="6">
        <v>195</v>
      </c>
      <c r="M29" s="7">
        <f t="shared" si="2"/>
        <v>2809.125</v>
      </c>
      <c r="N29" s="6"/>
      <c r="O29" s="5"/>
    </row>
    <row r="30" spans="1:15" x14ac:dyDescent="0.2">
      <c r="A30" s="3">
        <f>IF($B30="","",COUNTA($B$9:$B30))</f>
        <v>22</v>
      </c>
      <c r="B30" s="4" t="s">
        <v>105</v>
      </c>
      <c r="C30" s="4"/>
      <c r="D30" s="4"/>
      <c r="E30" s="5" t="s">
        <v>39</v>
      </c>
      <c r="F30" s="3" t="str">
        <f t="shared" si="0"/>
        <v>ورود</v>
      </c>
      <c r="G30" s="4" t="s">
        <v>129</v>
      </c>
      <c r="H30" s="3" t="str">
        <f>IF($G30="","",IFERROR(IF(VLOOKUP($G30,AcctTbl,4,0)="","(بدون نام)",VLOOKUP($G30,AcctTbl,4,0)),"کد ناشناخته"))</f>
        <v>علی نوایی</v>
      </c>
      <c r="I30" s="5"/>
      <c r="J30" s="5" t="s">
        <v>42</v>
      </c>
      <c r="K30" s="6">
        <v>117</v>
      </c>
      <c r="L30" s="6">
        <v>7</v>
      </c>
      <c r="M30" s="7">
        <f t="shared" si="2"/>
        <v>105.435</v>
      </c>
      <c r="N30" s="6"/>
      <c r="O30" s="5"/>
    </row>
    <row r="31" spans="1:15" x14ac:dyDescent="0.2">
      <c r="A31" s="3">
        <f>IF($B31="","",COUNTA($B$9:$B31))</f>
        <v>23</v>
      </c>
      <c r="B31" s="4" t="s">
        <v>105</v>
      </c>
      <c r="C31" s="4"/>
      <c r="D31" s="4"/>
      <c r="E31" s="5" t="s">
        <v>39</v>
      </c>
      <c r="F31" s="3" t="str">
        <f t="shared" si="0"/>
        <v>ورود</v>
      </c>
      <c r="G31" s="4" t="s">
        <v>125</v>
      </c>
      <c r="H31" s="3" t="str">
        <f t="shared" si="1"/>
        <v>اسماعیل خانیا</v>
      </c>
      <c r="I31" s="5"/>
      <c r="J31" s="5" t="s">
        <v>42</v>
      </c>
      <c r="K31" s="6">
        <v>129</v>
      </c>
      <c r="L31" s="6">
        <v>7</v>
      </c>
      <c r="M31" s="7">
        <f t="shared" si="2"/>
        <v>117.315</v>
      </c>
      <c r="N31" s="6"/>
      <c r="O31" s="5"/>
    </row>
    <row r="32" spans="1:15" x14ac:dyDescent="0.2">
      <c r="A32" s="3">
        <f>IF($B32="","",COUNTA($B$9:$B32))</f>
        <v>24</v>
      </c>
      <c r="B32" s="4" t="s">
        <v>105</v>
      </c>
      <c r="C32" s="4"/>
      <c r="D32" s="4"/>
      <c r="E32" s="5" t="s">
        <v>39</v>
      </c>
      <c r="F32" s="3" t="str">
        <f t="shared" si="0"/>
        <v>ورود</v>
      </c>
      <c r="G32" s="4" t="s">
        <v>119</v>
      </c>
      <c r="H32" s="3" t="str">
        <f t="shared" si="1"/>
        <v>افشین بشتکار</v>
      </c>
      <c r="I32" s="5"/>
      <c r="J32" s="5" t="s">
        <v>42</v>
      </c>
      <c r="K32" s="6">
        <v>2690</v>
      </c>
      <c r="L32" s="6">
        <v>167</v>
      </c>
      <c r="M32" s="7">
        <f t="shared" si="2"/>
        <v>2415.105</v>
      </c>
      <c r="N32" s="6"/>
      <c r="O32" s="5"/>
    </row>
    <row r="33" spans="1:15" x14ac:dyDescent="0.2">
      <c r="A33" s="3">
        <f>IF($B33="","",COUNTA($B$9:$B33))</f>
        <v>25</v>
      </c>
      <c r="B33" s="4" t="s">
        <v>105</v>
      </c>
      <c r="C33" s="4"/>
      <c r="D33" s="4"/>
      <c r="E33" s="5" t="s">
        <v>39</v>
      </c>
      <c r="F33" s="3" t="str">
        <f t="shared" si="0"/>
        <v>ورود</v>
      </c>
      <c r="G33" s="4" t="s">
        <v>120</v>
      </c>
      <c r="H33" s="3" t="str">
        <f t="shared" si="1"/>
        <v>میرقربان موسویان</v>
      </c>
      <c r="I33" s="5"/>
      <c r="J33" s="5" t="s">
        <v>42</v>
      </c>
      <c r="K33" s="6">
        <v>1415</v>
      </c>
      <c r="L33" s="6">
        <v>85</v>
      </c>
      <c r="M33" s="7">
        <f t="shared" si="2"/>
        <v>1274.625</v>
      </c>
      <c r="N33" s="6"/>
      <c r="O33" s="5"/>
    </row>
    <row r="34" spans="1:15" x14ac:dyDescent="0.2">
      <c r="A34" s="3">
        <f>IF($B34="","",COUNTA($B$9:$B34))</f>
        <v>26</v>
      </c>
      <c r="B34" s="4" t="s">
        <v>105</v>
      </c>
      <c r="C34" s="4"/>
      <c r="D34" s="4"/>
      <c r="E34" s="5" t="s">
        <v>39</v>
      </c>
      <c r="F34" s="3" t="str">
        <f t="shared" si="0"/>
        <v>ورود</v>
      </c>
      <c r="G34" s="4" t="s">
        <v>119</v>
      </c>
      <c r="H34" s="3" t="str">
        <f t="shared" si="1"/>
        <v>افشین بشتکار</v>
      </c>
      <c r="I34" s="5"/>
      <c r="J34" s="5" t="s">
        <v>42</v>
      </c>
      <c r="K34" s="6">
        <v>1035</v>
      </c>
      <c r="L34" s="6">
        <v>64</v>
      </c>
      <c r="M34" s="7">
        <f t="shared" si="2"/>
        <v>929.61</v>
      </c>
      <c r="N34" s="6"/>
      <c r="O34" s="5"/>
    </row>
    <row r="35" spans="1:15" x14ac:dyDescent="0.2">
      <c r="A35" s="3">
        <f>IF($B35="","",COUNTA($B$9:$B35))</f>
        <v>27</v>
      </c>
      <c r="B35" s="4" t="s">
        <v>105</v>
      </c>
      <c r="C35" s="4"/>
      <c r="D35" s="4"/>
      <c r="E35" s="5" t="s">
        <v>39</v>
      </c>
      <c r="F35" s="3" t="str">
        <f t="shared" si="0"/>
        <v>ورود</v>
      </c>
      <c r="G35" s="4" t="s">
        <v>119</v>
      </c>
      <c r="H35" s="3" t="str">
        <f t="shared" si="1"/>
        <v>افشین بشتکار</v>
      </c>
      <c r="I35" s="5"/>
      <c r="J35" s="5" t="s">
        <v>124</v>
      </c>
      <c r="K35" s="6">
        <v>345</v>
      </c>
      <c r="L35" s="6">
        <v>22</v>
      </c>
      <c r="M35" s="7">
        <f t="shared" si="2"/>
        <v>308.88</v>
      </c>
      <c r="N35" s="6"/>
      <c r="O35" s="5"/>
    </row>
    <row r="36" spans="1:15" x14ac:dyDescent="0.2">
      <c r="A36" s="3">
        <f>IF($B36="","",COUNTA($B$9:$B36))</f>
        <v>28</v>
      </c>
      <c r="B36" s="4" t="s">
        <v>105</v>
      </c>
      <c r="C36" s="4"/>
      <c r="D36" s="4"/>
      <c r="E36" s="5" t="s">
        <v>39</v>
      </c>
      <c r="F36" s="3" t="str">
        <f t="shared" si="0"/>
        <v>ورود</v>
      </c>
      <c r="G36" s="4" t="s">
        <v>121</v>
      </c>
      <c r="H36" s="3" t="str">
        <f t="shared" si="1"/>
        <v>باباجانی (تراجیکلا)</v>
      </c>
      <c r="I36" s="5"/>
      <c r="J36" s="5" t="s">
        <v>42</v>
      </c>
      <c r="K36" s="6">
        <v>385</v>
      </c>
      <c r="L36" s="6">
        <v>26</v>
      </c>
      <c r="M36" s="7">
        <f t="shared" si="2"/>
        <v>342.54</v>
      </c>
      <c r="N36" s="6"/>
      <c r="O36" s="5"/>
    </row>
    <row r="37" spans="1:15" x14ac:dyDescent="0.2">
      <c r="A37" s="3">
        <f>IF($B37="","",COUNTA($B$9:$B37))</f>
        <v>29</v>
      </c>
      <c r="B37" s="4" t="s">
        <v>106</v>
      </c>
      <c r="C37" s="4"/>
      <c r="D37" s="4"/>
      <c r="E37" s="5" t="s">
        <v>39</v>
      </c>
      <c r="F37" s="3" t="str">
        <f t="shared" si="0"/>
        <v>ورود</v>
      </c>
      <c r="G37" s="4" t="s">
        <v>119</v>
      </c>
      <c r="H37" s="3" t="str">
        <f t="shared" si="1"/>
        <v>افشین بشتکار</v>
      </c>
      <c r="I37" s="5"/>
      <c r="J37" s="5" t="s">
        <v>42</v>
      </c>
      <c r="K37" s="6">
        <v>1065</v>
      </c>
      <c r="L37" s="6">
        <v>67</v>
      </c>
      <c r="M37" s="7">
        <f t="shared" si="2"/>
        <v>954.85500000000002</v>
      </c>
      <c r="N37" s="6"/>
      <c r="O37" s="5"/>
    </row>
    <row r="38" spans="1:15" x14ac:dyDescent="0.2">
      <c r="A38" s="3">
        <f>IF($B38="","",COUNTA($B$9:$B38))</f>
        <v>30</v>
      </c>
      <c r="B38" s="4" t="s">
        <v>106</v>
      </c>
      <c r="C38" s="4"/>
      <c r="D38" s="4"/>
      <c r="E38" s="5" t="s">
        <v>39</v>
      </c>
      <c r="F38" s="3" t="str">
        <f t="shared" si="0"/>
        <v>ورود</v>
      </c>
      <c r="G38" s="4" t="s">
        <v>120</v>
      </c>
      <c r="H38" s="3" t="str">
        <f t="shared" si="1"/>
        <v>میرقربان موسویان</v>
      </c>
      <c r="I38" s="5"/>
      <c r="J38" s="5" t="s">
        <v>42</v>
      </c>
      <c r="K38" s="6">
        <v>3040</v>
      </c>
      <c r="L38" s="6">
        <v>190</v>
      </c>
      <c r="M38" s="7">
        <f t="shared" si="2"/>
        <v>2727.45</v>
      </c>
      <c r="N38" s="6"/>
      <c r="O38" s="5"/>
    </row>
    <row r="39" spans="1:15" x14ac:dyDescent="0.2">
      <c r="A39" s="3">
        <f>IF($B39="","",COUNTA($B$9:$B39))</f>
        <v>31</v>
      </c>
      <c r="B39" s="4" t="s">
        <v>106</v>
      </c>
      <c r="C39" s="4"/>
      <c r="D39" s="4"/>
      <c r="E39" s="5" t="s">
        <v>39</v>
      </c>
      <c r="F39" s="3" t="str">
        <f t="shared" si="0"/>
        <v>ورود</v>
      </c>
      <c r="G39" s="4" t="s">
        <v>120</v>
      </c>
      <c r="H39" s="3" t="str">
        <f t="shared" si="1"/>
        <v>میرقربان موسویان</v>
      </c>
      <c r="I39" s="5"/>
      <c r="J39" s="5" t="s">
        <v>42</v>
      </c>
      <c r="K39" s="6">
        <v>3080</v>
      </c>
      <c r="L39" s="6">
        <v>190</v>
      </c>
      <c r="M39" s="7">
        <f t="shared" si="2"/>
        <v>2767.05</v>
      </c>
      <c r="N39" s="6"/>
      <c r="O39" s="5"/>
    </row>
    <row r="40" spans="1:15" x14ac:dyDescent="0.2">
      <c r="A40" s="3">
        <f>IF($B40="","",COUNTA($B$9:$B40))</f>
        <v>32</v>
      </c>
      <c r="B40" s="4" t="s">
        <v>106</v>
      </c>
      <c r="C40" s="4"/>
      <c r="D40" s="4"/>
      <c r="E40" s="5" t="s">
        <v>39</v>
      </c>
      <c r="F40" s="3" t="str">
        <f t="shared" si="0"/>
        <v>ورود</v>
      </c>
      <c r="G40" s="4" t="s">
        <v>120</v>
      </c>
      <c r="H40" s="3" t="str">
        <f t="shared" si="1"/>
        <v>میرقربان موسویان</v>
      </c>
      <c r="I40" s="5"/>
      <c r="J40" s="5" t="s">
        <v>42</v>
      </c>
      <c r="K40" s="6">
        <v>660</v>
      </c>
      <c r="L40" s="6">
        <v>43</v>
      </c>
      <c r="M40" s="7">
        <f t="shared" si="2"/>
        <v>589.54499999999996</v>
      </c>
      <c r="N40" s="6"/>
      <c r="O40" s="5"/>
    </row>
    <row r="41" spans="1:15" x14ac:dyDescent="0.2">
      <c r="A41" s="3">
        <f>IF($B41="","",COUNTA($B$9:$B41))</f>
        <v>33</v>
      </c>
      <c r="B41" s="4" t="s">
        <v>107</v>
      </c>
      <c r="C41" s="4"/>
      <c r="D41" s="4"/>
      <c r="E41" s="5" t="s">
        <v>49</v>
      </c>
      <c r="F41" s="3" t="str">
        <f t="shared" si="0"/>
        <v>خروج</v>
      </c>
      <c r="G41" s="4" t="s">
        <v>50</v>
      </c>
      <c r="H41" s="3" t="str">
        <f t="shared" si="1"/>
        <v>قم-سید حسین حسینی</v>
      </c>
      <c r="I41" s="5"/>
      <c r="J41" s="5"/>
      <c r="K41" s="6">
        <v>3020</v>
      </c>
      <c r="L41" s="6"/>
      <c r="M41" s="7">
        <f t="shared" si="2"/>
        <v>3020</v>
      </c>
      <c r="N41" s="6"/>
      <c r="O41" s="5"/>
    </row>
    <row r="42" spans="1:15" x14ac:dyDescent="0.2">
      <c r="A42" s="3">
        <f>IF($B42="","",COUNTA($B$9:$B42))</f>
        <v>34</v>
      </c>
      <c r="B42" s="4" t="s">
        <v>107</v>
      </c>
      <c r="C42" s="4"/>
      <c r="D42" s="4"/>
      <c r="E42" s="5" t="s">
        <v>39</v>
      </c>
      <c r="F42" s="3" t="str">
        <f t="shared" si="0"/>
        <v>ورود</v>
      </c>
      <c r="G42" s="4" t="s">
        <v>120</v>
      </c>
      <c r="H42" s="3" t="str">
        <f t="shared" si="1"/>
        <v>میرقربان موسویان</v>
      </c>
      <c r="I42" s="5"/>
      <c r="J42" s="5" t="s">
        <v>42</v>
      </c>
      <c r="K42" s="6">
        <v>2115</v>
      </c>
      <c r="L42" s="6">
        <v>139</v>
      </c>
      <c r="M42" s="7">
        <f t="shared" si="2"/>
        <v>1887.4349999999999</v>
      </c>
      <c r="N42" s="6"/>
      <c r="O42" s="5"/>
    </row>
    <row r="43" spans="1:15" x14ac:dyDescent="0.2">
      <c r="A43" s="3">
        <f>IF($B43="","",COUNTA($B$9:$B43))</f>
        <v>35</v>
      </c>
      <c r="B43" s="4" t="s">
        <v>107</v>
      </c>
      <c r="C43" s="4"/>
      <c r="D43" s="4"/>
      <c r="E43" s="5" t="s">
        <v>39</v>
      </c>
      <c r="F43" s="3" t="str">
        <f t="shared" si="0"/>
        <v>ورود</v>
      </c>
      <c r="G43" s="4" t="s">
        <v>120</v>
      </c>
      <c r="H43" s="3" t="str">
        <f t="shared" si="1"/>
        <v>میرقربان موسویان</v>
      </c>
      <c r="I43" s="5"/>
      <c r="J43" s="5" t="s">
        <v>42</v>
      </c>
      <c r="K43" s="6">
        <v>570</v>
      </c>
      <c r="L43" s="6">
        <v>33</v>
      </c>
      <c r="M43" s="7">
        <f t="shared" si="2"/>
        <v>515.29499999999996</v>
      </c>
      <c r="N43" s="6"/>
      <c r="O43" s="5"/>
    </row>
    <row r="44" spans="1:15" x14ac:dyDescent="0.2">
      <c r="A44" s="3">
        <f>IF($B44="","",COUNTA($B$9:$B44))</f>
        <v>36</v>
      </c>
      <c r="B44" s="4" t="s">
        <v>107</v>
      </c>
      <c r="C44" s="4"/>
      <c r="D44" s="4"/>
      <c r="E44" s="5" t="s">
        <v>39</v>
      </c>
      <c r="F44" s="3" t="str">
        <f t="shared" si="0"/>
        <v>ورود</v>
      </c>
      <c r="G44" s="4" t="s">
        <v>127</v>
      </c>
      <c r="H44" s="3" t="str">
        <f t="shared" si="1"/>
        <v>کاظم میرزازاده</v>
      </c>
      <c r="I44" s="5"/>
      <c r="J44" s="5" t="s">
        <v>124</v>
      </c>
      <c r="K44" s="6">
        <v>205</v>
      </c>
      <c r="L44" s="6">
        <v>11</v>
      </c>
      <c r="M44" s="7">
        <f t="shared" si="2"/>
        <v>186.61500000000001</v>
      </c>
      <c r="N44" s="6"/>
      <c r="O44" s="5"/>
    </row>
    <row r="45" spans="1:15" x14ac:dyDescent="0.2">
      <c r="A45" s="3">
        <f>IF($B45="","",COUNTA($B$9:$B45))</f>
        <v>37</v>
      </c>
      <c r="B45" s="4" t="s">
        <v>107</v>
      </c>
      <c r="C45" s="4"/>
      <c r="D45" s="4"/>
      <c r="E45" s="5" t="s">
        <v>39</v>
      </c>
      <c r="F45" s="3" t="str">
        <f t="shared" si="0"/>
        <v>ورود</v>
      </c>
      <c r="G45" s="4" t="s">
        <v>128</v>
      </c>
      <c r="H45" s="3" t="str">
        <f t="shared" si="1"/>
        <v>علی جانبرارپور</v>
      </c>
      <c r="I45" s="5"/>
      <c r="J45" s="5" t="s">
        <v>124</v>
      </c>
      <c r="K45" s="6">
        <v>390</v>
      </c>
      <c r="L45" s="6">
        <v>21</v>
      </c>
      <c r="M45" s="7">
        <f t="shared" si="2"/>
        <v>354.91500000000002</v>
      </c>
      <c r="N45" s="6"/>
      <c r="O45" s="5"/>
    </row>
    <row r="46" spans="1:15" x14ac:dyDescent="0.2">
      <c r="A46" s="3">
        <f>IF($B46="","",COUNTA($B$9:$B46))</f>
        <v>38</v>
      </c>
      <c r="B46" s="4" t="s">
        <v>107</v>
      </c>
      <c r="C46" s="4"/>
      <c r="D46" s="4"/>
      <c r="E46" s="5" t="s">
        <v>39</v>
      </c>
      <c r="F46" s="3" t="str">
        <f t="shared" si="0"/>
        <v>ورود</v>
      </c>
      <c r="G46" s="4" t="s">
        <v>127</v>
      </c>
      <c r="H46" s="3" t="str">
        <f t="shared" si="1"/>
        <v>کاظم میرزازاده</v>
      </c>
      <c r="I46" s="5"/>
      <c r="J46" s="5" t="s">
        <v>42</v>
      </c>
      <c r="K46" s="6">
        <v>935</v>
      </c>
      <c r="L46" s="6">
        <v>55</v>
      </c>
      <c r="M46" s="7">
        <f t="shared" si="2"/>
        <v>843.97500000000002</v>
      </c>
      <c r="N46" s="6"/>
      <c r="O46" s="5"/>
    </row>
    <row r="47" spans="1:15" x14ac:dyDescent="0.2">
      <c r="A47" s="3">
        <f>IF($B47="","",COUNTA($B$9:$B47))</f>
        <v>39</v>
      </c>
      <c r="B47" s="4" t="s">
        <v>123</v>
      </c>
      <c r="C47" s="4"/>
      <c r="D47" s="4"/>
      <c r="E47" s="5" t="s">
        <v>49</v>
      </c>
      <c r="F47" s="3" t="str">
        <f t="shared" si="0"/>
        <v>خروج</v>
      </c>
      <c r="G47" s="4" t="s">
        <v>54</v>
      </c>
      <c r="H47" s="3" t="str">
        <f t="shared" si="1"/>
        <v>مشهد-محمد توکلی</v>
      </c>
      <c r="I47" s="5"/>
      <c r="J47" s="5"/>
      <c r="K47" s="6">
        <v>3065</v>
      </c>
      <c r="L47" s="6"/>
      <c r="M47" s="7">
        <f t="shared" si="2"/>
        <v>3065</v>
      </c>
      <c r="N47" s="6"/>
      <c r="O47" s="5"/>
    </row>
    <row r="48" spans="1:15" x14ac:dyDescent="0.2">
      <c r="A48" s="3">
        <f>IF($B48="","",COUNTA($B$9:$B48))</f>
        <v>40</v>
      </c>
      <c r="B48" s="4" t="s">
        <v>123</v>
      </c>
      <c r="C48" s="4"/>
      <c r="D48" s="4"/>
      <c r="E48" s="5" t="s">
        <v>39</v>
      </c>
      <c r="F48" s="3" t="str">
        <f t="shared" si="0"/>
        <v>ورود</v>
      </c>
      <c r="G48" s="4" t="s">
        <v>122</v>
      </c>
      <c r="H48" s="3" t="str">
        <f t="shared" si="1"/>
        <v>یوسف یوسف نژاد</v>
      </c>
      <c r="I48" s="5"/>
      <c r="J48" s="5" t="s">
        <v>42</v>
      </c>
      <c r="K48" s="6">
        <v>1185</v>
      </c>
      <c r="L48" s="6">
        <v>71</v>
      </c>
      <c r="M48" s="7">
        <f t="shared" si="2"/>
        <v>1067.7149999999999</v>
      </c>
      <c r="N48" s="6"/>
      <c r="O48" s="5"/>
    </row>
    <row r="49" spans="1:15" x14ac:dyDescent="0.2">
      <c r="A49" s="3">
        <f>IF($B49="","",COUNTA($B$9:$B49))</f>
        <v>41</v>
      </c>
      <c r="B49" s="4" t="s">
        <v>123</v>
      </c>
      <c r="C49" s="4"/>
      <c r="D49" s="4"/>
      <c r="E49" s="5" t="s">
        <v>39</v>
      </c>
      <c r="F49" s="3" t="str">
        <f t="shared" si="0"/>
        <v>ورود</v>
      </c>
      <c r="G49" s="4" t="s">
        <v>122</v>
      </c>
      <c r="H49" s="3" t="str">
        <f t="shared" si="1"/>
        <v>یوسف یوسف نژاد</v>
      </c>
      <c r="I49" s="5"/>
      <c r="J49" s="5" t="s">
        <v>42</v>
      </c>
      <c r="K49" s="6">
        <v>770</v>
      </c>
      <c r="L49" s="6">
        <v>50</v>
      </c>
      <c r="M49" s="7">
        <f t="shared" si="2"/>
        <v>688.05</v>
      </c>
      <c r="N49" s="6"/>
      <c r="O49" s="5"/>
    </row>
    <row r="50" spans="1:15" x14ac:dyDescent="0.2">
      <c r="A50" s="3">
        <f>IF($B50="","",COUNTA($B$9:$B50))</f>
        <v>42</v>
      </c>
      <c r="B50" s="4" t="s">
        <v>123</v>
      </c>
      <c r="C50" s="4"/>
      <c r="D50" s="4"/>
      <c r="E50" s="5" t="s">
        <v>49</v>
      </c>
      <c r="F50" s="3" t="str">
        <f t="shared" si="0"/>
        <v>خروج</v>
      </c>
      <c r="G50" s="4" t="s">
        <v>58</v>
      </c>
      <c r="H50" s="3" t="str">
        <f t="shared" si="1"/>
        <v>اراک-پوریا خوشنمکیان</v>
      </c>
      <c r="I50" s="5"/>
      <c r="J50" s="5"/>
      <c r="K50" s="6">
        <v>3035</v>
      </c>
      <c r="L50" s="6"/>
      <c r="M50" s="7">
        <f t="shared" si="2"/>
        <v>3035</v>
      </c>
      <c r="N50" s="6"/>
      <c r="O50" s="5"/>
    </row>
    <row r="51" spans="1:15" x14ac:dyDescent="0.2">
      <c r="A51" s="3">
        <f>IF($B51="","",COUNTA($B$9:$B51))</f>
        <v>43</v>
      </c>
      <c r="B51" s="4" t="s">
        <v>123</v>
      </c>
      <c r="C51" s="4"/>
      <c r="D51" s="4"/>
      <c r="E51" s="5" t="s">
        <v>49</v>
      </c>
      <c r="F51" s="3" t="str">
        <f t="shared" si="0"/>
        <v>خروج</v>
      </c>
      <c r="G51" s="4" t="s">
        <v>50</v>
      </c>
      <c r="H51" s="3" t="str">
        <f t="shared" si="1"/>
        <v>قم-سید حسین حسینی</v>
      </c>
      <c r="I51" s="5"/>
      <c r="J51" s="5"/>
      <c r="K51" s="6">
        <v>2210</v>
      </c>
      <c r="L51" s="6"/>
      <c r="M51" s="7">
        <f t="shared" si="2"/>
        <v>2210</v>
      </c>
      <c r="N51" s="6"/>
      <c r="O51" s="5"/>
    </row>
    <row r="52" spans="1:15" x14ac:dyDescent="0.2">
      <c r="A52" s="3">
        <f>IF($B52="","",COUNTA($B$9:$B52))</f>
        <v>44</v>
      </c>
      <c r="B52" s="4" t="s">
        <v>123</v>
      </c>
      <c r="C52" s="4"/>
      <c r="D52" s="4"/>
      <c r="E52" s="5" t="s">
        <v>39</v>
      </c>
      <c r="F52" s="3" t="str">
        <f t="shared" si="0"/>
        <v>ورود</v>
      </c>
      <c r="G52" s="4" t="s">
        <v>133</v>
      </c>
      <c r="H52" s="3" t="str">
        <f t="shared" si="1"/>
        <v>کاظم ذبیح پور</v>
      </c>
      <c r="I52" s="5"/>
      <c r="J52" s="5" t="s">
        <v>42</v>
      </c>
      <c r="K52" s="6">
        <v>665</v>
      </c>
      <c r="L52" s="6">
        <v>37</v>
      </c>
      <c r="M52" s="7">
        <f t="shared" si="2"/>
        <v>603.40499999999997</v>
      </c>
      <c r="N52" s="6"/>
      <c r="O52" s="5"/>
    </row>
    <row r="53" spans="1:15" x14ac:dyDescent="0.2">
      <c r="A53" s="3">
        <f>IF($B53="","",COUNTA($B$9:$B53))</f>
        <v>45</v>
      </c>
      <c r="B53" s="4" t="s">
        <v>123</v>
      </c>
      <c r="C53" s="4"/>
      <c r="D53" s="4"/>
      <c r="E53" s="5" t="s">
        <v>39</v>
      </c>
      <c r="F53" s="3" t="str">
        <f t="shared" si="0"/>
        <v>ورود</v>
      </c>
      <c r="G53" s="4" t="s">
        <v>130</v>
      </c>
      <c r="H53" s="3" t="str">
        <f t="shared" si="1"/>
        <v>دومیری</v>
      </c>
      <c r="I53" s="5"/>
      <c r="J53" s="5" t="s">
        <v>42</v>
      </c>
      <c r="K53" s="6">
        <v>710</v>
      </c>
      <c r="L53" s="6">
        <v>64</v>
      </c>
      <c r="M53" s="7">
        <f t="shared" si="2"/>
        <v>607.86</v>
      </c>
      <c r="N53" s="6"/>
      <c r="O53" s="5"/>
    </row>
    <row r="54" spans="1:15" x14ac:dyDescent="0.2">
      <c r="A54" s="3">
        <f>IF($B54="","",COUNTA($B$9:$B54))</f>
        <v>46</v>
      </c>
      <c r="B54" s="4" t="s">
        <v>123</v>
      </c>
      <c r="C54" s="4"/>
      <c r="D54" s="4"/>
      <c r="E54" s="5" t="s">
        <v>39</v>
      </c>
      <c r="F54" s="3" t="str">
        <f t="shared" si="0"/>
        <v>ورود</v>
      </c>
      <c r="G54" s="4" t="s">
        <v>131</v>
      </c>
      <c r="H54" s="3" t="str">
        <f t="shared" si="1"/>
        <v>شمسعلی علیجانی</v>
      </c>
      <c r="I54" s="5"/>
      <c r="J54" s="5" t="s">
        <v>124</v>
      </c>
      <c r="K54" s="6">
        <v>340</v>
      </c>
      <c r="L54" s="6">
        <v>19</v>
      </c>
      <c r="M54" s="7">
        <f t="shared" si="2"/>
        <v>308.38499999999999</v>
      </c>
      <c r="N54" s="6"/>
      <c r="O54" s="5"/>
    </row>
    <row r="55" spans="1:15" x14ac:dyDescent="0.2">
      <c r="A55" s="3">
        <f>IF($B55="","",COUNTA($B$9:$B55))</f>
        <v>47</v>
      </c>
      <c r="B55" s="4" t="s">
        <v>126</v>
      </c>
      <c r="C55" s="4"/>
      <c r="D55" s="4"/>
      <c r="E55" s="5" t="s">
        <v>39</v>
      </c>
      <c r="F55" s="3" t="str">
        <f t="shared" si="0"/>
        <v>ورود</v>
      </c>
      <c r="G55" s="4" t="s">
        <v>132</v>
      </c>
      <c r="H55" s="3" t="str">
        <f t="shared" si="1"/>
        <v>یوسف نیا(موزیج)</v>
      </c>
      <c r="I55" s="5"/>
      <c r="J55" s="5" t="s">
        <v>42</v>
      </c>
      <c r="K55" s="6">
        <v>2345</v>
      </c>
      <c r="L55" s="6">
        <v>142</v>
      </c>
      <c r="M55" s="7">
        <f t="shared" si="2"/>
        <v>2110.6799999999998</v>
      </c>
      <c r="N55" s="6"/>
      <c r="O55" s="5"/>
    </row>
    <row r="56" spans="1:15" x14ac:dyDescent="0.2">
      <c r="A56" s="3">
        <f>IF($B56="","",COUNTA($B$9:$B56))</f>
        <v>48</v>
      </c>
      <c r="B56" s="4" t="s">
        <v>126</v>
      </c>
      <c r="C56" s="4"/>
      <c r="D56" s="4"/>
      <c r="E56" s="5" t="s">
        <v>49</v>
      </c>
      <c r="F56" s="3" t="str">
        <f t="shared" si="0"/>
        <v>خروج</v>
      </c>
      <c r="G56" s="4" t="s">
        <v>61</v>
      </c>
      <c r="H56" s="3" t="str">
        <f t="shared" si="1"/>
        <v>نورزاده-تبریز</v>
      </c>
      <c r="I56" s="5"/>
      <c r="J56" s="5"/>
      <c r="K56" s="6">
        <v>4755</v>
      </c>
      <c r="L56" s="6"/>
      <c r="M56" s="7">
        <f t="shared" si="2"/>
        <v>4755</v>
      </c>
      <c r="N56" s="6"/>
      <c r="O56" s="5"/>
    </row>
    <row r="57" spans="1:15" x14ac:dyDescent="0.2">
      <c r="A57" s="3">
        <f>IF($B57="","",COUNTA($B$9:$B57))</f>
        <v>49</v>
      </c>
      <c r="B57" s="4" t="s">
        <v>126</v>
      </c>
      <c r="C57" s="4"/>
      <c r="D57" s="4"/>
      <c r="E57" s="5" t="s">
        <v>39</v>
      </c>
      <c r="F57" s="3" t="str">
        <f t="shared" si="0"/>
        <v>ورود</v>
      </c>
      <c r="G57" s="4" t="s">
        <v>133</v>
      </c>
      <c r="H57" s="3" t="str">
        <f t="shared" si="1"/>
        <v>کاظم ذبیح پور</v>
      </c>
      <c r="I57" s="5"/>
      <c r="J57" s="5" t="s">
        <v>124</v>
      </c>
      <c r="K57" s="6">
        <v>555</v>
      </c>
      <c r="L57" s="6">
        <v>31</v>
      </c>
      <c r="M57" s="7">
        <f t="shared" si="2"/>
        <v>503.41500000000002</v>
      </c>
      <c r="N57" s="6"/>
      <c r="O57" s="5"/>
    </row>
    <row r="58" spans="1:15" x14ac:dyDescent="0.2">
      <c r="A58" s="3">
        <f>IF($B58="","",COUNTA($B$9:$B58))</f>
        <v>50</v>
      </c>
      <c r="B58" s="4" t="s">
        <v>126</v>
      </c>
      <c r="C58" s="4"/>
      <c r="D58" s="4"/>
      <c r="E58" s="5" t="s">
        <v>39</v>
      </c>
      <c r="F58" s="3" t="str">
        <f t="shared" si="0"/>
        <v>ورود</v>
      </c>
      <c r="G58" s="4" t="s">
        <v>117</v>
      </c>
      <c r="H58" s="3" t="str">
        <f t="shared" si="1"/>
        <v>دبیر فرجی</v>
      </c>
      <c r="I58" s="5"/>
      <c r="J58" s="5" t="s">
        <v>42</v>
      </c>
      <c r="K58" s="6">
        <v>1335</v>
      </c>
      <c r="L58" s="6">
        <v>80</v>
      </c>
      <c r="M58" s="7">
        <f t="shared" si="2"/>
        <v>1202.8499999999999</v>
      </c>
      <c r="N58" s="6"/>
      <c r="O58" s="5"/>
    </row>
    <row r="59" spans="1:15" x14ac:dyDescent="0.2">
      <c r="A59" s="3">
        <f>IF($B59="","",COUNTA($B$9:$B59))</f>
        <v>51</v>
      </c>
      <c r="B59" s="4" t="s">
        <v>126</v>
      </c>
      <c r="C59" s="4"/>
      <c r="D59" s="4"/>
      <c r="E59" s="5" t="s">
        <v>39</v>
      </c>
      <c r="F59" s="3" t="str">
        <f t="shared" si="0"/>
        <v>ورود</v>
      </c>
      <c r="G59" s="4" t="s">
        <v>133</v>
      </c>
      <c r="H59" s="3" t="str">
        <f t="shared" si="1"/>
        <v>کاظم ذبیح پور</v>
      </c>
      <c r="I59" s="5"/>
      <c r="J59" s="5" t="s">
        <v>42</v>
      </c>
      <c r="K59" s="6"/>
      <c r="L59" s="6">
        <v>28</v>
      </c>
      <c r="M59" s="7" t="str">
        <f t="shared" si="2"/>
        <v/>
      </c>
      <c r="N59" s="6"/>
      <c r="O59" s="5"/>
    </row>
    <row r="60" spans="1:15" x14ac:dyDescent="0.2">
      <c r="A60" s="3">
        <f>IF($B60="","",COUNTA($B$9:$B60))</f>
        <v>52</v>
      </c>
      <c r="B60" s="4" t="s">
        <v>134</v>
      </c>
      <c r="C60" s="4"/>
      <c r="D60" s="4"/>
      <c r="E60" s="5" t="s">
        <v>49</v>
      </c>
      <c r="F60" s="3" t="str">
        <f t="shared" si="0"/>
        <v>خروج</v>
      </c>
      <c r="G60" s="4" t="s">
        <v>50</v>
      </c>
      <c r="H60" s="3" t="str">
        <f t="shared" si="1"/>
        <v>قم-سید حسین حسینی</v>
      </c>
      <c r="I60" s="5"/>
      <c r="J60" s="5"/>
      <c r="K60" s="6">
        <v>3035</v>
      </c>
      <c r="L60" s="6">
        <v>0</v>
      </c>
      <c r="M60" s="7">
        <f t="shared" si="2"/>
        <v>3035</v>
      </c>
      <c r="N60" s="6"/>
      <c r="O60" s="5"/>
    </row>
    <row r="61" spans="1:15" x14ac:dyDescent="0.2">
      <c r="A61" s="3">
        <f>IF($B61="","",COUNTA($B$9:$B61))</f>
        <v>53</v>
      </c>
      <c r="B61" s="4" t="s">
        <v>134</v>
      </c>
      <c r="C61" s="4"/>
      <c r="D61" s="4"/>
      <c r="E61" s="5" t="s">
        <v>49</v>
      </c>
      <c r="F61" s="3" t="str">
        <f t="shared" si="0"/>
        <v>خروج</v>
      </c>
      <c r="G61" s="4" t="s">
        <v>58</v>
      </c>
      <c r="H61" s="3" t="str">
        <f t="shared" si="1"/>
        <v>اراک-پوریا خوشنمکیان</v>
      </c>
      <c r="I61" s="5"/>
      <c r="J61" s="5"/>
      <c r="K61" s="6">
        <v>3190</v>
      </c>
      <c r="L61" s="6">
        <v>0</v>
      </c>
      <c r="M61" s="7">
        <f t="shared" si="2"/>
        <v>3190</v>
      </c>
      <c r="N61" s="6"/>
      <c r="O61" s="5"/>
    </row>
    <row r="62" spans="1:15" x14ac:dyDescent="0.2">
      <c r="A62" s="3">
        <f>IF($B62="","",COUNTA($B$9:$B62))</f>
        <v>54</v>
      </c>
      <c r="B62" s="4" t="s">
        <v>134</v>
      </c>
      <c r="C62" s="4"/>
      <c r="D62" s="4"/>
      <c r="E62" s="5" t="s">
        <v>39</v>
      </c>
      <c r="F62" s="3" t="str">
        <f t="shared" si="0"/>
        <v>ورود</v>
      </c>
      <c r="G62" s="4" t="s">
        <v>135</v>
      </c>
      <c r="H62" s="3" t="str">
        <f t="shared" si="1"/>
        <v>علی غلام رضاپور</v>
      </c>
      <c r="I62" s="5"/>
      <c r="J62" s="5" t="s">
        <v>124</v>
      </c>
      <c r="K62" s="6">
        <v>62</v>
      </c>
      <c r="L62" s="6">
        <v>4</v>
      </c>
      <c r="M62" s="7">
        <f t="shared" si="2"/>
        <v>55.44</v>
      </c>
      <c r="N62" s="6"/>
      <c r="O62" s="5"/>
    </row>
    <row r="63" spans="1:15" x14ac:dyDescent="0.2">
      <c r="A63" s="3">
        <f>IF($B63="","",COUNTA($B$9:$B63))</f>
        <v>55</v>
      </c>
      <c r="B63" s="4" t="s">
        <v>134</v>
      </c>
      <c r="C63" s="4"/>
      <c r="D63" s="4"/>
      <c r="E63" s="5" t="s">
        <v>39</v>
      </c>
      <c r="F63" s="3" t="str">
        <f t="shared" si="0"/>
        <v>ورود</v>
      </c>
      <c r="G63" s="4" t="s">
        <v>136</v>
      </c>
      <c r="H63" s="3" t="str">
        <f t="shared" si="1"/>
        <v>زینب زاهدی</v>
      </c>
      <c r="I63" s="5"/>
      <c r="J63" s="5" t="s">
        <v>42</v>
      </c>
      <c r="K63" s="6">
        <v>65</v>
      </c>
      <c r="L63" s="6">
        <v>4</v>
      </c>
      <c r="M63" s="7">
        <f t="shared" si="2"/>
        <v>58.41</v>
      </c>
      <c r="N63" s="6"/>
      <c r="O63" s="5"/>
    </row>
    <row r="64" spans="1:15" x14ac:dyDescent="0.2">
      <c r="A64" s="3">
        <f>IF($B64="","",COUNTA($B$9:$B64))</f>
        <v>56</v>
      </c>
      <c r="B64" s="4" t="s">
        <v>134</v>
      </c>
      <c r="C64" s="4"/>
      <c r="D64" s="4"/>
      <c r="E64" s="5" t="s">
        <v>49</v>
      </c>
      <c r="F64" s="3" t="str">
        <f t="shared" si="0"/>
        <v>خروج</v>
      </c>
      <c r="G64" s="4" t="s">
        <v>54</v>
      </c>
      <c r="H64" s="3" t="str">
        <f t="shared" si="1"/>
        <v>مشهد-محمد توکلی</v>
      </c>
      <c r="I64" s="5"/>
      <c r="J64" s="5"/>
      <c r="K64" s="6">
        <v>2220</v>
      </c>
      <c r="L64" s="6">
        <v>0</v>
      </c>
      <c r="M64" s="7">
        <f t="shared" si="2"/>
        <v>2220</v>
      </c>
      <c r="N64" s="6"/>
      <c r="O64" s="5"/>
    </row>
    <row r="65" spans="1:15" x14ac:dyDescent="0.2">
      <c r="A65" s="3">
        <f>IF($B65="","",COUNTA($B$9:$B65))</f>
        <v>57</v>
      </c>
      <c r="B65" s="4" t="s">
        <v>134</v>
      </c>
      <c r="C65" s="4"/>
      <c r="D65" s="4"/>
      <c r="E65" s="5" t="s">
        <v>39</v>
      </c>
      <c r="F65" s="3" t="str">
        <f t="shared" si="0"/>
        <v>ورود</v>
      </c>
      <c r="G65" s="4" t="s">
        <v>117</v>
      </c>
      <c r="H65" s="3" t="str">
        <f t="shared" si="1"/>
        <v>دبیر فرجی</v>
      </c>
      <c r="I65" s="5"/>
      <c r="J65" s="5" t="s">
        <v>42</v>
      </c>
      <c r="K65" s="6">
        <v>132</v>
      </c>
      <c r="L65" s="6">
        <v>8</v>
      </c>
      <c r="M65" s="7">
        <f t="shared" si="2"/>
        <v>118.8</v>
      </c>
      <c r="N65" s="6"/>
      <c r="O65" s="5"/>
    </row>
    <row r="66" spans="1:15" x14ac:dyDescent="0.2">
      <c r="A66" s="3">
        <f>IF($B66="","",COUNTA($B$9:$B66))</f>
        <v>58</v>
      </c>
      <c r="B66" s="4" t="s">
        <v>134</v>
      </c>
      <c r="C66" s="4"/>
      <c r="D66" s="4"/>
      <c r="E66" s="5" t="s">
        <v>39</v>
      </c>
      <c r="F66" s="3" t="str">
        <f t="shared" si="0"/>
        <v>ورود</v>
      </c>
      <c r="G66" s="4" t="s">
        <v>117</v>
      </c>
      <c r="H66" s="3" t="str">
        <f t="shared" si="1"/>
        <v>دبیر فرجی</v>
      </c>
      <c r="I66" s="5"/>
      <c r="J66" s="5" t="s">
        <v>124</v>
      </c>
      <c r="K66" s="6">
        <v>235</v>
      </c>
      <c r="L66" s="6">
        <v>14</v>
      </c>
      <c r="M66" s="7">
        <f t="shared" si="2"/>
        <v>211.85999999999999</v>
      </c>
      <c r="N66" s="6"/>
      <c r="O66" s="5"/>
    </row>
    <row r="67" spans="1:15" x14ac:dyDescent="0.2">
      <c r="A67" s="3">
        <f>IF($B67="","",COUNTA($B$9:$B67))</f>
        <v>59</v>
      </c>
      <c r="B67" s="4" t="s">
        <v>134</v>
      </c>
      <c r="C67" s="4"/>
      <c r="D67" s="4"/>
      <c r="E67" s="5" t="s">
        <v>39</v>
      </c>
      <c r="F67" s="3" t="str">
        <f t="shared" si="0"/>
        <v>ورود</v>
      </c>
      <c r="G67" s="4" t="s">
        <v>137</v>
      </c>
      <c r="H67" s="3" t="str">
        <f t="shared" si="1"/>
        <v>حسین شکرالله نیا</v>
      </c>
      <c r="I67" s="5"/>
      <c r="J67" s="5" t="s">
        <v>42</v>
      </c>
      <c r="K67" s="6">
        <v>1130</v>
      </c>
      <c r="L67" s="6">
        <v>71</v>
      </c>
      <c r="M67" s="7">
        <f t="shared" si="2"/>
        <v>1013.265</v>
      </c>
      <c r="N67" s="6"/>
      <c r="O67" s="5"/>
    </row>
    <row r="68" spans="1:15" x14ac:dyDescent="0.2">
      <c r="A68" s="3">
        <f>IF($B68="","",COUNTA($B$9:$B68))</f>
        <v>60</v>
      </c>
      <c r="B68" s="4" t="s">
        <v>134</v>
      </c>
      <c r="C68" s="4"/>
      <c r="D68" s="4"/>
      <c r="E68" s="5" t="s">
        <v>39</v>
      </c>
      <c r="F68" s="3" t="str">
        <f t="shared" si="0"/>
        <v>ورود</v>
      </c>
      <c r="G68" s="4" t="s">
        <v>137</v>
      </c>
      <c r="H68" s="3" t="str">
        <f t="shared" si="1"/>
        <v>حسین شکرالله نیا</v>
      </c>
      <c r="I68" s="5"/>
      <c r="J68" s="5" t="s">
        <v>124</v>
      </c>
      <c r="K68" s="6">
        <v>260</v>
      </c>
      <c r="L68" s="6">
        <v>16</v>
      </c>
      <c r="M68" s="7">
        <f t="shared" si="2"/>
        <v>233.64</v>
      </c>
      <c r="N68" s="6"/>
      <c r="O68" s="5"/>
    </row>
    <row r="69" spans="1:15" x14ac:dyDescent="0.2">
      <c r="A69" s="3">
        <f>IF($B69="","",COUNTA($B$9:$B69))</f>
        <v>61</v>
      </c>
      <c r="B69" s="4" t="s">
        <v>134</v>
      </c>
      <c r="C69" s="4"/>
      <c r="D69" s="4"/>
      <c r="E69" s="5" t="s">
        <v>39</v>
      </c>
      <c r="F69" s="3" t="str">
        <f t="shared" si="0"/>
        <v>ورود</v>
      </c>
      <c r="G69" s="4" t="s">
        <v>138</v>
      </c>
      <c r="H69" s="3" t="str">
        <f t="shared" si="1"/>
        <v>سید مهدی حسینی(دوست حاج هوشنگ)</v>
      </c>
      <c r="I69" s="5"/>
      <c r="J69" s="5" t="s">
        <v>124</v>
      </c>
      <c r="K69" s="6">
        <v>210</v>
      </c>
      <c r="L69" s="6">
        <v>10</v>
      </c>
      <c r="M69" s="7">
        <f t="shared" si="2"/>
        <v>193.05</v>
      </c>
      <c r="N69" s="6"/>
      <c r="O69" s="5"/>
    </row>
    <row r="70" spans="1:15" x14ac:dyDescent="0.2">
      <c r="A70" s="3">
        <f>IF($B70="","",COUNTA($B$9:$B70))</f>
        <v>62</v>
      </c>
      <c r="B70" s="4" t="s">
        <v>134</v>
      </c>
      <c r="C70" s="4"/>
      <c r="D70" s="4"/>
      <c r="E70" s="5" t="s">
        <v>39</v>
      </c>
      <c r="F70" s="3" t="str">
        <f t="shared" si="0"/>
        <v>ورود</v>
      </c>
      <c r="G70" s="4" t="s">
        <v>139</v>
      </c>
      <c r="H70" s="3" t="str">
        <f t="shared" si="1"/>
        <v>آقای عزیزی</v>
      </c>
      <c r="I70" s="5"/>
      <c r="J70" s="5" t="s">
        <v>143</v>
      </c>
      <c r="K70" s="6">
        <v>42</v>
      </c>
      <c r="L70" s="6">
        <v>2</v>
      </c>
      <c r="M70" s="7">
        <f t="shared" si="2"/>
        <v>38.61</v>
      </c>
      <c r="N70" s="6"/>
      <c r="O70" s="5"/>
    </row>
    <row r="71" spans="1:15" x14ac:dyDescent="0.2">
      <c r="A71" s="3">
        <f>IF($B71="","",COUNTA($B$9:$B71))</f>
        <v>63</v>
      </c>
      <c r="B71" s="4" t="s">
        <v>134</v>
      </c>
      <c r="C71" s="4"/>
      <c r="D71" s="4"/>
      <c r="E71" s="5" t="s">
        <v>39</v>
      </c>
      <c r="F71" s="3" t="str">
        <f t="shared" si="0"/>
        <v>ورود</v>
      </c>
      <c r="G71" s="4" t="s">
        <v>140</v>
      </c>
      <c r="H71" s="3" t="str">
        <f t="shared" si="1"/>
        <v>آقای حبیبی(بانک صادرات)</v>
      </c>
      <c r="I71" s="5"/>
      <c r="J71" s="5" t="s">
        <v>42</v>
      </c>
      <c r="K71" s="6">
        <v>710</v>
      </c>
      <c r="L71" s="6">
        <v>41</v>
      </c>
      <c r="M71" s="7">
        <f t="shared" si="2"/>
        <v>642.01499999999999</v>
      </c>
      <c r="N71" s="6"/>
      <c r="O71" s="5"/>
    </row>
    <row r="72" spans="1:15" x14ac:dyDescent="0.2">
      <c r="A72" s="3">
        <f>IF($B72="","",COUNTA($B$9:$B72))</f>
        <v>64</v>
      </c>
      <c r="B72" s="4" t="s">
        <v>134</v>
      </c>
      <c r="C72" s="4"/>
      <c r="D72" s="4"/>
      <c r="E72" s="5" t="s">
        <v>39</v>
      </c>
      <c r="F72" s="3" t="str">
        <f t="shared" si="0"/>
        <v>ورود</v>
      </c>
      <c r="G72" s="4" t="s">
        <v>141</v>
      </c>
      <c r="H72" s="3" t="str">
        <f t="shared" si="1"/>
        <v>محمد علی اصغرزاده</v>
      </c>
      <c r="I72" s="5"/>
      <c r="J72" s="5" t="s">
        <v>124</v>
      </c>
      <c r="K72" s="6">
        <v>35</v>
      </c>
      <c r="L72" s="6">
        <v>2</v>
      </c>
      <c r="M72" s="7">
        <f t="shared" si="2"/>
        <v>31.68</v>
      </c>
      <c r="N72" s="6"/>
      <c r="O72" s="5"/>
    </row>
    <row r="73" spans="1:15" x14ac:dyDescent="0.2">
      <c r="A73" s="3">
        <f>IF($B73="","",COUNTA($B$9:$B73))</f>
        <v>65</v>
      </c>
      <c r="B73" s="4" t="s">
        <v>134</v>
      </c>
      <c r="C73" s="4"/>
      <c r="D73" s="4"/>
      <c r="E73" s="5" t="s">
        <v>39</v>
      </c>
      <c r="F73" s="3" t="str">
        <f t="shared" ref="F73:F136" si="3">IF($E73="","",IFERROR(VLOOKUP($E73,OpTbl,2,0),""))</f>
        <v>ورود</v>
      </c>
      <c r="G73" s="4" t="s">
        <v>141</v>
      </c>
      <c r="H73" s="3" t="str">
        <f t="shared" si="1"/>
        <v>محمد علی اصغرزاده</v>
      </c>
      <c r="I73" s="5"/>
      <c r="J73" s="5" t="s">
        <v>42</v>
      </c>
      <c r="K73" s="6">
        <v>465</v>
      </c>
      <c r="L73" s="6">
        <v>29</v>
      </c>
      <c r="M73" s="7">
        <f t="shared" ref="M73:M136" si="4">IF(OR($B73="",$K73=""),"",($K73-IF($L73="",0,$L73)*IFERROR(VLOOKUP("P01",ParamTbl,3,0),1.5))*(1-IF(IFERROR(VLOOKUP($E73,OpTbl,3,0),"")="خرید",IFERROR(VLOOKUP("P02",ParamTbl,3,0),1),0)/100))</f>
        <v>417.28499999999997</v>
      </c>
      <c r="N73" s="6"/>
      <c r="O73" s="5"/>
    </row>
    <row r="74" spans="1:15" x14ac:dyDescent="0.2">
      <c r="A74" s="3">
        <f>IF($B74="","",COUNTA($B$9:$B74))</f>
        <v>66</v>
      </c>
      <c r="B74" s="4" t="s">
        <v>134</v>
      </c>
      <c r="C74" s="4"/>
      <c r="D74" s="4"/>
      <c r="E74" s="5" t="s">
        <v>39</v>
      </c>
      <c r="F74" s="3" t="str">
        <f t="shared" si="3"/>
        <v>ورود</v>
      </c>
      <c r="G74" s="4" t="s">
        <v>142</v>
      </c>
      <c r="H74" s="3" t="str">
        <f t="shared" ref="H74" si="5">IF($G74="","",IFERROR(IF(VLOOKUP($G74,AcctTbl,4,0)="","(بدون نام)",VLOOKUP($G74,AcctTbl,4,0)),"کد ناشناخته"))</f>
        <v>فغان پور</v>
      </c>
      <c r="I74" s="5"/>
      <c r="J74" s="5" t="s">
        <v>124</v>
      </c>
      <c r="K74" s="6">
        <v>21</v>
      </c>
      <c r="L74" s="6">
        <v>0</v>
      </c>
      <c r="M74" s="7">
        <f t="shared" si="4"/>
        <v>20.79</v>
      </c>
      <c r="N74" s="6"/>
      <c r="O74" s="5"/>
    </row>
    <row r="75" spans="1:15" x14ac:dyDescent="0.2">
      <c r="A75" s="3">
        <f>IF($B75="","",COUNTA($B$9:$B75))</f>
        <v>67</v>
      </c>
      <c r="B75" s="4" t="s">
        <v>134</v>
      </c>
      <c r="C75" s="4"/>
      <c r="D75" s="4"/>
      <c r="E75" s="5" t="s">
        <v>39</v>
      </c>
      <c r="F75" s="3" t="str">
        <f t="shared" si="3"/>
        <v>ورود</v>
      </c>
      <c r="G75" s="4" t="s">
        <v>142</v>
      </c>
      <c r="H75" s="3" t="str">
        <f t="shared" si="1"/>
        <v>فغان پور</v>
      </c>
      <c r="I75" s="5"/>
      <c r="J75" s="5" t="s">
        <v>124</v>
      </c>
      <c r="K75" s="6">
        <v>75</v>
      </c>
      <c r="L75" s="6">
        <v>0</v>
      </c>
      <c r="M75" s="7">
        <f t="shared" si="4"/>
        <v>74.25</v>
      </c>
      <c r="N75" s="6"/>
      <c r="O75" s="5"/>
    </row>
    <row r="76" spans="1:15" x14ac:dyDescent="0.2">
      <c r="A76" s="3">
        <f>IF($B76="","",COUNTA($B$9:$B76))</f>
        <v>68</v>
      </c>
      <c r="B76" s="4" t="s">
        <v>134</v>
      </c>
      <c r="C76" s="4"/>
      <c r="D76" s="4"/>
      <c r="E76" s="5" t="s">
        <v>39</v>
      </c>
      <c r="F76" s="3" t="str">
        <f t="shared" si="3"/>
        <v>ورود</v>
      </c>
      <c r="G76" s="4" t="s">
        <v>103</v>
      </c>
      <c r="H76" s="3" t="str">
        <f t="shared" ref="H76:H81" si="6">IF($G76="","",IFERROR(IF(VLOOKUP($G76,AcctTbl,4,0)="","(بدون نام)",VLOOKUP($G76,AcctTbl,4,0)),"کد ناشناخته"))</f>
        <v>زینب زاهدی</v>
      </c>
      <c r="I76" s="5"/>
      <c r="J76" s="5" t="s">
        <v>124</v>
      </c>
      <c r="K76" s="6">
        <v>55</v>
      </c>
      <c r="L76" s="6">
        <v>3</v>
      </c>
      <c r="M76" s="7">
        <f t="shared" si="4"/>
        <v>49.994999999999997</v>
      </c>
      <c r="N76" s="6"/>
      <c r="O76" s="5"/>
    </row>
    <row r="77" spans="1:15" x14ac:dyDescent="0.2">
      <c r="A77" s="3">
        <f>IF($B77="","",COUNTA($B$9:$B77))</f>
        <v>69</v>
      </c>
      <c r="B77" s="4" t="s">
        <v>144</v>
      </c>
      <c r="C77" s="4"/>
      <c r="D77" s="4"/>
      <c r="E77" s="5" t="s">
        <v>39</v>
      </c>
      <c r="F77" s="3" t="str">
        <f t="shared" si="3"/>
        <v>ورود</v>
      </c>
      <c r="G77" s="4" t="s">
        <v>146</v>
      </c>
      <c r="H77" s="3" t="str">
        <f t="shared" si="6"/>
        <v>عباس پور(بهنمیر)</v>
      </c>
      <c r="I77" s="5"/>
      <c r="J77" s="5" t="s">
        <v>42</v>
      </c>
      <c r="K77" s="6">
        <v>2285</v>
      </c>
      <c r="L77" s="6">
        <v>147</v>
      </c>
      <c r="M77" s="7">
        <f t="shared" si="4"/>
        <v>2043.855</v>
      </c>
      <c r="N77" s="6"/>
      <c r="O77" s="5"/>
    </row>
    <row r="78" spans="1:15" x14ac:dyDescent="0.2">
      <c r="A78" s="3">
        <f>IF($B78="","",COUNTA($B$9:$B78))</f>
        <v>70</v>
      </c>
      <c r="B78" s="4" t="s">
        <v>144</v>
      </c>
      <c r="C78" s="4"/>
      <c r="D78" s="4"/>
      <c r="E78" s="5" t="s">
        <v>39</v>
      </c>
      <c r="F78" s="3" t="str">
        <f t="shared" si="3"/>
        <v>ورود</v>
      </c>
      <c r="G78" s="4" t="s">
        <v>147</v>
      </c>
      <c r="H78" s="3" t="str">
        <f t="shared" si="6"/>
        <v>رمضان خانیا(فرهاد پلنگ)</v>
      </c>
      <c r="I78" s="5"/>
      <c r="J78" s="5" t="s">
        <v>124</v>
      </c>
      <c r="K78" s="6">
        <v>35</v>
      </c>
      <c r="L78" s="6"/>
      <c r="M78" s="7">
        <f t="shared" si="4"/>
        <v>34.65</v>
      </c>
      <c r="N78" s="6"/>
      <c r="O78" s="5"/>
    </row>
    <row r="79" spans="1:15" x14ac:dyDescent="0.2">
      <c r="A79" s="3">
        <f>IF($B79="","",COUNTA($B$9:$B79))</f>
        <v>71</v>
      </c>
      <c r="B79" s="4" t="s">
        <v>144</v>
      </c>
      <c r="C79" s="4"/>
      <c r="D79" s="4"/>
      <c r="E79" s="5" t="s">
        <v>49</v>
      </c>
      <c r="F79" s="3" t="str">
        <f t="shared" si="3"/>
        <v>خروج</v>
      </c>
      <c r="G79" s="4" t="s">
        <v>58</v>
      </c>
      <c r="H79" s="3" t="str">
        <f t="shared" si="6"/>
        <v>اراک-پوریا خوشنمکیان</v>
      </c>
      <c r="I79" s="5"/>
      <c r="J79" s="5"/>
      <c r="K79" s="6">
        <v>3045</v>
      </c>
      <c r="L79" s="6"/>
      <c r="M79" s="7">
        <f t="shared" si="4"/>
        <v>3045</v>
      </c>
      <c r="N79" s="6"/>
      <c r="O79" s="5"/>
    </row>
    <row r="80" spans="1:15" x14ac:dyDescent="0.2">
      <c r="A80" s="3">
        <f>IF($B80="","",COUNTA($B$9:$B80))</f>
        <v>72</v>
      </c>
      <c r="B80" s="4" t="s">
        <v>144</v>
      </c>
      <c r="C80" s="4"/>
      <c r="D80" s="4"/>
      <c r="E80" s="5" t="s">
        <v>39</v>
      </c>
      <c r="F80" s="3" t="str">
        <f t="shared" si="3"/>
        <v>ورود</v>
      </c>
      <c r="G80" s="4" t="s">
        <v>146</v>
      </c>
      <c r="H80" s="3" t="str">
        <f t="shared" si="6"/>
        <v>عباس پور(بهنمیر)</v>
      </c>
      <c r="I80" s="5"/>
      <c r="J80" s="5" t="s">
        <v>42</v>
      </c>
      <c r="K80" s="6">
        <v>3140</v>
      </c>
      <c r="L80" s="6">
        <v>187</v>
      </c>
      <c r="M80" s="7">
        <f t="shared" si="4"/>
        <v>2830.9050000000002</v>
      </c>
      <c r="N80" s="6"/>
      <c r="O80" s="5"/>
    </row>
    <row r="81" spans="1:15" x14ac:dyDescent="0.2">
      <c r="A81" s="3">
        <f>IF($B81="","",COUNTA($B$9:$B81))</f>
        <v>73</v>
      </c>
      <c r="B81" s="4" t="s">
        <v>144</v>
      </c>
      <c r="C81" s="4"/>
      <c r="D81" s="4"/>
      <c r="E81" s="5" t="s">
        <v>49</v>
      </c>
      <c r="F81" s="3" t="str">
        <f t="shared" si="3"/>
        <v>خروج</v>
      </c>
      <c r="G81" s="4" t="s">
        <v>50</v>
      </c>
      <c r="H81" s="3" t="str">
        <f t="shared" si="6"/>
        <v>قم-سید حسین حسینی</v>
      </c>
      <c r="I81" s="5"/>
      <c r="J81" s="5"/>
      <c r="K81" s="6">
        <v>2195</v>
      </c>
      <c r="L81" s="6"/>
      <c r="M81" s="7">
        <f t="shared" si="4"/>
        <v>2195</v>
      </c>
      <c r="N81" s="6"/>
      <c r="O81" s="5"/>
    </row>
    <row r="82" spans="1:15" x14ac:dyDescent="0.2">
      <c r="A82" s="3">
        <f>IF($B82="","",COUNTA($B$9:$B82))</f>
        <v>74</v>
      </c>
      <c r="B82" s="4" t="s">
        <v>144</v>
      </c>
      <c r="C82" s="4"/>
      <c r="D82" s="4"/>
      <c r="E82" s="5" t="s">
        <v>39</v>
      </c>
      <c r="F82" s="3" t="str">
        <f t="shared" si="3"/>
        <v>ورود</v>
      </c>
      <c r="G82" s="4" t="s">
        <v>113</v>
      </c>
      <c r="H82" s="3" t="str">
        <f t="shared" ref="H82" si="7">IF($G82="","",IFERROR(IF(VLOOKUP($G82,AcctTbl,4,0)="","(بدون نام)",VLOOKUP($G82,AcctTbl,4,0)),"کد ناشناخته"))</f>
        <v>هوشنگ عیسی پور</v>
      </c>
      <c r="I82" s="5"/>
      <c r="J82" s="5" t="s">
        <v>124</v>
      </c>
      <c r="K82" s="6">
        <v>175</v>
      </c>
      <c r="L82" s="6">
        <v>9</v>
      </c>
      <c r="M82" s="7">
        <f t="shared" si="4"/>
        <v>159.88499999999999</v>
      </c>
      <c r="N82" s="6"/>
      <c r="O82" s="5"/>
    </row>
    <row r="83" spans="1:15" x14ac:dyDescent="0.2">
      <c r="A83" s="3">
        <f>IF($B83="","",COUNTA($B$9:$B83))</f>
        <v>75</v>
      </c>
      <c r="B83" s="4" t="s">
        <v>144</v>
      </c>
      <c r="C83" s="4"/>
      <c r="D83" s="4"/>
      <c r="E83" s="5" t="s">
        <v>49</v>
      </c>
      <c r="F83" s="3" t="str">
        <f t="shared" si="3"/>
        <v>خروج</v>
      </c>
      <c r="G83" s="4" t="s">
        <v>148</v>
      </c>
      <c r="H83" s="3" t="str">
        <f t="shared" ref="H83:H136" si="8">IF($G83="","",IFERROR(IF(VLOOKUP($G83,AcctTbl,4,0)="","(بدون نام)",VLOOKUP($G83,AcctTbl,4,0)),"کد ناشناخته"))</f>
        <v>زنجان-خانی</v>
      </c>
      <c r="I83" s="5"/>
      <c r="J83" s="5"/>
      <c r="K83" s="6">
        <v>2155</v>
      </c>
      <c r="L83" s="6"/>
      <c r="M83" s="7">
        <f t="shared" si="4"/>
        <v>2155</v>
      </c>
      <c r="N83" s="6"/>
      <c r="O83" s="5"/>
    </row>
    <row r="84" spans="1:15" x14ac:dyDescent="0.2">
      <c r="A84" s="3">
        <f>IF($B84="","",COUNTA($B$9:$B84))</f>
        <v>76</v>
      </c>
      <c r="B84" s="4" t="s">
        <v>144</v>
      </c>
      <c r="C84" s="4"/>
      <c r="D84" s="4"/>
      <c r="E84" s="5" t="s">
        <v>39</v>
      </c>
      <c r="F84" s="3" t="str">
        <f t="shared" si="3"/>
        <v>ورود</v>
      </c>
      <c r="G84" s="4" t="s">
        <v>146</v>
      </c>
      <c r="H84" s="3" t="str">
        <f t="shared" si="8"/>
        <v>عباس پور(بهنمیر)</v>
      </c>
      <c r="I84" s="5"/>
      <c r="J84" s="5" t="s">
        <v>42</v>
      </c>
      <c r="K84" s="6">
        <v>1235</v>
      </c>
      <c r="L84" s="6">
        <v>77</v>
      </c>
      <c r="M84" s="7">
        <f t="shared" si="4"/>
        <v>1108.3050000000001</v>
      </c>
      <c r="N84" s="6"/>
      <c r="O84" s="5"/>
    </row>
    <row r="85" spans="1:15" x14ac:dyDescent="0.2">
      <c r="A85" s="3">
        <f>IF($B85="","",COUNTA($B$9:$B85))</f>
        <v>77</v>
      </c>
      <c r="B85" s="4" t="s">
        <v>145</v>
      </c>
      <c r="C85" s="4"/>
      <c r="D85" s="4"/>
      <c r="E85" s="5" t="s">
        <v>39</v>
      </c>
      <c r="F85" s="3" t="str">
        <f t="shared" si="3"/>
        <v>ورود</v>
      </c>
      <c r="G85" s="4" t="s">
        <v>149</v>
      </c>
      <c r="H85" s="3" t="str">
        <f t="shared" si="8"/>
        <v>محمد رضایی</v>
      </c>
      <c r="I85" s="5"/>
      <c r="J85" s="5" t="s">
        <v>42</v>
      </c>
      <c r="K85" s="6">
        <v>2665</v>
      </c>
      <c r="L85" s="6">
        <v>129</v>
      </c>
      <c r="M85" s="7">
        <f t="shared" si="4"/>
        <v>2446.7849999999999</v>
      </c>
      <c r="N85" s="6"/>
      <c r="O85" s="5"/>
    </row>
    <row r="86" spans="1:15" x14ac:dyDescent="0.2">
      <c r="A86" s="3">
        <f>IF($B86="","",COUNTA($B$9:$B86))</f>
        <v>78</v>
      </c>
      <c r="B86" s="4" t="s">
        <v>145</v>
      </c>
      <c r="C86" s="4"/>
      <c r="D86" s="4"/>
      <c r="E86" s="5" t="s">
        <v>49</v>
      </c>
      <c r="F86" s="3" t="str">
        <f t="shared" si="3"/>
        <v>خروج</v>
      </c>
      <c r="G86" s="4" t="s">
        <v>148</v>
      </c>
      <c r="H86" s="3" t="str">
        <f t="shared" si="8"/>
        <v>زنجان-خانی</v>
      </c>
      <c r="I86" s="5"/>
      <c r="J86" s="5"/>
      <c r="K86" s="6">
        <v>2975</v>
      </c>
      <c r="L86" s="6"/>
      <c r="M86" s="7">
        <f t="shared" si="4"/>
        <v>2975</v>
      </c>
      <c r="N86" s="6"/>
      <c r="O86" s="5"/>
    </row>
    <row r="87" spans="1:15" x14ac:dyDescent="0.2">
      <c r="A87" s="3">
        <f>IF($B87="","",COUNTA($B$9:$B87))</f>
        <v>79</v>
      </c>
      <c r="B87" s="4" t="s">
        <v>145</v>
      </c>
      <c r="C87" s="4"/>
      <c r="D87" s="4"/>
      <c r="E87" s="5" t="s">
        <v>39</v>
      </c>
      <c r="F87" s="3" t="str">
        <f t="shared" si="3"/>
        <v>ورود</v>
      </c>
      <c r="G87" s="4" t="s">
        <v>150</v>
      </c>
      <c r="H87" s="3" t="str">
        <f t="shared" si="8"/>
        <v>داریوش اسماعیلی</v>
      </c>
      <c r="I87" s="5"/>
      <c r="J87" s="5" t="s">
        <v>124</v>
      </c>
      <c r="K87" s="6">
        <v>73</v>
      </c>
      <c r="L87" s="6">
        <v>4</v>
      </c>
      <c r="M87" s="7">
        <f t="shared" si="4"/>
        <v>66.33</v>
      </c>
      <c r="N87" s="6"/>
      <c r="O87" s="5"/>
    </row>
    <row r="88" spans="1:15" x14ac:dyDescent="0.2">
      <c r="A88" s="3">
        <f>IF($B88="","",COUNTA($B$9:$B88))</f>
        <v>80</v>
      </c>
      <c r="B88" s="4" t="s">
        <v>145</v>
      </c>
      <c r="C88" s="4"/>
      <c r="D88" s="4"/>
      <c r="E88" s="5" t="s">
        <v>39</v>
      </c>
      <c r="F88" s="3" t="str">
        <f t="shared" si="3"/>
        <v>ورود</v>
      </c>
      <c r="G88" s="4" t="s">
        <v>151</v>
      </c>
      <c r="H88" s="3" t="str">
        <f t="shared" si="8"/>
        <v>محسن قبادی</v>
      </c>
      <c r="I88" s="5"/>
      <c r="J88" s="5" t="s">
        <v>42</v>
      </c>
      <c r="K88" s="6">
        <v>840</v>
      </c>
      <c r="L88" s="6">
        <v>54</v>
      </c>
      <c r="M88" s="7">
        <f t="shared" si="4"/>
        <v>751.41</v>
      </c>
      <c r="N88" s="6"/>
      <c r="O88" s="5"/>
    </row>
    <row r="89" spans="1:15" x14ac:dyDescent="0.2">
      <c r="A89" s="3">
        <f>IF($B89="","",COUNTA($B$9:$B89))</f>
        <v>81</v>
      </c>
      <c r="B89" s="4" t="s">
        <v>145</v>
      </c>
      <c r="C89" s="4"/>
      <c r="D89" s="4"/>
      <c r="E89" s="5" t="s">
        <v>49</v>
      </c>
      <c r="F89" s="3" t="str">
        <f t="shared" si="3"/>
        <v>خروج</v>
      </c>
      <c r="G89" s="4" t="s">
        <v>58</v>
      </c>
      <c r="H89" s="3" t="str">
        <f t="shared" si="8"/>
        <v>اراک-پوریا خوشنمکیان</v>
      </c>
      <c r="I89" s="5"/>
      <c r="J89" s="5"/>
      <c r="K89" s="6">
        <v>3105</v>
      </c>
      <c r="L89" s="6"/>
      <c r="M89" s="7">
        <f t="shared" si="4"/>
        <v>3105</v>
      </c>
      <c r="N89" s="6"/>
      <c r="O89" s="5"/>
    </row>
    <row r="90" spans="1:15" x14ac:dyDescent="0.2">
      <c r="A90" s="3">
        <f>IF($B90="","",COUNTA($B$9:$B90))</f>
        <v>82</v>
      </c>
      <c r="B90" s="4" t="s">
        <v>145</v>
      </c>
      <c r="C90" s="4"/>
      <c r="D90" s="4"/>
      <c r="E90" s="5" t="s">
        <v>39</v>
      </c>
      <c r="F90" s="3" t="str">
        <f t="shared" si="3"/>
        <v>ورود</v>
      </c>
      <c r="G90" s="4" t="s">
        <v>151</v>
      </c>
      <c r="H90" s="3" t="str">
        <f t="shared" si="8"/>
        <v>محسن قبادی</v>
      </c>
      <c r="I90" s="5"/>
      <c r="J90" s="5" t="s">
        <v>42</v>
      </c>
      <c r="K90" s="6">
        <v>790</v>
      </c>
      <c r="L90" s="6">
        <v>52</v>
      </c>
      <c r="M90" s="7">
        <f t="shared" si="4"/>
        <v>704.88</v>
      </c>
      <c r="N90" s="6"/>
      <c r="O90" s="5"/>
    </row>
    <row r="91" spans="1:15" x14ac:dyDescent="0.2">
      <c r="A91" s="3">
        <f>IF($B91="","",COUNTA($B$9:$B91))</f>
        <v>83</v>
      </c>
      <c r="B91" s="4" t="s">
        <v>145</v>
      </c>
      <c r="C91" s="4"/>
      <c r="D91" s="4"/>
      <c r="E91" s="5" t="s">
        <v>49</v>
      </c>
      <c r="F91" s="3" t="str">
        <f t="shared" si="3"/>
        <v>خروج</v>
      </c>
      <c r="G91" s="4" t="s">
        <v>50</v>
      </c>
      <c r="H91" s="3" t="str">
        <f t="shared" si="8"/>
        <v>قم-سید حسین حسینی</v>
      </c>
      <c r="I91" s="5"/>
      <c r="J91" s="5"/>
      <c r="K91" s="6">
        <v>3025</v>
      </c>
      <c r="L91" s="6"/>
      <c r="M91" s="7">
        <f t="shared" si="4"/>
        <v>3025</v>
      </c>
      <c r="N91" s="6"/>
      <c r="O91" s="5"/>
    </row>
    <row r="92" spans="1:15" x14ac:dyDescent="0.2">
      <c r="A92" s="3">
        <f>IF($B92="","",COUNTA($B$9:$B92))</f>
        <v>84</v>
      </c>
      <c r="B92" s="4" t="s">
        <v>152</v>
      </c>
      <c r="C92" s="4"/>
      <c r="D92" s="4"/>
      <c r="E92" s="5" t="s">
        <v>39</v>
      </c>
      <c r="F92" s="3" t="str">
        <f t="shared" si="3"/>
        <v>ورود</v>
      </c>
      <c r="G92" s="4" t="s">
        <v>146</v>
      </c>
      <c r="H92" s="3" t="str">
        <f t="shared" si="8"/>
        <v>عباس پور(بهنمیر)</v>
      </c>
      <c r="I92" s="5"/>
      <c r="J92" s="5" t="s">
        <v>42</v>
      </c>
      <c r="K92" s="6">
        <v>1915</v>
      </c>
      <c r="L92" s="6">
        <v>116</v>
      </c>
      <c r="M92" s="7">
        <f t="shared" si="4"/>
        <v>1723.59</v>
      </c>
      <c r="N92" s="6"/>
      <c r="O92" s="5"/>
    </row>
    <row r="93" spans="1:15" x14ac:dyDescent="0.2">
      <c r="A93" s="3">
        <f>IF($B93="","",COUNTA($B$9:$B93))</f>
        <v>85</v>
      </c>
      <c r="B93" s="4" t="s">
        <v>152</v>
      </c>
      <c r="C93" s="4"/>
      <c r="D93" s="4"/>
      <c r="E93" s="5" t="s">
        <v>39</v>
      </c>
      <c r="F93" s="3" t="str">
        <f t="shared" si="3"/>
        <v>ورود</v>
      </c>
      <c r="G93" s="4" t="s">
        <v>146</v>
      </c>
      <c r="H93" s="3" t="str">
        <f t="shared" si="8"/>
        <v>عباس پور(بهنمیر)</v>
      </c>
      <c r="I93" s="5"/>
      <c r="J93" s="5" t="s">
        <v>42</v>
      </c>
      <c r="K93" s="6">
        <v>2915</v>
      </c>
      <c r="L93" s="6">
        <v>187</v>
      </c>
      <c r="M93" s="7">
        <f t="shared" si="4"/>
        <v>2608.1550000000002</v>
      </c>
      <c r="N93" s="6"/>
      <c r="O93" s="5"/>
    </row>
    <row r="94" spans="1:15" x14ac:dyDescent="0.2">
      <c r="A94" s="3">
        <f>IF($B94="","",COUNTA($B$9:$B94))</f>
        <v>86</v>
      </c>
      <c r="B94" s="4" t="s">
        <v>152</v>
      </c>
      <c r="C94" s="4"/>
      <c r="D94" s="4"/>
      <c r="E94" s="5" t="s">
        <v>49</v>
      </c>
      <c r="F94" s="3" t="str">
        <f t="shared" si="3"/>
        <v>خروج</v>
      </c>
      <c r="G94" s="4" t="s">
        <v>50</v>
      </c>
      <c r="H94" s="3" t="str">
        <f t="shared" si="8"/>
        <v>قم-سید حسین حسینی</v>
      </c>
      <c r="I94" s="5"/>
      <c r="J94" s="5"/>
      <c r="K94" s="6">
        <v>3045</v>
      </c>
      <c r="L94" s="6"/>
      <c r="M94" s="7">
        <f t="shared" si="4"/>
        <v>3045</v>
      </c>
      <c r="N94" s="6"/>
      <c r="O94" s="5"/>
    </row>
    <row r="95" spans="1:15" x14ac:dyDescent="0.2">
      <c r="A95" s="3">
        <f>IF($B95="","",COUNTA($B$9:$B95))</f>
        <v>87</v>
      </c>
      <c r="B95" s="4" t="s">
        <v>152</v>
      </c>
      <c r="C95" s="4"/>
      <c r="D95" s="4"/>
      <c r="E95" s="5" t="s">
        <v>49</v>
      </c>
      <c r="F95" s="3" t="str">
        <f>IF($E95="","",IFERROR(VLOOKUP($E95,OpTbl,2,0),""))</f>
        <v>خروج</v>
      </c>
      <c r="G95" s="4" t="s">
        <v>58</v>
      </c>
      <c r="H95" s="3" t="str">
        <f t="shared" si="8"/>
        <v>اراک-پوریا خوشنمکیان</v>
      </c>
      <c r="I95" s="5"/>
      <c r="J95" s="5"/>
      <c r="K95" s="6">
        <v>3035</v>
      </c>
      <c r="L95" s="6"/>
      <c r="M95" s="7">
        <f t="shared" si="4"/>
        <v>3035</v>
      </c>
      <c r="N95" s="6"/>
      <c r="O95" s="5"/>
    </row>
    <row r="96" spans="1:15" x14ac:dyDescent="0.2">
      <c r="A96" s="3">
        <f>IF($B96="","",COUNTA($B$9:$B96))</f>
        <v>88</v>
      </c>
      <c r="B96" s="4" t="s">
        <v>152</v>
      </c>
      <c r="C96" s="4"/>
      <c r="D96" s="4"/>
      <c r="E96" s="5" t="s">
        <v>39</v>
      </c>
      <c r="F96" s="3" t="str">
        <f t="shared" si="3"/>
        <v>ورود</v>
      </c>
      <c r="G96" s="4" t="s">
        <v>153</v>
      </c>
      <c r="H96" s="3" t="str">
        <f t="shared" si="8"/>
        <v>خانم قلی پور(یوسف نیا)</v>
      </c>
      <c r="I96" s="5"/>
      <c r="J96" s="5" t="s">
        <v>42</v>
      </c>
      <c r="K96" s="6">
        <v>107</v>
      </c>
      <c r="L96" s="6">
        <v>6</v>
      </c>
      <c r="M96" s="7">
        <f t="shared" si="4"/>
        <v>97.02</v>
      </c>
      <c r="N96" s="6"/>
      <c r="O96" s="5"/>
    </row>
    <row r="97" spans="1:15" x14ac:dyDescent="0.2">
      <c r="A97" s="3">
        <f>IF($B97="","",COUNTA($B$9:$B97))</f>
        <v>89</v>
      </c>
      <c r="B97" s="4" t="s">
        <v>152</v>
      </c>
      <c r="C97" s="4"/>
      <c r="D97" s="4"/>
      <c r="E97" s="5" t="s">
        <v>39</v>
      </c>
      <c r="F97" s="3" t="str">
        <f t="shared" si="3"/>
        <v>ورود</v>
      </c>
      <c r="G97" s="4" t="s">
        <v>146</v>
      </c>
      <c r="H97" s="3" t="str">
        <f t="shared" si="8"/>
        <v>عباس پور(بهنمیر)</v>
      </c>
      <c r="I97" s="5"/>
      <c r="J97" s="5" t="s">
        <v>42</v>
      </c>
      <c r="K97" s="6">
        <v>2875</v>
      </c>
      <c r="L97" s="6">
        <v>187</v>
      </c>
      <c r="M97" s="7">
        <f t="shared" si="4"/>
        <v>2568.5549999999998</v>
      </c>
      <c r="N97" s="6"/>
      <c r="O97" s="5"/>
    </row>
    <row r="98" spans="1:15" x14ac:dyDescent="0.2">
      <c r="A98" s="3">
        <f>IF($B98="","",COUNTA($B$9:$B98))</f>
        <v>90</v>
      </c>
      <c r="B98" s="4" t="s">
        <v>152</v>
      </c>
      <c r="C98" s="4"/>
      <c r="D98" s="4"/>
      <c r="E98" s="5" t="s">
        <v>39</v>
      </c>
      <c r="F98" s="3" t="str">
        <f t="shared" si="3"/>
        <v>ورود</v>
      </c>
      <c r="G98" s="4" t="s">
        <v>155</v>
      </c>
      <c r="H98" s="3" t="str">
        <f t="shared" si="8"/>
        <v>مهدی ولیپور</v>
      </c>
      <c r="I98" s="5"/>
      <c r="J98" s="5" t="s">
        <v>124</v>
      </c>
      <c r="K98" s="6">
        <v>130</v>
      </c>
      <c r="L98" s="6">
        <v>7</v>
      </c>
      <c r="M98" s="7">
        <f t="shared" si="4"/>
        <v>118.30499999999999</v>
      </c>
      <c r="N98" s="6"/>
      <c r="O98" s="5"/>
    </row>
    <row r="99" spans="1:15" x14ac:dyDescent="0.2">
      <c r="A99" s="3">
        <f>IF($B99="","",COUNTA($B$9:$B99))</f>
        <v>91</v>
      </c>
      <c r="B99" s="4" t="s">
        <v>145</v>
      </c>
      <c r="C99" s="4"/>
      <c r="D99" s="4"/>
      <c r="E99" s="5" t="s">
        <v>39</v>
      </c>
      <c r="F99" s="3" t="str">
        <f t="shared" si="3"/>
        <v>ورود</v>
      </c>
      <c r="G99" s="4" t="s">
        <v>146</v>
      </c>
      <c r="H99" s="3" t="str">
        <f t="shared" si="8"/>
        <v>عباس پور(بهنمیر)</v>
      </c>
      <c r="I99" s="5"/>
      <c r="J99" s="5" t="s">
        <v>42</v>
      </c>
      <c r="K99" s="6">
        <v>2285</v>
      </c>
      <c r="L99" s="6">
        <v>147</v>
      </c>
      <c r="M99" s="7">
        <f t="shared" si="4"/>
        <v>2043.855</v>
      </c>
      <c r="N99" s="6"/>
      <c r="O99" s="5"/>
    </row>
    <row r="100" spans="1:15" x14ac:dyDescent="0.2">
      <c r="A100" s="3">
        <f>IF($B100="","",COUNTA($B$9:$B100))</f>
        <v>92</v>
      </c>
      <c r="B100" s="4" t="s">
        <v>154</v>
      </c>
      <c r="C100" s="4"/>
      <c r="D100" s="4"/>
      <c r="E100" s="5" t="s">
        <v>39</v>
      </c>
      <c r="F100" s="3" t="str">
        <f t="shared" si="3"/>
        <v>ورود</v>
      </c>
      <c r="G100" s="4" t="s">
        <v>146</v>
      </c>
      <c r="H100" s="3" t="str">
        <f t="shared" si="8"/>
        <v>عباس پور(بهنمیر)</v>
      </c>
      <c r="I100" s="5"/>
      <c r="J100" s="5" t="s">
        <v>42</v>
      </c>
      <c r="K100" s="6">
        <v>2260</v>
      </c>
      <c r="L100" s="6">
        <v>149</v>
      </c>
      <c r="M100" s="7">
        <f t="shared" si="4"/>
        <v>2016.135</v>
      </c>
      <c r="N100" s="6"/>
      <c r="O100" s="5"/>
    </row>
    <row r="101" spans="1:15" x14ac:dyDescent="0.2">
      <c r="A101" s="3">
        <f>IF($B101="","",COUNTA($B$9:$B101))</f>
        <v>93</v>
      </c>
      <c r="B101" s="4" t="s">
        <v>154</v>
      </c>
      <c r="C101" s="4"/>
      <c r="D101" s="4"/>
      <c r="E101" s="5" t="s">
        <v>39</v>
      </c>
      <c r="F101" s="3" t="str">
        <f t="shared" si="3"/>
        <v>ورود</v>
      </c>
      <c r="G101" s="4" t="s">
        <v>156</v>
      </c>
      <c r="H101" s="3" t="str">
        <f t="shared" si="8"/>
        <v>رمضان علی محمدیان</v>
      </c>
      <c r="I101" s="5"/>
      <c r="J101" s="5" t="s">
        <v>124</v>
      </c>
      <c r="K101" s="6">
        <v>364</v>
      </c>
      <c r="L101" s="6">
        <v>20</v>
      </c>
      <c r="M101" s="7">
        <f t="shared" si="4"/>
        <v>330.66</v>
      </c>
      <c r="N101" s="6"/>
      <c r="O101" s="5"/>
    </row>
    <row r="102" spans="1:15" x14ac:dyDescent="0.2">
      <c r="A102" s="3">
        <f>IF($B102="","",COUNTA($B$9:$B102))</f>
        <v>94</v>
      </c>
      <c r="B102" s="4" t="s">
        <v>154</v>
      </c>
      <c r="C102" s="4"/>
      <c r="D102" s="4"/>
      <c r="E102" s="5" t="s">
        <v>39</v>
      </c>
      <c r="F102" s="3" t="str">
        <f t="shared" si="3"/>
        <v>ورود</v>
      </c>
      <c r="G102" s="4" t="s">
        <v>128</v>
      </c>
      <c r="H102" s="3" t="str">
        <f t="shared" si="8"/>
        <v>علی جانبرارپور</v>
      </c>
      <c r="I102" s="5"/>
      <c r="J102" s="5" t="s">
        <v>124</v>
      </c>
      <c r="K102" s="6">
        <v>495</v>
      </c>
      <c r="L102" s="6">
        <v>34</v>
      </c>
      <c r="M102" s="7">
        <f t="shared" si="4"/>
        <v>439.56</v>
      </c>
      <c r="N102" s="6"/>
      <c r="O102" s="5"/>
    </row>
    <row r="103" spans="1:15" x14ac:dyDescent="0.2">
      <c r="A103" s="3">
        <f>IF($B103="","",COUNTA($B$9:$B103))</f>
        <v>95</v>
      </c>
      <c r="B103" s="4" t="s">
        <v>154</v>
      </c>
      <c r="C103" s="4"/>
      <c r="D103" s="4"/>
      <c r="E103" s="5" t="s">
        <v>39</v>
      </c>
      <c r="F103" s="3" t="str">
        <f>IF($E103="","",IFERROR(VLOOKUP($E103,OpTbl,2,0),""))</f>
        <v>ورود</v>
      </c>
      <c r="G103" s="4" t="s">
        <v>157</v>
      </c>
      <c r="H103" s="3" t="str">
        <f t="shared" si="8"/>
        <v>محمود آهنگر</v>
      </c>
      <c r="I103" s="5"/>
      <c r="J103" s="5" t="s">
        <v>124</v>
      </c>
      <c r="K103" s="6">
        <v>885</v>
      </c>
      <c r="L103" s="6">
        <v>54</v>
      </c>
      <c r="M103" s="7">
        <f t="shared" si="4"/>
        <v>795.96</v>
      </c>
      <c r="N103" s="6"/>
      <c r="O103" s="5"/>
    </row>
    <row r="104" spans="1:15" x14ac:dyDescent="0.2">
      <c r="A104" s="3">
        <f>IF($B104="","",COUNTA($B$9:$B104))</f>
        <v>96</v>
      </c>
      <c r="B104" s="4" t="s">
        <v>154</v>
      </c>
      <c r="C104" s="4"/>
      <c r="D104" s="4"/>
      <c r="E104" s="5" t="s">
        <v>49</v>
      </c>
      <c r="F104" s="3" t="str">
        <f t="shared" si="3"/>
        <v>خروج</v>
      </c>
      <c r="G104" s="4" t="s">
        <v>50</v>
      </c>
      <c r="H104" s="3" t="str">
        <f t="shared" si="8"/>
        <v>قم-سید حسین حسینی</v>
      </c>
      <c r="I104" s="5"/>
      <c r="J104" s="5"/>
      <c r="K104" s="6">
        <v>2170</v>
      </c>
      <c r="L104" s="6"/>
      <c r="M104" s="7">
        <f t="shared" si="4"/>
        <v>2170</v>
      </c>
      <c r="N104" s="6"/>
      <c r="O104" s="5"/>
    </row>
    <row r="105" spans="1:15" x14ac:dyDescent="0.2">
      <c r="A105" s="3">
        <f>IF($B105="","",COUNTA($B$9:$B105))</f>
        <v>97</v>
      </c>
      <c r="B105" s="4" t="s">
        <v>154</v>
      </c>
      <c r="C105" s="4"/>
      <c r="D105" s="4"/>
      <c r="E105" s="5" t="s">
        <v>39</v>
      </c>
      <c r="F105" s="3" t="str">
        <f t="shared" ref="F105:F110" si="9">IF($E105="","",IFERROR(VLOOKUP($E105,OpTbl,2,0),""))</f>
        <v>ورود</v>
      </c>
      <c r="G105" s="4" t="s">
        <v>158</v>
      </c>
      <c r="H105" s="3" t="str">
        <f t="shared" si="8"/>
        <v>محمد حسین عزیزی</v>
      </c>
      <c r="I105" s="5"/>
      <c r="J105" s="5" t="s">
        <v>124</v>
      </c>
      <c r="K105" s="6">
        <v>518</v>
      </c>
      <c r="L105" s="6">
        <v>31</v>
      </c>
      <c r="M105" s="7">
        <f t="shared" si="4"/>
        <v>466.78499999999997</v>
      </c>
      <c r="N105" s="6"/>
      <c r="O105" s="5"/>
    </row>
    <row r="106" spans="1:15" x14ac:dyDescent="0.2">
      <c r="A106" s="3">
        <f>IF($B106="","",COUNTA($B$9:$B106))</f>
        <v>98</v>
      </c>
      <c r="B106" s="4" t="s">
        <v>154</v>
      </c>
      <c r="C106" s="4"/>
      <c r="D106" s="4"/>
      <c r="E106" s="5" t="s">
        <v>39</v>
      </c>
      <c r="F106" s="3" t="str">
        <f t="shared" si="9"/>
        <v>ورود</v>
      </c>
      <c r="G106" s="4" t="s">
        <v>159</v>
      </c>
      <c r="H106" s="3" t="str">
        <f>IF($G106="","",IFERROR(IF(VLOOKUP($G106,AcctTbl,4,0)="","(بدون نام)",VLOOKUP($G106,AcctTbl,4,0)),"کد ناشناخته"))</f>
        <v>مغداد طلایی</v>
      </c>
      <c r="I106" s="5"/>
      <c r="J106" s="5" t="s">
        <v>42</v>
      </c>
      <c r="K106" s="6">
        <v>2415</v>
      </c>
      <c r="L106" s="6">
        <v>147</v>
      </c>
      <c r="M106" s="7">
        <f t="shared" si="4"/>
        <v>2172.5549999999998</v>
      </c>
      <c r="N106" s="6"/>
      <c r="O106" s="5"/>
    </row>
    <row r="107" spans="1:15" x14ac:dyDescent="0.2">
      <c r="A107" s="3">
        <f>IF($B107="","",COUNTA($B$9:$B107))</f>
        <v>99</v>
      </c>
      <c r="B107" s="4" t="s">
        <v>154</v>
      </c>
      <c r="C107" s="4"/>
      <c r="D107" s="4"/>
      <c r="E107" s="5" t="s">
        <v>39</v>
      </c>
      <c r="F107" s="3" t="str">
        <f t="shared" si="9"/>
        <v>ورود</v>
      </c>
      <c r="G107" s="4" t="s">
        <v>127</v>
      </c>
      <c r="H107" s="3" t="str">
        <f t="shared" si="8"/>
        <v>کاظم میرزازاده</v>
      </c>
      <c r="I107" s="5"/>
      <c r="J107" s="5" t="s">
        <v>124</v>
      </c>
      <c r="K107" s="6">
        <v>875</v>
      </c>
      <c r="L107" s="6">
        <v>60</v>
      </c>
      <c r="M107" s="7">
        <f t="shared" si="4"/>
        <v>777.15</v>
      </c>
      <c r="N107" s="6"/>
      <c r="O107" s="5"/>
    </row>
    <row r="108" spans="1:15" x14ac:dyDescent="0.2">
      <c r="A108" s="3">
        <f>IF($B108="","",COUNTA($B$9:$B108))</f>
        <v>100</v>
      </c>
      <c r="B108" s="4" t="s">
        <v>154</v>
      </c>
      <c r="C108" s="4"/>
      <c r="D108" s="4"/>
      <c r="E108" s="5" t="s">
        <v>39</v>
      </c>
      <c r="F108" s="3" t="str">
        <f t="shared" si="9"/>
        <v>ورود</v>
      </c>
      <c r="G108" s="4" t="s">
        <v>127</v>
      </c>
      <c r="H108" s="3" t="str">
        <f t="shared" si="8"/>
        <v>کاظم میرزازاده</v>
      </c>
      <c r="I108" s="5"/>
      <c r="J108" s="5" t="s">
        <v>42</v>
      </c>
      <c r="K108" s="6">
        <v>35</v>
      </c>
      <c r="L108" s="6">
        <v>3</v>
      </c>
      <c r="M108" s="7">
        <f t="shared" si="4"/>
        <v>30.195</v>
      </c>
      <c r="N108" s="6"/>
      <c r="O108" s="5"/>
    </row>
    <row r="109" spans="1:15" x14ac:dyDescent="0.2">
      <c r="A109" s="3">
        <f>IF($B109="","",COUNTA($B$9:$B109))</f>
        <v>101</v>
      </c>
      <c r="B109" s="4" t="s">
        <v>154</v>
      </c>
      <c r="C109" s="4"/>
      <c r="D109" s="4"/>
      <c r="E109" s="5" t="s">
        <v>39</v>
      </c>
      <c r="F109" s="3" t="str">
        <f t="shared" si="9"/>
        <v>ورود</v>
      </c>
      <c r="G109" s="4" t="s">
        <v>157</v>
      </c>
      <c r="H109" s="3" t="str">
        <f t="shared" si="8"/>
        <v>محمود آهنگر</v>
      </c>
      <c r="I109" s="5"/>
      <c r="J109" s="5" t="s">
        <v>124</v>
      </c>
      <c r="K109" s="6">
        <v>110</v>
      </c>
      <c r="L109" s="6">
        <v>8</v>
      </c>
      <c r="M109" s="7">
        <f t="shared" si="4"/>
        <v>97.02</v>
      </c>
      <c r="N109" s="6"/>
      <c r="O109" s="5"/>
    </row>
    <row r="110" spans="1:15" x14ac:dyDescent="0.2">
      <c r="A110" s="3">
        <f>IF($B110="","",COUNTA($B$9:$B110))</f>
        <v>102</v>
      </c>
      <c r="B110" s="4" t="s">
        <v>154</v>
      </c>
      <c r="C110" s="4"/>
      <c r="D110" s="4"/>
      <c r="E110" s="5" t="s">
        <v>39</v>
      </c>
      <c r="F110" s="3" t="str">
        <f t="shared" si="9"/>
        <v>ورود</v>
      </c>
      <c r="G110" s="4" t="s">
        <v>159</v>
      </c>
      <c r="H110" s="3" t="str">
        <f t="shared" si="8"/>
        <v>مغداد طلایی</v>
      </c>
      <c r="I110" s="5"/>
      <c r="J110" s="5" t="s">
        <v>42</v>
      </c>
      <c r="K110" s="6">
        <v>2860</v>
      </c>
      <c r="L110" s="6">
        <v>182</v>
      </c>
      <c r="M110" s="7">
        <f t="shared" si="4"/>
        <v>2561.13</v>
      </c>
      <c r="N110" s="6"/>
      <c r="O110" s="5"/>
    </row>
    <row r="111" spans="1:15" x14ac:dyDescent="0.2">
      <c r="A111" s="3">
        <f>IF($B111="","",COUNTA($B$9:$B111))</f>
        <v>103</v>
      </c>
      <c r="B111" s="4" t="s">
        <v>154</v>
      </c>
      <c r="C111" s="4"/>
      <c r="D111" s="4"/>
      <c r="E111" s="5" t="s">
        <v>39</v>
      </c>
      <c r="F111" s="3" t="str">
        <f t="shared" si="3"/>
        <v>ورود</v>
      </c>
      <c r="G111" s="4" t="s">
        <v>160</v>
      </c>
      <c r="H111" s="3" t="str">
        <f t="shared" si="8"/>
        <v>سید عبدالله میراقازاده</v>
      </c>
      <c r="I111" s="5"/>
      <c r="J111" s="5" t="s">
        <v>124</v>
      </c>
      <c r="K111" s="6">
        <v>550</v>
      </c>
      <c r="L111" s="6">
        <v>42</v>
      </c>
      <c r="M111" s="7">
        <f t="shared" si="4"/>
        <v>482.13</v>
      </c>
      <c r="N111" s="6"/>
      <c r="O111" s="5"/>
    </row>
    <row r="112" spans="1:15" x14ac:dyDescent="0.2">
      <c r="A112" s="3">
        <f>IF($B112="","",COUNTA($B$9:$B112))</f>
        <v>104</v>
      </c>
      <c r="B112" s="4" t="s">
        <v>154</v>
      </c>
      <c r="C112" s="4"/>
      <c r="D112" s="4"/>
      <c r="E112" s="5" t="s">
        <v>39</v>
      </c>
      <c r="F112" s="3" t="str">
        <f>IF($E112="","",IFERROR(VLOOKUP($E112,OpTbl,2,0),""))</f>
        <v>ورود</v>
      </c>
      <c r="G112" s="4" t="s">
        <v>112</v>
      </c>
      <c r="H112" s="3" t="str">
        <f t="shared" si="8"/>
        <v>بار شخصی قاسم زاهدی</v>
      </c>
      <c r="I112" s="5"/>
      <c r="J112" s="5" t="s">
        <v>124</v>
      </c>
      <c r="K112" s="6">
        <v>144</v>
      </c>
      <c r="L112" s="6">
        <v>9</v>
      </c>
      <c r="M112" s="7">
        <f t="shared" si="4"/>
        <v>129.19499999999999</v>
      </c>
      <c r="N112" s="6"/>
      <c r="O112" s="5"/>
    </row>
    <row r="113" spans="1:15" x14ac:dyDescent="0.2">
      <c r="A113" s="3">
        <f>IF($B113="","",COUNTA($B$9:$B113))</f>
        <v>105</v>
      </c>
      <c r="B113" s="4" t="s">
        <v>154</v>
      </c>
      <c r="C113" s="4"/>
      <c r="D113" s="4"/>
      <c r="E113" s="5" t="s">
        <v>39</v>
      </c>
      <c r="F113" s="3" t="str">
        <f>IF($E113="","",IFERROR(VLOOKUP($E113,OpTbl,2,0),""))</f>
        <v>ورود</v>
      </c>
      <c r="G113" s="4" t="s">
        <v>149</v>
      </c>
      <c r="H113" s="3" t="str">
        <f t="shared" si="8"/>
        <v>محمد رضایی</v>
      </c>
      <c r="I113" s="5"/>
      <c r="J113" s="5" t="s">
        <v>42</v>
      </c>
      <c r="K113" s="6">
        <v>1955</v>
      </c>
      <c r="L113" s="6">
        <v>85</v>
      </c>
      <c r="M113" s="7">
        <f t="shared" si="4"/>
        <v>1809.2249999999999</v>
      </c>
      <c r="N113" s="6"/>
      <c r="O113" s="5"/>
    </row>
    <row r="114" spans="1:15" x14ac:dyDescent="0.2">
      <c r="A114" s="3">
        <f>IF($B114="","",COUNTA($B$9:$B114))</f>
        <v>106</v>
      </c>
      <c r="B114" s="4" t="s">
        <v>161</v>
      </c>
      <c r="C114" s="4"/>
      <c r="D114" s="4"/>
      <c r="E114" s="5" t="s">
        <v>49</v>
      </c>
      <c r="F114" s="3" t="str">
        <f t="shared" si="3"/>
        <v>خروج</v>
      </c>
      <c r="G114" s="4" t="s">
        <v>54</v>
      </c>
      <c r="H114" s="3" t="str">
        <f t="shared" si="8"/>
        <v>مشهد-محمد توکلی</v>
      </c>
      <c r="I114" s="5"/>
      <c r="J114" s="5"/>
      <c r="K114" s="6">
        <v>3030</v>
      </c>
      <c r="L114" s="6"/>
      <c r="M114" s="7">
        <f t="shared" si="4"/>
        <v>3030</v>
      </c>
      <c r="N114" s="6"/>
      <c r="O114" s="5"/>
    </row>
    <row r="115" spans="1:15" x14ac:dyDescent="0.2">
      <c r="A115" s="3">
        <f>IF($B115="","",COUNTA($B$9:$B115))</f>
        <v>107</v>
      </c>
      <c r="B115" s="4" t="s">
        <v>161</v>
      </c>
      <c r="C115" s="4"/>
      <c r="D115" s="4"/>
      <c r="E115" s="5" t="s">
        <v>39</v>
      </c>
      <c r="F115" s="3" t="str">
        <f t="shared" si="3"/>
        <v>ورود</v>
      </c>
      <c r="G115" s="4" t="s">
        <v>159</v>
      </c>
      <c r="H115" s="3" t="str">
        <f t="shared" si="8"/>
        <v>مغداد طلایی</v>
      </c>
      <c r="I115" s="5"/>
      <c r="J115" s="5" t="s">
        <v>42</v>
      </c>
      <c r="K115" s="6">
        <v>2850</v>
      </c>
      <c r="L115" s="6">
        <v>185</v>
      </c>
      <c r="M115" s="7">
        <f t="shared" si="4"/>
        <v>2546.7750000000001</v>
      </c>
      <c r="N115" s="6"/>
      <c r="O115" s="5"/>
    </row>
    <row r="116" spans="1:15" x14ac:dyDescent="0.2">
      <c r="A116" s="3">
        <f>IF($B116="","",COUNTA($B$9:$B116))</f>
        <v>108</v>
      </c>
      <c r="B116" s="4" t="s">
        <v>161</v>
      </c>
      <c r="C116" s="4"/>
      <c r="D116" s="4"/>
      <c r="E116" s="5" t="s">
        <v>39</v>
      </c>
      <c r="F116" s="3" t="str">
        <f t="shared" si="3"/>
        <v>ورود</v>
      </c>
      <c r="G116" s="4" t="s">
        <v>137</v>
      </c>
      <c r="H116" s="3" t="str">
        <f t="shared" si="8"/>
        <v>حسین شکرالله نیا</v>
      </c>
      <c r="I116" s="5"/>
      <c r="J116" s="5" t="s">
        <v>124</v>
      </c>
      <c r="K116" s="6">
        <v>260</v>
      </c>
      <c r="L116" s="6">
        <v>20</v>
      </c>
      <c r="M116" s="7">
        <f t="shared" si="4"/>
        <v>227.7</v>
      </c>
      <c r="N116" s="6"/>
      <c r="O116" s="5"/>
    </row>
    <row r="117" spans="1:15" x14ac:dyDescent="0.2">
      <c r="A117" s="3">
        <f>IF($B117="","",COUNTA($B$9:$B117))</f>
        <v>109</v>
      </c>
      <c r="B117" s="4" t="s">
        <v>161</v>
      </c>
      <c r="C117" s="4"/>
      <c r="D117" s="4"/>
      <c r="E117" s="5" t="s">
        <v>39</v>
      </c>
      <c r="F117" s="3" t="str">
        <f t="shared" si="3"/>
        <v>ورود</v>
      </c>
      <c r="G117" s="4" t="s">
        <v>163</v>
      </c>
      <c r="H117" s="3" t="str">
        <f t="shared" si="8"/>
        <v>رجب پور</v>
      </c>
      <c r="I117" s="5"/>
      <c r="J117" s="5" t="s">
        <v>124</v>
      </c>
      <c r="K117" s="6">
        <v>255</v>
      </c>
      <c r="L117" s="6">
        <v>16</v>
      </c>
      <c r="M117" s="7">
        <f t="shared" si="4"/>
        <v>228.69</v>
      </c>
      <c r="N117" s="6"/>
      <c r="O117" s="5"/>
    </row>
    <row r="118" spans="1:15" x14ac:dyDescent="0.2">
      <c r="A118" s="3">
        <f>IF($B118="","",COUNTA($B$9:$B118))</f>
        <v>110</v>
      </c>
      <c r="B118" s="4" t="s">
        <v>161</v>
      </c>
      <c r="C118" s="4"/>
      <c r="D118" s="4"/>
      <c r="E118" s="5" t="s">
        <v>39</v>
      </c>
      <c r="F118" s="3" t="str">
        <f t="shared" si="3"/>
        <v>ورود</v>
      </c>
      <c r="G118" s="4" t="s">
        <v>127</v>
      </c>
      <c r="H118" s="3" t="str">
        <f t="shared" si="8"/>
        <v>کاظم میرزازاده</v>
      </c>
      <c r="I118" s="5"/>
      <c r="J118" s="5" t="s">
        <v>124</v>
      </c>
      <c r="K118" s="6">
        <v>84</v>
      </c>
      <c r="L118" s="6">
        <v>5</v>
      </c>
      <c r="M118" s="7">
        <f t="shared" si="4"/>
        <v>75.734999999999999</v>
      </c>
      <c r="N118" s="6"/>
      <c r="O118" s="5"/>
    </row>
    <row r="119" spans="1:15" x14ac:dyDescent="0.2">
      <c r="A119" s="3">
        <f>IF($B119="","",COUNTA($B$9:$B119))</f>
        <v>111</v>
      </c>
      <c r="B119" s="4" t="s">
        <v>161</v>
      </c>
      <c r="C119" s="4"/>
      <c r="D119" s="4"/>
      <c r="E119" s="5" t="s">
        <v>39</v>
      </c>
      <c r="F119" s="3" t="str">
        <f t="shared" si="3"/>
        <v>ورود</v>
      </c>
      <c r="G119" s="4" t="s">
        <v>158</v>
      </c>
      <c r="H119" s="3" t="str">
        <f t="shared" si="8"/>
        <v>محمد حسین عزیزی</v>
      </c>
      <c r="I119" s="5"/>
      <c r="J119" s="5" t="s">
        <v>42</v>
      </c>
      <c r="K119" s="6">
        <v>1515</v>
      </c>
      <c r="L119" s="6">
        <v>86</v>
      </c>
      <c r="M119" s="7">
        <f t="shared" si="4"/>
        <v>1372.14</v>
      </c>
      <c r="N119" s="6"/>
      <c r="O119" s="5"/>
    </row>
    <row r="120" spans="1:15" x14ac:dyDescent="0.2">
      <c r="A120" s="3">
        <f>IF($B120="","",COUNTA($B$9:$B120))</f>
        <v>112</v>
      </c>
      <c r="B120" s="4" t="s">
        <v>161</v>
      </c>
      <c r="C120" s="4"/>
      <c r="D120" s="4"/>
      <c r="E120" s="5" t="s">
        <v>39</v>
      </c>
      <c r="F120" s="3" t="str">
        <f t="shared" si="3"/>
        <v>ورود</v>
      </c>
      <c r="G120" s="4" t="s">
        <v>159</v>
      </c>
      <c r="H120" s="3" t="str">
        <f t="shared" si="8"/>
        <v>مغداد طلایی</v>
      </c>
      <c r="I120" s="5"/>
      <c r="J120" s="5" t="s">
        <v>42</v>
      </c>
      <c r="K120" s="6">
        <v>2375</v>
      </c>
      <c r="L120" s="6">
        <v>147</v>
      </c>
      <c r="M120" s="7">
        <f t="shared" si="4"/>
        <v>2132.9549999999999</v>
      </c>
      <c r="N120" s="6"/>
      <c r="O120" s="5"/>
    </row>
    <row r="121" spans="1:15" x14ac:dyDescent="0.2">
      <c r="A121" s="3">
        <f>IF($B121="","",COUNTA($B$9:$B121))</f>
        <v>113</v>
      </c>
      <c r="B121" s="4" t="s">
        <v>161</v>
      </c>
      <c r="C121" s="4"/>
      <c r="D121" s="4"/>
      <c r="E121" s="5" t="s">
        <v>39</v>
      </c>
      <c r="F121" s="3" t="str">
        <f t="shared" si="3"/>
        <v>ورود</v>
      </c>
      <c r="G121" s="4" t="s">
        <v>149</v>
      </c>
      <c r="H121" s="3" t="str">
        <f t="shared" si="8"/>
        <v>محمد رضایی</v>
      </c>
      <c r="I121" s="5"/>
      <c r="J121" s="5" t="s">
        <v>42</v>
      </c>
      <c r="K121" s="6">
        <v>1250</v>
      </c>
      <c r="L121" s="6">
        <v>66</v>
      </c>
      <c r="M121" s="7">
        <f t="shared" si="4"/>
        <v>1139.49</v>
      </c>
      <c r="N121" s="6"/>
      <c r="O121" s="5"/>
    </row>
    <row r="122" spans="1:15" x14ac:dyDescent="0.2">
      <c r="A122" s="3">
        <f>IF($B122="","",COUNTA($B$9:$B122))</f>
        <v>114</v>
      </c>
      <c r="B122" s="4" t="s">
        <v>161</v>
      </c>
      <c r="C122" s="4"/>
      <c r="D122" s="4"/>
      <c r="E122" s="5" t="s">
        <v>49</v>
      </c>
      <c r="F122" s="3" t="str">
        <f t="shared" si="3"/>
        <v>خروج</v>
      </c>
      <c r="G122" s="4" t="s">
        <v>58</v>
      </c>
      <c r="H122" s="3" t="str">
        <f t="shared" si="8"/>
        <v>اراک-پوریا خوشنمکیان</v>
      </c>
      <c r="I122" s="5"/>
      <c r="J122" s="5"/>
      <c r="K122" s="6">
        <v>2015</v>
      </c>
      <c r="L122" s="6"/>
      <c r="M122" s="7">
        <f t="shared" si="4"/>
        <v>2015</v>
      </c>
      <c r="N122" s="6"/>
      <c r="O122" s="5"/>
    </row>
    <row r="123" spans="1:15" x14ac:dyDescent="0.2">
      <c r="A123" s="3">
        <f>IF($B123="","",COUNTA($B$9:$B123))</f>
        <v>115</v>
      </c>
      <c r="B123" s="4" t="s">
        <v>161</v>
      </c>
      <c r="C123" s="4"/>
      <c r="D123" s="4"/>
      <c r="E123" s="5" t="s">
        <v>39</v>
      </c>
      <c r="F123" s="3" t="str">
        <f t="shared" si="3"/>
        <v>ورود</v>
      </c>
      <c r="G123" s="4" t="s">
        <v>159</v>
      </c>
      <c r="H123" s="3" t="str">
        <f t="shared" si="8"/>
        <v>مغداد طلایی</v>
      </c>
      <c r="I123" s="5"/>
      <c r="J123" s="5" t="s">
        <v>42</v>
      </c>
      <c r="K123" s="6">
        <v>3030</v>
      </c>
      <c r="L123" s="6">
        <v>189</v>
      </c>
      <c r="M123" s="7">
        <f t="shared" si="4"/>
        <v>2719.0349999999999</v>
      </c>
      <c r="N123" s="6"/>
      <c r="O123" s="5"/>
    </row>
    <row r="124" spans="1:15" x14ac:dyDescent="0.2">
      <c r="A124" s="3">
        <f>IF($B124="","",COUNTA($B$9:$B124))</f>
        <v>116</v>
      </c>
      <c r="B124" s="4" t="s">
        <v>161</v>
      </c>
      <c r="C124" s="4"/>
      <c r="D124" s="4"/>
      <c r="E124" s="5" t="s">
        <v>39</v>
      </c>
      <c r="F124" s="3" t="str">
        <f t="shared" si="3"/>
        <v>ورود</v>
      </c>
      <c r="G124" s="4" t="s">
        <v>137</v>
      </c>
      <c r="H124" s="3" t="str">
        <f t="shared" si="8"/>
        <v>حسین شکرالله نیا</v>
      </c>
      <c r="I124" s="5"/>
      <c r="J124" s="5" t="s">
        <v>124</v>
      </c>
      <c r="K124" s="6">
        <v>405</v>
      </c>
      <c r="L124" s="6">
        <v>28</v>
      </c>
      <c r="M124" s="7">
        <f t="shared" si="4"/>
        <v>359.37</v>
      </c>
      <c r="N124" s="6"/>
      <c r="O124" s="5"/>
    </row>
    <row r="125" spans="1:15" x14ac:dyDescent="0.2">
      <c r="A125" s="3">
        <f>IF($B125="","",COUNTA($B$9:$B125))</f>
        <v>117</v>
      </c>
      <c r="B125" s="4" t="s">
        <v>161</v>
      </c>
      <c r="C125" s="4"/>
      <c r="D125" s="4"/>
      <c r="E125" s="5" t="s">
        <v>39</v>
      </c>
      <c r="F125" s="3" t="str">
        <f t="shared" si="3"/>
        <v>ورود</v>
      </c>
      <c r="G125" s="4" t="s">
        <v>164</v>
      </c>
      <c r="H125" s="3" t="str">
        <f t="shared" si="8"/>
        <v>سعید بابایی</v>
      </c>
      <c r="I125" s="5"/>
      <c r="J125" s="5" t="s">
        <v>124</v>
      </c>
      <c r="K125" s="6">
        <v>225</v>
      </c>
      <c r="L125" s="6">
        <v>12</v>
      </c>
      <c r="M125" s="7">
        <f t="shared" si="4"/>
        <v>204.93</v>
      </c>
      <c r="N125" s="6"/>
      <c r="O125" s="5"/>
    </row>
    <row r="126" spans="1:15" x14ac:dyDescent="0.2">
      <c r="A126" s="3">
        <f>IF($B126="","",COUNTA($B$9:$B126))</f>
        <v>118</v>
      </c>
      <c r="B126" s="4" t="s">
        <v>161</v>
      </c>
      <c r="C126" s="4"/>
      <c r="D126" s="4"/>
      <c r="E126" s="5" t="s">
        <v>49</v>
      </c>
      <c r="F126" s="3" t="str">
        <f t="shared" si="3"/>
        <v>خروج</v>
      </c>
      <c r="G126" s="4" t="s">
        <v>50</v>
      </c>
      <c r="H126" s="3" t="str">
        <f t="shared" si="8"/>
        <v>قم-سید حسین حسینی</v>
      </c>
      <c r="I126" s="5"/>
      <c r="J126" s="5"/>
      <c r="K126" s="6">
        <v>2175</v>
      </c>
      <c r="L126" s="6"/>
      <c r="M126" s="7">
        <f t="shared" si="4"/>
        <v>2175</v>
      </c>
      <c r="N126" s="6"/>
      <c r="O126" s="5"/>
    </row>
    <row r="127" spans="1:15" x14ac:dyDescent="0.2">
      <c r="A127" s="3">
        <f>IF($B127="","",COUNTA($B$9:$B127))</f>
        <v>119</v>
      </c>
      <c r="B127" s="4" t="s">
        <v>161</v>
      </c>
      <c r="C127" s="4"/>
      <c r="D127" s="4"/>
      <c r="E127" s="5" t="s">
        <v>39</v>
      </c>
      <c r="F127" s="3" t="str">
        <f t="shared" si="3"/>
        <v>ورود</v>
      </c>
      <c r="G127" s="4" t="s">
        <v>158</v>
      </c>
      <c r="H127" s="3" t="str">
        <f t="shared" si="8"/>
        <v>محمد حسین عزیزی</v>
      </c>
      <c r="I127" s="5"/>
      <c r="J127" s="5" t="s">
        <v>42</v>
      </c>
      <c r="K127" s="6">
        <v>1430</v>
      </c>
      <c r="L127" s="6">
        <v>80</v>
      </c>
      <c r="M127" s="7">
        <f t="shared" si="4"/>
        <v>1296.9000000000001</v>
      </c>
      <c r="N127" s="6"/>
      <c r="O127" s="5"/>
    </row>
    <row r="128" spans="1:15" x14ac:dyDescent="0.2">
      <c r="A128" s="3">
        <f>IF($B128="","",COUNTA($B$9:$B128))</f>
        <v>120</v>
      </c>
      <c r="B128" s="4" t="s">
        <v>161</v>
      </c>
      <c r="C128" s="4"/>
      <c r="D128" s="4"/>
      <c r="E128" s="5" t="s">
        <v>39</v>
      </c>
      <c r="F128" s="3" t="str">
        <f t="shared" si="3"/>
        <v>ورود</v>
      </c>
      <c r="G128" s="4" t="s">
        <v>165</v>
      </c>
      <c r="H128" s="3" t="str">
        <f t="shared" si="8"/>
        <v>مطلب عیسی پور</v>
      </c>
      <c r="I128" s="5"/>
      <c r="J128" s="5"/>
      <c r="K128" s="6">
        <v>75</v>
      </c>
      <c r="L128" s="6"/>
      <c r="M128" s="7">
        <f t="shared" si="4"/>
        <v>74.25</v>
      </c>
      <c r="N128" s="6"/>
      <c r="O128" s="5"/>
    </row>
    <row r="129" spans="1:15" x14ac:dyDescent="0.2">
      <c r="A129" s="3">
        <f>IF($B129="","",COUNTA($B$9:$B129))</f>
        <v>121</v>
      </c>
      <c r="B129" s="4" t="s">
        <v>161</v>
      </c>
      <c r="C129" s="4"/>
      <c r="D129" s="4"/>
      <c r="E129" s="5" t="s">
        <v>39</v>
      </c>
      <c r="F129" s="3" t="str">
        <f t="shared" si="3"/>
        <v>ورود</v>
      </c>
      <c r="G129" s="4" t="s">
        <v>149</v>
      </c>
      <c r="H129" s="3" t="str">
        <f t="shared" si="8"/>
        <v>محمد رضایی</v>
      </c>
      <c r="I129" s="5"/>
      <c r="J129" s="5" t="s">
        <v>124</v>
      </c>
      <c r="K129" s="6">
        <v>445</v>
      </c>
      <c r="L129" s="6"/>
      <c r="M129" s="7">
        <f t="shared" si="4"/>
        <v>440.55</v>
      </c>
      <c r="N129" s="6"/>
      <c r="O129" s="5"/>
    </row>
    <row r="130" spans="1:15" x14ac:dyDescent="0.2">
      <c r="A130" s="3">
        <f>IF($B130="","",COUNTA($B$9:$B130))</f>
        <v>122</v>
      </c>
      <c r="B130" s="4" t="s">
        <v>161</v>
      </c>
      <c r="C130" s="4"/>
      <c r="D130" s="4"/>
      <c r="E130" s="5" t="s">
        <v>39</v>
      </c>
      <c r="F130" s="3" t="str">
        <f t="shared" si="3"/>
        <v>ورود</v>
      </c>
      <c r="G130" s="4" t="s">
        <v>169</v>
      </c>
      <c r="H130" s="3" t="str">
        <f>IF($G130="","",IFERROR(IF(VLOOKUP($G130,AcctTbl,4,0)="","(بدون نام)",VLOOKUP($G130,AcctTbl,4,0)),"کد ناشناخته"))</f>
        <v>اصغر عزیزی</v>
      </c>
      <c r="I130" s="5"/>
      <c r="J130" s="5" t="s">
        <v>42</v>
      </c>
      <c r="K130" s="6">
        <v>255</v>
      </c>
      <c r="L130" s="6"/>
      <c r="M130" s="7">
        <f t="shared" si="4"/>
        <v>252.45</v>
      </c>
      <c r="N130" s="6"/>
      <c r="O130" s="5"/>
    </row>
    <row r="131" spans="1:15" x14ac:dyDescent="0.2">
      <c r="A131" s="3">
        <f>IF($B131="","",COUNTA($B$9:$B131))</f>
        <v>123</v>
      </c>
      <c r="B131" s="4" t="s">
        <v>162</v>
      </c>
      <c r="C131" s="4"/>
      <c r="D131" s="4"/>
      <c r="E131" s="5" t="s">
        <v>39</v>
      </c>
      <c r="F131" s="3" t="str">
        <f t="shared" si="3"/>
        <v>ورود</v>
      </c>
      <c r="G131" s="4" t="s">
        <v>166</v>
      </c>
      <c r="H131" s="3" t="str">
        <f t="shared" si="8"/>
        <v>تقی اصغرنیا</v>
      </c>
      <c r="I131" s="5"/>
      <c r="J131" s="5" t="s">
        <v>42</v>
      </c>
      <c r="K131" s="6">
        <v>410</v>
      </c>
      <c r="L131" s="6">
        <v>28</v>
      </c>
      <c r="M131" s="7">
        <f t="shared" si="4"/>
        <v>364.32</v>
      </c>
      <c r="N131" s="6"/>
      <c r="O131" s="5"/>
    </row>
    <row r="132" spans="1:15" x14ac:dyDescent="0.2">
      <c r="A132" s="3">
        <f>IF($B132="","",COUNTA($B$9:$B132))</f>
        <v>124</v>
      </c>
      <c r="B132" s="4" t="s">
        <v>162</v>
      </c>
      <c r="C132" s="4"/>
      <c r="D132" s="4"/>
      <c r="E132" s="5" t="s">
        <v>39</v>
      </c>
      <c r="F132" s="3" t="str">
        <f t="shared" si="3"/>
        <v>ورود</v>
      </c>
      <c r="G132" s="4" t="s">
        <v>167</v>
      </c>
      <c r="H132" s="3" t="str">
        <f t="shared" si="8"/>
        <v>مدانلو</v>
      </c>
      <c r="I132" s="5"/>
      <c r="J132" s="5" t="s">
        <v>42</v>
      </c>
      <c r="K132" s="6">
        <v>2820</v>
      </c>
      <c r="L132" s="6">
        <v>173</v>
      </c>
      <c r="M132" s="7">
        <f t="shared" si="4"/>
        <v>2534.895</v>
      </c>
      <c r="N132" s="6"/>
      <c r="O132" s="5"/>
    </row>
    <row r="133" spans="1:15" x14ac:dyDescent="0.2">
      <c r="A133" s="3">
        <f>IF($B133="","",COUNTA($B$9:$B133))</f>
        <v>125</v>
      </c>
      <c r="B133" s="4" t="s">
        <v>162</v>
      </c>
      <c r="C133" s="4"/>
      <c r="D133" s="4"/>
      <c r="E133" s="5" t="s">
        <v>39</v>
      </c>
      <c r="F133" s="3" t="str">
        <f t="shared" si="3"/>
        <v>ورود</v>
      </c>
      <c r="G133" s="4" t="s">
        <v>167</v>
      </c>
      <c r="H133" s="3" t="str">
        <f t="shared" si="8"/>
        <v>مدانلو</v>
      </c>
      <c r="I133" s="5"/>
      <c r="J133" s="5" t="s">
        <v>42</v>
      </c>
      <c r="K133" s="6">
        <v>1125</v>
      </c>
      <c r="L133" s="6">
        <v>73</v>
      </c>
      <c r="M133" s="7">
        <f t="shared" si="4"/>
        <v>1005.345</v>
      </c>
      <c r="N133" s="6"/>
      <c r="O133" s="5"/>
    </row>
    <row r="134" spans="1:15" x14ac:dyDescent="0.2">
      <c r="A134" s="3">
        <f>IF($B134="","",COUNTA($B$9:$B134))</f>
        <v>126</v>
      </c>
      <c r="B134" s="4" t="s">
        <v>162</v>
      </c>
      <c r="C134" s="4"/>
      <c r="D134" s="4"/>
      <c r="E134" s="5" t="s">
        <v>39</v>
      </c>
      <c r="F134" s="3" t="str">
        <f t="shared" si="3"/>
        <v>ورود</v>
      </c>
      <c r="G134" s="4" t="s">
        <v>168</v>
      </c>
      <c r="H134" s="3" t="str">
        <f t="shared" si="8"/>
        <v>خدیجه اصغرنیا</v>
      </c>
      <c r="I134" s="5"/>
      <c r="J134" s="5" t="s">
        <v>42</v>
      </c>
      <c r="K134" s="6">
        <v>860</v>
      </c>
      <c r="L134" s="6">
        <v>58</v>
      </c>
      <c r="M134" s="7">
        <f t="shared" si="4"/>
        <v>765.27</v>
      </c>
      <c r="N134" s="6"/>
      <c r="O134" s="5"/>
    </row>
    <row r="135" spans="1:15" x14ac:dyDescent="0.2">
      <c r="A135" s="3">
        <f>IF($B135="","",COUNTA($B$9:$B135))</f>
        <v>127</v>
      </c>
      <c r="B135" s="4" t="s">
        <v>162</v>
      </c>
      <c r="C135" s="4"/>
      <c r="D135" s="4"/>
      <c r="E135" s="5" t="s">
        <v>39</v>
      </c>
      <c r="F135" s="3" t="str">
        <f t="shared" si="3"/>
        <v>ورود</v>
      </c>
      <c r="G135" s="4" t="s">
        <v>169</v>
      </c>
      <c r="H135" s="3" t="str">
        <f t="shared" si="8"/>
        <v>اصغر عزیزی</v>
      </c>
      <c r="I135" s="5"/>
      <c r="J135" s="5" t="s">
        <v>42</v>
      </c>
      <c r="K135" s="6">
        <v>380</v>
      </c>
      <c r="L135" s="6"/>
      <c r="M135" s="7">
        <f t="shared" si="4"/>
        <v>376.2</v>
      </c>
      <c r="N135" s="6"/>
      <c r="O135" s="5"/>
    </row>
    <row r="136" spans="1:15" x14ac:dyDescent="0.2">
      <c r="A136" s="3">
        <f>IF($B136="","",COUNTA($B$9:$B136))</f>
        <v>128</v>
      </c>
      <c r="B136" s="4" t="s">
        <v>162</v>
      </c>
      <c r="C136" s="4"/>
      <c r="D136" s="4"/>
      <c r="E136" s="5" t="s">
        <v>39</v>
      </c>
      <c r="F136" s="3" t="str">
        <f t="shared" si="3"/>
        <v>ورود</v>
      </c>
      <c r="G136" s="4" t="s">
        <v>166</v>
      </c>
      <c r="H136" s="3" t="str">
        <f t="shared" si="8"/>
        <v>تقی اصغرنیا</v>
      </c>
      <c r="I136" s="5"/>
      <c r="J136" s="5" t="s">
        <v>124</v>
      </c>
      <c r="K136" s="6">
        <v>500</v>
      </c>
      <c r="L136" s="6">
        <v>30</v>
      </c>
      <c r="M136" s="7">
        <f t="shared" si="4"/>
        <v>450.45</v>
      </c>
      <c r="N136" s="6"/>
      <c r="O136" s="5"/>
    </row>
    <row r="137" spans="1:15" x14ac:dyDescent="0.2">
      <c r="A137" s="3">
        <f>IF($B137="","",COUNTA($B$9:$B137))</f>
        <v>129</v>
      </c>
      <c r="B137" s="4" t="s">
        <v>162</v>
      </c>
      <c r="C137" s="4"/>
      <c r="D137" s="4"/>
      <c r="E137" s="5" t="s">
        <v>39</v>
      </c>
      <c r="F137" s="3" t="str">
        <f t="shared" ref="F137:F200" si="10">IF($E137="","",IFERROR(VLOOKUP($E137,OpTbl,2,0),""))</f>
        <v>ورود</v>
      </c>
      <c r="G137" s="4" t="s">
        <v>158</v>
      </c>
      <c r="H137" s="3" t="str">
        <f t="shared" ref="H137:H200" si="11">IF($G137="","",IFERROR(IF(VLOOKUP($G137,AcctTbl,4,0)="","(بدون نام)",VLOOKUP($G137,AcctTbl,4,0)),"کد ناشناخته"))</f>
        <v>محمد حسین عزیزی</v>
      </c>
      <c r="I137" s="5"/>
      <c r="J137" s="5" t="s">
        <v>42</v>
      </c>
      <c r="K137" s="6">
        <v>445</v>
      </c>
      <c r="L137" s="6">
        <v>29</v>
      </c>
      <c r="M137" s="7">
        <f t="shared" ref="M137:M200" si="12">IF(OR($B137="",$K137=""),"",($K137-IF($L137="",0,$L137)*IFERROR(VLOOKUP("P01",ParamTbl,3,0),1.5))*(1-IF(IFERROR(VLOOKUP($E137,OpTbl,3,0),"")="خرید",IFERROR(VLOOKUP("P02",ParamTbl,3,0),1),0)/100))</f>
        <v>397.48500000000001</v>
      </c>
      <c r="N137" s="6"/>
      <c r="O137" s="5"/>
    </row>
    <row r="138" spans="1:15" x14ac:dyDescent="0.2">
      <c r="A138" s="3">
        <f>IF($B138="","",COUNTA($B$9:$B138))</f>
        <v>130</v>
      </c>
      <c r="B138" s="4" t="s">
        <v>162</v>
      </c>
      <c r="C138" s="4"/>
      <c r="D138" s="4"/>
      <c r="E138" s="5" t="s">
        <v>39</v>
      </c>
      <c r="F138" s="3" t="str">
        <f t="shared" si="10"/>
        <v>ورود</v>
      </c>
      <c r="G138" s="4" t="s">
        <v>167</v>
      </c>
      <c r="H138" s="3" t="str">
        <f t="shared" si="11"/>
        <v>مدانلو</v>
      </c>
      <c r="I138" s="5"/>
      <c r="J138" s="5" t="s">
        <v>42</v>
      </c>
      <c r="K138" s="6">
        <v>3035</v>
      </c>
      <c r="L138" s="6">
        <v>187</v>
      </c>
      <c r="M138" s="7">
        <f t="shared" si="12"/>
        <v>2726.9549999999999</v>
      </c>
      <c r="N138" s="6"/>
      <c r="O138" s="5"/>
    </row>
    <row r="139" spans="1:15" x14ac:dyDescent="0.2">
      <c r="A139" s="3">
        <f>IF($B139="","",COUNTA($B$9:$B139))</f>
        <v>131</v>
      </c>
      <c r="B139" s="4" t="s">
        <v>162</v>
      </c>
      <c r="C139" s="4"/>
      <c r="D139" s="4"/>
      <c r="E139" s="5" t="s">
        <v>39</v>
      </c>
      <c r="F139" s="3" t="str">
        <f t="shared" si="10"/>
        <v>ورود</v>
      </c>
      <c r="G139" s="4" t="s">
        <v>120</v>
      </c>
      <c r="H139" s="3" t="str">
        <f t="shared" si="11"/>
        <v>میرقربان موسویان</v>
      </c>
      <c r="I139" s="5"/>
      <c r="J139" s="5" t="s">
        <v>124</v>
      </c>
      <c r="K139" s="6">
        <v>260</v>
      </c>
      <c r="L139" s="6">
        <v>30</v>
      </c>
      <c r="M139" s="7">
        <f t="shared" si="12"/>
        <v>212.85</v>
      </c>
      <c r="N139" s="6"/>
      <c r="O139" s="5"/>
    </row>
    <row r="140" spans="1:15" x14ac:dyDescent="0.2">
      <c r="A140" s="3">
        <f>IF($B140="","",COUNTA($B$9:$B140))</f>
        <v>132</v>
      </c>
      <c r="B140" s="4" t="s">
        <v>162</v>
      </c>
      <c r="C140" s="4"/>
      <c r="D140" s="4"/>
      <c r="E140" s="5" t="s">
        <v>39</v>
      </c>
      <c r="F140" s="3" t="str">
        <f t="shared" si="10"/>
        <v>ورود</v>
      </c>
      <c r="G140" s="4" t="s">
        <v>158</v>
      </c>
      <c r="H140" s="3" t="str">
        <f t="shared" si="11"/>
        <v>محمد حسین عزیزی</v>
      </c>
      <c r="I140" s="5"/>
      <c r="J140" s="5" t="s">
        <v>42</v>
      </c>
      <c r="K140" s="6">
        <v>920</v>
      </c>
      <c r="L140" s="6">
        <v>52</v>
      </c>
      <c r="M140" s="7">
        <f t="shared" si="12"/>
        <v>833.58</v>
      </c>
      <c r="N140" s="6"/>
      <c r="O140" s="5"/>
    </row>
    <row r="141" spans="1:15" x14ac:dyDescent="0.2">
      <c r="A141" s="3">
        <f>IF($B141="","",COUNTA($B$9:$B141))</f>
        <v>133</v>
      </c>
      <c r="B141" s="4" t="s">
        <v>162</v>
      </c>
      <c r="C141" s="4"/>
      <c r="D141" s="4"/>
      <c r="E141" s="5" t="s">
        <v>39</v>
      </c>
      <c r="F141" s="3" t="str">
        <f t="shared" si="10"/>
        <v>ورود</v>
      </c>
      <c r="G141" s="4" t="s">
        <v>167</v>
      </c>
      <c r="H141" s="3" t="str">
        <f t="shared" si="11"/>
        <v>مدانلو</v>
      </c>
      <c r="I141" s="5"/>
      <c r="J141" s="5" t="s">
        <v>42</v>
      </c>
      <c r="K141" s="6">
        <v>945</v>
      </c>
      <c r="L141" s="6">
        <v>56</v>
      </c>
      <c r="M141" s="7">
        <f t="shared" si="12"/>
        <v>852.39</v>
      </c>
      <c r="N141" s="6"/>
      <c r="O141" s="5"/>
    </row>
    <row r="142" spans="1:15" x14ac:dyDescent="0.2">
      <c r="A142" s="3">
        <f>IF($B142="","",COUNTA($B$9:$B142))</f>
        <v>134</v>
      </c>
      <c r="B142" s="4" t="s">
        <v>162</v>
      </c>
      <c r="C142" s="4"/>
      <c r="D142" s="4"/>
      <c r="E142" s="5" t="s">
        <v>39</v>
      </c>
      <c r="F142" s="3" t="str">
        <f t="shared" si="10"/>
        <v>ورود</v>
      </c>
      <c r="G142" s="4" t="s">
        <v>158</v>
      </c>
      <c r="H142" s="3" t="str">
        <f t="shared" si="11"/>
        <v>محمد حسین عزیزی</v>
      </c>
      <c r="I142" s="5"/>
      <c r="J142" s="5" t="s">
        <v>42</v>
      </c>
      <c r="K142" s="6">
        <v>310</v>
      </c>
      <c r="L142" s="6">
        <v>18</v>
      </c>
      <c r="M142" s="7">
        <f t="shared" si="12"/>
        <v>280.17</v>
      </c>
      <c r="N142" s="6"/>
      <c r="O142" s="5"/>
    </row>
    <row r="143" spans="1:15" x14ac:dyDescent="0.2">
      <c r="A143" s="3">
        <f>IF($B143="","",COUNTA($B$9:$B143))</f>
        <v>135</v>
      </c>
      <c r="B143" s="4" t="s">
        <v>170</v>
      </c>
      <c r="C143" s="4"/>
      <c r="D143" s="4"/>
      <c r="E143" s="5" t="s">
        <v>49</v>
      </c>
      <c r="F143" s="3" t="str">
        <f t="shared" si="10"/>
        <v>خروج</v>
      </c>
      <c r="G143" s="4" t="s">
        <v>54</v>
      </c>
      <c r="H143" s="3" t="str">
        <f t="shared" si="11"/>
        <v>مشهد-محمد توکلی</v>
      </c>
      <c r="I143" s="5"/>
      <c r="J143" s="5"/>
      <c r="K143" s="6">
        <v>2640</v>
      </c>
      <c r="L143" s="6"/>
      <c r="M143" s="7">
        <f t="shared" si="12"/>
        <v>2640</v>
      </c>
      <c r="N143" s="6"/>
      <c r="O143" s="5"/>
    </row>
    <row r="144" spans="1:15" x14ac:dyDescent="0.2">
      <c r="A144" s="3">
        <f>IF($B144="","",COUNTA($B$9:$B144))</f>
        <v>136</v>
      </c>
      <c r="B144" s="4" t="s">
        <v>170</v>
      </c>
      <c r="C144" s="4"/>
      <c r="D144" s="4"/>
      <c r="E144" s="5" t="s">
        <v>49</v>
      </c>
      <c r="F144" s="3" t="str">
        <f t="shared" si="10"/>
        <v>خروج</v>
      </c>
      <c r="G144" s="4" t="s">
        <v>148</v>
      </c>
      <c r="H144" s="3" t="str">
        <f t="shared" si="11"/>
        <v>زنجان-خانی</v>
      </c>
      <c r="I144" s="5"/>
      <c r="J144" s="5"/>
      <c r="K144" s="6">
        <v>3135</v>
      </c>
      <c r="L144" s="6"/>
      <c r="M144" s="7">
        <f t="shared" si="12"/>
        <v>3135</v>
      </c>
      <c r="N144" s="6"/>
      <c r="O144" s="5"/>
    </row>
    <row r="145" spans="1:15" x14ac:dyDescent="0.2">
      <c r="A145" s="3">
        <f>IF($B145="","",COUNTA($B$9:$B145))</f>
        <v>137</v>
      </c>
      <c r="B145" s="4" t="s">
        <v>170</v>
      </c>
      <c r="C145" s="4"/>
      <c r="D145" s="4"/>
      <c r="E145" s="5" t="s">
        <v>39</v>
      </c>
      <c r="F145" s="3" t="str">
        <f t="shared" si="10"/>
        <v>ورود</v>
      </c>
      <c r="G145" s="4" t="s">
        <v>174</v>
      </c>
      <c r="H145" s="3" t="str">
        <f t="shared" si="11"/>
        <v>غلامی</v>
      </c>
      <c r="I145" s="5"/>
      <c r="J145" s="5"/>
      <c r="K145" s="6">
        <v>3440</v>
      </c>
      <c r="L145" s="6">
        <v>190</v>
      </c>
      <c r="M145" s="7">
        <f t="shared" si="12"/>
        <v>3123.45</v>
      </c>
      <c r="N145" s="6"/>
      <c r="O145" s="5"/>
    </row>
    <row r="146" spans="1:15" x14ac:dyDescent="0.2">
      <c r="A146" s="3">
        <f>IF($B146="","",COUNTA($B$9:$B146))</f>
        <v>138</v>
      </c>
      <c r="B146" s="4" t="s">
        <v>170</v>
      </c>
      <c r="C146" s="4"/>
      <c r="D146" s="4"/>
      <c r="E146" s="5" t="s">
        <v>49</v>
      </c>
      <c r="F146" s="3" t="str">
        <f t="shared" si="10"/>
        <v>خروج</v>
      </c>
      <c r="G146" s="4" t="s">
        <v>58</v>
      </c>
      <c r="H146" s="3" t="str">
        <f t="shared" si="11"/>
        <v>اراک-پوریا خوشنمکیان</v>
      </c>
      <c r="I146" s="5"/>
      <c r="J146" s="5"/>
      <c r="K146" s="6">
        <v>3060</v>
      </c>
      <c r="L146" s="6"/>
      <c r="M146" s="7">
        <f t="shared" si="12"/>
        <v>3060</v>
      </c>
      <c r="N146" s="6"/>
      <c r="O146" s="5"/>
    </row>
    <row r="147" spans="1:15" x14ac:dyDescent="0.2">
      <c r="A147" s="3">
        <f>IF($B147="","",COUNTA($B$9:$B147))</f>
        <v>139</v>
      </c>
      <c r="B147" s="4" t="s">
        <v>170</v>
      </c>
      <c r="C147" s="4"/>
      <c r="D147" s="4"/>
      <c r="E147" s="5" t="s">
        <v>39</v>
      </c>
      <c r="F147" s="3" t="str">
        <f t="shared" si="10"/>
        <v>ورود</v>
      </c>
      <c r="G147" s="4" t="s">
        <v>158</v>
      </c>
      <c r="H147" s="3" t="str">
        <f t="shared" si="11"/>
        <v>محمد حسین عزیزی</v>
      </c>
      <c r="I147" s="5"/>
      <c r="J147" s="5" t="s">
        <v>42</v>
      </c>
      <c r="K147" s="6">
        <v>1435</v>
      </c>
      <c r="L147" s="6">
        <v>82</v>
      </c>
      <c r="M147" s="7">
        <f t="shared" si="12"/>
        <v>1298.8799999999999</v>
      </c>
      <c r="N147" s="6"/>
      <c r="O147" s="5"/>
    </row>
    <row r="148" spans="1:15" x14ac:dyDescent="0.2">
      <c r="A148" s="3">
        <f>IF($B148="","",COUNTA($B$9:$B148))</f>
        <v>140</v>
      </c>
      <c r="B148" s="4" t="s">
        <v>170</v>
      </c>
      <c r="C148" s="4"/>
      <c r="D148" s="4"/>
      <c r="E148" s="5" t="s">
        <v>49</v>
      </c>
      <c r="F148" s="3" t="str">
        <f t="shared" si="10"/>
        <v>خروج</v>
      </c>
      <c r="G148" s="4" t="s">
        <v>50</v>
      </c>
      <c r="H148" s="3" t="str">
        <f t="shared" si="11"/>
        <v>قم-سید حسین حسینی</v>
      </c>
      <c r="I148" s="5"/>
      <c r="J148" s="5"/>
      <c r="K148" s="6">
        <v>2130</v>
      </c>
      <c r="L148" s="6"/>
      <c r="M148" s="7">
        <f t="shared" si="12"/>
        <v>2130</v>
      </c>
      <c r="N148" s="6"/>
      <c r="O148" s="5"/>
    </row>
    <row r="149" spans="1:15" x14ac:dyDescent="0.2">
      <c r="A149" s="3">
        <f>IF($B149="","",COUNTA($B$9:$B149))</f>
        <v>141</v>
      </c>
      <c r="B149" s="4" t="s">
        <v>170</v>
      </c>
      <c r="C149" s="4"/>
      <c r="D149" s="4"/>
      <c r="E149" s="5" t="s">
        <v>39</v>
      </c>
      <c r="F149" s="3" t="str">
        <f t="shared" si="10"/>
        <v>ورود</v>
      </c>
      <c r="G149" s="4" t="s">
        <v>158</v>
      </c>
      <c r="H149" s="3" t="str">
        <f t="shared" si="11"/>
        <v>محمد حسین عزیزی</v>
      </c>
      <c r="I149" s="5"/>
      <c r="J149" s="5" t="s">
        <v>42</v>
      </c>
      <c r="K149" s="6">
        <v>415</v>
      </c>
      <c r="L149" s="6">
        <v>25</v>
      </c>
      <c r="M149" s="7">
        <f t="shared" si="12"/>
        <v>373.72500000000002</v>
      </c>
      <c r="N149" s="6"/>
      <c r="O149" s="5"/>
    </row>
    <row r="150" spans="1:15" x14ac:dyDescent="0.2">
      <c r="A150" s="3">
        <f>IF($B150="","",COUNTA($B$9:$B150))</f>
        <v>142</v>
      </c>
      <c r="B150" s="4" t="s">
        <v>170</v>
      </c>
      <c r="C150" s="4"/>
      <c r="D150" s="4"/>
      <c r="E150" s="5" t="s">
        <v>39</v>
      </c>
      <c r="F150" s="3" t="str">
        <f t="shared" si="10"/>
        <v>ورود</v>
      </c>
      <c r="G150" s="4" t="s">
        <v>174</v>
      </c>
      <c r="H150" s="3" t="str">
        <f t="shared" si="11"/>
        <v>غلامی</v>
      </c>
      <c r="I150" s="5"/>
      <c r="J150" s="5" t="s">
        <v>42</v>
      </c>
      <c r="K150" s="6">
        <v>365</v>
      </c>
      <c r="L150" s="6">
        <v>20</v>
      </c>
      <c r="M150" s="7">
        <f t="shared" si="12"/>
        <v>331.65</v>
      </c>
      <c r="N150" s="6"/>
      <c r="O150" s="5"/>
    </row>
    <row r="151" spans="1:15" x14ac:dyDescent="0.2">
      <c r="A151" s="3">
        <f>IF($B151="","",COUNTA($B$9:$B151))</f>
        <v>143</v>
      </c>
      <c r="B151" s="4" t="s">
        <v>170</v>
      </c>
      <c r="C151" s="4"/>
      <c r="D151" s="4"/>
      <c r="E151" s="5" t="s">
        <v>39</v>
      </c>
      <c r="F151" s="3" t="str">
        <f t="shared" si="10"/>
        <v>ورود</v>
      </c>
      <c r="G151" s="4" t="s">
        <v>174</v>
      </c>
      <c r="H151" s="3" t="str">
        <f t="shared" si="11"/>
        <v>غلامی</v>
      </c>
      <c r="I151" s="5"/>
      <c r="J151" s="5" t="s">
        <v>42</v>
      </c>
      <c r="K151" s="6">
        <v>2800</v>
      </c>
      <c r="L151" s="6">
        <v>150</v>
      </c>
      <c r="M151" s="7">
        <f t="shared" si="12"/>
        <v>2549.25</v>
      </c>
      <c r="N151" s="6"/>
      <c r="O151" s="5"/>
    </row>
    <row r="152" spans="1:15" x14ac:dyDescent="0.2">
      <c r="A152" s="3">
        <f>IF($B152="","",COUNTA($B$9:$B152))</f>
        <v>144</v>
      </c>
      <c r="B152" s="4" t="s">
        <v>170</v>
      </c>
      <c r="C152" s="4"/>
      <c r="D152" s="4"/>
      <c r="E152" s="5" t="s">
        <v>39</v>
      </c>
      <c r="F152" s="3" t="str">
        <f t="shared" si="10"/>
        <v>ورود</v>
      </c>
      <c r="G152" s="4" t="s">
        <v>177</v>
      </c>
      <c r="H152" s="3" t="str">
        <f t="shared" si="11"/>
        <v>حسن عیسی پور</v>
      </c>
      <c r="I152" s="5"/>
      <c r="J152" s="5" t="s">
        <v>124</v>
      </c>
      <c r="K152" s="6">
        <v>225</v>
      </c>
      <c r="L152" s="6">
        <v>13</v>
      </c>
      <c r="M152" s="7">
        <f t="shared" si="12"/>
        <v>203.44499999999999</v>
      </c>
      <c r="N152" s="6"/>
      <c r="O152" s="5"/>
    </row>
    <row r="153" spans="1:15" x14ac:dyDescent="0.2">
      <c r="A153" s="3">
        <f>IF($B153="","",COUNTA($B$9:$B153))</f>
        <v>145</v>
      </c>
      <c r="B153" s="4" t="s">
        <v>170</v>
      </c>
      <c r="C153" s="4"/>
      <c r="D153" s="4"/>
      <c r="E153" s="5" t="s">
        <v>39</v>
      </c>
      <c r="F153" s="3" t="str">
        <f t="shared" si="10"/>
        <v>ورود</v>
      </c>
      <c r="G153" s="4" t="s">
        <v>174</v>
      </c>
      <c r="H153" s="3" t="str">
        <f t="shared" si="11"/>
        <v>غلامی</v>
      </c>
      <c r="I153" s="5"/>
      <c r="J153" s="5" t="s">
        <v>42</v>
      </c>
      <c r="K153" s="6">
        <v>1900</v>
      </c>
      <c r="L153" s="6">
        <v>100</v>
      </c>
      <c r="M153" s="7">
        <f t="shared" si="12"/>
        <v>1732.5</v>
      </c>
      <c r="N153" s="6"/>
      <c r="O153" s="5"/>
    </row>
    <row r="154" spans="1:15" x14ac:dyDescent="0.2">
      <c r="A154" s="3">
        <f>IF($B154="","",COUNTA($B$9:$B154))</f>
        <v>146</v>
      </c>
      <c r="B154" s="4" t="s">
        <v>171</v>
      </c>
      <c r="C154" s="4"/>
      <c r="D154" s="4"/>
      <c r="E154" s="5" t="s">
        <v>49</v>
      </c>
      <c r="F154" s="3" t="str">
        <f t="shared" si="10"/>
        <v>خروج</v>
      </c>
      <c r="G154" s="4" t="s">
        <v>148</v>
      </c>
      <c r="H154" s="3" t="str">
        <f t="shared" si="11"/>
        <v>زنجان-خانی</v>
      </c>
      <c r="I154" s="5"/>
      <c r="J154" s="5"/>
      <c r="K154" s="6">
        <v>4405</v>
      </c>
      <c r="L154" s="6"/>
      <c r="M154" s="7">
        <f t="shared" si="12"/>
        <v>4405</v>
      </c>
      <c r="N154" s="6"/>
      <c r="O154" s="5"/>
    </row>
    <row r="155" spans="1:15" x14ac:dyDescent="0.2">
      <c r="A155" s="3">
        <f>IF($B155="","",COUNTA($B$9:$B155))</f>
        <v>147</v>
      </c>
      <c r="B155" s="4" t="s">
        <v>171</v>
      </c>
      <c r="C155" s="4"/>
      <c r="D155" s="4"/>
      <c r="E155" s="5" t="s">
        <v>39</v>
      </c>
      <c r="F155" s="3" t="str">
        <f t="shared" si="10"/>
        <v>ورود</v>
      </c>
      <c r="G155" s="4" t="s">
        <v>120</v>
      </c>
      <c r="H155" s="3" t="str">
        <f t="shared" si="11"/>
        <v>میرقربان موسویان</v>
      </c>
      <c r="I155" s="5"/>
      <c r="J155" s="5" t="s">
        <v>124</v>
      </c>
      <c r="K155" s="6">
        <v>735</v>
      </c>
      <c r="L155" s="6">
        <v>58</v>
      </c>
      <c r="M155" s="7">
        <f t="shared" si="12"/>
        <v>641.52</v>
      </c>
      <c r="N155" s="6"/>
      <c r="O155" s="5"/>
    </row>
    <row r="156" spans="1:15" x14ac:dyDescent="0.2">
      <c r="A156" s="3">
        <f>IF($B156="","",COUNTA($B$9:$B156))</f>
        <v>148</v>
      </c>
      <c r="B156" s="4" t="s">
        <v>171</v>
      </c>
      <c r="C156" s="4"/>
      <c r="D156" s="4"/>
      <c r="E156" s="5" t="s">
        <v>39</v>
      </c>
      <c r="F156" s="3" t="str">
        <f t="shared" si="10"/>
        <v>ورود</v>
      </c>
      <c r="G156" s="4" t="s">
        <v>174</v>
      </c>
      <c r="H156" s="3" t="str">
        <f t="shared" si="11"/>
        <v>غلامی</v>
      </c>
      <c r="I156" s="5"/>
      <c r="J156" s="5" t="s">
        <v>42</v>
      </c>
      <c r="K156" s="6">
        <v>2100</v>
      </c>
      <c r="L156" s="6">
        <v>147</v>
      </c>
      <c r="M156" s="7">
        <f t="shared" si="12"/>
        <v>1860.7049999999999</v>
      </c>
      <c r="N156" s="6"/>
      <c r="O156" s="5"/>
    </row>
    <row r="157" spans="1:15" x14ac:dyDescent="0.2">
      <c r="A157" s="3">
        <f>IF($B157="","",COUNTA($B$9:$B157))</f>
        <v>149</v>
      </c>
      <c r="B157" s="4" t="s">
        <v>171</v>
      </c>
      <c r="C157" s="4"/>
      <c r="D157" s="4"/>
      <c r="E157" s="5" t="s">
        <v>39</v>
      </c>
      <c r="F157" s="3" t="str">
        <f t="shared" si="10"/>
        <v>ورود</v>
      </c>
      <c r="G157" s="4" t="s">
        <v>174</v>
      </c>
      <c r="H157" s="3" t="str">
        <f t="shared" si="11"/>
        <v>غلامی</v>
      </c>
      <c r="I157" s="5"/>
      <c r="J157" s="5" t="s">
        <v>42</v>
      </c>
      <c r="K157" s="6">
        <v>2030</v>
      </c>
      <c r="L157" s="6">
        <v>116</v>
      </c>
      <c r="M157" s="7">
        <f t="shared" si="12"/>
        <v>1837.44</v>
      </c>
      <c r="N157" s="6"/>
      <c r="O157" s="5"/>
    </row>
    <row r="158" spans="1:15" x14ac:dyDescent="0.2">
      <c r="A158" s="3">
        <f>IF($B158="","",COUNTA($B$9:$B158))</f>
        <v>150</v>
      </c>
      <c r="B158" s="4" t="s">
        <v>171</v>
      </c>
      <c r="C158" s="4"/>
      <c r="D158" s="4"/>
      <c r="E158" s="5" t="s">
        <v>49</v>
      </c>
      <c r="F158" s="3" t="str">
        <f t="shared" si="10"/>
        <v>خروج</v>
      </c>
      <c r="G158" s="4" t="s">
        <v>50</v>
      </c>
      <c r="H158" s="3" t="str">
        <f t="shared" si="11"/>
        <v>قم-سید حسین حسینی</v>
      </c>
      <c r="I158" s="5"/>
      <c r="J158" s="5"/>
      <c r="K158" s="6">
        <v>2165</v>
      </c>
      <c r="L158" s="6"/>
      <c r="M158" s="7">
        <f t="shared" si="12"/>
        <v>2165</v>
      </c>
      <c r="N158" s="6"/>
      <c r="O158" s="5"/>
    </row>
    <row r="159" spans="1:15" x14ac:dyDescent="0.2">
      <c r="A159" s="3">
        <f>IF($B159="","",COUNTA($B$9:$B159))</f>
        <v>151</v>
      </c>
      <c r="B159" s="4" t="s">
        <v>171</v>
      </c>
      <c r="C159" s="4"/>
      <c r="D159" s="4"/>
      <c r="E159" s="5" t="s">
        <v>49</v>
      </c>
      <c r="F159" s="3" t="str">
        <f t="shared" si="10"/>
        <v>خروج</v>
      </c>
      <c r="G159" s="4" t="s">
        <v>58</v>
      </c>
      <c r="H159" s="3" t="str">
        <f t="shared" si="11"/>
        <v>اراک-پوریا خوشنمکیان</v>
      </c>
      <c r="I159" s="5"/>
      <c r="J159" s="5"/>
      <c r="K159" s="6">
        <v>2175</v>
      </c>
      <c r="L159" s="6"/>
      <c r="M159" s="7">
        <f t="shared" si="12"/>
        <v>2175</v>
      </c>
      <c r="N159" s="6"/>
      <c r="O159" s="5"/>
    </row>
    <row r="160" spans="1:15" x14ac:dyDescent="0.2">
      <c r="A160" s="3">
        <f>IF($B160="","",COUNTA($B$9:$B160))</f>
        <v>152</v>
      </c>
      <c r="B160" s="4" t="s">
        <v>171</v>
      </c>
      <c r="C160" s="4"/>
      <c r="D160" s="4"/>
      <c r="E160" s="5" t="s">
        <v>39</v>
      </c>
      <c r="F160" s="3" t="str">
        <f t="shared" si="10"/>
        <v>ورود</v>
      </c>
      <c r="G160" s="4" t="s">
        <v>149</v>
      </c>
      <c r="H160" s="3" t="str">
        <f t="shared" si="11"/>
        <v>محمد رضایی</v>
      </c>
      <c r="I160" s="5"/>
      <c r="J160" s="5" t="s">
        <v>124</v>
      </c>
      <c r="K160" s="6">
        <v>415</v>
      </c>
      <c r="L160" s="6"/>
      <c r="M160" s="7">
        <f t="shared" si="12"/>
        <v>410.85</v>
      </c>
      <c r="N160" s="6"/>
      <c r="O160" s="5"/>
    </row>
    <row r="161" spans="1:15" x14ac:dyDescent="0.2">
      <c r="A161" s="3">
        <f>IF($B161="","",COUNTA($B$9:$B161))</f>
        <v>153</v>
      </c>
      <c r="B161" s="4" t="s">
        <v>171</v>
      </c>
      <c r="C161" s="4"/>
      <c r="D161" s="4"/>
      <c r="E161" s="5" t="s">
        <v>39</v>
      </c>
      <c r="F161" s="3" t="str">
        <f t="shared" si="10"/>
        <v>ورود</v>
      </c>
      <c r="G161" s="4" t="s">
        <v>174</v>
      </c>
      <c r="H161" s="3" t="str">
        <f t="shared" si="11"/>
        <v>غلامی</v>
      </c>
      <c r="I161" s="5"/>
      <c r="J161" s="5" t="s">
        <v>42</v>
      </c>
      <c r="K161" s="6">
        <v>3280</v>
      </c>
      <c r="L161" s="6">
        <v>190</v>
      </c>
      <c r="M161" s="7">
        <f t="shared" si="12"/>
        <v>2965.05</v>
      </c>
      <c r="N161" s="6"/>
      <c r="O161" s="5"/>
    </row>
    <row r="162" spans="1:15" x14ac:dyDescent="0.2">
      <c r="A162" s="3">
        <f>IF($B162="","",COUNTA($B$9:$B162))</f>
        <v>154</v>
      </c>
      <c r="B162" s="4" t="s">
        <v>172</v>
      </c>
      <c r="C162" s="4"/>
      <c r="D162" s="4"/>
      <c r="E162" s="5" t="s">
        <v>39</v>
      </c>
      <c r="F162" s="3" t="str">
        <f t="shared" si="10"/>
        <v>ورود</v>
      </c>
      <c r="G162" s="4" t="s">
        <v>174</v>
      </c>
      <c r="H162" s="3" t="str">
        <f t="shared" si="11"/>
        <v>غلامی</v>
      </c>
      <c r="I162" s="5"/>
      <c r="J162" s="5" t="s">
        <v>42</v>
      </c>
      <c r="K162" s="6">
        <v>1965</v>
      </c>
      <c r="L162" s="6">
        <v>147</v>
      </c>
      <c r="M162" s="7">
        <f t="shared" si="12"/>
        <v>1727.0550000000001</v>
      </c>
      <c r="N162" s="6"/>
      <c r="O162" s="5"/>
    </row>
    <row r="163" spans="1:15" x14ac:dyDescent="0.2">
      <c r="A163" s="3">
        <f>IF($B163="","",COUNTA($B$9:$B163))</f>
        <v>155</v>
      </c>
      <c r="B163" s="4" t="s">
        <v>172</v>
      </c>
      <c r="C163" s="4"/>
      <c r="D163" s="4"/>
      <c r="E163" s="5" t="s">
        <v>39</v>
      </c>
      <c r="F163" s="3" t="str">
        <f t="shared" si="10"/>
        <v>ورود</v>
      </c>
      <c r="G163" s="4" t="s">
        <v>175</v>
      </c>
      <c r="H163" s="3" t="str">
        <f t="shared" si="11"/>
        <v>علی عزیزنژاد</v>
      </c>
      <c r="I163" s="5"/>
      <c r="J163" s="5" t="s">
        <v>178</v>
      </c>
      <c r="K163" s="6">
        <v>1780</v>
      </c>
      <c r="L163" s="6">
        <v>125</v>
      </c>
      <c r="M163" s="7">
        <f t="shared" si="12"/>
        <v>1576.575</v>
      </c>
      <c r="N163" s="6"/>
      <c r="O163" s="5"/>
    </row>
    <row r="164" spans="1:15" x14ac:dyDescent="0.2">
      <c r="A164" s="3">
        <f>IF($B164="","",COUNTA($B$9:$B164))</f>
        <v>156</v>
      </c>
      <c r="B164" s="4" t="s">
        <v>172</v>
      </c>
      <c r="C164" s="4"/>
      <c r="D164" s="4"/>
      <c r="E164" s="5" t="s">
        <v>49</v>
      </c>
      <c r="F164" s="3" t="str">
        <f t="shared" si="10"/>
        <v>خروج</v>
      </c>
      <c r="G164" s="4" t="s">
        <v>54</v>
      </c>
      <c r="H164" s="3" t="str">
        <f t="shared" si="11"/>
        <v>مشهد-محمد توکلی</v>
      </c>
      <c r="I164" s="5"/>
      <c r="J164" s="5"/>
      <c r="K164" s="6">
        <v>3000</v>
      </c>
      <c r="L164" s="6"/>
      <c r="M164" s="7">
        <f t="shared" si="12"/>
        <v>3000</v>
      </c>
      <c r="N164" s="6"/>
      <c r="O164" s="5"/>
    </row>
    <row r="165" spans="1:15" x14ac:dyDescent="0.2">
      <c r="A165" s="3">
        <f>IF($B165="","",COUNTA($B$9:$B165))</f>
        <v>157</v>
      </c>
      <c r="B165" s="4" t="s">
        <v>172</v>
      </c>
      <c r="C165" s="4"/>
      <c r="D165" s="4"/>
      <c r="E165" s="5" t="s">
        <v>39</v>
      </c>
      <c r="F165" s="3" t="str">
        <f t="shared" si="10"/>
        <v>ورود</v>
      </c>
      <c r="G165" s="4" t="s">
        <v>174</v>
      </c>
      <c r="H165" s="3" t="str">
        <f t="shared" si="11"/>
        <v>غلامی</v>
      </c>
      <c r="I165" s="5"/>
      <c r="J165" s="5" t="s">
        <v>42</v>
      </c>
      <c r="K165" s="6">
        <v>3220</v>
      </c>
      <c r="L165" s="6">
        <v>190</v>
      </c>
      <c r="M165" s="7">
        <f t="shared" si="12"/>
        <v>2905.65</v>
      </c>
      <c r="N165" s="6"/>
      <c r="O165" s="5"/>
    </row>
    <row r="166" spans="1:15" x14ac:dyDescent="0.2">
      <c r="A166" s="3">
        <f>IF($B166="","",COUNTA($B$9:$B166))</f>
        <v>158</v>
      </c>
      <c r="B166" s="4" t="s">
        <v>172</v>
      </c>
      <c r="C166" s="4"/>
      <c r="D166" s="4"/>
      <c r="E166" s="5" t="s">
        <v>49</v>
      </c>
      <c r="F166" s="3" t="str">
        <f t="shared" si="10"/>
        <v>خروج</v>
      </c>
      <c r="G166" s="4" t="s">
        <v>58</v>
      </c>
      <c r="H166" s="3" t="str">
        <f t="shared" si="11"/>
        <v>اراک-پوریا خوشنمکیان</v>
      </c>
      <c r="I166" s="5"/>
      <c r="J166" s="5"/>
      <c r="K166" s="6">
        <v>2250</v>
      </c>
      <c r="L166" s="6"/>
      <c r="M166" s="7">
        <f t="shared" si="12"/>
        <v>2250</v>
      </c>
      <c r="N166" s="6"/>
      <c r="O166" s="5"/>
    </row>
    <row r="167" spans="1:15" x14ac:dyDescent="0.2">
      <c r="A167" s="3">
        <f>IF($B167="","",COUNTA($B$9:$B167))</f>
        <v>159</v>
      </c>
      <c r="B167" s="4" t="s">
        <v>172</v>
      </c>
      <c r="C167" s="4"/>
      <c r="D167" s="4"/>
      <c r="E167" s="5" t="s">
        <v>49</v>
      </c>
      <c r="F167" s="3" t="str">
        <f t="shared" si="10"/>
        <v>خروج</v>
      </c>
      <c r="G167" s="4" t="s">
        <v>50</v>
      </c>
      <c r="H167" s="3" t="str">
        <f t="shared" si="11"/>
        <v>قم-سید حسین حسینی</v>
      </c>
      <c r="I167" s="5"/>
      <c r="J167" s="5"/>
      <c r="K167" s="6">
        <v>2245</v>
      </c>
      <c r="L167" s="6"/>
      <c r="M167" s="7">
        <f t="shared" si="12"/>
        <v>2245</v>
      </c>
      <c r="N167" s="6"/>
      <c r="O167" s="5"/>
    </row>
    <row r="168" spans="1:15" x14ac:dyDescent="0.2">
      <c r="A168" s="3">
        <f>IF($B168="","",COUNTA($B$9:$B168))</f>
        <v>160</v>
      </c>
      <c r="B168" s="4" t="s">
        <v>172</v>
      </c>
      <c r="C168" s="4"/>
      <c r="D168" s="4"/>
      <c r="E168" s="5" t="s">
        <v>39</v>
      </c>
      <c r="F168" s="3" t="str">
        <f t="shared" si="10"/>
        <v>ورود</v>
      </c>
      <c r="G168" s="4" t="s">
        <v>175</v>
      </c>
      <c r="H168" s="3" t="str">
        <f t="shared" si="11"/>
        <v>علی عزیزنژاد</v>
      </c>
      <c r="I168" s="5"/>
      <c r="J168" s="5" t="s">
        <v>178</v>
      </c>
      <c r="K168" s="6">
        <v>2000</v>
      </c>
      <c r="L168" s="6">
        <v>140</v>
      </c>
      <c r="M168" s="7">
        <f t="shared" si="12"/>
        <v>1772.1</v>
      </c>
      <c r="N168" s="6"/>
      <c r="O168" s="5"/>
    </row>
    <row r="169" spans="1:15" x14ac:dyDescent="0.2">
      <c r="A169" s="3">
        <f>IF($B169="","",COUNTA($B$9:$B169))</f>
        <v>161</v>
      </c>
      <c r="B169" s="4" t="s">
        <v>172</v>
      </c>
      <c r="C169" s="4"/>
      <c r="D169" s="4"/>
      <c r="E169" s="5" t="s">
        <v>39</v>
      </c>
      <c r="F169" s="3" t="str">
        <f t="shared" si="10"/>
        <v>ورود</v>
      </c>
      <c r="G169" s="4" t="s">
        <v>158</v>
      </c>
      <c r="H169" s="3" t="str">
        <f t="shared" si="11"/>
        <v>محمد حسین عزیزی</v>
      </c>
      <c r="I169" s="5"/>
      <c r="J169" s="5" t="s">
        <v>42</v>
      </c>
      <c r="K169" s="6">
        <v>1165</v>
      </c>
      <c r="L169" s="6">
        <v>78</v>
      </c>
      <c r="M169" s="7">
        <f t="shared" si="12"/>
        <v>1037.52</v>
      </c>
      <c r="N169" s="6"/>
      <c r="O169" s="5"/>
    </row>
    <row r="170" spans="1:15" x14ac:dyDescent="0.2">
      <c r="A170" s="3">
        <f>IF($B170="","",COUNTA($B$9:$B170))</f>
        <v>162</v>
      </c>
      <c r="B170" s="4" t="s">
        <v>172</v>
      </c>
      <c r="C170" s="4"/>
      <c r="D170" s="4"/>
      <c r="E170" s="5" t="s">
        <v>39</v>
      </c>
      <c r="F170" s="3" t="str">
        <f t="shared" si="10"/>
        <v>ورود</v>
      </c>
      <c r="G170" s="4" t="s">
        <v>158</v>
      </c>
      <c r="H170" s="3" t="str">
        <f t="shared" si="11"/>
        <v>محمد حسین عزیزی</v>
      </c>
      <c r="I170" s="5"/>
      <c r="J170" s="5" t="s">
        <v>42</v>
      </c>
      <c r="K170" s="6">
        <v>460</v>
      </c>
      <c r="L170" s="6">
        <v>27</v>
      </c>
      <c r="M170" s="7">
        <f t="shared" si="12"/>
        <v>415.30500000000001</v>
      </c>
      <c r="N170" s="6"/>
      <c r="O170" s="5"/>
    </row>
    <row r="171" spans="1:15" x14ac:dyDescent="0.2">
      <c r="A171" s="3">
        <f>IF($B171="","",COUNTA($B$9:$B171))</f>
        <v>163</v>
      </c>
      <c r="B171" s="4" t="s">
        <v>172</v>
      </c>
      <c r="C171" s="4"/>
      <c r="D171" s="4"/>
      <c r="E171" s="5" t="s">
        <v>39</v>
      </c>
      <c r="F171" s="3" t="str">
        <f t="shared" si="10"/>
        <v>ورود</v>
      </c>
      <c r="G171" s="4" t="s">
        <v>174</v>
      </c>
      <c r="H171" s="3" t="str">
        <f t="shared" si="11"/>
        <v>غلامی</v>
      </c>
      <c r="I171" s="5"/>
      <c r="J171" s="5" t="s">
        <v>42</v>
      </c>
      <c r="K171" s="6">
        <v>3310</v>
      </c>
      <c r="L171" s="6">
        <v>190</v>
      </c>
      <c r="M171" s="7">
        <f t="shared" si="12"/>
        <v>2994.75</v>
      </c>
      <c r="N171" s="6"/>
      <c r="O171" s="5"/>
    </row>
    <row r="172" spans="1:15" x14ac:dyDescent="0.2">
      <c r="A172" s="3">
        <f>IF($B172="","",COUNTA($B$9:$B172))</f>
        <v>164</v>
      </c>
      <c r="B172" s="4" t="s">
        <v>172</v>
      </c>
      <c r="C172" s="4"/>
      <c r="D172" s="4"/>
      <c r="E172" s="5" t="s">
        <v>39</v>
      </c>
      <c r="F172" s="3" t="str">
        <f t="shared" si="10"/>
        <v>ورود</v>
      </c>
      <c r="G172" s="4" t="s">
        <v>149</v>
      </c>
      <c r="H172" s="3" t="str">
        <f t="shared" si="11"/>
        <v>محمد رضایی</v>
      </c>
      <c r="I172" s="5"/>
      <c r="J172" s="5" t="s">
        <v>124</v>
      </c>
      <c r="K172" s="6">
        <v>805</v>
      </c>
      <c r="L172" s="6"/>
      <c r="M172" s="7">
        <f t="shared" si="12"/>
        <v>796.95</v>
      </c>
      <c r="N172" s="6"/>
      <c r="O172" s="5"/>
    </row>
    <row r="173" spans="1:15" x14ac:dyDescent="0.2">
      <c r="A173" s="3">
        <f>IF($B173="","",COUNTA($B$9:$B173))</f>
        <v>165</v>
      </c>
      <c r="B173" s="4" t="s">
        <v>173</v>
      </c>
      <c r="C173" s="4"/>
      <c r="D173" s="4"/>
      <c r="E173" s="5" t="s">
        <v>39</v>
      </c>
      <c r="F173" s="3" t="str">
        <f t="shared" si="10"/>
        <v>ورود</v>
      </c>
      <c r="G173" s="4" t="s">
        <v>174</v>
      </c>
      <c r="H173" s="3" t="str">
        <f t="shared" si="11"/>
        <v>غلامی</v>
      </c>
      <c r="I173" s="5"/>
      <c r="J173" s="5" t="s">
        <v>42</v>
      </c>
      <c r="K173" s="6">
        <v>290</v>
      </c>
      <c r="L173" s="6">
        <v>174</v>
      </c>
      <c r="M173" s="7">
        <f t="shared" si="12"/>
        <v>28.71</v>
      </c>
      <c r="N173" s="6"/>
      <c r="O173" s="5"/>
    </row>
    <row r="174" spans="1:15" x14ac:dyDescent="0.2">
      <c r="A174" s="3">
        <f>IF($B174="","",COUNTA($B$9:$B174))</f>
        <v>166</v>
      </c>
      <c r="B174" s="4" t="s">
        <v>173</v>
      </c>
      <c r="C174" s="4"/>
      <c r="D174" s="4"/>
      <c r="E174" s="5" t="s">
        <v>39</v>
      </c>
      <c r="F174" s="3" t="str">
        <f t="shared" si="10"/>
        <v>ورود</v>
      </c>
      <c r="G174" s="4" t="s">
        <v>174</v>
      </c>
      <c r="H174" s="3" t="str">
        <f t="shared" si="11"/>
        <v>غلامی</v>
      </c>
      <c r="I174" s="5"/>
      <c r="J174" s="5" t="s">
        <v>42</v>
      </c>
      <c r="K174" s="6">
        <v>990</v>
      </c>
      <c r="L174" s="6">
        <v>65</v>
      </c>
      <c r="M174" s="7">
        <f t="shared" si="12"/>
        <v>883.57500000000005</v>
      </c>
      <c r="N174" s="6"/>
      <c r="O174" s="5"/>
    </row>
    <row r="175" spans="1:15" x14ac:dyDescent="0.2">
      <c r="A175" s="3">
        <f>IF($B175="","",COUNTA($B$9:$B175))</f>
        <v>167</v>
      </c>
      <c r="B175" s="4" t="s">
        <v>173</v>
      </c>
      <c r="C175" s="4"/>
      <c r="D175" s="4"/>
      <c r="E175" s="5" t="s">
        <v>39</v>
      </c>
      <c r="F175" s="3" t="str">
        <f t="shared" si="10"/>
        <v>ورود</v>
      </c>
      <c r="G175" s="4" t="s">
        <v>175</v>
      </c>
      <c r="H175" s="3" t="str">
        <f t="shared" si="11"/>
        <v>علی عزیزنژاد</v>
      </c>
      <c r="I175" s="5"/>
      <c r="J175" s="5" t="s">
        <v>42</v>
      </c>
      <c r="K175" s="6">
        <v>1180</v>
      </c>
      <c r="L175" s="6">
        <v>85</v>
      </c>
      <c r="M175" s="7">
        <f t="shared" si="12"/>
        <v>1041.9749999999999</v>
      </c>
      <c r="N175" s="6"/>
      <c r="O175" s="5"/>
    </row>
    <row r="176" spans="1:15" x14ac:dyDescent="0.2">
      <c r="A176" s="3">
        <f>IF($B176="","",COUNTA($B$9:$B176))</f>
        <v>168</v>
      </c>
      <c r="B176" s="4" t="s">
        <v>173</v>
      </c>
      <c r="C176" s="4"/>
      <c r="D176" s="4"/>
      <c r="E176" s="5" t="s">
        <v>49</v>
      </c>
      <c r="F176" s="3" t="str">
        <f t="shared" si="10"/>
        <v>خروج</v>
      </c>
      <c r="G176" s="4" t="s">
        <v>148</v>
      </c>
      <c r="H176" s="3" t="str">
        <f t="shared" si="11"/>
        <v>زنجان-خانی</v>
      </c>
      <c r="I176" s="5"/>
      <c r="J176" s="5"/>
      <c r="K176" s="6">
        <v>4680</v>
      </c>
      <c r="L176" s="6"/>
      <c r="M176" s="7">
        <f t="shared" si="12"/>
        <v>4680</v>
      </c>
      <c r="N176" s="6"/>
      <c r="O176" s="5"/>
    </row>
    <row r="177" spans="1:15" x14ac:dyDescent="0.2">
      <c r="A177" s="3">
        <f>IF($B177="","",COUNTA($B$9:$B177))</f>
        <v>169</v>
      </c>
      <c r="B177" s="4" t="s">
        <v>173</v>
      </c>
      <c r="C177" s="4"/>
      <c r="D177" s="4"/>
      <c r="E177" s="5" t="s">
        <v>49</v>
      </c>
      <c r="F177" s="3" t="str">
        <f t="shared" si="10"/>
        <v>خروج</v>
      </c>
      <c r="G177" s="4" t="s">
        <v>61</v>
      </c>
      <c r="H177" s="3" t="str">
        <f t="shared" si="11"/>
        <v>نورزاده-تبریز</v>
      </c>
      <c r="I177" s="5"/>
      <c r="J177" s="5"/>
      <c r="K177" s="6">
        <v>4675</v>
      </c>
      <c r="L177" s="6"/>
      <c r="M177" s="7">
        <f t="shared" si="12"/>
        <v>4675</v>
      </c>
      <c r="N177" s="6"/>
      <c r="O177" s="5"/>
    </row>
    <row r="178" spans="1:15" x14ac:dyDescent="0.2">
      <c r="A178" s="3">
        <f>IF($B178="","",COUNTA($B$9:$B178))</f>
        <v>170</v>
      </c>
      <c r="B178" s="4" t="s">
        <v>173</v>
      </c>
      <c r="C178" s="4"/>
      <c r="D178" s="4"/>
      <c r="E178" s="5" t="s">
        <v>39</v>
      </c>
      <c r="F178" s="3" t="str">
        <f t="shared" si="10"/>
        <v>ورود</v>
      </c>
      <c r="G178" s="4" t="s">
        <v>174</v>
      </c>
      <c r="H178" s="3" t="str">
        <f t="shared" si="11"/>
        <v>غلامی</v>
      </c>
      <c r="I178" s="5"/>
      <c r="J178" s="5" t="s">
        <v>42</v>
      </c>
      <c r="K178" s="6">
        <v>3165</v>
      </c>
      <c r="L178" s="6">
        <v>175</v>
      </c>
      <c r="M178" s="7">
        <f t="shared" si="12"/>
        <v>2873.4749999999999</v>
      </c>
      <c r="N178" s="6"/>
      <c r="O178" s="5"/>
    </row>
    <row r="179" spans="1:15" x14ac:dyDescent="0.2">
      <c r="A179" s="3">
        <f>IF($B179="","",COUNTA($B$9:$B179))</f>
        <v>171</v>
      </c>
      <c r="B179" s="4" t="s">
        <v>173</v>
      </c>
      <c r="C179" s="4"/>
      <c r="D179" s="4"/>
      <c r="E179" s="5" t="s">
        <v>49</v>
      </c>
      <c r="F179" s="3" t="str">
        <f t="shared" si="10"/>
        <v>خروج</v>
      </c>
      <c r="G179" s="4" t="s">
        <v>58</v>
      </c>
      <c r="H179" s="3" t="str">
        <f t="shared" si="11"/>
        <v>اراک-پوریا خوشنمکیان</v>
      </c>
      <c r="I179" s="5"/>
      <c r="J179" s="5"/>
      <c r="K179" s="6">
        <v>2150</v>
      </c>
      <c r="L179" s="6"/>
      <c r="M179" s="7">
        <f t="shared" si="12"/>
        <v>2150</v>
      </c>
      <c r="N179" s="6"/>
      <c r="O179" s="5"/>
    </row>
    <row r="180" spans="1:15" x14ac:dyDescent="0.2">
      <c r="A180" s="3">
        <f>IF($B180="","",COUNTA($B$9:$B180))</f>
        <v>172</v>
      </c>
      <c r="B180" s="4" t="s">
        <v>173</v>
      </c>
      <c r="C180" s="4"/>
      <c r="D180" s="4"/>
      <c r="E180" s="5" t="s">
        <v>39</v>
      </c>
      <c r="F180" s="3" t="str">
        <f t="shared" si="10"/>
        <v>ورود</v>
      </c>
      <c r="G180" s="4" t="s">
        <v>176</v>
      </c>
      <c r="H180" s="3" t="str">
        <f t="shared" si="11"/>
        <v>عسگری محمودی</v>
      </c>
      <c r="I180" s="5"/>
      <c r="J180" s="5" t="s">
        <v>124</v>
      </c>
      <c r="K180" s="6">
        <v>270</v>
      </c>
      <c r="L180" s="6"/>
      <c r="M180" s="7">
        <f t="shared" si="12"/>
        <v>267.3</v>
      </c>
      <c r="N180" s="6"/>
      <c r="O180" s="5"/>
    </row>
    <row r="181" spans="1:15" x14ac:dyDescent="0.2">
      <c r="A181" s="3">
        <f>IF($B181="","",COUNTA($B$9:$B181))</f>
        <v>173</v>
      </c>
      <c r="B181" s="4" t="s">
        <v>173</v>
      </c>
      <c r="C181" s="4"/>
      <c r="D181" s="4"/>
      <c r="E181" s="5" t="s">
        <v>39</v>
      </c>
      <c r="F181" s="3" t="str">
        <f t="shared" si="10"/>
        <v>ورود</v>
      </c>
      <c r="G181" s="4" t="s">
        <v>168</v>
      </c>
      <c r="H181" s="3" t="str">
        <f t="shared" si="11"/>
        <v>خدیجه اصغرنیا</v>
      </c>
      <c r="I181" s="5"/>
      <c r="J181" s="5" t="s">
        <v>124</v>
      </c>
      <c r="K181" s="6">
        <v>60</v>
      </c>
      <c r="L181" s="6">
        <v>4</v>
      </c>
      <c r="M181" s="7">
        <f t="shared" si="12"/>
        <v>53.46</v>
      </c>
      <c r="N181" s="6"/>
      <c r="O181" s="5"/>
    </row>
    <row r="182" spans="1:15" x14ac:dyDescent="0.2">
      <c r="A182" s="3">
        <f>IF($B182="","",COUNTA($B$9:$B182))</f>
        <v>174</v>
      </c>
      <c r="B182" s="4" t="s">
        <v>173</v>
      </c>
      <c r="C182" s="4"/>
      <c r="D182" s="4"/>
      <c r="E182" s="5" t="s">
        <v>39</v>
      </c>
      <c r="F182" s="3" t="str">
        <f t="shared" si="10"/>
        <v>ورود</v>
      </c>
      <c r="G182" s="4" t="s">
        <v>166</v>
      </c>
      <c r="H182" s="3" t="str">
        <f t="shared" si="11"/>
        <v>تقی اصغرنیا</v>
      </c>
      <c r="I182" s="5"/>
      <c r="J182" s="5" t="s">
        <v>124</v>
      </c>
      <c r="K182" s="6">
        <v>170</v>
      </c>
      <c r="L182" s="6">
        <v>15</v>
      </c>
      <c r="M182" s="7">
        <f t="shared" si="12"/>
        <v>146.02500000000001</v>
      </c>
      <c r="N182" s="6"/>
      <c r="O182" s="5"/>
    </row>
    <row r="183" spans="1:15" x14ac:dyDescent="0.2">
      <c r="A183" s="3">
        <f>IF($B183="","",COUNTA($B$9:$B183))</f>
        <v>175</v>
      </c>
      <c r="B183" s="4" t="s">
        <v>173</v>
      </c>
      <c r="C183" s="4"/>
      <c r="D183" s="4"/>
      <c r="E183" s="5" t="s">
        <v>39</v>
      </c>
      <c r="F183" s="3" t="str">
        <f t="shared" si="10"/>
        <v>ورود</v>
      </c>
      <c r="G183" s="4" t="s">
        <v>166</v>
      </c>
      <c r="H183" s="3" t="str">
        <f t="shared" si="11"/>
        <v>تقی اصغرنیا</v>
      </c>
      <c r="I183" s="5"/>
      <c r="J183" s="5" t="s">
        <v>42</v>
      </c>
      <c r="K183" s="6">
        <v>855</v>
      </c>
      <c r="L183" s="6">
        <v>47</v>
      </c>
      <c r="M183" s="7">
        <f t="shared" si="12"/>
        <v>776.65499999999997</v>
      </c>
      <c r="N183" s="6"/>
      <c r="O183" s="5"/>
    </row>
    <row r="184" spans="1:15" x14ac:dyDescent="0.2">
      <c r="A184" s="3">
        <f>IF($B184="","",COUNTA($B$9:$B184))</f>
        <v>176</v>
      </c>
      <c r="B184" s="4" t="s">
        <v>173</v>
      </c>
      <c r="C184" s="4"/>
      <c r="D184" s="4"/>
      <c r="E184" s="5" t="s">
        <v>39</v>
      </c>
      <c r="F184" s="3" t="str">
        <f t="shared" si="10"/>
        <v>ورود</v>
      </c>
      <c r="G184" s="4" t="s">
        <v>149</v>
      </c>
      <c r="H184" s="3" t="str">
        <f t="shared" si="11"/>
        <v>محمد رضایی</v>
      </c>
      <c r="I184" s="5"/>
      <c r="J184" s="5"/>
      <c r="K184" s="6">
        <v>1075</v>
      </c>
      <c r="L184" s="6">
        <v>56</v>
      </c>
      <c r="M184" s="7">
        <f t="shared" si="12"/>
        <v>981.09</v>
      </c>
      <c r="N184" s="6"/>
      <c r="O184" s="5"/>
    </row>
    <row r="185" spans="1:15" x14ac:dyDescent="0.2">
      <c r="A185" s="3">
        <f>IF($B185="","",COUNTA($B$9:$B185))</f>
        <v>177</v>
      </c>
      <c r="B185" s="4" t="s">
        <v>173</v>
      </c>
      <c r="C185" s="4"/>
      <c r="D185" s="4"/>
      <c r="E185" s="5" t="s">
        <v>39</v>
      </c>
      <c r="F185" s="3" t="str">
        <f t="shared" si="10"/>
        <v>ورود</v>
      </c>
      <c r="G185" s="4" t="s">
        <v>158</v>
      </c>
      <c r="H185" s="3" t="str">
        <f t="shared" si="11"/>
        <v>محمد حسین عزیزی</v>
      </c>
      <c r="I185" s="5"/>
      <c r="J185" s="5"/>
      <c r="K185" s="6">
        <v>380</v>
      </c>
      <c r="L185" s="6">
        <v>21</v>
      </c>
      <c r="M185" s="7">
        <f t="shared" si="12"/>
        <v>345.01499999999999</v>
      </c>
      <c r="N185" s="6"/>
      <c r="O185" s="5"/>
    </row>
    <row r="186" spans="1:15" x14ac:dyDescent="0.2">
      <c r="A186" s="3">
        <f>IF($B186="","",COUNTA($B$9:$B186))</f>
        <v>178</v>
      </c>
      <c r="B186" s="4" t="s">
        <v>179</v>
      </c>
      <c r="C186" s="4"/>
      <c r="D186" s="4"/>
      <c r="E186" s="5" t="s">
        <v>39</v>
      </c>
      <c r="F186" s="3" t="str">
        <f t="shared" si="10"/>
        <v>ورود</v>
      </c>
      <c r="G186" s="4" t="s">
        <v>181</v>
      </c>
      <c r="H186" s="3" t="str">
        <f t="shared" si="11"/>
        <v>اسماعیل حیدری</v>
      </c>
      <c r="I186" s="5"/>
      <c r="J186" s="5" t="s">
        <v>124</v>
      </c>
      <c r="K186" s="6">
        <v>185</v>
      </c>
      <c r="L186" s="6">
        <v>11</v>
      </c>
      <c r="M186" s="7">
        <f t="shared" si="12"/>
        <v>166.815</v>
      </c>
      <c r="N186" s="6"/>
      <c r="O186" s="5"/>
    </row>
    <row r="187" spans="1:15" x14ac:dyDescent="0.2">
      <c r="A187" s="3">
        <f>IF($B187="","",COUNTA($B$9:$B187))</f>
        <v>179</v>
      </c>
      <c r="B187" s="4" t="s">
        <v>179</v>
      </c>
      <c r="C187" s="4"/>
      <c r="D187" s="4"/>
      <c r="E187" s="5" t="s">
        <v>39</v>
      </c>
      <c r="F187" s="3" t="str">
        <f t="shared" si="10"/>
        <v>ورود</v>
      </c>
      <c r="G187" s="4" t="s">
        <v>174</v>
      </c>
      <c r="H187" s="3" t="str">
        <f t="shared" si="11"/>
        <v>غلامی</v>
      </c>
      <c r="I187" s="5"/>
      <c r="J187" s="5" t="s">
        <v>42</v>
      </c>
      <c r="K187" s="6">
        <v>2760</v>
      </c>
      <c r="L187" s="6">
        <v>160</v>
      </c>
      <c r="M187" s="7">
        <f t="shared" si="12"/>
        <v>2494.8000000000002</v>
      </c>
      <c r="N187" s="6"/>
      <c r="O187" s="5"/>
    </row>
    <row r="188" spans="1:15" x14ac:dyDescent="0.2">
      <c r="A188" s="3">
        <f>IF($B188="","",COUNTA($B$9:$B188))</f>
        <v>180</v>
      </c>
      <c r="B188" s="4" t="s">
        <v>179</v>
      </c>
      <c r="C188" s="4"/>
      <c r="D188" s="4"/>
      <c r="E188" s="5" t="s">
        <v>39</v>
      </c>
      <c r="F188" s="3" t="str">
        <f t="shared" si="10"/>
        <v>ورود</v>
      </c>
      <c r="G188" s="4" t="s">
        <v>174</v>
      </c>
      <c r="H188" s="3" t="str">
        <f t="shared" si="11"/>
        <v>غلامی</v>
      </c>
      <c r="I188" s="5"/>
      <c r="J188" s="5" t="s">
        <v>42</v>
      </c>
      <c r="K188" s="6">
        <v>1315</v>
      </c>
      <c r="L188" s="6">
        <v>79</v>
      </c>
      <c r="M188" s="7">
        <f t="shared" si="12"/>
        <v>1184.5350000000001</v>
      </c>
      <c r="N188" s="6"/>
      <c r="O188" s="5"/>
    </row>
    <row r="189" spans="1:15" x14ac:dyDescent="0.2">
      <c r="A189" s="3">
        <f>IF($B189="","",COUNTA($B$9:$B189))</f>
        <v>181</v>
      </c>
      <c r="B189" s="4" t="s">
        <v>179</v>
      </c>
      <c r="C189" s="4"/>
      <c r="D189" s="4"/>
      <c r="E189" s="5" t="s">
        <v>49</v>
      </c>
      <c r="F189" s="3" t="str">
        <f t="shared" si="10"/>
        <v>خروج</v>
      </c>
      <c r="G189" s="4" t="s">
        <v>61</v>
      </c>
      <c r="H189" s="3" t="str">
        <f t="shared" si="11"/>
        <v>نورزاده-تبریز</v>
      </c>
      <c r="I189" s="5"/>
      <c r="J189" s="5"/>
      <c r="K189" s="6">
        <v>4545</v>
      </c>
      <c r="L189" s="6"/>
      <c r="M189" s="7">
        <f t="shared" si="12"/>
        <v>4545</v>
      </c>
      <c r="N189" s="6"/>
      <c r="O189" s="5"/>
    </row>
    <row r="190" spans="1:15" x14ac:dyDescent="0.2">
      <c r="A190" s="3">
        <f>IF($B190="","",COUNTA($B$9:$B190))</f>
        <v>182</v>
      </c>
      <c r="B190" s="4" t="s">
        <v>179</v>
      </c>
      <c r="C190" s="4"/>
      <c r="D190" s="4"/>
      <c r="E190" s="5" t="s">
        <v>49</v>
      </c>
      <c r="F190" s="3" t="str">
        <f t="shared" si="10"/>
        <v>خروج</v>
      </c>
      <c r="G190" s="4" t="s">
        <v>58</v>
      </c>
      <c r="H190" s="3" t="str">
        <f t="shared" si="11"/>
        <v>اراک-پوریا خوشنمکیان</v>
      </c>
      <c r="I190" s="5"/>
      <c r="J190" s="5"/>
      <c r="K190" s="6">
        <v>2995</v>
      </c>
      <c r="L190" s="6"/>
      <c r="M190" s="7">
        <f t="shared" si="12"/>
        <v>2995</v>
      </c>
      <c r="N190" s="6"/>
      <c r="O190" s="5"/>
    </row>
    <row r="191" spans="1:15" x14ac:dyDescent="0.2">
      <c r="A191" s="3">
        <f>IF($B191="","",COUNTA($B$9:$B191))</f>
        <v>183</v>
      </c>
      <c r="B191" s="4" t="s">
        <v>179</v>
      </c>
      <c r="C191" s="4"/>
      <c r="D191" s="4"/>
      <c r="E191" s="5" t="s">
        <v>39</v>
      </c>
      <c r="F191" s="3" t="str">
        <f t="shared" si="10"/>
        <v>ورود</v>
      </c>
      <c r="G191" s="4" t="s">
        <v>174</v>
      </c>
      <c r="H191" s="3" t="str">
        <f t="shared" si="11"/>
        <v>غلامی</v>
      </c>
      <c r="I191" s="5"/>
      <c r="J191" s="5" t="s">
        <v>42</v>
      </c>
      <c r="K191" s="6">
        <v>3070</v>
      </c>
      <c r="L191" s="6">
        <v>170</v>
      </c>
      <c r="M191" s="7">
        <f t="shared" si="12"/>
        <v>2786.85</v>
      </c>
      <c r="N191" s="6"/>
      <c r="O191" s="5"/>
    </row>
    <row r="192" spans="1:15" x14ac:dyDescent="0.2">
      <c r="A192" s="3">
        <f>IF($B192="","",COUNTA($B$9:$B192))</f>
        <v>184</v>
      </c>
      <c r="B192" s="4" t="s">
        <v>179</v>
      </c>
      <c r="C192" s="4"/>
      <c r="D192" s="4"/>
      <c r="E192" s="5" t="s">
        <v>39</v>
      </c>
      <c r="F192" s="3" t="str">
        <f t="shared" si="10"/>
        <v>ورود</v>
      </c>
      <c r="G192" s="4" t="s">
        <v>168</v>
      </c>
      <c r="H192" s="3" t="str">
        <f t="shared" si="11"/>
        <v>خدیجه اصغرنیا</v>
      </c>
      <c r="I192" s="5"/>
      <c r="J192" s="5" t="s">
        <v>124</v>
      </c>
      <c r="K192" s="6">
        <v>420</v>
      </c>
      <c r="L192" s="6">
        <v>37</v>
      </c>
      <c r="M192" s="7">
        <f t="shared" si="12"/>
        <v>360.85500000000002</v>
      </c>
      <c r="N192" s="6"/>
      <c r="O192" s="5"/>
    </row>
    <row r="193" spans="1:15" x14ac:dyDescent="0.2">
      <c r="A193" s="3">
        <f>IF($B193="","",COUNTA($B$9:$B193))</f>
        <v>185</v>
      </c>
      <c r="B193" s="4" t="s">
        <v>179</v>
      </c>
      <c r="C193" s="4"/>
      <c r="D193" s="4"/>
      <c r="E193" s="5" t="s">
        <v>39</v>
      </c>
      <c r="F193" s="3" t="str">
        <f t="shared" si="10"/>
        <v>ورود</v>
      </c>
      <c r="G193" s="4" t="s">
        <v>182</v>
      </c>
      <c r="H193" s="3" t="str">
        <f t="shared" si="11"/>
        <v>کبری اصغرنیا</v>
      </c>
      <c r="I193" s="5"/>
      <c r="J193" s="5" t="s">
        <v>124</v>
      </c>
      <c r="K193" s="6">
        <v>1275</v>
      </c>
      <c r="L193" s="6">
        <v>74</v>
      </c>
      <c r="M193" s="7">
        <f t="shared" si="12"/>
        <v>1152.3599999999999</v>
      </c>
      <c r="N193" s="6"/>
      <c r="O193" s="5"/>
    </row>
    <row r="194" spans="1:15" x14ac:dyDescent="0.2">
      <c r="A194" s="3">
        <f>IF($B194="","",COUNTA($B$9:$B194))</f>
        <v>186</v>
      </c>
      <c r="B194" s="4" t="s">
        <v>179</v>
      </c>
      <c r="C194" s="4"/>
      <c r="D194" s="4"/>
      <c r="E194" s="5" t="s">
        <v>39</v>
      </c>
      <c r="F194" s="3" t="str">
        <f t="shared" si="10"/>
        <v>ورود</v>
      </c>
      <c r="G194" s="4" t="s">
        <v>138</v>
      </c>
      <c r="H194" s="3" t="str">
        <f t="shared" si="11"/>
        <v>سید مهدی حسینی(دوست حاج هوشنگ)</v>
      </c>
      <c r="I194" s="5"/>
      <c r="J194" s="5" t="s">
        <v>124</v>
      </c>
      <c r="K194" s="6">
        <v>219</v>
      </c>
      <c r="L194" s="6"/>
      <c r="M194" s="7">
        <f t="shared" si="12"/>
        <v>216.81</v>
      </c>
      <c r="N194" s="6"/>
      <c r="O194" s="5"/>
    </row>
    <row r="195" spans="1:15" x14ac:dyDescent="0.2">
      <c r="A195" s="3">
        <f>IF($B195="","",COUNTA($B$9:$B195))</f>
        <v>187</v>
      </c>
      <c r="B195" s="4" t="s">
        <v>180</v>
      </c>
      <c r="C195" s="4"/>
      <c r="D195" s="4"/>
      <c r="E195" s="5" t="s">
        <v>49</v>
      </c>
      <c r="F195" s="3" t="str">
        <f t="shared" si="10"/>
        <v>خروج</v>
      </c>
      <c r="G195" s="4" t="s">
        <v>54</v>
      </c>
      <c r="H195" s="3" t="str">
        <f t="shared" si="11"/>
        <v>مشهد-محمد توکلی</v>
      </c>
      <c r="I195" s="5"/>
      <c r="J195" s="5"/>
      <c r="K195" s="6">
        <v>3035</v>
      </c>
      <c r="L195" s="6"/>
      <c r="M195" s="7">
        <f t="shared" si="12"/>
        <v>3035</v>
      </c>
      <c r="N195" s="6"/>
      <c r="O195" s="5"/>
    </row>
    <row r="196" spans="1:15" x14ac:dyDescent="0.2">
      <c r="A196" s="3">
        <f>IF($B196="","",COUNTA($B$9:$B196))</f>
        <v>188</v>
      </c>
      <c r="B196" s="4" t="s">
        <v>180</v>
      </c>
      <c r="C196" s="4"/>
      <c r="D196" s="4"/>
      <c r="E196" s="5" t="s">
        <v>39</v>
      </c>
      <c r="F196" s="3" t="str">
        <f t="shared" si="10"/>
        <v>ورود</v>
      </c>
      <c r="G196" s="4" t="s">
        <v>184</v>
      </c>
      <c r="H196" s="3" t="str">
        <f t="shared" si="11"/>
        <v>حسین زاده(کیاکلا)</v>
      </c>
      <c r="I196" s="5"/>
      <c r="J196" s="5" t="s">
        <v>42</v>
      </c>
      <c r="K196" s="6">
        <v>2280</v>
      </c>
      <c r="L196" s="6">
        <v>137</v>
      </c>
      <c r="M196" s="7">
        <f t="shared" si="12"/>
        <v>2053.7550000000001</v>
      </c>
      <c r="N196" s="6"/>
      <c r="O196" s="5"/>
    </row>
    <row r="197" spans="1:15" x14ac:dyDescent="0.2">
      <c r="A197" s="3">
        <f>IF($B197="","",COUNTA($B$9:$B197))</f>
        <v>189</v>
      </c>
      <c r="B197" s="4" t="s">
        <v>180</v>
      </c>
      <c r="C197" s="4"/>
      <c r="D197" s="4"/>
      <c r="E197" s="5" t="s">
        <v>39</v>
      </c>
      <c r="F197" s="3" t="str">
        <f t="shared" si="10"/>
        <v>ورود</v>
      </c>
      <c r="G197" s="4" t="s">
        <v>160</v>
      </c>
      <c r="H197" s="3" t="str">
        <f t="shared" si="11"/>
        <v>سید عبدالله میراقازاده</v>
      </c>
      <c r="I197" s="5"/>
      <c r="J197" s="5" t="s">
        <v>124</v>
      </c>
      <c r="K197" s="6">
        <v>1375</v>
      </c>
      <c r="L197" s="6">
        <v>98</v>
      </c>
      <c r="M197" s="7">
        <f t="shared" si="12"/>
        <v>1215.72</v>
      </c>
      <c r="N197" s="6"/>
      <c r="O197" s="5"/>
    </row>
    <row r="198" spans="1:15" x14ac:dyDescent="0.2">
      <c r="A198" s="3">
        <f>IF($B198="","",COUNTA($B$9:$B198))</f>
        <v>190</v>
      </c>
      <c r="B198" s="4" t="s">
        <v>180</v>
      </c>
      <c r="C198" s="4"/>
      <c r="D198" s="4"/>
      <c r="E198" s="5" t="s">
        <v>49</v>
      </c>
      <c r="F198" s="3" t="str">
        <f t="shared" si="10"/>
        <v>خروج</v>
      </c>
      <c r="G198" s="4" t="s">
        <v>148</v>
      </c>
      <c r="H198" s="3" t="str">
        <f t="shared" si="11"/>
        <v>زنجان-خانی</v>
      </c>
      <c r="I198" s="5"/>
      <c r="J198" s="5"/>
      <c r="K198" s="6">
        <v>2190</v>
      </c>
      <c r="L198" s="6"/>
      <c r="M198" s="7">
        <f t="shared" si="12"/>
        <v>2190</v>
      </c>
      <c r="N198" s="6"/>
      <c r="O198" s="5"/>
    </row>
    <row r="199" spans="1:15" x14ac:dyDescent="0.2">
      <c r="A199" s="3">
        <f>IF($B199="","",COUNTA($B$9:$B199))</f>
        <v>191</v>
      </c>
      <c r="B199" s="4" t="s">
        <v>180</v>
      </c>
      <c r="C199" s="4"/>
      <c r="D199" s="4"/>
      <c r="E199" s="5" t="s">
        <v>39</v>
      </c>
      <c r="F199" s="3" t="str">
        <f t="shared" si="10"/>
        <v>ورود</v>
      </c>
      <c r="G199" s="4" t="s">
        <v>185</v>
      </c>
      <c r="H199" s="3" t="str">
        <f t="shared" si="11"/>
        <v>مجتبی اتش پیکر</v>
      </c>
      <c r="I199" s="5"/>
      <c r="J199" s="5" t="s">
        <v>42</v>
      </c>
      <c r="K199" s="6">
        <v>75</v>
      </c>
      <c r="L199" s="6"/>
      <c r="M199" s="7">
        <f t="shared" si="12"/>
        <v>74.25</v>
      </c>
      <c r="N199" s="6"/>
      <c r="O199" s="5"/>
    </row>
    <row r="200" spans="1:15" x14ac:dyDescent="0.2">
      <c r="A200" s="3">
        <f>IF($B200="","",COUNTA($B$9:$B200))</f>
        <v>192</v>
      </c>
      <c r="B200" s="4" t="s">
        <v>180</v>
      </c>
      <c r="C200" s="4"/>
      <c r="D200" s="4"/>
      <c r="E200" s="5" t="s">
        <v>49</v>
      </c>
      <c r="F200" s="3" t="str">
        <f t="shared" si="10"/>
        <v>خروج</v>
      </c>
      <c r="G200" s="4" t="s">
        <v>58</v>
      </c>
      <c r="H200" s="3" t="str">
        <f t="shared" si="11"/>
        <v>اراک-پوریا خوشنمکیان</v>
      </c>
      <c r="I200" s="5"/>
      <c r="J200" s="5"/>
      <c r="K200" s="6">
        <v>3015</v>
      </c>
      <c r="L200" s="6"/>
      <c r="M200" s="7">
        <f t="shared" si="12"/>
        <v>3015</v>
      </c>
      <c r="N200" s="6"/>
      <c r="O200" s="5"/>
    </row>
    <row r="201" spans="1:15" x14ac:dyDescent="0.2">
      <c r="A201" s="3">
        <f>IF($B201="","",COUNTA($B$9:$B201))</f>
        <v>193</v>
      </c>
      <c r="B201" s="4" t="s">
        <v>180</v>
      </c>
      <c r="C201" s="4"/>
      <c r="D201" s="4"/>
      <c r="E201" s="5" t="s">
        <v>39</v>
      </c>
      <c r="F201" s="3" t="str">
        <f t="shared" ref="F201:F263" si="13">IF($E201="","",IFERROR(VLOOKUP($E201,OpTbl,2,0),""))</f>
        <v>ورود</v>
      </c>
      <c r="G201" s="4" t="s">
        <v>184</v>
      </c>
      <c r="H201" s="3" t="str">
        <f t="shared" ref="H201:H263" si="14">IF($G201="","",IFERROR(IF(VLOOKUP($G201,AcctTbl,4,0)="","(بدون نام)",VLOOKUP($G201,AcctTbl,4,0)),"کد ناشناخته"))</f>
        <v>حسین زاده(کیاکلا)</v>
      </c>
      <c r="I201" s="5"/>
      <c r="J201" s="5" t="s">
        <v>42</v>
      </c>
      <c r="K201" s="6">
        <v>2505</v>
      </c>
      <c r="L201" s="6">
        <v>149</v>
      </c>
      <c r="M201" s="7">
        <f t="shared" ref="M201:M263" si="15">IF(OR($B201="",$K201=""),"",($K201-IF($L201="",0,$L201)*IFERROR(VLOOKUP("P01",ParamTbl,3,0),1.5))*(1-IF(IFERROR(VLOOKUP($E201,OpTbl,3,0),"")="خرید",IFERROR(VLOOKUP("P02",ParamTbl,3,0),1),0)/100))</f>
        <v>2258.6849999999999</v>
      </c>
      <c r="N201" s="6"/>
      <c r="O201" s="5"/>
    </row>
    <row r="202" spans="1:15" x14ac:dyDescent="0.2">
      <c r="A202" s="3">
        <f>IF($B202="","",COUNTA($B$9:$B202))</f>
        <v>194</v>
      </c>
      <c r="B202" s="4" t="s">
        <v>180</v>
      </c>
      <c r="C202" s="4"/>
      <c r="D202" s="4"/>
      <c r="E202" s="5" t="s">
        <v>39</v>
      </c>
      <c r="F202" s="3" t="str">
        <f t="shared" si="13"/>
        <v>ورود</v>
      </c>
      <c r="G202" s="4" t="s">
        <v>184</v>
      </c>
      <c r="H202" s="3" t="str">
        <f t="shared" si="14"/>
        <v>حسین زاده(کیاکلا)</v>
      </c>
      <c r="I202" s="5"/>
      <c r="J202" s="5" t="s">
        <v>42</v>
      </c>
      <c r="K202" s="6">
        <v>1070</v>
      </c>
      <c r="L202" s="6">
        <v>64</v>
      </c>
      <c r="M202" s="7">
        <f t="shared" si="15"/>
        <v>964.26</v>
      </c>
      <c r="N202" s="6"/>
      <c r="O202" s="5"/>
    </row>
    <row r="203" spans="1:15" x14ac:dyDescent="0.2">
      <c r="A203" s="3">
        <f>IF($B203="","",COUNTA($B$9:$B203))</f>
        <v>195</v>
      </c>
      <c r="B203" s="4" t="s">
        <v>183</v>
      </c>
      <c r="C203" s="4"/>
      <c r="D203" s="4"/>
      <c r="E203" s="5" t="s">
        <v>49</v>
      </c>
      <c r="F203" s="3" t="str">
        <f t="shared" si="13"/>
        <v>خروج</v>
      </c>
      <c r="G203" s="4" t="s">
        <v>186</v>
      </c>
      <c r="H203" s="3" t="str">
        <f t="shared" si="14"/>
        <v>بوکان</v>
      </c>
      <c r="I203" s="5"/>
      <c r="J203" s="5"/>
      <c r="K203" s="6">
        <v>4735</v>
      </c>
      <c r="L203" s="6"/>
      <c r="M203" s="7">
        <f t="shared" si="15"/>
        <v>4735</v>
      </c>
      <c r="N203" s="6"/>
      <c r="O203" s="5"/>
    </row>
    <row r="204" spans="1:15" x14ac:dyDescent="0.2">
      <c r="A204" s="3">
        <f>IF($B204="","",COUNTA($B$9:$B204))</f>
        <v>196</v>
      </c>
      <c r="B204" s="4" t="s">
        <v>183</v>
      </c>
      <c r="C204" s="4"/>
      <c r="D204" s="4"/>
      <c r="E204" s="5" t="s">
        <v>39</v>
      </c>
      <c r="F204" s="3" t="str">
        <f t="shared" si="13"/>
        <v>ورود</v>
      </c>
      <c r="G204" s="4" t="s">
        <v>187</v>
      </c>
      <c r="H204" s="3" t="str">
        <f t="shared" si="14"/>
        <v>سید جلیل میرحسینی</v>
      </c>
      <c r="I204" s="5"/>
      <c r="J204" s="5" t="s">
        <v>124</v>
      </c>
      <c r="K204" s="6">
        <v>480</v>
      </c>
      <c r="L204" s="6">
        <v>28</v>
      </c>
      <c r="M204" s="7">
        <f t="shared" si="15"/>
        <v>433.62</v>
      </c>
      <c r="N204" s="6"/>
      <c r="O204" s="5"/>
    </row>
    <row r="205" spans="1:15" x14ac:dyDescent="0.2">
      <c r="A205" s="3">
        <f>IF($B205="","",COUNTA($B$9:$B205))</f>
        <v>197</v>
      </c>
      <c r="B205" s="4" t="s">
        <v>183</v>
      </c>
      <c r="C205" s="4"/>
      <c r="D205" s="4"/>
      <c r="E205" s="5" t="s">
        <v>39</v>
      </c>
      <c r="F205" s="3" t="str">
        <f t="shared" si="13"/>
        <v>ورود</v>
      </c>
      <c r="G205" s="4" t="s">
        <v>120</v>
      </c>
      <c r="H205" s="3" t="str">
        <f t="shared" si="14"/>
        <v>میرقربان موسویان</v>
      </c>
      <c r="I205" s="5"/>
      <c r="J205" s="5" t="s">
        <v>42</v>
      </c>
      <c r="K205" s="6">
        <v>75</v>
      </c>
      <c r="L205" s="6">
        <v>5</v>
      </c>
      <c r="M205" s="7">
        <f t="shared" si="15"/>
        <v>66.825000000000003</v>
      </c>
      <c r="N205" s="6"/>
      <c r="O205" s="5"/>
    </row>
    <row r="206" spans="1:15" x14ac:dyDescent="0.2">
      <c r="A206" s="3">
        <f>IF($B206="","",COUNTA($B$9:$B206))</f>
        <v>198</v>
      </c>
      <c r="B206" s="4" t="s">
        <v>183</v>
      </c>
      <c r="C206" s="4"/>
      <c r="D206" s="4"/>
      <c r="E206" s="5" t="s">
        <v>39</v>
      </c>
      <c r="F206" s="3" t="str">
        <f t="shared" si="13"/>
        <v>ورود</v>
      </c>
      <c r="G206" s="4" t="s">
        <v>120</v>
      </c>
      <c r="H206" s="3" t="str">
        <f t="shared" si="14"/>
        <v>میرقربان موسویان</v>
      </c>
      <c r="I206" s="5"/>
      <c r="J206" s="5" t="s">
        <v>124</v>
      </c>
      <c r="K206" s="6">
        <v>85</v>
      </c>
      <c r="L206" s="6">
        <v>6</v>
      </c>
      <c r="M206" s="7">
        <f t="shared" si="15"/>
        <v>75.239999999999995</v>
      </c>
      <c r="N206" s="6"/>
      <c r="O206" s="5"/>
    </row>
    <row r="207" spans="1:15" x14ac:dyDescent="0.2">
      <c r="A207" s="3">
        <f>IF($B207="","",COUNTA($B$9:$B207))</f>
        <v>199</v>
      </c>
      <c r="B207" s="4" t="s">
        <v>183</v>
      </c>
      <c r="C207" s="4"/>
      <c r="D207" s="4"/>
      <c r="E207" s="5" t="s">
        <v>39</v>
      </c>
      <c r="F207" s="3" t="str">
        <f t="shared" si="13"/>
        <v>ورود</v>
      </c>
      <c r="G207" s="4" t="s">
        <v>117</v>
      </c>
      <c r="H207" s="3" t="str">
        <f t="shared" si="14"/>
        <v>دبیر فرجی</v>
      </c>
      <c r="I207" s="5"/>
      <c r="J207" s="5" t="s">
        <v>124</v>
      </c>
      <c r="K207" s="6">
        <v>1390</v>
      </c>
      <c r="L207" s="6">
        <v>99</v>
      </c>
      <c r="M207" s="7">
        <f t="shared" si="15"/>
        <v>1229.085</v>
      </c>
      <c r="N207" s="6"/>
      <c r="O207" s="5"/>
    </row>
    <row r="208" spans="1:15" x14ac:dyDescent="0.2">
      <c r="A208" s="3">
        <f>IF($B208="","",COUNTA($B$9:$B208))</f>
        <v>200</v>
      </c>
      <c r="B208" s="4" t="s">
        <v>188</v>
      </c>
      <c r="C208" s="4"/>
      <c r="D208" s="4"/>
      <c r="E208" s="5" t="s">
        <v>49</v>
      </c>
      <c r="F208" s="3" t="str">
        <f t="shared" si="13"/>
        <v>خروج</v>
      </c>
      <c r="G208" s="4" t="s">
        <v>58</v>
      </c>
      <c r="H208" s="3" t="str">
        <f t="shared" si="14"/>
        <v>اراک-پوریا خوشنمکیان</v>
      </c>
      <c r="I208" s="5"/>
      <c r="J208" s="5"/>
      <c r="K208" s="6">
        <v>4680</v>
      </c>
      <c r="L208" s="6"/>
      <c r="M208" s="7">
        <f t="shared" si="15"/>
        <v>4680</v>
      </c>
      <c r="N208" s="6"/>
      <c r="O208" s="5"/>
    </row>
    <row r="209" spans="1:15" x14ac:dyDescent="0.2">
      <c r="A209" s="3">
        <f>IF($B209="","",COUNTA($B$9:$B209))</f>
        <v>201</v>
      </c>
      <c r="B209" s="4" t="s">
        <v>188</v>
      </c>
      <c r="C209" s="4"/>
      <c r="D209" s="4"/>
      <c r="E209" s="5" t="s">
        <v>39</v>
      </c>
      <c r="F209" s="3" t="str">
        <f t="shared" si="13"/>
        <v>ورود</v>
      </c>
      <c r="G209" s="4" t="s">
        <v>189</v>
      </c>
      <c r="H209" s="3" t="str">
        <f t="shared" si="14"/>
        <v>عبدالله  مهدی پور روشن</v>
      </c>
      <c r="I209" s="5"/>
      <c r="J209" s="5" t="s">
        <v>178</v>
      </c>
      <c r="K209" s="6">
        <v>2155</v>
      </c>
      <c r="L209" s="6">
        <v>151</v>
      </c>
      <c r="M209" s="7">
        <f t="shared" si="15"/>
        <v>1909.2149999999999</v>
      </c>
      <c r="N209" s="6"/>
      <c r="O209" s="5"/>
    </row>
    <row r="210" spans="1:15" x14ac:dyDescent="0.2">
      <c r="A210" s="3">
        <f>IF($B210="","",COUNTA($B$9:$B210))</f>
        <v>202</v>
      </c>
      <c r="B210" s="4" t="s">
        <v>188</v>
      </c>
      <c r="C210" s="4"/>
      <c r="D210" s="4"/>
      <c r="E210" s="5" t="s">
        <v>39</v>
      </c>
      <c r="F210" s="3" t="str">
        <f t="shared" si="13"/>
        <v>ورود</v>
      </c>
      <c r="G210" s="4" t="s">
        <v>176</v>
      </c>
      <c r="H210" s="3" t="str">
        <f t="shared" si="14"/>
        <v>عسگری محمودی</v>
      </c>
      <c r="I210" s="5"/>
      <c r="J210" s="5" t="s">
        <v>42</v>
      </c>
      <c r="K210" s="6">
        <v>40</v>
      </c>
      <c r="L210" s="6">
        <v>2</v>
      </c>
      <c r="M210" s="7">
        <f t="shared" si="15"/>
        <v>36.630000000000003</v>
      </c>
      <c r="N210" s="6"/>
      <c r="O210" s="5"/>
    </row>
    <row r="211" spans="1:15" x14ac:dyDescent="0.2">
      <c r="A211" s="3">
        <f>IF($B211="","",COUNTA($B$9:$B211))</f>
        <v>203</v>
      </c>
      <c r="B211" s="4" t="s">
        <v>188</v>
      </c>
      <c r="C211" s="4"/>
      <c r="D211" s="4"/>
      <c r="E211" s="5" t="s">
        <v>39</v>
      </c>
      <c r="F211" s="3" t="str">
        <f t="shared" si="13"/>
        <v>ورود</v>
      </c>
      <c r="G211" s="4" t="s">
        <v>176</v>
      </c>
      <c r="H211" s="3" t="str">
        <f t="shared" si="14"/>
        <v>عسگری محمودی</v>
      </c>
      <c r="I211" s="5"/>
      <c r="J211" s="5" t="s">
        <v>124</v>
      </c>
      <c r="K211" s="6">
        <v>135</v>
      </c>
      <c r="L211" s="6">
        <v>7</v>
      </c>
      <c r="M211" s="7">
        <f t="shared" si="15"/>
        <v>123.255</v>
      </c>
      <c r="N211" s="6"/>
      <c r="O211" s="5"/>
    </row>
    <row r="212" spans="1:15" x14ac:dyDescent="0.2">
      <c r="A212" s="3">
        <f>IF($B212="","",COUNTA($B$9:$B212))</f>
        <v>204</v>
      </c>
      <c r="B212" s="4" t="s">
        <v>188</v>
      </c>
      <c r="C212" s="4"/>
      <c r="D212" s="4"/>
      <c r="E212" s="5" t="s">
        <v>39</v>
      </c>
      <c r="F212" s="3" t="str">
        <f t="shared" si="13"/>
        <v>ورود</v>
      </c>
      <c r="G212" s="4" t="s">
        <v>189</v>
      </c>
      <c r="H212" s="3" t="str">
        <f t="shared" si="14"/>
        <v>عبدالله  مهدی پور روشن</v>
      </c>
      <c r="I212" s="5"/>
      <c r="J212" s="5" t="s">
        <v>178</v>
      </c>
      <c r="K212" s="6">
        <v>770</v>
      </c>
      <c r="L212" s="6">
        <v>52</v>
      </c>
      <c r="M212" s="7">
        <f t="shared" si="15"/>
        <v>685.08</v>
      </c>
      <c r="N212" s="6"/>
      <c r="O212" s="5"/>
    </row>
    <row r="213" spans="1:15" x14ac:dyDescent="0.2">
      <c r="A213" s="3">
        <f>IF($B213="","",COUNTA($B$9:$B213))</f>
        <v>205</v>
      </c>
      <c r="B213" s="4" t="s">
        <v>188</v>
      </c>
      <c r="C213" s="4"/>
      <c r="D213" s="4"/>
      <c r="E213" s="5" t="s">
        <v>39</v>
      </c>
      <c r="F213" s="3" t="str">
        <f t="shared" si="13"/>
        <v>ورود</v>
      </c>
      <c r="G213" s="4" t="s">
        <v>120</v>
      </c>
      <c r="H213" s="3" t="str">
        <f t="shared" si="14"/>
        <v>میرقربان موسویان</v>
      </c>
      <c r="I213" s="5"/>
      <c r="J213" s="5" t="s">
        <v>42</v>
      </c>
      <c r="K213" s="6">
        <v>105</v>
      </c>
      <c r="L213" s="6">
        <v>6</v>
      </c>
      <c r="M213" s="7">
        <f t="shared" si="15"/>
        <v>95.039999999999992</v>
      </c>
      <c r="N213" s="6"/>
      <c r="O213" s="5"/>
    </row>
    <row r="214" spans="1:15" x14ac:dyDescent="0.2">
      <c r="A214" s="3">
        <f>IF($B214="","",COUNTA($B$9:$B214))</f>
        <v>206</v>
      </c>
      <c r="B214" s="4" t="s">
        <v>188</v>
      </c>
      <c r="C214" s="4"/>
      <c r="D214" s="4"/>
      <c r="E214" s="5" t="s">
        <v>49</v>
      </c>
      <c r="F214" s="3" t="str">
        <f t="shared" si="13"/>
        <v>خروج</v>
      </c>
      <c r="G214" s="4" t="s">
        <v>148</v>
      </c>
      <c r="H214" s="3" t="str">
        <f t="shared" si="14"/>
        <v>زنجان-خانی</v>
      </c>
      <c r="I214" s="5"/>
      <c r="J214" s="5"/>
      <c r="K214" s="6">
        <v>3020</v>
      </c>
      <c r="L214" s="6"/>
      <c r="M214" s="7">
        <f t="shared" si="15"/>
        <v>3020</v>
      </c>
      <c r="N214" s="6"/>
      <c r="O214" s="5"/>
    </row>
    <row r="215" spans="1:15" x14ac:dyDescent="0.2">
      <c r="A215" s="3">
        <f>IF($B215="","",COUNTA($B$9:$B215))</f>
        <v>207</v>
      </c>
      <c r="B215" s="4" t="s">
        <v>188</v>
      </c>
      <c r="C215" s="4"/>
      <c r="D215" s="4"/>
      <c r="E215" s="5" t="s">
        <v>49</v>
      </c>
      <c r="F215" s="3" t="str">
        <f t="shared" si="13"/>
        <v>خروج</v>
      </c>
      <c r="G215" s="4" t="s">
        <v>50</v>
      </c>
      <c r="H215" s="3" t="str">
        <f t="shared" si="14"/>
        <v>قم-سید حسین حسینی</v>
      </c>
      <c r="I215" s="5"/>
      <c r="J215" s="5"/>
      <c r="K215" s="6">
        <v>2980</v>
      </c>
      <c r="L215" s="6"/>
      <c r="M215" s="7">
        <f t="shared" si="15"/>
        <v>2980</v>
      </c>
      <c r="N215" s="6"/>
      <c r="O215" s="5"/>
    </row>
    <row r="216" spans="1:15" x14ac:dyDescent="0.2">
      <c r="A216" s="3">
        <f>IF($B216="","",COUNTA($B$9:$B216))</f>
        <v>208</v>
      </c>
      <c r="B216" s="4" t="s">
        <v>188</v>
      </c>
      <c r="C216" s="4"/>
      <c r="D216" s="4"/>
      <c r="E216" s="5" t="s">
        <v>39</v>
      </c>
      <c r="F216" s="3" t="str">
        <f t="shared" si="13"/>
        <v>ورود</v>
      </c>
      <c r="G216" s="4" t="s">
        <v>189</v>
      </c>
      <c r="H216" s="3" t="str">
        <f t="shared" si="14"/>
        <v>عبدالله  مهدی پور روشن</v>
      </c>
      <c r="I216" s="5"/>
      <c r="J216" s="5" t="s">
        <v>178</v>
      </c>
      <c r="K216" s="6">
        <v>2225</v>
      </c>
      <c r="L216" s="6">
        <v>149</v>
      </c>
      <c r="M216" s="7">
        <f t="shared" si="15"/>
        <v>1981.4849999999999</v>
      </c>
      <c r="N216" s="6"/>
      <c r="O216" s="5"/>
    </row>
    <row r="217" spans="1:15" x14ac:dyDescent="0.2">
      <c r="A217" s="3">
        <f>IF($B217="","",COUNTA($B$9:$B217))</f>
        <v>209</v>
      </c>
      <c r="B217" s="4" t="s">
        <v>188</v>
      </c>
      <c r="C217" s="4"/>
      <c r="D217" s="4"/>
      <c r="E217" s="5" t="s">
        <v>39</v>
      </c>
      <c r="F217" s="3" t="str">
        <f t="shared" si="13"/>
        <v>ورود</v>
      </c>
      <c r="G217" s="4" t="s">
        <v>189</v>
      </c>
      <c r="H217" s="3" t="str">
        <f t="shared" si="14"/>
        <v>عبدالله  مهدی پور روشن</v>
      </c>
      <c r="I217" s="5"/>
      <c r="J217" s="5" t="s">
        <v>178</v>
      </c>
      <c r="K217" s="6">
        <v>2490</v>
      </c>
      <c r="L217" s="6">
        <v>162</v>
      </c>
      <c r="M217" s="7">
        <f t="shared" si="15"/>
        <v>2224.5300000000002</v>
      </c>
      <c r="N217" s="6"/>
      <c r="O217" s="5"/>
    </row>
    <row r="218" spans="1:15" x14ac:dyDescent="0.2">
      <c r="A218" s="3">
        <f>IF($B218="","",COUNTA($B$9:$B218))</f>
        <v>210</v>
      </c>
      <c r="B218" s="4" t="s">
        <v>188</v>
      </c>
      <c r="C218" s="4"/>
      <c r="D218" s="4"/>
      <c r="E218" s="5" t="s">
        <v>39</v>
      </c>
      <c r="F218" s="3" t="str">
        <f t="shared" si="13"/>
        <v>ورود</v>
      </c>
      <c r="G218" s="4" t="s">
        <v>149</v>
      </c>
      <c r="H218" s="3" t="str">
        <f t="shared" si="14"/>
        <v>محمد رضایی</v>
      </c>
      <c r="I218" s="5"/>
      <c r="J218" s="5" t="s">
        <v>124</v>
      </c>
      <c r="K218" s="6">
        <v>915</v>
      </c>
      <c r="L218" s="6">
        <v>49</v>
      </c>
      <c r="M218" s="7">
        <f t="shared" si="15"/>
        <v>833.08500000000004</v>
      </c>
      <c r="N218" s="6"/>
      <c r="O218" s="5"/>
    </row>
    <row r="219" spans="1:15" x14ac:dyDescent="0.2">
      <c r="A219" s="3">
        <f>IF($B219="","",COUNTA($B$9:$B219))</f>
        <v>211</v>
      </c>
      <c r="B219" s="4" t="s">
        <v>188</v>
      </c>
      <c r="C219" s="4"/>
      <c r="D219" s="4"/>
      <c r="E219" s="5" t="s">
        <v>39</v>
      </c>
      <c r="F219" s="3"/>
      <c r="G219" s="4" t="s">
        <v>141</v>
      </c>
      <c r="H219" s="3" t="str">
        <f t="shared" si="14"/>
        <v>محمد علی اصغرزاده</v>
      </c>
      <c r="I219" s="5"/>
      <c r="J219" s="5" t="s">
        <v>42</v>
      </c>
      <c r="K219" s="6">
        <v>125</v>
      </c>
      <c r="L219" s="6">
        <v>8</v>
      </c>
      <c r="M219" s="7">
        <f t="shared" si="15"/>
        <v>111.87</v>
      </c>
      <c r="N219" s="6"/>
      <c r="O219" s="5"/>
    </row>
    <row r="220" spans="1:15" x14ac:dyDescent="0.2">
      <c r="A220" s="3">
        <f>IF($B220="","",COUNTA($B$9:$B220))</f>
        <v>212</v>
      </c>
      <c r="B220" s="4" t="s">
        <v>190</v>
      </c>
      <c r="C220" s="4"/>
      <c r="D220" s="4"/>
      <c r="E220" s="5" t="s">
        <v>39</v>
      </c>
      <c r="F220" s="3" t="str">
        <f t="shared" si="13"/>
        <v>ورود</v>
      </c>
      <c r="G220" s="4" t="s">
        <v>189</v>
      </c>
      <c r="H220" s="3" t="str">
        <f t="shared" si="14"/>
        <v>عبدالله  مهدی پور روشن</v>
      </c>
      <c r="I220" s="5"/>
      <c r="J220" s="5" t="s">
        <v>42</v>
      </c>
      <c r="K220" s="6">
        <v>1745</v>
      </c>
      <c r="L220" s="6">
        <v>118</v>
      </c>
      <c r="M220" s="7">
        <f t="shared" si="15"/>
        <v>1552.32</v>
      </c>
      <c r="N220" s="6"/>
      <c r="O220" s="5"/>
    </row>
    <row r="221" spans="1:15" x14ac:dyDescent="0.2">
      <c r="A221" s="3">
        <f>IF($B221="","",COUNTA($B$9:$B221))</f>
        <v>213</v>
      </c>
      <c r="B221" s="4" t="s">
        <v>190</v>
      </c>
      <c r="C221" s="4"/>
      <c r="D221" s="4"/>
      <c r="E221" s="5" t="s">
        <v>39</v>
      </c>
      <c r="F221" s="3" t="str">
        <f t="shared" si="13"/>
        <v>ورود</v>
      </c>
      <c r="G221" s="4" t="s">
        <v>189</v>
      </c>
      <c r="H221" s="3" t="str">
        <f t="shared" si="14"/>
        <v>عبدالله  مهدی پور روشن</v>
      </c>
      <c r="I221" s="5"/>
      <c r="J221" s="5" t="s">
        <v>42</v>
      </c>
      <c r="K221" s="6">
        <v>255</v>
      </c>
      <c r="L221" s="6">
        <v>20</v>
      </c>
      <c r="M221" s="7">
        <f t="shared" si="15"/>
        <v>222.75</v>
      </c>
      <c r="N221" s="6"/>
      <c r="O221" s="5"/>
    </row>
    <row r="222" spans="1:15" x14ac:dyDescent="0.2">
      <c r="A222" s="3">
        <f>IF($B222="","",COUNTA($B$9:$B222))</f>
        <v>214</v>
      </c>
      <c r="B222" s="4" t="s">
        <v>190</v>
      </c>
      <c r="C222" s="4"/>
      <c r="D222" s="4"/>
      <c r="E222" s="5" t="s">
        <v>49</v>
      </c>
      <c r="F222" s="3" t="str">
        <f t="shared" si="13"/>
        <v>خروج</v>
      </c>
      <c r="G222" s="4" t="s">
        <v>58</v>
      </c>
      <c r="H222" s="3" t="str">
        <f t="shared" si="14"/>
        <v>اراک-پوریا خوشنمکیان</v>
      </c>
      <c r="I222" s="5"/>
      <c r="J222" s="5"/>
      <c r="K222" s="6">
        <v>3015</v>
      </c>
      <c r="L222" s="6"/>
      <c r="M222" s="7">
        <f t="shared" si="15"/>
        <v>3015</v>
      </c>
      <c r="N222" s="6"/>
      <c r="O222" s="5"/>
    </row>
    <row r="223" spans="1:15" x14ac:dyDescent="0.2">
      <c r="A223" s="3">
        <f>IF($B223="","",COUNTA($B$9:$B223))</f>
        <v>215</v>
      </c>
      <c r="B223" s="4" t="s">
        <v>190</v>
      </c>
      <c r="C223" s="4"/>
      <c r="D223" s="4"/>
      <c r="E223" s="5" t="s">
        <v>49</v>
      </c>
      <c r="F223" s="3" t="str">
        <f t="shared" si="13"/>
        <v>خروج</v>
      </c>
      <c r="G223" s="4" t="s">
        <v>54</v>
      </c>
      <c r="H223" s="3" t="str">
        <f t="shared" si="14"/>
        <v>مشهد-محمد توکلی</v>
      </c>
      <c r="I223" s="5"/>
      <c r="J223" s="5"/>
      <c r="K223" s="6">
        <v>3055</v>
      </c>
      <c r="L223" s="6"/>
      <c r="M223" s="7">
        <f t="shared" si="15"/>
        <v>3055</v>
      </c>
      <c r="N223" s="6"/>
      <c r="O223" s="5"/>
    </row>
    <row r="224" spans="1:15" x14ac:dyDescent="0.2">
      <c r="A224" s="3">
        <f>IF($B224="","",COUNTA($B$9:$B224))</f>
        <v>216</v>
      </c>
      <c r="B224" s="4" t="s">
        <v>190</v>
      </c>
      <c r="C224" s="4"/>
      <c r="D224" s="4"/>
      <c r="E224" s="5" t="s">
        <v>39</v>
      </c>
      <c r="F224" s="3" t="str">
        <f t="shared" si="13"/>
        <v>ورود</v>
      </c>
      <c r="G224" s="4" t="s">
        <v>141</v>
      </c>
      <c r="H224" s="3" t="str">
        <f t="shared" si="14"/>
        <v>محمد علی اصغرزاده</v>
      </c>
      <c r="I224" s="5"/>
      <c r="J224" s="5" t="s">
        <v>124</v>
      </c>
      <c r="K224" s="6">
        <v>73</v>
      </c>
      <c r="L224" s="6">
        <v>4</v>
      </c>
      <c r="M224" s="7">
        <f t="shared" si="15"/>
        <v>66.33</v>
      </c>
      <c r="N224" s="6"/>
      <c r="O224" s="5"/>
    </row>
    <row r="225" spans="1:15" x14ac:dyDescent="0.2">
      <c r="A225" s="3">
        <f>IF($B225="","",COUNTA($B$9:$B225))</f>
        <v>217</v>
      </c>
      <c r="B225" s="4" t="s">
        <v>190</v>
      </c>
      <c r="C225" s="4"/>
      <c r="D225" s="4"/>
      <c r="E225" s="5" t="s">
        <v>39</v>
      </c>
      <c r="F225" s="3" t="str">
        <f t="shared" si="13"/>
        <v>ورود</v>
      </c>
      <c r="G225" s="4" t="s">
        <v>117</v>
      </c>
      <c r="H225" s="3" t="str">
        <f t="shared" si="14"/>
        <v>دبیر فرجی</v>
      </c>
      <c r="I225" s="5"/>
      <c r="J225" s="5" t="s">
        <v>124</v>
      </c>
      <c r="K225" s="6">
        <v>1390</v>
      </c>
      <c r="L225" s="6">
        <v>93</v>
      </c>
      <c r="M225" s="7">
        <f t="shared" si="15"/>
        <v>1237.9949999999999</v>
      </c>
      <c r="N225" s="6"/>
      <c r="O225" s="5"/>
    </row>
    <row r="226" spans="1:15" x14ac:dyDescent="0.2">
      <c r="A226" s="3">
        <f>IF($B226="","",COUNTA($B$9:$B226))</f>
        <v>218</v>
      </c>
      <c r="B226" s="4" t="s">
        <v>190</v>
      </c>
      <c r="C226" s="4"/>
      <c r="D226" s="4"/>
      <c r="E226" s="5" t="s">
        <v>49</v>
      </c>
      <c r="F226" s="3" t="str">
        <f t="shared" si="13"/>
        <v>خروج</v>
      </c>
      <c r="G226" s="4" t="s">
        <v>50</v>
      </c>
      <c r="H226" s="3" t="str">
        <f t="shared" si="14"/>
        <v>قم-سید حسین حسینی</v>
      </c>
      <c r="I226" s="5"/>
      <c r="J226" s="5"/>
      <c r="K226" s="6">
        <v>2190</v>
      </c>
      <c r="L226" s="6"/>
      <c r="M226" s="7">
        <f t="shared" si="15"/>
        <v>2190</v>
      </c>
      <c r="N226" s="6"/>
      <c r="O226" s="5"/>
    </row>
    <row r="227" spans="1:15" x14ac:dyDescent="0.2">
      <c r="A227" s="3">
        <f>IF($B227="","",COUNTA($B$9:$B227))</f>
        <v>219</v>
      </c>
      <c r="B227" s="4" t="s">
        <v>190</v>
      </c>
      <c r="C227" s="4"/>
      <c r="D227" s="4"/>
      <c r="E227" s="5" t="s">
        <v>49</v>
      </c>
      <c r="F227" s="3" t="str">
        <f t="shared" si="13"/>
        <v>خروج</v>
      </c>
      <c r="G227" s="4" t="s">
        <v>148</v>
      </c>
      <c r="H227" s="3" t="str">
        <f t="shared" si="14"/>
        <v>زنجان-خانی</v>
      </c>
      <c r="I227" s="5"/>
      <c r="J227" s="5"/>
      <c r="K227" s="6">
        <v>3055</v>
      </c>
      <c r="L227" s="6"/>
      <c r="M227" s="7">
        <f t="shared" si="15"/>
        <v>3055</v>
      </c>
      <c r="N227" s="6"/>
      <c r="O227" s="5"/>
    </row>
    <row r="228" spans="1:15" x14ac:dyDescent="0.2">
      <c r="A228" s="3">
        <f>IF($B228="","",COUNTA($B$9:$B228))</f>
        <v>220</v>
      </c>
      <c r="B228" s="4" t="s">
        <v>190</v>
      </c>
      <c r="C228" s="4"/>
      <c r="D228" s="4"/>
      <c r="E228" s="5" t="s">
        <v>39</v>
      </c>
      <c r="F228" s="3" t="str">
        <f t="shared" si="13"/>
        <v>ورود</v>
      </c>
      <c r="G228" s="4" t="s">
        <v>149</v>
      </c>
      <c r="H228" s="3" t="str">
        <f t="shared" si="14"/>
        <v>محمد رضایی</v>
      </c>
      <c r="I228" s="5"/>
      <c r="J228" s="5" t="s">
        <v>124</v>
      </c>
      <c r="K228" s="6">
        <v>800</v>
      </c>
      <c r="L228" s="6">
        <v>43</v>
      </c>
      <c r="M228" s="7">
        <f t="shared" si="15"/>
        <v>728.14499999999998</v>
      </c>
      <c r="N228" s="6"/>
      <c r="O228" s="5"/>
    </row>
    <row r="229" spans="1:15" x14ac:dyDescent="0.2">
      <c r="A229" s="3">
        <f>IF($B229="","",COUNTA($B$9:$B229))</f>
        <v>221</v>
      </c>
      <c r="B229" s="4" t="s">
        <v>190</v>
      </c>
      <c r="C229" s="4"/>
      <c r="D229" s="4"/>
      <c r="E229" s="5" t="s">
        <v>39</v>
      </c>
      <c r="F229" s="3" t="str">
        <f t="shared" si="13"/>
        <v>ورود</v>
      </c>
      <c r="G229" s="4" t="s">
        <v>149</v>
      </c>
      <c r="H229" s="3" t="str">
        <f t="shared" si="14"/>
        <v>محمد رضایی</v>
      </c>
      <c r="I229" s="5"/>
      <c r="J229" s="5" t="s">
        <v>124</v>
      </c>
      <c r="K229" s="6">
        <v>95</v>
      </c>
      <c r="L229" s="6">
        <v>5</v>
      </c>
      <c r="M229" s="7">
        <f t="shared" si="15"/>
        <v>86.625</v>
      </c>
      <c r="N229" s="6"/>
      <c r="O229" s="5"/>
    </row>
    <row r="230" spans="1:15" x14ac:dyDescent="0.2">
      <c r="A230" s="3">
        <f>IF($B230="","",COUNTA($B$9:$B230))</f>
        <v>222</v>
      </c>
      <c r="B230" s="4" t="s">
        <v>190</v>
      </c>
      <c r="C230" s="4"/>
      <c r="D230" s="4"/>
      <c r="E230" s="5" t="s">
        <v>39</v>
      </c>
      <c r="F230" s="3" t="str">
        <f t="shared" si="13"/>
        <v>ورود</v>
      </c>
      <c r="G230" s="4" t="s">
        <v>182</v>
      </c>
      <c r="H230" s="3" t="str">
        <f t="shared" si="14"/>
        <v>کبری اصغرنیا</v>
      </c>
      <c r="I230" s="5"/>
      <c r="J230" s="5" t="s">
        <v>124</v>
      </c>
      <c r="K230" s="6">
        <v>765</v>
      </c>
      <c r="L230" s="6">
        <v>23</v>
      </c>
      <c r="M230" s="7">
        <f t="shared" si="15"/>
        <v>723.19500000000005</v>
      </c>
      <c r="N230" s="6"/>
      <c r="O230" s="5"/>
    </row>
    <row r="231" spans="1:15" x14ac:dyDescent="0.2">
      <c r="A231" s="3">
        <f>IF($B231="","",COUNTA($B$9:$B231))</f>
        <v>223</v>
      </c>
      <c r="B231" s="4" t="s">
        <v>190</v>
      </c>
      <c r="C231" s="4"/>
      <c r="D231" s="4"/>
      <c r="E231" s="5" t="s">
        <v>39</v>
      </c>
      <c r="F231" s="3" t="str">
        <f t="shared" si="13"/>
        <v>ورود</v>
      </c>
      <c r="G231" s="4" t="s">
        <v>168</v>
      </c>
      <c r="H231" s="3" t="str">
        <f t="shared" si="14"/>
        <v>خدیجه اصغرنیا</v>
      </c>
      <c r="I231" s="5"/>
      <c r="J231" s="5" t="s">
        <v>124</v>
      </c>
      <c r="K231" s="6">
        <v>115</v>
      </c>
      <c r="L231" s="6">
        <v>8</v>
      </c>
      <c r="M231" s="7">
        <f t="shared" si="15"/>
        <v>101.97</v>
      </c>
      <c r="N231" s="6"/>
      <c r="O231" s="5"/>
    </row>
    <row r="232" spans="1:15" x14ac:dyDescent="0.2">
      <c r="A232" s="3">
        <f>IF($B232="","",COUNTA($B$9:$B232))</f>
        <v>224</v>
      </c>
      <c r="B232" s="4" t="s">
        <v>190</v>
      </c>
      <c r="C232" s="4"/>
      <c r="D232" s="4"/>
      <c r="E232" s="5" t="s">
        <v>39</v>
      </c>
      <c r="F232" s="3" t="str">
        <f t="shared" si="13"/>
        <v>ورود</v>
      </c>
      <c r="G232" s="4" t="s">
        <v>149</v>
      </c>
      <c r="H232" s="3" t="str">
        <f t="shared" si="14"/>
        <v>محمد رضایی</v>
      </c>
      <c r="I232" s="5"/>
      <c r="J232" s="5" t="s">
        <v>124</v>
      </c>
      <c r="K232" s="6">
        <v>155</v>
      </c>
      <c r="L232" s="6">
        <v>9</v>
      </c>
      <c r="M232" s="7">
        <f t="shared" si="15"/>
        <v>140.08500000000001</v>
      </c>
      <c r="N232" s="6"/>
      <c r="O232" s="5"/>
    </row>
    <row r="233" spans="1:15" x14ac:dyDescent="0.2">
      <c r="A233" s="3">
        <f>IF($B233="","",COUNTA($B$9:$B233))</f>
        <v>225</v>
      </c>
      <c r="B233" s="4" t="s">
        <v>191</v>
      </c>
      <c r="C233" s="4"/>
      <c r="D233" s="4"/>
      <c r="E233" s="5" t="s">
        <v>49</v>
      </c>
      <c r="F233" s="3" t="str">
        <f t="shared" si="13"/>
        <v>خروج</v>
      </c>
      <c r="G233" s="4" t="s">
        <v>54</v>
      </c>
      <c r="H233" s="3" t="str">
        <f t="shared" si="14"/>
        <v>مشهد-محمد توکلی</v>
      </c>
      <c r="I233" s="5"/>
      <c r="J233" s="5"/>
      <c r="K233" s="6">
        <v>3025</v>
      </c>
      <c r="L233" s="6"/>
      <c r="M233" s="7">
        <f t="shared" si="15"/>
        <v>3025</v>
      </c>
      <c r="N233" s="6"/>
      <c r="O233" s="5"/>
    </row>
    <row r="234" spans="1:15" x14ac:dyDescent="0.2">
      <c r="A234" s="3">
        <f>IF($B234="","",COUNTA($B$9:$B234))</f>
        <v>226</v>
      </c>
      <c r="B234" s="4" t="s">
        <v>191</v>
      </c>
      <c r="C234" s="4"/>
      <c r="D234" s="4"/>
      <c r="E234" s="5" t="s">
        <v>39</v>
      </c>
      <c r="F234" s="3" t="str">
        <f t="shared" si="13"/>
        <v>ورود</v>
      </c>
      <c r="G234" s="4" t="s">
        <v>166</v>
      </c>
      <c r="H234" s="3" t="str">
        <f t="shared" si="14"/>
        <v>تقی اصغرنیا</v>
      </c>
      <c r="I234" s="5"/>
      <c r="J234" s="5" t="s">
        <v>124</v>
      </c>
      <c r="K234" s="6">
        <v>90</v>
      </c>
      <c r="L234" s="6">
        <v>7</v>
      </c>
      <c r="M234" s="7">
        <f t="shared" si="15"/>
        <v>78.704999999999998</v>
      </c>
      <c r="N234" s="6"/>
      <c r="O234" s="5"/>
    </row>
    <row r="235" spans="1:15" x14ac:dyDescent="0.2">
      <c r="A235" s="3">
        <f>IF($B235="","",COUNTA($B$9:$B235))</f>
        <v>227</v>
      </c>
      <c r="B235" s="4" t="s">
        <v>191</v>
      </c>
      <c r="C235" s="4"/>
      <c r="D235" s="4"/>
      <c r="E235" s="5" t="s">
        <v>39</v>
      </c>
      <c r="F235" s="3" t="str">
        <f t="shared" si="13"/>
        <v>ورود</v>
      </c>
      <c r="G235" s="4" t="s">
        <v>168</v>
      </c>
      <c r="H235" s="3" t="str">
        <f t="shared" si="14"/>
        <v>خدیجه اصغرنیا</v>
      </c>
      <c r="I235" s="5"/>
      <c r="J235" s="5" t="s">
        <v>124</v>
      </c>
      <c r="K235" s="6">
        <v>265</v>
      </c>
      <c r="L235" s="6">
        <v>24</v>
      </c>
      <c r="M235" s="7">
        <f t="shared" si="15"/>
        <v>226.71</v>
      </c>
      <c r="N235" s="6"/>
      <c r="O235" s="5"/>
    </row>
    <row r="236" spans="1:15" x14ac:dyDescent="0.2">
      <c r="A236" s="3">
        <f>IF($B236="","",COUNTA($B$9:$B236))</f>
        <v>228</v>
      </c>
      <c r="B236" s="4" t="s">
        <v>191</v>
      </c>
      <c r="C236" s="4"/>
      <c r="D236" s="4"/>
      <c r="E236" s="5" t="s">
        <v>49</v>
      </c>
      <c r="F236" s="3" t="str">
        <f t="shared" si="13"/>
        <v>خروج</v>
      </c>
      <c r="G236" s="4" t="s">
        <v>148</v>
      </c>
      <c r="H236" s="3" t="str">
        <f t="shared" si="14"/>
        <v>زنجان-خانی</v>
      </c>
      <c r="I236" s="5"/>
      <c r="J236" s="5"/>
      <c r="K236" s="6">
        <v>3035</v>
      </c>
      <c r="L236" s="6"/>
      <c r="M236" s="7">
        <f t="shared" si="15"/>
        <v>3035</v>
      </c>
      <c r="N236" s="6"/>
      <c r="O236" s="5"/>
    </row>
    <row r="237" spans="1:15" x14ac:dyDescent="0.2">
      <c r="A237" s="3">
        <f>IF($B237="","",COUNTA($B$9:$B237))</f>
        <v>229</v>
      </c>
      <c r="B237" s="4" t="s">
        <v>191</v>
      </c>
      <c r="C237" s="4"/>
      <c r="D237" s="4"/>
      <c r="E237" s="5" t="s">
        <v>49</v>
      </c>
      <c r="F237" s="3" t="str">
        <f t="shared" si="13"/>
        <v>خروج</v>
      </c>
      <c r="G237" s="4" t="s">
        <v>58</v>
      </c>
      <c r="H237" s="3" t="str">
        <f t="shared" si="14"/>
        <v>اراک-پوریا خوشنمکیان</v>
      </c>
      <c r="I237" s="5"/>
      <c r="J237" s="5"/>
      <c r="K237" s="6">
        <v>4280</v>
      </c>
      <c r="L237" s="6"/>
      <c r="M237" s="7">
        <f t="shared" si="15"/>
        <v>4280</v>
      </c>
      <c r="N237" s="6"/>
      <c r="O237" s="5"/>
    </row>
    <row r="238" spans="1:15" x14ac:dyDescent="0.2">
      <c r="A238" s="3">
        <f>IF($B238="","",COUNTA($B$9:$B238))</f>
        <v>230</v>
      </c>
      <c r="B238" s="4" t="s">
        <v>191</v>
      </c>
      <c r="C238" s="4"/>
      <c r="D238" s="4"/>
      <c r="E238" s="5" t="s">
        <v>39</v>
      </c>
      <c r="F238" s="3" t="str">
        <f t="shared" si="13"/>
        <v>ورود</v>
      </c>
      <c r="G238" s="4" t="s">
        <v>149</v>
      </c>
      <c r="H238" s="3" t="str">
        <f t="shared" si="14"/>
        <v>محمد رضایی</v>
      </c>
      <c r="I238" s="5"/>
      <c r="J238" s="5" t="s">
        <v>124</v>
      </c>
      <c r="K238" s="6">
        <v>695</v>
      </c>
      <c r="L238" s="6">
        <v>43</v>
      </c>
      <c r="M238" s="7">
        <f t="shared" si="15"/>
        <v>624.19500000000005</v>
      </c>
      <c r="N238" s="6"/>
      <c r="O238" s="5"/>
    </row>
    <row r="239" spans="1:15" x14ac:dyDescent="0.2">
      <c r="A239" s="3">
        <f>IF($B239="","",COUNTA($B$9:$B239))</f>
        <v>231</v>
      </c>
      <c r="B239" s="4" t="s">
        <v>192</v>
      </c>
      <c r="C239" s="4"/>
      <c r="D239" s="4"/>
      <c r="E239" s="5" t="s">
        <v>49</v>
      </c>
      <c r="F239" s="3" t="str">
        <f t="shared" si="13"/>
        <v>خروج</v>
      </c>
      <c r="G239" s="4" t="s">
        <v>54</v>
      </c>
      <c r="H239" s="3" t="str">
        <f t="shared" si="14"/>
        <v>مشهد-محمد توکلی</v>
      </c>
      <c r="I239" s="5"/>
      <c r="J239" s="5"/>
      <c r="K239" s="6">
        <v>2990</v>
      </c>
      <c r="L239" s="6"/>
      <c r="M239" s="7">
        <f t="shared" si="15"/>
        <v>2990</v>
      </c>
      <c r="N239" s="6"/>
      <c r="O239" s="5"/>
    </row>
    <row r="240" spans="1:15" x14ac:dyDescent="0.2">
      <c r="A240" s="3">
        <f>IF($B240="","",COUNTA($B$9:$B240))</f>
        <v>232</v>
      </c>
      <c r="B240" s="4" t="s">
        <v>192</v>
      </c>
      <c r="C240" s="4"/>
      <c r="D240" s="4"/>
      <c r="E240" s="5" t="s">
        <v>49</v>
      </c>
      <c r="F240" s="3" t="str">
        <f t="shared" si="13"/>
        <v>خروج</v>
      </c>
      <c r="G240" s="4" t="s">
        <v>50</v>
      </c>
      <c r="H240" s="3" t="str">
        <f t="shared" si="14"/>
        <v>قم-سید حسین حسینی</v>
      </c>
      <c r="I240" s="5"/>
      <c r="J240" s="5"/>
      <c r="K240" s="6">
        <v>3040</v>
      </c>
      <c r="L240" s="6"/>
      <c r="M240" s="7">
        <f t="shared" si="15"/>
        <v>3040</v>
      </c>
      <c r="N240" s="6"/>
      <c r="O240" s="5"/>
    </row>
    <row r="241" spans="1:15" x14ac:dyDescent="0.2">
      <c r="A241" s="3">
        <f>IF($B241="","",COUNTA($B$9:$B241))</f>
        <v>233</v>
      </c>
      <c r="B241" s="4" t="s">
        <v>192</v>
      </c>
      <c r="C241" s="4"/>
      <c r="D241" s="4"/>
      <c r="E241" s="5" t="s">
        <v>49</v>
      </c>
      <c r="F241" s="3" t="str">
        <f t="shared" si="13"/>
        <v>خروج</v>
      </c>
      <c r="G241" s="4" t="s">
        <v>58</v>
      </c>
      <c r="H241" s="3" t="str">
        <f t="shared" si="14"/>
        <v>اراک-پوریا خوشنمکیان</v>
      </c>
      <c r="I241" s="5"/>
      <c r="J241" s="5"/>
      <c r="K241" s="6">
        <v>2995</v>
      </c>
      <c r="L241" s="6"/>
      <c r="M241" s="7">
        <f t="shared" si="15"/>
        <v>2995</v>
      </c>
      <c r="N241" s="6"/>
      <c r="O241" s="5"/>
    </row>
    <row r="242" spans="1:15" x14ac:dyDescent="0.2">
      <c r="A242" s="3" t="str">
        <f>IF($B242="","",COUNTA($B$9:$B242))</f>
        <v/>
      </c>
      <c r="B242" s="4"/>
      <c r="C242" s="4"/>
      <c r="D242" s="4"/>
      <c r="E242" s="5"/>
      <c r="F242" s="3" t="str">
        <f t="shared" si="13"/>
        <v/>
      </c>
      <c r="G242" s="4"/>
      <c r="H242" s="3" t="str">
        <f t="shared" si="14"/>
        <v/>
      </c>
      <c r="I242" s="5"/>
      <c r="J242" s="5"/>
      <c r="K242" s="6"/>
      <c r="L242" s="6"/>
      <c r="M242" s="7" t="str">
        <f t="shared" si="15"/>
        <v/>
      </c>
      <c r="N242" s="6"/>
      <c r="O242" s="5"/>
    </row>
    <row r="243" spans="1:15" x14ac:dyDescent="0.2">
      <c r="A243" s="3" t="str">
        <f>IF($B243="","",COUNTA($B$9:$B243))</f>
        <v/>
      </c>
      <c r="B243" s="4"/>
      <c r="C243" s="4"/>
      <c r="D243" s="4"/>
      <c r="E243" s="5"/>
      <c r="F243" s="3" t="str">
        <f t="shared" si="13"/>
        <v/>
      </c>
      <c r="G243" s="4"/>
      <c r="H243" s="3" t="str">
        <f t="shared" si="14"/>
        <v/>
      </c>
      <c r="I243" s="5"/>
      <c r="J243" s="5"/>
      <c r="K243" s="6"/>
      <c r="L243" s="6"/>
      <c r="M243" s="7" t="str">
        <f t="shared" si="15"/>
        <v/>
      </c>
      <c r="N243" s="6"/>
      <c r="O243" s="5"/>
    </row>
    <row r="244" spans="1:15" x14ac:dyDescent="0.2">
      <c r="A244" s="3" t="str">
        <f>IF($B244="","",COUNTA($B$9:$B244))</f>
        <v/>
      </c>
      <c r="B244" s="4"/>
      <c r="C244" s="4"/>
      <c r="D244" s="4"/>
      <c r="E244" s="5"/>
      <c r="F244" s="3" t="str">
        <f t="shared" si="13"/>
        <v/>
      </c>
      <c r="G244" s="4"/>
      <c r="H244" s="3" t="str">
        <f t="shared" si="14"/>
        <v/>
      </c>
      <c r="I244" s="5"/>
      <c r="J244" s="5"/>
      <c r="K244" s="6"/>
      <c r="L244" s="6"/>
      <c r="M244" s="7" t="str">
        <f t="shared" si="15"/>
        <v/>
      </c>
      <c r="N244" s="6"/>
      <c r="O244" s="5"/>
    </row>
    <row r="245" spans="1:15" x14ac:dyDescent="0.2">
      <c r="A245" s="3" t="str">
        <f>IF($B245="","",COUNTA($B$9:$B245))</f>
        <v/>
      </c>
      <c r="B245" s="4"/>
      <c r="C245" s="4"/>
      <c r="D245" s="4"/>
      <c r="E245" s="5"/>
      <c r="F245" s="3" t="str">
        <f t="shared" si="13"/>
        <v/>
      </c>
      <c r="G245" s="4"/>
      <c r="H245" s="3" t="str">
        <f t="shared" si="14"/>
        <v/>
      </c>
      <c r="I245" s="5"/>
      <c r="J245" s="5"/>
      <c r="K245" s="6"/>
      <c r="L245" s="6"/>
      <c r="M245" s="7" t="str">
        <f t="shared" si="15"/>
        <v/>
      </c>
      <c r="N245" s="6"/>
      <c r="O245" s="5"/>
    </row>
    <row r="246" spans="1:15" x14ac:dyDescent="0.2">
      <c r="A246" s="3" t="str">
        <f>IF($B246="","",COUNTA($B$9:$B246))</f>
        <v/>
      </c>
      <c r="B246" s="4"/>
      <c r="C246" s="4"/>
      <c r="D246" s="4"/>
      <c r="E246" s="5"/>
      <c r="F246" s="3" t="str">
        <f t="shared" si="13"/>
        <v/>
      </c>
      <c r="G246" s="4"/>
      <c r="H246" s="3" t="str">
        <f t="shared" si="14"/>
        <v/>
      </c>
      <c r="I246" s="5"/>
      <c r="J246" s="5"/>
      <c r="K246" s="6"/>
      <c r="L246" s="6"/>
      <c r="M246" s="7" t="str">
        <f t="shared" si="15"/>
        <v/>
      </c>
      <c r="N246" s="6"/>
      <c r="O246" s="5"/>
    </row>
    <row r="247" spans="1:15" x14ac:dyDescent="0.2">
      <c r="A247" s="3" t="str">
        <f>IF($B247="","",COUNTA($B$9:$B247))</f>
        <v/>
      </c>
      <c r="B247" s="4"/>
      <c r="C247" s="4"/>
      <c r="D247" s="4"/>
      <c r="E247" s="5"/>
      <c r="F247" s="3" t="str">
        <f t="shared" si="13"/>
        <v/>
      </c>
      <c r="G247" s="4"/>
      <c r="H247" s="3" t="str">
        <f t="shared" si="14"/>
        <v/>
      </c>
      <c r="I247" s="5"/>
      <c r="J247" s="5"/>
      <c r="K247" s="6"/>
      <c r="L247" s="6"/>
      <c r="M247" s="7" t="str">
        <f t="shared" si="15"/>
        <v/>
      </c>
      <c r="N247" s="6"/>
      <c r="O247" s="5"/>
    </row>
    <row r="248" spans="1:15" x14ac:dyDescent="0.2">
      <c r="A248" s="3" t="str">
        <f>IF($B248="","",COUNTA($B$9:$B248))</f>
        <v/>
      </c>
      <c r="B248" s="4"/>
      <c r="C248" s="4"/>
      <c r="D248" s="4"/>
      <c r="E248" s="5"/>
      <c r="F248" s="3" t="str">
        <f t="shared" si="13"/>
        <v/>
      </c>
      <c r="G248" s="4"/>
      <c r="H248" s="3" t="str">
        <f t="shared" si="14"/>
        <v/>
      </c>
      <c r="I248" s="5"/>
      <c r="J248" s="5"/>
      <c r="K248" s="6"/>
      <c r="L248" s="6"/>
      <c r="M248" s="7" t="str">
        <f t="shared" si="15"/>
        <v/>
      </c>
      <c r="N248" s="6"/>
      <c r="O248" s="5"/>
    </row>
    <row r="249" spans="1:15" x14ac:dyDescent="0.2">
      <c r="A249" s="3" t="str">
        <f>IF($B249="","",COUNTA($B$9:$B249))</f>
        <v/>
      </c>
      <c r="B249" s="4"/>
      <c r="C249" s="4"/>
      <c r="D249" s="4"/>
      <c r="E249" s="5"/>
      <c r="F249" s="3" t="str">
        <f t="shared" si="13"/>
        <v/>
      </c>
      <c r="G249" s="4"/>
      <c r="H249" s="3" t="str">
        <f t="shared" si="14"/>
        <v/>
      </c>
      <c r="I249" s="5"/>
      <c r="J249" s="5"/>
      <c r="K249" s="6"/>
      <c r="L249" s="6"/>
      <c r="M249" s="7" t="str">
        <f t="shared" si="15"/>
        <v/>
      </c>
      <c r="N249" s="6"/>
      <c r="O249" s="5"/>
    </row>
    <row r="250" spans="1:15" x14ac:dyDescent="0.2">
      <c r="A250" s="3" t="str">
        <f>IF($B250="","",COUNTA($B$9:$B250))</f>
        <v/>
      </c>
      <c r="B250" s="4"/>
      <c r="C250" s="4"/>
      <c r="D250" s="4"/>
      <c r="E250" s="5"/>
      <c r="F250" s="3" t="str">
        <f t="shared" si="13"/>
        <v/>
      </c>
      <c r="G250" s="4"/>
      <c r="H250" s="3" t="str">
        <f t="shared" si="14"/>
        <v/>
      </c>
      <c r="I250" s="5"/>
      <c r="J250" s="5"/>
      <c r="K250" s="6"/>
      <c r="L250" s="6"/>
      <c r="M250" s="7" t="str">
        <f t="shared" si="15"/>
        <v/>
      </c>
      <c r="N250" s="6"/>
      <c r="O250" s="5"/>
    </row>
    <row r="251" spans="1:15" x14ac:dyDescent="0.2">
      <c r="A251" s="3" t="str">
        <f>IF($B251="","",COUNTA($B$9:$B251))</f>
        <v/>
      </c>
      <c r="B251" s="4"/>
      <c r="C251" s="4"/>
      <c r="D251" s="4"/>
      <c r="E251" s="5"/>
      <c r="F251" s="3" t="str">
        <f t="shared" si="13"/>
        <v/>
      </c>
      <c r="G251" s="4"/>
      <c r="H251" s="3" t="str">
        <f t="shared" si="14"/>
        <v/>
      </c>
      <c r="I251" s="5"/>
      <c r="J251" s="5"/>
      <c r="K251" s="6"/>
      <c r="L251" s="6"/>
      <c r="M251" s="7" t="str">
        <f t="shared" si="15"/>
        <v/>
      </c>
      <c r="N251" s="6"/>
      <c r="O251" s="5"/>
    </row>
    <row r="252" spans="1:15" x14ac:dyDescent="0.2">
      <c r="A252" s="3" t="str">
        <f>IF($B252="","",COUNTA($B$9:$B252))</f>
        <v/>
      </c>
      <c r="B252" s="4"/>
      <c r="C252" s="4"/>
      <c r="D252" s="4"/>
      <c r="E252" s="5"/>
      <c r="F252" s="3" t="str">
        <f t="shared" si="13"/>
        <v/>
      </c>
      <c r="G252" s="4"/>
      <c r="H252" s="3" t="str">
        <f t="shared" si="14"/>
        <v/>
      </c>
      <c r="I252" s="5"/>
      <c r="J252" s="5"/>
      <c r="K252" s="6"/>
      <c r="L252" s="6"/>
      <c r="M252" s="7" t="str">
        <f t="shared" si="15"/>
        <v/>
      </c>
      <c r="N252" s="6"/>
      <c r="O252" s="5"/>
    </row>
    <row r="253" spans="1:15" x14ac:dyDescent="0.2">
      <c r="A253" s="3" t="str">
        <f>IF($B253="","",COUNTA($B$9:$B253))</f>
        <v/>
      </c>
      <c r="B253" s="4"/>
      <c r="C253" s="4"/>
      <c r="D253" s="4"/>
      <c r="E253" s="5"/>
      <c r="F253" s="3" t="str">
        <f t="shared" si="13"/>
        <v/>
      </c>
      <c r="G253" s="4"/>
      <c r="H253" s="3" t="str">
        <f t="shared" si="14"/>
        <v/>
      </c>
      <c r="I253" s="5"/>
      <c r="J253" s="5"/>
      <c r="K253" s="6"/>
      <c r="L253" s="6"/>
      <c r="M253" s="7" t="str">
        <f t="shared" si="15"/>
        <v/>
      </c>
      <c r="N253" s="6"/>
      <c r="O253" s="5"/>
    </row>
    <row r="254" spans="1:15" x14ac:dyDescent="0.2">
      <c r="A254" s="3" t="str">
        <f>IF($B254="","",COUNTA($B$9:$B254))</f>
        <v/>
      </c>
      <c r="B254" s="4"/>
      <c r="C254" s="4"/>
      <c r="D254" s="4"/>
      <c r="E254" s="5"/>
      <c r="F254" s="3" t="str">
        <f t="shared" si="13"/>
        <v/>
      </c>
      <c r="G254" s="4"/>
      <c r="H254" s="3" t="str">
        <f t="shared" si="14"/>
        <v/>
      </c>
      <c r="I254" s="5"/>
      <c r="J254" s="5"/>
      <c r="K254" s="6"/>
      <c r="L254" s="6"/>
      <c r="M254" s="7" t="str">
        <f t="shared" si="15"/>
        <v/>
      </c>
      <c r="N254" s="6"/>
      <c r="O254" s="5"/>
    </row>
    <row r="255" spans="1:15" x14ac:dyDescent="0.2">
      <c r="A255" s="3" t="str">
        <f>IF($B255="","",COUNTA($B$9:$B255))</f>
        <v/>
      </c>
      <c r="B255" s="4"/>
      <c r="C255" s="4"/>
      <c r="D255" s="4"/>
      <c r="E255" s="5"/>
      <c r="F255" s="3" t="str">
        <f t="shared" si="13"/>
        <v/>
      </c>
      <c r="G255" s="4"/>
      <c r="H255" s="3" t="str">
        <f t="shared" si="14"/>
        <v/>
      </c>
      <c r="I255" s="5"/>
      <c r="J255" s="5"/>
      <c r="K255" s="6"/>
      <c r="L255" s="6"/>
      <c r="M255" s="7" t="str">
        <f t="shared" si="15"/>
        <v/>
      </c>
      <c r="N255" s="6"/>
      <c r="O255" s="5"/>
    </row>
    <row r="256" spans="1:15" x14ac:dyDescent="0.2">
      <c r="A256" s="3" t="str">
        <f>IF($B256="","",COUNTA($B$9:$B256))</f>
        <v/>
      </c>
      <c r="B256" s="4"/>
      <c r="C256" s="4"/>
      <c r="D256" s="4"/>
      <c r="E256" s="5"/>
      <c r="F256" s="3" t="str">
        <f t="shared" si="13"/>
        <v/>
      </c>
      <c r="G256" s="4"/>
      <c r="H256" s="3" t="str">
        <f t="shared" si="14"/>
        <v/>
      </c>
      <c r="I256" s="5"/>
      <c r="J256" s="5"/>
      <c r="K256" s="6"/>
      <c r="L256" s="6"/>
      <c r="M256" s="7" t="str">
        <f t="shared" si="15"/>
        <v/>
      </c>
      <c r="N256" s="6"/>
      <c r="O256" s="5"/>
    </row>
    <row r="257" spans="1:15" x14ac:dyDescent="0.2">
      <c r="A257" s="3" t="str">
        <f>IF($B257="","",COUNTA($B$9:$B257))</f>
        <v/>
      </c>
      <c r="B257" s="4"/>
      <c r="C257" s="4"/>
      <c r="D257" s="4"/>
      <c r="E257" s="5"/>
      <c r="F257" s="3" t="str">
        <f t="shared" si="13"/>
        <v/>
      </c>
      <c r="G257" s="4"/>
      <c r="H257" s="3" t="str">
        <f t="shared" si="14"/>
        <v/>
      </c>
      <c r="I257" s="5"/>
      <c r="J257" s="5"/>
      <c r="K257" s="6"/>
      <c r="L257" s="6"/>
      <c r="M257" s="7" t="str">
        <f t="shared" si="15"/>
        <v/>
      </c>
      <c r="N257" s="6"/>
      <c r="O257" s="5"/>
    </row>
    <row r="258" spans="1:15" x14ac:dyDescent="0.2">
      <c r="A258" s="3" t="str">
        <f>IF($B258="","",COUNTA($B$9:$B258))</f>
        <v/>
      </c>
      <c r="B258" s="4"/>
      <c r="C258" s="4"/>
      <c r="D258" s="4"/>
      <c r="E258" s="5"/>
      <c r="F258" s="3" t="str">
        <f t="shared" si="13"/>
        <v/>
      </c>
      <c r="G258" s="4"/>
      <c r="H258" s="3" t="str">
        <f t="shared" si="14"/>
        <v/>
      </c>
      <c r="I258" s="5"/>
      <c r="J258" s="5"/>
      <c r="K258" s="6"/>
      <c r="L258" s="6"/>
      <c r="M258" s="7" t="str">
        <f t="shared" si="15"/>
        <v/>
      </c>
      <c r="N258" s="6"/>
      <c r="O258" s="5"/>
    </row>
    <row r="259" spans="1:15" x14ac:dyDescent="0.2">
      <c r="A259" s="3" t="str">
        <f>IF($B259="","",COUNTA($B$9:$B259))</f>
        <v/>
      </c>
      <c r="B259" s="4"/>
      <c r="C259" s="4"/>
      <c r="D259" s="4"/>
      <c r="E259" s="5"/>
      <c r="F259" s="3" t="str">
        <f t="shared" si="13"/>
        <v/>
      </c>
      <c r="G259" s="4"/>
      <c r="H259" s="3" t="str">
        <f t="shared" si="14"/>
        <v/>
      </c>
      <c r="I259" s="5"/>
      <c r="J259" s="5"/>
      <c r="K259" s="6"/>
      <c r="L259" s="6"/>
      <c r="M259" s="7" t="str">
        <f t="shared" si="15"/>
        <v/>
      </c>
      <c r="N259" s="6"/>
      <c r="O259" s="5"/>
    </row>
    <row r="260" spans="1:15" x14ac:dyDescent="0.2">
      <c r="A260" s="3" t="str">
        <f>IF($B260="","",COUNTA($B$9:$B260))</f>
        <v/>
      </c>
      <c r="B260" s="4"/>
      <c r="C260" s="4"/>
      <c r="D260" s="4"/>
      <c r="E260" s="5"/>
      <c r="F260" s="3" t="str">
        <f t="shared" si="13"/>
        <v/>
      </c>
      <c r="G260" s="4"/>
      <c r="H260" s="3" t="str">
        <f t="shared" si="14"/>
        <v/>
      </c>
      <c r="I260" s="5"/>
      <c r="J260" s="5"/>
      <c r="K260" s="6"/>
      <c r="L260" s="6"/>
      <c r="M260" s="7" t="str">
        <f t="shared" si="15"/>
        <v/>
      </c>
      <c r="N260" s="6"/>
      <c r="O260" s="5"/>
    </row>
    <row r="261" spans="1:15" x14ac:dyDescent="0.2">
      <c r="A261" s="3" t="str">
        <f>IF($B261="","",COUNTA($B$9:$B261))</f>
        <v/>
      </c>
      <c r="B261" s="4"/>
      <c r="C261" s="4"/>
      <c r="D261" s="4"/>
      <c r="E261" s="5"/>
      <c r="F261" s="3" t="str">
        <f t="shared" si="13"/>
        <v/>
      </c>
      <c r="G261" s="4"/>
      <c r="H261" s="3" t="str">
        <f t="shared" si="14"/>
        <v/>
      </c>
      <c r="I261" s="5"/>
      <c r="J261" s="5"/>
      <c r="K261" s="6"/>
      <c r="L261" s="6"/>
      <c r="M261" s="7" t="str">
        <f t="shared" si="15"/>
        <v/>
      </c>
      <c r="N261" s="6"/>
      <c r="O261" s="5"/>
    </row>
    <row r="262" spans="1:15" x14ac:dyDescent="0.2">
      <c r="A262" s="3" t="str">
        <f>IF($B262="","",COUNTA($B$9:$B262))</f>
        <v/>
      </c>
      <c r="B262" s="4"/>
      <c r="C262" s="4"/>
      <c r="D262" s="4"/>
      <c r="E262" s="5"/>
      <c r="F262" s="3" t="str">
        <f t="shared" si="13"/>
        <v/>
      </c>
      <c r="G262" s="4"/>
      <c r="H262" s="3" t="str">
        <f t="shared" si="14"/>
        <v/>
      </c>
      <c r="I262" s="5"/>
      <c r="J262" s="5"/>
      <c r="K262" s="6"/>
      <c r="L262" s="6"/>
      <c r="M262" s="7" t="str">
        <f t="shared" si="15"/>
        <v/>
      </c>
      <c r="N262" s="6"/>
      <c r="O262" s="5"/>
    </row>
    <row r="263" spans="1:15" x14ac:dyDescent="0.2">
      <c r="A263" s="3" t="str">
        <f>IF($B263="","",COUNTA($B$9:$B263))</f>
        <v/>
      </c>
      <c r="B263" s="4"/>
      <c r="C263" s="4"/>
      <c r="D263" s="4"/>
      <c r="E263" s="5"/>
      <c r="F263" s="3" t="str">
        <f t="shared" si="13"/>
        <v/>
      </c>
      <c r="G263" s="4"/>
      <c r="H263" s="3" t="str">
        <f t="shared" si="14"/>
        <v/>
      </c>
      <c r="I263" s="5"/>
      <c r="J263" s="5"/>
      <c r="K263" s="6"/>
      <c r="L263" s="6"/>
      <c r="M263" s="7" t="str">
        <f t="shared" si="15"/>
        <v/>
      </c>
      <c r="N263" s="6"/>
      <c r="O263" s="5"/>
    </row>
    <row r="264" spans="1:15" x14ac:dyDescent="0.2">
      <c r="A264" s="3" t="str">
        <f>IF($B264="","",COUNTA($B$9:$B264))</f>
        <v/>
      </c>
      <c r="B264" s="4"/>
      <c r="C264" s="4"/>
      <c r="D264" s="4"/>
      <c r="E264" s="5"/>
      <c r="F264" s="3" t="str">
        <f t="shared" ref="F264:F327" si="16">IF($E264="","",IFERROR(VLOOKUP($E264,OpTbl,2,0),""))</f>
        <v/>
      </c>
      <c r="G264" s="4"/>
      <c r="H264" s="3" t="str">
        <f t="shared" ref="H264:H327" si="17">IF($G264="","",IFERROR(IF(VLOOKUP($G264,AcctTbl,4,0)="","(بدون نام)",VLOOKUP($G264,AcctTbl,4,0)),"کد ناشناخته"))</f>
        <v/>
      </c>
      <c r="I264" s="5"/>
      <c r="J264" s="5"/>
      <c r="K264" s="6"/>
      <c r="L264" s="6"/>
      <c r="M264" s="7" t="str">
        <f t="shared" ref="M264:M327" si="18">IF(OR($B264="",$K264=""),"",($K264-IF($L264="",0,$L264)*IFERROR(VLOOKUP("P01",ParamTbl,3,0),1.5))*(1-IF(IFERROR(VLOOKUP($E264,OpTbl,3,0),"")="خرید",IFERROR(VLOOKUP("P02",ParamTbl,3,0),1),0)/100))</f>
        <v/>
      </c>
      <c r="N264" s="6"/>
      <c r="O264" s="5"/>
    </row>
    <row r="265" spans="1:15" x14ac:dyDescent="0.2">
      <c r="A265" s="3" t="str">
        <f>IF($B265="","",COUNTA($B$9:$B265))</f>
        <v/>
      </c>
      <c r="B265" s="4"/>
      <c r="C265" s="4"/>
      <c r="D265" s="4"/>
      <c r="E265" s="5"/>
      <c r="F265" s="3" t="str">
        <f t="shared" si="16"/>
        <v/>
      </c>
      <c r="G265" s="4"/>
      <c r="H265" s="3" t="str">
        <f t="shared" si="17"/>
        <v/>
      </c>
      <c r="I265" s="5"/>
      <c r="J265" s="5"/>
      <c r="K265" s="6"/>
      <c r="L265" s="6"/>
      <c r="M265" s="7" t="str">
        <f t="shared" si="18"/>
        <v/>
      </c>
      <c r="N265" s="6"/>
      <c r="O265" s="5"/>
    </row>
    <row r="266" spans="1:15" x14ac:dyDescent="0.2">
      <c r="A266" s="3" t="str">
        <f>IF($B266="","",COUNTA($B$9:$B266))</f>
        <v/>
      </c>
      <c r="B266" s="4"/>
      <c r="C266" s="4"/>
      <c r="D266" s="4"/>
      <c r="E266" s="5"/>
      <c r="F266" s="3" t="str">
        <f t="shared" si="16"/>
        <v/>
      </c>
      <c r="G266" s="4"/>
      <c r="H266" s="3" t="str">
        <f t="shared" si="17"/>
        <v/>
      </c>
      <c r="I266" s="5"/>
      <c r="J266" s="5"/>
      <c r="K266" s="6"/>
      <c r="L266" s="6"/>
      <c r="M266" s="7" t="str">
        <f t="shared" si="18"/>
        <v/>
      </c>
      <c r="N266" s="6"/>
      <c r="O266" s="5"/>
    </row>
    <row r="267" spans="1:15" x14ac:dyDescent="0.2">
      <c r="A267" s="3" t="str">
        <f>IF($B267="","",COUNTA($B$9:$B267))</f>
        <v/>
      </c>
      <c r="B267" s="4"/>
      <c r="C267" s="4"/>
      <c r="D267" s="4"/>
      <c r="E267" s="5"/>
      <c r="F267" s="3" t="str">
        <f t="shared" si="16"/>
        <v/>
      </c>
      <c r="G267" s="4"/>
      <c r="H267" s="3" t="str">
        <f t="shared" si="17"/>
        <v/>
      </c>
      <c r="I267" s="5"/>
      <c r="J267" s="5"/>
      <c r="K267" s="6"/>
      <c r="L267" s="6"/>
      <c r="M267" s="7" t="str">
        <f t="shared" si="18"/>
        <v/>
      </c>
      <c r="N267" s="6"/>
      <c r="O267" s="5"/>
    </row>
    <row r="268" spans="1:15" x14ac:dyDescent="0.2">
      <c r="A268" s="3" t="str">
        <f>IF($B268="","",COUNTA($B$9:$B268))</f>
        <v/>
      </c>
      <c r="B268" s="4"/>
      <c r="C268" s="4"/>
      <c r="D268" s="4"/>
      <c r="E268" s="5"/>
      <c r="F268" s="3" t="str">
        <f t="shared" si="16"/>
        <v/>
      </c>
      <c r="G268" s="4"/>
      <c r="H268" s="3" t="str">
        <f t="shared" si="17"/>
        <v/>
      </c>
      <c r="I268" s="5"/>
      <c r="J268" s="5"/>
      <c r="K268" s="6"/>
      <c r="L268" s="6"/>
      <c r="M268" s="7" t="str">
        <f t="shared" si="18"/>
        <v/>
      </c>
      <c r="N268" s="6"/>
      <c r="O268" s="5"/>
    </row>
    <row r="269" spans="1:15" x14ac:dyDescent="0.2">
      <c r="A269" s="3" t="str">
        <f>IF($B269="","",COUNTA($B$9:$B269))</f>
        <v/>
      </c>
      <c r="B269" s="4"/>
      <c r="C269" s="4"/>
      <c r="D269" s="4"/>
      <c r="E269" s="5"/>
      <c r="F269" s="3" t="str">
        <f t="shared" si="16"/>
        <v/>
      </c>
      <c r="G269" s="4"/>
      <c r="H269" s="3" t="str">
        <f t="shared" si="17"/>
        <v/>
      </c>
      <c r="I269" s="5"/>
      <c r="J269" s="5"/>
      <c r="K269" s="6"/>
      <c r="L269" s="6"/>
      <c r="M269" s="7" t="str">
        <f t="shared" si="18"/>
        <v/>
      </c>
      <c r="N269" s="6"/>
      <c r="O269" s="5"/>
    </row>
    <row r="270" spans="1:15" x14ac:dyDescent="0.2">
      <c r="A270" s="3" t="str">
        <f>IF($B270="","",COUNTA($B$9:$B270))</f>
        <v/>
      </c>
      <c r="B270" s="4"/>
      <c r="C270" s="4"/>
      <c r="D270" s="4"/>
      <c r="E270" s="5"/>
      <c r="F270" s="3" t="str">
        <f t="shared" si="16"/>
        <v/>
      </c>
      <c r="G270" s="4"/>
      <c r="H270" s="3" t="str">
        <f t="shared" si="17"/>
        <v/>
      </c>
      <c r="I270" s="5"/>
      <c r="J270" s="5"/>
      <c r="K270" s="6"/>
      <c r="L270" s="6"/>
      <c r="M270" s="7" t="str">
        <f t="shared" si="18"/>
        <v/>
      </c>
      <c r="N270" s="6"/>
      <c r="O270" s="5"/>
    </row>
    <row r="271" spans="1:15" x14ac:dyDescent="0.2">
      <c r="A271" s="3" t="str">
        <f>IF($B271="","",COUNTA($B$9:$B271))</f>
        <v/>
      </c>
      <c r="B271" s="4"/>
      <c r="C271" s="4"/>
      <c r="D271" s="4"/>
      <c r="E271" s="5"/>
      <c r="F271" s="3" t="str">
        <f t="shared" si="16"/>
        <v/>
      </c>
      <c r="G271" s="4"/>
      <c r="H271" s="3" t="str">
        <f t="shared" si="17"/>
        <v/>
      </c>
      <c r="I271" s="5"/>
      <c r="J271" s="5"/>
      <c r="K271" s="6"/>
      <c r="L271" s="6"/>
      <c r="M271" s="7" t="str">
        <f t="shared" si="18"/>
        <v/>
      </c>
      <c r="N271" s="6"/>
      <c r="O271" s="5"/>
    </row>
    <row r="272" spans="1:15" x14ac:dyDescent="0.2">
      <c r="A272" s="3" t="str">
        <f>IF($B272="","",COUNTA($B$9:$B272))</f>
        <v/>
      </c>
      <c r="B272" s="4"/>
      <c r="C272" s="4"/>
      <c r="D272" s="4"/>
      <c r="E272" s="5"/>
      <c r="F272" s="3" t="str">
        <f t="shared" si="16"/>
        <v/>
      </c>
      <c r="G272" s="4"/>
      <c r="H272" s="3" t="str">
        <f t="shared" si="17"/>
        <v/>
      </c>
      <c r="I272" s="5"/>
      <c r="J272" s="5"/>
      <c r="K272" s="6"/>
      <c r="L272" s="6"/>
      <c r="M272" s="7" t="str">
        <f t="shared" si="18"/>
        <v/>
      </c>
      <c r="N272" s="6"/>
      <c r="O272" s="5"/>
    </row>
    <row r="273" spans="1:15" x14ac:dyDescent="0.2">
      <c r="A273" s="3" t="str">
        <f>IF($B273="","",COUNTA($B$9:$B273))</f>
        <v/>
      </c>
      <c r="B273" s="4"/>
      <c r="C273" s="4"/>
      <c r="D273" s="4"/>
      <c r="E273" s="5"/>
      <c r="F273" s="3" t="str">
        <f t="shared" si="16"/>
        <v/>
      </c>
      <c r="G273" s="4"/>
      <c r="H273" s="3" t="str">
        <f t="shared" si="17"/>
        <v/>
      </c>
      <c r="I273" s="5"/>
      <c r="J273" s="5"/>
      <c r="K273" s="6"/>
      <c r="L273" s="6"/>
      <c r="M273" s="7" t="str">
        <f t="shared" si="18"/>
        <v/>
      </c>
      <c r="N273" s="6"/>
      <c r="O273" s="5"/>
    </row>
    <row r="274" spans="1:15" x14ac:dyDescent="0.2">
      <c r="A274" s="3" t="str">
        <f>IF($B274="","",COUNTA($B$9:$B274))</f>
        <v/>
      </c>
      <c r="B274" s="4"/>
      <c r="C274" s="4"/>
      <c r="D274" s="4"/>
      <c r="E274" s="5"/>
      <c r="F274" s="3" t="str">
        <f t="shared" si="16"/>
        <v/>
      </c>
      <c r="G274" s="4"/>
      <c r="H274" s="3" t="str">
        <f t="shared" si="17"/>
        <v/>
      </c>
      <c r="I274" s="5"/>
      <c r="J274" s="5"/>
      <c r="K274" s="6"/>
      <c r="L274" s="6"/>
      <c r="M274" s="7" t="str">
        <f t="shared" si="18"/>
        <v/>
      </c>
      <c r="N274" s="6"/>
      <c r="O274" s="5"/>
    </row>
    <row r="275" spans="1:15" x14ac:dyDescent="0.2">
      <c r="A275" s="3" t="str">
        <f>IF($B275="","",COUNTA($B$9:$B275))</f>
        <v/>
      </c>
      <c r="B275" s="4"/>
      <c r="C275" s="4"/>
      <c r="D275" s="4"/>
      <c r="E275" s="5"/>
      <c r="F275" s="3" t="str">
        <f t="shared" si="16"/>
        <v/>
      </c>
      <c r="G275" s="4"/>
      <c r="H275" s="3" t="str">
        <f t="shared" si="17"/>
        <v/>
      </c>
      <c r="I275" s="5"/>
      <c r="J275" s="5"/>
      <c r="K275" s="6"/>
      <c r="L275" s="6"/>
      <c r="M275" s="7" t="str">
        <f t="shared" si="18"/>
        <v/>
      </c>
      <c r="N275" s="6"/>
      <c r="O275" s="5"/>
    </row>
    <row r="276" spans="1:15" x14ac:dyDescent="0.2">
      <c r="A276" s="3" t="str">
        <f>IF($B276="","",COUNTA($B$9:$B276))</f>
        <v/>
      </c>
      <c r="B276" s="4"/>
      <c r="C276" s="4"/>
      <c r="D276" s="4"/>
      <c r="E276" s="5"/>
      <c r="F276" s="3" t="str">
        <f t="shared" si="16"/>
        <v/>
      </c>
      <c r="G276" s="4"/>
      <c r="H276" s="3" t="str">
        <f t="shared" si="17"/>
        <v/>
      </c>
      <c r="I276" s="5"/>
      <c r="J276" s="5"/>
      <c r="K276" s="6"/>
      <c r="L276" s="6"/>
      <c r="M276" s="7" t="str">
        <f t="shared" si="18"/>
        <v/>
      </c>
      <c r="N276" s="6"/>
      <c r="O276" s="5"/>
    </row>
    <row r="277" spans="1:15" x14ac:dyDescent="0.2">
      <c r="A277" s="3" t="str">
        <f>IF($B277="","",COUNTA($B$9:$B277))</f>
        <v/>
      </c>
      <c r="B277" s="4"/>
      <c r="C277" s="4"/>
      <c r="D277" s="4"/>
      <c r="E277" s="5"/>
      <c r="F277" s="3" t="str">
        <f t="shared" si="16"/>
        <v/>
      </c>
      <c r="G277" s="4"/>
      <c r="H277" s="3" t="str">
        <f t="shared" si="17"/>
        <v/>
      </c>
      <c r="I277" s="5"/>
      <c r="J277" s="5"/>
      <c r="K277" s="6"/>
      <c r="L277" s="6"/>
      <c r="M277" s="7" t="str">
        <f t="shared" si="18"/>
        <v/>
      </c>
      <c r="N277" s="6"/>
      <c r="O277" s="5"/>
    </row>
    <row r="278" spans="1:15" x14ac:dyDescent="0.2">
      <c r="A278" s="3" t="str">
        <f>IF($B278="","",COUNTA($B$9:$B278))</f>
        <v/>
      </c>
      <c r="B278" s="4"/>
      <c r="C278" s="4"/>
      <c r="D278" s="4"/>
      <c r="E278" s="5"/>
      <c r="F278" s="3" t="str">
        <f t="shared" si="16"/>
        <v/>
      </c>
      <c r="G278" s="4"/>
      <c r="H278" s="3" t="str">
        <f t="shared" si="17"/>
        <v/>
      </c>
      <c r="I278" s="5"/>
      <c r="J278" s="5"/>
      <c r="K278" s="6"/>
      <c r="L278" s="6"/>
      <c r="M278" s="7" t="str">
        <f t="shared" si="18"/>
        <v/>
      </c>
      <c r="N278" s="6"/>
      <c r="O278" s="5"/>
    </row>
    <row r="279" spans="1:15" x14ac:dyDescent="0.2">
      <c r="A279" s="3" t="str">
        <f>IF($B279="","",COUNTA($B$9:$B279))</f>
        <v/>
      </c>
      <c r="B279" s="4"/>
      <c r="C279" s="4"/>
      <c r="D279" s="4"/>
      <c r="E279" s="5"/>
      <c r="F279" s="3" t="str">
        <f t="shared" si="16"/>
        <v/>
      </c>
      <c r="G279" s="4"/>
      <c r="H279" s="3" t="str">
        <f t="shared" si="17"/>
        <v/>
      </c>
      <c r="I279" s="5"/>
      <c r="J279" s="5"/>
      <c r="K279" s="6"/>
      <c r="L279" s="6"/>
      <c r="M279" s="7" t="str">
        <f t="shared" si="18"/>
        <v/>
      </c>
      <c r="N279" s="6"/>
      <c r="O279" s="5"/>
    </row>
    <row r="280" spans="1:15" x14ac:dyDescent="0.2">
      <c r="A280" s="3" t="str">
        <f>IF($B280="","",COUNTA($B$9:$B280))</f>
        <v/>
      </c>
      <c r="B280" s="4"/>
      <c r="C280" s="4"/>
      <c r="D280" s="4"/>
      <c r="E280" s="5"/>
      <c r="F280" s="3" t="str">
        <f t="shared" si="16"/>
        <v/>
      </c>
      <c r="G280" s="4"/>
      <c r="H280" s="3" t="str">
        <f t="shared" si="17"/>
        <v/>
      </c>
      <c r="I280" s="5"/>
      <c r="J280" s="5"/>
      <c r="K280" s="6"/>
      <c r="L280" s="6"/>
      <c r="M280" s="7" t="str">
        <f t="shared" si="18"/>
        <v/>
      </c>
      <c r="N280" s="6"/>
      <c r="O280" s="5"/>
    </row>
    <row r="281" spans="1:15" x14ac:dyDescent="0.2">
      <c r="A281" s="3" t="str">
        <f>IF($B281="","",COUNTA($B$9:$B281))</f>
        <v/>
      </c>
      <c r="B281" s="4"/>
      <c r="C281" s="4"/>
      <c r="D281" s="4"/>
      <c r="E281" s="5"/>
      <c r="F281" s="3" t="str">
        <f t="shared" si="16"/>
        <v/>
      </c>
      <c r="G281" s="4"/>
      <c r="H281" s="3" t="str">
        <f t="shared" si="17"/>
        <v/>
      </c>
      <c r="I281" s="5"/>
      <c r="J281" s="5"/>
      <c r="K281" s="6"/>
      <c r="L281" s="6"/>
      <c r="M281" s="7" t="str">
        <f t="shared" si="18"/>
        <v/>
      </c>
      <c r="N281" s="6"/>
      <c r="O281" s="5"/>
    </row>
    <row r="282" spans="1:15" x14ac:dyDescent="0.2">
      <c r="A282" s="3" t="str">
        <f>IF($B282="","",COUNTA($B$9:$B282))</f>
        <v/>
      </c>
      <c r="B282" s="4"/>
      <c r="C282" s="4"/>
      <c r="D282" s="4"/>
      <c r="E282" s="5"/>
      <c r="F282" s="3" t="str">
        <f t="shared" si="16"/>
        <v/>
      </c>
      <c r="G282" s="4"/>
      <c r="H282" s="3" t="str">
        <f t="shared" si="17"/>
        <v/>
      </c>
      <c r="I282" s="5"/>
      <c r="J282" s="5"/>
      <c r="K282" s="6"/>
      <c r="L282" s="6"/>
      <c r="M282" s="7" t="str">
        <f t="shared" si="18"/>
        <v/>
      </c>
      <c r="N282" s="6"/>
      <c r="O282" s="5"/>
    </row>
    <row r="283" spans="1:15" x14ac:dyDescent="0.2">
      <c r="A283" s="3" t="str">
        <f>IF($B283="","",COUNTA($B$9:$B283))</f>
        <v/>
      </c>
      <c r="B283" s="4"/>
      <c r="C283" s="4"/>
      <c r="D283" s="4"/>
      <c r="E283" s="5"/>
      <c r="F283" s="3" t="str">
        <f t="shared" si="16"/>
        <v/>
      </c>
      <c r="G283" s="4"/>
      <c r="H283" s="3" t="str">
        <f t="shared" si="17"/>
        <v/>
      </c>
      <c r="I283" s="5"/>
      <c r="J283" s="5"/>
      <c r="K283" s="6"/>
      <c r="L283" s="6"/>
      <c r="M283" s="7" t="str">
        <f t="shared" si="18"/>
        <v/>
      </c>
      <c r="N283" s="6"/>
      <c r="O283" s="5"/>
    </row>
    <row r="284" spans="1:15" x14ac:dyDescent="0.2">
      <c r="A284" s="3" t="str">
        <f>IF($B284="","",COUNTA($B$9:$B284))</f>
        <v/>
      </c>
      <c r="B284" s="4"/>
      <c r="C284" s="4"/>
      <c r="D284" s="4"/>
      <c r="E284" s="5"/>
      <c r="F284" s="3" t="str">
        <f t="shared" si="16"/>
        <v/>
      </c>
      <c r="G284" s="4"/>
      <c r="H284" s="3" t="str">
        <f t="shared" si="17"/>
        <v/>
      </c>
      <c r="I284" s="5"/>
      <c r="J284" s="5"/>
      <c r="K284" s="6"/>
      <c r="L284" s="6"/>
      <c r="M284" s="7" t="str">
        <f t="shared" si="18"/>
        <v/>
      </c>
      <c r="N284" s="6"/>
      <c r="O284" s="5"/>
    </row>
    <row r="285" spans="1:15" x14ac:dyDescent="0.2">
      <c r="A285" s="3" t="str">
        <f>IF($B285="","",COUNTA($B$9:$B285))</f>
        <v/>
      </c>
      <c r="B285" s="4"/>
      <c r="C285" s="4"/>
      <c r="D285" s="4"/>
      <c r="E285" s="5"/>
      <c r="F285" s="3" t="str">
        <f t="shared" si="16"/>
        <v/>
      </c>
      <c r="G285" s="4"/>
      <c r="H285" s="3" t="str">
        <f t="shared" si="17"/>
        <v/>
      </c>
      <c r="I285" s="5"/>
      <c r="J285" s="5"/>
      <c r="K285" s="6"/>
      <c r="L285" s="6"/>
      <c r="M285" s="7" t="str">
        <f t="shared" si="18"/>
        <v/>
      </c>
      <c r="N285" s="6"/>
      <c r="O285" s="5"/>
    </row>
    <row r="286" spans="1:15" x14ac:dyDescent="0.2">
      <c r="A286" s="3" t="str">
        <f>IF($B286="","",COUNTA($B$9:$B286))</f>
        <v/>
      </c>
      <c r="B286" s="4"/>
      <c r="C286" s="4"/>
      <c r="D286" s="4"/>
      <c r="E286" s="5"/>
      <c r="F286" s="3" t="str">
        <f t="shared" si="16"/>
        <v/>
      </c>
      <c r="G286" s="4"/>
      <c r="H286" s="3" t="str">
        <f t="shared" si="17"/>
        <v/>
      </c>
      <c r="I286" s="5"/>
      <c r="J286" s="5"/>
      <c r="K286" s="6"/>
      <c r="L286" s="6"/>
      <c r="M286" s="7" t="str">
        <f t="shared" si="18"/>
        <v/>
      </c>
      <c r="N286" s="6"/>
      <c r="O286" s="5"/>
    </row>
    <row r="287" spans="1:15" x14ac:dyDescent="0.2">
      <c r="A287" s="3" t="str">
        <f>IF($B287="","",COUNTA($B$9:$B287))</f>
        <v/>
      </c>
      <c r="B287" s="4"/>
      <c r="C287" s="4"/>
      <c r="D287" s="4"/>
      <c r="E287" s="5"/>
      <c r="F287" s="3" t="str">
        <f t="shared" si="16"/>
        <v/>
      </c>
      <c r="G287" s="4"/>
      <c r="H287" s="3" t="str">
        <f t="shared" si="17"/>
        <v/>
      </c>
      <c r="I287" s="5"/>
      <c r="J287" s="5"/>
      <c r="K287" s="6"/>
      <c r="L287" s="6"/>
      <c r="M287" s="7" t="str">
        <f t="shared" si="18"/>
        <v/>
      </c>
      <c r="N287" s="6"/>
      <c r="O287" s="5"/>
    </row>
    <row r="288" spans="1:15" x14ac:dyDescent="0.2">
      <c r="A288" s="3" t="str">
        <f>IF($B288="","",COUNTA($B$9:$B288))</f>
        <v/>
      </c>
      <c r="B288" s="4"/>
      <c r="C288" s="4"/>
      <c r="D288" s="4"/>
      <c r="E288" s="5"/>
      <c r="F288" s="3" t="str">
        <f t="shared" si="16"/>
        <v/>
      </c>
      <c r="G288" s="4"/>
      <c r="H288" s="3" t="str">
        <f t="shared" si="17"/>
        <v/>
      </c>
      <c r="I288" s="5"/>
      <c r="J288" s="5"/>
      <c r="K288" s="6"/>
      <c r="L288" s="6"/>
      <c r="M288" s="7" t="str">
        <f t="shared" si="18"/>
        <v/>
      </c>
      <c r="N288" s="6"/>
      <c r="O288" s="5"/>
    </row>
    <row r="289" spans="1:15" x14ac:dyDescent="0.2">
      <c r="A289" s="3" t="str">
        <f>IF($B289="","",COUNTA($B$9:$B289))</f>
        <v/>
      </c>
      <c r="B289" s="4"/>
      <c r="C289" s="4"/>
      <c r="D289" s="4"/>
      <c r="E289" s="5"/>
      <c r="F289" s="3" t="str">
        <f t="shared" si="16"/>
        <v/>
      </c>
      <c r="G289" s="4"/>
      <c r="H289" s="3" t="str">
        <f t="shared" si="17"/>
        <v/>
      </c>
      <c r="I289" s="5"/>
      <c r="J289" s="5"/>
      <c r="K289" s="6"/>
      <c r="L289" s="6"/>
      <c r="M289" s="7" t="str">
        <f t="shared" si="18"/>
        <v/>
      </c>
      <c r="N289" s="6"/>
      <c r="O289" s="5"/>
    </row>
    <row r="290" spans="1:15" x14ac:dyDescent="0.2">
      <c r="A290" s="3" t="str">
        <f>IF($B290="","",COUNTA($B$9:$B290))</f>
        <v/>
      </c>
      <c r="B290" s="4"/>
      <c r="C290" s="4"/>
      <c r="D290" s="4"/>
      <c r="E290" s="5"/>
      <c r="F290" s="3" t="str">
        <f t="shared" si="16"/>
        <v/>
      </c>
      <c r="G290" s="4"/>
      <c r="H290" s="3" t="str">
        <f t="shared" si="17"/>
        <v/>
      </c>
      <c r="I290" s="5"/>
      <c r="J290" s="5"/>
      <c r="K290" s="6"/>
      <c r="L290" s="6"/>
      <c r="M290" s="7" t="str">
        <f t="shared" si="18"/>
        <v/>
      </c>
      <c r="N290" s="6"/>
      <c r="O290" s="5"/>
    </row>
    <row r="291" spans="1:15" x14ac:dyDescent="0.2">
      <c r="A291" s="3" t="str">
        <f>IF($B291="","",COUNTA($B$9:$B291))</f>
        <v/>
      </c>
      <c r="B291" s="4"/>
      <c r="C291" s="4"/>
      <c r="D291" s="4"/>
      <c r="E291" s="5"/>
      <c r="F291" s="3" t="str">
        <f t="shared" si="16"/>
        <v/>
      </c>
      <c r="G291" s="4"/>
      <c r="H291" s="3" t="str">
        <f t="shared" si="17"/>
        <v/>
      </c>
      <c r="I291" s="5"/>
      <c r="J291" s="5"/>
      <c r="K291" s="6"/>
      <c r="L291" s="6"/>
      <c r="M291" s="7" t="str">
        <f t="shared" si="18"/>
        <v/>
      </c>
      <c r="N291" s="6"/>
      <c r="O291" s="5"/>
    </row>
    <row r="292" spans="1:15" x14ac:dyDescent="0.2">
      <c r="A292" s="3" t="str">
        <f>IF($B292="","",COUNTA($B$9:$B292))</f>
        <v/>
      </c>
      <c r="B292" s="4"/>
      <c r="C292" s="4"/>
      <c r="D292" s="4"/>
      <c r="E292" s="5"/>
      <c r="F292" s="3" t="str">
        <f t="shared" si="16"/>
        <v/>
      </c>
      <c r="G292" s="4"/>
      <c r="H292" s="3" t="str">
        <f t="shared" si="17"/>
        <v/>
      </c>
      <c r="I292" s="5"/>
      <c r="J292" s="5"/>
      <c r="K292" s="6"/>
      <c r="L292" s="6"/>
      <c r="M292" s="7" t="str">
        <f t="shared" si="18"/>
        <v/>
      </c>
      <c r="N292" s="6"/>
      <c r="O292" s="5"/>
    </row>
    <row r="293" spans="1:15" x14ac:dyDescent="0.2">
      <c r="A293" s="3" t="str">
        <f>IF($B293="","",COUNTA($B$9:$B293))</f>
        <v/>
      </c>
      <c r="B293" s="4"/>
      <c r="C293" s="4"/>
      <c r="D293" s="4"/>
      <c r="E293" s="5"/>
      <c r="F293" s="3" t="str">
        <f t="shared" si="16"/>
        <v/>
      </c>
      <c r="G293" s="4"/>
      <c r="H293" s="3" t="str">
        <f t="shared" si="17"/>
        <v/>
      </c>
      <c r="I293" s="5"/>
      <c r="J293" s="5"/>
      <c r="K293" s="6"/>
      <c r="L293" s="6"/>
      <c r="M293" s="7" t="str">
        <f t="shared" si="18"/>
        <v/>
      </c>
      <c r="N293" s="6"/>
      <c r="O293" s="5"/>
    </row>
    <row r="294" spans="1:15" x14ac:dyDescent="0.2">
      <c r="A294" s="3" t="str">
        <f>IF($B294="","",COUNTA($B$9:$B294))</f>
        <v/>
      </c>
      <c r="B294" s="4"/>
      <c r="C294" s="4"/>
      <c r="D294" s="4"/>
      <c r="E294" s="5"/>
      <c r="F294" s="3" t="str">
        <f t="shared" si="16"/>
        <v/>
      </c>
      <c r="G294" s="4"/>
      <c r="H294" s="3" t="str">
        <f t="shared" si="17"/>
        <v/>
      </c>
      <c r="I294" s="5"/>
      <c r="J294" s="5"/>
      <c r="K294" s="6"/>
      <c r="L294" s="6"/>
      <c r="M294" s="7" t="str">
        <f t="shared" si="18"/>
        <v/>
      </c>
      <c r="N294" s="6"/>
      <c r="O294" s="5"/>
    </row>
    <row r="295" spans="1:15" x14ac:dyDescent="0.2">
      <c r="A295" s="3" t="str">
        <f>IF($B295="","",COUNTA($B$9:$B295))</f>
        <v/>
      </c>
      <c r="B295" s="4"/>
      <c r="C295" s="4"/>
      <c r="D295" s="4"/>
      <c r="E295" s="5"/>
      <c r="F295" s="3" t="str">
        <f t="shared" si="16"/>
        <v/>
      </c>
      <c r="G295" s="4"/>
      <c r="H295" s="3" t="str">
        <f t="shared" si="17"/>
        <v/>
      </c>
      <c r="I295" s="5"/>
      <c r="J295" s="5"/>
      <c r="K295" s="6"/>
      <c r="L295" s="6"/>
      <c r="M295" s="7" t="str">
        <f t="shared" si="18"/>
        <v/>
      </c>
      <c r="N295" s="6"/>
      <c r="O295" s="5"/>
    </row>
    <row r="296" spans="1:15" x14ac:dyDescent="0.2">
      <c r="A296" s="3" t="str">
        <f>IF($B296="","",COUNTA($B$9:$B296))</f>
        <v/>
      </c>
      <c r="B296" s="4"/>
      <c r="C296" s="4"/>
      <c r="D296" s="4"/>
      <c r="E296" s="5"/>
      <c r="F296" s="3" t="str">
        <f t="shared" si="16"/>
        <v/>
      </c>
      <c r="G296" s="4"/>
      <c r="H296" s="3" t="str">
        <f t="shared" si="17"/>
        <v/>
      </c>
      <c r="I296" s="5"/>
      <c r="J296" s="5"/>
      <c r="K296" s="6"/>
      <c r="L296" s="6"/>
      <c r="M296" s="7" t="str">
        <f t="shared" si="18"/>
        <v/>
      </c>
      <c r="N296" s="6"/>
      <c r="O296" s="5"/>
    </row>
    <row r="297" spans="1:15" x14ac:dyDescent="0.2">
      <c r="A297" s="3" t="str">
        <f>IF($B297="","",COUNTA($B$9:$B297))</f>
        <v/>
      </c>
      <c r="B297" s="4"/>
      <c r="C297" s="4"/>
      <c r="D297" s="4"/>
      <c r="E297" s="5"/>
      <c r="F297" s="3" t="str">
        <f t="shared" si="16"/>
        <v/>
      </c>
      <c r="G297" s="4"/>
      <c r="H297" s="3" t="str">
        <f t="shared" si="17"/>
        <v/>
      </c>
      <c r="I297" s="5"/>
      <c r="J297" s="5"/>
      <c r="K297" s="6"/>
      <c r="L297" s="6"/>
      <c r="M297" s="7" t="str">
        <f t="shared" si="18"/>
        <v/>
      </c>
      <c r="N297" s="6"/>
      <c r="O297" s="5"/>
    </row>
    <row r="298" spans="1:15" x14ac:dyDescent="0.2">
      <c r="A298" s="3" t="str">
        <f>IF($B298="","",COUNTA($B$9:$B298))</f>
        <v/>
      </c>
      <c r="B298" s="4"/>
      <c r="C298" s="4"/>
      <c r="D298" s="4"/>
      <c r="E298" s="5"/>
      <c r="F298" s="3" t="str">
        <f t="shared" si="16"/>
        <v/>
      </c>
      <c r="G298" s="4"/>
      <c r="H298" s="3" t="str">
        <f t="shared" si="17"/>
        <v/>
      </c>
      <c r="I298" s="5"/>
      <c r="J298" s="5"/>
      <c r="K298" s="6"/>
      <c r="L298" s="6"/>
      <c r="M298" s="7" t="str">
        <f t="shared" si="18"/>
        <v/>
      </c>
      <c r="N298" s="6"/>
      <c r="O298" s="5"/>
    </row>
    <row r="299" spans="1:15" x14ac:dyDescent="0.2">
      <c r="A299" s="3" t="str">
        <f>IF($B299="","",COUNTA($B$9:$B299))</f>
        <v/>
      </c>
      <c r="B299" s="4"/>
      <c r="C299" s="4"/>
      <c r="D299" s="4"/>
      <c r="E299" s="5"/>
      <c r="F299" s="3" t="str">
        <f t="shared" si="16"/>
        <v/>
      </c>
      <c r="G299" s="4"/>
      <c r="H299" s="3" t="str">
        <f t="shared" si="17"/>
        <v/>
      </c>
      <c r="I299" s="5"/>
      <c r="J299" s="5"/>
      <c r="K299" s="6"/>
      <c r="L299" s="6"/>
      <c r="M299" s="7" t="str">
        <f t="shared" si="18"/>
        <v/>
      </c>
      <c r="N299" s="6"/>
      <c r="O299" s="5"/>
    </row>
    <row r="300" spans="1:15" x14ac:dyDescent="0.2">
      <c r="A300" s="3" t="str">
        <f>IF($B300="","",COUNTA($B$9:$B300))</f>
        <v/>
      </c>
      <c r="B300" s="4"/>
      <c r="C300" s="4"/>
      <c r="D300" s="4"/>
      <c r="E300" s="5"/>
      <c r="F300" s="3" t="str">
        <f t="shared" si="16"/>
        <v/>
      </c>
      <c r="G300" s="4"/>
      <c r="H300" s="3" t="str">
        <f t="shared" si="17"/>
        <v/>
      </c>
      <c r="I300" s="5"/>
      <c r="J300" s="5"/>
      <c r="K300" s="6"/>
      <c r="L300" s="6"/>
      <c r="M300" s="7" t="str">
        <f t="shared" si="18"/>
        <v/>
      </c>
      <c r="N300" s="6"/>
      <c r="O300" s="5"/>
    </row>
    <row r="301" spans="1:15" x14ac:dyDescent="0.2">
      <c r="A301" s="3" t="str">
        <f>IF($B301="","",COUNTA($B$9:$B301))</f>
        <v/>
      </c>
      <c r="B301" s="4"/>
      <c r="C301" s="4"/>
      <c r="D301" s="4"/>
      <c r="E301" s="5"/>
      <c r="F301" s="3" t="str">
        <f t="shared" si="16"/>
        <v/>
      </c>
      <c r="G301" s="4"/>
      <c r="H301" s="3" t="str">
        <f t="shared" si="17"/>
        <v/>
      </c>
      <c r="I301" s="5"/>
      <c r="J301" s="5"/>
      <c r="K301" s="6"/>
      <c r="L301" s="6"/>
      <c r="M301" s="7" t="str">
        <f t="shared" si="18"/>
        <v/>
      </c>
      <c r="N301" s="6"/>
      <c r="O301" s="5"/>
    </row>
    <row r="302" spans="1:15" x14ac:dyDescent="0.2">
      <c r="A302" s="3" t="str">
        <f>IF($B302="","",COUNTA($B$9:$B302))</f>
        <v/>
      </c>
      <c r="B302" s="4"/>
      <c r="C302" s="4"/>
      <c r="D302" s="4"/>
      <c r="E302" s="5"/>
      <c r="F302" s="3" t="str">
        <f t="shared" si="16"/>
        <v/>
      </c>
      <c r="G302" s="4"/>
      <c r="H302" s="3" t="str">
        <f t="shared" si="17"/>
        <v/>
      </c>
      <c r="I302" s="5"/>
      <c r="J302" s="5"/>
      <c r="K302" s="6"/>
      <c r="L302" s="6"/>
      <c r="M302" s="7" t="str">
        <f t="shared" si="18"/>
        <v/>
      </c>
      <c r="N302" s="6"/>
      <c r="O302" s="5"/>
    </row>
    <row r="303" spans="1:15" x14ac:dyDescent="0.2">
      <c r="A303" s="3" t="str">
        <f>IF($B303="","",COUNTA($B$9:$B303))</f>
        <v/>
      </c>
      <c r="B303" s="4"/>
      <c r="C303" s="4"/>
      <c r="D303" s="4"/>
      <c r="E303" s="5"/>
      <c r="F303" s="3" t="str">
        <f t="shared" si="16"/>
        <v/>
      </c>
      <c r="G303" s="4"/>
      <c r="H303" s="3" t="str">
        <f t="shared" si="17"/>
        <v/>
      </c>
      <c r="I303" s="5"/>
      <c r="J303" s="5"/>
      <c r="K303" s="6"/>
      <c r="L303" s="6"/>
      <c r="M303" s="7" t="str">
        <f t="shared" si="18"/>
        <v/>
      </c>
      <c r="N303" s="6"/>
      <c r="O303" s="5"/>
    </row>
    <row r="304" spans="1:15" x14ac:dyDescent="0.2">
      <c r="A304" s="3" t="str">
        <f>IF($B304="","",COUNTA($B$9:$B304))</f>
        <v/>
      </c>
      <c r="B304" s="4"/>
      <c r="C304" s="4"/>
      <c r="D304" s="4"/>
      <c r="E304" s="5"/>
      <c r="F304" s="3" t="str">
        <f t="shared" si="16"/>
        <v/>
      </c>
      <c r="G304" s="4"/>
      <c r="H304" s="3" t="str">
        <f t="shared" si="17"/>
        <v/>
      </c>
      <c r="I304" s="5"/>
      <c r="J304" s="5"/>
      <c r="K304" s="6"/>
      <c r="L304" s="6"/>
      <c r="M304" s="7" t="str">
        <f t="shared" si="18"/>
        <v/>
      </c>
      <c r="N304" s="6"/>
      <c r="O304" s="5"/>
    </row>
    <row r="305" spans="1:15" x14ac:dyDescent="0.2">
      <c r="A305" s="3" t="str">
        <f>IF($B305="","",COUNTA($B$9:$B305))</f>
        <v/>
      </c>
      <c r="B305" s="4"/>
      <c r="C305" s="4"/>
      <c r="D305" s="4"/>
      <c r="E305" s="5"/>
      <c r="F305" s="3" t="str">
        <f t="shared" si="16"/>
        <v/>
      </c>
      <c r="G305" s="4"/>
      <c r="H305" s="3" t="str">
        <f t="shared" si="17"/>
        <v/>
      </c>
      <c r="I305" s="5"/>
      <c r="J305" s="5"/>
      <c r="K305" s="6"/>
      <c r="L305" s="6"/>
      <c r="M305" s="7" t="str">
        <f t="shared" si="18"/>
        <v/>
      </c>
      <c r="N305" s="6"/>
      <c r="O305" s="5"/>
    </row>
    <row r="306" spans="1:15" x14ac:dyDescent="0.2">
      <c r="A306" s="3" t="str">
        <f>IF($B306="","",COUNTA($B$9:$B306))</f>
        <v/>
      </c>
      <c r="B306" s="4"/>
      <c r="C306" s="4"/>
      <c r="D306" s="4"/>
      <c r="E306" s="5"/>
      <c r="F306" s="3" t="str">
        <f t="shared" si="16"/>
        <v/>
      </c>
      <c r="G306" s="4"/>
      <c r="H306" s="3" t="str">
        <f t="shared" si="17"/>
        <v/>
      </c>
      <c r="I306" s="5"/>
      <c r="J306" s="5"/>
      <c r="K306" s="6"/>
      <c r="L306" s="6"/>
      <c r="M306" s="7" t="str">
        <f t="shared" si="18"/>
        <v/>
      </c>
      <c r="N306" s="6"/>
      <c r="O306" s="5"/>
    </row>
    <row r="307" spans="1:15" x14ac:dyDescent="0.2">
      <c r="A307" s="3" t="str">
        <f>IF($B307="","",COUNTA($B$9:$B307))</f>
        <v/>
      </c>
      <c r="B307" s="4"/>
      <c r="C307" s="4"/>
      <c r="D307" s="4"/>
      <c r="E307" s="5"/>
      <c r="F307" s="3" t="str">
        <f t="shared" si="16"/>
        <v/>
      </c>
      <c r="G307" s="4"/>
      <c r="H307" s="3" t="str">
        <f t="shared" si="17"/>
        <v/>
      </c>
      <c r="I307" s="5"/>
      <c r="J307" s="5"/>
      <c r="K307" s="6"/>
      <c r="L307" s="6"/>
      <c r="M307" s="7" t="str">
        <f t="shared" si="18"/>
        <v/>
      </c>
      <c r="N307" s="6"/>
      <c r="O307" s="5"/>
    </row>
    <row r="308" spans="1:15" x14ac:dyDescent="0.2">
      <c r="A308" s="3" t="str">
        <f>IF($B308="","",COUNTA($B$9:$B308))</f>
        <v/>
      </c>
      <c r="B308" s="4"/>
      <c r="C308" s="4"/>
      <c r="D308" s="4"/>
      <c r="E308" s="5"/>
      <c r="F308" s="3" t="str">
        <f t="shared" si="16"/>
        <v/>
      </c>
      <c r="G308" s="4"/>
      <c r="H308" s="3" t="str">
        <f t="shared" si="17"/>
        <v/>
      </c>
      <c r="I308" s="5"/>
      <c r="J308" s="5"/>
      <c r="K308" s="6"/>
      <c r="L308" s="6"/>
      <c r="M308" s="7" t="str">
        <f t="shared" si="18"/>
        <v/>
      </c>
      <c r="N308" s="6"/>
      <c r="O308" s="5"/>
    </row>
    <row r="309" spans="1:15" x14ac:dyDescent="0.2">
      <c r="A309" s="3" t="str">
        <f>IF($B309="","",COUNTA($B$9:$B309))</f>
        <v/>
      </c>
      <c r="B309" s="4"/>
      <c r="C309" s="4"/>
      <c r="D309" s="4"/>
      <c r="E309" s="5"/>
      <c r="F309" s="3" t="str">
        <f t="shared" si="16"/>
        <v/>
      </c>
      <c r="G309" s="4"/>
      <c r="H309" s="3" t="str">
        <f t="shared" si="17"/>
        <v/>
      </c>
      <c r="I309" s="5"/>
      <c r="J309" s="5"/>
      <c r="K309" s="6"/>
      <c r="L309" s="6"/>
      <c r="M309" s="7" t="str">
        <f t="shared" si="18"/>
        <v/>
      </c>
      <c r="N309" s="6"/>
      <c r="O309" s="5"/>
    </row>
    <row r="310" spans="1:15" x14ac:dyDescent="0.2">
      <c r="A310" s="3" t="str">
        <f>IF($B310="","",COUNTA($B$9:$B310))</f>
        <v/>
      </c>
      <c r="B310" s="4"/>
      <c r="C310" s="4"/>
      <c r="D310" s="4"/>
      <c r="E310" s="5"/>
      <c r="F310" s="3" t="str">
        <f t="shared" si="16"/>
        <v/>
      </c>
      <c r="G310" s="4"/>
      <c r="H310" s="3" t="str">
        <f t="shared" si="17"/>
        <v/>
      </c>
      <c r="I310" s="5"/>
      <c r="J310" s="5"/>
      <c r="K310" s="6"/>
      <c r="L310" s="6"/>
      <c r="M310" s="7" t="str">
        <f t="shared" si="18"/>
        <v/>
      </c>
      <c r="N310" s="6"/>
      <c r="O310" s="5"/>
    </row>
    <row r="311" spans="1:15" x14ac:dyDescent="0.2">
      <c r="A311" s="3" t="str">
        <f>IF($B311="","",COUNTA($B$9:$B311))</f>
        <v/>
      </c>
      <c r="B311" s="4"/>
      <c r="C311" s="4"/>
      <c r="D311" s="4"/>
      <c r="E311" s="5"/>
      <c r="F311" s="3" t="str">
        <f t="shared" si="16"/>
        <v/>
      </c>
      <c r="G311" s="4"/>
      <c r="H311" s="3" t="str">
        <f t="shared" si="17"/>
        <v/>
      </c>
      <c r="I311" s="5"/>
      <c r="J311" s="5"/>
      <c r="K311" s="6"/>
      <c r="L311" s="6"/>
      <c r="M311" s="7" t="str">
        <f t="shared" si="18"/>
        <v/>
      </c>
      <c r="N311" s="6"/>
      <c r="O311" s="5"/>
    </row>
    <row r="312" spans="1:15" x14ac:dyDescent="0.2">
      <c r="A312" s="3" t="str">
        <f>IF($B312="","",COUNTA($B$9:$B312))</f>
        <v/>
      </c>
      <c r="B312" s="4"/>
      <c r="C312" s="4"/>
      <c r="D312" s="4"/>
      <c r="E312" s="5"/>
      <c r="F312" s="3" t="str">
        <f t="shared" si="16"/>
        <v/>
      </c>
      <c r="G312" s="4"/>
      <c r="H312" s="3" t="str">
        <f t="shared" si="17"/>
        <v/>
      </c>
      <c r="I312" s="5"/>
      <c r="J312" s="5"/>
      <c r="K312" s="6"/>
      <c r="L312" s="6"/>
      <c r="M312" s="7" t="str">
        <f t="shared" si="18"/>
        <v/>
      </c>
      <c r="N312" s="6"/>
      <c r="O312" s="5"/>
    </row>
    <row r="313" spans="1:15" x14ac:dyDescent="0.2">
      <c r="A313" s="3" t="str">
        <f>IF($B313="","",COUNTA($B$9:$B313))</f>
        <v/>
      </c>
      <c r="B313" s="4"/>
      <c r="C313" s="4"/>
      <c r="D313" s="4"/>
      <c r="E313" s="5"/>
      <c r="F313" s="3" t="str">
        <f t="shared" si="16"/>
        <v/>
      </c>
      <c r="G313" s="4"/>
      <c r="H313" s="3" t="str">
        <f t="shared" si="17"/>
        <v/>
      </c>
      <c r="I313" s="5"/>
      <c r="J313" s="5"/>
      <c r="K313" s="6"/>
      <c r="L313" s="6"/>
      <c r="M313" s="7" t="str">
        <f t="shared" si="18"/>
        <v/>
      </c>
      <c r="N313" s="6"/>
      <c r="O313" s="5"/>
    </row>
    <row r="314" spans="1:15" x14ac:dyDescent="0.2">
      <c r="A314" s="3" t="str">
        <f>IF($B314="","",COUNTA($B$9:$B314))</f>
        <v/>
      </c>
      <c r="B314" s="4"/>
      <c r="C314" s="4"/>
      <c r="D314" s="4"/>
      <c r="E314" s="5"/>
      <c r="F314" s="3" t="str">
        <f t="shared" si="16"/>
        <v/>
      </c>
      <c r="G314" s="4"/>
      <c r="H314" s="3" t="str">
        <f t="shared" si="17"/>
        <v/>
      </c>
      <c r="I314" s="5"/>
      <c r="J314" s="5"/>
      <c r="K314" s="6"/>
      <c r="L314" s="6"/>
      <c r="M314" s="7" t="str">
        <f t="shared" si="18"/>
        <v/>
      </c>
      <c r="N314" s="6"/>
      <c r="O314" s="5"/>
    </row>
    <row r="315" spans="1:15" x14ac:dyDescent="0.2">
      <c r="A315" s="3" t="str">
        <f>IF($B315="","",COUNTA($B$9:$B315))</f>
        <v/>
      </c>
      <c r="B315" s="4"/>
      <c r="C315" s="4"/>
      <c r="D315" s="4"/>
      <c r="E315" s="5"/>
      <c r="F315" s="3" t="str">
        <f t="shared" si="16"/>
        <v/>
      </c>
      <c r="G315" s="4"/>
      <c r="H315" s="3" t="str">
        <f t="shared" si="17"/>
        <v/>
      </c>
      <c r="I315" s="5"/>
      <c r="J315" s="5"/>
      <c r="K315" s="6"/>
      <c r="L315" s="6"/>
      <c r="M315" s="7" t="str">
        <f t="shared" si="18"/>
        <v/>
      </c>
      <c r="N315" s="6"/>
      <c r="O315" s="5"/>
    </row>
    <row r="316" spans="1:15" x14ac:dyDescent="0.2">
      <c r="A316" s="3" t="str">
        <f>IF($B316="","",COUNTA($B$9:$B316))</f>
        <v/>
      </c>
      <c r="B316" s="4"/>
      <c r="C316" s="4"/>
      <c r="D316" s="4"/>
      <c r="E316" s="5"/>
      <c r="F316" s="3" t="str">
        <f t="shared" si="16"/>
        <v/>
      </c>
      <c r="G316" s="4"/>
      <c r="H316" s="3" t="str">
        <f t="shared" si="17"/>
        <v/>
      </c>
      <c r="I316" s="5"/>
      <c r="J316" s="5"/>
      <c r="K316" s="6"/>
      <c r="L316" s="6"/>
      <c r="M316" s="7" t="str">
        <f t="shared" si="18"/>
        <v/>
      </c>
      <c r="N316" s="6"/>
      <c r="O316" s="5"/>
    </row>
    <row r="317" spans="1:15" x14ac:dyDescent="0.2">
      <c r="A317" s="3" t="str">
        <f>IF($B317="","",COUNTA($B$9:$B317))</f>
        <v/>
      </c>
      <c r="B317" s="4"/>
      <c r="C317" s="4"/>
      <c r="D317" s="4"/>
      <c r="E317" s="5"/>
      <c r="F317" s="3" t="str">
        <f t="shared" si="16"/>
        <v/>
      </c>
      <c r="G317" s="4"/>
      <c r="H317" s="3" t="str">
        <f t="shared" si="17"/>
        <v/>
      </c>
      <c r="I317" s="5"/>
      <c r="J317" s="5"/>
      <c r="K317" s="6"/>
      <c r="L317" s="6"/>
      <c r="M317" s="7" t="str">
        <f t="shared" si="18"/>
        <v/>
      </c>
      <c r="N317" s="6"/>
      <c r="O317" s="5"/>
    </row>
    <row r="318" spans="1:15" x14ac:dyDescent="0.2">
      <c r="A318" s="3" t="str">
        <f>IF($B318="","",COUNTA($B$9:$B318))</f>
        <v/>
      </c>
      <c r="B318" s="4"/>
      <c r="C318" s="4"/>
      <c r="D318" s="4"/>
      <c r="E318" s="5"/>
      <c r="F318" s="3" t="str">
        <f t="shared" si="16"/>
        <v/>
      </c>
      <c r="G318" s="4"/>
      <c r="H318" s="3" t="str">
        <f t="shared" si="17"/>
        <v/>
      </c>
      <c r="I318" s="5"/>
      <c r="J318" s="5"/>
      <c r="K318" s="6"/>
      <c r="L318" s="6"/>
      <c r="M318" s="7" t="str">
        <f t="shared" si="18"/>
        <v/>
      </c>
      <c r="N318" s="6"/>
      <c r="O318" s="5"/>
    </row>
    <row r="319" spans="1:15" x14ac:dyDescent="0.2">
      <c r="A319" s="3" t="str">
        <f>IF($B319="","",COUNTA($B$9:$B319))</f>
        <v/>
      </c>
      <c r="B319" s="4"/>
      <c r="C319" s="4"/>
      <c r="D319" s="4"/>
      <c r="E319" s="5"/>
      <c r="F319" s="3" t="str">
        <f t="shared" si="16"/>
        <v/>
      </c>
      <c r="G319" s="4"/>
      <c r="H319" s="3" t="str">
        <f t="shared" si="17"/>
        <v/>
      </c>
      <c r="I319" s="5"/>
      <c r="J319" s="5"/>
      <c r="K319" s="6"/>
      <c r="L319" s="6"/>
      <c r="M319" s="7" t="str">
        <f t="shared" si="18"/>
        <v/>
      </c>
      <c r="N319" s="6"/>
      <c r="O319" s="5"/>
    </row>
    <row r="320" spans="1:15" x14ac:dyDescent="0.2">
      <c r="A320" s="3" t="str">
        <f>IF($B320="","",COUNTA($B$9:$B320))</f>
        <v/>
      </c>
      <c r="B320" s="4"/>
      <c r="C320" s="4"/>
      <c r="D320" s="4"/>
      <c r="E320" s="5"/>
      <c r="F320" s="3" t="str">
        <f t="shared" si="16"/>
        <v/>
      </c>
      <c r="G320" s="4"/>
      <c r="H320" s="3" t="str">
        <f t="shared" si="17"/>
        <v/>
      </c>
      <c r="I320" s="5"/>
      <c r="J320" s="5"/>
      <c r="K320" s="6"/>
      <c r="L320" s="6"/>
      <c r="M320" s="7" t="str">
        <f t="shared" si="18"/>
        <v/>
      </c>
      <c r="N320" s="6"/>
      <c r="O320" s="5"/>
    </row>
    <row r="321" spans="1:15" x14ac:dyDescent="0.2">
      <c r="A321" s="3" t="str">
        <f>IF($B321="","",COUNTA($B$9:$B321))</f>
        <v/>
      </c>
      <c r="B321" s="4"/>
      <c r="C321" s="4"/>
      <c r="D321" s="4"/>
      <c r="E321" s="5"/>
      <c r="F321" s="3" t="str">
        <f t="shared" si="16"/>
        <v/>
      </c>
      <c r="G321" s="4"/>
      <c r="H321" s="3" t="str">
        <f t="shared" si="17"/>
        <v/>
      </c>
      <c r="I321" s="5"/>
      <c r="J321" s="5"/>
      <c r="K321" s="6"/>
      <c r="L321" s="6"/>
      <c r="M321" s="7" t="str">
        <f t="shared" si="18"/>
        <v/>
      </c>
      <c r="N321" s="6"/>
      <c r="O321" s="5"/>
    </row>
    <row r="322" spans="1:15" x14ac:dyDescent="0.2">
      <c r="A322" s="3" t="str">
        <f>IF($B322="","",COUNTA($B$9:$B322))</f>
        <v/>
      </c>
      <c r="B322" s="4"/>
      <c r="C322" s="4"/>
      <c r="D322" s="4"/>
      <c r="E322" s="5"/>
      <c r="F322" s="3" t="str">
        <f t="shared" si="16"/>
        <v/>
      </c>
      <c r="G322" s="4"/>
      <c r="H322" s="3" t="str">
        <f t="shared" si="17"/>
        <v/>
      </c>
      <c r="I322" s="5"/>
      <c r="J322" s="5"/>
      <c r="K322" s="6"/>
      <c r="L322" s="6"/>
      <c r="M322" s="7" t="str">
        <f t="shared" si="18"/>
        <v/>
      </c>
      <c r="N322" s="6"/>
      <c r="O322" s="5"/>
    </row>
    <row r="323" spans="1:15" x14ac:dyDescent="0.2">
      <c r="A323" s="3" t="str">
        <f>IF($B323="","",COUNTA($B$9:$B323))</f>
        <v/>
      </c>
      <c r="B323" s="4"/>
      <c r="C323" s="4"/>
      <c r="D323" s="4"/>
      <c r="E323" s="5"/>
      <c r="F323" s="3" t="str">
        <f t="shared" si="16"/>
        <v/>
      </c>
      <c r="G323" s="4"/>
      <c r="H323" s="3" t="str">
        <f t="shared" si="17"/>
        <v/>
      </c>
      <c r="I323" s="5"/>
      <c r="J323" s="5"/>
      <c r="K323" s="6"/>
      <c r="L323" s="6"/>
      <c r="M323" s="7" t="str">
        <f t="shared" si="18"/>
        <v/>
      </c>
      <c r="N323" s="6"/>
      <c r="O323" s="5"/>
    </row>
    <row r="324" spans="1:15" x14ac:dyDescent="0.2">
      <c r="A324" s="3" t="str">
        <f>IF($B324="","",COUNTA($B$9:$B324))</f>
        <v/>
      </c>
      <c r="B324" s="4"/>
      <c r="C324" s="4"/>
      <c r="D324" s="4"/>
      <c r="E324" s="5"/>
      <c r="F324" s="3" t="str">
        <f t="shared" si="16"/>
        <v/>
      </c>
      <c r="G324" s="4"/>
      <c r="H324" s="3" t="str">
        <f t="shared" si="17"/>
        <v/>
      </c>
      <c r="I324" s="5"/>
      <c r="J324" s="5"/>
      <c r="K324" s="6"/>
      <c r="L324" s="6"/>
      <c r="M324" s="7" t="str">
        <f t="shared" si="18"/>
        <v/>
      </c>
      <c r="N324" s="6"/>
      <c r="O324" s="5"/>
    </row>
    <row r="325" spans="1:15" x14ac:dyDescent="0.2">
      <c r="A325" s="3" t="str">
        <f>IF($B325="","",COUNTA($B$9:$B325))</f>
        <v/>
      </c>
      <c r="B325" s="4"/>
      <c r="C325" s="4"/>
      <c r="D325" s="4"/>
      <c r="E325" s="5"/>
      <c r="F325" s="3" t="str">
        <f t="shared" si="16"/>
        <v/>
      </c>
      <c r="G325" s="4"/>
      <c r="H325" s="3" t="str">
        <f t="shared" si="17"/>
        <v/>
      </c>
      <c r="I325" s="5"/>
      <c r="J325" s="5"/>
      <c r="K325" s="6"/>
      <c r="L325" s="6"/>
      <c r="M325" s="7" t="str">
        <f t="shared" si="18"/>
        <v/>
      </c>
      <c r="N325" s="6"/>
      <c r="O325" s="5"/>
    </row>
    <row r="326" spans="1:15" x14ac:dyDescent="0.2">
      <c r="A326" s="3" t="str">
        <f>IF($B326="","",COUNTA($B$9:$B326))</f>
        <v/>
      </c>
      <c r="B326" s="4"/>
      <c r="C326" s="4"/>
      <c r="D326" s="4"/>
      <c r="E326" s="5"/>
      <c r="F326" s="3" t="str">
        <f t="shared" si="16"/>
        <v/>
      </c>
      <c r="G326" s="4"/>
      <c r="H326" s="3" t="str">
        <f t="shared" si="17"/>
        <v/>
      </c>
      <c r="I326" s="5"/>
      <c r="J326" s="5"/>
      <c r="K326" s="6"/>
      <c r="L326" s="6"/>
      <c r="M326" s="7" t="str">
        <f t="shared" si="18"/>
        <v/>
      </c>
      <c r="N326" s="6"/>
      <c r="O326" s="5"/>
    </row>
    <row r="327" spans="1:15" x14ac:dyDescent="0.2">
      <c r="A327" s="3" t="str">
        <f>IF($B327="","",COUNTA($B$9:$B327))</f>
        <v/>
      </c>
      <c r="B327" s="4"/>
      <c r="C327" s="4"/>
      <c r="D327" s="4"/>
      <c r="E327" s="5"/>
      <c r="F327" s="3" t="str">
        <f t="shared" si="16"/>
        <v/>
      </c>
      <c r="G327" s="4"/>
      <c r="H327" s="3" t="str">
        <f t="shared" si="17"/>
        <v/>
      </c>
      <c r="I327" s="5"/>
      <c r="J327" s="5"/>
      <c r="K327" s="6"/>
      <c r="L327" s="6"/>
      <c r="M327" s="7" t="str">
        <f t="shared" si="18"/>
        <v/>
      </c>
      <c r="N327" s="6"/>
      <c r="O327" s="5"/>
    </row>
    <row r="328" spans="1:15" x14ac:dyDescent="0.2">
      <c r="A328" s="3" t="str">
        <f>IF($B328="","",COUNTA($B$9:$B328))</f>
        <v/>
      </c>
      <c r="B328" s="4"/>
      <c r="C328" s="4"/>
      <c r="D328" s="4"/>
      <c r="E328" s="5"/>
      <c r="F328" s="3" t="str">
        <f t="shared" ref="F328:F391" si="19">IF($E328="","",IFERROR(VLOOKUP($E328,OpTbl,2,0),""))</f>
        <v/>
      </c>
      <c r="G328" s="4"/>
      <c r="H328" s="3" t="str">
        <f t="shared" ref="H328:H391" si="20">IF($G328="","",IFERROR(IF(VLOOKUP($G328,AcctTbl,4,0)="","(بدون نام)",VLOOKUP($G328,AcctTbl,4,0)),"کد ناشناخته"))</f>
        <v/>
      </c>
      <c r="I328" s="5"/>
      <c r="J328" s="5"/>
      <c r="K328" s="6"/>
      <c r="L328" s="6"/>
      <c r="M328" s="7" t="str">
        <f t="shared" ref="M328:M391" si="21">IF(OR($B328="",$K328=""),"",($K328-IF($L328="",0,$L328)*IFERROR(VLOOKUP("P01",ParamTbl,3,0),1.5))*(1-IF(IFERROR(VLOOKUP($E328,OpTbl,3,0),"")="خرید",IFERROR(VLOOKUP("P02",ParamTbl,3,0),1),0)/100))</f>
        <v/>
      </c>
      <c r="N328" s="6"/>
      <c r="O328" s="5"/>
    </row>
    <row r="329" spans="1:15" x14ac:dyDescent="0.2">
      <c r="A329" s="3" t="str">
        <f>IF($B329="","",COUNTA($B$9:$B329))</f>
        <v/>
      </c>
      <c r="B329" s="4"/>
      <c r="C329" s="4"/>
      <c r="D329" s="4"/>
      <c r="E329" s="5"/>
      <c r="F329" s="3" t="str">
        <f t="shared" si="19"/>
        <v/>
      </c>
      <c r="G329" s="4"/>
      <c r="H329" s="3" t="str">
        <f t="shared" si="20"/>
        <v/>
      </c>
      <c r="I329" s="5"/>
      <c r="J329" s="5"/>
      <c r="K329" s="6"/>
      <c r="L329" s="6"/>
      <c r="M329" s="7" t="str">
        <f t="shared" si="21"/>
        <v/>
      </c>
      <c r="N329" s="6"/>
      <c r="O329" s="5"/>
    </row>
    <row r="330" spans="1:15" x14ac:dyDescent="0.2">
      <c r="A330" s="3" t="str">
        <f>IF($B330="","",COUNTA($B$9:$B330))</f>
        <v/>
      </c>
      <c r="B330" s="4"/>
      <c r="C330" s="4"/>
      <c r="D330" s="4"/>
      <c r="E330" s="5"/>
      <c r="F330" s="3" t="str">
        <f t="shared" si="19"/>
        <v/>
      </c>
      <c r="G330" s="4"/>
      <c r="H330" s="3" t="str">
        <f t="shared" si="20"/>
        <v/>
      </c>
      <c r="I330" s="5"/>
      <c r="J330" s="5"/>
      <c r="K330" s="6"/>
      <c r="L330" s="6"/>
      <c r="M330" s="7" t="str">
        <f t="shared" si="21"/>
        <v/>
      </c>
      <c r="N330" s="6"/>
      <c r="O330" s="5"/>
    </row>
    <row r="331" spans="1:15" x14ac:dyDescent="0.2">
      <c r="A331" s="3" t="str">
        <f>IF($B331="","",COUNTA($B$9:$B331))</f>
        <v/>
      </c>
      <c r="B331" s="4"/>
      <c r="C331" s="4"/>
      <c r="D331" s="4"/>
      <c r="E331" s="5"/>
      <c r="F331" s="3" t="str">
        <f t="shared" si="19"/>
        <v/>
      </c>
      <c r="G331" s="4"/>
      <c r="H331" s="3" t="str">
        <f t="shared" si="20"/>
        <v/>
      </c>
      <c r="I331" s="5"/>
      <c r="J331" s="5"/>
      <c r="K331" s="6"/>
      <c r="L331" s="6"/>
      <c r="M331" s="7" t="str">
        <f t="shared" si="21"/>
        <v/>
      </c>
      <c r="N331" s="6"/>
      <c r="O331" s="5"/>
    </row>
    <row r="332" spans="1:15" x14ac:dyDescent="0.2">
      <c r="A332" s="3" t="str">
        <f>IF($B332="","",COUNTA($B$9:$B332))</f>
        <v/>
      </c>
      <c r="B332" s="4"/>
      <c r="C332" s="4"/>
      <c r="D332" s="4"/>
      <c r="E332" s="5"/>
      <c r="F332" s="3" t="str">
        <f t="shared" si="19"/>
        <v/>
      </c>
      <c r="G332" s="4"/>
      <c r="H332" s="3" t="str">
        <f t="shared" si="20"/>
        <v/>
      </c>
      <c r="I332" s="5"/>
      <c r="J332" s="5"/>
      <c r="K332" s="6"/>
      <c r="L332" s="6"/>
      <c r="M332" s="7" t="str">
        <f t="shared" si="21"/>
        <v/>
      </c>
      <c r="N332" s="6"/>
      <c r="O332" s="5"/>
    </row>
    <row r="333" spans="1:15" x14ac:dyDescent="0.2">
      <c r="A333" s="3" t="str">
        <f>IF($B333="","",COUNTA($B$9:$B333))</f>
        <v/>
      </c>
      <c r="B333" s="4"/>
      <c r="C333" s="4"/>
      <c r="D333" s="4"/>
      <c r="E333" s="5"/>
      <c r="F333" s="3" t="str">
        <f t="shared" si="19"/>
        <v/>
      </c>
      <c r="G333" s="4"/>
      <c r="H333" s="3" t="str">
        <f t="shared" si="20"/>
        <v/>
      </c>
      <c r="I333" s="5"/>
      <c r="J333" s="5"/>
      <c r="K333" s="6"/>
      <c r="L333" s="6"/>
      <c r="M333" s="7" t="str">
        <f t="shared" si="21"/>
        <v/>
      </c>
      <c r="N333" s="6"/>
      <c r="O333" s="5"/>
    </row>
    <row r="334" spans="1:15" x14ac:dyDescent="0.2">
      <c r="A334" s="3" t="str">
        <f>IF($B334="","",COUNTA($B$9:$B334))</f>
        <v/>
      </c>
      <c r="B334" s="4"/>
      <c r="C334" s="4"/>
      <c r="D334" s="4"/>
      <c r="E334" s="5"/>
      <c r="F334" s="3" t="str">
        <f t="shared" si="19"/>
        <v/>
      </c>
      <c r="G334" s="4"/>
      <c r="H334" s="3" t="str">
        <f t="shared" si="20"/>
        <v/>
      </c>
      <c r="I334" s="5"/>
      <c r="J334" s="5"/>
      <c r="K334" s="6"/>
      <c r="L334" s="6"/>
      <c r="M334" s="7" t="str">
        <f t="shared" si="21"/>
        <v/>
      </c>
      <c r="N334" s="6"/>
      <c r="O334" s="5"/>
    </row>
    <row r="335" spans="1:15" x14ac:dyDescent="0.2">
      <c r="A335" s="3" t="str">
        <f>IF($B335="","",COUNTA($B$9:$B335))</f>
        <v/>
      </c>
      <c r="B335" s="4"/>
      <c r="C335" s="4"/>
      <c r="D335" s="4"/>
      <c r="E335" s="5"/>
      <c r="F335" s="3" t="str">
        <f t="shared" si="19"/>
        <v/>
      </c>
      <c r="G335" s="4"/>
      <c r="H335" s="3" t="str">
        <f t="shared" si="20"/>
        <v/>
      </c>
      <c r="I335" s="5"/>
      <c r="J335" s="5"/>
      <c r="K335" s="6"/>
      <c r="L335" s="6"/>
      <c r="M335" s="7" t="str">
        <f t="shared" si="21"/>
        <v/>
      </c>
      <c r="N335" s="6"/>
      <c r="O335" s="5"/>
    </row>
    <row r="336" spans="1:15" x14ac:dyDescent="0.2">
      <c r="A336" s="3" t="str">
        <f>IF($B336="","",COUNTA($B$9:$B336))</f>
        <v/>
      </c>
      <c r="B336" s="4"/>
      <c r="C336" s="4"/>
      <c r="D336" s="4"/>
      <c r="E336" s="5"/>
      <c r="F336" s="3" t="str">
        <f t="shared" si="19"/>
        <v/>
      </c>
      <c r="G336" s="4"/>
      <c r="H336" s="3" t="str">
        <f t="shared" si="20"/>
        <v/>
      </c>
      <c r="I336" s="5"/>
      <c r="J336" s="5"/>
      <c r="K336" s="6"/>
      <c r="L336" s="6"/>
      <c r="M336" s="7" t="str">
        <f t="shared" si="21"/>
        <v/>
      </c>
      <c r="N336" s="6"/>
      <c r="O336" s="5"/>
    </row>
    <row r="337" spans="1:15" x14ac:dyDescent="0.2">
      <c r="A337" s="3" t="str">
        <f>IF($B337="","",COUNTA($B$9:$B337))</f>
        <v/>
      </c>
      <c r="B337" s="4"/>
      <c r="C337" s="4"/>
      <c r="D337" s="4"/>
      <c r="E337" s="5"/>
      <c r="F337" s="3" t="str">
        <f t="shared" si="19"/>
        <v/>
      </c>
      <c r="G337" s="4"/>
      <c r="H337" s="3" t="str">
        <f t="shared" si="20"/>
        <v/>
      </c>
      <c r="I337" s="5"/>
      <c r="J337" s="5"/>
      <c r="K337" s="6"/>
      <c r="L337" s="6"/>
      <c r="M337" s="7" t="str">
        <f t="shared" si="21"/>
        <v/>
      </c>
      <c r="N337" s="6"/>
      <c r="O337" s="5"/>
    </row>
    <row r="338" spans="1:15" x14ac:dyDescent="0.2">
      <c r="A338" s="3" t="str">
        <f>IF($B338="","",COUNTA($B$9:$B338))</f>
        <v/>
      </c>
      <c r="B338" s="4"/>
      <c r="C338" s="4"/>
      <c r="D338" s="4"/>
      <c r="E338" s="5"/>
      <c r="F338" s="3" t="str">
        <f t="shared" si="19"/>
        <v/>
      </c>
      <c r="G338" s="4"/>
      <c r="H338" s="3" t="str">
        <f t="shared" si="20"/>
        <v/>
      </c>
      <c r="I338" s="5"/>
      <c r="J338" s="5"/>
      <c r="K338" s="6"/>
      <c r="L338" s="6"/>
      <c r="M338" s="7" t="str">
        <f t="shared" si="21"/>
        <v/>
      </c>
      <c r="N338" s="6"/>
      <c r="O338" s="5"/>
    </row>
    <row r="339" spans="1:15" x14ac:dyDescent="0.2">
      <c r="A339" s="3" t="str">
        <f>IF($B339="","",COUNTA($B$9:$B339))</f>
        <v/>
      </c>
      <c r="B339" s="4"/>
      <c r="C339" s="4"/>
      <c r="D339" s="4"/>
      <c r="E339" s="5"/>
      <c r="F339" s="3" t="str">
        <f t="shared" si="19"/>
        <v/>
      </c>
      <c r="G339" s="4"/>
      <c r="H339" s="3" t="str">
        <f t="shared" si="20"/>
        <v/>
      </c>
      <c r="I339" s="5"/>
      <c r="J339" s="5"/>
      <c r="K339" s="6"/>
      <c r="L339" s="6"/>
      <c r="M339" s="7" t="str">
        <f t="shared" si="21"/>
        <v/>
      </c>
      <c r="N339" s="6"/>
      <c r="O339" s="5"/>
    </row>
    <row r="340" spans="1:15" x14ac:dyDescent="0.2">
      <c r="A340" s="3" t="str">
        <f>IF($B340="","",COUNTA($B$9:$B340))</f>
        <v/>
      </c>
      <c r="B340" s="4"/>
      <c r="C340" s="4"/>
      <c r="D340" s="4"/>
      <c r="E340" s="5"/>
      <c r="F340" s="3" t="str">
        <f t="shared" si="19"/>
        <v/>
      </c>
      <c r="G340" s="4"/>
      <c r="H340" s="3" t="str">
        <f t="shared" si="20"/>
        <v/>
      </c>
      <c r="I340" s="5"/>
      <c r="J340" s="5"/>
      <c r="K340" s="6"/>
      <c r="L340" s="6"/>
      <c r="M340" s="7" t="str">
        <f t="shared" si="21"/>
        <v/>
      </c>
      <c r="N340" s="6"/>
      <c r="O340" s="5"/>
    </row>
    <row r="341" spans="1:15" x14ac:dyDescent="0.2">
      <c r="A341" s="3" t="str">
        <f>IF($B341="","",COUNTA($B$9:$B341))</f>
        <v/>
      </c>
      <c r="B341" s="4"/>
      <c r="C341" s="4"/>
      <c r="D341" s="4"/>
      <c r="E341" s="5"/>
      <c r="F341" s="3" t="str">
        <f t="shared" si="19"/>
        <v/>
      </c>
      <c r="G341" s="4"/>
      <c r="H341" s="3" t="str">
        <f t="shared" si="20"/>
        <v/>
      </c>
      <c r="I341" s="5"/>
      <c r="J341" s="5"/>
      <c r="K341" s="6"/>
      <c r="L341" s="6"/>
      <c r="M341" s="7" t="str">
        <f t="shared" si="21"/>
        <v/>
      </c>
      <c r="N341" s="6"/>
      <c r="O341" s="5"/>
    </row>
    <row r="342" spans="1:15" x14ac:dyDescent="0.2">
      <c r="A342" s="3" t="str">
        <f>IF($B342="","",COUNTA($B$9:$B342))</f>
        <v/>
      </c>
      <c r="B342" s="4"/>
      <c r="C342" s="4"/>
      <c r="D342" s="4"/>
      <c r="E342" s="5"/>
      <c r="F342" s="3" t="str">
        <f t="shared" si="19"/>
        <v/>
      </c>
      <c r="G342" s="4"/>
      <c r="H342" s="3" t="str">
        <f t="shared" si="20"/>
        <v/>
      </c>
      <c r="I342" s="5"/>
      <c r="J342" s="5"/>
      <c r="K342" s="6"/>
      <c r="L342" s="6"/>
      <c r="M342" s="7" t="str">
        <f t="shared" si="21"/>
        <v/>
      </c>
      <c r="N342" s="6"/>
      <c r="O342" s="5"/>
    </row>
    <row r="343" spans="1:15" x14ac:dyDescent="0.2">
      <c r="A343" s="3" t="str">
        <f>IF($B343="","",COUNTA($B$9:$B343))</f>
        <v/>
      </c>
      <c r="B343" s="4"/>
      <c r="C343" s="4"/>
      <c r="D343" s="4"/>
      <c r="E343" s="5"/>
      <c r="F343" s="3" t="str">
        <f t="shared" si="19"/>
        <v/>
      </c>
      <c r="G343" s="4"/>
      <c r="H343" s="3" t="str">
        <f t="shared" si="20"/>
        <v/>
      </c>
      <c r="I343" s="5"/>
      <c r="J343" s="5"/>
      <c r="K343" s="6"/>
      <c r="L343" s="6"/>
      <c r="M343" s="7" t="str">
        <f t="shared" si="21"/>
        <v/>
      </c>
      <c r="N343" s="6"/>
      <c r="O343" s="5"/>
    </row>
    <row r="344" spans="1:15" x14ac:dyDescent="0.2">
      <c r="A344" s="3" t="str">
        <f>IF($B344="","",COUNTA($B$9:$B344))</f>
        <v/>
      </c>
      <c r="B344" s="4"/>
      <c r="C344" s="4"/>
      <c r="D344" s="4"/>
      <c r="E344" s="5"/>
      <c r="F344" s="3" t="str">
        <f t="shared" si="19"/>
        <v/>
      </c>
      <c r="G344" s="4"/>
      <c r="H344" s="3" t="str">
        <f t="shared" si="20"/>
        <v/>
      </c>
      <c r="I344" s="5"/>
      <c r="J344" s="5"/>
      <c r="K344" s="6"/>
      <c r="L344" s="6"/>
      <c r="M344" s="7" t="str">
        <f t="shared" si="21"/>
        <v/>
      </c>
      <c r="N344" s="6"/>
      <c r="O344" s="5"/>
    </row>
    <row r="345" spans="1:15" x14ac:dyDescent="0.2">
      <c r="A345" s="3" t="str">
        <f>IF($B345="","",COUNTA($B$9:$B345))</f>
        <v/>
      </c>
      <c r="B345" s="4"/>
      <c r="C345" s="4"/>
      <c r="D345" s="4"/>
      <c r="E345" s="5"/>
      <c r="F345" s="3" t="str">
        <f t="shared" si="19"/>
        <v/>
      </c>
      <c r="G345" s="4"/>
      <c r="H345" s="3" t="str">
        <f t="shared" si="20"/>
        <v/>
      </c>
      <c r="I345" s="5"/>
      <c r="J345" s="5"/>
      <c r="K345" s="6"/>
      <c r="L345" s="6"/>
      <c r="M345" s="7" t="str">
        <f t="shared" si="21"/>
        <v/>
      </c>
      <c r="N345" s="6"/>
      <c r="O345" s="5"/>
    </row>
    <row r="346" spans="1:15" x14ac:dyDescent="0.2">
      <c r="A346" s="3" t="str">
        <f>IF($B346="","",COUNTA($B$9:$B346))</f>
        <v/>
      </c>
      <c r="B346" s="4"/>
      <c r="C346" s="4"/>
      <c r="D346" s="4"/>
      <c r="E346" s="5"/>
      <c r="F346" s="3" t="str">
        <f t="shared" si="19"/>
        <v/>
      </c>
      <c r="G346" s="4"/>
      <c r="H346" s="3" t="str">
        <f t="shared" si="20"/>
        <v/>
      </c>
      <c r="I346" s="5"/>
      <c r="J346" s="5"/>
      <c r="K346" s="6"/>
      <c r="L346" s="6"/>
      <c r="M346" s="7" t="str">
        <f t="shared" si="21"/>
        <v/>
      </c>
      <c r="N346" s="6"/>
      <c r="O346" s="5"/>
    </row>
    <row r="347" spans="1:15" x14ac:dyDescent="0.2">
      <c r="A347" s="3" t="str">
        <f>IF($B347="","",COUNTA($B$9:$B347))</f>
        <v/>
      </c>
      <c r="B347" s="4"/>
      <c r="C347" s="4"/>
      <c r="D347" s="4"/>
      <c r="E347" s="5"/>
      <c r="F347" s="3" t="str">
        <f t="shared" si="19"/>
        <v/>
      </c>
      <c r="G347" s="4"/>
      <c r="H347" s="3" t="str">
        <f t="shared" si="20"/>
        <v/>
      </c>
      <c r="I347" s="5"/>
      <c r="J347" s="5"/>
      <c r="K347" s="6"/>
      <c r="L347" s="6"/>
      <c r="M347" s="7" t="str">
        <f t="shared" si="21"/>
        <v/>
      </c>
      <c r="N347" s="6"/>
      <c r="O347" s="5"/>
    </row>
    <row r="348" spans="1:15" x14ac:dyDescent="0.2">
      <c r="A348" s="3" t="str">
        <f>IF($B348="","",COUNTA($B$9:$B348))</f>
        <v/>
      </c>
      <c r="B348" s="4"/>
      <c r="C348" s="4"/>
      <c r="D348" s="4"/>
      <c r="E348" s="5"/>
      <c r="F348" s="3" t="str">
        <f t="shared" si="19"/>
        <v/>
      </c>
      <c r="G348" s="4"/>
      <c r="H348" s="3" t="str">
        <f t="shared" si="20"/>
        <v/>
      </c>
      <c r="I348" s="5"/>
      <c r="J348" s="5"/>
      <c r="K348" s="6"/>
      <c r="L348" s="6"/>
      <c r="M348" s="7" t="str">
        <f t="shared" si="21"/>
        <v/>
      </c>
      <c r="N348" s="6"/>
      <c r="O348" s="5"/>
    </row>
    <row r="349" spans="1:15" x14ac:dyDescent="0.2">
      <c r="A349" s="3" t="str">
        <f>IF($B349="","",COUNTA($B$9:$B349))</f>
        <v/>
      </c>
      <c r="B349" s="4"/>
      <c r="C349" s="4"/>
      <c r="D349" s="4"/>
      <c r="E349" s="5"/>
      <c r="F349" s="3" t="str">
        <f t="shared" si="19"/>
        <v/>
      </c>
      <c r="G349" s="4"/>
      <c r="H349" s="3" t="str">
        <f t="shared" si="20"/>
        <v/>
      </c>
      <c r="I349" s="5"/>
      <c r="J349" s="5"/>
      <c r="K349" s="6"/>
      <c r="L349" s="6"/>
      <c r="M349" s="7" t="str">
        <f t="shared" si="21"/>
        <v/>
      </c>
      <c r="N349" s="6"/>
      <c r="O349" s="5"/>
    </row>
    <row r="350" spans="1:15" x14ac:dyDescent="0.2">
      <c r="A350" s="3" t="str">
        <f>IF($B350="","",COUNTA($B$9:$B350))</f>
        <v/>
      </c>
      <c r="B350" s="4"/>
      <c r="C350" s="4"/>
      <c r="D350" s="4"/>
      <c r="E350" s="5"/>
      <c r="F350" s="3" t="str">
        <f t="shared" si="19"/>
        <v/>
      </c>
      <c r="G350" s="4"/>
      <c r="H350" s="3" t="str">
        <f t="shared" si="20"/>
        <v/>
      </c>
      <c r="I350" s="5"/>
      <c r="J350" s="5"/>
      <c r="K350" s="6"/>
      <c r="L350" s="6"/>
      <c r="M350" s="7" t="str">
        <f t="shared" si="21"/>
        <v/>
      </c>
      <c r="N350" s="6"/>
      <c r="O350" s="5"/>
    </row>
    <row r="351" spans="1:15" x14ac:dyDescent="0.2">
      <c r="A351" s="3" t="str">
        <f>IF($B351="","",COUNTA($B$9:$B351))</f>
        <v/>
      </c>
      <c r="B351" s="4"/>
      <c r="C351" s="4"/>
      <c r="D351" s="4"/>
      <c r="E351" s="5"/>
      <c r="F351" s="3" t="str">
        <f t="shared" si="19"/>
        <v/>
      </c>
      <c r="G351" s="4"/>
      <c r="H351" s="3" t="str">
        <f t="shared" si="20"/>
        <v/>
      </c>
      <c r="I351" s="5"/>
      <c r="J351" s="5"/>
      <c r="K351" s="6"/>
      <c r="L351" s="6"/>
      <c r="M351" s="7" t="str">
        <f t="shared" si="21"/>
        <v/>
      </c>
      <c r="N351" s="6"/>
      <c r="O351" s="5"/>
    </row>
    <row r="352" spans="1:15" x14ac:dyDescent="0.2">
      <c r="A352" s="3" t="str">
        <f>IF($B352="","",COUNTA($B$9:$B352))</f>
        <v/>
      </c>
      <c r="B352" s="4"/>
      <c r="C352" s="4"/>
      <c r="D352" s="4"/>
      <c r="E352" s="5"/>
      <c r="F352" s="3" t="str">
        <f t="shared" si="19"/>
        <v/>
      </c>
      <c r="G352" s="4"/>
      <c r="H352" s="3" t="str">
        <f t="shared" si="20"/>
        <v/>
      </c>
      <c r="I352" s="5"/>
      <c r="J352" s="5"/>
      <c r="K352" s="6"/>
      <c r="L352" s="6"/>
      <c r="M352" s="7" t="str">
        <f t="shared" si="21"/>
        <v/>
      </c>
      <c r="N352" s="6"/>
      <c r="O352" s="5"/>
    </row>
    <row r="353" spans="1:15" x14ac:dyDescent="0.2">
      <c r="A353" s="3" t="str">
        <f>IF($B353="","",COUNTA($B$9:$B353))</f>
        <v/>
      </c>
      <c r="B353" s="4"/>
      <c r="C353" s="4"/>
      <c r="D353" s="4"/>
      <c r="E353" s="5"/>
      <c r="F353" s="3" t="str">
        <f t="shared" si="19"/>
        <v/>
      </c>
      <c r="G353" s="4"/>
      <c r="H353" s="3" t="str">
        <f t="shared" si="20"/>
        <v/>
      </c>
      <c r="I353" s="5"/>
      <c r="J353" s="5"/>
      <c r="K353" s="6"/>
      <c r="L353" s="6"/>
      <c r="M353" s="7" t="str">
        <f t="shared" si="21"/>
        <v/>
      </c>
      <c r="N353" s="6"/>
      <c r="O353" s="5"/>
    </row>
    <row r="354" spans="1:15" x14ac:dyDescent="0.2">
      <c r="A354" s="3" t="str">
        <f>IF($B354="","",COUNTA($B$9:$B354))</f>
        <v/>
      </c>
      <c r="B354" s="4"/>
      <c r="C354" s="4"/>
      <c r="D354" s="4"/>
      <c r="E354" s="5"/>
      <c r="F354" s="3" t="str">
        <f t="shared" si="19"/>
        <v/>
      </c>
      <c r="G354" s="4"/>
      <c r="H354" s="3" t="str">
        <f t="shared" si="20"/>
        <v/>
      </c>
      <c r="I354" s="5"/>
      <c r="J354" s="5"/>
      <c r="K354" s="6"/>
      <c r="L354" s="6"/>
      <c r="M354" s="7" t="str">
        <f t="shared" si="21"/>
        <v/>
      </c>
      <c r="N354" s="6"/>
      <c r="O354" s="5"/>
    </row>
    <row r="355" spans="1:15" x14ac:dyDescent="0.2">
      <c r="A355" s="3" t="str">
        <f>IF($B355="","",COUNTA($B$9:$B355))</f>
        <v/>
      </c>
      <c r="B355" s="4"/>
      <c r="C355" s="4"/>
      <c r="D355" s="4"/>
      <c r="E355" s="5"/>
      <c r="F355" s="3" t="str">
        <f t="shared" si="19"/>
        <v/>
      </c>
      <c r="G355" s="4"/>
      <c r="H355" s="3" t="str">
        <f t="shared" si="20"/>
        <v/>
      </c>
      <c r="I355" s="5"/>
      <c r="J355" s="5"/>
      <c r="K355" s="6"/>
      <c r="L355" s="6"/>
      <c r="M355" s="7" t="str">
        <f t="shared" si="21"/>
        <v/>
      </c>
      <c r="N355" s="6"/>
      <c r="O355" s="5"/>
    </row>
    <row r="356" spans="1:15" x14ac:dyDescent="0.2">
      <c r="A356" s="3" t="str">
        <f>IF($B356="","",COUNTA($B$9:$B356))</f>
        <v/>
      </c>
      <c r="B356" s="4"/>
      <c r="C356" s="4"/>
      <c r="D356" s="4"/>
      <c r="E356" s="5"/>
      <c r="F356" s="3" t="str">
        <f t="shared" si="19"/>
        <v/>
      </c>
      <c r="G356" s="4"/>
      <c r="H356" s="3" t="str">
        <f t="shared" si="20"/>
        <v/>
      </c>
      <c r="I356" s="5"/>
      <c r="J356" s="5"/>
      <c r="K356" s="6"/>
      <c r="L356" s="6"/>
      <c r="M356" s="7" t="str">
        <f t="shared" si="21"/>
        <v/>
      </c>
      <c r="N356" s="6"/>
      <c r="O356" s="5"/>
    </row>
    <row r="357" spans="1:15" x14ac:dyDescent="0.2">
      <c r="A357" s="3" t="str">
        <f>IF($B357="","",COUNTA($B$9:$B357))</f>
        <v/>
      </c>
      <c r="B357" s="4"/>
      <c r="C357" s="4"/>
      <c r="D357" s="4"/>
      <c r="E357" s="5"/>
      <c r="F357" s="3" t="str">
        <f t="shared" si="19"/>
        <v/>
      </c>
      <c r="G357" s="4"/>
      <c r="H357" s="3" t="str">
        <f t="shared" si="20"/>
        <v/>
      </c>
      <c r="I357" s="5"/>
      <c r="J357" s="5"/>
      <c r="K357" s="6"/>
      <c r="L357" s="6"/>
      <c r="M357" s="7" t="str">
        <f t="shared" si="21"/>
        <v/>
      </c>
      <c r="N357" s="6"/>
      <c r="O357" s="5"/>
    </row>
    <row r="358" spans="1:15" x14ac:dyDescent="0.2">
      <c r="A358" s="3" t="str">
        <f>IF($B358="","",COUNTA($B$9:$B358))</f>
        <v/>
      </c>
      <c r="B358" s="4"/>
      <c r="C358" s="4"/>
      <c r="D358" s="4"/>
      <c r="E358" s="5"/>
      <c r="F358" s="3" t="str">
        <f t="shared" si="19"/>
        <v/>
      </c>
      <c r="G358" s="4"/>
      <c r="H358" s="3" t="str">
        <f t="shared" si="20"/>
        <v/>
      </c>
      <c r="I358" s="5"/>
      <c r="J358" s="5"/>
      <c r="K358" s="6"/>
      <c r="L358" s="6"/>
      <c r="M358" s="7" t="str">
        <f t="shared" si="21"/>
        <v/>
      </c>
      <c r="N358" s="6"/>
      <c r="O358" s="5"/>
    </row>
    <row r="359" spans="1:15" x14ac:dyDescent="0.2">
      <c r="A359" s="3" t="str">
        <f>IF($B359="","",COUNTA($B$9:$B359))</f>
        <v/>
      </c>
      <c r="B359" s="4"/>
      <c r="C359" s="4"/>
      <c r="D359" s="4"/>
      <c r="E359" s="5"/>
      <c r="F359" s="3" t="str">
        <f t="shared" si="19"/>
        <v/>
      </c>
      <c r="G359" s="4"/>
      <c r="H359" s="3" t="str">
        <f t="shared" si="20"/>
        <v/>
      </c>
      <c r="I359" s="5"/>
      <c r="J359" s="5"/>
      <c r="K359" s="6"/>
      <c r="L359" s="6"/>
      <c r="M359" s="7" t="str">
        <f t="shared" si="21"/>
        <v/>
      </c>
      <c r="N359" s="6"/>
      <c r="O359" s="5"/>
    </row>
    <row r="360" spans="1:15" x14ac:dyDescent="0.2">
      <c r="A360" s="3" t="str">
        <f>IF($B360="","",COUNTA($B$9:$B360))</f>
        <v/>
      </c>
      <c r="B360" s="4"/>
      <c r="C360" s="4"/>
      <c r="D360" s="4"/>
      <c r="E360" s="5"/>
      <c r="F360" s="3" t="str">
        <f t="shared" si="19"/>
        <v/>
      </c>
      <c r="G360" s="4"/>
      <c r="H360" s="3" t="str">
        <f t="shared" si="20"/>
        <v/>
      </c>
      <c r="I360" s="5"/>
      <c r="J360" s="5"/>
      <c r="K360" s="6"/>
      <c r="L360" s="6"/>
      <c r="M360" s="7" t="str">
        <f t="shared" si="21"/>
        <v/>
      </c>
      <c r="N360" s="6"/>
      <c r="O360" s="5"/>
    </row>
    <row r="361" spans="1:15" x14ac:dyDescent="0.2">
      <c r="A361" s="3" t="str">
        <f>IF($B361="","",COUNTA($B$9:$B361))</f>
        <v/>
      </c>
      <c r="B361" s="4"/>
      <c r="C361" s="4"/>
      <c r="D361" s="4"/>
      <c r="E361" s="5"/>
      <c r="F361" s="3" t="str">
        <f t="shared" si="19"/>
        <v/>
      </c>
      <c r="G361" s="4"/>
      <c r="H361" s="3" t="str">
        <f t="shared" si="20"/>
        <v/>
      </c>
      <c r="I361" s="5"/>
      <c r="J361" s="5"/>
      <c r="K361" s="6"/>
      <c r="L361" s="6"/>
      <c r="M361" s="7" t="str">
        <f t="shared" si="21"/>
        <v/>
      </c>
      <c r="N361" s="6"/>
      <c r="O361" s="5"/>
    </row>
    <row r="362" spans="1:15" x14ac:dyDescent="0.2">
      <c r="A362" s="3" t="str">
        <f>IF($B362="","",COUNTA($B$9:$B362))</f>
        <v/>
      </c>
      <c r="B362" s="4"/>
      <c r="C362" s="4"/>
      <c r="D362" s="4"/>
      <c r="E362" s="5"/>
      <c r="F362" s="3" t="str">
        <f t="shared" si="19"/>
        <v/>
      </c>
      <c r="G362" s="4"/>
      <c r="H362" s="3" t="str">
        <f t="shared" si="20"/>
        <v/>
      </c>
      <c r="I362" s="5"/>
      <c r="J362" s="5"/>
      <c r="K362" s="6"/>
      <c r="L362" s="6"/>
      <c r="M362" s="7" t="str">
        <f t="shared" si="21"/>
        <v/>
      </c>
      <c r="N362" s="6"/>
      <c r="O362" s="5"/>
    </row>
    <row r="363" spans="1:15" x14ac:dyDescent="0.2">
      <c r="A363" s="3" t="str">
        <f>IF($B363="","",COUNTA($B$9:$B363))</f>
        <v/>
      </c>
      <c r="B363" s="4"/>
      <c r="C363" s="4"/>
      <c r="D363" s="4"/>
      <c r="E363" s="5"/>
      <c r="F363" s="3" t="str">
        <f t="shared" si="19"/>
        <v/>
      </c>
      <c r="G363" s="4"/>
      <c r="H363" s="3" t="str">
        <f t="shared" si="20"/>
        <v/>
      </c>
      <c r="I363" s="5"/>
      <c r="J363" s="5"/>
      <c r="K363" s="6"/>
      <c r="L363" s="6"/>
      <c r="M363" s="7" t="str">
        <f t="shared" si="21"/>
        <v/>
      </c>
      <c r="N363" s="6"/>
      <c r="O363" s="5"/>
    </row>
    <row r="364" spans="1:15" x14ac:dyDescent="0.2">
      <c r="A364" s="3" t="str">
        <f>IF($B364="","",COUNTA($B$9:$B364))</f>
        <v/>
      </c>
      <c r="B364" s="4"/>
      <c r="C364" s="4"/>
      <c r="D364" s="4"/>
      <c r="E364" s="5"/>
      <c r="F364" s="3" t="str">
        <f t="shared" si="19"/>
        <v/>
      </c>
      <c r="G364" s="4"/>
      <c r="H364" s="3" t="str">
        <f t="shared" si="20"/>
        <v/>
      </c>
      <c r="I364" s="5"/>
      <c r="J364" s="5"/>
      <c r="K364" s="6"/>
      <c r="L364" s="6"/>
      <c r="M364" s="7" t="str">
        <f t="shared" si="21"/>
        <v/>
      </c>
      <c r="N364" s="6"/>
      <c r="O364" s="5"/>
    </row>
    <row r="365" spans="1:15" x14ac:dyDescent="0.2">
      <c r="A365" s="3" t="str">
        <f>IF($B365="","",COUNTA($B$9:$B365))</f>
        <v/>
      </c>
      <c r="B365" s="4"/>
      <c r="C365" s="4"/>
      <c r="D365" s="4"/>
      <c r="E365" s="5"/>
      <c r="F365" s="3" t="str">
        <f t="shared" si="19"/>
        <v/>
      </c>
      <c r="G365" s="4"/>
      <c r="H365" s="3" t="str">
        <f t="shared" si="20"/>
        <v/>
      </c>
      <c r="I365" s="5"/>
      <c r="J365" s="5"/>
      <c r="K365" s="6"/>
      <c r="L365" s="6"/>
      <c r="M365" s="7" t="str">
        <f t="shared" si="21"/>
        <v/>
      </c>
      <c r="N365" s="6"/>
      <c r="O365" s="5"/>
    </row>
    <row r="366" spans="1:15" x14ac:dyDescent="0.2">
      <c r="A366" s="3" t="str">
        <f>IF($B366="","",COUNTA($B$9:$B366))</f>
        <v/>
      </c>
      <c r="B366" s="4"/>
      <c r="C366" s="4"/>
      <c r="D366" s="4"/>
      <c r="E366" s="5"/>
      <c r="F366" s="3" t="str">
        <f t="shared" si="19"/>
        <v/>
      </c>
      <c r="G366" s="4"/>
      <c r="H366" s="3" t="str">
        <f t="shared" si="20"/>
        <v/>
      </c>
      <c r="I366" s="5"/>
      <c r="J366" s="5"/>
      <c r="K366" s="6"/>
      <c r="L366" s="6"/>
      <c r="M366" s="7" t="str">
        <f t="shared" si="21"/>
        <v/>
      </c>
      <c r="N366" s="6"/>
      <c r="O366" s="5"/>
    </row>
    <row r="367" spans="1:15" x14ac:dyDescent="0.2">
      <c r="A367" s="3" t="str">
        <f>IF($B367="","",COUNTA($B$9:$B367))</f>
        <v/>
      </c>
      <c r="B367" s="4"/>
      <c r="C367" s="4"/>
      <c r="D367" s="4"/>
      <c r="E367" s="5"/>
      <c r="F367" s="3" t="str">
        <f t="shared" si="19"/>
        <v/>
      </c>
      <c r="G367" s="4"/>
      <c r="H367" s="3" t="str">
        <f t="shared" si="20"/>
        <v/>
      </c>
      <c r="I367" s="5"/>
      <c r="J367" s="5"/>
      <c r="K367" s="6"/>
      <c r="L367" s="6"/>
      <c r="M367" s="7" t="str">
        <f t="shared" si="21"/>
        <v/>
      </c>
      <c r="N367" s="6"/>
      <c r="O367" s="5"/>
    </row>
    <row r="368" spans="1:15" x14ac:dyDescent="0.2">
      <c r="A368" s="3" t="str">
        <f>IF($B368="","",COUNTA($B$9:$B368))</f>
        <v/>
      </c>
      <c r="B368" s="4"/>
      <c r="C368" s="4"/>
      <c r="D368" s="4"/>
      <c r="E368" s="5"/>
      <c r="F368" s="3" t="str">
        <f t="shared" si="19"/>
        <v/>
      </c>
      <c r="G368" s="4"/>
      <c r="H368" s="3" t="str">
        <f t="shared" si="20"/>
        <v/>
      </c>
      <c r="I368" s="5"/>
      <c r="J368" s="5"/>
      <c r="K368" s="6"/>
      <c r="L368" s="6"/>
      <c r="M368" s="7" t="str">
        <f t="shared" si="21"/>
        <v/>
      </c>
      <c r="N368" s="6"/>
      <c r="O368" s="5"/>
    </row>
    <row r="369" spans="1:15" x14ac:dyDescent="0.2">
      <c r="A369" s="3" t="str">
        <f>IF($B369="","",COUNTA($B$9:$B369))</f>
        <v/>
      </c>
      <c r="B369" s="4"/>
      <c r="C369" s="4"/>
      <c r="D369" s="4"/>
      <c r="E369" s="5"/>
      <c r="F369" s="3" t="str">
        <f t="shared" si="19"/>
        <v/>
      </c>
      <c r="G369" s="4"/>
      <c r="H369" s="3" t="str">
        <f t="shared" si="20"/>
        <v/>
      </c>
      <c r="I369" s="5"/>
      <c r="J369" s="5"/>
      <c r="K369" s="6"/>
      <c r="L369" s="6"/>
      <c r="M369" s="7" t="str">
        <f t="shared" si="21"/>
        <v/>
      </c>
      <c r="N369" s="6"/>
      <c r="O369" s="5"/>
    </row>
    <row r="370" spans="1:15" x14ac:dyDescent="0.2">
      <c r="A370" s="3" t="str">
        <f>IF($B370="","",COUNTA($B$9:$B370))</f>
        <v/>
      </c>
      <c r="B370" s="4"/>
      <c r="C370" s="4"/>
      <c r="D370" s="4"/>
      <c r="E370" s="5"/>
      <c r="F370" s="3" t="str">
        <f t="shared" si="19"/>
        <v/>
      </c>
      <c r="G370" s="4"/>
      <c r="H370" s="3" t="str">
        <f t="shared" si="20"/>
        <v/>
      </c>
      <c r="I370" s="5"/>
      <c r="J370" s="5"/>
      <c r="K370" s="6"/>
      <c r="L370" s="6"/>
      <c r="M370" s="7" t="str">
        <f t="shared" si="21"/>
        <v/>
      </c>
      <c r="N370" s="6"/>
      <c r="O370" s="5"/>
    </row>
    <row r="371" spans="1:15" x14ac:dyDescent="0.2">
      <c r="A371" s="3" t="str">
        <f>IF($B371="","",COUNTA($B$9:$B371))</f>
        <v/>
      </c>
      <c r="B371" s="4"/>
      <c r="C371" s="4"/>
      <c r="D371" s="4"/>
      <c r="E371" s="5"/>
      <c r="F371" s="3" t="str">
        <f t="shared" si="19"/>
        <v/>
      </c>
      <c r="G371" s="4"/>
      <c r="H371" s="3" t="str">
        <f t="shared" si="20"/>
        <v/>
      </c>
      <c r="I371" s="5"/>
      <c r="J371" s="5"/>
      <c r="K371" s="6"/>
      <c r="L371" s="6"/>
      <c r="M371" s="7" t="str">
        <f t="shared" si="21"/>
        <v/>
      </c>
      <c r="N371" s="6"/>
      <c r="O371" s="5"/>
    </row>
    <row r="372" spans="1:15" x14ac:dyDescent="0.2">
      <c r="A372" s="3" t="str">
        <f>IF($B372="","",COUNTA($B$9:$B372))</f>
        <v/>
      </c>
      <c r="B372" s="4"/>
      <c r="C372" s="4"/>
      <c r="D372" s="4"/>
      <c r="E372" s="5"/>
      <c r="F372" s="3" t="str">
        <f t="shared" si="19"/>
        <v/>
      </c>
      <c r="G372" s="4"/>
      <c r="H372" s="3" t="str">
        <f t="shared" si="20"/>
        <v/>
      </c>
      <c r="I372" s="5"/>
      <c r="J372" s="5"/>
      <c r="K372" s="6"/>
      <c r="L372" s="6"/>
      <c r="M372" s="7" t="str">
        <f t="shared" si="21"/>
        <v/>
      </c>
      <c r="N372" s="6"/>
      <c r="O372" s="5"/>
    </row>
    <row r="373" spans="1:15" x14ac:dyDescent="0.2">
      <c r="A373" s="3" t="str">
        <f>IF($B373="","",COUNTA($B$9:$B373))</f>
        <v/>
      </c>
      <c r="B373" s="4"/>
      <c r="C373" s="4"/>
      <c r="D373" s="4"/>
      <c r="E373" s="5"/>
      <c r="F373" s="3" t="str">
        <f t="shared" si="19"/>
        <v/>
      </c>
      <c r="G373" s="4"/>
      <c r="H373" s="3" t="str">
        <f t="shared" si="20"/>
        <v/>
      </c>
      <c r="I373" s="5"/>
      <c r="J373" s="5"/>
      <c r="K373" s="6"/>
      <c r="L373" s="6"/>
      <c r="M373" s="7" t="str">
        <f t="shared" si="21"/>
        <v/>
      </c>
      <c r="N373" s="6"/>
      <c r="O373" s="5"/>
    </row>
    <row r="374" spans="1:15" x14ac:dyDescent="0.2">
      <c r="A374" s="3" t="str">
        <f>IF($B374="","",COUNTA($B$9:$B374))</f>
        <v/>
      </c>
      <c r="B374" s="4"/>
      <c r="C374" s="4"/>
      <c r="D374" s="4"/>
      <c r="E374" s="5"/>
      <c r="F374" s="3" t="str">
        <f t="shared" si="19"/>
        <v/>
      </c>
      <c r="G374" s="4"/>
      <c r="H374" s="3" t="str">
        <f t="shared" si="20"/>
        <v/>
      </c>
      <c r="I374" s="5"/>
      <c r="J374" s="5"/>
      <c r="K374" s="6"/>
      <c r="L374" s="6"/>
      <c r="M374" s="7" t="str">
        <f t="shared" si="21"/>
        <v/>
      </c>
      <c r="N374" s="6"/>
      <c r="O374" s="5"/>
    </row>
    <row r="375" spans="1:15" x14ac:dyDescent="0.2">
      <c r="A375" s="3" t="str">
        <f>IF($B375="","",COUNTA($B$9:$B375))</f>
        <v/>
      </c>
      <c r="B375" s="4"/>
      <c r="C375" s="4"/>
      <c r="D375" s="4"/>
      <c r="E375" s="5"/>
      <c r="F375" s="3" t="str">
        <f t="shared" si="19"/>
        <v/>
      </c>
      <c r="G375" s="4"/>
      <c r="H375" s="3" t="str">
        <f t="shared" si="20"/>
        <v/>
      </c>
      <c r="I375" s="5"/>
      <c r="J375" s="5"/>
      <c r="K375" s="6"/>
      <c r="L375" s="6"/>
      <c r="M375" s="7" t="str">
        <f t="shared" si="21"/>
        <v/>
      </c>
      <c r="N375" s="6"/>
      <c r="O375" s="5"/>
    </row>
    <row r="376" spans="1:15" x14ac:dyDescent="0.2">
      <c r="A376" s="3" t="str">
        <f>IF($B376="","",COUNTA($B$9:$B376))</f>
        <v/>
      </c>
      <c r="B376" s="4"/>
      <c r="C376" s="4"/>
      <c r="D376" s="4"/>
      <c r="E376" s="5"/>
      <c r="F376" s="3" t="str">
        <f t="shared" si="19"/>
        <v/>
      </c>
      <c r="G376" s="4"/>
      <c r="H376" s="3" t="str">
        <f t="shared" si="20"/>
        <v/>
      </c>
      <c r="I376" s="5"/>
      <c r="J376" s="5"/>
      <c r="K376" s="6"/>
      <c r="L376" s="6"/>
      <c r="M376" s="7" t="str">
        <f t="shared" si="21"/>
        <v/>
      </c>
      <c r="N376" s="6"/>
      <c r="O376" s="5"/>
    </row>
    <row r="377" spans="1:15" x14ac:dyDescent="0.2">
      <c r="A377" s="3" t="str">
        <f>IF($B377="","",COUNTA($B$9:$B377))</f>
        <v/>
      </c>
      <c r="B377" s="4"/>
      <c r="C377" s="4"/>
      <c r="D377" s="4"/>
      <c r="E377" s="5"/>
      <c r="F377" s="3" t="str">
        <f t="shared" si="19"/>
        <v/>
      </c>
      <c r="G377" s="4"/>
      <c r="H377" s="3" t="str">
        <f t="shared" si="20"/>
        <v/>
      </c>
      <c r="I377" s="5"/>
      <c r="J377" s="5"/>
      <c r="K377" s="6"/>
      <c r="L377" s="6"/>
      <c r="M377" s="7" t="str">
        <f t="shared" si="21"/>
        <v/>
      </c>
      <c r="N377" s="6"/>
      <c r="O377" s="5"/>
    </row>
    <row r="378" spans="1:15" x14ac:dyDescent="0.2">
      <c r="A378" s="3" t="str">
        <f>IF($B378="","",COUNTA($B$9:$B378))</f>
        <v/>
      </c>
      <c r="B378" s="4"/>
      <c r="C378" s="4"/>
      <c r="D378" s="4"/>
      <c r="E378" s="5"/>
      <c r="F378" s="3" t="str">
        <f t="shared" si="19"/>
        <v/>
      </c>
      <c r="G378" s="4"/>
      <c r="H378" s="3" t="str">
        <f t="shared" si="20"/>
        <v/>
      </c>
      <c r="I378" s="5"/>
      <c r="J378" s="5"/>
      <c r="K378" s="6"/>
      <c r="L378" s="6"/>
      <c r="M378" s="7" t="str">
        <f t="shared" si="21"/>
        <v/>
      </c>
      <c r="N378" s="6"/>
      <c r="O378" s="5"/>
    </row>
    <row r="379" spans="1:15" x14ac:dyDescent="0.2">
      <c r="A379" s="3" t="str">
        <f>IF($B379="","",COUNTA($B$9:$B379))</f>
        <v/>
      </c>
      <c r="B379" s="4"/>
      <c r="C379" s="4"/>
      <c r="D379" s="4"/>
      <c r="E379" s="5"/>
      <c r="F379" s="3" t="str">
        <f t="shared" si="19"/>
        <v/>
      </c>
      <c r="G379" s="4"/>
      <c r="H379" s="3" t="str">
        <f t="shared" si="20"/>
        <v/>
      </c>
      <c r="I379" s="5"/>
      <c r="J379" s="5"/>
      <c r="K379" s="6"/>
      <c r="L379" s="6"/>
      <c r="M379" s="7" t="str">
        <f t="shared" si="21"/>
        <v/>
      </c>
      <c r="N379" s="6"/>
      <c r="O379" s="5"/>
    </row>
    <row r="380" spans="1:15" x14ac:dyDescent="0.2">
      <c r="A380" s="3" t="str">
        <f>IF($B380="","",COUNTA($B$9:$B380))</f>
        <v/>
      </c>
      <c r="B380" s="4"/>
      <c r="C380" s="4"/>
      <c r="D380" s="4"/>
      <c r="E380" s="5"/>
      <c r="F380" s="3" t="str">
        <f t="shared" si="19"/>
        <v/>
      </c>
      <c r="G380" s="4"/>
      <c r="H380" s="3" t="str">
        <f t="shared" si="20"/>
        <v/>
      </c>
      <c r="I380" s="5"/>
      <c r="J380" s="5"/>
      <c r="K380" s="6"/>
      <c r="L380" s="6"/>
      <c r="M380" s="7" t="str">
        <f t="shared" si="21"/>
        <v/>
      </c>
      <c r="N380" s="6"/>
      <c r="O380" s="5"/>
    </row>
    <row r="381" spans="1:15" x14ac:dyDescent="0.2">
      <c r="A381" s="3" t="str">
        <f>IF($B381="","",COUNTA($B$9:$B381))</f>
        <v/>
      </c>
      <c r="B381" s="4"/>
      <c r="C381" s="4"/>
      <c r="D381" s="4"/>
      <c r="E381" s="5"/>
      <c r="F381" s="3" t="str">
        <f t="shared" si="19"/>
        <v/>
      </c>
      <c r="G381" s="4"/>
      <c r="H381" s="3" t="str">
        <f t="shared" si="20"/>
        <v/>
      </c>
      <c r="I381" s="5"/>
      <c r="J381" s="5"/>
      <c r="K381" s="6"/>
      <c r="L381" s="6"/>
      <c r="M381" s="7" t="str">
        <f t="shared" si="21"/>
        <v/>
      </c>
      <c r="N381" s="6"/>
      <c r="O381" s="5"/>
    </row>
    <row r="382" spans="1:15" x14ac:dyDescent="0.2">
      <c r="A382" s="3" t="str">
        <f>IF($B382="","",COUNTA($B$9:$B382))</f>
        <v/>
      </c>
      <c r="B382" s="4"/>
      <c r="C382" s="4"/>
      <c r="D382" s="4"/>
      <c r="E382" s="5"/>
      <c r="F382" s="3" t="str">
        <f t="shared" si="19"/>
        <v/>
      </c>
      <c r="G382" s="4"/>
      <c r="H382" s="3" t="str">
        <f t="shared" si="20"/>
        <v/>
      </c>
      <c r="I382" s="5"/>
      <c r="J382" s="5"/>
      <c r="K382" s="6"/>
      <c r="L382" s="6"/>
      <c r="M382" s="7" t="str">
        <f t="shared" si="21"/>
        <v/>
      </c>
      <c r="N382" s="6"/>
      <c r="O382" s="5"/>
    </row>
    <row r="383" spans="1:15" x14ac:dyDescent="0.2">
      <c r="A383" s="3" t="str">
        <f>IF($B383="","",COUNTA($B$9:$B383))</f>
        <v/>
      </c>
      <c r="B383" s="4"/>
      <c r="C383" s="4"/>
      <c r="D383" s="4"/>
      <c r="E383" s="5"/>
      <c r="F383" s="3" t="str">
        <f t="shared" si="19"/>
        <v/>
      </c>
      <c r="G383" s="4"/>
      <c r="H383" s="3" t="str">
        <f t="shared" si="20"/>
        <v/>
      </c>
      <c r="I383" s="5"/>
      <c r="J383" s="5"/>
      <c r="K383" s="6"/>
      <c r="L383" s="6"/>
      <c r="M383" s="7" t="str">
        <f t="shared" si="21"/>
        <v/>
      </c>
      <c r="N383" s="6"/>
      <c r="O383" s="5"/>
    </row>
    <row r="384" spans="1:15" x14ac:dyDescent="0.2">
      <c r="A384" s="3" t="str">
        <f>IF($B384="","",COUNTA($B$9:$B384))</f>
        <v/>
      </c>
      <c r="B384" s="4"/>
      <c r="C384" s="4"/>
      <c r="D384" s="4"/>
      <c r="E384" s="5"/>
      <c r="F384" s="3" t="str">
        <f t="shared" si="19"/>
        <v/>
      </c>
      <c r="G384" s="4"/>
      <c r="H384" s="3" t="str">
        <f t="shared" si="20"/>
        <v/>
      </c>
      <c r="I384" s="5"/>
      <c r="J384" s="5"/>
      <c r="K384" s="6"/>
      <c r="L384" s="6"/>
      <c r="M384" s="7" t="str">
        <f t="shared" si="21"/>
        <v/>
      </c>
      <c r="N384" s="6"/>
      <c r="O384" s="5"/>
    </row>
    <row r="385" spans="1:15" x14ac:dyDescent="0.2">
      <c r="A385" s="3" t="str">
        <f>IF($B385="","",COUNTA($B$9:$B385))</f>
        <v/>
      </c>
      <c r="B385" s="4"/>
      <c r="C385" s="4"/>
      <c r="D385" s="4"/>
      <c r="E385" s="5"/>
      <c r="F385" s="3" t="str">
        <f t="shared" si="19"/>
        <v/>
      </c>
      <c r="G385" s="4"/>
      <c r="H385" s="3" t="str">
        <f t="shared" si="20"/>
        <v/>
      </c>
      <c r="I385" s="5"/>
      <c r="J385" s="5"/>
      <c r="K385" s="6"/>
      <c r="L385" s="6"/>
      <c r="M385" s="7" t="str">
        <f t="shared" si="21"/>
        <v/>
      </c>
      <c r="N385" s="6"/>
      <c r="O385" s="5"/>
    </row>
    <row r="386" spans="1:15" x14ac:dyDescent="0.2">
      <c r="A386" s="3" t="str">
        <f>IF($B386="","",COUNTA($B$9:$B386))</f>
        <v/>
      </c>
      <c r="B386" s="4"/>
      <c r="C386" s="4"/>
      <c r="D386" s="4"/>
      <c r="E386" s="5"/>
      <c r="F386" s="3" t="str">
        <f t="shared" si="19"/>
        <v/>
      </c>
      <c r="G386" s="4"/>
      <c r="H386" s="3" t="str">
        <f t="shared" si="20"/>
        <v/>
      </c>
      <c r="I386" s="5"/>
      <c r="J386" s="5"/>
      <c r="K386" s="6"/>
      <c r="L386" s="6"/>
      <c r="M386" s="7" t="str">
        <f t="shared" si="21"/>
        <v/>
      </c>
      <c r="N386" s="6"/>
      <c r="O386" s="5"/>
    </row>
    <row r="387" spans="1:15" x14ac:dyDescent="0.2">
      <c r="A387" s="3" t="str">
        <f>IF($B387="","",COUNTA($B$9:$B387))</f>
        <v/>
      </c>
      <c r="B387" s="4"/>
      <c r="C387" s="4"/>
      <c r="D387" s="4"/>
      <c r="E387" s="5"/>
      <c r="F387" s="3" t="str">
        <f t="shared" si="19"/>
        <v/>
      </c>
      <c r="G387" s="4"/>
      <c r="H387" s="3" t="str">
        <f t="shared" si="20"/>
        <v/>
      </c>
      <c r="I387" s="5"/>
      <c r="J387" s="5"/>
      <c r="K387" s="6"/>
      <c r="L387" s="6"/>
      <c r="M387" s="7" t="str">
        <f t="shared" si="21"/>
        <v/>
      </c>
      <c r="N387" s="6"/>
      <c r="O387" s="5"/>
    </row>
    <row r="388" spans="1:15" x14ac:dyDescent="0.2">
      <c r="A388" s="3" t="str">
        <f>IF($B388="","",COUNTA($B$9:$B388))</f>
        <v/>
      </c>
      <c r="B388" s="4"/>
      <c r="C388" s="4"/>
      <c r="D388" s="4"/>
      <c r="E388" s="5"/>
      <c r="F388" s="3" t="str">
        <f t="shared" si="19"/>
        <v/>
      </c>
      <c r="G388" s="4"/>
      <c r="H388" s="3" t="str">
        <f t="shared" si="20"/>
        <v/>
      </c>
      <c r="I388" s="5"/>
      <c r="J388" s="5"/>
      <c r="K388" s="6"/>
      <c r="L388" s="6"/>
      <c r="M388" s="7" t="str">
        <f t="shared" si="21"/>
        <v/>
      </c>
      <c r="N388" s="6"/>
      <c r="O388" s="5"/>
    </row>
    <row r="389" spans="1:15" x14ac:dyDescent="0.2">
      <c r="A389" s="3" t="str">
        <f>IF($B389="","",COUNTA($B$9:$B389))</f>
        <v/>
      </c>
      <c r="B389" s="4"/>
      <c r="C389" s="4"/>
      <c r="D389" s="4"/>
      <c r="E389" s="5"/>
      <c r="F389" s="3" t="str">
        <f t="shared" si="19"/>
        <v/>
      </c>
      <c r="G389" s="4"/>
      <c r="H389" s="3" t="str">
        <f t="shared" si="20"/>
        <v/>
      </c>
      <c r="I389" s="5"/>
      <c r="J389" s="5"/>
      <c r="K389" s="6"/>
      <c r="L389" s="6"/>
      <c r="M389" s="7" t="str">
        <f t="shared" si="21"/>
        <v/>
      </c>
      <c r="N389" s="6"/>
      <c r="O389" s="5"/>
    </row>
    <row r="390" spans="1:15" x14ac:dyDescent="0.2">
      <c r="A390" s="3" t="str">
        <f>IF($B390="","",COUNTA($B$9:$B390))</f>
        <v/>
      </c>
      <c r="B390" s="4"/>
      <c r="C390" s="4"/>
      <c r="D390" s="4"/>
      <c r="E390" s="5"/>
      <c r="F390" s="3" t="str">
        <f t="shared" si="19"/>
        <v/>
      </c>
      <c r="G390" s="4"/>
      <c r="H390" s="3" t="str">
        <f t="shared" si="20"/>
        <v/>
      </c>
      <c r="I390" s="5"/>
      <c r="J390" s="5"/>
      <c r="K390" s="6"/>
      <c r="L390" s="6"/>
      <c r="M390" s="7" t="str">
        <f t="shared" si="21"/>
        <v/>
      </c>
      <c r="N390" s="6"/>
      <c r="O390" s="5"/>
    </row>
    <row r="391" spans="1:15" x14ac:dyDescent="0.2">
      <c r="A391" s="3" t="str">
        <f>IF($B391="","",COUNTA($B$9:$B391))</f>
        <v/>
      </c>
      <c r="B391" s="4"/>
      <c r="C391" s="4"/>
      <c r="D391" s="4"/>
      <c r="E391" s="5"/>
      <c r="F391" s="3" t="str">
        <f t="shared" si="19"/>
        <v/>
      </c>
      <c r="G391" s="4"/>
      <c r="H391" s="3" t="str">
        <f t="shared" si="20"/>
        <v/>
      </c>
      <c r="I391" s="5"/>
      <c r="J391" s="5"/>
      <c r="K391" s="6"/>
      <c r="L391" s="6"/>
      <c r="M391" s="7" t="str">
        <f t="shared" si="21"/>
        <v/>
      </c>
      <c r="N391" s="6"/>
      <c r="O391" s="5"/>
    </row>
    <row r="392" spans="1:15" x14ac:dyDescent="0.2">
      <c r="A392" s="3" t="str">
        <f>IF($B392="","",COUNTA($B$9:$B392))</f>
        <v/>
      </c>
      <c r="B392" s="4"/>
      <c r="C392" s="4"/>
      <c r="D392" s="4"/>
      <c r="E392" s="5"/>
      <c r="F392" s="3" t="str">
        <f t="shared" ref="F392:F455" si="22">IF($E392="","",IFERROR(VLOOKUP($E392,OpTbl,2,0),""))</f>
        <v/>
      </c>
      <c r="G392" s="4"/>
      <c r="H392" s="3" t="str">
        <f t="shared" ref="H392:H455" si="23">IF($G392="","",IFERROR(IF(VLOOKUP($G392,AcctTbl,4,0)="","(بدون نام)",VLOOKUP($G392,AcctTbl,4,0)),"کد ناشناخته"))</f>
        <v/>
      </c>
      <c r="I392" s="5"/>
      <c r="J392" s="5"/>
      <c r="K392" s="6"/>
      <c r="L392" s="6"/>
      <c r="M392" s="7" t="str">
        <f t="shared" ref="M392:M455" si="24">IF(OR($B392="",$K392=""),"",($K392-IF($L392="",0,$L392)*IFERROR(VLOOKUP("P01",ParamTbl,3,0),1.5))*(1-IF(IFERROR(VLOOKUP($E392,OpTbl,3,0),"")="خرید",IFERROR(VLOOKUP("P02",ParamTbl,3,0),1),0)/100))</f>
        <v/>
      </c>
      <c r="N392" s="6"/>
      <c r="O392" s="5"/>
    </row>
    <row r="393" spans="1:15" x14ac:dyDescent="0.2">
      <c r="A393" s="3" t="str">
        <f>IF($B393="","",COUNTA($B$9:$B393))</f>
        <v/>
      </c>
      <c r="B393" s="4"/>
      <c r="C393" s="4"/>
      <c r="D393" s="4"/>
      <c r="E393" s="5"/>
      <c r="F393" s="3" t="str">
        <f t="shared" si="22"/>
        <v/>
      </c>
      <c r="G393" s="4"/>
      <c r="H393" s="3" t="str">
        <f t="shared" si="23"/>
        <v/>
      </c>
      <c r="I393" s="5"/>
      <c r="J393" s="5"/>
      <c r="K393" s="6"/>
      <c r="L393" s="6"/>
      <c r="M393" s="7" t="str">
        <f t="shared" si="24"/>
        <v/>
      </c>
      <c r="N393" s="6"/>
      <c r="O393" s="5"/>
    </row>
    <row r="394" spans="1:15" x14ac:dyDescent="0.2">
      <c r="A394" s="3" t="str">
        <f>IF($B394="","",COUNTA($B$9:$B394))</f>
        <v/>
      </c>
      <c r="B394" s="4"/>
      <c r="C394" s="4"/>
      <c r="D394" s="4"/>
      <c r="E394" s="5"/>
      <c r="F394" s="3" t="str">
        <f t="shared" si="22"/>
        <v/>
      </c>
      <c r="G394" s="4"/>
      <c r="H394" s="3" t="str">
        <f t="shared" si="23"/>
        <v/>
      </c>
      <c r="I394" s="5"/>
      <c r="J394" s="5"/>
      <c r="K394" s="6"/>
      <c r="L394" s="6"/>
      <c r="M394" s="7" t="str">
        <f t="shared" si="24"/>
        <v/>
      </c>
      <c r="N394" s="6"/>
      <c r="O394" s="5"/>
    </row>
    <row r="395" spans="1:15" x14ac:dyDescent="0.2">
      <c r="A395" s="3" t="str">
        <f>IF($B395="","",COUNTA($B$9:$B395))</f>
        <v/>
      </c>
      <c r="B395" s="4"/>
      <c r="C395" s="4"/>
      <c r="D395" s="4"/>
      <c r="E395" s="5"/>
      <c r="F395" s="3" t="str">
        <f t="shared" si="22"/>
        <v/>
      </c>
      <c r="G395" s="4"/>
      <c r="H395" s="3" t="str">
        <f t="shared" si="23"/>
        <v/>
      </c>
      <c r="I395" s="5"/>
      <c r="J395" s="5"/>
      <c r="K395" s="6"/>
      <c r="L395" s="6"/>
      <c r="M395" s="7" t="str">
        <f t="shared" si="24"/>
        <v/>
      </c>
      <c r="N395" s="6"/>
      <c r="O395" s="5"/>
    </row>
    <row r="396" spans="1:15" x14ac:dyDescent="0.2">
      <c r="A396" s="3" t="str">
        <f>IF($B396="","",COUNTA($B$9:$B396))</f>
        <v/>
      </c>
      <c r="B396" s="4"/>
      <c r="C396" s="4"/>
      <c r="D396" s="4"/>
      <c r="E396" s="5"/>
      <c r="F396" s="3" t="str">
        <f t="shared" si="22"/>
        <v/>
      </c>
      <c r="G396" s="4"/>
      <c r="H396" s="3" t="str">
        <f t="shared" si="23"/>
        <v/>
      </c>
      <c r="I396" s="5"/>
      <c r="J396" s="5"/>
      <c r="K396" s="6"/>
      <c r="L396" s="6"/>
      <c r="M396" s="7" t="str">
        <f t="shared" si="24"/>
        <v/>
      </c>
      <c r="N396" s="6"/>
      <c r="O396" s="5"/>
    </row>
    <row r="397" spans="1:15" x14ac:dyDescent="0.2">
      <c r="A397" s="3" t="str">
        <f>IF($B397="","",COUNTA($B$9:$B397))</f>
        <v/>
      </c>
      <c r="B397" s="4"/>
      <c r="C397" s="4"/>
      <c r="D397" s="4"/>
      <c r="E397" s="5"/>
      <c r="F397" s="3" t="str">
        <f t="shared" si="22"/>
        <v/>
      </c>
      <c r="G397" s="4"/>
      <c r="H397" s="3" t="str">
        <f t="shared" si="23"/>
        <v/>
      </c>
      <c r="I397" s="5"/>
      <c r="J397" s="5"/>
      <c r="K397" s="6"/>
      <c r="L397" s="6"/>
      <c r="M397" s="7" t="str">
        <f t="shared" si="24"/>
        <v/>
      </c>
      <c r="N397" s="6"/>
      <c r="O397" s="5"/>
    </row>
    <row r="398" spans="1:15" x14ac:dyDescent="0.2">
      <c r="A398" s="3" t="str">
        <f>IF($B398="","",COUNTA($B$9:$B398))</f>
        <v/>
      </c>
      <c r="B398" s="4"/>
      <c r="C398" s="4"/>
      <c r="D398" s="4"/>
      <c r="E398" s="5"/>
      <c r="F398" s="3" t="str">
        <f t="shared" si="22"/>
        <v/>
      </c>
      <c r="G398" s="4"/>
      <c r="H398" s="3" t="str">
        <f t="shared" si="23"/>
        <v/>
      </c>
      <c r="I398" s="5"/>
      <c r="J398" s="5"/>
      <c r="K398" s="6"/>
      <c r="L398" s="6"/>
      <c r="M398" s="7" t="str">
        <f t="shared" si="24"/>
        <v/>
      </c>
      <c r="N398" s="6"/>
      <c r="O398" s="5"/>
    </row>
    <row r="399" spans="1:15" x14ac:dyDescent="0.2">
      <c r="A399" s="3" t="str">
        <f>IF($B399="","",COUNTA($B$9:$B399))</f>
        <v/>
      </c>
      <c r="B399" s="4"/>
      <c r="C399" s="4"/>
      <c r="D399" s="4"/>
      <c r="E399" s="5"/>
      <c r="F399" s="3" t="str">
        <f t="shared" si="22"/>
        <v/>
      </c>
      <c r="G399" s="4"/>
      <c r="H399" s="3" t="str">
        <f t="shared" si="23"/>
        <v/>
      </c>
      <c r="I399" s="5"/>
      <c r="J399" s="5"/>
      <c r="K399" s="6"/>
      <c r="L399" s="6"/>
      <c r="M399" s="7" t="str">
        <f t="shared" si="24"/>
        <v/>
      </c>
      <c r="N399" s="6"/>
      <c r="O399" s="5"/>
    </row>
    <row r="400" spans="1:15" x14ac:dyDescent="0.2">
      <c r="A400" s="3" t="str">
        <f>IF($B400="","",COUNTA($B$9:$B400))</f>
        <v/>
      </c>
      <c r="B400" s="4"/>
      <c r="C400" s="4"/>
      <c r="D400" s="4"/>
      <c r="E400" s="5"/>
      <c r="F400" s="3" t="str">
        <f t="shared" si="22"/>
        <v/>
      </c>
      <c r="G400" s="4"/>
      <c r="H400" s="3" t="str">
        <f t="shared" si="23"/>
        <v/>
      </c>
      <c r="I400" s="5"/>
      <c r="J400" s="5"/>
      <c r="K400" s="6"/>
      <c r="L400" s="6"/>
      <c r="M400" s="7" t="str">
        <f t="shared" si="24"/>
        <v/>
      </c>
      <c r="N400" s="6"/>
      <c r="O400" s="5"/>
    </row>
    <row r="401" spans="1:15" x14ac:dyDescent="0.2">
      <c r="A401" s="3" t="str">
        <f>IF($B401="","",COUNTA($B$9:$B401))</f>
        <v/>
      </c>
      <c r="B401" s="4"/>
      <c r="C401" s="4"/>
      <c r="D401" s="4"/>
      <c r="E401" s="5"/>
      <c r="F401" s="3" t="str">
        <f t="shared" si="22"/>
        <v/>
      </c>
      <c r="G401" s="4"/>
      <c r="H401" s="3" t="str">
        <f t="shared" si="23"/>
        <v/>
      </c>
      <c r="I401" s="5"/>
      <c r="J401" s="5"/>
      <c r="K401" s="6"/>
      <c r="L401" s="6"/>
      <c r="M401" s="7" t="str">
        <f t="shared" si="24"/>
        <v/>
      </c>
      <c r="N401" s="6"/>
      <c r="O401" s="5"/>
    </row>
    <row r="402" spans="1:15" x14ac:dyDescent="0.2">
      <c r="A402" s="3" t="str">
        <f>IF($B402="","",COUNTA($B$9:$B402))</f>
        <v/>
      </c>
      <c r="B402" s="4"/>
      <c r="C402" s="4"/>
      <c r="D402" s="4"/>
      <c r="E402" s="5"/>
      <c r="F402" s="3" t="str">
        <f t="shared" si="22"/>
        <v/>
      </c>
      <c r="G402" s="4"/>
      <c r="H402" s="3" t="str">
        <f t="shared" si="23"/>
        <v/>
      </c>
      <c r="I402" s="5"/>
      <c r="J402" s="5"/>
      <c r="K402" s="6"/>
      <c r="L402" s="6"/>
      <c r="M402" s="7" t="str">
        <f t="shared" si="24"/>
        <v/>
      </c>
      <c r="N402" s="6"/>
      <c r="O402" s="5"/>
    </row>
    <row r="403" spans="1:15" x14ac:dyDescent="0.2">
      <c r="A403" s="3" t="str">
        <f>IF($B403="","",COUNTA($B$9:$B403))</f>
        <v/>
      </c>
      <c r="B403" s="4"/>
      <c r="C403" s="4"/>
      <c r="D403" s="4"/>
      <c r="E403" s="5"/>
      <c r="F403" s="3" t="str">
        <f t="shared" si="22"/>
        <v/>
      </c>
      <c r="G403" s="4"/>
      <c r="H403" s="3" t="str">
        <f t="shared" si="23"/>
        <v/>
      </c>
      <c r="I403" s="5"/>
      <c r="J403" s="5"/>
      <c r="K403" s="6"/>
      <c r="L403" s="6"/>
      <c r="M403" s="7" t="str">
        <f t="shared" si="24"/>
        <v/>
      </c>
      <c r="N403" s="6"/>
      <c r="O403" s="5"/>
    </row>
    <row r="404" spans="1:15" x14ac:dyDescent="0.2">
      <c r="A404" s="3" t="str">
        <f>IF($B404="","",COUNTA($B$9:$B404))</f>
        <v/>
      </c>
      <c r="B404" s="4"/>
      <c r="C404" s="4"/>
      <c r="D404" s="4"/>
      <c r="E404" s="5"/>
      <c r="F404" s="3" t="str">
        <f t="shared" si="22"/>
        <v/>
      </c>
      <c r="G404" s="4"/>
      <c r="H404" s="3" t="str">
        <f t="shared" si="23"/>
        <v/>
      </c>
      <c r="I404" s="5"/>
      <c r="J404" s="5"/>
      <c r="K404" s="6"/>
      <c r="L404" s="6"/>
      <c r="M404" s="7" t="str">
        <f t="shared" si="24"/>
        <v/>
      </c>
      <c r="N404" s="6"/>
      <c r="O404" s="5"/>
    </row>
    <row r="405" spans="1:15" x14ac:dyDescent="0.2">
      <c r="A405" s="3" t="str">
        <f>IF($B405="","",COUNTA($B$9:$B405))</f>
        <v/>
      </c>
      <c r="B405" s="4"/>
      <c r="C405" s="4"/>
      <c r="D405" s="4"/>
      <c r="E405" s="5"/>
      <c r="F405" s="3" t="str">
        <f t="shared" si="22"/>
        <v/>
      </c>
      <c r="G405" s="4"/>
      <c r="H405" s="3" t="str">
        <f t="shared" si="23"/>
        <v/>
      </c>
      <c r="I405" s="5"/>
      <c r="J405" s="5"/>
      <c r="K405" s="6"/>
      <c r="L405" s="6"/>
      <c r="M405" s="7" t="str">
        <f t="shared" si="24"/>
        <v/>
      </c>
      <c r="N405" s="6"/>
      <c r="O405" s="5"/>
    </row>
    <row r="406" spans="1:15" x14ac:dyDescent="0.2">
      <c r="A406" s="3" t="str">
        <f>IF($B406="","",COUNTA($B$9:$B406))</f>
        <v/>
      </c>
      <c r="B406" s="4"/>
      <c r="C406" s="4"/>
      <c r="D406" s="4"/>
      <c r="E406" s="5"/>
      <c r="F406" s="3" t="str">
        <f t="shared" si="22"/>
        <v/>
      </c>
      <c r="G406" s="4"/>
      <c r="H406" s="3" t="str">
        <f t="shared" si="23"/>
        <v/>
      </c>
      <c r="I406" s="5"/>
      <c r="J406" s="5"/>
      <c r="K406" s="6"/>
      <c r="L406" s="6"/>
      <c r="M406" s="7" t="str">
        <f t="shared" si="24"/>
        <v/>
      </c>
      <c r="N406" s="6"/>
      <c r="O406" s="5"/>
    </row>
    <row r="407" spans="1:15" x14ac:dyDescent="0.2">
      <c r="A407" s="3" t="str">
        <f>IF($B407="","",COUNTA($B$9:$B407))</f>
        <v/>
      </c>
      <c r="B407" s="4"/>
      <c r="C407" s="4"/>
      <c r="D407" s="4"/>
      <c r="E407" s="5"/>
      <c r="F407" s="3" t="str">
        <f t="shared" si="22"/>
        <v/>
      </c>
      <c r="G407" s="4"/>
      <c r="H407" s="3" t="str">
        <f t="shared" si="23"/>
        <v/>
      </c>
      <c r="I407" s="5"/>
      <c r="J407" s="5"/>
      <c r="K407" s="6"/>
      <c r="L407" s="6"/>
      <c r="M407" s="7" t="str">
        <f t="shared" si="24"/>
        <v/>
      </c>
      <c r="N407" s="6"/>
      <c r="O407" s="5"/>
    </row>
    <row r="408" spans="1:15" x14ac:dyDescent="0.2">
      <c r="A408" s="3" t="str">
        <f>IF($B408="","",COUNTA($B$9:$B408))</f>
        <v/>
      </c>
      <c r="B408" s="4"/>
      <c r="C408" s="4"/>
      <c r="D408" s="4"/>
      <c r="E408" s="5"/>
      <c r="F408" s="3" t="str">
        <f t="shared" si="22"/>
        <v/>
      </c>
      <c r="G408" s="4"/>
      <c r="H408" s="3" t="str">
        <f t="shared" si="23"/>
        <v/>
      </c>
      <c r="I408" s="5"/>
      <c r="J408" s="5"/>
      <c r="K408" s="6"/>
      <c r="L408" s="6"/>
      <c r="M408" s="7" t="str">
        <f t="shared" si="24"/>
        <v/>
      </c>
      <c r="N408" s="6"/>
      <c r="O408" s="5"/>
    </row>
    <row r="409" spans="1:15" x14ac:dyDescent="0.2">
      <c r="A409" s="3" t="str">
        <f>IF($B409="","",COUNTA($B$9:$B409))</f>
        <v/>
      </c>
      <c r="B409" s="4"/>
      <c r="C409" s="4"/>
      <c r="D409" s="4"/>
      <c r="E409" s="5"/>
      <c r="F409" s="3" t="str">
        <f t="shared" si="22"/>
        <v/>
      </c>
      <c r="G409" s="4"/>
      <c r="H409" s="3" t="str">
        <f t="shared" si="23"/>
        <v/>
      </c>
      <c r="I409" s="5"/>
      <c r="J409" s="5"/>
      <c r="K409" s="6"/>
      <c r="L409" s="6"/>
      <c r="M409" s="7" t="str">
        <f t="shared" si="24"/>
        <v/>
      </c>
      <c r="N409" s="6"/>
      <c r="O409" s="5"/>
    </row>
    <row r="410" spans="1:15" x14ac:dyDescent="0.2">
      <c r="A410" s="3" t="str">
        <f>IF($B410="","",COUNTA($B$9:$B410))</f>
        <v/>
      </c>
      <c r="B410" s="4"/>
      <c r="C410" s="4"/>
      <c r="D410" s="4"/>
      <c r="E410" s="5"/>
      <c r="F410" s="3" t="str">
        <f t="shared" si="22"/>
        <v/>
      </c>
      <c r="G410" s="4"/>
      <c r="H410" s="3" t="str">
        <f t="shared" si="23"/>
        <v/>
      </c>
      <c r="I410" s="5"/>
      <c r="J410" s="5"/>
      <c r="K410" s="6"/>
      <c r="L410" s="6"/>
      <c r="M410" s="7" t="str">
        <f t="shared" si="24"/>
        <v/>
      </c>
      <c r="N410" s="6"/>
      <c r="O410" s="5"/>
    </row>
    <row r="411" spans="1:15" x14ac:dyDescent="0.2">
      <c r="A411" s="3" t="str">
        <f>IF($B411="","",COUNTA($B$9:$B411))</f>
        <v/>
      </c>
      <c r="B411" s="4"/>
      <c r="C411" s="4"/>
      <c r="D411" s="4"/>
      <c r="E411" s="5"/>
      <c r="F411" s="3" t="str">
        <f t="shared" si="22"/>
        <v/>
      </c>
      <c r="G411" s="4"/>
      <c r="H411" s="3" t="str">
        <f t="shared" si="23"/>
        <v/>
      </c>
      <c r="I411" s="5"/>
      <c r="J411" s="5"/>
      <c r="K411" s="6"/>
      <c r="L411" s="6"/>
      <c r="M411" s="7" t="str">
        <f t="shared" si="24"/>
        <v/>
      </c>
      <c r="N411" s="6"/>
      <c r="O411" s="5"/>
    </row>
    <row r="412" spans="1:15" x14ac:dyDescent="0.2">
      <c r="A412" s="3" t="str">
        <f>IF($B412="","",COUNTA($B$9:$B412))</f>
        <v/>
      </c>
      <c r="B412" s="4"/>
      <c r="C412" s="4"/>
      <c r="D412" s="4"/>
      <c r="E412" s="5"/>
      <c r="F412" s="3" t="str">
        <f t="shared" si="22"/>
        <v/>
      </c>
      <c r="G412" s="4"/>
      <c r="H412" s="3" t="str">
        <f t="shared" si="23"/>
        <v/>
      </c>
      <c r="I412" s="5"/>
      <c r="J412" s="5"/>
      <c r="K412" s="6"/>
      <c r="L412" s="6"/>
      <c r="M412" s="7" t="str">
        <f t="shared" si="24"/>
        <v/>
      </c>
      <c r="N412" s="6"/>
      <c r="O412" s="5"/>
    </row>
    <row r="413" spans="1:15" x14ac:dyDescent="0.2">
      <c r="A413" s="3" t="str">
        <f>IF($B413="","",COUNTA($B$9:$B413))</f>
        <v/>
      </c>
      <c r="B413" s="4"/>
      <c r="C413" s="4"/>
      <c r="D413" s="4"/>
      <c r="E413" s="5"/>
      <c r="F413" s="3" t="str">
        <f t="shared" si="22"/>
        <v/>
      </c>
      <c r="G413" s="4"/>
      <c r="H413" s="3" t="str">
        <f t="shared" si="23"/>
        <v/>
      </c>
      <c r="I413" s="5"/>
      <c r="J413" s="5"/>
      <c r="K413" s="6"/>
      <c r="L413" s="6"/>
      <c r="M413" s="7" t="str">
        <f t="shared" si="24"/>
        <v/>
      </c>
      <c r="N413" s="6"/>
      <c r="O413" s="5"/>
    </row>
    <row r="414" spans="1:15" x14ac:dyDescent="0.2">
      <c r="A414" s="3" t="str">
        <f>IF($B414="","",COUNTA($B$9:$B414))</f>
        <v/>
      </c>
      <c r="B414" s="4"/>
      <c r="C414" s="4"/>
      <c r="D414" s="4"/>
      <c r="E414" s="5"/>
      <c r="F414" s="3" t="str">
        <f t="shared" si="22"/>
        <v/>
      </c>
      <c r="G414" s="4"/>
      <c r="H414" s="3" t="str">
        <f t="shared" si="23"/>
        <v/>
      </c>
      <c r="I414" s="5"/>
      <c r="J414" s="5"/>
      <c r="K414" s="6"/>
      <c r="L414" s="6"/>
      <c r="M414" s="7" t="str">
        <f t="shared" si="24"/>
        <v/>
      </c>
      <c r="N414" s="6"/>
      <c r="O414" s="5"/>
    </row>
    <row r="415" spans="1:15" x14ac:dyDescent="0.2">
      <c r="A415" s="3" t="str">
        <f>IF($B415="","",COUNTA($B$9:$B415))</f>
        <v/>
      </c>
      <c r="B415" s="4"/>
      <c r="C415" s="4"/>
      <c r="D415" s="4"/>
      <c r="E415" s="5"/>
      <c r="F415" s="3" t="str">
        <f t="shared" si="22"/>
        <v/>
      </c>
      <c r="G415" s="4"/>
      <c r="H415" s="3" t="str">
        <f t="shared" si="23"/>
        <v/>
      </c>
      <c r="I415" s="5"/>
      <c r="J415" s="5"/>
      <c r="K415" s="6"/>
      <c r="L415" s="6"/>
      <c r="M415" s="7" t="str">
        <f t="shared" si="24"/>
        <v/>
      </c>
      <c r="N415" s="6"/>
      <c r="O415" s="5"/>
    </row>
    <row r="416" spans="1:15" x14ac:dyDescent="0.2">
      <c r="A416" s="3" t="str">
        <f>IF($B416="","",COUNTA($B$9:$B416))</f>
        <v/>
      </c>
      <c r="B416" s="4"/>
      <c r="C416" s="4"/>
      <c r="D416" s="4"/>
      <c r="E416" s="5"/>
      <c r="F416" s="3" t="str">
        <f t="shared" si="22"/>
        <v/>
      </c>
      <c r="G416" s="4"/>
      <c r="H416" s="3" t="str">
        <f t="shared" si="23"/>
        <v/>
      </c>
      <c r="I416" s="5"/>
      <c r="J416" s="5"/>
      <c r="K416" s="6"/>
      <c r="L416" s="6"/>
      <c r="M416" s="7" t="str">
        <f t="shared" si="24"/>
        <v/>
      </c>
      <c r="N416" s="6"/>
      <c r="O416" s="5"/>
    </row>
    <row r="417" spans="1:15" x14ac:dyDescent="0.2">
      <c r="A417" s="3" t="str">
        <f>IF($B417="","",COUNTA($B$9:$B417))</f>
        <v/>
      </c>
      <c r="B417" s="4"/>
      <c r="C417" s="4"/>
      <c r="D417" s="4"/>
      <c r="E417" s="5"/>
      <c r="F417" s="3" t="str">
        <f t="shared" si="22"/>
        <v/>
      </c>
      <c r="G417" s="4"/>
      <c r="H417" s="3" t="str">
        <f t="shared" si="23"/>
        <v/>
      </c>
      <c r="I417" s="5"/>
      <c r="J417" s="5"/>
      <c r="K417" s="6"/>
      <c r="L417" s="6"/>
      <c r="M417" s="7" t="str">
        <f t="shared" si="24"/>
        <v/>
      </c>
      <c r="N417" s="6"/>
      <c r="O417" s="5"/>
    </row>
    <row r="418" spans="1:15" x14ac:dyDescent="0.2">
      <c r="A418" s="3" t="str">
        <f>IF($B418="","",COUNTA($B$9:$B418))</f>
        <v/>
      </c>
      <c r="B418" s="4"/>
      <c r="C418" s="4"/>
      <c r="D418" s="4"/>
      <c r="E418" s="5"/>
      <c r="F418" s="3" t="str">
        <f t="shared" si="22"/>
        <v/>
      </c>
      <c r="G418" s="4"/>
      <c r="H418" s="3" t="str">
        <f t="shared" si="23"/>
        <v/>
      </c>
      <c r="I418" s="5"/>
      <c r="J418" s="5"/>
      <c r="K418" s="6"/>
      <c r="L418" s="6"/>
      <c r="M418" s="7" t="str">
        <f t="shared" si="24"/>
        <v/>
      </c>
      <c r="N418" s="6"/>
      <c r="O418" s="5"/>
    </row>
    <row r="419" spans="1:15" x14ac:dyDescent="0.2">
      <c r="A419" s="3" t="str">
        <f>IF($B419="","",COUNTA($B$9:$B419))</f>
        <v/>
      </c>
      <c r="B419" s="4"/>
      <c r="C419" s="4"/>
      <c r="D419" s="4"/>
      <c r="E419" s="5"/>
      <c r="F419" s="3" t="str">
        <f t="shared" si="22"/>
        <v/>
      </c>
      <c r="G419" s="4"/>
      <c r="H419" s="3" t="str">
        <f t="shared" si="23"/>
        <v/>
      </c>
      <c r="I419" s="5"/>
      <c r="J419" s="5"/>
      <c r="K419" s="6"/>
      <c r="L419" s="6"/>
      <c r="M419" s="7" t="str">
        <f t="shared" si="24"/>
        <v/>
      </c>
      <c r="N419" s="6"/>
      <c r="O419" s="5"/>
    </row>
    <row r="420" spans="1:15" x14ac:dyDescent="0.2">
      <c r="A420" s="3" t="str">
        <f>IF($B420="","",COUNTA($B$9:$B420))</f>
        <v/>
      </c>
      <c r="B420" s="4"/>
      <c r="C420" s="4"/>
      <c r="D420" s="4"/>
      <c r="E420" s="5"/>
      <c r="F420" s="3" t="str">
        <f t="shared" si="22"/>
        <v/>
      </c>
      <c r="G420" s="4"/>
      <c r="H420" s="3" t="str">
        <f t="shared" si="23"/>
        <v/>
      </c>
      <c r="I420" s="5"/>
      <c r="J420" s="5"/>
      <c r="K420" s="6"/>
      <c r="L420" s="6"/>
      <c r="M420" s="7" t="str">
        <f t="shared" si="24"/>
        <v/>
      </c>
      <c r="N420" s="6"/>
      <c r="O420" s="5"/>
    </row>
    <row r="421" spans="1:15" x14ac:dyDescent="0.2">
      <c r="A421" s="3" t="str">
        <f>IF($B421="","",COUNTA($B$9:$B421))</f>
        <v/>
      </c>
      <c r="B421" s="4"/>
      <c r="C421" s="4"/>
      <c r="D421" s="4"/>
      <c r="E421" s="5"/>
      <c r="F421" s="3" t="str">
        <f t="shared" si="22"/>
        <v/>
      </c>
      <c r="G421" s="4"/>
      <c r="H421" s="3" t="str">
        <f t="shared" si="23"/>
        <v/>
      </c>
      <c r="I421" s="5"/>
      <c r="J421" s="5"/>
      <c r="K421" s="6"/>
      <c r="L421" s="6"/>
      <c r="M421" s="7" t="str">
        <f t="shared" si="24"/>
        <v/>
      </c>
      <c r="N421" s="6"/>
      <c r="O421" s="5"/>
    </row>
    <row r="422" spans="1:15" x14ac:dyDescent="0.2">
      <c r="A422" s="3" t="str">
        <f>IF($B422="","",COUNTA($B$9:$B422))</f>
        <v/>
      </c>
      <c r="B422" s="4"/>
      <c r="C422" s="4"/>
      <c r="D422" s="4"/>
      <c r="E422" s="5"/>
      <c r="F422" s="3" t="str">
        <f t="shared" si="22"/>
        <v/>
      </c>
      <c r="G422" s="4"/>
      <c r="H422" s="3" t="str">
        <f t="shared" si="23"/>
        <v/>
      </c>
      <c r="I422" s="5"/>
      <c r="J422" s="5"/>
      <c r="K422" s="6"/>
      <c r="L422" s="6"/>
      <c r="M422" s="7" t="str">
        <f t="shared" si="24"/>
        <v/>
      </c>
      <c r="N422" s="6"/>
      <c r="O422" s="5"/>
    </row>
    <row r="423" spans="1:15" x14ac:dyDescent="0.2">
      <c r="A423" s="3" t="str">
        <f>IF($B423="","",COUNTA($B$9:$B423))</f>
        <v/>
      </c>
      <c r="B423" s="4"/>
      <c r="C423" s="4"/>
      <c r="D423" s="4"/>
      <c r="E423" s="5"/>
      <c r="F423" s="3" t="str">
        <f t="shared" si="22"/>
        <v/>
      </c>
      <c r="G423" s="4"/>
      <c r="H423" s="3" t="str">
        <f t="shared" si="23"/>
        <v/>
      </c>
      <c r="I423" s="5"/>
      <c r="J423" s="5"/>
      <c r="K423" s="6"/>
      <c r="L423" s="6"/>
      <c r="M423" s="7" t="str">
        <f t="shared" si="24"/>
        <v/>
      </c>
      <c r="N423" s="6"/>
      <c r="O423" s="5"/>
    </row>
    <row r="424" spans="1:15" x14ac:dyDescent="0.2">
      <c r="A424" s="3" t="str">
        <f>IF($B424="","",COUNTA($B$9:$B424))</f>
        <v/>
      </c>
      <c r="B424" s="4"/>
      <c r="C424" s="4"/>
      <c r="D424" s="4"/>
      <c r="E424" s="5"/>
      <c r="F424" s="3" t="str">
        <f t="shared" si="22"/>
        <v/>
      </c>
      <c r="G424" s="4"/>
      <c r="H424" s="3" t="str">
        <f t="shared" si="23"/>
        <v/>
      </c>
      <c r="I424" s="5"/>
      <c r="J424" s="5"/>
      <c r="K424" s="6"/>
      <c r="L424" s="6"/>
      <c r="M424" s="7" t="str">
        <f t="shared" si="24"/>
        <v/>
      </c>
      <c r="N424" s="6"/>
      <c r="O424" s="5"/>
    </row>
    <row r="425" spans="1:15" x14ac:dyDescent="0.2">
      <c r="A425" s="3" t="str">
        <f>IF($B425="","",COUNTA($B$9:$B425))</f>
        <v/>
      </c>
      <c r="B425" s="4"/>
      <c r="C425" s="4"/>
      <c r="D425" s="4"/>
      <c r="E425" s="5"/>
      <c r="F425" s="3" t="str">
        <f t="shared" si="22"/>
        <v/>
      </c>
      <c r="G425" s="4"/>
      <c r="H425" s="3" t="str">
        <f t="shared" si="23"/>
        <v/>
      </c>
      <c r="I425" s="5"/>
      <c r="J425" s="5"/>
      <c r="K425" s="6"/>
      <c r="L425" s="6"/>
      <c r="M425" s="7" t="str">
        <f t="shared" si="24"/>
        <v/>
      </c>
      <c r="N425" s="6"/>
      <c r="O425" s="5"/>
    </row>
    <row r="426" spans="1:15" x14ac:dyDescent="0.2">
      <c r="A426" s="3" t="str">
        <f>IF($B426="","",COUNTA($B$9:$B426))</f>
        <v/>
      </c>
      <c r="B426" s="4"/>
      <c r="C426" s="4"/>
      <c r="D426" s="4"/>
      <c r="E426" s="5"/>
      <c r="F426" s="3" t="str">
        <f t="shared" si="22"/>
        <v/>
      </c>
      <c r="G426" s="4"/>
      <c r="H426" s="3" t="str">
        <f t="shared" si="23"/>
        <v/>
      </c>
      <c r="I426" s="5"/>
      <c r="J426" s="5"/>
      <c r="K426" s="6"/>
      <c r="L426" s="6"/>
      <c r="M426" s="7" t="str">
        <f t="shared" si="24"/>
        <v/>
      </c>
      <c r="N426" s="6"/>
      <c r="O426" s="5"/>
    </row>
    <row r="427" spans="1:15" x14ac:dyDescent="0.2">
      <c r="A427" s="3" t="str">
        <f>IF($B427="","",COUNTA($B$9:$B427))</f>
        <v/>
      </c>
      <c r="B427" s="4"/>
      <c r="C427" s="4"/>
      <c r="D427" s="4"/>
      <c r="E427" s="5"/>
      <c r="F427" s="3" t="str">
        <f t="shared" si="22"/>
        <v/>
      </c>
      <c r="G427" s="4"/>
      <c r="H427" s="3" t="str">
        <f t="shared" si="23"/>
        <v/>
      </c>
      <c r="I427" s="5"/>
      <c r="J427" s="5"/>
      <c r="K427" s="6"/>
      <c r="L427" s="6"/>
      <c r="M427" s="7" t="str">
        <f t="shared" si="24"/>
        <v/>
      </c>
      <c r="N427" s="6"/>
      <c r="O427" s="5"/>
    </row>
    <row r="428" spans="1:15" x14ac:dyDescent="0.2">
      <c r="A428" s="3" t="str">
        <f>IF($B428="","",COUNTA($B$9:$B428))</f>
        <v/>
      </c>
      <c r="B428" s="4"/>
      <c r="C428" s="4"/>
      <c r="D428" s="4"/>
      <c r="E428" s="5"/>
      <c r="F428" s="3" t="str">
        <f t="shared" si="22"/>
        <v/>
      </c>
      <c r="G428" s="4"/>
      <c r="H428" s="3" t="str">
        <f t="shared" si="23"/>
        <v/>
      </c>
      <c r="I428" s="5"/>
      <c r="J428" s="5"/>
      <c r="K428" s="6"/>
      <c r="L428" s="6"/>
      <c r="M428" s="7" t="str">
        <f t="shared" si="24"/>
        <v/>
      </c>
      <c r="N428" s="6"/>
      <c r="O428" s="5"/>
    </row>
    <row r="429" spans="1:15" x14ac:dyDescent="0.2">
      <c r="A429" s="3" t="str">
        <f>IF($B429="","",COUNTA($B$9:$B429))</f>
        <v/>
      </c>
      <c r="B429" s="4"/>
      <c r="C429" s="4"/>
      <c r="D429" s="4"/>
      <c r="E429" s="5"/>
      <c r="F429" s="3" t="str">
        <f t="shared" si="22"/>
        <v/>
      </c>
      <c r="G429" s="4"/>
      <c r="H429" s="3" t="str">
        <f t="shared" si="23"/>
        <v/>
      </c>
      <c r="I429" s="5"/>
      <c r="J429" s="5"/>
      <c r="K429" s="6"/>
      <c r="L429" s="6"/>
      <c r="M429" s="7" t="str">
        <f t="shared" si="24"/>
        <v/>
      </c>
      <c r="N429" s="6"/>
      <c r="O429" s="5"/>
    </row>
    <row r="430" spans="1:15" x14ac:dyDescent="0.2">
      <c r="A430" s="3" t="str">
        <f>IF($B430="","",COUNTA($B$9:$B430))</f>
        <v/>
      </c>
      <c r="B430" s="4"/>
      <c r="C430" s="4"/>
      <c r="D430" s="4"/>
      <c r="E430" s="5"/>
      <c r="F430" s="3" t="str">
        <f t="shared" si="22"/>
        <v/>
      </c>
      <c r="G430" s="4"/>
      <c r="H430" s="3" t="str">
        <f t="shared" si="23"/>
        <v/>
      </c>
      <c r="I430" s="5"/>
      <c r="J430" s="5"/>
      <c r="K430" s="6"/>
      <c r="L430" s="6"/>
      <c r="M430" s="7" t="str">
        <f t="shared" si="24"/>
        <v/>
      </c>
      <c r="N430" s="6"/>
      <c r="O430" s="5"/>
    </row>
    <row r="431" spans="1:15" x14ac:dyDescent="0.2">
      <c r="A431" s="3" t="str">
        <f>IF($B431="","",COUNTA($B$9:$B431))</f>
        <v/>
      </c>
      <c r="B431" s="4"/>
      <c r="C431" s="4"/>
      <c r="D431" s="4"/>
      <c r="E431" s="5"/>
      <c r="F431" s="3" t="str">
        <f t="shared" si="22"/>
        <v/>
      </c>
      <c r="G431" s="4"/>
      <c r="H431" s="3" t="str">
        <f t="shared" si="23"/>
        <v/>
      </c>
      <c r="I431" s="5"/>
      <c r="J431" s="5"/>
      <c r="K431" s="6"/>
      <c r="L431" s="6"/>
      <c r="M431" s="7" t="str">
        <f t="shared" si="24"/>
        <v/>
      </c>
      <c r="N431" s="6"/>
      <c r="O431" s="5"/>
    </row>
    <row r="432" spans="1:15" x14ac:dyDescent="0.2">
      <c r="A432" s="3" t="str">
        <f>IF($B432="","",COUNTA($B$9:$B432))</f>
        <v/>
      </c>
      <c r="B432" s="4"/>
      <c r="C432" s="4"/>
      <c r="D432" s="4"/>
      <c r="E432" s="5"/>
      <c r="F432" s="3" t="str">
        <f t="shared" si="22"/>
        <v/>
      </c>
      <c r="G432" s="4"/>
      <c r="H432" s="3" t="str">
        <f t="shared" si="23"/>
        <v/>
      </c>
      <c r="I432" s="5"/>
      <c r="J432" s="5"/>
      <c r="K432" s="6"/>
      <c r="L432" s="6"/>
      <c r="M432" s="7" t="str">
        <f t="shared" si="24"/>
        <v/>
      </c>
      <c r="N432" s="6"/>
      <c r="O432" s="5"/>
    </row>
    <row r="433" spans="1:15" x14ac:dyDescent="0.2">
      <c r="A433" s="3" t="str">
        <f>IF($B433="","",COUNTA($B$9:$B433))</f>
        <v/>
      </c>
      <c r="B433" s="4"/>
      <c r="C433" s="4"/>
      <c r="D433" s="4"/>
      <c r="E433" s="5"/>
      <c r="F433" s="3" t="str">
        <f t="shared" si="22"/>
        <v/>
      </c>
      <c r="G433" s="4"/>
      <c r="H433" s="3" t="str">
        <f t="shared" si="23"/>
        <v/>
      </c>
      <c r="I433" s="5"/>
      <c r="J433" s="5"/>
      <c r="K433" s="6"/>
      <c r="L433" s="6"/>
      <c r="M433" s="7" t="str">
        <f t="shared" si="24"/>
        <v/>
      </c>
      <c r="N433" s="6"/>
      <c r="O433" s="5"/>
    </row>
    <row r="434" spans="1:15" x14ac:dyDescent="0.2">
      <c r="A434" s="3" t="str">
        <f>IF($B434="","",COUNTA($B$9:$B434))</f>
        <v/>
      </c>
      <c r="B434" s="4"/>
      <c r="C434" s="4"/>
      <c r="D434" s="4"/>
      <c r="E434" s="5"/>
      <c r="F434" s="3" t="str">
        <f t="shared" si="22"/>
        <v/>
      </c>
      <c r="G434" s="4"/>
      <c r="H434" s="3" t="str">
        <f t="shared" si="23"/>
        <v/>
      </c>
      <c r="I434" s="5"/>
      <c r="J434" s="5"/>
      <c r="K434" s="6"/>
      <c r="L434" s="6"/>
      <c r="M434" s="7" t="str">
        <f t="shared" si="24"/>
        <v/>
      </c>
      <c r="N434" s="6"/>
      <c r="O434" s="5"/>
    </row>
    <row r="435" spans="1:15" x14ac:dyDescent="0.2">
      <c r="A435" s="3" t="str">
        <f>IF($B435="","",COUNTA($B$9:$B435))</f>
        <v/>
      </c>
      <c r="B435" s="4"/>
      <c r="C435" s="4"/>
      <c r="D435" s="4"/>
      <c r="E435" s="5"/>
      <c r="F435" s="3" t="str">
        <f t="shared" si="22"/>
        <v/>
      </c>
      <c r="G435" s="4"/>
      <c r="H435" s="3" t="str">
        <f t="shared" si="23"/>
        <v/>
      </c>
      <c r="I435" s="5"/>
      <c r="J435" s="5"/>
      <c r="K435" s="6"/>
      <c r="L435" s="6"/>
      <c r="M435" s="7" t="str">
        <f t="shared" si="24"/>
        <v/>
      </c>
      <c r="N435" s="6"/>
      <c r="O435" s="5"/>
    </row>
    <row r="436" spans="1:15" x14ac:dyDescent="0.2">
      <c r="A436" s="3" t="str">
        <f>IF($B436="","",COUNTA($B$9:$B436))</f>
        <v/>
      </c>
      <c r="B436" s="4"/>
      <c r="C436" s="4"/>
      <c r="D436" s="4"/>
      <c r="E436" s="5"/>
      <c r="F436" s="3" t="str">
        <f t="shared" si="22"/>
        <v/>
      </c>
      <c r="G436" s="4"/>
      <c r="H436" s="3" t="str">
        <f t="shared" si="23"/>
        <v/>
      </c>
      <c r="I436" s="5"/>
      <c r="J436" s="5"/>
      <c r="K436" s="6"/>
      <c r="L436" s="6"/>
      <c r="M436" s="7" t="str">
        <f t="shared" si="24"/>
        <v/>
      </c>
      <c r="N436" s="6"/>
      <c r="O436" s="5"/>
    </row>
    <row r="437" spans="1:15" x14ac:dyDescent="0.2">
      <c r="A437" s="3" t="str">
        <f>IF($B437="","",COUNTA($B$9:$B437))</f>
        <v/>
      </c>
      <c r="B437" s="4"/>
      <c r="C437" s="4"/>
      <c r="D437" s="4"/>
      <c r="E437" s="5"/>
      <c r="F437" s="3" t="str">
        <f t="shared" si="22"/>
        <v/>
      </c>
      <c r="G437" s="4"/>
      <c r="H437" s="3" t="str">
        <f t="shared" si="23"/>
        <v/>
      </c>
      <c r="I437" s="5"/>
      <c r="J437" s="5"/>
      <c r="K437" s="6"/>
      <c r="L437" s="6"/>
      <c r="M437" s="7" t="str">
        <f t="shared" si="24"/>
        <v/>
      </c>
      <c r="N437" s="6"/>
      <c r="O437" s="5"/>
    </row>
    <row r="438" spans="1:15" x14ac:dyDescent="0.2">
      <c r="A438" s="3" t="str">
        <f>IF($B438="","",COUNTA($B$9:$B438))</f>
        <v/>
      </c>
      <c r="B438" s="4"/>
      <c r="C438" s="4"/>
      <c r="D438" s="4"/>
      <c r="E438" s="5"/>
      <c r="F438" s="3" t="str">
        <f t="shared" si="22"/>
        <v/>
      </c>
      <c r="G438" s="4"/>
      <c r="H438" s="3" t="str">
        <f t="shared" si="23"/>
        <v/>
      </c>
      <c r="I438" s="5"/>
      <c r="J438" s="5"/>
      <c r="K438" s="6"/>
      <c r="L438" s="6"/>
      <c r="M438" s="7" t="str">
        <f t="shared" si="24"/>
        <v/>
      </c>
      <c r="N438" s="6"/>
      <c r="O438" s="5"/>
    </row>
    <row r="439" spans="1:15" x14ac:dyDescent="0.2">
      <c r="A439" s="3" t="str">
        <f>IF($B439="","",COUNTA($B$9:$B439))</f>
        <v/>
      </c>
      <c r="B439" s="4"/>
      <c r="C439" s="4"/>
      <c r="D439" s="4"/>
      <c r="E439" s="5"/>
      <c r="F439" s="3" t="str">
        <f t="shared" si="22"/>
        <v/>
      </c>
      <c r="G439" s="4"/>
      <c r="H439" s="3" t="str">
        <f t="shared" si="23"/>
        <v/>
      </c>
      <c r="I439" s="5"/>
      <c r="J439" s="5"/>
      <c r="K439" s="6"/>
      <c r="L439" s="6"/>
      <c r="M439" s="7" t="str">
        <f t="shared" si="24"/>
        <v/>
      </c>
      <c r="N439" s="6"/>
      <c r="O439" s="5"/>
    </row>
    <row r="440" spans="1:15" x14ac:dyDescent="0.2">
      <c r="A440" s="3" t="str">
        <f>IF($B440="","",COUNTA($B$9:$B440))</f>
        <v/>
      </c>
      <c r="B440" s="4"/>
      <c r="C440" s="4"/>
      <c r="D440" s="4"/>
      <c r="E440" s="5"/>
      <c r="F440" s="3" t="str">
        <f t="shared" si="22"/>
        <v/>
      </c>
      <c r="G440" s="4"/>
      <c r="H440" s="3" t="str">
        <f t="shared" si="23"/>
        <v/>
      </c>
      <c r="I440" s="5"/>
      <c r="J440" s="5"/>
      <c r="K440" s="6"/>
      <c r="L440" s="6"/>
      <c r="M440" s="7" t="str">
        <f t="shared" si="24"/>
        <v/>
      </c>
      <c r="N440" s="6"/>
      <c r="O440" s="5"/>
    </row>
    <row r="441" spans="1:15" x14ac:dyDescent="0.2">
      <c r="A441" s="3" t="str">
        <f>IF($B441="","",COUNTA($B$9:$B441))</f>
        <v/>
      </c>
      <c r="B441" s="4"/>
      <c r="C441" s="4"/>
      <c r="D441" s="4"/>
      <c r="E441" s="5"/>
      <c r="F441" s="3" t="str">
        <f t="shared" si="22"/>
        <v/>
      </c>
      <c r="G441" s="4"/>
      <c r="H441" s="3" t="str">
        <f t="shared" si="23"/>
        <v/>
      </c>
      <c r="I441" s="5"/>
      <c r="J441" s="5"/>
      <c r="K441" s="6"/>
      <c r="L441" s="6"/>
      <c r="M441" s="7" t="str">
        <f t="shared" si="24"/>
        <v/>
      </c>
      <c r="N441" s="6"/>
      <c r="O441" s="5"/>
    </row>
    <row r="442" spans="1:15" x14ac:dyDescent="0.2">
      <c r="A442" s="3" t="str">
        <f>IF($B442="","",COUNTA($B$9:$B442))</f>
        <v/>
      </c>
      <c r="B442" s="4"/>
      <c r="C442" s="4"/>
      <c r="D442" s="4"/>
      <c r="E442" s="5"/>
      <c r="F442" s="3" t="str">
        <f t="shared" si="22"/>
        <v/>
      </c>
      <c r="G442" s="4"/>
      <c r="H442" s="3" t="str">
        <f t="shared" si="23"/>
        <v/>
      </c>
      <c r="I442" s="5"/>
      <c r="J442" s="5"/>
      <c r="K442" s="6"/>
      <c r="L442" s="6"/>
      <c r="M442" s="7" t="str">
        <f t="shared" si="24"/>
        <v/>
      </c>
      <c r="N442" s="6"/>
      <c r="O442" s="5"/>
    </row>
    <row r="443" spans="1:15" x14ac:dyDescent="0.2">
      <c r="A443" s="3" t="str">
        <f>IF($B443="","",COUNTA($B$9:$B443))</f>
        <v/>
      </c>
      <c r="B443" s="4"/>
      <c r="C443" s="4"/>
      <c r="D443" s="4"/>
      <c r="E443" s="5"/>
      <c r="F443" s="3" t="str">
        <f t="shared" si="22"/>
        <v/>
      </c>
      <c r="G443" s="4"/>
      <c r="H443" s="3" t="str">
        <f t="shared" si="23"/>
        <v/>
      </c>
      <c r="I443" s="5"/>
      <c r="J443" s="5"/>
      <c r="K443" s="6"/>
      <c r="L443" s="6"/>
      <c r="M443" s="7" t="str">
        <f t="shared" si="24"/>
        <v/>
      </c>
      <c r="N443" s="6"/>
      <c r="O443" s="5"/>
    </row>
    <row r="444" spans="1:15" x14ac:dyDescent="0.2">
      <c r="A444" s="3" t="str">
        <f>IF($B444="","",COUNTA($B$9:$B444))</f>
        <v/>
      </c>
      <c r="B444" s="4"/>
      <c r="C444" s="4"/>
      <c r="D444" s="4"/>
      <c r="E444" s="5"/>
      <c r="F444" s="3" t="str">
        <f t="shared" si="22"/>
        <v/>
      </c>
      <c r="G444" s="4"/>
      <c r="H444" s="3" t="str">
        <f t="shared" si="23"/>
        <v/>
      </c>
      <c r="I444" s="5"/>
      <c r="J444" s="5"/>
      <c r="K444" s="6"/>
      <c r="L444" s="6"/>
      <c r="M444" s="7" t="str">
        <f t="shared" si="24"/>
        <v/>
      </c>
      <c r="N444" s="6"/>
      <c r="O444" s="5"/>
    </row>
    <row r="445" spans="1:15" x14ac:dyDescent="0.2">
      <c r="A445" s="3" t="str">
        <f>IF($B445="","",COUNTA($B$9:$B445))</f>
        <v/>
      </c>
      <c r="B445" s="4"/>
      <c r="C445" s="4"/>
      <c r="D445" s="4"/>
      <c r="E445" s="5"/>
      <c r="F445" s="3" t="str">
        <f t="shared" si="22"/>
        <v/>
      </c>
      <c r="G445" s="4"/>
      <c r="H445" s="3" t="str">
        <f t="shared" si="23"/>
        <v/>
      </c>
      <c r="I445" s="5"/>
      <c r="J445" s="5"/>
      <c r="K445" s="6"/>
      <c r="L445" s="6"/>
      <c r="M445" s="7" t="str">
        <f t="shared" si="24"/>
        <v/>
      </c>
      <c r="N445" s="6"/>
      <c r="O445" s="5"/>
    </row>
    <row r="446" spans="1:15" x14ac:dyDescent="0.2">
      <c r="A446" s="3" t="str">
        <f>IF($B446="","",COUNTA($B$9:$B446))</f>
        <v/>
      </c>
      <c r="B446" s="4"/>
      <c r="C446" s="4"/>
      <c r="D446" s="4"/>
      <c r="E446" s="5"/>
      <c r="F446" s="3" t="str">
        <f t="shared" si="22"/>
        <v/>
      </c>
      <c r="G446" s="4"/>
      <c r="H446" s="3" t="str">
        <f t="shared" si="23"/>
        <v/>
      </c>
      <c r="I446" s="5"/>
      <c r="J446" s="5"/>
      <c r="K446" s="6"/>
      <c r="L446" s="6"/>
      <c r="M446" s="7" t="str">
        <f t="shared" si="24"/>
        <v/>
      </c>
      <c r="N446" s="6"/>
      <c r="O446" s="5"/>
    </row>
    <row r="447" spans="1:15" x14ac:dyDescent="0.2">
      <c r="A447" s="3" t="str">
        <f>IF($B447="","",COUNTA($B$9:$B447))</f>
        <v/>
      </c>
      <c r="B447" s="4"/>
      <c r="C447" s="4"/>
      <c r="D447" s="4"/>
      <c r="E447" s="5"/>
      <c r="F447" s="3" t="str">
        <f t="shared" si="22"/>
        <v/>
      </c>
      <c r="G447" s="4"/>
      <c r="H447" s="3" t="str">
        <f t="shared" si="23"/>
        <v/>
      </c>
      <c r="I447" s="5"/>
      <c r="J447" s="5"/>
      <c r="K447" s="6"/>
      <c r="L447" s="6"/>
      <c r="M447" s="7" t="str">
        <f t="shared" si="24"/>
        <v/>
      </c>
      <c r="N447" s="6"/>
      <c r="O447" s="5"/>
    </row>
    <row r="448" spans="1:15" x14ac:dyDescent="0.2">
      <c r="A448" s="3" t="str">
        <f>IF($B448="","",COUNTA($B$9:$B448))</f>
        <v/>
      </c>
      <c r="B448" s="4"/>
      <c r="C448" s="4"/>
      <c r="D448" s="4"/>
      <c r="E448" s="5"/>
      <c r="F448" s="3" t="str">
        <f t="shared" si="22"/>
        <v/>
      </c>
      <c r="G448" s="4"/>
      <c r="H448" s="3" t="str">
        <f t="shared" si="23"/>
        <v/>
      </c>
      <c r="I448" s="5"/>
      <c r="J448" s="5"/>
      <c r="K448" s="6"/>
      <c r="L448" s="6"/>
      <c r="M448" s="7" t="str">
        <f t="shared" si="24"/>
        <v/>
      </c>
      <c r="N448" s="6"/>
      <c r="O448" s="5"/>
    </row>
    <row r="449" spans="1:15" x14ac:dyDescent="0.2">
      <c r="A449" s="3" t="str">
        <f>IF($B449="","",COUNTA($B$9:$B449))</f>
        <v/>
      </c>
      <c r="B449" s="4"/>
      <c r="C449" s="4"/>
      <c r="D449" s="4"/>
      <c r="E449" s="5"/>
      <c r="F449" s="3" t="str">
        <f t="shared" si="22"/>
        <v/>
      </c>
      <c r="G449" s="4"/>
      <c r="H449" s="3" t="str">
        <f t="shared" si="23"/>
        <v/>
      </c>
      <c r="I449" s="5"/>
      <c r="J449" s="5"/>
      <c r="K449" s="6"/>
      <c r="L449" s="6"/>
      <c r="M449" s="7" t="str">
        <f t="shared" si="24"/>
        <v/>
      </c>
      <c r="N449" s="6"/>
      <c r="O449" s="5"/>
    </row>
    <row r="450" spans="1:15" x14ac:dyDescent="0.2">
      <c r="A450" s="3" t="str">
        <f>IF($B450="","",COUNTA($B$9:$B450))</f>
        <v/>
      </c>
      <c r="B450" s="4"/>
      <c r="C450" s="4"/>
      <c r="D450" s="4"/>
      <c r="E450" s="5"/>
      <c r="F450" s="3" t="str">
        <f t="shared" si="22"/>
        <v/>
      </c>
      <c r="G450" s="4"/>
      <c r="H450" s="3" t="str">
        <f t="shared" si="23"/>
        <v/>
      </c>
      <c r="I450" s="5"/>
      <c r="J450" s="5"/>
      <c r="K450" s="6"/>
      <c r="L450" s="6"/>
      <c r="M450" s="7" t="str">
        <f t="shared" si="24"/>
        <v/>
      </c>
      <c r="N450" s="6"/>
      <c r="O450" s="5"/>
    </row>
    <row r="451" spans="1:15" x14ac:dyDescent="0.2">
      <c r="A451" s="3" t="str">
        <f>IF($B451="","",COUNTA($B$9:$B451))</f>
        <v/>
      </c>
      <c r="B451" s="4"/>
      <c r="C451" s="4"/>
      <c r="D451" s="4"/>
      <c r="E451" s="5"/>
      <c r="F451" s="3" t="str">
        <f t="shared" si="22"/>
        <v/>
      </c>
      <c r="G451" s="4"/>
      <c r="H451" s="3" t="str">
        <f t="shared" si="23"/>
        <v/>
      </c>
      <c r="I451" s="5"/>
      <c r="J451" s="5"/>
      <c r="K451" s="6"/>
      <c r="L451" s="6"/>
      <c r="M451" s="7" t="str">
        <f t="shared" si="24"/>
        <v/>
      </c>
      <c r="N451" s="6"/>
      <c r="O451" s="5"/>
    </row>
    <row r="452" spans="1:15" x14ac:dyDescent="0.2">
      <c r="A452" s="3" t="str">
        <f>IF($B452="","",COUNTA($B$9:$B452))</f>
        <v/>
      </c>
      <c r="B452" s="4"/>
      <c r="C452" s="4"/>
      <c r="D452" s="4"/>
      <c r="E452" s="5"/>
      <c r="F452" s="3" t="str">
        <f t="shared" si="22"/>
        <v/>
      </c>
      <c r="G452" s="4"/>
      <c r="H452" s="3" t="str">
        <f t="shared" si="23"/>
        <v/>
      </c>
      <c r="I452" s="5"/>
      <c r="J452" s="5"/>
      <c r="K452" s="6"/>
      <c r="L452" s="6"/>
      <c r="M452" s="7" t="str">
        <f t="shared" si="24"/>
        <v/>
      </c>
      <c r="N452" s="6"/>
      <c r="O452" s="5"/>
    </row>
    <row r="453" spans="1:15" x14ac:dyDescent="0.2">
      <c r="A453" s="3" t="str">
        <f>IF($B453="","",COUNTA($B$9:$B453))</f>
        <v/>
      </c>
      <c r="B453" s="4"/>
      <c r="C453" s="4"/>
      <c r="D453" s="4"/>
      <c r="E453" s="5"/>
      <c r="F453" s="3" t="str">
        <f t="shared" si="22"/>
        <v/>
      </c>
      <c r="G453" s="4"/>
      <c r="H453" s="3" t="str">
        <f t="shared" si="23"/>
        <v/>
      </c>
      <c r="I453" s="5"/>
      <c r="J453" s="5"/>
      <c r="K453" s="6"/>
      <c r="L453" s="6"/>
      <c r="M453" s="7" t="str">
        <f t="shared" si="24"/>
        <v/>
      </c>
      <c r="N453" s="6"/>
      <c r="O453" s="5"/>
    </row>
    <row r="454" spans="1:15" x14ac:dyDescent="0.2">
      <c r="A454" s="3" t="str">
        <f>IF($B454="","",COUNTA($B$9:$B454))</f>
        <v/>
      </c>
      <c r="B454" s="4"/>
      <c r="C454" s="4"/>
      <c r="D454" s="4"/>
      <c r="E454" s="5"/>
      <c r="F454" s="3" t="str">
        <f t="shared" si="22"/>
        <v/>
      </c>
      <c r="G454" s="4"/>
      <c r="H454" s="3" t="str">
        <f t="shared" si="23"/>
        <v/>
      </c>
      <c r="I454" s="5"/>
      <c r="J454" s="5"/>
      <c r="K454" s="6"/>
      <c r="L454" s="6"/>
      <c r="M454" s="7" t="str">
        <f t="shared" si="24"/>
        <v/>
      </c>
      <c r="N454" s="6"/>
      <c r="O454" s="5"/>
    </row>
    <row r="455" spans="1:15" x14ac:dyDescent="0.2">
      <c r="A455" s="3" t="str">
        <f>IF($B455="","",COUNTA($B$9:$B455))</f>
        <v/>
      </c>
      <c r="B455" s="4"/>
      <c r="C455" s="4"/>
      <c r="D455" s="4"/>
      <c r="E455" s="5"/>
      <c r="F455" s="3" t="str">
        <f t="shared" si="22"/>
        <v/>
      </c>
      <c r="G455" s="4"/>
      <c r="H455" s="3" t="str">
        <f t="shared" si="23"/>
        <v/>
      </c>
      <c r="I455" s="5"/>
      <c r="J455" s="5"/>
      <c r="K455" s="6"/>
      <c r="L455" s="6"/>
      <c r="M455" s="7" t="str">
        <f t="shared" si="24"/>
        <v/>
      </c>
      <c r="N455" s="6"/>
      <c r="O455" s="5"/>
    </row>
    <row r="456" spans="1:15" x14ac:dyDescent="0.2">
      <c r="A456" s="3" t="str">
        <f>IF($B456="","",COUNTA($B$9:$B456))</f>
        <v/>
      </c>
      <c r="B456" s="4"/>
      <c r="C456" s="4"/>
      <c r="D456" s="4"/>
      <c r="E456" s="5"/>
      <c r="F456" s="3" t="str">
        <f t="shared" ref="F456:F519" si="25">IF($E456="","",IFERROR(VLOOKUP($E456,OpTbl,2,0),""))</f>
        <v/>
      </c>
      <c r="G456" s="4"/>
      <c r="H456" s="3" t="str">
        <f t="shared" ref="H456:H519" si="26">IF($G456="","",IFERROR(IF(VLOOKUP($G456,AcctTbl,4,0)="","(بدون نام)",VLOOKUP($G456,AcctTbl,4,0)),"کد ناشناخته"))</f>
        <v/>
      </c>
      <c r="I456" s="5"/>
      <c r="J456" s="5"/>
      <c r="K456" s="6"/>
      <c r="L456" s="6"/>
      <c r="M456" s="7" t="str">
        <f t="shared" ref="M456:M519" si="27">IF(OR($B456="",$K456=""),"",($K456-IF($L456="",0,$L456)*IFERROR(VLOOKUP("P01",ParamTbl,3,0),1.5))*(1-IF(IFERROR(VLOOKUP($E456,OpTbl,3,0),"")="خرید",IFERROR(VLOOKUP("P02",ParamTbl,3,0),1),0)/100))</f>
        <v/>
      </c>
      <c r="N456" s="6"/>
      <c r="O456" s="5"/>
    </row>
    <row r="457" spans="1:15" x14ac:dyDescent="0.2">
      <c r="A457" s="3" t="str">
        <f>IF($B457="","",COUNTA($B$9:$B457))</f>
        <v/>
      </c>
      <c r="B457" s="4"/>
      <c r="C457" s="4"/>
      <c r="D457" s="4"/>
      <c r="E457" s="5"/>
      <c r="F457" s="3" t="str">
        <f t="shared" si="25"/>
        <v/>
      </c>
      <c r="G457" s="4"/>
      <c r="H457" s="3" t="str">
        <f t="shared" si="26"/>
        <v/>
      </c>
      <c r="I457" s="5"/>
      <c r="J457" s="5"/>
      <c r="K457" s="6"/>
      <c r="L457" s="6"/>
      <c r="M457" s="7" t="str">
        <f t="shared" si="27"/>
        <v/>
      </c>
      <c r="N457" s="6"/>
      <c r="O457" s="5"/>
    </row>
    <row r="458" spans="1:15" x14ac:dyDescent="0.2">
      <c r="A458" s="3" t="str">
        <f>IF($B458="","",COUNTA($B$9:$B458))</f>
        <v/>
      </c>
      <c r="B458" s="4"/>
      <c r="C458" s="4"/>
      <c r="D458" s="4"/>
      <c r="E458" s="5"/>
      <c r="F458" s="3" t="str">
        <f t="shared" si="25"/>
        <v/>
      </c>
      <c r="G458" s="4"/>
      <c r="H458" s="3" t="str">
        <f t="shared" si="26"/>
        <v/>
      </c>
      <c r="I458" s="5"/>
      <c r="J458" s="5"/>
      <c r="K458" s="6"/>
      <c r="L458" s="6"/>
      <c r="M458" s="7" t="str">
        <f t="shared" si="27"/>
        <v/>
      </c>
      <c r="N458" s="6"/>
      <c r="O458" s="5"/>
    </row>
    <row r="459" spans="1:15" x14ac:dyDescent="0.2">
      <c r="A459" s="3" t="str">
        <f>IF($B459="","",COUNTA($B$9:$B459))</f>
        <v/>
      </c>
      <c r="B459" s="4"/>
      <c r="C459" s="4"/>
      <c r="D459" s="4"/>
      <c r="E459" s="5"/>
      <c r="F459" s="3" t="str">
        <f t="shared" si="25"/>
        <v/>
      </c>
      <c r="G459" s="4"/>
      <c r="H459" s="3" t="str">
        <f t="shared" si="26"/>
        <v/>
      </c>
      <c r="I459" s="5"/>
      <c r="J459" s="5"/>
      <c r="K459" s="6"/>
      <c r="L459" s="6"/>
      <c r="M459" s="7" t="str">
        <f t="shared" si="27"/>
        <v/>
      </c>
      <c r="N459" s="6"/>
      <c r="O459" s="5"/>
    </row>
    <row r="460" spans="1:15" x14ac:dyDescent="0.2">
      <c r="A460" s="3" t="str">
        <f>IF($B460="","",COUNTA($B$9:$B460))</f>
        <v/>
      </c>
      <c r="B460" s="4"/>
      <c r="C460" s="4"/>
      <c r="D460" s="4"/>
      <c r="E460" s="5"/>
      <c r="F460" s="3" t="str">
        <f t="shared" si="25"/>
        <v/>
      </c>
      <c r="G460" s="4"/>
      <c r="H460" s="3" t="str">
        <f t="shared" si="26"/>
        <v/>
      </c>
      <c r="I460" s="5"/>
      <c r="J460" s="5"/>
      <c r="K460" s="6"/>
      <c r="L460" s="6"/>
      <c r="M460" s="7" t="str">
        <f t="shared" si="27"/>
        <v/>
      </c>
      <c r="N460" s="6"/>
      <c r="O460" s="5"/>
    </row>
    <row r="461" spans="1:15" x14ac:dyDescent="0.2">
      <c r="A461" s="3" t="str">
        <f>IF($B461="","",COUNTA($B$9:$B461))</f>
        <v/>
      </c>
      <c r="B461" s="4"/>
      <c r="C461" s="4"/>
      <c r="D461" s="4"/>
      <c r="E461" s="5"/>
      <c r="F461" s="3" t="str">
        <f t="shared" si="25"/>
        <v/>
      </c>
      <c r="G461" s="4"/>
      <c r="H461" s="3" t="str">
        <f t="shared" si="26"/>
        <v/>
      </c>
      <c r="I461" s="5"/>
      <c r="J461" s="5"/>
      <c r="K461" s="6"/>
      <c r="L461" s="6"/>
      <c r="M461" s="7" t="str">
        <f t="shared" si="27"/>
        <v/>
      </c>
      <c r="N461" s="6"/>
      <c r="O461" s="5"/>
    </row>
    <row r="462" spans="1:15" x14ac:dyDescent="0.2">
      <c r="A462" s="3" t="str">
        <f>IF($B462="","",COUNTA($B$9:$B462))</f>
        <v/>
      </c>
      <c r="B462" s="4"/>
      <c r="C462" s="4"/>
      <c r="D462" s="4"/>
      <c r="E462" s="5"/>
      <c r="F462" s="3" t="str">
        <f t="shared" si="25"/>
        <v/>
      </c>
      <c r="G462" s="4"/>
      <c r="H462" s="3" t="str">
        <f t="shared" si="26"/>
        <v/>
      </c>
      <c r="I462" s="5"/>
      <c r="J462" s="5"/>
      <c r="K462" s="6"/>
      <c r="L462" s="6"/>
      <c r="M462" s="7" t="str">
        <f t="shared" si="27"/>
        <v/>
      </c>
      <c r="N462" s="6"/>
      <c r="O462" s="5"/>
    </row>
    <row r="463" spans="1:15" x14ac:dyDescent="0.2">
      <c r="A463" s="3" t="str">
        <f>IF($B463="","",COUNTA($B$9:$B463))</f>
        <v/>
      </c>
      <c r="B463" s="4"/>
      <c r="C463" s="4"/>
      <c r="D463" s="4"/>
      <c r="E463" s="5"/>
      <c r="F463" s="3" t="str">
        <f t="shared" si="25"/>
        <v/>
      </c>
      <c r="G463" s="4"/>
      <c r="H463" s="3" t="str">
        <f t="shared" si="26"/>
        <v/>
      </c>
      <c r="I463" s="5"/>
      <c r="J463" s="5"/>
      <c r="K463" s="6"/>
      <c r="L463" s="6"/>
      <c r="M463" s="7" t="str">
        <f t="shared" si="27"/>
        <v/>
      </c>
      <c r="N463" s="6"/>
      <c r="O463" s="5"/>
    </row>
    <row r="464" spans="1:15" x14ac:dyDescent="0.2">
      <c r="A464" s="3" t="str">
        <f>IF($B464="","",COUNTA($B$9:$B464))</f>
        <v/>
      </c>
      <c r="B464" s="4"/>
      <c r="C464" s="4"/>
      <c r="D464" s="4"/>
      <c r="E464" s="5"/>
      <c r="F464" s="3" t="str">
        <f t="shared" si="25"/>
        <v/>
      </c>
      <c r="G464" s="4"/>
      <c r="H464" s="3" t="str">
        <f t="shared" si="26"/>
        <v/>
      </c>
      <c r="I464" s="5"/>
      <c r="J464" s="5"/>
      <c r="K464" s="6"/>
      <c r="L464" s="6"/>
      <c r="M464" s="7" t="str">
        <f t="shared" si="27"/>
        <v/>
      </c>
      <c r="N464" s="6"/>
      <c r="O464" s="5"/>
    </row>
    <row r="465" spans="1:15" x14ac:dyDescent="0.2">
      <c r="A465" s="3" t="str">
        <f>IF($B465="","",COUNTA($B$9:$B465))</f>
        <v/>
      </c>
      <c r="B465" s="4"/>
      <c r="C465" s="4"/>
      <c r="D465" s="4"/>
      <c r="E465" s="5"/>
      <c r="F465" s="3" t="str">
        <f t="shared" si="25"/>
        <v/>
      </c>
      <c r="G465" s="4"/>
      <c r="H465" s="3" t="str">
        <f t="shared" si="26"/>
        <v/>
      </c>
      <c r="I465" s="5"/>
      <c r="J465" s="5"/>
      <c r="K465" s="6"/>
      <c r="L465" s="6"/>
      <c r="M465" s="7" t="str">
        <f t="shared" si="27"/>
        <v/>
      </c>
      <c r="N465" s="6"/>
      <c r="O465" s="5"/>
    </row>
    <row r="466" spans="1:15" x14ac:dyDescent="0.2">
      <c r="A466" s="3" t="str">
        <f>IF($B466="","",COUNTA($B$9:$B466))</f>
        <v/>
      </c>
      <c r="B466" s="4"/>
      <c r="C466" s="4"/>
      <c r="D466" s="4"/>
      <c r="E466" s="5"/>
      <c r="F466" s="3" t="str">
        <f t="shared" si="25"/>
        <v/>
      </c>
      <c r="G466" s="4"/>
      <c r="H466" s="3" t="str">
        <f t="shared" si="26"/>
        <v/>
      </c>
      <c r="I466" s="5"/>
      <c r="J466" s="5"/>
      <c r="K466" s="6"/>
      <c r="L466" s="6"/>
      <c r="M466" s="7" t="str">
        <f t="shared" si="27"/>
        <v/>
      </c>
      <c r="N466" s="6"/>
      <c r="O466" s="5"/>
    </row>
    <row r="467" spans="1:15" x14ac:dyDescent="0.2">
      <c r="A467" s="3" t="str">
        <f>IF($B467="","",COUNTA($B$9:$B467))</f>
        <v/>
      </c>
      <c r="B467" s="4"/>
      <c r="C467" s="4"/>
      <c r="D467" s="4"/>
      <c r="E467" s="5"/>
      <c r="F467" s="3" t="str">
        <f t="shared" si="25"/>
        <v/>
      </c>
      <c r="G467" s="4"/>
      <c r="H467" s="3" t="str">
        <f t="shared" si="26"/>
        <v/>
      </c>
      <c r="I467" s="5"/>
      <c r="J467" s="5"/>
      <c r="K467" s="6"/>
      <c r="L467" s="6"/>
      <c r="M467" s="7" t="str">
        <f t="shared" si="27"/>
        <v/>
      </c>
      <c r="N467" s="6"/>
      <c r="O467" s="5"/>
    </row>
    <row r="468" spans="1:15" x14ac:dyDescent="0.2">
      <c r="A468" s="3" t="str">
        <f>IF($B468="","",COUNTA($B$9:$B468))</f>
        <v/>
      </c>
      <c r="B468" s="4"/>
      <c r="C468" s="4"/>
      <c r="D468" s="4"/>
      <c r="E468" s="5"/>
      <c r="F468" s="3" t="str">
        <f t="shared" si="25"/>
        <v/>
      </c>
      <c r="G468" s="4"/>
      <c r="H468" s="3" t="str">
        <f t="shared" si="26"/>
        <v/>
      </c>
      <c r="I468" s="5"/>
      <c r="J468" s="5"/>
      <c r="K468" s="6"/>
      <c r="L468" s="6"/>
      <c r="M468" s="7" t="str">
        <f t="shared" si="27"/>
        <v/>
      </c>
      <c r="N468" s="6"/>
      <c r="O468" s="5"/>
    </row>
    <row r="469" spans="1:15" x14ac:dyDescent="0.2">
      <c r="A469" s="3" t="str">
        <f>IF($B469="","",COUNTA($B$9:$B469))</f>
        <v/>
      </c>
      <c r="B469" s="4"/>
      <c r="C469" s="4"/>
      <c r="D469" s="4"/>
      <c r="E469" s="5"/>
      <c r="F469" s="3" t="str">
        <f t="shared" si="25"/>
        <v/>
      </c>
      <c r="G469" s="4"/>
      <c r="H469" s="3" t="str">
        <f t="shared" si="26"/>
        <v/>
      </c>
      <c r="I469" s="5"/>
      <c r="J469" s="5"/>
      <c r="K469" s="6"/>
      <c r="L469" s="6"/>
      <c r="M469" s="7" t="str">
        <f t="shared" si="27"/>
        <v/>
      </c>
      <c r="N469" s="6"/>
      <c r="O469" s="5"/>
    </row>
    <row r="470" spans="1:15" x14ac:dyDescent="0.2">
      <c r="A470" s="3" t="str">
        <f>IF($B470="","",COUNTA($B$9:$B470))</f>
        <v/>
      </c>
      <c r="B470" s="4"/>
      <c r="C470" s="4"/>
      <c r="D470" s="4"/>
      <c r="E470" s="5"/>
      <c r="F470" s="3" t="str">
        <f t="shared" si="25"/>
        <v/>
      </c>
      <c r="G470" s="4"/>
      <c r="H470" s="3" t="str">
        <f t="shared" si="26"/>
        <v/>
      </c>
      <c r="I470" s="5"/>
      <c r="J470" s="5"/>
      <c r="K470" s="6"/>
      <c r="L470" s="6"/>
      <c r="M470" s="7" t="str">
        <f t="shared" si="27"/>
        <v/>
      </c>
      <c r="N470" s="6"/>
      <c r="O470" s="5"/>
    </row>
    <row r="471" spans="1:15" x14ac:dyDescent="0.2">
      <c r="A471" s="3" t="str">
        <f>IF($B471="","",COUNTA($B$9:$B471))</f>
        <v/>
      </c>
      <c r="B471" s="4"/>
      <c r="C471" s="4"/>
      <c r="D471" s="4"/>
      <c r="E471" s="5"/>
      <c r="F471" s="3" t="str">
        <f t="shared" si="25"/>
        <v/>
      </c>
      <c r="G471" s="4"/>
      <c r="H471" s="3" t="str">
        <f t="shared" si="26"/>
        <v/>
      </c>
      <c r="I471" s="5"/>
      <c r="J471" s="5"/>
      <c r="K471" s="6"/>
      <c r="L471" s="6"/>
      <c r="M471" s="7" t="str">
        <f t="shared" si="27"/>
        <v/>
      </c>
      <c r="N471" s="6"/>
      <c r="O471" s="5"/>
    </row>
    <row r="472" spans="1:15" x14ac:dyDescent="0.2">
      <c r="A472" s="3" t="str">
        <f>IF($B472="","",COUNTA($B$9:$B472))</f>
        <v/>
      </c>
      <c r="B472" s="4"/>
      <c r="C472" s="4"/>
      <c r="D472" s="4"/>
      <c r="E472" s="5"/>
      <c r="F472" s="3" t="str">
        <f t="shared" si="25"/>
        <v/>
      </c>
      <c r="G472" s="4"/>
      <c r="H472" s="3" t="str">
        <f t="shared" si="26"/>
        <v/>
      </c>
      <c r="I472" s="5"/>
      <c r="J472" s="5"/>
      <c r="K472" s="6"/>
      <c r="L472" s="6"/>
      <c r="M472" s="7" t="str">
        <f t="shared" si="27"/>
        <v/>
      </c>
      <c r="N472" s="6"/>
      <c r="O472" s="5"/>
    </row>
    <row r="473" spans="1:15" x14ac:dyDescent="0.2">
      <c r="A473" s="3" t="str">
        <f>IF($B473="","",COUNTA($B$9:$B473))</f>
        <v/>
      </c>
      <c r="B473" s="4"/>
      <c r="C473" s="4"/>
      <c r="D473" s="4"/>
      <c r="E473" s="5"/>
      <c r="F473" s="3" t="str">
        <f t="shared" si="25"/>
        <v/>
      </c>
      <c r="G473" s="4"/>
      <c r="H473" s="3" t="str">
        <f t="shared" si="26"/>
        <v/>
      </c>
      <c r="I473" s="5"/>
      <c r="J473" s="5"/>
      <c r="K473" s="6"/>
      <c r="L473" s="6"/>
      <c r="M473" s="7" t="str">
        <f t="shared" si="27"/>
        <v/>
      </c>
      <c r="N473" s="6"/>
      <c r="O473" s="5"/>
    </row>
    <row r="474" spans="1:15" x14ac:dyDescent="0.2">
      <c r="A474" s="3" t="str">
        <f>IF($B474="","",COUNTA($B$9:$B474))</f>
        <v/>
      </c>
      <c r="B474" s="4"/>
      <c r="C474" s="4"/>
      <c r="D474" s="4"/>
      <c r="E474" s="5"/>
      <c r="F474" s="3" t="str">
        <f t="shared" si="25"/>
        <v/>
      </c>
      <c r="G474" s="4"/>
      <c r="H474" s="3" t="str">
        <f t="shared" si="26"/>
        <v/>
      </c>
      <c r="I474" s="5"/>
      <c r="J474" s="5"/>
      <c r="K474" s="6"/>
      <c r="L474" s="6"/>
      <c r="M474" s="7" t="str">
        <f t="shared" si="27"/>
        <v/>
      </c>
      <c r="N474" s="6"/>
      <c r="O474" s="5"/>
    </row>
    <row r="475" spans="1:15" x14ac:dyDescent="0.2">
      <c r="A475" s="3" t="str">
        <f>IF($B475="","",COUNTA($B$9:$B475))</f>
        <v/>
      </c>
      <c r="B475" s="4"/>
      <c r="C475" s="4"/>
      <c r="D475" s="4"/>
      <c r="E475" s="5"/>
      <c r="F475" s="3" t="str">
        <f t="shared" si="25"/>
        <v/>
      </c>
      <c r="G475" s="4"/>
      <c r="H475" s="3" t="str">
        <f t="shared" si="26"/>
        <v/>
      </c>
      <c r="I475" s="5"/>
      <c r="J475" s="5"/>
      <c r="K475" s="6"/>
      <c r="L475" s="6"/>
      <c r="M475" s="7" t="str">
        <f t="shared" si="27"/>
        <v/>
      </c>
      <c r="N475" s="6"/>
      <c r="O475" s="5"/>
    </row>
    <row r="476" spans="1:15" x14ac:dyDescent="0.2">
      <c r="A476" s="3" t="str">
        <f>IF($B476="","",COUNTA($B$9:$B476))</f>
        <v/>
      </c>
      <c r="B476" s="4"/>
      <c r="C476" s="4"/>
      <c r="D476" s="4"/>
      <c r="E476" s="5"/>
      <c r="F476" s="3" t="str">
        <f t="shared" si="25"/>
        <v/>
      </c>
      <c r="G476" s="4"/>
      <c r="H476" s="3" t="str">
        <f t="shared" si="26"/>
        <v/>
      </c>
      <c r="I476" s="5"/>
      <c r="J476" s="5"/>
      <c r="K476" s="6"/>
      <c r="L476" s="6"/>
      <c r="M476" s="7" t="str">
        <f t="shared" si="27"/>
        <v/>
      </c>
      <c r="N476" s="6"/>
      <c r="O476" s="5"/>
    </row>
    <row r="477" spans="1:15" x14ac:dyDescent="0.2">
      <c r="A477" s="3" t="str">
        <f>IF($B477="","",COUNTA($B$9:$B477))</f>
        <v/>
      </c>
      <c r="B477" s="4"/>
      <c r="C477" s="4"/>
      <c r="D477" s="4"/>
      <c r="E477" s="5"/>
      <c r="F477" s="3" t="str">
        <f t="shared" si="25"/>
        <v/>
      </c>
      <c r="G477" s="4"/>
      <c r="H477" s="3" t="str">
        <f t="shared" si="26"/>
        <v/>
      </c>
      <c r="I477" s="5"/>
      <c r="J477" s="5"/>
      <c r="K477" s="6"/>
      <c r="L477" s="6"/>
      <c r="M477" s="7" t="str">
        <f t="shared" si="27"/>
        <v/>
      </c>
      <c r="N477" s="6"/>
      <c r="O477" s="5"/>
    </row>
    <row r="478" spans="1:15" x14ac:dyDescent="0.2">
      <c r="A478" s="3" t="str">
        <f>IF($B478="","",COUNTA($B$9:$B478))</f>
        <v/>
      </c>
      <c r="B478" s="4"/>
      <c r="C478" s="4"/>
      <c r="D478" s="4"/>
      <c r="E478" s="5"/>
      <c r="F478" s="3" t="str">
        <f t="shared" si="25"/>
        <v/>
      </c>
      <c r="G478" s="4"/>
      <c r="H478" s="3" t="str">
        <f t="shared" si="26"/>
        <v/>
      </c>
      <c r="I478" s="5"/>
      <c r="J478" s="5"/>
      <c r="K478" s="6"/>
      <c r="L478" s="6"/>
      <c r="M478" s="7" t="str">
        <f t="shared" si="27"/>
        <v/>
      </c>
      <c r="N478" s="6"/>
      <c r="O478" s="5"/>
    </row>
    <row r="479" spans="1:15" x14ac:dyDescent="0.2">
      <c r="A479" s="3" t="str">
        <f>IF($B479="","",COUNTA($B$9:$B479))</f>
        <v/>
      </c>
      <c r="B479" s="4"/>
      <c r="C479" s="4"/>
      <c r="D479" s="4"/>
      <c r="E479" s="5"/>
      <c r="F479" s="3" t="str">
        <f t="shared" si="25"/>
        <v/>
      </c>
      <c r="G479" s="4"/>
      <c r="H479" s="3" t="str">
        <f t="shared" si="26"/>
        <v/>
      </c>
      <c r="I479" s="5"/>
      <c r="J479" s="5"/>
      <c r="K479" s="6"/>
      <c r="L479" s="6"/>
      <c r="M479" s="7" t="str">
        <f t="shared" si="27"/>
        <v/>
      </c>
      <c r="N479" s="6"/>
      <c r="O479" s="5"/>
    </row>
    <row r="480" spans="1:15" x14ac:dyDescent="0.2">
      <c r="A480" s="3" t="str">
        <f>IF($B480="","",COUNTA($B$9:$B480))</f>
        <v/>
      </c>
      <c r="B480" s="4"/>
      <c r="C480" s="4"/>
      <c r="D480" s="4"/>
      <c r="E480" s="5"/>
      <c r="F480" s="3" t="str">
        <f t="shared" si="25"/>
        <v/>
      </c>
      <c r="G480" s="4"/>
      <c r="H480" s="3" t="str">
        <f t="shared" si="26"/>
        <v/>
      </c>
      <c r="I480" s="5"/>
      <c r="J480" s="5"/>
      <c r="K480" s="6"/>
      <c r="L480" s="6"/>
      <c r="M480" s="7" t="str">
        <f t="shared" si="27"/>
        <v/>
      </c>
      <c r="N480" s="6"/>
      <c r="O480" s="5"/>
    </row>
    <row r="481" spans="1:15" x14ac:dyDescent="0.2">
      <c r="A481" s="3" t="str">
        <f>IF($B481="","",COUNTA($B$9:$B481))</f>
        <v/>
      </c>
      <c r="B481" s="4"/>
      <c r="C481" s="4"/>
      <c r="D481" s="4"/>
      <c r="E481" s="5"/>
      <c r="F481" s="3" t="str">
        <f t="shared" si="25"/>
        <v/>
      </c>
      <c r="G481" s="4"/>
      <c r="H481" s="3" t="str">
        <f t="shared" si="26"/>
        <v/>
      </c>
      <c r="I481" s="5"/>
      <c r="J481" s="5"/>
      <c r="K481" s="6"/>
      <c r="L481" s="6"/>
      <c r="M481" s="7" t="str">
        <f t="shared" si="27"/>
        <v/>
      </c>
      <c r="N481" s="6"/>
      <c r="O481" s="5"/>
    </row>
    <row r="482" spans="1:15" x14ac:dyDescent="0.2">
      <c r="A482" s="3" t="str">
        <f>IF($B482="","",COUNTA($B$9:$B482))</f>
        <v/>
      </c>
      <c r="B482" s="4"/>
      <c r="C482" s="4"/>
      <c r="D482" s="4"/>
      <c r="E482" s="5"/>
      <c r="F482" s="3" t="str">
        <f t="shared" si="25"/>
        <v/>
      </c>
      <c r="G482" s="4"/>
      <c r="H482" s="3" t="str">
        <f t="shared" si="26"/>
        <v/>
      </c>
      <c r="I482" s="5"/>
      <c r="J482" s="5"/>
      <c r="K482" s="6"/>
      <c r="L482" s="6"/>
      <c r="M482" s="7" t="str">
        <f t="shared" si="27"/>
        <v/>
      </c>
      <c r="N482" s="6"/>
      <c r="O482" s="5"/>
    </row>
    <row r="483" spans="1:15" x14ac:dyDescent="0.2">
      <c r="A483" s="3" t="str">
        <f>IF($B483="","",COUNTA($B$9:$B483))</f>
        <v/>
      </c>
      <c r="B483" s="4"/>
      <c r="C483" s="4"/>
      <c r="D483" s="4"/>
      <c r="E483" s="5"/>
      <c r="F483" s="3" t="str">
        <f t="shared" si="25"/>
        <v/>
      </c>
      <c r="G483" s="4"/>
      <c r="H483" s="3" t="str">
        <f t="shared" si="26"/>
        <v/>
      </c>
      <c r="I483" s="5"/>
      <c r="J483" s="5"/>
      <c r="K483" s="6"/>
      <c r="L483" s="6"/>
      <c r="M483" s="7" t="str">
        <f t="shared" si="27"/>
        <v/>
      </c>
      <c r="N483" s="6"/>
      <c r="O483" s="5"/>
    </row>
    <row r="484" spans="1:15" x14ac:dyDescent="0.2">
      <c r="A484" s="3" t="str">
        <f>IF($B484="","",COUNTA($B$9:$B484))</f>
        <v/>
      </c>
      <c r="B484" s="4"/>
      <c r="C484" s="4"/>
      <c r="D484" s="4"/>
      <c r="E484" s="5"/>
      <c r="F484" s="3" t="str">
        <f t="shared" si="25"/>
        <v/>
      </c>
      <c r="G484" s="4"/>
      <c r="H484" s="3" t="str">
        <f t="shared" si="26"/>
        <v/>
      </c>
      <c r="I484" s="5"/>
      <c r="J484" s="5"/>
      <c r="K484" s="6"/>
      <c r="L484" s="6"/>
      <c r="M484" s="7" t="str">
        <f t="shared" si="27"/>
        <v/>
      </c>
      <c r="N484" s="6"/>
      <c r="O484" s="5"/>
    </row>
    <row r="485" spans="1:15" x14ac:dyDescent="0.2">
      <c r="A485" s="3" t="str">
        <f>IF($B485="","",COUNTA($B$9:$B485))</f>
        <v/>
      </c>
      <c r="B485" s="4"/>
      <c r="C485" s="4"/>
      <c r="D485" s="4"/>
      <c r="E485" s="5"/>
      <c r="F485" s="3" t="str">
        <f t="shared" si="25"/>
        <v/>
      </c>
      <c r="G485" s="4"/>
      <c r="H485" s="3" t="str">
        <f t="shared" si="26"/>
        <v/>
      </c>
      <c r="I485" s="5"/>
      <c r="J485" s="5"/>
      <c r="K485" s="6"/>
      <c r="L485" s="6"/>
      <c r="M485" s="7" t="str">
        <f t="shared" si="27"/>
        <v/>
      </c>
      <c r="N485" s="6"/>
      <c r="O485" s="5"/>
    </row>
    <row r="486" spans="1:15" x14ac:dyDescent="0.2">
      <c r="A486" s="3" t="str">
        <f>IF($B486="","",COUNTA($B$9:$B486))</f>
        <v/>
      </c>
      <c r="B486" s="4"/>
      <c r="C486" s="4"/>
      <c r="D486" s="4"/>
      <c r="E486" s="5"/>
      <c r="F486" s="3" t="str">
        <f t="shared" si="25"/>
        <v/>
      </c>
      <c r="G486" s="4"/>
      <c r="H486" s="3" t="str">
        <f t="shared" si="26"/>
        <v/>
      </c>
      <c r="I486" s="5"/>
      <c r="J486" s="5"/>
      <c r="K486" s="6"/>
      <c r="L486" s="6"/>
      <c r="M486" s="7" t="str">
        <f t="shared" si="27"/>
        <v/>
      </c>
      <c r="N486" s="6"/>
      <c r="O486" s="5"/>
    </row>
    <row r="487" spans="1:15" x14ac:dyDescent="0.2">
      <c r="A487" s="3" t="str">
        <f>IF($B487="","",COUNTA($B$9:$B487))</f>
        <v/>
      </c>
      <c r="B487" s="4"/>
      <c r="C487" s="4"/>
      <c r="D487" s="4"/>
      <c r="E487" s="5"/>
      <c r="F487" s="3" t="str">
        <f t="shared" si="25"/>
        <v/>
      </c>
      <c r="G487" s="4"/>
      <c r="H487" s="3" t="str">
        <f t="shared" si="26"/>
        <v/>
      </c>
      <c r="I487" s="5"/>
      <c r="J487" s="5"/>
      <c r="K487" s="6"/>
      <c r="L487" s="6"/>
      <c r="M487" s="7" t="str">
        <f t="shared" si="27"/>
        <v/>
      </c>
      <c r="N487" s="6"/>
      <c r="O487" s="5"/>
    </row>
    <row r="488" spans="1:15" x14ac:dyDescent="0.2">
      <c r="A488" s="3" t="str">
        <f>IF($B488="","",COUNTA($B$9:$B488))</f>
        <v/>
      </c>
      <c r="B488" s="4"/>
      <c r="C488" s="4"/>
      <c r="D488" s="4"/>
      <c r="E488" s="5"/>
      <c r="F488" s="3" t="str">
        <f t="shared" si="25"/>
        <v/>
      </c>
      <c r="G488" s="4"/>
      <c r="H488" s="3" t="str">
        <f t="shared" si="26"/>
        <v/>
      </c>
      <c r="I488" s="5"/>
      <c r="J488" s="5"/>
      <c r="K488" s="6"/>
      <c r="L488" s="6"/>
      <c r="M488" s="7" t="str">
        <f t="shared" si="27"/>
        <v/>
      </c>
      <c r="N488" s="6"/>
      <c r="O488" s="5"/>
    </row>
    <row r="489" spans="1:15" x14ac:dyDescent="0.2">
      <c r="A489" s="3" t="str">
        <f>IF($B489="","",COUNTA($B$9:$B489))</f>
        <v/>
      </c>
      <c r="B489" s="4"/>
      <c r="C489" s="4"/>
      <c r="D489" s="4"/>
      <c r="E489" s="5"/>
      <c r="F489" s="3" t="str">
        <f t="shared" si="25"/>
        <v/>
      </c>
      <c r="G489" s="4"/>
      <c r="H489" s="3" t="str">
        <f t="shared" si="26"/>
        <v/>
      </c>
      <c r="I489" s="5"/>
      <c r="J489" s="5"/>
      <c r="K489" s="6"/>
      <c r="L489" s="6"/>
      <c r="M489" s="7" t="str">
        <f t="shared" si="27"/>
        <v/>
      </c>
      <c r="N489" s="6"/>
      <c r="O489" s="5"/>
    </row>
    <row r="490" spans="1:15" x14ac:dyDescent="0.2">
      <c r="A490" s="3" t="str">
        <f>IF($B490="","",COUNTA($B$9:$B490))</f>
        <v/>
      </c>
      <c r="B490" s="4"/>
      <c r="C490" s="4"/>
      <c r="D490" s="4"/>
      <c r="E490" s="5"/>
      <c r="F490" s="3" t="str">
        <f t="shared" si="25"/>
        <v/>
      </c>
      <c r="G490" s="4"/>
      <c r="H490" s="3" t="str">
        <f t="shared" si="26"/>
        <v/>
      </c>
      <c r="I490" s="5"/>
      <c r="J490" s="5"/>
      <c r="K490" s="6"/>
      <c r="L490" s="6"/>
      <c r="M490" s="7" t="str">
        <f t="shared" si="27"/>
        <v/>
      </c>
      <c r="N490" s="6"/>
      <c r="O490" s="5"/>
    </row>
    <row r="491" spans="1:15" x14ac:dyDescent="0.2">
      <c r="A491" s="3" t="str">
        <f>IF($B491="","",COUNTA($B$9:$B491))</f>
        <v/>
      </c>
      <c r="B491" s="4"/>
      <c r="C491" s="4"/>
      <c r="D491" s="4"/>
      <c r="E491" s="5"/>
      <c r="F491" s="3" t="str">
        <f t="shared" si="25"/>
        <v/>
      </c>
      <c r="G491" s="4"/>
      <c r="H491" s="3" t="str">
        <f t="shared" si="26"/>
        <v/>
      </c>
      <c r="I491" s="5"/>
      <c r="J491" s="5"/>
      <c r="K491" s="6"/>
      <c r="L491" s="6"/>
      <c r="M491" s="7" t="str">
        <f t="shared" si="27"/>
        <v/>
      </c>
      <c r="N491" s="6"/>
      <c r="O491" s="5"/>
    </row>
    <row r="492" spans="1:15" x14ac:dyDescent="0.2">
      <c r="A492" s="3" t="str">
        <f>IF($B492="","",COUNTA($B$9:$B492))</f>
        <v/>
      </c>
      <c r="B492" s="4"/>
      <c r="C492" s="4"/>
      <c r="D492" s="4"/>
      <c r="E492" s="5"/>
      <c r="F492" s="3" t="str">
        <f t="shared" si="25"/>
        <v/>
      </c>
      <c r="G492" s="4"/>
      <c r="H492" s="3" t="str">
        <f t="shared" si="26"/>
        <v/>
      </c>
      <c r="I492" s="5"/>
      <c r="J492" s="5"/>
      <c r="K492" s="6"/>
      <c r="L492" s="6"/>
      <c r="M492" s="7" t="str">
        <f t="shared" si="27"/>
        <v/>
      </c>
      <c r="N492" s="6"/>
      <c r="O492" s="5"/>
    </row>
    <row r="493" spans="1:15" x14ac:dyDescent="0.2">
      <c r="A493" s="3" t="str">
        <f>IF($B493="","",COUNTA($B$9:$B493))</f>
        <v/>
      </c>
      <c r="B493" s="4"/>
      <c r="C493" s="4"/>
      <c r="D493" s="4"/>
      <c r="E493" s="5"/>
      <c r="F493" s="3" t="str">
        <f t="shared" si="25"/>
        <v/>
      </c>
      <c r="G493" s="4"/>
      <c r="H493" s="3" t="str">
        <f t="shared" si="26"/>
        <v/>
      </c>
      <c r="I493" s="5"/>
      <c r="J493" s="5"/>
      <c r="K493" s="6"/>
      <c r="L493" s="6"/>
      <c r="M493" s="7" t="str">
        <f t="shared" si="27"/>
        <v/>
      </c>
      <c r="N493" s="6"/>
      <c r="O493" s="5"/>
    </row>
    <row r="494" spans="1:15" x14ac:dyDescent="0.2">
      <c r="A494" s="3" t="str">
        <f>IF($B494="","",COUNTA($B$9:$B494))</f>
        <v/>
      </c>
      <c r="B494" s="4"/>
      <c r="C494" s="4"/>
      <c r="D494" s="4"/>
      <c r="E494" s="5"/>
      <c r="F494" s="3" t="str">
        <f t="shared" si="25"/>
        <v/>
      </c>
      <c r="G494" s="4"/>
      <c r="H494" s="3" t="str">
        <f t="shared" si="26"/>
        <v/>
      </c>
      <c r="I494" s="5"/>
      <c r="J494" s="5"/>
      <c r="K494" s="6"/>
      <c r="L494" s="6"/>
      <c r="M494" s="7" t="str">
        <f t="shared" si="27"/>
        <v/>
      </c>
      <c r="N494" s="6"/>
      <c r="O494" s="5"/>
    </row>
    <row r="495" spans="1:15" x14ac:dyDescent="0.2">
      <c r="A495" s="3" t="str">
        <f>IF($B495="","",COUNTA($B$9:$B495))</f>
        <v/>
      </c>
      <c r="B495" s="4"/>
      <c r="C495" s="4"/>
      <c r="D495" s="4"/>
      <c r="E495" s="5"/>
      <c r="F495" s="3" t="str">
        <f t="shared" si="25"/>
        <v/>
      </c>
      <c r="G495" s="4"/>
      <c r="H495" s="3" t="str">
        <f t="shared" si="26"/>
        <v/>
      </c>
      <c r="I495" s="5"/>
      <c r="J495" s="5"/>
      <c r="K495" s="6"/>
      <c r="L495" s="6"/>
      <c r="M495" s="7" t="str">
        <f t="shared" si="27"/>
        <v/>
      </c>
      <c r="N495" s="6"/>
      <c r="O495" s="5"/>
    </row>
    <row r="496" spans="1:15" x14ac:dyDescent="0.2">
      <c r="A496" s="3" t="str">
        <f>IF($B496="","",COUNTA($B$9:$B496))</f>
        <v/>
      </c>
      <c r="B496" s="4"/>
      <c r="C496" s="4"/>
      <c r="D496" s="4"/>
      <c r="E496" s="5"/>
      <c r="F496" s="3" t="str">
        <f t="shared" si="25"/>
        <v/>
      </c>
      <c r="G496" s="4"/>
      <c r="H496" s="3" t="str">
        <f t="shared" si="26"/>
        <v/>
      </c>
      <c r="I496" s="5"/>
      <c r="J496" s="5"/>
      <c r="K496" s="6"/>
      <c r="L496" s="6"/>
      <c r="M496" s="7" t="str">
        <f t="shared" si="27"/>
        <v/>
      </c>
      <c r="N496" s="6"/>
      <c r="O496" s="5"/>
    </row>
    <row r="497" spans="1:15" x14ac:dyDescent="0.2">
      <c r="A497" s="3" t="str">
        <f>IF($B497="","",COUNTA($B$9:$B497))</f>
        <v/>
      </c>
      <c r="B497" s="4"/>
      <c r="C497" s="4"/>
      <c r="D497" s="4"/>
      <c r="E497" s="5"/>
      <c r="F497" s="3" t="str">
        <f t="shared" si="25"/>
        <v/>
      </c>
      <c r="G497" s="4"/>
      <c r="H497" s="3" t="str">
        <f t="shared" si="26"/>
        <v/>
      </c>
      <c r="I497" s="5"/>
      <c r="J497" s="5"/>
      <c r="K497" s="6"/>
      <c r="L497" s="6"/>
      <c r="M497" s="7" t="str">
        <f t="shared" si="27"/>
        <v/>
      </c>
      <c r="N497" s="6"/>
      <c r="O497" s="5"/>
    </row>
    <row r="498" spans="1:15" x14ac:dyDescent="0.2">
      <c r="A498" s="3" t="str">
        <f>IF($B498="","",COUNTA($B$9:$B498))</f>
        <v/>
      </c>
      <c r="B498" s="4"/>
      <c r="C498" s="4"/>
      <c r="D498" s="4"/>
      <c r="E498" s="5"/>
      <c r="F498" s="3" t="str">
        <f t="shared" si="25"/>
        <v/>
      </c>
      <c r="G498" s="4"/>
      <c r="H498" s="3" t="str">
        <f t="shared" si="26"/>
        <v/>
      </c>
      <c r="I498" s="5"/>
      <c r="J498" s="5"/>
      <c r="K498" s="6"/>
      <c r="L498" s="6"/>
      <c r="M498" s="7" t="str">
        <f t="shared" si="27"/>
        <v/>
      </c>
      <c r="N498" s="6"/>
      <c r="O498" s="5"/>
    </row>
    <row r="499" spans="1:15" x14ac:dyDescent="0.2">
      <c r="A499" s="3" t="str">
        <f>IF($B499="","",COUNTA($B$9:$B499))</f>
        <v/>
      </c>
      <c r="B499" s="4"/>
      <c r="C499" s="4"/>
      <c r="D499" s="4"/>
      <c r="E499" s="5"/>
      <c r="F499" s="3" t="str">
        <f t="shared" si="25"/>
        <v/>
      </c>
      <c r="G499" s="4"/>
      <c r="H499" s="3" t="str">
        <f t="shared" si="26"/>
        <v/>
      </c>
      <c r="I499" s="5"/>
      <c r="J499" s="5"/>
      <c r="K499" s="6"/>
      <c r="L499" s="6"/>
      <c r="M499" s="7" t="str">
        <f t="shared" si="27"/>
        <v/>
      </c>
      <c r="N499" s="6"/>
      <c r="O499" s="5"/>
    </row>
    <row r="500" spans="1:15" x14ac:dyDescent="0.2">
      <c r="A500" s="3" t="str">
        <f>IF($B500="","",COUNTA($B$9:$B500))</f>
        <v/>
      </c>
      <c r="B500" s="4"/>
      <c r="C500" s="4"/>
      <c r="D500" s="4"/>
      <c r="E500" s="5"/>
      <c r="F500" s="3" t="str">
        <f t="shared" si="25"/>
        <v/>
      </c>
      <c r="G500" s="4"/>
      <c r="H500" s="3" t="str">
        <f t="shared" si="26"/>
        <v/>
      </c>
      <c r="I500" s="5"/>
      <c r="J500" s="5"/>
      <c r="K500" s="6"/>
      <c r="L500" s="6"/>
      <c r="M500" s="7" t="str">
        <f t="shared" si="27"/>
        <v/>
      </c>
      <c r="N500" s="6"/>
      <c r="O500" s="5"/>
    </row>
    <row r="501" spans="1:15" x14ac:dyDescent="0.2">
      <c r="A501" s="3" t="str">
        <f>IF($B501="","",COUNTA($B$9:$B501))</f>
        <v/>
      </c>
      <c r="B501" s="4"/>
      <c r="C501" s="4"/>
      <c r="D501" s="4"/>
      <c r="E501" s="5"/>
      <c r="F501" s="3" t="str">
        <f t="shared" si="25"/>
        <v/>
      </c>
      <c r="G501" s="4"/>
      <c r="H501" s="3" t="str">
        <f t="shared" si="26"/>
        <v/>
      </c>
      <c r="I501" s="5"/>
      <c r="J501" s="5"/>
      <c r="K501" s="6"/>
      <c r="L501" s="6"/>
      <c r="M501" s="7" t="str">
        <f t="shared" si="27"/>
        <v/>
      </c>
      <c r="N501" s="6"/>
      <c r="O501" s="5"/>
    </row>
    <row r="502" spans="1:15" x14ac:dyDescent="0.2">
      <c r="A502" s="3" t="str">
        <f>IF($B502="","",COUNTA($B$9:$B502))</f>
        <v/>
      </c>
      <c r="B502" s="4"/>
      <c r="C502" s="4"/>
      <c r="D502" s="4"/>
      <c r="E502" s="5"/>
      <c r="F502" s="3" t="str">
        <f t="shared" si="25"/>
        <v/>
      </c>
      <c r="G502" s="4"/>
      <c r="H502" s="3" t="str">
        <f t="shared" si="26"/>
        <v/>
      </c>
      <c r="I502" s="5"/>
      <c r="J502" s="5"/>
      <c r="K502" s="6"/>
      <c r="L502" s="6"/>
      <c r="M502" s="7" t="str">
        <f t="shared" si="27"/>
        <v/>
      </c>
      <c r="N502" s="6"/>
      <c r="O502" s="5"/>
    </row>
    <row r="503" spans="1:15" x14ac:dyDescent="0.2">
      <c r="A503" s="3" t="str">
        <f>IF($B503="","",COUNTA($B$9:$B503))</f>
        <v/>
      </c>
      <c r="B503" s="4"/>
      <c r="C503" s="4"/>
      <c r="D503" s="4"/>
      <c r="E503" s="5"/>
      <c r="F503" s="3" t="str">
        <f t="shared" si="25"/>
        <v/>
      </c>
      <c r="G503" s="4"/>
      <c r="H503" s="3" t="str">
        <f t="shared" si="26"/>
        <v/>
      </c>
      <c r="I503" s="5"/>
      <c r="J503" s="5"/>
      <c r="K503" s="6"/>
      <c r="L503" s="6"/>
      <c r="M503" s="7" t="str">
        <f t="shared" si="27"/>
        <v/>
      </c>
      <c r="N503" s="6"/>
      <c r="O503" s="5"/>
    </row>
    <row r="504" spans="1:15" x14ac:dyDescent="0.2">
      <c r="A504" s="3" t="str">
        <f>IF($B504="","",COUNTA($B$9:$B504))</f>
        <v/>
      </c>
      <c r="B504" s="4"/>
      <c r="C504" s="4"/>
      <c r="D504" s="4"/>
      <c r="E504" s="5"/>
      <c r="F504" s="3" t="str">
        <f t="shared" si="25"/>
        <v/>
      </c>
      <c r="G504" s="4"/>
      <c r="H504" s="3" t="str">
        <f t="shared" si="26"/>
        <v/>
      </c>
      <c r="I504" s="5"/>
      <c r="J504" s="5"/>
      <c r="K504" s="6"/>
      <c r="L504" s="6"/>
      <c r="M504" s="7" t="str">
        <f t="shared" si="27"/>
        <v/>
      </c>
      <c r="N504" s="6"/>
      <c r="O504" s="5"/>
    </row>
    <row r="505" spans="1:15" x14ac:dyDescent="0.2">
      <c r="A505" s="3" t="str">
        <f>IF($B505="","",COUNTA($B$9:$B505))</f>
        <v/>
      </c>
      <c r="B505" s="4"/>
      <c r="C505" s="4"/>
      <c r="D505" s="4"/>
      <c r="E505" s="5"/>
      <c r="F505" s="3" t="str">
        <f t="shared" si="25"/>
        <v/>
      </c>
      <c r="G505" s="4"/>
      <c r="H505" s="3" t="str">
        <f t="shared" si="26"/>
        <v/>
      </c>
      <c r="I505" s="5"/>
      <c r="J505" s="5"/>
      <c r="K505" s="6"/>
      <c r="L505" s="6"/>
      <c r="M505" s="7" t="str">
        <f t="shared" si="27"/>
        <v/>
      </c>
      <c r="N505" s="6"/>
      <c r="O505" s="5"/>
    </row>
    <row r="506" spans="1:15" x14ac:dyDescent="0.2">
      <c r="A506" s="3" t="str">
        <f>IF($B506="","",COUNTA($B$9:$B506))</f>
        <v/>
      </c>
      <c r="B506" s="4"/>
      <c r="C506" s="4"/>
      <c r="D506" s="4"/>
      <c r="E506" s="5"/>
      <c r="F506" s="3" t="str">
        <f t="shared" si="25"/>
        <v/>
      </c>
      <c r="G506" s="4"/>
      <c r="H506" s="3" t="str">
        <f t="shared" si="26"/>
        <v/>
      </c>
      <c r="I506" s="5"/>
      <c r="J506" s="5"/>
      <c r="K506" s="6"/>
      <c r="L506" s="6"/>
      <c r="M506" s="7" t="str">
        <f t="shared" si="27"/>
        <v/>
      </c>
      <c r="N506" s="6"/>
      <c r="O506" s="5"/>
    </row>
    <row r="507" spans="1:15" x14ac:dyDescent="0.2">
      <c r="A507" s="3" t="str">
        <f>IF($B507="","",COUNTA($B$9:$B507))</f>
        <v/>
      </c>
      <c r="B507" s="4"/>
      <c r="C507" s="4"/>
      <c r="D507" s="4"/>
      <c r="E507" s="5"/>
      <c r="F507" s="3" t="str">
        <f t="shared" si="25"/>
        <v/>
      </c>
      <c r="G507" s="4"/>
      <c r="H507" s="3" t="str">
        <f t="shared" si="26"/>
        <v/>
      </c>
      <c r="I507" s="5"/>
      <c r="J507" s="5"/>
      <c r="K507" s="6"/>
      <c r="L507" s="6"/>
      <c r="M507" s="7" t="str">
        <f t="shared" si="27"/>
        <v/>
      </c>
      <c r="N507" s="6"/>
      <c r="O507" s="5"/>
    </row>
    <row r="508" spans="1:15" x14ac:dyDescent="0.2">
      <c r="A508" s="3" t="str">
        <f>IF($B508="","",COUNTA($B$9:$B508))</f>
        <v/>
      </c>
      <c r="B508" s="4"/>
      <c r="C508" s="4"/>
      <c r="D508" s="4"/>
      <c r="E508" s="5"/>
      <c r="F508" s="3" t="str">
        <f t="shared" si="25"/>
        <v/>
      </c>
      <c r="G508" s="4"/>
      <c r="H508" s="3" t="str">
        <f t="shared" si="26"/>
        <v/>
      </c>
      <c r="I508" s="5"/>
      <c r="J508" s="5"/>
      <c r="K508" s="6"/>
      <c r="L508" s="6"/>
      <c r="M508" s="7" t="str">
        <f t="shared" si="27"/>
        <v/>
      </c>
      <c r="N508" s="6"/>
      <c r="O508" s="5"/>
    </row>
    <row r="509" spans="1:15" x14ac:dyDescent="0.2">
      <c r="A509" s="3" t="str">
        <f>IF($B509="","",COUNTA($B$9:$B509))</f>
        <v/>
      </c>
      <c r="B509" s="4"/>
      <c r="C509" s="4"/>
      <c r="D509" s="4"/>
      <c r="E509" s="5"/>
      <c r="F509" s="3" t="str">
        <f t="shared" si="25"/>
        <v/>
      </c>
      <c r="G509" s="4"/>
      <c r="H509" s="3" t="str">
        <f t="shared" si="26"/>
        <v/>
      </c>
      <c r="I509" s="5"/>
      <c r="J509" s="5"/>
      <c r="K509" s="6"/>
      <c r="L509" s="6"/>
      <c r="M509" s="7" t="str">
        <f t="shared" si="27"/>
        <v/>
      </c>
      <c r="N509" s="6"/>
      <c r="O509" s="5"/>
    </row>
    <row r="510" spans="1:15" x14ac:dyDescent="0.2">
      <c r="A510" s="3" t="str">
        <f>IF($B510="","",COUNTA($B$9:$B510))</f>
        <v/>
      </c>
      <c r="B510" s="4"/>
      <c r="C510" s="4"/>
      <c r="D510" s="4"/>
      <c r="E510" s="5"/>
      <c r="F510" s="3" t="str">
        <f t="shared" si="25"/>
        <v/>
      </c>
      <c r="G510" s="4"/>
      <c r="H510" s="3" t="str">
        <f t="shared" si="26"/>
        <v/>
      </c>
      <c r="I510" s="5"/>
      <c r="J510" s="5"/>
      <c r="K510" s="6"/>
      <c r="L510" s="6"/>
      <c r="M510" s="7" t="str">
        <f t="shared" si="27"/>
        <v/>
      </c>
      <c r="N510" s="6"/>
      <c r="O510" s="5"/>
    </row>
    <row r="511" spans="1:15" x14ac:dyDescent="0.2">
      <c r="A511" s="3" t="str">
        <f>IF($B511="","",COUNTA($B$9:$B511))</f>
        <v/>
      </c>
      <c r="B511" s="4"/>
      <c r="C511" s="4"/>
      <c r="D511" s="4"/>
      <c r="E511" s="5"/>
      <c r="F511" s="3" t="str">
        <f t="shared" si="25"/>
        <v/>
      </c>
      <c r="G511" s="4"/>
      <c r="H511" s="3" t="str">
        <f t="shared" si="26"/>
        <v/>
      </c>
      <c r="I511" s="5"/>
      <c r="J511" s="5"/>
      <c r="K511" s="6"/>
      <c r="L511" s="6"/>
      <c r="M511" s="7" t="str">
        <f t="shared" si="27"/>
        <v/>
      </c>
      <c r="N511" s="6"/>
      <c r="O511" s="5"/>
    </row>
    <row r="512" spans="1:15" x14ac:dyDescent="0.2">
      <c r="A512" s="3" t="str">
        <f>IF($B512="","",COUNTA($B$9:$B512))</f>
        <v/>
      </c>
      <c r="B512" s="4"/>
      <c r="C512" s="4"/>
      <c r="D512" s="4"/>
      <c r="E512" s="5"/>
      <c r="F512" s="3" t="str">
        <f t="shared" si="25"/>
        <v/>
      </c>
      <c r="G512" s="4"/>
      <c r="H512" s="3" t="str">
        <f t="shared" si="26"/>
        <v/>
      </c>
      <c r="I512" s="5"/>
      <c r="J512" s="5"/>
      <c r="K512" s="6"/>
      <c r="L512" s="6"/>
      <c r="M512" s="7" t="str">
        <f t="shared" si="27"/>
        <v/>
      </c>
      <c r="N512" s="6"/>
      <c r="O512" s="5"/>
    </row>
    <row r="513" spans="1:15" x14ac:dyDescent="0.2">
      <c r="A513" s="3" t="str">
        <f>IF($B513="","",COUNTA($B$9:$B513))</f>
        <v/>
      </c>
      <c r="B513" s="4"/>
      <c r="C513" s="4"/>
      <c r="D513" s="4"/>
      <c r="E513" s="5"/>
      <c r="F513" s="3" t="str">
        <f t="shared" si="25"/>
        <v/>
      </c>
      <c r="G513" s="4"/>
      <c r="H513" s="3" t="str">
        <f t="shared" si="26"/>
        <v/>
      </c>
      <c r="I513" s="5"/>
      <c r="J513" s="5"/>
      <c r="K513" s="6"/>
      <c r="L513" s="6"/>
      <c r="M513" s="7" t="str">
        <f t="shared" si="27"/>
        <v/>
      </c>
      <c r="N513" s="6"/>
      <c r="O513" s="5"/>
    </row>
    <row r="514" spans="1:15" x14ac:dyDescent="0.2">
      <c r="A514" s="3" t="str">
        <f>IF($B514="","",COUNTA($B$9:$B514))</f>
        <v/>
      </c>
      <c r="B514" s="4"/>
      <c r="C514" s="4"/>
      <c r="D514" s="4"/>
      <c r="E514" s="5"/>
      <c r="F514" s="3" t="str">
        <f t="shared" si="25"/>
        <v/>
      </c>
      <c r="G514" s="4"/>
      <c r="H514" s="3" t="str">
        <f t="shared" si="26"/>
        <v/>
      </c>
      <c r="I514" s="5"/>
      <c r="J514" s="5"/>
      <c r="K514" s="6"/>
      <c r="L514" s="6"/>
      <c r="M514" s="7" t="str">
        <f t="shared" si="27"/>
        <v/>
      </c>
      <c r="N514" s="6"/>
      <c r="O514" s="5"/>
    </row>
    <row r="515" spans="1:15" x14ac:dyDescent="0.2">
      <c r="A515" s="3" t="str">
        <f>IF($B515="","",COUNTA($B$9:$B515))</f>
        <v/>
      </c>
      <c r="B515" s="4"/>
      <c r="C515" s="4"/>
      <c r="D515" s="4"/>
      <c r="E515" s="5"/>
      <c r="F515" s="3" t="str">
        <f t="shared" si="25"/>
        <v/>
      </c>
      <c r="G515" s="4"/>
      <c r="H515" s="3" t="str">
        <f t="shared" si="26"/>
        <v/>
      </c>
      <c r="I515" s="5"/>
      <c r="J515" s="5"/>
      <c r="K515" s="6"/>
      <c r="L515" s="6"/>
      <c r="M515" s="7" t="str">
        <f t="shared" si="27"/>
        <v/>
      </c>
      <c r="N515" s="6"/>
      <c r="O515" s="5"/>
    </row>
    <row r="516" spans="1:15" x14ac:dyDescent="0.2">
      <c r="A516" s="3" t="str">
        <f>IF($B516="","",COUNTA($B$9:$B516))</f>
        <v/>
      </c>
      <c r="B516" s="4"/>
      <c r="C516" s="4"/>
      <c r="D516" s="4"/>
      <c r="E516" s="5"/>
      <c r="F516" s="3" t="str">
        <f t="shared" si="25"/>
        <v/>
      </c>
      <c r="G516" s="4"/>
      <c r="H516" s="3" t="str">
        <f t="shared" si="26"/>
        <v/>
      </c>
      <c r="I516" s="5"/>
      <c r="J516" s="5"/>
      <c r="K516" s="6"/>
      <c r="L516" s="6"/>
      <c r="M516" s="7" t="str">
        <f t="shared" si="27"/>
        <v/>
      </c>
      <c r="N516" s="6"/>
      <c r="O516" s="5"/>
    </row>
    <row r="517" spans="1:15" x14ac:dyDescent="0.2">
      <c r="A517" s="3" t="str">
        <f>IF($B517="","",COUNTA($B$9:$B517))</f>
        <v/>
      </c>
      <c r="B517" s="4"/>
      <c r="C517" s="4"/>
      <c r="D517" s="4"/>
      <c r="E517" s="5"/>
      <c r="F517" s="3" t="str">
        <f t="shared" si="25"/>
        <v/>
      </c>
      <c r="G517" s="4"/>
      <c r="H517" s="3" t="str">
        <f t="shared" si="26"/>
        <v/>
      </c>
      <c r="I517" s="5"/>
      <c r="J517" s="5"/>
      <c r="K517" s="6"/>
      <c r="L517" s="6"/>
      <c r="M517" s="7" t="str">
        <f t="shared" si="27"/>
        <v/>
      </c>
      <c r="N517" s="6"/>
      <c r="O517" s="5"/>
    </row>
    <row r="518" spans="1:15" x14ac:dyDescent="0.2">
      <c r="A518" s="3" t="str">
        <f>IF($B518="","",COUNTA($B$9:$B518))</f>
        <v/>
      </c>
      <c r="B518" s="4"/>
      <c r="C518" s="4"/>
      <c r="D518" s="4"/>
      <c r="E518" s="5"/>
      <c r="F518" s="3" t="str">
        <f t="shared" si="25"/>
        <v/>
      </c>
      <c r="G518" s="4"/>
      <c r="H518" s="3" t="str">
        <f t="shared" si="26"/>
        <v/>
      </c>
      <c r="I518" s="5"/>
      <c r="J518" s="5"/>
      <c r="K518" s="6"/>
      <c r="L518" s="6"/>
      <c r="M518" s="7" t="str">
        <f t="shared" si="27"/>
        <v/>
      </c>
      <c r="N518" s="6"/>
      <c r="O518" s="5"/>
    </row>
    <row r="519" spans="1:15" x14ac:dyDescent="0.2">
      <c r="A519" s="3" t="str">
        <f>IF($B519="","",COUNTA($B$9:$B519))</f>
        <v/>
      </c>
      <c r="B519" s="4"/>
      <c r="C519" s="4"/>
      <c r="D519" s="4"/>
      <c r="E519" s="5"/>
      <c r="F519" s="3" t="str">
        <f t="shared" si="25"/>
        <v/>
      </c>
      <c r="G519" s="4"/>
      <c r="H519" s="3" t="str">
        <f t="shared" si="26"/>
        <v/>
      </c>
      <c r="I519" s="5"/>
      <c r="J519" s="5"/>
      <c r="K519" s="6"/>
      <c r="L519" s="6"/>
      <c r="M519" s="7" t="str">
        <f t="shared" si="27"/>
        <v/>
      </c>
      <c r="N519" s="6"/>
      <c r="O519" s="5"/>
    </row>
    <row r="520" spans="1:15" x14ac:dyDescent="0.2">
      <c r="A520" s="3" t="str">
        <f>IF($B520="","",COUNTA($B$9:$B520))</f>
        <v/>
      </c>
      <c r="B520" s="4"/>
      <c r="C520" s="4"/>
      <c r="D520" s="4"/>
      <c r="E520" s="5"/>
      <c r="F520" s="3" t="str">
        <f t="shared" ref="F520:F583" si="28">IF($E520="","",IFERROR(VLOOKUP($E520,OpTbl,2,0),""))</f>
        <v/>
      </c>
      <c r="G520" s="4"/>
      <c r="H520" s="3" t="str">
        <f t="shared" ref="H520:H583" si="29">IF($G520="","",IFERROR(IF(VLOOKUP($G520,AcctTbl,4,0)="","(بدون نام)",VLOOKUP($G520,AcctTbl,4,0)),"کد ناشناخته"))</f>
        <v/>
      </c>
      <c r="I520" s="5"/>
      <c r="J520" s="5"/>
      <c r="K520" s="6"/>
      <c r="L520" s="6"/>
      <c r="M520" s="7" t="str">
        <f t="shared" ref="M520:M583" si="30">IF(OR($B520="",$K520=""),"",($K520-IF($L520="",0,$L520)*IFERROR(VLOOKUP("P01",ParamTbl,3,0),1.5))*(1-IF(IFERROR(VLOOKUP($E520,OpTbl,3,0),"")="خرید",IFERROR(VLOOKUP("P02",ParamTbl,3,0),1),0)/100))</f>
        <v/>
      </c>
      <c r="N520" s="6"/>
      <c r="O520" s="5"/>
    </row>
    <row r="521" spans="1:15" x14ac:dyDescent="0.2">
      <c r="A521" s="3" t="str">
        <f>IF($B521="","",COUNTA($B$9:$B521))</f>
        <v/>
      </c>
      <c r="B521" s="4"/>
      <c r="C521" s="4"/>
      <c r="D521" s="4"/>
      <c r="E521" s="5"/>
      <c r="F521" s="3" t="str">
        <f t="shared" si="28"/>
        <v/>
      </c>
      <c r="G521" s="4"/>
      <c r="H521" s="3" t="str">
        <f t="shared" si="29"/>
        <v/>
      </c>
      <c r="I521" s="5"/>
      <c r="J521" s="5"/>
      <c r="K521" s="6"/>
      <c r="L521" s="6"/>
      <c r="M521" s="7" t="str">
        <f t="shared" si="30"/>
        <v/>
      </c>
      <c r="N521" s="6"/>
      <c r="O521" s="5"/>
    </row>
    <row r="522" spans="1:15" x14ac:dyDescent="0.2">
      <c r="A522" s="3" t="str">
        <f>IF($B522="","",COUNTA($B$9:$B522))</f>
        <v/>
      </c>
      <c r="B522" s="4"/>
      <c r="C522" s="4"/>
      <c r="D522" s="4"/>
      <c r="E522" s="5"/>
      <c r="F522" s="3" t="str">
        <f t="shared" si="28"/>
        <v/>
      </c>
      <c r="G522" s="4"/>
      <c r="H522" s="3" t="str">
        <f t="shared" si="29"/>
        <v/>
      </c>
      <c r="I522" s="5"/>
      <c r="J522" s="5"/>
      <c r="K522" s="6"/>
      <c r="L522" s="6"/>
      <c r="M522" s="7" t="str">
        <f t="shared" si="30"/>
        <v/>
      </c>
      <c r="N522" s="6"/>
      <c r="O522" s="5"/>
    </row>
    <row r="523" spans="1:15" x14ac:dyDescent="0.2">
      <c r="A523" s="3" t="str">
        <f>IF($B523="","",COUNTA($B$9:$B523))</f>
        <v/>
      </c>
      <c r="B523" s="4"/>
      <c r="C523" s="4"/>
      <c r="D523" s="4"/>
      <c r="E523" s="5"/>
      <c r="F523" s="3" t="str">
        <f t="shared" si="28"/>
        <v/>
      </c>
      <c r="G523" s="4"/>
      <c r="H523" s="3" t="str">
        <f t="shared" si="29"/>
        <v/>
      </c>
      <c r="I523" s="5"/>
      <c r="J523" s="5"/>
      <c r="K523" s="6"/>
      <c r="L523" s="6"/>
      <c r="M523" s="7" t="str">
        <f t="shared" si="30"/>
        <v/>
      </c>
      <c r="N523" s="6"/>
      <c r="O523" s="5"/>
    </row>
    <row r="524" spans="1:15" x14ac:dyDescent="0.2">
      <c r="A524" s="3" t="str">
        <f>IF($B524="","",COUNTA($B$9:$B524))</f>
        <v/>
      </c>
      <c r="B524" s="4"/>
      <c r="C524" s="4"/>
      <c r="D524" s="4"/>
      <c r="E524" s="5"/>
      <c r="F524" s="3" t="str">
        <f t="shared" si="28"/>
        <v/>
      </c>
      <c r="G524" s="4"/>
      <c r="H524" s="3" t="str">
        <f t="shared" si="29"/>
        <v/>
      </c>
      <c r="I524" s="5"/>
      <c r="J524" s="5"/>
      <c r="K524" s="6"/>
      <c r="L524" s="6"/>
      <c r="M524" s="7" t="str">
        <f t="shared" si="30"/>
        <v/>
      </c>
      <c r="N524" s="6"/>
      <c r="O524" s="5"/>
    </row>
    <row r="525" spans="1:15" x14ac:dyDescent="0.2">
      <c r="A525" s="3" t="str">
        <f>IF($B525="","",COUNTA($B$9:$B525))</f>
        <v/>
      </c>
      <c r="B525" s="4"/>
      <c r="C525" s="4"/>
      <c r="D525" s="4"/>
      <c r="E525" s="5"/>
      <c r="F525" s="3" t="str">
        <f t="shared" si="28"/>
        <v/>
      </c>
      <c r="G525" s="4"/>
      <c r="H525" s="3" t="str">
        <f t="shared" si="29"/>
        <v/>
      </c>
      <c r="I525" s="5"/>
      <c r="J525" s="5"/>
      <c r="K525" s="6"/>
      <c r="L525" s="6"/>
      <c r="M525" s="7" t="str">
        <f t="shared" si="30"/>
        <v/>
      </c>
      <c r="N525" s="6"/>
      <c r="O525" s="5"/>
    </row>
    <row r="526" spans="1:15" x14ac:dyDescent="0.2">
      <c r="A526" s="3" t="str">
        <f>IF($B526="","",COUNTA($B$9:$B526))</f>
        <v/>
      </c>
      <c r="B526" s="4"/>
      <c r="C526" s="4"/>
      <c r="D526" s="4"/>
      <c r="E526" s="5"/>
      <c r="F526" s="3" t="str">
        <f t="shared" si="28"/>
        <v/>
      </c>
      <c r="G526" s="4"/>
      <c r="H526" s="3" t="str">
        <f t="shared" si="29"/>
        <v/>
      </c>
      <c r="I526" s="5"/>
      <c r="J526" s="5"/>
      <c r="K526" s="6"/>
      <c r="L526" s="6"/>
      <c r="M526" s="7" t="str">
        <f t="shared" si="30"/>
        <v/>
      </c>
      <c r="N526" s="6"/>
      <c r="O526" s="5"/>
    </row>
    <row r="527" spans="1:15" x14ac:dyDescent="0.2">
      <c r="A527" s="3" t="str">
        <f>IF($B527="","",COUNTA($B$9:$B527))</f>
        <v/>
      </c>
      <c r="B527" s="4"/>
      <c r="C527" s="4"/>
      <c r="D527" s="4"/>
      <c r="E527" s="5"/>
      <c r="F527" s="3" t="str">
        <f t="shared" si="28"/>
        <v/>
      </c>
      <c r="G527" s="4"/>
      <c r="H527" s="3" t="str">
        <f t="shared" si="29"/>
        <v/>
      </c>
      <c r="I527" s="5"/>
      <c r="J527" s="5"/>
      <c r="K527" s="6"/>
      <c r="L527" s="6"/>
      <c r="M527" s="7" t="str">
        <f t="shared" si="30"/>
        <v/>
      </c>
      <c r="N527" s="6"/>
      <c r="O527" s="5"/>
    </row>
    <row r="528" spans="1:15" x14ac:dyDescent="0.2">
      <c r="A528" s="3" t="str">
        <f>IF($B528="","",COUNTA($B$9:$B528))</f>
        <v/>
      </c>
      <c r="B528" s="4"/>
      <c r="C528" s="4"/>
      <c r="D528" s="4"/>
      <c r="E528" s="5"/>
      <c r="F528" s="3" t="str">
        <f t="shared" si="28"/>
        <v/>
      </c>
      <c r="G528" s="4"/>
      <c r="H528" s="3" t="str">
        <f t="shared" si="29"/>
        <v/>
      </c>
      <c r="I528" s="5"/>
      <c r="J528" s="5"/>
      <c r="K528" s="6"/>
      <c r="L528" s="6"/>
      <c r="M528" s="7" t="str">
        <f t="shared" si="30"/>
        <v/>
      </c>
      <c r="N528" s="6"/>
      <c r="O528" s="5"/>
    </row>
    <row r="529" spans="1:15" x14ac:dyDescent="0.2">
      <c r="A529" s="3" t="str">
        <f>IF($B529="","",COUNTA($B$9:$B529))</f>
        <v/>
      </c>
      <c r="B529" s="4"/>
      <c r="C529" s="4"/>
      <c r="D529" s="4"/>
      <c r="E529" s="5"/>
      <c r="F529" s="3" t="str">
        <f t="shared" si="28"/>
        <v/>
      </c>
      <c r="G529" s="4"/>
      <c r="H529" s="3" t="str">
        <f t="shared" si="29"/>
        <v/>
      </c>
      <c r="I529" s="5"/>
      <c r="J529" s="5"/>
      <c r="K529" s="6"/>
      <c r="L529" s="6"/>
      <c r="M529" s="7" t="str">
        <f t="shared" si="30"/>
        <v/>
      </c>
      <c r="N529" s="6"/>
      <c r="O529" s="5"/>
    </row>
    <row r="530" spans="1:15" x14ac:dyDescent="0.2">
      <c r="A530" s="3" t="str">
        <f>IF($B530="","",COUNTA($B$9:$B530))</f>
        <v/>
      </c>
      <c r="B530" s="4"/>
      <c r="C530" s="4"/>
      <c r="D530" s="4"/>
      <c r="E530" s="5"/>
      <c r="F530" s="3" t="str">
        <f t="shared" si="28"/>
        <v/>
      </c>
      <c r="G530" s="4"/>
      <c r="H530" s="3" t="str">
        <f t="shared" si="29"/>
        <v/>
      </c>
      <c r="I530" s="5"/>
      <c r="J530" s="5"/>
      <c r="K530" s="6"/>
      <c r="L530" s="6"/>
      <c r="M530" s="7" t="str">
        <f t="shared" si="30"/>
        <v/>
      </c>
      <c r="N530" s="6"/>
      <c r="O530" s="5"/>
    </row>
    <row r="531" spans="1:15" x14ac:dyDescent="0.2">
      <c r="A531" s="3" t="str">
        <f>IF($B531="","",COUNTA($B$9:$B531))</f>
        <v/>
      </c>
      <c r="B531" s="4"/>
      <c r="C531" s="4"/>
      <c r="D531" s="4"/>
      <c r="E531" s="5"/>
      <c r="F531" s="3" t="str">
        <f t="shared" si="28"/>
        <v/>
      </c>
      <c r="G531" s="4"/>
      <c r="H531" s="3" t="str">
        <f t="shared" si="29"/>
        <v/>
      </c>
      <c r="I531" s="5"/>
      <c r="J531" s="5"/>
      <c r="K531" s="6"/>
      <c r="L531" s="6"/>
      <c r="M531" s="7" t="str">
        <f t="shared" si="30"/>
        <v/>
      </c>
      <c r="N531" s="6"/>
      <c r="O531" s="5"/>
    </row>
    <row r="532" spans="1:15" x14ac:dyDescent="0.2">
      <c r="A532" s="3" t="str">
        <f>IF($B532="","",COUNTA($B$9:$B532))</f>
        <v/>
      </c>
      <c r="B532" s="4"/>
      <c r="C532" s="4"/>
      <c r="D532" s="4"/>
      <c r="E532" s="5"/>
      <c r="F532" s="3" t="str">
        <f t="shared" si="28"/>
        <v/>
      </c>
      <c r="G532" s="4"/>
      <c r="H532" s="3" t="str">
        <f t="shared" si="29"/>
        <v/>
      </c>
      <c r="I532" s="5"/>
      <c r="J532" s="5"/>
      <c r="K532" s="6"/>
      <c r="L532" s="6"/>
      <c r="M532" s="7" t="str">
        <f t="shared" si="30"/>
        <v/>
      </c>
      <c r="N532" s="6"/>
      <c r="O532" s="5"/>
    </row>
    <row r="533" spans="1:15" x14ac:dyDescent="0.2">
      <c r="A533" s="3" t="str">
        <f>IF($B533="","",COUNTA($B$9:$B533))</f>
        <v/>
      </c>
      <c r="B533" s="4"/>
      <c r="C533" s="4"/>
      <c r="D533" s="4"/>
      <c r="E533" s="5"/>
      <c r="F533" s="3" t="str">
        <f t="shared" si="28"/>
        <v/>
      </c>
      <c r="G533" s="4"/>
      <c r="H533" s="3" t="str">
        <f t="shared" si="29"/>
        <v/>
      </c>
      <c r="I533" s="5"/>
      <c r="J533" s="5"/>
      <c r="K533" s="6"/>
      <c r="L533" s="6"/>
      <c r="M533" s="7" t="str">
        <f t="shared" si="30"/>
        <v/>
      </c>
      <c r="N533" s="6"/>
      <c r="O533" s="5"/>
    </row>
    <row r="534" spans="1:15" x14ac:dyDescent="0.2">
      <c r="A534" s="3" t="str">
        <f>IF($B534="","",COUNTA($B$9:$B534))</f>
        <v/>
      </c>
      <c r="B534" s="4"/>
      <c r="C534" s="4"/>
      <c r="D534" s="4"/>
      <c r="E534" s="5"/>
      <c r="F534" s="3" t="str">
        <f t="shared" si="28"/>
        <v/>
      </c>
      <c r="G534" s="4"/>
      <c r="H534" s="3" t="str">
        <f t="shared" si="29"/>
        <v/>
      </c>
      <c r="I534" s="5"/>
      <c r="J534" s="5"/>
      <c r="K534" s="6"/>
      <c r="L534" s="6"/>
      <c r="M534" s="7" t="str">
        <f t="shared" si="30"/>
        <v/>
      </c>
      <c r="N534" s="6"/>
      <c r="O534" s="5"/>
    </row>
    <row r="535" spans="1:15" x14ac:dyDescent="0.2">
      <c r="A535" s="3" t="str">
        <f>IF($B535="","",COUNTA($B$9:$B535))</f>
        <v/>
      </c>
      <c r="B535" s="4"/>
      <c r="C535" s="4"/>
      <c r="D535" s="4"/>
      <c r="E535" s="5"/>
      <c r="F535" s="3" t="str">
        <f t="shared" si="28"/>
        <v/>
      </c>
      <c r="G535" s="4"/>
      <c r="H535" s="3" t="str">
        <f t="shared" si="29"/>
        <v/>
      </c>
      <c r="I535" s="5"/>
      <c r="J535" s="5"/>
      <c r="K535" s="6"/>
      <c r="L535" s="6"/>
      <c r="M535" s="7" t="str">
        <f t="shared" si="30"/>
        <v/>
      </c>
      <c r="N535" s="6"/>
      <c r="O535" s="5"/>
    </row>
    <row r="536" spans="1:15" x14ac:dyDescent="0.2">
      <c r="A536" s="3" t="str">
        <f>IF($B536="","",COUNTA($B$9:$B536))</f>
        <v/>
      </c>
      <c r="B536" s="4"/>
      <c r="C536" s="4"/>
      <c r="D536" s="4"/>
      <c r="E536" s="5"/>
      <c r="F536" s="3" t="str">
        <f t="shared" si="28"/>
        <v/>
      </c>
      <c r="G536" s="4"/>
      <c r="H536" s="3" t="str">
        <f t="shared" si="29"/>
        <v/>
      </c>
      <c r="I536" s="5"/>
      <c r="J536" s="5"/>
      <c r="K536" s="6"/>
      <c r="L536" s="6"/>
      <c r="M536" s="7" t="str">
        <f t="shared" si="30"/>
        <v/>
      </c>
      <c r="N536" s="6"/>
      <c r="O536" s="5"/>
    </row>
    <row r="537" spans="1:15" x14ac:dyDescent="0.2">
      <c r="A537" s="3" t="str">
        <f>IF($B537="","",COUNTA($B$9:$B537))</f>
        <v/>
      </c>
      <c r="B537" s="4"/>
      <c r="C537" s="4"/>
      <c r="D537" s="4"/>
      <c r="E537" s="5"/>
      <c r="F537" s="3" t="str">
        <f t="shared" si="28"/>
        <v/>
      </c>
      <c r="G537" s="4"/>
      <c r="H537" s="3" t="str">
        <f t="shared" si="29"/>
        <v/>
      </c>
      <c r="I537" s="5"/>
      <c r="J537" s="5"/>
      <c r="K537" s="6"/>
      <c r="L537" s="6"/>
      <c r="M537" s="7" t="str">
        <f t="shared" si="30"/>
        <v/>
      </c>
      <c r="N537" s="6"/>
      <c r="O537" s="5"/>
    </row>
    <row r="538" spans="1:15" x14ac:dyDescent="0.2">
      <c r="A538" s="3" t="str">
        <f>IF($B538="","",COUNTA($B$9:$B538))</f>
        <v/>
      </c>
      <c r="B538" s="4"/>
      <c r="C538" s="4"/>
      <c r="D538" s="4"/>
      <c r="E538" s="5"/>
      <c r="F538" s="3" t="str">
        <f t="shared" si="28"/>
        <v/>
      </c>
      <c r="G538" s="4"/>
      <c r="H538" s="3" t="str">
        <f t="shared" si="29"/>
        <v/>
      </c>
      <c r="I538" s="5"/>
      <c r="J538" s="5"/>
      <c r="K538" s="6"/>
      <c r="L538" s="6"/>
      <c r="M538" s="7" t="str">
        <f t="shared" si="30"/>
        <v/>
      </c>
      <c r="N538" s="6"/>
      <c r="O538" s="5"/>
    </row>
    <row r="539" spans="1:15" x14ac:dyDescent="0.2">
      <c r="A539" s="3" t="str">
        <f>IF($B539="","",COUNTA($B$9:$B539))</f>
        <v/>
      </c>
      <c r="B539" s="4"/>
      <c r="C539" s="4"/>
      <c r="D539" s="4"/>
      <c r="E539" s="5"/>
      <c r="F539" s="3" t="str">
        <f t="shared" si="28"/>
        <v/>
      </c>
      <c r="G539" s="4"/>
      <c r="H539" s="3" t="str">
        <f t="shared" si="29"/>
        <v/>
      </c>
      <c r="I539" s="5"/>
      <c r="J539" s="5"/>
      <c r="K539" s="6"/>
      <c r="L539" s="6"/>
      <c r="M539" s="7" t="str">
        <f t="shared" si="30"/>
        <v/>
      </c>
      <c r="N539" s="6"/>
      <c r="O539" s="5"/>
    </row>
    <row r="540" spans="1:15" x14ac:dyDescent="0.2">
      <c r="A540" s="3" t="str">
        <f>IF($B540="","",COUNTA($B$9:$B540))</f>
        <v/>
      </c>
      <c r="B540" s="4"/>
      <c r="C540" s="4"/>
      <c r="D540" s="4"/>
      <c r="E540" s="5"/>
      <c r="F540" s="3" t="str">
        <f t="shared" si="28"/>
        <v/>
      </c>
      <c r="G540" s="4"/>
      <c r="H540" s="3" t="str">
        <f t="shared" si="29"/>
        <v/>
      </c>
      <c r="I540" s="5"/>
      <c r="J540" s="5"/>
      <c r="K540" s="6"/>
      <c r="L540" s="6"/>
      <c r="M540" s="7" t="str">
        <f t="shared" si="30"/>
        <v/>
      </c>
      <c r="N540" s="6"/>
      <c r="O540" s="5"/>
    </row>
    <row r="541" spans="1:15" x14ac:dyDescent="0.2">
      <c r="A541" s="3" t="str">
        <f>IF($B541="","",COUNTA($B$9:$B541))</f>
        <v/>
      </c>
      <c r="B541" s="4"/>
      <c r="C541" s="4"/>
      <c r="D541" s="4"/>
      <c r="E541" s="5"/>
      <c r="F541" s="3" t="str">
        <f t="shared" si="28"/>
        <v/>
      </c>
      <c r="G541" s="4"/>
      <c r="H541" s="3" t="str">
        <f t="shared" si="29"/>
        <v/>
      </c>
      <c r="I541" s="5"/>
      <c r="J541" s="5"/>
      <c r="K541" s="6"/>
      <c r="L541" s="6"/>
      <c r="M541" s="7" t="str">
        <f t="shared" si="30"/>
        <v/>
      </c>
      <c r="N541" s="6"/>
      <c r="O541" s="5"/>
    </row>
    <row r="542" spans="1:15" x14ac:dyDescent="0.2">
      <c r="A542" s="3" t="str">
        <f>IF($B542="","",COUNTA($B$9:$B542))</f>
        <v/>
      </c>
      <c r="B542" s="4"/>
      <c r="C542" s="4"/>
      <c r="D542" s="4"/>
      <c r="E542" s="5"/>
      <c r="F542" s="3" t="str">
        <f t="shared" si="28"/>
        <v/>
      </c>
      <c r="G542" s="4"/>
      <c r="H542" s="3" t="str">
        <f t="shared" si="29"/>
        <v/>
      </c>
      <c r="I542" s="5"/>
      <c r="J542" s="5"/>
      <c r="K542" s="6"/>
      <c r="L542" s="6"/>
      <c r="M542" s="7" t="str">
        <f t="shared" si="30"/>
        <v/>
      </c>
      <c r="N542" s="6"/>
      <c r="O542" s="5"/>
    </row>
    <row r="543" spans="1:15" x14ac:dyDescent="0.2">
      <c r="A543" s="3" t="str">
        <f>IF($B543="","",COUNTA($B$9:$B543))</f>
        <v/>
      </c>
      <c r="B543" s="4"/>
      <c r="C543" s="4"/>
      <c r="D543" s="4"/>
      <c r="E543" s="5"/>
      <c r="F543" s="3" t="str">
        <f t="shared" si="28"/>
        <v/>
      </c>
      <c r="G543" s="4"/>
      <c r="H543" s="3" t="str">
        <f t="shared" si="29"/>
        <v/>
      </c>
      <c r="I543" s="5"/>
      <c r="J543" s="5"/>
      <c r="K543" s="6"/>
      <c r="L543" s="6"/>
      <c r="M543" s="7" t="str">
        <f t="shared" si="30"/>
        <v/>
      </c>
      <c r="N543" s="6"/>
      <c r="O543" s="5"/>
    </row>
    <row r="544" spans="1:15" x14ac:dyDescent="0.2">
      <c r="A544" s="3" t="str">
        <f>IF($B544="","",COUNTA($B$9:$B544))</f>
        <v/>
      </c>
      <c r="B544" s="4"/>
      <c r="C544" s="4"/>
      <c r="D544" s="4"/>
      <c r="E544" s="5"/>
      <c r="F544" s="3" t="str">
        <f t="shared" si="28"/>
        <v/>
      </c>
      <c r="G544" s="4"/>
      <c r="H544" s="3" t="str">
        <f t="shared" si="29"/>
        <v/>
      </c>
      <c r="I544" s="5"/>
      <c r="J544" s="5"/>
      <c r="K544" s="6"/>
      <c r="L544" s="6"/>
      <c r="M544" s="7" t="str">
        <f t="shared" si="30"/>
        <v/>
      </c>
      <c r="N544" s="6"/>
      <c r="O544" s="5"/>
    </row>
    <row r="545" spans="1:15" x14ac:dyDescent="0.2">
      <c r="A545" s="3" t="str">
        <f>IF($B545="","",COUNTA($B$9:$B545))</f>
        <v/>
      </c>
      <c r="B545" s="4"/>
      <c r="C545" s="4"/>
      <c r="D545" s="4"/>
      <c r="E545" s="5"/>
      <c r="F545" s="3" t="str">
        <f t="shared" si="28"/>
        <v/>
      </c>
      <c r="G545" s="4"/>
      <c r="H545" s="3" t="str">
        <f t="shared" si="29"/>
        <v/>
      </c>
      <c r="I545" s="5"/>
      <c r="J545" s="5"/>
      <c r="K545" s="6"/>
      <c r="L545" s="6"/>
      <c r="M545" s="7" t="str">
        <f t="shared" si="30"/>
        <v/>
      </c>
      <c r="N545" s="6"/>
      <c r="O545" s="5"/>
    </row>
    <row r="546" spans="1:15" x14ac:dyDescent="0.2">
      <c r="A546" s="3" t="str">
        <f>IF($B546="","",COUNTA($B$9:$B546))</f>
        <v/>
      </c>
      <c r="B546" s="4"/>
      <c r="C546" s="4"/>
      <c r="D546" s="4"/>
      <c r="E546" s="5"/>
      <c r="F546" s="3" t="str">
        <f t="shared" si="28"/>
        <v/>
      </c>
      <c r="G546" s="4"/>
      <c r="H546" s="3" t="str">
        <f t="shared" si="29"/>
        <v/>
      </c>
      <c r="I546" s="5"/>
      <c r="J546" s="5"/>
      <c r="K546" s="6"/>
      <c r="L546" s="6"/>
      <c r="M546" s="7" t="str">
        <f t="shared" si="30"/>
        <v/>
      </c>
      <c r="N546" s="6"/>
      <c r="O546" s="5"/>
    </row>
    <row r="547" spans="1:15" x14ac:dyDescent="0.2">
      <c r="A547" s="3" t="str">
        <f>IF($B547="","",COUNTA($B$9:$B547))</f>
        <v/>
      </c>
      <c r="B547" s="4"/>
      <c r="C547" s="4"/>
      <c r="D547" s="4"/>
      <c r="E547" s="5"/>
      <c r="F547" s="3" t="str">
        <f t="shared" si="28"/>
        <v/>
      </c>
      <c r="G547" s="4"/>
      <c r="H547" s="3" t="str">
        <f t="shared" si="29"/>
        <v/>
      </c>
      <c r="I547" s="5"/>
      <c r="J547" s="5"/>
      <c r="K547" s="6"/>
      <c r="L547" s="6"/>
      <c r="M547" s="7" t="str">
        <f t="shared" si="30"/>
        <v/>
      </c>
      <c r="N547" s="6"/>
      <c r="O547" s="5"/>
    </row>
    <row r="548" spans="1:15" x14ac:dyDescent="0.2">
      <c r="A548" s="3" t="str">
        <f>IF($B548="","",COUNTA($B$9:$B548))</f>
        <v/>
      </c>
      <c r="B548" s="4"/>
      <c r="C548" s="4"/>
      <c r="D548" s="4"/>
      <c r="E548" s="5"/>
      <c r="F548" s="3" t="str">
        <f t="shared" si="28"/>
        <v/>
      </c>
      <c r="G548" s="4"/>
      <c r="H548" s="3" t="str">
        <f t="shared" si="29"/>
        <v/>
      </c>
      <c r="I548" s="5"/>
      <c r="J548" s="5"/>
      <c r="K548" s="6"/>
      <c r="L548" s="6"/>
      <c r="M548" s="7" t="str">
        <f t="shared" si="30"/>
        <v/>
      </c>
      <c r="N548" s="6"/>
      <c r="O548" s="5"/>
    </row>
    <row r="549" spans="1:15" x14ac:dyDescent="0.2">
      <c r="A549" s="3" t="str">
        <f>IF($B549="","",COUNTA($B$9:$B549))</f>
        <v/>
      </c>
      <c r="B549" s="4"/>
      <c r="C549" s="4"/>
      <c r="D549" s="4"/>
      <c r="E549" s="5"/>
      <c r="F549" s="3" t="str">
        <f t="shared" si="28"/>
        <v/>
      </c>
      <c r="G549" s="4"/>
      <c r="H549" s="3" t="str">
        <f t="shared" si="29"/>
        <v/>
      </c>
      <c r="I549" s="5"/>
      <c r="J549" s="5"/>
      <c r="K549" s="6"/>
      <c r="L549" s="6"/>
      <c r="M549" s="7" t="str">
        <f t="shared" si="30"/>
        <v/>
      </c>
      <c r="N549" s="6"/>
      <c r="O549" s="5"/>
    </row>
    <row r="550" spans="1:15" x14ac:dyDescent="0.2">
      <c r="A550" s="3" t="str">
        <f>IF($B550="","",COUNTA($B$9:$B550))</f>
        <v/>
      </c>
      <c r="B550" s="4"/>
      <c r="C550" s="4"/>
      <c r="D550" s="4"/>
      <c r="E550" s="5"/>
      <c r="F550" s="3" t="str">
        <f t="shared" si="28"/>
        <v/>
      </c>
      <c r="G550" s="4"/>
      <c r="H550" s="3" t="str">
        <f t="shared" si="29"/>
        <v/>
      </c>
      <c r="I550" s="5"/>
      <c r="J550" s="5"/>
      <c r="K550" s="6"/>
      <c r="L550" s="6"/>
      <c r="M550" s="7" t="str">
        <f t="shared" si="30"/>
        <v/>
      </c>
      <c r="N550" s="6"/>
      <c r="O550" s="5"/>
    </row>
    <row r="551" spans="1:15" x14ac:dyDescent="0.2">
      <c r="A551" s="3" t="str">
        <f>IF($B551="","",COUNTA($B$9:$B551))</f>
        <v/>
      </c>
      <c r="B551" s="4"/>
      <c r="C551" s="4"/>
      <c r="D551" s="4"/>
      <c r="E551" s="5"/>
      <c r="F551" s="3" t="str">
        <f t="shared" si="28"/>
        <v/>
      </c>
      <c r="G551" s="4"/>
      <c r="H551" s="3" t="str">
        <f t="shared" si="29"/>
        <v/>
      </c>
      <c r="I551" s="5"/>
      <c r="J551" s="5"/>
      <c r="K551" s="6"/>
      <c r="L551" s="6"/>
      <c r="M551" s="7" t="str">
        <f t="shared" si="30"/>
        <v/>
      </c>
      <c r="N551" s="6"/>
      <c r="O551" s="5"/>
    </row>
    <row r="552" spans="1:15" x14ac:dyDescent="0.2">
      <c r="A552" s="3" t="str">
        <f>IF($B552="","",COUNTA($B$9:$B552))</f>
        <v/>
      </c>
      <c r="B552" s="4"/>
      <c r="C552" s="4"/>
      <c r="D552" s="4"/>
      <c r="E552" s="5"/>
      <c r="F552" s="3" t="str">
        <f t="shared" si="28"/>
        <v/>
      </c>
      <c r="G552" s="4"/>
      <c r="H552" s="3" t="str">
        <f t="shared" si="29"/>
        <v/>
      </c>
      <c r="I552" s="5"/>
      <c r="J552" s="5"/>
      <c r="K552" s="6"/>
      <c r="L552" s="6"/>
      <c r="M552" s="7" t="str">
        <f t="shared" si="30"/>
        <v/>
      </c>
      <c r="N552" s="6"/>
      <c r="O552" s="5"/>
    </row>
    <row r="553" spans="1:15" x14ac:dyDescent="0.2">
      <c r="A553" s="3" t="str">
        <f>IF($B553="","",COUNTA($B$9:$B553))</f>
        <v/>
      </c>
      <c r="B553" s="4"/>
      <c r="C553" s="4"/>
      <c r="D553" s="4"/>
      <c r="E553" s="5"/>
      <c r="F553" s="3" t="str">
        <f t="shared" si="28"/>
        <v/>
      </c>
      <c r="G553" s="4"/>
      <c r="H553" s="3" t="str">
        <f t="shared" si="29"/>
        <v/>
      </c>
      <c r="I553" s="5"/>
      <c r="J553" s="5"/>
      <c r="K553" s="6"/>
      <c r="L553" s="6"/>
      <c r="M553" s="7" t="str">
        <f t="shared" si="30"/>
        <v/>
      </c>
      <c r="N553" s="6"/>
      <c r="O553" s="5"/>
    </row>
    <row r="554" spans="1:15" x14ac:dyDescent="0.2">
      <c r="A554" s="3" t="str">
        <f>IF($B554="","",COUNTA($B$9:$B554))</f>
        <v/>
      </c>
      <c r="B554" s="4"/>
      <c r="C554" s="4"/>
      <c r="D554" s="4"/>
      <c r="E554" s="5"/>
      <c r="F554" s="3" t="str">
        <f t="shared" si="28"/>
        <v/>
      </c>
      <c r="G554" s="4"/>
      <c r="H554" s="3" t="str">
        <f t="shared" si="29"/>
        <v/>
      </c>
      <c r="I554" s="5"/>
      <c r="J554" s="5"/>
      <c r="K554" s="6"/>
      <c r="L554" s="6"/>
      <c r="M554" s="7" t="str">
        <f t="shared" si="30"/>
        <v/>
      </c>
      <c r="N554" s="6"/>
      <c r="O554" s="5"/>
    </row>
    <row r="555" spans="1:15" x14ac:dyDescent="0.2">
      <c r="A555" s="3" t="str">
        <f>IF($B555="","",COUNTA($B$9:$B555))</f>
        <v/>
      </c>
      <c r="B555" s="4"/>
      <c r="C555" s="4"/>
      <c r="D555" s="4"/>
      <c r="E555" s="5"/>
      <c r="F555" s="3" t="str">
        <f t="shared" si="28"/>
        <v/>
      </c>
      <c r="G555" s="4"/>
      <c r="H555" s="3" t="str">
        <f t="shared" si="29"/>
        <v/>
      </c>
      <c r="I555" s="5"/>
      <c r="J555" s="5"/>
      <c r="K555" s="6"/>
      <c r="L555" s="6"/>
      <c r="M555" s="7" t="str">
        <f t="shared" si="30"/>
        <v/>
      </c>
      <c r="N555" s="6"/>
      <c r="O555" s="5"/>
    </row>
    <row r="556" spans="1:15" x14ac:dyDescent="0.2">
      <c r="A556" s="3" t="str">
        <f>IF($B556="","",COUNTA($B$9:$B556))</f>
        <v/>
      </c>
      <c r="B556" s="4"/>
      <c r="C556" s="4"/>
      <c r="D556" s="4"/>
      <c r="E556" s="5"/>
      <c r="F556" s="3" t="str">
        <f t="shared" si="28"/>
        <v/>
      </c>
      <c r="G556" s="4"/>
      <c r="H556" s="3" t="str">
        <f t="shared" si="29"/>
        <v/>
      </c>
      <c r="I556" s="5"/>
      <c r="J556" s="5"/>
      <c r="K556" s="6"/>
      <c r="L556" s="6"/>
      <c r="M556" s="7" t="str">
        <f t="shared" si="30"/>
        <v/>
      </c>
      <c r="N556" s="6"/>
      <c r="O556" s="5"/>
    </row>
    <row r="557" spans="1:15" x14ac:dyDescent="0.2">
      <c r="A557" s="3" t="str">
        <f>IF($B557="","",COUNTA($B$9:$B557))</f>
        <v/>
      </c>
      <c r="B557" s="4"/>
      <c r="C557" s="4"/>
      <c r="D557" s="4"/>
      <c r="E557" s="5"/>
      <c r="F557" s="3" t="str">
        <f t="shared" si="28"/>
        <v/>
      </c>
      <c r="G557" s="4"/>
      <c r="H557" s="3" t="str">
        <f t="shared" si="29"/>
        <v/>
      </c>
      <c r="I557" s="5"/>
      <c r="J557" s="5"/>
      <c r="K557" s="6"/>
      <c r="L557" s="6"/>
      <c r="M557" s="7" t="str">
        <f t="shared" si="30"/>
        <v/>
      </c>
      <c r="N557" s="6"/>
      <c r="O557" s="5"/>
    </row>
    <row r="558" spans="1:15" x14ac:dyDescent="0.2">
      <c r="A558" s="3" t="str">
        <f>IF($B558="","",COUNTA($B$9:$B558))</f>
        <v/>
      </c>
      <c r="B558" s="4"/>
      <c r="C558" s="4"/>
      <c r="D558" s="4"/>
      <c r="E558" s="5"/>
      <c r="F558" s="3" t="str">
        <f t="shared" si="28"/>
        <v/>
      </c>
      <c r="G558" s="4"/>
      <c r="H558" s="3" t="str">
        <f t="shared" si="29"/>
        <v/>
      </c>
      <c r="I558" s="5"/>
      <c r="J558" s="5"/>
      <c r="K558" s="6"/>
      <c r="L558" s="6"/>
      <c r="M558" s="7" t="str">
        <f t="shared" si="30"/>
        <v/>
      </c>
      <c r="N558" s="6"/>
      <c r="O558" s="5"/>
    </row>
    <row r="559" spans="1:15" x14ac:dyDescent="0.2">
      <c r="A559" s="3" t="str">
        <f>IF($B559="","",COUNTA($B$9:$B559))</f>
        <v/>
      </c>
      <c r="B559" s="4"/>
      <c r="C559" s="4"/>
      <c r="D559" s="4"/>
      <c r="E559" s="5"/>
      <c r="F559" s="3" t="str">
        <f t="shared" si="28"/>
        <v/>
      </c>
      <c r="G559" s="4"/>
      <c r="H559" s="3" t="str">
        <f t="shared" si="29"/>
        <v/>
      </c>
      <c r="I559" s="5"/>
      <c r="J559" s="5"/>
      <c r="K559" s="6"/>
      <c r="L559" s="6"/>
      <c r="M559" s="7" t="str">
        <f t="shared" si="30"/>
        <v/>
      </c>
      <c r="N559" s="6"/>
      <c r="O559" s="5"/>
    </row>
    <row r="560" spans="1:15" x14ac:dyDescent="0.2">
      <c r="A560" s="3" t="str">
        <f>IF($B560="","",COUNTA($B$9:$B560))</f>
        <v/>
      </c>
      <c r="B560" s="4"/>
      <c r="C560" s="4"/>
      <c r="D560" s="4"/>
      <c r="E560" s="5"/>
      <c r="F560" s="3" t="str">
        <f t="shared" si="28"/>
        <v/>
      </c>
      <c r="G560" s="4"/>
      <c r="H560" s="3" t="str">
        <f t="shared" si="29"/>
        <v/>
      </c>
      <c r="I560" s="5"/>
      <c r="J560" s="5"/>
      <c r="K560" s="6"/>
      <c r="L560" s="6"/>
      <c r="M560" s="7" t="str">
        <f t="shared" si="30"/>
        <v/>
      </c>
      <c r="N560" s="6"/>
      <c r="O560" s="5"/>
    </row>
    <row r="561" spans="1:15" x14ac:dyDescent="0.2">
      <c r="A561" s="3" t="str">
        <f>IF($B561="","",COUNTA($B$9:$B561))</f>
        <v/>
      </c>
      <c r="B561" s="4"/>
      <c r="C561" s="4"/>
      <c r="D561" s="4"/>
      <c r="E561" s="5"/>
      <c r="F561" s="3" t="str">
        <f t="shared" si="28"/>
        <v/>
      </c>
      <c r="G561" s="4"/>
      <c r="H561" s="3" t="str">
        <f t="shared" si="29"/>
        <v/>
      </c>
      <c r="I561" s="5"/>
      <c r="J561" s="5"/>
      <c r="K561" s="6"/>
      <c r="L561" s="6"/>
      <c r="M561" s="7" t="str">
        <f t="shared" si="30"/>
        <v/>
      </c>
      <c r="N561" s="6"/>
      <c r="O561" s="5"/>
    </row>
    <row r="562" spans="1:15" x14ac:dyDescent="0.2">
      <c r="A562" s="3" t="str">
        <f>IF($B562="","",COUNTA($B$9:$B562))</f>
        <v/>
      </c>
      <c r="B562" s="4"/>
      <c r="C562" s="4"/>
      <c r="D562" s="4"/>
      <c r="E562" s="5"/>
      <c r="F562" s="3" t="str">
        <f t="shared" si="28"/>
        <v/>
      </c>
      <c r="G562" s="4"/>
      <c r="H562" s="3" t="str">
        <f t="shared" si="29"/>
        <v/>
      </c>
      <c r="I562" s="5"/>
      <c r="J562" s="5"/>
      <c r="K562" s="6"/>
      <c r="L562" s="6"/>
      <c r="M562" s="7" t="str">
        <f t="shared" si="30"/>
        <v/>
      </c>
      <c r="N562" s="6"/>
      <c r="O562" s="5"/>
    </row>
    <row r="563" spans="1:15" x14ac:dyDescent="0.2">
      <c r="A563" s="3" t="str">
        <f>IF($B563="","",COUNTA($B$9:$B563))</f>
        <v/>
      </c>
      <c r="B563" s="4"/>
      <c r="C563" s="4"/>
      <c r="D563" s="4"/>
      <c r="E563" s="5"/>
      <c r="F563" s="3" t="str">
        <f t="shared" si="28"/>
        <v/>
      </c>
      <c r="G563" s="4"/>
      <c r="H563" s="3" t="str">
        <f t="shared" si="29"/>
        <v/>
      </c>
      <c r="I563" s="5"/>
      <c r="J563" s="5"/>
      <c r="K563" s="6"/>
      <c r="L563" s="6"/>
      <c r="M563" s="7" t="str">
        <f t="shared" si="30"/>
        <v/>
      </c>
      <c r="N563" s="6"/>
      <c r="O563" s="5"/>
    </row>
    <row r="564" spans="1:15" x14ac:dyDescent="0.2">
      <c r="A564" s="3" t="str">
        <f>IF($B564="","",COUNTA($B$9:$B564))</f>
        <v/>
      </c>
      <c r="B564" s="4"/>
      <c r="C564" s="4"/>
      <c r="D564" s="4"/>
      <c r="E564" s="5"/>
      <c r="F564" s="3" t="str">
        <f t="shared" si="28"/>
        <v/>
      </c>
      <c r="G564" s="4"/>
      <c r="H564" s="3" t="str">
        <f t="shared" si="29"/>
        <v/>
      </c>
      <c r="I564" s="5"/>
      <c r="J564" s="5"/>
      <c r="K564" s="6"/>
      <c r="L564" s="6"/>
      <c r="M564" s="7" t="str">
        <f t="shared" si="30"/>
        <v/>
      </c>
      <c r="N564" s="6"/>
      <c r="O564" s="5"/>
    </row>
    <row r="565" spans="1:15" x14ac:dyDescent="0.2">
      <c r="A565" s="3" t="str">
        <f>IF($B565="","",COUNTA($B$9:$B565))</f>
        <v/>
      </c>
      <c r="B565" s="4"/>
      <c r="C565" s="4"/>
      <c r="D565" s="4"/>
      <c r="E565" s="5"/>
      <c r="F565" s="3" t="str">
        <f t="shared" si="28"/>
        <v/>
      </c>
      <c r="G565" s="4"/>
      <c r="H565" s="3" t="str">
        <f t="shared" si="29"/>
        <v/>
      </c>
      <c r="I565" s="5"/>
      <c r="J565" s="5"/>
      <c r="K565" s="6"/>
      <c r="L565" s="6"/>
      <c r="M565" s="7" t="str">
        <f t="shared" si="30"/>
        <v/>
      </c>
      <c r="N565" s="6"/>
      <c r="O565" s="5"/>
    </row>
    <row r="566" spans="1:15" x14ac:dyDescent="0.2">
      <c r="A566" s="3" t="str">
        <f>IF($B566="","",COUNTA($B$9:$B566))</f>
        <v/>
      </c>
      <c r="B566" s="4"/>
      <c r="C566" s="4"/>
      <c r="D566" s="4"/>
      <c r="E566" s="5"/>
      <c r="F566" s="3" t="str">
        <f t="shared" si="28"/>
        <v/>
      </c>
      <c r="G566" s="4"/>
      <c r="H566" s="3" t="str">
        <f t="shared" si="29"/>
        <v/>
      </c>
      <c r="I566" s="5"/>
      <c r="J566" s="5"/>
      <c r="K566" s="6"/>
      <c r="L566" s="6"/>
      <c r="M566" s="7" t="str">
        <f t="shared" si="30"/>
        <v/>
      </c>
      <c r="N566" s="6"/>
      <c r="O566" s="5"/>
    </row>
    <row r="567" spans="1:15" x14ac:dyDescent="0.2">
      <c r="A567" s="3" t="str">
        <f>IF($B567="","",COUNTA($B$9:$B567))</f>
        <v/>
      </c>
      <c r="B567" s="4"/>
      <c r="C567" s="4"/>
      <c r="D567" s="4"/>
      <c r="E567" s="5"/>
      <c r="F567" s="3" t="str">
        <f t="shared" si="28"/>
        <v/>
      </c>
      <c r="G567" s="4"/>
      <c r="H567" s="3" t="str">
        <f t="shared" si="29"/>
        <v/>
      </c>
      <c r="I567" s="5"/>
      <c r="J567" s="5"/>
      <c r="K567" s="6"/>
      <c r="L567" s="6"/>
      <c r="M567" s="7" t="str">
        <f t="shared" si="30"/>
        <v/>
      </c>
      <c r="N567" s="6"/>
      <c r="O567" s="5"/>
    </row>
    <row r="568" spans="1:15" x14ac:dyDescent="0.2">
      <c r="A568" s="3" t="str">
        <f>IF($B568="","",COUNTA($B$9:$B568))</f>
        <v/>
      </c>
      <c r="B568" s="4"/>
      <c r="C568" s="4"/>
      <c r="D568" s="4"/>
      <c r="E568" s="5"/>
      <c r="F568" s="3" t="str">
        <f t="shared" si="28"/>
        <v/>
      </c>
      <c r="G568" s="4"/>
      <c r="H568" s="3" t="str">
        <f t="shared" si="29"/>
        <v/>
      </c>
      <c r="I568" s="5"/>
      <c r="J568" s="5"/>
      <c r="K568" s="6"/>
      <c r="L568" s="6"/>
      <c r="M568" s="7" t="str">
        <f t="shared" si="30"/>
        <v/>
      </c>
      <c r="N568" s="6"/>
      <c r="O568" s="5"/>
    </row>
    <row r="569" spans="1:15" x14ac:dyDescent="0.2">
      <c r="A569" s="3" t="str">
        <f>IF($B569="","",COUNTA($B$9:$B569))</f>
        <v/>
      </c>
      <c r="B569" s="4"/>
      <c r="C569" s="4"/>
      <c r="D569" s="4"/>
      <c r="E569" s="5"/>
      <c r="F569" s="3" t="str">
        <f t="shared" si="28"/>
        <v/>
      </c>
      <c r="G569" s="4"/>
      <c r="H569" s="3" t="str">
        <f t="shared" si="29"/>
        <v/>
      </c>
      <c r="I569" s="5"/>
      <c r="J569" s="5"/>
      <c r="K569" s="6"/>
      <c r="L569" s="6"/>
      <c r="M569" s="7" t="str">
        <f t="shared" si="30"/>
        <v/>
      </c>
      <c r="N569" s="6"/>
      <c r="O569" s="5"/>
    </row>
    <row r="570" spans="1:15" x14ac:dyDescent="0.2">
      <c r="A570" s="3" t="str">
        <f>IF($B570="","",COUNTA($B$9:$B570))</f>
        <v/>
      </c>
      <c r="B570" s="4"/>
      <c r="C570" s="4"/>
      <c r="D570" s="4"/>
      <c r="E570" s="5"/>
      <c r="F570" s="3" t="str">
        <f t="shared" si="28"/>
        <v/>
      </c>
      <c r="G570" s="4"/>
      <c r="H570" s="3" t="str">
        <f t="shared" si="29"/>
        <v/>
      </c>
      <c r="I570" s="5"/>
      <c r="J570" s="5"/>
      <c r="K570" s="6"/>
      <c r="L570" s="6"/>
      <c r="M570" s="7" t="str">
        <f t="shared" si="30"/>
        <v/>
      </c>
      <c r="N570" s="6"/>
      <c r="O570" s="5"/>
    </row>
    <row r="571" spans="1:15" x14ac:dyDescent="0.2">
      <c r="A571" s="3" t="str">
        <f>IF($B571="","",COUNTA($B$9:$B571))</f>
        <v/>
      </c>
      <c r="B571" s="4"/>
      <c r="C571" s="4"/>
      <c r="D571" s="4"/>
      <c r="E571" s="5"/>
      <c r="F571" s="3" t="str">
        <f t="shared" si="28"/>
        <v/>
      </c>
      <c r="G571" s="4"/>
      <c r="H571" s="3" t="str">
        <f t="shared" si="29"/>
        <v/>
      </c>
      <c r="I571" s="5"/>
      <c r="J571" s="5"/>
      <c r="K571" s="6"/>
      <c r="L571" s="6"/>
      <c r="M571" s="7" t="str">
        <f t="shared" si="30"/>
        <v/>
      </c>
      <c r="N571" s="6"/>
      <c r="O571" s="5"/>
    </row>
    <row r="572" spans="1:15" x14ac:dyDescent="0.2">
      <c r="A572" s="3" t="str">
        <f>IF($B572="","",COUNTA($B$9:$B572))</f>
        <v/>
      </c>
      <c r="B572" s="4"/>
      <c r="C572" s="4"/>
      <c r="D572" s="4"/>
      <c r="E572" s="5"/>
      <c r="F572" s="3" t="str">
        <f t="shared" si="28"/>
        <v/>
      </c>
      <c r="G572" s="4"/>
      <c r="H572" s="3" t="str">
        <f t="shared" si="29"/>
        <v/>
      </c>
      <c r="I572" s="5"/>
      <c r="J572" s="5"/>
      <c r="K572" s="6"/>
      <c r="L572" s="6"/>
      <c r="M572" s="7" t="str">
        <f t="shared" si="30"/>
        <v/>
      </c>
      <c r="N572" s="6"/>
      <c r="O572" s="5"/>
    </row>
    <row r="573" spans="1:15" x14ac:dyDescent="0.2">
      <c r="A573" s="3" t="str">
        <f>IF($B573="","",COUNTA($B$9:$B573))</f>
        <v/>
      </c>
      <c r="B573" s="4"/>
      <c r="C573" s="4"/>
      <c r="D573" s="4"/>
      <c r="E573" s="5"/>
      <c r="F573" s="3" t="str">
        <f t="shared" si="28"/>
        <v/>
      </c>
      <c r="G573" s="4"/>
      <c r="H573" s="3" t="str">
        <f t="shared" si="29"/>
        <v/>
      </c>
      <c r="I573" s="5"/>
      <c r="J573" s="5"/>
      <c r="K573" s="6"/>
      <c r="L573" s="6"/>
      <c r="M573" s="7" t="str">
        <f t="shared" si="30"/>
        <v/>
      </c>
      <c r="N573" s="6"/>
      <c r="O573" s="5"/>
    </row>
    <row r="574" spans="1:15" x14ac:dyDescent="0.2">
      <c r="A574" s="3" t="str">
        <f>IF($B574="","",COUNTA($B$9:$B574))</f>
        <v/>
      </c>
      <c r="B574" s="4"/>
      <c r="C574" s="4"/>
      <c r="D574" s="4"/>
      <c r="E574" s="5"/>
      <c r="F574" s="3" t="str">
        <f t="shared" si="28"/>
        <v/>
      </c>
      <c r="G574" s="4"/>
      <c r="H574" s="3" t="str">
        <f t="shared" si="29"/>
        <v/>
      </c>
      <c r="I574" s="5"/>
      <c r="J574" s="5"/>
      <c r="K574" s="6"/>
      <c r="L574" s="6"/>
      <c r="M574" s="7" t="str">
        <f t="shared" si="30"/>
        <v/>
      </c>
      <c r="N574" s="6"/>
      <c r="O574" s="5"/>
    </row>
    <row r="575" spans="1:15" x14ac:dyDescent="0.2">
      <c r="A575" s="3" t="str">
        <f>IF($B575="","",COUNTA($B$9:$B575))</f>
        <v/>
      </c>
      <c r="B575" s="4"/>
      <c r="C575" s="4"/>
      <c r="D575" s="4"/>
      <c r="E575" s="5"/>
      <c r="F575" s="3" t="str">
        <f t="shared" si="28"/>
        <v/>
      </c>
      <c r="G575" s="4"/>
      <c r="H575" s="3" t="str">
        <f t="shared" si="29"/>
        <v/>
      </c>
      <c r="I575" s="5"/>
      <c r="J575" s="5"/>
      <c r="K575" s="6"/>
      <c r="L575" s="6"/>
      <c r="M575" s="7" t="str">
        <f t="shared" si="30"/>
        <v/>
      </c>
      <c r="N575" s="6"/>
      <c r="O575" s="5"/>
    </row>
    <row r="576" spans="1:15" x14ac:dyDescent="0.2">
      <c r="A576" s="3" t="str">
        <f>IF($B576="","",COUNTA($B$9:$B576))</f>
        <v/>
      </c>
      <c r="B576" s="4"/>
      <c r="C576" s="4"/>
      <c r="D576" s="4"/>
      <c r="E576" s="5"/>
      <c r="F576" s="3" t="str">
        <f t="shared" si="28"/>
        <v/>
      </c>
      <c r="G576" s="4"/>
      <c r="H576" s="3" t="str">
        <f t="shared" si="29"/>
        <v/>
      </c>
      <c r="I576" s="5"/>
      <c r="J576" s="5"/>
      <c r="K576" s="6"/>
      <c r="L576" s="6"/>
      <c r="M576" s="7" t="str">
        <f t="shared" si="30"/>
        <v/>
      </c>
      <c r="N576" s="6"/>
      <c r="O576" s="5"/>
    </row>
    <row r="577" spans="1:15" x14ac:dyDescent="0.2">
      <c r="A577" s="3" t="str">
        <f>IF($B577="","",COUNTA($B$9:$B577))</f>
        <v/>
      </c>
      <c r="B577" s="4"/>
      <c r="C577" s="4"/>
      <c r="D577" s="4"/>
      <c r="E577" s="5"/>
      <c r="F577" s="3" t="str">
        <f t="shared" si="28"/>
        <v/>
      </c>
      <c r="G577" s="4"/>
      <c r="H577" s="3" t="str">
        <f t="shared" si="29"/>
        <v/>
      </c>
      <c r="I577" s="5"/>
      <c r="J577" s="5"/>
      <c r="K577" s="6"/>
      <c r="L577" s="6"/>
      <c r="M577" s="7" t="str">
        <f t="shared" si="30"/>
        <v/>
      </c>
      <c r="N577" s="6"/>
      <c r="O577" s="5"/>
    </row>
    <row r="578" spans="1:15" x14ac:dyDescent="0.2">
      <c r="A578" s="3" t="str">
        <f>IF($B578="","",COUNTA($B$9:$B578))</f>
        <v/>
      </c>
      <c r="B578" s="4"/>
      <c r="C578" s="4"/>
      <c r="D578" s="4"/>
      <c r="E578" s="5"/>
      <c r="F578" s="3" t="str">
        <f t="shared" si="28"/>
        <v/>
      </c>
      <c r="G578" s="4"/>
      <c r="H578" s="3" t="str">
        <f t="shared" si="29"/>
        <v/>
      </c>
      <c r="I578" s="5"/>
      <c r="J578" s="5"/>
      <c r="K578" s="6"/>
      <c r="L578" s="6"/>
      <c r="M578" s="7" t="str">
        <f t="shared" si="30"/>
        <v/>
      </c>
      <c r="N578" s="6"/>
      <c r="O578" s="5"/>
    </row>
    <row r="579" spans="1:15" x14ac:dyDescent="0.2">
      <c r="A579" s="3" t="str">
        <f>IF($B579="","",COUNTA($B$9:$B579))</f>
        <v/>
      </c>
      <c r="B579" s="4"/>
      <c r="C579" s="4"/>
      <c r="D579" s="4"/>
      <c r="E579" s="5"/>
      <c r="F579" s="3" t="str">
        <f t="shared" si="28"/>
        <v/>
      </c>
      <c r="G579" s="4"/>
      <c r="H579" s="3" t="str">
        <f t="shared" si="29"/>
        <v/>
      </c>
      <c r="I579" s="5"/>
      <c r="J579" s="5"/>
      <c r="K579" s="6"/>
      <c r="L579" s="6"/>
      <c r="M579" s="7" t="str">
        <f t="shared" si="30"/>
        <v/>
      </c>
      <c r="N579" s="6"/>
      <c r="O579" s="5"/>
    </row>
    <row r="580" spans="1:15" x14ac:dyDescent="0.2">
      <c r="A580" s="3" t="str">
        <f>IF($B580="","",COUNTA($B$9:$B580))</f>
        <v/>
      </c>
      <c r="B580" s="4"/>
      <c r="C580" s="4"/>
      <c r="D580" s="4"/>
      <c r="E580" s="5"/>
      <c r="F580" s="3" t="str">
        <f t="shared" si="28"/>
        <v/>
      </c>
      <c r="G580" s="4"/>
      <c r="H580" s="3" t="str">
        <f t="shared" si="29"/>
        <v/>
      </c>
      <c r="I580" s="5"/>
      <c r="J580" s="5"/>
      <c r="K580" s="6"/>
      <c r="L580" s="6"/>
      <c r="M580" s="7" t="str">
        <f t="shared" si="30"/>
        <v/>
      </c>
      <c r="N580" s="6"/>
      <c r="O580" s="5"/>
    </row>
    <row r="581" spans="1:15" x14ac:dyDescent="0.2">
      <c r="A581" s="3" t="str">
        <f>IF($B581="","",COUNTA($B$9:$B581))</f>
        <v/>
      </c>
      <c r="B581" s="4"/>
      <c r="C581" s="4"/>
      <c r="D581" s="4"/>
      <c r="E581" s="5"/>
      <c r="F581" s="3" t="str">
        <f t="shared" si="28"/>
        <v/>
      </c>
      <c r="G581" s="4"/>
      <c r="H581" s="3" t="str">
        <f t="shared" si="29"/>
        <v/>
      </c>
      <c r="I581" s="5"/>
      <c r="J581" s="5"/>
      <c r="K581" s="6"/>
      <c r="L581" s="6"/>
      <c r="M581" s="7" t="str">
        <f t="shared" si="30"/>
        <v/>
      </c>
      <c r="N581" s="6"/>
      <c r="O581" s="5"/>
    </row>
    <row r="582" spans="1:15" x14ac:dyDescent="0.2">
      <c r="A582" s="3" t="str">
        <f>IF($B582="","",COUNTA($B$9:$B582))</f>
        <v/>
      </c>
      <c r="B582" s="4"/>
      <c r="C582" s="4"/>
      <c r="D582" s="4"/>
      <c r="E582" s="5"/>
      <c r="F582" s="3" t="str">
        <f t="shared" si="28"/>
        <v/>
      </c>
      <c r="G582" s="4"/>
      <c r="H582" s="3" t="str">
        <f t="shared" si="29"/>
        <v/>
      </c>
      <c r="I582" s="5"/>
      <c r="J582" s="5"/>
      <c r="K582" s="6"/>
      <c r="L582" s="6"/>
      <c r="M582" s="7" t="str">
        <f t="shared" si="30"/>
        <v/>
      </c>
      <c r="N582" s="6"/>
      <c r="O582" s="5"/>
    </row>
    <row r="583" spans="1:15" x14ac:dyDescent="0.2">
      <c r="A583" s="3" t="str">
        <f>IF($B583="","",COUNTA($B$9:$B583))</f>
        <v/>
      </c>
      <c r="B583" s="4"/>
      <c r="C583" s="4"/>
      <c r="D583" s="4"/>
      <c r="E583" s="5"/>
      <c r="F583" s="3" t="str">
        <f t="shared" si="28"/>
        <v/>
      </c>
      <c r="G583" s="4"/>
      <c r="H583" s="3" t="str">
        <f t="shared" si="29"/>
        <v/>
      </c>
      <c r="I583" s="5"/>
      <c r="J583" s="5"/>
      <c r="K583" s="6"/>
      <c r="L583" s="6"/>
      <c r="M583" s="7" t="str">
        <f t="shared" si="30"/>
        <v/>
      </c>
      <c r="N583" s="6"/>
      <c r="O583" s="5"/>
    </row>
    <row r="584" spans="1:15" x14ac:dyDescent="0.2">
      <c r="A584" s="3" t="str">
        <f>IF($B584="","",COUNTA($B$9:$B584))</f>
        <v/>
      </c>
      <c r="B584" s="4"/>
      <c r="C584" s="4"/>
      <c r="D584" s="4"/>
      <c r="E584" s="5"/>
      <c r="F584" s="3" t="str">
        <f t="shared" ref="F584:F647" si="31">IF($E584="","",IFERROR(VLOOKUP($E584,OpTbl,2,0),""))</f>
        <v/>
      </c>
      <c r="G584" s="4"/>
      <c r="H584" s="3" t="str">
        <f t="shared" ref="H584:H647" si="32">IF($G584="","",IFERROR(IF(VLOOKUP($G584,AcctTbl,4,0)="","(بدون نام)",VLOOKUP($G584,AcctTbl,4,0)),"کد ناشناخته"))</f>
        <v/>
      </c>
      <c r="I584" s="5"/>
      <c r="J584" s="5"/>
      <c r="K584" s="6"/>
      <c r="L584" s="6"/>
      <c r="M584" s="7" t="str">
        <f t="shared" ref="M584:M647" si="33">IF(OR($B584="",$K584=""),"",($K584-IF($L584="",0,$L584)*IFERROR(VLOOKUP("P01",ParamTbl,3,0),1.5))*(1-IF(IFERROR(VLOOKUP($E584,OpTbl,3,0),"")="خرید",IFERROR(VLOOKUP("P02",ParamTbl,3,0),1),0)/100))</f>
        <v/>
      </c>
      <c r="N584" s="6"/>
      <c r="O584" s="5"/>
    </row>
    <row r="585" spans="1:15" x14ac:dyDescent="0.2">
      <c r="A585" s="3" t="str">
        <f>IF($B585="","",COUNTA($B$9:$B585))</f>
        <v/>
      </c>
      <c r="B585" s="4"/>
      <c r="C585" s="4"/>
      <c r="D585" s="4"/>
      <c r="E585" s="5"/>
      <c r="F585" s="3" t="str">
        <f t="shared" si="31"/>
        <v/>
      </c>
      <c r="G585" s="4"/>
      <c r="H585" s="3" t="str">
        <f t="shared" si="32"/>
        <v/>
      </c>
      <c r="I585" s="5"/>
      <c r="J585" s="5"/>
      <c r="K585" s="6"/>
      <c r="L585" s="6"/>
      <c r="M585" s="7" t="str">
        <f t="shared" si="33"/>
        <v/>
      </c>
      <c r="N585" s="6"/>
      <c r="O585" s="5"/>
    </row>
    <row r="586" spans="1:15" x14ac:dyDescent="0.2">
      <c r="A586" s="3" t="str">
        <f>IF($B586="","",COUNTA($B$9:$B586))</f>
        <v/>
      </c>
      <c r="B586" s="4"/>
      <c r="C586" s="4"/>
      <c r="D586" s="4"/>
      <c r="E586" s="5"/>
      <c r="F586" s="3" t="str">
        <f t="shared" si="31"/>
        <v/>
      </c>
      <c r="G586" s="4"/>
      <c r="H586" s="3" t="str">
        <f t="shared" si="32"/>
        <v/>
      </c>
      <c r="I586" s="5"/>
      <c r="J586" s="5"/>
      <c r="K586" s="6"/>
      <c r="L586" s="6"/>
      <c r="M586" s="7" t="str">
        <f t="shared" si="33"/>
        <v/>
      </c>
      <c r="N586" s="6"/>
      <c r="O586" s="5"/>
    </row>
    <row r="587" spans="1:15" x14ac:dyDescent="0.2">
      <c r="A587" s="3" t="str">
        <f>IF($B587="","",COUNTA($B$9:$B587))</f>
        <v/>
      </c>
      <c r="B587" s="4"/>
      <c r="C587" s="4"/>
      <c r="D587" s="4"/>
      <c r="E587" s="5"/>
      <c r="F587" s="3" t="str">
        <f t="shared" si="31"/>
        <v/>
      </c>
      <c r="G587" s="4"/>
      <c r="H587" s="3" t="str">
        <f t="shared" si="32"/>
        <v/>
      </c>
      <c r="I587" s="5"/>
      <c r="J587" s="5"/>
      <c r="K587" s="6"/>
      <c r="L587" s="6"/>
      <c r="M587" s="7" t="str">
        <f t="shared" si="33"/>
        <v/>
      </c>
      <c r="N587" s="6"/>
      <c r="O587" s="5"/>
    </row>
    <row r="588" spans="1:15" x14ac:dyDescent="0.2">
      <c r="A588" s="3" t="str">
        <f>IF($B588="","",COUNTA($B$9:$B588))</f>
        <v/>
      </c>
      <c r="B588" s="4"/>
      <c r="C588" s="4"/>
      <c r="D588" s="4"/>
      <c r="E588" s="5"/>
      <c r="F588" s="3" t="str">
        <f t="shared" si="31"/>
        <v/>
      </c>
      <c r="G588" s="4"/>
      <c r="H588" s="3" t="str">
        <f t="shared" si="32"/>
        <v/>
      </c>
      <c r="I588" s="5"/>
      <c r="J588" s="5"/>
      <c r="K588" s="6"/>
      <c r="L588" s="6"/>
      <c r="M588" s="7" t="str">
        <f t="shared" si="33"/>
        <v/>
      </c>
      <c r="N588" s="6"/>
      <c r="O588" s="5"/>
    </row>
    <row r="589" spans="1:15" x14ac:dyDescent="0.2">
      <c r="A589" s="3" t="str">
        <f>IF($B589="","",COUNTA($B$9:$B589))</f>
        <v/>
      </c>
      <c r="B589" s="4"/>
      <c r="C589" s="4"/>
      <c r="D589" s="4"/>
      <c r="E589" s="5"/>
      <c r="F589" s="3" t="str">
        <f t="shared" si="31"/>
        <v/>
      </c>
      <c r="G589" s="4"/>
      <c r="H589" s="3" t="str">
        <f t="shared" si="32"/>
        <v/>
      </c>
      <c r="I589" s="5"/>
      <c r="J589" s="5"/>
      <c r="K589" s="6"/>
      <c r="L589" s="6"/>
      <c r="M589" s="7" t="str">
        <f t="shared" si="33"/>
        <v/>
      </c>
      <c r="N589" s="6"/>
      <c r="O589" s="5"/>
    </row>
    <row r="590" spans="1:15" x14ac:dyDescent="0.2">
      <c r="A590" s="3" t="str">
        <f>IF($B590="","",COUNTA($B$9:$B590))</f>
        <v/>
      </c>
      <c r="B590" s="4"/>
      <c r="C590" s="4"/>
      <c r="D590" s="4"/>
      <c r="E590" s="5"/>
      <c r="F590" s="3" t="str">
        <f t="shared" si="31"/>
        <v/>
      </c>
      <c r="G590" s="4"/>
      <c r="H590" s="3" t="str">
        <f t="shared" si="32"/>
        <v/>
      </c>
      <c r="I590" s="5"/>
      <c r="J590" s="5"/>
      <c r="K590" s="6"/>
      <c r="L590" s="6"/>
      <c r="M590" s="7" t="str">
        <f t="shared" si="33"/>
        <v/>
      </c>
      <c r="N590" s="6"/>
      <c r="O590" s="5"/>
    </row>
    <row r="591" spans="1:15" x14ac:dyDescent="0.2">
      <c r="A591" s="3" t="str">
        <f>IF($B591="","",COUNTA($B$9:$B591))</f>
        <v/>
      </c>
      <c r="B591" s="4"/>
      <c r="C591" s="4"/>
      <c r="D591" s="4"/>
      <c r="E591" s="5"/>
      <c r="F591" s="3" t="str">
        <f t="shared" si="31"/>
        <v/>
      </c>
      <c r="G591" s="4"/>
      <c r="H591" s="3" t="str">
        <f t="shared" si="32"/>
        <v/>
      </c>
      <c r="I591" s="5"/>
      <c r="J591" s="5"/>
      <c r="K591" s="6"/>
      <c r="L591" s="6"/>
      <c r="M591" s="7" t="str">
        <f t="shared" si="33"/>
        <v/>
      </c>
      <c r="N591" s="6"/>
      <c r="O591" s="5"/>
    </row>
    <row r="592" spans="1:15" x14ac:dyDescent="0.2">
      <c r="A592" s="3" t="str">
        <f>IF($B592="","",COUNTA($B$9:$B592))</f>
        <v/>
      </c>
      <c r="B592" s="4"/>
      <c r="C592" s="4"/>
      <c r="D592" s="4"/>
      <c r="E592" s="5"/>
      <c r="F592" s="3" t="str">
        <f t="shared" si="31"/>
        <v/>
      </c>
      <c r="G592" s="4"/>
      <c r="H592" s="3" t="str">
        <f t="shared" si="32"/>
        <v/>
      </c>
      <c r="I592" s="5"/>
      <c r="J592" s="5"/>
      <c r="K592" s="6"/>
      <c r="L592" s="6"/>
      <c r="M592" s="7" t="str">
        <f t="shared" si="33"/>
        <v/>
      </c>
      <c r="N592" s="6"/>
      <c r="O592" s="5"/>
    </row>
    <row r="593" spans="1:15" x14ac:dyDescent="0.2">
      <c r="A593" s="3" t="str">
        <f>IF($B593="","",COUNTA($B$9:$B593))</f>
        <v/>
      </c>
      <c r="B593" s="4"/>
      <c r="C593" s="4"/>
      <c r="D593" s="4"/>
      <c r="E593" s="5"/>
      <c r="F593" s="3" t="str">
        <f t="shared" si="31"/>
        <v/>
      </c>
      <c r="G593" s="4"/>
      <c r="H593" s="3" t="str">
        <f t="shared" si="32"/>
        <v/>
      </c>
      <c r="I593" s="5"/>
      <c r="J593" s="5"/>
      <c r="K593" s="6"/>
      <c r="L593" s="6"/>
      <c r="M593" s="7" t="str">
        <f t="shared" si="33"/>
        <v/>
      </c>
      <c r="N593" s="6"/>
      <c r="O593" s="5"/>
    </row>
    <row r="594" spans="1:15" x14ac:dyDescent="0.2">
      <c r="A594" s="3" t="str">
        <f>IF($B594="","",COUNTA($B$9:$B594))</f>
        <v/>
      </c>
      <c r="B594" s="4"/>
      <c r="C594" s="4"/>
      <c r="D594" s="4"/>
      <c r="E594" s="5"/>
      <c r="F594" s="3" t="str">
        <f t="shared" si="31"/>
        <v/>
      </c>
      <c r="G594" s="4"/>
      <c r="H594" s="3" t="str">
        <f t="shared" si="32"/>
        <v/>
      </c>
      <c r="I594" s="5"/>
      <c r="J594" s="5"/>
      <c r="K594" s="6"/>
      <c r="L594" s="6"/>
      <c r="M594" s="7" t="str">
        <f t="shared" si="33"/>
        <v/>
      </c>
      <c r="N594" s="6"/>
      <c r="O594" s="5"/>
    </row>
    <row r="595" spans="1:15" x14ac:dyDescent="0.2">
      <c r="A595" s="3" t="str">
        <f>IF($B595="","",COUNTA($B$9:$B595))</f>
        <v/>
      </c>
      <c r="B595" s="4"/>
      <c r="C595" s="4"/>
      <c r="D595" s="4"/>
      <c r="E595" s="5"/>
      <c r="F595" s="3" t="str">
        <f t="shared" si="31"/>
        <v/>
      </c>
      <c r="G595" s="4"/>
      <c r="H595" s="3" t="str">
        <f t="shared" si="32"/>
        <v/>
      </c>
      <c r="I595" s="5"/>
      <c r="J595" s="5"/>
      <c r="K595" s="6"/>
      <c r="L595" s="6"/>
      <c r="M595" s="7" t="str">
        <f t="shared" si="33"/>
        <v/>
      </c>
      <c r="N595" s="6"/>
      <c r="O595" s="5"/>
    </row>
    <row r="596" spans="1:15" x14ac:dyDescent="0.2">
      <c r="A596" s="3" t="str">
        <f>IF($B596="","",COUNTA($B$9:$B596))</f>
        <v/>
      </c>
      <c r="B596" s="4"/>
      <c r="C596" s="4"/>
      <c r="D596" s="4"/>
      <c r="E596" s="5"/>
      <c r="F596" s="3" t="str">
        <f t="shared" si="31"/>
        <v/>
      </c>
      <c r="G596" s="4"/>
      <c r="H596" s="3" t="str">
        <f t="shared" si="32"/>
        <v/>
      </c>
      <c r="I596" s="5"/>
      <c r="J596" s="5"/>
      <c r="K596" s="6"/>
      <c r="L596" s="6"/>
      <c r="M596" s="7" t="str">
        <f t="shared" si="33"/>
        <v/>
      </c>
      <c r="N596" s="6"/>
      <c r="O596" s="5"/>
    </row>
    <row r="597" spans="1:15" x14ac:dyDescent="0.2">
      <c r="A597" s="3" t="str">
        <f>IF($B597="","",COUNTA($B$9:$B597))</f>
        <v/>
      </c>
      <c r="B597" s="4"/>
      <c r="C597" s="4"/>
      <c r="D597" s="4"/>
      <c r="E597" s="5"/>
      <c r="F597" s="3" t="str">
        <f t="shared" si="31"/>
        <v/>
      </c>
      <c r="G597" s="4"/>
      <c r="H597" s="3" t="str">
        <f t="shared" si="32"/>
        <v/>
      </c>
      <c r="I597" s="5"/>
      <c r="J597" s="5"/>
      <c r="K597" s="6"/>
      <c r="L597" s="6"/>
      <c r="M597" s="7" t="str">
        <f t="shared" si="33"/>
        <v/>
      </c>
      <c r="N597" s="6"/>
      <c r="O597" s="5"/>
    </row>
    <row r="598" spans="1:15" x14ac:dyDescent="0.2">
      <c r="A598" s="3" t="str">
        <f>IF($B598="","",COUNTA($B$9:$B598))</f>
        <v/>
      </c>
      <c r="B598" s="4"/>
      <c r="C598" s="4"/>
      <c r="D598" s="4"/>
      <c r="E598" s="5"/>
      <c r="F598" s="3" t="str">
        <f t="shared" si="31"/>
        <v/>
      </c>
      <c r="G598" s="4"/>
      <c r="H598" s="3" t="str">
        <f t="shared" si="32"/>
        <v/>
      </c>
      <c r="I598" s="5"/>
      <c r="J598" s="5"/>
      <c r="K598" s="6"/>
      <c r="L598" s="6"/>
      <c r="M598" s="7" t="str">
        <f t="shared" si="33"/>
        <v/>
      </c>
      <c r="N598" s="6"/>
      <c r="O598" s="5"/>
    </row>
    <row r="599" spans="1:15" x14ac:dyDescent="0.2">
      <c r="A599" s="3" t="str">
        <f>IF($B599="","",COUNTA($B$9:$B599))</f>
        <v/>
      </c>
      <c r="B599" s="4"/>
      <c r="C599" s="4"/>
      <c r="D599" s="4"/>
      <c r="E599" s="5"/>
      <c r="F599" s="3" t="str">
        <f t="shared" si="31"/>
        <v/>
      </c>
      <c r="G599" s="4"/>
      <c r="H599" s="3" t="str">
        <f t="shared" si="32"/>
        <v/>
      </c>
      <c r="I599" s="5"/>
      <c r="J599" s="5"/>
      <c r="K599" s="6"/>
      <c r="L599" s="6"/>
      <c r="M599" s="7" t="str">
        <f t="shared" si="33"/>
        <v/>
      </c>
      <c r="N599" s="6"/>
      <c r="O599" s="5"/>
    </row>
    <row r="600" spans="1:15" x14ac:dyDescent="0.2">
      <c r="A600" s="3" t="str">
        <f>IF($B600="","",COUNTA($B$9:$B600))</f>
        <v/>
      </c>
      <c r="B600" s="4"/>
      <c r="C600" s="4"/>
      <c r="D600" s="4"/>
      <c r="E600" s="5"/>
      <c r="F600" s="3" t="str">
        <f t="shared" si="31"/>
        <v/>
      </c>
      <c r="G600" s="4"/>
      <c r="H600" s="3" t="str">
        <f t="shared" si="32"/>
        <v/>
      </c>
      <c r="I600" s="5"/>
      <c r="J600" s="5"/>
      <c r="K600" s="6"/>
      <c r="L600" s="6"/>
      <c r="M600" s="7" t="str">
        <f t="shared" si="33"/>
        <v/>
      </c>
      <c r="N600" s="6"/>
      <c r="O600" s="5"/>
    </row>
    <row r="601" spans="1:15" x14ac:dyDescent="0.2">
      <c r="A601" s="3" t="str">
        <f>IF($B601="","",COUNTA($B$9:$B601))</f>
        <v/>
      </c>
      <c r="B601" s="4"/>
      <c r="C601" s="4"/>
      <c r="D601" s="4"/>
      <c r="E601" s="5"/>
      <c r="F601" s="3" t="str">
        <f t="shared" si="31"/>
        <v/>
      </c>
      <c r="G601" s="4"/>
      <c r="H601" s="3" t="str">
        <f t="shared" si="32"/>
        <v/>
      </c>
      <c r="I601" s="5"/>
      <c r="J601" s="5"/>
      <c r="K601" s="6"/>
      <c r="L601" s="6"/>
      <c r="M601" s="7" t="str">
        <f t="shared" si="33"/>
        <v/>
      </c>
      <c r="N601" s="6"/>
      <c r="O601" s="5"/>
    </row>
    <row r="602" spans="1:15" x14ac:dyDescent="0.2">
      <c r="A602" s="3" t="str">
        <f>IF($B602="","",COUNTA($B$9:$B602))</f>
        <v/>
      </c>
      <c r="B602" s="4"/>
      <c r="C602" s="4"/>
      <c r="D602" s="4"/>
      <c r="E602" s="5"/>
      <c r="F602" s="3" t="str">
        <f t="shared" si="31"/>
        <v/>
      </c>
      <c r="G602" s="4"/>
      <c r="H602" s="3" t="str">
        <f t="shared" si="32"/>
        <v/>
      </c>
      <c r="I602" s="5"/>
      <c r="J602" s="5"/>
      <c r="K602" s="6"/>
      <c r="L602" s="6"/>
      <c r="M602" s="7" t="str">
        <f t="shared" si="33"/>
        <v/>
      </c>
      <c r="N602" s="6"/>
      <c r="O602" s="5"/>
    </row>
    <row r="603" spans="1:15" x14ac:dyDescent="0.2">
      <c r="A603" s="3" t="str">
        <f>IF($B603="","",COUNTA($B$9:$B603))</f>
        <v/>
      </c>
      <c r="B603" s="4"/>
      <c r="C603" s="4"/>
      <c r="D603" s="4"/>
      <c r="E603" s="5"/>
      <c r="F603" s="3" t="str">
        <f t="shared" si="31"/>
        <v/>
      </c>
      <c r="G603" s="4"/>
      <c r="H603" s="3" t="str">
        <f t="shared" si="32"/>
        <v/>
      </c>
      <c r="I603" s="5"/>
      <c r="J603" s="5"/>
      <c r="K603" s="6"/>
      <c r="L603" s="6"/>
      <c r="M603" s="7" t="str">
        <f t="shared" si="33"/>
        <v/>
      </c>
      <c r="N603" s="6"/>
      <c r="O603" s="5"/>
    </row>
    <row r="604" spans="1:15" x14ac:dyDescent="0.2">
      <c r="A604" s="3" t="str">
        <f>IF($B604="","",COUNTA($B$9:$B604))</f>
        <v/>
      </c>
      <c r="B604" s="4"/>
      <c r="C604" s="4"/>
      <c r="D604" s="4"/>
      <c r="E604" s="5"/>
      <c r="F604" s="3" t="str">
        <f t="shared" si="31"/>
        <v/>
      </c>
      <c r="G604" s="4"/>
      <c r="H604" s="3" t="str">
        <f t="shared" si="32"/>
        <v/>
      </c>
      <c r="I604" s="5"/>
      <c r="J604" s="5"/>
      <c r="K604" s="6"/>
      <c r="L604" s="6"/>
      <c r="M604" s="7" t="str">
        <f t="shared" si="33"/>
        <v/>
      </c>
      <c r="N604" s="6"/>
      <c r="O604" s="5"/>
    </row>
    <row r="605" spans="1:15" x14ac:dyDescent="0.2">
      <c r="A605" s="3" t="str">
        <f>IF($B605="","",COUNTA($B$9:$B605))</f>
        <v/>
      </c>
      <c r="B605" s="4"/>
      <c r="C605" s="4"/>
      <c r="D605" s="4"/>
      <c r="E605" s="5"/>
      <c r="F605" s="3" t="str">
        <f t="shared" si="31"/>
        <v/>
      </c>
      <c r="G605" s="4"/>
      <c r="H605" s="3" t="str">
        <f t="shared" si="32"/>
        <v/>
      </c>
      <c r="I605" s="5"/>
      <c r="J605" s="5"/>
      <c r="K605" s="6"/>
      <c r="L605" s="6"/>
      <c r="M605" s="7" t="str">
        <f t="shared" si="33"/>
        <v/>
      </c>
      <c r="N605" s="6"/>
      <c r="O605" s="5"/>
    </row>
    <row r="606" spans="1:15" x14ac:dyDescent="0.2">
      <c r="A606" s="3" t="str">
        <f>IF($B606="","",COUNTA($B$9:$B606))</f>
        <v/>
      </c>
      <c r="B606" s="4"/>
      <c r="C606" s="4"/>
      <c r="D606" s="4"/>
      <c r="E606" s="5"/>
      <c r="F606" s="3" t="str">
        <f t="shared" si="31"/>
        <v/>
      </c>
      <c r="G606" s="4"/>
      <c r="H606" s="3" t="str">
        <f t="shared" si="32"/>
        <v/>
      </c>
      <c r="I606" s="5"/>
      <c r="J606" s="5"/>
      <c r="K606" s="6"/>
      <c r="L606" s="6"/>
      <c r="M606" s="7" t="str">
        <f t="shared" si="33"/>
        <v/>
      </c>
      <c r="N606" s="6"/>
      <c r="O606" s="5"/>
    </row>
    <row r="607" spans="1:15" x14ac:dyDescent="0.2">
      <c r="A607" s="3" t="str">
        <f>IF($B607="","",COUNTA($B$9:$B607))</f>
        <v/>
      </c>
      <c r="B607" s="4"/>
      <c r="C607" s="4"/>
      <c r="D607" s="4"/>
      <c r="E607" s="5"/>
      <c r="F607" s="3" t="str">
        <f t="shared" si="31"/>
        <v/>
      </c>
      <c r="G607" s="4"/>
      <c r="H607" s="3" t="str">
        <f t="shared" si="32"/>
        <v/>
      </c>
      <c r="I607" s="5"/>
      <c r="J607" s="5"/>
      <c r="K607" s="6"/>
      <c r="L607" s="6"/>
      <c r="M607" s="7" t="str">
        <f t="shared" si="33"/>
        <v/>
      </c>
      <c r="N607" s="6"/>
      <c r="O607" s="5"/>
    </row>
    <row r="608" spans="1:15" x14ac:dyDescent="0.2">
      <c r="A608" s="3" t="str">
        <f>IF($B608="","",COUNTA($B$9:$B608))</f>
        <v/>
      </c>
      <c r="B608" s="4"/>
      <c r="C608" s="4"/>
      <c r="D608" s="4"/>
      <c r="E608" s="5"/>
      <c r="F608" s="3" t="str">
        <f t="shared" si="31"/>
        <v/>
      </c>
      <c r="G608" s="4"/>
      <c r="H608" s="3" t="str">
        <f t="shared" si="32"/>
        <v/>
      </c>
      <c r="I608" s="5"/>
      <c r="J608" s="5"/>
      <c r="K608" s="6"/>
      <c r="L608" s="6"/>
      <c r="M608" s="7" t="str">
        <f t="shared" si="33"/>
        <v/>
      </c>
      <c r="N608" s="6"/>
      <c r="O608" s="5"/>
    </row>
    <row r="609" spans="1:15" x14ac:dyDescent="0.2">
      <c r="A609" s="3" t="str">
        <f>IF($B609="","",COUNTA($B$9:$B609))</f>
        <v/>
      </c>
      <c r="B609" s="4"/>
      <c r="C609" s="4"/>
      <c r="D609" s="4"/>
      <c r="E609" s="5"/>
      <c r="F609" s="3" t="str">
        <f t="shared" si="31"/>
        <v/>
      </c>
      <c r="G609" s="4"/>
      <c r="H609" s="3" t="str">
        <f t="shared" si="32"/>
        <v/>
      </c>
      <c r="I609" s="5"/>
      <c r="J609" s="5"/>
      <c r="K609" s="6"/>
      <c r="L609" s="6"/>
      <c r="M609" s="7" t="str">
        <f t="shared" si="33"/>
        <v/>
      </c>
      <c r="N609" s="6"/>
      <c r="O609" s="5"/>
    </row>
    <row r="610" spans="1:15" x14ac:dyDescent="0.2">
      <c r="A610" s="3" t="str">
        <f>IF($B610="","",COUNTA($B$9:$B610))</f>
        <v/>
      </c>
      <c r="B610" s="4"/>
      <c r="C610" s="4"/>
      <c r="D610" s="4"/>
      <c r="E610" s="5"/>
      <c r="F610" s="3" t="str">
        <f t="shared" si="31"/>
        <v/>
      </c>
      <c r="G610" s="4"/>
      <c r="H610" s="3" t="str">
        <f t="shared" si="32"/>
        <v/>
      </c>
      <c r="I610" s="5"/>
      <c r="J610" s="5"/>
      <c r="K610" s="6"/>
      <c r="L610" s="6"/>
      <c r="M610" s="7" t="str">
        <f t="shared" si="33"/>
        <v/>
      </c>
      <c r="N610" s="6"/>
      <c r="O610" s="5"/>
    </row>
    <row r="611" spans="1:15" x14ac:dyDescent="0.2">
      <c r="A611" s="3" t="str">
        <f>IF($B611="","",COUNTA($B$9:$B611))</f>
        <v/>
      </c>
      <c r="B611" s="4"/>
      <c r="C611" s="4"/>
      <c r="D611" s="4"/>
      <c r="E611" s="5"/>
      <c r="F611" s="3" t="str">
        <f t="shared" si="31"/>
        <v/>
      </c>
      <c r="G611" s="4"/>
      <c r="H611" s="3" t="str">
        <f t="shared" si="32"/>
        <v/>
      </c>
      <c r="I611" s="5"/>
      <c r="J611" s="5"/>
      <c r="K611" s="6"/>
      <c r="L611" s="6"/>
      <c r="M611" s="7" t="str">
        <f t="shared" si="33"/>
        <v/>
      </c>
      <c r="N611" s="6"/>
      <c r="O611" s="5"/>
    </row>
    <row r="612" spans="1:15" x14ac:dyDescent="0.2">
      <c r="A612" s="3" t="str">
        <f>IF($B612="","",COUNTA($B$9:$B612))</f>
        <v/>
      </c>
      <c r="B612" s="4"/>
      <c r="C612" s="4"/>
      <c r="D612" s="4"/>
      <c r="E612" s="5"/>
      <c r="F612" s="3" t="str">
        <f t="shared" si="31"/>
        <v/>
      </c>
      <c r="G612" s="4"/>
      <c r="H612" s="3" t="str">
        <f t="shared" si="32"/>
        <v/>
      </c>
      <c r="I612" s="5"/>
      <c r="J612" s="5"/>
      <c r="K612" s="6"/>
      <c r="L612" s="6"/>
      <c r="M612" s="7" t="str">
        <f t="shared" si="33"/>
        <v/>
      </c>
      <c r="N612" s="6"/>
      <c r="O612" s="5"/>
    </row>
    <row r="613" spans="1:15" x14ac:dyDescent="0.2">
      <c r="A613" s="3" t="str">
        <f>IF($B613="","",COUNTA($B$9:$B613))</f>
        <v/>
      </c>
      <c r="B613" s="4"/>
      <c r="C613" s="4"/>
      <c r="D613" s="4"/>
      <c r="E613" s="5"/>
      <c r="F613" s="3" t="str">
        <f t="shared" si="31"/>
        <v/>
      </c>
      <c r="G613" s="4"/>
      <c r="H613" s="3" t="str">
        <f t="shared" si="32"/>
        <v/>
      </c>
      <c r="I613" s="5"/>
      <c r="J613" s="5"/>
      <c r="K613" s="6"/>
      <c r="L613" s="6"/>
      <c r="M613" s="7" t="str">
        <f t="shared" si="33"/>
        <v/>
      </c>
      <c r="N613" s="6"/>
      <c r="O613" s="5"/>
    </row>
    <row r="614" spans="1:15" x14ac:dyDescent="0.2">
      <c r="A614" s="3" t="str">
        <f>IF($B614="","",COUNTA($B$9:$B614))</f>
        <v/>
      </c>
      <c r="B614" s="4"/>
      <c r="C614" s="4"/>
      <c r="D614" s="4"/>
      <c r="E614" s="5"/>
      <c r="F614" s="3" t="str">
        <f t="shared" si="31"/>
        <v/>
      </c>
      <c r="G614" s="4"/>
      <c r="H614" s="3" t="str">
        <f t="shared" si="32"/>
        <v/>
      </c>
      <c r="I614" s="5"/>
      <c r="J614" s="5"/>
      <c r="K614" s="6"/>
      <c r="L614" s="6"/>
      <c r="M614" s="7" t="str">
        <f t="shared" si="33"/>
        <v/>
      </c>
      <c r="N614" s="6"/>
      <c r="O614" s="5"/>
    </row>
    <row r="615" spans="1:15" x14ac:dyDescent="0.2">
      <c r="A615" s="3" t="str">
        <f>IF($B615="","",COUNTA($B$9:$B615))</f>
        <v/>
      </c>
      <c r="B615" s="4"/>
      <c r="C615" s="4"/>
      <c r="D615" s="4"/>
      <c r="E615" s="5"/>
      <c r="F615" s="3" t="str">
        <f t="shared" si="31"/>
        <v/>
      </c>
      <c r="G615" s="4"/>
      <c r="H615" s="3" t="str">
        <f t="shared" si="32"/>
        <v/>
      </c>
      <c r="I615" s="5"/>
      <c r="J615" s="5"/>
      <c r="K615" s="6"/>
      <c r="L615" s="6"/>
      <c r="M615" s="7" t="str">
        <f t="shared" si="33"/>
        <v/>
      </c>
      <c r="N615" s="6"/>
      <c r="O615" s="5"/>
    </row>
    <row r="616" spans="1:15" x14ac:dyDescent="0.2">
      <c r="A616" s="3" t="str">
        <f>IF($B616="","",COUNTA($B$9:$B616))</f>
        <v/>
      </c>
      <c r="B616" s="4"/>
      <c r="C616" s="4"/>
      <c r="D616" s="4"/>
      <c r="E616" s="5"/>
      <c r="F616" s="3" t="str">
        <f t="shared" si="31"/>
        <v/>
      </c>
      <c r="G616" s="4"/>
      <c r="H616" s="3" t="str">
        <f t="shared" si="32"/>
        <v/>
      </c>
      <c r="I616" s="5"/>
      <c r="J616" s="5"/>
      <c r="K616" s="6"/>
      <c r="L616" s="6"/>
      <c r="M616" s="7" t="str">
        <f t="shared" si="33"/>
        <v/>
      </c>
      <c r="N616" s="6"/>
      <c r="O616" s="5"/>
    </row>
    <row r="617" spans="1:15" x14ac:dyDescent="0.2">
      <c r="A617" s="3" t="str">
        <f>IF($B617="","",COUNTA($B$9:$B617))</f>
        <v/>
      </c>
      <c r="B617" s="4"/>
      <c r="C617" s="4"/>
      <c r="D617" s="4"/>
      <c r="E617" s="5"/>
      <c r="F617" s="3" t="str">
        <f t="shared" si="31"/>
        <v/>
      </c>
      <c r="G617" s="4"/>
      <c r="H617" s="3" t="str">
        <f t="shared" si="32"/>
        <v/>
      </c>
      <c r="I617" s="5"/>
      <c r="J617" s="5"/>
      <c r="K617" s="6"/>
      <c r="L617" s="6"/>
      <c r="M617" s="7" t="str">
        <f t="shared" si="33"/>
        <v/>
      </c>
      <c r="N617" s="6"/>
      <c r="O617" s="5"/>
    </row>
    <row r="618" spans="1:15" x14ac:dyDescent="0.2">
      <c r="A618" s="3" t="str">
        <f>IF($B618="","",COUNTA($B$9:$B618))</f>
        <v/>
      </c>
      <c r="B618" s="4"/>
      <c r="C618" s="4"/>
      <c r="D618" s="4"/>
      <c r="E618" s="5"/>
      <c r="F618" s="3" t="str">
        <f t="shared" si="31"/>
        <v/>
      </c>
      <c r="G618" s="4"/>
      <c r="H618" s="3" t="str">
        <f t="shared" si="32"/>
        <v/>
      </c>
      <c r="I618" s="5"/>
      <c r="J618" s="5"/>
      <c r="K618" s="6"/>
      <c r="L618" s="6"/>
      <c r="M618" s="7" t="str">
        <f t="shared" si="33"/>
        <v/>
      </c>
      <c r="N618" s="6"/>
      <c r="O618" s="5"/>
    </row>
    <row r="619" spans="1:15" x14ac:dyDescent="0.2">
      <c r="A619" s="3" t="str">
        <f>IF($B619="","",COUNTA($B$9:$B619))</f>
        <v/>
      </c>
      <c r="B619" s="4"/>
      <c r="C619" s="4"/>
      <c r="D619" s="4"/>
      <c r="E619" s="5"/>
      <c r="F619" s="3" t="str">
        <f t="shared" si="31"/>
        <v/>
      </c>
      <c r="G619" s="4"/>
      <c r="H619" s="3" t="str">
        <f t="shared" si="32"/>
        <v/>
      </c>
      <c r="I619" s="5"/>
      <c r="J619" s="5"/>
      <c r="K619" s="6"/>
      <c r="L619" s="6"/>
      <c r="M619" s="7" t="str">
        <f t="shared" si="33"/>
        <v/>
      </c>
      <c r="N619" s="6"/>
      <c r="O619" s="5"/>
    </row>
    <row r="620" spans="1:15" x14ac:dyDescent="0.2">
      <c r="A620" s="3" t="str">
        <f>IF($B620="","",COUNTA($B$9:$B620))</f>
        <v/>
      </c>
      <c r="B620" s="4"/>
      <c r="C620" s="4"/>
      <c r="D620" s="4"/>
      <c r="E620" s="5"/>
      <c r="F620" s="3" t="str">
        <f t="shared" si="31"/>
        <v/>
      </c>
      <c r="G620" s="4"/>
      <c r="H620" s="3" t="str">
        <f t="shared" si="32"/>
        <v/>
      </c>
      <c r="I620" s="5"/>
      <c r="J620" s="5"/>
      <c r="K620" s="6"/>
      <c r="L620" s="6"/>
      <c r="M620" s="7" t="str">
        <f t="shared" si="33"/>
        <v/>
      </c>
      <c r="N620" s="6"/>
      <c r="O620" s="5"/>
    </row>
    <row r="621" spans="1:15" x14ac:dyDescent="0.2">
      <c r="A621" s="3" t="str">
        <f>IF($B621="","",COUNTA($B$9:$B621))</f>
        <v/>
      </c>
      <c r="B621" s="4"/>
      <c r="C621" s="4"/>
      <c r="D621" s="4"/>
      <c r="E621" s="5"/>
      <c r="F621" s="3" t="str">
        <f t="shared" si="31"/>
        <v/>
      </c>
      <c r="G621" s="4"/>
      <c r="H621" s="3" t="str">
        <f t="shared" si="32"/>
        <v/>
      </c>
      <c r="I621" s="5"/>
      <c r="J621" s="5"/>
      <c r="K621" s="6"/>
      <c r="L621" s="6"/>
      <c r="M621" s="7" t="str">
        <f t="shared" si="33"/>
        <v/>
      </c>
      <c r="N621" s="6"/>
      <c r="O621" s="5"/>
    </row>
    <row r="622" spans="1:15" x14ac:dyDescent="0.2">
      <c r="A622" s="3" t="str">
        <f>IF($B622="","",COUNTA($B$9:$B622))</f>
        <v/>
      </c>
      <c r="B622" s="4"/>
      <c r="C622" s="4"/>
      <c r="D622" s="4"/>
      <c r="E622" s="5"/>
      <c r="F622" s="3" t="str">
        <f t="shared" si="31"/>
        <v/>
      </c>
      <c r="G622" s="4"/>
      <c r="H622" s="3" t="str">
        <f t="shared" si="32"/>
        <v/>
      </c>
      <c r="I622" s="5"/>
      <c r="J622" s="5"/>
      <c r="K622" s="6"/>
      <c r="L622" s="6"/>
      <c r="M622" s="7" t="str">
        <f t="shared" si="33"/>
        <v/>
      </c>
      <c r="N622" s="6"/>
      <c r="O622" s="5"/>
    </row>
    <row r="623" spans="1:15" x14ac:dyDescent="0.2">
      <c r="A623" s="3" t="str">
        <f>IF($B623="","",COUNTA($B$9:$B623))</f>
        <v/>
      </c>
      <c r="B623" s="4"/>
      <c r="C623" s="4"/>
      <c r="D623" s="4"/>
      <c r="E623" s="5"/>
      <c r="F623" s="3" t="str">
        <f t="shared" si="31"/>
        <v/>
      </c>
      <c r="G623" s="4"/>
      <c r="H623" s="3" t="str">
        <f t="shared" si="32"/>
        <v/>
      </c>
      <c r="I623" s="5"/>
      <c r="J623" s="5"/>
      <c r="K623" s="6"/>
      <c r="L623" s="6"/>
      <c r="M623" s="7" t="str">
        <f t="shared" si="33"/>
        <v/>
      </c>
      <c r="N623" s="6"/>
      <c r="O623" s="5"/>
    </row>
    <row r="624" spans="1:15" x14ac:dyDescent="0.2">
      <c r="A624" s="3" t="str">
        <f>IF($B624="","",COUNTA($B$9:$B624))</f>
        <v/>
      </c>
      <c r="B624" s="4"/>
      <c r="C624" s="4"/>
      <c r="D624" s="4"/>
      <c r="E624" s="5"/>
      <c r="F624" s="3" t="str">
        <f t="shared" si="31"/>
        <v/>
      </c>
      <c r="G624" s="4"/>
      <c r="H624" s="3" t="str">
        <f t="shared" si="32"/>
        <v/>
      </c>
      <c r="I624" s="5"/>
      <c r="J624" s="5"/>
      <c r="K624" s="6"/>
      <c r="L624" s="6"/>
      <c r="M624" s="7" t="str">
        <f t="shared" si="33"/>
        <v/>
      </c>
      <c r="N624" s="6"/>
      <c r="O624" s="5"/>
    </row>
    <row r="625" spans="1:15" x14ac:dyDescent="0.2">
      <c r="A625" s="3" t="str">
        <f>IF($B625="","",COUNTA($B$9:$B625))</f>
        <v/>
      </c>
      <c r="B625" s="4"/>
      <c r="C625" s="4"/>
      <c r="D625" s="4"/>
      <c r="E625" s="5"/>
      <c r="F625" s="3" t="str">
        <f t="shared" si="31"/>
        <v/>
      </c>
      <c r="G625" s="4"/>
      <c r="H625" s="3" t="str">
        <f t="shared" si="32"/>
        <v/>
      </c>
      <c r="I625" s="5"/>
      <c r="J625" s="5"/>
      <c r="K625" s="6"/>
      <c r="L625" s="6"/>
      <c r="M625" s="7" t="str">
        <f t="shared" si="33"/>
        <v/>
      </c>
      <c r="N625" s="6"/>
      <c r="O625" s="5"/>
    </row>
    <row r="626" spans="1:15" x14ac:dyDescent="0.2">
      <c r="A626" s="3" t="str">
        <f>IF($B626="","",COUNTA($B$9:$B626))</f>
        <v/>
      </c>
      <c r="B626" s="4"/>
      <c r="C626" s="4"/>
      <c r="D626" s="4"/>
      <c r="E626" s="5"/>
      <c r="F626" s="3" t="str">
        <f t="shared" si="31"/>
        <v/>
      </c>
      <c r="G626" s="4"/>
      <c r="H626" s="3" t="str">
        <f t="shared" si="32"/>
        <v/>
      </c>
      <c r="I626" s="5"/>
      <c r="J626" s="5"/>
      <c r="K626" s="6"/>
      <c r="L626" s="6"/>
      <c r="M626" s="7" t="str">
        <f t="shared" si="33"/>
        <v/>
      </c>
      <c r="N626" s="6"/>
      <c r="O626" s="5"/>
    </row>
    <row r="627" spans="1:15" x14ac:dyDescent="0.2">
      <c r="A627" s="3" t="str">
        <f>IF($B627="","",COUNTA($B$9:$B627))</f>
        <v/>
      </c>
      <c r="B627" s="4"/>
      <c r="C627" s="4"/>
      <c r="D627" s="4"/>
      <c r="E627" s="5"/>
      <c r="F627" s="3" t="str">
        <f t="shared" si="31"/>
        <v/>
      </c>
      <c r="G627" s="4"/>
      <c r="H627" s="3" t="str">
        <f t="shared" si="32"/>
        <v/>
      </c>
      <c r="I627" s="5"/>
      <c r="J627" s="5"/>
      <c r="K627" s="6"/>
      <c r="L627" s="6"/>
      <c r="M627" s="7" t="str">
        <f t="shared" si="33"/>
        <v/>
      </c>
      <c r="N627" s="6"/>
      <c r="O627" s="5"/>
    </row>
    <row r="628" spans="1:15" x14ac:dyDescent="0.2">
      <c r="A628" s="3" t="str">
        <f>IF($B628="","",COUNTA($B$9:$B628))</f>
        <v/>
      </c>
      <c r="B628" s="4"/>
      <c r="C628" s="4"/>
      <c r="D628" s="4"/>
      <c r="E628" s="5"/>
      <c r="F628" s="3" t="str">
        <f t="shared" si="31"/>
        <v/>
      </c>
      <c r="G628" s="4"/>
      <c r="H628" s="3" t="str">
        <f t="shared" si="32"/>
        <v/>
      </c>
      <c r="I628" s="5"/>
      <c r="J628" s="5"/>
      <c r="K628" s="6"/>
      <c r="L628" s="6"/>
      <c r="M628" s="7" t="str">
        <f t="shared" si="33"/>
        <v/>
      </c>
      <c r="N628" s="6"/>
      <c r="O628" s="5"/>
    </row>
    <row r="629" spans="1:15" x14ac:dyDescent="0.2">
      <c r="A629" s="3" t="str">
        <f>IF($B629="","",COUNTA($B$9:$B629))</f>
        <v/>
      </c>
      <c r="B629" s="4"/>
      <c r="C629" s="4"/>
      <c r="D629" s="4"/>
      <c r="E629" s="5"/>
      <c r="F629" s="3" t="str">
        <f t="shared" si="31"/>
        <v/>
      </c>
      <c r="G629" s="4"/>
      <c r="H629" s="3" t="str">
        <f t="shared" si="32"/>
        <v/>
      </c>
      <c r="I629" s="5"/>
      <c r="J629" s="5"/>
      <c r="K629" s="6"/>
      <c r="L629" s="6"/>
      <c r="M629" s="7" t="str">
        <f t="shared" si="33"/>
        <v/>
      </c>
      <c r="N629" s="6"/>
      <c r="O629" s="5"/>
    </row>
    <row r="630" spans="1:15" x14ac:dyDescent="0.2">
      <c r="A630" s="3" t="str">
        <f>IF($B630="","",COUNTA($B$9:$B630))</f>
        <v/>
      </c>
      <c r="B630" s="4"/>
      <c r="C630" s="4"/>
      <c r="D630" s="4"/>
      <c r="E630" s="5"/>
      <c r="F630" s="3" t="str">
        <f t="shared" si="31"/>
        <v/>
      </c>
      <c r="G630" s="4"/>
      <c r="H630" s="3" t="str">
        <f t="shared" si="32"/>
        <v/>
      </c>
      <c r="I630" s="5"/>
      <c r="J630" s="5"/>
      <c r="K630" s="6"/>
      <c r="L630" s="6"/>
      <c r="M630" s="7" t="str">
        <f t="shared" si="33"/>
        <v/>
      </c>
      <c r="N630" s="6"/>
      <c r="O630" s="5"/>
    </row>
    <row r="631" spans="1:15" x14ac:dyDescent="0.2">
      <c r="A631" s="3" t="str">
        <f>IF($B631="","",COUNTA($B$9:$B631))</f>
        <v/>
      </c>
      <c r="B631" s="4"/>
      <c r="C631" s="4"/>
      <c r="D631" s="4"/>
      <c r="E631" s="5"/>
      <c r="F631" s="3" t="str">
        <f t="shared" si="31"/>
        <v/>
      </c>
      <c r="G631" s="4"/>
      <c r="H631" s="3" t="str">
        <f t="shared" si="32"/>
        <v/>
      </c>
      <c r="I631" s="5"/>
      <c r="J631" s="5"/>
      <c r="K631" s="6"/>
      <c r="L631" s="6"/>
      <c r="M631" s="7" t="str">
        <f t="shared" si="33"/>
        <v/>
      </c>
      <c r="N631" s="6"/>
      <c r="O631" s="5"/>
    </row>
    <row r="632" spans="1:15" x14ac:dyDescent="0.2">
      <c r="A632" s="3" t="str">
        <f>IF($B632="","",COUNTA($B$9:$B632))</f>
        <v/>
      </c>
      <c r="B632" s="4"/>
      <c r="C632" s="4"/>
      <c r="D632" s="4"/>
      <c r="E632" s="5"/>
      <c r="F632" s="3" t="str">
        <f t="shared" si="31"/>
        <v/>
      </c>
      <c r="G632" s="4"/>
      <c r="H632" s="3" t="str">
        <f t="shared" si="32"/>
        <v/>
      </c>
      <c r="I632" s="5"/>
      <c r="J632" s="5"/>
      <c r="K632" s="6"/>
      <c r="L632" s="6"/>
      <c r="M632" s="7" t="str">
        <f t="shared" si="33"/>
        <v/>
      </c>
      <c r="N632" s="6"/>
      <c r="O632" s="5"/>
    </row>
    <row r="633" spans="1:15" x14ac:dyDescent="0.2">
      <c r="A633" s="3" t="str">
        <f>IF($B633="","",COUNTA($B$9:$B633))</f>
        <v/>
      </c>
      <c r="B633" s="4"/>
      <c r="C633" s="4"/>
      <c r="D633" s="4"/>
      <c r="E633" s="5"/>
      <c r="F633" s="3" t="str">
        <f t="shared" si="31"/>
        <v/>
      </c>
      <c r="G633" s="4"/>
      <c r="H633" s="3" t="str">
        <f t="shared" si="32"/>
        <v/>
      </c>
      <c r="I633" s="5"/>
      <c r="J633" s="5"/>
      <c r="K633" s="6"/>
      <c r="L633" s="6"/>
      <c r="M633" s="7" t="str">
        <f t="shared" si="33"/>
        <v/>
      </c>
      <c r="N633" s="6"/>
      <c r="O633" s="5"/>
    </row>
    <row r="634" spans="1:15" x14ac:dyDescent="0.2">
      <c r="A634" s="3" t="str">
        <f>IF($B634="","",COUNTA($B$9:$B634))</f>
        <v/>
      </c>
      <c r="B634" s="4"/>
      <c r="C634" s="4"/>
      <c r="D634" s="4"/>
      <c r="E634" s="5"/>
      <c r="F634" s="3" t="str">
        <f t="shared" si="31"/>
        <v/>
      </c>
      <c r="G634" s="4"/>
      <c r="H634" s="3" t="str">
        <f t="shared" si="32"/>
        <v/>
      </c>
      <c r="I634" s="5"/>
      <c r="J634" s="5"/>
      <c r="K634" s="6"/>
      <c r="L634" s="6"/>
      <c r="M634" s="7" t="str">
        <f t="shared" si="33"/>
        <v/>
      </c>
      <c r="N634" s="6"/>
      <c r="O634" s="5"/>
    </row>
    <row r="635" spans="1:15" x14ac:dyDescent="0.2">
      <c r="A635" s="3" t="str">
        <f>IF($B635="","",COUNTA($B$9:$B635))</f>
        <v/>
      </c>
      <c r="B635" s="4"/>
      <c r="C635" s="4"/>
      <c r="D635" s="4"/>
      <c r="E635" s="5"/>
      <c r="F635" s="3" t="str">
        <f t="shared" si="31"/>
        <v/>
      </c>
      <c r="G635" s="4"/>
      <c r="H635" s="3" t="str">
        <f t="shared" si="32"/>
        <v/>
      </c>
      <c r="I635" s="5"/>
      <c r="J635" s="5"/>
      <c r="K635" s="6"/>
      <c r="L635" s="6"/>
      <c r="M635" s="7" t="str">
        <f t="shared" si="33"/>
        <v/>
      </c>
      <c r="N635" s="6"/>
      <c r="O635" s="5"/>
    </row>
    <row r="636" spans="1:15" x14ac:dyDescent="0.2">
      <c r="A636" s="3" t="str">
        <f>IF($B636="","",COUNTA($B$9:$B636))</f>
        <v/>
      </c>
      <c r="B636" s="4"/>
      <c r="C636" s="4"/>
      <c r="D636" s="4"/>
      <c r="E636" s="5"/>
      <c r="F636" s="3" t="str">
        <f t="shared" si="31"/>
        <v/>
      </c>
      <c r="G636" s="4"/>
      <c r="H636" s="3" t="str">
        <f t="shared" si="32"/>
        <v/>
      </c>
      <c r="I636" s="5"/>
      <c r="J636" s="5"/>
      <c r="K636" s="6"/>
      <c r="L636" s="6"/>
      <c r="M636" s="7" t="str">
        <f t="shared" si="33"/>
        <v/>
      </c>
      <c r="N636" s="6"/>
      <c r="O636" s="5"/>
    </row>
    <row r="637" spans="1:15" x14ac:dyDescent="0.2">
      <c r="A637" s="3" t="str">
        <f>IF($B637="","",COUNTA($B$9:$B637))</f>
        <v/>
      </c>
      <c r="B637" s="4"/>
      <c r="C637" s="4"/>
      <c r="D637" s="4"/>
      <c r="E637" s="5"/>
      <c r="F637" s="3" t="str">
        <f t="shared" si="31"/>
        <v/>
      </c>
      <c r="G637" s="4"/>
      <c r="H637" s="3" t="str">
        <f t="shared" si="32"/>
        <v/>
      </c>
      <c r="I637" s="5"/>
      <c r="J637" s="5"/>
      <c r="K637" s="6"/>
      <c r="L637" s="6"/>
      <c r="M637" s="7" t="str">
        <f t="shared" si="33"/>
        <v/>
      </c>
      <c r="N637" s="6"/>
      <c r="O637" s="5"/>
    </row>
    <row r="638" spans="1:15" x14ac:dyDescent="0.2">
      <c r="A638" s="3" t="str">
        <f>IF($B638="","",COUNTA($B$9:$B638))</f>
        <v/>
      </c>
      <c r="B638" s="4"/>
      <c r="C638" s="4"/>
      <c r="D638" s="4"/>
      <c r="E638" s="5"/>
      <c r="F638" s="3" t="str">
        <f t="shared" si="31"/>
        <v/>
      </c>
      <c r="G638" s="4"/>
      <c r="H638" s="3" t="str">
        <f t="shared" si="32"/>
        <v/>
      </c>
      <c r="I638" s="5"/>
      <c r="J638" s="5"/>
      <c r="K638" s="6"/>
      <c r="L638" s="6"/>
      <c r="M638" s="7" t="str">
        <f t="shared" si="33"/>
        <v/>
      </c>
      <c r="N638" s="6"/>
      <c r="O638" s="5"/>
    </row>
    <row r="639" spans="1:15" x14ac:dyDescent="0.2">
      <c r="A639" s="3" t="str">
        <f>IF($B639="","",COUNTA($B$9:$B639))</f>
        <v/>
      </c>
      <c r="B639" s="4"/>
      <c r="C639" s="4"/>
      <c r="D639" s="4"/>
      <c r="E639" s="5"/>
      <c r="F639" s="3" t="str">
        <f t="shared" si="31"/>
        <v/>
      </c>
      <c r="G639" s="4"/>
      <c r="H639" s="3" t="str">
        <f t="shared" si="32"/>
        <v/>
      </c>
      <c r="I639" s="5"/>
      <c r="J639" s="5"/>
      <c r="K639" s="6"/>
      <c r="L639" s="6"/>
      <c r="M639" s="7" t="str">
        <f t="shared" si="33"/>
        <v/>
      </c>
      <c r="N639" s="6"/>
      <c r="O639" s="5"/>
    </row>
    <row r="640" spans="1:15" x14ac:dyDescent="0.2">
      <c r="A640" s="3" t="str">
        <f>IF($B640="","",COUNTA($B$9:$B640))</f>
        <v/>
      </c>
      <c r="B640" s="4"/>
      <c r="C640" s="4"/>
      <c r="D640" s="4"/>
      <c r="E640" s="5"/>
      <c r="F640" s="3" t="str">
        <f t="shared" si="31"/>
        <v/>
      </c>
      <c r="G640" s="4"/>
      <c r="H640" s="3" t="str">
        <f t="shared" si="32"/>
        <v/>
      </c>
      <c r="I640" s="5"/>
      <c r="J640" s="5"/>
      <c r="K640" s="6"/>
      <c r="L640" s="6"/>
      <c r="M640" s="7" t="str">
        <f t="shared" si="33"/>
        <v/>
      </c>
      <c r="N640" s="6"/>
      <c r="O640" s="5"/>
    </row>
    <row r="641" spans="1:15" x14ac:dyDescent="0.2">
      <c r="A641" s="3" t="str">
        <f>IF($B641="","",COUNTA($B$9:$B641))</f>
        <v/>
      </c>
      <c r="B641" s="4"/>
      <c r="C641" s="4"/>
      <c r="D641" s="4"/>
      <c r="E641" s="5"/>
      <c r="F641" s="3" t="str">
        <f t="shared" si="31"/>
        <v/>
      </c>
      <c r="G641" s="4"/>
      <c r="H641" s="3" t="str">
        <f t="shared" si="32"/>
        <v/>
      </c>
      <c r="I641" s="5"/>
      <c r="J641" s="5"/>
      <c r="K641" s="6"/>
      <c r="L641" s="6"/>
      <c r="M641" s="7" t="str">
        <f t="shared" si="33"/>
        <v/>
      </c>
      <c r="N641" s="6"/>
      <c r="O641" s="5"/>
    </row>
    <row r="642" spans="1:15" x14ac:dyDescent="0.2">
      <c r="A642" s="3" t="str">
        <f>IF($B642="","",COUNTA($B$9:$B642))</f>
        <v/>
      </c>
      <c r="B642" s="4"/>
      <c r="C642" s="4"/>
      <c r="D642" s="4"/>
      <c r="E642" s="5"/>
      <c r="F642" s="3" t="str">
        <f t="shared" si="31"/>
        <v/>
      </c>
      <c r="G642" s="4"/>
      <c r="H642" s="3" t="str">
        <f t="shared" si="32"/>
        <v/>
      </c>
      <c r="I642" s="5"/>
      <c r="J642" s="5"/>
      <c r="K642" s="6"/>
      <c r="L642" s="6"/>
      <c r="M642" s="7" t="str">
        <f t="shared" si="33"/>
        <v/>
      </c>
      <c r="N642" s="6"/>
      <c r="O642" s="5"/>
    </row>
    <row r="643" spans="1:15" x14ac:dyDescent="0.2">
      <c r="A643" s="3" t="str">
        <f>IF($B643="","",COUNTA($B$9:$B643))</f>
        <v/>
      </c>
      <c r="B643" s="4"/>
      <c r="C643" s="4"/>
      <c r="D643" s="4"/>
      <c r="E643" s="5"/>
      <c r="F643" s="3" t="str">
        <f t="shared" si="31"/>
        <v/>
      </c>
      <c r="G643" s="4"/>
      <c r="H643" s="3" t="str">
        <f t="shared" si="32"/>
        <v/>
      </c>
      <c r="I643" s="5"/>
      <c r="J643" s="5"/>
      <c r="K643" s="6"/>
      <c r="L643" s="6"/>
      <c r="M643" s="7" t="str">
        <f t="shared" si="33"/>
        <v/>
      </c>
      <c r="N643" s="6"/>
      <c r="O643" s="5"/>
    </row>
    <row r="644" spans="1:15" x14ac:dyDescent="0.2">
      <c r="A644" s="3" t="str">
        <f>IF($B644="","",COUNTA($B$9:$B644))</f>
        <v/>
      </c>
      <c r="B644" s="4"/>
      <c r="C644" s="4"/>
      <c r="D644" s="4"/>
      <c r="E644" s="5"/>
      <c r="F644" s="3" t="str">
        <f t="shared" si="31"/>
        <v/>
      </c>
      <c r="G644" s="4"/>
      <c r="H644" s="3" t="str">
        <f t="shared" si="32"/>
        <v/>
      </c>
      <c r="I644" s="5"/>
      <c r="J644" s="5"/>
      <c r="K644" s="6"/>
      <c r="L644" s="6"/>
      <c r="M644" s="7" t="str">
        <f t="shared" si="33"/>
        <v/>
      </c>
      <c r="N644" s="6"/>
      <c r="O644" s="5"/>
    </row>
    <row r="645" spans="1:15" x14ac:dyDescent="0.2">
      <c r="A645" s="3" t="str">
        <f>IF($B645="","",COUNTA($B$9:$B645))</f>
        <v/>
      </c>
      <c r="B645" s="4"/>
      <c r="C645" s="4"/>
      <c r="D645" s="4"/>
      <c r="E645" s="5"/>
      <c r="F645" s="3" t="str">
        <f t="shared" si="31"/>
        <v/>
      </c>
      <c r="G645" s="4"/>
      <c r="H645" s="3" t="str">
        <f t="shared" si="32"/>
        <v/>
      </c>
      <c r="I645" s="5"/>
      <c r="J645" s="5"/>
      <c r="K645" s="6"/>
      <c r="L645" s="6"/>
      <c r="M645" s="7" t="str">
        <f t="shared" si="33"/>
        <v/>
      </c>
      <c r="N645" s="6"/>
      <c r="O645" s="5"/>
    </row>
    <row r="646" spans="1:15" x14ac:dyDescent="0.2">
      <c r="A646" s="3" t="str">
        <f>IF($B646="","",COUNTA($B$9:$B646))</f>
        <v/>
      </c>
      <c r="B646" s="4"/>
      <c r="C646" s="4"/>
      <c r="D646" s="4"/>
      <c r="E646" s="5"/>
      <c r="F646" s="3" t="str">
        <f t="shared" si="31"/>
        <v/>
      </c>
      <c r="G646" s="4"/>
      <c r="H646" s="3" t="str">
        <f t="shared" si="32"/>
        <v/>
      </c>
      <c r="I646" s="5"/>
      <c r="J646" s="5"/>
      <c r="K646" s="6"/>
      <c r="L646" s="6"/>
      <c r="M646" s="7" t="str">
        <f t="shared" si="33"/>
        <v/>
      </c>
      <c r="N646" s="6"/>
      <c r="O646" s="5"/>
    </row>
    <row r="647" spans="1:15" x14ac:dyDescent="0.2">
      <c r="A647" s="3" t="str">
        <f>IF($B647="","",COUNTA($B$9:$B647))</f>
        <v/>
      </c>
      <c r="B647" s="4"/>
      <c r="C647" s="4"/>
      <c r="D647" s="4"/>
      <c r="E647" s="5"/>
      <c r="F647" s="3" t="str">
        <f t="shared" si="31"/>
        <v/>
      </c>
      <c r="G647" s="4"/>
      <c r="H647" s="3" t="str">
        <f t="shared" si="32"/>
        <v/>
      </c>
      <c r="I647" s="5"/>
      <c r="J647" s="5"/>
      <c r="K647" s="6"/>
      <c r="L647" s="6"/>
      <c r="M647" s="7" t="str">
        <f t="shared" si="33"/>
        <v/>
      </c>
      <c r="N647" s="6"/>
      <c r="O647" s="5"/>
    </row>
    <row r="648" spans="1:15" x14ac:dyDescent="0.2">
      <c r="A648" s="3" t="str">
        <f>IF($B648="","",COUNTA($B$9:$B648))</f>
        <v/>
      </c>
      <c r="B648" s="4"/>
      <c r="C648" s="4"/>
      <c r="D648" s="4"/>
      <c r="E648" s="5"/>
      <c r="F648" s="3" t="str">
        <f t="shared" ref="F648:F711" si="34">IF($E648="","",IFERROR(VLOOKUP($E648,OpTbl,2,0),""))</f>
        <v/>
      </c>
      <c r="G648" s="4"/>
      <c r="H648" s="3" t="str">
        <f t="shared" ref="H648:H711" si="35">IF($G648="","",IFERROR(IF(VLOOKUP($G648,AcctTbl,4,0)="","(بدون نام)",VLOOKUP($G648,AcctTbl,4,0)),"کد ناشناخته"))</f>
        <v/>
      </c>
      <c r="I648" s="5"/>
      <c r="J648" s="5"/>
      <c r="K648" s="6"/>
      <c r="L648" s="6"/>
      <c r="M648" s="7" t="str">
        <f t="shared" ref="M648:M711" si="36">IF(OR($B648="",$K648=""),"",($K648-IF($L648="",0,$L648)*IFERROR(VLOOKUP("P01",ParamTbl,3,0),1.5))*(1-IF(IFERROR(VLOOKUP($E648,OpTbl,3,0),"")="خرید",IFERROR(VLOOKUP("P02",ParamTbl,3,0),1),0)/100))</f>
        <v/>
      </c>
      <c r="N648" s="6"/>
      <c r="O648" s="5"/>
    </row>
    <row r="649" spans="1:15" x14ac:dyDescent="0.2">
      <c r="A649" s="3" t="str">
        <f>IF($B649="","",COUNTA($B$9:$B649))</f>
        <v/>
      </c>
      <c r="B649" s="4"/>
      <c r="C649" s="4"/>
      <c r="D649" s="4"/>
      <c r="E649" s="5"/>
      <c r="F649" s="3" t="str">
        <f t="shared" si="34"/>
        <v/>
      </c>
      <c r="G649" s="4"/>
      <c r="H649" s="3" t="str">
        <f t="shared" si="35"/>
        <v/>
      </c>
      <c r="I649" s="5"/>
      <c r="J649" s="5"/>
      <c r="K649" s="6"/>
      <c r="L649" s="6"/>
      <c r="M649" s="7" t="str">
        <f t="shared" si="36"/>
        <v/>
      </c>
      <c r="N649" s="6"/>
      <c r="O649" s="5"/>
    </row>
    <row r="650" spans="1:15" x14ac:dyDescent="0.2">
      <c r="A650" s="3" t="str">
        <f>IF($B650="","",COUNTA($B$9:$B650))</f>
        <v/>
      </c>
      <c r="B650" s="4"/>
      <c r="C650" s="4"/>
      <c r="D650" s="4"/>
      <c r="E650" s="5"/>
      <c r="F650" s="3" t="str">
        <f t="shared" si="34"/>
        <v/>
      </c>
      <c r="G650" s="4"/>
      <c r="H650" s="3" t="str">
        <f t="shared" si="35"/>
        <v/>
      </c>
      <c r="I650" s="5"/>
      <c r="J650" s="5"/>
      <c r="K650" s="6"/>
      <c r="L650" s="6"/>
      <c r="M650" s="7" t="str">
        <f t="shared" si="36"/>
        <v/>
      </c>
      <c r="N650" s="6"/>
      <c r="O650" s="5"/>
    </row>
    <row r="651" spans="1:15" x14ac:dyDescent="0.2">
      <c r="A651" s="3" t="str">
        <f>IF($B651="","",COUNTA($B$9:$B651))</f>
        <v/>
      </c>
      <c r="B651" s="4"/>
      <c r="C651" s="4"/>
      <c r="D651" s="4"/>
      <c r="E651" s="5"/>
      <c r="F651" s="3" t="str">
        <f t="shared" si="34"/>
        <v/>
      </c>
      <c r="G651" s="4"/>
      <c r="H651" s="3" t="str">
        <f t="shared" si="35"/>
        <v/>
      </c>
      <c r="I651" s="5"/>
      <c r="J651" s="5"/>
      <c r="K651" s="6"/>
      <c r="L651" s="6"/>
      <c r="M651" s="7" t="str">
        <f t="shared" si="36"/>
        <v/>
      </c>
      <c r="N651" s="6"/>
      <c r="O651" s="5"/>
    </row>
    <row r="652" spans="1:15" x14ac:dyDescent="0.2">
      <c r="A652" s="3" t="str">
        <f>IF($B652="","",COUNTA($B$9:$B652))</f>
        <v/>
      </c>
      <c r="B652" s="4"/>
      <c r="C652" s="4"/>
      <c r="D652" s="4"/>
      <c r="E652" s="5"/>
      <c r="F652" s="3" t="str">
        <f t="shared" si="34"/>
        <v/>
      </c>
      <c r="G652" s="4"/>
      <c r="H652" s="3" t="str">
        <f t="shared" si="35"/>
        <v/>
      </c>
      <c r="I652" s="5"/>
      <c r="J652" s="5"/>
      <c r="K652" s="6"/>
      <c r="L652" s="6"/>
      <c r="M652" s="7" t="str">
        <f t="shared" si="36"/>
        <v/>
      </c>
      <c r="N652" s="6"/>
      <c r="O652" s="5"/>
    </row>
    <row r="653" spans="1:15" x14ac:dyDescent="0.2">
      <c r="A653" s="3" t="str">
        <f>IF($B653="","",COUNTA($B$9:$B653))</f>
        <v/>
      </c>
      <c r="B653" s="4"/>
      <c r="C653" s="4"/>
      <c r="D653" s="4"/>
      <c r="E653" s="5"/>
      <c r="F653" s="3" t="str">
        <f t="shared" si="34"/>
        <v/>
      </c>
      <c r="G653" s="4"/>
      <c r="H653" s="3" t="str">
        <f t="shared" si="35"/>
        <v/>
      </c>
      <c r="I653" s="5"/>
      <c r="J653" s="5"/>
      <c r="K653" s="6"/>
      <c r="L653" s="6"/>
      <c r="M653" s="7" t="str">
        <f t="shared" si="36"/>
        <v/>
      </c>
      <c r="N653" s="6"/>
      <c r="O653" s="5"/>
    </row>
    <row r="654" spans="1:15" x14ac:dyDescent="0.2">
      <c r="A654" s="3" t="str">
        <f>IF($B654="","",COUNTA($B$9:$B654))</f>
        <v/>
      </c>
      <c r="B654" s="4"/>
      <c r="C654" s="4"/>
      <c r="D654" s="4"/>
      <c r="E654" s="5"/>
      <c r="F654" s="3" t="str">
        <f t="shared" si="34"/>
        <v/>
      </c>
      <c r="G654" s="4"/>
      <c r="H654" s="3" t="str">
        <f t="shared" si="35"/>
        <v/>
      </c>
      <c r="I654" s="5"/>
      <c r="J654" s="5"/>
      <c r="K654" s="6"/>
      <c r="L654" s="6"/>
      <c r="M654" s="7" t="str">
        <f t="shared" si="36"/>
        <v/>
      </c>
      <c r="N654" s="6"/>
      <c r="O654" s="5"/>
    </row>
    <row r="655" spans="1:15" x14ac:dyDescent="0.2">
      <c r="A655" s="3" t="str">
        <f>IF($B655="","",COUNTA($B$9:$B655))</f>
        <v/>
      </c>
      <c r="B655" s="4"/>
      <c r="C655" s="4"/>
      <c r="D655" s="4"/>
      <c r="E655" s="5"/>
      <c r="F655" s="3" t="str">
        <f t="shared" si="34"/>
        <v/>
      </c>
      <c r="G655" s="4"/>
      <c r="H655" s="3" t="str">
        <f t="shared" si="35"/>
        <v/>
      </c>
      <c r="I655" s="5"/>
      <c r="J655" s="5"/>
      <c r="K655" s="6"/>
      <c r="L655" s="6"/>
      <c r="M655" s="7" t="str">
        <f t="shared" si="36"/>
        <v/>
      </c>
      <c r="N655" s="6"/>
      <c r="O655" s="5"/>
    </row>
    <row r="656" spans="1:15" x14ac:dyDescent="0.2">
      <c r="A656" s="3" t="str">
        <f>IF($B656="","",COUNTA($B$9:$B656))</f>
        <v/>
      </c>
      <c r="B656" s="4"/>
      <c r="C656" s="4"/>
      <c r="D656" s="4"/>
      <c r="E656" s="5"/>
      <c r="F656" s="3" t="str">
        <f t="shared" si="34"/>
        <v/>
      </c>
      <c r="G656" s="4"/>
      <c r="H656" s="3" t="str">
        <f t="shared" si="35"/>
        <v/>
      </c>
      <c r="I656" s="5"/>
      <c r="J656" s="5"/>
      <c r="K656" s="6"/>
      <c r="L656" s="6"/>
      <c r="M656" s="7" t="str">
        <f t="shared" si="36"/>
        <v/>
      </c>
      <c r="N656" s="6"/>
      <c r="O656" s="5"/>
    </row>
    <row r="657" spans="1:15" x14ac:dyDescent="0.2">
      <c r="A657" s="3" t="str">
        <f>IF($B657="","",COUNTA($B$9:$B657))</f>
        <v/>
      </c>
      <c r="B657" s="4"/>
      <c r="C657" s="4"/>
      <c r="D657" s="4"/>
      <c r="E657" s="5"/>
      <c r="F657" s="3" t="str">
        <f t="shared" si="34"/>
        <v/>
      </c>
      <c r="G657" s="4"/>
      <c r="H657" s="3" t="str">
        <f t="shared" si="35"/>
        <v/>
      </c>
      <c r="I657" s="5"/>
      <c r="J657" s="5"/>
      <c r="K657" s="6"/>
      <c r="L657" s="6"/>
      <c r="M657" s="7" t="str">
        <f t="shared" si="36"/>
        <v/>
      </c>
      <c r="N657" s="6"/>
      <c r="O657" s="5"/>
    </row>
    <row r="658" spans="1:15" x14ac:dyDescent="0.2">
      <c r="A658" s="3" t="str">
        <f>IF($B658="","",COUNTA($B$9:$B658))</f>
        <v/>
      </c>
      <c r="B658" s="4"/>
      <c r="C658" s="4"/>
      <c r="D658" s="4"/>
      <c r="E658" s="5"/>
      <c r="F658" s="3" t="str">
        <f t="shared" si="34"/>
        <v/>
      </c>
      <c r="G658" s="4"/>
      <c r="H658" s="3" t="str">
        <f t="shared" si="35"/>
        <v/>
      </c>
      <c r="I658" s="5"/>
      <c r="J658" s="5"/>
      <c r="K658" s="6"/>
      <c r="L658" s="6"/>
      <c r="M658" s="7" t="str">
        <f t="shared" si="36"/>
        <v/>
      </c>
      <c r="N658" s="6"/>
      <c r="O658" s="5"/>
    </row>
    <row r="659" spans="1:15" x14ac:dyDescent="0.2">
      <c r="A659" s="3" t="str">
        <f>IF($B659="","",COUNTA($B$9:$B659))</f>
        <v/>
      </c>
      <c r="B659" s="4"/>
      <c r="C659" s="4"/>
      <c r="D659" s="4"/>
      <c r="E659" s="5"/>
      <c r="F659" s="3" t="str">
        <f t="shared" si="34"/>
        <v/>
      </c>
      <c r="G659" s="4"/>
      <c r="H659" s="3" t="str">
        <f t="shared" si="35"/>
        <v/>
      </c>
      <c r="I659" s="5"/>
      <c r="J659" s="5"/>
      <c r="K659" s="6"/>
      <c r="L659" s="6"/>
      <c r="M659" s="7" t="str">
        <f t="shared" si="36"/>
        <v/>
      </c>
      <c r="N659" s="6"/>
      <c r="O659" s="5"/>
    </row>
    <row r="660" spans="1:15" x14ac:dyDescent="0.2">
      <c r="A660" s="3" t="str">
        <f>IF($B660="","",COUNTA($B$9:$B660))</f>
        <v/>
      </c>
      <c r="B660" s="4"/>
      <c r="C660" s="4"/>
      <c r="D660" s="4"/>
      <c r="E660" s="5"/>
      <c r="F660" s="3" t="str">
        <f t="shared" si="34"/>
        <v/>
      </c>
      <c r="G660" s="4"/>
      <c r="H660" s="3" t="str">
        <f t="shared" si="35"/>
        <v/>
      </c>
      <c r="I660" s="5"/>
      <c r="J660" s="5"/>
      <c r="K660" s="6"/>
      <c r="L660" s="6"/>
      <c r="M660" s="7" t="str">
        <f t="shared" si="36"/>
        <v/>
      </c>
      <c r="N660" s="6"/>
      <c r="O660" s="5"/>
    </row>
    <row r="661" spans="1:15" x14ac:dyDescent="0.2">
      <c r="A661" s="3" t="str">
        <f>IF($B661="","",COUNTA($B$9:$B661))</f>
        <v/>
      </c>
      <c r="B661" s="4"/>
      <c r="C661" s="4"/>
      <c r="D661" s="4"/>
      <c r="E661" s="5"/>
      <c r="F661" s="3" t="str">
        <f t="shared" si="34"/>
        <v/>
      </c>
      <c r="G661" s="4"/>
      <c r="H661" s="3" t="str">
        <f t="shared" si="35"/>
        <v/>
      </c>
      <c r="I661" s="5"/>
      <c r="J661" s="5"/>
      <c r="K661" s="6"/>
      <c r="L661" s="6"/>
      <c r="M661" s="7" t="str">
        <f t="shared" si="36"/>
        <v/>
      </c>
      <c r="N661" s="6"/>
      <c r="O661" s="5"/>
    </row>
    <row r="662" spans="1:15" x14ac:dyDescent="0.2">
      <c r="A662" s="3" t="str">
        <f>IF($B662="","",COUNTA($B$9:$B662))</f>
        <v/>
      </c>
      <c r="B662" s="4"/>
      <c r="C662" s="4"/>
      <c r="D662" s="4"/>
      <c r="E662" s="5"/>
      <c r="F662" s="3" t="str">
        <f t="shared" si="34"/>
        <v/>
      </c>
      <c r="G662" s="4"/>
      <c r="H662" s="3" t="str">
        <f t="shared" si="35"/>
        <v/>
      </c>
      <c r="I662" s="5"/>
      <c r="J662" s="5"/>
      <c r="K662" s="6"/>
      <c r="L662" s="6"/>
      <c r="M662" s="7" t="str">
        <f t="shared" si="36"/>
        <v/>
      </c>
      <c r="N662" s="6"/>
      <c r="O662" s="5"/>
    </row>
    <row r="663" spans="1:15" x14ac:dyDescent="0.2">
      <c r="A663" s="3" t="str">
        <f>IF($B663="","",COUNTA($B$9:$B663))</f>
        <v/>
      </c>
      <c r="B663" s="4"/>
      <c r="C663" s="4"/>
      <c r="D663" s="4"/>
      <c r="E663" s="5"/>
      <c r="F663" s="3" t="str">
        <f t="shared" si="34"/>
        <v/>
      </c>
      <c r="G663" s="4"/>
      <c r="H663" s="3" t="str">
        <f t="shared" si="35"/>
        <v/>
      </c>
      <c r="I663" s="5"/>
      <c r="J663" s="5"/>
      <c r="K663" s="6"/>
      <c r="L663" s="6"/>
      <c r="M663" s="7" t="str">
        <f t="shared" si="36"/>
        <v/>
      </c>
      <c r="N663" s="6"/>
      <c r="O663" s="5"/>
    </row>
    <row r="664" spans="1:15" x14ac:dyDescent="0.2">
      <c r="A664" s="3" t="str">
        <f>IF($B664="","",COUNTA($B$9:$B664))</f>
        <v/>
      </c>
      <c r="B664" s="4"/>
      <c r="C664" s="4"/>
      <c r="D664" s="4"/>
      <c r="E664" s="5"/>
      <c r="F664" s="3" t="str">
        <f t="shared" si="34"/>
        <v/>
      </c>
      <c r="G664" s="4"/>
      <c r="H664" s="3" t="str">
        <f t="shared" si="35"/>
        <v/>
      </c>
      <c r="I664" s="5"/>
      <c r="J664" s="5"/>
      <c r="K664" s="6"/>
      <c r="L664" s="6"/>
      <c r="M664" s="7" t="str">
        <f t="shared" si="36"/>
        <v/>
      </c>
      <c r="N664" s="6"/>
      <c r="O664" s="5"/>
    </row>
    <row r="665" spans="1:15" x14ac:dyDescent="0.2">
      <c r="A665" s="3" t="str">
        <f>IF($B665="","",COUNTA($B$9:$B665))</f>
        <v/>
      </c>
      <c r="B665" s="4"/>
      <c r="C665" s="4"/>
      <c r="D665" s="4"/>
      <c r="E665" s="5"/>
      <c r="F665" s="3" t="str">
        <f t="shared" si="34"/>
        <v/>
      </c>
      <c r="G665" s="4"/>
      <c r="H665" s="3" t="str">
        <f t="shared" si="35"/>
        <v/>
      </c>
      <c r="I665" s="5"/>
      <c r="J665" s="5"/>
      <c r="K665" s="6"/>
      <c r="L665" s="6"/>
      <c r="M665" s="7" t="str">
        <f t="shared" si="36"/>
        <v/>
      </c>
      <c r="N665" s="6"/>
      <c r="O665" s="5"/>
    </row>
    <row r="666" spans="1:15" x14ac:dyDescent="0.2">
      <c r="A666" s="3" t="str">
        <f>IF($B666="","",COUNTA($B$9:$B666))</f>
        <v/>
      </c>
      <c r="B666" s="4"/>
      <c r="C666" s="4"/>
      <c r="D666" s="4"/>
      <c r="E666" s="5"/>
      <c r="F666" s="3" t="str">
        <f t="shared" si="34"/>
        <v/>
      </c>
      <c r="G666" s="4"/>
      <c r="H666" s="3" t="str">
        <f t="shared" si="35"/>
        <v/>
      </c>
      <c r="I666" s="5"/>
      <c r="J666" s="5"/>
      <c r="K666" s="6"/>
      <c r="L666" s="6"/>
      <c r="M666" s="7" t="str">
        <f t="shared" si="36"/>
        <v/>
      </c>
      <c r="N666" s="6"/>
      <c r="O666" s="5"/>
    </row>
    <row r="667" spans="1:15" x14ac:dyDescent="0.2">
      <c r="A667" s="3" t="str">
        <f>IF($B667="","",COUNTA($B$9:$B667))</f>
        <v/>
      </c>
      <c r="B667" s="4"/>
      <c r="C667" s="4"/>
      <c r="D667" s="4"/>
      <c r="E667" s="5"/>
      <c r="F667" s="3" t="str">
        <f t="shared" si="34"/>
        <v/>
      </c>
      <c r="G667" s="4"/>
      <c r="H667" s="3" t="str">
        <f t="shared" si="35"/>
        <v/>
      </c>
      <c r="I667" s="5"/>
      <c r="J667" s="5"/>
      <c r="K667" s="6"/>
      <c r="L667" s="6"/>
      <c r="M667" s="7" t="str">
        <f t="shared" si="36"/>
        <v/>
      </c>
      <c r="N667" s="6"/>
      <c r="O667" s="5"/>
    </row>
    <row r="668" spans="1:15" x14ac:dyDescent="0.2">
      <c r="A668" s="3" t="str">
        <f>IF($B668="","",COUNTA($B$9:$B668))</f>
        <v/>
      </c>
      <c r="B668" s="4"/>
      <c r="C668" s="4"/>
      <c r="D668" s="4"/>
      <c r="E668" s="5"/>
      <c r="F668" s="3" t="str">
        <f t="shared" si="34"/>
        <v/>
      </c>
      <c r="G668" s="4"/>
      <c r="H668" s="3" t="str">
        <f t="shared" si="35"/>
        <v/>
      </c>
      <c r="I668" s="5"/>
      <c r="J668" s="5"/>
      <c r="K668" s="6"/>
      <c r="L668" s="6"/>
      <c r="M668" s="7" t="str">
        <f t="shared" si="36"/>
        <v/>
      </c>
      <c r="N668" s="6"/>
      <c r="O668" s="5"/>
    </row>
    <row r="669" spans="1:15" x14ac:dyDescent="0.2">
      <c r="A669" s="3" t="str">
        <f>IF($B669="","",COUNTA($B$9:$B669))</f>
        <v/>
      </c>
      <c r="B669" s="4"/>
      <c r="C669" s="4"/>
      <c r="D669" s="4"/>
      <c r="E669" s="5"/>
      <c r="F669" s="3" t="str">
        <f t="shared" si="34"/>
        <v/>
      </c>
      <c r="G669" s="4"/>
      <c r="H669" s="3" t="str">
        <f t="shared" si="35"/>
        <v/>
      </c>
      <c r="I669" s="5"/>
      <c r="J669" s="5"/>
      <c r="K669" s="6"/>
      <c r="L669" s="6"/>
      <c r="M669" s="7" t="str">
        <f t="shared" si="36"/>
        <v/>
      </c>
      <c r="N669" s="6"/>
      <c r="O669" s="5"/>
    </row>
    <row r="670" spans="1:15" x14ac:dyDescent="0.2">
      <c r="A670" s="3" t="str">
        <f>IF($B670="","",COUNTA($B$9:$B670))</f>
        <v/>
      </c>
      <c r="B670" s="4"/>
      <c r="C670" s="4"/>
      <c r="D670" s="4"/>
      <c r="E670" s="5"/>
      <c r="F670" s="3" t="str">
        <f t="shared" si="34"/>
        <v/>
      </c>
      <c r="G670" s="4"/>
      <c r="H670" s="3" t="str">
        <f t="shared" si="35"/>
        <v/>
      </c>
      <c r="I670" s="5"/>
      <c r="J670" s="5"/>
      <c r="K670" s="6"/>
      <c r="L670" s="6"/>
      <c r="M670" s="7" t="str">
        <f t="shared" si="36"/>
        <v/>
      </c>
      <c r="N670" s="6"/>
      <c r="O670" s="5"/>
    </row>
    <row r="671" spans="1:15" x14ac:dyDescent="0.2">
      <c r="A671" s="3" t="str">
        <f>IF($B671="","",COUNTA($B$9:$B671))</f>
        <v/>
      </c>
      <c r="B671" s="4"/>
      <c r="C671" s="4"/>
      <c r="D671" s="4"/>
      <c r="E671" s="5"/>
      <c r="F671" s="3" t="str">
        <f t="shared" si="34"/>
        <v/>
      </c>
      <c r="G671" s="4"/>
      <c r="H671" s="3" t="str">
        <f t="shared" si="35"/>
        <v/>
      </c>
      <c r="I671" s="5"/>
      <c r="J671" s="5"/>
      <c r="K671" s="6"/>
      <c r="L671" s="6"/>
      <c r="M671" s="7" t="str">
        <f t="shared" si="36"/>
        <v/>
      </c>
      <c r="N671" s="6"/>
      <c r="O671" s="5"/>
    </row>
    <row r="672" spans="1:15" x14ac:dyDescent="0.2">
      <c r="A672" s="3" t="str">
        <f>IF($B672="","",COUNTA($B$9:$B672))</f>
        <v/>
      </c>
      <c r="B672" s="4"/>
      <c r="C672" s="4"/>
      <c r="D672" s="4"/>
      <c r="E672" s="5"/>
      <c r="F672" s="3" t="str">
        <f t="shared" si="34"/>
        <v/>
      </c>
      <c r="G672" s="4"/>
      <c r="H672" s="3" t="str">
        <f t="shared" si="35"/>
        <v/>
      </c>
      <c r="I672" s="5"/>
      <c r="J672" s="5"/>
      <c r="K672" s="6"/>
      <c r="L672" s="6"/>
      <c r="M672" s="7" t="str">
        <f t="shared" si="36"/>
        <v/>
      </c>
      <c r="N672" s="6"/>
      <c r="O672" s="5"/>
    </row>
    <row r="673" spans="1:15" x14ac:dyDescent="0.2">
      <c r="A673" s="3" t="str">
        <f>IF($B673="","",COUNTA($B$9:$B673))</f>
        <v/>
      </c>
      <c r="B673" s="4"/>
      <c r="C673" s="4"/>
      <c r="D673" s="4"/>
      <c r="E673" s="5"/>
      <c r="F673" s="3" t="str">
        <f t="shared" si="34"/>
        <v/>
      </c>
      <c r="G673" s="4"/>
      <c r="H673" s="3" t="str">
        <f t="shared" si="35"/>
        <v/>
      </c>
      <c r="I673" s="5"/>
      <c r="J673" s="5"/>
      <c r="K673" s="6"/>
      <c r="L673" s="6"/>
      <c r="M673" s="7" t="str">
        <f t="shared" si="36"/>
        <v/>
      </c>
      <c r="N673" s="6"/>
      <c r="O673" s="5"/>
    </row>
    <row r="674" spans="1:15" x14ac:dyDescent="0.2">
      <c r="A674" s="3" t="str">
        <f>IF($B674="","",COUNTA($B$9:$B674))</f>
        <v/>
      </c>
      <c r="B674" s="4"/>
      <c r="C674" s="4"/>
      <c r="D674" s="4"/>
      <c r="E674" s="5"/>
      <c r="F674" s="3" t="str">
        <f t="shared" si="34"/>
        <v/>
      </c>
      <c r="G674" s="4"/>
      <c r="H674" s="3" t="str">
        <f t="shared" si="35"/>
        <v/>
      </c>
      <c r="I674" s="5"/>
      <c r="J674" s="5"/>
      <c r="K674" s="6"/>
      <c r="L674" s="6"/>
      <c r="M674" s="7" t="str">
        <f t="shared" si="36"/>
        <v/>
      </c>
      <c r="N674" s="6"/>
      <c r="O674" s="5"/>
    </row>
    <row r="675" spans="1:15" x14ac:dyDescent="0.2">
      <c r="A675" s="3" t="str">
        <f>IF($B675="","",COUNTA($B$9:$B675))</f>
        <v/>
      </c>
      <c r="B675" s="4"/>
      <c r="C675" s="4"/>
      <c r="D675" s="4"/>
      <c r="E675" s="5"/>
      <c r="F675" s="3" t="str">
        <f t="shared" si="34"/>
        <v/>
      </c>
      <c r="G675" s="4"/>
      <c r="H675" s="3" t="str">
        <f t="shared" si="35"/>
        <v/>
      </c>
      <c r="I675" s="5"/>
      <c r="J675" s="5"/>
      <c r="K675" s="6"/>
      <c r="L675" s="6"/>
      <c r="M675" s="7" t="str">
        <f t="shared" si="36"/>
        <v/>
      </c>
      <c r="N675" s="6"/>
      <c r="O675" s="5"/>
    </row>
    <row r="676" spans="1:15" x14ac:dyDescent="0.2">
      <c r="A676" s="3" t="str">
        <f>IF($B676="","",COUNTA($B$9:$B676))</f>
        <v/>
      </c>
      <c r="B676" s="4"/>
      <c r="C676" s="4"/>
      <c r="D676" s="4"/>
      <c r="E676" s="5"/>
      <c r="F676" s="3" t="str">
        <f t="shared" si="34"/>
        <v/>
      </c>
      <c r="G676" s="4"/>
      <c r="H676" s="3" t="str">
        <f t="shared" si="35"/>
        <v/>
      </c>
      <c r="I676" s="5"/>
      <c r="J676" s="5"/>
      <c r="K676" s="6"/>
      <c r="L676" s="6"/>
      <c r="M676" s="7" t="str">
        <f t="shared" si="36"/>
        <v/>
      </c>
      <c r="N676" s="6"/>
      <c r="O676" s="5"/>
    </row>
    <row r="677" spans="1:15" x14ac:dyDescent="0.2">
      <c r="A677" s="3" t="str">
        <f>IF($B677="","",COUNTA($B$9:$B677))</f>
        <v/>
      </c>
      <c r="B677" s="4"/>
      <c r="C677" s="4"/>
      <c r="D677" s="4"/>
      <c r="E677" s="5"/>
      <c r="F677" s="3" t="str">
        <f t="shared" si="34"/>
        <v/>
      </c>
      <c r="G677" s="4"/>
      <c r="H677" s="3" t="str">
        <f t="shared" si="35"/>
        <v/>
      </c>
      <c r="I677" s="5"/>
      <c r="J677" s="5"/>
      <c r="K677" s="6"/>
      <c r="L677" s="6"/>
      <c r="M677" s="7" t="str">
        <f t="shared" si="36"/>
        <v/>
      </c>
      <c r="N677" s="6"/>
      <c r="O677" s="5"/>
    </row>
    <row r="678" spans="1:15" x14ac:dyDescent="0.2">
      <c r="A678" s="3" t="str">
        <f>IF($B678="","",COUNTA($B$9:$B678))</f>
        <v/>
      </c>
      <c r="B678" s="4"/>
      <c r="C678" s="4"/>
      <c r="D678" s="4"/>
      <c r="E678" s="5"/>
      <c r="F678" s="3" t="str">
        <f t="shared" si="34"/>
        <v/>
      </c>
      <c r="G678" s="4"/>
      <c r="H678" s="3" t="str">
        <f t="shared" si="35"/>
        <v/>
      </c>
      <c r="I678" s="5"/>
      <c r="J678" s="5"/>
      <c r="K678" s="6"/>
      <c r="L678" s="6"/>
      <c r="M678" s="7" t="str">
        <f t="shared" si="36"/>
        <v/>
      </c>
      <c r="N678" s="6"/>
      <c r="O678" s="5"/>
    </row>
    <row r="679" spans="1:15" x14ac:dyDescent="0.2">
      <c r="A679" s="3" t="str">
        <f>IF($B679="","",COUNTA($B$9:$B679))</f>
        <v/>
      </c>
      <c r="B679" s="4"/>
      <c r="C679" s="4"/>
      <c r="D679" s="4"/>
      <c r="E679" s="5"/>
      <c r="F679" s="3" t="str">
        <f t="shared" si="34"/>
        <v/>
      </c>
      <c r="G679" s="4"/>
      <c r="H679" s="3" t="str">
        <f t="shared" si="35"/>
        <v/>
      </c>
      <c r="I679" s="5"/>
      <c r="J679" s="5"/>
      <c r="K679" s="6"/>
      <c r="L679" s="6"/>
      <c r="M679" s="7" t="str">
        <f t="shared" si="36"/>
        <v/>
      </c>
      <c r="N679" s="6"/>
      <c r="O679" s="5"/>
    </row>
    <row r="680" spans="1:15" x14ac:dyDescent="0.2">
      <c r="A680" s="3" t="str">
        <f>IF($B680="","",COUNTA($B$9:$B680))</f>
        <v/>
      </c>
      <c r="B680" s="4"/>
      <c r="C680" s="4"/>
      <c r="D680" s="4"/>
      <c r="E680" s="5"/>
      <c r="F680" s="3" t="str">
        <f t="shared" si="34"/>
        <v/>
      </c>
      <c r="G680" s="4"/>
      <c r="H680" s="3" t="str">
        <f t="shared" si="35"/>
        <v/>
      </c>
      <c r="I680" s="5"/>
      <c r="J680" s="5"/>
      <c r="K680" s="6"/>
      <c r="L680" s="6"/>
      <c r="M680" s="7" t="str">
        <f t="shared" si="36"/>
        <v/>
      </c>
      <c r="N680" s="6"/>
      <c r="O680" s="5"/>
    </row>
    <row r="681" spans="1:15" x14ac:dyDescent="0.2">
      <c r="A681" s="3" t="str">
        <f>IF($B681="","",COUNTA($B$9:$B681))</f>
        <v/>
      </c>
      <c r="B681" s="4"/>
      <c r="C681" s="4"/>
      <c r="D681" s="4"/>
      <c r="E681" s="5"/>
      <c r="F681" s="3" t="str">
        <f t="shared" si="34"/>
        <v/>
      </c>
      <c r="G681" s="4"/>
      <c r="H681" s="3" t="str">
        <f t="shared" si="35"/>
        <v/>
      </c>
      <c r="I681" s="5"/>
      <c r="J681" s="5"/>
      <c r="K681" s="6"/>
      <c r="L681" s="6"/>
      <c r="M681" s="7" t="str">
        <f t="shared" si="36"/>
        <v/>
      </c>
      <c r="N681" s="6"/>
      <c r="O681" s="5"/>
    </row>
    <row r="682" spans="1:15" x14ac:dyDescent="0.2">
      <c r="A682" s="3" t="str">
        <f>IF($B682="","",COUNTA($B$9:$B682))</f>
        <v/>
      </c>
      <c r="B682" s="4"/>
      <c r="C682" s="4"/>
      <c r="D682" s="4"/>
      <c r="E682" s="5"/>
      <c r="F682" s="3" t="str">
        <f t="shared" si="34"/>
        <v/>
      </c>
      <c r="G682" s="4"/>
      <c r="H682" s="3" t="str">
        <f t="shared" si="35"/>
        <v/>
      </c>
      <c r="I682" s="5"/>
      <c r="J682" s="5"/>
      <c r="K682" s="6"/>
      <c r="L682" s="6"/>
      <c r="M682" s="7" t="str">
        <f t="shared" si="36"/>
        <v/>
      </c>
      <c r="N682" s="6"/>
      <c r="O682" s="5"/>
    </row>
    <row r="683" spans="1:15" x14ac:dyDescent="0.2">
      <c r="A683" s="3" t="str">
        <f>IF($B683="","",COUNTA($B$9:$B683))</f>
        <v/>
      </c>
      <c r="B683" s="4"/>
      <c r="C683" s="4"/>
      <c r="D683" s="4"/>
      <c r="E683" s="5"/>
      <c r="F683" s="3" t="str">
        <f t="shared" si="34"/>
        <v/>
      </c>
      <c r="G683" s="4"/>
      <c r="H683" s="3" t="str">
        <f t="shared" si="35"/>
        <v/>
      </c>
      <c r="I683" s="5"/>
      <c r="J683" s="5"/>
      <c r="K683" s="6"/>
      <c r="L683" s="6"/>
      <c r="M683" s="7" t="str">
        <f t="shared" si="36"/>
        <v/>
      </c>
      <c r="N683" s="6"/>
      <c r="O683" s="5"/>
    </row>
    <row r="684" spans="1:15" x14ac:dyDescent="0.2">
      <c r="A684" s="3" t="str">
        <f>IF($B684="","",COUNTA($B$9:$B684))</f>
        <v/>
      </c>
      <c r="B684" s="4"/>
      <c r="C684" s="4"/>
      <c r="D684" s="4"/>
      <c r="E684" s="5"/>
      <c r="F684" s="3" t="str">
        <f t="shared" si="34"/>
        <v/>
      </c>
      <c r="G684" s="4"/>
      <c r="H684" s="3" t="str">
        <f t="shared" si="35"/>
        <v/>
      </c>
      <c r="I684" s="5"/>
      <c r="J684" s="5"/>
      <c r="K684" s="6"/>
      <c r="L684" s="6"/>
      <c r="M684" s="7" t="str">
        <f t="shared" si="36"/>
        <v/>
      </c>
      <c r="N684" s="6"/>
      <c r="O684" s="5"/>
    </row>
    <row r="685" spans="1:15" x14ac:dyDescent="0.2">
      <c r="A685" s="3" t="str">
        <f>IF($B685="","",COUNTA($B$9:$B685))</f>
        <v/>
      </c>
      <c r="B685" s="4"/>
      <c r="C685" s="4"/>
      <c r="D685" s="4"/>
      <c r="E685" s="5"/>
      <c r="F685" s="3" t="str">
        <f t="shared" si="34"/>
        <v/>
      </c>
      <c r="G685" s="4"/>
      <c r="H685" s="3" t="str">
        <f t="shared" si="35"/>
        <v/>
      </c>
      <c r="I685" s="5"/>
      <c r="J685" s="5"/>
      <c r="K685" s="6"/>
      <c r="L685" s="6"/>
      <c r="M685" s="7" t="str">
        <f t="shared" si="36"/>
        <v/>
      </c>
      <c r="N685" s="6"/>
      <c r="O685" s="5"/>
    </row>
    <row r="686" spans="1:15" x14ac:dyDescent="0.2">
      <c r="A686" s="3" t="str">
        <f>IF($B686="","",COUNTA($B$9:$B686))</f>
        <v/>
      </c>
      <c r="B686" s="4"/>
      <c r="C686" s="4"/>
      <c r="D686" s="4"/>
      <c r="E686" s="5"/>
      <c r="F686" s="3" t="str">
        <f t="shared" si="34"/>
        <v/>
      </c>
      <c r="G686" s="4"/>
      <c r="H686" s="3" t="str">
        <f t="shared" si="35"/>
        <v/>
      </c>
      <c r="I686" s="5"/>
      <c r="J686" s="5"/>
      <c r="K686" s="6"/>
      <c r="L686" s="6"/>
      <c r="M686" s="7" t="str">
        <f t="shared" si="36"/>
        <v/>
      </c>
      <c r="N686" s="6"/>
      <c r="O686" s="5"/>
    </row>
    <row r="687" spans="1:15" x14ac:dyDescent="0.2">
      <c r="A687" s="3" t="str">
        <f>IF($B687="","",COUNTA($B$9:$B687))</f>
        <v/>
      </c>
      <c r="B687" s="4"/>
      <c r="C687" s="4"/>
      <c r="D687" s="4"/>
      <c r="E687" s="5"/>
      <c r="F687" s="3" t="str">
        <f t="shared" si="34"/>
        <v/>
      </c>
      <c r="G687" s="4"/>
      <c r="H687" s="3" t="str">
        <f t="shared" si="35"/>
        <v/>
      </c>
      <c r="I687" s="5"/>
      <c r="J687" s="5"/>
      <c r="K687" s="6"/>
      <c r="L687" s="6"/>
      <c r="M687" s="7" t="str">
        <f t="shared" si="36"/>
        <v/>
      </c>
      <c r="N687" s="6"/>
      <c r="O687" s="5"/>
    </row>
    <row r="688" spans="1:15" x14ac:dyDescent="0.2">
      <c r="A688" s="3" t="str">
        <f>IF($B688="","",COUNTA($B$9:$B688))</f>
        <v/>
      </c>
      <c r="B688" s="4"/>
      <c r="C688" s="4"/>
      <c r="D688" s="4"/>
      <c r="E688" s="5"/>
      <c r="F688" s="3" t="str">
        <f t="shared" si="34"/>
        <v/>
      </c>
      <c r="G688" s="4"/>
      <c r="H688" s="3" t="str">
        <f t="shared" si="35"/>
        <v/>
      </c>
      <c r="I688" s="5"/>
      <c r="J688" s="5"/>
      <c r="K688" s="6"/>
      <c r="L688" s="6"/>
      <c r="M688" s="7" t="str">
        <f t="shared" si="36"/>
        <v/>
      </c>
      <c r="N688" s="6"/>
      <c r="O688" s="5"/>
    </row>
    <row r="689" spans="1:15" x14ac:dyDescent="0.2">
      <c r="A689" s="3" t="str">
        <f>IF($B689="","",COUNTA($B$9:$B689))</f>
        <v/>
      </c>
      <c r="B689" s="4"/>
      <c r="C689" s="4"/>
      <c r="D689" s="4"/>
      <c r="E689" s="5"/>
      <c r="F689" s="3" t="str">
        <f t="shared" si="34"/>
        <v/>
      </c>
      <c r="G689" s="4"/>
      <c r="H689" s="3" t="str">
        <f t="shared" si="35"/>
        <v/>
      </c>
      <c r="I689" s="5"/>
      <c r="J689" s="5"/>
      <c r="K689" s="6"/>
      <c r="L689" s="6"/>
      <c r="M689" s="7" t="str">
        <f t="shared" si="36"/>
        <v/>
      </c>
      <c r="N689" s="6"/>
      <c r="O689" s="5"/>
    </row>
    <row r="690" spans="1:15" x14ac:dyDescent="0.2">
      <c r="A690" s="3" t="str">
        <f>IF($B690="","",COUNTA($B$9:$B690))</f>
        <v/>
      </c>
      <c r="B690" s="4"/>
      <c r="C690" s="4"/>
      <c r="D690" s="4"/>
      <c r="E690" s="5"/>
      <c r="F690" s="3" t="str">
        <f t="shared" si="34"/>
        <v/>
      </c>
      <c r="G690" s="4"/>
      <c r="H690" s="3" t="str">
        <f t="shared" si="35"/>
        <v/>
      </c>
      <c r="I690" s="5"/>
      <c r="J690" s="5"/>
      <c r="K690" s="6"/>
      <c r="L690" s="6"/>
      <c r="M690" s="7" t="str">
        <f t="shared" si="36"/>
        <v/>
      </c>
      <c r="N690" s="6"/>
      <c r="O690" s="5"/>
    </row>
    <row r="691" spans="1:15" x14ac:dyDescent="0.2">
      <c r="A691" s="3" t="str">
        <f>IF($B691="","",COUNTA($B$9:$B691))</f>
        <v/>
      </c>
      <c r="B691" s="4"/>
      <c r="C691" s="4"/>
      <c r="D691" s="4"/>
      <c r="E691" s="5"/>
      <c r="F691" s="3" t="str">
        <f t="shared" si="34"/>
        <v/>
      </c>
      <c r="G691" s="4"/>
      <c r="H691" s="3" t="str">
        <f t="shared" si="35"/>
        <v/>
      </c>
      <c r="I691" s="5"/>
      <c r="J691" s="5"/>
      <c r="K691" s="6"/>
      <c r="L691" s="6"/>
      <c r="M691" s="7" t="str">
        <f t="shared" si="36"/>
        <v/>
      </c>
      <c r="N691" s="6"/>
      <c r="O691" s="5"/>
    </row>
    <row r="692" spans="1:15" x14ac:dyDescent="0.2">
      <c r="A692" s="3" t="str">
        <f>IF($B692="","",COUNTA($B$9:$B692))</f>
        <v/>
      </c>
      <c r="B692" s="4"/>
      <c r="C692" s="4"/>
      <c r="D692" s="4"/>
      <c r="E692" s="5"/>
      <c r="F692" s="3" t="str">
        <f t="shared" si="34"/>
        <v/>
      </c>
      <c r="G692" s="4"/>
      <c r="H692" s="3" t="str">
        <f t="shared" si="35"/>
        <v/>
      </c>
      <c r="I692" s="5"/>
      <c r="J692" s="5"/>
      <c r="K692" s="6"/>
      <c r="L692" s="6"/>
      <c r="M692" s="7" t="str">
        <f t="shared" si="36"/>
        <v/>
      </c>
      <c r="N692" s="6"/>
      <c r="O692" s="5"/>
    </row>
    <row r="693" spans="1:15" x14ac:dyDescent="0.2">
      <c r="A693" s="3" t="str">
        <f>IF($B693="","",COUNTA($B$9:$B693))</f>
        <v/>
      </c>
      <c r="B693" s="4"/>
      <c r="C693" s="4"/>
      <c r="D693" s="4"/>
      <c r="E693" s="5"/>
      <c r="F693" s="3" t="str">
        <f t="shared" si="34"/>
        <v/>
      </c>
      <c r="G693" s="4"/>
      <c r="H693" s="3" t="str">
        <f t="shared" si="35"/>
        <v/>
      </c>
      <c r="I693" s="5"/>
      <c r="J693" s="5"/>
      <c r="K693" s="6"/>
      <c r="L693" s="6"/>
      <c r="M693" s="7" t="str">
        <f t="shared" si="36"/>
        <v/>
      </c>
      <c r="N693" s="6"/>
      <c r="O693" s="5"/>
    </row>
    <row r="694" spans="1:15" x14ac:dyDescent="0.2">
      <c r="A694" s="3" t="str">
        <f>IF($B694="","",COUNTA($B$9:$B694))</f>
        <v/>
      </c>
      <c r="B694" s="4"/>
      <c r="C694" s="4"/>
      <c r="D694" s="4"/>
      <c r="E694" s="5"/>
      <c r="F694" s="3" t="str">
        <f t="shared" si="34"/>
        <v/>
      </c>
      <c r="G694" s="4"/>
      <c r="H694" s="3" t="str">
        <f t="shared" si="35"/>
        <v/>
      </c>
      <c r="I694" s="5"/>
      <c r="J694" s="5"/>
      <c r="K694" s="6"/>
      <c r="L694" s="6"/>
      <c r="M694" s="7" t="str">
        <f t="shared" si="36"/>
        <v/>
      </c>
      <c r="N694" s="6"/>
      <c r="O694" s="5"/>
    </row>
    <row r="695" spans="1:15" x14ac:dyDescent="0.2">
      <c r="A695" s="3" t="str">
        <f>IF($B695="","",COUNTA($B$9:$B695))</f>
        <v/>
      </c>
      <c r="B695" s="4"/>
      <c r="C695" s="4"/>
      <c r="D695" s="4"/>
      <c r="E695" s="5"/>
      <c r="F695" s="3" t="str">
        <f t="shared" si="34"/>
        <v/>
      </c>
      <c r="G695" s="4"/>
      <c r="H695" s="3" t="str">
        <f t="shared" si="35"/>
        <v/>
      </c>
      <c r="I695" s="5"/>
      <c r="J695" s="5"/>
      <c r="K695" s="6"/>
      <c r="L695" s="6"/>
      <c r="M695" s="7" t="str">
        <f t="shared" si="36"/>
        <v/>
      </c>
      <c r="N695" s="6"/>
      <c r="O695" s="5"/>
    </row>
    <row r="696" spans="1:15" x14ac:dyDescent="0.2">
      <c r="A696" s="3" t="str">
        <f>IF($B696="","",COUNTA($B$9:$B696))</f>
        <v/>
      </c>
      <c r="B696" s="4"/>
      <c r="C696" s="4"/>
      <c r="D696" s="4"/>
      <c r="E696" s="5"/>
      <c r="F696" s="3" t="str">
        <f t="shared" si="34"/>
        <v/>
      </c>
      <c r="G696" s="4"/>
      <c r="H696" s="3" t="str">
        <f t="shared" si="35"/>
        <v/>
      </c>
      <c r="I696" s="5"/>
      <c r="J696" s="5"/>
      <c r="K696" s="6"/>
      <c r="L696" s="6"/>
      <c r="M696" s="7" t="str">
        <f t="shared" si="36"/>
        <v/>
      </c>
      <c r="N696" s="6"/>
      <c r="O696" s="5"/>
    </row>
    <row r="697" spans="1:15" x14ac:dyDescent="0.2">
      <c r="A697" s="3" t="str">
        <f>IF($B697="","",COUNTA($B$9:$B697))</f>
        <v/>
      </c>
      <c r="B697" s="4"/>
      <c r="C697" s="4"/>
      <c r="D697" s="4"/>
      <c r="E697" s="5"/>
      <c r="F697" s="3" t="str">
        <f t="shared" si="34"/>
        <v/>
      </c>
      <c r="G697" s="4"/>
      <c r="H697" s="3" t="str">
        <f t="shared" si="35"/>
        <v/>
      </c>
      <c r="I697" s="5"/>
      <c r="J697" s="5"/>
      <c r="K697" s="6"/>
      <c r="L697" s="6"/>
      <c r="M697" s="7" t="str">
        <f t="shared" si="36"/>
        <v/>
      </c>
      <c r="N697" s="6"/>
      <c r="O697" s="5"/>
    </row>
    <row r="698" spans="1:15" x14ac:dyDescent="0.2">
      <c r="A698" s="3" t="str">
        <f>IF($B698="","",COUNTA($B$9:$B698))</f>
        <v/>
      </c>
      <c r="B698" s="4"/>
      <c r="C698" s="4"/>
      <c r="D698" s="4"/>
      <c r="E698" s="5"/>
      <c r="F698" s="3" t="str">
        <f t="shared" si="34"/>
        <v/>
      </c>
      <c r="G698" s="4"/>
      <c r="H698" s="3" t="str">
        <f t="shared" si="35"/>
        <v/>
      </c>
      <c r="I698" s="5"/>
      <c r="J698" s="5"/>
      <c r="K698" s="6"/>
      <c r="L698" s="6"/>
      <c r="M698" s="7" t="str">
        <f t="shared" si="36"/>
        <v/>
      </c>
      <c r="N698" s="6"/>
      <c r="O698" s="5"/>
    </row>
    <row r="699" spans="1:15" x14ac:dyDescent="0.2">
      <c r="A699" s="3" t="str">
        <f>IF($B699="","",COUNTA($B$9:$B699))</f>
        <v/>
      </c>
      <c r="B699" s="4"/>
      <c r="C699" s="4"/>
      <c r="D699" s="4"/>
      <c r="E699" s="5"/>
      <c r="F699" s="3" t="str">
        <f t="shared" si="34"/>
        <v/>
      </c>
      <c r="G699" s="4"/>
      <c r="H699" s="3" t="str">
        <f t="shared" si="35"/>
        <v/>
      </c>
      <c r="I699" s="5"/>
      <c r="J699" s="5"/>
      <c r="K699" s="6"/>
      <c r="L699" s="6"/>
      <c r="M699" s="7" t="str">
        <f t="shared" si="36"/>
        <v/>
      </c>
      <c r="N699" s="6"/>
      <c r="O699" s="5"/>
    </row>
    <row r="700" spans="1:15" x14ac:dyDescent="0.2">
      <c r="A700" s="3" t="str">
        <f>IF($B700="","",COUNTA($B$9:$B700))</f>
        <v/>
      </c>
      <c r="B700" s="4"/>
      <c r="C700" s="4"/>
      <c r="D700" s="4"/>
      <c r="E700" s="5"/>
      <c r="F700" s="3" t="str">
        <f t="shared" si="34"/>
        <v/>
      </c>
      <c r="G700" s="4"/>
      <c r="H700" s="3" t="str">
        <f t="shared" si="35"/>
        <v/>
      </c>
      <c r="I700" s="5"/>
      <c r="J700" s="5"/>
      <c r="K700" s="6"/>
      <c r="L700" s="6"/>
      <c r="M700" s="7" t="str">
        <f t="shared" si="36"/>
        <v/>
      </c>
      <c r="N700" s="6"/>
      <c r="O700" s="5"/>
    </row>
    <row r="701" spans="1:15" x14ac:dyDescent="0.2">
      <c r="A701" s="3" t="str">
        <f>IF($B701="","",COUNTA($B$9:$B701))</f>
        <v/>
      </c>
      <c r="B701" s="4"/>
      <c r="C701" s="4"/>
      <c r="D701" s="4"/>
      <c r="E701" s="5"/>
      <c r="F701" s="3" t="str">
        <f t="shared" si="34"/>
        <v/>
      </c>
      <c r="G701" s="4"/>
      <c r="H701" s="3" t="str">
        <f t="shared" si="35"/>
        <v/>
      </c>
      <c r="I701" s="5"/>
      <c r="J701" s="5"/>
      <c r="K701" s="6"/>
      <c r="L701" s="6"/>
      <c r="M701" s="7" t="str">
        <f t="shared" si="36"/>
        <v/>
      </c>
      <c r="N701" s="6"/>
      <c r="O701" s="5"/>
    </row>
    <row r="702" spans="1:15" x14ac:dyDescent="0.2">
      <c r="A702" s="3" t="str">
        <f>IF($B702="","",COUNTA($B$9:$B702))</f>
        <v/>
      </c>
      <c r="B702" s="4"/>
      <c r="C702" s="4"/>
      <c r="D702" s="4"/>
      <c r="E702" s="5"/>
      <c r="F702" s="3" t="str">
        <f t="shared" si="34"/>
        <v/>
      </c>
      <c r="G702" s="4"/>
      <c r="H702" s="3" t="str">
        <f t="shared" si="35"/>
        <v/>
      </c>
      <c r="I702" s="5"/>
      <c r="J702" s="5"/>
      <c r="K702" s="6"/>
      <c r="L702" s="6"/>
      <c r="M702" s="7" t="str">
        <f t="shared" si="36"/>
        <v/>
      </c>
      <c r="N702" s="6"/>
      <c r="O702" s="5"/>
    </row>
    <row r="703" spans="1:15" x14ac:dyDescent="0.2">
      <c r="A703" s="3" t="str">
        <f>IF($B703="","",COUNTA($B$9:$B703))</f>
        <v/>
      </c>
      <c r="B703" s="4"/>
      <c r="C703" s="4"/>
      <c r="D703" s="4"/>
      <c r="E703" s="5"/>
      <c r="F703" s="3" t="str">
        <f t="shared" si="34"/>
        <v/>
      </c>
      <c r="G703" s="4"/>
      <c r="H703" s="3" t="str">
        <f t="shared" si="35"/>
        <v/>
      </c>
      <c r="I703" s="5"/>
      <c r="J703" s="5"/>
      <c r="K703" s="6"/>
      <c r="L703" s="6"/>
      <c r="M703" s="7" t="str">
        <f t="shared" si="36"/>
        <v/>
      </c>
      <c r="N703" s="6"/>
      <c r="O703" s="5"/>
    </row>
    <row r="704" spans="1:15" x14ac:dyDescent="0.2">
      <c r="A704" s="3" t="str">
        <f>IF($B704="","",COUNTA($B$9:$B704))</f>
        <v/>
      </c>
      <c r="B704" s="4"/>
      <c r="C704" s="4"/>
      <c r="D704" s="4"/>
      <c r="E704" s="5"/>
      <c r="F704" s="3" t="str">
        <f t="shared" si="34"/>
        <v/>
      </c>
      <c r="G704" s="4"/>
      <c r="H704" s="3" t="str">
        <f t="shared" si="35"/>
        <v/>
      </c>
      <c r="I704" s="5"/>
      <c r="J704" s="5"/>
      <c r="K704" s="6"/>
      <c r="L704" s="6"/>
      <c r="M704" s="7" t="str">
        <f t="shared" si="36"/>
        <v/>
      </c>
      <c r="N704" s="6"/>
      <c r="O704" s="5"/>
    </row>
    <row r="705" spans="1:15" x14ac:dyDescent="0.2">
      <c r="A705" s="3" t="str">
        <f>IF($B705="","",COUNTA($B$9:$B705))</f>
        <v/>
      </c>
      <c r="B705" s="4"/>
      <c r="C705" s="4"/>
      <c r="D705" s="4"/>
      <c r="E705" s="5"/>
      <c r="F705" s="3" t="str">
        <f t="shared" si="34"/>
        <v/>
      </c>
      <c r="G705" s="4"/>
      <c r="H705" s="3" t="str">
        <f t="shared" si="35"/>
        <v/>
      </c>
      <c r="I705" s="5"/>
      <c r="J705" s="5"/>
      <c r="K705" s="6"/>
      <c r="L705" s="6"/>
      <c r="M705" s="7" t="str">
        <f t="shared" si="36"/>
        <v/>
      </c>
      <c r="N705" s="6"/>
      <c r="O705" s="5"/>
    </row>
    <row r="706" spans="1:15" x14ac:dyDescent="0.2">
      <c r="A706" s="3" t="str">
        <f>IF($B706="","",COUNTA($B$9:$B706))</f>
        <v/>
      </c>
      <c r="B706" s="4"/>
      <c r="C706" s="4"/>
      <c r="D706" s="4"/>
      <c r="E706" s="5"/>
      <c r="F706" s="3" t="str">
        <f t="shared" si="34"/>
        <v/>
      </c>
      <c r="G706" s="4"/>
      <c r="H706" s="3" t="str">
        <f t="shared" si="35"/>
        <v/>
      </c>
      <c r="I706" s="5"/>
      <c r="J706" s="5"/>
      <c r="K706" s="6"/>
      <c r="L706" s="6"/>
      <c r="M706" s="7" t="str">
        <f t="shared" si="36"/>
        <v/>
      </c>
      <c r="N706" s="6"/>
      <c r="O706" s="5"/>
    </row>
    <row r="707" spans="1:15" x14ac:dyDescent="0.2">
      <c r="A707" s="3" t="str">
        <f>IF($B707="","",COUNTA($B$9:$B707))</f>
        <v/>
      </c>
      <c r="B707" s="4"/>
      <c r="C707" s="4"/>
      <c r="D707" s="4"/>
      <c r="E707" s="5"/>
      <c r="F707" s="3" t="str">
        <f t="shared" si="34"/>
        <v/>
      </c>
      <c r="G707" s="4"/>
      <c r="H707" s="3" t="str">
        <f t="shared" si="35"/>
        <v/>
      </c>
      <c r="I707" s="5"/>
      <c r="J707" s="5"/>
      <c r="K707" s="6"/>
      <c r="L707" s="6"/>
      <c r="M707" s="7" t="str">
        <f t="shared" si="36"/>
        <v/>
      </c>
      <c r="N707" s="6"/>
      <c r="O707" s="5"/>
    </row>
    <row r="708" spans="1:15" x14ac:dyDescent="0.2">
      <c r="A708" s="3" t="str">
        <f>IF($B708="","",COUNTA($B$9:$B708))</f>
        <v/>
      </c>
      <c r="B708" s="4"/>
      <c r="C708" s="4"/>
      <c r="D708" s="4"/>
      <c r="E708" s="5"/>
      <c r="F708" s="3" t="str">
        <f t="shared" si="34"/>
        <v/>
      </c>
      <c r="G708" s="4"/>
      <c r="H708" s="3" t="str">
        <f t="shared" si="35"/>
        <v/>
      </c>
      <c r="I708" s="5"/>
      <c r="J708" s="5"/>
      <c r="K708" s="6"/>
      <c r="L708" s="6"/>
      <c r="M708" s="7" t="str">
        <f t="shared" si="36"/>
        <v/>
      </c>
      <c r="N708" s="6"/>
      <c r="O708" s="5"/>
    </row>
    <row r="709" spans="1:15" x14ac:dyDescent="0.2">
      <c r="A709" s="3" t="str">
        <f>IF($B709="","",COUNTA($B$9:$B709))</f>
        <v/>
      </c>
      <c r="B709" s="4"/>
      <c r="C709" s="4"/>
      <c r="D709" s="4"/>
      <c r="E709" s="5"/>
      <c r="F709" s="3" t="str">
        <f t="shared" si="34"/>
        <v/>
      </c>
      <c r="G709" s="4"/>
      <c r="H709" s="3" t="str">
        <f t="shared" si="35"/>
        <v/>
      </c>
      <c r="I709" s="5"/>
      <c r="J709" s="5"/>
      <c r="K709" s="6"/>
      <c r="L709" s="6"/>
      <c r="M709" s="7" t="str">
        <f t="shared" si="36"/>
        <v/>
      </c>
      <c r="N709" s="6"/>
      <c r="O709" s="5"/>
    </row>
    <row r="710" spans="1:15" x14ac:dyDescent="0.2">
      <c r="A710" s="3" t="str">
        <f>IF($B710="","",COUNTA($B$9:$B710))</f>
        <v/>
      </c>
      <c r="B710" s="4"/>
      <c r="C710" s="4"/>
      <c r="D710" s="4"/>
      <c r="E710" s="5"/>
      <c r="F710" s="3" t="str">
        <f t="shared" si="34"/>
        <v/>
      </c>
      <c r="G710" s="4"/>
      <c r="H710" s="3" t="str">
        <f t="shared" si="35"/>
        <v/>
      </c>
      <c r="I710" s="5"/>
      <c r="J710" s="5"/>
      <c r="K710" s="6"/>
      <c r="L710" s="6"/>
      <c r="M710" s="7" t="str">
        <f t="shared" si="36"/>
        <v/>
      </c>
      <c r="N710" s="6"/>
      <c r="O710" s="5"/>
    </row>
    <row r="711" spans="1:15" x14ac:dyDescent="0.2">
      <c r="A711" s="3" t="str">
        <f>IF($B711="","",COUNTA($B$9:$B711))</f>
        <v/>
      </c>
      <c r="B711" s="4"/>
      <c r="C711" s="4"/>
      <c r="D711" s="4"/>
      <c r="E711" s="5"/>
      <c r="F711" s="3" t="str">
        <f t="shared" si="34"/>
        <v/>
      </c>
      <c r="G711" s="4"/>
      <c r="H711" s="3" t="str">
        <f t="shared" si="35"/>
        <v/>
      </c>
      <c r="I711" s="5"/>
      <c r="J711" s="5"/>
      <c r="K711" s="6"/>
      <c r="L711" s="6"/>
      <c r="M711" s="7" t="str">
        <f t="shared" si="36"/>
        <v/>
      </c>
      <c r="N711" s="6"/>
      <c r="O711" s="5"/>
    </row>
    <row r="712" spans="1:15" x14ac:dyDescent="0.2">
      <c r="A712" s="3" t="str">
        <f>IF($B712="","",COUNTA($B$9:$B712))</f>
        <v/>
      </c>
      <c r="B712" s="4"/>
      <c r="C712" s="4"/>
      <c r="D712" s="4"/>
      <c r="E712" s="5"/>
      <c r="F712" s="3" t="str">
        <f t="shared" ref="F712:F775" si="37">IF($E712="","",IFERROR(VLOOKUP($E712,OpTbl,2,0),""))</f>
        <v/>
      </c>
      <c r="G712" s="4"/>
      <c r="H712" s="3" t="str">
        <f t="shared" ref="H712:H775" si="38">IF($G712="","",IFERROR(IF(VLOOKUP($G712,AcctTbl,4,0)="","(بدون نام)",VLOOKUP($G712,AcctTbl,4,0)),"کد ناشناخته"))</f>
        <v/>
      </c>
      <c r="I712" s="5"/>
      <c r="J712" s="5"/>
      <c r="K712" s="6"/>
      <c r="L712" s="6"/>
      <c r="M712" s="7" t="str">
        <f t="shared" ref="M712:M775" si="39">IF(OR($B712="",$K712=""),"",($K712-IF($L712="",0,$L712)*IFERROR(VLOOKUP("P01",ParamTbl,3,0),1.5))*(1-IF(IFERROR(VLOOKUP($E712,OpTbl,3,0),"")="خرید",IFERROR(VLOOKUP("P02",ParamTbl,3,0),1),0)/100))</f>
        <v/>
      </c>
      <c r="N712" s="6"/>
      <c r="O712" s="5"/>
    </row>
    <row r="713" spans="1:15" x14ac:dyDescent="0.2">
      <c r="A713" s="3" t="str">
        <f>IF($B713="","",COUNTA($B$9:$B713))</f>
        <v/>
      </c>
      <c r="B713" s="4"/>
      <c r="C713" s="4"/>
      <c r="D713" s="4"/>
      <c r="E713" s="5"/>
      <c r="F713" s="3" t="str">
        <f t="shared" si="37"/>
        <v/>
      </c>
      <c r="G713" s="4"/>
      <c r="H713" s="3" t="str">
        <f t="shared" si="38"/>
        <v/>
      </c>
      <c r="I713" s="5"/>
      <c r="J713" s="5"/>
      <c r="K713" s="6"/>
      <c r="L713" s="6"/>
      <c r="M713" s="7" t="str">
        <f t="shared" si="39"/>
        <v/>
      </c>
      <c r="N713" s="6"/>
      <c r="O713" s="5"/>
    </row>
    <row r="714" spans="1:15" x14ac:dyDescent="0.2">
      <c r="A714" s="3" t="str">
        <f>IF($B714="","",COUNTA($B$9:$B714))</f>
        <v/>
      </c>
      <c r="B714" s="4"/>
      <c r="C714" s="4"/>
      <c r="D714" s="4"/>
      <c r="E714" s="5"/>
      <c r="F714" s="3" t="str">
        <f t="shared" si="37"/>
        <v/>
      </c>
      <c r="G714" s="4"/>
      <c r="H714" s="3" t="str">
        <f t="shared" si="38"/>
        <v/>
      </c>
      <c r="I714" s="5"/>
      <c r="J714" s="5"/>
      <c r="K714" s="6"/>
      <c r="L714" s="6"/>
      <c r="M714" s="7" t="str">
        <f t="shared" si="39"/>
        <v/>
      </c>
      <c r="N714" s="6"/>
      <c r="O714" s="5"/>
    </row>
    <row r="715" spans="1:15" x14ac:dyDescent="0.2">
      <c r="A715" s="3" t="str">
        <f>IF($B715="","",COUNTA($B$9:$B715))</f>
        <v/>
      </c>
      <c r="B715" s="4"/>
      <c r="C715" s="4"/>
      <c r="D715" s="4"/>
      <c r="E715" s="5"/>
      <c r="F715" s="3" t="str">
        <f t="shared" si="37"/>
        <v/>
      </c>
      <c r="G715" s="4"/>
      <c r="H715" s="3" t="str">
        <f t="shared" si="38"/>
        <v/>
      </c>
      <c r="I715" s="5"/>
      <c r="J715" s="5"/>
      <c r="K715" s="6"/>
      <c r="L715" s="6"/>
      <c r="M715" s="7" t="str">
        <f t="shared" si="39"/>
        <v/>
      </c>
      <c r="N715" s="6"/>
      <c r="O715" s="5"/>
    </row>
    <row r="716" spans="1:15" x14ac:dyDescent="0.2">
      <c r="A716" s="3" t="str">
        <f>IF($B716="","",COUNTA($B$9:$B716))</f>
        <v/>
      </c>
      <c r="B716" s="4"/>
      <c r="C716" s="4"/>
      <c r="D716" s="4"/>
      <c r="E716" s="5"/>
      <c r="F716" s="3" t="str">
        <f t="shared" si="37"/>
        <v/>
      </c>
      <c r="G716" s="4"/>
      <c r="H716" s="3" t="str">
        <f t="shared" si="38"/>
        <v/>
      </c>
      <c r="I716" s="5"/>
      <c r="J716" s="5"/>
      <c r="K716" s="6"/>
      <c r="L716" s="6"/>
      <c r="M716" s="7" t="str">
        <f t="shared" si="39"/>
        <v/>
      </c>
      <c r="N716" s="6"/>
      <c r="O716" s="5"/>
    </row>
    <row r="717" spans="1:15" x14ac:dyDescent="0.2">
      <c r="A717" s="3" t="str">
        <f>IF($B717="","",COUNTA($B$9:$B717))</f>
        <v/>
      </c>
      <c r="B717" s="4"/>
      <c r="C717" s="4"/>
      <c r="D717" s="4"/>
      <c r="E717" s="5"/>
      <c r="F717" s="3" t="str">
        <f t="shared" si="37"/>
        <v/>
      </c>
      <c r="G717" s="4"/>
      <c r="H717" s="3" t="str">
        <f t="shared" si="38"/>
        <v/>
      </c>
      <c r="I717" s="5"/>
      <c r="J717" s="5"/>
      <c r="K717" s="6"/>
      <c r="L717" s="6"/>
      <c r="M717" s="7" t="str">
        <f t="shared" si="39"/>
        <v/>
      </c>
      <c r="N717" s="6"/>
      <c r="O717" s="5"/>
    </row>
    <row r="718" spans="1:15" x14ac:dyDescent="0.2">
      <c r="A718" s="3" t="str">
        <f>IF($B718="","",COUNTA($B$9:$B718))</f>
        <v/>
      </c>
      <c r="B718" s="4"/>
      <c r="C718" s="4"/>
      <c r="D718" s="4"/>
      <c r="E718" s="5"/>
      <c r="F718" s="3" t="str">
        <f t="shared" si="37"/>
        <v/>
      </c>
      <c r="G718" s="4"/>
      <c r="H718" s="3" t="str">
        <f t="shared" si="38"/>
        <v/>
      </c>
      <c r="I718" s="5"/>
      <c r="J718" s="5"/>
      <c r="K718" s="6"/>
      <c r="L718" s="6"/>
      <c r="M718" s="7" t="str">
        <f t="shared" si="39"/>
        <v/>
      </c>
      <c r="N718" s="6"/>
      <c r="O718" s="5"/>
    </row>
    <row r="719" spans="1:15" x14ac:dyDescent="0.2">
      <c r="A719" s="3" t="str">
        <f>IF($B719="","",COUNTA($B$9:$B719))</f>
        <v/>
      </c>
      <c r="B719" s="4"/>
      <c r="C719" s="4"/>
      <c r="D719" s="4"/>
      <c r="E719" s="5"/>
      <c r="F719" s="3" t="str">
        <f t="shared" si="37"/>
        <v/>
      </c>
      <c r="G719" s="4"/>
      <c r="H719" s="3" t="str">
        <f t="shared" si="38"/>
        <v/>
      </c>
      <c r="I719" s="5"/>
      <c r="J719" s="5"/>
      <c r="K719" s="6"/>
      <c r="L719" s="6"/>
      <c r="M719" s="7" t="str">
        <f t="shared" si="39"/>
        <v/>
      </c>
      <c r="N719" s="6"/>
      <c r="O719" s="5"/>
    </row>
    <row r="720" spans="1:15" x14ac:dyDescent="0.2">
      <c r="A720" s="3" t="str">
        <f>IF($B720="","",COUNTA($B$9:$B720))</f>
        <v/>
      </c>
      <c r="B720" s="4"/>
      <c r="C720" s="4"/>
      <c r="D720" s="4"/>
      <c r="E720" s="5"/>
      <c r="F720" s="3" t="str">
        <f t="shared" si="37"/>
        <v/>
      </c>
      <c r="G720" s="4"/>
      <c r="H720" s="3" t="str">
        <f t="shared" si="38"/>
        <v/>
      </c>
      <c r="I720" s="5"/>
      <c r="J720" s="5"/>
      <c r="K720" s="6"/>
      <c r="L720" s="6"/>
      <c r="M720" s="7" t="str">
        <f t="shared" si="39"/>
        <v/>
      </c>
      <c r="N720" s="6"/>
      <c r="O720" s="5"/>
    </row>
    <row r="721" spans="1:15" x14ac:dyDescent="0.2">
      <c r="A721" s="3" t="str">
        <f>IF($B721="","",COUNTA($B$9:$B721))</f>
        <v/>
      </c>
      <c r="B721" s="4"/>
      <c r="C721" s="4"/>
      <c r="D721" s="4"/>
      <c r="E721" s="5"/>
      <c r="F721" s="3" t="str">
        <f t="shared" si="37"/>
        <v/>
      </c>
      <c r="G721" s="4"/>
      <c r="H721" s="3" t="str">
        <f t="shared" si="38"/>
        <v/>
      </c>
      <c r="I721" s="5"/>
      <c r="J721" s="5"/>
      <c r="K721" s="6"/>
      <c r="L721" s="6"/>
      <c r="M721" s="7" t="str">
        <f t="shared" si="39"/>
        <v/>
      </c>
      <c r="N721" s="6"/>
      <c r="O721" s="5"/>
    </row>
    <row r="722" spans="1:15" x14ac:dyDescent="0.2">
      <c r="A722" s="3" t="str">
        <f>IF($B722="","",COUNTA($B$9:$B722))</f>
        <v/>
      </c>
      <c r="B722" s="4"/>
      <c r="C722" s="4"/>
      <c r="D722" s="4"/>
      <c r="E722" s="5"/>
      <c r="F722" s="3" t="str">
        <f t="shared" si="37"/>
        <v/>
      </c>
      <c r="G722" s="4"/>
      <c r="H722" s="3" t="str">
        <f t="shared" si="38"/>
        <v/>
      </c>
      <c r="I722" s="5"/>
      <c r="J722" s="5"/>
      <c r="K722" s="6"/>
      <c r="L722" s="6"/>
      <c r="M722" s="7" t="str">
        <f t="shared" si="39"/>
        <v/>
      </c>
      <c r="N722" s="6"/>
      <c r="O722" s="5"/>
    </row>
    <row r="723" spans="1:15" x14ac:dyDescent="0.2">
      <c r="A723" s="3" t="str">
        <f>IF($B723="","",COUNTA($B$9:$B723))</f>
        <v/>
      </c>
      <c r="B723" s="4"/>
      <c r="C723" s="4"/>
      <c r="D723" s="4"/>
      <c r="E723" s="5"/>
      <c r="F723" s="3" t="str">
        <f t="shared" si="37"/>
        <v/>
      </c>
      <c r="G723" s="4"/>
      <c r="H723" s="3" t="str">
        <f t="shared" si="38"/>
        <v/>
      </c>
      <c r="I723" s="5"/>
      <c r="J723" s="5"/>
      <c r="K723" s="6"/>
      <c r="L723" s="6"/>
      <c r="M723" s="7" t="str">
        <f t="shared" si="39"/>
        <v/>
      </c>
      <c r="N723" s="6"/>
      <c r="O723" s="5"/>
    </row>
    <row r="724" spans="1:15" x14ac:dyDescent="0.2">
      <c r="A724" s="3" t="str">
        <f>IF($B724="","",COUNTA($B$9:$B724))</f>
        <v/>
      </c>
      <c r="B724" s="4"/>
      <c r="C724" s="4"/>
      <c r="D724" s="4"/>
      <c r="E724" s="5"/>
      <c r="F724" s="3" t="str">
        <f t="shared" si="37"/>
        <v/>
      </c>
      <c r="G724" s="4"/>
      <c r="H724" s="3" t="str">
        <f t="shared" si="38"/>
        <v/>
      </c>
      <c r="I724" s="5"/>
      <c r="J724" s="5"/>
      <c r="K724" s="6"/>
      <c r="L724" s="6"/>
      <c r="M724" s="7" t="str">
        <f t="shared" si="39"/>
        <v/>
      </c>
      <c r="N724" s="6"/>
      <c r="O724" s="5"/>
    </row>
    <row r="725" spans="1:15" x14ac:dyDescent="0.2">
      <c r="A725" s="3" t="str">
        <f>IF($B725="","",COUNTA($B$9:$B725))</f>
        <v/>
      </c>
      <c r="B725" s="4"/>
      <c r="C725" s="4"/>
      <c r="D725" s="4"/>
      <c r="E725" s="5"/>
      <c r="F725" s="3" t="str">
        <f t="shared" si="37"/>
        <v/>
      </c>
      <c r="G725" s="4"/>
      <c r="H725" s="3" t="str">
        <f t="shared" si="38"/>
        <v/>
      </c>
      <c r="I725" s="5"/>
      <c r="J725" s="5"/>
      <c r="K725" s="6"/>
      <c r="L725" s="6"/>
      <c r="M725" s="7" t="str">
        <f t="shared" si="39"/>
        <v/>
      </c>
      <c r="N725" s="6"/>
      <c r="O725" s="5"/>
    </row>
    <row r="726" spans="1:15" x14ac:dyDescent="0.2">
      <c r="A726" s="3" t="str">
        <f>IF($B726="","",COUNTA($B$9:$B726))</f>
        <v/>
      </c>
      <c r="B726" s="4"/>
      <c r="C726" s="4"/>
      <c r="D726" s="4"/>
      <c r="E726" s="5"/>
      <c r="F726" s="3" t="str">
        <f t="shared" si="37"/>
        <v/>
      </c>
      <c r="G726" s="4"/>
      <c r="H726" s="3" t="str">
        <f t="shared" si="38"/>
        <v/>
      </c>
      <c r="I726" s="5"/>
      <c r="J726" s="5"/>
      <c r="K726" s="6"/>
      <c r="L726" s="6"/>
      <c r="M726" s="7" t="str">
        <f t="shared" si="39"/>
        <v/>
      </c>
      <c r="N726" s="6"/>
      <c r="O726" s="5"/>
    </row>
    <row r="727" spans="1:15" x14ac:dyDescent="0.2">
      <c r="A727" s="3" t="str">
        <f>IF($B727="","",COUNTA($B$9:$B727))</f>
        <v/>
      </c>
      <c r="B727" s="4"/>
      <c r="C727" s="4"/>
      <c r="D727" s="4"/>
      <c r="E727" s="5"/>
      <c r="F727" s="3" t="str">
        <f t="shared" si="37"/>
        <v/>
      </c>
      <c r="G727" s="4"/>
      <c r="H727" s="3" t="str">
        <f t="shared" si="38"/>
        <v/>
      </c>
      <c r="I727" s="5"/>
      <c r="J727" s="5"/>
      <c r="K727" s="6"/>
      <c r="L727" s="6"/>
      <c r="M727" s="7" t="str">
        <f t="shared" si="39"/>
        <v/>
      </c>
      <c r="N727" s="6"/>
      <c r="O727" s="5"/>
    </row>
    <row r="728" spans="1:15" x14ac:dyDescent="0.2">
      <c r="A728" s="3" t="str">
        <f>IF($B728="","",COUNTA($B$9:$B728))</f>
        <v/>
      </c>
      <c r="B728" s="4"/>
      <c r="C728" s="4"/>
      <c r="D728" s="4"/>
      <c r="E728" s="5"/>
      <c r="F728" s="3" t="str">
        <f t="shared" si="37"/>
        <v/>
      </c>
      <c r="G728" s="4"/>
      <c r="H728" s="3" t="str">
        <f t="shared" si="38"/>
        <v/>
      </c>
      <c r="I728" s="5"/>
      <c r="J728" s="5"/>
      <c r="K728" s="6"/>
      <c r="L728" s="6"/>
      <c r="M728" s="7" t="str">
        <f t="shared" si="39"/>
        <v/>
      </c>
      <c r="N728" s="6"/>
      <c r="O728" s="5"/>
    </row>
    <row r="729" spans="1:15" x14ac:dyDescent="0.2">
      <c r="A729" s="3" t="str">
        <f>IF($B729="","",COUNTA($B$9:$B729))</f>
        <v/>
      </c>
      <c r="B729" s="4"/>
      <c r="C729" s="4"/>
      <c r="D729" s="4"/>
      <c r="E729" s="5"/>
      <c r="F729" s="3" t="str">
        <f t="shared" si="37"/>
        <v/>
      </c>
      <c r="G729" s="4"/>
      <c r="H729" s="3" t="str">
        <f t="shared" si="38"/>
        <v/>
      </c>
      <c r="I729" s="5"/>
      <c r="J729" s="5"/>
      <c r="K729" s="6"/>
      <c r="L729" s="6"/>
      <c r="M729" s="7" t="str">
        <f t="shared" si="39"/>
        <v/>
      </c>
      <c r="N729" s="6"/>
      <c r="O729" s="5"/>
    </row>
    <row r="730" spans="1:15" x14ac:dyDescent="0.2">
      <c r="A730" s="3" t="str">
        <f>IF($B730="","",COUNTA($B$9:$B730))</f>
        <v/>
      </c>
      <c r="B730" s="4"/>
      <c r="C730" s="4"/>
      <c r="D730" s="4"/>
      <c r="E730" s="5"/>
      <c r="F730" s="3" t="str">
        <f t="shared" si="37"/>
        <v/>
      </c>
      <c r="G730" s="4"/>
      <c r="H730" s="3" t="str">
        <f t="shared" si="38"/>
        <v/>
      </c>
      <c r="I730" s="5"/>
      <c r="J730" s="5"/>
      <c r="K730" s="6"/>
      <c r="L730" s="6"/>
      <c r="M730" s="7" t="str">
        <f t="shared" si="39"/>
        <v/>
      </c>
      <c r="N730" s="6"/>
      <c r="O730" s="5"/>
    </row>
    <row r="731" spans="1:15" x14ac:dyDescent="0.2">
      <c r="A731" s="3" t="str">
        <f>IF($B731="","",COUNTA($B$9:$B731))</f>
        <v/>
      </c>
      <c r="B731" s="4"/>
      <c r="C731" s="4"/>
      <c r="D731" s="4"/>
      <c r="E731" s="5"/>
      <c r="F731" s="3" t="str">
        <f t="shared" si="37"/>
        <v/>
      </c>
      <c r="G731" s="4"/>
      <c r="H731" s="3" t="str">
        <f t="shared" si="38"/>
        <v/>
      </c>
      <c r="I731" s="5"/>
      <c r="J731" s="5"/>
      <c r="K731" s="6"/>
      <c r="L731" s="6"/>
      <c r="M731" s="7" t="str">
        <f t="shared" si="39"/>
        <v/>
      </c>
      <c r="N731" s="6"/>
      <c r="O731" s="5"/>
    </row>
    <row r="732" spans="1:15" x14ac:dyDescent="0.2">
      <c r="A732" s="3" t="str">
        <f>IF($B732="","",COUNTA($B$9:$B732))</f>
        <v/>
      </c>
      <c r="B732" s="4"/>
      <c r="C732" s="4"/>
      <c r="D732" s="4"/>
      <c r="E732" s="5"/>
      <c r="F732" s="3" t="str">
        <f t="shared" si="37"/>
        <v/>
      </c>
      <c r="G732" s="4"/>
      <c r="H732" s="3" t="str">
        <f t="shared" si="38"/>
        <v/>
      </c>
      <c r="I732" s="5"/>
      <c r="J732" s="5"/>
      <c r="K732" s="6"/>
      <c r="L732" s="6"/>
      <c r="M732" s="7" t="str">
        <f t="shared" si="39"/>
        <v/>
      </c>
      <c r="N732" s="6"/>
      <c r="O732" s="5"/>
    </row>
    <row r="733" spans="1:15" x14ac:dyDescent="0.2">
      <c r="A733" s="3" t="str">
        <f>IF($B733="","",COUNTA($B$9:$B733))</f>
        <v/>
      </c>
      <c r="B733" s="4"/>
      <c r="C733" s="4"/>
      <c r="D733" s="4"/>
      <c r="E733" s="5"/>
      <c r="F733" s="3" t="str">
        <f t="shared" si="37"/>
        <v/>
      </c>
      <c r="G733" s="4"/>
      <c r="H733" s="3" t="str">
        <f t="shared" si="38"/>
        <v/>
      </c>
      <c r="I733" s="5"/>
      <c r="J733" s="5"/>
      <c r="K733" s="6"/>
      <c r="L733" s="6"/>
      <c r="M733" s="7" t="str">
        <f t="shared" si="39"/>
        <v/>
      </c>
      <c r="N733" s="6"/>
      <c r="O733" s="5"/>
    </row>
    <row r="734" spans="1:15" x14ac:dyDescent="0.2">
      <c r="A734" s="3" t="str">
        <f>IF($B734="","",COUNTA($B$9:$B734))</f>
        <v/>
      </c>
      <c r="B734" s="4"/>
      <c r="C734" s="4"/>
      <c r="D734" s="4"/>
      <c r="E734" s="5"/>
      <c r="F734" s="3" t="str">
        <f t="shared" si="37"/>
        <v/>
      </c>
      <c r="G734" s="4"/>
      <c r="H734" s="3" t="str">
        <f t="shared" si="38"/>
        <v/>
      </c>
      <c r="I734" s="5"/>
      <c r="J734" s="5"/>
      <c r="K734" s="6"/>
      <c r="L734" s="6"/>
      <c r="M734" s="7" t="str">
        <f t="shared" si="39"/>
        <v/>
      </c>
      <c r="N734" s="6"/>
      <c r="O734" s="5"/>
    </row>
    <row r="735" spans="1:15" x14ac:dyDescent="0.2">
      <c r="A735" s="3" t="str">
        <f>IF($B735="","",COUNTA($B$9:$B735))</f>
        <v/>
      </c>
      <c r="B735" s="4"/>
      <c r="C735" s="4"/>
      <c r="D735" s="4"/>
      <c r="E735" s="5"/>
      <c r="F735" s="3" t="str">
        <f t="shared" si="37"/>
        <v/>
      </c>
      <c r="G735" s="4"/>
      <c r="H735" s="3" t="str">
        <f t="shared" si="38"/>
        <v/>
      </c>
      <c r="I735" s="5"/>
      <c r="J735" s="5"/>
      <c r="K735" s="6"/>
      <c r="L735" s="6"/>
      <c r="M735" s="7" t="str">
        <f t="shared" si="39"/>
        <v/>
      </c>
      <c r="N735" s="6"/>
      <c r="O735" s="5"/>
    </row>
    <row r="736" spans="1:15" x14ac:dyDescent="0.2">
      <c r="A736" s="3" t="str">
        <f>IF($B736="","",COUNTA($B$9:$B736))</f>
        <v/>
      </c>
      <c r="B736" s="4"/>
      <c r="C736" s="4"/>
      <c r="D736" s="4"/>
      <c r="E736" s="5"/>
      <c r="F736" s="3" t="str">
        <f t="shared" si="37"/>
        <v/>
      </c>
      <c r="G736" s="4"/>
      <c r="H736" s="3" t="str">
        <f t="shared" si="38"/>
        <v/>
      </c>
      <c r="I736" s="5"/>
      <c r="J736" s="5"/>
      <c r="K736" s="6"/>
      <c r="L736" s="6"/>
      <c r="M736" s="7" t="str">
        <f t="shared" si="39"/>
        <v/>
      </c>
      <c r="N736" s="6"/>
      <c r="O736" s="5"/>
    </row>
    <row r="737" spans="1:15" x14ac:dyDescent="0.2">
      <c r="A737" s="3" t="str">
        <f>IF($B737="","",COUNTA($B$9:$B737))</f>
        <v/>
      </c>
      <c r="B737" s="4"/>
      <c r="C737" s="4"/>
      <c r="D737" s="4"/>
      <c r="E737" s="5"/>
      <c r="F737" s="3" t="str">
        <f t="shared" si="37"/>
        <v/>
      </c>
      <c r="G737" s="4"/>
      <c r="H737" s="3" t="str">
        <f t="shared" si="38"/>
        <v/>
      </c>
      <c r="I737" s="5"/>
      <c r="J737" s="5"/>
      <c r="K737" s="6"/>
      <c r="L737" s="6"/>
      <c r="M737" s="7" t="str">
        <f t="shared" si="39"/>
        <v/>
      </c>
      <c r="N737" s="6"/>
      <c r="O737" s="5"/>
    </row>
    <row r="738" spans="1:15" x14ac:dyDescent="0.2">
      <c r="A738" s="3" t="str">
        <f>IF($B738="","",COUNTA($B$9:$B738))</f>
        <v/>
      </c>
      <c r="B738" s="4"/>
      <c r="C738" s="4"/>
      <c r="D738" s="4"/>
      <c r="E738" s="5"/>
      <c r="F738" s="3" t="str">
        <f t="shared" si="37"/>
        <v/>
      </c>
      <c r="G738" s="4"/>
      <c r="H738" s="3" t="str">
        <f t="shared" si="38"/>
        <v/>
      </c>
      <c r="I738" s="5"/>
      <c r="J738" s="5"/>
      <c r="K738" s="6"/>
      <c r="L738" s="6"/>
      <c r="M738" s="7" t="str">
        <f t="shared" si="39"/>
        <v/>
      </c>
      <c r="N738" s="6"/>
      <c r="O738" s="5"/>
    </row>
    <row r="739" spans="1:15" x14ac:dyDescent="0.2">
      <c r="A739" s="3" t="str">
        <f>IF($B739="","",COUNTA($B$9:$B739))</f>
        <v/>
      </c>
      <c r="B739" s="4"/>
      <c r="C739" s="4"/>
      <c r="D739" s="4"/>
      <c r="E739" s="5"/>
      <c r="F739" s="3" t="str">
        <f t="shared" si="37"/>
        <v/>
      </c>
      <c r="G739" s="4"/>
      <c r="H739" s="3" t="str">
        <f t="shared" si="38"/>
        <v/>
      </c>
      <c r="I739" s="5"/>
      <c r="J739" s="5"/>
      <c r="K739" s="6"/>
      <c r="L739" s="6"/>
      <c r="M739" s="7" t="str">
        <f t="shared" si="39"/>
        <v/>
      </c>
      <c r="N739" s="6"/>
      <c r="O739" s="5"/>
    </row>
    <row r="740" spans="1:15" x14ac:dyDescent="0.2">
      <c r="A740" s="3" t="str">
        <f>IF($B740="","",COUNTA($B$9:$B740))</f>
        <v/>
      </c>
      <c r="B740" s="4"/>
      <c r="C740" s="4"/>
      <c r="D740" s="4"/>
      <c r="E740" s="5"/>
      <c r="F740" s="3" t="str">
        <f t="shared" si="37"/>
        <v/>
      </c>
      <c r="G740" s="4"/>
      <c r="H740" s="3" t="str">
        <f t="shared" si="38"/>
        <v/>
      </c>
      <c r="I740" s="5"/>
      <c r="J740" s="5"/>
      <c r="K740" s="6"/>
      <c r="L740" s="6"/>
      <c r="M740" s="7" t="str">
        <f t="shared" si="39"/>
        <v/>
      </c>
      <c r="N740" s="6"/>
      <c r="O740" s="5"/>
    </row>
    <row r="741" spans="1:15" x14ac:dyDescent="0.2">
      <c r="A741" s="3" t="str">
        <f>IF($B741="","",COUNTA($B$9:$B741))</f>
        <v/>
      </c>
      <c r="B741" s="4"/>
      <c r="C741" s="4"/>
      <c r="D741" s="4"/>
      <c r="E741" s="5"/>
      <c r="F741" s="3" t="str">
        <f t="shared" si="37"/>
        <v/>
      </c>
      <c r="G741" s="4"/>
      <c r="H741" s="3" t="str">
        <f t="shared" si="38"/>
        <v/>
      </c>
      <c r="I741" s="5"/>
      <c r="J741" s="5"/>
      <c r="K741" s="6"/>
      <c r="L741" s="6"/>
      <c r="M741" s="7" t="str">
        <f t="shared" si="39"/>
        <v/>
      </c>
      <c r="N741" s="6"/>
      <c r="O741" s="5"/>
    </row>
    <row r="742" spans="1:15" x14ac:dyDescent="0.2">
      <c r="A742" s="3" t="str">
        <f>IF($B742="","",COUNTA($B$9:$B742))</f>
        <v/>
      </c>
      <c r="B742" s="4"/>
      <c r="C742" s="4"/>
      <c r="D742" s="4"/>
      <c r="E742" s="5"/>
      <c r="F742" s="3" t="str">
        <f t="shared" si="37"/>
        <v/>
      </c>
      <c r="G742" s="4"/>
      <c r="H742" s="3" t="str">
        <f t="shared" si="38"/>
        <v/>
      </c>
      <c r="I742" s="5"/>
      <c r="J742" s="5"/>
      <c r="K742" s="6"/>
      <c r="L742" s="6"/>
      <c r="M742" s="7" t="str">
        <f t="shared" si="39"/>
        <v/>
      </c>
      <c r="N742" s="6"/>
      <c r="O742" s="5"/>
    </row>
    <row r="743" spans="1:15" x14ac:dyDescent="0.2">
      <c r="A743" s="3" t="str">
        <f>IF($B743="","",COUNTA($B$9:$B743))</f>
        <v/>
      </c>
      <c r="B743" s="4"/>
      <c r="C743" s="4"/>
      <c r="D743" s="4"/>
      <c r="E743" s="5"/>
      <c r="F743" s="3" t="str">
        <f t="shared" si="37"/>
        <v/>
      </c>
      <c r="G743" s="4"/>
      <c r="H743" s="3" t="str">
        <f t="shared" si="38"/>
        <v/>
      </c>
      <c r="I743" s="5"/>
      <c r="J743" s="5"/>
      <c r="K743" s="6"/>
      <c r="L743" s="6"/>
      <c r="M743" s="7" t="str">
        <f t="shared" si="39"/>
        <v/>
      </c>
      <c r="N743" s="6"/>
      <c r="O743" s="5"/>
    </row>
    <row r="744" spans="1:15" x14ac:dyDescent="0.2">
      <c r="A744" s="3" t="str">
        <f>IF($B744="","",COUNTA($B$9:$B744))</f>
        <v/>
      </c>
      <c r="B744" s="4"/>
      <c r="C744" s="4"/>
      <c r="D744" s="4"/>
      <c r="E744" s="5"/>
      <c r="F744" s="3" t="str">
        <f t="shared" si="37"/>
        <v/>
      </c>
      <c r="G744" s="4"/>
      <c r="H744" s="3" t="str">
        <f t="shared" si="38"/>
        <v/>
      </c>
      <c r="I744" s="5"/>
      <c r="J744" s="5"/>
      <c r="K744" s="6"/>
      <c r="L744" s="6"/>
      <c r="M744" s="7" t="str">
        <f t="shared" si="39"/>
        <v/>
      </c>
      <c r="N744" s="6"/>
      <c r="O744" s="5"/>
    </row>
    <row r="745" spans="1:15" x14ac:dyDescent="0.2">
      <c r="A745" s="3" t="str">
        <f>IF($B745="","",COUNTA($B$9:$B745))</f>
        <v/>
      </c>
      <c r="B745" s="4"/>
      <c r="C745" s="4"/>
      <c r="D745" s="4"/>
      <c r="E745" s="5"/>
      <c r="F745" s="3" t="str">
        <f t="shared" si="37"/>
        <v/>
      </c>
      <c r="G745" s="4"/>
      <c r="H745" s="3" t="str">
        <f t="shared" si="38"/>
        <v/>
      </c>
      <c r="I745" s="5"/>
      <c r="J745" s="5"/>
      <c r="K745" s="6"/>
      <c r="L745" s="6"/>
      <c r="M745" s="7" t="str">
        <f t="shared" si="39"/>
        <v/>
      </c>
      <c r="N745" s="6"/>
      <c r="O745" s="5"/>
    </row>
    <row r="746" spans="1:15" x14ac:dyDescent="0.2">
      <c r="A746" s="3" t="str">
        <f>IF($B746="","",COUNTA($B$9:$B746))</f>
        <v/>
      </c>
      <c r="B746" s="4"/>
      <c r="C746" s="4"/>
      <c r="D746" s="4"/>
      <c r="E746" s="5"/>
      <c r="F746" s="3" t="str">
        <f t="shared" si="37"/>
        <v/>
      </c>
      <c r="G746" s="4"/>
      <c r="H746" s="3" t="str">
        <f t="shared" si="38"/>
        <v/>
      </c>
      <c r="I746" s="5"/>
      <c r="J746" s="5"/>
      <c r="K746" s="6"/>
      <c r="L746" s="6"/>
      <c r="M746" s="7" t="str">
        <f t="shared" si="39"/>
        <v/>
      </c>
      <c r="N746" s="6"/>
      <c r="O746" s="5"/>
    </row>
    <row r="747" spans="1:15" x14ac:dyDescent="0.2">
      <c r="A747" s="3" t="str">
        <f>IF($B747="","",COUNTA($B$9:$B747))</f>
        <v/>
      </c>
      <c r="B747" s="4"/>
      <c r="C747" s="4"/>
      <c r="D747" s="4"/>
      <c r="E747" s="5"/>
      <c r="F747" s="3" t="str">
        <f t="shared" si="37"/>
        <v/>
      </c>
      <c r="G747" s="4"/>
      <c r="H747" s="3" t="str">
        <f t="shared" si="38"/>
        <v/>
      </c>
      <c r="I747" s="5"/>
      <c r="J747" s="5"/>
      <c r="K747" s="6"/>
      <c r="L747" s="6"/>
      <c r="M747" s="7" t="str">
        <f t="shared" si="39"/>
        <v/>
      </c>
      <c r="N747" s="6"/>
      <c r="O747" s="5"/>
    </row>
    <row r="748" spans="1:15" x14ac:dyDescent="0.2">
      <c r="A748" s="3" t="str">
        <f>IF($B748="","",COUNTA($B$9:$B748))</f>
        <v/>
      </c>
      <c r="B748" s="4"/>
      <c r="C748" s="4"/>
      <c r="D748" s="4"/>
      <c r="E748" s="5"/>
      <c r="F748" s="3" t="str">
        <f t="shared" si="37"/>
        <v/>
      </c>
      <c r="G748" s="4"/>
      <c r="H748" s="3" t="str">
        <f t="shared" si="38"/>
        <v/>
      </c>
      <c r="I748" s="5"/>
      <c r="J748" s="5"/>
      <c r="K748" s="6"/>
      <c r="L748" s="6"/>
      <c r="M748" s="7" t="str">
        <f t="shared" si="39"/>
        <v/>
      </c>
      <c r="N748" s="6"/>
      <c r="O748" s="5"/>
    </row>
    <row r="749" spans="1:15" x14ac:dyDescent="0.2">
      <c r="A749" s="3" t="str">
        <f>IF($B749="","",COUNTA($B$9:$B749))</f>
        <v/>
      </c>
      <c r="B749" s="4"/>
      <c r="C749" s="4"/>
      <c r="D749" s="4"/>
      <c r="E749" s="5"/>
      <c r="F749" s="3" t="str">
        <f t="shared" si="37"/>
        <v/>
      </c>
      <c r="G749" s="4"/>
      <c r="H749" s="3" t="str">
        <f t="shared" si="38"/>
        <v/>
      </c>
      <c r="I749" s="5"/>
      <c r="J749" s="5"/>
      <c r="K749" s="6"/>
      <c r="L749" s="6"/>
      <c r="M749" s="7" t="str">
        <f t="shared" si="39"/>
        <v/>
      </c>
      <c r="N749" s="6"/>
      <c r="O749" s="5"/>
    </row>
    <row r="750" spans="1:15" x14ac:dyDescent="0.2">
      <c r="A750" s="3" t="str">
        <f>IF($B750="","",COUNTA($B$9:$B750))</f>
        <v/>
      </c>
      <c r="B750" s="4"/>
      <c r="C750" s="4"/>
      <c r="D750" s="4"/>
      <c r="E750" s="5"/>
      <c r="F750" s="3" t="str">
        <f t="shared" si="37"/>
        <v/>
      </c>
      <c r="G750" s="4"/>
      <c r="H750" s="3" t="str">
        <f t="shared" si="38"/>
        <v/>
      </c>
      <c r="I750" s="5"/>
      <c r="J750" s="5"/>
      <c r="K750" s="6"/>
      <c r="L750" s="6"/>
      <c r="M750" s="7" t="str">
        <f t="shared" si="39"/>
        <v/>
      </c>
      <c r="N750" s="6"/>
      <c r="O750" s="5"/>
    </row>
    <row r="751" spans="1:15" x14ac:dyDescent="0.2">
      <c r="A751" s="3" t="str">
        <f>IF($B751="","",COUNTA($B$9:$B751))</f>
        <v/>
      </c>
      <c r="B751" s="4"/>
      <c r="C751" s="4"/>
      <c r="D751" s="4"/>
      <c r="E751" s="5"/>
      <c r="F751" s="3" t="str">
        <f t="shared" si="37"/>
        <v/>
      </c>
      <c r="G751" s="4"/>
      <c r="H751" s="3" t="str">
        <f t="shared" si="38"/>
        <v/>
      </c>
      <c r="I751" s="5"/>
      <c r="J751" s="5"/>
      <c r="K751" s="6"/>
      <c r="L751" s="6"/>
      <c r="M751" s="7" t="str">
        <f t="shared" si="39"/>
        <v/>
      </c>
      <c r="N751" s="6"/>
      <c r="O751" s="5"/>
    </row>
    <row r="752" spans="1:15" x14ac:dyDescent="0.2">
      <c r="A752" s="3" t="str">
        <f>IF($B752="","",COUNTA($B$9:$B752))</f>
        <v/>
      </c>
      <c r="B752" s="4"/>
      <c r="C752" s="4"/>
      <c r="D752" s="4"/>
      <c r="E752" s="5"/>
      <c r="F752" s="3" t="str">
        <f t="shared" si="37"/>
        <v/>
      </c>
      <c r="G752" s="4"/>
      <c r="H752" s="3" t="str">
        <f t="shared" si="38"/>
        <v/>
      </c>
      <c r="I752" s="5"/>
      <c r="J752" s="5"/>
      <c r="K752" s="6"/>
      <c r="L752" s="6"/>
      <c r="M752" s="7" t="str">
        <f t="shared" si="39"/>
        <v/>
      </c>
      <c r="N752" s="6"/>
      <c r="O752" s="5"/>
    </row>
    <row r="753" spans="1:15" x14ac:dyDescent="0.2">
      <c r="A753" s="3" t="str">
        <f>IF($B753="","",COUNTA($B$9:$B753))</f>
        <v/>
      </c>
      <c r="B753" s="4"/>
      <c r="C753" s="4"/>
      <c r="D753" s="4"/>
      <c r="E753" s="5"/>
      <c r="F753" s="3" t="str">
        <f t="shared" si="37"/>
        <v/>
      </c>
      <c r="G753" s="4"/>
      <c r="H753" s="3" t="str">
        <f t="shared" si="38"/>
        <v/>
      </c>
      <c r="I753" s="5"/>
      <c r="J753" s="5"/>
      <c r="K753" s="6"/>
      <c r="L753" s="6"/>
      <c r="M753" s="7" t="str">
        <f t="shared" si="39"/>
        <v/>
      </c>
      <c r="N753" s="6"/>
      <c r="O753" s="5"/>
    </row>
    <row r="754" spans="1:15" x14ac:dyDescent="0.2">
      <c r="A754" s="3" t="str">
        <f>IF($B754="","",COUNTA($B$9:$B754))</f>
        <v/>
      </c>
      <c r="B754" s="4"/>
      <c r="C754" s="4"/>
      <c r="D754" s="4"/>
      <c r="E754" s="5"/>
      <c r="F754" s="3" t="str">
        <f t="shared" si="37"/>
        <v/>
      </c>
      <c r="G754" s="4"/>
      <c r="H754" s="3" t="str">
        <f t="shared" si="38"/>
        <v/>
      </c>
      <c r="I754" s="5"/>
      <c r="J754" s="5"/>
      <c r="K754" s="6"/>
      <c r="L754" s="6"/>
      <c r="M754" s="7" t="str">
        <f t="shared" si="39"/>
        <v/>
      </c>
      <c r="N754" s="6"/>
      <c r="O754" s="5"/>
    </row>
    <row r="755" spans="1:15" x14ac:dyDescent="0.2">
      <c r="A755" s="3" t="str">
        <f>IF($B755="","",COUNTA($B$9:$B755))</f>
        <v/>
      </c>
      <c r="B755" s="4"/>
      <c r="C755" s="4"/>
      <c r="D755" s="4"/>
      <c r="E755" s="5"/>
      <c r="F755" s="3" t="str">
        <f t="shared" si="37"/>
        <v/>
      </c>
      <c r="G755" s="4"/>
      <c r="H755" s="3" t="str">
        <f t="shared" si="38"/>
        <v/>
      </c>
      <c r="I755" s="5"/>
      <c r="J755" s="5"/>
      <c r="K755" s="6"/>
      <c r="L755" s="6"/>
      <c r="M755" s="7" t="str">
        <f t="shared" si="39"/>
        <v/>
      </c>
      <c r="N755" s="6"/>
      <c r="O755" s="5"/>
    </row>
    <row r="756" spans="1:15" x14ac:dyDescent="0.2">
      <c r="A756" s="3" t="str">
        <f>IF($B756="","",COUNTA($B$9:$B756))</f>
        <v/>
      </c>
      <c r="B756" s="4"/>
      <c r="C756" s="4"/>
      <c r="D756" s="4"/>
      <c r="E756" s="5"/>
      <c r="F756" s="3" t="str">
        <f t="shared" si="37"/>
        <v/>
      </c>
      <c r="G756" s="4"/>
      <c r="H756" s="3" t="str">
        <f t="shared" si="38"/>
        <v/>
      </c>
      <c r="I756" s="5"/>
      <c r="J756" s="5"/>
      <c r="K756" s="6"/>
      <c r="L756" s="6"/>
      <c r="M756" s="7" t="str">
        <f t="shared" si="39"/>
        <v/>
      </c>
      <c r="N756" s="6"/>
      <c r="O756" s="5"/>
    </row>
    <row r="757" spans="1:15" x14ac:dyDescent="0.2">
      <c r="A757" s="3" t="str">
        <f>IF($B757="","",COUNTA($B$9:$B757))</f>
        <v/>
      </c>
      <c r="B757" s="4"/>
      <c r="C757" s="4"/>
      <c r="D757" s="4"/>
      <c r="E757" s="5"/>
      <c r="F757" s="3" t="str">
        <f t="shared" si="37"/>
        <v/>
      </c>
      <c r="G757" s="4"/>
      <c r="H757" s="3" t="str">
        <f t="shared" si="38"/>
        <v/>
      </c>
      <c r="I757" s="5"/>
      <c r="J757" s="5"/>
      <c r="K757" s="6"/>
      <c r="L757" s="6"/>
      <c r="M757" s="7" t="str">
        <f t="shared" si="39"/>
        <v/>
      </c>
      <c r="N757" s="6"/>
      <c r="O757" s="5"/>
    </row>
    <row r="758" spans="1:15" x14ac:dyDescent="0.2">
      <c r="A758" s="3" t="str">
        <f>IF($B758="","",COUNTA($B$9:$B758))</f>
        <v/>
      </c>
      <c r="B758" s="4"/>
      <c r="C758" s="4"/>
      <c r="D758" s="4"/>
      <c r="E758" s="5"/>
      <c r="F758" s="3" t="str">
        <f t="shared" si="37"/>
        <v/>
      </c>
      <c r="G758" s="4"/>
      <c r="H758" s="3" t="str">
        <f t="shared" si="38"/>
        <v/>
      </c>
      <c r="I758" s="5"/>
      <c r="J758" s="5"/>
      <c r="K758" s="6"/>
      <c r="L758" s="6"/>
      <c r="M758" s="7" t="str">
        <f t="shared" si="39"/>
        <v/>
      </c>
      <c r="N758" s="6"/>
      <c r="O758" s="5"/>
    </row>
    <row r="759" spans="1:15" x14ac:dyDescent="0.2">
      <c r="A759" s="3" t="str">
        <f>IF($B759="","",COUNTA($B$9:$B759))</f>
        <v/>
      </c>
      <c r="B759" s="4"/>
      <c r="C759" s="4"/>
      <c r="D759" s="4"/>
      <c r="E759" s="5"/>
      <c r="F759" s="3" t="str">
        <f t="shared" si="37"/>
        <v/>
      </c>
      <c r="G759" s="4"/>
      <c r="H759" s="3" t="str">
        <f t="shared" si="38"/>
        <v/>
      </c>
      <c r="I759" s="5"/>
      <c r="J759" s="5"/>
      <c r="K759" s="6"/>
      <c r="L759" s="6"/>
      <c r="M759" s="7" t="str">
        <f t="shared" si="39"/>
        <v/>
      </c>
      <c r="N759" s="6"/>
      <c r="O759" s="5"/>
    </row>
    <row r="760" spans="1:15" x14ac:dyDescent="0.2">
      <c r="A760" s="3" t="str">
        <f>IF($B760="","",COUNTA($B$9:$B760))</f>
        <v/>
      </c>
      <c r="B760" s="4"/>
      <c r="C760" s="4"/>
      <c r="D760" s="4"/>
      <c r="E760" s="5"/>
      <c r="F760" s="3" t="str">
        <f t="shared" si="37"/>
        <v/>
      </c>
      <c r="G760" s="4"/>
      <c r="H760" s="3" t="str">
        <f t="shared" si="38"/>
        <v/>
      </c>
      <c r="I760" s="5"/>
      <c r="J760" s="5"/>
      <c r="K760" s="6"/>
      <c r="L760" s="6"/>
      <c r="M760" s="7" t="str">
        <f t="shared" si="39"/>
        <v/>
      </c>
      <c r="N760" s="6"/>
      <c r="O760" s="5"/>
    </row>
    <row r="761" spans="1:15" x14ac:dyDescent="0.2">
      <c r="A761" s="3" t="str">
        <f>IF($B761="","",COUNTA($B$9:$B761))</f>
        <v/>
      </c>
      <c r="B761" s="4"/>
      <c r="C761" s="4"/>
      <c r="D761" s="4"/>
      <c r="E761" s="5"/>
      <c r="F761" s="3" t="str">
        <f t="shared" si="37"/>
        <v/>
      </c>
      <c r="G761" s="4"/>
      <c r="H761" s="3" t="str">
        <f t="shared" si="38"/>
        <v/>
      </c>
      <c r="I761" s="5"/>
      <c r="J761" s="5"/>
      <c r="K761" s="6"/>
      <c r="L761" s="6"/>
      <c r="M761" s="7" t="str">
        <f t="shared" si="39"/>
        <v/>
      </c>
      <c r="N761" s="6"/>
      <c r="O761" s="5"/>
    </row>
    <row r="762" spans="1:15" x14ac:dyDescent="0.2">
      <c r="A762" s="3" t="str">
        <f>IF($B762="","",COUNTA($B$9:$B762))</f>
        <v/>
      </c>
      <c r="B762" s="4"/>
      <c r="C762" s="4"/>
      <c r="D762" s="4"/>
      <c r="E762" s="5"/>
      <c r="F762" s="3" t="str">
        <f t="shared" si="37"/>
        <v/>
      </c>
      <c r="G762" s="4"/>
      <c r="H762" s="3" t="str">
        <f t="shared" si="38"/>
        <v/>
      </c>
      <c r="I762" s="5"/>
      <c r="J762" s="5"/>
      <c r="K762" s="6"/>
      <c r="L762" s="6"/>
      <c r="M762" s="7" t="str">
        <f t="shared" si="39"/>
        <v/>
      </c>
      <c r="N762" s="6"/>
      <c r="O762" s="5"/>
    </row>
    <row r="763" spans="1:15" x14ac:dyDescent="0.2">
      <c r="A763" s="3" t="str">
        <f>IF($B763="","",COUNTA($B$9:$B763))</f>
        <v/>
      </c>
      <c r="B763" s="4"/>
      <c r="C763" s="4"/>
      <c r="D763" s="4"/>
      <c r="E763" s="5"/>
      <c r="F763" s="3" t="str">
        <f t="shared" si="37"/>
        <v/>
      </c>
      <c r="G763" s="4"/>
      <c r="H763" s="3" t="str">
        <f t="shared" si="38"/>
        <v/>
      </c>
      <c r="I763" s="5"/>
      <c r="J763" s="5"/>
      <c r="K763" s="6"/>
      <c r="L763" s="6"/>
      <c r="M763" s="7" t="str">
        <f t="shared" si="39"/>
        <v/>
      </c>
      <c r="N763" s="6"/>
      <c r="O763" s="5"/>
    </row>
    <row r="764" spans="1:15" x14ac:dyDescent="0.2">
      <c r="A764" s="3" t="str">
        <f>IF($B764="","",COUNTA($B$9:$B764))</f>
        <v/>
      </c>
      <c r="B764" s="4"/>
      <c r="C764" s="4"/>
      <c r="D764" s="4"/>
      <c r="E764" s="5"/>
      <c r="F764" s="3" t="str">
        <f t="shared" si="37"/>
        <v/>
      </c>
      <c r="G764" s="4"/>
      <c r="H764" s="3" t="str">
        <f t="shared" si="38"/>
        <v/>
      </c>
      <c r="I764" s="5"/>
      <c r="J764" s="5"/>
      <c r="K764" s="6"/>
      <c r="L764" s="6"/>
      <c r="M764" s="7" t="str">
        <f t="shared" si="39"/>
        <v/>
      </c>
      <c r="N764" s="6"/>
      <c r="O764" s="5"/>
    </row>
    <row r="765" spans="1:15" x14ac:dyDescent="0.2">
      <c r="A765" s="3" t="str">
        <f>IF($B765="","",COUNTA($B$9:$B765))</f>
        <v/>
      </c>
      <c r="B765" s="4"/>
      <c r="C765" s="4"/>
      <c r="D765" s="4"/>
      <c r="E765" s="5"/>
      <c r="F765" s="3" t="str">
        <f t="shared" si="37"/>
        <v/>
      </c>
      <c r="G765" s="4"/>
      <c r="H765" s="3" t="str">
        <f t="shared" si="38"/>
        <v/>
      </c>
      <c r="I765" s="5"/>
      <c r="J765" s="5"/>
      <c r="K765" s="6"/>
      <c r="L765" s="6"/>
      <c r="M765" s="7" t="str">
        <f t="shared" si="39"/>
        <v/>
      </c>
      <c r="N765" s="6"/>
      <c r="O765" s="5"/>
    </row>
    <row r="766" spans="1:15" x14ac:dyDescent="0.2">
      <c r="A766" s="3" t="str">
        <f>IF($B766="","",COUNTA($B$9:$B766))</f>
        <v/>
      </c>
      <c r="B766" s="4"/>
      <c r="C766" s="4"/>
      <c r="D766" s="4"/>
      <c r="E766" s="5"/>
      <c r="F766" s="3" t="str">
        <f t="shared" si="37"/>
        <v/>
      </c>
      <c r="G766" s="4"/>
      <c r="H766" s="3" t="str">
        <f t="shared" si="38"/>
        <v/>
      </c>
      <c r="I766" s="5"/>
      <c r="J766" s="5"/>
      <c r="K766" s="6"/>
      <c r="L766" s="6"/>
      <c r="M766" s="7" t="str">
        <f t="shared" si="39"/>
        <v/>
      </c>
      <c r="N766" s="6"/>
      <c r="O766" s="5"/>
    </row>
    <row r="767" spans="1:15" x14ac:dyDescent="0.2">
      <c r="A767" s="3" t="str">
        <f>IF($B767="","",COUNTA($B$9:$B767))</f>
        <v/>
      </c>
      <c r="B767" s="4"/>
      <c r="C767" s="4"/>
      <c r="D767" s="4"/>
      <c r="E767" s="5"/>
      <c r="F767" s="3" t="str">
        <f t="shared" si="37"/>
        <v/>
      </c>
      <c r="G767" s="4"/>
      <c r="H767" s="3" t="str">
        <f t="shared" si="38"/>
        <v/>
      </c>
      <c r="I767" s="5"/>
      <c r="J767" s="5"/>
      <c r="K767" s="6"/>
      <c r="L767" s="6"/>
      <c r="M767" s="7" t="str">
        <f t="shared" si="39"/>
        <v/>
      </c>
      <c r="N767" s="6"/>
      <c r="O767" s="5"/>
    </row>
    <row r="768" spans="1:15" x14ac:dyDescent="0.2">
      <c r="A768" s="3" t="str">
        <f>IF($B768="","",COUNTA($B$9:$B768))</f>
        <v/>
      </c>
      <c r="B768" s="4"/>
      <c r="C768" s="4"/>
      <c r="D768" s="4"/>
      <c r="E768" s="5"/>
      <c r="F768" s="3" t="str">
        <f t="shared" si="37"/>
        <v/>
      </c>
      <c r="G768" s="4"/>
      <c r="H768" s="3" t="str">
        <f t="shared" si="38"/>
        <v/>
      </c>
      <c r="I768" s="5"/>
      <c r="J768" s="5"/>
      <c r="K768" s="6"/>
      <c r="L768" s="6"/>
      <c r="M768" s="7" t="str">
        <f t="shared" si="39"/>
        <v/>
      </c>
      <c r="N768" s="6"/>
      <c r="O768" s="5"/>
    </row>
    <row r="769" spans="1:15" x14ac:dyDescent="0.2">
      <c r="A769" s="3" t="str">
        <f>IF($B769="","",COUNTA($B$9:$B769))</f>
        <v/>
      </c>
      <c r="B769" s="4"/>
      <c r="C769" s="4"/>
      <c r="D769" s="4"/>
      <c r="E769" s="5"/>
      <c r="F769" s="3" t="str">
        <f t="shared" si="37"/>
        <v/>
      </c>
      <c r="G769" s="4"/>
      <c r="H769" s="3" t="str">
        <f t="shared" si="38"/>
        <v/>
      </c>
      <c r="I769" s="5"/>
      <c r="J769" s="5"/>
      <c r="K769" s="6"/>
      <c r="L769" s="6"/>
      <c r="M769" s="7" t="str">
        <f t="shared" si="39"/>
        <v/>
      </c>
      <c r="N769" s="6"/>
      <c r="O769" s="5"/>
    </row>
    <row r="770" spans="1:15" x14ac:dyDescent="0.2">
      <c r="A770" s="3" t="str">
        <f>IF($B770="","",COUNTA($B$9:$B770))</f>
        <v/>
      </c>
      <c r="B770" s="4"/>
      <c r="C770" s="4"/>
      <c r="D770" s="4"/>
      <c r="E770" s="5"/>
      <c r="F770" s="3" t="str">
        <f t="shared" si="37"/>
        <v/>
      </c>
      <c r="G770" s="4"/>
      <c r="H770" s="3" t="str">
        <f t="shared" si="38"/>
        <v/>
      </c>
      <c r="I770" s="5"/>
      <c r="J770" s="5"/>
      <c r="K770" s="6"/>
      <c r="L770" s="6"/>
      <c r="M770" s="7" t="str">
        <f t="shared" si="39"/>
        <v/>
      </c>
      <c r="N770" s="6"/>
      <c r="O770" s="5"/>
    </row>
    <row r="771" spans="1:15" x14ac:dyDescent="0.2">
      <c r="A771" s="3" t="str">
        <f>IF($B771="","",COUNTA($B$9:$B771))</f>
        <v/>
      </c>
      <c r="B771" s="4"/>
      <c r="C771" s="4"/>
      <c r="D771" s="4"/>
      <c r="E771" s="5"/>
      <c r="F771" s="3" t="str">
        <f t="shared" si="37"/>
        <v/>
      </c>
      <c r="G771" s="4"/>
      <c r="H771" s="3" t="str">
        <f t="shared" si="38"/>
        <v/>
      </c>
      <c r="I771" s="5"/>
      <c r="J771" s="5"/>
      <c r="K771" s="6"/>
      <c r="L771" s="6"/>
      <c r="M771" s="7" t="str">
        <f t="shared" si="39"/>
        <v/>
      </c>
      <c r="N771" s="6"/>
      <c r="O771" s="5"/>
    </row>
    <row r="772" spans="1:15" x14ac:dyDescent="0.2">
      <c r="A772" s="3" t="str">
        <f>IF($B772="","",COUNTA($B$9:$B772))</f>
        <v/>
      </c>
      <c r="B772" s="4"/>
      <c r="C772" s="4"/>
      <c r="D772" s="4"/>
      <c r="E772" s="5"/>
      <c r="F772" s="3" t="str">
        <f t="shared" si="37"/>
        <v/>
      </c>
      <c r="G772" s="4"/>
      <c r="H772" s="3" t="str">
        <f t="shared" si="38"/>
        <v/>
      </c>
      <c r="I772" s="5"/>
      <c r="J772" s="5"/>
      <c r="K772" s="6"/>
      <c r="L772" s="6"/>
      <c r="M772" s="7" t="str">
        <f t="shared" si="39"/>
        <v/>
      </c>
      <c r="N772" s="6"/>
      <c r="O772" s="5"/>
    </row>
    <row r="773" spans="1:15" x14ac:dyDescent="0.2">
      <c r="A773" s="3" t="str">
        <f>IF($B773="","",COUNTA($B$9:$B773))</f>
        <v/>
      </c>
      <c r="B773" s="4"/>
      <c r="C773" s="4"/>
      <c r="D773" s="4"/>
      <c r="E773" s="5"/>
      <c r="F773" s="3" t="str">
        <f t="shared" si="37"/>
        <v/>
      </c>
      <c r="G773" s="4"/>
      <c r="H773" s="3" t="str">
        <f t="shared" si="38"/>
        <v/>
      </c>
      <c r="I773" s="5"/>
      <c r="J773" s="5"/>
      <c r="K773" s="6"/>
      <c r="L773" s="6"/>
      <c r="M773" s="7" t="str">
        <f t="shared" si="39"/>
        <v/>
      </c>
      <c r="N773" s="6"/>
      <c r="O773" s="5"/>
    </row>
    <row r="774" spans="1:15" x14ac:dyDescent="0.2">
      <c r="A774" s="3" t="str">
        <f>IF($B774="","",COUNTA($B$9:$B774))</f>
        <v/>
      </c>
      <c r="B774" s="4"/>
      <c r="C774" s="4"/>
      <c r="D774" s="4"/>
      <c r="E774" s="5"/>
      <c r="F774" s="3" t="str">
        <f t="shared" si="37"/>
        <v/>
      </c>
      <c r="G774" s="4"/>
      <c r="H774" s="3" t="str">
        <f t="shared" si="38"/>
        <v/>
      </c>
      <c r="I774" s="5"/>
      <c r="J774" s="5"/>
      <c r="K774" s="6"/>
      <c r="L774" s="6"/>
      <c r="M774" s="7" t="str">
        <f t="shared" si="39"/>
        <v/>
      </c>
      <c r="N774" s="6"/>
      <c r="O774" s="5"/>
    </row>
    <row r="775" spans="1:15" x14ac:dyDescent="0.2">
      <c r="A775" s="3" t="str">
        <f>IF($B775="","",COUNTA($B$9:$B775))</f>
        <v/>
      </c>
      <c r="B775" s="4"/>
      <c r="C775" s="4"/>
      <c r="D775" s="4"/>
      <c r="E775" s="5"/>
      <c r="F775" s="3" t="str">
        <f t="shared" si="37"/>
        <v/>
      </c>
      <c r="G775" s="4"/>
      <c r="H775" s="3" t="str">
        <f t="shared" si="38"/>
        <v/>
      </c>
      <c r="I775" s="5"/>
      <c r="J775" s="5"/>
      <c r="K775" s="6"/>
      <c r="L775" s="6"/>
      <c r="M775" s="7" t="str">
        <f t="shared" si="39"/>
        <v/>
      </c>
      <c r="N775" s="6"/>
      <c r="O775" s="5"/>
    </row>
    <row r="776" spans="1:15" x14ac:dyDescent="0.2">
      <c r="A776" s="3" t="str">
        <f>IF($B776="","",COUNTA($B$9:$B776))</f>
        <v/>
      </c>
      <c r="B776" s="4"/>
      <c r="C776" s="4"/>
      <c r="D776" s="4"/>
      <c r="E776" s="5"/>
      <c r="F776" s="3" t="str">
        <f t="shared" ref="F776:F839" si="40">IF($E776="","",IFERROR(VLOOKUP($E776,OpTbl,2,0),""))</f>
        <v/>
      </c>
      <c r="G776" s="4"/>
      <c r="H776" s="3" t="str">
        <f t="shared" ref="H776:H839" si="41">IF($G776="","",IFERROR(IF(VLOOKUP($G776,AcctTbl,4,0)="","(بدون نام)",VLOOKUP($G776,AcctTbl,4,0)),"کد ناشناخته"))</f>
        <v/>
      </c>
      <c r="I776" s="5"/>
      <c r="J776" s="5"/>
      <c r="K776" s="6"/>
      <c r="L776" s="6"/>
      <c r="M776" s="7" t="str">
        <f t="shared" ref="M776:M839" si="42">IF(OR($B776="",$K776=""),"",($K776-IF($L776="",0,$L776)*IFERROR(VLOOKUP("P01",ParamTbl,3,0),1.5))*(1-IF(IFERROR(VLOOKUP($E776,OpTbl,3,0),"")="خرید",IFERROR(VLOOKUP("P02",ParamTbl,3,0),1),0)/100))</f>
        <v/>
      </c>
      <c r="N776" s="6"/>
      <c r="O776" s="5"/>
    </row>
    <row r="777" spans="1:15" x14ac:dyDescent="0.2">
      <c r="A777" s="3" t="str">
        <f>IF($B777="","",COUNTA($B$9:$B777))</f>
        <v/>
      </c>
      <c r="B777" s="4"/>
      <c r="C777" s="4"/>
      <c r="D777" s="4"/>
      <c r="E777" s="5"/>
      <c r="F777" s="3" t="str">
        <f t="shared" si="40"/>
        <v/>
      </c>
      <c r="G777" s="4"/>
      <c r="H777" s="3" t="str">
        <f t="shared" si="41"/>
        <v/>
      </c>
      <c r="I777" s="5"/>
      <c r="J777" s="5"/>
      <c r="K777" s="6"/>
      <c r="L777" s="6"/>
      <c r="M777" s="7" t="str">
        <f t="shared" si="42"/>
        <v/>
      </c>
      <c r="N777" s="6"/>
      <c r="O777" s="5"/>
    </row>
    <row r="778" spans="1:15" x14ac:dyDescent="0.2">
      <c r="A778" s="3" t="str">
        <f>IF($B778="","",COUNTA($B$9:$B778))</f>
        <v/>
      </c>
      <c r="B778" s="4"/>
      <c r="C778" s="4"/>
      <c r="D778" s="4"/>
      <c r="E778" s="5"/>
      <c r="F778" s="3" t="str">
        <f t="shared" si="40"/>
        <v/>
      </c>
      <c r="G778" s="4"/>
      <c r="H778" s="3" t="str">
        <f t="shared" si="41"/>
        <v/>
      </c>
      <c r="I778" s="5"/>
      <c r="J778" s="5"/>
      <c r="K778" s="6"/>
      <c r="L778" s="6"/>
      <c r="M778" s="7" t="str">
        <f t="shared" si="42"/>
        <v/>
      </c>
      <c r="N778" s="6"/>
      <c r="O778" s="5"/>
    </row>
    <row r="779" spans="1:15" x14ac:dyDescent="0.2">
      <c r="A779" s="3" t="str">
        <f>IF($B779="","",COUNTA($B$9:$B779))</f>
        <v/>
      </c>
      <c r="B779" s="4"/>
      <c r="C779" s="4"/>
      <c r="D779" s="4"/>
      <c r="E779" s="5"/>
      <c r="F779" s="3" t="str">
        <f t="shared" si="40"/>
        <v/>
      </c>
      <c r="G779" s="4"/>
      <c r="H779" s="3" t="str">
        <f t="shared" si="41"/>
        <v/>
      </c>
      <c r="I779" s="5"/>
      <c r="J779" s="5"/>
      <c r="K779" s="6"/>
      <c r="L779" s="6"/>
      <c r="M779" s="7" t="str">
        <f t="shared" si="42"/>
        <v/>
      </c>
      <c r="N779" s="6"/>
      <c r="O779" s="5"/>
    </row>
    <row r="780" spans="1:15" x14ac:dyDescent="0.2">
      <c r="A780" s="3" t="str">
        <f>IF($B780="","",COUNTA($B$9:$B780))</f>
        <v/>
      </c>
      <c r="B780" s="4"/>
      <c r="C780" s="4"/>
      <c r="D780" s="4"/>
      <c r="E780" s="5"/>
      <c r="F780" s="3" t="str">
        <f t="shared" si="40"/>
        <v/>
      </c>
      <c r="G780" s="4"/>
      <c r="H780" s="3" t="str">
        <f t="shared" si="41"/>
        <v/>
      </c>
      <c r="I780" s="5"/>
      <c r="J780" s="5"/>
      <c r="K780" s="6"/>
      <c r="L780" s="6"/>
      <c r="M780" s="7" t="str">
        <f t="shared" si="42"/>
        <v/>
      </c>
      <c r="N780" s="6"/>
      <c r="O780" s="5"/>
    </row>
    <row r="781" spans="1:15" x14ac:dyDescent="0.2">
      <c r="A781" s="3" t="str">
        <f>IF($B781="","",COUNTA($B$9:$B781))</f>
        <v/>
      </c>
      <c r="B781" s="4"/>
      <c r="C781" s="4"/>
      <c r="D781" s="4"/>
      <c r="E781" s="5"/>
      <c r="F781" s="3" t="str">
        <f t="shared" si="40"/>
        <v/>
      </c>
      <c r="G781" s="4"/>
      <c r="H781" s="3" t="str">
        <f t="shared" si="41"/>
        <v/>
      </c>
      <c r="I781" s="5"/>
      <c r="J781" s="5"/>
      <c r="K781" s="6"/>
      <c r="L781" s="6"/>
      <c r="M781" s="7" t="str">
        <f t="shared" si="42"/>
        <v/>
      </c>
      <c r="N781" s="6"/>
      <c r="O781" s="5"/>
    </row>
    <row r="782" spans="1:15" x14ac:dyDescent="0.2">
      <c r="A782" s="3" t="str">
        <f>IF($B782="","",COUNTA($B$9:$B782))</f>
        <v/>
      </c>
      <c r="B782" s="4"/>
      <c r="C782" s="4"/>
      <c r="D782" s="4"/>
      <c r="E782" s="5"/>
      <c r="F782" s="3" t="str">
        <f t="shared" si="40"/>
        <v/>
      </c>
      <c r="G782" s="4"/>
      <c r="H782" s="3" t="str">
        <f t="shared" si="41"/>
        <v/>
      </c>
      <c r="I782" s="5"/>
      <c r="J782" s="5"/>
      <c r="K782" s="6"/>
      <c r="L782" s="6"/>
      <c r="M782" s="7" t="str">
        <f t="shared" si="42"/>
        <v/>
      </c>
      <c r="N782" s="6"/>
      <c r="O782" s="5"/>
    </row>
    <row r="783" spans="1:15" x14ac:dyDescent="0.2">
      <c r="A783" s="3" t="str">
        <f>IF($B783="","",COUNTA($B$9:$B783))</f>
        <v/>
      </c>
      <c r="B783" s="4"/>
      <c r="C783" s="4"/>
      <c r="D783" s="4"/>
      <c r="E783" s="5"/>
      <c r="F783" s="3" t="str">
        <f t="shared" si="40"/>
        <v/>
      </c>
      <c r="G783" s="4"/>
      <c r="H783" s="3" t="str">
        <f t="shared" si="41"/>
        <v/>
      </c>
      <c r="I783" s="5"/>
      <c r="J783" s="5"/>
      <c r="K783" s="6"/>
      <c r="L783" s="6"/>
      <c r="M783" s="7" t="str">
        <f t="shared" si="42"/>
        <v/>
      </c>
      <c r="N783" s="6"/>
      <c r="O783" s="5"/>
    </row>
    <row r="784" spans="1:15" x14ac:dyDescent="0.2">
      <c r="A784" s="3" t="str">
        <f>IF($B784="","",COUNTA($B$9:$B784))</f>
        <v/>
      </c>
      <c r="B784" s="4"/>
      <c r="C784" s="4"/>
      <c r="D784" s="4"/>
      <c r="E784" s="5"/>
      <c r="F784" s="3" t="str">
        <f t="shared" si="40"/>
        <v/>
      </c>
      <c r="G784" s="4"/>
      <c r="H784" s="3" t="str">
        <f t="shared" si="41"/>
        <v/>
      </c>
      <c r="I784" s="5"/>
      <c r="J784" s="5"/>
      <c r="K784" s="6"/>
      <c r="L784" s="6"/>
      <c r="M784" s="7" t="str">
        <f t="shared" si="42"/>
        <v/>
      </c>
      <c r="N784" s="6"/>
      <c r="O784" s="5"/>
    </row>
    <row r="785" spans="1:15" x14ac:dyDescent="0.2">
      <c r="A785" s="3" t="str">
        <f>IF($B785="","",COUNTA($B$9:$B785))</f>
        <v/>
      </c>
      <c r="B785" s="4"/>
      <c r="C785" s="4"/>
      <c r="D785" s="4"/>
      <c r="E785" s="5"/>
      <c r="F785" s="3" t="str">
        <f t="shared" si="40"/>
        <v/>
      </c>
      <c r="G785" s="4"/>
      <c r="H785" s="3" t="str">
        <f t="shared" si="41"/>
        <v/>
      </c>
      <c r="I785" s="5"/>
      <c r="J785" s="5"/>
      <c r="K785" s="6"/>
      <c r="L785" s="6"/>
      <c r="M785" s="7" t="str">
        <f t="shared" si="42"/>
        <v/>
      </c>
      <c r="N785" s="6"/>
      <c r="O785" s="5"/>
    </row>
    <row r="786" spans="1:15" x14ac:dyDescent="0.2">
      <c r="A786" s="3" t="str">
        <f>IF($B786="","",COUNTA($B$9:$B786))</f>
        <v/>
      </c>
      <c r="B786" s="4"/>
      <c r="C786" s="4"/>
      <c r="D786" s="4"/>
      <c r="E786" s="5"/>
      <c r="F786" s="3" t="str">
        <f t="shared" si="40"/>
        <v/>
      </c>
      <c r="G786" s="4"/>
      <c r="H786" s="3" t="str">
        <f t="shared" si="41"/>
        <v/>
      </c>
      <c r="I786" s="5"/>
      <c r="J786" s="5"/>
      <c r="K786" s="6"/>
      <c r="L786" s="6"/>
      <c r="M786" s="7" t="str">
        <f t="shared" si="42"/>
        <v/>
      </c>
      <c r="N786" s="6"/>
      <c r="O786" s="5"/>
    </row>
    <row r="787" spans="1:15" x14ac:dyDescent="0.2">
      <c r="A787" s="3" t="str">
        <f>IF($B787="","",COUNTA($B$9:$B787))</f>
        <v/>
      </c>
      <c r="B787" s="4"/>
      <c r="C787" s="4"/>
      <c r="D787" s="4"/>
      <c r="E787" s="5"/>
      <c r="F787" s="3" t="str">
        <f t="shared" si="40"/>
        <v/>
      </c>
      <c r="G787" s="4"/>
      <c r="H787" s="3" t="str">
        <f t="shared" si="41"/>
        <v/>
      </c>
      <c r="I787" s="5"/>
      <c r="J787" s="5"/>
      <c r="K787" s="6"/>
      <c r="L787" s="6"/>
      <c r="M787" s="7" t="str">
        <f t="shared" si="42"/>
        <v/>
      </c>
      <c r="N787" s="6"/>
      <c r="O787" s="5"/>
    </row>
    <row r="788" spans="1:15" x14ac:dyDescent="0.2">
      <c r="A788" s="3" t="str">
        <f>IF($B788="","",COUNTA($B$9:$B788))</f>
        <v/>
      </c>
      <c r="B788" s="4"/>
      <c r="C788" s="4"/>
      <c r="D788" s="4"/>
      <c r="E788" s="5"/>
      <c r="F788" s="3" t="str">
        <f t="shared" si="40"/>
        <v/>
      </c>
      <c r="G788" s="4"/>
      <c r="H788" s="3" t="str">
        <f t="shared" si="41"/>
        <v/>
      </c>
      <c r="I788" s="5"/>
      <c r="J788" s="5"/>
      <c r="K788" s="6"/>
      <c r="L788" s="6"/>
      <c r="M788" s="7" t="str">
        <f t="shared" si="42"/>
        <v/>
      </c>
      <c r="N788" s="6"/>
      <c r="O788" s="5"/>
    </row>
    <row r="789" spans="1:15" x14ac:dyDescent="0.2">
      <c r="A789" s="3" t="str">
        <f>IF($B789="","",COUNTA($B$9:$B789))</f>
        <v/>
      </c>
      <c r="B789" s="4"/>
      <c r="C789" s="4"/>
      <c r="D789" s="4"/>
      <c r="E789" s="5"/>
      <c r="F789" s="3" t="str">
        <f t="shared" si="40"/>
        <v/>
      </c>
      <c r="G789" s="4"/>
      <c r="H789" s="3" t="str">
        <f t="shared" si="41"/>
        <v/>
      </c>
      <c r="I789" s="5"/>
      <c r="J789" s="5"/>
      <c r="K789" s="6"/>
      <c r="L789" s="6"/>
      <c r="M789" s="7" t="str">
        <f t="shared" si="42"/>
        <v/>
      </c>
      <c r="N789" s="6"/>
      <c r="O789" s="5"/>
    </row>
    <row r="790" spans="1:15" x14ac:dyDescent="0.2">
      <c r="A790" s="3" t="str">
        <f>IF($B790="","",COUNTA($B$9:$B790))</f>
        <v/>
      </c>
      <c r="B790" s="4"/>
      <c r="C790" s="4"/>
      <c r="D790" s="4"/>
      <c r="E790" s="5"/>
      <c r="F790" s="3" t="str">
        <f t="shared" si="40"/>
        <v/>
      </c>
      <c r="G790" s="4"/>
      <c r="H790" s="3" t="str">
        <f t="shared" si="41"/>
        <v/>
      </c>
      <c r="I790" s="5"/>
      <c r="J790" s="5"/>
      <c r="K790" s="6"/>
      <c r="L790" s="6"/>
      <c r="M790" s="7" t="str">
        <f t="shared" si="42"/>
        <v/>
      </c>
      <c r="N790" s="6"/>
      <c r="O790" s="5"/>
    </row>
    <row r="791" spans="1:15" x14ac:dyDescent="0.2">
      <c r="A791" s="3" t="str">
        <f>IF($B791="","",COUNTA($B$9:$B791))</f>
        <v/>
      </c>
      <c r="B791" s="4"/>
      <c r="C791" s="4"/>
      <c r="D791" s="4"/>
      <c r="E791" s="5"/>
      <c r="F791" s="3" t="str">
        <f t="shared" si="40"/>
        <v/>
      </c>
      <c r="G791" s="4"/>
      <c r="H791" s="3" t="str">
        <f t="shared" si="41"/>
        <v/>
      </c>
      <c r="I791" s="5"/>
      <c r="J791" s="5"/>
      <c r="K791" s="6"/>
      <c r="L791" s="6"/>
      <c r="M791" s="7" t="str">
        <f t="shared" si="42"/>
        <v/>
      </c>
      <c r="N791" s="6"/>
      <c r="O791" s="5"/>
    </row>
    <row r="792" spans="1:15" x14ac:dyDescent="0.2">
      <c r="A792" s="3" t="str">
        <f>IF($B792="","",COUNTA($B$9:$B792))</f>
        <v/>
      </c>
      <c r="B792" s="4"/>
      <c r="C792" s="4"/>
      <c r="D792" s="4"/>
      <c r="E792" s="5"/>
      <c r="F792" s="3" t="str">
        <f t="shared" si="40"/>
        <v/>
      </c>
      <c r="G792" s="4"/>
      <c r="H792" s="3" t="str">
        <f t="shared" si="41"/>
        <v/>
      </c>
      <c r="I792" s="5"/>
      <c r="J792" s="5"/>
      <c r="K792" s="6"/>
      <c r="L792" s="6"/>
      <c r="M792" s="7" t="str">
        <f t="shared" si="42"/>
        <v/>
      </c>
      <c r="N792" s="6"/>
      <c r="O792" s="5"/>
    </row>
    <row r="793" spans="1:15" x14ac:dyDescent="0.2">
      <c r="A793" s="3" t="str">
        <f>IF($B793="","",COUNTA($B$9:$B793))</f>
        <v/>
      </c>
      <c r="B793" s="4"/>
      <c r="C793" s="4"/>
      <c r="D793" s="4"/>
      <c r="E793" s="5"/>
      <c r="F793" s="3" t="str">
        <f t="shared" si="40"/>
        <v/>
      </c>
      <c r="G793" s="4"/>
      <c r="H793" s="3" t="str">
        <f t="shared" si="41"/>
        <v/>
      </c>
      <c r="I793" s="5"/>
      <c r="J793" s="5"/>
      <c r="K793" s="6"/>
      <c r="L793" s="6"/>
      <c r="M793" s="7" t="str">
        <f t="shared" si="42"/>
        <v/>
      </c>
      <c r="N793" s="6"/>
      <c r="O793" s="5"/>
    </row>
    <row r="794" spans="1:15" x14ac:dyDescent="0.2">
      <c r="A794" s="3" t="str">
        <f>IF($B794="","",COUNTA($B$9:$B794))</f>
        <v/>
      </c>
      <c r="B794" s="4"/>
      <c r="C794" s="4"/>
      <c r="D794" s="4"/>
      <c r="E794" s="5"/>
      <c r="F794" s="3" t="str">
        <f t="shared" si="40"/>
        <v/>
      </c>
      <c r="G794" s="4"/>
      <c r="H794" s="3" t="str">
        <f t="shared" si="41"/>
        <v/>
      </c>
      <c r="I794" s="5"/>
      <c r="J794" s="5"/>
      <c r="K794" s="6"/>
      <c r="L794" s="6"/>
      <c r="M794" s="7" t="str">
        <f t="shared" si="42"/>
        <v/>
      </c>
      <c r="N794" s="6"/>
      <c r="O794" s="5"/>
    </row>
    <row r="795" spans="1:15" x14ac:dyDescent="0.2">
      <c r="A795" s="3" t="str">
        <f>IF($B795="","",COUNTA($B$9:$B795))</f>
        <v/>
      </c>
      <c r="B795" s="4"/>
      <c r="C795" s="4"/>
      <c r="D795" s="4"/>
      <c r="E795" s="5"/>
      <c r="F795" s="3" t="str">
        <f t="shared" si="40"/>
        <v/>
      </c>
      <c r="G795" s="4"/>
      <c r="H795" s="3" t="str">
        <f t="shared" si="41"/>
        <v/>
      </c>
      <c r="I795" s="5"/>
      <c r="J795" s="5"/>
      <c r="K795" s="6"/>
      <c r="L795" s="6"/>
      <c r="M795" s="7" t="str">
        <f t="shared" si="42"/>
        <v/>
      </c>
      <c r="N795" s="6"/>
      <c r="O795" s="5"/>
    </row>
    <row r="796" spans="1:15" x14ac:dyDescent="0.2">
      <c r="A796" s="3" t="str">
        <f>IF($B796="","",COUNTA($B$9:$B796))</f>
        <v/>
      </c>
      <c r="B796" s="4"/>
      <c r="C796" s="4"/>
      <c r="D796" s="4"/>
      <c r="E796" s="5"/>
      <c r="F796" s="3" t="str">
        <f t="shared" si="40"/>
        <v/>
      </c>
      <c r="G796" s="4"/>
      <c r="H796" s="3" t="str">
        <f t="shared" si="41"/>
        <v/>
      </c>
      <c r="I796" s="5"/>
      <c r="J796" s="5"/>
      <c r="K796" s="6"/>
      <c r="L796" s="6"/>
      <c r="M796" s="7" t="str">
        <f t="shared" si="42"/>
        <v/>
      </c>
      <c r="N796" s="6"/>
      <c r="O796" s="5"/>
    </row>
    <row r="797" spans="1:15" x14ac:dyDescent="0.2">
      <c r="A797" s="3" t="str">
        <f>IF($B797="","",COUNTA($B$9:$B797))</f>
        <v/>
      </c>
      <c r="B797" s="4"/>
      <c r="C797" s="4"/>
      <c r="D797" s="4"/>
      <c r="E797" s="5"/>
      <c r="F797" s="3" t="str">
        <f t="shared" si="40"/>
        <v/>
      </c>
      <c r="G797" s="4"/>
      <c r="H797" s="3" t="str">
        <f t="shared" si="41"/>
        <v/>
      </c>
      <c r="I797" s="5"/>
      <c r="J797" s="5"/>
      <c r="K797" s="6"/>
      <c r="L797" s="6"/>
      <c r="M797" s="7" t="str">
        <f t="shared" si="42"/>
        <v/>
      </c>
      <c r="N797" s="6"/>
      <c r="O797" s="5"/>
    </row>
    <row r="798" spans="1:15" x14ac:dyDescent="0.2">
      <c r="A798" s="3" t="str">
        <f>IF($B798="","",COUNTA($B$9:$B798))</f>
        <v/>
      </c>
      <c r="B798" s="4"/>
      <c r="C798" s="4"/>
      <c r="D798" s="4"/>
      <c r="E798" s="5"/>
      <c r="F798" s="3" t="str">
        <f t="shared" si="40"/>
        <v/>
      </c>
      <c r="G798" s="4"/>
      <c r="H798" s="3" t="str">
        <f t="shared" si="41"/>
        <v/>
      </c>
      <c r="I798" s="5"/>
      <c r="J798" s="5"/>
      <c r="K798" s="6"/>
      <c r="L798" s="6"/>
      <c r="M798" s="7" t="str">
        <f t="shared" si="42"/>
        <v/>
      </c>
      <c r="N798" s="6"/>
      <c r="O798" s="5"/>
    </row>
    <row r="799" spans="1:15" x14ac:dyDescent="0.2">
      <c r="A799" s="3" t="str">
        <f>IF($B799="","",COUNTA($B$9:$B799))</f>
        <v/>
      </c>
      <c r="B799" s="4"/>
      <c r="C799" s="4"/>
      <c r="D799" s="4"/>
      <c r="E799" s="5"/>
      <c r="F799" s="3" t="str">
        <f t="shared" si="40"/>
        <v/>
      </c>
      <c r="G799" s="4"/>
      <c r="H799" s="3" t="str">
        <f t="shared" si="41"/>
        <v/>
      </c>
      <c r="I799" s="5"/>
      <c r="J799" s="5"/>
      <c r="K799" s="6"/>
      <c r="L799" s="6"/>
      <c r="M799" s="7" t="str">
        <f t="shared" si="42"/>
        <v/>
      </c>
      <c r="N799" s="6"/>
      <c r="O799" s="5"/>
    </row>
    <row r="800" spans="1:15" x14ac:dyDescent="0.2">
      <c r="A800" s="3" t="str">
        <f>IF($B800="","",COUNTA($B$9:$B800))</f>
        <v/>
      </c>
      <c r="B800" s="4"/>
      <c r="C800" s="4"/>
      <c r="D800" s="4"/>
      <c r="E800" s="5"/>
      <c r="F800" s="3" t="str">
        <f t="shared" si="40"/>
        <v/>
      </c>
      <c r="G800" s="4"/>
      <c r="H800" s="3" t="str">
        <f t="shared" si="41"/>
        <v/>
      </c>
      <c r="I800" s="5"/>
      <c r="J800" s="5"/>
      <c r="K800" s="6"/>
      <c r="L800" s="6"/>
      <c r="M800" s="7" t="str">
        <f t="shared" si="42"/>
        <v/>
      </c>
      <c r="N800" s="6"/>
      <c r="O800" s="5"/>
    </row>
    <row r="801" spans="1:15" x14ac:dyDescent="0.2">
      <c r="A801" s="3" t="str">
        <f>IF($B801="","",COUNTA($B$9:$B801))</f>
        <v/>
      </c>
      <c r="B801" s="4"/>
      <c r="C801" s="4"/>
      <c r="D801" s="4"/>
      <c r="E801" s="5"/>
      <c r="F801" s="3" t="str">
        <f t="shared" si="40"/>
        <v/>
      </c>
      <c r="G801" s="4"/>
      <c r="H801" s="3" t="str">
        <f t="shared" si="41"/>
        <v/>
      </c>
      <c r="I801" s="5"/>
      <c r="J801" s="5"/>
      <c r="K801" s="6"/>
      <c r="L801" s="6"/>
      <c r="M801" s="7" t="str">
        <f t="shared" si="42"/>
        <v/>
      </c>
      <c r="N801" s="6"/>
      <c r="O801" s="5"/>
    </row>
    <row r="802" spans="1:15" x14ac:dyDescent="0.2">
      <c r="A802" s="3" t="str">
        <f>IF($B802="","",COUNTA($B$9:$B802))</f>
        <v/>
      </c>
      <c r="B802" s="4"/>
      <c r="C802" s="4"/>
      <c r="D802" s="4"/>
      <c r="E802" s="5"/>
      <c r="F802" s="3" t="str">
        <f t="shared" si="40"/>
        <v/>
      </c>
      <c r="G802" s="4"/>
      <c r="H802" s="3" t="str">
        <f t="shared" si="41"/>
        <v/>
      </c>
      <c r="I802" s="5"/>
      <c r="J802" s="5"/>
      <c r="K802" s="6"/>
      <c r="L802" s="6"/>
      <c r="M802" s="7" t="str">
        <f t="shared" si="42"/>
        <v/>
      </c>
      <c r="N802" s="6"/>
      <c r="O802" s="5"/>
    </row>
    <row r="803" spans="1:15" x14ac:dyDescent="0.2">
      <c r="A803" s="3" t="str">
        <f>IF($B803="","",COUNTA($B$9:$B803))</f>
        <v/>
      </c>
      <c r="B803" s="4"/>
      <c r="C803" s="4"/>
      <c r="D803" s="4"/>
      <c r="E803" s="5"/>
      <c r="F803" s="3" t="str">
        <f t="shared" si="40"/>
        <v/>
      </c>
      <c r="G803" s="4"/>
      <c r="H803" s="3" t="str">
        <f t="shared" si="41"/>
        <v/>
      </c>
      <c r="I803" s="5"/>
      <c r="J803" s="5"/>
      <c r="K803" s="6"/>
      <c r="L803" s="6"/>
      <c r="M803" s="7" t="str">
        <f t="shared" si="42"/>
        <v/>
      </c>
      <c r="N803" s="6"/>
      <c r="O803" s="5"/>
    </row>
    <row r="804" spans="1:15" x14ac:dyDescent="0.2">
      <c r="A804" s="3" t="str">
        <f>IF($B804="","",COUNTA($B$9:$B804))</f>
        <v/>
      </c>
      <c r="B804" s="4"/>
      <c r="C804" s="4"/>
      <c r="D804" s="4"/>
      <c r="E804" s="5"/>
      <c r="F804" s="3" t="str">
        <f t="shared" si="40"/>
        <v/>
      </c>
      <c r="G804" s="4"/>
      <c r="H804" s="3" t="str">
        <f t="shared" si="41"/>
        <v/>
      </c>
      <c r="I804" s="5"/>
      <c r="J804" s="5"/>
      <c r="K804" s="6"/>
      <c r="L804" s="6"/>
      <c r="M804" s="7" t="str">
        <f t="shared" si="42"/>
        <v/>
      </c>
      <c r="N804" s="6"/>
      <c r="O804" s="5"/>
    </row>
    <row r="805" spans="1:15" x14ac:dyDescent="0.2">
      <c r="A805" s="3" t="str">
        <f>IF($B805="","",COUNTA($B$9:$B805))</f>
        <v/>
      </c>
      <c r="B805" s="4"/>
      <c r="C805" s="4"/>
      <c r="D805" s="4"/>
      <c r="E805" s="5"/>
      <c r="F805" s="3" t="str">
        <f t="shared" si="40"/>
        <v/>
      </c>
      <c r="G805" s="4"/>
      <c r="H805" s="3" t="str">
        <f t="shared" si="41"/>
        <v/>
      </c>
      <c r="I805" s="5"/>
      <c r="J805" s="5"/>
      <c r="K805" s="6"/>
      <c r="L805" s="6"/>
      <c r="M805" s="7" t="str">
        <f t="shared" si="42"/>
        <v/>
      </c>
      <c r="N805" s="6"/>
      <c r="O805" s="5"/>
    </row>
    <row r="806" spans="1:15" x14ac:dyDescent="0.2">
      <c r="A806" s="3" t="str">
        <f>IF($B806="","",COUNTA($B$9:$B806))</f>
        <v/>
      </c>
      <c r="B806" s="4"/>
      <c r="C806" s="4"/>
      <c r="D806" s="4"/>
      <c r="E806" s="5"/>
      <c r="F806" s="3" t="str">
        <f t="shared" si="40"/>
        <v/>
      </c>
      <c r="G806" s="4"/>
      <c r="H806" s="3" t="str">
        <f t="shared" si="41"/>
        <v/>
      </c>
      <c r="I806" s="5"/>
      <c r="J806" s="5"/>
      <c r="K806" s="6"/>
      <c r="L806" s="6"/>
      <c r="M806" s="7" t="str">
        <f t="shared" si="42"/>
        <v/>
      </c>
      <c r="N806" s="6"/>
      <c r="O806" s="5"/>
    </row>
    <row r="807" spans="1:15" x14ac:dyDescent="0.2">
      <c r="A807" s="3" t="str">
        <f>IF($B807="","",COUNTA($B$9:$B807))</f>
        <v/>
      </c>
      <c r="B807" s="4"/>
      <c r="C807" s="4"/>
      <c r="D807" s="4"/>
      <c r="E807" s="5"/>
      <c r="F807" s="3" t="str">
        <f t="shared" si="40"/>
        <v/>
      </c>
      <c r="G807" s="4"/>
      <c r="H807" s="3" t="str">
        <f t="shared" si="41"/>
        <v/>
      </c>
      <c r="I807" s="5"/>
      <c r="J807" s="5"/>
      <c r="K807" s="6"/>
      <c r="L807" s="6"/>
      <c r="M807" s="7" t="str">
        <f t="shared" si="42"/>
        <v/>
      </c>
      <c r="N807" s="6"/>
      <c r="O807" s="5"/>
    </row>
    <row r="808" spans="1:15" x14ac:dyDescent="0.2">
      <c r="A808" s="3" t="str">
        <f>IF($B808="","",COUNTA($B$9:$B808))</f>
        <v/>
      </c>
      <c r="B808" s="4"/>
      <c r="C808" s="4"/>
      <c r="D808" s="4"/>
      <c r="E808" s="5"/>
      <c r="F808" s="3" t="str">
        <f t="shared" si="40"/>
        <v/>
      </c>
      <c r="G808" s="4"/>
      <c r="H808" s="3" t="str">
        <f t="shared" si="41"/>
        <v/>
      </c>
      <c r="I808" s="5"/>
      <c r="J808" s="5"/>
      <c r="K808" s="6"/>
      <c r="L808" s="6"/>
      <c r="M808" s="7" t="str">
        <f t="shared" si="42"/>
        <v/>
      </c>
      <c r="N808" s="6"/>
      <c r="O808" s="5"/>
    </row>
    <row r="809" spans="1:15" x14ac:dyDescent="0.2">
      <c r="A809" s="3" t="str">
        <f>IF($B809="","",COUNTA($B$9:$B809))</f>
        <v/>
      </c>
      <c r="B809" s="4"/>
      <c r="C809" s="4"/>
      <c r="D809" s="4"/>
      <c r="E809" s="5"/>
      <c r="F809" s="3" t="str">
        <f t="shared" si="40"/>
        <v/>
      </c>
      <c r="G809" s="4"/>
      <c r="H809" s="3" t="str">
        <f t="shared" si="41"/>
        <v/>
      </c>
      <c r="I809" s="5"/>
      <c r="J809" s="5"/>
      <c r="K809" s="6"/>
      <c r="L809" s="6"/>
      <c r="M809" s="7" t="str">
        <f t="shared" si="42"/>
        <v/>
      </c>
      <c r="N809" s="6"/>
      <c r="O809" s="5"/>
    </row>
    <row r="810" spans="1:15" x14ac:dyDescent="0.2">
      <c r="A810" s="3" t="str">
        <f>IF($B810="","",COUNTA($B$9:$B810))</f>
        <v/>
      </c>
      <c r="B810" s="4"/>
      <c r="C810" s="4"/>
      <c r="D810" s="4"/>
      <c r="E810" s="5"/>
      <c r="F810" s="3" t="str">
        <f t="shared" si="40"/>
        <v/>
      </c>
      <c r="G810" s="4"/>
      <c r="H810" s="3" t="str">
        <f t="shared" si="41"/>
        <v/>
      </c>
      <c r="I810" s="5"/>
      <c r="J810" s="5"/>
      <c r="K810" s="6"/>
      <c r="L810" s="6"/>
      <c r="M810" s="7" t="str">
        <f t="shared" si="42"/>
        <v/>
      </c>
      <c r="N810" s="6"/>
      <c r="O810" s="5"/>
    </row>
    <row r="811" spans="1:15" x14ac:dyDescent="0.2">
      <c r="A811" s="3" t="str">
        <f>IF($B811="","",COUNTA($B$9:$B811))</f>
        <v/>
      </c>
      <c r="B811" s="4"/>
      <c r="C811" s="4"/>
      <c r="D811" s="4"/>
      <c r="E811" s="5"/>
      <c r="F811" s="3" t="str">
        <f t="shared" si="40"/>
        <v/>
      </c>
      <c r="G811" s="4"/>
      <c r="H811" s="3" t="str">
        <f t="shared" si="41"/>
        <v/>
      </c>
      <c r="I811" s="5"/>
      <c r="J811" s="5"/>
      <c r="K811" s="6"/>
      <c r="L811" s="6"/>
      <c r="M811" s="7" t="str">
        <f t="shared" si="42"/>
        <v/>
      </c>
      <c r="N811" s="6"/>
      <c r="O811" s="5"/>
    </row>
    <row r="812" spans="1:15" x14ac:dyDescent="0.2">
      <c r="A812" s="3" t="str">
        <f>IF($B812="","",COUNTA($B$9:$B812))</f>
        <v/>
      </c>
      <c r="B812" s="4"/>
      <c r="C812" s="4"/>
      <c r="D812" s="4"/>
      <c r="E812" s="5"/>
      <c r="F812" s="3" t="str">
        <f t="shared" si="40"/>
        <v/>
      </c>
      <c r="G812" s="4"/>
      <c r="H812" s="3" t="str">
        <f t="shared" si="41"/>
        <v/>
      </c>
      <c r="I812" s="5"/>
      <c r="J812" s="5"/>
      <c r="K812" s="6"/>
      <c r="L812" s="6"/>
      <c r="M812" s="7" t="str">
        <f t="shared" si="42"/>
        <v/>
      </c>
      <c r="N812" s="6"/>
      <c r="O812" s="5"/>
    </row>
    <row r="813" spans="1:15" x14ac:dyDescent="0.2">
      <c r="A813" s="3" t="str">
        <f>IF($B813="","",COUNTA($B$9:$B813))</f>
        <v/>
      </c>
      <c r="B813" s="4"/>
      <c r="C813" s="4"/>
      <c r="D813" s="4"/>
      <c r="E813" s="5"/>
      <c r="F813" s="3" t="str">
        <f t="shared" si="40"/>
        <v/>
      </c>
      <c r="G813" s="4"/>
      <c r="H813" s="3" t="str">
        <f t="shared" si="41"/>
        <v/>
      </c>
      <c r="I813" s="5"/>
      <c r="J813" s="5"/>
      <c r="K813" s="6"/>
      <c r="L813" s="6"/>
      <c r="M813" s="7" t="str">
        <f t="shared" si="42"/>
        <v/>
      </c>
      <c r="N813" s="6"/>
      <c r="O813" s="5"/>
    </row>
    <row r="814" spans="1:15" x14ac:dyDescent="0.2">
      <c r="A814" s="3" t="str">
        <f>IF($B814="","",COUNTA($B$9:$B814))</f>
        <v/>
      </c>
      <c r="B814" s="4"/>
      <c r="C814" s="4"/>
      <c r="D814" s="4"/>
      <c r="E814" s="5"/>
      <c r="F814" s="3" t="str">
        <f t="shared" si="40"/>
        <v/>
      </c>
      <c r="G814" s="4"/>
      <c r="H814" s="3" t="str">
        <f t="shared" si="41"/>
        <v/>
      </c>
      <c r="I814" s="5"/>
      <c r="J814" s="5"/>
      <c r="K814" s="6"/>
      <c r="L814" s="6"/>
      <c r="M814" s="7" t="str">
        <f t="shared" si="42"/>
        <v/>
      </c>
      <c r="N814" s="6"/>
      <c r="O814" s="5"/>
    </row>
    <row r="815" spans="1:15" x14ac:dyDescent="0.2">
      <c r="A815" s="3" t="str">
        <f>IF($B815="","",COUNTA($B$9:$B815))</f>
        <v/>
      </c>
      <c r="B815" s="4"/>
      <c r="C815" s="4"/>
      <c r="D815" s="4"/>
      <c r="E815" s="5"/>
      <c r="F815" s="3" t="str">
        <f t="shared" si="40"/>
        <v/>
      </c>
      <c r="G815" s="4"/>
      <c r="H815" s="3" t="str">
        <f t="shared" si="41"/>
        <v/>
      </c>
      <c r="I815" s="5"/>
      <c r="J815" s="5"/>
      <c r="K815" s="6"/>
      <c r="L815" s="6"/>
      <c r="M815" s="7" t="str">
        <f t="shared" si="42"/>
        <v/>
      </c>
      <c r="N815" s="6"/>
      <c r="O815" s="5"/>
    </row>
    <row r="816" spans="1:15" x14ac:dyDescent="0.2">
      <c r="A816" s="3" t="str">
        <f>IF($B816="","",COUNTA($B$9:$B816))</f>
        <v/>
      </c>
      <c r="B816" s="4"/>
      <c r="C816" s="4"/>
      <c r="D816" s="4"/>
      <c r="E816" s="5"/>
      <c r="F816" s="3" t="str">
        <f t="shared" si="40"/>
        <v/>
      </c>
      <c r="G816" s="4"/>
      <c r="H816" s="3" t="str">
        <f t="shared" si="41"/>
        <v/>
      </c>
      <c r="I816" s="5"/>
      <c r="J816" s="5"/>
      <c r="K816" s="6"/>
      <c r="L816" s="6"/>
      <c r="M816" s="7" t="str">
        <f t="shared" si="42"/>
        <v/>
      </c>
      <c r="N816" s="6"/>
      <c r="O816" s="5"/>
    </row>
    <row r="817" spans="1:15" x14ac:dyDescent="0.2">
      <c r="A817" s="3" t="str">
        <f>IF($B817="","",COUNTA($B$9:$B817))</f>
        <v/>
      </c>
      <c r="B817" s="4"/>
      <c r="C817" s="4"/>
      <c r="D817" s="4"/>
      <c r="E817" s="5"/>
      <c r="F817" s="3" t="str">
        <f t="shared" si="40"/>
        <v/>
      </c>
      <c r="G817" s="4"/>
      <c r="H817" s="3" t="str">
        <f t="shared" si="41"/>
        <v/>
      </c>
      <c r="I817" s="5"/>
      <c r="J817" s="5"/>
      <c r="K817" s="6"/>
      <c r="L817" s="6"/>
      <c r="M817" s="7" t="str">
        <f t="shared" si="42"/>
        <v/>
      </c>
      <c r="N817" s="6"/>
      <c r="O817" s="5"/>
    </row>
    <row r="818" spans="1:15" x14ac:dyDescent="0.2">
      <c r="A818" s="3" t="str">
        <f>IF($B818="","",COUNTA($B$9:$B818))</f>
        <v/>
      </c>
      <c r="B818" s="4"/>
      <c r="C818" s="4"/>
      <c r="D818" s="4"/>
      <c r="E818" s="5"/>
      <c r="F818" s="3" t="str">
        <f t="shared" si="40"/>
        <v/>
      </c>
      <c r="G818" s="4"/>
      <c r="H818" s="3" t="str">
        <f t="shared" si="41"/>
        <v/>
      </c>
      <c r="I818" s="5"/>
      <c r="J818" s="5"/>
      <c r="K818" s="6"/>
      <c r="L818" s="6"/>
      <c r="M818" s="7" t="str">
        <f t="shared" si="42"/>
        <v/>
      </c>
      <c r="N818" s="6"/>
      <c r="O818" s="5"/>
    </row>
    <row r="819" spans="1:15" x14ac:dyDescent="0.2">
      <c r="A819" s="3" t="str">
        <f>IF($B819="","",COUNTA($B$9:$B819))</f>
        <v/>
      </c>
      <c r="B819" s="4"/>
      <c r="C819" s="4"/>
      <c r="D819" s="4"/>
      <c r="E819" s="5"/>
      <c r="F819" s="3" t="str">
        <f t="shared" si="40"/>
        <v/>
      </c>
      <c r="G819" s="4"/>
      <c r="H819" s="3" t="str">
        <f t="shared" si="41"/>
        <v/>
      </c>
      <c r="I819" s="5"/>
      <c r="J819" s="5"/>
      <c r="K819" s="6"/>
      <c r="L819" s="6"/>
      <c r="M819" s="7" t="str">
        <f t="shared" si="42"/>
        <v/>
      </c>
      <c r="N819" s="6"/>
      <c r="O819" s="5"/>
    </row>
    <row r="820" spans="1:15" x14ac:dyDescent="0.2">
      <c r="A820" s="3" t="str">
        <f>IF($B820="","",COUNTA($B$9:$B820))</f>
        <v/>
      </c>
      <c r="B820" s="4"/>
      <c r="C820" s="4"/>
      <c r="D820" s="4"/>
      <c r="E820" s="5"/>
      <c r="F820" s="3" t="str">
        <f t="shared" si="40"/>
        <v/>
      </c>
      <c r="G820" s="4"/>
      <c r="H820" s="3" t="str">
        <f t="shared" si="41"/>
        <v/>
      </c>
      <c r="I820" s="5"/>
      <c r="J820" s="5"/>
      <c r="K820" s="6"/>
      <c r="L820" s="6"/>
      <c r="M820" s="7" t="str">
        <f t="shared" si="42"/>
        <v/>
      </c>
      <c r="N820" s="6"/>
      <c r="O820" s="5"/>
    </row>
    <row r="821" spans="1:15" x14ac:dyDescent="0.2">
      <c r="A821" s="3" t="str">
        <f>IF($B821="","",COUNTA($B$9:$B821))</f>
        <v/>
      </c>
      <c r="B821" s="4"/>
      <c r="C821" s="4"/>
      <c r="D821" s="4"/>
      <c r="E821" s="5"/>
      <c r="F821" s="3" t="str">
        <f t="shared" si="40"/>
        <v/>
      </c>
      <c r="G821" s="4"/>
      <c r="H821" s="3" t="str">
        <f t="shared" si="41"/>
        <v/>
      </c>
      <c r="I821" s="5"/>
      <c r="J821" s="5"/>
      <c r="K821" s="6"/>
      <c r="L821" s="6"/>
      <c r="M821" s="7" t="str">
        <f t="shared" si="42"/>
        <v/>
      </c>
      <c r="N821" s="6"/>
      <c r="O821" s="5"/>
    </row>
    <row r="822" spans="1:15" x14ac:dyDescent="0.2">
      <c r="A822" s="3" t="str">
        <f>IF($B822="","",COUNTA($B$9:$B822))</f>
        <v/>
      </c>
      <c r="B822" s="4"/>
      <c r="C822" s="4"/>
      <c r="D822" s="4"/>
      <c r="E822" s="5"/>
      <c r="F822" s="3" t="str">
        <f t="shared" si="40"/>
        <v/>
      </c>
      <c r="G822" s="4"/>
      <c r="H822" s="3" t="str">
        <f t="shared" si="41"/>
        <v/>
      </c>
      <c r="I822" s="5"/>
      <c r="J822" s="5"/>
      <c r="K822" s="6"/>
      <c r="L822" s="6"/>
      <c r="M822" s="7" t="str">
        <f t="shared" si="42"/>
        <v/>
      </c>
      <c r="N822" s="6"/>
      <c r="O822" s="5"/>
    </row>
    <row r="823" spans="1:15" x14ac:dyDescent="0.2">
      <c r="A823" s="3" t="str">
        <f>IF($B823="","",COUNTA($B$9:$B823))</f>
        <v/>
      </c>
      <c r="B823" s="4"/>
      <c r="C823" s="4"/>
      <c r="D823" s="4"/>
      <c r="E823" s="5"/>
      <c r="F823" s="3" t="str">
        <f t="shared" si="40"/>
        <v/>
      </c>
      <c r="G823" s="4"/>
      <c r="H823" s="3" t="str">
        <f t="shared" si="41"/>
        <v/>
      </c>
      <c r="I823" s="5"/>
      <c r="J823" s="5"/>
      <c r="K823" s="6"/>
      <c r="L823" s="6"/>
      <c r="M823" s="7" t="str">
        <f t="shared" si="42"/>
        <v/>
      </c>
      <c r="N823" s="6"/>
      <c r="O823" s="5"/>
    </row>
    <row r="824" spans="1:15" x14ac:dyDescent="0.2">
      <c r="A824" s="3" t="str">
        <f>IF($B824="","",COUNTA($B$9:$B824))</f>
        <v/>
      </c>
      <c r="B824" s="4"/>
      <c r="C824" s="4"/>
      <c r="D824" s="4"/>
      <c r="E824" s="5"/>
      <c r="F824" s="3" t="str">
        <f t="shared" si="40"/>
        <v/>
      </c>
      <c r="G824" s="4"/>
      <c r="H824" s="3" t="str">
        <f t="shared" si="41"/>
        <v/>
      </c>
      <c r="I824" s="5"/>
      <c r="J824" s="5"/>
      <c r="K824" s="6"/>
      <c r="L824" s="6"/>
      <c r="M824" s="7" t="str">
        <f t="shared" si="42"/>
        <v/>
      </c>
      <c r="N824" s="6"/>
      <c r="O824" s="5"/>
    </row>
    <row r="825" spans="1:15" x14ac:dyDescent="0.2">
      <c r="A825" s="3" t="str">
        <f>IF($B825="","",COUNTA($B$9:$B825))</f>
        <v/>
      </c>
      <c r="B825" s="4"/>
      <c r="C825" s="4"/>
      <c r="D825" s="4"/>
      <c r="E825" s="5"/>
      <c r="F825" s="3" t="str">
        <f t="shared" si="40"/>
        <v/>
      </c>
      <c r="G825" s="4"/>
      <c r="H825" s="3" t="str">
        <f t="shared" si="41"/>
        <v/>
      </c>
      <c r="I825" s="5"/>
      <c r="J825" s="5"/>
      <c r="K825" s="6"/>
      <c r="L825" s="6"/>
      <c r="M825" s="7" t="str">
        <f t="shared" si="42"/>
        <v/>
      </c>
      <c r="N825" s="6"/>
      <c r="O825" s="5"/>
    </row>
    <row r="826" spans="1:15" x14ac:dyDescent="0.2">
      <c r="A826" s="3" t="str">
        <f>IF($B826="","",COUNTA($B$9:$B826))</f>
        <v/>
      </c>
      <c r="B826" s="4"/>
      <c r="C826" s="4"/>
      <c r="D826" s="4"/>
      <c r="E826" s="5"/>
      <c r="F826" s="3" t="str">
        <f t="shared" si="40"/>
        <v/>
      </c>
      <c r="G826" s="4"/>
      <c r="H826" s="3" t="str">
        <f t="shared" si="41"/>
        <v/>
      </c>
      <c r="I826" s="5"/>
      <c r="J826" s="5"/>
      <c r="K826" s="6"/>
      <c r="L826" s="6"/>
      <c r="M826" s="7" t="str">
        <f t="shared" si="42"/>
        <v/>
      </c>
      <c r="N826" s="6"/>
      <c r="O826" s="5"/>
    </row>
    <row r="827" spans="1:15" x14ac:dyDescent="0.2">
      <c r="A827" s="3" t="str">
        <f>IF($B827="","",COUNTA($B$9:$B827))</f>
        <v/>
      </c>
      <c r="B827" s="4"/>
      <c r="C827" s="4"/>
      <c r="D827" s="4"/>
      <c r="E827" s="5"/>
      <c r="F827" s="3" t="str">
        <f t="shared" si="40"/>
        <v/>
      </c>
      <c r="G827" s="4"/>
      <c r="H827" s="3" t="str">
        <f t="shared" si="41"/>
        <v/>
      </c>
      <c r="I827" s="5"/>
      <c r="J827" s="5"/>
      <c r="K827" s="6"/>
      <c r="L827" s="6"/>
      <c r="M827" s="7" t="str">
        <f t="shared" si="42"/>
        <v/>
      </c>
      <c r="N827" s="6"/>
      <c r="O827" s="5"/>
    </row>
    <row r="828" spans="1:15" x14ac:dyDescent="0.2">
      <c r="A828" s="3" t="str">
        <f>IF($B828="","",COUNTA($B$9:$B828))</f>
        <v/>
      </c>
      <c r="B828" s="4"/>
      <c r="C828" s="4"/>
      <c r="D828" s="4"/>
      <c r="E828" s="5"/>
      <c r="F828" s="3" t="str">
        <f t="shared" si="40"/>
        <v/>
      </c>
      <c r="G828" s="4"/>
      <c r="H828" s="3" t="str">
        <f t="shared" si="41"/>
        <v/>
      </c>
      <c r="I828" s="5"/>
      <c r="J828" s="5"/>
      <c r="K828" s="6"/>
      <c r="L828" s="6"/>
      <c r="M828" s="7" t="str">
        <f t="shared" si="42"/>
        <v/>
      </c>
      <c r="N828" s="6"/>
      <c r="O828" s="5"/>
    </row>
    <row r="829" spans="1:15" x14ac:dyDescent="0.2">
      <c r="A829" s="3" t="str">
        <f>IF($B829="","",COUNTA($B$9:$B829))</f>
        <v/>
      </c>
      <c r="B829" s="4"/>
      <c r="C829" s="4"/>
      <c r="D829" s="4"/>
      <c r="E829" s="5"/>
      <c r="F829" s="3" t="str">
        <f t="shared" si="40"/>
        <v/>
      </c>
      <c r="G829" s="4"/>
      <c r="H829" s="3" t="str">
        <f t="shared" si="41"/>
        <v/>
      </c>
      <c r="I829" s="5"/>
      <c r="J829" s="5"/>
      <c r="K829" s="6"/>
      <c r="L829" s="6"/>
      <c r="M829" s="7" t="str">
        <f t="shared" si="42"/>
        <v/>
      </c>
      <c r="N829" s="6"/>
      <c r="O829" s="5"/>
    </row>
    <row r="830" spans="1:15" x14ac:dyDescent="0.2">
      <c r="A830" s="3" t="str">
        <f>IF($B830="","",COUNTA($B$9:$B830))</f>
        <v/>
      </c>
      <c r="B830" s="4"/>
      <c r="C830" s="4"/>
      <c r="D830" s="4"/>
      <c r="E830" s="5"/>
      <c r="F830" s="3" t="str">
        <f t="shared" si="40"/>
        <v/>
      </c>
      <c r="G830" s="4"/>
      <c r="H830" s="3" t="str">
        <f t="shared" si="41"/>
        <v/>
      </c>
      <c r="I830" s="5"/>
      <c r="J830" s="5"/>
      <c r="K830" s="6"/>
      <c r="L830" s="6"/>
      <c r="M830" s="7" t="str">
        <f t="shared" si="42"/>
        <v/>
      </c>
      <c r="N830" s="6"/>
      <c r="O830" s="5"/>
    </row>
    <row r="831" spans="1:15" x14ac:dyDescent="0.2">
      <c r="A831" s="3" t="str">
        <f>IF($B831="","",COUNTA($B$9:$B831))</f>
        <v/>
      </c>
      <c r="B831" s="4"/>
      <c r="C831" s="4"/>
      <c r="D831" s="4"/>
      <c r="E831" s="5"/>
      <c r="F831" s="3" t="str">
        <f t="shared" si="40"/>
        <v/>
      </c>
      <c r="G831" s="4"/>
      <c r="H831" s="3" t="str">
        <f t="shared" si="41"/>
        <v/>
      </c>
      <c r="I831" s="5"/>
      <c r="J831" s="5"/>
      <c r="K831" s="6"/>
      <c r="L831" s="6"/>
      <c r="M831" s="7" t="str">
        <f t="shared" si="42"/>
        <v/>
      </c>
      <c r="N831" s="6"/>
      <c r="O831" s="5"/>
    </row>
    <row r="832" spans="1:15" x14ac:dyDescent="0.2">
      <c r="A832" s="3" t="str">
        <f>IF($B832="","",COUNTA($B$9:$B832))</f>
        <v/>
      </c>
      <c r="B832" s="4"/>
      <c r="C832" s="4"/>
      <c r="D832" s="4"/>
      <c r="E832" s="5"/>
      <c r="F832" s="3" t="str">
        <f t="shared" si="40"/>
        <v/>
      </c>
      <c r="G832" s="4"/>
      <c r="H832" s="3" t="str">
        <f t="shared" si="41"/>
        <v/>
      </c>
      <c r="I832" s="5"/>
      <c r="J832" s="5"/>
      <c r="K832" s="6"/>
      <c r="L832" s="6"/>
      <c r="M832" s="7" t="str">
        <f t="shared" si="42"/>
        <v/>
      </c>
      <c r="N832" s="6"/>
      <c r="O832" s="5"/>
    </row>
    <row r="833" spans="1:15" x14ac:dyDescent="0.2">
      <c r="A833" s="3" t="str">
        <f>IF($B833="","",COUNTA($B$9:$B833))</f>
        <v/>
      </c>
      <c r="B833" s="4"/>
      <c r="C833" s="4"/>
      <c r="D833" s="4"/>
      <c r="E833" s="5"/>
      <c r="F833" s="3" t="str">
        <f t="shared" si="40"/>
        <v/>
      </c>
      <c r="G833" s="4"/>
      <c r="H833" s="3" t="str">
        <f t="shared" si="41"/>
        <v/>
      </c>
      <c r="I833" s="5"/>
      <c r="J833" s="5"/>
      <c r="K833" s="6"/>
      <c r="L833" s="6"/>
      <c r="M833" s="7" t="str">
        <f t="shared" si="42"/>
        <v/>
      </c>
      <c r="N833" s="6"/>
      <c r="O833" s="5"/>
    </row>
    <row r="834" spans="1:15" x14ac:dyDescent="0.2">
      <c r="A834" s="3" t="str">
        <f>IF($B834="","",COUNTA($B$9:$B834))</f>
        <v/>
      </c>
      <c r="B834" s="4"/>
      <c r="C834" s="4"/>
      <c r="D834" s="4"/>
      <c r="E834" s="5"/>
      <c r="F834" s="3" t="str">
        <f t="shared" si="40"/>
        <v/>
      </c>
      <c r="G834" s="4"/>
      <c r="H834" s="3" t="str">
        <f t="shared" si="41"/>
        <v/>
      </c>
      <c r="I834" s="5"/>
      <c r="J834" s="5"/>
      <c r="K834" s="6"/>
      <c r="L834" s="6"/>
      <c r="M834" s="7" t="str">
        <f t="shared" si="42"/>
        <v/>
      </c>
      <c r="N834" s="6"/>
      <c r="O834" s="5"/>
    </row>
    <row r="835" spans="1:15" x14ac:dyDescent="0.2">
      <c r="A835" s="3" t="str">
        <f>IF($B835="","",COUNTA($B$9:$B835))</f>
        <v/>
      </c>
      <c r="B835" s="4"/>
      <c r="C835" s="4"/>
      <c r="D835" s="4"/>
      <c r="E835" s="5"/>
      <c r="F835" s="3" t="str">
        <f t="shared" si="40"/>
        <v/>
      </c>
      <c r="G835" s="4"/>
      <c r="H835" s="3" t="str">
        <f t="shared" si="41"/>
        <v/>
      </c>
      <c r="I835" s="5"/>
      <c r="J835" s="5"/>
      <c r="K835" s="6"/>
      <c r="L835" s="6"/>
      <c r="M835" s="7" t="str">
        <f t="shared" si="42"/>
        <v/>
      </c>
      <c r="N835" s="6"/>
      <c r="O835" s="5"/>
    </row>
    <row r="836" spans="1:15" x14ac:dyDescent="0.2">
      <c r="A836" s="3" t="str">
        <f>IF($B836="","",COUNTA($B$9:$B836))</f>
        <v/>
      </c>
      <c r="B836" s="4"/>
      <c r="C836" s="4"/>
      <c r="D836" s="4"/>
      <c r="E836" s="5"/>
      <c r="F836" s="3" t="str">
        <f t="shared" si="40"/>
        <v/>
      </c>
      <c r="G836" s="4"/>
      <c r="H836" s="3" t="str">
        <f t="shared" si="41"/>
        <v/>
      </c>
      <c r="I836" s="5"/>
      <c r="J836" s="5"/>
      <c r="K836" s="6"/>
      <c r="L836" s="6"/>
      <c r="M836" s="7" t="str">
        <f t="shared" si="42"/>
        <v/>
      </c>
      <c r="N836" s="6"/>
      <c r="O836" s="5"/>
    </row>
    <row r="837" spans="1:15" x14ac:dyDescent="0.2">
      <c r="A837" s="3" t="str">
        <f>IF($B837="","",COUNTA($B$9:$B837))</f>
        <v/>
      </c>
      <c r="B837" s="4"/>
      <c r="C837" s="4"/>
      <c r="D837" s="4"/>
      <c r="E837" s="5"/>
      <c r="F837" s="3" t="str">
        <f t="shared" si="40"/>
        <v/>
      </c>
      <c r="G837" s="4"/>
      <c r="H837" s="3" t="str">
        <f t="shared" si="41"/>
        <v/>
      </c>
      <c r="I837" s="5"/>
      <c r="J837" s="5"/>
      <c r="K837" s="6"/>
      <c r="L837" s="6"/>
      <c r="M837" s="7" t="str">
        <f t="shared" si="42"/>
        <v/>
      </c>
      <c r="N837" s="6"/>
      <c r="O837" s="5"/>
    </row>
    <row r="838" spans="1:15" x14ac:dyDescent="0.2">
      <c r="A838" s="3" t="str">
        <f>IF($B838="","",COUNTA($B$9:$B838))</f>
        <v/>
      </c>
      <c r="B838" s="4"/>
      <c r="C838" s="4"/>
      <c r="D838" s="4"/>
      <c r="E838" s="5"/>
      <c r="F838" s="3" t="str">
        <f t="shared" si="40"/>
        <v/>
      </c>
      <c r="G838" s="4"/>
      <c r="H838" s="3" t="str">
        <f t="shared" si="41"/>
        <v/>
      </c>
      <c r="I838" s="5"/>
      <c r="J838" s="5"/>
      <c r="K838" s="6"/>
      <c r="L838" s="6"/>
      <c r="M838" s="7" t="str">
        <f t="shared" si="42"/>
        <v/>
      </c>
      <c r="N838" s="6"/>
      <c r="O838" s="5"/>
    </row>
    <row r="839" spans="1:15" x14ac:dyDescent="0.2">
      <c r="A839" s="3" t="str">
        <f>IF($B839="","",COUNTA($B$9:$B839))</f>
        <v/>
      </c>
      <c r="B839" s="4"/>
      <c r="C839" s="4"/>
      <c r="D839" s="4"/>
      <c r="E839" s="5"/>
      <c r="F839" s="3" t="str">
        <f t="shared" si="40"/>
        <v/>
      </c>
      <c r="G839" s="4"/>
      <c r="H839" s="3" t="str">
        <f t="shared" si="41"/>
        <v/>
      </c>
      <c r="I839" s="5"/>
      <c r="J839" s="5"/>
      <c r="K839" s="6"/>
      <c r="L839" s="6"/>
      <c r="M839" s="7" t="str">
        <f t="shared" si="42"/>
        <v/>
      </c>
      <c r="N839" s="6"/>
      <c r="O839" s="5"/>
    </row>
    <row r="840" spans="1:15" x14ac:dyDescent="0.2">
      <c r="A840" s="3" t="str">
        <f>IF($B840="","",COUNTA($B$9:$B840))</f>
        <v/>
      </c>
      <c r="B840" s="4"/>
      <c r="C840" s="4"/>
      <c r="D840" s="4"/>
      <c r="E840" s="5"/>
      <c r="F840" s="3" t="str">
        <f t="shared" ref="F840:F903" si="43">IF($E840="","",IFERROR(VLOOKUP($E840,OpTbl,2,0),""))</f>
        <v/>
      </c>
      <c r="G840" s="4"/>
      <c r="H840" s="3" t="str">
        <f t="shared" ref="H840:H903" si="44">IF($G840="","",IFERROR(IF(VLOOKUP($G840,AcctTbl,4,0)="","(بدون نام)",VLOOKUP($G840,AcctTbl,4,0)),"کد ناشناخته"))</f>
        <v/>
      </c>
      <c r="I840" s="5"/>
      <c r="J840" s="5"/>
      <c r="K840" s="6"/>
      <c r="L840" s="6"/>
      <c r="M840" s="7" t="str">
        <f t="shared" ref="M840:M903" si="45">IF(OR($B840="",$K840=""),"",($K840-IF($L840="",0,$L840)*IFERROR(VLOOKUP("P01",ParamTbl,3,0),1.5))*(1-IF(IFERROR(VLOOKUP($E840,OpTbl,3,0),"")="خرید",IFERROR(VLOOKUP("P02",ParamTbl,3,0),1),0)/100))</f>
        <v/>
      </c>
      <c r="N840" s="6"/>
      <c r="O840" s="5"/>
    </row>
    <row r="841" spans="1:15" x14ac:dyDescent="0.2">
      <c r="A841" s="3" t="str">
        <f>IF($B841="","",COUNTA($B$9:$B841))</f>
        <v/>
      </c>
      <c r="B841" s="4"/>
      <c r="C841" s="4"/>
      <c r="D841" s="4"/>
      <c r="E841" s="5"/>
      <c r="F841" s="3" t="str">
        <f t="shared" si="43"/>
        <v/>
      </c>
      <c r="G841" s="4"/>
      <c r="H841" s="3" t="str">
        <f t="shared" si="44"/>
        <v/>
      </c>
      <c r="I841" s="5"/>
      <c r="J841" s="5"/>
      <c r="K841" s="6"/>
      <c r="L841" s="6"/>
      <c r="M841" s="7" t="str">
        <f t="shared" si="45"/>
        <v/>
      </c>
      <c r="N841" s="6"/>
      <c r="O841" s="5"/>
    </row>
    <row r="842" spans="1:15" x14ac:dyDescent="0.2">
      <c r="A842" s="3" t="str">
        <f>IF($B842="","",COUNTA($B$9:$B842))</f>
        <v/>
      </c>
      <c r="B842" s="4"/>
      <c r="C842" s="4"/>
      <c r="D842" s="4"/>
      <c r="E842" s="5"/>
      <c r="F842" s="3" t="str">
        <f t="shared" si="43"/>
        <v/>
      </c>
      <c r="G842" s="4"/>
      <c r="H842" s="3" t="str">
        <f t="shared" si="44"/>
        <v/>
      </c>
      <c r="I842" s="5"/>
      <c r="J842" s="5"/>
      <c r="K842" s="6"/>
      <c r="L842" s="6"/>
      <c r="M842" s="7" t="str">
        <f t="shared" si="45"/>
        <v/>
      </c>
      <c r="N842" s="6"/>
      <c r="O842" s="5"/>
    </row>
    <row r="843" spans="1:15" x14ac:dyDescent="0.2">
      <c r="A843" s="3" t="str">
        <f>IF($B843="","",COUNTA($B$9:$B843))</f>
        <v/>
      </c>
      <c r="B843" s="4"/>
      <c r="C843" s="4"/>
      <c r="D843" s="4"/>
      <c r="E843" s="5"/>
      <c r="F843" s="3" t="str">
        <f t="shared" si="43"/>
        <v/>
      </c>
      <c r="G843" s="4"/>
      <c r="H843" s="3" t="str">
        <f t="shared" si="44"/>
        <v/>
      </c>
      <c r="I843" s="5"/>
      <c r="J843" s="5"/>
      <c r="K843" s="6"/>
      <c r="L843" s="6"/>
      <c r="M843" s="7" t="str">
        <f t="shared" si="45"/>
        <v/>
      </c>
      <c r="N843" s="6"/>
      <c r="O843" s="5"/>
    </row>
    <row r="844" spans="1:15" x14ac:dyDescent="0.2">
      <c r="A844" s="3" t="str">
        <f>IF($B844="","",COUNTA($B$9:$B844))</f>
        <v/>
      </c>
      <c r="B844" s="4"/>
      <c r="C844" s="4"/>
      <c r="D844" s="4"/>
      <c r="E844" s="5"/>
      <c r="F844" s="3" t="str">
        <f t="shared" si="43"/>
        <v/>
      </c>
      <c r="G844" s="4"/>
      <c r="H844" s="3" t="str">
        <f t="shared" si="44"/>
        <v/>
      </c>
      <c r="I844" s="5"/>
      <c r="J844" s="5"/>
      <c r="K844" s="6"/>
      <c r="L844" s="6"/>
      <c r="M844" s="7" t="str">
        <f t="shared" si="45"/>
        <v/>
      </c>
      <c r="N844" s="6"/>
      <c r="O844" s="5"/>
    </row>
    <row r="845" spans="1:15" x14ac:dyDescent="0.2">
      <c r="A845" s="3" t="str">
        <f>IF($B845="","",COUNTA($B$9:$B845))</f>
        <v/>
      </c>
      <c r="B845" s="4"/>
      <c r="C845" s="4"/>
      <c r="D845" s="4"/>
      <c r="E845" s="5"/>
      <c r="F845" s="3" t="str">
        <f t="shared" si="43"/>
        <v/>
      </c>
      <c r="G845" s="4"/>
      <c r="H845" s="3" t="str">
        <f t="shared" si="44"/>
        <v/>
      </c>
      <c r="I845" s="5"/>
      <c r="J845" s="5"/>
      <c r="K845" s="6"/>
      <c r="L845" s="6"/>
      <c r="M845" s="7" t="str">
        <f t="shared" si="45"/>
        <v/>
      </c>
      <c r="N845" s="6"/>
      <c r="O845" s="5"/>
    </row>
    <row r="846" spans="1:15" x14ac:dyDescent="0.2">
      <c r="A846" s="3" t="str">
        <f>IF($B846="","",COUNTA($B$9:$B846))</f>
        <v/>
      </c>
      <c r="B846" s="4"/>
      <c r="C846" s="4"/>
      <c r="D846" s="4"/>
      <c r="E846" s="5"/>
      <c r="F846" s="3" t="str">
        <f t="shared" si="43"/>
        <v/>
      </c>
      <c r="G846" s="4"/>
      <c r="H846" s="3" t="str">
        <f t="shared" si="44"/>
        <v/>
      </c>
      <c r="I846" s="5"/>
      <c r="J846" s="5"/>
      <c r="K846" s="6"/>
      <c r="L846" s="6"/>
      <c r="M846" s="7" t="str">
        <f t="shared" si="45"/>
        <v/>
      </c>
      <c r="N846" s="6"/>
      <c r="O846" s="5"/>
    </row>
    <row r="847" spans="1:15" x14ac:dyDescent="0.2">
      <c r="A847" s="3" t="str">
        <f>IF($B847="","",COUNTA($B$9:$B847))</f>
        <v/>
      </c>
      <c r="B847" s="4"/>
      <c r="C847" s="4"/>
      <c r="D847" s="4"/>
      <c r="E847" s="5"/>
      <c r="F847" s="3" t="str">
        <f t="shared" si="43"/>
        <v/>
      </c>
      <c r="G847" s="4"/>
      <c r="H847" s="3" t="str">
        <f t="shared" si="44"/>
        <v/>
      </c>
      <c r="I847" s="5"/>
      <c r="J847" s="5"/>
      <c r="K847" s="6"/>
      <c r="L847" s="6"/>
      <c r="M847" s="7" t="str">
        <f t="shared" si="45"/>
        <v/>
      </c>
      <c r="N847" s="6"/>
      <c r="O847" s="5"/>
    </row>
    <row r="848" spans="1:15" x14ac:dyDescent="0.2">
      <c r="A848" s="3" t="str">
        <f>IF($B848="","",COUNTA($B$9:$B848))</f>
        <v/>
      </c>
      <c r="B848" s="4"/>
      <c r="C848" s="4"/>
      <c r="D848" s="4"/>
      <c r="E848" s="5"/>
      <c r="F848" s="3" t="str">
        <f t="shared" si="43"/>
        <v/>
      </c>
      <c r="G848" s="4"/>
      <c r="H848" s="3" t="str">
        <f t="shared" si="44"/>
        <v/>
      </c>
      <c r="I848" s="5"/>
      <c r="J848" s="5"/>
      <c r="K848" s="6"/>
      <c r="L848" s="6"/>
      <c r="M848" s="7" t="str">
        <f t="shared" si="45"/>
        <v/>
      </c>
      <c r="N848" s="6"/>
      <c r="O848" s="5"/>
    </row>
    <row r="849" spans="1:15" x14ac:dyDescent="0.2">
      <c r="A849" s="3" t="str">
        <f>IF($B849="","",COUNTA($B$9:$B849))</f>
        <v/>
      </c>
      <c r="B849" s="4"/>
      <c r="C849" s="4"/>
      <c r="D849" s="4"/>
      <c r="E849" s="5"/>
      <c r="F849" s="3" t="str">
        <f t="shared" si="43"/>
        <v/>
      </c>
      <c r="G849" s="4"/>
      <c r="H849" s="3" t="str">
        <f t="shared" si="44"/>
        <v/>
      </c>
      <c r="I849" s="5"/>
      <c r="J849" s="5"/>
      <c r="K849" s="6"/>
      <c r="L849" s="6"/>
      <c r="M849" s="7" t="str">
        <f t="shared" si="45"/>
        <v/>
      </c>
      <c r="N849" s="6"/>
      <c r="O849" s="5"/>
    </row>
    <row r="850" spans="1:15" x14ac:dyDescent="0.2">
      <c r="A850" s="3" t="str">
        <f>IF($B850="","",COUNTA($B$9:$B850))</f>
        <v/>
      </c>
      <c r="B850" s="4"/>
      <c r="C850" s="4"/>
      <c r="D850" s="4"/>
      <c r="E850" s="5"/>
      <c r="F850" s="3" t="str">
        <f t="shared" si="43"/>
        <v/>
      </c>
      <c r="G850" s="4"/>
      <c r="H850" s="3" t="str">
        <f t="shared" si="44"/>
        <v/>
      </c>
      <c r="I850" s="5"/>
      <c r="J850" s="5"/>
      <c r="K850" s="6"/>
      <c r="L850" s="6"/>
      <c r="M850" s="7" t="str">
        <f t="shared" si="45"/>
        <v/>
      </c>
      <c r="N850" s="6"/>
      <c r="O850" s="5"/>
    </row>
    <row r="851" spans="1:15" x14ac:dyDescent="0.2">
      <c r="A851" s="3" t="str">
        <f>IF($B851="","",COUNTA($B$9:$B851))</f>
        <v/>
      </c>
      <c r="B851" s="4"/>
      <c r="C851" s="4"/>
      <c r="D851" s="4"/>
      <c r="E851" s="5"/>
      <c r="F851" s="3" t="str">
        <f t="shared" si="43"/>
        <v/>
      </c>
      <c r="G851" s="4"/>
      <c r="H851" s="3" t="str">
        <f t="shared" si="44"/>
        <v/>
      </c>
      <c r="I851" s="5"/>
      <c r="J851" s="5"/>
      <c r="K851" s="6"/>
      <c r="L851" s="6"/>
      <c r="M851" s="7" t="str">
        <f t="shared" si="45"/>
        <v/>
      </c>
      <c r="N851" s="6"/>
      <c r="O851" s="5"/>
    </row>
    <row r="852" spans="1:15" x14ac:dyDescent="0.2">
      <c r="A852" s="3" t="str">
        <f>IF($B852="","",COUNTA($B$9:$B852))</f>
        <v/>
      </c>
      <c r="B852" s="4"/>
      <c r="C852" s="4"/>
      <c r="D852" s="4"/>
      <c r="E852" s="5"/>
      <c r="F852" s="3" t="str">
        <f t="shared" si="43"/>
        <v/>
      </c>
      <c r="G852" s="4"/>
      <c r="H852" s="3" t="str">
        <f t="shared" si="44"/>
        <v/>
      </c>
      <c r="I852" s="5"/>
      <c r="J852" s="5"/>
      <c r="K852" s="6"/>
      <c r="L852" s="6"/>
      <c r="M852" s="7" t="str">
        <f t="shared" si="45"/>
        <v/>
      </c>
      <c r="N852" s="6"/>
      <c r="O852" s="5"/>
    </row>
    <row r="853" spans="1:15" x14ac:dyDescent="0.2">
      <c r="A853" s="3" t="str">
        <f>IF($B853="","",COUNTA($B$9:$B853))</f>
        <v/>
      </c>
      <c r="B853" s="4"/>
      <c r="C853" s="4"/>
      <c r="D853" s="4"/>
      <c r="E853" s="5"/>
      <c r="F853" s="3" t="str">
        <f t="shared" si="43"/>
        <v/>
      </c>
      <c r="G853" s="4"/>
      <c r="H853" s="3" t="str">
        <f t="shared" si="44"/>
        <v/>
      </c>
      <c r="I853" s="5"/>
      <c r="J853" s="5"/>
      <c r="K853" s="6"/>
      <c r="L853" s="6"/>
      <c r="M853" s="7" t="str">
        <f t="shared" si="45"/>
        <v/>
      </c>
      <c r="N853" s="6"/>
      <c r="O853" s="5"/>
    </row>
    <row r="854" spans="1:15" x14ac:dyDescent="0.2">
      <c r="A854" s="3" t="str">
        <f>IF($B854="","",COUNTA($B$9:$B854))</f>
        <v/>
      </c>
      <c r="B854" s="4"/>
      <c r="C854" s="4"/>
      <c r="D854" s="4"/>
      <c r="E854" s="5"/>
      <c r="F854" s="3" t="str">
        <f t="shared" si="43"/>
        <v/>
      </c>
      <c r="G854" s="4"/>
      <c r="H854" s="3" t="str">
        <f t="shared" si="44"/>
        <v/>
      </c>
      <c r="I854" s="5"/>
      <c r="J854" s="5"/>
      <c r="K854" s="6"/>
      <c r="L854" s="6"/>
      <c r="M854" s="7" t="str">
        <f t="shared" si="45"/>
        <v/>
      </c>
      <c r="N854" s="6"/>
      <c r="O854" s="5"/>
    </row>
    <row r="855" spans="1:15" x14ac:dyDescent="0.2">
      <c r="A855" s="3" t="str">
        <f>IF($B855="","",COUNTA($B$9:$B855))</f>
        <v/>
      </c>
      <c r="B855" s="4"/>
      <c r="C855" s="4"/>
      <c r="D855" s="4"/>
      <c r="E855" s="5"/>
      <c r="F855" s="3" t="str">
        <f t="shared" si="43"/>
        <v/>
      </c>
      <c r="G855" s="4"/>
      <c r="H855" s="3" t="str">
        <f t="shared" si="44"/>
        <v/>
      </c>
      <c r="I855" s="5"/>
      <c r="J855" s="5"/>
      <c r="K855" s="6"/>
      <c r="L855" s="6"/>
      <c r="M855" s="7" t="str">
        <f t="shared" si="45"/>
        <v/>
      </c>
      <c r="N855" s="6"/>
      <c r="O855" s="5"/>
    </row>
    <row r="856" spans="1:15" x14ac:dyDescent="0.2">
      <c r="A856" s="3" t="str">
        <f>IF($B856="","",COUNTA($B$9:$B856))</f>
        <v/>
      </c>
      <c r="B856" s="4"/>
      <c r="C856" s="4"/>
      <c r="D856" s="4"/>
      <c r="E856" s="5"/>
      <c r="F856" s="3" t="str">
        <f t="shared" si="43"/>
        <v/>
      </c>
      <c r="G856" s="4"/>
      <c r="H856" s="3" t="str">
        <f t="shared" si="44"/>
        <v/>
      </c>
      <c r="I856" s="5"/>
      <c r="J856" s="5"/>
      <c r="K856" s="6"/>
      <c r="L856" s="6"/>
      <c r="M856" s="7" t="str">
        <f t="shared" si="45"/>
        <v/>
      </c>
      <c r="N856" s="6"/>
      <c r="O856" s="5"/>
    </row>
    <row r="857" spans="1:15" x14ac:dyDescent="0.2">
      <c r="A857" s="3" t="str">
        <f>IF($B857="","",COUNTA($B$9:$B857))</f>
        <v/>
      </c>
      <c r="B857" s="4"/>
      <c r="C857" s="4"/>
      <c r="D857" s="4"/>
      <c r="E857" s="5"/>
      <c r="F857" s="3" t="str">
        <f t="shared" si="43"/>
        <v/>
      </c>
      <c r="G857" s="4"/>
      <c r="H857" s="3" t="str">
        <f t="shared" si="44"/>
        <v/>
      </c>
      <c r="I857" s="5"/>
      <c r="J857" s="5"/>
      <c r="K857" s="6"/>
      <c r="L857" s="6"/>
      <c r="M857" s="7" t="str">
        <f t="shared" si="45"/>
        <v/>
      </c>
      <c r="N857" s="6"/>
      <c r="O857" s="5"/>
    </row>
    <row r="858" spans="1:15" x14ac:dyDescent="0.2">
      <c r="A858" s="3" t="str">
        <f>IF($B858="","",COUNTA($B$9:$B858))</f>
        <v/>
      </c>
      <c r="B858" s="4"/>
      <c r="C858" s="4"/>
      <c r="D858" s="4"/>
      <c r="E858" s="5"/>
      <c r="F858" s="3" t="str">
        <f t="shared" si="43"/>
        <v/>
      </c>
      <c r="G858" s="4"/>
      <c r="H858" s="3" t="str">
        <f t="shared" si="44"/>
        <v/>
      </c>
      <c r="I858" s="5"/>
      <c r="J858" s="5"/>
      <c r="K858" s="6"/>
      <c r="L858" s="6"/>
      <c r="M858" s="7" t="str">
        <f t="shared" si="45"/>
        <v/>
      </c>
      <c r="N858" s="6"/>
      <c r="O858" s="5"/>
    </row>
    <row r="859" spans="1:15" x14ac:dyDescent="0.2">
      <c r="A859" s="3" t="str">
        <f>IF($B859="","",COUNTA($B$9:$B859))</f>
        <v/>
      </c>
      <c r="B859" s="4"/>
      <c r="C859" s="4"/>
      <c r="D859" s="4"/>
      <c r="E859" s="5"/>
      <c r="F859" s="3" t="str">
        <f t="shared" si="43"/>
        <v/>
      </c>
      <c r="G859" s="4"/>
      <c r="H859" s="3" t="str">
        <f t="shared" si="44"/>
        <v/>
      </c>
      <c r="I859" s="5"/>
      <c r="J859" s="5"/>
      <c r="K859" s="6"/>
      <c r="L859" s="6"/>
      <c r="M859" s="7" t="str">
        <f t="shared" si="45"/>
        <v/>
      </c>
      <c r="N859" s="6"/>
      <c r="O859" s="5"/>
    </row>
    <row r="860" spans="1:15" x14ac:dyDescent="0.2">
      <c r="A860" s="3" t="str">
        <f>IF($B860="","",COUNTA($B$9:$B860))</f>
        <v/>
      </c>
      <c r="B860" s="4"/>
      <c r="C860" s="4"/>
      <c r="D860" s="4"/>
      <c r="E860" s="5"/>
      <c r="F860" s="3" t="str">
        <f t="shared" si="43"/>
        <v/>
      </c>
      <c r="G860" s="4"/>
      <c r="H860" s="3" t="str">
        <f t="shared" si="44"/>
        <v/>
      </c>
      <c r="I860" s="5"/>
      <c r="J860" s="5"/>
      <c r="K860" s="6"/>
      <c r="L860" s="6"/>
      <c r="M860" s="7" t="str">
        <f t="shared" si="45"/>
        <v/>
      </c>
      <c r="N860" s="6"/>
      <c r="O860" s="5"/>
    </row>
    <row r="861" spans="1:15" x14ac:dyDescent="0.2">
      <c r="A861" s="3" t="str">
        <f>IF($B861="","",COUNTA($B$9:$B861))</f>
        <v/>
      </c>
      <c r="B861" s="4"/>
      <c r="C861" s="4"/>
      <c r="D861" s="4"/>
      <c r="E861" s="5"/>
      <c r="F861" s="3" t="str">
        <f t="shared" si="43"/>
        <v/>
      </c>
      <c r="G861" s="4"/>
      <c r="H861" s="3" t="str">
        <f t="shared" si="44"/>
        <v/>
      </c>
      <c r="I861" s="5"/>
      <c r="J861" s="5"/>
      <c r="K861" s="6"/>
      <c r="L861" s="6"/>
      <c r="M861" s="7" t="str">
        <f t="shared" si="45"/>
        <v/>
      </c>
      <c r="N861" s="6"/>
      <c r="O861" s="5"/>
    </row>
    <row r="862" spans="1:15" x14ac:dyDescent="0.2">
      <c r="A862" s="3" t="str">
        <f>IF($B862="","",COUNTA($B$9:$B862))</f>
        <v/>
      </c>
      <c r="B862" s="4"/>
      <c r="C862" s="4"/>
      <c r="D862" s="4"/>
      <c r="E862" s="5"/>
      <c r="F862" s="3" t="str">
        <f t="shared" si="43"/>
        <v/>
      </c>
      <c r="G862" s="4"/>
      <c r="H862" s="3" t="str">
        <f t="shared" si="44"/>
        <v/>
      </c>
      <c r="I862" s="5"/>
      <c r="J862" s="5"/>
      <c r="K862" s="6"/>
      <c r="L862" s="6"/>
      <c r="M862" s="7" t="str">
        <f t="shared" si="45"/>
        <v/>
      </c>
      <c r="N862" s="6"/>
      <c r="O862" s="5"/>
    </row>
    <row r="863" spans="1:15" x14ac:dyDescent="0.2">
      <c r="A863" s="3" t="str">
        <f>IF($B863="","",COUNTA($B$9:$B863))</f>
        <v/>
      </c>
      <c r="B863" s="4"/>
      <c r="C863" s="4"/>
      <c r="D863" s="4"/>
      <c r="E863" s="5"/>
      <c r="F863" s="3" t="str">
        <f t="shared" si="43"/>
        <v/>
      </c>
      <c r="G863" s="4"/>
      <c r="H863" s="3" t="str">
        <f t="shared" si="44"/>
        <v/>
      </c>
      <c r="I863" s="5"/>
      <c r="J863" s="5"/>
      <c r="K863" s="6"/>
      <c r="L863" s="6"/>
      <c r="M863" s="7" t="str">
        <f t="shared" si="45"/>
        <v/>
      </c>
      <c r="N863" s="6"/>
      <c r="O863" s="5"/>
    </row>
    <row r="864" spans="1:15" x14ac:dyDescent="0.2">
      <c r="A864" s="3" t="str">
        <f>IF($B864="","",COUNTA($B$9:$B864))</f>
        <v/>
      </c>
      <c r="B864" s="4"/>
      <c r="C864" s="4"/>
      <c r="D864" s="4"/>
      <c r="E864" s="5"/>
      <c r="F864" s="3" t="str">
        <f t="shared" si="43"/>
        <v/>
      </c>
      <c r="G864" s="4"/>
      <c r="H864" s="3" t="str">
        <f t="shared" si="44"/>
        <v/>
      </c>
      <c r="I864" s="5"/>
      <c r="J864" s="5"/>
      <c r="K864" s="6"/>
      <c r="L864" s="6"/>
      <c r="M864" s="7" t="str">
        <f t="shared" si="45"/>
        <v/>
      </c>
      <c r="N864" s="6"/>
      <c r="O864" s="5"/>
    </row>
    <row r="865" spans="1:15" x14ac:dyDescent="0.2">
      <c r="A865" s="3" t="str">
        <f>IF($B865="","",COUNTA($B$9:$B865))</f>
        <v/>
      </c>
      <c r="B865" s="4"/>
      <c r="C865" s="4"/>
      <c r="D865" s="4"/>
      <c r="E865" s="5"/>
      <c r="F865" s="3" t="str">
        <f t="shared" si="43"/>
        <v/>
      </c>
      <c r="G865" s="4"/>
      <c r="H865" s="3" t="str">
        <f t="shared" si="44"/>
        <v/>
      </c>
      <c r="I865" s="5"/>
      <c r="J865" s="5"/>
      <c r="K865" s="6"/>
      <c r="L865" s="6"/>
      <c r="M865" s="7" t="str">
        <f t="shared" si="45"/>
        <v/>
      </c>
      <c r="N865" s="6"/>
      <c r="O865" s="5"/>
    </row>
    <row r="866" spans="1:15" x14ac:dyDescent="0.2">
      <c r="A866" s="3" t="str">
        <f>IF($B866="","",COUNTA($B$9:$B866))</f>
        <v/>
      </c>
      <c r="B866" s="4"/>
      <c r="C866" s="4"/>
      <c r="D866" s="4"/>
      <c r="E866" s="5"/>
      <c r="F866" s="3" t="str">
        <f t="shared" si="43"/>
        <v/>
      </c>
      <c r="G866" s="4"/>
      <c r="H866" s="3" t="str">
        <f t="shared" si="44"/>
        <v/>
      </c>
      <c r="I866" s="5"/>
      <c r="J866" s="5"/>
      <c r="K866" s="6"/>
      <c r="L866" s="6"/>
      <c r="M866" s="7" t="str">
        <f t="shared" si="45"/>
        <v/>
      </c>
      <c r="N866" s="6"/>
      <c r="O866" s="5"/>
    </row>
    <row r="867" spans="1:15" x14ac:dyDescent="0.2">
      <c r="A867" s="3" t="str">
        <f>IF($B867="","",COUNTA($B$9:$B867))</f>
        <v/>
      </c>
      <c r="B867" s="4"/>
      <c r="C867" s="4"/>
      <c r="D867" s="4"/>
      <c r="E867" s="5"/>
      <c r="F867" s="3" t="str">
        <f t="shared" si="43"/>
        <v/>
      </c>
      <c r="G867" s="4"/>
      <c r="H867" s="3" t="str">
        <f t="shared" si="44"/>
        <v/>
      </c>
      <c r="I867" s="5"/>
      <c r="J867" s="5"/>
      <c r="K867" s="6"/>
      <c r="L867" s="6"/>
      <c r="M867" s="7" t="str">
        <f t="shared" si="45"/>
        <v/>
      </c>
      <c r="N867" s="6"/>
      <c r="O867" s="5"/>
    </row>
    <row r="868" spans="1:15" x14ac:dyDescent="0.2">
      <c r="A868" s="3" t="str">
        <f>IF($B868="","",COUNTA($B$9:$B868))</f>
        <v/>
      </c>
      <c r="B868" s="4"/>
      <c r="C868" s="4"/>
      <c r="D868" s="4"/>
      <c r="E868" s="5"/>
      <c r="F868" s="3" t="str">
        <f t="shared" si="43"/>
        <v/>
      </c>
      <c r="G868" s="4"/>
      <c r="H868" s="3" t="str">
        <f t="shared" si="44"/>
        <v/>
      </c>
      <c r="I868" s="5"/>
      <c r="J868" s="5"/>
      <c r="K868" s="6"/>
      <c r="L868" s="6"/>
      <c r="M868" s="7" t="str">
        <f t="shared" si="45"/>
        <v/>
      </c>
      <c r="N868" s="6"/>
      <c r="O868" s="5"/>
    </row>
    <row r="869" spans="1:15" x14ac:dyDescent="0.2">
      <c r="A869" s="3" t="str">
        <f>IF($B869="","",COUNTA($B$9:$B869))</f>
        <v/>
      </c>
      <c r="B869" s="4"/>
      <c r="C869" s="4"/>
      <c r="D869" s="4"/>
      <c r="E869" s="5"/>
      <c r="F869" s="3" t="str">
        <f t="shared" si="43"/>
        <v/>
      </c>
      <c r="G869" s="4"/>
      <c r="H869" s="3" t="str">
        <f t="shared" si="44"/>
        <v/>
      </c>
      <c r="I869" s="5"/>
      <c r="J869" s="5"/>
      <c r="K869" s="6"/>
      <c r="L869" s="6"/>
      <c r="M869" s="7" t="str">
        <f t="shared" si="45"/>
        <v/>
      </c>
      <c r="N869" s="6"/>
      <c r="O869" s="5"/>
    </row>
    <row r="870" spans="1:15" x14ac:dyDescent="0.2">
      <c r="A870" s="3" t="str">
        <f>IF($B870="","",COUNTA($B$9:$B870))</f>
        <v/>
      </c>
      <c r="B870" s="4"/>
      <c r="C870" s="4"/>
      <c r="D870" s="4"/>
      <c r="E870" s="5"/>
      <c r="F870" s="3" t="str">
        <f t="shared" si="43"/>
        <v/>
      </c>
      <c r="G870" s="4"/>
      <c r="H870" s="3" t="str">
        <f t="shared" si="44"/>
        <v/>
      </c>
      <c r="I870" s="5"/>
      <c r="J870" s="5"/>
      <c r="K870" s="6"/>
      <c r="L870" s="6"/>
      <c r="M870" s="7" t="str">
        <f t="shared" si="45"/>
        <v/>
      </c>
      <c r="N870" s="6"/>
      <c r="O870" s="5"/>
    </row>
    <row r="871" spans="1:15" x14ac:dyDescent="0.2">
      <c r="A871" s="3" t="str">
        <f>IF($B871="","",COUNTA($B$9:$B871))</f>
        <v/>
      </c>
      <c r="B871" s="4"/>
      <c r="C871" s="4"/>
      <c r="D871" s="4"/>
      <c r="E871" s="5"/>
      <c r="F871" s="3" t="str">
        <f t="shared" si="43"/>
        <v/>
      </c>
      <c r="G871" s="4"/>
      <c r="H871" s="3" t="str">
        <f t="shared" si="44"/>
        <v/>
      </c>
      <c r="I871" s="5"/>
      <c r="J871" s="5"/>
      <c r="K871" s="6"/>
      <c r="L871" s="6"/>
      <c r="M871" s="7" t="str">
        <f t="shared" si="45"/>
        <v/>
      </c>
      <c r="N871" s="6"/>
      <c r="O871" s="5"/>
    </row>
    <row r="872" spans="1:15" x14ac:dyDescent="0.2">
      <c r="A872" s="3" t="str">
        <f>IF($B872="","",COUNTA($B$9:$B872))</f>
        <v/>
      </c>
      <c r="B872" s="4"/>
      <c r="C872" s="4"/>
      <c r="D872" s="4"/>
      <c r="E872" s="5"/>
      <c r="F872" s="3" t="str">
        <f t="shared" si="43"/>
        <v/>
      </c>
      <c r="G872" s="4"/>
      <c r="H872" s="3" t="str">
        <f t="shared" si="44"/>
        <v/>
      </c>
      <c r="I872" s="5"/>
      <c r="J872" s="5"/>
      <c r="K872" s="6"/>
      <c r="L872" s="6"/>
      <c r="M872" s="7" t="str">
        <f t="shared" si="45"/>
        <v/>
      </c>
      <c r="N872" s="6"/>
      <c r="O872" s="5"/>
    </row>
    <row r="873" spans="1:15" x14ac:dyDescent="0.2">
      <c r="A873" s="3" t="str">
        <f>IF($B873="","",COUNTA($B$9:$B873))</f>
        <v/>
      </c>
      <c r="B873" s="4"/>
      <c r="C873" s="4"/>
      <c r="D873" s="4"/>
      <c r="E873" s="5"/>
      <c r="F873" s="3" t="str">
        <f t="shared" si="43"/>
        <v/>
      </c>
      <c r="G873" s="4"/>
      <c r="H873" s="3" t="str">
        <f t="shared" si="44"/>
        <v/>
      </c>
      <c r="I873" s="5"/>
      <c r="J873" s="5"/>
      <c r="K873" s="6"/>
      <c r="L873" s="6"/>
      <c r="M873" s="7" t="str">
        <f t="shared" si="45"/>
        <v/>
      </c>
      <c r="N873" s="6"/>
      <c r="O873" s="5"/>
    </row>
    <row r="874" spans="1:15" x14ac:dyDescent="0.2">
      <c r="A874" s="3" t="str">
        <f>IF($B874="","",COUNTA($B$9:$B874))</f>
        <v/>
      </c>
      <c r="B874" s="4"/>
      <c r="C874" s="4"/>
      <c r="D874" s="4"/>
      <c r="E874" s="5"/>
      <c r="F874" s="3" t="str">
        <f t="shared" si="43"/>
        <v/>
      </c>
      <c r="G874" s="4"/>
      <c r="H874" s="3" t="str">
        <f t="shared" si="44"/>
        <v/>
      </c>
      <c r="I874" s="5"/>
      <c r="J874" s="5"/>
      <c r="K874" s="6"/>
      <c r="L874" s="6"/>
      <c r="M874" s="7" t="str">
        <f t="shared" si="45"/>
        <v/>
      </c>
      <c r="N874" s="6"/>
      <c r="O874" s="5"/>
    </row>
    <row r="875" spans="1:15" x14ac:dyDescent="0.2">
      <c r="A875" s="3" t="str">
        <f>IF($B875="","",COUNTA($B$9:$B875))</f>
        <v/>
      </c>
      <c r="B875" s="4"/>
      <c r="C875" s="4"/>
      <c r="D875" s="4"/>
      <c r="E875" s="5"/>
      <c r="F875" s="3" t="str">
        <f t="shared" si="43"/>
        <v/>
      </c>
      <c r="G875" s="4"/>
      <c r="H875" s="3" t="str">
        <f t="shared" si="44"/>
        <v/>
      </c>
      <c r="I875" s="5"/>
      <c r="J875" s="5"/>
      <c r="K875" s="6"/>
      <c r="L875" s="6"/>
      <c r="M875" s="7" t="str">
        <f t="shared" si="45"/>
        <v/>
      </c>
      <c r="N875" s="6"/>
      <c r="O875" s="5"/>
    </row>
    <row r="876" spans="1:15" x14ac:dyDescent="0.2">
      <c r="A876" s="3" t="str">
        <f>IF($B876="","",COUNTA($B$9:$B876))</f>
        <v/>
      </c>
      <c r="B876" s="4"/>
      <c r="C876" s="4"/>
      <c r="D876" s="4"/>
      <c r="E876" s="5"/>
      <c r="F876" s="3" t="str">
        <f t="shared" si="43"/>
        <v/>
      </c>
      <c r="G876" s="4"/>
      <c r="H876" s="3" t="str">
        <f t="shared" si="44"/>
        <v/>
      </c>
      <c r="I876" s="5"/>
      <c r="J876" s="5"/>
      <c r="K876" s="6"/>
      <c r="L876" s="6"/>
      <c r="M876" s="7" t="str">
        <f t="shared" si="45"/>
        <v/>
      </c>
      <c r="N876" s="6"/>
      <c r="O876" s="5"/>
    </row>
    <row r="877" spans="1:15" x14ac:dyDescent="0.2">
      <c r="A877" s="3" t="str">
        <f>IF($B877="","",COUNTA($B$9:$B877))</f>
        <v/>
      </c>
      <c r="B877" s="4"/>
      <c r="C877" s="4"/>
      <c r="D877" s="4"/>
      <c r="E877" s="5"/>
      <c r="F877" s="3" t="str">
        <f t="shared" si="43"/>
        <v/>
      </c>
      <c r="G877" s="4"/>
      <c r="H877" s="3" t="str">
        <f t="shared" si="44"/>
        <v/>
      </c>
      <c r="I877" s="5"/>
      <c r="J877" s="5"/>
      <c r="K877" s="6"/>
      <c r="L877" s="6"/>
      <c r="M877" s="7" t="str">
        <f t="shared" si="45"/>
        <v/>
      </c>
      <c r="N877" s="6"/>
      <c r="O877" s="5"/>
    </row>
    <row r="878" spans="1:15" x14ac:dyDescent="0.2">
      <c r="A878" s="3" t="str">
        <f>IF($B878="","",COUNTA($B$9:$B878))</f>
        <v/>
      </c>
      <c r="B878" s="4"/>
      <c r="C878" s="4"/>
      <c r="D878" s="4"/>
      <c r="E878" s="5"/>
      <c r="F878" s="3" t="str">
        <f t="shared" si="43"/>
        <v/>
      </c>
      <c r="G878" s="4"/>
      <c r="H878" s="3" t="str">
        <f t="shared" si="44"/>
        <v/>
      </c>
      <c r="I878" s="5"/>
      <c r="J878" s="5"/>
      <c r="K878" s="6"/>
      <c r="L878" s="6"/>
      <c r="M878" s="7" t="str">
        <f t="shared" si="45"/>
        <v/>
      </c>
      <c r="N878" s="6"/>
      <c r="O878" s="5"/>
    </row>
    <row r="879" spans="1:15" x14ac:dyDescent="0.2">
      <c r="A879" s="3" t="str">
        <f>IF($B879="","",COUNTA($B$9:$B879))</f>
        <v/>
      </c>
      <c r="B879" s="4"/>
      <c r="C879" s="4"/>
      <c r="D879" s="4"/>
      <c r="E879" s="5"/>
      <c r="F879" s="3" t="str">
        <f t="shared" si="43"/>
        <v/>
      </c>
      <c r="G879" s="4"/>
      <c r="H879" s="3" t="str">
        <f t="shared" si="44"/>
        <v/>
      </c>
      <c r="I879" s="5"/>
      <c r="J879" s="5"/>
      <c r="K879" s="6"/>
      <c r="L879" s="6"/>
      <c r="M879" s="7" t="str">
        <f t="shared" si="45"/>
        <v/>
      </c>
      <c r="N879" s="6"/>
      <c r="O879" s="5"/>
    </row>
    <row r="880" spans="1:15" x14ac:dyDescent="0.2">
      <c r="A880" s="3" t="str">
        <f>IF($B880="","",COUNTA($B$9:$B880))</f>
        <v/>
      </c>
      <c r="B880" s="4"/>
      <c r="C880" s="4"/>
      <c r="D880" s="4"/>
      <c r="E880" s="5"/>
      <c r="F880" s="3" t="str">
        <f t="shared" si="43"/>
        <v/>
      </c>
      <c r="G880" s="4"/>
      <c r="H880" s="3" t="str">
        <f t="shared" si="44"/>
        <v/>
      </c>
      <c r="I880" s="5"/>
      <c r="J880" s="5"/>
      <c r="K880" s="6"/>
      <c r="L880" s="6"/>
      <c r="M880" s="7" t="str">
        <f t="shared" si="45"/>
        <v/>
      </c>
      <c r="N880" s="6"/>
      <c r="O880" s="5"/>
    </row>
    <row r="881" spans="1:15" x14ac:dyDescent="0.2">
      <c r="A881" s="3" t="str">
        <f>IF($B881="","",COUNTA($B$9:$B881))</f>
        <v/>
      </c>
      <c r="B881" s="4"/>
      <c r="C881" s="4"/>
      <c r="D881" s="4"/>
      <c r="E881" s="5"/>
      <c r="F881" s="3" t="str">
        <f t="shared" si="43"/>
        <v/>
      </c>
      <c r="G881" s="4"/>
      <c r="H881" s="3" t="str">
        <f t="shared" si="44"/>
        <v/>
      </c>
      <c r="I881" s="5"/>
      <c r="J881" s="5"/>
      <c r="K881" s="6"/>
      <c r="L881" s="6"/>
      <c r="M881" s="7" t="str">
        <f t="shared" si="45"/>
        <v/>
      </c>
      <c r="N881" s="6"/>
      <c r="O881" s="5"/>
    </row>
    <row r="882" spans="1:15" x14ac:dyDescent="0.2">
      <c r="A882" s="3" t="str">
        <f>IF($B882="","",COUNTA($B$9:$B882))</f>
        <v/>
      </c>
      <c r="B882" s="4"/>
      <c r="C882" s="4"/>
      <c r="D882" s="4"/>
      <c r="E882" s="5"/>
      <c r="F882" s="3" t="str">
        <f t="shared" si="43"/>
        <v/>
      </c>
      <c r="G882" s="4"/>
      <c r="H882" s="3" t="str">
        <f t="shared" si="44"/>
        <v/>
      </c>
      <c r="I882" s="5"/>
      <c r="J882" s="5"/>
      <c r="K882" s="6"/>
      <c r="L882" s="6"/>
      <c r="M882" s="7" t="str">
        <f t="shared" si="45"/>
        <v/>
      </c>
      <c r="N882" s="6"/>
      <c r="O882" s="5"/>
    </row>
    <row r="883" spans="1:15" x14ac:dyDescent="0.2">
      <c r="A883" s="3" t="str">
        <f>IF($B883="","",COUNTA($B$9:$B883))</f>
        <v/>
      </c>
      <c r="B883" s="4"/>
      <c r="C883" s="4"/>
      <c r="D883" s="4"/>
      <c r="E883" s="5"/>
      <c r="F883" s="3" t="str">
        <f t="shared" si="43"/>
        <v/>
      </c>
      <c r="G883" s="4"/>
      <c r="H883" s="3" t="str">
        <f t="shared" si="44"/>
        <v/>
      </c>
      <c r="I883" s="5"/>
      <c r="J883" s="5"/>
      <c r="K883" s="6"/>
      <c r="L883" s="6"/>
      <c r="M883" s="7" t="str">
        <f t="shared" si="45"/>
        <v/>
      </c>
      <c r="N883" s="6"/>
      <c r="O883" s="5"/>
    </row>
    <row r="884" spans="1:15" x14ac:dyDescent="0.2">
      <c r="A884" s="3" t="str">
        <f>IF($B884="","",COUNTA($B$9:$B884))</f>
        <v/>
      </c>
      <c r="B884" s="4"/>
      <c r="C884" s="4"/>
      <c r="D884" s="4"/>
      <c r="E884" s="5"/>
      <c r="F884" s="3" t="str">
        <f t="shared" si="43"/>
        <v/>
      </c>
      <c r="G884" s="4"/>
      <c r="H884" s="3" t="str">
        <f t="shared" si="44"/>
        <v/>
      </c>
      <c r="I884" s="5"/>
      <c r="J884" s="5"/>
      <c r="K884" s="6"/>
      <c r="L884" s="6"/>
      <c r="M884" s="7" t="str">
        <f t="shared" si="45"/>
        <v/>
      </c>
      <c r="N884" s="6"/>
      <c r="O884" s="5"/>
    </row>
    <row r="885" spans="1:15" x14ac:dyDescent="0.2">
      <c r="A885" s="3" t="str">
        <f>IF($B885="","",COUNTA($B$9:$B885))</f>
        <v/>
      </c>
      <c r="B885" s="4"/>
      <c r="C885" s="4"/>
      <c r="D885" s="4"/>
      <c r="E885" s="5"/>
      <c r="F885" s="3" t="str">
        <f t="shared" si="43"/>
        <v/>
      </c>
      <c r="G885" s="4"/>
      <c r="H885" s="3" t="str">
        <f t="shared" si="44"/>
        <v/>
      </c>
      <c r="I885" s="5"/>
      <c r="J885" s="5"/>
      <c r="K885" s="6"/>
      <c r="L885" s="6"/>
      <c r="M885" s="7" t="str">
        <f t="shared" si="45"/>
        <v/>
      </c>
      <c r="N885" s="6"/>
      <c r="O885" s="5"/>
    </row>
    <row r="886" spans="1:15" x14ac:dyDescent="0.2">
      <c r="A886" s="3" t="str">
        <f>IF($B886="","",COUNTA($B$9:$B886))</f>
        <v/>
      </c>
      <c r="B886" s="4"/>
      <c r="C886" s="4"/>
      <c r="D886" s="4"/>
      <c r="E886" s="5"/>
      <c r="F886" s="3" t="str">
        <f t="shared" si="43"/>
        <v/>
      </c>
      <c r="G886" s="4"/>
      <c r="H886" s="3" t="str">
        <f t="shared" si="44"/>
        <v/>
      </c>
      <c r="I886" s="5"/>
      <c r="J886" s="5"/>
      <c r="K886" s="6"/>
      <c r="L886" s="6"/>
      <c r="M886" s="7" t="str">
        <f t="shared" si="45"/>
        <v/>
      </c>
      <c r="N886" s="6"/>
      <c r="O886" s="5"/>
    </row>
    <row r="887" spans="1:15" x14ac:dyDescent="0.2">
      <c r="A887" s="3" t="str">
        <f>IF($B887="","",COUNTA($B$9:$B887))</f>
        <v/>
      </c>
      <c r="B887" s="4"/>
      <c r="C887" s="4"/>
      <c r="D887" s="4"/>
      <c r="E887" s="5"/>
      <c r="F887" s="3" t="str">
        <f t="shared" si="43"/>
        <v/>
      </c>
      <c r="G887" s="4"/>
      <c r="H887" s="3" t="str">
        <f t="shared" si="44"/>
        <v/>
      </c>
      <c r="I887" s="5"/>
      <c r="J887" s="5"/>
      <c r="K887" s="6"/>
      <c r="L887" s="6"/>
      <c r="M887" s="7" t="str">
        <f t="shared" si="45"/>
        <v/>
      </c>
      <c r="N887" s="6"/>
      <c r="O887" s="5"/>
    </row>
    <row r="888" spans="1:15" x14ac:dyDescent="0.2">
      <c r="A888" s="3" t="str">
        <f>IF($B888="","",COUNTA($B$9:$B888))</f>
        <v/>
      </c>
      <c r="B888" s="4"/>
      <c r="C888" s="4"/>
      <c r="D888" s="4"/>
      <c r="E888" s="5"/>
      <c r="F888" s="3" t="str">
        <f t="shared" si="43"/>
        <v/>
      </c>
      <c r="G888" s="4"/>
      <c r="H888" s="3" t="str">
        <f t="shared" si="44"/>
        <v/>
      </c>
      <c r="I888" s="5"/>
      <c r="J888" s="5"/>
      <c r="K888" s="6"/>
      <c r="L888" s="6"/>
      <c r="M888" s="7" t="str">
        <f t="shared" si="45"/>
        <v/>
      </c>
      <c r="N888" s="6"/>
      <c r="O888" s="5"/>
    </row>
    <row r="889" spans="1:15" x14ac:dyDescent="0.2">
      <c r="A889" s="3" t="str">
        <f>IF($B889="","",COUNTA($B$9:$B889))</f>
        <v/>
      </c>
      <c r="B889" s="4"/>
      <c r="C889" s="4"/>
      <c r="D889" s="4"/>
      <c r="E889" s="5"/>
      <c r="F889" s="3" t="str">
        <f t="shared" si="43"/>
        <v/>
      </c>
      <c r="G889" s="4"/>
      <c r="H889" s="3" t="str">
        <f t="shared" si="44"/>
        <v/>
      </c>
      <c r="I889" s="5"/>
      <c r="J889" s="5"/>
      <c r="K889" s="6"/>
      <c r="L889" s="6"/>
      <c r="M889" s="7" t="str">
        <f t="shared" si="45"/>
        <v/>
      </c>
      <c r="N889" s="6"/>
      <c r="O889" s="5"/>
    </row>
    <row r="890" spans="1:15" x14ac:dyDescent="0.2">
      <c r="A890" s="3" t="str">
        <f>IF($B890="","",COUNTA($B$9:$B890))</f>
        <v/>
      </c>
      <c r="B890" s="4"/>
      <c r="C890" s="4"/>
      <c r="D890" s="4"/>
      <c r="E890" s="5"/>
      <c r="F890" s="3" t="str">
        <f t="shared" si="43"/>
        <v/>
      </c>
      <c r="G890" s="4"/>
      <c r="H890" s="3" t="str">
        <f t="shared" si="44"/>
        <v/>
      </c>
      <c r="I890" s="5"/>
      <c r="J890" s="5"/>
      <c r="K890" s="6"/>
      <c r="L890" s="6"/>
      <c r="M890" s="7" t="str">
        <f t="shared" si="45"/>
        <v/>
      </c>
      <c r="N890" s="6"/>
      <c r="O890" s="5"/>
    </row>
    <row r="891" spans="1:15" x14ac:dyDescent="0.2">
      <c r="A891" s="3" t="str">
        <f>IF($B891="","",COUNTA($B$9:$B891))</f>
        <v/>
      </c>
      <c r="B891" s="4"/>
      <c r="C891" s="4"/>
      <c r="D891" s="4"/>
      <c r="E891" s="5"/>
      <c r="F891" s="3" t="str">
        <f t="shared" si="43"/>
        <v/>
      </c>
      <c r="G891" s="4"/>
      <c r="H891" s="3" t="str">
        <f t="shared" si="44"/>
        <v/>
      </c>
      <c r="I891" s="5"/>
      <c r="J891" s="5"/>
      <c r="K891" s="6"/>
      <c r="L891" s="6"/>
      <c r="M891" s="7" t="str">
        <f t="shared" si="45"/>
        <v/>
      </c>
      <c r="N891" s="6"/>
      <c r="O891" s="5"/>
    </row>
    <row r="892" spans="1:15" x14ac:dyDescent="0.2">
      <c r="A892" s="3" t="str">
        <f>IF($B892="","",COUNTA($B$9:$B892))</f>
        <v/>
      </c>
      <c r="B892" s="4"/>
      <c r="C892" s="4"/>
      <c r="D892" s="4"/>
      <c r="E892" s="5"/>
      <c r="F892" s="3" t="str">
        <f t="shared" si="43"/>
        <v/>
      </c>
      <c r="G892" s="4"/>
      <c r="H892" s="3" t="str">
        <f t="shared" si="44"/>
        <v/>
      </c>
      <c r="I892" s="5"/>
      <c r="J892" s="5"/>
      <c r="K892" s="6"/>
      <c r="L892" s="6"/>
      <c r="M892" s="7" t="str">
        <f t="shared" si="45"/>
        <v/>
      </c>
      <c r="N892" s="6"/>
      <c r="O892" s="5"/>
    </row>
    <row r="893" spans="1:15" x14ac:dyDescent="0.2">
      <c r="A893" s="3" t="str">
        <f>IF($B893="","",COUNTA($B$9:$B893))</f>
        <v/>
      </c>
      <c r="B893" s="4"/>
      <c r="C893" s="4"/>
      <c r="D893" s="4"/>
      <c r="E893" s="5"/>
      <c r="F893" s="3" t="str">
        <f t="shared" si="43"/>
        <v/>
      </c>
      <c r="G893" s="4"/>
      <c r="H893" s="3" t="str">
        <f t="shared" si="44"/>
        <v/>
      </c>
      <c r="I893" s="5"/>
      <c r="J893" s="5"/>
      <c r="K893" s="6"/>
      <c r="L893" s="6"/>
      <c r="M893" s="7" t="str">
        <f t="shared" si="45"/>
        <v/>
      </c>
      <c r="N893" s="6"/>
      <c r="O893" s="5"/>
    </row>
    <row r="894" spans="1:15" x14ac:dyDescent="0.2">
      <c r="A894" s="3" t="str">
        <f>IF($B894="","",COUNTA($B$9:$B894))</f>
        <v/>
      </c>
      <c r="B894" s="4"/>
      <c r="C894" s="4"/>
      <c r="D894" s="4"/>
      <c r="E894" s="5"/>
      <c r="F894" s="3" t="str">
        <f t="shared" si="43"/>
        <v/>
      </c>
      <c r="G894" s="4"/>
      <c r="H894" s="3" t="str">
        <f t="shared" si="44"/>
        <v/>
      </c>
      <c r="I894" s="5"/>
      <c r="J894" s="5"/>
      <c r="K894" s="6"/>
      <c r="L894" s="6"/>
      <c r="M894" s="7" t="str">
        <f t="shared" si="45"/>
        <v/>
      </c>
      <c r="N894" s="6"/>
      <c r="O894" s="5"/>
    </row>
    <row r="895" spans="1:15" x14ac:dyDescent="0.2">
      <c r="A895" s="3" t="str">
        <f>IF($B895="","",COUNTA($B$9:$B895))</f>
        <v/>
      </c>
      <c r="B895" s="4"/>
      <c r="C895" s="4"/>
      <c r="D895" s="4"/>
      <c r="E895" s="5"/>
      <c r="F895" s="3" t="str">
        <f t="shared" si="43"/>
        <v/>
      </c>
      <c r="G895" s="4"/>
      <c r="H895" s="3" t="str">
        <f t="shared" si="44"/>
        <v/>
      </c>
      <c r="I895" s="5"/>
      <c r="J895" s="5"/>
      <c r="K895" s="6"/>
      <c r="L895" s="6"/>
      <c r="M895" s="7" t="str">
        <f t="shared" si="45"/>
        <v/>
      </c>
      <c r="N895" s="6"/>
      <c r="O895" s="5"/>
    </row>
    <row r="896" spans="1:15" x14ac:dyDescent="0.2">
      <c r="A896" s="3" t="str">
        <f>IF($B896="","",COUNTA($B$9:$B896))</f>
        <v/>
      </c>
      <c r="B896" s="4"/>
      <c r="C896" s="4"/>
      <c r="D896" s="4"/>
      <c r="E896" s="5"/>
      <c r="F896" s="3" t="str">
        <f t="shared" si="43"/>
        <v/>
      </c>
      <c r="G896" s="4"/>
      <c r="H896" s="3" t="str">
        <f t="shared" si="44"/>
        <v/>
      </c>
      <c r="I896" s="5"/>
      <c r="J896" s="5"/>
      <c r="K896" s="6"/>
      <c r="L896" s="6"/>
      <c r="M896" s="7" t="str">
        <f t="shared" si="45"/>
        <v/>
      </c>
      <c r="N896" s="6"/>
      <c r="O896" s="5"/>
    </row>
    <row r="897" spans="1:15" x14ac:dyDescent="0.2">
      <c r="A897" s="3" t="str">
        <f>IF($B897="","",COUNTA($B$9:$B897))</f>
        <v/>
      </c>
      <c r="B897" s="4"/>
      <c r="C897" s="4"/>
      <c r="D897" s="4"/>
      <c r="E897" s="5"/>
      <c r="F897" s="3" t="str">
        <f t="shared" si="43"/>
        <v/>
      </c>
      <c r="G897" s="4"/>
      <c r="H897" s="3" t="str">
        <f t="shared" si="44"/>
        <v/>
      </c>
      <c r="I897" s="5"/>
      <c r="J897" s="5"/>
      <c r="K897" s="6"/>
      <c r="L897" s="6"/>
      <c r="M897" s="7" t="str">
        <f t="shared" si="45"/>
        <v/>
      </c>
      <c r="N897" s="6"/>
      <c r="O897" s="5"/>
    </row>
    <row r="898" spans="1:15" x14ac:dyDescent="0.2">
      <c r="A898" s="3" t="str">
        <f>IF($B898="","",COUNTA($B$9:$B898))</f>
        <v/>
      </c>
      <c r="B898" s="4"/>
      <c r="C898" s="4"/>
      <c r="D898" s="4"/>
      <c r="E898" s="5"/>
      <c r="F898" s="3" t="str">
        <f t="shared" si="43"/>
        <v/>
      </c>
      <c r="G898" s="4"/>
      <c r="H898" s="3" t="str">
        <f t="shared" si="44"/>
        <v/>
      </c>
      <c r="I898" s="5"/>
      <c r="J898" s="5"/>
      <c r="K898" s="6"/>
      <c r="L898" s="6"/>
      <c r="M898" s="7" t="str">
        <f t="shared" si="45"/>
        <v/>
      </c>
      <c r="N898" s="6"/>
      <c r="O898" s="5"/>
    </row>
    <row r="899" spans="1:15" x14ac:dyDescent="0.2">
      <c r="A899" s="3" t="str">
        <f>IF($B899="","",COUNTA($B$9:$B899))</f>
        <v/>
      </c>
      <c r="B899" s="4"/>
      <c r="C899" s="4"/>
      <c r="D899" s="4"/>
      <c r="E899" s="5"/>
      <c r="F899" s="3" t="str">
        <f t="shared" si="43"/>
        <v/>
      </c>
      <c r="G899" s="4"/>
      <c r="H899" s="3" t="str">
        <f t="shared" si="44"/>
        <v/>
      </c>
      <c r="I899" s="5"/>
      <c r="J899" s="5"/>
      <c r="K899" s="6"/>
      <c r="L899" s="6"/>
      <c r="M899" s="7" t="str">
        <f t="shared" si="45"/>
        <v/>
      </c>
      <c r="N899" s="6"/>
      <c r="O899" s="5"/>
    </row>
    <row r="900" spans="1:15" x14ac:dyDescent="0.2">
      <c r="A900" s="3" t="str">
        <f>IF($B900="","",COUNTA($B$9:$B900))</f>
        <v/>
      </c>
      <c r="B900" s="4"/>
      <c r="C900" s="4"/>
      <c r="D900" s="4"/>
      <c r="E900" s="5"/>
      <c r="F900" s="3" t="str">
        <f t="shared" si="43"/>
        <v/>
      </c>
      <c r="G900" s="4"/>
      <c r="H900" s="3" t="str">
        <f t="shared" si="44"/>
        <v/>
      </c>
      <c r="I900" s="5"/>
      <c r="J900" s="5"/>
      <c r="K900" s="6"/>
      <c r="L900" s="6"/>
      <c r="M900" s="7" t="str">
        <f t="shared" si="45"/>
        <v/>
      </c>
      <c r="N900" s="6"/>
      <c r="O900" s="5"/>
    </row>
    <row r="901" spans="1:15" x14ac:dyDescent="0.2">
      <c r="A901" s="3" t="str">
        <f>IF($B901="","",COUNTA($B$9:$B901))</f>
        <v/>
      </c>
      <c r="B901" s="4"/>
      <c r="C901" s="4"/>
      <c r="D901" s="4"/>
      <c r="E901" s="5"/>
      <c r="F901" s="3" t="str">
        <f t="shared" si="43"/>
        <v/>
      </c>
      <c r="G901" s="4"/>
      <c r="H901" s="3" t="str">
        <f t="shared" si="44"/>
        <v/>
      </c>
      <c r="I901" s="5"/>
      <c r="J901" s="5"/>
      <c r="K901" s="6"/>
      <c r="L901" s="6"/>
      <c r="M901" s="7" t="str">
        <f t="shared" si="45"/>
        <v/>
      </c>
      <c r="N901" s="6"/>
      <c r="O901" s="5"/>
    </row>
    <row r="902" spans="1:15" x14ac:dyDescent="0.2">
      <c r="A902" s="3" t="str">
        <f>IF($B902="","",COUNTA($B$9:$B902))</f>
        <v/>
      </c>
      <c r="B902" s="4"/>
      <c r="C902" s="4"/>
      <c r="D902" s="4"/>
      <c r="E902" s="5"/>
      <c r="F902" s="3" t="str">
        <f t="shared" si="43"/>
        <v/>
      </c>
      <c r="G902" s="4"/>
      <c r="H902" s="3" t="str">
        <f t="shared" si="44"/>
        <v/>
      </c>
      <c r="I902" s="5"/>
      <c r="J902" s="5"/>
      <c r="K902" s="6"/>
      <c r="L902" s="6"/>
      <c r="M902" s="7" t="str">
        <f t="shared" si="45"/>
        <v/>
      </c>
      <c r="N902" s="6"/>
      <c r="O902" s="5"/>
    </row>
    <row r="903" spans="1:15" x14ac:dyDescent="0.2">
      <c r="A903" s="3" t="str">
        <f>IF($B903="","",COUNTA($B$9:$B903))</f>
        <v/>
      </c>
      <c r="B903" s="4"/>
      <c r="C903" s="4"/>
      <c r="D903" s="4"/>
      <c r="E903" s="5"/>
      <c r="F903" s="3" t="str">
        <f t="shared" si="43"/>
        <v/>
      </c>
      <c r="G903" s="4"/>
      <c r="H903" s="3" t="str">
        <f t="shared" si="44"/>
        <v/>
      </c>
      <c r="I903" s="5"/>
      <c r="J903" s="5"/>
      <c r="K903" s="6"/>
      <c r="L903" s="6"/>
      <c r="M903" s="7" t="str">
        <f t="shared" si="45"/>
        <v/>
      </c>
      <c r="N903" s="6"/>
      <c r="O903" s="5"/>
    </row>
    <row r="904" spans="1:15" x14ac:dyDescent="0.2">
      <c r="A904" s="3" t="str">
        <f>IF($B904="","",COUNTA($B$9:$B904))</f>
        <v/>
      </c>
      <c r="B904" s="4"/>
      <c r="C904" s="4"/>
      <c r="D904" s="4"/>
      <c r="E904" s="5"/>
      <c r="F904" s="3" t="str">
        <f t="shared" ref="F904:F967" si="46">IF($E904="","",IFERROR(VLOOKUP($E904,OpTbl,2,0),""))</f>
        <v/>
      </c>
      <c r="G904" s="4"/>
      <c r="H904" s="3" t="str">
        <f t="shared" ref="H904:H967" si="47">IF($G904="","",IFERROR(IF(VLOOKUP($G904,AcctTbl,4,0)="","(بدون نام)",VLOOKUP($G904,AcctTbl,4,0)),"کد ناشناخته"))</f>
        <v/>
      </c>
      <c r="I904" s="5"/>
      <c r="J904" s="5"/>
      <c r="K904" s="6"/>
      <c r="L904" s="6"/>
      <c r="M904" s="7" t="str">
        <f t="shared" ref="M904:M967" si="48">IF(OR($B904="",$K904=""),"",($K904-IF($L904="",0,$L904)*IFERROR(VLOOKUP("P01",ParamTbl,3,0),1.5))*(1-IF(IFERROR(VLOOKUP($E904,OpTbl,3,0),"")="خرید",IFERROR(VLOOKUP("P02",ParamTbl,3,0),1),0)/100))</f>
        <v/>
      </c>
      <c r="N904" s="6"/>
      <c r="O904" s="5"/>
    </row>
    <row r="905" spans="1:15" x14ac:dyDescent="0.2">
      <c r="A905" s="3" t="str">
        <f>IF($B905="","",COUNTA($B$9:$B905))</f>
        <v/>
      </c>
      <c r="B905" s="4"/>
      <c r="C905" s="4"/>
      <c r="D905" s="4"/>
      <c r="E905" s="5"/>
      <c r="F905" s="3" t="str">
        <f t="shared" si="46"/>
        <v/>
      </c>
      <c r="G905" s="4"/>
      <c r="H905" s="3" t="str">
        <f t="shared" si="47"/>
        <v/>
      </c>
      <c r="I905" s="5"/>
      <c r="J905" s="5"/>
      <c r="K905" s="6"/>
      <c r="L905" s="6"/>
      <c r="M905" s="7" t="str">
        <f t="shared" si="48"/>
        <v/>
      </c>
      <c r="N905" s="6"/>
      <c r="O905" s="5"/>
    </row>
    <row r="906" spans="1:15" x14ac:dyDescent="0.2">
      <c r="A906" s="3" t="str">
        <f>IF($B906="","",COUNTA($B$9:$B906))</f>
        <v/>
      </c>
      <c r="B906" s="4"/>
      <c r="C906" s="4"/>
      <c r="D906" s="4"/>
      <c r="E906" s="5"/>
      <c r="F906" s="3" t="str">
        <f t="shared" si="46"/>
        <v/>
      </c>
      <c r="G906" s="4"/>
      <c r="H906" s="3" t="str">
        <f t="shared" si="47"/>
        <v/>
      </c>
      <c r="I906" s="5"/>
      <c r="J906" s="5"/>
      <c r="K906" s="6"/>
      <c r="L906" s="6"/>
      <c r="M906" s="7" t="str">
        <f t="shared" si="48"/>
        <v/>
      </c>
      <c r="N906" s="6"/>
      <c r="O906" s="5"/>
    </row>
    <row r="907" spans="1:15" x14ac:dyDescent="0.2">
      <c r="A907" s="3" t="str">
        <f>IF($B907="","",COUNTA($B$9:$B907))</f>
        <v/>
      </c>
      <c r="B907" s="4"/>
      <c r="C907" s="4"/>
      <c r="D907" s="4"/>
      <c r="E907" s="5"/>
      <c r="F907" s="3" t="str">
        <f t="shared" si="46"/>
        <v/>
      </c>
      <c r="G907" s="4"/>
      <c r="H907" s="3" t="str">
        <f t="shared" si="47"/>
        <v/>
      </c>
      <c r="I907" s="5"/>
      <c r="J907" s="5"/>
      <c r="K907" s="6"/>
      <c r="L907" s="6"/>
      <c r="M907" s="7" t="str">
        <f t="shared" si="48"/>
        <v/>
      </c>
      <c r="N907" s="6"/>
      <c r="O907" s="5"/>
    </row>
    <row r="908" spans="1:15" x14ac:dyDescent="0.2">
      <c r="A908" s="3" t="str">
        <f>IF($B908="","",COUNTA($B$9:$B908))</f>
        <v/>
      </c>
      <c r="B908" s="4"/>
      <c r="C908" s="4"/>
      <c r="D908" s="4"/>
      <c r="E908" s="5"/>
      <c r="F908" s="3" t="str">
        <f t="shared" si="46"/>
        <v/>
      </c>
      <c r="G908" s="4"/>
      <c r="H908" s="3" t="str">
        <f t="shared" si="47"/>
        <v/>
      </c>
      <c r="I908" s="5"/>
      <c r="J908" s="5"/>
      <c r="K908" s="6"/>
      <c r="L908" s="6"/>
      <c r="M908" s="7" t="str">
        <f t="shared" si="48"/>
        <v/>
      </c>
      <c r="N908" s="6"/>
      <c r="O908" s="5"/>
    </row>
    <row r="909" spans="1:15" x14ac:dyDescent="0.2">
      <c r="A909" s="3" t="str">
        <f>IF($B909="","",COUNTA($B$9:$B909))</f>
        <v/>
      </c>
      <c r="B909" s="4"/>
      <c r="C909" s="4"/>
      <c r="D909" s="4"/>
      <c r="E909" s="5"/>
      <c r="F909" s="3" t="str">
        <f t="shared" si="46"/>
        <v/>
      </c>
      <c r="G909" s="4"/>
      <c r="H909" s="3" t="str">
        <f t="shared" si="47"/>
        <v/>
      </c>
      <c r="I909" s="5"/>
      <c r="J909" s="5"/>
      <c r="K909" s="6"/>
      <c r="L909" s="6"/>
      <c r="M909" s="7" t="str">
        <f t="shared" si="48"/>
        <v/>
      </c>
      <c r="N909" s="6"/>
      <c r="O909" s="5"/>
    </row>
    <row r="910" spans="1:15" x14ac:dyDescent="0.2">
      <c r="A910" s="3" t="str">
        <f>IF($B910="","",COUNTA($B$9:$B910))</f>
        <v/>
      </c>
      <c r="B910" s="4"/>
      <c r="C910" s="4"/>
      <c r="D910" s="4"/>
      <c r="E910" s="5"/>
      <c r="F910" s="3" t="str">
        <f t="shared" si="46"/>
        <v/>
      </c>
      <c r="G910" s="4"/>
      <c r="H910" s="3" t="str">
        <f t="shared" si="47"/>
        <v/>
      </c>
      <c r="I910" s="5"/>
      <c r="J910" s="5"/>
      <c r="K910" s="6"/>
      <c r="L910" s="6"/>
      <c r="M910" s="7" t="str">
        <f t="shared" si="48"/>
        <v/>
      </c>
      <c r="N910" s="6"/>
      <c r="O910" s="5"/>
    </row>
    <row r="911" spans="1:15" x14ac:dyDescent="0.2">
      <c r="A911" s="3" t="str">
        <f>IF($B911="","",COUNTA($B$9:$B911))</f>
        <v/>
      </c>
      <c r="B911" s="4"/>
      <c r="C911" s="4"/>
      <c r="D911" s="4"/>
      <c r="E911" s="5"/>
      <c r="F911" s="3" t="str">
        <f t="shared" si="46"/>
        <v/>
      </c>
      <c r="G911" s="4"/>
      <c r="H911" s="3" t="str">
        <f t="shared" si="47"/>
        <v/>
      </c>
      <c r="I911" s="5"/>
      <c r="J911" s="5"/>
      <c r="K911" s="6"/>
      <c r="L911" s="6"/>
      <c r="M911" s="7" t="str">
        <f t="shared" si="48"/>
        <v/>
      </c>
      <c r="N911" s="6"/>
      <c r="O911" s="5"/>
    </row>
    <row r="912" spans="1:15" x14ac:dyDescent="0.2">
      <c r="A912" s="3" t="str">
        <f>IF($B912="","",COUNTA($B$9:$B912))</f>
        <v/>
      </c>
      <c r="B912" s="4"/>
      <c r="C912" s="4"/>
      <c r="D912" s="4"/>
      <c r="E912" s="5"/>
      <c r="F912" s="3" t="str">
        <f t="shared" si="46"/>
        <v/>
      </c>
      <c r="G912" s="4"/>
      <c r="H912" s="3" t="str">
        <f t="shared" si="47"/>
        <v/>
      </c>
      <c r="I912" s="5"/>
      <c r="J912" s="5"/>
      <c r="K912" s="6"/>
      <c r="L912" s="6"/>
      <c r="M912" s="7" t="str">
        <f t="shared" si="48"/>
        <v/>
      </c>
      <c r="N912" s="6"/>
      <c r="O912" s="5"/>
    </row>
    <row r="913" spans="1:15" x14ac:dyDescent="0.2">
      <c r="A913" s="3" t="str">
        <f>IF($B913="","",COUNTA($B$9:$B913))</f>
        <v/>
      </c>
      <c r="B913" s="4"/>
      <c r="C913" s="4"/>
      <c r="D913" s="4"/>
      <c r="E913" s="5"/>
      <c r="F913" s="3" t="str">
        <f t="shared" si="46"/>
        <v/>
      </c>
      <c r="G913" s="4"/>
      <c r="H913" s="3" t="str">
        <f t="shared" si="47"/>
        <v/>
      </c>
      <c r="I913" s="5"/>
      <c r="J913" s="5"/>
      <c r="K913" s="6"/>
      <c r="L913" s="6"/>
      <c r="M913" s="7" t="str">
        <f t="shared" si="48"/>
        <v/>
      </c>
      <c r="N913" s="6"/>
      <c r="O913" s="5"/>
    </row>
    <row r="914" spans="1:15" x14ac:dyDescent="0.2">
      <c r="A914" s="3" t="str">
        <f>IF($B914="","",COUNTA($B$9:$B914))</f>
        <v/>
      </c>
      <c r="B914" s="4"/>
      <c r="C914" s="4"/>
      <c r="D914" s="4"/>
      <c r="E914" s="5"/>
      <c r="F914" s="3" t="str">
        <f t="shared" si="46"/>
        <v/>
      </c>
      <c r="G914" s="4"/>
      <c r="H914" s="3" t="str">
        <f t="shared" si="47"/>
        <v/>
      </c>
      <c r="I914" s="5"/>
      <c r="J914" s="5"/>
      <c r="K914" s="6"/>
      <c r="L914" s="6"/>
      <c r="M914" s="7" t="str">
        <f t="shared" si="48"/>
        <v/>
      </c>
      <c r="N914" s="6"/>
      <c r="O914" s="5"/>
    </row>
    <row r="915" spans="1:15" x14ac:dyDescent="0.2">
      <c r="A915" s="3" t="str">
        <f>IF($B915="","",COUNTA($B$9:$B915))</f>
        <v/>
      </c>
      <c r="B915" s="4"/>
      <c r="C915" s="4"/>
      <c r="D915" s="4"/>
      <c r="E915" s="5"/>
      <c r="F915" s="3" t="str">
        <f t="shared" si="46"/>
        <v/>
      </c>
      <c r="G915" s="4"/>
      <c r="H915" s="3" t="str">
        <f t="shared" si="47"/>
        <v/>
      </c>
      <c r="I915" s="5"/>
      <c r="J915" s="5"/>
      <c r="K915" s="6"/>
      <c r="L915" s="6"/>
      <c r="M915" s="7" t="str">
        <f t="shared" si="48"/>
        <v/>
      </c>
      <c r="N915" s="6"/>
      <c r="O915" s="5"/>
    </row>
    <row r="916" spans="1:15" x14ac:dyDescent="0.2">
      <c r="A916" s="3" t="str">
        <f>IF($B916="","",COUNTA($B$9:$B916))</f>
        <v/>
      </c>
      <c r="B916" s="4"/>
      <c r="C916" s="4"/>
      <c r="D916" s="4"/>
      <c r="E916" s="5"/>
      <c r="F916" s="3" t="str">
        <f t="shared" si="46"/>
        <v/>
      </c>
      <c r="G916" s="4"/>
      <c r="H916" s="3" t="str">
        <f t="shared" si="47"/>
        <v/>
      </c>
      <c r="I916" s="5"/>
      <c r="J916" s="5"/>
      <c r="K916" s="6"/>
      <c r="L916" s="6"/>
      <c r="M916" s="7" t="str">
        <f t="shared" si="48"/>
        <v/>
      </c>
      <c r="N916" s="6"/>
      <c r="O916" s="5"/>
    </row>
    <row r="917" spans="1:15" x14ac:dyDescent="0.2">
      <c r="A917" s="3" t="str">
        <f>IF($B917="","",COUNTA($B$9:$B917))</f>
        <v/>
      </c>
      <c r="B917" s="4"/>
      <c r="C917" s="4"/>
      <c r="D917" s="4"/>
      <c r="E917" s="5"/>
      <c r="F917" s="3" t="str">
        <f t="shared" si="46"/>
        <v/>
      </c>
      <c r="G917" s="4"/>
      <c r="H917" s="3" t="str">
        <f t="shared" si="47"/>
        <v/>
      </c>
      <c r="I917" s="5"/>
      <c r="J917" s="5"/>
      <c r="K917" s="6"/>
      <c r="L917" s="6"/>
      <c r="M917" s="7" t="str">
        <f t="shared" si="48"/>
        <v/>
      </c>
      <c r="N917" s="6"/>
      <c r="O917" s="5"/>
    </row>
    <row r="918" spans="1:15" x14ac:dyDescent="0.2">
      <c r="A918" s="3" t="str">
        <f>IF($B918="","",COUNTA($B$9:$B918))</f>
        <v/>
      </c>
      <c r="B918" s="4"/>
      <c r="C918" s="4"/>
      <c r="D918" s="4"/>
      <c r="E918" s="5"/>
      <c r="F918" s="3" t="str">
        <f t="shared" si="46"/>
        <v/>
      </c>
      <c r="G918" s="4"/>
      <c r="H918" s="3" t="str">
        <f t="shared" si="47"/>
        <v/>
      </c>
      <c r="I918" s="5"/>
      <c r="J918" s="5"/>
      <c r="K918" s="6"/>
      <c r="L918" s="6"/>
      <c r="M918" s="7" t="str">
        <f t="shared" si="48"/>
        <v/>
      </c>
      <c r="N918" s="6"/>
      <c r="O918" s="5"/>
    </row>
    <row r="919" spans="1:15" x14ac:dyDescent="0.2">
      <c r="A919" s="3" t="str">
        <f>IF($B919="","",COUNTA($B$9:$B919))</f>
        <v/>
      </c>
      <c r="B919" s="4"/>
      <c r="C919" s="4"/>
      <c r="D919" s="4"/>
      <c r="E919" s="5"/>
      <c r="F919" s="3" t="str">
        <f t="shared" si="46"/>
        <v/>
      </c>
      <c r="G919" s="4"/>
      <c r="H919" s="3" t="str">
        <f t="shared" si="47"/>
        <v/>
      </c>
      <c r="I919" s="5"/>
      <c r="J919" s="5"/>
      <c r="K919" s="6"/>
      <c r="L919" s="6"/>
      <c r="M919" s="7" t="str">
        <f t="shared" si="48"/>
        <v/>
      </c>
      <c r="N919" s="6"/>
      <c r="O919" s="5"/>
    </row>
    <row r="920" spans="1:15" x14ac:dyDescent="0.2">
      <c r="A920" s="3" t="str">
        <f>IF($B920="","",COUNTA($B$9:$B920))</f>
        <v/>
      </c>
      <c r="B920" s="4"/>
      <c r="C920" s="4"/>
      <c r="D920" s="4"/>
      <c r="E920" s="5"/>
      <c r="F920" s="3" t="str">
        <f t="shared" si="46"/>
        <v/>
      </c>
      <c r="G920" s="4"/>
      <c r="H920" s="3" t="str">
        <f t="shared" si="47"/>
        <v/>
      </c>
      <c r="I920" s="5"/>
      <c r="J920" s="5"/>
      <c r="K920" s="6"/>
      <c r="L920" s="6"/>
      <c r="M920" s="7" t="str">
        <f t="shared" si="48"/>
        <v/>
      </c>
      <c r="N920" s="6"/>
      <c r="O920" s="5"/>
    </row>
    <row r="921" spans="1:15" x14ac:dyDescent="0.2">
      <c r="A921" s="3" t="str">
        <f>IF($B921="","",COUNTA($B$9:$B921))</f>
        <v/>
      </c>
      <c r="B921" s="4"/>
      <c r="C921" s="4"/>
      <c r="D921" s="4"/>
      <c r="E921" s="5"/>
      <c r="F921" s="3" t="str">
        <f t="shared" si="46"/>
        <v/>
      </c>
      <c r="G921" s="4"/>
      <c r="H921" s="3" t="str">
        <f t="shared" si="47"/>
        <v/>
      </c>
      <c r="I921" s="5"/>
      <c r="J921" s="5"/>
      <c r="K921" s="6"/>
      <c r="L921" s="6"/>
      <c r="M921" s="7" t="str">
        <f t="shared" si="48"/>
        <v/>
      </c>
      <c r="N921" s="6"/>
      <c r="O921" s="5"/>
    </row>
    <row r="922" spans="1:15" x14ac:dyDescent="0.2">
      <c r="A922" s="3" t="str">
        <f>IF($B922="","",COUNTA($B$9:$B922))</f>
        <v/>
      </c>
      <c r="B922" s="4"/>
      <c r="C922" s="4"/>
      <c r="D922" s="4"/>
      <c r="E922" s="5"/>
      <c r="F922" s="3" t="str">
        <f t="shared" si="46"/>
        <v/>
      </c>
      <c r="G922" s="4"/>
      <c r="H922" s="3" t="str">
        <f t="shared" si="47"/>
        <v/>
      </c>
      <c r="I922" s="5"/>
      <c r="J922" s="5"/>
      <c r="K922" s="6"/>
      <c r="L922" s="6"/>
      <c r="M922" s="7" t="str">
        <f t="shared" si="48"/>
        <v/>
      </c>
      <c r="N922" s="6"/>
      <c r="O922" s="5"/>
    </row>
    <row r="923" spans="1:15" x14ac:dyDescent="0.2">
      <c r="A923" s="3" t="str">
        <f>IF($B923="","",COUNTA($B$9:$B923))</f>
        <v/>
      </c>
      <c r="B923" s="4"/>
      <c r="C923" s="4"/>
      <c r="D923" s="4"/>
      <c r="E923" s="5"/>
      <c r="F923" s="3" t="str">
        <f t="shared" si="46"/>
        <v/>
      </c>
      <c r="G923" s="4"/>
      <c r="H923" s="3" t="str">
        <f t="shared" si="47"/>
        <v/>
      </c>
      <c r="I923" s="5"/>
      <c r="J923" s="5"/>
      <c r="K923" s="6"/>
      <c r="L923" s="6"/>
      <c r="M923" s="7" t="str">
        <f t="shared" si="48"/>
        <v/>
      </c>
      <c r="N923" s="6"/>
      <c r="O923" s="5"/>
    </row>
    <row r="924" spans="1:15" x14ac:dyDescent="0.2">
      <c r="A924" s="3" t="str">
        <f>IF($B924="","",COUNTA($B$9:$B924))</f>
        <v/>
      </c>
      <c r="B924" s="4"/>
      <c r="C924" s="4"/>
      <c r="D924" s="4"/>
      <c r="E924" s="5"/>
      <c r="F924" s="3" t="str">
        <f t="shared" si="46"/>
        <v/>
      </c>
      <c r="G924" s="4"/>
      <c r="H924" s="3" t="str">
        <f t="shared" si="47"/>
        <v/>
      </c>
      <c r="I924" s="5"/>
      <c r="J924" s="5"/>
      <c r="K924" s="6"/>
      <c r="L924" s="6"/>
      <c r="M924" s="7" t="str">
        <f t="shared" si="48"/>
        <v/>
      </c>
      <c r="N924" s="6"/>
      <c r="O924" s="5"/>
    </row>
    <row r="925" spans="1:15" x14ac:dyDescent="0.2">
      <c r="A925" s="3" t="str">
        <f>IF($B925="","",COUNTA($B$9:$B925))</f>
        <v/>
      </c>
      <c r="B925" s="4"/>
      <c r="C925" s="4"/>
      <c r="D925" s="4"/>
      <c r="E925" s="5"/>
      <c r="F925" s="3" t="str">
        <f t="shared" si="46"/>
        <v/>
      </c>
      <c r="G925" s="4"/>
      <c r="H925" s="3" t="str">
        <f t="shared" si="47"/>
        <v/>
      </c>
      <c r="I925" s="5"/>
      <c r="J925" s="5"/>
      <c r="K925" s="6"/>
      <c r="L925" s="6"/>
      <c r="M925" s="7" t="str">
        <f t="shared" si="48"/>
        <v/>
      </c>
      <c r="N925" s="6"/>
      <c r="O925" s="5"/>
    </row>
    <row r="926" spans="1:15" x14ac:dyDescent="0.2">
      <c r="A926" s="3" t="str">
        <f>IF($B926="","",COUNTA($B$9:$B926))</f>
        <v/>
      </c>
      <c r="B926" s="4"/>
      <c r="C926" s="4"/>
      <c r="D926" s="4"/>
      <c r="E926" s="5"/>
      <c r="F926" s="3" t="str">
        <f t="shared" si="46"/>
        <v/>
      </c>
      <c r="G926" s="4"/>
      <c r="H926" s="3" t="str">
        <f t="shared" si="47"/>
        <v/>
      </c>
      <c r="I926" s="5"/>
      <c r="J926" s="5"/>
      <c r="K926" s="6"/>
      <c r="L926" s="6"/>
      <c r="M926" s="7" t="str">
        <f t="shared" si="48"/>
        <v/>
      </c>
      <c r="N926" s="6"/>
      <c r="O926" s="5"/>
    </row>
    <row r="927" spans="1:15" x14ac:dyDescent="0.2">
      <c r="A927" s="3" t="str">
        <f>IF($B927="","",COUNTA($B$9:$B927))</f>
        <v/>
      </c>
      <c r="B927" s="4"/>
      <c r="C927" s="4"/>
      <c r="D927" s="4"/>
      <c r="E927" s="5"/>
      <c r="F927" s="3" t="str">
        <f t="shared" si="46"/>
        <v/>
      </c>
      <c r="G927" s="4"/>
      <c r="H927" s="3" t="str">
        <f t="shared" si="47"/>
        <v/>
      </c>
      <c r="I927" s="5"/>
      <c r="J927" s="5"/>
      <c r="K927" s="6"/>
      <c r="L927" s="6"/>
      <c r="M927" s="7" t="str">
        <f t="shared" si="48"/>
        <v/>
      </c>
      <c r="N927" s="6"/>
      <c r="O927" s="5"/>
    </row>
    <row r="928" spans="1:15" x14ac:dyDescent="0.2">
      <c r="A928" s="3" t="str">
        <f>IF($B928="","",COUNTA($B$9:$B928))</f>
        <v/>
      </c>
      <c r="B928" s="4"/>
      <c r="C928" s="4"/>
      <c r="D928" s="4"/>
      <c r="E928" s="5"/>
      <c r="F928" s="3" t="str">
        <f t="shared" si="46"/>
        <v/>
      </c>
      <c r="G928" s="4"/>
      <c r="H928" s="3" t="str">
        <f t="shared" si="47"/>
        <v/>
      </c>
      <c r="I928" s="5"/>
      <c r="J928" s="5"/>
      <c r="K928" s="6"/>
      <c r="L928" s="6"/>
      <c r="M928" s="7" t="str">
        <f t="shared" si="48"/>
        <v/>
      </c>
      <c r="N928" s="6"/>
      <c r="O928" s="5"/>
    </row>
    <row r="929" spans="1:15" x14ac:dyDescent="0.2">
      <c r="A929" s="3" t="str">
        <f>IF($B929="","",COUNTA($B$9:$B929))</f>
        <v/>
      </c>
      <c r="B929" s="4"/>
      <c r="C929" s="4"/>
      <c r="D929" s="4"/>
      <c r="E929" s="5"/>
      <c r="F929" s="3" t="str">
        <f t="shared" si="46"/>
        <v/>
      </c>
      <c r="G929" s="4"/>
      <c r="H929" s="3" t="str">
        <f t="shared" si="47"/>
        <v/>
      </c>
      <c r="I929" s="5"/>
      <c r="J929" s="5"/>
      <c r="K929" s="6"/>
      <c r="L929" s="6"/>
      <c r="M929" s="7" t="str">
        <f t="shared" si="48"/>
        <v/>
      </c>
      <c r="N929" s="6"/>
      <c r="O929" s="5"/>
    </row>
    <row r="930" spans="1:15" x14ac:dyDescent="0.2">
      <c r="A930" s="3" t="str">
        <f>IF($B930="","",COUNTA($B$9:$B930))</f>
        <v/>
      </c>
      <c r="B930" s="4"/>
      <c r="C930" s="4"/>
      <c r="D930" s="4"/>
      <c r="E930" s="5"/>
      <c r="F930" s="3" t="str">
        <f t="shared" si="46"/>
        <v/>
      </c>
      <c r="G930" s="4"/>
      <c r="H930" s="3" t="str">
        <f t="shared" si="47"/>
        <v/>
      </c>
      <c r="I930" s="5"/>
      <c r="J930" s="5"/>
      <c r="K930" s="6"/>
      <c r="L930" s="6"/>
      <c r="M930" s="7" t="str">
        <f t="shared" si="48"/>
        <v/>
      </c>
      <c r="N930" s="6"/>
      <c r="O930" s="5"/>
    </row>
    <row r="931" spans="1:15" x14ac:dyDescent="0.2">
      <c r="A931" s="3" t="str">
        <f>IF($B931="","",COUNTA($B$9:$B931))</f>
        <v/>
      </c>
      <c r="B931" s="4"/>
      <c r="C931" s="4"/>
      <c r="D931" s="4"/>
      <c r="E931" s="5"/>
      <c r="F931" s="3" t="str">
        <f t="shared" si="46"/>
        <v/>
      </c>
      <c r="G931" s="4"/>
      <c r="H931" s="3" t="str">
        <f t="shared" si="47"/>
        <v/>
      </c>
      <c r="I931" s="5"/>
      <c r="J931" s="5"/>
      <c r="K931" s="6"/>
      <c r="L931" s="6"/>
      <c r="M931" s="7" t="str">
        <f t="shared" si="48"/>
        <v/>
      </c>
      <c r="N931" s="6"/>
      <c r="O931" s="5"/>
    </row>
    <row r="932" spans="1:15" x14ac:dyDescent="0.2">
      <c r="A932" s="3" t="str">
        <f>IF($B932="","",COUNTA($B$9:$B932))</f>
        <v/>
      </c>
      <c r="B932" s="4"/>
      <c r="C932" s="4"/>
      <c r="D932" s="4"/>
      <c r="E932" s="5"/>
      <c r="F932" s="3" t="str">
        <f t="shared" si="46"/>
        <v/>
      </c>
      <c r="G932" s="4"/>
      <c r="H932" s="3" t="str">
        <f t="shared" si="47"/>
        <v/>
      </c>
      <c r="I932" s="5"/>
      <c r="J932" s="5"/>
      <c r="K932" s="6"/>
      <c r="L932" s="6"/>
      <c r="M932" s="7" t="str">
        <f t="shared" si="48"/>
        <v/>
      </c>
      <c r="N932" s="6"/>
      <c r="O932" s="5"/>
    </row>
    <row r="933" spans="1:15" x14ac:dyDescent="0.2">
      <c r="A933" s="3" t="str">
        <f>IF($B933="","",COUNTA($B$9:$B933))</f>
        <v/>
      </c>
      <c r="B933" s="4"/>
      <c r="C933" s="4"/>
      <c r="D933" s="4"/>
      <c r="E933" s="5"/>
      <c r="F933" s="3" t="str">
        <f t="shared" si="46"/>
        <v/>
      </c>
      <c r="G933" s="4"/>
      <c r="H933" s="3" t="str">
        <f t="shared" si="47"/>
        <v/>
      </c>
      <c r="I933" s="5"/>
      <c r="J933" s="5"/>
      <c r="K933" s="6"/>
      <c r="L933" s="6"/>
      <c r="M933" s="7" t="str">
        <f t="shared" si="48"/>
        <v/>
      </c>
      <c r="N933" s="6"/>
      <c r="O933" s="5"/>
    </row>
    <row r="934" spans="1:15" x14ac:dyDescent="0.2">
      <c r="A934" s="3" t="str">
        <f>IF($B934="","",COUNTA($B$9:$B934))</f>
        <v/>
      </c>
      <c r="B934" s="4"/>
      <c r="C934" s="4"/>
      <c r="D934" s="4"/>
      <c r="E934" s="5"/>
      <c r="F934" s="3" t="str">
        <f t="shared" si="46"/>
        <v/>
      </c>
      <c r="G934" s="4"/>
      <c r="H934" s="3" t="str">
        <f t="shared" si="47"/>
        <v/>
      </c>
      <c r="I934" s="5"/>
      <c r="J934" s="5"/>
      <c r="K934" s="6"/>
      <c r="L934" s="6"/>
      <c r="M934" s="7" t="str">
        <f t="shared" si="48"/>
        <v/>
      </c>
      <c r="N934" s="6"/>
      <c r="O934" s="5"/>
    </row>
    <row r="935" spans="1:15" x14ac:dyDescent="0.2">
      <c r="A935" s="3" t="str">
        <f>IF($B935="","",COUNTA($B$9:$B935))</f>
        <v/>
      </c>
      <c r="B935" s="4"/>
      <c r="C935" s="4"/>
      <c r="D935" s="4"/>
      <c r="E935" s="5"/>
      <c r="F935" s="3" t="str">
        <f t="shared" si="46"/>
        <v/>
      </c>
      <c r="G935" s="4"/>
      <c r="H935" s="3" t="str">
        <f t="shared" si="47"/>
        <v/>
      </c>
      <c r="I935" s="5"/>
      <c r="J935" s="5"/>
      <c r="K935" s="6"/>
      <c r="L935" s="6"/>
      <c r="M935" s="7" t="str">
        <f t="shared" si="48"/>
        <v/>
      </c>
      <c r="N935" s="6"/>
      <c r="O935" s="5"/>
    </row>
    <row r="936" spans="1:15" x14ac:dyDescent="0.2">
      <c r="A936" s="3" t="str">
        <f>IF($B936="","",COUNTA($B$9:$B936))</f>
        <v/>
      </c>
      <c r="B936" s="4"/>
      <c r="C936" s="4"/>
      <c r="D936" s="4"/>
      <c r="E936" s="5"/>
      <c r="F936" s="3" t="str">
        <f t="shared" si="46"/>
        <v/>
      </c>
      <c r="G936" s="4"/>
      <c r="H936" s="3" t="str">
        <f t="shared" si="47"/>
        <v/>
      </c>
      <c r="I936" s="5"/>
      <c r="J936" s="5"/>
      <c r="K936" s="6"/>
      <c r="L936" s="6"/>
      <c r="M936" s="7" t="str">
        <f t="shared" si="48"/>
        <v/>
      </c>
      <c r="N936" s="6"/>
      <c r="O936" s="5"/>
    </row>
    <row r="937" spans="1:15" x14ac:dyDescent="0.2">
      <c r="A937" s="3" t="str">
        <f>IF($B937="","",COUNTA($B$9:$B937))</f>
        <v/>
      </c>
      <c r="B937" s="4"/>
      <c r="C937" s="4"/>
      <c r="D937" s="4"/>
      <c r="E937" s="5"/>
      <c r="F937" s="3" t="str">
        <f t="shared" si="46"/>
        <v/>
      </c>
      <c r="G937" s="4"/>
      <c r="H937" s="3" t="str">
        <f t="shared" si="47"/>
        <v/>
      </c>
      <c r="I937" s="5"/>
      <c r="J937" s="5"/>
      <c r="K937" s="6"/>
      <c r="L937" s="6"/>
      <c r="M937" s="7" t="str">
        <f t="shared" si="48"/>
        <v/>
      </c>
      <c r="N937" s="6"/>
      <c r="O937" s="5"/>
    </row>
    <row r="938" spans="1:15" x14ac:dyDescent="0.2">
      <c r="A938" s="3" t="str">
        <f>IF($B938="","",COUNTA($B$9:$B938))</f>
        <v/>
      </c>
      <c r="B938" s="4"/>
      <c r="C938" s="4"/>
      <c r="D938" s="4"/>
      <c r="E938" s="5"/>
      <c r="F938" s="3" t="str">
        <f t="shared" si="46"/>
        <v/>
      </c>
      <c r="G938" s="4"/>
      <c r="H938" s="3" t="str">
        <f t="shared" si="47"/>
        <v/>
      </c>
      <c r="I938" s="5"/>
      <c r="J938" s="5"/>
      <c r="K938" s="6"/>
      <c r="L938" s="6"/>
      <c r="M938" s="7" t="str">
        <f t="shared" si="48"/>
        <v/>
      </c>
      <c r="N938" s="6"/>
      <c r="O938" s="5"/>
    </row>
    <row r="939" spans="1:15" x14ac:dyDescent="0.2">
      <c r="A939" s="3" t="str">
        <f>IF($B939="","",COUNTA($B$9:$B939))</f>
        <v/>
      </c>
      <c r="B939" s="4"/>
      <c r="C939" s="4"/>
      <c r="D939" s="4"/>
      <c r="E939" s="5"/>
      <c r="F939" s="3" t="str">
        <f t="shared" si="46"/>
        <v/>
      </c>
      <c r="G939" s="4"/>
      <c r="H939" s="3" t="str">
        <f t="shared" si="47"/>
        <v/>
      </c>
      <c r="I939" s="5"/>
      <c r="J939" s="5"/>
      <c r="K939" s="6"/>
      <c r="L939" s="6"/>
      <c r="M939" s="7" t="str">
        <f t="shared" si="48"/>
        <v/>
      </c>
      <c r="N939" s="6"/>
      <c r="O939" s="5"/>
    </row>
    <row r="940" spans="1:15" x14ac:dyDescent="0.2">
      <c r="A940" s="3" t="str">
        <f>IF($B940="","",COUNTA($B$9:$B940))</f>
        <v/>
      </c>
      <c r="B940" s="4"/>
      <c r="C940" s="4"/>
      <c r="D940" s="4"/>
      <c r="E940" s="5"/>
      <c r="F940" s="3" t="str">
        <f t="shared" si="46"/>
        <v/>
      </c>
      <c r="G940" s="4"/>
      <c r="H940" s="3" t="str">
        <f t="shared" si="47"/>
        <v/>
      </c>
      <c r="I940" s="5"/>
      <c r="J940" s="5"/>
      <c r="K940" s="6"/>
      <c r="L940" s="6"/>
      <c r="M940" s="7" t="str">
        <f t="shared" si="48"/>
        <v/>
      </c>
      <c r="N940" s="6"/>
      <c r="O940" s="5"/>
    </row>
    <row r="941" spans="1:15" x14ac:dyDescent="0.2">
      <c r="A941" s="3" t="str">
        <f>IF($B941="","",COUNTA($B$9:$B941))</f>
        <v/>
      </c>
      <c r="B941" s="4"/>
      <c r="C941" s="4"/>
      <c r="D941" s="4"/>
      <c r="E941" s="5"/>
      <c r="F941" s="3" t="str">
        <f t="shared" si="46"/>
        <v/>
      </c>
      <c r="G941" s="4"/>
      <c r="H941" s="3" t="str">
        <f t="shared" si="47"/>
        <v/>
      </c>
      <c r="I941" s="5"/>
      <c r="J941" s="5"/>
      <c r="K941" s="6"/>
      <c r="L941" s="6"/>
      <c r="M941" s="7" t="str">
        <f t="shared" si="48"/>
        <v/>
      </c>
      <c r="N941" s="6"/>
      <c r="O941" s="5"/>
    </row>
    <row r="942" spans="1:15" x14ac:dyDescent="0.2">
      <c r="A942" s="3" t="str">
        <f>IF($B942="","",COUNTA($B$9:$B942))</f>
        <v/>
      </c>
      <c r="B942" s="4"/>
      <c r="C942" s="4"/>
      <c r="D942" s="4"/>
      <c r="E942" s="5"/>
      <c r="F942" s="3" t="str">
        <f t="shared" si="46"/>
        <v/>
      </c>
      <c r="G942" s="4"/>
      <c r="H942" s="3" t="str">
        <f t="shared" si="47"/>
        <v/>
      </c>
      <c r="I942" s="5"/>
      <c r="J942" s="5"/>
      <c r="K942" s="6"/>
      <c r="L942" s="6"/>
      <c r="M942" s="7" t="str">
        <f t="shared" si="48"/>
        <v/>
      </c>
      <c r="N942" s="6"/>
      <c r="O942" s="5"/>
    </row>
    <row r="943" spans="1:15" x14ac:dyDescent="0.2">
      <c r="A943" s="3" t="str">
        <f>IF($B943="","",COUNTA($B$9:$B943))</f>
        <v/>
      </c>
      <c r="B943" s="4"/>
      <c r="C943" s="4"/>
      <c r="D943" s="4"/>
      <c r="E943" s="5"/>
      <c r="F943" s="3" t="str">
        <f t="shared" si="46"/>
        <v/>
      </c>
      <c r="G943" s="4"/>
      <c r="H943" s="3" t="str">
        <f t="shared" si="47"/>
        <v/>
      </c>
      <c r="I943" s="5"/>
      <c r="J943" s="5"/>
      <c r="K943" s="6"/>
      <c r="L943" s="6"/>
      <c r="M943" s="7" t="str">
        <f t="shared" si="48"/>
        <v/>
      </c>
      <c r="N943" s="6"/>
      <c r="O943" s="5"/>
    </row>
    <row r="944" spans="1:15" x14ac:dyDescent="0.2">
      <c r="A944" s="3" t="str">
        <f>IF($B944="","",COUNTA($B$9:$B944))</f>
        <v/>
      </c>
      <c r="B944" s="4"/>
      <c r="C944" s="4"/>
      <c r="D944" s="4"/>
      <c r="E944" s="5"/>
      <c r="F944" s="3" t="str">
        <f t="shared" si="46"/>
        <v/>
      </c>
      <c r="G944" s="4"/>
      <c r="H944" s="3" t="str">
        <f t="shared" si="47"/>
        <v/>
      </c>
      <c r="I944" s="5"/>
      <c r="J944" s="5"/>
      <c r="K944" s="6"/>
      <c r="L944" s="6"/>
      <c r="M944" s="7" t="str">
        <f t="shared" si="48"/>
        <v/>
      </c>
      <c r="N944" s="6"/>
      <c r="O944" s="5"/>
    </row>
    <row r="945" spans="1:15" x14ac:dyDescent="0.2">
      <c r="A945" s="3" t="str">
        <f>IF($B945="","",COUNTA($B$9:$B945))</f>
        <v/>
      </c>
      <c r="B945" s="4"/>
      <c r="C945" s="4"/>
      <c r="D945" s="4"/>
      <c r="E945" s="5"/>
      <c r="F945" s="3" t="str">
        <f t="shared" si="46"/>
        <v/>
      </c>
      <c r="G945" s="4"/>
      <c r="H945" s="3" t="str">
        <f t="shared" si="47"/>
        <v/>
      </c>
      <c r="I945" s="5"/>
      <c r="J945" s="5"/>
      <c r="K945" s="6"/>
      <c r="L945" s="6"/>
      <c r="M945" s="7" t="str">
        <f t="shared" si="48"/>
        <v/>
      </c>
      <c r="N945" s="6"/>
      <c r="O945" s="5"/>
    </row>
    <row r="946" spans="1:15" x14ac:dyDescent="0.2">
      <c r="A946" s="3" t="str">
        <f>IF($B946="","",COUNTA($B$9:$B946))</f>
        <v/>
      </c>
      <c r="B946" s="4"/>
      <c r="C946" s="4"/>
      <c r="D946" s="4"/>
      <c r="E946" s="5"/>
      <c r="F946" s="3" t="str">
        <f t="shared" si="46"/>
        <v/>
      </c>
      <c r="G946" s="4"/>
      <c r="H946" s="3" t="str">
        <f t="shared" si="47"/>
        <v/>
      </c>
      <c r="I946" s="5"/>
      <c r="J946" s="5"/>
      <c r="K946" s="6"/>
      <c r="L946" s="6"/>
      <c r="M946" s="7" t="str">
        <f t="shared" si="48"/>
        <v/>
      </c>
      <c r="N946" s="6"/>
      <c r="O946" s="5"/>
    </row>
    <row r="947" spans="1:15" x14ac:dyDescent="0.2">
      <c r="A947" s="3" t="str">
        <f>IF($B947="","",COUNTA($B$9:$B947))</f>
        <v/>
      </c>
      <c r="B947" s="4"/>
      <c r="C947" s="4"/>
      <c r="D947" s="4"/>
      <c r="E947" s="5"/>
      <c r="F947" s="3" t="str">
        <f t="shared" si="46"/>
        <v/>
      </c>
      <c r="G947" s="4"/>
      <c r="H947" s="3" t="str">
        <f t="shared" si="47"/>
        <v/>
      </c>
      <c r="I947" s="5"/>
      <c r="J947" s="5"/>
      <c r="K947" s="6"/>
      <c r="L947" s="6"/>
      <c r="M947" s="7" t="str">
        <f t="shared" si="48"/>
        <v/>
      </c>
      <c r="N947" s="6"/>
      <c r="O947" s="5"/>
    </row>
    <row r="948" spans="1:15" x14ac:dyDescent="0.2">
      <c r="A948" s="3" t="str">
        <f>IF($B948="","",COUNTA($B$9:$B948))</f>
        <v/>
      </c>
      <c r="B948" s="4"/>
      <c r="C948" s="4"/>
      <c r="D948" s="4"/>
      <c r="E948" s="5"/>
      <c r="F948" s="3" t="str">
        <f t="shared" si="46"/>
        <v/>
      </c>
      <c r="G948" s="4"/>
      <c r="H948" s="3" t="str">
        <f t="shared" si="47"/>
        <v/>
      </c>
      <c r="I948" s="5"/>
      <c r="J948" s="5"/>
      <c r="K948" s="6"/>
      <c r="L948" s="6"/>
      <c r="M948" s="7" t="str">
        <f t="shared" si="48"/>
        <v/>
      </c>
      <c r="N948" s="6"/>
      <c r="O948" s="5"/>
    </row>
    <row r="949" spans="1:15" x14ac:dyDescent="0.2">
      <c r="A949" s="3" t="str">
        <f>IF($B949="","",COUNTA($B$9:$B949))</f>
        <v/>
      </c>
      <c r="B949" s="4"/>
      <c r="C949" s="4"/>
      <c r="D949" s="4"/>
      <c r="E949" s="5"/>
      <c r="F949" s="3" t="str">
        <f t="shared" si="46"/>
        <v/>
      </c>
      <c r="G949" s="4"/>
      <c r="H949" s="3" t="str">
        <f t="shared" si="47"/>
        <v/>
      </c>
      <c r="I949" s="5"/>
      <c r="J949" s="5"/>
      <c r="K949" s="6"/>
      <c r="L949" s="6"/>
      <c r="M949" s="7" t="str">
        <f t="shared" si="48"/>
        <v/>
      </c>
      <c r="N949" s="6"/>
      <c r="O949" s="5"/>
    </row>
    <row r="950" spans="1:15" x14ac:dyDescent="0.2">
      <c r="A950" s="3" t="str">
        <f>IF($B950="","",COUNTA($B$9:$B950))</f>
        <v/>
      </c>
      <c r="B950" s="4"/>
      <c r="C950" s="4"/>
      <c r="D950" s="4"/>
      <c r="E950" s="5"/>
      <c r="F950" s="3" t="str">
        <f t="shared" si="46"/>
        <v/>
      </c>
      <c r="G950" s="4"/>
      <c r="H950" s="3" t="str">
        <f t="shared" si="47"/>
        <v/>
      </c>
      <c r="I950" s="5"/>
      <c r="J950" s="5"/>
      <c r="K950" s="6"/>
      <c r="L950" s="6"/>
      <c r="M950" s="7" t="str">
        <f t="shared" si="48"/>
        <v/>
      </c>
      <c r="N950" s="6"/>
      <c r="O950" s="5"/>
    </row>
    <row r="951" spans="1:15" x14ac:dyDescent="0.2">
      <c r="A951" s="3" t="str">
        <f>IF($B951="","",COUNTA($B$9:$B951))</f>
        <v/>
      </c>
      <c r="B951" s="4"/>
      <c r="C951" s="4"/>
      <c r="D951" s="4"/>
      <c r="E951" s="5"/>
      <c r="F951" s="3" t="str">
        <f t="shared" si="46"/>
        <v/>
      </c>
      <c r="G951" s="4"/>
      <c r="H951" s="3" t="str">
        <f t="shared" si="47"/>
        <v/>
      </c>
      <c r="I951" s="5"/>
      <c r="J951" s="5"/>
      <c r="K951" s="6"/>
      <c r="L951" s="6"/>
      <c r="M951" s="7" t="str">
        <f t="shared" si="48"/>
        <v/>
      </c>
      <c r="N951" s="6"/>
      <c r="O951" s="5"/>
    </row>
    <row r="952" spans="1:15" x14ac:dyDescent="0.2">
      <c r="A952" s="3" t="str">
        <f>IF($B952="","",COUNTA($B$9:$B952))</f>
        <v/>
      </c>
      <c r="B952" s="4"/>
      <c r="C952" s="4"/>
      <c r="D952" s="4"/>
      <c r="E952" s="5"/>
      <c r="F952" s="3" t="str">
        <f t="shared" si="46"/>
        <v/>
      </c>
      <c r="G952" s="4"/>
      <c r="H952" s="3" t="str">
        <f t="shared" si="47"/>
        <v/>
      </c>
      <c r="I952" s="5"/>
      <c r="J952" s="5"/>
      <c r="K952" s="6"/>
      <c r="L952" s="6"/>
      <c r="M952" s="7" t="str">
        <f t="shared" si="48"/>
        <v/>
      </c>
      <c r="N952" s="6"/>
      <c r="O952" s="5"/>
    </row>
    <row r="953" spans="1:15" x14ac:dyDescent="0.2">
      <c r="A953" s="3" t="str">
        <f>IF($B953="","",COUNTA($B$9:$B953))</f>
        <v/>
      </c>
      <c r="B953" s="4"/>
      <c r="C953" s="4"/>
      <c r="D953" s="4"/>
      <c r="E953" s="5"/>
      <c r="F953" s="3" t="str">
        <f t="shared" si="46"/>
        <v/>
      </c>
      <c r="G953" s="4"/>
      <c r="H953" s="3" t="str">
        <f t="shared" si="47"/>
        <v/>
      </c>
      <c r="I953" s="5"/>
      <c r="J953" s="5"/>
      <c r="K953" s="6"/>
      <c r="L953" s="6"/>
      <c r="M953" s="7" t="str">
        <f t="shared" si="48"/>
        <v/>
      </c>
      <c r="N953" s="6"/>
      <c r="O953" s="5"/>
    </row>
    <row r="954" spans="1:15" x14ac:dyDescent="0.2">
      <c r="A954" s="3" t="str">
        <f>IF($B954="","",COUNTA($B$9:$B954))</f>
        <v/>
      </c>
      <c r="B954" s="4"/>
      <c r="C954" s="4"/>
      <c r="D954" s="4"/>
      <c r="E954" s="5"/>
      <c r="F954" s="3" t="str">
        <f t="shared" si="46"/>
        <v/>
      </c>
      <c r="G954" s="4"/>
      <c r="H954" s="3" t="str">
        <f t="shared" si="47"/>
        <v/>
      </c>
      <c r="I954" s="5"/>
      <c r="J954" s="5"/>
      <c r="K954" s="6"/>
      <c r="L954" s="6"/>
      <c r="M954" s="7" t="str">
        <f t="shared" si="48"/>
        <v/>
      </c>
      <c r="N954" s="6"/>
      <c r="O954" s="5"/>
    </row>
    <row r="955" spans="1:15" x14ac:dyDescent="0.2">
      <c r="A955" s="3" t="str">
        <f>IF($B955="","",COUNTA($B$9:$B955))</f>
        <v/>
      </c>
      <c r="B955" s="4"/>
      <c r="C955" s="4"/>
      <c r="D955" s="4"/>
      <c r="E955" s="5"/>
      <c r="F955" s="3" t="str">
        <f t="shared" si="46"/>
        <v/>
      </c>
      <c r="G955" s="4"/>
      <c r="H955" s="3" t="str">
        <f t="shared" si="47"/>
        <v/>
      </c>
      <c r="I955" s="5"/>
      <c r="J955" s="5"/>
      <c r="K955" s="6"/>
      <c r="L955" s="6"/>
      <c r="M955" s="7" t="str">
        <f t="shared" si="48"/>
        <v/>
      </c>
      <c r="N955" s="6"/>
      <c r="O955" s="5"/>
    </row>
    <row r="956" spans="1:15" x14ac:dyDescent="0.2">
      <c r="A956" s="3" t="str">
        <f>IF($B956="","",COUNTA($B$9:$B956))</f>
        <v/>
      </c>
      <c r="B956" s="4"/>
      <c r="C956" s="4"/>
      <c r="D956" s="4"/>
      <c r="E956" s="5"/>
      <c r="F956" s="3" t="str">
        <f t="shared" si="46"/>
        <v/>
      </c>
      <c r="G956" s="4"/>
      <c r="H956" s="3" t="str">
        <f t="shared" si="47"/>
        <v/>
      </c>
      <c r="I956" s="5"/>
      <c r="J956" s="5"/>
      <c r="K956" s="6"/>
      <c r="L956" s="6"/>
      <c r="M956" s="7" t="str">
        <f t="shared" si="48"/>
        <v/>
      </c>
      <c r="N956" s="6"/>
      <c r="O956" s="5"/>
    </row>
    <row r="957" spans="1:15" x14ac:dyDescent="0.2">
      <c r="A957" s="3" t="str">
        <f>IF($B957="","",COUNTA($B$9:$B957))</f>
        <v/>
      </c>
      <c r="B957" s="4"/>
      <c r="C957" s="4"/>
      <c r="D957" s="4"/>
      <c r="E957" s="5"/>
      <c r="F957" s="3" t="str">
        <f t="shared" si="46"/>
        <v/>
      </c>
      <c r="G957" s="4"/>
      <c r="H957" s="3" t="str">
        <f t="shared" si="47"/>
        <v/>
      </c>
      <c r="I957" s="5"/>
      <c r="J957" s="5"/>
      <c r="K957" s="6"/>
      <c r="L957" s="6"/>
      <c r="M957" s="7" t="str">
        <f t="shared" si="48"/>
        <v/>
      </c>
      <c r="N957" s="6"/>
      <c r="O957" s="5"/>
    </row>
    <row r="958" spans="1:15" x14ac:dyDescent="0.2">
      <c r="A958" s="3" t="str">
        <f>IF($B958="","",COUNTA($B$9:$B958))</f>
        <v/>
      </c>
      <c r="B958" s="4"/>
      <c r="C958" s="4"/>
      <c r="D958" s="4"/>
      <c r="E958" s="5"/>
      <c r="F958" s="3" t="str">
        <f t="shared" si="46"/>
        <v/>
      </c>
      <c r="G958" s="4"/>
      <c r="H958" s="3" t="str">
        <f t="shared" si="47"/>
        <v/>
      </c>
      <c r="I958" s="5"/>
      <c r="J958" s="5"/>
      <c r="K958" s="6"/>
      <c r="L958" s="6"/>
      <c r="M958" s="7" t="str">
        <f t="shared" si="48"/>
        <v/>
      </c>
      <c r="N958" s="6"/>
      <c r="O958" s="5"/>
    </row>
    <row r="959" spans="1:15" x14ac:dyDescent="0.2">
      <c r="A959" s="3" t="str">
        <f>IF($B959="","",COUNTA($B$9:$B959))</f>
        <v/>
      </c>
      <c r="B959" s="4"/>
      <c r="C959" s="4"/>
      <c r="D959" s="4"/>
      <c r="E959" s="5"/>
      <c r="F959" s="3" t="str">
        <f t="shared" si="46"/>
        <v/>
      </c>
      <c r="G959" s="4"/>
      <c r="H959" s="3" t="str">
        <f t="shared" si="47"/>
        <v/>
      </c>
      <c r="I959" s="5"/>
      <c r="J959" s="5"/>
      <c r="K959" s="6"/>
      <c r="L959" s="6"/>
      <c r="M959" s="7" t="str">
        <f t="shared" si="48"/>
        <v/>
      </c>
      <c r="N959" s="6"/>
      <c r="O959" s="5"/>
    </row>
    <row r="960" spans="1:15" x14ac:dyDescent="0.2">
      <c r="A960" s="3" t="str">
        <f>IF($B960="","",COUNTA($B$9:$B960))</f>
        <v/>
      </c>
      <c r="B960" s="4"/>
      <c r="C960" s="4"/>
      <c r="D960" s="4"/>
      <c r="E960" s="5"/>
      <c r="F960" s="3" t="str">
        <f t="shared" si="46"/>
        <v/>
      </c>
      <c r="G960" s="4"/>
      <c r="H960" s="3" t="str">
        <f t="shared" si="47"/>
        <v/>
      </c>
      <c r="I960" s="5"/>
      <c r="J960" s="5"/>
      <c r="K960" s="6"/>
      <c r="L960" s="6"/>
      <c r="M960" s="7" t="str">
        <f t="shared" si="48"/>
        <v/>
      </c>
      <c r="N960" s="6"/>
      <c r="O960" s="5"/>
    </row>
    <row r="961" spans="1:15" x14ac:dyDescent="0.2">
      <c r="A961" s="3" t="str">
        <f>IF($B961="","",COUNTA($B$9:$B961))</f>
        <v/>
      </c>
      <c r="B961" s="4"/>
      <c r="C961" s="4"/>
      <c r="D961" s="4"/>
      <c r="E961" s="5"/>
      <c r="F961" s="3" t="str">
        <f t="shared" si="46"/>
        <v/>
      </c>
      <c r="G961" s="4"/>
      <c r="H961" s="3" t="str">
        <f t="shared" si="47"/>
        <v/>
      </c>
      <c r="I961" s="5"/>
      <c r="J961" s="5"/>
      <c r="K961" s="6"/>
      <c r="L961" s="6"/>
      <c r="M961" s="7" t="str">
        <f t="shared" si="48"/>
        <v/>
      </c>
      <c r="N961" s="6"/>
      <c r="O961" s="5"/>
    </row>
    <row r="962" spans="1:15" x14ac:dyDescent="0.2">
      <c r="A962" s="3" t="str">
        <f>IF($B962="","",COUNTA($B$9:$B962))</f>
        <v/>
      </c>
      <c r="B962" s="4"/>
      <c r="C962" s="4"/>
      <c r="D962" s="4"/>
      <c r="E962" s="5"/>
      <c r="F962" s="3" t="str">
        <f t="shared" si="46"/>
        <v/>
      </c>
      <c r="G962" s="4"/>
      <c r="H962" s="3" t="str">
        <f t="shared" si="47"/>
        <v/>
      </c>
      <c r="I962" s="5"/>
      <c r="J962" s="5"/>
      <c r="K962" s="6"/>
      <c r="L962" s="6"/>
      <c r="M962" s="7" t="str">
        <f t="shared" si="48"/>
        <v/>
      </c>
      <c r="N962" s="6"/>
      <c r="O962" s="5"/>
    </row>
    <row r="963" spans="1:15" x14ac:dyDescent="0.2">
      <c r="A963" s="3" t="str">
        <f>IF($B963="","",COUNTA($B$9:$B963))</f>
        <v/>
      </c>
      <c r="B963" s="4"/>
      <c r="C963" s="4"/>
      <c r="D963" s="4"/>
      <c r="E963" s="5"/>
      <c r="F963" s="3" t="str">
        <f t="shared" si="46"/>
        <v/>
      </c>
      <c r="G963" s="4"/>
      <c r="H963" s="3" t="str">
        <f t="shared" si="47"/>
        <v/>
      </c>
      <c r="I963" s="5"/>
      <c r="J963" s="5"/>
      <c r="K963" s="6"/>
      <c r="L963" s="6"/>
      <c r="M963" s="7" t="str">
        <f t="shared" si="48"/>
        <v/>
      </c>
      <c r="N963" s="6"/>
      <c r="O963" s="5"/>
    </row>
    <row r="964" spans="1:15" x14ac:dyDescent="0.2">
      <c r="A964" s="3" t="str">
        <f>IF($B964="","",COUNTA($B$9:$B964))</f>
        <v/>
      </c>
      <c r="B964" s="4"/>
      <c r="C964" s="4"/>
      <c r="D964" s="4"/>
      <c r="E964" s="5"/>
      <c r="F964" s="3" t="str">
        <f t="shared" si="46"/>
        <v/>
      </c>
      <c r="G964" s="4"/>
      <c r="H964" s="3" t="str">
        <f t="shared" si="47"/>
        <v/>
      </c>
      <c r="I964" s="5"/>
      <c r="J964" s="5"/>
      <c r="K964" s="6"/>
      <c r="L964" s="6"/>
      <c r="M964" s="7" t="str">
        <f t="shared" si="48"/>
        <v/>
      </c>
      <c r="N964" s="6"/>
      <c r="O964" s="5"/>
    </row>
    <row r="965" spans="1:15" x14ac:dyDescent="0.2">
      <c r="A965" s="3" t="str">
        <f>IF($B965="","",COUNTA($B$9:$B965))</f>
        <v/>
      </c>
      <c r="B965" s="4"/>
      <c r="C965" s="4"/>
      <c r="D965" s="4"/>
      <c r="E965" s="5"/>
      <c r="F965" s="3" t="str">
        <f t="shared" si="46"/>
        <v/>
      </c>
      <c r="G965" s="4"/>
      <c r="H965" s="3" t="str">
        <f t="shared" si="47"/>
        <v/>
      </c>
      <c r="I965" s="5"/>
      <c r="J965" s="5"/>
      <c r="K965" s="6"/>
      <c r="L965" s="6"/>
      <c r="M965" s="7" t="str">
        <f t="shared" si="48"/>
        <v/>
      </c>
      <c r="N965" s="6"/>
      <c r="O965" s="5"/>
    </row>
    <row r="966" spans="1:15" x14ac:dyDescent="0.2">
      <c r="A966" s="3" t="str">
        <f>IF($B966="","",COUNTA($B$9:$B966))</f>
        <v/>
      </c>
      <c r="B966" s="4"/>
      <c r="C966" s="4"/>
      <c r="D966" s="4"/>
      <c r="E966" s="5"/>
      <c r="F966" s="3" t="str">
        <f t="shared" si="46"/>
        <v/>
      </c>
      <c r="G966" s="4"/>
      <c r="H966" s="3" t="str">
        <f t="shared" si="47"/>
        <v/>
      </c>
      <c r="I966" s="5"/>
      <c r="J966" s="5"/>
      <c r="K966" s="6"/>
      <c r="L966" s="6"/>
      <c r="M966" s="7" t="str">
        <f t="shared" si="48"/>
        <v/>
      </c>
      <c r="N966" s="6"/>
      <c r="O966" s="5"/>
    </row>
    <row r="967" spans="1:15" x14ac:dyDescent="0.2">
      <c r="A967" s="3" t="str">
        <f>IF($B967="","",COUNTA($B$9:$B967))</f>
        <v/>
      </c>
      <c r="B967" s="4"/>
      <c r="C967" s="4"/>
      <c r="D967" s="4"/>
      <c r="E967" s="5"/>
      <c r="F967" s="3" t="str">
        <f t="shared" si="46"/>
        <v/>
      </c>
      <c r="G967" s="4"/>
      <c r="H967" s="3" t="str">
        <f t="shared" si="47"/>
        <v/>
      </c>
      <c r="I967" s="5"/>
      <c r="J967" s="5"/>
      <c r="K967" s="6"/>
      <c r="L967" s="6"/>
      <c r="M967" s="7" t="str">
        <f t="shared" si="48"/>
        <v/>
      </c>
      <c r="N967" s="6"/>
      <c r="O967" s="5"/>
    </row>
    <row r="968" spans="1:15" x14ac:dyDescent="0.2">
      <c r="A968" s="3" t="str">
        <f>IF($B968="","",COUNTA($B$9:$B968))</f>
        <v/>
      </c>
      <c r="B968" s="4"/>
      <c r="C968" s="4"/>
      <c r="D968" s="4"/>
      <c r="E968" s="5"/>
      <c r="F968" s="3" t="str">
        <f t="shared" ref="F968:F1031" si="49">IF($E968="","",IFERROR(VLOOKUP($E968,OpTbl,2,0),""))</f>
        <v/>
      </c>
      <c r="G968" s="4"/>
      <c r="H968" s="3" t="str">
        <f t="shared" ref="H968:H1031" si="50">IF($G968="","",IFERROR(IF(VLOOKUP($G968,AcctTbl,4,0)="","(بدون نام)",VLOOKUP($G968,AcctTbl,4,0)),"کد ناشناخته"))</f>
        <v/>
      </c>
      <c r="I968" s="5"/>
      <c r="J968" s="5"/>
      <c r="K968" s="6"/>
      <c r="L968" s="6"/>
      <c r="M968" s="7" t="str">
        <f t="shared" ref="M968:M1031" si="51">IF(OR($B968="",$K968=""),"",($K968-IF($L968="",0,$L968)*IFERROR(VLOOKUP("P01",ParamTbl,3,0),1.5))*(1-IF(IFERROR(VLOOKUP($E968,OpTbl,3,0),"")="خرید",IFERROR(VLOOKUP("P02",ParamTbl,3,0),1),0)/100))</f>
        <v/>
      </c>
      <c r="N968" s="6"/>
      <c r="O968" s="5"/>
    </row>
    <row r="969" spans="1:15" x14ac:dyDescent="0.2">
      <c r="A969" s="3" t="str">
        <f>IF($B969="","",COUNTA($B$9:$B969))</f>
        <v/>
      </c>
      <c r="B969" s="4"/>
      <c r="C969" s="4"/>
      <c r="D969" s="4"/>
      <c r="E969" s="5"/>
      <c r="F969" s="3" t="str">
        <f t="shared" si="49"/>
        <v/>
      </c>
      <c r="G969" s="4"/>
      <c r="H969" s="3" t="str">
        <f t="shared" si="50"/>
        <v/>
      </c>
      <c r="I969" s="5"/>
      <c r="J969" s="5"/>
      <c r="K969" s="6"/>
      <c r="L969" s="6"/>
      <c r="M969" s="7" t="str">
        <f t="shared" si="51"/>
        <v/>
      </c>
      <c r="N969" s="6"/>
      <c r="O969" s="5"/>
    </row>
    <row r="970" spans="1:15" x14ac:dyDescent="0.2">
      <c r="A970" s="3" t="str">
        <f>IF($B970="","",COUNTA($B$9:$B970))</f>
        <v/>
      </c>
      <c r="B970" s="4"/>
      <c r="C970" s="4"/>
      <c r="D970" s="4"/>
      <c r="E970" s="5"/>
      <c r="F970" s="3" t="str">
        <f t="shared" si="49"/>
        <v/>
      </c>
      <c r="G970" s="4"/>
      <c r="H970" s="3" t="str">
        <f t="shared" si="50"/>
        <v/>
      </c>
      <c r="I970" s="5"/>
      <c r="J970" s="5"/>
      <c r="K970" s="6"/>
      <c r="L970" s="6"/>
      <c r="M970" s="7" t="str">
        <f t="shared" si="51"/>
        <v/>
      </c>
      <c r="N970" s="6"/>
      <c r="O970" s="5"/>
    </row>
    <row r="971" spans="1:15" x14ac:dyDescent="0.2">
      <c r="A971" s="3" t="str">
        <f>IF($B971="","",COUNTA($B$9:$B971))</f>
        <v/>
      </c>
      <c r="B971" s="4"/>
      <c r="C971" s="4"/>
      <c r="D971" s="4"/>
      <c r="E971" s="5"/>
      <c r="F971" s="3" t="str">
        <f t="shared" si="49"/>
        <v/>
      </c>
      <c r="G971" s="4"/>
      <c r="H971" s="3" t="str">
        <f t="shared" si="50"/>
        <v/>
      </c>
      <c r="I971" s="5"/>
      <c r="J971" s="5"/>
      <c r="K971" s="6"/>
      <c r="L971" s="6"/>
      <c r="M971" s="7" t="str">
        <f t="shared" si="51"/>
        <v/>
      </c>
      <c r="N971" s="6"/>
      <c r="O971" s="5"/>
    </row>
    <row r="972" spans="1:15" x14ac:dyDescent="0.2">
      <c r="A972" s="3" t="str">
        <f>IF($B972="","",COUNTA($B$9:$B972))</f>
        <v/>
      </c>
      <c r="B972" s="4"/>
      <c r="C972" s="4"/>
      <c r="D972" s="4"/>
      <c r="E972" s="5"/>
      <c r="F972" s="3" t="str">
        <f t="shared" si="49"/>
        <v/>
      </c>
      <c r="G972" s="4"/>
      <c r="H972" s="3" t="str">
        <f t="shared" si="50"/>
        <v/>
      </c>
      <c r="I972" s="5"/>
      <c r="J972" s="5"/>
      <c r="K972" s="6"/>
      <c r="L972" s="6"/>
      <c r="M972" s="7" t="str">
        <f t="shared" si="51"/>
        <v/>
      </c>
      <c r="N972" s="6"/>
      <c r="O972" s="5"/>
    </row>
    <row r="973" spans="1:15" x14ac:dyDescent="0.2">
      <c r="A973" s="3" t="str">
        <f>IF($B973="","",COUNTA($B$9:$B973))</f>
        <v/>
      </c>
      <c r="B973" s="4"/>
      <c r="C973" s="4"/>
      <c r="D973" s="4"/>
      <c r="E973" s="5"/>
      <c r="F973" s="3" t="str">
        <f t="shared" si="49"/>
        <v/>
      </c>
      <c r="G973" s="4"/>
      <c r="H973" s="3" t="str">
        <f t="shared" si="50"/>
        <v/>
      </c>
      <c r="I973" s="5"/>
      <c r="J973" s="5"/>
      <c r="K973" s="6"/>
      <c r="L973" s="6"/>
      <c r="M973" s="7" t="str">
        <f t="shared" si="51"/>
        <v/>
      </c>
      <c r="N973" s="6"/>
      <c r="O973" s="5"/>
    </row>
    <row r="974" spans="1:15" x14ac:dyDescent="0.2">
      <c r="A974" s="3" t="str">
        <f>IF($B974="","",COUNTA($B$9:$B974))</f>
        <v/>
      </c>
      <c r="B974" s="4"/>
      <c r="C974" s="4"/>
      <c r="D974" s="4"/>
      <c r="E974" s="5"/>
      <c r="F974" s="3" t="str">
        <f t="shared" si="49"/>
        <v/>
      </c>
      <c r="G974" s="4"/>
      <c r="H974" s="3" t="str">
        <f t="shared" si="50"/>
        <v/>
      </c>
      <c r="I974" s="5"/>
      <c r="J974" s="5"/>
      <c r="K974" s="6"/>
      <c r="L974" s="6"/>
      <c r="M974" s="7" t="str">
        <f t="shared" si="51"/>
        <v/>
      </c>
      <c r="N974" s="6"/>
      <c r="O974" s="5"/>
    </row>
    <row r="975" spans="1:15" x14ac:dyDescent="0.2">
      <c r="A975" s="3" t="str">
        <f>IF($B975="","",COUNTA($B$9:$B975))</f>
        <v/>
      </c>
      <c r="B975" s="4"/>
      <c r="C975" s="4"/>
      <c r="D975" s="4"/>
      <c r="E975" s="5"/>
      <c r="F975" s="3" t="str">
        <f t="shared" si="49"/>
        <v/>
      </c>
      <c r="G975" s="4"/>
      <c r="H975" s="3" t="str">
        <f t="shared" si="50"/>
        <v/>
      </c>
      <c r="I975" s="5"/>
      <c r="J975" s="5"/>
      <c r="K975" s="6"/>
      <c r="L975" s="6"/>
      <c r="M975" s="7" t="str">
        <f t="shared" si="51"/>
        <v/>
      </c>
      <c r="N975" s="6"/>
      <c r="O975" s="5"/>
    </row>
    <row r="976" spans="1:15" x14ac:dyDescent="0.2">
      <c r="A976" s="3" t="str">
        <f>IF($B976="","",COUNTA($B$9:$B976))</f>
        <v/>
      </c>
      <c r="B976" s="4"/>
      <c r="C976" s="4"/>
      <c r="D976" s="4"/>
      <c r="E976" s="5"/>
      <c r="F976" s="3" t="str">
        <f t="shared" si="49"/>
        <v/>
      </c>
      <c r="G976" s="4"/>
      <c r="H976" s="3" t="str">
        <f t="shared" si="50"/>
        <v/>
      </c>
      <c r="I976" s="5"/>
      <c r="J976" s="5"/>
      <c r="K976" s="6"/>
      <c r="L976" s="6"/>
      <c r="M976" s="7" t="str">
        <f t="shared" si="51"/>
        <v/>
      </c>
      <c r="N976" s="6"/>
      <c r="O976" s="5"/>
    </row>
    <row r="977" spans="1:15" x14ac:dyDescent="0.2">
      <c r="A977" s="3" t="str">
        <f>IF($B977="","",COUNTA($B$9:$B977))</f>
        <v/>
      </c>
      <c r="B977" s="4"/>
      <c r="C977" s="4"/>
      <c r="D977" s="4"/>
      <c r="E977" s="5"/>
      <c r="F977" s="3" t="str">
        <f t="shared" si="49"/>
        <v/>
      </c>
      <c r="G977" s="4"/>
      <c r="H977" s="3" t="str">
        <f t="shared" si="50"/>
        <v/>
      </c>
      <c r="I977" s="5"/>
      <c r="J977" s="5"/>
      <c r="K977" s="6"/>
      <c r="L977" s="6"/>
      <c r="M977" s="7" t="str">
        <f t="shared" si="51"/>
        <v/>
      </c>
      <c r="N977" s="6"/>
      <c r="O977" s="5"/>
    </row>
    <row r="978" spans="1:15" x14ac:dyDescent="0.2">
      <c r="A978" s="3" t="str">
        <f>IF($B978="","",COUNTA($B$9:$B978))</f>
        <v/>
      </c>
      <c r="B978" s="4"/>
      <c r="C978" s="4"/>
      <c r="D978" s="4"/>
      <c r="E978" s="5"/>
      <c r="F978" s="3" t="str">
        <f t="shared" si="49"/>
        <v/>
      </c>
      <c r="G978" s="4"/>
      <c r="H978" s="3" t="str">
        <f t="shared" si="50"/>
        <v/>
      </c>
      <c r="I978" s="5"/>
      <c r="J978" s="5"/>
      <c r="K978" s="6"/>
      <c r="L978" s="6"/>
      <c r="M978" s="7" t="str">
        <f t="shared" si="51"/>
        <v/>
      </c>
      <c r="N978" s="6"/>
      <c r="O978" s="5"/>
    </row>
    <row r="979" spans="1:15" x14ac:dyDescent="0.2">
      <c r="A979" s="3" t="str">
        <f>IF($B979="","",COUNTA($B$9:$B979))</f>
        <v/>
      </c>
      <c r="B979" s="4"/>
      <c r="C979" s="4"/>
      <c r="D979" s="4"/>
      <c r="E979" s="5"/>
      <c r="F979" s="3" t="str">
        <f t="shared" si="49"/>
        <v/>
      </c>
      <c r="G979" s="4"/>
      <c r="H979" s="3" t="str">
        <f t="shared" si="50"/>
        <v/>
      </c>
      <c r="I979" s="5"/>
      <c r="J979" s="5"/>
      <c r="K979" s="6"/>
      <c r="L979" s="6"/>
      <c r="M979" s="7" t="str">
        <f t="shared" si="51"/>
        <v/>
      </c>
      <c r="N979" s="6"/>
      <c r="O979" s="5"/>
    </row>
    <row r="980" spans="1:15" x14ac:dyDescent="0.2">
      <c r="A980" s="3" t="str">
        <f>IF($B980="","",COUNTA($B$9:$B980))</f>
        <v/>
      </c>
      <c r="B980" s="4"/>
      <c r="C980" s="4"/>
      <c r="D980" s="4"/>
      <c r="E980" s="5"/>
      <c r="F980" s="3" t="str">
        <f t="shared" si="49"/>
        <v/>
      </c>
      <c r="G980" s="4"/>
      <c r="H980" s="3" t="str">
        <f t="shared" si="50"/>
        <v/>
      </c>
      <c r="I980" s="5"/>
      <c r="J980" s="5"/>
      <c r="K980" s="6"/>
      <c r="L980" s="6"/>
      <c r="M980" s="7" t="str">
        <f t="shared" si="51"/>
        <v/>
      </c>
      <c r="N980" s="6"/>
      <c r="O980" s="5"/>
    </row>
    <row r="981" spans="1:15" x14ac:dyDescent="0.2">
      <c r="A981" s="3" t="str">
        <f>IF($B981="","",COUNTA($B$9:$B981))</f>
        <v/>
      </c>
      <c r="B981" s="4"/>
      <c r="C981" s="4"/>
      <c r="D981" s="4"/>
      <c r="E981" s="5"/>
      <c r="F981" s="3" t="str">
        <f t="shared" si="49"/>
        <v/>
      </c>
      <c r="G981" s="4"/>
      <c r="H981" s="3" t="str">
        <f t="shared" si="50"/>
        <v/>
      </c>
      <c r="I981" s="5"/>
      <c r="J981" s="5"/>
      <c r="K981" s="6"/>
      <c r="L981" s="6"/>
      <c r="M981" s="7" t="str">
        <f t="shared" si="51"/>
        <v/>
      </c>
      <c r="N981" s="6"/>
      <c r="O981" s="5"/>
    </row>
    <row r="982" spans="1:15" x14ac:dyDescent="0.2">
      <c r="A982" s="3" t="str">
        <f>IF($B982="","",COUNTA($B$9:$B982))</f>
        <v/>
      </c>
      <c r="B982" s="4"/>
      <c r="C982" s="4"/>
      <c r="D982" s="4"/>
      <c r="E982" s="5"/>
      <c r="F982" s="3" t="str">
        <f t="shared" si="49"/>
        <v/>
      </c>
      <c r="G982" s="4"/>
      <c r="H982" s="3" t="str">
        <f t="shared" si="50"/>
        <v/>
      </c>
      <c r="I982" s="5"/>
      <c r="J982" s="5"/>
      <c r="K982" s="6"/>
      <c r="L982" s="6"/>
      <c r="M982" s="7" t="str">
        <f t="shared" si="51"/>
        <v/>
      </c>
      <c r="N982" s="6"/>
      <c r="O982" s="5"/>
    </row>
    <row r="983" spans="1:15" x14ac:dyDescent="0.2">
      <c r="A983" s="3" t="str">
        <f>IF($B983="","",COUNTA($B$9:$B983))</f>
        <v/>
      </c>
      <c r="B983" s="4"/>
      <c r="C983" s="4"/>
      <c r="D983" s="4"/>
      <c r="E983" s="5"/>
      <c r="F983" s="3" t="str">
        <f t="shared" si="49"/>
        <v/>
      </c>
      <c r="G983" s="4"/>
      <c r="H983" s="3" t="str">
        <f t="shared" si="50"/>
        <v/>
      </c>
      <c r="I983" s="5"/>
      <c r="J983" s="5"/>
      <c r="K983" s="6"/>
      <c r="L983" s="6"/>
      <c r="M983" s="7" t="str">
        <f t="shared" si="51"/>
        <v/>
      </c>
      <c r="N983" s="6"/>
      <c r="O983" s="5"/>
    </row>
    <row r="984" spans="1:15" x14ac:dyDescent="0.2">
      <c r="A984" s="3" t="str">
        <f>IF($B984="","",COUNTA($B$9:$B984))</f>
        <v/>
      </c>
      <c r="B984" s="4"/>
      <c r="C984" s="4"/>
      <c r="D984" s="4"/>
      <c r="E984" s="5"/>
      <c r="F984" s="3" t="str">
        <f t="shared" si="49"/>
        <v/>
      </c>
      <c r="G984" s="4"/>
      <c r="H984" s="3" t="str">
        <f t="shared" si="50"/>
        <v/>
      </c>
      <c r="I984" s="5"/>
      <c r="J984" s="5"/>
      <c r="K984" s="6"/>
      <c r="L984" s="6"/>
      <c r="M984" s="7" t="str">
        <f t="shared" si="51"/>
        <v/>
      </c>
      <c r="N984" s="6"/>
      <c r="O984" s="5"/>
    </row>
    <row r="985" spans="1:15" x14ac:dyDescent="0.2">
      <c r="A985" s="3" t="str">
        <f>IF($B985="","",COUNTA($B$9:$B985))</f>
        <v/>
      </c>
      <c r="B985" s="4"/>
      <c r="C985" s="4"/>
      <c r="D985" s="4"/>
      <c r="E985" s="5"/>
      <c r="F985" s="3" t="str">
        <f t="shared" si="49"/>
        <v/>
      </c>
      <c r="G985" s="4"/>
      <c r="H985" s="3" t="str">
        <f t="shared" si="50"/>
        <v/>
      </c>
      <c r="I985" s="5"/>
      <c r="J985" s="5"/>
      <c r="K985" s="6"/>
      <c r="L985" s="6"/>
      <c r="M985" s="7" t="str">
        <f t="shared" si="51"/>
        <v/>
      </c>
      <c r="N985" s="6"/>
      <c r="O985" s="5"/>
    </row>
    <row r="986" spans="1:15" x14ac:dyDescent="0.2">
      <c r="A986" s="3" t="str">
        <f>IF($B986="","",COUNTA($B$9:$B986))</f>
        <v/>
      </c>
      <c r="B986" s="4"/>
      <c r="C986" s="4"/>
      <c r="D986" s="4"/>
      <c r="E986" s="5"/>
      <c r="F986" s="3" t="str">
        <f t="shared" si="49"/>
        <v/>
      </c>
      <c r="G986" s="4"/>
      <c r="H986" s="3" t="str">
        <f t="shared" si="50"/>
        <v/>
      </c>
      <c r="I986" s="5"/>
      <c r="J986" s="5"/>
      <c r="K986" s="6"/>
      <c r="L986" s="6"/>
      <c r="M986" s="7" t="str">
        <f t="shared" si="51"/>
        <v/>
      </c>
      <c r="N986" s="6"/>
      <c r="O986" s="5"/>
    </row>
    <row r="987" spans="1:15" x14ac:dyDescent="0.2">
      <c r="A987" s="3" t="str">
        <f>IF($B987="","",COUNTA($B$9:$B987))</f>
        <v/>
      </c>
      <c r="B987" s="4"/>
      <c r="C987" s="4"/>
      <c r="D987" s="4"/>
      <c r="E987" s="5"/>
      <c r="F987" s="3" t="str">
        <f t="shared" si="49"/>
        <v/>
      </c>
      <c r="G987" s="4"/>
      <c r="H987" s="3" t="str">
        <f t="shared" si="50"/>
        <v/>
      </c>
      <c r="I987" s="5"/>
      <c r="J987" s="5"/>
      <c r="K987" s="6"/>
      <c r="L987" s="6"/>
      <c r="M987" s="7" t="str">
        <f t="shared" si="51"/>
        <v/>
      </c>
      <c r="N987" s="6"/>
      <c r="O987" s="5"/>
    </row>
    <row r="988" spans="1:15" x14ac:dyDescent="0.2">
      <c r="A988" s="3" t="str">
        <f>IF($B988="","",COUNTA($B$9:$B988))</f>
        <v/>
      </c>
      <c r="B988" s="4"/>
      <c r="C988" s="4"/>
      <c r="D988" s="4"/>
      <c r="E988" s="5"/>
      <c r="F988" s="3" t="str">
        <f t="shared" si="49"/>
        <v/>
      </c>
      <c r="G988" s="4"/>
      <c r="H988" s="3" t="str">
        <f t="shared" si="50"/>
        <v/>
      </c>
      <c r="I988" s="5"/>
      <c r="J988" s="5"/>
      <c r="K988" s="6"/>
      <c r="L988" s="6"/>
      <c r="M988" s="7" t="str">
        <f t="shared" si="51"/>
        <v/>
      </c>
      <c r="N988" s="6"/>
      <c r="O988" s="5"/>
    </row>
    <row r="989" spans="1:15" x14ac:dyDescent="0.2">
      <c r="A989" s="3" t="str">
        <f>IF($B989="","",COUNTA($B$9:$B989))</f>
        <v/>
      </c>
      <c r="B989" s="4"/>
      <c r="C989" s="4"/>
      <c r="D989" s="4"/>
      <c r="E989" s="5"/>
      <c r="F989" s="3" t="str">
        <f t="shared" si="49"/>
        <v/>
      </c>
      <c r="G989" s="4"/>
      <c r="H989" s="3" t="str">
        <f t="shared" si="50"/>
        <v/>
      </c>
      <c r="I989" s="5"/>
      <c r="J989" s="5"/>
      <c r="K989" s="6"/>
      <c r="L989" s="6"/>
      <c r="M989" s="7" t="str">
        <f t="shared" si="51"/>
        <v/>
      </c>
      <c r="N989" s="6"/>
      <c r="O989" s="5"/>
    </row>
    <row r="990" spans="1:15" x14ac:dyDescent="0.2">
      <c r="A990" s="3" t="str">
        <f>IF($B990="","",COUNTA($B$9:$B990))</f>
        <v/>
      </c>
      <c r="B990" s="4"/>
      <c r="C990" s="4"/>
      <c r="D990" s="4"/>
      <c r="E990" s="5"/>
      <c r="F990" s="3" t="str">
        <f t="shared" si="49"/>
        <v/>
      </c>
      <c r="G990" s="4"/>
      <c r="H990" s="3" t="str">
        <f t="shared" si="50"/>
        <v/>
      </c>
      <c r="I990" s="5"/>
      <c r="J990" s="5"/>
      <c r="K990" s="6"/>
      <c r="L990" s="6"/>
      <c r="M990" s="7" t="str">
        <f t="shared" si="51"/>
        <v/>
      </c>
      <c r="N990" s="6"/>
      <c r="O990" s="5"/>
    </row>
    <row r="991" spans="1:15" x14ac:dyDescent="0.2">
      <c r="A991" s="3" t="str">
        <f>IF($B991="","",COUNTA($B$9:$B991))</f>
        <v/>
      </c>
      <c r="B991" s="4"/>
      <c r="C991" s="4"/>
      <c r="D991" s="4"/>
      <c r="E991" s="5"/>
      <c r="F991" s="3" t="str">
        <f t="shared" si="49"/>
        <v/>
      </c>
      <c r="G991" s="4"/>
      <c r="H991" s="3" t="str">
        <f t="shared" si="50"/>
        <v/>
      </c>
      <c r="I991" s="5"/>
      <c r="J991" s="5"/>
      <c r="K991" s="6"/>
      <c r="L991" s="6"/>
      <c r="M991" s="7" t="str">
        <f t="shared" si="51"/>
        <v/>
      </c>
      <c r="N991" s="6"/>
      <c r="O991" s="5"/>
    </row>
    <row r="992" spans="1:15" x14ac:dyDescent="0.2">
      <c r="A992" s="3" t="str">
        <f>IF($B992="","",COUNTA($B$9:$B992))</f>
        <v/>
      </c>
      <c r="B992" s="4"/>
      <c r="C992" s="4"/>
      <c r="D992" s="4"/>
      <c r="E992" s="5"/>
      <c r="F992" s="3" t="str">
        <f t="shared" si="49"/>
        <v/>
      </c>
      <c r="G992" s="4"/>
      <c r="H992" s="3" t="str">
        <f t="shared" si="50"/>
        <v/>
      </c>
      <c r="I992" s="5"/>
      <c r="J992" s="5"/>
      <c r="K992" s="6"/>
      <c r="L992" s="6"/>
      <c r="M992" s="7" t="str">
        <f t="shared" si="51"/>
        <v/>
      </c>
      <c r="N992" s="6"/>
      <c r="O992" s="5"/>
    </row>
    <row r="993" spans="1:15" x14ac:dyDescent="0.2">
      <c r="A993" s="3" t="str">
        <f>IF($B993="","",COUNTA($B$9:$B993))</f>
        <v/>
      </c>
      <c r="B993" s="4"/>
      <c r="C993" s="4"/>
      <c r="D993" s="4"/>
      <c r="E993" s="5"/>
      <c r="F993" s="3" t="str">
        <f t="shared" si="49"/>
        <v/>
      </c>
      <c r="G993" s="4"/>
      <c r="H993" s="3" t="str">
        <f t="shared" si="50"/>
        <v/>
      </c>
      <c r="I993" s="5"/>
      <c r="J993" s="5"/>
      <c r="K993" s="6"/>
      <c r="L993" s="6"/>
      <c r="M993" s="7" t="str">
        <f t="shared" si="51"/>
        <v/>
      </c>
      <c r="N993" s="6"/>
      <c r="O993" s="5"/>
    </row>
    <row r="994" spans="1:15" x14ac:dyDescent="0.2">
      <c r="A994" s="3" t="str">
        <f>IF($B994="","",COUNTA($B$9:$B994))</f>
        <v/>
      </c>
      <c r="B994" s="4"/>
      <c r="C994" s="4"/>
      <c r="D994" s="4"/>
      <c r="E994" s="5"/>
      <c r="F994" s="3" t="str">
        <f t="shared" si="49"/>
        <v/>
      </c>
      <c r="G994" s="4"/>
      <c r="H994" s="3" t="str">
        <f t="shared" si="50"/>
        <v/>
      </c>
      <c r="I994" s="5"/>
      <c r="J994" s="5"/>
      <c r="K994" s="6"/>
      <c r="L994" s="6"/>
      <c r="M994" s="7" t="str">
        <f t="shared" si="51"/>
        <v/>
      </c>
      <c r="N994" s="6"/>
      <c r="O994" s="5"/>
    </row>
    <row r="995" spans="1:15" x14ac:dyDescent="0.2">
      <c r="A995" s="3" t="str">
        <f>IF($B995="","",COUNTA($B$9:$B995))</f>
        <v/>
      </c>
      <c r="B995" s="4"/>
      <c r="C995" s="4"/>
      <c r="D995" s="4"/>
      <c r="E995" s="5"/>
      <c r="F995" s="3" t="str">
        <f t="shared" si="49"/>
        <v/>
      </c>
      <c r="G995" s="4"/>
      <c r="H995" s="3" t="str">
        <f t="shared" si="50"/>
        <v/>
      </c>
      <c r="I995" s="5"/>
      <c r="J995" s="5"/>
      <c r="K995" s="6"/>
      <c r="L995" s="6"/>
      <c r="M995" s="7" t="str">
        <f t="shared" si="51"/>
        <v/>
      </c>
      <c r="N995" s="6"/>
      <c r="O995" s="5"/>
    </row>
    <row r="996" spans="1:15" x14ac:dyDescent="0.2">
      <c r="A996" s="3" t="str">
        <f>IF($B996="","",COUNTA($B$9:$B996))</f>
        <v/>
      </c>
      <c r="B996" s="4"/>
      <c r="C996" s="4"/>
      <c r="D996" s="4"/>
      <c r="E996" s="5"/>
      <c r="F996" s="3" t="str">
        <f t="shared" si="49"/>
        <v/>
      </c>
      <c r="G996" s="4"/>
      <c r="H996" s="3" t="str">
        <f t="shared" si="50"/>
        <v/>
      </c>
      <c r="I996" s="5"/>
      <c r="J996" s="5"/>
      <c r="K996" s="6"/>
      <c r="L996" s="6"/>
      <c r="M996" s="7" t="str">
        <f t="shared" si="51"/>
        <v/>
      </c>
      <c r="N996" s="6"/>
      <c r="O996" s="5"/>
    </row>
    <row r="997" spans="1:15" x14ac:dyDescent="0.2">
      <c r="A997" s="3" t="str">
        <f>IF($B997="","",COUNTA($B$9:$B997))</f>
        <v/>
      </c>
      <c r="B997" s="4"/>
      <c r="C997" s="4"/>
      <c r="D997" s="4"/>
      <c r="E997" s="5"/>
      <c r="F997" s="3" t="str">
        <f t="shared" si="49"/>
        <v/>
      </c>
      <c r="G997" s="4"/>
      <c r="H997" s="3" t="str">
        <f t="shared" si="50"/>
        <v/>
      </c>
      <c r="I997" s="5"/>
      <c r="J997" s="5"/>
      <c r="K997" s="6"/>
      <c r="L997" s="6"/>
      <c r="M997" s="7" t="str">
        <f t="shared" si="51"/>
        <v/>
      </c>
      <c r="N997" s="6"/>
      <c r="O997" s="5"/>
    </row>
    <row r="998" spans="1:15" x14ac:dyDescent="0.2">
      <c r="A998" s="3" t="str">
        <f>IF($B998="","",COUNTA($B$9:$B998))</f>
        <v/>
      </c>
      <c r="B998" s="4"/>
      <c r="C998" s="4"/>
      <c r="D998" s="4"/>
      <c r="E998" s="5"/>
      <c r="F998" s="3" t="str">
        <f t="shared" si="49"/>
        <v/>
      </c>
      <c r="G998" s="4"/>
      <c r="H998" s="3" t="str">
        <f t="shared" si="50"/>
        <v/>
      </c>
      <c r="I998" s="5"/>
      <c r="J998" s="5"/>
      <c r="K998" s="6"/>
      <c r="L998" s="6"/>
      <c r="M998" s="7" t="str">
        <f t="shared" si="51"/>
        <v/>
      </c>
      <c r="N998" s="6"/>
      <c r="O998" s="5"/>
    </row>
    <row r="999" spans="1:15" x14ac:dyDescent="0.2">
      <c r="A999" s="3" t="str">
        <f>IF($B999="","",COUNTA($B$9:$B999))</f>
        <v/>
      </c>
      <c r="B999" s="4"/>
      <c r="C999" s="4"/>
      <c r="D999" s="4"/>
      <c r="E999" s="5"/>
      <c r="F999" s="3" t="str">
        <f t="shared" si="49"/>
        <v/>
      </c>
      <c r="G999" s="4"/>
      <c r="H999" s="3" t="str">
        <f t="shared" si="50"/>
        <v/>
      </c>
      <c r="I999" s="5"/>
      <c r="J999" s="5"/>
      <c r="K999" s="6"/>
      <c r="L999" s="6"/>
      <c r="M999" s="7" t="str">
        <f t="shared" si="51"/>
        <v/>
      </c>
      <c r="N999" s="6"/>
      <c r="O999" s="5"/>
    </row>
    <row r="1000" spans="1:15" x14ac:dyDescent="0.2">
      <c r="A1000" s="3" t="str">
        <f>IF($B1000="","",COUNTA($B$9:$B1000))</f>
        <v/>
      </c>
      <c r="B1000" s="4"/>
      <c r="C1000" s="4"/>
      <c r="D1000" s="4"/>
      <c r="E1000" s="5"/>
      <c r="F1000" s="3" t="str">
        <f t="shared" si="49"/>
        <v/>
      </c>
      <c r="G1000" s="4"/>
      <c r="H1000" s="3" t="str">
        <f t="shared" si="50"/>
        <v/>
      </c>
      <c r="I1000" s="5"/>
      <c r="J1000" s="5"/>
      <c r="K1000" s="6"/>
      <c r="L1000" s="6"/>
      <c r="M1000" s="7" t="str">
        <f t="shared" si="51"/>
        <v/>
      </c>
      <c r="N1000" s="6"/>
      <c r="O1000" s="5"/>
    </row>
    <row r="1001" spans="1:15" x14ac:dyDescent="0.2">
      <c r="A1001" s="3" t="str">
        <f>IF($B1001="","",COUNTA($B$9:$B1001))</f>
        <v/>
      </c>
      <c r="B1001" s="4"/>
      <c r="C1001" s="4"/>
      <c r="D1001" s="4"/>
      <c r="E1001" s="5"/>
      <c r="F1001" s="3" t="str">
        <f t="shared" si="49"/>
        <v/>
      </c>
      <c r="G1001" s="4"/>
      <c r="H1001" s="3" t="str">
        <f t="shared" si="50"/>
        <v/>
      </c>
      <c r="I1001" s="5"/>
      <c r="J1001" s="5"/>
      <c r="K1001" s="6"/>
      <c r="L1001" s="6"/>
      <c r="M1001" s="7" t="str">
        <f t="shared" si="51"/>
        <v/>
      </c>
      <c r="N1001" s="6"/>
      <c r="O1001" s="5"/>
    </row>
    <row r="1002" spans="1:15" x14ac:dyDescent="0.2">
      <c r="A1002" s="3" t="str">
        <f>IF($B1002="","",COUNTA($B$9:$B1002))</f>
        <v/>
      </c>
      <c r="B1002" s="4"/>
      <c r="C1002" s="4"/>
      <c r="D1002" s="4"/>
      <c r="E1002" s="5"/>
      <c r="F1002" s="3" t="str">
        <f t="shared" si="49"/>
        <v/>
      </c>
      <c r="G1002" s="4"/>
      <c r="H1002" s="3" t="str">
        <f t="shared" si="50"/>
        <v/>
      </c>
      <c r="I1002" s="5"/>
      <c r="J1002" s="5"/>
      <c r="K1002" s="6"/>
      <c r="L1002" s="6"/>
      <c r="M1002" s="7" t="str">
        <f t="shared" si="51"/>
        <v/>
      </c>
      <c r="N1002" s="6"/>
      <c r="O1002" s="5"/>
    </row>
    <row r="1003" spans="1:15" x14ac:dyDescent="0.2">
      <c r="A1003" s="3" t="str">
        <f>IF($B1003="","",COUNTA($B$9:$B1003))</f>
        <v/>
      </c>
      <c r="B1003" s="4"/>
      <c r="C1003" s="4"/>
      <c r="D1003" s="4"/>
      <c r="E1003" s="5"/>
      <c r="F1003" s="3" t="str">
        <f t="shared" si="49"/>
        <v/>
      </c>
      <c r="G1003" s="4"/>
      <c r="H1003" s="3" t="str">
        <f t="shared" si="50"/>
        <v/>
      </c>
      <c r="I1003" s="5"/>
      <c r="J1003" s="5"/>
      <c r="K1003" s="6"/>
      <c r="L1003" s="6"/>
      <c r="M1003" s="7" t="str">
        <f t="shared" si="51"/>
        <v/>
      </c>
      <c r="N1003" s="6"/>
      <c r="O1003" s="5"/>
    </row>
    <row r="1004" spans="1:15" x14ac:dyDescent="0.2">
      <c r="A1004" s="3" t="str">
        <f>IF($B1004="","",COUNTA($B$9:$B1004))</f>
        <v/>
      </c>
      <c r="B1004" s="4"/>
      <c r="C1004" s="4"/>
      <c r="D1004" s="4"/>
      <c r="E1004" s="5"/>
      <c r="F1004" s="3" t="str">
        <f t="shared" si="49"/>
        <v/>
      </c>
      <c r="G1004" s="4"/>
      <c r="H1004" s="3" t="str">
        <f t="shared" si="50"/>
        <v/>
      </c>
      <c r="I1004" s="5"/>
      <c r="J1004" s="5"/>
      <c r="K1004" s="6"/>
      <c r="L1004" s="6"/>
      <c r="M1004" s="7" t="str">
        <f t="shared" si="51"/>
        <v/>
      </c>
      <c r="N1004" s="6"/>
      <c r="O1004" s="5"/>
    </row>
    <row r="1005" spans="1:15" x14ac:dyDescent="0.2">
      <c r="A1005" s="3" t="str">
        <f>IF($B1005="","",COUNTA($B$9:$B1005))</f>
        <v/>
      </c>
      <c r="B1005" s="4"/>
      <c r="C1005" s="4"/>
      <c r="D1005" s="4"/>
      <c r="E1005" s="5"/>
      <c r="F1005" s="3" t="str">
        <f t="shared" si="49"/>
        <v/>
      </c>
      <c r="G1005" s="4"/>
      <c r="H1005" s="3" t="str">
        <f t="shared" si="50"/>
        <v/>
      </c>
      <c r="I1005" s="5"/>
      <c r="J1005" s="5"/>
      <c r="K1005" s="6"/>
      <c r="L1005" s="6"/>
      <c r="M1005" s="7" t="str">
        <f t="shared" si="51"/>
        <v/>
      </c>
      <c r="N1005" s="6"/>
      <c r="O1005" s="5"/>
    </row>
    <row r="1006" spans="1:15" x14ac:dyDescent="0.2">
      <c r="A1006" s="3" t="str">
        <f>IF($B1006="","",COUNTA($B$9:$B1006))</f>
        <v/>
      </c>
      <c r="B1006" s="4"/>
      <c r="C1006" s="4"/>
      <c r="D1006" s="4"/>
      <c r="E1006" s="5"/>
      <c r="F1006" s="3" t="str">
        <f t="shared" si="49"/>
        <v/>
      </c>
      <c r="G1006" s="4"/>
      <c r="H1006" s="3" t="str">
        <f t="shared" si="50"/>
        <v/>
      </c>
      <c r="I1006" s="5"/>
      <c r="J1006" s="5"/>
      <c r="K1006" s="6"/>
      <c r="L1006" s="6"/>
      <c r="M1006" s="7" t="str">
        <f t="shared" si="51"/>
        <v/>
      </c>
      <c r="N1006" s="6"/>
      <c r="O1006" s="5"/>
    </row>
    <row r="1007" spans="1:15" x14ac:dyDescent="0.2">
      <c r="A1007" s="3" t="str">
        <f>IF($B1007="","",COUNTA($B$9:$B1007))</f>
        <v/>
      </c>
      <c r="B1007" s="4"/>
      <c r="C1007" s="4"/>
      <c r="D1007" s="4"/>
      <c r="E1007" s="5"/>
      <c r="F1007" s="3" t="str">
        <f t="shared" si="49"/>
        <v/>
      </c>
      <c r="G1007" s="4"/>
      <c r="H1007" s="3" t="str">
        <f t="shared" si="50"/>
        <v/>
      </c>
      <c r="I1007" s="5"/>
      <c r="J1007" s="5"/>
      <c r="K1007" s="6"/>
      <c r="L1007" s="6"/>
      <c r="M1007" s="7" t="str">
        <f t="shared" si="51"/>
        <v/>
      </c>
      <c r="N1007" s="6"/>
      <c r="O1007" s="5"/>
    </row>
    <row r="1008" spans="1:15" x14ac:dyDescent="0.2">
      <c r="A1008" s="3" t="str">
        <f>IF($B1008="","",COUNTA($B$9:$B1008))</f>
        <v/>
      </c>
      <c r="B1008" s="4"/>
      <c r="C1008" s="4"/>
      <c r="D1008" s="4"/>
      <c r="E1008" s="5"/>
      <c r="F1008" s="3" t="str">
        <f t="shared" si="49"/>
        <v/>
      </c>
      <c r="G1008" s="4"/>
      <c r="H1008" s="3" t="str">
        <f t="shared" si="50"/>
        <v/>
      </c>
      <c r="I1008" s="5"/>
      <c r="J1008" s="5"/>
      <c r="K1008" s="6"/>
      <c r="L1008" s="6"/>
      <c r="M1008" s="7" t="str">
        <f t="shared" si="51"/>
        <v/>
      </c>
      <c r="N1008" s="6"/>
      <c r="O1008" s="5"/>
    </row>
    <row r="1009" spans="1:15" x14ac:dyDescent="0.2">
      <c r="A1009" s="3" t="str">
        <f>IF($B1009="","",COUNTA($B$9:$B1009))</f>
        <v/>
      </c>
      <c r="B1009" s="4"/>
      <c r="C1009" s="4"/>
      <c r="D1009" s="4"/>
      <c r="E1009" s="5"/>
      <c r="F1009" s="3" t="str">
        <f t="shared" si="49"/>
        <v/>
      </c>
      <c r="G1009" s="4"/>
      <c r="H1009" s="3" t="str">
        <f t="shared" si="50"/>
        <v/>
      </c>
      <c r="I1009" s="5"/>
      <c r="J1009" s="5"/>
      <c r="K1009" s="6"/>
      <c r="L1009" s="6"/>
      <c r="M1009" s="7" t="str">
        <f t="shared" si="51"/>
        <v/>
      </c>
      <c r="N1009" s="6"/>
      <c r="O1009" s="5"/>
    </row>
    <row r="1010" spans="1:15" x14ac:dyDescent="0.2">
      <c r="A1010" s="3" t="str">
        <f>IF($B1010="","",COUNTA($B$9:$B1010))</f>
        <v/>
      </c>
      <c r="B1010" s="4"/>
      <c r="C1010" s="4"/>
      <c r="D1010" s="4"/>
      <c r="E1010" s="5"/>
      <c r="F1010" s="3" t="str">
        <f t="shared" si="49"/>
        <v/>
      </c>
      <c r="G1010" s="4"/>
      <c r="H1010" s="3" t="str">
        <f t="shared" si="50"/>
        <v/>
      </c>
      <c r="I1010" s="5"/>
      <c r="J1010" s="5"/>
      <c r="K1010" s="6"/>
      <c r="L1010" s="6"/>
      <c r="M1010" s="7" t="str">
        <f t="shared" si="51"/>
        <v/>
      </c>
      <c r="N1010" s="6"/>
      <c r="O1010" s="5"/>
    </row>
    <row r="1011" spans="1:15" x14ac:dyDescent="0.2">
      <c r="A1011" s="3" t="str">
        <f>IF($B1011="","",COUNTA($B$9:$B1011))</f>
        <v/>
      </c>
      <c r="B1011" s="4"/>
      <c r="C1011" s="4"/>
      <c r="D1011" s="4"/>
      <c r="E1011" s="5"/>
      <c r="F1011" s="3" t="str">
        <f t="shared" si="49"/>
        <v/>
      </c>
      <c r="G1011" s="4"/>
      <c r="H1011" s="3" t="str">
        <f t="shared" si="50"/>
        <v/>
      </c>
      <c r="I1011" s="5"/>
      <c r="J1011" s="5"/>
      <c r="K1011" s="6"/>
      <c r="L1011" s="6"/>
      <c r="M1011" s="7" t="str">
        <f t="shared" si="51"/>
        <v/>
      </c>
      <c r="N1011" s="6"/>
      <c r="O1011" s="5"/>
    </row>
    <row r="1012" spans="1:15" x14ac:dyDescent="0.2">
      <c r="A1012" s="3" t="str">
        <f>IF($B1012="","",COUNTA($B$9:$B1012))</f>
        <v/>
      </c>
      <c r="B1012" s="4"/>
      <c r="C1012" s="4"/>
      <c r="D1012" s="4"/>
      <c r="E1012" s="5"/>
      <c r="F1012" s="3" t="str">
        <f t="shared" si="49"/>
        <v/>
      </c>
      <c r="G1012" s="4"/>
      <c r="H1012" s="3" t="str">
        <f t="shared" si="50"/>
        <v/>
      </c>
      <c r="I1012" s="5"/>
      <c r="J1012" s="5"/>
      <c r="K1012" s="6"/>
      <c r="L1012" s="6"/>
      <c r="M1012" s="7" t="str">
        <f t="shared" si="51"/>
        <v/>
      </c>
      <c r="N1012" s="6"/>
      <c r="O1012" s="5"/>
    </row>
    <row r="1013" spans="1:15" x14ac:dyDescent="0.2">
      <c r="A1013" s="3" t="str">
        <f>IF($B1013="","",COUNTA($B$9:$B1013))</f>
        <v/>
      </c>
      <c r="B1013" s="4"/>
      <c r="C1013" s="4"/>
      <c r="D1013" s="4"/>
      <c r="E1013" s="5"/>
      <c r="F1013" s="3" t="str">
        <f t="shared" si="49"/>
        <v/>
      </c>
      <c r="G1013" s="4"/>
      <c r="H1013" s="3" t="str">
        <f t="shared" si="50"/>
        <v/>
      </c>
      <c r="I1013" s="5"/>
      <c r="J1013" s="5"/>
      <c r="K1013" s="6"/>
      <c r="L1013" s="6"/>
      <c r="M1013" s="7" t="str">
        <f t="shared" si="51"/>
        <v/>
      </c>
      <c r="N1013" s="6"/>
      <c r="O1013" s="5"/>
    </row>
    <row r="1014" spans="1:15" x14ac:dyDescent="0.2">
      <c r="A1014" s="3" t="str">
        <f>IF($B1014="","",COUNTA($B$9:$B1014))</f>
        <v/>
      </c>
      <c r="B1014" s="4"/>
      <c r="C1014" s="4"/>
      <c r="D1014" s="4"/>
      <c r="E1014" s="5"/>
      <c r="F1014" s="3" t="str">
        <f t="shared" si="49"/>
        <v/>
      </c>
      <c r="G1014" s="4"/>
      <c r="H1014" s="3" t="str">
        <f t="shared" si="50"/>
        <v/>
      </c>
      <c r="I1014" s="5"/>
      <c r="J1014" s="5"/>
      <c r="K1014" s="6"/>
      <c r="L1014" s="6"/>
      <c r="M1014" s="7" t="str">
        <f t="shared" si="51"/>
        <v/>
      </c>
      <c r="N1014" s="6"/>
      <c r="O1014" s="5"/>
    </row>
    <row r="1015" spans="1:15" x14ac:dyDescent="0.2">
      <c r="A1015" s="3" t="str">
        <f>IF($B1015="","",COUNTA($B$9:$B1015))</f>
        <v/>
      </c>
      <c r="B1015" s="4"/>
      <c r="C1015" s="4"/>
      <c r="D1015" s="4"/>
      <c r="E1015" s="5"/>
      <c r="F1015" s="3" t="str">
        <f t="shared" si="49"/>
        <v/>
      </c>
      <c r="G1015" s="4"/>
      <c r="H1015" s="3" t="str">
        <f t="shared" si="50"/>
        <v/>
      </c>
      <c r="I1015" s="5"/>
      <c r="J1015" s="5"/>
      <c r="K1015" s="6"/>
      <c r="L1015" s="6"/>
      <c r="M1015" s="7" t="str">
        <f t="shared" si="51"/>
        <v/>
      </c>
      <c r="N1015" s="6"/>
      <c r="O1015" s="5"/>
    </row>
    <row r="1016" spans="1:15" x14ac:dyDescent="0.2">
      <c r="A1016" s="3" t="str">
        <f>IF($B1016="","",COUNTA($B$9:$B1016))</f>
        <v/>
      </c>
      <c r="B1016" s="4"/>
      <c r="C1016" s="4"/>
      <c r="D1016" s="4"/>
      <c r="E1016" s="5"/>
      <c r="F1016" s="3" t="str">
        <f t="shared" si="49"/>
        <v/>
      </c>
      <c r="G1016" s="4"/>
      <c r="H1016" s="3" t="str">
        <f t="shared" si="50"/>
        <v/>
      </c>
      <c r="I1016" s="5"/>
      <c r="J1016" s="5"/>
      <c r="K1016" s="6"/>
      <c r="L1016" s="6"/>
      <c r="M1016" s="7" t="str">
        <f t="shared" si="51"/>
        <v/>
      </c>
      <c r="N1016" s="6"/>
      <c r="O1016" s="5"/>
    </row>
    <row r="1017" spans="1:15" x14ac:dyDescent="0.2">
      <c r="A1017" s="3" t="str">
        <f>IF($B1017="","",COUNTA($B$9:$B1017))</f>
        <v/>
      </c>
      <c r="B1017" s="4"/>
      <c r="C1017" s="4"/>
      <c r="D1017" s="4"/>
      <c r="E1017" s="5"/>
      <c r="F1017" s="3" t="str">
        <f t="shared" si="49"/>
        <v/>
      </c>
      <c r="G1017" s="4"/>
      <c r="H1017" s="3" t="str">
        <f t="shared" si="50"/>
        <v/>
      </c>
      <c r="I1017" s="5"/>
      <c r="J1017" s="5"/>
      <c r="K1017" s="6"/>
      <c r="L1017" s="6"/>
      <c r="M1017" s="7" t="str">
        <f t="shared" si="51"/>
        <v/>
      </c>
      <c r="N1017" s="6"/>
      <c r="O1017" s="5"/>
    </row>
    <row r="1018" spans="1:15" x14ac:dyDescent="0.2">
      <c r="A1018" s="3" t="str">
        <f>IF($B1018="","",COUNTA($B$9:$B1018))</f>
        <v/>
      </c>
      <c r="B1018" s="4"/>
      <c r="C1018" s="4"/>
      <c r="D1018" s="4"/>
      <c r="E1018" s="5"/>
      <c r="F1018" s="3" t="str">
        <f t="shared" si="49"/>
        <v/>
      </c>
      <c r="G1018" s="4"/>
      <c r="H1018" s="3" t="str">
        <f t="shared" si="50"/>
        <v/>
      </c>
      <c r="I1018" s="5"/>
      <c r="J1018" s="5"/>
      <c r="K1018" s="6"/>
      <c r="L1018" s="6"/>
      <c r="M1018" s="7" t="str">
        <f t="shared" si="51"/>
        <v/>
      </c>
      <c r="N1018" s="6"/>
      <c r="O1018" s="5"/>
    </row>
    <row r="1019" spans="1:15" x14ac:dyDescent="0.2">
      <c r="A1019" s="3" t="str">
        <f>IF($B1019="","",COUNTA($B$9:$B1019))</f>
        <v/>
      </c>
      <c r="B1019" s="4"/>
      <c r="C1019" s="4"/>
      <c r="D1019" s="4"/>
      <c r="E1019" s="5"/>
      <c r="F1019" s="3" t="str">
        <f t="shared" si="49"/>
        <v/>
      </c>
      <c r="G1019" s="4"/>
      <c r="H1019" s="3" t="str">
        <f t="shared" si="50"/>
        <v/>
      </c>
      <c r="I1019" s="5"/>
      <c r="J1019" s="5"/>
      <c r="K1019" s="6"/>
      <c r="L1019" s="6"/>
      <c r="M1019" s="7" t="str">
        <f t="shared" si="51"/>
        <v/>
      </c>
      <c r="N1019" s="6"/>
      <c r="O1019" s="5"/>
    </row>
    <row r="1020" spans="1:15" x14ac:dyDescent="0.2">
      <c r="A1020" s="3" t="str">
        <f>IF($B1020="","",COUNTA($B$9:$B1020))</f>
        <v/>
      </c>
      <c r="B1020" s="4"/>
      <c r="C1020" s="4"/>
      <c r="D1020" s="4"/>
      <c r="E1020" s="5"/>
      <c r="F1020" s="3" t="str">
        <f t="shared" si="49"/>
        <v/>
      </c>
      <c r="G1020" s="4"/>
      <c r="H1020" s="3" t="str">
        <f t="shared" si="50"/>
        <v/>
      </c>
      <c r="I1020" s="5"/>
      <c r="J1020" s="5"/>
      <c r="K1020" s="6"/>
      <c r="L1020" s="6"/>
      <c r="M1020" s="7" t="str">
        <f t="shared" si="51"/>
        <v/>
      </c>
      <c r="N1020" s="6"/>
      <c r="O1020" s="5"/>
    </row>
    <row r="1021" spans="1:15" x14ac:dyDescent="0.2">
      <c r="A1021" s="3" t="str">
        <f>IF($B1021="","",COUNTA($B$9:$B1021))</f>
        <v/>
      </c>
      <c r="B1021" s="4"/>
      <c r="C1021" s="4"/>
      <c r="D1021" s="4"/>
      <c r="E1021" s="5"/>
      <c r="F1021" s="3" t="str">
        <f t="shared" si="49"/>
        <v/>
      </c>
      <c r="G1021" s="4"/>
      <c r="H1021" s="3" t="str">
        <f t="shared" si="50"/>
        <v/>
      </c>
      <c r="I1021" s="5"/>
      <c r="J1021" s="5"/>
      <c r="K1021" s="6"/>
      <c r="L1021" s="6"/>
      <c r="M1021" s="7" t="str">
        <f t="shared" si="51"/>
        <v/>
      </c>
      <c r="N1021" s="6"/>
      <c r="O1021" s="5"/>
    </row>
    <row r="1022" spans="1:15" x14ac:dyDescent="0.2">
      <c r="A1022" s="3" t="str">
        <f>IF($B1022="","",COUNTA($B$9:$B1022))</f>
        <v/>
      </c>
      <c r="B1022" s="4"/>
      <c r="C1022" s="4"/>
      <c r="D1022" s="4"/>
      <c r="E1022" s="5"/>
      <c r="F1022" s="3" t="str">
        <f t="shared" si="49"/>
        <v/>
      </c>
      <c r="G1022" s="4"/>
      <c r="H1022" s="3" t="str">
        <f t="shared" si="50"/>
        <v/>
      </c>
      <c r="I1022" s="5"/>
      <c r="J1022" s="5"/>
      <c r="K1022" s="6"/>
      <c r="L1022" s="6"/>
      <c r="M1022" s="7" t="str">
        <f t="shared" si="51"/>
        <v/>
      </c>
      <c r="N1022" s="6"/>
      <c r="O1022" s="5"/>
    </row>
    <row r="1023" spans="1:15" x14ac:dyDescent="0.2">
      <c r="A1023" s="3" t="str">
        <f>IF($B1023="","",COUNTA($B$9:$B1023))</f>
        <v/>
      </c>
      <c r="B1023" s="4"/>
      <c r="C1023" s="4"/>
      <c r="D1023" s="4"/>
      <c r="E1023" s="5"/>
      <c r="F1023" s="3" t="str">
        <f t="shared" si="49"/>
        <v/>
      </c>
      <c r="G1023" s="4"/>
      <c r="H1023" s="3" t="str">
        <f t="shared" si="50"/>
        <v/>
      </c>
      <c r="I1023" s="5"/>
      <c r="J1023" s="5"/>
      <c r="K1023" s="6"/>
      <c r="L1023" s="6"/>
      <c r="M1023" s="7" t="str">
        <f t="shared" si="51"/>
        <v/>
      </c>
      <c r="N1023" s="6"/>
      <c r="O1023" s="5"/>
    </row>
    <row r="1024" spans="1:15" x14ac:dyDescent="0.2">
      <c r="A1024" s="3" t="str">
        <f>IF($B1024="","",COUNTA($B$9:$B1024))</f>
        <v/>
      </c>
      <c r="B1024" s="4"/>
      <c r="C1024" s="4"/>
      <c r="D1024" s="4"/>
      <c r="E1024" s="5"/>
      <c r="F1024" s="3" t="str">
        <f t="shared" si="49"/>
        <v/>
      </c>
      <c r="G1024" s="4"/>
      <c r="H1024" s="3" t="str">
        <f t="shared" si="50"/>
        <v/>
      </c>
      <c r="I1024" s="5"/>
      <c r="J1024" s="5"/>
      <c r="K1024" s="6"/>
      <c r="L1024" s="6"/>
      <c r="M1024" s="7" t="str">
        <f t="shared" si="51"/>
        <v/>
      </c>
      <c r="N1024" s="6"/>
      <c r="O1024" s="5"/>
    </row>
    <row r="1025" spans="1:15" x14ac:dyDescent="0.2">
      <c r="A1025" s="3" t="str">
        <f>IF($B1025="","",COUNTA($B$9:$B1025))</f>
        <v/>
      </c>
      <c r="B1025" s="4"/>
      <c r="C1025" s="4"/>
      <c r="D1025" s="4"/>
      <c r="E1025" s="5"/>
      <c r="F1025" s="3" t="str">
        <f t="shared" si="49"/>
        <v/>
      </c>
      <c r="G1025" s="4"/>
      <c r="H1025" s="3" t="str">
        <f t="shared" si="50"/>
        <v/>
      </c>
      <c r="I1025" s="5"/>
      <c r="J1025" s="5"/>
      <c r="K1025" s="6"/>
      <c r="L1025" s="6"/>
      <c r="M1025" s="7" t="str">
        <f t="shared" si="51"/>
        <v/>
      </c>
      <c r="N1025" s="6"/>
      <c r="O1025" s="5"/>
    </row>
    <row r="1026" spans="1:15" x14ac:dyDescent="0.2">
      <c r="A1026" s="3" t="str">
        <f>IF($B1026="","",COUNTA($B$9:$B1026))</f>
        <v/>
      </c>
      <c r="B1026" s="4"/>
      <c r="C1026" s="4"/>
      <c r="D1026" s="4"/>
      <c r="E1026" s="5"/>
      <c r="F1026" s="3" t="str">
        <f t="shared" si="49"/>
        <v/>
      </c>
      <c r="G1026" s="4"/>
      <c r="H1026" s="3" t="str">
        <f t="shared" si="50"/>
        <v/>
      </c>
      <c r="I1026" s="5"/>
      <c r="J1026" s="5"/>
      <c r="K1026" s="6"/>
      <c r="L1026" s="6"/>
      <c r="M1026" s="7" t="str">
        <f t="shared" si="51"/>
        <v/>
      </c>
      <c r="N1026" s="6"/>
      <c r="O1026" s="5"/>
    </row>
    <row r="1027" spans="1:15" x14ac:dyDescent="0.2">
      <c r="A1027" s="3" t="str">
        <f>IF($B1027="","",COUNTA($B$9:$B1027))</f>
        <v/>
      </c>
      <c r="B1027" s="4"/>
      <c r="C1027" s="4"/>
      <c r="D1027" s="4"/>
      <c r="E1027" s="5"/>
      <c r="F1027" s="3" t="str">
        <f t="shared" si="49"/>
        <v/>
      </c>
      <c r="G1027" s="4"/>
      <c r="H1027" s="3" t="str">
        <f t="shared" si="50"/>
        <v/>
      </c>
      <c r="I1027" s="5"/>
      <c r="J1027" s="5"/>
      <c r="K1027" s="6"/>
      <c r="L1027" s="6"/>
      <c r="M1027" s="7" t="str">
        <f t="shared" si="51"/>
        <v/>
      </c>
      <c r="N1027" s="6"/>
      <c r="O1027" s="5"/>
    </row>
    <row r="1028" spans="1:15" x14ac:dyDescent="0.2">
      <c r="A1028" s="3" t="str">
        <f>IF($B1028="","",COUNTA($B$9:$B1028))</f>
        <v/>
      </c>
      <c r="B1028" s="4"/>
      <c r="C1028" s="4"/>
      <c r="D1028" s="4"/>
      <c r="E1028" s="5"/>
      <c r="F1028" s="3" t="str">
        <f t="shared" si="49"/>
        <v/>
      </c>
      <c r="G1028" s="4"/>
      <c r="H1028" s="3" t="str">
        <f t="shared" si="50"/>
        <v/>
      </c>
      <c r="I1028" s="5"/>
      <c r="J1028" s="5"/>
      <c r="K1028" s="6"/>
      <c r="L1028" s="6"/>
      <c r="M1028" s="7" t="str">
        <f t="shared" si="51"/>
        <v/>
      </c>
      <c r="N1028" s="6"/>
      <c r="O1028" s="5"/>
    </row>
    <row r="1029" spans="1:15" x14ac:dyDescent="0.2">
      <c r="A1029" s="3" t="str">
        <f>IF($B1029="","",COUNTA($B$9:$B1029))</f>
        <v/>
      </c>
      <c r="B1029" s="4"/>
      <c r="C1029" s="4"/>
      <c r="D1029" s="4"/>
      <c r="E1029" s="5"/>
      <c r="F1029" s="3" t="str">
        <f t="shared" si="49"/>
        <v/>
      </c>
      <c r="G1029" s="4"/>
      <c r="H1029" s="3" t="str">
        <f t="shared" si="50"/>
        <v/>
      </c>
      <c r="I1029" s="5"/>
      <c r="J1029" s="5"/>
      <c r="K1029" s="6"/>
      <c r="L1029" s="6"/>
      <c r="M1029" s="7" t="str">
        <f t="shared" si="51"/>
        <v/>
      </c>
      <c r="N1029" s="6"/>
      <c r="O1029" s="5"/>
    </row>
    <row r="1030" spans="1:15" x14ac:dyDescent="0.2">
      <c r="A1030" s="3" t="str">
        <f>IF($B1030="","",COUNTA($B$9:$B1030))</f>
        <v/>
      </c>
      <c r="B1030" s="4"/>
      <c r="C1030" s="4"/>
      <c r="D1030" s="4"/>
      <c r="E1030" s="5"/>
      <c r="F1030" s="3" t="str">
        <f t="shared" si="49"/>
        <v/>
      </c>
      <c r="G1030" s="4"/>
      <c r="H1030" s="3" t="str">
        <f t="shared" si="50"/>
        <v/>
      </c>
      <c r="I1030" s="5"/>
      <c r="J1030" s="5"/>
      <c r="K1030" s="6"/>
      <c r="L1030" s="6"/>
      <c r="M1030" s="7" t="str">
        <f t="shared" si="51"/>
        <v/>
      </c>
      <c r="N1030" s="6"/>
      <c r="O1030" s="5"/>
    </row>
    <row r="1031" spans="1:15" x14ac:dyDescent="0.2">
      <c r="A1031" s="3" t="str">
        <f>IF($B1031="","",COUNTA($B$9:$B1031))</f>
        <v/>
      </c>
      <c r="B1031" s="4"/>
      <c r="C1031" s="4"/>
      <c r="D1031" s="4"/>
      <c r="E1031" s="5"/>
      <c r="F1031" s="3" t="str">
        <f t="shared" si="49"/>
        <v/>
      </c>
      <c r="G1031" s="4"/>
      <c r="H1031" s="3" t="str">
        <f t="shared" si="50"/>
        <v/>
      </c>
      <c r="I1031" s="5"/>
      <c r="J1031" s="5"/>
      <c r="K1031" s="6"/>
      <c r="L1031" s="6"/>
      <c r="M1031" s="7" t="str">
        <f t="shared" si="51"/>
        <v/>
      </c>
      <c r="N1031" s="6"/>
      <c r="O1031" s="5"/>
    </row>
    <row r="1032" spans="1:15" x14ac:dyDescent="0.2">
      <c r="A1032" s="3" t="str">
        <f>IF($B1032="","",COUNTA($B$9:$B1032))</f>
        <v/>
      </c>
      <c r="B1032" s="4"/>
      <c r="C1032" s="4"/>
      <c r="D1032" s="4"/>
      <c r="E1032" s="5"/>
      <c r="F1032" s="3" t="str">
        <f t="shared" ref="F1032:F1095" si="52">IF($E1032="","",IFERROR(VLOOKUP($E1032,OpTbl,2,0),""))</f>
        <v/>
      </c>
      <c r="G1032" s="4"/>
      <c r="H1032" s="3" t="str">
        <f t="shared" ref="H1032:H1095" si="53">IF($G1032="","",IFERROR(IF(VLOOKUP($G1032,AcctTbl,4,0)="","(بدون نام)",VLOOKUP($G1032,AcctTbl,4,0)),"کد ناشناخته"))</f>
        <v/>
      </c>
      <c r="I1032" s="5"/>
      <c r="J1032" s="5"/>
      <c r="K1032" s="6"/>
      <c r="L1032" s="6"/>
      <c r="M1032" s="7" t="str">
        <f t="shared" ref="M1032:M1095" si="54">IF(OR($B1032="",$K1032=""),"",($K1032-IF($L1032="",0,$L1032)*IFERROR(VLOOKUP("P01",ParamTbl,3,0),1.5))*(1-IF(IFERROR(VLOOKUP($E1032,OpTbl,3,0),"")="خرید",IFERROR(VLOOKUP("P02",ParamTbl,3,0),1),0)/100))</f>
        <v/>
      </c>
      <c r="N1032" s="6"/>
      <c r="O1032" s="5"/>
    </row>
    <row r="1033" spans="1:15" x14ac:dyDescent="0.2">
      <c r="A1033" s="3" t="str">
        <f>IF($B1033="","",COUNTA($B$9:$B1033))</f>
        <v/>
      </c>
      <c r="B1033" s="4"/>
      <c r="C1033" s="4"/>
      <c r="D1033" s="4"/>
      <c r="E1033" s="5"/>
      <c r="F1033" s="3" t="str">
        <f t="shared" si="52"/>
        <v/>
      </c>
      <c r="G1033" s="4"/>
      <c r="H1033" s="3" t="str">
        <f t="shared" si="53"/>
        <v/>
      </c>
      <c r="I1033" s="5"/>
      <c r="J1033" s="5"/>
      <c r="K1033" s="6"/>
      <c r="L1033" s="6"/>
      <c r="M1033" s="7" t="str">
        <f t="shared" si="54"/>
        <v/>
      </c>
      <c r="N1033" s="6"/>
      <c r="O1033" s="5"/>
    </row>
    <row r="1034" spans="1:15" x14ac:dyDescent="0.2">
      <c r="A1034" s="3" t="str">
        <f>IF($B1034="","",COUNTA($B$9:$B1034))</f>
        <v/>
      </c>
      <c r="B1034" s="4"/>
      <c r="C1034" s="4"/>
      <c r="D1034" s="4"/>
      <c r="E1034" s="5"/>
      <c r="F1034" s="3" t="str">
        <f t="shared" si="52"/>
        <v/>
      </c>
      <c r="G1034" s="4"/>
      <c r="H1034" s="3" t="str">
        <f t="shared" si="53"/>
        <v/>
      </c>
      <c r="I1034" s="5"/>
      <c r="J1034" s="5"/>
      <c r="K1034" s="6"/>
      <c r="L1034" s="6"/>
      <c r="M1034" s="7" t="str">
        <f t="shared" si="54"/>
        <v/>
      </c>
      <c r="N1034" s="6"/>
      <c r="O1034" s="5"/>
    </row>
    <row r="1035" spans="1:15" x14ac:dyDescent="0.2">
      <c r="A1035" s="3" t="str">
        <f>IF($B1035="","",COUNTA($B$9:$B1035))</f>
        <v/>
      </c>
      <c r="B1035" s="4"/>
      <c r="C1035" s="4"/>
      <c r="D1035" s="4"/>
      <c r="E1035" s="5"/>
      <c r="F1035" s="3" t="str">
        <f t="shared" si="52"/>
        <v/>
      </c>
      <c r="G1035" s="4"/>
      <c r="H1035" s="3" t="str">
        <f t="shared" si="53"/>
        <v/>
      </c>
      <c r="I1035" s="5"/>
      <c r="J1035" s="5"/>
      <c r="K1035" s="6"/>
      <c r="L1035" s="6"/>
      <c r="M1035" s="7" t="str">
        <f t="shared" si="54"/>
        <v/>
      </c>
      <c r="N1035" s="6"/>
      <c r="O1035" s="5"/>
    </row>
    <row r="1036" spans="1:15" x14ac:dyDescent="0.2">
      <c r="A1036" s="3" t="str">
        <f>IF($B1036="","",COUNTA($B$9:$B1036))</f>
        <v/>
      </c>
      <c r="B1036" s="4"/>
      <c r="C1036" s="4"/>
      <c r="D1036" s="4"/>
      <c r="E1036" s="5"/>
      <c r="F1036" s="3" t="str">
        <f t="shared" si="52"/>
        <v/>
      </c>
      <c r="G1036" s="4"/>
      <c r="H1036" s="3" t="str">
        <f t="shared" si="53"/>
        <v/>
      </c>
      <c r="I1036" s="5"/>
      <c r="J1036" s="5"/>
      <c r="K1036" s="6"/>
      <c r="L1036" s="6"/>
      <c r="M1036" s="7" t="str">
        <f t="shared" si="54"/>
        <v/>
      </c>
      <c r="N1036" s="6"/>
      <c r="O1036" s="5"/>
    </row>
    <row r="1037" spans="1:15" x14ac:dyDescent="0.2">
      <c r="A1037" s="3" t="str">
        <f>IF($B1037="","",COUNTA($B$9:$B1037))</f>
        <v/>
      </c>
      <c r="B1037" s="4"/>
      <c r="C1037" s="4"/>
      <c r="D1037" s="4"/>
      <c r="E1037" s="5"/>
      <c r="F1037" s="3" t="str">
        <f t="shared" si="52"/>
        <v/>
      </c>
      <c r="G1037" s="4"/>
      <c r="H1037" s="3" t="str">
        <f t="shared" si="53"/>
        <v/>
      </c>
      <c r="I1037" s="5"/>
      <c r="J1037" s="5"/>
      <c r="K1037" s="6"/>
      <c r="L1037" s="6"/>
      <c r="M1037" s="7" t="str">
        <f t="shared" si="54"/>
        <v/>
      </c>
      <c r="N1037" s="6"/>
      <c r="O1037" s="5"/>
    </row>
    <row r="1038" spans="1:15" x14ac:dyDescent="0.2">
      <c r="A1038" s="3" t="str">
        <f>IF($B1038="","",COUNTA($B$9:$B1038))</f>
        <v/>
      </c>
      <c r="B1038" s="4"/>
      <c r="C1038" s="4"/>
      <c r="D1038" s="4"/>
      <c r="E1038" s="5"/>
      <c r="F1038" s="3" t="str">
        <f t="shared" si="52"/>
        <v/>
      </c>
      <c r="G1038" s="4"/>
      <c r="H1038" s="3" t="str">
        <f t="shared" si="53"/>
        <v/>
      </c>
      <c r="I1038" s="5"/>
      <c r="J1038" s="5"/>
      <c r="K1038" s="6"/>
      <c r="L1038" s="6"/>
      <c r="M1038" s="7" t="str">
        <f t="shared" si="54"/>
        <v/>
      </c>
      <c r="N1038" s="6"/>
      <c r="O1038" s="5"/>
    </row>
    <row r="1039" spans="1:15" x14ac:dyDescent="0.2">
      <c r="A1039" s="3" t="str">
        <f>IF($B1039="","",COUNTA($B$9:$B1039))</f>
        <v/>
      </c>
      <c r="B1039" s="4"/>
      <c r="C1039" s="4"/>
      <c r="D1039" s="4"/>
      <c r="E1039" s="5"/>
      <c r="F1039" s="3" t="str">
        <f t="shared" si="52"/>
        <v/>
      </c>
      <c r="G1039" s="4"/>
      <c r="H1039" s="3" t="str">
        <f t="shared" si="53"/>
        <v/>
      </c>
      <c r="I1039" s="5"/>
      <c r="J1039" s="5"/>
      <c r="K1039" s="6"/>
      <c r="L1039" s="6"/>
      <c r="M1039" s="7" t="str">
        <f t="shared" si="54"/>
        <v/>
      </c>
      <c r="N1039" s="6"/>
      <c r="O1039" s="5"/>
    </row>
    <row r="1040" spans="1:15" x14ac:dyDescent="0.2">
      <c r="A1040" s="3" t="str">
        <f>IF($B1040="","",COUNTA($B$9:$B1040))</f>
        <v/>
      </c>
      <c r="B1040" s="4"/>
      <c r="C1040" s="4"/>
      <c r="D1040" s="4"/>
      <c r="E1040" s="5"/>
      <c r="F1040" s="3" t="str">
        <f t="shared" si="52"/>
        <v/>
      </c>
      <c r="G1040" s="4"/>
      <c r="H1040" s="3" t="str">
        <f t="shared" si="53"/>
        <v/>
      </c>
      <c r="I1040" s="5"/>
      <c r="J1040" s="5"/>
      <c r="K1040" s="6"/>
      <c r="L1040" s="6"/>
      <c r="M1040" s="7" t="str">
        <f t="shared" si="54"/>
        <v/>
      </c>
      <c r="N1040" s="6"/>
      <c r="O1040" s="5"/>
    </row>
    <row r="1041" spans="1:15" x14ac:dyDescent="0.2">
      <c r="A1041" s="3" t="str">
        <f>IF($B1041="","",COUNTA($B$9:$B1041))</f>
        <v/>
      </c>
      <c r="B1041" s="4"/>
      <c r="C1041" s="4"/>
      <c r="D1041" s="4"/>
      <c r="E1041" s="5"/>
      <c r="F1041" s="3" t="str">
        <f t="shared" si="52"/>
        <v/>
      </c>
      <c r="G1041" s="4"/>
      <c r="H1041" s="3" t="str">
        <f t="shared" si="53"/>
        <v/>
      </c>
      <c r="I1041" s="5"/>
      <c r="J1041" s="5"/>
      <c r="K1041" s="6"/>
      <c r="L1041" s="6"/>
      <c r="M1041" s="7" t="str">
        <f t="shared" si="54"/>
        <v/>
      </c>
      <c r="N1041" s="6"/>
      <c r="O1041" s="5"/>
    </row>
    <row r="1042" spans="1:15" x14ac:dyDescent="0.2">
      <c r="A1042" s="3" t="str">
        <f>IF($B1042="","",COUNTA($B$9:$B1042))</f>
        <v/>
      </c>
      <c r="B1042" s="4"/>
      <c r="C1042" s="4"/>
      <c r="D1042" s="4"/>
      <c r="E1042" s="5"/>
      <c r="F1042" s="3" t="str">
        <f t="shared" si="52"/>
        <v/>
      </c>
      <c r="G1042" s="4"/>
      <c r="H1042" s="3" t="str">
        <f t="shared" si="53"/>
        <v/>
      </c>
      <c r="I1042" s="5"/>
      <c r="J1042" s="5"/>
      <c r="K1042" s="6"/>
      <c r="L1042" s="6"/>
      <c r="M1042" s="7" t="str">
        <f t="shared" si="54"/>
        <v/>
      </c>
      <c r="N1042" s="6"/>
      <c r="O1042" s="5"/>
    </row>
    <row r="1043" spans="1:15" x14ac:dyDescent="0.2">
      <c r="A1043" s="3" t="str">
        <f>IF($B1043="","",COUNTA($B$9:$B1043))</f>
        <v/>
      </c>
      <c r="B1043" s="4"/>
      <c r="C1043" s="4"/>
      <c r="D1043" s="4"/>
      <c r="E1043" s="5"/>
      <c r="F1043" s="3" t="str">
        <f t="shared" si="52"/>
        <v/>
      </c>
      <c r="G1043" s="4"/>
      <c r="H1043" s="3" t="str">
        <f t="shared" si="53"/>
        <v/>
      </c>
      <c r="I1043" s="5"/>
      <c r="J1043" s="5"/>
      <c r="K1043" s="6"/>
      <c r="L1043" s="6"/>
      <c r="M1043" s="7" t="str">
        <f t="shared" si="54"/>
        <v/>
      </c>
      <c r="N1043" s="6"/>
      <c r="O1043" s="5"/>
    </row>
    <row r="1044" spans="1:15" x14ac:dyDescent="0.2">
      <c r="A1044" s="3" t="str">
        <f>IF($B1044="","",COUNTA($B$9:$B1044))</f>
        <v/>
      </c>
      <c r="B1044" s="4"/>
      <c r="C1044" s="4"/>
      <c r="D1044" s="4"/>
      <c r="E1044" s="5"/>
      <c r="F1044" s="3" t="str">
        <f t="shared" si="52"/>
        <v/>
      </c>
      <c r="G1044" s="4"/>
      <c r="H1044" s="3" t="str">
        <f t="shared" si="53"/>
        <v/>
      </c>
      <c r="I1044" s="5"/>
      <c r="J1044" s="5"/>
      <c r="K1044" s="6"/>
      <c r="L1044" s="6"/>
      <c r="M1044" s="7" t="str">
        <f t="shared" si="54"/>
        <v/>
      </c>
      <c r="N1044" s="6"/>
      <c r="O1044" s="5"/>
    </row>
    <row r="1045" spans="1:15" x14ac:dyDescent="0.2">
      <c r="A1045" s="3" t="str">
        <f>IF($B1045="","",COUNTA($B$9:$B1045))</f>
        <v/>
      </c>
      <c r="B1045" s="4"/>
      <c r="C1045" s="4"/>
      <c r="D1045" s="4"/>
      <c r="E1045" s="5"/>
      <c r="F1045" s="3" t="str">
        <f t="shared" si="52"/>
        <v/>
      </c>
      <c r="G1045" s="4"/>
      <c r="H1045" s="3" t="str">
        <f t="shared" si="53"/>
        <v/>
      </c>
      <c r="I1045" s="5"/>
      <c r="J1045" s="5"/>
      <c r="K1045" s="6"/>
      <c r="L1045" s="6"/>
      <c r="M1045" s="7" t="str">
        <f t="shared" si="54"/>
        <v/>
      </c>
      <c r="N1045" s="6"/>
      <c r="O1045" s="5"/>
    </row>
    <row r="1046" spans="1:15" x14ac:dyDescent="0.2">
      <c r="A1046" s="3" t="str">
        <f>IF($B1046="","",COUNTA($B$9:$B1046))</f>
        <v/>
      </c>
      <c r="B1046" s="4"/>
      <c r="C1046" s="4"/>
      <c r="D1046" s="4"/>
      <c r="E1046" s="5"/>
      <c r="F1046" s="3" t="str">
        <f t="shared" si="52"/>
        <v/>
      </c>
      <c r="G1046" s="4"/>
      <c r="H1046" s="3" t="str">
        <f t="shared" si="53"/>
        <v/>
      </c>
      <c r="I1046" s="5"/>
      <c r="J1046" s="5"/>
      <c r="K1046" s="6"/>
      <c r="L1046" s="6"/>
      <c r="M1046" s="7" t="str">
        <f t="shared" si="54"/>
        <v/>
      </c>
      <c r="N1046" s="6"/>
      <c r="O1046" s="5"/>
    </row>
    <row r="1047" spans="1:15" x14ac:dyDescent="0.2">
      <c r="A1047" s="3" t="str">
        <f>IF($B1047="","",COUNTA($B$9:$B1047))</f>
        <v/>
      </c>
      <c r="B1047" s="4"/>
      <c r="C1047" s="4"/>
      <c r="D1047" s="4"/>
      <c r="E1047" s="5"/>
      <c r="F1047" s="3" t="str">
        <f t="shared" si="52"/>
        <v/>
      </c>
      <c r="G1047" s="4"/>
      <c r="H1047" s="3" t="str">
        <f t="shared" si="53"/>
        <v/>
      </c>
      <c r="I1047" s="5"/>
      <c r="J1047" s="5"/>
      <c r="K1047" s="6"/>
      <c r="L1047" s="6"/>
      <c r="M1047" s="7" t="str">
        <f t="shared" si="54"/>
        <v/>
      </c>
      <c r="N1047" s="6"/>
      <c r="O1047" s="5"/>
    </row>
    <row r="1048" spans="1:15" x14ac:dyDescent="0.2">
      <c r="A1048" s="3" t="str">
        <f>IF($B1048="","",COUNTA($B$9:$B1048))</f>
        <v/>
      </c>
      <c r="B1048" s="4"/>
      <c r="C1048" s="4"/>
      <c r="D1048" s="4"/>
      <c r="E1048" s="5"/>
      <c r="F1048" s="3" t="str">
        <f t="shared" si="52"/>
        <v/>
      </c>
      <c r="G1048" s="4"/>
      <c r="H1048" s="3" t="str">
        <f t="shared" si="53"/>
        <v/>
      </c>
      <c r="I1048" s="5"/>
      <c r="J1048" s="5"/>
      <c r="K1048" s="6"/>
      <c r="L1048" s="6"/>
      <c r="M1048" s="7" t="str">
        <f t="shared" si="54"/>
        <v/>
      </c>
      <c r="N1048" s="6"/>
      <c r="O1048" s="5"/>
    </row>
    <row r="1049" spans="1:15" x14ac:dyDescent="0.2">
      <c r="A1049" s="3" t="str">
        <f>IF($B1049="","",COUNTA($B$9:$B1049))</f>
        <v/>
      </c>
      <c r="B1049" s="4"/>
      <c r="C1049" s="4"/>
      <c r="D1049" s="4"/>
      <c r="E1049" s="5"/>
      <c r="F1049" s="3" t="str">
        <f t="shared" si="52"/>
        <v/>
      </c>
      <c r="G1049" s="4"/>
      <c r="H1049" s="3" t="str">
        <f t="shared" si="53"/>
        <v/>
      </c>
      <c r="I1049" s="5"/>
      <c r="J1049" s="5"/>
      <c r="K1049" s="6"/>
      <c r="L1049" s="6"/>
      <c r="M1049" s="7" t="str">
        <f t="shared" si="54"/>
        <v/>
      </c>
      <c r="N1049" s="6"/>
      <c r="O1049" s="5"/>
    </row>
    <row r="1050" spans="1:15" x14ac:dyDescent="0.2">
      <c r="A1050" s="3" t="str">
        <f>IF($B1050="","",COUNTA($B$9:$B1050))</f>
        <v/>
      </c>
      <c r="B1050" s="4"/>
      <c r="C1050" s="4"/>
      <c r="D1050" s="4"/>
      <c r="E1050" s="5"/>
      <c r="F1050" s="3" t="str">
        <f t="shared" si="52"/>
        <v/>
      </c>
      <c r="G1050" s="4"/>
      <c r="H1050" s="3" t="str">
        <f t="shared" si="53"/>
        <v/>
      </c>
      <c r="I1050" s="5"/>
      <c r="J1050" s="5"/>
      <c r="K1050" s="6"/>
      <c r="L1050" s="6"/>
      <c r="M1050" s="7" t="str">
        <f t="shared" si="54"/>
        <v/>
      </c>
      <c r="N1050" s="6"/>
      <c r="O1050" s="5"/>
    </row>
    <row r="1051" spans="1:15" x14ac:dyDescent="0.2">
      <c r="A1051" s="3" t="str">
        <f>IF($B1051="","",COUNTA($B$9:$B1051))</f>
        <v/>
      </c>
      <c r="B1051" s="4"/>
      <c r="C1051" s="4"/>
      <c r="D1051" s="4"/>
      <c r="E1051" s="5"/>
      <c r="F1051" s="3" t="str">
        <f t="shared" si="52"/>
        <v/>
      </c>
      <c r="G1051" s="4"/>
      <c r="H1051" s="3" t="str">
        <f t="shared" si="53"/>
        <v/>
      </c>
      <c r="I1051" s="5"/>
      <c r="J1051" s="5"/>
      <c r="K1051" s="6"/>
      <c r="L1051" s="6"/>
      <c r="M1051" s="7" t="str">
        <f t="shared" si="54"/>
        <v/>
      </c>
      <c r="N1051" s="6"/>
      <c r="O1051" s="5"/>
    </row>
    <row r="1052" spans="1:15" x14ac:dyDescent="0.2">
      <c r="A1052" s="3" t="str">
        <f>IF($B1052="","",COUNTA($B$9:$B1052))</f>
        <v/>
      </c>
      <c r="B1052" s="4"/>
      <c r="C1052" s="4"/>
      <c r="D1052" s="4"/>
      <c r="E1052" s="5"/>
      <c r="F1052" s="3" t="str">
        <f t="shared" si="52"/>
        <v/>
      </c>
      <c r="G1052" s="4"/>
      <c r="H1052" s="3" t="str">
        <f t="shared" si="53"/>
        <v/>
      </c>
      <c r="I1052" s="5"/>
      <c r="J1052" s="5"/>
      <c r="K1052" s="6"/>
      <c r="L1052" s="6"/>
      <c r="M1052" s="7" t="str">
        <f t="shared" si="54"/>
        <v/>
      </c>
      <c r="N1052" s="6"/>
      <c r="O1052" s="5"/>
    </row>
    <row r="1053" spans="1:15" x14ac:dyDescent="0.2">
      <c r="A1053" s="3" t="str">
        <f>IF($B1053="","",COUNTA($B$9:$B1053))</f>
        <v/>
      </c>
      <c r="B1053" s="4"/>
      <c r="C1053" s="4"/>
      <c r="D1053" s="4"/>
      <c r="E1053" s="5"/>
      <c r="F1053" s="3" t="str">
        <f t="shared" si="52"/>
        <v/>
      </c>
      <c r="G1053" s="4"/>
      <c r="H1053" s="3" t="str">
        <f t="shared" si="53"/>
        <v/>
      </c>
      <c r="I1053" s="5"/>
      <c r="J1053" s="5"/>
      <c r="K1053" s="6"/>
      <c r="L1053" s="6"/>
      <c r="M1053" s="7" t="str">
        <f t="shared" si="54"/>
        <v/>
      </c>
      <c r="N1053" s="6"/>
      <c r="O1053" s="5"/>
    </row>
    <row r="1054" spans="1:15" x14ac:dyDescent="0.2">
      <c r="A1054" s="3" t="str">
        <f>IF($B1054="","",COUNTA($B$9:$B1054))</f>
        <v/>
      </c>
      <c r="B1054" s="4"/>
      <c r="C1054" s="4"/>
      <c r="D1054" s="4"/>
      <c r="E1054" s="5"/>
      <c r="F1054" s="3" t="str">
        <f t="shared" si="52"/>
        <v/>
      </c>
      <c r="G1054" s="4"/>
      <c r="H1054" s="3" t="str">
        <f t="shared" si="53"/>
        <v/>
      </c>
      <c r="I1054" s="5"/>
      <c r="J1054" s="5"/>
      <c r="K1054" s="6"/>
      <c r="L1054" s="6"/>
      <c r="M1054" s="7" t="str">
        <f t="shared" si="54"/>
        <v/>
      </c>
      <c r="N1054" s="6"/>
      <c r="O1054" s="5"/>
    </row>
    <row r="1055" spans="1:15" x14ac:dyDescent="0.2">
      <c r="A1055" s="3" t="str">
        <f>IF($B1055="","",COUNTA($B$9:$B1055))</f>
        <v/>
      </c>
      <c r="B1055" s="4"/>
      <c r="C1055" s="4"/>
      <c r="D1055" s="4"/>
      <c r="E1055" s="5"/>
      <c r="F1055" s="3" t="str">
        <f t="shared" si="52"/>
        <v/>
      </c>
      <c r="G1055" s="4"/>
      <c r="H1055" s="3" t="str">
        <f t="shared" si="53"/>
        <v/>
      </c>
      <c r="I1055" s="5"/>
      <c r="J1055" s="5"/>
      <c r="K1055" s="6"/>
      <c r="L1055" s="6"/>
      <c r="M1055" s="7" t="str">
        <f t="shared" si="54"/>
        <v/>
      </c>
      <c r="N1055" s="6"/>
      <c r="O1055" s="5"/>
    </row>
    <row r="1056" spans="1:15" x14ac:dyDescent="0.2">
      <c r="A1056" s="3" t="str">
        <f>IF($B1056="","",COUNTA($B$9:$B1056))</f>
        <v/>
      </c>
      <c r="B1056" s="4"/>
      <c r="C1056" s="4"/>
      <c r="D1056" s="4"/>
      <c r="E1056" s="5"/>
      <c r="F1056" s="3" t="str">
        <f t="shared" si="52"/>
        <v/>
      </c>
      <c r="G1056" s="4"/>
      <c r="H1056" s="3" t="str">
        <f t="shared" si="53"/>
        <v/>
      </c>
      <c r="I1056" s="5"/>
      <c r="J1056" s="5"/>
      <c r="K1056" s="6"/>
      <c r="L1056" s="6"/>
      <c r="M1056" s="7" t="str">
        <f t="shared" si="54"/>
        <v/>
      </c>
      <c r="N1056" s="6"/>
      <c r="O1056" s="5"/>
    </row>
    <row r="1057" spans="1:15" x14ac:dyDescent="0.2">
      <c r="A1057" s="3" t="str">
        <f>IF($B1057="","",COUNTA($B$9:$B1057))</f>
        <v/>
      </c>
      <c r="B1057" s="4"/>
      <c r="C1057" s="4"/>
      <c r="D1057" s="4"/>
      <c r="E1057" s="5"/>
      <c r="F1057" s="3" t="str">
        <f t="shared" si="52"/>
        <v/>
      </c>
      <c r="G1057" s="4"/>
      <c r="H1057" s="3" t="str">
        <f t="shared" si="53"/>
        <v/>
      </c>
      <c r="I1057" s="5"/>
      <c r="J1057" s="5"/>
      <c r="K1057" s="6"/>
      <c r="L1057" s="6"/>
      <c r="M1057" s="7" t="str">
        <f t="shared" si="54"/>
        <v/>
      </c>
      <c r="N1057" s="6"/>
      <c r="O1057" s="5"/>
    </row>
    <row r="1058" spans="1:15" x14ac:dyDescent="0.2">
      <c r="A1058" s="3" t="str">
        <f>IF($B1058="","",COUNTA($B$9:$B1058))</f>
        <v/>
      </c>
      <c r="B1058" s="4"/>
      <c r="C1058" s="4"/>
      <c r="D1058" s="4"/>
      <c r="E1058" s="5"/>
      <c r="F1058" s="3" t="str">
        <f t="shared" si="52"/>
        <v/>
      </c>
      <c r="G1058" s="4"/>
      <c r="H1058" s="3" t="str">
        <f t="shared" si="53"/>
        <v/>
      </c>
      <c r="I1058" s="5"/>
      <c r="J1058" s="5"/>
      <c r="K1058" s="6"/>
      <c r="L1058" s="6"/>
      <c r="M1058" s="7" t="str">
        <f t="shared" si="54"/>
        <v/>
      </c>
      <c r="N1058" s="6"/>
      <c r="O1058" s="5"/>
    </row>
    <row r="1059" spans="1:15" x14ac:dyDescent="0.2">
      <c r="A1059" s="3" t="str">
        <f>IF($B1059="","",COUNTA($B$9:$B1059))</f>
        <v/>
      </c>
      <c r="B1059" s="4"/>
      <c r="C1059" s="4"/>
      <c r="D1059" s="4"/>
      <c r="E1059" s="5"/>
      <c r="F1059" s="3" t="str">
        <f t="shared" si="52"/>
        <v/>
      </c>
      <c r="G1059" s="4"/>
      <c r="H1059" s="3" t="str">
        <f t="shared" si="53"/>
        <v/>
      </c>
      <c r="I1059" s="5"/>
      <c r="J1059" s="5"/>
      <c r="K1059" s="6"/>
      <c r="L1059" s="6"/>
      <c r="M1059" s="7" t="str">
        <f t="shared" si="54"/>
        <v/>
      </c>
      <c r="N1059" s="6"/>
      <c r="O1059" s="5"/>
    </row>
    <row r="1060" spans="1:15" x14ac:dyDescent="0.2">
      <c r="A1060" s="3" t="str">
        <f>IF($B1060="","",COUNTA($B$9:$B1060))</f>
        <v/>
      </c>
      <c r="B1060" s="4"/>
      <c r="C1060" s="4"/>
      <c r="D1060" s="4"/>
      <c r="E1060" s="5"/>
      <c r="F1060" s="3" t="str">
        <f t="shared" si="52"/>
        <v/>
      </c>
      <c r="G1060" s="4"/>
      <c r="H1060" s="3" t="str">
        <f t="shared" si="53"/>
        <v/>
      </c>
      <c r="I1060" s="5"/>
      <c r="J1060" s="5"/>
      <c r="K1060" s="6"/>
      <c r="L1060" s="6"/>
      <c r="M1060" s="7" t="str">
        <f t="shared" si="54"/>
        <v/>
      </c>
      <c r="N1060" s="6"/>
      <c r="O1060" s="5"/>
    </row>
    <row r="1061" spans="1:15" x14ac:dyDescent="0.2">
      <c r="A1061" s="3" t="str">
        <f>IF($B1061="","",COUNTA($B$9:$B1061))</f>
        <v/>
      </c>
      <c r="B1061" s="4"/>
      <c r="C1061" s="4"/>
      <c r="D1061" s="4"/>
      <c r="E1061" s="5"/>
      <c r="F1061" s="3" t="str">
        <f t="shared" si="52"/>
        <v/>
      </c>
      <c r="G1061" s="4"/>
      <c r="H1061" s="3" t="str">
        <f t="shared" si="53"/>
        <v/>
      </c>
      <c r="I1061" s="5"/>
      <c r="J1061" s="5"/>
      <c r="K1061" s="6"/>
      <c r="L1061" s="6"/>
      <c r="M1061" s="7" t="str">
        <f t="shared" si="54"/>
        <v/>
      </c>
      <c r="N1061" s="6"/>
      <c r="O1061" s="5"/>
    </row>
    <row r="1062" spans="1:15" x14ac:dyDescent="0.2">
      <c r="A1062" s="3" t="str">
        <f>IF($B1062="","",COUNTA($B$9:$B1062))</f>
        <v/>
      </c>
      <c r="B1062" s="4"/>
      <c r="C1062" s="4"/>
      <c r="D1062" s="4"/>
      <c r="E1062" s="5"/>
      <c r="F1062" s="3" t="str">
        <f t="shared" si="52"/>
        <v/>
      </c>
      <c r="G1062" s="4"/>
      <c r="H1062" s="3" t="str">
        <f t="shared" si="53"/>
        <v/>
      </c>
      <c r="I1062" s="5"/>
      <c r="J1062" s="5"/>
      <c r="K1062" s="6"/>
      <c r="L1062" s="6"/>
      <c r="M1062" s="7" t="str">
        <f t="shared" si="54"/>
        <v/>
      </c>
      <c r="N1062" s="6"/>
      <c r="O1062" s="5"/>
    </row>
    <row r="1063" spans="1:15" x14ac:dyDescent="0.2">
      <c r="A1063" s="3" t="str">
        <f>IF($B1063="","",COUNTA($B$9:$B1063))</f>
        <v/>
      </c>
      <c r="B1063" s="4"/>
      <c r="C1063" s="4"/>
      <c r="D1063" s="4"/>
      <c r="E1063" s="5"/>
      <c r="F1063" s="3" t="str">
        <f t="shared" si="52"/>
        <v/>
      </c>
      <c r="G1063" s="4"/>
      <c r="H1063" s="3" t="str">
        <f t="shared" si="53"/>
        <v/>
      </c>
      <c r="I1063" s="5"/>
      <c r="J1063" s="5"/>
      <c r="K1063" s="6"/>
      <c r="L1063" s="6"/>
      <c r="M1063" s="7" t="str">
        <f t="shared" si="54"/>
        <v/>
      </c>
      <c r="N1063" s="6"/>
      <c r="O1063" s="5"/>
    </row>
    <row r="1064" spans="1:15" x14ac:dyDescent="0.2">
      <c r="A1064" s="3" t="str">
        <f>IF($B1064="","",COUNTA($B$9:$B1064))</f>
        <v/>
      </c>
      <c r="B1064" s="4"/>
      <c r="C1064" s="4"/>
      <c r="D1064" s="4"/>
      <c r="E1064" s="5"/>
      <c r="F1064" s="3" t="str">
        <f t="shared" si="52"/>
        <v/>
      </c>
      <c r="G1064" s="4"/>
      <c r="H1064" s="3" t="str">
        <f t="shared" si="53"/>
        <v/>
      </c>
      <c r="I1064" s="5"/>
      <c r="J1064" s="5"/>
      <c r="K1064" s="6"/>
      <c r="L1064" s="6"/>
      <c r="M1064" s="7" t="str">
        <f t="shared" si="54"/>
        <v/>
      </c>
      <c r="N1064" s="6"/>
      <c r="O1064" s="5"/>
    </row>
    <row r="1065" spans="1:15" x14ac:dyDescent="0.2">
      <c r="A1065" s="3" t="str">
        <f>IF($B1065="","",COUNTA($B$9:$B1065))</f>
        <v/>
      </c>
      <c r="B1065" s="4"/>
      <c r="C1065" s="4"/>
      <c r="D1065" s="4"/>
      <c r="E1065" s="5"/>
      <c r="F1065" s="3" t="str">
        <f t="shared" si="52"/>
        <v/>
      </c>
      <c r="G1065" s="4"/>
      <c r="H1065" s="3" t="str">
        <f t="shared" si="53"/>
        <v/>
      </c>
      <c r="I1065" s="5"/>
      <c r="J1065" s="5"/>
      <c r="K1065" s="6"/>
      <c r="L1065" s="6"/>
      <c r="M1065" s="7" t="str">
        <f t="shared" si="54"/>
        <v/>
      </c>
      <c r="N1065" s="6"/>
      <c r="O1065" s="5"/>
    </row>
    <row r="1066" spans="1:15" x14ac:dyDescent="0.2">
      <c r="A1066" s="3" t="str">
        <f>IF($B1066="","",COUNTA($B$9:$B1066))</f>
        <v/>
      </c>
      <c r="B1066" s="4"/>
      <c r="C1066" s="4"/>
      <c r="D1066" s="4"/>
      <c r="E1066" s="5"/>
      <c r="F1066" s="3" t="str">
        <f t="shared" si="52"/>
        <v/>
      </c>
      <c r="G1066" s="4"/>
      <c r="H1066" s="3" t="str">
        <f t="shared" si="53"/>
        <v/>
      </c>
      <c r="I1066" s="5"/>
      <c r="J1066" s="5"/>
      <c r="K1066" s="6"/>
      <c r="L1066" s="6"/>
      <c r="M1066" s="7" t="str">
        <f t="shared" si="54"/>
        <v/>
      </c>
      <c r="N1066" s="6"/>
      <c r="O1066" s="5"/>
    </row>
    <row r="1067" spans="1:15" x14ac:dyDescent="0.2">
      <c r="A1067" s="3" t="str">
        <f>IF($B1067="","",COUNTA($B$9:$B1067))</f>
        <v/>
      </c>
      <c r="B1067" s="4"/>
      <c r="C1067" s="4"/>
      <c r="D1067" s="4"/>
      <c r="E1067" s="5"/>
      <c r="F1067" s="3" t="str">
        <f t="shared" si="52"/>
        <v/>
      </c>
      <c r="G1067" s="4"/>
      <c r="H1067" s="3" t="str">
        <f t="shared" si="53"/>
        <v/>
      </c>
      <c r="I1067" s="5"/>
      <c r="J1067" s="5"/>
      <c r="K1067" s="6"/>
      <c r="L1067" s="6"/>
      <c r="M1067" s="7" t="str">
        <f t="shared" si="54"/>
        <v/>
      </c>
      <c r="N1067" s="6"/>
      <c r="O1067" s="5"/>
    </row>
    <row r="1068" spans="1:15" x14ac:dyDescent="0.2">
      <c r="A1068" s="3" t="str">
        <f>IF($B1068="","",COUNTA($B$9:$B1068))</f>
        <v/>
      </c>
      <c r="B1068" s="4"/>
      <c r="C1068" s="4"/>
      <c r="D1068" s="4"/>
      <c r="E1068" s="5"/>
      <c r="F1068" s="3" t="str">
        <f t="shared" si="52"/>
        <v/>
      </c>
      <c r="G1068" s="4"/>
      <c r="H1068" s="3" t="str">
        <f t="shared" si="53"/>
        <v/>
      </c>
      <c r="I1068" s="5"/>
      <c r="J1068" s="5"/>
      <c r="K1068" s="6"/>
      <c r="L1068" s="6"/>
      <c r="M1068" s="7" t="str">
        <f t="shared" si="54"/>
        <v/>
      </c>
      <c r="N1068" s="6"/>
      <c r="O1068" s="5"/>
    </row>
    <row r="1069" spans="1:15" x14ac:dyDescent="0.2">
      <c r="A1069" s="3" t="str">
        <f>IF($B1069="","",COUNTA($B$9:$B1069))</f>
        <v/>
      </c>
      <c r="B1069" s="4"/>
      <c r="C1069" s="4"/>
      <c r="D1069" s="4"/>
      <c r="E1069" s="5"/>
      <c r="F1069" s="3" t="str">
        <f t="shared" si="52"/>
        <v/>
      </c>
      <c r="G1069" s="4"/>
      <c r="H1069" s="3" t="str">
        <f t="shared" si="53"/>
        <v/>
      </c>
      <c r="I1069" s="5"/>
      <c r="J1069" s="5"/>
      <c r="K1069" s="6"/>
      <c r="L1069" s="6"/>
      <c r="M1069" s="7" t="str">
        <f t="shared" si="54"/>
        <v/>
      </c>
      <c r="N1069" s="6"/>
      <c r="O1069" s="5"/>
    </row>
    <row r="1070" spans="1:15" x14ac:dyDescent="0.2">
      <c r="A1070" s="3" t="str">
        <f>IF($B1070="","",COUNTA($B$9:$B1070))</f>
        <v/>
      </c>
      <c r="B1070" s="4"/>
      <c r="C1070" s="4"/>
      <c r="D1070" s="4"/>
      <c r="E1070" s="5"/>
      <c r="F1070" s="3" t="str">
        <f t="shared" si="52"/>
        <v/>
      </c>
      <c r="G1070" s="4"/>
      <c r="H1070" s="3" t="str">
        <f t="shared" si="53"/>
        <v/>
      </c>
      <c r="I1070" s="5"/>
      <c r="J1070" s="5"/>
      <c r="K1070" s="6"/>
      <c r="L1070" s="6"/>
      <c r="M1070" s="7" t="str">
        <f t="shared" si="54"/>
        <v/>
      </c>
      <c r="N1070" s="6"/>
      <c r="O1070" s="5"/>
    </row>
    <row r="1071" spans="1:15" x14ac:dyDescent="0.2">
      <c r="A1071" s="3" t="str">
        <f>IF($B1071="","",COUNTA($B$9:$B1071))</f>
        <v/>
      </c>
      <c r="B1071" s="4"/>
      <c r="C1071" s="4"/>
      <c r="D1071" s="4"/>
      <c r="E1071" s="5"/>
      <c r="F1071" s="3" t="str">
        <f t="shared" si="52"/>
        <v/>
      </c>
      <c r="G1071" s="4"/>
      <c r="H1071" s="3" t="str">
        <f t="shared" si="53"/>
        <v/>
      </c>
      <c r="I1071" s="5"/>
      <c r="J1071" s="5"/>
      <c r="K1071" s="6"/>
      <c r="L1071" s="6"/>
      <c r="M1071" s="7" t="str">
        <f t="shared" si="54"/>
        <v/>
      </c>
      <c r="N1071" s="6"/>
      <c r="O1071" s="5"/>
    </row>
    <row r="1072" spans="1:15" x14ac:dyDescent="0.2">
      <c r="A1072" s="3" t="str">
        <f>IF($B1072="","",COUNTA($B$9:$B1072))</f>
        <v/>
      </c>
      <c r="B1072" s="4"/>
      <c r="C1072" s="4"/>
      <c r="D1072" s="4"/>
      <c r="E1072" s="5"/>
      <c r="F1072" s="3" t="str">
        <f t="shared" si="52"/>
        <v/>
      </c>
      <c r="G1072" s="4"/>
      <c r="H1072" s="3" t="str">
        <f t="shared" si="53"/>
        <v/>
      </c>
      <c r="I1072" s="5"/>
      <c r="J1072" s="5"/>
      <c r="K1072" s="6"/>
      <c r="L1072" s="6"/>
      <c r="M1072" s="7" t="str">
        <f t="shared" si="54"/>
        <v/>
      </c>
      <c r="N1072" s="6"/>
      <c r="O1072" s="5"/>
    </row>
    <row r="1073" spans="1:15" x14ac:dyDescent="0.2">
      <c r="A1073" s="3" t="str">
        <f>IF($B1073="","",COUNTA($B$9:$B1073))</f>
        <v/>
      </c>
      <c r="B1073" s="4"/>
      <c r="C1073" s="4"/>
      <c r="D1073" s="4"/>
      <c r="E1073" s="5"/>
      <c r="F1073" s="3" t="str">
        <f t="shared" si="52"/>
        <v/>
      </c>
      <c r="G1073" s="4"/>
      <c r="H1073" s="3" t="str">
        <f t="shared" si="53"/>
        <v/>
      </c>
      <c r="I1073" s="5"/>
      <c r="J1073" s="5"/>
      <c r="K1073" s="6"/>
      <c r="L1073" s="6"/>
      <c r="M1073" s="7" t="str">
        <f t="shared" si="54"/>
        <v/>
      </c>
      <c r="N1073" s="6"/>
      <c r="O1073" s="5"/>
    </row>
    <row r="1074" spans="1:15" x14ac:dyDescent="0.2">
      <c r="A1074" s="3" t="str">
        <f>IF($B1074="","",COUNTA($B$9:$B1074))</f>
        <v/>
      </c>
      <c r="B1074" s="4"/>
      <c r="C1074" s="4"/>
      <c r="D1074" s="4"/>
      <c r="E1074" s="5"/>
      <c r="F1074" s="3" t="str">
        <f t="shared" si="52"/>
        <v/>
      </c>
      <c r="G1074" s="4"/>
      <c r="H1074" s="3" t="str">
        <f t="shared" si="53"/>
        <v/>
      </c>
      <c r="I1074" s="5"/>
      <c r="J1074" s="5"/>
      <c r="K1074" s="6"/>
      <c r="L1074" s="6"/>
      <c r="M1074" s="7" t="str">
        <f t="shared" si="54"/>
        <v/>
      </c>
      <c r="N1074" s="6"/>
      <c r="O1074" s="5"/>
    </row>
    <row r="1075" spans="1:15" x14ac:dyDescent="0.2">
      <c r="A1075" s="3" t="str">
        <f>IF($B1075="","",COUNTA($B$9:$B1075))</f>
        <v/>
      </c>
      <c r="B1075" s="4"/>
      <c r="C1075" s="4"/>
      <c r="D1075" s="4"/>
      <c r="E1075" s="5"/>
      <c r="F1075" s="3" t="str">
        <f t="shared" si="52"/>
        <v/>
      </c>
      <c r="G1075" s="4"/>
      <c r="H1075" s="3" t="str">
        <f t="shared" si="53"/>
        <v/>
      </c>
      <c r="I1075" s="5"/>
      <c r="J1075" s="5"/>
      <c r="K1075" s="6"/>
      <c r="L1075" s="6"/>
      <c r="M1075" s="7" t="str">
        <f t="shared" si="54"/>
        <v/>
      </c>
      <c r="N1075" s="6"/>
      <c r="O1075" s="5"/>
    </row>
    <row r="1076" spans="1:15" x14ac:dyDescent="0.2">
      <c r="A1076" s="3" t="str">
        <f>IF($B1076="","",COUNTA($B$9:$B1076))</f>
        <v/>
      </c>
      <c r="B1076" s="4"/>
      <c r="C1076" s="4"/>
      <c r="D1076" s="4"/>
      <c r="E1076" s="5"/>
      <c r="F1076" s="3" t="str">
        <f t="shared" si="52"/>
        <v/>
      </c>
      <c r="G1076" s="4"/>
      <c r="H1076" s="3" t="str">
        <f t="shared" si="53"/>
        <v/>
      </c>
      <c r="I1076" s="5"/>
      <c r="J1076" s="5"/>
      <c r="K1076" s="6"/>
      <c r="L1076" s="6"/>
      <c r="M1076" s="7" t="str">
        <f t="shared" si="54"/>
        <v/>
      </c>
      <c r="N1076" s="6"/>
      <c r="O1076" s="5"/>
    </row>
    <row r="1077" spans="1:15" x14ac:dyDescent="0.2">
      <c r="A1077" s="3" t="str">
        <f>IF($B1077="","",COUNTA($B$9:$B1077))</f>
        <v/>
      </c>
      <c r="B1077" s="4"/>
      <c r="C1077" s="4"/>
      <c r="D1077" s="4"/>
      <c r="E1077" s="5"/>
      <c r="F1077" s="3" t="str">
        <f t="shared" si="52"/>
        <v/>
      </c>
      <c r="G1077" s="4"/>
      <c r="H1077" s="3" t="str">
        <f t="shared" si="53"/>
        <v/>
      </c>
      <c r="I1077" s="5"/>
      <c r="J1077" s="5"/>
      <c r="K1077" s="6"/>
      <c r="L1077" s="6"/>
      <c r="M1077" s="7" t="str">
        <f t="shared" si="54"/>
        <v/>
      </c>
      <c r="N1077" s="6"/>
      <c r="O1077" s="5"/>
    </row>
    <row r="1078" spans="1:15" x14ac:dyDescent="0.2">
      <c r="A1078" s="3" t="str">
        <f>IF($B1078="","",COUNTA($B$9:$B1078))</f>
        <v/>
      </c>
      <c r="B1078" s="4"/>
      <c r="C1078" s="4"/>
      <c r="D1078" s="4"/>
      <c r="E1078" s="5"/>
      <c r="F1078" s="3" t="str">
        <f t="shared" si="52"/>
        <v/>
      </c>
      <c r="G1078" s="4"/>
      <c r="H1078" s="3" t="str">
        <f t="shared" si="53"/>
        <v/>
      </c>
      <c r="I1078" s="5"/>
      <c r="J1078" s="5"/>
      <c r="K1078" s="6"/>
      <c r="L1078" s="6"/>
      <c r="M1078" s="7" t="str">
        <f t="shared" si="54"/>
        <v/>
      </c>
      <c r="N1078" s="6"/>
      <c r="O1078" s="5"/>
    </row>
    <row r="1079" spans="1:15" x14ac:dyDescent="0.2">
      <c r="A1079" s="3" t="str">
        <f>IF($B1079="","",COUNTA($B$9:$B1079))</f>
        <v/>
      </c>
      <c r="B1079" s="4"/>
      <c r="C1079" s="4"/>
      <c r="D1079" s="4"/>
      <c r="E1079" s="5"/>
      <c r="F1079" s="3" t="str">
        <f t="shared" si="52"/>
        <v/>
      </c>
      <c r="G1079" s="4"/>
      <c r="H1079" s="3" t="str">
        <f t="shared" si="53"/>
        <v/>
      </c>
      <c r="I1079" s="5"/>
      <c r="J1079" s="5"/>
      <c r="K1079" s="6"/>
      <c r="L1079" s="6"/>
      <c r="M1079" s="7" t="str">
        <f t="shared" si="54"/>
        <v/>
      </c>
      <c r="N1079" s="6"/>
      <c r="O1079" s="5"/>
    </row>
    <row r="1080" spans="1:15" x14ac:dyDescent="0.2">
      <c r="A1080" s="3" t="str">
        <f>IF($B1080="","",COUNTA($B$9:$B1080))</f>
        <v/>
      </c>
      <c r="B1080" s="4"/>
      <c r="C1080" s="4"/>
      <c r="D1080" s="4"/>
      <c r="E1080" s="5"/>
      <c r="F1080" s="3" t="str">
        <f t="shared" si="52"/>
        <v/>
      </c>
      <c r="G1080" s="4"/>
      <c r="H1080" s="3" t="str">
        <f t="shared" si="53"/>
        <v/>
      </c>
      <c r="I1080" s="5"/>
      <c r="J1080" s="5"/>
      <c r="K1080" s="6"/>
      <c r="L1080" s="6"/>
      <c r="M1080" s="7" t="str">
        <f t="shared" si="54"/>
        <v/>
      </c>
      <c r="N1080" s="6"/>
      <c r="O1080" s="5"/>
    </row>
    <row r="1081" spans="1:15" x14ac:dyDescent="0.2">
      <c r="A1081" s="3" t="str">
        <f>IF($B1081="","",COUNTA($B$9:$B1081))</f>
        <v/>
      </c>
      <c r="B1081" s="4"/>
      <c r="C1081" s="4"/>
      <c r="D1081" s="4"/>
      <c r="E1081" s="5"/>
      <c r="F1081" s="3" t="str">
        <f t="shared" si="52"/>
        <v/>
      </c>
      <c r="G1081" s="4"/>
      <c r="H1081" s="3" t="str">
        <f t="shared" si="53"/>
        <v/>
      </c>
      <c r="I1081" s="5"/>
      <c r="J1081" s="5"/>
      <c r="K1081" s="6"/>
      <c r="L1081" s="6"/>
      <c r="M1081" s="7" t="str">
        <f t="shared" si="54"/>
        <v/>
      </c>
      <c r="N1081" s="6"/>
      <c r="O1081" s="5"/>
    </row>
    <row r="1082" spans="1:15" x14ac:dyDescent="0.2">
      <c r="A1082" s="3" t="str">
        <f>IF($B1082="","",COUNTA($B$9:$B1082))</f>
        <v/>
      </c>
      <c r="B1082" s="4"/>
      <c r="C1082" s="4"/>
      <c r="D1082" s="4"/>
      <c r="E1082" s="5"/>
      <c r="F1082" s="3" t="str">
        <f t="shared" si="52"/>
        <v/>
      </c>
      <c r="G1082" s="4"/>
      <c r="H1082" s="3" t="str">
        <f t="shared" si="53"/>
        <v/>
      </c>
      <c r="I1082" s="5"/>
      <c r="J1082" s="5"/>
      <c r="K1082" s="6"/>
      <c r="L1082" s="6"/>
      <c r="M1082" s="7" t="str">
        <f t="shared" si="54"/>
        <v/>
      </c>
      <c r="N1082" s="6"/>
      <c r="O1082" s="5"/>
    </row>
    <row r="1083" spans="1:15" x14ac:dyDescent="0.2">
      <c r="A1083" s="3" t="str">
        <f>IF($B1083="","",COUNTA($B$9:$B1083))</f>
        <v/>
      </c>
      <c r="B1083" s="4"/>
      <c r="C1083" s="4"/>
      <c r="D1083" s="4"/>
      <c r="E1083" s="5"/>
      <c r="F1083" s="3" t="str">
        <f t="shared" si="52"/>
        <v/>
      </c>
      <c r="G1083" s="4"/>
      <c r="H1083" s="3" t="str">
        <f t="shared" si="53"/>
        <v/>
      </c>
      <c r="I1083" s="5"/>
      <c r="J1083" s="5"/>
      <c r="K1083" s="6"/>
      <c r="L1083" s="6"/>
      <c r="M1083" s="7" t="str">
        <f t="shared" si="54"/>
        <v/>
      </c>
      <c r="N1083" s="6"/>
      <c r="O1083" s="5"/>
    </row>
    <row r="1084" spans="1:15" x14ac:dyDescent="0.2">
      <c r="A1084" s="3" t="str">
        <f>IF($B1084="","",COUNTA($B$9:$B1084))</f>
        <v/>
      </c>
      <c r="B1084" s="4"/>
      <c r="C1084" s="4"/>
      <c r="D1084" s="4"/>
      <c r="E1084" s="5"/>
      <c r="F1084" s="3" t="str">
        <f t="shared" si="52"/>
        <v/>
      </c>
      <c r="G1084" s="4"/>
      <c r="H1084" s="3" t="str">
        <f t="shared" si="53"/>
        <v/>
      </c>
      <c r="I1084" s="5"/>
      <c r="J1084" s="5"/>
      <c r="K1084" s="6"/>
      <c r="L1084" s="6"/>
      <c r="M1084" s="7" t="str">
        <f t="shared" si="54"/>
        <v/>
      </c>
      <c r="N1084" s="6"/>
      <c r="O1084" s="5"/>
    </row>
    <row r="1085" spans="1:15" x14ac:dyDescent="0.2">
      <c r="A1085" s="3" t="str">
        <f>IF($B1085="","",COUNTA($B$9:$B1085))</f>
        <v/>
      </c>
      <c r="B1085" s="4"/>
      <c r="C1085" s="4"/>
      <c r="D1085" s="4"/>
      <c r="E1085" s="5"/>
      <c r="F1085" s="3" t="str">
        <f t="shared" si="52"/>
        <v/>
      </c>
      <c r="G1085" s="4"/>
      <c r="H1085" s="3" t="str">
        <f t="shared" si="53"/>
        <v/>
      </c>
      <c r="I1085" s="5"/>
      <c r="J1085" s="5"/>
      <c r="K1085" s="6"/>
      <c r="L1085" s="6"/>
      <c r="M1085" s="7" t="str">
        <f t="shared" si="54"/>
        <v/>
      </c>
      <c r="N1085" s="6"/>
      <c r="O1085" s="5"/>
    </row>
    <row r="1086" spans="1:15" x14ac:dyDescent="0.2">
      <c r="A1086" s="3" t="str">
        <f>IF($B1086="","",COUNTA($B$9:$B1086))</f>
        <v/>
      </c>
      <c r="B1086" s="4"/>
      <c r="C1086" s="4"/>
      <c r="D1086" s="4"/>
      <c r="E1086" s="5"/>
      <c r="F1086" s="3" t="str">
        <f t="shared" si="52"/>
        <v/>
      </c>
      <c r="G1086" s="4"/>
      <c r="H1086" s="3" t="str">
        <f t="shared" si="53"/>
        <v/>
      </c>
      <c r="I1086" s="5"/>
      <c r="J1086" s="5"/>
      <c r="K1086" s="6"/>
      <c r="L1086" s="6"/>
      <c r="M1086" s="7" t="str">
        <f t="shared" si="54"/>
        <v/>
      </c>
      <c r="N1086" s="6"/>
      <c r="O1086" s="5"/>
    </row>
    <row r="1087" spans="1:15" x14ac:dyDescent="0.2">
      <c r="A1087" s="3" t="str">
        <f>IF($B1087="","",COUNTA($B$9:$B1087))</f>
        <v/>
      </c>
      <c r="B1087" s="4"/>
      <c r="C1087" s="4"/>
      <c r="D1087" s="4"/>
      <c r="E1087" s="5"/>
      <c r="F1087" s="3" t="str">
        <f t="shared" si="52"/>
        <v/>
      </c>
      <c r="G1087" s="4"/>
      <c r="H1087" s="3" t="str">
        <f t="shared" si="53"/>
        <v/>
      </c>
      <c r="I1087" s="5"/>
      <c r="J1087" s="5"/>
      <c r="K1087" s="6"/>
      <c r="L1087" s="6"/>
      <c r="M1087" s="7" t="str">
        <f t="shared" si="54"/>
        <v/>
      </c>
      <c r="N1087" s="6"/>
      <c r="O1087" s="5"/>
    </row>
    <row r="1088" spans="1:15" x14ac:dyDescent="0.2">
      <c r="A1088" s="3" t="str">
        <f>IF($B1088="","",COUNTA($B$9:$B1088))</f>
        <v/>
      </c>
      <c r="B1088" s="4"/>
      <c r="C1088" s="4"/>
      <c r="D1088" s="4"/>
      <c r="E1088" s="5"/>
      <c r="F1088" s="3" t="str">
        <f t="shared" si="52"/>
        <v/>
      </c>
      <c r="G1088" s="4"/>
      <c r="H1088" s="3" t="str">
        <f t="shared" si="53"/>
        <v/>
      </c>
      <c r="I1088" s="5"/>
      <c r="J1088" s="5"/>
      <c r="K1088" s="6"/>
      <c r="L1088" s="6"/>
      <c r="M1088" s="7" t="str">
        <f t="shared" si="54"/>
        <v/>
      </c>
      <c r="N1088" s="6"/>
      <c r="O1088" s="5"/>
    </row>
    <row r="1089" spans="1:15" x14ac:dyDescent="0.2">
      <c r="A1089" s="3" t="str">
        <f>IF($B1089="","",COUNTA($B$9:$B1089))</f>
        <v/>
      </c>
      <c r="B1089" s="4"/>
      <c r="C1089" s="4"/>
      <c r="D1089" s="4"/>
      <c r="E1089" s="5"/>
      <c r="F1089" s="3" t="str">
        <f t="shared" si="52"/>
        <v/>
      </c>
      <c r="G1089" s="4"/>
      <c r="H1089" s="3" t="str">
        <f t="shared" si="53"/>
        <v/>
      </c>
      <c r="I1089" s="5"/>
      <c r="J1089" s="5"/>
      <c r="K1089" s="6"/>
      <c r="L1089" s="6"/>
      <c r="M1089" s="7" t="str">
        <f t="shared" si="54"/>
        <v/>
      </c>
      <c r="N1089" s="6"/>
      <c r="O1089" s="5"/>
    </row>
    <row r="1090" spans="1:15" x14ac:dyDescent="0.2">
      <c r="A1090" s="3" t="str">
        <f>IF($B1090="","",COUNTA($B$9:$B1090))</f>
        <v/>
      </c>
      <c r="B1090" s="4"/>
      <c r="C1090" s="4"/>
      <c r="D1090" s="4"/>
      <c r="E1090" s="5"/>
      <c r="F1090" s="3" t="str">
        <f t="shared" si="52"/>
        <v/>
      </c>
      <c r="G1090" s="4"/>
      <c r="H1090" s="3" t="str">
        <f t="shared" si="53"/>
        <v/>
      </c>
      <c r="I1090" s="5"/>
      <c r="J1090" s="5"/>
      <c r="K1090" s="6"/>
      <c r="L1090" s="6"/>
      <c r="M1090" s="7" t="str">
        <f t="shared" si="54"/>
        <v/>
      </c>
      <c r="N1090" s="6"/>
      <c r="O1090" s="5"/>
    </row>
    <row r="1091" spans="1:15" x14ac:dyDescent="0.2">
      <c r="A1091" s="3" t="str">
        <f>IF($B1091="","",COUNTA($B$9:$B1091))</f>
        <v/>
      </c>
      <c r="B1091" s="4"/>
      <c r="C1091" s="4"/>
      <c r="D1091" s="4"/>
      <c r="E1091" s="5"/>
      <c r="F1091" s="3" t="str">
        <f t="shared" si="52"/>
        <v/>
      </c>
      <c r="G1091" s="4"/>
      <c r="H1091" s="3" t="str">
        <f t="shared" si="53"/>
        <v/>
      </c>
      <c r="I1091" s="5"/>
      <c r="J1091" s="5"/>
      <c r="K1091" s="6"/>
      <c r="L1091" s="6"/>
      <c r="M1091" s="7" t="str">
        <f t="shared" si="54"/>
        <v/>
      </c>
      <c r="N1091" s="6"/>
      <c r="O1091" s="5"/>
    </row>
    <row r="1092" spans="1:15" x14ac:dyDescent="0.2">
      <c r="A1092" s="3" t="str">
        <f>IF($B1092="","",COUNTA($B$9:$B1092))</f>
        <v/>
      </c>
      <c r="B1092" s="4"/>
      <c r="C1092" s="4"/>
      <c r="D1092" s="4"/>
      <c r="E1092" s="5"/>
      <c r="F1092" s="3" t="str">
        <f t="shared" si="52"/>
        <v/>
      </c>
      <c r="G1092" s="4"/>
      <c r="H1092" s="3" t="str">
        <f t="shared" si="53"/>
        <v/>
      </c>
      <c r="I1092" s="5"/>
      <c r="J1092" s="5"/>
      <c r="K1092" s="6"/>
      <c r="L1092" s="6"/>
      <c r="M1092" s="7" t="str">
        <f t="shared" si="54"/>
        <v/>
      </c>
      <c r="N1092" s="6"/>
      <c r="O1092" s="5"/>
    </row>
    <row r="1093" spans="1:15" x14ac:dyDescent="0.2">
      <c r="A1093" s="3" t="str">
        <f>IF($B1093="","",COUNTA($B$9:$B1093))</f>
        <v/>
      </c>
      <c r="B1093" s="4"/>
      <c r="C1093" s="4"/>
      <c r="D1093" s="4"/>
      <c r="E1093" s="5"/>
      <c r="F1093" s="3" t="str">
        <f t="shared" si="52"/>
        <v/>
      </c>
      <c r="G1093" s="4"/>
      <c r="H1093" s="3" t="str">
        <f t="shared" si="53"/>
        <v/>
      </c>
      <c r="I1093" s="5"/>
      <c r="J1093" s="5"/>
      <c r="K1093" s="6"/>
      <c r="L1093" s="6"/>
      <c r="M1093" s="7" t="str">
        <f t="shared" si="54"/>
        <v/>
      </c>
      <c r="N1093" s="6"/>
      <c r="O1093" s="5"/>
    </row>
    <row r="1094" spans="1:15" x14ac:dyDescent="0.2">
      <c r="A1094" s="3" t="str">
        <f>IF($B1094="","",COUNTA($B$9:$B1094))</f>
        <v/>
      </c>
      <c r="B1094" s="4"/>
      <c r="C1094" s="4"/>
      <c r="D1094" s="4"/>
      <c r="E1094" s="5"/>
      <c r="F1094" s="3" t="str">
        <f t="shared" si="52"/>
        <v/>
      </c>
      <c r="G1094" s="4"/>
      <c r="H1094" s="3" t="str">
        <f t="shared" si="53"/>
        <v/>
      </c>
      <c r="I1094" s="5"/>
      <c r="J1094" s="5"/>
      <c r="K1094" s="6"/>
      <c r="L1094" s="6"/>
      <c r="M1094" s="7" t="str">
        <f t="shared" si="54"/>
        <v/>
      </c>
      <c r="N1094" s="6"/>
      <c r="O1094" s="5"/>
    </row>
    <row r="1095" spans="1:15" x14ac:dyDescent="0.2">
      <c r="A1095" s="3" t="str">
        <f>IF($B1095="","",COUNTA($B$9:$B1095))</f>
        <v/>
      </c>
      <c r="B1095" s="4"/>
      <c r="C1095" s="4"/>
      <c r="D1095" s="4"/>
      <c r="E1095" s="5"/>
      <c r="F1095" s="3" t="str">
        <f t="shared" si="52"/>
        <v/>
      </c>
      <c r="G1095" s="4"/>
      <c r="H1095" s="3" t="str">
        <f t="shared" si="53"/>
        <v/>
      </c>
      <c r="I1095" s="5"/>
      <c r="J1095" s="5"/>
      <c r="K1095" s="6"/>
      <c r="L1095" s="6"/>
      <c r="M1095" s="7" t="str">
        <f t="shared" si="54"/>
        <v/>
      </c>
      <c r="N1095" s="6"/>
      <c r="O1095" s="5"/>
    </row>
    <row r="1096" spans="1:15" x14ac:dyDescent="0.2">
      <c r="A1096" s="3" t="str">
        <f>IF($B1096="","",COUNTA($B$9:$B1096))</f>
        <v/>
      </c>
      <c r="B1096" s="4"/>
      <c r="C1096" s="4"/>
      <c r="D1096" s="4"/>
      <c r="E1096" s="5"/>
      <c r="F1096" s="3" t="str">
        <f t="shared" ref="F1096:F1159" si="55">IF($E1096="","",IFERROR(VLOOKUP($E1096,OpTbl,2,0),""))</f>
        <v/>
      </c>
      <c r="G1096" s="4"/>
      <c r="H1096" s="3" t="str">
        <f t="shared" ref="H1096:H1159" si="56">IF($G1096="","",IFERROR(IF(VLOOKUP($G1096,AcctTbl,4,0)="","(بدون نام)",VLOOKUP($G1096,AcctTbl,4,0)),"کد ناشناخته"))</f>
        <v/>
      </c>
      <c r="I1096" s="5"/>
      <c r="J1096" s="5"/>
      <c r="K1096" s="6"/>
      <c r="L1096" s="6"/>
      <c r="M1096" s="7" t="str">
        <f t="shared" ref="M1096:M1159" si="57">IF(OR($B1096="",$K1096=""),"",($K1096-IF($L1096="",0,$L1096)*IFERROR(VLOOKUP("P01",ParamTbl,3,0),1.5))*(1-IF(IFERROR(VLOOKUP($E1096,OpTbl,3,0),"")="خرید",IFERROR(VLOOKUP("P02",ParamTbl,3,0),1),0)/100))</f>
        <v/>
      </c>
      <c r="N1096" s="6"/>
      <c r="O1096" s="5"/>
    </row>
    <row r="1097" spans="1:15" x14ac:dyDescent="0.2">
      <c r="A1097" s="3" t="str">
        <f>IF($B1097="","",COUNTA($B$9:$B1097))</f>
        <v/>
      </c>
      <c r="B1097" s="4"/>
      <c r="C1097" s="4"/>
      <c r="D1097" s="4"/>
      <c r="E1097" s="5"/>
      <c r="F1097" s="3" t="str">
        <f t="shared" si="55"/>
        <v/>
      </c>
      <c r="G1097" s="4"/>
      <c r="H1097" s="3" t="str">
        <f t="shared" si="56"/>
        <v/>
      </c>
      <c r="I1097" s="5"/>
      <c r="J1097" s="5"/>
      <c r="K1097" s="6"/>
      <c r="L1097" s="6"/>
      <c r="M1097" s="7" t="str">
        <f t="shared" si="57"/>
        <v/>
      </c>
      <c r="N1097" s="6"/>
      <c r="O1097" s="5"/>
    </row>
    <row r="1098" spans="1:15" x14ac:dyDescent="0.2">
      <c r="A1098" s="3" t="str">
        <f>IF($B1098="","",COUNTA($B$9:$B1098))</f>
        <v/>
      </c>
      <c r="B1098" s="4"/>
      <c r="C1098" s="4"/>
      <c r="D1098" s="4"/>
      <c r="E1098" s="5"/>
      <c r="F1098" s="3" t="str">
        <f t="shared" si="55"/>
        <v/>
      </c>
      <c r="G1098" s="4"/>
      <c r="H1098" s="3" t="str">
        <f t="shared" si="56"/>
        <v/>
      </c>
      <c r="I1098" s="5"/>
      <c r="J1098" s="5"/>
      <c r="K1098" s="6"/>
      <c r="L1098" s="6"/>
      <c r="M1098" s="7" t="str">
        <f t="shared" si="57"/>
        <v/>
      </c>
      <c r="N1098" s="6"/>
      <c r="O1098" s="5"/>
    </row>
    <row r="1099" spans="1:15" x14ac:dyDescent="0.2">
      <c r="A1099" s="3" t="str">
        <f>IF($B1099="","",COUNTA($B$9:$B1099))</f>
        <v/>
      </c>
      <c r="B1099" s="4"/>
      <c r="C1099" s="4"/>
      <c r="D1099" s="4"/>
      <c r="E1099" s="5"/>
      <c r="F1099" s="3" t="str">
        <f t="shared" si="55"/>
        <v/>
      </c>
      <c r="G1099" s="4"/>
      <c r="H1099" s="3" t="str">
        <f t="shared" si="56"/>
        <v/>
      </c>
      <c r="I1099" s="5"/>
      <c r="J1099" s="5"/>
      <c r="K1099" s="6"/>
      <c r="L1099" s="6"/>
      <c r="M1099" s="7" t="str">
        <f t="shared" si="57"/>
        <v/>
      </c>
      <c r="N1099" s="6"/>
      <c r="O1099" s="5"/>
    </row>
    <row r="1100" spans="1:15" x14ac:dyDescent="0.2">
      <c r="A1100" s="3" t="str">
        <f>IF($B1100="","",COUNTA($B$9:$B1100))</f>
        <v/>
      </c>
      <c r="B1100" s="4"/>
      <c r="C1100" s="4"/>
      <c r="D1100" s="4"/>
      <c r="E1100" s="5"/>
      <c r="F1100" s="3" t="str">
        <f t="shared" si="55"/>
        <v/>
      </c>
      <c r="G1100" s="4"/>
      <c r="H1100" s="3" t="str">
        <f t="shared" si="56"/>
        <v/>
      </c>
      <c r="I1100" s="5"/>
      <c r="J1100" s="5"/>
      <c r="K1100" s="6"/>
      <c r="L1100" s="6"/>
      <c r="M1100" s="7" t="str">
        <f t="shared" si="57"/>
        <v/>
      </c>
      <c r="N1100" s="6"/>
      <c r="O1100" s="5"/>
    </row>
    <row r="1101" spans="1:15" x14ac:dyDescent="0.2">
      <c r="A1101" s="3" t="str">
        <f>IF($B1101="","",COUNTA($B$9:$B1101))</f>
        <v/>
      </c>
      <c r="B1101" s="4"/>
      <c r="C1101" s="4"/>
      <c r="D1101" s="4"/>
      <c r="E1101" s="5"/>
      <c r="F1101" s="3" t="str">
        <f t="shared" si="55"/>
        <v/>
      </c>
      <c r="G1101" s="4"/>
      <c r="H1101" s="3" t="str">
        <f t="shared" si="56"/>
        <v/>
      </c>
      <c r="I1101" s="5"/>
      <c r="J1101" s="5"/>
      <c r="K1101" s="6"/>
      <c r="L1101" s="6"/>
      <c r="M1101" s="7" t="str">
        <f t="shared" si="57"/>
        <v/>
      </c>
      <c r="N1101" s="6"/>
      <c r="O1101" s="5"/>
    </row>
    <row r="1102" spans="1:15" x14ac:dyDescent="0.2">
      <c r="A1102" s="3" t="str">
        <f>IF($B1102="","",COUNTA($B$9:$B1102))</f>
        <v/>
      </c>
      <c r="B1102" s="4"/>
      <c r="C1102" s="4"/>
      <c r="D1102" s="4"/>
      <c r="E1102" s="5"/>
      <c r="F1102" s="3" t="str">
        <f t="shared" si="55"/>
        <v/>
      </c>
      <c r="G1102" s="4"/>
      <c r="H1102" s="3" t="str">
        <f t="shared" si="56"/>
        <v/>
      </c>
      <c r="I1102" s="5"/>
      <c r="J1102" s="5"/>
      <c r="K1102" s="6"/>
      <c r="L1102" s="6"/>
      <c r="M1102" s="7" t="str">
        <f t="shared" si="57"/>
        <v/>
      </c>
      <c r="N1102" s="6"/>
      <c r="O1102" s="5"/>
    </row>
    <row r="1103" spans="1:15" x14ac:dyDescent="0.2">
      <c r="A1103" s="3" t="str">
        <f>IF($B1103="","",COUNTA($B$9:$B1103))</f>
        <v/>
      </c>
      <c r="B1103" s="4"/>
      <c r="C1103" s="4"/>
      <c r="D1103" s="4"/>
      <c r="E1103" s="5"/>
      <c r="F1103" s="3" t="str">
        <f t="shared" si="55"/>
        <v/>
      </c>
      <c r="G1103" s="4"/>
      <c r="H1103" s="3" t="str">
        <f t="shared" si="56"/>
        <v/>
      </c>
      <c r="I1103" s="5"/>
      <c r="J1103" s="5"/>
      <c r="K1103" s="6"/>
      <c r="L1103" s="6"/>
      <c r="M1103" s="7" t="str">
        <f t="shared" si="57"/>
        <v/>
      </c>
      <c r="N1103" s="6"/>
      <c r="O1103" s="5"/>
    </row>
    <row r="1104" spans="1:15" x14ac:dyDescent="0.2">
      <c r="A1104" s="3" t="str">
        <f>IF($B1104="","",COUNTA($B$9:$B1104))</f>
        <v/>
      </c>
      <c r="B1104" s="4"/>
      <c r="C1104" s="4"/>
      <c r="D1104" s="4"/>
      <c r="E1104" s="5"/>
      <c r="F1104" s="3" t="str">
        <f t="shared" si="55"/>
        <v/>
      </c>
      <c r="G1104" s="4"/>
      <c r="H1104" s="3" t="str">
        <f t="shared" si="56"/>
        <v/>
      </c>
      <c r="I1104" s="5"/>
      <c r="J1104" s="5"/>
      <c r="K1104" s="6"/>
      <c r="L1104" s="6"/>
      <c r="M1104" s="7" t="str">
        <f t="shared" si="57"/>
        <v/>
      </c>
      <c r="N1104" s="6"/>
      <c r="O1104" s="5"/>
    </row>
    <row r="1105" spans="1:15" x14ac:dyDescent="0.2">
      <c r="A1105" s="3" t="str">
        <f>IF($B1105="","",COUNTA($B$9:$B1105))</f>
        <v/>
      </c>
      <c r="B1105" s="4"/>
      <c r="C1105" s="4"/>
      <c r="D1105" s="4"/>
      <c r="E1105" s="5"/>
      <c r="F1105" s="3" t="str">
        <f t="shared" si="55"/>
        <v/>
      </c>
      <c r="G1105" s="4"/>
      <c r="H1105" s="3" t="str">
        <f t="shared" si="56"/>
        <v/>
      </c>
      <c r="I1105" s="5"/>
      <c r="J1105" s="5"/>
      <c r="K1105" s="6"/>
      <c r="L1105" s="6"/>
      <c r="M1105" s="7" t="str">
        <f t="shared" si="57"/>
        <v/>
      </c>
      <c r="N1105" s="6"/>
      <c r="O1105" s="5"/>
    </row>
    <row r="1106" spans="1:15" x14ac:dyDescent="0.2">
      <c r="A1106" s="3" t="str">
        <f>IF($B1106="","",COUNTA($B$9:$B1106))</f>
        <v/>
      </c>
      <c r="B1106" s="4"/>
      <c r="C1106" s="4"/>
      <c r="D1106" s="4"/>
      <c r="E1106" s="5"/>
      <c r="F1106" s="3" t="str">
        <f t="shared" si="55"/>
        <v/>
      </c>
      <c r="G1106" s="4"/>
      <c r="H1106" s="3" t="str">
        <f t="shared" si="56"/>
        <v/>
      </c>
      <c r="I1106" s="5"/>
      <c r="J1106" s="5"/>
      <c r="K1106" s="6"/>
      <c r="L1106" s="6"/>
      <c r="M1106" s="7" t="str">
        <f t="shared" si="57"/>
        <v/>
      </c>
      <c r="N1106" s="6"/>
      <c r="O1106" s="5"/>
    </row>
    <row r="1107" spans="1:15" x14ac:dyDescent="0.2">
      <c r="A1107" s="3" t="str">
        <f>IF($B1107="","",COUNTA($B$9:$B1107))</f>
        <v/>
      </c>
      <c r="B1107" s="4"/>
      <c r="C1107" s="4"/>
      <c r="D1107" s="4"/>
      <c r="E1107" s="5"/>
      <c r="F1107" s="3" t="str">
        <f t="shared" si="55"/>
        <v/>
      </c>
      <c r="G1107" s="4"/>
      <c r="H1107" s="3" t="str">
        <f t="shared" si="56"/>
        <v/>
      </c>
      <c r="I1107" s="5"/>
      <c r="J1107" s="5"/>
      <c r="K1107" s="6"/>
      <c r="L1107" s="6"/>
      <c r="M1107" s="7" t="str">
        <f t="shared" si="57"/>
        <v/>
      </c>
      <c r="N1107" s="6"/>
      <c r="O1107" s="5"/>
    </row>
    <row r="1108" spans="1:15" x14ac:dyDescent="0.2">
      <c r="A1108" s="3" t="str">
        <f>IF($B1108="","",COUNTA($B$9:$B1108))</f>
        <v/>
      </c>
      <c r="B1108" s="4"/>
      <c r="C1108" s="4"/>
      <c r="D1108" s="4"/>
      <c r="E1108" s="5"/>
      <c r="F1108" s="3" t="str">
        <f t="shared" si="55"/>
        <v/>
      </c>
      <c r="G1108" s="4"/>
      <c r="H1108" s="3" t="str">
        <f t="shared" si="56"/>
        <v/>
      </c>
      <c r="I1108" s="5"/>
      <c r="J1108" s="5"/>
      <c r="K1108" s="6"/>
      <c r="L1108" s="6"/>
      <c r="M1108" s="7" t="str">
        <f t="shared" si="57"/>
        <v/>
      </c>
      <c r="N1108" s="6"/>
      <c r="O1108" s="5"/>
    </row>
    <row r="1109" spans="1:15" x14ac:dyDescent="0.2">
      <c r="A1109" s="3" t="str">
        <f>IF($B1109="","",COUNTA($B$9:$B1109))</f>
        <v/>
      </c>
      <c r="B1109" s="4"/>
      <c r="C1109" s="4"/>
      <c r="D1109" s="4"/>
      <c r="E1109" s="5"/>
      <c r="F1109" s="3" t="str">
        <f t="shared" si="55"/>
        <v/>
      </c>
      <c r="G1109" s="4"/>
      <c r="H1109" s="3" t="str">
        <f t="shared" si="56"/>
        <v/>
      </c>
      <c r="I1109" s="5"/>
      <c r="J1109" s="5"/>
      <c r="K1109" s="6"/>
      <c r="L1109" s="6"/>
      <c r="M1109" s="7" t="str">
        <f t="shared" si="57"/>
        <v/>
      </c>
      <c r="N1109" s="6"/>
      <c r="O1109" s="5"/>
    </row>
    <row r="1110" spans="1:15" x14ac:dyDescent="0.2">
      <c r="A1110" s="3" t="str">
        <f>IF($B1110="","",COUNTA($B$9:$B1110))</f>
        <v/>
      </c>
      <c r="B1110" s="4"/>
      <c r="C1110" s="4"/>
      <c r="D1110" s="4"/>
      <c r="E1110" s="5"/>
      <c r="F1110" s="3" t="str">
        <f t="shared" si="55"/>
        <v/>
      </c>
      <c r="G1110" s="4"/>
      <c r="H1110" s="3" t="str">
        <f t="shared" si="56"/>
        <v/>
      </c>
      <c r="I1110" s="5"/>
      <c r="J1110" s="5"/>
      <c r="K1110" s="6"/>
      <c r="L1110" s="6"/>
      <c r="M1110" s="7" t="str">
        <f t="shared" si="57"/>
        <v/>
      </c>
      <c r="N1110" s="6"/>
      <c r="O1110" s="5"/>
    </row>
    <row r="1111" spans="1:15" x14ac:dyDescent="0.2">
      <c r="A1111" s="3" t="str">
        <f>IF($B1111="","",COUNTA($B$9:$B1111))</f>
        <v/>
      </c>
      <c r="B1111" s="4"/>
      <c r="C1111" s="4"/>
      <c r="D1111" s="4"/>
      <c r="E1111" s="5"/>
      <c r="F1111" s="3" t="str">
        <f t="shared" si="55"/>
        <v/>
      </c>
      <c r="G1111" s="4"/>
      <c r="H1111" s="3" t="str">
        <f t="shared" si="56"/>
        <v/>
      </c>
      <c r="I1111" s="5"/>
      <c r="J1111" s="5"/>
      <c r="K1111" s="6"/>
      <c r="L1111" s="6"/>
      <c r="M1111" s="7" t="str">
        <f t="shared" si="57"/>
        <v/>
      </c>
      <c r="N1111" s="6"/>
      <c r="O1111" s="5"/>
    </row>
    <row r="1112" spans="1:15" x14ac:dyDescent="0.2">
      <c r="A1112" s="3" t="str">
        <f>IF($B1112="","",COUNTA($B$9:$B1112))</f>
        <v/>
      </c>
      <c r="B1112" s="4"/>
      <c r="C1112" s="4"/>
      <c r="D1112" s="4"/>
      <c r="E1112" s="5"/>
      <c r="F1112" s="3" t="str">
        <f t="shared" si="55"/>
        <v/>
      </c>
      <c r="G1112" s="4"/>
      <c r="H1112" s="3" t="str">
        <f t="shared" si="56"/>
        <v/>
      </c>
      <c r="I1112" s="5"/>
      <c r="J1112" s="5"/>
      <c r="K1112" s="6"/>
      <c r="L1112" s="6"/>
      <c r="M1112" s="7" t="str">
        <f t="shared" si="57"/>
        <v/>
      </c>
      <c r="N1112" s="6"/>
      <c r="O1112" s="5"/>
    </row>
    <row r="1113" spans="1:15" x14ac:dyDescent="0.2">
      <c r="A1113" s="3" t="str">
        <f>IF($B1113="","",COUNTA($B$9:$B1113))</f>
        <v/>
      </c>
      <c r="B1113" s="4"/>
      <c r="C1113" s="4"/>
      <c r="D1113" s="4"/>
      <c r="E1113" s="5"/>
      <c r="F1113" s="3" t="str">
        <f t="shared" si="55"/>
        <v/>
      </c>
      <c r="G1113" s="4"/>
      <c r="H1113" s="3" t="str">
        <f t="shared" si="56"/>
        <v/>
      </c>
      <c r="I1113" s="5"/>
      <c r="J1113" s="5"/>
      <c r="K1113" s="6"/>
      <c r="L1113" s="6"/>
      <c r="M1113" s="7" t="str">
        <f t="shared" si="57"/>
        <v/>
      </c>
      <c r="N1113" s="6"/>
      <c r="O1113" s="5"/>
    </row>
    <row r="1114" spans="1:15" x14ac:dyDescent="0.2">
      <c r="A1114" s="3" t="str">
        <f>IF($B1114="","",COUNTA($B$9:$B1114))</f>
        <v/>
      </c>
      <c r="B1114" s="4"/>
      <c r="C1114" s="4"/>
      <c r="D1114" s="4"/>
      <c r="E1114" s="5"/>
      <c r="F1114" s="3" t="str">
        <f t="shared" si="55"/>
        <v/>
      </c>
      <c r="G1114" s="4"/>
      <c r="H1114" s="3" t="str">
        <f t="shared" si="56"/>
        <v/>
      </c>
      <c r="I1114" s="5"/>
      <c r="J1114" s="5"/>
      <c r="K1114" s="6"/>
      <c r="L1114" s="6"/>
      <c r="M1114" s="7" t="str">
        <f t="shared" si="57"/>
        <v/>
      </c>
      <c r="N1114" s="6"/>
      <c r="O1114" s="5"/>
    </row>
    <row r="1115" spans="1:15" x14ac:dyDescent="0.2">
      <c r="A1115" s="3" t="str">
        <f>IF($B1115="","",COUNTA($B$9:$B1115))</f>
        <v/>
      </c>
      <c r="B1115" s="4"/>
      <c r="C1115" s="4"/>
      <c r="D1115" s="4"/>
      <c r="E1115" s="5"/>
      <c r="F1115" s="3" t="str">
        <f t="shared" si="55"/>
        <v/>
      </c>
      <c r="G1115" s="4"/>
      <c r="H1115" s="3" t="str">
        <f t="shared" si="56"/>
        <v/>
      </c>
      <c r="I1115" s="5"/>
      <c r="J1115" s="5"/>
      <c r="K1115" s="6"/>
      <c r="L1115" s="6"/>
      <c r="M1115" s="7" t="str">
        <f t="shared" si="57"/>
        <v/>
      </c>
      <c r="N1115" s="6"/>
      <c r="O1115" s="5"/>
    </row>
    <row r="1116" spans="1:15" x14ac:dyDescent="0.2">
      <c r="A1116" s="3" t="str">
        <f>IF($B1116="","",COUNTA($B$9:$B1116))</f>
        <v/>
      </c>
      <c r="B1116" s="4"/>
      <c r="C1116" s="4"/>
      <c r="D1116" s="4"/>
      <c r="E1116" s="5"/>
      <c r="F1116" s="3" t="str">
        <f t="shared" si="55"/>
        <v/>
      </c>
      <c r="G1116" s="4"/>
      <c r="H1116" s="3" t="str">
        <f t="shared" si="56"/>
        <v/>
      </c>
      <c r="I1116" s="5"/>
      <c r="J1116" s="5"/>
      <c r="K1116" s="6"/>
      <c r="L1116" s="6"/>
      <c r="M1116" s="7" t="str">
        <f t="shared" si="57"/>
        <v/>
      </c>
      <c r="N1116" s="6"/>
      <c r="O1116" s="5"/>
    </row>
    <row r="1117" spans="1:15" x14ac:dyDescent="0.2">
      <c r="A1117" s="3" t="str">
        <f>IF($B1117="","",COUNTA($B$9:$B1117))</f>
        <v/>
      </c>
      <c r="B1117" s="4"/>
      <c r="C1117" s="4"/>
      <c r="D1117" s="4"/>
      <c r="E1117" s="5"/>
      <c r="F1117" s="3" t="str">
        <f t="shared" si="55"/>
        <v/>
      </c>
      <c r="G1117" s="4"/>
      <c r="H1117" s="3" t="str">
        <f t="shared" si="56"/>
        <v/>
      </c>
      <c r="I1117" s="5"/>
      <c r="J1117" s="5"/>
      <c r="K1117" s="6"/>
      <c r="L1117" s="6"/>
      <c r="M1117" s="7" t="str">
        <f t="shared" si="57"/>
        <v/>
      </c>
      <c r="N1117" s="6"/>
      <c r="O1117" s="5"/>
    </row>
    <row r="1118" spans="1:15" x14ac:dyDescent="0.2">
      <c r="A1118" s="3" t="str">
        <f>IF($B1118="","",COUNTA($B$9:$B1118))</f>
        <v/>
      </c>
      <c r="B1118" s="4"/>
      <c r="C1118" s="4"/>
      <c r="D1118" s="4"/>
      <c r="E1118" s="5"/>
      <c r="F1118" s="3" t="str">
        <f t="shared" si="55"/>
        <v/>
      </c>
      <c r="G1118" s="4"/>
      <c r="H1118" s="3" t="str">
        <f t="shared" si="56"/>
        <v/>
      </c>
      <c r="I1118" s="5"/>
      <c r="J1118" s="5"/>
      <c r="K1118" s="6"/>
      <c r="L1118" s="6"/>
      <c r="M1118" s="7" t="str">
        <f t="shared" si="57"/>
        <v/>
      </c>
      <c r="N1118" s="6"/>
      <c r="O1118" s="5"/>
    </row>
    <row r="1119" spans="1:15" x14ac:dyDescent="0.2">
      <c r="A1119" s="3" t="str">
        <f>IF($B1119="","",COUNTA($B$9:$B1119))</f>
        <v/>
      </c>
      <c r="B1119" s="4"/>
      <c r="C1119" s="4"/>
      <c r="D1119" s="4"/>
      <c r="E1119" s="5"/>
      <c r="F1119" s="3" t="str">
        <f t="shared" si="55"/>
        <v/>
      </c>
      <c r="G1119" s="4"/>
      <c r="H1119" s="3" t="str">
        <f t="shared" si="56"/>
        <v/>
      </c>
      <c r="I1119" s="5"/>
      <c r="J1119" s="5"/>
      <c r="K1119" s="6"/>
      <c r="L1119" s="6"/>
      <c r="M1119" s="7" t="str">
        <f t="shared" si="57"/>
        <v/>
      </c>
      <c r="N1119" s="6"/>
      <c r="O1119" s="5"/>
    </row>
    <row r="1120" spans="1:15" x14ac:dyDescent="0.2">
      <c r="A1120" s="3" t="str">
        <f>IF($B1120="","",COUNTA($B$9:$B1120))</f>
        <v/>
      </c>
      <c r="B1120" s="4"/>
      <c r="C1120" s="4"/>
      <c r="D1120" s="4"/>
      <c r="E1120" s="5"/>
      <c r="F1120" s="3" t="str">
        <f t="shared" si="55"/>
        <v/>
      </c>
      <c r="G1120" s="4"/>
      <c r="H1120" s="3" t="str">
        <f t="shared" si="56"/>
        <v/>
      </c>
      <c r="I1120" s="5"/>
      <c r="J1120" s="5"/>
      <c r="K1120" s="6"/>
      <c r="L1120" s="6"/>
      <c r="M1120" s="7" t="str">
        <f t="shared" si="57"/>
        <v/>
      </c>
      <c r="N1120" s="6"/>
      <c r="O1120" s="5"/>
    </row>
    <row r="1121" spans="1:15" x14ac:dyDescent="0.2">
      <c r="A1121" s="3" t="str">
        <f>IF($B1121="","",COUNTA($B$9:$B1121))</f>
        <v/>
      </c>
      <c r="B1121" s="4"/>
      <c r="C1121" s="4"/>
      <c r="D1121" s="4"/>
      <c r="E1121" s="5"/>
      <c r="F1121" s="3" t="str">
        <f t="shared" si="55"/>
        <v/>
      </c>
      <c r="G1121" s="4"/>
      <c r="H1121" s="3" t="str">
        <f t="shared" si="56"/>
        <v/>
      </c>
      <c r="I1121" s="5"/>
      <c r="J1121" s="5"/>
      <c r="K1121" s="6"/>
      <c r="L1121" s="6"/>
      <c r="M1121" s="7" t="str">
        <f t="shared" si="57"/>
        <v/>
      </c>
      <c r="N1121" s="6"/>
      <c r="O1121" s="5"/>
    </row>
    <row r="1122" spans="1:15" x14ac:dyDescent="0.2">
      <c r="A1122" s="3" t="str">
        <f>IF($B1122="","",COUNTA($B$9:$B1122))</f>
        <v/>
      </c>
      <c r="B1122" s="4"/>
      <c r="C1122" s="4"/>
      <c r="D1122" s="4"/>
      <c r="E1122" s="5"/>
      <c r="F1122" s="3" t="str">
        <f t="shared" si="55"/>
        <v/>
      </c>
      <c r="G1122" s="4"/>
      <c r="H1122" s="3" t="str">
        <f t="shared" si="56"/>
        <v/>
      </c>
      <c r="I1122" s="5"/>
      <c r="J1122" s="5"/>
      <c r="K1122" s="6"/>
      <c r="L1122" s="6"/>
      <c r="M1122" s="7" t="str">
        <f t="shared" si="57"/>
        <v/>
      </c>
      <c r="N1122" s="6"/>
      <c r="O1122" s="5"/>
    </row>
    <row r="1123" spans="1:15" x14ac:dyDescent="0.2">
      <c r="A1123" s="3" t="str">
        <f>IF($B1123="","",COUNTA($B$9:$B1123))</f>
        <v/>
      </c>
      <c r="B1123" s="4"/>
      <c r="C1123" s="4"/>
      <c r="D1123" s="4"/>
      <c r="E1123" s="5"/>
      <c r="F1123" s="3" t="str">
        <f t="shared" si="55"/>
        <v/>
      </c>
      <c r="G1123" s="4"/>
      <c r="H1123" s="3" t="str">
        <f t="shared" si="56"/>
        <v/>
      </c>
      <c r="I1123" s="5"/>
      <c r="J1123" s="5"/>
      <c r="K1123" s="6"/>
      <c r="L1123" s="6"/>
      <c r="M1123" s="7" t="str">
        <f t="shared" si="57"/>
        <v/>
      </c>
      <c r="N1123" s="6"/>
      <c r="O1123" s="5"/>
    </row>
    <row r="1124" spans="1:15" x14ac:dyDescent="0.2">
      <c r="A1124" s="3" t="str">
        <f>IF($B1124="","",COUNTA($B$9:$B1124))</f>
        <v/>
      </c>
      <c r="B1124" s="4"/>
      <c r="C1124" s="4"/>
      <c r="D1124" s="4"/>
      <c r="E1124" s="5"/>
      <c r="F1124" s="3" t="str">
        <f t="shared" si="55"/>
        <v/>
      </c>
      <c r="G1124" s="4"/>
      <c r="H1124" s="3" t="str">
        <f t="shared" si="56"/>
        <v/>
      </c>
      <c r="I1124" s="5"/>
      <c r="J1124" s="5"/>
      <c r="K1124" s="6"/>
      <c r="L1124" s="6"/>
      <c r="M1124" s="7" t="str">
        <f t="shared" si="57"/>
        <v/>
      </c>
      <c r="N1124" s="6"/>
      <c r="O1124" s="5"/>
    </row>
    <row r="1125" spans="1:15" x14ac:dyDescent="0.2">
      <c r="A1125" s="3" t="str">
        <f>IF($B1125="","",COUNTA($B$9:$B1125))</f>
        <v/>
      </c>
      <c r="B1125" s="4"/>
      <c r="C1125" s="4"/>
      <c r="D1125" s="4"/>
      <c r="E1125" s="5"/>
      <c r="F1125" s="3" t="str">
        <f t="shared" si="55"/>
        <v/>
      </c>
      <c r="G1125" s="4"/>
      <c r="H1125" s="3" t="str">
        <f t="shared" si="56"/>
        <v/>
      </c>
      <c r="I1125" s="5"/>
      <c r="J1125" s="5"/>
      <c r="K1125" s="6"/>
      <c r="L1125" s="6"/>
      <c r="M1125" s="7" t="str">
        <f t="shared" si="57"/>
        <v/>
      </c>
      <c r="N1125" s="6"/>
      <c r="O1125" s="5"/>
    </row>
    <row r="1126" spans="1:15" x14ac:dyDescent="0.2">
      <c r="A1126" s="3" t="str">
        <f>IF($B1126="","",COUNTA($B$9:$B1126))</f>
        <v/>
      </c>
      <c r="B1126" s="4"/>
      <c r="C1126" s="4"/>
      <c r="D1126" s="4"/>
      <c r="E1126" s="5"/>
      <c r="F1126" s="3" t="str">
        <f t="shared" si="55"/>
        <v/>
      </c>
      <c r="G1126" s="4"/>
      <c r="H1126" s="3" t="str">
        <f t="shared" si="56"/>
        <v/>
      </c>
      <c r="I1126" s="5"/>
      <c r="J1126" s="5"/>
      <c r="K1126" s="6"/>
      <c r="L1126" s="6"/>
      <c r="M1126" s="7" t="str">
        <f t="shared" si="57"/>
        <v/>
      </c>
      <c r="N1126" s="6"/>
      <c r="O1126" s="5"/>
    </row>
    <row r="1127" spans="1:15" x14ac:dyDescent="0.2">
      <c r="A1127" s="3" t="str">
        <f>IF($B1127="","",COUNTA($B$9:$B1127))</f>
        <v/>
      </c>
      <c r="B1127" s="4"/>
      <c r="C1127" s="4"/>
      <c r="D1127" s="4"/>
      <c r="E1127" s="5"/>
      <c r="F1127" s="3" t="str">
        <f t="shared" si="55"/>
        <v/>
      </c>
      <c r="G1127" s="4"/>
      <c r="H1127" s="3" t="str">
        <f t="shared" si="56"/>
        <v/>
      </c>
      <c r="I1127" s="5"/>
      <c r="J1127" s="5"/>
      <c r="K1127" s="6"/>
      <c r="L1127" s="6"/>
      <c r="M1127" s="7" t="str">
        <f t="shared" si="57"/>
        <v/>
      </c>
      <c r="N1127" s="6"/>
      <c r="O1127" s="5"/>
    </row>
    <row r="1128" spans="1:15" x14ac:dyDescent="0.2">
      <c r="A1128" s="3" t="str">
        <f>IF($B1128="","",COUNTA($B$9:$B1128))</f>
        <v/>
      </c>
      <c r="B1128" s="4"/>
      <c r="C1128" s="4"/>
      <c r="D1128" s="4"/>
      <c r="E1128" s="5"/>
      <c r="F1128" s="3" t="str">
        <f t="shared" si="55"/>
        <v/>
      </c>
      <c r="G1128" s="4"/>
      <c r="H1128" s="3" t="str">
        <f t="shared" si="56"/>
        <v/>
      </c>
      <c r="I1128" s="5"/>
      <c r="J1128" s="5"/>
      <c r="K1128" s="6"/>
      <c r="L1128" s="6"/>
      <c r="M1128" s="7" t="str">
        <f t="shared" si="57"/>
        <v/>
      </c>
      <c r="N1128" s="6"/>
      <c r="O1128" s="5"/>
    </row>
    <row r="1129" spans="1:15" x14ac:dyDescent="0.2">
      <c r="A1129" s="3" t="str">
        <f>IF($B1129="","",COUNTA($B$9:$B1129))</f>
        <v/>
      </c>
      <c r="B1129" s="4"/>
      <c r="C1129" s="4"/>
      <c r="D1129" s="4"/>
      <c r="E1129" s="5"/>
      <c r="F1129" s="3" t="str">
        <f t="shared" si="55"/>
        <v/>
      </c>
      <c r="G1129" s="4"/>
      <c r="H1129" s="3" t="str">
        <f t="shared" si="56"/>
        <v/>
      </c>
      <c r="I1129" s="5"/>
      <c r="J1129" s="5"/>
      <c r="K1129" s="6"/>
      <c r="L1129" s="6"/>
      <c r="M1129" s="7" t="str">
        <f t="shared" si="57"/>
        <v/>
      </c>
      <c r="N1129" s="6"/>
      <c r="O1129" s="5"/>
    </row>
    <row r="1130" spans="1:15" x14ac:dyDescent="0.2">
      <c r="A1130" s="3" t="str">
        <f>IF($B1130="","",COUNTA($B$9:$B1130))</f>
        <v/>
      </c>
      <c r="B1130" s="4"/>
      <c r="C1130" s="4"/>
      <c r="D1130" s="4"/>
      <c r="E1130" s="5"/>
      <c r="F1130" s="3" t="str">
        <f t="shared" si="55"/>
        <v/>
      </c>
      <c r="G1130" s="4"/>
      <c r="H1130" s="3" t="str">
        <f t="shared" si="56"/>
        <v/>
      </c>
      <c r="I1130" s="5"/>
      <c r="J1130" s="5"/>
      <c r="K1130" s="6"/>
      <c r="L1130" s="6"/>
      <c r="M1130" s="7" t="str">
        <f t="shared" si="57"/>
        <v/>
      </c>
      <c r="N1130" s="6"/>
      <c r="O1130" s="5"/>
    </row>
    <row r="1131" spans="1:15" x14ac:dyDescent="0.2">
      <c r="A1131" s="3" t="str">
        <f>IF($B1131="","",COUNTA($B$9:$B1131))</f>
        <v/>
      </c>
      <c r="B1131" s="4"/>
      <c r="C1131" s="4"/>
      <c r="D1131" s="4"/>
      <c r="E1131" s="5"/>
      <c r="F1131" s="3" t="str">
        <f t="shared" si="55"/>
        <v/>
      </c>
      <c r="G1131" s="4"/>
      <c r="H1131" s="3" t="str">
        <f t="shared" si="56"/>
        <v/>
      </c>
      <c r="I1131" s="5"/>
      <c r="J1131" s="5"/>
      <c r="K1131" s="6"/>
      <c r="L1131" s="6"/>
      <c r="M1131" s="7" t="str">
        <f t="shared" si="57"/>
        <v/>
      </c>
      <c r="N1131" s="6"/>
      <c r="O1131" s="5"/>
    </row>
    <row r="1132" spans="1:15" x14ac:dyDescent="0.2">
      <c r="A1132" s="3" t="str">
        <f>IF($B1132="","",COUNTA($B$9:$B1132))</f>
        <v/>
      </c>
      <c r="B1132" s="4"/>
      <c r="C1132" s="4"/>
      <c r="D1132" s="4"/>
      <c r="E1132" s="5"/>
      <c r="F1132" s="3" t="str">
        <f t="shared" si="55"/>
        <v/>
      </c>
      <c r="G1132" s="4"/>
      <c r="H1132" s="3" t="str">
        <f t="shared" si="56"/>
        <v/>
      </c>
      <c r="I1132" s="5"/>
      <c r="J1132" s="5"/>
      <c r="K1132" s="6"/>
      <c r="L1132" s="6"/>
      <c r="M1132" s="7" t="str">
        <f t="shared" si="57"/>
        <v/>
      </c>
      <c r="N1132" s="6"/>
      <c r="O1132" s="5"/>
    </row>
    <row r="1133" spans="1:15" x14ac:dyDescent="0.2">
      <c r="A1133" s="3" t="str">
        <f>IF($B1133="","",COUNTA($B$9:$B1133))</f>
        <v/>
      </c>
      <c r="B1133" s="4"/>
      <c r="C1133" s="4"/>
      <c r="D1133" s="4"/>
      <c r="E1133" s="5"/>
      <c r="F1133" s="3" t="str">
        <f t="shared" si="55"/>
        <v/>
      </c>
      <c r="G1133" s="4"/>
      <c r="H1133" s="3" t="str">
        <f t="shared" si="56"/>
        <v/>
      </c>
      <c r="I1133" s="5"/>
      <c r="J1133" s="5"/>
      <c r="K1133" s="6"/>
      <c r="L1133" s="6"/>
      <c r="M1133" s="7" t="str">
        <f t="shared" si="57"/>
        <v/>
      </c>
      <c r="N1133" s="6"/>
      <c r="O1133" s="5"/>
    </row>
    <row r="1134" spans="1:15" x14ac:dyDescent="0.2">
      <c r="A1134" s="3" t="str">
        <f>IF($B1134="","",COUNTA($B$9:$B1134))</f>
        <v/>
      </c>
      <c r="B1134" s="4"/>
      <c r="C1134" s="4"/>
      <c r="D1134" s="4"/>
      <c r="E1134" s="5"/>
      <c r="F1134" s="3" t="str">
        <f t="shared" si="55"/>
        <v/>
      </c>
      <c r="G1134" s="4"/>
      <c r="H1134" s="3" t="str">
        <f t="shared" si="56"/>
        <v/>
      </c>
      <c r="I1134" s="5"/>
      <c r="J1134" s="5"/>
      <c r="K1134" s="6"/>
      <c r="L1134" s="6"/>
      <c r="M1134" s="7" t="str">
        <f t="shared" si="57"/>
        <v/>
      </c>
      <c r="N1134" s="6"/>
      <c r="O1134" s="5"/>
    </row>
    <row r="1135" spans="1:15" x14ac:dyDescent="0.2">
      <c r="A1135" s="3" t="str">
        <f>IF($B1135="","",COUNTA($B$9:$B1135))</f>
        <v/>
      </c>
      <c r="B1135" s="4"/>
      <c r="C1135" s="4"/>
      <c r="D1135" s="4"/>
      <c r="E1135" s="5"/>
      <c r="F1135" s="3" t="str">
        <f t="shared" si="55"/>
        <v/>
      </c>
      <c r="G1135" s="4"/>
      <c r="H1135" s="3" t="str">
        <f t="shared" si="56"/>
        <v/>
      </c>
      <c r="I1135" s="5"/>
      <c r="J1135" s="5"/>
      <c r="K1135" s="6"/>
      <c r="L1135" s="6"/>
      <c r="M1135" s="7" t="str">
        <f t="shared" si="57"/>
        <v/>
      </c>
      <c r="N1135" s="6"/>
      <c r="O1135" s="5"/>
    </row>
    <row r="1136" spans="1:15" x14ac:dyDescent="0.2">
      <c r="A1136" s="3" t="str">
        <f>IF($B1136="","",COUNTA($B$9:$B1136))</f>
        <v/>
      </c>
      <c r="B1136" s="4"/>
      <c r="C1136" s="4"/>
      <c r="D1136" s="4"/>
      <c r="E1136" s="5"/>
      <c r="F1136" s="3" t="str">
        <f t="shared" si="55"/>
        <v/>
      </c>
      <c r="G1136" s="4"/>
      <c r="H1136" s="3" t="str">
        <f t="shared" si="56"/>
        <v/>
      </c>
      <c r="I1136" s="5"/>
      <c r="J1136" s="5"/>
      <c r="K1136" s="6"/>
      <c r="L1136" s="6"/>
      <c r="M1136" s="7" t="str">
        <f t="shared" si="57"/>
        <v/>
      </c>
      <c r="N1136" s="6"/>
      <c r="O1136" s="5"/>
    </row>
    <row r="1137" spans="1:15" x14ac:dyDescent="0.2">
      <c r="A1137" s="3" t="str">
        <f>IF($B1137="","",COUNTA($B$9:$B1137))</f>
        <v/>
      </c>
      <c r="B1137" s="4"/>
      <c r="C1137" s="4"/>
      <c r="D1137" s="4"/>
      <c r="E1137" s="5"/>
      <c r="F1137" s="3" t="str">
        <f t="shared" si="55"/>
        <v/>
      </c>
      <c r="G1137" s="4"/>
      <c r="H1137" s="3" t="str">
        <f t="shared" si="56"/>
        <v/>
      </c>
      <c r="I1137" s="5"/>
      <c r="J1137" s="5"/>
      <c r="K1137" s="6"/>
      <c r="L1137" s="6"/>
      <c r="M1137" s="7" t="str">
        <f t="shared" si="57"/>
        <v/>
      </c>
      <c r="N1137" s="6"/>
      <c r="O1137" s="5"/>
    </row>
    <row r="1138" spans="1:15" x14ac:dyDescent="0.2">
      <c r="A1138" s="3" t="str">
        <f>IF($B1138="","",COUNTA($B$9:$B1138))</f>
        <v/>
      </c>
      <c r="B1138" s="4"/>
      <c r="C1138" s="4"/>
      <c r="D1138" s="4"/>
      <c r="E1138" s="5"/>
      <c r="F1138" s="3" t="str">
        <f t="shared" si="55"/>
        <v/>
      </c>
      <c r="G1138" s="4"/>
      <c r="H1138" s="3" t="str">
        <f t="shared" si="56"/>
        <v/>
      </c>
      <c r="I1138" s="5"/>
      <c r="J1138" s="5"/>
      <c r="K1138" s="6"/>
      <c r="L1138" s="6"/>
      <c r="M1138" s="7" t="str">
        <f t="shared" si="57"/>
        <v/>
      </c>
      <c r="N1138" s="6"/>
      <c r="O1138" s="5"/>
    </row>
    <row r="1139" spans="1:15" x14ac:dyDescent="0.2">
      <c r="A1139" s="3" t="str">
        <f>IF($B1139="","",COUNTA($B$9:$B1139))</f>
        <v/>
      </c>
      <c r="B1139" s="4"/>
      <c r="C1139" s="4"/>
      <c r="D1139" s="4"/>
      <c r="E1139" s="5"/>
      <c r="F1139" s="3" t="str">
        <f t="shared" si="55"/>
        <v/>
      </c>
      <c r="G1139" s="4"/>
      <c r="H1139" s="3" t="str">
        <f t="shared" si="56"/>
        <v/>
      </c>
      <c r="I1139" s="5"/>
      <c r="J1139" s="5"/>
      <c r="K1139" s="6"/>
      <c r="L1139" s="6"/>
      <c r="M1139" s="7" t="str">
        <f t="shared" si="57"/>
        <v/>
      </c>
      <c r="N1139" s="6"/>
      <c r="O1139" s="5"/>
    </row>
    <row r="1140" spans="1:15" x14ac:dyDescent="0.2">
      <c r="A1140" s="3" t="str">
        <f>IF($B1140="","",COUNTA($B$9:$B1140))</f>
        <v/>
      </c>
      <c r="B1140" s="4"/>
      <c r="C1140" s="4"/>
      <c r="D1140" s="4"/>
      <c r="E1140" s="5"/>
      <c r="F1140" s="3" t="str">
        <f t="shared" si="55"/>
        <v/>
      </c>
      <c r="G1140" s="4"/>
      <c r="H1140" s="3" t="str">
        <f t="shared" si="56"/>
        <v/>
      </c>
      <c r="I1140" s="5"/>
      <c r="J1140" s="5"/>
      <c r="K1140" s="6"/>
      <c r="L1140" s="6"/>
      <c r="M1140" s="7" t="str">
        <f t="shared" si="57"/>
        <v/>
      </c>
      <c r="N1140" s="6"/>
      <c r="O1140" s="5"/>
    </row>
    <row r="1141" spans="1:15" x14ac:dyDescent="0.2">
      <c r="A1141" s="3" t="str">
        <f>IF($B1141="","",COUNTA($B$9:$B1141))</f>
        <v/>
      </c>
      <c r="B1141" s="4"/>
      <c r="C1141" s="4"/>
      <c r="D1141" s="4"/>
      <c r="E1141" s="5"/>
      <c r="F1141" s="3" t="str">
        <f t="shared" si="55"/>
        <v/>
      </c>
      <c r="G1141" s="4"/>
      <c r="H1141" s="3" t="str">
        <f t="shared" si="56"/>
        <v/>
      </c>
      <c r="I1141" s="5"/>
      <c r="J1141" s="5"/>
      <c r="K1141" s="6"/>
      <c r="L1141" s="6"/>
      <c r="M1141" s="7" t="str">
        <f t="shared" si="57"/>
        <v/>
      </c>
      <c r="N1141" s="6"/>
      <c r="O1141" s="5"/>
    </row>
    <row r="1142" spans="1:15" x14ac:dyDescent="0.2">
      <c r="A1142" s="3" t="str">
        <f>IF($B1142="","",COUNTA($B$9:$B1142))</f>
        <v/>
      </c>
      <c r="B1142" s="4"/>
      <c r="C1142" s="4"/>
      <c r="D1142" s="4"/>
      <c r="E1142" s="5"/>
      <c r="F1142" s="3" t="str">
        <f t="shared" si="55"/>
        <v/>
      </c>
      <c r="G1142" s="4"/>
      <c r="H1142" s="3" t="str">
        <f t="shared" si="56"/>
        <v/>
      </c>
      <c r="I1142" s="5"/>
      <c r="J1142" s="5"/>
      <c r="K1142" s="6"/>
      <c r="L1142" s="6"/>
      <c r="M1142" s="7" t="str">
        <f t="shared" si="57"/>
        <v/>
      </c>
      <c r="N1142" s="6"/>
      <c r="O1142" s="5"/>
    </row>
    <row r="1143" spans="1:15" x14ac:dyDescent="0.2">
      <c r="A1143" s="3" t="str">
        <f>IF($B1143="","",COUNTA($B$9:$B1143))</f>
        <v/>
      </c>
      <c r="B1143" s="4"/>
      <c r="C1143" s="4"/>
      <c r="D1143" s="4"/>
      <c r="E1143" s="5"/>
      <c r="F1143" s="3" t="str">
        <f t="shared" si="55"/>
        <v/>
      </c>
      <c r="G1143" s="4"/>
      <c r="H1143" s="3" t="str">
        <f t="shared" si="56"/>
        <v/>
      </c>
      <c r="I1143" s="5"/>
      <c r="J1143" s="5"/>
      <c r="K1143" s="6"/>
      <c r="L1143" s="6"/>
      <c r="M1143" s="7" t="str">
        <f t="shared" si="57"/>
        <v/>
      </c>
      <c r="N1143" s="6"/>
      <c r="O1143" s="5"/>
    </row>
    <row r="1144" spans="1:15" x14ac:dyDescent="0.2">
      <c r="A1144" s="3" t="str">
        <f>IF($B1144="","",COUNTA($B$9:$B1144))</f>
        <v/>
      </c>
      <c r="B1144" s="4"/>
      <c r="C1144" s="4"/>
      <c r="D1144" s="4"/>
      <c r="E1144" s="5"/>
      <c r="F1144" s="3" t="str">
        <f t="shared" si="55"/>
        <v/>
      </c>
      <c r="G1144" s="4"/>
      <c r="H1144" s="3" t="str">
        <f t="shared" si="56"/>
        <v/>
      </c>
      <c r="I1144" s="5"/>
      <c r="J1144" s="5"/>
      <c r="K1144" s="6"/>
      <c r="L1144" s="6"/>
      <c r="M1144" s="7" t="str">
        <f t="shared" si="57"/>
        <v/>
      </c>
      <c r="N1144" s="6"/>
      <c r="O1144" s="5"/>
    </row>
    <row r="1145" spans="1:15" x14ac:dyDescent="0.2">
      <c r="A1145" s="3" t="str">
        <f>IF($B1145="","",COUNTA($B$9:$B1145))</f>
        <v/>
      </c>
      <c r="B1145" s="4"/>
      <c r="C1145" s="4"/>
      <c r="D1145" s="4"/>
      <c r="E1145" s="5"/>
      <c r="F1145" s="3" t="str">
        <f t="shared" si="55"/>
        <v/>
      </c>
      <c r="G1145" s="4"/>
      <c r="H1145" s="3" t="str">
        <f t="shared" si="56"/>
        <v/>
      </c>
      <c r="I1145" s="5"/>
      <c r="J1145" s="5"/>
      <c r="K1145" s="6"/>
      <c r="L1145" s="6"/>
      <c r="M1145" s="7" t="str">
        <f t="shared" si="57"/>
        <v/>
      </c>
      <c r="N1145" s="6"/>
      <c r="O1145" s="5"/>
    </row>
    <row r="1146" spans="1:15" x14ac:dyDescent="0.2">
      <c r="A1146" s="3" t="str">
        <f>IF($B1146="","",COUNTA($B$9:$B1146))</f>
        <v/>
      </c>
      <c r="B1146" s="4"/>
      <c r="C1146" s="4"/>
      <c r="D1146" s="4"/>
      <c r="E1146" s="5"/>
      <c r="F1146" s="3" t="str">
        <f t="shared" si="55"/>
        <v/>
      </c>
      <c r="G1146" s="4"/>
      <c r="H1146" s="3" t="str">
        <f t="shared" si="56"/>
        <v/>
      </c>
      <c r="I1146" s="5"/>
      <c r="J1146" s="5"/>
      <c r="K1146" s="6"/>
      <c r="L1146" s="6"/>
      <c r="M1146" s="7" t="str">
        <f t="shared" si="57"/>
        <v/>
      </c>
      <c r="N1146" s="6"/>
      <c r="O1146" s="5"/>
    </row>
    <row r="1147" spans="1:15" x14ac:dyDescent="0.2">
      <c r="A1147" s="3" t="str">
        <f>IF($B1147="","",COUNTA($B$9:$B1147))</f>
        <v/>
      </c>
      <c r="B1147" s="4"/>
      <c r="C1147" s="4"/>
      <c r="D1147" s="4"/>
      <c r="E1147" s="5"/>
      <c r="F1147" s="3" t="str">
        <f t="shared" si="55"/>
        <v/>
      </c>
      <c r="G1147" s="4"/>
      <c r="H1147" s="3" t="str">
        <f t="shared" si="56"/>
        <v/>
      </c>
      <c r="I1147" s="5"/>
      <c r="J1147" s="5"/>
      <c r="K1147" s="6"/>
      <c r="L1147" s="6"/>
      <c r="M1147" s="7" t="str">
        <f t="shared" si="57"/>
        <v/>
      </c>
      <c r="N1147" s="6"/>
      <c r="O1147" s="5"/>
    </row>
    <row r="1148" spans="1:15" x14ac:dyDescent="0.2">
      <c r="A1148" s="3" t="str">
        <f>IF($B1148="","",COUNTA($B$9:$B1148))</f>
        <v/>
      </c>
      <c r="B1148" s="4"/>
      <c r="C1148" s="4"/>
      <c r="D1148" s="4"/>
      <c r="E1148" s="5"/>
      <c r="F1148" s="3" t="str">
        <f t="shared" si="55"/>
        <v/>
      </c>
      <c r="G1148" s="4"/>
      <c r="H1148" s="3" t="str">
        <f t="shared" si="56"/>
        <v/>
      </c>
      <c r="I1148" s="5"/>
      <c r="J1148" s="5"/>
      <c r="K1148" s="6"/>
      <c r="L1148" s="6"/>
      <c r="M1148" s="7" t="str">
        <f t="shared" si="57"/>
        <v/>
      </c>
      <c r="N1148" s="6"/>
      <c r="O1148" s="5"/>
    </row>
    <row r="1149" spans="1:15" x14ac:dyDescent="0.2">
      <c r="A1149" s="3" t="str">
        <f>IF($B1149="","",COUNTA($B$9:$B1149))</f>
        <v/>
      </c>
      <c r="B1149" s="4"/>
      <c r="C1149" s="4"/>
      <c r="D1149" s="4"/>
      <c r="E1149" s="5"/>
      <c r="F1149" s="3" t="str">
        <f t="shared" si="55"/>
        <v/>
      </c>
      <c r="G1149" s="4"/>
      <c r="H1149" s="3" t="str">
        <f t="shared" si="56"/>
        <v/>
      </c>
      <c r="I1149" s="5"/>
      <c r="J1149" s="5"/>
      <c r="K1149" s="6"/>
      <c r="L1149" s="6"/>
      <c r="M1149" s="7" t="str">
        <f t="shared" si="57"/>
        <v/>
      </c>
      <c r="N1149" s="6"/>
      <c r="O1149" s="5"/>
    </row>
    <row r="1150" spans="1:15" x14ac:dyDescent="0.2">
      <c r="A1150" s="3" t="str">
        <f>IF($B1150="","",COUNTA($B$9:$B1150))</f>
        <v/>
      </c>
      <c r="B1150" s="4"/>
      <c r="C1150" s="4"/>
      <c r="D1150" s="4"/>
      <c r="E1150" s="5"/>
      <c r="F1150" s="3" t="str">
        <f t="shared" si="55"/>
        <v/>
      </c>
      <c r="G1150" s="4"/>
      <c r="H1150" s="3" t="str">
        <f t="shared" si="56"/>
        <v/>
      </c>
      <c r="I1150" s="5"/>
      <c r="J1150" s="5"/>
      <c r="K1150" s="6"/>
      <c r="L1150" s="6"/>
      <c r="M1150" s="7" t="str">
        <f t="shared" si="57"/>
        <v/>
      </c>
      <c r="N1150" s="6"/>
      <c r="O1150" s="5"/>
    </row>
    <row r="1151" spans="1:15" x14ac:dyDescent="0.2">
      <c r="A1151" s="3" t="str">
        <f>IF($B1151="","",COUNTA($B$9:$B1151))</f>
        <v/>
      </c>
      <c r="B1151" s="4"/>
      <c r="C1151" s="4"/>
      <c r="D1151" s="4"/>
      <c r="E1151" s="5"/>
      <c r="F1151" s="3" t="str">
        <f t="shared" si="55"/>
        <v/>
      </c>
      <c r="G1151" s="4"/>
      <c r="H1151" s="3" t="str">
        <f t="shared" si="56"/>
        <v/>
      </c>
      <c r="I1151" s="5"/>
      <c r="J1151" s="5"/>
      <c r="K1151" s="6"/>
      <c r="L1151" s="6"/>
      <c r="M1151" s="7" t="str">
        <f t="shared" si="57"/>
        <v/>
      </c>
      <c r="N1151" s="6"/>
      <c r="O1151" s="5"/>
    </row>
    <row r="1152" spans="1:15" x14ac:dyDescent="0.2">
      <c r="A1152" s="3" t="str">
        <f>IF($B1152="","",COUNTA($B$9:$B1152))</f>
        <v/>
      </c>
      <c r="B1152" s="4"/>
      <c r="C1152" s="4"/>
      <c r="D1152" s="4"/>
      <c r="E1152" s="5"/>
      <c r="F1152" s="3" t="str">
        <f t="shared" si="55"/>
        <v/>
      </c>
      <c r="G1152" s="4"/>
      <c r="H1152" s="3" t="str">
        <f t="shared" si="56"/>
        <v/>
      </c>
      <c r="I1152" s="5"/>
      <c r="J1152" s="5"/>
      <c r="K1152" s="6"/>
      <c r="L1152" s="6"/>
      <c r="M1152" s="7" t="str">
        <f t="shared" si="57"/>
        <v/>
      </c>
      <c r="N1152" s="6"/>
      <c r="O1152" s="5"/>
    </row>
    <row r="1153" spans="1:15" x14ac:dyDescent="0.2">
      <c r="A1153" s="3" t="str">
        <f>IF($B1153="","",COUNTA($B$9:$B1153))</f>
        <v/>
      </c>
      <c r="B1153" s="4"/>
      <c r="C1153" s="4"/>
      <c r="D1153" s="4"/>
      <c r="E1153" s="5"/>
      <c r="F1153" s="3" t="str">
        <f t="shared" si="55"/>
        <v/>
      </c>
      <c r="G1153" s="4"/>
      <c r="H1153" s="3" t="str">
        <f t="shared" si="56"/>
        <v/>
      </c>
      <c r="I1153" s="5"/>
      <c r="J1153" s="5"/>
      <c r="K1153" s="6"/>
      <c r="L1153" s="6"/>
      <c r="M1153" s="7" t="str">
        <f t="shared" si="57"/>
        <v/>
      </c>
      <c r="N1153" s="6"/>
      <c r="O1153" s="5"/>
    </row>
    <row r="1154" spans="1:15" x14ac:dyDescent="0.2">
      <c r="A1154" s="3" t="str">
        <f>IF($B1154="","",COUNTA($B$9:$B1154))</f>
        <v/>
      </c>
      <c r="B1154" s="4"/>
      <c r="C1154" s="4"/>
      <c r="D1154" s="4"/>
      <c r="E1154" s="5"/>
      <c r="F1154" s="3" t="str">
        <f t="shared" si="55"/>
        <v/>
      </c>
      <c r="G1154" s="4"/>
      <c r="H1154" s="3" t="str">
        <f t="shared" si="56"/>
        <v/>
      </c>
      <c r="I1154" s="5"/>
      <c r="J1154" s="5"/>
      <c r="K1154" s="6"/>
      <c r="L1154" s="6"/>
      <c r="M1154" s="7" t="str">
        <f t="shared" si="57"/>
        <v/>
      </c>
      <c r="N1154" s="6"/>
      <c r="O1154" s="5"/>
    </row>
    <row r="1155" spans="1:15" x14ac:dyDescent="0.2">
      <c r="A1155" s="3" t="str">
        <f>IF($B1155="","",COUNTA($B$9:$B1155))</f>
        <v/>
      </c>
      <c r="B1155" s="4"/>
      <c r="C1155" s="4"/>
      <c r="D1155" s="4"/>
      <c r="E1155" s="5"/>
      <c r="F1155" s="3" t="str">
        <f t="shared" si="55"/>
        <v/>
      </c>
      <c r="G1155" s="4"/>
      <c r="H1155" s="3" t="str">
        <f t="shared" si="56"/>
        <v/>
      </c>
      <c r="I1155" s="5"/>
      <c r="J1155" s="5"/>
      <c r="K1155" s="6"/>
      <c r="L1155" s="6"/>
      <c r="M1155" s="7" t="str">
        <f t="shared" si="57"/>
        <v/>
      </c>
      <c r="N1155" s="6"/>
      <c r="O1155" s="5"/>
    </row>
    <row r="1156" spans="1:15" x14ac:dyDescent="0.2">
      <c r="A1156" s="3" t="str">
        <f>IF($B1156="","",COUNTA($B$9:$B1156))</f>
        <v/>
      </c>
      <c r="B1156" s="4"/>
      <c r="C1156" s="4"/>
      <c r="D1156" s="4"/>
      <c r="E1156" s="5"/>
      <c r="F1156" s="3" t="str">
        <f t="shared" si="55"/>
        <v/>
      </c>
      <c r="G1156" s="4"/>
      <c r="H1156" s="3" t="str">
        <f t="shared" si="56"/>
        <v/>
      </c>
      <c r="I1156" s="5"/>
      <c r="J1156" s="5"/>
      <c r="K1156" s="6"/>
      <c r="L1156" s="6"/>
      <c r="M1156" s="7" t="str">
        <f t="shared" si="57"/>
        <v/>
      </c>
      <c r="N1156" s="6"/>
      <c r="O1156" s="5"/>
    </row>
    <row r="1157" spans="1:15" x14ac:dyDescent="0.2">
      <c r="A1157" s="3" t="str">
        <f>IF($B1157="","",COUNTA($B$9:$B1157))</f>
        <v/>
      </c>
      <c r="B1157" s="4"/>
      <c r="C1157" s="4"/>
      <c r="D1157" s="4"/>
      <c r="E1157" s="5"/>
      <c r="F1157" s="3" t="str">
        <f t="shared" si="55"/>
        <v/>
      </c>
      <c r="G1157" s="4"/>
      <c r="H1157" s="3" t="str">
        <f t="shared" si="56"/>
        <v/>
      </c>
      <c r="I1157" s="5"/>
      <c r="J1157" s="5"/>
      <c r="K1157" s="6"/>
      <c r="L1157" s="6"/>
      <c r="M1157" s="7" t="str">
        <f t="shared" si="57"/>
        <v/>
      </c>
      <c r="N1157" s="6"/>
      <c r="O1157" s="5"/>
    </row>
    <row r="1158" spans="1:15" x14ac:dyDescent="0.2">
      <c r="A1158" s="3" t="str">
        <f>IF($B1158="","",COUNTA($B$9:$B1158))</f>
        <v/>
      </c>
      <c r="B1158" s="4"/>
      <c r="C1158" s="4"/>
      <c r="D1158" s="4"/>
      <c r="E1158" s="5"/>
      <c r="F1158" s="3" t="str">
        <f t="shared" si="55"/>
        <v/>
      </c>
      <c r="G1158" s="4"/>
      <c r="H1158" s="3" t="str">
        <f t="shared" si="56"/>
        <v/>
      </c>
      <c r="I1158" s="5"/>
      <c r="J1158" s="5"/>
      <c r="K1158" s="6"/>
      <c r="L1158" s="6"/>
      <c r="M1158" s="7" t="str">
        <f t="shared" si="57"/>
        <v/>
      </c>
      <c r="N1158" s="6"/>
      <c r="O1158" s="5"/>
    </row>
    <row r="1159" spans="1:15" x14ac:dyDescent="0.2">
      <c r="A1159" s="3" t="str">
        <f>IF($B1159="","",COUNTA($B$9:$B1159))</f>
        <v/>
      </c>
      <c r="B1159" s="4"/>
      <c r="C1159" s="4"/>
      <c r="D1159" s="4"/>
      <c r="E1159" s="5"/>
      <c r="F1159" s="3" t="str">
        <f t="shared" si="55"/>
        <v/>
      </c>
      <c r="G1159" s="4"/>
      <c r="H1159" s="3" t="str">
        <f t="shared" si="56"/>
        <v/>
      </c>
      <c r="I1159" s="5"/>
      <c r="J1159" s="5"/>
      <c r="K1159" s="6"/>
      <c r="L1159" s="6"/>
      <c r="M1159" s="7" t="str">
        <f t="shared" si="57"/>
        <v/>
      </c>
      <c r="N1159" s="6"/>
      <c r="O1159" s="5"/>
    </row>
    <row r="1160" spans="1:15" x14ac:dyDescent="0.2">
      <c r="A1160" s="3" t="str">
        <f>IF($B1160="","",COUNTA($B$9:$B1160))</f>
        <v/>
      </c>
      <c r="B1160" s="4"/>
      <c r="C1160" s="4"/>
      <c r="D1160" s="4"/>
      <c r="E1160" s="5"/>
      <c r="F1160" s="3" t="str">
        <f t="shared" ref="F1160:F1223" si="58">IF($E1160="","",IFERROR(VLOOKUP($E1160,OpTbl,2,0),""))</f>
        <v/>
      </c>
      <c r="G1160" s="4"/>
      <c r="H1160" s="3" t="str">
        <f t="shared" ref="H1160:H1223" si="59">IF($G1160="","",IFERROR(IF(VLOOKUP($G1160,AcctTbl,4,0)="","(بدون نام)",VLOOKUP($G1160,AcctTbl,4,0)),"کد ناشناخته"))</f>
        <v/>
      </c>
      <c r="I1160" s="5"/>
      <c r="J1160" s="5"/>
      <c r="K1160" s="6"/>
      <c r="L1160" s="6"/>
      <c r="M1160" s="7" t="str">
        <f t="shared" ref="M1160:M1223" si="60">IF(OR($B1160="",$K1160=""),"",($K1160-IF($L1160="",0,$L1160)*IFERROR(VLOOKUP("P01",ParamTbl,3,0),1.5))*(1-IF(IFERROR(VLOOKUP($E1160,OpTbl,3,0),"")="خرید",IFERROR(VLOOKUP("P02",ParamTbl,3,0),1),0)/100))</f>
        <v/>
      </c>
      <c r="N1160" s="6"/>
      <c r="O1160" s="5"/>
    </row>
    <row r="1161" spans="1:15" x14ac:dyDescent="0.2">
      <c r="A1161" s="3" t="str">
        <f>IF($B1161="","",COUNTA($B$9:$B1161))</f>
        <v/>
      </c>
      <c r="B1161" s="4"/>
      <c r="C1161" s="4"/>
      <c r="D1161" s="4"/>
      <c r="E1161" s="5"/>
      <c r="F1161" s="3" t="str">
        <f t="shared" si="58"/>
        <v/>
      </c>
      <c r="G1161" s="4"/>
      <c r="H1161" s="3" t="str">
        <f t="shared" si="59"/>
        <v/>
      </c>
      <c r="I1161" s="5"/>
      <c r="J1161" s="5"/>
      <c r="K1161" s="6"/>
      <c r="L1161" s="6"/>
      <c r="M1161" s="7" t="str">
        <f t="shared" si="60"/>
        <v/>
      </c>
      <c r="N1161" s="6"/>
      <c r="O1161" s="5"/>
    </row>
    <row r="1162" spans="1:15" x14ac:dyDescent="0.2">
      <c r="A1162" s="3" t="str">
        <f>IF($B1162="","",COUNTA($B$9:$B1162))</f>
        <v/>
      </c>
      <c r="B1162" s="4"/>
      <c r="C1162" s="4"/>
      <c r="D1162" s="4"/>
      <c r="E1162" s="5"/>
      <c r="F1162" s="3" t="str">
        <f t="shared" si="58"/>
        <v/>
      </c>
      <c r="G1162" s="4"/>
      <c r="H1162" s="3" t="str">
        <f t="shared" si="59"/>
        <v/>
      </c>
      <c r="I1162" s="5"/>
      <c r="J1162" s="5"/>
      <c r="K1162" s="6"/>
      <c r="L1162" s="6"/>
      <c r="M1162" s="7" t="str">
        <f t="shared" si="60"/>
        <v/>
      </c>
      <c r="N1162" s="6"/>
      <c r="O1162" s="5"/>
    </row>
    <row r="1163" spans="1:15" x14ac:dyDescent="0.2">
      <c r="A1163" s="3" t="str">
        <f>IF($B1163="","",COUNTA($B$9:$B1163))</f>
        <v/>
      </c>
      <c r="B1163" s="4"/>
      <c r="C1163" s="4"/>
      <c r="D1163" s="4"/>
      <c r="E1163" s="5"/>
      <c r="F1163" s="3" t="str">
        <f t="shared" si="58"/>
        <v/>
      </c>
      <c r="G1163" s="4"/>
      <c r="H1163" s="3" t="str">
        <f t="shared" si="59"/>
        <v/>
      </c>
      <c r="I1163" s="5"/>
      <c r="J1163" s="5"/>
      <c r="K1163" s="6"/>
      <c r="L1163" s="6"/>
      <c r="M1163" s="7" t="str">
        <f t="shared" si="60"/>
        <v/>
      </c>
      <c r="N1163" s="6"/>
      <c r="O1163" s="5"/>
    </row>
    <row r="1164" spans="1:15" x14ac:dyDescent="0.2">
      <c r="A1164" s="3" t="str">
        <f>IF($B1164="","",COUNTA($B$9:$B1164))</f>
        <v/>
      </c>
      <c r="B1164" s="4"/>
      <c r="C1164" s="4"/>
      <c r="D1164" s="4"/>
      <c r="E1164" s="5"/>
      <c r="F1164" s="3" t="str">
        <f t="shared" si="58"/>
        <v/>
      </c>
      <c r="G1164" s="4"/>
      <c r="H1164" s="3" t="str">
        <f t="shared" si="59"/>
        <v/>
      </c>
      <c r="I1164" s="5"/>
      <c r="J1164" s="5"/>
      <c r="K1164" s="6"/>
      <c r="L1164" s="6"/>
      <c r="M1164" s="7" t="str">
        <f t="shared" si="60"/>
        <v/>
      </c>
      <c r="N1164" s="6"/>
      <c r="O1164" s="5"/>
    </row>
    <row r="1165" spans="1:15" x14ac:dyDescent="0.2">
      <c r="A1165" s="3" t="str">
        <f>IF($B1165="","",COUNTA($B$9:$B1165))</f>
        <v/>
      </c>
      <c r="B1165" s="4"/>
      <c r="C1165" s="4"/>
      <c r="D1165" s="4"/>
      <c r="E1165" s="5"/>
      <c r="F1165" s="3" t="str">
        <f t="shared" si="58"/>
        <v/>
      </c>
      <c r="G1165" s="4"/>
      <c r="H1165" s="3" t="str">
        <f t="shared" si="59"/>
        <v/>
      </c>
      <c r="I1165" s="5"/>
      <c r="J1165" s="5"/>
      <c r="K1165" s="6"/>
      <c r="L1165" s="6"/>
      <c r="M1165" s="7" t="str">
        <f t="shared" si="60"/>
        <v/>
      </c>
      <c r="N1165" s="6"/>
      <c r="O1165" s="5"/>
    </row>
    <row r="1166" spans="1:15" x14ac:dyDescent="0.2">
      <c r="A1166" s="3" t="str">
        <f>IF($B1166="","",COUNTA($B$9:$B1166))</f>
        <v/>
      </c>
      <c r="B1166" s="4"/>
      <c r="C1166" s="4"/>
      <c r="D1166" s="4"/>
      <c r="E1166" s="5"/>
      <c r="F1166" s="3" t="str">
        <f t="shared" si="58"/>
        <v/>
      </c>
      <c r="G1166" s="4"/>
      <c r="H1166" s="3" t="str">
        <f t="shared" si="59"/>
        <v/>
      </c>
      <c r="I1166" s="5"/>
      <c r="J1166" s="5"/>
      <c r="K1166" s="6"/>
      <c r="L1166" s="6"/>
      <c r="M1166" s="7" t="str">
        <f t="shared" si="60"/>
        <v/>
      </c>
      <c r="N1166" s="6"/>
      <c r="O1166" s="5"/>
    </row>
    <row r="1167" spans="1:15" x14ac:dyDescent="0.2">
      <c r="A1167" s="3" t="str">
        <f>IF($B1167="","",COUNTA($B$9:$B1167))</f>
        <v/>
      </c>
      <c r="B1167" s="4"/>
      <c r="C1167" s="4"/>
      <c r="D1167" s="4"/>
      <c r="E1167" s="5"/>
      <c r="F1167" s="3" t="str">
        <f t="shared" si="58"/>
        <v/>
      </c>
      <c r="G1167" s="4"/>
      <c r="H1167" s="3" t="str">
        <f t="shared" si="59"/>
        <v/>
      </c>
      <c r="I1167" s="5"/>
      <c r="J1167" s="5"/>
      <c r="K1167" s="6"/>
      <c r="L1167" s="6"/>
      <c r="M1167" s="7" t="str">
        <f t="shared" si="60"/>
        <v/>
      </c>
      <c r="N1167" s="6"/>
      <c r="O1167" s="5"/>
    </row>
    <row r="1168" spans="1:15" x14ac:dyDescent="0.2">
      <c r="A1168" s="3" t="str">
        <f>IF($B1168="","",COUNTA($B$9:$B1168))</f>
        <v/>
      </c>
      <c r="B1168" s="4"/>
      <c r="C1168" s="4"/>
      <c r="D1168" s="4"/>
      <c r="E1168" s="5"/>
      <c r="F1168" s="3" t="str">
        <f t="shared" si="58"/>
        <v/>
      </c>
      <c r="G1168" s="4"/>
      <c r="H1168" s="3" t="str">
        <f t="shared" si="59"/>
        <v/>
      </c>
      <c r="I1168" s="5"/>
      <c r="J1168" s="5"/>
      <c r="K1168" s="6"/>
      <c r="L1168" s="6"/>
      <c r="M1168" s="7" t="str">
        <f t="shared" si="60"/>
        <v/>
      </c>
      <c r="N1168" s="6"/>
      <c r="O1168" s="5"/>
    </row>
    <row r="1169" spans="1:15" x14ac:dyDescent="0.2">
      <c r="A1169" s="3" t="str">
        <f>IF($B1169="","",COUNTA($B$9:$B1169))</f>
        <v/>
      </c>
      <c r="B1169" s="4"/>
      <c r="C1169" s="4"/>
      <c r="D1169" s="4"/>
      <c r="E1169" s="5"/>
      <c r="F1169" s="3" t="str">
        <f t="shared" si="58"/>
        <v/>
      </c>
      <c r="G1169" s="4"/>
      <c r="H1169" s="3" t="str">
        <f t="shared" si="59"/>
        <v/>
      </c>
      <c r="I1169" s="5"/>
      <c r="J1169" s="5"/>
      <c r="K1169" s="6"/>
      <c r="L1169" s="6"/>
      <c r="M1169" s="7" t="str">
        <f t="shared" si="60"/>
        <v/>
      </c>
      <c r="N1169" s="6"/>
      <c r="O1169" s="5"/>
    </row>
    <row r="1170" spans="1:15" x14ac:dyDescent="0.2">
      <c r="A1170" s="3" t="str">
        <f>IF($B1170="","",COUNTA($B$9:$B1170))</f>
        <v/>
      </c>
      <c r="B1170" s="4"/>
      <c r="C1170" s="4"/>
      <c r="D1170" s="4"/>
      <c r="E1170" s="5"/>
      <c r="F1170" s="3" t="str">
        <f t="shared" si="58"/>
        <v/>
      </c>
      <c r="G1170" s="4"/>
      <c r="H1170" s="3" t="str">
        <f t="shared" si="59"/>
        <v/>
      </c>
      <c r="I1170" s="5"/>
      <c r="J1170" s="5"/>
      <c r="K1170" s="6"/>
      <c r="L1170" s="6"/>
      <c r="M1170" s="7" t="str">
        <f t="shared" si="60"/>
        <v/>
      </c>
      <c r="N1170" s="6"/>
      <c r="O1170" s="5"/>
    </row>
    <row r="1171" spans="1:15" x14ac:dyDescent="0.2">
      <c r="A1171" s="3" t="str">
        <f>IF($B1171="","",COUNTA($B$9:$B1171))</f>
        <v/>
      </c>
      <c r="B1171" s="4"/>
      <c r="C1171" s="4"/>
      <c r="D1171" s="4"/>
      <c r="E1171" s="5"/>
      <c r="F1171" s="3" t="str">
        <f t="shared" si="58"/>
        <v/>
      </c>
      <c r="G1171" s="4"/>
      <c r="H1171" s="3" t="str">
        <f t="shared" si="59"/>
        <v/>
      </c>
      <c r="I1171" s="5"/>
      <c r="J1171" s="5"/>
      <c r="K1171" s="6"/>
      <c r="L1171" s="6"/>
      <c r="M1171" s="7" t="str">
        <f t="shared" si="60"/>
        <v/>
      </c>
      <c r="N1171" s="6"/>
      <c r="O1171" s="5"/>
    </row>
    <row r="1172" spans="1:15" x14ac:dyDescent="0.2">
      <c r="A1172" s="3" t="str">
        <f>IF($B1172="","",COUNTA($B$9:$B1172))</f>
        <v/>
      </c>
      <c r="B1172" s="4"/>
      <c r="C1172" s="4"/>
      <c r="D1172" s="4"/>
      <c r="E1172" s="5"/>
      <c r="F1172" s="3" t="str">
        <f t="shared" si="58"/>
        <v/>
      </c>
      <c r="G1172" s="4"/>
      <c r="H1172" s="3" t="str">
        <f t="shared" si="59"/>
        <v/>
      </c>
      <c r="I1172" s="5"/>
      <c r="J1172" s="5"/>
      <c r="K1172" s="6"/>
      <c r="L1172" s="6"/>
      <c r="M1172" s="7" t="str">
        <f t="shared" si="60"/>
        <v/>
      </c>
      <c r="N1172" s="6"/>
      <c r="O1172" s="5"/>
    </row>
    <row r="1173" spans="1:15" x14ac:dyDescent="0.2">
      <c r="A1173" s="3" t="str">
        <f>IF($B1173="","",COUNTA($B$9:$B1173))</f>
        <v/>
      </c>
      <c r="B1173" s="4"/>
      <c r="C1173" s="4"/>
      <c r="D1173" s="4"/>
      <c r="E1173" s="5"/>
      <c r="F1173" s="3" t="str">
        <f t="shared" si="58"/>
        <v/>
      </c>
      <c r="G1173" s="4"/>
      <c r="H1173" s="3" t="str">
        <f t="shared" si="59"/>
        <v/>
      </c>
      <c r="I1173" s="5"/>
      <c r="J1173" s="5"/>
      <c r="K1173" s="6"/>
      <c r="L1173" s="6"/>
      <c r="M1173" s="7" t="str">
        <f t="shared" si="60"/>
        <v/>
      </c>
      <c r="N1173" s="6"/>
      <c r="O1173" s="5"/>
    </row>
    <row r="1174" spans="1:15" x14ac:dyDescent="0.2">
      <c r="A1174" s="3" t="str">
        <f>IF($B1174="","",COUNTA($B$9:$B1174))</f>
        <v/>
      </c>
      <c r="B1174" s="4"/>
      <c r="C1174" s="4"/>
      <c r="D1174" s="4"/>
      <c r="E1174" s="5"/>
      <c r="F1174" s="3" t="str">
        <f t="shared" si="58"/>
        <v/>
      </c>
      <c r="G1174" s="4"/>
      <c r="H1174" s="3" t="str">
        <f t="shared" si="59"/>
        <v/>
      </c>
      <c r="I1174" s="5"/>
      <c r="J1174" s="5"/>
      <c r="K1174" s="6"/>
      <c r="L1174" s="6"/>
      <c r="M1174" s="7" t="str">
        <f t="shared" si="60"/>
        <v/>
      </c>
      <c r="N1174" s="6"/>
      <c r="O1174" s="5"/>
    </row>
    <row r="1175" spans="1:15" x14ac:dyDescent="0.2">
      <c r="A1175" s="3" t="str">
        <f>IF($B1175="","",COUNTA($B$9:$B1175))</f>
        <v/>
      </c>
      <c r="B1175" s="4"/>
      <c r="C1175" s="4"/>
      <c r="D1175" s="4"/>
      <c r="E1175" s="5"/>
      <c r="F1175" s="3" t="str">
        <f t="shared" si="58"/>
        <v/>
      </c>
      <c r="G1175" s="4"/>
      <c r="H1175" s="3" t="str">
        <f t="shared" si="59"/>
        <v/>
      </c>
      <c r="I1175" s="5"/>
      <c r="J1175" s="5"/>
      <c r="K1175" s="6"/>
      <c r="L1175" s="6"/>
      <c r="M1175" s="7" t="str">
        <f t="shared" si="60"/>
        <v/>
      </c>
      <c r="N1175" s="6"/>
      <c r="O1175" s="5"/>
    </row>
    <row r="1176" spans="1:15" x14ac:dyDescent="0.2">
      <c r="A1176" s="3" t="str">
        <f>IF($B1176="","",COUNTA($B$9:$B1176))</f>
        <v/>
      </c>
      <c r="B1176" s="4"/>
      <c r="C1176" s="4"/>
      <c r="D1176" s="4"/>
      <c r="E1176" s="5"/>
      <c r="F1176" s="3" t="str">
        <f t="shared" si="58"/>
        <v/>
      </c>
      <c r="G1176" s="4"/>
      <c r="H1176" s="3" t="str">
        <f t="shared" si="59"/>
        <v/>
      </c>
      <c r="I1176" s="5"/>
      <c r="J1176" s="5"/>
      <c r="K1176" s="6"/>
      <c r="L1176" s="6"/>
      <c r="M1176" s="7" t="str">
        <f t="shared" si="60"/>
        <v/>
      </c>
      <c r="N1176" s="6"/>
      <c r="O1176" s="5"/>
    </row>
    <row r="1177" spans="1:15" x14ac:dyDescent="0.2">
      <c r="A1177" s="3" t="str">
        <f>IF($B1177="","",COUNTA($B$9:$B1177))</f>
        <v/>
      </c>
      <c r="B1177" s="4"/>
      <c r="C1177" s="4"/>
      <c r="D1177" s="4"/>
      <c r="E1177" s="5"/>
      <c r="F1177" s="3" t="str">
        <f t="shared" si="58"/>
        <v/>
      </c>
      <c r="G1177" s="4"/>
      <c r="H1177" s="3" t="str">
        <f t="shared" si="59"/>
        <v/>
      </c>
      <c r="I1177" s="5"/>
      <c r="J1177" s="5"/>
      <c r="K1177" s="6"/>
      <c r="L1177" s="6"/>
      <c r="M1177" s="7" t="str">
        <f t="shared" si="60"/>
        <v/>
      </c>
      <c r="N1177" s="6"/>
      <c r="O1177" s="5"/>
    </row>
    <row r="1178" spans="1:15" x14ac:dyDescent="0.2">
      <c r="A1178" s="3" t="str">
        <f>IF($B1178="","",COUNTA($B$9:$B1178))</f>
        <v/>
      </c>
      <c r="B1178" s="4"/>
      <c r="C1178" s="4"/>
      <c r="D1178" s="4"/>
      <c r="E1178" s="5"/>
      <c r="F1178" s="3" t="str">
        <f t="shared" si="58"/>
        <v/>
      </c>
      <c r="G1178" s="4"/>
      <c r="H1178" s="3" t="str">
        <f t="shared" si="59"/>
        <v/>
      </c>
      <c r="I1178" s="5"/>
      <c r="J1178" s="5"/>
      <c r="K1178" s="6"/>
      <c r="L1178" s="6"/>
      <c r="M1178" s="7" t="str">
        <f t="shared" si="60"/>
        <v/>
      </c>
      <c r="N1178" s="6"/>
      <c r="O1178" s="5"/>
    </row>
    <row r="1179" spans="1:15" x14ac:dyDescent="0.2">
      <c r="A1179" s="3" t="str">
        <f>IF($B1179="","",COUNTA($B$9:$B1179))</f>
        <v/>
      </c>
      <c r="B1179" s="4"/>
      <c r="C1179" s="4"/>
      <c r="D1179" s="4"/>
      <c r="E1179" s="5"/>
      <c r="F1179" s="3" t="str">
        <f t="shared" si="58"/>
        <v/>
      </c>
      <c r="G1179" s="4"/>
      <c r="H1179" s="3" t="str">
        <f t="shared" si="59"/>
        <v/>
      </c>
      <c r="I1179" s="5"/>
      <c r="J1179" s="5"/>
      <c r="K1179" s="6"/>
      <c r="L1179" s="6"/>
      <c r="M1179" s="7" t="str">
        <f t="shared" si="60"/>
        <v/>
      </c>
      <c r="N1179" s="6"/>
      <c r="O1179" s="5"/>
    </row>
    <row r="1180" spans="1:15" x14ac:dyDescent="0.2">
      <c r="A1180" s="3" t="str">
        <f>IF($B1180="","",COUNTA($B$9:$B1180))</f>
        <v/>
      </c>
      <c r="B1180" s="4"/>
      <c r="C1180" s="4"/>
      <c r="D1180" s="4"/>
      <c r="E1180" s="5"/>
      <c r="F1180" s="3" t="str">
        <f t="shared" si="58"/>
        <v/>
      </c>
      <c r="G1180" s="4"/>
      <c r="H1180" s="3" t="str">
        <f t="shared" si="59"/>
        <v/>
      </c>
      <c r="I1180" s="5"/>
      <c r="J1180" s="5"/>
      <c r="K1180" s="6"/>
      <c r="L1180" s="6"/>
      <c r="M1180" s="7" t="str">
        <f t="shared" si="60"/>
        <v/>
      </c>
      <c r="N1180" s="6"/>
      <c r="O1180" s="5"/>
    </row>
    <row r="1181" spans="1:15" x14ac:dyDescent="0.2">
      <c r="A1181" s="3" t="str">
        <f>IF($B1181="","",COUNTA($B$9:$B1181))</f>
        <v/>
      </c>
      <c r="B1181" s="4"/>
      <c r="C1181" s="4"/>
      <c r="D1181" s="4"/>
      <c r="E1181" s="5"/>
      <c r="F1181" s="3" t="str">
        <f t="shared" si="58"/>
        <v/>
      </c>
      <c r="G1181" s="4"/>
      <c r="H1181" s="3" t="str">
        <f t="shared" si="59"/>
        <v/>
      </c>
      <c r="I1181" s="5"/>
      <c r="J1181" s="5"/>
      <c r="K1181" s="6"/>
      <c r="L1181" s="6"/>
      <c r="M1181" s="7" t="str">
        <f t="shared" si="60"/>
        <v/>
      </c>
      <c r="N1181" s="6"/>
      <c r="O1181" s="5"/>
    </row>
    <row r="1182" spans="1:15" x14ac:dyDescent="0.2">
      <c r="A1182" s="3" t="str">
        <f>IF($B1182="","",COUNTA($B$9:$B1182))</f>
        <v/>
      </c>
      <c r="B1182" s="4"/>
      <c r="C1182" s="4"/>
      <c r="D1182" s="4"/>
      <c r="E1182" s="5"/>
      <c r="F1182" s="3" t="str">
        <f t="shared" si="58"/>
        <v/>
      </c>
      <c r="G1182" s="4"/>
      <c r="H1182" s="3" t="str">
        <f t="shared" si="59"/>
        <v/>
      </c>
      <c r="I1182" s="5"/>
      <c r="J1182" s="5"/>
      <c r="K1182" s="6"/>
      <c r="L1182" s="6"/>
      <c r="M1182" s="7" t="str">
        <f t="shared" si="60"/>
        <v/>
      </c>
      <c r="N1182" s="6"/>
      <c r="O1182" s="5"/>
    </row>
    <row r="1183" spans="1:15" x14ac:dyDescent="0.2">
      <c r="A1183" s="3" t="str">
        <f>IF($B1183="","",COUNTA($B$9:$B1183))</f>
        <v/>
      </c>
      <c r="B1183" s="4"/>
      <c r="C1183" s="4"/>
      <c r="D1183" s="4"/>
      <c r="E1183" s="5"/>
      <c r="F1183" s="3" t="str">
        <f t="shared" si="58"/>
        <v/>
      </c>
      <c r="G1183" s="4"/>
      <c r="H1183" s="3" t="str">
        <f t="shared" si="59"/>
        <v/>
      </c>
      <c r="I1183" s="5"/>
      <c r="J1183" s="5"/>
      <c r="K1183" s="6"/>
      <c r="L1183" s="6"/>
      <c r="M1183" s="7" t="str">
        <f t="shared" si="60"/>
        <v/>
      </c>
      <c r="N1183" s="6"/>
      <c r="O1183" s="5"/>
    </row>
    <row r="1184" spans="1:15" x14ac:dyDescent="0.2">
      <c r="A1184" s="3" t="str">
        <f>IF($B1184="","",COUNTA($B$9:$B1184))</f>
        <v/>
      </c>
      <c r="B1184" s="4"/>
      <c r="C1184" s="4"/>
      <c r="D1184" s="4"/>
      <c r="E1184" s="5"/>
      <c r="F1184" s="3" t="str">
        <f t="shared" si="58"/>
        <v/>
      </c>
      <c r="G1184" s="4"/>
      <c r="H1184" s="3" t="str">
        <f t="shared" si="59"/>
        <v/>
      </c>
      <c r="I1184" s="5"/>
      <c r="J1184" s="5"/>
      <c r="K1184" s="6"/>
      <c r="L1184" s="6"/>
      <c r="M1184" s="7" t="str">
        <f t="shared" si="60"/>
        <v/>
      </c>
      <c r="N1184" s="6"/>
      <c r="O1184" s="5"/>
    </row>
    <row r="1185" spans="1:15" x14ac:dyDescent="0.2">
      <c r="A1185" s="3" t="str">
        <f>IF($B1185="","",COUNTA($B$9:$B1185))</f>
        <v/>
      </c>
      <c r="B1185" s="4"/>
      <c r="C1185" s="4"/>
      <c r="D1185" s="4"/>
      <c r="E1185" s="5"/>
      <c r="F1185" s="3" t="str">
        <f t="shared" si="58"/>
        <v/>
      </c>
      <c r="G1185" s="4"/>
      <c r="H1185" s="3" t="str">
        <f t="shared" si="59"/>
        <v/>
      </c>
      <c r="I1185" s="5"/>
      <c r="J1185" s="5"/>
      <c r="K1185" s="6"/>
      <c r="L1185" s="6"/>
      <c r="M1185" s="7" t="str">
        <f t="shared" si="60"/>
        <v/>
      </c>
      <c r="N1185" s="6"/>
      <c r="O1185" s="5"/>
    </row>
    <row r="1186" spans="1:15" x14ac:dyDescent="0.2">
      <c r="A1186" s="3" t="str">
        <f>IF($B1186="","",COUNTA($B$9:$B1186))</f>
        <v/>
      </c>
      <c r="B1186" s="4"/>
      <c r="C1186" s="4"/>
      <c r="D1186" s="4"/>
      <c r="E1186" s="5"/>
      <c r="F1186" s="3" t="str">
        <f t="shared" si="58"/>
        <v/>
      </c>
      <c r="G1186" s="4"/>
      <c r="H1186" s="3" t="str">
        <f t="shared" si="59"/>
        <v/>
      </c>
      <c r="I1186" s="5"/>
      <c r="J1186" s="5"/>
      <c r="K1186" s="6"/>
      <c r="L1186" s="6"/>
      <c r="M1186" s="7" t="str">
        <f t="shared" si="60"/>
        <v/>
      </c>
      <c r="N1186" s="6"/>
      <c r="O1186" s="5"/>
    </row>
    <row r="1187" spans="1:15" x14ac:dyDescent="0.2">
      <c r="A1187" s="3" t="str">
        <f>IF($B1187="","",COUNTA($B$9:$B1187))</f>
        <v/>
      </c>
      <c r="B1187" s="4"/>
      <c r="C1187" s="4"/>
      <c r="D1187" s="4"/>
      <c r="E1187" s="5"/>
      <c r="F1187" s="3" t="str">
        <f t="shared" si="58"/>
        <v/>
      </c>
      <c r="G1187" s="4"/>
      <c r="H1187" s="3" t="str">
        <f t="shared" si="59"/>
        <v/>
      </c>
      <c r="I1187" s="5"/>
      <c r="J1187" s="5"/>
      <c r="K1187" s="6"/>
      <c r="L1187" s="6"/>
      <c r="M1187" s="7" t="str">
        <f t="shared" si="60"/>
        <v/>
      </c>
      <c r="N1187" s="6"/>
      <c r="O1187" s="5"/>
    </row>
    <row r="1188" spans="1:15" x14ac:dyDescent="0.2">
      <c r="A1188" s="3" t="str">
        <f>IF($B1188="","",COUNTA($B$9:$B1188))</f>
        <v/>
      </c>
      <c r="B1188" s="4"/>
      <c r="C1188" s="4"/>
      <c r="D1188" s="4"/>
      <c r="E1188" s="5"/>
      <c r="F1188" s="3" t="str">
        <f t="shared" si="58"/>
        <v/>
      </c>
      <c r="G1188" s="4"/>
      <c r="H1188" s="3" t="str">
        <f t="shared" si="59"/>
        <v/>
      </c>
      <c r="I1188" s="5"/>
      <c r="J1188" s="5"/>
      <c r="K1188" s="6"/>
      <c r="L1188" s="6"/>
      <c r="M1188" s="7" t="str">
        <f t="shared" si="60"/>
        <v/>
      </c>
      <c r="N1188" s="6"/>
      <c r="O1188" s="5"/>
    </row>
    <row r="1189" spans="1:15" x14ac:dyDescent="0.2">
      <c r="A1189" s="3" t="str">
        <f>IF($B1189="","",COUNTA($B$9:$B1189))</f>
        <v/>
      </c>
      <c r="B1189" s="4"/>
      <c r="C1189" s="4"/>
      <c r="D1189" s="4"/>
      <c r="E1189" s="5"/>
      <c r="F1189" s="3" t="str">
        <f t="shared" si="58"/>
        <v/>
      </c>
      <c r="G1189" s="4"/>
      <c r="H1189" s="3" t="str">
        <f t="shared" si="59"/>
        <v/>
      </c>
      <c r="I1189" s="5"/>
      <c r="J1189" s="5"/>
      <c r="K1189" s="6"/>
      <c r="L1189" s="6"/>
      <c r="M1189" s="7" t="str">
        <f t="shared" si="60"/>
        <v/>
      </c>
      <c r="N1189" s="6"/>
      <c r="O1189" s="5"/>
    </row>
    <row r="1190" spans="1:15" x14ac:dyDescent="0.2">
      <c r="A1190" s="3" t="str">
        <f>IF($B1190="","",COUNTA($B$9:$B1190))</f>
        <v/>
      </c>
      <c r="B1190" s="4"/>
      <c r="C1190" s="4"/>
      <c r="D1190" s="4"/>
      <c r="E1190" s="5"/>
      <c r="F1190" s="3" t="str">
        <f t="shared" si="58"/>
        <v/>
      </c>
      <c r="G1190" s="4"/>
      <c r="H1190" s="3" t="str">
        <f t="shared" si="59"/>
        <v/>
      </c>
      <c r="I1190" s="5"/>
      <c r="J1190" s="5"/>
      <c r="K1190" s="6"/>
      <c r="L1190" s="6"/>
      <c r="M1190" s="7" t="str">
        <f t="shared" si="60"/>
        <v/>
      </c>
      <c r="N1190" s="6"/>
      <c r="O1190" s="5"/>
    </row>
    <row r="1191" spans="1:15" x14ac:dyDescent="0.2">
      <c r="A1191" s="3" t="str">
        <f>IF($B1191="","",COUNTA($B$9:$B1191))</f>
        <v/>
      </c>
      <c r="B1191" s="4"/>
      <c r="C1191" s="4"/>
      <c r="D1191" s="4"/>
      <c r="E1191" s="5"/>
      <c r="F1191" s="3" t="str">
        <f t="shared" si="58"/>
        <v/>
      </c>
      <c r="G1191" s="4"/>
      <c r="H1191" s="3" t="str">
        <f t="shared" si="59"/>
        <v/>
      </c>
      <c r="I1191" s="5"/>
      <c r="J1191" s="5"/>
      <c r="K1191" s="6"/>
      <c r="L1191" s="6"/>
      <c r="M1191" s="7" t="str">
        <f t="shared" si="60"/>
        <v/>
      </c>
      <c r="N1191" s="6"/>
      <c r="O1191" s="5"/>
    </row>
    <row r="1192" spans="1:15" x14ac:dyDescent="0.2">
      <c r="A1192" s="3" t="str">
        <f>IF($B1192="","",COUNTA($B$9:$B1192))</f>
        <v/>
      </c>
      <c r="B1192" s="4"/>
      <c r="C1192" s="4"/>
      <c r="D1192" s="4"/>
      <c r="E1192" s="5"/>
      <c r="F1192" s="3" t="str">
        <f t="shared" si="58"/>
        <v/>
      </c>
      <c r="G1192" s="4"/>
      <c r="H1192" s="3" t="str">
        <f t="shared" si="59"/>
        <v/>
      </c>
      <c r="I1192" s="5"/>
      <c r="J1192" s="5"/>
      <c r="K1192" s="6"/>
      <c r="L1192" s="6"/>
      <c r="M1192" s="7" t="str">
        <f t="shared" si="60"/>
        <v/>
      </c>
      <c r="N1192" s="6"/>
      <c r="O1192" s="5"/>
    </row>
    <row r="1193" spans="1:15" x14ac:dyDescent="0.2">
      <c r="A1193" s="3" t="str">
        <f>IF($B1193="","",COUNTA($B$9:$B1193))</f>
        <v/>
      </c>
      <c r="B1193" s="4"/>
      <c r="C1193" s="4"/>
      <c r="D1193" s="4"/>
      <c r="E1193" s="5"/>
      <c r="F1193" s="3" t="str">
        <f t="shared" si="58"/>
        <v/>
      </c>
      <c r="G1193" s="4"/>
      <c r="H1193" s="3" t="str">
        <f t="shared" si="59"/>
        <v/>
      </c>
      <c r="I1193" s="5"/>
      <c r="J1193" s="5"/>
      <c r="K1193" s="6"/>
      <c r="L1193" s="6"/>
      <c r="M1193" s="7" t="str">
        <f t="shared" si="60"/>
        <v/>
      </c>
      <c r="N1193" s="6"/>
      <c r="O1193" s="5"/>
    </row>
    <row r="1194" spans="1:15" x14ac:dyDescent="0.2">
      <c r="A1194" s="3" t="str">
        <f>IF($B1194="","",COUNTA($B$9:$B1194))</f>
        <v/>
      </c>
      <c r="B1194" s="4"/>
      <c r="C1194" s="4"/>
      <c r="D1194" s="4"/>
      <c r="E1194" s="5"/>
      <c r="F1194" s="3" t="str">
        <f t="shared" si="58"/>
        <v/>
      </c>
      <c r="G1194" s="4"/>
      <c r="H1194" s="3" t="str">
        <f t="shared" si="59"/>
        <v/>
      </c>
      <c r="I1194" s="5"/>
      <c r="J1194" s="5"/>
      <c r="K1194" s="6"/>
      <c r="L1194" s="6"/>
      <c r="M1194" s="7" t="str">
        <f t="shared" si="60"/>
        <v/>
      </c>
      <c r="N1194" s="6"/>
      <c r="O1194" s="5"/>
    </row>
    <row r="1195" spans="1:15" x14ac:dyDescent="0.2">
      <c r="A1195" s="3" t="str">
        <f>IF($B1195="","",COUNTA($B$9:$B1195))</f>
        <v/>
      </c>
      <c r="B1195" s="4"/>
      <c r="C1195" s="4"/>
      <c r="D1195" s="4"/>
      <c r="E1195" s="5"/>
      <c r="F1195" s="3" t="str">
        <f t="shared" si="58"/>
        <v/>
      </c>
      <c r="G1195" s="4"/>
      <c r="H1195" s="3" t="str">
        <f t="shared" si="59"/>
        <v/>
      </c>
      <c r="I1195" s="5"/>
      <c r="J1195" s="5"/>
      <c r="K1195" s="6"/>
      <c r="L1195" s="6"/>
      <c r="M1195" s="7" t="str">
        <f t="shared" si="60"/>
        <v/>
      </c>
      <c r="N1195" s="6"/>
      <c r="O1195" s="5"/>
    </row>
    <row r="1196" spans="1:15" x14ac:dyDescent="0.2">
      <c r="A1196" s="3" t="str">
        <f>IF($B1196="","",COUNTA($B$9:$B1196))</f>
        <v/>
      </c>
      <c r="B1196" s="4"/>
      <c r="C1196" s="4"/>
      <c r="D1196" s="4"/>
      <c r="E1196" s="5"/>
      <c r="F1196" s="3" t="str">
        <f t="shared" si="58"/>
        <v/>
      </c>
      <c r="G1196" s="4"/>
      <c r="H1196" s="3" t="str">
        <f t="shared" si="59"/>
        <v/>
      </c>
      <c r="I1196" s="5"/>
      <c r="J1196" s="5"/>
      <c r="K1196" s="6"/>
      <c r="L1196" s="6"/>
      <c r="M1196" s="7" t="str">
        <f t="shared" si="60"/>
        <v/>
      </c>
      <c r="N1196" s="6"/>
      <c r="O1196" s="5"/>
    </row>
    <row r="1197" spans="1:15" x14ac:dyDescent="0.2">
      <c r="A1197" s="3" t="str">
        <f>IF($B1197="","",COUNTA($B$9:$B1197))</f>
        <v/>
      </c>
      <c r="B1197" s="4"/>
      <c r="C1197" s="4"/>
      <c r="D1197" s="4"/>
      <c r="E1197" s="5"/>
      <c r="F1197" s="3" t="str">
        <f t="shared" si="58"/>
        <v/>
      </c>
      <c r="G1197" s="4"/>
      <c r="H1197" s="3" t="str">
        <f t="shared" si="59"/>
        <v/>
      </c>
      <c r="I1197" s="5"/>
      <c r="J1197" s="5"/>
      <c r="K1197" s="6"/>
      <c r="L1197" s="6"/>
      <c r="M1197" s="7" t="str">
        <f t="shared" si="60"/>
        <v/>
      </c>
      <c r="N1197" s="6"/>
      <c r="O1197" s="5"/>
    </row>
    <row r="1198" spans="1:15" x14ac:dyDescent="0.2">
      <c r="A1198" s="3" t="str">
        <f>IF($B1198="","",COUNTA($B$9:$B1198))</f>
        <v/>
      </c>
      <c r="B1198" s="4"/>
      <c r="C1198" s="4"/>
      <c r="D1198" s="4"/>
      <c r="E1198" s="5"/>
      <c r="F1198" s="3" t="str">
        <f t="shared" si="58"/>
        <v/>
      </c>
      <c r="G1198" s="4"/>
      <c r="H1198" s="3" t="str">
        <f t="shared" si="59"/>
        <v/>
      </c>
      <c r="I1198" s="5"/>
      <c r="J1198" s="5"/>
      <c r="K1198" s="6"/>
      <c r="L1198" s="6"/>
      <c r="M1198" s="7" t="str">
        <f t="shared" si="60"/>
        <v/>
      </c>
      <c r="N1198" s="6"/>
      <c r="O1198" s="5"/>
    </row>
    <row r="1199" spans="1:15" x14ac:dyDescent="0.2">
      <c r="A1199" s="3" t="str">
        <f>IF($B1199="","",COUNTA($B$9:$B1199))</f>
        <v/>
      </c>
      <c r="B1199" s="4"/>
      <c r="C1199" s="4"/>
      <c r="D1199" s="4"/>
      <c r="E1199" s="5"/>
      <c r="F1199" s="3" t="str">
        <f t="shared" si="58"/>
        <v/>
      </c>
      <c r="G1199" s="4"/>
      <c r="H1199" s="3" t="str">
        <f t="shared" si="59"/>
        <v/>
      </c>
      <c r="I1199" s="5"/>
      <c r="J1199" s="5"/>
      <c r="K1199" s="6"/>
      <c r="L1199" s="6"/>
      <c r="M1199" s="7" t="str">
        <f t="shared" si="60"/>
        <v/>
      </c>
      <c r="N1199" s="6"/>
      <c r="O1199" s="5"/>
    </row>
    <row r="1200" spans="1:15" x14ac:dyDescent="0.2">
      <c r="A1200" s="3" t="str">
        <f>IF($B1200="","",COUNTA($B$9:$B1200))</f>
        <v/>
      </c>
      <c r="B1200" s="4"/>
      <c r="C1200" s="4"/>
      <c r="D1200" s="4"/>
      <c r="E1200" s="5"/>
      <c r="F1200" s="3" t="str">
        <f t="shared" si="58"/>
        <v/>
      </c>
      <c r="G1200" s="4"/>
      <c r="H1200" s="3" t="str">
        <f t="shared" si="59"/>
        <v/>
      </c>
      <c r="I1200" s="5"/>
      <c r="J1200" s="5"/>
      <c r="K1200" s="6"/>
      <c r="L1200" s="6"/>
      <c r="M1200" s="7" t="str">
        <f t="shared" si="60"/>
        <v/>
      </c>
      <c r="N1200" s="6"/>
      <c r="O1200" s="5"/>
    </row>
    <row r="1201" spans="1:15" x14ac:dyDescent="0.2">
      <c r="A1201" s="3" t="str">
        <f>IF($B1201="","",COUNTA($B$9:$B1201))</f>
        <v/>
      </c>
      <c r="B1201" s="4"/>
      <c r="C1201" s="4"/>
      <c r="D1201" s="4"/>
      <c r="E1201" s="5"/>
      <c r="F1201" s="3" t="str">
        <f t="shared" si="58"/>
        <v/>
      </c>
      <c r="G1201" s="4"/>
      <c r="H1201" s="3" t="str">
        <f t="shared" si="59"/>
        <v/>
      </c>
      <c r="I1201" s="5"/>
      <c r="J1201" s="5"/>
      <c r="K1201" s="6"/>
      <c r="L1201" s="6"/>
      <c r="M1201" s="7" t="str">
        <f t="shared" si="60"/>
        <v/>
      </c>
      <c r="N1201" s="6"/>
      <c r="O1201" s="5"/>
    </row>
    <row r="1202" spans="1:15" x14ac:dyDescent="0.2">
      <c r="A1202" s="3" t="str">
        <f>IF($B1202="","",COUNTA($B$9:$B1202))</f>
        <v/>
      </c>
      <c r="B1202" s="4"/>
      <c r="C1202" s="4"/>
      <c r="D1202" s="4"/>
      <c r="E1202" s="5"/>
      <c r="F1202" s="3" t="str">
        <f t="shared" si="58"/>
        <v/>
      </c>
      <c r="G1202" s="4"/>
      <c r="H1202" s="3" t="str">
        <f t="shared" si="59"/>
        <v/>
      </c>
      <c r="I1202" s="5"/>
      <c r="J1202" s="5"/>
      <c r="K1202" s="6"/>
      <c r="L1202" s="6"/>
      <c r="M1202" s="7" t="str">
        <f t="shared" si="60"/>
        <v/>
      </c>
      <c r="N1202" s="6"/>
      <c r="O1202" s="5"/>
    </row>
    <row r="1203" spans="1:15" x14ac:dyDescent="0.2">
      <c r="A1203" s="3" t="str">
        <f>IF($B1203="","",COUNTA($B$9:$B1203))</f>
        <v/>
      </c>
      <c r="B1203" s="4"/>
      <c r="C1203" s="4"/>
      <c r="D1203" s="4"/>
      <c r="E1203" s="5"/>
      <c r="F1203" s="3" t="str">
        <f t="shared" si="58"/>
        <v/>
      </c>
      <c r="G1203" s="4"/>
      <c r="H1203" s="3" t="str">
        <f t="shared" si="59"/>
        <v/>
      </c>
      <c r="I1203" s="5"/>
      <c r="J1203" s="5"/>
      <c r="K1203" s="6"/>
      <c r="L1203" s="6"/>
      <c r="M1203" s="7" t="str">
        <f t="shared" si="60"/>
        <v/>
      </c>
      <c r="N1203" s="6"/>
      <c r="O1203" s="5"/>
    </row>
    <row r="1204" spans="1:15" x14ac:dyDescent="0.2">
      <c r="A1204" s="3" t="str">
        <f>IF($B1204="","",COUNTA($B$9:$B1204))</f>
        <v/>
      </c>
      <c r="B1204" s="4"/>
      <c r="C1204" s="4"/>
      <c r="D1204" s="4"/>
      <c r="E1204" s="5"/>
      <c r="F1204" s="3" t="str">
        <f t="shared" si="58"/>
        <v/>
      </c>
      <c r="G1204" s="4"/>
      <c r="H1204" s="3" t="str">
        <f t="shared" si="59"/>
        <v/>
      </c>
      <c r="I1204" s="5"/>
      <c r="J1204" s="5"/>
      <c r="K1204" s="6"/>
      <c r="L1204" s="6"/>
      <c r="M1204" s="7" t="str">
        <f t="shared" si="60"/>
        <v/>
      </c>
      <c r="N1204" s="6"/>
      <c r="O1204" s="5"/>
    </row>
    <row r="1205" spans="1:15" x14ac:dyDescent="0.2">
      <c r="A1205" s="3" t="str">
        <f>IF($B1205="","",COUNTA($B$9:$B1205))</f>
        <v/>
      </c>
      <c r="B1205" s="4"/>
      <c r="C1205" s="4"/>
      <c r="D1205" s="4"/>
      <c r="E1205" s="5"/>
      <c r="F1205" s="3" t="str">
        <f t="shared" si="58"/>
        <v/>
      </c>
      <c r="G1205" s="4"/>
      <c r="H1205" s="3" t="str">
        <f t="shared" si="59"/>
        <v/>
      </c>
      <c r="I1205" s="5"/>
      <c r="J1205" s="5"/>
      <c r="K1205" s="6"/>
      <c r="L1205" s="6"/>
      <c r="M1205" s="7" t="str">
        <f t="shared" si="60"/>
        <v/>
      </c>
      <c r="N1205" s="6"/>
      <c r="O1205" s="5"/>
    </row>
    <row r="1206" spans="1:15" x14ac:dyDescent="0.2">
      <c r="A1206" s="3" t="str">
        <f>IF($B1206="","",COUNTA($B$9:$B1206))</f>
        <v/>
      </c>
      <c r="B1206" s="4"/>
      <c r="C1206" s="4"/>
      <c r="D1206" s="4"/>
      <c r="E1206" s="5"/>
      <c r="F1206" s="3" t="str">
        <f t="shared" si="58"/>
        <v/>
      </c>
      <c r="G1206" s="4"/>
      <c r="H1206" s="3" t="str">
        <f t="shared" si="59"/>
        <v/>
      </c>
      <c r="I1206" s="5"/>
      <c r="J1206" s="5"/>
      <c r="K1206" s="6"/>
      <c r="L1206" s="6"/>
      <c r="M1206" s="7" t="str">
        <f t="shared" si="60"/>
        <v/>
      </c>
      <c r="N1206" s="6"/>
      <c r="O1206" s="5"/>
    </row>
    <row r="1207" spans="1:15" x14ac:dyDescent="0.2">
      <c r="A1207" s="3" t="str">
        <f>IF($B1207="","",COUNTA($B$9:$B1207))</f>
        <v/>
      </c>
      <c r="B1207" s="4"/>
      <c r="C1207" s="4"/>
      <c r="D1207" s="4"/>
      <c r="E1207" s="5"/>
      <c r="F1207" s="3" t="str">
        <f t="shared" si="58"/>
        <v/>
      </c>
      <c r="G1207" s="4"/>
      <c r="H1207" s="3" t="str">
        <f t="shared" si="59"/>
        <v/>
      </c>
      <c r="I1207" s="5"/>
      <c r="J1207" s="5"/>
      <c r="K1207" s="6"/>
      <c r="L1207" s="6"/>
      <c r="M1207" s="7" t="str">
        <f t="shared" si="60"/>
        <v/>
      </c>
      <c r="N1207" s="6"/>
      <c r="O1207" s="5"/>
    </row>
    <row r="1208" spans="1:15" x14ac:dyDescent="0.2">
      <c r="A1208" s="3" t="str">
        <f>IF($B1208="","",COUNTA($B$9:$B1208))</f>
        <v/>
      </c>
      <c r="B1208" s="4"/>
      <c r="C1208" s="4"/>
      <c r="D1208" s="4"/>
      <c r="E1208" s="5"/>
      <c r="F1208" s="3" t="str">
        <f t="shared" si="58"/>
        <v/>
      </c>
      <c r="G1208" s="4"/>
      <c r="H1208" s="3" t="str">
        <f t="shared" si="59"/>
        <v/>
      </c>
      <c r="I1208" s="5"/>
      <c r="J1208" s="5"/>
      <c r="K1208" s="6"/>
      <c r="L1208" s="6"/>
      <c r="M1208" s="7" t="str">
        <f t="shared" si="60"/>
        <v/>
      </c>
      <c r="N1208" s="6"/>
      <c r="O1208" s="5"/>
    </row>
    <row r="1209" spans="1:15" x14ac:dyDescent="0.2">
      <c r="A1209" s="3" t="str">
        <f>IF($B1209="","",COUNTA($B$9:$B1209))</f>
        <v/>
      </c>
      <c r="B1209" s="4"/>
      <c r="C1209" s="4"/>
      <c r="D1209" s="4"/>
      <c r="E1209" s="5"/>
      <c r="F1209" s="3" t="str">
        <f t="shared" si="58"/>
        <v/>
      </c>
      <c r="G1209" s="4"/>
      <c r="H1209" s="3" t="str">
        <f t="shared" si="59"/>
        <v/>
      </c>
      <c r="I1209" s="5"/>
      <c r="J1209" s="5"/>
      <c r="K1209" s="6"/>
      <c r="L1209" s="6"/>
      <c r="M1209" s="7" t="str">
        <f t="shared" si="60"/>
        <v/>
      </c>
      <c r="N1209" s="6"/>
      <c r="O1209" s="5"/>
    </row>
    <row r="1210" spans="1:15" x14ac:dyDescent="0.2">
      <c r="A1210" s="3" t="str">
        <f>IF($B1210="","",COUNTA($B$9:$B1210))</f>
        <v/>
      </c>
      <c r="B1210" s="4"/>
      <c r="C1210" s="4"/>
      <c r="D1210" s="4"/>
      <c r="E1210" s="5"/>
      <c r="F1210" s="3" t="str">
        <f t="shared" si="58"/>
        <v/>
      </c>
      <c r="G1210" s="4"/>
      <c r="H1210" s="3" t="str">
        <f t="shared" si="59"/>
        <v/>
      </c>
      <c r="I1210" s="5"/>
      <c r="J1210" s="5"/>
      <c r="K1210" s="6"/>
      <c r="L1210" s="6"/>
      <c r="M1210" s="7" t="str">
        <f t="shared" si="60"/>
        <v/>
      </c>
      <c r="N1210" s="6"/>
      <c r="O1210" s="5"/>
    </row>
    <row r="1211" spans="1:15" x14ac:dyDescent="0.2">
      <c r="A1211" s="3" t="str">
        <f>IF($B1211="","",COUNTA($B$9:$B1211))</f>
        <v/>
      </c>
      <c r="B1211" s="4"/>
      <c r="C1211" s="4"/>
      <c r="D1211" s="4"/>
      <c r="E1211" s="5"/>
      <c r="F1211" s="3" t="str">
        <f t="shared" si="58"/>
        <v/>
      </c>
      <c r="G1211" s="4"/>
      <c r="H1211" s="3" t="str">
        <f t="shared" si="59"/>
        <v/>
      </c>
      <c r="I1211" s="5"/>
      <c r="J1211" s="5"/>
      <c r="K1211" s="6"/>
      <c r="L1211" s="6"/>
      <c r="M1211" s="7" t="str">
        <f t="shared" si="60"/>
        <v/>
      </c>
      <c r="N1211" s="6"/>
      <c r="O1211" s="5"/>
    </row>
    <row r="1212" spans="1:15" x14ac:dyDescent="0.2">
      <c r="A1212" s="3" t="str">
        <f>IF($B1212="","",COUNTA($B$9:$B1212))</f>
        <v/>
      </c>
      <c r="B1212" s="4"/>
      <c r="C1212" s="4"/>
      <c r="D1212" s="4"/>
      <c r="E1212" s="5"/>
      <c r="F1212" s="3" t="str">
        <f t="shared" si="58"/>
        <v/>
      </c>
      <c r="G1212" s="4"/>
      <c r="H1212" s="3" t="str">
        <f t="shared" si="59"/>
        <v/>
      </c>
      <c r="I1212" s="5"/>
      <c r="J1212" s="5"/>
      <c r="K1212" s="6"/>
      <c r="L1212" s="6"/>
      <c r="M1212" s="7" t="str">
        <f t="shared" si="60"/>
        <v/>
      </c>
      <c r="N1212" s="6"/>
      <c r="O1212" s="5"/>
    </row>
    <row r="1213" spans="1:15" x14ac:dyDescent="0.2">
      <c r="A1213" s="3" t="str">
        <f>IF($B1213="","",COUNTA($B$9:$B1213))</f>
        <v/>
      </c>
      <c r="B1213" s="4"/>
      <c r="C1213" s="4"/>
      <c r="D1213" s="4"/>
      <c r="E1213" s="5"/>
      <c r="F1213" s="3" t="str">
        <f t="shared" si="58"/>
        <v/>
      </c>
      <c r="G1213" s="4"/>
      <c r="H1213" s="3" t="str">
        <f t="shared" si="59"/>
        <v/>
      </c>
      <c r="I1213" s="5"/>
      <c r="J1213" s="5"/>
      <c r="K1213" s="6"/>
      <c r="L1213" s="6"/>
      <c r="M1213" s="7" t="str">
        <f t="shared" si="60"/>
        <v/>
      </c>
      <c r="N1213" s="6"/>
      <c r="O1213" s="5"/>
    </row>
    <row r="1214" spans="1:15" x14ac:dyDescent="0.2">
      <c r="A1214" s="3" t="str">
        <f>IF($B1214="","",COUNTA($B$9:$B1214))</f>
        <v/>
      </c>
      <c r="B1214" s="4"/>
      <c r="C1214" s="4"/>
      <c r="D1214" s="4"/>
      <c r="E1214" s="5"/>
      <c r="F1214" s="3" t="str">
        <f t="shared" si="58"/>
        <v/>
      </c>
      <c r="G1214" s="4"/>
      <c r="H1214" s="3" t="str">
        <f t="shared" si="59"/>
        <v/>
      </c>
      <c r="I1214" s="5"/>
      <c r="J1214" s="5"/>
      <c r="K1214" s="6"/>
      <c r="L1214" s="6"/>
      <c r="M1214" s="7" t="str">
        <f t="shared" si="60"/>
        <v/>
      </c>
      <c r="N1214" s="6"/>
      <c r="O1214" s="5"/>
    </row>
    <row r="1215" spans="1:15" x14ac:dyDescent="0.2">
      <c r="A1215" s="3" t="str">
        <f>IF($B1215="","",COUNTA($B$9:$B1215))</f>
        <v/>
      </c>
      <c r="B1215" s="4"/>
      <c r="C1215" s="4"/>
      <c r="D1215" s="4"/>
      <c r="E1215" s="5"/>
      <c r="F1215" s="3" t="str">
        <f t="shared" si="58"/>
        <v/>
      </c>
      <c r="G1215" s="4"/>
      <c r="H1215" s="3" t="str">
        <f t="shared" si="59"/>
        <v/>
      </c>
      <c r="I1215" s="5"/>
      <c r="J1215" s="5"/>
      <c r="K1215" s="6"/>
      <c r="L1215" s="6"/>
      <c r="M1215" s="7" t="str">
        <f t="shared" si="60"/>
        <v/>
      </c>
      <c r="N1215" s="6"/>
      <c r="O1215" s="5"/>
    </row>
    <row r="1216" spans="1:15" x14ac:dyDescent="0.2">
      <c r="A1216" s="3" t="str">
        <f>IF($B1216="","",COUNTA($B$9:$B1216))</f>
        <v/>
      </c>
      <c r="B1216" s="4"/>
      <c r="C1216" s="4"/>
      <c r="D1216" s="4"/>
      <c r="E1216" s="5"/>
      <c r="F1216" s="3" t="str">
        <f t="shared" si="58"/>
        <v/>
      </c>
      <c r="G1216" s="4"/>
      <c r="H1216" s="3" t="str">
        <f t="shared" si="59"/>
        <v/>
      </c>
      <c r="I1216" s="5"/>
      <c r="J1216" s="5"/>
      <c r="K1216" s="6"/>
      <c r="L1216" s="6"/>
      <c r="M1216" s="7" t="str">
        <f t="shared" si="60"/>
        <v/>
      </c>
      <c r="N1216" s="6"/>
      <c r="O1216" s="5"/>
    </row>
    <row r="1217" spans="1:15" x14ac:dyDescent="0.2">
      <c r="A1217" s="3" t="str">
        <f>IF($B1217="","",COUNTA($B$9:$B1217))</f>
        <v/>
      </c>
      <c r="B1217" s="4"/>
      <c r="C1217" s="4"/>
      <c r="D1217" s="4"/>
      <c r="E1217" s="5"/>
      <c r="F1217" s="3" t="str">
        <f t="shared" si="58"/>
        <v/>
      </c>
      <c r="G1217" s="4"/>
      <c r="H1217" s="3" t="str">
        <f t="shared" si="59"/>
        <v/>
      </c>
      <c r="I1217" s="5"/>
      <c r="J1217" s="5"/>
      <c r="K1217" s="6"/>
      <c r="L1217" s="6"/>
      <c r="M1217" s="7" t="str">
        <f t="shared" si="60"/>
        <v/>
      </c>
      <c r="N1217" s="6"/>
      <c r="O1217" s="5"/>
    </row>
    <row r="1218" spans="1:15" x14ac:dyDescent="0.2">
      <c r="A1218" s="3" t="str">
        <f>IF($B1218="","",COUNTA($B$9:$B1218))</f>
        <v/>
      </c>
      <c r="B1218" s="4"/>
      <c r="C1218" s="4"/>
      <c r="D1218" s="4"/>
      <c r="E1218" s="5"/>
      <c r="F1218" s="3" t="str">
        <f t="shared" si="58"/>
        <v/>
      </c>
      <c r="G1218" s="4"/>
      <c r="H1218" s="3" t="str">
        <f t="shared" si="59"/>
        <v/>
      </c>
      <c r="I1218" s="5"/>
      <c r="J1218" s="5"/>
      <c r="K1218" s="6"/>
      <c r="L1218" s="6"/>
      <c r="M1218" s="7" t="str">
        <f t="shared" si="60"/>
        <v/>
      </c>
      <c r="N1218" s="6"/>
      <c r="O1218" s="5"/>
    </row>
    <row r="1219" spans="1:15" x14ac:dyDescent="0.2">
      <c r="A1219" s="3" t="str">
        <f>IF($B1219="","",COUNTA($B$9:$B1219))</f>
        <v/>
      </c>
      <c r="B1219" s="4"/>
      <c r="C1219" s="4"/>
      <c r="D1219" s="4"/>
      <c r="E1219" s="5"/>
      <c r="F1219" s="3" t="str">
        <f t="shared" si="58"/>
        <v/>
      </c>
      <c r="G1219" s="4"/>
      <c r="H1219" s="3" t="str">
        <f t="shared" si="59"/>
        <v/>
      </c>
      <c r="I1219" s="5"/>
      <c r="J1219" s="5"/>
      <c r="K1219" s="6"/>
      <c r="L1219" s="6"/>
      <c r="M1219" s="7" t="str">
        <f t="shared" si="60"/>
        <v/>
      </c>
      <c r="N1219" s="6"/>
      <c r="O1219" s="5"/>
    </row>
    <row r="1220" spans="1:15" x14ac:dyDescent="0.2">
      <c r="A1220" s="3" t="str">
        <f>IF($B1220="","",COUNTA($B$9:$B1220))</f>
        <v/>
      </c>
      <c r="B1220" s="4"/>
      <c r="C1220" s="4"/>
      <c r="D1220" s="4"/>
      <c r="E1220" s="5"/>
      <c r="F1220" s="3" t="str">
        <f t="shared" si="58"/>
        <v/>
      </c>
      <c r="G1220" s="4"/>
      <c r="H1220" s="3" t="str">
        <f t="shared" si="59"/>
        <v/>
      </c>
      <c r="I1220" s="5"/>
      <c r="J1220" s="5"/>
      <c r="K1220" s="6"/>
      <c r="L1220" s="6"/>
      <c r="M1220" s="7" t="str">
        <f t="shared" si="60"/>
        <v/>
      </c>
      <c r="N1220" s="6"/>
      <c r="O1220" s="5"/>
    </row>
    <row r="1221" spans="1:15" x14ac:dyDescent="0.2">
      <c r="A1221" s="3" t="str">
        <f>IF($B1221="","",COUNTA($B$9:$B1221))</f>
        <v/>
      </c>
      <c r="B1221" s="4"/>
      <c r="C1221" s="4"/>
      <c r="D1221" s="4"/>
      <c r="E1221" s="5"/>
      <c r="F1221" s="3" t="str">
        <f t="shared" si="58"/>
        <v/>
      </c>
      <c r="G1221" s="4"/>
      <c r="H1221" s="3" t="str">
        <f t="shared" si="59"/>
        <v/>
      </c>
      <c r="I1221" s="5"/>
      <c r="J1221" s="5"/>
      <c r="K1221" s="6"/>
      <c r="L1221" s="6"/>
      <c r="M1221" s="7" t="str">
        <f t="shared" si="60"/>
        <v/>
      </c>
      <c r="N1221" s="6"/>
      <c r="O1221" s="5"/>
    </row>
    <row r="1222" spans="1:15" x14ac:dyDescent="0.2">
      <c r="A1222" s="3" t="str">
        <f>IF($B1222="","",COUNTA($B$9:$B1222))</f>
        <v/>
      </c>
      <c r="B1222" s="4"/>
      <c r="C1222" s="4"/>
      <c r="D1222" s="4"/>
      <c r="E1222" s="5"/>
      <c r="F1222" s="3" t="str">
        <f t="shared" si="58"/>
        <v/>
      </c>
      <c r="G1222" s="4"/>
      <c r="H1222" s="3" t="str">
        <f t="shared" si="59"/>
        <v/>
      </c>
      <c r="I1222" s="5"/>
      <c r="J1222" s="5"/>
      <c r="K1222" s="6"/>
      <c r="L1222" s="6"/>
      <c r="M1222" s="7" t="str">
        <f t="shared" si="60"/>
        <v/>
      </c>
      <c r="N1222" s="6"/>
      <c r="O1222" s="5"/>
    </row>
    <row r="1223" spans="1:15" x14ac:dyDescent="0.2">
      <c r="A1223" s="3" t="str">
        <f>IF($B1223="","",COUNTA($B$9:$B1223))</f>
        <v/>
      </c>
      <c r="B1223" s="4"/>
      <c r="C1223" s="4"/>
      <c r="D1223" s="4"/>
      <c r="E1223" s="5"/>
      <c r="F1223" s="3" t="str">
        <f t="shared" si="58"/>
        <v/>
      </c>
      <c r="G1223" s="4"/>
      <c r="H1223" s="3" t="str">
        <f t="shared" si="59"/>
        <v/>
      </c>
      <c r="I1223" s="5"/>
      <c r="J1223" s="5"/>
      <c r="K1223" s="6"/>
      <c r="L1223" s="6"/>
      <c r="M1223" s="7" t="str">
        <f t="shared" si="60"/>
        <v/>
      </c>
      <c r="N1223" s="6"/>
      <c r="O1223" s="5"/>
    </row>
    <row r="1224" spans="1:15" x14ac:dyDescent="0.2">
      <c r="A1224" s="3" t="str">
        <f>IF($B1224="","",COUNTA($B$9:$B1224))</f>
        <v/>
      </c>
      <c r="B1224" s="4"/>
      <c r="C1224" s="4"/>
      <c r="D1224" s="4"/>
      <c r="E1224" s="5"/>
      <c r="F1224" s="3" t="str">
        <f t="shared" ref="F1224:F1287" si="61">IF($E1224="","",IFERROR(VLOOKUP($E1224,OpTbl,2,0),""))</f>
        <v/>
      </c>
      <c r="G1224" s="4"/>
      <c r="H1224" s="3" t="str">
        <f t="shared" ref="H1224:H1287" si="62">IF($G1224="","",IFERROR(IF(VLOOKUP($G1224,AcctTbl,4,0)="","(بدون نام)",VLOOKUP($G1224,AcctTbl,4,0)),"کد ناشناخته"))</f>
        <v/>
      </c>
      <c r="I1224" s="5"/>
      <c r="J1224" s="5"/>
      <c r="K1224" s="6"/>
      <c r="L1224" s="6"/>
      <c r="M1224" s="7" t="str">
        <f t="shared" ref="M1224:M1287" si="63">IF(OR($B1224="",$K1224=""),"",($K1224-IF($L1224="",0,$L1224)*IFERROR(VLOOKUP("P01",ParamTbl,3,0),1.5))*(1-IF(IFERROR(VLOOKUP($E1224,OpTbl,3,0),"")="خرید",IFERROR(VLOOKUP("P02",ParamTbl,3,0),1),0)/100))</f>
        <v/>
      </c>
      <c r="N1224" s="6"/>
      <c r="O1224" s="5"/>
    </row>
    <row r="1225" spans="1:15" x14ac:dyDescent="0.2">
      <c r="A1225" s="3" t="str">
        <f>IF($B1225="","",COUNTA($B$9:$B1225))</f>
        <v/>
      </c>
      <c r="B1225" s="4"/>
      <c r="C1225" s="4"/>
      <c r="D1225" s="4"/>
      <c r="E1225" s="5"/>
      <c r="F1225" s="3" t="str">
        <f t="shared" si="61"/>
        <v/>
      </c>
      <c r="G1225" s="4"/>
      <c r="H1225" s="3" t="str">
        <f t="shared" si="62"/>
        <v/>
      </c>
      <c r="I1225" s="5"/>
      <c r="J1225" s="5"/>
      <c r="K1225" s="6"/>
      <c r="L1225" s="6"/>
      <c r="M1225" s="7" t="str">
        <f t="shared" si="63"/>
        <v/>
      </c>
      <c r="N1225" s="6"/>
      <c r="O1225" s="5"/>
    </row>
    <row r="1226" spans="1:15" x14ac:dyDescent="0.2">
      <c r="A1226" s="3" t="str">
        <f>IF($B1226="","",COUNTA($B$9:$B1226))</f>
        <v/>
      </c>
      <c r="B1226" s="4"/>
      <c r="C1226" s="4"/>
      <c r="D1226" s="4"/>
      <c r="E1226" s="5"/>
      <c r="F1226" s="3" t="str">
        <f t="shared" si="61"/>
        <v/>
      </c>
      <c r="G1226" s="4"/>
      <c r="H1226" s="3" t="str">
        <f t="shared" si="62"/>
        <v/>
      </c>
      <c r="I1226" s="5"/>
      <c r="J1226" s="5"/>
      <c r="K1226" s="6"/>
      <c r="L1226" s="6"/>
      <c r="M1226" s="7" t="str">
        <f t="shared" si="63"/>
        <v/>
      </c>
      <c r="N1226" s="6"/>
      <c r="O1226" s="5"/>
    </row>
    <row r="1227" spans="1:15" x14ac:dyDescent="0.2">
      <c r="A1227" s="3" t="str">
        <f>IF($B1227="","",COUNTA($B$9:$B1227))</f>
        <v/>
      </c>
      <c r="B1227" s="4"/>
      <c r="C1227" s="4"/>
      <c r="D1227" s="4"/>
      <c r="E1227" s="5"/>
      <c r="F1227" s="3" t="str">
        <f t="shared" si="61"/>
        <v/>
      </c>
      <c r="G1227" s="4"/>
      <c r="H1227" s="3" t="str">
        <f t="shared" si="62"/>
        <v/>
      </c>
      <c r="I1227" s="5"/>
      <c r="J1227" s="5"/>
      <c r="K1227" s="6"/>
      <c r="L1227" s="6"/>
      <c r="M1227" s="7" t="str">
        <f t="shared" si="63"/>
        <v/>
      </c>
      <c r="N1227" s="6"/>
      <c r="O1227" s="5"/>
    </row>
    <row r="1228" spans="1:15" x14ac:dyDescent="0.2">
      <c r="A1228" s="3" t="str">
        <f>IF($B1228="","",COUNTA($B$9:$B1228))</f>
        <v/>
      </c>
      <c r="B1228" s="4"/>
      <c r="C1228" s="4"/>
      <c r="D1228" s="4"/>
      <c r="E1228" s="5"/>
      <c r="F1228" s="3" t="str">
        <f t="shared" si="61"/>
        <v/>
      </c>
      <c r="G1228" s="4"/>
      <c r="H1228" s="3" t="str">
        <f t="shared" si="62"/>
        <v/>
      </c>
      <c r="I1228" s="5"/>
      <c r="J1228" s="5"/>
      <c r="K1228" s="6"/>
      <c r="L1228" s="6"/>
      <c r="M1228" s="7" t="str">
        <f t="shared" si="63"/>
        <v/>
      </c>
      <c r="N1228" s="6"/>
      <c r="O1228" s="5"/>
    </row>
    <row r="1229" spans="1:15" x14ac:dyDescent="0.2">
      <c r="A1229" s="3" t="str">
        <f>IF($B1229="","",COUNTA($B$9:$B1229))</f>
        <v/>
      </c>
      <c r="B1229" s="4"/>
      <c r="C1229" s="4"/>
      <c r="D1229" s="4"/>
      <c r="E1229" s="5"/>
      <c r="F1229" s="3" t="str">
        <f t="shared" si="61"/>
        <v/>
      </c>
      <c r="G1229" s="4"/>
      <c r="H1229" s="3" t="str">
        <f t="shared" si="62"/>
        <v/>
      </c>
      <c r="I1229" s="5"/>
      <c r="J1229" s="5"/>
      <c r="K1229" s="6"/>
      <c r="L1229" s="6"/>
      <c r="M1229" s="7" t="str">
        <f t="shared" si="63"/>
        <v/>
      </c>
      <c r="N1229" s="6"/>
      <c r="O1229" s="5"/>
    </row>
    <row r="1230" spans="1:15" x14ac:dyDescent="0.2">
      <c r="A1230" s="3" t="str">
        <f>IF($B1230="","",COUNTA($B$9:$B1230))</f>
        <v/>
      </c>
      <c r="B1230" s="4"/>
      <c r="C1230" s="4"/>
      <c r="D1230" s="4"/>
      <c r="E1230" s="5"/>
      <c r="F1230" s="3" t="str">
        <f t="shared" si="61"/>
        <v/>
      </c>
      <c r="G1230" s="4"/>
      <c r="H1230" s="3" t="str">
        <f t="shared" si="62"/>
        <v/>
      </c>
      <c r="I1230" s="5"/>
      <c r="J1230" s="5"/>
      <c r="K1230" s="6"/>
      <c r="L1230" s="6"/>
      <c r="M1230" s="7" t="str">
        <f t="shared" si="63"/>
        <v/>
      </c>
      <c r="N1230" s="6"/>
      <c r="O1230" s="5"/>
    </row>
    <row r="1231" spans="1:15" x14ac:dyDescent="0.2">
      <c r="A1231" s="3" t="str">
        <f>IF($B1231="","",COUNTA($B$9:$B1231))</f>
        <v/>
      </c>
      <c r="B1231" s="4"/>
      <c r="C1231" s="4"/>
      <c r="D1231" s="4"/>
      <c r="E1231" s="5"/>
      <c r="F1231" s="3" t="str">
        <f t="shared" si="61"/>
        <v/>
      </c>
      <c r="G1231" s="4"/>
      <c r="H1231" s="3" t="str">
        <f t="shared" si="62"/>
        <v/>
      </c>
      <c r="I1231" s="5"/>
      <c r="J1231" s="5"/>
      <c r="K1231" s="6"/>
      <c r="L1231" s="6"/>
      <c r="M1231" s="7" t="str">
        <f t="shared" si="63"/>
        <v/>
      </c>
      <c r="N1231" s="6"/>
      <c r="O1231" s="5"/>
    </row>
    <row r="1232" spans="1:15" x14ac:dyDescent="0.2">
      <c r="A1232" s="3" t="str">
        <f>IF($B1232="","",COUNTA($B$9:$B1232))</f>
        <v/>
      </c>
      <c r="B1232" s="4"/>
      <c r="C1232" s="4"/>
      <c r="D1232" s="4"/>
      <c r="E1232" s="5"/>
      <c r="F1232" s="3" t="str">
        <f t="shared" si="61"/>
        <v/>
      </c>
      <c r="G1232" s="4"/>
      <c r="H1232" s="3" t="str">
        <f t="shared" si="62"/>
        <v/>
      </c>
      <c r="I1232" s="5"/>
      <c r="J1232" s="5"/>
      <c r="K1232" s="6"/>
      <c r="L1232" s="6"/>
      <c r="M1232" s="7" t="str">
        <f t="shared" si="63"/>
        <v/>
      </c>
      <c r="N1232" s="6"/>
      <c r="O1232" s="5"/>
    </row>
    <row r="1233" spans="1:15" x14ac:dyDescent="0.2">
      <c r="A1233" s="3" t="str">
        <f>IF($B1233="","",COUNTA($B$9:$B1233))</f>
        <v/>
      </c>
      <c r="B1233" s="4"/>
      <c r="C1233" s="4"/>
      <c r="D1233" s="4"/>
      <c r="E1233" s="5"/>
      <c r="F1233" s="3" t="str">
        <f t="shared" si="61"/>
        <v/>
      </c>
      <c r="G1233" s="4"/>
      <c r="H1233" s="3" t="str">
        <f t="shared" si="62"/>
        <v/>
      </c>
      <c r="I1233" s="5"/>
      <c r="J1233" s="5"/>
      <c r="K1233" s="6"/>
      <c r="L1233" s="6"/>
      <c r="M1233" s="7" t="str">
        <f t="shared" si="63"/>
        <v/>
      </c>
      <c r="N1233" s="6"/>
      <c r="O1233" s="5"/>
    </row>
    <row r="1234" spans="1:15" x14ac:dyDescent="0.2">
      <c r="A1234" s="3" t="str">
        <f>IF($B1234="","",COUNTA($B$9:$B1234))</f>
        <v/>
      </c>
      <c r="B1234" s="4"/>
      <c r="C1234" s="4"/>
      <c r="D1234" s="4"/>
      <c r="E1234" s="5"/>
      <c r="F1234" s="3" t="str">
        <f t="shared" si="61"/>
        <v/>
      </c>
      <c r="G1234" s="4"/>
      <c r="H1234" s="3" t="str">
        <f t="shared" si="62"/>
        <v/>
      </c>
      <c r="I1234" s="5"/>
      <c r="J1234" s="5"/>
      <c r="K1234" s="6"/>
      <c r="L1234" s="6"/>
      <c r="M1234" s="7" t="str">
        <f t="shared" si="63"/>
        <v/>
      </c>
      <c r="N1234" s="6"/>
      <c r="O1234" s="5"/>
    </row>
    <row r="1235" spans="1:15" x14ac:dyDescent="0.2">
      <c r="A1235" s="3" t="str">
        <f>IF($B1235="","",COUNTA($B$9:$B1235))</f>
        <v/>
      </c>
      <c r="B1235" s="4"/>
      <c r="C1235" s="4"/>
      <c r="D1235" s="4"/>
      <c r="E1235" s="5"/>
      <c r="F1235" s="3" t="str">
        <f t="shared" si="61"/>
        <v/>
      </c>
      <c r="G1235" s="4"/>
      <c r="H1235" s="3" t="str">
        <f t="shared" si="62"/>
        <v/>
      </c>
      <c r="I1235" s="5"/>
      <c r="J1235" s="5"/>
      <c r="K1235" s="6"/>
      <c r="L1235" s="6"/>
      <c r="M1235" s="7" t="str">
        <f t="shared" si="63"/>
        <v/>
      </c>
      <c r="N1235" s="6"/>
      <c r="O1235" s="5"/>
    </row>
    <row r="1236" spans="1:15" x14ac:dyDescent="0.2">
      <c r="A1236" s="3" t="str">
        <f>IF($B1236="","",COUNTA($B$9:$B1236))</f>
        <v/>
      </c>
      <c r="B1236" s="4"/>
      <c r="C1236" s="4"/>
      <c r="D1236" s="4"/>
      <c r="E1236" s="5"/>
      <c r="F1236" s="3" t="str">
        <f t="shared" si="61"/>
        <v/>
      </c>
      <c r="G1236" s="4"/>
      <c r="H1236" s="3" t="str">
        <f t="shared" si="62"/>
        <v/>
      </c>
      <c r="I1236" s="5"/>
      <c r="J1236" s="5"/>
      <c r="K1236" s="6"/>
      <c r="L1236" s="6"/>
      <c r="M1236" s="7" t="str">
        <f t="shared" si="63"/>
        <v/>
      </c>
      <c r="N1236" s="6"/>
      <c r="O1236" s="5"/>
    </row>
    <row r="1237" spans="1:15" x14ac:dyDescent="0.2">
      <c r="A1237" s="3" t="str">
        <f>IF($B1237="","",COUNTA($B$9:$B1237))</f>
        <v/>
      </c>
      <c r="B1237" s="4"/>
      <c r="C1237" s="4"/>
      <c r="D1237" s="4"/>
      <c r="E1237" s="5"/>
      <c r="F1237" s="3" t="str">
        <f t="shared" si="61"/>
        <v/>
      </c>
      <c r="G1237" s="4"/>
      <c r="H1237" s="3" t="str">
        <f t="shared" si="62"/>
        <v/>
      </c>
      <c r="I1237" s="5"/>
      <c r="J1237" s="5"/>
      <c r="K1237" s="6"/>
      <c r="L1237" s="6"/>
      <c r="M1237" s="7" t="str">
        <f t="shared" si="63"/>
        <v/>
      </c>
      <c r="N1237" s="6"/>
      <c r="O1237" s="5"/>
    </row>
    <row r="1238" spans="1:15" x14ac:dyDescent="0.2">
      <c r="A1238" s="3" t="str">
        <f>IF($B1238="","",COUNTA($B$9:$B1238))</f>
        <v/>
      </c>
      <c r="B1238" s="4"/>
      <c r="C1238" s="4"/>
      <c r="D1238" s="4"/>
      <c r="E1238" s="5"/>
      <c r="F1238" s="3" t="str">
        <f t="shared" si="61"/>
        <v/>
      </c>
      <c r="G1238" s="4"/>
      <c r="H1238" s="3" t="str">
        <f t="shared" si="62"/>
        <v/>
      </c>
      <c r="I1238" s="5"/>
      <c r="J1238" s="5"/>
      <c r="K1238" s="6"/>
      <c r="L1238" s="6"/>
      <c r="M1238" s="7" t="str">
        <f t="shared" si="63"/>
        <v/>
      </c>
      <c r="N1238" s="6"/>
      <c r="O1238" s="5"/>
    </row>
    <row r="1239" spans="1:15" x14ac:dyDescent="0.2">
      <c r="A1239" s="3" t="str">
        <f>IF($B1239="","",COUNTA($B$9:$B1239))</f>
        <v/>
      </c>
      <c r="B1239" s="4"/>
      <c r="C1239" s="4"/>
      <c r="D1239" s="4"/>
      <c r="E1239" s="5"/>
      <c r="F1239" s="3" t="str">
        <f t="shared" si="61"/>
        <v/>
      </c>
      <c r="G1239" s="4"/>
      <c r="H1239" s="3" t="str">
        <f t="shared" si="62"/>
        <v/>
      </c>
      <c r="I1239" s="5"/>
      <c r="J1239" s="5"/>
      <c r="K1239" s="6"/>
      <c r="L1239" s="6"/>
      <c r="M1239" s="7" t="str">
        <f t="shared" si="63"/>
        <v/>
      </c>
      <c r="N1239" s="6"/>
      <c r="O1239" s="5"/>
    </row>
    <row r="1240" spans="1:15" x14ac:dyDescent="0.2">
      <c r="A1240" s="3" t="str">
        <f>IF($B1240="","",COUNTA($B$9:$B1240))</f>
        <v/>
      </c>
      <c r="B1240" s="4"/>
      <c r="C1240" s="4"/>
      <c r="D1240" s="4"/>
      <c r="E1240" s="5"/>
      <c r="F1240" s="3" t="str">
        <f t="shared" si="61"/>
        <v/>
      </c>
      <c r="G1240" s="4"/>
      <c r="H1240" s="3" t="str">
        <f t="shared" si="62"/>
        <v/>
      </c>
      <c r="I1240" s="5"/>
      <c r="J1240" s="5"/>
      <c r="K1240" s="6"/>
      <c r="L1240" s="6"/>
      <c r="M1240" s="7" t="str">
        <f t="shared" si="63"/>
        <v/>
      </c>
      <c r="N1240" s="6"/>
      <c r="O1240" s="5"/>
    </row>
    <row r="1241" spans="1:15" x14ac:dyDescent="0.2">
      <c r="A1241" s="3" t="str">
        <f>IF($B1241="","",COUNTA($B$9:$B1241))</f>
        <v/>
      </c>
      <c r="B1241" s="4"/>
      <c r="C1241" s="4"/>
      <c r="D1241" s="4"/>
      <c r="E1241" s="5"/>
      <c r="F1241" s="3" t="str">
        <f t="shared" si="61"/>
        <v/>
      </c>
      <c r="G1241" s="4"/>
      <c r="H1241" s="3" t="str">
        <f t="shared" si="62"/>
        <v/>
      </c>
      <c r="I1241" s="5"/>
      <c r="J1241" s="5"/>
      <c r="K1241" s="6"/>
      <c r="L1241" s="6"/>
      <c r="M1241" s="7" t="str">
        <f t="shared" si="63"/>
        <v/>
      </c>
      <c r="N1241" s="6"/>
      <c r="O1241" s="5"/>
    </row>
    <row r="1242" spans="1:15" x14ac:dyDescent="0.2">
      <c r="A1242" s="3" t="str">
        <f>IF($B1242="","",COUNTA($B$9:$B1242))</f>
        <v/>
      </c>
      <c r="B1242" s="4"/>
      <c r="C1242" s="4"/>
      <c r="D1242" s="4"/>
      <c r="E1242" s="5"/>
      <c r="F1242" s="3" t="str">
        <f t="shared" si="61"/>
        <v/>
      </c>
      <c r="G1242" s="4"/>
      <c r="H1242" s="3" t="str">
        <f t="shared" si="62"/>
        <v/>
      </c>
      <c r="I1242" s="5"/>
      <c r="J1242" s="5"/>
      <c r="K1242" s="6"/>
      <c r="L1242" s="6"/>
      <c r="M1242" s="7" t="str">
        <f t="shared" si="63"/>
        <v/>
      </c>
      <c r="N1242" s="6"/>
      <c r="O1242" s="5"/>
    </row>
    <row r="1243" spans="1:15" x14ac:dyDescent="0.2">
      <c r="A1243" s="3" t="str">
        <f>IF($B1243="","",COUNTA($B$9:$B1243))</f>
        <v/>
      </c>
      <c r="B1243" s="4"/>
      <c r="C1243" s="4"/>
      <c r="D1243" s="4"/>
      <c r="E1243" s="5"/>
      <c r="F1243" s="3" t="str">
        <f t="shared" si="61"/>
        <v/>
      </c>
      <c r="G1243" s="4"/>
      <c r="H1243" s="3" t="str">
        <f t="shared" si="62"/>
        <v/>
      </c>
      <c r="I1243" s="5"/>
      <c r="J1243" s="5"/>
      <c r="K1243" s="6"/>
      <c r="L1243" s="6"/>
      <c r="M1243" s="7" t="str">
        <f t="shared" si="63"/>
        <v/>
      </c>
      <c r="N1243" s="6"/>
      <c r="O1243" s="5"/>
    </row>
    <row r="1244" spans="1:15" x14ac:dyDescent="0.2">
      <c r="A1244" s="3" t="str">
        <f>IF($B1244="","",COUNTA($B$9:$B1244))</f>
        <v/>
      </c>
      <c r="B1244" s="4"/>
      <c r="C1244" s="4"/>
      <c r="D1244" s="4"/>
      <c r="E1244" s="5"/>
      <c r="F1244" s="3" t="str">
        <f t="shared" si="61"/>
        <v/>
      </c>
      <c r="G1244" s="4"/>
      <c r="H1244" s="3" t="str">
        <f t="shared" si="62"/>
        <v/>
      </c>
      <c r="I1244" s="5"/>
      <c r="J1244" s="5"/>
      <c r="K1244" s="6"/>
      <c r="L1244" s="6"/>
      <c r="M1244" s="7" t="str">
        <f t="shared" si="63"/>
        <v/>
      </c>
      <c r="N1244" s="6"/>
      <c r="O1244" s="5"/>
    </row>
    <row r="1245" spans="1:15" x14ac:dyDescent="0.2">
      <c r="A1245" s="3" t="str">
        <f>IF($B1245="","",COUNTA($B$9:$B1245))</f>
        <v/>
      </c>
      <c r="B1245" s="4"/>
      <c r="C1245" s="4"/>
      <c r="D1245" s="4"/>
      <c r="E1245" s="5"/>
      <c r="F1245" s="3" t="str">
        <f t="shared" si="61"/>
        <v/>
      </c>
      <c r="G1245" s="4"/>
      <c r="H1245" s="3" t="str">
        <f t="shared" si="62"/>
        <v/>
      </c>
      <c r="I1245" s="5"/>
      <c r="J1245" s="5"/>
      <c r="K1245" s="6"/>
      <c r="L1245" s="6"/>
      <c r="M1245" s="7" t="str">
        <f t="shared" si="63"/>
        <v/>
      </c>
      <c r="N1245" s="6"/>
      <c r="O1245" s="5"/>
    </row>
    <row r="1246" spans="1:15" x14ac:dyDescent="0.2">
      <c r="A1246" s="3" t="str">
        <f>IF($B1246="","",COUNTA($B$9:$B1246))</f>
        <v/>
      </c>
      <c r="B1246" s="4"/>
      <c r="C1246" s="4"/>
      <c r="D1246" s="4"/>
      <c r="E1246" s="5"/>
      <c r="F1246" s="3" t="str">
        <f t="shared" si="61"/>
        <v/>
      </c>
      <c r="G1246" s="4"/>
      <c r="H1246" s="3" t="str">
        <f t="shared" si="62"/>
        <v/>
      </c>
      <c r="I1246" s="5"/>
      <c r="J1246" s="5"/>
      <c r="K1246" s="6"/>
      <c r="L1246" s="6"/>
      <c r="M1246" s="7" t="str">
        <f t="shared" si="63"/>
        <v/>
      </c>
      <c r="N1246" s="6"/>
      <c r="O1246" s="5"/>
    </row>
    <row r="1247" spans="1:15" x14ac:dyDescent="0.2">
      <c r="A1247" s="3" t="str">
        <f>IF($B1247="","",COUNTA($B$9:$B1247))</f>
        <v/>
      </c>
      <c r="B1247" s="4"/>
      <c r="C1247" s="4"/>
      <c r="D1247" s="4"/>
      <c r="E1247" s="5"/>
      <c r="F1247" s="3" t="str">
        <f t="shared" si="61"/>
        <v/>
      </c>
      <c r="G1247" s="4"/>
      <c r="H1247" s="3" t="str">
        <f t="shared" si="62"/>
        <v/>
      </c>
      <c r="I1247" s="5"/>
      <c r="J1247" s="5"/>
      <c r="K1247" s="6"/>
      <c r="L1247" s="6"/>
      <c r="M1247" s="7" t="str">
        <f t="shared" si="63"/>
        <v/>
      </c>
      <c r="N1247" s="6"/>
      <c r="O1247" s="5"/>
    </row>
    <row r="1248" spans="1:15" x14ac:dyDescent="0.2">
      <c r="A1248" s="3" t="str">
        <f>IF($B1248="","",COUNTA($B$9:$B1248))</f>
        <v/>
      </c>
      <c r="B1248" s="4"/>
      <c r="C1248" s="4"/>
      <c r="D1248" s="4"/>
      <c r="E1248" s="5"/>
      <c r="F1248" s="3" t="str">
        <f t="shared" si="61"/>
        <v/>
      </c>
      <c r="G1248" s="4"/>
      <c r="H1248" s="3" t="str">
        <f t="shared" si="62"/>
        <v/>
      </c>
      <c r="I1248" s="5"/>
      <c r="J1248" s="5"/>
      <c r="K1248" s="6"/>
      <c r="L1248" s="6"/>
      <c r="M1248" s="7" t="str">
        <f t="shared" si="63"/>
        <v/>
      </c>
      <c r="N1248" s="6"/>
      <c r="O1248" s="5"/>
    </row>
    <row r="1249" spans="1:15" x14ac:dyDescent="0.2">
      <c r="A1249" s="3" t="str">
        <f>IF($B1249="","",COUNTA($B$9:$B1249))</f>
        <v/>
      </c>
      <c r="B1249" s="4"/>
      <c r="C1249" s="4"/>
      <c r="D1249" s="4"/>
      <c r="E1249" s="5"/>
      <c r="F1249" s="3" t="str">
        <f t="shared" si="61"/>
        <v/>
      </c>
      <c r="G1249" s="4"/>
      <c r="H1249" s="3" t="str">
        <f t="shared" si="62"/>
        <v/>
      </c>
      <c r="I1249" s="5"/>
      <c r="J1249" s="5"/>
      <c r="K1249" s="6"/>
      <c r="L1249" s="6"/>
      <c r="M1249" s="7" t="str">
        <f t="shared" si="63"/>
        <v/>
      </c>
      <c r="N1249" s="6"/>
      <c r="O1249" s="5"/>
    </row>
    <row r="1250" spans="1:15" x14ac:dyDescent="0.2">
      <c r="A1250" s="3" t="str">
        <f>IF($B1250="","",COUNTA($B$9:$B1250))</f>
        <v/>
      </c>
      <c r="B1250" s="4"/>
      <c r="C1250" s="4"/>
      <c r="D1250" s="4"/>
      <c r="E1250" s="5"/>
      <c r="F1250" s="3" t="str">
        <f t="shared" si="61"/>
        <v/>
      </c>
      <c r="G1250" s="4"/>
      <c r="H1250" s="3" t="str">
        <f t="shared" si="62"/>
        <v/>
      </c>
      <c r="I1250" s="5"/>
      <c r="J1250" s="5"/>
      <c r="K1250" s="6"/>
      <c r="L1250" s="6"/>
      <c r="M1250" s="7" t="str">
        <f t="shared" si="63"/>
        <v/>
      </c>
      <c r="N1250" s="6"/>
      <c r="O1250" s="5"/>
    </row>
    <row r="1251" spans="1:15" x14ac:dyDescent="0.2">
      <c r="A1251" s="3" t="str">
        <f>IF($B1251="","",COUNTA($B$9:$B1251))</f>
        <v/>
      </c>
      <c r="B1251" s="4"/>
      <c r="C1251" s="4"/>
      <c r="D1251" s="4"/>
      <c r="E1251" s="5"/>
      <c r="F1251" s="3" t="str">
        <f t="shared" si="61"/>
        <v/>
      </c>
      <c r="G1251" s="4"/>
      <c r="H1251" s="3" t="str">
        <f t="shared" si="62"/>
        <v/>
      </c>
      <c r="I1251" s="5"/>
      <c r="J1251" s="5"/>
      <c r="K1251" s="6"/>
      <c r="L1251" s="6"/>
      <c r="M1251" s="7" t="str">
        <f t="shared" si="63"/>
        <v/>
      </c>
      <c r="N1251" s="6"/>
      <c r="O1251" s="5"/>
    </row>
    <row r="1252" spans="1:15" x14ac:dyDescent="0.2">
      <c r="A1252" s="3" t="str">
        <f>IF($B1252="","",COUNTA($B$9:$B1252))</f>
        <v/>
      </c>
      <c r="B1252" s="4"/>
      <c r="C1252" s="4"/>
      <c r="D1252" s="4"/>
      <c r="E1252" s="5"/>
      <c r="F1252" s="3" t="str">
        <f t="shared" si="61"/>
        <v/>
      </c>
      <c r="G1252" s="4"/>
      <c r="H1252" s="3" t="str">
        <f t="shared" si="62"/>
        <v/>
      </c>
      <c r="I1252" s="5"/>
      <c r="J1252" s="5"/>
      <c r="K1252" s="6"/>
      <c r="L1252" s="6"/>
      <c r="M1252" s="7" t="str">
        <f t="shared" si="63"/>
        <v/>
      </c>
      <c r="N1252" s="6"/>
      <c r="O1252" s="5"/>
    </row>
    <row r="1253" spans="1:15" x14ac:dyDescent="0.2">
      <c r="A1253" s="3" t="str">
        <f>IF($B1253="","",COUNTA($B$9:$B1253))</f>
        <v/>
      </c>
      <c r="B1253" s="4"/>
      <c r="C1253" s="4"/>
      <c r="D1253" s="4"/>
      <c r="E1253" s="5"/>
      <c r="F1253" s="3" t="str">
        <f t="shared" si="61"/>
        <v/>
      </c>
      <c r="G1253" s="4"/>
      <c r="H1253" s="3" t="str">
        <f t="shared" si="62"/>
        <v/>
      </c>
      <c r="I1253" s="5"/>
      <c r="J1253" s="5"/>
      <c r="K1253" s="6"/>
      <c r="L1253" s="6"/>
      <c r="M1253" s="7" t="str">
        <f t="shared" si="63"/>
        <v/>
      </c>
      <c r="N1253" s="6"/>
      <c r="O1253" s="5"/>
    </row>
    <row r="1254" spans="1:15" x14ac:dyDescent="0.2">
      <c r="A1254" s="3" t="str">
        <f>IF($B1254="","",COUNTA($B$9:$B1254))</f>
        <v/>
      </c>
      <c r="B1254" s="4"/>
      <c r="C1254" s="4"/>
      <c r="D1254" s="4"/>
      <c r="E1254" s="5"/>
      <c r="F1254" s="3" t="str">
        <f t="shared" si="61"/>
        <v/>
      </c>
      <c r="G1254" s="4"/>
      <c r="H1254" s="3" t="str">
        <f t="shared" si="62"/>
        <v/>
      </c>
      <c r="I1254" s="5"/>
      <c r="J1254" s="5"/>
      <c r="K1254" s="6"/>
      <c r="L1254" s="6"/>
      <c r="M1254" s="7" t="str">
        <f t="shared" si="63"/>
        <v/>
      </c>
      <c r="N1254" s="6"/>
      <c r="O1254" s="5"/>
    </row>
    <row r="1255" spans="1:15" x14ac:dyDescent="0.2">
      <c r="A1255" s="3" t="str">
        <f>IF($B1255="","",COUNTA($B$9:$B1255))</f>
        <v/>
      </c>
      <c r="B1255" s="4"/>
      <c r="C1255" s="4"/>
      <c r="D1255" s="4"/>
      <c r="E1255" s="5"/>
      <c r="F1255" s="3" t="str">
        <f t="shared" si="61"/>
        <v/>
      </c>
      <c r="G1255" s="4"/>
      <c r="H1255" s="3" t="str">
        <f t="shared" si="62"/>
        <v/>
      </c>
      <c r="I1255" s="5"/>
      <c r="J1255" s="5"/>
      <c r="K1255" s="6"/>
      <c r="L1255" s="6"/>
      <c r="M1255" s="7" t="str">
        <f t="shared" si="63"/>
        <v/>
      </c>
      <c r="N1255" s="6"/>
      <c r="O1255" s="5"/>
    </row>
    <row r="1256" spans="1:15" x14ac:dyDescent="0.2">
      <c r="A1256" s="3" t="str">
        <f>IF($B1256="","",COUNTA($B$9:$B1256))</f>
        <v/>
      </c>
      <c r="B1256" s="4"/>
      <c r="C1256" s="4"/>
      <c r="D1256" s="4"/>
      <c r="E1256" s="5"/>
      <c r="F1256" s="3" t="str">
        <f t="shared" si="61"/>
        <v/>
      </c>
      <c r="G1256" s="4"/>
      <c r="H1256" s="3" t="str">
        <f t="shared" si="62"/>
        <v/>
      </c>
      <c r="I1256" s="5"/>
      <c r="J1256" s="5"/>
      <c r="K1256" s="6"/>
      <c r="L1256" s="6"/>
      <c r="M1256" s="7" t="str">
        <f t="shared" si="63"/>
        <v/>
      </c>
      <c r="N1256" s="6"/>
      <c r="O1256" s="5"/>
    </row>
    <row r="1257" spans="1:15" x14ac:dyDescent="0.2">
      <c r="A1257" s="3" t="str">
        <f>IF($B1257="","",COUNTA($B$9:$B1257))</f>
        <v/>
      </c>
      <c r="B1257" s="4"/>
      <c r="C1257" s="4"/>
      <c r="D1257" s="4"/>
      <c r="E1257" s="5"/>
      <c r="F1257" s="3" t="str">
        <f t="shared" si="61"/>
        <v/>
      </c>
      <c r="G1257" s="4"/>
      <c r="H1257" s="3" t="str">
        <f t="shared" si="62"/>
        <v/>
      </c>
      <c r="I1257" s="5"/>
      <c r="J1257" s="5"/>
      <c r="K1257" s="6"/>
      <c r="L1257" s="6"/>
      <c r="M1257" s="7" t="str">
        <f t="shared" si="63"/>
        <v/>
      </c>
      <c r="N1257" s="6"/>
      <c r="O1257" s="5"/>
    </row>
    <row r="1258" spans="1:15" x14ac:dyDescent="0.2">
      <c r="A1258" s="3" t="str">
        <f>IF($B1258="","",COUNTA($B$9:$B1258))</f>
        <v/>
      </c>
      <c r="B1258" s="4"/>
      <c r="C1258" s="4"/>
      <c r="D1258" s="4"/>
      <c r="E1258" s="5"/>
      <c r="F1258" s="3" t="str">
        <f t="shared" si="61"/>
        <v/>
      </c>
      <c r="G1258" s="4"/>
      <c r="H1258" s="3" t="str">
        <f t="shared" si="62"/>
        <v/>
      </c>
      <c r="I1258" s="5"/>
      <c r="J1258" s="5"/>
      <c r="K1258" s="6"/>
      <c r="L1258" s="6"/>
      <c r="M1258" s="7" t="str">
        <f t="shared" si="63"/>
        <v/>
      </c>
      <c r="N1258" s="6"/>
      <c r="O1258" s="5"/>
    </row>
    <row r="1259" spans="1:15" x14ac:dyDescent="0.2">
      <c r="A1259" s="3" t="str">
        <f>IF($B1259="","",COUNTA($B$9:$B1259))</f>
        <v/>
      </c>
      <c r="B1259" s="4"/>
      <c r="C1259" s="4"/>
      <c r="D1259" s="4"/>
      <c r="E1259" s="5"/>
      <c r="F1259" s="3" t="str">
        <f t="shared" si="61"/>
        <v/>
      </c>
      <c r="G1259" s="4"/>
      <c r="H1259" s="3" t="str">
        <f t="shared" si="62"/>
        <v/>
      </c>
      <c r="I1259" s="5"/>
      <c r="J1259" s="5"/>
      <c r="K1259" s="6"/>
      <c r="L1259" s="6"/>
      <c r="M1259" s="7" t="str">
        <f t="shared" si="63"/>
        <v/>
      </c>
      <c r="N1259" s="6"/>
      <c r="O1259" s="5"/>
    </row>
    <row r="1260" spans="1:15" x14ac:dyDescent="0.2">
      <c r="A1260" s="3" t="str">
        <f>IF($B1260="","",COUNTA($B$9:$B1260))</f>
        <v/>
      </c>
      <c r="B1260" s="4"/>
      <c r="C1260" s="4"/>
      <c r="D1260" s="4"/>
      <c r="E1260" s="5"/>
      <c r="F1260" s="3" t="str">
        <f t="shared" si="61"/>
        <v/>
      </c>
      <c r="G1260" s="4"/>
      <c r="H1260" s="3" t="str">
        <f t="shared" si="62"/>
        <v/>
      </c>
      <c r="I1260" s="5"/>
      <c r="J1260" s="5"/>
      <c r="K1260" s="6"/>
      <c r="L1260" s="6"/>
      <c r="M1260" s="7" t="str">
        <f t="shared" si="63"/>
        <v/>
      </c>
      <c r="N1260" s="6"/>
      <c r="O1260" s="5"/>
    </row>
    <row r="1261" spans="1:15" x14ac:dyDescent="0.2">
      <c r="A1261" s="3" t="str">
        <f>IF($B1261="","",COUNTA($B$9:$B1261))</f>
        <v/>
      </c>
      <c r="B1261" s="4"/>
      <c r="C1261" s="4"/>
      <c r="D1261" s="4"/>
      <c r="E1261" s="5"/>
      <c r="F1261" s="3" t="str">
        <f t="shared" si="61"/>
        <v/>
      </c>
      <c r="G1261" s="4"/>
      <c r="H1261" s="3" t="str">
        <f t="shared" si="62"/>
        <v/>
      </c>
      <c r="I1261" s="5"/>
      <c r="J1261" s="5"/>
      <c r="K1261" s="6"/>
      <c r="L1261" s="6"/>
      <c r="M1261" s="7" t="str">
        <f t="shared" si="63"/>
        <v/>
      </c>
      <c r="N1261" s="6"/>
      <c r="O1261" s="5"/>
    </row>
    <row r="1262" spans="1:15" x14ac:dyDescent="0.2">
      <c r="A1262" s="3" t="str">
        <f>IF($B1262="","",COUNTA($B$9:$B1262))</f>
        <v/>
      </c>
      <c r="B1262" s="4"/>
      <c r="C1262" s="4"/>
      <c r="D1262" s="4"/>
      <c r="E1262" s="5"/>
      <c r="F1262" s="3" t="str">
        <f t="shared" si="61"/>
        <v/>
      </c>
      <c r="G1262" s="4"/>
      <c r="H1262" s="3" t="str">
        <f t="shared" si="62"/>
        <v/>
      </c>
      <c r="I1262" s="5"/>
      <c r="J1262" s="5"/>
      <c r="K1262" s="6"/>
      <c r="L1262" s="6"/>
      <c r="M1262" s="7" t="str">
        <f t="shared" si="63"/>
        <v/>
      </c>
      <c r="N1262" s="6"/>
      <c r="O1262" s="5"/>
    </row>
    <row r="1263" spans="1:15" x14ac:dyDescent="0.2">
      <c r="A1263" s="3" t="str">
        <f>IF($B1263="","",COUNTA($B$9:$B1263))</f>
        <v/>
      </c>
      <c r="B1263" s="4"/>
      <c r="C1263" s="4"/>
      <c r="D1263" s="4"/>
      <c r="E1263" s="5"/>
      <c r="F1263" s="3" t="str">
        <f t="shared" si="61"/>
        <v/>
      </c>
      <c r="G1263" s="4"/>
      <c r="H1263" s="3" t="str">
        <f t="shared" si="62"/>
        <v/>
      </c>
      <c r="I1263" s="5"/>
      <c r="J1263" s="5"/>
      <c r="K1263" s="6"/>
      <c r="L1263" s="6"/>
      <c r="M1263" s="7" t="str">
        <f t="shared" si="63"/>
        <v/>
      </c>
      <c r="N1263" s="6"/>
      <c r="O1263" s="5"/>
    </row>
    <row r="1264" spans="1:15" x14ac:dyDescent="0.2">
      <c r="A1264" s="3" t="str">
        <f>IF($B1264="","",COUNTA($B$9:$B1264))</f>
        <v/>
      </c>
      <c r="B1264" s="4"/>
      <c r="C1264" s="4"/>
      <c r="D1264" s="4"/>
      <c r="E1264" s="5"/>
      <c r="F1264" s="3" t="str">
        <f t="shared" si="61"/>
        <v/>
      </c>
      <c r="G1264" s="4"/>
      <c r="H1264" s="3" t="str">
        <f t="shared" si="62"/>
        <v/>
      </c>
      <c r="I1264" s="5"/>
      <c r="J1264" s="5"/>
      <c r="K1264" s="6"/>
      <c r="L1264" s="6"/>
      <c r="M1264" s="7" t="str">
        <f t="shared" si="63"/>
        <v/>
      </c>
      <c r="N1264" s="6"/>
      <c r="O1264" s="5"/>
    </row>
    <row r="1265" spans="1:15" x14ac:dyDescent="0.2">
      <c r="A1265" s="3" t="str">
        <f>IF($B1265="","",COUNTA($B$9:$B1265))</f>
        <v/>
      </c>
      <c r="B1265" s="4"/>
      <c r="C1265" s="4"/>
      <c r="D1265" s="4"/>
      <c r="E1265" s="5"/>
      <c r="F1265" s="3" t="str">
        <f t="shared" si="61"/>
        <v/>
      </c>
      <c r="G1265" s="4"/>
      <c r="H1265" s="3" t="str">
        <f t="shared" si="62"/>
        <v/>
      </c>
      <c r="I1265" s="5"/>
      <c r="J1265" s="5"/>
      <c r="K1265" s="6"/>
      <c r="L1265" s="6"/>
      <c r="M1265" s="7" t="str">
        <f t="shared" si="63"/>
        <v/>
      </c>
      <c r="N1265" s="6"/>
      <c r="O1265" s="5"/>
    </row>
    <row r="1266" spans="1:15" x14ac:dyDescent="0.2">
      <c r="A1266" s="3" t="str">
        <f>IF($B1266="","",COUNTA($B$9:$B1266))</f>
        <v/>
      </c>
      <c r="B1266" s="4"/>
      <c r="C1266" s="4"/>
      <c r="D1266" s="4"/>
      <c r="E1266" s="5"/>
      <c r="F1266" s="3" t="str">
        <f t="shared" si="61"/>
        <v/>
      </c>
      <c r="G1266" s="4"/>
      <c r="H1266" s="3" t="str">
        <f t="shared" si="62"/>
        <v/>
      </c>
      <c r="I1266" s="5"/>
      <c r="J1266" s="5"/>
      <c r="K1266" s="6"/>
      <c r="L1266" s="6"/>
      <c r="M1266" s="7" t="str">
        <f t="shared" si="63"/>
        <v/>
      </c>
      <c r="N1266" s="6"/>
      <c r="O1266" s="5"/>
    </row>
    <row r="1267" spans="1:15" x14ac:dyDescent="0.2">
      <c r="A1267" s="3" t="str">
        <f>IF($B1267="","",COUNTA($B$9:$B1267))</f>
        <v/>
      </c>
      <c r="B1267" s="4"/>
      <c r="C1267" s="4"/>
      <c r="D1267" s="4"/>
      <c r="E1267" s="5"/>
      <c r="F1267" s="3" t="str">
        <f t="shared" si="61"/>
        <v/>
      </c>
      <c r="G1267" s="4"/>
      <c r="H1267" s="3" t="str">
        <f t="shared" si="62"/>
        <v/>
      </c>
      <c r="I1267" s="5"/>
      <c r="J1267" s="5"/>
      <c r="K1267" s="6"/>
      <c r="L1267" s="6"/>
      <c r="M1267" s="7" t="str">
        <f t="shared" si="63"/>
        <v/>
      </c>
      <c r="N1267" s="6"/>
      <c r="O1267" s="5"/>
    </row>
    <row r="1268" spans="1:15" x14ac:dyDescent="0.2">
      <c r="A1268" s="3" t="str">
        <f>IF($B1268="","",COUNTA($B$9:$B1268))</f>
        <v/>
      </c>
      <c r="B1268" s="4"/>
      <c r="C1268" s="4"/>
      <c r="D1268" s="4"/>
      <c r="E1268" s="5"/>
      <c r="F1268" s="3" t="str">
        <f t="shared" si="61"/>
        <v/>
      </c>
      <c r="G1268" s="4"/>
      <c r="H1268" s="3" t="str">
        <f t="shared" si="62"/>
        <v/>
      </c>
      <c r="I1268" s="5"/>
      <c r="J1268" s="5"/>
      <c r="K1268" s="6"/>
      <c r="L1268" s="6"/>
      <c r="M1268" s="7" t="str">
        <f t="shared" si="63"/>
        <v/>
      </c>
      <c r="N1268" s="6"/>
      <c r="O1268" s="5"/>
    </row>
    <row r="1269" spans="1:15" x14ac:dyDescent="0.2">
      <c r="A1269" s="3" t="str">
        <f>IF($B1269="","",COUNTA($B$9:$B1269))</f>
        <v/>
      </c>
      <c r="B1269" s="4"/>
      <c r="C1269" s="4"/>
      <c r="D1269" s="4"/>
      <c r="E1269" s="5"/>
      <c r="F1269" s="3" t="str">
        <f t="shared" si="61"/>
        <v/>
      </c>
      <c r="G1269" s="4"/>
      <c r="H1269" s="3" t="str">
        <f t="shared" si="62"/>
        <v/>
      </c>
      <c r="I1269" s="5"/>
      <c r="J1269" s="5"/>
      <c r="K1269" s="6"/>
      <c r="L1269" s="6"/>
      <c r="M1269" s="7" t="str">
        <f t="shared" si="63"/>
        <v/>
      </c>
      <c r="N1269" s="6"/>
      <c r="O1269" s="5"/>
    </row>
    <row r="1270" spans="1:15" x14ac:dyDescent="0.2">
      <c r="A1270" s="3" t="str">
        <f>IF($B1270="","",COUNTA($B$9:$B1270))</f>
        <v/>
      </c>
      <c r="B1270" s="4"/>
      <c r="C1270" s="4"/>
      <c r="D1270" s="4"/>
      <c r="E1270" s="5"/>
      <c r="F1270" s="3" t="str">
        <f t="shared" si="61"/>
        <v/>
      </c>
      <c r="G1270" s="4"/>
      <c r="H1270" s="3" t="str">
        <f t="shared" si="62"/>
        <v/>
      </c>
      <c r="I1270" s="5"/>
      <c r="J1270" s="5"/>
      <c r="K1270" s="6"/>
      <c r="L1270" s="6"/>
      <c r="M1270" s="7" t="str">
        <f t="shared" si="63"/>
        <v/>
      </c>
      <c r="N1270" s="6"/>
      <c r="O1270" s="5"/>
    </row>
    <row r="1271" spans="1:15" x14ac:dyDescent="0.2">
      <c r="A1271" s="3" t="str">
        <f>IF($B1271="","",COUNTA($B$9:$B1271))</f>
        <v/>
      </c>
      <c r="B1271" s="4"/>
      <c r="C1271" s="4"/>
      <c r="D1271" s="4"/>
      <c r="E1271" s="5"/>
      <c r="F1271" s="3" t="str">
        <f t="shared" si="61"/>
        <v/>
      </c>
      <c r="G1271" s="4"/>
      <c r="H1271" s="3" t="str">
        <f t="shared" si="62"/>
        <v/>
      </c>
      <c r="I1271" s="5"/>
      <c r="J1271" s="5"/>
      <c r="K1271" s="6"/>
      <c r="L1271" s="6"/>
      <c r="M1271" s="7" t="str">
        <f t="shared" si="63"/>
        <v/>
      </c>
      <c r="N1271" s="6"/>
      <c r="O1271" s="5"/>
    </row>
    <row r="1272" spans="1:15" x14ac:dyDescent="0.2">
      <c r="A1272" s="3" t="str">
        <f>IF($B1272="","",COUNTA($B$9:$B1272))</f>
        <v/>
      </c>
      <c r="B1272" s="4"/>
      <c r="C1272" s="4"/>
      <c r="D1272" s="4"/>
      <c r="E1272" s="5"/>
      <c r="F1272" s="3" t="str">
        <f t="shared" si="61"/>
        <v/>
      </c>
      <c r="G1272" s="4"/>
      <c r="H1272" s="3" t="str">
        <f t="shared" si="62"/>
        <v/>
      </c>
      <c r="I1272" s="5"/>
      <c r="J1272" s="5"/>
      <c r="K1272" s="6"/>
      <c r="L1272" s="6"/>
      <c r="M1272" s="7" t="str">
        <f t="shared" si="63"/>
        <v/>
      </c>
      <c r="N1272" s="6"/>
      <c r="O1272" s="5"/>
    </row>
    <row r="1273" spans="1:15" x14ac:dyDescent="0.2">
      <c r="A1273" s="3" t="str">
        <f>IF($B1273="","",COUNTA($B$9:$B1273))</f>
        <v/>
      </c>
      <c r="B1273" s="4"/>
      <c r="C1273" s="4"/>
      <c r="D1273" s="4"/>
      <c r="E1273" s="5"/>
      <c r="F1273" s="3" t="str">
        <f t="shared" si="61"/>
        <v/>
      </c>
      <c r="G1273" s="4"/>
      <c r="H1273" s="3" t="str">
        <f t="shared" si="62"/>
        <v/>
      </c>
      <c r="I1273" s="5"/>
      <c r="J1273" s="5"/>
      <c r="K1273" s="6"/>
      <c r="L1273" s="6"/>
      <c r="M1273" s="7" t="str">
        <f t="shared" si="63"/>
        <v/>
      </c>
      <c r="N1273" s="6"/>
      <c r="O1273" s="5"/>
    </row>
    <row r="1274" spans="1:15" x14ac:dyDescent="0.2">
      <c r="A1274" s="3" t="str">
        <f>IF($B1274="","",COUNTA($B$9:$B1274))</f>
        <v/>
      </c>
      <c r="B1274" s="4"/>
      <c r="C1274" s="4"/>
      <c r="D1274" s="4"/>
      <c r="E1274" s="5"/>
      <c r="F1274" s="3" t="str">
        <f t="shared" si="61"/>
        <v/>
      </c>
      <c r="G1274" s="4"/>
      <c r="H1274" s="3" t="str">
        <f t="shared" si="62"/>
        <v/>
      </c>
      <c r="I1274" s="5"/>
      <c r="J1274" s="5"/>
      <c r="K1274" s="6"/>
      <c r="L1274" s="6"/>
      <c r="M1274" s="7" t="str">
        <f t="shared" si="63"/>
        <v/>
      </c>
      <c r="N1274" s="6"/>
      <c r="O1274" s="5"/>
    </row>
    <row r="1275" spans="1:15" x14ac:dyDescent="0.2">
      <c r="A1275" s="3" t="str">
        <f>IF($B1275="","",COUNTA($B$9:$B1275))</f>
        <v/>
      </c>
      <c r="B1275" s="4"/>
      <c r="C1275" s="4"/>
      <c r="D1275" s="4"/>
      <c r="E1275" s="5"/>
      <c r="F1275" s="3" t="str">
        <f t="shared" si="61"/>
        <v/>
      </c>
      <c r="G1275" s="4"/>
      <c r="H1275" s="3" t="str">
        <f t="shared" si="62"/>
        <v/>
      </c>
      <c r="I1275" s="5"/>
      <c r="J1275" s="5"/>
      <c r="K1275" s="6"/>
      <c r="L1275" s="6"/>
      <c r="M1275" s="7" t="str">
        <f t="shared" si="63"/>
        <v/>
      </c>
      <c r="N1275" s="6"/>
      <c r="O1275" s="5"/>
    </row>
    <row r="1276" spans="1:15" x14ac:dyDescent="0.2">
      <c r="A1276" s="3" t="str">
        <f>IF($B1276="","",COUNTA($B$9:$B1276))</f>
        <v/>
      </c>
      <c r="B1276" s="4"/>
      <c r="C1276" s="4"/>
      <c r="D1276" s="4"/>
      <c r="E1276" s="5"/>
      <c r="F1276" s="3" t="str">
        <f t="shared" si="61"/>
        <v/>
      </c>
      <c r="G1276" s="4"/>
      <c r="H1276" s="3" t="str">
        <f t="shared" si="62"/>
        <v/>
      </c>
      <c r="I1276" s="5"/>
      <c r="J1276" s="5"/>
      <c r="K1276" s="6"/>
      <c r="L1276" s="6"/>
      <c r="M1276" s="7" t="str">
        <f t="shared" si="63"/>
        <v/>
      </c>
      <c r="N1276" s="6"/>
      <c r="O1276" s="5"/>
    </row>
    <row r="1277" spans="1:15" x14ac:dyDescent="0.2">
      <c r="A1277" s="3" t="str">
        <f>IF($B1277="","",COUNTA($B$9:$B1277))</f>
        <v/>
      </c>
      <c r="B1277" s="4"/>
      <c r="C1277" s="4"/>
      <c r="D1277" s="4"/>
      <c r="E1277" s="5"/>
      <c r="F1277" s="3" t="str">
        <f t="shared" si="61"/>
        <v/>
      </c>
      <c r="G1277" s="4"/>
      <c r="H1277" s="3" t="str">
        <f t="shared" si="62"/>
        <v/>
      </c>
      <c r="I1277" s="5"/>
      <c r="J1277" s="5"/>
      <c r="K1277" s="6"/>
      <c r="L1277" s="6"/>
      <c r="M1277" s="7" t="str">
        <f t="shared" si="63"/>
        <v/>
      </c>
      <c r="N1277" s="6"/>
      <c r="O1277" s="5"/>
    </row>
    <row r="1278" spans="1:15" x14ac:dyDescent="0.2">
      <c r="A1278" s="3" t="str">
        <f>IF($B1278="","",COUNTA($B$9:$B1278))</f>
        <v/>
      </c>
      <c r="B1278" s="4"/>
      <c r="C1278" s="4"/>
      <c r="D1278" s="4"/>
      <c r="E1278" s="5"/>
      <c r="F1278" s="3" t="str">
        <f t="shared" si="61"/>
        <v/>
      </c>
      <c r="G1278" s="4"/>
      <c r="H1278" s="3" t="str">
        <f t="shared" si="62"/>
        <v/>
      </c>
      <c r="I1278" s="5"/>
      <c r="J1278" s="5"/>
      <c r="K1278" s="6"/>
      <c r="L1278" s="6"/>
      <c r="M1278" s="7" t="str">
        <f t="shared" si="63"/>
        <v/>
      </c>
      <c r="N1278" s="6"/>
      <c r="O1278" s="5"/>
    </row>
    <row r="1279" spans="1:15" x14ac:dyDescent="0.2">
      <c r="A1279" s="3" t="str">
        <f>IF($B1279="","",COUNTA($B$9:$B1279))</f>
        <v/>
      </c>
      <c r="B1279" s="4"/>
      <c r="C1279" s="4"/>
      <c r="D1279" s="4"/>
      <c r="E1279" s="5"/>
      <c r="F1279" s="3" t="str">
        <f t="shared" si="61"/>
        <v/>
      </c>
      <c r="G1279" s="4"/>
      <c r="H1279" s="3" t="str">
        <f t="shared" si="62"/>
        <v/>
      </c>
      <c r="I1279" s="5"/>
      <c r="J1279" s="5"/>
      <c r="K1279" s="6"/>
      <c r="L1279" s="6"/>
      <c r="M1279" s="7" t="str">
        <f t="shared" si="63"/>
        <v/>
      </c>
      <c r="N1279" s="6"/>
      <c r="O1279" s="5"/>
    </row>
    <row r="1280" spans="1:15" x14ac:dyDescent="0.2">
      <c r="A1280" s="3" t="str">
        <f>IF($B1280="","",COUNTA($B$9:$B1280))</f>
        <v/>
      </c>
      <c r="B1280" s="4"/>
      <c r="C1280" s="4"/>
      <c r="D1280" s="4"/>
      <c r="E1280" s="5"/>
      <c r="F1280" s="3" t="str">
        <f t="shared" si="61"/>
        <v/>
      </c>
      <c r="G1280" s="4"/>
      <c r="H1280" s="3" t="str">
        <f t="shared" si="62"/>
        <v/>
      </c>
      <c r="I1280" s="5"/>
      <c r="J1280" s="5"/>
      <c r="K1280" s="6"/>
      <c r="L1280" s="6"/>
      <c r="M1280" s="7" t="str">
        <f t="shared" si="63"/>
        <v/>
      </c>
      <c r="N1280" s="6"/>
      <c r="O1280" s="5"/>
    </row>
    <row r="1281" spans="1:15" x14ac:dyDescent="0.2">
      <c r="A1281" s="3" t="str">
        <f>IF($B1281="","",COUNTA($B$9:$B1281))</f>
        <v/>
      </c>
      <c r="B1281" s="4"/>
      <c r="C1281" s="4"/>
      <c r="D1281" s="4"/>
      <c r="E1281" s="5"/>
      <c r="F1281" s="3" t="str">
        <f t="shared" si="61"/>
        <v/>
      </c>
      <c r="G1281" s="4"/>
      <c r="H1281" s="3" t="str">
        <f t="shared" si="62"/>
        <v/>
      </c>
      <c r="I1281" s="5"/>
      <c r="J1281" s="5"/>
      <c r="K1281" s="6"/>
      <c r="L1281" s="6"/>
      <c r="M1281" s="7" t="str">
        <f t="shared" si="63"/>
        <v/>
      </c>
      <c r="N1281" s="6"/>
      <c r="O1281" s="5"/>
    </row>
    <row r="1282" spans="1:15" x14ac:dyDescent="0.2">
      <c r="A1282" s="3" t="str">
        <f>IF($B1282="","",COUNTA($B$9:$B1282))</f>
        <v/>
      </c>
      <c r="B1282" s="4"/>
      <c r="C1282" s="4"/>
      <c r="D1282" s="4"/>
      <c r="E1282" s="5"/>
      <c r="F1282" s="3" t="str">
        <f t="shared" si="61"/>
        <v/>
      </c>
      <c r="G1282" s="4"/>
      <c r="H1282" s="3" t="str">
        <f t="shared" si="62"/>
        <v/>
      </c>
      <c r="I1282" s="5"/>
      <c r="J1282" s="5"/>
      <c r="K1282" s="6"/>
      <c r="L1282" s="6"/>
      <c r="M1282" s="7" t="str">
        <f t="shared" si="63"/>
        <v/>
      </c>
      <c r="N1282" s="6"/>
      <c r="O1282" s="5"/>
    </row>
    <row r="1283" spans="1:15" x14ac:dyDescent="0.2">
      <c r="A1283" s="3" t="str">
        <f>IF($B1283="","",COUNTA($B$9:$B1283))</f>
        <v/>
      </c>
      <c r="B1283" s="4"/>
      <c r="C1283" s="4"/>
      <c r="D1283" s="4"/>
      <c r="E1283" s="5"/>
      <c r="F1283" s="3" t="str">
        <f t="shared" si="61"/>
        <v/>
      </c>
      <c r="G1283" s="4"/>
      <c r="H1283" s="3" t="str">
        <f t="shared" si="62"/>
        <v/>
      </c>
      <c r="I1283" s="5"/>
      <c r="J1283" s="5"/>
      <c r="K1283" s="6"/>
      <c r="L1283" s="6"/>
      <c r="M1283" s="7" t="str">
        <f t="shared" si="63"/>
        <v/>
      </c>
      <c r="N1283" s="6"/>
      <c r="O1283" s="5"/>
    </row>
    <row r="1284" spans="1:15" x14ac:dyDescent="0.2">
      <c r="A1284" s="3" t="str">
        <f>IF($B1284="","",COUNTA($B$9:$B1284))</f>
        <v/>
      </c>
      <c r="B1284" s="4"/>
      <c r="C1284" s="4"/>
      <c r="D1284" s="4"/>
      <c r="E1284" s="5"/>
      <c r="F1284" s="3" t="str">
        <f t="shared" si="61"/>
        <v/>
      </c>
      <c r="G1284" s="4"/>
      <c r="H1284" s="3" t="str">
        <f t="shared" si="62"/>
        <v/>
      </c>
      <c r="I1284" s="5"/>
      <c r="J1284" s="5"/>
      <c r="K1284" s="6"/>
      <c r="L1284" s="6"/>
      <c r="M1284" s="7" t="str">
        <f t="shared" si="63"/>
        <v/>
      </c>
      <c r="N1284" s="6"/>
      <c r="O1284" s="5"/>
    </row>
    <row r="1285" spans="1:15" x14ac:dyDescent="0.2">
      <c r="A1285" s="3" t="str">
        <f>IF($B1285="","",COUNTA($B$9:$B1285))</f>
        <v/>
      </c>
      <c r="B1285" s="4"/>
      <c r="C1285" s="4"/>
      <c r="D1285" s="4"/>
      <c r="E1285" s="5"/>
      <c r="F1285" s="3" t="str">
        <f t="shared" si="61"/>
        <v/>
      </c>
      <c r="G1285" s="4"/>
      <c r="H1285" s="3" t="str">
        <f t="shared" si="62"/>
        <v/>
      </c>
      <c r="I1285" s="5"/>
      <c r="J1285" s="5"/>
      <c r="K1285" s="6"/>
      <c r="L1285" s="6"/>
      <c r="M1285" s="7" t="str">
        <f t="shared" si="63"/>
        <v/>
      </c>
      <c r="N1285" s="6"/>
      <c r="O1285" s="5"/>
    </row>
    <row r="1286" spans="1:15" x14ac:dyDescent="0.2">
      <c r="A1286" s="3" t="str">
        <f>IF($B1286="","",COUNTA($B$9:$B1286))</f>
        <v/>
      </c>
      <c r="B1286" s="4"/>
      <c r="C1286" s="4"/>
      <c r="D1286" s="4"/>
      <c r="E1286" s="5"/>
      <c r="F1286" s="3" t="str">
        <f t="shared" si="61"/>
        <v/>
      </c>
      <c r="G1286" s="4"/>
      <c r="H1286" s="3" t="str">
        <f t="shared" si="62"/>
        <v/>
      </c>
      <c r="I1286" s="5"/>
      <c r="J1286" s="5"/>
      <c r="K1286" s="6"/>
      <c r="L1286" s="6"/>
      <c r="M1286" s="7" t="str">
        <f t="shared" si="63"/>
        <v/>
      </c>
      <c r="N1286" s="6"/>
      <c r="O1286" s="5"/>
    </row>
    <row r="1287" spans="1:15" x14ac:dyDescent="0.2">
      <c r="A1287" s="3" t="str">
        <f>IF($B1287="","",COUNTA($B$9:$B1287))</f>
        <v/>
      </c>
      <c r="B1287" s="4"/>
      <c r="C1287" s="4"/>
      <c r="D1287" s="4"/>
      <c r="E1287" s="5"/>
      <c r="F1287" s="3" t="str">
        <f t="shared" si="61"/>
        <v/>
      </c>
      <c r="G1287" s="4"/>
      <c r="H1287" s="3" t="str">
        <f t="shared" si="62"/>
        <v/>
      </c>
      <c r="I1287" s="5"/>
      <c r="J1287" s="5"/>
      <c r="K1287" s="6"/>
      <c r="L1287" s="6"/>
      <c r="M1287" s="7" t="str">
        <f t="shared" si="63"/>
        <v/>
      </c>
      <c r="N1287" s="6"/>
      <c r="O1287" s="5"/>
    </row>
    <row r="1288" spans="1:15" x14ac:dyDescent="0.2">
      <c r="A1288" s="3" t="str">
        <f>IF($B1288="","",COUNTA($B$9:$B1288))</f>
        <v/>
      </c>
      <c r="B1288" s="4"/>
      <c r="C1288" s="4"/>
      <c r="D1288" s="4"/>
      <c r="E1288" s="5"/>
      <c r="F1288" s="3" t="str">
        <f t="shared" ref="F1288:F1351" si="64">IF($E1288="","",IFERROR(VLOOKUP($E1288,OpTbl,2,0),""))</f>
        <v/>
      </c>
      <c r="G1288" s="4"/>
      <c r="H1288" s="3" t="str">
        <f t="shared" ref="H1288:H1351" si="65">IF($G1288="","",IFERROR(IF(VLOOKUP($G1288,AcctTbl,4,0)="","(بدون نام)",VLOOKUP($G1288,AcctTbl,4,0)),"کد ناشناخته"))</f>
        <v/>
      </c>
      <c r="I1288" s="5"/>
      <c r="J1288" s="5"/>
      <c r="K1288" s="6"/>
      <c r="L1288" s="6"/>
      <c r="M1288" s="7" t="str">
        <f t="shared" ref="M1288:M1351" si="66">IF(OR($B1288="",$K1288=""),"",($K1288-IF($L1288="",0,$L1288)*IFERROR(VLOOKUP("P01",ParamTbl,3,0),1.5))*(1-IF(IFERROR(VLOOKUP($E1288,OpTbl,3,0),"")="خرید",IFERROR(VLOOKUP("P02",ParamTbl,3,0),1),0)/100))</f>
        <v/>
      </c>
      <c r="N1288" s="6"/>
      <c r="O1288" s="5"/>
    </row>
    <row r="1289" spans="1:15" x14ac:dyDescent="0.2">
      <c r="A1289" s="3" t="str">
        <f>IF($B1289="","",COUNTA($B$9:$B1289))</f>
        <v/>
      </c>
      <c r="B1289" s="4"/>
      <c r="C1289" s="4"/>
      <c r="D1289" s="4"/>
      <c r="E1289" s="5"/>
      <c r="F1289" s="3" t="str">
        <f t="shared" si="64"/>
        <v/>
      </c>
      <c r="G1289" s="4"/>
      <c r="H1289" s="3" t="str">
        <f t="shared" si="65"/>
        <v/>
      </c>
      <c r="I1289" s="5"/>
      <c r="J1289" s="5"/>
      <c r="K1289" s="6"/>
      <c r="L1289" s="6"/>
      <c r="M1289" s="7" t="str">
        <f t="shared" si="66"/>
        <v/>
      </c>
      <c r="N1289" s="6"/>
      <c r="O1289" s="5"/>
    </row>
    <row r="1290" spans="1:15" x14ac:dyDescent="0.2">
      <c r="A1290" s="3" t="str">
        <f>IF($B1290="","",COUNTA($B$9:$B1290))</f>
        <v/>
      </c>
      <c r="B1290" s="4"/>
      <c r="C1290" s="4"/>
      <c r="D1290" s="4"/>
      <c r="E1290" s="5"/>
      <c r="F1290" s="3" t="str">
        <f t="shared" si="64"/>
        <v/>
      </c>
      <c r="G1290" s="4"/>
      <c r="H1290" s="3" t="str">
        <f t="shared" si="65"/>
        <v/>
      </c>
      <c r="I1290" s="5"/>
      <c r="J1290" s="5"/>
      <c r="K1290" s="6"/>
      <c r="L1290" s="6"/>
      <c r="M1290" s="7" t="str">
        <f t="shared" si="66"/>
        <v/>
      </c>
      <c r="N1290" s="6"/>
      <c r="O1290" s="5"/>
    </row>
    <row r="1291" spans="1:15" x14ac:dyDescent="0.2">
      <c r="A1291" s="3" t="str">
        <f>IF($B1291="","",COUNTA($B$9:$B1291))</f>
        <v/>
      </c>
      <c r="B1291" s="4"/>
      <c r="C1291" s="4"/>
      <c r="D1291" s="4"/>
      <c r="E1291" s="5"/>
      <c r="F1291" s="3" t="str">
        <f t="shared" si="64"/>
        <v/>
      </c>
      <c r="G1291" s="4"/>
      <c r="H1291" s="3" t="str">
        <f t="shared" si="65"/>
        <v/>
      </c>
      <c r="I1291" s="5"/>
      <c r="J1291" s="5"/>
      <c r="K1291" s="6"/>
      <c r="L1291" s="6"/>
      <c r="M1291" s="7" t="str">
        <f t="shared" si="66"/>
        <v/>
      </c>
      <c r="N1291" s="6"/>
      <c r="O1291" s="5"/>
    </row>
    <row r="1292" spans="1:15" x14ac:dyDescent="0.2">
      <c r="A1292" s="3" t="str">
        <f>IF($B1292="","",COUNTA($B$9:$B1292))</f>
        <v/>
      </c>
      <c r="B1292" s="4"/>
      <c r="C1292" s="4"/>
      <c r="D1292" s="4"/>
      <c r="E1292" s="5"/>
      <c r="F1292" s="3" t="str">
        <f t="shared" si="64"/>
        <v/>
      </c>
      <c r="G1292" s="4"/>
      <c r="H1292" s="3" t="str">
        <f t="shared" si="65"/>
        <v/>
      </c>
      <c r="I1292" s="5"/>
      <c r="J1292" s="5"/>
      <c r="K1292" s="6"/>
      <c r="L1292" s="6"/>
      <c r="M1292" s="7" t="str">
        <f t="shared" si="66"/>
        <v/>
      </c>
      <c r="N1292" s="6"/>
      <c r="O1292" s="5"/>
    </row>
    <row r="1293" spans="1:15" x14ac:dyDescent="0.2">
      <c r="A1293" s="3" t="str">
        <f>IF($B1293="","",COUNTA($B$9:$B1293))</f>
        <v/>
      </c>
      <c r="B1293" s="4"/>
      <c r="C1293" s="4"/>
      <c r="D1293" s="4"/>
      <c r="E1293" s="5"/>
      <c r="F1293" s="3" t="str">
        <f t="shared" si="64"/>
        <v/>
      </c>
      <c r="G1293" s="4"/>
      <c r="H1293" s="3" t="str">
        <f t="shared" si="65"/>
        <v/>
      </c>
      <c r="I1293" s="5"/>
      <c r="J1293" s="5"/>
      <c r="K1293" s="6"/>
      <c r="L1293" s="6"/>
      <c r="M1293" s="7" t="str">
        <f t="shared" si="66"/>
        <v/>
      </c>
      <c r="N1293" s="6"/>
      <c r="O1293" s="5"/>
    </row>
    <row r="1294" spans="1:15" x14ac:dyDescent="0.2">
      <c r="A1294" s="3" t="str">
        <f>IF($B1294="","",COUNTA($B$9:$B1294))</f>
        <v/>
      </c>
      <c r="B1294" s="4"/>
      <c r="C1294" s="4"/>
      <c r="D1294" s="4"/>
      <c r="E1294" s="5"/>
      <c r="F1294" s="3" t="str">
        <f t="shared" si="64"/>
        <v/>
      </c>
      <c r="G1294" s="4"/>
      <c r="H1294" s="3" t="str">
        <f t="shared" si="65"/>
        <v/>
      </c>
      <c r="I1294" s="5"/>
      <c r="J1294" s="5"/>
      <c r="K1294" s="6"/>
      <c r="L1294" s="6"/>
      <c r="M1294" s="7" t="str">
        <f t="shared" si="66"/>
        <v/>
      </c>
      <c r="N1294" s="6"/>
      <c r="O1294" s="5"/>
    </row>
    <row r="1295" spans="1:15" x14ac:dyDescent="0.2">
      <c r="A1295" s="3" t="str">
        <f>IF($B1295="","",COUNTA($B$9:$B1295))</f>
        <v/>
      </c>
      <c r="B1295" s="4"/>
      <c r="C1295" s="4"/>
      <c r="D1295" s="4"/>
      <c r="E1295" s="5"/>
      <c r="F1295" s="3" t="str">
        <f t="shared" si="64"/>
        <v/>
      </c>
      <c r="G1295" s="4"/>
      <c r="H1295" s="3" t="str">
        <f t="shared" si="65"/>
        <v/>
      </c>
      <c r="I1295" s="5"/>
      <c r="J1295" s="5"/>
      <c r="K1295" s="6"/>
      <c r="L1295" s="6"/>
      <c r="M1295" s="7" t="str">
        <f t="shared" si="66"/>
        <v/>
      </c>
      <c r="N1295" s="6"/>
      <c r="O1295" s="5"/>
    </row>
    <row r="1296" spans="1:15" x14ac:dyDescent="0.2">
      <c r="A1296" s="3" t="str">
        <f>IF($B1296="","",COUNTA($B$9:$B1296))</f>
        <v/>
      </c>
      <c r="B1296" s="4"/>
      <c r="C1296" s="4"/>
      <c r="D1296" s="4"/>
      <c r="E1296" s="5"/>
      <c r="F1296" s="3" t="str">
        <f t="shared" si="64"/>
        <v/>
      </c>
      <c r="G1296" s="4"/>
      <c r="H1296" s="3" t="str">
        <f t="shared" si="65"/>
        <v/>
      </c>
      <c r="I1296" s="5"/>
      <c r="J1296" s="5"/>
      <c r="K1296" s="6"/>
      <c r="L1296" s="6"/>
      <c r="M1296" s="7" t="str">
        <f t="shared" si="66"/>
        <v/>
      </c>
      <c r="N1296" s="6"/>
      <c r="O1296" s="5"/>
    </row>
    <row r="1297" spans="1:15" x14ac:dyDescent="0.2">
      <c r="A1297" s="3" t="str">
        <f>IF($B1297="","",COUNTA($B$9:$B1297))</f>
        <v/>
      </c>
      <c r="B1297" s="4"/>
      <c r="C1297" s="4"/>
      <c r="D1297" s="4"/>
      <c r="E1297" s="5"/>
      <c r="F1297" s="3" t="str">
        <f t="shared" si="64"/>
        <v/>
      </c>
      <c r="G1297" s="4"/>
      <c r="H1297" s="3" t="str">
        <f t="shared" si="65"/>
        <v/>
      </c>
      <c r="I1297" s="5"/>
      <c r="J1297" s="5"/>
      <c r="K1297" s="6"/>
      <c r="L1297" s="6"/>
      <c r="M1297" s="7" t="str">
        <f t="shared" si="66"/>
        <v/>
      </c>
      <c r="N1297" s="6"/>
      <c r="O1297" s="5"/>
    </row>
    <row r="1298" spans="1:15" x14ac:dyDescent="0.2">
      <c r="A1298" s="3" t="str">
        <f>IF($B1298="","",COUNTA($B$9:$B1298))</f>
        <v/>
      </c>
      <c r="B1298" s="4"/>
      <c r="C1298" s="4"/>
      <c r="D1298" s="4"/>
      <c r="E1298" s="5"/>
      <c r="F1298" s="3" t="str">
        <f t="shared" si="64"/>
        <v/>
      </c>
      <c r="G1298" s="4"/>
      <c r="H1298" s="3" t="str">
        <f t="shared" si="65"/>
        <v/>
      </c>
      <c r="I1298" s="5"/>
      <c r="J1298" s="5"/>
      <c r="K1298" s="6"/>
      <c r="L1298" s="6"/>
      <c r="M1298" s="7" t="str">
        <f t="shared" si="66"/>
        <v/>
      </c>
      <c r="N1298" s="6"/>
      <c r="O1298" s="5"/>
    </row>
    <row r="1299" spans="1:15" x14ac:dyDescent="0.2">
      <c r="A1299" s="3" t="str">
        <f>IF($B1299="","",COUNTA($B$9:$B1299))</f>
        <v/>
      </c>
      <c r="B1299" s="4"/>
      <c r="C1299" s="4"/>
      <c r="D1299" s="4"/>
      <c r="E1299" s="5"/>
      <c r="F1299" s="3" t="str">
        <f t="shared" si="64"/>
        <v/>
      </c>
      <c r="G1299" s="4"/>
      <c r="H1299" s="3" t="str">
        <f t="shared" si="65"/>
        <v/>
      </c>
      <c r="I1299" s="5"/>
      <c r="J1299" s="5"/>
      <c r="K1299" s="6"/>
      <c r="L1299" s="6"/>
      <c r="M1299" s="7" t="str">
        <f t="shared" si="66"/>
        <v/>
      </c>
      <c r="N1299" s="6"/>
      <c r="O1299" s="5"/>
    </row>
    <row r="1300" spans="1:15" x14ac:dyDescent="0.2">
      <c r="A1300" s="3" t="str">
        <f>IF($B1300="","",COUNTA($B$9:$B1300))</f>
        <v/>
      </c>
      <c r="B1300" s="4"/>
      <c r="C1300" s="4"/>
      <c r="D1300" s="4"/>
      <c r="E1300" s="5"/>
      <c r="F1300" s="3" t="str">
        <f t="shared" si="64"/>
        <v/>
      </c>
      <c r="G1300" s="4"/>
      <c r="H1300" s="3" t="str">
        <f t="shared" si="65"/>
        <v/>
      </c>
      <c r="I1300" s="5"/>
      <c r="J1300" s="5"/>
      <c r="K1300" s="6"/>
      <c r="L1300" s="6"/>
      <c r="M1300" s="7" t="str">
        <f t="shared" si="66"/>
        <v/>
      </c>
      <c r="N1300" s="6"/>
      <c r="O1300" s="5"/>
    </row>
    <row r="1301" spans="1:15" x14ac:dyDescent="0.2">
      <c r="A1301" s="3" t="str">
        <f>IF($B1301="","",COUNTA($B$9:$B1301))</f>
        <v/>
      </c>
      <c r="B1301" s="4"/>
      <c r="C1301" s="4"/>
      <c r="D1301" s="4"/>
      <c r="E1301" s="5"/>
      <c r="F1301" s="3" t="str">
        <f t="shared" si="64"/>
        <v/>
      </c>
      <c r="G1301" s="4"/>
      <c r="H1301" s="3" t="str">
        <f t="shared" si="65"/>
        <v/>
      </c>
      <c r="I1301" s="5"/>
      <c r="J1301" s="5"/>
      <c r="K1301" s="6"/>
      <c r="L1301" s="6"/>
      <c r="M1301" s="7" t="str">
        <f t="shared" si="66"/>
        <v/>
      </c>
      <c r="N1301" s="6"/>
      <c r="O1301" s="5"/>
    </row>
    <row r="1302" spans="1:15" x14ac:dyDescent="0.2">
      <c r="A1302" s="3" t="str">
        <f>IF($B1302="","",COUNTA($B$9:$B1302))</f>
        <v/>
      </c>
      <c r="B1302" s="4"/>
      <c r="C1302" s="4"/>
      <c r="D1302" s="4"/>
      <c r="E1302" s="5"/>
      <c r="F1302" s="3" t="str">
        <f t="shared" si="64"/>
        <v/>
      </c>
      <c r="G1302" s="4"/>
      <c r="H1302" s="3" t="str">
        <f t="shared" si="65"/>
        <v/>
      </c>
      <c r="I1302" s="5"/>
      <c r="J1302" s="5"/>
      <c r="K1302" s="6"/>
      <c r="L1302" s="6"/>
      <c r="M1302" s="7" t="str">
        <f t="shared" si="66"/>
        <v/>
      </c>
      <c r="N1302" s="6"/>
      <c r="O1302" s="5"/>
    </row>
    <row r="1303" spans="1:15" x14ac:dyDescent="0.2">
      <c r="A1303" s="3" t="str">
        <f>IF($B1303="","",COUNTA($B$9:$B1303))</f>
        <v/>
      </c>
      <c r="B1303" s="4"/>
      <c r="C1303" s="4"/>
      <c r="D1303" s="4"/>
      <c r="E1303" s="5"/>
      <c r="F1303" s="3" t="str">
        <f t="shared" si="64"/>
        <v/>
      </c>
      <c r="G1303" s="4"/>
      <c r="H1303" s="3" t="str">
        <f t="shared" si="65"/>
        <v/>
      </c>
      <c r="I1303" s="5"/>
      <c r="J1303" s="5"/>
      <c r="K1303" s="6"/>
      <c r="L1303" s="6"/>
      <c r="M1303" s="7" t="str">
        <f t="shared" si="66"/>
        <v/>
      </c>
      <c r="N1303" s="6"/>
      <c r="O1303" s="5"/>
    </row>
    <row r="1304" spans="1:15" x14ac:dyDescent="0.2">
      <c r="A1304" s="3" t="str">
        <f>IF($B1304="","",COUNTA($B$9:$B1304))</f>
        <v/>
      </c>
      <c r="B1304" s="4"/>
      <c r="C1304" s="4"/>
      <c r="D1304" s="4"/>
      <c r="E1304" s="5"/>
      <c r="F1304" s="3" t="str">
        <f t="shared" si="64"/>
        <v/>
      </c>
      <c r="G1304" s="4"/>
      <c r="H1304" s="3" t="str">
        <f t="shared" si="65"/>
        <v/>
      </c>
      <c r="I1304" s="5"/>
      <c r="J1304" s="5"/>
      <c r="K1304" s="6"/>
      <c r="L1304" s="6"/>
      <c r="M1304" s="7" t="str">
        <f t="shared" si="66"/>
        <v/>
      </c>
      <c r="N1304" s="6"/>
      <c r="O1304" s="5"/>
    </row>
    <row r="1305" spans="1:15" x14ac:dyDescent="0.2">
      <c r="A1305" s="3" t="str">
        <f>IF($B1305="","",COUNTA($B$9:$B1305))</f>
        <v/>
      </c>
      <c r="B1305" s="4"/>
      <c r="C1305" s="4"/>
      <c r="D1305" s="4"/>
      <c r="E1305" s="5"/>
      <c r="F1305" s="3" t="str">
        <f t="shared" si="64"/>
        <v/>
      </c>
      <c r="G1305" s="4"/>
      <c r="H1305" s="3" t="str">
        <f t="shared" si="65"/>
        <v/>
      </c>
      <c r="I1305" s="5"/>
      <c r="J1305" s="5"/>
      <c r="K1305" s="6"/>
      <c r="L1305" s="6"/>
      <c r="M1305" s="7" t="str">
        <f t="shared" si="66"/>
        <v/>
      </c>
      <c r="N1305" s="6"/>
      <c r="O1305" s="5"/>
    </row>
    <row r="1306" spans="1:15" x14ac:dyDescent="0.2">
      <c r="A1306" s="3" t="str">
        <f>IF($B1306="","",COUNTA($B$9:$B1306))</f>
        <v/>
      </c>
      <c r="B1306" s="4"/>
      <c r="C1306" s="4"/>
      <c r="D1306" s="4"/>
      <c r="E1306" s="5"/>
      <c r="F1306" s="3" t="str">
        <f t="shared" si="64"/>
        <v/>
      </c>
      <c r="G1306" s="4"/>
      <c r="H1306" s="3" t="str">
        <f t="shared" si="65"/>
        <v/>
      </c>
      <c r="I1306" s="5"/>
      <c r="J1306" s="5"/>
      <c r="K1306" s="6"/>
      <c r="L1306" s="6"/>
      <c r="M1306" s="7" t="str">
        <f t="shared" si="66"/>
        <v/>
      </c>
      <c r="N1306" s="6"/>
      <c r="O1306" s="5"/>
    </row>
    <row r="1307" spans="1:15" x14ac:dyDescent="0.2">
      <c r="A1307" s="3" t="str">
        <f>IF($B1307="","",COUNTA($B$9:$B1307))</f>
        <v/>
      </c>
      <c r="B1307" s="4"/>
      <c r="C1307" s="4"/>
      <c r="D1307" s="4"/>
      <c r="E1307" s="5"/>
      <c r="F1307" s="3" t="str">
        <f t="shared" si="64"/>
        <v/>
      </c>
      <c r="G1307" s="4"/>
      <c r="H1307" s="3" t="str">
        <f t="shared" si="65"/>
        <v/>
      </c>
      <c r="I1307" s="5"/>
      <c r="J1307" s="5"/>
      <c r="K1307" s="6"/>
      <c r="L1307" s="6"/>
      <c r="M1307" s="7" t="str">
        <f t="shared" si="66"/>
        <v/>
      </c>
      <c r="N1307" s="6"/>
      <c r="O1307" s="5"/>
    </row>
    <row r="1308" spans="1:15" x14ac:dyDescent="0.2">
      <c r="A1308" s="3" t="str">
        <f>IF($B1308="","",COUNTA($B$9:$B1308))</f>
        <v/>
      </c>
      <c r="B1308" s="4"/>
      <c r="C1308" s="4"/>
      <c r="D1308" s="4"/>
      <c r="E1308" s="5"/>
      <c r="F1308" s="3" t="str">
        <f t="shared" si="64"/>
        <v/>
      </c>
      <c r="G1308" s="4"/>
      <c r="H1308" s="3" t="str">
        <f t="shared" si="65"/>
        <v/>
      </c>
      <c r="I1308" s="5"/>
      <c r="J1308" s="5"/>
      <c r="K1308" s="6"/>
      <c r="L1308" s="6"/>
      <c r="M1308" s="7" t="str">
        <f t="shared" si="66"/>
        <v/>
      </c>
      <c r="N1308" s="6"/>
      <c r="O1308" s="5"/>
    </row>
    <row r="1309" spans="1:15" x14ac:dyDescent="0.2">
      <c r="A1309" s="3" t="str">
        <f>IF($B1309="","",COUNTA($B$9:$B1309))</f>
        <v/>
      </c>
      <c r="B1309" s="4"/>
      <c r="C1309" s="4"/>
      <c r="D1309" s="4"/>
      <c r="E1309" s="5"/>
      <c r="F1309" s="3" t="str">
        <f t="shared" si="64"/>
        <v/>
      </c>
      <c r="G1309" s="4"/>
      <c r="H1309" s="3" t="str">
        <f t="shared" si="65"/>
        <v/>
      </c>
      <c r="I1309" s="5"/>
      <c r="J1309" s="5"/>
      <c r="K1309" s="6"/>
      <c r="L1309" s="6"/>
      <c r="M1309" s="7" t="str">
        <f t="shared" si="66"/>
        <v/>
      </c>
      <c r="N1309" s="6"/>
      <c r="O1309" s="5"/>
    </row>
    <row r="1310" spans="1:15" x14ac:dyDescent="0.2">
      <c r="A1310" s="3" t="str">
        <f>IF($B1310="","",COUNTA($B$9:$B1310))</f>
        <v/>
      </c>
      <c r="B1310" s="4"/>
      <c r="C1310" s="4"/>
      <c r="D1310" s="4"/>
      <c r="E1310" s="5"/>
      <c r="F1310" s="3" t="str">
        <f t="shared" si="64"/>
        <v/>
      </c>
      <c r="G1310" s="4"/>
      <c r="H1310" s="3" t="str">
        <f t="shared" si="65"/>
        <v/>
      </c>
      <c r="I1310" s="5"/>
      <c r="J1310" s="5"/>
      <c r="K1310" s="6"/>
      <c r="L1310" s="6"/>
      <c r="M1310" s="7" t="str">
        <f t="shared" si="66"/>
        <v/>
      </c>
      <c r="N1310" s="6"/>
      <c r="O1310" s="5"/>
    </row>
    <row r="1311" spans="1:15" x14ac:dyDescent="0.2">
      <c r="A1311" s="3" t="str">
        <f>IF($B1311="","",COUNTA($B$9:$B1311))</f>
        <v/>
      </c>
      <c r="B1311" s="4"/>
      <c r="C1311" s="4"/>
      <c r="D1311" s="4"/>
      <c r="E1311" s="5"/>
      <c r="F1311" s="3" t="str">
        <f t="shared" si="64"/>
        <v/>
      </c>
      <c r="G1311" s="4"/>
      <c r="H1311" s="3" t="str">
        <f t="shared" si="65"/>
        <v/>
      </c>
      <c r="I1311" s="5"/>
      <c r="J1311" s="5"/>
      <c r="K1311" s="6"/>
      <c r="L1311" s="6"/>
      <c r="M1311" s="7" t="str">
        <f t="shared" si="66"/>
        <v/>
      </c>
      <c r="N1311" s="6"/>
      <c r="O1311" s="5"/>
    </row>
    <row r="1312" spans="1:15" x14ac:dyDescent="0.2">
      <c r="A1312" s="3" t="str">
        <f>IF($B1312="","",COUNTA($B$9:$B1312))</f>
        <v/>
      </c>
      <c r="B1312" s="4"/>
      <c r="C1312" s="4"/>
      <c r="D1312" s="4"/>
      <c r="E1312" s="5"/>
      <c r="F1312" s="3" t="str">
        <f t="shared" si="64"/>
        <v/>
      </c>
      <c r="G1312" s="4"/>
      <c r="H1312" s="3" t="str">
        <f t="shared" si="65"/>
        <v/>
      </c>
      <c r="I1312" s="5"/>
      <c r="J1312" s="5"/>
      <c r="K1312" s="6"/>
      <c r="L1312" s="6"/>
      <c r="M1312" s="7" t="str">
        <f t="shared" si="66"/>
        <v/>
      </c>
      <c r="N1312" s="6"/>
      <c r="O1312" s="5"/>
    </row>
    <row r="1313" spans="1:15" x14ac:dyDescent="0.2">
      <c r="A1313" s="3" t="str">
        <f>IF($B1313="","",COUNTA($B$9:$B1313))</f>
        <v/>
      </c>
      <c r="B1313" s="4"/>
      <c r="C1313" s="4"/>
      <c r="D1313" s="4"/>
      <c r="E1313" s="5"/>
      <c r="F1313" s="3" t="str">
        <f t="shared" si="64"/>
        <v/>
      </c>
      <c r="G1313" s="4"/>
      <c r="H1313" s="3" t="str">
        <f t="shared" si="65"/>
        <v/>
      </c>
      <c r="I1313" s="5"/>
      <c r="J1313" s="5"/>
      <c r="K1313" s="6"/>
      <c r="L1313" s="6"/>
      <c r="M1313" s="7" t="str">
        <f t="shared" si="66"/>
        <v/>
      </c>
      <c r="N1313" s="6"/>
      <c r="O1313" s="5"/>
    </row>
    <row r="1314" spans="1:15" x14ac:dyDescent="0.2">
      <c r="A1314" s="3" t="str">
        <f>IF($B1314="","",COUNTA($B$9:$B1314))</f>
        <v/>
      </c>
      <c r="B1314" s="4"/>
      <c r="C1314" s="4"/>
      <c r="D1314" s="4"/>
      <c r="E1314" s="5"/>
      <c r="F1314" s="3" t="str">
        <f t="shared" si="64"/>
        <v/>
      </c>
      <c r="G1314" s="4"/>
      <c r="H1314" s="3" t="str">
        <f t="shared" si="65"/>
        <v/>
      </c>
      <c r="I1314" s="5"/>
      <c r="J1314" s="5"/>
      <c r="K1314" s="6"/>
      <c r="L1314" s="6"/>
      <c r="M1314" s="7" t="str">
        <f t="shared" si="66"/>
        <v/>
      </c>
      <c r="N1314" s="6"/>
      <c r="O1314" s="5"/>
    </row>
    <row r="1315" spans="1:15" x14ac:dyDescent="0.2">
      <c r="A1315" s="3" t="str">
        <f>IF($B1315="","",COUNTA($B$9:$B1315))</f>
        <v/>
      </c>
      <c r="B1315" s="4"/>
      <c r="C1315" s="4"/>
      <c r="D1315" s="4"/>
      <c r="E1315" s="5"/>
      <c r="F1315" s="3" t="str">
        <f t="shared" si="64"/>
        <v/>
      </c>
      <c r="G1315" s="4"/>
      <c r="H1315" s="3" t="str">
        <f t="shared" si="65"/>
        <v/>
      </c>
      <c r="I1315" s="5"/>
      <c r="J1315" s="5"/>
      <c r="K1315" s="6"/>
      <c r="L1315" s="6"/>
      <c r="M1315" s="7" t="str">
        <f t="shared" si="66"/>
        <v/>
      </c>
      <c r="N1315" s="6"/>
      <c r="O1315" s="5"/>
    </row>
    <row r="1316" spans="1:15" x14ac:dyDescent="0.2">
      <c r="A1316" s="3" t="str">
        <f>IF($B1316="","",COUNTA($B$9:$B1316))</f>
        <v/>
      </c>
      <c r="B1316" s="4"/>
      <c r="C1316" s="4"/>
      <c r="D1316" s="4"/>
      <c r="E1316" s="5"/>
      <c r="F1316" s="3" t="str">
        <f t="shared" si="64"/>
        <v/>
      </c>
      <c r="G1316" s="4"/>
      <c r="H1316" s="3" t="str">
        <f t="shared" si="65"/>
        <v/>
      </c>
      <c r="I1316" s="5"/>
      <c r="J1316" s="5"/>
      <c r="K1316" s="6"/>
      <c r="L1316" s="6"/>
      <c r="M1316" s="7" t="str">
        <f t="shared" si="66"/>
        <v/>
      </c>
      <c r="N1316" s="6"/>
      <c r="O1316" s="5"/>
    </row>
    <row r="1317" spans="1:15" x14ac:dyDescent="0.2">
      <c r="A1317" s="3" t="str">
        <f>IF($B1317="","",COUNTA($B$9:$B1317))</f>
        <v/>
      </c>
      <c r="B1317" s="4"/>
      <c r="C1317" s="4"/>
      <c r="D1317" s="4"/>
      <c r="E1317" s="5"/>
      <c r="F1317" s="3" t="str">
        <f t="shared" si="64"/>
        <v/>
      </c>
      <c r="G1317" s="4"/>
      <c r="H1317" s="3" t="str">
        <f t="shared" si="65"/>
        <v/>
      </c>
      <c r="I1317" s="5"/>
      <c r="J1317" s="5"/>
      <c r="K1317" s="6"/>
      <c r="L1317" s="6"/>
      <c r="M1317" s="7" t="str">
        <f t="shared" si="66"/>
        <v/>
      </c>
      <c r="N1317" s="6"/>
      <c r="O1317" s="5"/>
    </row>
    <row r="1318" spans="1:15" x14ac:dyDescent="0.2">
      <c r="A1318" s="3" t="str">
        <f>IF($B1318="","",COUNTA($B$9:$B1318))</f>
        <v/>
      </c>
      <c r="B1318" s="4"/>
      <c r="C1318" s="4"/>
      <c r="D1318" s="4"/>
      <c r="E1318" s="5"/>
      <c r="F1318" s="3" t="str">
        <f t="shared" si="64"/>
        <v/>
      </c>
      <c r="G1318" s="4"/>
      <c r="H1318" s="3" t="str">
        <f t="shared" si="65"/>
        <v/>
      </c>
      <c r="I1318" s="5"/>
      <c r="J1318" s="5"/>
      <c r="K1318" s="6"/>
      <c r="L1318" s="6"/>
      <c r="M1318" s="7" t="str">
        <f t="shared" si="66"/>
        <v/>
      </c>
      <c r="N1318" s="6"/>
      <c r="O1318" s="5"/>
    </row>
    <row r="1319" spans="1:15" x14ac:dyDescent="0.2">
      <c r="A1319" s="3" t="str">
        <f>IF($B1319="","",COUNTA($B$9:$B1319))</f>
        <v/>
      </c>
      <c r="B1319" s="4"/>
      <c r="C1319" s="4"/>
      <c r="D1319" s="4"/>
      <c r="E1319" s="5"/>
      <c r="F1319" s="3" t="str">
        <f t="shared" si="64"/>
        <v/>
      </c>
      <c r="G1319" s="4"/>
      <c r="H1319" s="3" t="str">
        <f t="shared" si="65"/>
        <v/>
      </c>
      <c r="I1319" s="5"/>
      <c r="J1319" s="5"/>
      <c r="K1319" s="6"/>
      <c r="L1319" s="6"/>
      <c r="M1319" s="7" t="str">
        <f t="shared" si="66"/>
        <v/>
      </c>
      <c r="N1319" s="6"/>
      <c r="O1319" s="5"/>
    </row>
    <row r="1320" spans="1:15" x14ac:dyDescent="0.2">
      <c r="A1320" s="3" t="str">
        <f>IF($B1320="","",COUNTA($B$9:$B1320))</f>
        <v/>
      </c>
      <c r="B1320" s="4"/>
      <c r="C1320" s="4"/>
      <c r="D1320" s="4"/>
      <c r="E1320" s="5"/>
      <c r="F1320" s="3" t="str">
        <f t="shared" si="64"/>
        <v/>
      </c>
      <c r="G1320" s="4"/>
      <c r="H1320" s="3" t="str">
        <f t="shared" si="65"/>
        <v/>
      </c>
      <c r="I1320" s="5"/>
      <c r="J1320" s="5"/>
      <c r="K1320" s="6"/>
      <c r="L1320" s="6"/>
      <c r="M1320" s="7" t="str">
        <f t="shared" si="66"/>
        <v/>
      </c>
      <c r="N1320" s="6"/>
      <c r="O1320" s="5"/>
    </row>
    <row r="1321" spans="1:15" x14ac:dyDescent="0.2">
      <c r="A1321" s="3" t="str">
        <f>IF($B1321="","",COUNTA($B$9:$B1321))</f>
        <v/>
      </c>
      <c r="B1321" s="4"/>
      <c r="C1321" s="4"/>
      <c r="D1321" s="4"/>
      <c r="E1321" s="5"/>
      <c r="F1321" s="3" t="str">
        <f t="shared" si="64"/>
        <v/>
      </c>
      <c r="G1321" s="4"/>
      <c r="H1321" s="3" t="str">
        <f t="shared" si="65"/>
        <v/>
      </c>
      <c r="I1321" s="5"/>
      <c r="J1321" s="5"/>
      <c r="K1321" s="6"/>
      <c r="L1321" s="6"/>
      <c r="M1321" s="7" t="str">
        <f t="shared" si="66"/>
        <v/>
      </c>
      <c r="N1321" s="6"/>
      <c r="O1321" s="5"/>
    </row>
    <row r="1322" spans="1:15" x14ac:dyDescent="0.2">
      <c r="A1322" s="3" t="str">
        <f>IF($B1322="","",COUNTA($B$9:$B1322))</f>
        <v/>
      </c>
      <c r="B1322" s="4"/>
      <c r="C1322" s="4"/>
      <c r="D1322" s="4"/>
      <c r="E1322" s="5"/>
      <c r="F1322" s="3" t="str">
        <f t="shared" si="64"/>
        <v/>
      </c>
      <c r="G1322" s="4"/>
      <c r="H1322" s="3" t="str">
        <f t="shared" si="65"/>
        <v/>
      </c>
      <c r="I1322" s="5"/>
      <c r="J1322" s="5"/>
      <c r="K1322" s="6"/>
      <c r="L1322" s="6"/>
      <c r="M1322" s="7" t="str">
        <f t="shared" si="66"/>
        <v/>
      </c>
      <c r="N1322" s="6"/>
      <c r="O1322" s="5"/>
    </row>
    <row r="1323" spans="1:15" x14ac:dyDescent="0.2">
      <c r="A1323" s="3" t="str">
        <f>IF($B1323="","",COUNTA($B$9:$B1323))</f>
        <v/>
      </c>
      <c r="B1323" s="4"/>
      <c r="C1323" s="4"/>
      <c r="D1323" s="4"/>
      <c r="E1323" s="5"/>
      <c r="F1323" s="3" t="str">
        <f t="shared" si="64"/>
        <v/>
      </c>
      <c r="G1323" s="4"/>
      <c r="H1323" s="3" t="str">
        <f t="shared" si="65"/>
        <v/>
      </c>
      <c r="I1323" s="5"/>
      <c r="J1323" s="5"/>
      <c r="K1323" s="6"/>
      <c r="L1323" s="6"/>
      <c r="M1323" s="7" t="str">
        <f t="shared" si="66"/>
        <v/>
      </c>
      <c r="N1323" s="6"/>
      <c r="O1323" s="5"/>
    </row>
    <row r="1324" spans="1:15" x14ac:dyDescent="0.2">
      <c r="A1324" s="3" t="str">
        <f>IF($B1324="","",COUNTA($B$9:$B1324))</f>
        <v/>
      </c>
      <c r="B1324" s="4"/>
      <c r="C1324" s="4"/>
      <c r="D1324" s="4"/>
      <c r="E1324" s="5"/>
      <c r="F1324" s="3" t="str">
        <f t="shared" si="64"/>
        <v/>
      </c>
      <c r="G1324" s="4"/>
      <c r="H1324" s="3" t="str">
        <f t="shared" si="65"/>
        <v/>
      </c>
      <c r="I1324" s="5"/>
      <c r="J1324" s="5"/>
      <c r="K1324" s="6"/>
      <c r="L1324" s="6"/>
      <c r="M1324" s="7" t="str">
        <f t="shared" si="66"/>
        <v/>
      </c>
      <c r="N1324" s="6"/>
      <c r="O1324" s="5"/>
    </row>
    <row r="1325" spans="1:15" x14ac:dyDescent="0.2">
      <c r="A1325" s="3" t="str">
        <f>IF($B1325="","",COUNTA($B$9:$B1325))</f>
        <v/>
      </c>
      <c r="B1325" s="4"/>
      <c r="C1325" s="4"/>
      <c r="D1325" s="4"/>
      <c r="E1325" s="5"/>
      <c r="F1325" s="3" t="str">
        <f t="shared" si="64"/>
        <v/>
      </c>
      <c r="G1325" s="4"/>
      <c r="H1325" s="3" t="str">
        <f t="shared" si="65"/>
        <v/>
      </c>
      <c r="I1325" s="5"/>
      <c r="J1325" s="5"/>
      <c r="K1325" s="6"/>
      <c r="L1325" s="6"/>
      <c r="M1325" s="7" t="str">
        <f t="shared" si="66"/>
        <v/>
      </c>
      <c r="N1325" s="6"/>
      <c r="O1325" s="5"/>
    </row>
    <row r="1326" spans="1:15" x14ac:dyDescent="0.2">
      <c r="A1326" s="3" t="str">
        <f>IF($B1326="","",COUNTA($B$9:$B1326))</f>
        <v/>
      </c>
      <c r="B1326" s="4"/>
      <c r="C1326" s="4"/>
      <c r="D1326" s="4"/>
      <c r="E1326" s="5"/>
      <c r="F1326" s="3" t="str">
        <f t="shared" si="64"/>
        <v/>
      </c>
      <c r="G1326" s="4"/>
      <c r="H1326" s="3" t="str">
        <f t="shared" si="65"/>
        <v/>
      </c>
      <c r="I1326" s="5"/>
      <c r="J1326" s="5"/>
      <c r="K1326" s="6"/>
      <c r="L1326" s="6"/>
      <c r="M1326" s="7" t="str">
        <f t="shared" si="66"/>
        <v/>
      </c>
      <c r="N1326" s="6"/>
      <c r="O1326" s="5"/>
    </row>
    <row r="1327" spans="1:15" x14ac:dyDescent="0.2">
      <c r="A1327" s="3" t="str">
        <f>IF($B1327="","",COUNTA($B$9:$B1327))</f>
        <v/>
      </c>
      <c r="B1327" s="4"/>
      <c r="C1327" s="4"/>
      <c r="D1327" s="4"/>
      <c r="E1327" s="5"/>
      <c r="F1327" s="3" t="str">
        <f t="shared" si="64"/>
        <v/>
      </c>
      <c r="G1327" s="4"/>
      <c r="H1327" s="3" t="str">
        <f t="shared" si="65"/>
        <v/>
      </c>
      <c r="I1327" s="5"/>
      <c r="J1327" s="5"/>
      <c r="K1327" s="6"/>
      <c r="L1327" s="6"/>
      <c r="M1327" s="7" t="str">
        <f t="shared" si="66"/>
        <v/>
      </c>
      <c r="N1327" s="6"/>
      <c r="O1327" s="5"/>
    </row>
    <row r="1328" spans="1:15" x14ac:dyDescent="0.2">
      <c r="A1328" s="3" t="str">
        <f>IF($B1328="","",COUNTA($B$9:$B1328))</f>
        <v/>
      </c>
      <c r="B1328" s="4"/>
      <c r="C1328" s="4"/>
      <c r="D1328" s="4"/>
      <c r="E1328" s="5"/>
      <c r="F1328" s="3" t="str">
        <f t="shared" si="64"/>
        <v/>
      </c>
      <c r="G1328" s="4"/>
      <c r="H1328" s="3" t="str">
        <f t="shared" si="65"/>
        <v/>
      </c>
      <c r="I1328" s="5"/>
      <c r="J1328" s="5"/>
      <c r="K1328" s="6"/>
      <c r="L1328" s="6"/>
      <c r="M1328" s="7" t="str">
        <f t="shared" si="66"/>
        <v/>
      </c>
      <c r="N1328" s="6"/>
      <c r="O1328" s="5"/>
    </row>
    <row r="1329" spans="1:15" x14ac:dyDescent="0.2">
      <c r="A1329" s="3" t="str">
        <f>IF($B1329="","",COUNTA($B$9:$B1329))</f>
        <v/>
      </c>
      <c r="B1329" s="4"/>
      <c r="C1329" s="4"/>
      <c r="D1329" s="4"/>
      <c r="E1329" s="5"/>
      <c r="F1329" s="3" t="str">
        <f t="shared" si="64"/>
        <v/>
      </c>
      <c r="G1329" s="4"/>
      <c r="H1329" s="3" t="str">
        <f t="shared" si="65"/>
        <v/>
      </c>
      <c r="I1329" s="5"/>
      <c r="J1329" s="5"/>
      <c r="K1329" s="6"/>
      <c r="L1329" s="6"/>
      <c r="M1329" s="7" t="str">
        <f t="shared" si="66"/>
        <v/>
      </c>
      <c r="N1329" s="6"/>
      <c r="O1329" s="5"/>
    </row>
    <row r="1330" spans="1:15" x14ac:dyDescent="0.2">
      <c r="A1330" s="3" t="str">
        <f>IF($B1330="","",COUNTA($B$9:$B1330))</f>
        <v/>
      </c>
      <c r="B1330" s="4"/>
      <c r="C1330" s="4"/>
      <c r="D1330" s="4"/>
      <c r="E1330" s="5"/>
      <c r="F1330" s="3" t="str">
        <f t="shared" si="64"/>
        <v/>
      </c>
      <c r="G1330" s="4"/>
      <c r="H1330" s="3" t="str">
        <f t="shared" si="65"/>
        <v/>
      </c>
      <c r="I1330" s="5"/>
      <c r="J1330" s="5"/>
      <c r="K1330" s="6"/>
      <c r="L1330" s="6"/>
      <c r="M1330" s="7" t="str">
        <f t="shared" si="66"/>
        <v/>
      </c>
      <c r="N1330" s="6"/>
      <c r="O1330" s="5"/>
    </row>
    <row r="1331" spans="1:15" x14ac:dyDescent="0.2">
      <c r="A1331" s="3" t="str">
        <f>IF($B1331="","",COUNTA($B$9:$B1331))</f>
        <v/>
      </c>
      <c r="B1331" s="4"/>
      <c r="C1331" s="4"/>
      <c r="D1331" s="4"/>
      <c r="E1331" s="5"/>
      <c r="F1331" s="3" t="str">
        <f t="shared" si="64"/>
        <v/>
      </c>
      <c r="G1331" s="4"/>
      <c r="H1331" s="3" t="str">
        <f t="shared" si="65"/>
        <v/>
      </c>
      <c r="I1331" s="5"/>
      <c r="J1331" s="5"/>
      <c r="K1331" s="6"/>
      <c r="L1331" s="6"/>
      <c r="M1331" s="7" t="str">
        <f t="shared" si="66"/>
        <v/>
      </c>
      <c r="N1331" s="6"/>
      <c r="O1331" s="5"/>
    </row>
    <row r="1332" spans="1:15" x14ac:dyDescent="0.2">
      <c r="A1332" s="3" t="str">
        <f>IF($B1332="","",COUNTA($B$9:$B1332))</f>
        <v/>
      </c>
      <c r="B1332" s="4"/>
      <c r="C1332" s="4"/>
      <c r="D1332" s="4"/>
      <c r="E1332" s="5"/>
      <c r="F1332" s="3" t="str">
        <f t="shared" si="64"/>
        <v/>
      </c>
      <c r="G1332" s="4"/>
      <c r="H1332" s="3" t="str">
        <f t="shared" si="65"/>
        <v/>
      </c>
      <c r="I1332" s="5"/>
      <c r="J1332" s="5"/>
      <c r="K1332" s="6"/>
      <c r="L1332" s="6"/>
      <c r="M1332" s="7" t="str">
        <f t="shared" si="66"/>
        <v/>
      </c>
      <c r="N1332" s="6"/>
      <c r="O1332" s="5"/>
    </row>
    <row r="1333" spans="1:15" x14ac:dyDescent="0.2">
      <c r="A1333" s="3" t="str">
        <f>IF($B1333="","",COUNTA($B$9:$B1333))</f>
        <v/>
      </c>
      <c r="B1333" s="4"/>
      <c r="C1333" s="4"/>
      <c r="D1333" s="4"/>
      <c r="E1333" s="5"/>
      <c r="F1333" s="3" t="str">
        <f t="shared" si="64"/>
        <v/>
      </c>
      <c r="G1333" s="4"/>
      <c r="H1333" s="3" t="str">
        <f t="shared" si="65"/>
        <v/>
      </c>
      <c r="I1333" s="5"/>
      <c r="J1333" s="5"/>
      <c r="K1333" s="6"/>
      <c r="L1333" s="6"/>
      <c r="M1333" s="7" t="str">
        <f t="shared" si="66"/>
        <v/>
      </c>
      <c r="N1333" s="6"/>
      <c r="O1333" s="5"/>
    </row>
    <row r="1334" spans="1:15" x14ac:dyDescent="0.2">
      <c r="A1334" s="3" t="str">
        <f>IF($B1334="","",COUNTA($B$9:$B1334))</f>
        <v/>
      </c>
      <c r="B1334" s="4"/>
      <c r="C1334" s="4"/>
      <c r="D1334" s="4"/>
      <c r="E1334" s="5"/>
      <c r="F1334" s="3" t="str">
        <f t="shared" si="64"/>
        <v/>
      </c>
      <c r="G1334" s="4"/>
      <c r="H1334" s="3" t="str">
        <f t="shared" si="65"/>
        <v/>
      </c>
      <c r="I1334" s="5"/>
      <c r="J1334" s="5"/>
      <c r="K1334" s="6"/>
      <c r="L1334" s="6"/>
      <c r="M1334" s="7" t="str">
        <f t="shared" si="66"/>
        <v/>
      </c>
      <c r="N1334" s="6"/>
      <c r="O1334" s="5"/>
    </row>
    <row r="1335" spans="1:15" x14ac:dyDescent="0.2">
      <c r="A1335" s="3" t="str">
        <f>IF($B1335="","",COUNTA($B$9:$B1335))</f>
        <v/>
      </c>
      <c r="B1335" s="4"/>
      <c r="C1335" s="4"/>
      <c r="D1335" s="4"/>
      <c r="E1335" s="5"/>
      <c r="F1335" s="3" t="str">
        <f t="shared" si="64"/>
        <v/>
      </c>
      <c r="G1335" s="4"/>
      <c r="H1335" s="3" t="str">
        <f t="shared" si="65"/>
        <v/>
      </c>
      <c r="I1335" s="5"/>
      <c r="J1335" s="5"/>
      <c r="K1335" s="6"/>
      <c r="L1335" s="6"/>
      <c r="M1335" s="7" t="str">
        <f t="shared" si="66"/>
        <v/>
      </c>
      <c r="N1335" s="6"/>
      <c r="O1335" s="5"/>
    </row>
    <row r="1336" spans="1:15" x14ac:dyDescent="0.2">
      <c r="A1336" s="3" t="str">
        <f>IF($B1336="","",COUNTA($B$9:$B1336))</f>
        <v/>
      </c>
      <c r="B1336" s="4"/>
      <c r="C1336" s="4"/>
      <c r="D1336" s="4"/>
      <c r="E1336" s="5"/>
      <c r="F1336" s="3" t="str">
        <f t="shared" si="64"/>
        <v/>
      </c>
      <c r="G1336" s="4"/>
      <c r="H1336" s="3" t="str">
        <f t="shared" si="65"/>
        <v/>
      </c>
      <c r="I1336" s="5"/>
      <c r="J1336" s="5"/>
      <c r="K1336" s="6"/>
      <c r="L1336" s="6"/>
      <c r="M1336" s="7" t="str">
        <f t="shared" si="66"/>
        <v/>
      </c>
      <c r="N1336" s="6"/>
      <c r="O1336" s="5"/>
    </row>
    <row r="1337" spans="1:15" x14ac:dyDescent="0.2">
      <c r="A1337" s="3" t="str">
        <f>IF($B1337="","",COUNTA($B$9:$B1337))</f>
        <v/>
      </c>
      <c r="B1337" s="4"/>
      <c r="C1337" s="4"/>
      <c r="D1337" s="4"/>
      <c r="E1337" s="5"/>
      <c r="F1337" s="3" t="str">
        <f t="shared" si="64"/>
        <v/>
      </c>
      <c r="G1337" s="4"/>
      <c r="H1337" s="3" t="str">
        <f t="shared" si="65"/>
        <v/>
      </c>
      <c r="I1337" s="5"/>
      <c r="J1337" s="5"/>
      <c r="K1337" s="6"/>
      <c r="L1337" s="6"/>
      <c r="M1337" s="7" t="str">
        <f t="shared" si="66"/>
        <v/>
      </c>
      <c r="N1337" s="6"/>
      <c r="O1337" s="5"/>
    </row>
    <row r="1338" spans="1:15" x14ac:dyDescent="0.2">
      <c r="A1338" s="3" t="str">
        <f>IF($B1338="","",COUNTA($B$9:$B1338))</f>
        <v/>
      </c>
      <c r="B1338" s="4"/>
      <c r="C1338" s="4"/>
      <c r="D1338" s="4"/>
      <c r="E1338" s="5"/>
      <c r="F1338" s="3" t="str">
        <f t="shared" si="64"/>
        <v/>
      </c>
      <c r="G1338" s="4"/>
      <c r="H1338" s="3" t="str">
        <f t="shared" si="65"/>
        <v/>
      </c>
      <c r="I1338" s="5"/>
      <c r="J1338" s="5"/>
      <c r="K1338" s="6"/>
      <c r="L1338" s="6"/>
      <c r="M1338" s="7" t="str">
        <f t="shared" si="66"/>
        <v/>
      </c>
      <c r="N1338" s="6"/>
      <c r="O1338" s="5"/>
    </row>
    <row r="1339" spans="1:15" x14ac:dyDescent="0.2">
      <c r="A1339" s="3" t="str">
        <f>IF($B1339="","",COUNTA($B$9:$B1339))</f>
        <v/>
      </c>
      <c r="B1339" s="4"/>
      <c r="C1339" s="4"/>
      <c r="D1339" s="4"/>
      <c r="E1339" s="5"/>
      <c r="F1339" s="3" t="str">
        <f t="shared" si="64"/>
        <v/>
      </c>
      <c r="G1339" s="4"/>
      <c r="H1339" s="3" t="str">
        <f t="shared" si="65"/>
        <v/>
      </c>
      <c r="I1339" s="5"/>
      <c r="J1339" s="5"/>
      <c r="K1339" s="6"/>
      <c r="L1339" s="6"/>
      <c r="M1339" s="7" t="str">
        <f t="shared" si="66"/>
        <v/>
      </c>
      <c r="N1339" s="6"/>
      <c r="O1339" s="5"/>
    </row>
    <row r="1340" spans="1:15" x14ac:dyDescent="0.2">
      <c r="A1340" s="3" t="str">
        <f>IF($B1340="","",COUNTA($B$9:$B1340))</f>
        <v/>
      </c>
      <c r="B1340" s="4"/>
      <c r="C1340" s="4"/>
      <c r="D1340" s="4"/>
      <c r="E1340" s="5"/>
      <c r="F1340" s="3" t="str">
        <f t="shared" si="64"/>
        <v/>
      </c>
      <c r="G1340" s="4"/>
      <c r="H1340" s="3" t="str">
        <f t="shared" si="65"/>
        <v/>
      </c>
      <c r="I1340" s="5"/>
      <c r="J1340" s="5"/>
      <c r="K1340" s="6"/>
      <c r="L1340" s="6"/>
      <c r="M1340" s="7" t="str">
        <f t="shared" si="66"/>
        <v/>
      </c>
      <c r="N1340" s="6"/>
      <c r="O1340" s="5"/>
    </row>
    <row r="1341" spans="1:15" x14ac:dyDescent="0.2">
      <c r="A1341" s="3" t="str">
        <f>IF($B1341="","",COUNTA($B$9:$B1341))</f>
        <v/>
      </c>
      <c r="B1341" s="4"/>
      <c r="C1341" s="4"/>
      <c r="D1341" s="4"/>
      <c r="E1341" s="5"/>
      <c r="F1341" s="3" t="str">
        <f t="shared" si="64"/>
        <v/>
      </c>
      <c r="G1341" s="4"/>
      <c r="H1341" s="3" t="str">
        <f t="shared" si="65"/>
        <v/>
      </c>
      <c r="I1341" s="5"/>
      <c r="J1341" s="5"/>
      <c r="K1341" s="6"/>
      <c r="L1341" s="6"/>
      <c r="M1341" s="7" t="str">
        <f t="shared" si="66"/>
        <v/>
      </c>
      <c r="N1341" s="6"/>
      <c r="O1341" s="5"/>
    </row>
    <row r="1342" spans="1:15" x14ac:dyDescent="0.2">
      <c r="A1342" s="3" t="str">
        <f>IF($B1342="","",COUNTA($B$9:$B1342))</f>
        <v/>
      </c>
      <c r="B1342" s="4"/>
      <c r="C1342" s="4"/>
      <c r="D1342" s="4"/>
      <c r="E1342" s="5"/>
      <c r="F1342" s="3" t="str">
        <f t="shared" si="64"/>
        <v/>
      </c>
      <c r="G1342" s="4"/>
      <c r="H1342" s="3" t="str">
        <f t="shared" si="65"/>
        <v/>
      </c>
      <c r="I1342" s="5"/>
      <c r="J1342" s="5"/>
      <c r="K1342" s="6"/>
      <c r="L1342" s="6"/>
      <c r="M1342" s="7" t="str">
        <f t="shared" si="66"/>
        <v/>
      </c>
      <c r="N1342" s="6"/>
      <c r="O1342" s="5"/>
    </row>
    <row r="1343" spans="1:15" x14ac:dyDescent="0.2">
      <c r="A1343" s="3" t="str">
        <f>IF($B1343="","",COUNTA($B$9:$B1343))</f>
        <v/>
      </c>
      <c r="B1343" s="4"/>
      <c r="C1343" s="4"/>
      <c r="D1343" s="4"/>
      <c r="E1343" s="5"/>
      <c r="F1343" s="3" t="str">
        <f t="shared" si="64"/>
        <v/>
      </c>
      <c r="G1343" s="4"/>
      <c r="H1343" s="3" t="str">
        <f t="shared" si="65"/>
        <v/>
      </c>
      <c r="I1343" s="5"/>
      <c r="J1343" s="5"/>
      <c r="K1343" s="6"/>
      <c r="L1343" s="6"/>
      <c r="M1343" s="7" t="str">
        <f t="shared" si="66"/>
        <v/>
      </c>
      <c r="N1343" s="6"/>
      <c r="O1343" s="5"/>
    </row>
    <row r="1344" spans="1:15" x14ac:dyDescent="0.2">
      <c r="A1344" s="3" t="str">
        <f>IF($B1344="","",COUNTA($B$9:$B1344))</f>
        <v/>
      </c>
      <c r="B1344" s="4"/>
      <c r="C1344" s="4"/>
      <c r="D1344" s="4"/>
      <c r="E1344" s="5"/>
      <c r="F1344" s="3" t="str">
        <f t="shared" si="64"/>
        <v/>
      </c>
      <c r="G1344" s="4"/>
      <c r="H1344" s="3" t="str">
        <f t="shared" si="65"/>
        <v/>
      </c>
      <c r="I1344" s="5"/>
      <c r="J1344" s="5"/>
      <c r="K1344" s="6"/>
      <c r="L1344" s="6"/>
      <c r="M1344" s="7" t="str">
        <f t="shared" si="66"/>
        <v/>
      </c>
      <c r="N1344" s="6"/>
      <c r="O1344" s="5"/>
    </row>
    <row r="1345" spans="1:15" x14ac:dyDescent="0.2">
      <c r="A1345" s="3" t="str">
        <f>IF($B1345="","",COUNTA($B$9:$B1345))</f>
        <v/>
      </c>
      <c r="B1345" s="4"/>
      <c r="C1345" s="4"/>
      <c r="D1345" s="4"/>
      <c r="E1345" s="5"/>
      <c r="F1345" s="3" t="str">
        <f t="shared" si="64"/>
        <v/>
      </c>
      <c r="G1345" s="4"/>
      <c r="H1345" s="3" t="str">
        <f t="shared" si="65"/>
        <v/>
      </c>
      <c r="I1345" s="5"/>
      <c r="J1345" s="5"/>
      <c r="K1345" s="6"/>
      <c r="L1345" s="6"/>
      <c r="M1345" s="7" t="str">
        <f t="shared" si="66"/>
        <v/>
      </c>
      <c r="N1345" s="6"/>
      <c r="O1345" s="5"/>
    </row>
    <row r="1346" spans="1:15" x14ac:dyDescent="0.2">
      <c r="A1346" s="3" t="str">
        <f>IF($B1346="","",COUNTA($B$9:$B1346))</f>
        <v/>
      </c>
      <c r="B1346" s="4"/>
      <c r="C1346" s="4"/>
      <c r="D1346" s="4"/>
      <c r="E1346" s="5"/>
      <c r="F1346" s="3" t="str">
        <f t="shared" si="64"/>
        <v/>
      </c>
      <c r="G1346" s="4"/>
      <c r="H1346" s="3" t="str">
        <f t="shared" si="65"/>
        <v/>
      </c>
      <c r="I1346" s="5"/>
      <c r="J1346" s="5"/>
      <c r="K1346" s="6"/>
      <c r="L1346" s="6"/>
      <c r="M1346" s="7" t="str">
        <f t="shared" si="66"/>
        <v/>
      </c>
      <c r="N1346" s="6"/>
      <c r="O1346" s="5"/>
    </row>
    <row r="1347" spans="1:15" x14ac:dyDescent="0.2">
      <c r="A1347" s="3" t="str">
        <f>IF($B1347="","",COUNTA($B$9:$B1347))</f>
        <v/>
      </c>
      <c r="B1347" s="4"/>
      <c r="C1347" s="4"/>
      <c r="D1347" s="4"/>
      <c r="E1347" s="5"/>
      <c r="F1347" s="3" t="str">
        <f t="shared" si="64"/>
        <v/>
      </c>
      <c r="G1347" s="4"/>
      <c r="H1347" s="3" t="str">
        <f t="shared" si="65"/>
        <v/>
      </c>
      <c r="I1347" s="5"/>
      <c r="J1347" s="5"/>
      <c r="K1347" s="6"/>
      <c r="L1347" s="6"/>
      <c r="M1347" s="7" t="str">
        <f t="shared" si="66"/>
        <v/>
      </c>
      <c r="N1347" s="6"/>
      <c r="O1347" s="5"/>
    </row>
    <row r="1348" spans="1:15" x14ac:dyDescent="0.2">
      <c r="A1348" s="3" t="str">
        <f>IF($B1348="","",COUNTA($B$9:$B1348))</f>
        <v/>
      </c>
      <c r="B1348" s="4"/>
      <c r="C1348" s="4"/>
      <c r="D1348" s="4"/>
      <c r="E1348" s="5"/>
      <c r="F1348" s="3" t="str">
        <f t="shared" si="64"/>
        <v/>
      </c>
      <c r="G1348" s="4"/>
      <c r="H1348" s="3" t="str">
        <f t="shared" si="65"/>
        <v/>
      </c>
      <c r="I1348" s="5"/>
      <c r="J1348" s="5"/>
      <c r="K1348" s="6"/>
      <c r="L1348" s="6"/>
      <c r="M1348" s="7" t="str">
        <f t="shared" si="66"/>
        <v/>
      </c>
      <c r="N1348" s="6"/>
      <c r="O1348" s="5"/>
    </row>
    <row r="1349" spans="1:15" x14ac:dyDescent="0.2">
      <c r="A1349" s="3" t="str">
        <f>IF($B1349="","",COUNTA($B$9:$B1349))</f>
        <v/>
      </c>
      <c r="B1349" s="4"/>
      <c r="C1349" s="4"/>
      <c r="D1349" s="4"/>
      <c r="E1349" s="5"/>
      <c r="F1349" s="3" t="str">
        <f t="shared" si="64"/>
        <v/>
      </c>
      <c r="G1349" s="4"/>
      <c r="H1349" s="3" t="str">
        <f t="shared" si="65"/>
        <v/>
      </c>
      <c r="I1349" s="5"/>
      <c r="J1349" s="5"/>
      <c r="K1349" s="6"/>
      <c r="L1349" s="6"/>
      <c r="M1349" s="7" t="str">
        <f t="shared" si="66"/>
        <v/>
      </c>
      <c r="N1349" s="6"/>
      <c r="O1349" s="5"/>
    </row>
    <row r="1350" spans="1:15" x14ac:dyDescent="0.2">
      <c r="A1350" s="3" t="str">
        <f>IF($B1350="","",COUNTA($B$9:$B1350))</f>
        <v/>
      </c>
      <c r="B1350" s="4"/>
      <c r="C1350" s="4"/>
      <c r="D1350" s="4"/>
      <c r="E1350" s="5"/>
      <c r="F1350" s="3" t="str">
        <f t="shared" si="64"/>
        <v/>
      </c>
      <c r="G1350" s="4"/>
      <c r="H1350" s="3" t="str">
        <f t="shared" si="65"/>
        <v/>
      </c>
      <c r="I1350" s="5"/>
      <c r="J1350" s="5"/>
      <c r="K1350" s="6"/>
      <c r="L1350" s="6"/>
      <c r="M1350" s="7" t="str">
        <f t="shared" si="66"/>
        <v/>
      </c>
      <c r="N1350" s="6"/>
      <c r="O1350" s="5"/>
    </row>
    <row r="1351" spans="1:15" x14ac:dyDescent="0.2">
      <c r="A1351" s="3" t="str">
        <f>IF($B1351="","",COUNTA($B$9:$B1351))</f>
        <v/>
      </c>
      <c r="B1351" s="4"/>
      <c r="C1351" s="4"/>
      <c r="D1351" s="4"/>
      <c r="E1351" s="5"/>
      <c r="F1351" s="3" t="str">
        <f t="shared" si="64"/>
        <v/>
      </c>
      <c r="G1351" s="4"/>
      <c r="H1351" s="3" t="str">
        <f t="shared" si="65"/>
        <v/>
      </c>
      <c r="I1351" s="5"/>
      <c r="J1351" s="5"/>
      <c r="K1351" s="6"/>
      <c r="L1351" s="6"/>
      <c r="M1351" s="7" t="str">
        <f t="shared" si="66"/>
        <v/>
      </c>
      <c r="N1351" s="6"/>
      <c r="O1351" s="5"/>
    </row>
    <row r="1352" spans="1:15" x14ac:dyDescent="0.2">
      <c r="A1352" s="3" t="str">
        <f>IF($B1352="","",COUNTA($B$9:$B1352))</f>
        <v/>
      </c>
      <c r="B1352" s="4"/>
      <c r="C1352" s="4"/>
      <c r="D1352" s="4"/>
      <c r="E1352" s="5"/>
      <c r="F1352" s="3" t="str">
        <f t="shared" ref="F1352:F1415" si="67">IF($E1352="","",IFERROR(VLOOKUP($E1352,OpTbl,2,0),""))</f>
        <v/>
      </c>
      <c r="G1352" s="4"/>
      <c r="H1352" s="3" t="str">
        <f t="shared" ref="H1352:H1415" si="68">IF($G1352="","",IFERROR(IF(VLOOKUP($G1352,AcctTbl,4,0)="","(بدون نام)",VLOOKUP($G1352,AcctTbl,4,0)),"کد ناشناخته"))</f>
        <v/>
      </c>
      <c r="I1352" s="5"/>
      <c r="J1352" s="5"/>
      <c r="K1352" s="6"/>
      <c r="L1352" s="6"/>
      <c r="M1352" s="7" t="str">
        <f t="shared" ref="M1352:M1415" si="69">IF(OR($B1352="",$K1352=""),"",($K1352-IF($L1352="",0,$L1352)*IFERROR(VLOOKUP("P01",ParamTbl,3,0),1.5))*(1-IF(IFERROR(VLOOKUP($E1352,OpTbl,3,0),"")="خرید",IFERROR(VLOOKUP("P02",ParamTbl,3,0),1),0)/100))</f>
        <v/>
      </c>
      <c r="N1352" s="6"/>
      <c r="O1352" s="5"/>
    </row>
    <row r="1353" spans="1:15" x14ac:dyDescent="0.2">
      <c r="A1353" s="3" t="str">
        <f>IF($B1353="","",COUNTA($B$9:$B1353))</f>
        <v/>
      </c>
      <c r="B1353" s="4"/>
      <c r="C1353" s="4"/>
      <c r="D1353" s="4"/>
      <c r="E1353" s="5"/>
      <c r="F1353" s="3" t="str">
        <f t="shared" si="67"/>
        <v/>
      </c>
      <c r="G1353" s="4"/>
      <c r="H1353" s="3" t="str">
        <f t="shared" si="68"/>
        <v/>
      </c>
      <c r="I1353" s="5"/>
      <c r="J1353" s="5"/>
      <c r="K1353" s="6"/>
      <c r="L1353" s="6"/>
      <c r="M1353" s="7" t="str">
        <f t="shared" si="69"/>
        <v/>
      </c>
      <c r="N1353" s="6"/>
      <c r="O1353" s="5"/>
    </row>
    <row r="1354" spans="1:15" x14ac:dyDescent="0.2">
      <c r="A1354" s="3" t="str">
        <f>IF($B1354="","",COUNTA($B$9:$B1354))</f>
        <v/>
      </c>
      <c r="B1354" s="4"/>
      <c r="C1354" s="4"/>
      <c r="D1354" s="4"/>
      <c r="E1354" s="5"/>
      <c r="F1354" s="3" t="str">
        <f t="shared" si="67"/>
        <v/>
      </c>
      <c r="G1354" s="4"/>
      <c r="H1354" s="3" t="str">
        <f t="shared" si="68"/>
        <v/>
      </c>
      <c r="I1354" s="5"/>
      <c r="J1354" s="5"/>
      <c r="K1354" s="6"/>
      <c r="L1354" s="6"/>
      <c r="M1354" s="7" t="str">
        <f t="shared" si="69"/>
        <v/>
      </c>
      <c r="N1354" s="6"/>
      <c r="O1354" s="5"/>
    </row>
    <row r="1355" spans="1:15" x14ac:dyDescent="0.2">
      <c r="A1355" s="3" t="str">
        <f>IF($B1355="","",COUNTA($B$9:$B1355))</f>
        <v/>
      </c>
      <c r="B1355" s="4"/>
      <c r="C1355" s="4"/>
      <c r="D1355" s="4"/>
      <c r="E1355" s="5"/>
      <c r="F1355" s="3" t="str">
        <f t="shared" si="67"/>
        <v/>
      </c>
      <c r="G1355" s="4"/>
      <c r="H1355" s="3" t="str">
        <f t="shared" si="68"/>
        <v/>
      </c>
      <c r="I1355" s="5"/>
      <c r="J1355" s="5"/>
      <c r="K1355" s="6"/>
      <c r="L1355" s="6"/>
      <c r="M1355" s="7" t="str">
        <f t="shared" si="69"/>
        <v/>
      </c>
      <c r="N1355" s="6"/>
      <c r="O1355" s="5"/>
    </row>
    <row r="1356" spans="1:15" x14ac:dyDescent="0.2">
      <c r="A1356" s="3" t="str">
        <f>IF($B1356="","",COUNTA($B$9:$B1356))</f>
        <v/>
      </c>
      <c r="B1356" s="4"/>
      <c r="C1356" s="4"/>
      <c r="D1356" s="4"/>
      <c r="E1356" s="5"/>
      <c r="F1356" s="3" t="str">
        <f t="shared" si="67"/>
        <v/>
      </c>
      <c r="G1356" s="4"/>
      <c r="H1356" s="3" t="str">
        <f t="shared" si="68"/>
        <v/>
      </c>
      <c r="I1356" s="5"/>
      <c r="J1356" s="5"/>
      <c r="K1356" s="6"/>
      <c r="L1356" s="6"/>
      <c r="M1356" s="7" t="str">
        <f t="shared" si="69"/>
        <v/>
      </c>
      <c r="N1356" s="6"/>
      <c r="O1356" s="5"/>
    </row>
    <row r="1357" spans="1:15" x14ac:dyDescent="0.2">
      <c r="A1357" s="3" t="str">
        <f>IF($B1357="","",COUNTA($B$9:$B1357))</f>
        <v/>
      </c>
      <c r="B1357" s="4"/>
      <c r="C1357" s="4"/>
      <c r="D1357" s="4"/>
      <c r="E1357" s="5"/>
      <c r="F1357" s="3" t="str">
        <f t="shared" si="67"/>
        <v/>
      </c>
      <c r="G1357" s="4"/>
      <c r="H1357" s="3" t="str">
        <f t="shared" si="68"/>
        <v/>
      </c>
      <c r="I1357" s="5"/>
      <c r="J1357" s="5"/>
      <c r="K1357" s="6"/>
      <c r="L1357" s="6"/>
      <c r="M1357" s="7" t="str">
        <f t="shared" si="69"/>
        <v/>
      </c>
      <c r="N1357" s="6"/>
      <c r="O1357" s="5"/>
    </row>
    <row r="1358" spans="1:15" x14ac:dyDescent="0.2">
      <c r="A1358" s="3" t="str">
        <f>IF($B1358="","",COUNTA($B$9:$B1358))</f>
        <v/>
      </c>
      <c r="B1358" s="4"/>
      <c r="C1358" s="4"/>
      <c r="D1358" s="4"/>
      <c r="E1358" s="5"/>
      <c r="F1358" s="3" t="str">
        <f t="shared" si="67"/>
        <v/>
      </c>
      <c r="G1358" s="4"/>
      <c r="H1358" s="3" t="str">
        <f t="shared" si="68"/>
        <v/>
      </c>
      <c r="I1358" s="5"/>
      <c r="J1358" s="5"/>
      <c r="K1358" s="6"/>
      <c r="L1358" s="6"/>
      <c r="M1358" s="7" t="str">
        <f t="shared" si="69"/>
        <v/>
      </c>
      <c r="N1358" s="6"/>
      <c r="O1358" s="5"/>
    </row>
    <row r="1359" spans="1:15" x14ac:dyDescent="0.2">
      <c r="A1359" s="3" t="str">
        <f>IF($B1359="","",COUNTA($B$9:$B1359))</f>
        <v/>
      </c>
      <c r="B1359" s="4"/>
      <c r="C1359" s="4"/>
      <c r="D1359" s="4"/>
      <c r="E1359" s="5"/>
      <c r="F1359" s="3" t="str">
        <f t="shared" si="67"/>
        <v/>
      </c>
      <c r="G1359" s="4"/>
      <c r="H1359" s="3" t="str">
        <f t="shared" si="68"/>
        <v/>
      </c>
      <c r="I1359" s="5"/>
      <c r="J1359" s="5"/>
      <c r="K1359" s="6"/>
      <c r="L1359" s="6"/>
      <c r="M1359" s="7" t="str">
        <f t="shared" si="69"/>
        <v/>
      </c>
      <c r="N1359" s="6"/>
      <c r="O1359" s="5"/>
    </row>
    <row r="1360" spans="1:15" x14ac:dyDescent="0.2">
      <c r="A1360" s="3" t="str">
        <f>IF($B1360="","",COUNTA($B$9:$B1360))</f>
        <v/>
      </c>
      <c r="B1360" s="4"/>
      <c r="C1360" s="4"/>
      <c r="D1360" s="4"/>
      <c r="E1360" s="5"/>
      <c r="F1360" s="3" t="str">
        <f t="shared" si="67"/>
        <v/>
      </c>
      <c r="G1360" s="4"/>
      <c r="H1360" s="3" t="str">
        <f t="shared" si="68"/>
        <v/>
      </c>
      <c r="I1360" s="5"/>
      <c r="J1360" s="5"/>
      <c r="K1360" s="6"/>
      <c r="L1360" s="6"/>
      <c r="M1360" s="7" t="str">
        <f t="shared" si="69"/>
        <v/>
      </c>
      <c r="N1360" s="6"/>
      <c r="O1360" s="5"/>
    </row>
    <row r="1361" spans="1:15" x14ac:dyDescent="0.2">
      <c r="A1361" s="3" t="str">
        <f>IF($B1361="","",COUNTA($B$9:$B1361))</f>
        <v/>
      </c>
      <c r="B1361" s="4"/>
      <c r="C1361" s="4"/>
      <c r="D1361" s="4"/>
      <c r="E1361" s="5"/>
      <c r="F1361" s="3" t="str">
        <f t="shared" si="67"/>
        <v/>
      </c>
      <c r="G1361" s="4"/>
      <c r="H1361" s="3" t="str">
        <f t="shared" si="68"/>
        <v/>
      </c>
      <c r="I1361" s="5"/>
      <c r="J1361" s="5"/>
      <c r="K1361" s="6"/>
      <c r="L1361" s="6"/>
      <c r="M1361" s="7" t="str">
        <f t="shared" si="69"/>
        <v/>
      </c>
      <c r="N1361" s="6"/>
      <c r="O1361" s="5"/>
    </row>
    <row r="1362" spans="1:15" x14ac:dyDescent="0.2">
      <c r="A1362" s="3" t="str">
        <f>IF($B1362="","",COUNTA($B$9:$B1362))</f>
        <v/>
      </c>
      <c r="B1362" s="4"/>
      <c r="C1362" s="4"/>
      <c r="D1362" s="4"/>
      <c r="E1362" s="5"/>
      <c r="F1362" s="3" t="str">
        <f t="shared" si="67"/>
        <v/>
      </c>
      <c r="G1362" s="4"/>
      <c r="H1362" s="3" t="str">
        <f t="shared" si="68"/>
        <v/>
      </c>
      <c r="I1362" s="5"/>
      <c r="J1362" s="5"/>
      <c r="K1362" s="6"/>
      <c r="L1362" s="6"/>
      <c r="M1362" s="7" t="str">
        <f t="shared" si="69"/>
        <v/>
      </c>
      <c r="N1362" s="6"/>
      <c r="O1362" s="5"/>
    </row>
    <row r="1363" spans="1:15" x14ac:dyDescent="0.2">
      <c r="A1363" s="3" t="str">
        <f>IF($B1363="","",COUNTA($B$9:$B1363))</f>
        <v/>
      </c>
      <c r="B1363" s="4"/>
      <c r="C1363" s="4"/>
      <c r="D1363" s="4"/>
      <c r="E1363" s="5"/>
      <c r="F1363" s="3" t="str">
        <f t="shared" si="67"/>
        <v/>
      </c>
      <c r="G1363" s="4"/>
      <c r="H1363" s="3" t="str">
        <f t="shared" si="68"/>
        <v/>
      </c>
      <c r="I1363" s="5"/>
      <c r="J1363" s="5"/>
      <c r="K1363" s="6"/>
      <c r="L1363" s="6"/>
      <c r="M1363" s="7" t="str">
        <f t="shared" si="69"/>
        <v/>
      </c>
      <c r="N1363" s="6"/>
      <c r="O1363" s="5"/>
    </row>
    <row r="1364" spans="1:15" x14ac:dyDescent="0.2">
      <c r="A1364" s="3" t="str">
        <f>IF($B1364="","",COUNTA($B$9:$B1364))</f>
        <v/>
      </c>
      <c r="B1364" s="4"/>
      <c r="C1364" s="4"/>
      <c r="D1364" s="4"/>
      <c r="E1364" s="5"/>
      <c r="F1364" s="3" t="str">
        <f t="shared" si="67"/>
        <v/>
      </c>
      <c r="G1364" s="4"/>
      <c r="H1364" s="3" t="str">
        <f t="shared" si="68"/>
        <v/>
      </c>
      <c r="I1364" s="5"/>
      <c r="J1364" s="5"/>
      <c r="K1364" s="6"/>
      <c r="L1364" s="6"/>
      <c r="M1364" s="7" t="str">
        <f t="shared" si="69"/>
        <v/>
      </c>
      <c r="N1364" s="6"/>
      <c r="O1364" s="5"/>
    </row>
    <row r="1365" spans="1:15" x14ac:dyDescent="0.2">
      <c r="A1365" s="3" t="str">
        <f>IF($B1365="","",COUNTA($B$9:$B1365))</f>
        <v/>
      </c>
      <c r="B1365" s="4"/>
      <c r="C1365" s="4"/>
      <c r="D1365" s="4"/>
      <c r="E1365" s="5"/>
      <c r="F1365" s="3" t="str">
        <f t="shared" si="67"/>
        <v/>
      </c>
      <c r="G1365" s="4"/>
      <c r="H1365" s="3" t="str">
        <f t="shared" si="68"/>
        <v/>
      </c>
      <c r="I1365" s="5"/>
      <c r="J1365" s="5"/>
      <c r="K1365" s="6"/>
      <c r="L1365" s="6"/>
      <c r="M1365" s="7" t="str">
        <f t="shared" si="69"/>
        <v/>
      </c>
      <c r="N1365" s="6"/>
      <c r="O1365" s="5"/>
    </row>
    <row r="1366" spans="1:15" x14ac:dyDescent="0.2">
      <c r="A1366" s="3" t="str">
        <f>IF($B1366="","",COUNTA($B$9:$B1366))</f>
        <v/>
      </c>
      <c r="B1366" s="4"/>
      <c r="C1366" s="4"/>
      <c r="D1366" s="4"/>
      <c r="E1366" s="5"/>
      <c r="F1366" s="3" t="str">
        <f t="shared" si="67"/>
        <v/>
      </c>
      <c r="G1366" s="4"/>
      <c r="H1366" s="3" t="str">
        <f t="shared" si="68"/>
        <v/>
      </c>
      <c r="I1366" s="5"/>
      <c r="J1366" s="5"/>
      <c r="K1366" s="6"/>
      <c r="L1366" s="6"/>
      <c r="M1366" s="7" t="str">
        <f t="shared" si="69"/>
        <v/>
      </c>
      <c r="N1366" s="6"/>
      <c r="O1366" s="5"/>
    </row>
    <row r="1367" spans="1:15" x14ac:dyDescent="0.2">
      <c r="A1367" s="3" t="str">
        <f>IF($B1367="","",COUNTA($B$9:$B1367))</f>
        <v/>
      </c>
      <c r="B1367" s="4"/>
      <c r="C1367" s="4"/>
      <c r="D1367" s="4"/>
      <c r="E1367" s="5"/>
      <c r="F1367" s="3" t="str">
        <f t="shared" si="67"/>
        <v/>
      </c>
      <c r="G1367" s="4"/>
      <c r="H1367" s="3" t="str">
        <f t="shared" si="68"/>
        <v/>
      </c>
      <c r="I1367" s="5"/>
      <c r="J1367" s="5"/>
      <c r="K1367" s="6"/>
      <c r="L1367" s="6"/>
      <c r="M1367" s="7" t="str">
        <f t="shared" si="69"/>
        <v/>
      </c>
      <c r="N1367" s="6"/>
      <c r="O1367" s="5"/>
    </row>
    <row r="1368" spans="1:15" x14ac:dyDescent="0.2">
      <c r="A1368" s="3" t="str">
        <f>IF($B1368="","",COUNTA($B$9:$B1368))</f>
        <v/>
      </c>
      <c r="B1368" s="4"/>
      <c r="C1368" s="4"/>
      <c r="D1368" s="4"/>
      <c r="E1368" s="5"/>
      <c r="F1368" s="3" t="str">
        <f t="shared" si="67"/>
        <v/>
      </c>
      <c r="G1368" s="4"/>
      <c r="H1368" s="3" t="str">
        <f t="shared" si="68"/>
        <v/>
      </c>
      <c r="I1368" s="5"/>
      <c r="J1368" s="5"/>
      <c r="K1368" s="6"/>
      <c r="L1368" s="6"/>
      <c r="M1368" s="7" t="str">
        <f t="shared" si="69"/>
        <v/>
      </c>
      <c r="N1368" s="6"/>
      <c r="O1368" s="5"/>
    </row>
    <row r="1369" spans="1:15" x14ac:dyDescent="0.2">
      <c r="A1369" s="3" t="str">
        <f>IF($B1369="","",COUNTA($B$9:$B1369))</f>
        <v/>
      </c>
      <c r="B1369" s="4"/>
      <c r="C1369" s="4"/>
      <c r="D1369" s="4"/>
      <c r="E1369" s="5"/>
      <c r="F1369" s="3" t="str">
        <f t="shared" si="67"/>
        <v/>
      </c>
      <c r="G1369" s="4"/>
      <c r="H1369" s="3" t="str">
        <f t="shared" si="68"/>
        <v/>
      </c>
      <c r="I1369" s="5"/>
      <c r="J1369" s="5"/>
      <c r="K1369" s="6"/>
      <c r="L1369" s="6"/>
      <c r="M1369" s="7" t="str">
        <f t="shared" si="69"/>
        <v/>
      </c>
      <c r="N1369" s="6"/>
      <c r="O1369" s="5"/>
    </row>
    <row r="1370" spans="1:15" x14ac:dyDescent="0.2">
      <c r="A1370" s="3" t="str">
        <f>IF($B1370="","",COUNTA($B$9:$B1370))</f>
        <v/>
      </c>
      <c r="B1370" s="4"/>
      <c r="C1370" s="4"/>
      <c r="D1370" s="4"/>
      <c r="E1370" s="5"/>
      <c r="F1370" s="3" t="str">
        <f t="shared" si="67"/>
        <v/>
      </c>
      <c r="G1370" s="4"/>
      <c r="H1370" s="3" t="str">
        <f t="shared" si="68"/>
        <v/>
      </c>
      <c r="I1370" s="5"/>
      <c r="J1370" s="5"/>
      <c r="K1370" s="6"/>
      <c r="L1370" s="6"/>
      <c r="M1370" s="7" t="str">
        <f t="shared" si="69"/>
        <v/>
      </c>
      <c r="N1370" s="6"/>
      <c r="O1370" s="5"/>
    </row>
    <row r="1371" spans="1:15" x14ac:dyDescent="0.2">
      <c r="A1371" s="3" t="str">
        <f>IF($B1371="","",COUNTA($B$9:$B1371))</f>
        <v/>
      </c>
      <c r="B1371" s="4"/>
      <c r="C1371" s="4"/>
      <c r="D1371" s="4"/>
      <c r="E1371" s="5"/>
      <c r="F1371" s="3" t="str">
        <f t="shared" si="67"/>
        <v/>
      </c>
      <c r="G1371" s="4"/>
      <c r="H1371" s="3" t="str">
        <f t="shared" si="68"/>
        <v/>
      </c>
      <c r="I1371" s="5"/>
      <c r="J1371" s="5"/>
      <c r="K1371" s="6"/>
      <c r="L1371" s="6"/>
      <c r="M1371" s="7" t="str">
        <f t="shared" si="69"/>
        <v/>
      </c>
      <c r="N1371" s="6"/>
      <c r="O1371" s="5"/>
    </row>
    <row r="1372" spans="1:15" x14ac:dyDescent="0.2">
      <c r="A1372" s="3" t="str">
        <f>IF($B1372="","",COUNTA($B$9:$B1372))</f>
        <v/>
      </c>
      <c r="B1372" s="4"/>
      <c r="C1372" s="4"/>
      <c r="D1372" s="4"/>
      <c r="E1372" s="5"/>
      <c r="F1372" s="3" t="str">
        <f t="shared" si="67"/>
        <v/>
      </c>
      <c r="G1372" s="4"/>
      <c r="H1372" s="3" t="str">
        <f t="shared" si="68"/>
        <v/>
      </c>
      <c r="I1372" s="5"/>
      <c r="J1372" s="5"/>
      <c r="K1372" s="6"/>
      <c r="L1372" s="6"/>
      <c r="M1372" s="7" t="str">
        <f t="shared" si="69"/>
        <v/>
      </c>
      <c r="N1372" s="6"/>
      <c r="O1372" s="5"/>
    </row>
    <row r="1373" spans="1:15" x14ac:dyDescent="0.2">
      <c r="A1373" s="3" t="str">
        <f>IF($B1373="","",COUNTA($B$9:$B1373))</f>
        <v/>
      </c>
      <c r="B1373" s="4"/>
      <c r="C1373" s="4"/>
      <c r="D1373" s="4"/>
      <c r="E1373" s="5"/>
      <c r="F1373" s="3" t="str">
        <f t="shared" si="67"/>
        <v/>
      </c>
      <c r="G1373" s="4"/>
      <c r="H1373" s="3" t="str">
        <f t="shared" si="68"/>
        <v/>
      </c>
      <c r="I1373" s="5"/>
      <c r="J1373" s="5"/>
      <c r="K1373" s="6"/>
      <c r="L1373" s="6"/>
      <c r="M1373" s="7" t="str">
        <f t="shared" si="69"/>
        <v/>
      </c>
      <c r="N1373" s="6"/>
      <c r="O1373" s="5"/>
    </row>
    <row r="1374" spans="1:15" x14ac:dyDescent="0.2">
      <c r="A1374" s="3" t="str">
        <f>IF($B1374="","",COUNTA($B$9:$B1374))</f>
        <v/>
      </c>
      <c r="B1374" s="4"/>
      <c r="C1374" s="4"/>
      <c r="D1374" s="4"/>
      <c r="E1374" s="5"/>
      <c r="F1374" s="3" t="str">
        <f t="shared" si="67"/>
        <v/>
      </c>
      <c r="G1374" s="4"/>
      <c r="H1374" s="3" t="str">
        <f t="shared" si="68"/>
        <v/>
      </c>
      <c r="I1374" s="5"/>
      <c r="J1374" s="5"/>
      <c r="K1374" s="6"/>
      <c r="L1374" s="6"/>
      <c r="M1374" s="7" t="str">
        <f t="shared" si="69"/>
        <v/>
      </c>
      <c r="N1374" s="6"/>
      <c r="O1374" s="5"/>
    </row>
    <row r="1375" spans="1:15" x14ac:dyDescent="0.2">
      <c r="A1375" s="3" t="str">
        <f>IF($B1375="","",COUNTA($B$9:$B1375))</f>
        <v/>
      </c>
      <c r="B1375" s="4"/>
      <c r="C1375" s="4"/>
      <c r="D1375" s="4"/>
      <c r="E1375" s="5"/>
      <c r="F1375" s="3" t="str">
        <f t="shared" si="67"/>
        <v/>
      </c>
      <c r="G1375" s="4"/>
      <c r="H1375" s="3" t="str">
        <f t="shared" si="68"/>
        <v/>
      </c>
      <c r="I1375" s="5"/>
      <c r="J1375" s="5"/>
      <c r="K1375" s="6"/>
      <c r="L1375" s="6"/>
      <c r="M1375" s="7" t="str">
        <f t="shared" si="69"/>
        <v/>
      </c>
      <c r="N1375" s="6"/>
      <c r="O1375" s="5"/>
    </row>
    <row r="1376" spans="1:15" x14ac:dyDescent="0.2">
      <c r="A1376" s="3" t="str">
        <f>IF($B1376="","",COUNTA($B$9:$B1376))</f>
        <v/>
      </c>
      <c r="B1376" s="4"/>
      <c r="C1376" s="4"/>
      <c r="D1376" s="4"/>
      <c r="E1376" s="5"/>
      <c r="F1376" s="3" t="str">
        <f t="shared" si="67"/>
        <v/>
      </c>
      <c r="G1376" s="4"/>
      <c r="H1376" s="3" t="str">
        <f t="shared" si="68"/>
        <v/>
      </c>
      <c r="I1376" s="5"/>
      <c r="J1376" s="5"/>
      <c r="K1376" s="6"/>
      <c r="L1376" s="6"/>
      <c r="M1376" s="7" t="str">
        <f t="shared" si="69"/>
        <v/>
      </c>
      <c r="N1376" s="6"/>
      <c r="O1376" s="5"/>
    </row>
    <row r="1377" spans="1:15" x14ac:dyDescent="0.2">
      <c r="A1377" s="3" t="str">
        <f>IF($B1377="","",COUNTA($B$9:$B1377))</f>
        <v/>
      </c>
      <c r="B1377" s="4"/>
      <c r="C1377" s="4"/>
      <c r="D1377" s="4"/>
      <c r="E1377" s="5"/>
      <c r="F1377" s="3" t="str">
        <f t="shared" si="67"/>
        <v/>
      </c>
      <c r="G1377" s="4"/>
      <c r="H1377" s="3" t="str">
        <f t="shared" si="68"/>
        <v/>
      </c>
      <c r="I1377" s="5"/>
      <c r="J1377" s="5"/>
      <c r="K1377" s="6"/>
      <c r="L1377" s="6"/>
      <c r="M1377" s="7" t="str">
        <f t="shared" si="69"/>
        <v/>
      </c>
      <c r="N1377" s="6"/>
      <c r="O1377" s="5"/>
    </row>
    <row r="1378" spans="1:15" x14ac:dyDescent="0.2">
      <c r="A1378" s="3" t="str">
        <f>IF($B1378="","",COUNTA($B$9:$B1378))</f>
        <v/>
      </c>
      <c r="B1378" s="4"/>
      <c r="C1378" s="4"/>
      <c r="D1378" s="4"/>
      <c r="E1378" s="5"/>
      <c r="F1378" s="3" t="str">
        <f t="shared" si="67"/>
        <v/>
      </c>
      <c r="G1378" s="4"/>
      <c r="H1378" s="3" t="str">
        <f t="shared" si="68"/>
        <v/>
      </c>
      <c r="I1378" s="5"/>
      <c r="J1378" s="5"/>
      <c r="K1378" s="6"/>
      <c r="L1378" s="6"/>
      <c r="M1378" s="7" t="str">
        <f t="shared" si="69"/>
        <v/>
      </c>
      <c r="N1378" s="6"/>
      <c r="O1378" s="5"/>
    </row>
    <row r="1379" spans="1:15" x14ac:dyDescent="0.2">
      <c r="A1379" s="3" t="str">
        <f>IF($B1379="","",COUNTA($B$9:$B1379))</f>
        <v/>
      </c>
      <c r="B1379" s="4"/>
      <c r="C1379" s="4"/>
      <c r="D1379" s="4"/>
      <c r="E1379" s="5"/>
      <c r="F1379" s="3" t="str">
        <f t="shared" si="67"/>
        <v/>
      </c>
      <c r="G1379" s="4"/>
      <c r="H1379" s="3" t="str">
        <f t="shared" si="68"/>
        <v/>
      </c>
      <c r="I1379" s="5"/>
      <c r="J1379" s="5"/>
      <c r="K1379" s="6"/>
      <c r="L1379" s="6"/>
      <c r="M1379" s="7" t="str">
        <f t="shared" si="69"/>
        <v/>
      </c>
      <c r="N1379" s="6"/>
      <c r="O1379" s="5"/>
    </row>
    <row r="1380" spans="1:15" x14ac:dyDescent="0.2">
      <c r="A1380" s="3" t="str">
        <f>IF($B1380="","",COUNTA($B$9:$B1380))</f>
        <v/>
      </c>
      <c r="B1380" s="4"/>
      <c r="C1380" s="4"/>
      <c r="D1380" s="4"/>
      <c r="E1380" s="5"/>
      <c r="F1380" s="3" t="str">
        <f t="shared" si="67"/>
        <v/>
      </c>
      <c r="G1380" s="4"/>
      <c r="H1380" s="3" t="str">
        <f t="shared" si="68"/>
        <v/>
      </c>
      <c r="I1380" s="5"/>
      <c r="J1380" s="5"/>
      <c r="K1380" s="6"/>
      <c r="L1380" s="6"/>
      <c r="M1380" s="7" t="str">
        <f t="shared" si="69"/>
        <v/>
      </c>
      <c r="N1380" s="6"/>
      <c r="O1380" s="5"/>
    </row>
    <row r="1381" spans="1:15" x14ac:dyDescent="0.2">
      <c r="A1381" s="3" t="str">
        <f>IF($B1381="","",COUNTA($B$9:$B1381))</f>
        <v/>
      </c>
      <c r="B1381" s="4"/>
      <c r="C1381" s="4"/>
      <c r="D1381" s="4"/>
      <c r="E1381" s="5"/>
      <c r="F1381" s="3" t="str">
        <f t="shared" si="67"/>
        <v/>
      </c>
      <c r="G1381" s="4"/>
      <c r="H1381" s="3" t="str">
        <f t="shared" si="68"/>
        <v/>
      </c>
      <c r="I1381" s="5"/>
      <c r="J1381" s="5"/>
      <c r="K1381" s="6"/>
      <c r="L1381" s="6"/>
      <c r="M1381" s="7" t="str">
        <f t="shared" si="69"/>
        <v/>
      </c>
      <c r="N1381" s="6"/>
      <c r="O1381" s="5"/>
    </row>
    <row r="1382" spans="1:15" x14ac:dyDescent="0.2">
      <c r="A1382" s="3" t="str">
        <f>IF($B1382="","",COUNTA($B$9:$B1382))</f>
        <v/>
      </c>
      <c r="B1382" s="4"/>
      <c r="C1382" s="4"/>
      <c r="D1382" s="4"/>
      <c r="E1382" s="5"/>
      <c r="F1382" s="3" t="str">
        <f t="shared" si="67"/>
        <v/>
      </c>
      <c r="G1382" s="4"/>
      <c r="H1382" s="3" t="str">
        <f t="shared" si="68"/>
        <v/>
      </c>
      <c r="I1382" s="5"/>
      <c r="J1382" s="5"/>
      <c r="K1382" s="6"/>
      <c r="L1382" s="6"/>
      <c r="M1382" s="7" t="str">
        <f t="shared" si="69"/>
        <v/>
      </c>
      <c r="N1382" s="6"/>
      <c r="O1382" s="5"/>
    </row>
    <row r="1383" spans="1:15" x14ac:dyDescent="0.2">
      <c r="A1383" s="3" t="str">
        <f>IF($B1383="","",COUNTA($B$9:$B1383))</f>
        <v/>
      </c>
      <c r="B1383" s="4"/>
      <c r="C1383" s="4"/>
      <c r="D1383" s="4"/>
      <c r="E1383" s="5"/>
      <c r="F1383" s="3" t="str">
        <f t="shared" si="67"/>
        <v/>
      </c>
      <c r="G1383" s="4"/>
      <c r="H1383" s="3" t="str">
        <f t="shared" si="68"/>
        <v/>
      </c>
      <c r="I1383" s="5"/>
      <c r="J1383" s="5"/>
      <c r="K1383" s="6"/>
      <c r="L1383" s="6"/>
      <c r="M1383" s="7" t="str">
        <f t="shared" si="69"/>
        <v/>
      </c>
      <c r="N1383" s="6"/>
      <c r="O1383" s="5"/>
    </row>
    <row r="1384" spans="1:15" x14ac:dyDescent="0.2">
      <c r="A1384" s="3" t="str">
        <f>IF($B1384="","",COUNTA($B$9:$B1384))</f>
        <v/>
      </c>
      <c r="B1384" s="4"/>
      <c r="C1384" s="4"/>
      <c r="D1384" s="4"/>
      <c r="E1384" s="5"/>
      <c r="F1384" s="3" t="str">
        <f t="shared" si="67"/>
        <v/>
      </c>
      <c r="G1384" s="4"/>
      <c r="H1384" s="3" t="str">
        <f t="shared" si="68"/>
        <v/>
      </c>
      <c r="I1384" s="5"/>
      <c r="J1384" s="5"/>
      <c r="K1384" s="6"/>
      <c r="L1384" s="6"/>
      <c r="M1384" s="7" t="str">
        <f t="shared" si="69"/>
        <v/>
      </c>
      <c r="N1384" s="6"/>
      <c r="O1384" s="5"/>
    </row>
    <row r="1385" spans="1:15" x14ac:dyDescent="0.2">
      <c r="A1385" s="3" t="str">
        <f>IF($B1385="","",COUNTA($B$9:$B1385))</f>
        <v/>
      </c>
      <c r="B1385" s="4"/>
      <c r="C1385" s="4"/>
      <c r="D1385" s="4"/>
      <c r="E1385" s="5"/>
      <c r="F1385" s="3" t="str">
        <f t="shared" si="67"/>
        <v/>
      </c>
      <c r="G1385" s="4"/>
      <c r="H1385" s="3" t="str">
        <f t="shared" si="68"/>
        <v/>
      </c>
      <c r="I1385" s="5"/>
      <c r="J1385" s="5"/>
      <c r="K1385" s="6"/>
      <c r="L1385" s="6"/>
      <c r="M1385" s="7" t="str">
        <f t="shared" si="69"/>
        <v/>
      </c>
      <c r="N1385" s="6"/>
      <c r="O1385" s="5"/>
    </row>
    <row r="1386" spans="1:15" x14ac:dyDescent="0.2">
      <c r="A1386" s="3" t="str">
        <f>IF($B1386="","",COUNTA($B$9:$B1386))</f>
        <v/>
      </c>
      <c r="B1386" s="4"/>
      <c r="C1386" s="4"/>
      <c r="D1386" s="4"/>
      <c r="E1386" s="5"/>
      <c r="F1386" s="3" t="str">
        <f t="shared" si="67"/>
        <v/>
      </c>
      <c r="G1386" s="4"/>
      <c r="H1386" s="3" t="str">
        <f t="shared" si="68"/>
        <v/>
      </c>
      <c r="I1386" s="5"/>
      <c r="J1386" s="5"/>
      <c r="K1386" s="6"/>
      <c r="L1386" s="6"/>
      <c r="M1386" s="7" t="str">
        <f t="shared" si="69"/>
        <v/>
      </c>
      <c r="N1386" s="6"/>
      <c r="O1386" s="5"/>
    </row>
    <row r="1387" spans="1:15" x14ac:dyDescent="0.2">
      <c r="A1387" s="3" t="str">
        <f>IF($B1387="","",COUNTA($B$9:$B1387))</f>
        <v/>
      </c>
      <c r="B1387" s="4"/>
      <c r="C1387" s="4"/>
      <c r="D1387" s="4"/>
      <c r="E1387" s="5"/>
      <c r="F1387" s="3" t="str">
        <f t="shared" si="67"/>
        <v/>
      </c>
      <c r="G1387" s="4"/>
      <c r="H1387" s="3" t="str">
        <f t="shared" si="68"/>
        <v/>
      </c>
      <c r="I1387" s="5"/>
      <c r="J1387" s="5"/>
      <c r="K1387" s="6"/>
      <c r="L1387" s="6"/>
      <c r="M1387" s="7" t="str">
        <f t="shared" si="69"/>
        <v/>
      </c>
      <c r="N1387" s="6"/>
      <c r="O1387" s="5"/>
    </row>
    <row r="1388" spans="1:15" x14ac:dyDescent="0.2">
      <c r="A1388" s="3" t="str">
        <f>IF($B1388="","",COUNTA($B$9:$B1388))</f>
        <v/>
      </c>
      <c r="B1388" s="4"/>
      <c r="C1388" s="4"/>
      <c r="D1388" s="4"/>
      <c r="E1388" s="5"/>
      <c r="F1388" s="3" t="str">
        <f t="shared" si="67"/>
        <v/>
      </c>
      <c r="G1388" s="4"/>
      <c r="H1388" s="3" t="str">
        <f t="shared" si="68"/>
        <v/>
      </c>
      <c r="I1388" s="5"/>
      <c r="J1388" s="5"/>
      <c r="K1388" s="6"/>
      <c r="L1388" s="6"/>
      <c r="M1388" s="7" t="str">
        <f t="shared" si="69"/>
        <v/>
      </c>
      <c r="N1388" s="6"/>
      <c r="O1388" s="5"/>
    </row>
    <row r="1389" spans="1:15" x14ac:dyDescent="0.2">
      <c r="A1389" s="3" t="str">
        <f>IF($B1389="","",COUNTA($B$9:$B1389))</f>
        <v/>
      </c>
      <c r="B1389" s="4"/>
      <c r="C1389" s="4"/>
      <c r="D1389" s="4"/>
      <c r="E1389" s="5"/>
      <c r="F1389" s="3" t="str">
        <f t="shared" si="67"/>
        <v/>
      </c>
      <c r="G1389" s="4"/>
      <c r="H1389" s="3" t="str">
        <f t="shared" si="68"/>
        <v/>
      </c>
      <c r="I1389" s="5"/>
      <c r="J1389" s="5"/>
      <c r="K1389" s="6"/>
      <c r="L1389" s="6"/>
      <c r="M1389" s="7" t="str">
        <f t="shared" si="69"/>
        <v/>
      </c>
      <c r="N1389" s="6"/>
      <c r="O1389" s="5"/>
    </row>
    <row r="1390" spans="1:15" x14ac:dyDescent="0.2">
      <c r="A1390" s="3" t="str">
        <f>IF($B1390="","",COUNTA($B$9:$B1390))</f>
        <v/>
      </c>
      <c r="B1390" s="4"/>
      <c r="C1390" s="4"/>
      <c r="D1390" s="4"/>
      <c r="E1390" s="5"/>
      <c r="F1390" s="3" t="str">
        <f t="shared" si="67"/>
        <v/>
      </c>
      <c r="G1390" s="4"/>
      <c r="H1390" s="3" t="str">
        <f t="shared" si="68"/>
        <v/>
      </c>
      <c r="I1390" s="5"/>
      <c r="J1390" s="5"/>
      <c r="K1390" s="6"/>
      <c r="L1390" s="6"/>
      <c r="M1390" s="7" t="str">
        <f t="shared" si="69"/>
        <v/>
      </c>
      <c r="N1390" s="6"/>
      <c r="O1390" s="5"/>
    </row>
    <row r="1391" spans="1:15" x14ac:dyDescent="0.2">
      <c r="A1391" s="3" t="str">
        <f>IF($B1391="","",COUNTA($B$9:$B1391))</f>
        <v/>
      </c>
      <c r="B1391" s="4"/>
      <c r="C1391" s="4"/>
      <c r="D1391" s="4"/>
      <c r="E1391" s="5"/>
      <c r="F1391" s="3" t="str">
        <f t="shared" si="67"/>
        <v/>
      </c>
      <c r="G1391" s="4"/>
      <c r="H1391" s="3" t="str">
        <f t="shared" si="68"/>
        <v/>
      </c>
      <c r="I1391" s="5"/>
      <c r="J1391" s="5"/>
      <c r="K1391" s="6"/>
      <c r="L1391" s="6"/>
      <c r="M1391" s="7" t="str">
        <f t="shared" si="69"/>
        <v/>
      </c>
      <c r="N1391" s="6"/>
      <c r="O1391" s="5"/>
    </row>
    <row r="1392" spans="1:15" x14ac:dyDescent="0.2">
      <c r="A1392" s="3" t="str">
        <f>IF($B1392="","",COUNTA($B$9:$B1392))</f>
        <v/>
      </c>
      <c r="B1392" s="4"/>
      <c r="C1392" s="4"/>
      <c r="D1392" s="4"/>
      <c r="E1392" s="5"/>
      <c r="F1392" s="3" t="str">
        <f t="shared" si="67"/>
        <v/>
      </c>
      <c r="G1392" s="4"/>
      <c r="H1392" s="3" t="str">
        <f t="shared" si="68"/>
        <v/>
      </c>
      <c r="I1392" s="5"/>
      <c r="J1392" s="5"/>
      <c r="K1392" s="6"/>
      <c r="L1392" s="6"/>
      <c r="M1392" s="7" t="str">
        <f t="shared" si="69"/>
        <v/>
      </c>
      <c r="N1392" s="6"/>
      <c r="O1392" s="5"/>
    </row>
    <row r="1393" spans="1:15" x14ac:dyDescent="0.2">
      <c r="A1393" s="3" t="str">
        <f>IF($B1393="","",COUNTA($B$9:$B1393))</f>
        <v/>
      </c>
      <c r="B1393" s="4"/>
      <c r="C1393" s="4"/>
      <c r="D1393" s="4"/>
      <c r="E1393" s="5"/>
      <c r="F1393" s="3" t="str">
        <f t="shared" si="67"/>
        <v/>
      </c>
      <c r="G1393" s="4"/>
      <c r="H1393" s="3" t="str">
        <f t="shared" si="68"/>
        <v/>
      </c>
      <c r="I1393" s="5"/>
      <c r="J1393" s="5"/>
      <c r="K1393" s="6"/>
      <c r="L1393" s="6"/>
      <c r="M1393" s="7" t="str">
        <f t="shared" si="69"/>
        <v/>
      </c>
      <c r="N1393" s="6"/>
      <c r="O1393" s="5"/>
    </row>
    <row r="1394" spans="1:15" x14ac:dyDescent="0.2">
      <c r="A1394" s="3" t="str">
        <f>IF($B1394="","",COUNTA($B$9:$B1394))</f>
        <v/>
      </c>
      <c r="B1394" s="4"/>
      <c r="C1394" s="4"/>
      <c r="D1394" s="4"/>
      <c r="E1394" s="5"/>
      <c r="F1394" s="3" t="str">
        <f t="shared" si="67"/>
        <v/>
      </c>
      <c r="G1394" s="4"/>
      <c r="H1394" s="3" t="str">
        <f t="shared" si="68"/>
        <v/>
      </c>
      <c r="I1394" s="5"/>
      <c r="J1394" s="5"/>
      <c r="K1394" s="6"/>
      <c r="L1394" s="6"/>
      <c r="M1394" s="7" t="str">
        <f t="shared" si="69"/>
        <v/>
      </c>
      <c r="N1394" s="6"/>
      <c r="O1394" s="5"/>
    </row>
    <row r="1395" spans="1:15" x14ac:dyDescent="0.2">
      <c r="A1395" s="3" t="str">
        <f>IF($B1395="","",COUNTA($B$9:$B1395))</f>
        <v/>
      </c>
      <c r="B1395" s="4"/>
      <c r="C1395" s="4"/>
      <c r="D1395" s="4"/>
      <c r="E1395" s="5"/>
      <c r="F1395" s="3" t="str">
        <f t="shared" si="67"/>
        <v/>
      </c>
      <c r="G1395" s="4"/>
      <c r="H1395" s="3" t="str">
        <f t="shared" si="68"/>
        <v/>
      </c>
      <c r="I1395" s="5"/>
      <c r="J1395" s="5"/>
      <c r="K1395" s="6"/>
      <c r="L1395" s="6"/>
      <c r="M1395" s="7" t="str">
        <f t="shared" si="69"/>
        <v/>
      </c>
      <c r="N1395" s="6"/>
      <c r="O1395" s="5"/>
    </row>
    <row r="1396" spans="1:15" x14ac:dyDescent="0.2">
      <c r="A1396" s="3" t="str">
        <f>IF($B1396="","",COUNTA($B$9:$B1396))</f>
        <v/>
      </c>
      <c r="B1396" s="4"/>
      <c r="C1396" s="4"/>
      <c r="D1396" s="4"/>
      <c r="E1396" s="5"/>
      <c r="F1396" s="3" t="str">
        <f t="shared" si="67"/>
        <v/>
      </c>
      <c r="G1396" s="4"/>
      <c r="H1396" s="3" t="str">
        <f t="shared" si="68"/>
        <v/>
      </c>
      <c r="I1396" s="5"/>
      <c r="J1396" s="5"/>
      <c r="K1396" s="6"/>
      <c r="L1396" s="6"/>
      <c r="M1396" s="7" t="str">
        <f t="shared" si="69"/>
        <v/>
      </c>
      <c r="N1396" s="6"/>
      <c r="O1396" s="5"/>
    </row>
    <row r="1397" spans="1:15" x14ac:dyDescent="0.2">
      <c r="A1397" s="3" t="str">
        <f>IF($B1397="","",COUNTA($B$9:$B1397))</f>
        <v/>
      </c>
      <c r="B1397" s="4"/>
      <c r="C1397" s="4"/>
      <c r="D1397" s="4"/>
      <c r="E1397" s="5"/>
      <c r="F1397" s="3" t="str">
        <f t="shared" si="67"/>
        <v/>
      </c>
      <c r="G1397" s="4"/>
      <c r="H1397" s="3" t="str">
        <f t="shared" si="68"/>
        <v/>
      </c>
      <c r="I1397" s="5"/>
      <c r="J1397" s="5"/>
      <c r="K1397" s="6"/>
      <c r="L1397" s="6"/>
      <c r="M1397" s="7" t="str">
        <f t="shared" si="69"/>
        <v/>
      </c>
      <c r="N1397" s="6"/>
      <c r="O1397" s="5"/>
    </row>
    <row r="1398" spans="1:15" x14ac:dyDescent="0.2">
      <c r="A1398" s="3" t="str">
        <f>IF($B1398="","",COUNTA($B$9:$B1398))</f>
        <v/>
      </c>
      <c r="B1398" s="4"/>
      <c r="C1398" s="4"/>
      <c r="D1398" s="4"/>
      <c r="E1398" s="5"/>
      <c r="F1398" s="3" t="str">
        <f t="shared" si="67"/>
        <v/>
      </c>
      <c r="G1398" s="4"/>
      <c r="H1398" s="3" t="str">
        <f t="shared" si="68"/>
        <v/>
      </c>
      <c r="I1398" s="5"/>
      <c r="J1398" s="5"/>
      <c r="K1398" s="6"/>
      <c r="L1398" s="6"/>
      <c r="M1398" s="7" t="str">
        <f t="shared" si="69"/>
        <v/>
      </c>
      <c r="N1398" s="6"/>
      <c r="O1398" s="5"/>
    </row>
    <row r="1399" spans="1:15" x14ac:dyDescent="0.2">
      <c r="A1399" s="3" t="str">
        <f>IF($B1399="","",COUNTA($B$9:$B1399))</f>
        <v/>
      </c>
      <c r="B1399" s="4"/>
      <c r="C1399" s="4"/>
      <c r="D1399" s="4"/>
      <c r="E1399" s="5"/>
      <c r="F1399" s="3" t="str">
        <f t="shared" si="67"/>
        <v/>
      </c>
      <c r="G1399" s="4"/>
      <c r="H1399" s="3" t="str">
        <f t="shared" si="68"/>
        <v/>
      </c>
      <c r="I1399" s="5"/>
      <c r="J1399" s="5"/>
      <c r="K1399" s="6"/>
      <c r="L1399" s="6"/>
      <c r="M1399" s="7" t="str">
        <f t="shared" si="69"/>
        <v/>
      </c>
      <c r="N1399" s="6"/>
      <c r="O1399" s="5"/>
    </row>
    <row r="1400" spans="1:15" x14ac:dyDescent="0.2">
      <c r="A1400" s="3" t="str">
        <f>IF($B1400="","",COUNTA($B$9:$B1400))</f>
        <v/>
      </c>
      <c r="B1400" s="4"/>
      <c r="C1400" s="4"/>
      <c r="D1400" s="4"/>
      <c r="E1400" s="5"/>
      <c r="F1400" s="3" t="str">
        <f t="shared" si="67"/>
        <v/>
      </c>
      <c r="G1400" s="4"/>
      <c r="H1400" s="3" t="str">
        <f t="shared" si="68"/>
        <v/>
      </c>
      <c r="I1400" s="5"/>
      <c r="J1400" s="5"/>
      <c r="K1400" s="6"/>
      <c r="L1400" s="6"/>
      <c r="M1400" s="7" t="str">
        <f t="shared" si="69"/>
        <v/>
      </c>
      <c r="N1400" s="6"/>
      <c r="O1400" s="5"/>
    </row>
    <row r="1401" spans="1:15" x14ac:dyDescent="0.2">
      <c r="A1401" s="3" t="str">
        <f>IF($B1401="","",COUNTA($B$9:$B1401))</f>
        <v/>
      </c>
      <c r="B1401" s="4"/>
      <c r="C1401" s="4"/>
      <c r="D1401" s="4"/>
      <c r="E1401" s="5"/>
      <c r="F1401" s="3" t="str">
        <f t="shared" si="67"/>
        <v/>
      </c>
      <c r="G1401" s="4"/>
      <c r="H1401" s="3" t="str">
        <f t="shared" si="68"/>
        <v/>
      </c>
      <c r="I1401" s="5"/>
      <c r="J1401" s="5"/>
      <c r="K1401" s="6"/>
      <c r="L1401" s="6"/>
      <c r="M1401" s="7" t="str">
        <f t="shared" si="69"/>
        <v/>
      </c>
      <c r="N1401" s="6"/>
      <c r="O1401" s="5"/>
    </row>
    <row r="1402" spans="1:15" x14ac:dyDescent="0.2">
      <c r="A1402" s="3" t="str">
        <f>IF($B1402="","",COUNTA($B$9:$B1402))</f>
        <v/>
      </c>
      <c r="B1402" s="4"/>
      <c r="C1402" s="4"/>
      <c r="D1402" s="4"/>
      <c r="E1402" s="5"/>
      <c r="F1402" s="3" t="str">
        <f t="shared" si="67"/>
        <v/>
      </c>
      <c r="G1402" s="4"/>
      <c r="H1402" s="3" t="str">
        <f t="shared" si="68"/>
        <v/>
      </c>
      <c r="I1402" s="5"/>
      <c r="J1402" s="5"/>
      <c r="K1402" s="6"/>
      <c r="L1402" s="6"/>
      <c r="M1402" s="7" t="str">
        <f t="shared" si="69"/>
        <v/>
      </c>
      <c r="N1402" s="6"/>
      <c r="O1402" s="5"/>
    </row>
    <row r="1403" spans="1:15" x14ac:dyDescent="0.2">
      <c r="A1403" s="3" t="str">
        <f>IF($B1403="","",COUNTA($B$9:$B1403))</f>
        <v/>
      </c>
      <c r="B1403" s="4"/>
      <c r="C1403" s="4"/>
      <c r="D1403" s="4"/>
      <c r="E1403" s="5"/>
      <c r="F1403" s="3" t="str">
        <f t="shared" si="67"/>
        <v/>
      </c>
      <c r="G1403" s="4"/>
      <c r="H1403" s="3" t="str">
        <f t="shared" si="68"/>
        <v/>
      </c>
      <c r="I1403" s="5"/>
      <c r="J1403" s="5"/>
      <c r="K1403" s="6"/>
      <c r="L1403" s="6"/>
      <c r="M1403" s="7" t="str">
        <f t="shared" si="69"/>
        <v/>
      </c>
      <c r="N1403" s="6"/>
      <c r="O1403" s="5"/>
    </row>
    <row r="1404" spans="1:15" x14ac:dyDescent="0.2">
      <c r="A1404" s="3" t="str">
        <f>IF($B1404="","",COUNTA($B$9:$B1404))</f>
        <v/>
      </c>
      <c r="B1404" s="4"/>
      <c r="C1404" s="4"/>
      <c r="D1404" s="4"/>
      <c r="E1404" s="5"/>
      <c r="F1404" s="3" t="str">
        <f t="shared" si="67"/>
        <v/>
      </c>
      <c r="G1404" s="4"/>
      <c r="H1404" s="3" t="str">
        <f t="shared" si="68"/>
        <v/>
      </c>
      <c r="I1404" s="5"/>
      <c r="J1404" s="5"/>
      <c r="K1404" s="6"/>
      <c r="L1404" s="6"/>
      <c r="M1404" s="7" t="str">
        <f t="shared" si="69"/>
        <v/>
      </c>
      <c r="N1404" s="6"/>
      <c r="O1404" s="5"/>
    </row>
    <row r="1405" spans="1:15" x14ac:dyDescent="0.2">
      <c r="A1405" s="3" t="str">
        <f>IF($B1405="","",COUNTA($B$9:$B1405))</f>
        <v/>
      </c>
      <c r="B1405" s="4"/>
      <c r="C1405" s="4"/>
      <c r="D1405" s="4"/>
      <c r="E1405" s="5"/>
      <c r="F1405" s="3" t="str">
        <f t="shared" si="67"/>
        <v/>
      </c>
      <c r="G1405" s="4"/>
      <c r="H1405" s="3" t="str">
        <f t="shared" si="68"/>
        <v/>
      </c>
      <c r="I1405" s="5"/>
      <c r="J1405" s="5"/>
      <c r="K1405" s="6"/>
      <c r="L1405" s="6"/>
      <c r="M1405" s="7" t="str">
        <f t="shared" si="69"/>
        <v/>
      </c>
      <c r="N1405" s="6"/>
      <c r="O1405" s="5"/>
    </row>
    <row r="1406" spans="1:15" x14ac:dyDescent="0.2">
      <c r="A1406" s="3" t="str">
        <f>IF($B1406="","",COUNTA($B$9:$B1406))</f>
        <v/>
      </c>
      <c r="B1406" s="4"/>
      <c r="C1406" s="4"/>
      <c r="D1406" s="4"/>
      <c r="E1406" s="5"/>
      <c r="F1406" s="3" t="str">
        <f t="shared" si="67"/>
        <v/>
      </c>
      <c r="G1406" s="4"/>
      <c r="H1406" s="3" t="str">
        <f t="shared" si="68"/>
        <v/>
      </c>
      <c r="I1406" s="5"/>
      <c r="J1406" s="5"/>
      <c r="K1406" s="6"/>
      <c r="L1406" s="6"/>
      <c r="M1406" s="7" t="str">
        <f t="shared" si="69"/>
        <v/>
      </c>
      <c r="N1406" s="6"/>
      <c r="O1406" s="5"/>
    </row>
    <row r="1407" spans="1:15" x14ac:dyDescent="0.2">
      <c r="A1407" s="3" t="str">
        <f>IF($B1407="","",COUNTA($B$9:$B1407))</f>
        <v/>
      </c>
      <c r="B1407" s="4"/>
      <c r="C1407" s="4"/>
      <c r="D1407" s="4"/>
      <c r="E1407" s="5"/>
      <c r="F1407" s="3" t="str">
        <f t="shared" si="67"/>
        <v/>
      </c>
      <c r="G1407" s="4"/>
      <c r="H1407" s="3" t="str">
        <f t="shared" si="68"/>
        <v/>
      </c>
      <c r="I1407" s="5"/>
      <c r="J1407" s="5"/>
      <c r="K1407" s="6"/>
      <c r="L1407" s="6"/>
      <c r="M1407" s="7" t="str">
        <f t="shared" si="69"/>
        <v/>
      </c>
      <c r="N1407" s="6"/>
      <c r="O1407" s="5"/>
    </row>
    <row r="1408" spans="1:15" x14ac:dyDescent="0.2">
      <c r="A1408" s="3" t="str">
        <f>IF($B1408="","",COUNTA($B$9:$B1408))</f>
        <v/>
      </c>
      <c r="B1408" s="4"/>
      <c r="C1408" s="4"/>
      <c r="D1408" s="4"/>
      <c r="E1408" s="5"/>
      <c r="F1408" s="3" t="str">
        <f t="shared" si="67"/>
        <v/>
      </c>
      <c r="G1408" s="4"/>
      <c r="H1408" s="3" t="str">
        <f t="shared" si="68"/>
        <v/>
      </c>
      <c r="I1408" s="5"/>
      <c r="J1408" s="5"/>
      <c r="K1408" s="6"/>
      <c r="L1408" s="6"/>
      <c r="M1408" s="7" t="str">
        <f t="shared" si="69"/>
        <v/>
      </c>
      <c r="N1408" s="6"/>
      <c r="O1408" s="5"/>
    </row>
    <row r="1409" spans="1:15" x14ac:dyDescent="0.2">
      <c r="A1409" s="3" t="str">
        <f>IF($B1409="","",COUNTA($B$9:$B1409))</f>
        <v/>
      </c>
      <c r="B1409" s="4"/>
      <c r="C1409" s="4"/>
      <c r="D1409" s="4"/>
      <c r="E1409" s="5"/>
      <c r="F1409" s="3" t="str">
        <f t="shared" si="67"/>
        <v/>
      </c>
      <c r="G1409" s="4"/>
      <c r="H1409" s="3" t="str">
        <f t="shared" si="68"/>
        <v/>
      </c>
      <c r="I1409" s="5"/>
      <c r="J1409" s="5"/>
      <c r="K1409" s="6"/>
      <c r="L1409" s="6"/>
      <c r="M1409" s="7" t="str">
        <f t="shared" si="69"/>
        <v/>
      </c>
      <c r="N1409" s="6"/>
      <c r="O1409" s="5"/>
    </row>
    <row r="1410" spans="1:15" x14ac:dyDescent="0.2">
      <c r="A1410" s="3" t="str">
        <f>IF($B1410="","",COUNTA($B$9:$B1410))</f>
        <v/>
      </c>
      <c r="B1410" s="4"/>
      <c r="C1410" s="4"/>
      <c r="D1410" s="4"/>
      <c r="E1410" s="5"/>
      <c r="F1410" s="3" t="str">
        <f t="shared" si="67"/>
        <v/>
      </c>
      <c r="G1410" s="4"/>
      <c r="H1410" s="3" t="str">
        <f t="shared" si="68"/>
        <v/>
      </c>
      <c r="I1410" s="5"/>
      <c r="J1410" s="5"/>
      <c r="K1410" s="6"/>
      <c r="L1410" s="6"/>
      <c r="M1410" s="7" t="str">
        <f t="shared" si="69"/>
        <v/>
      </c>
      <c r="N1410" s="6"/>
      <c r="O1410" s="5"/>
    </row>
    <row r="1411" spans="1:15" x14ac:dyDescent="0.2">
      <c r="A1411" s="3" t="str">
        <f>IF($B1411="","",COUNTA($B$9:$B1411))</f>
        <v/>
      </c>
      <c r="B1411" s="4"/>
      <c r="C1411" s="4"/>
      <c r="D1411" s="4"/>
      <c r="E1411" s="5"/>
      <c r="F1411" s="3" t="str">
        <f t="shared" si="67"/>
        <v/>
      </c>
      <c r="G1411" s="4"/>
      <c r="H1411" s="3" t="str">
        <f t="shared" si="68"/>
        <v/>
      </c>
      <c r="I1411" s="5"/>
      <c r="J1411" s="5"/>
      <c r="K1411" s="6"/>
      <c r="L1411" s="6"/>
      <c r="M1411" s="7" t="str">
        <f t="shared" si="69"/>
        <v/>
      </c>
      <c r="N1411" s="6"/>
      <c r="O1411" s="5"/>
    </row>
    <row r="1412" spans="1:15" x14ac:dyDescent="0.2">
      <c r="A1412" s="3" t="str">
        <f>IF($B1412="","",COUNTA($B$9:$B1412))</f>
        <v/>
      </c>
      <c r="B1412" s="4"/>
      <c r="C1412" s="4"/>
      <c r="D1412" s="4"/>
      <c r="E1412" s="5"/>
      <c r="F1412" s="3" t="str">
        <f t="shared" si="67"/>
        <v/>
      </c>
      <c r="G1412" s="4"/>
      <c r="H1412" s="3" t="str">
        <f t="shared" si="68"/>
        <v/>
      </c>
      <c r="I1412" s="5"/>
      <c r="J1412" s="5"/>
      <c r="K1412" s="6"/>
      <c r="L1412" s="6"/>
      <c r="M1412" s="7" t="str">
        <f t="shared" si="69"/>
        <v/>
      </c>
      <c r="N1412" s="6"/>
      <c r="O1412" s="5"/>
    </row>
    <row r="1413" spans="1:15" x14ac:dyDescent="0.2">
      <c r="A1413" s="3" t="str">
        <f>IF($B1413="","",COUNTA($B$9:$B1413))</f>
        <v/>
      </c>
      <c r="B1413" s="4"/>
      <c r="C1413" s="4"/>
      <c r="D1413" s="4"/>
      <c r="E1413" s="5"/>
      <c r="F1413" s="3" t="str">
        <f t="shared" si="67"/>
        <v/>
      </c>
      <c r="G1413" s="4"/>
      <c r="H1413" s="3" t="str">
        <f t="shared" si="68"/>
        <v/>
      </c>
      <c r="I1413" s="5"/>
      <c r="J1413" s="5"/>
      <c r="K1413" s="6"/>
      <c r="L1413" s="6"/>
      <c r="M1413" s="7" t="str">
        <f t="shared" si="69"/>
        <v/>
      </c>
      <c r="N1413" s="6"/>
      <c r="O1413" s="5"/>
    </row>
    <row r="1414" spans="1:15" x14ac:dyDescent="0.2">
      <c r="A1414" s="3" t="str">
        <f>IF($B1414="","",COUNTA($B$9:$B1414))</f>
        <v/>
      </c>
      <c r="B1414" s="4"/>
      <c r="C1414" s="4"/>
      <c r="D1414" s="4"/>
      <c r="E1414" s="5"/>
      <c r="F1414" s="3" t="str">
        <f t="shared" si="67"/>
        <v/>
      </c>
      <c r="G1414" s="4"/>
      <c r="H1414" s="3" t="str">
        <f t="shared" si="68"/>
        <v/>
      </c>
      <c r="I1414" s="5"/>
      <c r="J1414" s="5"/>
      <c r="K1414" s="6"/>
      <c r="L1414" s="6"/>
      <c r="M1414" s="7" t="str">
        <f t="shared" si="69"/>
        <v/>
      </c>
      <c r="N1414" s="6"/>
      <c r="O1414" s="5"/>
    </row>
    <row r="1415" spans="1:15" x14ac:dyDescent="0.2">
      <c r="A1415" s="3" t="str">
        <f>IF($B1415="","",COUNTA($B$9:$B1415))</f>
        <v/>
      </c>
      <c r="B1415" s="4"/>
      <c r="C1415" s="4"/>
      <c r="D1415" s="4"/>
      <c r="E1415" s="5"/>
      <c r="F1415" s="3" t="str">
        <f t="shared" si="67"/>
        <v/>
      </c>
      <c r="G1415" s="4"/>
      <c r="H1415" s="3" t="str">
        <f t="shared" si="68"/>
        <v/>
      </c>
      <c r="I1415" s="5"/>
      <c r="J1415" s="5"/>
      <c r="K1415" s="6"/>
      <c r="L1415" s="6"/>
      <c r="M1415" s="7" t="str">
        <f t="shared" si="69"/>
        <v/>
      </c>
      <c r="N1415" s="6"/>
      <c r="O1415" s="5"/>
    </row>
    <row r="1416" spans="1:15" x14ac:dyDescent="0.2">
      <c r="A1416" s="3" t="str">
        <f>IF($B1416="","",COUNTA($B$9:$B1416))</f>
        <v/>
      </c>
      <c r="B1416" s="4"/>
      <c r="C1416" s="4"/>
      <c r="D1416" s="4"/>
      <c r="E1416" s="5"/>
      <c r="F1416" s="3" t="str">
        <f t="shared" ref="F1416:F1479" si="70">IF($E1416="","",IFERROR(VLOOKUP($E1416,OpTbl,2,0),""))</f>
        <v/>
      </c>
      <c r="G1416" s="4"/>
      <c r="H1416" s="3" t="str">
        <f t="shared" ref="H1416:H1479" si="71">IF($G1416="","",IFERROR(IF(VLOOKUP($G1416,AcctTbl,4,0)="","(بدون نام)",VLOOKUP($G1416,AcctTbl,4,0)),"کد ناشناخته"))</f>
        <v/>
      </c>
      <c r="I1416" s="5"/>
      <c r="J1416" s="5"/>
      <c r="K1416" s="6"/>
      <c r="L1416" s="6"/>
      <c r="M1416" s="7" t="str">
        <f t="shared" ref="M1416:M1479" si="72">IF(OR($B1416="",$K1416=""),"",($K1416-IF($L1416="",0,$L1416)*IFERROR(VLOOKUP("P01",ParamTbl,3,0),1.5))*(1-IF(IFERROR(VLOOKUP($E1416,OpTbl,3,0),"")="خرید",IFERROR(VLOOKUP("P02",ParamTbl,3,0),1),0)/100))</f>
        <v/>
      </c>
      <c r="N1416" s="6"/>
      <c r="O1416" s="5"/>
    </row>
    <row r="1417" spans="1:15" x14ac:dyDescent="0.2">
      <c r="A1417" s="3" t="str">
        <f>IF($B1417="","",COUNTA($B$9:$B1417))</f>
        <v/>
      </c>
      <c r="B1417" s="4"/>
      <c r="C1417" s="4"/>
      <c r="D1417" s="4"/>
      <c r="E1417" s="5"/>
      <c r="F1417" s="3" t="str">
        <f t="shared" si="70"/>
        <v/>
      </c>
      <c r="G1417" s="4"/>
      <c r="H1417" s="3" t="str">
        <f t="shared" si="71"/>
        <v/>
      </c>
      <c r="I1417" s="5"/>
      <c r="J1417" s="5"/>
      <c r="K1417" s="6"/>
      <c r="L1417" s="6"/>
      <c r="M1417" s="7" t="str">
        <f t="shared" si="72"/>
        <v/>
      </c>
      <c r="N1417" s="6"/>
      <c r="O1417" s="5"/>
    </row>
    <row r="1418" spans="1:15" x14ac:dyDescent="0.2">
      <c r="A1418" s="3" t="str">
        <f>IF($B1418="","",COUNTA($B$9:$B1418))</f>
        <v/>
      </c>
      <c r="B1418" s="4"/>
      <c r="C1418" s="4"/>
      <c r="D1418" s="4"/>
      <c r="E1418" s="5"/>
      <c r="F1418" s="3" t="str">
        <f t="shared" si="70"/>
        <v/>
      </c>
      <c r="G1418" s="4"/>
      <c r="H1418" s="3" t="str">
        <f t="shared" si="71"/>
        <v/>
      </c>
      <c r="I1418" s="5"/>
      <c r="J1418" s="5"/>
      <c r="K1418" s="6"/>
      <c r="L1418" s="6"/>
      <c r="M1418" s="7" t="str">
        <f t="shared" si="72"/>
        <v/>
      </c>
      <c r="N1418" s="6"/>
      <c r="O1418" s="5"/>
    </row>
    <row r="1419" spans="1:15" x14ac:dyDescent="0.2">
      <c r="A1419" s="3" t="str">
        <f>IF($B1419="","",COUNTA($B$9:$B1419))</f>
        <v/>
      </c>
      <c r="B1419" s="4"/>
      <c r="C1419" s="4"/>
      <c r="D1419" s="4"/>
      <c r="E1419" s="5"/>
      <c r="F1419" s="3" t="str">
        <f t="shared" si="70"/>
        <v/>
      </c>
      <c r="G1419" s="4"/>
      <c r="H1419" s="3" t="str">
        <f t="shared" si="71"/>
        <v/>
      </c>
      <c r="I1419" s="5"/>
      <c r="J1419" s="5"/>
      <c r="K1419" s="6"/>
      <c r="L1419" s="6"/>
      <c r="M1419" s="7" t="str">
        <f t="shared" si="72"/>
        <v/>
      </c>
      <c r="N1419" s="6"/>
      <c r="O1419" s="5"/>
    </row>
    <row r="1420" spans="1:15" x14ac:dyDescent="0.2">
      <c r="A1420" s="3" t="str">
        <f>IF($B1420="","",COUNTA($B$9:$B1420))</f>
        <v/>
      </c>
      <c r="B1420" s="4"/>
      <c r="C1420" s="4"/>
      <c r="D1420" s="4"/>
      <c r="E1420" s="5"/>
      <c r="F1420" s="3" t="str">
        <f t="shared" si="70"/>
        <v/>
      </c>
      <c r="G1420" s="4"/>
      <c r="H1420" s="3" t="str">
        <f t="shared" si="71"/>
        <v/>
      </c>
      <c r="I1420" s="5"/>
      <c r="J1420" s="5"/>
      <c r="K1420" s="6"/>
      <c r="L1420" s="6"/>
      <c r="M1420" s="7" t="str">
        <f t="shared" si="72"/>
        <v/>
      </c>
      <c r="N1420" s="6"/>
      <c r="O1420" s="5"/>
    </row>
    <row r="1421" spans="1:15" x14ac:dyDescent="0.2">
      <c r="A1421" s="3" t="str">
        <f>IF($B1421="","",COUNTA($B$9:$B1421))</f>
        <v/>
      </c>
      <c r="B1421" s="4"/>
      <c r="C1421" s="4"/>
      <c r="D1421" s="4"/>
      <c r="E1421" s="5"/>
      <c r="F1421" s="3" t="str">
        <f t="shared" si="70"/>
        <v/>
      </c>
      <c r="G1421" s="4"/>
      <c r="H1421" s="3" t="str">
        <f t="shared" si="71"/>
        <v/>
      </c>
      <c r="I1421" s="5"/>
      <c r="J1421" s="5"/>
      <c r="K1421" s="6"/>
      <c r="L1421" s="6"/>
      <c r="M1421" s="7" t="str">
        <f t="shared" si="72"/>
        <v/>
      </c>
      <c r="N1421" s="6"/>
      <c r="O1421" s="5"/>
    </row>
    <row r="1422" spans="1:15" x14ac:dyDescent="0.2">
      <c r="A1422" s="3" t="str">
        <f>IF($B1422="","",COUNTA($B$9:$B1422))</f>
        <v/>
      </c>
      <c r="B1422" s="4"/>
      <c r="C1422" s="4"/>
      <c r="D1422" s="4"/>
      <c r="E1422" s="5"/>
      <c r="F1422" s="3" t="str">
        <f t="shared" si="70"/>
        <v/>
      </c>
      <c r="G1422" s="4"/>
      <c r="H1422" s="3" t="str">
        <f t="shared" si="71"/>
        <v/>
      </c>
      <c r="I1422" s="5"/>
      <c r="J1422" s="5"/>
      <c r="K1422" s="6"/>
      <c r="L1422" s="6"/>
      <c r="M1422" s="7" t="str">
        <f t="shared" si="72"/>
        <v/>
      </c>
      <c r="N1422" s="6"/>
      <c r="O1422" s="5"/>
    </row>
    <row r="1423" spans="1:15" x14ac:dyDescent="0.2">
      <c r="A1423" s="3" t="str">
        <f>IF($B1423="","",COUNTA($B$9:$B1423))</f>
        <v/>
      </c>
      <c r="B1423" s="4"/>
      <c r="C1423" s="4"/>
      <c r="D1423" s="4"/>
      <c r="E1423" s="5"/>
      <c r="F1423" s="3" t="str">
        <f t="shared" si="70"/>
        <v/>
      </c>
      <c r="G1423" s="4"/>
      <c r="H1423" s="3" t="str">
        <f t="shared" si="71"/>
        <v/>
      </c>
      <c r="I1423" s="5"/>
      <c r="J1423" s="5"/>
      <c r="K1423" s="6"/>
      <c r="L1423" s="6"/>
      <c r="M1423" s="7" t="str">
        <f t="shared" si="72"/>
        <v/>
      </c>
      <c r="N1423" s="6"/>
      <c r="O1423" s="5"/>
    </row>
    <row r="1424" spans="1:15" x14ac:dyDescent="0.2">
      <c r="A1424" s="3" t="str">
        <f>IF($B1424="","",COUNTA($B$9:$B1424))</f>
        <v/>
      </c>
      <c r="B1424" s="4"/>
      <c r="C1424" s="4"/>
      <c r="D1424" s="4"/>
      <c r="E1424" s="5"/>
      <c r="F1424" s="3" t="str">
        <f t="shared" si="70"/>
        <v/>
      </c>
      <c r="G1424" s="4"/>
      <c r="H1424" s="3" t="str">
        <f t="shared" si="71"/>
        <v/>
      </c>
      <c r="I1424" s="5"/>
      <c r="J1424" s="5"/>
      <c r="K1424" s="6"/>
      <c r="L1424" s="6"/>
      <c r="M1424" s="7" t="str">
        <f t="shared" si="72"/>
        <v/>
      </c>
      <c r="N1424" s="6"/>
      <c r="O1424" s="5"/>
    </row>
    <row r="1425" spans="1:15" x14ac:dyDescent="0.2">
      <c r="A1425" s="3" t="str">
        <f>IF($B1425="","",COUNTA($B$9:$B1425))</f>
        <v/>
      </c>
      <c r="B1425" s="4"/>
      <c r="C1425" s="4"/>
      <c r="D1425" s="4"/>
      <c r="E1425" s="5"/>
      <c r="F1425" s="3" t="str">
        <f t="shared" si="70"/>
        <v/>
      </c>
      <c r="G1425" s="4"/>
      <c r="H1425" s="3" t="str">
        <f t="shared" si="71"/>
        <v/>
      </c>
      <c r="I1425" s="5"/>
      <c r="J1425" s="5"/>
      <c r="K1425" s="6"/>
      <c r="L1425" s="6"/>
      <c r="M1425" s="7" t="str">
        <f t="shared" si="72"/>
        <v/>
      </c>
      <c r="N1425" s="6"/>
      <c r="O1425" s="5"/>
    </row>
    <row r="1426" spans="1:15" x14ac:dyDescent="0.2">
      <c r="A1426" s="3" t="str">
        <f>IF($B1426="","",COUNTA($B$9:$B1426))</f>
        <v/>
      </c>
      <c r="B1426" s="4"/>
      <c r="C1426" s="4"/>
      <c r="D1426" s="4"/>
      <c r="E1426" s="5"/>
      <c r="F1426" s="3" t="str">
        <f t="shared" si="70"/>
        <v/>
      </c>
      <c r="G1426" s="4"/>
      <c r="H1426" s="3" t="str">
        <f t="shared" si="71"/>
        <v/>
      </c>
      <c r="I1426" s="5"/>
      <c r="J1426" s="5"/>
      <c r="K1426" s="6"/>
      <c r="L1426" s="6"/>
      <c r="M1426" s="7" t="str">
        <f t="shared" si="72"/>
        <v/>
      </c>
      <c r="N1426" s="6"/>
      <c r="O1426" s="5"/>
    </row>
    <row r="1427" spans="1:15" x14ac:dyDescent="0.2">
      <c r="A1427" s="3" t="str">
        <f>IF($B1427="","",COUNTA($B$9:$B1427))</f>
        <v/>
      </c>
      <c r="B1427" s="4"/>
      <c r="C1427" s="4"/>
      <c r="D1427" s="4"/>
      <c r="E1427" s="5"/>
      <c r="F1427" s="3" t="str">
        <f t="shared" si="70"/>
        <v/>
      </c>
      <c r="G1427" s="4"/>
      <c r="H1427" s="3" t="str">
        <f t="shared" si="71"/>
        <v/>
      </c>
      <c r="I1427" s="5"/>
      <c r="J1427" s="5"/>
      <c r="K1427" s="6"/>
      <c r="L1427" s="6"/>
      <c r="M1427" s="7" t="str">
        <f t="shared" si="72"/>
        <v/>
      </c>
      <c r="N1427" s="6"/>
      <c r="O1427" s="5"/>
    </row>
    <row r="1428" spans="1:15" x14ac:dyDescent="0.2">
      <c r="A1428" s="3" t="str">
        <f>IF($B1428="","",COUNTA($B$9:$B1428))</f>
        <v/>
      </c>
      <c r="B1428" s="4"/>
      <c r="C1428" s="4"/>
      <c r="D1428" s="4"/>
      <c r="E1428" s="5"/>
      <c r="F1428" s="3" t="str">
        <f t="shared" si="70"/>
        <v/>
      </c>
      <c r="G1428" s="4"/>
      <c r="H1428" s="3" t="str">
        <f t="shared" si="71"/>
        <v/>
      </c>
      <c r="I1428" s="5"/>
      <c r="J1428" s="5"/>
      <c r="K1428" s="6"/>
      <c r="L1428" s="6"/>
      <c r="M1428" s="7" t="str">
        <f t="shared" si="72"/>
        <v/>
      </c>
      <c r="N1428" s="6"/>
      <c r="O1428" s="5"/>
    </row>
    <row r="1429" spans="1:15" x14ac:dyDescent="0.2">
      <c r="A1429" s="3" t="str">
        <f>IF($B1429="","",COUNTA($B$9:$B1429))</f>
        <v/>
      </c>
      <c r="B1429" s="4"/>
      <c r="C1429" s="4"/>
      <c r="D1429" s="4"/>
      <c r="E1429" s="5"/>
      <c r="F1429" s="3" t="str">
        <f t="shared" si="70"/>
        <v/>
      </c>
      <c r="G1429" s="4"/>
      <c r="H1429" s="3" t="str">
        <f t="shared" si="71"/>
        <v/>
      </c>
      <c r="I1429" s="5"/>
      <c r="J1429" s="5"/>
      <c r="K1429" s="6"/>
      <c r="L1429" s="6"/>
      <c r="M1429" s="7" t="str">
        <f t="shared" si="72"/>
        <v/>
      </c>
      <c r="N1429" s="6"/>
      <c r="O1429" s="5"/>
    </row>
    <row r="1430" spans="1:15" x14ac:dyDescent="0.2">
      <c r="A1430" s="3" t="str">
        <f>IF($B1430="","",COUNTA($B$9:$B1430))</f>
        <v/>
      </c>
      <c r="B1430" s="4"/>
      <c r="C1430" s="4"/>
      <c r="D1430" s="4"/>
      <c r="E1430" s="5"/>
      <c r="F1430" s="3" t="str">
        <f t="shared" si="70"/>
        <v/>
      </c>
      <c r="G1430" s="4"/>
      <c r="H1430" s="3" t="str">
        <f t="shared" si="71"/>
        <v/>
      </c>
      <c r="I1430" s="5"/>
      <c r="J1430" s="5"/>
      <c r="K1430" s="6"/>
      <c r="L1430" s="6"/>
      <c r="M1430" s="7" t="str">
        <f t="shared" si="72"/>
        <v/>
      </c>
      <c r="N1430" s="6"/>
      <c r="O1430" s="5"/>
    </row>
    <row r="1431" spans="1:15" x14ac:dyDescent="0.2">
      <c r="A1431" s="3" t="str">
        <f>IF($B1431="","",COUNTA($B$9:$B1431))</f>
        <v/>
      </c>
      <c r="B1431" s="4"/>
      <c r="C1431" s="4"/>
      <c r="D1431" s="4"/>
      <c r="E1431" s="5"/>
      <c r="F1431" s="3" t="str">
        <f t="shared" si="70"/>
        <v/>
      </c>
      <c r="G1431" s="4"/>
      <c r="H1431" s="3" t="str">
        <f t="shared" si="71"/>
        <v/>
      </c>
      <c r="I1431" s="5"/>
      <c r="J1431" s="5"/>
      <c r="K1431" s="6"/>
      <c r="L1431" s="6"/>
      <c r="M1431" s="7" t="str">
        <f t="shared" si="72"/>
        <v/>
      </c>
      <c r="N1431" s="6"/>
      <c r="O1431" s="5"/>
    </row>
    <row r="1432" spans="1:15" x14ac:dyDescent="0.2">
      <c r="A1432" s="3" t="str">
        <f>IF($B1432="","",COUNTA($B$9:$B1432))</f>
        <v/>
      </c>
      <c r="B1432" s="4"/>
      <c r="C1432" s="4"/>
      <c r="D1432" s="4"/>
      <c r="E1432" s="5"/>
      <c r="F1432" s="3" t="str">
        <f t="shared" si="70"/>
        <v/>
      </c>
      <c r="G1432" s="4"/>
      <c r="H1432" s="3" t="str">
        <f t="shared" si="71"/>
        <v/>
      </c>
      <c r="I1432" s="5"/>
      <c r="J1432" s="5"/>
      <c r="K1432" s="6"/>
      <c r="L1432" s="6"/>
      <c r="M1432" s="7" t="str">
        <f t="shared" si="72"/>
        <v/>
      </c>
      <c r="N1432" s="6"/>
      <c r="O1432" s="5"/>
    </row>
    <row r="1433" spans="1:15" x14ac:dyDescent="0.2">
      <c r="A1433" s="3" t="str">
        <f>IF($B1433="","",COUNTA($B$9:$B1433))</f>
        <v/>
      </c>
      <c r="B1433" s="4"/>
      <c r="C1433" s="4"/>
      <c r="D1433" s="4"/>
      <c r="E1433" s="5"/>
      <c r="F1433" s="3" t="str">
        <f t="shared" si="70"/>
        <v/>
      </c>
      <c r="G1433" s="4"/>
      <c r="H1433" s="3" t="str">
        <f t="shared" si="71"/>
        <v/>
      </c>
      <c r="I1433" s="5"/>
      <c r="J1433" s="5"/>
      <c r="K1433" s="6"/>
      <c r="L1433" s="6"/>
      <c r="M1433" s="7" t="str">
        <f t="shared" si="72"/>
        <v/>
      </c>
      <c r="N1433" s="6"/>
      <c r="O1433" s="5"/>
    </row>
    <row r="1434" spans="1:15" x14ac:dyDescent="0.2">
      <c r="A1434" s="3" t="str">
        <f>IF($B1434="","",COUNTA($B$9:$B1434))</f>
        <v/>
      </c>
      <c r="B1434" s="4"/>
      <c r="C1434" s="4"/>
      <c r="D1434" s="4"/>
      <c r="E1434" s="5"/>
      <c r="F1434" s="3" t="str">
        <f t="shared" si="70"/>
        <v/>
      </c>
      <c r="G1434" s="4"/>
      <c r="H1434" s="3" t="str">
        <f t="shared" si="71"/>
        <v/>
      </c>
      <c r="I1434" s="5"/>
      <c r="J1434" s="5"/>
      <c r="K1434" s="6"/>
      <c r="L1434" s="6"/>
      <c r="M1434" s="7" t="str">
        <f t="shared" si="72"/>
        <v/>
      </c>
      <c r="N1434" s="6"/>
      <c r="O1434" s="5"/>
    </row>
    <row r="1435" spans="1:15" x14ac:dyDescent="0.2">
      <c r="A1435" s="3" t="str">
        <f>IF($B1435="","",COUNTA($B$9:$B1435))</f>
        <v/>
      </c>
      <c r="B1435" s="4"/>
      <c r="C1435" s="4"/>
      <c r="D1435" s="4"/>
      <c r="E1435" s="5"/>
      <c r="F1435" s="3" t="str">
        <f t="shared" si="70"/>
        <v/>
      </c>
      <c r="G1435" s="4"/>
      <c r="H1435" s="3" t="str">
        <f t="shared" si="71"/>
        <v/>
      </c>
      <c r="I1435" s="5"/>
      <c r="J1435" s="5"/>
      <c r="K1435" s="6"/>
      <c r="L1435" s="6"/>
      <c r="M1435" s="7" t="str">
        <f t="shared" si="72"/>
        <v/>
      </c>
      <c r="N1435" s="6"/>
      <c r="O1435" s="5"/>
    </row>
    <row r="1436" spans="1:15" x14ac:dyDescent="0.2">
      <c r="A1436" s="3" t="str">
        <f>IF($B1436="","",COUNTA($B$9:$B1436))</f>
        <v/>
      </c>
      <c r="B1436" s="4"/>
      <c r="C1436" s="4"/>
      <c r="D1436" s="4"/>
      <c r="E1436" s="5"/>
      <c r="F1436" s="3" t="str">
        <f t="shared" si="70"/>
        <v/>
      </c>
      <c r="G1436" s="4"/>
      <c r="H1436" s="3" t="str">
        <f t="shared" si="71"/>
        <v/>
      </c>
      <c r="I1436" s="5"/>
      <c r="J1436" s="5"/>
      <c r="K1436" s="6"/>
      <c r="L1436" s="6"/>
      <c r="M1436" s="7" t="str">
        <f t="shared" si="72"/>
        <v/>
      </c>
      <c r="N1436" s="6"/>
      <c r="O1436" s="5"/>
    </row>
    <row r="1437" spans="1:15" x14ac:dyDescent="0.2">
      <c r="A1437" s="3" t="str">
        <f>IF($B1437="","",COUNTA($B$9:$B1437))</f>
        <v/>
      </c>
      <c r="B1437" s="4"/>
      <c r="C1437" s="4"/>
      <c r="D1437" s="4"/>
      <c r="E1437" s="5"/>
      <c r="F1437" s="3" t="str">
        <f t="shared" si="70"/>
        <v/>
      </c>
      <c r="G1437" s="4"/>
      <c r="H1437" s="3" t="str">
        <f t="shared" si="71"/>
        <v/>
      </c>
      <c r="I1437" s="5"/>
      <c r="J1437" s="5"/>
      <c r="K1437" s="6"/>
      <c r="L1437" s="6"/>
      <c r="M1437" s="7" t="str">
        <f t="shared" si="72"/>
        <v/>
      </c>
      <c r="N1437" s="6"/>
      <c r="O1437" s="5"/>
    </row>
    <row r="1438" spans="1:15" x14ac:dyDescent="0.2">
      <c r="A1438" s="3" t="str">
        <f>IF($B1438="","",COUNTA($B$9:$B1438))</f>
        <v/>
      </c>
      <c r="B1438" s="4"/>
      <c r="C1438" s="4"/>
      <c r="D1438" s="4"/>
      <c r="E1438" s="5"/>
      <c r="F1438" s="3" t="str">
        <f t="shared" si="70"/>
        <v/>
      </c>
      <c r="G1438" s="4"/>
      <c r="H1438" s="3" t="str">
        <f t="shared" si="71"/>
        <v/>
      </c>
      <c r="I1438" s="5"/>
      <c r="J1438" s="5"/>
      <c r="K1438" s="6"/>
      <c r="L1438" s="6"/>
      <c r="M1438" s="7" t="str">
        <f t="shared" si="72"/>
        <v/>
      </c>
      <c r="N1438" s="6"/>
      <c r="O1438" s="5"/>
    </row>
    <row r="1439" spans="1:15" x14ac:dyDescent="0.2">
      <c r="A1439" s="3" t="str">
        <f>IF($B1439="","",COUNTA($B$9:$B1439))</f>
        <v/>
      </c>
      <c r="B1439" s="4"/>
      <c r="C1439" s="4"/>
      <c r="D1439" s="4"/>
      <c r="E1439" s="5"/>
      <c r="F1439" s="3" t="str">
        <f t="shared" si="70"/>
        <v/>
      </c>
      <c r="G1439" s="4"/>
      <c r="H1439" s="3" t="str">
        <f t="shared" si="71"/>
        <v/>
      </c>
      <c r="I1439" s="5"/>
      <c r="J1439" s="5"/>
      <c r="K1439" s="6"/>
      <c r="L1439" s="6"/>
      <c r="M1439" s="7" t="str">
        <f t="shared" si="72"/>
        <v/>
      </c>
      <c r="N1439" s="6"/>
      <c r="O1439" s="5"/>
    </row>
    <row r="1440" spans="1:15" x14ac:dyDescent="0.2">
      <c r="A1440" s="3" t="str">
        <f>IF($B1440="","",COUNTA($B$9:$B1440))</f>
        <v/>
      </c>
      <c r="B1440" s="4"/>
      <c r="C1440" s="4"/>
      <c r="D1440" s="4"/>
      <c r="E1440" s="5"/>
      <c r="F1440" s="3" t="str">
        <f t="shared" si="70"/>
        <v/>
      </c>
      <c r="G1440" s="4"/>
      <c r="H1440" s="3" t="str">
        <f t="shared" si="71"/>
        <v/>
      </c>
      <c r="I1440" s="5"/>
      <c r="J1440" s="5"/>
      <c r="K1440" s="6"/>
      <c r="L1440" s="6"/>
      <c r="M1440" s="7" t="str">
        <f t="shared" si="72"/>
        <v/>
      </c>
      <c r="N1440" s="6"/>
      <c r="O1440" s="5"/>
    </row>
    <row r="1441" spans="1:15" x14ac:dyDescent="0.2">
      <c r="A1441" s="3" t="str">
        <f>IF($B1441="","",COUNTA($B$9:$B1441))</f>
        <v/>
      </c>
      <c r="B1441" s="4"/>
      <c r="C1441" s="4"/>
      <c r="D1441" s="4"/>
      <c r="E1441" s="5"/>
      <c r="F1441" s="3" t="str">
        <f t="shared" si="70"/>
        <v/>
      </c>
      <c r="G1441" s="4"/>
      <c r="H1441" s="3" t="str">
        <f t="shared" si="71"/>
        <v/>
      </c>
      <c r="I1441" s="5"/>
      <c r="J1441" s="5"/>
      <c r="K1441" s="6"/>
      <c r="L1441" s="6"/>
      <c r="M1441" s="7" t="str">
        <f t="shared" si="72"/>
        <v/>
      </c>
      <c r="N1441" s="6"/>
      <c r="O1441" s="5"/>
    </row>
    <row r="1442" spans="1:15" x14ac:dyDescent="0.2">
      <c r="A1442" s="3" t="str">
        <f>IF($B1442="","",COUNTA($B$9:$B1442))</f>
        <v/>
      </c>
      <c r="B1442" s="4"/>
      <c r="C1442" s="4"/>
      <c r="D1442" s="4"/>
      <c r="E1442" s="5"/>
      <c r="F1442" s="3" t="str">
        <f t="shared" si="70"/>
        <v/>
      </c>
      <c r="G1442" s="4"/>
      <c r="H1442" s="3" t="str">
        <f t="shared" si="71"/>
        <v/>
      </c>
      <c r="I1442" s="5"/>
      <c r="J1442" s="5"/>
      <c r="K1442" s="6"/>
      <c r="L1442" s="6"/>
      <c r="M1442" s="7" t="str">
        <f t="shared" si="72"/>
        <v/>
      </c>
      <c r="N1442" s="6"/>
      <c r="O1442" s="5"/>
    </row>
    <row r="1443" spans="1:15" x14ac:dyDescent="0.2">
      <c r="A1443" s="3" t="str">
        <f>IF($B1443="","",COUNTA($B$9:$B1443))</f>
        <v/>
      </c>
      <c r="B1443" s="4"/>
      <c r="C1443" s="4"/>
      <c r="D1443" s="4"/>
      <c r="E1443" s="5"/>
      <c r="F1443" s="3" t="str">
        <f t="shared" si="70"/>
        <v/>
      </c>
      <c r="G1443" s="4"/>
      <c r="H1443" s="3" t="str">
        <f t="shared" si="71"/>
        <v/>
      </c>
      <c r="I1443" s="5"/>
      <c r="J1443" s="5"/>
      <c r="K1443" s="6"/>
      <c r="L1443" s="6"/>
      <c r="M1443" s="7" t="str">
        <f t="shared" si="72"/>
        <v/>
      </c>
      <c r="N1443" s="6"/>
      <c r="O1443" s="5"/>
    </row>
    <row r="1444" spans="1:15" x14ac:dyDescent="0.2">
      <c r="A1444" s="3" t="str">
        <f>IF($B1444="","",COUNTA($B$9:$B1444))</f>
        <v/>
      </c>
      <c r="B1444" s="4"/>
      <c r="C1444" s="4"/>
      <c r="D1444" s="4"/>
      <c r="E1444" s="5"/>
      <c r="F1444" s="3" t="str">
        <f t="shared" si="70"/>
        <v/>
      </c>
      <c r="G1444" s="4"/>
      <c r="H1444" s="3" t="str">
        <f t="shared" si="71"/>
        <v/>
      </c>
      <c r="I1444" s="5"/>
      <c r="J1444" s="5"/>
      <c r="K1444" s="6"/>
      <c r="L1444" s="6"/>
      <c r="M1444" s="7" t="str">
        <f t="shared" si="72"/>
        <v/>
      </c>
      <c r="N1444" s="6"/>
      <c r="O1444" s="5"/>
    </row>
    <row r="1445" spans="1:15" x14ac:dyDescent="0.2">
      <c r="A1445" s="3" t="str">
        <f>IF($B1445="","",COUNTA($B$9:$B1445))</f>
        <v/>
      </c>
      <c r="B1445" s="4"/>
      <c r="C1445" s="4"/>
      <c r="D1445" s="4"/>
      <c r="E1445" s="5"/>
      <c r="F1445" s="3" t="str">
        <f t="shared" si="70"/>
        <v/>
      </c>
      <c r="G1445" s="4"/>
      <c r="H1445" s="3" t="str">
        <f t="shared" si="71"/>
        <v/>
      </c>
      <c r="I1445" s="5"/>
      <c r="J1445" s="5"/>
      <c r="K1445" s="6"/>
      <c r="L1445" s="6"/>
      <c r="M1445" s="7" t="str">
        <f t="shared" si="72"/>
        <v/>
      </c>
      <c r="N1445" s="6"/>
      <c r="O1445" s="5"/>
    </row>
    <row r="1446" spans="1:15" x14ac:dyDescent="0.2">
      <c r="A1446" s="3" t="str">
        <f>IF($B1446="","",COUNTA($B$9:$B1446))</f>
        <v/>
      </c>
      <c r="B1446" s="4"/>
      <c r="C1446" s="4"/>
      <c r="D1446" s="4"/>
      <c r="E1446" s="5"/>
      <c r="F1446" s="3" t="str">
        <f t="shared" si="70"/>
        <v/>
      </c>
      <c r="G1446" s="4"/>
      <c r="H1446" s="3" t="str">
        <f t="shared" si="71"/>
        <v/>
      </c>
      <c r="I1446" s="5"/>
      <c r="J1446" s="5"/>
      <c r="K1446" s="6"/>
      <c r="L1446" s="6"/>
      <c r="M1446" s="7" t="str">
        <f t="shared" si="72"/>
        <v/>
      </c>
      <c r="N1446" s="6"/>
      <c r="O1446" s="5"/>
    </row>
    <row r="1447" spans="1:15" x14ac:dyDescent="0.2">
      <c r="A1447" s="3" t="str">
        <f>IF($B1447="","",COUNTA($B$9:$B1447))</f>
        <v/>
      </c>
      <c r="B1447" s="4"/>
      <c r="C1447" s="4"/>
      <c r="D1447" s="4"/>
      <c r="E1447" s="5"/>
      <c r="F1447" s="3" t="str">
        <f t="shared" si="70"/>
        <v/>
      </c>
      <c r="G1447" s="4"/>
      <c r="H1447" s="3" t="str">
        <f t="shared" si="71"/>
        <v/>
      </c>
      <c r="I1447" s="5"/>
      <c r="J1447" s="5"/>
      <c r="K1447" s="6"/>
      <c r="L1447" s="6"/>
      <c r="M1447" s="7" t="str">
        <f t="shared" si="72"/>
        <v/>
      </c>
      <c r="N1447" s="6"/>
      <c r="O1447" s="5"/>
    </row>
    <row r="1448" spans="1:15" x14ac:dyDescent="0.2">
      <c r="A1448" s="3" t="str">
        <f>IF($B1448="","",COUNTA($B$9:$B1448))</f>
        <v/>
      </c>
      <c r="B1448" s="4"/>
      <c r="C1448" s="4"/>
      <c r="D1448" s="4"/>
      <c r="E1448" s="5"/>
      <c r="F1448" s="3" t="str">
        <f t="shared" si="70"/>
        <v/>
      </c>
      <c r="G1448" s="4"/>
      <c r="H1448" s="3" t="str">
        <f t="shared" si="71"/>
        <v/>
      </c>
      <c r="I1448" s="5"/>
      <c r="J1448" s="5"/>
      <c r="K1448" s="6"/>
      <c r="L1448" s="6"/>
      <c r="M1448" s="7" t="str">
        <f t="shared" si="72"/>
        <v/>
      </c>
      <c r="N1448" s="6"/>
      <c r="O1448" s="5"/>
    </row>
    <row r="1449" spans="1:15" x14ac:dyDescent="0.2">
      <c r="A1449" s="3" t="str">
        <f>IF($B1449="","",COUNTA($B$9:$B1449))</f>
        <v/>
      </c>
      <c r="B1449" s="4"/>
      <c r="C1449" s="4"/>
      <c r="D1449" s="4"/>
      <c r="E1449" s="5"/>
      <c r="F1449" s="3" t="str">
        <f t="shared" si="70"/>
        <v/>
      </c>
      <c r="G1449" s="4"/>
      <c r="H1449" s="3" t="str">
        <f t="shared" si="71"/>
        <v/>
      </c>
      <c r="I1449" s="5"/>
      <c r="J1449" s="5"/>
      <c r="K1449" s="6"/>
      <c r="L1449" s="6"/>
      <c r="M1449" s="7" t="str">
        <f t="shared" si="72"/>
        <v/>
      </c>
      <c r="N1449" s="6"/>
      <c r="O1449" s="5"/>
    </row>
    <row r="1450" spans="1:15" x14ac:dyDescent="0.2">
      <c r="A1450" s="3" t="str">
        <f>IF($B1450="","",COUNTA($B$9:$B1450))</f>
        <v/>
      </c>
      <c r="B1450" s="4"/>
      <c r="C1450" s="4"/>
      <c r="D1450" s="4"/>
      <c r="E1450" s="5"/>
      <c r="F1450" s="3" t="str">
        <f t="shared" si="70"/>
        <v/>
      </c>
      <c r="G1450" s="4"/>
      <c r="H1450" s="3" t="str">
        <f t="shared" si="71"/>
        <v/>
      </c>
      <c r="I1450" s="5"/>
      <c r="J1450" s="5"/>
      <c r="K1450" s="6"/>
      <c r="L1450" s="6"/>
      <c r="M1450" s="7" t="str">
        <f t="shared" si="72"/>
        <v/>
      </c>
      <c r="N1450" s="6"/>
      <c r="O1450" s="5"/>
    </row>
    <row r="1451" spans="1:15" x14ac:dyDescent="0.2">
      <c r="A1451" s="3" t="str">
        <f>IF($B1451="","",COUNTA($B$9:$B1451))</f>
        <v/>
      </c>
      <c r="B1451" s="4"/>
      <c r="C1451" s="4"/>
      <c r="D1451" s="4"/>
      <c r="E1451" s="5"/>
      <c r="F1451" s="3" t="str">
        <f t="shared" si="70"/>
        <v/>
      </c>
      <c r="G1451" s="4"/>
      <c r="H1451" s="3" t="str">
        <f t="shared" si="71"/>
        <v/>
      </c>
      <c r="I1451" s="5"/>
      <c r="J1451" s="5"/>
      <c r="K1451" s="6"/>
      <c r="L1451" s="6"/>
      <c r="M1451" s="7" t="str">
        <f t="shared" si="72"/>
        <v/>
      </c>
      <c r="N1451" s="6"/>
      <c r="O1451" s="5"/>
    </row>
    <row r="1452" spans="1:15" x14ac:dyDescent="0.2">
      <c r="A1452" s="3" t="str">
        <f>IF($B1452="","",COUNTA($B$9:$B1452))</f>
        <v/>
      </c>
      <c r="B1452" s="4"/>
      <c r="C1452" s="4"/>
      <c r="D1452" s="4"/>
      <c r="E1452" s="5"/>
      <c r="F1452" s="3" t="str">
        <f t="shared" si="70"/>
        <v/>
      </c>
      <c r="G1452" s="4"/>
      <c r="H1452" s="3" t="str">
        <f t="shared" si="71"/>
        <v/>
      </c>
      <c r="I1452" s="5"/>
      <c r="J1452" s="5"/>
      <c r="K1452" s="6"/>
      <c r="L1452" s="6"/>
      <c r="M1452" s="7" t="str">
        <f t="shared" si="72"/>
        <v/>
      </c>
      <c r="N1452" s="6"/>
      <c r="O1452" s="5"/>
    </row>
    <row r="1453" spans="1:15" x14ac:dyDescent="0.2">
      <c r="A1453" s="3" t="str">
        <f>IF($B1453="","",COUNTA($B$9:$B1453))</f>
        <v/>
      </c>
      <c r="B1453" s="4"/>
      <c r="C1453" s="4"/>
      <c r="D1453" s="4"/>
      <c r="E1453" s="5"/>
      <c r="F1453" s="3" t="str">
        <f t="shared" si="70"/>
        <v/>
      </c>
      <c r="G1453" s="4"/>
      <c r="H1453" s="3" t="str">
        <f t="shared" si="71"/>
        <v/>
      </c>
      <c r="I1453" s="5"/>
      <c r="J1453" s="5"/>
      <c r="K1453" s="6"/>
      <c r="L1453" s="6"/>
      <c r="M1453" s="7" t="str">
        <f t="shared" si="72"/>
        <v/>
      </c>
      <c r="N1453" s="6"/>
      <c r="O1453" s="5"/>
    </row>
    <row r="1454" spans="1:15" x14ac:dyDescent="0.2">
      <c r="A1454" s="3" t="str">
        <f>IF($B1454="","",COUNTA($B$9:$B1454))</f>
        <v/>
      </c>
      <c r="B1454" s="4"/>
      <c r="C1454" s="4"/>
      <c r="D1454" s="4"/>
      <c r="E1454" s="5"/>
      <c r="F1454" s="3" t="str">
        <f t="shared" si="70"/>
        <v/>
      </c>
      <c r="G1454" s="4"/>
      <c r="H1454" s="3" t="str">
        <f t="shared" si="71"/>
        <v/>
      </c>
      <c r="I1454" s="5"/>
      <c r="J1454" s="5"/>
      <c r="K1454" s="6"/>
      <c r="L1454" s="6"/>
      <c r="M1454" s="7" t="str">
        <f t="shared" si="72"/>
        <v/>
      </c>
      <c r="N1454" s="6"/>
      <c r="O1454" s="5"/>
    </row>
    <row r="1455" spans="1:15" x14ac:dyDescent="0.2">
      <c r="A1455" s="3" t="str">
        <f>IF($B1455="","",COUNTA($B$9:$B1455))</f>
        <v/>
      </c>
      <c r="B1455" s="4"/>
      <c r="C1455" s="4"/>
      <c r="D1455" s="4"/>
      <c r="E1455" s="5"/>
      <c r="F1455" s="3" t="str">
        <f t="shared" si="70"/>
        <v/>
      </c>
      <c r="G1455" s="4"/>
      <c r="H1455" s="3" t="str">
        <f t="shared" si="71"/>
        <v/>
      </c>
      <c r="I1455" s="5"/>
      <c r="J1455" s="5"/>
      <c r="K1455" s="6"/>
      <c r="L1455" s="6"/>
      <c r="M1455" s="7" t="str">
        <f t="shared" si="72"/>
        <v/>
      </c>
      <c r="N1455" s="6"/>
      <c r="O1455" s="5"/>
    </row>
    <row r="1456" spans="1:15" x14ac:dyDescent="0.2">
      <c r="A1456" s="3" t="str">
        <f>IF($B1456="","",COUNTA($B$9:$B1456))</f>
        <v/>
      </c>
      <c r="B1456" s="4"/>
      <c r="C1456" s="4"/>
      <c r="D1456" s="4"/>
      <c r="E1456" s="5"/>
      <c r="F1456" s="3" t="str">
        <f t="shared" si="70"/>
        <v/>
      </c>
      <c r="G1456" s="4"/>
      <c r="H1456" s="3" t="str">
        <f t="shared" si="71"/>
        <v/>
      </c>
      <c r="I1456" s="5"/>
      <c r="J1456" s="5"/>
      <c r="K1456" s="6"/>
      <c r="L1456" s="6"/>
      <c r="M1456" s="7" t="str">
        <f t="shared" si="72"/>
        <v/>
      </c>
      <c r="N1456" s="6"/>
      <c r="O1456" s="5"/>
    </row>
    <row r="1457" spans="1:15" x14ac:dyDescent="0.2">
      <c r="A1457" s="3" t="str">
        <f>IF($B1457="","",COUNTA($B$9:$B1457))</f>
        <v/>
      </c>
      <c r="B1457" s="4"/>
      <c r="C1457" s="4"/>
      <c r="D1457" s="4"/>
      <c r="E1457" s="5"/>
      <c r="F1457" s="3" t="str">
        <f t="shared" si="70"/>
        <v/>
      </c>
      <c r="G1457" s="4"/>
      <c r="H1457" s="3" t="str">
        <f t="shared" si="71"/>
        <v/>
      </c>
      <c r="I1457" s="5"/>
      <c r="J1457" s="5"/>
      <c r="K1457" s="6"/>
      <c r="L1457" s="6"/>
      <c r="M1457" s="7" t="str">
        <f t="shared" si="72"/>
        <v/>
      </c>
      <c r="N1457" s="6"/>
      <c r="O1457" s="5"/>
    </row>
    <row r="1458" spans="1:15" x14ac:dyDescent="0.2">
      <c r="A1458" s="3" t="str">
        <f>IF($B1458="","",COUNTA($B$9:$B1458))</f>
        <v/>
      </c>
      <c r="B1458" s="4"/>
      <c r="C1458" s="4"/>
      <c r="D1458" s="4"/>
      <c r="E1458" s="5"/>
      <c r="F1458" s="3" t="str">
        <f t="shared" si="70"/>
        <v/>
      </c>
      <c r="G1458" s="4"/>
      <c r="H1458" s="3" t="str">
        <f t="shared" si="71"/>
        <v/>
      </c>
      <c r="I1458" s="5"/>
      <c r="J1458" s="5"/>
      <c r="K1458" s="6"/>
      <c r="L1458" s="6"/>
      <c r="M1458" s="7" t="str">
        <f t="shared" si="72"/>
        <v/>
      </c>
      <c r="N1458" s="6"/>
      <c r="O1458" s="5"/>
    </row>
    <row r="1459" spans="1:15" x14ac:dyDescent="0.2">
      <c r="A1459" s="3" t="str">
        <f>IF($B1459="","",COUNTA($B$9:$B1459))</f>
        <v/>
      </c>
      <c r="B1459" s="4"/>
      <c r="C1459" s="4"/>
      <c r="D1459" s="4"/>
      <c r="E1459" s="5"/>
      <c r="F1459" s="3" t="str">
        <f t="shared" si="70"/>
        <v/>
      </c>
      <c r="G1459" s="4"/>
      <c r="H1459" s="3" t="str">
        <f t="shared" si="71"/>
        <v/>
      </c>
      <c r="I1459" s="5"/>
      <c r="J1459" s="5"/>
      <c r="K1459" s="6"/>
      <c r="L1459" s="6"/>
      <c r="M1459" s="7" t="str">
        <f t="shared" si="72"/>
        <v/>
      </c>
      <c r="N1459" s="6"/>
      <c r="O1459" s="5"/>
    </row>
    <row r="1460" spans="1:15" x14ac:dyDescent="0.2">
      <c r="A1460" s="3" t="str">
        <f>IF($B1460="","",COUNTA($B$9:$B1460))</f>
        <v/>
      </c>
      <c r="B1460" s="4"/>
      <c r="C1460" s="4"/>
      <c r="D1460" s="4"/>
      <c r="E1460" s="5"/>
      <c r="F1460" s="3" t="str">
        <f t="shared" si="70"/>
        <v/>
      </c>
      <c r="G1460" s="4"/>
      <c r="H1460" s="3" t="str">
        <f t="shared" si="71"/>
        <v/>
      </c>
      <c r="I1460" s="5"/>
      <c r="J1460" s="5"/>
      <c r="K1460" s="6"/>
      <c r="L1460" s="6"/>
      <c r="M1460" s="7" t="str">
        <f t="shared" si="72"/>
        <v/>
      </c>
      <c r="N1460" s="6"/>
      <c r="O1460" s="5"/>
    </row>
    <row r="1461" spans="1:15" x14ac:dyDescent="0.2">
      <c r="A1461" s="3" t="str">
        <f>IF($B1461="","",COUNTA($B$9:$B1461))</f>
        <v/>
      </c>
      <c r="B1461" s="4"/>
      <c r="C1461" s="4"/>
      <c r="D1461" s="4"/>
      <c r="E1461" s="5"/>
      <c r="F1461" s="3" t="str">
        <f t="shared" si="70"/>
        <v/>
      </c>
      <c r="G1461" s="4"/>
      <c r="H1461" s="3" t="str">
        <f t="shared" si="71"/>
        <v/>
      </c>
      <c r="I1461" s="5"/>
      <c r="J1461" s="5"/>
      <c r="K1461" s="6"/>
      <c r="L1461" s="6"/>
      <c r="M1461" s="7" t="str">
        <f t="shared" si="72"/>
        <v/>
      </c>
      <c r="N1461" s="6"/>
      <c r="O1461" s="5"/>
    </row>
    <row r="1462" spans="1:15" x14ac:dyDescent="0.2">
      <c r="A1462" s="3" t="str">
        <f>IF($B1462="","",COUNTA($B$9:$B1462))</f>
        <v/>
      </c>
      <c r="B1462" s="4"/>
      <c r="C1462" s="4"/>
      <c r="D1462" s="4"/>
      <c r="E1462" s="5"/>
      <c r="F1462" s="3" t="str">
        <f t="shared" si="70"/>
        <v/>
      </c>
      <c r="G1462" s="4"/>
      <c r="H1462" s="3" t="str">
        <f t="shared" si="71"/>
        <v/>
      </c>
      <c r="I1462" s="5"/>
      <c r="J1462" s="5"/>
      <c r="K1462" s="6"/>
      <c r="L1462" s="6"/>
      <c r="M1462" s="7" t="str">
        <f t="shared" si="72"/>
        <v/>
      </c>
      <c r="N1462" s="6"/>
      <c r="O1462" s="5"/>
    </row>
    <row r="1463" spans="1:15" x14ac:dyDescent="0.2">
      <c r="A1463" s="3" t="str">
        <f>IF($B1463="","",COUNTA($B$9:$B1463))</f>
        <v/>
      </c>
      <c r="B1463" s="4"/>
      <c r="C1463" s="4"/>
      <c r="D1463" s="4"/>
      <c r="E1463" s="5"/>
      <c r="F1463" s="3" t="str">
        <f t="shared" si="70"/>
        <v/>
      </c>
      <c r="G1463" s="4"/>
      <c r="H1463" s="3" t="str">
        <f t="shared" si="71"/>
        <v/>
      </c>
      <c r="I1463" s="5"/>
      <c r="J1463" s="5"/>
      <c r="K1463" s="6"/>
      <c r="L1463" s="6"/>
      <c r="M1463" s="7" t="str">
        <f t="shared" si="72"/>
        <v/>
      </c>
      <c r="N1463" s="6"/>
      <c r="O1463" s="5"/>
    </row>
    <row r="1464" spans="1:15" x14ac:dyDescent="0.2">
      <c r="A1464" s="3" t="str">
        <f>IF($B1464="","",COUNTA($B$9:$B1464))</f>
        <v/>
      </c>
      <c r="B1464" s="4"/>
      <c r="C1464" s="4"/>
      <c r="D1464" s="4"/>
      <c r="E1464" s="5"/>
      <c r="F1464" s="3" t="str">
        <f t="shared" si="70"/>
        <v/>
      </c>
      <c r="G1464" s="4"/>
      <c r="H1464" s="3" t="str">
        <f t="shared" si="71"/>
        <v/>
      </c>
      <c r="I1464" s="5"/>
      <c r="J1464" s="5"/>
      <c r="K1464" s="6"/>
      <c r="L1464" s="6"/>
      <c r="M1464" s="7" t="str">
        <f t="shared" si="72"/>
        <v/>
      </c>
      <c r="N1464" s="6"/>
      <c r="O1464" s="5"/>
    </row>
    <row r="1465" spans="1:15" x14ac:dyDescent="0.2">
      <c r="A1465" s="3" t="str">
        <f>IF($B1465="","",COUNTA($B$9:$B1465))</f>
        <v/>
      </c>
      <c r="B1465" s="4"/>
      <c r="C1465" s="4"/>
      <c r="D1465" s="4"/>
      <c r="E1465" s="5"/>
      <c r="F1465" s="3" t="str">
        <f t="shared" si="70"/>
        <v/>
      </c>
      <c r="G1465" s="4"/>
      <c r="H1465" s="3" t="str">
        <f t="shared" si="71"/>
        <v/>
      </c>
      <c r="I1465" s="5"/>
      <c r="J1465" s="5"/>
      <c r="K1465" s="6"/>
      <c r="L1465" s="6"/>
      <c r="M1465" s="7" t="str">
        <f t="shared" si="72"/>
        <v/>
      </c>
      <c r="N1465" s="6"/>
      <c r="O1465" s="5"/>
    </row>
    <row r="1466" spans="1:15" x14ac:dyDescent="0.2">
      <c r="A1466" s="3" t="str">
        <f>IF($B1466="","",COUNTA($B$9:$B1466))</f>
        <v/>
      </c>
      <c r="B1466" s="4"/>
      <c r="C1466" s="4"/>
      <c r="D1466" s="4"/>
      <c r="E1466" s="5"/>
      <c r="F1466" s="3" t="str">
        <f t="shared" si="70"/>
        <v/>
      </c>
      <c r="G1466" s="4"/>
      <c r="H1466" s="3" t="str">
        <f t="shared" si="71"/>
        <v/>
      </c>
      <c r="I1466" s="5"/>
      <c r="J1466" s="5"/>
      <c r="K1466" s="6"/>
      <c r="L1466" s="6"/>
      <c r="M1466" s="7" t="str">
        <f t="shared" si="72"/>
        <v/>
      </c>
      <c r="N1466" s="6"/>
      <c r="O1466" s="5"/>
    </row>
    <row r="1467" spans="1:15" x14ac:dyDescent="0.2">
      <c r="A1467" s="3" t="str">
        <f>IF($B1467="","",COUNTA($B$9:$B1467))</f>
        <v/>
      </c>
      <c r="B1467" s="4"/>
      <c r="C1467" s="4"/>
      <c r="D1467" s="4"/>
      <c r="E1467" s="5"/>
      <c r="F1467" s="3" t="str">
        <f t="shared" si="70"/>
        <v/>
      </c>
      <c r="G1467" s="4"/>
      <c r="H1467" s="3" t="str">
        <f t="shared" si="71"/>
        <v/>
      </c>
      <c r="I1467" s="5"/>
      <c r="J1467" s="5"/>
      <c r="K1467" s="6"/>
      <c r="L1467" s="6"/>
      <c r="M1467" s="7" t="str">
        <f t="shared" si="72"/>
        <v/>
      </c>
      <c r="N1467" s="6"/>
      <c r="O1467" s="5"/>
    </row>
    <row r="1468" spans="1:15" x14ac:dyDescent="0.2">
      <c r="A1468" s="3" t="str">
        <f>IF($B1468="","",COUNTA($B$9:$B1468))</f>
        <v/>
      </c>
      <c r="B1468" s="4"/>
      <c r="C1468" s="4"/>
      <c r="D1468" s="4"/>
      <c r="E1468" s="5"/>
      <c r="F1468" s="3" t="str">
        <f t="shared" si="70"/>
        <v/>
      </c>
      <c r="G1468" s="4"/>
      <c r="H1468" s="3" t="str">
        <f t="shared" si="71"/>
        <v/>
      </c>
      <c r="I1468" s="5"/>
      <c r="J1468" s="5"/>
      <c r="K1468" s="6"/>
      <c r="L1468" s="6"/>
      <c r="M1468" s="7" t="str">
        <f t="shared" si="72"/>
        <v/>
      </c>
      <c r="N1468" s="6"/>
      <c r="O1468" s="5"/>
    </row>
    <row r="1469" spans="1:15" x14ac:dyDescent="0.2">
      <c r="A1469" s="3" t="str">
        <f>IF($B1469="","",COUNTA($B$9:$B1469))</f>
        <v/>
      </c>
      <c r="B1469" s="4"/>
      <c r="C1469" s="4"/>
      <c r="D1469" s="4"/>
      <c r="E1469" s="5"/>
      <c r="F1469" s="3" t="str">
        <f t="shared" si="70"/>
        <v/>
      </c>
      <c r="G1469" s="4"/>
      <c r="H1469" s="3" t="str">
        <f t="shared" si="71"/>
        <v/>
      </c>
      <c r="I1469" s="5"/>
      <c r="J1469" s="5"/>
      <c r="K1469" s="6"/>
      <c r="L1469" s="6"/>
      <c r="M1469" s="7" t="str">
        <f t="shared" si="72"/>
        <v/>
      </c>
      <c r="N1469" s="6"/>
      <c r="O1469" s="5"/>
    </row>
    <row r="1470" spans="1:15" x14ac:dyDescent="0.2">
      <c r="A1470" s="3" t="str">
        <f>IF($B1470="","",COUNTA($B$9:$B1470))</f>
        <v/>
      </c>
      <c r="B1470" s="4"/>
      <c r="C1470" s="4"/>
      <c r="D1470" s="4"/>
      <c r="E1470" s="5"/>
      <c r="F1470" s="3" t="str">
        <f t="shared" si="70"/>
        <v/>
      </c>
      <c r="G1470" s="4"/>
      <c r="H1470" s="3" t="str">
        <f t="shared" si="71"/>
        <v/>
      </c>
      <c r="I1470" s="5"/>
      <c r="J1470" s="5"/>
      <c r="K1470" s="6"/>
      <c r="L1470" s="6"/>
      <c r="M1470" s="7" t="str">
        <f t="shared" si="72"/>
        <v/>
      </c>
      <c r="N1470" s="6"/>
      <c r="O1470" s="5"/>
    </row>
    <row r="1471" spans="1:15" x14ac:dyDescent="0.2">
      <c r="A1471" s="3" t="str">
        <f>IF($B1471="","",COUNTA($B$9:$B1471))</f>
        <v/>
      </c>
      <c r="B1471" s="4"/>
      <c r="C1471" s="4"/>
      <c r="D1471" s="4"/>
      <c r="E1471" s="5"/>
      <c r="F1471" s="3" t="str">
        <f t="shared" si="70"/>
        <v/>
      </c>
      <c r="G1471" s="4"/>
      <c r="H1471" s="3" t="str">
        <f t="shared" si="71"/>
        <v/>
      </c>
      <c r="I1471" s="5"/>
      <c r="J1471" s="5"/>
      <c r="K1471" s="6"/>
      <c r="L1471" s="6"/>
      <c r="M1471" s="7" t="str">
        <f t="shared" si="72"/>
        <v/>
      </c>
      <c r="N1471" s="6"/>
      <c r="O1471" s="5"/>
    </row>
    <row r="1472" spans="1:15" x14ac:dyDescent="0.2">
      <c r="A1472" s="3" t="str">
        <f>IF($B1472="","",COUNTA($B$9:$B1472))</f>
        <v/>
      </c>
      <c r="B1472" s="4"/>
      <c r="C1472" s="4"/>
      <c r="D1472" s="4"/>
      <c r="E1472" s="5"/>
      <c r="F1472" s="3" t="str">
        <f t="shared" si="70"/>
        <v/>
      </c>
      <c r="G1472" s="4"/>
      <c r="H1472" s="3" t="str">
        <f t="shared" si="71"/>
        <v/>
      </c>
      <c r="I1472" s="5"/>
      <c r="J1472" s="5"/>
      <c r="K1472" s="6"/>
      <c r="L1472" s="6"/>
      <c r="M1472" s="7" t="str">
        <f t="shared" si="72"/>
        <v/>
      </c>
      <c r="N1472" s="6"/>
      <c r="O1472" s="5"/>
    </row>
    <row r="1473" spans="1:15" x14ac:dyDescent="0.2">
      <c r="A1473" s="3" t="str">
        <f>IF($B1473="","",COUNTA($B$9:$B1473))</f>
        <v/>
      </c>
      <c r="B1473" s="4"/>
      <c r="C1473" s="4"/>
      <c r="D1473" s="4"/>
      <c r="E1473" s="5"/>
      <c r="F1473" s="3" t="str">
        <f t="shared" si="70"/>
        <v/>
      </c>
      <c r="G1473" s="4"/>
      <c r="H1473" s="3" t="str">
        <f t="shared" si="71"/>
        <v/>
      </c>
      <c r="I1473" s="5"/>
      <c r="J1473" s="5"/>
      <c r="K1473" s="6"/>
      <c r="L1473" s="6"/>
      <c r="M1473" s="7" t="str">
        <f t="shared" si="72"/>
        <v/>
      </c>
      <c r="N1473" s="6"/>
      <c r="O1473" s="5"/>
    </row>
    <row r="1474" spans="1:15" x14ac:dyDescent="0.2">
      <c r="A1474" s="3" t="str">
        <f>IF($B1474="","",COUNTA($B$9:$B1474))</f>
        <v/>
      </c>
      <c r="B1474" s="4"/>
      <c r="C1474" s="4"/>
      <c r="D1474" s="4"/>
      <c r="E1474" s="5"/>
      <c r="F1474" s="3" t="str">
        <f t="shared" si="70"/>
        <v/>
      </c>
      <c r="G1474" s="4"/>
      <c r="H1474" s="3" t="str">
        <f t="shared" si="71"/>
        <v/>
      </c>
      <c r="I1474" s="5"/>
      <c r="J1474" s="5"/>
      <c r="K1474" s="6"/>
      <c r="L1474" s="6"/>
      <c r="M1474" s="7" t="str">
        <f t="shared" si="72"/>
        <v/>
      </c>
      <c r="N1474" s="6"/>
      <c r="O1474" s="5"/>
    </row>
    <row r="1475" spans="1:15" x14ac:dyDescent="0.2">
      <c r="A1475" s="3" t="str">
        <f>IF($B1475="","",COUNTA($B$9:$B1475))</f>
        <v/>
      </c>
      <c r="B1475" s="4"/>
      <c r="C1475" s="4"/>
      <c r="D1475" s="4"/>
      <c r="E1475" s="5"/>
      <c r="F1475" s="3" t="str">
        <f t="shared" si="70"/>
        <v/>
      </c>
      <c r="G1475" s="4"/>
      <c r="H1475" s="3" t="str">
        <f t="shared" si="71"/>
        <v/>
      </c>
      <c r="I1475" s="5"/>
      <c r="J1475" s="5"/>
      <c r="K1475" s="6"/>
      <c r="L1475" s="6"/>
      <c r="M1475" s="7" t="str">
        <f t="shared" si="72"/>
        <v/>
      </c>
      <c r="N1475" s="6"/>
      <c r="O1475" s="5"/>
    </row>
    <row r="1476" spans="1:15" x14ac:dyDescent="0.2">
      <c r="A1476" s="3" t="str">
        <f>IF($B1476="","",COUNTA($B$9:$B1476))</f>
        <v/>
      </c>
      <c r="B1476" s="4"/>
      <c r="C1476" s="4"/>
      <c r="D1476" s="4"/>
      <c r="E1476" s="5"/>
      <c r="F1476" s="3" t="str">
        <f t="shared" si="70"/>
        <v/>
      </c>
      <c r="G1476" s="4"/>
      <c r="H1476" s="3" t="str">
        <f t="shared" si="71"/>
        <v/>
      </c>
      <c r="I1476" s="5"/>
      <c r="J1476" s="5"/>
      <c r="K1476" s="6"/>
      <c r="L1476" s="6"/>
      <c r="M1476" s="7" t="str">
        <f t="shared" si="72"/>
        <v/>
      </c>
      <c r="N1476" s="6"/>
      <c r="O1476" s="5"/>
    </row>
    <row r="1477" spans="1:15" x14ac:dyDescent="0.2">
      <c r="A1477" s="3" t="str">
        <f>IF($B1477="","",COUNTA($B$9:$B1477))</f>
        <v/>
      </c>
      <c r="B1477" s="4"/>
      <c r="C1477" s="4"/>
      <c r="D1477" s="4"/>
      <c r="E1477" s="5"/>
      <c r="F1477" s="3" t="str">
        <f t="shared" si="70"/>
        <v/>
      </c>
      <c r="G1477" s="4"/>
      <c r="H1477" s="3" t="str">
        <f t="shared" si="71"/>
        <v/>
      </c>
      <c r="I1477" s="5"/>
      <c r="J1477" s="5"/>
      <c r="K1477" s="6"/>
      <c r="L1477" s="6"/>
      <c r="M1477" s="7" t="str">
        <f t="shared" si="72"/>
        <v/>
      </c>
      <c r="N1477" s="6"/>
      <c r="O1477" s="5"/>
    </row>
    <row r="1478" spans="1:15" x14ac:dyDescent="0.2">
      <c r="A1478" s="3" t="str">
        <f>IF($B1478="","",COUNTA($B$9:$B1478))</f>
        <v/>
      </c>
      <c r="B1478" s="4"/>
      <c r="C1478" s="4"/>
      <c r="D1478" s="4"/>
      <c r="E1478" s="5"/>
      <c r="F1478" s="3" t="str">
        <f t="shared" si="70"/>
        <v/>
      </c>
      <c r="G1478" s="4"/>
      <c r="H1478" s="3" t="str">
        <f t="shared" si="71"/>
        <v/>
      </c>
      <c r="I1478" s="5"/>
      <c r="J1478" s="5"/>
      <c r="K1478" s="6"/>
      <c r="L1478" s="6"/>
      <c r="M1478" s="7" t="str">
        <f t="shared" si="72"/>
        <v/>
      </c>
      <c r="N1478" s="6"/>
      <c r="O1478" s="5"/>
    </row>
    <row r="1479" spans="1:15" x14ac:dyDescent="0.2">
      <c r="A1479" s="3" t="str">
        <f>IF($B1479="","",COUNTA($B$9:$B1479))</f>
        <v/>
      </c>
      <c r="B1479" s="4"/>
      <c r="C1479" s="4"/>
      <c r="D1479" s="4"/>
      <c r="E1479" s="5"/>
      <c r="F1479" s="3" t="str">
        <f t="shared" si="70"/>
        <v/>
      </c>
      <c r="G1479" s="4"/>
      <c r="H1479" s="3" t="str">
        <f t="shared" si="71"/>
        <v/>
      </c>
      <c r="I1479" s="5"/>
      <c r="J1479" s="5"/>
      <c r="K1479" s="6"/>
      <c r="L1479" s="6"/>
      <c r="M1479" s="7" t="str">
        <f t="shared" si="72"/>
        <v/>
      </c>
      <c r="N1479" s="6"/>
      <c r="O1479" s="5"/>
    </row>
    <row r="1480" spans="1:15" x14ac:dyDescent="0.2">
      <c r="A1480" s="3" t="str">
        <f>IF($B1480="","",COUNTA($B$9:$B1480))</f>
        <v/>
      </c>
      <c r="B1480" s="4"/>
      <c r="C1480" s="4"/>
      <c r="D1480" s="4"/>
      <c r="E1480" s="5"/>
      <c r="F1480" s="3" t="str">
        <f t="shared" ref="F1480:F1543" si="73">IF($E1480="","",IFERROR(VLOOKUP($E1480,OpTbl,2,0),""))</f>
        <v/>
      </c>
      <c r="G1480" s="4"/>
      <c r="H1480" s="3" t="str">
        <f t="shared" ref="H1480:H1543" si="74">IF($G1480="","",IFERROR(IF(VLOOKUP($G1480,AcctTbl,4,0)="","(بدون نام)",VLOOKUP($G1480,AcctTbl,4,0)),"کد ناشناخته"))</f>
        <v/>
      </c>
      <c r="I1480" s="5"/>
      <c r="J1480" s="5"/>
      <c r="K1480" s="6"/>
      <c r="L1480" s="6"/>
      <c r="M1480" s="7" t="str">
        <f t="shared" ref="M1480:M1543" si="75">IF(OR($B1480="",$K1480=""),"",($K1480-IF($L1480="",0,$L1480)*IFERROR(VLOOKUP("P01",ParamTbl,3,0),1.5))*(1-IF(IFERROR(VLOOKUP($E1480,OpTbl,3,0),"")="خرید",IFERROR(VLOOKUP("P02",ParamTbl,3,0),1),0)/100))</f>
        <v/>
      </c>
      <c r="N1480" s="6"/>
      <c r="O1480" s="5"/>
    </row>
    <row r="1481" spans="1:15" x14ac:dyDescent="0.2">
      <c r="A1481" s="3" t="str">
        <f>IF($B1481="","",COUNTA($B$9:$B1481))</f>
        <v/>
      </c>
      <c r="B1481" s="4"/>
      <c r="C1481" s="4"/>
      <c r="D1481" s="4"/>
      <c r="E1481" s="5"/>
      <c r="F1481" s="3" t="str">
        <f t="shared" si="73"/>
        <v/>
      </c>
      <c r="G1481" s="4"/>
      <c r="H1481" s="3" t="str">
        <f t="shared" si="74"/>
        <v/>
      </c>
      <c r="I1481" s="5"/>
      <c r="J1481" s="5"/>
      <c r="K1481" s="6"/>
      <c r="L1481" s="6"/>
      <c r="M1481" s="7" t="str">
        <f t="shared" si="75"/>
        <v/>
      </c>
      <c r="N1481" s="6"/>
      <c r="O1481" s="5"/>
    </row>
    <row r="1482" spans="1:15" x14ac:dyDescent="0.2">
      <c r="A1482" s="3" t="str">
        <f>IF($B1482="","",COUNTA($B$9:$B1482))</f>
        <v/>
      </c>
      <c r="B1482" s="4"/>
      <c r="C1482" s="4"/>
      <c r="D1482" s="4"/>
      <c r="E1482" s="5"/>
      <c r="F1482" s="3" t="str">
        <f t="shared" si="73"/>
        <v/>
      </c>
      <c r="G1482" s="4"/>
      <c r="H1482" s="3" t="str">
        <f t="shared" si="74"/>
        <v/>
      </c>
      <c r="I1482" s="5"/>
      <c r="J1482" s="5"/>
      <c r="K1482" s="6"/>
      <c r="L1482" s="6"/>
      <c r="M1482" s="7" t="str">
        <f t="shared" si="75"/>
        <v/>
      </c>
      <c r="N1482" s="6"/>
      <c r="O1482" s="5"/>
    </row>
    <row r="1483" spans="1:15" x14ac:dyDescent="0.2">
      <c r="A1483" s="3" t="str">
        <f>IF($B1483="","",COUNTA($B$9:$B1483))</f>
        <v/>
      </c>
      <c r="B1483" s="4"/>
      <c r="C1483" s="4"/>
      <c r="D1483" s="4"/>
      <c r="E1483" s="5"/>
      <c r="F1483" s="3" t="str">
        <f t="shared" si="73"/>
        <v/>
      </c>
      <c r="G1483" s="4"/>
      <c r="H1483" s="3" t="str">
        <f t="shared" si="74"/>
        <v/>
      </c>
      <c r="I1483" s="5"/>
      <c r="J1483" s="5"/>
      <c r="K1483" s="6"/>
      <c r="L1483" s="6"/>
      <c r="M1483" s="7" t="str">
        <f t="shared" si="75"/>
        <v/>
      </c>
      <c r="N1483" s="6"/>
      <c r="O1483" s="5"/>
    </row>
    <row r="1484" spans="1:15" x14ac:dyDescent="0.2">
      <c r="A1484" s="3" t="str">
        <f>IF($B1484="","",COUNTA($B$9:$B1484))</f>
        <v/>
      </c>
      <c r="B1484" s="4"/>
      <c r="C1484" s="4"/>
      <c r="D1484" s="4"/>
      <c r="E1484" s="5"/>
      <c r="F1484" s="3" t="str">
        <f t="shared" si="73"/>
        <v/>
      </c>
      <c r="G1484" s="4"/>
      <c r="H1484" s="3" t="str">
        <f t="shared" si="74"/>
        <v/>
      </c>
      <c r="I1484" s="5"/>
      <c r="J1484" s="5"/>
      <c r="K1484" s="6"/>
      <c r="L1484" s="6"/>
      <c r="M1484" s="7" t="str">
        <f t="shared" si="75"/>
        <v/>
      </c>
      <c r="N1484" s="6"/>
      <c r="O1484" s="5"/>
    </row>
    <row r="1485" spans="1:15" x14ac:dyDescent="0.2">
      <c r="A1485" s="3" t="str">
        <f>IF($B1485="","",COUNTA($B$9:$B1485))</f>
        <v/>
      </c>
      <c r="B1485" s="4"/>
      <c r="C1485" s="4"/>
      <c r="D1485" s="4"/>
      <c r="E1485" s="5"/>
      <c r="F1485" s="3" t="str">
        <f t="shared" si="73"/>
        <v/>
      </c>
      <c r="G1485" s="4"/>
      <c r="H1485" s="3" t="str">
        <f t="shared" si="74"/>
        <v/>
      </c>
      <c r="I1485" s="5"/>
      <c r="J1485" s="5"/>
      <c r="K1485" s="6"/>
      <c r="L1485" s="6"/>
      <c r="M1485" s="7" t="str">
        <f t="shared" si="75"/>
        <v/>
      </c>
      <c r="N1485" s="6"/>
      <c r="O1485" s="5"/>
    </row>
    <row r="1486" spans="1:15" x14ac:dyDescent="0.2">
      <c r="A1486" s="3" t="str">
        <f>IF($B1486="","",COUNTA($B$9:$B1486))</f>
        <v/>
      </c>
      <c r="B1486" s="4"/>
      <c r="C1486" s="4"/>
      <c r="D1486" s="4"/>
      <c r="E1486" s="5"/>
      <c r="F1486" s="3" t="str">
        <f t="shared" si="73"/>
        <v/>
      </c>
      <c r="G1486" s="4"/>
      <c r="H1486" s="3" t="str">
        <f t="shared" si="74"/>
        <v/>
      </c>
      <c r="I1486" s="5"/>
      <c r="J1486" s="5"/>
      <c r="K1486" s="6"/>
      <c r="L1486" s="6"/>
      <c r="M1486" s="7" t="str">
        <f t="shared" si="75"/>
        <v/>
      </c>
      <c r="N1486" s="6"/>
      <c r="O1486" s="5"/>
    </row>
    <row r="1487" spans="1:15" x14ac:dyDescent="0.2">
      <c r="A1487" s="3" t="str">
        <f>IF($B1487="","",COUNTA($B$9:$B1487))</f>
        <v/>
      </c>
      <c r="B1487" s="4"/>
      <c r="C1487" s="4"/>
      <c r="D1487" s="4"/>
      <c r="E1487" s="5"/>
      <c r="F1487" s="3" t="str">
        <f t="shared" si="73"/>
        <v/>
      </c>
      <c r="G1487" s="4"/>
      <c r="H1487" s="3" t="str">
        <f t="shared" si="74"/>
        <v/>
      </c>
      <c r="I1487" s="5"/>
      <c r="J1487" s="5"/>
      <c r="K1487" s="6"/>
      <c r="L1487" s="6"/>
      <c r="M1487" s="7" t="str">
        <f t="shared" si="75"/>
        <v/>
      </c>
      <c r="N1487" s="6"/>
      <c r="O1487" s="5"/>
    </row>
    <row r="1488" spans="1:15" x14ac:dyDescent="0.2">
      <c r="A1488" s="3" t="str">
        <f>IF($B1488="","",COUNTA($B$9:$B1488))</f>
        <v/>
      </c>
      <c r="B1488" s="4"/>
      <c r="C1488" s="4"/>
      <c r="D1488" s="4"/>
      <c r="E1488" s="5"/>
      <c r="F1488" s="3" t="str">
        <f t="shared" si="73"/>
        <v/>
      </c>
      <c r="G1488" s="4"/>
      <c r="H1488" s="3" t="str">
        <f t="shared" si="74"/>
        <v/>
      </c>
      <c r="I1488" s="5"/>
      <c r="J1488" s="5"/>
      <c r="K1488" s="6"/>
      <c r="L1488" s="6"/>
      <c r="M1488" s="7" t="str">
        <f t="shared" si="75"/>
        <v/>
      </c>
      <c r="N1488" s="6"/>
      <c r="O1488" s="5"/>
    </row>
    <row r="1489" spans="1:15" x14ac:dyDescent="0.2">
      <c r="A1489" s="3" t="str">
        <f>IF($B1489="","",COUNTA($B$9:$B1489))</f>
        <v/>
      </c>
      <c r="B1489" s="4"/>
      <c r="C1489" s="4"/>
      <c r="D1489" s="4"/>
      <c r="E1489" s="5"/>
      <c r="F1489" s="3" t="str">
        <f t="shared" si="73"/>
        <v/>
      </c>
      <c r="G1489" s="4"/>
      <c r="H1489" s="3" t="str">
        <f t="shared" si="74"/>
        <v/>
      </c>
      <c r="I1489" s="5"/>
      <c r="J1489" s="5"/>
      <c r="K1489" s="6"/>
      <c r="L1489" s="6"/>
      <c r="M1489" s="7" t="str">
        <f t="shared" si="75"/>
        <v/>
      </c>
      <c r="N1489" s="6"/>
      <c r="O1489" s="5"/>
    </row>
    <row r="1490" spans="1:15" x14ac:dyDescent="0.2">
      <c r="A1490" s="3" t="str">
        <f>IF($B1490="","",COUNTA($B$9:$B1490))</f>
        <v/>
      </c>
      <c r="B1490" s="4"/>
      <c r="C1490" s="4"/>
      <c r="D1490" s="4"/>
      <c r="E1490" s="5"/>
      <c r="F1490" s="3" t="str">
        <f t="shared" si="73"/>
        <v/>
      </c>
      <c r="G1490" s="4"/>
      <c r="H1490" s="3" t="str">
        <f t="shared" si="74"/>
        <v/>
      </c>
      <c r="I1490" s="5"/>
      <c r="J1490" s="5"/>
      <c r="K1490" s="6"/>
      <c r="L1490" s="6"/>
      <c r="M1490" s="7" t="str">
        <f t="shared" si="75"/>
        <v/>
      </c>
      <c r="N1490" s="6"/>
      <c r="O1490" s="5"/>
    </row>
    <row r="1491" spans="1:15" x14ac:dyDescent="0.2">
      <c r="A1491" s="3" t="str">
        <f>IF($B1491="","",COUNTA($B$9:$B1491))</f>
        <v/>
      </c>
      <c r="B1491" s="4"/>
      <c r="C1491" s="4"/>
      <c r="D1491" s="4"/>
      <c r="E1491" s="5"/>
      <c r="F1491" s="3" t="str">
        <f t="shared" si="73"/>
        <v/>
      </c>
      <c r="G1491" s="4"/>
      <c r="H1491" s="3" t="str">
        <f t="shared" si="74"/>
        <v/>
      </c>
      <c r="I1491" s="5"/>
      <c r="J1491" s="5"/>
      <c r="K1491" s="6"/>
      <c r="L1491" s="6"/>
      <c r="M1491" s="7" t="str">
        <f t="shared" si="75"/>
        <v/>
      </c>
      <c r="N1491" s="6"/>
      <c r="O1491" s="5"/>
    </row>
    <row r="1492" spans="1:15" x14ac:dyDescent="0.2">
      <c r="A1492" s="3" t="str">
        <f>IF($B1492="","",COUNTA($B$9:$B1492))</f>
        <v/>
      </c>
      <c r="B1492" s="4"/>
      <c r="C1492" s="4"/>
      <c r="D1492" s="4"/>
      <c r="E1492" s="5"/>
      <c r="F1492" s="3" t="str">
        <f t="shared" si="73"/>
        <v/>
      </c>
      <c r="G1492" s="4"/>
      <c r="H1492" s="3" t="str">
        <f t="shared" si="74"/>
        <v/>
      </c>
      <c r="I1492" s="5"/>
      <c r="J1492" s="5"/>
      <c r="K1492" s="6"/>
      <c r="L1492" s="6"/>
      <c r="M1492" s="7" t="str">
        <f t="shared" si="75"/>
        <v/>
      </c>
      <c r="N1492" s="6"/>
      <c r="O1492" s="5"/>
    </row>
    <row r="1493" spans="1:15" x14ac:dyDescent="0.2">
      <c r="A1493" s="3" t="str">
        <f>IF($B1493="","",COUNTA($B$9:$B1493))</f>
        <v/>
      </c>
      <c r="B1493" s="4"/>
      <c r="C1493" s="4"/>
      <c r="D1493" s="4"/>
      <c r="E1493" s="5"/>
      <c r="F1493" s="3" t="str">
        <f t="shared" si="73"/>
        <v/>
      </c>
      <c r="G1493" s="4"/>
      <c r="H1493" s="3" t="str">
        <f t="shared" si="74"/>
        <v/>
      </c>
      <c r="I1493" s="5"/>
      <c r="J1493" s="5"/>
      <c r="K1493" s="6"/>
      <c r="L1493" s="6"/>
      <c r="M1493" s="7" t="str">
        <f t="shared" si="75"/>
        <v/>
      </c>
      <c r="N1493" s="6"/>
      <c r="O1493" s="5"/>
    </row>
    <row r="1494" spans="1:15" x14ac:dyDescent="0.2">
      <c r="A1494" s="3" t="str">
        <f>IF($B1494="","",COUNTA($B$9:$B1494))</f>
        <v/>
      </c>
      <c r="B1494" s="4"/>
      <c r="C1494" s="4"/>
      <c r="D1494" s="4"/>
      <c r="E1494" s="5"/>
      <c r="F1494" s="3" t="str">
        <f t="shared" si="73"/>
        <v/>
      </c>
      <c r="G1494" s="4"/>
      <c r="H1494" s="3" t="str">
        <f t="shared" si="74"/>
        <v/>
      </c>
      <c r="I1494" s="5"/>
      <c r="J1494" s="5"/>
      <c r="K1494" s="6"/>
      <c r="L1494" s="6"/>
      <c r="M1494" s="7" t="str">
        <f t="shared" si="75"/>
        <v/>
      </c>
      <c r="N1494" s="6"/>
      <c r="O1494" s="5"/>
    </row>
    <row r="1495" spans="1:15" x14ac:dyDescent="0.2">
      <c r="A1495" s="3" t="str">
        <f>IF($B1495="","",COUNTA($B$9:$B1495))</f>
        <v/>
      </c>
      <c r="B1495" s="4"/>
      <c r="C1495" s="4"/>
      <c r="D1495" s="4"/>
      <c r="E1495" s="5"/>
      <c r="F1495" s="3" t="str">
        <f t="shared" si="73"/>
        <v/>
      </c>
      <c r="G1495" s="4"/>
      <c r="H1495" s="3" t="str">
        <f t="shared" si="74"/>
        <v/>
      </c>
      <c r="I1495" s="5"/>
      <c r="J1495" s="5"/>
      <c r="K1495" s="6"/>
      <c r="L1495" s="6"/>
      <c r="M1495" s="7" t="str">
        <f t="shared" si="75"/>
        <v/>
      </c>
      <c r="N1495" s="6"/>
      <c r="O1495" s="5"/>
    </row>
    <row r="1496" spans="1:15" x14ac:dyDescent="0.2">
      <c r="A1496" s="3" t="str">
        <f>IF($B1496="","",COUNTA($B$9:$B1496))</f>
        <v/>
      </c>
      <c r="B1496" s="4"/>
      <c r="C1496" s="4"/>
      <c r="D1496" s="4"/>
      <c r="E1496" s="5"/>
      <c r="F1496" s="3" t="str">
        <f t="shared" si="73"/>
        <v/>
      </c>
      <c r="G1496" s="4"/>
      <c r="H1496" s="3" t="str">
        <f t="shared" si="74"/>
        <v/>
      </c>
      <c r="I1496" s="5"/>
      <c r="J1496" s="5"/>
      <c r="K1496" s="6"/>
      <c r="L1496" s="6"/>
      <c r="M1496" s="7" t="str">
        <f t="shared" si="75"/>
        <v/>
      </c>
      <c r="N1496" s="6"/>
      <c r="O1496" s="5"/>
    </row>
    <row r="1497" spans="1:15" x14ac:dyDescent="0.2">
      <c r="A1497" s="3" t="str">
        <f>IF($B1497="","",COUNTA($B$9:$B1497))</f>
        <v/>
      </c>
      <c r="B1497" s="4"/>
      <c r="C1497" s="4"/>
      <c r="D1497" s="4"/>
      <c r="E1497" s="5"/>
      <c r="F1497" s="3" t="str">
        <f t="shared" si="73"/>
        <v/>
      </c>
      <c r="G1497" s="4"/>
      <c r="H1497" s="3" t="str">
        <f t="shared" si="74"/>
        <v/>
      </c>
      <c r="I1497" s="5"/>
      <c r="J1497" s="5"/>
      <c r="K1497" s="6"/>
      <c r="L1497" s="6"/>
      <c r="M1497" s="7" t="str">
        <f t="shared" si="75"/>
        <v/>
      </c>
      <c r="N1497" s="6"/>
      <c r="O1497" s="5"/>
    </row>
    <row r="1498" spans="1:15" x14ac:dyDescent="0.2">
      <c r="A1498" s="3" t="str">
        <f>IF($B1498="","",COUNTA($B$9:$B1498))</f>
        <v/>
      </c>
      <c r="B1498" s="4"/>
      <c r="C1498" s="4"/>
      <c r="D1498" s="4"/>
      <c r="E1498" s="5"/>
      <c r="F1498" s="3" t="str">
        <f t="shared" si="73"/>
        <v/>
      </c>
      <c r="G1498" s="4"/>
      <c r="H1498" s="3" t="str">
        <f t="shared" si="74"/>
        <v/>
      </c>
      <c r="I1498" s="5"/>
      <c r="J1498" s="5"/>
      <c r="K1498" s="6"/>
      <c r="L1498" s="6"/>
      <c r="M1498" s="7" t="str">
        <f t="shared" si="75"/>
        <v/>
      </c>
      <c r="N1498" s="6"/>
      <c r="O1498" s="5"/>
    </row>
    <row r="1499" spans="1:15" x14ac:dyDescent="0.2">
      <c r="A1499" s="3" t="str">
        <f>IF($B1499="","",COUNTA($B$9:$B1499))</f>
        <v/>
      </c>
      <c r="B1499" s="4"/>
      <c r="C1499" s="4"/>
      <c r="D1499" s="4"/>
      <c r="E1499" s="5"/>
      <c r="F1499" s="3" t="str">
        <f t="shared" si="73"/>
        <v/>
      </c>
      <c r="G1499" s="4"/>
      <c r="H1499" s="3" t="str">
        <f t="shared" si="74"/>
        <v/>
      </c>
      <c r="I1499" s="5"/>
      <c r="J1499" s="5"/>
      <c r="K1499" s="6"/>
      <c r="L1499" s="6"/>
      <c r="M1499" s="7" t="str">
        <f t="shared" si="75"/>
        <v/>
      </c>
      <c r="N1499" s="6"/>
      <c r="O1499" s="5"/>
    </row>
    <row r="1500" spans="1:15" x14ac:dyDescent="0.2">
      <c r="A1500" s="3" t="str">
        <f>IF($B1500="","",COUNTA($B$9:$B1500))</f>
        <v/>
      </c>
      <c r="B1500" s="4"/>
      <c r="C1500" s="4"/>
      <c r="D1500" s="4"/>
      <c r="E1500" s="5"/>
      <c r="F1500" s="3" t="str">
        <f t="shared" si="73"/>
        <v/>
      </c>
      <c r="G1500" s="4"/>
      <c r="H1500" s="3" t="str">
        <f t="shared" si="74"/>
        <v/>
      </c>
      <c r="I1500" s="5"/>
      <c r="J1500" s="5"/>
      <c r="K1500" s="6"/>
      <c r="L1500" s="6"/>
      <c r="M1500" s="7" t="str">
        <f t="shared" si="75"/>
        <v/>
      </c>
      <c r="N1500" s="6"/>
      <c r="O1500" s="5"/>
    </row>
    <row r="1501" spans="1:15" x14ac:dyDescent="0.2">
      <c r="A1501" s="3" t="str">
        <f>IF($B1501="","",COUNTA($B$9:$B1501))</f>
        <v/>
      </c>
      <c r="B1501" s="4"/>
      <c r="C1501" s="4"/>
      <c r="D1501" s="4"/>
      <c r="E1501" s="5"/>
      <c r="F1501" s="3" t="str">
        <f t="shared" si="73"/>
        <v/>
      </c>
      <c r="G1501" s="4"/>
      <c r="H1501" s="3" t="str">
        <f t="shared" si="74"/>
        <v/>
      </c>
      <c r="I1501" s="5"/>
      <c r="J1501" s="5"/>
      <c r="K1501" s="6"/>
      <c r="L1501" s="6"/>
      <c r="M1501" s="7" t="str">
        <f t="shared" si="75"/>
        <v/>
      </c>
      <c r="N1501" s="6"/>
      <c r="O1501" s="5"/>
    </row>
    <row r="1502" spans="1:15" x14ac:dyDescent="0.2">
      <c r="A1502" s="3" t="str">
        <f>IF($B1502="","",COUNTA($B$9:$B1502))</f>
        <v/>
      </c>
      <c r="B1502" s="4"/>
      <c r="C1502" s="4"/>
      <c r="D1502" s="4"/>
      <c r="E1502" s="5"/>
      <c r="F1502" s="3" t="str">
        <f t="shared" si="73"/>
        <v/>
      </c>
      <c r="G1502" s="4"/>
      <c r="H1502" s="3" t="str">
        <f t="shared" si="74"/>
        <v/>
      </c>
      <c r="I1502" s="5"/>
      <c r="J1502" s="5"/>
      <c r="K1502" s="6"/>
      <c r="L1502" s="6"/>
      <c r="M1502" s="7" t="str">
        <f t="shared" si="75"/>
        <v/>
      </c>
      <c r="N1502" s="6"/>
      <c r="O1502" s="5"/>
    </row>
    <row r="1503" spans="1:15" x14ac:dyDescent="0.2">
      <c r="A1503" s="3" t="str">
        <f>IF($B1503="","",COUNTA($B$9:$B1503))</f>
        <v/>
      </c>
      <c r="B1503" s="4"/>
      <c r="C1503" s="4"/>
      <c r="D1503" s="4"/>
      <c r="E1503" s="5"/>
      <c r="F1503" s="3" t="str">
        <f t="shared" si="73"/>
        <v/>
      </c>
      <c r="G1503" s="4"/>
      <c r="H1503" s="3" t="str">
        <f t="shared" si="74"/>
        <v/>
      </c>
      <c r="I1503" s="5"/>
      <c r="J1503" s="5"/>
      <c r="K1503" s="6"/>
      <c r="L1503" s="6"/>
      <c r="M1503" s="7" t="str">
        <f t="shared" si="75"/>
        <v/>
      </c>
      <c r="N1503" s="6"/>
      <c r="O1503" s="5"/>
    </row>
    <row r="1504" spans="1:15" x14ac:dyDescent="0.2">
      <c r="A1504" s="3" t="str">
        <f>IF($B1504="","",COUNTA($B$9:$B1504))</f>
        <v/>
      </c>
      <c r="B1504" s="4"/>
      <c r="C1504" s="4"/>
      <c r="D1504" s="4"/>
      <c r="E1504" s="5"/>
      <c r="F1504" s="3" t="str">
        <f t="shared" si="73"/>
        <v/>
      </c>
      <c r="G1504" s="4"/>
      <c r="H1504" s="3" t="str">
        <f t="shared" si="74"/>
        <v/>
      </c>
      <c r="I1504" s="5"/>
      <c r="J1504" s="5"/>
      <c r="K1504" s="6"/>
      <c r="L1504" s="6"/>
      <c r="M1504" s="7" t="str">
        <f t="shared" si="75"/>
        <v/>
      </c>
      <c r="N1504" s="6"/>
      <c r="O1504" s="5"/>
    </row>
    <row r="1505" spans="1:15" x14ac:dyDescent="0.2">
      <c r="A1505" s="3" t="str">
        <f>IF($B1505="","",COUNTA($B$9:$B1505))</f>
        <v/>
      </c>
      <c r="B1505" s="4"/>
      <c r="C1505" s="4"/>
      <c r="D1505" s="4"/>
      <c r="E1505" s="5"/>
      <c r="F1505" s="3" t="str">
        <f t="shared" si="73"/>
        <v/>
      </c>
      <c r="G1505" s="4"/>
      <c r="H1505" s="3" t="str">
        <f t="shared" si="74"/>
        <v/>
      </c>
      <c r="I1505" s="5"/>
      <c r="J1505" s="5"/>
      <c r="K1505" s="6"/>
      <c r="L1505" s="6"/>
      <c r="M1505" s="7" t="str">
        <f t="shared" si="75"/>
        <v/>
      </c>
      <c r="N1505" s="6"/>
      <c r="O1505" s="5"/>
    </row>
    <row r="1506" spans="1:15" x14ac:dyDescent="0.2">
      <c r="A1506" s="3" t="str">
        <f>IF($B1506="","",COUNTA($B$9:$B1506))</f>
        <v/>
      </c>
      <c r="B1506" s="4"/>
      <c r="C1506" s="4"/>
      <c r="D1506" s="4"/>
      <c r="E1506" s="5"/>
      <c r="F1506" s="3" t="str">
        <f t="shared" si="73"/>
        <v/>
      </c>
      <c r="G1506" s="4"/>
      <c r="H1506" s="3" t="str">
        <f t="shared" si="74"/>
        <v/>
      </c>
      <c r="I1506" s="5"/>
      <c r="J1506" s="5"/>
      <c r="K1506" s="6"/>
      <c r="L1506" s="6"/>
      <c r="M1506" s="7" t="str">
        <f t="shared" si="75"/>
        <v/>
      </c>
      <c r="N1506" s="6"/>
      <c r="O1506" s="5"/>
    </row>
    <row r="1507" spans="1:15" x14ac:dyDescent="0.2">
      <c r="A1507" s="3" t="str">
        <f>IF($B1507="","",COUNTA($B$9:$B1507))</f>
        <v/>
      </c>
      <c r="B1507" s="4"/>
      <c r="C1507" s="4"/>
      <c r="D1507" s="4"/>
      <c r="E1507" s="5"/>
      <c r="F1507" s="3" t="str">
        <f t="shared" si="73"/>
        <v/>
      </c>
      <c r="G1507" s="4"/>
      <c r="H1507" s="3" t="str">
        <f t="shared" si="74"/>
        <v/>
      </c>
      <c r="I1507" s="5"/>
      <c r="J1507" s="5"/>
      <c r="K1507" s="6"/>
      <c r="L1507" s="6"/>
      <c r="M1507" s="7" t="str">
        <f t="shared" si="75"/>
        <v/>
      </c>
      <c r="N1507" s="6"/>
      <c r="O1507" s="5"/>
    </row>
    <row r="1508" spans="1:15" x14ac:dyDescent="0.2">
      <c r="A1508" s="3" t="str">
        <f>IF($B1508="","",COUNTA($B$9:$B1508))</f>
        <v/>
      </c>
      <c r="B1508" s="4"/>
      <c r="C1508" s="4"/>
      <c r="D1508" s="4"/>
      <c r="E1508" s="5"/>
      <c r="F1508" s="3" t="str">
        <f t="shared" si="73"/>
        <v/>
      </c>
      <c r="G1508" s="4"/>
      <c r="H1508" s="3" t="str">
        <f t="shared" si="74"/>
        <v/>
      </c>
      <c r="I1508" s="5"/>
      <c r="J1508" s="5"/>
      <c r="K1508" s="6"/>
      <c r="L1508" s="6"/>
      <c r="M1508" s="7" t="str">
        <f t="shared" si="75"/>
        <v/>
      </c>
      <c r="N1508" s="6"/>
      <c r="O1508" s="5"/>
    </row>
    <row r="1509" spans="1:15" x14ac:dyDescent="0.2">
      <c r="A1509" s="3" t="str">
        <f>IF($B1509="","",COUNTA($B$9:$B1509))</f>
        <v/>
      </c>
      <c r="B1509" s="4"/>
      <c r="C1509" s="4"/>
      <c r="D1509" s="4"/>
      <c r="E1509" s="5"/>
      <c r="F1509" s="3" t="str">
        <f t="shared" si="73"/>
        <v/>
      </c>
      <c r="G1509" s="4"/>
      <c r="H1509" s="3" t="str">
        <f t="shared" si="74"/>
        <v/>
      </c>
      <c r="I1509" s="5"/>
      <c r="J1509" s="5"/>
      <c r="K1509" s="6"/>
      <c r="L1509" s="6"/>
      <c r="M1509" s="7" t="str">
        <f t="shared" si="75"/>
        <v/>
      </c>
      <c r="N1509" s="6"/>
      <c r="O1509" s="5"/>
    </row>
    <row r="1510" spans="1:15" x14ac:dyDescent="0.2">
      <c r="A1510" s="3" t="str">
        <f>IF($B1510="","",COUNTA($B$9:$B1510))</f>
        <v/>
      </c>
      <c r="B1510" s="4"/>
      <c r="C1510" s="4"/>
      <c r="D1510" s="4"/>
      <c r="E1510" s="5"/>
      <c r="F1510" s="3" t="str">
        <f t="shared" si="73"/>
        <v/>
      </c>
      <c r="G1510" s="4"/>
      <c r="H1510" s="3" t="str">
        <f t="shared" si="74"/>
        <v/>
      </c>
      <c r="I1510" s="5"/>
      <c r="J1510" s="5"/>
      <c r="K1510" s="6"/>
      <c r="L1510" s="6"/>
      <c r="M1510" s="7" t="str">
        <f t="shared" si="75"/>
        <v/>
      </c>
      <c r="N1510" s="6"/>
      <c r="O1510" s="5"/>
    </row>
    <row r="1511" spans="1:15" x14ac:dyDescent="0.2">
      <c r="A1511" s="3" t="str">
        <f>IF($B1511="","",COUNTA($B$9:$B1511))</f>
        <v/>
      </c>
      <c r="B1511" s="4"/>
      <c r="C1511" s="4"/>
      <c r="D1511" s="4"/>
      <c r="E1511" s="5"/>
      <c r="F1511" s="3" t="str">
        <f t="shared" si="73"/>
        <v/>
      </c>
      <c r="G1511" s="4"/>
      <c r="H1511" s="3" t="str">
        <f t="shared" si="74"/>
        <v/>
      </c>
      <c r="I1511" s="5"/>
      <c r="J1511" s="5"/>
      <c r="K1511" s="6"/>
      <c r="L1511" s="6"/>
      <c r="M1511" s="7" t="str">
        <f t="shared" si="75"/>
        <v/>
      </c>
      <c r="N1511" s="6"/>
      <c r="O1511" s="5"/>
    </row>
    <row r="1512" spans="1:15" x14ac:dyDescent="0.2">
      <c r="A1512" s="3" t="str">
        <f>IF($B1512="","",COUNTA($B$9:$B1512))</f>
        <v/>
      </c>
      <c r="B1512" s="4"/>
      <c r="C1512" s="4"/>
      <c r="D1512" s="4"/>
      <c r="E1512" s="5"/>
      <c r="F1512" s="3" t="str">
        <f t="shared" si="73"/>
        <v/>
      </c>
      <c r="G1512" s="4"/>
      <c r="H1512" s="3" t="str">
        <f t="shared" si="74"/>
        <v/>
      </c>
      <c r="I1512" s="5"/>
      <c r="J1512" s="5"/>
      <c r="K1512" s="6"/>
      <c r="L1512" s="6"/>
      <c r="M1512" s="7" t="str">
        <f t="shared" si="75"/>
        <v/>
      </c>
      <c r="N1512" s="6"/>
      <c r="O1512" s="5"/>
    </row>
    <row r="1513" spans="1:15" x14ac:dyDescent="0.2">
      <c r="A1513" s="3" t="str">
        <f>IF($B1513="","",COUNTA($B$9:$B1513))</f>
        <v/>
      </c>
      <c r="B1513" s="4"/>
      <c r="C1513" s="4"/>
      <c r="D1513" s="4"/>
      <c r="E1513" s="5"/>
      <c r="F1513" s="3" t="str">
        <f t="shared" si="73"/>
        <v/>
      </c>
      <c r="G1513" s="4"/>
      <c r="H1513" s="3" t="str">
        <f t="shared" si="74"/>
        <v/>
      </c>
      <c r="I1513" s="5"/>
      <c r="J1513" s="5"/>
      <c r="K1513" s="6"/>
      <c r="L1513" s="6"/>
      <c r="M1513" s="7" t="str">
        <f t="shared" si="75"/>
        <v/>
      </c>
      <c r="N1513" s="6"/>
      <c r="O1513" s="5"/>
    </row>
    <row r="1514" spans="1:15" x14ac:dyDescent="0.2">
      <c r="A1514" s="3" t="str">
        <f>IF($B1514="","",COUNTA($B$9:$B1514))</f>
        <v/>
      </c>
      <c r="B1514" s="4"/>
      <c r="C1514" s="4"/>
      <c r="D1514" s="4"/>
      <c r="E1514" s="5"/>
      <c r="F1514" s="3" t="str">
        <f t="shared" si="73"/>
        <v/>
      </c>
      <c r="G1514" s="4"/>
      <c r="H1514" s="3" t="str">
        <f t="shared" si="74"/>
        <v/>
      </c>
      <c r="I1514" s="5"/>
      <c r="J1514" s="5"/>
      <c r="K1514" s="6"/>
      <c r="L1514" s="6"/>
      <c r="M1514" s="7" t="str">
        <f t="shared" si="75"/>
        <v/>
      </c>
      <c r="N1514" s="6"/>
      <c r="O1514" s="5"/>
    </row>
    <row r="1515" spans="1:15" x14ac:dyDescent="0.2">
      <c r="A1515" s="3" t="str">
        <f>IF($B1515="","",COUNTA($B$9:$B1515))</f>
        <v/>
      </c>
      <c r="B1515" s="4"/>
      <c r="C1515" s="4"/>
      <c r="D1515" s="4"/>
      <c r="E1515" s="5"/>
      <c r="F1515" s="3" t="str">
        <f t="shared" si="73"/>
        <v/>
      </c>
      <c r="G1515" s="4"/>
      <c r="H1515" s="3" t="str">
        <f t="shared" si="74"/>
        <v/>
      </c>
      <c r="I1515" s="5"/>
      <c r="J1515" s="5"/>
      <c r="K1515" s="6"/>
      <c r="L1515" s="6"/>
      <c r="M1515" s="7" t="str">
        <f t="shared" si="75"/>
        <v/>
      </c>
      <c r="N1515" s="6"/>
      <c r="O1515" s="5"/>
    </row>
    <row r="1516" spans="1:15" x14ac:dyDescent="0.2">
      <c r="A1516" s="3" t="str">
        <f>IF($B1516="","",COUNTA($B$9:$B1516))</f>
        <v/>
      </c>
      <c r="B1516" s="4"/>
      <c r="C1516" s="4"/>
      <c r="D1516" s="4"/>
      <c r="E1516" s="5"/>
      <c r="F1516" s="3" t="str">
        <f t="shared" si="73"/>
        <v/>
      </c>
      <c r="G1516" s="4"/>
      <c r="H1516" s="3" t="str">
        <f t="shared" si="74"/>
        <v/>
      </c>
      <c r="I1516" s="5"/>
      <c r="J1516" s="5"/>
      <c r="K1516" s="6"/>
      <c r="L1516" s="6"/>
      <c r="M1516" s="7" t="str">
        <f t="shared" si="75"/>
        <v/>
      </c>
      <c r="N1516" s="6"/>
      <c r="O1516" s="5"/>
    </row>
    <row r="1517" spans="1:15" x14ac:dyDescent="0.2">
      <c r="A1517" s="3" t="str">
        <f>IF($B1517="","",COUNTA($B$9:$B1517))</f>
        <v/>
      </c>
      <c r="B1517" s="4"/>
      <c r="C1517" s="4"/>
      <c r="D1517" s="4"/>
      <c r="E1517" s="5"/>
      <c r="F1517" s="3" t="str">
        <f t="shared" si="73"/>
        <v/>
      </c>
      <c r="G1517" s="4"/>
      <c r="H1517" s="3" t="str">
        <f t="shared" si="74"/>
        <v/>
      </c>
      <c r="I1517" s="5"/>
      <c r="J1517" s="5"/>
      <c r="K1517" s="6"/>
      <c r="L1517" s="6"/>
      <c r="M1517" s="7" t="str">
        <f t="shared" si="75"/>
        <v/>
      </c>
      <c r="N1517" s="6"/>
      <c r="O1517" s="5"/>
    </row>
    <row r="1518" spans="1:15" x14ac:dyDescent="0.2">
      <c r="A1518" s="3" t="str">
        <f>IF($B1518="","",COUNTA($B$9:$B1518))</f>
        <v/>
      </c>
      <c r="B1518" s="4"/>
      <c r="C1518" s="4"/>
      <c r="D1518" s="4"/>
      <c r="E1518" s="5"/>
      <c r="F1518" s="3" t="str">
        <f t="shared" si="73"/>
        <v/>
      </c>
      <c r="G1518" s="4"/>
      <c r="H1518" s="3" t="str">
        <f t="shared" si="74"/>
        <v/>
      </c>
      <c r="I1518" s="5"/>
      <c r="J1518" s="5"/>
      <c r="K1518" s="6"/>
      <c r="L1518" s="6"/>
      <c r="M1518" s="7" t="str">
        <f t="shared" si="75"/>
        <v/>
      </c>
      <c r="N1518" s="6"/>
      <c r="O1518" s="5"/>
    </row>
    <row r="1519" spans="1:15" x14ac:dyDescent="0.2">
      <c r="A1519" s="3" t="str">
        <f>IF($B1519="","",COUNTA($B$9:$B1519))</f>
        <v/>
      </c>
      <c r="B1519" s="4"/>
      <c r="C1519" s="4"/>
      <c r="D1519" s="4"/>
      <c r="E1519" s="5"/>
      <c r="F1519" s="3" t="str">
        <f t="shared" si="73"/>
        <v/>
      </c>
      <c r="G1519" s="4"/>
      <c r="H1519" s="3" t="str">
        <f t="shared" si="74"/>
        <v/>
      </c>
      <c r="I1519" s="5"/>
      <c r="J1519" s="5"/>
      <c r="K1519" s="6"/>
      <c r="L1519" s="6"/>
      <c r="M1519" s="7" t="str">
        <f t="shared" si="75"/>
        <v/>
      </c>
      <c r="N1519" s="6"/>
      <c r="O1519" s="5"/>
    </row>
    <row r="1520" spans="1:15" x14ac:dyDescent="0.2">
      <c r="A1520" s="3" t="str">
        <f>IF($B1520="","",COUNTA($B$9:$B1520))</f>
        <v/>
      </c>
      <c r="B1520" s="4"/>
      <c r="C1520" s="4"/>
      <c r="D1520" s="4"/>
      <c r="E1520" s="5"/>
      <c r="F1520" s="3" t="str">
        <f t="shared" si="73"/>
        <v/>
      </c>
      <c r="G1520" s="4"/>
      <c r="H1520" s="3" t="str">
        <f t="shared" si="74"/>
        <v/>
      </c>
      <c r="I1520" s="5"/>
      <c r="J1520" s="5"/>
      <c r="K1520" s="6"/>
      <c r="L1520" s="6"/>
      <c r="M1520" s="7" t="str">
        <f t="shared" si="75"/>
        <v/>
      </c>
      <c r="N1520" s="6"/>
      <c r="O1520" s="5"/>
    </row>
    <row r="1521" spans="1:15" x14ac:dyDescent="0.2">
      <c r="A1521" s="3" t="str">
        <f>IF($B1521="","",COUNTA($B$9:$B1521))</f>
        <v/>
      </c>
      <c r="B1521" s="4"/>
      <c r="C1521" s="4"/>
      <c r="D1521" s="4"/>
      <c r="E1521" s="5"/>
      <c r="F1521" s="3" t="str">
        <f t="shared" si="73"/>
        <v/>
      </c>
      <c r="G1521" s="4"/>
      <c r="H1521" s="3" t="str">
        <f t="shared" si="74"/>
        <v/>
      </c>
      <c r="I1521" s="5"/>
      <c r="J1521" s="5"/>
      <c r="K1521" s="6"/>
      <c r="L1521" s="6"/>
      <c r="M1521" s="7" t="str">
        <f t="shared" si="75"/>
        <v/>
      </c>
      <c r="N1521" s="6"/>
      <c r="O1521" s="5"/>
    </row>
    <row r="1522" spans="1:15" x14ac:dyDescent="0.2">
      <c r="A1522" s="3" t="str">
        <f>IF($B1522="","",COUNTA($B$9:$B1522))</f>
        <v/>
      </c>
      <c r="B1522" s="4"/>
      <c r="C1522" s="4"/>
      <c r="D1522" s="4"/>
      <c r="E1522" s="5"/>
      <c r="F1522" s="3" t="str">
        <f t="shared" si="73"/>
        <v/>
      </c>
      <c r="G1522" s="4"/>
      <c r="H1522" s="3" t="str">
        <f t="shared" si="74"/>
        <v/>
      </c>
      <c r="I1522" s="5"/>
      <c r="J1522" s="5"/>
      <c r="K1522" s="6"/>
      <c r="L1522" s="6"/>
      <c r="M1522" s="7" t="str">
        <f t="shared" si="75"/>
        <v/>
      </c>
      <c r="N1522" s="6"/>
      <c r="O1522" s="5"/>
    </row>
    <row r="1523" spans="1:15" x14ac:dyDescent="0.2">
      <c r="A1523" s="3" t="str">
        <f>IF($B1523="","",COUNTA($B$9:$B1523))</f>
        <v/>
      </c>
      <c r="B1523" s="4"/>
      <c r="C1523" s="4"/>
      <c r="D1523" s="4"/>
      <c r="E1523" s="5"/>
      <c r="F1523" s="3" t="str">
        <f t="shared" si="73"/>
        <v/>
      </c>
      <c r="G1523" s="4"/>
      <c r="H1523" s="3" t="str">
        <f t="shared" si="74"/>
        <v/>
      </c>
      <c r="I1523" s="5"/>
      <c r="J1523" s="5"/>
      <c r="K1523" s="6"/>
      <c r="L1523" s="6"/>
      <c r="M1523" s="7" t="str">
        <f t="shared" si="75"/>
        <v/>
      </c>
      <c r="N1523" s="6"/>
      <c r="O1523" s="5"/>
    </row>
    <row r="1524" spans="1:15" x14ac:dyDescent="0.2">
      <c r="A1524" s="3" t="str">
        <f>IF($B1524="","",COUNTA($B$9:$B1524))</f>
        <v/>
      </c>
      <c r="B1524" s="4"/>
      <c r="C1524" s="4"/>
      <c r="D1524" s="4"/>
      <c r="E1524" s="5"/>
      <c r="F1524" s="3" t="str">
        <f t="shared" si="73"/>
        <v/>
      </c>
      <c r="G1524" s="4"/>
      <c r="H1524" s="3" t="str">
        <f t="shared" si="74"/>
        <v/>
      </c>
      <c r="I1524" s="5"/>
      <c r="J1524" s="5"/>
      <c r="K1524" s="6"/>
      <c r="L1524" s="6"/>
      <c r="M1524" s="7" t="str">
        <f t="shared" si="75"/>
        <v/>
      </c>
      <c r="N1524" s="6"/>
      <c r="O1524" s="5"/>
    </row>
    <row r="1525" spans="1:15" x14ac:dyDescent="0.2">
      <c r="A1525" s="3" t="str">
        <f>IF($B1525="","",COUNTA($B$9:$B1525))</f>
        <v/>
      </c>
      <c r="B1525" s="4"/>
      <c r="C1525" s="4"/>
      <c r="D1525" s="4"/>
      <c r="E1525" s="5"/>
      <c r="F1525" s="3" t="str">
        <f t="shared" si="73"/>
        <v/>
      </c>
      <c r="G1525" s="4"/>
      <c r="H1525" s="3" t="str">
        <f t="shared" si="74"/>
        <v/>
      </c>
      <c r="I1525" s="5"/>
      <c r="J1525" s="5"/>
      <c r="K1525" s="6"/>
      <c r="L1525" s="6"/>
      <c r="M1525" s="7" t="str">
        <f t="shared" si="75"/>
        <v/>
      </c>
      <c r="N1525" s="6"/>
      <c r="O1525" s="5"/>
    </row>
    <row r="1526" spans="1:15" x14ac:dyDescent="0.2">
      <c r="A1526" s="3" t="str">
        <f>IF($B1526="","",COUNTA($B$9:$B1526))</f>
        <v/>
      </c>
      <c r="B1526" s="4"/>
      <c r="C1526" s="4"/>
      <c r="D1526" s="4"/>
      <c r="E1526" s="5"/>
      <c r="F1526" s="3" t="str">
        <f t="shared" si="73"/>
        <v/>
      </c>
      <c r="G1526" s="4"/>
      <c r="H1526" s="3" t="str">
        <f t="shared" si="74"/>
        <v/>
      </c>
      <c r="I1526" s="5"/>
      <c r="J1526" s="5"/>
      <c r="K1526" s="6"/>
      <c r="L1526" s="6"/>
      <c r="M1526" s="7" t="str">
        <f t="shared" si="75"/>
        <v/>
      </c>
      <c r="N1526" s="6"/>
      <c r="O1526" s="5"/>
    </row>
    <row r="1527" spans="1:15" x14ac:dyDescent="0.2">
      <c r="A1527" s="3" t="str">
        <f>IF($B1527="","",COUNTA($B$9:$B1527))</f>
        <v/>
      </c>
      <c r="B1527" s="4"/>
      <c r="C1527" s="4"/>
      <c r="D1527" s="4"/>
      <c r="E1527" s="5"/>
      <c r="F1527" s="3" t="str">
        <f t="shared" si="73"/>
        <v/>
      </c>
      <c r="G1527" s="4"/>
      <c r="H1527" s="3" t="str">
        <f t="shared" si="74"/>
        <v/>
      </c>
      <c r="I1527" s="5"/>
      <c r="J1527" s="5"/>
      <c r="K1527" s="6"/>
      <c r="L1527" s="6"/>
      <c r="M1527" s="7" t="str">
        <f t="shared" si="75"/>
        <v/>
      </c>
      <c r="N1527" s="6"/>
      <c r="O1527" s="5"/>
    </row>
    <row r="1528" spans="1:15" x14ac:dyDescent="0.2">
      <c r="A1528" s="3" t="str">
        <f>IF($B1528="","",COUNTA($B$9:$B1528))</f>
        <v/>
      </c>
      <c r="B1528" s="4"/>
      <c r="C1528" s="4"/>
      <c r="D1528" s="4"/>
      <c r="E1528" s="5"/>
      <c r="F1528" s="3" t="str">
        <f t="shared" si="73"/>
        <v/>
      </c>
      <c r="G1528" s="4"/>
      <c r="H1528" s="3" t="str">
        <f t="shared" si="74"/>
        <v/>
      </c>
      <c r="I1528" s="5"/>
      <c r="J1528" s="5"/>
      <c r="K1528" s="6"/>
      <c r="L1528" s="6"/>
      <c r="M1528" s="7" t="str">
        <f t="shared" si="75"/>
        <v/>
      </c>
      <c r="N1528" s="6"/>
      <c r="O1528" s="5"/>
    </row>
    <row r="1529" spans="1:15" x14ac:dyDescent="0.2">
      <c r="A1529" s="3" t="str">
        <f>IF($B1529="","",COUNTA($B$9:$B1529))</f>
        <v/>
      </c>
      <c r="B1529" s="4"/>
      <c r="C1529" s="4"/>
      <c r="D1529" s="4"/>
      <c r="E1529" s="5"/>
      <c r="F1529" s="3" t="str">
        <f t="shared" si="73"/>
        <v/>
      </c>
      <c r="G1529" s="4"/>
      <c r="H1529" s="3" t="str">
        <f t="shared" si="74"/>
        <v/>
      </c>
      <c r="I1529" s="5"/>
      <c r="J1529" s="5"/>
      <c r="K1529" s="6"/>
      <c r="L1529" s="6"/>
      <c r="M1529" s="7" t="str">
        <f t="shared" si="75"/>
        <v/>
      </c>
      <c r="N1529" s="6"/>
      <c r="O1529" s="5"/>
    </row>
    <row r="1530" spans="1:15" x14ac:dyDescent="0.2">
      <c r="A1530" s="3" t="str">
        <f>IF($B1530="","",COUNTA($B$9:$B1530))</f>
        <v/>
      </c>
      <c r="B1530" s="4"/>
      <c r="C1530" s="4"/>
      <c r="D1530" s="4"/>
      <c r="E1530" s="5"/>
      <c r="F1530" s="3" t="str">
        <f t="shared" si="73"/>
        <v/>
      </c>
      <c r="G1530" s="4"/>
      <c r="H1530" s="3" t="str">
        <f t="shared" si="74"/>
        <v/>
      </c>
      <c r="I1530" s="5"/>
      <c r="J1530" s="5"/>
      <c r="K1530" s="6"/>
      <c r="L1530" s="6"/>
      <c r="M1530" s="7" t="str">
        <f t="shared" si="75"/>
        <v/>
      </c>
      <c r="N1530" s="6"/>
      <c r="O1530" s="5"/>
    </row>
    <row r="1531" spans="1:15" x14ac:dyDescent="0.2">
      <c r="A1531" s="3" t="str">
        <f>IF($B1531="","",COUNTA($B$9:$B1531))</f>
        <v/>
      </c>
      <c r="B1531" s="4"/>
      <c r="C1531" s="4"/>
      <c r="D1531" s="4"/>
      <c r="E1531" s="5"/>
      <c r="F1531" s="3" t="str">
        <f t="shared" si="73"/>
        <v/>
      </c>
      <c r="G1531" s="4"/>
      <c r="H1531" s="3" t="str">
        <f t="shared" si="74"/>
        <v/>
      </c>
      <c r="I1531" s="5"/>
      <c r="J1531" s="5"/>
      <c r="K1531" s="6"/>
      <c r="L1531" s="6"/>
      <c r="M1531" s="7" t="str">
        <f t="shared" si="75"/>
        <v/>
      </c>
      <c r="N1531" s="6"/>
      <c r="O1531" s="5"/>
    </row>
    <row r="1532" spans="1:15" x14ac:dyDescent="0.2">
      <c r="A1532" s="3" t="str">
        <f>IF($B1532="","",COUNTA($B$9:$B1532))</f>
        <v/>
      </c>
      <c r="B1532" s="4"/>
      <c r="C1532" s="4"/>
      <c r="D1532" s="4"/>
      <c r="E1532" s="5"/>
      <c r="F1532" s="3" t="str">
        <f t="shared" si="73"/>
        <v/>
      </c>
      <c r="G1532" s="4"/>
      <c r="H1532" s="3" t="str">
        <f t="shared" si="74"/>
        <v/>
      </c>
      <c r="I1532" s="5"/>
      <c r="J1532" s="5"/>
      <c r="K1532" s="6"/>
      <c r="L1532" s="6"/>
      <c r="M1532" s="7" t="str">
        <f t="shared" si="75"/>
        <v/>
      </c>
      <c r="N1532" s="6"/>
      <c r="O1532" s="5"/>
    </row>
    <row r="1533" spans="1:15" x14ac:dyDescent="0.2">
      <c r="A1533" s="3" t="str">
        <f>IF($B1533="","",COUNTA($B$9:$B1533))</f>
        <v/>
      </c>
      <c r="B1533" s="4"/>
      <c r="C1533" s="4"/>
      <c r="D1533" s="4"/>
      <c r="E1533" s="5"/>
      <c r="F1533" s="3" t="str">
        <f t="shared" si="73"/>
        <v/>
      </c>
      <c r="G1533" s="4"/>
      <c r="H1533" s="3" t="str">
        <f t="shared" si="74"/>
        <v/>
      </c>
      <c r="I1533" s="5"/>
      <c r="J1533" s="5"/>
      <c r="K1533" s="6"/>
      <c r="L1533" s="6"/>
      <c r="M1533" s="7" t="str">
        <f t="shared" si="75"/>
        <v/>
      </c>
      <c r="N1533" s="6"/>
      <c r="O1533" s="5"/>
    </row>
    <row r="1534" spans="1:15" x14ac:dyDescent="0.2">
      <c r="A1534" s="3" t="str">
        <f>IF($B1534="","",COUNTA($B$9:$B1534))</f>
        <v/>
      </c>
      <c r="B1534" s="4"/>
      <c r="C1534" s="4"/>
      <c r="D1534" s="4"/>
      <c r="E1534" s="5"/>
      <c r="F1534" s="3" t="str">
        <f t="shared" si="73"/>
        <v/>
      </c>
      <c r="G1534" s="4"/>
      <c r="H1534" s="3" t="str">
        <f t="shared" si="74"/>
        <v/>
      </c>
      <c r="I1534" s="5"/>
      <c r="J1534" s="5"/>
      <c r="K1534" s="6"/>
      <c r="L1534" s="6"/>
      <c r="M1534" s="7" t="str">
        <f t="shared" si="75"/>
        <v/>
      </c>
      <c r="N1534" s="6"/>
      <c r="O1534" s="5"/>
    </row>
    <row r="1535" spans="1:15" x14ac:dyDescent="0.2">
      <c r="A1535" s="3" t="str">
        <f>IF($B1535="","",COUNTA($B$9:$B1535))</f>
        <v/>
      </c>
      <c r="B1535" s="4"/>
      <c r="C1535" s="4"/>
      <c r="D1535" s="4"/>
      <c r="E1535" s="5"/>
      <c r="F1535" s="3" t="str">
        <f t="shared" si="73"/>
        <v/>
      </c>
      <c r="G1535" s="4"/>
      <c r="H1535" s="3" t="str">
        <f t="shared" si="74"/>
        <v/>
      </c>
      <c r="I1535" s="5"/>
      <c r="J1535" s="5"/>
      <c r="K1535" s="6"/>
      <c r="L1535" s="6"/>
      <c r="M1535" s="7" t="str">
        <f t="shared" si="75"/>
        <v/>
      </c>
      <c r="N1535" s="6"/>
      <c r="O1535" s="5"/>
    </row>
    <row r="1536" spans="1:15" x14ac:dyDescent="0.2">
      <c r="A1536" s="3" t="str">
        <f>IF($B1536="","",COUNTA($B$9:$B1536))</f>
        <v/>
      </c>
      <c r="B1536" s="4"/>
      <c r="C1536" s="4"/>
      <c r="D1536" s="4"/>
      <c r="E1536" s="5"/>
      <c r="F1536" s="3" t="str">
        <f t="shared" si="73"/>
        <v/>
      </c>
      <c r="G1536" s="4"/>
      <c r="H1536" s="3" t="str">
        <f t="shared" si="74"/>
        <v/>
      </c>
      <c r="I1536" s="5"/>
      <c r="J1536" s="5"/>
      <c r="K1536" s="6"/>
      <c r="L1536" s="6"/>
      <c r="M1536" s="7" t="str">
        <f t="shared" si="75"/>
        <v/>
      </c>
      <c r="N1536" s="6"/>
      <c r="O1536" s="5"/>
    </row>
    <row r="1537" spans="1:15" x14ac:dyDescent="0.2">
      <c r="A1537" s="3" t="str">
        <f>IF($B1537="","",COUNTA($B$9:$B1537))</f>
        <v/>
      </c>
      <c r="B1537" s="4"/>
      <c r="C1537" s="4"/>
      <c r="D1537" s="4"/>
      <c r="E1537" s="5"/>
      <c r="F1537" s="3" t="str">
        <f t="shared" si="73"/>
        <v/>
      </c>
      <c r="G1537" s="4"/>
      <c r="H1537" s="3" t="str">
        <f t="shared" si="74"/>
        <v/>
      </c>
      <c r="I1537" s="5"/>
      <c r="J1537" s="5"/>
      <c r="K1537" s="6"/>
      <c r="L1537" s="6"/>
      <c r="M1537" s="7" t="str">
        <f t="shared" si="75"/>
        <v/>
      </c>
      <c r="N1537" s="6"/>
      <c r="O1537" s="5"/>
    </row>
    <row r="1538" spans="1:15" x14ac:dyDescent="0.2">
      <c r="A1538" s="3" t="str">
        <f>IF($B1538="","",COUNTA($B$9:$B1538))</f>
        <v/>
      </c>
      <c r="B1538" s="4"/>
      <c r="C1538" s="4"/>
      <c r="D1538" s="4"/>
      <c r="E1538" s="5"/>
      <c r="F1538" s="3" t="str">
        <f t="shared" si="73"/>
        <v/>
      </c>
      <c r="G1538" s="4"/>
      <c r="H1538" s="3" t="str">
        <f t="shared" si="74"/>
        <v/>
      </c>
      <c r="I1538" s="5"/>
      <c r="J1538" s="5"/>
      <c r="K1538" s="6"/>
      <c r="L1538" s="6"/>
      <c r="M1538" s="7" t="str">
        <f t="shared" si="75"/>
        <v/>
      </c>
      <c r="N1538" s="6"/>
      <c r="O1538" s="5"/>
    </row>
    <row r="1539" spans="1:15" x14ac:dyDescent="0.2">
      <c r="A1539" s="3" t="str">
        <f>IF($B1539="","",COUNTA($B$9:$B1539))</f>
        <v/>
      </c>
      <c r="B1539" s="4"/>
      <c r="C1539" s="4"/>
      <c r="D1539" s="4"/>
      <c r="E1539" s="5"/>
      <c r="F1539" s="3" t="str">
        <f t="shared" si="73"/>
        <v/>
      </c>
      <c r="G1539" s="4"/>
      <c r="H1539" s="3" t="str">
        <f t="shared" si="74"/>
        <v/>
      </c>
      <c r="I1539" s="5"/>
      <c r="J1539" s="5"/>
      <c r="K1539" s="6"/>
      <c r="L1539" s="6"/>
      <c r="M1539" s="7" t="str">
        <f t="shared" si="75"/>
        <v/>
      </c>
      <c r="N1539" s="6"/>
      <c r="O1539" s="5"/>
    </row>
    <row r="1540" spans="1:15" x14ac:dyDescent="0.2">
      <c r="A1540" s="3" t="str">
        <f>IF($B1540="","",COUNTA($B$9:$B1540))</f>
        <v/>
      </c>
      <c r="B1540" s="4"/>
      <c r="C1540" s="4"/>
      <c r="D1540" s="4"/>
      <c r="E1540" s="5"/>
      <c r="F1540" s="3" t="str">
        <f t="shared" si="73"/>
        <v/>
      </c>
      <c r="G1540" s="4"/>
      <c r="H1540" s="3" t="str">
        <f t="shared" si="74"/>
        <v/>
      </c>
      <c r="I1540" s="5"/>
      <c r="J1540" s="5"/>
      <c r="K1540" s="6"/>
      <c r="L1540" s="6"/>
      <c r="M1540" s="7" t="str">
        <f t="shared" si="75"/>
        <v/>
      </c>
      <c r="N1540" s="6"/>
      <c r="O1540" s="5"/>
    </row>
    <row r="1541" spans="1:15" x14ac:dyDescent="0.2">
      <c r="A1541" s="3" t="str">
        <f>IF($B1541="","",COUNTA($B$9:$B1541))</f>
        <v/>
      </c>
      <c r="B1541" s="4"/>
      <c r="C1541" s="4"/>
      <c r="D1541" s="4"/>
      <c r="E1541" s="5"/>
      <c r="F1541" s="3" t="str">
        <f t="shared" si="73"/>
        <v/>
      </c>
      <c r="G1541" s="4"/>
      <c r="H1541" s="3" t="str">
        <f t="shared" si="74"/>
        <v/>
      </c>
      <c r="I1541" s="5"/>
      <c r="J1541" s="5"/>
      <c r="K1541" s="6"/>
      <c r="L1541" s="6"/>
      <c r="M1541" s="7" t="str">
        <f t="shared" si="75"/>
        <v/>
      </c>
      <c r="N1541" s="6"/>
      <c r="O1541" s="5"/>
    </row>
    <row r="1542" spans="1:15" x14ac:dyDescent="0.2">
      <c r="A1542" s="3" t="str">
        <f>IF($B1542="","",COUNTA($B$9:$B1542))</f>
        <v/>
      </c>
      <c r="B1542" s="4"/>
      <c r="C1542" s="4"/>
      <c r="D1542" s="4"/>
      <c r="E1542" s="5"/>
      <c r="F1542" s="3" t="str">
        <f t="shared" si="73"/>
        <v/>
      </c>
      <c r="G1542" s="4"/>
      <c r="H1542" s="3" t="str">
        <f t="shared" si="74"/>
        <v/>
      </c>
      <c r="I1542" s="5"/>
      <c r="J1542" s="5"/>
      <c r="K1542" s="6"/>
      <c r="L1542" s="6"/>
      <c r="M1542" s="7" t="str">
        <f t="shared" si="75"/>
        <v/>
      </c>
      <c r="N1542" s="6"/>
      <c r="O1542" s="5"/>
    </row>
    <row r="1543" spans="1:15" x14ac:dyDescent="0.2">
      <c r="A1543" s="3" t="str">
        <f>IF($B1543="","",COUNTA($B$9:$B1543))</f>
        <v/>
      </c>
      <c r="B1543" s="4"/>
      <c r="C1543" s="4"/>
      <c r="D1543" s="4"/>
      <c r="E1543" s="5"/>
      <c r="F1543" s="3" t="str">
        <f t="shared" si="73"/>
        <v/>
      </c>
      <c r="G1543" s="4"/>
      <c r="H1543" s="3" t="str">
        <f t="shared" si="74"/>
        <v/>
      </c>
      <c r="I1543" s="5"/>
      <c r="J1543" s="5"/>
      <c r="K1543" s="6"/>
      <c r="L1543" s="6"/>
      <c r="M1543" s="7" t="str">
        <f t="shared" si="75"/>
        <v/>
      </c>
      <c r="N1543" s="6"/>
      <c r="O1543" s="5"/>
    </row>
    <row r="1544" spans="1:15" x14ac:dyDescent="0.2">
      <c r="A1544" s="3" t="str">
        <f>IF($B1544="","",COUNTA($B$9:$B1544))</f>
        <v/>
      </c>
      <c r="B1544" s="4"/>
      <c r="C1544" s="4"/>
      <c r="D1544" s="4"/>
      <c r="E1544" s="5"/>
      <c r="F1544" s="3" t="str">
        <f t="shared" ref="F1544:F1607" si="76">IF($E1544="","",IFERROR(VLOOKUP($E1544,OpTbl,2,0),""))</f>
        <v/>
      </c>
      <c r="G1544" s="4"/>
      <c r="H1544" s="3" t="str">
        <f t="shared" ref="H1544:H1607" si="77">IF($G1544="","",IFERROR(IF(VLOOKUP($G1544,AcctTbl,4,0)="","(بدون نام)",VLOOKUP($G1544,AcctTbl,4,0)),"کد ناشناخته"))</f>
        <v/>
      </c>
      <c r="I1544" s="5"/>
      <c r="J1544" s="5"/>
      <c r="K1544" s="6"/>
      <c r="L1544" s="6"/>
      <c r="M1544" s="7" t="str">
        <f t="shared" ref="M1544:M1607" si="78">IF(OR($B1544="",$K1544=""),"",($K1544-IF($L1544="",0,$L1544)*IFERROR(VLOOKUP("P01",ParamTbl,3,0),1.5))*(1-IF(IFERROR(VLOOKUP($E1544,OpTbl,3,0),"")="خرید",IFERROR(VLOOKUP("P02",ParamTbl,3,0),1),0)/100))</f>
        <v/>
      </c>
      <c r="N1544" s="6"/>
      <c r="O1544" s="5"/>
    </row>
    <row r="1545" spans="1:15" x14ac:dyDescent="0.2">
      <c r="A1545" s="3" t="str">
        <f>IF($B1545="","",COUNTA($B$9:$B1545))</f>
        <v/>
      </c>
      <c r="B1545" s="4"/>
      <c r="C1545" s="4"/>
      <c r="D1545" s="4"/>
      <c r="E1545" s="5"/>
      <c r="F1545" s="3" t="str">
        <f t="shared" si="76"/>
        <v/>
      </c>
      <c r="G1545" s="4"/>
      <c r="H1545" s="3" t="str">
        <f t="shared" si="77"/>
        <v/>
      </c>
      <c r="I1545" s="5"/>
      <c r="J1545" s="5"/>
      <c r="K1545" s="6"/>
      <c r="L1545" s="6"/>
      <c r="M1545" s="7" t="str">
        <f t="shared" si="78"/>
        <v/>
      </c>
      <c r="N1545" s="6"/>
      <c r="O1545" s="5"/>
    </row>
    <row r="1546" spans="1:15" x14ac:dyDescent="0.2">
      <c r="A1546" s="3" t="str">
        <f>IF($B1546="","",COUNTA($B$9:$B1546))</f>
        <v/>
      </c>
      <c r="B1546" s="4"/>
      <c r="C1546" s="4"/>
      <c r="D1546" s="4"/>
      <c r="E1546" s="5"/>
      <c r="F1546" s="3" t="str">
        <f t="shared" si="76"/>
        <v/>
      </c>
      <c r="G1546" s="4"/>
      <c r="H1546" s="3" t="str">
        <f t="shared" si="77"/>
        <v/>
      </c>
      <c r="I1546" s="5"/>
      <c r="J1546" s="5"/>
      <c r="K1546" s="6"/>
      <c r="L1546" s="6"/>
      <c r="M1546" s="7" t="str">
        <f t="shared" si="78"/>
        <v/>
      </c>
      <c r="N1546" s="6"/>
      <c r="O1546" s="5"/>
    </row>
    <row r="1547" spans="1:15" x14ac:dyDescent="0.2">
      <c r="A1547" s="3" t="str">
        <f>IF($B1547="","",COUNTA($B$9:$B1547))</f>
        <v/>
      </c>
      <c r="B1547" s="4"/>
      <c r="C1547" s="4"/>
      <c r="D1547" s="4"/>
      <c r="E1547" s="5"/>
      <c r="F1547" s="3" t="str">
        <f t="shared" si="76"/>
        <v/>
      </c>
      <c r="G1547" s="4"/>
      <c r="H1547" s="3" t="str">
        <f t="shared" si="77"/>
        <v/>
      </c>
      <c r="I1547" s="5"/>
      <c r="J1547" s="5"/>
      <c r="K1547" s="6"/>
      <c r="L1547" s="6"/>
      <c r="M1547" s="7" t="str">
        <f t="shared" si="78"/>
        <v/>
      </c>
      <c r="N1547" s="6"/>
      <c r="O1547" s="5"/>
    </row>
    <row r="1548" spans="1:15" x14ac:dyDescent="0.2">
      <c r="A1548" s="3" t="str">
        <f>IF($B1548="","",COUNTA($B$9:$B1548))</f>
        <v/>
      </c>
      <c r="B1548" s="4"/>
      <c r="C1548" s="4"/>
      <c r="D1548" s="4"/>
      <c r="E1548" s="5"/>
      <c r="F1548" s="3" t="str">
        <f t="shared" si="76"/>
        <v/>
      </c>
      <c r="G1548" s="4"/>
      <c r="H1548" s="3" t="str">
        <f t="shared" si="77"/>
        <v/>
      </c>
      <c r="I1548" s="5"/>
      <c r="J1548" s="5"/>
      <c r="K1548" s="6"/>
      <c r="L1548" s="6"/>
      <c r="M1548" s="7" t="str">
        <f t="shared" si="78"/>
        <v/>
      </c>
      <c r="N1548" s="6"/>
      <c r="O1548" s="5"/>
    </row>
    <row r="1549" spans="1:15" x14ac:dyDescent="0.2">
      <c r="A1549" s="3" t="str">
        <f>IF($B1549="","",COUNTA($B$9:$B1549))</f>
        <v/>
      </c>
      <c r="B1549" s="4"/>
      <c r="C1549" s="4"/>
      <c r="D1549" s="4"/>
      <c r="E1549" s="5"/>
      <c r="F1549" s="3" t="str">
        <f t="shared" si="76"/>
        <v/>
      </c>
      <c r="G1549" s="4"/>
      <c r="H1549" s="3" t="str">
        <f t="shared" si="77"/>
        <v/>
      </c>
      <c r="I1549" s="5"/>
      <c r="J1549" s="5"/>
      <c r="K1549" s="6"/>
      <c r="L1549" s="6"/>
      <c r="M1549" s="7" t="str">
        <f t="shared" si="78"/>
        <v/>
      </c>
      <c r="N1549" s="6"/>
      <c r="O1549" s="5"/>
    </row>
    <row r="1550" spans="1:15" x14ac:dyDescent="0.2">
      <c r="A1550" s="3" t="str">
        <f>IF($B1550="","",COUNTA($B$9:$B1550))</f>
        <v/>
      </c>
      <c r="B1550" s="4"/>
      <c r="C1550" s="4"/>
      <c r="D1550" s="4"/>
      <c r="E1550" s="5"/>
      <c r="F1550" s="3" t="str">
        <f t="shared" si="76"/>
        <v/>
      </c>
      <c r="G1550" s="4"/>
      <c r="H1550" s="3" t="str">
        <f t="shared" si="77"/>
        <v/>
      </c>
      <c r="I1550" s="5"/>
      <c r="J1550" s="5"/>
      <c r="K1550" s="6"/>
      <c r="L1550" s="6"/>
      <c r="M1550" s="7" t="str">
        <f t="shared" si="78"/>
        <v/>
      </c>
      <c r="N1550" s="6"/>
      <c r="O1550" s="5"/>
    </row>
    <row r="1551" spans="1:15" x14ac:dyDescent="0.2">
      <c r="A1551" s="3" t="str">
        <f>IF($B1551="","",COUNTA($B$9:$B1551))</f>
        <v/>
      </c>
      <c r="B1551" s="4"/>
      <c r="C1551" s="4"/>
      <c r="D1551" s="4"/>
      <c r="E1551" s="5"/>
      <c r="F1551" s="3" t="str">
        <f t="shared" si="76"/>
        <v/>
      </c>
      <c r="G1551" s="4"/>
      <c r="H1551" s="3" t="str">
        <f t="shared" si="77"/>
        <v/>
      </c>
      <c r="I1551" s="5"/>
      <c r="J1551" s="5"/>
      <c r="K1551" s="6"/>
      <c r="L1551" s="6"/>
      <c r="M1551" s="7" t="str">
        <f t="shared" si="78"/>
        <v/>
      </c>
      <c r="N1551" s="6"/>
      <c r="O1551" s="5"/>
    </row>
    <row r="1552" spans="1:15" x14ac:dyDescent="0.2">
      <c r="A1552" s="3" t="str">
        <f>IF($B1552="","",COUNTA($B$9:$B1552))</f>
        <v/>
      </c>
      <c r="B1552" s="4"/>
      <c r="C1552" s="4"/>
      <c r="D1552" s="4"/>
      <c r="E1552" s="5"/>
      <c r="F1552" s="3" t="str">
        <f t="shared" si="76"/>
        <v/>
      </c>
      <c r="G1552" s="4"/>
      <c r="H1552" s="3" t="str">
        <f t="shared" si="77"/>
        <v/>
      </c>
      <c r="I1552" s="5"/>
      <c r="J1552" s="5"/>
      <c r="K1552" s="6"/>
      <c r="L1552" s="6"/>
      <c r="M1552" s="7" t="str">
        <f t="shared" si="78"/>
        <v/>
      </c>
      <c r="N1552" s="6"/>
      <c r="O1552" s="5"/>
    </row>
    <row r="1553" spans="1:15" x14ac:dyDescent="0.2">
      <c r="A1553" s="3" t="str">
        <f>IF($B1553="","",COUNTA($B$9:$B1553))</f>
        <v/>
      </c>
      <c r="B1553" s="4"/>
      <c r="C1553" s="4"/>
      <c r="D1553" s="4"/>
      <c r="E1553" s="5"/>
      <c r="F1553" s="3" t="str">
        <f t="shared" si="76"/>
        <v/>
      </c>
      <c r="G1553" s="4"/>
      <c r="H1553" s="3" t="str">
        <f t="shared" si="77"/>
        <v/>
      </c>
      <c r="I1553" s="5"/>
      <c r="J1553" s="5"/>
      <c r="K1553" s="6"/>
      <c r="L1553" s="6"/>
      <c r="M1553" s="7" t="str">
        <f t="shared" si="78"/>
        <v/>
      </c>
      <c r="N1553" s="6"/>
      <c r="O1553" s="5"/>
    </row>
    <row r="1554" spans="1:15" x14ac:dyDescent="0.2">
      <c r="A1554" s="3" t="str">
        <f>IF($B1554="","",COUNTA($B$9:$B1554))</f>
        <v/>
      </c>
      <c r="B1554" s="4"/>
      <c r="C1554" s="4"/>
      <c r="D1554" s="4"/>
      <c r="E1554" s="5"/>
      <c r="F1554" s="3" t="str">
        <f t="shared" si="76"/>
        <v/>
      </c>
      <c r="G1554" s="4"/>
      <c r="H1554" s="3" t="str">
        <f t="shared" si="77"/>
        <v/>
      </c>
      <c r="I1554" s="5"/>
      <c r="J1554" s="5"/>
      <c r="K1554" s="6"/>
      <c r="L1554" s="6"/>
      <c r="M1554" s="7" t="str">
        <f t="shared" si="78"/>
        <v/>
      </c>
      <c r="N1554" s="6"/>
      <c r="O1554" s="5"/>
    </row>
    <row r="1555" spans="1:15" x14ac:dyDescent="0.2">
      <c r="A1555" s="3" t="str">
        <f>IF($B1555="","",COUNTA($B$9:$B1555))</f>
        <v/>
      </c>
      <c r="B1555" s="4"/>
      <c r="C1555" s="4"/>
      <c r="D1555" s="4"/>
      <c r="E1555" s="5"/>
      <c r="F1555" s="3" t="str">
        <f t="shared" si="76"/>
        <v/>
      </c>
      <c r="G1555" s="4"/>
      <c r="H1555" s="3" t="str">
        <f t="shared" si="77"/>
        <v/>
      </c>
      <c r="I1555" s="5"/>
      <c r="J1555" s="5"/>
      <c r="K1555" s="6"/>
      <c r="L1555" s="6"/>
      <c r="M1555" s="7" t="str">
        <f t="shared" si="78"/>
        <v/>
      </c>
      <c r="N1555" s="6"/>
      <c r="O1555" s="5"/>
    </row>
    <row r="1556" spans="1:15" x14ac:dyDescent="0.2">
      <c r="A1556" s="3" t="str">
        <f>IF($B1556="","",COUNTA($B$9:$B1556))</f>
        <v/>
      </c>
      <c r="B1556" s="4"/>
      <c r="C1556" s="4"/>
      <c r="D1556" s="4"/>
      <c r="E1556" s="5"/>
      <c r="F1556" s="3" t="str">
        <f t="shared" si="76"/>
        <v/>
      </c>
      <c r="G1556" s="4"/>
      <c r="H1556" s="3" t="str">
        <f t="shared" si="77"/>
        <v/>
      </c>
      <c r="I1556" s="5"/>
      <c r="J1556" s="5"/>
      <c r="K1556" s="6"/>
      <c r="L1556" s="6"/>
      <c r="M1556" s="7" t="str">
        <f t="shared" si="78"/>
        <v/>
      </c>
      <c r="N1556" s="6"/>
      <c r="O1556" s="5"/>
    </row>
    <row r="1557" spans="1:15" x14ac:dyDescent="0.2">
      <c r="A1557" s="3" t="str">
        <f>IF($B1557="","",COUNTA($B$9:$B1557))</f>
        <v/>
      </c>
      <c r="B1557" s="4"/>
      <c r="C1557" s="4"/>
      <c r="D1557" s="4"/>
      <c r="E1557" s="5"/>
      <c r="F1557" s="3" t="str">
        <f t="shared" si="76"/>
        <v/>
      </c>
      <c r="G1557" s="4"/>
      <c r="H1557" s="3" t="str">
        <f t="shared" si="77"/>
        <v/>
      </c>
      <c r="I1557" s="5"/>
      <c r="J1557" s="5"/>
      <c r="K1557" s="6"/>
      <c r="L1557" s="6"/>
      <c r="M1557" s="7" t="str">
        <f t="shared" si="78"/>
        <v/>
      </c>
      <c r="N1557" s="6"/>
      <c r="O1557" s="5"/>
    </row>
    <row r="1558" spans="1:15" x14ac:dyDescent="0.2">
      <c r="A1558" s="3" t="str">
        <f>IF($B1558="","",COUNTA($B$9:$B1558))</f>
        <v/>
      </c>
      <c r="B1558" s="4"/>
      <c r="C1558" s="4"/>
      <c r="D1558" s="4"/>
      <c r="E1558" s="5"/>
      <c r="F1558" s="3" t="str">
        <f t="shared" si="76"/>
        <v/>
      </c>
      <c r="G1558" s="4"/>
      <c r="H1558" s="3" t="str">
        <f t="shared" si="77"/>
        <v/>
      </c>
      <c r="I1558" s="5"/>
      <c r="J1558" s="5"/>
      <c r="K1558" s="6"/>
      <c r="L1558" s="6"/>
      <c r="M1558" s="7" t="str">
        <f t="shared" si="78"/>
        <v/>
      </c>
      <c r="N1558" s="6"/>
      <c r="O1558" s="5"/>
    </row>
    <row r="1559" spans="1:15" x14ac:dyDescent="0.2">
      <c r="A1559" s="3" t="str">
        <f>IF($B1559="","",COUNTA($B$9:$B1559))</f>
        <v/>
      </c>
      <c r="B1559" s="4"/>
      <c r="C1559" s="4"/>
      <c r="D1559" s="4"/>
      <c r="E1559" s="5"/>
      <c r="F1559" s="3" t="str">
        <f t="shared" si="76"/>
        <v/>
      </c>
      <c r="G1559" s="4"/>
      <c r="H1559" s="3" t="str">
        <f t="shared" si="77"/>
        <v/>
      </c>
      <c r="I1559" s="5"/>
      <c r="J1559" s="5"/>
      <c r="K1559" s="6"/>
      <c r="L1559" s="6"/>
      <c r="M1559" s="7" t="str">
        <f t="shared" si="78"/>
        <v/>
      </c>
      <c r="N1559" s="6"/>
      <c r="O1559" s="5"/>
    </row>
    <row r="1560" spans="1:15" x14ac:dyDescent="0.2">
      <c r="A1560" s="3" t="str">
        <f>IF($B1560="","",COUNTA($B$9:$B1560))</f>
        <v/>
      </c>
      <c r="B1560" s="4"/>
      <c r="C1560" s="4"/>
      <c r="D1560" s="4"/>
      <c r="E1560" s="5"/>
      <c r="F1560" s="3" t="str">
        <f t="shared" si="76"/>
        <v/>
      </c>
      <c r="G1560" s="4"/>
      <c r="H1560" s="3" t="str">
        <f t="shared" si="77"/>
        <v/>
      </c>
      <c r="I1560" s="5"/>
      <c r="J1560" s="5"/>
      <c r="K1560" s="6"/>
      <c r="L1560" s="6"/>
      <c r="M1560" s="7" t="str">
        <f t="shared" si="78"/>
        <v/>
      </c>
      <c r="N1560" s="6"/>
      <c r="O1560" s="5"/>
    </row>
    <row r="1561" spans="1:15" x14ac:dyDescent="0.2">
      <c r="A1561" s="3" t="str">
        <f>IF($B1561="","",COUNTA($B$9:$B1561))</f>
        <v/>
      </c>
      <c r="B1561" s="4"/>
      <c r="C1561" s="4"/>
      <c r="D1561" s="4"/>
      <c r="E1561" s="5"/>
      <c r="F1561" s="3" t="str">
        <f t="shared" si="76"/>
        <v/>
      </c>
      <c r="G1561" s="4"/>
      <c r="H1561" s="3" t="str">
        <f t="shared" si="77"/>
        <v/>
      </c>
      <c r="I1561" s="5"/>
      <c r="J1561" s="5"/>
      <c r="K1561" s="6"/>
      <c r="L1561" s="6"/>
      <c r="M1561" s="7" t="str">
        <f t="shared" si="78"/>
        <v/>
      </c>
      <c r="N1561" s="6"/>
      <c r="O1561" s="5"/>
    </row>
    <row r="1562" spans="1:15" x14ac:dyDescent="0.2">
      <c r="A1562" s="3" t="str">
        <f>IF($B1562="","",COUNTA($B$9:$B1562))</f>
        <v/>
      </c>
      <c r="B1562" s="4"/>
      <c r="C1562" s="4"/>
      <c r="D1562" s="4"/>
      <c r="E1562" s="5"/>
      <c r="F1562" s="3" t="str">
        <f t="shared" si="76"/>
        <v/>
      </c>
      <c r="G1562" s="4"/>
      <c r="H1562" s="3" t="str">
        <f t="shared" si="77"/>
        <v/>
      </c>
      <c r="I1562" s="5"/>
      <c r="J1562" s="5"/>
      <c r="K1562" s="6"/>
      <c r="L1562" s="6"/>
      <c r="M1562" s="7" t="str">
        <f t="shared" si="78"/>
        <v/>
      </c>
      <c r="N1562" s="6"/>
      <c r="O1562" s="5"/>
    </row>
    <row r="1563" spans="1:15" x14ac:dyDescent="0.2">
      <c r="A1563" s="3" t="str">
        <f>IF($B1563="","",COUNTA($B$9:$B1563))</f>
        <v/>
      </c>
      <c r="B1563" s="4"/>
      <c r="C1563" s="4"/>
      <c r="D1563" s="4"/>
      <c r="E1563" s="5"/>
      <c r="F1563" s="3" t="str">
        <f t="shared" si="76"/>
        <v/>
      </c>
      <c r="G1563" s="4"/>
      <c r="H1563" s="3" t="str">
        <f t="shared" si="77"/>
        <v/>
      </c>
      <c r="I1563" s="5"/>
      <c r="J1563" s="5"/>
      <c r="K1563" s="6"/>
      <c r="L1563" s="6"/>
      <c r="M1563" s="7" t="str">
        <f t="shared" si="78"/>
        <v/>
      </c>
      <c r="N1563" s="6"/>
      <c r="O1563" s="5"/>
    </row>
    <row r="1564" spans="1:15" x14ac:dyDescent="0.2">
      <c r="A1564" s="3" t="str">
        <f>IF($B1564="","",COUNTA($B$9:$B1564))</f>
        <v/>
      </c>
      <c r="B1564" s="4"/>
      <c r="C1564" s="4"/>
      <c r="D1564" s="4"/>
      <c r="E1564" s="5"/>
      <c r="F1564" s="3" t="str">
        <f t="shared" si="76"/>
        <v/>
      </c>
      <c r="G1564" s="4"/>
      <c r="H1564" s="3" t="str">
        <f t="shared" si="77"/>
        <v/>
      </c>
      <c r="I1564" s="5"/>
      <c r="J1564" s="5"/>
      <c r="K1564" s="6"/>
      <c r="L1564" s="6"/>
      <c r="M1564" s="7" t="str">
        <f t="shared" si="78"/>
        <v/>
      </c>
      <c r="N1564" s="6"/>
      <c r="O1564" s="5"/>
    </row>
    <row r="1565" spans="1:15" x14ac:dyDescent="0.2">
      <c r="A1565" s="3" t="str">
        <f>IF($B1565="","",COUNTA($B$9:$B1565))</f>
        <v/>
      </c>
      <c r="B1565" s="4"/>
      <c r="C1565" s="4"/>
      <c r="D1565" s="4"/>
      <c r="E1565" s="5"/>
      <c r="F1565" s="3" t="str">
        <f t="shared" si="76"/>
        <v/>
      </c>
      <c r="G1565" s="4"/>
      <c r="H1565" s="3" t="str">
        <f t="shared" si="77"/>
        <v/>
      </c>
      <c r="I1565" s="5"/>
      <c r="J1565" s="5"/>
      <c r="K1565" s="6"/>
      <c r="L1565" s="6"/>
      <c r="M1565" s="7" t="str">
        <f t="shared" si="78"/>
        <v/>
      </c>
      <c r="N1565" s="6"/>
      <c r="O1565" s="5"/>
    </row>
    <row r="1566" spans="1:15" x14ac:dyDescent="0.2">
      <c r="A1566" s="3" t="str">
        <f>IF($B1566="","",COUNTA($B$9:$B1566))</f>
        <v/>
      </c>
      <c r="B1566" s="4"/>
      <c r="C1566" s="4"/>
      <c r="D1566" s="4"/>
      <c r="E1566" s="5"/>
      <c r="F1566" s="3" t="str">
        <f t="shared" si="76"/>
        <v/>
      </c>
      <c r="G1566" s="4"/>
      <c r="H1566" s="3" t="str">
        <f t="shared" si="77"/>
        <v/>
      </c>
      <c r="I1566" s="5"/>
      <c r="J1566" s="5"/>
      <c r="K1566" s="6"/>
      <c r="L1566" s="6"/>
      <c r="M1566" s="7" t="str">
        <f t="shared" si="78"/>
        <v/>
      </c>
      <c r="N1566" s="6"/>
      <c r="O1566" s="5"/>
    </row>
    <row r="1567" spans="1:15" x14ac:dyDescent="0.2">
      <c r="A1567" s="3" t="str">
        <f>IF($B1567="","",COUNTA($B$9:$B1567))</f>
        <v/>
      </c>
      <c r="B1567" s="4"/>
      <c r="C1567" s="4"/>
      <c r="D1567" s="4"/>
      <c r="E1567" s="5"/>
      <c r="F1567" s="3" t="str">
        <f t="shared" si="76"/>
        <v/>
      </c>
      <c r="G1567" s="4"/>
      <c r="H1567" s="3" t="str">
        <f t="shared" si="77"/>
        <v/>
      </c>
      <c r="I1567" s="5"/>
      <c r="J1567" s="5"/>
      <c r="K1567" s="6"/>
      <c r="L1567" s="6"/>
      <c r="M1567" s="7" t="str">
        <f t="shared" si="78"/>
        <v/>
      </c>
      <c r="N1567" s="6"/>
      <c r="O1567" s="5"/>
    </row>
    <row r="1568" spans="1:15" x14ac:dyDescent="0.2">
      <c r="A1568" s="3" t="str">
        <f>IF($B1568="","",COUNTA($B$9:$B1568))</f>
        <v/>
      </c>
      <c r="B1568" s="4"/>
      <c r="C1568" s="4"/>
      <c r="D1568" s="4"/>
      <c r="E1568" s="5"/>
      <c r="F1568" s="3" t="str">
        <f t="shared" si="76"/>
        <v/>
      </c>
      <c r="G1568" s="4"/>
      <c r="H1568" s="3" t="str">
        <f t="shared" si="77"/>
        <v/>
      </c>
      <c r="I1568" s="5"/>
      <c r="J1568" s="5"/>
      <c r="K1568" s="6"/>
      <c r="L1568" s="6"/>
      <c r="M1568" s="7" t="str">
        <f t="shared" si="78"/>
        <v/>
      </c>
      <c r="N1568" s="6"/>
      <c r="O1568" s="5"/>
    </row>
    <row r="1569" spans="1:15" x14ac:dyDescent="0.2">
      <c r="A1569" s="3" t="str">
        <f>IF($B1569="","",COUNTA($B$9:$B1569))</f>
        <v/>
      </c>
      <c r="B1569" s="4"/>
      <c r="C1569" s="4"/>
      <c r="D1569" s="4"/>
      <c r="E1569" s="5"/>
      <c r="F1569" s="3" t="str">
        <f t="shared" si="76"/>
        <v/>
      </c>
      <c r="G1569" s="4"/>
      <c r="H1569" s="3" t="str">
        <f t="shared" si="77"/>
        <v/>
      </c>
      <c r="I1569" s="5"/>
      <c r="J1569" s="5"/>
      <c r="K1569" s="6"/>
      <c r="L1569" s="6"/>
      <c r="M1569" s="7" t="str">
        <f t="shared" si="78"/>
        <v/>
      </c>
      <c r="N1569" s="6"/>
      <c r="O1569" s="5"/>
    </row>
    <row r="1570" spans="1:15" x14ac:dyDescent="0.2">
      <c r="A1570" s="3" t="str">
        <f>IF($B1570="","",COUNTA($B$9:$B1570))</f>
        <v/>
      </c>
      <c r="B1570" s="4"/>
      <c r="C1570" s="4"/>
      <c r="D1570" s="4"/>
      <c r="E1570" s="5"/>
      <c r="F1570" s="3" t="str">
        <f t="shared" si="76"/>
        <v/>
      </c>
      <c r="G1570" s="4"/>
      <c r="H1570" s="3" t="str">
        <f t="shared" si="77"/>
        <v/>
      </c>
      <c r="I1570" s="5"/>
      <c r="J1570" s="5"/>
      <c r="K1570" s="6"/>
      <c r="L1570" s="6"/>
      <c r="M1570" s="7" t="str">
        <f t="shared" si="78"/>
        <v/>
      </c>
      <c r="N1570" s="6"/>
      <c r="O1570" s="5"/>
    </row>
    <row r="1571" spans="1:15" x14ac:dyDescent="0.2">
      <c r="A1571" s="3" t="str">
        <f>IF($B1571="","",COUNTA($B$9:$B1571))</f>
        <v/>
      </c>
      <c r="B1571" s="4"/>
      <c r="C1571" s="4"/>
      <c r="D1571" s="4"/>
      <c r="E1571" s="5"/>
      <c r="F1571" s="3" t="str">
        <f t="shared" si="76"/>
        <v/>
      </c>
      <c r="G1571" s="4"/>
      <c r="H1571" s="3" t="str">
        <f t="shared" si="77"/>
        <v/>
      </c>
      <c r="I1571" s="5"/>
      <c r="J1571" s="5"/>
      <c r="K1571" s="6"/>
      <c r="L1571" s="6"/>
      <c r="M1571" s="7" t="str">
        <f t="shared" si="78"/>
        <v/>
      </c>
      <c r="N1571" s="6"/>
      <c r="O1571" s="5"/>
    </row>
    <row r="1572" spans="1:15" x14ac:dyDescent="0.2">
      <c r="A1572" s="3" t="str">
        <f>IF($B1572="","",COUNTA($B$9:$B1572))</f>
        <v/>
      </c>
      <c r="B1572" s="4"/>
      <c r="C1572" s="4"/>
      <c r="D1572" s="4"/>
      <c r="E1572" s="5"/>
      <c r="F1572" s="3" t="str">
        <f t="shared" si="76"/>
        <v/>
      </c>
      <c r="G1572" s="4"/>
      <c r="H1572" s="3" t="str">
        <f t="shared" si="77"/>
        <v/>
      </c>
      <c r="I1572" s="5"/>
      <c r="J1572" s="5"/>
      <c r="K1572" s="6"/>
      <c r="L1572" s="6"/>
      <c r="M1572" s="7" t="str">
        <f t="shared" si="78"/>
        <v/>
      </c>
      <c r="N1572" s="6"/>
      <c r="O1572" s="5"/>
    </row>
    <row r="1573" spans="1:15" x14ac:dyDescent="0.2">
      <c r="A1573" s="3" t="str">
        <f>IF($B1573="","",COUNTA($B$9:$B1573))</f>
        <v/>
      </c>
      <c r="B1573" s="4"/>
      <c r="C1573" s="4"/>
      <c r="D1573" s="4"/>
      <c r="E1573" s="5"/>
      <c r="F1573" s="3" t="str">
        <f t="shared" si="76"/>
        <v/>
      </c>
      <c r="G1573" s="4"/>
      <c r="H1573" s="3" t="str">
        <f t="shared" si="77"/>
        <v/>
      </c>
      <c r="I1573" s="5"/>
      <c r="J1573" s="5"/>
      <c r="K1573" s="6"/>
      <c r="L1573" s="6"/>
      <c r="M1573" s="7" t="str">
        <f t="shared" si="78"/>
        <v/>
      </c>
      <c r="N1573" s="6"/>
      <c r="O1573" s="5"/>
    </row>
    <row r="1574" spans="1:15" x14ac:dyDescent="0.2">
      <c r="A1574" s="3" t="str">
        <f>IF($B1574="","",COUNTA($B$9:$B1574))</f>
        <v/>
      </c>
      <c r="B1574" s="4"/>
      <c r="C1574" s="4"/>
      <c r="D1574" s="4"/>
      <c r="E1574" s="5"/>
      <c r="F1574" s="3" t="str">
        <f t="shared" si="76"/>
        <v/>
      </c>
      <c r="G1574" s="4"/>
      <c r="H1574" s="3" t="str">
        <f t="shared" si="77"/>
        <v/>
      </c>
      <c r="I1574" s="5"/>
      <c r="J1574" s="5"/>
      <c r="K1574" s="6"/>
      <c r="L1574" s="6"/>
      <c r="M1574" s="7" t="str">
        <f t="shared" si="78"/>
        <v/>
      </c>
      <c r="N1574" s="6"/>
      <c r="O1574" s="5"/>
    </row>
    <row r="1575" spans="1:15" x14ac:dyDescent="0.2">
      <c r="A1575" s="3" t="str">
        <f>IF($B1575="","",COUNTA($B$9:$B1575))</f>
        <v/>
      </c>
      <c r="B1575" s="4"/>
      <c r="C1575" s="4"/>
      <c r="D1575" s="4"/>
      <c r="E1575" s="5"/>
      <c r="F1575" s="3" t="str">
        <f t="shared" si="76"/>
        <v/>
      </c>
      <c r="G1575" s="4"/>
      <c r="H1575" s="3" t="str">
        <f t="shared" si="77"/>
        <v/>
      </c>
      <c r="I1575" s="5"/>
      <c r="J1575" s="5"/>
      <c r="K1575" s="6"/>
      <c r="L1575" s="6"/>
      <c r="M1575" s="7" t="str">
        <f t="shared" si="78"/>
        <v/>
      </c>
      <c r="N1575" s="6"/>
      <c r="O1575" s="5"/>
    </row>
    <row r="1576" spans="1:15" x14ac:dyDescent="0.2">
      <c r="A1576" s="3" t="str">
        <f>IF($B1576="","",COUNTA($B$9:$B1576))</f>
        <v/>
      </c>
      <c r="B1576" s="4"/>
      <c r="C1576" s="4"/>
      <c r="D1576" s="4"/>
      <c r="E1576" s="5"/>
      <c r="F1576" s="3" t="str">
        <f t="shared" si="76"/>
        <v/>
      </c>
      <c r="G1576" s="4"/>
      <c r="H1576" s="3" t="str">
        <f t="shared" si="77"/>
        <v/>
      </c>
      <c r="I1576" s="5"/>
      <c r="J1576" s="5"/>
      <c r="K1576" s="6"/>
      <c r="L1576" s="6"/>
      <c r="M1576" s="7" t="str">
        <f t="shared" si="78"/>
        <v/>
      </c>
      <c r="N1576" s="6"/>
      <c r="O1576" s="5"/>
    </row>
    <row r="1577" spans="1:15" x14ac:dyDescent="0.2">
      <c r="A1577" s="3" t="str">
        <f>IF($B1577="","",COUNTA($B$9:$B1577))</f>
        <v/>
      </c>
      <c r="B1577" s="4"/>
      <c r="C1577" s="4"/>
      <c r="D1577" s="4"/>
      <c r="E1577" s="5"/>
      <c r="F1577" s="3" t="str">
        <f t="shared" si="76"/>
        <v/>
      </c>
      <c r="G1577" s="4"/>
      <c r="H1577" s="3" t="str">
        <f t="shared" si="77"/>
        <v/>
      </c>
      <c r="I1577" s="5"/>
      <c r="J1577" s="5"/>
      <c r="K1577" s="6"/>
      <c r="L1577" s="6"/>
      <c r="M1577" s="7" t="str">
        <f t="shared" si="78"/>
        <v/>
      </c>
      <c r="N1577" s="6"/>
      <c r="O1577" s="5"/>
    </row>
    <row r="1578" spans="1:15" x14ac:dyDescent="0.2">
      <c r="A1578" s="3" t="str">
        <f>IF($B1578="","",COUNTA($B$9:$B1578))</f>
        <v/>
      </c>
      <c r="B1578" s="4"/>
      <c r="C1578" s="4"/>
      <c r="D1578" s="4"/>
      <c r="E1578" s="5"/>
      <c r="F1578" s="3" t="str">
        <f t="shared" si="76"/>
        <v/>
      </c>
      <c r="G1578" s="4"/>
      <c r="H1578" s="3" t="str">
        <f t="shared" si="77"/>
        <v/>
      </c>
      <c r="I1578" s="5"/>
      <c r="J1578" s="5"/>
      <c r="K1578" s="6"/>
      <c r="L1578" s="6"/>
      <c r="M1578" s="7" t="str">
        <f t="shared" si="78"/>
        <v/>
      </c>
      <c r="N1578" s="6"/>
      <c r="O1578" s="5"/>
    </row>
    <row r="1579" spans="1:15" x14ac:dyDescent="0.2">
      <c r="A1579" s="3" t="str">
        <f>IF($B1579="","",COUNTA($B$9:$B1579))</f>
        <v/>
      </c>
      <c r="B1579" s="4"/>
      <c r="C1579" s="4"/>
      <c r="D1579" s="4"/>
      <c r="E1579" s="5"/>
      <c r="F1579" s="3" t="str">
        <f t="shared" si="76"/>
        <v/>
      </c>
      <c r="G1579" s="4"/>
      <c r="H1579" s="3" t="str">
        <f t="shared" si="77"/>
        <v/>
      </c>
      <c r="I1579" s="5"/>
      <c r="J1579" s="5"/>
      <c r="K1579" s="6"/>
      <c r="L1579" s="6"/>
      <c r="M1579" s="7" t="str">
        <f t="shared" si="78"/>
        <v/>
      </c>
      <c r="N1579" s="6"/>
      <c r="O1579" s="5"/>
    </row>
    <row r="1580" spans="1:15" x14ac:dyDescent="0.2">
      <c r="A1580" s="3" t="str">
        <f>IF($B1580="","",COUNTA($B$9:$B1580))</f>
        <v/>
      </c>
      <c r="B1580" s="4"/>
      <c r="C1580" s="4"/>
      <c r="D1580" s="4"/>
      <c r="E1580" s="5"/>
      <c r="F1580" s="3" t="str">
        <f t="shared" si="76"/>
        <v/>
      </c>
      <c r="G1580" s="4"/>
      <c r="H1580" s="3" t="str">
        <f t="shared" si="77"/>
        <v/>
      </c>
      <c r="I1580" s="5"/>
      <c r="J1580" s="5"/>
      <c r="K1580" s="6"/>
      <c r="L1580" s="6"/>
      <c r="M1580" s="7" t="str">
        <f t="shared" si="78"/>
        <v/>
      </c>
      <c r="N1580" s="6"/>
      <c r="O1580" s="5"/>
    </row>
    <row r="1581" spans="1:15" x14ac:dyDescent="0.2">
      <c r="A1581" s="3" t="str">
        <f>IF($B1581="","",COUNTA($B$9:$B1581))</f>
        <v/>
      </c>
      <c r="B1581" s="4"/>
      <c r="C1581" s="4"/>
      <c r="D1581" s="4"/>
      <c r="E1581" s="5"/>
      <c r="F1581" s="3" t="str">
        <f t="shared" si="76"/>
        <v/>
      </c>
      <c r="G1581" s="4"/>
      <c r="H1581" s="3" t="str">
        <f t="shared" si="77"/>
        <v/>
      </c>
      <c r="I1581" s="5"/>
      <c r="J1581" s="5"/>
      <c r="K1581" s="6"/>
      <c r="L1581" s="6"/>
      <c r="M1581" s="7" t="str">
        <f t="shared" si="78"/>
        <v/>
      </c>
      <c r="N1581" s="6"/>
      <c r="O1581" s="5"/>
    </row>
    <row r="1582" spans="1:15" x14ac:dyDescent="0.2">
      <c r="A1582" s="3" t="str">
        <f>IF($B1582="","",COUNTA($B$9:$B1582))</f>
        <v/>
      </c>
      <c r="B1582" s="4"/>
      <c r="C1582" s="4"/>
      <c r="D1582" s="4"/>
      <c r="E1582" s="5"/>
      <c r="F1582" s="3" t="str">
        <f t="shared" si="76"/>
        <v/>
      </c>
      <c r="G1582" s="4"/>
      <c r="H1582" s="3" t="str">
        <f t="shared" si="77"/>
        <v/>
      </c>
      <c r="I1582" s="5"/>
      <c r="J1582" s="5"/>
      <c r="K1582" s="6"/>
      <c r="L1582" s="6"/>
      <c r="M1582" s="7" t="str">
        <f t="shared" si="78"/>
        <v/>
      </c>
      <c r="N1582" s="6"/>
      <c r="O1582" s="5"/>
    </row>
    <row r="1583" spans="1:15" x14ac:dyDescent="0.2">
      <c r="A1583" s="3" t="str">
        <f>IF($B1583="","",COUNTA($B$9:$B1583))</f>
        <v/>
      </c>
      <c r="B1583" s="4"/>
      <c r="C1583" s="4"/>
      <c r="D1583" s="4"/>
      <c r="E1583" s="5"/>
      <c r="F1583" s="3" t="str">
        <f t="shared" si="76"/>
        <v/>
      </c>
      <c r="G1583" s="4"/>
      <c r="H1583" s="3" t="str">
        <f t="shared" si="77"/>
        <v/>
      </c>
      <c r="I1583" s="5"/>
      <c r="J1583" s="5"/>
      <c r="K1583" s="6"/>
      <c r="L1583" s="6"/>
      <c r="M1583" s="7" t="str">
        <f t="shared" si="78"/>
        <v/>
      </c>
      <c r="N1583" s="6"/>
      <c r="O1583" s="5"/>
    </row>
    <row r="1584" spans="1:15" x14ac:dyDescent="0.2">
      <c r="A1584" s="3" t="str">
        <f>IF($B1584="","",COUNTA($B$9:$B1584))</f>
        <v/>
      </c>
      <c r="B1584" s="4"/>
      <c r="C1584" s="4"/>
      <c r="D1584" s="4"/>
      <c r="E1584" s="5"/>
      <c r="F1584" s="3" t="str">
        <f t="shared" si="76"/>
        <v/>
      </c>
      <c r="G1584" s="4"/>
      <c r="H1584" s="3" t="str">
        <f t="shared" si="77"/>
        <v/>
      </c>
      <c r="I1584" s="5"/>
      <c r="J1584" s="5"/>
      <c r="K1584" s="6"/>
      <c r="L1584" s="6"/>
      <c r="M1584" s="7" t="str">
        <f t="shared" si="78"/>
        <v/>
      </c>
      <c r="N1584" s="6"/>
      <c r="O1584" s="5"/>
    </row>
    <row r="1585" spans="1:15" x14ac:dyDescent="0.2">
      <c r="A1585" s="3" t="str">
        <f>IF($B1585="","",COUNTA($B$9:$B1585))</f>
        <v/>
      </c>
      <c r="B1585" s="4"/>
      <c r="C1585" s="4"/>
      <c r="D1585" s="4"/>
      <c r="E1585" s="5"/>
      <c r="F1585" s="3" t="str">
        <f t="shared" si="76"/>
        <v/>
      </c>
      <c r="G1585" s="4"/>
      <c r="H1585" s="3" t="str">
        <f t="shared" si="77"/>
        <v/>
      </c>
      <c r="I1585" s="5"/>
      <c r="J1585" s="5"/>
      <c r="K1585" s="6"/>
      <c r="L1585" s="6"/>
      <c r="M1585" s="7" t="str">
        <f t="shared" si="78"/>
        <v/>
      </c>
      <c r="N1585" s="6"/>
      <c r="O1585" s="5"/>
    </row>
    <row r="1586" spans="1:15" x14ac:dyDescent="0.2">
      <c r="A1586" s="3" t="str">
        <f>IF($B1586="","",COUNTA($B$9:$B1586))</f>
        <v/>
      </c>
      <c r="B1586" s="4"/>
      <c r="C1586" s="4"/>
      <c r="D1586" s="4"/>
      <c r="E1586" s="5"/>
      <c r="F1586" s="3" t="str">
        <f t="shared" si="76"/>
        <v/>
      </c>
      <c r="G1586" s="4"/>
      <c r="H1586" s="3" t="str">
        <f t="shared" si="77"/>
        <v/>
      </c>
      <c r="I1586" s="5"/>
      <c r="J1586" s="5"/>
      <c r="K1586" s="6"/>
      <c r="L1586" s="6"/>
      <c r="M1586" s="7" t="str">
        <f t="shared" si="78"/>
        <v/>
      </c>
      <c r="N1586" s="6"/>
      <c r="O1586" s="5"/>
    </row>
    <row r="1587" spans="1:15" x14ac:dyDescent="0.2">
      <c r="A1587" s="3" t="str">
        <f>IF($B1587="","",COUNTA($B$9:$B1587))</f>
        <v/>
      </c>
      <c r="B1587" s="4"/>
      <c r="C1587" s="4"/>
      <c r="D1587" s="4"/>
      <c r="E1587" s="5"/>
      <c r="F1587" s="3" t="str">
        <f t="shared" si="76"/>
        <v/>
      </c>
      <c r="G1587" s="4"/>
      <c r="H1587" s="3" t="str">
        <f t="shared" si="77"/>
        <v/>
      </c>
      <c r="I1587" s="5"/>
      <c r="J1587" s="5"/>
      <c r="K1587" s="6"/>
      <c r="L1587" s="6"/>
      <c r="M1587" s="7" t="str">
        <f t="shared" si="78"/>
        <v/>
      </c>
      <c r="N1587" s="6"/>
      <c r="O1587" s="5"/>
    </row>
    <row r="1588" spans="1:15" x14ac:dyDescent="0.2">
      <c r="A1588" s="3" t="str">
        <f>IF($B1588="","",COUNTA($B$9:$B1588))</f>
        <v/>
      </c>
      <c r="B1588" s="4"/>
      <c r="C1588" s="4"/>
      <c r="D1588" s="4"/>
      <c r="E1588" s="5"/>
      <c r="F1588" s="3" t="str">
        <f t="shared" si="76"/>
        <v/>
      </c>
      <c r="G1588" s="4"/>
      <c r="H1588" s="3" t="str">
        <f t="shared" si="77"/>
        <v/>
      </c>
      <c r="I1588" s="5"/>
      <c r="J1588" s="5"/>
      <c r="K1588" s="6"/>
      <c r="L1588" s="6"/>
      <c r="M1588" s="7" t="str">
        <f t="shared" si="78"/>
        <v/>
      </c>
      <c r="N1588" s="6"/>
      <c r="O1588" s="5"/>
    </row>
    <row r="1589" spans="1:15" x14ac:dyDescent="0.2">
      <c r="A1589" s="3" t="str">
        <f>IF($B1589="","",COUNTA($B$9:$B1589))</f>
        <v/>
      </c>
      <c r="B1589" s="4"/>
      <c r="C1589" s="4"/>
      <c r="D1589" s="4"/>
      <c r="E1589" s="5"/>
      <c r="F1589" s="3" t="str">
        <f t="shared" si="76"/>
        <v/>
      </c>
      <c r="G1589" s="4"/>
      <c r="H1589" s="3" t="str">
        <f t="shared" si="77"/>
        <v/>
      </c>
      <c r="I1589" s="5"/>
      <c r="J1589" s="5"/>
      <c r="K1589" s="6"/>
      <c r="L1589" s="6"/>
      <c r="M1589" s="7" t="str">
        <f t="shared" si="78"/>
        <v/>
      </c>
      <c r="N1589" s="6"/>
      <c r="O1589" s="5"/>
    </row>
    <row r="1590" spans="1:15" x14ac:dyDescent="0.2">
      <c r="A1590" s="3" t="str">
        <f>IF($B1590="","",COUNTA($B$9:$B1590))</f>
        <v/>
      </c>
      <c r="B1590" s="4"/>
      <c r="C1590" s="4"/>
      <c r="D1590" s="4"/>
      <c r="E1590" s="5"/>
      <c r="F1590" s="3" t="str">
        <f t="shared" si="76"/>
        <v/>
      </c>
      <c r="G1590" s="4"/>
      <c r="H1590" s="3" t="str">
        <f t="shared" si="77"/>
        <v/>
      </c>
      <c r="I1590" s="5"/>
      <c r="J1590" s="5"/>
      <c r="K1590" s="6"/>
      <c r="L1590" s="6"/>
      <c r="M1590" s="7" t="str">
        <f t="shared" si="78"/>
        <v/>
      </c>
      <c r="N1590" s="6"/>
      <c r="O1590" s="5"/>
    </row>
    <row r="1591" spans="1:15" x14ac:dyDescent="0.2">
      <c r="A1591" s="3" t="str">
        <f>IF($B1591="","",COUNTA($B$9:$B1591))</f>
        <v/>
      </c>
      <c r="B1591" s="4"/>
      <c r="C1591" s="4"/>
      <c r="D1591" s="4"/>
      <c r="E1591" s="5"/>
      <c r="F1591" s="3" t="str">
        <f t="shared" si="76"/>
        <v/>
      </c>
      <c r="G1591" s="4"/>
      <c r="H1591" s="3" t="str">
        <f t="shared" si="77"/>
        <v/>
      </c>
      <c r="I1591" s="5"/>
      <c r="J1591" s="5"/>
      <c r="K1591" s="6"/>
      <c r="L1591" s="6"/>
      <c r="M1591" s="7" t="str">
        <f t="shared" si="78"/>
        <v/>
      </c>
      <c r="N1591" s="6"/>
      <c r="O1591" s="5"/>
    </row>
    <row r="1592" spans="1:15" x14ac:dyDescent="0.2">
      <c r="A1592" s="3" t="str">
        <f>IF($B1592="","",COUNTA($B$9:$B1592))</f>
        <v/>
      </c>
      <c r="B1592" s="4"/>
      <c r="C1592" s="4"/>
      <c r="D1592" s="4"/>
      <c r="E1592" s="5"/>
      <c r="F1592" s="3" t="str">
        <f t="shared" si="76"/>
        <v/>
      </c>
      <c r="G1592" s="4"/>
      <c r="H1592" s="3" t="str">
        <f t="shared" si="77"/>
        <v/>
      </c>
      <c r="I1592" s="5"/>
      <c r="J1592" s="5"/>
      <c r="K1592" s="6"/>
      <c r="L1592" s="6"/>
      <c r="M1592" s="7" t="str">
        <f t="shared" si="78"/>
        <v/>
      </c>
      <c r="N1592" s="6"/>
      <c r="O1592" s="5"/>
    </row>
    <row r="1593" spans="1:15" x14ac:dyDescent="0.2">
      <c r="A1593" s="3" t="str">
        <f>IF($B1593="","",COUNTA($B$9:$B1593))</f>
        <v/>
      </c>
      <c r="B1593" s="4"/>
      <c r="C1593" s="4"/>
      <c r="D1593" s="4"/>
      <c r="E1593" s="5"/>
      <c r="F1593" s="3" t="str">
        <f t="shared" si="76"/>
        <v/>
      </c>
      <c r="G1593" s="4"/>
      <c r="H1593" s="3" t="str">
        <f t="shared" si="77"/>
        <v/>
      </c>
      <c r="I1593" s="5"/>
      <c r="J1593" s="5"/>
      <c r="K1593" s="6"/>
      <c r="L1593" s="6"/>
      <c r="M1593" s="7" t="str">
        <f t="shared" si="78"/>
        <v/>
      </c>
      <c r="N1593" s="6"/>
      <c r="O1593" s="5"/>
    </row>
    <row r="1594" spans="1:15" x14ac:dyDescent="0.2">
      <c r="A1594" s="3" t="str">
        <f>IF($B1594="","",COUNTA($B$9:$B1594))</f>
        <v/>
      </c>
      <c r="B1594" s="4"/>
      <c r="C1594" s="4"/>
      <c r="D1594" s="4"/>
      <c r="E1594" s="5"/>
      <c r="F1594" s="3" t="str">
        <f t="shared" si="76"/>
        <v/>
      </c>
      <c r="G1594" s="4"/>
      <c r="H1594" s="3" t="str">
        <f t="shared" si="77"/>
        <v/>
      </c>
      <c r="I1594" s="5"/>
      <c r="J1594" s="5"/>
      <c r="K1594" s="6"/>
      <c r="L1594" s="6"/>
      <c r="M1594" s="7" t="str">
        <f t="shared" si="78"/>
        <v/>
      </c>
      <c r="N1594" s="6"/>
      <c r="O1594" s="5"/>
    </row>
    <row r="1595" spans="1:15" x14ac:dyDescent="0.2">
      <c r="A1595" s="3" t="str">
        <f>IF($B1595="","",COUNTA($B$9:$B1595))</f>
        <v/>
      </c>
      <c r="B1595" s="4"/>
      <c r="C1595" s="4"/>
      <c r="D1595" s="4"/>
      <c r="E1595" s="5"/>
      <c r="F1595" s="3" t="str">
        <f t="shared" si="76"/>
        <v/>
      </c>
      <c r="G1595" s="4"/>
      <c r="H1595" s="3" t="str">
        <f t="shared" si="77"/>
        <v/>
      </c>
      <c r="I1595" s="5"/>
      <c r="J1595" s="5"/>
      <c r="K1595" s="6"/>
      <c r="L1595" s="6"/>
      <c r="M1595" s="7" t="str">
        <f t="shared" si="78"/>
        <v/>
      </c>
      <c r="N1595" s="6"/>
      <c r="O1595" s="5"/>
    </row>
    <row r="1596" spans="1:15" x14ac:dyDescent="0.2">
      <c r="A1596" s="3" t="str">
        <f>IF($B1596="","",COUNTA($B$9:$B1596))</f>
        <v/>
      </c>
      <c r="B1596" s="4"/>
      <c r="C1596" s="4"/>
      <c r="D1596" s="4"/>
      <c r="E1596" s="5"/>
      <c r="F1596" s="3" t="str">
        <f t="shared" si="76"/>
        <v/>
      </c>
      <c r="G1596" s="4"/>
      <c r="H1596" s="3" t="str">
        <f t="shared" si="77"/>
        <v/>
      </c>
      <c r="I1596" s="5"/>
      <c r="J1596" s="5"/>
      <c r="K1596" s="6"/>
      <c r="L1596" s="6"/>
      <c r="M1596" s="7" t="str">
        <f t="shared" si="78"/>
        <v/>
      </c>
      <c r="N1596" s="6"/>
      <c r="O1596" s="5"/>
    </row>
    <row r="1597" spans="1:15" x14ac:dyDescent="0.2">
      <c r="A1597" s="3" t="str">
        <f>IF($B1597="","",COUNTA($B$9:$B1597))</f>
        <v/>
      </c>
      <c r="B1597" s="4"/>
      <c r="C1597" s="4"/>
      <c r="D1597" s="4"/>
      <c r="E1597" s="5"/>
      <c r="F1597" s="3" t="str">
        <f t="shared" si="76"/>
        <v/>
      </c>
      <c r="G1597" s="4"/>
      <c r="H1597" s="3" t="str">
        <f t="shared" si="77"/>
        <v/>
      </c>
      <c r="I1597" s="5"/>
      <c r="J1597" s="5"/>
      <c r="K1597" s="6"/>
      <c r="L1597" s="6"/>
      <c r="M1597" s="7" t="str">
        <f t="shared" si="78"/>
        <v/>
      </c>
      <c r="N1597" s="6"/>
      <c r="O1597" s="5"/>
    </row>
    <row r="1598" spans="1:15" x14ac:dyDescent="0.2">
      <c r="A1598" s="3" t="str">
        <f>IF($B1598="","",COUNTA($B$9:$B1598))</f>
        <v/>
      </c>
      <c r="B1598" s="4"/>
      <c r="C1598" s="4"/>
      <c r="D1598" s="4"/>
      <c r="E1598" s="5"/>
      <c r="F1598" s="3" t="str">
        <f t="shared" si="76"/>
        <v/>
      </c>
      <c r="G1598" s="4"/>
      <c r="H1598" s="3" t="str">
        <f t="shared" si="77"/>
        <v/>
      </c>
      <c r="I1598" s="5"/>
      <c r="J1598" s="5"/>
      <c r="K1598" s="6"/>
      <c r="L1598" s="6"/>
      <c r="M1598" s="7" t="str">
        <f t="shared" si="78"/>
        <v/>
      </c>
      <c r="N1598" s="6"/>
      <c r="O1598" s="5"/>
    </row>
    <row r="1599" spans="1:15" x14ac:dyDescent="0.2">
      <c r="A1599" s="3" t="str">
        <f>IF($B1599="","",COUNTA($B$9:$B1599))</f>
        <v/>
      </c>
      <c r="B1599" s="4"/>
      <c r="C1599" s="4"/>
      <c r="D1599" s="4"/>
      <c r="E1599" s="5"/>
      <c r="F1599" s="3" t="str">
        <f t="shared" si="76"/>
        <v/>
      </c>
      <c r="G1599" s="4"/>
      <c r="H1599" s="3" t="str">
        <f t="shared" si="77"/>
        <v/>
      </c>
      <c r="I1599" s="5"/>
      <c r="J1599" s="5"/>
      <c r="K1599" s="6"/>
      <c r="L1599" s="6"/>
      <c r="M1599" s="7" t="str">
        <f t="shared" si="78"/>
        <v/>
      </c>
      <c r="N1599" s="6"/>
      <c r="O1599" s="5"/>
    </row>
    <row r="1600" spans="1:15" x14ac:dyDescent="0.2">
      <c r="A1600" s="3" t="str">
        <f>IF($B1600="","",COUNTA($B$9:$B1600))</f>
        <v/>
      </c>
      <c r="B1600" s="4"/>
      <c r="C1600" s="4"/>
      <c r="D1600" s="4"/>
      <c r="E1600" s="5"/>
      <c r="F1600" s="3" t="str">
        <f t="shared" si="76"/>
        <v/>
      </c>
      <c r="G1600" s="4"/>
      <c r="H1600" s="3" t="str">
        <f t="shared" si="77"/>
        <v/>
      </c>
      <c r="I1600" s="5"/>
      <c r="J1600" s="5"/>
      <c r="K1600" s="6"/>
      <c r="L1600" s="6"/>
      <c r="M1600" s="7" t="str">
        <f t="shared" si="78"/>
        <v/>
      </c>
      <c r="N1600" s="6"/>
      <c r="O1600" s="5"/>
    </row>
    <row r="1601" spans="1:15" x14ac:dyDescent="0.2">
      <c r="A1601" s="3" t="str">
        <f>IF($B1601="","",COUNTA($B$9:$B1601))</f>
        <v/>
      </c>
      <c r="B1601" s="4"/>
      <c r="C1601" s="4"/>
      <c r="D1601" s="4"/>
      <c r="E1601" s="5"/>
      <c r="F1601" s="3" t="str">
        <f t="shared" si="76"/>
        <v/>
      </c>
      <c r="G1601" s="4"/>
      <c r="H1601" s="3" t="str">
        <f t="shared" si="77"/>
        <v/>
      </c>
      <c r="I1601" s="5"/>
      <c r="J1601" s="5"/>
      <c r="K1601" s="6"/>
      <c r="L1601" s="6"/>
      <c r="M1601" s="7" t="str">
        <f t="shared" si="78"/>
        <v/>
      </c>
      <c r="N1601" s="6"/>
      <c r="O1601" s="5"/>
    </row>
    <row r="1602" spans="1:15" x14ac:dyDescent="0.2">
      <c r="A1602" s="3" t="str">
        <f>IF($B1602="","",COUNTA($B$9:$B1602))</f>
        <v/>
      </c>
      <c r="B1602" s="4"/>
      <c r="C1602" s="4"/>
      <c r="D1602" s="4"/>
      <c r="E1602" s="5"/>
      <c r="F1602" s="3" t="str">
        <f t="shared" si="76"/>
        <v/>
      </c>
      <c r="G1602" s="4"/>
      <c r="H1602" s="3" t="str">
        <f t="shared" si="77"/>
        <v/>
      </c>
      <c r="I1602" s="5"/>
      <c r="J1602" s="5"/>
      <c r="K1602" s="6"/>
      <c r="L1602" s="6"/>
      <c r="M1602" s="7" t="str">
        <f t="shared" si="78"/>
        <v/>
      </c>
      <c r="N1602" s="6"/>
      <c r="O1602" s="5"/>
    </row>
    <row r="1603" spans="1:15" x14ac:dyDescent="0.2">
      <c r="A1603" s="3" t="str">
        <f>IF($B1603="","",COUNTA($B$9:$B1603))</f>
        <v/>
      </c>
      <c r="B1603" s="4"/>
      <c r="C1603" s="4"/>
      <c r="D1603" s="4"/>
      <c r="E1603" s="5"/>
      <c r="F1603" s="3" t="str">
        <f t="shared" si="76"/>
        <v/>
      </c>
      <c r="G1603" s="4"/>
      <c r="H1603" s="3" t="str">
        <f t="shared" si="77"/>
        <v/>
      </c>
      <c r="I1603" s="5"/>
      <c r="J1603" s="5"/>
      <c r="K1603" s="6"/>
      <c r="L1603" s="6"/>
      <c r="M1603" s="7" t="str">
        <f t="shared" si="78"/>
        <v/>
      </c>
      <c r="N1603" s="6"/>
      <c r="O1603" s="5"/>
    </row>
    <row r="1604" spans="1:15" x14ac:dyDescent="0.2">
      <c r="A1604" s="3" t="str">
        <f>IF($B1604="","",COUNTA($B$9:$B1604))</f>
        <v/>
      </c>
      <c r="B1604" s="4"/>
      <c r="C1604" s="4"/>
      <c r="D1604" s="4"/>
      <c r="E1604" s="5"/>
      <c r="F1604" s="3" t="str">
        <f t="shared" si="76"/>
        <v/>
      </c>
      <c r="G1604" s="4"/>
      <c r="H1604" s="3" t="str">
        <f t="shared" si="77"/>
        <v/>
      </c>
      <c r="I1604" s="5"/>
      <c r="J1604" s="5"/>
      <c r="K1604" s="6"/>
      <c r="L1604" s="6"/>
      <c r="M1604" s="7" t="str">
        <f t="shared" si="78"/>
        <v/>
      </c>
      <c r="N1604" s="6"/>
      <c r="O1604" s="5"/>
    </row>
    <row r="1605" spans="1:15" x14ac:dyDescent="0.2">
      <c r="A1605" s="3" t="str">
        <f>IF($B1605="","",COUNTA($B$9:$B1605))</f>
        <v/>
      </c>
      <c r="B1605" s="4"/>
      <c r="C1605" s="4"/>
      <c r="D1605" s="4"/>
      <c r="E1605" s="5"/>
      <c r="F1605" s="3" t="str">
        <f t="shared" si="76"/>
        <v/>
      </c>
      <c r="G1605" s="4"/>
      <c r="H1605" s="3" t="str">
        <f t="shared" si="77"/>
        <v/>
      </c>
      <c r="I1605" s="5"/>
      <c r="J1605" s="5"/>
      <c r="K1605" s="6"/>
      <c r="L1605" s="6"/>
      <c r="M1605" s="7" t="str">
        <f t="shared" si="78"/>
        <v/>
      </c>
      <c r="N1605" s="6"/>
      <c r="O1605" s="5"/>
    </row>
    <row r="1606" spans="1:15" x14ac:dyDescent="0.2">
      <c r="A1606" s="3" t="str">
        <f>IF($B1606="","",COUNTA($B$9:$B1606))</f>
        <v/>
      </c>
      <c r="B1606" s="4"/>
      <c r="C1606" s="4"/>
      <c r="D1606" s="4"/>
      <c r="E1606" s="5"/>
      <c r="F1606" s="3" t="str">
        <f t="shared" si="76"/>
        <v/>
      </c>
      <c r="G1606" s="4"/>
      <c r="H1606" s="3" t="str">
        <f t="shared" si="77"/>
        <v/>
      </c>
      <c r="I1606" s="5"/>
      <c r="J1606" s="5"/>
      <c r="K1606" s="6"/>
      <c r="L1606" s="6"/>
      <c r="M1606" s="7" t="str">
        <f t="shared" si="78"/>
        <v/>
      </c>
      <c r="N1606" s="6"/>
      <c r="O1606" s="5"/>
    </row>
    <row r="1607" spans="1:15" x14ac:dyDescent="0.2">
      <c r="A1607" s="3" t="str">
        <f>IF($B1607="","",COUNTA($B$9:$B1607))</f>
        <v/>
      </c>
      <c r="B1607" s="4"/>
      <c r="C1607" s="4"/>
      <c r="D1607" s="4"/>
      <c r="E1607" s="5"/>
      <c r="F1607" s="3" t="str">
        <f t="shared" si="76"/>
        <v/>
      </c>
      <c r="G1607" s="4"/>
      <c r="H1607" s="3" t="str">
        <f t="shared" si="77"/>
        <v/>
      </c>
      <c r="I1607" s="5"/>
      <c r="J1607" s="5"/>
      <c r="K1607" s="6"/>
      <c r="L1607" s="6"/>
      <c r="M1607" s="7" t="str">
        <f t="shared" si="78"/>
        <v/>
      </c>
      <c r="N1607" s="6"/>
      <c r="O1607" s="5"/>
    </row>
    <row r="1608" spans="1:15" x14ac:dyDescent="0.2">
      <c r="A1608" s="3" t="str">
        <f>IF($B1608="","",COUNTA($B$9:$B1608))</f>
        <v/>
      </c>
      <c r="B1608" s="4"/>
      <c r="C1608" s="4"/>
      <c r="D1608" s="4"/>
      <c r="E1608" s="5"/>
      <c r="F1608" s="3" t="str">
        <f t="shared" ref="F1608:F1671" si="79">IF($E1608="","",IFERROR(VLOOKUP($E1608,OpTbl,2,0),""))</f>
        <v/>
      </c>
      <c r="G1608" s="4"/>
      <c r="H1608" s="3" t="str">
        <f t="shared" ref="H1608:H1671" si="80">IF($G1608="","",IFERROR(IF(VLOOKUP($G1608,AcctTbl,4,0)="","(بدون نام)",VLOOKUP($G1608,AcctTbl,4,0)),"کد ناشناخته"))</f>
        <v/>
      </c>
      <c r="I1608" s="5"/>
      <c r="J1608" s="5"/>
      <c r="K1608" s="6"/>
      <c r="L1608" s="6"/>
      <c r="M1608" s="7" t="str">
        <f t="shared" ref="M1608:M1671" si="81">IF(OR($B1608="",$K1608=""),"",($K1608-IF($L1608="",0,$L1608)*IFERROR(VLOOKUP("P01",ParamTbl,3,0),1.5))*(1-IF(IFERROR(VLOOKUP($E1608,OpTbl,3,0),"")="خرید",IFERROR(VLOOKUP("P02",ParamTbl,3,0),1),0)/100))</f>
        <v/>
      </c>
      <c r="N1608" s="6"/>
      <c r="O1608" s="5"/>
    </row>
    <row r="1609" spans="1:15" x14ac:dyDescent="0.2">
      <c r="A1609" s="3" t="str">
        <f>IF($B1609="","",COUNTA($B$9:$B1609))</f>
        <v/>
      </c>
      <c r="B1609" s="4"/>
      <c r="C1609" s="4"/>
      <c r="D1609" s="4"/>
      <c r="E1609" s="5"/>
      <c r="F1609" s="3" t="str">
        <f t="shared" si="79"/>
        <v/>
      </c>
      <c r="G1609" s="4"/>
      <c r="H1609" s="3" t="str">
        <f t="shared" si="80"/>
        <v/>
      </c>
      <c r="I1609" s="5"/>
      <c r="J1609" s="5"/>
      <c r="K1609" s="6"/>
      <c r="L1609" s="6"/>
      <c r="M1609" s="7" t="str">
        <f t="shared" si="81"/>
        <v/>
      </c>
      <c r="N1609" s="6"/>
      <c r="O1609" s="5"/>
    </row>
    <row r="1610" spans="1:15" x14ac:dyDescent="0.2">
      <c r="A1610" s="3" t="str">
        <f>IF($B1610="","",COUNTA($B$9:$B1610))</f>
        <v/>
      </c>
      <c r="B1610" s="4"/>
      <c r="C1610" s="4"/>
      <c r="D1610" s="4"/>
      <c r="E1610" s="5"/>
      <c r="F1610" s="3" t="str">
        <f t="shared" si="79"/>
        <v/>
      </c>
      <c r="G1610" s="4"/>
      <c r="H1610" s="3" t="str">
        <f t="shared" si="80"/>
        <v/>
      </c>
      <c r="I1610" s="5"/>
      <c r="J1610" s="5"/>
      <c r="K1610" s="6"/>
      <c r="L1610" s="6"/>
      <c r="M1610" s="7" t="str">
        <f t="shared" si="81"/>
        <v/>
      </c>
      <c r="N1610" s="6"/>
      <c r="O1610" s="5"/>
    </row>
    <row r="1611" spans="1:15" x14ac:dyDescent="0.2">
      <c r="A1611" s="3" t="str">
        <f>IF($B1611="","",COUNTA($B$9:$B1611))</f>
        <v/>
      </c>
      <c r="B1611" s="4"/>
      <c r="C1611" s="4"/>
      <c r="D1611" s="4"/>
      <c r="E1611" s="5"/>
      <c r="F1611" s="3" t="str">
        <f t="shared" si="79"/>
        <v/>
      </c>
      <c r="G1611" s="4"/>
      <c r="H1611" s="3" t="str">
        <f t="shared" si="80"/>
        <v/>
      </c>
      <c r="I1611" s="5"/>
      <c r="J1611" s="5"/>
      <c r="K1611" s="6"/>
      <c r="L1611" s="6"/>
      <c r="M1611" s="7" t="str">
        <f t="shared" si="81"/>
        <v/>
      </c>
      <c r="N1611" s="6"/>
      <c r="O1611" s="5"/>
    </row>
    <row r="1612" spans="1:15" x14ac:dyDescent="0.2">
      <c r="A1612" s="3" t="str">
        <f>IF($B1612="","",COUNTA($B$9:$B1612))</f>
        <v/>
      </c>
      <c r="B1612" s="4"/>
      <c r="C1612" s="4"/>
      <c r="D1612" s="4"/>
      <c r="E1612" s="5"/>
      <c r="F1612" s="3" t="str">
        <f t="shared" si="79"/>
        <v/>
      </c>
      <c r="G1612" s="4"/>
      <c r="H1612" s="3" t="str">
        <f t="shared" si="80"/>
        <v/>
      </c>
      <c r="I1612" s="5"/>
      <c r="J1612" s="5"/>
      <c r="K1612" s="6"/>
      <c r="L1612" s="6"/>
      <c r="M1612" s="7" t="str">
        <f t="shared" si="81"/>
        <v/>
      </c>
      <c r="N1612" s="6"/>
      <c r="O1612" s="5"/>
    </row>
    <row r="1613" spans="1:15" x14ac:dyDescent="0.2">
      <c r="A1613" s="3" t="str">
        <f>IF($B1613="","",COUNTA($B$9:$B1613))</f>
        <v/>
      </c>
      <c r="B1613" s="4"/>
      <c r="C1613" s="4"/>
      <c r="D1613" s="4"/>
      <c r="E1613" s="5"/>
      <c r="F1613" s="3" t="str">
        <f t="shared" si="79"/>
        <v/>
      </c>
      <c r="G1613" s="4"/>
      <c r="H1613" s="3" t="str">
        <f t="shared" si="80"/>
        <v/>
      </c>
      <c r="I1613" s="5"/>
      <c r="J1613" s="5"/>
      <c r="K1613" s="6"/>
      <c r="L1613" s="6"/>
      <c r="M1613" s="7" t="str">
        <f t="shared" si="81"/>
        <v/>
      </c>
      <c r="N1613" s="6"/>
      <c r="O1613" s="5"/>
    </row>
    <row r="1614" spans="1:15" x14ac:dyDescent="0.2">
      <c r="A1614" s="3" t="str">
        <f>IF($B1614="","",COUNTA($B$9:$B1614))</f>
        <v/>
      </c>
      <c r="B1614" s="4"/>
      <c r="C1614" s="4"/>
      <c r="D1614" s="4"/>
      <c r="E1614" s="5"/>
      <c r="F1614" s="3" t="str">
        <f t="shared" si="79"/>
        <v/>
      </c>
      <c r="G1614" s="4"/>
      <c r="H1614" s="3" t="str">
        <f t="shared" si="80"/>
        <v/>
      </c>
      <c r="I1614" s="5"/>
      <c r="J1614" s="5"/>
      <c r="K1614" s="6"/>
      <c r="L1614" s="6"/>
      <c r="M1614" s="7" t="str">
        <f t="shared" si="81"/>
        <v/>
      </c>
      <c r="N1614" s="6"/>
      <c r="O1614" s="5"/>
    </row>
    <row r="1615" spans="1:15" x14ac:dyDescent="0.2">
      <c r="A1615" s="3" t="str">
        <f>IF($B1615="","",COUNTA($B$9:$B1615))</f>
        <v/>
      </c>
      <c r="B1615" s="4"/>
      <c r="C1615" s="4"/>
      <c r="D1615" s="4"/>
      <c r="E1615" s="5"/>
      <c r="F1615" s="3" t="str">
        <f t="shared" si="79"/>
        <v/>
      </c>
      <c r="G1615" s="4"/>
      <c r="H1615" s="3" t="str">
        <f t="shared" si="80"/>
        <v/>
      </c>
      <c r="I1615" s="5"/>
      <c r="J1615" s="5"/>
      <c r="K1615" s="6"/>
      <c r="L1615" s="6"/>
      <c r="M1615" s="7" t="str">
        <f t="shared" si="81"/>
        <v/>
      </c>
      <c r="N1615" s="6"/>
      <c r="O1615" s="5"/>
    </row>
    <row r="1616" spans="1:15" x14ac:dyDescent="0.2">
      <c r="A1616" s="3" t="str">
        <f>IF($B1616="","",COUNTA($B$9:$B1616))</f>
        <v/>
      </c>
      <c r="B1616" s="4"/>
      <c r="C1616" s="4"/>
      <c r="D1616" s="4"/>
      <c r="E1616" s="5"/>
      <c r="F1616" s="3" t="str">
        <f t="shared" si="79"/>
        <v/>
      </c>
      <c r="G1616" s="4"/>
      <c r="H1616" s="3" t="str">
        <f t="shared" si="80"/>
        <v/>
      </c>
      <c r="I1616" s="5"/>
      <c r="J1616" s="5"/>
      <c r="K1616" s="6"/>
      <c r="L1616" s="6"/>
      <c r="M1616" s="7" t="str">
        <f t="shared" si="81"/>
        <v/>
      </c>
      <c r="N1616" s="6"/>
      <c r="O1616" s="5"/>
    </row>
    <row r="1617" spans="1:15" x14ac:dyDescent="0.2">
      <c r="A1617" s="3" t="str">
        <f>IF($B1617="","",COUNTA($B$9:$B1617))</f>
        <v/>
      </c>
      <c r="B1617" s="4"/>
      <c r="C1617" s="4"/>
      <c r="D1617" s="4"/>
      <c r="E1617" s="5"/>
      <c r="F1617" s="3" t="str">
        <f t="shared" si="79"/>
        <v/>
      </c>
      <c r="G1617" s="4"/>
      <c r="H1617" s="3" t="str">
        <f t="shared" si="80"/>
        <v/>
      </c>
      <c r="I1617" s="5"/>
      <c r="J1617" s="5"/>
      <c r="K1617" s="6"/>
      <c r="L1617" s="6"/>
      <c r="M1617" s="7" t="str">
        <f t="shared" si="81"/>
        <v/>
      </c>
      <c r="N1617" s="6"/>
      <c r="O1617" s="5"/>
    </row>
    <row r="1618" spans="1:15" x14ac:dyDescent="0.2">
      <c r="A1618" s="3" t="str">
        <f>IF($B1618="","",COUNTA($B$9:$B1618))</f>
        <v/>
      </c>
      <c r="B1618" s="4"/>
      <c r="C1618" s="4"/>
      <c r="D1618" s="4"/>
      <c r="E1618" s="5"/>
      <c r="F1618" s="3" t="str">
        <f t="shared" si="79"/>
        <v/>
      </c>
      <c r="G1618" s="4"/>
      <c r="H1618" s="3" t="str">
        <f t="shared" si="80"/>
        <v/>
      </c>
      <c r="I1618" s="5"/>
      <c r="J1618" s="5"/>
      <c r="K1618" s="6"/>
      <c r="L1618" s="6"/>
      <c r="M1618" s="7" t="str">
        <f t="shared" si="81"/>
        <v/>
      </c>
      <c r="N1618" s="6"/>
      <c r="O1618" s="5"/>
    </row>
    <row r="1619" spans="1:15" x14ac:dyDescent="0.2">
      <c r="A1619" s="3" t="str">
        <f>IF($B1619="","",COUNTA($B$9:$B1619))</f>
        <v/>
      </c>
      <c r="B1619" s="4"/>
      <c r="C1619" s="4"/>
      <c r="D1619" s="4"/>
      <c r="E1619" s="5"/>
      <c r="F1619" s="3" t="str">
        <f t="shared" si="79"/>
        <v/>
      </c>
      <c r="G1619" s="4"/>
      <c r="H1619" s="3" t="str">
        <f t="shared" si="80"/>
        <v/>
      </c>
      <c r="I1619" s="5"/>
      <c r="J1619" s="5"/>
      <c r="K1619" s="6"/>
      <c r="L1619" s="6"/>
      <c r="M1619" s="7" t="str">
        <f t="shared" si="81"/>
        <v/>
      </c>
      <c r="N1619" s="6"/>
      <c r="O1619" s="5"/>
    </row>
    <row r="1620" spans="1:15" x14ac:dyDescent="0.2">
      <c r="A1620" s="3" t="str">
        <f>IF($B1620="","",COUNTA($B$9:$B1620))</f>
        <v/>
      </c>
      <c r="B1620" s="4"/>
      <c r="C1620" s="4"/>
      <c r="D1620" s="4"/>
      <c r="E1620" s="5"/>
      <c r="F1620" s="3" t="str">
        <f t="shared" si="79"/>
        <v/>
      </c>
      <c r="G1620" s="4"/>
      <c r="H1620" s="3" t="str">
        <f t="shared" si="80"/>
        <v/>
      </c>
      <c r="I1620" s="5"/>
      <c r="J1620" s="5"/>
      <c r="K1620" s="6"/>
      <c r="L1620" s="6"/>
      <c r="M1620" s="7" t="str">
        <f t="shared" si="81"/>
        <v/>
      </c>
      <c r="N1620" s="6"/>
      <c r="O1620" s="5"/>
    </row>
    <row r="1621" spans="1:15" x14ac:dyDescent="0.2">
      <c r="A1621" s="3" t="str">
        <f>IF($B1621="","",COUNTA($B$9:$B1621))</f>
        <v/>
      </c>
      <c r="B1621" s="4"/>
      <c r="C1621" s="4"/>
      <c r="D1621" s="4"/>
      <c r="E1621" s="5"/>
      <c r="F1621" s="3" t="str">
        <f t="shared" si="79"/>
        <v/>
      </c>
      <c r="G1621" s="4"/>
      <c r="H1621" s="3" t="str">
        <f t="shared" si="80"/>
        <v/>
      </c>
      <c r="I1621" s="5"/>
      <c r="J1621" s="5"/>
      <c r="K1621" s="6"/>
      <c r="L1621" s="6"/>
      <c r="M1621" s="7" t="str">
        <f t="shared" si="81"/>
        <v/>
      </c>
      <c r="N1621" s="6"/>
      <c r="O1621" s="5"/>
    </row>
    <row r="1622" spans="1:15" x14ac:dyDescent="0.2">
      <c r="A1622" s="3" t="str">
        <f>IF($B1622="","",COUNTA($B$9:$B1622))</f>
        <v/>
      </c>
      <c r="B1622" s="4"/>
      <c r="C1622" s="4"/>
      <c r="D1622" s="4"/>
      <c r="E1622" s="5"/>
      <c r="F1622" s="3" t="str">
        <f t="shared" si="79"/>
        <v/>
      </c>
      <c r="G1622" s="4"/>
      <c r="H1622" s="3" t="str">
        <f t="shared" si="80"/>
        <v/>
      </c>
      <c r="I1622" s="5"/>
      <c r="J1622" s="5"/>
      <c r="K1622" s="6"/>
      <c r="L1622" s="6"/>
      <c r="M1622" s="7" t="str">
        <f t="shared" si="81"/>
        <v/>
      </c>
      <c r="N1622" s="6"/>
      <c r="O1622" s="5"/>
    </row>
    <row r="1623" spans="1:15" x14ac:dyDescent="0.2">
      <c r="A1623" s="3" t="str">
        <f>IF($B1623="","",COUNTA($B$9:$B1623))</f>
        <v/>
      </c>
      <c r="B1623" s="4"/>
      <c r="C1623" s="4"/>
      <c r="D1623" s="4"/>
      <c r="E1623" s="5"/>
      <c r="F1623" s="3" t="str">
        <f t="shared" si="79"/>
        <v/>
      </c>
      <c r="G1623" s="4"/>
      <c r="H1623" s="3" t="str">
        <f t="shared" si="80"/>
        <v/>
      </c>
      <c r="I1623" s="5"/>
      <c r="J1623" s="5"/>
      <c r="K1623" s="6"/>
      <c r="L1623" s="6"/>
      <c r="M1623" s="7" t="str">
        <f t="shared" si="81"/>
        <v/>
      </c>
      <c r="N1623" s="6"/>
      <c r="O1623" s="5"/>
    </row>
    <row r="1624" spans="1:15" x14ac:dyDescent="0.2">
      <c r="A1624" s="3" t="str">
        <f>IF($B1624="","",COUNTA($B$9:$B1624))</f>
        <v/>
      </c>
      <c r="B1624" s="4"/>
      <c r="C1624" s="4"/>
      <c r="D1624" s="4"/>
      <c r="E1624" s="5"/>
      <c r="F1624" s="3" t="str">
        <f t="shared" si="79"/>
        <v/>
      </c>
      <c r="G1624" s="4"/>
      <c r="H1624" s="3" t="str">
        <f t="shared" si="80"/>
        <v/>
      </c>
      <c r="I1624" s="5"/>
      <c r="J1624" s="5"/>
      <c r="K1624" s="6"/>
      <c r="L1624" s="6"/>
      <c r="M1624" s="7" t="str">
        <f t="shared" si="81"/>
        <v/>
      </c>
      <c r="N1624" s="6"/>
      <c r="O1624" s="5"/>
    </row>
    <row r="1625" spans="1:15" x14ac:dyDescent="0.2">
      <c r="A1625" s="3" t="str">
        <f>IF($B1625="","",COUNTA($B$9:$B1625))</f>
        <v/>
      </c>
      <c r="B1625" s="4"/>
      <c r="C1625" s="4"/>
      <c r="D1625" s="4"/>
      <c r="E1625" s="5"/>
      <c r="F1625" s="3" t="str">
        <f t="shared" si="79"/>
        <v/>
      </c>
      <c r="G1625" s="4"/>
      <c r="H1625" s="3" t="str">
        <f t="shared" si="80"/>
        <v/>
      </c>
      <c r="I1625" s="5"/>
      <c r="J1625" s="5"/>
      <c r="K1625" s="6"/>
      <c r="L1625" s="6"/>
      <c r="M1625" s="7" t="str">
        <f t="shared" si="81"/>
        <v/>
      </c>
      <c r="N1625" s="6"/>
      <c r="O1625" s="5"/>
    </row>
    <row r="1626" spans="1:15" x14ac:dyDescent="0.2">
      <c r="A1626" s="3" t="str">
        <f>IF($B1626="","",COUNTA($B$9:$B1626))</f>
        <v/>
      </c>
      <c r="B1626" s="4"/>
      <c r="C1626" s="4"/>
      <c r="D1626" s="4"/>
      <c r="E1626" s="5"/>
      <c r="F1626" s="3" t="str">
        <f t="shared" si="79"/>
        <v/>
      </c>
      <c r="G1626" s="4"/>
      <c r="H1626" s="3" t="str">
        <f t="shared" si="80"/>
        <v/>
      </c>
      <c r="I1626" s="5"/>
      <c r="J1626" s="5"/>
      <c r="K1626" s="6"/>
      <c r="L1626" s="6"/>
      <c r="M1626" s="7" t="str">
        <f t="shared" si="81"/>
        <v/>
      </c>
      <c r="N1626" s="6"/>
      <c r="O1626" s="5"/>
    </row>
    <row r="1627" spans="1:15" x14ac:dyDescent="0.2">
      <c r="A1627" s="3" t="str">
        <f>IF($B1627="","",COUNTA($B$9:$B1627))</f>
        <v/>
      </c>
      <c r="B1627" s="4"/>
      <c r="C1627" s="4"/>
      <c r="D1627" s="4"/>
      <c r="E1627" s="5"/>
      <c r="F1627" s="3" t="str">
        <f t="shared" si="79"/>
        <v/>
      </c>
      <c r="G1627" s="4"/>
      <c r="H1627" s="3" t="str">
        <f t="shared" si="80"/>
        <v/>
      </c>
      <c r="I1627" s="5"/>
      <c r="J1627" s="5"/>
      <c r="K1627" s="6"/>
      <c r="L1627" s="6"/>
      <c r="M1627" s="7" t="str">
        <f t="shared" si="81"/>
        <v/>
      </c>
      <c r="N1627" s="6"/>
      <c r="O1627" s="5"/>
    </row>
    <row r="1628" spans="1:15" x14ac:dyDescent="0.2">
      <c r="A1628" s="3" t="str">
        <f>IF($B1628="","",COUNTA($B$9:$B1628))</f>
        <v/>
      </c>
      <c r="B1628" s="4"/>
      <c r="C1628" s="4"/>
      <c r="D1628" s="4"/>
      <c r="E1628" s="5"/>
      <c r="F1628" s="3" t="str">
        <f t="shared" si="79"/>
        <v/>
      </c>
      <c r="G1628" s="4"/>
      <c r="H1628" s="3" t="str">
        <f t="shared" si="80"/>
        <v/>
      </c>
      <c r="I1628" s="5"/>
      <c r="J1628" s="5"/>
      <c r="K1628" s="6"/>
      <c r="L1628" s="6"/>
      <c r="M1628" s="7" t="str">
        <f t="shared" si="81"/>
        <v/>
      </c>
      <c r="N1628" s="6"/>
      <c r="O1628" s="5"/>
    </row>
    <row r="1629" spans="1:15" x14ac:dyDescent="0.2">
      <c r="A1629" s="3" t="str">
        <f>IF($B1629="","",COUNTA($B$9:$B1629))</f>
        <v/>
      </c>
      <c r="B1629" s="4"/>
      <c r="C1629" s="4"/>
      <c r="D1629" s="4"/>
      <c r="E1629" s="5"/>
      <c r="F1629" s="3" t="str">
        <f t="shared" si="79"/>
        <v/>
      </c>
      <c r="G1629" s="4"/>
      <c r="H1629" s="3" t="str">
        <f t="shared" si="80"/>
        <v/>
      </c>
      <c r="I1629" s="5"/>
      <c r="J1629" s="5"/>
      <c r="K1629" s="6"/>
      <c r="L1629" s="6"/>
      <c r="M1629" s="7" t="str">
        <f t="shared" si="81"/>
        <v/>
      </c>
      <c r="N1629" s="6"/>
      <c r="O1629" s="5"/>
    </row>
    <row r="1630" spans="1:15" x14ac:dyDescent="0.2">
      <c r="A1630" s="3" t="str">
        <f>IF($B1630="","",COUNTA($B$9:$B1630))</f>
        <v/>
      </c>
      <c r="B1630" s="4"/>
      <c r="C1630" s="4"/>
      <c r="D1630" s="4"/>
      <c r="E1630" s="5"/>
      <c r="F1630" s="3" t="str">
        <f t="shared" si="79"/>
        <v/>
      </c>
      <c r="G1630" s="4"/>
      <c r="H1630" s="3" t="str">
        <f t="shared" si="80"/>
        <v/>
      </c>
      <c r="I1630" s="5"/>
      <c r="J1630" s="5"/>
      <c r="K1630" s="6"/>
      <c r="L1630" s="6"/>
      <c r="M1630" s="7" t="str">
        <f t="shared" si="81"/>
        <v/>
      </c>
      <c r="N1630" s="6"/>
      <c r="O1630" s="5"/>
    </row>
    <row r="1631" spans="1:15" x14ac:dyDescent="0.2">
      <c r="A1631" s="3" t="str">
        <f>IF($B1631="","",COUNTA($B$9:$B1631))</f>
        <v/>
      </c>
      <c r="B1631" s="4"/>
      <c r="C1631" s="4"/>
      <c r="D1631" s="4"/>
      <c r="E1631" s="5"/>
      <c r="F1631" s="3" t="str">
        <f t="shared" si="79"/>
        <v/>
      </c>
      <c r="G1631" s="4"/>
      <c r="H1631" s="3" t="str">
        <f t="shared" si="80"/>
        <v/>
      </c>
      <c r="I1631" s="5"/>
      <c r="J1631" s="5"/>
      <c r="K1631" s="6"/>
      <c r="L1631" s="6"/>
      <c r="M1631" s="7" t="str">
        <f t="shared" si="81"/>
        <v/>
      </c>
      <c r="N1631" s="6"/>
      <c r="O1631" s="5"/>
    </row>
    <row r="1632" spans="1:15" x14ac:dyDescent="0.2">
      <c r="A1632" s="3" t="str">
        <f>IF($B1632="","",COUNTA($B$9:$B1632))</f>
        <v/>
      </c>
      <c r="B1632" s="4"/>
      <c r="C1632" s="4"/>
      <c r="D1632" s="4"/>
      <c r="E1632" s="5"/>
      <c r="F1632" s="3" t="str">
        <f t="shared" si="79"/>
        <v/>
      </c>
      <c r="G1632" s="4"/>
      <c r="H1632" s="3" t="str">
        <f t="shared" si="80"/>
        <v/>
      </c>
      <c r="I1632" s="5"/>
      <c r="J1632" s="5"/>
      <c r="K1632" s="6"/>
      <c r="L1632" s="6"/>
      <c r="M1632" s="7" t="str">
        <f t="shared" si="81"/>
        <v/>
      </c>
      <c r="N1632" s="6"/>
      <c r="O1632" s="5"/>
    </row>
    <row r="1633" spans="1:15" x14ac:dyDescent="0.2">
      <c r="A1633" s="3" t="str">
        <f>IF($B1633="","",COUNTA($B$9:$B1633))</f>
        <v/>
      </c>
      <c r="B1633" s="4"/>
      <c r="C1633" s="4"/>
      <c r="D1633" s="4"/>
      <c r="E1633" s="5"/>
      <c r="F1633" s="3" t="str">
        <f t="shared" si="79"/>
        <v/>
      </c>
      <c r="G1633" s="4"/>
      <c r="H1633" s="3" t="str">
        <f t="shared" si="80"/>
        <v/>
      </c>
      <c r="I1633" s="5"/>
      <c r="J1633" s="5"/>
      <c r="K1633" s="6"/>
      <c r="L1633" s="6"/>
      <c r="M1633" s="7" t="str">
        <f t="shared" si="81"/>
        <v/>
      </c>
      <c r="N1633" s="6"/>
      <c r="O1633" s="5"/>
    </row>
    <row r="1634" spans="1:15" x14ac:dyDescent="0.2">
      <c r="A1634" s="3" t="str">
        <f>IF($B1634="","",COUNTA($B$9:$B1634))</f>
        <v/>
      </c>
      <c r="B1634" s="4"/>
      <c r="C1634" s="4"/>
      <c r="D1634" s="4"/>
      <c r="E1634" s="5"/>
      <c r="F1634" s="3" t="str">
        <f t="shared" si="79"/>
        <v/>
      </c>
      <c r="G1634" s="4"/>
      <c r="H1634" s="3" t="str">
        <f t="shared" si="80"/>
        <v/>
      </c>
      <c r="I1634" s="5"/>
      <c r="J1634" s="5"/>
      <c r="K1634" s="6"/>
      <c r="L1634" s="6"/>
      <c r="M1634" s="7" t="str">
        <f t="shared" si="81"/>
        <v/>
      </c>
      <c r="N1634" s="6"/>
      <c r="O1634" s="5"/>
    </row>
    <row r="1635" spans="1:15" x14ac:dyDescent="0.2">
      <c r="A1635" s="3" t="str">
        <f>IF($B1635="","",COUNTA($B$9:$B1635))</f>
        <v/>
      </c>
      <c r="B1635" s="4"/>
      <c r="C1635" s="4"/>
      <c r="D1635" s="4"/>
      <c r="E1635" s="5"/>
      <c r="F1635" s="3" t="str">
        <f t="shared" si="79"/>
        <v/>
      </c>
      <c r="G1635" s="4"/>
      <c r="H1635" s="3" t="str">
        <f t="shared" si="80"/>
        <v/>
      </c>
      <c r="I1635" s="5"/>
      <c r="J1635" s="5"/>
      <c r="K1635" s="6"/>
      <c r="L1635" s="6"/>
      <c r="M1635" s="7" t="str">
        <f t="shared" si="81"/>
        <v/>
      </c>
      <c r="N1635" s="6"/>
      <c r="O1635" s="5"/>
    </row>
    <row r="1636" spans="1:15" x14ac:dyDescent="0.2">
      <c r="A1636" s="3" t="str">
        <f>IF($B1636="","",COUNTA($B$9:$B1636))</f>
        <v/>
      </c>
      <c r="B1636" s="4"/>
      <c r="C1636" s="4"/>
      <c r="D1636" s="4"/>
      <c r="E1636" s="5"/>
      <c r="F1636" s="3" t="str">
        <f t="shared" si="79"/>
        <v/>
      </c>
      <c r="G1636" s="4"/>
      <c r="H1636" s="3" t="str">
        <f t="shared" si="80"/>
        <v/>
      </c>
      <c r="I1636" s="5"/>
      <c r="J1636" s="5"/>
      <c r="K1636" s="6"/>
      <c r="L1636" s="6"/>
      <c r="M1636" s="7" t="str">
        <f t="shared" si="81"/>
        <v/>
      </c>
      <c r="N1636" s="6"/>
      <c r="O1636" s="5"/>
    </row>
    <row r="1637" spans="1:15" x14ac:dyDescent="0.2">
      <c r="A1637" s="3" t="str">
        <f>IF($B1637="","",COUNTA($B$9:$B1637))</f>
        <v/>
      </c>
      <c r="B1637" s="4"/>
      <c r="C1637" s="4"/>
      <c r="D1637" s="4"/>
      <c r="E1637" s="5"/>
      <c r="F1637" s="3" t="str">
        <f t="shared" si="79"/>
        <v/>
      </c>
      <c r="G1637" s="4"/>
      <c r="H1637" s="3" t="str">
        <f t="shared" si="80"/>
        <v/>
      </c>
      <c r="I1637" s="5"/>
      <c r="J1637" s="5"/>
      <c r="K1637" s="6"/>
      <c r="L1637" s="6"/>
      <c r="M1637" s="7" t="str">
        <f t="shared" si="81"/>
        <v/>
      </c>
      <c r="N1637" s="6"/>
      <c r="O1637" s="5"/>
    </row>
    <row r="1638" spans="1:15" x14ac:dyDescent="0.2">
      <c r="A1638" s="3" t="str">
        <f>IF($B1638="","",COUNTA($B$9:$B1638))</f>
        <v/>
      </c>
      <c r="B1638" s="4"/>
      <c r="C1638" s="4"/>
      <c r="D1638" s="4"/>
      <c r="E1638" s="5"/>
      <c r="F1638" s="3" t="str">
        <f t="shared" si="79"/>
        <v/>
      </c>
      <c r="G1638" s="4"/>
      <c r="H1638" s="3" t="str">
        <f t="shared" si="80"/>
        <v/>
      </c>
      <c r="I1638" s="5"/>
      <c r="J1638" s="5"/>
      <c r="K1638" s="6"/>
      <c r="L1638" s="6"/>
      <c r="M1638" s="7" t="str">
        <f t="shared" si="81"/>
        <v/>
      </c>
      <c r="N1638" s="6"/>
      <c r="O1638" s="5"/>
    </row>
    <row r="1639" spans="1:15" x14ac:dyDescent="0.2">
      <c r="A1639" s="3" t="str">
        <f>IF($B1639="","",COUNTA($B$9:$B1639))</f>
        <v/>
      </c>
      <c r="B1639" s="4"/>
      <c r="C1639" s="4"/>
      <c r="D1639" s="4"/>
      <c r="E1639" s="5"/>
      <c r="F1639" s="3" t="str">
        <f t="shared" si="79"/>
        <v/>
      </c>
      <c r="G1639" s="4"/>
      <c r="H1639" s="3" t="str">
        <f t="shared" si="80"/>
        <v/>
      </c>
      <c r="I1639" s="5"/>
      <c r="J1639" s="5"/>
      <c r="K1639" s="6"/>
      <c r="L1639" s="6"/>
      <c r="M1639" s="7" t="str">
        <f t="shared" si="81"/>
        <v/>
      </c>
      <c r="N1639" s="6"/>
      <c r="O1639" s="5"/>
    </row>
    <row r="1640" spans="1:15" x14ac:dyDescent="0.2">
      <c r="A1640" s="3" t="str">
        <f>IF($B1640="","",COUNTA($B$9:$B1640))</f>
        <v/>
      </c>
      <c r="B1640" s="4"/>
      <c r="C1640" s="4"/>
      <c r="D1640" s="4"/>
      <c r="E1640" s="5"/>
      <c r="F1640" s="3" t="str">
        <f t="shared" si="79"/>
        <v/>
      </c>
      <c r="G1640" s="4"/>
      <c r="H1640" s="3" t="str">
        <f t="shared" si="80"/>
        <v/>
      </c>
      <c r="I1640" s="5"/>
      <c r="J1640" s="5"/>
      <c r="K1640" s="6"/>
      <c r="L1640" s="6"/>
      <c r="M1640" s="7" t="str">
        <f t="shared" si="81"/>
        <v/>
      </c>
      <c r="N1640" s="6"/>
      <c r="O1640" s="5"/>
    </row>
    <row r="1641" spans="1:15" x14ac:dyDescent="0.2">
      <c r="A1641" s="3" t="str">
        <f>IF($B1641="","",COUNTA($B$9:$B1641))</f>
        <v/>
      </c>
      <c r="B1641" s="4"/>
      <c r="C1641" s="4"/>
      <c r="D1641" s="4"/>
      <c r="E1641" s="5"/>
      <c r="F1641" s="3" t="str">
        <f t="shared" si="79"/>
        <v/>
      </c>
      <c r="G1641" s="4"/>
      <c r="H1641" s="3" t="str">
        <f t="shared" si="80"/>
        <v/>
      </c>
      <c r="I1641" s="5"/>
      <c r="J1641" s="5"/>
      <c r="K1641" s="6"/>
      <c r="L1641" s="6"/>
      <c r="M1641" s="7" t="str">
        <f t="shared" si="81"/>
        <v/>
      </c>
      <c r="N1641" s="6"/>
      <c r="O1641" s="5"/>
    </row>
    <row r="1642" spans="1:15" x14ac:dyDescent="0.2">
      <c r="A1642" s="3" t="str">
        <f>IF($B1642="","",COUNTA($B$9:$B1642))</f>
        <v/>
      </c>
      <c r="B1642" s="4"/>
      <c r="C1642" s="4"/>
      <c r="D1642" s="4"/>
      <c r="E1642" s="5"/>
      <c r="F1642" s="3" t="str">
        <f t="shared" si="79"/>
        <v/>
      </c>
      <c r="G1642" s="4"/>
      <c r="H1642" s="3" t="str">
        <f t="shared" si="80"/>
        <v/>
      </c>
      <c r="I1642" s="5"/>
      <c r="J1642" s="5"/>
      <c r="K1642" s="6"/>
      <c r="L1642" s="6"/>
      <c r="M1642" s="7" t="str">
        <f t="shared" si="81"/>
        <v/>
      </c>
      <c r="N1642" s="6"/>
      <c r="O1642" s="5"/>
    </row>
    <row r="1643" spans="1:15" x14ac:dyDescent="0.2">
      <c r="A1643" s="3" t="str">
        <f>IF($B1643="","",COUNTA($B$9:$B1643))</f>
        <v/>
      </c>
      <c r="B1643" s="4"/>
      <c r="C1643" s="4"/>
      <c r="D1643" s="4"/>
      <c r="E1643" s="5"/>
      <c r="F1643" s="3" t="str">
        <f t="shared" si="79"/>
        <v/>
      </c>
      <c r="G1643" s="4"/>
      <c r="H1643" s="3" t="str">
        <f t="shared" si="80"/>
        <v/>
      </c>
      <c r="I1643" s="5"/>
      <c r="J1643" s="5"/>
      <c r="K1643" s="6"/>
      <c r="L1643" s="6"/>
      <c r="M1643" s="7" t="str">
        <f t="shared" si="81"/>
        <v/>
      </c>
      <c r="N1643" s="6"/>
      <c r="O1643" s="5"/>
    </row>
    <row r="1644" spans="1:15" x14ac:dyDescent="0.2">
      <c r="A1644" s="3" t="str">
        <f>IF($B1644="","",COUNTA($B$9:$B1644))</f>
        <v/>
      </c>
      <c r="B1644" s="4"/>
      <c r="C1644" s="4"/>
      <c r="D1644" s="4"/>
      <c r="E1644" s="5"/>
      <c r="F1644" s="3" t="str">
        <f t="shared" si="79"/>
        <v/>
      </c>
      <c r="G1644" s="4"/>
      <c r="H1644" s="3" t="str">
        <f t="shared" si="80"/>
        <v/>
      </c>
      <c r="I1644" s="5"/>
      <c r="J1644" s="5"/>
      <c r="K1644" s="6"/>
      <c r="L1644" s="6"/>
      <c r="M1644" s="7" t="str">
        <f t="shared" si="81"/>
        <v/>
      </c>
      <c r="N1644" s="6"/>
      <c r="O1644" s="5"/>
    </row>
    <row r="1645" spans="1:15" x14ac:dyDescent="0.2">
      <c r="A1645" s="3" t="str">
        <f>IF($B1645="","",COUNTA($B$9:$B1645))</f>
        <v/>
      </c>
      <c r="B1645" s="4"/>
      <c r="C1645" s="4"/>
      <c r="D1645" s="4"/>
      <c r="E1645" s="5"/>
      <c r="F1645" s="3" t="str">
        <f t="shared" si="79"/>
        <v/>
      </c>
      <c r="G1645" s="4"/>
      <c r="H1645" s="3" t="str">
        <f t="shared" si="80"/>
        <v/>
      </c>
      <c r="I1645" s="5"/>
      <c r="J1645" s="5"/>
      <c r="K1645" s="6"/>
      <c r="L1645" s="6"/>
      <c r="M1645" s="7" t="str">
        <f t="shared" si="81"/>
        <v/>
      </c>
      <c r="N1645" s="6"/>
      <c r="O1645" s="5"/>
    </row>
    <row r="1646" spans="1:15" x14ac:dyDescent="0.2">
      <c r="A1646" s="3" t="str">
        <f>IF($B1646="","",COUNTA($B$9:$B1646))</f>
        <v/>
      </c>
      <c r="B1646" s="4"/>
      <c r="C1646" s="4"/>
      <c r="D1646" s="4"/>
      <c r="E1646" s="5"/>
      <c r="F1646" s="3" t="str">
        <f t="shared" si="79"/>
        <v/>
      </c>
      <c r="G1646" s="4"/>
      <c r="H1646" s="3" t="str">
        <f t="shared" si="80"/>
        <v/>
      </c>
      <c r="I1646" s="5"/>
      <c r="J1646" s="5"/>
      <c r="K1646" s="6"/>
      <c r="L1646" s="6"/>
      <c r="M1646" s="7" t="str">
        <f t="shared" si="81"/>
        <v/>
      </c>
      <c r="N1646" s="6"/>
      <c r="O1646" s="5"/>
    </row>
    <row r="1647" spans="1:15" x14ac:dyDescent="0.2">
      <c r="A1647" s="3" t="str">
        <f>IF($B1647="","",COUNTA($B$9:$B1647))</f>
        <v/>
      </c>
      <c r="B1647" s="4"/>
      <c r="C1647" s="4"/>
      <c r="D1647" s="4"/>
      <c r="E1647" s="5"/>
      <c r="F1647" s="3" t="str">
        <f t="shared" si="79"/>
        <v/>
      </c>
      <c r="G1647" s="4"/>
      <c r="H1647" s="3" t="str">
        <f t="shared" si="80"/>
        <v/>
      </c>
      <c r="I1647" s="5"/>
      <c r="J1647" s="5"/>
      <c r="K1647" s="6"/>
      <c r="L1647" s="6"/>
      <c r="M1647" s="7" t="str">
        <f t="shared" si="81"/>
        <v/>
      </c>
      <c r="N1647" s="6"/>
      <c r="O1647" s="5"/>
    </row>
    <row r="1648" spans="1:15" x14ac:dyDescent="0.2">
      <c r="A1648" s="3" t="str">
        <f>IF($B1648="","",COUNTA($B$9:$B1648))</f>
        <v/>
      </c>
      <c r="B1648" s="4"/>
      <c r="C1648" s="4"/>
      <c r="D1648" s="4"/>
      <c r="E1648" s="5"/>
      <c r="F1648" s="3" t="str">
        <f t="shared" si="79"/>
        <v/>
      </c>
      <c r="G1648" s="4"/>
      <c r="H1648" s="3" t="str">
        <f t="shared" si="80"/>
        <v/>
      </c>
      <c r="I1648" s="5"/>
      <c r="J1648" s="5"/>
      <c r="K1648" s="6"/>
      <c r="L1648" s="6"/>
      <c r="M1648" s="7" t="str">
        <f t="shared" si="81"/>
        <v/>
      </c>
      <c r="N1648" s="6"/>
      <c r="O1648" s="5"/>
    </row>
    <row r="1649" spans="1:15" x14ac:dyDescent="0.2">
      <c r="A1649" s="3" t="str">
        <f>IF($B1649="","",COUNTA($B$9:$B1649))</f>
        <v/>
      </c>
      <c r="B1649" s="4"/>
      <c r="C1649" s="4"/>
      <c r="D1649" s="4"/>
      <c r="E1649" s="5"/>
      <c r="F1649" s="3" t="str">
        <f t="shared" si="79"/>
        <v/>
      </c>
      <c r="G1649" s="4"/>
      <c r="H1649" s="3" t="str">
        <f t="shared" si="80"/>
        <v/>
      </c>
      <c r="I1649" s="5"/>
      <c r="J1649" s="5"/>
      <c r="K1649" s="6"/>
      <c r="L1649" s="6"/>
      <c r="M1649" s="7" t="str">
        <f t="shared" si="81"/>
        <v/>
      </c>
      <c r="N1649" s="6"/>
      <c r="O1649" s="5"/>
    </row>
    <row r="1650" spans="1:15" x14ac:dyDescent="0.2">
      <c r="A1650" s="3" t="str">
        <f>IF($B1650="","",COUNTA($B$9:$B1650))</f>
        <v/>
      </c>
      <c r="B1650" s="4"/>
      <c r="C1650" s="4"/>
      <c r="D1650" s="4"/>
      <c r="E1650" s="5"/>
      <c r="F1650" s="3" t="str">
        <f t="shared" si="79"/>
        <v/>
      </c>
      <c r="G1650" s="4"/>
      <c r="H1650" s="3" t="str">
        <f t="shared" si="80"/>
        <v/>
      </c>
      <c r="I1650" s="5"/>
      <c r="J1650" s="5"/>
      <c r="K1650" s="6"/>
      <c r="L1650" s="6"/>
      <c r="M1650" s="7" t="str">
        <f t="shared" si="81"/>
        <v/>
      </c>
      <c r="N1650" s="6"/>
      <c r="O1650" s="5"/>
    </row>
    <row r="1651" spans="1:15" x14ac:dyDescent="0.2">
      <c r="A1651" s="3" t="str">
        <f>IF($B1651="","",COUNTA($B$9:$B1651))</f>
        <v/>
      </c>
      <c r="B1651" s="4"/>
      <c r="C1651" s="4"/>
      <c r="D1651" s="4"/>
      <c r="E1651" s="5"/>
      <c r="F1651" s="3" t="str">
        <f t="shared" si="79"/>
        <v/>
      </c>
      <c r="G1651" s="4"/>
      <c r="H1651" s="3" t="str">
        <f t="shared" si="80"/>
        <v/>
      </c>
      <c r="I1651" s="5"/>
      <c r="J1651" s="5"/>
      <c r="K1651" s="6"/>
      <c r="L1651" s="6"/>
      <c r="M1651" s="7" t="str">
        <f t="shared" si="81"/>
        <v/>
      </c>
      <c r="N1651" s="6"/>
      <c r="O1651" s="5"/>
    </row>
    <row r="1652" spans="1:15" x14ac:dyDescent="0.2">
      <c r="A1652" s="3" t="str">
        <f>IF($B1652="","",COUNTA($B$9:$B1652))</f>
        <v/>
      </c>
      <c r="B1652" s="4"/>
      <c r="C1652" s="4"/>
      <c r="D1652" s="4"/>
      <c r="E1652" s="5"/>
      <c r="F1652" s="3" t="str">
        <f t="shared" si="79"/>
        <v/>
      </c>
      <c r="G1652" s="4"/>
      <c r="H1652" s="3" t="str">
        <f t="shared" si="80"/>
        <v/>
      </c>
      <c r="I1652" s="5"/>
      <c r="J1652" s="5"/>
      <c r="K1652" s="6"/>
      <c r="L1652" s="6"/>
      <c r="M1652" s="7" t="str">
        <f t="shared" si="81"/>
        <v/>
      </c>
      <c r="N1652" s="6"/>
      <c r="O1652" s="5"/>
    </row>
    <row r="1653" spans="1:15" x14ac:dyDescent="0.2">
      <c r="A1653" s="3" t="str">
        <f>IF($B1653="","",COUNTA($B$9:$B1653))</f>
        <v/>
      </c>
      <c r="B1653" s="4"/>
      <c r="C1653" s="4"/>
      <c r="D1653" s="4"/>
      <c r="E1653" s="5"/>
      <c r="F1653" s="3" t="str">
        <f t="shared" si="79"/>
        <v/>
      </c>
      <c r="G1653" s="4"/>
      <c r="H1653" s="3" t="str">
        <f t="shared" si="80"/>
        <v/>
      </c>
      <c r="I1653" s="5"/>
      <c r="J1653" s="5"/>
      <c r="K1653" s="6"/>
      <c r="L1653" s="6"/>
      <c r="M1653" s="7" t="str">
        <f t="shared" si="81"/>
        <v/>
      </c>
      <c r="N1653" s="6"/>
      <c r="O1653" s="5"/>
    </row>
    <row r="1654" spans="1:15" x14ac:dyDescent="0.2">
      <c r="A1654" s="3" t="str">
        <f>IF($B1654="","",COUNTA($B$9:$B1654))</f>
        <v/>
      </c>
      <c r="B1654" s="4"/>
      <c r="C1654" s="4"/>
      <c r="D1654" s="4"/>
      <c r="E1654" s="5"/>
      <c r="F1654" s="3" t="str">
        <f t="shared" si="79"/>
        <v/>
      </c>
      <c r="G1654" s="4"/>
      <c r="H1654" s="3" t="str">
        <f t="shared" si="80"/>
        <v/>
      </c>
      <c r="I1654" s="5"/>
      <c r="J1654" s="5"/>
      <c r="K1654" s="6"/>
      <c r="L1654" s="6"/>
      <c r="M1654" s="7" t="str">
        <f t="shared" si="81"/>
        <v/>
      </c>
      <c r="N1654" s="6"/>
      <c r="O1654" s="5"/>
    </row>
    <row r="1655" spans="1:15" x14ac:dyDescent="0.2">
      <c r="A1655" s="3" t="str">
        <f>IF($B1655="","",COUNTA($B$9:$B1655))</f>
        <v/>
      </c>
      <c r="B1655" s="4"/>
      <c r="C1655" s="4"/>
      <c r="D1655" s="4"/>
      <c r="E1655" s="5"/>
      <c r="F1655" s="3" t="str">
        <f t="shared" si="79"/>
        <v/>
      </c>
      <c r="G1655" s="4"/>
      <c r="H1655" s="3" t="str">
        <f t="shared" si="80"/>
        <v/>
      </c>
      <c r="I1655" s="5"/>
      <c r="J1655" s="5"/>
      <c r="K1655" s="6"/>
      <c r="L1655" s="6"/>
      <c r="M1655" s="7" t="str">
        <f t="shared" si="81"/>
        <v/>
      </c>
      <c r="N1655" s="6"/>
      <c r="O1655" s="5"/>
    </row>
    <row r="1656" spans="1:15" x14ac:dyDescent="0.2">
      <c r="A1656" s="3" t="str">
        <f>IF($B1656="","",COUNTA($B$9:$B1656))</f>
        <v/>
      </c>
      <c r="B1656" s="4"/>
      <c r="C1656" s="4"/>
      <c r="D1656" s="4"/>
      <c r="E1656" s="5"/>
      <c r="F1656" s="3" t="str">
        <f t="shared" si="79"/>
        <v/>
      </c>
      <c r="G1656" s="4"/>
      <c r="H1656" s="3" t="str">
        <f t="shared" si="80"/>
        <v/>
      </c>
      <c r="I1656" s="5"/>
      <c r="J1656" s="5"/>
      <c r="K1656" s="6"/>
      <c r="L1656" s="6"/>
      <c r="M1656" s="7" t="str">
        <f t="shared" si="81"/>
        <v/>
      </c>
      <c r="N1656" s="6"/>
      <c r="O1656" s="5"/>
    </row>
    <row r="1657" spans="1:15" x14ac:dyDescent="0.2">
      <c r="A1657" s="3" t="str">
        <f>IF($B1657="","",COUNTA($B$9:$B1657))</f>
        <v/>
      </c>
      <c r="B1657" s="4"/>
      <c r="C1657" s="4"/>
      <c r="D1657" s="4"/>
      <c r="E1657" s="5"/>
      <c r="F1657" s="3" t="str">
        <f t="shared" si="79"/>
        <v/>
      </c>
      <c r="G1657" s="4"/>
      <c r="H1657" s="3" t="str">
        <f t="shared" si="80"/>
        <v/>
      </c>
      <c r="I1657" s="5"/>
      <c r="J1657" s="5"/>
      <c r="K1657" s="6"/>
      <c r="L1657" s="6"/>
      <c r="M1657" s="7" t="str">
        <f t="shared" si="81"/>
        <v/>
      </c>
      <c r="N1657" s="6"/>
      <c r="O1657" s="5"/>
    </row>
    <row r="1658" spans="1:15" x14ac:dyDescent="0.2">
      <c r="A1658" s="3" t="str">
        <f>IF($B1658="","",COUNTA($B$9:$B1658))</f>
        <v/>
      </c>
      <c r="B1658" s="4"/>
      <c r="C1658" s="4"/>
      <c r="D1658" s="4"/>
      <c r="E1658" s="5"/>
      <c r="F1658" s="3" t="str">
        <f t="shared" si="79"/>
        <v/>
      </c>
      <c r="G1658" s="4"/>
      <c r="H1658" s="3" t="str">
        <f t="shared" si="80"/>
        <v/>
      </c>
      <c r="I1658" s="5"/>
      <c r="J1658" s="5"/>
      <c r="K1658" s="6"/>
      <c r="L1658" s="6"/>
      <c r="M1658" s="7" t="str">
        <f t="shared" si="81"/>
        <v/>
      </c>
      <c r="N1658" s="6"/>
      <c r="O1658" s="5"/>
    </row>
    <row r="1659" spans="1:15" x14ac:dyDescent="0.2">
      <c r="A1659" s="3" t="str">
        <f>IF($B1659="","",COUNTA($B$9:$B1659))</f>
        <v/>
      </c>
      <c r="B1659" s="4"/>
      <c r="C1659" s="4"/>
      <c r="D1659" s="4"/>
      <c r="E1659" s="5"/>
      <c r="F1659" s="3" t="str">
        <f t="shared" si="79"/>
        <v/>
      </c>
      <c r="G1659" s="4"/>
      <c r="H1659" s="3" t="str">
        <f t="shared" si="80"/>
        <v/>
      </c>
      <c r="I1659" s="5"/>
      <c r="J1659" s="5"/>
      <c r="K1659" s="6"/>
      <c r="L1659" s="6"/>
      <c r="M1659" s="7" t="str">
        <f t="shared" si="81"/>
        <v/>
      </c>
      <c r="N1659" s="6"/>
      <c r="O1659" s="5"/>
    </row>
    <row r="1660" spans="1:15" x14ac:dyDescent="0.2">
      <c r="A1660" s="3" t="str">
        <f>IF($B1660="","",COUNTA($B$9:$B1660))</f>
        <v/>
      </c>
      <c r="B1660" s="4"/>
      <c r="C1660" s="4"/>
      <c r="D1660" s="4"/>
      <c r="E1660" s="5"/>
      <c r="F1660" s="3" t="str">
        <f t="shared" si="79"/>
        <v/>
      </c>
      <c r="G1660" s="4"/>
      <c r="H1660" s="3" t="str">
        <f t="shared" si="80"/>
        <v/>
      </c>
      <c r="I1660" s="5"/>
      <c r="J1660" s="5"/>
      <c r="K1660" s="6"/>
      <c r="L1660" s="6"/>
      <c r="M1660" s="7" t="str">
        <f t="shared" si="81"/>
        <v/>
      </c>
      <c r="N1660" s="6"/>
      <c r="O1660" s="5"/>
    </row>
    <row r="1661" spans="1:15" x14ac:dyDescent="0.2">
      <c r="A1661" s="3" t="str">
        <f>IF($B1661="","",COUNTA($B$9:$B1661))</f>
        <v/>
      </c>
      <c r="B1661" s="4"/>
      <c r="C1661" s="4"/>
      <c r="D1661" s="4"/>
      <c r="E1661" s="5"/>
      <c r="F1661" s="3" t="str">
        <f t="shared" si="79"/>
        <v/>
      </c>
      <c r="G1661" s="4"/>
      <c r="H1661" s="3" t="str">
        <f t="shared" si="80"/>
        <v/>
      </c>
      <c r="I1661" s="5"/>
      <c r="J1661" s="5"/>
      <c r="K1661" s="6"/>
      <c r="L1661" s="6"/>
      <c r="M1661" s="7" t="str">
        <f t="shared" si="81"/>
        <v/>
      </c>
      <c r="N1661" s="6"/>
      <c r="O1661" s="5"/>
    </row>
    <row r="1662" spans="1:15" x14ac:dyDescent="0.2">
      <c r="A1662" s="3" t="str">
        <f>IF($B1662="","",COUNTA($B$9:$B1662))</f>
        <v/>
      </c>
      <c r="B1662" s="4"/>
      <c r="C1662" s="4"/>
      <c r="D1662" s="4"/>
      <c r="E1662" s="5"/>
      <c r="F1662" s="3" t="str">
        <f t="shared" si="79"/>
        <v/>
      </c>
      <c r="G1662" s="4"/>
      <c r="H1662" s="3" t="str">
        <f t="shared" si="80"/>
        <v/>
      </c>
      <c r="I1662" s="5"/>
      <c r="J1662" s="5"/>
      <c r="K1662" s="6"/>
      <c r="L1662" s="6"/>
      <c r="M1662" s="7" t="str">
        <f t="shared" si="81"/>
        <v/>
      </c>
      <c r="N1662" s="6"/>
      <c r="O1662" s="5"/>
    </row>
    <row r="1663" spans="1:15" x14ac:dyDescent="0.2">
      <c r="A1663" s="3" t="str">
        <f>IF($B1663="","",COUNTA($B$9:$B1663))</f>
        <v/>
      </c>
      <c r="B1663" s="4"/>
      <c r="C1663" s="4"/>
      <c r="D1663" s="4"/>
      <c r="E1663" s="5"/>
      <c r="F1663" s="3" t="str">
        <f t="shared" si="79"/>
        <v/>
      </c>
      <c r="G1663" s="4"/>
      <c r="H1663" s="3" t="str">
        <f t="shared" si="80"/>
        <v/>
      </c>
      <c r="I1663" s="5"/>
      <c r="J1663" s="5"/>
      <c r="K1663" s="6"/>
      <c r="L1663" s="6"/>
      <c r="M1663" s="7" t="str">
        <f t="shared" si="81"/>
        <v/>
      </c>
      <c r="N1663" s="6"/>
      <c r="O1663" s="5"/>
    </row>
    <row r="1664" spans="1:15" x14ac:dyDescent="0.2">
      <c r="A1664" s="3" t="str">
        <f>IF($B1664="","",COUNTA($B$9:$B1664))</f>
        <v/>
      </c>
      <c r="B1664" s="4"/>
      <c r="C1664" s="4"/>
      <c r="D1664" s="4"/>
      <c r="E1664" s="5"/>
      <c r="F1664" s="3" t="str">
        <f t="shared" si="79"/>
        <v/>
      </c>
      <c r="G1664" s="4"/>
      <c r="H1664" s="3" t="str">
        <f t="shared" si="80"/>
        <v/>
      </c>
      <c r="I1664" s="5"/>
      <c r="J1664" s="5"/>
      <c r="K1664" s="6"/>
      <c r="L1664" s="6"/>
      <c r="M1664" s="7" t="str">
        <f t="shared" si="81"/>
        <v/>
      </c>
      <c r="N1664" s="6"/>
      <c r="O1664" s="5"/>
    </row>
    <row r="1665" spans="1:15" x14ac:dyDescent="0.2">
      <c r="A1665" s="3" t="str">
        <f>IF($B1665="","",COUNTA($B$9:$B1665))</f>
        <v/>
      </c>
      <c r="B1665" s="4"/>
      <c r="C1665" s="4"/>
      <c r="D1665" s="4"/>
      <c r="E1665" s="5"/>
      <c r="F1665" s="3" t="str">
        <f t="shared" si="79"/>
        <v/>
      </c>
      <c r="G1665" s="4"/>
      <c r="H1665" s="3" t="str">
        <f t="shared" si="80"/>
        <v/>
      </c>
      <c r="I1665" s="5"/>
      <c r="J1665" s="5"/>
      <c r="K1665" s="6"/>
      <c r="L1665" s="6"/>
      <c r="M1665" s="7" t="str">
        <f t="shared" si="81"/>
        <v/>
      </c>
      <c r="N1665" s="6"/>
      <c r="O1665" s="5"/>
    </row>
    <row r="1666" spans="1:15" x14ac:dyDescent="0.2">
      <c r="A1666" s="3" t="str">
        <f>IF($B1666="","",COUNTA($B$9:$B1666))</f>
        <v/>
      </c>
      <c r="B1666" s="4"/>
      <c r="C1666" s="4"/>
      <c r="D1666" s="4"/>
      <c r="E1666" s="5"/>
      <c r="F1666" s="3" t="str">
        <f t="shared" si="79"/>
        <v/>
      </c>
      <c r="G1666" s="4"/>
      <c r="H1666" s="3" t="str">
        <f t="shared" si="80"/>
        <v/>
      </c>
      <c r="I1666" s="5"/>
      <c r="J1666" s="5"/>
      <c r="K1666" s="6"/>
      <c r="L1666" s="6"/>
      <c r="M1666" s="7" t="str">
        <f t="shared" si="81"/>
        <v/>
      </c>
      <c r="N1666" s="6"/>
      <c r="O1666" s="5"/>
    </row>
    <row r="1667" spans="1:15" x14ac:dyDescent="0.2">
      <c r="A1667" s="3" t="str">
        <f>IF($B1667="","",COUNTA($B$9:$B1667))</f>
        <v/>
      </c>
      <c r="B1667" s="4"/>
      <c r="C1667" s="4"/>
      <c r="D1667" s="4"/>
      <c r="E1667" s="5"/>
      <c r="F1667" s="3" t="str">
        <f t="shared" si="79"/>
        <v/>
      </c>
      <c r="G1667" s="4"/>
      <c r="H1667" s="3" t="str">
        <f t="shared" si="80"/>
        <v/>
      </c>
      <c r="I1667" s="5"/>
      <c r="J1667" s="5"/>
      <c r="K1667" s="6"/>
      <c r="L1667" s="6"/>
      <c r="M1667" s="7" t="str">
        <f t="shared" si="81"/>
        <v/>
      </c>
      <c r="N1667" s="6"/>
      <c r="O1667" s="5"/>
    </row>
    <row r="1668" spans="1:15" x14ac:dyDescent="0.2">
      <c r="A1668" s="3" t="str">
        <f>IF($B1668="","",COUNTA($B$9:$B1668))</f>
        <v/>
      </c>
      <c r="B1668" s="4"/>
      <c r="C1668" s="4"/>
      <c r="D1668" s="4"/>
      <c r="E1668" s="5"/>
      <c r="F1668" s="3" t="str">
        <f t="shared" si="79"/>
        <v/>
      </c>
      <c r="G1668" s="4"/>
      <c r="H1668" s="3" t="str">
        <f t="shared" si="80"/>
        <v/>
      </c>
      <c r="I1668" s="5"/>
      <c r="J1668" s="5"/>
      <c r="K1668" s="6"/>
      <c r="L1668" s="6"/>
      <c r="M1668" s="7" t="str">
        <f t="shared" si="81"/>
        <v/>
      </c>
      <c r="N1668" s="6"/>
      <c r="O1668" s="5"/>
    </row>
    <row r="1669" spans="1:15" x14ac:dyDescent="0.2">
      <c r="A1669" s="3" t="str">
        <f>IF($B1669="","",COUNTA($B$9:$B1669))</f>
        <v/>
      </c>
      <c r="B1669" s="4"/>
      <c r="C1669" s="4"/>
      <c r="D1669" s="4"/>
      <c r="E1669" s="5"/>
      <c r="F1669" s="3" t="str">
        <f t="shared" si="79"/>
        <v/>
      </c>
      <c r="G1669" s="4"/>
      <c r="H1669" s="3" t="str">
        <f t="shared" si="80"/>
        <v/>
      </c>
      <c r="I1669" s="5"/>
      <c r="J1669" s="5"/>
      <c r="K1669" s="6"/>
      <c r="L1669" s="6"/>
      <c r="M1669" s="7" t="str">
        <f t="shared" si="81"/>
        <v/>
      </c>
      <c r="N1669" s="6"/>
      <c r="O1669" s="5"/>
    </row>
    <row r="1670" spans="1:15" x14ac:dyDescent="0.2">
      <c r="A1670" s="3" t="str">
        <f>IF($B1670="","",COUNTA($B$9:$B1670))</f>
        <v/>
      </c>
      <c r="B1670" s="4"/>
      <c r="C1670" s="4"/>
      <c r="D1670" s="4"/>
      <c r="E1670" s="5"/>
      <c r="F1670" s="3" t="str">
        <f t="shared" si="79"/>
        <v/>
      </c>
      <c r="G1670" s="4"/>
      <c r="H1670" s="3" t="str">
        <f t="shared" si="80"/>
        <v/>
      </c>
      <c r="I1670" s="5"/>
      <c r="J1670" s="5"/>
      <c r="K1670" s="6"/>
      <c r="L1670" s="6"/>
      <c r="M1670" s="7" t="str">
        <f t="shared" si="81"/>
        <v/>
      </c>
      <c r="N1670" s="6"/>
      <c r="O1670" s="5"/>
    </row>
    <row r="1671" spans="1:15" x14ac:dyDescent="0.2">
      <c r="A1671" s="3" t="str">
        <f>IF($B1671="","",COUNTA($B$9:$B1671))</f>
        <v/>
      </c>
      <c r="B1671" s="4"/>
      <c r="C1671" s="4"/>
      <c r="D1671" s="4"/>
      <c r="E1671" s="5"/>
      <c r="F1671" s="3" t="str">
        <f t="shared" si="79"/>
        <v/>
      </c>
      <c r="G1671" s="4"/>
      <c r="H1671" s="3" t="str">
        <f t="shared" si="80"/>
        <v/>
      </c>
      <c r="I1671" s="5"/>
      <c r="J1671" s="5"/>
      <c r="K1671" s="6"/>
      <c r="L1671" s="6"/>
      <c r="M1671" s="7" t="str">
        <f t="shared" si="81"/>
        <v/>
      </c>
      <c r="N1671" s="6"/>
      <c r="O1671" s="5"/>
    </row>
    <row r="1672" spans="1:15" x14ac:dyDescent="0.2">
      <c r="A1672" s="3" t="str">
        <f>IF($B1672="","",COUNTA($B$9:$B1672))</f>
        <v/>
      </c>
      <c r="B1672" s="4"/>
      <c r="C1672" s="4"/>
      <c r="D1672" s="4"/>
      <c r="E1672" s="5"/>
      <c r="F1672" s="3" t="str">
        <f t="shared" ref="F1672:F1735" si="82">IF($E1672="","",IFERROR(VLOOKUP($E1672,OpTbl,2,0),""))</f>
        <v/>
      </c>
      <c r="G1672" s="4"/>
      <c r="H1672" s="3" t="str">
        <f t="shared" ref="H1672:H1735" si="83">IF($G1672="","",IFERROR(IF(VLOOKUP($G1672,AcctTbl,4,0)="","(بدون نام)",VLOOKUP($G1672,AcctTbl,4,0)),"کد ناشناخته"))</f>
        <v/>
      </c>
      <c r="I1672" s="5"/>
      <c r="J1672" s="5"/>
      <c r="K1672" s="6"/>
      <c r="L1672" s="6"/>
      <c r="M1672" s="7" t="str">
        <f t="shared" ref="M1672:M1735" si="84">IF(OR($B1672="",$K1672=""),"",($K1672-IF($L1672="",0,$L1672)*IFERROR(VLOOKUP("P01",ParamTbl,3,0),1.5))*(1-IF(IFERROR(VLOOKUP($E1672,OpTbl,3,0),"")="خرید",IFERROR(VLOOKUP("P02",ParamTbl,3,0),1),0)/100))</f>
        <v/>
      </c>
      <c r="N1672" s="6"/>
      <c r="O1672" s="5"/>
    </row>
    <row r="1673" spans="1:15" x14ac:dyDescent="0.2">
      <c r="A1673" s="3" t="str">
        <f>IF($B1673="","",COUNTA($B$9:$B1673))</f>
        <v/>
      </c>
      <c r="B1673" s="4"/>
      <c r="C1673" s="4"/>
      <c r="D1673" s="4"/>
      <c r="E1673" s="5"/>
      <c r="F1673" s="3" t="str">
        <f t="shared" si="82"/>
        <v/>
      </c>
      <c r="G1673" s="4"/>
      <c r="H1673" s="3" t="str">
        <f t="shared" si="83"/>
        <v/>
      </c>
      <c r="I1673" s="5"/>
      <c r="J1673" s="5"/>
      <c r="K1673" s="6"/>
      <c r="L1673" s="6"/>
      <c r="M1673" s="7" t="str">
        <f t="shared" si="84"/>
        <v/>
      </c>
      <c r="N1673" s="6"/>
      <c r="O1673" s="5"/>
    </row>
    <row r="1674" spans="1:15" x14ac:dyDescent="0.2">
      <c r="A1674" s="3" t="str">
        <f>IF($B1674="","",COUNTA($B$9:$B1674))</f>
        <v/>
      </c>
      <c r="B1674" s="4"/>
      <c r="C1674" s="4"/>
      <c r="D1674" s="4"/>
      <c r="E1674" s="5"/>
      <c r="F1674" s="3" t="str">
        <f t="shared" si="82"/>
        <v/>
      </c>
      <c r="G1674" s="4"/>
      <c r="H1674" s="3" t="str">
        <f t="shared" si="83"/>
        <v/>
      </c>
      <c r="I1674" s="5"/>
      <c r="J1674" s="5"/>
      <c r="K1674" s="6"/>
      <c r="L1674" s="6"/>
      <c r="M1674" s="7" t="str">
        <f t="shared" si="84"/>
        <v/>
      </c>
      <c r="N1674" s="6"/>
      <c r="O1674" s="5"/>
    </row>
    <row r="1675" spans="1:15" x14ac:dyDescent="0.2">
      <c r="A1675" s="3" t="str">
        <f>IF($B1675="","",COUNTA($B$9:$B1675))</f>
        <v/>
      </c>
      <c r="B1675" s="4"/>
      <c r="C1675" s="4"/>
      <c r="D1675" s="4"/>
      <c r="E1675" s="5"/>
      <c r="F1675" s="3" t="str">
        <f t="shared" si="82"/>
        <v/>
      </c>
      <c r="G1675" s="4"/>
      <c r="H1675" s="3" t="str">
        <f t="shared" si="83"/>
        <v/>
      </c>
      <c r="I1675" s="5"/>
      <c r="J1675" s="5"/>
      <c r="K1675" s="6"/>
      <c r="L1675" s="6"/>
      <c r="M1675" s="7" t="str">
        <f t="shared" si="84"/>
        <v/>
      </c>
      <c r="N1675" s="6"/>
      <c r="O1675" s="5"/>
    </row>
    <row r="1676" spans="1:15" x14ac:dyDescent="0.2">
      <c r="A1676" s="3" t="str">
        <f>IF($B1676="","",COUNTA($B$9:$B1676))</f>
        <v/>
      </c>
      <c r="B1676" s="4"/>
      <c r="C1676" s="4"/>
      <c r="D1676" s="4"/>
      <c r="E1676" s="5"/>
      <c r="F1676" s="3" t="str">
        <f t="shared" si="82"/>
        <v/>
      </c>
      <c r="G1676" s="4"/>
      <c r="H1676" s="3" t="str">
        <f t="shared" si="83"/>
        <v/>
      </c>
      <c r="I1676" s="5"/>
      <c r="J1676" s="5"/>
      <c r="K1676" s="6"/>
      <c r="L1676" s="6"/>
      <c r="M1676" s="7" t="str">
        <f t="shared" si="84"/>
        <v/>
      </c>
      <c r="N1676" s="6"/>
      <c r="O1676" s="5"/>
    </row>
    <row r="1677" spans="1:15" x14ac:dyDescent="0.2">
      <c r="A1677" s="3" t="str">
        <f>IF($B1677="","",COUNTA($B$9:$B1677))</f>
        <v/>
      </c>
      <c r="B1677" s="4"/>
      <c r="C1677" s="4"/>
      <c r="D1677" s="4"/>
      <c r="E1677" s="5"/>
      <c r="F1677" s="3" t="str">
        <f t="shared" si="82"/>
        <v/>
      </c>
      <c r="G1677" s="4"/>
      <c r="H1677" s="3" t="str">
        <f t="shared" si="83"/>
        <v/>
      </c>
      <c r="I1677" s="5"/>
      <c r="J1677" s="5"/>
      <c r="K1677" s="6"/>
      <c r="L1677" s="6"/>
      <c r="M1677" s="7" t="str">
        <f t="shared" si="84"/>
        <v/>
      </c>
      <c r="N1677" s="6"/>
      <c r="O1677" s="5"/>
    </row>
    <row r="1678" spans="1:15" x14ac:dyDescent="0.2">
      <c r="A1678" s="3" t="str">
        <f>IF($B1678="","",COUNTA($B$9:$B1678))</f>
        <v/>
      </c>
      <c r="B1678" s="4"/>
      <c r="C1678" s="4"/>
      <c r="D1678" s="4"/>
      <c r="E1678" s="5"/>
      <c r="F1678" s="3" t="str">
        <f t="shared" si="82"/>
        <v/>
      </c>
      <c r="G1678" s="4"/>
      <c r="H1678" s="3" t="str">
        <f t="shared" si="83"/>
        <v/>
      </c>
      <c r="I1678" s="5"/>
      <c r="J1678" s="5"/>
      <c r="K1678" s="6"/>
      <c r="L1678" s="6"/>
      <c r="M1678" s="7" t="str">
        <f t="shared" si="84"/>
        <v/>
      </c>
      <c r="N1678" s="6"/>
      <c r="O1678" s="5"/>
    </row>
    <row r="1679" spans="1:15" x14ac:dyDescent="0.2">
      <c r="A1679" s="3" t="str">
        <f>IF($B1679="","",COUNTA($B$9:$B1679))</f>
        <v/>
      </c>
      <c r="B1679" s="4"/>
      <c r="C1679" s="4"/>
      <c r="D1679" s="4"/>
      <c r="E1679" s="5"/>
      <c r="F1679" s="3" t="str">
        <f t="shared" si="82"/>
        <v/>
      </c>
      <c r="G1679" s="4"/>
      <c r="H1679" s="3" t="str">
        <f t="shared" si="83"/>
        <v/>
      </c>
      <c r="I1679" s="5"/>
      <c r="J1679" s="5"/>
      <c r="K1679" s="6"/>
      <c r="L1679" s="6"/>
      <c r="M1679" s="7" t="str">
        <f t="shared" si="84"/>
        <v/>
      </c>
      <c r="N1679" s="6"/>
      <c r="O1679" s="5"/>
    </row>
    <row r="1680" spans="1:15" x14ac:dyDescent="0.2">
      <c r="A1680" s="3" t="str">
        <f>IF($B1680="","",COUNTA($B$9:$B1680))</f>
        <v/>
      </c>
      <c r="B1680" s="4"/>
      <c r="C1680" s="4"/>
      <c r="D1680" s="4"/>
      <c r="E1680" s="5"/>
      <c r="F1680" s="3" t="str">
        <f t="shared" si="82"/>
        <v/>
      </c>
      <c r="G1680" s="4"/>
      <c r="H1680" s="3" t="str">
        <f t="shared" si="83"/>
        <v/>
      </c>
      <c r="I1680" s="5"/>
      <c r="J1680" s="5"/>
      <c r="K1680" s="6"/>
      <c r="L1680" s="6"/>
      <c r="M1680" s="7" t="str">
        <f t="shared" si="84"/>
        <v/>
      </c>
      <c r="N1680" s="6"/>
      <c r="O1680" s="5"/>
    </row>
    <row r="1681" spans="1:15" x14ac:dyDescent="0.2">
      <c r="A1681" s="3" t="str">
        <f>IF($B1681="","",COUNTA($B$9:$B1681))</f>
        <v/>
      </c>
      <c r="B1681" s="4"/>
      <c r="C1681" s="4"/>
      <c r="D1681" s="4"/>
      <c r="E1681" s="5"/>
      <c r="F1681" s="3" t="str">
        <f t="shared" si="82"/>
        <v/>
      </c>
      <c r="G1681" s="4"/>
      <c r="H1681" s="3" t="str">
        <f t="shared" si="83"/>
        <v/>
      </c>
      <c r="I1681" s="5"/>
      <c r="J1681" s="5"/>
      <c r="K1681" s="6"/>
      <c r="L1681" s="6"/>
      <c r="M1681" s="7" t="str">
        <f t="shared" si="84"/>
        <v/>
      </c>
      <c r="N1681" s="6"/>
      <c r="O1681" s="5"/>
    </row>
    <row r="1682" spans="1:15" x14ac:dyDescent="0.2">
      <c r="A1682" s="3" t="str">
        <f>IF($B1682="","",COUNTA($B$9:$B1682))</f>
        <v/>
      </c>
      <c r="B1682" s="4"/>
      <c r="C1682" s="4"/>
      <c r="D1682" s="4"/>
      <c r="E1682" s="5"/>
      <c r="F1682" s="3" t="str">
        <f t="shared" si="82"/>
        <v/>
      </c>
      <c r="G1682" s="4"/>
      <c r="H1682" s="3" t="str">
        <f t="shared" si="83"/>
        <v/>
      </c>
      <c r="I1682" s="5"/>
      <c r="J1682" s="5"/>
      <c r="K1682" s="6"/>
      <c r="L1682" s="6"/>
      <c r="M1682" s="7" t="str">
        <f t="shared" si="84"/>
        <v/>
      </c>
      <c r="N1682" s="6"/>
      <c r="O1682" s="5"/>
    </row>
    <row r="1683" spans="1:15" x14ac:dyDescent="0.2">
      <c r="A1683" s="3" t="str">
        <f>IF($B1683="","",COUNTA($B$9:$B1683))</f>
        <v/>
      </c>
      <c r="B1683" s="4"/>
      <c r="C1683" s="4"/>
      <c r="D1683" s="4"/>
      <c r="E1683" s="5"/>
      <c r="F1683" s="3" t="str">
        <f t="shared" si="82"/>
        <v/>
      </c>
      <c r="G1683" s="4"/>
      <c r="H1683" s="3" t="str">
        <f t="shared" si="83"/>
        <v/>
      </c>
      <c r="I1683" s="5"/>
      <c r="J1683" s="5"/>
      <c r="K1683" s="6"/>
      <c r="L1683" s="6"/>
      <c r="M1683" s="7" t="str">
        <f t="shared" si="84"/>
        <v/>
      </c>
      <c r="N1683" s="6"/>
      <c r="O1683" s="5"/>
    </row>
    <row r="1684" spans="1:15" x14ac:dyDescent="0.2">
      <c r="A1684" s="3" t="str">
        <f>IF($B1684="","",COUNTA($B$9:$B1684))</f>
        <v/>
      </c>
      <c r="B1684" s="4"/>
      <c r="C1684" s="4"/>
      <c r="D1684" s="4"/>
      <c r="E1684" s="5"/>
      <c r="F1684" s="3" t="str">
        <f t="shared" si="82"/>
        <v/>
      </c>
      <c r="G1684" s="4"/>
      <c r="H1684" s="3" t="str">
        <f t="shared" si="83"/>
        <v/>
      </c>
      <c r="I1684" s="5"/>
      <c r="J1684" s="5"/>
      <c r="K1684" s="6"/>
      <c r="L1684" s="6"/>
      <c r="M1684" s="7" t="str">
        <f t="shared" si="84"/>
        <v/>
      </c>
      <c r="N1684" s="6"/>
      <c r="O1684" s="5"/>
    </row>
    <row r="1685" spans="1:15" x14ac:dyDescent="0.2">
      <c r="A1685" s="3" t="str">
        <f>IF($B1685="","",COUNTA($B$9:$B1685))</f>
        <v/>
      </c>
      <c r="B1685" s="4"/>
      <c r="C1685" s="4"/>
      <c r="D1685" s="4"/>
      <c r="E1685" s="5"/>
      <c r="F1685" s="3" t="str">
        <f t="shared" si="82"/>
        <v/>
      </c>
      <c r="G1685" s="4"/>
      <c r="H1685" s="3" t="str">
        <f t="shared" si="83"/>
        <v/>
      </c>
      <c r="I1685" s="5"/>
      <c r="J1685" s="5"/>
      <c r="K1685" s="6"/>
      <c r="L1685" s="6"/>
      <c r="M1685" s="7" t="str">
        <f t="shared" si="84"/>
        <v/>
      </c>
      <c r="N1685" s="6"/>
      <c r="O1685" s="5"/>
    </row>
    <row r="1686" spans="1:15" x14ac:dyDescent="0.2">
      <c r="A1686" s="3" t="str">
        <f>IF($B1686="","",COUNTA($B$9:$B1686))</f>
        <v/>
      </c>
      <c r="B1686" s="4"/>
      <c r="C1686" s="4"/>
      <c r="D1686" s="4"/>
      <c r="E1686" s="5"/>
      <c r="F1686" s="3" t="str">
        <f t="shared" si="82"/>
        <v/>
      </c>
      <c r="G1686" s="4"/>
      <c r="H1686" s="3" t="str">
        <f t="shared" si="83"/>
        <v/>
      </c>
      <c r="I1686" s="5"/>
      <c r="J1686" s="5"/>
      <c r="K1686" s="6"/>
      <c r="L1686" s="6"/>
      <c r="M1686" s="7" t="str">
        <f t="shared" si="84"/>
        <v/>
      </c>
      <c r="N1686" s="6"/>
      <c r="O1686" s="5"/>
    </row>
    <row r="1687" spans="1:15" x14ac:dyDescent="0.2">
      <c r="A1687" s="3" t="str">
        <f>IF($B1687="","",COUNTA($B$9:$B1687))</f>
        <v/>
      </c>
      <c r="B1687" s="4"/>
      <c r="C1687" s="4"/>
      <c r="D1687" s="4"/>
      <c r="E1687" s="5"/>
      <c r="F1687" s="3" t="str">
        <f t="shared" si="82"/>
        <v/>
      </c>
      <c r="G1687" s="4"/>
      <c r="H1687" s="3" t="str">
        <f t="shared" si="83"/>
        <v/>
      </c>
      <c r="I1687" s="5"/>
      <c r="J1687" s="5"/>
      <c r="K1687" s="6"/>
      <c r="L1687" s="6"/>
      <c r="M1687" s="7" t="str">
        <f t="shared" si="84"/>
        <v/>
      </c>
      <c r="N1687" s="6"/>
      <c r="O1687" s="5"/>
    </row>
    <row r="1688" spans="1:15" x14ac:dyDescent="0.2">
      <c r="A1688" s="3" t="str">
        <f>IF($B1688="","",COUNTA($B$9:$B1688))</f>
        <v/>
      </c>
      <c r="B1688" s="4"/>
      <c r="C1688" s="4"/>
      <c r="D1688" s="4"/>
      <c r="E1688" s="5"/>
      <c r="F1688" s="3" t="str">
        <f t="shared" si="82"/>
        <v/>
      </c>
      <c r="G1688" s="4"/>
      <c r="H1688" s="3" t="str">
        <f t="shared" si="83"/>
        <v/>
      </c>
      <c r="I1688" s="5"/>
      <c r="J1688" s="5"/>
      <c r="K1688" s="6"/>
      <c r="L1688" s="6"/>
      <c r="M1688" s="7" t="str">
        <f t="shared" si="84"/>
        <v/>
      </c>
      <c r="N1688" s="6"/>
      <c r="O1688" s="5"/>
    </row>
    <row r="1689" spans="1:15" x14ac:dyDescent="0.2">
      <c r="A1689" s="3" t="str">
        <f>IF($B1689="","",COUNTA($B$9:$B1689))</f>
        <v/>
      </c>
      <c r="B1689" s="4"/>
      <c r="C1689" s="4"/>
      <c r="D1689" s="4"/>
      <c r="E1689" s="5"/>
      <c r="F1689" s="3" t="str">
        <f t="shared" si="82"/>
        <v/>
      </c>
      <c r="G1689" s="4"/>
      <c r="H1689" s="3" t="str">
        <f t="shared" si="83"/>
        <v/>
      </c>
      <c r="I1689" s="5"/>
      <c r="J1689" s="5"/>
      <c r="K1689" s="6"/>
      <c r="L1689" s="6"/>
      <c r="M1689" s="7" t="str">
        <f t="shared" si="84"/>
        <v/>
      </c>
      <c r="N1689" s="6"/>
      <c r="O1689" s="5"/>
    </row>
    <row r="1690" spans="1:15" x14ac:dyDescent="0.2">
      <c r="A1690" s="3" t="str">
        <f>IF($B1690="","",COUNTA($B$9:$B1690))</f>
        <v/>
      </c>
      <c r="B1690" s="4"/>
      <c r="C1690" s="4"/>
      <c r="D1690" s="4"/>
      <c r="E1690" s="5"/>
      <c r="F1690" s="3" t="str">
        <f t="shared" si="82"/>
        <v/>
      </c>
      <c r="G1690" s="4"/>
      <c r="H1690" s="3" t="str">
        <f t="shared" si="83"/>
        <v/>
      </c>
      <c r="I1690" s="5"/>
      <c r="J1690" s="5"/>
      <c r="K1690" s="6"/>
      <c r="L1690" s="6"/>
      <c r="M1690" s="7" t="str">
        <f t="shared" si="84"/>
        <v/>
      </c>
      <c r="N1690" s="6"/>
      <c r="O1690" s="5"/>
    </row>
    <row r="1691" spans="1:15" x14ac:dyDescent="0.2">
      <c r="A1691" s="3" t="str">
        <f>IF($B1691="","",COUNTA($B$9:$B1691))</f>
        <v/>
      </c>
      <c r="B1691" s="4"/>
      <c r="C1691" s="4"/>
      <c r="D1691" s="4"/>
      <c r="E1691" s="5"/>
      <c r="F1691" s="3" t="str">
        <f t="shared" si="82"/>
        <v/>
      </c>
      <c r="G1691" s="4"/>
      <c r="H1691" s="3" t="str">
        <f t="shared" si="83"/>
        <v/>
      </c>
      <c r="I1691" s="5"/>
      <c r="J1691" s="5"/>
      <c r="K1691" s="6"/>
      <c r="L1691" s="6"/>
      <c r="M1691" s="7" t="str">
        <f t="shared" si="84"/>
        <v/>
      </c>
      <c r="N1691" s="6"/>
      <c r="O1691" s="5"/>
    </row>
    <row r="1692" spans="1:15" x14ac:dyDescent="0.2">
      <c r="A1692" s="3" t="str">
        <f>IF($B1692="","",COUNTA($B$9:$B1692))</f>
        <v/>
      </c>
      <c r="B1692" s="4"/>
      <c r="C1692" s="4"/>
      <c r="D1692" s="4"/>
      <c r="E1692" s="5"/>
      <c r="F1692" s="3" t="str">
        <f t="shared" si="82"/>
        <v/>
      </c>
      <c r="G1692" s="4"/>
      <c r="H1692" s="3" t="str">
        <f t="shared" si="83"/>
        <v/>
      </c>
      <c r="I1692" s="5"/>
      <c r="J1692" s="5"/>
      <c r="K1692" s="6"/>
      <c r="L1692" s="6"/>
      <c r="M1692" s="7" t="str">
        <f t="shared" si="84"/>
        <v/>
      </c>
      <c r="N1692" s="6"/>
      <c r="O1692" s="5"/>
    </row>
    <row r="1693" spans="1:15" x14ac:dyDescent="0.2">
      <c r="A1693" s="3" t="str">
        <f>IF($B1693="","",COUNTA($B$9:$B1693))</f>
        <v/>
      </c>
      <c r="B1693" s="4"/>
      <c r="C1693" s="4"/>
      <c r="D1693" s="4"/>
      <c r="E1693" s="5"/>
      <c r="F1693" s="3" t="str">
        <f t="shared" si="82"/>
        <v/>
      </c>
      <c r="G1693" s="4"/>
      <c r="H1693" s="3" t="str">
        <f t="shared" si="83"/>
        <v/>
      </c>
      <c r="I1693" s="5"/>
      <c r="J1693" s="5"/>
      <c r="K1693" s="6"/>
      <c r="L1693" s="6"/>
      <c r="M1693" s="7" t="str">
        <f t="shared" si="84"/>
        <v/>
      </c>
      <c r="N1693" s="6"/>
      <c r="O1693" s="5"/>
    </row>
    <row r="1694" spans="1:15" x14ac:dyDescent="0.2">
      <c r="A1694" s="3" t="str">
        <f>IF($B1694="","",COUNTA($B$9:$B1694))</f>
        <v/>
      </c>
      <c r="B1694" s="4"/>
      <c r="C1694" s="4"/>
      <c r="D1694" s="4"/>
      <c r="E1694" s="5"/>
      <c r="F1694" s="3" t="str">
        <f t="shared" si="82"/>
        <v/>
      </c>
      <c r="G1694" s="4"/>
      <c r="H1694" s="3" t="str">
        <f t="shared" si="83"/>
        <v/>
      </c>
      <c r="I1694" s="5"/>
      <c r="J1694" s="5"/>
      <c r="K1694" s="6"/>
      <c r="L1694" s="6"/>
      <c r="M1694" s="7" t="str">
        <f t="shared" si="84"/>
        <v/>
      </c>
      <c r="N1694" s="6"/>
      <c r="O1694" s="5"/>
    </row>
    <row r="1695" spans="1:15" x14ac:dyDescent="0.2">
      <c r="A1695" s="3" t="str">
        <f>IF($B1695="","",COUNTA($B$9:$B1695))</f>
        <v/>
      </c>
      <c r="B1695" s="4"/>
      <c r="C1695" s="4"/>
      <c r="D1695" s="4"/>
      <c r="E1695" s="5"/>
      <c r="F1695" s="3" t="str">
        <f t="shared" si="82"/>
        <v/>
      </c>
      <c r="G1695" s="4"/>
      <c r="H1695" s="3" t="str">
        <f t="shared" si="83"/>
        <v/>
      </c>
      <c r="I1695" s="5"/>
      <c r="J1695" s="5"/>
      <c r="K1695" s="6"/>
      <c r="L1695" s="6"/>
      <c r="M1695" s="7" t="str">
        <f t="shared" si="84"/>
        <v/>
      </c>
      <c r="N1695" s="6"/>
      <c r="O1695" s="5"/>
    </row>
    <row r="1696" spans="1:15" x14ac:dyDescent="0.2">
      <c r="A1696" s="3" t="str">
        <f>IF($B1696="","",COUNTA($B$9:$B1696))</f>
        <v/>
      </c>
      <c r="B1696" s="4"/>
      <c r="C1696" s="4"/>
      <c r="D1696" s="4"/>
      <c r="E1696" s="5"/>
      <c r="F1696" s="3" t="str">
        <f t="shared" si="82"/>
        <v/>
      </c>
      <c r="G1696" s="4"/>
      <c r="H1696" s="3" t="str">
        <f t="shared" si="83"/>
        <v/>
      </c>
      <c r="I1696" s="5"/>
      <c r="J1696" s="5"/>
      <c r="K1696" s="6"/>
      <c r="L1696" s="6"/>
      <c r="M1696" s="7" t="str">
        <f t="shared" si="84"/>
        <v/>
      </c>
      <c r="N1696" s="6"/>
      <c r="O1696" s="5"/>
    </row>
    <row r="1697" spans="1:15" x14ac:dyDescent="0.2">
      <c r="A1697" s="3" t="str">
        <f>IF($B1697="","",COUNTA($B$9:$B1697))</f>
        <v/>
      </c>
      <c r="B1697" s="4"/>
      <c r="C1697" s="4"/>
      <c r="D1697" s="4"/>
      <c r="E1697" s="5"/>
      <c r="F1697" s="3" t="str">
        <f t="shared" si="82"/>
        <v/>
      </c>
      <c r="G1697" s="4"/>
      <c r="H1697" s="3" t="str">
        <f t="shared" si="83"/>
        <v/>
      </c>
      <c r="I1697" s="5"/>
      <c r="J1697" s="5"/>
      <c r="K1697" s="6"/>
      <c r="L1697" s="6"/>
      <c r="M1697" s="7" t="str">
        <f t="shared" si="84"/>
        <v/>
      </c>
      <c r="N1697" s="6"/>
      <c r="O1697" s="5"/>
    </row>
    <row r="1698" spans="1:15" x14ac:dyDescent="0.2">
      <c r="A1698" s="3" t="str">
        <f>IF($B1698="","",COUNTA($B$9:$B1698))</f>
        <v/>
      </c>
      <c r="B1698" s="4"/>
      <c r="C1698" s="4"/>
      <c r="D1698" s="4"/>
      <c r="E1698" s="5"/>
      <c r="F1698" s="3" t="str">
        <f t="shared" si="82"/>
        <v/>
      </c>
      <c r="G1698" s="4"/>
      <c r="H1698" s="3" t="str">
        <f t="shared" si="83"/>
        <v/>
      </c>
      <c r="I1698" s="5"/>
      <c r="J1698" s="5"/>
      <c r="K1698" s="6"/>
      <c r="L1698" s="6"/>
      <c r="M1698" s="7" t="str">
        <f t="shared" si="84"/>
        <v/>
      </c>
      <c r="N1698" s="6"/>
      <c r="O1698" s="5"/>
    </row>
    <row r="1699" spans="1:15" x14ac:dyDescent="0.2">
      <c r="A1699" s="3" t="str">
        <f>IF($B1699="","",COUNTA($B$9:$B1699))</f>
        <v/>
      </c>
      <c r="B1699" s="4"/>
      <c r="C1699" s="4"/>
      <c r="D1699" s="4"/>
      <c r="E1699" s="5"/>
      <c r="F1699" s="3" t="str">
        <f t="shared" si="82"/>
        <v/>
      </c>
      <c r="G1699" s="4"/>
      <c r="H1699" s="3" t="str">
        <f t="shared" si="83"/>
        <v/>
      </c>
      <c r="I1699" s="5"/>
      <c r="J1699" s="5"/>
      <c r="K1699" s="6"/>
      <c r="L1699" s="6"/>
      <c r="M1699" s="7" t="str">
        <f t="shared" si="84"/>
        <v/>
      </c>
      <c r="N1699" s="6"/>
      <c r="O1699" s="5"/>
    </row>
    <row r="1700" spans="1:15" x14ac:dyDescent="0.2">
      <c r="A1700" s="3" t="str">
        <f>IF($B1700="","",COUNTA($B$9:$B1700))</f>
        <v/>
      </c>
      <c r="B1700" s="4"/>
      <c r="C1700" s="4"/>
      <c r="D1700" s="4"/>
      <c r="E1700" s="5"/>
      <c r="F1700" s="3" t="str">
        <f t="shared" si="82"/>
        <v/>
      </c>
      <c r="G1700" s="4"/>
      <c r="H1700" s="3" t="str">
        <f t="shared" si="83"/>
        <v/>
      </c>
      <c r="I1700" s="5"/>
      <c r="J1700" s="5"/>
      <c r="K1700" s="6"/>
      <c r="L1700" s="6"/>
      <c r="M1700" s="7" t="str">
        <f t="shared" si="84"/>
        <v/>
      </c>
      <c r="N1700" s="6"/>
      <c r="O1700" s="5"/>
    </row>
    <row r="1701" spans="1:15" x14ac:dyDescent="0.2">
      <c r="A1701" s="3" t="str">
        <f>IF($B1701="","",COUNTA($B$9:$B1701))</f>
        <v/>
      </c>
      <c r="B1701" s="4"/>
      <c r="C1701" s="4"/>
      <c r="D1701" s="4"/>
      <c r="E1701" s="5"/>
      <c r="F1701" s="3" t="str">
        <f t="shared" si="82"/>
        <v/>
      </c>
      <c r="G1701" s="4"/>
      <c r="H1701" s="3" t="str">
        <f t="shared" si="83"/>
        <v/>
      </c>
      <c r="I1701" s="5"/>
      <c r="J1701" s="5"/>
      <c r="K1701" s="6"/>
      <c r="L1701" s="6"/>
      <c r="M1701" s="7" t="str">
        <f t="shared" si="84"/>
        <v/>
      </c>
      <c r="N1701" s="6"/>
      <c r="O1701" s="5"/>
    </row>
    <row r="1702" spans="1:15" x14ac:dyDescent="0.2">
      <c r="A1702" s="3" t="str">
        <f>IF($B1702="","",COUNTA($B$9:$B1702))</f>
        <v/>
      </c>
      <c r="B1702" s="4"/>
      <c r="C1702" s="4"/>
      <c r="D1702" s="4"/>
      <c r="E1702" s="5"/>
      <c r="F1702" s="3" t="str">
        <f t="shared" si="82"/>
        <v/>
      </c>
      <c r="G1702" s="4"/>
      <c r="H1702" s="3" t="str">
        <f t="shared" si="83"/>
        <v/>
      </c>
      <c r="I1702" s="5"/>
      <c r="J1702" s="5"/>
      <c r="K1702" s="6"/>
      <c r="L1702" s="6"/>
      <c r="M1702" s="7" t="str">
        <f t="shared" si="84"/>
        <v/>
      </c>
      <c r="N1702" s="6"/>
      <c r="O1702" s="5"/>
    </row>
    <row r="1703" spans="1:15" x14ac:dyDescent="0.2">
      <c r="A1703" s="3" t="str">
        <f>IF($B1703="","",COUNTA($B$9:$B1703))</f>
        <v/>
      </c>
      <c r="B1703" s="4"/>
      <c r="C1703" s="4"/>
      <c r="D1703" s="4"/>
      <c r="E1703" s="5"/>
      <c r="F1703" s="3" t="str">
        <f t="shared" si="82"/>
        <v/>
      </c>
      <c r="G1703" s="4"/>
      <c r="H1703" s="3" t="str">
        <f t="shared" si="83"/>
        <v/>
      </c>
      <c r="I1703" s="5"/>
      <c r="J1703" s="5"/>
      <c r="K1703" s="6"/>
      <c r="L1703" s="6"/>
      <c r="M1703" s="7" t="str">
        <f t="shared" si="84"/>
        <v/>
      </c>
      <c r="N1703" s="6"/>
      <c r="O1703" s="5"/>
    </row>
    <row r="1704" spans="1:15" x14ac:dyDescent="0.2">
      <c r="A1704" s="3" t="str">
        <f>IF($B1704="","",COUNTA($B$9:$B1704))</f>
        <v/>
      </c>
      <c r="B1704" s="4"/>
      <c r="C1704" s="4"/>
      <c r="D1704" s="4"/>
      <c r="E1704" s="5"/>
      <c r="F1704" s="3" t="str">
        <f t="shared" si="82"/>
        <v/>
      </c>
      <c r="G1704" s="4"/>
      <c r="H1704" s="3" t="str">
        <f t="shared" si="83"/>
        <v/>
      </c>
      <c r="I1704" s="5"/>
      <c r="J1704" s="5"/>
      <c r="K1704" s="6"/>
      <c r="L1704" s="6"/>
      <c r="M1704" s="7" t="str">
        <f t="shared" si="84"/>
        <v/>
      </c>
      <c r="N1704" s="6"/>
      <c r="O1704" s="5"/>
    </row>
    <row r="1705" spans="1:15" x14ac:dyDescent="0.2">
      <c r="A1705" s="3" t="str">
        <f>IF($B1705="","",COUNTA($B$9:$B1705))</f>
        <v/>
      </c>
      <c r="B1705" s="4"/>
      <c r="C1705" s="4"/>
      <c r="D1705" s="4"/>
      <c r="E1705" s="5"/>
      <c r="F1705" s="3" t="str">
        <f t="shared" si="82"/>
        <v/>
      </c>
      <c r="G1705" s="4"/>
      <c r="H1705" s="3" t="str">
        <f t="shared" si="83"/>
        <v/>
      </c>
      <c r="I1705" s="5"/>
      <c r="J1705" s="5"/>
      <c r="K1705" s="6"/>
      <c r="L1705" s="6"/>
      <c r="M1705" s="7" t="str">
        <f t="shared" si="84"/>
        <v/>
      </c>
      <c r="N1705" s="6"/>
      <c r="O1705" s="5"/>
    </row>
    <row r="1706" spans="1:15" x14ac:dyDescent="0.2">
      <c r="A1706" s="3" t="str">
        <f>IF($B1706="","",COUNTA($B$9:$B1706))</f>
        <v/>
      </c>
      <c r="B1706" s="4"/>
      <c r="C1706" s="4"/>
      <c r="D1706" s="4"/>
      <c r="E1706" s="5"/>
      <c r="F1706" s="3" t="str">
        <f t="shared" si="82"/>
        <v/>
      </c>
      <c r="G1706" s="4"/>
      <c r="H1706" s="3" t="str">
        <f t="shared" si="83"/>
        <v/>
      </c>
      <c r="I1706" s="5"/>
      <c r="J1706" s="5"/>
      <c r="K1706" s="6"/>
      <c r="L1706" s="6"/>
      <c r="M1706" s="7" t="str">
        <f t="shared" si="84"/>
        <v/>
      </c>
      <c r="N1706" s="6"/>
      <c r="O1706" s="5"/>
    </row>
    <row r="1707" spans="1:15" x14ac:dyDescent="0.2">
      <c r="A1707" s="3" t="str">
        <f>IF($B1707="","",COUNTA($B$9:$B1707))</f>
        <v/>
      </c>
      <c r="B1707" s="4"/>
      <c r="C1707" s="4"/>
      <c r="D1707" s="4"/>
      <c r="E1707" s="5"/>
      <c r="F1707" s="3" t="str">
        <f t="shared" si="82"/>
        <v/>
      </c>
      <c r="G1707" s="4"/>
      <c r="H1707" s="3" t="str">
        <f t="shared" si="83"/>
        <v/>
      </c>
      <c r="I1707" s="5"/>
      <c r="J1707" s="5"/>
      <c r="K1707" s="6"/>
      <c r="L1707" s="6"/>
      <c r="M1707" s="7" t="str">
        <f t="shared" si="84"/>
        <v/>
      </c>
      <c r="N1707" s="6"/>
      <c r="O1707" s="5"/>
    </row>
    <row r="1708" spans="1:15" x14ac:dyDescent="0.2">
      <c r="A1708" s="3" t="str">
        <f>IF($B1708="","",COUNTA($B$9:$B1708))</f>
        <v/>
      </c>
      <c r="B1708" s="4"/>
      <c r="C1708" s="4"/>
      <c r="D1708" s="4"/>
      <c r="E1708" s="5"/>
      <c r="F1708" s="3" t="str">
        <f t="shared" si="82"/>
        <v/>
      </c>
      <c r="G1708" s="4"/>
      <c r="H1708" s="3" t="str">
        <f t="shared" si="83"/>
        <v/>
      </c>
      <c r="I1708" s="5"/>
      <c r="J1708" s="5"/>
      <c r="K1708" s="6"/>
      <c r="L1708" s="6"/>
      <c r="M1708" s="7" t="str">
        <f t="shared" si="84"/>
        <v/>
      </c>
      <c r="N1708" s="6"/>
      <c r="O1708" s="5"/>
    </row>
    <row r="1709" spans="1:15" x14ac:dyDescent="0.2">
      <c r="A1709" s="3" t="str">
        <f>IF($B1709="","",COUNTA($B$9:$B1709))</f>
        <v/>
      </c>
      <c r="B1709" s="4"/>
      <c r="C1709" s="4"/>
      <c r="D1709" s="4"/>
      <c r="E1709" s="5"/>
      <c r="F1709" s="3" t="str">
        <f t="shared" si="82"/>
        <v/>
      </c>
      <c r="G1709" s="4"/>
      <c r="H1709" s="3" t="str">
        <f t="shared" si="83"/>
        <v/>
      </c>
      <c r="I1709" s="5"/>
      <c r="J1709" s="5"/>
      <c r="K1709" s="6"/>
      <c r="L1709" s="6"/>
      <c r="M1709" s="7" t="str">
        <f t="shared" si="84"/>
        <v/>
      </c>
      <c r="N1709" s="6"/>
      <c r="O1709" s="5"/>
    </row>
    <row r="1710" spans="1:15" x14ac:dyDescent="0.2">
      <c r="A1710" s="3" t="str">
        <f>IF($B1710="","",COUNTA($B$9:$B1710))</f>
        <v/>
      </c>
      <c r="B1710" s="4"/>
      <c r="C1710" s="4"/>
      <c r="D1710" s="4"/>
      <c r="E1710" s="5"/>
      <c r="F1710" s="3" t="str">
        <f t="shared" si="82"/>
        <v/>
      </c>
      <c r="G1710" s="4"/>
      <c r="H1710" s="3" t="str">
        <f t="shared" si="83"/>
        <v/>
      </c>
      <c r="I1710" s="5"/>
      <c r="J1710" s="5"/>
      <c r="K1710" s="6"/>
      <c r="L1710" s="6"/>
      <c r="M1710" s="7" t="str">
        <f t="shared" si="84"/>
        <v/>
      </c>
      <c r="N1710" s="6"/>
      <c r="O1710" s="5"/>
    </row>
    <row r="1711" spans="1:15" x14ac:dyDescent="0.2">
      <c r="A1711" s="3" t="str">
        <f>IF($B1711="","",COUNTA($B$9:$B1711))</f>
        <v/>
      </c>
      <c r="B1711" s="4"/>
      <c r="C1711" s="4"/>
      <c r="D1711" s="4"/>
      <c r="E1711" s="5"/>
      <c r="F1711" s="3" t="str">
        <f t="shared" si="82"/>
        <v/>
      </c>
      <c r="G1711" s="4"/>
      <c r="H1711" s="3" t="str">
        <f t="shared" si="83"/>
        <v/>
      </c>
      <c r="I1711" s="5"/>
      <c r="J1711" s="5"/>
      <c r="K1711" s="6"/>
      <c r="L1711" s="6"/>
      <c r="M1711" s="7" t="str">
        <f t="shared" si="84"/>
        <v/>
      </c>
      <c r="N1711" s="6"/>
      <c r="O1711" s="5"/>
    </row>
    <row r="1712" spans="1:15" x14ac:dyDescent="0.2">
      <c r="A1712" s="3" t="str">
        <f>IF($B1712="","",COUNTA($B$9:$B1712))</f>
        <v/>
      </c>
      <c r="B1712" s="4"/>
      <c r="C1712" s="4"/>
      <c r="D1712" s="4"/>
      <c r="E1712" s="5"/>
      <c r="F1712" s="3" t="str">
        <f t="shared" si="82"/>
        <v/>
      </c>
      <c r="G1712" s="4"/>
      <c r="H1712" s="3" t="str">
        <f t="shared" si="83"/>
        <v/>
      </c>
      <c r="I1712" s="5"/>
      <c r="J1712" s="5"/>
      <c r="K1712" s="6"/>
      <c r="L1712" s="6"/>
      <c r="M1712" s="7" t="str">
        <f t="shared" si="84"/>
        <v/>
      </c>
      <c r="N1712" s="6"/>
      <c r="O1712" s="5"/>
    </row>
    <row r="1713" spans="1:15" x14ac:dyDescent="0.2">
      <c r="A1713" s="3" t="str">
        <f>IF($B1713="","",COUNTA($B$9:$B1713))</f>
        <v/>
      </c>
      <c r="B1713" s="4"/>
      <c r="C1713" s="4"/>
      <c r="D1713" s="4"/>
      <c r="E1713" s="5"/>
      <c r="F1713" s="3" t="str">
        <f t="shared" si="82"/>
        <v/>
      </c>
      <c r="G1713" s="4"/>
      <c r="H1713" s="3" t="str">
        <f t="shared" si="83"/>
        <v/>
      </c>
      <c r="I1713" s="5"/>
      <c r="J1713" s="5"/>
      <c r="K1713" s="6"/>
      <c r="L1713" s="6"/>
      <c r="M1713" s="7" t="str">
        <f t="shared" si="84"/>
        <v/>
      </c>
      <c r="N1713" s="6"/>
      <c r="O1713" s="5"/>
    </row>
    <row r="1714" spans="1:15" x14ac:dyDescent="0.2">
      <c r="A1714" s="3" t="str">
        <f>IF($B1714="","",COUNTA($B$9:$B1714))</f>
        <v/>
      </c>
      <c r="B1714" s="4"/>
      <c r="C1714" s="4"/>
      <c r="D1714" s="4"/>
      <c r="E1714" s="5"/>
      <c r="F1714" s="3" t="str">
        <f t="shared" si="82"/>
        <v/>
      </c>
      <c r="G1714" s="4"/>
      <c r="H1714" s="3" t="str">
        <f t="shared" si="83"/>
        <v/>
      </c>
      <c r="I1714" s="5"/>
      <c r="J1714" s="5"/>
      <c r="K1714" s="6"/>
      <c r="L1714" s="6"/>
      <c r="M1714" s="7" t="str">
        <f t="shared" si="84"/>
        <v/>
      </c>
      <c r="N1714" s="6"/>
      <c r="O1714" s="5"/>
    </row>
    <row r="1715" spans="1:15" x14ac:dyDescent="0.2">
      <c r="A1715" s="3" t="str">
        <f>IF($B1715="","",COUNTA($B$9:$B1715))</f>
        <v/>
      </c>
      <c r="B1715" s="4"/>
      <c r="C1715" s="4"/>
      <c r="D1715" s="4"/>
      <c r="E1715" s="5"/>
      <c r="F1715" s="3" t="str">
        <f t="shared" si="82"/>
        <v/>
      </c>
      <c r="G1715" s="4"/>
      <c r="H1715" s="3" t="str">
        <f t="shared" si="83"/>
        <v/>
      </c>
      <c r="I1715" s="5"/>
      <c r="J1715" s="5"/>
      <c r="K1715" s="6"/>
      <c r="L1715" s="6"/>
      <c r="M1715" s="7" t="str">
        <f t="shared" si="84"/>
        <v/>
      </c>
      <c r="N1715" s="6"/>
      <c r="O1715" s="5"/>
    </row>
    <row r="1716" spans="1:15" x14ac:dyDescent="0.2">
      <c r="A1716" s="3" t="str">
        <f>IF($B1716="","",COUNTA($B$9:$B1716))</f>
        <v/>
      </c>
      <c r="B1716" s="4"/>
      <c r="C1716" s="4"/>
      <c r="D1716" s="4"/>
      <c r="E1716" s="5"/>
      <c r="F1716" s="3" t="str">
        <f t="shared" si="82"/>
        <v/>
      </c>
      <c r="G1716" s="4"/>
      <c r="H1716" s="3" t="str">
        <f t="shared" si="83"/>
        <v/>
      </c>
      <c r="I1716" s="5"/>
      <c r="J1716" s="5"/>
      <c r="K1716" s="6"/>
      <c r="L1716" s="6"/>
      <c r="M1716" s="7" t="str">
        <f t="shared" si="84"/>
        <v/>
      </c>
      <c r="N1716" s="6"/>
      <c r="O1716" s="5"/>
    </row>
    <row r="1717" spans="1:15" x14ac:dyDescent="0.2">
      <c r="A1717" s="3" t="str">
        <f>IF($B1717="","",COUNTA($B$9:$B1717))</f>
        <v/>
      </c>
      <c r="B1717" s="4"/>
      <c r="C1717" s="4"/>
      <c r="D1717" s="4"/>
      <c r="E1717" s="5"/>
      <c r="F1717" s="3" t="str">
        <f t="shared" si="82"/>
        <v/>
      </c>
      <c r="G1717" s="4"/>
      <c r="H1717" s="3" t="str">
        <f t="shared" si="83"/>
        <v/>
      </c>
      <c r="I1717" s="5"/>
      <c r="J1717" s="5"/>
      <c r="K1717" s="6"/>
      <c r="L1717" s="6"/>
      <c r="M1717" s="7" t="str">
        <f t="shared" si="84"/>
        <v/>
      </c>
      <c r="N1717" s="6"/>
      <c r="O1717" s="5"/>
    </row>
    <row r="1718" spans="1:15" x14ac:dyDescent="0.2">
      <c r="A1718" s="3" t="str">
        <f>IF($B1718="","",COUNTA($B$9:$B1718))</f>
        <v/>
      </c>
      <c r="B1718" s="4"/>
      <c r="C1718" s="4"/>
      <c r="D1718" s="4"/>
      <c r="E1718" s="5"/>
      <c r="F1718" s="3" t="str">
        <f t="shared" si="82"/>
        <v/>
      </c>
      <c r="G1718" s="4"/>
      <c r="H1718" s="3" t="str">
        <f t="shared" si="83"/>
        <v/>
      </c>
      <c r="I1718" s="5"/>
      <c r="J1718" s="5"/>
      <c r="K1718" s="6"/>
      <c r="L1718" s="6"/>
      <c r="M1718" s="7" t="str">
        <f t="shared" si="84"/>
        <v/>
      </c>
      <c r="N1718" s="6"/>
      <c r="O1718" s="5"/>
    </row>
    <row r="1719" spans="1:15" x14ac:dyDescent="0.2">
      <c r="A1719" s="3" t="str">
        <f>IF($B1719="","",COUNTA($B$9:$B1719))</f>
        <v/>
      </c>
      <c r="B1719" s="4"/>
      <c r="C1719" s="4"/>
      <c r="D1719" s="4"/>
      <c r="E1719" s="5"/>
      <c r="F1719" s="3" t="str">
        <f t="shared" si="82"/>
        <v/>
      </c>
      <c r="G1719" s="4"/>
      <c r="H1719" s="3" t="str">
        <f t="shared" si="83"/>
        <v/>
      </c>
      <c r="I1719" s="5"/>
      <c r="J1719" s="5"/>
      <c r="K1719" s="6"/>
      <c r="L1719" s="6"/>
      <c r="M1719" s="7" t="str">
        <f t="shared" si="84"/>
        <v/>
      </c>
      <c r="N1719" s="6"/>
      <c r="O1719" s="5"/>
    </row>
    <row r="1720" spans="1:15" x14ac:dyDescent="0.2">
      <c r="A1720" s="3" t="str">
        <f>IF($B1720="","",COUNTA($B$9:$B1720))</f>
        <v/>
      </c>
      <c r="B1720" s="4"/>
      <c r="C1720" s="4"/>
      <c r="D1720" s="4"/>
      <c r="E1720" s="5"/>
      <c r="F1720" s="3" t="str">
        <f t="shared" si="82"/>
        <v/>
      </c>
      <c r="G1720" s="4"/>
      <c r="H1720" s="3" t="str">
        <f t="shared" si="83"/>
        <v/>
      </c>
      <c r="I1720" s="5"/>
      <c r="J1720" s="5"/>
      <c r="K1720" s="6"/>
      <c r="L1720" s="6"/>
      <c r="M1720" s="7" t="str">
        <f t="shared" si="84"/>
        <v/>
      </c>
      <c r="N1720" s="6"/>
      <c r="O1720" s="5"/>
    </row>
    <row r="1721" spans="1:15" x14ac:dyDescent="0.2">
      <c r="A1721" s="3" t="str">
        <f>IF($B1721="","",COUNTA($B$9:$B1721))</f>
        <v/>
      </c>
      <c r="B1721" s="4"/>
      <c r="C1721" s="4"/>
      <c r="D1721" s="4"/>
      <c r="E1721" s="5"/>
      <c r="F1721" s="3" t="str">
        <f t="shared" si="82"/>
        <v/>
      </c>
      <c r="G1721" s="4"/>
      <c r="H1721" s="3" t="str">
        <f t="shared" si="83"/>
        <v/>
      </c>
      <c r="I1721" s="5"/>
      <c r="J1721" s="5"/>
      <c r="K1721" s="6"/>
      <c r="L1721" s="6"/>
      <c r="M1721" s="7" t="str">
        <f t="shared" si="84"/>
        <v/>
      </c>
      <c r="N1721" s="6"/>
      <c r="O1721" s="5"/>
    </row>
    <row r="1722" spans="1:15" x14ac:dyDescent="0.2">
      <c r="A1722" s="3" t="str">
        <f>IF($B1722="","",COUNTA($B$9:$B1722))</f>
        <v/>
      </c>
      <c r="B1722" s="4"/>
      <c r="C1722" s="4"/>
      <c r="D1722" s="4"/>
      <c r="E1722" s="5"/>
      <c r="F1722" s="3" t="str">
        <f t="shared" si="82"/>
        <v/>
      </c>
      <c r="G1722" s="4"/>
      <c r="H1722" s="3" t="str">
        <f t="shared" si="83"/>
        <v/>
      </c>
      <c r="I1722" s="5"/>
      <c r="J1722" s="5"/>
      <c r="K1722" s="6"/>
      <c r="L1722" s="6"/>
      <c r="M1722" s="7" t="str">
        <f t="shared" si="84"/>
        <v/>
      </c>
      <c r="N1722" s="6"/>
      <c r="O1722" s="5"/>
    </row>
    <row r="1723" spans="1:15" x14ac:dyDescent="0.2">
      <c r="A1723" s="3" t="str">
        <f>IF($B1723="","",COUNTA($B$9:$B1723))</f>
        <v/>
      </c>
      <c r="B1723" s="4"/>
      <c r="C1723" s="4"/>
      <c r="D1723" s="4"/>
      <c r="E1723" s="5"/>
      <c r="F1723" s="3" t="str">
        <f t="shared" si="82"/>
        <v/>
      </c>
      <c r="G1723" s="4"/>
      <c r="H1723" s="3" t="str">
        <f t="shared" si="83"/>
        <v/>
      </c>
      <c r="I1723" s="5"/>
      <c r="J1723" s="5"/>
      <c r="K1723" s="6"/>
      <c r="L1723" s="6"/>
      <c r="M1723" s="7" t="str">
        <f t="shared" si="84"/>
        <v/>
      </c>
      <c r="N1723" s="6"/>
      <c r="O1723" s="5"/>
    </row>
    <row r="1724" spans="1:15" x14ac:dyDescent="0.2">
      <c r="A1724" s="3" t="str">
        <f>IF($B1724="","",COUNTA($B$9:$B1724))</f>
        <v/>
      </c>
      <c r="B1724" s="4"/>
      <c r="C1724" s="4"/>
      <c r="D1724" s="4"/>
      <c r="E1724" s="5"/>
      <c r="F1724" s="3" t="str">
        <f t="shared" si="82"/>
        <v/>
      </c>
      <c r="G1724" s="4"/>
      <c r="H1724" s="3" t="str">
        <f t="shared" si="83"/>
        <v/>
      </c>
      <c r="I1724" s="5"/>
      <c r="J1724" s="5"/>
      <c r="K1724" s="6"/>
      <c r="L1724" s="6"/>
      <c r="M1724" s="7" t="str">
        <f t="shared" si="84"/>
        <v/>
      </c>
      <c r="N1724" s="6"/>
      <c r="O1724" s="5"/>
    </row>
    <row r="1725" spans="1:15" x14ac:dyDescent="0.2">
      <c r="A1725" s="3" t="str">
        <f>IF($B1725="","",COUNTA($B$9:$B1725))</f>
        <v/>
      </c>
      <c r="B1725" s="4"/>
      <c r="C1725" s="4"/>
      <c r="D1725" s="4"/>
      <c r="E1725" s="5"/>
      <c r="F1725" s="3" t="str">
        <f t="shared" si="82"/>
        <v/>
      </c>
      <c r="G1725" s="4"/>
      <c r="H1725" s="3" t="str">
        <f t="shared" si="83"/>
        <v/>
      </c>
      <c r="I1725" s="5"/>
      <c r="J1725" s="5"/>
      <c r="K1725" s="6"/>
      <c r="L1725" s="6"/>
      <c r="M1725" s="7" t="str">
        <f t="shared" si="84"/>
        <v/>
      </c>
      <c r="N1725" s="6"/>
      <c r="O1725" s="5"/>
    </row>
    <row r="1726" spans="1:15" x14ac:dyDescent="0.2">
      <c r="A1726" s="3" t="str">
        <f>IF($B1726="","",COUNTA($B$9:$B1726))</f>
        <v/>
      </c>
      <c r="B1726" s="4"/>
      <c r="C1726" s="4"/>
      <c r="D1726" s="4"/>
      <c r="E1726" s="5"/>
      <c r="F1726" s="3" t="str">
        <f t="shared" si="82"/>
        <v/>
      </c>
      <c r="G1726" s="4"/>
      <c r="H1726" s="3" t="str">
        <f t="shared" si="83"/>
        <v/>
      </c>
      <c r="I1726" s="5"/>
      <c r="J1726" s="5"/>
      <c r="K1726" s="6"/>
      <c r="L1726" s="6"/>
      <c r="M1726" s="7" t="str">
        <f t="shared" si="84"/>
        <v/>
      </c>
      <c r="N1726" s="6"/>
      <c r="O1726" s="5"/>
    </row>
    <row r="1727" spans="1:15" x14ac:dyDescent="0.2">
      <c r="A1727" s="3" t="str">
        <f>IF($B1727="","",COUNTA($B$9:$B1727))</f>
        <v/>
      </c>
      <c r="B1727" s="4"/>
      <c r="C1727" s="4"/>
      <c r="D1727" s="4"/>
      <c r="E1727" s="5"/>
      <c r="F1727" s="3" t="str">
        <f t="shared" si="82"/>
        <v/>
      </c>
      <c r="G1727" s="4"/>
      <c r="H1727" s="3" t="str">
        <f t="shared" si="83"/>
        <v/>
      </c>
      <c r="I1727" s="5"/>
      <c r="J1727" s="5"/>
      <c r="K1727" s="6"/>
      <c r="L1727" s="6"/>
      <c r="M1727" s="7" t="str">
        <f t="shared" si="84"/>
        <v/>
      </c>
      <c r="N1727" s="6"/>
      <c r="O1727" s="5"/>
    </row>
    <row r="1728" spans="1:15" x14ac:dyDescent="0.2">
      <c r="A1728" s="3" t="str">
        <f>IF($B1728="","",COUNTA($B$9:$B1728))</f>
        <v/>
      </c>
      <c r="B1728" s="4"/>
      <c r="C1728" s="4"/>
      <c r="D1728" s="4"/>
      <c r="E1728" s="5"/>
      <c r="F1728" s="3" t="str">
        <f t="shared" si="82"/>
        <v/>
      </c>
      <c r="G1728" s="4"/>
      <c r="H1728" s="3" t="str">
        <f t="shared" si="83"/>
        <v/>
      </c>
      <c r="I1728" s="5"/>
      <c r="J1728" s="5"/>
      <c r="K1728" s="6"/>
      <c r="L1728" s="6"/>
      <c r="M1728" s="7" t="str">
        <f t="shared" si="84"/>
        <v/>
      </c>
      <c r="N1728" s="6"/>
      <c r="O1728" s="5"/>
    </row>
    <row r="1729" spans="1:15" x14ac:dyDescent="0.2">
      <c r="A1729" s="3" t="str">
        <f>IF($B1729="","",COUNTA($B$9:$B1729))</f>
        <v/>
      </c>
      <c r="B1729" s="4"/>
      <c r="C1729" s="4"/>
      <c r="D1729" s="4"/>
      <c r="E1729" s="5"/>
      <c r="F1729" s="3" t="str">
        <f t="shared" si="82"/>
        <v/>
      </c>
      <c r="G1729" s="4"/>
      <c r="H1729" s="3" t="str">
        <f t="shared" si="83"/>
        <v/>
      </c>
      <c r="I1729" s="5"/>
      <c r="J1729" s="5"/>
      <c r="K1729" s="6"/>
      <c r="L1729" s="6"/>
      <c r="M1729" s="7" t="str">
        <f t="shared" si="84"/>
        <v/>
      </c>
      <c r="N1729" s="6"/>
      <c r="O1729" s="5"/>
    </row>
    <row r="1730" spans="1:15" x14ac:dyDescent="0.2">
      <c r="A1730" s="3" t="str">
        <f>IF($B1730="","",COUNTA($B$9:$B1730))</f>
        <v/>
      </c>
      <c r="B1730" s="4"/>
      <c r="C1730" s="4"/>
      <c r="D1730" s="4"/>
      <c r="E1730" s="5"/>
      <c r="F1730" s="3" t="str">
        <f t="shared" si="82"/>
        <v/>
      </c>
      <c r="G1730" s="4"/>
      <c r="H1730" s="3" t="str">
        <f t="shared" si="83"/>
        <v/>
      </c>
      <c r="I1730" s="5"/>
      <c r="J1730" s="5"/>
      <c r="K1730" s="6"/>
      <c r="L1730" s="6"/>
      <c r="M1730" s="7" t="str">
        <f t="shared" si="84"/>
        <v/>
      </c>
      <c r="N1730" s="6"/>
      <c r="O1730" s="5"/>
    </row>
    <row r="1731" spans="1:15" x14ac:dyDescent="0.2">
      <c r="A1731" s="3" t="str">
        <f>IF($B1731="","",COUNTA($B$9:$B1731))</f>
        <v/>
      </c>
      <c r="B1731" s="4"/>
      <c r="C1731" s="4"/>
      <c r="D1731" s="4"/>
      <c r="E1731" s="5"/>
      <c r="F1731" s="3" t="str">
        <f t="shared" si="82"/>
        <v/>
      </c>
      <c r="G1731" s="4"/>
      <c r="H1731" s="3" t="str">
        <f t="shared" si="83"/>
        <v/>
      </c>
      <c r="I1731" s="5"/>
      <c r="J1731" s="5"/>
      <c r="K1731" s="6"/>
      <c r="L1731" s="6"/>
      <c r="M1731" s="7" t="str">
        <f t="shared" si="84"/>
        <v/>
      </c>
      <c r="N1731" s="6"/>
      <c r="O1731" s="5"/>
    </row>
    <row r="1732" spans="1:15" x14ac:dyDescent="0.2">
      <c r="A1732" s="3" t="str">
        <f>IF($B1732="","",COUNTA($B$9:$B1732))</f>
        <v/>
      </c>
      <c r="B1732" s="4"/>
      <c r="C1732" s="4"/>
      <c r="D1732" s="4"/>
      <c r="E1732" s="5"/>
      <c r="F1732" s="3" t="str">
        <f t="shared" si="82"/>
        <v/>
      </c>
      <c r="G1732" s="4"/>
      <c r="H1732" s="3" t="str">
        <f t="shared" si="83"/>
        <v/>
      </c>
      <c r="I1732" s="5"/>
      <c r="J1732" s="5"/>
      <c r="K1732" s="6"/>
      <c r="L1732" s="6"/>
      <c r="M1732" s="7" t="str">
        <f t="shared" si="84"/>
        <v/>
      </c>
      <c r="N1732" s="6"/>
      <c r="O1732" s="5"/>
    </row>
    <row r="1733" spans="1:15" x14ac:dyDescent="0.2">
      <c r="A1733" s="3" t="str">
        <f>IF($B1733="","",COUNTA($B$9:$B1733))</f>
        <v/>
      </c>
      <c r="B1733" s="4"/>
      <c r="C1733" s="4"/>
      <c r="D1733" s="4"/>
      <c r="E1733" s="5"/>
      <c r="F1733" s="3" t="str">
        <f t="shared" si="82"/>
        <v/>
      </c>
      <c r="G1733" s="4"/>
      <c r="H1733" s="3" t="str">
        <f t="shared" si="83"/>
        <v/>
      </c>
      <c r="I1733" s="5"/>
      <c r="J1733" s="5"/>
      <c r="K1733" s="6"/>
      <c r="L1733" s="6"/>
      <c r="M1733" s="7" t="str">
        <f t="shared" si="84"/>
        <v/>
      </c>
      <c r="N1733" s="6"/>
      <c r="O1733" s="5"/>
    </row>
    <row r="1734" spans="1:15" x14ac:dyDescent="0.2">
      <c r="A1734" s="3" t="str">
        <f>IF($B1734="","",COUNTA($B$9:$B1734))</f>
        <v/>
      </c>
      <c r="B1734" s="4"/>
      <c r="C1734" s="4"/>
      <c r="D1734" s="4"/>
      <c r="E1734" s="5"/>
      <c r="F1734" s="3" t="str">
        <f t="shared" si="82"/>
        <v/>
      </c>
      <c r="G1734" s="4"/>
      <c r="H1734" s="3" t="str">
        <f t="shared" si="83"/>
        <v/>
      </c>
      <c r="I1734" s="5"/>
      <c r="J1734" s="5"/>
      <c r="K1734" s="6"/>
      <c r="L1734" s="6"/>
      <c r="M1734" s="7" t="str">
        <f t="shared" si="84"/>
        <v/>
      </c>
      <c r="N1734" s="6"/>
      <c r="O1734" s="5"/>
    </row>
    <row r="1735" spans="1:15" x14ac:dyDescent="0.2">
      <c r="A1735" s="3" t="str">
        <f>IF($B1735="","",COUNTA($B$9:$B1735))</f>
        <v/>
      </c>
      <c r="B1735" s="4"/>
      <c r="C1735" s="4"/>
      <c r="D1735" s="4"/>
      <c r="E1735" s="5"/>
      <c r="F1735" s="3" t="str">
        <f t="shared" si="82"/>
        <v/>
      </c>
      <c r="G1735" s="4"/>
      <c r="H1735" s="3" t="str">
        <f t="shared" si="83"/>
        <v/>
      </c>
      <c r="I1735" s="5"/>
      <c r="J1735" s="5"/>
      <c r="K1735" s="6"/>
      <c r="L1735" s="6"/>
      <c r="M1735" s="7" t="str">
        <f t="shared" si="84"/>
        <v/>
      </c>
      <c r="N1735" s="6"/>
      <c r="O1735" s="5"/>
    </row>
    <row r="1736" spans="1:15" x14ac:dyDescent="0.2">
      <c r="A1736" s="3" t="str">
        <f>IF($B1736="","",COUNTA($B$9:$B1736))</f>
        <v/>
      </c>
      <c r="B1736" s="4"/>
      <c r="C1736" s="4"/>
      <c r="D1736" s="4"/>
      <c r="E1736" s="5"/>
      <c r="F1736" s="3" t="str">
        <f t="shared" ref="F1736:F1799" si="85">IF($E1736="","",IFERROR(VLOOKUP($E1736,OpTbl,2,0),""))</f>
        <v/>
      </c>
      <c r="G1736" s="4"/>
      <c r="H1736" s="3" t="str">
        <f t="shared" ref="H1736:H1799" si="86">IF($G1736="","",IFERROR(IF(VLOOKUP($G1736,AcctTbl,4,0)="","(بدون نام)",VLOOKUP($G1736,AcctTbl,4,0)),"کد ناشناخته"))</f>
        <v/>
      </c>
      <c r="I1736" s="5"/>
      <c r="J1736" s="5"/>
      <c r="K1736" s="6"/>
      <c r="L1736" s="6"/>
      <c r="M1736" s="7" t="str">
        <f t="shared" ref="M1736:M1799" si="87">IF(OR($B1736="",$K1736=""),"",($K1736-IF($L1736="",0,$L1736)*IFERROR(VLOOKUP("P01",ParamTbl,3,0),1.5))*(1-IF(IFERROR(VLOOKUP($E1736,OpTbl,3,0),"")="خرید",IFERROR(VLOOKUP("P02",ParamTbl,3,0),1),0)/100))</f>
        <v/>
      </c>
      <c r="N1736" s="6"/>
      <c r="O1736" s="5"/>
    </row>
    <row r="1737" spans="1:15" x14ac:dyDescent="0.2">
      <c r="A1737" s="3" t="str">
        <f>IF($B1737="","",COUNTA($B$9:$B1737))</f>
        <v/>
      </c>
      <c r="B1737" s="4"/>
      <c r="C1737" s="4"/>
      <c r="D1737" s="4"/>
      <c r="E1737" s="5"/>
      <c r="F1737" s="3" t="str">
        <f t="shared" si="85"/>
        <v/>
      </c>
      <c r="G1737" s="4"/>
      <c r="H1737" s="3" t="str">
        <f t="shared" si="86"/>
        <v/>
      </c>
      <c r="I1737" s="5"/>
      <c r="J1737" s="5"/>
      <c r="K1737" s="6"/>
      <c r="L1737" s="6"/>
      <c r="M1737" s="7" t="str">
        <f t="shared" si="87"/>
        <v/>
      </c>
      <c r="N1737" s="6"/>
      <c r="O1737" s="5"/>
    </row>
    <row r="1738" spans="1:15" x14ac:dyDescent="0.2">
      <c r="A1738" s="3" t="str">
        <f>IF($B1738="","",COUNTA($B$9:$B1738))</f>
        <v/>
      </c>
      <c r="B1738" s="4"/>
      <c r="C1738" s="4"/>
      <c r="D1738" s="4"/>
      <c r="E1738" s="5"/>
      <c r="F1738" s="3" t="str">
        <f t="shared" si="85"/>
        <v/>
      </c>
      <c r="G1738" s="4"/>
      <c r="H1738" s="3" t="str">
        <f t="shared" si="86"/>
        <v/>
      </c>
      <c r="I1738" s="5"/>
      <c r="J1738" s="5"/>
      <c r="K1738" s="6"/>
      <c r="L1738" s="6"/>
      <c r="M1738" s="7" t="str">
        <f t="shared" si="87"/>
        <v/>
      </c>
      <c r="N1738" s="6"/>
      <c r="O1738" s="5"/>
    </row>
    <row r="1739" spans="1:15" x14ac:dyDescent="0.2">
      <c r="A1739" s="3" t="str">
        <f>IF($B1739="","",COUNTA($B$9:$B1739))</f>
        <v/>
      </c>
      <c r="B1739" s="4"/>
      <c r="C1739" s="4"/>
      <c r="D1739" s="4"/>
      <c r="E1739" s="5"/>
      <c r="F1739" s="3" t="str">
        <f t="shared" si="85"/>
        <v/>
      </c>
      <c r="G1739" s="4"/>
      <c r="H1739" s="3" t="str">
        <f t="shared" si="86"/>
        <v/>
      </c>
      <c r="I1739" s="5"/>
      <c r="J1739" s="5"/>
      <c r="K1739" s="6"/>
      <c r="L1739" s="6"/>
      <c r="M1739" s="7" t="str">
        <f t="shared" si="87"/>
        <v/>
      </c>
      <c r="N1739" s="6"/>
      <c r="O1739" s="5"/>
    </row>
    <row r="1740" spans="1:15" x14ac:dyDescent="0.2">
      <c r="A1740" s="3" t="str">
        <f>IF($B1740="","",COUNTA($B$9:$B1740))</f>
        <v/>
      </c>
      <c r="B1740" s="4"/>
      <c r="C1740" s="4"/>
      <c r="D1740" s="4"/>
      <c r="E1740" s="5"/>
      <c r="F1740" s="3" t="str">
        <f t="shared" si="85"/>
        <v/>
      </c>
      <c r="G1740" s="4"/>
      <c r="H1740" s="3" t="str">
        <f t="shared" si="86"/>
        <v/>
      </c>
      <c r="I1740" s="5"/>
      <c r="J1740" s="5"/>
      <c r="K1740" s="6"/>
      <c r="L1740" s="6"/>
      <c r="M1740" s="7" t="str">
        <f t="shared" si="87"/>
        <v/>
      </c>
      <c r="N1740" s="6"/>
      <c r="O1740" s="5"/>
    </row>
    <row r="1741" spans="1:15" x14ac:dyDescent="0.2">
      <c r="A1741" s="3" t="str">
        <f>IF($B1741="","",COUNTA($B$9:$B1741))</f>
        <v/>
      </c>
      <c r="B1741" s="4"/>
      <c r="C1741" s="4"/>
      <c r="D1741" s="4"/>
      <c r="E1741" s="5"/>
      <c r="F1741" s="3" t="str">
        <f t="shared" si="85"/>
        <v/>
      </c>
      <c r="G1741" s="4"/>
      <c r="H1741" s="3" t="str">
        <f t="shared" si="86"/>
        <v/>
      </c>
      <c r="I1741" s="5"/>
      <c r="J1741" s="5"/>
      <c r="K1741" s="6"/>
      <c r="L1741" s="6"/>
      <c r="M1741" s="7" t="str">
        <f t="shared" si="87"/>
        <v/>
      </c>
      <c r="N1741" s="6"/>
      <c r="O1741" s="5"/>
    </row>
    <row r="1742" spans="1:15" x14ac:dyDescent="0.2">
      <c r="A1742" s="3" t="str">
        <f>IF($B1742="","",COUNTA($B$9:$B1742))</f>
        <v/>
      </c>
      <c r="B1742" s="4"/>
      <c r="C1742" s="4"/>
      <c r="D1742" s="4"/>
      <c r="E1742" s="5"/>
      <c r="F1742" s="3" t="str">
        <f t="shared" si="85"/>
        <v/>
      </c>
      <c r="G1742" s="4"/>
      <c r="H1742" s="3" t="str">
        <f t="shared" si="86"/>
        <v/>
      </c>
      <c r="I1742" s="5"/>
      <c r="J1742" s="5"/>
      <c r="K1742" s="6"/>
      <c r="L1742" s="6"/>
      <c r="M1742" s="7" t="str">
        <f t="shared" si="87"/>
        <v/>
      </c>
      <c r="N1742" s="6"/>
      <c r="O1742" s="5"/>
    </row>
    <row r="1743" spans="1:15" x14ac:dyDescent="0.2">
      <c r="A1743" s="3" t="str">
        <f>IF($B1743="","",COUNTA($B$9:$B1743))</f>
        <v/>
      </c>
      <c r="B1743" s="4"/>
      <c r="C1743" s="4"/>
      <c r="D1743" s="4"/>
      <c r="E1743" s="5"/>
      <c r="F1743" s="3" t="str">
        <f t="shared" si="85"/>
        <v/>
      </c>
      <c r="G1743" s="4"/>
      <c r="H1743" s="3" t="str">
        <f t="shared" si="86"/>
        <v/>
      </c>
      <c r="I1743" s="5"/>
      <c r="J1743" s="5"/>
      <c r="K1743" s="6"/>
      <c r="L1743" s="6"/>
      <c r="M1743" s="7" t="str">
        <f t="shared" si="87"/>
        <v/>
      </c>
      <c r="N1743" s="6"/>
      <c r="O1743" s="5"/>
    </row>
    <row r="1744" spans="1:15" x14ac:dyDescent="0.2">
      <c r="A1744" s="3" t="str">
        <f>IF($B1744="","",COUNTA($B$9:$B1744))</f>
        <v/>
      </c>
      <c r="B1744" s="4"/>
      <c r="C1744" s="4"/>
      <c r="D1744" s="4"/>
      <c r="E1744" s="5"/>
      <c r="F1744" s="3" t="str">
        <f t="shared" si="85"/>
        <v/>
      </c>
      <c r="G1744" s="4"/>
      <c r="H1744" s="3" t="str">
        <f t="shared" si="86"/>
        <v/>
      </c>
      <c r="I1744" s="5"/>
      <c r="J1744" s="5"/>
      <c r="K1744" s="6"/>
      <c r="L1744" s="6"/>
      <c r="M1744" s="7" t="str">
        <f t="shared" si="87"/>
        <v/>
      </c>
      <c r="N1744" s="6"/>
      <c r="O1744" s="5"/>
    </row>
    <row r="1745" spans="1:15" x14ac:dyDescent="0.2">
      <c r="A1745" s="3" t="str">
        <f>IF($B1745="","",COUNTA($B$9:$B1745))</f>
        <v/>
      </c>
      <c r="B1745" s="4"/>
      <c r="C1745" s="4"/>
      <c r="D1745" s="4"/>
      <c r="E1745" s="5"/>
      <c r="F1745" s="3" t="str">
        <f t="shared" si="85"/>
        <v/>
      </c>
      <c r="G1745" s="4"/>
      <c r="H1745" s="3" t="str">
        <f t="shared" si="86"/>
        <v/>
      </c>
      <c r="I1745" s="5"/>
      <c r="J1745" s="5"/>
      <c r="K1745" s="6"/>
      <c r="L1745" s="6"/>
      <c r="M1745" s="7" t="str">
        <f t="shared" si="87"/>
        <v/>
      </c>
      <c r="N1745" s="6"/>
      <c r="O1745" s="5"/>
    </row>
    <row r="1746" spans="1:15" x14ac:dyDescent="0.2">
      <c r="A1746" s="3" t="str">
        <f>IF($B1746="","",COUNTA($B$9:$B1746))</f>
        <v/>
      </c>
      <c r="B1746" s="4"/>
      <c r="C1746" s="4"/>
      <c r="D1746" s="4"/>
      <c r="E1746" s="5"/>
      <c r="F1746" s="3" t="str">
        <f t="shared" si="85"/>
        <v/>
      </c>
      <c r="G1746" s="4"/>
      <c r="H1746" s="3" t="str">
        <f t="shared" si="86"/>
        <v/>
      </c>
      <c r="I1746" s="5"/>
      <c r="J1746" s="5"/>
      <c r="K1746" s="6"/>
      <c r="L1746" s="6"/>
      <c r="M1746" s="7" t="str">
        <f t="shared" si="87"/>
        <v/>
      </c>
      <c r="N1746" s="6"/>
      <c r="O1746" s="5"/>
    </row>
    <row r="1747" spans="1:15" x14ac:dyDescent="0.2">
      <c r="A1747" s="3" t="str">
        <f>IF($B1747="","",COUNTA($B$9:$B1747))</f>
        <v/>
      </c>
      <c r="B1747" s="4"/>
      <c r="C1747" s="4"/>
      <c r="D1747" s="4"/>
      <c r="E1747" s="5"/>
      <c r="F1747" s="3" t="str">
        <f t="shared" si="85"/>
        <v/>
      </c>
      <c r="G1747" s="4"/>
      <c r="H1747" s="3" t="str">
        <f t="shared" si="86"/>
        <v/>
      </c>
      <c r="I1747" s="5"/>
      <c r="J1747" s="5"/>
      <c r="K1747" s="6"/>
      <c r="L1747" s="6"/>
      <c r="M1747" s="7" t="str">
        <f t="shared" si="87"/>
        <v/>
      </c>
      <c r="N1747" s="6"/>
      <c r="O1747" s="5"/>
    </row>
    <row r="1748" spans="1:15" x14ac:dyDescent="0.2">
      <c r="A1748" s="3" t="str">
        <f>IF($B1748="","",COUNTA($B$9:$B1748))</f>
        <v/>
      </c>
      <c r="B1748" s="4"/>
      <c r="C1748" s="4"/>
      <c r="D1748" s="4"/>
      <c r="E1748" s="5"/>
      <c r="F1748" s="3" t="str">
        <f t="shared" si="85"/>
        <v/>
      </c>
      <c r="G1748" s="4"/>
      <c r="H1748" s="3" t="str">
        <f t="shared" si="86"/>
        <v/>
      </c>
      <c r="I1748" s="5"/>
      <c r="J1748" s="5"/>
      <c r="K1748" s="6"/>
      <c r="L1748" s="6"/>
      <c r="M1748" s="7" t="str">
        <f t="shared" si="87"/>
        <v/>
      </c>
      <c r="N1748" s="6"/>
      <c r="O1748" s="5"/>
    </row>
    <row r="1749" spans="1:15" x14ac:dyDescent="0.2">
      <c r="A1749" s="3" t="str">
        <f>IF($B1749="","",COUNTA($B$9:$B1749))</f>
        <v/>
      </c>
      <c r="B1749" s="4"/>
      <c r="C1749" s="4"/>
      <c r="D1749" s="4"/>
      <c r="E1749" s="5"/>
      <c r="F1749" s="3" t="str">
        <f t="shared" si="85"/>
        <v/>
      </c>
      <c r="G1749" s="4"/>
      <c r="H1749" s="3" t="str">
        <f t="shared" si="86"/>
        <v/>
      </c>
      <c r="I1749" s="5"/>
      <c r="J1749" s="5"/>
      <c r="K1749" s="6"/>
      <c r="L1749" s="6"/>
      <c r="M1749" s="7" t="str">
        <f t="shared" si="87"/>
        <v/>
      </c>
      <c r="N1749" s="6"/>
      <c r="O1749" s="5"/>
    </row>
    <row r="1750" spans="1:15" x14ac:dyDescent="0.2">
      <c r="A1750" s="3" t="str">
        <f>IF($B1750="","",COUNTA($B$9:$B1750))</f>
        <v/>
      </c>
      <c r="B1750" s="4"/>
      <c r="C1750" s="4"/>
      <c r="D1750" s="4"/>
      <c r="E1750" s="5"/>
      <c r="F1750" s="3" t="str">
        <f t="shared" si="85"/>
        <v/>
      </c>
      <c r="G1750" s="4"/>
      <c r="H1750" s="3" t="str">
        <f t="shared" si="86"/>
        <v/>
      </c>
      <c r="I1750" s="5"/>
      <c r="J1750" s="5"/>
      <c r="K1750" s="6"/>
      <c r="L1750" s="6"/>
      <c r="M1750" s="7" t="str">
        <f t="shared" si="87"/>
        <v/>
      </c>
      <c r="N1750" s="6"/>
      <c r="O1750" s="5"/>
    </row>
    <row r="1751" spans="1:15" x14ac:dyDescent="0.2">
      <c r="A1751" s="3" t="str">
        <f>IF($B1751="","",COUNTA($B$9:$B1751))</f>
        <v/>
      </c>
      <c r="B1751" s="4"/>
      <c r="C1751" s="4"/>
      <c r="D1751" s="4"/>
      <c r="E1751" s="5"/>
      <c r="F1751" s="3" t="str">
        <f t="shared" si="85"/>
        <v/>
      </c>
      <c r="G1751" s="4"/>
      <c r="H1751" s="3" t="str">
        <f t="shared" si="86"/>
        <v/>
      </c>
      <c r="I1751" s="5"/>
      <c r="J1751" s="5"/>
      <c r="K1751" s="6"/>
      <c r="L1751" s="6"/>
      <c r="M1751" s="7" t="str">
        <f t="shared" si="87"/>
        <v/>
      </c>
      <c r="N1751" s="6"/>
      <c r="O1751" s="5"/>
    </row>
    <row r="1752" spans="1:15" x14ac:dyDescent="0.2">
      <c r="A1752" s="3" t="str">
        <f>IF($B1752="","",COUNTA($B$9:$B1752))</f>
        <v/>
      </c>
      <c r="B1752" s="4"/>
      <c r="C1752" s="4"/>
      <c r="D1752" s="4"/>
      <c r="E1752" s="5"/>
      <c r="F1752" s="3" t="str">
        <f t="shared" si="85"/>
        <v/>
      </c>
      <c r="G1752" s="4"/>
      <c r="H1752" s="3" t="str">
        <f t="shared" si="86"/>
        <v/>
      </c>
      <c r="I1752" s="5"/>
      <c r="J1752" s="5"/>
      <c r="K1752" s="6"/>
      <c r="L1752" s="6"/>
      <c r="M1752" s="7" t="str">
        <f t="shared" si="87"/>
        <v/>
      </c>
      <c r="N1752" s="6"/>
      <c r="O1752" s="5"/>
    </row>
    <row r="1753" spans="1:15" x14ac:dyDescent="0.2">
      <c r="A1753" s="3" t="str">
        <f>IF($B1753="","",COUNTA($B$9:$B1753))</f>
        <v/>
      </c>
      <c r="B1753" s="4"/>
      <c r="C1753" s="4"/>
      <c r="D1753" s="4"/>
      <c r="E1753" s="5"/>
      <c r="F1753" s="3" t="str">
        <f t="shared" si="85"/>
        <v/>
      </c>
      <c r="G1753" s="4"/>
      <c r="H1753" s="3" t="str">
        <f t="shared" si="86"/>
        <v/>
      </c>
      <c r="I1753" s="5"/>
      <c r="J1753" s="5"/>
      <c r="K1753" s="6"/>
      <c r="L1753" s="6"/>
      <c r="M1753" s="7" t="str">
        <f t="shared" si="87"/>
        <v/>
      </c>
      <c r="N1753" s="6"/>
      <c r="O1753" s="5"/>
    </row>
    <row r="1754" spans="1:15" x14ac:dyDescent="0.2">
      <c r="A1754" s="3" t="str">
        <f>IF($B1754="","",COUNTA($B$9:$B1754))</f>
        <v/>
      </c>
      <c r="B1754" s="4"/>
      <c r="C1754" s="4"/>
      <c r="D1754" s="4"/>
      <c r="E1754" s="5"/>
      <c r="F1754" s="3" t="str">
        <f t="shared" si="85"/>
        <v/>
      </c>
      <c r="G1754" s="4"/>
      <c r="H1754" s="3" t="str">
        <f t="shared" si="86"/>
        <v/>
      </c>
      <c r="I1754" s="5"/>
      <c r="J1754" s="5"/>
      <c r="K1754" s="6"/>
      <c r="L1754" s="6"/>
      <c r="M1754" s="7" t="str">
        <f t="shared" si="87"/>
        <v/>
      </c>
      <c r="N1754" s="6"/>
      <c r="O1754" s="5"/>
    </row>
    <row r="1755" spans="1:15" x14ac:dyDescent="0.2">
      <c r="A1755" s="3" t="str">
        <f>IF($B1755="","",COUNTA($B$9:$B1755))</f>
        <v/>
      </c>
      <c r="B1755" s="4"/>
      <c r="C1755" s="4"/>
      <c r="D1755" s="4"/>
      <c r="E1755" s="5"/>
      <c r="F1755" s="3" t="str">
        <f t="shared" si="85"/>
        <v/>
      </c>
      <c r="G1755" s="4"/>
      <c r="H1755" s="3" t="str">
        <f t="shared" si="86"/>
        <v/>
      </c>
      <c r="I1755" s="5"/>
      <c r="J1755" s="5"/>
      <c r="K1755" s="6"/>
      <c r="L1755" s="6"/>
      <c r="M1755" s="7" t="str">
        <f t="shared" si="87"/>
        <v/>
      </c>
      <c r="N1755" s="6"/>
      <c r="O1755" s="5"/>
    </row>
    <row r="1756" spans="1:15" x14ac:dyDescent="0.2">
      <c r="A1756" s="3" t="str">
        <f>IF($B1756="","",COUNTA($B$9:$B1756))</f>
        <v/>
      </c>
      <c r="B1756" s="4"/>
      <c r="C1756" s="4"/>
      <c r="D1756" s="4"/>
      <c r="E1756" s="5"/>
      <c r="F1756" s="3" t="str">
        <f t="shared" si="85"/>
        <v/>
      </c>
      <c r="G1756" s="4"/>
      <c r="H1756" s="3" t="str">
        <f t="shared" si="86"/>
        <v/>
      </c>
      <c r="I1756" s="5"/>
      <c r="J1756" s="5"/>
      <c r="K1756" s="6"/>
      <c r="L1756" s="6"/>
      <c r="M1756" s="7" t="str">
        <f t="shared" si="87"/>
        <v/>
      </c>
      <c r="N1756" s="6"/>
      <c r="O1756" s="5"/>
    </row>
    <row r="1757" spans="1:15" x14ac:dyDescent="0.2">
      <c r="A1757" s="3" t="str">
        <f>IF($B1757="","",COUNTA($B$9:$B1757))</f>
        <v/>
      </c>
      <c r="B1757" s="4"/>
      <c r="C1757" s="4"/>
      <c r="D1757" s="4"/>
      <c r="E1757" s="5"/>
      <c r="F1757" s="3" t="str">
        <f t="shared" si="85"/>
        <v/>
      </c>
      <c r="G1757" s="4"/>
      <c r="H1757" s="3" t="str">
        <f t="shared" si="86"/>
        <v/>
      </c>
      <c r="I1757" s="5"/>
      <c r="J1757" s="5"/>
      <c r="K1757" s="6"/>
      <c r="L1757" s="6"/>
      <c r="M1757" s="7" t="str">
        <f t="shared" si="87"/>
        <v/>
      </c>
      <c r="N1757" s="6"/>
      <c r="O1757" s="5"/>
    </row>
    <row r="1758" spans="1:15" x14ac:dyDescent="0.2">
      <c r="A1758" s="3" t="str">
        <f>IF($B1758="","",COUNTA($B$9:$B1758))</f>
        <v/>
      </c>
      <c r="B1758" s="4"/>
      <c r="C1758" s="4"/>
      <c r="D1758" s="4"/>
      <c r="E1758" s="5"/>
      <c r="F1758" s="3" t="str">
        <f t="shared" si="85"/>
        <v/>
      </c>
      <c r="G1758" s="4"/>
      <c r="H1758" s="3" t="str">
        <f t="shared" si="86"/>
        <v/>
      </c>
      <c r="I1758" s="5"/>
      <c r="J1758" s="5"/>
      <c r="K1758" s="6"/>
      <c r="L1758" s="6"/>
      <c r="M1758" s="7" t="str">
        <f t="shared" si="87"/>
        <v/>
      </c>
      <c r="N1758" s="6"/>
      <c r="O1758" s="5"/>
    </row>
    <row r="1759" spans="1:15" x14ac:dyDescent="0.2">
      <c r="A1759" s="3" t="str">
        <f>IF($B1759="","",COUNTA($B$9:$B1759))</f>
        <v/>
      </c>
      <c r="B1759" s="4"/>
      <c r="C1759" s="4"/>
      <c r="D1759" s="4"/>
      <c r="E1759" s="5"/>
      <c r="F1759" s="3" t="str">
        <f t="shared" si="85"/>
        <v/>
      </c>
      <c r="G1759" s="4"/>
      <c r="H1759" s="3" t="str">
        <f t="shared" si="86"/>
        <v/>
      </c>
      <c r="I1759" s="5"/>
      <c r="J1759" s="5"/>
      <c r="K1759" s="6"/>
      <c r="L1759" s="6"/>
      <c r="M1759" s="7" t="str">
        <f t="shared" si="87"/>
        <v/>
      </c>
      <c r="N1759" s="6"/>
      <c r="O1759" s="5"/>
    </row>
    <row r="1760" spans="1:15" x14ac:dyDescent="0.2">
      <c r="A1760" s="3" t="str">
        <f>IF($B1760="","",COUNTA($B$9:$B1760))</f>
        <v/>
      </c>
      <c r="B1760" s="4"/>
      <c r="C1760" s="4"/>
      <c r="D1760" s="4"/>
      <c r="E1760" s="5"/>
      <c r="F1760" s="3" t="str">
        <f t="shared" si="85"/>
        <v/>
      </c>
      <c r="G1760" s="4"/>
      <c r="H1760" s="3" t="str">
        <f t="shared" si="86"/>
        <v/>
      </c>
      <c r="I1760" s="5"/>
      <c r="J1760" s="5"/>
      <c r="K1760" s="6"/>
      <c r="L1760" s="6"/>
      <c r="M1760" s="7" t="str">
        <f t="shared" si="87"/>
        <v/>
      </c>
      <c r="N1760" s="6"/>
      <c r="O1760" s="5"/>
    </row>
    <row r="1761" spans="1:15" x14ac:dyDescent="0.2">
      <c r="A1761" s="3" t="str">
        <f>IF($B1761="","",COUNTA($B$9:$B1761))</f>
        <v/>
      </c>
      <c r="B1761" s="4"/>
      <c r="C1761" s="4"/>
      <c r="D1761" s="4"/>
      <c r="E1761" s="5"/>
      <c r="F1761" s="3" t="str">
        <f t="shared" si="85"/>
        <v/>
      </c>
      <c r="G1761" s="4"/>
      <c r="H1761" s="3" t="str">
        <f t="shared" si="86"/>
        <v/>
      </c>
      <c r="I1761" s="5"/>
      <c r="J1761" s="5"/>
      <c r="K1761" s="6"/>
      <c r="L1761" s="6"/>
      <c r="M1761" s="7" t="str">
        <f t="shared" si="87"/>
        <v/>
      </c>
      <c r="N1761" s="6"/>
      <c r="O1761" s="5"/>
    </row>
    <row r="1762" spans="1:15" x14ac:dyDescent="0.2">
      <c r="A1762" s="3" t="str">
        <f>IF($B1762="","",COUNTA($B$9:$B1762))</f>
        <v/>
      </c>
      <c r="B1762" s="4"/>
      <c r="C1762" s="4"/>
      <c r="D1762" s="4"/>
      <c r="E1762" s="5"/>
      <c r="F1762" s="3" t="str">
        <f t="shared" si="85"/>
        <v/>
      </c>
      <c r="G1762" s="4"/>
      <c r="H1762" s="3" t="str">
        <f t="shared" si="86"/>
        <v/>
      </c>
      <c r="I1762" s="5"/>
      <c r="J1762" s="5"/>
      <c r="K1762" s="6"/>
      <c r="L1762" s="6"/>
      <c r="M1762" s="7" t="str">
        <f t="shared" si="87"/>
        <v/>
      </c>
      <c r="N1762" s="6"/>
      <c r="O1762" s="5"/>
    </row>
    <row r="1763" spans="1:15" x14ac:dyDescent="0.2">
      <c r="A1763" s="3" t="str">
        <f>IF($B1763="","",COUNTA($B$9:$B1763))</f>
        <v/>
      </c>
      <c r="B1763" s="4"/>
      <c r="C1763" s="4"/>
      <c r="D1763" s="4"/>
      <c r="E1763" s="5"/>
      <c r="F1763" s="3" t="str">
        <f t="shared" si="85"/>
        <v/>
      </c>
      <c r="G1763" s="4"/>
      <c r="H1763" s="3" t="str">
        <f t="shared" si="86"/>
        <v/>
      </c>
      <c r="I1763" s="5"/>
      <c r="J1763" s="5"/>
      <c r="K1763" s="6"/>
      <c r="L1763" s="6"/>
      <c r="M1763" s="7" t="str">
        <f t="shared" si="87"/>
        <v/>
      </c>
      <c r="N1763" s="6"/>
      <c r="O1763" s="5"/>
    </row>
    <row r="1764" spans="1:15" x14ac:dyDescent="0.2">
      <c r="A1764" s="3" t="str">
        <f>IF($B1764="","",COUNTA($B$9:$B1764))</f>
        <v/>
      </c>
      <c r="B1764" s="4"/>
      <c r="C1764" s="4"/>
      <c r="D1764" s="4"/>
      <c r="E1764" s="5"/>
      <c r="F1764" s="3" t="str">
        <f t="shared" si="85"/>
        <v/>
      </c>
      <c r="G1764" s="4"/>
      <c r="H1764" s="3" t="str">
        <f t="shared" si="86"/>
        <v/>
      </c>
      <c r="I1764" s="5"/>
      <c r="J1764" s="5"/>
      <c r="K1764" s="6"/>
      <c r="L1764" s="6"/>
      <c r="M1764" s="7" t="str">
        <f t="shared" si="87"/>
        <v/>
      </c>
      <c r="N1764" s="6"/>
      <c r="O1764" s="5"/>
    </row>
    <row r="1765" spans="1:15" x14ac:dyDescent="0.2">
      <c r="A1765" s="3" t="str">
        <f>IF($B1765="","",COUNTA($B$9:$B1765))</f>
        <v/>
      </c>
      <c r="B1765" s="4"/>
      <c r="C1765" s="4"/>
      <c r="D1765" s="4"/>
      <c r="E1765" s="5"/>
      <c r="F1765" s="3" t="str">
        <f t="shared" si="85"/>
        <v/>
      </c>
      <c r="G1765" s="4"/>
      <c r="H1765" s="3" t="str">
        <f t="shared" si="86"/>
        <v/>
      </c>
      <c r="I1765" s="5"/>
      <c r="J1765" s="5"/>
      <c r="K1765" s="6"/>
      <c r="L1765" s="6"/>
      <c r="M1765" s="7" t="str">
        <f t="shared" si="87"/>
        <v/>
      </c>
      <c r="N1765" s="6"/>
      <c r="O1765" s="5"/>
    </row>
    <row r="1766" spans="1:15" x14ac:dyDescent="0.2">
      <c r="A1766" s="3" t="str">
        <f>IF($B1766="","",COUNTA($B$9:$B1766))</f>
        <v/>
      </c>
      <c r="B1766" s="4"/>
      <c r="C1766" s="4"/>
      <c r="D1766" s="4"/>
      <c r="E1766" s="5"/>
      <c r="F1766" s="3" t="str">
        <f t="shared" si="85"/>
        <v/>
      </c>
      <c r="G1766" s="4"/>
      <c r="H1766" s="3" t="str">
        <f t="shared" si="86"/>
        <v/>
      </c>
      <c r="I1766" s="5"/>
      <c r="J1766" s="5"/>
      <c r="K1766" s="6"/>
      <c r="L1766" s="6"/>
      <c r="M1766" s="7" t="str">
        <f t="shared" si="87"/>
        <v/>
      </c>
      <c r="N1766" s="6"/>
      <c r="O1766" s="5"/>
    </row>
    <row r="1767" spans="1:15" x14ac:dyDescent="0.2">
      <c r="A1767" s="3" t="str">
        <f>IF($B1767="","",COUNTA($B$9:$B1767))</f>
        <v/>
      </c>
      <c r="B1767" s="4"/>
      <c r="C1767" s="4"/>
      <c r="D1767" s="4"/>
      <c r="E1767" s="5"/>
      <c r="F1767" s="3" t="str">
        <f t="shared" si="85"/>
        <v/>
      </c>
      <c r="G1767" s="4"/>
      <c r="H1767" s="3" t="str">
        <f t="shared" si="86"/>
        <v/>
      </c>
      <c r="I1767" s="5"/>
      <c r="J1767" s="5"/>
      <c r="K1767" s="6"/>
      <c r="L1767" s="6"/>
      <c r="M1767" s="7" t="str">
        <f t="shared" si="87"/>
        <v/>
      </c>
      <c r="N1767" s="6"/>
      <c r="O1767" s="5"/>
    </row>
    <row r="1768" spans="1:15" x14ac:dyDescent="0.2">
      <c r="A1768" s="3" t="str">
        <f>IF($B1768="","",COUNTA($B$9:$B1768))</f>
        <v/>
      </c>
      <c r="B1768" s="4"/>
      <c r="C1768" s="4"/>
      <c r="D1768" s="4"/>
      <c r="E1768" s="5"/>
      <c r="F1768" s="3" t="str">
        <f t="shared" si="85"/>
        <v/>
      </c>
      <c r="G1768" s="4"/>
      <c r="H1768" s="3" t="str">
        <f t="shared" si="86"/>
        <v/>
      </c>
      <c r="I1768" s="5"/>
      <c r="J1768" s="5"/>
      <c r="K1768" s="6"/>
      <c r="L1768" s="6"/>
      <c r="M1768" s="7" t="str">
        <f t="shared" si="87"/>
        <v/>
      </c>
      <c r="N1768" s="6"/>
      <c r="O1768" s="5"/>
    </row>
    <row r="1769" spans="1:15" x14ac:dyDescent="0.2">
      <c r="A1769" s="3" t="str">
        <f>IF($B1769="","",COUNTA($B$9:$B1769))</f>
        <v/>
      </c>
      <c r="B1769" s="4"/>
      <c r="C1769" s="4"/>
      <c r="D1769" s="4"/>
      <c r="E1769" s="5"/>
      <c r="F1769" s="3" t="str">
        <f t="shared" si="85"/>
        <v/>
      </c>
      <c r="G1769" s="4"/>
      <c r="H1769" s="3" t="str">
        <f t="shared" si="86"/>
        <v/>
      </c>
      <c r="I1769" s="5"/>
      <c r="J1769" s="5"/>
      <c r="K1769" s="6"/>
      <c r="L1769" s="6"/>
      <c r="M1769" s="7" t="str">
        <f t="shared" si="87"/>
        <v/>
      </c>
      <c r="N1769" s="6"/>
      <c r="O1769" s="5"/>
    </row>
    <row r="1770" spans="1:15" x14ac:dyDescent="0.2">
      <c r="A1770" s="3" t="str">
        <f>IF($B1770="","",COUNTA($B$9:$B1770))</f>
        <v/>
      </c>
      <c r="B1770" s="4"/>
      <c r="C1770" s="4"/>
      <c r="D1770" s="4"/>
      <c r="E1770" s="5"/>
      <c r="F1770" s="3" t="str">
        <f t="shared" si="85"/>
        <v/>
      </c>
      <c r="G1770" s="4"/>
      <c r="H1770" s="3" t="str">
        <f t="shared" si="86"/>
        <v/>
      </c>
      <c r="I1770" s="5"/>
      <c r="J1770" s="5"/>
      <c r="K1770" s="6"/>
      <c r="L1770" s="6"/>
      <c r="M1770" s="7" t="str">
        <f t="shared" si="87"/>
        <v/>
      </c>
      <c r="N1770" s="6"/>
      <c r="O1770" s="5"/>
    </row>
    <row r="1771" spans="1:15" x14ac:dyDescent="0.2">
      <c r="A1771" s="3" t="str">
        <f>IF($B1771="","",COUNTA($B$9:$B1771))</f>
        <v/>
      </c>
      <c r="B1771" s="4"/>
      <c r="C1771" s="4"/>
      <c r="D1771" s="4"/>
      <c r="E1771" s="5"/>
      <c r="F1771" s="3" t="str">
        <f t="shared" si="85"/>
        <v/>
      </c>
      <c r="G1771" s="4"/>
      <c r="H1771" s="3" t="str">
        <f t="shared" si="86"/>
        <v/>
      </c>
      <c r="I1771" s="5"/>
      <c r="J1771" s="5"/>
      <c r="K1771" s="6"/>
      <c r="L1771" s="6"/>
      <c r="M1771" s="7" t="str">
        <f t="shared" si="87"/>
        <v/>
      </c>
      <c r="N1771" s="6"/>
      <c r="O1771" s="5"/>
    </row>
    <row r="1772" spans="1:15" x14ac:dyDescent="0.2">
      <c r="A1772" s="3" t="str">
        <f>IF($B1772="","",COUNTA($B$9:$B1772))</f>
        <v/>
      </c>
      <c r="B1772" s="4"/>
      <c r="C1772" s="4"/>
      <c r="D1772" s="4"/>
      <c r="E1772" s="5"/>
      <c r="F1772" s="3" t="str">
        <f t="shared" si="85"/>
        <v/>
      </c>
      <c r="G1772" s="4"/>
      <c r="H1772" s="3" t="str">
        <f t="shared" si="86"/>
        <v/>
      </c>
      <c r="I1772" s="5"/>
      <c r="J1772" s="5"/>
      <c r="K1772" s="6"/>
      <c r="L1772" s="6"/>
      <c r="M1772" s="7" t="str">
        <f t="shared" si="87"/>
        <v/>
      </c>
      <c r="N1772" s="6"/>
      <c r="O1772" s="5"/>
    </row>
    <row r="1773" spans="1:15" x14ac:dyDescent="0.2">
      <c r="A1773" s="3" t="str">
        <f>IF($B1773="","",COUNTA($B$9:$B1773))</f>
        <v/>
      </c>
      <c r="B1773" s="4"/>
      <c r="C1773" s="4"/>
      <c r="D1773" s="4"/>
      <c r="E1773" s="5"/>
      <c r="F1773" s="3" t="str">
        <f t="shared" si="85"/>
        <v/>
      </c>
      <c r="G1773" s="4"/>
      <c r="H1773" s="3" t="str">
        <f t="shared" si="86"/>
        <v/>
      </c>
      <c r="I1773" s="5"/>
      <c r="J1773" s="5"/>
      <c r="K1773" s="6"/>
      <c r="L1773" s="6"/>
      <c r="M1773" s="7" t="str">
        <f t="shared" si="87"/>
        <v/>
      </c>
      <c r="N1773" s="6"/>
      <c r="O1773" s="5"/>
    </row>
    <row r="1774" spans="1:15" x14ac:dyDescent="0.2">
      <c r="A1774" s="3" t="str">
        <f>IF($B1774="","",COUNTA($B$9:$B1774))</f>
        <v/>
      </c>
      <c r="B1774" s="4"/>
      <c r="C1774" s="4"/>
      <c r="D1774" s="4"/>
      <c r="E1774" s="5"/>
      <c r="F1774" s="3" t="str">
        <f t="shared" si="85"/>
        <v/>
      </c>
      <c r="G1774" s="4"/>
      <c r="H1774" s="3" t="str">
        <f t="shared" si="86"/>
        <v/>
      </c>
      <c r="I1774" s="5"/>
      <c r="J1774" s="5"/>
      <c r="K1774" s="6"/>
      <c r="L1774" s="6"/>
      <c r="M1774" s="7" t="str">
        <f t="shared" si="87"/>
        <v/>
      </c>
      <c r="N1774" s="6"/>
      <c r="O1774" s="5"/>
    </row>
    <row r="1775" spans="1:15" x14ac:dyDescent="0.2">
      <c r="A1775" s="3" t="str">
        <f>IF($B1775="","",COUNTA($B$9:$B1775))</f>
        <v/>
      </c>
      <c r="B1775" s="4"/>
      <c r="C1775" s="4"/>
      <c r="D1775" s="4"/>
      <c r="E1775" s="5"/>
      <c r="F1775" s="3" t="str">
        <f t="shared" si="85"/>
        <v/>
      </c>
      <c r="G1775" s="4"/>
      <c r="H1775" s="3" t="str">
        <f t="shared" si="86"/>
        <v/>
      </c>
      <c r="I1775" s="5"/>
      <c r="J1775" s="5"/>
      <c r="K1775" s="6"/>
      <c r="L1775" s="6"/>
      <c r="M1775" s="7" t="str">
        <f t="shared" si="87"/>
        <v/>
      </c>
      <c r="N1775" s="6"/>
      <c r="O1775" s="5"/>
    </row>
    <row r="1776" spans="1:15" x14ac:dyDescent="0.2">
      <c r="A1776" s="3" t="str">
        <f>IF($B1776="","",COUNTA($B$9:$B1776))</f>
        <v/>
      </c>
      <c r="B1776" s="4"/>
      <c r="C1776" s="4"/>
      <c r="D1776" s="4"/>
      <c r="E1776" s="5"/>
      <c r="F1776" s="3" t="str">
        <f t="shared" si="85"/>
        <v/>
      </c>
      <c r="G1776" s="4"/>
      <c r="H1776" s="3" t="str">
        <f t="shared" si="86"/>
        <v/>
      </c>
      <c r="I1776" s="5"/>
      <c r="J1776" s="5"/>
      <c r="K1776" s="6"/>
      <c r="L1776" s="6"/>
      <c r="M1776" s="7" t="str">
        <f t="shared" si="87"/>
        <v/>
      </c>
      <c r="N1776" s="6"/>
      <c r="O1776" s="5"/>
    </row>
    <row r="1777" spans="1:15" x14ac:dyDescent="0.2">
      <c r="A1777" s="3" t="str">
        <f>IF($B1777="","",COUNTA($B$9:$B1777))</f>
        <v/>
      </c>
      <c r="B1777" s="4"/>
      <c r="C1777" s="4"/>
      <c r="D1777" s="4"/>
      <c r="E1777" s="5"/>
      <c r="F1777" s="3" t="str">
        <f t="shared" si="85"/>
        <v/>
      </c>
      <c r="G1777" s="4"/>
      <c r="H1777" s="3" t="str">
        <f t="shared" si="86"/>
        <v/>
      </c>
      <c r="I1777" s="5"/>
      <c r="J1777" s="5"/>
      <c r="K1777" s="6"/>
      <c r="L1777" s="6"/>
      <c r="M1777" s="7" t="str">
        <f t="shared" si="87"/>
        <v/>
      </c>
      <c r="N1777" s="6"/>
      <c r="O1777" s="5"/>
    </row>
    <row r="1778" spans="1:15" x14ac:dyDescent="0.2">
      <c r="A1778" s="3" t="str">
        <f>IF($B1778="","",COUNTA($B$9:$B1778))</f>
        <v/>
      </c>
      <c r="B1778" s="4"/>
      <c r="C1778" s="4"/>
      <c r="D1778" s="4"/>
      <c r="E1778" s="5"/>
      <c r="F1778" s="3" t="str">
        <f t="shared" si="85"/>
        <v/>
      </c>
      <c r="G1778" s="4"/>
      <c r="H1778" s="3" t="str">
        <f t="shared" si="86"/>
        <v/>
      </c>
      <c r="I1778" s="5"/>
      <c r="J1778" s="5"/>
      <c r="K1778" s="6"/>
      <c r="L1778" s="6"/>
      <c r="M1778" s="7" t="str">
        <f t="shared" si="87"/>
        <v/>
      </c>
      <c r="N1778" s="6"/>
      <c r="O1778" s="5"/>
    </row>
    <row r="1779" spans="1:15" x14ac:dyDescent="0.2">
      <c r="A1779" s="3" t="str">
        <f>IF($B1779="","",COUNTA($B$9:$B1779))</f>
        <v/>
      </c>
      <c r="B1779" s="4"/>
      <c r="C1779" s="4"/>
      <c r="D1779" s="4"/>
      <c r="E1779" s="5"/>
      <c r="F1779" s="3" t="str">
        <f t="shared" si="85"/>
        <v/>
      </c>
      <c r="G1779" s="4"/>
      <c r="H1779" s="3" t="str">
        <f t="shared" si="86"/>
        <v/>
      </c>
      <c r="I1779" s="5"/>
      <c r="J1779" s="5"/>
      <c r="K1779" s="6"/>
      <c r="L1779" s="6"/>
      <c r="M1779" s="7" t="str">
        <f t="shared" si="87"/>
        <v/>
      </c>
      <c r="N1779" s="6"/>
      <c r="O1779" s="5"/>
    </row>
    <row r="1780" spans="1:15" x14ac:dyDescent="0.2">
      <c r="A1780" s="3" t="str">
        <f>IF($B1780="","",COUNTA($B$9:$B1780))</f>
        <v/>
      </c>
      <c r="B1780" s="4"/>
      <c r="C1780" s="4"/>
      <c r="D1780" s="4"/>
      <c r="E1780" s="5"/>
      <c r="F1780" s="3" t="str">
        <f t="shared" si="85"/>
        <v/>
      </c>
      <c r="G1780" s="4"/>
      <c r="H1780" s="3" t="str">
        <f t="shared" si="86"/>
        <v/>
      </c>
      <c r="I1780" s="5"/>
      <c r="J1780" s="5"/>
      <c r="K1780" s="6"/>
      <c r="L1780" s="6"/>
      <c r="M1780" s="7" t="str">
        <f t="shared" si="87"/>
        <v/>
      </c>
      <c r="N1780" s="6"/>
      <c r="O1780" s="5"/>
    </row>
    <row r="1781" spans="1:15" x14ac:dyDescent="0.2">
      <c r="A1781" s="3" t="str">
        <f>IF($B1781="","",COUNTA($B$9:$B1781))</f>
        <v/>
      </c>
      <c r="B1781" s="4"/>
      <c r="C1781" s="4"/>
      <c r="D1781" s="4"/>
      <c r="E1781" s="5"/>
      <c r="F1781" s="3" t="str">
        <f t="shared" si="85"/>
        <v/>
      </c>
      <c r="G1781" s="4"/>
      <c r="H1781" s="3" t="str">
        <f t="shared" si="86"/>
        <v/>
      </c>
      <c r="I1781" s="5"/>
      <c r="J1781" s="5"/>
      <c r="K1781" s="6"/>
      <c r="L1781" s="6"/>
      <c r="M1781" s="7" t="str">
        <f t="shared" si="87"/>
        <v/>
      </c>
      <c r="N1781" s="6"/>
      <c r="O1781" s="5"/>
    </row>
    <row r="1782" spans="1:15" x14ac:dyDescent="0.2">
      <c r="A1782" s="3" t="str">
        <f>IF($B1782="","",COUNTA($B$9:$B1782))</f>
        <v/>
      </c>
      <c r="B1782" s="4"/>
      <c r="C1782" s="4"/>
      <c r="D1782" s="4"/>
      <c r="E1782" s="5"/>
      <c r="F1782" s="3" t="str">
        <f t="shared" si="85"/>
        <v/>
      </c>
      <c r="G1782" s="4"/>
      <c r="H1782" s="3" t="str">
        <f t="shared" si="86"/>
        <v/>
      </c>
      <c r="I1782" s="5"/>
      <c r="J1782" s="5"/>
      <c r="K1782" s="6"/>
      <c r="L1782" s="6"/>
      <c r="M1782" s="7" t="str">
        <f t="shared" si="87"/>
        <v/>
      </c>
      <c r="N1782" s="6"/>
      <c r="O1782" s="5"/>
    </row>
    <row r="1783" spans="1:15" x14ac:dyDescent="0.2">
      <c r="A1783" s="3" t="str">
        <f>IF($B1783="","",COUNTA($B$9:$B1783))</f>
        <v/>
      </c>
      <c r="B1783" s="4"/>
      <c r="C1783" s="4"/>
      <c r="D1783" s="4"/>
      <c r="E1783" s="5"/>
      <c r="F1783" s="3" t="str">
        <f t="shared" si="85"/>
        <v/>
      </c>
      <c r="G1783" s="4"/>
      <c r="H1783" s="3" t="str">
        <f t="shared" si="86"/>
        <v/>
      </c>
      <c r="I1783" s="5"/>
      <c r="J1783" s="5"/>
      <c r="K1783" s="6"/>
      <c r="L1783" s="6"/>
      <c r="M1783" s="7" t="str">
        <f t="shared" si="87"/>
        <v/>
      </c>
      <c r="N1783" s="6"/>
      <c r="O1783" s="5"/>
    </row>
    <row r="1784" spans="1:15" x14ac:dyDescent="0.2">
      <c r="A1784" s="3" t="str">
        <f>IF($B1784="","",COUNTA($B$9:$B1784))</f>
        <v/>
      </c>
      <c r="B1784" s="4"/>
      <c r="C1784" s="4"/>
      <c r="D1784" s="4"/>
      <c r="E1784" s="5"/>
      <c r="F1784" s="3" t="str">
        <f t="shared" si="85"/>
        <v/>
      </c>
      <c r="G1784" s="4"/>
      <c r="H1784" s="3" t="str">
        <f t="shared" si="86"/>
        <v/>
      </c>
      <c r="I1784" s="5"/>
      <c r="J1784" s="5"/>
      <c r="K1784" s="6"/>
      <c r="L1784" s="6"/>
      <c r="M1784" s="7" t="str">
        <f t="shared" si="87"/>
        <v/>
      </c>
      <c r="N1784" s="6"/>
      <c r="O1784" s="5"/>
    </row>
    <row r="1785" spans="1:15" x14ac:dyDescent="0.2">
      <c r="A1785" s="3" t="str">
        <f>IF($B1785="","",COUNTA($B$9:$B1785))</f>
        <v/>
      </c>
      <c r="B1785" s="4"/>
      <c r="C1785" s="4"/>
      <c r="D1785" s="4"/>
      <c r="E1785" s="5"/>
      <c r="F1785" s="3" t="str">
        <f t="shared" si="85"/>
        <v/>
      </c>
      <c r="G1785" s="4"/>
      <c r="H1785" s="3" t="str">
        <f t="shared" si="86"/>
        <v/>
      </c>
      <c r="I1785" s="5"/>
      <c r="J1785" s="5"/>
      <c r="K1785" s="6"/>
      <c r="L1785" s="6"/>
      <c r="M1785" s="7" t="str">
        <f t="shared" si="87"/>
        <v/>
      </c>
      <c r="N1785" s="6"/>
      <c r="O1785" s="5"/>
    </row>
    <row r="1786" spans="1:15" x14ac:dyDescent="0.2">
      <c r="A1786" s="3" t="str">
        <f>IF($B1786="","",COUNTA($B$9:$B1786))</f>
        <v/>
      </c>
      <c r="B1786" s="4"/>
      <c r="C1786" s="4"/>
      <c r="D1786" s="4"/>
      <c r="E1786" s="5"/>
      <c r="F1786" s="3" t="str">
        <f t="shared" si="85"/>
        <v/>
      </c>
      <c r="G1786" s="4"/>
      <c r="H1786" s="3" t="str">
        <f t="shared" si="86"/>
        <v/>
      </c>
      <c r="I1786" s="5"/>
      <c r="J1786" s="5"/>
      <c r="K1786" s="6"/>
      <c r="L1786" s="6"/>
      <c r="M1786" s="7" t="str">
        <f t="shared" si="87"/>
        <v/>
      </c>
      <c r="N1786" s="6"/>
      <c r="O1786" s="5"/>
    </row>
    <row r="1787" spans="1:15" x14ac:dyDescent="0.2">
      <c r="A1787" s="3" t="str">
        <f>IF($B1787="","",COUNTA($B$9:$B1787))</f>
        <v/>
      </c>
      <c r="B1787" s="4"/>
      <c r="C1787" s="4"/>
      <c r="D1787" s="4"/>
      <c r="E1787" s="5"/>
      <c r="F1787" s="3" t="str">
        <f t="shared" si="85"/>
        <v/>
      </c>
      <c r="G1787" s="4"/>
      <c r="H1787" s="3" t="str">
        <f t="shared" si="86"/>
        <v/>
      </c>
      <c r="I1787" s="5"/>
      <c r="J1787" s="5"/>
      <c r="K1787" s="6"/>
      <c r="L1787" s="6"/>
      <c r="M1787" s="7" t="str">
        <f t="shared" si="87"/>
        <v/>
      </c>
      <c r="N1787" s="6"/>
      <c r="O1787" s="5"/>
    </row>
    <row r="1788" spans="1:15" x14ac:dyDescent="0.2">
      <c r="A1788" s="3" t="str">
        <f>IF($B1788="","",COUNTA($B$9:$B1788))</f>
        <v/>
      </c>
      <c r="B1788" s="4"/>
      <c r="C1788" s="4"/>
      <c r="D1788" s="4"/>
      <c r="E1788" s="5"/>
      <c r="F1788" s="3" t="str">
        <f t="shared" si="85"/>
        <v/>
      </c>
      <c r="G1788" s="4"/>
      <c r="H1788" s="3" t="str">
        <f t="shared" si="86"/>
        <v/>
      </c>
      <c r="I1788" s="5"/>
      <c r="J1788" s="5"/>
      <c r="K1788" s="6"/>
      <c r="L1788" s="6"/>
      <c r="M1788" s="7" t="str">
        <f t="shared" si="87"/>
        <v/>
      </c>
      <c r="N1788" s="6"/>
      <c r="O1788" s="5"/>
    </row>
    <row r="1789" spans="1:15" x14ac:dyDescent="0.2">
      <c r="A1789" s="3" t="str">
        <f>IF($B1789="","",COUNTA($B$9:$B1789))</f>
        <v/>
      </c>
      <c r="B1789" s="4"/>
      <c r="C1789" s="4"/>
      <c r="D1789" s="4"/>
      <c r="E1789" s="5"/>
      <c r="F1789" s="3" t="str">
        <f t="shared" si="85"/>
        <v/>
      </c>
      <c r="G1789" s="4"/>
      <c r="H1789" s="3" t="str">
        <f t="shared" si="86"/>
        <v/>
      </c>
      <c r="I1789" s="5"/>
      <c r="J1789" s="5"/>
      <c r="K1789" s="6"/>
      <c r="L1789" s="6"/>
      <c r="M1789" s="7" t="str">
        <f t="shared" si="87"/>
        <v/>
      </c>
      <c r="N1789" s="6"/>
      <c r="O1789" s="5"/>
    </row>
    <row r="1790" spans="1:15" x14ac:dyDescent="0.2">
      <c r="A1790" s="3" t="str">
        <f>IF($B1790="","",COUNTA($B$9:$B1790))</f>
        <v/>
      </c>
      <c r="B1790" s="4"/>
      <c r="C1790" s="4"/>
      <c r="D1790" s="4"/>
      <c r="E1790" s="5"/>
      <c r="F1790" s="3" t="str">
        <f t="shared" si="85"/>
        <v/>
      </c>
      <c r="G1790" s="4"/>
      <c r="H1790" s="3" t="str">
        <f t="shared" si="86"/>
        <v/>
      </c>
      <c r="I1790" s="5"/>
      <c r="J1790" s="5"/>
      <c r="K1790" s="6"/>
      <c r="L1790" s="6"/>
      <c r="M1790" s="7" t="str">
        <f t="shared" si="87"/>
        <v/>
      </c>
      <c r="N1790" s="6"/>
      <c r="O1790" s="5"/>
    </row>
    <row r="1791" spans="1:15" x14ac:dyDescent="0.2">
      <c r="A1791" s="3" t="str">
        <f>IF($B1791="","",COUNTA($B$9:$B1791))</f>
        <v/>
      </c>
      <c r="B1791" s="4"/>
      <c r="C1791" s="4"/>
      <c r="D1791" s="4"/>
      <c r="E1791" s="5"/>
      <c r="F1791" s="3" t="str">
        <f t="shared" si="85"/>
        <v/>
      </c>
      <c r="G1791" s="4"/>
      <c r="H1791" s="3" t="str">
        <f t="shared" si="86"/>
        <v/>
      </c>
      <c r="I1791" s="5"/>
      <c r="J1791" s="5"/>
      <c r="K1791" s="6"/>
      <c r="L1791" s="6"/>
      <c r="M1791" s="7" t="str">
        <f t="shared" si="87"/>
        <v/>
      </c>
      <c r="N1791" s="6"/>
      <c r="O1791" s="5"/>
    </row>
    <row r="1792" spans="1:15" x14ac:dyDescent="0.2">
      <c r="A1792" s="3" t="str">
        <f>IF($B1792="","",COUNTA($B$9:$B1792))</f>
        <v/>
      </c>
      <c r="B1792" s="4"/>
      <c r="C1792" s="4"/>
      <c r="D1792" s="4"/>
      <c r="E1792" s="5"/>
      <c r="F1792" s="3" t="str">
        <f t="shared" si="85"/>
        <v/>
      </c>
      <c r="G1792" s="4"/>
      <c r="H1792" s="3" t="str">
        <f t="shared" si="86"/>
        <v/>
      </c>
      <c r="I1792" s="5"/>
      <c r="J1792" s="5"/>
      <c r="K1792" s="6"/>
      <c r="L1792" s="6"/>
      <c r="M1792" s="7" t="str">
        <f t="shared" si="87"/>
        <v/>
      </c>
      <c r="N1792" s="6"/>
      <c r="O1792" s="5"/>
    </row>
    <row r="1793" spans="1:15" x14ac:dyDescent="0.2">
      <c r="A1793" s="3" t="str">
        <f>IF($B1793="","",COUNTA($B$9:$B1793))</f>
        <v/>
      </c>
      <c r="B1793" s="4"/>
      <c r="C1793" s="4"/>
      <c r="D1793" s="4"/>
      <c r="E1793" s="5"/>
      <c r="F1793" s="3" t="str">
        <f t="shared" si="85"/>
        <v/>
      </c>
      <c r="G1793" s="4"/>
      <c r="H1793" s="3" t="str">
        <f t="shared" si="86"/>
        <v/>
      </c>
      <c r="I1793" s="5"/>
      <c r="J1793" s="5"/>
      <c r="K1793" s="6"/>
      <c r="L1793" s="6"/>
      <c r="M1793" s="7" t="str">
        <f t="shared" si="87"/>
        <v/>
      </c>
      <c r="N1793" s="6"/>
      <c r="O1793" s="5"/>
    </row>
    <row r="1794" spans="1:15" x14ac:dyDescent="0.2">
      <c r="A1794" s="3" t="str">
        <f>IF($B1794="","",COUNTA($B$9:$B1794))</f>
        <v/>
      </c>
      <c r="B1794" s="4"/>
      <c r="C1794" s="4"/>
      <c r="D1794" s="4"/>
      <c r="E1794" s="5"/>
      <c r="F1794" s="3" t="str">
        <f t="shared" si="85"/>
        <v/>
      </c>
      <c r="G1794" s="4"/>
      <c r="H1794" s="3" t="str">
        <f t="shared" si="86"/>
        <v/>
      </c>
      <c r="I1794" s="5"/>
      <c r="J1794" s="5"/>
      <c r="K1794" s="6"/>
      <c r="L1794" s="6"/>
      <c r="M1794" s="7" t="str">
        <f t="shared" si="87"/>
        <v/>
      </c>
      <c r="N1794" s="6"/>
      <c r="O1794" s="5"/>
    </row>
    <row r="1795" spans="1:15" x14ac:dyDescent="0.2">
      <c r="A1795" s="3" t="str">
        <f>IF($B1795="","",COUNTA($B$9:$B1795))</f>
        <v/>
      </c>
      <c r="B1795" s="4"/>
      <c r="C1795" s="4"/>
      <c r="D1795" s="4"/>
      <c r="E1795" s="5"/>
      <c r="F1795" s="3" t="str">
        <f t="shared" si="85"/>
        <v/>
      </c>
      <c r="G1795" s="4"/>
      <c r="H1795" s="3" t="str">
        <f t="shared" si="86"/>
        <v/>
      </c>
      <c r="I1795" s="5"/>
      <c r="J1795" s="5"/>
      <c r="K1795" s="6"/>
      <c r="L1795" s="6"/>
      <c r="M1795" s="7" t="str">
        <f t="shared" si="87"/>
        <v/>
      </c>
      <c r="N1795" s="6"/>
      <c r="O1795" s="5"/>
    </row>
    <row r="1796" spans="1:15" x14ac:dyDescent="0.2">
      <c r="A1796" s="3" t="str">
        <f>IF($B1796="","",COUNTA($B$9:$B1796))</f>
        <v/>
      </c>
      <c r="B1796" s="4"/>
      <c r="C1796" s="4"/>
      <c r="D1796" s="4"/>
      <c r="E1796" s="5"/>
      <c r="F1796" s="3" t="str">
        <f t="shared" si="85"/>
        <v/>
      </c>
      <c r="G1796" s="4"/>
      <c r="H1796" s="3" t="str">
        <f t="shared" si="86"/>
        <v/>
      </c>
      <c r="I1796" s="5"/>
      <c r="J1796" s="5"/>
      <c r="K1796" s="6"/>
      <c r="L1796" s="6"/>
      <c r="M1796" s="7" t="str">
        <f t="shared" si="87"/>
        <v/>
      </c>
      <c r="N1796" s="6"/>
      <c r="O1796" s="5"/>
    </row>
    <row r="1797" spans="1:15" x14ac:dyDescent="0.2">
      <c r="A1797" s="3" t="str">
        <f>IF($B1797="","",COUNTA($B$9:$B1797))</f>
        <v/>
      </c>
      <c r="B1797" s="4"/>
      <c r="C1797" s="4"/>
      <c r="D1797" s="4"/>
      <c r="E1797" s="5"/>
      <c r="F1797" s="3" t="str">
        <f t="shared" si="85"/>
        <v/>
      </c>
      <c r="G1797" s="4"/>
      <c r="H1797" s="3" t="str">
        <f t="shared" si="86"/>
        <v/>
      </c>
      <c r="I1797" s="5"/>
      <c r="J1797" s="5"/>
      <c r="K1797" s="6"/>
      <c r="L1797" s="6"/>
      <c r="M1797" s="7" t="str">
        <f t="shared" si="87"/>
        <v/>
      </c>
      <c r="N1797" s="6"/>
      <c r="O1797" s="5"/>
    </row>
    <row r="1798" spans="1:15" x14ac:dyDescent="0.2">
      <c r="A1798" s="3" t="str">
        <f>IF($B1798="","",COUNTA($B$9:$B1798))</f>
        <v/>
      </c>
      <c r="B1798" s="4"/>
      <c r="C1798" s="4"/>
      <c r="D1798" s="4"/>
      <c r="E1798" s="5"/>
      <c r="F1798" s="3" t="str">
        <f t="shared" si="85"/>
        <v/>
      </c>
      <c r="G1798" s="4"/>
      <c r="H1798" s="3" t="str">
        <f t="shared" si="86"/>
        <v/>
      </c>
      <c r="I1798" s="5"/>
      <c r="J1798" s="5"/>
      <c r="K1798" s="6"/>
      <c r="L1798" s="6"/>
      <c r="M1798" s="7" t="str">
        <f t="shared" si="87"/>
        <v/>
      </c>
      <c r="N1798" s="6"/>
      <c r="O1798" s="5"/>
    </row>
    <row r="1799" spans="1:15" x14ac:dyDescent="0.2">
      <c r="A1799" s="3" t="str">
        <f>IF($B1799="","",COUNTA($B$9:$B1799))</f>
        <v/>
      </c>
      <c r="B1799" s="4"/>
      <c r="C1799" s="4"/>
      <c r="D1799" s="4"/>
      <c r="E1799" s="5"/>
      <c r="F1799" s="3" t="str">
        <f t="shared" si="85"/>
        <v/>
      </c>
      <c r="G1799" s="4"/>
      <c r="H1799" s="3" t="str">
        <f t="shared" si="86"/>
        <v/>
      </c>
      <c r="I1799" s="5"/>
      <c r="J1799" s="5"/>
      <c r="K1799" s="6"/>
      <c r="L1799" s="6"/>
      <c r="M1799" s="7" t="str">
        <f t="shared" si="87"/>
        <v/>
      </c>
      <c r="N1799" s="6"/>
      <c r="O1799" s="5"/>
    </row>
    <row r="1800" spans="1:15" x14ac:dyDescent="0.2">
      <c r="A1800" s="3" t="str">
        <f>IF($B1800="","",COUNTA($B$9:$B1800))</f>
        <v/>
      </c>
      <c r="B1800" s="4"/>
      <c r="C1800" s="4"/>
      <c r="D1800" s="4"/>
      <c r="E1800" s="5"/>
      <c r="F1800" s="3" t="str">
        <f t="shared" ref="F1800:F1863" si="88">IF($E1800="","",IFERROR(VLOOKUP($E1800,OpTbl,2,0),""))</f>
        <v/>
      </c>
      <c r="G1800" s="4"/>
      <c r="H1800" s="3" t="str">
        <f t="shared" ref="H1800:H1863" si="89">IF($G1800="","",IFERROR(IF(VLOOKUP($G1800,AcctTbl,4,0)="","(بدون نام)",VLOOKUP($G1800,AcctTbl,4,0)),"کد ناشناخته"))</f>
        <v/>
      </c>
      <c r="I1800" s="5"/>
      <c r="J1800" s="5"/>
      <c r="K1800" s="6"/>
      <c r="L1800" s="6"/>
      <c r="M1800" s="7" t="str">
        <f t="shared" ref="M1800:M1863" si="90">IF(OR($B1800="",$K1800=""),"",($K1800-IF($L1800="",0,$L1800)*IFERROR(VLOOKUP("P01",ParamTbl,3,0),1.5))*(1-IF(IFERROR(VLOOKUP($E1800,OpTbl,3,0),"")="خرید",IFERROR(VLOOKUP("P02",ParamTbl,3,0),1),0)/100))</f>
        <v/>
      </c>
      <c r="N1800" s="6"/>
      <c r="O1800" s="5"/>
    </row>
    <row r="1801" spans="1:15" x14ac:dyDescent="0.2">
      <c r="A1801" s="3" t="str">
        <f>IF($B1801="","",COUNTA($B$9:$B1801))</f>
        <v/>
      </c>
      <c r="B1801" s="4"/>
      <c r="C1801" s="4"/>
      <c r="D1801" s="4"/>
      <c r="E1801" s="5"/>
      <c r="F1801" s="3" t="str">
        <f t="shared" si="88"/>
        <v/>
      </c>
      <c r="G1801" s="4"/>
      <c r="H1801" s="3" t="str">
        <f t="shared" si="89"/>
        <v/>
      </c>
      <c r="I1801" s="5"/>
      <c r="J1801" s="5"/>
      <c r="K1801" s="6"/>
      <c r="L1801" s="6"/>
      <c r="M1801" s="7" t="str">
        <f t="shared" si="90"/>
        <v/>
      </c>
      <c r="N1801" s="6"/>
      <c r="O1801" s="5"/>
    </row>
    <row r="1802" spans="1:15" x14ac:dyDescent="0.2">
      <c r="A1802" s="3" t="str">
        <f>IF($B1802="","",COUNTA($B$9:$B1802))</f>
        <v/>
      </c>
      <c r="B1802" s="4"/>
      <c r="C1802" s="4"/>
      <c r="D1802" s="4"/>
      <c r="E1802" s="5"/>
      <c r="F1802" s="3" t="str">
        <f t="shared" si="88"/>
        <v/>
      </c>
      <c r="G1802" s="4"/>
      <c r="H1802" s="3" t="str">
        <f t="shared" si="89"/>
        <v/>
      </c>
      <c r="I1802" s="5"/>
      <c r="J1802" s="5"/>
      <c r="K1802" s="6"/>
      <c r="L1802" s="6"/>
      <c r="M1802" s="7" t="str">
        <f t="shared" si="90"/>
        <v/>
      </c>
      <c r="N1802" s="6"/>
      <c r="O1802" s="5"/>
    </row>
    <row r="1803" spans="1:15" x14ac:dyDescent="0.2">
      <c r="A1803" s="3" t="str">
        <f>IF($B1803="","",COUNTA($B$9:$B1803))</f>
        <v/>
      </c>
      <c r="B1803" s="4"/>
      <c r="C1803" s="4"/>
      <c r="D1803" s="4"/>
      <c r="E1803" s="5"/>
      <c r="F1803" s="3" t="str">
        <f t="shared" si="88"/>
        <v/>
      </c>
      <c r="G1803" s="4"/>
      <c r="H1803" s="3" t="str">
        <f t="shared" si="89"/>
        <v/>
      </c>
      <c r="I1803" s="5"/>
      <c r="J1803" s="5"/>
      <c r="K1803" s="6"/>
      <c r="L1803" s="6"/>
      <c r="M1803" s="7" t="str">
        <f t="shared" si="90"/>
        <v/>
      </c>
      <c r="N1803" s="6"/>
      <c r="O1803" s="5"/>
    </row>
    <row r="1804" spans="1:15" x14ac:dyDescent="0.2">
      <c r="A1804" s="3" t="str">
        <f>IF($B1804="","",COUNTA($B$9:$B1804))</f>
        <v/>
      </c>
      <c r="B1804" s="4"/>
      <c r="C1804" s="4"/>
      <c r="D1804" s="4"/>
      <c r="E1804" s="5"/>
      <c r="F1804" s="3" t="str">
        <f t="shared" si="88"/>
        <v/>
      </c>
      <c r="G1804" s="4"/>
      <c r="H1804" s="3" t="str">
        <f t="shared" si="89"/>
        <v/>
      </c>
      <c r="I1804" s="5"/>
      <c r="J1804" s="5"/>
      <c r="K1804" s="6"/>
      <c r="L1804" s="6"/>
      <c r="M1804" s="7" t="str">
        <f t="shared" si="90"/>
        <v/>
      </c>
      <c r="N1804" s="6"/>
      <c r="O1804" s="5"/>
    </row>
    <row r="1805" spans="1:15" x14ac:dyDescent="0.2">
      <c r="A1805" s="3" t="str">
        <f>IF($B1805="","",COUNTA($B$9:$B1805))</f>
        <v/>
      </c>
      <c r="B1805" s="4"/>
      <c r="C1805" s="4"/>
      <c r="D1805" s="4"/>
      <c r="E1805" s="5"/>
      <c r="F1805" s="3" t="str">
        <f t="shared" si="88"/>
        <v/>
      </c>
      <c r="G1805" s="4"/>
      <c r="H1805" s="3" t="str">
        <f t="shared" si="89"/>
        <v/>
      </c>
      <c r="I1805" s="5"/>
      <c r="J1805" s="5"/>
      <c r="K1805" s="6"/>
      <c r="L1805" s="6"/>
      <c r="M1805" s="7" t="str">
        <f t="shared" si="90"/>
        <v/>
      </c>
      <c r="N1805" s="6"/>
      <c r="O1805" s="5"/>
    </row>
    <row r="1806" spans="1:15" x14ac:dyDescent="0.2">
      <c r="A1806" s="3" t="str">
        <f>IF($B1806="","",COUNTA($B$9:$B1806))</f>
        <v/>
      </c>
      <c r="B1806" s="4"/>
      <c r="C1806" s="4"/>
      <c r="D1806" s="4"/>
      <c r="E1806" s="5"/>
      <c r="F1806" s="3" t="str">
        <f t="shared" si="88"/>
        <v/>
      </c>
      <c r="G1806" s="4"/>
      <c r="H1806" s="3" t="str">
        <f t="shared" si="89"/>
        <v/>
      </c>
      <c r="I1806" s="5"/>
      <c r="J1806" s="5"/>
      <c r="K1806" s="6"/>
      <c r="L1806" s="6"/>
      <c r="M1806" s="7" t="str">
        <f t="shared" si="90"/>
        <v/>
      </c>
      <c r="N1806" s="6"/>
      <c r="O1806" s="5"/>
    </row>
    <row r="1807" spans="1:15" x14ac:dyDescent="0.2">
      <c r="A1807" s="3" t="str">
        <f>IF($B1807="","",COUNTA($B$9:$B1807))</f>
        <v/>
      </c>
      <c r="B1807" s="4"/>
      <c r="C1807" s="4"/>
      <c r="D1807" s="4"/>
      <c r="E1807" s="5"/>
      <c r="F1807" s="3" t="str">
        <f t="shared" si="88"/>
        <v/>
      </c>
      <c r="G1807" s="4"/>
      <c r="H1807" s="3" t="str">
        <f t="shared" si="89"/>
        <v/>
      </c>
      <c r="I1807" s="5"/>
      <c r="J1807" s="5"/>
      <c r="K1807" s="6"/>
      <c r="L1807" s="6"/>
      <c r="M1807" s="7" t="str">
        <f t="shared" si="90"/>
        <v/>
      </c>
      <c r="N1807" s="6"/>
      <c r="O1807" s="5"/>
    </row>
    <row r="1808" spans="1:15" x14ac:dyDescent="0.2">
      <c r="A1808" s="3" t="str">
        <f>IF($B1808="","",COUNTA($B$9:$B1808))</f>
        <v/>
      </c>
      <c r="B1808" s="4"/>
      <c r="C1808" s="4"/>
      <c r="D1808" s="4"/>
      <c r="E1808" s="5"/>
      <c r="F1808" s="3" t="str">
        <f t="shared" si="88"/>
        <v/>
      </c>
      <c r="G1808" s="4"/>
      <c r="H1808" s="3" t="str">
        <f t="shared" si="89"/>
        <v/>
      </c>
      <c r="I1808" s="5"/>
      <c r="J1808" s="5"/>
      <c r="K1808" s="6"/>
      <c r="L1808" s="6"/>
      <c r="M1808" s="7" t="str">
        <f t="shared" si="90"/>
        <v/>
      </c>
      <c r="N1808" s="6"/>
      <c r="O1808" s="5"/>
    </row>
    <row r="1809" spans="1:15" x14ac:dyDescent="0.2">
      <c r="A1809" s="3" t="str">
        <f>IF($B1809="","",COUNTA($B$9:$B1809))</f>
        <v/>
      </c>
      <c r="B1809" s="4"/>
      <c r="C1809" s="4"/>
      <c r="D1809" s="4"/>
      <c r="E1809" s="5"/>
      <c r="F1809" s="3" t="str">
        <f t="shared" si="88"/>
        <v/>
      </c>
      <c r="G1809" s="4"/>
      <c r="H1809" s="3" t="str">
        <f t="shared" si="89"/>
        <v/>
      </c>
      <c r="I1809" s="5"/>
      <c r="J1809" s="5"/>
      <c r="K1809" s="6"/>
      <c r="L1809" s="6"/>
      <c r="M1809" s="7" t="str">
        <f t="shared" si="90"/>
        <v/>
      </c>
      <c r="N1809" s="6"/>
      <c r="O1809" s="5"/>
    </row>
    <row r="1810" spans="1:15" x14ac:dyDescent="0.2">
      <c r="A1810" s="3" t="str">
        <f>IF($B1810="","",COUNTA($B$9:$B1810))</f>
        <v/>
      </c>
      <c r="B1810" s="4"/>
      <c r="C1810" s="4"/>
      <c r="D1810" s="4"/>
      <c r="E1810" s="5"/>
      <c r="F1810" s="3" t="str">
        <f t="shared" si="88"/>
        <v/>
      </c>
      <c r="G1810" s="4"/>
      <c r="H1810" s="3" t="str">
        <f t="shared" si="89"/>
        <v/>
      </c>
      <c r="I1810" s="5"/>
      <c r="J1810" s="5"/>
      <c r="K1810" s="6"/>
      <c r="L1810" s="6"/>
      <c r="M1810" s="7" t="str">
        <f t="shared" si="90"/>
        <v/>
      </c>
      <c r="N1810" s="6"/>
      <c r="O1810" s="5"/>
    </row>
    <row r="1811" spans="1:15" x14ac:dyDescent="0.2">
      <c r="A1811" s="3" t="str">
        <f>IF($B1811="","",COUNTA($B$9:$B1811))</f>
        <v/>
      </c>
      <c r="B1811" s="4"/>
      <c r="C1811" s="4"/>
      <c r="D1811" s="4"/>
      <c r="E1811" s="5"/>
      <c r="F1811" s="3" t="str">
        <f t="shared" si="88"/>
        <v/>
      </c>
      <c r="G1811" s="4"/>
      <c r="H1811" s="3" t="str">
        <f t="shared" si="89"/>
        <v/>
      </c>
      <c r="I1811" s="5"/>
      <c r="J1811" s="5"/>
      <c r="K1811" s="6"/>
      <c r="L1811" s="6"/>
      <c r="M1811" s="7" t="str">
        <f t="shared" si="90"/>
        <v/>
      </c>
      <c r="N1811" s="6"/>
      <c r="O1811" s="5"/>
    </row>
    <row r="1812" spans="1:15" x14ac:dyDescent="0.2">
      <c r="A1812" s="3" t="str">
        <f>IF($B1812="","",COUNTA($B$9:$B1812))</f>
        <v/>
      </c>
      <c r="B1812" s="4"/>
      <c r="C1812" s="4"/>
      <c r="D1812" s="4"/>
      <c r="E1812" s="5"/>
      <c r="F1812" s="3" t="str">
        <f t="shared" si="88"/>
        <v/>
      </c>
      <c r="G1812" s="4"/>
      <c r="H1812" s="3" t="str">
        <f t="shared" si="89"/>
        <v/>
      </c>
      <c r="I1812" s="5"/>
      <c r="J1812" s="5"/>
      <c r="K1812" s="6"/>
      <c r="L1812" s="6"/>
      <c r="M1812" s="7" t="str">
        <f t="shared" si="90"/>
        <v/>
      </c>
      <c r="N1812" s="6"/>
      <c r="O1812" s="5"/>
    </row>
    <row r="1813" spans="1:15" x14ac:dyDescent="0.2">
      <c r="A1813" s="3" t="str">
        <f>IF($B1813="","",COUNTA($B$9:$B1813))</f>
        <v/>
      </c>
      <c r="B1813" s="4"/>
      <c r="C1813" s="4"/>
      <c r="D1813" s="4"/>
      <c r="E1813" s="5"/>
      <c r="F1813" s="3" t="str">
        <f t="shared" si="88"/>
        <v/>
      </c>
      <c r="G1813" s="4"/>
      <c r="H1813" s="3" t="str">
        <f t="shared" si="89"/>
        <v/>
      </c>
      <c r="I1813" s="5"/>
      <c r="J1813" s="5"/>
      <c r="K1813" s="6"/>
      <c r="L1813" s="6"/>
      <c r="M1813" s="7" t="str">
        <f t="shared" si="90"/>
        <v/>
      </c>
      <c r="N1813" s="6"/>
      <c r="O1813" s="5"/>
    </row>
    <row r="1814" spans="1:15" x14ac:dyDescent="0.2">
      <c r="A1814" s="3" t="str">
        <f>IF($B1814="","",COUNTA($B$9:$B1814))</f>
        <v/>
      </c>
      <c r="B1814" s="4"/>
      <c r="C1814" s="4"/>
      <c r="D1814" s="4"/>
      <c r="E1814" s="5"/>
      <c r="F1814" s="3" t="str">
        <f t="shared" si="88"/>
        <v/>
      </c>
      <c r="G1814" s="4"/>
      <c r="H1814" s="3" t="str">
        <f t="shared" si="89"/>
        <v/>
      </c>
      <c r="I1814" s="5"/>
      <c r="J1814" s="5"/>
      <c r="K1814" s="6"/>
      <c r="L1814" s="6"/>
      <c r="M1814" s="7" t="str">
        <f t="shared" si="90"/>
        <v/>
      </c>
      <c r="N1814" s="6"/>
      <c r="O1814" s="5"/>
    </row>
    <row r="1815" spans="1:15" x14ac:dyDescent="0.2">
      <c r="A1815" s="3" t="str">
        <f>IF($B1815="","",COUNTA($B$9:$B1815))</f>
        <v/>
      </c>
      <c r="B1815" s="4"/>
      <c r="C1815" s="4"/>
      <c r="D1815" s="4"/>
      <c r="E1815" s="5"/>
      <c r="F1815" s="3" t="str">
        <f t="shared" si="88"/>
        <v/>
      </c>
      <c r="G1815" s="4"/>
      <c r="H1815" s="3" t="str">
        <f t="shared" si="89"/>
        <v/>
      </c>
      <c r="I1815" s="5"/>
      <c r="J1815" s="5"/>
      <c r="K1815" s="6"/>
      <c r="L1815" s="6"/>
      <c r="M1815" s="7" t="str">
        <f t="shared" si="90"/>
        <v/>
      </c>
      <c r="N1815" s="6"/>
      <c r="O1815" s="5"/>
    </row>
    <row r="1816" spans="1:15" x14ac:dyDescent="0.2">
      <c r="A1816" s="3" t="str">
        <f>IF($B1816="","",COUNTA($B$9:$B1816))</f>
        <v/>
      </c>
      <c r="B1816" s="4"/>
      <c r="C1816" s="4"/>
      <c r="D1816" s="4"/>
      <c r="E1816" s="5"/>
      <c r="F1816" s="3" t="str">
        <f t="shared" si="88"/>
        <v/>
      </c>
      <c r="G1816" s="4"/>
      <c r="H1816" s="3" t="str">
        <f t="shared" si="89"/>
        <v/>
      </c>
      <c r="I1816" s="5"/>
      <c r="J1816" s="5"/>
      <c r="K1816" s="6"/>
      <c r="L1816" s="6"/>
      <c r="M1816" s="7" t="str">
        <f t="shared" si="90"/>
        <v/>
      </c>
      <c r="N1816" s="6"/>
      <c r="O1816" s="5"/>
    </row>
    <row r="1817" spans="1:15" x14ac:dyDescent="0.2">
      <c r="A1817" s="3" t="str">
        <f>IF($B1817="","",COUNTA($B$9:$B1817))</f>
        <v/>
      </c>
      <c r="B1817" s="4"/>
      <c r="C1817" s="4"/>
      <c r="D1817" s="4"/>
      <c r="E1817" s="5"/>
      <c r="F1817" s="3" t="str">
        <f t="shared" si="88"/>
        <v/>
      </c>
      <c r="G1817" s="4"/>
      <c r="H1817" s="3" t="str">
        <f t="shared" si="89"/>
        <v/>
      </c>
      <c r="I1817" s="5"/>
      <c r="J1817" s="5"/>
      <c r="K1817" s="6"/>
      <c r="L1817" s="6"/>
      <c r="M1817" s="7" t="str">
        <f t="shared" si="90"/>
        <v/>
      </c>
      <c r="N1817" s="6"/>
      <c r="O1817" s="5"/>
    </row>
    <row r="1818" spans="1:15" x14ac:dyDescent="0.2">
      <c r="A1818" s="3" t="str">
        <f>IF($B1818="","",COUNTA($B$9:$B1818))</f>
        <v/>
      </c>
      <c r="B1818" s="4"/>
      <c r="C1818" s="4"/>
      <c r="D1818" s="4"/>
      <c r="E1818" s="5"/>
      <c r="F1818" s="3" t="str">
        <f t="shared" si="88"/>
        <v/>
      </c>
      <c r="G1818" s="4"/>
      <c r="H1818" s="3" t="str">
        <f t="shared" si="89"/>
        <v/>
      </c>
      <c r="I1818" s="5"/>
      <c r="J1818" s="5"/>
      <c r="K1818" s="6"/>
      <c r="L1818" s="6"/>
      <c r="M1818" s="7" t="str">
        <f t="shared" si="90"/>
        <v/>
      </c>
      <c r="N1818" s="6"/>
      <c r="O1818" s="5"/>
    </row>
    <row r="1819" spans="1:15" x14ac:dyDescent="0.2">
      <c r="A1819" s="3" t="str">
        <f>IF($B1819="","",COUNTA($B$9:$B1819))</f>
        <v/>
      </c>
      <c r="B1819" s="4"/>
      <c r="C1819" s="4"/>
      <c r="D1819" s="4"/>
      <c r="E1819" s="5"/>
      <c r="F1819" s="3" t="str">
        <f t="shared" si="88"/>
        <v/>
      </c>
      <c r="G1819" s="4"/>
      <c r="H1819" s="3" t="str">
        <f t="shared" si="89"/>
        <v/>
      </c>
      <c r="I1819" s="5"/>
      <c r="J1819" s="5"/>
      <c r="K1819" s="6"/>
      <c r="L1819" s="6"/>
      <c r="M1819" s="7" t="str">
        <f t="shared" si="90"/>
        <v/>
      </c>
      <c r="N1819" s="6"/>
      <c r="O1819" s="5"/>
    </row>
    <row r="1820" spans="1:15" x14ac:dyDescent="0.2">
      <c r="A1820" s="3" t="str">
        <f>IF($B1820="","",COUNTA($B$9:$B1820))</f>
        <v/>
      </c>
      <c r="B1820" s="4"/>
      <c r="C1820" s="4"/>
      <c r="D1820" s="4"/>
      <c r="E1820" s="5"/>
      <c r="F1820" s="3" t="str">
        <f t="shared" si="88"/>
        <v/>
      </c>
      <c r="G1820" s="4"/>
      <c r="H1820" s="3" t="str">
        <f t="shared" si="89"/>
        <v/>
      </c>
      <c r="I1820" s="5"/>
      <c r="J1820" s="5"/>
      <c r="K1820" s="6"/>
      <c r="L1820" s="6"/>
      <c r="M1820" s="7" t="str">
        <f t="shared" si="90"/>
        <v/>
      </c>
      <c r="N1820" s="6"/>
      <c r="O1820" s="5"/>
    </row>
    <row r="1821" spans="1:15" x14ac:dyDescent="0.2">
      <c r="A1821" s="3" t="str">
        <f>IF($B1821="","",COUNTA($B$9:$B1821))</f>
        <v/>
      </c>
      <c r="B1821" s="4"/>
      <c r="C1821" s="4"/>
      <c r="D1821" s="4"/>
      <c r="E1821" s="5"/>
      <c r="F1821" s="3" t="str">
        <f t="shared" si="88"/>
        <v/>
      </c>
      <c r="G1821" s="4"/>
      <c r="H1821" s="3" t="str">
        <f t="shared" si="89"/>
        <v/>
      </c>
      <c r="I1821" s="5"/>
      <c r="J1821" s="5"/>
      <c r="K1821" s="6"/>
      <c r="L1821" s="6"/>
      <c r="M1821" s="7" t="str">
        <f t="shared" si="90"/>
        <v/>
      </c>
      <c r="N1821" s="6"/>
      <c r="O1821" s="5"/>
    </row>
    <row r="1822" spans="1:15" x14ac:dyDescent="0.2">
      <c r="A1822" s="3" t="str">
        <f>IF($B1822="","",COUNTA($B$9:$B1822))</f>
        <v/>
      </c>
      <c r="B1822" s="4"/>
      <c r="C1822" s="4"/>
      <c r="D1822" s="4"/>
      <c r="E1822" s="5"/>
      <c r="F1822" s="3" t="str">
        <f t="shared" si="88"/>
        <v/>
      </c>
      <c r="G1822" s="4"/>
      <c r="H1822" s="3" t="str">
        <f t="shared" si="89"/>
        <v/>
      </c>
      <c r="I1822" s="5"/>
      <c r="J1822" s="5"/>
      <c r="K1822" s="6"/>
      <c r="L1822" s="6"/>
      <c r="M1822" s="7" t="str">
        <f t="shared" si="90"/>
        <v/>
      </c>
      <c r="N1822" s="6"/>
      <c r="O1822" s="5"/>
    </row>
    <row r="1823" spans="1:15" x14ac:dyDescent="0.2">
      <c r="A1823" s="3" t="str">
        <f>IF($B1823="","",COUNTA($B$9:$B1823))</f>
        <v/>
      </c>
      <c r="B1823" s="4"/>
      <c r="C1823" s="4"/>
      <c r="D1823" s="4"/>
      <c r="E1823" s="5"/>
      <c r="F1823" s="3" t="str">
        <f t="shared" si="88"/>
        <v/>
      </c>
      <c r="G1823" s="4"/>
      <c r="H1823" s="3" t="str">
        <f t="shared" si="89"/>
        <v/>
      </c>
      <c r="I1823" s="5"/>
      <c r="J1823" s="5"/>
      <c r="K1823" s="6"/>
      <c r="L1823" s="6"/>
      <c r="M1823" s="7" t="str">
        <f t="shared" si="90"/>
        <v/>
      </c>
      <c r="N1823" s="6"/>
      <c r="O1823" s="5"/>
    </row>
    <row r="1824" spans="1:15" x14ac:dyDescent="0.2">
      <c r="A1824" s="3" t="str">
        <f>IF($B1824="","",COUNTA($B$9:$B1824))</f>
        <v/>
      </c>
      <c r="B1824" s="4"/>
      <c r="C1824" s="4"/>
      <c r="D1824" s="4"/>
      <c r="E1824" s="5"/>
      <c r="F1824" s="3" t="str">
        <f t="shared" si="88"/>
        <v/>
      </c>
      <c r="G1824" s="4"/>
      <c r="H1824" s="3" t="str">
        <f t="shared" si="89"/>
        <v/>
      </c>
      <c r="I1824" s="5"/>
      <c r="J1824" s="5"/>
      <c r="K1824" s="6"/>
      <c r="L1824" s="6"/>
      <c r="M1824" s="7" t="str">
        <f t="shared" si="90"/>
        <v/>
      </c>
      <c r="N1824" s="6"/>
      <c r="O1824" s="5"/>
    </row>
    <row r="1825" spans="1:15" x14ac:dyDescent="0.2">
      <c r="A1825" s="3" t="str">
        <f>IF($B1825="","",COUNTA($B$9:$B1825))</f>
        <v/>
      </c>
      <c r="B1825" s="4"/>
      <c r="C1825" s="4"/>
      <c r="D1825" s="4"/>
      <c r="E1825" s="5"/>
      <c r="F1825" s="3" t="str">
        <f t="shared" si="88"/>
        <v/>
      </c>
      <c r="G1825" s="4"/>
      <c r="H1825" s="3" t="str">
        <f t="shared" si="89"/>
        <v/>
      </c>
      <c r="I1825" s="5"/>
      <c r="J1825" s="5"/>
      <c r="K1825" s="6"/>
      <c r="L1825" s="6"/>
      <c r="M1825" s="7" t="str">
        <f t="shared" si="90"/>
        <v/>
      </c>
      <c r="N1825" s="6"/>
      <c r="O1825" s="5"/>
    </row>
    <row r="1826" spans="1:15" x14ac:dyDescent="0.2">
      <c r="A1826" s="3" t="str">
        <f>IF($B1826="","",COUNTA($B$9:$B1826))</f>
        <v/>
      </c>
      <c r="B1826" s="4"/>
      <c r="C1826" s="4"/>
      <c r="D1826" s="4"/>
      <c r="E1826" s="5"/>
      <c r="F1826" s="3" t="str">
        <f t="shared" si="88"/>
        <v/>
      </c>
      <c r="G1826" s="4"/>
      <c r="H1826" s="3" t="str">
        <f t="shared" si="89"/>
        <v/>
      </c>
      <c r="I1826" s="5"/>
      <c r="J1826" s="5"/>
      <c r="K1826" s="6"/>
      <c r="L1826" s="6"/>
      <c r="M1826" s="7" t="str">
        <f t="shared" si="90"/>
        <v/>
      </c>
      <c r="N1826" s="6"/>
      <c r="O1826" s="5"/>
    </row>
    <row r="1827" spans="1:15" x14ac:dyDescent="0.2">
      <c r="A1827" s="3" t="str">
        <f>IF($B1827="","",COUNTA($B$9:$B1827))</f>
        <v/>
      </c>
      <c r="B1827" s="4"/>
      <c r="C1827" s="4"/>
      <c r="D1827" s="4"/>
      <c r="E1827" s="5"/>
      <c r="F1827" s="3" t="str">
        <f t="shared" si="88"/>
        <v/>
      </c>
      <c r="G1827" s="4"/>
      <c r="H1827" s="3" t="str">
        <f t="shared" si="89"/>
        <v/>
      </c>
      <c r="I1827" s="5"/>
      <c r="J1827" s="5"/>
      <c r="K1827" s="6"/>
      <c r="L1827" s="6"/>
      <c r="M1827" s="7" t="str">
        <f t="shared" si="90"/>
        <v/>
      </c>
      <c r="N1827" s="6"/>
      <c r="O1827" s="5"/>
    </row>
    <row r="1828" spans="1:15" x14ac:dyDescent="0.2">
      <c r="A1828" s="3" t="str">
        <f>IF($B1828="","",COUNTA($B$9:$B1828))</f>
        <v/>
      </c>
      <c r="B1828" s="4"/>
      <c r="C1828" s="4"/>
      <c r="D1828" s="4"/>
      <c r="E1828" s="5"/>
      <c r="F1828" s="3" t="str">
        <f t="shared" si="88"/>
        <v/>
      </c>
      <c r="G1828" s="4"/>
      <c r="H1828" s="3" t="str">
        <f t="shared" si="89"/>
        <v/>
      </c>
      <c r="I1828" s="5"/>
      <c r="J1828" s="5"/>
      <c r="K1828" s="6"/>
      <c r="L1828" s="6"/>
      <c r="M1828" s="7" t="str">
        <f t="shared" si="90"/>
        <v/>
      </c>
      <c r="N1828" s="6"/>
      <c r="O1828" s="5"/>
    </row>
    <row r="1829" spans="1:15" x14ac:dyDescent="0.2">
      <c r="A1829" s="3" t="str">
        <f>IF($B1829="","",COUNTA($B$9:$B1829))</f>
        <v/>
      </c>
      <c r="B1829" s="4"/>
      <c r="C1829" s="4"/>
      <c r="D1829" s="4"/>
      <c r="E1829" s="5"/>
      <c r="F1829" s="3" t="str">
        <f t="shared" si="88"/>
        <v/>
      </c>
      <c r="G1829" s="4"/>
      <c r="H1829" s="3" t="str">
        <f t="shared" si="89"/>
        <v/>
      </c>
      <c r="I1829" s="5"/>
      <c r="J1829" s="5"/>
      <c r="K1829" s="6"/>
      <c r="L1829" s="6"/>
      <c r="M1829" s="7" t="str">
        <f t="shared" si="90"/>
        <v/>
      </c>
      <c r="N1829" s="6"/>
      <c r="O1829" s="5"/>
    </row>
    <row r="1830" spans="1:15" x14ac:dyDescent="0.2">
      <c r="A1830" s="3" t="str">
        <f>IF($B1830="","",COUNTA($B$9:$B1830))</f>
        <v/>
      </c>
      <c r="B1830" s="4"/>
      <c r="C1830" s="4"/>
      <c r="D1830" s="4"/>
      <c r="E1830" s="5"/>
      <c r="F1830" s="3" t="str">
        <f t="shared" si="88"/>
        <v/>
      </c>
      <c r="G1830" s="4"/>
      <c r="H1830" s="3" t="str">
        <f t="shared" si="89"/>
        <v/>
      </c>
      <c r="I1830" s="5"/>
      <c r="J1830" s="5"/>
      <c r="K1830" s="6"/>
      <c r="L1830" s="6"/>
      <c r="M1830" s="7" t="str">
        <f t="shared" si="90"/>
        <v/>
      </c>
      <c r="N1830" s="6"/>
      <c r="O1830" s="5"/>
    </row>
    <row r="1831" spans="1:15" x14ac:dyDescent="0.2">
      <c r="A1831" s="3" t="str">
        <f>IF($B1831="","",COUNTA($B$9:$B1831))</f>
        <v/>
      </c>
      <c r="B1831" s="4"/>
      <c r="C1831" s="4"/>
      <c r="D1831" s="4"/>
      <c r="E1831" s="5"/>
      <c r="F1831" s="3" t="str">
        <f t="shared" si="88"/>
        <v/>
      </c>
      <c r="G1831" s="4"/>
      <c r="H1831" s="3" t="str">
        <f t="shared" si="89"/>
        <v/>
      </c>
      <c r="I1831" s="5"/>
      <c r="J1831" s="5"/>
      <c r="K1831" s="6"/>
      <c r="L1831" s="6"/>
      <c r="M1831" s="7" t="str">
        <f t="shared" si="90"/>
        <v/>
      </c>
      <c r="N1831" s="6"/>
      <c r="O1831" s="5"/>
    </row>
    <row r="1832" spans="1:15" x14ac:dyDescent="0.2">
      <c r="A1832" s="3" t="str">
        <f>IF($B1832="","",COUNTA($B$9:$B1832))</f>
        <v/>
      </c>
      <c r="B1832" s="4"/>
      <c r="C1832" s="4"/>
      <c r="D1832" s="4"/>
      <c r="E1832" s="5"/>
      <c r="F1832" s="3" t="str">
        <f t="shared" si="88"/>
        <v/>
      </c>
      <c r="G1832" s="4"/>
      <c r="H1832" s="3" t="str">
        <f t="shared" si="89"/>
        <v/>
      </c>
      <c r="I1832" s="5"/>
      <c r="J1832" s="5"/>
      <c r="K1832" s="6"/>
      <c r="L1832" s="6"/>
      <c r="M1832" s="7" t="str">
        <f t="shared" si="90"/>
        <v/>
      </c>
      <c r="N1832" s="6"/>
      <c r="O1832" s="5"/>
    </row>
    <row r="1833" spans="1:15" x14ac:dyDescent="0.2">
      <c r="A1833" s="3" t="str">
        <f>IF($B1833="","",COUNTA($B$9:$B1833))</f>
        <v/>
      </c>
      <c r="B1833" s="4"/>
      <c r="C1833" s="4"/>
      <c r="D1833" s="4"/>
      <c r="E1833" s="5"/>
      <c r="F1833" s="3" t="str">
        <f t="shared" si="88"/>
        <v/>
      </c>
      <c r="G1833" s="4"/>
      <c r="H1833" s="3" t="str">
        <f t="shared" si="89"/>
        <v/>
      </c>
      <c r="I1833" s="5"/>
      <c r="J1833" s="5"/>
      <c r="K1833" s="6"/>
      <c r="L1833" s="6"/>
      <c r="M1833" s="7" t="str">
        <f t="shared" si="90"/>
        <v/>
      </c>
      <c r="N1833" s="6"/>
      <c r="O1833" s="5"/>
    </row>
    <row r="1834" spans="1:15" x14ac:dyDescent="0.2">
      <c r="A1834" s="3" t="str">
        <f>IF($B1834="","",COUNTA($B$9:$B1834))</f>
        <v/>
      </c>
      <c r="B1834" s="4"/>
      <c r="C1834" s="4"/>
      <c r="D1834" s="4"/>
      <c r="E1834" s="5"/>
      <c r="F1834" s="3" t="str">
        <f t="shared" si="88"/>
        <v/>
      </c>
      <c r="G1834" s="4"/>
      <c r="H1834" s="3" t="str">
        <f t="shared" si="89"/>
        <v/>
      </c>
      <c r="I1834" s="5"/>
      <c r="J1834" s="5"/>
      <c r="K1834" s="6"/>
      <c r="L1834" s="6"/>
      <c r="M1834" s="7" t="str">
        <f t="shared" si="90"/>
        <v/>
      </c>
      <c r="N1834" s="6"/>
      <c r="O1834" s="5"/>
    </row>
    <row r="1835" spans="1:15" x14ac:dyDescent="0.2">
      <c r="A1835" s="3" t="str">
        <f>IF($B1835="","",COUNTA($B$9:$B1835))</f>
        <v/>
      </c>
      <c r="B1835" s="4"/>
      <c r="C1835" s="4"/>
      <c r="D1835" s="4"/>
      <c r="E1835" s="5"/>
      <c r="F1835" s="3" t="str">
        <f t="shared" si="88"/>
        <v/>
      </c>
      <c r="G1835" s="4"/>
      <c r="H1835" s="3" t="str">
        <f t="shared" si="89"/>
        <v/>
      </c>
      <c r="I1835" s="5"/>
      <c r="J1835" s="5"/>
      <c r="K1835" s="6"/>
      <c r="L1835" s="6"/>
      <c r="M1835" s="7" t="str">
        <f t="shared" si="90"/>
        <v/>
      </c>
      <c r="N1835" s="6"/>
      <c r="O1835" s="5"/>
    </row>
    <row r="1836" spans="1:15" x14ac:dyDescent="0.2">
      <c r="A1836" s="3" t="str">
        <f>IF($B1836="","",COUNTA($B$9:$B1836))</f>
        <v/>
      </c>
      <c r="B1836" s="4"/>
      <c r="C1836" s="4"/>
      <c r="D1836" s="4"/>
      <c r="E1836" s="5"/>
      <c r="F1836" s="3" t="str">
        <f t="shared" si="88"/>
        <v/>
      </c>
      <c r="G1836" s="4"/>
      <c r="H1836" s="3" t="str">
        <f t="shared" si="89"/>
        <v/>
      </c>
      <c r="I1836" s="5"/>
      <c r="J1836" s="5"/>
      <c r="K1836" s="6"/>
      <c r="L1836" s="6"/>
      <c r="M1836" s="7" t="str">
        <f t="shared" si="90"/>
        <v/>
      </c>
      <c r="N1836" s="6"/>
      <c r="O1836" s="5"/>
    </row>
    <row r="1837" spans="1:15" x14ac:dyDescent="0.2">
      <c r="A1837" s="3" t="str">
        <f>IF($B1837="","",COUNTA($B$9:$B1837))</f>
        <v/>
      </c>
      <c r="B1837" s="4"/>
      <c r="C1837" s="4"/>
      <c r="D1837" s="4"/>
      <c r="E1837" s="5"/>
      <c r="F1837" s="3" t="str">
        <f t="shared" si="88"/>
        <v/>
      </c>
      <c r="G1837" s="4"/>
      <c r="H1837" s="3" t="str">
        <f t="shared" si="89"/>
        <v/>
      </c>
      <c r="I1837" s="5"/>
      <c r="J1837" s="5"/>
      <c r="K1837" s="6"/>
      <c r="L1837" s="6"/>
      <c r="M1837" s="7" t="str">
        <f t="shared" si="90"/>
        <v/>
      </c>
      <c r="N1837" s="6"/>
      <c r="O1837" s="5"/>
    </row>
    <row r="1838" spans="1:15" x14ac:dyDescent="0.2">
      <c r="A1838" s="3" t="str">
        <f>IF($B1838="","",COUNTA($B$9:$B1838))</f>
        <v/>
      </c>
      <c r="B1838" s="4"/>
      <c r="C1838" s="4"/>
      <c r="D1838" s="4"/>
      <c r="E1838" s="5"/>
      <c r="F1838" s="3" t="str">
        <f t="shared" si="88"/>
        <v/>
      </c>
      <c r="G1838" s="4"/>
      <c r="H1838" s="3" t="str">
        <f t="shared" si="89"/>
        <v/>
      </c>
      <c r="I1838" s="5"/>
      <c r="J1838" s="5"/>
      <c r="K1838" s="6"/>
      <c r="L1838" s="6"/>
      <c r="M1838" s="7" t="str">
        <f t="shared" si="90"/>
        <v/>
      </c>
      <c r="N1838" s="6"/>
      <c r="O1838" s="5"/>
    </row>
    <row r="1839" spans="1:15" x14ac:dyDescent="0.2">
      <c r="A1839" s="3" t="str">
        <f>IF($B1839="","",COUNTA($B$9:$B1839))</f>
        <v/>
      </c>
      <c r="B1839" s="4"/>
      <c r="C1839" s="4"/>
      <c r="D1839" s="4"/>
      <c r="E1839" s="5"/>
      <c r="F1839" s="3" t="str">
        <f t="shared" si="88"/>
        <v/>
      </c>
      <c r="G1839" s="4"/>
      <c r="H1839" s="3" t="str">
        <f t="shared" si="89"/>
        <v/>
      </c>
      <c r="I1839" s="5"/>
      <c r="J1839" s="5"/>
      <c r="K1839" s="6"/>
      <c r="L1839" s="6"/>
      <c r="M1839" s="7" t="str">
        <f t="shared" si="90"/>
        <v/>
      </c>
      <c r="N1839" s="6"/>
      <c r="O1839" s="5"/>
    </row>
    <row r="1840" spans="1:15" x14ac:dyDescent="0.2">
      <c r="A1840" s="3" t="str">
        <f>IF($B1840="","",COUNTA($B$9:$B1840))</f>
        <v/>
      </c>
      <c r="B1840" s="4"/>
      <c r="C1840" s="4"/>
      <c r="D1840" s="4"/>
      <c r="E1840" s="5"/>
      <c r="F1840" s="3" t="str">
        <f t="shared" si="88"/>
        <v/>
      </c>
      <c r="G1840" s="4"/>
      <c r="H1840" s="3" t="str">
        <f t="shared" si="89"/>
        <v/>
      </c>
      <c r="I1840" s="5"/>
      <c r="J1840" s="5"/>
      <c r="K1840" s="6"/>
      <c r="L1840" s="6"/>
      <c r="M1840" s="7" t="str">
        <f t="shared" si="90"/>
        <v/>
      </c>
      <c r="N1840" s="6"/>
      <c r="O1840" s="5"/>
    </row>
    <row r="1841" spans="1:15" x14ac:dyDescent="0.2">
      <c r="A1841" s="3" t="str">
        <f>IF($B1841="","",COUNTA($B$9:$B1841))</f>
        <v/>
      </c>
      <c r="B1841" s="4"/>
      <c r="C1841" s="4"/>
      <c r="D1841" s="4"/>
      <c r="E1841" s="5"/>
      <c r="F1841" s="3" t="str">
        <f t="shared" si="88"/>
        <v/>
      </c>
      <c r="G1841" s="4"/>
      <c r="H1841" s="3" t="str">
        <f t="shared" si="89"/>
        <v/>
      </c>
      <c r="I1841" s="5"/>
      <c r="J1841" s="5"/>
      <c r="K1841" s="6"/>
      <c r="L1841" s="6"/>
      <c r="M1841" s="7" t="str">
        <f t="shared" si="90"/>
        <v/>
      </c>
      <c r="N1841" s="6"/>
      <c r="O1841" s="5"/>
    </row>
    <row r="1842" spans="1:15" x14ac:dyDescent="0.2">
      <c r="A1842" s="3" t="str">
        <f>IF($B1842="","",COUNTA($B$9:$B1842))</f>
        <v/>
      </c>
      <c r="B1842" s="4"/>
      <c r="C1842" s="4"/>
      <c r="D1842" s="4"/>
      <c r="E1842" s="5"/>
      <c r="F1842" s="3" t="str">
        <f t="shared" si="88"/>
        <v/>
      </c>
      <c r="G1842" s="4"/>
      <c r="H1842" s="3" t="str">
        <f t="shared" si="89"/>
        <v/>
      </c>
      <c r="I1842" s="5"/>
      <c r="J1842" s="5"/>
      <c r="K1842" s="6"/>
      <c r="L1842" s="6"/>
      <c r="M1842" s="7" t="str">
        <f t="shared" si="90"/>
        <v/>
      </c>
      <c r="N1842" s="6"/>
      <c r="O1842" s="5"/>
    </row>
    <row r="1843" spans="1:15" x14ac:dyDescent="0.2">
      <c r="A1843" s="3" t="str">
        <f>IF($B1843="","",COUNTA($B$9:$B1843))</f>
        <v/>
      </c>
      <c r="B1843" s="4"/>
      <c r="C1843" s="4"/>
      <c r="D1843" s="4"/>
      <c r="E1843" s="5"/>
      <c r="F1843" s="3" t="str">
        <f t="shared" si="88"/>
        <v/>
      </c>
      <c r="G1843" s="4"/>
      <c r="H1843" s="3" t="str">
        <f t="shared" si="89"/>
        <v/>
      </c>
      <c r="I1843" s="5"/>
      <c r="J1843" s="5"/>
      <c r="K1843" s="6"/>
      <c r="L1843" s="6"/>
      <c r="M1843" s="7" t="str">
        <f t="shared" si="90"/>
        <v/>
      </c>
      <c r="N1843" s="6"/>
      <c r="O1843" s="5"/>
    </row>
    <row r="1844" spans="1:15" x14ac:dyDescent="0.2">
      <c r="A1844" s="3" t="str">
        <f>IF($B1844="","",COUNTA($B$9:$B1844))</f>
        <v/>
      </c>
      <c r="B1844" s="4"/>
      <c r="C1844" s="4"/>
      <c r="D1844" s="4"/>
      <c r="E1844" s="5"/>
      <c r="F1844" s="3" t="str">
        <f t="shared" si="88"/>
        <v/>
      </c>
      <c r="G1844" s="4"/>
      <c r="H1844" s="3" t="str">
        <f t="shared" si="89"/>
        <v/>
      </c>
      <c r="I1844" s="5"/>
      <c r="J1844" s="5"/>
      <c r="K1844" s="6"/>
      <c r="L1844" s="6"/>
      <c r="M1844" s="7" t="str">
        <f t="shared" si="90"/>
        <v/>
      </c>
      <c r="N1844" s="6"/>
      <c r="O1844" s="5"/>
    </row>
    <row r="1845" spans="1:15" x14ac:dyDescent="0.2">
      <c r="A1845" s="3" t="str">
        <f>IF($B1845="","",COUNTA($B$9:$B1845))</f>
        <v/>
      </c>
      <c r="B1845" s="4"/>
      <c r="C1845" s="4"/>
      <c r="D1845" s="4"/>
      <c r="E1845" s="5"/>
      <c r="F1845" s="3" t="str">
        <f t="shared" si="88"/>
        <v/>
      </c>
      <c r="G1845" s="4"/>
      <c r="H1845" s="3" t="str">
        <f t="shared" si="89"/>
        <v/>
      </c>
      <c r="I1845" s="5"/>
      <c r="J1845" s="5"/>
      <c r="K1845" s="6"/>
      <c r="L1845" s="6"/>
      <c r="M1845" s="7" t="str">
        <f t="shared" si="90"/>
        <v/>
      </c>
      <c r="N1845" s="6"/>
      <c r="O1845" s="5"/>
    </row>
    <row r="1846" spans="1:15" x14ac:dyDescent="0.2">
      <c r="A1846" s="3" t="str">
        <f>IF($B1846="","",COUNTA($B$9:$B1846))</f>
        <v/>
      </c>
      <c r="B1846" s="4"/>
      <c r="C1846" s="4"/>
      <c r="D1846" s="4"/>
      <c r="E1846" s="5"/>
      <c r="F1846" s="3" t="str">
        <f t="shared" si="88"/>
        <v/>
      </c>
      <c r="G1846" s="4"/>
      <c r="H1846" s="3" t="str">
        <f t="shared" si="89"/>
        <v/>
      </c>
      <c r="I1846" s="5"/>
      <c r="J1846" s="5"/>
      <c r="K1846" s="6"/>
      <c r="L1846" s="6"/>
      <c r="M1846" s="7" t="str">
        <f t="shared" si="90"/>
        <v/>
      </c>
      <c r="N1846" s="6"/>
      <c r="O1846" s="5"/>
    </row>
    <row r="1847" spans="1:15" x14ac:dyDescent="0.2">
      <c r="A1847" s="3" t="str">
        <f>IF($B1847="","",COUNTA($B$9:$B1847))</f>
        <v/>
      </c>
      <c r="B1847" s="4"/>
      <c r="C1847" s="4"/>
      <c r="D1847" s="4"/>
      <c r="E1847" s="5"/>
      <c r="F1847" s="3" t="str">
        <f t="shared" si="88"/>
        <v/>
      </c>
      <c r="G1847" s="4"/>
      <c r="H1847" s="3" t="str">
        <f t="shared" si="89"/>
        <v/>
      </c>
      <c r="I1847" s="5"/>
      <c r="J1847" s="5"/>
      <c r="K1847" s="6"/>
      <c r="L1847" s="6"/>
      <c r="M1847" s="7" t="str">
        <f t="shared" si="90"/>
        <v/>
      </c>
      <c r="N1847" s="6"/>
      <c r="O1847" s="5"/>
    </row>
    <row r="1848" spans="1:15" x14ac:dyDescent="0.2">
      <c r="A1848" s="3" t="str">
        <f>IF($B1848="","",COUNTA($B$9:$B1848))</f>
        <v/>
      </c>
      <c r="B1848" s="4"/>
      <c r="C1848" s="4"/>
      <c r="D1848" s="4"/>
      <c r="E1848" s="5"/>
      <c r="F1848" s="3" t="str">
        <f t="shared" si="88"/>
        <v/>
      </c>
      <c r="G1848" s="4"/>
      <c r="H1848" s="3" t="str">
        <f t="shared" si="89"/>
        <v/>
      </c>
      <c r="I1848" s="5"/>
      <c r="J1848" s="5"/>
      <c r="K1848" s="6"/>
      <c r="L1848" s="6"/>
      <c r="M1848" s="7" t="str">
        <f t="shared" si="90"/>
        <v/>
      </c>
      <c r="N1848" s="6"/>
      <c r="O1848" s="5"/>
    </row>
    <row r="1849" spans="1:15" x14ac:dyDescent="0.2">
      <c r="A1849" s="3" t="str">
        <f>IF($B1849="","",COUNTA($B$9:$B1849))</f>
        <v/>
      </c>
      <c r="B1849" s="4"/>
      <c r="C1849" s="4"/>
      <c r="D1849" s="4"/>
      <c r="E1849" s="5"/>
      <c r="F1849" s="3" t="str">
        <f t="shared" si="88"/>
        <v/>
      </c>
      <c r="G1849" s="4"/>
      <c r="H1849" s="3" t="str">
        <f t="shared" si="89"/>
        <v/>
      </c>
      <c r="I1849" s="5"/>
      <c r="J1849" s="5"/>
      <c r="K1849" s="6"/>
      <c r="L1849" s="6"/>
      <c r="M1849" s="7" t="str">
        <f t="shared" si="90"/>
        <v/>
      </c>
      <c r="N1849" s="6"/>
      <c r="O1849" s="5"/>
    </row>
    <row r="1850" spans="1:15" x14ac:dyDescent="0.2">
      <c r="A1850" s="3" t="str">
        <f>IF($B1850="","",COUNTA($B$9:$B1850))</f>
        <v/>
      </c>
      <c r="B1850" s="4"/>
      <c r="C1850" s="4"/>
      <c r="D1850" s="4"/>
      <c r="E1850" s="5"/>
      <c r="F1850" s="3" t="str">
        <f t="shared" si="88"/>
        <v/>
      </c>
      <c r="G1850" s="4"/>
      <c r="H1850" s="3" t="str">
        <f t="shared" si="89"/>
        <v/>
      </c>
      <c r="I1850" s="5"/>
      <c r="J1850" s="5"/>
      <c r="K1850" s="6"/>
      <c r="L1850" s="6"/>
      <c r="M1850" s="7" t="str">
        <f t="shared" si="90"/>
        <v/>
      </c>
      <c r="N1850" s="6"/>
      <c r="O1850" s="5"/>
    </row>
    <row r="1851" spans="1:15" x14ac:dyDescent="0.2">
      <c r="A1851" s="3" t="str">
        <f>IF($B1851="","",COUNTA($B$9:$B1851))</f>
        <v/>
      </c>
      <c r="B1851" s="4"/>
      <c r="C1851" s="4"/>
      <c r="D1851" s="4"/>
      <c r="E1851" s="5"/>
      <c r="F1851" s="3" t="str">
        <f t="shared" si="88"/>
        <v/>
      </c>
      <c r="G1851" s="4"/>
      <c r="H1851" s="3" t="str">
        <f t="shared" si="89"/>
        <v/>
      </c>
      <c r="I1851" s="5"/>
      <c r="J1851" s="5"/>
      <c r="K1851" s="6"/>
      <c r="L1851" s="6"/>
      <c r="M1851" s="7" t="str">
        <f t="shared" si="90"/>
        <v/>
      </c>
      <c r="N1851" s="6"/>
      <c r="O1851" s="5"/>
    </row>
    <row r="1852" spans="1:15" x14ac:dyDescent="0.2">
      <c r="A1852" s="3" t="str">
        <f>IF($B1852="","",COUNTA($B$9:$B1852))</f>
        <v/>
      </c>
      <c r="B1852" s="4"/>
      <c r="C1852" s="4"/>
      <c r="D1852" s="4"/>
      <c r="E1852" s="5"/>
      <c r="F1852" s="3" t="str">
        <f t="shared" si="88"/>
        <v/>
      </c>
      <c r="G1852" s="4"/>
      <c r="H1852" s="3" t="str">
        <f t="shared" si="89"/>
        <v/>
      </c>
      <c r="I1852" s="5"/>
      <c r="J1852" s="5"/>
      <c r="K1852" s="6"/>
      <c r="L1852" s="6"/>
      <c r="M1852" s="7" t="str">
        <f t="shared" si="90"/>
        <v/>
      </c>
      <c r="N1852" s="6"/>
      <c r="O1852" s="5"/>
    </row>
    <row r="1853" spans="1:15" x14ac:dyDescent="0.2">
      <c r="A1853" s="3" t="str">
        <f>IF($B1853="","",COUNTA($B$9:$B1853))</f>
        <v/>
      </c>
      <c r="B1853" s="4"/>
      <c r="C1853" s="4"/>
      <c r="D1853" s="4"/>
      <c r="E1853" s="5"/>
      <c r="F1853" s="3" t="str">
        <f t="shared" si="88"/>
        <v/>
      </c>
      <c r="G1853" s="4"/>
      <c r="H1853" s="3" t="str">
        <f t="shared" si="89"/>
        <v/>
      </c>
      <c r="I1853" s="5"/>
      <c r="J1853" s="5"/>
      <c r="K1853" s="6"/>
      <c r="L1853" s="6"/>
      <c r="M1853" s="7" t="str">
        <f t="shared" si="90"/>
        <v/>
      </c>
      <c r="N1853" s="6"/>
      <c r="O1853" s="5"/>
    </row>
    <row r="1854" spans="1:15" x14ac:dyDescent="0.2">
      <c r="A1854" s="3" t="str">
        <f>IF($B1854="","",COUNTA($B$9:$B1854))</f>
        <v/>
      </c>
      <c r="B1854" s="4"/>
      <c r="C1854" s="4"/>
      <c r="D1854" s="4"/>
      <c r="E1854" s="5"/>
      <c r="F1854" s="3" t="str">
        <f t="shared" si="88"/>
        <v/>
      </c>
      <c r="G1854" s="4"/>
      <c r="H1854" s="3" t="str">
        <f t="shared" si="89"/>
        <v/>
      </c>
      <c r="I1854" s="5"/>
      <c r="J1854" s="5"/>
      <c r="K1854" s="6"/>
      <c r="L1854" s="6"/>
      <c r="M1854" s="7" t="str">
        <f t="shared" si="90"/>
        <v/>
      </c>
      <c r="N1854" s="6"/>
      <c r="O1854" s="5"/>
    </row>
    <row r="1855" spans="1:15" x14ac:dyDescent="0.2">
      <c r="A1855" s="3" t="str">
        <f>IF($B1855="","",COUNTA($B$9:$B1855))</f>
        <v/>
      </c>
      <c r="B1855" s="4"/>
      <c r="C1855" s="4"/>
      <c r="D1855" s="4"/>
      <c r="E1855" s="5"/>
      <c r="F1855" s="3" t="str">
        <f t="shared" si="88"/>
        <v/>
      </c>
      <c r="G1855" s="4"/>
      <c r="H1855" s="3" t="str">
        <f t="shared" si="89"/>
        <v/>
      </c>
      <c r="I1855" s="5"/>
      <c r="J1855" s="5"/>
      <c r="K1855" s="6"/>
      <c r="L1855" s="6"/>
      <c r="M1855" s="7" t="str">
        <f t="shared" si="90"/>
        <v/>
      </c>
      <c r="N1855" s="6"/>
      <c r="O1855" s="5"/>
    </row>
    <row r="1856" spans="1:15" x14ac:dyDescent="0.2">
      <c r="A1856" s="3" t="str">
        <f>IF($B1856="","",COUNTA($B$9:$B1856))</f>
        <v/>
      </c>
      <c r="B1856" s="4"/>
      <c r="C1856" s="4"/>
      <c r="D1856" s="4"/>
      <c r="E1856" s="5"/>
      <c r="F1856" s="3" t="str">
        <f t="shared" si="88"/>
        <v/>
      </c>
      <c r="G1856" s="4"/>
      <c r="H1856" s="3" t="str">
        <f t="shared" si="89"/>
        <v/>
      </c>
      <c r="I1856" s="5"/>
      <c r="J1856" s="5"/>
      <c r="K1856" s="6"/>
      <c r="L1856" s="6"/>
      <c r="M1856" s="7" t="str">
        <f t="shared" si="90"/>
        <v/>
      </c>
      <c r="N1856" s="6"/>
      <c r="O1856" s="5"/>
    </row>
    <row r="1857" spans="1:15" x14ac:dyDescent="0.2">
      <c r="A1857" s="3" t="str">
        <f>IF($B1857="","",COUNTA($B$9:$B1857))</f>
        <v/>
      </c>
      <c r="B1857" s="4"/>
      <c r="C1857" s="4"/>
      <c r="D1857" s="4"/>
      <c r="E1857" s="5"/>
      <c r="F1857" s="3" t="str">
        <f t="shared" si="88"/>
        <v/>
      </c>
      <c r="G1857" s="4"/>
      <c r="H1857" s="3" t="str">
        <f t="shared" si="89"/>
        <v/>
      </c>
      <c r="I1857" s="5"/>
      <c r="J1857" s="5"/>
      <c r="K1857" s="6"/>
      <c r="L1857" s="6"/>
      <c r="M1857" s="7" t="str">
        <f t="shared" si="90"/>
        <v/>
      </c>
      <c r="N1857" s="6"/>
      <c r="O1857" s="5"/>
    </row>
    <row r="1858" spans="1:15" x14ac:dyDescent="0.2">
      <c r="A1858" s="3" t="str">
        <f>IF($B1858="","",COUNTA($B$9:$B1858))</f>
        <v/>
      </c>
      <c r="B1858" s="4"/>
      <c r="C1858" s="4"/>
      <c r="D1858" s="4"/>
      <c r="E1858" s="5"/>
      <c r="F1858" s="3" t="str">
        <f t="shared" si="88"/>
        <v/>
      </c>
      <c r="G1858" s="4"/>
      <c r="H1858" s="3" t="str">
        <f t="shared" si="89"/>
        <v/>
      </c>
      <c r="I1858" s="5"/>
      <c r="J1858" s="5"/>
      <c r="K1858" s="6"/>
      <c r="L1858" s="6"/>
      <c r="M1858" s="7" t="str">
        <f t="shared" si="90"/>
        <v/>
      </c>
      <c r="N1858" s="6"/>
      <c r="O1858" s="5"/>
    </row>
    <row r="1859" spans="1:15" x14ac:dyDescent="0.2">
      <c r="A1859" s="3" t="str">
        <f>IF($B1859="","",COUNTA($B$9:$B1859))</f>
        <v/>
      </c>
      <c r="B1859" s="4"/>
      <c r="C1859" s="4"/>
      <c r="D1859" s="4"/>
      <c r="E1859" s="5"/>
      <c r="F1859" s="3" t="str">
        <f t="shared" si="88"/>
        <v/>
      </c>
      <c r="G1859" s="4"/>
      <c r="H1859" s="3" t="str">
        <f t="shared" si="89"/>
        <v/>
      </c>
      <c r="I1859" s="5"/>
      <c r="J1859" s="5"/>
      <c r="K1859" s="6"/>
      <c r="L1859" s="6"/>
      <c r="M1859" s="7" t="str">
        <f t="shared" si="90"/>
        <v/>
      </c>
      <c r="N1859" s="6"/>
      <c r="O1859" s="5"/>
    </row>
    <row r="1860" spans="1:15" x14ac:dyDescent="0.2">
      <c r="A1860" s="3" t="str">
        <f>IF($B1860="","",COUNTA($B$9:$B1860))</f>
        <v/>
      </c>
      <c r="B1860" s="4"/>
      <c r="C1860" s="4"/>
      <c r="D1860" s="4"/>
      <c r="E1860" s="5"/>
      <c r="F1860" s="3" t="str">
        <f t="shared" si="88"/>
        <v/>
      </c>
      <c r="G1860" s="4"/>
      <c r="H1860" s="3" t="str">
        <f t="shared" si="89"/>
        <v/>
      </c>
      <c r="I1860" s="5"/>
      <c r="J1860" s="5"/>
      <c r="K1860" s="6"/>
      <c r="L1860" s="6"/>
      <c r="M1860" s="7" t="str">
        <f t="shared" si="90"/>
        <v/>
      </c>
      <c r="N1860" s="6"/>
      <c r="O1860" s="5"/>
    </row>
    <row r="1861" spans="1:15" x14ac:dyDescent="0.2">
      <c r="A1861" s="3" t="str">
        <f>IF($B1861="","",COUNTA($B$9:$B1861))</f>
        <v/>
      </c>
      <c r="B1861" s="4"/>
      <c r="C1861" s="4"/>
      <c r="D1861" s="4"/>
      <c r="E1861" s="5"/>
      <c r="F1861" s="3" t="str">
        <f t="shared" si="88"/>
        <v/>
      </c>
      <c r="G1861" s="4"/>
      <c r="H1861" s="3" t="str">
        <f t="shared" si="89"/>
        <v/>
      </c>
      <c r="I1861" s="5"/>
      <c r="J1861" s="5"/>
      <c r="K1861" s="6"/>
      <c r="L1861" s="6"/>
      <c r="M1861" s="7" t="str">
        <f t="shared" si="90"/>
        <v/>
      </c>
      <c r="N1861" s="6"/>
      <c r="O1861" s="5"/>
    </row>
    <row r="1862" spans="1:15" x14ac:dyDescent="0.2">
      <c r="A1862" s="3" t="str">
        <f>IF($B1862="","",COUNTA($B$9:$B1862))</f>
        <v/>
      </c>
      <c r="B1862" s="4"/>
      <c r="C1862" s="4"/>
      <c r="D1862" s="4"/>
      <c r="E1862" s="5"/>
      <c r="F1862" s="3" t="str">
        <f t="shared" si="88"/>
        <v/>
      </c>
      <c r="G1862" s="4"/>
      <c r="H1862" s="3" t="str">
        <f t="shared" si="89"/>
        <v/>
      </c>
      <c r="I1862" s="5"/>
      <c r="J1862" s="5"/>
      <c r="K1862" s="6"/>
      <c r="L1862" s="6"/>
      <c r="M1862" s="7" t="str">
        <f t="shared" si="90"/>
        <v/>
      </c>
      <c r="N1862" s="6"/>
      <c r="O1862" s="5"/>
    </row>
    <row r="1863" spans="1:15" x14ac:dyDescent="0.2">
      <c r="A1863" s="3" t="str">
        <f>IF($B1863="","",COUNTA($B$9:$B1863))</f>
        <v/>
      </c>
      <c r="B1863" s="4"/>
      <c r="C1863" s="4"/>
      <c r="D1863" s="4"/>
      <c r="E1863" s="5"/>
      <c r="F1863" s="3" t="str">
        <f t="shared" si="88"/>
        <v/>
      </c>
      <c r="G1863" s="4"/>
      <c r="H1863" s="3" t="str">
        <f t="shared" si="89"/>
        <v/>
      </c>
      <c r="I1863" s="5"/>
      <c r="J1863" s="5"/>
      <c r="K1863" s="6"/>
      <c r="L1863" s="6"/>
      <c r="M1863" s="7" t="str">
        <f t="shared" si="90"/>
        <v/>
      </c>
      <c r="N1863" s="6"/>
      <c r="O1863" s="5"/>
    </row>
    <row r="1864" spans="1:15" x14ac:dyDescent="0.2">
      <c r="A1864" s="3" t="str">
        <f>IF($B1864="","",COUNTA($B$9:$B1864))</f>
        <v/>
      </c>
      <c r="B1864" s="4"/>
      <c r="C1864" s="4"/>
      <c r="D1864" s="4"/>
      <c r="E1864" s="5"/>
      <c r="F1864" s="3" t="str">
        <f t="shared" ref="F1864:F1927" si="91">IF($E1864="","",IFERROR(VLOOKUP($E1864,OpTbl,2,0),""))</f>
        <v/>
      </c>
      <c r="G1864" s="4"/>
      <c r="H1864" s="3" t="str">
        <f t="shared" ref="H1864:H1927" si="92">IF($G1864="","",IFERROR(IF(VLOOKUP($G1864,AcctTbl,4,0)="","(بدون نام)",VLOOKUP($G1864,AcctTbl,4,0)),"کد ناشناخته"))</f>
        <v/>
      </c>
      <c r="I1864" s="5"/>
      <c r="J1864" s="5"/>
      <c r="K1864" s="6"/>
      <c r="L1864" s="6"/>
      <c r="M1864" s="7" t="str">
        <f t="shared" ref="M1864:M1927" si="93">IF(OR($B1864="",$K1864=""),"",($K1864-IF($L1864="",0,$L1864)*IFERROR(VLOOKUP("P01",ParamTbl,3,0),1.5))*(1-IF(IFERROR(VLOOKUP($E1864,OpTbl,3,0),"")="خرید",IFERROR(VLOOKUP("P02",ParamTbl,3,0),1),0)/100))</f>
        <v/>
      </c>
      <c r="N1864" s="6"/>
      <c r="O1864" s="5"/>
    </row>
    <row r="1865" spans="1:15" x14ac:dyDescent="0.2">
      <c r="A1865" s="3" t="str">
        <f>IF($B1865="","",COUNTA($B$9:$B1865))</f>
        <v/>
      </c>
      <c r="B1865" s="4"/>
      <c r="C1865" s="4"/>
      <c r="D1865" s="4"/>
      <c r="E1865" s="5"/>
      <c r="F1865" s="3" t="str">
        <f t="shared" si="91"/>
        <v/>
      </c>
      <c r="G1865" s="4"/>
      <c r="H1865" s="3" t="str">
        <f t="shared" si="92"/>
        <v/>
      </c>
      <c r="I1865" s="5"/>
      <c r="J1865" s="5"/>
      <c r="K1865" s="6"/>
      <c r="L1865" s="6"/>
      <c r="M1865" s="7" t="str">
        <f t="shared" si="93"/>
        <v/>
      </c>
      <c r="N1865" s="6"/>
      <c r="O1865" s="5"/>
    </row>
    <row r="1866" spans="1:15" x14ac:dyDescent="0.2">
      <c r="A1866" s="3" t="str">
        <f>IF($B1866="","",COUNTA($B$9:$B1866))</f>
        <v/>
      </c>
      <c r="B1866" s="4"/>
      <c r="C1866" s="4"/>
      <c r="D1866" s="4"/>
      <c r="E1866" s="5"/>
      <c r="F1866" s="3" t="str">
        <f t="shared" si="91"/>
        <v/>
      </c>
      <c r="G1866" s="4"/>
      <c r="H1866" s="3" t="str">
        <f t="shared" si="92"/>
        <v/>
      </c>
      <c r="I1866" s="5"/>
      <c r="J1866" s="5"/>
      <c r="K1866" s="6"/>
      <c r="L1866" s="6"/>
      <c r="M1866" s="7" t="str">
        <f t="shared" si="93"/>
        <v/>
      </c>
      <c r="N1866" s="6"/>
      <c r="O1866" s="5"/>
    </row>
    <row r="1867" spans="1:15" x14ac:dyDescent="0.2">
      <c r="A1867" s="3" t="str">
        <f>IF($B1867="","",COUNTA($B$9:$B1867))</f>
        <v/>
      </c>
      <c r="B1867" s="4"/>
      <c r="C1867" s="4"/>
      <c r="D1867" s="4"/>
      <c r="E1867" s="5"/>
      <c r="F1867" s="3" t="str">
        <f t="shared" si="91"/>
        <v/>
      </c>
      <c r="G1867" s="4"/>
      <c r="H1867" s="3" t="str">
        <f t="shared" si="92"/>
        <v/>
      </c>
      <c r="I1867" s="5"/>
      <c r="J1867" s="5"/>
      <c r="K1867" s="6"/>
      <c r="L1867" s="6"/>
      <c r="M1867" s="7" t="str">
        <f t="shared" si="93"/>
        <v/>
      </c>
      <c r="N1867" s="6"/>
      <c r="O1867" s="5"/>
    </row>
    <row r="1868" spans="1:15" x14ac:dyDescent="0.2">
      <c r="A1868" s="3" t="str">
        <f>IF($B1868="","",COUNTA($B$9:$B1868))</f>
        <v/>
      </c>
      <c r="B1868" s="4"/>
      <c r="C1868" s="4"/>
      <c r="D1868" s="4"/>
      <c r="E1868" s="5"/>
      <c r="F1868" s="3" t="str">
        <f t="shared" si="91"/>
        <v/>
      </c>
      <c r="G1868" s="4"/>
      <c r="H1868" s="3" t="str">
        <f t="shared" si="92"/>
        <v/>
      </c>
      <c r="I1868" s="5"/>
      <c r="J1868" s="5"/>
      <c r="K1868" s="6"/>
      <c r="L1868" s="6"/>
      <c r="M1868" s="7" t="str">
        <f t="shared" si="93"/>
        <v/>
      </c>
      <c r="N1868" s="6"/>
      <c r="O1868" s="5"/>
    </row>
    <row r="1869" spans="1:15" x14ac:dyDescent="0.2">
      <c r="A1869" s="3" t="str">
        <f>IF($B1869="","",COUNTA($B$9:$B1869))</f>
        <v/>
      </c>
      <c r="B1869" s="4"/>
      <c r="C1869" s="4"/>
      <c r="D1869" s="4"/>
      <c r="E1869" s="5"/>
      <c r="F1869" s="3" t="str">
        <f t="shared" si="91"/>
        <v/>
      </c>
      <c r="G1869" s="4"/>
      <c r="H1869" s="3" t="str">
        <f t="shared" si="92"/>
        <v/>
      </c>
      <c r="I1869" s="5"/>
      <c r="J1869" s="5"/>
      <c r="K1869" s="6"/>
      <c r="L1869" s="6"/>
      <c r="M1869" s="7" t="str">
        <f t="shared" si="93"/>
        <v/>
      </c>
      <c r="N1869" s="6"/>
      <c r="O1869" s="5"/>
    </row>
    <row r="1870" spans="1:15" x14ac:dyDescent="0.2">
      <c r="A1870" s="3" t="str">
        <f>IF($B1870="","",COUNTA($B$9:$B1870))</f>
        <v/>
      </c>
      <c r="B1870" s="4"/>
      <c r="C1870" s="4"/>
      <c r="D1870" s="4"/>
      <c r="E1870" s="5"/>
      <c r="F1870" s="3" t="str">
        <f t="shared" si="91"/>
        <v/>
      </c>
      <c r="G1870" s="4"/>
      <c r="H1870" s="3" t="str">
        <f t="shared" si="92"/>
        <v/>
      </c>
      <c r="I1870" s="5"/>
      <c r="J1870" s="5"/>
      <c r="K1870" s="6"/>
      <c r="L1870" s="6"/>
      <c r="M1870" s="7" t="str">
        <f t="shared" si="93"/>
        <v/>
      </c>
      <c r="N1870" s="6"/>
      <c r="O1870" s="5"/>
    </row>
    <row r="1871" spans="1:15" x14ac:dyDescent="0.2">
      <c r="A1871" s="3" t="str">
        <f>IF($B1871="","",COUNTA($B$9:$B1871))</f>
        <v/>
      </c>
      <c r="B1871" s="4"/>
      <c r="C1871" s="4"/>
      <c r="D1871" s="4"/>
      <c r="E1871" s="5"/>
      <c r="F1871" s="3" t="str">
        <f t="shared" si="91"/>
        <v/>
      </c>
      <c r="G1871" s="4"/>
      <c r="H1871" s="3" t="str">
        <f t="shared" si="92"/>
        <v/>
      </c>
      <c r="I1871" s="5"/>
      <c r="J1871" s="5"/>
      <c r="K1871" s="6"/>
      <c r="L1871" s="6"/>
      <c r="M1871" s="7" t="str">
        <f t="shared" si="93"/>
        <v/>
      </c>
      <c r="N1871" s="6"/>
      <c r="O1871" s="5"/>
    </row>
    <row r="1872" spans="1:15" x14ac:dyDescent="0.2">
      <c r="A1872" s="3" t="str">
        <f>IF($B1872="","",COUNTA($B$9:$B1872))</f>
        <v/>
      </c>
      <c r="B1872" s="4"/>
      <c r="C1872" s="4"/>
      <c r="D1872" s="4"/>
      <c r="E1872" s="5"/>
      <c r="F1872" s="3" t="str">
        <f t="shared" si="91"/>
        <v/>
      </c>
      <c r="G1872" s="4"/>
      <c r="H1872" s="3" t="str">
        <f t="shared" si="92"/>
        <v/>
      </c>
      <c r="I1872" s="5"/>
      <c r="J1872" s="5"/>
      <c r="K1872" s="6"/>
      <c r="L1872" s="6"/>
      <c r="M1872" s="7" t="str">
        <f t="shared" si="93"/>
        <v/>
      </c>
      <c r="N1872" s="6"/>
      <c r="O1872" s="5"/>
    </row>
    <row r="1873" spans="1:15" x14ac:dyDescent="0.2">
      <c r="A1873" s="3" t="str">
        <f>IF($B1873="","",COUNTA($B$9:$B1873))</f>
        <v/>
      </c>
      <c r="B1873" s="4"/>
      <c r="C1873" s="4"/>
      <c r="D1873" s="4"/>
      <c r="E1873" s="5"/>
      <c r="F1873" s="3" t="str">
        <f t="shared" si="91"/>
        <v/>
      </c>
      <c r="G1873" s="4"/>
      <c r="H1873" s="3" t="str">
        <f t="shared" si="92"/>
        <v/>
      </c>
      <c r="I1873" s="5"/>
      <c r="J1873" s="5"/>
      <c r="K1873" s="6"/>
      <c r="L1873" s="6"/>
      <c r="M1873" s="7" t="str">
        <f t="shared" si="93"/>
        <v/>
      </c>
      <c r="N1873" s="6"/>
      <c r="O1873" s="5"/>
    </row>
    <row r="1874" spans="1:15" x14ac:dyDescent="0.2">
      <c r="A1874" s="3" t="str">
        <f>IF($B1874="","",COUNTA($B$9:$B1874))</f>
        <v/>
      </c>
      <c r="B1874" s="4"/>
      <c r="C1874" s="4"/>
      <c r="D1874" s="4"/>
      <c r="E1874" s="5"/>
      <c r="F1874" s="3" t="str">
        <f t="shared" si="91"/>
        <v/>
      </c>
      <c r="G1874" s="4"/>
      <c r="H1874" s="3" t="str">
        <f t="shared" si="92"/>
        <v/>
      </c>
      <c r="I1874" s="5"/>
      <c r="J1874" s="5"/>
      <c r="K1874" s="6"/>
      <c r="L1874" s="6"/>
      <c r="M1874" s="7" t="str">
        <f t="shared" si="93"/>
        <v/>
      </c>
      <c r="N1874" s="6"/>
      <c r="O1874" s="5"/>
    </row>
    <row r="1875" spans="1:15" x14ac:dyDescent="0.2">
      <c r="A1875" s="3" t="str">
        <f>IF($B1875="","",COUNTA($B$9:$B1875))</f>
        <v/>
      </c>
      <c r="B1875" s="4"/>
      <c r="C1875" s="4"/>
      <c r="D1875" s="4"/>
      <c r="E1875" s="5"/>
      <c r="F1875" s="3" t="str">
        <f t="shared" si="91"/>
        <v/>
      </c>
      <c r="G1875" s="4"/>
      <c r="H1875" s="3" t="str">
        <f t="shared" si="92"/>
        <v/>
      </c>
      <c r="I1875" s="5"/>
      <c r="J1875" s="5"/>
      <c r="K1875" s="6"/>
      <c r="L1875" s="6"/>
      <c r="M1875" s="7" t="str">
        <f t="shared" si="93"/>
        <v/>
      </c>
      <c r="N1875" s="6"/>
      <c r="O1875" s="5"/>
    </row>
    <row r="1876" spans="1:15" x14ac:dyDescent="0.2">
      <c r="A1876" s="3" t="str">
        <f>IF($B1876="","",COUNTA($B$9:$B1876))</f>
        <v/>
      </c>
      <c r="B1876" s="4"/>
      <c r="C1876" s="4"/>
      <c r="D1876" s="4"/>
      <c r="E1876" s="5"/>
      <c r="F1876" s="3" t="str">
        <f t="shared" si="91"/>
        <v/>
      </c>
      <c r="G1876" s="4"/>
      <c r="H1876" s="3" t="str">
        <f t="shared" si="92"/>
        <v/>
      </c>
      <c r="I1876" s="5"/>
      <c r="J1876" s="5"/>
      <c r="K1876" s="6"/>
      <c r="L1876" s="6"/>
      <c r="M1876" s="7" t="str">
        <f t="shared" si="93"/>
        <v/>
      </c>
      <c r="N1876" s="6"/>
      <c r="O1876" s="5"/>
    </row>
    <row r="1877" spans="1:15" x14ac:dyDescent="0.2">
      <c r="A1877" s="3" t="str">
        <f>IF($B1877="","",COUNTA($B$9:$B1877))</f>
        <v/>
      </c>
      <c r="B1877" s="4"/>
      <c r="C1877" s="4"/>
      <c r="D1877" s="4"/>
      <c r="E1877" s="5"/>
      <c r="F1877" s="3" t="str">
        <f t="shared" si="91"/>
        <v/>
      </c>
      <c r="G1877" s="4"/>
      <c r="H1877" s="3" t="str">
        <f t="shared" si="92"/>
        <v/>
      </c>
      <c r="I1877" s="5"/>
      <c r="J1877" s="5"/>
      <c r="K1877" s="6"/>
      <c r="L1877" s="6"/>
      <c r="M1877" s="7" t="str">
        <f t="shared" si="93"/>
        <v/>
      </c>
      <c r="N1877" s="6"/>
      <c r="O1877" s="5"/>
    </row>
    <row r="1878" spans="1:15" x14ac:dyDescent="0.2">
      <c r="A1878" s="3" t="str">
        <f>IF($B1878="","",COUNTA($B$9:$B1878))</f>
        <v/>
      </c>
      <c r="B1878" s="4"/>
      <c r="C1878" s="4"/>
      <c r="D1878" s="4"/>
      <c r="E1878" s="5"/>
      <c r="F1878" s="3" t="str">
        <f t="shared" si="91"/>
        <v/>
      </c>
      <c r="G1878" s="4"/>
      <c r="H1878" s="3" t="str">
        <f t="shared" si="92"/>
        <v/>
      </c>
      <c r="I1878" s="5"/>
      <c r="J1878" s="5"/>
      <c r="K1878" s="6"/>
      <c r="L1878" s="6"/>
      <c r="M1878" s="7" t="str">
        <f t="shared" si="93"/>
        <v/>
      </c>
      <c r="N1878" s="6"/>
      <c r="O1878" s="5"/>
    </row>
    <row r="1879" spans="1:15" x14ac:dyDescent="0.2">
      <c r="A1879" s="3" t="str">
        <f>IF($B1879="","",COUNTA($B$9:$B1879))</f>
        <v/>
      </c>
      <c r="B1879" s="4"/>
      <c r="C1879" s="4"/>
      <c r="D1879" s="4"/>
      <c r="E1879" s="5"/>
      <c r="F1879" s="3" t="str">
        <f t="shared" si="91"/>
        <v/>
      </c>
      <c r="G1879" s="4"/>
      <c r="H1879" s="3" t="str">
        <f t="shared" si="92"/>
        <v/>
      </c>
      <c r="I1879" s="5"/>
      <c r="J1879" s="5"/>
      <c r="K1879" s="6"/>
      <c r="L1879" s="6"/>
      <c r="M1879" s="7" t="str">
        <f t="shared" si="93"/>
        <v/>
      </c>
      <c r="N1879" s="6"/>
      <c r="O1879" s="5"/>
    </row>
    <row r="1880" spans="1:15" x14ac:dyDescent="0.2">
      <c r="A1880" s="3" t="str">
        <f>IF($B1880="","",COUNTA($B$9:$B1880))</f>
        <v/>
      </c>
      <c r="B1880" s="4"/>
      <c r="C1880" s="4"/>
      <c r="D1880" s="4"/>
      <c r="E1880" s="5"/>
      <c r="F1880" s="3" t="str">
        <f t="shared" si="91"/>
        <v/>
      </c>
      <c r="G1880" s="4"/>
      <c r="H1880" s="3" t="str">
        <f t="shared" si="92"/>
        <v/>
      </c>
      <c r="I1880" s="5"/>
      <c r="J1880" s="5"/>
      <c r="K1880" s="6"/>
      <c r="L1880" s="6"/>
      <c r="M1880" s="7" t="str">
        <f t="shared" si="93"/>
        <v/>
      </c>
      <c r="N1880" s="6"/>
      <c r="O1880" s="5"/>
    </row>
    <row r="1881" spans="1:15" x14ac:dyDescent="0.2">
      <c r="A1881" s="3" t="str">
        <f>IF($B1881="","",COUNTA($B$9:$B1881))</f>
        <v/>
      </c>
      <c r="B1881" s="4"/>
      <c r="C1881" s="4"/>
      <c r="D1881" s="4"/>
      <c r="E1881" s="5"/>
      <c r="F1881" s="3" t="str">
        <f t="shared" si="91"/>
        <v/>
      </c>
      <c r="G1881" s="4"/>
      <c r="H1881" s="3" t="str">
        <f t="shared" si="92"/>
        <v/>
      </c>
      <c r="I1881" s="5"/>
      <c r="J1881" s="5"/>
      <c r="K1881" s="6"/>
      <c r="L1881" s="6"/>
      <c r="M1881" s="7" t="str">
        <f t="shared" si="93"/>
        <v/>
      </c>
      <c r="N1881" s="6"/>
      <c r="O1881" s="5"/>
    </row>
    <row r="1882" spans="1:15" x14ac:dyDescent="0.2">
      <c r="A1882" s="3" t="str">
        <f>IF($B1882="","",COUNTA($B$9:$B1882))</f>
        <v/>
      </c>
      <c r="B1882" s="4"/>
      <c r="C1882" s="4"/>
      <c r="D1882" s="4"/>
      <c r="E1882" s="5"/>
      <c r="F1882" s="3" t="str">
        <f t="shared" si="91"/>
        <v/>
      </c>
      <c r="G1882" s="4"/>
      <c r="H1882" s="3" t="str">
        <f t="shared" si="92"/>
        <v/>
      </c>
      <c r="I1882" s="5"/>
      <c r="J1882" s="5"/>
      <c r="K1882" s="6"/>
      <c r="L1882" s="6"/>
      <c r="M1882" s="7" t="str">
        <f t="shared" si="93"/>
        <v/>
      </c>
      <c r="N1882" s="6"/>
      <c r="O1882" s="5"/>
    </row>
    <row r="1883" spans="1:15" x14ac:dyDescent="0.2">
      <c r="A1883" s="3" t="str">
        <f>IF($B1883="","",COUNTA($B$9:$B1883))</f>
        <v/>
      </c>
      <c r="B1883" s="4"/>
      <c r="C1883" s="4"/>
      <c r="D1883" s="4"/>
      <c r="E1883" s="5"/>
      <c r="F1883" s="3" t="str">
        <f t="shared" si="91"/>
        <v/>
      </c>
      <c r="G1883" s="4"/>
      <c r="H1883" s="3" t="str">
        <f t="shared" si="92"/>
        <v/>
      </c>
      <c r="I1883" s="5"/>
      <c r="J1883" s="5"/>
      <c r="K1883" s="6"/>
      <c r="L1883" s="6"/>
      <c r="M1883" s="7" t="str">
        <f t="shared" si="93"/>
        <v/>
      </c>
      <c r="N1883" s="6"/>
      <c r="O1883" s="5"/>
    </row>
    <row r="1884" spans="1:15" x14ac:dyDescent="0.2">
      <c r="A1884" s="3" t="str">
        <f>IF($B1884="","",COUNTA($B$9:$B1884))</f>
        <v/>
      </c>
      <c r="B1884" s="4"/>
      <c r="C1884" s="4"/>
      <c r="D1884" s="4"/>
      <c r="E1884" s="5"/>
      <c r="F1884" s="3" t="str">
        <f t="shared" si="91"/>
        <v/>
      </c>
      <c r="G1884" s="4"/>
      <c r="H1884" s="3" t="str">
        <f t="shared" si="92"/>
        <v/>
      </c>
      <c r="I1884" s="5"/>
      <c r="J1884" s="5"/>
      <c r="K1884" s="6"/>
      <c r="L1884" s="6"/>
      <c r="M1884" s="7" t="str">
        <f t="shared" si="93"/>
        <v/>
      </c>
      <c r="N1884" s="6"/>
      <c r="O1884" s="5"/>
    </row>
    <row r="1885" spans="1:15" x14ac:dyDescent="0.2">
      <c r="A1885" s="3" t="str">
        <f>IF($B1885="","",COUNTA($B$9:$B1885))</f>
        <v/>
      </c>
      <c r="B1885" s="4"/>
      <c r="C1885" s="4"/>
      <c r="D1885" s="4"/>
      <c r="E1885" s="5"/>
      <c r="F1885" s="3" t="str">
        <f t="shared" si="91"/>
        <v/>
      </c>
      <c r="G1885" s="4"/>
      <c r="H1885" s="3" t="str">
        <f t="shared" si="92"/>
        <v/>
      </c>
      <c r="I1885" s="5"/>
      <c r="J1885" s="5"/>
      <c r="K1885" s="6"/>
      <c r="L1885" s="6"/>
      <c r="M1885" s="7" t="str">
        <f t="shared" si="93"/>
        <v/>
      </c>
      <c r="N1885" s="6"/>
      <c r="O1885" s="5"/>
    </row>
    <row r="1886" spans="1:15" x14ac:dyDescent="0.2">
      <c r="A1886" s="3" t="str">
        <f>IF($B1886="","",COUNTA($B$9:$B1886))</f>
        <v/>
      </c>
      <c r="B1886" s="4"/>
      <c r="C1886" s="4"/>
      <c r="D1886" s="4"/>
      <c r="E1886" s="5"/>
      <c r="F1886" s="3" t="str">
        <f t="shared" si="91"/>
        <v/>
      </c>
      <c r="G1886" s="4"/>
      <c r="H1886" s="3" t="str">
        <f t="shared" si="92"/>
        <v/>
      </c>
      <c r="I1886" s="5"/>
      <c r="J1886" s="5"/>
      <c r="K1886" s="6"/>
      <c r="L1886" s="6"/>
      <c r="M1886" s="7" t="str">
        <f t="shared" si="93"/>
        <v/>
      </c>
      <c r="N1886" s="6"/>
      <c r="O1886" s="5"/>
    </row>
    <row r="1887" spans="1:15" x14ac:dyDescent="0.2">
      <c r="A1887" s="3" t="str">
        <f>IF($B1887="","",COUNTA($B$9:$B1887))</f>
        <v/>
      </c>
      <c r="B1887" s="4"/>
      <c r="C1887" s="4"/>
      <c r="D1887" s="4"/>
      <c r="E1887" s="5"/>
      <c r="F1887" s="3" t="str">
        <f t="shared" si="91"/>
        <v/>
      </c>
      <c r="G1887" s="4"/>
      <c r="H1887" s="3" t="str">
        <f t="shared" si="92"/>
        <v/>
      </c>
      <c r="I1887" s="5"/>
      <c r="J1887" s="5"/>
      <c r="K1887" s="6"/>
      <c r="L1887" s="6"/>
      <c r="M1887" s="7" t="str">
        <f t="shared" si="93"/>
        <v/>
      </c>
      <c r="N1887" s="6"/>
      <c r="O1887" s="5"/>
    </row>
    <row r="1888" spans="1:15" x14ac:dyDescent="0.2">
      <c r="A1888" s="3" t="str">
        <f>IF($B1888="","",COUNTA($B$9:$B1888))</f>
        <v/>
      </c>
      <c r="B1888" s="4"/>
      <c r="C1888" s="4"/>
      <c r="D1888" s="4"/>
      <c r="E1888" s="5"/>
      <c r="F1888" s="3" t="str">
        <f t="shared" si="91"/>
        <v/>
      </c>
      <c r="G1888" s="4"/>
      <c r="H1888" s="3" t="str">
        <f t="shared" si="92"/>
        <v/>
      </c>
      <c r="I1888" s="5"/>
      <c r="J1888" s="5"/>
      <c r="K1888" s="6"/>
      <c r="L1888" s="6"/>
      <c r="M1888" s="7" t="str">
        <f t="shared" si="93"/>
        <v/>
      </c>
      <c r="N1888" s="6"/>
      <c r="O1888" s="5"/>
    </row>
    <row r="1889" spans="1:15" x14ac:dyDescent="0.2">
      <c r="A1889" s="3" t="str">
        <f>IF($B1889="","",COUNTA($B$9:$B1889))</f>
        <v/>
      </c>
      <c r="B1889" s="4"/>
      <c r="C1889" s="4"/>
      <c r="D1889" s="4"/>
      <c r="E1889" s="5"/>
      <c r="F1889" s="3" t="str">
        <f t="shared" si="91"/>
        <v/>
      </c>
      <c r="G1889" s="4"/>
      <c r="H1889" s="3" t="str">
        <f t="shared" si="92"/>
        <v/>
      </c>
      <c r="I1889" s="5"/>
      <c r="J1889" s="5"/>
      <c r="K1889" s="6"/>
      <c r="L1889" s="6"/>
      <c r="M1889" s="7" t="str">
        <f t="shared" si="93"/>
        <v/>
      </c>
      <c r="N1889" s="6"/>
      <c r="O1889" s="5"/>
    </row>
    <row r="1890" spans="1:15" x14ac:dyDescent="0.2">
      <c r="A1890" s="3" t="str">
        <f>IF($B1890="","",COUNTA($B$9:$B1890))</f>
        <v/>
      </c>
      <c r="B1890" s="4"/>
      <c r="C1890" s="4"/>
      <c r="D1890" s="4"/>
      <c r="E1890" s="5"/>
      <c r="F1890" s="3" t="str">
        <f t="shared" si="91"/>
        <v/>
      </c>
      <c r="G1890" s="4"/>
      <c r="H1890" s="3" t="str">
        <f t="shared" si="92"/>
        <v/>
      </c>
      <c r="I1890" s="5"/>
      <c r="J1890" s="5"/>
      <c r="K1890" s="6"/>
      <c r="L1890" s="6"/>
      <c r="M1890" s="7" t="str">
        <f t="shared" si="93"/>
        <v/>
      </c>
      <c r="N1890" s="6"/>
      <c r="O1890" s="5"/>
    </row>
    <row r="1891" spans="1:15" x14ac:dyDescent="0.2">
      <c r="A1891" s="3" t="str">
        <f>IF($B1891="","",COUNTA($B$9:$B1891))</f>
        <v/>
      </c>
      <c r="B1891" s="4"/>
      <c r="C1891" s="4"/>
      <c r="D1891" s="4"/>
      <c r="E1891" s="5"/>
      <c r="F1891" s="3" t="str">
        <f t="shared" si="91"/>
        <v/>
      </c>
      <c r="G1891" s="4"/>
      <c r="H1891" s="3" t="str">
        <f t="shared" si="92"/>
        <v/>
      </c>
      <c r="I1891" s="5"/>
      <c r="J1891" s="5"/>
      <c r="K1891" s="6"/>
      <c r="L1891" s="6"/>
      <c r="M1891" s="7" t="str">
        <f t="shared" si="93"/>
        <v/>
      </c>
      <c r="N1891" s="6"/>
      <c r="O1891" s="5"/>
    </row>
    <row r="1892" spans="1:15" x14ac:dyDescent="0.2">
      <c r="A1892" s="3" t="str">
        <f>IF($B1892="","",COUNTA($B$9:$B1892))</f>
        <v/>
      </c>
      <c r="B1892" s="4"/>
      <c r="C1892" s="4"/>
      <c r="D1892" s="4"/>
      <c r="E1892" s="5"/>
      <c r="F1892" s="3" t="str">
        <f t="shared" si="91"/>
        <v/>
      </c>
      <c r="G1892" s="4"/>
      <c r="H1892" s="3" t="str">
        <f t="shared" si="92"/>
        <v/>
      </c>
      <c r="I1892" s="5"/>
      <c r="J1892" s="5"/>
      <c r="K1892" s="6"/>
      <c r="L1892" s="6"/>
      <c r="M1892" s="7" t="str">
        <f t="shared" si="93"/>
        <v/>
      </c>
      <c r="N1892" s="6"/>
      <c r="O1892" s="5"/>
    </row>
    <row r="1893" spans="1:15" x14ac:dyDescent="0.2">
      <c r="A1893" s="3" t="str">
        <f>IF($B1893="","",COUNTA($B$9:$B1893))</f>
        <v/>
      </c>
      <c r="B1893" s="4"/>
      <c r="C1893" s="4"/>
      <c r="D1893" s="4"/>
      <c r="E1893" s="5"/>
      <c r="F1893" s="3" t="str">
        <f t="shared" si="91"/>
        <v/>
      </c>
      <c r="G1893" s="4"/>
      <c r="H1893" s="3" t="str">
        <f t="shared" si="92"/>
        <v/>
      </c>
      <c r="I1893" s="5"/>
      <c r="J1893" s="5"/>
      <c r="K1893" s="6"/>
      <c r="L1893" s="6"/>
      <c r="M1893" s="7" t="str">
        <f t="shared" si="93"/>
        <v/>
      </c>
      <c r="N1893" s="6"/>
      <c r="O1893" s="5"/>
    </row>
    <row r="1894" spans="1:15" x14ac:dyDescent="0.2">
      <c r="A1894" s="3" t="str">
        <f>IF($B1894="","",COUNTA($B$9:$B1894))</f>
        <v/>
      </c>
      <c r="B1894" s="4"/>
      <c r="C1894" s="4"/>
      <c r="D1894" s="4"/>
      <c r="E1894" s="5"/>
      <c r="F1894" s="3" t="str">
        <f t="shared" si="91"/>
        <v/>
      </c>
      <c r="G1894" s="4"/>
      <c r="H1894" s="3" t="str">
        <f t="shared" si="92"/>
        <v/>
      </c>
      <c r="I1894" s="5"/>
      <c r="J1894" s="5"/>
      <c r="K1894" s="6"/>
      <c r="L1894" s="6"/>
      <c r="M1894" s="7" t="str">
        <f t="shared" si="93"/>
        <v/>
      </c>
      <c r="N1894" s="6"/>
      <c r="O1894" s="5"/>
    </row>
    <row r="1895" spans="1:15" x14ac:dyDescent="0.2">
      <c r="A1895" s="3" t="str">
        <f>IF($B1895="","",COUNTA($B$9:$B1895))</f>
        <v/>
      </c>
      <c r="B1895" s="4"/>
      <c r="C1895" s="4"/>
      <c r="D1895" s="4"/>
      <c r="E1895" s="5"/>
      <c r="F1895" s="3" t="str">
        <f t="shared" si="91"/>
        <v/>
      </c>
      <c r="G1895" s="4"/>
      <c r="H1895" s="3" t="str">
        <f t="shared" si="92"/>
        <v/>
      </c>
      <c r="I1895" s="5"/>
      <c r="J1895" s="5"/>
      <c r="K1895" s="6"/>
      <c r="L1895" s="6"/>
      <c r="M1895" s="7" t="str">
        <f t="shared" si="93"/>
        <v/>
      </c>
      <c r="N1895" s="6"/>
      <c r="O1895" s="5"/>
    </row>
    <row r="1896" spans="1:15" x14ac:dyDescent="0.2">
      <c r="A1896" s="3" t="str">
        <f>IF($B1896="","",COUNTA($B$9:$B1896))</f>
        <v/>
      </c>
      <c r="B1896" s="4"/>
      <c r="C1896" s="4"/>
      <c r="D1896" s="4"/>
      <c r="E1896" s="5"/>
      <c r="F1896" s="3" t="str">
        <f t="shared" si="91"/>
        <v/>
      </c>
      <c r="G1896" s="4"/>
      <c r="H1896" s="3" t="str">
        <f t="shared" si="92"/>
        <v/>
      </c>
      <c r="I1896" s="5"/>
      <c r="J1896" s="5"/>
      <c r="K1896" s="6"/>
      <c r="L1896" s="6"/>
      <c r="M1896" s="7" t="str">
        <f t="shared" si="93"/>
        <v/>
      </c>
      <c r="N1896" s="6"/>
      <c r="O1896" s="5"/>
    </row>
    <row r="1897" spans="1:15" x14ac:dyDescent="0.2">
      <c r="A1897" s="3" t="str">
        <f>IF($B1897="","",COUNTA($B$9:$B1897))</f>
        <v/>
      </c>
      <c r="B1897" s="4"/>
      <c r="C1897" s="4"/>
      <c r="D1897" s="4"/>
      <c r="E1897" s="5"/>
      <c r="F1897" s="3" t="str">
        <f t="shared" si="91"/>
        <v/>
      </c>
      <c r="G1897" s="4"/>
      <c r="H1897" s="3" t="str">
        <f t="shared" si="92"/>
        <v/>
      </c>
      <c r="I1897" s="5"/>
      <c r="J1897" s="5"/>
      <c r="K1897" s="6"/>
      <c r="L1897" s="6"/>
      <c r="M1897" s="7" t="str">
        <f t="shared" si="93"/>
        <v/>
      </c>
      <c r="N1897" s="6"/>
      <c r="O1897" s="5"/>
    </row>
    <row r="1898" spans="1:15" x14ac:dyDescent="0.2">
      <c r="A1898" s="3" t="str">
        <f>IF($B1898="","",COUNTA($B$9:$B1898))</f>
        <v/>
      </c>
      <c r="B1898" s="4"/>
      <c r="C1898" s="4"/>
      <c r="D1898" s="4"/>
      <c r="E1898" s="5"/>
      <c r="F1898" s="3" t="str">
        <f t="shared" si="91"/>
        <v/>
      </c>
      <c r="G1898" s="4"/>
      <c r="H1898" s="3" t="str">
        <f t="shared" si="92"/>
        <v/>
      </c>
      <c r="I1898" s="5"/>
      <c r="J1898" s="5"/>
      <c r="K1898" s="6"/>
      <c r="L1898" s="6"/>
      <c r="M1898" s="7" t="str">
        <f t="shared" si="93"/>
        <v/>
      </c>
      <c r="N1898" s="6"/>
      <c r="O1898" s="5"/>
    </row>
    <row r="1899" spans="1:15" x14ac:dyDescent="0.2">
      <c r="A1899" s="3" t="str">
        <f>IF($B1899="","",COUNTA($B$9:$B1899))</f>
        <v/>
      </c>
      <c r="B1899" s="4"/>
      <c r="C1899" s="4"/>
      <c r="D1899" s="4"/>
      <c r="E1899" s="5"/>
      <c r="F1899" s="3" t="str">
        <f t="shared" si="91"/>
        <v/>
      </c>
      <c r="G1899" s="4"/>
      <c r="H1899" s="3" t="str">
        <f t="shared" si="92"/>
        <v/>
      </c>
      <c r="I1899" s="5"/>
      <c r="J1899" s="5"/>
      <c r="K1899" s="6"/>
      <c r="L1899" s="6"/>
      <c r="M1899" s="7" t="str">
        <f t="shared" si="93"/>
        <v/>
      </c>
      <c r="N1899" s="6"/>
      <c r="O1899" s="5"/>
    </row>
    <row r="1900" spans="1:15" x14ac:dyDescent="0.2">
      <c r="A1900" s="3" t="str">
        <f>IF($B1900="","",COUNTA($B$9:$B1900))</f>
        <v/>
      </c>
      <c r="B1900" s="4"/>
      <c r="C1900" s="4"/>
      <c r="D1900" s="4"/>
      <c r="E1900" s="5"/>
      <c r="F1900" s="3" t="str">
        <f t="shared" si="91"/>
        <v/>
      </c>
      <c r="G1900" s="4"/>
      <c r="H1900" s="3" t="str">
        <f t="shared" si="92"/>
        <v/>
      </c>
      <c r="I1900" s="5"/>
      <c r="J1900" s="5"/>
      <c r="K1900" s="6"/>
      <c r="L1900" s="6"/>
      <c r="M1900" s="7" t="str">
        <f t="shared" si="93"/>
        <v/>
      </c>
      <c r="N1900" s="6"/>
      <c r="O1900" s="5"/>
    </row>
    <row r="1901" spans="1:15" x14ac:dyDescent="0.2">
      <c r="A1901" s="3" t="str">
        <f>IF($B1901="","",COUNTA($B$9:$B1901))</f>
        <v/>
      </c>
      <c r="B1901" s="4"/>
      <c r="C1901" s="4"/>
      <c r="D1901" s="4"/>
      <c r="E1901" s="5"/>
      <c r="F1901" s="3" t="str">
        <f t="shared" si="91"/>
        <v/>
      </c>
      <c r="G1901" s="4"/>
      <c r="H1901" s="3" t="str">
        <f t="shared" si="92"/>
        <v/>
      </c>
      <c r="I1901" s="5"/>
      <c r="J1901" s="5"/>
      <c r="K1901" s="6"/>
      <c r="L1901" s="6"/>
      <c r="M1901" s="7" t="str">
        <f t="shared" si="93"/>
        <v/>
      </c>
      <c r="N1901" s="6"/>
      <c r="O1901" s="5"/>
    </row>
    <row r="1902" spans="1:15" x14ac:dyDescent="0.2">
      <c r="A1902" s="3" t="str">
        <f>IF($B1902="","",COUNTA($B$9:$B1902))</f>
        <v/>
      </c>
      <c r="B1902" s="4"/>
      <c r="C1902" s="4"/>
      <c r="D1902" s="4"/>
      <c r="E1902" s="5"/>
      <c r="F1902" s="3" t="str">
        <f t="shared" si="91"/>
        <v/>
      </c>
      <c r="G1902" s="4"/>
      <c r="H1902" s="3" t="str">
        <f t="shared" si="92"/>
        <v/>
      </c>
      <c r="I1902" s="5"/>
      <c r="J1902" s="5"/>
      <c r="K1902" s="6"/>
      <c r="L1902" s="6"/>
      <c r="M1902" s="7" t="str">
        <f t="shared" si="93"/>
        <v/>
      </c>
      <c r="N1902" s="6"/>
      <c r="O1902" s="5"/>
    </row>
    <row r="1903" spans="1:15" x14ac:dyDescent="0.2">
      <c r="A1903" s="3" t="str">
        <f>IF($B1903="","",COUNTA($B$9:$B1903))</f>
        <v/>
      </c>
      <c r="B1903" s="4"/>
      <c r="C1903" s="4"/>
      <c r="D1903" s="4"/>
      <c r="E1903" s="5"/>
      <c r="F1903" s="3" t="str">
        <f t="shared" si="91"/>
        <v/>
      </c>
      <c r="G1903" s="4"/>
      <c r="H1903" s="3" t="str">
        <f t="shared" si="92"/>
        <v/>
      </c>
      <c r="I1903" s="5"/>
      <c r="J1903" s="5"/>
      <c r="K1903" s="6"/>
      <c r="L1903" s="6"/>
      <c r="M1903" s="7" t="str">
        <f t="shared" si="93"/>
        <v/>
      </c>
      <c r="N1903" s="6"/>
      <c r="O1903" s="5"/>
    </row>
    <row r="1904" spans="1:15" x14ac:dyDescent="0.2">
      <c r="A1904" s="3" t="str">
        <f>IF($B1904="","",COUNTA($B$9:$B1904))</f>
        <v/>
      </c>
      <c r="B1904" s="4"/>
      <c r="C1904" s="4"/>
      <c r="D1904" s="4"/>
      <c r="E1904" s="5"/>
      <c r="F1904" s="3" t="str">
        <f t="shared" si="91"/>
        <v/>
      </c>
      <c r="G1904" s="4"/>
      <c r="H1904" s="3" t="str">
        <f t="shared" si="92"/>
        <v/>
      </c>
      <c r="I1904" s="5"/>
      <c r="J1904" s="5"/>
      <c r="K1904" s="6"/>
      <c r="L1904" s="6"/>
      <c r="M1904" s="7" t="str">
        <f t="shared" si="93"/>
        <v/>
      </c>
      <c r="N1904" s="6"/>
      <c r="O1904" s="5"/>
    </row>
    <row r="1905" spans="1:15" x14ac:dyDescent="0.2">
      <c r="A1905" s="3" t="str">
        <f>IF($B1905="","",COUNTA($B$9:$B1905))</f>
        <v/>
      </c>
      <c r="B1905" s="4"/>
      <c r="C1905" s="4"/>
      <c r="D1905" s="4"/>
      <c r="E1905" s="5"/>
      <c r="F1905" s="3" t="str">
        <f t="shared" si="91"/>
        <v/>
      </c>
      <c r="G1905" s="4"/>
      <c r="H1905" s="3" t="str">
        <f t="shared" si="92"/>
        <v/>
      </c>
      <c r="I1905" s="5"/>
      <c r="J1905" s="5"/>
      <c r="K1905" s="6"/>
      <c r="L1905" s="6"/>
      <c r="M1905" s="7" t="str">
        <f t="shared" si="93"/>
        <v/>
      </c>
      <c r="N1905" s="6"/>
      <c r="O1905" s="5"/>
    </row>
    <row r="1906" spans="1:15" x14ac:dyDescent="0.2">
      <c r="A1906" s="3" t="str">
        <f>IF($B1906="","",COUNTA($B$9:$B1906))</f>
        <v/>
      </c>
      <c r="B1906" s="4"/>
      <c r="C1906" s="4"/>
      <c r="D1906" s="4"/>
      <c r="E1906" s="5"/>
      <c r="F1906" s="3" t="str">
        <f t="shared" si="91"/>
        <v/>
      </c>
      <c r="G1906" s="4"/>
      <c r="H1906" s="3" t="str">
        <f t="shared" si="92"/>
        <v/>
      </c>
      <c r="I1906" s="5"/>
      <c r="J1906" s="5"/>
      <c r="K1906" s="6"/>
      <c r="L1906" s="6"/>
      <c r="M1906" s="7" t="str">
        <f t="shared" si="93"/>
        <v/>
      </c>
      <c r="N1906" s="6"/>
      <c r="O1906" s="5"/>
    </row>
    <row r="1907" spans="1:15" x14ac:dyDescent="0.2">
      <c r="A1907" s="3" t="str">
        <f>IF($B1907="","",COUNTA($B$9:$B1907))</f>
        <v/>
      </c>
      <c r="B1907" s="4"/>
      <c r="C1907" s="4"/>
      <c r="D1907" s="4"/>
      <c r="E1907" s="5"/>
      <c r="F1907" s="3" t="str">
        <f t="shared" si="91"/>
        <v/>
      </c>
      <c r="G1907" s="4"/>
      <c r="H1907" s="3" t="str">
        <f t="shared" si="92"/>
        <v/>
      </c>
      <c r="I1907" s="5"/>
      <c r="J1907" s="5"/>
      <c r="K1907" s="6"/>
      <c r="L1907" s="6"/>
      <c r="M1907" s="7" t="str">
        <f t="shared" si="93"/>
        <v/>
      </c>
      <c r="N1907" s="6"/>
      <c r="O1907" s="5"/>
    </row>
    <row r="1908" spans="1:15" x14ac:dyDescent="0.2">
      <c r="A1908" s="3" t="str">
        <f>IF($B1908="","",COUNTA($B$9:$B1908))</f>
        <v/>
      </c>
      <c r="B1908" s="4"/>
      <c r="C1908" s="4"/>
      <c r="D1908" s="4"/>
      <c r="E1908" s="5"/>
      <c r="F1908" s="3" t="str">
        <f t="shared" si="91"/>
        <v/>
      </c>
      <c r="G1908" s="4"/>
      <c r="H1908" s="3" t="str">
        <f t="shared" si="92"/>
        <v/>
      </c>
      <c r="I1908" s="5"/>
      <c r="J1908" s="5"/>
      <c r="K1908" s="6"/>
      <c r="L1908" s="6"/>
      <c r="M1908" s="7" t="str">
        <f t="shared" si="93"/>
        <v/>
      </c>
      <c r="N1908" s="6"/>
      <c r="O1908" s="5"/>
    </row>
    <row r="1909" spans="1:15" x14ac:dyDescent="0.2">
      <c r="A1909" s="3" t="str">
        <f>IF($B1909="","",COUNTA($B$9:$B1909))</f>
        <v/>
      </c>
      <c r="B1909" s="4"/>
      <c r="C1909" s="4"/>
      <c r="D1909" s="4"/>
      <c r="E1909" s="5"/>
      <c r="F1909" s="3" t="str">
        <f t="shared" si="91"/>
        <v/>
      </c>
      <c r="G1909" s="4"/>
      <c r="H1909" s="3" t="str">
        <f t="shared" si="92"/>
        <v/>
      </c>
      <c r="I1909" s="5"/>
      <c r="J1909" s="5"/>
      <c r="K1909" s="6"/>
      <c r="L1909" s="6"/>
      <c r="M1909" s="7" t="str">
        <f t="shared" si="93"/>
        <v/>
      </c>
      <c r="N1909" s="6"/>
      <c r="O1909" s="5"/>
    </row>
    <row r="1910" spans="1:15" x14ac:dyDescent="0.2">
      <c r="A1910" s="3" t="str">
        <f>IF($B1910="","",COUNTA($B$9:$B1910))</f>
        <v/>
      </c>
      <c r="B1910" s="4"/>
      <c r="C1910" s="4"/>
      <c r="D1910" s="4"/>
      <c r="E1910" s="5"/>
      <c r="F1910" s="3" t="str">
        <f t="shared" si="91"/>
        <v/>
      </c>
      <c r="G1910" s="4"/>
      <c r="H1910" s="3" t="str">
        <f t="shared" si="92"/>
        <v/>
      </c>
      <c r="I1910" s="5"/>
      <c r="J1910" s="5"/>
      <c r="K1910" s="6"/>
      <c r="L1910" s="6"/>
      <c r="M1910" s="7" t="str">
        <f t="shared" si="93"/>
        <v/>
      </c>
      <c r="N1910" s="6"/>
      <c r="O1910" s="5"/>
    </row>
    <row r="1911" spans="1:15" x14ac:dyDescent="0.2">
      <c r="A1911" s="3" t="str">
        <f>IF($B1911="","",COUNTA($B$9:$B1911))</f>
        <v/>
      </c>
      <c r="B1911" s="4"/>
      <c r="C1911" s="4"/>
      <c r="D1911" s="4"/>
      <c r="E1911" s="5"/>
      <c r="F1911" s="3" t="str">
        <f t="shared" si="91"/>
        <v/>
      </c>
      <c r="G1911" s="4"/>
      <c r="H1911" s="3" t="str">
        <f t="shared" si="92"/>
        <v/>
      </c>
      <c r="I1911" s="5"/>
      <c r="J1911" s="5"/>
      <c r="K1911" s="6"/>
      <c r="L1911" s="6"/>
      <c r="M1911" s="7" t="str">
        <f t="shared" si="93"/>
        <v/>
      </c>
      <c r="N1911" s="6"/>
      <c r="O1911" s="5"/>
    </row>
    <row r="1912" spans="1:15" x14ac:dyDescent="0.2">
      <c r="A1912" s="3" t="str">
        <f>IF($B1912="","",COUNTA($B$9:$B1912))</f>
        <v/>
      </c>
      <c r="B1912" s="4"/>
      <c r="C1912" s="4"/>
      <c r="D1912" s="4"/>
      <c r="E1912" s="5"/>
      <c r="F1912" s="3" t="str">
        <f t="shared" si="91"/>
        <v/>
      </c>
      <c r="G1912" s="4"/>
      <c r="H1912" s="3" t="str">
        <f t="shared" si="92"/>
        <v/>
      </c>
      <c r="I1912" s="5"/>
      <c r="J1912" s="5"/>
      <c r="K1912" s="6"/>
      <c r="L1912" s="6"/>
      <c r="M1912" s="7" t="str">
        <f t="shared" si="93"/>
        <v/>
      </c>
      <c r="N1912" s="6"/>
      <c r="O1912" s="5"/>
    </row>
    <row r="1913" spans="1:15" x14ac:dyDescent="0.2">
      <c r="A1913" s="3" t="str">
        <f>IF($B1913="","",COUNTA($B$9:$B1913))</f>
        <v/>
      </c>
      <c r="B1913" s="4"/>
      <c r="C1913" s="4"/>
      <c r="D1913" s="4"/>
      <c r="E1913" s="5"/>
      <c r="F1913" s="3" t="str">
        <f t="shared" si="91"/>
        <v/>
      </c>
      <c r="G1913" s="4"/>
      <c r="H1913" s="3" t="str">
        <f t="shared" si="92"/>
        <v/>
      </c>
      <c r="I1913" s="5"/>
      <c r="J1913" s="5"/>
      <c r="K1913" s="6"/>
      <c r="L1913" s="6"/>
      <c r="M1913" s="7" t="str">
        <f t="shared" si="93"/>
        <v/>
      </c>
      <c r="N1913" s="6"/>
      <c r="O1913" s="5"/>
    </row>
    <row r="1914" spans="1:15" x14ac:dyDescent="0.2">
      <c r="A1914" s="3" t="str">
        <f>IF($B1914="","",COUNTA($B$9:$B1914))</f>
        <v/>
      </c>
      <c r="B1914" s="4"/>
      <c r="C1914" s="4"/>
      <c r="D1914" s="4"/>
      <c r="E1914" s="5"/>
      <c r="F1914" s="3" t="str">
        <f t="shared" si="91"/>
        <v/>
      </c>
      <c r="G1914" s="4"/>
      <c r="H1914" s="3" t="str">
        <f t="shared" si="92"/>
        <v/>
      </c>
      <c r="I1914" s="5"/>
      <c r="J1914" s="5"/>
      <c r="K1914" s="6"/>
      <c r="L1914" s="6"/>
      <c r="M1914" s="7" t="str">
        <f t="shared" si="93"/>
        <v/>
      </c>
      <c r="N1914" s="6"/>
      <c r="O1914" s="5"/>
    </row>
    <row r="1915" spans="1:15" x14ac:dyDescent="0.2">
      <c r="A1915" s="3" t="str">
        <f>IF($B1915="","",COUNTA($B$9:$B1915))</f>
        <v/>
      </c>
      <c r="B1915" s="4"/>
      <c r="C1915" s="4"/>
      <c r="D1915" s="4"/>
      <c r="E1915" s="5"/>
      <c r="F1915" s="3" t="str">
        <f t="shared" si="91"/>
        <v/>
      </c>
      <c r="G1915" s="4"/>
      <c r="H1915" s="3" t="str">
        <f t="shared" si="92"/>
        <v/>
      </c>
      <c r="I1915" s="5"/>
      <c r="J1915" s="5"/>
      <c r="K1915" s="6"/>
      <c r="L1915" s="6"/>
      <c r="M1915" s="7" t="str">
        <f t="shared" si="93"/>
        <v/>
      </c>
      <c r="N1915" s="6"/>
      <c r="O1915" s="5"/>
    </row>
    <row r="1916" spans="1:15" x14ac:dyDescent="0.2">
      <c r="A1916" s="3" t="str">
        <f>IF($B1916="","",COUNTA($B$9:$B1916))</f>
        <v/>
      </c>
      <c r="B1916" s="4"/>
      <c r="C1916" s="4"/>
      <c r="D1916" s="4"/>
      <c r="E1916" s="5"/>
      <c r="F1916" s="3" t="str">
        <f t="shared" si="91"/>
        <v/>
      </c>
      <c r="G1916" s="4"/>
      <c r="H1916" s="3" t="str">
        <f t="shared" si="92"/>
        <v/>
      </c>
      <c r="I1916" s="5"/>
      <c r="J1916" s="5"/>
      <c r="K1916" s="6"/>
      <c r="L1916" s="6"/>
      <c r="M1916" s="7" t="str">
        <f t="shared" si="93"/>
        <v/>
      </c>
      <c r="N1916" s="6"/>
      <c r="O1916" s="5"/>
    </row>
    <row r="1917" spans="1:15" x14ac:dyDescent="0.2">
      <c r="A1917" s="3" t="str">
        <f>IF($B1917="","",COUNTA($B$9:$B1917))</f>
        <v/>
      </c>
      <c r="B1917" s="4"/>
      <c r="C1917" s="4"/>
      <c r="D1917" s="4"/>
      <c r="E1917" s="5"/>
      <c r="F1917" s="3" t="str">
        <f t="shared" si="91"/>
        <v/>
      </c>
      <c r="G1917" s="4"/>
      <c r="H1917" s="3" t="str">
        <f t="shared" si="92"/>
        <v/>
      </c>
      <c r="I1917" s="5"/>
      <c r="J1917" s="5"/>
      <c r="K1917" s="6"/>
      <c r="L1917" s="6"/>
      <c r="M1917" s="7" t="str">
        <f t="shared" si="93"/>
        <v/>
      </c>
      <c r="N1917" s="6"/>
      <c r="O1917" s="5"/>
    </row>
    <row r="1918" spans="1:15" x14ac:dyDescent="0.2">
      <c r="A1918" s="3" t="str">
        <f>IF($B1918="","",COUNTA($B$9:$B1918))</f>
        <v/>
      </c>
      <c r="B1918" s="4"/>
      <c r="C1918" s="4"/>
      <c r="D1918" s="4"/>
      <c r="E1918" s="5"/>
      <c r="F1918" s="3" t="str">
        <f t="shared" si="91"/>
        <v/>
      </c>
      <c r="G1918" s="4"/>
      <c r="H1918" s="3" t="str">
        <f t="shared" si="92"/>
        <v/>
      </c>
      <c r="I1918" s="5"/>
      <c r="J1918" s="5"/>
      <c r="K1918" s="6"/>
      <c r="L1918" s="6"/>
      <c r="M1918" s="7" t="str">
        <f t="shared" si="93"/>
        <v/>
      </c>
      <c r="N1918" s="6"/>
      <c r="O1918" s="5"/>
    </row>
    <row r="1919" spans="1:15" x14ac:dyDescent="0.2">
      <c r="A1919" s="3" t="str">
        <f>IF($B1919="","",COUNTA($B$9:$B1919))</f>
        <v/>
      </c>
      <c r="B1919" s="4"/>
      <c r="C1919" s="4"/>
      <c r="D1919" s="4"/>
      <c r="E1919" s="5"/>
      <c r="F1919" s="3" t="str">
        <f t="shared" si="91"/>
        <v/>
      </c>
      <c r="G1919" s="4"/>
      <c r="H1919" s="3" t="str">
        <f t="shared" si="92"/>
        <v/>
      </c>
      <c r="I1919" s="5"/>
      <c r="J1919" s="5"/>
      <c r="K1919" s="6"/>
      <c r="L1919" s="6"/>
      <c r="M1919" s="7" t="str">
        <f t="shared" si="93"/>
        <v/>
      </c>
      <c r="N1919" s="6"/>
      <c r="O1919" s="5"/>
    </row>
    <row r="1920" spans="1:15" x14ac:dyDescent="0.2">
      <c r="A1920" s="3" t="str">
        <f>IF($B1920="","",COUNTA($B$9:$B1920))</f>
        <v/>
      </c>
      <c r="B1920" s="4"/>
      <c r="C1920" s="4"/>
      <c r="D1920" s="4"/>
      <c r="E1920" s="5"/>
      <c r="F1920" s="3" t="str">
        <f t="shared" si="91"/>
        <v/>
      </c>
      <c r="G1920" s="4"/>
      <c r="H1920" s="3" t="str">
        <f t="shared" si="92"/>
        <v/>
      </c>
      <c r="I1920" s="5"/>
      <c r="J1920" s="5"/>
      <c r="K1920" s="6"/>
      <c r="L1920" s="6"/>
      <c r="M1920" s="7" t="str">
        <f t="shared" si="93"/>
        <v/>
      </c>
      <c r="N1920" s="6"/>
      <c r="O1920" s="5"/>
    </row>
    <row r="1921" spans="1:15" x14ac:dyDescent="0.2">
      <c r="A1921" s="3" t="str">
        <f>IF($B1921="","",COUNTA($B$9:$B1921))</f>
        <v/>
      </c>
      <c r="B1921" s="4"/>
      <c r="C1921" s="4"/>
      <c r="D1921" s="4"/>
      <c r="E1921" s="5"/>
      <c r="F1921" s="3" t="str">
        <f t="shared" si="91"/>
        <v/>
      </c>
      <c r="G1921" s="4"/>
      <c r="H1921" s="3" t="str">
        <f t="shared" si="92"/>
        <v/>
      </c>
      <c r="I1921" s="5"/>
      <c r="J1921" s="5"/>
      <c r="K1921" s="6"/>
      <c r="L1921" s="6"/>
      <c r="M1921" s="7" t="str">
        <f t="shared" si="93"/>
        <v/>
      </c>
      <c r="N1921" s="6"/>
      <c r="O1921" s="5"/>
    </row>
    <row r="1922" spans="1:15" x14ac:dyDescent="0.2">
      <c r="A1922" s="3" t="str">
        <f>IF($B1922="","",COUNTA($B$9:$B1922))</f>
        <v/>
      </c>
      <c r="B1922" s="4"/>
      <c r="C1922" s="4"/>
      <c r="D1922" s="4"/>
      <c r="E1922" s="5"/>
      <c r="F1922" s="3" t="str">
        <f t="shared" si="91"/>
        <v/>
      </c>
      <c r="G1922" s="4"/>
      <c r="H1922" s="3" t="str">
        <f t="shared" si="92"/>
        <v/>
      </c>
      <c r="I1922" s="5"/>
      <c r="J1922" s="5"/>
      <c r="K1922" s="6"/>
      <c r="L1922" s="6"/>
      <c r="M1922" s="7" t="str">
        <f t="shared" si="93"/>
        <v/>
      </c>
      <c r="N1922" s="6"/>
      <c r="O1922" s="5"/>
    </row>
    <row r="1923" spans="1:15" x14ac:dyDescent="0.2">
      <c r="A1923" s="3" t="str">
        <f>IF($B1923="","",COUNTA($B$9:$B1923))</f>
        <v/>
      </c>
      <c r="B1923" s="4"/>
      <c r="C1923" s="4"/>
      <c r="D1923" s="4"/>
      <c r="E1923" s="5"/>
      <c r="F1923" s="3" t="str">
        <f t="shared" si="91"/>
        <v/>
      </c>
      <c r="G1923" s="4"/>
      <c r="H1923" s="3" t="str">
        <f t="shared" si="92"/>
        <v/>
      </c>
      <c r="I1923" s="5"/>
      <c r="J1923" s="5"/>
      <c r="K1923" s="6"/>
      <c r="L1923" s="6"/>
      <c r="M1923" s="7" t="str">
        <f t="shared" si="93"/>
        <v/>
      </c>
      <c r="N1923" s="6"/>
      <c r="O1923" s="5"/>
    </row>
    <row r="1924" spans="1:15" x14ac:dyDescent="0.2">
      <c r="A1924" s="3" t="str">
        <f>IF($B1924="","",COUNTA($B$9:$B1924))</f>
        <v/>
      </c>
      <c r="B1924" s="4"/>
      <c r="C1924" s="4"/>
      <c r="D1924" s="4"/>
      <c r="E1924" s="5"/>
      <c r="F1924" s="3" t="str">
        <f t="shared" si="91"/>
        <v/>
      </c>
      <c r="G1924" s="4"/>
      <c r="H1924" s="3" t="str">
        <f t="shared" si="92"/>
        <v/>
      </c>
      <c r="I1924" s="5"/>
      <c r="J1924" s="5"/>
      <c r="K1924" s="6"/>
      <c r="L1924" s="6"/>
      <c r="M1924" s="7" t="str">
        <f t="shared" si="93"/>
        <v/>
      </c>
      <c r="N1924" s="6"/>
      <c r="O1924" s="5"/>
    </row>
    <row r="1925" spans="1:15" x14ac:dyDescent="0.2">
      <c r="A1925" s="3" t="str">
        <f>IF($B1925="","",COUNTA($B$9:$B1925))</f>
        <v/>
      </c>
      <c r="B1925" s="4"/>
      <c r="C1925" s="4"/>
      <c r="D1925" s="4"/>
      <c r="E1925" s="5"/>
      <c r="F1925" s="3" t="str">
        <f t="shared" si="91"/>
        <v/>
      </c>
      <c r="G1925" s="4"/>
      <c r="H1925" s="3" t="str">
        <f t="shared" si="92"/>
        <v/>
      </c>
      <c r="I1925" s="5"/>
      <c r="J1925" s="5"/>
      <c r="K1925" s="6"/>
      <c r="L1925" s="6"/>
      <c r="M1925" s="7" t="str">
        <f t="shared" si="93"/>
        <v/>
      </c>
      <c r="N1925" s="6"/>
      <c r="O1925" s="5"/>
    </row>
    <row r="1926" spans="1:15" x14ac:dyDescent="0.2">
      <c r="A1926" s="3" t="str">
        <f>IF($B1926="","",COUNTA($B$9:$B1926))</f>
        <v/>
      </c>
      <c r="B1926" s="4"/>
      <c r="C1926" s="4"/>
      <c r="D1926" s="4"/>
      <c r="E1926" s="5"/>
      <c r="F1926" s="3" t="str">
        <f t="shared" si="91"/>
        <v/>
      </c>
      <c r="G1926" s="4"/>
      <c r="H1926" s="3" t="str">
        <f t="shared" si="92"/>
        <v/>
      </c>
      <c r="I1926" s="5"/>
      <c r="J1926" s="5"/>
      <c r="K1926" s="6"/>
      <c r="L1926" s="6"/>
      <c r="M1926" s="7" t="str">
        <f t="shared" si="93"/>
        <v/>
      </c>
      <c r="N1926" s="6"/>
      <c r="O1926" s="5"/>
    </row>
    <row r="1927" spans="1:15" x14ac:dyDescent="0.2">
      <c r="A1927" s="3" t="str">
        <f>IF($B1927="","",COUNTA($B$9:$B1927))</f>
        <v/>
      </c>
      <c r="B1927" s="4"/>
      <c r="C1927" s="4"/>
      <c r="D1927" s="4"/>
      <c r="E1927" s="5"/>
      <c r="F1927" s="3" t="str">
        <f t="shared" si="91"/>
        <v/>
      </c>
      <c r="G1927" s="4"/>
      <c r="H1927" s="3" t="str">
        <f t="shared" si="92"/>
        <v/>
      </c>
      <c r="I1927" s="5"/>
      <c r="J1927" s="5"/>
      <c r="K1927" s="6"/>
      <c r="L1927" s="6"/>
      <c r="M1927" s="7" t="str">
        <f t="shared" si="93"/>
        <v/>
      </c>
      <c r="N1927" s="6"/>
      <c r="O1927" s="5"/>
    </row>
    <row r="1928" spans="1:15" x14ac:dyDescent="0.2">
      <c r="A1928" s="3" t="str">
        <f>IF($B1928="","",COUNTA($B$9:$B1928))</f>
        <v/>
      </c>
      <c r="B1928" s="4"/>
      <c r="C1928" s="4"/>
      <c r="D1928" s="4"/>
      <c r="E1928" s="5"/>
      <c r="F1928" s="3" t="str">
        <f t="shared" ref="F1928:F1991" si="94">IF($E1928="","",IFERROR(VLOOKUP($E1928,OpTbl,2,0),""))</f>
        <v/>
      </c>
      <c r="G1928" s="4"/>
      <c r="H1928" s="3" t="str">
        <f t="shared" ref="H1928:H1991" si="95">IF($G1928="","",IFERROR(IF(VLOOKUP($G1928,AcctTbl,4,0)="","(بدون نام)",VLOOKUP($G1928,AcctTbl,4,0)),"کد ناشناخته"))</f>
        <v/>
      </c>
      <c r="I1928" s="5"/>
      <c r="J1928" s="5"/>
      <c r="K1928" s="6"/>
      <c r="L1928" s="6"/>
      <c r="M1928" s="7" t="str">
        <f t="shared" ref="M1928:M1991" si="96">IF(OR($B1928="",$K1928=""),"",($K1928-IF($L1928="",0,$L1928)*IFERROR(VLOOKUP("P01",ParamTbl,3,0),1.5))*(1-IF(IFERROR(VLOOKUP($E1928,OpTbl,3,0),"")="خرید",IFERROR(VLOOKUP("P02",ParamTbl,3,0),1),0)/100))</f>
        <v/>
      </c>
      <c r="N1928" s="6"/>
      <c r="O1928" s="5"/>
    </row>
    <row r="1929" spans="1:15" x14ac:dyDescent="0.2">
      <c r="A1929" s="3" t="str">
        <f>IF($B1929="","",COUNTA($B$9:$B1929))</f>
        <v/>
      </c>
      <c r="B1929" s="4"/>
      <c r="C1929" s="4"/>
      <c r="D1929" s="4"/>
      <c r="E1929" s="5"/>
      <c r="F1929" s="3" t="str">
        <f t="shared" si="94"/>
        <v/>
      </c>
      <c r="G1929" s="4"/>
      <c r="H1929" s="3" t="str">
        <f t="shared" si="95"/>
        <v/>
      </c>
      <c r="I1929" s="5"/>
      <c r="J1929" s="5"/>
      <c r="K1929" s="6"/>
      <c r="L1929" s="6"/>
      <c r="M1929" s="7" t="str">
        <f t="shared" si="96"/>
        <v/>
      </c>
      <c r="N1929" s="6"/>
      <c r="O1929" s="5"/>
    </row>
    <row r="1930" spans="1:15" x14ac:dyDescent="0.2">
      <c r="A1930" s="3" t="str">
        <f>IF($B1930="","",COUNTA($B$9:$B1930))</f>
        <v/>
      </c>
      <c r="B1930" s="4"/>
      <c r="C1930" s="4"/>
      <c r="D1930" s="4"/>
      <c r="E1930" s="5"/>
      <c r="F1930" s="3" t="str">
        <f t="shared" si="94"/>
        <v/>
      </c>
      <c r="G1930" s="4"/>
      <c r="H1930" s="3" t="str">
        <f t="shared" si="95"/>
        <v/>
      </c>
      <c r="I1930" s="5"/>
      <c r="J1930" s="5"/>
      <c r="K1930" s="6"/>
      <c r="L1930" s="6"/>
      <c r="M1930" s="7" t="str">
        <f t="shared" si="96"/>
        <v/>
      </c>
      <c r="N1930" s="6"/>
      <c r="O1930" s="5"/>
    </row>
    <row r="1931" spans="1:15" x14ac:dyDescent="0.2">
      <c r="A1931" s="3" t="str">
        <f>IF($B1931="","",COUNTA($B$9:$B1931))</f>
        <v/>
      </c>
      <c r="B1931" s="4"/>
      <c r="C1931" s="4"/>
      <c r="D1931" s="4"/>
      <c r="E1931" s="5"/>
      <c r="F1931" s="3" t="str">
        <f t="shared" si="94"/>
        <v/>
      </c>
      <c r="G1931" s="4"/>
      <c r="H1931" s="3" t="str">
        <f t="shared" si="95"/>
        <v/>
      </c>
      <c r="I1931" s="5"/>
      <c r="J1931" s="5"/>
      <c r="K1931" s="6"/>
      <c r="L1931" s="6"/>
      <c r="M1931" s="7" t="str">
        <f t="shared" si="96"/>
        <v/>
      </c>
      <c r="N1931" s="6"/>
      <c r="O1931" s="5"/>
    </row>
    <row r="1932" spans="1:15" x14ac:dyDescent="0.2">
      <c r="A1932" s="3" t="str">
        <f>IF($B1932="","",COUNTA($B$9:$B1932))</f>
        <v/>
      </c>
      <c r="B1932" s="4"/>
      <c r="C1932" s="4"/>
      <c r="D1932" s="4"/>
      <c r="E1932" s="5"/>
      <c r="F1932" s="3" t="str">
        <f t="shared" si="94"/>
        <v/>
      </c>
      <c r="G1932" s="4"/>
      <c r="H1932" s="3" t="str">
        <f t="shared" si="95"/>
        <v/>
      </c>
      <c r="I1932" s="5"/>
      <c r="J1932" s="5"/>
      <c r="K1932" s="6"/>
      <c r="L1932" s="6"/>
      <c r="M1932" s="7" t="str">
        <f t="shared" si="96"/>
        <v/>
      </c>
      <c r="N1932" s="6"/>
      <c r="O1932" s="5"/>
    </row>
    <row r="1933" spans="1:15" x14ac:dyDescent="0.2">
      <c r="A1933" s="3" t="str">
        <f>IF($B1933="","",COUNTA($B$9:$B1933))</f>
        <v/>
      </c>
      <c r="B1933" s="4"/>
      <c r="C1933" s="4"/>
      <c r="D1933" s="4"/>
      <c r="E1933" s="5"/>
      <c r="F1933" s="3" t="str">
        <f t="shared" si="94"/>
        <v/>
      </c>
      <c r="G1933" s="4"/>
      <c r="H1933" s="3" t="str">
        <f t="shared" si="95"/>
        <v/>
      </c>
      <c r="I1933" s="5"/>
      <c r="J1933" s="5"/>
      <c r="K1933" s="6"/>
      <c r="L1933" s="6"/>
      <c r="M1933" s="7" t="str">
        <f t="shared" si="96"/>
        <v/>
      </c>
      <c r="N1933" s="6"/>
      <c r="O1933" s="5"/>
    </row>
    <row r="1934" spans="1:15" x14ac:dyDescent="0.2">
      <c r="A1934" s="3" t="str">
        <f>IF($B1934="","",COUNTA($B$9:$B1934))</f>
        <v/>
      </c>
      <c r="B1934" s="4"/>
      <c r="C1934" s="4"/>
      <c r="D1934" s="4"/>
      <c r="E1934" s="5"/>
      <c r="F1934" s="3" t="str">
        <f t="shared" si="94"/>
        <v/>
      </c>
      <c r="G1934" s="4"/>
      <c r="H1934" s="3" t="str">
        <f t="shared" si="95"/>
        <v/>
      </c>
      <c r="I1934" s="5"/>
      <c r="J1934" s="5"/>
      <c r="K1934" s="6"/>
      <c r="L1934" s="6"/>
      <c r="M1934" s="7" t="str">
        <f t="shared" si="96"/>
        <v/>
      </c>
      <c r="N1934" s="6"/>
      <c r="O1934" s="5"/>
    </row>
    <row r="1935" spans="1:15" x14ac:dyDescent="0.2">
      <c r="A1935" s="3" t="str">
        <f>IF($B1935="","",COUNTA($B$9:$B1935))</f>
        <v/>
      </c>
      <c r="B1935" s="4"/>
      <c r="C1935" s="4"/>
      <c r="D1935" s="4"/>
      <c r="E1935" s="5"/>
      <c r="F1935" s="3" t="str">
        <f t="shared" si="94"/>
        <v/>
      </c>
      <c r="G1935" s="4"/>
      <c r="H1935" s="3" t="str">
        <f t="shared" si="95"/>
        <v/>
      </c>
      <c r="I1935" s="5"/>
      <c r="J1935" s="5"/>
      <c r="K1935" s="6"/>
      <c r="L1935" s="6"/>
      <c r="M1935" s="7" t="str">
        <f t="shared" si="96"/>
        <v/>
      </c>
      <c r="N1935" s="6"/>
      <c r="O1935" s="5"/>
    </row>
    <row r="1936" spans="1:15" x14ac:dyDescent="0.2">
      <c r="A1936" s="3" t="str">
        <f>IF($B1936="","",COUNTA($B$9:$B1936))</f>
        <v/>
      </c>
      <c r="B1936" s="4"/>
      <c r="C1936" s="4"/>
      <c r="D1936" s="4"/>
      <c r="E1936" s="5"/>
      <c r="F1936" s="3" t="str">
        <f t="shared" si="94"/>
        <v/>
      </c>
      <c r="G1936" s="4"/>
      <c r="H1936" s="3" t="str">
        <f t="shared" si="95"/>
        <v/>
      </c>
      <c r="I1936" s="5"/>
      <c r="J1936" s="5"/>
      <c r="K1936" s="6"/>
      <c r="L1936" s="6"/>
      <c r="M1936" s="7" t="str">
        <f t="shared" si="96"/>
        <v/>
      </c>
      <c r="N1936" s="6"/>
      <c r="O1936" s="5"/>
    </row>
    <row r="1937" spans="1:15" x14ac:dyDescent="0.2">
      <c r="A1937" s="3" t="str">
        <f>IF($B1937="","",COUNTA($B$9:$B1937))</f>
        <v/>
      </c>
      <c r="B1937" s="4"/>
      <c r="C1937" s="4"/>
      <c r="D1937" s="4"/>
      <c r="E1937" s="5"/>
      <c r="F1937" s="3" t="str">
        <f t="shared" si="94"/>
        <v/>
      </c>
      <c r="G1937" s="4"/>
      <c r="H1937" s="3" t="str">
        <f t="shared" si="95"/>
        <v/>
      </c>
      <c r="I1937" s="5"/>
      <c r="J1937" s="5"/>
      <c r="K1937" s="6"/>
      <c r="L1937" s="6"/>
      <c r="M1937" s="7" t="str">
        <f t="shared" si="96"/>
        <v/>
      </c>
      <c r="N1937" s="6"/>
      <c r="O1937" s="5"/>
    </row>
    <row r="1938" spans="1:15" x14ac:dyDescent="0.2">
      <c r="A1938" s="3" t="str">
        <f>IF($B1938="","",COUNTA($B$9:$B1938))</f>
        <v/>
      </c>
      <c r="B1938" s="4"/>
      <c r="C1938" s="4"/>
      <c r="D1938" s="4"/>
      <c r="E1938" s="5"/>
      <c r="F1938" s="3" t="str">
        <f t="shared" si="94"/>
        <v/>
      </c>
      <c r="G1938" s="4"/>
      <c r="H1938" s="3" t="str">
        <f t="shared" si="95"/>
        <v/>
      </c>
      <c r="I1938" s="5"/>
      <c r="J1938" s="5"/>
      <c r="K1938" s="6"/>
      <c r="L1938" s="6"/>
      <c r="M1938" s="7" t="str">
        <f t="shared" si="96"/>
        <v/>
      </c>
      <c r="N1938" s="6"/>
      <c r="O1938" s="5"/>
    </row>
    <row r="1939" spans="1:15" x14ac:dyDescent="0.2">
      <c r="A1939" s="3" t="str">
        <f>IF($B1939="","",COUNTA($B$9:$B1939))</f>
        <v/>
      </c>
      <c r="B1939" s="4"/>
      <c r="C1939" s="4"/>
      <c r="D1939" s="4"/>
      <c r="E1939" s="5"/>
      <c r="F1939" s="3" t="str">
        <f t="shared" si="94"/>
        <v/>
      </c>
      <c r="G1939" s="4"/>
      <c r="H1939" s="3" t="str">
        <f t="shared" si="95"/>
        <v/>
      </c>
      <c r="I1939" s="5"/>
      <c r="J1939" s="5"/>
      <c r="K1939" s="6"/>
      <c r="L1939" s="6"/>
      <c r="M1939" s="7" t="str">
        <f t="shared" si="96"/>
        <v/>
      </c>
      <c r="N1939" s="6"/>
      <c r="O1939" s="5"/>
    </row>
    <row r="1940" spans="1:15" x14ac:dyDescent="0.2">
      <c r="A1940" s="3" t="str">
        <f>IF($B1940="","",COUNTA($B$9:$B1940))</f>
        <v/>
      </c>
      <c r="B1940" s="4"/>
      <c r="C1940" s="4"/>
      <c r="D1940" s="4"/>
      <c r="E1940" s="5"/>
      <c r="F1940" s="3" t="str">
        <f t="shared" si="94"/>
        <v/>
      </c>
      <c r="G1940" s="4"/>
      <c r="H1940" s="3" t="str">
        <f t="shared" si="95"/>
        <v/>
      </c>
      <c r="I1940" s="5"/>
      <c r="J1940" s="5"/>
      <c r="K1940" s="6"/>
      <c r="L1940" s="6"/>
      <c r="M1940" s="7" t="str">
        <f t="shared" si="96"/>
        <v/>
      </c>
      <c r="N1940" s="6"/>
      <c r="O1940" s="5"/>
    </row>
    <row r="1941" spans="1:15" x14ac:dyDescent="0.2">
      <c r="A1941" s="3" t="str">
        <f>IF($B1941="","",COUNTA($B$9:$B1941))</f>
        <v/>
      </c>
      <c r="B1941" s="4"/>
      <c r="C1941" s="4"/>
      <c r="D1941" s="4"/>
      <c r="E1941" s="5"/>
      <c r="F1941" s="3" t="str">
        <f t="shared" si="94"/>
        <v/>
      </c>
      <c r="G1941" s="4"/>
      <c r="H1941" s="3" t="str">
        <f t="shared" si="95"/>
        <v/>
      </c>
      <c r="I1941" s="5"/>
      <c r="J1941" s="5"/>
      <c r="K1941" s="6"/>
      <c r="L1941" s="6"/>
      <c r="M1941" s="7" t="str">
        <f t="shared" si="96"/>
        <v/>
      </c>
      <c r="N1941" s="6"/>
      <c r="O1941" s="5"/>
    </row>
    <row r="1942" spans="1:15" x14ac:dyDescent="0.2">
      <c r="A1942" s="3" t="str">
        <f>IF($B1942="","",COUNTA($B$9:$B1942))</f>
        <v/>
      </c>
      <c r="B1942" s="4"/>
      <c r="C1942" s="4"/>
      <c r="D1942" s="4"/>
      <c r="E1942" s="5"/>
      <c r="F1942" s="3" t="str">
        <f t="shared" si="94"/>
        <v/>
      </c>
      <c r="G1942" s="4"/>
      <c r="H1942" s="3" t="str">
        <f t="shared" si="95"/>
        <v/>
      </c>
      <c r="I1942" s="5"/>
      <c r="J1942" s="5"/>
      <c r="K1942" s="6"/>
      <c r="L1942" s="6"/>
      <c r="M1942" s="7" t="str">
        <f t="shared" si="96"/>
        <v/>
      </c>
      <c r="N1942" s="6"/>
      <c r="O1942" s="5"/>
    </row>
    <row r="1943" spans="1:15" x14ac:dyDescent="0.2">
      <c r="A1943" s="3" t="str">
        <f>IF($B1943="","",COUNTA($B$9:$B1943))</f>
        <v/>
      </c>
      <c r="B1943" s="4"/>
      <c r="C1943" s="4"/>
      <c r="D1943" s="4"/>
      <c r="E1943" s="5"/>
      <c r="F1943" s="3" t="str">
        <f t="shared" si="94"/>
        <v/>
      </c>
      <c r="G1943" s="4"/>
      <c r="H1943" s="3" t="str">
        <f t="shared" si="95"/>
        <v/>
      </c>
      <c r="I1943" s="5"/>
      <c r="J1943" s="5"/>
      <c r="K1943" s="6"/>
      <c r="L1943" s="6"/>
      <c r="M1943" s="7" t="str">
        <f t="shared" si="96"/>
        <v/>
      </c>
      <c r="N1943" s="6"/>
      <c r="O1943" s="5"/>
    </row>
    <row r="1944" spans="1:15" x14ac:dyDescent="0.2">
      <c r="A1944" s="3" t="str">
        <f>IF($B1944="","",COUNTA($B$9:$B1944))</f>
        <v/>
      </c>
      <c r="B1944" s="4"/>
      <c r="C1944" s="4"/>
      <c r="D1944" s="4"/>
      <c r="E1944" s="5"/>
      <c r="F1944" s="3" t="str">
        <f t="shared" si="94"/>
        <v/>
      </c>
      <c r="G1944" s="4"/>
      <c r="H1944" s="3" t="str">
        <f t="shared" si="95"/>
        <v/>
      </c>
      <c r="I1944" s="5"/>
      <c r="J1944" s="5"/>
      <c r="K1944" s="6"/>
      <c r="L1944" s="6"/>
      <c r="M1944" s="7" t="str">
        <f t="shared" si="96"/>
        <v/>
      </c>
      <c r="N1944" s="6"/>
      <c r="O1944" s="5"/>
    </row>
    <row r="1945" spans="1:15" x14ac:dyDescent="0.2">
      <c r="A1945" s="3" t="str">
        <f>IF($B1945="","",COUNTA($B$9:$B1945))</f>
        <v/>
      </c>
      <c r="B1945" s="4"/>
      <c r="C1945" s="4"/>
      <c r="D1945" s="4"/>
      <c r="E1945" s="5"/>
      <c r="F1945" s="3" t="str">
        <f t="shared" si="94"/>
        <v/>
      </c>
      <c r="G1945" s="4"/>
      <c r="H1945" s="3" t="str">
        <f t="shared" si="95"/>
        <v/>
      </c>
      <c r="I1945" s="5"/>
      <c r="J1945" s="5"/>
      <c r="K1945" s="6"/>
      <c r="L1945" s="6"/>
      <c r="M1945" s="7" t="str">
        <f t="shared" si="96"/>
        <v/>
      </c>
      <c r="N1945" s="6"/>
      <c r="O1945" s="5"/>
    </row>
    <row r="1946" spans="1:15" x14ac:dyDescent="0.2">
      <c r="A1946" s="3" t="str">
        <f>IF($B1946="","",COUNTA($B$9:$B1946))</f>
        <v/>
      </c>
      <c r="B1946" s="4"/>
      <c r="C1946" s="4"/>
      <c r="D1946" s="4"/>
      <c r="E1946" s="5"/>
      <c r="F1946" s="3" t="str">
        <f t="shared" si="94"/>
        <v/>
      </c>
      <c r="G1946" s="4"/>
      <c r="H1946" s="3" t="str">
        <f t="shared" si="95"/>
        <v/>
      </c>
      <c r="I1946" s="5"/>
      <c r="J1946" s="5"/>
      <c r="K1946" s="6"/>
      <c r="L1946" s="6"/>
      <c r="M1946" s="7" t="str">
        <f t="shared" si="96"/>
        <v/>
      </c>
      <c r="N1946" s="6"/>
      <c r="O1946" s="5"/>
    </row>
    <row r="1947" spans="1:15" x14ac:dyDescent="0.2">
      <c r="A1947" s="3" t="str">
        <f>IF($B1947="","",COUNTA($B$9:$B1947))</f>
        <v/>
      </c>
      <c r="B1947" s="4"/>
      <c r="C1947" s="4"/>
      <c r="D1947" s="4"/>
      <c r="E1947" s="5"/>
      <c r="F1947" s="3" t="str">
        <f t="shared" si="94"/>
        <v/>
      </c>
      <c r="G1947" s="4"/>
      <c r="H1947" s="3" t="str">
        <f t="shared" si="95"/>
        <v/>
      </c>
      <c r="I1947" s="5"/>
      <c r="J1947" s="5"/>
      <c r="K1947" s="6"/>
      <c r="L1947" s="6"/>
      <c r="M1947" s="7" t="str">
        <f t="shared" si="96"/>
        <v/>
      </c>
      <c r="N1947" s="6"/>
      <c r="O1947" s="5"/>
    </row>
    <row r="1948" spans="1:15" x14ac:dyDescent="0.2">
      <c r="A1948" s="3" t="str">
        <f>IF($B1948="","",COUNTA($B$9:$B1948))</f>
        <v/>
      </c>
      <c r="B1948" s="4"/>
      <c r="C1948" s="4"/>
      <c r="D1948" s="4"/>
      <c r="E1948" s="5"/>
      <c r="F1948" s="3" t="str">
        <f t="shared" si="94"/>
        <v/>
      </c>
      <c r="G1948" s="4"/>
      <c r="H1948" s="3" t="str">
        <f t="shared" si="95"/>
        <v/>
      </c>
      <c r="I1948" s="5"/>
      <c r="J1948" s="5"/>
      <c r="K1948" s="6"/>
      <c r="L1948" s="6"/>
      <c r="M1948" s="7" t="str">
        <f t="shared" si="96"/>
        <v/>
      </c>
      <c r="N1948" s="6"/>
      <c r="O1948" s="5"/>
    </row>
    <row r="1949" spans="1:15" x14ac:dyDescent="0.2">
      <c r="A1949" s="3" t="str">
        <f>IF($B1949="","",COUNTA($B$9:$B1949))</f>
        <v/>
      </c>
      <c r="B1949" s="4"/>
      <c r="C1949" s="4"/>
      <c r="D1949" s="4"/>
      <c r="E1949" s="5"/>
      <c r="F1949" s="3" t="str">
        <f t="shared" si="94"/>
        <v/>
      </c>
      <c r="G1949" s="4"/>
      <c r="H1949" s="3" t="str">
        <f t="shared" si="95"/>
        <v/>
      </c>
      <c r="I1949" s="5"/>
      <c r="J1949" s="5"/>
      <c r="K1949" s="6"/>
      <c r="L1949" s="6"/>
      <c r="M1949" s="7" t="str">
        <f t="shared" si="96"/>
        <v/>
      </c>
      <c r="N1949" s="6"/>
      <c r="O1949" s="5"/>
    </row>
    <row r="1950" spans="1:15" x14ac:dyDescent="0.2">
      <c r="A1950" s="3" t="str">
        <f>IF($B1950="","",COUNTA($B$9:$B1950))</f>
        <v/>
      </c>
      <c r="B1950" s="4"/>
      <c r="C1950" s="4"/>
      <c r="D1950" s="4"/>
      <c r="E1950" s="5"/>
      <c r="F1950" s="3" t="str">
        <f t="shared" si="94"/>
        <v/>
      </c>
      <c r="G1950" s="4"/>
      <c r="H1950" s="3" t="str">
        <f t="shared" si="95"/>
        <v/>
      </c>
      <c r="I1950" s="5"/>
      <c r="J1950" s="5"/>
      <c r="K1950" s="6"/>
      <c r="L1950" s="6"/>
      <c r="M1950" s="7" t="str">
        <f t="shared" si="96"/>
        <v/>
      </c>
      <c r="N1950" s="6"/>
      <c r="O1950" s="5"/>
    </row>
    <row r="1951" spans="1:15" x14ac:dyDescent="0.2">
      <c r="A1951" s="3" t="str">
        <f>IF($B1951="","",COUNTA($B$9:$B1951))</f>
        <v/>
      </c>
      <c r="B1951" s="4"/>
      <c r="C1951" s="4"/>
      <c r="D1951" s="4"/>
      <c r="E1951" s="5"/>
      <c r="F1951" s="3" t="str">
        <f t="shared" si="94"/>
        <v/>
      </c>
      <c r="G1951" s="4"/>
      <c r="H1951" s="3" t="str">
        <f t="shared" si="95"/>
        <v/>
      </c>
      <c r="I1951" s="5"/>
      <c r="J1951" s="5"/>
      <c r="K1951" s="6"/>
      <c r="L1951" s="6"/>
      <c r="M1951" s="7" t="str">
        <f t="shared" si="96"/>
        <v/>
      </c>
      <c r="N1951" s="6"/>
      <c r="O1951" s="5"/>
    </row>
    <row r="1952" spans="1:15" x14ac:dyDescent="0.2">
      <c r="A1952" s="3" t="str">
        <f>IF($B1952="","",COUNTA($B$9:$B1952))</f>
        <v/>
      </c>
      <c r="B1952" s="4"/>
      <c r="C1952" s="4"/>
      <c r="D1952" s="4"/>
      <c r="E1952" s="5"/>
      <c r="F1952" s="3" t="str">
        <f t="shared" si="94"/>
        <v/>
      </c>
      <c r="G1952" s="4"/>
      <c r="H1952" s="3" t="str">
        <f t="shared" si="95"/>
        <v/>
      </c>
      <c r="I1952" s="5"/>
      <c r="J1952" s="5"/>
      <c r="K1952" s="6"/>
      <c r="L1952" s="6"/>
      <c r="M1952" s="7" t="str">
        <f t="shared" si="96"/>
        <v/>
      </c>
      <c r="N1952" s="6"/>
      <c r="O1952" s="5"/>
    </row>
    <row r="1953" spans="1:15" x14ac:dyDescent="0.2">
      <c r="A1953" s="3" t="str">
        <f>IF($B1953="","",COUNTA($B$9:$B1953))</f>
        <v/>
      </c>
      <c r="B1953" s="4"/>
      <c r="C1953" s="4"/>
      <c r="D1953" s="4"/>
      <c r="E1953" s="5"/>
      <c r="F1953" s="3" t="str">
        <f t="shared" si="94"/>
        <v/>
      </c>
      <c r="G1953" s="4"/>
      <c r="H1953" s="3" t="str">
        <f t="shared" si="95"/>
        <v/>
      </c>
      <c r="I1953" s="5"/>
      <c r="J1953" s="5"/>
      <c r="K1953" s="6"/>
      <c r="L1953" s="6"/>
      <c r="M1953" s="7" t="str">
        <f t="shared" si="96"/>
        <v/>
      </c>
      <c r="N1953" s="6"/>
      <c r="O1953" s="5"/>
    </row>
    <row r="1954" spans="1:15" x14ac:dyDescent="0.2">
      <c r="A1954" s="3" t="str">
        <f>IF($B1954="","",COUNTA($B$9:$B1954))</f>
        <v/>
      </c>
      <c r="B1954" s="4"/>
      <c r="C1954" s="4"/>
      <c r="D1954" s="4"/>
      <c r="E1954" s="5"/>
      <c r="F1954" s="3" t="str">
        <f t="shared" si="94"/>
        <v/>
      </c>
      <c r="G1954" s="4"/>
      <c r="H1954" s="3" t="str">
        <f t="shared" si="95"/>
        <v/>
      </c>
      <c r="I1954" s="5"/>
      <c r="J1954" s="5"/>
      <c r="K1954" s="6"/>
      <c r="L1954" s="6"/>
      <c r="M1954" s="7" t="str">
        <f t="shared" si="96"/>
        <v/>
      </c>
      <c r="N1954" s="6"/>
      <c r="O1954" s="5"/>
    </row>
    <row r="1955" spans="1:15" x14ac:dyDescent="0.2">
      <c r="A1955" s="3" t="str">
        <f>IF($B1955="","",COUNTA($B$9:$B1955))</f>
        <v/>
      </c>
      <c r="B1955" s="4"/>
      <c r="C1955" s="4"/>
      <c r="D1955" s="4"/>
      <c r="E1955" s="5"/>
      <c r="F1955" s="3" t="str">
        <f t="shared" si="94"/>
        <v/>
      </c>
      <c r="G1955" s="4"/>
      <c r="H1955" s="3" t="str">
        <f t="shared" si="95"/>
        <v/>
      </c>
      <c r="I1955" s="5"/>
      <c r="J1955" s="5"/>
      <c r="K1955" s="6"/>
      <c r="L1955" s="6"/>
      <c r="M1955" s="7" t="str">
        <f t="shared" si="96"/>
        <v/>
      </c>
      <c r="N1955" s="6"/>
      <c r="O1955" s="5"/>
    </row>
    <row r="1956" spans="1:15" x14ac:dyDescent="0.2">
      <c r="A1956" s="3" t="str">
        <f>IF($B1956="","",COUNTA($B$9:$B1956))</f>
        <v/>
      </c>
      <c r="B1956" s="4"/>
      <c r="C1956" s="4"/>
      <c r="D1956" s="4"/>
      <c r="E1956" s="5"/>
      <c r="F1956" s="3" t="str">
        <f t="shared" si="94"/>
        <v/>
      </c>
      <c r="G1956" s="4"/>
      <c r="H1956" s="3" t="str">
        <f t="shared" si="95"/>
        <v/>
      </c>
      <c r="I1956" s="5"/>
      <c r="J1956" s="5"/>
      <c r="K1956" s="6"/>
      <c r="L1956" s="6"/>
      <c r="M1956" s="7" t="str">
        <f t="shared" si="96"/>
        <v/>
      </c>
      <c r="N1956" s="6"/>
      <c r="O1956" s="5"/>
    </row>
    <row r="1957" spans="1:15" x14ac:dyDescent="0.2">
      <c r="A1957" s="3" t="str">
        <f>IF($B1957="","",COUNTA($B$9:$B1957))</f>
        <v/>
      </c>
      <c r="B1957" s="4"/>
      <c r="C1957" s="4"/>
      <c r="D1957" s="4"/>
      <c r="E1957" s="5"/>
      <c r="F1957" s="3" t="str">
        <f t="shared" si="94"/>
        <v/>
      </c>
      <c r="G1957" s="4"/>
      <c r="H1957" s="3" t="str">
        <f t="shared" si="95"/>
        <v/>
      </c>
      <c r="I1957" s="5"/>
      <c r="J1957" s="5"/>
      <c r="K1957" s="6"/>
      <c r="L1957" s="6"/>
      <c r="M1957" s="7" t="str">
        <f t="shared" si="96"/>
        <v/>
      </c>
      <c r="N1957" s="6"/>
      <c r="O1957" s="5"/>
    </row>
    <row r="1958" spans="1:15" x14ac:dyDescent="0.2">
      <c r="A1958" s="3" t="str">
        <f>IF($B1958="","",COUNTA($B$9:$B1958))</f>
        <v/>
      </c>
      <c r="B1958" s="4"/>
      <c r="C1958" s="4"/>
      <c r="D1958" s="4"/>
      <c r="E1958" s="5"/>
      <c r="F1958" s="3" t="str">
        <f t="shared" si="94"/>
        <v/>
      </c>
      <c r="G1958" s="4"/>
      <c r="H1958" s="3" t="str">
        <f t="shared" si="95"/>
        <v/>
      </c>
      <c r="I1958" s="5"/>
      <c r="J1958" s="5"/>
      <c r="K1958" s="6"/>
      <c r="L1958" s="6"/>
      <c r="M1958" s="7" t="str">
        <f t="shared" si="96"/>
        <v/>
      </c>
      <c r="N1958" s="6"/>
      <c r="O1958" s="5"/>
    </row>
    <row r="1959" spans="1:15" x14ac:dyDescent="0.2">
      <c r="A1959" s="3" t="str">
        <f>IF($B1959="","",COUNTA($B$9:$B1959))</f>
        <v/>
      </c>
      <c r="B1959" s="4"/>
      <c r="C1959" s="4"/>
      <c r="D1959" s="4"/>
      <c r="E1959" s="5"/>
      <c r="F1959" s="3" t="str">
        <f t="shared" si="94"/>
        <v/>
      </c>
      <c r="G1959" s="4"/>
      <c r="H1959" s="3" t="str">
        <f t="shared" si="95"/>
        <v/>
      </c>
      <c r="I1959" s="5"/>
      <c r="J1959" s="5"/>
      <c r="K1959" s="6"/>
      <c r="L1959" s="6"/>
      <c r="M1959" s="7" t="str">
        <f t="shared" si="96"/>
        <v/>
      </c>
      <c r="N1959" s="6"/>
      <c r="O1959" s="5"/>
    </row>
    <row r="1960" spans="1:15" x14ac:dyDescent="0.2">
      <c r="A1960" s="3" t="str">
        <f>IF($B1960="","",COUNTA($B$9:$B1960))</f>
        <v/>
      </c>
      <c r="B1960" s="4"/>
      <c r="C1960" s="4"/>
      <c r="D1960" s="4"/>
      <c r="E1960" s="5"/>
      <c r="F1960" s="3" t="str">
        <f t="shared" si="94"/>
        <v/>
      </c>
      <c r="G1960" s="4"/>
      <c r="H1960" s="3" t="str">
        <f t="shared" si="95"/>
        <v/>
      </c>
      <c r="I1960" s="5"/>
      <c r="J1960" s="5"/>
      <c r="K1960" s="6"/>
      <c r="L1960" s="6"/>
      <c r="M1960" s="7" t="str">
        <f t="shared" si="96"/>
        <v/>
      </c>
      <c r="N1960" s="6"/>
      <c r="O1960" s="5"/>
    </row>
    <row r="1961" spans="1:15" x14ac:dyDescent="0.2">
      <c r="A1961" s="3" t="str">
        <f>IF($B1961="","",COUNTA($B$9:$B1961))</f>
        <v/>
      </c>
      <c r="B1961" s="4"/>
      <c r="C1961" s="4"/>
      <c r="D1961" s="4"/>
      <c r="E1961" s="5"/>
      <c r="F1961" s="3" t="str">
        <f t="shared" si="94"/>
        <v/>
      </c>
      <c r="G1961" s="4"/>
      <c r="H1961" s="3" t="str">
        <f t="shared" si="95"/>
        <v/>
      </c>
      <c r="I1961" s="5"/>
      <c r="J1961" s="5"/>
      <c r="K1961" s="6"/>
      <c r="L1961" s="6"/>
      <c r="M1961" s="7" t="str">
        <f t="shared" si="96"/>
        <v/>
      </c>
      <c r="N1961" s="6"/>
      <c r="O1961" s="5"/>
    </row>
    <row r="1962" spans="1:15" x14ac:dyDescent="0.2">
      <c r="A1962" s="3" t="str">
        <f>IF($B1962="","",COUNTA($B$9:$B1962))</f>
        <v/>
      </c>
      <c r="B1962" s="4"/>
      <c r="C1962" s="4"/>
      <c r="D1962" s="4"/>
      <c r="E1962" s="5"/>
      <c r="F1962" s="3" t="str">
        <f t="shared" si="94"/>
        <v/>
      </c>
      <c r="G1962" s="4"/>
      <c r="H1962" s="3" t="str">
        <f t="shared" si="95"/>
        <v/>
      </c>
      <c r="I1962" s="5"/>
      <c r="J1962" s="5"/>
      <c r="K1962" s="6"/>
      <c r="L1962" s="6"/>
      <c r="M1962" s="7" t="str">
        <f t="shared" si="96"/>
        <v/>
      </c>
      <c r="N1962" s="6"/>
      <c r="O1962" s="5"/>
    </row>
    <row r="1963" spans="1:15" x14ac:dyDescent="0.2">
      <c r="A1963" s="3" t="str">
        <f>IF($B1963="","",COUNTA($B$9:$B1963))</f>
        <v/>
      </c>
      <c r="B1963" s="4"/>
      <c r="C1963" s="4"/>
      <c r="D1963" s="4"/>
      <c r="E1963" s="5"/>
      <c r="F1963" s="3" t="str">
        <f t="shared" si="94"/>
        <v/>
      </c>
      <c r="G1963" s="4"/>
      <c r="H1963" s="3" t="str">
        <f t="shared" si="95"/>
        <v/>
      </c>
      <c r="I1963" s="5"/>
      <c r="J1963" s="5"/>
      <c r="K1963" s="6"/>
      <c r="L1963" s="6"/>
      <c r="M1963" s="7" t="str">
        <f t="shared" si="96"/>
        <v/>
      </c>
      <c r="N1963" s="6"/>
      <c r="O1963" s="5"/>
    </row>
    <row r="1964" spans="1:15" x14ac:dyDescent="0.2">
      <c r="A1964" s="3" t="str">
        <f>IF($B1964="","",COUNTA($B$9:$B1964))</f>
        <v/>
      </c>
      <c r="B1964" s="4"/>
      <c r="C1964" s="4"/>
      <c r="D1964" s="4"/>
      <c r="E1964" s="5"/>
      <c r="F1964" s="3" t="str">
        <f t="shared" si="94"/>
        <v/>
      </c>
      <c r="G1964" s="4"/>
      <c r="H1964" s="3" t="str">
        <f t="shared" si="95"/>
        <v/>
      </c>
      <c r="I1964" s="5"/>
      <c r="J1964" s="5"/>
      <c r="K1964" s="6"/>
      <c r="L1964" s="6"/>
      <c r="M1964" s="7" t="str">
        <f t="shared" si="96"/>
        <v/>
      </c>
      <c r="N1964" s="6"/>
      <c r="O1964" s="5"/>
    </row>
    <row r="1965" spans="1:15" x14ac:dyDescent="0.2">
      <c r="A1965" s="3" t="str">
        <f>IF($B1965="","",COUNTA($B$9:$B1965))</f>
        <v/>
      </c>
      <c r="B1965" s="4"/>
      <c r="C1965" s="4"/>
      <c r="D1965" s="4"/>
      <c r="E1965" s="5"/>
      <c r="F1965" s="3" t="str">
        <f t="shared" si="94"/>
        <v/>
      </c>
      <c r="G1965" s="4"/>
      <c r="H1965" s="3" t="str">
        <f t="shared" si="95"/>
        <v/>
      </c>
      <c r="I1965" s="5"/>
      <c r="J1965" s="5"/>
      <c r="K1965" s="6"/>
      <c r="L1965" s="6"/>
      <c r="M1965" s="7" t="str">
        <f t="shared" si="96"/>
        <v/>
      </c>
      <c r="N1965" s="6"/>
      <c r="O1965" s="5"/>
    </row>
    <row r="1966" spans="1:15" x14ac:dyDescent="0.2">
      <c r="A1966" s="3" t="str">
        <f>IF($B1966="","",COUNTA($B$9:$B1966))</f>
        <v/>
      </c>
      <c r="B1966" s="4"/>
      <c r="C1966" s="4"/>
      <c r="D1966" s="4"/>
      <c r="E1966" s="5"/>
      <c r="F1966" s="3" t="str">
        <f t="shared" si="94"/>
        <v/>
      </c>
      <c r="G1966" s="4"/>
      <c r="H1966" s="3" t="str">
        <f t="shared" si="95"/>
        <v/>
      </c>
      <c r="I1966" s="5"/>
      <c r="J1966" s="5"/>
      <c r="K1966" s="6"/>
      <c r="L1966" s="6"/>
      <c r="M1966" s="7" t="str">
        <f t="shared" si="96"/>
        <v/>
      </c>
      <c r="N1966" s="6"/>
      <c r="O1966" s="5"/>
    </row>
    <row r="1967" spans="1:15" x14ac:dyDescent="0.2">
      <c r="A1967" s="3" t="str">
        <f>IF($B1967="","",COUNTA($B$9:$B1967))</f>
        <v/>
      </c>
      <c r="B1967" s="4"/>
      <c r="C1967" s="4"/>
      <c r="D1967" s="4"/>
      <c r="E1967" s="5"/>
      <c r="F1967" s="3" t="str">
        <f t="shared" si="94"/>
        <v/>
      </c>
      <c r="G1967" s="4"/>
      <c r="H1967" s="3" t="str">
        <f t="shared" si="95"/>
        <v/>
      </c>
      <c r="I1967" s="5"/>
      <c r="J1967" s="5"/>
      <c r="K1967" s="6"/>
      <c r="L1967" s="6"/>
      <c r="M1967" s="7" t="str">
        <f t="shared" si="96"/>
        <v/>
      </c>
      <c r="N1967" s="6"/>
      <c r="O1967" s="5"/>
    </row>
    <row r="1968" spans="1:15" x14ac:dyDescent="0.2">
      <c r="A1968" s="3" t="str">
        <f>IF($B1968="","",COUNTA($B$9:$B1968))</f>
        <v/>
      </c>
      <c r="B1968" s="4"/>
      <c r="C1968" s="4"/>
      <c r="D1968" s="4"/>
      <c r="E1968" s="5"/>
      <c r="F1968" s="3" t="str">
        <f t="shared" si="94"/>
        <v/>
      </c>
      <c r="G1968" s="4"/>
      <c r="H1968" s="3" t="str">
        <f t="shared" si="95"/>
        <v/>
      </c>
      <c r="I1968" s="5"/>
      <c r="J1968" s="5"/>
      <c r="K1968" s="6"/>
      <c r="L1968" s="6"/>
      <c r="M1968" s="7" t="str">
        <f t="shared" si="96"/>
        <v/>
      </c>
      <c r="N1968" s="6"/>
      <c r="O1968" s="5"/>
    </row>
    <row r="1969" spans="1:15" x14ac:dyDescent="0.2">
      <c r="A1969" s="3" t="str">
        <f>IF($B1969="","",COUNTA($B$9:$B1969))</f>
        <v/>
      </c>
      <c r="B1969" s="4"/>
      <c r="C1969" s="4"/>
      <c r="D1969" s="4"/>
      <c r="E1969" s="5"/>
      <c r="F1969" s="3" t="str">
        <f t="shared" si="94"/>
        <v/>
      </c>
      <c r="G1969" s="4"/>
      <c r="H1969" s="3" t="str">
        <f t="shared" si="95"/>
        <v/>
      </c>
      <c r="I1969" s="5"/>
      <c r="J1969" s="5"/>
      <c r="K1969" s="6"/>
      <c r="L1969" s="6"/>
      <c r="M1969" s="7" t="str">
        <f t="shared" si="96"/>
        <v/>
      </c>
      <c r="N1969" s="6"/>
      <c r="O1969" s="5"/>
    </row>
    <row r="1970" spans="1:15" x14ac:dyDescent="0.2">
      <c r="A1970" s="3" t="str">
        <f>IF($B1970="","",COUNTA($B$9:$B1970))</f>
        <v/>
      </c>
      <c r="B1970" s="4"/>
      <c r="C1970" s="4"/>
      <c r="D1970" s="4"/>
      <c r="E1970" s="5"/>
      <c r="F1970" s="3" t="str">
        <f t="shared" si="94"/>
        <v/>
      </c>
      <c r="G1970" s="4"/>
      <c r="H1970" s="3" t="str">
        <f t="shared" si="95"/>
        <v/>
      </c>
      <c r="I1970" s="5"/>
      <c r="J1970" s="5"/>
      <c r="K1970" s="6"/>
      <c r="L1970" s="6"/>
      <c r="M1970" s="7" t="str">
        <f t="shared" si="96"/>
        <v/>
      </c>
      <c r="N1970" s="6"/>
      <c r="O1970" s="5"/>
    </row>
    <row r="1971" spans="1:15" x14ac:dyDescent="0.2">
      <c r="A1971" s="3" t="str">
        <f>IF($B1971="","",COUNTA($B$9:$B1971))</f>
        <v/>
      </c>
      <c r="B1971" s="4"/>
      <c r="C1971" s="4"/>
      <c r="D1971" s="4"/>
      <c r="E1971" s="5"/>
      <c r="F1971" s="3" t="str">
        <f t="shared" si="94"/>
        <v/>
      </c>
      <c r="G1971" s="4"/>
      <c r="H1971" s="3" t="str">
        <f t="shared" si="95"/>
        <v/>
      </c>
      <c r="I1971" s="5"/>
      <c r="J1971" s="5"/>
      <c r="K1971" s="6"/>
      <c r="L1971" s="6"/>
      <c r="M1971" s="7" t="str">
        <f t="shared" si="96"/>
        <v/>
      </c>
      <c r="N1971" s="6"/>
      <c r="O1971" s="5"/>
    </row>
    <row r="1972" spans="1:15" x14ac:dyDescent="0.2">
      <c r="A1972" s="3" t="str">
        <f>IF($B1972="","",COUNTA($B$9:$B1972))</f>
        <v/>
      </c>
      <c r="B1972" s="4"/>
      <c r="C1972" s="4"/>
      <c r="D1972" s="4"/>
      <c r="E1972" s="5"/>
      <c r="F1972" s="3" t="str">
        <f t="shared" si="94"/>
        <v/>
      </c>
      <c r="G1972" s="4"/>
      <c r="H1972" s="3" t="str">
        <f t="shared" si="95"/>
        <v/>
      </c>
      <c r="I1972" s="5"/>
      <c r="J1972" s="5"/>
      <c r="K1972" s="6"/>
      <c r="L1972" s="6"/>
      <c r="M1972" s="7" t="str">
        <f t="shared" si="96"/>
        <v/>
      </c>
      <c r="N1972" s="6"/>
      <c r="O1972" s="5"/>
    </row>
    <row r="1973" spans="1:15" x14ac:dyDescent="0.2">
      <c r="A1973" s="3" t="str">
        <f>IF($B1973="","",COUNTA($B$9:$B1973))</f>
        <v/>
      </c>
      <c r="B1973" s="4"/>
      <c r="C1973" s="4"/>
      <c r="D1973" s="4"/>
      <c r="E1973" s="5"/>
      <c r="F1973" s="3" t="str">
        <f t="shared" si="94"/>
        <v/>
      </c>
      <c r="G1973" s="4"/>
      <c r="H1973" s="3" t="str">
        <f t="shared" si="95"/>
        <v/>
      </c>
      <c r="I1973" s="5"/>
      <c r="J1973" s="5"/>
      <c r="K1973" s="6"/>
      <c r="L1973" s="6"/>
      <c r="M1973" s="7" t="str">
        <f t="shared" si="96"/>
        <v/>
      </c>
      <c r="N1973" s="6"/>
      <c r="O1973" s="5"/>
    </row>
    <row r="1974" spans="1:15" x14ac:dyDescent="0.2">
      <c r="A1974" s="3" t="str">
        <f>IF($B1974="","",COUNTA($B$9:$B1974))</f>
        <v/>
      </c>
      <c r="B1974" s="4"/>
      <c r="C1974" s="4"/>
      <c r="D1974" s="4"/>
      <c r="E1974" s="5"/>
      <c r="F1974" s="3" t="str">
        <f t="shared" si="94"/>
        <v/>
      </c>
      <c r="G1974" s="4"/>
      <c r="H1974" s="3" t="str">
        <f t="shared" si="95"/>
        <v/>
      </c>
      <c r="I1974" s="5"/>
      <c r="J1974" s="5"/>
      <c r="K1974" s="6"/>
      <c r="L1974" s="6"/>
      <c r="M1974" s="7" t="str">
        <f t="shared" si="96"/>
        <v/>
      </c>
      <c r="N1974" s="6"/>
      <c r="O1974" s="5"/>
    </row>
    <row r="1975" spans="1:15" x14ac:dyDescent="0.2">
      <c r="A1975" s="3" t="str">
        <f>IF($B1975="","",COUNTA($B$9:$B1975))</f>
        <v/>
      </c>
      <c r="B1975" s="4"/>
      <c r="C1975" s="4"/>
      <c r="D1975" s="4"/>
      <c r="E1975" s="5"/>
      <c r="F1975" s="3" t="str">
        <f t="shared" si="94"/>
        <v/>
      </c>
      <c r="G1975" s="4"/>
      <c r="H1975" s="3" t="str">
        <f t="shared" si="95"/>
        <v/>
      </c>
      <c r="I1975" s="5"/>
      <c r="J1975" s="5"/>
      <c r="K1975" s="6"/>
      <c r="L1975" s="6"/>
      <c r="M1975" s="7" t="str">
        <f t="shared" si="96"/>
        <v/>
      </c>
      <c r="N1975" s="6"/>
      <c r="O1975" s="5"/>
    </row>
    <row r="1976" spans="1:15" x14ac:dyDescent="0.2">
      <c r="A1976" s="3" t="str">
        <f>IF($B1976="","",COUNTA($B$9:$B1976))</f>
        <v/>
      </c>
      <c r="B1976" s="4"/>
      <c r="C1976" s="4"/>
      <c r="D1976" s="4"/>
      <c r="E1976" s="5"/>
      <c r="F1976" s="3" t="str">
        <f t="shared" si="94"/>
        <v/>
      </c>
      <c r="G1976" s="4"/>
      <c r="H1976" s="3" t="str">
        <f t="shared" si="95"/>
        <v/>
      </c>
      <c r="I1976" s="5"/>
      <c r="J1976" s="5"/>
      <c r="K1976" s="6"/>
      <c r="L1976" s="6"/>
      <c r="M1976" s="7" t="str">
        <f t="shared" si="96"/>
        <v/>
      </c>
      <c r="N1976" s="6"/>
      <c r="O1976" s="5"/>
    </row>
    <row r="1977" spans="1:15" x14ac:dyDescent="0.2">
      <c r="A1977" s="3" t="str">
        <f>IF($B1977="","",COUNTA($B$9:$B1977))</f>
        <v/>
      </c>
      <c r="B1977" s="4"/>
      <c r="C1977" s="4"/>
      <c r="D1977" s="4"/>
      <c r="E1977" s="5"/>
      <c r="F1977" s="3" t="str">
        <f t="shared" si="94"/>
        <v/>
      </c>
      <c r="G1977" s="4"/>
      <c r="H1977" s="3" t="str">
        <f t="shared" si="95"/>
        <v/>
      </c>
      <c r="I1977" s="5"/>
      <c r="J1977" s="5"/>
      <c r="K1977" s="6"/>
      <c r="L1977" s="6"/>
      <c r="M1977" s="7" t="str">
        <f t="shared" si="96"/>
        <v/>
      </c>
      <c r="N1977" s="6"/>
      <c r="O1977" s="5"/>
    </row>
    <row r="1978" spans="1:15" x14ac:dyDescent="0.2">
      <c r="A1978" s="3" t="str">
        <f>IF($B1978="","",COUNTA($B$9:$B1978))</f>
        <v/>
      </c>
      <c r="B1978" s="4"/>
      <c r="C1978" s="4"/>
      <c r="D1978" s="4"/>
      <c r="E1978" s="5"/>
      <c r="F1978" s="3" t="str">
        <f t="shared" si="94"/>
        <v/>
      </c>
      <c r="G1978" s="4"/>
      <c r="H1978" s="3" t="str">
        <f t="shared" si="95"/>
        <v/>
      </c>
      <c r="I1978" s="5"/>
      <c r="J1978" s="5"/>
      <c r="K1978" s="6"/>
      <c r="L1978" s="6"/>
      <c r="M1978" s="7" t="str">
        <f t="shared" si="96"/>
        <v/>
      </c>
      <c r="N1978" s="6"/>
      <c r="O1978" s="5"/>
    </row>
    <row r="1979" spans="1:15" x14ac:dyDescent="0.2">
      <c r="A1979" s="3" t="str">
        <f>IF($B1979="","",COUNTA($B$9:$B1979))</f>
        <v/>
      </c>
      <c r="B1979" s="4"/>
      <c r="C1979" s="4"/>
      <c r="D1979" s="4"/>
      <c r="E1979" s="5"/>
      <c r="F1979" s="3" t="str">
        <f t="shared" si="94"/>
        <v/>
      </c>
      <c r="G1979" s="4"/>
      <c r="H1979" s="3" t="str">
        <f t="shared" si="95"/>
        <v/>
      </c>
      <c r="I1979" s="5"/>
      <c r="J1979" s="5"/>
      <c r="K1979" s="6"/>
      <c r="L1979" s="6"/>
      <c r="M1979" s="7" t="str">
        <f t="shared" si="96"/>
        <v/>
      </c>
      <c r="N1979" s="6"/>
      <c r="O1979" s="5"/>
    </row>
    <row r="1980" spans="1:15" x14ac:dyDescent="0.2">
      <c r="A1980" s="3" t="str">
        <f>IF($B1980="","",COUNTA($B$9:$B1980))</f>
        <v/>
      </c>
      <c r="B1980" s="4"/>
      <c r="C1980" s="4"/>
      <c r="D1980" s="4"/>
      <c r="E1980" s="5"/>
      <c r="F1980" s="3" t="str">
        <f t="shared" si="94"/>
        <v/>
      </c>
      <c r="G1980" s="4"/>
      <c r="H1980" s="3" t="str">
        <f t="shared" si="95"/>
        <v/>
      </c>
      <c r="I1980" s="5"/>
      <c r="J1980" s="5"/>
      <c r="K1980" s="6"/>
      <c r="L1980" s="6"/>
      <c r="M1980" s="7" t="str">
        <f t="shared" si="96"/>
        <v/>
      </c>
      <c r="N1980" s="6"/>
      <c r="O1980" s="5"/>
    </row>
    <row r="1981" spans="1:15" x14ac:dyDescent="0.2">
      <c r="A1981" s="3" t="str">
        <f>IF($B1981="","",COUNTA($B$9:$B1981))</f>
        <v/>
      </c>
      <c r="B1981" s="4"/>
      <c r="C1981" s="4"/>
      <c r="D1981" s="4"/>
      <c r="E1981" s="5"/>
      <c r="F1981" s="3" t="str">
        <f t="shared" si="94"/>
        <v/>
      </c>
      <c r="G1981" s="4"/>
      <c r="H1981" s="3" t="str">
        <f t="shared" si="95"/>
        <v/>
      </c>
      <c r="I1981" s="5"/>
      <c r="J1981" s="5"/>
      <c r="K1981" s="6"/>
      <c r="L1981" s="6"/>
      <c r="M1981" s="7" t="str">
        <f t="shared" si="96"/>
        <v/>
      </c>
      <c r="N1981" s="6"/>
      <c r="O1981" s="5"/>
    </row>
    <row r="1982" spans="1:15" x14ac:dyDescent="0.2">
      <c r="A1982" s="3" t="str">
        <f>IF($B1982="","",COUNTA($B$9:$B1982))</f>
        <v/>
      </c>
      <c r="B1982" s="4"/>
      <c r="C1982" s="4"/>
      <c r="D1982" s="4"/>
      <c r="E1982" s="5"/>
      <c r="F1982" s="3" t="str">
        <f t="shared" si="94"/>
        <v/>
      </c>
      <c r="G1982" s="4"/>
      <c r="H1982" s="3" t="str">
        <f t="shared" si="95"/>
        <v/>
      </c>
      <c r="I1982" s="5"/>
      <c r="J1982" s="5"/>
      <c r="K1982" s="6"/>
      <c r="L1982" s="6"/>
      <c r="M1982" s="7" t="str">
        <f t="shared" si="96"/>
        <v/>
      </c>
      <c r="N1982" s="6"/>
      <c r="O1982" s="5"/>
    </row>
    <row r="1983" spans="1:15" x14ac:dyDescent="0.2">
      <c r="A1983" s="3" t="str">
        <f>IF($B1983="","",COUNTA($B$9:$B1983))</f>
        <v/>
      </c>
      <c r="B1983" s="4"/>
      <c r="C1983" s="4"/>
      <c r="D1983" s="4"/>
      <c r="E1983" s="5"/>
      <c r="F1983" s="3" t="str">
        <f t="shared" si="94"/>
        <v/>
      </c>
      <c r="G1983" s="4"/>
      <c r="H1983" s="3" t="str">
        <f t="shared" si="95"/>
        <v/>
      </c>
      <c r="I1983" s="5"/>
      <c r="J1983" s="5"/>
      <c r="K1983" s="6"/>
      <c r="L1983" s="6"/>
      <c r="M1983" s="7" t="str">
        <f t="shared" si="96"/>
        <v/>
      </c>
      <c r="N1983" s="6"/>
      <c r="O1983" s="5"/>
    </row>
    <row r="1984" spans="1:15" x14ac:dyDescent="0.2">
      <c r="A1984" s="3" t="str">
        <f>IF($B1984="","",COUNTA($B$9:$B1984))</f>
        <v/>
      </c>
      <c r="B1984" s="4"/>
      <c r="C1984" s="4"/>
      <c r="D1984" s="4"/>
      <c r="E1984" s="5"/>
      <c r="F1984" s="3" t="str">
        <f t="shared" si="94"/>
        <v/>
      </c>
      <c r="G1984" s="4"/>
      <c r="H1984" s="3" t="str">
        <f t="shared" si="95"/>
        <v/>
      </c>
      <c r="I1984" s="5"/>
      <c r="J1984" s="5"/>
      <c r="K1984" s="6"/>
      <c r="L1984" s="6"/>
      <c r="M1984" s="7" t="str">
        <f t="shared" si="96"/>
        <v/>
      </c>
      <c r="N1984" s="6"/>
      <c r="O1984" s="5"/>
    </row>
    <row r="1985" spans="1:15" x14ac:dyDescent="0.2">
      <c r="A1985" s="3" t="str">
        <f>IF($B1985="","",COUNTA($B$9:$B1985))</f>
        <v/>
      </c>
      <c r="B1985" s="4"/>
      <c r="C1985" s="4"/>
      <c r="D1985" s="4"/>
      <c r="E1985" s="5"/>
      <c r="F1985" s="3" t="str">
        <f t="shared" si="94"/>
        <v/>
      </c>
      <c r="G1985" s="4"/>
      <c r="H1985" s="3" t="str">
        <f t="shared" si="95"/>
        <v/>
      </c>
      <c r="I1985" s="5"/>
      <c r="J1985" s="5"/>
      <c r="K1985" s="6"/>
      <c r="L1985" s="6"/>
      <c r="M1985" s="7" t="str">
        <f t="shared" si="96"/>
        <v/>
      </c>
      <c r="N1985" s="6"/>
      <c r="O1985" s="5"/>
    </row>
    <row r="1986" spans="1:15" x14ac:dyDescent="0.2">
      <c r="A1986" s="3" t="str">
        <f>IF($B1986="","",COUNTA($B$9:$B1986))</f>
        <v/>
      </c>
      <c r="B1986" s="4"/>
      <c r="C1986" s="4"/>
      <c r="D1986" s="4"/>
      <c r="E1986" s="5"/>
      <c r="F1986" s="3" t="str">
        <f t="shared" si="94"/>
        <v/>
      </c>
      <c r="G1986" s="4"/>
      <c r="H1986" s="3" t="str">
        <f t="shared" si="95"/>
        <v/>
      </c>
      <c r="I1986" s="5"/>
      <c r="J1986" s="5"/>
      <c r="K1986" s="6"/>
      <c r="L1986" s="6"/>
      <c r="M1986" s="7" t="str">
        <f t="shared" si="96"/>
        <v/>
      </c>
      <c r="N1986" s="6"/>
      <c r="O1986" s="5"/>
    </row>
    <row r="1987" spans="1:15" x14ac:dyDescent="0.2">
      <c r="A1987" s="3" t="str">
        <f>IF($B1987="","",COUNTA($B$9:$B1987))</f>
        <v/>
      </c>
      <c r="B1987" s="4"/>
      <c r="C1987" s="4"/>
      <c r="D1987" s="4"/>
      <c r="E1987" s="5"/>
      <c r="F1987" s="3" t="str">
        <f t="shared" si="94"/>
        <v/>
      </c>
      <c r="G1987" s="4"/>
      <c r="H1987" s="3" t="str">
        <f t="shared" si="95"/>
        <v/>
      </c>
      <c r="I1987" s="5"/>
      <c r="J1987" s="5"/>
      <c r="K1987" s="6"/>
      <c r="L1987" s="6"/>
      <c r="M1987" s="7" t="str">
        <f t="shared" si="96"/>
        <v/>
      </c>
      <c r="N1987" s="6"/>
      <c r="O1987" s="5"/>
    </row>
    <row r="1988" spans="1:15" x14ac:dyDescent="0.2">
      <c r="A1988" s="3" t="str">
        <f>IF($B1988="","",COUNTA($B$9:$B1988))</f>
        <v/>
      </c>
      <c r="B1988" s="4"/>
      <c r="C1988" s="4"/>
      <c r="D1988" s="4"/>
      <c r="E1988" s="5"/>
      <c r="F1988" s="3" t="str">
        <f t="shared" si="94"/>
        <v/>
      </c>
      <c r="G1988" s="4"/>
      <c r="H1988" s="3" t="str">
        <f t="shared" si="95"/>
        <v/>
      </c>
      <c r="I1988" s="5"/>
      <c r="J1988" s="5"/>
      <c r="K1988" s="6"/>
      <c r="L1988" s="6"/>
      <c r="M1988" s="7" t="str">
        <f t="shared" si="96"/>
        <v/>
      </c>
      <c r="N1988" s="6"/>
      <c r="O1988" s="5"/>
    </row>
    <row r="1989" spans="1:15" x14ac:dyDescent="0.2">
      <c r="A1989" s="3" t="str">
        <f>IF($B1989="","",COUNTA($B$9:$B1989))</f>
        <v/>
      </c>
      <c r="B1989" s="4"/>
      <c r="C1989" s="4"/>
      <c r="D1989" s="4"/>
      <c r="E1989" s="5"/>
      <c r="F1989" s="3" t="str">
        <f t="shared" si="94"/>
        <v/>
      </c>
      <c r="G1989" s="4"/>
      <c r="H1989" s="3" t="str">
        <f t="shared" si="95"/>
        <v/>
      </c>
      <c r="I1989" s="5"/>
      <c r="J1989" s="5"/>
      <c r="K1989" s="6"/>
      <c r="L1989" s="6"/>
      <c r="M1989" s="7" t="str">
        <f t="shared" si="96"/>
        <v/>
      </c>
      <c r="N1989" s="6"/>
      <c r="O1989" s="5"/>
    </row>
    <row r="1990" spans="1:15" x14ac:dyDescent="0.2">
      <c r="A1990" s="3" t="str">
        <f>IF($B1990="","",COUNTA($B$9:$B1990))</f>
        <v/>
      </c>
      <c r="B1990" s="4"/>
      <c r="C1990" s="4"/>
      <c r="D1990" s="4"/>
      <c r="E1990" s="5"/>
      <c r="F1990" s="3" t="str">
        <f t="shared" si="94"/>
        <v/>
      </c>
      <c r="G1990" s="4"/>
      <c r="H1990" s="3" t="str">
        <f t="shared" si="95"/>
        <v/>
      </c>
      <c r="I1990" s="5"/>
      <c r="J1990" s="5"/>
      <c r="K1990" s="6"/>
      <c r="L1990" s="6"/>
      <c r="M1990" s="7" t="str">
        <f t="shared" si="96"/>
        <v/>
      </c>
      <c r="N1990" s="6"/>
      <c r="O1990" s="5"/>
    </row>
    <row r="1991" spans="1:15" x14ac:dyDescent="0.2">
      <c r="A1991" s="3" t="str">
        <f>IF($B1991="","",COUNTA($B$9:$B1991))</f>
        <v/>
      </c>
      <c r="B1991" s="4"/>
      <c r="C1991" s="4"/>
      <c r="D1991" s="4"/>
      <c r="E1991" s="5"/>
      <c r="F1991" s="3" t="str">
        <f t="shared" si="94"/>
        <v/>
      </c>
      <c r="G1991" s="4"/>
      <c r="H1991" s="3" t="str">
        <f t="shared" si="95"/>
        <v/>
      </c>
      <c r="I1991" s="5"/>
      <c r="J1991" s="5"/>
      <c r="K1991" s="6"/>
      <c r="L1991" s="6"/>
      <c r="M1991" s="7" t="str">
        <f t="shared" si="96"/>
        <v/>
      </c>
      <c r="N1991" s="6"/>
      <c r="O1991" s="5"/>
    </row>
    <row r="1992" spans="1:15" x14ac:dyDescent="0.2">
      <c r="A1992" s="3" t="str">
        <f>IF($B1992="","",COUNTA($B$9:$B1992))</f>
        <v/>
      </c>
      <c r="B1992" s="4"/>
      <c r="C1992" s="4"/>
      <c r="D1992" s="4"/>
      <c r="E1992" s="5"/>
      <c r="F1992" s="3" t="str">
        <f t="shared" ref="F1992:F2007" si="97">IF($E1992="","",IFERROR(VLOOKUP($E1992,OpTbl,2,0),""))</f>
        <v/>
      </c>
      <c r="G1992" s="4"/>
      <c r="H1992" s="3" t="str">
        <f t="shared" ref="H1992:H2007" si="98">IF($G1992="","",IFERROR(IF(VLOOKUP($G1992,AcctTbl,4,0)="","(بدون نام)",VLOOKUP($G1992,AcctTbl,4,0)),"کد ناشناخته"))</f>
        <v/>
      </c>
      <c r="I1992" s="5"/>
      <c r="J1992" s="5"/>
      <c r="K1992" s="6"/>
      <c r="L1992" s="6"/>
      <c r="M1992" s="7" t="str">
        <f t="shared" ref="M1992:M2007" si="99">IF(OR($B1992="",$K1992=""),"",($K1992-IF($L1992="",0,$L1992)*IFERROR(VLOOKUP("P01",ParamTbl,3,0),1.5))*(1-IF(IFERROR(VLOOKUP($E1992,OpTbl,3,0),"")="خرید",IFERROR(VLOOKUP("P02",ParamTbl,3,0),1),0)/100))</f>
        <v/>
      </c>
      <c r="N1992" s="6"/>
      <c r="O1992" s="5"/>
    </row>
    <row r="1993" spans="1:15" x14ac:dyDescent="0.2">
      <c r="A1993" s="3" t="str">
        <f>IF($B1993="","",COUNTA($B$9:$B1993))</f>
        <v/>
      </c>
      <c r="B1993" s="4"/>
      <c r="C1993" s="4"/>
      <c r="D1993" s="4"/>
      <c r="E1993" s="5"/>
      <c r="F1993" s="3" t="str">
        <f t="shared" si="97"/>
        <v/>
      </c>
      <c r="G1993" s="4"/>
      <c r="H1993" s="3" t="str">
        <f t="shared" si="98"/>
        <v/>
      </c>
      <c r="I1993" s="5"/>
      <c r="J1993" s="5"/>
      <c r="K1993" s="6"/>
      <c r="L1993" s="6"/>
      <c r="M1993" s="7" t="str">
        <f t="shared" si="99"/>
        <v/>
      </c>
      <c r="N1993" s="6"/>
      <c r="O1993" s="5"/>
    </row>
    <row r="1994" spans="1:15" x14ac:dyDescent="0.2">
      <c r="A1994" s="3" t="str">
        <f>IF($B1994="","",COUNTA($B$9:$B1994))</f>
        <v/>
      </c>
      <c r="B1994" s="4"/>
      <c r="C1994" s="4"/>
      <c r="D1994" s="4"/>
      <c r="E1994" s="5"/>
      <c r="F1994" s="3" t="str">
        <f t="shared" si="97"/>
        <v/>
      </c>
      <c r="G1994" s="4"/>
      <c r="H1994" s="3" t="str">
        <f t="shared" si="98"/>
        <v/>
      </c>
      <c r="I1994" s="5"/>
      <c r="J1994" s="5"/>
      <c r="K1994" s="6"/>
      <c r="L1994" s="6"/>
      <c r="M1994" s="7" t="str">
        <f t="shared" si="99"/>
        <v/>
      </c>
      <c r="N1994" s="6"/>
      <c r="O1994" s="5"/>
    </row>
    <row r="1995" spans="1:15" x14ac:dyDescent="0.2">
      <c r="A1995" s="3" t="str">
        <f>IF($B1995="","",COUNTA($B$9:$B1995))</f>
        <v/>
      </c>
      <c r="B1995" s="4"/>
      <c r="C1995" s="4"/>
      <c r="D1995" s="4"/>
      <c r="E1995" s="5"/>
      <c r="F1995" s="3" t="str">
        <f t="shared" si="97"/>
        <v/>
      </c>
      <c r="G1995" s="4"/>
      <c r="H1995" s="3" t="str">
        <f t="shared" si="98"/>
        <v/>
      </c>
      <c r="I1995" s="5"/>
      <c r="J1995" s="5"/>
      <c r="K1995" s="6"/>
      <c r="L1995" s="6"/>
      <c r="M1995" s="7" t="str">
        <f t="shared" si="99"/>
        <v/>
      </c>
      <c r="N1995" s="6"/>
      <c r="O1995" s="5"/>
    </row>
    <row r="1996" spans="1:15" x14ac:dyDescent="0.2">
      <c r="A1996" s="3" t="str">
        <f>IF($B1996="","",COUNTA($B$9:$B1996))</f>
        <v/>
      </c>
      <c r="B1996" s="4"/>
      <c r="C1996" s="4"/>
      <c r="D1996" s="4"/>
      <c r="E1996" s="5"/>
      <c r="F1996" s="3" t="str">
        <f t="shared" si="97"/>
        <v/>
      </c>
      <c r="G1996" s="4"/>
      <c r="H1996" s="3" t="str">
        <f t="shared" si="98"/>
        <v/>
      </c>
      <c r="I1996" s="5"/>
      <c r="J1996" s="5"/>
      <c r="K1996" s="6"/>
      <c r="L1996" s="6"/>
      <c r="M1996" s="7" t="str">
        <f t="shared" si="99"/>
        <v/>
      </c>
      <c r="N1996" s="6"/>
      <c r="O1996" s="5"/>
    </row>
    <row r="1997" spans="1:15" x14ac:dyDescent="0.2">
      <c r="A1997" s="3" t="str">
        <f>IF($B1997="","",COUNTA($B$9:$B1997))</f>
        <v/>
      </c>
      <c r="B1997" s="4"/>
      <c r="C1997" s="4"/>
      <c r="D1997" s="4"/>
      <c r="E1997" s="5"/>
      <c r="F1997" s="3" t="str">
        <f t="shared" si="97"/>
        <v/>
      </c>
      <c r="G1997" s="4"/>
      <c r="H1997" s="3" t="str">
        <f t="shared" si="98"/>
        <v/>
      </c>
      <c r="I1997" s="5"/>
      <c r="J1997" s="5"/>
      <c r="K1997" s="6"/>
      <c r="L1997" s="6"/>
      <c r="M1997" s="7" t="str">
        <f t="shared" si="99"/>
        <v/>
      </c>
      <c r="N1997" s="6"/>
      <c r="O1997" s="5"/>
    </row>
    <row r="1998" spans="1:15" x14ac:dyDescent="0.2">
      <c r="A1998" s="3" t="str">
        <f>IF($B1998="","",COUNTA($B$9:$B1998))</f>
        <v/>
      </c>
      <c r="B1998" s="4"/>
      <c r="C1998" s="4"/>
      <c r="D1998" s="4"/>
      <c r="E1998" s="5"/>
      <c r="F1998" s="3" t="str">
        <f t="shared" si="97"/>
        <v/>
      </c>
      <c r="G1998" s="4"/>
      <c r="H1998" s="3" t="str">
        <f t="shared" si="98"/>
        <v/>
      </c>
      <c r="I1998" s="5"/>
      <c r="J1998" s="5"/>
      <c r="K1998" s="6"/>
      <c r="L1998" s="6"/>
      <c r="M1998" s="7" t="str">
        <f t="shared" si="99"/>
        <v/>
      </c>
      <c r="N1998" s="6"/>
      <c r="O1998" s="5"/>
    </row>
    <row r="1999" spans="1:15" x14ac:dyDescent="0.2">
      <c r="A1999" s="3" t="str">
        <f>IF($B1999="","",COUNTA($B$9:$B1999))</f>
        <v/>
      </c>
      <c r="B1999" s="4"/>
      <c r="C1999" s="4"/>
      <c r="D1999" s="4"/>
      <c r="E1999" s="5"/>
      <c r="F1999" s="3" t="str">
        <f t="shared" si="97"/>
        <v/>
      </c>
      <c r="G1999" s="4"/>
      <c r="H1999" s="3" t="str">
        <f t="shared" si="98"/>
        <v/>
      </c>
      <c r="I1999" s="5"/>
      <c r="J1999" s="5"/>
      <c r="K1999" s="6"/>
      <c r="L1999" s="6"/>
      <c r="M1999" s="7" t="str">
        <f t="shared" si="99"/>
        <v/>
      </c>
      <c r="N1999" s="6"/>
      <c r="O1999" s="5"/>
    </row>
    <row r="2000" spans="1:15" x14ac:dyDescent="0.2">
      <c r="A2000" s="3" t="str">
        <f>IF($B2000="","",COUNTA($B$9:$B2000))</f>
        <v/>
      </c>
      <c r="B2000" s="4"/>
      <c r="C2000" s="4"/>
      <c r="D2000" s="4"/>
      <c r="E2000" s="5"/>
      <c r="F2000" s="3" t="str">
        <f t="shared" si="97"/>
        <v/>
      </c>
      <c r="G2000" s="4"/>
      <c r="H2000" s="3" t="str">
        <f t="shared" si="98"/>
        <v/>
      </c>
      <c r="I2000" s="5"/>
      <c r="J2000" s="5"/>
      <c r="K2000" s="6"/>
      <c r="L2000" s="6"/>
      <c r="M2000" s="7" t="str">
        <f t="shared" si="99"/>
        <v/>
      </c>
      <c r="N2000" s="6"/>
      <c r="O2000" s="5"/>
    </row>
    <row r="2001" spans="1:15" x14ac:dyDescent="0.2">
      <c r="A2001" s="3" t="str">
        <f>IF($B2001="","",COUNTA($B$9:$B2001))</f>
        <v/>
      </c>
      <c r="B2001" s="4"/>
      <c r="C2001" s="4"/>
      <c r="D2001" s="4"/>
      <c r="E2001" s="5"/>
      <c r="F2001" s="3" t="str">
        <f t="shared" si="97"/>
        <v/>
      </c>
      <c r="G2001" s="4"/>
      <c r="H2001" s="3" t="str">
        <f t="shared" si="98"/>
        <v/>
      </c>
      <c r="I2001" s="5"/>
      <c r="J2001" s="5"/>
      <c r="K2001" s="6"/>
      <c r="L2001" s="6"/>
      <c r="M2001" s="7" t="str">
        <f t="shared" si="99"/>
        <v/>
      </c>
      <c r="N2001" s="6"/>
      <c r="O2001" s="5"/>
    </row>
    <row r="2002" spans="1:15" x14ac:dyDescent="0.2">
      <c r="A2002" s="3" t="str">
        <f>IF($B2002="","",COUNTA($B$9:$B2002))</f>
        <v/>
      </c>
      <c r="B2002" s="4"/>
      <c r="C2002" s="4"/>
      <c r="D2002" s="4"/>
      <c r="E2002" s="5"/>
      <c r="F2002" s="3" t="str">
        <f t="shared" si="97"/>
        <v/>
      </c>
      <c r="G2002" s="4"/>
      <c r="H2002" s="3" t="str">
        <f t="shared" si="98"/>
        <v/>
      </c>
      <c r="I2002" s="5"/>
      <c r="J2002" s="5"/>
      <c r="K2002" s="6"/>
      <c r="L2002" s="6"/>
      <c r="M2002" s="7" t="str">
        <f t="shared" si="99"/>
        <v/>
      </c>
      <c r="N2002" s="6"/>
      <c r="O2002" s="5"/>
    </row>
    <row r="2003" spans="1:15" x14ac:dyDescent="0.2">
      <c r="A2003" s="3" t="str">
        <f>IF($B2003="","",COUNTA($B$9:$B2003))</f>
        <v/>
      </c>
      <c r="B2003" s="4"/>
      <c r="C2003" s="4"/>
      <c r="D2003" s="4"/>
      <c r="E2003" s="5"/>
      <c r="F2003" s="3" t="str">
        <f t="shared" si="97"/>
        <v/>
      </c>
      <c r="G2003" s="4"/>
      <c r="H2003" s="3" t="str">
        <f t="shared" si="98"/>
        <v/>
      </c>
      <c r="I2003" s="5"/>
      <c r="J2003" s="5"/>
      <c r="K2003" s="6"/>
      <c r="L2003" s="6"/>
      <c r="M2003" s="7" t="str">
        <f t="shared" si="99"/>
        <v/>
      </c>
      <c r="N2003" s="6"/>
      <c r="O2003" s="5"/>
    </row>
    <row r="2004" spans="1:15" x14ac:dyDescent="0.2">
      <c r="A2004" s="3" t="str">
        <f>IF($B2004="","",COUNTA($B$9:$B2004))</f>
        <v/>
      </c>
      <c r="B2004" s="4"/>
      <c r="C2004" s="4"/>
      <c r="D2004" s="4"/>
      <c r="E2004" s="5"/>
      <c r="F2004" s="3" t="str">
        <f t="shared" si="97"/>
        <v/>
      </c>
      <c r="G2004" s="4"/>
      <c r="H2004" s="3" t="str">
        <f t="shared" si="98"/>
        <v/>
      </c>
      <c r="I2004" s="5"/>
      <c r="J2004" s="5"/>
      <c r="K2004" s="6"/>
      <c r="L2004" s="6"/>
      <c r="M2004" s="7" t="str">
        <f t="shared" si="99"/>
        <v/>
      </c>
      <c r="N2004" s="6"/>
      <c r="O2004" s="5"/>
    </row>
    <row r="2005" spans="1:15" x14ac:dyDescent="0.2">
      <c r="A2005" s="3" t="str">
        <f>IF($B2005="","",COUNTA($B$9:$B2005))</f>
        <v/>
      </c>
      <c r="B2005" s="4"/>
      <c r="C2005" s="4"/>
      <c r="D2005" s="4"/>
      <c r="E2005" s="5"/>
      <c r="F2005" s="3" t="str">
        <f t="shared" si="97"/>
        <v/>
      </c>
      <c r="G2005" s="4"/>
      <c r="H2005" s="3" t="str">
        <f t="shared" si="98"/>
        <v/>
      </c>
      <c r="I2005" s="5"/>
      <c r="J2005" s="5"/>
      <c r="K2005" s="6"/>
      <c r="L2005" s="6"/>
      <c r="M2005" s="7" t="str">
        <f t="shared" si="99"/>
        <v/>
      </c>
      <c r="N2005" s="6"/>
      <c r="O2005" s="5"/>
    </row>
    <row r="2006" spans="1:15" x14ac:dyDescent="0.2">
      <c r="A2006" s="3" t="str">
        <f>IF($B2006="","",COUNTA($B$9:$B2006))</f>
        <v/>
      </c>
      <c r="B2006" s="4"/>
      <c r="C2006" s="4"/>
      <c r="D2006" s="4"/>
      <c r="E2006" s="5"/>
      <c r="F2006" s="3" t="str">
        <f t="shared" si="97"/>
        <v/>
      </c>
      <c r="G2006" s="4"/>
      <c r="H2006" s="3" t="str">
        <f t="shared" si="98"/>
        <v/>
      </c>
      <c r="I2006" s="5"/>
      <c r="J2006" s="5"/>
      <c r="K2006" s="6"/>
      <c r="L2006" s="6"/>
      <c r="M2006" s="7" t="str">
        <f t="shared" si="99"/>
        <v/>
      </c>
      <c r="N2006" s="6"/>
      <c r="O2006" s="5"/>
    </row>
    <row r="2007" spans="1:15" x14ac:dyDescent="0.2">
      <c r="A2007" s="3" t="str">
        <f>IF($B2007="","",COUNTA($B$9:$B2007))</f>
        <v/>
      </c>
      <c r="B2007" s="4"/>
      <c r="C2007" s="4"/>
      <c r="D2007" s="4"/>
      <c r="E2007" s="5"/>
      <c r="F2007" s="3" t="str">
        <f t="shared" si="97"/>
        <v/>
      </c>
      <c r="G2007" s="4"/>
      <c r="H2007" s="3" t="str">
        <f t="shared" si="98"/>
        <v/>
      </c>
      <c r="I2007" s="5"/>
      <c r="J2007" s="5"/>
      <c r="K2007" s="6"/>
      <c r="L2007" s="6"/>
      <c r="M2007" s="7" t="str">
        <f t="shared" si="99"/>
        <v/>
      </c>
      <c r="N2007" s="6"/>
      <c r="O2007" s="5"/>
    </row>
  </sheetData>
  <mergeCells count="14">
    <mergeCell ref="A1:O1"/>
    <mergeCell ref="E5:F5"/>
    <mergeCell ref="G6:H6"/>
    <mergeCell ref="A4:O4"/>
    <mergeCell ref="A6:B6"/>
    <mergeCell ref="A3:O3"/>
    <mergeCell ref="I6:K6"/>
    <mergeCell ref="E6:F6"/>
    <mergeCell ref="C6:D6"/>
    <mergeCell ref="A2:O2"/>
    <mergeCell ref="I5:K5"/>
    <mergeCell ref="C5:D5"/>
    <mergeCell ref="A5:B5"/>
    <mergeCell ref="G5:H5"/>
  </mergeCells>
  <conditionalFormatting sqref="F9:F2007">
    <cfRule type="cellIs" dxfId="3" priority="1" operator="equal">
      <formula>"ورود"</formula>
    </cfRule>
    <cfRule type="cellIs" dxfId="2" priority="2" operator="equal">
      <formula>"خروج"</formula>
    </cfRule>
  </conditionalFormatting>
  <conditionalFormatting sqref="M9:M2007">
    <cfRule type="cellIs" dxfId="1" priority="3" operator="lessThan">
      <formula>0</formula>
    </cfRule>
  </conditionalFormatting>
  <conditionalFormatting sqref="H9:H2007">
    <cfRule type="cellIs" dxfId="0" priority="4" operator="equal">
      <formula>"کد ناشناخته"</formula>
    </cfRule>
  </conditionalFormatting>
  <dataValidations xWindow="314" yWindow="262" count="9">
    <dataValidation type="custom" errorStyle="warning" allowBlank="1" errorTitle="قالب تاریخ" error="تاریخ شمسی با قالب 1405/07/10 یا 14050710 وارد کنید (ارقام لاتین)." sqref="B9:B2007">
      <formula1>AND(LEN($B9)=10,MID($B9,5,1)="/",MID($B9,8,1)="/",ISNUMBER(VALUE(LEFT($B9,4))),ISNUMBER(VALUE(MID($B9,6,2))),ISNUMBER(VALUE(MID($B9,9,2))))</formula1>
    </dataValidation>
    <dataValidation type="custom" errorStyle="warning" allowBlank="1" errorTitle="قالب ساعت" error="ساعت را با قالب 24 ساعته 09:30 یا 9:30 وارد کنید." sqref="C9:C2007">
      <formula1>OR(AND(ISNUMBER($C9),$C9&gt;=0,$C9&lt;1),AND(LEN($C9)=5,MID($C9,3,1)=":",ISNUMBER(VALUE(LEFT($C9,2))),ISNUMBER(VALUE(MID($C9,4,2)))))</formula1>
    </dataValidation>
    <dataValidation type="list" allowBlank="1" showInputMessage="1" errorTitle="عملیات نامعتبر" error="عنوان عملیات از فایل مادر (INFO ← شیت Ops) انتخاب شود." promptTitle="نوع عملیات" prompt="جهت (ورود/خروج) و گروه اصلی از همین انتخاب خودکار می‌آیند." sqref="E9:E2007">
      <formula1>ListOps</formula1>
    </dataValidation>
    <dataValidation type="custom" allowBlank="1" showInputMessage="1" errorTitle="کد حساب نامعتبر" error="این کد در فایل INFO (شیت Accounts — دفتر حساب‌ها) یافت نشد. کدها: C…، SL…، S…، E…، X…" promptTitle="کد حساب" prompt="کد را تایپ کنید؛ نام صاحب حساب خودکار می‌آید (منبع: INFO ← Accounts)." sqref="G9:G2007">
      <formula1>OR($G9="",COUNTIF(AcctCodes,$G9)&gt;0)</formula1>
    </dataValidation>
    <dataValidation type="list" allowBlank="1" showInputMessage="1" promptTitle="نوع مرکبات" prompt="فهرست از INFO ← شیت Lists (دسته محصولات)." sqref="J9:J2007">
      <formula1>ListCitrus</formula1>
    </dataValidation>
    <dataValidation type="decimal" errorStyle="warning" operator="greaterThanOrEqual" allowBlank="1" errorTitle="وزن باسکول" error="وزن باسکول باید عددی مثبت (کیلوگرم) باشد." sqref="K9:K2007">
      <formula1>0</formula1>
    </dataValidation>
    <dataValidation type="whole" errorStyle="warning" operator="greaterThanOrEqual" allowBlank="1" errorTitle="تعداد سبد" error="تعداد سبد باید عدد صحیح مثبت باشد." sqref="L9:L2007">
      <formula1>0</formula1>
    </dataValidation>
    <dataValidation type="decimal" errorStyle="warning" operator="greaterThanOrEqual" allowBlank="1" errorTitle="مبلغ" error="مبلغ باید عددی مثبت (ریال) باشد." sqref="N9:N2007">
      <formula1>0</formula1>
    </dataValidation>
    <dataValidation type="list" allowBlank="1" showInputMessage="1" promptTitle="زیرگروه (اختیاری)" prompt="بر اساس گروه اصلی عملیات انتخابی — زیرگروه‌ها در INFO ← SubGroups قابل گسترش‌اند." sqref="I9:I2007">
      <formula1>IFERROR(OFFSET($AD$6,0,MATCH(VLOOKUP($E9,OpTbl,3,0),$AD$5:$AW$5,0)-1,MAX(COUNTIF(OFFSET($AD$6,0,MATCH(VLOOKUP($E9,OpTbl,3,0),$AD$5:$AW$5,0)-1,100,1),"?*"),1),1),OFFSET($AD$6,0,0,1,1))</formula1>
    </dataValidation>
  </dataValidations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دفتر باسکول — ورود و خروج کالا&amp;R&amp;"Tahoma"&amp;8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ignoredErrors>
    <ignoredError sqref="D13:D16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AV565"/>
  <sheetViews>
    <sheetView showGridLines="0" topLeftCell="K1" zoomScale="70" zoomScaleNormal="70" workbookViewId="0">
      <pane ySplit="5" topLeftCell="A6" activePane="bottomLeft" state="frozen"/>
      <selection pane="bottomLeft" activeCell="AA14" sqref="AA14"/>
    </sheetView>
  </sheetViews>
  <sheetFormatPr defaultRowHeight="14.25" x14ac:dyDescent="0.2"/>
  <cols>
    <col min="1" max="1" width="9" customWidth="1"/>
    <col min="2" max="2" width="22" customWidth="1"/>
    <col min="3" max="3" width="10" customWidth="1"/>
    <col min="4" max="4" width="14" customWidth="1"/>
    <col min="6" max="6" width="9" customWidth="1"/>
    <col min="7" max="7" width="14" customWidth="1"/>
    <col min="8" max="8" width="20" customWidth="1"/>
    <col min="9" max="9" width="26" customWidth="1"/>
    <col min="11" max="11" width="16" customWidth="1"/>
    <col min="13" max="13" width="9" customWidth="1"/>
    <col min="14" max="14" width="24" customWidth="1"/>
    <col min="15" max="15" width="10" customWidth="1"/>
    <col min="17" max="17" width="30" customWidth="1"/>
    <col min="19" max="19" width="7" customWidth="1"/>
    <col min="20" max="20" width="24" customWidth="1"/>
    <col min="22" max="22" width="9" customWidth="1"/>
    <col min="23" max="23" width="14" customWidth="1"/>
    <col min="25" max="25" width="10" customWidth="1"/>
    <col min="26" max="26" width="14" customWidth="1"/>
    <col min="27" max="27" width="24" customWidth="1"/>
  </cols>
  <sheetData>
    <row r="1" spans="1:48" ht="26.1" customHeight="1" x14ac:dyDescent="0.2">
      <c r="A1" s="9" t="s">
        <v>62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</row>
    <row r="2" spans="1:48" ht="14.1" customHeight="1" x14ac:dyDescent="0.2">
      <c r="A2" s="16" t="s">
        <v>63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 spans="1:48" x14ac:dyDescent="0.2">
      <c r="A3" s="17" t="s">
        <v>64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</row>
    <row r="5" spans="1:48" ht="21" x14ac:dyDescent="0.2">
      <c r="A5" s="8" t="s">
        <v>65</v>
      </c>
      <c r="B5" s="8" t="s">
        <v>66</v>
      </c>
      <c r="C5" s="8" t="s">
        <v>67</v>
      </c>
      <c r="D5" s="8" t="s">
        <v>68</v>
      </c>
      <c r="F5" s="8" t="s">
        <v>69</v>
      </c>
      <c r="G5" s="8" t="s">
        <v>70</v>
      </c>
      <c r="H5" s="8" t="s">
        <v>71</v>
      </c>
      <c r="I5" s="8" t="s">
        <v>72</v>
      </c>
      <c r="K5" s="8" t="s">
        <v>73</v>
      </c>
      <c r="M5" s="8" t="s">
        <v>74</v>
      </c>
      <c r="N5" s="8" t="s">
        <v>72</v>
      </c>
      <c r="O5" s="8" t="s">
        <v>75</v>
      </c>
      <c r="Q5" s="8" t="s">
        <v>76</v>
      </c>
      <c r="S5" s="8" t="s">
        <v>77</v>
      </c>
      <c r="T5" s="8" t="s">
        <v>78</v>
      </c>
      <c r="V5" s="8" t="s">
        <v>79</v>
      </c>
      <c r="W5" s="8" t="s">
        <v>66</v>
      </c>
      <c r="AD5" t="str">
        <f>IF($W$6="","",$W$6)</f>
        <v>خرید</v>
      </c>
      <c r="AF5" t="str">
        <f>IF($W$7="","",$W$7)</f>
        <v>فروش(صافی)</v>
      </c>
      <c r="AH5" t="str">
        <f>IF($W$8="","",$W$8)</f>
        <v>هزینه</v>
      </c>
      <c r="AJ5" t="str">
        <f>IF($W$9="","",$W$9)</f>
        <v>شخصی قاسم</v>
      </c>
      <c r="AL5" t="str">
        <f>IF($W$10="","",$W$10)</f>
        <v>وام و تسهیلات</v>
      </c>
      <c r="AN5" t="str">
        <f>IF($W$11="","",$W$11)</f>
        <v>سرمایه و آورده</v>
      </c>
      <c r="AP5" t="str">
        <f>IF($W$12="","",$W$12)</f>
        <v>دارایی ثابت</v>
      </c>
      <c r="AR5" t="str">
        <f>IF($W$13="","",$W$13)</f>
        <v/>
      </c>
      <c r="AT5" t="str">
        <f>IF($W$14="","",$W$14)</f>
        <v/>
      </c>
      <c r="AV5" t="str">
        <f>IF($W$15="","",$W$15)</f>
        <v/>
      </c>
    </row>
    <row r="6" spans="1:48" x14ac:dyDescent="0.2">
      <c r="A6" t="str">
        <f>IF([1]Ops!$B$7="","",[1]Ops!$A$7)</f>
        <v>OP01</v>
      </c>
      <c r="B6" t="str">
        <f>IF([1]Ops!$B$7="","",[1]Ops!$B$7)</f>
        <v>خرید مرکبات</v>
      </c>
      <c r="C6" t="str">
        <f>IF([1]Ops!$B$7="","",[1]Ops!$C$7)</f>
        <v>ورود</v>
      </c>
      <c r="D6" t="str">
        <f>IF([1]Ops!$B$7="","",[1]Ops!$D$7)</f>
        <v>خرید</v>
      </c>
      <c r="F6" t="str">
        <f>IF([1]Accounts!$D$7="","",[1]Accounts!$A$7)</f>
        <v>C001</v>
      </c>
      <c r="G6" t="str">
        <f>IF([1]Accounts!$D$7="","",[1]Accounts!$B$7)</f>
        <v>فروشنده</v>
      </c>
      <c r="H6" t="str">
        <f>IF([1]Accounts!$D$7="","",[1]Accounts!$C$7)</f>
        <v>عمده</v>
      </c>
      <c r="I6" t="str">
        <f>IF([1]Accounts!$D$7="","",[1]Accounts!$D$7)</f>
        <v>زینب زاهدی</v>
      </c>
      <c r="K6" t="str">
        <f>IF([1]Lists!$C$7="","",[1]Lists!$C$7)</f>
        <v>پرتقال</v>
      </c>
      <c r="M6" t="str">
        <f>IF([1]Params!$A$7="","",[1]Params!$A$7)</f>
        <v>P01</v>
      </c>
      <c r="N6" t="str">
        <f>IF([1]Params!$B$7="","",[1]Params!$B$7)</f>
        <v>وزن هر سبد (تار)</v>
      </c>
      <c r="O6">
        <f>[1]Params!$C$7</f>
        <v>1.5</v>
      </c>
      <c r="Q6" t="str">
        <f>IF([1]Company!$C$5="","",[1]Company!$C$5)</f>
        <v>سورتینگ و بسته‌بندی مرکبات مازندشت</v>
      </c>
      <c r="S6">
        <f>COUNTIF($B$6:$B6,"?*")</f>
        <v>1</v>
      </c>
      <c r="T6" t="str">
        <f t="shared" ref="T6:T25" si="0">IFERROR(INDEX($B$6:$B$25,MATCH(ROW()-5,$S$6:$S$25,0)),"")</f>
        <v>خرید مرکبات</v>
      </c>
      <c r="V6" t="str">
        <f>IF([1]MainGroups!$B$7="","",[1]MainGroups!$A$7)</f>
        <v>G01</v>
      </c>
      <c r="W6" t="str">
        <f>IF([1]MainGroups!$B$7="","",[1]MainGroups!$B$7)</f>
        <v>خرید</v>
      </c>
      <c r="Y6" t="str">
        <f>IF([1]SubGroups!$C$7="","",[1]SubGroups!$A$7)</f>
        <v>SG001</v>
      </c>
      <c r="Z6" t="str">
        <f>IF([1]SubGroups!$C$7="","",[1]SubGroups!$B$7)</f>
        <v>هزینه</v>
      </c>
      <c r="AA6" t="str">
        <f>IF([1]SubGroups!$C$7="","",[1]SubGroups!$C$7)</f>
        <v>مواد غذایی</v>
      </c>
      <c r="AC6">
        <f>COUNTIFS($Z$6:$Z6,$AD$5,$AA$6:$AA6,"?*")</f>
        <v>0</v>
      </c>
      <c r="AD6" t="str">
        <f t="shared" ref="AD6:AD37" si="1">IFERROR(INDEX($AA$6:$AA$105,MATCH(ROW()-5,$AC$6:$AC$105,0)),"")</f>
        <v>مرکبات سردرختی</v>
      </c>
      <c r="AE6">
        <f>COUNTIFS($Z$6:$Z6,$AF$5,$AA$6:$AA6,"?*")</f>
        <v>0</v>
      </c>
      <c r="AF6" t="str">
        <f t="shared" ref="AF6:AF37" si="2">IFERROR(INDEX($AA$6:$AA$105,MATCH(ROW()-5,$AE$6:$AE$105,0)),"")</f>
        <v/>
      </c>
      <c r="AG6">
        <f>COUNTIFS($Z$6:$Z6,$AH$5,$AA$6:$AA6,"?*")</f>
        <v>1</v>
      </c>
      <c r="AH6" t="str">
        <f t="shared" ref="AH6:AH37" si="3">IFERROR(INDEX($AA$6:$AA$105,MATCH(ROW()-5,$AG$6:$AG$105,0)),"")</f>
        <v>مواد غذایی</v>
      </c>
      <c r="AI6">
        <f>COUNTIFS($Z$6:$Z6,$AJ$5,$AA$6:$AA6,"?*")</f>
        <v>0</v>
      </c>
      <c r="AJ6" t="str">
        <f t="shared" ref="AJ6:AJ37" si="4">IFERROR(INDEX($AA$6:$AA$105,MATCH(ROW()-5,$AI$6:$AI$105,0)),"")</f>
        <v>تعمیر لوازم</v>
      </c>
      <c r="AK6">
        <f>COUNTIFS($Z$6:$Z6,$AL$5,$AA$6:$AA6,"?*")</f>
        <v>0</v>
      </c>
      <c r="AL6" t="str">
        <f t="shared" ref="AL6:AL37" si="5">IFERROR(INDEX($AA$6:$AA$105,MATCH(ROW()-5,$AK$6:$AK$105,0)),"")</f>
        <v/>
      </c>
      <c r="AM6">
        <f>COUNTIFS($Z$6:$Z6,$AN$5,$AA$6:$AA6,"?*")</f>
        <v>0</v>
      </c>
      <c r="AN6" t="str">
        <f t="shared" ref="AN6:AN37" si="6">IFERROR(INDEX($AA$6:$AA$105,MATCH(ROW()-5,$AM$6:$AM$105,0)),"")</f>
        <v/>
      </c>
      <c r="AO6">
        <f>COUNTIFS($Z$6:$Z6,$AP$5,$AA$6:$AA6,"?*")</f>
        <v>0</v>
      </c>
      <c r="AP6" t="str">
        <f t="shared" ref="AP6:AP37" si="7">IFERROR(INDEX($AA$6:$AA$105,MATCH(ROW()-5,$AO$6:$AO$105,0)),"")</f>
        <v/>
      </c>
      <c r="AQ6">
        <f>COUNTIFS($Z$6:$Z6,$AR$5,$AA$6:$AA6,"?*")</f>
        <v>0</v>
      </c>
      <c r="AR6" t="str">
        <f t="shared" ref="AR6:AR37" si="8">IFERROR(INDEX($AA$6:$AA$105,MATCH(ROW()-5,$AQ$6:$AQ$105,0)),"")</f>
        <v/>
      </c>
      <c r="AS6">
        <f>COUNTIFS($Z$6:$Z6,$AT$5,$AA$6:$AA6,"?*")</f>
        <v>0</v>
      </c>
      <c r="AT6" t="str">
        <f t="shared" ref="AT6:AT37" si="9">IFERROR(INDEX($AA$6:$AA$105,MATCH(ROW()-5,$AS$6:$AS$105,0)),"")</f>
        <v/>
      </c>
      <c r="AU6">
        <f>COUNTIFS($Z$6:$Z6,$AV$5,$AA$6:$AA6,"?*")</f>
        <v>0</v>
      </c>
      <c r="AV6" t="str">
        <f t="shared" ref="AV6:AV37" si="10">IFERROR(INDEX($AA$6:$AA$105,MATCH(ROW()-5,$AU$6:$AU$105,0)),"")</f>
        <v/>
      </c>
    </row>
    <row r="7" spans="1:48" x14ac:dyDescent="0.2">
      <c r="A7" t="str">
        <f>IF([1]Ops!$B$8="","",[1]Ops!$A$8)</f>
        <v>OP02</v>
      </c>
      <c r="B7" t="str">
        <f>IF([1]Ops!$B$8="","",[1]Ops!$B$8)</f>
        <v>فروش</v>
      </c>
      <c r="C7" t="str">
        <f>IF([1]Ops!$B$8="","",[1]Ops!$C$8)</f>
        <v>خروج</v>
      </c>
      <c r="D7" t="str">
        <f>IF([1]Ops!$B$8="","",[1]Ops!$D$8)</f>
        <v>فروش</v>
      </c>
      <c r="F7" t="str">
        <f>IF([1]Accounts!$D$8="","",[1]Accounts!$A$8)</f>
        <v>C002</v>
      </c>
      <c r="G7" t="str">
        <f>IF([1]Accounts!$D$8="","",[1]Accounts!$B$8)</f>
        <v>فروشنده</v>
      </c>
      <c r="H7" t="str">
        <f>IF([1]Accounts!$D$8="","",[1]Accounts!$C$8)</f>
        <v>صادراتی</v>
      </c>
      <c r="I7" t="str">
        <f>IF([1]Accounts!$D$8="","",[1]Accounts!$D$8)</f>
        <v>سید عباس موسوی</v>
      </c>
      <c r="K7" t="str">
        <f>IF([1]Lists!$C$8="","",[1]Lists!$C$8)</f>
        <v>نارنگی</v>
      </c>
      <c r="M7" t="str">
        <f>IF([1]Params!$A$8="","",[1]Params!$A$8)</f>
        <v>P02</v>
      </c>
      <c r="N7" t="str">
        <f>IF([1]Params!$B$8="","",[1]Params!$B$8)</f>
        <v>درصد افت</v>
      </c>
      <c r="O7">
        <f>[1]Params!$C$8</f>
        <v>1</v>
      </c>
      <c r="Q7" t="str">
        <f>IF([1]Company!$C$8="","",[1]Company!$C$8)</f>
        <v>باغدشت، بخش مرکزی، شهرستان قائم‌شهر، استان مازندران، ایران</v>
      </c>
      <c r="S7">
        <f>COUNTIF($B$6:$B7,"?*")</f>
        <v>2</v>
      </c>
      <c r="T7" t="str">
        <f t="shared" si="0"/>
        <v>فروش</v>
      </c>
      <c r="V7" t="str">
        <f>IF([1]MainGroups!$B$8="","",[1]MainGroups!$A$8)</f>
        <v>G02</v>
      </c>
      <c r="W7" t="str">
        <f>IF([1]MainGroups!$B$8="","",[1]MainGroups!$B$8)</f>
        <v>فروش(صافی)</v>
      </c>
      <c r="Y7" t="str">
        <f>IF([1]SubGroups!$C$8="","",[1]SubGroups!$A$8)</f>
        <v>SG002</v>
      </c>
      <c r="Z7" t="str">
        <f>IF([1]SubGroups!$C$8="","",[1]SubGroups!$B$8)</f>
        <v>هزینه</v>
      </c>
      <c r="AA7" t="str">
        <f>IF([1]SubGroups!$C$8="","",[1]SubGroups!$C$8)</f>
        <v>دستمزد کارکنان</v>
      </c>
      <c r="AC7">
        <f>COUNTIFS($Z$6:$Z7,$AD$5,$AA$6:$AA7,"?*")</f>
        <v>0</v>
      </c>
      <c r="AD7" t="str">
        <f t="shared" si="1"/>
        <v>مرکبات انباری</v>
      </c>
      <c r="AE7">
        <f>COUNTIFS($Z$6:$Z7,$AF$5,$AA$6:$AA7,"?*")</f>
        <v>0</v>
      </c>
      <c r="AF7" t="str">
        <f t="shared" si="2"/>
        <v/>
      </c>
      <c r="AG7">
        <f>COUNTIFS($Z$6:$Z7,$AH$5,$AA$6:$AA7,"?*")</f>
        <v>2</v>
      </c>
      <c r="AH7" t="str">
        <f t="shared" si="3"/>
        <v>دستمزد کارکنان</v>
      </c>
      <c r="AI7">
        <f>COUNTIFS($Z$6:$Z7,$AJ$5,$AA$6:$AA7,"?*")</f>
        <v>0</v>
      </c>
      <c r="AJ7" t="str">
        <f t="shared" si="4"/>
        <v>مواد غذایی</v>
      </c>
      <c r="AK7">
        <f>COUNTIFS($Z$6:$Z7,$AL$5,$AA$6:$AA7,"?*")</f>
        <v>0</v>
      </c>
      <c r="AL7" t="str">
        <f t="shared" si="5"/>
        <v/>
      </c>
      <c r="AM7">
        <f>COUNTIFS($Z$6:$Z7,$AN$5,$AA$6:$AA7,"?*")</f>
        <v>0</v>
      </c>
      <c r="AN7" t="str">
        <f t="shared" si="6"/>
        <v/>
      </c>
      <c r="AO7">
        <f>COUNTIFS($Z$6:$Z7,$AP$5,$AA$6:$AA7,"?*")</f>
        <v>0</v>
      </c>
      <c r="AP7" t="str">
        <f t="shared" si="7"/>
        <v/>
      </c>
      <c r="AQ7">
        <f>COUNTIFS($Z$6:$Z7,$AR$5,$AA$6:$AA7,"?*")</f>
        <v>0</v>
      </c>
      <c r="AR7" t="str">
        <f t="shared" si="8"/>
        <v/>
      </c>
      <c r="AS7">
        <f>COUNTIFS($Z$6:$Z7,$AT$5,$AA$6:$AA7,"?*")</f>
        <v>0</v>
      </c>
      <c r="AT7" t="str">
        <f t="shared" si="9"/>
        <v/>
      </c>
      <c r="AU7">
        <f>COUNTIFS($Z$6:$Z7,$AV$5,$AA$6:$AA7,"?*")</f>
        <v>0</v>
      </c>
      <c r="AV7" t="str">
        <f t="shared" si="10"/>
        <v/>
      </c>
    </row>
    <row r="8" spans="1:48" x14ac:dyDescent="0.2">
      <c r="A8" t="str">
        <f>IF([1]Ops!$B$9="","",[1]Ops!$A$9)</f>
        <v>OP03</v>
      </c>
      <c r="B8" t="str">
        <f>IF([1]Ops!$B$9="","",[1]Ops!$B$9)</f>
        <v>مرجوعی خرید</v>
      </c>
      <c r="C8" t="str">
        <f>IF([1]Ops!$B$9="","",[1]Ops!$C$9)</f>
        <v>خروج</v>
      </c>
      <c r="D8" t="str">
        <f>IF([1]Ops!$B$9="","",[1]Ops!$D$9)</f>
        <v>خرید</v>
      </c>
      <c r="F8" t="str">
        <f>IF([1]Accounts!$D$9="","",[1]Accounts!$A$9)</f>
        <v>C003</v>
      </c>
      <c r="G8" t="str">
        <f>IF([1]Accounts!$D$9="","",[1]Accounts!$B$9)</f>
        <v>فروشنده</v>
      </c>
      <c r="H8" t="str">
        <f>IF([1]Accounts!$D$9="","",[1]Accounts!$C$9)</f>
        <v>خرده‌فروش</v>
      </c>
      <c r="I8" t="str">
        <f>IF([1]Accounts!$D$9="","",[1]Accounts!$D$9)</f>
        <v>حاج احمد عیسی پور</v>
      </c>
      <c r="K8" t="str">
        <f>IF([1]Lists!$C$9="","",[1]Lists!$C$9)</f>
        <v>لیمو</v>
      </c>
      <c r="M8" t="str">
        <f>IF([1]Params!$A$9="","",[1]Params!$A$9)</f>
        <v>P03</v>
      </c>
      <c r="N8" t="str">
        <f>IF([1]Params!$B$9="","",[1]Params!$B$9)</f>
        <v/>
      </c>
      <c r="O8">
        <f>[1]Params!$C$9</f>
        <v>0</v>
      </c>
      <c r="Q8" t="str">
        <f>IF([1]Company!$C$9="","",[1]Company!$C$9)</f>
        <v>011-42116449</v>
      </c>
      <c r="S8">
        <f>COUNTIF($B$6:$B8,"?*")</f>
        <v>3</v>
      </c>
      <c r="T8" t="str">
        <f t="shared" si="0"/>
        <v>مرجوعی خرید</v>
      </c>
      <c r="V8" t="str">
        <f>IF([1]MainGroups!$B$9="","",[1]MainGroups!$A$9)</f>
        <v>G03</v>
      </c>
      <c r="W8" t="str">
        <f>IF([1]MainGroups!$B$9="","",[1]MainGroups!$B$9)</f>
        <v>هزینه</v>
      </c>
      <c r="Y8" t="str">
        <f>IF([1]SubGroups!$C$9="","",[1]SubGroups!$A$9)</f>
        <v>SG003</v>
      </c>
      <c r="Z8" t="str">
        <f>IF([1]SubGroups!$C$9="","",[1]SubGroups!$B$9)</f>
        <v>هزینه</v>
      </c>
      <c r="AA8" t="str">
        <f>IF([1]SubGroups!$C$9="","",[1]SubGroups!$C$9)</f>
        <v>بهره و کارمزد وام</v>
      </c>
      <c r="AC8">
        <f>COUNTIFS($Z$6:$Z8,$AD$5,$AA$6:$AA8,"?*")</f>
        <v>0</v>
      </c>
      <c r="AD8" t="str">
        <f t="shared" si="1"/>
        <v>سبد</v>
      </c>
      <c r="AE8">
        <f>COUNTIFS($Z$6:$Z8,$AF$5,$AA$6:$AA8,"?*")</f>
        <v>0</v>
      </c>
      <c r="AF8" t="str">
        <f t="shared" si="2"/>
        <v/>
      </c>
      <c r="AG8">
        <f>COUNTIFS($Z$6:$Z8,$AH$5,$AA$6:$AA8,"?*")</f>
        <v>3</v>
      </c>
      <c r="AH8" t="str">
        <f t="shared" si="3"/>
        <v>بهره و کارمزد وام</v>
      </c>
      <c r="AI8">
        <f>COUNTIFS($Z$6:$Z8,$AJ$5,$AA$6:$AA8,"?*")</f>
        <v>0</v>
      </c>
      <c r="AJ8" t="str">
        <f t="shared" si="4"/>
        <v>بیمه</v>
      </c>
      <c r="AK8">
        <f>COUNTIFS($Z$6:$Z8,$AL$5,$AA$6:$AA8,"?*")</f>
        <v>0</v>
      </c>
      <c r="AL8" t="str">
        <f t="shared" si="5"/>
        <v/>
      </c>
      <c r="AM8">
        <f>COUNTIFS($Z$6:$Z8,$AN$5,$AA$6:$AA8,"?*")</f>
        <v>0</v>
      </c>
      <c r="AN8" t="str">
        <f t="shared" si="6"/>
        <v/>
      </c>
      <c r="AO8">
        <f>COUNTIFS($Z$6:$Z8,$AP$5,$AA$6:$AA8,"?*")</f>
        <v>0</v>
      </c>
      <c r="AP8" t="str">
        <f t="shared" si="7"/>
        <v/>
      </c>
      <c r="AQ8">
        <f>COUNTIFS($Z$6:$Z8,$AR$5,$AA$6:$AA8,"?*")</f>
        <v>0</v>
      </c>
      <c r="AR8" t="str">
        <f t="shared" si="8"/>
        <v/>
      </c>
      <c r="AS8">
        <f>COUNTIFS($Z$6:$Z8,$AT$5,$AA$6:$AA8,"?*")</f>
        <v>0</v>
      </c>
      <c r="AT8" t="str">
        <f t="shared" si="9"/>
        <v/>
      </c>
      <c r="AU8">
        <f>COUNTIFS($Z$6:$Z8,$AV$5,$AA$6:$AA8,"?*")</f>
        <v>0</v>
      </c>
      <c r="AV8" t="str">
        <f t="shared" si="10"/>
        <v/>
      </c>
    </row>
    <row r="9" spans="1:48" x14ac:dyDescent="0.2">
      <c r="A9" t="str">
        <f>IF([1]Ops!$B$10="","",[1]Ops!$A$10)</f>
        <v>OP04</v>
      </c>
      <c r="B9" t="str">
        <f>IF([1]Ops!$B$10="","",[1]Ops!$B$10)</f>
        <v>مرجوعی فروش</v>
      </c>
      <c r="C9" t="str">
        <f>IF([1]Ops!$B$10="","",[1]Ops!$C$10)</f>
        <v>ورود</v>
      </c>
      <c r="D9" t="str">
        <f>IF([1]Ops!$B$10="","",[1]Ops!$D$10)</f>
        <v>فروش</v>
      </c>
      <c r="F9" t="str">
        <f>IF([1]Accounts!$D$10="","",[1]Accounts!$A$10)</f>
        <v>C004</v>
      </c>
      <c r="G9" t="str">
        <f>IF([1]Accounts!$D$10="","",[1]Accounts!$B$10)</f>
        <v>فروشنده</v>
      </c>
      <c r="H9">
        <f>IF([1]Accounts!$D$10="","",[1]Accounts!$C$10)</f>
        <v>0</v>
      </c>
      <c r="I9" t="str">
        <f>IF([1]Accounts!$D$10="","",[1]Accounts!$D$10)</f>
        <v>امید زاهدی</v>
      </c>
      <c r="K9" t="str">
        <f>IF([1]Lists!$C$10="","",[1]Lists!$C$10)</f>
        <v>گریپ‌فرویت</v>
      </c>
      <c r="M9" t="str">
        <f>IF([1]Params!$A$10="","",[1]Params!$A$10)</f>
        <v>P04</v>
      </c>
      <c r="N9" t="str">
        <f>IF([1]Params!$B$10="","",[1]Params!$B$10)</f>
        <v/>
      </c>
      <c r="O9">
        <f>[1]Params!$C$10</f>
        <v>0</v>
      </c>
      <c r="Q9" t="str">
        <f>IF([1]Company!$C$7="","",[1]Company!$C$7)</f>
        <v>سورتینگ، بسته‌بندی و بازرگانی مرکبات</v>
      </c>
      <c r="S9">
        <f>COUNTIF($B$6:$B9,"?*")</f>
        <v>4</v>
      </c>
      <c r="T9" t="str">
        <f t="shared" si="0"/>
        <v>مرجوعی فروش</v>
      </c>
      <c r="V9" t="str">
        <f>IF([1]MainGroups!$B$10="","",[1]MainGroups!$A$10)</f>
        <v>G04</v>
      </c>
      <c r="W9" t="str">
        <f>IF([1]MainGroups!$B$10="","",[1]MainGroups!$B$10)</f>
        <v>شخصی قاسم</v>
      </c>
      <c r="Y9" t="str">
        <f>IF([1]SubGroups!$C$10="","",[1]SubGroups!$A$10)</f>
        <v>SG004</v>
      </c>
      <c r="Z9" t="str">
        <f>IF([1]SubGroups!$C$10="","",[1]SubGroups!$B$10)</f>
        <v>هزینه</v>
      </c>
      <c r="AA9" t="str">
        <f>IF([1]SubGroups!$C$10="","",[1]SubGroups!$C$10)</f>
        <v>رنگ و واکس</v>
      </c>
      <c r="AC9">
        <f>COUNTIFS($Z$6:$Z9,$AD$5,$AA$6:$AA9,"?*")</f>
        <v>0</v>
      </c>
      <c r="AD9" t="str">
        <f t="shared" si="1"/>
        <v/>
      </c>
      <c r="AE9">
        <f>COUNTIFS($Z$6:$Z9,$AF$5,$AA$6:$AA9,"?*")</f>
        <v>0</v>
      </c>
      <c r="AF9" t="str">
        <f t="shared" si="2"/>
        <v/>
      </c>
      <c r="AG9">
        <f>COUNTIFS($Z$6:$Z9,$AH$5,$AA$6:$AA9,"?*")</f>
        <v>4</v>
      </c>
      <c r="AH9" t="str">
        <f t="shared" si="3"/>
        <v>رنگ و واکس</v>
      </c>
      <c r="AI9">
        <f>COUNTIFS($Z$6:$Z9,$AJ$5,$AA$6:$AA9,"?*")</f>
        <v>0</v>
      </c>
      <c r="AJ9" t="str">
        <f t="shared" si="4"/>
        <v/>
      </c>
      <c r="AK9">
        <f>COUNTIFS($Z$6:$Z9,$AL$5,$AA$6:$AA9,"?*")</f>
        <v>0</v>
      </c>
      <c r="AL9" t="str">
        <f t="shared" si="5"/>
        <v/>
      </c>
      <c r="AM9">
        <f>COUNTIFS($Z$6:$Z9,$AN$5,$AA$6:$AA9,"?*")</f>
        <v>0</v>
      </c>
      <c r="AN9" t="str">
        <f t="shared" si="6"/>
        <v/>
      </c>
      <c r="AO9">
        <f>COUNTIFS($Z$6:$Z9,$AP$5,$AA$6:$AA9,"?*")</f>
        <v>0</v>
      </c>
      <c r="AP9" t="str">
        <f t="shared" si="7"/>
        <v/>
      </c>
      <c r="AQ9">
        <f>COUNTIFS($Z$6:$Z9,$AR$5,$AA$6:$AA9,"?*")</f>
        <v>0</v>
      </c>
      <c r="AR9" t="str">
        <f t="shared" si="8"/>
        <v/>
      </c>
      <c r="AS9">
        <f>COUNTIFS($Z$6:$Z9,$AT$5,$AA$6:$AA9,"?*")</f>
        <v>0</v>
      </c>
      <c r="AT9" t="str">
        <f t="shared" si="9"/>
        <v/>
      </c>
      <c r="AU9">
        <f>COUNTIFS($Z$6:$Z9,$AV$5,$AA$6:$AA9,"?*")</f>
        <v>0</v>
      </c>
      <c r="AV9" t="str">
        <f t="shared" si="10"/>
        <v/>
      </c>
    </row>
    <row r="10" spans="1:48" x14ac:dyDescent="0.2">
      <c r="A10" t="str">
        <f>IF([1]Ops!$B$11="","",[1]Ops!$A$11)</f>
        <v>OP05</v>
      </c>
      <c r="B10" t="str">
        <f>IF([1]Ops!$B$11="","",[1]Ops!$B$11)</f>
        <v>انتقال به انبار دیگر</v>
      </c>
      <c r="C10" t="str">
        <f>IF([1]Ops!$B$11="","",[1]Ops!$C$11)</f>
        <v>خروج</v>
      </c>
      <c r="D10">
        <f>IF([1]Ops!$B$11="","",[1]Ops!$D$11)</f>
        <v>0</v>
      </c>
      <c r="F10" t="str">
        <f>IF([1]Accounts!$D$11="","",[1]Accounts!$A$11)</f>
        <v>C005</v>
      </c>
      <c r="G10" t="str">
        <f>IF([1]Accounts!$D$11="","",[1]Accounts!$B$11)</f>
        <v>فروشنده</v>
      </c>
      <c r="H10">
        <f>IF([1]Accounts!$D$11="","",[1]Accounts!$C$11)</f>
        <v>0</v>
      </c>
      <c r="I10" t="str">
        <f>IF([1]Accounts!$D$11="","",[1]Accounts!$D$11)</f>
        <v>بار شخصی قاسم زاهدی</v>
      </c>
      <c r="K10" t="str">
        <f>IF([1]Lists!$C$11="","",[1]Lists!$C$11)</f>
        <v>گیلاس</v>
      </c>
      <c r="M10" t="str">
        <f>IF([1]Params!$A$11="","",[1]Params!$A$11)</f>
        <v>P05</v>
      </c>
      <c r="N10" t="str">
        <f>IF([1]Params!$B$11="","",[1]Params!$B$11)</f>
        <v/>
      </c>
      <c r="O10">
        <f>[1]Params!$C$11</f>
        <v>0</v>
      </c>
      <c r="S10">
        <f>COUNTIF($B$6:$B10,"?*")</f>
        <v>5</v>
      </c>
      <c r="T10" t="str">
        <f t="shared" si="0"/>
        <v>انتقال به انبار دیگر</v>
      </c>
      <c r="V10" t="str">
        <f>IF([1]MainGroups!$B$11="","",[1]MainGroups!$A$11)</f>
        <v>G05</v>
      </c>
      <c r="W10" t="str">
        <f>IF([1]MainGroups!$B$11="","",[1]MainGroups!$B$11)</f>
        <v>وام و تسهیلات</v>
      </c>
      <c r="Y10" t="str">
        <f>IF([1]SubGroups!$C$11="","",[1]SubGroups!$A$11)</f>
        <v>SG005</v>
      </c>
      <c r="Z10" t="str">
        <f>IF([1]SubGroups!$C$11="","",[1]SubGroups!$B$11)</f>
        <v>هزینه</v>
      </c>
      <c r="AA10" t="str">
        <f>IF([1]SubGroups!$C$11="","",[1]SubGroups!$C$11)</f>
        <v>کارمزد بانکی</v>
      </c>
      <c r="AC10">
        <f>COUNTIFS($Z$6:$Z10,$AD$5,$AA$6:$AA10,"?*")</f>
        <v>0</v>
      </c>
      <c r="AD10" t="str">
        <f t="shared" si="1"/>
        <v/>
      </c>
      <c r="AE10">
        <f>COUNTIFS($Z$6:$Z10,$AF$5,$AA$6:$AA10,"?*")</f>
        <v>0</v>
      </c>
      <c r="AF10" t="str">
        <f t="shared" si="2"/>
        <v/>
      </c>
      <c r="AG10">
        <f>COUNTIFS($Z$6:$Z10,$AH$5,$AA$6:$AA10,"?*")</f>
        <v>5</v>
      </c>
      <c r="AH10" t="str">
        <f t="shared" si="3"/>
        <v>کارمزد بانکی</v>
      </c>
      <c r="AI10">
        <f>COUNTIFS($Z$6:$Z10,$AJ$5,$AA$6:$AA10,"?*")</f>
        <v>0</v>
      </c>
      <c r="AJ10" t="str">
        <f t="shared" si="4"/>
        <v/>
      </c>
      <c r="AK10">
        <f>COUNTIFS($Z$6:$Z10,$AL$5,$AA$6:$AA10,"?*")</f>
        <v>0</v>
      </c>
      <c r="AL10" t="str">
        <f t="shared" si="5"/>
        <v/>
      </c>
      <c r="AM10">
        <f>COUNTIFS($Z$6:$Z10,$AN$5,$AA$6:$AA10,"?*")</f>
        <v>0</v>
      </c>
      <c r="AN10" t="str">
        <f t="shared" si="6"/>
        <v/>
      </c>
      <c r="AO10">
        <f>COUNTIFS($Z$6:$Z10,$AP$5,$AA$6:$AA10,"?*")</f>
        <v>0</v>
      </c>
      <c r="AP10" t="str">
        <f t="shared" si="7"/>
        <v/>
      </c>
      <c r="AQ10">
        <f>COUNTIFS($Z$6:$Z10,$AR$5,$AA$6:$AA10,"?*")</f>
        <v>0</v>
      </c>
      <c r="AR10" t="str">
        <f t="shared" si="8"/>
        <v/>
      </c>
      <c r="AS10">
        <f>COUNTIFS($Z$6:$Z10,$AT$5,$AA$6:$AA10,"?*")</f>
        <v>0</v>
      </c>
      <c r="AT10" t="str">
        <f t="shared" si="9"/>
        <v/>
      </c>
      <c r="AU10">
        <f>COUNTIFS($Z$6:$Z10,$AV$5,$AA$6:$AA10,"?*")</f>
        <v>0</v>
      </c>
      <c r="AV10" t="str">
        <f t="shared" si="10"/>
        <v/>
      </c>
    </row>
    <row r="11" spans="1:48" x14ac:dyDescent="0.2">
      <c r="A11" t="str">
        <f>IF([1]Ops!$B$12="","",[1]Ops!$A$12)</f>
        <v>OP06</v>
      </c>
      <c r="B11" t="str">
        <f>IF([1]Ops!$B$12="","",[1]Ops!$B$12)</f>
        <v>انتقال از انبار دیگر</v>
      </c>
      <c r="C11" t="str">
        <f>IF([1]Ops!$B$12="","",[1]Ops!$C$12)</f>
        <v>ورود</v>
      </c>
      <c r="D11">
        <f>IF([1]Ops!$B$12="","",[1]Ops!$D$12)</f>
        <v>0</v>
      </c>
      <c r="F11" t="str">
        <f>IF([1]Accounts!$D$12="","",[1]Accounts!$A$12)</f>
        <v>C006</v>
      </c>
      <c r="G11" t="str">
        <f>IF([1]Accounts!$D$12="","",[1]Accounts!$B$12)</f>
        <v>فروشنده</v>
      </c>
      <c r="H11">
        <f>IF([1]Accounts!$D$12="","",[1]Accounts!$C$12)</f>
        <v>0</v>
      </c>
      <c r="I11" t="str">
        <f>IF([1]Accounts!$D$12="","",[1]Accounts!$D$12)</f>
        <v>هوشنگ عیسی پور</v>
      </c>
      <c r="K11" t="str">
        <f>IF([1]Lists!$C$12="","",[1]Lists!$C$12)</f>
        <v>سایر</v>
      </c>
      <c r="M11" t="str">
        <f>IF([1]Params!$A$12="","",[1]Params!$A$12)</f>
        <v>P06</v>
      </c>
      <c r="N11" t="str">
        <f>IF([1]Params!$B$12="","",[1]Params!$B$12)</f>
        <v/>
      </c>
      <c r="O11">
        <f>[1]Params!$C$12</f>
        <v>0</v>
      </c>
      <c r="S11">
        <f>COUNTIF($B$6:$B11,"?*")</f>
        <v>6</v>
      </c>
      <c r="T11" t="str">
        <f t="shared" si="0"/>
        <v>انتقال از انبار دیگر</v>
      </c>
      <c r="V11" t="str">
        <f>IF([1]MainGroups!$B$12="","",[1]MainGroups!$A$12)</f>
        <v>G06</v>
      </c>
      <c r="W11" t="str">
        <f>IF([1]MainGroups!$B$12="","",[1]MainGroups!$B$12)</f>
        <v>سرمایه و آورده</v>
      </c>
      <c r="Y11" t="str">
        <f>IF([1]SubGroups!$C$12="","",[1]SubGroups!$A$12)</f>
        <v>SG006</v>
      </c>
      <c r="Z11" t="str">
        <f>IF([1]SubGroups!$C$12="","",[1]SubGroups!$B$12)</f>
        <v>هزینه</v>
      </c>
      <c r="AA11" t="str">
        <f>IF([1]SubGroups!$C$12="","",[1]SubGroups!$C$12)</f>
        <v>اجاره خانه</v>
      </c>
      <c r="AC11">
        <f>COUNTIFS($Z$6:$Z11,$AD$5,$AA$6:$AA11,"?*")</f>
        <v>0</v>
      </c>
      <c r="AD11" t="str">
        <f t="shared" si="1"/>
        <v/>
      </c>
      <c r="AE11">
        <f>COUNTIFS($Z$6:$Z11,$AF$5,$AA$6:$AA11,"?*")</f>
        <v>0</v>
      </c>
      <c r="AF11" t="str">
        <f t="shared" si="2"/>
        <v/>
      </c>
      <c r="AG11">
        <f>COUNTIFS($Z$6:$Z11,$AH$5,$AA$6:$AA11,"?*")</f>
        <v>6</v>
      </c>
      <c r="AH11" t="str">
        <f t="shared" si="3"/>
        <v>اجاره خانه</v>
      </c>
      <c r="AI11">
        <f>COUNTIFS($Z$6:$Z11,$AJ$5,$AA$6:$AA11,"?*")</f>
        <v>0</v>
      </c>
      <c r="AJ11" t="str">
        <f t="shared" si="4"/>
        <v/>
      </c>
      <c r="AK11">
        <f>COUNTIFS($Z$6:$Z11,$AL$5,$AA$6:$AA11,"?*")</f>
        <v>0</v>
      </c>
      <c r="AL11" t="str">
        <f t="shared" si="5"/>
        <v/>
      </c>
      <c r="AM11">
        <f>COUNTIFS($Z$6:$Z11,$AN$5,$AA$6:$AA11,"?*")</f>
        <v>0</v>
      </c>
      <c r="AN11" t="str">
        <f t="shared" si="6"/>
        <v/>
      </c>
      <c r="AO11">
        <f>COUNTIFS($Z$6:$Z11,$AP$5,$AA$6:$AA11,"?*")</f>
        <v>0</v>
      </c>
      <c r="AP11" t="str">
        <f t="shared" si="7"/>
        <v/>
      </c>
      <c r="AQ11">
        <f>COUNTIFS($Z$6:$Z11,$AR$5,$AA$6:$AA11,"?*")</f>
        <v>0</v>
      </c>
      <c r="AR11" t="str">
        <f t="shared" si="8"/>
        <v/>
      </c>
      <c r="AS11">
        <f>COUNTIFS($Z$6:$Z11,$AT$5,$AA$6:$AA11,"?*")</f>
        <v>0</v>
      </c>
      <c r="AT11" t="str">
        <f t="shared" si="9"/>
        <v/>
      </c>
      <c r="AU11">
        <f>COUNTIFS($Z$6:$Z11,$AV$5,$AA$6:$AA11,"?*")</f>
        <v>0</v>
      </c>
      <c r="AV11" t="str">
        <f t="shared" si="10"/>
        <v/>
      </c>
    </row>
    <row r="12" spans="1:48" x14ac:dyDescent="0.2">
      <c r="A12" t="str">
        <f>IF([1]Ops!$B$13="","",[1]Ops!$A$13)</f>
        <v>OP07</v>
      </c>
      <c r="B12" t="str">
        <f>IF([1]Ops!$B$13="","",[1]Ops!$B$13)</f>
        <v>سایر ورود</v>
      </c>
      <c r="C12" t="str">
        <f>IF([1]Ops!$B$13="","",[1]Ops!$C$13)</f>
        <v>ورود</v>
      </c>
      <c r="D12">
        <f>IF([1]Ops!$B$13="","",[1]Ops!$D$13)</f>
        <v>0</v>
      </c>
      <c r="F12" t="str">
        <f>IF([1]Accounts!$D$13="","",[1]Accounts!$A$13)</f>
        <v>C007</v>
      </c>
      <c r="G12" t="str">
        <f>IF([1]Accounts!$D$13="","",[1]Accounts!$B$13)</f>
        <v>فروشنده</v>
      </c>
      <c r="H12">
        <f>IF([1]Accounts!$D$13="","",[1]Accounts!$C$13)</f>
        <v>0</v>
      </c>
      <c r="I12" t="str">
        <f>IF([1]Accounts!$D$13="","",[1]Accounts!$D$13)</f>
        <v>علی آهنگر</v>
      </c>
      <c r="K12" t="str">
        <f>IF([1]Lists!$C$13="","",[1]Lists!$C$13)</f>
        <v/>
      </c>
      <c r="M12" t="str">
        <f>IF([1]Params!$A$13="","",[1]Params!$A$13)</f>
        <v>P07</v>
      </c>
      <c r="N12" t="str">
        <f>IF([1]Params!$B$13="","",[1]Params!$B$13)</f>
        <v/>
      </c>
      <c r="O12">
        <f>[1]Params!$C$13</f>
        <v>0</v>
      </c>
      <c r="S12">
        <f>COUNTIF($B$6:$B12,"?*")</f>
        <v>7</v>
      </c>
      <c r="T12" t="str">
        <f t="shared" si="0"/>
        <v>سایر ورود</v>
      </c>
      <c r="V12" t="str">
        <f>IF([1]MainGroups!$B$13="","",[1]MainGroups!$A$13)</f>
        <v>G07</v>
      </c>
      <c r="W12" t="str">
        <f>IF([1]MainGroups!$B$13="","",[1]MainGroups!$B$13)</f>
        <v>دارایی ثابت</v>
      </c>
      <c r="Y12" t="str">
        <f>IF([1]SubGroups!$C$13="","",[1]SubGroups!$A$13)</f>
        <v>SG007</v>
      </c>
      <c r="Z12" t="str">
        <f>IF([1]SubGroups!$C$13="","",[1]SubGroups!$B$13)</f>
        <v>خرید</v>
      </c>
      <c r="AA12" t="str">
        <f>IF([1]SubGroups!$C$13="","",[1]SubGroups!$C$13)</f>
        <v>مرکبات سردرختی</v>
      </c>
      <c r="AC12">
        <f>COUNTIFS($Z$6:$Z12,$AD$5,$AA$6:$AA12,"?*")</f>
        <v>1</v>
      </c>
      <c r="AD12" t="str">
        <f t="shared" si="1"/>
        <v/>
      </c>
      <c r="AE12">
        <f>COUNTIFS($Z$6:$Z12,$AF$5,$AA$6:$AA12,"?*")</f>
        <v>0</v>
      </c>
      <c r="AF12" t="str">
        <f t="shared" si="2"/>
        <v/>
      </c>
      <c r="AG12">
        <f>COUNTIFS($Z$6:$Z12,$AH$5,$AA$6:$AA12,"?*")</f>
        <v>6</v>
      </c>
      <c r="AH12" t="str">
        <f t="shared" si="3"/>
        <v>قبوض</v>
      </c>
      <c r="AI12">
        <f>COUNTIFS($Z$6:$Z12,$AJ$5,$AA$6:$AA12,"?*")</f>
        <v>0</v>
      </c>
      <c r="AJ12" t="str">
        <f t="shared" si="4"/>
        <v/>
      </c>
      <c r="AK12">
        <f>COUNTIFS($Z$6:$Z12,$AL$5,$AA$6:$AA12,"?*")</f>
        <v>0</v>
      </c>
      <c r="AL12" t="str">
        <f t="shared" si="5"/>
        <v/>
      </c>
      <c r="AM12">
        <f>COUNTIFS($Z$6:$Z12,$AN$5,$AA$6:$AA12,"?*")</f>
        <v>0</v>
      </c>
      <c r="AN12" t="str">
        <f t="shared" si="6"/>
        <v/>
      </c>
      <c r="AO12">
        <f>COUNTIFS($Z$6:$Z12,$AP$5,$AA$6:$AA12,"?*")</f>
        <v>0</v>
      </c>
      <c r="AP12" t="str">
        <f t="shared" si="7"/>
        <v/>
      </c>
      <c r="AQ12">
        <f>COUNTIFS($Z$6:$Z12,$AR$5,$AA$6:$AA12,"?*")</f>
        <v>0</v>
      </c>
      <c r="AR12" t="str">
        <f t="shared" si="8"/>
        <v/>
      </c>
      <c r="AS12">
        <f>COUNTIFS($Z$6:$Z12,$AT$5,$AA$6:$AA12,"?*")</f>
        <v>0</v>
      </c>
      <c r="AT12" t="str">
        <f t="shared" si="9"/>
        <v/>
      </c>
      <c r="AU12">
        <f>COUNTIFS($Z$6:$Z12,$AV$5,$AA$6:$AA12,"?*")</f>
        <v>0</v>
      </c>
      <c r="AV12" t="str">
        <f t="shared" si="10"/>
        <v/>
      </c>
    </row>
    <row r="13" spans="1:48" x14ac:dyDescent="0.2">
      <c r="A13" t="str">
        <f>IF([1]Ops!$B$14="","",[1]Ops!$A$14)</f>
        <v>OP08</v>
      </c>
      <c r="B13" t="str">
        <f>IF([1]Ops!$B$14="","",[1]Ops!$B$14)</f>
        <v>سایر خروج</v>
      </c>
      <c r="C13" t="str">
        <f>IF([1]Ops!$B$14="","",[1]Ops!$C$14)</f>
        <v>خروج</v>
      </c>
      <c r="D13">
        <f>IF([1]Ops!$B$14="","",[1]Ops!$D$14)</f>
        <v>0</v>
      </c>
      <c r="F13" t="str">
        <f>IF([1]Accounts!$D$14="","",[1]Accounts!$A$14)</f>
        <v>C008</v>
      </c>
      <c r="G13" t="str">
        <f>IF([1]Accounts!$D$14="","",[1]Accounts!$B$14)</f>
        <v>فروشنده</v>
      </c>
      <c r="H13">
        <f>IF([1]Accounts!$D$14="","",[1]Accounts!$C$14)</f>
        <v>0</v>
      </c>
      <c r="I13" t="str">
        <f>IF([1]Accounts!$D$14="","",[1]Accounts!$D$14)</f>
        <v>صفدر مسلمی</v>
      </c>
      <c r="K13" t="str">
        <f>IF([1]Lists!$C$14="","",[1]Lists!$C$14)</f>
        <v/>
      </c>
      <c r="M13" t="str">
        <f>IF([1]Params!$A$14="","",[1]Params!$A$14)</f>
        <v>P08</v>
      </c>
      <c r="N13" t="str">
        <f>IF([1]Params!$B$14="","",[1]Params!$B$14)</f>
        <v/>
      </c>
      <c r="O13">
        <f>[1]Params!$C$14</f>
        <v>0</v>
      </c>
      <c r="S13">
        <f>COUNTIF($B$6:$B13,"?*")</f>
        <v>8</v>
      </c>
      <c r="T13" t="str">
        <f t="shared" si="0"/>
        <v>سایر خروج</v>
      </c>
      <c r="V13" t="str">
        <f>IF([1]MainGroups!$B$14="","",[1]MainGroups!$A$14)</f>
        <v/>
      </c>
      <c r="W13" t="str">
        <f>IF([1]MainGroups!$B$14="","",[1]MainGroups!$B$14)</f>
        <v/>
      </c>
      <c r="Y13" t="str">
        <f>IF([1]SubGroups!$C$14="","",[1]SubGroups!$A$14)</f>
        <v>SG008</v>
      </c>
      <c r="Z13" t="str">
        <f>IF([1]SubGroups!$C$14="","",[1]SubGroups!$B$14)</f>
        <v>خرید</v>
      </c>
      <c r="AA13" t="str">
        <f>IF([1]SubGroups!$C$14="","",[1]SubGroups!$C$14)</f>
        <v>مرکبات انباری</v>
      </c>
      <c r="AC13">
        <f>COUNTIFS($Z$6:$Z13,$AD$5,$AA$6:$AA13,"?*")</f>
        <v>2</v>
      </c>
      <c r="AD13" t="str">
        <f t="shared" si="1"/>
        <v/>
      </c>
      <c r="AE13">
        <f>COUNTIFS($Z$6:$Z13,$AF$5,$AA$6:$AA13,"?*")</f>
        <v>0</v>
      </c>
      <c r="AF13" t="str">
        <f t="shared" si="2"/>
        <v/>
      </c>
      <c r="AG13">
        <f>COUNTIFS($Z$6:$Z13,$AH$5,$AA$6:$AA13,"?*")</f>
        <v>6</v>
      </c>
      <c r="AH13" t="str">
        <f t="shared" si="3"/>
        <v>بازاریابی</v>
      </c>
      <c r="AI13">
        <f>COUNTIFS($Z$6:$Z13,$AJ$5,$AA$6:$AA13,"?*")</f>
        <v>0</v>
      </c>
      <c r="AJ13" t="str">
        <f t="shared" si="4"/>
        <v/>
      </c>
      <c r="AK13">
        <f>COUNTIFS($Z$6:$Z13,$AL$5,$AA$6:$AA13,"?*")</f>
        <v>0</v>
      </c>
      <c r="AL13" t="str">
        <f t="shared" si="5"/>
        <v/>
      </c>
      <c r="AM13">
        <f>COUNTIFS($Z$6:$Z13,$AN$5,$AA$6:$AA13,"?*")</f>
        <v>0</v>
      </c>
      <c r="AN13" t="str">
        <f t="shared" si="6"/>
        <v/>
      </c>
      <c r="AO13">
        <f>COUNTIFS($Z$6:$Z13,$AP$5,$AA$6:$AA13,"?*")</f>
        <v>0</v>
      </c>
      <c r="AP13" t="str">
        <f t="shared" si="7"/>
        <v/>
      </c>
      <c r="AQ13">
        <f>COUNTIFS($Z$6:$Z13,$AR$5,$AA$6:$AA13,"?*")</f>
        <v>0</v>
      </c>
      <c r="AR13" t="str">
        <f t="shared" si="8"/>
        <v/>
      </c>
      <c r="AS13">
        <f>COUNTIFS($Z$6:$Z13,$AT$5,$AA$6:$AA13,"?*")</f>
        <v>0</v>
      </c>
      <c r="AT13" t="str">
        <f t="shared" si="9"/>
        <v/>
      </c>
      <c r="AU13">
        <f>COUNTIFS($Z$6:$Z13,$AV$5,$AA$6:$AA13,"?*")</f>
        <v>0</v>
      </c>
      <c r="AV13" t="str">
        <f t="shared" si="10"/>
        <v/>
      </c>
    </row>
    <row r="14" spans="1:48" x14ac:dyDescent="0.2">
      <c r="A14" t="str">
        <f>IF([1]Ops!$B$15="","",[1]Ops!$A$15)</f>
        <v/>
      </c>
      <c r="B14" t="str">
        <f>IF([1]Ops!$B$15="","",[1]Ops!$B$15)</f>
        <v/>
      </c>
      <c r="C14" t="str">
        <f>IF([1]Ops!$B$15="","",[1]Ops!$C$15)</f>
        <v/>
      </c>
      <c r="D14" t="str">
        <f>IF([1]Ops!$B$15="","",[1]Ops!$D$15)</f>
        <v/>
      </c>
      <c r="F14" t="str">
        <f>IF([1]Accounts!$D$15="","",[1]Accounts!$A$15)</f>
        <v>C009</v>
      </c>
      <c r="G14" t="str">
        <f>IF([1]Accounts!$D$15="","",[1]Accounts!$B$15)</f>
        <v>فروشنده</v>
      </c>
      <c r="H14">
        <f>IF([1]Accounts!$D$15="","",[1]Accounts!$C$15)</f>
        <v>0</v>
      </c>
      <c r="I14" t="str">
        <f>IF([1]Accounts!$D$15="","",[1]Accounts!$D$15)</f>
        <v>همایون بابایی</v>
      </c>
      <c r="K14" t="str">
        <f>IF([1]Lists!$C$15="","",[1]Lists!$C$15)</f>
        <v/>
      </c>
      <c r="M14" t="str">
        <f>IF([1]Params!$A$15="","",[1]Params!$A$15)</f>
        <v>P09</v>
      </c>
      <c r="N14" t="str">
        <f>IF([1]Params!$B$15="","",[1]Params!$B$15)</f>
        <v/>
      </c>
      <c r="O14">
        <f>[1]Params!$C$15</f>
        <v>0</v>
      </c>
      <c r="S14">
        <f>COUNTIF($B$6:$B14,"?*")</f>
        <v>8</v>
      </c>
      <c r="T14" t="str">
        <f t="shared" si="0"/>
        <v/>
      </c>
      <c r="V14" t="str">
        <f>IF([1]MainGroups!$B$15="","",[1]MainGroups!$A$15)</f>
        <v/>
      </c>
      <c r="W14" t="str">
        <f>IF([1]MainGroups!$B$15="","",[1]MainGroups!$B$15)</f>
        <v/>
      </c>
      <c r="Y14" t="str">
        <f>IF([1]SubGroups!$C$15="","",[1]SubGroups!$A$15)</f>
        <v>SG009</v>
      </c>
      <c r="Z14" t="str">
        <f>IF([1]SubGroups!$C$15="","",[1]SubGroups!$B$15)</f>
        <v>شخصی قاسم</v>
      </c>
      <c r="AA14" t="str">
        <f>IF([1]SubGroups!$C$15="","",[1]SubGroups!$C$15)</f>
        <v>تعمیر لوازم</v>
      </c>
      <c r="AC14">
        <f>COUNTIFS($Z$6:$Z14,$AD$5,$AA$6:$AA14,"?*")</f>
        <v>2</v>
      </c>
      <c r="AD14" t="str">
        <f t="shared" si="1"/>
        <v/>
      </c>
      <c r="AE14">
        <f>COUNTIFS($Z$6:$Z14,$AF$5,$AA$6:$AA14,"?*")</f>
        <v>0</v>
      </c>
      <c r="AF14" t="str">
        <f t="shared" si="2"/>
        <v/>
      </c>
      <c r="AG14">
        <f>COUNTIFS($Z$6:$Z14,$AH$5,$AA$6:$AA14,"?*")</f>
        <v>6</v>
      </c>
      <c r="AH14" t="str">
        <f t="shared" si="3"/>
        <v>خرید تجهیزات</v>
      </c>
      <c r="AI14">
        <f>COUNTIFS($Z$6:$Z14,$AJ$5,$AA$6:$AA14,"?*")</f>
        <v>1</v>
      </c>
      <c r="AJ14" t="str">
        <f t="shared" si="4"/>
        <v/>
      </c>
      <c r="AK14">
        <f>COUNTIFS($Z$6:$Z14,$AL$5,$AA$6:$AA14,"?*")</f>
        <v>0</v>
      </c>
      <c r="AL14" t="str">
        <f t="shared" si="5"/>
        <v/>
      </c>
      <c r="AM14">
        <f>COUNTIFS($Z$6:$Z14,$AN$5,$AA$6:$AA14,"?*")</f>
        <v>0</v>
      </c>
      <c r="AN14" t="str">
        <f t="shared" si="6"/>
        <v/>
      </c>
      <c r="AO14">
        <f>COUNTIFS($Z$6:$Z14,$AP$5,$AA$6:$AA14,"?*")</f>
        <v>0</v>
      </c>
      <c r="AP14" t="str">
        <f t="shared" si="7"/>
        <v/>
      </c>
      <c r="AQ14">
        <f>COUNTIFS($Z$6:$Z14,$AR$5,$AA$6:$AA14,"?*")</f>
        <v>0</v>
      </c>
      <c r="AR14" t="str">
        <f t="shared" si="8"/>
        <v/>
      </c>
      <c r="AS14">
        <f>COUNTIFS($Z$6:$Z14,$AT$5,$AA$6:$AA14,"?*")</f>
        <v>0</v>
      </c>
      <c r="AT14" t="str">
        <f t="shared" si="9"/>
        <v/>
      </c>
      <c r="AU14">
        <f>COUNTIFS($Z$6:$Z14,$AV$5,$AA$6:$AA14,"?*")</f>
        <v>0</v>
      </c>
      <c r="AV14" t="str">
        <f t="shared" si="10"/>
        <v/>
      </c>
    </row>
    <row r="15" spans="1:48" x14ac:dyDescent="0.2">
      <c r="A15" t="str">
        <f>IF([1]Ops!$B$16="","",[1]Ops!$A$16)</f>
        <v/>
      </c>
      <c r="B15" t="str">
        <f>IF([1]Ops!$B$16="","",[1]Ops!$B$16)</f>
        <v/>
      </c>
      <c r="C15" t="str">
        <f>IF([1]Ops!$B$16="","",[1]Ops!$C$16)</f>
        <v/>
      </c>
      <c r="D15" t="str">
        <f>IF([1]Ops!$B$16="","",[1]Ops!$D$16)</f>
        <v/>
      </c>
      <c r="F15" t="str">
        <f>IF([1]Accounts!$D$16="","",[1]Accounts!$A$16)</f>
        <v>C010</v>
      </c>
      <c r="G15" t="str">
        <f>IF([1]Accounts!$D$16="","",[1]Accounts!$B$16)</f>
        <v>فروشنده</v>
      </c>
      <c r="H15">
        <f>IF([1]Accounts!$D$16="","",[1]Accounts!$C$16)</f>
        <v>0</v>
      </c>
      <c r="I15" t="str">
        <f>IF([1]Accounts!$D$16="","",[1]Accounts!$D$16)</f>
        <v>دبیر فرجی</v>
      </c>
      <c r="K15" t="str">
        <f>IF([1]Lists!$C$16="","",[1]Lists!$C$16)</f>
        <v/>
      </c>
      <c r="M15" t="str">
        <f>IF([1]Params!$A$16="","",[1]Params!$A$16)</f>
        <v>P10</v>
      </c>
      <c r="N15" t="str">
        <f>IF([1]Params!$B$16="","",[1]Params!$B$16)</f>
        <v/>
      </c>
      <c r="O15">
        <f>[1]Params!$C$16</f>
        <v>0</v>
      </c>
      <c r="S15">
        <f>COUNTIF($B$6:$B15,"?*")</f>
        <v>8</v>
      </c>
      <c r="T15" t="str">
        <f t="shared" si="0"/>
        <v/>
      </c>
      <c r="V15" t="str">
        <f>IF([1]MainGroups!$B$16="","",[1]MainGroups!$A$16)</f>
        <v/>
      </c>
      <c r="W15" t="str">
        <f>IF([1]MainGroups!$B$16="","",[1]MainGroups!$B$16)</f>
        <v/>
      </c>
      <c r="Y15" t="str">
        <f>IF([1]SubGroups!$C$16="","",[1]SubGroups!$A$16)</f>
        <v>SG010</v>
      </c>
      <c r="Z15" t="str">
        <f>IF([1]SubGroups!$C$16="","",[1]SubGroups!$B$16)</f>
        <v>شخصی قاسم</v>
      </c>
      <c r="AA15" t="str">
        <f>IF([1]SubGroups!$C$16="","",[1]SubGroups!$C$16)</f>
        <v>مواد غذایی</v>
      </c>
      <c r="AC15">
        <f>COUNTIFS($Z$6:$Z15,$AD$5,$AA$6:$AA15,"?*")</f>
        <v>2</v>
      </c>
      <c r="AD15" t="str">
        <f t="shared" si="1"/>
        <v/>
      </c>
      <c r="AE15">
        <f>COUNTIFS($Z$6:$Z15,$AF$5,$AA$6:$AA15,"?*")</f>
        <v>0</v>
      </c>
      <c r="AF15" t="str">
        <f t="shared" si="2"/>
        <v/>
      </c>
      <c r="AG15">
        <f>COUNTIFS($Z$6:$Z15,$AH$5,$AA$6:$AA15,"?*")</f>
        <v>6</v>
      </c>
      <c r="AH15" t="str">
        <f t="shared" si="3"/>
        <v/>
      </c>
      <c r="AI15">
        <f>COUNTIFS($Z$6:$Z15,$AJ$5,$AA$6:$AA15,"?*")</f>
        <v>2</v>
      </c>
      <c r="AJ15" t="str">
        <f t="shared" si="4"/>
        <v/>
      </c>
      <c r="AK15">
        <f>COUNTIFS($Z$6:$Z15,$AL$5,$AA$6:$AA15,"?*")</f>
        <v>0</v>
      </c>
      <c r="AL15" t="str">
        <f t="shared" si="5"/>
        <v/>
      </c>
      <c r="AM15">
        <f>COUNTIFS($Z$6:$Z15,$AN$5,$AA$6:$AA15,"?*")</f>
        <v>0</v>
      </c>
      <c r="AN15" t="str">
        <f t="shared" si="6"/>
        <v/>
      </c>
      <c r="AO15">
        <f>COUNTIFS($Z$6:$Z15,$AP$5,$AA$6:$AA15,"?*")</f>
        <v>0</v>
      </c>
      <c r="AP15" t="str">
        <f t="shared" si="7"/>
        <v/>
      </c>
      <c r="AQ15">
        <f>COUNTIFS($Z$6:$Z15,$AR$5,$AA$6:$AA15,"?*")</f>
        <v>0</v>
      </c>
      <c r="AR15" t="str">
        <f t="shared" si="8"/>
        <v/>
      </c>
      <c r="AS15">
        <f>COUNTIFS($Z$6:$Z15,$AT$5,$AA$6:$AA15,"?*")</f>
        <v>0</v>
      </c>
      <c r="AT15" t="str">
        <f t="shared" si="9"/>
        <v/>
      </c>
      <c r="AU15">
        <f>COUNTIFS($Z$6:$Z15,$AV$5,$AA$6:$AA15,"?*")</f>
        <v>0</v>
      </c>
      <c r="AV15" t="str">
        <f t="shared" si="10"/>
        <v/>
      </c>
    </row>
    <row r="16" spans="1:48" x14ac:dyDescent="0.2">
      <c r="A16" t="str">
        <f>IF([1]Ops!$B$17="","",[1]Ops!$A$17)</f>
        <v/>
      </c>
      <c r="B16" t="str">
        <f>IF([1]Ops!$B$17="","",[1]Ops!$B$17)</f>
        <v/>
      </c>
      <c r="C16" t="str">
        <f>IF([1]Ops!$B$17="","",[1]Ops!$C$17)</f>
        <v/>
      </c>
      <c r="D16" t="str">
        <f>IF([1]Ops!$B$17="","",[1]Ops!$D$17)</f>
        <v/>
      </c>
      <c r="F16" t="str">
        <f>IF([1]Accounts!$D$17="","",[1]Accounts!$A$17)</f>
        <v>C011</v>
      </c>
      <c r="G16" t="str">
        <f>IF([1]Accounts!$D$17="","",[1]Accounts!$B$17)</f>
        <v>فروشنده</v>
      </c>
      <c r="H16">
        <f>IF([1]Accounts!$D$17="","",[1]Accounts!$C$17)</f>
        <v>0</v>
      </c>
      <c r="I16" t="str">
        <f>IF([1]Accounts!$D$17="","",[1]Accounts!$D$17)</f>
        <v>محمود علیجانی</v>
      </c>
      <c r="K16" t="str">
        <f>IF([1]Lists!$C$17="","",[1]Lists!$C$17)</f>
        <v/>
      </c>
      <c r="M16" t="str">
        <f>IF([1]Params!$A$17="","",[1]Params!$A$17)</f>
        <v>P11</v>
      </c>
      <c r="N16" t="str">
        <f>IF([1]Params!$B$17="","",[1]Params!$B$17)</f>
        <v/>
      </c>
      <c r="O16">
        <f>[1]Params!$C$17</f>
        <v>0</v>
      </c>
      <c r="S16">
        <f>COUNTIF($B$6:$B16,"?*")</f>
        <v>8</v>
      </c>
      <c r="T16" t="str">
        <f t="shared" si="0"/>
        <v/>
      </c>
      <c r="Y16" t="str">
        <f>IF([1]SubGroups!$C$17="","",[1]SubGroups!$A$17)</f>
        <v>SG011</v>
      </c>
      <c r="Z16" t="str">
        <f>IF([1]SubGroups!$C$17="","",[1]SubGroups!$B$17)</f>
        <v>شخصی قاسم</v>
      </c>
      <c r="AA16" t="str">
        <f>IF([1]SubGroups!$C$17="","",[1]SubGroups!$C$17)</f>
        <v>بیمه</v>
      </c>
      <c r="AC16">
        <f>COUNTIFS($Z$6:$Z16,$AD$5,$AA$6:$AA16,"?*")</f>
        <v>2</v>
      </c>
      <c r="AD16" t="str">
        <f t="shared" si="1"/>
        <v/>
      </c>
      <c r="AE16">
        <f>COUNTIFS($Z$6:$Z16,$AF$5,$AA$6:$AA16,"?*")</f>
        <v>0</v>
      </c>
      <c r="AF16" t="str">
        <f t="shared" si="2"/>
        <v/>
      </c>
      <c r="AG16">
        <f>COUNTIFS($Z$6:$Z16,$AH$5,$AA$6:$AA16,"?*")</f>
        <v>6</v>
      </c>
      <c r="AH16" t="str">
        <f t="shared" si="3"/>
        <v/>
      </c>
      <c r="AI16">
        <f>COUNTIFS($Z$6:$Z16,$AJ$5,$AA$6:$AA16,"?*")</f>
        <v>3</v>
      </c>
      <c r="AJ16" t="str">
        <f t="shared" si="4"/>
        <v/>
      </c>
      <c r="AK16">
        <f>COUNTIFS($Z$6:$Z16,$AL$5,$AA$6:$AA16,"?*")</f>
        <v>0</v>
      </c>
      <c r="AL16" t="str">
        <f t="shared" si="5"/>
        <v/>
      </c>
      <c r="AM16">
        <f>COUNTIFS($Z$6:$Z16,$AN$5,$AA$6:$AA16,"?*")</f>
        <v>0</v>
      </c>
      <c r="AN16" t="str">
        <f t="shared" si="6"/>
        <v/>
      </c>
      <c r="AO16">
        <f>COUNTIFS($Z$6:$Z16,$AP$5,$AA$6:$AA16,"?*")</f>
        <v>0</v>
      </c>
      <c r="AP16" t="str">
        <f t="shared" si="7"/>
        <v/>
      </c>
      <c r="AQ16">
        <f>COUNTIFS($Z$6:$Z16,$AR$5,$AA$6:$AA16,"?*")</f>
        <v>0</v>
      </c>
      <c r="AR16" t="str">
        <f t="shared" si="8"/>
        <v/>
      </c>
      <c r="AS16">
        <f>COUNTIFS($Z$6:$Z16,$AT$5,$AA$6:$AA16,"?*")</f>
        <v>0</v>
      </c>
      <c r="AT16" t="str">
        <f t="shared" si="9"/>
        <v/>
      </c>
      <c r="AU16">
        <f>COUNTIFS($Z$6:$Z16,$AV$5,$AA$6:$AA16,"?*")</f>
        <v>0</v>
      </c>
      <c r="AV16" t="str">
        <f t="shared" si="10"/>
        <v/>
      </c>
    </row>
    <row r="17" spans="1:48" x14ac:dyDescent="0.2">
      <c r="A17" t="str">
        <f>IF([1]Ops!$B$18="","",[1]Ops!$A$18)</f>
        <v/>
      </c>
      <c r="B17" t="str">
        <f>IF([1]Ops!$B$18="","",[1]Ops!$B$18)</f>
        <v/>
      </c>
      <c r="C17" t="str">
        <f>IF([1]Ops!$B$18="","",[1]Ops!$C$18)</f>
        <v/>
      </c>
      <c r="D17" t="str">
        <f>IF([1]Ops!$B$18="","",[1]Ops!$D$18)</f>
        <v/>
      </c>
      <c r="F17" t="str">
        <f>IF([1]Accounts!$D$18="","",[1]Accounts!$A$18)</f>
        <v>C012</v>
      </c>
      <c r="G17" t="str">
        <f>IF([1]Accounts!$D$18="","",[1]Accounts!$B$18)</f>
        <v>فروشنده</v>
      </c>
      <c r="H17">
        <f>IF([1]Accounts!$D$18="","",[1]Accounts!$C$18)</f>
        <v>0</v>
      </c>
      <c r="I17" t="str">
        <f>IF([1]Accounts!$D$18="","",[1]Accounts!$D$18)</f>
        <v>افشین بشتکار</v>
      </c>
      <c r="K17" t="str">
        <f>IF([1]Lists!$C$18="","",[1]Lists!$C$18)</f>
        <v/>
      </c>
      <c r="M17" t="str">
        <f>IF([1]Params!$A$18="","",[1]Params!$A$18)</f>
        <v>P12</v>
      </c>
      <c r="N17" t="str">
        <f>IF([1]Params!$B$18="","",[1]Params!$B$18)</f>
        <v/>
      </c>
      <c r="O17">
        <f>[1]Params!$C$18</f>
        <v>0</v>
      </c>
      <c r="S17">
        <f>COUNTIF($B$6:$B17,"?*")</f>
        <v>8</v>
      </c>
      <c r="T17" t="str">
        <f t="shared" si="0"/>
        <v/>
      </c>
      <c r="Y17" t="str">
        <f>IF([1]SubGroups!$C$18="","",[1]SubGroups!$A$18)</f>
        <v>SG012</v>
      </c>
      <c r="Z17" t="str">
        <f>IF([1]SubGroups!$C$18="","",[1]SubGroups!$B$18)</f>
        <v>هزینه</v>
      </c>
      <c r="AA17" t="str">
        <f>IF([1]SubGroups!$C$18="","",[1]SubGroups!$C$18)</f>
        <v>قبوض</v>
      </c>
      <c r="AC17">
        <f>COUNTIFS($Z$6:$Z17,$AD$5,$AA$6:$AA17,"?*")</f>
        <v>2</v>
      </c>
      <c r="AD17" t="str">
        <f t="shared" si="1"/>
        <v/>
      </c>
      <c r="AE17">
        <f>COUNTIFS($Z$6:$Z17,$AF$5,$AA$6:$AA17,"?*")</f>
        <v>0</v>
      </c>
      <c r="AF17" t="str">
        <f t="shared" si="2"/>
        <v/>
      </c>
      <c r="AG17">
        <f>COUNTIFS($Z$6:$Z17,$AH$5,$AA$6:$AA17,"?*")</f>
        <v>7</v>
      </c>
      <c r="AH17" t="str">
        <f t="shared" si="3"/>
        <v/>
      </c>
      <c r="AI17">
        <f>COUNTIFS($Z$6:$Z17,$AJ$5,$AA$6:$AA17,"?*")</f>
        <v>3</v>
      </c>
      <c r="AJ17" t="str">
        <f t="shared" si="4"/>
        <v/>
      </c>
      <c r="AK17">
        <f>COUNTIFS($Z$6:$Z17,$AL$5,$AA$6:$AA17,"?*")</f>
        <v>0</v>
      </c>
      <c r="AL17" t="str">
        <f t="shared" si="5"/>
        <v/>
      </c>
      <c r="AM17">
        <f>COUNTIFS($Z$6:$Z17,$AN$5,$AA$6:$AA17,"?*")</f>
        <v>0</v>
      </c>
      <c r="AN17" t="str">
        <f t="shared" si="6"/>
        <v/>
      </c>
      <c r="AO17">
        <f>COUNTIFS($Z$6:$Z17,$AP$5,$AA$6:$AA17,"?*")</f>
        <v>0</v>
      </c>
      <c r="AP17" t="str">
        <f t="shared" si="7"/>
        <v/>
      </c>
      <c r="AQ17">
        <f>COUNTIFS($Z$6:$Z17,$AR$5,$AA$6:$AA17,"?*")</f>
        <v>0</v>
      </c>
      <c r="AR17" t="str">
        <f t="shared" si="8"/>
        <v/>
      </c>
      <c r="AS17">
        <f>COUNTIFS($Z$6:$Z17,$AT$5,$AA$6:$AA17,"?*")</f>
        <v>0</v>
      </c>
      <c r="AT17" t="str">
        <f t="shared" si="9"/>
        <v/>
      </c>
      <c r="AU17">
        <f>COUNTIFS($Z$6:$Z17,$AV$5,$AA$6:$AA17,"?*")</f>
        <v>0</v>
      </c>
      <c r="AV17" t="str">
        <f t="shared" si="10"/>
        <v/>
      </c>
    </row>
    <row r="18" spans="1:48" x14ac:dyDescent="0.2">
      <c r="A18" t="str">
        <f>IF([1]Ops!$B$19="","",[1]Ops!$A$19)</f>
        <v/>
      </c>
      <c r="B18" t="str">
        <f>IF([1]Ops!$B$19="","",[1]Ops!$B$19)</f>
        <v/>
      </c>
      <c r="C18" t="str">
        <f>IF([1]Ops!$B$19="","",[1]Ops!$C$19)</f>
        <v/>
      </c>
      <c r="D18" t="str">
        <f>IF([1]Ops!$B$19="","",[1]Ops!$D$19)</f>
        <v/>
      </c>
      <c r="F18" t="str">
        <f>IF([1]Accounts!$D$19="","",[1]Accounts!$A$19)</f>
        <v>C013</v>
      </c>
      <c r="G18" t="str">
        <f>IF([1]Accounts!$D$19="","",[1]Accounts!$B$19)</f>
        <v>فروشنده</v>
      </c>
      <c r="H18">
        <f>IF([1]Accounts!$D$19="","",[1]Accounts!$C$19)</f>
        <v>0</v>
      </c>
      <c r="I18" t="str">
        <f>IF([1]Accounts!$D$19="","",[1]Accounts!$D$19)</f>
        <v>میرقربان موسویان</v>
      </c>
      <c r="K18" t="str">
        <f>IF([1]Lists!$C$19="","",[1]Lists!$C$19)</f>
        <v/>
      </c>
      <c r="S18">
        <f>COUNTIF($B$6:$B18,"?*")</f>
        <v>8</v>
      </c>
      <c r="T18" t="str">
        <f t="shared" si="0"/>
        <v/>
      </c>
      <c r="Y18" t="str">
        <f>IF([1]SubGroups!$C$19="","",[1]SubGroups!$A$19)</f>
        <v>SG013</v>
      </c>
      <c r="Z18" t="str">
        <f>IF([1]SubGroups!$C$19="","",[1]SubGroups!$B$19)</f>
        <v>هزینه</v>
      </c>
      <c r="AA18" t="str">
        <f>IF([1]SubGroups!$C$19="","",[1]SubGroups!$C$19)</f>
        <v>بازاریابی</v>
      </c>
      <c r="AC18">
        <f>COUNTIFS($Z$6:$Z18,$AD$5,$AA$6:$AA18,"?*")</f>
        <v>2</v>
      </c>
      <c r="AD18" t="str">
        <f t="shared" si="1"/>
        <v/>
      </c>
      <c r="AE18">
        <f>COUNTIFS($Z$6:$Z18,$AF$5,$AA$6:$AA18,"?*")</f>
        <v>0</v>
      </c>
      <c r="AF18" t="str">
        <f t="shared" si="2"/>
        <v/>
      </c>
      <c r="AG18">
        <f>COUNTIFS($Z$6:$Z18,$AH$5,$AA$6:$AA18,"?*")</f>
        <v>8</v>
      </c>
      <c r="AH18" t="str">
        <f t="shared" si="3"/>
        <v/>
      </c>
      <c r="AI18">
        <f>COUNTIFS($Z$6:$Z18,$AJ$5,$AA$6:$AA18,"?*")</f>
        <v>3</v>
      </c>
      <c r="AJ18" t="str">
        <f t="shared" si="4"/>
        <v/>
      </c>
      <c r="AK18">
        <f>COUNTIFS($Z$6:$Z18,$AL$5,$AA$6:$AA18,"?*")</f>
        <v>0</v>
      </c>
      <c r="AL18" t="str">
        <f t="shared" si="5"/>
        <v/>
      </c>
      <c r="AM18">
        <f>COUNTIFS($Z$6:$Z18,$AN$5,$AA$6:$AA18,"?*")</f>
        <v>0</v>
      </c>
      <c r="AN18" t="str">
        <f t="shared" si="6"/>
        <v/>
      </c>
      <c r="AO18">
        <f>COUNTIFS($Z$6:$Z18,$AP$5,$AA$6:$AA18,"?*")</f>
        <v>0</v>
      </c>
      <c r="AP18" t="str">
        <f t="shared" si="7"/>
        <v/>
      </c>
      <c r="AQ18">
        <f>COUNTIFS($Z$6:$Z18,$AR$5,$AA$6:$AA18,"?*")</f>
        <v>0</v>
      </c>
      <c r="AR18" t="str">
        <f t="shared" si="8"/>
        <v/>
      </c>
      <c r="AS18">
        <f>COUNTIFS($Z$6:$Z18,$AT$5,$AA$6:$AA18,"?*")</f>
        <v>0</v>
      </c>
      <c r="AT18" t="str">
        <f t="shared" si="9"/>
        <v/>
      </c>
      <c r="AU18">
        <f>COUNTIFS($Z$6:$Z18,$AV$5,$AA$6:$AA18,"?*")</f>
        <v>0</v>
      </c>
      <c r="AV18" t="str">
        <f t="shared" si="10"/>
        <v/>
      </c>
    </row>
    <row r="19" spans="1:48" x14ac:dyDescent="0.2">
      <c r="A19" t="str">
        <f>IF([1]Ops!$B$20="","",[1]Ops!$A$20)</f>
        <v/>
      </c>
      <c r="B19" t="str">
        <f>IF([1]Ops!$B$20="","",[1]Ops!$B$20)</f>
        <v/>
      </c>
      <c r="C19" t="str">
        <f>IF([1]Ops!$B$20="","",[1]Ops!$C$20)</f>
        <v/>
      </c>
      <c r="D19" t="str">
        <f>IF([1]Ops!$B$20="","",[1]Ops!$D$20)</f>
        <v/>
      </c>
      <c r="F19" t="str">
        <f>IF([1]Accounts!$D$20="","",[1]Accounts!$A$20)</f>
        <v>C014</v>
      </c>
      <c r="G19" t="str">
        <f>IF([1]Accounts!$D$20="","",[1]Accounts!$B$20)</f>
        <v>فروشنده</v>
      </c>
      <c r="H19">
        <f>IF([1]Accounts!$D$20="","",[1]Accounts!$C$20)</f>
        <v>0</v>
      </c>
      <c r="I19" t="str">
        <f>IF([1]Accounts!$D$20="","",[1]Accounts!$D$20)</f>
        <v>باباجانی (تراجیکلا)</v>
      </c>
      <c r="K19" t="str">
        <f>IF([1]Lists!$C$20="","",[1]Lists!$C$20)</f>
        <v/>
      </c>
      <c r="S19">
        <f>COUNTIF($B$6:$B19,"?*")</f>
        <v>8</v>
      </c>
      <c r="T19" t="str">
        <f t="shared" si="0"/>
        <v/>
      </c>
      <c r="Y19" t="str">
        <f>IF([1]SubGroups!$C$20="","",[1]SubGroups!$A$20)</f>
        <v>SG014</v>
      </c>
      <c r="Z19" t="str">
        <f>IF([1]SubGroups!$C$20="","",[1]SubGroups!$B$20)</f>
        <v>هزینه</v>
      </c>
      <c r="AA19" t="str">
        <f>IF([1]SubGroups!$C$20="","",[1]SubGroups!$C$20)</f>
        <v>خرید تجهیزات</v>
      </c>
      <c r="AC19">
        <f>COUNTIFS($Z$6:$Z19,$AD$5,$AA$6:$AA19,"?*")</f>
        <v>2</v>
      </c>
      <c r="AD19" t="str">
        <f t="shared" si="1"/>
        <v/>
      </c>
      <c r="AE19">
        <f>COUNTIFS($Z$6:$Z19,$AF$5,$AA$6:$AA19,"?*")</f>
        <v>0</v>
      </c>
      <c r="AF19" t="str">
        <f t="shared" si="2"/>
        <v/>
      </c>
      <c r="AG19">
        <f>COUNTIFS($Z$6:$Z19,$AH$5,$AA$6:$AA19,"?*")</f>
        <v>9</v>
      </c>
      <c r="AH19" t="str">
        <f t="shared" si="3"/>
        <v/>
      </c>
      <c r="AI19">
        <f>COUNTIFS($Z$6:$Z19,$AJ$5,$AA$6:$AA19,"?*")</f>
        <v>3</v>
      </c>
      <c r="AJ19" t="str">
        <f t="shared" si="4"/>
        <v/>
      </c>
      <c r="AK19">
        <f>COUNTIFS($Z$6:$Z19,$AL$5,$AA$6:$AA19,"?*")</f>
        <v>0</v>
      </c>
      <c r="AL19" t="str">
        <f t="shared" si="5"/>
        <v/>
      </c>
      <c r="AM19">
        <f>COUNTIFS($Z$6:$Z19,$AN$5,$AA$6:$AA19,"?*")</f>
        <v>0</v>
      </c>
      <c r="AN19" t="str">
        <f t="shared" si="6"/>
        <v/>
      </c>
      <c r="AO19">
        <f>COUNTIFS($Z$6:$Z19,$AP$5,$AA$6:$AA19,"?*")</f>
        <v>0</v>
      </c>
      <c r="AP19" t="str">
        <f t="shared" si="7"/>
        <v/>
      </c>
      <c r="AQ19">
        <f>COUNTIFS($Z$6:$Z19,$AR$5,$AA$6:$AA19,"?*")</f>
        <v>0</v>
      </c>
      <c r="AR19" t="str">
        <f t="shared" si="8"/>
        <v/>
      </c>
      <c r="AS19">
        <f>COUNTIFS($Z$6:$Z19,$AT$5,$AA$6:$AA19,"?*")</f>
        <v>0</v>
      </c>
      <c r="AT19" t="str">
        <f t="shared" si="9"/>
        <v/>
      </c>
      <c r="AU19">
        <f>COUNTIFS($Z$6:$Z19,$AV$5,$AA$6:$AA19,"?*")</f>
        <v>0</v>
      </c>
      <c r="AV19" t="str">
        <f t="shared" si="10"/>
        <v/>
      </c>
    </row>
    <row r="20" spans="1:48" x14ac:dyDescent="0.2">
      <c r="A20" t="str">
        <f>IF([1]Ops!$B$21="","",[1]Ops!$A$21)</f>
        <v/>
      </c>
      <c r="B20" t="str">
        <f>IF([1]Ops!$B$21="","",[1]Ops!$B$21)</f>
        <v/>
      </c>
      <c r="C20" t="str">
        <f>IF([1]Ops!$B$21="","",[1]Ops!$C$21)</f>
        <v/>
      </c>
      <c r="D20" t="str">
        <f>IF([1]Ops!$B$21="","",[1]Ops!$D$21)</f>
        <v/>
      </c>
      <c r="F20" t="str">
        <f>IF([1]Accounts!$D$21="","",[1]Accounts!$A$21)</f>
        <v>C015</v>
      </c>
      <c r="G20" t="str">
        <f>IF([1]Accounts!$D$21="","",[1]Accounts!$B$21)</f>
        <v>فروشنده</v>
      </c>
      <c r="H20">
        <f>IF([1]Accounts!$D$21="","",[1]Accounts!$C$21)</f>
        <v>0</v>
      </c>
      <c r="I20" t="str">
        <f>IF([1]Accounts!$D$21="","",[1]Accounts!$D$21)</f>
        <v>کاظم میرزازاده</v>
      </c>
      <c r="K20" t="str">
        <f>IF([1]Lists!$C$21="","",[1]Lists!$C$21)</f>
        <v/>
      </c>
      <c r="S20">
        <f>COUNTIF($B$6:$B20,"?*")</f>
        <v>8</v>
      </c>
      <c r="T20" t="str">
        <f t="shared" si="0"/>
        <v/>
      </c>
      <c r="Y20" t="str">
        <f>IF([1]SubGroups!$C$21="","",[1]SubGroups!$A$21)</f>
        <v>SG015</v>
      </c>
      <c r="Z20" t="str">
        <f>IF([1]SubGroups!$C$21="","",[1]SubGroups!$B$21)</f>
        <v>خرید</v>
      </c>
      <c r="AA20" t="str">
        <f>IF([1]SubGroups!$C$21="","",[1]SubGroups!$C$21)</f>
        <v>سبد</v>
      </c>
      <c r="AC20">
        <f>COUNTIFS($Z$6:$Z20,$AD$5,$AA$6:$AA20,"?*")</f>
        <v>3</v>
      </c>
      <c r="AD20" t="str">
        <f t="shared" si="1"/>
        <v/>
      </c>
      <c r="AE20">
        <f>COUNTIFS($Z$6:$Z20,$AF$5,$AA$6:$AA20,"?*")</f>
        <v>0</v>
      </c>
      <c r="AF20" t="str">
        <f t="shared" si="2"/>
        <v/>
      </c>
      <c r="AG20">
        <f>COUNTIFS($Z$6:$Z20,$AH$5,$AA$6:$AA20,"?*")</f>
        <v>9</v>
      </c>
      <c r="AH20" t="str">
        <f t="shared" si="3"/>
        <v/>
      </c>
      <c r="AI20">
        <f>COUNTIFS($Z$6:$Z20,$AJ$5,$AA$6:$AA20,"?*")</f>
        <v>3</v>
      </c>
      <c r="AJ20" t="str">
        <f t="shared" si="4"/>
        <v/>
      </c>
      <c r="AK20">
        <f>COUNTIFS($Z$6:$Z20,$AL$5,$AA$6:$AA20,"?*")</f>
        <v>0</v>
      </c>
      <c r="AL20" t="str">
        <f t="shared" si="5"/>
        <v/>
      </c>
      <c r="AM20">
        <f>COUNTIFS($Z$6:$Z20,$AN$5,$AA$6:$AA20,"?*")</f>
        <v>0</v>
      </c>
      <c r="AN20" t="str">
        <f t="shared" si="6"/>
        <v/>
      </c>
      <c r="AO20">
        <f>COUNTIFS($Z$6:$Z20,$AP$5,$AA$6:$AA20,"?*")</f>
        <v>0</v>
      </c>
      <c r="AP20" t="str">
        <f t="shared" si="7"/>
        <v/>
      </c>
      <c r="AQ20">
        <f>COUNTIFS($Z$6:$Z20,$AR$5,$AA$6:$AA20,"?*")</f>
        <v>0</v>
      </c>
      <c r="AR20" t="str">
        <f t="shared" si="8"/>
        <v/>
      </c>
      <c r="AS20">
        <f>COUNTIFS($Z$6:$Z20,$AT$5,$AA$6:$AA20,"?*")</f>
        <v>0</v>
      </c>
      <c r="AT20" t="str">
        <f t="shared" si="9"/>
        <v/>
      </c>
      <c r="AU20">
        <f>COUNTIFS($Z$6:$Z20,$AV$5,$AA$6:$AA20,"?*")</f>
        <v>0</v>
      </c>
      <c r="AV20" t="str">
        <f t="shared" si="10"/>
        <v/>
      </c>
    </row>
    <row r="21" spans="1:48" x14ac:dyDescent="0.2">
      <c r="A21" t="str">
        <f>IF([1]Ops!$B$22="","",[1]Ops!$A$22)</f>
        <v/>
      </c>
      <c r="B21" t="str">
        <f>IF([1]Ops!$B$22="","",[1]Ops!$B$22)</f>
        <v/>
      </c>
      <c r="C21" t="str">
        <f>IF([1]Ops!$B$22="","",[1]Ops!$C$22)</f>
        <v/>
      </c>
      <c r="D21" t="str">
        <f>IF([1]Ops!$B$22="","",[1]Ops!$D$22)</f>
        <v/>
      </c>
      <c r="F21" t="str">
        <f>IF([1]Accounts!$D$22="","",[1]Accounts!$A$22)</f>
        <v>C016</v>
      </c>
      <c r="G21" t="str">
        <f>IF([1]Accounts!$D$22="","",[1]Accounts!$B$22)</f>
        <v>فروشنده</v>
      </c>
      <c r="H21">
        <f>IF([1]Accounts!$D$22="","",[1]Accounts!$C$22)</f>
        <v>0</v>
      </c>
      <c r="I21" t="str">
        <f>IF([1]Accounts!$D$22="","",[1]Accounts!$D$22)</f>
        <v>علی جانبرارپور</v>
      </c>
      <c r="K21" t="str">
        <f>IF([1]Lists!$C$22="","",[1]Lists!$C$22)</f>
        <v/>
      </c>
      <c r="S21">
        <f>COUNTIF($B$6:$B21,"?*")</f>
        <v>8</v>
      </c>
      <c r="T21" t="str">
        <f t="shared" si="0"/>
        <v/>
      </c>
      <c r="Y21" t="str">
        <f>IF([1]SubGroups!$C$22="","",[1]SubGroups!$A$22)</f>
        <v/>
      </c>
      <c r="Z21" t="str">
        <f>IF([1]SubGroups!$C$22="","",[1]SubGroups!$B$22)</f>
        <v/>
      </c>
      <c r="AA21" t="str">
        <f>IF([1]SubGroups!$C$22="","",[1]SubGroups!$C$22)</f>
        <v/>
      </c>
      <c r="AC21">
        <f>COUNTIFS($Z$6:$Z21,$AD$5,$AA$6:$AA21,"?*")</f>
        <v>3</v>
      </c>
      <c r="AD21" t="str">
        <f t="shared" si="1"/>
        <v/>
      </c>
      <c r="AE21">
        <f>COUNTIFS($Z$6:$Z21,$AF$5,$AA$6:$AA21,"?*")</f>
        <v>0</v>
      </c>
      <c r="AF21" t="str">
        <f t="shared" si="2"/>
        <v/>
      </c>
      <c r="AG21">
        <f>COUNTIFS($Z$6:$Z21,$AH$5,$AA$6:$AA21,"?*")</f>
        <v>9</v>
      </c>
      <c r="AH21" t="str">
        <f t="shared" si="3"/>
        <v/>
      </c>
      <c r="AI21">
        <f>COUNTIFS($Z$6:$Z21,$AJ$5,$AA$6:$AA21,"?*")</f>
        <v>3</v>
      </c>
      <c r="AJ21" t="str">
        <f t="shared" si="4"/>
        <v/>
      </c>
      <c r="AK21">
        <f>COUNTIFS($Z$6:$Z21,$AL$5,$AA$6:$AA21,"?*")</f>
        <v>0</v>
      </c>
      <c r="AL21" t="str">
        <f t="shared" si="5"/>
        <v/>
      </c>
      <c r="AM21">
        <f>COUNTIFS($Z$6:$Z21,$AN$5,$AA$6:$AA21,"?*")</f>
        <v>0</v>
      </c>
      <c r="AN21" t="str">
        <f t="shared" si="6"/>
        <v/>
      </c>
      <c r="AO21">
        <f>COUNTIFS($Z$6:$Z21,$AP$5,$AA$6:$AA21,"?*")</f>
        <v>0</v>
      </c>
      <c r="AP21" t="str">
        <f t="shared" si="7"/>
        <v/>
      </c>
      <c r="AQ21">
        <f>COUNTIFS($Z$6:$Z21,$AR$5,$AA$6:$AA21,"?*")</f>
        <v>0</v>
      </c>
      <c r="AR21" t="str">
        <f t="shared" si="8"/>
        <v/>
      </c>
      <c r="AS21">
        <f>COUNTIFS($Z$6:$Z21,$AT$5,$AA$6:$AA21,"?*")</f>
        <v>0</v>
      </c>
      <c r="AT21" t="str">
        <f t="shared" si="9"/>
        <v/>
      </c>
      <c r="AU21">
        <f>COUNTIFS($Z$6:$Z21,$AV$5,$AA$6:$AA21,"?*")</f>
        <v>0</v>
      </c>
      <c r="AV21" t="str">
        <f t="shared" si="10"/>
        <v/>
      </c>
    </row>
    <row r="22" spans="1:48" x14ac:dyDescent="0.2">
      <c r="A22" t="str">
        <f>IF([1]Ops!$B$23="","",[1]Ops!$A$23)</f>
        <v/>
      </c>
      <c r="B22" t="str">
        <f>IF([1]Ops!$B$23="","",[1]Ops!$B$23)</f>
        <v/>
      </c>
      <c r="C22" t="str">
        <f>IF([1]Ops!$B$23="","",[1]Ops!$C$23)</f>
        <v/>
      </c>
      <c r="D22" t="str">
        <f>IF([1]Ops!$B$23="","",[1]Ops!$D$23)</f>
        <v/>
      </c>
      <c r="F22" t="str">
        <f>IF([1]Accounts!$D$23="","",[1]Accounts!$A$23)</f>
        <v>C017</v>
      </c>
      <c r="G22" t="str">
        <f>IF([1]Accounts!$D$23="","",[1]Accounts!$B$23)</f>
        <v>فروشنده</v>
      </c>
      <c r="H22">
        <f>IF([1]Accounts!$D$23="","",[1]Accounts!$C$23)</f>
        <v>0</v>
      </c>
      <c r="I22" t="str">
        <f>IF([1]Accounts!$D$23="","",[1]Accounts!$D$23)</f>
        <v>لیلا محمودنیا</v>
      </c>
      <c r="K22" t="str">
        <f>IF([1]Lists!$C$23="","",[1]Lists!$C$23)</f>
        <v/>
      </c>
      <c r="S22">
        <f>COUNTIF($B$6:$B22,"?*")</f>
        <v>8</v>
      </c>
      <c r="T22" t="str">
        <f t="shared" si="0"/>
        <v/>
      </c>
      <c r="Y22" t="str">
        <f>IF([1]SubGroups!$C$23="","",[1]SubGroups!$A$23)</f>
        <v/>
      </c>
      <c r="Z22" t="str">
        <f>IF([1]SubGroups!$C$23="","",[1]SubGroups!$B$23)</f>
        <v/>
      </c>
      <c r="AA22" t="str">
        <f>IF([1]SubGroups!$C$23="","",[1]SubGroups!$C$23)</f>
        <v/>
      </c>
      <c r="AC22">
        <f>COUNTIFS($Z$6:$Z22,$AD$5,$AA$6:$AA22,"?*")</f>
        <v>3</v>
      </c>
      <c r="AD22" t="str">
        <f t="shared" si="1"/>
        <v/>
      </c>
      <c r="AE22">
        <f>COUNTIFS($Z$6:$Z22,$AF$5,$AA$6:$AA22,"?*")</f>
        <v>0</v>
      </c>
      <c r="AF22" t="str">
        <f t="shared" si="2"/>
        <v/>
      </c>
      <c r="AG22">
        <f>COUNTIFS($Z$6:$Z22,$AH$5,$AA$6:$AA22,"?*")</f>
        <v>9</v>
      </c>
      <c r="AH22" t="str">
        <f t="shared" si="3"/>
        <v/>
      </c>
      <c r="AI22">
        <f>COUNTIFS($Z$6:$Z22,$AJ$5,$AA$6:$AA22,"?*")</f>
        <v>3</v>
      </c>
      <c r="AJ22" t="str">
        <f t="shared" si="4"/>
        <v/>
      </c>
      <c r="AK22">
        <f>COUNTIFS($Z$6:$Z22,$AL$5,$AA$6:$AA22,"?*")</f>
        <v>0</v>
      </c>
      <c r="AL22" t="str">
        <f t="shared" si="5"/>
        <v/>
      </c>
      <c r="AM22">
        <f>COUNTIFS($Z$6:$Z22,$AN$5,$AA$6:$AA22,"?*")</f>
        <v>0</v>
      </c>
      <c r="AN22" t="str">
        <f t="shared" si="6"/>
        <v/>
      </c>
      <c r="AO22">
        <f>COUNTIFS($Z$6:$Z22,$AP$5,$AA$6:$AA22,"?*")</f>
        <v>0</v>
      </c>
      <c r="AP22" t="str">
        <f t="shared" si="7"/>
        <v/>
      </c>
      <c r="AQ22">
        <f>COUNTIFS($Z$6:$Z22,$AR$5,$AA$6:$AA22,"?*")</f>
        <v>0</v>
      </c>
      <c r="AR22" t="str">
        <f t="shared" si="8"/>
        <v/>
      </c>
      <c r="AS22">
        <f>COUNTIFS($Z$6:$Z22,$AT$5,$AA$6:$AA22,"?*")</f>
        <v>0</v>
      </c>
      <c r="AT22" t="str">
        <f t="shared" si="9"/>
        <v/>
      </c>
      <c r="AU22">
        <f>COUNTIFS($Z$6:$Z22,$AV$5,$AA$6:$AA22,"?*")</f>
        <v>0</v>
      </c>
      <c r="AV22" t="str">
        <f t="shared" si="10"/>
        <v/>
      </c>
    </row>
    <row r="23" spans="1:48" x14ac:dyDescent="0.2">
      <c r="A23" t="str">
        <f>IF([1]Ops!$B$24="","",[1]Ops!$A$24)</f>
        <v/>
      </c>
      <c r="B23" t="str">
        <f>IF([1]Ops!$B$24="","",[1]Ops!$B$24)</f>
        <v/>
      </c>
      <c r="C23" t="str">
        <f>IF([1]Ops!$B$24="","",[1]Ops!$C$24)</f>
        <v/>
      </c>
      <c r="D23" t="str">
        <f>IF([1]Ops!$B$24="","",[1]Ops!$D$24)</f>
        <v/>
      </c>
      <c r="F23" t="str">
        <f>IF([1]Accounts!$D$24="","",[1]Accounts!$A$24)</f>
        <v>C018</v>
      </c>
      <c r="G23" t="str">
        <f>IF([1]Accounts!$D$24="","",[1]Accounts!$B$24)</f>
        <v>فروشنده</v>
      </c>
      <c r="H23">
        <f>IF([1]Accounts!$D$24="","",[1]Accounts!$C$24)</f>
        <v>0</v>
      </c>
      <c r="I23" t="str">
        <f>IF([1]Accounts!$D$24="","",[1]Accounts!$D$24)</f>
        <v>اسماعیل خانیا</v>
      </c>
      <c r="K23" t="str">
        <f>IF([1]Lists!$C$24="","",[1]Lists!$C$24)</f>
        <v/>
      </c>
      <c r="S23">
        <f>COUNTIF($B$6:$B23,"?*")</f>
        <v>8</v>
      </c>
      <c r="T23" t="str">
        <f t="shared" si="0"/>
        <v/>
      </c>
      <c r="Y23" t="str">
        <f>IF([1]SubGroups!$C$24="","",[1]SubGroups!$A$24)</f>
        <v/>
      </c>
      <c r="Z23" t="str">
        <f>IF([1]SubGroups!$C$24="","",[1]SubGroups!$B$24)</f>
        <v/>
      </c>
      <c r="AA23" t="str">
        <f>IF([1]SubGroups!$C$24="","",[1]SubGroups!$C$24)</f>
        <v/>
      </c>
      <c r="AC23">
        <f>COUNTIFS($Z$6:$Z23,$AD$5,$AA$6:$AA23,"?*")</f>
        <v>3</v>
      </c>
      <c r="AD23" t="str">
        <f t="shared" si="1"/>
        <v/>
      </c>
      <c r="AE23">
        <f>COUNTIFS($Z$6:$Z23,$AF$5,$AA$6:$AA23,"?*")</f>
        <v>0</v>
      </c>
      <c r="AF23" t="str">
        <f t="shared" si="2"/>
        <v/>
      </c>
      <c r="AG23">
        <f>COUNTIFS($Z$6:$Z23,$AH$5,$AA$6:$AA23,"?*")</f>
        <v>9</v>
      </c>
      <c r="AH23" t="str">
        <f t="shared" si="3"/>
        <v/>
      </c>
      <c r="AI23">
        <f>COUNTIFS($Z$6:$Z23,$AJ$5,$AA$6:$AA23,"?*")</f>
        <v>3</v>
      </c>
      <c r="AJ23" t="str">
        <f t="shared" si="4"/>
        <v/>
      </c>
      <c r="AK23">
        <f>COUNTIFS($Z$6:$Z23,$AL$5,$AA$6:$AA23,"?*")</f>
        <v>0</v>
      </c>
      <c r="AL23" t="str">
        <f t="shared" si="5"/>
        <v/>
      </c>
      <c r="AM23">
        <f>COUNTIFS($Z$6:$Z23,$AN$5,$AA$6:$AA23,"?*")</f>
        <v>0</v>
      </c>
      <c r="AN23" t="str">
        <f t="shared" si="6"/>
        <v/>
      </c>
      <c r="AO23">
        <f>COUNTIFS($Z$6:$Z23,$AP$5,$AA$6:$AA23,"?*")</f>
        <v>0</v>
      </c>
      <c r="AP23" t="str">
        <f t="shared" si="7"/>
        <v/>
      </c>
      <c r="AQ23">
        <f>COUNTIFS($Z$6:$Z23,$AR$5,$AA$6:$AA23,"?*")</f>
        <v>0</v>
      </c>
      <c r="AR23" t="str">
        <f t="shared" si="8"/>
        <v/>
      </c>
      <c r="AS23">
        <f>COUNTIFS($Z$6:$Z23,$AT$5,$AA$6:$AA23,"?*")</f>
        <v>0</v>
      </c>
      <c r="AT23" t="str">
        <f t="shared" si="9"/>
        <v/>
      </c>
      <c r="AU23">
        <f>COUNTIFS($Z$6:$Z23,$AV$5,$AA$6:$AA23,"?*")</f>
        <v>0</v>
      </c>
      <c r="AV23" t="str">
        <f t="shared" si="10"/>
        <v/>
      </c>
    </row>
    <row r="24" spans="1:48" x14ac:dyDescent="0.2">
      <c r="A24" t="str">
        <f>IF([1]Ops!$B$25="","",[1]Ops!$A$25)</f>
        <v/>
      </c>
      <c r="B24" t="str">
        <f>IF([1]Ops!$B$25="","",[1]Ops!$B$25)</f>
        <v/>
      </c>
      <c r="C24" t="str">
        <f>IF([1]Ops!$B$25="","",[1]Ops!$C$25)</f>
        <v/>
      </c>
      <c r="D24" t="str">
        <f>IF([1]Ops!$B$25="","",[1]Ops!$D$25)</f>
        <v/>
      </c>
      <c r="F24" t="str">
        <f>IF([1]Accounts!$D$25="","",[1]Accounts!$A$25)</f>
        <v>C019</v>
      </c>
      <c r="G24" t="str">
        <f>IF([1]Accounts!$D$25="","",[1]Accounts!$B$25)</f>
        <v>فروشنده</v>
      </c>
      <c r="H24">
        <f>IF([1]Accounts!$D$25="","",[1]Accounts!$C$25)</f>
        <v>0</v>
      </c>
      <c r="I24" t="str">
        <f>IF([1]Accounts!$D$25="","",[1]Accounts!$D$25)</f>
        <v>یوسف یوسف نژاد</v>
      </c>
      <c r="K24" t="str">
        <f>IF([1]Lists!$C$25="","",[1]Lists!$C$25)</f>
        <v/>
      </c>
      <c r="S24">
        <f>COUNTIF($B$6:$B24,"?*")</f>
        <v>8</v>
      </c>
      <c r="T24" t="str">
        <f t="shared" si="0"/>
        <v/>
      </c>
      <c r="Y24" t="str">
        <f>IF([1]SubGroups!$C$25="","",[1]SubGroups!$A$25)</f>
        <v/>
      </c>
      <c r="Z24" t="str">
        <f>IF([1]SubGroups!$C$25="","",[1]SubGroups!$B$25)</f>
        <v/>
      </c>
      <c r="AA24" t="str">
        <f>IF([1]SubGroups!$C$25="","",[1]SubGroups!$C$25)</f>
        <v/>
      </c>
      <c r="AC24">
        <f>COUNTIFS($Z$6:$Z24,$AD$5,$AA$6:$AA24,"?*")</f>
        <v>3</v>
      </c>
      <c r="AD24" t="str">
        <f t="shared" si="1"/>
        <v/>
      </c>
      <c r="AE24">
        <f>COUNTIFS($Z$6:$Z24,$AF$5,$AA$6:$AA24,"?*")</f>
        <v>0</v>
      </c>
      <c r="AF24" t="str">
        <f t="shared" si="2"/>
        <v/>
      </c>
      <c r="AG24">
        <f>COUNTIFS($Z$6:$Z24,$AH$5,$AA$6:$AA24,"?*")</f>
        <v>9</v>
      </c>
      <c r="AH24" t="str">
        <f t="shared" si="3"/>
        <v/>
      </c>
      <c r="AI24">
        <f>COUNTIFS($Z$6:$Z24,$AJ$5,$AA$6:$AA24,"?*")</f>
        <v>3</v>
      </c>
      <c r="AJ24" t="str">
        <f t="shared" si="4"/>
        <v/>
      </c>
      <c r="AK24">
        <f>COUNTIFS($Z$6:$Z24,$AL$5,$AA$6:$AA24,"?*")</f>
        <v>0</v>
      </c>
      <c r="AL24" t="str">
        <f t="shared" si="5"/>
        <v/>
      </c>
      <c r="AM24">
        <f>COUNTIFS($Z$6:$Z24,$AN$5,$AA$6:$AA24,"?*")</f>
        <v>0</v>
      </c>
      <c r="AN24" t="str">
        <f t="shared" si="6"/>
        <v/>
      </c>
      <c r="AO24">
        <f>COUNTIFS($Z$6:$Z24,$AP$5,$AA$6:$AA24,"?*")</f>
        <v>0</v>
      </c>
      <c r="AP24" t="str">
        <f t="shared" si="7"/>
        <v/>
      </c>
      <c r="AQ24">
        <f>COUNTIFS($Z$6:$Z24,$AR$5,$AA$6:$AA24,"?*")</f>
        <v>0</v>
      </c>
      <c r="AR24" t="str">
        <f t="shared" si="8"/>
        <v/>
      </c>
      <c r="AS24">
        <f>COUNTIFS($Z$6:$Z24,$AT$5,$AA$6:$AA24,"?*")</f>
        <v>0</v>
      </c>
      <c r="AT24" t="str">
        <f t="shared" si="9"/>
        <v/>
      </c>
      <c r="AU24">
        <f>COUNTIFS($Z$6:$Z24,$AV$5,$AA$6:$AA24,"?*")</f>
        <v>0</v>
      </c>
      <c r="AV24" t="str">
        <f t="shared" si="10"/>
        <v/>
      </c>
    </row>
    <row r="25" spans="1:48" x14ac:dyDescent="0.2">
      <c r="A25" t="str">
        <f>IF([1]Ops!$B$26="","",[1]Ops!$A$26)</f>
        <v/>
      </c>
      <c r="B25" t="str">
        <f>IF([1]Ops!$B$26="","",[1]Ops!$B$26)</f>
        <v/>
      </c>
      <c r="C25" t="str">
        <f>IF([1]Ops!$B$26="","",[1]Ops!$C$26)</f>
        <v/>
      </c>
      <c r="D25" t="str">
        <f>IF([1]Ops!$B$26="","",[1]Ops!$D$26)</f>
        <v/>
      </c>
      <c r="F25" t="str">
        <f>IF([1]Accounts!$D$26="","",[1]Accounts!$A$26)</f>
        <v>C020</v>
      </c>
      <c r="G25" t="str">
        <f>IF([1]Accounts!$D$26="","",[1]Accounts!$B$26)</f>
        <v>فروشنده</v>
      </c>
      <c r="H25">
        <f>IF([1]Accounts!$D$26="","",[1]Accounts!$C$26)</f>
        <v>0</v>
      </c>
      <c r="I25" t="str">
        <f>IF([1]Accounts!$D$26="","",[1]Accounts!$D$26)</f>
        <v>علی نوایی</v>
      </c>
      <c r="K25" t="str">
        <f>IF([1]Lists!$C$26="","",[1]Lists!$C$26)</f>
        <v/>
      </c>
      <c r="S25">
        <f>COUNTIF($B$6:$B25,"?*")</f>
        <v>8</v>
      </c>
      <c r="T25" t="str">
        <f t="shared" si="0"/>
        <v/>
      </c>
      <c r="Y25" t="str">
        <f>IF([1]SubGroups!$C$26="","",[1]SubGroups!$A$26)</f>
        <v/>
      </c>
      <c r="Z25" t="str">
        <f>IF([1]SubGroups!$C$26="","",[1]SubGroups!$B$26)</f>
        <v/>
      </c>
      <c r="AA25" t="str">
        <f>IF([1]SubGroups!$C$26="","",[1]SubGroups!$C$26)</f>
        <v/>
      </c>
      <c r="AC25">
        <f>COUNTIFS($Z$6:$Z25,$AD$5,$AA$6:$AA25,"?*")</f>
        <v>3</v>
      </c>
      <c r="AD25" t="str">
        <f t="shared" si="1"/>
        <v/>
      </c>
      <c r="AE25">
        <f>COUNTIFS($Z$6:$Z25,$AF$5,$AA$6:$AA25,"?*")</f>
        <v>0</v>
      </c>
      <c r="AF25" t="str">
        <f t="shared" si="2"/>
        <v/>
      </c>
      <c r="AG25">
        <f>COUNTIFS($Z$6:$Z25,$AH$5,$AA$6:$AA25,"?*")</f>
        <v>9</v>
      </c>
      <c r="AH25" t="str">
        <f t="shared" si="3"/>
        <v/>
      </c>
      <c r="AI25">
        <f>COUNTIFS($Z$6:$Z25,$AJ$5,$AA$6:$AA25,"?*")</f>
        <v>3</v>
      </c>
      <c r="AJ25" t="str">
        <f t="shared" si="4"/>
        <v/>
      </c>
      <c r="AK25">
        <f>COUNTIFS($Z$6:$Z25,$AL$5,$AA$6:$AA25,"?*")</f>
        <v>0</v>
      </c>
      <c r="AL25" t="str">
        <f t="shared" si="5"/>
        <v/>
      </c>
      <c r="AM25">
        <f>COUNTIFS($Z$6:$Z25,$AN$5,$AA$6:$AA25,"?*")</f>
        <v>0</v>
      </c>
      <c r="AN25" t="str">
        <f t="shared" si="6"/>
        <v/>
      </c>
      <c r="AO25">
        <f>COUNTIFS($Z$6:$Z25,$AP$5,$AA$6:$AA25,"?*")</f>
        <v>0</v>
      </c>
      <c r="AP25" t="str">
        <f t="shared" si="7"/>
        <v/>
      </c>
      <c r="AQ25">
        <f>COUNTIFS($Z$6:$Z25,$AR$5,$AA$6:$AA25,"?*")</f>
        <v>0</v>
      </c>
      <c r="AR25" t="str">
        <f t="shared" si="8"/>
        <v/>
      </c>
      <c r="AS25">
        <f>COUNTIFS($Z$6:$Z25,$AT$5,$AA$6:$AA25,"?*")</f>
        <v>0</v>
      </c>
      <c r="AT25" t="str">
        <f t="shared" si="9"/>
        <v/>
      </c>
      <c r="AU25">
        <f>COUNTIFS($Z$6:$Z25,$AV$5,$AA$6:$AA25,"?*")</f>
        <v>0</v>
      </c>
      <c r="AV25" t="str">
        <f t="shared" si="10"/>
        <v/>
      </c>
    </row>
    <row r="26" spans="1:48" x14ac:dyDescent="0.2">
      <c r="F26" t="str">
        <f>IF([1]Accounts!$D$27="","",[1]Accounts!$A$27)</f>
        <v>C021</v>
      </c>
      <c r="G26" t="str">
        <f>IF([1]Accounts!$D$27="","",[1]Accounts!$B$27)</f>
        <v>فروشنده</v>
      </c>
      <c r="H26">
        <f>IF([1]Accounts!$D$27="","",[1]Accounts!$C$27)</f>
        <v>0</v>
      </c>
      <c r="I26" t="str">
        <f>IF([1]Accounts!$D$27="","",[1]Accounts!$D$27)</f>
        <v>دومیری</v>
      </c>
      <c r="K26" t="str">
        <f>IF([1]Lists!$C$27="","",[1]Lists!$C$27)</f>
        <v/>
      </c>
      <c r="Y26" t="str">
        <f>IF([1]SubGroups!$C$27="","",[1]SubGroups!$A$27)</f>
        <v/>
      </c>
      <c r="Z26" t="str">
        <f>IF([1]SubGroups!$C$27="","",[1]SubGroups!$B$27)</f>
        <v/>
      </c>
      <c r="AA26" t="str">
        <f>IF([1]SubGroups!$C$27="","",[1]SubGroups!$C$27)</f>
        <v/>
      </c>
      <c r="AC26">
        <f>COUNTIFS($Z$6:$Z26,$AD$5,$AA$6:$AA26,"?*")</f>
        <v>3</v>
      </c>
      <c r="AD26" t="str">
        <f t="shared" si="1"/>
        <v/>
      </c>
      <c r="AE26">
        <f>COUNTIFS($Z$6:$Z26,$AF$5,$AA$6:$AA26,"?*")</f>
        <v>0</v>
      </c>
      <c r="AF26" t="str">
        <f t="shared" si="2"/>
        <v/>
      </c>
      <c r="AG26">
        <f>COUNTIFS($Z$6:$Z26,$AH$5,$AA$6:$AA26,"?*")</f>
        <v>9</v>
      </c>
      <c r="AH26" t="str">
        <f t="shared" si="3"/>
        <v/>
      </c>
      <c r="AI26">
        <f>COUNTIFS($Z$6:$Z26,$AJ$5,$AA$6:$AA26,"?*")</f>
        <v>3</v>
      </c>
      <c r="AJ26" t="str">
        <f t="shared" si="4"/>
        <v/>
      </c>
      <c r="AK26">
        <f>COUNTIFS($Z$6:$Z26,$AL$5,$AA$6:$AA26,"?*")</f>
        <v>0</v>
      </c>
      <c r="AL26" t="str">
        <f t="shared" si="5"/>
        <v/>
      </c>
      <c r="AM26">
        <f>COUNTIFS($Z$6:$Z26,$AN$5,$AA$6:$AA26,"?*")</f>
        <v>0</v>
      </c>
      <c r="AN26" t="str">
        <f t="shared" si="6"/>
        <v/>
      </c>
      <c r="AO26">
        <f>COUNTIFS($Z$6:$Z26,$AP$5,$AA$6:$AA26,"?*")</f>
        <v>0</v>
      </c>
      <c r="AP26" t="str">
        <f t="shared" si="7"/>
        <v/>
      </c>
      <c r="AQ26">
        <f>COUNTIFS($Z$6:$Z26,$AR$5,$AA$6:$AA26,"?*")</f>
        <v>0</v>
      </c>
      <c r="AR26" t="str">
        <f t="shared" si="8"/>
        <v/>
      </c>
      <c r="AS26">
        <f>COUNTIFS($Z$6:$Z26,$AT$5,$AA$6:$AA26,"?*")</f>
        <v>0</v>
      </c>
      <c r="AT26" t="str">
        <f t="shared" si="9"/>
        <v/>
      </c>
      <c r="AU26">
        <f>COUNTIFS($Z$6:$Z26,$AV$5,$AA$6:$AA26,"?*")</f>
        <v>0</v>
      </c>
      <c r="AV26" t="str">
        <f t="shared" si="10"/>
        <v/>
      </c>
    </row>
    <row r="27" spans="1:48" x14ac:dyDescent="0.2">
      <c r="F27" t="str">
        <f>IF([1]Accounts!$D$28="","",[1]Accounts!$A$28)</f>
        <v>C022</v>
      </c>
      <c r="G27" t="str">
        <f>IF([1]Accounts!$D$28="","",[1]Accounts!$B$28)</f>
        <v>فروشنده</v>
      </c>
      <c r="H27">
        <f>IF([1]Accounts!$D$28="","",[1]Accounts!$C$28)</f>
        <v>0</v>
      </c>
      <c r="I27" t="str">
        <f>IF([1]Accounts!$D$28="","",[1]Accounts!$D$28)</f>
        <v>شمسعلی علیجانی</v>
      </c>
      <c r="K27" t="str">
        <f>IF([1]Lists!$C$28="","",[1]Lists!$C$28)</f>
        <v/>
      </c>
      <c r="Y27" t="str">
        <f>IF([1]SubGroups!$C$28="","",[1]SubGroups!$A$28)</f>
        <v/>
      </c>
      <c r="Z27" t="str">
        <f>IF([1]SubGroups!$C$28="","",[1]SubGroups!$B$28)</f>
        <v/>
      </c>
      <c r="AA27" t="str">
        <f>IF([1]SubGroups!$C$28="","",[1]SubGroups!$C$28)</f>
        <v/>
      </c>
      <c r="AC27">
        <f>COUNTIFS($Z$6:$Z27,$AD$5,$AA$6:$AA27,"?*")</f>
        <v>3</v>
      </c>
      <c r="AD27" t="str">
        <f t="shared" si="1"/>
        <v/>
      </c>
      <c r="AE27">
        <f>COUNTIFS($Z$6:$Z27,$AF$5,$AA$6:$AA27,"?*")</f>
        <v>0</v>
      </c>
      <c r="AF27" t="str">
        <f t="shared" si="2"/>
        <v/>
      </c>
      <c r="AG27">
        <f>COUNTIFS($Z$6:$Z27,$AH$5,$AA$6:$AA27,"?*")</f>
        <v>9</v>
      </c>
      <c r="AH27" t="str">
        <f t="shared" si="3"/>
        <v/>
      </c>
      <c r="AI27">
        <f>COUNTIFS($Z$6:$Z27,$AJ$5,$AA$6:$AA27,"?*")</f>
        <v>3</v>
      </c>
      <c r="AJ27" t="str">
        <f t="shared" si="4"/>
        <v/>
      </c>
      <c r="AK27">
        <f>COUNTIFS($Z$6:$Z27,$AL$5,$AA$6:$AA27,"?*")</f>
        <v>0</v>
      </c>
      <c r="AL27" t="str">
        <f t="shared" si="5"/>
        <v/>
      </c>
      <c r="AM27">
        <f>COUNTIFS($Z$6:$Z27,$AN$5,$AA$6:$AA27,"?*")</f>
        <v>0</v>
      </c>
      <c r="AN27" t="str">
        <f t="shared" si="6"/>
        <v/>
      </c>
      <c r="AO27">
        <f>COUNTIFS($Z$6:$Z27,$AP$5,$AA$6:$AA27,"?*")</f>
        <v>0</v>
      </c>
      <c r="AP27" t="str">
        <f t="shared" si="7"/>
        <v/>
      </c>
      <c r="AQ27">
        <f>COUNTIFS($Z$6:$Z27,$AR$5,$AA$6:$AA27,"?*")</f>
        <v>0</v>
      </c>
      <c r="AR27" t="str">
        <f t="shared" si="8"/>
        <v/>
      </c>
      <c r="AS27">
        <f>COUNTIFS($Z$6:$Z27,$AT$5,$AA$6:$AA27,"?*")</f>
        <v>0</v>
      </c>
      <c r="AT27" t="str">
        <f t="shared" si="9"/>
        <v/>
      </c>
      <c r="AU27">
        <f>COUNTIFS($Z$6:$Z27,$AV$5,$AA$6:$AA27,"?*")</f>
        <v>0</v>
      </c>
      <c r="AV27" t="str">
        <f t="shared" si="10"/>
        <v/>
      </c>
    </row>
    <row r="28" spans="1:48" x14ac:dyDescent="0.2">
      <c r="F28" t="str">
        <f>IF([1]Accounts!$D$29="","",[1]Accounts!$A$29)</f>
        <v>C023</v>
      </c>
      <c r="G28" t="str">
        <f>IF([1]Accounts!$D$29="","",[1]Accounts!$B$29)</f>
        <v>فروشنده</v>
      </c>
      <c r="H28">
        <f>IF([1]Accounts!$D$29="","",[1]Accounts!$C$29)</f>
        <v>0</v>
      </c>
      <c r="I28" t="str">
        <f>IF([1]Accounts!$D$29="","",[1]Accounts!$D$29)</f>
        <v>یوسف نیا(موزیج)</v>
      </c>
      <c r="K28" t="str">
        <f>IF([1]Lists!$C$29="","",[1]Lists!$C$29)</f>
        <v/>
      </c>
      <c r="Y28" t="str">
        <f>IF([1]SubGroups!$C$29="","",[1]SubGroups!$A$29)</f>
        <v/>
      </c>
      <c r="Z28" t="str">
        <f>IF([1]SubGroups!$C$29="","",[1]SubGroups!$B$29)</f>
        <v/>
      </c>
      <c r="AA28" t="str">
        <f>IF([1]SubGroups!$C$29="","",[1]SubGroups!$C$29)</f>
        <v/>
      </c>
      <c r="AC28">
        <f>COUNTIFS($Z$6:$Z28,$AD$5,$AA$6:$AA28,"?*")</f>
        <v>3</v>
      </c>
      <c r="AD28" t="str">
        <f t="shared" si="1"/>
        <v/>
      </c>
      <c r="AE28">
        <f>COUNTIFS($Z$6:$Z28,$AF$5,$AA$6:$AA28,"?*")</f>
        <v>0</v>
      </c>
      <c r="AF28" t="str">
        <f t="shared" si="2"/>
        <v/>
      </c>
      <c r="AG28">
        <f>COUNTIFS($Z$6:$Z28,$AH$5,$AA$6:$AA28,"?*")</f>
        <v>9</v>
      </c>
      <c r="AH28" t="str">
        <f t="shared" si="3"/>
        <v/>
      </c>
      <c r="AI28">
        <f>COUNTIFS($Z$6:$Z28,$AJ$5,$AA$6:$AA28,"?*")</f>
        <v>3</v>
      </c>
      <c r="AJ28" t="str">
        <f t="shared" si="4"/>
        <v/>
      </c>
      <c r="AK28">
        <f>COUNTIFS($Z$6:$Z28,$AL$5,$AA$6:$AA28,"?*")</f>
        <v>0</v>
      </c>
      <c r="AL28" t="str">
        <f t="shared" si="5"/>
        <v/>
      </c>
      <c r="AM28">
        <f>COUNTIFS($Z$6:$Z28,$AN$5,$AA$6:$AA28,"?*")</f>
        <v>0</v>
      </c>
      <c r="AN28" t="str">
        <f t="shared" si="6"/>
        <v/>
      </c>
      <c r="AO28">
        <f>COUNTIFS($Z$6:$Z28,$AP$5,$AA$6:$AA28,"?*")</f>
        <v>0</v>
      </c>
      <c r="AP28" t="str">
        <f t="shared" si="7"/>
        <v/>
      </c>
      <c r="AQ28">
        <f>COUNTIFS($Z$6:$Z28,$AR$5,$AA$6:$AA28,"?*")</f>
        <v>0</v>
      </c>
      <c r="AR28" t="str">
        <f t="shared" si="8"/>
        <v/>
      </c>
      <c r="AS28">
        <f>COUNTIFS($Z$6:$Z28,$AT$5,$AA$6:$AA28,"?*")</f>
        <v>0</v>
      </c>
      <c r="AT28" t="str">
        <f t="shared" si="9"/>
        <v/>
      </c>
      <c r="AU28">
        <f>COUNTIFS($Z$6:$Z28,$AV$5,$AA$6:$AA28,"?*")</f>
        <v>0</v>
      </c>
      <c r="AV28" t="str">
        <f t="shared" si="10"/>
        <v/>
      </c>
    </row>
    <row r="29" spans="1:48" x14ac:dyDescent="0.2">
      <c r="F29" t="str">
        <f>IF([1]Accounts!$D$30="","",[1]Accounts!$A$30)</f>
        <v>C024</v>
      </c>
      <c r="G29" t="str">
        <f>IF([1]Accounts!$D$30="","",[1]Accounts!$B$30)</f>
        <v>فروشنده</v>
      </c>
      <c r="H29">
        <f>IF([1]Accounts!$D$30="","",[1]Accounts!$C$30)</f>
        <v>0</v>
      </c>
      <c r="I29" t="str">
        <f>IF([1]Accounts!$D$30="","",[1]Accounts!$D$30)</f>
        <v>کاظم ذبیح پور</v>
      </c>
      <c r="K29" t="str">
        <f>IF([1]Lists!$C$30="","",[1]Lists!$C$30)</f>
        <v/>
      </c>
      <c r="Y29" t="str">
        <f>IF([1]SubGroups!$C$30="","",[1]SubGroups!$A$30)</f>
        <v/>
      </c>
      <c r="Z29" t="str">
        <f>IF([1]SubGroups!$C$30="","",[1]SubGroups!$B$30)</f>
        <v/>
      </c>
      <c r="AA29" t="str">
        <f>IF([1]SubGroups!$C$30="","",[1]SubGroups!$C$30)</f>
        <v/>
      </c>
      <c r="AC29">
        <f>COUNTIFS($Z$6:$Z29,$AD$5,$AA$6:$AA29,"?*")</f>
        <v>3</v>
      </c>
      <c r="AD29" t="str">
        <f t="shared" si="1"/>
        <v/>
      </c>
      <c r="AE29">
        <f>COUNTIFS($Z$6:$Z29,$AF$5,$AA$6:$AA29,"?*")</f>
        <v>0</v>
      </c>
      <c r="AF29" t="str">
        <f t="shared" si="2"/>
        <v/>
      </c>
      <c r="AG29">
        <f>COUNTIFS($Z$6:$Z29,$AH$5,$AA$6:$AA29,"?*")</f>
        <v>9</v>
      </c>
      <c r="AH29" t="str">
        <f t="shared" si="3"/>
        <v/>
      </c>
      <c r="AI29">
        <f>COUNTIFS($Z$6:$Z29,$AJ$5,$AA$6:$AA29,"?*")</f>
        <v>3</v>
      </c>
      <c r="AJ29" t="str">
        <f t="shared" si="4"/>
        <v/>
      </c>
      <c r="AK29">
        <f>COUNTIFS($Z$6:$Z29,$AL$5,$AA$6:$AA29,"?*")</f>
        <v>0</v>
      </c>
      <c r="AL29" t="str">
        <f t="shared" si="5"/>
        <v/>
      </c>
      <c r="AM29">
        <f>COUNTIFS($Z$6:$Z29,$AN$5,$AA$6:$AA29,"?*")</f>
        <v>0</v>
      </c>
      <c r="AN29" t="str">
        <f t="shared" si="6"/>
        <v/>
      </c>
      <c r="AO29">
        <f>COUNTIFS($Z$6:$Z29,$AP$5,$AA$6:$AA29,"?*")</f>
        <v>0</v>
      </c>
      <c r="AP29" t="str">
        <f t="shared" si="7"/>
        <v/>
      </c>
      <c r="AQ29">
        <f>COUNTIFS($Z$6:$Z29,$AR$5,$AA$6:$AA29,"?*")</f>
        <v>0</v>
      </c>
      <c r="AR29" t="str">
        <f t="shared" si="8"/>
        <v/>
      </c>
      <c r="AS29">
        <f>COUNTIFS($Z$6:$Z29,$AT$5,$AA$6:$AA29,"?*")</f>
        <v>0</v>
      </c>
      <c r="AT29" t="str">
        <f t="shared" si="9"/>
        <v/>
      </c>
      <c r="AU29">
        <f>COUNTIFS($Z$6:$Z29,$AV$5,$AA$6:$AA29,"?*")</f>
        <v>0</v>
      </c>
      <c r="AV29" t="str">
        <f t="shared" si="10"/>
        <v/>
      </c>
    </row>
    <row r="30" spans="1:48" x14ac:dyDescent="0.2">
      <c r="F30" t="str">
        <f>IF([1]Accounts!$D$31="","",[1]Accounts!$A$31)</f>
        <v>C025</v>
      </c>
      <c r="G30" t="str">
        <f>IF([1]Accounts!$D$31="","",[1]Accounts!$B$31)</f>
        <v>فروشنده</v>
      </c>
      <c r="H30">
        <f>IF([1]Accounts!$D$31="","",[1]Accounts!$C$31)</f>
        <v>0</v>
      </c>
      <c r="I30" t="str">
        <f>IF([1]Accounts!$D$31="","",[1]Accounts!$D$31)</f>
        <v>علی غلام رضاپور</v>
      </c>
      <c r="K30" t="str">
        <f>IF([1]Lists!$C$31="","",[1]Lists!$C$31)</f>
        <v/>
      </c>
      <c r="Y30" t="str">
        <f>IF([1]SubGroups!$C$31="","",[1]SubGroups!$A$31)</f>
        <v/>
      </c>
      <c r="Z30" t="str">
        <f>IF([1]SubGroups!$C$31="","",[1]SubGroups!$B$31)</f>
        <v/>
      </c>
      <c r="AA30" t="str">
        <f>IF([1]SubGroups!$C$31="","",[1]SubGroups!$C$31)</f>
        <v/>
      </c>
      <c r="AC30">
        <f>COUNTIFS($Z$6:$Z30,$AD$5,$AA$6:$AA30,"?*")</f>
        <v>3</v>
      </c>
      <c r="AD30" t="str">
        <f t="shared" si="1"/>
        <v/>
      </c>
      <c r="AE30">
        <f>COUNTIFS($Z$6:$Z30,$AF$5,$AA$6:$AA30,"?*")</f>
        <v>0</v>
      </c>
      <c r="AF30" t="str">
        <f t="shared" si="2"/>
        <v/>
      </c>
      <c r="AG30">
        <f>COUNTIFS($Z$6:$Z30,$AH$5,$AA$6:$AA30,"?*")</f>
        <v>9</v>
      </c>
      <c r="AH30" t="str">
        <f t="shared" si="3"/>
        <v/>
      </c>
      <c r="AI30">
        <f>COUNTIFS($Z$6:$Z30,$AJ$5,$AA$6:$AA30,"?*")</f>
        <v>3</v>
      </c>
      <c r="AJ30" t="str">
        <f t="shared" si="4"/>
        <v/>
      </c>
      <c r="AK30">
        <f>COUNTIFS($Z$6:$Z30,$AL$5,$AA$6:$AA30,"?*")</f>
        <v>0</v>
      </c>
      <c r="AL30" t="str">
        <f t="shared" si="5"/>
        <v/>
      </c>
      <c r="AM30">
        <f>COUNTIFS($Z$6:$Z30,$AN$5,$AA$6:$AA30,"?*")</f>
        <v>0</v>
      </c>
      <c r="AN30" t="str">
        <f t="shared" si="6"/>
        <v/>
      </c>
      <c r="AO30">
        <f>COUNTIFS($Z$6:$Z30,$AP$5,$AA$6:$AA30,"?*")</f>
        <v>0</v>
      </c>
      <c r="AP30" t="str">
        <f t="shared" si="7"/>
        <v/>
      </c>
      <c r="AQ30">
        <f>COUNTIFS($Z$6:$Z30,$AR$5,$AA$6:$AA30,"?*")</f>
        <v>0</v>
      </c>
      <c r="AR30" t="str">
        <f t="shared" si="8"/>
        <v/>
      </c>
      <c r="AS30">
        <f>COUNTIFS($Z$6:$Z30,$AT$5,$AA$6:$AA30,"?*")</f>
        <v>0</v>
      </c>
      <c r="AT30" t="str">
        <f t="shared" si="9"/>
        <v/>
      </c>
      <c r="AU30">
        <f>COUNTIFS($Z$6:$Z30,$AV$5,$AA$6:$AA30,"?*")</f>
        <v>0</v>
      </c>
      <c r="AV30" t="str">
        <f t="shared" si="10"/>
        <v/>
      </c>
    </row>
    <row r="31" spans="1:48" x14ac:dyDescent="0.2">
      <c r="F31" t="str">
        <f>IF([1]Accounts!$D$32="","",[1]Accounts!$A$32)</f>
        <v>C026</v>
      </c>
      <c r="G31" t="str">
        <f>IF([1]Accounts!$D$32="","",[1]Accounts!$B$32)</f>
        <v>فروشنده</v>
      </c>
      <c r="H31">
        <f>IF([1]Accounts!$D$32="","",[1]Accounts!$C$32)</f>
        <v>0</v>
      </c>
      <c r="I31" t="str">
        <f>IF([1]Accounts!$D$32="","",[1]Accounts!$D$32)</f>
        <v>حسین شکرالله نیا</v>
      </c>
      <c r="K31" t="str">
        <f>IF([1]Lists!$C$32="","",[1]Lists!$C$32)</f>
        <v/>
      </c>
      <c r="Y31" t="str">
        <f>IF([1]SubGroups!$C$32="","",[1]SubGroups!$A$32)</f>
        <v/>
      </c>
      <c r="Z31" t="str">
        <f>IF([1]SubGroups!$C$32="","",[1]SubGroups!$B$32)</f>
        <v/>
      </c>
      <c r="AA31" t="str">
        <f>IF([1]SubGroups!$C$32="","",[1]SubGroups!$C$32)</f>
        <v/>
      </c>
      <c r="AC31">
        <f>COUNTIFS($Z$6:$Z31,$AD$5,$AA$6:$AA31,"?*")</f>
        <v>3</v>
      </c>
      <c r="AD31" t="str">
        <f t="shared" si="1"/>
        <v/>
      </c>
      <c r="AE31">
        <f>COUNTIFS($Z$6:$Z31,$AF$5,$AA$6:$AA31,"?*")</f>
        <v>0</v>
      </c>
      <c r="AF31" t="str">
        <f t="shared" si="2"/>
        <v/>
      </c>
      <c r="AG31">
        <f>COUNTIFS($Z$6:$Z31,$AH$5,$AA$6:$AA31,"?*")</f>
        <v>9</v>
      </c>
      <c r="AH31" t="str">
        <f t="shared" si="3"/>
        <v/>
      </c>
      <c r="AI31">
        <f>COUNTIFS($Z$6:$Z31,$AJ$5,$AA$6:$AA31,"?*")</f>
        <v>3</v>
      </c>
      <c r="AJ31" t="str">
        <f t="shared" si="4"/>
        <v/>
      </c>
      <c r="AK31">
        <f>COUNTIFS($Z$6:$Z31,$AL$5,$AA$6:$AA31,"?*")</f>
        <v>0</v>
      </c>
      <c r="AL31" t="str">
        <f t="shared" si="5"/>
        <v/>
      </c>
      <c r="AM31">
        <f>COUNTIFS($Z$6:$Z31,$AN$5,$AA$6:$AA31,"?*")</f>
        <v>0</v>
      </c>
      <c r="AN31" t="str">
        <f t="shared" si="6"/>
        <v/>
      </c>
      <c r="AO31">
        <f>COUNTIFS($Z$6:$Z31,$AP$5,$AA$6:$AA31,"?*")</f>
        <v>0</v>
      </c>
      <c r="AP31" t="str">
        <f t="shared" si="7"/>
        <v/>
      </c>
      <c r="AQ31">
        <f>COUNTIFS($Z$6:$Z31,$AR$5,$AA$6:$AA31,"?*")</f>
        <v>0</v>
      </c>
      <c r="AR31" t="str">
        <f t="shared" si="8"/>
        <v/>
      </c>
      <c r="AS31">
        <f>COUNTIFS($Z$6:$Z31,$AT$5,$AA$6:$AA31,"?*")</f>
        <v>0</v>
      </c>
      <c r="AT31" t="str">
        <f t="shared" si="9"/>
        <v/>
      </c>
      <c r="AU31">
        <f>COUNTIFS($Z$6:$Z31,$AV$5,$AA$6:$AA31,"?*")</f>
        <v>0</v>
      </c>
      <c r="AV31" t="str">
        <f t="shared" si="10"/>
        <v/>
      </c>
    </row>
    <row r="32" spans="1:48" x14ac:dyDescent="0.2">
      <c r="F32" t="str">
        <f>IF([1]Accounts!$D$33="","",[1]Accounts!$A$33)</f>
        <v>C027</v>
      </c>
      <c r="G32" t="str">
        <f>IF([1]Accounts!$D$33="","",[1]Accounts!$B$33)</f>
        <v>فروشنده</v>
      </c>
      <c r="H32">
        <f>IF([1]Accounts!$D$33="","",[1]Accounts!$C$33)</f>
        <v>0</v>
      </c>
      <c r="I32" t="str">
        <f>IF([1]Accounts!$D$33="","",[1]Accounts!$D$33)</f>
        <v>سید مهدی حسینی(دوست حاج هوشنگ)</v>
      </c>
      <c r="Y32" t="str">
        <f>IF([1]SubGroups!$C$33="","",[1]SubGroups!$A$33)</f>
        <v/>
      </c>
      <c r="Z32" t="str">
        <f>IF([1]SubGroups!$C$33="","",[1]SubGroups!$B$33)</f>
        <v/>
      </c>
      <c r="AA32" t="str">
        <f>IF([1]SubGroups!$C$33="","",[1]SubGroups!$C$33)</f>
        <v/>
      </c>
      <c r="AC32">
        <f>COUNTIFS($Z$6:$Z32,$AD$5,$AA$6:$AA32,"?*")</f>
        <v>3</v>
      </c>
      <c r="AD32" t="str">
        <f t="shared" si="1"/>
        <v/>
      </c>
      <c r="AE32">
        <f>COUNTIFS($Z$6:$Z32,$AF$5,$AA$6:$AA32,"?*")</f>
        <v>0</v>
      </c>
      <c r="AF32" t="str">
        <f t="shared" si="2"/>
        <v/>
      </c>
      <c r="AG32">
        <f>COUNTIFS($Z$6:$Z32,$AH$5,$AA$6:$AA32,"?*")</f>
        <v>9</v>
      </c>
      <c r="AH32" t="str">
        <f t="shared" si="3"/>
        <v/>
      </c>
      <c r="AI32">
        <f>COUNTIFS($Z$6:$Z32,$AJ$5,$AA$6:$AA32,"?*")</f>
        <v>3</v>
      </c>
      <c r="AJ32" t="str">
        <f t="shared" si="4"/>
        <v/>
      </c>
      <c r="AK32">
        <f>COUNTIFS($Z$6:$Z32,$AL$5,$AA$6:$AA32,"?*")</f>
        <v>0</v>
      </c>
      <c r="AL32" t="str">
        <f t="shared" si="5"/>
        <v/>
      </c>
      <c r="AM32">
        <f>COUNTIFS($Z$6:$Z32,$AN$5,$AA$6:$AA32,"?*")</f>
        <v>0</v>
      </c>
      <c r="AN32" t="str">
        <f t="shared" si="6"/>
        <v/>
      </c>
      <c r="AO32">
        <f>COUNTIFS($Z$6:$Z32,$AP$5,$AA$6:$AA32,"?*")</f>
        <v>0</v>
      </c>
      <c r="AP32" t="str">
        <f t="shared" si="7"/>
        <v/>
      </c>
      <c r="AQ32">
        <f>COUNTIFS($Z$6:$Z32,$AR$5,$AA$6:$AA32,"?*")</f>
        <v>0</v>
      </c>
      <c r="AR32" t="str">
        <f t="shared" si="8"/>
        <v/>
      </c>
      <c r="AS32">
        <f>COUNTIFS($Z$6:$Z32,$AT$5,$AA$6:$AA32,"?*")</f>
        <v>0</v>
      </c>
      <c r="AT32" t="str">
        <f t="shared" si="9"/>
        <v/>
      </c>
      <c r="AU32">
        <f>COUNTIFS($Z$6:$Z32,$AV$5,$AA$6:$AA32,"?*")</f>
        <v>0</v>
      </c>
      <c r="AV32" t="str">
        <f t="shared" si="10"/>
        <v/>
      </c>
    </row>
    <row r="33" spans="6:48" x14ac:dyDescent="0.2">
      <c r="F33" t="str">
        <f>IF([1]Accounts!$D$34="","",[1]Accounts!$A$34)</f>
        <v>C028</v>
      </c>
      <c r="G33" t="str">
        <f>IF([1]Accounts!$D$34="","",[1]Accounts!$B$34)</f>
        <v>فروشنده</v>
      </c>
      <c r="H33">
        <f>IF([1]Accounts!$D$34="","",[1]Accounts!$C$34)</f>
        <v>0</v>
      </c>
      <c r="I33" t="str">
        <f>IF([1]Accounts!$D$34="","",[1]Accounts!$D$34)</f>
        <v>آقای عزیزی</v>
      </c>
      <c r="Y33" t="str">
        <f>IF([1]SubGroups!$C$34="","",[1]SubGroups!$A$34)</f>
        <v/>
      </c>
      <c r="Z33" t="str">
        <f>IF([1]SubGroups!$C$34="","",[1]SubGroups!$B$34)</f>
        <v/>
      </c>
      <c r="AA33" t="str">
        <f>IF([1]SubGroups!$C$34="","",[1]SubGroups!$C$34)</f>
        <v/>
      </c>
      <c r="AC33">
        <f>COUNTIFS($Z$6:$Z33,$AD$5,$AA$6:$AA33,"?*")</f>
        <v>3</v>
      </c>
      <c r="AD33" t="str">
        <f t="shared" si="1"/>
        <v/>
      </c>
      <c r="AE33">
        <f>COUNTIFS($Z$6:$Z33,$AF$5,$AA$6:$AA33,"?*")</f>
        <v>0</v>
      </c>
      <c r="AF33" t="str">
        <f t="shared" si="2"/>
        <v/>
      </c>
      <c r="AG33">
        <f>COUNTIFS($Z$6:$Z33,$AH$5,$AA$6:$AA33,"?*")</f>
        <v>9</v>
      </c>
      <c r="AH33" t="str">
        <f t="shared" si="3"/>
        <v/>
      </c>
      <c r="AI33">
        <f>COUNTIFS($Z$6:$Z33,$AJ$5,$AA$6:$AA33,"?*")</f>
        <v>3</v>
      </c>
      <c r="AJ33" t="str">
        <f t="shared" si="4"/>
        <v/>
      </c>
      <c r="AK33">
        <f>COUNTIFS($Z$6:$Z33,$AL$5,$AA$6:$AA33,"?*")</f>
        <v>0</v>
      </c>
      <c r="AL33" t="str">
        <f t="shared" si="5"/>
        <v/>
      </c>
      <c r="AM33">
        <f>COUNTIFS($Z$6:$Z33,$AN$5,$AA$6:$AA33,"?*")</f>
        <v>0</v>
      </c>
      <c r="AN33" t="str">
        <f t="shared" si="6"/>
        <v/>
      </c>
      <c r="AO33">
        <f>COUNTIFS($Z$6:$Z33,$AP$5,$AA$6:$AA33,"?*")</f>
        <v>0</v>
      </c>
      <c r="AP33" t="str">
        <f t="shared" si="7"/>
        <v/>
      </c>
      <c r="AQ33">
        <f>COUNTIFS($Z$6:$Z33,$AR$5,$AA$6:$AA33,"?*")</f>
        <v>0</v>
      </c>
      <c r="AR33" t="str">
        <f t="shared" si="8"/>
        <v/>
      </c>
      <c r="AS33">
        <f>COUNTIFS($Z$6:$Z33,$AT$5,$AA$6:$AA33,"?*")</f>
        <v>0</v>
      </c>
      <c r="AT33" t="str">
        <f t="shared" si="9"/>
        <v/>
      </c>
      <c r="AU33">
        <f>COUNTIFS($Z$6:$Z33,$AV$5,$AA$6:$AA33,"?*")</f>
        <v>0</v>
      </c>
      <c r="AV33" t="str">
        <f t="shared" si="10"/>
        <v/>
      </c>
    </row>
    <row r="34" spans="6:48" x14ac:dyDescent="0.2">
      <c r="F34" t="str">
        <f>IF([1]Accounts!$D$35="","",[1]Accounts!$A$35)</f>
        <v>C029</v>
      </c>
      <c r="G34" t="str">
        <f>IF([1]Accounts!$D$35="","",[1]Accounts!$B$35)</f>
        <v>فروشنده</v>
      </c>
      <c r="H34">
        <f>IF([1]Accounts!$D$35="","",[1]Accounts!$C$35)</f>
        <v>0</v>
      </c>
      <c r="I34" t="str">
        <f>IF([1]Accounts!$D$35="","",[1]Accounts!$D$35)</f>
        <v>آقای حبیبی(بانک صادرات)</v>
      </c>
      <c r="Y34" t="str">
        <f>IF([1]SubGroups!$C$35="","",[1]SubGroups!$A$35)</f>
        <v/>
      </c>
      <c r="Z34" t="str">
        <f>IF([1]SubGroups!$C$35="","",[1]SubGroups!$B$35)</f>
        <v/>
      </c>
      <c r="AA34" t="str">
        <f>IF([1]SubGroups!$C$35="","",[1]SubGroups!$C$35)</f>
        <v/>
      </c>
      <c r="AC34">
        <f>COUNTIFS($Z$6:$Z34,$AD$5,$AA$6:$AA34,"?*")</f>
        <v>3</v>
      </c>
      <c r="AD34" t="str">
        <f t="shared" si="1"/>
        <v/>
      </c>
      <c r="AE34">
        <f>COUNTIFS($Z$6:$Z34,$AF$5,$AA$6:$AA34,"?*")</f>
        <v>0</v>
      </c>
      <c r="AF34" t="str">
        <f t="shared" si="2"/>
        <v/>
      </c>
      <c r="AG34">
        <f>COUNTIFS($Z$6:$Z34,$AH$5,$AA$6:$AA34,"?*")</f>
        <v>9</v>
      </c>
      <c r="AH34" t="str">
        <f t="shared" si="3"/>
        <v/>
      </c>
      <c r="AI34">
        <f>COUNTIFS($Z$6:$Z34,$AJ$5,$AA$6:$AA34,"?*")</f>
        <v>3</v>
      </c>
      <c r="AJ34" t="str">
        <f t="shared" si="4"/>
        <v/>
      </c>
      <c r="AK34">
        <f>COUNTIFS($Z$6:$Z34,$AL$5,$AA$6:$AA34,"?*")</f>
        <v>0</v>
      </c>
      <c r="AL34" t="str">
        <f t="shared" si="5"/>
        <v/>
      </c>
      <c r="AM34">
        <f>COUNTIFS($Z$6:$Z34,$AN$5,$AA$6:$AA34,"?*")</f>
        <v>0</v>
      </c>
      <c r="AN34" t="str">
        <f t="shared" si="6"/>
        <v/>
      </c>
      <c r="AO34">
        <f>COUNTIFS($Z$6:$Z34,$AP$5,$AA$6:$AA34,"?*")</f>
        <v>0</v>
      </c>
      <c r="AP34" t="str">
        <f t="shared" si="7"/>
        <v/>
      </c>
      <c r="AQ34">
        <f>COUNTIFS($Z$6:$Z34,$AR$5,$AA$6:$AA34,"?*")</f>
        <v>0</v>
      </c>
      <c r="AR34" t="str">
        <f t="shared" si="8"/>
        <v/>
      </c>
      <c r="AS34">
        <f>COUNTIFS($Z$6:$Z34,$AT$5,$AA$6:$AA34,"?*")</f>
        <v>0</v>
      </c>
      <c r="AT34" t="str">
        <f t="shared" si="9"/>
        <v/>
      </c>
      <c r="AU34">
        <f>COUNTIFS($Z$6:$Z34,$AV$5,$AA$6:$AA34,"?*")</f>
        <v>0</v>
      </c>
      <c r="AV34" t="str">
        <f t="shared" si="10"/>
        <v/>
      </c>
    </row>
    <row r="35" spans="6:48" x14ac:dyDescent="0.2">
      <c r="F35" t="str">
        <f>IF([1]Accounts!$D$36="","",[1]Accounts!$A$36)</f>
        <v>C030</v>
      </c>
      <c r="G35" t="str">
        <f>IF([1]Accounts!$D$36="","",[1]Accounts!$B$36)</f>
        <v>فروشنده</v>
      </c>
      <c r="H35">
        <f>IF([1]Accounts!$D$36="","",[1]Accounts!$C$36)</f>
        <v>0</v>
      </c>
      <c r="I35" t="str">
        <f>IF([1]Accounts!$D$36="","",[1]Accounts!$D$36)</f>
        <v>محمد علی اصغرزاده</v>
      </c>
      <c r="Y35" t="str">
        <f>IF([1]SubGroups!$C$36="","",[1]SubGroups!$A$36)</f>
        <v/>
      </c>
      <c r="Z35" t="str">
        <f>IF([1]SubGroups!$C$36="","",[1]SubGroups!$B$36)</f>
        <v/>
      </c>
      <c r="AA35" t="str">
        <f>IF([1]SubGroups!$C$36="","",[1]SubGroups!$C$36)</f>
        <v/>
      </c>
      <c r="AC35">
        <f>COUNTIFS($Z$6:$Z35,$AD$5,$AA$6:$AA35,"?*")</f>
        <v>3</v>
      </c>
      <c r="AD35" t="str">
        <f t="shared" si="1"/>
        <v/>
      </c>
      <c r="AE35">
        <f>COUNTIFS($Z$6:$Z35,$AF$5,$AA$6:$AA35,"?*")</f>
        <v>0</v>
      </c>
      <c r="AF35" t="str">
        <f t="shared" si="2"/>
        <v/>
      </c>
      <c r="AG35">
        <f>COUNTIFS($Z$6:$Z35,$AH$5,$AA$6:$AA35,"?*")</f>
        <v>9</v>
      </c>
      <c r="AH35" t="str">
        <f t="shared" si="3"/>
        <v/>
      </c>
      <c r="AI35">
        <f>COUNTIFS($Z$6:$Z35,$AJ$5,$AA$6:$AA35,"?*")</f>
        <v>3</v>
      </c>
      <c r="AJ35" t="str">
        <f t="shared" si="4"/>
        <v/>
      </c>
      <c r="AK35">
        <f>COUNTIFS($Z$6:$Z35,$AL$5,$AA$6:$AA35,"?*")</f>
        <v>0</v>
      </c>
      <c r="AL35" t="str">
        <f t="shared" si="5"/>
        <v/>
      </c>
      <c r="AM35">
        <f>COUNTIFS($Z$6:$Z35,$AN$5,$AA$6:$AA35,"?*")</f>
        <v>0</v>
      </c>
      <c r="AN35" t="str">
        <f t="shared" si="6"/>
        <v/>
      </c>
      <c r="AO35">
        <f>COUNTIFS($Z$6:$Z35,$AP$5,$AA$6:$AA35,"?*")</f>
        <v>0</v>
      </c>
      <c r="AP35" t="str">
        <f t="shared" si="7"/>
        <v/>
      </c>
      <c r="AQ35">
        <f>COUNTIFS($Z$6:$Z35,$AR$5,$AA$6:$AA35,"?*")</f>
        <v>0</v>
      </c>
      <c r="AR35" t="str">
        <f t="shared" si="8"/>
        <v/>
      </c>
      <c r="AS35">
        <f>COUNTIFS($Z$6:$Z35,$AT$5,$AA$6:$AA35,"?*")</f>
        <v>0</v>
      </c>
      <c r="AT35" t="str">
        <f t="shared" si="9"/>
        <v/>
      </c>
      <c r="AU35">
        <f>COUNTIFS($Z$6:$Z35,$AV$5,$AA$6:$AA35,"?*")</f>
        <v>0</v>
      </c>
      <c r="AV35" t="str">
        <f t="shared" si="10"/>
        <v/>
      </c>
    </row>
    <row r="36" spans="6:48" x14ac:dyDescent="0.2">
      <c r="F36" t="str">
        <f>IF([1]Accounts!$D$37="","",[1]Accounts!$A$37)</f>
        <v>C031</v>
      </c>
      <c r="G36" t="str">
        <f>IF([1]Accounts!$D$37="","",[1]Accounts!$B$37)</f>
        <v>فروشنده</v>
      </c>
      <c r="H36">
        <f>IF([1]Accounts!$D$37="","",[1]Accounts!$C$37)</f>
        <v>0</v>
      </c>
      <c r="I36" t="str">
        <f>IF([1]Accounts!$D$37="","",[1]Accounts!$D$37)</f>
        <v>فغان پور</v>
      </c>
      <c r="Y36" t="str">
        <f>IF([1]SubGroups!$C$37="","",[1]SubGroups!$A$37)</f>
        <v/>
      </c>
      <c r="Z36" t="str">
        <f>IF([1]SubGroups!$C$37="","",[1]SubGroups!$B$37)</f>
        <v/>
      </c>
      <c r="AA36" t="str">
        <f>IF([1]SubGroups!$C$37="","",[1]SubGroups!$C$37)</f>
        <v/>
      </c>
      <c r="AC36">
        <f>COUNTIFS($Z$6:$Z36,$AD$5,$AA$6:$AA36,"?*")</f>
        <v>3</v>
      </c>
      <c r="AD36" t="str">
        <f t="shared" si="1"/>
        <v/>
      </c>
      <c r="AE36">
        <f>COUNTIFS($Z$6:$Z36,$AF$5,$AA$6:$AA36,"?*")</f>
        <v>0</v>
      </c>
      <c r="AF36" t="str">
        <f t="shared" si="2"/>
        <v/>
      </c>
      <c r="AG36">
        <f>COUNTIFS($Z$6:$Z36,$AH$5,$AA$6:$AA36,"?*")</f>
        <v>9</v>
      </c>
      <c r="AH36" t="str">
        <f t="shared" si="3"/>
        <v/>
      </c>
      <c r="AI36">
        <f>COUNTIFS($Z$6:$Z36,$AJ$5,$AA$6:$AA36,"?*")</f>
        <v>3</v>
      </c>
      <c r="AJ36" t="str">
        <f t="shared" si="4"/>
        <v/>
      </c>
      <c r="AK36">
        <f>COUNTIFS($Z$6:$Z36,$AL$5,$AA$6:$AA36,"?*")</f>
        <v>0</v>
      </c>
      <c r="AL36" t="str">
        <f t="shared" si="5"/>
        <v/>
      </c>
      <c r="AM36">
        <f>COUNTIFS($Z$6:$Z36,$AN$5,$AA$6:$AA36,"?*")</f>
        <v>0</v>
      </c>
      <c r="AN36" t="str">
        <f t="shared" si="6"/>
        <v/>
      </c>
      <c r="AO36">
        <f>COUNTIFS($Z$6:$Z36,$AP$5,$AA$6:$AA36,"?*")</f>
        <v>0</v>
      </c>
      <c r="AP36" t="str">
        <f t="shared" si="7"/>
        <v/>
      </c>
      <c r="AQ36">
        <f>COUNTIFS($Z$6:$Z36,$AR$5,$AA$6:$AA36,"?*")</f>
        <v>0</v>
      </c>
      <c r="AR36" t="str">
        <f t="shared" si="8"/>
        <v/>
      </c>
      <c r="AS36">
        <f>COUNTIFS($Z$6:$Z36,$AT$5,$AA$6:$AA36,"?*")</f>
        <v>0</v>
      </c>
      <c r="AT36" t="str">
        <f t="shared" si="9"/>
        <v/>
      </c>
      <c r="AU36">
        <f>COUNTIFS($Z$6:$Z36,$AV$5,$AA$6:$AA36,"?*")</f>
        <v>0</v>
      </c>
      <c r="AV36" t="str">
        <f t="shared" si="10"/>
        <v/>
      </c>
    </row>
    <row r="37" spans="6:48" x14ac:dyDescent="0.2">
      <c r="F37" t="str">
        <f>IF([1]Accounts!$D$38="","",[1]Accounts!$A$38)</f>
        <v>C032</v>
      </c>
      <c r="G37" t="str">
        <f>IF([1]Accounts!$D$38="","",[1]Accounts!$B$38)</f>
        <v>فروشنده</v>
      </c>
      <c r="H37">
        <f>IF([1]Accounts!$D$38="","",[1]Accounts!$C$38)</f>
        <v>0</v>
      </c>
      <c r="I37" t="str">
        <f>IF([1]Accounts!$D$38="","",[1]Accounts!$D$38)</f>
        <v>عباس پور(بهنمیر)</v>
      </c>
      <c r="Y37" t="str">
        <f>IF([1]SubGroups!$C$38="","",[1]SubGroups!$A$38)</f>
        <v/>
      </c>
      <c r="Z37" t="str">
        <f>IF([1]SubGroups!$C$38="","",[1]SubGroups!$B$38)</f>
        <v/>
      </c>
      <c r="AA37" t="str">
        <f>IF([1]SubGroups!$C$38="","",[1]SubGroups!$C$38)</f>
        <v/>
      </c>
      <c r="AC37">
        <f>COUNTIFS($Z$6:$Z37,$AD$5,$AA$6:$AA37,"?*")</f>
        <v>3</v>
      </c>
      <c r="AD37" t="str">
        <f t="shared" si="1"/>
        <v/>
      </c>
      <c r="AE37">
        <f>COUNTIFS($Z$6:$Z37,$AF$5,$AA$6:$AA37,"?*")</f>
        <v>0</v>
      </c>
      <c r="AF37" t="str">
        <f t="shared" si="2"/>
        <v/>
      </c>
      <c r="AG37">
        <f>COUNTIFS($Z$6:$Z37,$AH$5,$AA$6:$AA37,"?*")</f>
        <v>9</v>
      </c>
      <c r="AH37" t="str">
        <f t="shared" si="3"/>
        <v/>
      </c>
      <c r="AI37">
        <f>COUNTIFS($Z$6:$Z37,$AJ$5,$AA$6:$AA37,"?*")</f>
        <v>3</v>
      </c>
      <c r="AJ37" t="str">
        <f t="shared" si="4"/>
        <v/>
      </c>
      <c r="AK37">
        <f>COUNTIFS($Z$6:$Z37,$AL$5,$AA$6:$AA37,"?*")</f>
        <v>0</v>
      </c>
      <c r="AL37" t="str">
        <f t="shared" si="5"/>
        <v/>
      </c>
      <c r="AM37">
        <f>COUNTIFS($Z$6:$Z37,$AN$5,$AA$6:$AA37,"?*")</f>
        <v>0</v>
      </c>
      <c r="AN37" t="str">
        <f t="shared" si="6"/>
        <v/>
      </c>
      <c r="AO37">
        <f>COUNTIFS($Z$6:$Z37,$AP$5,$AA$6:$AA37,"?*")</f>
        <v>0</v>
      </c>
      <c r="AP37" t="str">
        <f t="shared" si="7"/>
        <v/>
      </c>
      <c r="AQ37">
        <f>COUNTIFS($Z$6:$Z37,$AR$5,$AA$6:$AA37,"?*")</f>
        <v>0</v>
      </c>
      <c r="AR37" t="str">
        <f t="shared" si="8"/>
        <v/>
      </c>
      <c r="AS37">
        <f>COUNTIFS($Z$6:$Z37,$AT$5,$AA$6:$AA37,"?*")</f>
        <v>0</v>
      </c>
      <c r="AT37" t="str">
        <f t="shared" si="9"/>
        <v/>
      </c>
      <c r="AU37">
        <f>COUNTIFS($Z$6:$Z37,$AV$5,$AA$6:$AA37,"?*")</f>
        <v>0</v>
      </c>
      <c r="AV37" t="str">
        <f t="shared" si="10"/>
        <v/>
      </c>
    </row>
    <row r="38" spans="6:48" x14ac:dyDescent="0.2">
      <c r="F38" t="str">
        <f>IF([1]Accounts!$D$39="","",[1]Accounts!$A$39)</f>
        <v>C033</v>
      </c>
      <c r="G38" t="str">
        <f>IF([1]Accounts!$D$39="","",[1]Accounts!$B$39)</f>
        <v>فروشنده</v>
      </c>
      <c r="H38">
        <f>IF([1]Accounts!$D$39="","",[1]Accounts!$C$39)</f>
        <v>0</v>
      </c>
      <c r="I38" t="str">
        <f>IF([1]Accounts!$D$39="","",[1]Accounts!$D$39)</f>
        <v>رمضان خانیا(فرهاد پلنگ)</v>
      </c>
      <c r="Y38" t="str">
        <f>IF([1]SubGroups!$C$39="","",[1]SubGroups!$A$39)</f>
        <v/>
      </c>
      <c r="Z38" t="str">
        <f>IF([1]SubGroups!$C$39="","",[1]SubGroups!$B$39)</f>
        <v/>
      </c>
      <c r="AA38" t="str">
        <f>IF([1]SubGroups!$C$39="","",[1]SubGroups!$C$39)</f>
        <v/>
      </c>
      <c r="AC38">
        <f>COUNTIFS($Z$6:$Z38,$AD$5,$AA$6:$AA38,"?*")</f>
        <v>3</v>
      </c>
      <c r="AD38" t="str">
        <f t="shared" ref="AD38:AD69" si="11">IFERROR(INDEX($AA$6:$AA$105,MATCH(ROW()-5,$AC$6:$AC$105,0)),"")</f>
        <v/>
      </c>
      <c r="AE38">
        <f>COUNTIFS($Z$6:$Z38,$AF$5,$AA$6:$AA38,"?*")</f>
        <v>0</v>
      </c>
      <c r="AF38" t="str">
        <f t="shared" ref="AF38:AF69" si="12">IFERROR(INDEX($AA$6:$AA$105,MATCH(ROW()-5,$AE$6:$AE$105,0)),"")</f>
        <v/>
      </c>
      <c r="AG38">
        <f>COUNTIFS($Z$6:$Z38,$AH$5,$AA$6:$AA38,"?*")</f>
        <v>9</v>
      </c>
      <c r="AH38" t="str">
        <f t="shared" ref="AH38:AH69" si="13">IFERROR(INDEX($AA$6:$AA$105,MATCH(ROW()-5,$AG$6:$AG$105,0)),"")</f>
        <v/>
      </c>
      <c r="AI38">
        <f>COUNTIFS($Z$6:$Z38,$AJ$5,$AA$6:$AA38,"?*")</f>
        <v>3</v>
      </c>
      <c r="AJ38" t="str">
        <f t="shared" ref="AJ38:AJ69" si="14">IFERROR(INDEX($AA$6:$AA$105,MATCH(ROW()-5,$AI$6:$AI$105,0)),"")</f>
        <v/>
      </c>
      <c r="AK38">
        <f>COUNTIFS($Z$6:$Z38,$AL$5,$AA$6:$AA38,"?*")</f>
        <v>0</v>
      </c>
      <c r="AL38" t="str">
        <f t="shared" ref="AL38:AL69" si="15">IFERROR(INDEX($AA$6:$AA$105,MATCH(ROW()-5,$AK$6:$AK$105,0)),"")</f>
        <v/>
      </c>
      <c r="AM38">
        <f>COUNTIFS($Z$6:$Z38,$AN$5,$AA$6:$AA38,"?*")</f>
        <v>0</v>
      </c>
      <c r="AN38" t="str">
        <f t="shared" ref="AN38:AN69" si="16">IFERROR(INDEX($AA$6:$AA$105,MATCH(ROW()-5,$AM$6:$AM$105,0)),"")</f>
        <v/>
      </c>
      <c r="AO38">
        <f>COUNTIFS($Z$6:$Z38,$AP$5,$AA$6:$AA38,"?*")</f>
        <v>0</v>
      </c>
      <c r="AP38" t="str">
        <f t="shared" ref="AP38:AP69" si="17">IFERROR(INDEX($AA$6:$AA$105,MATCH(ROW()-5,$AO$6:$AO$105,0)),"")</f>
        <v/>
      </c>
      <c r="AQ38">
        <f>COUNTIFS($Z$6:$Z38,$AR$5,$AA$6:$AA38,"?*")</f>
        <v>0</v>
      </c>
      <c r="AR38" t="str">
        <f t="shared" ref="AR38:AR69" si="18">IFERROR(INDEX($AA$6:$AA$105,MATCH(ROW()-5,$AQ$6:$AQ$105,0)),"")</f>
        <v/>
      </c>
      <c r="AS38">
        <f>COUNTIFS($Z$6:$Z38,$AT$5,$AA$6:$AA38,"?*")</f>
        <v>0</v>
      </c>
      <c r="AT38" t="str">
        <f t="shared" ref="AT38:AT69" si="19">IFERROR(INDEX($AA$6:$AA$105,MATCH(ROW()-5,$AS$6:$AS$105,0)),"")</f>
        <v/>
      </c>
      <c r="AU38">
        <f>COUNTIFS($Z$6:$Z38,$AV$5,$AA$6:$AA38,"?*")</f>
        <v>0</v>
      </c>
      <c r="AV38" t="str">
        <f t="shared" ref="AV38:AV69" si="20">IFERROR(INDEX($AA$6:$AA$105,MATCH(ROW()-5,$AU$6:$AU$105,0)),"")</f>
        <v/>
      </c>
    </row>
    <row r="39" spans="6:48" x14ac:dyDescent="0.2">
      <c r="F39" t="str">
        <f>IF([1]Accounts!$D$40="","",[1]Accounts!$A$40)</f>
        <v>C034</v>
      </c>
      <c r="G39" t="str">
        <f>IF([1]Accounts!$D$40="","",[1]Accounts!$B$40)</f>
        <v>فروشنده</v>
      </c>
      <c r="H39">
        <f>IF([1]Accounts!$D$40="","",[1]Accounts!$C$40)</f>
        <v>0</v>
      </c>
      <c r="I39" t="str">
        <f>IF([1]Accounts!$D$40="","",[1]Accounts!$D$40)</f>
        <v>محمد رضایی</v>
      </c>
      <c r="Y39" t="str">
        <f>IF([1]SubGroups!$C$40="","",[1]SubGroups!$A$40)</f>
        <v/>
      </c>
      <c r="Z39" t="str">
        <f>IF([1]SubGroups!$C$40="","",[1]SubGroups!$B$40)</f>
        <v/>
      </c>
      <c r="AA39" t="str">
        <f>IF([1]SubGroups!$C$40="","",[1]SubGroups!$C$40)</f>
        <v/>
      </c>
      <c r="AC39">
        <f>COUNTIFS($Z$6:$Z39,$AD$5,$AA$6:$AA39,"?*")</f>
        <v>3</v>
      </c>
      <c r="AD39" t="str">
        <f t="shared" si="11"/>
        <v/>
      </c>
      <c r="AE39">
        <f>COUNTIFS($Z$6:$Z39,$AF$5,$AA$6:$AA39,"?*")</f>
        <v>0</v>
      </c>
      <c r="AF39" t="str">
        <f t="shared" si="12"/>
        <v/>
      </c>
      <c r="AG39">
        <f>COUNTIFS($Z$6:$Z39,$AH$5,$AA$6:$AA39,"?*")</f>
        <v>9</v>
      </c>
      <c r="AH39" t="str">
        <f t="shared" si="13"/>
        <v/>
      </c>
      <c r="AI39">
        <f>COUNTIFS($Z$6:$Z39,$AJ$5,$AA$6:$AA39,"?*")</f>
        <v>3</v>
      </c>
      <c r="AJ39" t="str">
        <f t="shared" si="14"/>
        <v/>
      </c>
      <c r="AK39">
        <f>COUNTIFS($Z$6:$Z39,$AL$5,$AA$6:$AA39,"?*")</f>
        <v>0</v>
      </c>
      <c r="AL39" t="str">
        <f t="shared" si="15"/>
        <v/>
      </c>
      <c r="AM39">
        <f>COUNTIFS($Z$6:$Z39,$AN$5,$AA$6:$AA39,"?*")</f>
        <v>0</v>
      </c>
      <c r="AN39" t="str">
        <f t="shared" si="16"/>
        <v/>
      </c>
      <c r="AO39">
        <f>COUNTIFS($Z$6:$Z39,$AP$5,$AA$6:$AA39,"?*")</f>
        <v>0</v>
      </c>
      <c r="AP39" t="str">
        <f t="shared" si="17"/>
        <v/>
      </c>
      <c r="AQ39">
        <f>COUNTIFS($Z$6:$Z39,$AR$5,$AA$6:$AA39,"?*")</f>
        <v>0</v>
      </c>
      <c r="AR39" t="str">
        <f t="shared" si="18"/>
        <v/>
      </c>
      <c r="AS39">
        <f>COUNTIFS($Z$6:$Z39,$AT$5,$AA$6:$AA39,"?*")</f>
        <v>0</v>
      </c>
      <c r="AT39" t="str">
        <f t="shared" si="19"/>
        <v/>
      </c>
      <c r="AU39">
        <f>COUNTIFS($Z$6:$Z39,$AV$5,$AA$6:$AA39,"?*")</f>
        <v>0</v>
      </c>
      <c r="AV39" t="str">
        <f t="shared" si="20"/>
        <v/>
      </c>
    </row>
    <row r="40" spans="6:48" x14ac:dyDescent="0.2">
      <c r="F40" t="str">
        <f>IF([1]Accounts!$D$41="","",[1]Accounts!$A$41)</f>
        <v>C035</v>
      </c>
      <c r="G40" t="str">
        <f>IF([1]Accounts!$D$41="","",[1]Accounts!$B$41)</f>
        <v>فروشنده</v>
      </c>
      <c r="H40">
        <f>IF([1]Accounts!$D$41="","",[1]Accounts!$C$41)</f>
        <v>0</v>
      </c>
      <c r="I40" t="str">
        <f>IF([1]Accounts!$D$41="","",[1]Accounts!$D$41)</f>
        <v>داریوش اسماعیلی</v>
      </c>
      <c r="Y40" t="str">
        <f>IF([1]SubGroups!$C$41="","",[1]SubGroups!$A$41)</f>
        <v/>
      </c>
      <c r="Z40" t="str">
        <f>IF([1]SubGroups!$C$41="","",[1]SubGroups!$B$41)</f>
        <v/>
      </c>
      <c r="AA40" t="str">
        <f>IF([1]SubGroups!$C$41="","",[1]SubGroups!$C$41)</f>
        <v/>
      </c>
      <c r="AC40">
        <f>COUNTIFS($Z$6:$Z40,$AD$5,$AA$6:$AA40,"?*")</f>
        <v>3</v>
      </c>
      <c r="AD40" t="str">
        <f t="shared" si="11"/>
        <v/>
      </c>
      <c r="AE40">
        <f>COUNTIFS($Z$6:$Z40,$AF$5,$AA$6:$AA40,"?*")</f>
        <v>0</v>
      </c>
      <c r="AF40" t="str">
        <f t="shared" si="12"/>
        <v/>
      </c>
      <c r="AG40">
        <f>COUNTIFS($Z$6:$Z40,$AH$5,$AA$6:$AA40,"?*")</f>
        <v>9</v>
      </c>
      <c r="AH40" t="str">
        <f t="shared" si="13"/>
        <v/>
      </c>
      <c r="AI40">
        <f>COUNTIFS($Z$6:$Z40,$AJ$5,$AA$6:$AA40,"?*")</f>
        <v>3</v>
      </c>
      <c r="AJ40" t="str">
        <f t="shared" si="14"/>
        <v/>
      </c>
      <c r="AK40">
        <f>COUNTIFS($Z$6:$Z40,$AL$5,$AA$6:$AA40,"?*")</f>
        <v>0</v>
      </c>
      <c r="AL40" t="str">
        <f t="shared" si="15"/>
        <v/>
      </c>
      <c r="AM40">
        <f>COUNTIFS($Z$6:$Z40,$AN$5,$AA$6:$AA40,"?*")</f>
        <v>0</v>
      </c>
      <c r="AN40" t="str">
        <f t="shared" si="16"/>
        <v/>
      </c>
      <c r="AO40">
        <f>COUNTIFS($Z$6:$Z40,$AP$5,$AA$6:$AA40,"?*")</f>
        <v>0</v>
      </c>
      <c r="AP40" t="str">
        <f t="shared" si="17"/>
        <v/>
      </c>
      <c r="AQ40">
        <f>COUNTIFS($Z$6:$Z40,$AR$5,$AA$6:$AA40,"?*")</f>
        <v>0</v>
      </c>
      <c r="AR40" t="str">
        <f t="shared" si="18"/>
        <v/>
      </c>
      <c r="AS40">
        <f>COUNTIFS($Z$6:$Z40,$AT$5,$AA$6:$AA40,"?*")</f>
        <v>0</v>
      </c>
      <c r="AT40" t="str">
        <f t="shared" si="19"/>
        <v/>
      </c>
      <c r="AU40">
        <f>COUNTIFS($Z$6:$Z40,$AV$5,$AA$6:$AA40,"?*")</f>
        <v>0</v>
      </c>
      <c r="AV40" t="str">
        <f t="shared" si="20"/>
        <v/>
      </c>
    </row>
    <row r="41" spans="6:48" x14ac:dyDescent="0.2">
      <c r="F41" t="str">
        <f>IF([1]Accounts!$D$42="","",[1]Accounts!$A$42)</f>
        <v>C036</v>
      </c>
      <c r="G41" t="str">
        <f>IF([1]Accounts!$D$42="","",[1]Accounts!$B$42)</f>
        <v>فروشنده</v>
      </c>
      <c r="H41">
        <f>IF([1]Accounts!$D$42="","",[1]Accounts!$C$42)</f>
        <v>0</v>
      </c>
      <c r="I41" t="str">
        <f>IF([1]Accounts!$D$42="","",[1]Accounts!$D$42)</f>
        <v>محسن قبادی</v>
      </c>
      <c r="Y41" t="str">
        <f>IF([1]SubGroups!$C$42="","",[1]SubGroups!$A$42)</f>
        <v/>
      </c>
      <c r="Z41" t="str">
        <f>IF([1]SubGroups!$C$42="","",[1]SubGroups!$B$42)</f>
        <v/>
      </c>
      <c r="AA41" t="str">
        <f>IF([1]SubGroups!$C$42="","",[1]SubGroups!$C$42)</f>
        <v/>
      </c>
      <c r="AC41">
        <f>COUNTIFS($Z$6:$Z41,$AD$5,$AA$6:$AA41,"?*")</f>
        <v>3</v>
      </c>
      <c r="AD41" t="str">
        <f t="shared" si="11"/>
        <v/>
      </c>
      <c r="AE41">
        <f>COUNTIFS($Z$6:$Z41,$AF$5,$AA$6:$AA41,"?*")</f>
        <v>0</v>
      </c>
      <c r="AF41" t="str">
        <f t="shared" si="12"/>
        <v/>
      </c>
      <c r="AG41">
        <f>COUNTIFS($Z$6:$Z41,$AH$5,$AA$6:$AA41,"?*")</f>
        <v>9</v>
      </c>
      <c r="AH41" t="str">
        <f t="shared" si="13"/>
        <v/>
      </c>
      <c r="AI41">
        <f>COUNTIFS($Z$6:$Z41,$AJ$5,$AA$6:$AA41,"?*")</f>
        <v>3</v>
      </c>
      <c r="AJ41" t="str">
        <f t="shared" si="14"/>
        <v/>
      </c>
      <c r="AK41">
        <f>COUNTIFS($Z$6:$Z41,$AL$5,$AA$6:$AA41,"?*")</f>
        <v>0</v>
      </c>
      <c r="AL41" t="str">
        <f t="shared" si="15"/>
        <v/>
      </c>
      <c r="AM41">
        <f>COUNTIFS($Z$6:$Z41,$AN$5,$AA$6:$AA41,"?*")</f>
        <v>0</v>
      </c>
      <c r="AN41" t="str">
        <f t="shared" si="16"/>
        <v/>
      </c>
      <c r="AO41">
        <f>COUNTIFS($Z$6:$Z41,$AP$5,$AA$6:$AA41,"?*")</f>
        <v>0</v>
      </c>
      <c r="AP41" t="str">
        <f t="shared" si="17"/>
        <v/>
      </c>
      <c r="AQ41">
        <f>COUNTIFS($Z$6:$Z41,$AR$5,$AA$6:$AA41,"?*")</f>
        <v>0</v>
      </c>
      <c r="AR41" t="str">
        <f t="shared" si="18"/>
        <v/>
      </c>
      <c r="AS41">
        <f>COUNTIFS($Z$6:$Z41,$AT$5,$AA$6:$AA41,"?*")</f>
        <v>0</v>
      </c>
      <c r="AT41" t="str">
        <f t="shared" si="19"/>
        <v/>
      </c>
      <c r="AU41">
        <f>COUNTIFS($Z$6:$Z41,$AV$5,$AA$6:$AA41,"?*")</f>
        <v>0</v>
      </c>
      <c r="AV41" t="str">
        <f t="shared" si="20"/>
        <v/>
      </c>
    </row>
    <row r="42" spans="6:48" x14ac:dyDescent="0.2">
      <c r="F42" t="str">
        <f>IF([1]Accounts!$D$43="","",[1]Accounts!$A$43)</f>
        <v>C037</v>
      </c>
      <c r="G42" t="str">
        <f>IF([1]Accounts!$D$43="","",[1]Accounts!$B$43)</f>
        <v>فروشنده</v>
      </c>
      <c r="H42">
        <f>IF([1]Accounts!$D$43="","",[1]Accounts!$C$43)</f>
        <v>0</v>
      </c>
      <c r="I42" t="str">
        <f>IF([1]Accounts!$D$43="","",[1]Accounts!$D$43)</f>
        <v>خانم قلی پور(یوسف نیا)</v>
      </c>
      <c r="Y42" t="str">
        <f>IF([1]SubGroups!$C$43="","",[1]SubGroups!$A$43)</f>
        <v/>
      </c>
      <c r="Z42" t="str">
        <f>IF([1]SubGroups!$C$43="","",[1]SubGroups!$B$43)</f>
        <v/>
      </c>
      <c r="AA42" t="str">
        <f>IF([1]SubGroups!$C$43="","",[1]SubGroups!$C$43)</f>
        <v/>
      </c>
      <c r="AC42">
        <f>COUNTIFS($Z$6:$Z42,$AD$5,$AA$6:$AA42,"?*")</f>
        <v>3</v>
      </c>
      <c r="AD42" t="str">
        <f t="shared" si="11"/>
        <v/>
      </c>
      <c r="AE42">
        <f>COUNTIFS($Z$6:$Z42,$AF$5,$AA$6:$AA42,"?*")</f>
        <v>0</v>
      </c>
      <c r="AF42" t="str">
        <f t="shared" si="12"/>
        <v/>
      </c>
      <c r="AG42">
        <f>COUNTIFS($Z$6:$Z42,$AH$5,$AA$6:$AA42,"?*")</f>
        <v>9</v>
      </c>
      <c r="AH42" t="str">
        <f t="shared" si="13"/>
        <v/>
      </c>
      <c r="AI42">
        <f>COUNTIFS($Z$6:$Z42,$AJ$5,$AA$6:$AA42,"?*")</f>
        <v>3</v>
      </c>
      <c r="AJ42" t="str">
        <f t="shared" si="14"/>
        <v/>
      </c>
      <c r="AK42">
        <f>COUNTIFS($Z$6:$Z42,$AL$5,$AA$6:$AA42,"?*")</f>
        <v>0</v>
      </c>
      <c r="AL42" t="str">
        <f t="shared" si="15"/>
        <v/>
      </c>
      <c r="AM42">
        <f>COUNTIFS($Z$6:$Z42,$AN$5,$AA$6:$AA42,"?*")</f>
        <v>0</v>
      </c>
      <c r="AN42" t="str">
        <f t="shared" si="16"/>
        <v/>
      </c>
      <c r="AO42">
        <f>COUNTIFS($Z$6:$Z42,$AP$5,$AA$6:$AA42,"?*")</f>
        <v>0</v>
      </c>
      <c r="AP42" t="str">
        <f t="shared" si="17"/>
        <v/>
      </c>
      <c r="AQ42">
        <f>COUNTIFS($Z$6:$Z42,$AR$5,$AA$6:$AA42,"?*")</f>
        <v>0</v>
      </c>
      <c r="AR42" t="str">
        <f t="shared" si="18"/>
        <v/>
      </c>
      <c r="AS42">
        <f>COUNTIFS($Z$6:$Z42,$AT$5,$AA$6:$AA42,"?*")</f>
        <v>0</v>
      </c>
      <c r="AT42" t="str">
        <f t="shared" si="19"/>
        <v/>
      </c>
      <c r="AU42">
        <f>COUNTIFS($Z$6:$Z42,$AV$5,$AA$6:$AA42,"?*")</f>
        <v>0</v>
      </c>
      <c r="AV42" t="str">
        <f t="shared" si="20"/>
        <v/>
      </c>
    </row>
    <row r="43" spans="6:48" x14ac:dyDescent="0.2">
      <c r="F43" t="str">
        <f>IF([1]Accounts!$D$44="","",[1]Accounts!$A$44)</f>
        <v>C038</v>
      </c>
      <c r="G43" t="str">
        <f>IF([1]Accounts!$D$44="","",[1]Accounts!$B$44)</f>
        <v>فروشنده</v>
      </c>
      <c r="H43">
        <f>IF([1]Accounts!$D$44="","",[1]Accounts!$C$44)</f>
        <v>0</v>
      </c>
      <c r="I43" t="str">
        <f>IF([1]Accounts!$D$44="","",[1]Accounts!$D$44)</f>
        <v>مهدی ولیپور</v>
      </c>
      <c r="Y43" t="str">
        <f>IF([1]SubGroups!$C$44="","",[1]SubGroups!$A$44)</f>
        <v/>
      </c>
      <c r="Z43" t="str">
        <f>IF([1]SubGroups!$C$44="","",[1]SubGroups!$B$44)</f>
        <v/>
      </c>
      <c r="AA43" t="str">
        <f>IF([1]SubGroups!$C$44="","",[1]SubGroups!$C$44)</f>
        <v/>
      </c>
      <c r="AC43">
        <f>COUNTIFS($Z$6:$Z43,$AD$5,$AA$6:$AA43,"?*")</f>
        <v>3</v>
      </c>
      <c r="AD43" t="str">
        <f t="shared" si="11"/>
        <v/>
      </c>
      <c r="AE43">
        <f>COUNTIFS($Z$6:$Z43,$AF$5,$AA$6:$AA43,"?*")</f>
        <v>0</v>
      </c>
      <c r="AF43" t="str">
        <f t="shared" si="12"/>
        <v/>
      </c>
      <c r="AG43">
        <f>COUNTIFS($Z$6:$Z43,$AH$5,$AA$6:$AA43,"?*")</f>
        <v>9</v>
      </c>
      <c r="AH43" t="str">
        <f t="shared" si="13"/>
        <v/>
      </c>
      <c r="AI43">
        <f>COUNTIFS($Z$6:$Z43,$AJ$5,$AA$6:$AA43,"?*")</f>
        <v>3</v>
      </c>
      <c r="AJ43" t="str">
        <f t="shared" si="14"/>
        <v/>
      </c>
      <c r="AK43">
        <f>COUNTIFS($Z$6:$Z43,$AL$5,$AA$6:$AA43,"?*")</f>
        <v>0</v>
      </c>
      <c r="AL43" t="str">
        <f t="shared" si="15"/>
        <v/>
      </c>
      <c r="AM43">
        <f>COUNTIFS($Z$6:$Z43,$AN$5,$AA$6:$AA43,"?*")</f>
        <v>0</v>
      </c>
      <c r="AN43" t="str">
        <f t="shared" si="16"/>
        <v/>
      </c>
      <c r="AO43">
        <f>COUNTIFS($Z$6:$Z43,$AP$5,$AA$6:$AA43,"?*")</f>
        <v>0</v>
      </c>
      <c r="AP43" t="str">
        <f t="shared" si="17"/>
        <v/>
      </c>
      <c r="AQ43">
        <f>COUNTIFS($Z$6:$Z43,$AR$5,$AA$6:$AA43,"?*")</f>
        <v>0</v>
      </c>
      <c r="AR43" t="str">
        <f t="shared" si="18"/>
        <v/>
      </c>
      <c r="AS43">
        <f>COUNTIFS($Z$6:$Z43,$AT$5,$AA$6:$AA43,"?*")</f>
        <v>0</v>
      </c>
      <c r="AT43" t="str">
        <f t="shared" si="19"/>
        <v/>
      </c>
      <c r="AU43">
        <f>COUNTIFS($Z$6:$Z43,$AV$5,$AA$6:$AA43,"?*")</f>
        <v>0</v>
      </c>
      <c r="AV43" t="str">
        <f t="shared" si="20"/>
        <v/>
      </c>
    </row>
    <row r="44" spans="6:48" x14ac:dyDescent="0.2">
      <c r="F44" t="str">
        <f>IF([1]Accounts!$D$45="","",[1]Accounts!$A$45)</f>
        <v>C039</v>
      </c>
      <c r="G44" t="str">
        <f>IF([1]Accounts!$D$45="","",[1]Accounts!$B$45)</f>
        <v>فروشنده</v>
      </c>
      <c r="H44">
        <f>IF([1]Accounts!$D$45="","",[1]Accounts!$C$45)</f>
        <v>0</v>
      </c>
      <c r="I44" t="str">
        <f>IF([1]Accounts!$D$45="","",[1]Accounts!$D$45)</f>
        <v>رمضان علی محمدیان</v>
      </c>
      <c r="Y44" t="str">
        <f>IF([1]SubGroups!$C$45="","",[1]SubGroups!$A$45)</f>
        <v/>
      </c>
      <c r="Z44" t="str">
        <f>IF([1]SubGroups!$C$45="","",[1]SubGroups!$B$45)</f>
        <v/>
      </c>
      <c r="AA44" t="str">
        <f>IF([1]SubGroups!$C$45="","",[1]SubGroups!$C$45)</f>
        <v/>
      </c>
      <c r="AC44">
        <f>COUNTIFS($Z$6:$Z44,$AD$5,$AA$6:$AA44,"?*")</f>
        <v>3</v>
      </c>
      <c r="AD44" t="str">
        <f t="shared" si="11"/>
        <v/>
      </c>
      <c r="AE44">
        <f>COUNTIFS($Z$6:$Z44,$AF$5,$AA$6:$AA44,"?*")</f>
        <v>0</v>
      </c>
      <c r="AF44" t="str">
        <f t="shared" si="12"/>
        <v/>
      </c>
      <c r="AG44">
        <f>COUNTIFS($Z$6:$Z44,$AH$5,$AA$6:$AA44,"?*")</f>
        <v>9</v>
      </c>
      <c r="AH44" t="str">
        <f t="shared" si="13"/>
        <v/>
      </c>
      <c r="AI44">
        <f>COUNTIFS($Z$6:$Z44,$AJ$5,$AA$6:$AA44,"?*")</f>
        <v>3</v>
      </c>
      <c r="AJ44" t="str">
        <f t="shared" si="14"/>
        <v/>
      </c>
      <c r="AK44">
        <f>COUNTIFS($Z$6:$Z44,$AL$5,$AA$6:$AA44,"?*")</f>
        <v>0</v>
      </c>
      <c r="AL44" t="str">
        <f t="shared" si="15"/>
        <v/>
      </c>
      <c r="AM44">
        <f>COUNTIFS($Z$6:$Z44,$AN$5,$AA$6:$AA44,"?*")</f>
        <v>0</v>
      </c>
      <c r="AN44" t="str">
        <f t="shared" si="16"/>
        <v/>
      </c>
      <c r="AO44">
        <f>COUNTIFS($Z$6:$Z44,$AP$5,$AA$6:$AA44,"?*")</f>
        <v>0</v>
      </c>
      <c r="AP44" t="str">
        <f t="shared" si="17"/>
        <v/>
      </c>
      <c r="AQ44">
        <f>COUNTIFS($Z$6:$Z44,$AR$5,$AA$6:$AA44,"?*")</f>
        <v>0</v>
      </c>
      <c r="AR44" t="str">
        <f t="shared" si="18"/>
        <v/>
      </c>
      <c r="AS44">
        <f>COUNTIFS($Z$6:$Z44,$AT$5,$AA$6:$AA44,"?*")</f>
        <v>0</v>
      </c>
      <c r="AT44" t="str">
        <f t="shared" si="19"/>
        <v/>
      </c>
      <c r="AU44">
        <f>COUNTIFS($Z$6:$Z44,$AV$5,$AA$6:$AA44,"?*")</f>
        <v>0</v>
      </c>
      <c r="AV44" t="str">
        <f t="shared" si="20"/>
        <v/>
      </c>
    </row>
    <row r="45" spans="6:48" x14ac:dyDescent="0.2">
      <c r="F45" t="str">
        <f>IF([1]Accounts!$D$46="","",[1]Accounts!$A$46)</f>
        <v>C040</v>
      </c>
      <c r="G45" t="str">
        <f>IF([1]Accounts!$D$46="","",[1]Accounts!$B$46)</f>
        <v>فروشنده</v>
      </c>
      <c r="H45">
        <f>IF([1]Accounts!$D$46="","",[1]Accounts!$C$46)</f>
        <v>0</v>
      </c>
      <c r="I45" t="str">
        <f>IF([1]Accounts!$D$46="","",[1]Accounts!$D$46)</f>
        <v>محمود آهنگر</v>
      </c>
      <c r="Y45" t="str">
        <f>IF([1]SubGroups!$C$46="","",[1]SubGroups!$A$46)</f>
        <v/>
      </c>
      <c r="Z45" t="str">
        <f>IF([1]SubGroups!$C$46="","",[1]SubGroups!$B$46)</f>
        <v/>
      </c>
      <c r="AA45" t="str">
        <f>IF([1]SubGroups!$C$46="","",[1]SubGroups!$C$46)</f>
        <v/>
      </c>
      <c r="AC45">
        <f>COUNTIFS($Z$6:$Z45,$AD$5,$AA$6:$AA45,"?*")</f>
        <v>3</v>
      </c>
      <c r="AD45" t="str">
        <f t="shared" si="11"/>
        <v/>
      </c>
      <c r="AE45">
        <f>COUNTIFS($Z$6:$Z45,$AF$5,$AA$6:$AA45,"?*")</f>
        <v>0</v>
      </c>
      <c r="AF45" t="str">
        <f t="shared" si="12"/>
        <v/>
      </c>
      <c r="AG45">
        <f>COUNTIFS($Z$6:$Z45,$AH$5,$AA$6:$AA45,"?*")</f>
        <v>9</v>
      </c>
      <c r="AH45" t="str">
        <f t="shared" si="13"/>
        <v/>
      </c>
      <c r="AI45">
        <f>COUNTIFS($Z$6:$Z45,$AJ$5,$AA$6:$AA45,"?*")</f>
        <v>3</v>
      </c>
      <c r="AJ45" t="str">
        <f t="shared" si="14"/>
        <v/>
      </c>
      <c r="AK45">
        <f>COUNTIFS($Z$6:$Z45,$AL$5,$AA$6:$AA45,"?*")</f>
        <v>0</v>
      </c>
      <c r="AL45" t="str">
        <f t="shared" si="15"/>
        <v/>
      </c>
      <c r="AM45">
        <f>COUNTIFS($Z$6:$Z45,$AN$5,$AA$6:$AA45,"?*")</f>
        <v>0</v>
      </c>
      <c r="AN45" t="str">
        <f t="shared" si="16"/>
        <v/>
      </c>
      <c r="AO45">
        <f>COUNTIFS($Z$6:$Z45,$AP$5,$AA$6:$AA45,"?*")</f>
        <v>0</v>
      </c>
      <c r="AP45" t="str">
        <f t="shared" si="17"/>
        <v/>
      </c>
      <c r="AQ45">
        <f>COUNTIFS($Z$6:$Z45,$AR$5,$AA$6:$AA45,"?*")</f>
        <v>0</v>
      </c>
      <c r="AR45" t="str">
        <f t="shared" si="18"/>
        <v/>
      </c>
      <c r="AS45">
        <f>COUNTIFS($Z$6:$Z45,$AT$5,$AA$6:$AA45,"?*")</f>
        <v>0</v>
      </c>
      <c r="AT45" t="str">
        <f t="shared" si="19"/>
        <v/>
      </c>
      <c r="AU45">
        <f>COUNTIFS($Z$6:$Z45,$AV$5,$AA$6:$AA45,"?*")</f>
        <v>0</v>
      </c>
      <c r="AV45" t="str">
        <f t="shared" si="20"/>
        <v/>
      </c>
    </row>
    <row r="46" spans="6:48" x14ac:dyDescent="0.2">
      <c r="F46" t="str">
        <f>IF([1]Accounts!$D$47="","",[1]Accounts!$A$47)</f>
        <v>C041</v>
      </c>
      <c r="G46" t="str">
        <f>IF([1]Accounts!$D$47="","",[1]Accounts!$B$47)</f>
        <v>فروشنده</v>
      </c>
      <c r="H46">
        <f>IF([1]Accounts!$D$47="","",[1]Accounts!$C$47)</f>
        <v>0</v>
      </c>
      <c r="I46" t="str">
        <f>IF([1]Accounts!$D$47="","",[1]Accounts!$D$47)</f>
        <v>محمد حسین عزیزی</v>
      </c>
      <c r="Y46" t="str">
        <f>IF([1]SubGroups!$C$47="","",[1]SubGroups!$A$47)</f>
        <v/>
      </c>
      <c r="Z46" t="str">
        <f>IF([1]SubGroups!$C$47="","",[1]SubGroups!$B$47)</f>
        <v/>
      </c>
      <c r="AA46" t="str">
        <f>IF([1]SubGroups!$C$47="","",[1]SubGroups!$C$47)</f>
        <v/>
      </c>
      <c r="AC46">
        <f>COUNTIFS($Z$6:$Z46,$AD$5,$AA$6:$AA46,"?*")</f>
        <v>3</v>
      </c>
      <c r="AD46" t="str">
        <f t="shared" si="11"/>
        <v/>
      </c>
      <c r="AE46">
        <f>COUNTIFS($Z$6:$Z46,$AF$5,$AA$6:$AA46,"?*")</f>
        <v>0</v>
      </c>
      <c r="AF46" t="str">
        <f t="shared" si="12"/>
        <v/>
      </c>
      <c r="AG46">
        <f>COUNTIFS($Z$6:$Z46,$AH$5,$AA$6:$AA46,"?*")</f>
        <v>9</v>
      </c>
      <c r="AH46" t="str">
        <f t="shared" si="13"/>
        <v/>
      </c>
      <c r="AI46">
        <f>COUNTIFS($Z$6:$Z46,$AJ$5,$AA$6:$AA46,"?*")</f>
        <v>3</v>
      </c>
      <c r="AJ46" t="str">
        <f t="shared" si="14"/>
        <v/>
      </c>
      <c r="AK46">
        <f>COUNTIFS($Z$6:$Z46,$AL$5,$AA$6:$AA46,"?*")</f>
        <v>0</v>
      </c>
      <c r="AL46" t="str">
        <f t="shared" si="15"/>
        <v/>
      </c>
      <c r="AM46">
        <f>COUNTIFS($Z$6:$Z46,$AN$5,$AA$6:$AA46,"?*")</f>
        <v>0</v>
      </c>
      <c r="AN46" t="str">
        <f t="shared" si="16"/>
        <v/>
      </c>
      <c r="AO46">
        <f>COUNTIFS($Z$6:$Z46,$AP$5,$AA$6:$AA46,"?*")</f>
        <v>0</v>
      </c>
      <c r="AP46" t="str">
        <f t="shared" si="17"/>
        <v/>
      </c>
      <c r="AQ46">
        <f>COUNTIFS($Z$6:$Z46,$AR$5,$AA$6:$AA46,"?*")</f>
        <v>0</v>
      </c>
      <c r="AR46" t="str">
        <f t="shared" si="18"/>
        <v/>
      </c>
      <c r="AS46">
        <f>COUNTIFS($Z$6:$Z46,$AT$5,$AA$6:$AA46,"?*")</f>
        <v>0</v>
      </c>
      <c r="AT46" t="str">
        <f t="shared" si="19"/>
        <v/>
      </c>
      <c r="AU46">
        <f>COUNTIFS($Z$6:$Z46,$AV$5,$AA$6:$AA46,"?*")</f>
        <v>0</v>
      </c>
      <c r="AV46" t="str">
        <f t="shared" si="20"/>
        <v/>
      </c>
    </row>
    <row r="47" spans="6:48" x14ac:dyDescent="0.2">
      <c r="F47" t="str">
        <f>IF([1]Accounts!$D$48="","",[1]Accounts!$A$48)</f>
        <v>C042</v>
      </c>
      <c r="G47" t="str">
        <f>IF([1]Accounts!$D$48="","",[1]Accounts!$B$48)</f>
        <v>فروشنده</v>
      </c>
      <c r="H47">
        <f>IF([1]Accounts!$D$48="","",[1]Accounts!$C$48)</f>
        <v>0</v>
      </c>
      <c r="I47" t="str">
        <f>IF([1]Accounts!$D$48="","",[1]Accounts!$D$48)</f>
        <v>مغداد طلایی</v>
      </c>
      <c r="Y47" t="str">
        <f>IF([1]SubGroups!$C$48="","",[1]SubGroups!$A$48)</f>
        <v/>
      </c>
      <c r="Z47" t="str">
        <f>IF([1]SubGroups!$C$48="","",[1]SubGroups!$B$48)</f>
        <v/>
      </c>
      <c r="AA47" t="str">
        <f>IF([1]SubGroups!$C$48="","",[1]SubGroups!$C$48)</f>
        <v/>
      </c>
      <c r="AC47">
        <f>COUNTIFS($Z$6:$Z47,$AD$5,$AA$6:$AA47,"?*")</f>
        <v>3</v>
      </c>
      <c r="AD47" t="str">
        <f t="shared" si="11"/>
        <v/>
      </c>
      <c r="AE47">
        <f>COUNTIFS($Z$6:$Z47,$AF$5,$AA$6:$AA47,"?*")</f>
        <v>0</v>
      </c>
      <c r="AF47" t="str">
        <f t="shared" si="12"/>
        <v/>
      </c>
      <c r="AG47">
        <f>COUNTIFS($Z$6:$Z47,$AH$5,$AA$6:$AA47,"?*")</f>
        <v>9</v>
      </c>
      <c r="AH47" t="str">
        <f t="shared" si="13"/>
        <v/>
      </c>
      <c r="AI47">
        <f>COUNTIFS($Z$6:$Z47,$AJ$5,$AA$6:$AA47,"?*")</f>
        <v>3</v>
      </c>
      <c r="AJ47" t="str">
        <f t="shared" si="14"/>
        <v/>
      </c>
      <c r="AK47">
        <f>COUNTIFS($Z$6:$Z47,$AL$5,$AA$6:$AA47,"?*")</f>
        <v>0</v>
      </c>
      <c r="AL47" t="str">
        <f t="shared" si="15"/>
        <v/>
      </c>
      <c r="AM47">
        <f>COUNTIFS($Z$6:$Z47,$AN$5,$AA$6:$AA47,"?*")</f>
        <v>0</v>
      </c>
      <c r="AN47" t="str">
        <f t="shared" si="16"/>
        <v/>
      </c>
      <c r="AO47">
        <f>COUNTIFS($Z$6:$Z47,$AP$5,$AA$6:$AA47,"?*")</f>
        <v>0</v>
      </c>
      <c r="AP47" t="str">
        <f t="shared" si="17"/>
        <v/>
      </c>
      <c r="AQ47">
        <f>COUNTIFS($Z$6:$Z47,$AR$5,$AA$6:$AA47,"?*")</f>
        <v>0</v>
      </c>
      <c r="AR47" t="str">
        <f t="shared" si="18"/>
        <v/>
      </c>
      <c r="AS47">
        <f>COUNTIFS($Z$6:$Z47,$AT$5,$AA$6:$AA47,"?*")</f>
        <v>0</v>
      </c>
      <c r="AT47" t="str">
        <f t="shared" si="19"/>
        <v/>
      </c>
      <c r="AU47">
        <f>COUNTIFS($Z$6:$Z47,$AV$5,$AA$6:$AA47,"?*")</f>
        <v>0</v>
      </c>
      <c r="AV47" t="str">
        <f t="shared" si="20"/>
        <v/>
      </c>
    </row>
    <row r="48" spans="6:48" x14ac:dyDescent="0.2">
      <c r="F48" t="str">
        <f>IF([1]Accounts!$D$49="","",[1]Accounts!$A$49)</f>
        <v>C043</v>
      </c>
      <c r="G48" t="str">
        <f>IF([1]Accounts!$D$49="","",[1]Accounts!$B$49)</f>
        <v>فروشنده</v>
      </c>
      <c r="H48">
        <f>IF([1]Accounts!$D$49="","",[1]Accounts!$C$49)</f>
        <v>0</v>
      </c>
      <c r="I48" t="str">
        <f>IF([1]Accounts!$D$49="","",[1]Accounts!$D$49)</f>
        <v>سید عبدالله میراقازاده</v>
      </c>
      <c r="Y48" t="str">
        <f>IF([1]SubGroups!$C$49="","",[1]SubGroups!$A$49)</f>
        <v/>
      </c>
      <c r="Z48" t="str">
        <f>IF([1]SubGroups!$C$49="","",[1]SubGroups!$B$49)</f>
        <v/>
      </c>
      <c r="AA48" t="str">
        <f>IF([1]SubGroups!$C$49="","",[1]SubGroups!$C$49)</f>
        <v/>
      </c>
      <c r="AC48">
        <f>COUNTIFS($Z$6:$Z48,$AD$5,$AA$6:$AA48,"?*")</f>
        <v>3</v>
      </c>
      <c r="AD48" t="str">
        <f t="shared" si="11"/>
        <v/>
      </c>
      <c r="AE48">
        <f>COUNTIFS($Z$6:$Z48,$AF$5,$AA$6:$AA48,"?*")</f>
        <v>0</v>
      </c>
      <c r="AF48" t="str">
        <f t="shared" si="12"/>
        <v/>
      </c>
      <c r="AG48">
        <f>COUNTIFS($Z$6:$Z48,$AH$5,$AA$6:$AA48,"?*")</f>
        <v>9</v>
      </c>
      <c r="AH48" t="str">
        <f t="shared" si="13"/>
        <v/>
      </c>
      <c r="AI48">
        <f>COUNTIFS($Z$6:$Z48,$AJ$5,$AA$6:$AA48,"?*")</f>
        <v>3</v>
      </c>
      <c r="AJ48" t="str">
        <f t="shared" si="14"/>
        <v/>
      </c>
      <c r="AK48">
        <f>COUNTIFS($Z$6:$Z48,$AL$5,$AA$6:$AA48,"?*")</f>
        <v>0</v>
      </c>
      <c r="AL48" t="str">
        <f t="shared" si="15"/>
        <v/>
      </c>
      <c r="AM48">
        <f>COUNTIFS($Z$6:$Z48,$AN$5,$AA$6:$AA48,"?*")</f>
        <v>0</v>
      </c>
      <c r="AN48" t="str">
        <f t="shared" si="16"/>
        <v/>
      </c>
      <c r="AO48">
        <f>COUNTIFS($Z$6:$Z48,$AP$5,$AA$6:$AA48,"?*")</f>
        <v>0</v>
      </c>
      <c r="AP48" t="str">
        <f t="shared" si="17"/>
        <v/>
      </c>
      <c r="AQ48">
        <f>COUNTIFS($Z$6:$Z48,$AR$5,$AA$6:$AA48,"?*")</f>
        <v>0</v>
      </c>
      <c r="AR48" t="str">
        <f t="shared" si="18"/>
        <v/>
      </c>
      <c r="AS48">
        <f>COUNTIFS($Z$6:$Z48,$AT$5,$AA$6:$AA48,"?*")</f>
        <v>0</v>
      </c>
      <c r="AT48" t="str">
        <f t="shared" si="19"/>
        <v/>
      </c>
      <c r="AU48">
        <f>COUNTIFS($Z$6:$Z48,$AV$5,$AA$6:$AA48,"?*")</f>
        <v>0</v>
      </c>
      <c r="AV48" t="str">
        <f t="shared" si="20"/>
        <v/>
      </c>
    </row>
    <row r="49" spans="6:48" x14ac:dyDescent="0.2">
      <c r="F49" t="str">
        <f>IF([1]Accounts!$D$50="","",[1]Accounts!$A$50)</f>
        <v>C044</v>
      </c>
      <c r="G49" t="str">
        <f>IF([1]Accounts!$D$50="","",[1]Accounts!$B$50)</f>
        <v>فروشنده</v>
      </c>
      <c r="H49">
        <f>IF([1]Accounts!$D$50="","",[1]Accounts!$C$50)</f>
        <v>0</v>
      </c>
      <c r="I49" t="str">
        <f>IF([1]Accounts!$D$50="","",[1]Accounts!$D$50)</f>
        <v>رجب پور</v>
      </c>
      <c r="Y49" t="str">
        <f>IF([1]SubGroups!$C$50="","",[1]SubGroups!$A$50)</f>
        <v/>
      </c>
      <c r="Z49" t="str">
        <f>IF([1]SubGroups!$C$50="","",[1]SubGroups!$B$50)</f>
        <v/>
      </c>
      <c r="AA49" t="str">
        <f>IF([1]SubGroups!$C$50="","",[1]SubGroups!$C$50)</f>
        <v/>
      </c>
      <c r="AC49">
        <f>COUNTIFS($Z$6:$Z49,$AD$5,$AA$6:$AA49,"?*")</f>
        <v>3</v>
      </c>
      <c r="AD49" t="str">
        <f t="shared" si="11"/>
        <v/>
      </c>
      <c r="AE49">
        <f>COUNTIFS($Z$6:$Z49,$AF$5,$AA$6:$AA49,"?*")</f>
        <v>0</v>
      </c>
      <c r="AF49" t="str">
        <f t="shared" si="12"/>
        <v/>
      </c>
      <c r="AG49">
        <f>COUNTIFS($Z$6:$Z49,$AH$5,$AA$6:$AA49,"?*")</f>
        <v>9</v>
      </c>
      <c r="AH49" t="str">
        <f t="shared" si="13"/>
        <v/>
      </c>
      <c r="AI49">
        <f>COUNTIFS($Z$6:$Z49,$AJ$5,$AA$6:$AA49,"?*")</f>
        <v>3</v>
      </c>
      <c r="AJ49" t="str">
        <f t="shared" si="14"/>
        <v/>
      </c>
      <c r="AK49">
        <f>COUNTIFS($Z$6:$Z49,$AL$5,$AA$6:$AA49,"?*")</f>
        <v>0</v>
      </c>
      <c r="AL49" t="str">
        <f t="shared" si="15"/>
        <v/>
      </c>
      <c r="AM49">
        <f>COUNTIFS($Z$6:$Z49,$AN$5,$AA$6:$AA49,"?*")</f>
        <v>0</v>
      </c>
      <c r="AN49" t="str">
        <f t="shared" si="16"/>
        <v/>
      </c>
      <c r="AO49">
        <f>COUNTIFS($Z$6:$Z49,$AP$5,$AA$6:$AA49,"?*")</f>
        <v>0</v>
      </c>
      <c r="AP49" t="str">
        <f t="shared" si="17"/>
        <v/>
      </c>
      <c r="AQ49">
        <f>COUNTIFS($Z$6:$Z49,$AR$5,$AA$6:$AA49,"?*")</f>
        <v>0</v>
      </c>
      <c r="AR49" t="str">
        <f t="shared" si="18"/>
        <v/>
      </c>
      <c r="AS49">
        <f>COUNTIFS($Z$6:$Z49,$AT$5,$AA$6:$AA49,"?*")</f>
        <v>0</v>
      </c>
      <c r="AT49" t="str">
        <f t="shared" si="19"/>
        <v/>
      </c>
      <c r="AU49">
        <f>COUNTIFS($Z$6:$Z49,$AV$5,$AA$6:$AA49,"?*")</f>
        <v>0</v>
      </c>
      <c r="AV49" t="str">
        <f t="shared" si="20"/>
        <v/>
      </c>
    </row>
    <row r="50" spans="6:48" x14ac:dyDescent="0.2">
      <c r="F50" t="str">
        <f>IF([1]Accounts!$D$51="","",[1]Accounts!$A$51)</f>
        <v>C045</v>
      </c>
      <c r="G50" t="str">
        <f>IF([1]Accounts!$D$51="","",[1]Accounts!$B$51)</f>
        <v>فروشنده</v>
      </c>
      <c r="H50">
        <f>IF([1]Accounts!$D$51="","",[1]Accounts!$C$51)</f>
        <v>0</v>
      </c>
      <c r="I50" t="str">
        <f>IF([1]Accounts!$D$51="","",[1]Accounts!$D$51)</f>
        <v>سعید بابایی</v>
      </c>
      <c r="Y50" t="str">
        <f>IF([1]SubGroups!$C$51="","",[1]SubGroups!$A$51)</f>
        <v/>
      </c>
      <c r="Z50" t="str">
        <f>IF([1]SubGroups!$C$51="","",[1]SubGroups!$B$51)</f>
        <v/>
      </c>
      <c r="AA50" t="str">
        <f>IF([1]SubGroups!$C$51="","",[1]SubGroups!$C$51)</f>
        <v/>
      </c>
      <c r="AC50">
        <f>COUNTIFS($Z$6:$Z50,$AD$5,$AA$6:$AA50,"?*")</f>
        <v>3</v>
      </c>
      <c r="AD50" t="str">
        <f t="shared" si="11"/>
        <v/>
      </c>
      <c r="AE50">
        <f>COUNTIFS($Z$6:$Z50,$AF$5,$AA$6:$AA50,"?*")</f>
        <v>0</v>
      </c>
      <c r="AF50" t="str">
        <f t="shared" si="12"/>
        <v/>
      </c>
      <c r="AG50">
        <f>COUNTIFS($Z$6:$Z50,$AH$5,$AA$6:$AA50,"?*")</f>
        <v>9</v>
      </c>
      <c r="AH50" t="str">
        <f t="shared" si="13"/>
        <v/>
      </c>
      <c r="AI50">
        <f>COUNTIFS($Z$6:$Z50,$AJ$5,$AA$6:$AA50,"?*")</f>
        <v>3</v>
      </c>
      <c r="AJ50" t="str">
        <f t="shared" si="14"/>
        <v/>
      </c>
      <c r="AK50">
        <f>COUNTIFS($Z$6:$Z50,$AL$5,$AA$6:$AA50,"?*")</f>
        <v>0</v>
      </c>
      <c r="AL50" t="str">
        <f t="shared" si="15"/>
        <v/>
      </c>
      <c r="AM50">
        <f>COUNTIFS($Z$6:$Z50,$AN$5,$AA$6:$AA50,"?*")</f>
        <v>0</v>
      </c>
      <c r="AN50" t="str">
        <f t="shared" si="16"/>
        <v/>
      </c>
      <c r="AO50">
        <f>COUNTIFS($Z$6:$Z50,$AP$5,$AA$6:$AA50,"?*")</f>
        <v>0</v>
      </c>
      <c r="AP50" t="str">
        <f t="shared" si="17"/>
        <v/>
      </c>
      <c r="AQ50">
        <f>COUNTIFS($Z$6:$Z50,$AR$5,$AA$6:$AA50,"?*")</f>
        <v>0</v>
      </c>
      <c r="AR50" t="str">
        <f t="shared" si="18"/>
        <v/>
      </c>
      <c r="AS50">
        <f>COUNTIFS($Z$6:$Z50,$AT$5,$AA$6:$AA50,"?*")</f>
        <v>0</v>
      </c>
      <c r="AT50" t="str">
        <f t="shared" si="19"/>
        <v/>
      </c>
      <c r="AU50">
        <f>COUNTIFS($Z$6:$Z50,$AV$5,$AA$6:$AA50,"?*")</f>
        <v>0</v>
      </c>
      <c r="AV50" t="str">
        <f t="shared" si="20"/>
        <v/>
      </c>
    </row>
    <row r="51" spans="6:48" x14ac:dyDescent="0.2">
      <c r="F51" t="str">
        <f>IF([1]Accounts!$D$52="","",[1]Accounts!$A$52)</f>
        <v>C046</v>
      </c>
      <c r="G51" t="str">
        <f>IF([1]Accounts!$D$52="","",[1]Accounts!$B$52)</f>
        <v>فروشنده</v>
      </c>
      <c r="H51">
        <f>IF([1]Accounts!$D$52="","",[1]Accounts!$C$52)</f>
        <v>0</v>
      </c>
      <c r="I51" t="str">
        <f>IF([1]Accounts!$D$52="","",[1]Accounts!$D$52)</f>
        <v>مطلب عیسی پور</v>
      </c>
      <c r="Y51" t="str">
        <f>IF([1]SubGroups!$C$52="","",[1]SubGroups!$A$52)</f>
        <v/>
      </c>
      <c r="Z51" t="str">
        <f>IF([1]SubGroups!$C$52="","",[1]SubGroups!$B$52)</f>
        <v/>
      </c>
      <c r="AA51" t="str">
        <f>IF([1]SubGroups!$C$52="","",[1]SubGroups!$C$52)</f>
        <v/>
      </c>
      <c r="AC51">
        <f>COUNTIFS($Z$6:$Z51,$AD$5,$AA$6:$AA51,"?*")</f>
        <v>3</v>
      </c>
      <c r="AD51" t="str">
        <f t="shared" si="11"/>
        <v/>
      </c>
      <c r="AE51">
        <f>COUNTIFS($Z$6:$Z51,$AF$5,$AA$6:$AA51,"?*")</f>
        <v>0</v>
      </c>
      <c r="AF51" t="str">
        <f t="shared" si="12"/>
        <v/>
      </c>
      <c r="AG51">
        <f>COUNTIFS($Z$6:$Z51,$AH$5,$AA$6:$AA51,"?*")</f>
        <v>9</v>
      </c>
      <c r="AH51" t="str">
        <f t="shared" si="13"/>
        <v/>
      </c>
      <c r="AI51">
        <f>COUNTIFS($Z$6:$Z51,$AJ$5,$AA$6:$AA51,"?*")</f>
        <v>3</v>
      </c>
      <c r="AJ51" t="str">
        <f t="shared" si="14"/>
        <v/>
      </c>
      <c r="AK51">
        <f>COUNTIFS($Z$6:$Z51,$AL$5,$AA$6:$AA51,"?*")</f>
        <v>0</v>
      </c>
      <c r="AL51" t="str">
        <f t="shared" si="15"/>
        <v/>
      </c>
      <c r="AM51">
        <f>COUNTIFS($Z$6:$Z51,$AN$5,$AA$6:$AA51,"?*")</f>
        <v>0</v>
      </c>
      <c r="AN51" t="str">
        <f t="shared" si="16"/>
        <v/>
      </c>
      <c r="AO51">
        <f>COUNTIFS($Z$6:$Z51,$AP$5,$AA$6:$AA51,"?*")</f>
        <v>0</v>
      </c>
      <c r="AP51" t="str">
        <f t="shared" si="17"/>
        <v/>
      </c>
      <c r="AQ51">
        <f>COUNTIFS($Z$6:$Z51,$AR$5,$AA$6:$AA51,"?*")</f>
        <v>0</v>
      </c>
      <c r="AR51" t="str">
        <f t="shared" si="18"/>
        <v/>
      </c>
      <c r="AS51">
        <f>COUNTIFS($Z$6:$Z51,$AT$5,$AA$6:$AA51,"?*")</f>
        <v>0</v>
      </c>
      <c r="AT51" t="str">
        <f t="shared" si="19"/>
        <v/>
      </c>
      <c r="AU51">
        <f>COUNTIFS($Z$6:$Z51,$AV$5,$AA$6:$AA51,"?*")</f>
        <v>0</v>
      </c>
      <c r="AV51" t="str">
        <f t="shared" si="20"/>
        <v/>
      </c>
    </row>
    <row r="52" spans="6:48" x14ac:dyDescent="0.2">
      <c r="F52" t="str">
        <f>IF([1]Accounts!$D$53="","",[1]Accounts!$A$53)</f>
        <v/>
      </c>
      <c r="G52" t="str">
        <f>IF([1]Accounts!$D$53="","",[1]Accounts!$B$53)</f>
        <v/>
      </c>
      <c r="H52" t="str">
        <f>IF([1]Accounts!$D$53="","",[1]Accounts!$C$53)</f>
        <v/>
      </c>
      <c r="I52" t="str">
        <f>IF([1]Accounts!$D$53="","",[1]Accounts!$D$53)</f>
        <v/>
      </c>
      <c r="Y52" t="str">
        <f>IF([1]SubGroups!$C$53="","",[1]SubGroups!$A$53)</f>
        <v/>
      </c>
      <c r="Z52" t="str">
        <f>IF([1]SubGroups!$C$53="","",[1]SubGroups!$B$53)</f>
        <v/>
      </c>
      <c r="AA52" t="str">
        <f>IF([1]SubGroups!$C$53="","",[1]SubGroups!$C$53)</f>
        <v/>
      </c>
      <c r="AC52">
        <f>COUNTIFS($Z$6:$Z52,$AD$5,$AA$6:$AA52,"?*")</f>
        <v>3</v>
      </c>
      <c r="AD52" t="str">
        <f t="shared" si="11"/>
        <v/>
      </c>
      <c r="AE52">
        <f>COUNTIFS($Z$6:$Z52,$AF$5,$AA$6:$AA52,"?*")</f>
        <v>0</v>
      </c>
      <c r="AF52" t="str">
        <f t="shared" si="12"/>
        <v/>
      </c>
      <c r="AG52">
        <f>COUNTIFS($Z$6:$Z52,$AH$5,$AA$6:$AA52,"?*")</f>
        <v>9</v>
      </c>
      <c r="AH52" t="str">
        <f t="shared" si="13"/>
        <v/>
      </c>
      <c r="AI52">
        <f>COUNTIFS($Z$6:$Z52,$AJ$5,$AA$6:$AA52,"?*")</f>
        <v>3</v>
      </c>
      <c r="AJ52" t="str">
        <f t="shared" si="14"/>
        <v/>
      </c>
      <c r="AK52">
        <f>COUNTIFS($Z$6:$Z52,$AL$5,$AA$6:$AA52,"?*")</f>
        <v>0</v>
      </c>
      <c r="AL52" t="str">
        <f t="shared" si="15"/>
        <v/>
      </c>
      <c r="AM52">
        <f>COUNTIFS($Z$6:$Z52,$AN$5,$AA$6:$AA52,"?*")</f>
        <v>0</v>
      </c>
      <c r="AN52" t="str">
        <f t="shared" si="16"/>
        <v/>
      </c>
      <c r="AO52">
        <f>COUNTIFS($Z$6:$Z52,$AP$5,$AA$6:$AA52,"?*")</f>
        <v>0</v>
      </c>
      <c r="AP52" t="str">
        <f t="shared" si="17"/>
        <v/>
      </c>
      <c r="AQ52">
        <f>COUNTIFS($Z$6:$Z52,$AR$5,$AA$6:$AA52,"?*")</f>
        <v>0</v>
      </c>
      <c r="AR52" t="str">
        <f t="shared" si="18"/>
        <v/>
      </c>
      <c r="AS52">
        <f>COUNTIFS($Z$6:$Z52,$AT$5,$AA$6:$AA52,"?*")</f>
        <v>0</v>
      </c>
      <c r="AT52" t="str">
        <f t="shared" si="19"/>
        <v/>
      </c>
      <c r="AU52">
        <f>COUNTIFS($Z$6:$Z52,$AV$5,$AA$6:$AA52,"?*")</f>
        <v>0</v>
      </c>
      <c r="AV52" t="str">
        <f t="shared" si="20"/>
        <v/>
      </c>
    </row>
    <row r="53" spans="6:48" x14ac:dyDescent="0.2">
      <c r="F53" t="str">
        <f>IF([1]Accounts!$D$54="","",[1]Accounts!$A$54)</f>
        <v>C048</v>
      </c>
      <c r="G53" t="str">
        <f>IF([1]Accounts!$D$54="","",[1]Accounts!$B$54)</f>
        <v>فروشنده</v>
      </c>
      <c r="H53">
        <f>IF([1]Accounts!$D$54="","",[1]Accounts!$C$54)</f>
        <v>0</v>
      </c>
      <c r="I53" t="str">
        <f>IF([1]Accounts!$D$54="","",[1]Accounts!$D$54)</f>
        <v>تقی اصغرنیا</v>
      </c>
      <c r="Y53" t="str">
        <f>IF([1]SubGroups!$C$54="","",[1]SubGroups!$A$54)</f>
        <v/>
      </c>
      <c r="Z53" t="str">
        <f>IF([1]SubGroups!$C$54="","",[1]SubGroups!$B$54)</f>
        <v/>
      </c>
      <c r="AA53" t="str">
        <f>IF([1]SubGroups!$C$54="","",[1]SubGroups!$C$54)</f>
        <v/>
      </c>
      <c r="AC53">
        <f>COUNTIFS($Z$6:$Z53,$AD$5,$AA$6:$AA53,"?*")</f>
        <v>3</v>
      </c>
      <c r="AD53" t="str">
        <f t="shared" si="11"/>
        <v/>
      </c>
      <c r="AE53">
        <f>COUNTIFS($Z$6:$Z53,$AF$5,$AA$6:$AA53,"?*")</f>
        <v>0</v>
      </c>
      <c r="AF53" t="str">
        <f t="shared" si="12"/>
        <v/>
      </c>
      <c r="AG53">
        <f>COUNTIFS($Z$6:$Z53,$AH$5,$AA$6:$AA53,"?*")</f>
        <v>9</v>
      </c>
      <c r="AH53" t="str">
        <f t="shared" si="13"/>
        <v/>
      </c>
      <c r="AI53">
        <f>COUNTIFS($Z$6:$Z53,$AJ$5,$AA$6:$AA53,"?*")</f>
        <v>3</v>
      </c>
      <c r="AJ53" t="str">
        <f t="shared" si="14"/>
        <v/>
      </c>
      <c r="AK53">
        <f>COUNTIFS($Z$6:$Z53,$AL$5,$AA$6:$AA53,"?*")</f>
        <v>0</v>
      </c>
      <c r="AL53" t="str">
        <f t="shared" si="15"/>
        <v/>
      </c>
      <c r="AM53">
        <f>COUNTIFS($Z$6:$Z53,$AN$5,$AA$6:$AA53,"?*")</f>
        <v>0</v>
      </c>
      <c r="AN53" t="str">
        <f t="shared" si="16"/>
        <v/>
      </c>
      <c r="AO53">
        <f>COUNTIFS($Z$6:$Z53,$AP$5,$AA$6:$AA53,"?*")</f>
        <v>0</v>
      </c>
      <c r="AP53" t="str">
        <f t="shared" si="17"/>
        <v/>
      </c>
      <c r="AQ53">
        <f>COUNTIFS($Z$6:$Z53,$AR$5,$AA$6:$AA53,"?*")</f>
        <v>0</v>
      </c>
      <c r="AR53" t="str">
        <f t="shared" si="18"/>
        <v/>
      </c>
      <c r="AS53">
        <f>COUNTIFS($Z$6:$Z53,$AT$5,$AA$6:$AA53,"?*")</f>
        <v>0</v>
      </c>
      <c r="AT53" t="str">
        <f t="shared" si="19"/>
        <v/>
      </c>
      <c r="AU53">
        <f>COUNTIFS($Z$6:$Z53,$AV$5,$AA$6:$AA53,"?*")</f>
        <v>0</v>
      </c>
      <c r="AV53" t="str">
        <f t="shared" si="20"/>
        <v/>
      </c>
    </row>
    <row r="54" spans="6:48" x14ac:dyDescent="0.2">
      <c r="F54" t="str">
        <f>IF([1]Accounts!$D$55="","",[1]Accounts!$A$55)</f>
        <v>C049</v>
      </c>
      <c r="G54" t="str">
        <f>IF([1]Accounts!$D$55="","",[1]Accounts!$B$55)</f>
        <v>فروشنده</v>
      </c>
      <c r="H54">
        <f>IF([1]Accounts!$D$55="","",[1]Accounts!$C$55)</f>
        <v>0</v>
      </c>
      <c r="I54" t="str">
        <f>IF([1]Accounts!$D$55="","",[1]Accounts!$D$55)</f>
        <v>مدانلو</v>
      </c>
      <c r="Y54" t="str">
        <f>IF([1]SubGroups!$C$55="","",[1]SubGroups!$A$55)</f>
        <v/>
      </c>
      <c r="Z54" t="str">
        <f>IF([1]SubGroups!$C$55="","",[1]SubGroups!$B$55)</f>
        <v/>
      </c>
      <c r="AA54" t="str">
        <f>IF([1]SubGroups!$C$55="","",[1]SubGroups!$C$55)</f>
        <v/>
      </c>
      <c r="AC54">
        <f>COUNTIFS($Z$6:$Z54,$AD$5,$AA$6:$AA54,"?*")</f>
        <v>3</v>
      </c>
      <c r="AD54" t="str">
        <f t="shared" si="11"/>
        <v/>
      </c>
      <c r="AE54">
        <f>COUNTIFS($Z$6:$Z54,$AF$5,$AA$6:$AA54,"?*")</f>
        <v>0</v>
      </c>
      <c r="AF54" t="str">
        <f t="shared" si="12"/>
        <v/>
      </c>
      <c r="AG54">
        <f>COUNTIFS($Z$6:$Z54,$AH$5,$AA$6:$AA54,"?*")</f>
        <v>9</v>
      </c>
      <c r="AH54" t="str">
        <f t="shared" si="13"/>
        <v/>
      </c>
      <c r="AI54">
        <f>COUNTIFS($Z$6:$Z54,$AJ$5,$AA$6:$AA54,"?*")</f>
        <v>3</v>
      </c>
      <c r="AJ54" t="str">
        <f t="shared" si="14"/>
        <v/>
      </c>
      <c r="AK54">
        <f>COUNTIFS($Z$6:$Z54,$AL$5,$AA$6:$AA54,"?*")</f>
        <v>0</v>
      </c>
      <c r="AL54" t="str">
        <f t="shared" si="15"/>
        <v/>
      </c>
      <c r="AM54">
        <f>COUNTIFS($Z$6:$Z54,$AN$5,$AA$6:$AA54,"?*")</f>
        <v>0</v>
      </c>
      <c r="AN54" t="str">
        <f t="shared" si="16"/>
        <v/>
      </c>
      <c r="AO54">
        <f>COUNTIFS($Z$6:$Z54,$AP$5,$AA$6:$AA54,"?*")</f>
        <v>0</v>
      </c>
      <c r="AP54" t="str">
        <f t="shared" si="17"/>
        <v/>
      </c>
      <c r="AQ54">
        <f>COUNTIFS($Z$6:$Z54,$AR$5,$AA$6:$AA54,"?*")</f>
        <v>0</v>
      </c>
      <c r="AR54" t="str">
        <f t="shared" si="18"/>
        <v/>
      </c>
      <c r="AS54">
        <f>COUNTIFS($Z$6:$Z54,$AT$5,$AA$6:$AA54,"?*")</f>
        <v>0</v>
      </c>
      <c r="AT54" t="str">
        <f t="shared" si="19"/>
        <v/>
      </c>
      <c r="AU54">
        <f>COUNTIFS($Z$6:$Z54,$AV$5,$AA$6:$AA54,"?*")</f>
        <v>0</v>
      </c>
      <c r="AV54" t="str">
        <f t="shared" si="20"/>
        <v/>
      </c>
    </row>
    <row r="55" spans="6:48" x14ac:dyDescent="0.2">
      <c r="F55" t="str">
        <f>IF([1]Accounts!$D$56="","",[1]Accounts!$A$56)</f>
        <v>C050</v>
      </c>
      <c r="G55" t="str">
        <f>IF([1]Accounts!$D$56="","",[1]Accounts!$B$56)</f>
        <v>فروشنده</v>
      </c>
      <c r="H55">
        <f>IF([1]Accounts!$D$56="","",[1]Accounts!$C$56)</f>
        <v>0</v>
      </c>
      <c r="I55" t="str">
        <f>IF([1]Accounts!$D$56="","",[1]Accounts!$D$56)</f>
        <v>خدیجه اصغرنیا</v>
      </c>
      <c r="Y55" t="str">
        <f>IF([1]SubGroups!$C$56="","",[1]SubGroups!$A$56)</f>
        <v/>
      </c>
      <c r="Z55" t="str">
        <f>IF([1]SubGroups!$C$56="","",[1]SubGroups!$B$56)</f>
        <v/>
      </c>
      <c r="AA55" t="str">
        <f>IF([1]SubGroups!$C$56="","",[1]SubGroups!$C$56)</f>
        <v/>
      </c>
      <c r="AC55">
        <f>COUNTIFS($Z$6:$Z55,$AD$5,$AA$6:$AA55,"?*")</f>
        <v>3</v>
      </c>
      <c r="AD55" t="str">
        <f t="shared" si="11"/>
        <v/>
      </c>
      <c r="AE55">
        <f>COUNTIFS($Z$6:$Z55,$AF$5,$AA$6:$AA55,"?*")</f>
        <v>0</v>
      </c>
      <c r="AF55" t="str">
        <f t="shared" si="12"/>
        <v/>
      </c>
      <c r="AG55">
        <f>COUNTIFS($Z$6:$Z55,$AH$5,$AA$6:$AA55,"?*")</f>
        <v>9</v>
      </c>
      <c r="AH55" t="str">
        <f t="shared" si="13"/>
        <v/>
      </c>
      <c r="AI55">
        <f>COUNTIFS($Z$6:$Z55,$AJ$5,$AA$6:$AA55,"?*")</f>
        <v>3</v>
      </c>
      <c r="AJ55" t="str">
        <f t="shared" si="14"/>
        <v/>
      </c>
      <c r="AK55">
        <f>COUNTIFS($Z$6:$Z55,$AL$5,$AA$6:$AA55,"?*")</f>
        <v>0</v>
      </c>
      <c r="AL55" t="str">
        <f t="shared" si="15"/>
        <v/>
      </c>
      <c r="AM55">
        <f>COUNTIFS($Z$6:$Z55,$AN$5,$AA$6:$AA55,"?*")</f>
        <v>0</v>
      </c>
      <c r="AN55" t="str">
        <f t="shared" si="16"/>
        <v/>
      </c>
      <c r="AO55">
        <f>COUNTIFS($Z$6:$Z55,$AP$5,$AA$6:$AA55,"?*")</f>
        <v>0</v>
      </c>
      <c r="AP55" t="str">
        <f t="shared" si="17"/>
        <v/>
      </c>
      <c r="AQ55">
        <f>COUNTIFS($Z$6:$Z55,$AR$5,$AA$6:$AA55,"?*")</f>
        <v>0</v>
      </c>
      <c r="AR55" t="str">
        <f t="shared" si="18"/>
        <v/>
      </c>
      <c r="AS55">
        <f>COUNTIFS($Z$6:$Z55,$AT$5,$AA$6:$AA55,"?*")</f>
        <v>0</v>
      </c>
      <c r="AT55" t="str">
        <f t="shared" si="19"/>
        <v/>
      </c>
      <c r="AU55">
        <f>COUNTIFS($Z$6:$Z55,$AV$5,$AA$6:$AA55,"?*")</f>
        <v>0</v>
      </c>
      <c r="AV55" t="str">
        <f t="shared" si="20"/>
        <v/>
      </c>
    </row>
    <row r="56" spans="6:48" x14ac:dyDescent="0.2">
      <c r="F56" t="str">
        <f>IF([1]Accounts!$D$57="","",[1]Accounts!$A$57)</f>
        <v>C051</v>
      </c>
      <c r="G56" t="str">
        <f>IF([1]Accounts!$D$57="","",[1]Accounts!$B$57)</f>
        <v>فروشنده</v>
      </c>
      <c r="H56">
        <f>IF([1]Accounts!$D$57="","",[1]Accounts!$C$57)</f>
        <v>0</v>
      </c>
      <c r="I56" t="str">
        <f>IF([1]Accounts!$D$57="","",[1]Accounts!$D$57)</f>
        <v>اصغر عزیزی</v>
      </c>
      <c r="Y56" t="str">
        <f>IF([1]SubGroups!$C$57="","",[1]SubGroups!$A$57)</f>
        <v/>
      </c>
      <c r="Z56" t="str">
        <f>IF([1]SubGroups!$C$57="","",[1]SubGroups!$B$57)</f>
        <v/>
      </c>
      <c r="AA56" t="str">
        <f>IF([1]SubGroups!$C$57="","",[1]SubGroups!$C$57)</f>
        <v/>
      </c>
      <c r="AC56">
        <f>COUNTIFS($Z$6:$Z56,$AD$5,$AA$6:$AA56,"?*")</f>
        <v>3</v>
      </c>
      <c r="AD56" t="str">
        <f t="shared" si="11"/>
        <v/>
      </c>
      <c r="AE56">
        <f>COUNTIFS($Z$6:$Z56,$AF$5,$AA$6:$AA56,"?*")</f>
        <v>0</v>
      </c>
      <c r="AF56" t="str">
        <f t="shared" si="12"/>
        <v/>
      </c>
      <c r="AG56">
        <f>COUNTIFS($Z$6:$Z56,$AH$5,$AA$6:$AA56,"?*")</f>
        <v>9</v>
      </c>
      <c r="AH56" t="str">
        <f t="shared" si="13"/>
        <v/>
      </c>
      <c r="AI56">
        <f>COUNTIFS($Z$6:$Z56,$AJ$5,$AA$6:$AA56,"?*")</f>
        <v>3</v>
      </c>
      <c r="AJ56" t="str">
        <f t="shared" si="14"/>
        <v/>
      </c>
      <c r="AK56">
        <f>COUNTIFS($Z$6:$Z56,$AL$5,$AA$6:$AA56,"?*")</f>
        <v>0</v>
      </c>
      <c r="AL56" t="str">
        <f t="shared" si="15"/>
        <v/>
      </c>
      <c r="AM56">
        <f>COUNTIFS($Z$6:$Z56,$AN$5,$AA$6:$AA56,"?*")</f>
        <v>0</v>
      </c>
      <c r="AN56" t="str">
        <f t="shared" si="16"/>
        <v/>
      </c>
      <c r="AO56">
        <f>COUNTIFS($Z$6:$Z56,$AP$5,$AA$6:$AA56,"?*")</f>
        <v>0</v>
      </c>
      <c r="AP56" t="str">
        <f t="shared" si="17"/>
        <v/>
      </c>
      <c r="AQ56">
        <f>COUNTIFS($Z$6:$Z56,$AR$5,$AA$6:$AA56,"?*")</f>
        <v>0</v>
      </c>
      <c r="AR56" t="str">
        <f t="shared" si="18"/>
        <v/>
      </c>
      <c r="AS56">
        <f>COUNTIFS($Z$6:$Z56,$AT$5,$AA$6:$AA56,"?*")</f>
        <v>0</v>
      </c>
      <c r="AT56" t="str">
        <f t="shared" si="19"/>
        <v/>
      </c>
      <c r="AU56">
        <f>COUNTIFS($Z$6:$Z56,$AV$5,$AA$6:$AA56,"?*")</f>
        <v>0</v>
      </c>
      <c r="AV56" t="str">
        <f t="shared" si="20"/>
        <v/>
      </c>
    </row>
    <row r="57" spans="6:48" x14ac:dyDescent="0.2">
      <c r="F57" t="str">
        <f>IF([1]Accounts!$D$58="","",[1]Accounts!$A$58)</f>
        <v>C052</v>
      </c>
      <c r="G57" t="str">
        <f>IF([1]Accounts!$D$58="","",[1]Accounts!$B$58)</f>
        <v>فروشنده</v>
      </c>
      <c r="H57">
        <f>IF([1]Accounts!$D$58="","",[1]Accounts!$C$58)</f>
        <v>0</v>
      </c>
      <c r="I57" t="str">
        <f>IF([1]Accounts!$D$58="","",[1]Accounts!$D$58)</f>
        <v>غلامی</v>
      </c>
      <c r="Y57" t="str">
        <f>IF([1]SubGroups!$C$58="","",[1]SubGroups!$A$58)</f>
        <v/>
      </c>
      <c r="Z57" t="str">
        <f>IF([1]SubGroups!$C$58="","",[1]SubGroups!$B$58)</f>
        <v/>
      </c>
      <c r="AA57" t="str">
        <f>IF([1]SubGroups!$C$58="","",[1]SubGroups!$C$58)</f>
        <v/>
      </c>
      <c r="AC57">
        <f>COUNTIFS($Z$6:$Z57,$AD$5,$AA$6:$AA57,"?*")</f>
        <v>3</v>
      </c>
      <c r="AD57" t="str">
        <f t="shared" si="11"/>
        <v/>
      </c>
      <c r="AE57">
        <f>COUNTIFS($Z$6:$Z57,$AF$5,$AA$6:$AA57,"?*")</f>
        <v>0</v>
      </c>
      <c r="AF57" t="str">
        <f t="shared" si="12"/>
        <v/>
      </c>
      <c r="AG57">
        <f>COUNTIFS($Z$6:$Z57,$AH$5,$AA$6:$AA57,"?*")</f>
        <v>9</v>
      </c>
      <c r="AH57" t="str">
        <f t="shared" si="13"/>
        <v/>
      </c>
      <c r="AI57">
        <f>COUNTIFS($Z$6:$Z57,$AJ$5,$AA$6:$AA57,"?*")</f>
        <v>3</v>
      </c>
      <c r="AJ57" t="str">
        <f t="shared" si="14"/>
        <v/>
      </c>
      <c r="AK57">
        <f>COUNTIFS($Z$6:$Z57,$AL$5,$AA$6:$AA57,"?*")</f>
        <v>0</v>
      </c>
      <c r="AL57" t="str">
        <f t="shared" si="15"/>
        <v/>
      </c>
      <c r="AM57">
        <f>COUNTIFS($Z$6:$Z57,$AN$5,$AA$6:$AA57,"?*")</f>
        <v>0</v>
      </c>
      <c r="AN57" t="str">
        <f t="shared" si="16"/>
        <v/>
      </c>
      <c r="AO57">
        <f>COUNTIFS($Z$6:$Z57,$AP$5,$AA$6:$AA57,"?*")</f>
        <v>0</v>
      </c>
      <c r="AP57" t="str">
        <f t="shared" si="17"/>
        <v/>
      </c>
      <c r="AQ57">
        <f>COUNTIFS($Z$6:$Z57,$AR$5,$AA$6:$AA57,"?*")</f>
        <v>0</v>
      </c>
      <c r="AR57" t="str">
        <f t="shared" si="18"/>
        <v/>
      </c>
      <c r="AS57">
        <f>COUNTIFS($Z$6:$Z57,$AT$5,$AA$6:$AA57,"?*")</f>
        <v>0</v>
      </c>
      <c r="AT57" t="str">
        <f t="shared" si="19"/>
        <v/>
      </c>
      <c r="AU57">
        <f>COUNTIFS($Z$6:$Z57,$AV$5,$AA$6:$AA57,"?*")</f>
        <v>0</v>
      </c>
      <c r="AV57" t="str">
        <f t="shared" si="20"/>
        <v/>
      </c>
    </row>
    <row r="58" spans="6:48" x14ac:dyDescent="0.2">
      <c r="F58" t="str">
        <f>IF([1]Accounts!$D$59="","",[1]Accounts!$A$59)</f>
        <v>C053</v>
      </c>
      <c r="G58" t="str">
        <f>IF([1]Accounts!$D$59="","",[1]Accounts!$B$59)</f>
        <v>فروشنده</v>
      </c>
      <c r="H58">
        <f>IF([1]Accounts!$D$59="","",[1]Accounts!$C$59)</f>
        <v>0</v>
      </c>
      <c r="I58" t="str">
        <f>IF([1]Accounts!$D$59="","",[1]Accounts!$D$59)</f>
        <v>علی عزیزنژاد</v>
      </c>
      <c r="Y58" t="str">
        <f>IF([1]SubGroups!$C$59="","",[1]SubGroups!$A$59)</f>
        <v/>
      </c>
      <c r="Z58" t="str">
        <f>IF([1]SubGroups!$C$59="","",[1]SubGroups!$B$59)</f>
        <v/>
      </c>
      <c r="AA58" t="str">
        <f>IF([1]SubGroups!$C$59="","",[1]SubGroups!$C$59)</f>
        <v/>
      </c>
      <c r="AC58">
        <f>COUNTIFS($Z$6:$Z58,$AD$5,$AA$6:$AA58,"?*")</f>
        <v>3</v>
      </c>
      <c r="AD58" t="str">
        <f t="shared" si="11"/>
        <v/>
      </c>
      <c r="AE58">
        <f>COUNTIFS($Z$6:$Z58,$AF$5,$AA$6:$AA58,"?*")</f>
        <v>0</v>
      </c>
      <c r="AF58" t="str">
        <f t="shared" si="12"/>
        <v/>
      </c>
      <c r="AG58">
        <f>COUNTIFS($Z$6:$Z58,$AH$5,$AA$6:$AA58,"?*")</f>
        <v>9</v>
      </c>
      <c r="AH58" t="str">
        <f t="shared" si="13"/>
        <v/>
      </c>
      <c r="AI58">
        <f>COUNTIFS($Z$6:$Z58,$AJ$5,$AA$6:$AA58,"?*")</f>
        <v>3</v>
      </c>
      <c r="AJ58" t="str">
        <f t="shared" si="14"/>
        <v/>
      </c>
      <c r="AK58">
        <f>COUNTIFS($Z$6:$Z58,$AL$5,$AA$6:$AA58,"?*")</f>
        <v>0</v>
      </c>
      <c r="AL58" t="str">
        <f t="shared" si="15"/>
        <v/>
      </c>
      <c r="AM58">
        <f>COUNTIFS($Z$6:$Z58,$AN$5,$AA$6:$AA58,"?*")</f>
        <v>0</v>
      </c>
      <c r="AN58" t="str">
        <f t="shared" si="16"/>
        <v/>
      </c>
      <c r="AO58">
        <f>COUNTIFS($Z$6:$Z58,$AP$5,$AA$6:$AA58,"?*")</f>
        <v>0</v>
      </c>
      <c r="AP58" t="str">
        <f t="shared" si="17"/>
        <v/>
      </c>
      <c r="AQ58">
        <f>COUNTIFS($Z$6:$Z58,$AR$5,$AA$6:$AA58,"?*")</f>
        <v>0</v>
      </c>
      <c r="AR58" t="str">
        <f t="shared" si="18"/>
        <v/>
      </c>
      <c r="AS58">
        <f>COUNTIFS($Z$6:$Z58,$AT$5,$AA$6:$AA58,"?*")</f>
        <v>0</v>
      </c>
      <c r="AT58" t="str">
        <f t="shared" si="19"/>
        <v/>
      </c>
      <c r="AU58">
        <f>COUNTIFS($Z$6:$Z58,$AV$5,$AA$6:$AA58,"?*")</f>
        <v>0</v>
      </c>
      <c r="AV58" t="str">
        <f t="shared" si="20"/>
        <v/>
      </c>
    </row>
    <row r="59" spans="6:48" x14ac:dyDescent="0.2">
      <c r="F59" t="str">
        <f>IF([1]Accounts!$D$60="","",[1]Accounts!$A$60)</f>
        <v>C054</v>
      </c>
      <c r="G59" t="str">
        <f>IF([1]Accounts!$D$60="","",[1]Accounts!$B$60)</f>
        <v>فروشنده</v>
      </c>
      <c r="H59">
        <f>IF([1]Accounts!$D$60="","",[1]Accounts!$C$60)</f>
        <v>0</v>
      </c>
      <c r="I59" t="str">
        <f>IF([1]Accounts!$D$60="","",[1]Accounts!$D$60)</f>
        <v>حسن عیسی پور</v>
      </c>
      <c r="Y59" t="str">
        <f>IF([1]SubGroups!$C$60="","",[1]SubGroups!$A$60)</f>
        <v/>
      </c>
      <c r="Z59" t="str">
        <f>IF([1]SubGroups!$C$60="","",[1]SubGroups!$B$60)</f>
        <v/>
      </c>
      <c r="AA59" t="str">
        <f>IF([1]SubGroups!$C$60="","",[1]SubGroups!$C$60)</f>
        <v/>
      </c>
      <c r="AC59">
        <f>COUNTIFS($Z$6:$Z59,$AD$5,$AA$6:$AA59,"?*")</f>
        <v>3</v>
      </c>
      <c r="AD59" t="str">
        <f t="shared" si="11"/>
        <v/>
      </c>
      <c r="AE59">
        <f>COUNTIFS($Z$6:$Z59,$AF$5,$AA$6:$AA59,"?*")</f>
        <v>0</v>
      </c>
      <c r="AF59" t="str">
        <f t="shared" si="12"/>
        <v/>
      </c>
      <c r="AG59">
        <f>COUNTIFS($Z$6:$Z59,$AH$5,$AA$6:$AA59,"?*")</f>
        <v>9</v>
      </c>
      <c r="AH59" t="str">
        <f t="shared" si="13"/>
        <v/>
      </c>
      <c r="AI59">
        <f>COUNTIFS($Z$6:$Z59,$AJ$5,$AA$6:$AA59,"?*")</f>
        <v>3</v>
      </c>
      <c r="AJ59" t="str">
        <f t="shared" si="14"/>
        <v/>
      </c>
      <c r="AK59">
        <f>COUNTIFS($Z$6:$Z59,$AL$5,$AA$6:$AA59,"?*")</f>
        <v>0</v>
      </c>
      <c r="AL59" t="str">
        <f t="shared" si="15"/>
        <v/>
      </c>
      <c r="AM59">
        <f>COUNTIFS($Z$6:$Z59,$AN$5,$AA$6:$AA59,"?*")</f>
        <v>0</v>
      </c>
      <c r="AN59" t="str">
        <f t="shared" si="16"/>
        <v/>
      </c>
      <c r="AO59">
        <f>COUNTIFS($Z$6:$Z59,$AP$5,$AA$6:$AA59,"?*")</f>
        <v>0</v>
      </c>
      <c r="AP59" t="str">
        <f t="shared" si="17"/>
        <v/>
      </c>
      <c r="AQ59">
        <f>COUNTIFS($Z$6:$Z59,$AR$5,$AA$6:$AA59,"?*")</f>
        <v>0</v>
      </c>
      <c r="AR59" t="str">
        <f t="shared" si="18"/>
        <v/>
      </c>
      <c r="AS59">
        <f>COUNTIFS($Z$6:$Z59,$AT$5,$AA$6:$AA59,"?*")</f>
        <v>0</v>
      </c>
      <c r="AT59" t="str">
        <f t="shared" si="19"/>
        <v/>
      </c>
      <c r="AU59">
        <f>COUNTIFS($Z$6:$Z59,$AV$5,$AA$6:$AA59,"?*")</f>
        <v>0</v>
      </c>
      <c r="AV59" t="str">
        <f t="shared" si="20"/>
        <v/>
      </c>
    </row>
    <row r="60" spans="6:48" x14ac:dyDescent="0.2">
      <c r="F60" t="str">
        <f>IF([1]Accounts!$D$61="","",[1]Accounts!$A$61)</f>
        <v>C055</v>
      </c>
      <c r="G60" t="str">
        <f>IF([1]Accounts!$D$61="","",[1]Accounts!$B$61)</f>
        <v>فروشنده</v>
      </c>
      <c r="H60">
        <f>IF([1]Accounts!$D$61="","",[1]Accounts!$C$61)</f>
        <v>0</v>
      </c>
      <c r="I60" t="str">
        <f>IF([1]Accounts!$D$61="","",[1]Accounts!$D$61)</f>
        <v>عسگری محمودی</v>
      </c>
      <c r="Y60" t="str">
        <f>IF([1]SubGroups!$C$61="","",[1]SubGroups!$A$61)</f>
        <v/>
      </c>
      <c r="Z60" t="str">
        <f>IF([1]SubGroups!$C$61="","",[1]SubGroups!$B$61)</f>
        <v/>
      </c>
      <c r="AA60" t="str">
        <f>IF([1]SubGroups!$C$61="","",[1]SubGroups!$C$61)</f>
        <v/>
      </c>
      <c r="AC60">
        <f>COUNTIFS($Z$6:$Z60,$AD$5,$AA$6:$AA60,"?*")</f>
        <v>3</v>
      </c>
      <c r="AD60" t="str">
        <f t="shared" si="11"/>
        <v/>
      </c>
      <c r="AE60">
        <f>COUNTIFS($Z$6:$Z60,$AF$5,$AA$6:$AA60,"?*")</f>
        <v>0</v>
      </c>
      <c r="AF60" t="str">
        <f t="shared" si="12"/>
        <v/>
      </c>
      <c r="AG60">
        <f>COUNTIFS($Z$6:$Z60,$AH$5,$AA$6:$AA60,"?*")</f>
        <v>9</v>
      </c>
      <c r="AH60" t="str">
        <f t="shared" si="13"/>
        <v/>
      </c>
      <c r="AI60">
        <f>COUNTIFS($Z$6:$Z60,$AJ$5,$AA$6:$AA60,"?*")</f>
        <v>3</v>
      </c>
      <c r="AJ60" t="str">
        <f t="shared" si="14"/>
        <v/>
      </c>
      <c r="AK60">
        <f>COUNTIFS($Z$6:$Z60,$AL$5,$AA$6:$AA60,"?*")</f>
        <v>0</v>
      </c>
      <c r="AL60" t="str">
        <f t="shared" si="15"/>
        <v/>
      </c>
      <c r="AM60">
        <f>COUNTIFS($Z$6:$Z60,$AN$5,$AA$6:$AA60,"?*")</f>
        <v>0</v>
      </c>
      <c r="AN60" t="str">
        <f t="shared" si="16"/>
        <v/>
      </c>
      <c r="AO60">
        <f>COUNTIFS($Z$6:$Z60,$AP$5,$AA$6:$AA60,"?*")</f>
        <v>0</v>
      </c>
      <c r="AP60" t="str">
        <f t="shared" si="17"/>
        <v/>
      </c>
      <c r="AQ60">
        <f>COUNTIFS($Z$6:$Z60,$AR$5,$AA$6:$AA60,"?*")</f>
        <v>0</v>
      </c>
      <c r="AR60" t="str">
        <f t="shared" si="18"/>
        <v/>
      </c>
      <c r="AS60">
        <f>COUNTIFS($Z$6:$Z60,$AT$5,$AA$6:$AA60,"?*")</f>
        <v>0</v>
      </c>
      <c r="AT60" t="str">
        <f t="shared" si="19"/>
        <v/>
      </c>
      <c r="AU60">
        <f>COUNTIFS($Z$6:$Z60,$AV$5,$AA$6:$AA60,"?*")</f>
        <v>0</v>
      </c>
      <c r="AV60" t="str">
        <f t="shared" si="20"/>
        <v/>
      </c>
    </row>
    <row r="61" spans="6:48" x14ac:dyDescent="0.2">
      <c r="F61" t="str">
        <f>IF([1]Accounts!$D$62="","",[1]Accounts!$A$62)</f>
        <v>C056</v>
      </c>
      <c r="G61" t="str">
        <f>IF([1]Accounts!$D$62="","",[1]Accounts!$B$62)</f>
        <v>فروشنده</v>
      </c>
      <c r="H61">
        <f>IF([1]Accounts!$D$62="","",[1]Accounts!$C$62)</f>
        <v>0</v>
      </c>
      <c r="I61" t="str">
        <f>IF([1]Accounts!$D$62="","",[1]Accounts!$D$62)</f>
        <v>اسماعیل حیدری</v>
      </c>
      <c r="Y61" t="str">
        <f>IF([1]SubGroups!$C$62="","",[1]SubGroups!$A$62)</f>
        <v/>
      </c>
      <c r="Z61" t="str">
        <f>IF([1]SubGroups!$C$62="","",[1]SubGroups!$B$62)</f>
        <v/>
      </c>
      <c r="AA61" t="str">
        <f>IF([1]SubGroups!$C$62="","",[1]SubGroups!$C$62)</f>
        <v/>
      </c>
      <c r="AC61">
        <f>COUNTIFS($Z$6:$Z61,$AD$5,$AA$6:$AA61,"?*")</f>
        <v>3</v>
      </c>
      <c r="AD61" t="str">
        <f t="shared" si="11"/>
        <v/>
      </c>
      <c r="AE61">
        <f>COUNTIFS($Z$6:$Z61,$AF$5,$AA$6:$AA61,"?*")</f>
        <v>0</v>
      </c>
      <c r="AF61" t="str">
        <f t="shared" si="12"/>
        <v/>
      </c>
      <c r="AG61">
        <f>COUNTIFS($Z$6:$Z61,$AH$5,$AA$6:$AA61,"?*")</f>
        <v>9</v>
      </c>
      <c r="AH61" t="str">
        <f t="shared" si="13"/>
        <v/>
      </c>
      <c r="AI61">
        <f>COUNTIFS($Z$6:$Z61,$AJ$5,$AA$6:$AA61,"?*")</f>
        <v>3</v>
      </c>
      <c r="AJ61" t="str">
        <f t="shared" si="14"/>
        <v/>
      </c>
      <c r="AK61">
        <f>COUNTIFS($Z$6:$Z61,$AL$5,$AA$6:$AA61,"?*")</f>
        <v>0</v>
      </c>
      <c r="AL61" t="str">
        <f t="shared" si="15"/>
        <v/>
      </c>
      <c r="AM61">
        <f>COUNTIFS($Z$6:$Z61,$AN$5,$AA$6:$AA61,"?*")</f>
        <v>0</v>
      </c>
      <c r="AN61" t="str">
        <f t="shared" si="16"/>
        <v/>
      </c>
      <c r="AO61">
        <f>COUNTIFS($Z$6:$Z61,$AP$5,$AA$6:$AA61,"?*")</f>
        <v>0</v>
      </c>
      <c r="AP61" t="str">
        <f t="shared" si="17"/>
        <v/>
      </c>
      <c r="AQ61">
        <f>COUNTIFS($Z$6:$Z61,$AR$5,$AA$6:$AA61,"?*")</f>
        <v>0</v>
      </c>
      <c r="AR61" t="str">
        <f t="shared" si="18"/>
        <v/>
      </c>
      <c r="AS61">
        <f>COUNTIFS($Z$6:$Z61,$AT$5,$AA$6:$AA61,"?*")</f>
        <v>0</v>
      </c>
      <c r="AT61" t="str">
        <f t="shared" si="19"/>
        <v/>
      </c>
      <c r="AU61">
        <f>COUNTIFS($Z$6:$Z61,$AV$5,$AA$6:$AA61,"?*")</f>
        <v>0</v>
      </c>
      <c r="AV61" t="str">
        <f t="shared" si="20"/>
        <v/>
      </c>
    </row>
    <row r="62" spans="6:48" x14ac:dyDescent="0.2">
      <c r="F62" t="str">
        <f>IF([1]Accounts!$D$63="","",[1]Accounts!$A$63)</f>
        <v>C057</v>
      </c>
      <c r="G62" t="str">
        <f>IF([1]Accounts!$D$63="","",[1]Accounts!$B$63)</f>
        <v>فروشنده</v>
      </c>
      <c r="H62">
        <f>IF([1]Accounts!$D$63="","",[1]Accounts!$C$63)</f>
        <v>0</v>
      </c>
      <c r="I62" t="str">
        <f>IF([1]Accounts!$D$63="","",[1]Accounts!$D$63)</f>
        <v>کبری اصغرنیا</v>
      </c>
      <c r="Y62" t="str">
        <f>IF([1]SubGroups!$C$63="","",[1]SubGroups!$A$63)</f>
        <v/>
      </c>
      <c r="Z62" t="str">
        <f>IF([1]SubGroups!$C$63="","",[1]SubGroups!$B$63)</f>
        <v/>
      </c>
      <c r="AA62" t="str">
        <f>IF([1]SubGroups!$C$63="","",[1]SubGroups!$C$63)</f>
        <v/>
      </c>
      <c r="AC62">
        <f>COUNTIFS($Z$6:$Z62,$AD$5,$AA$6:$AA62,"?*")</f>
        <v>3</v>
      </c>
      <c r="AD62" t="str">
        <f t="shared" si="11"/>
        <v/>
      </c>
      <c r="AE62">
        <f>COUNTIFS($Z$6:$Z62,$AF$5,$AA$6:$AA62,"?*")</f>
        <v>0</v>
      </c>
      <c r="AF62" t="str">
        <f t="shared" si="12"/>
        <v/>
      </c>
      <c r="AG62">
        <f>COUNTIFS($Z$6:$Z62,$AH$5,$AA$6:$AA62,"?*")</f>
        <v>9</v>
      </c>
      <c r="AH62" t="str">
        <f t="shared" si="13"/>
        <v/>
      </c>
      <c r="AI62">
        <f>COUNTIFS($Z$6:$Z62,$AJ$5,$AA$6:$AA62,"?*")</f>
        <v>3</v>
      </c>
      <c r="AJ62" t="str">
        <f t="shared" si="14"/>
        <v/>
      </c>
      <c r="AK62">
        <f>COUNTIFS($Z$6:$Z62,$AL$5,$AA$6:$AA62,"?*")</f>
        <v>0</v>
      </c>
      <c r="AL62" t="str">
        <f t="shared" si="15"/>
        <v/>
      </c>
      <c r="AM62">
        <f>COUNTIFS($Z$6:$Z62,$AN$5,$AA$6:$AA62,"?*")</f>
        <v>0</v>
      </c>
      <c r="AN62" t="str">
        <f t="shared" si="16"/>
        <v/>
      </c>
      <c r="AO62">
        <f>COUNTIFS($Z$6:$Z62,$AP$5,$AA$6:$AA62,"?*")</f>
        <v>0</v>
      </c>
      <c r="AP62" t="str">
        <f t="shared" si="17"/>
        <v/>
      </c>
      <c r="AQ62">
        <f>COUNTIFS($Z$6:$Z62,$AR$5,$AA$6:$AA62,"?*")</f>
        <v>0</v>
      </c>
      <c r="AR62" t="str">
        <f t="shared" si="18"/>
        <v/>
      </c>
      <c r="AS62">
        <f>COUNTIFS($Z$6:$Z62,$AT$5,$AA$6:$AA62,"?*")</f>
        <v>0</v>
      </c>
      <c r="AT62" t="str">
        <f t="shared" si="19"/>
        <v/>
      </c>
      <c r="AU62">
        <f>COUNTIFS($Z$6:$Z62,$AV$5,$AA$6:$AA62,"?*")</f>
        <v>0</v>
      </c>
      <c r="AV62" t="str">
        <f t="shared" si="20"/>
        <v/>
      </c>
    </row>
    <row r="63" spans="6:48" x14ac:dyDescent="0.2">
      <c r="F63" t="str">
        <f>IF([1]Accounts!$D$64="","",[1]Accounts!$A$64)</f>
        <v>C058</v>
      </c>
      <c r="G63" t="str">
        <f>IF([1]Accounts!$D$64="","",[1]Accounts!$B$64)</f>
        <v>فروشنده</v>
      </c>
      <c r="H63">
        <f>IF([1]Accounts!$D$64="","",[1]Accounts!$C$64)</f>
        <v>0</v>
      </c>
      <c r="I63" t="str">
        <f>IF([1]Accounts!$D$64="","",[1]Accounts!$D$64)</f>
        <v>حسین زاده(کیاکلا)</v>
      </c>
      <c r="Y63" t="str">
        <f>IF([1]SubGroups!$C$64="","",[1]SubGroups!$A$64)</f>
        <v/>
      </c>
      <c r="Z63" t="str">
        <f>IF([1]SubGroups!$C$64="","",[1]SubGroups!$B$64)</f>
        <v/>
      </c>
      <c r="AA63" t="str">
        <f>IF([1]SubGroups!$C$64="","",[1]SubGroups!$C$64)</f>
        <v/>
      </c>
      <c r="AC63">
        <f>COUNTIFS($Z$6:$Z63,$AD$5,$AA$6:$AA63,"?*")</f>
        <v>3</v>
      </c>
      <c r="AD63" t="str">
        <f t="shared" si="11"/>
        <v/>
      </c>
      <c r="AE63">
        <f>COUNTIFS($Z$6:$Z63,$AF$5,$AA$6:$AA63,"?*")</f>
        <v>0</v>
      </c>
      <c r="AF63" t="str">
        <f t="shared" si="12"/>
        <v/>
      </c>
      <c r="AG63">
        <f>COUNTIFS($Z$6:$Z63,$AH$5,$AA$6:$AA63,"?*")</f>
        <v>9</v>
      </c>
      <c r="AH63" t="str">
        <f t="shared" si="13"/>
        <v/>
      </c>
      <c r="AI63">
        <f>COUNTIFS($Z$6:$Z63,$AJ$5,$AA$6:$AA63,"?*")</f>
        <v>3</v>
      </c>
      <c r="AJ63" t="str">
        <f t="shared" si="14"/>
        <v/>
      </c>
      <c r="AK63">
        <f>COUNTIFS($Z$6:$Z63,$AL$5,$AA$6:$AA63,"?*")</f>
        <v>0</v>
      </c>
      <c r="AL63" t="str">
        <f t="shared" si="15"/>
        <v/>
      </c>
      <c r="AM63">
        <f>COUNTIFS($Z$6:$Z63,$AN$5,$AA$6:$AA63,"?*")</f>
        <v>0</v>
      </c>
      <c r="AN63" t="str">
        <f t="shared" si="16"/>
        <v/>
      </c>
      <c r="AO63">
        <f>COUNTIFS($Z$6:$Z63,$AP$5,$AA$6:$AA63,"?*")</f>
        <v>0</v>
      </c>
      <c r="AP63" t="str">
        <f t="shared" si="17"/>
        <v/>
      </c>
      <c r="AQ63">
        <f>COUNTIFS($Z$6:$Z63,$AR$5,$AA$6:$AA63,"?*")</f>
        <v>0</v>
      </c>
      <c r="AR63" t="str">
        <f t="shared" si="18"/>
        <v/>
      </c>
      <c r="AS63">
        <f>COUNTIFS($Z$6:$Z63,$AT$5,$AA$6:$AA63,"?*")</f>
        <v>0</v>
      </c>
      <c r="AT63" t="str">
        <f t="shared" si="19"/>
        <v/>
      </c>
      <c r="AU63">
        <f>COUNTIFS($Z$6:$Z63,$AV$5,$AA$6:$AA63,"?*")</f>
        <v>0</v>
      </c>
      <c r="AV63" t="str">
        <f t="shared" si="20"/>
        <v/>
      </c>
    </row>
    <row r="64" spans="6:48" x14ac:dyDescent="0.2">
      <c r="F64" t="str">
        <f>IF([1]Accounts!$D$65="","",[1]Accounts!$A$65)</f>
        <v>C059</v>
      </c>
      <c r="G64" t="str">
        <f>IF([1]Accounts!$D$65="","",[1]Accounts!$B$65)</f>
        <v>فروشنده</v>
      </c>
      <c r="H64">
        <f>IF([1]Accounts!$D$65="","",[1]Accounts!$C$65)</f>
        <v>0</v>
      </c>
      <c r="I64" t="str">
        <f>IF([1]Accounts!$D$65="","",[1]Accounts!$D$65)</f>
        <v>مجتبی اتش پیکر</v>
      </c>
      <c r="Y64" t="str">
        <f>IF([1]SubGroups!$C$65="","",[1]SubGroups!$A$65)</f>
        <v/>
      </c>
      <c r="Z64" t="str">
        <f>IF([1]SubGroups!$C$65="","",[1]SubGroups!$B$65)</f>
        <v/>
      </c>
      <c r="AA64" t="str">
        <f>IF([1]SubGroups!$C$65="","",[1]SubGroups!$C$65)</f>
        <v/>
      </c>
      <c r="AC64">
        <f>COUNTIFS($Z$6:$Z64,$AD$5,$AA$6:$AA64,"?*")</f>
        <v>3</v>
      </c>
      <c r="AD64" t="str">
        <f t="shared" si="11"/>
        <v/>
      </c>
      <c r="AE64">
        <f>COUNTIFS($Z$6:$Z64,$AF$5,$AA$6:$AA64,"?*")</f>
        <v>0</v>
      </c>
      <c r="AF64" t="str">
        <f t="shared" si="12"/>
        <v/>
      </c>
      <c r="AG64">
        <f>COUNTIFS($Z$6:$Z64,$AH$5,$AA$6:$AA64,"?*")</f>
        <v>9</v>
      </c>
      <c r="AH64" t="str">
        <f t="shared" si="13"/>
        <v/>
      </c>
      <c r="AI64">
        <f>COUNTIFS($Z$6:$Z64,$AJ$5,$AA$6:$AA64,"?*")</f>
        <v>3</v>
      </c>
      <c r="AJ64" t="str">
        <f t="shared" si="14"/>
        <v/>
      </c>
      <c r="AK64">
        <f>COUNTIFS($Z$6:$Z64,$AL$5,$AA$6:$AA64,"?*")</f>
        <v>0</v>
      </c>
      <c r="AL64" t="str">
        <f t="shared" si="15"/>
        <v/>
      </c>
      <c r="AM64">
        <f>COUNTIFS($Z$6:$Z64,$AN$5,$AA$6:$AA64,"?*")</f>
        <v>0</v>
      </c>
      <c r="AN64" t="str">
        <f t="shared" si="16"/>
        <v/>
      </c>
      <c r="AO64">
        <f>COUNTIFS($Z$6:$Z64,$AP$5,$AA$6:$AA64,"?*")</f>
        <v>0</v>
      </c>
      <c r="AP64" t="str">
        <f t="shared" si="17"/>
        <v/>
      </c>
      <c r="AQ64">
        <f>COUNTIFS($Z$6:$Z64,$AR$5,$AA$6:$AA64,"?*")</f>
        <v>0</v>
      </c>
      <c r="AR64" t="str">
        <f t="shared" si="18"/>
        <v/>
      </c>
      <c r="AS64">
        <f>COUNTIFS($Z$6:$Z64,$AT$5,$AA$6:$AA64,"?*")</f>
        <v>0</v>
      </c>
      <c r="AT64" t="str">
        <f t="shared" si="19"/>
        <v/>
      </c>
      <c r="AU64">
        <f>COUNTIFS($Z$6:$Z64,$AV$5,$AA$6:$AA64,"?*")</f>
        <v>0</v>
      </c>
      <c r="AV64" t="str">
        <f t="shared" si="20"/>
        <v/>
      </c>
    </row>
    <row r="65" spans="6:48" x14ac:dyDescent="0.2">
      <c r="F65" t="str">
        <f>IF([1]Accounts!$D$66="","",[1]Accounts!$A$66)</f>
        <v>C060</v>
      </c>
      <c r="G65" t="str">
        <f>IF([1]Accounts!$D$66="","",[1]Accounts!$B$66)</f>
        <v>فروشنده</v>
      </c>
      <c r="H65">
        <f>IF([1]Accounts!$D$66="","",[1]Accounts!$C$66)</f>
        <v>0</v>
      </c>
      <c r="I65" t="str">
        <f>IF([1]Accounts!$D$66="","",[1]Accounts!$D$66)</f>
        <v>سید جلیل میرحسینی</v>
      </c>
      <c r="Y65" t="str">
        <f>IF([1]SubGroups!$C$66="","",[1]SubGroups!$A$66)</f>
        <v/>
      </c>
      <c r="Z65" t="str">
        <f>IF([1]SubGroups!$C$66="","",[1]SubGroups!$B$66)</f>
        <v/>
      </c>
      <c r="AA65" t="str">
        <f>IF([1]SubGroups!$C$66="","",[1]SubGroups!$C$66)</f>
        <v/>
      </c>
      <c r="AC65">
        <f>COUNTIFS($Z$6:$Z65,$AD$5,$AA$6:$AA65,"?*")</f>
        <v>3</v>
      </c>
      <c r="AD65" t="str">
        <f t="shared" si="11"/>
        <v/>
      </c>
      <c r="AE65">
        <f>COUNTIFS($Z$6:$Z65,$AF$5,$AA$6:$AA65,"?*")</f>
        <v>0</v>
      </c>
      <c r="AF65" t="str">
        <f t="shared" si="12"/>
        <v/>
      </c>
      <c r="AG65">
        <f>COUNTIFS($Z$6:$Z65,$AH$5,$AA$6:$AA65,"?*")</f>
        <v>9</v>
      </c>
      <c r="AH65" t="str">
        <f t="shared" si="13"/>
        <v/>
      </c>
      <c r="AI65">
        <f>COUNTIFS($Z$6:$Z65,$AJ$5,$AA$6:$AA65,"?*")</f>
        <v>3</v>
      </c>
      <c r="AJ65" t="str">
        <f t="shared" si="14"/>
        <v/>
      </c>
      <c r="AK65">
        <f>COUNTIFS($Z$6:$Z65,$AL$5,$AA$6:$AA65,"?*")</f>
        <v>0</v>
      </c>
      <c r="AL65" t="str">
        <f t="shared" si="15"/>
        <v/>
      </c>
      <c r="AM65">
        <f>COUNTIFS($Z$6:$Z65,$AN$5,$AA$6:$AA65,"?*")</f>
        <v>0</v>
      </c>
      <c r="AN65" t="str">
        <f t="shared" si="16"/>
        <v/>
      </c>
      <c r="AO65">
        <f>COUNTIFS($Z$6:$Z65,$AP$5,$AA$6:$AA65,"?*")</f>
        <v>0</v>
      </c>
      <c r="AP65" t="str">
        <f t="shared" si="17"/>
        <v/>
      </c>
      <c r="AQ65">
        <f>COUNTIFS($Z$6:$Z65,$AR$5,$AA$6:$AA65,"?*")</f>
        <v>0</v>
      </c>
      <c r="AR65" t="str">
        <f t="shared" si="18"/>
        <v/>
      </c>
      <c r="AS65">
        <f>COUNTIFS($Z$6:$Z65,$AT$5,$AA$6:$AA65,"?*")</f>
        <v>0</v>
      </c>
      <c r="AT65" t="str">
        <f t="shared" si="19"/>
        <v/>
      </c>
      <c r="AU65">
        <f>COUNTIFS($Z$6:$Z65,$AV$5,$AA$6:$AA65,"?*")</f>
        <v>0</v>
      </c>
      <c r="AV65" t="str">
        <f t="shared" si="20"/>
        <v/>
      </c>
    </row>
    <row r="66" spans="6:48" x14ac:dyDescent="0.2">
      <c r="F66" t="str">
        <f>IF([1]Accounts!$D$67="","",[1]Accounts!$A$67)</f>
        <v>C061</v>
      </c>
      <c r="G66" t="str">
        <f>IF([1]Accounts!$D$67="","",[1]Accounts!$B$67)</f>
        <v>فروشنده</v>
      </c>
      <c r="H66">
        <f>IF([1]Accounts!$D$67="","",[1]Accounts!$C$67)</f>
        <v>0</v>
      </c>
      <c r="I66" t="str">
        <f>IF([1]Accounts!$D$67="","",[1]Accounts!$D$67)</f>
        <v>عبدالله  مهدی پور روشن</v>
      </c>
      <c r="Y66" t="str">
        <f>IF([1]SubGroups!$C$67="","",[1]SubGroups!$A$67)</f>
        <v/>
      </c>
      <c r="Z66" t="str">
        <f>IF([1]SubGroups!$C$67="","",[1]SubGroups!$B$67)</f>
        <v/>
      </c>
      <c r="AA66" t="str">
        <f>IF([1]SubGroups!$C$67="","",[1]SubGroups!$C$67)</f>
        <v/>
      </c>
      <c r="AC66">
        <f>COUNTIFS($Z$6:$Z66,$AD$5,$AA$6:$AA66,"?*")</f>
        <v>3</v>
      </c>
      <c r="AD66" t="str">
        <f t="shared" si="11"/>
        <v/>
      </c>
      <c r="AE66">
        <f>COUNTIFS($Z$6:$Z66,$AF$5,$AA$6:$AA66,"?*")</f>
        <v>0</v>
      </c>
      <c r="AF66" t="str">
        <f t="shared" si="12"/>
        <v/>
      </c>
      <c r="AG66">
        <f>COUNTIFS($Z$6:$Z66,$AH$5,$AA$6:$AA66,"?*")</f>
        <v>9</v>
      </c>
      <c r="AH66" t="str">
        <f t="shared" si="13"/>
        <v/>
      </c>
      <c r="AI66">
        <f>COUNTIFS($Z$6:$Z66,$AJ$5,$AA$6:$AA66,"?*")</f>
        <v>3</v>
      </c>
      <c r="AJ66" t="str">
        <f t="shared" si="14"/>
        <v/>
      </c>
      <c r="AK66">
        <f>COUNTIFS($Z$6:$Z66,$AL$5,$AA$6:$AA66,"?*")</f>
        <v>0</v>
      </c>
      <c r="AL66" t="str">
        <f t="shared" si="15"/>
        <v/>
      </c>
      <c r="AM66">
        <f>COUNTIFS($Z$6:$Z66,$AN$5,$AA$6:$AA66,"?*")</f>
        <v>0</v>
      </c>
      <c r="AN66" t="str">
        <f t="shared" si="16"/>
        <v/>
      </c>
      <c r="AO66">
        <f>COUNTIFS($Z$6:$Z66,$AP$5,$AA$6:$AA66,"?*")</f>
        <v>0</v>
      </c>
      <c r="AP66" t="str">
        <f t="shared" si="17"/>
        <v/>
      </c>
      <c r="AQ66">
        <f>COUNTIFS($Z$6:$Z66,$AR$5,$AA$6:$AA66,"?*")</f>
        <v>0</v>
      </c>
      <c r="AR66" t="str">
        <f t="shared" si="18"/>
        <v/>
      </c>
      <c r="AS66">
        <f>COUNTIFS($Z$6:$Z66,$AT$5,$AA$6:$AA66,"?*")</f>
        <v>0</v>
      </c>
      <c r="AT66" t="str">
        <f t="shared" si="19"/>
        <v/>
      </c>
      <c r="AU66">
        <f>COUNTIFS($Z$6:$Z66,$AV$5,$AA$6:$AA66,"?*")</f>
        <v>0</v>
      </c>
      <c r="AV66" t="str">
        <f t="shared" si="20"/>
        <v/>
      </c>
    </row>
    <row r="67" spans="6:48" x14ac:dyDescent="0.2">
      <c r="F67" t="str">
        <f>IF([1]Accounts!$D$68="","",[1]Accounts!$A$68)</f>
        <v/>
      </c>
      <c r="G67" t="str">
        <f>IF([1]Accounts!$D$68="","",[1]Accounts!$B$68)</f>
        <v/>
      </c>
      <c r="H67" t="str">
        <f>IF([1]Accounts!$D$68="","",[1]Accounts!$C$68)</f>
        <v/>
      </c>
      <c r="I67" t="str">
        <f>IF([1]Accounts!$D$68="","",[1]Accounts!$D$68)</f>
        <v/>
      </c>
      <c r="Y67" t="str">
        <f>IF([1]SubGroups!$C$68="","",[1]SubGroups!$A$68)</f>
        <v/>
      </c>
      <c r="Z67" t="str">
        <f>IF([1]SubGroups!$C$68="","",[1]SubGroups!$B$68)</f>
        <v/>
      </c>
      <c r="AA67" t="str">
        <f>IF([1]SubGroups!$C$68="","",[1]SubGroups!$C$68)</f>
        <v/>
      </c>
      <c r="AC67">
        <f>COUNTIFS($Z$6:$Z67,$AD$5,$AA$6:$AA67,"?*")</f>
        <v>3</v>
      </c>
      <c r="AD67" t="str">
        <f t="shared" si="11"/>
        <v/>
      </c>
      <c r="AE67">
        <f>COUNTIFS($Z$6:$Z67,$AF$5,$AA$6:$AA67,"?*")</f>
        <v>0</v>
      </c>
      <c r="AF67" t="str">
        <f t="shared" si="12"/>
        <v/>
      </c>
      <c r="AG67">
        <f>COUNTIFS($Z$6:$Z67,$AH$5,$AA$6:$AA67,"?*")</f>
        <v>9</v>
      </c>
      <c r="AH67" t="str">
        <f t="shared" si="13"/>
        <v/>
      </c>
      <c r="AI67">
        <f>COUNTIFS($Z$6:$Z67,$AJ$5,$AA$6:$AA67,"?*")</f>
        <v>3</v>
      </c>
      <c r="AJ67" t="str">
        <f t="shared" si="14"/>
        <v/>
      </c>
      <c r="AK67">
        <f>COUNTIFS($Z$6:$Z67,$AL$5,$AA$6:$AA67,"?*")</f>
        <v>0</v>
      </c>
      <c r="AL67" t="str">
        <f t="shared" si="15"/>
        <v/>
      </c>
      <c r="AM67">
        <f>COUNTIFS($Z$6:$Z67,$AN$5,$AA$6:$AA67,"?*")</f>
        <v>0</v>
      </c>
      <c r="AN67" t="str">
        <f t="shared" si="16"/>
        <v/>
      </c>
      <c r="AO67">
        <f>COUNTIFS($Z$6:$Z67,$AP$5,$AA$6:$AA67,"?*")</f>
        <v>0</v>
      </c>
      <c r="AP67" t="str">
        <f t="shared" si="17"/>
        <v/>
      </c>
      <c r="AQ67">
        <f>COUNTIFS($Z$6:$Z67,$AR$5,$AA$6:$AA67,"?*")</f>
        <v>0</v>
      </c>
      <c r="AR67" t="str">
        <f t="shared" si="18"/>
        <v/>
      </c>
      <c r="AS67">
        <f>COUNTIFS($Z$6:$Z67,$AT$5,$AA$6:$AA67,"?*")</f>
        <v>0</v>
      </c>
      <c r="AT67" t="str">
        <f t="shared" si="19"/>
        <v/>
      </c>
      <c r="AU67">
        <f>COUNTIFS($Z$6:$Z67,$AV$5,$AA$6:$AA67,"?*")</f>
        <v>0</v>
      </c>
      <c r="AV67" t="str">
        <f t="shared" si="20"/>
        <v/>
      </c>
    </row>
    <row r="68" spans="6:48" x14ac:dyDescent="0.2">
      <c r="F68" t="str">
        <f>IF([1]Accounts!$D$69="","",[1]Accounts!$A$69)</f>
        <v/>
      </c>
      <c r="G68" t="str">
        <f>IF([1]Accounts!$D$69="","",[1]Accounts!$B$69)</f>
        <v/>
      </c>
      <c r="H68" t="str">
        <f>IF([1]Accounts!$D$69="","",[1]Accounts!$C$69)</f>
        <v/>
      </c>
      <c r="I68" t="str">
        <f>IF([1]Accounts!$D$69="","",[1]Accounts!$D$69)</f>
        <v/>
      </c>
      <c r="Y68" t="str">
        <f>IF([1]SubGroups!$C$69="","",[1]SubGroups!$A$69)</f>
        <v/>
      </c>
      <c r="Z68" t="str">
        <f>IF([1]SubGroups!$C$69="","",[1]SubGroups!$B$69)</f>
        <v/>
      </c>
      <c r="AA68" t="str">
        <f>IF([1]SubGroups!$C$69="","",[1]SubGroups!$C$69)</f>
        <v/>
      </c>
      <c r="AC68">
        <f>COUNTIFS($Z$6:$Z68,$AD$5,$AA$6:$AA68,"?*")</f>
        <v>3</v>
      </c>
      <c r="AD68" t="str">
        <f t="shared" si="11"/>
        <v/>
      </c>
      <c r="AE68">
        <f>COUNTIFS($Z$6:$Z68,$AF$5,$AA$6:$AA68,"?*")</f>
        <v>0</v>
      </c>
      <c r="AF68" t="str">
        <f t="shared" si="12"/>
        <v/>
      </c>
      <c r="AG68">
        <f>COUNTIFS($Z$6:$Z68,$AH$5,$AA$6:$AA68,"?*")</f>
        <v>9</v>
      </c>
      <c r="AH68" t="str">
        <f t="shared" si="13"/>
        <v/>
      </c>
      <c r="AI68">
        <f>COUNTIFS($Z$6:$Z68,$AJ$5,$AA$6:$AA68,"?*")</f>
        <v>3</v>
      </c>
      <c r="AJ68" t="str">
        <f t="shared" si="14"/>
        <v/>
      </c>
      <c r="AK68">
        <f>COUNTIFS($Z$6:$Z68,$AL$5,$AA$6:$AA68,"?*")</f>
        <v>0</v>
      </c>
      <c r="AL68" t="str">
        <f t="shared" si="15"/>
        <v/>
      </c>
      <c r="AM68">
        <f>COUNTIFS($Z$6:$Z68,$AN$5,$AA$6:$AA68,"?*")</f>
        <v>0</v>
      </c>
      <c r="AN68" t="str">
        <f t="shared" si="16"/>
        <v/>
      </c>
      <c r="AO68">
        <f>COUNTIFS($Z$6:$Z68,$AP$5,$AA$6:$AA68,"?*")</f>
        <v>0</v>
      </c>
      <c r="AP68" t="str">
        <f t="shared" si="17"/>
        <v/>
      </c>
      <c r="AQ68">
        <f>COUNTIFS($Z$6:$Z68,$AR$5,$AA$6:$AA68,"?*")</f>
        <v>0</v>
      </c>
      <c r="AR68" t="str">
        <f t="shared" si="18"/>
        <v/>
      </c>
      <c r="AS68">
        <f>COUNTIFS($Z$6:$Z68,$AT$5,$AA$6:$AA68,"?*")</f>
        <v>0</v>
      </c>
      <c r="AT68" t="str">
        <f t="shared" si="19"/>
        <v/>
      </c>
      <c r="AU68">
        <f>COUNTIFS($Z$6:$Z68,$AV$5,$AA$6:$AA68,"?*")</f>
        <v>0</v>
      </c>
      <c r="AV68" t="str">
        <f t="shared" si="20"/>
        <v/>
      </c>
    </row>
    <row r="69" spans="6:48" x14ac:dyDescent="0.2">
      <c r="F69" t="str">
        <f>IF([1]Accounts!$D$70="","",[1]Accounts!$A$70)</f>
        <v/>
      </c>
      <c r="G69" t="str">
        <f>IF([1]Accounts!$D$70="","",[1]Accounts!$B$70)</f>
        <v/>
      </c>
      <c r="H69" t="str">
        <f>IF([1]Accounts!$D$70="","",[1]Accounts!$C$70)</f>
        <v/>
      </c>
      <c r="I69" t="str">
        <f>IF([1]Accounts!$D$70="","",[1]Accounts!$D$70)</f>
        <v/>
      </c>
      <c r="Y69" t="str">
        <f>IF([1]SubGroups!$C$70="","",[1]SubGroups!$A$70)</f>
        <v/>
      </c>
      <c r="Z69" t="str">
        <f>IF([1]SubGroups!$C$70="","",[1]SubGroups!$B$70)</f>
        <v/>
      </c>
      <c r="AA69" t="str">
        <f>IF([1]SubGroups!$C$70="","",[1]SubGroups!$C$70)</f>
        <v/>
      </c>
      <c r="AC69">
        <f>COUNTIFS($Z$6:$Z69,$AD$5,$AA$6:$AA69,"?*")</f>
        <v>3</v>
      </c>
      <c r="AD69" t="str">
        <f t="shared" si="11"/>
        <v/>
      </c>
      <c r="AE69">
        <f>COUNTIFS($Z$6:$Z69,$AF$5,$AA$6:$AA69,"?*")</f>
        <v>0</v>
      </c>
      <c r="AF69" t="str">
        <f t="shared" si="12"/>
        <v/>
      </c>
      <c r="AG69">
        <f>COUNTIFS($Z$6:$Z69,$AH$5,$AA$6:$AA69,"?*")</f>
        <v>9</v>
      </c>
      <c r="AH69" t="str">
        <f t="shared" si="13"/>
        <v/>
      </c>
      <c r="AI69">
        <f>COUNTIFS($Z$6:$Z69,$AJ$5,$AA$6:$AA69,"?*")</f>
        <v>3</v>
      </c>
      <c r="AJ69" t="str">
        <f t="shared" si="14"/>
        <v/>
      </c>
      <c r="AK69">
        <f>COUNTIFS($Z$6:$Z69,$AL$5,$AA$6:$AA69,"?*")</f>
        <v>0</v>
      </c>
      <c r="AL69" t="str">
        <f t="shared" si="15"/>
        <v/>
      </c>
      <c r="AM69">
        <f>COUNTIFS($Z$6:$Z69,$AN$5,$AA$6:$AA69,"?*")</f>
        <v>0</v>
      </c>
      <c r="AN69" t="str">
        <f t="shared" si="16"/>
        <v/>
      </c>
      <c r="AO69">
        <f>COUNTIFS($Z$6:$Z69,$AP$5,$AA$6:$AA69,"?*")</f>
        <v>0</v>
      </c>
      <c r="AP69" t="str">
        <f t="shared" si="17"/>
        <v/>
      </c>
      <c r="AQ69">
        <f>COUNTIFS($Z$6:$Z69,$AR$5,$AA$6:$AA69,"?*")</f>
        <v>0</v>
      </c>
      <c r="AR69" t="str">
        <f t="shared" si="18"/>
        <v/>
      </c>
      <c r="AS69">
        <f>COUNTIFS($Z$6:$Z69,$AT$5,$AA$6:$AA69,"?*")</f>
        <v>0</v>
      </c>
      <c r="AT69" t="str">
        <f t="shared" si="19"/>
        <v/>
      </c>
      <c r="AU69">
        <f>COUNTIFS($Z$6:$Z69,$AV$5,$AA$6:$AA69,"?*")</f>
        <v>0</v>
      </c>
      <c r="AV69" t="str">
        <f t="shared" si="20"/>
        <v/>
      </c>
    </row>
    <row r="70" spans="6:48" x14ac:dyDescent="0.2">
      <c r="F70" t="str">
        <f>IF([1]Accounts!$D$71="","",[1]Accounts!$A$71)</f>
        <v/>
      </c>
      <c r="G70" t="str">
        <f>IF([1]Accounts!$D$71="","",[1]Accounts!$B$71)</f>
        <v/>
      </c>
      <c r="H70" t="str">
        <f>IF([1]Accounts!$D$71="","",[1]Accounts!$C$71)</f>
        <v/>
      </c>
      <c r="I70" t="str">
        <f>IF([1]Accounts!$D$71="","",[1]Accounts!$D$71)</f>
        <v/>
      </c>
      <c r="Y70" t="str">
        <f>IF([1]SubGroups!$C$71="","",[1]SubGroups!$A$71)</f>
        <v/>
      </c>
      <c r="Z70" t="str">
        <f>IF([1]SubGroups!$C$71="","",[1]SubGroups!$B$71)</f>
        <v/>
      </c>
      <c r="AA70" t="str">
        <f>IF([1]SubGroups!$C$71="","",[1]SubGroups!$C$71)</f>
        <v/>
      </c>
      <c r="AC70">
        <f>COUNTIFS($Z$6:$Z70,$AD$5,$AA$6:$AA70,"?*")</f>
        <v>3</v>
      </c>
      <c r="AD70" t="str">
        <f t="shared" ref="AD70:AD105" si="21">IFERROR(INDEX($AA$6:$AA$105,MATCH(ROW()-5,$AC$6:$AC$105,0)),"")</f>
        <v/>
      </c>
      <c r="AE70">
        <f>COUNTIFS($Z$6:$Z70,$AF$5,$AA$6:$AA70,"?*")</f>
        <v>0</v>
      </c>
      <c r="AF70" t="str">
        <f t="shared" ref="AF70:AF105" si="22">IFERROR(INDEX($AA$6:$AA$105,MATCH(ROW()-5,$AE$6:$AE$105,0)),"")</f>
        <v/>
      </c>
      <c r="AG70">
        <f>COUNTIFS($Z$6:$Z70,$AH$5,$AA$6:$AA70,"?*")</f>
        <v>9</v>
      </c>
      <c r="AH70" t="str">
        <f t="shared" ref="AH70:AH105" si="23">IFERROR(INDEX($AA$6:$AA$105,MATCH(ROW()-5,$AG$6:$AG$105,0)),"")</f>
        <v/>
      </c>
      <c r="AI70">
        <f>COUNTIFS($Z$6:$Z70,$AJ$5,$AA$6:$AA70,"?*")</f>
        <v>3</v>
      </c>
      <c r="AJ70" t="str">
        <f t="shared" ref="AJ70:AJ105" si="24">IFERROR(INDEX($AA$6:$AA$105,MATCH(ROW()-5,$AI$6:$AI$105,0)),"")</f>
        <v/>
      </c>
      <c r="AK70">
        <f>COUNTIFS($Z$6:$Z70,$AL$5,$AA$6:$AA70,"?*")</f>
        <v>0</v>
      </c>
      <c r="AL70" t="str">
        <f t="shared" ref="AL70:AL105" si="25">IFERROR(INDEX($AA$6:$AA$105,MATCH(ROW()-5,$AK$6:$AK$105,0)),"")</f>
        <v/>
      </c>
      <c r="AM70">
        <f>COUNTIFS($Z$6:$Z70,$AN$5,$AA$6:$AA70,"?*")</f>
        <v>0</v>
      </c>
      <c r="AN70" t="str">
        <f t="shared" ref="AN70:AN105" si="26">IFERROR(INDEX($AA$6:$AA$105,MATCH(ROW()-5,$AM$6:$AM$105,0)),"")</f>
        <v/>
      </c>
      <c r="AO70">
        <f>COUNTIFS($Z$6:$Z70,$AP$5,$AA$6:$AA70,"?*")</f>
        <v>0</v>
      </c>
      <c r="AP70" t="str">
        <f t="shared" ref="AP70:AP105" si="27">IFERROR(INDEX($AA$6:$AA$105,MATCH(ROW()-5,$AO$6:$AO$105,0)),"")</f>
        <v/>
      </c>
      <c r="AQ70">
        <f>COUNTIFS($Z$6:$Z70,$AR$5,$AA$6:$AA70,"?*")</f>
        <v>0</v>
      </c>
      <c r="AR70" t="str">
        <f t="shared" ref="AR70:AR105" si="28">IFERROR(INDEX($AA$6:$AA$105,MATCH(ROW()-5,$AQ$6:$AQ$105,0)),"")</f>
        <v/>
      </c>
      <c r="AS70">
        <f>COUNTIFS($Z$6:$Z70,$AT$5,$AA$6:$AA70,"?*")</f>
        <v>0</v>
      </c>
      <c r="AT70" t="str">
        <f t="shared" ref="AT70:AT105" si="29">IFERROR(INDEX($AA$6:$AA$105,MATCH(ROW()-5,$AS$6:$AS$105,0)),"")</f>
        <v/>
      </c>
      <c r="AU70">
        <f>COUNTIFS($Z$6:$Z70,$AV$5,$AA$6:$AA70,"?*")</f>
        <v>0</v>
      </c>
      <c r="AV70" t="str">
        <f t="shared" ref="AV70:AV105" si="30">IFERROR(INDEX($AA$6:$AA$105,MATCH(ROW()-5,$AU$6:$AU$105,0)),"")</f>
        <v/>
      </c>
    </row>
    <row r="71" spans="6:48" x14ac:dyDescent="0.2">
      <c r="F71" t="str">
        <f>IF([1]Accounts!$D$72="","",[1]Accounts!$A$72)</f>
        <v/>
      </c>
      <c r="G71" t="str">
        <f>IF([1]Accounts!$D$72="","",[1]Accounts!$B$72)</f>
        <v/>
      </c>
      <c r="H71" t="str">
        <f>IF([1]Accounts!$D$72="","",[1]Accounts!$C$72)</f>
        <v/>
      </c>
      <c r="I71" t="str">
        <f>IF([1]Accounts!$D$72="","",[1]Accounts!$D$72)</f>
        <v/>
      </c>
      <c r="Y71" t="str">
        <f>IF([1]SubGroups!$C$72="","",[1]SubGroups!$A$72)</f>
        <v/>
      </c>
      <c r="Z71" t="str">
        <f>IF([1]SubGroups!$C$72="","",[1]SubGroups!$B$72)</f>
        <v/>
      </c>
      <c r="AA71" t="str">
        <f>IF([1]SubGroups!$C$72="","",[1]SubGroups!$C$72)</f>
        <v/>
      </c>
      <c r="AC71">
        <f>COUNTIFS($Z$6:$Z71,$AD$5,$AA$6:$AA71,"?*")</f>
        <v>3</v>
      </c>
      <c r="AD71" t="str">
        <f t="shared" si="21"/>
        <v/>
      </c>
      <c r="AE71">
        <f>COUNTIFS($Z$6:$Z71,$AF$5,$AA$6:$AA71,"?*")</f>
        <v>0</v>
      </c>
      <c r="AF71" t="str">
        <f t="shared" si="22"/>
        <v/>
      </c>
      <c r="AG71">
        <f>COUNTIFS($Z$6:$Z71,$AH$5,$AA$6:$AA71,"?*")</f>
        <v>9</v>
      </c>
      <c r="AH71" t="str">
        <f t="shared" si="23"/>
        <v/>
      </c>
      <c r="AI71">
        <f>COUNTIFS($Z$6:$Z71,$AJ$5,$AA$6:$AA71,"?*")</f>
        <v>3</v>
      </c>
      <c r="AJ71" t="str">
        <f t="shared" si="24"/>
        <v/>
      </c>
      <c r="AK71">
        <f>COUNTIFS($Z$6:$Z71,$AL$5,$AA$6:$AA71,"?*")</f>
        <v>0</v>
      </c>
      <c r="AL71" t="str">
        <f t="shared" si="25"/>
        <v/>
      </c>
      <c r="AM71">
        <f>COUNTIFS($Z$6:$Z71,$AN$5,$AA$6:$AA71,"?*")</f>
        <v>0</v>
      </c>
      <c r="AN71" t="str">
        <f t="shared" si="26"/>
        <v/>
      </c>
      <c r="AO71">
        <f>COUNTIFS($Z$6:$Z71,$AP$5,$AA$6:$AA71,"?*")</f>
        <v>0</v>
      </c>
      <c r="AP71" t="str">
        <f t="shared" si="27"/>
        <v/>
      </c>
      <c r="AQ71">
        <f>COUNTIFS($Z$6:$Z71,$AR$5,$AA$6:$AA71,"?*")</f>
        <v>0</v>
      </c>
      <c r="AR71" t="str">
        <f t="shared" si="28"/>
        <v/>
      </c>
      <c r="AS71">
        <f>COUNTIFS($Z$6:$Z71,$AT$5,$AA$6:$AA71,"?*")</f>
        <v>0</v>
      </c>
      <c r="AT71" t="str">
        <f t="shared" si="29"/>
        <v/>
      </c>
      <c r="AU71">
        <f>COUNTIFS($Z$6:$Z71,$AV$5,$AA$6:$AA71,"?*")</f>
        <v>0</v>
      </c>
      <c r="AV71" t="str">
        <f t="shared" si="30"/>
        <v/>
      </c>
    </row>
    <row r="72" spans="6:48" x14ac:dyDescent="0.2">
      <c r="F72" t="str">
        <f>IF([1]Accounts!$D$73="","",[1]Accounts!$A$73)</f>
        <v/>
      </c>
      <c r="G72" t="str">
        <f>IF([1]Accounts!$D$73="","",[1]Accounts!$B$73)</f>
        <v/>
      </c>
      <c r="H72" t="str">
        <f>IF([1]Accounts!$D$73="","",[1]Accounts!$C$73)</f>
        <v/>
      </c>
      <c r="I72" t="str">
        <f>IF([1]Accounts!$D$73="","",[1]Accounts!$D$73)</f>
        <v/>
      </c>
      <c r="Y72" t="str">
        <f>IF([1]SubGroups!$C$73="","",[1]SubGroups!$A$73)</f>
        <v/>
      </c>
      <c r="Z72" t="str">
        <f>IF([1]SubGroups!$C$73="","",[1]SubGroups!$B$73)</f>
        <v/>
      </c>
      <c r="AA72" t="str">
        <f>IF([1]SubGroups!$C$73="","",[1]SubGroups!$C$73)</f>
        <v/>
      </c>
      <c r="AC72">
        <f>COUNTIFS($Z$6:$Z72,$AD$5,$AA$6:$AA72,"?*")</f>
        <v>3</v>
      </c>
      <c r="AD72" t="str">
        <f t="shared" si="21"/>
        <v/>
      </c>
      <c r="AE72">
        <f>COUNTIFS($Z$6:$Z72,$AF$5,$AA$6:$AA72,"?*")</f>
        <v>0</v>
      </c>
      <c r="AF72" t="str">
        <f t="shared" si="22"/>
        <v/>
      </c>
      <c r="AG72">
        <f>COUNTIFS($Z$6:$Z72,$AH$5,$AA$6:$AA72,"?*")</f>
        <v>9</v>
      </c>
      <c r="AH72" t="str">
        <f t="shared" si="23"/>
        <v/>
      </c>
      <c r="AI72">
        <f>COUNTIFS($Z$6:$Z72,$AJ$5,$AA$6:$AA72,"?*")</f>
        <v>3</v>
      </c>
      <c r="AJ72" t="str">
        <f t="shared" si="24"/>
        <v/>
      </c>
      <c r="AK72">
        <f>COUNTIFS($Z$6:$Z72,$AL$5,$AA$6:$AA72,"?*")</f>
        <v>0</v>
      </c>
      <c r="AL72" t="str">
        <f t="shared" si="25"/>
        <v/>
      </c>
      <c r="AM72">
        <f>COUNTIFS($Z$6:$Z72,$AN$5,$AA$6:$AA72,"?*")</f>
        <v>0</v>
      </c>
      <c r="AN72" t="str">
        <f t="shared" si="26"/>
        <v/>
      </c>
      <c r="AO72">
        <f>COUNTIFS($Z$6:$Z72,$AP$5,$AA$6:$AA72,"?*")</f>
        <v>0</v>
      </c>
      <c r="AP72" t="str">
        <f t="shared" si="27"/>
        <v/>
      </c>
      <c r="AQ72">
        <f>COUNTIFS($Z$6:$Z72,$AR$5,$AA$6:$AA72,"?*")</f>
        <v>0</v>
      </c>
      <c r="AR72" t="str">
        <f t="shared" si="28"/>
        <v/>
      </c>
      <c r="AS72">
        <f>COUNTIFS($Z$6:$Z72,$AT$5,$AA$6:$AA72,"?*")</f>
        <v>0</v>
      </c>
      <c r="AT72" t="str">
        <f t="shared" si="29"/>
        <v/>
      </c>
      <c r="AU72">
        <f>COUNTIFS($Z$6:$Z72,$AV$5,$AA$6:$AA72,"?*")</f>
        <v>0</v>
      </c>
      <c r="AV72" t="str">
        <f t="shared" si="30"/>
        <v/>
      </c>
    </row>
    <row r="73" spans="6:48" x14ac:dyDescent="0.2">
      <c r="F73" t="str">
        <f>IF([1]Accounts!$D$74="","",[1]Accounts!$A$74)</f>
        <v/>
      </c>
      <c r="G73" t="str">
        <f>IF([1]Accounts!$D$74="","",[1]Accounts!$B$74)</f>
        <v/>
      </c>
      <c r="H73" t="str">
        <f>IF([1]Accounts!$D$74="","",[1]Accounts!$C$74)</f>
        <v/>
      </c>
      <c r="I73" t="str">
        <f>IF([1]Accounts!$D$74="","",[1]Accounts!$D$74)</f>
        <v/>
      </c>
      <c r="Y73" t="str">
        <f>IF([1]SubGroups!$C$74="","",[1]SubGroups!$A$74)</f>
        <v/>
      </c>
      <c r="Z73" t="str">
        <f>IF([1]SubGroups!$C$74="","",[1]SubGroups!$B$74)</f>
        <v/>
      </c>
      <c r="AA73" t="str">
        <f>IF([1]SubGroups!$C$74="","",[1]SubGroups!$C$74)</f>
        <v/>
      </c>
      <c r="AC73">
        <f>COUNTIFS($Z$6:$Z73,$AD$5,$AA$6:$AA73,"?*")</f>
        <v>3</v>
      </c>
      <c r="AD73" t="str">
        <f t="shared" si="21"/>
        <v/>
      </c>
      <c r="AE73">
        <f>COUNTIFS($Z$6:$Z73,$AF$5,$AA$6:$AA73,"?*")</f>
        <v>0</v>
      </c>
      <c r="AF73" t="str">
        <f t="shared" si="22"/>
        <v/>
      </c>
      <c r="AG73">
        <f>COUNTIFS($Z$6:$Z73,$AH$5,$AA$6:$AA73,"?*")</f>
        <v>9</v>
      </c>
      <c r="AH73" t="str">
        <f t="shared" si="23"/>
        <v/>
      </c>
      <c r="AI73">
        <f>COUNTIFS($Z$6:$Z73,$AJ$5,$AA$6:$AA73,"?*")</f>
        <v>3</v>
      </c>
      <c r="AJ73" t="str">
        <f t="shared" si="24"/>
        <v/>
      </c>
      <c r="AK73">
        <f>COUNTIFS($Z$6:$Z73,$AL$5,$AA$6:$AA73,"?*")</f>
        <v>0</v>
      </c>
      <c r="AL73" t="str">
        <f t="shared" si="25"/>
        <v/>
      </c>
      <c r="AM73">
        <f>COUNTIFS($Z$6:$Z73,$AN$5,$AA$6:$AA73,"?*")</f>
        <v>0</v>
      </c>
      <c r="AN73" t="str">
        <f t="shared" si="26"/>
        <v/>
      </c>
      <c r="AO73">
        <f>COUNTIFS($Z$6:$Z73,$AP$5,$AA$6:$AA73,"?*")</f>
        <v>0</v>
      </c>
      <c r="AP73" t="str">
        <f t="shared" si="27"/>
        <v/>
      </c>
      <c r="AQ73">
        <f>COUNTIFS($Z$6:$Z73,$AR$5,$AA$6:$AA73,"?*")</f>
        <v>0</v>
      </c>
      <c r="AR73" t="str">
        <f t="shared" si="28"/>
        <v/>
      </c>
      <c r="AS73">
        <f>COUNTIFS($Z$6:$Z73,$AT$5,$AA$6:$AA73,"?*")</f>
        <v>0</v>
      </c>
      <c r="AT73" t="str">
        <f t="shared" si="29"/>
        <v/>
      </c>
      <c r="AU73">
        <f>COUNTIFS($Z$6:$Z73,$AV$5,$AA$6:$AA73,"?*")</f>
        <v>0</v>
      </c>
      <c r="AV73" t="str">
        <f t="shared" si="30"/>
        <v/>
      </c>
    </row>
    <row r="74" spans="6:48" x14ac:dyDescent="0.2">
      <c r="F74" t="str">
        <f>IF([1]Accounts!$D$75="","",[1]Accounts!$A$75)</f>
        <v/>
      </c>
      <c r="G74" t="str">
        <f>IF([1]Accounts!$D$75="","",[1]Accounts!$B$75)</f>
        <v/>
      </c>
      <c r="H74" t="str">
        <f>IF([1]Accounts!$D$75="","",[1]Accounts!$C$75)</f>
        <v/>
      </c>
      <c r="I74" t="str">
        <f>IF([1]Accounts!$D$75="","",[1]Accounts!$D$75)</f>
        <v/>
      </c>
      <c r="Y74" t="str">
        <f>IF([1]SubGroups!$C$75="","",[1]SubGroups!$A$75)</f>
        <v/>
      </c>
      <c r="Z74" t="str">
        <f>IF([1]SubGroups!$C$75="","",[1]SubGroups!$B$75)</f>
        <v/>
      </c>
      <c r="AA74" t="str">
        <f>IF([1]SubGroups!$C$75="","",[1]SubGroups!$C$75)</f>
        <v/>
      </c>
      <c r="AC74">
        <f>COUNTIFS($Z$6:$Z74,$AD$5,$AA$6:$AA74,"?*")</f>
        <v>3</v>
      </c>
      <c r="AD74" t="str">
        <f t="shared" si="21"/>
        <v/>
      </c>
      <c r="AE74">
        <f>COUNTIFS($Z$6:$Z74,$AF$5,$AA$6:$AA74,"?*")</f>
        <v>0</v>
      </c>
      <c r="AF74" t="str">
        <f t="shared" si="22"/>
        <v/>
      </c>
      <c r="AG74">
        <f>COUNTIFS($Z$6:$Z74,$AH$5,$AA$6:$AA74,"?*")</f>
        <v>9</v>
      </c>
      <c r="AH74" t="str">
        <f t="shared" si="23"/>
        <v/>
      </c>
      <c r="AI74">
        <f>COUNTIFS($Z$6:$Z74,$AJ$5,$AA$6:$AA74,"?*")</f>
        <v>3</v>
      </c>
      <c r="AJ74" t="str">
        <f t="shared" si="24"/>
        <v/>
      </c>
      <c r="AK74">
        <f>COUNTIFS($Z$6:$Z74,$AL$5,$AA$6:$AA74,"?*")</f>
        <v>0</v>
      </c>
      <c r="AL74" t="str">
        <f t="shared" si="25"/>
        <v/>
      </c>
      <c r="AM74">
        <f>COUNTIFS($Z$6:$Z74,$AN$5,$AA$6:$AA74,"?*")</f>
        <v>0</v>
      </c>
      <c r="AN74" t="str">
        <f t="shared" si="26"/>
        <v/>
      </c>
      <c r="AO74">
        <f>COUNTIFS($Z$6:$Z74,$AP$5,$AA$6:$AA74,"?*")</f>
        <v>0</v>
      </c>
      <c r="AP74" t="str">
        <f t="shared" si="27"/>
        <v/>
      </c>
      <c r="AQ74">
        <f>COUNTIFS($Z$6:$Z74,$AR$5,$AA$6:$AA74,"?*")</f>
        <v>0</v>
      </c>
      <c r="AR74" t="str">
        <f t="shared" si="28"/>
        <v/>
      </c>
      <c r="AS74">
        <f>COUNTIFS($Z$6:$Z74,$AT$5,$AA$6:$AA74,"?*")</f>
        <v>0</v>
      </c>
      <c r="AT74" t="str">
        <f t="shared" si="29"/>
        <v/>
      </c>
      <c r="AU74">
        <f>COUNTIFS($Z$6:$Z74,$AV$5,$AA$6:$AA74,"?*")</f>
        <v>0</v>
      </c>
      <c r="AV74" t="str">
        <f t="shared" si="30"/>
        <v/>
      </c>
    </row>
    <row r="75" spans="6:48" x14ac:dyDescent="0.2">
      <c r="F75" t="str">
        <f>IF([1]Accounts!$D$76="","",[1]Accounts!$A$76)</f>
        <v/>
      </c>
      <c r="G75" t="str">
        <f>IF([1]Accounts!$D$76="","",[1]Accounts!$B$76)</f>
        <v/>
      </c>
      <c r="H75" t="str">
        <f>IF([1]Accounts!$D$76="","",[1]Accounts!$C$76)</f>
        <v/>
      </c>
      <c r="I75" t="str">
        <f>IF([1]Accounts!$D$76="","",[1]Accounts!$D$76)</f>
        <v/>
      </c>
      <c r="Y75" t="str">
        <f>IF([1]SubGroups!$C$76="","",[1]SubGroups!$A$76)</f>
        <v/>
      </c>
      <c r="Z75" t="str">
        <f>IF([1]SubGroups!$C$76="","",[1]SubGroups!$B$76)</f>
        <v/>
      </c>
      <c r="AA75" t="str">
        <f>IF([1]SubGroups!$C$76="","",[1]SubGroups!$C$76)</f>
        <v/>
      </c>
      <c r="AC75">
        <f>COUNTIFS($Z$6:$Z75,$AD$5,$AA$6:$AA75,"?*")</f>
        <v>3</v>
      </c>
      <c r="AD75" t="str">
        <f t="shared" si="21"/>
        <v/>
      </c>
      <c r="AE75">
        <f>COUNTIFS($Z$6:$Z75,$AF$5,$AA$6:$AA75,"?*")</f>
        <v>0</v>
      </c>
      <c r="AF75" t="str">
        <f t="shared" si="22"/>
        <v/>
      </c>
      <c r="AG75">
        <f>COUNTIFS($Z$6:$Z75,$AH$5,$AA$6:$AA75,"?*")</f>
        <v>9</v>
      </c>
      <c r="AH75" t="str">
        <f t="shared" si="23"/>
        <v/>
      </c>
      <c r="AI75">
        <f>COUNTIFS($Z$6:$Z75,$AJ$5,$AA$6:$AA75,"?*")</f>
        <v>3</v>
      </c>
      <c r="AJ75" t="str">
        <f t="shared" si="24"/>
        <v/>
      </c>
      <c r="AK75">
        <f>COUNTIFS($Z$6:$Z75,$AL$5,$AA$6:$AA75,"?*")</f>
        <v>0</v>
      </c>
      <c r="AL75" t="str">
        <f t="shared" si="25"/>
        <v/>
      </c>
      <c r="AM75">
        <f>COUNTIFS($Z$6:$Z75,$AN$5,$AA$6:$AA75,"?*")</f>
        <v>0</v>
      </c>
      <c r="AN75" t="str">
        <f t="shared" si="26"/>
        <v/>
      </c>
      <c r="AO75">
        <f>COUNTIFS($Z$6:$Z75,$AP$5,$AA$6:$AA75,"?*")</f>
        <v>0</v>
      </c>
      <c r="AP75" t="str">
        <f t="shared" si="27"/>
        <v/>
      </c>
      <c r="AQ75">
        <f>COUNTIFS($Z$6:$Z75,$AR$5,$AA$6:$AA75,"?*")</f>
        <v>0</v>
      </c>
      <c r="AR75" t="str">
        <f t="shared" si="28"/>
        <v/>
      </c>
      <c r="AS75">
        <f>COUNTIFS($Z$6:$Z75,$AT$5,$AA$6:$AA75,"?*")</f>
        <v>0</v>
      </c>
      <c r="AT75" t="str">
        <f t="shared" si="29"/>
        <v/>
      </c>
      <c r="AU75">
        <f>COUNTIFS($Z$6:$Z75,$AV$5,$AA$6:$AA75,"?*")</f>
        <v>0</v>
      </c>
      <c r="AV75" t="str">
        <f t="shared" si="30"/>
        <v/>
      </c>
    </row>
    <row r="76" spans="6:48" x14ac:dyDescent="0.2">
      <c r="F76" t="str">
        <f>IF([1]Accounts!$D$77="","",[1]Accounts!$A$77)</f>
        <v/>
      </c>
      <c r="G76" t="str">
        <f>IF([1]Accounts!$D$77="","",[1]Accounts!$B$77)</f>
        <v/>
      </c>
      <c r="H76" t="str">
        <f>IF([1]Accounts!$D$77="","",[1]Accounts!$C$77)</f>
        <v/>
      </c>
      <c r="I76" t="str">
        <f>IF([1]Accounts!$D$77="","",[1]Accounts!$D$77)</f>
        <v/>
      </c>
      <c r="Y76" t="str">
        <f>IF([1]SubGroups!$C$77="","",[1]SubGroups!$A$77)</f>
        <v/>
      </c>
      <c r="Z76" t="str">
        <f>IF([1]SubGroups!$C$77="","",[1]SubGroups!$B$77)</f>
        <v/>
      </c>
      <c r="AA76" t="str">
        <f>IF([1]SubGroups!$C$77="","",[1]SubGroups!$C$77)</f>
        <v/>
      </c>
      <c r="AC76">
        <f>COUNTIFS($Z$6:$Z76,$AD$5,$AA$6:$AA76,"?*")</f>
        <v>3</v>
      </c>
      <c r="AD76" t="str">
        <f t="shared" si="21"/>
        <v/>
      </c>
      <c r="AE76">
        <f>COUNTIFS($Z$6:$Z76,$AF$5,$AA$6:$AA76,"?*")</f>
        <v>0</v>
      </c>
      <c r="AF76" t="str">
        <f t="shared" si="22"/>
        <v/>
      </c>
      <c r="AG76">
        <f>COUNTIFS($Z$6:$Z76,$AH$5,$AA$6:$AA76,"?*")</f>
        <v>9</v>
      </c>
      <c r="AH76" t="str">
        <f t="shared" si="23"/>
        <v/>
      </c>
      <c r="AI76">
        <f>COUNTIFS($Z$6:$Z76,$AJ$5,$AA$6:$AA76,"?*")</f>
        <v>3</v>
      </c>
      <c r="AJ76" t="str">
        <f t="shared" si="24"/>
        <v/>
      </c>
      <c r="AK76">
        <f>COUNTIFS($Z$6:$Z76,$AL$5,$AA$6:$AA76,"?*")</f>
        <v>0</v>
      </c>
      <c r="AL76" t="str">
        <f t="shared" si="25"/>
        <v/>
      </c>
      <c r="AM76">
        <f>COUNTIFS($Z$6:$Z76,$AN$5,$AA$6:$AA76,"?*")</f>
        <v>0</v>
      </c>
      <c r="AN76" t="str">
        <f t="shared" si="26"/>
        <v/>
      </c>
      <c r="AO76">
        <f>COUNTIFS($Z$6:$Z76,$AP$5,$AA$6:$AA76,"?*")</f>
        <v>0</v>
      </c>
      <c r="AP76" t="str">
        <f t="shared" si="27"/>
        <v/>
      </c>
      <c r="AQ76">
        <f>COUNTIFS($Z$6:$Z76,$AR$5,$AA$6:$AA76,"?*")</f>
        <v>0</v>
      </c>
      <c r="AR76" t="str">
        <f t="shared" si="28"/>
        <v/>
      </c>
      <c r="AS76">
        <f>COUNTIFS($Z$6:$Z76,$AT$5,$AA$6:$AA76,"?*")</f>
        <v>0</v>
      </c>
      <c r="AT76" t="str">
        <f t="shared" si="29"/>
        <v/>
      </c>
      <c r="AU76">
        <f>COUNTIFS($Z$6:$Z76,$AV$5,$AA$6:$AA76,"?*")</f>
        <v>0</v>
      </c>
      <c r="AV76" t="str">
        <f t="shared" si="30"/>
        <v/>
      </c>
    </row>
    <row r="77" spans="6:48" x14ac:dyDescent="0.2">
      <c r="F77" t="str">
        <f>IF([1]Accounts!$D$78="","",[1]Accounts!$A$78)</f>
        <v/>
      </c>
      <c r="G77" t="str">
        <f>IF([1]Accounts!$D$78="","",[1]Accounts!$B$78)</f>
        <v/>
      </c>
      <c r="H77" t="str">
        <f>IF([1]Accounts!$D$78="","",[1]Accounts!$C$78)</f>
        <v/>
      </c>
      <c r="I77" t="str">
        <f>IF([1]Accounts!$D$78="","",[1]Accounts!$D$78)</f>
        <v/>
      </c>
      <c r="Y77" t="str">
        <f>IF([1]SubGroups!$C$78="","",[1]SubGroups!$A$78)</f>
        <v/>
      </c>
      <c r="Z77" t="str">
        <f>IF([1]SubGroups!$C$78="","",[1]SubGroups!$B$78)</f>
        <v/>
      </c>
      <c r="AA77" t="str">
        <f>IF([1]SubGroups!$C$78="","",[1]SubGroups!$C$78)</f>
        <v/>
      </c>
      <c r="AC77">
        <f>COUNTIFS($Z$6:$Z77,$AD$5,$AA$6:$AA77,"?*")</f>
        <v>3</v>
      </c>
      <c r="AD77" t="str">
        <f t="shared" si="21"/>
        <v/>
      </c>
      <c r="AE77">
        <f>COUNTIFS($Z$6:$Z77,$AF$5,$AA$6:$AA77,"?*")</f>
        <v>0</v>
      </c>
      <c r="AF77" t="str">
        <f t="shared" si="22"/>
        <v/>
      </c>
      <c r="AG77">
        <f>COUNTIFS($Z$6:$Z77,$AH$5,$AA$6:$AA77,"?*")</f>
        <v>9</v>
      </c>
      <c r="AH77" t="str">
        <f t="shared" si="23"/>
        <v/>
      </c>
      <c r="AI77">
        <f>COUNTIFS($Z$6:$Z77,$AJ$5,$AA$6:$AA77,"?*")</f>
        <v>3</v>
      </c>
      <c r="AJ77" t="str">
        <f t="shared" si="24"/>
        <v/>
      </c>
      <c r="AK77">
        <f>COUNTIFS($Z$6:$Z77,$AL$5,$AA$6:$AA77,"?*")</f>
        <v>0</v>
      </c>
      <c r="AL77" t="str">
        <f t="shared" si="25"/>
        <v/>
      </c>
      <c r="AM77">
        <f>COUNTIFS($Z$6:$Z77,$AN$5,$AA$6:$AA77,"?*")</f>
        <v>0</v>
      </c>
      <c r="AN77" t="str">
        <f t="shared" si="26"/>
        <v/>
      </c>
      <c r="AO77">
        <f>COUNTIFS($Z$6:$Z77,$AP$5,$AA$6:$AA77,"?*")</f>
        <v>0</v>
      </c>
      <c r="AP77" t="str">
        <f t="shared" si="27"/>
        <v/>
      </c>
      <c r="AQ77">
        <f>COUNTIFS($Z$6:$Z77,$AR$5,$AA$6:$AA77,"?*")</f>
        <v>0</v>
      </c>
      <c r="AR77" t="str">
        <f t="shared" si="28"/>
        <v/>
      </c>
      <c r="AS77">
        <f>COUNTIFS($Z$6:$Z77,$AT$5,$AA$6:$AA77,"?*")</f>
        <v>0</v>
      </c>
      <c r="AT77" t="str">
        <f t="shared" si="29"/>
        <v/>
      </c>
      <c r="AU77">
        <f>COUNTIFS($Z$6:$Z77,$AV$5,$AA$6:$AA77,"?*")</f>
        <v>0</v>
      </c>
      <c r="AV77" t="str">
        <f t="shared" si="30"/>
        <v/>
      </c>
    </row>
    <row r="78" spans="6:48" x14ac:dyDescent="0.2">
      <c r="F78" t="str">
        <f>IF([1]Accounts!$D$79="","",[1]Accounts!$A$79)</f>
        <v/>
      </c>
      <c r="G78" t="str">
        <f>IF([1]Accounts!$D$79="","",[1]Accounts!$B$79)</f>
        <v/>
      </c>
      <c r="H78" t="str">
        <f>IF([1]Accounts!$D$79="","",[1]Accounts!$C$79)</f>
        <v/>
      </c>
      <c r="I78" t="str">
        <f>IF([1]Accounts!$D$79="","",[1]Accounts!$D$79)</f>
        <v/>
      </c>
      <c r="Y78" t="str">
        <f>IF([1]SubGroups!$C$79="","",[1]SubGroups!$A$79)</f>
        <v/>
      </c>
      <c r="Z78" t="str">
        <f>IF([1]SubGroups!$C$79="","",[1]SubGroups!$B$79)</f>
        <v/>
      </c>
      <c r="AA78" t="str">
        <f>IF([1]SubGroups!$C$79="","",[1]SubGroups!$C$79)</f>
        <v/>
      </c>
      <c r="AC78">
        <f>COUNTIFS($Z$6:$Z78,$AD$5,$AA$6:$AA78,"?*")</f>
        <v>3</v>
      </c>
      <c r="AD78" t="str">
        <f t="shared" si="21"/>
        <v/>
      </c>
      <c r="AE78">
        <f>COUNTIFS($Z$6:$Z78,$AF$5,$AA$6:$AA78,"?*")</f>
        <v>0</v>
      </c>
      <c r="AF78" t="str">
        <f t="shared" si="22"/>
        <v/>
      </c>
      <c r="AG78">
        <f>COUNTIFS($Z$6:$Z78,$AH$5,$AA$6:$AA78,"?*")</f>
        <v>9</v>
      </c>
      <c r="AH78" t="str">
        <f t="shared" si="23"/>
        <v/>
      </c>
      <c r="AI78">
        <f>COUNTIFS($Z$6:$Z78,$AJ$5,$AA$6:$AA78,"?*")</f>
        <v>3</v>
      </c>
      <c r="AJ78" t="str">
        <f t="shared" si="24"/>
        <v/>
      </c>
      <c r="AK78">
        <f>COUNTIFS($Z$6:$Z78,$AL$5,$AA$6:$AA78,"?*")</f>
        <v>0</v>
      </c>
      <c r="AL78" t="str">
        <f t="shared" si="25"/>
        <v/>
      </c>
      <c r="AM78">
        <f>COUNTIFS($Z$6:$Z78,$AN$5,$AA$6:$AA78,"?*")</f>
        <v>0</v>
      </c>
      <c r="AN78" t="str">
        <f t="shared" si="26"/>
        <v/>
      </c>
      <c r="AO78">
        <f>COUNTIFS($Z$6:$Z78,$AP$5,$AA$6:$AA78,"?*")</f>
        <v>0</v>
      </c>
      <c r="AP78" t="str">
        <f t="shared" si="27"/>
        <v/>
      </c>
      <c r="AQ78">
        <f>COUNTIFS($Z$6:$Z78,$AR$5,$AA$6:$AA78,"?*")</f>
        <v>0</v>
      </c>
      <c r="AR78" t="str">
        <f t="shared" si="28"/>
        <v/>
      </c>
      <c r="AS78">
        <f>COUNTIFS($Z$6:$Z78,$AT$5,$AA$6:$AA78,"?*")</f>
        <v>0</v>
      </c>
      <c r="AT78" t="str">
        <f t="shared" si="29"/>
        <v/>
      </c>
      <c r="AU78">
        <f>COUNTIFS($Z$6:$Z78,$AV$5,$AA$6:$AA78,"?*")</f>
        <v>0</v>
      </c>
      <c r="AV78" t="str">
        <f t="shared" si="30"/>
        <v/>
      </c>
    </row>
    <row r="79" spans="6:48" x14ac:dyDescent="0.2">
      <c r="F79" t="str">
        <f>IF([1]Accounts!$D$80="","",[1]Accounts!$A$80)</f>
        <v/>
      </c>
      <c r="G79" t="str">
        <f>IF([1]Accounts!$D$80="","",[1]Accounts!$B$80)</f>
        <v/>
      </c>
      <c r="H79" t="str">
        <f>IF([1]Accounts!$D$80="","",[1]Accounts!$C$80)</f>
        <v/>
      </c>
      <c r="I79" t="str">
        <f>IF([1]Accounts!$D$80="","",[1]Accounts!$D$80)</f>
        <v/>
      </c>
      <c r="Y79" t="str">
        <f>IF([1]SubGroups!$C$80="","",[1]SubGroups!$A$80)</f>
        <v/>
      </c>
      <c r="Z79" t="str">
        <f>IF([1]SubGroups!$C$80="","",[1]SubGroups!$B$80)</f>
        <v/>
      </c>
      <c r="AA79" t="str">
        <f>IF([1]SubGroups!$C$80="","",[1]SubGroups!$C$80)</f>
        <v/>
      </c>
      <c r="AC79">
        <f>COUNTIFS($Z$6:$Z79,$AD$5,$AA$6:$AA79,"?*")</f>
        <v>3</v>
      </c>
      <c r="AD79" t="str">
        <f t="shared" si="21"/>
        <v/>
      </c>
      <c r="AE79">
        <f>COUNTIFS($Z$6:$Z79,$AF$5,$AA$6:$AA79,"?*")</f>
        <v>0</v>
      </c>
      <c r="AF79" t="str">
        <f t="shared" si="22"/>
        <v/>
      </c>
      <c r="AG79">
        <f>COUNTIFS($Z$6:$Z79,$AH$5,$AA$6:$AA79,"?*")</f>
        <v>9</v>
      </c>
      <c r="AH79" t="str">
        <f t="shared" si="23"/>
        <v/>
      </c>
      <c r="AI79">
        <f>COUNTIFS($Z$6:$Z79,$AJ$5,$AA$6:$AA79,"?*")</f>
        <v>3</v>
      </c>
      <c r="AJ79" t="str">
        <f t="shared" si="24"/>
        <v/>
      </c>
      <c r="AK79">
        <f>COUNTIFS($Z$6:$Z79,$AL$5,$AA$6:$AA79,"?*")</f>
        <v>0</v>
      </c>
      <c r="AL79" t="str">
        <f t="shared" si="25"/>
        <v/>
      </c>
      <c r="AM79">
        <f>COUNTIFS($Z$6:$Z79,$AN$5,$AA$6:$AA79,"?*")</f>
        <v>0</v>
      </c>
      <c r="AN79" t="str">
        <f t="shared" si="26"/>
        <v/>
      </c>
      <c r="AO79">
        <f>COUNTIFS($Z$6:$Z79,$AP$5,$AA$6:$AA79,"?*")</f>
        <v>0</v>
      </c>
      <c r="AP79" t="str">
        <f t="shared" si="27"/>
        <v/>
      </c>
      <c r="AQ79">
        <f>COUNTIFS($Z$6:$Z79,$AR$5,$AA$6:$AA79,"?*")</f>
        <v>0</v>
      </c>
      <c r="AR79" t="str">
        <f t="shared" si="28"/>
        <v/>
      </c>
      <c r="AS79">
        <f>COUNTIFS($Z$6:$Z79,$AT$5,$AA$6:$AA79,"?*")</f>
        <v>0</v>
      </c>
      <c r="AT79" t="str">
        <f t="shared" si="29"/>
        <v/>
      </c>
      <c r="AU79">
        <f>COUNTIFS($Z$6:$Z79,$AV$5,$AA$6:$AA79,"?*")</f>
        <v>0</v>
      </c>
      <c r="AV79" t="str">
        <f t="shared" si="30"/>
        <v/>
      </c>
    </row>
    <row r="80" spans="6:48" x14ac:dyDescent="0.2">
      <c r="F80" t="str">
        <f>IF([1]Accounts!$D$81="","",[1]Accounts!$A$81)</f>
        <v/>
      </c>
      <c r="G80" t="str">
        <f>IF([1]Accounts!$D$81="","",[1]Accounts!$B$81)</f>
        <v/>
      </c>
      <c r="H80" t="str">
        <f>IF([1]Accounts!$D$81="","",[1]Accounts!$C$81)</f>
        <v/>
      </c>
      <c r="I80" t="str">
        <f>IF([1]Accounts!$D$81="","",[1]Accounts!$D$81)</f>
        <v/>
      </c>
      <c r="Y80" t="str">
        <f>IF([1]SubGroups!$C$81="","",[1]SubGroups!$A$81)</f>
        <v/>
      </c>
      <c r="Z80" t="str">
        <f>IF([1]SubGroups!$C$81="","",[1]SubGroups!$B$81)</f>
        <v/>
      </c>
      <c r="AA80" t="str">
        <f>IF([1]SubGroups!$C$81="","",[1]SubGroups!$C$81)</f>
        <v/>
      </c>
      <c r="AC80">
        <f>COUNTIFS($Z$6:$Z80,$AD$5,$AA$6:$AA80,"?*")</f>
        <v>3</v>
      </c>
      <c r="AD80" t="str">
        <f t="shared" si="21"/>
        <v/>
      </c>
      <c r="AE80">
        <f>COUNTIFS($Z$6:$Z80,$AF$5,$AA$6:$AA80,"?*")</f>
        <v>0</v>
      </c>
      <c r="AF80" t="str">
        <f t="shared" si="22"/>
        <v/>
      </c>
      <c r="AG80">
        <f>COUNTIFS($Z$6:$Z80,$AH$5,$AA$6:$AA80,"?*")</f>
        <v>9</v>
      </c>
      <c r="AH80" t="str">
        <f t="shared" si="23"/>
        <v/>
      </c>
      <c r="AI80">
        <f>COUNTIFS($Z$6:$Z80,$AJ$5,$AA$6:$AA80,"?*")</f>
        <v>3</v>
      </c>
      <c r="AJ80" t="str">
        <f t="shared" si="24"/>
        <v/>
      </c>
      <c r="AK80">
        <f>COUNTIFS($Z$6:$Z80,$AL$5,$AA$6:$AA80,"?*")</f>
        <v>0</v>
      </c>
      <c r="AL80" t="str">
        <f t="shared" si="25"/>
        <v/>
      </c>
      <c r="AM80">
        <f>COUNTIFS($Z$6:$Z80,$AN$5,$AA$6:$AA80,"?*")</f>
        <v>0</v>
      </c>
      <c r="AN80" t="str">
        <f t="shared" si="26"/>
        <v/>
      </c>
      <c r="AO80">
        <f>COUNTIFS($Z$6:$Z80,$AP$5,$AA$6:$AA80,"?*")</f>
        <v>0</v>
      </c>
      <c r="AP80" t="str">
        <f t="shared" si="27"/>
        <v/>
      </c>
      <c r="AQ80">
        <f>COUNTIFS($Z$6:$Z80,$AR$5,$AA$6:$AA80,"?*")</f>
        <v>0</v>
      </c>
      <c r="AR80" t="str">
        <f t="shared" si="28"/>
        <v/>
      </c>
      <c r="AS80">
        <f>COUNTIFS($Z$6:$Z80,$AT$5,$AA$6:$AA80,"?*")</f>
        <v>0</v>
      </c>
      <c r="AT80" t="str">
        <f t="shared" si="29"/>
        <v/>
      </c>
      <c r="AU80">
        <f>COUNTIFS($Z$6:$Z80,$AV$5,$AA$6:$AA80,"?*")</f>
        <v>0</v>
      </c>
      <c r="AV80" t="str">
        <f t="shared" si="30"/>
        <v/>
      </c>
    </row>
    <row r="81" spans="6:48" x14ac:dyDescent="0.2">
      <c r="F81" t="str">
        <f>IF([1]Accounts!$D$82="","",[1]Accounts!$A$82)</f>
        <v/>
      </c>
      <c r="G81" t="str">
        <f>IF([1]Accounts!$D$82="","",[1]Accounts!$B$82)</f>
        <v/>
      </c>
      <c r="H81" t="str">
        <f>IF([1]Accounts!$D$82="","",[1]Accounts!$C$82)</f>
        <v/>
      </c>
      <c r="I81" t="str">
        <f>IF([1]Accounts!$D$82="","",[1]Accounts!$D$82)</f>
        <v/>
      </c>
      <c r="Y81" t="str">
        <f>IF([1]SubGroups!$C$82="","",[1]SubGroups!$A$82)</f>
        <v/>
      </c>
      <c r="Z81" t="str">
        <f>IF([1]SubGroups!$C$82="","",[1]SubGroups!$B$82)</f>
        <v/>
      </c>
      <c r="AA81" t="str">
        <f>IF([1]SubGroups!$C$82="","",[1]SubGroups!$C$82)</f>
        <v/>
      </c>
      <c r="AC81">
        <f>COUNTIFS($Z$6:$Z81,$AD$5,$AA$6:$AA81,"?*")</f>
        <v>3</v>
      </c>
      <c r="AD81" t="str">
        <f t="shared" si="21"/>
        <v/>
      </c>
      <c r="AE81">
        <f>COUNTIFS($Z$6:$Z81,$AF$5,$AA$6:$AA81,"?*")</f>
        <v>0</v>
      </c>
      <c r="AF81" t="str">
        <f t="shared" si="22"/>
        <v/>
      </c>
      <c r="AG81">
        <f>COUNTIFS($Z$6:$Z81,$AH$5,$AA$6:$AA81,"?*")</f>
        <v>9</v>
      </c>
      <c r="AH81" t="str">
        <f t="shared" si="23"/>
        <v/>
      </c>
      <c r="AI81">
        <f>COUNTIFS($Z$6:$Z81,$AJ$5,$AA$6:$AA81,"?*")</f>
        <v>3</v>
      </c>
      <c r="AJ81" t="str">
        <f t="shared" si="24"/>
        <v/>
      </c>
      <c r="AK81">
        <f>COUNTIFS($Z$6:$Z81,$AL$5,$AA$6:$AA81,"?*")</f>
        <v>0</v>
      </c>
      <c r="AL81" t="str">
        <f t="shared" si="25"/>
        <v/>
      </c>
      <c r="AM81">
        <f>COUNTIFS($Z$6:$Z81,$AN$5,$AA$6:$AA81,"?*")</f>
        <v>0</v>
      </c>
      <c r="AN81" t="str">
        <f t="shared" si="26"/>
        <v/>
      </c>
      <c r="AO81">
        <f>COUNTIFS($Z$6:$Z81,$AP$5,$AA$6:$AA81,"?*")</f>
        <v>0</v>
      </c>
      <c r="AP81" t="str">
        <f t="shared" si="27"/>
        <v/>
      </c>
      <c r="AQ81">
        <f>COUNTIFS($Z$6:$Z81,$AR$5,$AA$6:$AA81,"?*")</f>
        <v>0</v>
      </c>
      <c r="AR81" t="str">
        <f t="shared" si="28"/>
        <v/>
      </c>
      <c r="AS81">
        <f>COUNTIFS($Z$6:$Z81,$AT$5,$AA$6:$AA81,"?*")</f>
        <v>0</v>
      </c>
      <c r="AT81" t="str">
        <f t="shared" si="29"/>
        <v/>
      </c>
      <c r="AU81">
        <f>COUNTIFS($Z$6:$Z81,$AV$5,$AA$6:$AA81,"?*")</f>
        <v>0</v>
      </c>
      <c r="AV81" t="str">
        <f t="shared" si="30"/>
        <v/>
      </c>
    </row>
    <row r="82" spans="6:48" x14ac:dyDescent="0.2">
      <c r="F82" t="str">
        <f>IF([1]Accounts!$D$83="","",[1]Accounts!$A$83)</f>
        <v/>
      </c>
      <c r="G82" t="str">
        <f>IF([1]Accounts!$D$83="","",[1]Accounts!$B$83)</f>
        <v/>
      </c>
      <c r="H82" t="str">
        <f>IF([1]Accounts!$D$83="","",[1]Accounts!$C$83)</f>
        <v/>
      </c>
      <c r="I82" t="str">
        <f>IF([1]Accounts!$D$83="","",[1]Accounts!$D$83)</f>
        <v/>
      </c>
      <c r="Y82" t="str">
        <f>IF([1]SubGroups!$C$83="","",[1]SubGroups!$A$83)</f>
        <v/>
      </c>
      <c r="Z82" t="str">
        <f>IF([1]SubGroups!$C$83="","",[1]SubGroups!$B$83)</f>
        <v/>
      </c>
      <c r="AA82" t="str">
        <f>IF([1]SubGroups!$C$83="","",[1]SubGroups!$C$83)</f>
        <v/>
      </c>
      <c r="AC82">
        <f>COUNTIFS($Z$6:$Z82,$AD$5,$AA$6:$AA82,"?*")</f>
        <v>3</v>
      </c>
      <c r="AD82" t="str">
        <f t="shared" si="21"/>
        <v/>
      </c>
      <c r="AE82">
        <f>COUNTIFS($Z$6:$Z82,$AF$5,$AA$6:$AA82,"?*")</f>
        <v>0</v>
      </c>
      <c r="AF82" t="str">
        <f t="shared" si="22"/>
        <v/>
      </c>
      <c r="AG82">
        <f>COUNTIFS($Z$6:$Z82,$AH$5,$AA$6:$AA82,"?*")</f>
        <v>9</v>
      </c>
      <c r="AH82" t="str">
        <f t="shared" si="23"/>
        <v/>
      </c>
      <c r="AI82">
        <f>COUNTIFS($Z$6:$Z82,$AJ$5,$AA$6:$AA82,"?*")</f>
        <v>3</v>
      </c>
      <c r="AJ82" t="str">
        <f t="shared" si="24"/>
        <v/>
      </c>
      <c r="AK82">
        <f>COUNTIFS($Z$6:$Z82,$AL$5,$AA$6:$AA82,"?*")</f>
        <v>0</v>
      </c>
      <c r="AL82" t="str">
        <f t="shared" si="25"/>
        <v/>
      </c>
      <c r="AM82">
        <f>COUNTIFS($Z$6:$Z82,$AN$5,$AA$6:$AA82,"?*")</f>
        <v>0</v>
      </c>
      <c r="AN82" t="str">
        <f t="shared" si="26"/>
        <v/>
      </c>
      <c r="AO82">
        <f>COUNTIFS($Z$6:$Z82,$AP$5,$AA$6:$AA82,"?*")</f>
        <v>0</v>
      </c>
      <c r="AP82" t="str">
        <f t="shared" si="27"/>
        <v/>
      </c>
      <c r="AQ82">
        <f>COUNTIFS($Z$6:$Z82,$AR$5,$AA$6:$AA82,"?*")</f>
        <v>0</v>
      </c>
      <c r="AR82" t="str">
        <f t="shared" si="28"/>
        <v/>
      </c>
      <c r="AS82">
        <f>COUNTIFS($Z$6:$Z82,$AT$5,$AA$6:$AA82,"?*")</f>
        <v>0</v>
      </c>
      <c r="AT82" t="str">
        <f t="shared" si="29"/>
        <v/>
      </c>
      <c r="AU82">
        <f>COUNTIFS($Z$6:$Z82,$AV$5,$AA$6:$AA82,"?*")</f>
        <v>0</v>
      </c>
      <c r="AV82" t="str">
        <f t="shared" si="30"/>
        <v/>
      </c>
    </row>
    <row r="83" spans="6:48" x14ac:dyDescent="0.2">
      <c r="F83" t="str">
        <f>IF([1]Accounts!$D$84="","",[1]Accounts!$A$84)</f>
        <v/>
      </c>
      <c r="G83" t="str">
        <f>IF([1]Accounts!$D$84="","",[1]Accounts!$B$84)</f>
        <v/>
      </c>
      <c r="H83" t="str">
        <f>IF([1]Accounts!$D$84="","",[1]Accounts!$C$84)</f>
        <v/>
      </c>
      <c r="I83" t="str">
        <f>IF([1]Accounts!$D$84="","",[1]Accounts!$D$84)</f>
        <v/>
      </c>
      <c r="Y83" t="str">
        <f>IF([1]SubGroups!$C$84="","",[1]SubGroups!$A$84)</f>
        <v/>
      </c>
      <c r="Z83" t="str">
        <f>IF([1]SubGroups!$C$84="","",[1]SubGroups!$B$84)</f>
        <v/>
      </c>
      <c r="AA83" t="str">
        <f>IF([1]SubGroups!$C$84="","",[1]SubGroups!$C$84)</f>
        <v/>
      </c>
      <c r="AC83">
        <f>COUNTIFS($Z$6:$Z83,$AD$5,$AA$6:$AA83,"?*")</f>
        <v>3</v>
      </c>
      <c r="AD83" t="str">
        <f t="shared" si="21"/>
        <v/>
      </c>
      <c r="AE83">
        <f>COUNTIFS($Z$6:$Z83,$AF$5,$AA$6:$AA83,"?*")</f>
        <v>0</v>
      </c>
      <c r="AF83" t="str">
        <f t="shared" si="22"/>
        <v/>
      </c>
      <c r="AG83">
        <f>COUNTIFS($Z$6:$Z83,$AH$5,$AA$6:$AA83,"?*")</f>
        <v>9</v>
      </c>
      <c r="AH83" t="str">
        <f t="shared" si="23"/>
        <v/>
      </c>
      <c r="AI83">
        <f>COUNTIFS($Z$6:$Z83,$AJ$5,$AA$6:$AA83,"?*")</f>
        <v>3</v>
      </c>
      <c r="AJ83" t="str">
        <f t="shared" si="24"/>
        <v/>
      </c>
      <c r="AK83">
        <f>COUNTIFS($Z$6:$Z83,$AL$5,$AA$6:$AA83,"?*")</f>
        <v>0</v>
      </c>
      <c r="AL83" t="str">
        <f t="shared" si="25"/>
        <v/>
      </c>
      <c r="AM83">
        <f>COUNTIFS($Z$6:$Z83,$AN$5,$AA$6:$AA83,"?*")</f>
        <v>0</v>
      </c>
      <c r="AN83" t="str">
        <f t="shared" si="26"/>
        <v/>
      </c>
      <c r="AO83">
        <f>COUNTIFS($Z$6:$Z83,$AP$5,$AA$6:$AA83,"?*")</f>
        <v>0</v>
      </c>
      <c r="AP83" t="str">
        <f t="shared" si="27"/>
        <v/>
      </c>
      <c r="AQ83">
        <f>COUNTIFS($Z$6:$Z83,$AR$5,$AA$6:$AA83,"?*")</f>
        <v>0</v>
      </c>
      <c r="AR83" t="str">
        <f t="shared" si="28"/>
        <v/>
      </c>
      <c r="AS83">
        <f>COUNTIFS($Z$6:$Z83,$AT$5,$AA$6:$AA83,"?*")</f>
        <v>0</v>
      </c>
      <c r="AT83" t="str">
        <f t="shared" si="29"/>
        <v/>
      </c>
      <c r="AU83">
        <f>COUNTIFS($Z$6:$Z83,$AV$5,$AA$6:$AA83,"?*")</f>
        <v>0</v>
      </c>
      <c r="AV83" t="str">
        <f t="shared" si="30"/>
        <v/>
      </c>
    </row>
    <row r="84" spans="6:48" x14ac:dyDescent="0.2">
      <c r="F84" t="str">
        <f>IF([1]Accounts!$D$85="","",[1]Accounts!$A$85)</f>
        <v/>
      </c>
      <c r="G84" t="str">
        <f>IF([1]Accounts!$D$85="","",[1]Accounts!$B$85)</f>
        <v/>
      </c>
      <c r="H84" t="str">
        <f>IF([1]Accounts!$D$85="","",[1]Accounts!$C$85)</f>
        <v/>
      </c>
      <c r="I84" t="str">
        <f>IF([1]Accounts!$D$85="","",[1]Accounts!$D$85)</f>
        <v/>
      </c>
      <c r="Y84" t="str">
        <f>IF([1]SubGroups!$C$85="","",[1]SubGroups!$A$85)</f>
        <v/>
      </c>
      <c r="Z84" t="str">
        <f>IF([1]SubGroups!$C$85="","",[1]SubGroups!$B$85)</f>
        <v/>
      </c>
      <c r="AA84" t="str">
        <f>IF([1]SubGroups!$C$85="","",[1]SubGroups!$C$85)</f>
        <v/>
      </c>
      <c r="AC84">
        <f>COUNTIFS($Z$6:$Z84,$AD$5,$AA$6:$AA84,"?*")</f>
        <v>3</v>
      </c>
      <c r="AD84" t="str">
        <f t="shared" si="21"/>
        <v/>
      </c>
      <c r="AE84">
        <f>COUNTIFS($Z$6:$Z84,$AF$5,$AA$6:$AA84,"?*")</f>
        <v>0</v>
      </c>
      <c r="AF84" t="str">
        <f t="shared" si="22"/>
        <v/>
      </c>
      <c r="AG84">
        <f>COUNTIFS($Z$6:$Z84,$AH$5,$AA$6:$AA84,"?*")</f>
        <v>9</v>
      </c>
      <c r="AH84" t="str">
        <f t="shared" si="23"/>
        <v/>
      </c>
      <c r="AI84">
        <f>COUNTIFS($Z$6:$Z84,$AJ$5,$AA$6:$AA84,"?*")</f>
        <v>3</v>
      </c>
      <c r="AJ84" t="str">
        <f t="shared" si="24"/>
        <v/>
      </c>
      <c r="AK84">
        <f>COUNTIFS($Z$6:$Z84,$AL$5,$AA$6:$AA84,"?*")</f>
        <v>0</v>
      </c>
      <c r="AL84" t="str">
        <f t="shared" si="25"/>
        <v/>
      </c>
      <c r="AM84">
        <f>COUNTIFS($Z$6:$Z84,$AN$5,$AA$6:$AA84,"?*")</f>
        <v>0</v>
      </c>
      <c r="AN84" t="str">
        <f t="shared" si="26"/>
        <v/>
      </c>
      <c r="AO84">
        <f>COUNTIFS($Z$6:$Z84,$AP$5,$AA$6:$AA84,"?*")</f>
        <v>0</v>
      </c>
      <c r="AP84" t="str">
        <f t="shared" si="27"/>
        <v/>
      </c>
      <c r="AQ84">
        <f>COUNTIFS($Z$6:$Z84,$AR$5,$AA$6:$AA84,"?*")</f>
        <v>0</v>
      </c>
      <c r="AR84" t="str">
        <f t="shared" si="28"/>
        <v/>
      </c>
      <c r="AS84">
        <f>COUNTIFS($Z$6:$Z84,$AT$5,$AA$6:$AA84,"?*")</f>
        <v>0</v>
      </c>
      <c r="AT84" t="str">
        <f t="shared" si="29"/>
        <v/>
      </c>
      <c r="AU84">
        <f>COUNTIFS($Z$6:$Z84,$AV$5,$AA$6:$AA84,"?*")</f>
        <v>0</v>
      </c>
      <c r="AV84" t="str">
        <f t="shared" si="30"/>
        <v/>
      </c>
    </row>
    <row r="85" spans="6:48" x14ac:dyDescent="0.2">
      <c r="F85" t="str">
        <f>IF([1]Accounts!$D$86="","",[1]Accounts!$A$86)</f>
        <v/>
      </c>
      <c r="G85" t="str">
        <f>IF([1]Accounts!$D$86="","",[1]Accounts!$B$86)</f>
        <v/>
      </c>
      <c r="H85" t="str">
        <f>IF([1]Accounts!$D$86="","",[1]Accounts!$C$86)</f>
        <v/>
      </c>
      <c r="I85" t="str">
        <f>IF([1]Accounts!$D$86="","",[1]Accounts!$D$86)</f>
        <v/>
      </c>
      <c r="Y85" t="str">
        <f>IF([1]SubGroups!$C$86="","",[1]SubGroups!$A$86)</f>
        <v/>
      </c>
      <c r="Z85" t="str">
        <f>IF([1]SubGroups!$C$86="","",[1]SubGroups!$B$86)</f>
        <v/>
      </c>
      <c r="AA85" t="str">
        <f>IF([1]SubGroups!$C$86="","",[1]SubGroups!$C$86)</f>
        <v/>
      </c>
      <c r="AC85">
        <f>COUNTIFS($Z$6:$Z85,$AD$5,$AA$6:$AA85,"?*")</f>
        <v>3</v>
      </c>
      <c r="AD85" t="str">
        <f t="shared" si="21"/>
        <v/>
      </c>
      <c r="AE85">
        <f>COUNTIFS($Z$6:$Z85,$AF$5,$AA$6:$AA85,"?*")</f>
        <v>0</v>
      </c>
      <c r="AF85" t="str">
        <f t="shared" si="22"/>
        <v/>
      </c>
      <c r="AG85">
        <f>COUNTIFS($Z$6:$Z85,$AH$5,$AA$6:$AA85,"?*")</f>
        <v>9</v>
      </c>
      <c r="AH85" t="str">
        <f t="shared" si="23"/>
        <v/>
      </c>
      <c r="AI85">
        <f>COUNTIFS($Z$6:$Z85,$AJ$5,$AA$6:$AA85,"?*")</f>
        <v>3</v>
      </c>
      <c r="AJ85" t="str">
        <f t="shared" si="24"/>
        <v/>
      </c>
      <c r="AK85">
        <f>COUNTIFS($Z$6:$Z85,$AL$5,$AA$6:$AA85,"?*")</f>
        <v>0</v>
      </c>
      <c r="AL85" t="str">
        <f t="shared" si="25"/>
        <v/>
      </c>
      <c r="AM85">
        <f>COUNTIFS($Z$6:$Z85,$AN$5,$AA$6:$AA85,"?*")</f>
        <v>0</v>
      </c>
      <c r="AN85" t="str">
        <f t="shared" si="26"/>
        <v/>
      </c>
      <c r="AO85">
        <f>COUNTIFS($Z$6:$Z85,$AP$5,$AA$6:$AA85,"?*")</f>
        <v>0</v>
      </c>
      <c r="AP85" t="str">
        <f t="shared" si="27"/>
        <v/>
      </c>
      <c r="AQ85">
        <f>COUNTIFS($Z$6:$Z85,$AR$5,$AA$6:$AA85,"?*")</f>
        <v>0</v>
      </c>
      <c r="AR85" t="str">
        <f t="shared" si="28"/>
        <v/>
      </c>
      <c r="AS85">
        <f>COUNTIFS($Z$6:$Z85,$AT$5,$AA$6:$AA85,"?*")</f>
        <v>0</v>
      </c>
      <c r="AT85" t="str">
        <f t="shared" si="29"/>
        <v/>
      </c>
      <c r="AU85">
        <f>COUNTIFS($Z$6:$Z85,$AV$5,$AA$6:$AA85,"?*")</f>
        <v>0</v>
      </c>
      <c r="AV85" t="str">
        <f t="shared" si="30"/>
        <v/>
      </c>
    </row>
    <row r="86" spans="6:48" x14ac:dyDescent="0.2">
      <c r="F86" t="str">
        <f>IF([1]Accounts!$D$87="","",[1]Accounts!$A$87)</f>
        <v/>
      </c>
      <c r="G86" t="str">
        <f>IF([1]Accounts!$D$87="","",[1]Accounts!$B$87)</f>
        <v/>
      </c>
      <c r="H86" t="str">
        <f>IF([1]Accounts!$D$87="","",[1]Accounts!$C$87)</f>
        <v/>
      </c>
      <c r="I86" t="str">
        <f>IF([1]Accounts!$D$87="","",[1]Accounts!$D$87)</f>
        <v/>
      </c>
      <c r="Y86" t="str">
        <f>IF([1]SubGroups!$C$87="","",[1]SubGroups!$A$87)</f>
        <v/>
      </c>
      <c r="Z86" t="str">
        <f>IF([1]SubGroups!$C$87="","",[1]SubGroups!$B$87)</f>
        <v/>
      </c>
      <c r="AA86" t="str">
        <f>IF([1]SubGroups!$C$87="","",[1]SubGroups!$C$87)</f>
        <v/>
      </c>
      <c r="AC86">
        <f>COUNTIFS($Z$6:$Z86,$AD$5,$AA$6:$AA86,"?*")</f>
        <v>3</v>
      </c>
      <c r="AD86" t="str">
        <f t="shared" si="21"/>
        <v/>
      </c>
      <c r="AE86">
        <f>COUNTIFS($Z$6:$Z86,$AF$5,$AA$6:$AA86,"?*")</f>
        <v>0</v>
      </c>
      <c r="AF86" t="str">
        <f t="shared" si="22"/>
        <v/>
      </c>
      <c r="AG86">
        <f>COUNTIFS($Z$6:$Z86,$AH$5,$AA$6:$AA86,"?*")</f>
        <v>9</v>
      </c>
      <c r="AH86" t="str">
        <f t="shared" si="23"/>
        <v/>
      </c>
      <c r="AI86">
        <f>COUNTIFS($Z$6:$Z86,$AJ$5,$AA$6:$AA86,"?*")</f>
        <v>3</v>
      </c>
      <c r="AJ86" t="str">
        <f t="shared" si="24"/>
        <v/>
      </c>
      <c r="AK86">
        <f>COUNTIFS($Z$6:$Z86,$AL$5,$AA$6:$AA86,"?*")</f>
        <v>0</v>
      </c>
      <c r="AL86" t="str">
        <f t="shared" si="25"/>
        <v/>
      </c>
      <c r="AM86">
        <f>COUNTIFS($Z$6:$Z86,$AN$5,$AA$6:$AA86,"?*")</f>
        <v>0</v>
      </c>
      <c r="AN86" t="str">
        <f t="shared" si="26"/>
        <v/>
      </c>
      <c r="AO86">
        <f>COUNTIFS($Z$6:$Z86,$AP$5,$AA$6:$AA86,"?*")</f>
        <v>0</v>
      </c>
      <c r="AP86" t="str">
        <f t="shared" si="27"/>
        <v/>
      </c>
      <c r="AQ86">
        <f>COUNTIFS($Z$6:$Z86,$AR$5,$AA$6:$AA86,"?*")</f>
        <v>0</v>
      </c>
      <c r="AR86" t="str">
        <f t="shared" si="28"/>
        <v/>
      </c>
      <c r="AS86">
        <f>COUNTIFS($Z$6:$Z86,$AT$5,$AA$6:$AA86,"?*")</f>
        <v>0</v>
      </c>
      <c r="AT86" t="str">
        <f t="shared" si="29"/>
        <v/>
      </c>
      <c r="AU86">
        <f>COUNTIFS($Z$6:$Z86,$AV$5,$AA$6:$AA86,"?*")</f>
        <v>0</v>
      </c>
      <c r="AV86" t="str">
        <f t="shared" si="30"/>
        <v/>
      </c>
    </row>
    <row r="87" spans="6:48" x14ac:dyDescent="0.2">
      <c r="F87" t="str">
        <f>IF([1]Accounts!$D$88="","",[1]Accounts!$A$88)</f>
        <v/>
      </c>
      <c r="G87" t="str">
        <f>IF([1]Accounts!$D$88="","",[1]Accounts!$B$88)</f>
        <v/>
      </c>
      <c r="H87" t="str">
        <f>IF([1]Accounts!$D$88="","",[1]Accounts!$C$88)</f>
        <v/>
      </c>
      <c r="I87" t="str">
        <f>IF([1]Accounts!$D$88="","",[1]Accounts!$D$88)</f>
        <v/>
      </c>
      <c r="Y87" t="str">
        <f>IF([1]SubGroups!$C$88="","",[1]SubGroups!$A$88)</f>
        <v/>
      </c>
      <c r="Z87" t="str">
        <f>IF([1]SubGroups!$C$88="","",[1]SubGroups!$B$88)</f>
        <v/>
      </c>
      <c r="AA87" t="str">
        <f>IF([1]SubGroups!$C$88="","",[1]SubGroups!$C$88)</f>
        <v/>
      </c>
      <c r="AC87">
        <f>COUNTIFS($Z$6:$Z87,$AD$5,$AA$6:$AA87,"?*")</f>
        <v>3</v>
      </c>
      <c r="AD87" t="str">
        <f t="shared" si="21"/>
        <v/>
      </c>
      <c r="AE87">
        <f>COUNTIFS($Z$6:$Z87,$AF$5,$AA$6:$AA87,"?*")</f>
        <v>0</v>
      </c>
      <c r="AF87" t="str">
        <f t="shared" si="22"/>
        <v/>
      </c>
      <c r="AG87">
        <f>COUNTIFS($Z$6:$Z87,$AH$5,$AA$6:$AA87,"?*")</f>
        <v>9</v>
      </c>
      <c r="AH87" t="str">
        <f t="shared" si="23"/>
        <v/>
      </c>
      <c r="AI87">
        <f>COUNTIFS($Z$6:$Z87,$AJ$5,$AA$6:$AA87,"?*")</f>
        <v>3</v>
      </c>
      <c r="AJ87" t="str">
        <f t="shared" si="24"/>
        <v/>
      </c>
      <c r="AK87">
        <f>COUNTIFS($Z$6:$Z87,$AL$5,$AA$6:$AA87,"?*")</f>
        <v>0</v>
      </c>
      <c r="AL87" t="str">
        <f t="shared" si="25"/>
        <v/>
      </c>
      <c r="AM87">
        <f>COUNTIFS($Z$6:$Z87,$AN$5,$AA$6:$AA87,"?*")</f>
        <v>0</v>
      </c>
      <c r="AN87" t="str">
        <f t="shared" si="26"/>
        <v/>
      </c>
      <c r="AO87">
        <f>COUNTIFS($Z$6:$Z87,$AP$5,$AA$6:$AA87,"?*")</f>
        <v>0</v>
      </c>
      <c r="AP87" t="str">
        <f t="shared" si="27"/>
        <v/>
      </c>
      <c r="AQ87">
        <f>COUNTIFS($Z$6:$Z87,$AR$5,$AA$6:$AA87,"?*")</f>
        <v>0</v>
      </c>
      <c r="AR87" t="str">
        <f t="shared" si="28"/>
        <v/>
      </c>
      <c r="AS87">
        <f>COUNTIFS($Z$6:$Z87,$AT$5,$AA$6:$AA87,"?*")</f>
        <v>0</v>
      </c>
      <c r="AT87" t="str">
        <f t="shared" si="29"/>
        <v/>
      </c>
      <c r="AU87">
        <f>COUNTIFS($Z$6:$Z87,$AV$5,$AA$6:$AA87,"?*")</f>
        <v>0</v>
      </c>
      <c r="AV87" t="str">
        <f t="shared" si="30"/>
        <v/>
      </c>
    </row>
    <row r="88" spans="6:48" x14ac:dyDescent="0.2">
      <c r="F88" t="str">
        <f>IF([1]Accounts!$D$89="","",[1]Accounts!$A$89)</f>
        <v/>
      </c>
      <c r="G88" t="str">
        <f>IF([1]Accounts!$D$89="","",[1]Accounts!$B$89)</f>
        <v/>
      </c>
      <c r="H88" t="str">
        <f>IF([1]Accounts!$D$89="","",[1]Accounts!$C$89)</f>
        <v/>
      </c>
      <c r="I88" t="str">
        <f>IF([1]Accounts!$D$89="","",[1]Accounts!$D$89)</f>
        <v/>
      </c>
      <c r="Y88" t="str">
        <f>IF([1]SubGroups!$C$89="","",[1]SubGroups!$A$89)</f>
        <v/>
      </c>
      <c r="Z88" t="str">
        <f>IF([1]SubGroups!$C$89="","",[1]SubGroups!$B$89)</f>
        <v/>
      </c>
      <c r="AA88" t="str">
        <f>IF([1]SubGroups!$C$89="","",[1]SubGroups!$C$89)</f>
        <v/>
      </c>
      <c r="AC88">
        <f>COUNTIFS($Z$6:$Z88,$AD$5,$AA$6:$AA88,"?*")</f>
        <v>3</v>
      </c>
      <c r="AD88" t="str">
        <f t="shared" si="21"/>
        <v/>
      </c>
      <c r="AE88">
        <f>COUNTIFS($Z$6:$Z88,$AF$5,$AA$6:$AA88,"?*")</f>
        <v>0</v>
      </c>
      <c r="AF88" t="str">
        <f t="shared" si="22"/>
        <v/>
      </c>
      <c r="AG88">
        <f>COUNTIFS($Z$6:$Z88,$AH$5,$AA$6:$AA88,"?*")</f>
        <v>9</v>
      </c>
      <c r="AH88" t="str">
        <f t="shared" si="23"/>
        <v/>
      </c>
      <c r="AI88">
        <f>COUNTIFS($Z$6:$Z88,$AJ$5,$AA$6:$AA88,"?*")</f>
        <v>3</v>
      </c>
      <c r="AJ88" t="str">
        <f t="shared" si="24"/>
        <v/>
      </c>
      <c r="AK88">
        <f>COUNTIFS($Z$6:$Z88,$AL$5,$AA$6:$AA88,"?*")</f>
        <v>0</v>
      </c>
      <c r="AL88" t="str">
        <f t="shared" si="25"/>
        <v/>
      </c>
      <c r="AM88">
        <f>COUNTIFS($Z$6:$Z88,$AN$5,$AA$6:$AA88,"?*")</f>
        <v>0</v>
      </c>
      <c r="AN88" t="str">
        <f t="shared" si="26"/>
        <v/>
      </c>
      <c r="AO88">
        <f>COUNTIFS($Z$6:$Z88,$AP$5,$AA$6:$AA88,"?*")</f>
        <v>0</v>
      </c>
      <c r="AP88" t="str">
        <f t="shared" si="27"/>
        <v/>
      </c>
      <c r="AQ88">
        <f>COUNTIFS($Z$6:$Z88,$AR$5,$AA$6:$AA88,"?*")</f>
        <v>0</v>
      </c>
      <c r="AR88" t="str">
        <f t="shared" si="28"/>
        <v/>
      </c>
      <c r="AS88">
        <f>COUNTIFS($Z$6:$Z88,$AT$5,$AA$6:$AA88,"?*")</f>
        <v>0</v>
      </c>
      <c r="AT88" t="str">
        <f t="shared" si="29"/>
        <v/>
      </c>
      <c r="AU88">
        <f>COUNTIFS($Z$6:$Z88,$AV$5,$AA$6:$AA88,"?*")</f>
        <v>0</v>
      </c>
      <c r="AV88" t="str">
        <f t="shared" si="30"/>
        <v/>
      </c>
    </row>
    <row r="89" spans="6:48" x14ac:dyDescent="0.2">
      <c r="F89" t="str">
        <f>IF([1]Accounts!$D$90="","",[1]Accounts!$A$90)</f>
        <v/>
      </c>
      <c r="G89" t="str">
        <f>IF([1]Accounts!$D$90="","",[1]Accounts!$B$90)</f>
        <v/>
      </c>
      <c r="H89" t="str">
        <f>IF([1]Accounts!$D$90="","",[1]Accounts!$C$90)</f>
        <v/>
      </c>
      <c r="I89" t="str">
        <f>IF([1]Accounts!$D$90="","",[1]Accounts!$D$90)</f>
        <v/>
      </c>
      <c r="Y89" t="str">
        <f>IF([1]SubGroups!$C$90="","",[1]SubGroups!$A$90)</f>
        <v/>
      </c>
      <c r="Z89" t="str">
        <f>IF([1]SubGroups!$C$90="","",[1]SubGroups!$B$90)</f>
        <v/>
      </c>
      <c r="AA89" t="str">
        <f>IF([1]SubGroups!$C$90="","",[1]SubGroups!$C$90)</f>
        <v/>
      </c>
      <c r="AC89">
        <f>COUNTIFS($Z$6:$Z89,$AD$5,$AA$6:$AA89,"?*")</f>
        <v>3</v>
      </c>
      <c r="AD89" t="str">
        <f t="shared" si="21"/>
        <v/>
      </c>
      <c r="AE89">
        <f>COUNTIFS($Z$6:$Z89,$AF$5,$AA$6:$AA89,"?*")</f>
        <v>0</v>
      </c>
      <c r="AF89" t="str">
        <f t="shared" si="22"/>
        <v/>
      </c>
      <c r="AG89">
        <f>COUNTIFS($Z$6:$Z89,$AH$5,$AA$6:$AA89,"?*")</f>
        <v>9</v>
      </c>
      <c r="AH89" t="str">
        <f t="shared" si="23"/>
        <v/>
      </c>
      <c r="AI89">
        <f>COUNTIFS($Z$6:$Z89,$AJ$5,$AA$6:$AA89,"?*")</f>
        <v>3</v>
      </c>
      <c r="AJ89" t="str">
        <f t="shared" si="24"/>
        <v/>
      </c>
      <c r="AK89">
        <f>COUNTIFS($Z$6:$Z89,$AL$5,$AA$6:$AA89,"?*")</f>
        <v>0</v>
      </c>
      <c r="AL89" t="str">
        <f t="shared" si="25"/>
        <v/>
      </c>
      <c r="AM89">
        <f>COUNTIFS($Z$6:$Z89,$AN$5,$AA$6:$AA89,"?*")</f>
        <v>0</v>
      </c>
      <c r="AN89" t="str">
        <f t="shared" si="26"/>
        <v/>
      </c>
      <c r="AO89">
        <f>COUNTIFS($Z$6:$Z89,$AP$5,$AA$6:$AA89,"?*")</f>
        <v>0</v>
      </c>
      <c r="AP89" t="str">
        <f t="shared" si="27"/>
        <v/>
      </c>
      <c r="AQ89">
        <f>COUNTIFS($Z$6:$Z89,$AR$5,$AA$6:$AA89,"?*")</f>
        <v>0</v>
      </c>
      <c r="AR89" t="str">
        <f t="shared" si="28"/>
        <v/>
      </c>
      <c r="AS89">
        <f>COUNTIFS($Z$6:$Z89,$AT$5,$AA$6:$AA89,"?*")</f>
        <v>0</v>
      </c>
      <c r="AT89" t="str">
        <f t="shared" si="29"/>
        <v/>
      </c>
      <c r="AU89">
        <f>COUNTIFS($Z$6:$Z89,$AV$5,$AA$6:$AA89,"?*")</f>
        <v>0</v>
      </c>
      <c r="AV89" t="str">
        <f t="shared" si="30"/>
        <v/>
      </c>
    </row>
    <row r="90" spans="6:48" x14ac:dyDescent="0.2">
      <c r="F90" t="str">
        <f>IF([1]Accounts!$D$91="","",[1]Accounts!$A$91)</f>
        <v/>
      </c>
      <c r="G90" t="str">
        <f>IF([1]Accounts!$D$91="","",[1]Accounts!$B$91)</f>
        <v/>
      </c>
      <c r="H90" t="str">
        <f>IF([1]Accounts!$D$91="","",[1]Accounts!$C$91)</f>
        <v/>
      </c>
      <c r="I90" t="str">
        <f>IF([1]Accounts!$D$91="","",[1]Accounts!$D$91)</f>
        <v/>
      </c>
      <c r="Y90" t="str">
        <f>IF([1]SubGroups!$C$91="","",[1]SubGroups!$A$91)</f>
        <v/>
      </c>
      <c r="Z90" t="str">
        <f>IF([1]SubGroups!$C$91="","",[1]SubGroups!$B$91)</f>
        <v/>
      </c>
      <c r="AA90" t="str">
        <f>IF([1]SubGroups!$C$91="","",[1]SubGroups!$C$91)</f>
        <v/>
      </c>
      <c r="AC90">
        <f>COUNTIFS($Z$6:$Z90,$AD$5,$AA$6:$AA90,"?*")</f>
        <v>3</v>
      </c>
      <c r="AD90" t="str">
        <f t="shared" si="21"/>
        <v/>
      </c>
      <c r="AE90">
        <f>COUNTIFS($Z$6:$Z90,$AF$5,$AA$6:$AA90,"?*")</f>
        <v>0</v>
      </c>
      <c r="AF90" t="str">
        <f t="shared" si="22"/>
        <v/>
      </c>
      <c r="AG90">
        <f>COUNTIFS($Z$6:$Z90,$AH$5,$AA$6:$AA90,"?*")</f>
        <v>9</v>
      </c>
      <c r="AH90" t="str">
        <f t="shared" si="23"/>
        <v/>
      </c>
      <c r="AI90">
        <f>COUNTIFS($Z$6:$Z90,$AJ$5,$AA$6:$AA90,"?*")</f>
        <v>3</v>
      </c>
      <c r="AJ90" t="str">
        <f t="shared" si="24"/>
        <v/>
      </c>
      <c r="AK90">
        <f>COUNTIFS($Z$6:$Z90,$AL$5,$AA$6:$AA90,"?*")</f>
        <v>0</v>
      </c>
      <c r="AL90" t="str">
        <f t="shared" si="25"/>
        <v/>
      </c>
      <c r="AM90">
        <f>COUNTIFS($Z$6:$Z90,$AN$5,$AA$6:$AA90,"?*")</f>
        <v>0</v>
      </c>
      <c r="AN90" t="str">
        <f t="shared" si="26"/>
        <v/>
      </c>
      <c r="AO90">
        <f>COUNTIFS($Z$6:$Z90,$AP$5,$AA$6:$AA90,"?*")</f>
        <v>0</v>
      </c>
      <c r="AP90" t="str">
        <f t="shared" si="27"/>
        <v/>
      </c>
      <c r="AQ90">
        <f>COUNTIFS($Z$6:$Z90,$AR$5,$AA$6:$AA90,"?*")</f>
        <v>0</v>
      </c>
      <c r="AR90" t="str">
        <f t="shared" si="28"/>
        <v/>
      </c>
      <c r="AS90">
        <f>COUNTIFS($Z$6:$Z90,$AT$5,$AA$6:$AA90,"?*")</f>
        <v>0</v>
      </c>
      <c r="AT90" t="str">
        <f t="shared" si="29"/>
        <v/>
      </c>
      <c r="AU90">
        <f>COUNTIFS($Z$6:$Z90,$AV$5,$AA$6:$AA90,"?*")</f>
        <v>0</v>
      </c>
      <c r="AV90" t="str">
        <f t="shared" si="30"/>
        <v/>
      </c>
    </row>
    <row r="91" spans="6:48" x14ac:dyDescent="0.2">
      <c r="F91" t="str">
        <f>IF([1]Accounts!$D$92="","",[1]Accounts!$A$92)</f>
        <v/>
      </c>
      <c r="G91" t="str">
        <f>IF([1]Accounts!$D$92="","",[1]Accounts!$B$92)</f>
        <v/>
      </c>
      <c r="H91" t="str">
        <f>IF([1]Accounts!$D$92="","",[1]Accounts!$C$92)</f>
        <v/>
      </c>
      <c r="I91" t="str">
        <f>IF([1]Accounts!$D$92="","",[1]Accounts!$D$92)</f>
        <v/>
      </c>
      <c r="Y91" t="str">
        <f>IF([1]SubGroups!$C$92="","",[1]SubGroups!$A$92)</f>
        <v/>
      </c>
      <c r="Z91" t="str">
        <f>IF([1]SubGroups!$C$92="","",[1]SubGroups!$B$92)</f>
        <v/>
      </c>
      <c r="AA91" t="str">
        <f>IF([1]SubGroups!$C$92="","",[1]SubGroups!$C$92)</f>
        <v/>
      </c>
      <c r="AC91">
        <f>COUNTIFS($Z$6:$Z91,$AD$5,$AA$6:$AA91,"?*")</f>
        <v>3</v>
      </c>
      <c r="AD91" t="str">
        <f t="shared" si="21"/>
        <v/>
      </c>
      <c r="AE91">
        <f>COUNTIFS($Z$6:$Z91,$AF$5,$AA$6:$AA91,"?*")</f>
        <v>0</v>
      </c>
      <c r="AF91" t="str">
        <f t="shared" si="22"/>
        <v/>
      </c>
      <c r="AG91">
        <f>COUNTIFS($Z$6:$Z91,$AH$5,$AA$6:$AA91,"?*")</f>
        <v>9</v>
      </c>
      <c r="AH91" t="str">
        <f t="shared" si="23"/>
        <v/>
      </c>
      <c r="AI91">
        <f>COUNTIFS($Z$6:$Z91,$AJ$5,$AA$6:$AA91,"?*")</f>
        <v>3</v>
      </c>
      <c r="AJ91" t="str">
        <f t="shared" si="24"/>
        <v/>
      </c>
      <c r="AK91">
        <f>COUNTIFS($Z$6:$Z91,$AL$5,$AA$6:$AA91,"?*")</f>
        <v>0</v>
      </c>
      <c r="AL91" t="str">
        <f t="shared" si="25"/>
        <v/>
      </c>
      <c r="AM91">
        <f>COUNTIFS($Z$6:$Z91,$AN$5,$AA$6:$AA91,"?*")</f>
        <v>0</v>
      </c>
      <c r="AN91" t="str">
        <f t="shared" si="26"/>
        <v/>
      </c>
      <c r="AO91">
        <f>COUNTIFS($Z$6:$Z91,$AP$5,$AA$6:$AA91,"?*")</f>
        <v>0</v>
      </c>
      <c r="AP91" t="str">
        <f t="shared" si="27"/>
        <v/>
      </c>
      <c r="AQ91">
        <f>COUNTIFS($Z$6:$Z91,$AR$5,$AA$6:$AA91,"?*")</f>
        <v>0</v>
      </c>
      <c r="AR91" t="str">
        <f t="shared" si="28"/>
        <v/>
      </c>
      <c r="AS91">
        <f>COUNTIFS($Z$6:$Z91,$AT$5,$AA$6:$AA91,"?*")</f>
        <v>0</v>
      </c>
      <c r="AT91" t="str">
        <f t="shared" si="29"/>
        <v/>
      </c>
      <c r="AU91">
        <f>COUNTIFS($Z$6:$Z91,$AV$5,$AA$6:$AA91,"?*")</f>
        <v>0</v>
      </c>
      <c r="AV91" t="str">
        <f t="shared" si="30"/>
        <v/>
      </c>
    </row>
    <row r="92" spans="6:48" x14ac:dyDescent="0.2">
      <c r="F92" t="str">
        <f>IF([1]Accounts!$D$93="","",[1]Accounts!$A$93)</f>
        <v/>
      </c>
      <c r="G92" t="str">
        <f>IF([1]Accounts!$D$93="","",[1]Accounts!$B$93)</f>
        <v/>
      </c>
      <c r="H92" t="str">
        <f>IF([1]Accounts!$D$93="","",[1]Accounts!$C$93)</f>
        <v/>
      </c>
      <c r="I92" t="str">
        <f>IF([1]Accounts!$D$93="","",[1]Accounts!$D$93)</f>
        <v/>
      </c>
      <c r="Y92" t="str">
        <f>IF([1]SubGroups!$C$93="","",[1]SubGroups!$A$93)</f>
        <v/>
      </c>
      <c r="Z92" t="str">
        <f>IF([1]SubGroups!$C$93="","",[1]SubGroups!$B$93)</f>
        <v/>
      </c>
      <c r="AA92" t="str">
        <f>IF([1]SubGroups!$C$93="","",[1]SubGroups!$C$93)</f>
        <v/>
      </c>
      <c r="AC92">
        <f>COUNTIFS($Z$6:$Z92,$AD$5,$AA$6:$AA92,"?*")</f>
        <v>3</v>
      </c>
      <c r="AD92" t="str">
        <f t="shared" si="21"/>
        <v/>
      </c>
      <c r="AE92">
        <f>COUNTIFS($Z$6:$Z92,$AF$5,$AA$6:$AA92,"?*")</f>
        <v>0</v>
      </c>
      <c r="AF92" t="str">
        <f t="shared" si="22"/>
        <v/>
      </c>
      <c r="AG92">
        <f>COUNTIFS($Z$6:$Z92,$AH$5,$AA$6:$AA92,"?*")</f>
        <v>9</v>
      </c>
      <c r="AH92" t="str">
        <f t="shared" si="23"/>
        <v/>
      </c>
      <c r="AI92">
        <f>COUNTIFS($Z$6:$Z92,$AJ$5,$AA$6:$AA92,"?*")</f>
        <v>3</v>
      </c>
      <c r="AJ92" t="str">
        <f t="shared" si="24"/>
        <v/>
      </c>
      <c r="AK92">
        <f>COUNTIFS($Z$6:$Z92,$AL$5,$AA$6:$AA92,"?*")</f>
        <v>0</v>
      </c>
      <c r="AL92" t="str">
        <f t="shared" si="25"/>
        <v/>
      </c>
      <c r="AM92">
        <f>COUNTIFS($Z$6:$Z92,$AN$5,$AA$6:$AA92,"?*")</f>
        <v>0</v>
      </c>
      <c r="AN92" t="str">
        <f t="shared" si="26"/>
        <v/>
      </c>
      <c r="AO92">
        <f>COUNTIFS($Z$6:$Z92,$AP$5,$AA$6:$AA92,"?*")</f>
        <v>0</v>
      </c>
      <c r="AP92" t="str">
        <f t="shared" si="27"/>
        <v/>
      </c>
      <c r="AQ92">
        <f>COUNTIFS($Z$6:$Z92,$AR$5,$AA$6:$AA92,"?*")</f>
        <v>0</v>
      </c>
      <c r="AR92" t="str">
        <f t="shared" si="28"/>
        <v/>
      </c>
      <c r="AS92">
        <f>COUNTIFS($Z$6:$Z92,$AT$5,$AA$6:$AA92,"?*")</f>
        <v>0</v>
      </c>
      <c r="AT92" t="str">
        <f t="shared" si="29"/>
        <v/>
      </c>
      <c r="AU92">
        <f>COUNTIFS($Z$6:$Z92,$AV$5,$AA$6:$AA92,"?*")</f>
        <v>0</v>
      </c>
      <c r="AV92" t="str">
        <f t="shared" si="30"/>
        <v/>
      </c>
    </row>
    <row r="93" spans="6:48" x14ac:dyDescent="0.2">
      <c r="F93" t="str">
        <f>IF([1]Accounts!$D$94="","",[1]Accounts!$A$94)</f>
        <v/>
      </c>
      <c r="G93" t="str">
        <f>IF([1]Accounts!$D$94="","",[1]Accounts!$B$94)</f>
        <v/>
      </c>
      <c r="H93" t="str">
        <f>IF([1]Accounts!$D$94="","",[1]Accounts!$C$94)</f>
        <v/>
      </c>
      <c r="I93" t="str">
        <f>IF([1]Accounts!$D$94="","",[1]Accounts!$D$94)</f>
        <v/>
      </c>
      <c r="Y93" t="str">
        <f>IF([1]SubGroups!$C$94="","",[1]SubGroups!$A$94)</f>
        <v/>
      </c>
      <c r="Z93" t="str">
        <f>IF([1]SubGroups!$C$94="","",[1]SubGroups!$B$94)</f>
        <v/>
      </c>
      <c r="AA93" t="str">
        <f>IF([1]SubGroups!$C$94="","",[1]SubGroups!$C$94)</f>
        <v/>
      </c>
      <c r="AC93">
        <f>COUNTIFS($Z$6:$Z93,$AD$5,$AA$6:$AA93,"?*")</f>
        <v>3</v>
      </c>
      <c r="AD93" t="str">
        <f t="shared" si="21"/>
        <v/>
      </c>
      <c r="AE93">
        <f>COUNTIFS($Z$6:$Z93,$AF$5,$AA$6:$AA93,"?*")</f>
        <v>0</v>
      </c>
      <c r="AF93" t="str">
        <f t="shared" si="22"/>
        <v/>
      </c>
      <c r="AG93">
        <f>COUNTIFS($Z$6:$Z93,$AH$5,$AA$6:$AA93,"?*")</f>
        <v>9</v>
      </c>
      <c r="AH93" t="str">
        <f t="shared" si="23"/>
        <v/>
      </c>
      <c r="AI93">
        <f>COUNTIFS($Z$6:$Z93,$AJ$5,$AA$6:$AA93,"?*")</f>
        <v>3</v>
      </c>
      <c r="AJ93" t="str">
        <f t="shared" si="24"/>
        <v/>
      </c>
      <c r="AK93">
        <f>COUNTIFS($Z$6:$Z93,$AL$5,$AA$6:$AA93,"?*")</f>
        <v>0</v>
      </c>
      <c r="AL93" t="str">
        <f t="shared" si="25"/>
        <v/>
      </c>
      <c r="AM93">
        <f>COUNTIFS($Z$6:$Z93,$AN$5,$AA$6:$AA93,"?*")</f>
        <v>0</v>
      </c>
      <c r="AN93" t="str">
        <f t="shared" si="26"/>
        <v/>
      </c>
      <c r="AO93">
        <f>COUNTIFS($Z$6:$Z93,$AP$5,$AA$6:$AA93,"?*")</f>
        <v>0</v>
      </c>
      <c r="AP93" t="str">
        <f t="shared" si="27"/>
        <v/>
      </c>
      <c r="AQ93">
        <f>COUNTIFS($Z$6:$Z93,$AR$5,$AA$6:$AA93,"?*")</f>
        <v>0</v>
      </c>
      <c r="AR93" t="str">
        <f t="shared" si="28"/>
        <v/>
      </c>
      <c r="AS93">
        <f>COUNTIFS($Z$6:$Z93,$AT$5,$AA$6:$AA93,"?*")</f>
        <v>0</v>
      </c>
      <c r="AT93" t="str">
        <f t="shared" si="29"/>
        <v/>
      </c>
      <c r="AU93">
        <f>COUNTIFS($Z$6:$Z93,$AV$5,$AA$6:$AA93,"?*")</f>
        <v>0</v>
      </c>
      <c r="AV93" t="str">
        <f t="shared" si="30"/>
        <v/>
      </c>
    </row>
    <row r="94" spans="6:48" x14ac:dyDescent="0.2">
      <c r="F94" t="str">
        <f>IF([1]Accounts!$D$95="","",[1]Accounts!$A$95)</f>
        <v/>
      </c>
      <c r="G94" t="str">
        <f>IF([1]Accounts!$D$95="","",[1]Accounts!$B$95)</f>
        <v/>
      </c>
      <c r="H94" t="str">
        <f>IF([1]Accounts!$D$95="","",[1]Accounts!$C$95)</f>
        <v/>
      </c>
      <c r="I94" t="str">
        <f>IF([1]Accounts!$D$95="","",[1]Accounts!$D$95)</f>
        <v/>
      </c>
      <c r="Y94" t="str">
        <f>IF([1]SubGroups!$C$95="","",[1]SubGroups!$A$95)</f>
        <v/>
      </c>
      <c r="Z94" t="str">
        <f>IF([1]SubGroups!$C$95="","",[1]SubGroups!$B$95)</f>
        <v/>
      </c>
      <c r="AA94" t="str">
        <f>IF([1]SubGroups!$C$95="","",[1]SubGroups!$C$95)</f>
        <v/>
      </c>
      <c r="AC94">
        <f>COUNTIFS($Z$6:$Z94,$AD$5,$AA$6:$AA94,"?*")</f>
        <v>3</v>
      </c>
      <c r="AD94" t="str">
        <f t="shared" si="21"/>
        <v/>
      </c>
      <c r="AE94">
        <f>COUNTIFS($Z$6:$Z94,$AF$5,$AA$6:$AA94,"?*")</f>
        <v>0</v>
      </c>
      <c r="AF94" t="str">
        <f t="shared" si="22"/>
        <v/>
      </c>
      <c r="AG94">
        <f>COUNTIFS($Z$6:$Z94,$AH$5,$AA$6:$AA94,"?*")</f>
        <v>9</v>
      </c>
      <c r="AH94" t="str">
        <f t="shared" si="23"/>
        <v/>
      </c>
      <c r="AI94">
        <f>COUNTIFS($Z$6:$Z94,$AJ$5,$AA$6:$AA94,"?*")</f>
        <v>3</v>
      </c>
      <c r="AJ94" t="str">
        <f t="shared" si="24"/>
        <v/>
      </c>
      <c r="AK94">
        <f>COUNTIFS($Z$6:$Z94,$AL$5,$AA$6:$AA94,"?*")</f>
        <v>0</v>
      </c>
      <c r="AL94" t="str">
        <f t="shared" si="25"/>
        <v/>
      </c>
      <c r="AM94">
        <f>COUNTIFS($Z$6:$Z94,$AN$5,$AA$6:$AA94,"?*")</f>
        <v>0</v>
      </c>
      <c r="AN94" t="str">
        <f t="shared" si="26"/>
        <v/>
      </c>
      <c r="AO94">
        <f>COUNTIFS($Z$6:$Z94,$AP$5,$AA$6:$AA94,"?*")</f>
        <v>0</v>
      </c>
      <c r="AP94" t="str">
        <f t="shared" si="27"/>
        <v/>
      </c>
      <c r="AQ94">
        <f>COUNTIFS($Z$6:$Z94,$AR$5,$AA$6:$AA94,"?*")</f>
        <v>0</v>
      </c>
      <c r="AR94" t="str">
        <f t="shared" si="28"/>
        <v/>
      </c>
      <c r="AS94">
        <f>COUNTIFS($Z$6:$Z94,$AT$5,$AA$6:$AA94,"?*")</f>
        <v>0</v>
      </c>
      <c r="AT94" t="str">
        <f t="shared" si="29"/>
        <v/>
      </c>
      <c r="AU94">
        <f>COUNTIFS($Z$6:$Z94,$AV$5,$AA$6:$AA94,"?*")</f>
        <v>0</v>
      </c>
      <c r="AV94" t="str">
        <f t="shared" si="30"/>
        <v/>
      </c>
    </row>
    <row r="95" spans="6:48" x14ac:dyDescent="0.2">
      <c r="F95" t="str">
        <f>IF([1]Accounts!$D$96="","",[1]Accounts!$A$96)</f>
        <v/>
      </c>
      <c r="G95" t="str">
        <f>IF([1]Accounts!$D$96="","",[1]Accounts!$B$96)</f>
        <v/>
      </c>
      <c r="H95" t="str">
        <f>IF([1]Accounts!$D$96="","",[1]Accounts!$C$96)</f>
        <v/>
      </c>
      <c r="I95" t="str">
        <f>IF([1]Accounts!$D$96="","",[1]Accounts!$D$96)</f>
        <v/>
      </c>
      <c r="Y95" t="str">
        <f>IF([1]SubGroups!$C$96="","",[1]SubGroups!$A$96)</f>
        <v/>
      </c>
      <c r="Z95" t="str">
        <f>IF([1]SubGroups!$C$96="","",[1]SubGroups!$B$96)</f>
        <v/>
      </c>
      <c r="AA95" t="str">
        <f>IF([1]SubGroups!$C$96="","",[1]SubGroups!$C$96)</f>
        <v/>
      </c>
      <c r="AC95">
        <f>COUNTIFS($Z$6:$Z95,$AD$5,$AA$6:$AA95,"?*")</f>
        <v>3</v>
      </c>
      <c r="AD95" t="str">
        <f t="shared" si="21"/>
        <v/>
      </c>
      <c r="AE95">
        <f>COUNTIFS($Z$6:$Z95,$AF$5,$AA$6:$AA95,"?*")</f>
        <v>0</v>
      </c>
      <c r="AF95" t="str">
        <f t="shared" si="22"/>
        <v/>
      </c>
      <c r="AG95">
        <f>COUNTIFS($Z$6:$Z95,$AH$5,$AA$6:$AA95,"?*")</f>
        <v>9</v>
      </c>
      <c r="AH95" t="str">
        <f t="shared" si="23"/>
        <v/>
      </c>
      <c r="AI95">
        <f>COUNTIFS($Z$6:$Z95,$AJ$5,$AA$6:$AA95,"?*")</f>
        <v>3</v>
      </c>
      <c r="AJ95" t="str">
        <f t="shared" si="24"/>
        <v/>
      </c>
      <c r="AK95">
        <f>COUNTIFS($Z$6:$Z95,$AL$5,$AA$6:$AA95,"?*")</f>
        <v>0</v>
      </c>
      <c r="AL95" t="str">
        <f t="shared" si="25"/>
        <v/>
      </c>
      <c r="AM95">
        <f>COUNTIFS($Z$6:$Z95,$AN$5,$AA$6:$AA95,"?*")</f>
        <v>0</v>
      </c>
      <c r="AN95" t="str">
        <f t="shared" si="26"/>
        <v/>
      </c>
      <c r="AO95">
        <f>COUNTIFS($Z$6:$Z95,$AP$5,$AA$6:$AA95,"?*")</f>
        <v>0</v>
      </c>
      <c r="AP95" t="str">
        <f t="shared" si="27"/>
        <v/>
      </c>
      <c r="AQ95">
        <f>COUNTIFS($Z$6:$Z95,$AR$5,$AA$6:$AA95,"?*")</f>
        <v>0</v>
      </c>
      <c r="AR95" t="str">
        <f t="shared" si="28"/>
        <v/>
      </c>
      <c r="AS95">
        <f>COUNTIFS($Z$6:$Z95,$AT$5,$AA$6:$AA95,"?*")</f>
        <v>0</v>
      </c>
      <c r="AT95" t="str">
        <f t="shared" si="29"/>
        <v/>
      </c>
      <c r="AU95">
        <f>COUNTIFS($Z$6:$Z95,$AV$5,$AA$6:$AA95,"?*")</f>
        <v>0</v>
      </c>
      <c r="AV95" t="str">
        <f t="shared" si="30"/>
        <v/>
      </c>
    </row>
    <row r="96" spans="6:48" x14ac:dyDescent="0.2">
      <c r="F96" t="str">
        <f>IF([1]Accounts!$D$97="","",[1]Accounts!$A$97)</f>
        <v/>
      </c>
      <c r="G96" t="str">
        <f>IF([1]Accounts!$D$97="","",[1]Accounts!$B$97)</f>
        <v/>
      </c>
      <c r="H96" t="str">
        <f>IF([1]Accounts!$D$97="","",[1]Accounts!$C$97)</f>
        <v/>
      </c>
      <c r="I96" t="str">
        <f>IF([1]Accounts!$D$97="","",[1]Accounts!$D$97)</f>
        <v/>
      </c>
      <c r="Y96" t="str">
        <f>IF([1]SubGroups!$C$97="","",[1]SubGroups!$A$97)</f>
        <v/>
      </c>
      <c r="Z96" t="str">
        <f>IF([1]SubGroups!$C$97="","",[1]SubGroups!$B$97)</f>
        <v/>
      </c>
      <c r="AA96" t="str">
        <f>IF([1]SubGroups!$C$97="","",[1]SubGroups!$C$97)</f>
        <v/>
      </c>
      <c r="AC96">
        <f>COUNTIFS($Z$6:$Z96,$AD$5,$AA$6:$AA96,"?*")</f>
        <v>3</v>
      </c>
      <c r="AD96" t="str">
        <f t="shared" si="21"/>
        <v/>
      </c>
      <c r="AE96">
        <f>COUNTIFS($Z$6:$Z96,$AF$5,$AA$6:$AA96,"?*")</f>
        <v>0</v>
      </c>
      <c r="AF96" t="str">
        <f t="shared" si="22"/>
        <v/>
      </c>
      <c r="AG96">
        <f>COUNTIFS($Z$6:$Z96,$AH$5,$AA$6:$AA96,"?*")</f>
        <v>9</v>
      </c>
      <c r="AH96" t="str">
        <f t="shared" si="23"/>
        <v/>
      </c>
      <c r="AI96">
        <f>COUNTIFS($Z$6:$Z96,$AJ$5,$AA$6:$AA96,"?*")</f>
        <v>3</v>
      </c>
      <c r="AJ96" t="str">
        <f t="shared" si="24"/>
        <v/>
      </c>
      <c r="AK96">
        <f>COUNTIFS($Z$6:$Z96,$AL$5,$AA$6:$AA96,"?*")</f>
        <v>0</v>
      </c>
      <c r="AL96" t="str">
        <f t="shared" si="25"/>
        <v/>
      </c>
      <c r="AM96">
        <f>COUNTIFS($Z$6:$Z96,$AN$5,$AA$6:$AA96,"?*")</f>
        <v>0</v>
      </c>
      <c r="AN96" t="str">
        <f t="shared" si="26"/>
        <v/>
      </c>
      <c r="AO96">
        <f>COUNTIFS($Z$6:$Z96,$AP$5,$AA$6:$AA96,"?*")</f>
        <v>0</v>
      </c>
      <c r="AP96" t="str">
        <f t="shared" si="27"/>
        <v/>
      </c>
      <c r="AQ96">
        <f>COUNTIFS($Z$6:$Z96,$AR$5,$AA$6:$AA96,"?*")</f>
        <v>0</v>
      </c>
      <c r="AR96" t="str">
        <f t="shared" si="28"/>
        <v/>
      </c>
      <c r="AS96">
        <f>COUNTIFS($Z$6:$Z96,$AT$5,$AA$6:$AA96,"?*")</f>
        <v>0</v>
      </c>
      <c r="AT96" t="str">
        <f t="shared" si="29"/>
        <v/>
      </c>
      <c r="AU96">
        <f>COUNTIFS($Z$6:$Z96,$AV$5,$AA$6:$AA96,"?*")</f>
        <v>0</v>
      </c>
      <c r="AV96" t="str">
        <f t="shared" si="30"/>
        <v/>
      </c>
    </row>
    <row r="97" spans="6:48" x14ac:dyDescent="0.2">
      <c r="F97" t="str">
        <f>IF([1]Accounts!$D$98="","",[1]Accounts!$A$98)</f>
        <v/>
      </c>
      <c r="G97" t="str">
        <f>IF([1]Accounts!$D$98="","",[1]Accounts!$B$98)</f>
        <v/>
      </c>
      <c r="H97" t="str">
        <f>IF([1]Accounts!$D$98="","",[1]Accounts!$C$98)</f>
        <v/>
      </c>
      <c r="I97" t="str">
        <f>IF([1]Accounts!$D$98="","",[1]Accounts!$D$98)</f>
        <v/>
      </c>
      <c r="Y97" t="str">
        <f>IF([1]SubGroups!$C$98="","",[1]SubGroups!$A$98)</f>
        <v/>
      </c>
      <c r="Z97" t="str">
        <f>IF([1]SubGroups!$C$98="","",[1]SubGroups!$B$98)</f>
        <v/>
      </c>
      <c r="AA97" t="str">
        <f>IF([1]SubGroups!$C$98="","",[1]SubGroups!$C$98)</f>
        <v/>
      </c>
      <c r="AC97">
        <f>COUNTIFS($Z$6:$Z97,$AD$5,$AA$6:$AA97,"?*")</f>
        <v>3</v>
      </c>
      <c r="AD97" t="str">
        <f t="shared" si="21"/>
        <v/>
      </c>
      <c r="AE97">
        <f>COUNTIFS($Z$6:$Z97,$AF$5,$AA$6:$AA97,"?*")</f>
        <v>0</v>
      </c>
      <c r="AF97" t="str">
        <f t="shared" si="22"/>
        <v/>
      </c>
      <c r="AG97">
        <f>COUNTIFS($Z$6:$Z97,$AH$5,$AA$6:$AA97,"?*")</f>
        <v>9</v>
      </c>
      <c r="AH97" t="str">
        <f t="shared" si="23"/>
        <v/>
      </c>
      <c r="AI97">
        <f>COUNTIFS($Z$6:$Z97,$AJ$5,$AA$6:$AA97,"?*")</f>
        <v>3</v>
      </c>
      <c r="AJ97" t="str">
        <f t="shared" si="24"/>
        <v/>
      </c>
      <c r="AK97">
        <f>COUNTIFS($Z$6:$Z97,$AL$5,$AA$6:$AA97,"?*")</f>
        <v>0</v>
      </c>
      <c r="AL97" t="str">
        <f t="shared" si="25"/>
        <v/>
      </c>
      <c r="AM97">
        <f>COUNTIFS($Z$6:$Z97,$AN$5,$AA$6:$AA97,"?*")</f>
        <v>0</v>
      </c>
      <c r="AN97" t="str">
        <f t="shared" si="26"/>
        <v/>
      </c>
      <c r="AO97">
        <f>COUNTIFS($Z$6:$Z97,$AP$5,$AA$6:$AA97,"?*")</f>
        <v>0</v>
      </c>
      <c r="AP97" t="str">
        <f t="shared" si="27"/>
        <v/>
      </c>
      <c r="AQ97">
        <f>COUNTIFS($Z$6:$Z97,$AR$5,$AA$6:$AA97,"?*")</f>
        <v>0</v>
      </c>
      <c r="AR97" t="str">
        <f t="shared" si="28"/>
        <v/>
      </c>
      <c r="AS97">
        <f>COUNTIFS($Z$6:$Z97,$AT$5,$AA$6:$AA97,"?*")</f>
        <v>0</v>
      </c>
      <c r="AT97" t="str">
        <f t="shared" si="29"/>
        <v/>
      </c>
      <c r="AU97">
        <f>COUNTIFS($Z$6:$Z97,$AV$5,$AA$6:$AA97,"?*")</f>
        <v>0</v>
      </c>
      <c r="AV97" t="str">
        <f t="shared" si="30"/>
        <v/>
      </c>
    </row>
    <row r="98" spans="6:48" x14ac:dyDescent="0.2">
      <c r="F98" t="str">
        <f>IF([1]Accounts!$D$99="","",[1]Accounts!$A$99)</f>
        <v/>
      </c>
      <c r="G98" t="str">
        <f>IF([1]Accounts!$D$99="","",[1]Accounts!$B$99)</f>
        <v/>
      </c>
      <c r="H98" t="str">
        <f>IF([1]Accounts!$D$99="","",[1]Accounts!$C$99)</f>
        <v/>
      </c>
      <c r="I98" t="str">
        <f>IF([1]Accounts!$D$99="","",[1]Accounts!$D$99)</f>
        <v/>
      </c>
      <c r="Y98" t="str">
        <f>IF([1]SubGroups!$C$99="","",[1]SubGroups!$A$99)</f>
        <v/>
      </c>
      <c r="Z98" t="str">
        <f>IF([1]SubGroups!$C$99="","",[1]SubGroups!$B$99)</f>
        <v/>
      </c>
      <c r="AA98" t="str">
        <f>IF([1]SubGroups!$C$99="","",[1]SubGroups!$C$99)</f>
        <v/>
      </c>
      <c r="AC98">
        <f>COUNTIFS($Z$6:$Z98,$AD$5,$AA$6:$AA98,"?*")</f>
        <v>3</v>
      </c>
      <c r="AD98" t="str">
        <f t="shared" si="21"/>
        <v/>
      </c>
      <c r="AE98">
        <f>COUNTIFS($Z$6:$Z98,$AF$5,$AA$6:$AA98,"?*")</f>
        <v>0</v>
      </c>
      <c r="AF98" t="str">
        <f t="shared" si="22"/>
        <v/>
      </c>
      <c r="AG98">
        <f>COUNTIFS($Z$6:$Z98,$AH$5,$AA$6:$AA98,"?*")</f>
        <v>9</v>
      </c>
      <c r="AH98" t="str">
        <f t="shared" si="23"/>
        <v/>
      </c>
      <c r="AI98">
        <f>COUNTIFS($Z$6:$Z98,$AJ$5,$AA$6:$AA98,"?*")</f>
        <v>3</v>
      </c>
      <c r="AJ98" t="str">
        <f t="shared" si="24"/>
        <v/>
      </c>
      <c r="AK98">
        <f>COUNTIFS($Z$6:$Z98,$AL$5,$AA$6:$AA98,"?*")</f>
        <v>0</v>
      </c>
      <c r="AL98" t="str">
        <f t="shared" si="25"/>
        <v/>
      </c>
      <c r="AM98">
        <f>COUNTIFS($Z$6:$Z98,$AN$5,$AA$6:$AA98,"?*")</f>
        <v>0</v>
      </c>
      <c r="AN98" t="str">
        <f t="shared" si="26"/>
        <v/>
      </c>
      <c r="AO98">
        <f>COUNTIFS($Z$6:$Z98,$AP$5,$AA$6:$AA98,"?*")</f>
        <v>0</v>
      </c>
      <c r="AP98" t="str">
        <f t="shared" si="27"/>
        <v/>
      </c>
      <c r="AQ98">
        <f>COUNTIFS($Z$6:$Z98,$AR$5,$AA$6:$AA98,"?*")</f>
        <v>0</v>
      </c>
      <c r="AR98" t="str">
        <f t="shared" si="28"/>
        <v/>
      </c>
      <c r="AS98">
        <f>COUNTIFS($Z$6:$Z98,$AT$5,$AA$6:$AA98,"?*")</f>
        <v>0</v>
      </c>
      <c r="AT98" t="str">
        <f t="shared" si="29"/>
        <v/>
      </c>
      <c r="AU98">
        <f>COUNTIFS($Z$6:$Z98,$AV$5,$AA$6:$AA98,"?*")</f>
        <v>0</v>
      </c>
      <c r="AV98" t="str">
        <f t="shared" si="30"/>
        <v/>
      </c>
    </row>
    <row r="99" spans="6:48" x14ac:dyDescent="0.2">
      <c r="F99" t="str">
        <f>IF([1]Accounts!$D$100="","",[1]Accounts!$A$100)</f>
        <v/>
      </c>
      <c r="G99" t="str">
        <f>IF([1]Accounts!$D$100="","",[1]Accounts!$B$100)</f>
        <v/>
      </c>
      <c r="H99" t="str">
        <f>IF([1]Accounts!$D$100="","",[1]Accounts!$C$100)</f>
        <v/>
      </c>
      <c r="I99" t="str">
        <f>IF([1]Accounts!$D$100="","",[1]Accounts!$D$100)</f>
        <v/>
      </c>
      <c r="Y99" t="str">
        <f>IF([1]SubGroups!$C$100="","",[1]SubGroups!$A$100)</f>
        <v/>
      </c>
      <c r="Z99" t="str">
        <f>IF([1]SubGroups!$C$100="","",[1]SubGroups!$B$100)</f>
        <v/>
      </c>
      <c r="AA99" t="str">
        <f>IF([1]SubGroups!$C$100="","",[1]SubGroups!$C$100)</f>
        <v/>
      </c>
      <c r="AC99">
        <f>COUNTIFS($Z$6:$Z99,$AD$5,$AA$6:$AA99,"?*")</f>
        <v>3</v>
      </c>
      <c r="AD99" t="str">
        <f t="shared" si="21"/>
        <v/>
      </c>
      <c r="AE99">
        <f>COUNTIFS($Z$6:$Z99,$AF$5,$AA$6:$AA99,"?*")</f>
        <v>0</v>
      </c>
      <c r="AF99" t="str">
        <f t="shared" si="22"/>
        <v/>
      </c>
      <c r="AG99">
        <f>COUNTIFS($Z$6:$Z99,$AH$5,$AA$6:$AA99,"?*")</f>
        <v>9</v>
      </c>
      <c r="AH99" t="str">
        <f t="shared" si="23"/>
        <v/>
      </c>
      <c r="AI99">
        <f>COUNTIFS($Z$6:$Z99,$AJ$5,$AA$6:$AA99,"?*")</f>
        <v>3</v>
      </c>
      <c r="AJ99" t="str">
        <f t="shared" si="24"/>
        <v/>
      </c>
      <c r="AK99">
        <f>COUNTIFS($Z$6:$Z99,$AL$5,$AA$6:$AA99,"?*")</f>
        <v>0</v>
      </c>
      <c r="AL99" t="str">
        <f t="shared" si="25"/>
        <v/>
      </c>
      <c r="AM99">
        <f>COUNTIFS($Z$6:$Z99,$AN$5,$AA$6:$AA99,"?*")</f>
        <v>0</v>
      </c>
      <c r="AN99" t="str">
        <f t="shared" si="26"/>
        <v/>
      </c>
      <c r="AO99">
        <f>COUNTIFS($Z$6:$Z99,$AP$5,$AA$6:$AA99,"?*")</f>
        <v>0</v>
      </c>
      <c r="AP99" t="str">
        <f t="shared" si="27"/>
        <v/>
      </c>
      <c r="AQ99">
        <f>COUNTIFS($Z$6:$Z99,$AR$5,$AA$6:$AA99,"?*")</f>
        <v>0</v>
      </c>
      <c r="AR99" t="str">
        <f t="shared" si="28"/>
        <v/>
      </c>
      <c r="AS99">
        <f>COUNTIFS($Z$6:$Z99,$AT$5,$AA$6:$AA99,"?*")</f>
        <v>0</v>
      </c>
      <c r="AT99" t="str">
        <f t="shared" si="29"/>
        <v/>
      </c>
      <c r="AU99">
        <f>COUNTIFS($Z$6:$Z99,$AV$5,$AA$6:$AA99,"?*")</f>
        <v>0</v>
      </c>
      <c r="AV99" t="str">
        <f t="shared" si="30"/>
        <v/>
      </c>
    </row>
    <row r="100" spans="6:48" x14ac:dyDescent="0.2">
      <c r="F100" t="str">
        <f>IF([1]Accounts!$D$101="","",[1]Accounts!$A$101)</f>
        <v/>
      </c>
      <c r="G100" t="str">
        <f>IF([1]Accounts!$D$101="","",[1]Accounts!$B$101)</f>
        <v/>
      </c>
      <c r="H100" t="str">
        <f>IF([1]Accounts!$D$101="","",[1]Accounts!$C$101)</f>
        <v/>
      </c>
      <c r="I100" t="str">
        <f>IF([1]Accounts!$D$101="","",[1]Accounts!$D$101)</f>
        <v/>
      </c>
      <c r="Y100" t="str">
        <f>IF([1]SubGroups!$C$101="","",[1]SubGroups!$A$101)</f>
        <v/>
      </c>
      <c r="Z100" t="str">
        <f>IF([1]SubGroups!$C$101="","",[1]SubGroups!$B$101)</f>
        <v/>
      </c>
      <c r="AA100" t="str">
        <f>IF([1]SubGroups!$C$101="","",[1]SubGroups!$C$101)</f>
        <v/>
      </c>
      <c r="AC100">
        <f>COUNTIFS($Z$6:$Z100,$AD$5,$AA$6:$AA100,"?*")</f>
        <v>3</v>
      </c>
      <c r="AD100" t="str">
        <f t="shared" si="21"/>
        <v/>
      </c>
      <c r="AE100">
        <f>COUNTIFS($Z$6:$Z100,$AF$5,$AA$6:$AA100,"?*")</f>
        <v>0</v>
      </c>
      <c r="AF100" t="str">
        <f t="shared" si="22"/>
        <v/>
      </c>
      <c r="AG100">
        <f>COUNTIFS($Z$6:$Z100,$AH$5,$AA$6:$AA100,"?*")</f>
        <v>9</v>
      </c>
      <c r="AH100" t="str">
        <f t="shared" si="23"/>
        <v/>
      </c>
      <c r="AI100">
        <f>COUNTIFS($Z$6:$Z100,$AJ$5,$AA$6:$AA100,"?*")</f>
        <v>3</v>
      </c>
      <c r="AJ100" t="str">
        <f t="shared" si="24"/>
        <v/>
      </c>
      <c r="AK100">
        <f>COUNTIFS($Z$6:$Z100,$AL$5,$AA$6:$AA100,"?*")</f>
        <v>0</v>
      </c>
      <c r="AL100" t="str">
        <f t="shared" si="25"/>
        <v/>
      </c>
      <c r="AM100">
        <f>COUNTIFS($Z$6:$Z100,$AN$5,$AA$6:$AA100,"?*")</f>
        <v>0</v>
      </c>
      <c r="AN100" t="str">
        <f t="shared" si="26"/>
        <v/>
      </c>
      <c r="AO100">
        <f>COUNTIFS($Z$6:$Z100,$AP$5,$AA$6:$AA100,"?*")</f>
        <v>0</v>
      </c>
      <c r="AP100" t="str">
        <f t="shared" si="27"/>
        <v/>
      </c>
      <c r="AQ100">
        <f>COUNTIFS($Z$6:$Z100,$AR$5,$AA$6:$AA100,"?*")</f>
        <v>0</v>
      </c>
      <c r="AR100" t="str">
        <f t="shared" si="28"/>
        <v/>
      </c>
      <c r="AS100">
        <f>COUNTIFS($Z$6:$Z100,$AT$5,$AA$6:$AA100,"?*")</f>
        <v>0</v>
      </c>
      <c r="AT100" t="str">
        <f t="shared" si="29"/>
        <v/>
      </c>
      <c r="AU100">
        <f>COUNTIFS($Z$6:$Z100,$AV$5,$AA$6:$AA100,"?*")</f>
        <v>0</v>
      </c>
      <c r="AV100" t="str">
        <f t="shared" si="30"/>
        <v/>
      </c>
    </row>
    <row r="101" spans="6:48" x14ac:dyDescent="0.2">
      <c r="F101" t="str">
        <f>IF([1]Accounts!$D$102="","",[1]Accounts!$A$102)</f>
        <v/>
      </c>
      <c r="G101" t="str">
        <f>IF([1]Accounts!$D$102="","",[1]Accounts!$B$102)</f>
        <v/>
      </c>
      <c r="H101" t="str">
        <f>IF([1]Accounts!$D$102="","",[1]Accounts!$C$102)</f>
        <v/>
      </c>
      <c r="I101" t="str">
        <f>IF([1]Accounts!$D$102="","",[1]Accounts!$D$102)</f>
        <v/>
      </c>
      <c r="Y101" t="str">
        <f>IF([1]SubGroups!$C$102="","",[1]SubGroups!$A$102)</f>
        <v/>
      </c>
      <c r="Z101" t="str">
        <f>IF([1]SubGroups!$C$102="","",[1]SubGroups!$B$102)</f>
        <v/>
      </c>
      <c r="AA101" t="str">
        <f>IF([1]SubGroups!$C$102="","",[1]SubGroups!$C$102)</f>
        <v/>
      </c>
      <c r="AC101">
        <f>COUNTIFS($Z$6:$Z101,$AD$5,$AA$6:$AA101,"?*")</f>
        <v>3</v>
      </c>
      <c r="AD101" t="str">
        <f t="shared" si="21"/>
        <v/>
      </c>
      <c r="AE101">
        <f>COUNTIFS($Z$6:$Z101,$AF$5,$AA$6:$AA101,"?*")</f>
        <v>0</v>
      </c>
      <c r="AF101" t="str">
        <f t="shared" si="22"/>
        <v/>
      </c>
      <c r="AG101">
        <f>COUNTIFS($Z$6:$Z101,$AH$5,$AA$6:$AA101,"?*")</f>
        <v>9</v>
      </c>
      <c r="AH101" t="str">
        <f t="shared" si="23"/>
        <v/>
      </c>
      <c r="AI101">
        <f>COUNTIFS($Z$6:$Z101,$AJ$5,$AA$6:$AA101,"?*")</f>
        <v>3</v>
      </c>
      <c r="AJ101" t="str">
        <f t="shared" si="24"/>
        <v/>
      </c>
      <c r="AK101">
        <f>COUNTIFS($Z$6:$Z101,$AL$5,$AA$6:$AA101,"?*")</f>
        <v>0</v>
      </c>
      <c r="AL101" t="str">
        <f t="shared" si="25"/>
        <v/>
      </c>
      <c r="AM101">
        <f>COUNTIFS($Z$6:$Z101,$AN$5,$AA$6:$AA101,"?*")</f>
        <v>0</v>
      </c>
      <c r="AN101" t="str">
        <f t="shared" si="26"/>
        <v/>
      </c>
      <c r="AO101">
        <f>COUNTIFS($Z$6:$Z101,$AP$5,$AA$6:$AA101,"?*")</f>
        <v>0</v>
      </c>
      <c r="AP101" t="str">
        <f t="shared" si="27"/>
        <v/>
      </c>
      <c r="AQ101">
        <f>COUNTIFS($Z$6:$Z101,$AR$5,$AA$6:$AA101,"?*")</f>
        <v>0</v>
      </c>
      <c r="AR101" t="str">
        <f t="shared" si="28"/>
        <v/>
      </c>
      <c r="AS101">
        <f>COUNTIFS($Z$6:$Z101,$AT$5,$AA$6:$AA101,"?*")</f>
        <v>0</v>
      </c>
      <c r="AT101" t="str">
        <f t="shared" si="29"/>
        <v/>
      </c>
      <c r="AU101">
        <f>COUNTIFS($Z$6:$Z101,$AV$5,$AA$6:$AA101,"?*")</f>
        <v>0</v>
      </c>
      <c r="AV101" t="str">
        <f t="shared" si="30"/>
        <v/>
      </c>
    </row>
    <row r="102" spans="6:48" x14ac:dyDescent="0.2">
      <c r="F102" t="str">
        <f>IF([1]Accounts!$D$103="","",[1]Accounts!$A$103)</f>
        <v/>
      </c>
      <c r="G102" t="str">
        <f>IF([1]Accounts!$D$103="","",[1]Accounts!$B$103)</f>
        <v/>
      </c>
      <c r="H102" t="str">
        <f>IF([1]Accounts!$D$103="","",[1]Accounts!$C$103)</f>
        <v/>
      </c>
      <c r="I102" t="str">
        <f>IF([1]Accounts!$D$103="","",[1]Accounts!$D$103)</f>
        <v/>
      </c>
      <c r="Y102" t="str">
        <f>IF([1]SubGroups!$C$103="","",[1]SubGroups!$A$103)</f>
        <v/>
      </c>
      <c r="Z102" t="str">
        <f>IF([1]SubGroups!$C$103="","",[1]SubGroups!$B$103)</f>
        <v/>
      </c>
      <c r="AA102" t="str">
        <f>IF([1]SubGroups!$C$103="","",[1]SubGroups!$C$103)</f>
        <v/>
      </c>
      <c r="AC102">
        <f>COUNTIFS($Z$6:$Z102,$AD$5,$AA$6:$AA102,"?*")</f>
        <v>3</v>
      </c>
      <c r="AD102" t="str">
        <f t="shared" si="21"/>
        <v/>
      </c>
      <c r="AE102">
        <f>COUNTIFS($Z$6:$Z102,$AF$5,$AA$6:$AA102,"?*")</f>
        <v>0</v>
      </c>
      <c r="AF102" t="str">
        <f t="shared" si="22"/>
        <v/>
      </c>
      <c r="AG102">
        <f>COUNTIFS($Z$6:$Z102,$AH$5,$AA$6:$AA102,"?*")</f>
        <v>9</v>
      </c>
      <c r="AH102" t="str">
        <f t="shared" si="23"/>
        <v/>
      </c>
      <c r="AI102">
        <f>COUNTIFS($Z$6:$Z102,$AJ$5,$AA$6:$AA102,"?*")</f>
        <v>3</v>
      </c>
      <c r="AJ102" t="str">
        <f t="shared" si="24"/>
        <v/>
      </c>
      <c r="AK102">
        <f>COUNTIFS($Z$6:$Z102,$AL$5,$AA$6:$AA102,"?*")</f>
        <v>0</v>
      </c>
      <c r="AL102" t="str">
        <f t="shared" si="25"/>
        <v/>
      </c>
      <c r="AM102">
        <f>COUNTIFS($Z$6:$Z102,$AN$5,$AA$6:$AA102,"?*")</f>
        <v>0</v>
      </c>
      <c r="AN102" t="str">
        <f t="shared" si="26"/>
        <v/>
      </c>
      <c r="AO102">
        <f>COUNTIFS($Z$6:$Z102,$AP$5,$AA$6:$AA102,"?*")</f>
        <v>0</v>
      </c>
      <c r="AP102" t="str">
        <f t="shared" si="27"/>
        <v/>
      </c>
      <c r="AQ102">
        <f>COUNTIFS($Z$6:$Z102,$AR$5,$AA$6:$AA102,"?*")</f>
        <v>0</v>
      </c>
      <c r="AR102" t="str">
        <f t="shared" si="28"/>
        <v/>
      </c>
      <c r="AS102">
        <f>COUNTIFS($Z$6:$Z102,$AT$5,$AA$6:$AA102,"?*")</f>
        <v>0</v>
      </c>
      <c r="AT102" t="str">
        <f t="shared" si="29"/>
        <v/>
      </c>
      <c r="AU102">
        <f>COUNTIFS($Z$6:$Z102,$AV$5,$AA$6:$AA102,"?*")</f>
        <v>0</v>
      </c>
      <c r="AV102" t="str">
        <f t="shared" si="30"/>
        <v/>
      </c>
    </row>
    <row r="103" spans="6:48" x14ac:dyDescent="0.2">
      <c r="F103" t="str">
        <f>IF([1]Accounts!$D$104="","",[1]Accounts!$A$104)</f>
        <v/>
      </c>
      <c r="G103" t="str">
        <f>IF([1]Accounts!$D$104="","",[1]Accounts!$B$104)</f>
        <v/>
      </c>
      <c r="H103" t="str">
        <f>IF([1]Accounts!$D$104="","",[1]Accounts!$C$104)</f>
        <v/>
      </c>
      <c r="I103" t="str">
        <f>IF([1]Accounts!$D$104="","",[1]Accounts!$D$104)</f>
        <v/>
      </c>
      <c r="Y103" t="str">
        <f>IF([1]SubGroups!$C$104="","",[1]SubGroups!$A$104)</f>
        <v/>
      </c>
      <c r="Z103" t="str">
        <f>IF([1]SubGroups!$C$104="","",[1]SubGroups!$B$104)</f>
        <v/>
      </c>
      <c r="AA103" t="str">
        <f>IF([1]SubGroups!$C$104="","",[1]SubGroups!$C$104)</f>
        <v/>
      </c>
      <c r="AC103">
        <f>COUNTIFS($Z$6:$Z103,$AD$5,$AA$6:$AA103,"?*")</f>
        <v>3</v>
      </c>
      <c r="AD103" t="str">
        <f t="shared" si="21"/>
        <v/>
      </c>
      <c r="AE103">
        <f>COUNTIFS($Z$6:$Z103,$AF$5,$AA$6:$AA103,"?*")</f>
        <v>0</v>
      </c>
      <c r="AF103" t="str">
        <f t="shared" si="22"/>
        <v/>
      </c>
      <c r="AG103">
        <f>COUNTIFS($Z$6:$Z103,$AH$5,$AA$6:$AA103,"?*")</f>
        <v>9</v>
      </c>
      <c r="AH103" t="str">
        <f t="shared" si="23"/>
        <v/>
      </c>
      <c r="AI103">
        <f>COUNTIFS($Z$6:$Z103,$AJ$5,$AA$6:$AA103,"?*")</f>
        <v>3</v>
      </c>
      <c r="AJ103" t="str">
        <f t="shared" si="24"/>
        <v/>
      </c>
      <c r="AK103">
        <f>COUNTIFS($Z$6:$Z103,$AL$5,$AA$6:$AA103,"?*")</f>
        <v>0</v>
      </c>
      <c r="AL103" t="str">
        <f t="shared" si="25"/>
        <v/>
      </c>
      <c r="AM103">
        <f>COUNTIFS($Z$6:$Z103,$AN$5,$AA$6:$AA103,"?*")</f>
        <v>0</v>
      </c>
      <c r="AN103" t="str">
        <f t="shared" si="26"/>
        <v/>
      </c>
      <c r="AO103">
        <f>COUNTIFS($Z$6:$Z103,$AP$5,$AA$6:$AA103,"?*")</f>
        <v>0</v>
      </c>
      <c r="AP103" t="str">
        <f t="shared" si="27"/>
        <v/>
      </c>
      <c r="AQ103">
        <f>COUNTIFS($Z$6:$Z103,$AR$5,$AA$6:$AA103,"?*")</f>
        <v>0</v>
      </c>
      <c r="AR103" t="str">
        <f t="shared" si="28"/>
        <v/>
      </c>
      <c r="AS103">
        <f>COUNTIFS($Z$6:$Z103,$AT$5,$AA$6:$AA103,"?*")</f>
        <v>0</v>
      </c>
      <c r="AT103" t="str">
        <f t="shared" si="29"/>
        <v/>
      </c>
      <c r="AU103">
        <f>COUNTIFS($Z$6:$Z103,$AV$5,$AA$6:$AA103,"?*")</f>
        <v>0</v>
      </c>
      <c r="AV103" t="str">
        <f t="shared" si="30"/>
        <v/>
      </c>
    </row>
    <row r="104" spans="6:48" x14ac:dyDescent="0.2">
      <c r="F104" t="str">
        <f>IF([1]Accounts!$D$105="","",[1]Accounts!$A$105)</f>
        <v/>
      </c>
      <c r="G104" t="str">
        <f>IF([1]Accounts!$D$105="","",[1]Accounts!$B$105)</f>
        <v/>
      </c>
      <c r="H104" t="str">
        <f>IF([1]Accounts!$D$105="","",[1]Accounts!$C$105)</f>
        <v/>
      </c>
      <c r="I104" t="str">
        <f>IF([1]Accounts!$D$105="","",[1]Accounts!$D$105)</f>
        <v/>
      </c>
      <c r="Y104" t="str">
        <f>IF([1]SubGroups!$C$105="","",[1]SubGroups!$A$105)</f>
        <v/>
      </c>
      <c r="Z104" t="str">
        <f>IF([1]SubGroups!$C$105="","",[1]SubGroups!$B$105)</f>
        <v/>
      </c>
      <c r="AA104" t="str">
        <f>IF([1]SubGroups!$C$105="","",[1]SubGroups!$C$105)</f>
        <v/>
      </c>
      <c r="AC104">
        <f>COUNTIFS($Z$6:$Z104,$AD$5,$AA$6:$AA104,"?*")</f>
        <v>3</v>
      </c>
      <c r="AD104" t="str">
        <f t="shared" si="21"/>
        <v/>
      </c>
      <c r="AE104">
        <f>COUNTIFS($Z$6:$Z104,$AF$5,$AA$6:$AA104,"?*")</f>
        <v>0</v>
      </c>
      <c r="AF104" t="str">
        <f t="shared" si="22"/>
        <v/>
      </c>
      <c r="AG104">
        <f>COUNTIFS($Z$6:$Z104,$AH$5,$AA$6:$AA104,"?*")</f>
        <v>9</v>
      </c>
      <c r="AH104" t="str">
        <f t="shared" si="23"/>
        <v/>
      </c>
      <c r="AI104">
        <f>COUNTIFS($Z$6:$Z104,$AJ$5,$AA$6:$AA104,"?*")</f>
        <v>3</v>
      </c>
      <c r="AJ104" t="str">
        <f t="shared" si="24"/>
        <v/>
      </c>
      <c r="AK104">
        <f>COUNTIFS($Z$6:$Z104,$AL$5,$AA$6:$AA104,"?*")</f>
        <v>0</v>
      </c>
      <c r="AL104" t="str">
        <f t="shared" si="25"/>
        <v/>
      </c>
      <c r="AM104">
        <f>COUNTIFS($Z$6:$Z104,$AN$5,$AA$6:$AA104,"?*")</f>
        <v>0</v>
      </c>
      <c r="AN104" t="str">
        <f t="shared" si="26"/>
        <v/>
      </c>
      <c r="AO104">
        <f>COUNTIFS($Z$6:$Z104,$AP$5,$AA$6:$AA104,"?*")</f>
        <v>0</v>
      </c>
      <c r="AP104" t="str">
        <f t="shared" si="27"/>
        <v/>
      </c>
      <c r="AQ104">
        <f>COUNTIFS($Z$6:$Z104,$AR$5,$AA$6:$AA104,"?*")</f>
        <v>0</v>
      </c>
      <c r="AR104" t="str">
        <f t="shared" si="28"/>
        <v/>
      </c>
      <c r="AS104">
        <f>COUNTIFS($Z$6:$Z104,$AT$5,$AA$6:$AA104,"?*")</f>
        <v>0</v>
      </c>
      <c r="AT104" t="str">
        <f t="shared" si="29"/>
        <v/>
      </c>
      <c r="AU104">
        <f>COUNTIFS($Z$6:$Z104,$AV$5,$AA$6:$AA104,"?*")</f>
        <v>0</v>
      </c>
      <c r="AV104" t="str">
        <f t="shared" si="30"/>
        <v/>
      </c>
    </row>
    <row r="105" spans="6:48" x14ac:dyDescent="0.2">
      <c r="F105" t="str">
        <f>IF([1]Accounts!$D$106="","",[1]Accounts!$A$106)</f>
        <v/>
      </c>
      <c r="G105" t="str">
        <f>IF([1]Accounts!$D$106="","",[1]Accounts!$B$106)</f>
        <v/>
      </c>
      <c r="H105" t="str">
        <f>IF([1]Accounts!$D$106="","",[1]Accounts!$C$106)</f>
        <v/>
      </c>
      <c r="I105" t="str">
        <f>IF([1]Accounts!$D$106="","",[1]Accounts!$D$106)</f>
        <v/>
      </c>
      <c r="Y105" t="str">
        <f>IF([1]SubGroups!$C$106="","",[1]SubGroups!$A$106)</f>
        <v/>
      </c>
      <c r="Z105" t="str">
        <f>IF([1]SubGroups!$C$106="","",[1]SubGroups!$B$106)</f>
        <v/>
      </c>
      <c r="AA105" t="str">
        <f>IF([1]SubGroups!$C$106="","",[1]SubGroups!$C$106)</f>
        <v/>
      </c>
      <c r="AC105">
        <f>COUNTIFS($Z$6:$Z105,$AD$5,$AA$6:$AA105,"?*")</f>
        <v>3</v>
      </c>
      <c r="AD105" t="str">
        <f t="shared" si="21"/>
        <v/>
      </c>
      <c r="AE105">
        <f>COUNTIFS($Z$6:$Z105,$AF$5,$AA$6:$AA105,"?*")</f>
        <v>0</v>
      </c>
      <c r="AF105" t="str">
        <f t="shared" si="22"/>
        <v/>
      </c>
      <c r="AG105">
        <f>COUNTIFS($Z$6:$Z105,$AH$5,$AA$6:$AA105,"?*")</f>
        <v>9</v>
      </c>
      <c r="AH105" t="str">
        <f t="shared" si="23"/>
        <v/>
      </c>
      <c r="AI105">
        <f>COUNTIFS($Z$6:$Z105,$AJ$5,$AA$6:$AA105,"?*")</f>
        <v>3</v>
      </c>
      <c r="AJ105" t="str">
        <f t="shared" si="24"/>
        <v/>
      </c>
      <c r="AK105">
        <f>COUNTIFS($Z$6:$Z105,$AL$5,$AA$6:$AA105,"?*")</f>
        <v>0</v>
      </c>
      <c r="AL105" t="str">
        <f t="shared" si="25"/>
        <v/>
      </c>
      <c r="AM105">
        <f>COUNTIFS($Z$6:$Z105,$AN$5,$AA$6:$AA105,"?*")</f>
        <v>0</v>
      </c>
      <c r="AN105" t="str">
        <f t="shared" si="26"/>
        <v/>
      </c>
      <c r="AO105">
        <f>COUNTIFS($Z$6:$Z105,$AP$5,$AA$6:$AA105,"?*")</f>
        <v>0</v>
      </c>
      <c r="AP105" t="str">
        <f t="shared" si="27"/>
        <v/>
      </c>
      <c r="AQ105">
        <f>COUNTIFS($Z$6:$Z105,$AR$5,$AA$6:$AA105,"?*")</f>
        <v>0</v>
      </c>
      <c r="AR105" t="str">
        <f t="shared" si="28"/>
        <v/>
      </c>
      <c r="AS105">
        <f>COUNTIFS($Z$6:$Z105,$AT$5,$AA$6:$AA105,"?*")</f>
        <v>0</v>
      </c>
      <c r="AT105" t="str">
        <f t="shared" si="29"/>
        <v/>
      </c>
      <c r="AU105">
        <f>COUNTIFS($Z$6:$Z105,$AV$5,$AA$6:$AA105,"?*")</f>
        <v>0</v>
      </c>
      <c r="AV105" t="str">
        <f t="shared" si="30"/>
        <v/>
      </c>
    </row>
    <row r="106" spans="6:48" x14ac:dyDescent="0.2">
      <c r="F106" t="str">
        <f>IF([1]Accounts!$D$107="","",[1]Accounts!$A$107)</f>
        <v/>
      </c>
      <c r="G106" t="str">
        <f>IF([1]Accounts!$D$107="","",[1]Accounts!$B$107)</f>
        <v/>
      </c>
      <c r="H106" t="str">
        <f>IF([1]Accounts!$D$107="","",[1]Accounts!$C$107)</f>
        <v/>
      </c>
      <c r="I106" t="str">
        <f>IF([1]Accounts!$D$107="","",[1]Accounts!$D$107)</f>
        <v/>
      </c>
    </row>
    <row r="107" spans="6:48" x14ac:dyDescent="0.2">
      <c r="F107" t="str">
        <f>IF([1]Accounts!$D$108="","",[1]Accounts!$A$108)</f>
        <v/>
      </c>
      <c r="G107" t="str">
        <f>IF([1]Accounts!$D$108="","",[1]Accounts!$B$108)</f>
        <v/>
      </c>
      <c r="H107" t="str">
        <f>IF([1]Accounts!$D$108="","",[1]Accounts!$C$108)</f>
        <v/>
      </c>
      <c r="I107" t="str">
        <f>IF([1]Accounts!$D$108="","",[1]Accounts!$D$108)</f>
        <v/>
      </c>
    </row>
    <row r="108" spans="6:48" x14ac:dyDescent="0.2">
      <c r="F108" t="str">
        <f>IF([1]Accounts!$D$109="","",[1]Accounts!$A$109)</f>
        <v/>
      </c>
      <c r="G108" t="str">
        <f>IF([1]Accounts!$D$109="","",[1]Accounts!$B$109)</f>
        <v/>
      </c>
      <c r="H108" t="str">
        <f>IF([1]Accounts!$D$109="","",[1]Accounts!$C$109)</f>
        <v/>
      </c>
      <c r="I108" t="str">
        <f>IF([1]Accounts!$D$109="","",[1]Accounts!$D$109)</f>
        <v/>
      </c>
    </row>
    <row r="109" spans="6:48" x14ac:dyDescent="0.2">
      <c r="F109" t="str">
        <f>IF([1]Accounts!$D$110="","",[1]Accounts!$A$110)</f>
        <v/>
      </c>
      <c r="G109" t="str">
        <f>IF([1]Accounts!$D$110="","",[1]Accounts!$B$110)</f>
        <v/>
      </c>
      <c r="H109" t="str">
        <f>IF([1]Accounts!$D$110="","",[1]Accounts!$C$110)</f>
        <v/>
      </c>
      <c r="I109" t="str">
        <f>IF([1]Accounts!$D$110="","",[1]Accounts!$D$110)</f>
        <v/>
      </c>
    </row>
    <row r="110" spans="6:48" x14ac:dyDescent="0.2">
      <c r="F110" t="str">
        <f>IF([1]Accounts!$D$111="","",[1]Accounts!$A$111)</f>
        <v/>
      </c>
      <c r="G110" t="str">
        <f>IF([1]Accounts!$D$111="","",[1]Accounts!$B$111)</f>
        <v/>
      </c>
      <c r="H110" t="str">
        <f>IF([1]Accounts!$D$111="","",[1]Accounts!$C$111)</f>
        <v/>
      </c>
      <c r="I110" t="str">
        <f>IF([1]Accounts!$D$111="","",[1]Accounts!$D$111)</f>
        <v/>
      </c>
    </row>
    <row r="111" spans="6:48" x14ac:dyDescent="0.2">
      <c r="F111" t="str">
        <f>IF([1]Accounts!$D$112="","",[1]Accounts!$A$112)</f>
        <v/>
      </c>
      <c r="G111" t="str">
        <f>IF([1]Accounts!$D$112="","",[1]Accounts!$B$112)</f>
        <v/>
      </c>
      <c r="H111" t="str">
        <f>IF([1]Accounts!$D$112="","",[1]Accounts!$C$112)</f>
        <v/>
      </c>
      <c r="I111" t="str">
        <f>IF([1]Accounts!$D$112="","",[1]Accounts!$D$112)</f>
        <v/>
      </c>
    </row>
    <row r="112" spans="6:48" x14ac:dyDescent="0.2">
      <c r="F112" t="str">
        <f>IF([1]Accounts!$D$113="","",[1]Accounts!$A$113)</f>
        <v/>
      </c>
      <c r="G112" t="str">
        <f>IF([1]Accounts!$D$113="","",[1]Accounts!$B$113)</f>
        <v/>
      </c>
      <c r="H112" t="str">
        <f>IF([1]Accounts!$D$113="","",[1]Accounts!$C$113)</f>
        <v/>
      </c>
      <c r="I112" t="str">
        <f>IF([1]Accounts!$D$113="","",[1]Accounts!$D$113)</f>
        <v/>
      </c>
    </row>
    <row r="113" spans="6:9" x14ac:dyDescent="0.2">
      <c r="F113" t="str">
        <f>IF([1]Accounts!$D$114="","",[1]Accounts!$A$114)</f>
        <v/>
      </c>
      <c r="G113" t="str">
        <f>IF([1]Accounts!$D$114="","",[1]Accounts!$B$114)</f>
        <v/>
      </c>
      <c r="H113" t="str">
        <f>IF([1]Accounts!$D$114="","",[1]Accounts!$C$114)</f>
        <v/>
      </c>
      <c r="I113" t="str">
        <f>IF([1]Accounts!$D$114="","",[1]Accounts!$D$114)</f>
        <v/>
      </c>
    </row>
    <row r="114" spans="6:9" x14ac:dyDescent="0.2">
      <c r="F114" t="str">
        <f>IF([1]Accounts!$D$115="","",[1]Accounts!$A$115)</f>
        <v/>
      </c>
      <c r="G114" t="str">
        <f>IF([1]Accounts!$D$115="","",[1]Accounts!$B$115)</f>
        <v/>
      </c>
      <c r="H114" t="str">
        <f>IF([1]Accounts!$D$115="","",[1]Accounts!$C$115)</f>
        <v/>
      </c>
      <c r="I114" t="str">
        <f>IF([1]Accounts!$D$115="","",[1]Accounts!$D$115)</f>
        <v/>
      </c>
    </row>
    <row r="115" spans="6:9" x14ac:dyDescent="0.2">
      <c r="F115" t="str">
        <f>IF([1]Accounts!$D$116="","",[1]Accounts!$A$116)</f>
        <v/>
      </c>
      <c r="G115" t="str">
        <f>IF([1]Accounts!$D$116="","",[1]Accounts!$B$116)</f>
        <v/>
      </c>
      <c r="H115" t="str">
        <f>IF([1]Accounts!$D$116="","",[1]Accounts!$C$116)</f>
        <v/>
      </c>
      <c r="I115" t="str">
        <f>IF([1]Accounts!$D$116="","",[1]Accounts!$D$116)</f>
        <v/>
      </c>
    </row>
    <row r="116" spans="6:9" x14ac:dyDescent="0.2">
      <c r="F116" t="str">
        <f>IF([1]Accounts!$D$117="","",[1]Accounts!$A$117)</f>
        <v/>
      </c>
      <c r="G116" t="str">
        <f>IF([1]Accounts!$D$117="","",[1]Accounts!$B$117)</f>
        <v/>
      </c>
      <c r="H116" t="str">
        <f>IF([1]Accounts!$D$117="","",[1]Accounts!$C$117)</f>
        <v/>
      </c>
      <c r="I116" t="str">
        <f>IF([1]Accounts!$D$117="","",[1]Accounts!$D$117)</f>
        <v/>
      </c>
    </row>
    <row r="117" spans="6:9" x14ac:dyDescent="0.2">
      <c r="F117" t="str">
        <f>IF([1]Accounts!$D$118="","",[1]Accounts!$A$118)</f>
        <v/>
      </c>
      <c r="G117" t="str">
        <f>IF([1]Accounts!$D$118="","",[1]Accounts!$B$118)</f>
        <v/>
      </c>
      <c r="H117" t="str">
        <f>IF([1]Accounts!$D$118="","",[1]Accounts!$C$118)</f>
        <v/>
      </c>
      <c r="I117" t="str">
        <f>IF([1]Accounts!$D$118="","",[1]Accounts!$D$118)</f>
        <v/>
      </c>
    </row>
    <row r="118" spans="6:9" x14ac:dyDescent="0.2">
      <c r="F118" t="str">
        <f>IF([1]Accounts!$D$119="","",[1]Accounts!$A$119)</f>
        <v/>
      </c>
      <c r="G118" t="str">
        <f>IF([1]Accounts!$D$119="","",[1]Accounts!$B$119)</f>
        <v/>
      </c>
      <c r="H118" t="str">
        <f>IF([1]Accounts!$D$119="","",[1]Accounts!$C$119)</f>
        <v/>
      </c>
      <c r="I118" t="str">
        <f>IF([1]Accounts!$D$119="","",[1]Accounts!$D$119)</f>
        <v/>
      </c>
    </row>
    <row r="119" spans="6:9" x14ac:dyDescent="0.2">
      <c r="F119" t="str">
        <f>IF([1]Accounts!$D$120="","",[1]Accounts!$A$120)</f>
        <v/>
      </c>
      <c r="G119" t="str">
        <f>IF([1]Accounts!$D$120="","",[1]Accounts!$B$120)</f>
        <v/>
      </c>
      <c r="H119" t="str">
        <f>IF([1]Accounts!$D$120="","",[1]Accounts!$C$120)</f>
        <v/>
      </c>
      <c r="I119" t="str">
        <f>IF([1]Accounts!$D$120="","",[1]Accounts!$D$120)</f>
        <v/>
      </c>
    </row>
    <row r="120" spans="6:9" x14ac:dyDescent="0.2">
      <c r="F120" t="str">
        <f>IF([1]Accounts!$D$121="","",[1]Accounts!$A$121)</f>
        <v/>
      </c>
      <c r="G120" t="str">
        <f>IF([1]Accounts!$D$121="","",[1]Accounts!$B$121)</f>
        <v/>
      </c>
      <c r="H120" t="str">
        <f>IF([1]Accounts!$D$121="","",[1]Accounts!$C$121)</f>
        <v/>
      </c>
      <c r="I120" t="str">
        <f>IF([1]Accounts!$D$121="","",[1]Accounts!$D$121)</f>
        <v/>
      </c>
    </row>
    <row r="121" spans="6:9" x14ac:dyDescent="0.2">
      <c r="F121" t="str">
        <f>IF([1]Accounts!$D$122="","",[1]Accounts!$A$122)</f>
        <v/>
      </c>
      <c r="G121" t="str">
        <f>IF([1]Accounts!$D$122="","",[1]Accounts!$B$122)</f>
        <v/>
      </c>
      <c r="H121" t="str">
        <f>IF([1]Accounts!$D$122="","",[1]Accounts!$C$122)</f>
        <v/>
      </c>
      <c r="I121" t="str">
        <f>IF([1]Accounts!$D$122="","",[1]Accounts!$D$122)</f>
        <v/>
      </c>
    </row>
    <row r="122" spans="6:9" x14ac:dyDescent="0.2">
      <c r="F122" t="str">
        <f>IF([1]Accounts!$D$123="","",[1]Accounts!$A$123)</f>
        <v/>
      </c>
      <c r="G122" t="str">
        <f>IF([1]Accounts!$D$123="","",[1]Accounts!$B$123)</f>
        <v/>
      </c>
      <c r="H122" t="str">
        <f>IF([1]Accounts!$D$123="","",[1]Accounts!$C$123)</f>
        <v/>
      </c>
      <c r="I122" t="str">
        <f>IF([1]Accounts!$D$123="","",[1]Accounts!$D$123)</f>
        <v/>
      </c>
    </row>
    <row r="123" spans="6:9" x14ac:dyDescent="0.2">
      <c r="F123" t="str">
        <f>IF([1]Accounts!$D$124="","",[1]Accounts!$A$124)</f>
        <v/>
      </c>
      <c r="G123" t="str">
        <f>IF([1]Accounts!$D$124="","",[1]Accounts!$B$124)</f>
        <v/>
      </c>
      <c r="H123" t="str">
        <f>IF([1]Accounts!$D$124="","",[1]Accounts!$C$124)</f>
        <v/>
      </c>
      <c r="I123" t="str">
        <f>IF([1]Accounts!$D$124="","",[1]Accounts!$D$124)</f>
        <v/>
      </c>
    </row>
    <row r="124" spans="6:9" x14ac:dyDescent="0.2">
      <c r="F124" t="str">
        <f>IF([1]Accounts!$D$125="","",[1]Accounts!$A$125)</f>
        <v/>
      </c>
      <c r="G124" t="str">
        <f>IF([1]Accounts!$D$125="","",[1]Accounts!$B$125)</f>
        <v/>
      </c>
      <c r="H124" t="str">
        <f>IF([1]Accounts!$D$125="","",[1]Accounts!$C$125)</f>
        <v/>
      </c>
      <c r="I124" t="str">
        <f>IF([1]Accounts!$D$125="","",[1]Accounts!$D$125)</f>
        <v/>
      </c>
    </row>
    <row r="125" spans="6:9" x14ac:dyDescent="0.2">
      <c r="F125" t="str">
        <f>IF([1]Accounts!$D$126="","",[1]Accounts!$A$126)</f>
        <v/>
      </c>
      <c r="G125" t="str">
        <f>IF([1]Accounts!$D$126="","",[1]Accounts!$B$126)</f>
        <v/>
      </c>
      <c r="H125" t="str">
        <f>IF([1]Accounts!$D$126="","",[1]Accounts!$C$126)</f>
        <v/>
      </c>
      <c r="I125" t="str">
        <f>IF([1]Accounts!$D$126="","",[1]Accounts!$D$126)</f>
        <v/>
      </c>
    </row>
    <row r="126" spans="6:9" x14ac:dyDescent="0.2">
      <c r="F126" t="str">
        <f>IF([1]Accounts!$D$127="","",[1]Accounts!$A$127)</f>
        <v/>
      </c>
      <c r="G126" t="str">
        <f>IF([1]Accounts!$D$127="","",[1]Accounts!$B$127)</f>
        <v/>
      </c>
      <c r="H126" t="str">
        <f>IF([1]Accounts!$D$127="","",[1]Accounts!$C$127)</f>
        <v/>
      </c>
      <c r="I126" t="str">
        <f>IF([1]Accounts!$D$127="","",[1]Accounts!$D$127)</f>
        <v/>
      </c>
    </row>
    <row r="127" spans="6:9" x14ac:dyDescent="0.2">
      <c r="F127" t="str">
        <f>IF([1]Accounts!$D$128="","",[1]Accounts!$A$128)</f>
        <v/>
      </c>
      <c r="G127" t="str">
        <f>IF([1]Accounts!$D$128="","",[1]Accounts!$B$128)</f>
        <v/>
      </c>
      <c r="H127" t="str">
        <f>IF([1]Accounts!$D$128="","",[1]Accounts!$C$128)</f>
        <v/>
      </c>
      <c r="I127" t="str">
        <f>IF([1]Accounts!$D$128="","",[1]Accounts!$D$128)</f>
        <v/>
      </c>
    </row>
    <row r="128" spans="6:9" x14ac:dyDescent="0.2">
      <c r="F128" t="str">
        <f>IF([1]Accounts!$D$129="","",[1]Accounts!$A$129)</f>
        <v/>
      </c>
      <c r="G128" t="str">
        <f>IF([1]Accounts!$D$129="","",[1]Accounts!$B$129)</f>
        <v/>
      </c>
      <c r="H128" t="str">
        <f>IF([1]Accounts!$D$129="","",[1]Accounts!$C$129)</f>
        <v/>
      </c>
      <c r="I128" t="str">
        <f>IF([1]Accounts!$D$129="","",[1]Accounts!$D$129)</f>
        <v/>
      </c>
    </row>
    <row r="129" spans="6:9" x14ac:dyDescent="0.2">
      <c r="F129" t="str">
        <f>IF([1]Accounts!$D$130="","",[1]Accounts!$A$130)</f>
        <v/>
      </c>
      <c r="G129" t="str">
        <f>IF([1]Accounts!$D$130="","",[1]Accounts!$B$130)</f>
        <v/>
      </c>
      <c r="H129" t="str">
        <f>IF([1]Accounts!$D$130="","",[1]Accounts!$C$130)</f>
        <v/>
      </c>
      <c r="I129" t="str">
        <f>IF([1]Accounts!$D$130="","",[1]Accounts!$D$130)</f>
        <v/>
      </c>
    </row>
    <row r="130" spans="6:9" x14ac:dyDescent="0.2">
      <c r="F130" t="str">
        <f>IF([1]Accounts!$D$131="","",[1]Accounts!$A$131)</f>
        <v/>
      </c>
      <c r="G130" t="str">
        <f>IF([1]Accounts!$D$131="","",[1]Accounts!$B$131)</f>
        <v/>
      </c>
      <c r="H130" t="str">
        <f>IF([1]Accounts!$D$131="","",[1]Accounts!$C$131)</f>
        <v/>
      </c>
      <c r="I130" t="str">
        <f>IF([1]Accounts!$D$131="","",[1]Accounts!$D$131)</f>
        <v/>
      </c>
    </row>
    <row r="131" spans="6:9" x14ac:dyDescent="0.2">
      <c r="F131" t="str">
        <f>IF([1]Accounts!$D$132="","",[1]Accounts!$A$132)</f>
        <v/>
      </c>
      <c r="G131" t="str">
        <f>IF([1]Accounts!$D$132="","",[1]Accounts!$B$132)</f>
        <v/>
      </c>
      <c r="H131" t="str">
        <f>IF([1]Accounts!$D$132="","",[1]Accounts!$C$132)</f>
        <v/>
      </c>
      <c r="I131" t="str">
        <f>IF([1]Accounts!$D$132="","",[1]Accounts!$D$132)</f>
        <v/>
      </c>
    </row>
    <row r="132" spans="6:9" x14ac:dyDescent="0.2">
      <c r="F132" t="str">
        <f>IF([1]Accounts!$D$133="","",[1]Accounts!$A$133)</f>
        <v/>
      </c>
      <c r="G132" t="str">
        <f>IF([1]Accounts!$D$133="","",[1]Accounts!$B$133)</f>
        <v/>
      </c>
      <c r="H132" t="str">
        <f>IF([1]Accounts!$D$133="","",[1]Accounts!$C$133)</f>
        <v/>
      </c>
      <c r="I132" t="str">
        <f>IF([1]Accounts!$D$133="","",[1]Accounts!$D$133)</f>
        <v/>
      </c>
    </row>
    <row r="133" spans="6:9" x14ac:dyDescent="0.2">
      <c r="F133" t="str">
        <f>IF([1]Accounts!$D$134="","",[1]Accounts!$A$134)</f>
        <v/>
      </c>
      <c r="G133" t="str">
        <f>IF([1]Accounts!$D$134="","",[1]Accounts!$B$134)</f>
        <v/>
      </c>
      <c r="H133" t="str">
        <f>IF([1]Accounts!$D$134="","",[1]Accounts!$C$134)</f>
        <v/>
      </c>
      <c r="I133" t="str">
        <f>IF([1]Accounts!$D$134="","",[1]Accounts!$D$134)</f>
        <v/>
      </c>
    </row>
    <row r="134" spans="6:9" x14ac:dyDescent="0.2">
      <c r="F134" t="str">
        <f>IF([1]Accounts!$D$135="","",[1]Accounts!$A$135)</f>
        <v/>
      </c>
      <c r="G134" t="str">
        <f>IF([1]Accounts!$D$135="","",[1]Accounts!$B$135)</f>
        <v/>
      </c>
      <c r="H134" t="str">
        <f>IF([1]Accounts!$D$135="","",[1]Accounts!$C$135)</f>
        <v/>
      </c>
      <c r="I134" t="str">
        <f>IF([1]Accounts!$D$135="","",[1]Accounts!$D$135)</f>
        <v/>
      </c>
    </row>
    <row r="135" spans="6:9" x14ac:dyDescent="0.2">
      <c r="F135" t="str">
        <f>IF([1]Accounts!$D$136="","",[1]Accounts!$A$136)</f>
        <v/>
      </c>
      <c r="G135" t="str">
        <f>IF([1]Accounts!$D$136="","",[1]Accounts!$B$136)</f>
        <v/>
      </c>
      <c r="H135" t="str">
        <f>IF([1]Accounts!$D$136="","",[1]Accounts!$C$136)</f>
        <v/>
      </c>
      <c r="I135" t="str">
        <f>IF([1]Accounts!$D$136="","",[1]Accounts!$D$136)</f>
        <v/>
      </c>
    </row>
    <row r="136" spans="6:9" x14ac:dyDescent="0.2">
      <c r="F136" t="str">
        <f>IF([1]Accounts!$D$137="","",[1]Accounts!$A$137)</f>
        <v/>
      </c>
      <c r="G136" t="str">
        <f>IF([1]Accounts!$D$137="","",[1]Accounts!$B$137)</f>
        <v/>
      </c>
      <c r="H136" t="str">
        <f>IF([1]Accounts!$D$137="","",[1]Accounts!$C$137)</f>
        <v/>
      </c>
      <c r="I136" t="str">
        <f>IF([1]Accounts!$D$137="","",[1]Accounts!$D$137)</f>
        <v/>
      </c>
    </row>
    <row r="137" spans="6:9" x14ac:dyDescent="0.2">
      <c r="F137" t="str">
        <f>IF([1]Accounts!$D$138="","",[1]Accounts!$A$138)</f>
        <v/>
      </c>
      <c r="G137" t="str">
        <f>IF([1]Accounts!$D$138="","",[1]Accounts!$B$138)</f>
        <v/>
      </c>
      <c r="H137" t="str">
        <f>IF([1]Accounts!$D$138="","",[1]Accounts!$C$138)</f>
        <v/>
      </c>
      <c r="I137" t="str">
        <f>IF([1]Accounts!$D$138="","",[1]Accounts!$D$138)</f>
        <v/>
      </c>
    </row>
    <row r="138" spans="6:9" x14ac:dyDescent="0.2">
      <c r="F138" t="str">
        <f>IF([1]Accounts!$D$139="","",[1]Accounts!$A$139)</f>
        <v/>
      </c>
      <c r="G138" t="str">
        <f>IF([1]Accounts!$D$139="","",[1]Accounts!$B$139)</f>
        <v/>
      </c>
      <c r="H138" t="str">
        <f>IF([1]Accounts!$D$139="","",[1]Accounts!$C$139)</f>
        <v/>
      </c>
      <c r="I138" t="str">
        <f>IF([1]Accounts!$D$139="","",[1]Accounts!$D$139)</f>
        <v/>
      </c>
    </row>
    <row r="139" spans="6:9" x14ac:dyDescent="0.2">
      <c r="F139" t="str">
        <f>IF([1]Accounts!$D$140="","",[1]Accounts!$A$140)</f>
        <v/>
      </c>
      <c r="G139" t="str">
        <f>IF([1]Accounts!$D$140="","",[1]Accounts!$B$140)</f>
        <v/>
      </c>
      <c r="H139" t="str">
        <f>IF([1]Accounts!$D$140="","",[1]Accounts!$C$140)</f>
        <v/>
      </c>
      <c r="I139" t="str">
        <f>IF([1]Accounts!$D$140="","",[1]Accounts!$D$140)</f>
        <v/>
      </c>
    </row>
    <row r="140" spans="6:9" x14ac:dyDescent="0.2">
      <c r="F140" t="str">
        <f>IF([1]Accounts!$D$141="","",[1]Accounts!$A$141)</f>
        <v/>
      </c>
      <c r="G140" t="str">
        <f>IF([1]Accounts!$D$141="","",[1]Accounts!$B$141)</f>
        <v/>
      </c>
      <c r="H140" t="str">
        <f>IF([1]Accounts!$D$141="","",[1]Accounts!$C$141)</f>
        <v/>
      </c>
      <c r="I140" t="str">
        <f>IF([1]Accounts!$D$141="","",[1]Accounts!$D$141)</f>
        <v/>
      </c>
    </row>
    <row r="141" spans="6:9" x14ac:dyDescent="0.2">
      <c r="F141" t="str">
        <f>IF([1]Accounts!$D$142="","",[1]Accounts!$A$142)</f>
        <v/>
      </c>
      <c r="G141" t="str">
        <f>IF([1]Accounts!$D$142="","",[1]Accounts!$B$142)</f>
        <v/>
      </c>
      <c r="H141" t="str">
        <f>IF([1]Accounts!$D$142="","",[1]Accounts!$C$142)</f>
        <v/>
      </c>
      <c r="I141" t="str">
        <f>IF([1]Accounts!$D$142="","",[1]Accounts!$D$142)</f>
        <v/>
      </c>
    </row>
    <row r="142" spans="6:9" x14ac:dyDescent="0.2">
      <c r="F142" t="str">
        <f>IF([1]Accounts!$D$143="","",[1]Accounts!$A$143)</f>
        <v/>
      </c>
      <c r="G142" t="str">
        <f>IF([1]Accounts!$D$143="","",[1]Accounts!$B$143)</f>
        <v/>
      </c>
      <c r="H142" t="str">
        <f>IF([1]Accounts!$D$143="","",[1]Accounts!$C$143)</f>
        <v/>
      </c>
      <c r="I142" t="str">
        <f>IF([1]Accounts!$D$143="","",[1]Accounts!$D$143)</f>
        <v/>
      </c>
    </row>
    <row r="143" spans="6:9" x14ac:dyDescent="0.2">
      <c r="F143" t="str">
        <f>IF([1]Accounts!$D$144="","",[1]Accounts!$A$144)</f>
        <v/>
      </c>
      <c r="G143" t="str">
        <f>IF([1]Accounts!$D$144="","",[1]Accounts!$B$144)</f>
        <v/>
      </c>
      <c r="H143" t="str">
        <f>IF([1]Accounts!$D$144="","",[1]Accounts!$C$144)</f>
        <v/>
      </c>
      <c r="I143" t="str">
        <f>IF([1]Accounts!$D$144="","",[1]Accounts!$D$144)</f>
        <v/>
      </c>
    </row>
    <row r="144" spans="6:9" x14ac:dyDescent="0.2">
      <c r="F144" t="str">
        <f>IF([1]Accounts!$D$145="","",[1]Accounts!$A$145)</f>
        <v/>
      </c>
      <c r="G144" t="str">
        <f>IF([1]Accounts!$D$145="","",[1]Accounts!$B$145)</f>
        <v/>
      </c>
      <c r="H144" t="str">
        <f>IF([1]Accounts!$D$145="","",[1]Accounts!$C$145)</f>
        <v/>
      </c>
      <c r="I144" t="str">
        <f>IF([1]Accounts!$D$145="","",[1]Accounts!$D$145)</f>
        <v/>
      </c>
    </row>
    <row r="145" spans="6:9" x14ac:dyDescent="0.2">
      <c r="F145" t="str">
        <f>IF([1]Accounts!$D$146="","",[1]Accounts!$A$146)</f>
        <v/>
      </c>
      <c r="G145" t="str">
        <f>IF([1]Accounts!$D$146="","",[1]Accounts!$B$146)</f>
        <v/>
      </c>
      <c r="H145" t="str">
        <f>IF([1]Accounts!$D$146="","",[1]Accounts!$C$146)</f>
        <v/>
      </c>
      <c r="I145" t="str">
        <f>IF([1]Accounts!$D$146="","",[1]Accounts!$D$146)</f>
        <v/>
      </c>
    </row>
    <row r="146" spans="6:9" x14ac:dyDescent="0.2">
      <c r="F146" t="str">
        <f>IF([1]Accounts!$D$147="","",[1]Accounts!$A$147)</f>
        <v/>
      </c>
      <c r="G146" t="str">
        <f>IF([1]Accounts!$D$147="","",[1]Accounts!$B$147)</f>
        <v/>
      </c>
      <c r="H146" t="str">
        <f>IF([1]Accounts!$D$147="","",[1]Accounts!$C$147)</f>
        <v/>
      </c>
      <c r="I146" t="str">
        <f>IF([1]Accounts!$D$147="","",[1]Accounts!$D$147)</f>
        <v/>
      </c>
    </row>
    <row r="147" spans="6:9" x14ac:dyDescent="0.2">
      <c r="F147" t="str">
        <f>IF([1]Accounts!$D$148="","",[1]Accounts!$A$148)</f>
        <v/>
      </c>
      <c r="G147" t="str">
        <f>IF([1]Accounts!$D$148="","",[1]Accounts!$B$148)</f>
        <v/>
      </c>
      <c r="H147" t="str">
        <f>IF([1]Accounts!$D$148="","",[1]Accounts!$C$148)</f>
        <v/>
      </c>
      <c r="I147" t="str">
        <f>IF([1]Accounts!$D$148="","",[1]Accounts!$D$148)</f>
        <v/>
      </c>
    </row>
    <row r="148" spans="6:9" x14ac:dyDescent="0.2">
      <c r="F148" t="str">
        <f>IF([1]Accounts!$D$149="","",[1]Accounts!$A$149)</f>
        <v/>
      </c>
      <c r="G148" t="str">
        <f>IF([1]Accounts!$D$149="","",[1]Accounts!$B$149)</f>
        <v/>
      </c>
      <c r="H148" t="str">
        <f>IF([1]Accounts!$D$149="","",[1]Accounts!$C$149)</f>
        <v/>
      </c>
      <c r="I148" t="str">
        <f>IF([1]Accounts!$D$149="","",[1]Accounts!$D$149)</f>
        <v/>
      </c>
    </row>
    <row r="149" spans="6:9" x14ac:dyDescent="0.2">
      <c r="F149" t="str">
        <f>IF([1]Accounts!$D$150="","",[1]Accounts!$A$150)</f>
        <v/>
      </c>
      <c r="G149" t="str">
        <f>IF([1]Accounts!$D$150="","",[1]Accounts!$B$150)</f>
        <v/>
      </c>
      <c r="H149" t="str">
        <f>IF([1]Accounts!$D$150="","",[1]Accounts!$C$150)</f>
        <v/>
      </c>
      <c r="I149" t="str">
        <f>IF([1]Accounts!$D$150="","",[1]Accounts!$D$150)</f>
        <v/>
      </c>
    </row>
    <row r="150" spans="6:9" x14ac:dyDescent="0.2">
      <c r="F150" t="str">
        <f>IF([1]Accounts!$D$151="","",[1]Accounts!$A$151)</f>
        <v/>
      </c>
      <c r="G150" t="str">
        <f>IF([1]Accounts!$D$151="","",[1]Accounts!$B$151)</f>
        <v/>
      </c>
      <c r="H150" t="str">
        <f>IF([1]Accounts!$D$151="","",[1]Accounts!$C$151)</f>
        <v/>
      </c>
      <c r="I150" t="str">
        <f>IF([1]Accounts!$D$151="","",[1]Accounts!$D$151)</f>
        <v/>
      </c>
    </row>
    <row r="151" spans="6:9" x14ac:dyDescent="0.2">
      <c r="F151" t="str">
        <f>IF([1]Accounts!$D$152="","",[1]Accounts!$A$152)</f>
        <v/>
      </c>
      <c r="G151" t="str">
        <f>IF([1]Accounts!$D$152="","",[1]Accounts!$B$152)</f>
        <v/>
      </c>
      <c r="H151" t="str">
        <f>IF([1]Accounts!$D$152="","",[1]Accounts!$C$152)</f>
        <v/>
      </c>
      <c r="I151" t="str">
        <f>IF([1]Accounts!$D$152="","",[1]Accounts!$D$152)</f>
        <v/>
      </c>
    </row>
    <row r="152" spans="6:9" x14ac:dyDescent="0.2">
      <c r="F152" t="str">
        <f>IF([1]Accounts!$D$153="","",[1]Accounts!$A$153)</f>
        <v/>
      </c>
      <c r="G152" t="str">
        <f>IF([1]Accounts!$D$153="","",[1]Accounts!$B$153)</f>
        <v/>
      </c>
      <c r="H152" t="str">
        <f>IF([1]Accounts!$D$153="","",[1]Accounts!$C$153)</f>
        <v/>
      </c>
      <c r="I152" t="str">
        <f>IF([1]Accounts!$D$153="","",[1]Accounts!$D$153)</f>
        <v/>
      </c>
    </row>
    <row r="153" spans="6:9" x14ac:dyDescent="0.2">
      <c r="F153" t="str">
        <f>IF([1]Accounts!$D$154="","",[1]Accounts!$A$154)</f>
        <v/>
      </c>
      <c r="G153" t="str">
        <f>IF([1]Accounts!$D$154="","",[1]Accounts!$B$154)</f>
        <v/>
      </c>
      <c r="H153" t="str">
        <f>IF([1]Accounts!$D$154="","",[1]Accounts!$C$154)</f>
        <v/>
      </c>
      <c r="I153" t="str">
        <f>IF([1]Accounts!$D$154="","",[1]Accounts!$D$154)</f>
        <v/>
      </c>
    </row>
    <row r="154" spans="6:9" x14ac:dyDescent="0.2">
      <c r="F154" t="str">
        <f>IF([1]Accounts!$D$155="","",[1]Accounts!$A$155)</f>
        <v/>
      </c>
      <c r="G154" t="str">
        <f>IF([1]Accounts!$D$155="","",[1]Accounts!$B$155)</f>
        <v/>
      </c>
      <c r="H154" t="str">
        <f>IF([1]Accounts!$D$155="","",[1]Accounts!$C$155)</f>
        <v/>
      </c>
      <c r="I154" t="str">
        <f>IF([1]Accounts!$D$155="","",[1]Accounts!$D$155)</f>
        <v/>
      </c>
    </row>
    <row r="155" spans="6:9" x14ac:dyDescent="0.2">
      <c r="F155" t="str">
        <f>IF([1]Accounts!$D$156="","",[1]Accounts!$A$156)</f>
        <v/>
      </c>
      <c r="G155" t="str">
        <f>IF([1]Accounts!$D$156="","",[1]Accounts!$B$156)</f>
        <v/>
      </c>
      <c r="H155" t="str">
        <f>IF([1]Accounts!$D$156="","",[1]Accounts!$C$156)</f>
        <v/>
      </c>
      <c r="I155" t="str">
        <f>IF([1]Accounts!$D$156="","",[1]Accounts!$D$156)</f>
        <v/>
      </c>
    </row>
    <row r="156" spans="6:9" x14ac:dyDescent="0.2">
      <c r="F156" t="str">
        <f>IF([1]Accounts!$D$157="","",[1]Accounts!$A$157)</f>
        <v/>
      </c>
      <c r="G156" t="str">
        <f>IF([1]Accounts!$D$157="","",[1]Accounts!$B$157)</f>
        <v/>
      </c>
      <c r="H156" t="str">
        <f>IF([1]Accounts!$D$157="","",[1]Accounts!$C$157)</f>
        <v/>
      </c>
      <c r="I156" t="str">
        <f>IF([1]Accounts!$D$157="","",[1]Accounts!$D$157)</f>
        <v/>
      </c>
    </row>
    <row r="157" spans="6:9" x14ac:dyDescent="0.2">
      <c r="F157" t="str">
        <f>IF([1]Accounts!$D$158="","",[1]Accounts!$A$158)</f>
        <v/>
      </c>
      <c r="G157" t="str">
        <f>IF([1]Accounts!$D$158="","",[1]Accounts!$B$158)</f>
        <v/>
      </c>
      <c r="H157" t="str">
        <f>IF([1]Accounts!$D$158="","",[1]Accounts!$C$158)</f>
        <v/>
      </c>
      <c r="I157" t="str">
        <f>IF([1]Accounts!$D$158="","",[1]Accounts!$D$158)</f>
        <v/>
      </c>
    </row>
    <row r="158" spans="6:9" x14ac:dyDescent="0.2">
      <c r="F158" t="str">
        <f>IF([1]Accounts!$D$159="","",[1]Accounts!$A$159)</f>
        <v/>
      </c>
      <c r="G158" t="str">
        <f>IF([1]Accounts!$D$159="","",[1]Accounts!$B$159)</f>
        <v/>
      </c>
      <c r="H158" t="str">
        <f>IF([1]Accounts!$D$159="","",[1]Accounts!$C$159)</f>
        <v/>
      </c>
      <c r="I158" t="str">
        <f>IF([1]Accounts!$D$159="","",[1]Accounts!$D$159)</f>
        <v/>
      </c>
    </row>
    <row r="159" spans="6:9" x14ac:dyDescent="0.2">
      <c r="F159" t="str">
        <f>IF([1]Accounts!$D$160="","",[1]Accounts!$A$160)</f>
        <v/>
      </c>
      <c r="G159" t="str">
        <f>IF([1]Accounts!$D$160="","",[1]Accounts!$B$160)</f>
        <v/>
      </c>
      <c r="H159" t="str">
        <f>IF([1]Accounts!$D$160="","",[1]Accounts!$C$160)</f>
        <v/>
      </c>
      <c r="I159" t="str">
        <f>IF([1]Accounts!$D$160="","",[1]Accounts!$D$160)</f>
        <v/>
      </c>
    </row>
    <row r="160" spans="6:9" x14ac:dyDescent="0.2">
      <c r="F160" t="str">
        <f>IF([1]Accounts!$D$161="","",[1]Accounts!$A$161)</f>
        <v/>
      </c>
      <c r="G160" t="str">
        <f>IF([1]Accounts!$D$161="","",[1]Accounts!$B$161)</f>
        <v/>
      </c>
      <c r="H160" t="str">
        <f>IF([1]Accounts!$D$161="","",[1]Accounts!$C$161)</f>
        <v/>
      </c>
      <c r="I160" t="str">
        <f>IF([1]Accounts!$D$161="","",[1]Accounts!$D$161)</f>
        <v/>
      </c>
    </row>
    <row r="161" spans="6:9" x14ac:dyDescent="0.2">
      <c r="F161" t="str">
        <f>IF([1]Accounts!$D$162="","",[1]Accounts!$A$162)</f>
        <v/>
      </c>
      <c r="G161" t="str">
        <f>IF([1]Accounts!$D$162="","",[1]Accounts!$B$162)</f>
        <v/>
      </c>
      <c r="H161" t="str">
        <f>IF([1]Accounts!$D$162="","",[1]Accounts!$C$162)</f>
        <v/>
      </c>
      <c r="I161" t="str">
        <f>IF([1]Accounts!$D$162="","",[1]Accounts!$D$162)</f>
        <v/>
      </c>
    </row>
    <row r="162" spans="6:9" x14ac:dyDescent="0.2">
      <c r="F162" t="str">
        <f>IF([1]Accounts!$D$163="","",[1]Accounts!$A$163)</f>
        <v/>
      </c>
      <c r="G162" t="str">
        <f>IF([1]Accounts!$D$163="","",[1]Accounts!$B$163)</f>
        <v/>
      </c>
      <c r="H162" t="str">
        <f>IF([1]Accounts!$D$163="","",[1]Accounts!$C$163)</f>
        <v/>
      </c>
      <c r="I162" t="str">
        <f>IF([1]Accounts!$D$163="","",[1]Accounts!$D$163)</f>
        <v/>
      </c>
    </row>
    <row r="163" spans="6:9" x14ac:dyDescent="0.2">
      <c r="F163" t="str">
        <f>IF([1]Accounts!$D$164="","",[1]Accounts!$A$164)</f>
        <v/>
      </c>
      <c r="G163" t="str">
        <f>IF([1]Accounts!$D$164="","",[1]Accounts!$B$164)</f>
        <v/>
      </c>
      <c r="H163" t="str">
        <f>IF([1]Accounts!$D$164="","",[1]Accounts!$C$164)</f>
        <v/>
      </c>
      <c r="I163" t="str">
        <f>IF([1]Accounts!$D$164="","",[1]Accounts!$D$164)</f>
        <v/>
      </c>
    </row>
    <row r="164" spans="6:9" x14ac:dyDescent="0.2">
      <c r="F164" t="str">
        <f>IF([1]Accounts!$D$165="","",[1]Accounts!$A$165)</f>
        <v/>
      </c>
      <c r="G164" t="str">
        <f>IF([1]Accounts!$D$165="","",[1]Accounts!$B$165)</f>
        <v/>
      </c>
      <c r="H164" t="str">
        <f>IF([1]Accounts!$D$165="","",[1]Accounts!$C$165)</f>
        <v/>
      </c>
      <c r="I164" t="str">
        <f>IF([1]Accounts!$D$165="","",[1]Accounts!$D$165)</f>
        <v/>
      </c>
    </row>
    <row r="165" spans="6:9" x14ac:dyDescent="0.2">
      <c r="F165" t="str">
        <f>IF([1]Accounts!$D$166="","",[1]Accounts!$A$166)</f>
        <v/>
      </c>
      <c r="G165" t="str">
        <f>IF([1]Accounts!$D$166="","",[1]Accounts!$B$166)</f>
        <v/>
      </c>
      <c r="H165" t="str">
        <f>IF([1]Accounts!$D$166="","",[1]Accounts!$C$166)</f>
        <v/>
      </c>
      <c r="I165" t="str">
        <f>IF([1]Accounts!$D$166="","",[1]Accounts!$D$166)</f>
        <v/>
      </c>
    </row>
    <row r="166" spans="6:9" x14ac:dyDescent="0.2">
      <c r="F166" t="str">
        <f>IF([1]Accounts!$D$167="","",[1]Accounts!$A$167)</f>
        <v/>
      </c>
      <c r="G166" t="str">
        <f>IF([1]Accounts!$D$167="","",[1]Accounts!$B$167)</f>
        <v/>
      </c>
      <c r="H166" t="str">
        <f>IF([1]Accounts!$D$167="","",[1]Accounts!$C$167)</f>
        <v/>
      </c>
      <c r="I166" t="str">
        <f>IF([1]Accounts!$D$167="","",[1]Accounts!$D$167)</f>
        <v/>
      </c>
    </row>
    <row r="167" spans="6:9" x14ac:dyDescent="0.2">
      <c r="F167" t="str">
        <f>IF([1]Accounts!$D$168="","",[1]Accounts!$A$168)</f>
        <v/>
      </c>
      <c r="G167" t="str">
        <f>IF([1]Accounts!$D$168="","",[1]Accounts!$B$168)</f>
        <v/>
      </c>
      <c r="H167" t="str">
        <f>IF([1]Accounts!$D$168="","",[1]Accounts!$C$168)</f>
        <v/>
      </c>
      <c r="I167" t="str">
        <f>IF([1]Accounts!$D$168="","",[1]Accounts!$D$168)</f>
        <v/>
      </c>
    </row>
    <row r="168" spans="6:9" x14ac:dyDescent="0.2">
      <c r="F168" t="str">
        <f>IF([1]Accounts!$D$169="","",[1]Accounts!$A$169)</f>
        <v/>
      </c>
      <c r="G168" t="str">
        <f>IF([1]Accounts!$D$169="","",[1]Accounts!$B$169)</f>
        <v/>
      </c>
      <c r="H168" t="str">
        <f>IF([1]Accounts!$D$169="","",[1]Accounts!$C$169)</f>
        <v/>
      </c>
      <c r="I168" t="str">
        <f>IF([1]Accounts!$D$169="","",[1]Accounts!$D$169)</f>
        <v/>
      </c>
    </row>
    <row r="169" spans="6:9" x14ac:dyDescent="0.2">
      <c r="F169" t="str">
        <f>IF([1]Accounts!$D$170="","",[1]Accounts!$A$170)</f>
        <v/>
      </c>
      <c r="G169" t="str">
        <f>IF([1]Accounts!$D$170="","",[1]Accounts!$B$170)</f>
        <v/>
      </c>
      <c r="H169" t="str">
        <f>IF([1]Accounts!$D$170="","",[1]Accounts!$C$170)</f>
        <v/>
      </c>
      <c r="I169" t="str">
        <f>IF([1]Accounts!$D$170="","",[1]Accounts!$D$170)</f>
        <v/>
      </c>
    </row>
    <row r="170" spans="6:9" x14ac:dyDescent="0.2">
      <c r="F170" t="str">
        <f>IF([1]Accounts!$D$171="","",[1]Accounts!$A$171)</f>
        <v/>
      </c>
      <c r="G170" t="str">
        <f>IF([1]Accounts!$D$171="","",[1]Accounts!$B$171)</f>
        <v/>
      </c>
      <c r="H170" t="str">
        <f>IF([1]Accounts!$D$171="","",[1]Accounts!$C$171)</f>
        <v/>
      </c>
      <c r="I170" t="str">
        <f>IF([1]Accounts!$D$171="","",[1]Accounts!$D$171)</f>
        <v/>
      </c>
    </row>
    <row r="171" spans="6:9" x14ac:dyDescent="0.2">
      <c r="F171" t="str">
        <f>IF([1]Accounts!$D$172="","",[1]Accounts!$A$172)</f>
        <v/>
      </c>
      <c r="G171" t="str">
        <f>IF([1]Accounts!$D$172="","",[1]Accounts!$B$172)</f>
        <v/>
      </c>
      <c r="H171" t="str">
        <f>IF([1]Accounts!$D$172="","",[1]Accounts!$C$172)</f>
        <v/>
      </c>
      <c r="I171" t="str">
        <f>IF([1]Accounts!$D$172="","",[1]Accounts!$D$172)</f>
        <v/>
      </c>
    </row>
    <row r="172" spans="6:9" x14ac:dyDescent="0.2">
      <c r="F172" t="str">
        <f>IF([1]Accounts!$D$173="","",[1]Accounts!$A$173)</f>
        <v/>
      </c>
      <c r="G172" t="str">
        <f>IF([1]Accounts!$D$173="","",[1]Accounts!$B$173)</f>
        <v/>
      </c>
      <c r="H172" t="str">
        <f>IF([1]Accounts!$D$173="","",[1]Accounts!$C$173)</f>
        <v/>
      </c>
      <c r="I172" t="str">
        <f>IF([1]Accounts!$D$173="","",[1]Accounts!$D$173)</f>
        <v/>
      </c>
    </row>
    <row r="173" spans="6:9" x14ac:dyDescent="0.2">
      <c r="F173" t="str">
        <f>IF([1]Accounts!$D$174="","",[1]Accounts!$A$174)</f>
        <v/>
      </c>
      <c r="G173" t="str">
        <f>IF([1]Accounts!$D$174="","",[1]Accounts!$B$174)</f>
        <v/>
      </c>
      <c r="H173" t="str">
        <f>IF([1]Accounts!$D$174="","",[1]Accounts!$C$174)</f>
        <v/>
      </c>
      <c r="I173" t="str">
        <f>IF([1]Accounts!$D$174="","",[1]Accounts!$D$174)</f>
        <v/>
      </c>
    </row>
    <row r="174" spans="6:9" x14ac:dyDescent="0.2">
      <c r="F174" t="str">
        <f>IF([1]Accounts!$D$175="","",[1]Accounts!$A$175)</f>
        <v/>
      </c>
      <c r="G174" t="str">
        <f>IF([1]Accounts!$D$175="","",[1]Accounts!$B$175)</f>
        <v/>
      </c>
      <c r="H174" t="str">
        <f>IF([1]Accounts!$D$175="","",[1]Accounts!$C$175)</f>
        <v/>
      </c>
      <c r="I174" t="str">
        <f>IF([1]Accounts!$D$175="","",[1]Accounts!$D$175)</f>
        <v/>
      </c>
    </row>
    <row r="175" spans="6:9" x14ac:dyDescent="0.2">
      <c r="F175" t="str">
        <f>IF([1]Accounts!$D$176="","",[1]Accounts!$A$176)</f>
        <v/>
      </c>
      <c r="G175" t="str">
        <f>IF([1]Accounts!$D$176="","",[1]Accounts!$B$176)</f>
        <v/>
      </c>
      <c r="H175" t="str">
        <f>IF([1]Accounts!$D$176="","",[1]Accounts!$C$176)</f>
        <v/>
      </c>
      <c r="I175" t="str">
        <f>IF([1]Accounts!$D$176="","",[1]Accounts!$D$176)</f>
        <v/>
      </c>
    </row>
    <row r="176" spans="6:9" x14ac:dyDescent="0.2">
      <c r="F176" t="str">
        <f>IF([1]Accounts!$D$177="","",[1]Accounts!$A$177)</f>
        <v/>
      </c>
      <c r="G176" t="str">
        <f>IF([1]Accounts!$D$177="","",[1]Accounts!$B$177)</f>
        <v/>
      </c>
      <c r="H176" t="str">
        <f>IF([1]Accounts!$D$177="","",[1]Accounts!$C$177)</f>
        <v/>
      </c>
      <c r="I176" t="str">
        <f>IF([1]Accounts!$D$177="","",[1]Accounts!$D$177)</f>
        <v/>
      </c>
    </row>
    <row r="177" spans="6:9" x14ac:dyDescent="0.2">
      <c r="F177" t="str">
        <f>IF([1]Accounts!$D$178="","",[1]Accounts!$A$178)</f>
        <v/>
      </c>
      <c r="G177" t="str">
        <f>IF([1]Accounts!$D$178="","",[1]Accounts!$B$178)</f>
        <v/>
      </c>
      <c r="H177" t="str">
        <f>IF([1]Accounts!$D$178="","",[1]Accounts!$C$178)</f>
        <v/>
      </c>
      <c r="I177" t="str">
        <f>IF([1]Accounts!$D$178="","",[1]Accounts!$D$178)</f>
        <v/>
      </c>
    </row>
    <row r="178" spans="6:9" x14ac:dyDescent="0.2">
      <c r="F178" t="str">
        <f>IF([1]Accounts!$D$179="","",[1]Accounts!$A$179)</f>
        <v/>
      </c>
      <c r="G178" t="str">
        <f>IF([1]Accounts!$D$179="","",[1]Accounts!$B$179)</f>
        <v/>
      </c>
      <c r="H178" t="str">
        <f>IF([1]Accounts!$D$179="","",[1]Accounts!$C$179)</f>
        <v/>
      </c>
      <c r="I178" t="str">
        <f>IF([1]Accounts!$D$179="","",[1]Accounts!$D$179)</f>
        <v/>
      </c>
    </row>
    <row r="179" spans="6:9" x14ac:dyDescent="0.2">
      <c r="F179" t="str">
        <f>IF([1]Accounts!$D$180="","",[1]Accounts!$A$180)</f>
        <v/>
      </c>
      <c r="G179" t="str">
        <f>IF([1]Accounts!$D$180="","",[1]Accounts!$B$180)</f>
        <v/>
      </c>
      <c r="H179" t="str">
        <f>IF([1]Accounts!$D$180="","",[1]Accounts!$C$180)</f>
        <v/>
      </c>
      <c r="I179" t="str">
        <f>IF([1]Accounts!$D$180="","",[1]Accounts!$D$180)</f>
        <v/>
      </c>
    </row>
    <row r="180" spans="6:9" x14ac:dyDescent="0.2">
      <c r="F180" t="str">
        <f>IF([1]Accounts!$D$181="","",[1]Accounts!$A$181)</f>
        <v/>
      </c>
      <c r="G180" t="str">
        <f>IF([1]Accounts!$D$181="","",[1]Accounts!$B$181)</f>
        <v/>
      </c>
      <c r="H180" t="str">
        <f>IF([1]Accounts!$D$181="","",[1]Accounts!$C$181)</f>
        <v/>
      </c>
      <c r="I180" t="str">
        <f>IF([1]Accounts!$D$181="","",[1]Accounts!$D$181)</f>
        <v/>
      </c>
    </row>
    <row r="181" spans="6:9" x14ac:dyDescent="0.2">
      <c r="F181" t="str">
        <f>IF([1]Accounts!$D$182="","",[1]Accounts!$A$182)</f>
        <v/>
      </c>
      <c r="G181" t="str">
        <f>IF([1]Accounts!$D$182="","",[1]Accounts!$B$182)</f>
        <v/>
      </c>
      <c r="H181" t="str">
        <f>IF([1]Accounts!$D$182="","",[1]Accounts!$C$182)</f>
        <v/>
      </c>
      <c r="I181" t="str">
        <f>IF([1]Accounts!$D$182="","",[1]Accounts!$D$182)</f>
        <v/>
      </c>
    </row>
    <row r="182" spans="6:9" x14ac:dyDescent="0.2">
      <c r="F182" t="str">
        <f>IF([1]Accounts!$D$183="","",[1]Accounts!$A$183)</f>
        <v/>
      </c>
      <c r="G182" t="str">
        <f>IF([1]Accounts!$D$183="","",[1]Accounts!$B$183)</f>
        <v/>
      </c>
      <c r="H182" t="str">
        <f>IF([1]Accounts!$D$183="","",[1]Accounts!$C$183)</f>
        <v/>
      </c>
      <c r="I182" t="str">
        <f>IF([1]Accounts!$D$183="","",[1]Accounts!$D$183)</f>
        <v/>
      </c>
    </row>
    <row r="183" spans="6:9" x14ac:dyDescent="0.2">
      <c r="F183" t="str">
        <f>IF([1]Accounts!$D$184="","",[1]Accounts!$A$184)</f>
        <v/>
      </c>
      <c r="G183" t="str">
        <f>IF([1]Accounts!$D$184="","",[1]Accounts!$B$184)</f>
        <v/>
      </c>
      <c r="H183" t="str">
        <f>IF([1]Accounts!$D$184="","",[1]Accounts!$C$184)</f>
        <v/>
      </c>
      <c r="I183" t="str">
        <f>IF([1]Accounts!$D$184="","",[1]Accounts!$D$184)</f>
        <v/>
      </c>
    </row>
    <row r="184" spans="6:9" x14ac:dyDescent="0.2">
      <c r="F184" t="str">
        <f>IF([1]Accounts!$D$185="","",[1]Accounts!$A$185)</f>
        <v/>
      </c>
      <c r="G184" t="str">
        <f>IF([1]Accounts!$D$185="","",[1]Accounts!$B$185)</f>
        <v/>
      </c>
      <c r="H184" t="str">
        <f>IF([1]Accounts!$D$185="","",[1]Accounts!$C$185)</f>
        <v/>
      </c>
      <c r="I184" t="str">
        <f>IF([1]Accounts!$D$185="","",[1]Accounts!$D$185)</f>
        <v/>
      </c>
    </row>
    <row r="185" spans="6:9" x14ac:dyDescent="0.2">
      <c r="F185" t="str">
        <f>IF([1]Accounts!$D$186="","",[1]Accounts!$A$186)</f>
        <v/>
      </c>
      <c r="G185" t="str">
        <f>IF([1]Accounts!$D$186="","",[1]Accounts!$B$186)</f>
        <v/>
      </c>
      <c r="H185" t="str">
        <f>IF([1]Accounts!$D$186="","",[1]Accounts!$C$186)</f>
        <v/>
      </c>
      <c r="I185" t="str">
        <f>IF([1]Accounts!$D$186="","",[1]Accounts!$D$186)</f>
        <v/>
      </c>
    </row>
    <row r="186" spans="6:9" x14ac:dyDescent="0.2">
      <c r="F186" t="str">
        <f>IF([1]Accounts!$D$187="","",[1]Accounts!$A$187)</f>
        <v/>
      </c>
      <c r="G186" t="str">
        <f>IF([1]Accounts!$D$187="","",[1]Accounts!$B$187)</f>
        <v/>
      </c>
      <c r="H186" t="str">
        <f>IF([1]Accounts!$D$187="","",[1]Accounts!$C$187)</f>
        <v/>
      </c>
      <c r="I186" t="str">
        <f>IF([1]Accounts!$D$187="","",[1]Accounts!$D$187)</f>
        <v/>
      </c>
    </row>
    <row r="187" spans="6:9" x14ac:dyDescent="0.2">
      <c r="F187" t="str">
        <f>IF([1]Accounts!$D$188="","",[1]Accounts!$A$188)</f>
        <v/>
      </c>
      <c r="G187" t="str">
        <f>IF([1]Accounts!$D$188="","",[1]Accounts!$B$188)</f>
        <v/>
      </c>
      <c r="H187" t="str">
        <f>IF([1]Accounts!$D$188="","",[1]Accounts!$C$188)</f>
        <v/>
      </c>
      <c r="I187" t="str">
        <f>IF([1]Accounts!$D$188="","",[1]Accounts!$D$188)</f>
        <v/>
      </c>
    </row>
    <row r="188" spans="6:9" x14ac:dyDescent="0.2">
      <c r="F188" t="str">
        <f>IF([1]Accounts!$D$189="","",[1]Accounts!$A$189)</f>
        <v/>
      </c>
      <c r="G188" t="str">
        <f>IF([1]Accounts!$D$189="","",[1]Accounts!$B$189)</f>
        <v/>
      </c>
      <c r="H188" t="str">
        <f>IF([1]Accounts!$D$189="","",[1]Accounts!$C$189)</f>
        <v/>
      </c>
      <c r="I188" t="str">
        <f>IF([1]Accounts!$D$189="","",[1]Accounts!$D$189)</f>
        <v/>
      </c>
    </row>
    <row r="189" spans="6:9" x14ac:dyDescent="0.2">
      <c r="F189" t="str">
        <f>IF([1]Accounts!$D$190="","",[1]Accounts!$A$190)</f>
        <v/>
      </c>
      <c r="G189" t="str">
        <f>IF([1]Accounts!$D$190="","",[1]Accounts!$B$190)</f>
        <v/>
      </c>
      <c r="H189" t="str">
        <f>IF([1]Accounts!$D$190="","",[1]Accounts!$C$190)</f>
        <v/>
      </c>
      <c r="I189" t="str">
        <f>IF([1]Accounts!$D$190="","",[1]Accounts!$D$190)</f>
        <v/>
      </c>
    </row>
    <row r="190" spans="6:9" x14ac:dyDescent="0.2">
      <c r="F190" t="str">
        <f>IF([1]Accounts!$D$191="","",[1]Accounts!$A$191)</f>
        <v/>
      </c>
      <c r="G190" t="str">
        <f>IF([1]Accounts!$D$191="","",[1]Accounts!$B$191)</f>
        <v/>
      </c>
      <c r="H190" t="str">
        <f>IF([1]Accounts!$D$191="","",[1]Accounts!$C$191)</f>
        <v/>
      </c>
      <c r="I190" t="str">
        <f>IF([1]Accounts!$D$191="","",[1]Accounts!$D$191)</f>
        <v/>
      </c>
    </row>
    <row r="191" spans="6:9" x14ac:dyDescent="0.2">
      <c r="F191" t="str">
        <f>IF([1]Accounts!$D$192="","",[1]Accounts!$A$192)</f>
        <v/>
      </c>
      <c r="G191" t="str">
        <f>IF([1]Accounts!$D$192="","",[1]Accounts!$B$192)</f>
        <v/>
      </c>
      <c r="H191" t="str">
        <f>IF([1]Accounts!$D$192="","",[1]Accounts!$C$192)</f>
        <v/>
      </c>
      <c r="I191" t="str">
        <f>IF([1]Accounts!$D$192="","",[1]Accounts!$D$192)</f>
        <v/>
      </c>
    </row>
    <row r="192" spans="6:9" x14ac:dyDescent="0.2">
      <c r="F192" t="str">
        <f>IF([1]Accounts!$D$193="","",[1]Accounts!$A$193)</f>
        <v/>
      </c>
      <c r="G192" t="str">
        <f>IF([1]Accounts!$D$193="","",[1]Accounts!$B$193)</f>
        <v/>
      </c>
      <c r="H192" t="str">
        <f>IF([1]Accounts!$D$193="","",[1]Accounts!$C$193)</f>
        <v/>
      </c>
      <c r="I192" t="str">
        <f>IF([1]Accounts!$D$193="","",[1]Accounts!$D$193)</f>
        <v/>
      </c>
    </row>
    <row r="193" spans="6:9" x14ac:dyDescent="0.2">
      <c r="F193" t="str">
        <f>IF([1]Accounts!$D$194="","",[1]Accounts!$A$194)</f>
        <v/>
      </c>
      <c r="G193" t="str">
        <f>IF([1]Accounts!$D$194="","",[1]Accounts!$B$194)</f>
        <v/>
      </c>
      <c r="H193" t="str">
        <f>IF([1]Accounts!$D$194="","",[1]Accounts!$C$194)</f>
        <v/>
      </c>
      <c r="I193" t="str">
        <f>IF([1]Accounts!$D$194="","",[1]Accounts!$D$194)</f>
        <v/>
      </c>
    </row>
    <row r="194" spans="6:9" x14ac:dyDescent="0.2">
      <c r="F194" t="str">
        <f>IF([1]Accounts!$D$195="","",[1]Accounts!$A$195)</f>
        <v/>
      </c>
      <c r="G194" t="str">
        <f>IF([1]Accounts!$D$195="","",[1]Accounts!$B$195)</f>
        <v/>
      </c>
      <c r="H194" t="str">
        <f>IF([1]Accounts!$D$195="","",[1]Accounts!$C$195)</f>
        <v/>
      </c>
      <c r="I194" t="str">
        <f>IF([1]Accounts!$D$195="","",[1]Accounts!$D$195)</f>
        <v/>
      </c>
    </row>
    <row r="195" spans="6:9" x14ac:dyDescent="0.2">
      <c r="F195" t="str">
        <f>IF([1]Accounts!$D$196="","",[1]Accounts!$A$196)</f>
        <v/>
      </c>
      <c r="G195" t="str">
        <f>IF([1]Accounts!$D$196="","",[1]Accounts!$B$196)</f>
        <v/>
      </c>
      <c r="H195" t="str">
        <f>IF([1]Accounts!$D$196="","",[1]Accounts!$C$196)</f>
        <v/>
      </c>
      <c r="I195" t="str">
        <f>IF([1]Accounts!$D$196="","",[1]Accounts!$D$196)</f>
        <v/>
      </c>
    </row>
    <row r="196" spans="6:9" x14ac:dyDescent="0.2">
      <c r="F196" t="str">
        <f>IF([1]Accounts!$D$197="","",[1]Accounts!$A$197)</f>
        <v/>
      </c>
      <c r="G196" t="str">
        <f>IF([1]Accounts!$D$197="","",[1]Accounts!$B$197)</f>
        <v/>
      </c>
      <c r="H196" t="str">
        <f>IF([1]Accounts!$D$197="","",[1]Accounts!$C$197)</f>
        <v/>
      </c>
      <c r="I196" t="str">
        <f>IF([1]Accounts!$D$197="","",[1]Accounts!$D$197)</f>
        <v/>
      </c>
    </row>
    <row r="197" spans="6:9" x14ac:dyDescent="0.2">
      <c r="F197" t="str">
        <f>IF([1]Accounts!$D$198="","",[1]Accounts!$A$198)</f>
        <v/>
      </c>
      <c r="G197" t="str">
        <f>IF([1]Accounts!$D$198="","",[1]Accounts!$B$198)</f>
        <v/>
      </c>
      <c r="H197" t="str">
        <f>IF([1]Accounts!$D$198="","",[1]Accounts!$C$198)</f>
        <v/>
      </c>
      <c r="I197" t="str">
        <f>IF([1]Accounts!$D$198="","",[1]Accounts!$D$198)</f>
        <v/>
      </c>
    </row>
    <row r="198" spans="6:9" x14ac:dyDescent="0.2">
      <c r="F198" t="str">
        <f>IF([1]Accounts!$D$199="","",[1]Accounts!$A$199)</f>
        <v/>
      </c>
      <c r="G198" t="str">
        <f>IF([1]Accounts!$D$199="","",[1]Accounts!$B$199)</f>
        <v/>
      </c>
      <c r="H198" t="str">
        <f>IF([1]Accounts!$D$199="","",[1]Accounts!$C$199)</f>
        <v/>
      </c>
      <c r="I198" t="str">
        <f>IF([1]Accounts!$D$199="","",[1]Accounts!$D$199)</f>
        <v/>
      </c>
    </row>
    <row r="199" spans="6:9" x14ac:dyDescent="0.2">
      <c r="F199" t="str">
        <f>IF([1]Accounts!$D$200="","",[1]Accounts!$A$200)</f>
        <v/>
      </c>
      <c r="G199" t="str">
        <f>IF([1]Accounts!$D$200="","",[1]Accounts!$B$200)</f>
        <v/>
      </c>
      <c r="H199" t="str">
        <f>IF([1]Accounts!$D$200="","",[1]Accounts!$C$200)</f>
        <v/>
      </c>
      <c r="I199" t="str">
        <f>IF([1]Accounts!$D$200="","",[1]Accounts!$D$200)</f>
        <v/>
      </c>
    </row>
    <row r="200" spans="6:9" x14ac:dyDescent="0.2">
      <c r="F200" t="str">
        <f>IF([1]Accounts!$D$201="","",[1]Accounts!$A$201)</f>
        <v/>
      </c>
      <c r="G200" t="str">
        <f>IF([1]Accounts!$D$201="","",[1]Accounts!$B$201)</f>
        <v/>
      </c>
      <c r="H200" t="str">
        <f>IF([1]Accounts!$D$201="","",[1]Accounts!$C$201)</f>
        <v/>
      </c>
      <c r="I200" t="str">
        <f>IF([1]Accounts!$D$201="","",[1]Accounts!$D$201)</f>
        <v/>
      </c>
    </row>
    <row r="201" spans="6:9" x14ac:dyDescent="0.2">
      <c r="F201" t="str">
        <f>IF([1]Accounts!$D$202="","",[1]Accounts!$A$202)</f>
        <v/>
      </c>
      <c r="G201" t="str">
        <f>IF([1]Accounts!$D$202="","",[1]Accounts!$B$202)</f>
        <v/>
      </c>
      <c r="H201" t="str">
        <f>IF([1]Accounts!$D$202="","",[1]Accounts!$C$202)</f>
        <v/>
      </c>
      <c r="I201" t="str">
        <f>IF([1]Accounts!$D$202="","",[1]Accounts!$D$202)</f>
        <v/>
      </c>
    </row>
    <row r="202" spans="6:9" x14ac:dyDescent="0.2">
      <c r="F202" t="str">
        <f>IF([1]Accounts!$D$203="","",[1]Accounts!$A$203)</f>
        <v/>
      </c>
      <c r="G202" t="str">
        <f>IF([1]Accounts!$D$203="","",[1]Accounts!$B$203)</f>
        <v/>
      </c>
      <c r="H202" t="str">
        <f>IF([1]Accounts!$D$203="","",[1]Accounts!$C$203)</f>
        <v/>
      </c>
      <c r="I202" t="str">
        <f>IF([1]Accounts!$D$203="","",[1]Accounts!$D$203)</f>
        <v/>
      </c>
    </row>
    <row r="203" spans="6:9" x14ac:dyDescent="0.2">
      <c r="F203" t="str">
        <f>IF([1]Accounts!$D$204="","",[1]Accounts!$A$204)</f>
        <v/>
      </c>
      <c r="G203" t="str">
        <f>IF([1]Accounts!$D$204="","",[1]Accounts!$B$204)</f>
        <v/>
      </c>
      <c r="H203" t="str">
        <f>IF([1]Accounts!$D$204="","",[1]Accounts!$C$204)</f>
        <v/>
      </c>
      <c r="I203" t="str">
        <f>IF([1]Accounts!$D$204="","",[1]Accounts!$D$204)</f>
        <v/>
      </c>
    </row>
    <row r="204" spans="6:9" x14ac:dyDescent="0.2">
      <c r="F204" t="str">
        <f>IF([1]Accounts!$D$205="","",[1]Accounts!$A$205)</f>
        <v/>
      </c>
      <c r="G204" t="str">
        <f>IF([1]Accounts!$D$205="","",[1]Accounts!$B$205)</f>
        <v/>
      </c>
      <c r="H204" t="str">
        <f>IF([1]Accounts!$D$205="","",[1]Accounts!$C$205)</f>
        <v/>
      </c>
      <c r="I204" t="str">
        <f>IF([1]Accounts!$D$205="","",[1]Accounts!$D$205)</f>
        <v/>
      </c>
    </row>
    <row r="205" spans="6:9" x14ac:dyDescent="0.2">
      <c r="F205" t="str">
        <f>IF([1]Accounts!$D$206="","",[1]Accounts!$A$206)</f>
        <v/>
      </c>
      <c r="G205" t="str">
        <f>IF([1]Accounts!$D$206="","",[1]Accounts!$B$206)</f>
        <v/>
      </c>
      <c r="H205" t="str">
        <f>IF([1]Accounts!$D$206="","",[1]Accounts!$C$206)</f>
        <v/>
      </c>
      <c r="I205" t="str">
        <f>IF([1]Accounts!$D$206="","",[1]Accounts!$D$206)</f>
        <v/>
      </c>
    </row>
    <row r="206" spans="6:9" x14ac:dyDescent="0.2">
      <c r="F206" t="str">
        <f>IF([1]Accounts!$D$207="","",[1]Accounts!$A$207)</f>
        <v>SL001</v>
      </c>
      <c r="G206" t="str">
        <f>IF([1]Accounts!$D$207="","",[1]Accounts!$B$207)</f>
        <v>فروشنده</v>
      </c>
      <c r="H206">
        <f>IF([1]Accounts!$D$207="","",[1]Accounts!$C$207)</f>
        <v>0</v>
      </c>
      <c r="I206" t="str">
        <f>IF([1]Accounts!$D$207="","",[1]Accounts!$D$207)</f>
        <v>قم-سید حسین حسینی</v>
      </c>
    </row>
    <row r="207" spans="6:9" x14ac:dyDescent="0.2">
      <c r="F207" t="str">
        <f>IF([1]Accounts!$D$208="","",[1]Accounts!$A$208)</f>
        <v>SL002</v>
      </c>
      <c r="G207" t="str">
        <f>IF([1]Accounts!$D$208="","",[1]Accounts!$B$208)</f>
        <v>فروشنده</v>
      </c>
      <c r="H207">
        <f>IF([1]Accounts!$D$208="","",[1]Accounts!$C$208)</f>
        <v>0</v>
      </c>
      <c r="I207" t="str">
        <f>IF([1]Accounts!$D$208="","",[1]Accounts!$D$208)</f>
        <v>مشهد-محمد توکلی</v>
      </c>
    </row>
    <row r="208" spans="6:9" x14ac:dyDescent="0.2">
      <c r="F208" t="str">
        <f>IF([1]Accounts!$D$209="","",[1]Accounts!$A$209)</f>
        <v>SL003</v>
      </c>
      <c r="G208" t="str">
        <f>IF([1]Accounts!$D$209="","",[1]Accounts!$B$209)</f>
        <v>فروشنده</v>
      </c>
      <c r="H208">
        <f>IF([1]Accounts!$D$209="","",[1]Accounts!$C$209)</f>
        <v>0</v>
      </c>
      <c r="I208" t="str">
        <f>IF([1]Accounts!$D$209="","",[1]Accounts!$D$209)</f>
        <v>اراک-پوریا خوشنمکیان</v>
      </c>
    </row>
    <row r="209" spans="6:9" x14ac:dyDescent="0.2">
      <c r="F209" t="str">
        <f>IF([1]Accounts!$D$210="","",[1]Accounts!$A$210)</f>
        <v>SL004</v>
      </c>
      <c r="G209" t="str">
        <f>IF([1]Accounts!$D$210="","",[1]Accounts!$B$210)</f>
        <v>فروشنده</v>
      </c>
      <c r="H209">
        <f>IF([1]Accounts!$D$210="","",[1]Accounts!$C$210)</f>
        <v>0</v>
      </c>
      <c r="I209" t="str">
        <f>IF([1]Accounts!$D$210="","",[1]Accounts!$D$210)</f>
        <v>نورزاده-تبریز</v>
      </c>
    </row>
    <row r="210" spans="6:9" x14ac:dyDescent="0.2">
      <c r="F210" t="str">
        <f>IF([1]Accounts!$D$211="","",[1]Accounts!$A$211)</f>
        <v>SL005</v>
      </c>
      <c r="G210" t="str">
        <f>IF([1]Accounts!$D$211="","",[1]Accounts!$B$211)</f>
        <v>فروشنده</v>
      </c>
      <c r="H210">
        <f>IF([1]Accounts!$D$211="","",[1]Accounts!$C$211)</f>
        <v>0</v>
      </c>
      <c r="I210" t="str">
        <f>IF([1]Accounts!$D$211="","",[1]Accounts!$D$211)</f>
        <v>زنجان-خانی</v>
      </c>
    </row>
    <row r="211" spans="6:9" x14ac:dyDescent="0.2">
      <c r="F211" t="str">
        <f>IF([1]Accounts!$D$212="","",[1]Accounts!$A$212)</f>
        <v>SL006</v>
      </c>
      <c r="G211" t="str">
        <f>IF([1]Accounts!$D$212="","",[1]Accounts!$B$212)</f>
        <v>فروشنده</v>
      </c>
      <c r="H211">
        <f>IF([1]Accounts!$D$212="","",[1]Accounts!$C$212)</f>
        <v>0</v>
      </c>
      <c r="I211" t="str">
        <f>IF([1]Accounts!$D$212="","",[1]Accounts!$D$212)</f>
        <v>بوکان</v>
      </c>
    </row>
    <row r="212" spans="6:9" x14ac:dyDescent="0.2">
      <c r="F212" t="str">
        <f>IF([1]Accounts!$D$213="","",[1]Accounts!$A$213)</f>
        <v/>
      </c>
      <c r="G212" t="str">
        <f>IF([1]Accounts!$D$213="","",[1]Accounts!$B$213)</f>
        <v/>
      </c>
      <c r="H212" t="str">
        <f>IF([1]Accounts!$D$213="","",[1]Accounts!$C$213)</f>
        <v/>
      </c>
      <c r="I212" t="str">
        <f>IF([1]Accounts!$D$213="","",[1]Accounts!$D$213)</f>
        <v/>
      </c>
    </row>
    <row r="213" spans="6:9" x14ac:dyDescent="0.2">
      <c r="F213" t="str">
        <f>IF([1]Accounts!$D$214="","",[1]Accounts!$A$214)</f>
        <v/>
      </c>
      <c r="G213" t="str">
        <f>IF([1]Accounts!$D$214="","",[1]Accounts!$B$214)</f>
        <v/>
      </c>
      <c r="H213" t="str">
        <f>IF([1]Accounts!$D$214="","",[1]Accounts!$C$214)</f>
        <v/>
      </c>
      <c r="I213" t="str">
        <f>IF([1]Accounts!$D$214="","",[1]Accounts!$D$214)</f>
        <v/>
      </c>
    </row>
    <row r="214" spans="6:9" x14ac:dyDescent="0.2">
      <c r="F214" t="str">
        <f>IF([1]Accounts!$D$215="","",[1]Accounts!$A$215)</f>
        <v/>
      </c>
      <c r="G214" t="str">
        <f>IF([1]Accounts!$D$215="","",[1]Accounts!$B$215)</f>
        <v/>
      </c>
      <c r="H214" t="str">
        <f>IF([1]Accounts!$D$215="","",[1]Accounts!$C$215)</f>
        <v/>
      </c>
      <c r="I214" t="str">
        <f>IF([1]Accounts!$D$215="","",[1]Accounts!$D$215)</f>
        <v/>
      </c>
    </row>
    <row r="215" spans="6:9" x14ac:dyDescent="0.2">
      <c r="F215" t="str">
        <f>IF([1]Accounts!$D$216="","",[1]Accounts!$A$216)</f>
        <v/>
      </c>
      <c r="G215" t="str">
        <f>IF([1]Accounts!$D$216="","",[1]Accounts!$B$216)</f>
        <v/>
      </c>
      <c r="H215" t="str">
        <f>IF([1]Accounts!$D$216="","",[1]Accounts!$C$216)</f>
        <v/>
      </c>
      <c r="I215" t="str">
        <f>IF([1]Accounts!$D$216="","",[1]Accounts!$D$216)</f>
        <v/>
      </c>
    </row>
    <row r="216" spans="6:9" x14ac:dyDescent="0.2">
      <c r="F216" t="str">
        <f>IF([1]Accounts!$D$217="","",[1]Accounts!$A$217)</f>
        <v/>
      </c>
      <c r="G216" t="str">
        <f>IF([1]Accounts!$D$217="","",[1]Accounts!$B$217)</f>
        <v/>
      </c>
      <c r="H216" t="str">
        <f>IF([1]Accounts!$D$217="","",[1]Accounts!$C$217)</f>
        <v/>
      </c>
      <c r="I216" t="str">
        <f>IF([1]Accounts!$D$217="","",[1]Accounts!$D$217)</f>
        <v/>
      </c>
    </row>
    <row r="217" spans="6:9" x14ac:dyDescent="0.2">
      <c r="F217" t="str">
        <f>IF([1]Accounts!$D$218="","",[1]Accounts!$A$218)</f>
        <v/>
      </c>
      <c r="G217" t="str">
        <f>IF([1]Accounts!$D$218="","",[1]Accounts!$B$218)</f>
        <v/>
      </c>
      <c r="H217" t="str">
        <f>IF([1]Accounts!$D$218="","",[1]Accounts!$C$218)</f>
        <v/>
      </c>
      <c r="I217" t="str">
        <f>IF([1]Accounts!$D$218="","",[1]Accounts!$D$218)</f>
        <v/>
      </c>
    </row>
    <row r="218" spans="6:9" x14ac:dyDescent="0.2">
      <c r="F218" t="str">
        <f>IF([1]Accounts!$D$219="","",[1]Accounts!$A$219)</f>
        <v/>
      </c>
      <c r="G218" t="str">
        <f>IF([1]Accounts!$D$219="","",[1]Accounts!$B$219)</f>
        <v/>
      </c>
      <c r="H218" t="str">
        <f>IF([1]Accounts!$D$219="","",[1]Accounts!$C$219)</f>
        <v/>
      </c>
      <c r="I218" t="str">
        <f>IF([1]Accounts!$D$219="","",[1]Accounts!$D$219)</f>
        <v/>
      </c>
    </row>
    <row r="219" spans="6:9" x14ac:dyDescent="0.2">
      <c r="F219" t="str">
        <f>IF([1]Accounts!$D$220="","",[1]Accounts!$A$220)</f>
        <v/>
      </c>
      <c r="G219" t="str">
        <f>IF([1]Accounts!$D$220="","",[1]Accounts!$B$220)</f>
        <v/>
      </c>
      <c r="H219" t="str">
        <f>IF([1]Accounts!$D$220="","",[1]Accounts!$C$220)</f>
        <v/>
      </c>
      <c r="I219" t="str">
        <f>IF([1]Accounts!$D$220="","",[1]Accounts!$D$220)</f>
        <v/>
      </c>
    </row>
    <row r="220" spans="6:9" x14ac:dyDescent="0.2">
      <c r="F220" t="str">
        <f>IF([1]Accounts!$D$221="","",[1]Accounts!$A$221)</f>
        <v/>
      </c>
      <c r="G220" t="str">
        <f>IF([1]Accounts!$D$221="","",[1]Accounts!$B$221)</f>
        <v/>
      </c>
      <c r="H220" t="str">
        <f>IF([1]Accounts!$D$221="","",[1]Accounts!$C$221)</f>
        <v/>
      </c>
      <c r="I220" t="str">
        <f>IF([1]Accounts!$D$221="","",[1]Accounts!$D$221)</f>
        <v/>
      </c>
    </row>
    <row r="221" spans="6:9" x14ac:dyDescent="0.2">
      <c r="F221" t="str">
        <f>IF([1]Accounts!$D$222="","",[1]Accounts!$A$222)</f>
        <v/>
      </c>
      <c r="G221" t="str">
        <f>IF([1]Accounts!$D$222="","",[1]Accounts!$B$222)</f>
        <v/>
      </c>
      <c r="H221" t="str">
        <f>IF([1]Accounts!$D$222="","",[1]Accounts!$C$222)</f>
        <v/>
      </c>
      <c r="I221" t="str">
        <f>IF([1]Accounts!$D$222="","",[1]Accounts!$D$222)</f>
        <v/>
      </c>
    </row>
    <row r="222" spans="6:9" x14ac:dyDescent="0.2">
      <c r="F222" t="str">
        <f>IF([1]Accounts!$D$223="","",[1]Accounts!$A$223)</f>
        <v/>
      </c>
      <c r="G222" t="str">
        <f>IF([1]Accounts!$D$223="","",[1]Accounts!$B$223)</f>
        <v/>
      </c>
      <c r="H222" t="str">
        <f>IF([1]Accounts!$D$223="","",[1]Accounts!$C$223)</f>
        <v/>
      </c>
      <c r="I222" t="str">
        <f>IF([1]Accounts!$D$223="","",[1]Accounts!$D$223)</f>
        <v/>
      </c>
    </row>
    <row r="223" spans="6:9" x14ac:dyDescent="0.2">
      <c r="F223" t="str">
        <f>IF([1]Accounts!$D$224="","",[1]Accounts!$A$224)</f>
        <v/>
      </c>
      <c r="G223" t="str">
        <f>IF([1]Accounts!$D$224="","",[1]Accounts!$B$224)</f>
        <v/>
      </c>
      <c r="H223" t="str">
        <f>IF([1]Accounts!$D$224="","",[1]Accounts!$C$224)</f>
        <v/>
      </c>
      <c r="I223" t="str">
        <f>IF([1]Accounts!$D$224="","",[1]Accounts!$D$224)</f>
        <v/>
      </c>
    </row>
    <row r="224" spans="6:9" x14ac:dyDescent="0.2">
      <c r="F224" t="str">
        <f>IF([1]Accounts!$D$225="","",[1]Accounts!$A$225)</f>
        <v/>
      </c>
      <c r="G224" t="str">
        <f>IF([1]Accounts!$D$225="","",[1]Accounts!$B$225)</f>
        <v/>
      </c>
      <c r="H224" t="str">
        <f>IF([1]Accounts!$D$225="","",[1]Accounts!$C$225)</f>
        <v/>
      </c>
      <c r="I224" t="str">
        <f>IF([1]Accounts!$D$225="","",[1]Accounts!$D$225)</f>
        <v/>
      </c>
    </row>
    <row r="225" spans="6:9" x14ac:dyDescent="0.2">
      <c r="F225" t="str">
        <f>IF([1]Accounts!$D$226="","",[1]Accounts!$A$226)</f>
        <v/>
      </c>
      <c r="G225" t="str">
        <f>IF([1]Accounts!$D$226="","",[1]Accounts!$B$226)</f>
        <v/>
      </c>
      <c r="H225" t="str">
        <f>IF([1]Accounts!$D$226="","",[1]Accounts!$C$226)</f>
        <v/>
      </c>
      <c r="I225" t="str">
        <f>IF([1]Accounts!$D$226="","",[1]Accounts!$D$226)</f>
        <v/>
      </c>
    </row>
    <row r="226" spans="6:9" x14ac:dyDescent="0.2">
      <c r="F226" t="str">
        <f>IF([1]Accounts!$D$227="","",[1]Accounts!$A$227)</f>
        <v/>
      </c>
      <c r="G226" t="str">
        <f>IF([1]Accounts!$D$227="","",[1]Accounts!$B$227)</f>
        <v/>
      </c>
      <c r="H226" t="str">
        <f>IF([1]Accounts!$D$227="","",[1]Accounts!$C$227)</f>
        <v/>
      </c>
      <c r="I226" t="str">
        <f>IF([1]Accounts!$D$227="","",[1]Accounts!$D$227)</f>
        <v/>
      </c>
    </row>
    <row r="227" spans="6:9" x14ac:dyDescent="0.2">
      <c r="F227" t="str">
        <f>IF([1]Accounts!$D$228="","",[1]Accounts!$A$228)</f>
        <v/>
      </c>
      <c r="G227" t="str">
        <f>IF([1]Accounts!$D$228="","",[1]Accounts!$B$228)</f>
        <v/>
      </c>
      <c r="H227" t="str">
        <f>IF([1]Accounts!$D$228="","",[1]Accounts!$C$228)</f>
        <v/>
      </c>
      <c r="I227" t="str">
        <f>IF([1]Accounts!$D$228="","",[1]Accounts!$D$228)</f>
        <v/>
      </c>
    </row>
    <row r="228" spans="6:9" x14ac:dyDescent="0.2">
      <c r="F228" t="str">
        <f>IF([1]Accounts!$D$229="","",[1]Accounts!$A$229)</f>
        <v/>
      </c>
      <c r="G228" t="str">
        <f>IF([1]Accounts!$D$229="","",[1]Accounts!$B$229)</f>
        <v/>
      </c>
      <c r="H228" t="str">
        <f>IF([1]Accounts!$D$229="","",[1]Accounts!$C$229)</f>
        <v/>
      </c>
      <c r="I228" t="str">
        <f>IF([1]Accounts!$D$229="","",[1]Accounts!$D$229)</f>
        <v/>
      </c>
    </row>
    <row r="229" spans="6:9" x14ac:dyDescent="0.2">
      <c r="F229" t="str">
        <f>IF([1]Accounts!$D$230="","",[1]Accounts!$A$230)</f>
        <v/>
      </c>
      <c r="G229" t="str">
        <f>IF([1]Accounts!$D$230="","",[1]Accounts!$B$230)</f>
        <v/>
      </c>
      <c r="H229" t="str">
        <f>IF([1]Accounts!$D$230="","",[1]Accounts!$C$230)</f>
        <v/>
      </c>
      <c r="I229" t="str">
        <f>IF([1]Accounts!$D$230="","",[1]Accounts!$D$230)</f>
        <v/>
      </c>
    </row>
    <row r="230" spans="6:9" x14ac:dyDescent="0.2">
      <c r="F230" t="str">
        <f>IF([1]Accounts!$D$231="","",[1]Accounts!$A$231)</f>
        <v/>
      </c>
      <c r="G230" t="str">
        <f>IF([1]Accounts!$D$231="","",[1]Accounts!$B$231)</f>
        <v/>
      </c>
      <c r="H230" t="str">
        <f>IF([1]Accounts!$D$231="","",[1]Accounts!$C$231)</f>
        <v/>
      </c>
      <c r="I230" t="str">
        <f>IF([1]Accounts!$D$231="","",[1]Accounts!$D$231)</f>
        <v/>
      </c>
    </row>
    <row r="231" spans="6:9" x14ac:dyDescent="0.2">
      <c r="F231" t="str">
        <f>IF([1]Accounts!$D$232="","",[1]Accounts!$A$232)</f>
        <v/>
      </c>
      <c r="G231" t="str">
        <f>IF([1]Accounts!$D$232="","",[1]Accounts!$B$232)</f>
        <v/>
      </c>
      <c r="H231" t="str">
        <f>IF([1]Accounts!$D$232="","",[1]Accounts!$C$232)</f>
        <v/>
      </c>
      <c r="I231" t="str">
        <f>IF([1]Accounts!$D$232="","",[1]Accounts!$D$232)</f>
        <v/>
      </c>
    </row>
    <row r="232" spans="6:9" x14ac:dyDescent="0.2">
      <c r="F232" t="str">
        <f>IF([1]Accounts!$D$233="","",[1]Accounts!$A$233)</f>
        <v/>
      </c>
      <c r="G232" t="str">
        <f>IF([1]Accounts!$D$233="","",[1]Accounts!$B$233)</f>
        <v/>
      </c>
      <c r="H232" t="str">
        <f>IF([1]Accounts!$D$233="","",[1]Accounts!$C$233)</f>
        <v/>
      </c>
      <c r="I232" t="str">
        <f>IF([1]Accounts!$D$233="","",[1]Accounts!$D$233)</f>
        <v/>
      </c>
    </row>
    <row r="233" spans="6:9" x14ac:dyDescent="0.2">
      <c r="F233" t="str">
        <f>IF([1]Accounts!$D$234="","",[1]Accounts!$A$234)</f>
        <v/>
      </c>
      <c r="G233" t="str">
        <f>IF([1]Accounts!$D$234="","",[1]Accounts!$B$234)</f>
        <v/>
      </c>
      <c r="H233" t="str">
        <f>IF([1]Accounts!$D$234="","",[1]Accounts!$C$234)</f>
        <v/>
      </c>
      <c r="I233" t="str">
        <f>IF([1]Accounts!$D$234="","",[1]Accounts!$D$234)</f>
        <v/>
      </c>
    </row>
    <row r="234" spans="6:9" x14ac:dyDescent="0.2">
      <c r="F234" t="str">
        <f>IF([1]Accounts!$D$235="","",[1]Accounts!$A$235)</f>
        <v/>
      </c>
      <c r="G234" t="str">
        <f>IF([1]Accounts!$D$235="","",[1]Accounts!$B$235)</f>
        <v/>
      </c>
      <c r="H234" t="str">
        <f>IF([1]Accounts!$D$235="","",[1]Accounts!$C$235)</f>
        <v/>
      </c>
      <c r="I234" t="str">
        <f>IF([1]Accounts!$D$235="","",[1]Accounts!$D$235)</f>
        <v/>
      </c>
    </row>
    <row r="235" spans="6:9" x14ac:dyDescent="0.2">
      <c r="F235" t="str">
        <f>IF([1]Accounts!$D$236="","",[1]Accounts!$A$236)</f>
        <v/>
      </c>
      <c r="G235" t="str">
        <f>IF([1]Accounts!$D$236="","",[1]Accounts!$B$236)</f>
        <v/>
      </c>
      <c r="H235" t="str">
        <f>IF([1]Accounts!$D$236="","",[1]Accounts!$C$236)</f>
        <v/>
      </c>
      <c r="I235" t="str">
        <f>IF([1]Accounts!$D$236="","",[1]Accounts!$D$236)</f>
        <v/>
      </c>
    </row>
    <row r="236" spans="6:9" x14ac:dyDescent="0.2">
      <c r="F236" t="str">
        <f>IF([1]Accounts!$D$237="","",[1]Accounts!$A$237)</f>
        <v/>
      </c>
      <c r="G236" t="str">
        <f>IF([1]Accounts!$D$237="","",[1]Accounts!$B$237)</f>
        <v/>
      </c>
      <c r="H236" t="str">
        <f>IF([1]Accounts!$D$237="","",[1]Accounts!$C$237)</f>
        <v/>
      </c>
      <c r="I236" t="str">
        <f>IF([1]Accounts!$D$237="","",[1]Accounts!$D$237)</f>
        <v/>
      </c>
    </row>
    <row r="237" spans="6:9" x14ac:dyDescent="0.2">
      <c r="F237" t="str">
        <f>IF([1]Accounts!$D$238="","",[1]Accounts!$A$238)</f>
        <v/>
      </c>
      <c r="G237" t="str">
        <f>IF([1]Accounts!$D$238="","",[1]Accounts!$B$238)</f>
        <v/>
      </c>
      <c r="H237" t="str">
        <f>IF([1]Accounts!$D$238="","",[1]Accounts!$C$238)</f>
        <v/>
      </c>
      <c r="I237" t="str">
        <f>IF([1]Accounts!$D$238="","",[1]Accounts!$D$238)</f>
        <v/>
      </c>
    </row>
    <row r="238" spans="6:9" x14ac:dyDescent="0.2">
      <c r="F238" t="str">
        <f>IF([1]Accounts!$D$239="","",[1]Accounts!$A$239)</f>
        <v/>
      </c>
      <c r="G238" t="str">
        <f>IF([1]Accounts!$D$239="","",[1]Accounts!$B$239)</f>
        <v/>
      </c>
      <c r="H238" t="str">
        <f>IF([1]Accounts!$D$239="","",[1]Accounts!$C$239)</f>
        <v/>
      </c>
      <c r="I238" t="str">
        <f>IF([1]Accounts!$D$239="","",[1]Accounts!$D$239)</f>
        <v/>
      </c>
    </row>
    <row r="239" spans="6:9" x14ac:dyDescent="0.2">
      <c r="F239" t="str">
        <f>IF([1]Accounts!$D$240="","",[1]Accounts!$A$240)</f>
        <v/>
      </c>
      <c r="G239" t="str">
        <f>IF([1]Accounts!$D$240="","",[1]Accounts!$B$240)</f>
        <v/>
      </c>
      <c r="H239" t="str">
        <f>IF([1]Accounts!$D$240="","",[1]Accounts!$C$240)</f>
        <v/>
      </c>
      <c r="I239" t="str">
        <f>IF([1]Accounts!$D$240="","",[1]Accounts!$D$240)</f>
        <v/>
      </c>
    </row>
    <row r="240" spans="6:9" x14ac:dyDescent="0.2">
      <c r="F240" t="str">
        <f>IF([1]Accounts!$D$241="","",[1]Accounts!$A$241)</f>
        <v/>
      </c>
      <c r="G240" t="str">
        <f>IF([1]Accounts!$D$241="","",[1]Accounts!$B$241)</f>
        <v/>
      </c>
      <c r="H240" t="str">
        <f>IF([1]Accounts!$D$241="","",[1]Accounts!$C$241)</f>
        <v/>
      </c>
      <c r="I240" t="str">
        <f>IF([1]Accounts!$D$241="","",[1]Accounts!$D$241)</f>
        <v/>
      </c>
    </row>
    <row r="241" spans="6:9" x14ac:dyDescent="0.2">
      <c r="F241" t="str">
        <f>IF([1]Accounts!$D$242="","",[1]Accounts!$A$242)</f>
        <v/>
      </c>
      <c r="G241" t="str">
        <f>IF([1]Accounts!$D$242="","",[1]Accounts!$B$242)</f>
        <v/>
      </c>
      <c r="H241" t="str">
        <f>IF([1]Accounts!$D$242="","",[1]Accounts!$C$242)</f>
        <v/>
      </c>
      <c r="I241" t="str">
        <f>IF([1]Accounts!$D$242="","",[1]Accounts!$D$242)</f>
        <v/>
      </c>
    </row>
    <row r="242" spans="6:9" x14ac:dyDescent="0.2">
      <c r="F242" t="str">
        <f>IF([1]Accounts!$D$243="","",[1]Accounts!$A$243)</f>
        <v/>
      </c>
      <c r="G242" t="str">
        <f>IF([1]Accounts!$D$243="","",[1]Accounts!$B$243)</f>
        <v/>
      </c>
      <c r="H242" t="str">
        <f>IF([1]Accounts!$D$243="","",[1]Accounts!$C$243)</f>
        <v/>
      </c>
      <c r="I242" t="str">
        <f>IF([1]Accounts!$D$243="","",[1]Accounts!$D$243)</f>
        <v/>
      </c>
    </row>
    <row r="243" spans="6:9" x14ac:dyDescent="0.2">
      <c r="F243" t="str">
        <f>IF([1]Accounts!$D$244="","",[1]Accounts!$A$244)</f>
        <v/>
      </c>
      <c r="G243" t="str">
        <f>IF([1]Accounts!$D$244="","",[1]Accounts!$B$244)</f>
        <v/>
      </c>
      <c r="H243" t="str">
        <f>IF([1]Accounts!$D$244="","",[1]Accounts!$C$244)</f>
        <v/>
      </c>
      <c r="I243" t="str">
        <f>IF([1]Accounts!$D$244="","",[1]Accounts!$D$244)</f>
        <v/>
      </c>
    </row>
    <row r="244" spans="6:9" x14ac:dyDescent="0.2">
      <c r="F244" t="str">
        <f>IF([1]Accounts!$D$245="","",[1]Accounts!$A$245)</f>
        <v/>
      </c>
      <c r="G244" t="str">
        <f>IF([1]Accounts!$D$245="","",[1]Accounts!$B$245)</f>
        <v/>
      </c>
      <c r="H244" t="str">
        <f>IF([1]Accounts!$D$245="","",[1]Accounts!$C$245)</f>
        <v/>
      </c>
      <c r="I244" t="str">
        <f>IF([1]Accounts!$D$245="","",[1]Accounts!$D$245)</f>
        <v/>
      </c>
    </row>
    <row r="245" spans="6:9" x14ac:dyDescent="0.2">
      <c r="F245" t="str">
        <f>IF([1]Accounts!$D$246="","",[1]Accounts!$A$246)</f>
        <v/>
      </c>
      <c r="G245" t="str">
        <f>IF([1]Accounts!$D$246="","",[1]Accounts!$B$246)</f>
        <v/>
      </c>
      <c r="H245" t="str">
        <f>IF([1]Accounts!$D$246="","",[1]Accounts!$C$246)</f>
        <v/>
      </c>
      <c r="I245" t="str">
        <f>IF([1]Accounts!$D$246="","",[1]Accounts!$D$246)</f>
        <v/>
      </c>
    </row>
    <row r="246" spans="6:9" x14ac:dyDescent="0.2">
      <c r="F246" t="str">
        <f>IF([1]Accounts!$D$247="","",[1]Accounts!$A$247)</f>
        <v/>
      </c>
      <c r="G246" t="str">
        <f>IF([1]Accounts!$D$247="","",[1]Accounts!$B$247)</f>
        <v/>
      </c>
      <c r="H246" t="str">
        <f>IF([1]Accounts!$D$247="","",[1]Accounts!$C$247)</f>
        <v/>
      </c>
      <c r="I246" t="str">
        <f>IF([1]Accounts!$D$247="","",[1]Accounts!$D$247)</f>
        <v/>
      </c>
    </row>
    <row r="247" spans="6:9" x14ac:dyDescent="0.2">
      <c r="F247" t="str">
        <f>IF([1]Accounts!$D$248="","",[1]Accounts!$A$248)</f>
        <v/>
      </c>
      <c r="G247" t="str">
        <f>IF([1]Accounts!$D$248="","",[1]Accounts!$B$248)</f>
        <v/>
      </c>
      <c r="H247" t="str">
        <f>IF([1]Accounts!$D$248="","",[1]Accounts!$C$248)</f>
        <v/>
      </c>
      <c r="I247" t="str">
        <f>IF([1]Accounts!$D$248="","",[1]Accounts!$D$248)</f>
        <v/>
      </c>
    </row>
    <row r="248" spans="6:9" x14ac:dyDescent="0.2">
      <c r="F248" t="str">
        <f>IF([1]Accounts!$D$249="","",[1]Accounts!$A$249)</f>
        <v/>
      </c>
      <c r="G248" t="str">
        <f>IF([1]Accounts!$D$249="","",[1]Accounts!$B$249)</f>
        <v/>
      </c>
      <c r="H248" t="str">
        <f>IF([1]Accounts!$D$249="","",[1]Accounts!$C$249)</f>
        <v/>
      </c>
      <c r="I248" t="str">
        <f>IF([1]Accounts!$D$249="","",[1]Accounts!$D$249)</f>
        <v/>
      </c>
    </row>
    <row r="249" spans="6:9" x14ac:dyDescent="0.2">
      <c r="F249" t="str">
        <f>IF([1]Accounts!$D$250="","",[1]Accounts!$A$250)</f>
        <v/>
      </c>
      <c r="G249" t="str">
        <f>IF([1]Accounts!$D$250="","",[1]Accounts!$B$250)</f>
        <v/>
      </c>
      <c r="H249" t="str">
        <f>IF([1]Accounts!$D$250="","",[1]Accounts!$C$250)</f>
        <v/>
      </c>
      <c r="I249" t="str">
        <f>IF([1]Accounts!$D$250="","",[1]Accounts!$D$250)</f>
        <v/>
      </c>
    </row>
    <row r="250" spans="6:9" x14ac:dyDescent="0.2">
      <c r="F250" t="str">
        <f>IF([1]Accounts!$D$251="","",[1]Accounts!$A$251)</f>
        <v/>
      </c>
      <c r="G250" t="str">
        <f>IF([1]Accounts!$D$251="","",[1]Accounts!$B$251)</f>
        <v/>
      </c>
      <c r="H250" t="str">
        <f>IF([1]Accounts!$D$251="","",[1]Accounts!$C$251)</f>
        <v/>
      </c>
      <c r="I250" t="str">
        <f>IF([1]Accounts!$D$251="","",[1]Accounts!$D$251)</f>
        <v/>
      </c>
    </row>
    <row r="251" spans="6:9" x14ac:dyDescent="0.2">
      <c r="F251" t="str">
        <f>IF([1]Accounts!$D$252="","",[1]Accounts!$A$252)</f>
        <v/>
      </c>
      <c r="G251" t="str">
        <f>IF([1]Accounts!$D$252="","",[1]Accounts!$B$252)</f>
        <v/>
      </c>
      <c r="H251" t="str">
        <f>IF([1]Accounts!$D$252="","",[1]Accounts!$C$252)</f>
        <v/>
      </c>
      <c r="I251" t="str">
        <f>IF([1]Accounts!$D$252="","",[1]Accounts!$D$252)</f>
        <v/>
      </c>
    </row>
    <row r="252" spans="6:9" x14ac:dyDescent="0.2">
      <c r="F252" t="str">
        <f>IF([1]Accounts!$D$253="","",[1]Accounts!$A$253)</f>
        <v/>
      </c>
      <c r="G252" t="str">
        <f>IF([1]Accounts!$D$253="","",[1]Accounts!$B$253)</f>
        <v/>
      </c>
      <c r="H252" t="str">
        <f>IF([1]Accounts!$D$253="","",[1]Accounts!$C$253)</f>
        <v/>
      </c>
      <c r="I252" t="str">
        <f>IF([1]Accounts!$D$253="","",[1]Accounts!$D$253)</f>
        <v/>
      </c>
    </row>
    <row r="253" spans="6:9" x14ac:dyDescent="0.2">
      <c r="F253" t="str">
        <f>IF([1]Accounts!$D$254="","",[1]Accounts!$A$254)</f>
        <v/>
      </c>
      <c r="G253" t="str">
        <f>IF([1]Accounts!$D$254="","",[1]Accounts!$B$254)</f>
        <v/>
      </c>
      <c r="H253" t="str">
        <f>IF([1]Accounts!$D$254="","",[1]Accounts!$C$254)</f>
        <v/>
      </c>
      <c r="I253" t="str">
        <f>IF([1]Accounts!$D$254="","",[1]Accounts!$D$254)</f>
        <v/>
      </c>
    </row>
    <row r="254" spans="6:9" x14ac:dyDescent="0.2">
      <c r="F254" t="str">
        <f>IF([1]Accounts!$D$255="","",[1]Accounts!$A$255)</f>
        <v/>
      </c>
      <c r="G254" t="str">
        <f>IF([1]Accounts!$D$255="","",[1]Accounts!$B$255)</f>
        <v/>
      </c>
      <c r="H254" t="str">
        <f>IF([1]Accounts!$D$255="","",[1]Accounts!$C$255)</f>
        <v/>
      </c>
      <c r="I254" t="str">
        <f>IF([1]Accounts!$D$255="","",[1]Accounts!$D$255)</f>
        <v/>
      </c>
    </row>
    <row r="255" spans="6:9" x14ac:dyDescent="0.2">
      <c r="F255" t="str">
        <f>IF([1]Accounts!$D$256="","",[1]Accounts!$A$256)</f>
        <v/>
      </c>
      <c r="G255" t="str">
        <f>IF([1]Accounts!$D$256="","",[1]Accounts!$B$256)</f>
        <v/>
      </c>
      <c r="H255" t="str">
        <f>IF([1]Accounts!$D$256="","",[1]Accounts!$C$256)</f>
        <v/>
      </c>
      <c r="I255" t="str">
        <f>IF([1]Accounts!$D$256="","",[1]Accounts!$D$256)</f>
        <v/>
      </c>
    </row>
    <row r="256" spans="6:9" x14ac:dyDescent="0.2">
      <c r="F256" t="str">
        <f>IF([1]Accounts!$D$257="","",[1]Accounts!$A$257)</f>
        <v/>
      </c>
      <c r="G256" t="str">
        <f>IF([1]Accounts!$D$257="","",[1]Accounts!$B$257)</f>
        <v/>
      </c>
      <c r="H256" t="str">
        <f>IF([1]Accounts!$D$257="","",[1]Accounts!$C$257)</f>
        <v/>
      </c>
      <c r="I256" t="str">
        <f>IF([1]Accounts!$D$257="","",[1]Accounts!$D$257)</f>
        <v/>
      </c>
    </row>
    <row r="257" spans="6:9" x14ac:dyDescent="0.2">
      <c r="F257" t="str">
        <f>IF([1]Accounts!$D$258="","",[1]Accounts!$A$258)</f>
        <v/>
      </c>
      <c r="G257" t="str">
        <f>IF([1]Accounts!$D$258="","",[1]Accounts!$B$258)</f>
        <v/>
      </c>
      <c r="H257" t="str">
        <f>IF([1]Accounts!$D$258="","",[1]Accounts!$C$258)</f>
        <v/>
      </c>
      <c r="I257" t="str">
        <f>IF([1]Accounts!$D$258="","",[1]Accounts!$D$258)</f>
        <v/>
      </c>
    </row>
    <row r="258" spans="6:9" x14ac:dyDescent="0.2">
      <c r="F258" t="str">
        <f>IF([1]Accounts!$D$259="","",[1]Accounts!$A$259)</f>
        <v/>
      </c>
      <c r="G258" t="str">
        <f>IF([1]Accounts!$D$259="","",[1]Accounts!$B$259)</f>
        <v/>
      </c>
      <c r="H258" t="str">
        <f>IF([1]Accounts!$D$259="","",[1]Accounts!$C$259)</f>
        <v/>
      </c>
      <c r="I258" t="str">
        <f>IF([1]Accounts!$D$259="","",[1]Accounts!$D$259)</f>
        <v/>
      </c>
    </row>
    <row r="259" spans="6:9" x14ac:dyDescent="0.2">
      <c r="F259" t="str">
        <f>IF([1]Accounts!$D$260="","",[1]Accounts!$A$260)</f>
        <v/>
      </c>
      <c r="G259" t="str">
        <f>IF([1]Accounts!$D$260="","",[1]Accounts!$B$260)</f>
        <v/>
      </c>
      <c r="H259" t="str">
        <f>IF([1]Accounts!$D$260="","",[1]Accounts!$C$260)</f>
        <v/>
      </c>
      <c r="I259" t="str">
        <f>IF([1]Accounts!$D$260="","",[1]Accounts!$D$260)</f>
        <v/>
      </c>
    </row>
    <row r="260" spans="6:9" x14ac:dyDescent="0.2">
      <c r="F260" t="str">
        <f>IF([1]Accounts!$D$261="","",[1]Accounts!$A$261)</f>
        <v/>
      </c>
      <c r="G260" t="str">
        <f>IF([1]Accounts!$D$261="","",[1]Accounts!$B$261)</f>
        <v/>
      </c>
      <c r="H260" t="str">
        <f>IF([1]Accounts!$D$261="","",[1]Accounts!$C$261)</f>
        <v/>
      </c>
      <c r="I260" t="str">
        <f>IF([1]Accounts!$D$261="","",[1]Accounts!$D$261)</f>
        <v/>
      </c>
    </row>
    <row r="261" spans="6:9" x14ac:dyDescent="0.2">
      <c r="F261" t="str">
        <f>IF([1]Accounts!$D$262="","",[1]Accounts!$A$262)</f>
        <v/>
      </c>
      <c r="G261" t="str">
        <f>IF([1]Accounts!$D$262="","",[1]Accounts!$B$262)</f>
        <v/>
      </c>
      <c r="H261" t="str">
        <f>IF([1]Accounts!$D$262="","",[1]Accounts!$C$262)</f>
        <v/>
      </c>
      <c r="I261" t="str">
        <f>IF([1]Accounts!$D$262="","",[1]Accounts!$D$262)</f>
        <v/>
      </c>
    </row>
    <row r="262" spans="6:9" x14ac:dyDescent="0.2">
      <c r="F262" t="str">
        <f>IF([1]Accounts!$D$263="","",[1]Accounts!$A$263)</f>
        <v/>
      </c>
      <c r="G262" t="str">
        <f>IF([1]Accounts!$D$263="","",[1]Accounts!$B$263)</f>
        <v/>
      </c>
      <c r="H262" t="str">
        <f>IF([1]Accounts!$D$263="","",[1]Accounts!$C$263)</f>
        <v/>
      </c>
      <c r="I262" t="str">
        <f>IF([1]Accounts!$D$263="","",[1]Accounts!$D$263)</f>
        <v/>
      </c>
    </row>
    <row r="263" spans="6:9" x14ac:dyDescent="0.2">
      <c r="F263" t="str">
        <f>IF([1]Accounts!$D$264="","",[1]Accounts!$A$264)</f>
        <v/>
      </c>
      <c r="G263" t="str">
        <f>IF([1]Accounts!$D$264="","",[1]Accounts!$B$264)</f>
        <v/>
      </c>
      <c r="H263" t="str">
        <f>IF([1]Accounts!$D$264="","",[1]Accounts!$C$264)</f>
        <v/>
      </c>
      <c r="I263" t="str">
        <f>IF([1]Accounts!$D$264="","",[1]Accounts!$D$264)</f>
        <v/>
      </c>
    </row>
    <row r="264" spans="6:9" x14ac:dyDescent="0.2">
      <c r="F264" t="str">
        <f>IF([1]Accounts!$D$265="","",[1]Accounts!$A$265)</f>
        <v/>
      </c>
      <c r="G264" t="str">
        <f>IF([1]Accounts!$D$265="","",[1]Accounts!$B$265)</f>
        <v/>
      </c>
      <c r="H264" t="str">
        <f>IF([1]Accounts!$D$265="","",[1]Accounts!$C$265)</f>
        <v/>
      </c>
      <c r="I264" t="str">
        <f>IF([1]Accounts!$D$265="","",[1]Accounts!$D$265)</f>
        <v/>
      </c>
    </row>
    <row r="265" spans="6:9" x14ac:dyDescent="0.2">
      <c r="F265" t="str">
        <f>IF([1]Accounts!$D$266="","",[1]Accounts!$A$266)</f>
        <v/>
      </c>
      <c r="G265" t="str">
        <f>IF([1]Accounts!$D$266="","",[1]Accounts!$B$266)</f>
        <v/>
      </c>
      <c r="H265" t="str">
        <f>IF([1]Accounts!$D$266="","",[1]Accounts!$C$266)</f>
        <v/>
      </c>
      <c r="I265" t="str">
        <f>IF([1]Accounts!$D$266="","",[1]Accounts!$D$266)</f>
        <v/>
      </c>
    </row>
    <row r="266" spans="6:9" x14ac:dyDescent="0.2">
      <c r="F266" t="str">
        <f>IF([1]Accounts!$D$267="","",[1]Accounts!$A$267)</f>
        <v/>
      </c>
      <c r="G266" t="str">
        <f>IF([1]Accounts!$D$267="","",[1]Accounts!$B$267)</f>
        <v/>
      </c>
      <c r="H266" t="str">
        <f>IF([1]Accounts!$D$267="","",[1]Accounts!$C$267)</f>
        <v/>
      </c>
      <c r="I266" t="str">
        <f>IF([1]Accounts!$D$267="","",[1]Accounts!$D$267)</f>
        <v/>
      </c>
    </row>
    <row r="267" spans="6:9" x14ac:dyDescent="0.2">
      <c r="F267" t="str">
        <f>IF([1]Accounts!$D$268="","",[1]Accounts!$A$268)</f>
        <v/>
      </c>
      <c r="G267" t="str">
        <f>IF([1]Accounts!$D$268="","",[1]Accounts!$B$268)</f>
        <v/>
      </c>
      <c r="H267" t="str">
        <f>IF([1]Accounts!$D$268="","",[1]Accounts!$C$268)</f>
        <v/>
      </c>
      <c r="I267" t="str">
        <f>IF([1]Accounts!$D$268="","",[1]Accounts!$D$268)</f>
        <v/>
      </c>
    </row>
    <row r="268" spans="6:9" x14ac:dyDescent="0.2">
      <c r="F268" t="str">
        <f>IF([1]Accounts!$D$269="","",[1]Accounts!$A$269)</f>
        <v/>
      </c>
      <c r="G268" t="str">
        <f>IF([1]Accounts!$D$269="","",[1]Accounts!$B$269)</f>
        <v/>
      </c>
      <c r="H268" t="str">
        <f>IF([1]Accounts!$D$269="","",[1]Accounts!$C$269)</f>
        <v/>
      </c>
      <c r="I268" t="str">
        <f>IF([1]Accounts!$D$269="","",[1]Accounts!$D$269)</f>
        <v/>
      </c>
    </row>
    <row r="269" spans="6:9" x14ac:dyDescent="0.2">
      <c r="F269" t="str">
        <f>IF([1]Accounts!$D$270="","",[1]Accounts!$A$270)</f>
        <v/>
      </c>
      <c r="G269" t="str">
        <f>IF([1]Accounts!$D$270="","",[1]Accounts!$B$270)</f>
        <v/>
      </c>
      <c r="H269" t="str">
        <f>IF([1]Accounts!$D$270="","",[1]Accounts!$C$270)</f>
        <v/>
      </c>
      <c r="I269" t="str">
        <f>IF([1]Accounts!$D$270="","",[1]Accounts!$D$270)</f>
        <v/>
      </c>
    </row>
    <row r="270" spans="6:9" x14ac:dyDescent="0.2">
      <c r="F270" t="str">
        <f>IF([1]Accounts!$D$271="","",[1]Accounts!$A$271)</f>
        <v/>
      </c>
      <c r="G270" t="str">
        <f>IF([1]Accounts!$D$271="","",[1]Accounts!$B$271)</f>
        <v/>
      </c>
      <c r="H270" t="str">
        <f>IF([1]Accounts!$D$271="","",[1]Accounts!$C$271)</f>
        <v/>
      </c>
      <c r="I270" t="str">
        <f>IF([1]Accounts!$D$271="","",[1]Accounts!$D$271)</f>
        <v/>
      </c>
    </row>
    <row r="271" spans="6:9" x14ac:dyDescent="0.2">
      <c r="F271" t="str">
        <f>IF([1]Accounts!$D$272="","",[1]Accounts!$A$272)</f>
        <v/>
      </c>
      <c r="G271" t="str">
        <f>IF([1]Accounts!$D$272="","",[1]Accounts!$B$272)</f>
        <v/>
      </c>
      <c r="H271" t="str">
        <f>IF([1]Accounts!$D$272="","",[1]Accounts!$C$272)</f>
        <v/>
      </c>
      <c r="I271" t="str">
        <f>IF([1]Accounts!$D$272="","",[1]Accounts!$D$272)</f>
        <v/>
      </c>
    </row>
    <row r="272" spans="6:9" x14ac:dyDescent="0.2">
      <c r="F272" t="str">
        <f>IF([1]Accounts!$D$273="","",[1]Accounts!$A$273)</f>
        <v/>
      </c>
      <c r="G272" t="str">
        <f>IF([1]Accounts!$D$273="","",[1]Accounts!$B$273)</f>
        <v/>
      </c>
      <c r="H272" t="str">
        <f>IF([1]Accounts!$D$273="","",[1]Accounts!$C$273)</f>
        <v/>
      </c>
      <c r="I272" t="str">
        <f>IF([1]Accounts!$D$273="","",[1]Accounts!$D$273)</f>
        <v/>
      </c>
    </row>
    <row r="273" spans="6:9" x14ac:dyDescent="0.2">
      <c r="F273" t="str">
        <f>IF([1]Accounts!$D$274="","",[1]Accounts!$A$274)</f>
        <v/>
      </c>
      <c r="G273" t="str">
        <f>IF([1]Accounts!$D$274="","",[1]Accounts!$B$274)</f>
        <v/>
      </c>
      <c r="H273" t="str">
        <f>IF([1]Accounts!$D$274="","",[1]Accounts!$C$274)</f>
        <v/>
      </c>
      <c r="I273" t="str">
        <f>IF([1]Accounts!$D$274="","",[1]Accounts!$D$274)</f>
        <v/>
      </c>
    </row>
    <row r="274" spans="6:9" x14ac:dyDescent="0.2">
      <c r="F274" t="str">
        <f>IF([1]Accounts!$D$275="","",[1]Accounts!$A$275)</f>
        <v/>
      </c>
      <c r="G274" t="str">
        <f>IF([1]Accounts!$D$275="","",[1]Accounts!$B$275)</f>
        <v/>
      </c>
      <c r="H274" t="str">
        <f>IF([1]Accounts!$D$275="","",[1]Accounts!$C$275)</f>
        <v/>
      </c>
      <c r="I274" t="str">
        <f>IF([1]Accounts!$D$275="","",[1]Accounts!$D$275)</f>
        <v/>
      </c>
    </row>
    <row r="275" spans="6:9" x14ac:dyDescent="0.2">
      <c r="F275" t="str">
        <f>IF([1]Accounts!$D$276="","",[1]Accounts!$A$276)</f>
        <v/>
      </c>
      <c r="G275" t="str">
        <f>IF([1]Accounts!$D$276="","",[1]Accounts!$B$276)</f>
        <v/>
      </c>
      <c r="H275" t="str">
        <f>IF([1]Accounts!$D$276="","",[1]Accounts!$C$276)</f>
        <v/>
      </c>
      <c r="I275" t="str">
        <f>IF([1]Accounts!$D$276="","",[1]Accounts!$D$276)</f>
        <v/>
      </c>
    </row>
    <row r="276" spans="6:9" x14ac:dyDescent="0.2">
      <c r="F276" t="str">
        <f>IF([1]Accounts!$D$277="","",[1]Accounts!$A$277)</f>
        <v/>
      </c>
      <c r="G276" t="str">
        <f>IF([1]Accounts!$D$277="","",[1]Accounts!$B$277)</f>
        <v/>
      </c>
      <c r="H276" t="str">
        <f>IF([1]Accounts!$D$277="","",[1]Accounts!$C$277)</f>
        <v/>
      </c>
      <c r="I276" t="str">
        <f>IF([1]Accounts!$D$277="","",[1]Accounts!$D$277)</f>
        <v/>
      </c>
    </row>
    <row r="277" spans="6:9" x14ac:dyDescent="0.2">
      <c r="F277" t="str">
        <f>IF([1]Accounts!$D$278="","",[1]Accounts!$A$278)</f>
        <v/>
      </c>
      <c r="G277" t="str">
        <f>IF([1]Accounts!$D$278="","",[1]Accounts!$B$278)</f>
        <v/>
      </c>
      <c r="H277" t="str">
        <f>IF([1]Accounts!$D$278="","",[1]Accounts!$C$278)</f>
        <v/>
      </c>
      <c r="I277" t="str">
        <f>IF([1]Accounts!$D$278="","",[1]Accounts!$D$278)</f>
        <v/>
      </c>
    </row>
    <row r="278" spans="6:9" x14ac:dyDescent="0.2">
      <c r="F278" t="str">
        <f>IF([1]Accounts!$D$279="","",[1]Accounts!$A$279)</f>
        <v/>
      </c>
      <c r="G278" t="str">
        <f>IF([1]Accounts!$D$279="","",[1]Accounts!$B$279)</f>
        <v/>
      </c>
      <c r="H278" t="str">
        <f>IF([1]Accounts!$D$279="","",[1]Accounts!$C$279)</f>
        <v/>
      </c>
      <c r="I278" t="str">
        <f>IF([1]Accounts!$D$279="","",[1]Accounts!$D$279)</f>
        <v/>
      </c>
    </row>
    <row r="279" spans="6:9" x14ac:dyDescent="0.2">
      <c r="F279" t="str">
        <f>IF([1]Accounts!$D$280="","",[1]Accounts!$A$280)</f>
        <v/>
      </c>
      <c r="G279" t="str">
        <f>IF([1]Accounts!$D$280="","",[1]Accounts!$B$280)</f>
        <v/>
      </c>
      <c r="H279" t="str">
        <f>IF([1]Accounts!$D$280="","",[1]Accounts!$C$280)</f>
        <v/>
      </c>
      <c r="I279" t="str">
        <f>IF([1]Accounts!$D$280="","",[1]Accounts!$D$280)</f>
        <v/>
      </c>
    </row>
    <row r="280" spans="6:9" x14ac:dyDescent="0.2">
      <c r="F280" t="str">
        <f>IF([1]Accounts!$D$281="","",[1]Accounts!$A$281)</f>
        <v/>
      </c>
      <c r="G280" t="str">
        <f>IF([1]Accounts!$D$281="","",[1]Accounts!$B$281)</f>
        <v/>
      </c>
      <c r="H280" t="str">
        <f>IF([1]Accounts!$D$281="","",[1]Accounts!$C$281)</f>
        <v/>
      </c>
      <c r="I280" t="str">
        <f>IF([1]Accounts!$D$281="","",[1]Accounts!$D$281)</f>
        <v/>
      </c>
    </row>
    <row r="281" spans="6:9" x14ac:dyDescent="0.2">
      <c r="F281" t="str">
        <f>IF([1]Accounts!$D$282="","",[1]Accounts!$A$282)</f>
        <v/>
      </c>
      <c r="G281" t="str">
        <f>IF([1]Accounts!$D$282="","",[1]Accounts!$B$282)</f>
        <v/>
      </c>
      <c r="H281" t="str">
        <f>IF([1]Accounts!$D$282="","",[1]Accounts!$C$282)</f>
        <v/>
      </c>
      <c r="I281" t="str">
        <f>IF([1]Accounts!$D$282="","",[1]Accounts!$D$282)</f>
        <v/>
      </c>
    </row>
    <row r="282" spans="6:9" x14ac:dyDescent="0.2">
      <c r="F282" t="str">
        <f>IF([1]Accounts!$D$283="","",[1]Accounts!$A$283)</f>
        <v/>
      </c>
      <c r="G282" t="str">
        <f>IF([1]Accounts!$D$283="","",[1]Accounts!$B$283)</f>
        <v/>
      </c>
      <c r="H282" t="str">
        <f>IF([1]Accounts!$D$283="","",[1]Accounts!$C$283)</f>
        <v/>
      </c>
      <c r="I282" t="str">
        <f>IF([1]Accounts!$D$283="","",[1]Accounts!$D$283)</f>
        <v/>
      </c>
    </row>
    <row r="283" spans="6:9" x14ac:dyDescent="0.2">
      <c r="F283" t="str">
        <f>IF([1]Accounts!$D$284="","",[1]Accounts!$A$284)</f>
        <v/>
      </c>
      <c r="G283" t="str">
        <f>IF([1]Accounts!$D$284="","",[1]Accounts!$B$284)</f>
        <v/>
      </c>
      <c r="H283" t="str">
        <f>IF([1]Accounts!$D$284="","",[1]Accounts!$C$284)</f>
        <v/>
      </c>
      <c r="I283" t="str">
        <f>IF([1]Accounts!$D$284="","",[1]Accounts!$D$284)</f>
        <v/>
      </c>
    </row>
    <row r="284" spans="6:9" x14ac:dyDescent="0.2">
      <c r="F284" t="str">
        <f>IF([1]Accounts!$D$285="","",[1]Accounts!$A$285)</f>
        <v/>
      </c>
      <c r="G284" t="str">
        <f>IF([1]Accounts!$D$285="","",[1]Accounts!$B$285)</f>
        <v/>
      </c>
      <c r="H284" t="str">
        <f>IF([1]Accounts!$D$285="","",[1]Accounts!$C$285)</f>
        <v/>
      </c>
      <c r="I284" t="str">
        <f>IF([1]Accounts!$D$285="","",[1]Accounts!$D$285)</f>
        <v/>
      </c>
    </row>
    <row r="285" spans="6:9" x14ac:dyDescent="0.2">
      <c r="F285" t="str">
        <f>IF([1]Accounts!$D$286="","",[1]Accounts!$A$286)</f>
        <v/>
      </c>
      <c r="G285" t="str">
        <f>IF([1]Accounts!$D$286="","",[1]Accounts!$B$286)</f>
        <v/>
      </c>
      <c r="H285" t="str">
        <f>IF([1]Accounts!$D$286="","",[1]Accounts!$C$286)</f>
        <v/>
      </c>
      <c r="I285" t="str">
        <f>IF([1]Accounts!$D$286="","",[1]Accounts!$D$286)</f>
        <v/>
      </c>
    </row>
    <row r="286" spans="6:9" x14ac:dyDescent="0.2">
      <c r="F286" t="str">
        <f>IF([1]Accounts!$D$287="","",[1]Accounts!$A$287)</f>
        <v/>
      </c>
      <c r="G286" t="str">
        <f>IF([1]Accounts!$D$287="","",[1]Accounts!$B$287)</f>
        <v/>
      </c>
      <c r="H286" t="str">
        <f>IF([1]Accounts!$D$287="","",[1]Accounts!$C$287)</f>
        <v/>
      </c>
      <c r="I286" t="str">
        <f>IF([1]Accounts!$D$287="","",[1]Accounts!$D$287)</f>
        <v/>
      </c>
    </row>
    <row r="287" spans="6:9" x14ac:dyDescent="0.2">
      <c r="F287" t="str">
        <f>IF([1]Accounts!$D$288="","",[1]Accounts!$A$288)</f>
        <v/>
      </c>
      <c r="G287" t="str">
        <f>IF([1]Accounts!$D$288="","",[1]Accounts!$B$288)</f>
        <v/>
      </c>
      <c r="H287" t="str">
        <f>IF([1]Accounts!$D$288="","",[1]Accounts!$C$288)</f>
        <v/>
      </c>
      <c r="I287" t="str">
        <f>IF([1]Accounts!$D$288="","",[1]Accounts!$D$288)</f>
        <v/>
      </c>
    </row>
    <row r="288" spans="6:9" x14ac:dyDescent="0.2">
      <c r="F288" t="str">
        <f>IF([1]Accounts!$D$289="","",[1]Accounts!$A$289)</f>
        <v/>
      </c>
      <c r="G288" t="str">
        <f>IF([1]Accounts!$D$289="","",[1]Accounts!$B$289)</f>
        <v/>
      </c>
      <c r="H288" t="str">
        <f>IF([1]Accounts!$D$289="","",[1]Accounts!$C$289)</f>
        <v/>
      </c>
      <c r="I288" t="str">
        <f>IF([1]Accounts!$D$289="","",[1]Accounts!$D$289)</f>
        <v/>
      </c>
    </row>
    <row r="289" spans="6:9" x14ac:dyDescent="0.2">
      <c r="F289" t="str">
        <f>IF([1]Accounts!$D$290="","",[1]Accounts!$A$290)</f>
        <v/>
      </c>
      <c r="G289" t="str">
        <f>IF([1]Accounts!$D$290="","",[1]Accounts!$B$290)</f>
        <v/>
      </c>
      <c r="H289" t="str">
        <f>IF([1]Accounts!$D$290="","",[1]Accounts!$C$290)</f>
        <v/>
      </c>
      <c r="I289" t="str">
        <f>IF([1]Accounts!$D$290="","",[1]Accounts!$D$290)</f>
        <v/>
      </c>
    </row>
    <row r="290" spans="6:9" x14ac:dyDescent="0.2">
      <c r="F290" t="str">
        <f>IF([1]Accounts!$D$291="","",[1]Accounts!$A$291)</f>
        <v/>
      </c>
      <c r="G290" t="str">
        <f>IF([1]Accounts!$D$291="","",[1]Accounts!$B$291)</f>
        <v/>
      </c>
      <c r="H290" t="str">
        <f>IF([1]Accounts!$D$291="","",[1]Accounts!$C$291)</f>
        <v/>
      </c>
      <c r="I290" t="str">
        <f>IF([1]Accounts!$D$291="","",[1]Accounts!$D$291)</f>
        <v/>
      </c>
    </row>
    <row r="291" spans="6:9" x14ac:dyDescent="0.2">
      <c r="F291" t="str">
        <f>IF([1]Accounts!$D$292="","",[1]Accounts!$A$292)</f>
        <v/>
      </c>
      <c r="G291" t="str">
        <f>IF([1]Accounts!$D$292="","",[1]Accounts!$B$292)</f>
        <v/>
      </c>
      <c r="H291" t="str">
        <f>IF([1]Accounts!$D$292="","",[1]Accounts!$C$292)</f>
        <v/>
      </c>
      <c r="I291" t="str">
        <f>IF([1]Accounts!$D$292="","",[1]Accounts!$D$292)</f>
        <v/>
      </c>
    </row>
    <row r="292" spans="6:9" x14ac:dyDescent="0.2">
      <c r="F292" t="str">
        <f>IF([1]Accounts!$D$293="","",[1]Accounts!$A$293)</f>
        <v/>
      </c>
      <c r="G292" t="str">
        <f>IF([1]Accounts!$D$293="","",[1]Accounts!$B$293)</f>
        <v/>
      </c>
      <c r="H292" t="str">
        <f>IF([1]Accounts!$D$293="","",[1]Accounts!$C$293)</f>
        <v/>
      </c>
      <c r="I292" t="str">
        <f>IF([1]Accounts!$D$293="","",[1]Accounts!$D$293)</f>
        <v/>
      </c>
    </row>
    <row r="293" spans="6:9" x14ac:dyDescent="0.2">
      <c r="F293" t="str">
        <f>IF([1]Accounts!$D$294="","",[1]Accounts!$A$294)</f>
        <v/>
      </c>
      <c r="G293" t="str">
        <f>IF([1]Accounts!$D$294="","",[1]Accounts!$B$294)</f>
        <v/>
      </c>
      <c r="H293" t="str">
        <f>IF([1]Accounts!$D$294="","",[1]Accounts!$C$294)</f>
        <v/>
      </c>
      <c r="I293" t="str">
        <f>IF([1]Accounts!$D$294="","",[1]Accounts!$D$294)</f>
        <v/>
      </c>
    </row>
    <row r="294" spans="6:9" x14ac:dyDescent="0.2">
      <c r="F294" t="str">
        <f>IF([1]Accounts!$D$295="","",[1]Accounts!$A$295)</f>
        <v/>
      </c>
      <c r="G294" t="str">
        <f>IF([1]Accounts!$D$295="","",[1]Accounts!$B$295)</f>
        <v/>
      </c>
      <c r="H294" t="str">
        <f>IF([1]Accounts!$D$295="","",[1]Accounts!$C$295)</f>
        <v/>
      </c>
      <c r="I294" t="str">
        <f>IF([1]Accounts!$D$295="","",[1]Accounts!$D$295)</f>
        <v/>
      </c>
    </row>
    <row r="295" spans="6:9" x14ac:dyDescent="0.2">
      <c r="F295" t="str">
        <f>IF([1]Accounts!$D$296="","",[1]Accounts!$A$296)</f>
        <v/>
      </c>
      <c r="G295" t="str">
        <f>IF([1]Accounts!$D$296="","",[1]Accounts!$B$296)</f>
        <v/>
      </c>
      <c r="H295" t="str">
        <f>IF([1]Accounts!$D$296="","",[1]Accounts!$C$296)</f>
        <v/>
      </c>
      <c r="I295" t="str">
        <f>IF([1]Accounts!$D$296="","",[1]Accounts!$D$296)</f>
        <v/>
      </c>
    </row>
    <row r="296" spans="6:9" x14ac:dyDescent="0.2">
      <c r="F296" t="str">
        <f>IF([1]Accounts!$D$297="","",[1]Accounts!$A$297)</f>
        <v/>
      </c>
      <c r="G296" t="str">
        <f>IF([1]Accounts!$D$297="","",[1]Accounts!$B$297)</f>
        <v/>
      </c>
      <c r="H296" t="str">
        <f>IF([1]Accounts!$D$297="","",[1]Accounts!$C$297)</f>
        <v/>
      </c>
      <c r="I296" t="str">
        <f>IF([1]Accounts!$D$297="","",[1]Accounts!$D$297)</f>
        <v/>
      </c>
    </row>
    <row r="297" spans="6:9" x14ac:dyDescent="0.2">
      <c r="F297" t="str">
        <f>IF([1]Accounts!$D$298="","",[1]Accounts!$A$298)</f>
        <v/>
      </c>
      <c r="G297" t="str">
        <f>IF([1]Accounts!$D$298="","",[1]Accounts!$B$298)</f>
        <v/>
      </c>
      <c r="H297" t="str">
        <f>IF([1]Accounts!$D$298="","",[1]Accounts!$C$298)</f>
        <v/>
      </c>
      <c r="I297" t="str">
        <f>IF([1]Accounts!$D$298="","",[1]Accounts!$D$298)</f>
        <v/>
      </c>
    </row>
    <row r="298" spans="6:9" x14ac:dyDescent="0.2">
      <c r="F298" t="str">
        <f>IF([1]Accounts!$D$299="","",[1]Accounts!$A$299)</f>
        <v/>
      </c>
      <c r="G298" t="str">
        <f>IF([1]Accounts!$D$299="","",[1]Accounts!$B$299)</f>
        <v/>
      </c>
      <c r="H298" t="str">
        <f>IF([1]Accounts!$D$299="","",[1]Accounts!$C$299)</f>
        <v/>
      </c>
      <c r="I298" t="str">
        <f>IF([1]Accounts!$D$299="","",[1]Accounts!$D$299)</f>
        <v/>
      </c>
    </row>
    <row r="299" spans="6:9" x14ac:dyDescent="0.2">
      <c r="F299" t="str">
        <f>IF([1]Accounts!$D$300="","",[1]Accounts!$A$300)</f>
        <v/>
      </c>
      <c r="G299" t="str">
        <f>IF([1]Accounts!$D$300="","",[1]Accounts!$B$300)</f>
        <v/>
      </c>
      <c r="H299" t="str">
        <f>IF([1]Accounts!$D$300="","",[1]Accounts!$C$300)</f>
        <v/>
      </c>
      <c r="I299" t="str">
        <f>IF([1]Accounts!$D$300="","",[1]Accounts!$D$300)</f>
        <v/>
      </c>
    </row>
    <row r="300" spans="6:9" x14ac:dyDescent="0.2">
      <c r="F300" t="str">
        <f>IF([1]Accounts!$D$301="","",[1]Accounts!$A$301)</f>
        <v/>
      </c>
      <c r="G300" t="str">
        <f>IF([1]Accounts!$D$301="","",[1]Accounts!$B$301)</f>
        <v/>
      </c>
      <c r="H300" t="str">
        <f>IF([1]Accounts!$D$301="","",[1]Accounts!$C$301)</f>
        <v/>
      </c>
      <c r="I300" t="str">
        <f>IF([1]Accounts!$D$301="","",[1]Accounts!$D$301)</f>
        <v/>
      </c>
    </row>
    <row r="301" spans="6:9" x14ac:dyDescent="0.2">
      <c r="F301" t="str">
        <f>IF([1]Accounts!$D$302="","",[1]Accounts!$A$302)</f>
        <v/>
      </c>
      <c r="G301" t="str">
        <f>IF([1]Accounts!$D$302="","",[1]Accounts!$B$302)</f>
        <v/>
      </c>
      <c r="H301" t="str">
        <f>IF([1]Accounts!$D$302="","",[1]Accounts!$C$302)</f>
        <v/>
      </c>
      <c r="I301" t="str">
        <f>IF([1]Accounts!$D$302="","",[1]Accounts!$D$302)</f>
        <v/>
      </c>
    </row>
    <row r="302" spans="6:9" x14ac:dyDescent="0.2">
      <c r="F302" t="str">
        <f>IF([1]Accounts!$D$303="","",[1]Accounts!$A$303)</f>
        <v/>
      </c>
      <c r="G302" t="str">
        <f>IF([1]Accounts!$D$303="","",[1]Accounts!$B$303)</f>
        <v/>
      </c>
      <c r="H302" t="str">
        <f>IF([1]Accounts!$D$303="","",[1]Accounts!$C$303)</f>
        <v/>
      </c>
      <c r="I302" t="str">
        <f>IF([1]Accounts!$D$303="","",[1]Accounts!$D$303)</f>
        <v/>
      </c>
    </row>
    <row r="303" spans="6:9" x14ac:dyDescent="0.2">
      <c r="F303" t="str">
        <f>IF([1]Accounts!$D$304="","",[1]Accounts!$A$304)</f>
        <v/>
      </c>
      <c r="G303" t="str">
        <f>IF([1]Accounts!$D$304="","",[1]Accounts!$B$304)</f>
        <v/>
      </c>
      <c r="H303" t="str">
        <f>IF([1]Accounts!$D$304="","",[1]Accounts!$C$304)</f>
        <v/>
      </c>
      <c r="I303" t="str">
        <f>IF([1]Accounts!$D$304="","",[1]Accounts!$D$304)</f>
        <v/>
      </c>
    </row>
    <row r="304" spans="6:9" x14ac:dyDescent="0.2">
      <c r="F304" t="str">
        <f>IF([1]Accounts!$D$305="","",[1]Accounts!$A$305)</f>
        <v/>
      </c>
      <c r="G304" t="str">
        <f>IF([1]Accounts!$D$305="","",[1]Accounts!$B$305)</f>
        <v/>
      </c>
      <c r="H304" t="str">
        <f>IF([1]Accounts!$D$305="","",[1]Accounts!$C$305)</f>
        <v/>
      </c>
      <c r="I304" t="str">
        <f>IF([1]Accounts!$D$305="","",[1]Accounts!$D$305)</f>
        <v/>
      </c>
    </row>
    <row r="305" spans="6:9" x14ac:dyDescent="0.2">
      <c r="F305" t="str">
        <f>IF([1]Accounts!$D$306="","",[1]Accounts!$A$306)</f>
        <v/>
      </c>
      <c r="G305" t="str">
        <f>IF([1]Accounts!$D$306="","",[1]Accounts!$B$306)</f>
        <v/>
      </c>
      <c r="H305" t="str">
        <f>IF([1]Accounts!$D$306="","",[1]Accounts!$C$306)</f>
        <v/>
      </c>
      <c r="I305" t="str">
        <f>IF([1]Accounts!$D$306="","",[1]Accounts!$D$306)</f>
        <v/>
      </c>
    </row>
    <row r="306" spans="6:9" x14ac:dyDescent="0.2">
      <c r="F306" t="str">
        <f>IF([1]Accounts!$D$307="","",[1]Accounts!$A$307)</f>
        <v>S001</v>
      </c>
      <c r="G306" t="str">
        <f>IF([1]Accounts!$D$307="","",[1]Accounts!$B$307)</f>
        <v>تأمین‌کننده</v>
      </c>
      <c r="H306" t="str">
        <f>IF([1]Accounts!$D$307="","",[1]Accounts!$C$307)</f>
        <v>فروشنده سبد</v>
      </c>
      <c r="I306" t="str">
        <f>IF([1]Accounts!$D$307="","",[1]Accounts!$D$307)</f>
        <v>حسن کوچکزاده</v>
      </c>
    </row>
    <row r="307" spans="6:9" x14ac:dyDescent="0.2">
      <c r="F307" t="str">
        <f>IF([1]Accounts!$D$308="","",[1]Accounts!$A$308)</f>
        <v>S002</v>
      </c>
      <c r="G307" t="str">
        <f>IF([1]Accounts!$D$308="","",[1]Accounts!$B$308)</f>
        <v>تأمین‌کننده</v>
      </c>
      <c r="H307" t="str">
        <f>IF([1]Accounts!$D$308="","",[1]Accounts!$C$308)</f>
        <v>فروشنده سبد</v>
      </c>
      <c r="I307" t="str">
        <f>IF([1]Accounts!$D$308="","",[1]Accounts!$D$308)</f>
        <v>سید محمد موسویان</v>
      </c>
    </row>
    <row r="308" spans="6:9" x14ac:dyDescent="0.2">
      <c r="F308" t="str">
        <f>IF([1]Accounts!$D$309="","",[1]Accounts!$A$309)</f>
        <v>S003</v>
      </c>
      <c r="G308" t="str">
        <f>IF([1]Accounts!$D$309="","",[1]Accounts!$B$309)</f>
        <v>تأمین‌کننده</v>
      </c>
      <c r="H308" t="str">
        <f>IF([1]Accounts!$D$309="","",[1]Accounts!$C$309)</f>
        <v>فروشنده سبد</v>
      </c>
      <c r="I308" t="str">
        <f>IF([1]Accounts!$D$309="","",[1]Accounts!$D$309)</f>
        <v>سید ربیع موسویان</v>
      </c>
    </row>
    <row r="309" spans="6:9" x14ac:dyDescent="0.2">
      <c r="F309" t="str">
        <f>IF([1]Accounts!$D$310="","",[1]Accounts!$A$310)</f>
        <v/>
      </c>
      <c r="G309" t="str">
        <f>IF([1]Accounts!$D$310="","",[1]Accounts!$B$310)</f>
        <v/>
      </c>
      <c r="H309" t="str">
        <f>IF([1]Accounts!$D$310="","",[1]Accounts!$C$310)</f>
        <v/>
      </c>
      <c r="I309" t="str">
        <f>IF([1]Accounts!$D$310="","",[1]Accounts!$D$310)</f>
        <v/>
      </c>
    </row>
    <row r="310" spans="6:9" x14ac:dyDescent="0.2">
      <c r="F310" t="str">
        <f>IF([1]Accounts!$D$311="","",[1]Accounts!$A$311)</f>
        <v/>
      </c>
      <c r="G310" t="str">
        <f>IF([1]Accounts!$D$311="","",[1]Accounts!$B$311)</f>
        <v/>
      </c>
      <c r="H310" t="str">
        <f>IF([1]Accounts!$D$311="","",[1]Accounts!$C$311)</f>
        <v/>
      </c>
      <c r="I310" t="str">
        <f>IF([1]Accounts!$D$311="","",[1]Accounts!$D$311)</f>
        <v/>
      </c>
    </row>
    <row r="311" spans="6:9" x14ac:dyDescent="0.2">
      <c r="F311" t="str">
        <f>IF([1]Accounts!$D$312="","",[1]Accounts!$A$312)</f>
        <v/>
      </c>
      <c r="G311" t="str">
        <f>IF([1]Accounts!$D$312="","",[1]Accounts!$B$312)</f>
        <v/>
      </c>
      <c r="H311" t="str">
        <f>IF([1]Accounts!$D$312="","",[1]Accounts!$C$312)</f>
        <v/>
      </c>
      <c r="I311" t="str">
        <f>IF([1]Accounts!$D$312="","",[1]Accounts!$D$312)</f>
        <v/>
      </c>
    </row>
    <row r="312" spans="6:9" x14ac:dyDescent="0.2">
      <c r="F312" t="str">
        <f>IF([1]Accounts!$D$313="","",[1]Accounts!$A$313)</f>
        <v/>
      </c>
      <c r="G312" t="str">
        <f>IF([1]Accounts!$D$313="","",[1]Accounts!$B$313)</f>
        <v/>
      </c>
      <c r="H312" t="str">
        <f>IF([1]Accounts!$D$313="","",[1]Accounts!$C$313)</f>
        <v/>
      </c>
      <c r="I312" t="str">
        <f>IF([1]Accounts!$D$313="","",[1]Accounts!$D$313)</f>
        <v/>
      </c>
    </row>
    <row r="313" spans="6:9" x14ac:dyDescent="0.2">
      <c r="F313" t="str">
        <f>IF([1]Accounts!$D$314="","",[1]Accounts!$A$314)</f>
        <v/>
      </c>
      <c r="G313" t="str">
        <f>IF([1]Accounts!$D$314="","",[1]Accounts!$B$314)</f>
        <v/>
      </c>
      <c r="H313" t="str">
        <f>IF([1]Accounts!$D$314="","",[1]Accounts!$C$314)</f>
        <v/>
      </c>
      <c r="I313" t="str">
        <f>IF([1]Accounts!$D$314="","",[1]Accounts!$D$314)</f>
        <v/>
      </c>
    </row>
    <row r="314" spans="6:9" x14ac:dyDescent="0.2">
      <c r="F314" t="str">
        <f>IF([1]Accounts!$D$315="","",[1]Accounts!$A$315)</f>
        <v/>
      </c>
      <c r="G314" t="str">
        <f>IF([1]Accounts!$D$315="","",[1]Accounts!$B$315)</f>
        <v/>
      </c>
      <c r="H314" t="str">
        <f>IF([1]Accounts!$D$315="","",[1]Accounts!$C$315)</f>
        <v/>
      </c>
      <c r="I314" t="str">
        <f>IF([1]Accounts!$D$315="","",[1]Accounts!$D$315)</f>
        <v/>
      </c>
    </row>
    <row r="315" spans="6:9" x14ac:dyDescent="0.2">
      <c r="F315" t="str">
        <f>IF([1]Accounts!$D$316="","",[1]Accounts!$A$316)</f>
        <v/>
      </c>
      <c r="G315" t="str">
        <f>IF([1]Accounts!$D$316="","",[1]Accounts!$B$316)</f>
        <v/>
      </c>
      <c r="H315" t="str">
        <f>IF([1]Accounts!$D$316="","",[1]Accounts!$C$316)</f>
        <v/>
      </c>
      <c r="I315" t="str">
        <f>IF([1]Accounts!$D$316="","",[1]Accounts!$D$316)</f>
        <v/>
      </c>
    </row>
    <row r="316" spans="6:9" x14ac:dyDescent="0.2">
      <c r="F316" t="str">
        <f>IF([1]Accounts!$D$317="","",[1]Accounts!$A$317)</f>
        <v/>
      </c>
      <c r="G316" t="str">
        <f>IF([1]Accounts!$D$317="","",[1]Accounts!$B$317)</f>
        <v/>
      </c>
      <c r="H316" t="str">
        <f>IF([1]Accounts!$D$317="","",[1]Accounts!$C$317)</f>
        <v/>
      </c>
      <c r="I316" t="str">
        <f>IF([1]Accounts!$D$317="","",[1]Accounts!$D$317)</f>
        <v/>
      </c>
    </row>
    <row r="317" spans="6:9" x14ac:dyDescent="0.2">
      <c r="F317" t="str">
        <f>IF([1]Accounts!$D$318="","",[1]Accounts!$A$318)</f>
        <v/>
      </c>
      <c r="G317" t="str">
        <f>IF([1]Accounts!$D$318="","",[1]Accounts!$B$318)</f>
        <v/>
      </c>
      <c r="H317" t="str">
        <f>IF([1]Accounts!$D$318="","",[1]Accounts!$C$318)</f>
        <v/>
      </c>
      <c r="I317" t="str">
        <f>IF([1]Accounts!$D$318="","",[1]Accounts!$D$318)</f>
        <v/>
      </c>
    </row>
    <row r="318" spans="6:9" x14ac:dyDescent="0.2">
      <c r="F318" t="str">
        <f>IF([1]Accounts!$D$319="","",[1]Accounts!$A$319)</f>
        <v/>
      </c>
      <c r="G318" t="str">
        <f>IF([1]Accounts!$D$319="","",[1]Accounts!$B$319)</f>
        <v/>
      </c>
      <c r="H318" t="str">
        <f>IF([1]Accounts!$D$319="","",[1]Accounts!$C$319)</f>
        <v/>
      </c>
      <c r="I318" t="str">
        <f>IF([1]Accounts!$D$319="","",[1]Accounts!$D$319)</f>
        <v/>
      </c>
    </row>
    <row r="319" spans="6:9" x14ac:dyDescent="0.2">
      <c r="F319" t="str">
        <f>IF([1]Accounts!$D$320="","",[1]Accounts!$A$320)</f>
        <v/>
      </c>
      <c r="G319" t="str">
        <f>IF([1]Accounts!$D$320="","",[1]Accounts!$B$320)</f>
        <v/>
      </c>
      <c r="H319" t="str">
        <f>IF([1]Accounts!$D$320="","",[1]Accounts!$C$320)</f>
        <v/>
      </c>
      <c r="I319" t="str">
        <f>IF([1]Accounts!$D$320="","",[1]Accounts!$D$320)</f>
        <v/>
      </c>
    </row>
    <row r="320" spans="6:9" x14ac:dyDescent="0.2">
      <c r="F320" t="str">
        <f>IF([1]Accounts!$D$321="","",[1]Accounts!$A$321)</f>
        <v/>
      </c>
      <c r="G320" t="str">
        <f>IF([1]Accounts!$D$321="","",[1]Accounts!$B$321)</f>
        <v/>
      </c>
      <c r="H320" t="str">
        <f>IF([1]Accounts!$D$321="","",[1]Accounts!$C$321)</f>
        <v/>
      </c>
      <c r="I320" t="str">
        <f>IF([1]Accounts!$D$321="","",[1]Accounts!$D$321)</f>
        <v/>
      </c>
    </row>
    <row r="321" spans="6:9" x14ac:dyDescent="0.2">
      <c r="F321" t="str">
        <f>IF([1]Accounts!$D$322="","",[1]Accounts!$A$322)</f>
        <v/>
      </c>
      <c r="G321" t="str">
        <f>IF([1]Accounts!$D$322="","",[1]Accounts!$B$322)</f>
        <v/>
      </c>
      <c r="H321" t="str">
        <f>IF([1]Accounts!$D$322="","",[1]Accounts!$C$322)</f>
        <v/>
      </c>
      <c r="I321" t="str">
        <f>IF([1]Accounts!$D$322="","",[1]Accounts!$D$322)</f>
        <v/>
      </c>
    </row>
    <row r="322" spans="6:9" x14ac:dyDescent="0.2">
      <c r="F322" t="str">
        <f>IF([1]Accounts!$D$323="","",[1]Accounts!$A$323)</f>
        <v/>
      </c>
      <c r="G322" t="str">
        <f>IF([1]Accounts!$D$323="","",[1]Accounts!$B$323)</f>
        <v/>
      </c>
      <c r="H322" t="str">
        <f>IF([1]Accounts!$D$323="","",[1]Accounts!$C$323)</f>
        <v/>
      </c>
      <c r="I322" t="str">
        <f>IF([1]Accounts!$D$323="","",[1]Accounts!$D$323)</f>
        <v/>
      </c>
    </row>
    <row r="323" spans="6:9" x14ac:dyDescent="0.2">
      <c r="F323" t="str">
        <f>IF([1]Accounts!$D$324="","",[1]Accounts!$A$324)</f>
        <v/>
      </c>
      <c r="G323" t="str">
        <f>IF([1]Accounts!$D$324="","",[1]Accounts!$B$324)</f>
        <v/>
      </c>
      <c r="H323" t="str">
        <f>IF([1]Accounts!$D$324="","",[1]Accounts!$C$324)</f>
        <v/>
      </c>
      <c r="I323" t="str">
        <f>IF([1]Accounts!$D$324="","",[1]Accounts!$D$324)</f>
        <v/>
      </c>
    </row>
    <row r="324" spans="6:9" x14ac:dyDescent="0.2">
      <c r="F324" t="str">
        <f>IF([1]Accounts!$D$325="","",[1]Accounts!$A$325)</f>
        <v/>
      </c>
      <c r="G324" t="str">
        <f>IF([1]Accounts!$D$325="","",[1]Accounts!$B$325)</f>
        <v/>
      </c>
      <c r="H324" t="str">
        <f>IF([1]Accounts!$D$325="","",[1]Accounts!$C$325)</f>
        <v/>
      </c>
      <c r="I324" t="str">
        <f>IF([1]Accounts!$D$325="","",[1]Accounts!$D$325)</f>
        <v/>
      </c>
    </row>
    <row r="325" spans="6:9" x14ac:dyDescent="0.2">
      <c r="F325" t="str">
        <f>IF([1]Accounts!$D$326="","",[1]Accounts!$A$326)</f>
        <v/>
      </c>
      <c r="G325" t="str">
        <f>IF([1]Accounts!$D$326="","",[1]Accounts!$B$326)</f>
        <v/>
      </c>
      <c r="H325" t="str">
        <f>IF([1]Accounts!$D$326="","",[1]Accounts!$C$326)</f>
        <v/>
      </c>
      <c r="I325" t="str">
        <f>IF([1]Accounts!$D$326="","",[1]Accounts!$D$326)</f>
        <v/>
      </c>
    </row>
    <row r="326" spans="6:9" x14ac:dyDescent="0.2">
      <c r="F326" t="str">
        <f>IF([1]Accounts!$D$327="","",[1]Accounts!$A$327)</f>
        <v/>
      </c>
      <c r="G326" t="str">
        <f>IF([1]Accounts!$D$327="","",[1]Accounts!$B$327)</f>
        <v/>
      </c>
      <c r="H326" t="str">
        <f>IF([1]Accounts!$D$327="","",[1]Accounts!$C$327)</f>
        <v/>
      </c>
      <c r="I326" t="str">
        <f>IF([1]Accounts!$D$327="","",[1]Accounts!$D$327)</f>
        <v/>
      </c>
    </row>
    <row r="327" spans="6:9" x14ac:dyDescent="0.2">
      <c r="F327" t="str">
        <f>IF([1]Accounts!$D$328="","",[1]Accounts!$A$328)</f>
        <v/>
      </c>
      <c r="G327" t="str">
        <f>IF([1]Accounts!$D$328="","",[1]Accounts!$B$328)</f>
        <v/>
      </c>
      <c r="H327" t="str">
        <f>IF([1]Accounts!$D$328="","",[1]Accounts!$C$328)</f>
        <v/>
      </c>
      <c r="I327" t="str">
        <f>IF([1]Accounts!$D$328="","",[1]Accounts!$D$328)</f>
        <v/>
      </c>
    </row>
    <row r="328" spans="6:9" x14ac:dyDescent="0.2">
      <c r="F328" t="str">
        <f>IF([1]Accounts!$D$329="","",[1]Accounts!$A$329)</f>
        <v/>
      </c>
      <c r="G328" t="str">
        <f>IF([1]Accounts!$D$329="","",[1]Accounts!$B$329)</f>
        <v/>
      </c>
      <c r="H328" t="str">
        <f>IF([1]Accounts!$D$329="","",[1]Accounts!$C$329)</f>
        <v/>
      </c>
      <c r="I328" t="str">
        <f>IF([1]Accounts!$D$329="","",[1]Accounts!$D$329)</f>
        <v/>
      </c>
    </row>
    <row r="329" spans="6:9" x14ac:dyDescent="0.2">
      <c r="F329" t="str">
        <f>IF([1]Accounts!$D$330="","",[1]Accounts!$A$330)</f>
        <v/>
      </c>
      <c r="G329" t="str">
        <f>IF([1]Accounts!$D$330="","",[1]Accounts!$B$330)</f>
        <v/>
      </c>
      <c r="H329" t="str">
        <f>IF([1]Accounts!$D$330="","",[1]Accounts!$C$330)</f>
        <v/>
      </c>
      <c r="I329" t="str">
        <f>IF([1]Accounts!$D$330="","",[1]Accounts!$D$330)</f>
        <v/>
      </c>
    </row>
    <row r="330" spans="6:9" x14ac:dyDescent="0.2">
      <c r="F330" t="str">
        <f>IF([1]Accounts!$D$331="","",[1]Accounts!$A$331)</f>
        <v/>
      </c>
      <c r="G330" t="str">
        <f>IF([1]Accounts!$D$331="","",[1]Accounts!$B$331)</f>
        <v/>
      </c>
      <c r="H330" t="str">
        <f>IF([1]Accounts!$D$331="","",[1]Accounts!$C$331)</f>
        <v/>
      </c>
      <c r="I330" t="str">
        <f>IF([1]Accounts!$D$331="","",[1]Accounts!$D$331)</f>
        <v/>
      </c>
    </row>
    <row r="331" spans="6:9" x14ac:dyDescent="0.2">
      <c r="F331" t="str">
        <f>IF([1]Accounts!$D$332="","",[1]Accounts!$A$332)</f>
        <v/>
      </c>
      <c r="G331" t="str">
        <f>IF([1]Accounts!$D$332="","",[1]Accounts!$B$332)</f>
        <v/>
      </c>
      <c r="H331" t="str">
        <f>IF([1]Accounts!$D$332="","",[1]Accounts!$C$332)</f>
        <v/>
      </c>
      <c r="I331" t="str">
        <f>IF([1]Accounts!$D$332="","",[1]Accounts!$D$332)</f>
        <v/>
      </c>
    </row>
    <row r="332" spans="6:9" x14ac:dyDescent="0.2">
      <c r="F332" t="str">
        <f>IF([1]Accounts!$D$333="","",[1]Accounts!$A$333)</f>
        <v/>
      </c>
      <c r="G332" t="str">
        <f>IF([1]Accounts!$D$333="","",[1]Accounts!$B$333)</f>
        <v/>
      </c>
      <c r="H332" t="str">
        <f>IF([1]Accounts!$D$333="","",[1]Accounts!$C$333)</f>
        <v/>
      </c>
      <c r="I332" t="str">
        <f>IF([1]Accounts!$D$333="","",[1]Accounts!$D$333)</f>
        <v/>
      </c>
    </row>
    <row r="333" spans="6:9" x14ac:dyDescent="0.2">
      <c r="F333" t="str">
        <f>IF([1]Accounts!$D$334="","",[1]Accounts!$A$334)</f>
        <v/>
      </c>
      <c r="G333" t="str">
        <f>IF([1]Accounts!$D$334="","",[1]Accounts!$B$334)</f>
        <v/>
      </c>
      <c r="H333" t="str">
        <f>IF([1]Accounts!$D$334="","",[1]Accounts!$C$334)</f>
        <v/>
      </c>
      <c r="I333" t="str">
        <f>IF([1]Accounts!$D$334="","",[1]Accounts!$D$334)</f>
        <v/>
      </c>
    </row>
    <row r="334" spans="6:9" x14ac:dyDescent="0.2">
      <c r="F334" t="str">
        <f>IF([1]Accounts!$D$335="","",[1]Accounts!$A$335)</f>
        <v/>
      </c>
      <c r="G334" t="str">
        <f>IF([1]Accounts!$D$335="","",[1]Accounts!$B$335)</f>
        <v/>
      </c>
      <c r="H334" t="str">
        <f>IF([1]Accounts!$D$335="","",[1]Accounts!$C$335)</f>
        <v/>
      </c>
      <c r="I334" t="str">
        <f>IF([1]Accounts!$D$335="","",[1]Accounts!$D$335)</f>
        <v/>
      </c>
    </row>
    <row r="335" spans="6:9" x14ac:dyDescent="0.2">
      <c r="F335" t="str">
        <f>IF([1]Accounts!$D$336="","",[1]Accounts!$A$336)</f>
        <v/>
      </c>
      <c r="G335" t="str">
        <f>IF([1]Accounts!$D$336="","",[1]Accounts!$B$336)</f>
        <v/>
      </c>
      <c r="H335" t="str">
        <f>IF([1]Accounts!$D$336="","",[1]Accounts!$C$336)</f>
        <v/>
      </c>
      <c r="I335" t="str">
        <f>IF([1]Accounts!$D$336="","",[1]Accounts!$D$336)</f>
        <v/>
      </c>
    </row>
    <row r="336" spans="6:9" x14ac:dyDescent="0.2">
      <c r="F336" t="str">
        <f>IF([1]Accounts!$D$337="","",[1]Accounts!$A$337)</f>
        <v/>
      </c>
      <c r="G336" t="str">
        <f>IF([1]Accounts!$D$337="","",[1]Accounts!$B$337)</f>
        <v/>
      </c>
      <c r="H336" t="str">
        <f>IF([1]Accounts!$D$337="","",[1]Accounts!$C$337)</f>
        <v/>
      </c>
      <c r="I336" t="str">
        <f>IF([1]Accounts!$D$337="","",[1]Accounts!$D$337)</f>
        <v/>
      </c>
    </row>
    <row r="337" spans="6:9" x14ac:dyDescent="0.2">
      <c r="F337" t="str">
        <f>IF([1]Accounts!$D$338="","",[1]Accounts!$A$338)</f>
        <v/>
      </c>
      <c r="G337" t="str">
        <f>IF([1]Accounts!$D$338="","",[1]Accounts!$B$338)</f>
        <v/>
      </c>
      <c r="H337" t="str">
        <f>IF([1]Accounts!$D$338="","",[1]Accounts!$C$338)</f>
        <v/>
      </c>
      <c r="I337" t="str">
        <f>IF([1]Accounts!$D$338="","",[1]Accounts!$D$338)</f>
        <v/>
      </c>
    </row>
    <row r="338" spans="6:9" x14ac:dyDescent="0.2">
      <c r="F338" t="str">
        <f>IF([1]Accounts!$D$339="","",[1]Accounts!$A$339)</f>
        <v/>
      </c>
      <c r="G338" t="str">
        <f>IF([1]Accounts!$D$339="","",[1]Accounts!$B$339)</f>
        <v/>
      </c>
      <c r="H338" t="str">
        <f>IF([1]Accounts!$D$339="","",[1]Accounts!$C$339)</f>
        <v/>
      </c>
      <c r="I338" t="str">
        <f>IF([1]Accounts!$D$339="","",[1]Accounts!$D$339)</f>
        <v/>
      </c>
    </row>
    <row r="339" spans="6:9" x14ac:dyDescent="0.2">
      <c r="F339" t="str">
        <f>IF([1]Accounts!$D$340="","",[1]Accounts!$A$340)</f>
        <v/>
      </c>
      <c r="G339" t="str">
        <f>IF([1]Accounts!$D$340="","",[1]Accounts!$B$340)</f>
        <v/>
      </c>
      <c r="H339" t="str">
        <f>IF([1]Accounts!$D$340="","",[1]Accounts!$C$340)</f>
        <v/>
      </c>
      <c r="I339" t="str">
        <f>IF([1]Accounts!$D$340="","",[1]Accounts!$D$340)</f>
        <v/>
      </c>
    </row>
    <row r="340" spans="6:9" x14ac:dyDescent="0.2">
      <c r="F340" t="str">
        <f>IF([1]Accounts!$D$341="","",[1]Accounts!$A$341)</f>
        <v/>
      </c>
      <c r="G340" t="str">
        <f>IF([1]Accounts!$D$341="","",[1]Accounts!$B$341)</f>
        <v/>
      </c>
      <c r="H340" t="str">
        <f>IF([1]Accounts!$D$341="","",[1]Accounts!$C$341)</f>
        <v/>
      </c>
      <c r="I340" t="str">
        <f>IF([1]Accounts!$D$341="","",[1]Accounts!$D$341)</f>
        <v/>
      </c>
    </row>
    <row r="341" spans="6:9" x14ac:dyDescent="0.2">
      <c r="F341" t="str">
        <f>IF([1]Accounts!$D$342="","",[1]Accounts!$A$342)</f>
        <v/>
      </c>
      <c r="G341" t="str">
        <f>IF([1]Accounts!$D$342="","",[1]Accounts!$B$342)</f>
        <v/>
      </c>
      <c r="H341" t="str">
        <f>IF([1]Accounts!$D$342="","",[1]Accounts!$C$342)</f>
        <v/>
      </c>
      <c r="I341" t="str">
        <f>IF([1]Accounts!$D$342="","",[1]Accounts!$D$342)</f>
        <v/>
      </c>
    </row>
    <row r="342" spans="6:9" x14ac:dyDescent="0.2">
      <c r="F342" t="str">
        <f>IF([1]Accounts!$D$343="","",[1]Accounts!$A$343)</f>
        <v/>
      </c>
      <c r="G342" t="str">
        <f>IF([1]Accounts!$D$343="","",[1]Accounts!$B$343)</f>
        <v/>
      </c>
      <c r="H342" t="str">
        <f>IF([1]Accounts!$D$343="","",[1]Accounts!$C$343)</f>
        <v/>
      </c>
      <c r="I342" t="str">
        <f>IF([1]Accounts!$D$343="","",[1]Accounts!$D$343)</f>
        <v/>
      </c>
    </row>
    <row r="343" spans="6:9" x14ac:dyDescent="0.2">
      <c r="F343" t="str">
        <f>IF([1]Accounts!$D$344="","",[1]Accounts!$A$344)</f>
        <v/>
      </c>
      <c r="G343" t="str">
        <f>IF([1]Accounts!$D$344="","",[1]Accounts!$B$344)</f>
        <v/>
      </c>
      <c r="H343" t="str">
        <f>IF([1]Accounts!$D$344="","",[1]Accounts!$C$344)</f>
        <v/>
      </c>
      <c r="I343" t="str">
        <f>IF([1]Accounts!$D$344="","",[1]Accounts!$D$344)</f>
        <v/>
      </c>
    </row>
    <row r="344" spans="6:9" x14ac:dyDescent="0.2">
      <c r="F344" t="str">
        <f>IF([1]Accounts!$D$345="","",[1]Accounts!$A$345)</f>
        <v/>
      </c>
      <c r="G344" t="str">
        <f>IF([1]Accounts!$D$345="","",[1]Accounts!$B$345)</f>
        <v/>
      </c>
      <c r="H344" t="str">
        <f>IF([1]Accounts!$D$345="","",[1]Accounts!$C$345)</f>
        <v/>
      </c>
      <c r="I344" t="str">
        <f>IF([1]Accounts!$D$345="","",[1]Accounts!$D$345)</f>
        <v/>
      </c>
    </row>
    <row r="345" spans="6:9" x14ac:dyDescent="0.2">
      <c r="F345" t="str">
        <f>IF([1]Accounts!$D$346="","",[1]Accounts!$A$346)</f>
        <v/>
      </c>
      <c r="G345" t="str">
        <f>IF([1]Accounts!$D$346="","",[1]Accounts!$B$346)</f>
        <v/>
      </c>
      <c r="H345" t="str">
        <f>IF([1]Accounts!$D$346="","",[1]Accounts!$C$346)</f>
        <v/>
      </c>
      <c r="I345" t="str">
        <f>IF([1]Accounts!$D$346="","",[1]Accounts!$D$346)</f>
        <v/>
      </c>
    </row>
    <row r="346" spans="6:9" x14ac:dyDescent="0.2">
      <c r="F346" t="str">
        <f>IF([1]Accounts!$D$347="","",[1]Accounts!$A$347)</f>
        <v/>
      </c>
      <c r="G346" t="str">
        <f>IF([1]Accounts!$D$347="","",[1]Accounts!$B$347)</f>
        <v/>
      </c>
      <c r="H346" t="str">
        <f>IF([1]Accounts!$D$347="","",[1]Accounts!$C$347)</f>
        <v/>
      </c>
      <c r="I346" t="str">
        <f>IF([1]Accounts!$D$347="","",[1]Accounts!$D$347)</f>
        <v/>
      </c>
    </row>
    <row r="347" spans="6:9" x14ac:dyDescent="0.2">
      <c r="F347" t="str">
        <f>IF([1]Accounts!$D$348="","",[1]Accounts!$A$348)</f>
        <v/>
      </c>
      <c r="G347" t="str">
        <f>IF([1]Accounts!$D$348="","",[1]Accounts!$B$348)</f>
        <v/>
      </c>
      <c r="H347" t="str">
        <f>IF([1]Accounts!$D$348="","",[1]Accounts!$C$348)</f>
        <v/>
      </c>
      <c r="I347" t="str">
        <f>IF([1]Accounts!$D$348="","",[1]Accounts!$D$348)</f>
        <v/>
      </c>
    </row>
    <row r="348" spans="6:9" x14ac:dyDescent="0.2">
      <c r="F348" t="str">
        <f>IF([1]Accounts!$D$349="","",[1]Accounts!$A$349)</f>
        <v/>
      </c>
      <c r="G348" t="str">
        <f>IF([1]Accounts!$D$349="","",[1]Accounts!$B$349)</f>
        <v/>
      </c>
      <c r="H348" t="str">
        <f>IF([1]Accounts!$D$349="","",[1]Accounts!$C$349)</f>
        <v/>
      </c>
      <c r="I348" t="str">
        <f>IF([1]Accounts!$D$349="","",[1]Accounts!$D$349)</f>
        <v/>
      </c>
    </row>
    <row r="349" spans="6:9" x14ac:dyDescent="0.2">
      <c r="F349" t="str">
        <f>IF([1]Accounts!$D$350="","",[1]Accounts!$A$350)</f>
        <v/>
      </c>
      <c r="G349" t="str">
        <f>IF([1]Accounts!$D$350="","",[1]Accounts!$B$350)</f>
        <v/>
      </c>
      <c r="H349" t="str">
        <f>IF([1]Accounts!$D$350="","",[1]Accounts!$C$350)</f>
        <v/>
      </c>
      <c r="I349" t="str">
        <f>IF([1]Accounts!$D$350="","",[1]Accounts!$D$350)</f>
        <v/>
      </c>
    </row>
    <row r="350" spans="6:9" x14ac:dyDescent="0.2">
      <c r="F350" t="str">
        <f>IF([1]Accounts!$D$351="","",[1]Accounts!$A$351)</f>
        <v/>
      </c>
      <c r="G350" t="str">
        <f>IF([1]Accounts!$D$351="","",[1]Accounts!$B$351)</f>
        <v/>
      </c>
      <c r="H350" t="str">
        <f>IF([1]Accounts!$D$351="","",[1]Accounts!$C$351)</f>
        <v/>
      </c>
      <c r="I350" t="str">
        <f>IF([1]Accounts!$D$351="","",[1]Accounts!$D$351)</f>
        <v/>
      </c>
    </row>
    <row r="351" spans="6:9" x14ac:dyDescent="0.2">
      <c r="F351" t="str">
        <f>IF([1]Accounts!$D$352="","",[1]Accounts!$A$352)</f>
        <v/>
      </c>
      <c r="G351" t="str">
        <f>IF([1]Accounts!$D$352="","",[1]Accounts!$B$352)</f>
        <v/>
      </c>
      <c r="H351" t="str">
        <f>IF([1]Accounts!$D$352="","",[1]Accounts!$C$352)</f>
        <v/>
      </c>
      <c r="I351" t="str">
        <f>IF([1]Accounts!$D$352="","",[1]Accounts!$D$352)</f>
        <v/>
      </c>
    </row>
    <row r="352" spans="6:9" x14ac:dyDescent="0.2">
      <c r="F352" t="str">
        <f>IF([1]Accounts!$D$353="","",[1]Accounts!$A$353)</f>
        <v/>
      </c>
      <c r="G352" t="str">
        <f>IF([1]Accounts!$D$353="","",[1]Accounts!$B$353)</f>
        <v/>
      </c>
      <c r="H352" t="str">
        <f>IF([1]Accounts!$D$353="","",[1]Accounts!$C$353)</f>
        <v/>
      </c>
      <c r="I352" t="str">
        <f>IF([1]Accounts!$D$353="","",[1]Accounts!$D$353)</f>
        <v/>
      </c>
    </row>
    <row r="353" spans="6:9" x14ac:dyDescent="0.2">
      <c r="F353" t="str">
        <f>IF([1]Accounts!$D$354="","",[1]Accounts!$A$354)</f>
        <v/>
      </c>
      <c r="G353" t="str">
        <f>IF([1]Accounts!$D$354="","",[1]Accounts!$B$354)</f>
        <v/>
      </c>
      <c r="H353" t="str">
        <f>IF([1]Accounts!$D$354="","",[1]Accounts!$C$354)</f>
        <v/>
      </c>
      <c r="I353" t="str">
        <f>IF([1]Accounts!$D$354="","",[1]Accounts!$D$354)</f>
        <v/>
      </c>
    </row>
    <row r="354" spans="6:9" x14ac:dyDescent="0.2">
      <c r="F354" t="str">
        <f>IF([1]Accounts!$D$355="","",[1]Accounts!$A$355)</f>
        <v/>
      </c>
      <c r="G354" t="str">
        <f>IF([1]Accounts!$D$355="","",[1]Accounts!$B$355)</f>
        <v/>
      </c>
      <c r="H354" t="str">
        <f>IF([1]Accounts!$D$355="","",[1]Accounts!$C$355)</f>
        <v/>
      </c>
      <c r="I354" t="str">
        <f>IF([1]Accounts!$D$355="","",[1]Accounts!$D$355)</f>
        <v/>
      </c>
    </row>
    <row r="355" spans="6:9" x14ac:dyDescent="0.2">
      <c r="F355" t="str">
        <f>IF([1]Accounts!$D$356="","",[1]Accounts!$A$356)</f>
        <v/>
      </c>
      <c r="G355" t="str">
        <f>IF([1]Accounts!$D$356="","",[1]Accounts!$B$356)</f>
        <v/>
      </c>
      <c r="H355" t="str">
        <f>IF([1]Accounts!$D$356="","",[1]Accounts!$C$356)</f>
        <v/>
      </c>
      <c r="I355" t="str">
        <f>IF([1]Accounts!$D$356="","",[1]Accounts!$D$356)</f>
        <v/>
      </c>
    </row>
    <row r="356" spans="6:9" x14ac:dyDescent="0.2">
      <c r="F356" t="str">
        <f>IF([1]Accounts!$D$357="","",[1]Accounts!$A$357)</f>
        <v/>
      </c>
      <c r="G356" t="str">
        <f>IF([1]Accounts!$D$357="","",[1]Accounts!$B$357)</f>
        <v/>
      </c>
      <c r="H356" t="str">
        <f>IF([1]Accounts!$D$357="","",[1]Accounts!$C$357)</f>
        <v/>
      </c>
      <c r="I356" t="str">
        <f>IF([1]Accounts!$D$357="","",[1]Accounts!$D$357)</f>
        <v/>
      </c>
    </row>
    <row r="357" spans="6:9" x14ac:dyDescent="0.2">
      <c r="F357" t="str">
        <f>IF([1]Accounts!$D$358="","",[1]Accounts!$A$358)</f>
        <v/>
      </c>
      <c r="G357" t="str">
        <f>IF([1]Accounts!$D$358="","",[1]Accounts!$B$358)</f>
        <v/>
      </c>
      <c r="H357" t="str">
        <f>IF([1]Accounts!$D$358="","",[1]Accounts!$C$358)</f>
        <v/>
      </c>
      <c r="I357" t="str">
        <f>IF([1]Accounts!$D$358="","",[1]Accounts!$D$358)</f>
        <v/>
      </c>
    </row>
    <row r="358" spans="6:9" x14ac:dyDescent="0.2">
      <c r="F358" t="str">
        <f>IF([1]Accounts!$D$359="","",[1]Accounts!$A$359)</f>
        <v/>
      </c>
      <c r="G358" t="str">
        <f>IF([1]Accounts!$D$359="","",[1]Accounts!$B$359)</f>
        <v/>
      </c>
      <c r="H358" t="str">
        <f>IF([1]Accounts!$D$359="","",[1]Accounts!$C$359)</f>
        <v/>
      </c>
      <c r="I358" t="str">
        <f>IF([1]Accounts!$D$359="","",[1]Accounts!$D$359)</f>
        <v/>
      </c>
    </row>
    <row r="359" spans="6:9" x14ac:dyDescent="0.2">
      <c r="F359" t="str">
        <f>IF([1]Accounts!$D$360="","",[1]Accounts!$A$360)</f>
        <v/>
      </c>
      <c r="G359" t="str">
        <f>IF([1]Accounts!$D$360="","",[1]Accounts!$B$360)</f>
        <v/>
      </c>
      <c r="H359" t="str">
        <f>IF([1]Accounts!$D$360="","",[1]Accounts!$C$360)</f>
        <v/>
      </c>
      <c r="I359" t="str">
        <f>IF([1]Accounts!$D$360="","",[1]Accounts!$D$360)</f>
        <v/>
      </c>
    </row>
    <row r="360" spans="6:9" x14ac:dyDescent="0.2">
      <c r="F360" t="str">
        <f>IF([1]Accounts!$D$361="","",[1]Accounts!$A$361)</f>
        <v/>
      </c>
      <c r="G360" t="str">
        <f>IF([1]Accounts!$D$361="","",[1]Accounts!$B$361)</f>
        <v/>
      </c>
      <c r="H360" t="str">
        <f>IF([1]Accounts!$D$361="","",[1]Accounts!$C$361)</f>
        <v/>
      </c>
      <c r="I360" t="str">
        <f>IF([1]Accounts!$D$361="","",[1]Accounts!$D$361)</f>
        <v/>
      </c>
    </row>
    <row r="361" spans="6:9" x14ac:dyDescent="0.2">
      <c r="F361" t="str">
        <f>IF([1]Accounts!$D$362="","",[1]Accounts!$A$362)</f>
        <v/>
      </c>
      <c r="G361" t="str">
        <f>IF([1]Accounts!$D$362="","",[1]Accounts!$B$362)</f>
        <v/>
      </c>
      <c r="H361" t="str">
        <f>IF([1]Accounts!$D$362="","",[1]Accounts!$C$362)</f>
        <v/>
      </c>
      <c r="I361" t="str">
        <f>IF([1]Accounts!$D$362="","",[1]Accounts!$D$362)</f>
        <v/>
      </c>
    </row>
    <row r="362" spans="6:9" x14ac:dyDescent="0.2">
      <c r="F362" t="str">
        <f>IF([1]Accounts!$D$363="","",[1]Accounts!$A$363)</f>
        <v/>
      </c>
      <c r="G362" t="str">
        <f>IF([1]Accounts!$D$363="","",[1]Accounts!$B$363)</f>
        <v/>
      </c>
      <c r="H362" t="str">
        <f>IF([1]Accounts!$D$363="","",[1]Accounts!$C$363)</f>
        <v/>
      </c>
      <c r="I362" t="str">
        <f>IF([1]Accounts!$D$363="","",[1]Accounts!$D$363)</f>
        <v/>
      </c>
    </row>
    <row r="363" spans="6:9" x14ac:dyDescent="0.2">
      <c r="F363" t="str">
        <f>IF([1]Accounts!$D$364="","",[1]Accounts!$A$364)</f>
        <v/>
      </c>
      <c r="G363" t="str">
        <f>IF([1]Accounts!$D$364="","",[1]Accounts!$B$364)</f>
        <v/>
      </c>
      <c r="H363" t="str">
        <f>IF([1]Accounts!$D$364="","",[1]Accounts!$C$364)</f>
        <v/>
      </c>
      <c r="I363" t="str">
        <f>IF([1]Accounts!$D$364="","",[1]Accounts!$D$364)</f>
        <v/>
      </c>
    </row>
    <row r="364" spans="6:9" x14ac:dyDescent="0.2">
      <c r="F364" t="str">
        <f>IF([1]Accounts!$D$365="","",[1]Accounts!$A$365)</f>
        <v/>
      </c>
      <c r="G364" t="str">
        <f>IF([1]Accounts!$D$365="","",[1]Accounts!$B$365)</f>
        <v/>
      </c>
      <c r="H364" t="str">
        <f>IF([1]Accounts!$D$365="","",[1]Accounts!$C$365)</f>
        <v/>
      </c>
      <c r="I364" t="str">
        <f>IF([1]Accounts!$D$365="","",[1]Accounts!$D$365)</f>
        <v/>
      </c>
    </row>
    <row r="365" spans="6:9" x14ac:dyDescent="0.2">
      <c r="F365" t="str">
        <f>IF([1]Accounts!$D$366="","",[1]Accounts!$A$366)</f>
        <v/>
      </c>
      <c r="G365" t="str">
        <f>IF([1]Accounts!$D$366="","",[1]Accounts!$B$366)</f>
        <v/>
      </c>
      <c r="H365" t="str">
        <f>IF([1]Accounts!$D$366="","",[1]Accounts!$C$366)</f>
        <v/>
      </c>
      <c r="I365" t="str">
        <f>IF([1]Accounts!$D$366="","",[1]Accounts!$D$366)</f>
        <v/>
      </c>
    </row>
    <row r="366" spans="6:9" x14ac:dyDescent="0.2">
      <c r="F366" t="str">
        <f>IF([1]Accounts!$D$367="","",[1]Accounts!$A$367)</f>
        <v/>
      </c>
      <c r="G366" t="str">
        <f>IF([1]Accounts!$D$367="","",[1]Accounts!$B$367)</f>
        <v/>
      </c>
      <c r="H366" t="str">
        <f>IF([1]Accounts!$D$367="","",[1]Accounts!$C$367)</f>
        <v/>
      </c>
      <c r="I366" t="str">
        <f>IF([1]Accounts!$D$367="","",[1]Accounts!$D$367)</f>
        <v/>
      </c>
    </row>
    <row r="367" spans="6:9" x14ac:dyDescent="0.2">
      <c r="F367" t="str">
        <f>IF([1]Accounts!$D$368="","",[1]Accounts!$A$368)</f>
        <v/>
      </c>
      <c r="G367" t="str">
        <f>IF([1]Accounts!$D$368="","",[1]Accounts!$B$368)</f>
        <v/>
      </c>
      <c r="H367" t="str">
        <f>IF([1]Accounts!$D$368="","",[1]Accounts!$C$368)</f>
        <v/>
      </c>
      <c r="I367" t="str">
        <f>IF([1]Accounts!$D$368="","",[1]Accounts!$D$368)</f>
        <v/>
      </c>
    </row>
    <row r="368" spans="6:9" x14ac:dyDescent="0.2">
      <c r="F368" t="str">
        <f>IF([1]Accounts!$D$369="","",[1]Accounts!$A$369)</f>
        <v/>
      </c>
      <c r="G368" t="str">
        <f>IF([1]Accounts!$D$369="","",[1]Accounts!$B$369)</f>
        <v/>
      </c>
      <c r="H368" t="str">
        <f>IF([1]Accounts!$D$369="","",[1]Accounts!$C$369)</f>
        <v/>
      </c>
      <c r="I368" t="str">
        <f>IF([1]Accounts!$D$369="","",[1]Accounts!$D$369)</f>
        <v/>
      </c>
    </row>
    <row r="369" spans="6:9" x14ac:dyDescent="0.2">
      <c r="F369" t="str">
        <f>IF([1]Accounts!$D$370="","",[1]Accounts!$A$370)</f>
        <v/>
      </c>
      <c r="G369" t="str">
        <f>IF([1]Accounts!$D$370="","",[1]Accounts!$B$370)</f>
        <v/>
      </c>
      <c r="H369" t="str">
        <f>IF([1]Accounts!$D$370="","",[1]Accounts!$C$370)</f>
        <v/>
      </c>
      <c r="I369" t="str">
        <f>IF([1]Accounts!$D$370="","",[1]Accounts!$D$370)</f>
        <v/>
      </c>
    </row>
    <row r="370" spans="6:9" x14ac:dyDescent="0.2">
      <c r="F370" t="str">
        <f>IF([1]Accounts!$D$371="","",[1]Accounts!$A$371)</f>
        <v/>
      </c>
      <c r="G370" t="str">
        <f>IF([1]Accounts!$D$371="","",[1]Accounts!$B$371)</f>
        <v/>
      </c>
      <c r="H370" t="str">
        <f>IF([1]Accounts!$D$371="","",[1]Accounts!$C$371)</f>
        <v/>
      </c>
      <c r="I370" t="str">
        <f>IF([1]Accounts!$D$371="","",[1]Accounts!$D$371)</f>
        <v/>
      </c>
    </row>
    <row r="371" spans="6:9" x14ac:dyDescent="0.2">
      <c r="F371" t="str">
        <f>IF([1]Accounts!$D$372="","",[1]Accounts!$A$372)</f>
        <v/>
      </c>
      <c r="G371" t="str">
        <f>IF([1]Accounts!$D$372="","",[1]Accounts!$B$372)</f>
        <v/>
      </c>
      <c r="H371" t="str">
        <f>IF([1]Accounts!$D$372="","",[1]Accounts!$C$372)</f>
        <v/>
      </c>
      <c r="I371" t="str">
        <f>IF([1]Accounts!$D$372="","",[1]Accounts!$D$372)</f>
        <v/>
      </c>
    </row>
    <row r="372" spans="6:9" x14ac:dyDescent="0.2">
      <c r="F372" t="str">
        <f>IF([1]Accounts!$D$373="","",[1]Accounts!$A$373)</f>
        <v/>
      </c>
      <c r="G372" t="str">
        <f>IF([1]Accounts!$D$373="","",[1]Accounts!$B$373)</f>
        <v/>
      </c>
      <c r="H372" t="str">
        <f>IF([1]Accounts!$D$373="","",[1]Accounts!$C$373)</f>
        <v/>
      </c>
      <c r="I372" t="str">
        <f>IF([1]Accounts!$D$373="","",[1]Accounts!$D$373)</f>
        <v/>
      </c>
    </row>
    <row r="373" spans="6:9" x14ac:dyDescent="0.2">
      <c r="F373" t="str">
        <f>IF([1]Accounts!$D$374="","",[1]Accounts!$A$374)</f>
        <v/>
      </c>
      <c r="G373" t="str">
        <f>IF([1]Accounts!$D$374="","",[1]Accounts!$B$374)</f>
        <v/>
      </c>
      <c r="H373" t="str">
        <f>IF([1]Accounts!$D$374="","",[1]Accounts!$C$374)</f>
        <v/>
      </c>
      <c r="I373" t="str">
        <f>IF([1]Accounts!$D$374="","",[1]Accounts!$D$374)</f>
        <v/>
      </c>
    </row>
    <row r="374" spans="6:9" x14ac:dyDescent="0.2">
      <c r="F374" t="str">
        <f>IF([1]Accounts!$D$375="","",[1]Accounts!$A$375)</f>
        <v/>
      </c>
      <c r="G374" t="str">
        <f>IF([1]Accounts!$D$375="","",[1]Accounts!$B$375)</f>
        <v/>
      </c>
      <c r="H374" t="str">
        <f>IF([1]Accounts!$D$375="","",[1]Accounts!$C$375)</f>
        <v/>
      </c>
      <c r="I374" t="str">
        <f>IF([1]Accounts!$D$375="","",[1]Accounts!$D$375)</f>
        <v/>
      </c>
    </row>
    <row r="375" spans="6:9" x14ac:dyDescent="0.2">
      <c r="F375" t="str">
        <f>IF([1]Accounts!$D$376="","",[1]Accounts!$A$376)</f>
        <v/>
      </c>
      <c r="G375" t="str">
        <f>IF([1]Accounts!$D$376="","",[1]Accounts!$B$376)</f>
        <v/>
      </c>
      <c r="H375" t="str">
        <f>IF([1]Accounts!$D$376="","",[1]Accounts!$C$376)</f>
        <v/>
      </c>
      <c r="I375" t="str">
        <f>IF([1]Accounts!$D$376="","",[1]Accounts!$D$376)</f>
        <v/>
      </c>
    </row>
    <row r="376" spans="6:9" x14ac:dyDescent="0.2">
      <c r="F376" t="str">
        <f>IF([1]Accounts!$D$377="","",[1]Accounts!$A$377)</f>
        <v/>
      </c>
      <c r="G376" t="str">
        <f>IF([1]Accounts!$D$377="","",[1]Accounts!$B$377)</f>
        <v/>
      </c>
      <c r="H376" t="str">
        <f>IF([1]Accounts!$D$377="","",[1]Accounts!$C$377)</f>
        <v/>
      </c>
      <c r="I376" t="str">
        <f>IF([1]Accounts!$D$377="","",[1]Accounts!$D$377)</f>
        <v/>
      </c>
    </row>
    <row r="377" spans="6:9" x14ac:dyDescent="0.2">
      <c r="F377" t="str">
        <f>IF([1]Accounts!$D$378="","",[1]Accounts!$A$378)</f>
        <v/>
      </c>
      <c r="G377" t="str">
        <f>IF([1]Accounts!$D$378="","",[1]Accounts!$B$378)</f>
        <v/>
      </c>
      <c r="H377" t="str">
        <f>IF([1]Accounts!$D$378="","",[1]Accounts!$C$378)</f>
        <v/>
      </c>
      <c r="I377" t="str">
        <f>IF([1]Accounts!$D$378="","",[1]Accounts!$D$378)</f>
        <v/>
      </c>
    </row>
    <row r="378" spans="6:9" x14ac:dyDescent="0.2">
      <c r="F378" t="str">
        <f>IF([1]Accounts!$D$379="","",[1]Accounts!$A$379)</f>
        <v/>
      </c>
      <c r="G378" t="str">
        <f>IF([1]Accounts!$D$379="","",[1]Accounts!$B$379)</f>
        <v/>
      </c>
      <c r="H378" t="str">
        <f>IF([1]Accounts!$D$379="","",[1]Accounts!$C$379)</f>
        <v/>
      </c>
      <c r="I378" t="str">
        <f>IF([1]Accounts!$D$379="","",[1]Accounts!$D$379)</f>
        <v/>
      </c>
    </row>
    <row r="379" spans="6:9" x14ac:dyDescent="0.2">
      <c r="F379" t="str">
        <f>IF([1]Accounts!$D$380="","",[1]Accounts!$A$380)</f>
        <v/>
      </c>
      <c r="G379" t="str">
        <f>IF([1]Accounts!$D$380="","",[1]Accounts!$B$380)</f>
        <v/>
      </c>
      <c r="H379" t="str">
        <f>IF([1]Accounts!$D$380="","",[1]Accounts!$C$380)</f>
        <v/>
      </c>
      <c r="I379" t="str">
        <f>IF([1]Accounts!$D$380="","",[1]Accounts!$D$380)</f>
        <v/>
      </c>
    </row>
    <row r="380" spans="6:9" x14ac:dyDescent="0.2">
      <c r="F380" t="str">
        <f>IF([1]Accounts!$D$381="","",[1]Accounts!$A$381)</f>
        <v/>
      </c>
      <c r="G380" t="str">
        <f>IF([1]Accounts!$D$381="","",[1]Accounts!$B$381)</f>
        <v/>
      </c>
      <c r="H380" t="str">
        <f>IF([1]Accounts!$D$381="","",[1]Accounts!$C$381)</f>
        <v/>
      </c>
      <c r="I380" t="str">
        <f>IF([1]Accounts!$D$381="","",[1]Accounts!$D$381)</f>
        <v/>
      </c>
    </row>
    <row r="381" spans="6:9" x14ac:dyDescent="0.2">
      <c r="F381" t="str">
        <f>IF([1]Accounts!$D$382="","",[1]Accounts!$A$382)</f>
        <v/>
      </c>
      <c r="G381" t="str">
        <f>IF([1]Accounts!$D$382="","",[1]Accounts!$B$382)</f>
        <v/>
      </c>
      <c r="H381" t="str">
        <f>IF([1]Accounts!$D$382="","",[1]Accounts!$C$382)</f>
        <v/>
      </c>
      <c r="I381" t="str">
        <f>IF([1]Accounts!$D$382="","",[1]Accounts!$D$382)</f>
        <v/>
      </c>
    </row>
    <row r="382" spans="6:9" x14ac:dyDescent="0.2">
      <c r="F382" t="str">
        <f>IF([1]Accounts!$D$383="","",[1]Accounts!$A$383)</f>
        <v/>
      </c>
      <c r="G382" t="str">
        <f>IF([1]Accounts!$D$383="","",[1]Accounts!$B$383)</f>
        <v/>
      </c>
      <c r="H382" t="str">
        <f>IF([1]Accounts!$D$383="","",[1]Accounts!$C$383)</f>
        <v/>
      </c>
      <c r="I382" t="str">
        <f>IF([1]Accounts!$D$383="","",[1]Accounts!$D$383)</f>
        <v/>
      </c>
    </row>
    <row r="383" spans="6:9" x14ac:dyDescent="0.2">
      <c r="F383" t="str">
        <f>IF([1]Accounts!$D$384="","",[1]Accounts!$A$384)</f>
        <v/>
      </c>
      <c r="G383" t="str">
        <f>IF([1]Accounts!$D$384="","",[1]Accounts!$B$384)</f>
        <v/>
      </c>
      <c r="H383" t="str">
        <f>IF([1]Accounts!$D$384="","",[1]Accounts!$C$384)</f>
        <v/>
      </c>
      <c r="I383" t="str">
        <f>IF([1]Accounts!$D$384="","",[1]Accounts!$D$384)</f>
        <v/>
      </c>
    </row>
    <row r="384" spans="6:9" x14ac:dyDescent="0.2">
      <c r="F384" t="str">
        <f>IF([1]Accounts!$D$385="","",[1]Accounts!$A$385)</f>
        <v/>
      </c>
      <c r="G384" t="str">
        <f>IF([1]Accounts!$D$385="","",[1]Accounts!$B$385)</f>
        <v/>
      </c>
      <c r="H384" t="str">
        <f>IF([1]Accounts!$D$385="","",[1]Accounts!$C$385)</f>
        <v/>
      </c>
      <c r="I384" t="str">
        <f>IF([1]Accounts!$D$385="","",[1]Accounts!$D$385)</f>
        <v/>
      </c>
    </row>
    <row r="385" spans="6:9" x14ac:dyDescent="0.2">
      <c r="F385" t="str">
        <f>IF([1]Accounts!$D$386="","",[1]Accounts!$A$386)</f>
        <v/>
      </c>
      <c r="G385" t="str">
        <f>IF([1]Accounts!$D$386="","",[1]Accounts!$B$386)</f>
        <v/>
      </c>
      <c r="H385" t="str">
        <f>IF([1]Accounts!$D$386="","",[1]Accounts!$C$386)</f>
        <v/>
      </c>
      <c r="I385" t="str">
        <f>IF([1]Accounts!$D$386="","",[1]Accounts!$D$386)</f>
        <v/>
      </c>
    </row>
    <row r="386" spans="6:9" x14ac:dyDescent="0.2">
      <c r="F386" t="str">
        <f>IF([1]Accounts!$D$387="","",[1]Accounts!$A$387)</f>
        <v/>
      </c>
      <c r="G386" t="str">
        <f>IF([1]Accounts!$D$387="","",[1]Accounts!$B$387)</f>
        <v/>
      </c>
      <c r="H386" t="str">
        <f>IF([1]Accounts!$D$387="","",[1]Accounts!$C$387)</f>
        <v/>
      </c>
      <c r="I386" t="str">
        <f>IF([1]Accounts!$D$387="","",[1]Accounts!$D$387)</f>
        <v/>
      </c>
    </row>
    <row r="387" spans="6:9" x14ac:dyDescent="0.2">
      <c r="F387" t="str">
        <f>IF([1]Accounts!$D$388="","",[1]Accounts!$A$388)</f>
        <v/>
      </c>
      <c r="G387" t="str">
        <f>IF([1]Accounts!$D$388="","",[1]Accounts!$B$388)</f>
        <v/>
      </c>
      <c r="H387" t="str">
        <f>IF([1]Accounts!$D$388="","",[1]Accounts!$C$388)</f>
        <v/>
      </c>
      <c r="I387" t="str">
        <f>IF([1]Accounts!$D$388="","",[1]Accounts!$D$388)</f>
        <v/>
      </c>
    </row>
    <row r="388" spans="6:9" x14ac:dyDescent="0.2">
      <c r="F388" t="str">
        <f>IF([1]Accounts!$D$389="","",[1]Accounts!$A$389)</f>
        <v/>
      </c>
      <c r="G388" t="str">
        <f>IF([1]Accounts!$D$389="","",[1]Accounts!$B$389)</f>
        <v/>
      </c>
      <c r="H388" t="str">
        <f>IF([1]Accounts!$D$389="","",[1]Accounts!$C$389)</f>
        <v/>
      </c>
      <c r="I388" t="str">
        <f>IF([1]Accounts!$D$389="","",[1]Accounts!$D$389)</f>
        <v/>
      </c>
    </row>
    <row r="389" spans="6:9" x14ac:dyDescent="0.2">
      <c r="F389" t="str">
        <f>IF([1]Accounts!$D$390="","",[1]Accounts!$A$390)</f>
        <v/>
      </c>
      <c r="G389" t="str">
        <f>IF([1]Accounts!$D$390="","",[1]Accounts!$B$390)</f>
        <v/>
      </c>
      <c r="H389" t="str">
        <f>IF([1]Accounts!$D$390="","",[1]Accounts!$C$390)</f>
        <v/>
      </c>
      <c r="I389" t="str">
        <f>IF([1]Accounts!$D$390="","",[1]Accounts!$D$390)</f>
        <v/>
      </c>
    </row>
    <row r="390" spans="6:9" x14ac:dyDescent="0.2">
      <c r="F390" t="str">
        <f>IF([1]Accounts!$D$391="","",[1]Accounts!$A$391)</f>
        <v/>
      </c>
      <c r="G390" t="str">
        <f>IF([1]Accounts!$D$391="","",[1]Accounts!$B$391)</f>
        <v/>
      </c>
      <c r="H390" t="str">
        <f>IF([1]Accounts!$D$391="","",[1]Accounts!$C$391)</f>
        <v/>
      </c>
      <c r="I390" t="str">
        <f>IF([1]Accounts!$D$391="","",[1]Accounts!$D$391)</f>
        <v/>
      </c>
    </row>
    <row r="391" spans="6:9" x14ac:dyDescent="0.2">
      <c r="F391" t="str">
        <f>IF([1]Accounts!$D$392="","",[1]Accounts!$A$392)</f>
        <v/>
      </c>
      <c r="G391" t="str">
        <f>IF([1]Accounts!$D$392="","",[1]Accounts!$B$392)</f>
        <v/>
      </c>
      <c r="H391" t="str">
        <f>IF([1]Accounts!$D$392="","",[1]Accounts!$C$392)</f>
        <v/>
      </c>
      <c r="I391" t="str">
        <f>IF([1]Accounts!$D$392="","",[1]Accounts!$D$392)</f>
        <v/>
      </c>
    </row>
    <row r="392" spans="6:9" x14ac:dyDescent="0.2">
      <c r="F392" t="str">
        <f>IF([1]Accounts!$D$393="","",[1]Accounts!$A$393)</f>
        <v/>
      </c>
      <c r="G392" t="str">
        <f>IF([1]Accounts!$D$393="","",[1]Accounts!$B$393)</f>
        <v/>
      </c>
      <c r="H392" t="str">
        <f>IF([1]Accounts!$D$393="","",[1]Accounts!$C$393)</f>
        <v/>
      </c>
      <c r="I392" t="str">
        <f>IF([1]Accounts!$D$393="","",[1]Accounts!$D$393)</f>
        <v/>
      </c>
    </row>
    <row r="393" spans="6:9" x14ac:dyDescent="0.2">
      <c r="F393" t="str">
        <f>IF([1]Accounts!$D$394="","",[1]Accounts!$A$394)</f>
        <v/>
      </c>
      <c r="G393" t="str">
        <f>IF([1]Accounts!$D$394="","",[1]Accounts!$B$394)</f>
        <v/>
      </c>
      <c r="H393" t="str">
        <f>IF([1]Accounts!$D$394="","",[1]Accounts!$C$394)</f>
        <v/>
      </c>
      <c r="I393" t="str">
        <f>IF([1]Accounts!$D$394="","",[1]Accounts!$D$394)</f>
        <v/>
      </c>
    </row>
    <row r="394" spans="6:9" x14ac:dyDescent="0.2">
      <c r="F394" t="str">
        <f>IF([1]Accounts!$D$395="","",[1]Accounts!$A$395)</f>
        <v/>
      </c>
      <c r="G394" t="str">
        <f>IF([1]Accounts!$D$395="","",[1]Accounts!$B$395)</f>
        <v/>
      </c>
      <c r="H394" t="str">
        <f>IF([1]Accounts!$D$395="","",[1]Accounts!$C$395)</f>
        <v/>
      </c>
      <c r="I394" t="str">
        <f>IF([1]Accounts!$D$395="","",[1]Accounts!$D$395)</f>
        <v/>
      </c>
    </row>
    <row r="395" spans="6:9" x14ac:dyDescent="0.2">
      <c r="F395" t="str">
        <f>IF([1]Accounts!$D$396="","",[1]Accounts!$A$396)</f>
        <v/>
      </c>
      <c r="G395" t="str">
        <f>IF([1]Accounts!$D$396="","",[1]Accounts!$B$396)</f>
        <v/>
      </c>
      <c r="H395" t="str">
        <f>IF([1]Accounts!$D$396="","",[1]Accounts!$C$396)</f>
        <v/>
      </c>
      <c r="I395" t="str">
        <f>IF([1]Accounts!$D$396="","",[1]Accounts!$D$396)</f>
        <v/>
      </c>
    </row>
    <row r="396" spans="6:9" x14ac:dyDescent="0.2">
      <c r="F396" t="str">
        <f>IF([1]Accounts!$D$397="","",[1]Accounts!$A$397)</f>
        <v/>
      </c>
      <c r="G396" t="str">
        <f>IF([1]Accounts!$D$397="","",[1]Accounts!$B$397)</f>
        <v/>
      </c>
      <c r="H396" t="str">
        <f>IF([1]Accounts!$D$397="","",[1]Accounts!$C$397)</f>
        <v/>
      </c>
      <c r="I396" t="str">
        <f>IF([1]Accounts!$D$397="","",[1]Accounts!$D$397)</f>
        <v/>
      </c>
    </row>
    <row r="397" spans="6:9" x14ac:dyDescent="0.2">
      <c r="F397" t="str">
        <f>IF([1]Accounts!$D$398="","",[1]Accounts!$A$398)</f>
        <v/>
      </c>
      <c r="G397" t="str">
        <f>IF([1]Accounts!$D$398="","",[1]Accounts!$B$398)</f>
        <v/>
      </c>
      <c r="H397" t="str">
        <f>IF([1]Accounts!$D$398="","",[1]Accounts!$C$398)</f>
        <v/>
      </c>
      <c r="I397" t="str">
        <f>IF([1]Accounts!$D$398="","",[1]Accounts!$D$398)</f>
        <v/>
      </c>
    </row>
    <row r="398" spans="6:9" x14ac:dyDescent="0.2">
      <c r="F398" t="str">
        <f>IF([1]Accounts!$D$399="","",[1]Accounts!$A$399)</f>
        <v/>
      </c>
      <c r="G398" t="str">
        <f>IF([1]Accounts!$D$399="","",[1]Accounts!$B$399)</f>
        <v/>
      </c>
      <c r="H398" t="str">
        <f>IF([1]Accounts!$D$399="","",[1]Accounts!$C$399)</f>
        <v/>
      </c>
      <c r="I398" t="str">
        <f>IF([1]Accounts!$D$399="","",[1]Accounts!$D$399)</f>
        <v/>
      </c>
    </row>
    <row r="399" spans="6:9" x14ac:dyDescent="0.2">
      <c r="F399" t="str">
        <f>IF([1]Accounts!$D$400="","",[1]Accounts!$A$400)</f>
        <v/>
      </c>
      <c r="G399" t="str">
        <f>IF([1]Accounts!$D$400="","",[1]Accounts!$B$400)</f>
        <v/>
      </c>
      <c r="H399" t="str">
        <f>IF([1]Accounts!$D$400="","",[1]Accounts!$C$400)</f>
        <v/>
      </c>
      <c r="I399" t="str">
        <f>IF([1]Accounts!$D$400="","",[1]Accounts!$D$400)</f>
        <v/>
      </c>
    </row>
    <row r="400" spans="6:9" x14ac:dyDescent="0.2">
      <c r="F400" t="str">
        <f>IF([1]Accounts!$D$401="","",[1]Accounts!$A$401)</f>
        <v/>
      </c>
      <c r="G400" t="str">
        <f>IF([1]Accounts!$D$401="","",[1]Accounts!$B$401)</f>
        <v/>
      </c>
      <c r="H400" t="str">
        <f>IF([1]Accounts!$D$401="","",[1]Accounts!$C$401)</f>
        <v/>
      </c>
      <c r="I400" t="str">
        <f>IF([1]Accounts!$D$401="","",[1]Accounts!$D$401)</f>
        <v/>
      </c>
    </row>
    <row r="401" spans="6:9" x14ac:dyDescent="0.2">
      <c r="F401" t="str">
        <f>IF([1]Accounts!$D$402="","",[1]Accounts!$A$402)</f>
        <v/>
      </c>
      <c r="G401" t="str">
        <f>IF([1]Accounts!$D$402="","",[1]Accounts!$B$402)</f>
        <v/>
      </c>
      <c r="H401" t="str">
        <f>IF([1]Accounts!$D$402="","",[1]Accounts!$C$402)</f>
        <v/>
      </c>
      <c r="I401" t="str">
        <f>IF([1]Accounts!$D$402="","",[1]Accounts!$D$402)</f>
        <v/>
      </c>
    </row>
    <row r="402" spans="6:9" x14ac:dyDescent="0.2">
      <c r="F402" t="str">
        <f>IF([1]Accounts!$D$403="","",[1]Accounts!$A$403)</f>
        <v/>
      </c>
      <c r="G402" t="str">
        <f>IF([1]Accounts!$D$403="","",[1]Accounts!$B$403)</f>
        <v/>
      </c>
      <c r="H402" t="str">
        <f>IF([1]Accounts!$D$403="","",[1]Accounts!$C$403)</f>
        <v/>
      </c>
      <c r="I402" t="str">
        <f>IF([1]Accounts!$D$403="","",[1]Accounts!$D$403)</f>
        <v/>
      </c>
    </row>
    <row r="403" spans="6:9" x14ac:dyDescent="0.2">
      <c r="F403" t="str">
        <f>IF([1]Accounts!$D$404="","",[1]Accounts!$A$404)</f>
        <v/>
      </c>
      <c r="G403" t="str">
        <f>IF([1]Accounts!$D$404="","",[1]Accounts!$B$404)</f>
        <v/>
      </c>
      <c r="H403" t="str">
        <f>IF([1]Accounts!$D$404="","",[1]Accounts!$C$404)</f>
        <v/>
      </c>
      <c r="I403" t="str">
        <f>IF([1]Accounts!$D$404="","",[1]Accounts!$D$404)</f>
        <v/>
      </c>
    </row>
    <row r="404" spans="6:9" x14ac:dyDescent="0.2">
      <c r="F404" t="str">
        <f>IF([1]Accounts!$D$405="","",[1]Accounts!$A$405)</f>
        <v/>
      </c>
      <c r="G404" t="str">
        <f>IF([1]Accounts!$D$405="","",[1]Accounts!$B$405)</f>
        <v/>
      </c>
      <c r="H404" t="str">
        <f>IF([1]Accounts!$D$405="","",[1]Accounts!$C$405)</f>
        <v/>
      </c>
      <c r="I404" t="str">
        <f>IF([1]Accounts!$D$405="","",[1]Accounts!$D$405)</f>
        <v/>
      </c>
    </row>
    <row r="405" spans="6:9" x14ac:dyDescent="0.2">
      <c r="F405" t="str">
        <f>IF([1]Accounts!$D$406="","",[1]Accounts!$A$406)</f>
        <v/>
      </c>
      <c r="G405" t="str">
        <f>IF([1]Accounts!$D$406="","",[1]Accounts!$B$406)</f>
        <v/>
      </c>
      <c r="H405" t="str">
        <f>IF([1]Accounts!$D$406="","",[1]Accounts!$C$406)</f>
        <v/>
      </c>
      <c r="I405" t="str">
        <f>IF([1]Accounts!$D$406="","",[1]Accounts!$D$406)</f>
        <v/>
      </c>
    </row>
    <row r="406" spans="6:9" x14ac:dyDescent="0.2">
      <c r="F406" t="str">
        <f>IF([1]Accounts!$D$407="","",[1]Accounts!$A$407)</f>
        <v>E001</v>
      </c>
      <c r="G406" t="str">
        <f>IF([1]Accounts!$D$407="","",[1]Accounts!$B$407)</f>
        <v>کارمند</v>
      </c>
      <c r="H406" t="str">
        <f>IF([1]Accounts!$D$407="","",[1]Accounts!$C$407)</f>
        <v>مدیرعامل</v>
      </c>
      <c r="I406" t="str">
        <f>IF([1]Accounts!$D$407="","",[1]Accounts!$D$407)</f>
        <v>(نام مدیرعامل)</v>
      </c>
    </row>
    <row r="407" spans="6:9" x14ac:dyDescent="0.2">
      <c r="F407" t="str">
        <f>IF([1]Accounts!$D$408="","",[1]Accounts!$A$408)</f>
        <v>E002</v>
      </c>
      <c r="G407" t="str">
        <f>IF([1]Accounts!$D$408="","",[1]Accounts!$B$408)</f>
        <v>کارمند</v>
      </c>
      <c r="H407" t="str">
        <f>IF([1]Accounts!$D$408="","",[1]Accounts!$C$408)</f>
        <v>حسابدار</v>
      </c>
      <c r="I407" t="str">
        <f>IF([1]Accounts!$D$408="","",[1]Accounts!$D$408)</f>
        <v>(نام حسابدار)</v>
      </c>
    </row>
    <row r="408" spans="6:9" x14ac:dyDescent="0.2">
      <c r="F408" t="str">
        <f>IF([1]Accounts!$D$409="","",[1]Accounts!$A$409)</f>
        <v>E003</v>
      </c>
      <c r="G408" t="str">
        <f>IF([1]Accounts!$D$409="","",[1]Accounts!$B$409)</f>
        <v>کارمند</v>
      </c>
      <c r="H408" t="str">
        <f>IF([1]Accounts!$D$409="","",[1]Accounts!$C$409)</f>
        <v>فروشنده</v>
      </c>
      <c r="I408" t="str">
        <f>IF([1]Accounts!$D$409="","",[1]Accounts!$D$409)</f>
        <v>(نام فروشنده ۱)</v>
      </c>
    </row>
    <row r="409" spans="6:9" x14ac:dyDescent="0.2">
      <c r="F409" t="str">
        <f>IF([1]Accounts!$D$410="","",[1]Accounts!$A$410)</f>
        <v>E004</v>
      </c>
      <c r="G409" t="str">
        <f>IF([1]Accounts!$D$410="","",[1]Accounts!$B$410)</f>
        <v>کارمند</v>
      </c>
      <c r="H409" t="str">
        <f>IF([1]Accounts!$D$410="","",[1]Accounts!$C$410)</f>
        <v>انباردار</v>
      </c>
      <c r="I409" t="str">
        <f>IF([1]Accounts!$D$410="","",[1]Accounts!$D$410)</f>
        <v>(نام انباردار)</v>
      </c>
    </row>
    <row r="410" spans="6:9" x14ac:dyDescent="0.2">
      <c r="F410" t="str">
        <f>IF([1]Accounts!$D$411="","",[1]Accounts!$A$411)</f>
        <v>E005</v>
      </c>
      <c r="G410" t="str">
        <f>IF([1]Accounts!$D$411="","",[1]Accounts!$B$411)</f>
        <v>کارمند</v>
      </c>
      <c r="H410" t="str">
        <f>IF([1]Accounts!$D$411="","",[1]Accounts!$C$411)</f>
        <v>سرپرست خط</v>
      </c>
      <c r="I410" t="str">
        <f>IF([1]Accounts!$D$411="","",[1]Accounts!$D$411)</f>
        <v>رضا کاظمی (نمونه)</v>
      </c>
    </row>
    <row r="411" spans="6:9" x14ac:dyDescent="0.2">
      <c r="F411" t="str">
        <f>IF([1]Accounts!$D$412="","",[1]Accounts!$A$412)</f>
        <v>E006</v>
      </c>
      <c r="G411" t="str">
        <f>IF([1]Accounts!$D$412="","",[1]Accounts!$B$412)</f>
        <v>کارمند</v>
      </c>
      <c r="H411" t="str">
        <f>IF([1]Accounts!$D$412="","",[1]Accounts!$C$412)</f>
        <v>کارگر</v>
      </c>
      <c r="I411" t="str">
        <f>IF([1]Accounts!$D$412="","",[1]Accounts!$D$412)</f>
        <v>علی احمدی (نمونه)</v>
      </c>
    </row>
    <row r="412" spans="6:9" x14ac:dyDescent="0.2">
      <c r="F412" t="str">
        <f>IF([1]Accounts!$D$413="","",[1]Accounts!$A$413)</f>
        <v/>
      </c>
      <c r="G412" t="str">
        <f>IF([1]Accounts!$D$413="","",[1]Accounts!$B$413)</f>
        <v/>
      </c>
      <c r="H412" t="str">
        <f>IF([1]Accounts!$D$413="","",[1]Accounts!$C$413)</f>
        <v/>
      </c>
      <c r="I412" t="str">
        <f>IF([1]Accounts!$D$413="","",[1]Accounts!$D$413)</f>
        <v/>
      </c>
    </row>
    <row r="413" spans="6:9" x14ac:dyDescent="0.2">
      <c r="F413" t="str">
        <f>IF([1]Accounts!$D$414="","",[1]Accounts!$A$414)</f>
        <v/>
      </c>
      <c r="G413" t="str">
        <f>IF([1]Accounts!$D$414="","",[1]Accounts!$B$414)</f>
        <v/>
      </c>
      <c r="H413" t="str">
        <f>IF([1]Accounts!$D$414="","",[1]Accounts!$C$414)</f>
        <v/>
      </c>
      <c r="I413" t="str">
        <f>IF([1]Accounts!$D$414="","",[1]Accounts!$D$414)</f>
        <v/>
      </c>
    </row>
    <row r="414" spans="6:9" x14ac:dyDescent="0.2">
      <c r="F414" t="str">
        <f>IF([1]Accounts!$D$415="","",[1]Accounts!$A$415)</f>
        <v/>
      </c>
      <c r="G414" t="str">
        <f>IF([1]Accounts!$D$415="","",[1]Accounts!$B$415)</f>
        <v/>
      </c>
      <c r="H414" t="str">
        <f>IF([1]Accounts!$D$415="","",[1]Accounts!$C$415)</f>
        <v/>
      </c>
      <c r="I414" t="str">
        <f>IF([1]Accounts!$D$415="","",[1]Accounts!$D$415)</f>
        <v/>
      </c>
    </row>
    <row r="415" spans="6:9" x14ac:dyDescent="0.2">
      <c r="F415" t="str">
        <f>IF([1]Accounts!$D$416="","",[1]Accounts!$A$416)</f>
        <v/>
      </c>
      <c r="G415" t="str">
        <f>IF([1]Accounts!$D$416="","",[1]Accounts!$B$416)</f>
        <v/>
      </c>
      <c r="H415" t="str">
        <f>IF([1]Accounts!$D$416="","",[1]Accounts!$C$416)</f>
        <v/>
      </c>
      <c r="I415" t="str">
        <f>IF([1]Accounts!$D$416="","",[1]Accounts!$D$416)</f>
        <v/>
      </c>
    </row>
    <row r="416" spans="6:9" x14ac:dyDescent="0.2">
      <c r="F416" t="str">
        <f>IF([1]Accounts!$D$417="","",[1]Accounts!$A$417)</f>
        <v/>
      </c>
      <c r="G416" t="str">
        <f>IF([1]Accounts!$D$417="","",[1]Accounts!$B$417)</f>
        <v/>
      </c>
      <c r="H416" t="str">
        <f>IF([1]Accounts!$D$417="","",[1]Accounts!$C$417)</f>
        <v/>
      </c>
      <c r="I416" t="str">
        <f>IF([1]Accounts!$D$417="","",[1]Accounts!$D$417)</f>
        <v/>
      </c>
    </row>
    <row r="417" spans="6:9" x14ac:dyDescent="0.2">
      <c r="F417" t="str">
        <f>IF([1]Accounts!$D$418="","",[1]Accounts!$A$418)</f>
        <v/>
      </c>
      <c r="G417" t="str">
        <f>IF([1]Accounts!$D$418="","",[1]Accounts!$B$418)</f>
        <v/>
      </c>
      <c r="H417" t="str">
        <f>IF([1]Accounts!$D$418="","",[1]Accounts!$C$418)</f>
        <v/>
      </c>
      <c r="I417" t="str">
        <f>IF([1]Accounts!$D$418="","",[1]Accounts!$D$418)</f>
        <v/>
      </c>
    </row>
    <row r="418" spans="6:9" x14ac:dyDescent="0.2">
      <c r="F418" t="str">
        <f>IF([1]Accounts!$D$419="","",[1]Accounts!$A$419)</f>
        <v/>
      </c>
      <c r="G418" t="str">
        <f>IF([1]Accounts!$D$419="","",[1]Accounts!$B$419)</f>
        <v/>
      </c>
      <c r="H418" t="str">
        <f>IF([1]Accounts!$D$419="","",[1]Accounts!$C$419)</f>
        <v/>
      </c>
      <c r="I418" t="str">
        <f>IF([1]Accounts!$D$419="","",[1]Accounts!$D$419)</f>
        <v/>
      </c>
    </row>
    <row r="419" spans="6:9" x14ac:dyDescent="0.2">
      <c r="F419" t="str">
        <f>IF([1]Accounts!$D$420="","",[1]Accounts!$A$420)</f>
        <v/>
      </c>
      <c r="G419" t="str">
        <f>IF([1]Accounts!$D$420="","",[1]Accounts!$B$420)</f>
        <v/>
      </c>
      <c r="H419" t="str">
        <f>IF([1]Accounts!$D$420="","",[1]Accounts!$C$420)</f>
        <v/>
      </c>
      <c r="I419" t="str">
        <f>IF([1]Accounts!$D$420="","",[1]Accounts!$D$420)</f>
        <v/>
      </c>
    </row>
    <row r="420" spans="6:9" x14ac:dyDescent="0.2">
      <c r="F420" t="str">
        <f>IF([1]Accounts!$D$421="","",[1]Accounts!$A$421)</f>
        <v/>
      </c>
      <c r="G420" t="str">
        <f>IF([1]Accounts!$D$421="","",[1]Accounts!$B$421)</f>
        <v/>
      </c>
      <c r="H420" t="str">
        <f>IF([1]Accounts!$D$421="","",[1]Accounts!$C$421)</f>
        <v/>
      </c>
      <c r="I420" t="str">
        <f>IF([1]Accounts!$D$421="","",[1]Accounts!$D$421)</f>
        <v/>
      </c>
    </row>
    <row r="421" spans="6:9" x14ac:dyDescent="0.2">
      <c r="F421" t="str">
        <f>IF([1]Accounts!$D$422="","",[1]Accounts!$A$422)</f>
        <v/>
      </c>
      <c r="G421" t="str">
        <f>IF([1]Accounts!$D$422="","",[1]Accounts!$B$422)</f>
        <v/>
      </c>
      <c r="H421" t="str">
        <f>IF([1]Accounts!$D$422="","",[1]Accounts!$C$422)</f>
        <v/>
      </c>
      <c r="I421" t="str">
        <f>IF([1]Accounts!$D$422="","",[1]Accounts!$D$422)</f>
        <v/>
      </c>
    </row>
    <row r="422" spans="6:9" x14ac:dyDescent="0.2">
      <c r="F422" t="str">
        <f>IF([1]Accounts!$D$423="","",[1]Accounts!$A$423)</f>
        <v/>
      </c>
      <c r="G422" t="str">
        <f>IF([1]Accounts!$D$423="","",[1]Accounts!$B$423)</f>
        <v/>
      </c>
      <c r="H422" t="str">
        <f>IF([1]Accounts!$D$423="","",[1]Accounts!$C$423)</f>
        <v/>
      </c>
      <c r="I422" t="str">
        <f>IF([1]Accounts!$D$423="","",[1]Accounts!$D$423)</f>
        <v/>
      </c>
    </row>
    <row r="423" spans="6:9" x14ac:dyDescent="0.2">
      <c r="F423" t="str">
        <f>IF([1]Accounts!$D$424="","",[1]Accounts!$A$424)</f>
        <v/>
      </c>
      <c r="G423" t="str">
        <f>IF([1]Accounts!$D$424="","",[1]Accounts!$B$424)</f>
        <v/>
      </c>
      <c r="H423" t="str">
        <f>IF([1]Accounts!$D$424="","",[1]Accounts!$C$424)</f>
        <v/>
      </c>
      <c r="I423" t="str">
        <f>IF([1]Accounts!$D$424="","",[1]Accounts!$D$424)</f>
        <v/>
      </c>
    </row>
    <row r="424" spans="6:9" x14ac:dyDescent="0.2">
      <c r="F424" t="str">
        <f>IF([1]Accounts!$D$425="","",[1]Accounts!$A$425)</f>
        <v/>
      </c>
      <c r="G424" t="str">
        <f>IF([1]Accounts!$D$425="","",[1]Accounts!$B$425)</f>
        <v/>
      </c>
      <c r="H424" t="str">
        <f>IF([1]Accounts!$D$425="","",[1]Accounts!$C$425)</f>
        <v/>
      </c>
      <c r="I424" t="str">
        <f>IF([1]Accounts!$D$425="","",[1]Accounts!$D$425)</f>
        <v/>
      </c>
    </row>
    <row r="425" spans="6:9" x14ac:dyDescent="0.2">
      <c r="F425" t="str">
        <f>IF([1]Accounts!$D$426="","",[1]Accounts!$A$426)</f>
        <v/>
      </c>
      <c r="G425" t="str">
        <f>IF([1]Accounts!$D$426="","",[1]Accounts!$B$426)</f>
        <v/>
      </c>
      <c r="H425" t="str">
        <f>IF([1]Accounts!$D$426="","",[1]Accounts!$C$426)</f>
        <v/>
      </c>
      <c r="I425" t="str">
        <f>IF([1]Accounts!$D$426="","",[1]Accounts!$D$426)</f>
        <v/>
      </c>
    </row>
    <row r="426" spans="6:9" x14ac:dyDescent="0.2">
      <c r="F426" t="str">
        <f>IF([1]Accounts!$D$427="","",[1]Accounts!$A$427)</f>
        <v/>
      </c>
      <c r="G426" t="str">
        <f>IF([1]Accounts!$D$427="","",[1]Accounts!$B$427)</f>
        <v/>
      </c>
      <c r="H426" t="str">
        <f>IF([1]Accounts!$D$427="","",[1]Accounts!$C$427)</f>
        <v/>
      </c>
      <c r="I426" t="str">
        <f>IF([1]Accounts!$D$427="","",[1]Accounts!$D$427)</f>
        <v/>
      </c>
    </row>
    <row r="427" spans="6:9" x14ac:dyDescent="0.2">
      <c r="F427" t="str">
        <f>IF([1]Accounts!$D$428="","",[1]Accounts!$A$428)</f>
        <v/>
      </c>
      <c r="G427" t="str">
        <f>IF([1]Accounts!$D$428="","",[1]Accounts!$B$428)</f>
        <v/>
      </c>
      <c r="H427" t="str">
        <f>IF([1]Accounts!$D$428="","",[1]Accounts!$C$428)</f>
        <v/>
      </c>
      <c r="I427" t="str">
        <f>IF([1]Accounts!$D$428="","",[1]Accounts!$D$428)</f>
        <v/>
      </c>
    </row>
    <row r="428" spans="6:9" x14ac:dyDescent="0.2">
      <c r="F428" t="str">
        <f>IF([1]Accounts!$D$429="","",[1]Accounts!$A$429)</f>
        <v/>
      </c>
      <c r="G428" t="str">
        <f>IF([1]Accounts!$D$429="","",[1]Accounts!$B$429)</f>
        <v/>
      </c>
      <c r="H428" t="str">
        <f>IF([1]Accounts!$D$429="","",[1]Accounts!$C$429)</f>
        <v/>
      </c>
      <c r="I428" t="str">
        <f>IF([1]Accounts!$D$429="","",[1]Accounts!$D$429)</f>
        <v/>
      </c>
    </row>
    <row r="429" spans="6:9" x14ac:dyDescent="0.2">
      <c r="F429" t="str">
        <f>IF([1]Accounts!$D$430="","",[1]Accounts!$A$430)</f>
        <v/>
      </c>
      <c r="G429" t="str">
        <f>IF([1]Accounts!$D$430="","",[1]Accounts!$B$430)</f>
        <v/>
      </c>
      <c r="H429" t="str">
        <f>IF([1]Accounts!$D$430="","",[1]Accounts!$C$430)</f>
        <v/>
      </c>
      <c r="I429" t="str">
        <f>IF([1]Accounts!$D$430="","",[1]Accounts!$D$430)</f>
        <v/>
      </c>
    </row>
    <row r="430" spans="6:9" x14ac:dyDescent="0.2">
      <c r="F430" t="str">
        <f>IF([1]Accounts!$D$431="","",[1]Accounts!$A$431)</f>
        <v/>
      </c>
      <c r="G430" t="str">
        <f>IF([1]Accounts!$D$431="","",[1]Accounts!$B$431)</f>
        <v/>
      </c>
      <c r="H430" t="str">
        <f>IF([1]Accounts!$D$431="","",[1]Accounts!$C$431)</f>
        <v/>
      </c>
      <c r="I430" t="str">
        <f>IF([1]Accounts!$D$431="","",[1]Accounts!$D$431)</f>
        <v/>
      </c>
    </row>
    <row r="431" spans="6:9" x14ac:dyDescent="0.2">
      <c r="F431" t="str">
        <f>IF([1]Accounts!$D$432="","",[1]Accounts!$A$432)</f>
        <v/>
      </c>
      <c r="G431" t="str">
        <f>IF([1]Accounts!$D$432="","",[1]Accounts!$B$432)</f>
        <v/>
      </c>
      <c r="H431" t="str">
        <f>IF([1]Accounts!$D$432="","",[1]Accounts!$C$432)</f>
        <v/>
      </c>
      <c r="I431" t="str">
        <f>IF([1]Accounts!$D$432="","",[1]Accounts!$D$432)</f>
        <v/>
      </c>
    </row>
    <row r="432" spans="6:9" x14ac:dyDescent="0.2">
      <c r="F432" t="str">
        <f>IF([1]Accounts!$D$433="","",[1]Accounts!$A$433)</f>
        <v/>
      </c>
      <c r="G432" t="str">
        <f>IF([1]Accounts!$D$433="","",[1]Accounts!$B$433)</f>
        <v/>
      </c>
      <c r="H432" t="str">
        <f>IF([1]Accounts!$D$433="","",[1]Accounts!$C$433)</f>
        <v/>
      </c>
      <c r="I432" t="str">
        <f>IF([1]Accounts!$D$433="","",[1]Accounts!$D$433)</f>
        <v/>
      </c>
    </row>
    <row r="433" spans="6:9" x14ac:dyDescent="0.2">
      <c r="F433" t="str">
        <f>IF([1]Accounts!$D$434="","",[1]Accounts!$A$434)</f>
        <v/>
      </c>
      <c r="G433" t="str">
        <f>IF([1]Accounts!$D$434="","",[1]Accounts!$B$434)</f>
        <v/>
      </c>
      <c r="H433" t="str">
        <f>IF([1]Accounts!$D$434="","",[1]Accounts!$C$434)</f>
        <v/>
      </c>
      <c r="I433" t="str">
        <f>IF([1]Accounts!$D$434="","",[1]Accounts!$D$434)</f>
        <v/>
      </c>
    </row>
    <row r="434" spans="6:9" x14ac:dyDescent="0.2">
      <c r="F434" t="str">
        <f>IF([1]Accounts!$D$435="","",[1]Accounts!$A$435)</f>
        <v/>
      </c>
      <c r="G434" t="str">
        <f>IF([1]Accounts!$D$435="","",[1]Accounts!$B$435)</f>
        <v/>
      </c>
      <c r="H434" t="str">
        <f>IF([1]Accounts!$D$435="","",[1]Accounts!$C$435)</f>
        <v/>
      </c>
      <c r="I434" t="str">
        <f>IF([1]Accounts!$D$435="","",[1]Accounts!$D$435)</f>
        <v/>
      </c>
    </row>
    <row r="435" spans="6:9" x14ac:dyDescent="0.2">
      <c r="F435" t="str">
        <f>IF([1]Accounts!$D$436="","",[1]Accounts!$A$436)</f>
        <v/>
      </c>
      <c r="G435" t="str">
        <f>IF([1]Accounts!$D$436="","",[1]Accounts!$B$436)</f>
        <v/>
      </c>
      <c r="H435" t="str">
        <f>IF([1]Accounts!$D$436="","",[1]Accounts!$C$436)</f>
        <v/>
      </c>
      <c r="I435" t="str">
        <f>IF([1]Accounts!$D$436="","",[1]Accounts!$D$436)</f>
        <v/>
      </c>
    </row>
    <row r="436" spans="6:9" x14ac:dyDescent="0.2">
      <c r="F436" t="str">
        <f>IF([1]Accounts!$D$437="","",[1]Accounts!$A$437)</f>
        <v/>
      </c>
      <c r="G436" t="str">
        <f>IF([1]Accounts!$D$437="","",[1]Accounts!$B$437)</f>
        <v/>
      </c>
      <c r="H436" t="str">
        <f>IF([1]Accounts!$D$437="","",[1]Accounts!$C$437)</f>
        <v/>
      </c>
      <c r="I436" t="str">
        <f>IF([1]Accounts!$D$437="","",[1]Accounts!$D$437)</f>
        <v/>
      </c>
    </row>
    <row r="437" spans="6:9" x14ac:dyDescent="0.2">
      <c r="F437" t="str">
        <f>IF([1]Accounts!$D$438="","",[1]Accounts!$A$438)</f>
        <v/>
      </c>
      <c r="G437" t="str">
        <f>IF([1]Accounts!$D$438="","",[1]Accounts!$B$438)</f>
        <v/>
      </c>
      <c r="H437" t="str">
        <f>IF([1]Accounts!$D$438="","",[1]Accounts!$C$438)</f>
        <v/>
      </c>
      <c r="I437" t="str">
        <f>IF([1]Accounts!$D$438="","",[1]Accounts!$D$438)</f>
        <v/>
      </c>
    </row>
    <row r="438" spans="6:9" x14ac:dyDescent="0.2">
      <c r="F438" t="str">
        <f>IF([1]Accounts!$D$439="","",[1]Accounts!$A$439)</f>
        <v/>
      </c>
      <c r="G438" t="str">
        <f>IF([1]Accounts!$D$439="","",[1]Accounts!$B$439)</f>
        <v/>
      </c>
      <c r="H438" t="str">
        <f>IF([1]Accounts!$D$439="","",[1]Accounts!$C$439)</f>
        <v/>
      </c>
      <c r="I438" t="str">
        <f>IF([1]Accounts!$D$439="","",[1]Accounts!$D$439)</f>
        <v/>
      </c>
    </row>
    <row r="439" spans="6:9" x14ac:dyDescent="0.2">
      <c r="F439" t="str">
        <f>IF([1]Accounts!$D$440="","",[1]Accounts!$A$440)</f>
        <v/>
      </c>
      <c r="G439" t="str">
        <f>IF([1]Accounts!$D$440="","",[1]Accounts!$B$440)</f>
        <v/>
      </c>
      <c r="H439" t="str">
        <f>IF([1]Accounts!$D$440="","",[1]Accounts!$C$440)</f>
        <v/>
      </c>
      <c r="I439" t="str">
        <f>IF([1]Accounts!$D$440="","",[1]Accounts!$D$440)</f>
        <v/>
      </c>
    </row>
    <row r="440" spans="6:9" x14ac:dyDescent="0.2">
      <c r="F440" t="str">
        <f>IF([1]Accounts!$D$441="","",[1]Accounts!$A$441)</f>
        <v/>
      </c>
      <c r="G440" t="str">
        <f>IF([1]Accounts!$D$441="","",[1]Accounts!$B$441)</f>
        <v/>
      </c>
      <c r="H440" t="str">
        <f>IF([1]Accounts!$D$441="","",[1]Accounts!$C$441)</f>
        <v/>
      </c>
      <c r="I440" t="str">
        <f>IF([1]Accounts!$D$441="","",[1]Accounts!$D$441)</f>
        <v/>
      </c>
    </row>
    <row r="441" spans="6:9" x14ac:dyDescent="0.2">
      <c r="F441" t="str">
        <f>IF([1]Accounts!$D$442="","",[1]Accounts!$A$442)</f>
        <v/>
      </c>
      <c r="G441" t="str">
        <f>IF([1]Accounts!$D$442="","",[1]Accounts!$B$442)</f>
        <v/>
      </c>
      <c r="H441" t="str">
        <f>IF([1]Accounts!$D$442="","",[1]Accounts!$C$442)</f>
        <v/>
      </c>
      <c r="I441" t="str">
        <f>IF([1]Accounts!$D$442="","",[1]Accounts!$D$442)</f>
        <v/>
      </c>
    </row>
    <row r="442" spans="6:9" x14ac:dyDescent="0.2">
      <c r="F442" t="str">
        <f>IF([1]Accounts!$D$443="","",[1]Accounts!$A$443)</f>
        <v/>
      </c>
      <c r="G442" t="str">
        <f>IF([1]Accounts!$D$443="","",[1]Accounts!$B$443)</f>
        <v/>
      </c>
      <c r="H442" t="str">
        <f>IF([1]Accounts!$D$443="","",[1]Accounts!$C$443)</f>
        <v/>
      </c>
      <c r="I442" t="str">
        <f>IF([1]Accounts!$D$443="","",[1]Accounts!$D$443)</f>
        <v/>
      </c>
    </row>
    <row r="443" spans="6:9" x14ac:dyDescent="0.2">
      <c r="F443" t="str">
        <f>IF([1]Accounts!$D$444="","",[1]Accounts!$A$444)</f>
        <v/>
      </c>
      <c r="G443" t="str">
        <f>IF([1]Accounts!$D$444="","",[1]Accounts!$B$444)</f>
        <v/>
      </c>
      <c r="H443" t="str">
        <f>IF([1]Accounts!$D$444="","",[1]Accounts!$C$444)</f>
        <v/>
      </c>
      <c r="I443" t="str">
        <f>IF([1]Accounts!$D$444="","",[1]Accounts!$D$444)</f>
        <v/>
      </c>
    </row>
    <row r="444" spans="6:9" x14ac:dyDescent="0.2">
      <c r="F444" t="str">
        <f>IF([1]Accounts!$D$445="","",[1]Accounts!$A$445)</f>
        <v/>
      </c>
      <c r="G444" t="str">
        <f>IF([1]Accounts!$D$445="","",[1]Accounts!$B$445)</f>
        <v/>
      </c>
      <c r="H444" t="str">
        <f>IF([1]Accounts!$D$445="","",[1]Accounts!$C$445)</f>
        <v/>
      </c>
      <c r="I444" t="str">
        <f>IF([1]Accounts!$D$445="","",[1]Accounts!$D$445)</f>
        <v/>
      </c>
    </row>
    <row r="445" spans="6:9" x14ac:dyDescent="0.2">
      <c r="F445" t="str">
        <f>IF([1]Accounts!$D$446="","",[1]Accounts!$A$446)</f>
        <v/>
      </c>
      <c r="G445" t="str">
        <f>IF([1]Accounts!$D$446="","",[1]Accounts!$B$446)</f>
        <v/>
      </c>
      <c r="H445" t="str">
        <f>IF([1]Accounts!$D$446="","",[1]Accounts!$C$446)</f>
        <v/>
      </c>
      <c r="I445" t="str">
        <f>IF([1]Accounts!$D$446="","",[1]Accounts!$D$446)</f>
        <v/>
      </c>
    </row>
    <row r="446" spans="6:9" x14ac:dyDescent="0.2">
      <c r="F446" t="str">
        <f>IF([1]Accounts!$D$447="","",[1]Accounts!$A$447)</f>
        <v/>
      </c>
      <c r="G446" t="str">
        <f>IF([1]Accounts!$D$447="","",[1]Accounts!$B$447)</f>
        <v/>
      </c>
      <c r="H446" t="str">
        <f>IF([1]Accounts!$D$447="","",[1]Accounts!$C$447)</f>
        <v/>
      </c>
      <c r="I446" t="str">
        <f>IF([1]Accounts!$D$447="","",[1]Accounts!$D$447)</f>
        <v/>
      </c>
    </row>
    <row r="447" spans="6:9" x14ac:dyDescent="0.2">
      <c r="F447" t="str">
        <f>IF([1]Accounts!$D$448="","",[1]Accounts!$A$448)</f>
        <v/>
      </c>
      <c r="G447" t="str">
        <f>IF([1]Accounts!$D$448="","",[1]Accounts!$B$448)</f>
        <v/>
      </c>
      <c r="H447" t="str">
        <f>IF([1]Accounts!$D$448="","",[1]Accounts!$C$448)</f>
        <v/>
      </c>
      <c r="I447" t="str">
        <f>IF([1]Accounts!$D$448="","",[1]Accounts!$D$448)</f>
        <v/>
      </c>
    </row>
    <row r="448" spans="6:9" x14ac:dyDescent="0.2">
      <c r="F448" t="str">
        <f>IF([1]Accounts!$D$449="","",[1]Accounts!$A$449)</f>
        <v/>
      </c>
      <c r="G448" t="str">
        <f>IF([1]Accounts!$D$449="","",[1]Accounts!$B$449)</f>
        <v/>
      </c>
      <c r="H448" t="str">
        <f>IF([1]Accounts!$D$449="","",[1]Accounts!$C$449)</f>
        <v/>
      </c>
      <c r="I448" t="str">
        <f>IF([1]Accounts!$D$449="","",[1]Accounts!$D$449)</f>
        <v/>
      </c>
    </row>
    <row r="449" spans="6:9" x14ac:dyDescent="0.2">
      <c r="F449" t="str">
        <f>IF([1]Accounts!$D$450="","",[1]Accounts!$A$450)</f>
        <v/>
      </c>
      <c r="G449" t="str">
        <f>IF([1]Accounts!$D$450="","",[1]Accounts!$B$450)</f>
        <v/>
      </c>
      <c r="H449" t="str">
        <f>IF([1]Accounts!$D$450="","",[1]Accounts!$C$450)</f>
        <v/>
      </c>
      <c r="I449" t="str">
        <f>IF([1]Accounts!$D$450="","",[1]Accounts!$D$450)</f>
        <v/>
      </c>
    </row>
    <row r="450" spans="6:9" x14ac:dyDescent="0.2">
      <c r="F450" t="str">
        <f>IF([1]Accounts!$D$451="","",[1]Accounts!$A$451)</f>
        <v/>
      </c>
      <c r="G450" t="str">
        <f>IF([1]Accounts!$D$451="","",[1]Accounts!$B$451)</f>
        <v/>
      </c>
      <c r="H450" t="str">
        <f>IF([1]Accounts!$D$451="","",[1]Accounts!$C$451)</f>
        <v/>
      </c>
      <c r="I450" t="str">
        <f>IF([1]Accounts!$D$451="","",[1]Accounts!$D$451)</f>
        <v/>
      </c>
    </row>
    <row r="451" spans="6:9" x14ac:dyDescent="0.2">
      <c r="F451" t="str">
        <f>IF([1]Accounts!$D$452="","",[1]Accounts!$A$452)</f>
        <v/>
      </c>
      <c r="G451" t="str">
        <f>IF([1]Accounts!$D$452="","",[1]Accounts!$B$452)</f>
        <v/>
      </c>
      <c r="H451" t="str">
        <f>IF([1]Accounts!$D$452="","",[1]Accounts!$C$452)</f>
        <v/>
      </c>
      <c r="I451" t="str">
        <f>IF([1]Accounts!$D$452="","",[1]Accounts!$D$452)</f>
        <v/>
      </c>
    </row>
    <row r="452" spans="6:9" x14ac:dyDescent="0.2">
      <c r="F452" t="str">
        <f>IF([1]Accounts!$D$453="","",[1]Accounts!$A$453)</f>
        <v/>
      </c>
      <c r="G452" t="str">
        <f>IF([1]Accounts!$D$453="","",[1]Accounts!$B$453)</f>
        <v/>
      </c>
      <c r="H452" t="str">
        <f>IF([1]Accounts!$D$453="","",[1]Accounts!$C$453)</f>
        <v/>
      </c>
      <c r="I452" t="str">
        <f>IF([1]Accounts!$D$453="","",[1]Accounts!$D$453)</f>
        <v/>
      </c>
    </row>
    <row r="453" spans="6:9" x14ac:dyDescent="0.2">
      <c r="F453" t="str">
        <f>IF([1]Accounts!$D$454="","",[1]Accounts!$A$454)</f>
        <v/>
      </c>
      <c r="G453" t="str">
        <f>IF([1]Accounts!$D$454="","",[1]Accounts!$B$454)</f>
        <v/>
      </c>
      <c r="H453" t="str">
        <f>IF([1]Accounts!$D$454="","",[1]Accounts!$C$454)</f>
        <v/>
      </c>
      <c r="I453" t="str">
        <f>IF([1]Accounts!$D$454="","",[1]Accounts!$D$454)</f>
        <v/>
      </c>
    </row>
    <row r="454" spans="6:9" x14ac:dyDescent="0.2">
      <c r="F454" t="str">
        <f>IF([1]Accounts!$D$455="","",[1]Accounts!$A$455)</f>
        <v/>
      </c>
      <c r="G454" t="str">
        <f>IF([1]Accounts!$D$455="","",[1]Accounts!$B$455)</f>
        <v/>
      </c>
      <c r="H454" t="str">
        <f>IF([1]Accounts!$D$455="","",[1]Accounts!$C$455)</f>
        <v/>
      </c>
      <c r="I454" t="str">
        <f>IF([1]Accounts!$D$455="","",[1]Accounts!$D$455)</f>
        <v/>
      </c>
    </row>
    <row r="455" spans="6:9" x14ac:dyDescent="0.2">
      <c r="F455" t="str">
        <f>IF([1]Accounts!$D$456="","",[1]Accounts!$A$456)</f>
        <v/>
      </c>
      <c r="G455" t="str">
        <f>IF([1]Accounts!$D$456="","",[1]Accounts!$B$456)</f>
        <v/>
      </c>
      <c r="H455" t="str">
        <f>IF([1]Accounts!$D$456="","",[1]Accounts!$C$456)</f>
        <v/>
      </c>
      <c r="I455" t="str">
        <f>IF([1]Accounts!$D$456="","",[1]Accounts!$D$456)</f>
        <v/>
      </c>
    </row>
    <row r="456" spans="6:9" x14ac:dyDescent="0.2">
      <c r="F456" t="str">
        <f>IF([1]Accounts!$D$457="","",[1]Accounts!$A$457)</f>
        <v>X001</v>
      </c>
      <c r="G456">
        <f>IF([1]Accounts!$D$457="","",[1]Accounts!$B$457)</f>
        <v>0</v>
      </c>
      <c r="H456">
        <f>IF([1]Accounts!$D$457="","",[1]Accounts!$C$457)</f>
        <v>0</v>
      </c>
      <c r="I456" t="str">
        <f>IF([1]Accounts!$D$457="","",[1]Accounts!$D$457)</f>
        <v>انعام مصطفی</v>
      </c>
    </row>
    <row r="457" spans="6:9" x14ac:dyDescent="0.2">
      <c r="F457" t="str">
        <f>IF([1]Accounts!$D$458="","",[1]Accounts!$A$458)</f>
        <v>X002</v>
      </c>
      <c r="G457">
        <f>IF([1]Accounts!$D$458="","",[1]Accounts!$B$458)</f>
        <v>0</v>
      </c>
      <c r="H457">
        <f>IF([1]Accounts!$D$458="","",[1]Accounts!$C$458)</f>
        <v>0</v>
      </c>
      <c r="I457" t="str">
        <f>IF([1]Accounts!$D$458="","",[1]Accounts!$D$458)</f>
        <v>درامد باسکول(احمد زاهدی)</v>
      </c>
    </row>
    <row r="458" spans="6:9" x14ac:dyDescent="0.2">
      <c r="F458" t="str">
        <f>IF([1]Accounts!$D$459="","",[1]Accounts!$A$459)</f>
        <v/>
      </c>
      <c r="G458" t="str">
        <f>IF([1]Accounts!$D$459="","",[1]Accounts!$B$459)</f>
        <v/>
      </c>
      <c r="H458" t="str">
        <f>IF([1]Accounts!$D$459="","",[1]Accounts!$C$459)</f>
        <v/>
      </c>
      <c r="I458" t="str">
        <f>IF([1]Accounts!$D$459="","",[1]Accounts!$D$459)</f>
        <v/>
      </c>
    </row>
    <row r="459" spans="6:9" x14ac:dyDescent="0.2">
      <c r="F459" t="str">
        <f>IF([1]Accounts!$D$460="","",[1]Accounts!$A$460)</f>
        <v/>
      </c>
      <c r="G459" t="str">
        <f>IF([1]Accounts!$D$460="","",[1]Accounts!$B$460)</f>
        <v/>
      </c>
      <c r="H459" t="str">
        <f>IF([1]Accounts!$D$460="","",[1]Accounts!$C$460)</f>
        <v/>
      </c>
      <c r="I459" t="str">
        <f>IF([1]Accounts!$D$460="","",[1]Accounts!$D$460)</f>
        <v/>
      </c>
    </row>
    <row r="460" spans="6:9" x14ac:dyDescent="0.2">
      <c r="F460" t="str">
        <f>IF([1]Accounts!$D$461="","",[1]Accounts!$A$461)</f>
        <v/>
      </c>
      <c r="G460" t="str">
        <f>IF([1]Accounts!$D$461="","",[1]Accounts!$B$461)</f>
        <v/>
      </c>
      <c r="H460" t="str">
        <f>IF([1]Accounts!$D$461="","",[1]Accounts!$C$461)</f>
        <v/>
      </c>
      <c r="I460" t="str">
        <f>IF([1]Accounts!$D$461="","",[1]Accounts!$D$461)</f>
        <v/>
      </c>
    </row>
    <row r="461" spans="6:9" x14ac:dyDescent="0.2">
      <c r="F461" t="str">
        <f>IF([1]Accounts!$D$462="","",[1]Accounts!$A$462)</f>
        <v/>
      </c>
      <c r="G461" t="str">
        <f>IF([1]Accounts!$D$462="","",[1]Accounts!$B$462)</f>
        <v/>
      </c>
      <c r="H461" t="str">
        <f>IF([1]Accounts!$D$462="","",[1]Accounts!$C$462)</f>
        <v/>
      </c>
      <c r="I461" t="str">
        <f>IF([1]Accounts!$D$462="","",[1]Accounts!$D$462)</f>
        <v/>
      </c>
    </row>
    <row r="462" spans="6:9" x14ac:dyDescent="0.2">
      <c r="F462" t="str">
        <f>IF([1]Accounts!$D$463="","",[1]Accounts!$A$463)</f>
        <v/>
      </c>
      <c r="G462" t="str">
        <f>IF([1]Accounts!$D$463="","",[1]Accounts!$B$463)</f>
        <v/>
      </c>
      <c r="H462" t="str">
        <f>IF([1]Accounts!$D$463="","",[1]Accounts!$C$463)</f>
        <v/>
      </c>
      <c r="I462" t="str">
        <f>IF([1]Accounts!$D$463="","",[1]Accounts!$D$463)</f>
        <v/>
      </c>
    </row>
    <row r="463" spans="6:9" x14ac:dyDescent="0.2">
      <c r="F463" t="str">
        <f>IF([1]Accounts!$D$464="","",[1]Accounts!$A$464)</f>
        <v/>
      </c>
      <c r="G463" t="str">
        <f>IF([1]Accounts!$D$464="","",[1]Accounts!$B$464)</f>
        <v/>
      </c>
      <c r="H463" t="str">
        <f>IF([1]Accounts!$D$464="","",[1]Accounts!$C$464)</f>
        <v/>
      </c>
      <c r="I463" t="str">
        <f>IF([1]Accounts!$D$464="","",[1]Accounts!$D$464)</f>
        <v/>
      </c>
    </row>
    <row r="464" spans="6:9" x14ac:dyDescent="0.2">
      <c r="F464" t="str">
        <f>IF([1]Accounts!$D$465="","",[1]Accounts!$A$465)</f>
        <v/>
      </c>
      <c r="G464" t="str">
        <f>IF([1]Accounts!$D$465="","",[1]Accounts!$B$465)</f>
        <v/>
      </c>
      <c r="H464" t="str">
        <f>IF([1]Accounts!$D$465="","",[1]Accounts!$C$465)</f>
        <v/>
      </c>
      <c r="I464" t="str">
        <f>IF([1]Accounts!$D$465="","",[1]Accounts!$D$465)</f>
        <v/>
      </c>
    </row>
    <row r="465" spans="6:9" x14ac:dyDescent="0.2">
      <c r="F465" t="str">
        <f>IF([1]Accounts!$D$466="","",[1]Accounts!$A$466)</f>
        <v/>
      </c>
      <c r="G465" t="str">
        <f>IF([1]Accounts!$D$466="","",[1]Accounts!$B$466)</f>
        <v/>
      </c>
      <c r="H465" t="str">
        <f>IF([1]Accounts!$D$466="","",[1]Accounts!$C$466)</f>
        <v/>
      </c>
      <c r="I465" t="str">
        <f>IF([1]Accounts!$D$466="","",[1]Accounts!$D$466)</f>
        <v/>
      </c>
    </row>
    <row r="466" spans="6:9" x14ac:dyDescent="0.2">
      <c r="F466" t="str">
        <f>IF([1]Accounts!$D$467="","",[1]Accounts!$A$467)</f>
        <v/>
      </c>
      <c r="G466" t="str">
        <f>IF([1]Accounts!$D$467="","",[1]Accounts!$B$467)</f>
        <v/>
      </c>
      <c r="H466" t="str">
        <f>IF([1]Accounts!$D$467="","",[1]Accounts!$C$467)</f>
        <v/>
      </c>
      <c r="I466" t="str">
        <f>IF([1]Accounts!$D$467="","",[1]Accounts!$D$467)</f>
        <v/>
      </c>
    </row>
    <row r="467" spans="6:9" x14ac:dyDescent="0.2">
      <c r="F467" t="str">
        <f>IF([1]Accounts!$D$468="","",[1]Accounts!$A$468)</f>
        <v/>
      </c>
      <c r="G467" t="str">
        <f>IF([1]Accounts!$D$468="","",[1]Accounts!$B$468)</f>
        <v/>
      </c>
      <c r="H467" t="str">
        <f>IF([1]Accounts!$D$468="","",[1]Accounts!$C$468)</f>
        <v/>
      </c>
      <c r="I467" t="str">
        <f>IF([1]Accounts!$D$468="","",[1]Accounts!$D$468)</f>
        <v/>
      </c>
    </row>
    <row r="468" spans="6:9" x14ac:dyDescent="0.2">
      <c r="F468" t="str">
        <f>IF([1]Accounts!$D$469="","",[1]Accounts!$A$469)</f>
        <v/>
      </c>
      <c r="G468" t="str">
        <f>IF([1]Accounts!$D$469="","",[1]Accounts!$B$469)</f>
        <v/>
      </c>
      <c r="H468" t="str">
        <f>IF([1]Accounts!$D$469="","",[1]Accounts!$C$469)</f>
        <v/>
      </c>
      <c r="I468" t="str">
        <f>IF([1]Accounts!$D$469="","",[1]Accounts!$D$469)</f>
        <v/>
      </c>
    </row>
    <row r="469" spans="6:9" x14ac:dyDescent="0.2">
      <c r="F469" t="str">
        <f>IF([1]Accounts!$D$470="","",[1]Accounts!$A$470)</f>
        <v/>
      </c>
      <c r="G469" t="str">
        <f>IF([1]Accounts!$D$470="","",[1]Accounts!$B$470)</f>
        <v/>
      </c>
      <c r="H469" t="str">
        <f>IF([1]Accounts!$D$470="","",[1]Accounts!$C$470)</f>
        <v/>
      </c>
      <c r="I469" t="str">
        <f>IF([1]Accounts!$D$470="","",[1]Accounts!$D$470)</f>
        <v/>
      </c>
    </row>
    <row r="470" spans="6:9" x14ac:dyDescent="0.2">
      <c r="F470" t="str">
        <f>IF([1]Accounts!$D$471="","",[1]Accounts!$A$471)</f>
        <v/>
      </c>
      <c r="G470" t="str">
        <f>IF([1]Accounts!$D$471="","",[1]Accounts!$B$471)</f>
        <v/>
      </c>
      <c r="H470" t="str">
        <f>IF([1]Accounts!$D$471="","",[1]Accounts!$C$471)</f>
        <v/>
      </c>
      <c r="I470" t="str">
        <f>IF([1]Accounts!$D$471="","",[1]Accounts!$D$471)</f>
        <v/>
      </c>
    </row>
    <row r="471" spans="6:9" x14ac:dyDescent="0.2">
      <c r="F471" t="str">
        <f>IF([1]Accounts!$D$472="","",[1]Accounts!$A$472)</f>
        <v/>
      </c>
      <c r="G471" t="str">
        <f>IF([1]Accounts!$D$472="","",[1]Accounts!$B$472)</f>
        <v/>
      </c>
      <c r="H471" t="str">
        <f>IF([1]Accounts!$D$472="","",[1]Accounts!$C$472)</f>
        <v/>
      </c>
      <c r="I471" t="str">
        <f>IF([1]Accounts!$D$472="","",[1]Accounts!$D$472)</f>
        <v/>
      </c>
    </row>
    <row r="472" spans="6:9" x14ac:dyDescent="0.2">
      <c r="F472" t="str">
        <f>IF([1]Accounts!$D$473="","",[1]Accounts!$A$473)</f>
        <v/>
      </c>
      <c r="G472" t="str">
        <f>IF([1]Accounts!$D$473="","",[1]Accounts!$B$473)</f>
        <v/>
      </c>
      <c r="H472" t="str">
        <f>IF([1]Accounts!$D$473="","",[1]Accounts!$C$473)</f>
        <v/>
      </c>
      <c r="I472" t="str">
        <f>IF([1]Accounts!$D$473="","",[1]Accounts!$D$473)</f>
        <v/>
      </c>
    </row>
    <row r="473" spans="6:9" x14ac:dyDescent="0.2">
      <c r="F473" t="str">
        <f>IF([1]Accounts!$D$474="","",[1]Accounts!$A$474)</f>
        <v/>
      </c>
      <c r="G473" t="str">
        <f>IF([1]Accounts!$D$474="","",[1]Accounts!$B$474)</f>
        <v/>
      </c>
      <c r="H473" t="str">
        <f>IF([1]Accounts!$D$474="","",[1]Accounts!$C$474)</f>
        <v/>
      </c>
      <c r="I473" t="str">
        <f>IF([1]Accounts!$D$474="","",[1]Accounts!$D$474)</f>
        <v/>
      </c>
    </row>
    <row r="474" spans="6:9" x14ac:dyDescent="0.2">
      <c r="F474" t="str">
        <f>IF([1]Accounts!$D$475="","",[1]Accounts!$A$475)</f>
        <v/>
      </c>
      <c r="G474" t="str">
        <f>IF([1]Accounts!$D$475="","",[1]Accounts!$B$475)</f>
        <v/>
      </c>
      <c r="H474" t="str">
        <f>IF([1]Accounts!$D$475="","",[1]Accounts!$C$475)</f>
        <v/>
      </c>
      <c r="I474" t="str">
        <f>IF([1]Accounts!$D$475="","",[1]Accounts!$D$475)</f>
        <v/>
      </c>
    </row>
    <row r="475" spans="6:9" x14ac:dyDescent="0.2">
      <c r="F475" t="str">
        <f>IF([1]Accounts!$D$476="","",[1]Accounts!$A$476)</f>
        <v/>
      </c>
      <c r="G475" t="str">
        <f>IF([1]Accounts!$D$476="","",[1]Accounts!$B$476)</f>
        <v/>
      </c>
      <c r="H475" t="str">
        <f>IF([1]Accounts!$D$476="","",[1]Accounts!$C$476)</f>
        <v/>
      </c>
      <c r="I475" t="str">
        <f>IF([1]Accounts!$D$476="","",[1]Accounts!$D$476)</f>
        <v/>
      </c>
    </row>
    <row r="476" spans="6:9" x14ac:dyDescent="0.2">
      <c r="F476" t="str">
        <f>IF([1]Accounts!$D$477="","",[1]Accounts!$A$477)</f>
        <v/>
      </c>
      <c r="G476" t="str">
        <f>IF([1]Accounts!$D$477="","",[1]Accounts!$B$477)</f>
        <v/>
      </c>
      <c r="H476" t="str">
        <f>IF([1]Accounts!$D$477="","",[1]Accounts!$C$477)</f>
        <v/>
      </c>
      <c r="I476" t="str">
        <f>IF([1]Accounts!$D$477="","",[1]Accounts!$D$477)</f>
        <v/>
      </c>
    </row>
    <row r="477" spans="6:9" x14ac:dyDescent="0.2">
      <c r="F477" t="str">
        <f>IF([1]Accounts!$D$478="","",[1]Accounts!$A$478)</f>
        <v/>
      </c>
      <c r="G477" t="str">
        <f>IF([1]Accounts!$D$478="","",[1]Accounts!$B$478)</f>
        <v/>
      </c>
      <c r="H477" t="str">
        <f>IF([1]Accounts!$D$478="","",[1]Accounts!$C$478)</f>
        <v/>
      </c>
      <c r="I477" t="str">
        <f>IF([1]Accounts!$D$478="","",[1]Accounts!$D$478)</f>
        <v/>
      </c>
    </row>
    <row r="478" spans="6:9" x14ac:dyDescent="0.2">
      <c r="F478" t="str">
        <f>IF([1]Accounts!$D$479="","",[1]Accounts!$A$479)</f>
        <v/>
      </c>
      <c r="G478" t="str">
        <f>IF([1]Accounts!$D$479="","",[1]Accounts!$B$479)</f>
        <v/>
      </c>
      <c r="H478" t="str">
        <f>IF([1]Accounts!$D$479="","",[1]Accounts!$C$479)</f>
        <v/>
      </c>
      <c r="I478" t="str">
        <f>IF([1]Accounts!$D$479="","",[1]Accounts!$D$479)</f>
        <v/>
      </c>
    </row>
    <row r="479" spans="6:9" x14ac:dyDescent="0.2">
      <c r="F479" t="str">
        <f>IF([1]Accounts!$D$480="","",[1]Accounts!$A$480)</f>
        <v/>
      </c>
      <c r="G479" t="str">
        <f>IF([1]Accounts!$D$480="","",[1]Accounts!$B$480)</f>
        <v/>
      </c>
      <c r="H479" t="str">
        <f>IF([1]Accounts!$D$480="","",[1]Accounts!$C$480)</f>
        <v/>
      </c>
      <c r="I479" t="str">
        <f>IF([1]Accounts!$D$480="","",[1]Accounts!$D$480)</f>
        <v/>
      </c>
    </row>
    <row r="480" spans="6:9" x14ac:dyDescent="0.2">
      <c r="F480" t="str">
        <f>IF([1]Accounts!$D$481="","",[1]Accounts!$A$481)</f>
        <v/>
      </c>
      <c r="G480" t="str">
        <f>IF([1]Accounts!$D$481="","",[1]Accounts!$B$481)</f>
        <v/>
      </c>
      <c r="H480" t="str">
        <f>IF([1]Accounts!$D$481="","",[1]Accounts!$C$481)</f>
        <v/>
      </c>
      <c r="I480" t="str">
        <f>IF([1]Accounts!$D$481="","",[1]Accounts!$D$481)</f>
        <v/>
      </c>
    </row>
    <row r="481" spans="6:9" x14ac:dyDescent="0.2">
      <c r="F481" t="str">
        <f>IF([1]Accounts!$D$482="","",[1]Accounts!$A$482)</f>
        <v/>
      </c>
      <c r="G481" t="str">
        <f>IF([1]Accounts!$D$482="","",[1]Accounts!$B$482)</f>
        <v/>
      </c>
      <c r="H481" t="str">
        <f>IF([1]Accounts!$D$482="","",[1]Accounts!$C$482)</f>
        <v/>
      </c>
      <c r="I481" t="str">
        <f>IF([1]Accounts!$D$482="","",[1]Accounts!$D$482)</f>
        <v/>
      </c>
    </row>
    <row r="482" spans="6:9" x14ac:dyDescent="0.2">
      <c r="F482" t="str">
        <f>IF([1]Accounts!$D$483="","",[1]Accounts!$A$483)</f>
        <v/>
      </c>
      <c r="G482" t="str">
        <f>IF([1]Accounts!$D$483="","",[1]Accounts!$B$483)</f>
        <v/>
      </c>
      <c r="H482" t="str">
        <f>IF([1]Accounts!$D$483="","",[1]Accounts!$C$483)</f>
        <v/>
      </c>
      <c r="I482" t="str">
        <f>IF([1]Accounts!$D$483="","",[1]Accounts!$D$483)</f>
        <v/>
      </c>
    </row>
    <row r="483" spans="6:9" x14ac:dyDescent="0.2">
      <c r="F483" t="str">
        <f>IF([1]Accounts!$D$484="","",[1]Accounts!$A$484)</f>
        <v/>
      </c>
      <c r="G483" t="str">
        <f>IF([1]Accounts!$D$484="","",[1]Accounts!$B$484)</f>
        <v/>
      </c>
      <c r="H483" t="str">
        <f>IF([1]Accounts!$D$484="","",[1]Accounts!$C$484)</f>
        <v/>
      </c>
      <c r="I483" t="str">
        <f>IF([1]Accounts!$D$484="","",[1]Accounts!$D$484)</f>
        <v/>
      </c>
    </row>
    <row r="484" spans="6:9" x14ac:dyDescent="0.2">
      <c r="F484" t="str">
        <f>IF([1]Accounts!$D$485="","",[1]Accounts!$A$485)</f>
        <v/>
      </c>
      <c r="G484" t="str">
        <f>IF([1]Accounts!$D$485="","",[1]Accounts!$B$485)</f>
        <v/>
      </c>
      <c r="H484" t="str">
        <f>IF([1]Accounts!$D$485="","",[1]Accounts!$C$485)</f>
        <v/>
      </c>
      <c r="I484" t="str">
        <f>IF([1]Accounts!$D$485="","",[1]Accounts!$D$485)</f>
        <v/>
      </c>
    </row>
    <row r="485" spans="6:9" x14ac:dyDescent="0.2">
      <c r="F485" t="str">
        <f>IF([1]Accounts!$D$486="","",[1]Accounts!$A$486)</f>
        <v/>
      </c>
      <c r="G485" t="str">
        <f>IF([1]Accounts!$D$486="","",[1]Accounts!$B$486)</f>
        <v/>
      </c>
      <c r="H485" t="str">
        <f>IF([1]Accounts!$D$486="","",[1]Accounts!$C$486)</f>
        <v/>
      </c>
      <c r="I485" t="str">
        <f>IF([1]Accounts!$D$486="","",[1]Accounts!$D$486)</f>
        <v/>
      </c>
    </row>
    <row r="486" spans="6:9" x14ac:dyDescent="0.2">
      <c r="F486" t="str">
        <f>IF([1]Accounts!$D$487="","",[1]Accounts!$A$487)</f>
        <v/>
      </c>
      <c r="G486" t="str">
        <f>IF([1]Accounts!$D$487="","",[1]Accounts!$B$487)</f>
        <v/>
      </c>
      <c r="H486" t="str">
        <f>IF([1]Accounts!$D$487="","",[1]Accounts!$C$487)</f>
        <v/>
      </c>
      <c r="I486" t="str">
        <f>IF([1]Accounts!$D$487="","",[1]Accounts!$D$487)</f>
        <v/>
      </c>
    </row>
    <row r="487" spans="6:9" x14ac:dyDescent="0.2">
      <c r="F487" t="str">
        <f>IF([1]Accounts!$D$488="","",[1]Accounts!$A$488)</f>
        <v/>
      </c>
      <c r="G487" t="str">
        <f>IF([1]Accounts!$D$488="","",[1]Accounts!$B$488)</f>
        <v/>
      </c>
      <c r="H487" t="str">
        <f>IF([1]Accounts!$D$488="","",[1]Accounts!$C$488)</f>
        <v/>
      </c>
      <c r="I487" t="str">
        <f>IF([1]Accounts!$D$488="","",[1]Accounts!$D$488)</f>
        <v/>
      </c>
    </row>
    <row r="488" spans="6:9" x14ac:dyDescent="0.2">
      <c r="F488" t="str">
        <f>IF([1]Accounts!$D$489="","",[1]Accounts!$A$489)</f>
        <v/>
      </c>
      <c r="G488" t="str">
        <f>IF([1]Accounts!$D$489="","",[1]Accounts!$B$489)</f>
        <v/>
      </c>
      <c r="H488" t="str">
        <f>IF([1]Accounts!$D$489="","",[1]Accounts!$C$489)</f>
        <v/>
      </c>
      <c r="I488" t="str">
        <f>IF([1]Accounts!$D$489="","",[1]Accounts!$D$489)</f>
        <v/>
      </c>
    </row>
    <row r="489" spans="6:9" x14ac:dyDescent="0.2">
      <c r="F489" t="str">
        <f>IF([1]Accounts!$D$490="","",[1]Accounts!$A$490)</f>
        <v/>
      </c>
      <c r="G489" t="str">
        <f>IF([1]Accounts!$D$490="","",[1]Accounts!$B$490)</f>
        <v/>
      </c>
      <c r="H489" t="str">
        <f>IF([1]Accounts!$D$490="","",[1]Accounts!$C$490)</f>
        <v/>
      </c>
      <c r="I489" t="str">
        <f>IF([1]Accounts!$D$490="","",[1]Accounts!$D$490)</f>
        <v/>
      </c>
    </row>
    <row r="490" spans="6:9" x14ac:dyDescent="0.2">
      <c r="F490" t="str">
        <f>IF([1]Accounts!$D$491="","",[1]Accounts!$A$491)</f>
        <v/>
      </c>
      <c r="G490" t="str">
        <f>IF([1]Accounts!$D$491="","",[1]Accounts!$B$491)</f>
        <v/>
      </c>
      <c r="H490" t="str">
        <f>IF([1]Accounts!$D$491="","",[1]Accounts!$C$491)</f>
        <v/>
      </c>
      <c r="I490" t="str">
        <f>IF([1]Accounts!$D$491="","",[1]Accounts!$D$491)</f>
        <v/>
      </c>
    </row>
    <row r="491" spans="6:9" x14ac:dyDescent="0.2">
      <c r="F491" t="str">
        <f>IF([1]Accounts!$D$492="","",[1]Accounts!$A$492)</f>
        <v/>
      </c>
      <c r="G491" t="str">
        <f>IF([1]Accounts!$D$492="","",[1]Accounts!$B$492)</f>
        <v/>
      </c>
      <c r="H491" t="str">
        <f>IF([1]Accounts!$D$492="","",[1]Accounts!$C$492)</f>
        <v/>
      </c>
      <c r="I491" t="str">
        <f>IF([1]Accounts!$D$492="","",[1]Accounts!$D$492)</f>
        <v/>
      </c>
    </row>
    <row r="492" spans="6:9" x14ac:dyDescent="0.2">
      <c r="F492" t="str">
        <f>IF([1]Accounts!$D$493="","",[1]Accounts!$A$493)</f>
        <v/>
      </c>
      <c r="G492" t="str">
        <f>IF([1]Accounts!$D$493="","",[1]Accounts!$B$493)</f>
        <v/>
      </c>
      <c r="H492" t="str">
        <f>IF([1]Accounts!$D$493="","",[1]Accounts!$C$493)</f>
        <v/>
      </c>
      <c r="I492" t="str">
        <f>IF([1]Accounts!$D$493="","",[1]Accounts!$D$493)</f>
        <v/>
      </c>
    </row>
    <row r="493" spans="6:9" x14ac:dyDescent="0.2">
      <c r="F493" t="str">
        <f>IF([1]Accounts!$D$494="","",[1]Accounts!$A$494)</f>
        <v/>
      </c>
      <c r="G493" t="str">
        <f>IF([1]Accounts!$D$494="","",[1]Accounts!$B$494)</f>
        <v/>
      </c>
      <c r="H493" t="str">
        <f>IF([1]Accounts!$D$494="","",[1]Accounts!$C$494)</f>
        <v/>
      </c>
      <c r="I493" t="str">
        <f>IF([1]Accounts!$D$494="","",[1]Accounts!$D$494)</f>
        <v/>
      </c>
    </row>
    <row r="494" spans="6:9" x14ac:dyDescent="0.2">
      <c r="F494" t="str">
        <f>IF([1]Accounts!$D$495="","",[1]Accounts!$A$495)</f>
        <v/>
      </c>
      <c r="G494" t="str">
        <f>IF([1]Accounts!$D$495="","",[1]Accounts!$B$495)</f>
        <v/>
      </c>
      <c r="H494" t="str">
        <f>IF([1]Accounts!$D$495="","",[1]Accounts!$C$495)</f>
        <v/>
      </c>
      <c r="I494" t="str">
        <f>IF([1]Accounts!$D$495="","",[1]Accounts!$D$495)</f>
        <v/>
      </c>
    </row>
    <row r="495" spans="6:9" x14ac:dyDescent="0.2">
      <c r="F495" t="str">
        <f>IF([1]Accounts!$D$496="","",[1]Accounts!$A$496)</f>
        <v/>
      </c>
      <c r="G495" t="str">
        <f>IF([1]Accounts!$D$496="","",[1]Accounts!$B$496)</f>
        <v/>
      </c>
      <c r="H495" t="str">
        <f>IF([1]Accounts!$D$496="","",[1]Accounts!$C$496)</f>
        <v/>
      </c>
      <c r="I495" t="str">
        <f>IF([1]Accounts!$D$496="","",[1]Accounts!$D$496)</f>
        <v/>
      </c>
    </row>
    <row r="496" spans="6:9" x14ac:dyDescent="0.2">
      <c r="F496" t="str">
        <f>IF([1]Accounts!$D$497="","",[1]Accounts!$A$497)</f>
        <v/>
      </c>
      <c r="G496" t="str">
        <f>IF([1]Accounts!$D$497="","",[1]Accounts!$B$497)</f>
        <v/>
      </c>
      <c r="H496" t="str">
        <f>IF([1]Accounts!$D$497="","",[1]Accounts!$C$497)</f>
        <v/>
      </c>
      <c r="I496" t="str">
        <f>IF([1]Accounts!$D$497="","",[1]Accounts!$D$497)</f>
        <v/>
      </c>
    </row>
    <row r="497" spans="6:9" x14ac:dyDescent="0.2">
      <c r="F497" t="str">
        <f>IF([1]Accounts!$D$498="","",[1]Accounts!$A$498)</f>
        <v/>
      </c>
      <c r="G497" t="str">
        <f>IF([1]Accounts!$D$498="","",[1]Accounts!$B$498)</f>
        <v/>
      </c>
      <c r="H497" t="str">
        <f>IF([1]Accounts!$D$498="","",[1]Accounts!$C$498)</f>
        <v/>
      </c>
      <c r="I497" t="str">
        <f>IF([1]Accounts!$D$498="","",[1]Accounts!$D$498)</f>
        <v/>
      </c>
    </row>
    <row r="498" spans="6:9" x14ac:dyDescent="0.2">
      <c r="F498" t="str">
        <f>IF([1]Accounts!$D$499="","",[1]Accounts!$A$499)</f>
        <v/>
      </c>
      <c r="G498" t="str">
        <f>IF([1]Accounts!$D$499="","",[1]Accounts!$B$499)</f>
        <v/>
      </c>
      <c r="H498" t="str">
        <f>IF([1]Accounts!$D$499="","",[1]Accounts!$C$499)</f>
        <v/>
      </c>
      <c r="I498" t="str">
        <f>IF([1]Accounts!$D$499="","",[1]Accounts!$D$499)</f>
        <v/>
      </c>
    </row>
    <row r="499" spans="6:9" x14ac:dyDescent="0.2">
      <c r="F499" t="str">
        <f>IF([1]Accounts!$D$500="","",[1]Accounts!$A$500)</f>
        <v/>
      </c>
      <c r="G499" t="str">
        <f>IF([1]Accounts!$D$500="","",[1]Accounts!$B$500)</f>
        <v/>
      </c>
      <c r="H499" t="str">
        <f>IF([1]Accounts!$D$500="","",[1]Accounts!$C$500)</f>
        <v/>
      </c>
      <c r="I499" t="str">
        <f>IF([1]Accounts!$D$500="","",[1]Accounts!$D$500)</f>
        <v/>
      </c>
    </row>
    <row r="500" spans="6:9" x14ac:dyDescent="0.2">
      <c r="F500" t="str">
        <f>IF([1]Accounts!$D$501="","",[1]Accounts!$A$501)</f>
        <v/>
      </c>
      <c r="G500" t="str">
        <f>IF([1]Accounts!$D$501="","",[1]Accounts!$B$501)</f>
        <v/>
      </c>
      <c r="H500" t="str">
        <f>IF([1]Accounts!$D$501="","",[1]Accounts!$C$501)</f>
        <v/>
      </c>
      <c r="I500" t="str">
        <f>IF([1]Accounts!$D$501="","",[1]Accounts!$D$501)</f>
        <v/>
      </c>
    </row>
    <row r="501" spans="6:9" x14ac:dyDescent="0.2">
      <c r="F501" t="str">
        <f>IF([1]Accounts!$D$502="","",[1]Accounts!$A$502)</f>
        <v/>
      </c>
      <c r="G501" t="str">
        <f>IF([1]Accounts!$D$502="","",[1]Accounts!$B$502)</f>
        <v/>
      </c>
      <c r="H501" t="str">
        <f>IF([1]Accounts!$D$502="","",[1]Accounts!$C$502)</f>
        <v/>
      </c>
      <c r="I501" t="str">
        <f>IF([1]Accounts!$D$502="","",[1]Accounts!$D$502)</f>
        <v/>
      </c>
    </row>
    <row r="502" spans="6:9" x14ac:dyDescent="0.2">
      <c r="F502" t="str">
        <f>IF([1]Accounts!$D$503="","",[1]Accounts!$A$503)</f>
        <v/>
      </c>
      <c r="G502" t="str">
        <f>IF([1]Accounts!$D$503="","",[1]Accounts!$B$503)</f>
        <v/>
      </c>
      <c r="H502" t="str">
        <f>IF([1]Accounts!$D$503="","",[1]Accounts!$C$503)</f>
        <v/>
      </c>
      <c r="I502" t="str">
        <f>IF([1]Accounts!$D$503="","",[1]Accounts!$D$503)</f>
        <v/>
      </c>
    </row>
    <row r="503" spans="6:9" x14ac:dyDescent="0.2">
      <c r="F503" t="str">
        <f>IF([1]Accounts!$D$504="","",[1]Accounts!$A$504)</f>
        <v/>
      </c>
      <c r="G503" t="str">
        <f>IF([1]Accounts!$D$504="","",[1]Accounts!$B$504)</f>
        <v/>
      </c>
      <c r="H503" t="str">
        <f>IF([1]Accounts!$D$504="","",[1]Accounts!$C$504)</f>
        <v/>
      </c>
      <c r="I503" t="str">
        <f>IF([1]Accounts!$D$504="","",[1]Accounts!$D$504)</f>
        <v/>
      </c>
    </row>
    <row r="504" spans="6:9" x14ac:dyDescent="0.2">
      <c r="F504" t="str">
        <f>IF([1]Accounts!$D$505="","",[1]Accounts!$A$505)</f>
        <v/>
      </c>
      <c r="G504" t="str">
        <f>IF([1]Accounts!$D$505="","",[1]Accounts!$B$505)</f>
        <v/>
      </c>
      <c r="H504" t="str">
        <f>IF([1]Accounts!$D$505="","",[1]Accounts!$C$505)</f>
        <v/>
      </c>
      <c r="I504" t="str">
        <f>IF([1]Accounts!$D$505="","",[1]Accounts!$D$505)</f>
        <v/>
      </c>
    </row>
    <row r="505" spans="6:9" x14ac:dyDescent="0.2">
      <c r="F505" t="str">
        <f>IF([1]Accounts!$D$506="","",[1]Accounts!$A$506)</f>
        <v/>
      </c>
      <c r="G505" t="str">
        <f>IF([1]Accounts!$D$506="","",[1]Accounts!$B$506)</f>
        <v/>
      </c>
      <c r="H505" t="str">
        <f>IF([1]Accounts!$D$506="","",[1]Accounts!$C$506)</f>
        <v/>
      </c>
      <c r="I505" t="str">
        <f>IF([1]Accounts!$D$506="","",[1]Accounts!$D$506)</f>
        <v/>
      </c>
    </row>
    <row r="506" spans="6:9" x14ac:dyDescent="0.2">
      <c r="F506" t="str">
        <f>IF([1]Accounts!$D$507="","",[1]Accounts!$A$507)</f>
        <v>F001</v>
      </c>
      <c r="G506" t="str">
        <f>IF([1]Accounts!$D$507="","",[1]Accounts!$B$507)</f>
        <v>دارایی ثابت</v>
      </c>
      <c r="H506" t="str">
        <f>IF([1]Accounts!$D$507="","",[1]Accounts!$C$507)</f>
        <v>زمین و ساختمان</v>
      </c>
      <c r="I506" t="str">
        <f>IF([1]Accounts!$D$507="","",[1]Accounts!$D$507)</f>
        <v>زمین باغدشت (نمونه)</v>
      </c>
    </row>
    <row r="507" spans="6:9" x14ac:dyDescent="0.2">
      <c r="F507" t="str">
        <f>IF([1]Accounts!$D$508="","",[1]Accounts!$A$508)</f>
        <v>F002</v>
      </c>
      <c r="G507" t="str">
        <f>IF([1]Accounts!$D$508="","",[1]Accounts!$B$508)</f>
        <v>دارایی ثابت</v>
      </c>
      <c r="H507" t="str">
        <f>IF([1]Accounts!$D$508="","",[1]Accounts!$C$508)</f>
        <v>خودرو و حمل‌ونقل</v>
      </c>
      <c r="I507" t="str">
        <f>IF([1]Accounts!$D$508="","",[1]Accounts!$D$508)</f>
        <v>خودرو وانت حمل بار (نمونه)</v>
      </c>
    </row>
    <row r="508" spans="6:9" x14ac:dyDescent="0.2">
      <c r="F508" t="str">
        <f>IF([1]Accounts!$D$509="","",[1]Accounts!$A$509)</f>
        <v>F003</v>
      </c>
      <c r="G508" t="str">
        <f>IF([1]Accounts!$D$509="","",[1]Accounts!$B$509)</f>
        <v>دارایی ثابت</v>
      </c>
      <c r="H508" t="str">
        <f>IF([1]Accounts!$D$509="","",[1]Accounts!$C$509)</f>
        <v>ماشین‌آلات و تجهیزات</v>
      </c>
      <c r="I508" t="str">
        <f>IF([1]Accounts!$D$509="","",[1]Accounts!$D$509)</f>
        <v>ماشین‌آلات خط سورتینگ (نمونه)</v>
      </c>
    </row>
    <row r="509" spans="6:9" x14ac:dyDescent="0.2">
      <c r="F509" t="str">
        <f>IF([1]Accounts!$D$510="","",[1]Accounts!$A$510)</f>
        <v/>
      </c>
      <c r="G509" t="str">
        <f>IF([1]Accounts!$D$510="","",[1]Accounts!$B$510)</f>
        <v/>
      </c>
      <c r="H509" t="str">
        <f>IF([1]Accounts!$D$510="","",[1]Accounts!$C$510)</f>
        <v/>
      </c>
      <c r="I509" t="str">
        <f>IF([1]Accounts!$D$510="","",[1]Accounts!$D$510)</f>
        <v/>
      </c>
    </row>
    <row r="510" spans="6:9" x14ac:dyDescent="0.2">
      <c r="F510" t="str">
        <f>IF([1]Accounts!$D$511="","",[1]Accounts!$A$511)</f>
        <v/>
      </c>
      <c r="G510" t="str">
        <f>IF([1]Accounts!$D$511="","",[1]Accounts!$B$511)</f>
        <v/>
      </c>
      <c r="H510" t="str">
        <f>IF([1]Accounts!$D$511="","",[1]Accounts!$C$511)</f>
        <v/>
      </c>
      <c r="I510" t="str">
        <f>IF([1]Accounts!$D$511="","",[1]Accounts!$D$511)</f>
        <v/>
      </c>
    </row>
    <row r="511" spans="6:9" x14ac:dyDescent="0.2">
      <c r="F511" t="str">
        <f>IF([1]Accounts!$D$512="","",[1]Accounts!$A$512)</f>
        <v/>
      </c>
      <c r="G511" t="str">
        <f>IF([1]Accounts!$D$512="","",[1]Accounts!$B$512)</f>
        <v/>
      </c>
      <c r="H511" t="str">
        <f>IF([1]Accounts!$D$512="","",[1]Accounts!$C$512)</f>
        <v/>
      </c>
      <c r="I511" t="str">
        <f>IF([1]Accounts!$D$512="","",[1]Accounts!$D$512)</f>
        <v/>
      </c>
    </row>
    <row r="512" spans="6:9" x14ac:dyDescent="0.2">
      <c r="F512" t="str">
        <f>IF([1]Accounts!$D$513="","",[1]Accounts!$A$513)</f>
        <v/>
      </c>
      <c r="G512" t="str">
        <f>IF([1]Accounts!$D$513="","",[1]Accounts!$B$513)</f>
        <v/>
      </c>
      <c r="H512" t="str">
        <f>IF([1]Accounts!$D$513="","",[1]Accounts!$C$513)</f>
        <v/>
      </c>
      <c r="I512" t="str">
        <f>IF([1]Accounts!$D$513="","",[1]Accounts!$D$513)</f>
        <v/>
      </c>
    </row>
    <row r="513" spans="6:9" x14ac:dyDescent="0.2">
      <c r="F513" t="str">
        <f>IF([1]Accounts!$D$514="","",[1]Accounts!$A$514)</f>
        <v/>
      </c>
      <c r="G513" t="str">
        <f>IF([1]Accounts!$D$514="","",[1]Accounts!$B$514)</f>
        <v/>
      </c>
      <c r="H513" t="str">
        <f>IF([1]Accounts!$D$514="","",[1]Accounts!$C$514)</f>
        <v/>
      </c>
      <c r="I513" t="str">
        <f>IF([1]Accounts!$D$514="","",[1]Accounts!$D$514)</f>
        <v/>
      </c>
    </row>
    <row r="514" spans="6:9" x14ac:dyDescent="0.2">
      <c r="F514" t="str">
        <f>IF([1]Accounts!$D$515="","",[1]Accounts!$A$515)</f>
        <v/>
      </c>
      <c r="G514" t="str">
        <f>IF([1]Accounts!$D$515="","",[1]Accounts!$B$515)</f>
        <v/>
      </c>
      <c r="H514" t="str">
        <f>IF([1]Accounts!$D$515="","",[1]Accounts!$C$515)</f>
        <v/>
      </c>
      <c r="I514" t="str">
        <f>IF([1]Accounts!$D$515="","",[1]Accounts!$D$515)</f>
        <v/>
      </c>
    </row>
    <row r="515" spans="6:9" x14ac:dyDescent="0.2">
      <c r="F515" t="str">
        <f>IF([1]Accounts!$D$516="","",[1]Accounts!$A$516)</f>
        <v/>
      </c>
      <c r="G515" t="str">
        <f>IF([1]Accounts!$D$516="","",[1]Accounts!$B$516)</f>
        <v/>
      </c>
      <c r="H515" t="str">
        <f>IF([1]Accounts!$D$516="","",[1]Accounts!$C$516)</f>
        <v/>
      </c>
      <c r="I515" t="str">
        <f>IF([1]Accounts!$D$516="","",[1]Accounts!$D$516)</f>
        <v/>
      </c>
    </row>
    <row r="516" spans="6:9" x14ac:dyDescent="0.2">
      <c r="F516" t="str">
        <f>IF([1]Accounts!$D$517="","",[1]Accounts!$A$517)</f>
        <v/>
      </c>
      <c r="G516" t="str">
        <f>IF([1]Accounts!$D$517="","",[1]Accounts!$B$517)</f>
        <v/>
      </c>
      <c r="H516" t="str">
        <f>IF([1]Accounts!$D$517="","",[1]Accounts!$C$517)</f>
        <v/>
      </c>
      <c r="I516" t="str">
        <f>IF([1]Accounts!$D$517="","",[1]Accounts!$D$517)</f>
        <v/>
      </c>
    </row>
    <row r="517" spans="6:9" x14ac:dyDescent="0.2">
      <c r="F517" t="str">
        <f>IF([1]Accounts!$D$518="","",[1]Accounts!$A$518)</f>
        <v/>
      </c>
      <c r="G517" t="str">
        <f>IF([1]Accounts!$D$518="","",[1]Accounts!$B$518)</f>
        <v/>
      </c>
      <c r="H517" t="str">
        <f>IF([1]Accounts!$D$518="","",[1]Accounts!$C$518)</f>
        <v/>
      </c>
      <c r="I517" t="str">
        <f>IF([1]Accounts!$D$518="","",[1]Accounts!$D$518)</f>
        <v/>
      </c>
    </row>
    <row r="518" spans="6:9" x14ac:dyDescent="0.2">
      <c r="F518" t="str">
        <f>IF([1]Accounts!$D$519="","",[1]Accounts!$A$519)</f>
        <v/>
      </c>
      <c r="G518" t="str">
        <f>IF([1]Accounts!$D$519="","",[1]Accounts!$B$519)</f>
        <v/>
      </c>
      <c r="H518" t="str">
        <f>IF([1]Accounts!$D$519="","",[1]Accounts!$C$519)</f>
        <v/>
      </c>
      <c r="I518" t="str">
        <f>IF([1]Accounts!$D$519="","",[1]Accounts!$D$519)</f>
        <v/>
      </c>
    </row>
    <row r="519" spans="6:9" x14ac:dyDescent="0.2">
      <c r="F519" t="str">
        <f>IF([1]Accounts!$D$520="","",[1]Accounts!$A$520)</f>
        <v/>
      </c>
      <c r="G519" t="str">
        <f>IF([1]Accounts!$D$520="","",[1]Accounts!$B$520)</f>
        <v/>
      </c>
      <c r="H519" t="str">
        <f>IF([1]Accounts!$D$520="","",[1]Accounts!$C$520)</f>
        <v/>
      </c>
      <c r="I519" t="str">
        <f>IF([1]Accounts!$D$520="","",[1]Accounts!$D$520)</f>
        <v/>
      </c>
    </row>
    <row r="520" spans="6:9" x14ac:dyDescent="0.2">
      <c r="F520" t="str">
        <f>IF([1]Accounts!$D$521="","",[1]Accounts!$A$521)</f>
        <v/>
      </c>
      <c r="G520" t="str">
        <f>IF([1]Accounts!$D$521="","",[1]Accounts!$B$521)</f>
        <v/>
      </c>
      <c r="H520" t="str">
        <f>IF([1]Accounts!$D$521="","",[1]Accounts!$C$521)</f>
        <v/>
      </c>
      <c r="I520" t="str">
        <f>IF([1]Accounts!$D$521="","",[1]Accounts!$D$521)</f>
        <v/>
      </c>
    </row>
    <row r="521" spans="6:9" x14ac:dyDescent="0.2">
      <c r="F521" t="str">
        <f>IF([1]Accounts!$D$522="","",[1]Accounts!$A$522)</f>
        <v/>
      </c>
      <c r="G521" t="str">
        <f>IF([1]Accounts!$D$522="","",[1]Accounts!$B$522)</f>
        <v/>
      </c>
      <c r="H521" t="str">
        <f>IF([1]Accounts!$D$522="","",[1]Accounts!$C$522)</f>
        <v/>
      </c>
      <c r="I521" t="str">
        <f>IF([1]Accounts!$D$522="","",[1]Accounts!$D$522)</f>
        <v/>
      </c>
    </row>
    <row r="522" spans="6:9" x14ac:dyDescent="0.2">
      <c r="F522" t="str">
        <f>IF([1]Accounts!$D$523="","",[1]Accounts!$A$523)</f>
        <v/>
      </c>
      <c r="G522" t="str">
        <f>IF([1]Accounts!$D$523="","",[1]Accounts!$B$523)</f>
        <v/>
      </c>
      <c r="H522" t="str">
        <f>IF([1]Accounts!$D$523="","",[1]Accounts!$C$523)</f>
        <v/>
      </c>
      <c r="I522" t="str">
        <f>IF([1]Accounts!$D$523="","",[1]Accounts!$D$523)</f>
        <v/>
      </c>
    </row>
    <row r="523" spans="6:9" x14ac:dyDescent="0.2">
      <c r="F523" t="str">
        <f>IF([1]Accounts!$D$524="","",[1]Accounts!$A$524)</f>
        <v/>
      </c>
      <c r="G523" t="str">
        <f>IF([1]Accounts!$D$524="","",[1]Accounts!$B$524)</f>
        <v/>
      </c>
      <c r="H523" t="str">
        <f>IF([1]Accounts!$D$524="","",[1]Accounts!$C$524)</f>
        <v/>
      </c>
      <c r="I523" t="str">
        <f>IF([1]Accounts!$D$524="","",[1]Accounts!$D$524)</f>
        <v/>
      </c>
    </row>
    <row r="524" spans="6:9" x14ac:dyDescent="0.2">
      <c r="F524" t="str">
        <f>IF([1]Accounts!$D$525="","",[1]Accounts!$A$525)</f>
        <v/>
      </c>
      <c r="G524" t="str">
        <f>IF([1]Accounts!$D$525="","",[1]Accounts!$B$525)</f>
        <v/>
      </c>
      <c r="H524" t="str">
        <f>IF([1]Accounts!$D$525="","",[1]Accounts!$C$525)</f>
        <v/>
      </c>
      <c r="I524" t="str">
        <f>IF([1]Accounts!$D$525="","",[1]Accounts!$D$525)</f>
        <v/>
      </c>
    </row>
    <row r="525" spans="6:9" x14ac:dyDescent="0.2">
      <c r="F525" t="str">
        <f>IF([1]Accounts!$D$526="","",[1]Accounts!$A$526)</f>
        <v/>
      </c>
      <c r="G525" t="str">
        <f>IF([1]Accounts!$D$526="","",[1]Accounts!$B$526)</f>
        <v/>
      </c>
      <c r="H525" t="str">
        <f>IF([1]Accounts!$D$526="","",[1]Accounts!$C$526)</f>
        <v/>
      </c>
      <c r="I525" t="str">
        <f>IF([1]Accounts!$D$526="","",[1]Accounts!$D$526)</f>
        <v/>
      </c>
    </row>
    <row r="526" spans="6:9" x14ac:dyDescent="0.2">
      <c r="F526" t="str">
        <f>IF([1]Accounts!$D$527="","",[1]Accounts!$A$527)</f>
        <v/>
      </c>
      <c r="G526" t="str">
        <f>IF([1]Accounts!$D$527="","",[1]Accounts!$B$527)</f>
        <v/>
      </c>
      <c r="H526" t="str">
        <f>IF([1]Accounts!$D$527="","",[1]Accounts!$C$527)</f>
        <v/>
      </c>
      <c r="I526" t="str">
        <f>IF([1]Accounts!$D$527="","",[1]Accounts!$D$527)</f>
        <v/>
      </c>
    </row>
    <row r="527" spans="6:9" x14ac:dyDescent="0.2">
      <c r="F527" t="str">
        <f>IF([1]Accounts!$D$528="","",[1]Accounts!$A$528)</f>
        <v/>
      </c>
      <c r="G527" t="str">
        <f>IF([1]Accounts!$D$528="","",[1]Accounts!$B$528)</f>
        <v/>
      </c>
      <c r="H527" t="str">
        <f>IF([1]Accounts!$D$528="","",[1]Accounts!$C$528)</f>
        <v/>
      </c>
      <c r="I527" t="str">
        <f>IF([1]Accounts!$D$528="","",[1]Accounts!$D$528)</f>
        <v/>
      </c>
    </row>
    <row r="528" spans="6:9" x14ac:dyDescent="0.2">
      <c r="F528" t="str">
        <f>IF([1]Accounts!$D$529="","",[1]Accounts!$A$529)</f>
        <v/>
      </c>
      <c r="G528" t="str">
        <f>IF([1]Accounts!$D$529="","",[1]Accounts!$B$529)</f>
        <v/>
      </c>
      <c r="H528" t="str">
        <f>IF([1]Accounts!$D$529="","",[1]Accounts!$C$529)</f>
        <v/>
      </c>
      <c r="I528" t="str">
        <f>IF([1]Accounts!$D$529="","",[1]Accounts!$D$529)</f>
        <v/>
      </c>
    </row>
    <row r="529" spans="6:9" x14ac:dyDescent="0.2">
      <c r="F529" t="str">
        <f>IF([1]Accounts!$D$530="","",[1]Accounts!$A$530)</f>
        <v/>
      </c>
      <c r="G529" t="str">
        <f>IF([1]Accounts!$D$530="","",[1]Accounts!$B$530)</f>
        <v/>
      </c>
      <c r="H529" t="str">
        <f>IF([1]Accounts!$D$530="","",[1]Accounts!$C$530)</f>
        <v/>
      </c>
      <c r="I529" t="str">
        <f>IF([1]Accounts!$D$530="","",[1]Accounts!$D$530)</f>
        <v/>
      </c>
    </row>
    <row r="530" spans="6:9" x14ac:dyDescent="0.2">
      <c r="F530" t="str">
        <f>IF([1]Accounts!$D$531="","",[1]Accounts!$A$531)</f>
        <v/>
      </c>
      <c r="G530" t="str">
        <f>IF([1]Accounts!$D$531="","",[1]Accounts!$B$531)</f>
        <v/>
      </c>
      <c r="H530" t="str">
        <f>IF([1]Accounts!$D$531="","",[1]Accounts!$C$531)</f>
        <v/>
      </c>
      <c r="I530" t="str">
        <f>IF([1]Accounts!$D$531="","",[1]Accounts!$D$531)</f>
        <v/>
      </c>
    </row>
    <row r="531" spans="6:9" x14ac:dyDescent="0.2">
      <c r="F531" t="str">
        <f>IF([1]Accounts!$D$532="","",[1]Accounts!$A$532)</f>
        <v/>
      </c>
      <c r="G531" t="str">
        <f>IF([1]Accounts!$D$532="","",[1]Accounts!$B$532)</f>
        <v/>
      </c>
      <c r="H531" t="str">
        <f>IF([1]Accounts!$D$532="","",[1]Accounts!$C$532)</f>
        <v/>
      </c>
      <c r="I531" t="str">
        <f>IF([1]Accounts!$D$532="","",[1]Accounts!$D$532)</f>
        <v/>
      </c>
    </row>
    <row r="532" spans="6:9" x14ac:dyDescent="0.2">
      <c r="F532" t="str">
        <f>IF([1]Accounts!$D$533="","",[1]Accounts!$A$533)</f>
        <v/>
      </c>
      <c r="G532" t="str">
        <f>IF([1]Accounts!$D$533="","",[1]Accounts!$B$533)</f>
        <v/>
      </c>
      <c r="H532" t="str">
        <f>IF([1]Accounts!$D$533="","",[1]Accounts!$C$533)</f>
        <v/>
      </c>
      <c r="I532" t="str">
        <f>IF([1]Accounts!$D$533="","",[1]Accounts!$D$533)</f>
        <v/>
      </c>
    </row>
    <row r="533" spans="6:9" x14ac:dyDescent="0.2">
      <c r="F533" t="str">
        <f>IF([1]Accounts!$D$534="","",[1]Accounts!$A$534)</f>
        <v/>
      </c>
      <c r="G533" t="str">
        <f>IF([1]Accounts!$D$534="","",[1]Accounts!$B$534)</f>
        <v/>
      </c>
      <c r="H533" t="str">
        <f>IF([1]Accounts!$D$534="","",[1]Accounts!$C$534)</f>
        <v/>
      </c>
      <c r="I533" t="str">
        <f>IF([1]Accounts!$D$534="","",[1]Accounts!$D$534)</f>
        <v/>
      </c>
    </row>
    <row r="534" spans="6:9" x14ac:dyDescent="0.2">
      <c r="F534" t="str">
        <f>IF([1]Accounts!$D$535="","",[1]Accounts!$A$535)</f>
        <v/>
      </c>
      <c r="G534" t="str">
        <f>IF([1]Accounts!$D$535="","",[1]Accounts!$B$535)</f>
        <v/>
      </c>
      <c r="H534" t="str">
        <f>IF([1]Accounts!$D$535="","",[1]Accounts!$C$535)</f>
        <v/>
      </c>
      <c r="I534" t="str">
        <f>IF([1]Accounts!$D$535="","",[1]Accounts!$D$535)</f>
        <v/>
      </c>
    </row>
    <row r="535" spans="6:9" x14ac:dyDescent="0.2">
      <c r="F535" t="str">
        <f>IF([1]Accounts!$D$536="","",[1]Accounts!$A$536)</f>
        <v/>
      </c>
      <c r="G535" t="str">
        <f>IF([1]Accounts!$D$536="","",[1]Accounts!$B$536)</f>
        <v/>
      </c>
      <c r="H535" t="str">
        <f>IF([1]Accounts!$D$536="","",[1]Accounts!$C$536)</f>
        <v/>
      </c>
      <c r="I535" t="str">
        <f>IF([1]Accounts!$D$536="","",[1]Accounts!$D$536)</f>
        <v/>
      </c>
    </row>
    <row r="536" spans="6:9" x14ac:dyDescent="0.2">
      <c r="F536" t="str">
        <f>IF([1]Accounts!$D$537="","",[1]Accounts!$A$537)</f>
        <v>L001</v>
      </c>
      <c r="G536" t="str">
        <f>IF([1]Accounts!$D$537="","",[1]Accounts!$B$537)</f>
        <v>وام و تسهیلات</v>
      </c>
      <c r="H536" t="str">
        <f>IF([1]Accounts!$D$537="","",[1]Accounts!$C$537)</f>
        <v>وام بانکی</v>
      </c>
      <c r="I536" t="str">
        <f>IF([1]Accounts!$D$537="","",[1]Accounts!$D$537)</f>
        <v>وام بانک ملت (نمونه)</v>
      </c>
    </row>
    <row r="537" spans="6:9" x14ac:dyDescent="0.2">
      <c r="F537" t="str">
        <f>IF([1]Accounts!$D$538="","",[1]Accounts!$A$538)</f>
        <v/>
      </c>
      <c r="G537" t="str">
        <f>IF([1]Accounts!$D$538="","",[1]Accounts!$B$538)</f>
        <v/>
      </c>
      <c r="H537" t="str">
        <f>IF([1]Accounts!$D$538="","",[1]Accounts!$C$538)</f>
        <v/>
      </c>
      <c r="I537" t="str">
        <f>IF([1]Accounts!$D$538="","",[1]Accounts!$D$538)</f>
        <v/>
      </c>
    </row>
    <row r="538" spans="6:9" x14ac:dyDescent="0.2">
      <c r="F538" t="str">
        <f>IF([1]Accounts!$D$539="","",[1]Accounts!$A$539)</f>
        <v/>
      </c>
      <c r="G538" t="str">
        <f>IF([1]Accounts!$D$539="","",[1]Accounts!$B$539)</f>
        <v/>
      </c>
      <c r="H538" t="str">
        <f>IF([1]Accounts!$D$539="","",[1]Accounts!$C$539)</f>
        <v/>
      </c>
      <c r="I538" t="str">
        <f>IF([1]Accounts!$D$539="","",[1]Accounts!$D$539)</f>
        <v/>
      </c>
    </row>
    <row r="539" spans="6:9" x14ac:dyDescent="0.2">
      <c r="F539" t="str">
        <f>IF([1]Accounts!$D$540="","",[1]Accounts!$A$540)</f>
        <v/>
      </c>
      <c r="G539" t="str">
        <f>IF([1]Accounts!$D$540="","",[1]Accounts!$B$540)</f>
        <v/>
      </c>
      <c r="H539" t="str">
        <f>IF([1]Accounts!$D$540="","",[1]Accounts!$C$540)</f>
        <v/>
      </c>
      <c r="I539" t="str">
        <f>IF([1]Accounts!$D$540="","",[1]Accounts!$D$540)</f>
        <v/>
      </c>
    </row>
    <row r="540" spans="6:9" x14ac:dyDescent="0.2">
      <c r="F540" t="str">
        <f>IF([1]Accounts!$D$541="","",[1]Accounts!$A$541)</f>
        <v/>
      </c>
      <c r="G540" t="str">
        <f>IF([1]Accounts!$D$541="","",[1]Accounts!$B$541)</f>
        <v/>
      </c>
      <c r="H540" t="str">
        <f>IF([1]Accounts!$D$541="","",[1]Accounts!$C$541)</f>
        <v/>
      </c>
      <c r="I540" t="str">
        <f>IF([1]Accounts!$D$541="","",[1]Accounts!$D$541)</f>
        <v/>
      </c>
    </row>
    <row r="541" spans="6:9" x14ac:dyDescent="0.2">
      <c r="F541" t="str">
        <f>IF([1]Accounts!$D$542="","",[1]Accounts!$A$542)</f>
        <v/>
      </c>
      <c r="G541" t="str">
        <f>IF([1]Accounts!$D$542="","",[1]Accounts!$B$542)</f>
        <v/>
      </c>
      <c r="H541" t="str">
        <f>IF([1]Accounts!$D$542="","",[1]Accounts!$C$542)</f>
        <v/>
      </c>
      <c r="I541" t="str">
        <f>IF([1]Accounts!$D$542="","",[1]Accounts!$D$542)</f>
        <v/>
      </c>
    </row>
    <row r="542" spans="6:9" x14ac:dyDescent="0.2">
      <c r="F542" t="str">
        <f>IF([1]Accounts!$D$543="","",[1]Accounts!$A$543)</f>
        <v/>
      </c>
      <c r="G542" t="str">
        <f>IF([1]Accounts!$D$543="","",[1]Accounts!$B$543)</f>
        <v/>
      </c>
      <c r="H542" t="str">
        <f>IF([1]Accounts!$D$543="","",[1]Accounts!$C$543)</f>
        <v/>
      </c>
      <c r="I542" t="str">
        <f>IF([1]Accounts!$D$543="","",[1]Accounts!$D$543)</f>
        <v/>
      </c>
    </row>
    <row r="543" spans="6:9" x14ac:dyDescent="0.2">
      <c r="F543" t="str">
        <f>IF([1]Accounts!$D$544="","",[1]Accounts!$A$544)</f>
        <v/>
      </c>
      <c r="G543" t="str">
        <f>IF([1]Accounts!$D$544="","",[1]Accounts!$B$544)</f>
        <v/>
      </c>
      <c r="H543" t="str">
        <f>IF([1]Accounts!$D$544="","",[1]Accounts!$C$544)</f>
        <v/>
      </c>
      <c r="I543" t="str">
        <f>IF([1]Accounts!$D$544="","",[1]Accounts!$D$544)</f>
        <v/>
      </c>
    </row>
    <row r="544" spans="6:9" x14ac:dyDescent="0.2">
      <c r="F544" t="str">
        <f>IF([1]Accounts!$D$545="","",[1]Accounts!$A$545)</f>
        <v/>
      </c>
      <c r="G544" t="str">
        <f>IF([1]Accounts!$D$545="","",[1]Accounts!$B$545)</f>
        <v/>
      </c>
      <c r="H544" t="str">
        <f>IF([1]Accounts!$D$545="","",[1]Accounts!$C$545)</f>
        <v/>
      </c>
      <c r="I544" t="str">
        <f>IF([1]Accounts!$D$545="","",[1]Accounts!$D$545)</f>
        <v/>
      </c>
    </row>
    <row r="545" spans="6:9" x14ac:dyDescent="0.2">
      <c r="F545" t="str">
        <f>IF([1]Accounts!$D$546="","",[1]Accounts!$A$546)</f>
        <v/>
      </c>
      <c r="G545" t="str">
        <f>IF([1]Accounts!$D$546="","",[1]Accounts!$B$546)</f>
        <v/>
      </c>
      <c r="H545" t="str">
        <f>IF([1]Accounts!$D$546="","",[1]Accounts!$C$546)</f>
        <v/>
      </c>
      <c r="I545" t="str">
        <f>IF([1]Accounts!$D$546="","",[1]Accounts!$D$546)</f>
        <v/>
      </c>
    </row>
    <row r="546" spans="6:9" x14ac:dyDescent="0.2">
      <c r="F546" t="str">
        <f>IF([1]Accounts!$D$547="","",[1]Accounts!$A$547)</f>
        <v/>
      </c>
      <c r="G546" t="str">
        <f>IF([1]Accounts!$D$547="","",[1]Accounts!$B$547)</f>
        <v/>
      </c>
      <c r="H546" t="str">
        <f>IF([1]Accounts!$D$547="","",[1]Accounts!$C$547)</f>
        <v/>
      </c>
      <c r="I546" t="str">
        <f>IF([1]Accounts!$D$547="","",[1]Accounts!$D$547)</f>
        <v/>
      </c>
    </row>
    <row r="547" spans="6:9" x14ac:dyDescent="0.2">
      <c r="F547" t="str">
        <f>IF([1]Accounts!$D$548="","",[1]Accounts!$A$548)</f>
        <v/>
      </c>
      <c r="G547" t="str">
        <f>IF([1]Accounts!$D$548="","",[1]Accounts!$B$548)</f>
        <v/>
      </c>
      <c r="H547" t="str">
        <f>IF([1]Accounts!$D$548="","",[1]Accounts!$C$548)</f>
        <v/>
      </c>
      <c r="I547" t="str">
        <f>IF([1]Accounts!$D$548="","",[1]Accounts!$D$548)</f>
        <v/>
      </c>
    </row>
    <row r="548" spans="6:9" x14ac:dyDescent="0.2">
      <c r="F548" t="str">
        <f>IF([1]Accounts!$D$549="","",[1]Accounts!$A$549)</f>
        <v/>
      </c>
      <c r="G548" t="str">
        <f>IF([1]Accounts!$D$549="","",[1]Accounts!$B$549)</f>
        <v/>
      </c>
      <c r="H548" t="str">
        <f>IF([1]Accounts!$D$549="","",[1]Accounts!$C$549)</f>
        <v/>
      </c>
      <c r="I548" t="str">
        <f>IF([1]Accounts!$D$549="","",[1]Accounts!$D$549)</f>
        <v/>
      </c>
    </row>
    <row r="549" spans="6:9" x14ac:dyDescent="0.2">
      <c r="F549" t="str">
        <f>IF([1]Accounts!$D$550="","",[1]Accounts!$A$550)</f>
        <v/>
      </c>
      <c r="G549" t="str">
        <f>IF([1]Accounts!$D$550="","",[1]Accounts!$B$550)</f>
        <v/>
      </c>
      <c r="H549" t="str">
        <f>IF([1]Accounts!$D$550="","",[1]Accounts!$C$550)</f>
        <v/>
      </c>
      <c r="I549" t="str">
        <f>IF([1]Accounts!$D$550="","",[1]Accounts!$D$550)</f>
        <v/>
      </c>
    </row>
    <row r="550" spans="6:9" x14ac:dyDescent="0.2">
      <c r="F550" t="str">
        <f>IF([1]Accounts!$D$551="","",[1]Accounts!$A$551)</f>
        <v/>
      </c>
      <c r="G550" t="str">
        <f>IF([1]Accounts!$D$551="","",[1]Accounts!$B$551)</f>
        <v/>
      </c>
      <c r="H550" t="str">
        <f>IF([1]Accounts!$D$551="","",[1]Accounts!$C$551)</f>
        <v/>
      </c>
      <c r="I550" t="str">
        <f>IF([1]Accounts!$D$551="","",[1]Accounts!$D$551)</f>
        <v/>
      </c>
    </row>
    <row r="551" spans="6:9" x14ac:dyDescent="0.2">
      <c r="F551" t="str">
        <f>IF([1]Accounts!$D$552="","",[1]Accounts!$A$552)</f>
        <v/>
      </c>
      <c r="G551" t="str">
        <f>IF([1]Accounts!$D$552="","",[1]Accounts!$B$552)</f>
        <v/>
      </c>
      <c r="H551" t="str">
        <f>IF([1]Accounts!$D$552="","",[1]Accounts!$C$552)</f>
        <v/>
      </c>
      <c r="I551" t="str">
        <f>IF([1]Accounts!$D$552="","",[1]Accounts!$D$552)</f>
        <v/>
      </c>
    </row>
    <row r="552" spans="6:9" x14ac:dyDescent="0.2">
      <c r="F552" t="str">
        <f>IF([1]Accounts!$D$553="","",[1]Accounts!$A$553)</f>
        <v/>
      </c>
      <c r="G552" t="str">
        <f>IF([1]Accounts!$D$553="","",[1]Accounts!$B$553)</f>
        <v/>
      </c>
      <c r="H552" t="str">
        <f>IF([1]Accounts!$D$553="","",[1]Accounts!$C$553)</f>
        <v/>
      </c>
      <c r="I552" t="str">
        <f>IF([1]Accounts!$D$553="","",[1]Accounts!$D$553)</f>
        <v/>
      </c>
    </row>
    <row r="553" spans="6:9" x14ac:dyDescent="0.2">
      <c r="F553" t="str">
        <f>IF([1]Accounts!$D$554="","",[1]Accounts!$A$554)</f>
        <v/>
      </c>
      <c r="G553" t="str">
        <f>IF([1]Accounts!$D$554="","",[1]Accounts!$B$554)</f>
        <v/>
      </c>
      <c r="H553" t="str">
        <f>IF([1]Accounts!$D$554="","",[1]Accounts!$C$554)</f>
        <v/>
      </c>
      <c r="I553" t="str">
        <f>IF([1]Accounts!$D$554="","",[1]Accounts!$D$554)</f>
        <v/>
      </c>
    </row>
    <row r="554" spans="6:9" x14ac:dyDescent="0.2">
      <c r="F554" t="str">
        <f>IF([1]Accounts!$D$555="","",[1]Accounts!$A$555)</f>
        <v/>
      </c>
      <c r="G554" t="str">
        <f>IF([1]Accounts!$D$555="","",[1]Accounts!$B$555)</f>
        <v/>
      </c>
      <c r="H554" t="str">
        <f>IF([1]Accounts!$D$555="","",[1]Accounts!$C$555)</f>
        <v/>
      </c>
      <c r="I554" t="str">
        <f>IF([1]Accounts!$D$555="","",[1]Accounts!$D$555)</f>
        <v/>
      </c>
    </row>
    <row r="555" spans="6:9" x14ac:dyDescent="0.2">
      <c r="F555" t="str">
        <f>IF([1]Accounts!$D$556="","",[1]Accounts!$A$556)</f>
        <v/>
      </c>
      <c r="G555" t="str">
        <f>IF([1]Accounts!$D$556="","",[1]Accounts!$B$556)</f>
        <v/>
      </c>
      <c r="H555" t="str">
        <f>IF([1]Accounts!$D$556="","",[1]Accounts!$C$556)</f>
        <v/>
      </c>
      <c r="I555" t="str">
        <f>IF([1]Accounts!$D$556="","",[1]Accounts!$D$556)</f>
        <v/>
      </c>
    </row>
    <row r="556" spans="6:9" x14ac:dyDescent="0.2">
      <c r="F556" t="str">
        <f>IF([1]Accounts!$D$557="","",[1]Accounts!$A$557)</f>
        <v>CAP001</v>
      </c>
      <c r="G556" t="str">
        <f>IF([1]Accounts!$D$557="","",[1]Accounts!$B$557)</f>
        <v>سرمایه و آورده صاحبان</v>
      </c>
      <c r="H556" t="str">
        <f>IF([1]Accounts!$D$557="","",[1]Accounts!$C$557)</f>
        <v>سرمایه اولیه و آورده نقدی</v>
      </c>
      <c r="I556" t="str">
        <f>IF([1]Accounts!$D$557="","",[1]Accounts!$D$557)</f>
        <v>سرمایه و آورده صاحبان (نمونه)</v>
      </c>
    </row>
    <row r="557" spans="6:9" x14ac:dyDescent="0.2">
      <c r="F557" t="str">
        <f>IF([1]Accounts!$D$558="","",[1]Accounts!$A$558)</f>
        <v/>
      </c>
      <c r="G557" t="str">
        <f>IF([1]Accounts!$D$558="","",[1]Accounts!$B$558)</f>
        <v/>
      </c>
      <c r="H557" t="str">
        <f>IF([1]Accounts!$D$558="","",[1]Accounts!$C$558)</f>
        <v/>
      </c>
      <c r="I557" t="str">
        <f>IF([1]Accounts!$D$558="","",[1]Accounts!$D$558)</f>
        <v/>
      </c>
    </row>
    <row r="558" spans="6:9" x14ac:dyDescent="0.2">
      <c r="F558" t="str">
        <f>IF([1]Accounts!$D$559="","",[1]Accounts!$A$559)</f>
        <v/>
      </c>
      <c r="G558" t="str">
        <f>IF([1]Accounts!$D$559="","",[1]Accounts!$B$559)</f>
        <v/>
      </c>
      <c r="H558" t="str">
        <f>IF([1]Accounts!$D$559="","",[1]Accounts!$C$559)</f>
        <v/>
      </c>
      <c r="I558" t="str">
        <f>IF([1]Accounts!$D$559="","",[1]Accounts!$D$559)</f>
        <v/>
      </c>
    </row>
    <row r="559" spans="6:9" x14ac:dyDescent="0.2">
      <c r="F559" t="str">
        <f>IF([1]Accounts!$D$560="","",[1]Accounts!$A$560)</f>
        <v/>
      </c>
      <c r="G559" t="str">
        <f>IF([1]Accounts!$D$560="","",[1]Accounts!$B$560)</f>
        <v/>
      </c>
      <c r="H559" t="str">
        <f>IF([1]Accounts!$D$560="","",[1]Accounts!$C$560)</f>
        <v/>
      </c>
      <c r="I559" t="str">
        <f>IF([1]Accounts!$D$560="","",[1]Accounts!$D$560)</f>
        <v/>
      </c>
    </row>
    <row r="560" spans="6:9" x14ac:dyDescent="0.2">
      <c r="F560" t="str">
        <f>IF([1]Accounts!$D$561="","",[1]Accounts!$A$561)</f>
        <v/>
      </c>
      <c r="G560" t="str">
        <f>IF([1]Accounts!$D$561="","",[1]Accounts!$B$561)</f>
        <v/>
      </c>
      <c r="H560" t="str">
        <f>IF([1]Accounts!$D$561="","",[1]Accounts!$C$561)</f>
        <v/>
      </c>
      <c r="I560" t="str">
        <f>IF([1]Accounts!$D$561="","",[1]Accounts!$D$561)</f>
        <v/>
      </c>
    </row>
    <row r="561" spans="6:9" x14ac:dyDescent="0.2">
      <c r="F561" t="str">
        <f>IF([1]Accounts!$D$562="","",[1]Accounts!$A$562)</f>
        <v/>
      </c>
      <c r="G561" t="str">
        <f>IF([1]Accounts!$D$562="","",[1]Accounts!$B$562)</f>
        <v/>
      </c>
      <c r="H561" t="str">
        <f>IF([1]Accounts!$D$562="","",[1]Accounts!$C$562)</f>
        <v/>
      </c>
      <c r="I561" t="str">
        <f>IF([1]Accounts!$D$562="","",[1]Accounts!$D$562)</f>
        <v/>
      </c>
    </row>
    <row r="562" spans="6:9" x14ac:dyDescent="0.2">
      <c r="F562" t="str">
        <f>IF([1]Accounts!$D$563="","",[1]Accounts!$A$563)</f>
        <v/>
      </c>
      <c r="G562" t="str">
        <f>IF([1]Accounts!$D$563="","",[1]Accounts!$B$563)</f>
        <v/>
      </c>
      <c r="H562" t="str">
        <f>IF([1]Accounts!$D$563="","",[1]Accounts!$C$563)</f>
        <v/>
      </c>
      <c r="I562" t="str">
        <f>IF([1]Accounts!$D$563="","",[1]Accounts!$D$563)</f>
        <v/>
      </c>
    </row>
    <row r="563" spans="6:9" x14ac:dyDescent="0.2">
      <c r="F563" t="str">
        <f>IF([1]Accounts!$D$564="","",[1]Accounts!$A$564)</f>
        <v/>
      </c>
      <c r="G563" t="str">
        <f>IF([1]Accounts!$D$564="","",[1]Accounts!$B$564)</f>
        <v/>
      </c>
      <c r="H563" t="str">
        <f>IF([1]Accounts!$D$564="","",[1]Accounts!$C$564)</f>
        <v/>
      </c>
      <c r="I563" t="str">
        <f>IF([1]Accounts!$D$564="","",[1]Accounts!$D$564)</f>
        <v/>
      </c>
    </row>
    <row r="564" spans="6:9" x14ac:dyDescent="0.2">
      <c r="F564" t="str">
        <f>IF([1]Accounts!$D$565="","",[1]Accounts!$A$565)</f>
        <v/>
      </c>
      <c r="G564" t="str">
        <f>IF([1]Accounts!$D$565="","",[1]Accounts!$B$565)</f>
        <v/>
      </c>
      <c r="H564" t="str">
        <f>IF([1]Accounts!$D$565="","",[1]Accounts!$C$565)</f>
        <v/>
      </c>
      <c r="I564" t="str">
        <f>IF([1]Accounts!$D$565="","",[1]Accounts!$D$565)</f>
        <v/>
      </c>
    </row>
    <row r="565" spans="6:9" x14ac:dyDescent="0.2">
      <c r="F565" t="str">
        <f>IF([1]Accounts!$D$566="","",[1]Accounts!$A$566)</f>
        <v/>
      </c>
      <c r="G565" t="str">
        <f>IF([1]Accounts!$D$566="","",[1]Accounts!$B$566)</f>
        <v/>
      </c>
      <c r="H565" t="str">
        <f>IF([1]Accounts!$D$566="","",[1]Accounts!$C$566)</f>
        <v/>
      </c>
      <c r="I565" t="str">
        <f>IF([1]Accounts!$D$566="","",[1]Accounts!$D$566)</f>
        <v/>
      </c>
    </row>
  </sheetData>
  <mergeCells count="3">
    <mergeCell ref="A2:AT2"/>
    <mergeCell ref="A3:AV3"/>
    <mergeCell ref="A1:A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  <pageSetUpPr fitToPage="1"/>
  </sheetPr>
  <dimension ref="A1:H29"/>
  <sheetViews>
    <sheetView showGridLines="0" rightToLeft="1" topLeftCell="A13" workbookViewId="0">
      <selection sqref="A1:H1"/>
    </sheetView>
  </sheetViews>
  <sheetFormatPr defaultRowHeight="14.25" x14ac:dyDescent="0.2"/>
  <cols>
    <col min="1" max="8" width="12" customWidth="1"/>
  </cols>
  <sheetData>
    <row r="1" spans="1:8" ht="26.1" customHeight="1" x14ac:dyDescent="0.2">
      <c r="A1" s="9" t="s">
        <v>62</v>
      </c>
      <c r="B1" s="9"/>
      <c r="C1" s="9"/>
      <c r="D1" s="9"/>
      <c r="E1" s="9"/>
      <c r="F1" s="9"/>
      <c r="G1" s="9"/>
      <c r="H1" s="9"/>
    </row>
    <row r="2" spans="1:8" ht="14.1" customHeight="1" x14ac:dyDescent="0.2">
      <c r="A2" s="16" t="s">
        <v>63</v>
      </c>
      <c r="B2" s="16"/>
      <c r="C2" s="16"/>
      <c r="D2" s="16"/>
      <c r="E2" s="16"/>
      <c r="F2" s="16"/>
      <c r="G2" s="16"/>
      <c r="H2" s="16"/>
    </row>
    <row r="3" spans="1:8" ht="21.95" customHeight="1" x14ac:dyDescent="0.2">
      <c r="A3" s="20" t="s">
        <v>80</v>
      </c>
      <c r="B3" s="20"/>
      <c r="C3" s="20"/>
      <c r="D3" s="20"/>
      <c r="E3" s="20"/>
      <c r="F3" s="20"/>
      <c r="G3" s="20"/>
      <c r="H3" s="20"/>
    </row>
    <row r="5" spans="1:8" ht="18.95" customHeight="1" x14ac:dyDescent="0.2">
      <c r="A5" s="21" t="s">
        <v>81</v>
      </c>
      <c r="B5" s="21"/>
      <c r="C5" s="21"/>
      <c r="D5" s="21"/>
      <c r="E5" s="21"/>
      <c r="F5" s="21"/>
      <c r="G5" s="21"/>
      <c r="H5" s="21"/>
    </row>
    <row r="6" spans="1:8" ht="17.100000000000001" customHeight="1" x14ac:dyDescent="0.2">
      <c r="A6" s="18" t="s">
        <v>82</v>
      </c>
      <c r="B6" s="18"/>
      <c r="C6" s="18"/>
      <c r="D6" s="18"/>
      <c r="E6" s="18"/>
      <c r="F6" s="18"/>
      <c r="G6" s="18"/>
      <c r="H6" s="18"/>
    </row>
    <row r="7" spans="1:8" ht="17.100000000000001" customHeight="1" x14ac:dyDescent="0.2">
      <c r="A7" s="19" t="s">
        <v>83</v>
      </c>
      <c r="B7" s="19"/>
      <c r="C7" s="19"/>
      <c r="D7" s="19"/>
      <c r="E7" s="19"/>
      <c r="F7" s="19"/>
      <c r="G7" s="19"/>
      <c r="H7" s="19"/>
    </row>
    <row r="8" spans="1:8" ht="17.100000000000001" customHeight="1" x14ac:dyDescent="0.2">
      <c r="A8" s="18" t="s">
        <v>84</v>
      </c>
      <c r="B8" s="18"/>
      <c r="C8" s="18"/>
      <c r="D8" s="18"/>
      <c r="E8" s="18"/>
      <c r="F8" s="18"/>
      <c r="G8" s="18"/>
      <c r="H8" s="18"/>
    </row>
    <row r="10" spans="1:8" ht="18.95" customHeight="1" x14ac:dyDescent="0.2">
      <c r="A10" s="21" t="s">
        <v>85</v>
      </c>
      <c r="B10" s="21"/>
      <c r="C10" s="21"/>
      <c r="D10" s="21"/>
      <c r="E10" s="21"/>
      <c r="F10" s="21"/>
      <c r="G10" s="21"/>
      <c r="H10" s="21"/>
    </row>
    <row r="11" spans="1:8" ht="17.100000000000001" customHeight="1" x14ac:dyDescent="0.2">
      <c r="A11" s="18" t="s">
        <v>86</v>
      </c>
      <c r="B11" s="18"/>
      <c r="C11" s="18"/>
      <c r="D11" s="18"/>
      <c r="E11" s="18"/>
      <c r="F11" s="18"/>
      <c r="G11" s="18"/>
      <c r="H11" s="18"/>
    </row>
    <row r="12" spans="1:8" ht="17.100000000000001" customHeight="1" x14ac:dyDescent="0.2">
      <c r="A12" s="19" t="s">
        <v>87</v>
      </c>
      <c r="B12" s="19"/>
      <c r="C12" s="19"/>
      <c r="D12" s="19"/>
      <c r="E12" s="19"/>
      <c r="F12" s="19"/>
      <c r="G12" s="19"/>
      <c r="H12" s="19"/>
    </row>
    <row r="13" spans="1:8" ht="17.100000000000001" customHeight="1" x14ac:dyDescent="0.2">
      <c r="A13" s="18" t="s">
        <v>88</v>
      </c>
      <c r="B13" s="18"/>
      <c r="C13" s="18"/>
      <c r="D13" s="18"/>
      <c r="E13" s="18"/>
      <c r="F13" s="18"/>
      <c r="G13" s="18"/>
      <c r="H13" s="18"/>
    </row>
    <row r="15" spans="1:8" ht="18.95" customHeight="1" x14ac:dyDescent="0.2">
      <c r="A15" s="21" t="s">
        <v>89</v>
      </c>
      <c r="B15" s="21"/>
      <c r="C15" s="21"/>
      <c r="D15" s="21"/>
      <c r="E15" s="21"/>
      <c r="F15" s="21"/>
      <c r="G15" s="21"/>
      <c r="H15" s="21"/>
    </row>
    <row r="16" spans="1:8" ht="17.100000000000001" customHeight="1" x14ac:dyDescent="0.2">
      <c r="A16" s="18" t="s">
        <v>90</v>
      </c>
      <c r="B16" s="18"/>
      <c r="C16" s="18"/>
      <c r="D16" s="18"/>
      <c r="E16" s="18"/>
      <c r="F16" s="18"/>
      <c r="G16" s="18"/>
      <c r="H16" s="18"/>
    </row>
    <row r="17" spans="1:8" ht="17.100000000000001" customHeight="1" x14ac:dyDescent="0.2">
      <c r="A17" s="19" t="s">
        <v>91</v>
      </c>
      <c r="B17" s="19"/>
      <c r="C17" s="19"/>
      <c r="D17" s="19"/>
      <c r="E17" s="19"/>
      <c r="F17" s="19"/>
      <c r="G17" s="19"/>
      <c r="H17" s="19"/>
    </row>
    <row r="18" spans="1:8" ht="17.100000000000001" customHeight="1" x14ac:dyDescent="0.2">
      <c r="A18" s="18" t="s">
        <v>92</v>
      </c>
      <c r="B18" s="18"/>
      <c r="C18" s="18"/>
      <c r="D18" s="18"/>
      <c r="E18" s="18"/>
      <c r="F18" s="18"/>
      <c r="G18" s="18"/>
      <c r="H18" s="18"/>
    </row>
    <row r="19" spans="1:8" ht="17.100000000000001" customHeight="1" x14ac:dyDescent="0.2">
      <c r="A19" s="19" t="s">
        <v>93</v>
      </c>
      <c r="B19" s="19"/>
      <c r="C19" s="19"/>
      <c r="D19" s="19"/>
      <c r="E19" s="19"/>
      <c r="F19" s="19"/>
      <c r="G19" s="19"/>
      <c r="H19" s="19"/>
    </row>
    <row r="21" spans="1:8" ht="18.95" customHeight="1" x14ac:dyDescent="0.2">
      <c r="A21" s="21" t="s">
        <v>94</v>
      </c>
      <c r="B21" s="21"/>
      <c r="C21" s="21"/>
      <c r="D21" s="21"/>
      <c r="E21" s="21"/>
      <c r="F21" s="21"/>
      <c r="G21" s="21"/>
      <c r="H21" s="21"/>
    </row>
    <row r="22" spans="1:8" ht="17.100000000000001" customHeight="1" x14ac:dyDescent="0.2">
      <c r="A22" s="18" t="s">
        <v>95</v>
      </c>
      <c r="B22" s="18"/>
      <c r="C22" s="18"/>
      <c r="D22" s="18"/>
      <c r="E22" s="18"/>
      <c r="F22" s="18"/>
      <c r="G22" s="18"/>
      <c r="H22" s="18"/>
    </row>
    <row r="23" spans="1:8" ht="17.100000000000001" customHeight="1" x14ac:dyDescent="0.2">
      <c r="A23" s="19" t="s">
        <v>96</v>
      </c>
      <c r="B23" s="19"/>
      <c r="C23" s="19"/>
      <c r="D23" s="19"/>
      <c r="E23" s="19"/>
      <c r="F23" s="19"/>
      <c r="G23" s="19"/>
      <c r="H23" s="19"/>
    </row>
    <row r="24" spans="1:8" ht="17.100000000000001" customHeight="1" x14ac:dyDescent="0.2">
      <c r="A24" s="18" t="s">
        <v>97</v>
      </c>
      <c r="B24" s="18"/>
      <c r="C24" s="18"/>
      <c r="D24" s="18"/>
      <c r="E24" s="18"/>
      <c r="F24" s="18"/>
      <c r="G24" s="18"/>
      <c r="H24" s="18"/>
    </row>
    <row r="26" spans="1:8" ht="18.95" customHeight="1" x14ac:dyDescent="0.2">
      <c r="A26" s="21" t="s">
        <v>98</v>
      </c>
      <c r="B26" s="21"/>
      <c r="C26" s="21"/>
      <c r="D26" s="21"/>
      <c r="E26" s="21"/>
      <c r="F26" s="21"/>
      <c r="G26" s="21"/>
      <c r="H26" s="21"/>
    </row>
    <row r="27" spans="1:8" ht="17.100000000000001" customHeight="1" x14ac:dyDescent="0.2">
      <c r="A27" s="18" t="s">
        <v>99</v>
      </c>
      <c r="B27" s="18"/>
      <c r="C27" s="18"/>
      <c r="D27" s="18"/>
      <c r="E27" s="18"/>
      <c r="F27" s="18"/>
      <c r="G27" s="18"/>
      <c r="H27" s="18"/>
    </row>
    <row r="28" spans="1:8" ht="17.100000000000001" customHeight="1" x14ac:dyDescent="0.2">
      <c r="A28" s="19" t="s">
        <v>100</v>
      </c>
      <c r="B28" s="19"/>
      <c r="C28" s="19"/>
      <c r="D28" s="19"/>
      <c r="E28" s="19"/>
      <c r="F28" s="19"/>
      <c r="G28" s="19"/>
      <c r="H28" s="19"/>
    </row>
    <row r="29" spans="1:8" ht="17.100000000000001" customHeight="1" x14ac:dyDescent="0.2">
      <c r="A29" s="18" t="s">
        <v>101</v>
      </c>
      <c r="B29" s="18"/>
      <c r="C29" s="18"/>
      <c r="D29" s="18"/>
      <c r="E29" s="18"/>
      <c r="F29" s="18"/>
      <c r="G29" s="18"/>
      <c r="H29" s="18"/>
    </row>
  </sheetData>
  <mergeCells count="24">
    <mergeCell ref="A22:H22"/>
    <mergeCell ref="A17:H17"/>
    <mergeCell ref="A15:H15"/>
    <mergeCell ref="A11:H11"/>
    <mergeCell ref="A29:H29"/>
    <mergeCell ref="A28:H28"/>
    <mergeCell ref="A13:H13"/>
    <mergeCell ref="A19:H19"/>
    <mergeCell ref="A27:H27"/>
    <mergeCell ref="A12:H12"/>
    <mergeCell ref="A18:H18"/>
    <mergeCell ref="A21:H21"/>
    <mergeCell ref="A26:H26"/>
    <mergeCell ref="A24:H24"/>
    <mergeCell ref="A23:H23"/>
    <mergeCell ref="A1:H1"/>
    <mergeCell ref="A6:H6"/>
    <mergeCell ref="A7:H7"/>
    <mergeCell ref="A16:H16"/>
    <mergeCell ref="A2:H2"/>
    <mergeCell ref="A3:H3"/>
    <mergeCell ref="A5:H5"/>
    <mergeCell ref="A8:H8"/>
    <mergeCell ref="A10:H10"/>
  </mergeCell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راهنما — دفتر باسکول&amp;R&amp;"Tahoma"&amp;8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Baskol</vt:lpstr>
      <vt:lpstr>Sync</vt:lpstr>
      <vt:lpstr>Help</vt:lpstr>
      <vt:lpstr>AcctCodes</vt:lpstr>
      <vt:lpstr>AcctTbl</vt:lpstr>
      <vt:lpstr>OpTbl</vt:lpstr>
      <vt:lpstr>ParamTbl</vt:lpstr>
      <vt:lpstr>Baskol!Print_Area</vt:lpstr>
      <vt:lpstr>Baskol!Print_Titles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Mazandasht Baskol — دفتر باسکول</dc:title>
  <dc:creator>مازندشت</dc:creator>
  <cp:lastModifiedBy>MazanDasht</cp:lastModifiedBy>
  <dcterms:created xsi:type="dcterms:W3CDTF">2026-10-05T19:48:51Z</dcterms:created>
  <dcterms:modified xsi:type="dcterms:W3CDTF">2026-10-27T05:35:12Z</dcterms:modified>
</cp:coreProperties>
</file>